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13_ncr:2001_{64734002-F6A4-4A00-A294-0591EFC46632}" xr6:coauthVersionLast="47" xr6:coauthVersionMax="47" xr10:uidLastSave="{00000000-0000-0000-0000-000000000000}"/>
  <bookViews>
    <workbookView xWindow="28680" yWindow="-120" windowWidth="20730" windowHeight="11040" xr2:uid="{00000000-000D-0000-FFFF-FFFF00000000}"/>
  </bookViews>
  <sheets>
    <sheet name="Proyecto Datos (OKR´s)" sheetId="14" r:id="rId1"/>
    <sheet name="Proyecto Datos (Actual)" sheetId="13" state="hidden" r:id="rId2"/>
    <sheet name="Proyecto Datos" sheetId="11" state="hidden" r:id="rId3"/>
    <sheet name="Acerca de" sheetId="12" state="hidden" r:id="rId4"/>
  </sheets>
  <definedNames>
    <definedName name="hoy" localSheetId="2">TODAY()</definedName>
    <definedName name="hoy" localSheetId="1">TODAY()</definedName>
    <definedName name="hoy" localSheetId="0">TODAY()</definedName>
    <definedName name="Inicio_del_proyecto" localSheetId="1">'Proyecto Datos (Actual)'!$E$3</definedName>
    <definedName name="Inicio_del_proyecto" localSheetId="0">'Proyecto Datos (OKR´s)'!$K$3</definedName>
    <definedName name="Inicio_del_proyecto">'Proyecto Datos'!$E$3</definedName>
    <definedName name="Semana_para_mostrar" localSheetId="1">'Proyecto Datos (Actual)'!$E$4</definedName>
    <definedName name="Semana_para_mostrar" localSheetId="0">'Proyecto Datos (OKR´s)'!$K$4</definedName>
    <definedName name="Semana_para_mostrar">'Proyecto Datos'!$E$4</definedName>
    <definedName name="task_end" localSheetId="2">'Proyecto Datos'!$F1</definedName>
    <definedName name="task_end" localSheetId="1">'Proyecto Datos (Actual)'!$F1</definedName>
    <definedName name="task_end" localSheetId="0">'Proyecto Datos (OKR´s)'!$L1</definedName>
    <definedName name="task_progress" localSheetId="2">'Proyecto Datos'!$D1</definedName>
    <definedName name="task_progress" localSheetId="1">'Proyecto Datos (Actual)'!$D1</definedName>
    <definedName name="task_progress" localSheetId="0">'Proyecto Datos (OKR´s)'!$J1</definedName>
    <definedName name="task_start" localSheetId="2">'Proyecto Datos'!$E1</definedName>
    <definedName name="task_start" localSheetId="1">'Proyecto Datos (Actual)'!$E1</definedName>
    <definedName name="task_start" localSheetId="0">'Proyecto Datos (OKR´s)'!$K1</definedName>
    <definedName name="_xlnm.Print_Titles" localSheetId="2">'Proyecto Datos'!$4:$6</definedName>
    <definedName name="_xlnm.Print_Titles" localSheetId="1">'Proyecto Datos (Actual)'!$4:$6</definedName>
    <definedName name="_xlnm.Print_Titles" localSheetId="0">'Proyecto Datos (OKR´s)'!$4:$6</definedName>
  </definedNames>
  <calcPr calcId="191029" iterate="1"/>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2" i="14" l="1"/>
  <c r="L48" i="14"/>
  <c r="L32" i="14"/>
  <c r="L25" i="14"/>
  <c r="L24" i="14"/>
  <c r="L26" i="14" s="1"/>
  <c r="L19" i="14"/>
  <c r="L20" i="14"/>
  <c r="L21" i="14" s="1"/>
  <c r="L18" i="14"/>
  <c r="L17" i="14"/>
  <c r="K18" i="14"/>
  <c r="L22" i="14"/>
  <c r="D55" i="14"/>
  <c r="D54" i="14"/>
  <c r="D51" i="14"/>
  <c r="D50" i="14"/>
  <c r="D47" i="14"/>
  <c r="D46" i="14"/>
  <c r="D45" i="14"/>
  <c r="D44" i="14"/>
  <c r="D43" i="14"/>
  <c r="D42" i="14"/>
  <c r="D41" i="14"/>
  <c r="D40" i="14"/>
  <c r="D39" i="14"/>
  <c r="D38" i="14"/>
  <c r="D35" i="14"/>
  <c r="D34" i="14"/>
  <c r="D33" i="14"/>
  <c r="D32" i="14"/>
  <c r="D31" i="14"/>
  <c r="D30" i="14"/>
  <c r="D29" i="14"/>
  <c r="D25" i="14"/>
  <c r="D24" i="14"/>
  <c r="D21" i="14"/>
  <c r="D20" i="14"/>
  <c r="D19" i="14"/>
  <c r="D18" i="14"/>
  <c r="D17" i="14"/>
  <c r="D16" i="14"/>
  <c r="D15" i="14"/>
  <c r="D14" i="14"/>
  <c r="D13" i="14"/>
  <c r="D12" i="14"/>
  <c r="D11" i="14"/>
  <c r="L31" i="14"/>
  <c r="N31" i="14" s="1"/>
  <c r="L34" i="14"/>
  <c r="L54" i="14"/>
  <c r="L55" i="14" s="1"/>
  <c r="L50" i="14"/>
  <c r="L51" i="14" s="1"/>
  <c r="L38" i="14"/>
  <c r="L39" i="14" s="1"/>
  <c r="L40" i="14" s="1"/>
  <c r="L41" i="14" s="1"/>
  <c r="L42" i="14" s="1"/>
  <c r="L43" i="14" s="1"/>
  <c r="L44" i="14" s="1"/>
  <c r="L45" i="14" s="1"/>
  <c r="L46" i="14" s="1"/>
  <c r="L47" i="14" s="1"/>
  <c r="L37" i="14"/>
  <c r="L30" i="14"/>
  <c r="L29" i="14"/>
  <c r="L28" i="14"/>
  <c r="L23" i="14"/>
  <c r="L16" i="14"/>
  <c r="L15" i="14"/>
  <c r="L13" i="14"/>
  <c r="L14" i="14" s="1"/>
  <c r="L12" i="14"/>
  <c r="L11" i="14"/>
  <c r="L10" i="14"/>
  <c r="L8" i="14"/>
  <c r="J22" i="14"/>
  <c r="K36" i="14"/>
  <c r="K27" i="14"/>
  <c r="K52" i="14"/>
  <c r="K48" i="14"/>
  <c r="K22" i="14"/>
  <c r="K9" i="14"/>
  <c r="H56" i="14"/>
  <c r="K8" i="14"/>
  <c r="L7" i="14" s="1"/>
  <c r="L33" i="14" l="1"/>
  <c r="L35" i="14" s="1"/>
  <c r="K21" i="14"/>
  <c r="K20" i="14"/>
  <c r="N16" i="14"/>
  <c r="J48" i="14"/>
  <c r="N53" i="14"/>
  <c r="J52" i="14"/>
  <c r="N15" i="14"/>
  <c r="N14" i="14"/>
  <c r="N12" i="14"/>
  <c r="N11" i="14"/>
  <c r="N10" i="14"/>
  <c r="J9" i="14"/>
  <c r="J7" i="14"/>
  <c r="O5" i="14"/>
  <c r="P5" i="14" s="1"/>
  <c r="F25" i="13"/>
  <c r="N34" i="14" l="1"/>
  <c r="L27" i="14"/>
  <c r="N24" i="14"/>
  <c r="J27" i="14"/>
  <c r="J36" i="14"/>
  <c r="N32" i="14"/>
  <c r="N23" i="14"/>
  <c r="N8" i="14"/>
  <c r="K17" i="14"/>
  <c r="N49" i="14"/>
  <c r="Q5" i="14"/>
  <c r="P6" i="14"/>
  <c r="O6" i="14"/>
  <c r="N37" i="14"/>
  <c r="O4" i="14"/>
  <c r="L36" i="14" l="1"/>
  <c r="N25" i="14"/>
  <c r="N33" i="14"/>
  <c r="N35" i="14"/>
  <c r="N17" i="14"/>
  <c r="N40" i="14"/>
  <c r="N50" i="14"/>
  <c r="R5" i="14"/>
  <c r="Q6" i="14"/>
  <c r="N28" i="14" l="1"/>
  <c r="N29" i="14"/>
  <c r="N51" i="14"/>
  <c r="N54" i="14"/>
  <c r="N39" i="14"/>
  <c r="N38" i="14"/>
  <c r="N41" i="14"/>
  <c r="S5" i="14"/>
  <c r="R6" i="14"/>
  <c r="N18" i="14"/>
  <c r="N30" i="14" l="1"/>
  <c r="N21" i="14"/>
  <c r="N20" i="14"/>
  <c r="T5" i="14"/>
  <c r="S6" i="14"/>
  <c r="N55" i="14"/>
  <c r="N42" i="14"/>
  <c r="N19" i="14"/>
  <c r="L9" i="14" l="1"/>
  <c r="T6" i="14"/>
  <c r="U5" i="14"/>
  <c r="V5" i="14" l="1"/>
  <c r="U6" i="14"/>
  <c r="W5" i="14" l="1"/>
  <c r="V6" i="14"/>
  <c r="V4" i="14"/>
  <c r="K46" i="14" l="1"/>
  <c r="W6" i="14"/>
  <c r="X5" i="14"/>
  <c r="K47" i="14" l="1"/>
  <c r="X6" i="14"/>
  <c r="Y5" i="14"/>
  <c r="N47" i="14" l="1"/>
  <c r="Y6" i="14"/>
  <c r="Z5" i="14"/>
  <c r="AA5" i="14" l="1"/>
  <c r="Z6" i="14"/>
  <c r="AB5" i="14" l="1"/>
  <c r="AA6" i="14"/>
  <c r="AB6" i="14" l="1"/>
  <c r="AC5" i="14"/>
  <c r="AC4" i="14" l="1"/>
  <c r="AD5" i="14"/>
  <c r="AC6" i="14"/>
  <c r="AD6" i="14" l="1"/>
  <c r="AE5" i="14"/>
  <c r="AF5" i="14" l="1"/>
  <c r="AE6" i="14"/>
  <c r="AG5" i="14" l="1"/>
  <c r="AF6" i="14"/>
  <c r="AH5" i="14" l="1"/>
  <c r="AG6" i="14"/>
  <c r="AI5" i="14" l="1"/>
  <c r="AH6" i="14"/>
  <c r="AJ5" i="14" l="1"/>
  <c r="AI6" i="14"/>
  <c r="AJ6" i="14" l="1"/>
  <c r="AK5" i="14"/>
  <c r="AJ4" i="14"/>
  <c r="AL5" i="14" l="1"/>
  <c r="AK6" i="14"/>
  <c r="AL6" i="14" l="1"/>
  <c r="AM5" i="14"/>
  <c r="AN5" i="14" l="1"/>
  <c r="AM6" i="14"/>
  <c r="AN6" i="14" l="1"/>
  <c r="AO5" i="14"/>
  <c r="AO6" i="14" l="1"/>
  <c r="AP5" i="14"/>
  <c r="AQ5" i="14" l="1"/>
  <c r="AP6" i="14"/>
  <c r="AR5" i="14" l="1"/>
  <c r="AQ6" i="14"/>
  <c r="AQ4" i="14"/>
  <c r="AR6" i="14" l="1"/>
  <c r="AS5" i="14"/>
  <c r="AT5" i="14" l="1"/>
  <c r="AS6" i="14"/>
  <c r="AU5" i="14" l="1"/>
  <c r="AT6" i="14"/>
  <c r="AV5" i="14" l="1"/>
  <c r="AU6" i="14"/>
  <c r="AW5" i="14" l="1"/>
  <c r="AV6" i="14"/>
  <c r="AX5" i="14" l="1"/>
  <c r="AW6" i="14"/>
  <c r="AX4" i="14" l="1"/>
  <c r="AY5" i="14"/>
  <c r="AX6" i="14"/>
  <c r="AZ5" i="14" l="1"/>
  <c r="AY6" i="14"/>
  <c r="AZ6" i="14" l="1"/>
  <c r="BA5" i="14"/>
  <c r="BB5" i="14" l="1"/>
  <c r="BA6" i="14"/>
  <c r="BB6" i="14" l="1"/>
  <c r="BC5" i="14"/>
  <c r="BD5" i="14" l="1"/>
  <c r="BC6" i="14"/>
  <c r="BD6" i="14" l="1"/>
  <c r="BE5" i="14"/>
  <c r="BE6" i="14" l="1"/>
  <c r="BE4" i="14"/>
  <c r="BF5" i="14"/>
  <c r="BG5" i="14" l="1"/>
  <c r="BF6" i="14"/>
  <c r="BH5" i="14" l="1"/>
  <c r="BG6" i="14"/>
  <c r="BH6" i="14" l="1"/>
  <c r="BI5" i="14"/>
  <c r="BJ5" i="14" l="1"/>
  <c r="BI6" i="14"/>
  <c r="BJ6" i="14" l="1"/>
  <c r="BK5" i="14"/>
  <c r="BL5" i="14" l="1"/>
  <c r="BK6" i="14"/>
  <c r="BL4" i="14" l="1"/>
  <c r="BM5" i="14"/>
  <c r="BL6" i="14"/>
  <c r="BN5" i="14" l="1"/>
  <c r="BM6" i="14"/>
  <c r="BO5" i="14" l="1"/>
  <c r="BN6" i="14"/>
  <c r="BP5" i="14" l="1"/>
  <c r="BO6" i="14"/>
  <c r="BP6" i="14" l="1"/>
  <c r="BQ5" i="14"/>
  <c r="BR5" i="14" l="1"/>
  <c r="BR6" i="14" s="1"/>
  <c r="BQ6" i="14"/>
  <c r="E44" i="13" l="1"/>
  <c r="F43" i="13"/>
  <c r="H43" i="13" s="1"/>
  <c r="D42" i="13"/>
  <c r="F26" i="13"/>
  <c r="E27" i="13" s="1"/>
  <c r="D25" i="13"/>
  <c r="E23" i="13"/>
  <c r="E22" i="13"/>
  <c r="F22" i="13" s="1"/>
  <c r="H22" i="13" s="1"/>
  <c r="F20" i="13"/>
  <c r="H20" i="13" s="1"/>
  <c r="F19" i="13"/>
  <c r="H19" i="13" s="1"/>
  <c r="H18" i="13"/>
  <c r="H17" i="13"/>
  <c r="D16" i="13"/>
  <c r="E12" i="13"/>
  <c r="H10" i="13"/>
  <c r="E9" i="13"/>
  <c r="H9" i="13" s="1"/>
  <c r="D8" i="13"/>
  <c r="H7" i="13"/>
  <c r="I5" i="13"/>
  <c r="I6" i="13" s="1"/>
  <c r="F17" i="11"/>
  <c r="F20" i="11"/>
  <c r="H20" i="11" s="1"/>
  <c r="H21" i="13" l="1"/>
  <c r="I4" i="13"/>
  <c r="E13" i="13"/>
  <c r="F27" i="13"/>
  <c r="E28" i="13" s="1"/>
  <c r="H23" i="13"/>
  <c r="F44" i="13"/>
  <c r="E45" i="13" s="1"/>
  <c r="E29" i="13"/>
  <c r="J5" i="13"/>
  <c r="F23" i="13"/>
  <c r="E24" i="13" s="1"/>
  <c r="H26" i="13"/>
  <c r="E21" i="11"/>
  <c r="F21" i="11"/>
  <c r="H21" i="11" s="1"/>
  <c r="D16" i="11"/>
  <c r="D24" i="11"/>
  <c r="F42" i="11"/>
  <c r="E43" i="11" s="1"/>
  <c r="F43" i="11" s="1"/>
  <c r="D8" i="11"/>
  <c r="D41" i="11"/>
  <c r="F25" i="11"/>
  <c r="E28" i="11" s="1"/>
  <c r="F10" i="11"/>
  <c r="F11" i="11"/>
  <c r="E12" i="11" s="1"/>
  <c r="F12" i="11" s="1"/>
  <c r="E13" i="11" s="1"/>
  <c r="F13" i="11" s="1"/>
  <c r="H7" i="11"/>
  <c r="H12" i="13" l="1"/>
  <c r="H44" i="13"/>
  <c r="F28" i="13"/>
  <c r="H28" i="13" s="1"/>
  <c r="F45" i="13"/>
  <c r="F42" i="13" s="1"/>
  <c r="H27" i="13"/>
  <c r="F24" i="13"/>
  <c r="F16" i="13" s="1"/>
  <c r="F13" i="13"/>
  <c r="E14" i="13" s="1"/>
  <c r="F14" i="13" s="1"/>
  <c r="F8" i="13" s="1"/>
  <c r="F29" i="13"/>
  <c r="E30" i="13" s="1"/>
  <c r="K5" i="13"/>
  <c r="J6" i="13"/>
  <c r="E26" i="11"/>
  <c r="F26" i="11" s="1"/>
  <c r="E27" i="11" s="1"/>
  <c r="E44" i="11"/>
  <c r="F44" i="11" s="1"/>
  <c r="F41" i="11" s="1"/>
  <c r="E14" i="11"/>
  <c r="F14" i="11" s="1"/>
  <c r="E15" i="11" s="1"/>
  <c r="F15" i="11" s="1"/>
  <c r="F8" i="11" s="1"/>
  <c r="H25" i="11"/>
  <c r="H13" i="13" l="1"/>
  <c r="H24" i="13"/>
  <c r="L5" i="13"/>
  <c r="K6" i="13"/>
  <c r="H45" i="13"/>
  <c r="F30" i="13"/>
  <c r="E31" i="13" s="1"/>
  <c r="H29" i="13"/>
  <c r="F27" i="11"/>
  <c r="H27" i="11" s="1"/>
  <c r="H26" i="11"/>
  <c r="H17" i="11"/>
  <c r="E9" i="11"/>
  <c r="I5" i="11"/>
  <c r="H44" i="11"/>
  <c r="H43" i="11"/>
  <c r="F31" i="13" l="1"/>
  <c r="E32" i="13" s="1"/>
  <c r="H30" i="13"/>
  <c r="L6" i="13"/>
  <c r="M5" i="13"/>
  <c r="F9" i="11"/>
  <c r="H9" i="11" s="1"/>
  <c r="F28" i="11"/>
  <c r="E29" i="11" s="1"/>
  <c r="F29" i="11" s="1"/>
  <c r="I6" i="11"/>
  <c r="H31" i="13" l="1"/>
  <c r="N5" i="13"/>
  <c r="M6" i="13"/>
  <c r="F32" i="13"/>
  <c r="E33" i="13" s="1"/>
  <c r="E30" i="11"/>
  <c r="H29" i="11"/>
  <c r="H28" i="11"/>
  <c r="H10" i="11"/>
  <c r="H42" i="11"/>
  <c r="J5" i="11"/>
  <c r="K5" i="11" s="1"/>
  <c r="L5" i="11" s="1"/>
  <c r="M5" i="11" s="1"/>
  <c r="N5" i="11" s="1"/>
  <c r="O5" i="11" s="1"/>
  <c r="P5" i="11" s="1"/>
  <c r="I4" i="11"/>
  <c r="H32" i="13" l="1"/>
  <c r="F33" i="13"/>
  <c r="E34" i="13" s="1"/>
  <c r="H33" i="13"/>
  <c r="N6" i="13"/>
  <c r="O5" i="13"/>
  <c r="F30" i="11"/>
  <c r="E31" i="11" s="1"/>
  <c r="F31" i="11" s="1"/>
  <c r="E32" i="11" s="1"/>
  <c r="F32" i="11" s="1"/>
  <c r="E33" i="11" s="1"/>
  <c r="H13" i="11"/>
  <c r="H12" i="11"/>
  <c r="P4" i="11"/>
  <c r="Q5" i="11"/>
  <c r="R5" i="11" s="1"/>
  <c r="S5" i="11" s="1"/>
  <c r="T5" i="11" s="1"/>
  <c r="U5" i="11" s="1"/>
  <c r="V5" i="11" s="1"/>
  <c r="W5" i="11" s="1"/>
  <c r="J6" i="11"/>
  <c r="P5" i="13" l="1"/>
  <c r="O6" i="13"/>
  <c r="F34" i="13"/>
  <c r="E35" i="13" s="1"/>
  <c r="H31" i="11"/>
  <c r="F33" i="11"/>
  <c r="E34" i="11" s="1"/>
  <c r="H32" i="11"/>
  <c r="H30" i="11"/>
  <c r="W4" i="11"/>
  <c r="X5" i="11"/>
  <c r="Y5" i="11" s="1"/>
  <c r="Z5" i="11" s="1"/>
  <c r="AA5" i="11" s="1"/>
  <c r="AB5" i="11" s="1"/>
  <c r="AC5" i="11" s="1"/>
  <c r="AD5" i="11" s="1"/>
  <c r="K6" i="11"/>
  <c r="F35" i="13" l="1"/>
  <c r="E36" i="13" s="1"/>
  <c r="H34" i="13"/>
  <c r="Q5" i="13"/>
  <c r="P4" i="13"/>
  <c r="P6" i="13"/>
  <c r="H33" i="11"/>
  <c r="F34" i="11"/>
  <c r="E35" i="11" s="1"/>
  <c r="AE5" i="11"/>
  <c r="AF5" i="11" s="1"/>
  <c r="AG5" i="11" s="1"/>
  <c r="AH5" i="11" s="1"/>
  <c r="AI5" i="11" s="1"/>
  <c r="AJ5" i="11" s="1"/>
  <c r="AD4" i="11"/>
  <c r="L6" i="11"/>
  <c r="R5" i="13" l="1"/>
  <c r="Q6" i="13"/>
  <c r="F36" i="13"/>
  <c r="E37" i="13" s="1"/>
  <c r="F37" i="13" s="1"/>
  <c r="E38" i="13" s="1"/>
  <c r="F38" i="13" s="1"/>
  <c r="E39" i="13" s="1"/>
  <c r="F39" i="13" s="1"/>
  <c r="E40" i="13" s="1"/>
  <c r="F40" i="13" s="1"/>
  <c r="E41" i="13" s="1"/>
  <c r="H35" i="13"/>
  <c r="H34" i="11"/>
  <c r="F35" i="11"/>
  <c r="E36" i="11" s="1"/>
  <c r="F36" i="11" s="1"/>
  <c r="E37" i="11" s="1"/>
  <c r="F37" i="11" s="1"/>
  <c r="E38" i="11" s="1"/>
  <c r="F38" i="11" s="1"/>
  <c r="E39" i="11" s="1"/>
  <c r="F39" i="11" s="1"/>
  <c r="E40" i="11" s="1"/>
  <c r="AK5" i="11"/>
  <c r="AL5" i="11" s="1"/>
  <c r="AM5" i="11" s="1"/>
  <c r="AN5" i="11" s="1"/>
  <c r="AO5" i="11" s="1"/>
  <c r="AP5" i="11" s="1"/>
  <c r="AQ5" i="11" s="1"/>
  <c r="M6" i="11"/>
  <c r="F41" i="13" l="1"/>
  <c r="S5" i="13"/>
  <c r="R6" i="13"/>
  <c r="H36" i="13"/>
  <c r="H35" i="11"/>
  <c r="F40" i="11"/>
  <c r="F24" i="11" s="1"/>
  <c r="AR5" i="11"/>
  <c r="AS5" i="11" s="1"/>
  <c r="AK4" i="11"/>
  <c r="N6" i="11"/>
  <c r="H41" i="13" l="1"/>
  <c r="T5" i="13"/>
  <c r="S6" i="13"/>
  <c r="H40" i="11"/>
  <c r="F18" i="11"/>
  <c r="AT5" i="11"/>
  <c r="AS6" i="11"/>
  <c r="AR4" i="11"/>
  <c r="O6" i="11"/>
  <c r="T6" i="13" l="1"/>
  <c r="U5" i="13"/>
  <c r="F19" i="11"/>
  <c r="E22" i="11" s="1"/>
  <c r="H18" i="11"/>
  <c r="AU5" i="11"/>
  <c r="AT6" i="11"/>
  <c r="V5" i="13" l="1"/>
  <c r="U6" i="13"/>
  <c r="H19" i="11"/>
  <c r="F22" i="11"/>
  <c r="E23" i="11" s="1"/>
  <c r="F23" i="11" s="1"/>
  <c r="AV5" i="11"/>
  <c r="AU6" i="11"/>
  <c r="P6" i="11"/>
  <c r="Q6" i="11"/>
  <c r="V6" i="13" l="1"/>
  <c r="W5" i="13"/>
  <c r="H22" i="11"/>
  <c r="H23" i="11"/>
  <c r="F16" i="11"/>
  <c r="AW5" i="11"/>
  <c r="AV6" i="11"/>
  <c r="R6" i="11"/>
  <c r="W4" i="13" l="1"/>
  <c r="W6" i="13"/>
  <c r="X5" i="13"/>
  <c r="AX5" i="11"/>
  <c r="AY5" i="11" s="1"/>
  <c r="AW6" i="11"/>
  <c r="Y5" i="13" l="1"/>
  <c r="X6" i="13"/>
  <c r="AZ5" i="11"/>
  <c r="AY4" i="11"/>
  <c r="S6" i="11" s="1"/>
  <c r="AX6" i="11"/>
  <c r="T6" i="11"/>
  <c r="Z5" i="13" l="1"/>
  <c r="Y6" i="13"/>
  <c r="AY6" i="11"/>
  <c r="BA5" i="11"/>
  <c r="AZ6" i="11"/>
  <c r="U6" i="11"/>
  <c r="AA5" i="13" l="1"/>
  <c r="Z6" i="13"/>
  <c r="BA6" i="11"/>
  <c r="BB5" i="11"/>
  <c r="V6" i="11"/>
  <c r="AB5" i="13" l="1"/>
  <c r="AA6" i="13"/>
  <c r="BB6" i="11"/>
  <c r="BC5" i="11"/>
  <c r="W6" i="11"/>
  <c r="AC5" i="13" l="1"/>
  <c r="AB6" i="13"/>
  <c r="BC6" i="11"/>
  <c r="BD5" i="11"/>
  <c r="X6" i="11"/>
  <c r="AD5" i="13" l="1"/>
  <c r="AC6" i="13"/>
  <c r="BE5" i="11"/>
  <c r="BD6" i="11"/>
  <c r="Y6" i="11"/>
  <c r="AD4" i="13" l="1"/>
  <c r="AD6" i="13"/>
  <c r="AE5" i="13"/>
  <c r="BE6" i="11"/>
  <c r="BF5" i="11"/>
  <c r="AF5" i="13" l="1"/>
  <c r="AE6" i="13"/>
  <c r="BF6" i="11"/>
  <c r="BG5" i="11"/>
  <c r="BF4" i="11"/>
  <c r="Z6" i="11" s="1"/>
  <c r="AA6" i="11"/>
  <c r="AG5" i="13" l="1"/>
  <c r="AF6" i="13"/>
  <c r="BG6" i="11"/>
  <c r="BH5" i="11"/>
  <c r="AB6" i="11"/>
  <c r="AH5" i="13" l="1"/>
  <c r="AG6" i="13"/>
  <c r="BI5" i="11"/>
  <c r="BH6" i="11"/>
  <c r="AC6" i="11"/>
  <c r="AI5" i="13" l="1"/>
  <c r="AH6" i="13"/>
  <c r="BJ5" i="11"/>
  <c r="BI6" i="11"/>
  <c r="AD6" i="11"/>
  <c r="AJ5" i="13" l="1"/>
  <c r="AI6" i="13"/>
  <c r="BK5" i="11"/>
  <c r="BJ6" i="11"/>
  <c r="AE6" i="11"/>
  <c r="AJ6" i="13" l="1"/>
  <c r="AK5" i="13"/>
  <c r="BL5" i="11"/>
  <c r="BK6" i="11"/>
  <c r="AF6" i="11"/>
  <c r="AL5" i="13" l="1"/>
  <c r="AK6" i="13"/>
  <c r="AK4" i="13"/>
  <c r="BL6" i="11"/>
  <c r="AG6" i="11"/>
  <c r="AL6" i="13" l="1"/>
  <c r="AM5" i="13"/>
  <c r="AH6" i="11"/>
  <c r="AN5" i="13" l="1"/>
  <c r="AM6" i="13"/>
  <c r="AI6" i="11"/>
  <c r="AO5" i="13" l="1"/>
  <c r="AN6" i="13"/>
  <c r="AJ6" i="11"/>
  <c r="AP5" i="13" l="1"/>
  <c r="AO6" i="13"/>
  <c r="AK6" i="11"/>
  <c r="AQ5" i="13" l="1"/>
  <c r="AP6" i="13"/>
  <c r="AL6" i="11"/>
  <c r="AR5" i="13" l="1"/>
  <c r="AQ6" i="13"/>
  <c r="AM6" i="11"/>
  <c r="AR6" i="13" l="1"/>
  <c r="AR4" i="13"/>
  <c r="AS5" i="13"/>
  <c r="AN6" i="11"/>
  <c r="AT5" i="13" l="1"/>
  <c r="AS6" i="13"/>
  <c r="AO6" i="11"/>
  <c r="AT6" i="13" l="1"/>
  <c r="AU5" i="13"/>
  <c r="AP6" i="11"/>
  <c r="AV5" i="13" l="1"/>
  <c r="AU6" i="13"/>
  <c r="AQ6" i="11"/>
  <c r="AW5" i="13" l="1"/>
  <c r="AV6" i="13"/>
  <c r="AR6" i="11"/>
  <c r="AX5" i="13" l="1"/>
  <c r="AW6" i="13"/>
  <c r="AY5" i="13" l="1"/>
  <c r="AX6" i="13"/>
  <c r="AZ5" i="13" l="1"/>
  <c r="AY6" i="13"/>
  <c r="AY4" i="13"/>
  <c r="AZ6" i="13" l="1"/>
  <c r="BA5" i="13"/>
  <c r="BB5" i="13" l="1"/>
  <c r="BA6" i="13"/>
  <c r="BB6" i="13" l="1"/>
  <c r="BC5" i="13"/>
  <c r="BC6" i="13" l="1"/>
  <c r="BD5" i="13"/>
  <c r="BE5" i="13" l="1"/>
  <c r="BD6" i="13"/>
  <c r="BF5" i="13" l="1"/>
  <c r="BE6" i="13"/>
  <c r="BG5" i="13" l="1"/>
  <c r="BF6" i="13"/>
  <c r="BF4" i="13"/>
  <c r="BH5" i="13" l="1"/>
  <c r="BG6" i="13"/>
  <c r="BH6" i="13" l="1"/>
  <c r="BI5" i="13"/>
  <c r="BJ5" i="13" l="1"/>
  <c r="BI6" i="13"/>
  <c r="BJ6" i="13" l="1"/>
  <c r="BK5" i="13"/>
  <c r="BL5" i="13" l="1"/>
  <c r="BL6" i="13" s="1"/>
  <c r="BK6" i="13"/>
  <c r="N26"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17" authorId="0" shapeId="0" xr:uid="{D846AD94-692F-47E5-B5E1-E83C2AC73A54}">
      <text>
        <r>
          <rPr>
            <sz val="8"/>
            <color indexed="81"/>
            <rFont val="Tahoma"/>
            <family val="2"/>
          </rPr>
          <t>No están vinculados a un cliente en particular, tienen un % de incidencia.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1" authorId="0" shapeId="0" xr:uid="{2267CB23-C376-4C2A-9E6A-1AFF69443F5C}">
      <text>
        <r>
          <rPr>
            <sz val="8"/>
            <color indexed="81"/>
            <rFont val="Tahoma"/>
            <family val="2"/>
          </rPr>
          <t>No están vinculados a un cliente en particular, tienen un % de incidencia.</t>
        </r>
      </text>
    </comment>
    <comment ref="B22" authorId="0" shapeId="0" xr:uid="{228B4EF3-7575-4439-8F18-4FE6AE128B1B}">
      <text>
        <r>
          <rPr>
            <sz val="8"/>
            <color indexed="81"/>
            <rFont val="Tahoma"/>
            <family val="2"/>
          </rPr>
          <t>No están vinculados a un cliente en particular, tienen un % de incidencia.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1" authorId="0" shapeId="0" xr:uid="{710DF7A7-BEF1-4BFB-A662-E13D634E83F1}">
      <text>
        <r>
          <rPr>
            <sz val="8"/>
            <color indexed="81"/>
            <rFont val="Tahoma"/>
            <family val="2"/>
          </rPr>
          <t>No están vinculados a un cliente en particular, tienen un % de incidencia.</t>
        </r>
      </text>
    </comment>
  </commentList>
</comments>
</file>

<file path=xl/sharedStrings.xml><?xml version="1.0" encoding="utf-8"?>
<sst xmlns="http://schemas.openxmlformats.org/spreadsheetml/2006/main" count="363" uniqueCount="145">
  <si>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</si>
  <si>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</si>
  <si>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</si>
  <si>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</si>
  <si>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</si>
  <si>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</si>
  <si>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</si>
  <si>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</si>
  <si>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</si>
  <si>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</si>
  <si>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</si>
  <si>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</si>
  <si>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TAREA</t>
  </si>
  <si>
    <t>Inicio del proyecto:</t>
  </si>
  <si>
    <t>Semana para mostrar:</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</si>
  <si>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</si>
  <si>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</si>
  <si>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</si>
  <si>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</si>
  <si>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</si>
  <si>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</si>
  <si>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</si>
  <si>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</si>
  <si>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</si>
  <si>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</si>
  <si>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</si>
  <si>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</si>
  <si>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</si>
  <si>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</si>
  <si>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</si>
  <si>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</si>
  <si>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</si>
  <si>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</si>
  <si>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</si>
  <si>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Proyecto Datos Op. Complejas</t>
  </si>
  <si>
    <t>IHSA S.A.</t>
  </si>
  <si>
    <t>Santiago Alonso</t>
  </si>
  <si>
    <t>1- Automatización de Tareas</t>
  </si>
  <si>
    <t>3- Planilla de Control</t>
  </si>
  <si>
    <t>Planilla DTM Estandarizada</t>
  </si>
  <si>
    <t>Polinómicas + Tarifario + Ev. Parámetros Precios</t>
  </si>
  <si>
    <t>Planilla Aeroevaciaciones</t>
  </si>
  <si>
    <t>Carpeta almacenamiento en Sharepoint p/ Datalake</t>
  </si>
  <si>
    <t>Días en Calle Calculado</t>
  </si>
  <si>
    <t>Aging Calculado</t>
  </si>
  <si>
    <t>Resumen Clientes Petróleo</t>
  </si>
  <si>
    <t>Resumen Clientes Minería</t>
  </si>
  <si>
    <t>Julio Tinelli</t>
  </si>
  <si>
    <t>Importe Pendiente Fc (Provisión)</t>
  </si>
  <si>
    <t>Importe Provisionado (Datalake --&gt; Clik Sense "Venta Bruta")</t>
  </si>
  <si>
    <t>Importe Facturado (Datalake --&gt; Clik Sense "Venta Bruta")</t>
  </si>
  <si>
    <t>Días en Calle (Sharepoint --&gt; Excel)</t>
  </si>
  <si>
    <t>Aging (Sharepoint  --&gt; Excel)</t>
  </si>
  <si>
    <t>Locaciones Geográficas Minería</t>
  </si>
  <si>
    <t>Locaciones Geográficas Op. Dedicadas</t>
  </si>
  <si>
    <t>Detalle Responsables (Comerciales + Analistas)</t>
  </si>
  <si>
    <t>Obtener información detallada de DTM x Service Desk</t>
  </si>
  <si>
    <t>Armado de Dashboard</t>
  </si>
  <si>
    <t>Planilla Activos Unificados (Nico Sifuentes) - Estandarizar</t>
  </si>
  <si>
    <t>Eliminar contratos obsoletos</t>
  </si>
  <si>
    <t>Estandarizar materíales de contratos</t>
  </si>
  <si>
    <t>Crear Boom´s para materiales que hacen alusión a US</t>
  </si>
  <si>
    <t>Armado de solicitudes extra x Módulos (Ej: Med. Laboral)</t>
  </si>
  <si>
    <t>Automatización Archivo Sueldos Petro</t>
  </si>
  <si>
    <t>Automatización Archivo Sueldos FATSA</t>
  </si>
  <si>
    <t>2- Cotizador Automático (Neuquén)</t>
  </si>
  <si>
    <t>Estandarización cotizaciones COMPRAS</t>
  </si>
  <si>
    <t>Crear estructura de Cotizador en base a modelo armado</t>
  </si>
  <si>
    <t>Diseño de Dashboard</t>
  </si>
  <si>
    <t>Armado de Dashboard + Diseño</t>
  </si>
  <si>
    <t>Automatización de Provisión</t>
  </si>
  <si>
    <t>Luis Barrozo/ Santiago Alonso</t>
  </si>
  <si>
    <r>
      <t xml:space="preserve">Locaciones Geográficas Pozos Petro (ver datos </t>
    </r>
    <r>
      <rPr>
        <b/>
        <i/>
        <u/>
        <sz val="11"/>
        <color theme="1"/>
        <rFont val="Calibri"/>
        <family val="2"/>
        <scheme val="minor"/>
      </rPr>
      <t>Secretaria de Energía</t>
    </r>
    <r>
      <rPr>
        <sz val="11"/>
        <color theme="1"/>
        <rFont val="Calibri"/>
        <family val="2"/>
        <scheme val="minor"/>
      </rPr>
      <t>)</t>
    </r>
  </si>
  <si>
    <t>Resumen Clientes Op. Dedicadas</t>
  </si>
  <si>
    <t>4- Contratos Salesforce</t>
  </si>
  <si>
    <t>ASIGNADO A</t>
  </si>
  <si>
    <t>Automatización de Certificaciones Mensuales</t>
  </si>
  <si>
    <t>Asociar Gastos de Estructura (% de incidencia)</t>
  </si>
  <si>
    <t>Crear estructura de Cotizador en base a modelo armado (migra a CLAUDE)</t>
  </si>
  <si>
    <t>Automatización Archivo Sueldos FATSA (PENDIENTE REVISIÓN GENERAL)</t>
  </si>
  <si>
    <t>Automatización Archivo Sueldos Petro (PENDIENTE REVISIÓN GENERAL)</t>
  </si>
  <si>
    <t>Asociar Gastos de Estructura (% de incidencia) --&gt; Pedir a Fran</t>
  </si>
  <si>
    <t>Estandarización cotizaciones COMPRAS (costos x provincia)</t>
  </si>
  <si>
    <t>Asociar Archivo Móviles y Tráilers (Nico Sifuentes)</t>
  </si>
  <si>
    <t>1- GOC: Módulo de Datos para Procesos de Certificación (Inteligencia Comercial)</t>
  </si>
  <si>
    <t>2- Cotizador de Operaciones Complejas</t>
  </si>
  <si>
    <t>Días Transcurridos=</t>
  </si>
  <si>
    <t>Ponderación OKR</t>
  </si>
  <si>
    <t>Disponibilidad de información centralizada en GOC (aguarda desarrollo)</t>
  </si>
  <si>
    <t>Lucila Pronzato</t>
  </si>
  <si>
    <t>Relevamiento Últimos Sueldos de referencia Monotributistas</t>
  </si>
  <si>
    <t>Estandarización cotizaciones COMPRAS (costos x provincia) - aguardo información</t>
  </si>
  <si>
    <t>Polinómicas y tarifario automático</t>
  </si>
  <si>
    <t>Certificados automáticos (ver si utilizar scripts)</t>
  </si>
  <si>
    <t>Provisión Automática</t>
  </si>
  <si>
    <t>Santiago Alonso/ Julio Tinelli</t>
  </si>
  <si>
    <t>Santiago Alonso/ Danna Basso/ Lucía Paciello</t>
  </si>
  <si>
    <t>Estandarizar materíales de contratos - ver si se puede realizarmasivo (Matias Viera - SF)</t>
  </si>
  <si>
    <t>Crear Backend ETL - ver con Claude Code</t>
  </si>
  <si>
    <t>Fecha Reunón Programada</t>
  </si>
  <si>
    <t>Comentarios</t>
  </si>
  <si>
    <t>Ok registro global Personas y Móviles (Habilitado/ Inhabilitado/ Dado de baja) + Vencimientos; Próximo: Diagrama (30/6 fecha estimada)</t>
  </si>
  <si>
    <t>Avance Nico Sifuentes</t>
  </si>
  <si>
    <t>pedir últimos a Carlos Hernández</t>
  </si>
  <si>
    <t>Reunión jue 11/6 - Avance Seba Oliver</t>
  </si>
  <si>
    <t>Sprint</t>
  </si>
  <si>
    <t>Periodicidad</t>
  </si>
  <si>
    <t>Mensual</t>
  </si>
  <si>
    <t>Fecha</t>
  </si>
  <si>
    <t>Asociar Archivo Masters de Medicación (Seba Oliver) + Capacitaciones + procedimiento</t>
  </si>
  <si>
    <t>Asociar Archivo Móviles y Tráilers (Nico Sifuentes) + procedimiento</t>
  </si>
  <si>
    <t>Semanal</t>
  </si>
  <si>
    <t>Planilla DTM Estandarizada+ Procedimiento</t>
  </si>
  <si>
    <t>Planilla Aeroevaciaciones + Procedimiento</t>
  </si>
  <si>
    <t>Procedimiento</t>
  </si>
  <si>
    <t>5- Tablero Control General - Op. Complejas</t>
  </si>
  <si>
    <t>Planilla Activos Unificados - Estandarizar + Procedimiento</t>
  </si>
  <si>
    <t>ok, pero sale de sistema. Terminar de relevar los inputs. (Nico Sifuentes)</t>
  </si>
  <si>
    <t>Relevar conveniencia de creación de Boom´s para materiales que hacen alusión a US</t>
  </si>
  <si>
    <t>Revisión de Gráfico en cascada: por desvío y desagregación por categorías.</t>
  </si>
  <si>
    <t>Armado de Procedimiento</t>
  </si>
  <si>
    <t>Revisión de viabilidad de incorporación datos Redash (input ZReal con clasificaciones automaticas por CECO - Directas e Indirectas)</t>
  </si>
  <si>
    <t>Relevamiento área de IA -  Repositorio (GitHub o AWS S3) + Seguridad</t>
  </si>
  <si>
    <t>mar 9/6 Reunión Torres, Huilen (Equipo IA)  - Definir con Nico Vazquez</t>
  </si>
  <si>
    <t>Deployar (URL Web)</t>
  </si>
  <si>
    <t>Input de datos desde Provisión mensual</t>
  </si>
  <si>
    <t>Creación detalle deuda YPF (ídem Excel)</t>
  </si>
  <si>
    <t>Creación detalle deuda Vista - Replicar Excel Deuda</t>
  </si>
  <si>
    <t>Revisar con Fran</t>
  </si>
  <si>
    <t>Martes 09/06</t>
  </si>
  <si>
    <t>Jueves 11/06</t>
  </si>
  <si>
    <t>Reunión con Danna Mar 16/06</t>
  </si>
  <si>
    <t>Martes 16/06</t>
  </si>
  <si>
    <t>Automatización Archivo Sueldos FATSA + Procedimientos</t>
  </si>
  <si>
    <t>Automatización Archivo Sueldos Petro + Procedimientos</t>
  </si>
  <si>
    <t>Quincenal</t>
  </si>
  <si>
    <t>3- Tablero BI OPEX - Real vs BO</t>
  </si>
  <si>
    <t>4- Tablero BI DEUDA</t>
  </si>
  <si>
    <t>6- Automatización de procesos: certificación, provisión,polinómicas</t>
  </si>
  <si>
    <t>7- Incorporación de Operaciones Complejas en sistemas de la compañía: Salesforce, SAP, etc.</t>
  </si>
  <si>
    <t>Dias en Calle - desde SharePoint</t>
  </si>
  <si>
    <t>Aging - desde SharePoint</t>
  </si>
  <si>
    <t>Revisión y Publicación de Tablero</t>
  </si>
  <si>
    <t>Analizar viabilidad de input Redash: Importe Facturado (Datalake --&gt; Clik Sense "Venta Bruta")</t>
  </si>
  <si>
    <t>Analizar viabilidad de input Redash: Importe Provisionado (Datalake --&gt; Clik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</si>
</sst>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 #,##0.00_-;\-&quot;$&quot;\ * #,##0.00_-;_-&quot;$&quot;\ * &quot;-&quot;??_-;_-@_-"/>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 numFmtId="172" formatCode="ddd\,\ d/m/yyyy"/>
  </numFmts>
  <fonts count="6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0"/>
      <name val="Calibri"/>
      <family val="2"/>
      <scheme val="minor"/>
    </font>
    <font>
      <sz val="10"/>
      <color theme="1"/>
      <name val="Calibri"/>
      <family val="2"/>
      <scheme val="minor"/>
    </font>
    <font>
      <b/>
      <sz val="10"/>
      <color theme="0"/>
      <name val="Calibri"/>
      <family val="2"/>
      <scheme val="minor"/>
    </font>
    <font>
      <sz val="8"/>
      <color indexed="81"/>
      <name val="Tahoma"/>
      <family val="2"/>
    </font>
    <font>
      <b/>
      <i/>
      <u/>
      <sz val="11"/>
      <color theme="1"/>
      <name val="Calibri"/>
      <family val="2"/>
      <scheme val="minor"/>
    </font>
    <font>
      <b/>
      <sz val="12"/>
      <color rgb="FF1F3A52"/>
      <name val="Calibri"/>
      <family val="2"/>
      <scheme val="minor"/>
    </font>
    <font>
      <b/>
      <sz val="18"/>
      <color rgb="FF1F3A52"/>
      <name val="Calibri"/>
      <family val="2"/>
      <scheme val="minor"/>
    </font>
    <font>
      <sz val="10"/>
      <color rgb="FF4A7A9E"/>
      <name val="Calibri"/>
      <family val="2"/>
      <scheme val="minor"/>
    </font>
    <font>
      <b/>
      <sz val="13"/>
      <color rgb="FF1F3A52"/>
      <name val="Calibri"/>
      <family val="2"/>
      <scheme val="major"/>
    </font>
    <font>
      <sz val="11"/>
      <color rgb="FF3A3A3A"/>
      <name val="Calibri"/>
      <family val="2"/>
      <scheme val="minor"/>
    </font>
    <font>
      <u/>
      <sz val="11"/>
      <color rgb="FF2E5C7E"/>
      <name val="Calibri"/>
      <family val="2"/>
    </font>
    <font>
      <b/>
      <u/>
      <sz val="22"/>
      <color rgb="FF1F3A52"/>
      <name val="Calibri"/>
      <family val="2"/>
      <scheme val="major"/>
    </font>
    <font>
      <b/>
      <sz val="22"/>
      <color rgb="FF1F3A52"/>
      <name val="Calibri"/>
      <family val="2"/>
      <scheme val="major"/>
    </font>
    <font>
      <b/>
      <sz val="13"/>
      <color rgb="FF3A3A3A"/>
      <name val="Calibri"/>
      <family val="2"/>
      <scheme val="minor"/>
    </font>
    <font>
      <sz val="12"/>
      <color rgb="FF6B6B6B"/>
      <name val="Calibri"/>
      <family val="2"/>
      <scheme val="minor"/>
    </font>
    <font>
      <sz val="11"/>
      <color rgb="FF6B6B6B"/>
      <name val="Calibri"/>
      <family val="2"/>
      <scheme val="minor"/>
    </font>
    <font>
      <sz val="10"/>
      <color rgb="FF6B6B6B"/>
      <name val="Calibri"/>
      <family val="2"/>
      <scheme val="minor"/>
    </font>
    <font>
      <sz val="11"/>
      <color rgb="FF1F3A52"/>
      <name val="Calibri"/>
      <family val="2"/>
      <scheme val="minor"/>
    </font>
    <font>
      <b/>
      <sz val="11"/>
      <color rgb="FF1F3A52"/>
      <name val="Calibri"/>
      <family val="2"/>
      <scheme val="minor"/>
    </font>
    <font>
      <b/>
      <sz val="10"/>
      <color rgb="FFFFFFFF"/>
      <name val="Calibri"/>
      <family val="2"/>
      <scheme val="minor"/>
    </font>
    <font>
      <b/>
      <sz val="11"/>
      <color rgb="FFFFFFFF"/>
      <name val="Calibri"/>
      <family val="2"/>
      <scheme val="minor"/>
    </font>
    <font>
      <sz val="11"/>
      <color rgb="FFFFFFFF"/>
      <name val="Calibri"/>
      <family val="2"/>
      <scheme val="minor"/>
    </font>
    <font>
      <sz val="10"/>
      <color rgb="FFFFFFFF"/>
      <name val="Calibri"/>
      <family val="2"/>
      <scheme val="minor"/>
    </font>
    <font>
      <b/>
      <sz val="12"/>
      <color rgb="FFFFFFFF"/>
      <name val="Calibri"/>
      <family val="2"/>
      <scheme val="minor"/>
    </font>
    <font>
      <sz val="10"/>
      <color rgb="FF3A3A3A"/>
      <name val="Calibri"/>
      <family val="2"/>
      <scheme val="minor"/>
    </font>
    <font>
      <b/>
      <sz val="11"/>
      <color rgb="FF3A3A3A"/>
      <name val="Calibri"/>
      <family val="2"/>
      <scheme val="minor"/>
    </font>
    <font>
      <b/>
      <sz val="9"/>
      <color rgb="FF1F3A52"/>
      <name val="Calibri"/>
      <family val="2"/>
      <scheme val="minor"/>
    </font>
    <font>
      <sz val="9"/>
      <color rgb="FF6B6B6B"/>
      <name val="Calibri"/>
      <family val="2"/>
      <scheme val="minor"/>
    </font>
    <font>
      <b/>
      <sz val="9"/>
      <color rgb="FFFFFFFF"/>
      <name val="Calibri"/>
      <family val="2"/>
      <scheme val="minor"/>
    </font>
    <font>
      <strike/>
      <sz val="11"/>
      <color rgb="FF6B6B6B"/>
      <name val="Calibri"/>
      <family val="2"/>
      <scheme val="minor"/>
    </font>
    <font>
      <b/>
      <strike/>
      <sz val="11"/>
      <color rgb="FF1F3A52"/>
      <name val="Calibri"/>
      <family val="2"/>
      <scheme val="minor"/>
    </font>
    <font>
      <sz val="8"/>
      <name val="Calibri"/>
      <family val="2"/>
      <scheme val="minor"/>
    </font>
  </fonts>
  <fills count="46">
    <fill>
      <patternFill patternType="none"/>
    </fill>
    <fill>
      <patternFill patternType="gray125"/>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theme="4"/>
      </patternFill>
    </fill>
    <fill>
      <patternFill patternType="solid">
        <fgColor theme="3" tint="-0.499984740745262"/>
        <bgColor indexed="64"/>
      </patternFill>
    </fill>
    <fill>
      <patternFill patternType="solid">
        <fgColor rgb="FFFFFFFF"/>
        <bgColor indexed="64"/>
      </patternFill>
    </fill>
    <fill>
      <patternFill patternType="solid">
        <fgColor rgb="FFEAF1F7"/>
        <bgColor indexed="64"/>
      </patternFill>
    </fill>
    <fill>
      <patternFill patternType="solid">
        <fgColor rgb="FF1F3A52"/>
        <bgColor indexed="64"/>
      </patternFill>
    </fill>
    <fill>
      <patternFill patternType="solid">
        <fgColor rgb="FF2E5C7E"/>
        <bgColor indexed="64"/>
      </patternFill>
    </fill>
    <fill>
      <patternFill patternType="solid">
        <fgColor rgb="FFD6E4EF"/>
        <bgColor indexed="64"/>
      </patternFill>
    </fill>
    <fill>
      <patternFill patternType="solid">
        <fgColor theme="8" tint="0.59999389629810485"/>
        <bgColor indexed="64"/>
      </patternFill>
    </fill>
  </fills>
  <borders count="3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0" tint="-0.14996795556505021"/>
      </top>
      <bottom/>
      <diagonal/>
    </border>
    <border>
      <left/>
      <right/>
      <top style="thin">
        <color indexed="64"/>
      </top>
      <bottom/>
      <diagonal/>
    </border>
    <border>
      <left style="thin">
        <color theme="0" tint="-0.14993743705557422"/>
      </left>
      <right style="thin">
        <color theme="0" tint="-0.14993743705557422"/>
      </right>
      <top style="thin">
        <color indexed="64"/>
      </top>
      <bottom style="medium">
        <color theme="0" tint="-0.14996795556505021"/>
      </bottom>
      <diagonal/>
    </border>
    <border>
      <left/>
      <right/>
      <top/>
      <bottom style="thin">
        <color indexed="64"/>
      </bottom>
      <diagonal/>
    </border>
    <border>
      <left style="thin">
        <color theme="0" tint="-0.14993743705557422"/>
      </left>
      <right style="thin">
        <color theme="0" tint="-0.14993743705557422"/>
      </right>
      <top style="medium">
        <color theme="0" tint="-0.14996795556505021"/>
      </top>
      <bottom style="thin">
        <color indexed="64"/>
      </bottom>
      <diagonal/>
    </border>
    <border>
      <left style="thin">
        <color theme="0" tint="-0.14993743705557422"/>
      </left>
      <right style="thin">
        <color theme="0" tint="-0.14993743705557422"/>
      </right>
      <top style="thin">
        <color indexed="64"/>
      </top>
      <bottom style="thin">
        <color indexed="64"/>
      </bottom>
      <diagonal/>
    </border>
    <border>
      <left style="thin">
        <color indexed="64"/>
      </left>
      <right style="thin">
        <color indexed="64"/>
      </right>
      <top/>
      <bottom/>
      <diagonal/>
    </border>
    <border>
      <left/>
      <right/>
      <top/>
      <bottom style="thin">
        <color rgb="FFD9DEE3"/>
      </bottom>
      <diagonal/>
    </border>
    <border>
      <left/>
      <right/>
      <top style="thin">
        <color rgb="FF4A7A9E"/>
      </top>
      <bottom/>
      <diagonal/>
    </border>
    <border>
      <left/>
      <right/>
      <top/>
      <bottom style="medium">
        <color rgb="FF1F3A52"/>
      </bottom>
      <diagonal/>
    </border>
    <border>
      <left/>
      <right style="thin">
        <color theme="0" tint="-0.14993743705557422"/>
      </right>
      <top style="thin">
        <color indexed="64"/>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right style="thin">
        <color theme="0" tint="-0.14993743705557422"/>
      </right>
      <top style="medium">
        <color theme="0" tint="-0.14996795556505021"/>
      </top>
      <bottom style="thin">
        <color indexed="64"/>
      </bottom>
      <diagonal/>
    </border>
    <border>
      <left/>
      <right style="thin">
        <color theme="0" tint="-0.34998626667073579"/>
      </right>
      <top/>
      <bottom style="medium">
        <color theme="0" tint="-0.14996795556505021"/>
      </bottom>
      <diagonal/>
    </border>
    <border>
      <left/>
      <right style="thin">
        <color theme="0" tint="-0.14993743705557422"/>
      </right>
      <top style="thin">
        <color indexed="64"/>
      </top>
      <bottom style="thin">
        <color indexed="64"/>
      </bottom>
      <diagonal/>
    </border>
    <border>
      <left/>
      <right/>
      <top style="medium">
        <color rgb="FF1F3A5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1F3A52"/>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6">
    <xf numFmtId="0" fontId="0" fillId="0" borderId="0"/>
    <xf numFmtId="0" fontId="3" fillId="0" borderId="0" applyNumberFormat="0" applyFill="0" applyBorder="0" applyAlignment="0" applyProtection="0">
      <alignment vertical="top"/>
      <protection locked="0"/>
    </xf>
    <xf numFmtId="9" fontId="6" fillId="0" borderId="0" applyFont="0" applyFill="0" applyBorder="0" applyAlignment="0" applyProtection="0"/>
    <xf numFmtId="0" fontId="16" fillId="0" borderId="0"/>
    <xf numFmtId="167" fontId="6" fillId="0" borderId="3" applyFont="0" applyFill="0" applyAlignment="0" applyProtection="0"/>
    <xf numFmtId="0" fontId="9"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70"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9" fillId="0" borderId="0" applyNumberForma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0" applyNumberFormat="0" applyBorder="0" applyAlignment="0" applyProtection="0"/>
    <xf numFmtId="0" fontId="24" fillId="10" borderId="10" applyNumberFormat="0" applyAlignment="0" applyProtection="0"/>
    <xf numFmtId="0" fontId="25" fillId="11" borderId="11" applyNumberFormat="0" applyAlignment="0" applyProtection="0"/>
    <xf numFmtId="0" fontId="26" fillId="11" borderId="10" applyNumberFormat="0" applyAlignment="0" applyProtection="0"/>
    <xf numFmtId="0" fontId="27" fillId="0" borderId="12" applyNumberFormat="0" applyFill="0" applyAlignment="0" applyProtection="0"/>
    <xf numFmtId="0" fontId="28" fillId="12" borderId="13" applyNumberFormat="0" applyAlignment="0" applyProtection="0"/>
    <xf numFmtId="0" fontId="29" fillId="0" borderId="0" applyNumberFormat="0" applyFill="0" applyBorder="0" applyAlignment="0" applyProtection="0"/>
    <xf numFmtId="0" fontId="6" fillId="13" borderId="14" applyNumberFormat="0" applyFont="0" applyAlignment="0" applyProtection="0"/>
    <xf numFmtId="0" fontId="30" fillId="0" borderId="0" applyNumberFormat="0" applyFill="0" applyBorder="0" applyAlignment="0" applyProtection="0"/>
    <xf numFmtId="0" fontId="5" fillId="0" borderId="15" applyNumberFormat="0" applyFill="0" applyAlignment="0" applyProtection="0"/>
    <xf numFmtId="0" fontId="1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1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0" borderId="0"/>
    <xf numFmtId="44" fontId="6" fillId="0" borderId="0" applyFont="0" applyFill="0" applyBorder="0" applyAlignment="0" applyProtection="0"/>
  </cellStyleXfs>
  <cellXfs count="169">
    <xf numFmtId="0" fontId="0" fillId="0" borderId="0" xfId="0"/>
    <xf numFmtId="0" fontId="2" fillId="0" borderId="0" xfId="0" applyFont="1"/>
    <xf numFmtId="0" fontId="0" fillId="0" borderId="0" xfId="0" applyAlignment="1">
      <alignment horizontal="center"/>
    </xf>
    <xf numFmtId="0" fontId="0" fillId="0" borderId="0" xfId="0" applyAlignment="1">
      <alignment horizontal="right" vertical="center"/>
    </xf>
    <xf numFmtId="0" fontId="10" fillId="0" borderId="0" xfId="0" applyFont="1"/>
    <xf numFmtId="0" fontId="11" fillId="0" borderId="0" xfId="1" applyFont="1" applyAlignment="1" applyProtection="1"/>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2" fillId="0" borderId="0" xfId="0" applyFont="1" applyAlignment="1">
      <alignment horizontal="left" vertical="top"/>
    </xf>
    <xf numFmtId="0" fontId="14" fillId="0" borderId="0" xfId="0" applyFont="1" applyAlignment="1">
      <alignment vertical="top"/>
    </xf>
    <xf numFmtId="0" fontId="16" fillId="0" borderId="0" xfId="3"/>
    <xf numFmtId="0" fontId="16" fillId="0" borderId="0" xfId="0" applyFont="1" applyAlignment="1">
      <alignment horizontal="center"/>
    </xf>
    <xf numFmtId="0" fontId="0" fillId="0" borderId="0" xfId="0" applyAlignment="1">
      <alignment wrapText="1"/>
    </xf>
    <xf numFmtId="0" fontId="17" fillId="0" borderId="0" xfId="0" applyFont="1"/>
    <xf numFmtId="0" fontId="18" fillId="0" borderId="0" xfId="1" applyFont="1" applyProtection="1">
      <alignment vertical="top"/>
    </xf>
    <xf numFmtId="171" fontId="8" fillId="4" borderId="7" xfId="0" applyNumberFormat="1" applyFont="1" applyFill="1" applyBorder="1" applyAlignment="1">
      <alignment horizontal="center" vertical="center"/>
    </xf>
    <xf numFmtId="0" fontId="32" fillId="0" borderId="0" xfId="0" applyFont="1"/>
    <xf numFmtId="170" fontId="4" fillId="5" borderId="16" xfId="0" applyNumberFormat="1" applyFont="1" applyFill="1" applyBorder="1" applyAlignment="1">
      <alignment horizontal="center" vertical="center"/>
    </xf>
    <xf numFmtId="0" fontId="32" fillId="0" borderId="0" xfId="0" applyFont="1" applyAlignment="1">
      <alignment horizontal="center"/>
    </xf>
    <xf numFmtId="0" fontId="0" fillId="0" borderId="18"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20" xfId="0" applyBorder="1" applyAlignment="1">
      <alignment vertical="center"/>
    </xf>
    <xf numFmtId="0" fontId="0" fillId="0" borderId="19" xfId="0" applyBorder="1" applyAlignment="1">
      <alignment vertical="center"/>
    </xf>
    <xf numFmtId="170" fontId="4" fillId="3" borderId="0" xfId="0" applyNumberFormat="1" applyFont="1" applyFill="1" applyAlignment="1">
      <alignment horizontal="center" vertical="center"/>
    </xf>
    <xf numFmtId="170" fontId="4" fillId="6" borderId="0" xfId="0" applyNumberFormat="1" applyFont="1" applyFill="1" applyAlignment="1">
      <alignment horizontal="center" vertical="center"/>
    </xf>
    <xf numFmtId="170" fontId="4" fillId="2" borderId="0" xfId="0" applyNumberFormat="1" applyFont="1" applyFill="1" applyAlignment="1">
      <alignment horizontal="center" vertical="center"/>
    </xf>
    <xf numFmtId="0" fontId="0" fillId="0" borderId="21" xfId="0" applyBorder="1" applyAlignment="1">
      <alignment vertical="center"/>
    </xf>
    <xf numFmtId="0" fontId="33" fillId="39" borderId="8" xfId="0" applyFont="1" applyFill="1" applyBorder="1" applyAlignment="1">
      <alignment horizontal="center" vertical="center" shrinkToFit="1"/>
    </xf>
    <xf numFmtId="0" fontId="37" fillId="40" borderId="0" xfId="0" applyFont="1" applyFill="1" applyAlignment="1">
      <alignment horizontal="left" vertical="center"/>
    </xf>
    <xf numFmtId="0" fontId="38" fillId="40" borderId="0" xfId="0" applyFont="1" applyFill="1" applyAlignment="1">
      <alignment horizontal="left" vertical="top"/>
    </xf>
    <xf numFmtId="0" fontId="40" fillId="40" borderId="0" xfId="0" applyFont="1" applyFill="1" applyAlignment="1">
      <alignment horizontal="left" vertical="top" wrapText="1" indent="1"/>
    </xf>
    <xf numFmtId="0" fontId="40" fillId="40" borderId="0" xfId="0" applyFont="1" applyFill="1" applyAlignment="1">
      <alignment horizontal="left" vertical="top" wrapText="1"/>
    </xf>
    <xf numFmtId="0" fontId="41" fillId="40" borderId="0" xfId="1" applyFont="1" applyFill="1" applyBorder="1" applyAlignment="1" applyProtection="1">
      <alignment horizontal="left" vertical="top"/>
    </xf>
    <xf numFmtId="0" fontId="39" fillId="40" borderId="23" xfId="0" applyFont="1" applyFill="1" applyBorder="1" applyAlignment="1">
      <alignment horizontal="left" vertical="center"/>
    </xf>
    <xf numFmtId="0" fontId="33" fillId="38" borderId="0" xfId="0" applyFont="1" applyFill="1" applyAlignment="1">
      <alignment horizontal="center" vertical="center" wrapText="1"/>
    </xf>
    <xf numFmtId="0" fontId="1"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wrapText="1"/>
    </xf>
    <xf numFmtId="0" fontId="42" fillId="40" borderId="0" xfId="5" applyFont="1" applyFill="1" applyBorder="1" applyAlignment="1">
      <alignment horizontal="left" wrapText="1"/>
    </xf>
    <xf numFmtId="0" fontId="43" fillId="40" borderId="0" xfId="5" applyFont="1" applyFill="1" applyBorder="1" applyAlignment="1">
      <alignment horizontal="left" wrapText="1"/>
    </xf>
    <xf numFmtId="0" fontId="44" fillId="40" borderId="0" xfId="6" applyFont="1" applyFill="1" applyAlignment="1">
      <alignment horizontal="left" wrapText="1"/>
    </xf>
    <xf numFmtId="0" fontId="45" fillId="40" borderId="0" xfId="7" applyFont="1" applyFill="1" applyAlignment="1">
      <alignment horizontal="left" vertical="top" wrapText="1"/>
    </xf>
    <xf numFmtId="0" fontId="49" fillId="41" borderId="0" xfId="0" applyFont="1" applyFill="1" applyAlignment="1">
      <alignment horizontal="center" vertical="center"/>
    </xf>
    <xf numFmtId="0" fontId="49" fillId="41" borderId="24" xfId="0" applyFont="1" applyFill="1" applyBorder="1" applyAlignment="1">
      <alignment horizontal="center" vertical="center"/>
    </xf>
    <xf numFmtId="0" fontId="50" fillId="42" borderId="0" xfId="0" applyFont="1" applyFill="1" applyAlignment="1">
      <alignment horizontal="center" vertical="center" wrapText="1"/>
    </xf>
    <xf numFmtId="0" fontId="50" fillId="42" borderId="1" xfId="0" applyFont="1" applyFill="1" applyBorder="1" applyAlignment="1">
      <alignment horizontal="center" vertical="center" wrapText="1"/>
    </xf>
    <xf numFmtId="0" fontId="51" fillId="43" borderId="0" xfId="0" applyFont="1" applyFill="1" applyAlignment="1">
      <alignment horizontal="left" vertical="center" wrapText="1"/>
    </xf>
    <xf numFmtId="0" fontId="53" fillId="43" borderId="0" xfId="11" applyFont="1" applyFill="1" applyBorder="1">
      <alignment horizontal="center" vertical="center"/>
    </xf>
    <xf numFmtId="9" fontId="54" fillId="43" borderId="0" xfId="2" applyFont="1" applyFill="1" applyBorder="1" applyAlignment="1">
      <alignment horizontal="center" vertical="center"/>
    </xf>
    <xf numFmtId="170" fontId="53" fillId="43" borderId="0" xfId="0" applyNumberFormat="1" applyFont="1" applyFill="1" applyAlignment="1">
      <alignment horizontal="center" vertical="center" wrapText="1"/>
    </xf>
    <xf numFmtId="167" fontId="53" fillId="43" borderId="0" xfId="4" applyFont="1" applyFill="1" applyBorder="1" applyAlignment="1">
      <alignment horizontal="center" vertical="center"/>
    </xf>
    <xf numFmtId="170" fontId="52" fillId="43" borderId="0" xfId="0" applyNumberFormat="1" applyFont="1" applyFill="1" applyAlignment="1">
      <alignment horizontal="center" vertical="center"/>
    </xf>
    <xf numFmtId="170" fontId="53" fillId="43" borderId="0" xfId="0" applyNumberFormat="1" applyFont="1" applyFill="1" applyAlignment="1">
      <alignment horizontal="center" vertical="center"/>
    </xf>
    <xf numFmtId="0" fontId="51" fillId="43" borderId="25" xfId="0" applyFont="1" applyFill="1" applyBorder="1" applyAlignment="1">
      <alignment horizontal="left" vertical="center" wrapText="1"/>
    </xf>
    <xf numFmtId="9" fontId="54" fillId="43" borderId="25" xfId="2" applyFont="1" applyFill="1" applyBorder="1" applyAlignment="1">
      <alignment horizontal="center" vertical="center"/>
    </xf>
    <xf numFmtId="167" fontId="53" fillId="43" borderId="25" xfId="4" applyFont="1" applyFill="1" applyBorder="1" applyAlignment="1">
      <alignment horizontal="center" vertical="center"/>
    </xf>
    <xf numFmtId="170" fontId="52" fillId="43" borderId="25" xfId="0" applyNumberFormat="1" applyFont="1" applyFill="1" applyBorder="1" applyAlignment="1">
      <alignment horizontal="center" vertical="center"/>
    </xf>
    <xf numFmtId="170" fontId="53" fillId="43" borderId="25" xfId="0" applyNumberFormat="1" applyFont="1" applyFill="1" applyBorder="1" applyAlignment="1">
      <alignment horizontal="center" vertical="center"/>
    </xf>
    <xf numFmtId="0" fontId="0" fillId="0" borderId="26" xfId="0" applyBorder="1" applyAlignment="1">
      <alignment vertical="center"/>
    </xf>
    <xf numFmtId="170" fontId="40" fillId="44" borderId="0" xfId="10" applyFont="1" applyFill="1" applyBorder="1">
      <alignment horizontal="center" vertical="center"/>
    </xf>
    <xf numFmtId="0" fontId="40" fillId="44" borderId="0" xfId="0" applyFont="1" applyFill="1" applyAlignment="1">
      <alignment horizontal="center" vertical="center"/>
    </xf>
    <xf numFmtId="0" fontId="49" fillId="44" borderId="0" xfId="0" applyFont="1" applyFill="1" applyAlignment="1">
      <alignment horizontal="center" vertical="center"/>
    </xf>
    <xf numFmtId="0" fontId="0" fillId="0" borderId="27" xfId="0" applyBorder="1" applyAlignment="1">
      <alignment vertical="center"/>
    </xf>
    <xf numFmtId="170" fontId="50" fillId="43" borderId="25" xfId="0" applyNumberFormat="1" applyFont="1" applyFill="1" applyBorder="1" applyAlignment="1">
      <alignment horizontal="center" vertical="center"/>
    </xf>
    <xf numFmtId="0" fontId="40" fillId="41" borderId="0" xfId="12" applyFont="1" applyFill="1" applyBorder="1" applyAlignment="1">
      <alignment horizontal="left" vertical="center" wrapText="1"/>
    </xf>
    <xf numFmtId="9" fontId="40" fillId="41" borderId="0" xfId="2" applyFont="1" applyFill="1" applyBorder="1" applyAlignment="1">
      <alignment horizontal="center" vertical="center"/>
    </xf>
    <xf numFmtId="170" fontId="40" fillId="41" borderId="0" xfId="10" applyFont="1" applyFill="1" applyBorder="1">
      <alignment horizontal="center" vertical="center"/>
    </xf>
    <xf numFmtId="0" fontId="40" fillId="41" borderId="0" xfId="0" applyFont="1" applyFill="1" applyAlignment="1">
      <alignment horizontal="center" vertical="center"/>
    </xf>
    <xf numFmtId="0" fontId="40" fillId="40" borderId="0" xfId="12" applyFont="1" applyFill="1" applyBorder="1" applyAlignment="1">
      <alignment horizontal="left" vertical="center" wrapText="1"/>
    </xf>
    <xf numFmtId="9" fontId="40" fillId="40" borderId="0" xfId="2" applyFont="1" applyFill="1" applyBorder="1" applyAlignment="1">
      <alignment horizontal="center" vertical="center"/>
    </xf>
    <xf numFmtId="170" fontId="40" fillId="40" borderId="0" xfId="10" applyFont="1" applyFill="1" applyBorder="1">
      <alignment horizontal="center" vertical="center"/>
    </xf>
    <xf numFmtId="0" fontId="40" fillId="40" borderId="0" xfId="0" applyFont="1" applyFill="1" applyAlignment="1">
      <alignment horizontal="center" vertical="center"/>
    </xf>
    <xf numFmtId="0" fontId="49" fillId="40" borderId="0" xfId="0" applyFont="1" applyFill="1" applyAlignment="1">
      <alignment horizontal="center" vertical="center"/>
    </xf>
    <xf numFmtId="9" fontId="40" fillId="41" borderId="23" xfId="2" applyFont="1" applyFill="1" applyBorder="1" applyAlignment="1">
      <alignment horizontal="center" vertical="center"/>
    </xf>
    <xf numFmtId="170" fontId="40" fillId="41" borderId="23" xfId="10" applyFont="1" applyFill="1" applyBorder="1">
      <alignment horizontal="center" vertical="center"/>
    </xf>
    <xf numFmtId="0" fontId="40" fillId="41" borderId="23" xfId="0" applyFont="1" applyFill="1" applyBorder="1" applyAlignment="1">
      <alignment horizontal="center" vertical="center"/>
    </xf>
    <xf numFmtId="0" fontId="49" fillId="41" borderId="23" xfId="0" applyFont="1" applyFill="1" applyBorder="1" applyAlignment="1">
      <alignment horizontal="center" vertical="center"/>
    </xf>
    <xf numFmtId="0" fontId="0" fillId="0" borderId="28" xfId="0" applyBorder="1" applyAlignment="1">
      <alignment vertical="center"/>
    </xf>
    <xf numFmtId="9" fontId="40" fillId="40" borderId="23" xfId="2" applyFont="1" applyFill="1" applyBorder="1" applyAlignment="1">
      <alignment horizontal="center" vertical="center"/>
    </xf>
    <xf numFmtId="170" fontId="40" fillId="40" borderId="23" xfId="10" applyFont="1" applyFill="1" applyBorder="1">
      <alignment horizontal="center" vertical="center"/>
    </xf>
    <xf numFmtId="0" fontId="40" fillId="40" borderId="23" xfId="0" applyFont="1" applyFill="1" applyBorder="1" applyAlignment="1">
      <alignment horizontal="center" vertical="center"/>
    </xf>
    <xf numFmtId="0" fontId="49" fillId="40" borderId="23" xfId="0" applyFont="1" applyFill="1" applyBorder="1" applyAlignment="1">
      <alignment horizontal="center" vertical="center"/>
    </xf>
    <xf numFmtId="171" fontId="58" fillId="41" borderId="6" xfId="0" applyNumberFormat="1" applyFont="1" applyFill="1" applyBorder="1" applyAlignment="1">
      <alignment horizontal="center" vertical="center"/>
    </xf>
    <xf numFmtId="171" fontId="58" fillId="41" borderId="0" xfId="0" applyNumberFormat="1" applyFont="1" applyFill="1" applyAlignment="1">
      <alignment horizontal="center" vertical="center"/>
    </xf>
    <xf numFmtId="171" fontId="58" fillId="41" borderId="7" xfId="0" applyNumberFormat="1" applyFont="1" applyFill="1" applyBorder="1" applyAlignment="1">
      <alignment horizontal="center" vertical="center"/>
    </xf>
    <xf numFmtId="0" fontId="59" fillId="42" borderId="8" xfId="0" applyFont="1" applyFill="1" applyBorder="1" applyAlignment="1">
      <alignment horizontal="center" vertical="center" shrinkToFit="1"/>
    </xf>
    <xf numFmtId="0" fontId="43" fillId="40" borderId="0" xfId="5" applyFont="1" applyFill="1" applyBorder="1" applyAlignment="1">
      <alignment horizontal="left"/>
    </xf>
    <xf numFmtId="0" fontId="44" fillId="40" borderId="0" xfId="6" applyFont="1" applyFill="1" applyAlignment="1">
      <alignment horizontal="left"/>
    </xf>
    <xf numFmtId="0" fontId="45" fillId="40" borderId="0" xfId="7" applyFont="1" applyFill="1" applyAlignment="1">
      <alignment horizontal="left" vertical="top"/>
    </xf>
    <xf numFmtId="0" fontId="50" fillId="42" borderId="0" xfId="0" applyFont="1" applyFill="1" applyAlignment="1">
      <alignment horizontal="center" vertical="center"/>
    </xf>
    <xf numFmtId="0" fontId="55" fillId="40" borderId="0" xfId="0" applyFont="1" applyFill="1" applyAlignment="1">
      <alignment horizontal="center"/>
    </xf>
    <xf numFmtId="0" fontId="55" fillId="40" borderId="0" xfId="0" applyFont="1" applyFill="1" applyAlignment="1">
      <alignment horizontal="center" wrapText="1"/>
    </xf>
    <xf numFmtId="0" fontId="0" fillId="0" borderId="30" xfId="0" applyBorder="1" applyAlignment="1">
      <alignment vertical="center"/>
    </xf>
    <xf numFmtId="0" fontId="51" fillId="43" borderId="25" xfId="0" applyFont="1" applyFill="1" applyBorder="1" applyAlignment="1">
      <alignment horizontal="left" vertical="center" indent="1"/>
    </xf>
    <xf numFmtId="0" fontId="52" fillId="43" borderId="25" xfId="11" applyFont="1" applyFill="1" applyBorder="1">
      <alignment horizontal="center" vertical="center"/>
    </xf>
    <xf numFmtId="167" fontId="52" fillId="43" borderId="25" xfId="4" applyFont="1" applyFill="1" applyBorder="1" applyAlignment="1">
      <alignment horizontal="center" vertical="center"/>
    </xf>
    <xf numFmtId="170" fontId="51" fillId="43" borderId="25" xfId="0" applyNumberFormat="1" applyFont="1" applyFill="1" applyBorder="1" applyAlignment="1">
      <alignment horizontal="center" vertical="center"/>
    </xf>
    <xf numFmtId="0" fontId="40" fillId="40" borderId="0" xfId="12" applyFont="1" applyFill="1" applyBorder="1">
      <alignment horizontal="left" vertical="center" indent="2"/>
    </xf>
    <xf numFmtId="0" fontId="40" fillId="40" borderId="0" xfId="11" applyFont="1" applyFill="1" applyBorder="1">
      <alignment horizontal="center" vertical="center"/>
    </xf>
    <xf numFmtId="0" fontId="40" fillId="41" borderId="0" xfId="12" applyFont="1" applyFill="1" applyBorder="1">
      <alignment horizontal="left" vertical="center" indent="2"/>
    </xf>
    <xf numFmtId="0" fontId="40" fillId="41" borderId="0" xfId="11" applyFont="1" applyFill="1" applyBorder="1">
      <alignment horizontal="center" vertical="center"/>
    </xf>
    <xf numFmtId="0" fontId="40" fillId="40" borderId="0" xfId="12" applyFont="1" applyFill="1" applyBorder="1" applyAlignment="1">
      <alignment horizontal="left" vertical="center" wrapText="1" indent="2"/>
    </xf>
    <xf numFmtId="0" fontId="60" fillId="41" borderId="0" xfId="12" applyFont="1" applyFill="1" applyBorder="1">
      <alignment horizontal="left" vertical="center" indent="2"/>
    </xf>
    <xf numFmtId="0" fontId="60" fillId="41" borderId="0" xfId="11" applyFont="1" applyFill="1" applyBorder="1">
      <alignment horizontal="center" vertical="center"/>
    </xf>
    <xf numFmtId="9" fontId="60" fillId="41" borderId="0" xfId="2" applyFont="1" applyFill="1" applyBorder="1" applyAlignment="1">
      <alignment horizontal="center" vertical="center"/>
    </xf>
    <xf numFmtId="170" fontId="60" fillId="41" borderId="0" xfId="10" applyFont="1" applyFill="1" applyBorder="1">
      <alignment horizontal="center" vertical="center"/>
    </xf>
    <xf numFmtId="0" fontId="60" fillId="41" borderId="0" xfId="0" applyFont="1" applyFill="1" applyAlignment="1">
      <alignment horizontal="center" vertical="center"/>
    </xf>
    <xf numFmtId="0" fontId="61" fillId="41" borderId="0" xfId="0" applyFont="1" applyFill="1" applyAlignment="1">
      <alignment horizontal="center" vertical="center"/>
    </xf>
    <xf numFmtId="0" fontId="40" fillId="40" borderId="0" xfId="11" applyFont="1" applyFill="1" applyBorder="1" applyAlignment="1">
      <alignment horizontal="center" vertical="center" wrapText="1"/>
    </xf>
    <xf numFmtId="0" fontId="40" fillId="41" borderId="0" xfId="11" applyFont="1" applyFill="1" applyBorder="1" applyAlignment="1">
      <alignment horizontal="center" vertical="center" wrapText="1"/>
    </xf>
    <xf numFmtId="0" fontId="40" fillId="40" borderId="23" xfId="12" applyFont="1" applyFill="1" applyBorder="1">
      <alignment horizontal="left" vertical="center" indent="2"/>
    </xf>
    <xf numFmtId="0" fontId="40" fillId="40" borderId="23" xfId="11" applyFont="1" applyFill="1" applyBorder="1" applyAlignment="1">
      <alignment horizontal="center" vertical="center" wrapText="1"/>
    </xf>
    <xf numFmtId="0" fontId="59" fillId="42" borderId="29" xfId="0" applyFont="1" applyFill="1" applyBorder="1" applyAlignment="1">
      <alignment horizontal="center" vertical="center" shrinkToFit="1"/>
    </xf>
    <xf numFmtId="0" fontId="40" fillId="41" borderId="23" xfId="12" applyFont="1" applyFill="1" applyBorder="1">
      <alignment horizontal="left" vertical="center" indent="2"/>
    </xf>
    <xf numFmtId="0" fontId="40" fillId="41" borderId="23" xfId="11" applyFont="1" applyFill="1" applyBorder="1" applyAlignment="1">
      <alignment horizontal="center" vertical="center" wrapText="1"/>
    </xf>
    <xf numFmtId="0" fontId="16" fillId="0" borderId="0" xfId="3" applyAlignment="1">
      <alignment wrapText="1"/>
    </xf>
    <xf numFmtId="0" fontId="31" fillId="0" borderId="0" xfId="3" applyFont="1" applyAlignment="1">
      <alignment wrapText="1"/>
    </xf>
    <xf numFmtId="0" fontId="31" fillId="0" borderId="0" xfId="3" applyFont="1" applyAlignment="1">
      <alignment horizontal="center" wrapText="1"/>
    </xf>
    <xf numFmtId="0" fontId="49" fillId="40" borderId="31" xfId="0" applyFont="1" applyFill="1" applyBorder="1" applyAlignment="1">
      <alignment horizontal="right" wrapText="1"/>
    </xf>
    <xf numFmtId="0" fontId="48" fillId="40" borderId="31" xfId="0" applyFont="1" applyFill="1" applyBorder="1" applyAlignment="1">
      <alignment horizontal="center"/>
    </xf>
    <xf numFmtId="0" fontId="48" fillId="40" borderId="31" xfId="0" applyFont="1" applyFill="1" applyBorder="1" applyAlignment="1">
      <alignment horizontal="center" vertical="center"/>
    </xf>
    <xf numFmtId="9" fontId="36" fillId="40" borderId="32" xfId="2" applyFont="1" applyFill="1" applyBorder="1" applyAlignment="1">
      <alignment horizontal="center" vertical="center" wrapText="1"/>
    </xf>
    <xf numFmtId="0" fontId="4" fillId="0" borderId="0" xfId="3" applyFont="1" applyAlignment="1">
      <alignment wrapText="1"/>
    </xf>
    <xf numFmtId="0" fontId="4" fillId="0" borderId="0" xfId="3" applyFont="1"/>
    <xf numFmtId="0" fontId="2" fillId="0" borderId="0" xfId="3" applyFont="1" applyAlignment="1">
      <alignment wrapText="1"/>
    </xf>
    <xf numFmtId="0" fontId="62" fillId="0" borderId="0" xfId="3" applyFont="1" applyAlignment="1">
      <alignment horizontal="center" vertical="center" wrapText="1"/>
    </xf>
    <xf numFmtId="0" fontId="33" fillId="0" borderId="0" xfId="3" applyFont="1" applyAlignment="1">
      <alignment horizontal="center" vertical="center" wrapText="1"/>
    </xf>
    <xf numFmtId="0" fontId="5" fillId="0" borderId="0" xfId="0" applyFont="1" applyAlignment="1">
      <alignment horizontal="center" vertical="center"/>
    </xf>
    <xf numFmtId="0" fontId="62" fillId="0" borderId="36" xfId="3" applyFont="1" applyBorder="1" applyAlignment="1">
      <alignment horizontal="center" vertical="center" wrapText="1"/>
    </xf>
    <xf numFmtId="0" fontId="62" fillId="0" borderId="36" xfId="4" applyNumberFormat="1" applyFont="1" applyBorder="1" applyAlignment="1">
      <alignment horizontal="center" vertical="center" wrapText="1"/>
    </xf>
    <xf numFmtId="16" fontId="62" fillId="0" borderId="36" xfId="3" applyNumberFormat="1" applyFont="1" applyBorder="1" applyAlignment="1">
      <alignment horizontal="center" vertical="center" wrapText="1"/>
    </xf>
    <xf numFmtId="0" fontId="62" fillId="45" borderId="0" xfId="3" applyFont="1" applyFill="1" applyAlignment="1">
      <alignment horizontal="center" vertical="center" wrapText="1"/>
    </xf>
    <xf numFmtId="9" fontId="51" fillId="43" borderId="33" xfId="0" applyNumberFormat="1" applyFont="1" applyFill="1" applyBorder="1" applyAlignment="1">
      <alignment horizontal="center" vertical="center" wrapText="1"/>
    </xf>
    <xf numFmtId="9" fontId="51" fillId="43" borderId="34" xfId="0" applyNumberFormat="1" applyFont="1" applyFill="1" applyBorder="1" applyAlignment="1">
      <alignment horizontal="center" vertical="center" wrapText="1"/>
    </xf>
    <xf numFmtId="0" fontId="56" fillId="41" borderId="34" xfId="0" applyFont="1" applyFill="1" applyBorder="1" applyAlignment="1">
      <alignment horizontal="center" vertical="center" wrapText="1"/>
    </xf>
    <xf numFmtId="0" fontId="56" fillId="40" borderId="34" xfId="0" applyFont="1" applyFill="1" applyBorder="1" applyAlignment="1">
      <alignment horizontal="center" vertical="center" wrapText="1"/>
    </xf>
    <xf numFmtId="0" fontId="56" fillId="40" borderId="35" xfId="0" applyFont="1" applyFill="1" applyBorder="1" applyAlignment="1">
      <alignment horizontal="center" vertical="center" wrapText="1"/>
    </xf>
    <xf numFmtId="9" fontId="56" fillId="40" borderId="34" xfId="0" applyNumberFormat="1" applyFont="1" applyFill="1" applyBorder="1" applyAlignment="1">
      <alignment horizontal="center" vertical="center" wrapText="1"/>
    </xf>
    <xf numFmtId="9" fontId="56" fillId="41" borderId="34" xfId="0" applyNumberFormat="1" applyFont="1" applyFill="1" applyBorder="1" applyAlignment="1">
      <alignment horizontal="center" vertical="center" wrapText="1"/>
    </xf>
    <xf numFmtId="9" fontId="56" fillId="40" borderId="35" xfId="0" applyNumberFormat="1" applyFont="1" applyFill="1" applyBorder="1" applyAlignment="1">
      <alignment horizontal="center" vertical="center" wrapText="1"/>
    </xf>
    <xf numFmtId="9" fontId="56" fillId="41" borderId="35" xfId="0" applyNumberFormat="1" applyFont="1" applyFill="1" applyBorder="1" applyAlignment="1">
      <alignment horizontal="center" vertical="center" wrapText="1"/>
    </xf>
    <xf numFmtId="169" fontId="57" fillId="41" borderId="4" xfId="0" applyNumberFormat="1" applyFont="1" applyFill="1" applyBorder="1" applyAlignment="1">
      <alignment horizontal="center" vertical="center" wrapText="1" indent="1"/>
    </xf>
    <xf numFmtId="169" fontId="57" fillId="41" borderId="1" xfId="0" applyNumberFormat="1" applyFont="1" applyFill="1" applyBorder="1" applyAlignment="1">
      <alignment horizontal="center" vertical="center" wrapText="1" indent="1"/>
    </xf>
    <xf numFmtId="169" fontId="57" fillId="41" borderId="5" xfId="0" applyNumberFormat="1" applyFont="1" applyFill="1" applyBorder="1" applyAlignment="1">
      <alignment horizontal="center" vertical="center" wrapText="1" indent="1"/>
    </xf>
    <xf numFmtId="169" fontId="32" fillId="4" borderId="5" xfId="0" applyNumberFormat="1" applyFont="1" applyFill="1" applyBorder="1" applyAlignment="1">
      <alignment horizontal="left" vertical="center" wrapText="1" indent="1"/>
    </xf>
    <xf numFmtId="9" fontId="49" fillId="44" borderId="22" xfId="0" applyNumberFormat="1" applyFont="1" applyFill="1" applyBorder="1" applyAlignment="1">
      <alignment horizontal="center" vertical="center" wrapText="1"/>
    </xf>
    <xf numFmtId="0" fontId="47" fillId="40" borderId="0" xfId="8" applyFont="1" applyFill="1">
      <alignment horizontal="right" indent="1"/>
    </xf>
    <xf numFmtId="172" fontId="49" fillId="41" borderId="0" xfId="9" applyNumberFormat="1" applyFont="1" applyFill="1" applyBorder="1">
      <alignment horizontal="center" vertical="center"/>
    </xf>
    <xf numFmtId="172" fontId="6" fillId="0" borderId="0" xfId="9" applyNumberFormat="1" applyBorder="1">
      <alignment horizontal="center" vertical="center"/>
    </xf>
    <xf numFmtId="0" fontId="62" fillId="45" borderId="0" xfId="3" applyFont="1" applyFill="1" applyAlignment="1">
      <alignment vertical="center" wrapText="1"/>
    </xf>
    <xf numFmtId="0" fontId="62" fillId="0" borderId="0" xfId="3" applyFont="1" applyFill="1" applyAlignment="1">
      <alignment vertical="center" wrapText="1"/>
    </xf>
    <xf numFmtId="0" fontId="62" fillId="45" borderId="37" xfId="3" applyFont="1" applyFill="1" applyBorder="1" applyAlignment="1">
      <alignment horizontal="center" vertical="center" wrapText="1"/>
    </xf>
    <xf numFmtId="9" fontId="51" fillId="43" borderId="22" xfId="0" applyNumberFormat="1" applyFont="1" applyFill="1" applyBorder="1" applyAlignment="1">
      <alignment horizontal="center" vertical="center" wrapText="1"/>
    </xf>
    <xf numFmtId="0" fontId="50" fillId="42" borderId="36" xfId="0" applyFont="1" applyFill="1" applyBorder="1" applyAlignment="1">
      <alignment horizontal="center" vertical="center" wrapText="1"/>
    </xf>
    <xf numFmtId="0" fontId="1" fillId="0" borderId="0" xfId="0" applyFont="1" applyAlignment="1">
      <alignment horizontal="left" wrapText="1"/>
    </xf>
    <xf numFmtId="0" fontId="53" fillId="43" borderId="0" xfId="11" applyFont="1" applyFill="1" applyBorder="1" applyAlignment="1">
      <alignment horizontal="center" vertical="center" wrapText="1"/>
    </xf>
    <xf numFmtId="0" fontId="53" fillId="43" borderId="25" xfId="11" applyFont="1" applyFill="1" applyBorder="1" applyAlignment="1">
      <alignment horizontal="center" vertical="center" wrapText="1"/>
    </xf>
    <xf numFmtId="0" fontId="46" fillId="41" borderId="0" xfId="11" applyFont="1" applyFill="1" applyBorder="1" applyAlignment="1">
      <alignment horizontal="center" vertical="center" wrapText="1"/>
    </xf>
    <xf numFmtId="0" fontId="46" fillId="40" borderId="0" xfId="11" applyFont="1" applyFill="1" applyBorder="1" applyAlignment="1">
      <alignment horizontal="center" vertical="center" wrapText="1"/>
    </xf>
    <xf numFmtId="0" fontId="48" fillId="40" borderId="31" xfId="0" applyFont="1" applyFill="1" applyBorder="1" applyAlignment="1">
      <alignment horizontal="center" wrapText="1"/>
    </xf>
    <xf numFmtId="0" fontId="10" fillId="0" borderId="0" xfId="0" applyFont="1" applyAlignment="1">
      <alignment wrapText="1"/>
    </xf>
    <xf numFmtId="0" fontId="11" fillId="0" borderId="0" xfId="1" applyFont="1" applyAlignment="1" applyProtection="1">
      <alignment wrapText="1"/>
    </xf>
    <xf numFmtId="0" fontId="40" fillId="0" borderId="0" xfId="12" applyFont="1" applyFill="1" applyBorder="1" applyAlignment="1">
      <alignment horizontal="left" vertical="center" wrapText="1"/>
    </xf>
  </cellXfs>
  <cellStyles count="56">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Moneda 5" xfId="55" xr:uid="{7539DEA7-AC3B-4557-8F64-10F32A80B746}"/>
    <cellStyle name="Neutral" xfId="20" builtinId="28" customBuiltin="1"/>
    <cellStyle name="Nombre" xfId="11" xr:uid="{B2D3C1EE-6B41-4801-AAFC-C2274E49E503}"/>
    <cellStyle name="Normal" xfId="0" builtinId="0" customBuiltin="1"/>
    <cellStyle name="Normal 2" xfId="54" xr:uid="{05E4BB33-962B-410C-9046-BE7798285F3A}"/>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1">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patternType="solid">
          <fgColor indexed="64"/>
          <bgColor rgb="FFA8C5DE"/>
        </patternFill>
      </fill>
      <border>
        <left/>
        <right/>
      </border>
    </dxf>
    <dxf>
      <fill>
        <patternFill patternType="solid">
          <fgColor indexed="64"/>
          <bgColor rgb="FF1F3A52"/>
        </patternFill>
      </fill>
    </dxf>
    <dxf>
      <fill>
        <patternFill patternType="solid">
          <fgColor indexed="64"/>
          <bgColor rgb="FFA8C5DE"/>
        </patternFill>
      </fill>
      <border>
        <left/>
        <right/>
      </border>
    </dxf>
    <dxf>
      <fill>
        <patternFill patternType="solid">
          <fgColor indexed="64"/>
          <bgColor rgb="FF1F3A52"/>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000000"/>
      <color rgb="FF427FC2"/>
      <color rgb="FF215881"/>
      <color rgb="FF42648A"/>
      <color rgb="FF969696"/>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520700</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E04964-845D-49EA-AE40-B3D687E90185}">
  <we:reference id="WA200009404" version="1.0.0.8" store="Omex" storeType="OMEX"/>
  <we:alternateReferences>
    <we:reference id="WA200009404" version="1.0.0.8" store="WA200009404" storeType="OMEX"/>
  </we:alternateReferences>
  <we:properties>
    <we:property name="claude.fileId" value="&quot;cab32c97-b976-452e-9260-bf25865177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A0BA-5F40-481C-A416-1CA5E04363A6}">
  <sheetPr>
    <pageSetUpPr fitToPage="1"/>
  </sheetPr>
  <dimension ref="A1:BR80"/>
  <sheetViews>
    <sheetView showGridLines="0" tabSelected="1" showRuler="0" topLeftCell="C1" zoomScale="80" zoomScaleNormal="80" zoomScalePageLayoutView="70" workbookViewId="0">
      <pane ySplit="6" topLeftCell="A7" activePane="bottomLeft" state="frozen"/>
      <selection pane="bottomLeft" activeCell="C37" sqref="C37"/>
    </sheetView>
  </sheetViews>
  <sheetFormatPr baseColWidth="10" defaultColWidth="9.1796875" defaultRowHeight="30" customHeight="1" x14ac:dyDescent="0.35"/>
  <cols>
    <col min="1" max="1" width="2.7265625" style="14" hidden="1" customWidth="1"/>
    <col min="2" max="2" width="12.26953125" style="129" bestFit="1" customWidth="1"/>
    <col min="3" max="3" width="26.54296875" style="131" customWidth="1"/>
    <col min="4" max="4" width="10.90625" style="131" customWidth="1"/>
    <col min="5" max="6" width="12.54296875" style="131" customWidth="1"/>
    <col min="7" max="7" width="74" style="16" customWidth="1"/>
    <col min="8" max="8" width="14.6328125" style="16" bestFit="1" customWidth="1"/>
    <col min="9" max="9" width="20.7265625" style="16" customWidth="1"/>
    <col min="10" max="10" width="9.26953125" bestFit="1" customWidth="1"/>
    <col min="11" max="11" width="15.7265625" style="2" bestFit="1" customWidth="1"/>
    <col min="12" max="12" width="9.08984375" bestFit="1" customWidth="1"/>
    <col min="13" max="13" width="2.7265625" customWidth="1"/>
    <col min="14" max="14" width="9.453125" hidden="1" customWidth="1"/>
    <col min="15" max="20" width="3.26953125" customWidth="1"/>
    <col min="21" max="21" width="8.453125" bestFit="1" customWidth="1"/>
    <col min="22" max="29" width="3.26953125" customWidth="1"/>
    <col min="30" max="30" width="4.08984375" customWidth="1"/>
    <col min="31" max="31" width="2.54296875" bestFit="1" customWidth="1"/>
    <col min="32" max="70" width="3.26953125" customWidth="1"/>
  </cols>
  <sheetData>
    <row r="1" spans="1:70" ht="30" customHeight="1" x14ac:dyDescent="0.65">
      <c r="A1" s="121" t="s">
        <v>0</v>
      </c>
      <c r="B1" s="128"/>
      <c r="G1" s="44" t="s">
        <v>34</v>
      </c>
      <c r="H1" s="45"/>
      <c r="I1" s="160"/>
      <c r="J1" s="1"/>
      <c r="K1" s="41"/>
      <c r="L1" s="42"/>
      <c r="N1" s="1"/>
      <c r="O1" s="17"/>
    </row>
    <row r="2" spans="1:70" ht="30" customHeight="1" x14ac:dyDescent="0.4">
      <c r="A2" s="14" t="s">
        <v>1</v>
      </c>
      <c r="G2" s="46" t="s">
        <v>35</v>
      </c>
      <c r="H2" s="47"/>
      <c r="O2" s="18"/>
    </row>
    <row r="3" spans="1:70" ht="30" customHeight="1" x14ac:dyDescent="0.35">
      <c r="A3" s="14" t="s">
        <v>2</v>
      </c>
      <c r="G3" s="47" t="s">
        <v>36</v>
      </c>
      <c r="H3" s="47"/>
      <c r="I3" s="152" t="s">
        <v>13</v>
      </c>
      <c r="J3" s="152"/>
      <c r="K3" s="153">
        <v>45958</v>
      </c>
      <c r="L3" s="154"/>
    </row>
    <row r="4" spans="1:70" ht="30" customHeight="1" x14ac:dyDescent="0.35">
      <c r="A4" s="122" t="s">
        <v>3</v>
      </c>
      <c r="B4" s="130"/>
      <c r="G4" s="43"/>
      <c r="H4" s="43"/>
      <c r="I4" s="152" t="s">
        <v>14</v>
      </c>
      <c r="J4" s="152"/>
      <c r="K4" s="49">
        <v>32</v>
      </c>
      <c r="L4" s="20"/>
      <c r="M4" s="20"/>
      <c r="N4" s="20"/>
      <c r="O4" s="147">
        <f>O5</f>
        <v>46174</v>
      </c>
      <c r="P4" s="148"/>
      <c r="Q4" s="148"/>
      <c r="R4" s="148"/>
      <c r="S4" s="148"/>
      <c r="T4" s="148"/>
      <c r="U4" s="149"/>
      <c r="V4" s="147">
        <f>V5</f>
        <v>46181</v>
      </c>
      <c r="W4" s="148"/>
      <c r="X4" s="148"/>
      <c r="Y4" s="148"/>
      <c r="Z4" s="148"/>
      <c r="AA4" s="148"/>
      <c r="AB4" s="149"/>
      <c r="AC4" s="147">
        <f>AC5</f>
        <v>46188</v>
      </c>
      <c r="AD4" s="148"/>
      <c r="AE4" s="148"/>
      <c r="AF4" s="148"/>
      <c r="AG4" s="148"/>
      <c r="AH4" s="148"/>
      <c r="AI4" s="149"/>
      <c r="AJ4" s="147">
        <f>AJ5</f>
        <v>46195</v>
      </c>
      <c r="AK4" s="148"/>
      <c r="AL4" s="148"/>
      <c r="AM4" s="148"/>
      <c r="AN4" s="148"/>
      <c r="AO4" s="148"/>
      <c r="AP4" s="149"/>
      <c r="AQ4" s="147">
        <f>AQ5</f>
        <v>46202</v>
      </c>
      <c r="AR4" s="148"/>
      <c r="AS4" s="148"/>
      <c r="AT4" s="148"/>
      <c r="AU4" s="148"/>
      <c r="AV4" s="148"/>
      <c r="AW4" s="149"/>
      <c r="AX4" s="147">
        <f>AX5</f>
        <v>46209</v>
      </c>
      <c r="AY4" s="148"/>
      <c r="AZ4" s="148"/>
      <c r="BA4" s="148"/>
      <c r="BB4" s="148"/>
      <c r="BC4" s="148"/>
      <c r="BD4" s="149"/>
      <c r="BE4" s="147">
        <f>BE5</f>
        <v>46216</v>
      </c>
      <c r="BF4" s="148"/>
      <c r="BG4" s="148"/>
      <c r="BH4" s="148"/>
      <c r="BI4" s="148"/>
      <c r="BJ4" s="148"/>
      <c r="BK4" s="149"/>
      <c r="BL4" s="147">
        <f>BL5</f>
        <v>46223</v>
      </c>
      <c r="BM4" s="148"/>
      <c r="BN4" s="148"/>
      <c r="BO4" s="148"/>
      <c r="BP4" s="148"/>
      <c r="BQ4" s="148"/>
      <c r="BR4" s="150"/>
    </row>
    <row r="5" spans="1:70" ht="15" customHeight="1" x14ac:dyDescent="0.35">
      <c r="A5" s="121" t="s">
        <v>4</v>
      </c>
      <c r="B5" s="128"/>
      <c r="K5"/>
      <c r="O5" s="88">
        <f>Inicio_del_proyecto-WEEKDAY(Inicio_del_proyecto,1)+2+7*(Semana_para_mostrar-1)</f>
        <v>46174</v>
      </c>
      <c r="P5" s="89">
        <f>O5+1</f>
        <v>46175</v>
      </c>
      <c r="Q5" s="89">
        <f t="shared" ref="Q5:BD5" si="0">P5+1</f>
        <v>46176</v>
      </c>
      <c r="R5" s="89">
        <f t="shared" si="0"/>
        <v>46177</v>
      </c>
      <c r="S5" s="89">
        <f t="shared" si="0"/>
        <v>46178</v>
      </c>
      <c r="T5" s="89">
        <f t="shared" si="0"/>
        <v>46179</v>
      </c>
      <c r="U5" s="90">
        <f t="shared" si="0"/>
        <v>46180</v>
      </c>
      <c r="V5" s="88">
        <f>U5+1</f>
        <v>46181</v>
      </c>
      <c r="W5" s="89">
        <f>V5+1</f>
        <v>46182</v>
      </c>
      <c r="X5" s="89">
        <f t="shared" si="0"/>
        <v>46183</v>
      </c>
      <c r="Y5" s="89">
        <f t="shared" si="0"/>
        <v>46184</v>
      </c>
      <c r="Z5" s="89">
        <f t="shared" si="0"/>
        <v>46185</v>
      </c>
      <c r="AA5" s="89">
        <f t="shared" si="0"/>
        <v>46186</v>
      </c>
      <c r="AB5" s="90">
        <f t="shared" si="0"/>
        <v>46187</v>
      </c>
      <c r="AC5" s="88">
        <f>AB5+1</f>
        <v>46188</v>
      </c>
      <c r="AD5" s="89">
        <f>AC5+1</f>
        <v>46189</v>
      </c>
      <c r="AE5" s="89">
        <f t="shared" si="0"/>
        <v>46190</v>
      </c>
      <c r="AF5" s="89">
        <f t="shared" si="0"/>
        <v>46191</v>
      </c>
      <c r="AG5" s="89">
        <f t="shared" si="0"/>
        <v>46192</v>
      </c>
      <c r="AH5" s="89">
        <f t="shared" si="0"/>
        <v>46193</v>
      </c>
      <c r="AI5" s="90">
        <f t="shared" si="0"/>
        <v>46194</v>
      </c>
      <c r="AJ5" s="88">
        <f>AI5+1</f>
        <v>46195</v>
      </c>
      <c r="AK5" s="89">
        <f>AJ5+1</f>
        <v>46196</v>
      </c>
      <c r="AL5" s="89">
        <f t="shared" si="0"/>
        <v>46197</v>
      </c>
      <c r="AM5" s="89">
        <f t="shared" si="0"/>
        <v>46198</v>
      </c>
      <c r="AN5" s="89">
        <f t="shared" si="0"/>
        <v>46199</v>
      </c>
      <c r="AO5" s="89">
        <f t="shared" si="0"/>
        <v>46200</v>
      </c>
      <c r="AP5" s="90">
        <f t="shared" si="0"/>
        <v>46201</v>
      </c>
      <c r="AQ5" s="88">
        <f>AP5+1</f>
        <v>46202</v>
      </c>
      <c r="AR5" s="89">
        <f>AQ5+1</f>
        <v>46203</v>
      </c>
      <c r="AS5" s="89">
        <f t="shared" si="0"/>
        <v>46204</v>
      </c>
      <c r="AT5" s="89">
        <f t="shared" si="0"/>
        <v>46205</v>
      </c>
      <c r="AU5" s="89">
        <f t="shared" si="0"/>
        <v>46206</v>
      </c>
      <c r="AV5" s="89">
        <f t="shared" si="0"/>
        <v>46207</v>
      </c>
      <c r="AW5" s="90">
        <f t="shared" si="0"/>
        <v>46208</v>
      </c>
      <c r="AX5" s="88">
        <f>AW5+1</f>
        <v>46209</v>
      </c>
      <c r="AY5" s="89">
        <f>AX5+1</f>
        <v>46210</v>
      </c>
      <c r="AZ5" s="89">
        <f t="shared" si="0"/>
        <v>46211</v>
      </c>
      <c r="BA5" s="89">
        <f t="shared" si="0"/>
        <v>46212</v>
      </c>
      <c r="BB5" s="89">
        <f t="shared" si="0"/>
        <v>46213</v>
      </c>
      <c r="BC5" s="89">
        <f t="shared" si="0"/>
        <v>46214</v>
      </c>
      <c r="BD5" s="90">
        <f t="shared" si="0"/>
        <v>46215</v>
      </c>
      <c r="BE5" s="88">
        <f t="shared" ref="BE5:BR5" si="1">BD5+1</f>
        <v>46216</v>
      </c>
      <c r="BF5" s="89">
        <f t="shared" si="1"/>
        <v>46217</v>
      </c>
      <c r="BG5" s="89">
        <f t="shared" si="1"/>
        <v>46218</v>
      </c>
      <c r="BH5" s="89">
        <f t="shared" si="1"/>
        <v>46219</v>
      </c>
      <c r="BI5" s="89">
        <f t="shared" si="1"/>
        <v>46220</v>
      </c>
      <c r="BJ5" s="89">
        <f t="shared" si="1"/>
        <v>46221</v>
      </c>
      <c r="BK5" s="90">
        <f t="shared" si="1"/>
        <v>46222</v>
      </c>
      <c r="BL5" s="88">
        <f t="shared" si="1"/>
        <v>46223</v>
      </c>
      <c r="BM5" s="89">
        <f t="shared" si="1"/>
        <v>46224</v>
      </c>
      <c r="BN5" s="89">
        <f t="shared" si="1"/>
        <v>46225</v>
      </c>
      <c r="BO5" s="89">
        <f t="shared" si="1"/>
        <v>46226</v>
      </c>
      <c r="BP5" s="89">
        <f t="shared" si="1"/>
        <v>46227</v>
      </c>
      <c r="BQ5" s="89">
        <f t="shared" si="1"/>
        <v>46228</v>
      </c>
      <c r="BR5" s="19">
        <f t="shared" si="1"/>
        <v>46229</v>
      </c>
    </row>
    <row r="6" spans="1:70" s="133" customFormat="1" ht="30" customHeight="1" thickBot="1" x14ac:dyDescent="0.4">
      <c r="A6" s="132" t="s">
        <v>5</v>
      </c>
      <c r="B6" s="159" t="s">
        <v>99</v>
      </c>
      <c r="C6" s="159" t="s">
        <v>100</v>
      </c>
      <c r="D6" s="159" t="s">
        <v>106</v>
      </c>
      <c r="E6" s="159" t="s">
        <v>105</v>
      </c>
      <c r="F6" s="159" t="s">
        <v>108</v>
      </c>
      <c r="G6" s="159" t="s">
        <v>12</v>
      </c>
      <c r="H6" s="159" t="s">
        <v>87</v>
      </c>
      <c r="I6" s="159" t="s">
        <v>75</v>
      </c>
      <c r="J6" s="159" t="s">
        <v>15</v>
      </c>
      <c r="K6" s="159" t="s">
        <v>16</v>
      </c>
      <c r="L6" s="159" t="s">
        <v>17</v>
      </c>
      <c r="M6" s="39"/>
      <c r="N6" s="51" t="s">
        <v>18</v>
      </c>
      <c r="O6" s="91" t="str">
        <f t="shared" ref="O6:BR6" si="2">LEFT(TEXT(O5,"ddd"),1)</f>
        <v>l</v>
      </c>
      <c r="P6" s="91" t="str">
        <f t="shared" si="2"/>
        <v>m</v>
      </c>
      <c r="Q6" s="91" t="str">
        <f t="shared" si="2"/>
        <v>m</v>
      </c>
      <c r="R6" s="91" t="str">
        <f t="shared" si="2"/>
        <v>j</v>
      </c>
      <c r="S6" s="91" t="str">
        <f t="shared" si="2"/>
        <v>v</v>
      </c>
      <c r="T6" s="91" t="str">
        <f t="shared" si="2"/>
        <v>s</v>
      </c>
      <c r="U6" s="91" t="str">
        <f t="shared" si="2"/>
        <v>d</v>
      </c>
      <c r="V6" s="91" t="str">
        <f t="shared" si="2"/>
        <v>l</v>
      </c>
      <c r="W6" s="91" t="str">
        <f t="shared" si="2"/>
        <v>m</v>
      </c>
      <c r="X6" s="91" t="str">
        <f t="shared" si="2"/>
        <v>m</v>
      </c>
      <c r="Y6" s="91" t="str">
        <f t="shared" si="2"/>
        <v>j</v>
      </c>
      <c r="Z6" s="91" t="str">
        <f t="shared" si="2"/>
        <v>v</v>
      </c>
      <c r="AA6" s="91" t="str">
        <f t="shared" si="2"/>
        <v>s</v>
      </c>
      <c r="AB6" s="91" t="str">
        <f t="shared" si="2"/>
        <v>d</v>
      </c>
      <c r="AC6" s="91" t="str">
        <f t="shared" si="2"/>
        <v>l</v>
      </c>
      <c r="AD6" s="91" t="str">
        <f t="shared" si="2"/>
        <v>m</v>
      </c>
      <c r="AE6" s="91" t="str">
        <f t="shared" si="2"/>
        <v>m</v>
      </c>
      <c r="AF6" s="91" t="str">
        <f t="shared" si="2"/>
        <v>j</v>
      </c>
      <c r="AG6" s="91" t="str">
        <f t="shared" si="2"/>
        <v>v</v>
      </c>
      <c r="AH6" s="91" t="str">
        <f t="shared" si="2"/>
        <v>s</v>
      </c>
      <c r="AI6" s="91" t="str">
        <f t="shared" si="2"/>
        <v>d</v>
      </c>
      <c r="AJ6" s="91" t="str">
        <f t="shared" si="2"/>
        <v>l</v>
      </c>
      <c r="AK6" s="91" t="str">
        <f t="shared" si="2"/>
        <v>m</v>
      </c>
      <c r="AL6" s="91" t="str">
        <f t="shared" si="2"/>
        <v>m</v>
      </c>
      <c r="AM6" s="91" t="str">
        <f t="shared" si="2"/>
        <v>j</v>
      </c>
      <c r="AN6" s="91" t="str">
        <f t="shared" si="2"/>
        <v>v</v>
      </c>
      <c r="AO6" s="91" t="str">
        <f t="shared" si="2"/>
        <v>s</v>
      </c>
      <c r="AP6" s="91" t="str">
        <f t="shared" si="2"/>
        <v>d</v>
      </c>
      <c r="AQ6" s="91" t="str">
        <f t="shared" si="2"/>
        <v>l</v>
      </c>
      <c r="AR6" s="91" t="str">
        <f t="shared" si="2"/>
        <v>m</v>
      </c>
      <c r="AS6" s="91" t="str">
        <f t="shared" si="2"/>
        <v>m</v>
      </c>
      <c r="AT6" s="91" t="str">
        <f t="shared" si="2"/>
        <v>j</v>
      </c>
      <c r="AU6" s="91" t="str">
        <f t="shared" si="2"/>
        <v>v</v>
      </c>
      <c r="AV6" s="91" t="str">
        <f t="shared" si="2"/>
        <v>s</v>
      </c>
      <c r="AW6" s="91" t="str">
        <f t="shared" si="2"/>
        <v>d</v>
      </c>
      <c r="AX6" s="91" t="str">
        <f t="shared" si="2"/>
        <v>l</v>
      </c>
      <c r="AY6" s="91" t="str">
        <f t="shared" si="2"/>
        <v>m</v>
      </c>
      <c r="AZ6" s="91" t="str">
        <f t="shared" si="2"/>
        <v>m</v>
      </c>
      <c r="BA6" s="91" t="str">
        <f t="shared" si="2"/>
        <v>j</v>
      </c>
      <c r="BB6" s="91" t="str">
        <f t="shared" si="2"/>
        <v>v</v>
      </c>
      <c r="BC6" s="91" t="str">
        <f t="shared" si="2"/>
        <v>s</v>
      </c>
      <c r="BD6" s="91" t="str">
        <f t="shared" si="2"/>
        <v>d</v>
      </c>
      <c r="BE6" s="91" t="str">
        <f t="shared" si="2"/>
        <v>l</v>
      </c>
      <c r="BF6" s="91" t="str">
        <f t="shared" si="2"/>
        <v>m</v>
      </c>
      <c r="BG6" s="91" t="str">
        <f t="shared" si="2"/>
        <v>m</v>
      </c>
      <c r="BH6" s="91" t="str">
        <f t="shared" si="2"/>
        <v>j</v>
      </c>
      <c r="BI6" s="91" t="str">
        <f t="shared" si="2"/>
        <v>v</v>
      </c>
      <c r="BJ6" s="91" t="str">
        <f t="shared" si="2"/>
        <v>s</v>
      </c>
      <c r="BK6" s="91" t="str">
        <f t="shared" si="2"/>
        <v>d</v>
      </c>
      <c r="BL6" s="91" t="str">
        <f t="shared" si="2"/>
        <v>l</v>
      </c>
      <c r="BM6" s="91" t="str">
        <f t="shared" si="2"/>
        <v>m</v>
      </c>
      <c r="BN6" s="91" t="str">
        <f t="shared" si="2"/>
        <v>m</v>
      </c>
      <c r="BO6" s="91" t="str">
        <f t="shared" si="2"/>
        <v>j</v>
      </c>
      <c r="BP6" s="91" t="str">
        <f t="shared" si="2"/>
        <v>v</v>
      </c>
      <c r="BQ6" s="91" t="str">
        <f t="shared" si="2"/>
        <v>s</v>
      </c>
      <c r="BR6" s="32" t="str">
        <f t="shared" si="2"/>
        <v>d</v>
      </c>
    </row>
    <row r="7" spans="1:70" ht="25" customHeight="1" x14ac:dyDescent="0.35">
      <c r="A7" s="121" t="s">
        <v>7</v>
      </c>
      <c r="B7" s="128"/>
      <c r="G7" s="52" t="s">
        <v>84</v>
      </c>
      <c r="H7" s="158">
        <v>0.05</v>
      </c>
      <c r="I7" s="161"/>
      <c r="J7" s="54">
        <f>+AVERAGE(J8:J8)</f>
        <v>0.2</v>
      </c>
      <c r="K7" s="55" t="s">
        <v>86</v>
      </c>
      <c r="L7" s="56">
        <f ca="1">TODAY()-MIN(K8)-139</f>
        <v>84</v>
      </c>
      <c r="M7" s="57"/>
      <c r="N7" s="58"/>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row>
    <row r="8" spans="1:70" ht="50" customHeight="1" thickBot="1" x14ac:dyDescent="0.4">
      <c r="A8" s="121" t="s">
        <v>8</v>
      </c>
      <c r="B8" s="128"/>
      <c r="C8" s="131" t="s">
        <v>101</v>
      </c>
      <c r="D8" s="134" t="s">
        <v>107</v>
      </c>
      <c r="E8" s="135">
        <v>1</v>
      </c>
      <c r="F8" s="136">
        <v>46203</v>
      </c>
      <c r="G8" s="74" t="s">
        <v>88</v>
      </c>
      <c r="H8" s="151"/>
      <c r="I8" s="163" t="s">
        <v>89</v>
      </c>
      <c r="J8" s="71">
        <v>0.2</v>
      </c>
      <c r="K8" s="65">
        <f>Inicio_del_proyecto</f>
        <v>45958</v>
      </c>
      <c r="L8" s="76">
        <f>IF(F8="",WORKDAY(L7,5),F8)</f>
        <v>46203</v>
      </c>
      <c r="M8" s="66"/>
      <c r="N8" s="67">
        <f t="shared" ref="N8:N55" si="3">IF(OR(ISBLANK(task_start),ISBLANK(task_end)),"",task_end-task_start+1)</f>
        <v>246</v>
      </c>
      <c r="O8" s="64"/>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row>
    <row r="9" spans="1:70" ht="25" customHeight="1" thickBot="1" x14ac:dyDescent="0.4">
      <c r="A9" s="121" t="s">
        <v>10</v>
      </c>
      <c r="B9" s="128"/>
      <c r="G9" s="59" t="s">
        <v>85</v>
      </c>
      <c r="H9" s="138">
        <v>0.35</v>
      </c>
      <c r="I9" s="162"/>
      <c r="J9" s="60">
        <f>+AVERAGE(J10:J19)</f>
        <v>0.44000000000000006</v>
      </c>
      <c r="K9" s="63" t="str">
        <f>+$K$7</f>
        <v>Días Transcurridos=</v>
      </c>
      <c r="L9" s="56">
        <f ca="1">TODAY()-MIN(K10:K21)-139</f>
        <v>84</v>
      </c>
      <c r="M9" s="62"/>
      <c r="N9" s="69"/>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row>
    <row r="10" spans="1:70" ht="25" customHeight="1" thickBot="1" x14ac:dyDescent="0.4">
      <c r="A10" s="121"/>
      <c r="B10" s="128"/>
      <c r="D10" s="134" t="s">
        <v>135</v>
      </c>
      <c r="E10" s="135">
        <v>1</v>
      </c>
      <c r="F10" s="136">
        <v>46192</v>
      </c>
      <c r="G10" s="70" t="s">
        <v>78</v>
      </c>
      <c r="H10" s="144"/>
      <c r="I10" s="163" t="s">
        <v>36</v>
      </c>
      <c r="J10" s="71">
        <v>0.9</v>
      </c>
      <c r="K10" s="72">
        <v>45958</v>
      </c>
      <c r="L10" s="76">
        <f t="shared" ref="L10:L21" si="4">IF(F10="",WORKDAY(L9,5),F10)</f>
        <v>46192</v>
      </c>
      <c r="M10" s="73"/>
      <c r="N10" s="48">
        <f t="shared" si="3"/>
        <v>235</v>
      </c>
      <c r="O10" s="64"/>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row>
    <row r="11" spans="1:70" ht="25" customHeight="1" thickBot="1" x14ac:dyDescent="0.4">
      <c r="B11" s="137" t="s">
        <v>132</v>
      </c>
      <c r="C11" s="157" t="s">
        <v>131</v>
      </c>
      <c r="D11" s="134" t="str">
        <f>+$D$10</f>
        <v>Quincenal</v>
      </c>
      <c r="E11" s="135">
        <v>1</v>
      </c>
      <c r="F11" s="136">
        <v>46192</v>
      </c>
      <c r="G11" s="74" t="s">
        <v>133</v>
      </c>
      <c r="H11" s="143"/>
      <c r="I11" s="164" t="s">
        <v>36</v>
      </c>
      <c r="J11" s="75">
        <v>0.75</v>
      </c>
      <c r="K11" s="76">
        <v>45958</v>
      </c>
      <c r="L11" s="76">
        <f t="shared" si="4"/>
        <v>46192</v>
      </c>
      <c r="M11" s="77"/>
      <c r="N11" s="78">
        <f t="shared" si="3"/>
        <v>235</v>
      </c>
      <c r="O11" s="68"/>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row>
    <row r="12" spans="1:70" ht="25" customHeight="1" thickBot="1" x14ac:dyDescent="0.4">
      <c r="B12" s="137"/>
      <c r="C12" s="157"/>
      <c r="D12" s="134" t="str">
        <f t="shared" ref="D12:D21" si="5">+$D$10</f>
        <v>Quincenal</v>
      </c>
      <c r="E12" s="135">
        <v>1</v>
      </c>
      <c r="F12" s="136">
        <v>46192</v>
      </c>
      <c r="G12" s="70" t="s">
        <v>134</v>
      </c>
      <c r="H12" s="144"/>
      <c r="I12" s="163" t="s">
        <v>36</v>
      </c>
      <c r="J12" s="71">
        <v>0.75</v>
      </c>
      <c r="K12" s="72">
        <v>45978</v>
      </c>
      <c r="L12" s="76">
        <f t="shared" si="4"/>
        <v>46192</v>
      </c>
      <c r="M12" s="73"/>
      <c r="N12" s="48">
        <f t="shared" si="3"/>
        <v>215</v>
      </c>
      <c r="O12" s="68"/>
      <c r="P12" s="6"/>
      <c r="Q12" s="6"/>
      <c r="R12" s="6"/>
      <c r="S12" s="6"/>
      <c r="T12" s="6"/>
      <c r="U12" s="6"/>
      <c r="V12" s="6"/>
      <c r="W12" s="6"/>
      <c r="X12" s="6"/>
      <c r="Y12" s="6"/>
      <c r="Z12" s="6"/>
      <c r="AA12" s="6"/>
      <c r="AB12" s="6"/>
      <c r="AC12" s="6"/>
      <c r="AD12" s="6"/>
      <c r="AE12" s="7"/>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row>
    <row r="13" spans="1:70" ht="25" customHeight="1" thickBot="1" x14ac:dyDescent="0.4">
      <c r="C13" s="131" t="s">
        <v>103</v>
      </c>
      <c r="D13" s="134" t="str">
        <f t="shared" si="5"/>
        <v>Quincenal</v>
      </c>
      <c r="E13" s="135">
        <v>1</v>
      </c>
      <c r="F13" s="136">
        <v>46192</v>
      </c>
      <c r="G13" s="74" t="s">
        <v>90</v>
      </c>
      <c r="H13" s="143"/>
      <c r="I13" s="164" t="s">
        <v>36</v>
      </c>
      <c r="J13" s="75">
        <v>0.5</v>
      </c>
      <c r="K13" s="76">
        <v>46345</v>
      </c>
      <c r="L13" s="76">
        <f t="shared" si="4"/>
        <v>46192</v>
      </c>
      <c r="M13" s="77"/>
      <c r="N13" s="78"/>
      <c r="O13" s="68"/>
      <c r="P13" s="6"/>
      <c r="Q13" s="6"/>
      <c r="R13" s="6"/>
      <c r="S13" s="6"/>
      <c r="T13" s="6"/>
      <c r="U13" s="6"/>
      <c r="V13" s="6"/>
      <c r="W13" s="6"/>
      <c r="X13" s="6"/>
      <c r="Y13" s="6"/>
      <c r="Z13" s="6"/>
      <c r="AA13" s="6"/>
      <c r="AB13" s="6"/>
      <c r="AC13" s="6"/>
      <c r="AD13" s="6"/>
      <c r="AE13" s="7"/>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row>
    <row r="14" spans="1:70" ht="25" customHeight="1" thickBot="1" x14ac:dyDescent="0.4">
      <c r="D14" s="134" t="str">
        <f t="shared" si="5"/>
        <v>Quincenal</v>
      </c>
      <c r="E14" s="135"/>
      <c r="F14" s="136"/>
      <c r="G14" s="70" t="s">
        <v>91</v>
      </c>
      <c r="H14" s="144"/>
      <c r="I14" s="163" t="s">
        <v>36</v>
      </c>
      <c r="J14" s="71">
        <v>0.2</v>
      </c>
      <c r="K14" s="72">
        <v>45959</v>
      </c>
      <c r="L14" s="76">
        <f t="shared" si="4"/>
        <v>46199</v>
      </c>
      <c r="M14" s="73"/>
      <c r="N14" s="48">
        <f t="shared" si="3"/>
        <v>241</v>
      </c>
      <c r="O14" s="68"/>
      <c r="P14" s="6"/>
      <c r="Q14" s="6"/>
      <c r="R14" s="6"/>
      <c r="S14" s="6"/>
      <c r="T14" s="6"/>
      <c r="U14" s="6"/>
      <c r="V14" s="6"/>
      <c r="W14" s="6"/>
      <c r="X14" s="6"/>
      <c r="Y14" s="6"/>
      <c r="Z14" s="6"/>
      <c r="AA14" s="7"/>
      <c r="AB14" s="7"/>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row>
    <row r="15" spans="1:70" ht="25" customHeight="1" thickBot="1" x14ac:dyDescent="0.4">
      <c r="A15" s="121"/>
      <c r="B15" s="128"/>
      <c r="C15" s="131" t="s">
        <v>102</v>
      </c>
      <c r="D15" s="134" t="str">
        <f t="shared" si="5"/>
        <v>Quincenal</v>
      </c>
      <c r="E15" s="135">
        <v>1</v>
      </c>
      <c r="F15" s="136">
        <v>46192</v>
      </c>
      <c r="G15" s="74" t="s">
        <v>110</v>
      </c>
      <c r="H15" s="143"/>
      <c r="I15" s="164" t="s">
        <v>36</v>
      </c>
      <c r="J15" s="75">
        <v>0.65</v>
      </c>
      <c r="K15" s="76">
        <v>45992</v>
      </c>
      <c r="L15" s="76">
        <f t="shared" si="4"/>
        <v>46192</v>
      </c>
      <c r="M15" s="77"/>
      <c r="N15" s="78">
        <f t="shared" si="3"/>
        <v>201</v>
      </c>
      <c r="O15" s="68"/>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row>
    <row r="16" spans="1:70" ht="25" customHeight="1" thickBot="1" x14ac:dyDescent="0.4">
      <c r="A16" s="121"/>
      <c r="B16" s="155" t="s">
        <v>130</v>
      </c>
      <c r="C16" s="155" t="s">
        <v>104</v>
      </c>
      <c r="D16" s="134" t="str">
        <f t="shared" si="5"/>
        <v>Quincenal</v>
      </c>
      <c r="E16" s="135">
        <v>1</v>
      </c>
      <c r="F16" s="136">
        <v>46192</v>
      </c>
      <c r="G16" s="74" t="s">
        <v>109</v>
      </c>
      <c r="H16" s="143"/>
      <c r="I16" s="164" t="s">
        <v>36</v>
      </c>
      <c r="J16" s="75">
        <v>0.65</v>
      </c>
      <c r="K16" s="76">
        <v>45992</v>
      </c>
      <c r="L16" s="76">
        <f t="shared" si="4"/>
        <v>46192</v>
      </c>
      <c r="M16" s="77"/>
      <c r="N16" s="78">
        <f t="shared" si="3"/>
        <v>201</v>
      </c>
      <c r="O16" s="68"/>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row>
    <row r="17" spans="1:70" ht="25" customHeight="1" thickBot="1" x14ac:dyDescent="0.4">
      <c r="A17" s="121"/>
      <c r="B17" s="156"/>
      <c r="C17" s="131" t="s">
        <v>128</v>
      </c>
      <c r="D17" s="134" t="str">
        <f t="shared" si="5"/>
        <v>Quincenal</v>
      </c>
      <c r="E17" s="135"/>
      <c r="F17" s="136"/>
      <c r="G17" s="70" t="s">
        <v>77</v>
      </c>
      <c r="H17" s="144"/>
      <c r="I17" s="163" t="s">
        <v>36</v>
      </c>
      <c r="J17" s="71">
        <v>0</v>
      </c>
      <c r="K17" s="72">
        <f>+L14+1</f>
        <v>46200</v>
      </c>
      <c r="L17" s="76">
        <f>IF(F17="",WORKDAY(MAX(L10:L16),5),F17)</f>
        <v>46206</v>
      </c>
      <c r="M17" s="73"/>
      <c r="N17" s="48">
        <f t="shared" si="3"/>
        <v>7</v>
      </c>
      <c r="O17" s="68"/>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row>
    <row r="18" spans="1:70" ht="25" customHeight="1" thickBot="1" x14ac:dyDescent="0.4">
      <c r="B18" s="156"/>
      <c r="D18" s="134" t="str">
        <f t="shared" si="5"/>
        <v>Quincenal</v>
      </c>
      <c r="E18" s="135"/>
      <c r="F18" s="136"/>
      <c r="G18" s="74" t="s">
        <v>62</v>
      </c>
      <c r="H18" s="143"/>
      <c r="I18" s="164" t="s">
        <v>36</v>
      </c>
      <c r="J18" s="75">
        <v>0</v>
      </c>
      <c r="K18" s="76">
        <f>+L12+1</f>
        <v>46193</v>
      </c>
      <c r="L18" s="76">
        <f>IF(F18="",WORKDAY(MAX(L11:L17),5),F18)</f>
        <v>46213</v>
      </c>
      <c r="M18" s="77"/>
      <c r="N18" s="78">
        <f t="shared" si="3"/>
        <v>21</v>
      </c>
      <c r="O18" s="68"/>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row>
    <row r="19" spans="1:70" ht="25" customHeight="1" thickBot="1" x14ac:dyDescent="0.4">
      <c r="A19" s="121"/>
      <c r="B19" s="137" t="s">
        <v>129</v>
      </c>
      <c r="C19" s="137" t="s">
        <v>123</v>
      </c>
      <c r="D19" s="134" t="str">
        <f t="shared" si="5"/>
        <v>Quincenal</v>
      </c>
      <c r="E19" s="135">
        <v>1</v>
      </c>
      <c r="F19" s="136">
        <v>46192</v>
      </c>
      <c r="G19" s="70" t="s">
        <v>122</v>
      </c>
      <c r="H19" s="144"/>
      <c r="I19" s="163" t="s">
        <v>36</v>
      </c>
      <c r="J19" s="71">
        <v>0</v>
      </c>
      <c r="K19" s="72">
        <v>46182</v>
      </c>
      <c r="L19" s="76">
        <f>IF(F19="",WORKDAY(MAX(L10:L18),5),F19)</f>
        <v>46192</v>
      </c>
      <c r="M19" s="73"/>
      <c r="N19" s="48">
        <f t="shared" si="3"/>
        <v>11</v>
      </c>
      <c r="O19" s="68"/>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row>
    <row r="20" spans="1:70" ht="25" customHeight="1" thickBot="1" x14ac:dyDescent="0.4">
      <c r="A20" s="121"/>
      <c r="B20" s="137"/>
      <c r="C20" s="137"/>
      <c r="D20" s="134" t="str">
        <f t="shared" si="5"/>
        <v>Quincenal</v>
      </c>
      <c r="E20" s="135"/>
      <c r="F20" s="136"/>
      <c r="G20" s="74" t="s">
        <v>98</v>
      </c>
      <c r="H20" s="143"/>
      <c r="I20" s="164" t="s">
        <v>36</v>
      </c>
      <c r="J20" s="75">
        <v>0</v>
      </c>
      <c r="K20" s="76">
        <f>+L19+1</f>
        <v>46193</v>
      </c>
      <c r="L20" s="76">
        <f>IF(F20="",WORKDAY(MAX(L13:L19),5),F20)</f>
        <v>46220</v>
      </c>
      <c r="M20" s="77"/>
      <c r="N20" s="78">
        <f t="shared" si="3"/>
        <v>28</v>
      </c>
      <c r="O20" s="68"/>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row>
    <row r="21" spans="1:70" ht="25" customHeight="1" thickBot="1" x14ac:dyDescent="0.4">
      <c r="A21" s="121"/>
      <c r="B21" s="137"/>
      <c r="C21" s="137"/>
      <c r="D21" s="134" t="str">
        <f t="shared" si="5"/>
        <v>Quincenal</v>
      </c>
      <c r="E21" s="135"/>
      <c r="F21" s="136"/>
      <c r="G21" s="70" t="s">
        <v>124</v>
      </c>
      <c r="H21" s="146"/>
      <c r="I21" s="163" t="s">
        <v>36</v>
      </c>
      <c r="J21" s="71">
        <v>0</v>
      </c>
      <c r="K21" s="72">
        <f>+L20+1</f>
        <v>46221</v>
      </c>
      <c r="L21" s="76">
        <f>IF(F21="",WORKDAY(MAX(L14:L20),5),F21)</f>
        <v>46227</v>
      </c>
      <c r="M21" s="73"/>
      <c r="N21" s="48">
        <f t="shared" si="3"/>
        <v>7</v>
      </c>
      <c r="O21" s="68"/>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row>
    <row r="22" spans="1:70" ht="25" customHeight="1" thickBot="1" x14ac:dyDescent="0.4">
      <c r="A22" s="14" t="s">
        <v>11</v>
      </c>
      <c r="G22" s="59" t="s">
        <v>136</v>
      </c>
      <c r="H22" s="138">
        <v>0.25</v>
      </c>
      <c r="I22" s="162"/>
      <c r="J22" s="60">
        <f>+AVERAGE(J23:J26)</f>
        <v>0.875</v>
      </c>
      <c r="K22" s="63" t="str">
        <f>+$K$7</f>
        <v>Días Transcurridos=</v>
      </c>
      <c r="L22" s="56">
        <f ca="1">TODAY()-MIN(K23:K26)</f>
        <v>4</v>
      </c>
      <c r="M22" s="62"/>
      <c r="N22" s="69"/>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row>
    <row r="23" spans="1:70" ht="25" customHeight="1" thickBot="1" x14ac:dyDescent="0.4">
      <c r="A23" s="121" t="s">
        <v>9</v>
      </c>
      <c r="B23" s="128"/>
      <c r="D23" s="134" t="s">
        <v>111</v>
      </c>
      <c r="E23" s="135">
        <v>1</v>
      </c>
      <c r="F23" s="136">
        <v>46185</v>
      </c>
      <c r="G23" s="74" t="s">
        <v>120</v>
      </c>
      <c r="H23" s="139"/>
      <c r="I23" s="164" t="s">
        <v>36</v>
      </c>
      <c r="J23" s="75">
        <v>0.9</v>
      </c>
      <c r="K23" s="76">
        <v>46182</v>
      </c>
      <c r="L23" s="76">
        <f>IF(F23="",WORKDAY(L22,5),F23)</f>
        <v>46185</v>
      </c>
      <c r="M23" s="77"/>
      <c r="N23" s="78">
        <f t="shared" si="3"/>
        <v>4</v>
      </c>
      <c r="O23" s="68"/>
      <c r="P23" s="6"/>
      <c r="Q23" s="6"/>
      <c r="R23" s="6"/>
      <c r="S23" s="6"/>
      <c r="T23" s="6"/>
      <c r="U23" s="6"/>
      <c r="V23" s="6"/>
      <c r="W23" s="6"/>
      <c r="X23" s="6"/>
      <c r="Y23" s="6"/>
      <c r="Z23" s="6"/>
      <c r="AA23" s="7"/>
      <c r="AB23" s="7"/>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row>
    <row r="24" spans="1:70" ht="25" customHeight="1" thickBot="1" x14ac:dyDescent="0.4">
      <c r="A24" s="121" t="s">
        <v>9</v>
      </c>
      <c r="B24" s="128"/>
      <c r="D24" s="134" t="str">
        <f>+$D$23</f>
        <v>Semanal</v>
      </c>
      <c r="E24" s="135">
        <v>1</v>
      </c>
      <c r="F24" s="136">
        <v>46185</v>
      </c>
      <c r="G24" s="74" t="s">
        <v>119</v>
      </c>
      <c r="H24" s="139"/>
      <c r="I24" s="164" t="s">
        <v>36</v>
      </c>
      <c r="J24" s="75">
        <v>0.9</v>
      </c>
      <c r="K24" s="76">
        <v>46177</v>
      </c>
      <c r="L24" s="76">
        <f>IF(F24="",WORKDAY(MAX(L23:L26),5),F24)</f>
        <v>46185</v>
      </c>
      <c r="M24" s="77"/>
      <c r="N24" s="78">
        <f t="shared" si="3"/>
        <v>9</v>
      </c>
      <c r="O24" s="68"/>
      <c r="P24" s="6"/>
      <c r="Q24" s="6"/>
      <c r="R24" s="6"/>
      <c r="S24" s="6"/>
      <c r="T24" s="6"/>
      <c r="U24" s="6"/>
      <c r="V24" s="6"/>
      <c r="W24" s="6"/>
      <c r="X24" s="6"/>
      <c r="Y24" s="6"/>
      <c r="Z24" s="6"/>
      <c r="AA24" s="7"/>
      <c r="AB24" s="7"/>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row>
    <row r="25" spans="1:70" ht="25" customHeight="1" thickBot="1" x14ac:dyDescent="0.4">
      <c r="A25" s="121" t="s">
        <v>9</v>
      </c>
      <c r="B25" s="128"/>
      <c r="D25" s="134" t="str">
        <f>+$D$23</f>
        <v>Semanal</v>
      </c>
      <c r="E25" s="135">
        <v>1</v>
      </c>
      <c r="F25" s="136">
        <v>46185</v>
      </c>
      <c r="G25" s="74" t="s">
        <v>121</v>
      </c>
      <c r="H25" s="139"/>
      <c r="I25" s="164" t="s">
        <v>36</v>
      </c>
      <c r="J25" s="75">
        <v>0.9</v>
      </c>
      <c r="K25" s="76">
        <v>46177</v>
      </c>
      <c r="L25" s="76">
        <f>IF(F25="",WORKDAY(MAX($L$23:$L$26),5),F25)</f>
        <v>46185</v>
      </c>
      <c r="M25" s="77"/>
      <c r="N25" s="78">
        <f t="shared" si="3"/>
        <v>9</v>
      </c>
      <c r="O25" s="68"/>
      <c r="P25" s="6"/>
      <c r="Q25" s="6"/>
      <c r="R25" s="6"/>
      <c r="S25" s="6"/>
      <c r="T25" s="6"/>
      <c r="U25" s="6"/>
      <c r="V25" s="6"/>
      <c r="W25" s="6"/>
      <c r="X25" s="6"/>
      <c r="Y25" s="6"/>
      <c r="Z25" s="6"/>
      <c r="AA25" s="7"/>
      <c r="AB25" s="7"/>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row>
    <row r="26" spans="1:70" ht="25" customHeight="1" thickBot="1" x14ac:dyDescent="0.4">
      <c r="A26" s="121" t="s">
        <v>9</v>
      </c>
      <c r="B26" s="128"/>
      <c r="D26" s="134"/>
      <c r="E26" s="135"/>
      <c r="F26" s="136"/>
      <c r="G26" s="74" t="s">
        <v>142</v>
      </c>
      <c r="H26" s="139"/>
      <c r="I26" s="164" t="s">
        <v>36</v>
      </c>
      <c r="J26" s="75">
        <v>0.8</v>
      </c>
      <c r="K26" s="76">
        <v>46185</v>
      </c>
      <c r="L26" s="76">
        <f>IF(F26="",WORKDAY(MAX($L$23:$L$25),5),F26)</f>
        <v>46192</v>
      </c>
      <c r="M26" s="77"/>
      <c r="N26" s="78">
        <f t="shared" si="3"/>
        <v>8</v>
      </c>
      <c r="O26" s="68"/>
      <c r="P26" s="6"/>
      <c r="Q26" s="6"/>
      <c r="R26" s="6"/>
      <c r="S26" s="6"/>
      <c r="T26" s="6"/>
      <c r="U26" s="6"/>
      <c r="V26" s="6"/>
      <c r="W26" s="6"/>
      <c r="X26" s="6"/>
      <c r="Y26" s="6"/>
      <c r="Z26" s="6"/>
      <c r="AA26" s="7"/>
      <c r="AB26" s="7"/>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row>
    <row r="27" spans="1:70" ht="25" customHeight="1" thickBot="1" x14ac:dyDescent="0.4">
      <c r="A27" s="14" t="s">
        <v>11</v>
      </c>
      <c r="G27" s="59" t="s">
        <v>137</v>
      </c>
      <c r="H27" s="139"/>
      <c r="I27" s="162"/>
      <c r="J27" s="60">
        <f>+AVERAGE(J39:J49)</f>
        <v>0.37575757575757573</v>
      </c>
      <c r="K27" s="63" t="str">
        <f>+$K$7</f>
        <v>Días Transcurridos=</v>
      </c>
      <c r="L27" s="56">
        <f ca="1">TODAY()-MIN(K28:K35)-139</f>
        <v>50</v>
      </c>
      <c r="M27" s="62"/>
      <c r="N27" s="69"/>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row>
    <row r="28" spans="1:70" ht="25" customHeight="1" thickBot="1" x14ac:dyDescent="0.4">
      <c r="A28" s="121" t="s">
        <v>9</v>
      </c>
      <c r="B28" s="128"/>
      <c r="D28" s="134" t="s">
        <v>111</v>
      </c>
      <c r="E28" s="135">
        <v>1</v>
      </c>
      <c r="F28" s="136">
        <v>46185</v>
      </c>
      <c r="G28" s="74" t="s">
        <v>114</v>
      </c>
      <c r="H28" s="139"/>
      <c r="I28" s="164" t="s">
        <v>36</v>
      </c>
      <c r="J28" s="75">
        <v>0.9</v>
      </c>
      <c r="K28" s="76">
        <v>46181</v>
      </c>
      <c r="L28" s="76">
        <f t="shared" ref="L28:L33" si="6">IF(F28="",WORKDAY(L27,5),F28)</f>
        <v>46185</v>
      </c>
      <c r="M28" s="77"/>
      <c r="N28" s="78">
        <f t="shared" si="3"/>
        <v>5</v>
      </c>
      <c r="O28" s="68"/>
      <c r="P28" s="6"/>
      <c r="Q28" s="6"/>
      <c r="R28" s="6"/>
      <c r="S28" s="6"/>
      <c r="T28" s="6"/>
      <c r="U28" s="6"/>
      <c r="V28" s="6"/>
      <c r="W28" s="6"/>
      <c r="X28" s="6"/>
      <c r="Y28" s="6"/>
      <c r="Z28" s="6"/>
      <c r="AA28" s="7"/>
      <c r="AB28" s="7"/>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row>
    <row r="29" spans="1:70" ht="25" customHeight="1" thickBot="1" x14ac:dyDescent="0.4">
      <c r="A29" s="121" t="s">
        <v>9</v>
      </c>
      <c r="B29" s="128"/>
      <c r="D29" s="134" t="str">
        <f>+$D$28</f>
        <v>Semanal</v>
      </c>
      <c r="E29" s="135">
        <v>1</v>
      </c>
      <c r="F29" s="136">
        <v>46185</v>
      </c>
      <c r="G29" s="74" t="s">
        <v>141</v>
      </c>
      <c r="H29" s="139"/>
      <c r="I29" s="164" t="s">
        <v>36</v>
      </c>
      <c r="J29" s="75">
        <v>0.9</v>
      </c>
      <c r="K29" s="76">
        <v>45992</v>
      </c>
      <c r="L29" s="76">
        <f t="shared" si="6"/>
        <v>46185</v>
      </c>
      <c r="M29" s="77"/>
      <c r="N29" s="78">
        <f t="shared" si="3"/>
        <v>194</v>
      </c>
      <c r="O29" s="68"/>
      <c r="P29" s="6"/>
      <c r="Q29" s="6"/>
      <c r="R29" s="6"/>
      <c r="S29" s="6"/>
      <c r="T29" s="6"/>
      <c r="U29" s="6"/>
      <c r="V29" s="6"/>
      <c r="W29" s="6"/>
      <c r="X29" s="6"/>
      <c r="Y29" s="6"/>
      <c r="Z29" s="6"/>
      <c r="AA29" s="7"/>
      <c r="AB29" s="7"/>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ht="25" customHeight="1" thickBot="1" x14ac:dyDescent="0.4">
      <c r="A30" s="121" t="s">
        <v>9</v>
      </c>
      <c r="B30" s="128"/>
      <c r="D30" s="134" t="str">
        <f t="shared" ref="D30:D35" si="7">+$D$28</f>
        <v>Semanal</v>
      </c>
      <c r="E30" s="135">
        <v>1</v>
      </c>
      <c r="F30" s="136">
        <v>46185</v>
      </c>
      <c r="G30" s="74" t="s">
        <v>140</v>
      </c>
      <c r="H30" s="139"/>
      <c r="I30" s="164" t="s">
        <v>36</v>
      </c>
      <c r="J30" s="75">
        <v>0.9</v>
      </c>
      <c r="K30" s="76">
        <v>45992</v>
      </c>
      <c r="L30" s="76">
        <f t="shared" si="6"/>
        <v>46185</v>
      </c>
      <c r="M30" s="77"/>
      <c r="N30" s="78">
        <f t="shared" si="3"/>
        <v>194</v>
      </c>
      <c r="O30" s="68"/>
      <c r="P30" s="6"/>
      <c r="Q30" s="6"/>
      <c r="R30" s="6"/>
      <c r="S30" s="6"/>
      <c r="T30" s="6"/>
      <c r="U30" s="6"/>
      <c r="V30" s="6"/>
      <c r="W30" s="6"/>
      <c r="X30" s="6"/>
      <c r="Y30" s="6"/>
      <c r="Z30" s="6"/>
      <c r="AA30" s="7"/>
      <c r="AB30" s="7"/>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row>
    <row r="31" spans="1:70" ht="25" customHeight="1" thickBot="1" x14ac:dyDescent="0.4">
      <c r="A31" s="121" t="s">
        <v>9</v>
      </c>
      <c r="B31" s="128"/>
      <c r="D31" s="134" t="str">
        <f t="shared" si="7"/>
        <v>Semanal</v>
      </c>
      <c r="E31" s="135">
        <v>1</v>
      </c>
      <c r="F31" s="136">
        <v>46185</v>
      </c>
      <c r="G31" s="74" t="s">
        <v>125</v>
      </c>
      <c r="H31" s="139"/>
      <c r="I31" s="164" t="s">
        <v>36</v>
      </c>
      <c r="J31" s="75">
        <v>0.9</v>
      </c>
      <c r="K31" s="76">
        <v>46023</v>
      </c>
      <c r="L31" s="76">
        <f>IF(F31="",WORKDAY(L30,5),F31)</f>
        <v>46185</v>
      </c>
      <c r="M31" s="77"/>
      <c r="N31" s="78">
        <f t="shared" si="3"/>
        <v>163</v>
      </c>
      <c r="O31" s="68"/>
      <c r="P31" s="6"/>
      <c r="Q31" s="6"/>
      <c r="R31" s="6"/>
      <c r="S31" s="6"/>
      <c r="T31" s="6"/>
      <c r="U31" s="6"/>
      <c r="V31" s="6"/>
      <c r="W31" s="6"/>
      <c r="X31" s="6"/>
      <c r="Y31" s="6"/>
      <c r="Z31" s="6"/>
      <c r="AA31" s="7"/>
      <c r="AB31" s="7"/>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row>
    <row r="32" spans="1:70" ht="25" customHeight="1" thickBot="1" x14ac:dyDescent="0.4">
      <c r="D32" s="134" t="str">
        <f t="shared" si="7"/>
        <v>Semanal</v>
      </c>
      <c r="E32" s="135"/>
      <c r="F32" s="136"/>
      <c r="G32" s="70" t="s">
        <v>144</v>
      </c>
      <c r="H32" s="139"/>
      <c r="I32" s="163" t="s">
        <v>36</v>
      </c>
      <c r="J32" s="71">
        <v>0.6</v>
      </c>
      <c r="K32" s="72">
        <v>46188</v>
      </c>
      <c r="L32" s="76">
        <f>IF(F32="",WORKDAY(L30,5),F32)</f>
        <v>46192</v>
      </c>
      <c r="M32" s="73"/>
      <c r="N32" s="48">
        <f t="shared" si="3"/>
        <v>5</v>
      </c>
      <c r="O32" s="68"/>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row>
    <row r="33" spans="1:70" ht="25" customHeight="1" thickBot="1" x14ac:dyDescent="0.4">
      <c r="D33" s="134" t="str">
        <f t="shared" si="7"/>
        <v>Semanal</v>
      </c>
      <c r="E33" s="135"/>
      <c r="F33" s="136"/>
      <c r="G33" s="74" t="s">
        <v>143</v>
      </c>
      <c r="H33" s="139"/>
      <c r="I33" s="164" t="s">
        <v>36</v>
      </c>
      <c r="J33" s="75">
        <v>0.6</v>
      </c>
      <c r="K33" s="72">
        <v>46192</v>
      </c>
      <c r="L33" s="76">
        <f t="shared" si="6"/>
        <v>46199</v>
      </c>
      <c r="M33" s="77"/>
      <c r="N33" s="78">
        <f t="shared" si="3"/>
        <v>8</v>
      </c>
      <c r="O33" s="68"/>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row>
    <row r="34" spans="1:70" ht="25" customHeight="1" thickBot="1" x14ac:dyDescent="0.4">
      <c r="D34" s="134" t="str">
        <f t="shared" si="7"/>
        <v>Semanal</v>
      </c>
      <c r="E34" s="135"/>
      <c r="F34" s="136"/>
      <c r="G34" s="70" t="s">
        <v>127</v>
      </c>
      <c r="H34" s="139"/>
      <c r="I34" s="163" t="s">
        <v>36</v>
      </c>
      <c r="J34" s="71">
        <v>0.5</v>
      </c>
      <c r="K34" s="72">
        <v>46188</v>
      </c>
      <c r="L34" s="76">
        <f>IF(F34="",WORKDAY(L32,5),F34)</f>
        <v>46199</v>
      </c>
      <c r="M34" s="73"/>
      <c r="N34" s="48">
        <f t="shared" si="3"/>
        <v>12</v>
      </c>
      <c r="O34" s="68"/>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row>
    <row r="35" spans="1:70" ht="25" customHeight="1" thickBot="1" x14ac:dyDescent="0.4">
      <c r="D35" s="134" t="str">
        <f t="shared" si="7"/>
        <v>Semanal</v>
      </c>
      <c r="E35" s="135"/>
      <c r="F35" s="136"/>
      <c r="G35" s="70" t="s">
        <v>126</v>
      </c>
      <c r="H35" s="139"/>
      <c r="I35" s="163" t="s">
        <v>36</v>
      </c>
      <c r="J35" s="71">
        <v>0.5</v>
      </c>
      <c r="K35" s="72">
        <v>46192</v>
      </c>
      <c r="L35" s="76">
        <f>IF(F35="",WORKDAY(L33,5),F35)</f>
        <v>46206</v>
      </c>
      <c r="M35" s="73"/>
      <c r="N35" s="48">
        <f t="shared" si="3"/>
        <v>15</v>
      </c>
      <c r="O35" s="68"/>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row>
    <row r="36" spans="1:70" ht="25" customHeight="1" thickBot="1" x14ac:dyDescent="0.4">
      <c r="A36" s="14" t="s">
        <v>11</v>
      </c>
      <c r="G36" s="59" t="s">
        <v>115</v>
      </c>
      <c r="H36" s="139"/>
      <c r="I36" s="162"/>
      <c r="J36" s="60">
        <f>+AVERAGE(J46:J56)</f>
        <v>0.16666666666666669</v>
      </c>
      <c r="K36" s="63" t="str">
        <f>+$K$7</f>
        <v>Días Transcurridos=</v>
      </c>
      <c r="L36" s="61">
        <f ca="1">+TODAY()-MIN($K$37:$K$47)-139</f>
        <v>50</v>
      </c>
      <c r="M36" s="62"/>
      <c r="N36" s="69"/>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row>
    <row r="37" spans="1:70" ht="25" customHeight="1" thickBot="1" x14ac:dyDescent="0.4">
      <c r="C37" s="131" t="s">
        <v>117</v>
      </c>
      <c r="D37" s="134" t="s">
        <v>111</v>
      </c>
      <c r="E37" s="135">
        <v>1</v>
      </c>
      <c r="F37" s="136">
        <v>46185</v>
      </c>
      <c r="G37" s="168" t="s">
        <v>116</v>
      </c>
      <c r="H37" s="140"/>
      <c r="I37" s="163" t="s">
        <v>36</v>
      </c>
      <c r="J37" s="71">
        <v>0.2</v>
      </c>
      <c r="K37" s="72">
        <v>45992</v>
      </c>
      <c r="L37" s="76">
        <f>IF(F37="",WORKDAY(L36,5),F37)</f>
        <v>46185</v>
      </c>
      <c r="M37" s="73"/>
      <c r="N37" s="48">
        <f t="shared" si="3"/>
        <v>194</v>
      </c>
      <c r="O37" s="64"/>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row>
    <row r="38" spans="1:70" ht="25" customHeight="1" thickBot="1" x14ac:dyDescent="0.4">
      <c r="A38" s="121" t="s">
        <v>9</v>
      </c>
      <c r="B38" s="128"/>
      <c r="D38" s="134" t="str">
        <f>+$D$37</f>
        <v>Semanal</v>
      </c>
      <c r="E38" s="135">
        <v>1</v>
      </c>
      <c r="F38" s="136">
        <v>46185</v>
      </c>
      <c r="G38" s="168" t="s">
        <v>112</v>
      </c>
      <c r="H38" s="141"/>
      <c r="I38" s="164" t="s">
        <v>36</v>
      </c>
      <c r="J38" s="75">
        <v>0.9</v>
      </c>
      <c r="K38" s="76">
        <v>46023</v>
      </c>
      <c r="L38" s="76">
        <f>IF(F38="",WORKDAY(L37,5),F38)</f>
        <v>46185</v>
      </c>
      <c r="M38" s="77"/>
      <c r="N38" s="78">
        <f t="shared" si="3"/>
        <v>163</v>
      </c>
      <c r="O38" s="68"/>
      <c r="P38" s="6"/>
      <c r="Q38" s="6"/>
      <c r="R38" s="6"/>
      <c r="S38" s="6"/>
      <c r="T38" s="6"/>
      <c r="U38" s="6"/>
      <c r="V38" s="6"/>
      <c r="W38" s="6"/>
      <c r="X38" s="6"/>
      <c r="Y38" s="6"/>
      <c r="Z38" s="6"/>
      <c r="AA38" s="7"/>
      <c r="AB38" s="7"/>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row>
    <row r="39" spans="1:70" ht="25" customHeight="1" thickBot="1" x14ac:dyDescent="0.4">
      <c r="D39" s="134" t="str">
        <f t="shared" ref="D39:D47" si="8">+$D$37</f>
        <v>Semanal</v>
      </c>
      <c r="E39" s="135">
        <v>1</v>
      </c>
      <c r="F39" s="136">
        <v>46185</v>
      </c>
      <c r="G39" s="168" t="s">
        <v>113</v>
      </c>
      <c r="H39" s="140"/>
      <c r="I39" s="163" t="s">
        <v>36</v>
      </c>
      <c r="J39" s="71">
        <v>0.95</v>
      </c>
      <c r="K39" s="72">
        <v>45992</v>
      </c>
      <c r="L39" s="76">
        <f>IF(F39="",WORKDAY(L38,5),F39)</f>
        <v>46185</v>
      </c>
      <c r="M39" s="73"/>
      <c r="N39" s="48">
        <f t="shared" si="3"/>
        <v>194</v>
      </c>
      <c r="O39" s="68"/>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row>
    <row r="40" spans="1:70" ht="25" customHeight="1" thickBot="1" x14ac:dyDescent="0.4">
      <c r="D40" s="134" t="str">
        <f t="shared" si="8"/>
        <v>Semanal</v>
      </c>
      <c r="E40" s="135">
        <v>1</v>
      </c>
      <c r="F40" s="136">
        <v>46185</v>
      </c>
      <c r="G40" s="74" t="s">
        <v>45</v>
      </c>
      <c r="H40" s="141"/>
      <c r="I40" s="164" t="s">
        <v>36</v>
      </c>
      <c r="J40" s="75">
        <v>0.7</v>
      </c>
      <c r="K40" s="76">
        <v>46357</v>
      </c>
      <c r="L40" s="76">
        <f t="shared" ref="L40:L47" si="9">IF(F40="",WORKDAY(L39,5),F40)</f>
        <v>46185</v>
      </c>
      <c r="M40" s="77"/>
      <c r="N40" s="78">
        <f t="shared" si="3"/>
        <v>-171</v>
      </c>
      <c r="O40" s="68"/>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row>
    <row r="41" spans="1:70" ht="25" customHeight="1" thickBot="1" x14ac:dyDescent="0.4">
      <c r="D41" s="134" t="str">
        <f t="shared" si="8"/>
        <v>Semanal</v>
      </c>
      <c r="E41" s="135">
        <v>1</v>
      </c>
      <c r="F41" s="136">
        <v>46185</v>
      </c>
      <c r="G41" s="70" t="s">
        <v>46</v>
      </c>
      <c r="H41" s="140"/>
      <c r="I41" s="163" t="s">
        <v>36</v>
      </c>
      <c r="J41" s="71">
        <v>0.5</v>
      </c>
      <c r="K41" s="72">
        <v>46188</v>
      </c>
      <c r="L41" s="76">
        <f t="shared" si="9"/>
        <v>46185</v>
      </c>
      <c r="M41" s="73"/>
      <c r="N41" s="48">
        <f t="shared" si="3"/>
        <v>-2</v>
      </c>
      <c r="O41" s="68"/>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row>
    <row r="42" spans="1:70" ht="25" customHeight="1" thickBot="1" x14ac:dyDescent="0.4">
      <c r="D42" s="134" t="str">
        <f t="shared" si="8"/>
        <v>Semanal</v>
      </c>
      <c r="E42" s="135">
        <v>1</v>
      </c>
      <c r="F42" s="136">
        <v>46185</v>
      </c>
      <c r="G42" s="74" t="s">
        <v>73</v>
      </c>
      <c r="H42" s="141"/>
      <c r="I42" s="164" t="s">
        <v>36</v>
      </c>
      <c r="J42" s="75">
        <v>0.4</v>
      </c>
      <c r="K42" s="76">
        <v>46188</v>
      </c>
      <c r="L42" s="76">
        <f t="shared" si="9"/>
        <v>46185</v>
      </c>
      <c r="M42" s="77"/>
      <c r="N42" s="78">
        <f t="shared" si="3"/>
        <v>-2</v>
      </c>
      <c r="O42" s="68"/>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row>
    <row r="43" spans="1:70" ht="25" customHeight="1" thickBot="1" x14ac:dyDescent="0.4">
      <c r="D43" s="134" t="str">
        <f t="shared" si="8"/>
        <v>Semanal</v>
      </c>
      <c r="E43" s="135"/>
      <c r="F43" s="136"/>
      <c r="G43" s="74" t="s">
        <v>72</v>
      </c>
      <c r="H43" s="141"/>
      <c r="I43" s="164" t="s">
        <v>36</v>
      </c>
      <c r="J43" s="75">
        <v>0.1</v>
      </c>
      <c r="K43" s="76">
        <v>46188</v>
      </c>
      <c r="L43" s="76">
        <f t="shared" si="9"/>
        <v>46192</v>
      </c>
      <c r="M43" s="77"/>
      <c r="N43" s="78"/>
      <c r="O43" s="68"/>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row>
    <row r="44" spans="1:70" ht="25" customHeight="1" thickBot="1" x14ac:dyDescent="0.4">
      <c r="D44" s="134" t="str">
        <f t="shared" si="8"/>
        <v>Semanal</v>
      </c>
      <c r="E44" s="135"/>
      <c r="F44" s="136"/>
      <c r="G44" s="70" t="s">
        <v>53</v>
      </c>
      <c r="H44" s="140"/>
      <c r="I44" s="163" t="s">
        <v>36</v>
      </c>
      <c r="J44" s="71">
        <v>0</v>
      </c>
      <c r="K44" s="72">
        <v>46195</v>
      </c>
      <c r="L44" s="76">
        <f t="shared" si="9"/>
        <v>46199</v>
      </c>
      <c r="M44" s="73"/>
      <c r="N44" s="48"/>
      <c r="O44" s="68"/>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row>
    <row r="45" spans="1:70" ht="25" customHeight="1" thickBot="1" x14ac:dyDescent="0.4">
      <c r="D45" s="134" t="str">
        <f t="shared" si="8"/>
        <v>Semanal</v>
      </c>
      <c r="E45" s="135"/>
      <c r="F45" s="136"/>
      <c r="G45" s="74" t="s">
        <v>54</v>
      </c>
      <c r="H45" s="141"/>
      <c r="I45" s="164" t="s">
        <v>36</v>
      </c>
      <c r="J45" s="75">
        <v>0</v>
      </c>
      <c r="K45" s="76">
        <v>46202</v>
      </c>
      <c r="L45" s="76">
        <f t="shared" si="9"/>
        <v>46206</v>
      </c>
      <c r="M45" s="77"/>
      <c r="N45" s="78"/>
      <c r="O45" s="68"/>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row>
    <row r="46" spans="1:70" ht="25" customHeight="1" thickBot="1" x14ac:dyDescent="0.4">
      <c r="D46" s="134" t="str">
        <f t="shared" si="8"/>
        <v>Semanal</v>
      </c>
      <c r="E46" s="135">
        <v>1</v>
      </c>
      <c r="F46" s="136">
        <v>46185</v>
      </c>
      <c r="G46" s="70" t="s">
        <v>55</v>
      </c>
      <c r="H46" s="140"/>
      <c r="I46" s="163" t="s">
        <v>36</v>
      </c>
      <c r="J46" s="71">
        <v>0.5</v>
      </c>
      <c r="K46" s="72">
        <f t="shared" ref="K41:K47" si="10">+L45+1</f>
        <v>46207</v>
      </c>
      <c r="L46" s="76">
        <f t="shared" si="9"/>
        <v>46185</v>
      </c>
      <c r="M46" s="73"/>
      <c r="N46" s="48"/>
      <c r="O46" s="68"/>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row>
    <row r="47" spans="1:70" ht="25" customHeight="1" x14ac:dyDescent="0.35">
      <c r="D47" s="134" t="str">
        <f t="shared" si="8"/>
        <v>Semanal</v>
      </c>
      <c r="E47" s="135">
        <v>1</v>
      </c>
      <c r="F47" s="136">
        <v>46185</v>
      </c>
      <c r="G47" s="74" t="s">
        <v>69</v>
      </c>
      <c r="H47" s="142"/>
      <c r="I47" s="164" t="s">
        <v>36</v>
      </c>
      <c r="J47" s="75">
        <v>0.5</v>
      </c>
      <c r="K47" s="76">
        <f t="shared" si="10"/>
        <v>46186</v>
      </c>
      <c r="L47" s="76">
        <f t="shared" si="9"/>
        <v>46185</v>
      </c>
      <c r="M47" s="77"/>
      <c r="N47" s="78">
        <f t="shared" si="3"/>
        <v>0</v>
      </c>
      <c r="O47" s="83"/>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row>
    <row r="48" spans="1:70" ht="25" customHeight="1" thickBot="1" x14ac:dyDescent="0.4">
      <c r="A48" s="14" t="s">
        <v>11</v>
      </c>
      <c r="G48" s="59" t="s">
        <v>138</v>
      </c>
      <c r="H48" s="138">
        <v>0.25</v>
      </c>
      <c r="I48" s="162"/>
      <c r="J48" s="60">
        <f>+AVERAGE(J49:J51)</f>
        <v>0.13333333333333333</v>
      </c>
      <c r="K48" s="63" t="str">
        <f>+$K$7</f>
        <v>Días Transcurridos=</v>
      </c>
      <c r="L48" s="61">
        <f ca="1">+TODAY()-MIN($K$49:$K$51)-139</f>
        <v>84</v>
      </c>
      <c r="M48" s="62"/>
      <c r="N48" s="69"/>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row>
    <row r="49" spans="1:70" ht="25" customHeight="1" thickBot="1" x14ac:dyDescent="0.4">
      <c r="D49" s="134" t="s">
        <v>107</v>
      </c>
      <c r="E49" s="135"/>
      <c r="F49" s="136"/>
      <c r="G49" s="74" t="s">
        <v>92</v>
      </c>
      <c r="H49" s="143"/>
      <c r="I49" s="164" t="s">
        <v>36</v>
      </c>
      <c r="J49" s="75">
        <v>0.35</v>
      </c>
      <c r="K49" s="76">
        <v>45958</v>
      </c>
      <c r="L49" s="76">
        <v>46213</v>
      </c>
      <c r="M49" s="77"/>
      <c r="N49" s="78">
        <f t="shared" si="3"/>
        <v>256</v>
      </c>
      <c r="O49" s="64"/>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row>
    <row r="50" spans="1:70" ht="25" customHeight="1" thickBot="1" x14ac:dyDescent="0.4">
      <c r="D50" s="134" t="str">
        <f>+$D$49</f>
        <v>Mensual</v>
      </c>
      <c r="E50" s="135"/>
      <c r="F50" s="136"/>
      <c r="G50" s="70" t="s">
        <v>93</v>
      </c>
      <c r="H50" s="144"/>
      <c r="I50" s="163" t="s">
        <v>36</v>
      </c>
      <c r="J50" s="71">
        <v>0.05</v>
      </c>
      <c r="K50" s="72">
        <v>46209</v>
      </c>
      <c r="L50" s="76">
        <f>IF(F50="",WORKDAY(L49,5),F50)</f>
        <v>46220</v>
      </c>
      <c r="M50" s="73"/>
      <c r="N50" s="48">
        <f t="shared" si="3"/>
        <v>12</v>
      </c>
      <c r="O50" s="68"/>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row>
    <row r="51" spans="1:70" ht="25" customHeight="1" x14ac:dyDescent="0.35">
      <c r="D51" s="134" t="str">
        <f>+$D$49</f>
        <v>Mensual</v>
      </c>
      <c r="E51" s="135"/>
      <c r="F51" s="136"/>
      <c r="G51" s="74" t="s">
        <v>94</v>
      </c>
      <c r="H51" s="145"/>
      <c r="I51" s="164" t="s">
        <v>95</v>
      </c>
      <c r="J51" s="75">
        <v>0</v>
      </c>
      <c r="K51" s="76">
        <v>46216</v>
      </c>
      <c r="L51" s="76">
        <f>IF(F51="",WORKDAY(L50,5),F51)</f>
        <v>46227</v>
      </c>
      <c r="M51" s="77"/>
      <c r="N51" s="78">
        <f t="shared" si="3"/>
        <v>12</v>
      </c>
      <c r="O51" s="83"/>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row>
    <row r="52" spans="1:70" ht="25" customHeight="1" thickBot="1" x14ac:dyDescent="0.4">
      <c r="A52" s="14" t="s">
        <v>11</v>
      </c>
      <c r="G52" s="59" t="s">
        <v>139</v>
      </c>
      <c r="H52" s="138">
        <v>0.1</v>
      </c>
      <c r="I52" s="162"/>
      <c r="J52" s="60">
        <f>+AVERAGE(J53:J55)</f>
        <v>3.3333333333333333E-2</v>
      </c>
      <c r="K52" s="63" t="str">
        <f>+$K$7</f>
        <v>Días Transcurridos=</v>
      </c>
      <c r="L52" s="61">
        <f ca="1">+TODAY()-MIN($K$53:$K$55)-139</f>
        <v>84</v>
      </c>
      <c r="M52" s="62"/>
      <c r="N52" s="69"/>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row>
    <row r="53" spans="1:70" ht="44" thickBot="1" x14ac:dyDescent="0.4">
      <c r="D53" s="134" t="s">
        <v>107</v>
      </c>
      <c r="E53" s="135"/>
      <c r="F53" s="136"/>
      <c r="G53" s="74" t="s">
        <v>59</v>
      </c>
      <c r="H53" s="141"/>
      <c r="I53" s="164" t="s">
        <v>96</v>
      </c>
      <c r="J53" s="75">
        <v>0.1</v>
      </c>
      <c r="K53" s="76">
        <v>45958</v>
      </c>
      <c r="L53" s="76">
        <v>46213</v>
      </c>
      <c r="M53" s="77"/>
      <c r="N53" s="78">
        <f t="shared" si="3"/>
        <v>256</v>
      </c>
      <c r="O53" s="64"/>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row>
    <row r="54" spans="1:70" ht="44" thickBot="1" x14ac:dyDescent="0.4">
      <c r="D54" s="134" t="str">
        <f>+$D$53</f>
        <v>Mensual</v>
      </c>
      <c r="E54" s="135"/>
      <c r="F54" s="136"/>
      <c r="G54" s="70" t="s">
        <v>97</v>
      </c>
      <c r="H54" s="140"/>
      <c r="I54" s="163" t="s">
        <v>96</v>
      </c>
      <c r="J54" s="71">
        <v>0</v>
      </c>
      <c r="K54" s="72">
        <v>46216</v>
      </c>
      <c r="L54" s="76">
        <f>IF(F54="",WORKDAY(L53,5),F54)</f>
        <v>46220</v>
      </c>
      <c r="M54" s="73"/>
      <c r="N54" s="48">
        <f t="shared" si="3"/>
        <v>5</v>
      </c>
      <c r="O54" s="68"/>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row>
    <row r="55" spans="1:70" ht="44" thickBot="1" x14ac:dyDescent="0.4">
      <c r="D55" s="134" t="str">
        <f>+$D$53</f>
        <v>Mensual</v>
      </c>
      <c r="E55" s="135"/>
      <c r="F55" s="136"/>
      <c r="G55" s="74" t="s">
        <v>118</v>
      </c>
      <c r="H55" s="142"/>
      <c r="I55" s="164" t="s">
        <v>96</v>
      </c>
      <c r="J55" s="75">
        <v>0</v>
      </c>
      <c r="K55" s="76">
        <v>46223</v>
      </c>
      <c r="L55" s="76">
        <f>IF(F55="",WORKDAY(L54,5),F55)</f>
        <v>46227</v>
      </c>
      <c r="M55" s="77"/>
      <c r="N55" s="78">
        <f t="shared" si="3"/>
        <v>5</v>
      </c>
      <c r="O55" s="83"/>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row>
    <row r="56" spans="1:70" ht="30" customHeight="1" x14ac:dyDescent="0.35">
      <c r="G56" s="124"/>
      <c r="H56" s="127">
        <f>+SUBTOTAL(9,H7:H55)</f>
        <v>0.99999999999999989</v>
      </c>
      <c r="I56" s="165"/>
      <c r="J56" s="125"/>
      <c r="K56" s="125"/>
      <c r="L56" s="125"/>
      <c r="M56" s="126"/>
      <c r="N56" s="125"/>
    </row>
    <row r="57" spans="1:70" ht="30" customHeight="1" x14ac:dyDescent="0.35">
      <c r="I57" s="166"/>
      <c r="L57" s="15"/>
    </row>
    <row r="58" spans="1:70" ht="30" customHeight="1" x14ac:dyDescent="0.35">
      <c r="I58" s="167"/>
    </row>
    <row r="79" spans="7:7" ht="30" customHeight="1" x14ac:dyDescent="0.35">
      <c r="G79" s="16" t="s">
        <v>73</v>
      </c>
    </row>
    <row r="80" spans="7:7" ht="30" customHeight="1" x14ac:dyDescent="0.35">
      <c r="G80" s="16" t="s">
        <v>57</v>
      </c>
    </row>
  </sheetData>
  <mergeCells count="20">
    <mergeCell ref="B19:B21"/>
    <mergeCell ref="C11:C12"/>
    <mergeCell ref="B11:B12"/>
    <mergeCell ref="H7:H8"/>
    <mergeCell ref="AC4:AI4"/>
    <mergeCell ref="I3:J3"/>
    <mergeCell ref="K3:L3"/>
    <mergeCell ref="I4:J4"/>
    <mergeCell ref="O4:U4"/>
    <mergeCell ref="V4:AB4"/>
    <mergeCell ref="AJ4:AP4"/>
    <mergeCell ref="AQ4:AW4"/>
    <mergeCell ref="AX4:BD4"/>
    <mergeCell ref="BE4:BK4"/>
    <mergeCell ref="BL4:BR4"/>
    <mergeCell ref="C19:C21"/>
    <mergeCell ref="H22:H47"/>
    <mergeCell ref="H48:H51"/>
    <mergeCell ref="H52:H55"/>
    <mergeCell ref="H9:H21"/>
  </mergeCells>
  <conditionalFormatting sqref="J7:J55">
    <cfRule type="dataBar" priority="10">
      <dataBar>
        <cfvo type="num" val="0"/>
        <cfvo type="num" val="1"/>
        <color theme="0" tint="-0.249977111117893"/>
      </dataBar>
      <extLst>
        <ext xmlns:x14="http://schemas.microsoft.com/office/spreadsheetml/2009/9/main" uri="{B025F937-C7B1-47D3-B67F-A62EFF666E3E}">
          <x14:id>{1ABDF043-8B59-48D1-8979-9A4A80F37E74}</x14:id>
        </ext>
      </extLst>
    </cfRule>
  </conditionalFormatting>
  <conditionalFormatting sqref="M8:BR8 O10:BR21 O37:BR47 O49:BR51 O53:BR55 O5:BR6 O23:BR26">
    <cfRule type="expression" dxfId="11" priority="13">
      <formula>AND(TODAY()&gt;=M$5,TODAY()&lt;N$5)</formula>
    </cfRule>
  </conditionalFormatting>
  <conditionalFormatting sqref="M8:BR8 O10:BR21 O37:BR47 O49:BR51 O53:BR55 O23:BR26">
    <cfRule type="expression" dxfId="10" priority="11">
      <formula>AND(task_start&lt;=M$5,ROUNDDOWN((task_end-task_start+1)*task_progress,0)+task_start-1&gt;=M$5)</formula>
    </cfRule>
    <cfRule type="expression" dxfId="9" priority="12" stopIfTrue="1">
      <formula>AND(task_end&gt;=M$5,task_start&lt;N$5)</formula>
    </cfRule>
  </conditionalFormatting>
  <conditionalFormatting sqref="O28:BR35">
    <cfRule type="expression" dxfId="8" priority="1">
      <formula>AND(task_start&lt;=O$5,ROUNDDOWN((task_end-task_start+1)*task_progress,0)+task_start-1&gt;=O$5)</formula>
    </cfRule>
    <cfRule type="expression" dxfId="7" priority="2" stopIfTrue="1">
      <formula>AND(task_end&gt;=O$5,task_start&lt;P$5)</formula>
    </cfRule>
    <cfRule type="expression" dxfId="6" priority="3">
      <formula>AND(TODAY()&gt;=O$5,TODAY()&lt;P$5)</formula>
    </cfRule>
  </conditionalFormatting>
  <dataValidations disablePrompts="1" count="1">
    <dataValidation type="whole" operator="greaterThanOrEqual" allowBlank="1" showInputMessage="1" promptTitle="Mostrar semana" prompt="Al cambiar este número, se desplazará la vista del diagrama de Gantt." sqref="K4" xr:uid="{A8CFA2FF-5A90-4731-BBE6-9585A5C78C31}">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L32:L33" formula="1"/>
  </ignoredErrors>
  <legacyDrawing r:id="rId2"/>
  <extLst>
    <ext xmlns:x14="http://schemas.microsoft.com/office/spreadsheetml/2009/9/main" uri="{78C0D931-6437-407d-A8EE-F0AAD7539E65}">
      <x14:conditionalFormattings>
        <x14:conditionalFormatting xmlns:xm="http://schemas.microsoft.com/office/excel/2006/main">
          <x14:cfRule type="dataBar" id="{1ABDF043-8B59-48D1-8979-9A4A80F37E74}">
            <x14:dataBar minLength="0" maxLength="100" gradient="0">
              <x14:cfvo type="num">
                <xm:f>0</xm:f>
              </x14:cfvo>
              <x14:cfvo type="num">
                <xm:f>1</xm:f>
              </x14:cfvo>
              <x14:negativeFillColor rgb="FFFF0000"/>
              <x14:axisColor rgb="FF000000"/>
            </x14:dataBar>
          </x14:cfRule>
          <xm:sqref>J7:J55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3F60-36D0-4B31-8741-D920D66702E2}">
  <sheetPr>
    <pageSetUpPr fitToPage="1"/>
  </sheetPr>
  <dimension ref="A1:BL70"/>
  <sheetViews>
    <sheetView showGridLines="0" showRuler="0" zoomScale="90" zoomScaleNormal="90" zoomScalePageLayoutView="70" workbookViewId="0">
      <pane ySplit="6" topLeftCell="A74" activePane="bottomLeft" state="frozen"/>
      <selection pane="bottomLeft" activeCell="C2" sqref="C2"/>
    </sheetView>
  </sheetViews>
  <sheetFormatPr baseColWidth="10" defaultColWidth="9.1796875" defaultRowHeight="30" customHeight="1" x14ac:dyDescent="0.35"/>
  <cols>
    <col min="1" max="1" width="2.7265625" style="14" customWidth="1"/>
    <col min="2" max="2" width="65.453125" bestFit="1" customWidth="1"/>
    <col min="3" max="3" width="26.1796875" bestFit="1" customWidth="1"/>
    <col min="4" max="4" width="10.7265625" customWidth="1"/>
    <col min="5" max="5" width="10.453125" style="2" customWidth="1"/>
    <col min="6" max="6" width="10.453125" customWidth="1"/>
    <col min="7" max="7" width="2.7265625" customWidth="1"/>
    <col min="8" max="8" width="9.453125" hidden="1" customWidth="1"/>
    <col min="9" max="23" width="3.26953125" customWidth="1"/>
    <col min="24" max="24" width="4.08984375" customWidth="1"/>
    <col min="25" max="25" width="2.54296875" bestFit="1" customWidth="1"/>
    <col min="26" max="64" width="3.26953125" customWidth="1"/>
  </cols>
  <sheetData>
    <row r="1" spans="1:64" ht="30" customHeight="1" x14ac:dyDescent="0.65">
      <c r="A1" s="121" t="s">
        <v>0</v>
      </c>
      <c r="B1" s="92" t="s">
        <v>34</v>
      </c>
      <c r="C1" s="40"/>
      <c r="D1" s="1"/>
      <c r="E1" s="41"/>
      <c r="F1" s="42"/>
      <c r="H1" s="1"/>
      <c r="I1" s="17"/>
    </row>
    <row r="2" spans="1:64" ht="30" customHeight="1" x14ac:dyDescent="0.4">
      <c r="A2" s="14" t="s">
        <v>1</v>
      </c>
      <c r="B2" s="93" t="s">
        <v>35</v>
      </c>
      <c r="I2" s="18"/>
    </row>
    <row r="3" spans="1:64" ht="30" customHeight="1" x14ac:dyDescent="0.35">
      <c r="A3" s="14" t="s">
        <v>2</v>
      </c>
      <c r="B3" s="94" t="s">
        <v>36</v>
      </c>
      <c r="C3" s="152" t="s">
        <v>13</v>
      </c>
      <c r="D3" s="152"/>
      <c r="E3" s="153">
        <v>45958</v>
      </c>
      <c r="F3" s="154"/>
    </row>
    <row r="4" spans="1:64" s="20" customFormat="1" ht="30" customHeight="1" x14ac:dyDescent="0.3">
      <c r="A4" s="122" t="s">
        <v>3</v>
      </c>
      <c r="C4" s="152" t="s">
        <v>14</v>
      </c>
      <c r="D4" s="152"/>
      <c r="E4" s="49">
        <v>25</v>
      </c>
      <c r="I4" s="148">
        <f>I5</f>
        <v>46125</v>
      </c>
      <c r="J4" s="148"/>
      <c r="K4" s="148"/>
      <c r="L4" s="148"/>
      <c r="M4" s="148"/>
      <c r="N4" s="148"/>
      <c r="O4" s="149"/>
      <c r="P4" s="147">
        <f>P5</f>
        <v>46132</v>
      </c>
      <c r="Q4" s="148"/>
      <c r="R4" s="148"/>
      <c r="S4" s="148"/>
      <c r="T4" s="148"/>
      <c r="U4" s="148"/>
      <c r="V4" s="149"/>
      <c r="W4" s="147">
        <f>W5</f>
        <v>46139</v>
      </c>
      <c r="X4" s="148"/>
      <c r="Y4" s="148"/>
      <c r="Z4" s="148"/>
      <c r="AA4" s="148"/>
      <c r="AB4" s="148"/>
      <c r="AC4" s="149"/>
      <c r="AD4" s="147">
        <f>AD5</f>
        <v>46146</v>
      </c>
      <c r="AE4" s="148"/>
      <c r="AF4" s="148"/>
      <c r="AG4" s="148"/>
      <c r="AH4" s="148"/>
      <c r="AI4" s="148"/>
      <c r="AJ4" s="149"/>
      <c r="AK4" s="147">
        <f>AK5</f>
        <v>46153</v>
      </c>
      <c r="AL4" s="148"/>
      <c r="AM4" s="148"/>
      <c r="AN4" s="148"/>
      <c r="AO4" s="148"/>
      <c r="AP4" s="148"/>
      <c r="AQ4" s="149"/>
      <c r="AR4" s="147">
        <f>AR5</f>
        <v>46160</v>
      </c>
      <c r="AS4" s="148"/>
      <c r="AT4" s="148"/>
      <c r="AU4" s="148"/>
      <c r="AV4" s="148"/>
      <c r="AW4" s="148"/>
      <c r="AX4" s="149"/>
      <c r="AY4" s="147">
        <f>AY5</f>
        <v>46167</v>
      </c>
      <c r="AZ4" s="148"/>
      <c r="BA4" s="148"/>
      <c r="BB4" s="148"/>
      <c r="BC4" s="148"/>
      <c r="BD4" s="148"/>
      <c r="BE4" s="149"/>
      <c r="BF4" s="147">
        <f>BF5</f>
        <v>46174</v>
      </c>
      <c r="BG4" s="148"/>
      <c r="BH4" s="148"/>
      <c r="BI4" s="148"/>
      <c r="BJ4" s="148"/>
      <c r="BK4" s="148"/>
      <c r="BL4" s="149"/>
    </row>
    <row r="5" spans="1:64" ht="15" customHeight="1" x14ac:dyDescent="0.35">
      <c r="A5" s="121" t="s">
        <v>4</v>
      </c>
      <c r="E5"/>
      <c r="I5" s="89">
        <f>Inicio_del_proyecto-WEEKDAY(Inicio_del_proyecto,1)+2+7*(Semana_para_mostrar-1)</f>
        <v>46125</v>
      </c>
      <c r="J5" s="89">
        <f>I5+1</f>
        <v>46126</v>
      </c>
      <c r="K5" s="89">
        <f t="shared" ref="K5:AX5" si="0">J5+1</f>
        <v>46127</v>
      </c>
      <c r="L5" s="89">
        <f t="shared" si="0"/>
        <v>46128</v>
      </c>
      <c r="M5" s="89">
        <f t="shared" si="0"/>
        <v>46129</v>
      </c>
      <c r="N5" s="89">
        <f t="shared" si="0"/>
        <v>46130</v>
      </c>
      <c r="O5" s="90">
        <f t="shared" si="0"/>
        <v>46131</v>
      </c>
      <c r="P5" s="88">
        <f>O5+1</f>
        <v>46132</v>
      </c>
      <c r="Q5" s="89">
        <f>P5+1</f>
        <v>46133</v>
      </c>
      <c r="R5" s="89">
        <f t="shared" si="0"/>
        <v>46134</v>
      </c>
      <c r="S5" s="89">
        <f t="shared" si="0"/>
        <v>46135</v>
      </c>
      <c r="T5" s="89">
        <f t="shared" si="0"/>
        <v>46136</v>
      </c>
      <c r="U5" s="89">
        <f t="shared" si="0"/>
        <v>46137</v>
      </c>
      <c r="V5" s="90">
        <f t="shared" si="0"/>
        <v>46138</v>
      </c>
      <c r="W5" s="88">
        <f>V5+1</f>
        <v>46139</v>
      </c>
      <c r="X5" s="89">
        <f>W5+1</f>
        <v>46140</v>
      </c>
      <c r="Y5" s="89">
        <f t="shared" si="0"/>
        <v>46141</v>
      </c>
      <c r="Z5" s="89">
        <f t="shared" si="0"/>
        <v>46142</v>
      </c>
      <c r="AA5" s="89">
        <f t="shared" si="0"/>
        <v>46143</v>
      </c>
      <c r="AB5" s="89">
        <f t="shared" si="0"/>
        <v>46144</v>
      </c>
      <c r="AC5" s="90">
        <f t="shared" si="0"/>
        <v>46145</v>
      </c>
      <c r="AD5" s="88">
        <f>AC5+1</f>
        <v>46146</v>
      </c>
      <c r="AE5" s="89">
        <f>AD5+1</f>
        <v>46147</v>
      </c>
      <c r="AF5" s="89">
        <f t="shared" si="0"/>
        <v>46148</v>
      </c>
      <c r="AG5" s="89">
        <f t="shared" si="0"/>
        <v>46149</v>
      </c>
      <c r="AH5" s="89">
        <f t="shared" si="0"/>
        <v>46150</v>
      </c>
      <c r="AI5" s="89">
        <f t="shared" si="0"/>
        <v>46151</v>
      </c>
      <c r="AJ5" s="90">
        <f t="shared" si="0"/>
        <v>46152</v>
      </c>
      <c r="AK5" s="88">
        <f>AJ5+1</f>
        <v>46153</v>
      </c>
      <c r="AL5" s="89">
        <f>AK5+1</f>
        <v>46154</v>
      </c>
      <c r="AM5" s="89">
        <f t="shared" si="0"/>
        <v>46155</v>
      </c>
      <c r="AN5" s="89">
        <f t="shared" si="0"/>
        <v>46156</v>
      </c>
      <c r="AO5" s="89">
        <f t="shared" si="0"/>
        <v>46157</v>
      </c>
      <c r="AP5" s="89">
        <f t="shared" si="0"/>
        <v>46158</v>
      </c>
      <c r="AQ5" s="90">
        <f t="shared" si="0"/>
        <v>46159</v>
      </c>
      <c r="AR5" s="88">
        <f>AQ5+1</f>
        <v>46160</v>
      </c>
      <c r="AS5" s="89">
        <f>AR5+1</f>
        <v>46161</v>
      </c>
      <c r="AT5" s="89">
        <f t="shared" si="0"/>
        <v>46162</v>
      </c>
      <c r="AU5" s="89">
        <f t="shared" si="0"/>
        <v>46163</v>
      </c>
      <c r="AV5" s="89">
        <f t="shared" si="0"/>
        <v>46164</v>
      </c>
      <c r="AW5" s="89">
        <f t="shared" si="0"/>
        <v>46165</v>
      </c>
      <c r="AX5" s="90">
        <f t="shared" si="0"/>
        <v>46166</v>
      </c>
      <c r="AY5" s="88">
        <f t="shared" ref="AY5:BL5" si="1">AX5+1</f>
        <v>46167</v>
      </c>
      <c r="AZ5" s="89">
        <f t="shared" si="1"/>
        <v>46168</v>
      </c>
      <c r="BA5" s="89">
        <f t="shared" si="1"/>
        <v>46169</v>
      </c>
      <c r="BB5" s="89">
        <f t="shared" si="1"/>
        <v>46170</v>
      </c>
      <c r="BC5" s="89">
        <f t="shared" si="1"/>
        <v>46171</v>
      </c>
      <c r="BD5" s="89">
        <f t="shared" si="1"/>
        <v>46172</v>
      </c>
      <c r="BE5" s="90">
        <f t="shared" si="1"/>
        <v>46173</v>
      </c>
      <c r="BF5" s="88">
        <f t="shared" si="1"/>
        <v>46174</v>
      </c>
      <c r="BG5" s="89">
        <f t="shared" si="1"/>
        <v>46175</v>
      </c>
      <c r="BH5" s="89">
        <f t="shared" si="1"/>
        <v>46176</v>
      </c>
      <c r="BI5" s="89">
        <f t="shared" si="1"/>
        <v>46177</v>
      </c>
      <c r="BJ5" s="89">
        <f t="shared" si="1"/>
        <v>46178</v>
      </c>
      <c r="BK5" s="89">
        <f t="shared" si="1"/>
        <v>46179</v>
      </c>
      <c r="BL5" s="90">
        <f t="shared" si="1"/>
        <v>46180</v>
      </c>
    </row>
    <row r="6" spans="1:64" s="22" customFormat="1" ht="30" customHeight="1" thickBot="1" x14ac:dyDescent="0.35">
      <c r="A6" s="123" t="s">
        <v>5</v>
      </c>
      <c r="B6" s="95" t="s">
        <v>12</v>
      </c>
      <c r="C6" s="50" t="s">
        <v>75</v>
      </c>
      <c r="D6" s="50" t="s">
        <v>15</v>
      </c>
      <c r="E6" s="50" t="s">
        <v>16</v>
      </c>
      <c r="F6" s="50" t="s">
        <v>17</v>
      </c>
      <c r="G6" s="50"/>
      <c r="H6" s="50" t="s">
        <v>18</v>
      </c>
      <c r="I6" s="118" t="str">
        <f t="shared" ref="I6:BL6" si="2">LEFT(TEXT(I5,"ddd"),1)</f>
        <v>l</v>
      </c>
      <c r="J6" s="91" t="str">
        <f t="shared" si="2"/>
        <v>m</v>
      </c>
      <c r="K6" s="91" t="str">
        <f t="shared" si="2"/>
        <v>m</v>
      </c>
      <c r="L6" s="91" t="str">
        <f t="shared" si="2"/>
        <v>j</v>
      </c>
      <c r="M6" s="91" t="str">
        <f t="shared" si="2"/>
        <v>v</v>
      </c>
      <c r="N6" s="91" t="str">
        <f t="shared" si="2"/>
        <v>s</v>
      </c>
      <c r="O6" s="91" t="str">
        <f t="shared" si="2"/>
        <v>d</v>
      </c>
      <c r="P6" s="91" t="str">
        <f t="shared" si="2"/>
        <v>l</v>
      </c>
      <c r="Q6" s="91" t="str">
        <f t="shared" si="2"/>
        <v>m</v>
      </c>
      <c r="R6" s="91" t="str">
        <f t="shared" si="2"/>
        <v>m</v>
      </c>
      <c r="S6" s="91" t="str">
        <f t="shared" si="2"/>
        <v>j</v>
      </c>
      <c r="T6" s="91" t="str">
        <f t="shared" si="2"/>
        <v>v</v>
      </c>
      <c r="U6" s="91" t="str">
        <f t="shared" si="2"/>
        <v>s</v>
      </c>
      <c r="V6" s="91" t="str">
        <f t="shared" si="2"/>
        <v>d</v>
      </c>
      <c r="W6" s="91" t="str">
        <f t="shared" si="2"/>
        <v>l</v>
      </c>
      <c r="X6" s="91" t="str">
        <f t="shared" si="2"/>
        <v>m</v>
      </c>
      <c r="Y6" s="91" t="str">
        <f t="shared" si="2"/>
        <v>m</v>
      </c>
      <c r="Z6" s="91" t="str">
        <f t="shared" si="2"/>
        <v>j</v>
      </c>
      <c r="AA6" s="91" t="str">
        <f t="shared" si="2"/>
        <v>v</v>
      </c>
      <c r="AB6" s="91" t="str">
        <f t="shared" si="2"/>
        <v>s</v>
      </c>
      <c r="AC6" s="91" t="str">
        <f t="shared" si="2"/>
        <v>d</v>
      </c>
      <c r="AD6" s="91" t="str">
        <f t="shared" si="2"/>
        <v>l</v>
      </c>
      <c r="AE6" s="91" t="str">
        <f t="shared" si="2"/>
        <v>m</v>
      </c>
      <c r="AF6" s="91" t="str">
        <f t="shared" si="2"/>
        <v>m</v>
      </c>
      <c r="AG6" s="91" t="str">
        <f t="shared" si="2"/>
        <v>j</v>
      </c>
      <c r="AH6" s="91" t="str">
        <f t="shared" si="2"/>
        <v>v</v>
      </c>
      <c r="AI6" s="91" t="str">
        <f t="shared" si="2"/>
        <v>s</v>
      </c>
      <c r="AJ6" s="91" t="str">
        <f t="shared" si="2"/>
        <v>d</v>
      </c>
      <c r="AK6" s="91" t="str">
        <f t="shared" si="2"/>
        <v>l</v>
      </c>
      <c r="AL6" s="91" t="str">
        <f t="shared" si="2"/>
        <v>m</v>
      </c>
      <c r="AM6" s="91" t="str">
        <f t="shared" si="2"/>
        <v>m</v>
      </c>
      <c r="AN6" s="91" t="str">
        <f t="shared" si="2"/>
        <v>j</v>
      </c>
      <c r="AO6" s="91" t="str">
        <f t="shared" si="2"/>
        <v>v</v>
      </c>
      <c r="AP6" s="91" t="str">
        <f t="shared" si="2"/>
        <v>s</v>
      </c>
      <c r="AQ6" s="91" t="str">
        <f t="shared" si="2"/>
        <v>d</v>
      </c>
      <c r="AR6" s="91" t="str">
        <f t="shared" si="2"/>
        <v>l</v>
      </c>
      <c r="AS6" s="91" t="str">
        <f t="shared" si="2"/>
        <v>m</v>
      </c>
      <c r="AT6" s="91" t="str">
        <f t="shared" si="2"/>
        <v>m</v>
      </c>
      <c r="AU6" s="91" t="str">
        <f t="shared" si="2"/>
        <v>j</v>
      </c>
      <c r="AV6" s="91" t="str">
        <f t="shared" si="2"/>
        <v>v</v>
      </c>
      <c r="AW6" s="91" t="str">
        <f t="shared" si="2"/>
        <v>s</v>
      </c>
      <c r="AX6" s="91" t="str">
        <f t="shared" si="2"/>
        <v>d</v>
      </c>
      <c r="AY6" s="91" t="str">
        <f t="shared" si="2"/>
        <v>l</v>
      </c>
      <c r="AZ6" s="91" t="str">
        <f t="shared" si="2"/>
        <v>m</v>
      </c>
      <c r="BA6" s="91" t="str">
        <f t="shared" si="2"/>
        <v>m</v>
      </c>
      <c r="BB6" s="91" t="str">
        <f t="shared" si="2"/>
        <v>j</v>
      </c>
      <c r="BC6" s="91" t="str">
        <f t="shared" si="2"/>
        <v>v</v>
      </c>
      <c r="BD6" s="91" t="str">
        <f t="shared" si="2"/>
        <v>s</v>
      </c>
      <c r="BE6" s="91" t="str">
        <f t="shared" si="2"/>
        <v>d</v>
      </c>
      <c r="BF6" s="91" t="str">
        <f t="shared" si="2"/>
        <v>l</v>
      </c>
      <c r="BG6" s="91" t="str">
        <f t="shared" si="2"/>
        <v>m</v>
      </c>
      <c r="BH6" s="91" t="str">
        <f t="shared" si="2"/>
        <v>m</v>
      </c>
      <c r="BI6" s="91" t="str">
        <f t="shared" si="2"/>
        <v>j</v>
      </c>
      <c r="BJ6" s="91" t="str">
        <f t="shared" si="2"/>
        <v>v</v>
      </c>
      <c r="BK6" s="91" t="str">
        <f t="shared" si="2"/>
        <v>s</v>
      </c>
      <c r="BL6" s="91" t="str">
        <f t="shared" si="2"/>
        <v>d</v>
      </c>
    </row>
    <row r="7" spans="1:64" ht="1.5" customHeight="1" thickBot="1" x14ac:dyDescent="0.4">
      <c r="A7" s="14" t="s">
        <v>6</v>
      </c>
      <c r="B7" s="96"/>
      <c r="C7" s="97"/>
      <c r="D7" s="96"/>
      <c r="E7" s="96"/>
      <c r="F7" s="96"/>
      <c r="G7" s="96"/>
      <c r="H7" s="96" t="str">
        <f>IF(OR(ISBLANK(task_start),ISBLANK(task_end)),"",task_end-task_start+1)</f>
        <v/>
      </c>
      <c r="I7" s="68"/>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21" customFormat="1" ht="25" customHeight="1" thickBot="1" x14ac:dyDescent="0.4">
      <c r="A8" s="121" t="s">
        <v>7</v>
      </c>
      <c r="B8" s="99" t="s">
        <v>37</v>
      </c>
      <c r="C8" s="100"/>
      <c r="D8" s="60">
        <f>+AVERAGE(D9:D15)</f>
        <v>0.26428571428571429</v>
      </c>
      <c r="E8" s="62"/>
      <c r="F8" s="101">
        <f>+F15-E11+1</f>
        <v>212</v>
      </c>
      <c r="G8" s="62"/>
      <c r="H8" s="102"/>
    </row>
    <row r="9" spans="1:64" s="24" customFormat="1" ht="25" customHeight="1" thickBot="1" x14ac:dyDescent="0.4">
      <c r="A9" s="121" t="s">
        <v>8</v>
      </c>
      <c r="B9" s="103" t="s">
        <v>42</v>
      </c>
      <c r="C9" s="104" t="s">
        <v>47</v>
      </c>
      <c r="D9" s="75">
        <v>0.9</v>
      </c>
      <c r="E9" s="76">
        <f>Inicio_del_proyecto</f>
        <v>45958</v>
      </c>
      <c r="F9" s="76">
        <v>46173</v>
      </c>
      <c r="G9" s="77"/>
      <c r="H9" s="78">
        <f t="shared" ref="H9:H45" si="3">IF(OR(ISBLANK(task_start),ISBLANK(task_end)),"",task_end-task_start+1)</f>
        <v>216</v>
      </c>
      <c r="I9" s="64"/>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25" customFormat="1" ht="25" customHeight="1" thickBot="1" x14ac:dyDescent="0.4">
      <c r="A10" s="121" t="s">
        <v>8</v>
      </c>
      <c r="B10" s="105" t="s">
        <v>40</v>
      </c>
      <c r="C10" s="106" t="s">
        <v>36</v>
      </c>
      <c r="D10" s="71">
        <v>0.7</v>
      </c>
      <c r="E10" s="72">
        <v>45962</v>
      </c>
      <c r="F10" s="72">
        <v>46203</v>
      </c>
      <c r="G10" s="73"/>
      <c r="H10" s="48">
        <f t="shared" si="3"/>
        <v>242</v>
      </c>
      <c r="I10" s="64"/>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25" customFormat="1" ht="25" customHeight="1" thickBot="1" x14ac:dyDescent="0.4">
      <c r="A11" s="121"/>
      <c r="B11" s="103" t="s">
        <v>56</v>
      </c>
      <c r="C11" s="104" t="s">
        <v>36</v>
      </c>
      <c r="D11" s="75">
        <v>0.25</v>
      </c>
      <c r="E11" s="76">
        <v>46023</v>
      </c>
      <c r="F11" s="76">
        <v>46203</v>
      </c>
      <c r="G11" s="77"/>
      <c r="H11" s="78"/>
      <c r="I11" s="64"/>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25" customFormat="1" ht="25" customHeight="1" thickBot="1" x14ac:dyDescent="0.4">
      <c r="A12" s="14"/>
      <c r="B12" s="105" t="s">
        <v>43</v>
      </c>
      <c r="C12" s="106" t="s">
        <v>36</v>
      </c>
      <c r="D12" s="71">
        <v>0</v>
      </c>
      <c r="E12" s="72">
        <f>+F11+1</f>
        <v>46204</v>
      </c>
      <c r="F12" s="72">
        <v>46295</v>
      </c>
      <c r="G12" s="73"/>
      <c r="H12" s="48">
        <f t="shared" si="3"/>
        <v>92</v>
      </c>
      <c r="I12" s="64"/>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25" customFormat="1" ht="25" customHeight="1" thickBot="1" x14ac:dyDescent="0.4">
      <c r="A13" s="14"/>
      <c r="B13" s="103" t="s">
        <v>44</v>
      </c>
      <c r="C13" s="104" t="s">
        <v>36</v>
      </c>
      <c r="D13" s="75">
        <v>0</v>
      </c>
      <c r="E13" s="76">
        <f>+F12+1</f>
        <v>46296</v>
      </c>
      <c r="F13" s="76">
        <f>+WORKDAY(E13,4)</f>
        <v>46302</v>
      </c>
      <c r="G13" s="77"/>
      <c r="H13" s="78">
        <f t="shared" si="3"/>
        <v>7</v>
      </c>
      <c r="I13" s="64"/>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25" customFormat="1" ht="25" customHeight="1" thickBot="1" x14ac:dyDescent="0.4">
      <c r="A14" s="14"/>
      <c r="B14" s="105" t="s">
        <v>70</v>
      </c>
      <c r="C14" s="106" t="s">
        <v>36</v>
      </c>
      <c r="D14" s="71">
        <v>0</v>
      </c>
      <c r="E14" s="72">
        <f>+F13+1</f>
        <v>46303</v>
      </c>
      <c r="F14" s="72">
        <f>+WORKDAY(E14,7)</f>
        <v>46314</v>
      </c>
      <c r="G14" s="73"/>
      <c r="H14" s="48"/>
      <c r="I14" s="64"/>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27" customFormat="1" ht="25" customHeight="1" x14ac:dyDescent="0.35">
      <c r="A15" s="14"/>
      <c r="B15" s="103" t="s">
        <v>76</v>
      </c>
      <c r="C15" s="104" t="s">
        <v>36</v>
      </c>
      <c r="D15" s="75">
        <v>0</v>
      </c>
      <c r="E15" s="76">
        <v>46160</v>
      </c>
      <c r="F15" s="76">
        <v>46234</v>
      </c>
      <c r="G15" s="77"/>
      <c r="H15" s="78"/>
      <c r="I15" s="98"/>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29" customFormat="1" ht="25" customHeight="1" thickBot="1" x14ac:dyDescent="0.4">
      <c r="A16" s="121" t="s">
        <v>10</v>
      </c>
      <c r="B16" s="99" t="s">
        <v>65</v>
      </c>
      <c r="C16" s="100"/>
      <c r="D16" s="60">
        <f>+AVERAGE(D17:D24)</f>
        <v>0.41875000000000001</v>
      </c>
      <c r="E16" s="62"/>
      <c r="F16" s="101">
        <f>+F24-E17+1</f>
        <v>36</v>
      </c>
      <c r="G16" s="62"/>
      <c r="H16" s="102"/>
    </row>
    <row r="17" spans="1:64" s="24" customFormat="1" ht="25" customHeight="1" thickBot="1" x14ac:dyDescent="0.4">
      <c r="A17" s="121"/>
      <c r="B17" s="107" t="s">
        <v>78</v>
      </c>
      <c r="C17" s="104" t="s">
        <v>36</v>
      </c>
      <c r="D17" s="75">
        <v>0.9</v>
      </c>
      <c r="E17" s="76">
        <v>45958</v>
      </c>
      <c r="F17" s="76">
        <v>46173</v>
      </c>
      <c r="G17" s="77"/>
      <c r="H17" s="78">
        <f t="shared" si="3"/>
        <v>216</v>
      </c>
      <c r="I17" s="6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25" customFormat="1" ht="25" customHeight="1" thickBot="1" x14ac:dyDescent="0.4">
      <c r="A18" s="14"/>
      <c r="B18" s="105" t="s">
        <v>79</v>
      </c>
      <c r="C18" s="106" t="s">
        <v>36</v>
      </c>
      <c r="D18" s="71">
        <v>0.85</v>
      </c>
      <c r="E18" s="72">
        <v>45958</v>
      </c>
      <c r="F18" s="72">
        <v>45991</v>
      </c>
      <c r="G18" s="73"/>
      <c r="H18" s="48">
        <f t="shared" si="3"/>
        <v>34</v>
      </c>
      <c r="I18" s="68"/>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25" customFormat="1" ht="25" customHeight="1" thickBot="1" x14ac:dyDescent="0.4">
      <c r="A19" s="14"/>
      <c r="B19" s="103" t="s">
        <v>80</v>
      </c>
      <c r="C19" s="104" t="s">
        <v>36</v>
      </c>
      <c r="D19" s="75">
        <v>0.9</v>
      </c>
      <c r="E19" s="76">
        <v>45978</v>
      </c>
      <c r="F19" s="76">
        <f>+WORKDAY(E19,2)</f>
        <v>45980</v>
      </c>
      <c r="G19" s="77"/>
      <c r="H19" s="78">
        <f t="shared" si="3"/>
        <v>3</v>
      </c>
      <c r="I19" s="68"/>
      <c r="J19" s="6"/>
      <c r="K19" s="6"/>
      <c r="L19" s="6"/>
      <c r="M19" s="6"/>
      <c r="N19" s="6"/>
      <c r="O19" s="6"/>
      <c r="P19" s="6"/>
      <c r="Q19" s="6"/>
      <c r="R19" s="6"/>
      <c r="S19" s="6"/>
      <c r="T19" s="6"/>
      <c r="U19" s="6"/>
      <c r="V19" s="6"/>
      <c r="W19" s="6"/>
      <c r="X19" s="6"/>
      <c r="Y19" s="7"/>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25" customFormat="1" ht="25" customHeight="1" thickBot="1" x14ac:dyDescent="0.4">
      <c r="A20" s="14"/>
      <c r="B20" s="105" t="s">
        <v>82</v>
      </c>
      <c r="C20" s="106" t="s">
        <v>36</v>
      </c>
      <c r="D20" s="71">
        <v>0.2</v>
      </c>
      <c r="E20" s="72">
        <v>45959</v>
      </c>
      <c r="F20" s="72">
        <f>+WORKDAY(E20,10)</f>
        <v>45973</v>
      </c>
      <c r="G20" s="73"/>
      <c r="H20" s="48">
        <f t="shared" si="3"/>
        <v>15</v>
      </c>
      <c r="I20" s="68"/>
      <c r="J20" s="6"/>
      <c r="K20" s="6"/>
      <c r="L20" s="6"/>
      <c r="M20" s="6"/>
      <c r="N20" s="6"/>
      <c r="O20" s="6"/>
      <c r="P20" s="6"/>
      <c r="Q20" s="6"/>
      <c r="R20" s="6"/>
      <c r="S20" s="6"/>
      <c r="T20" s="6"/>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25" customFormat="1" ht="25" customHeight="1" thickBot="1" x14ac:dyDescent="0.4">
      <c r="A21" s="121"/>
      <c r="B21" s="103" t="s">
        <v>83</v>
      </c>
      <c r="C21" s="104" t="s">
        <v>36</v>
      </c>
      <c r="D21" s="75">
        <v>0.5</v>
      </c>
      <c r="E21" s="76">
        <v>45992</v>
      </c>
      <c r="F21" s="76">
        <v>46000</v>
      </c>
      <c r="G21" s="77"/>
      <c r="H21" s="78">
        <f t="shared" si="3"/>
        <v>9</v>
      </c>
      <c r="I21" s="68"/>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25" customFormat="1" ht="25" customHeight="1" thickBot="1" x14ac:dyDescent="0.4">
      <c r="A22" s="121"/>
      <c r="B22" s="105" t="s">
        <v>81</v>
      </c>
      <c r="C22" s="106" t="s">
        <v>36</v>
      </c>
      <c r="D22" s="71">
        <v>0</v>
      </c>
      <c r="E22" s="72">
        <f>+F20+1</f>
        <v>45974</v>
      </c>
      <c r="F22" s="72">
        <f>+WORKDAY(E22,4)</f>
        <v>45980</v>
      </c>
      <c r="G22" s="73"/>
      <c r="H22" s="48">
        <f t="shared" si="3"/>
        <v>7</v>
      </c>
      <c r="I22" s="68"/>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25" customFormat="1" ht="25" customHeight="1" thickBot="1" x14ac:dyDescent="0.4">
      <c r="A23" s="14"/>
      <c r="B23" s="103" t="s">
        <v>62</v>
      </c>
      <c r="C23" s="104" t="s">
        <v>36</v>
      </c>
      <c r="D23" s="75">
        <v>0</v>
      </c>
      <c r="E23" s="76">
        <f>+F19+1</f>
        <v>45981</v>
      </c>
      <c r="F23" s="76">
        <f>+WORKDAY(E23,3)</f>
        <v>45986</v>
      </c>
      <c r="G23" s="77"/>
      <c r="H23" s="78">
        <f t="shared" si="3"/>
        <v>6</v>
      </c>
      <c r="I23" s="68"/>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row>
    <row r="24" spans="1:64" s="27" customFormat="1" ht="25" customHeight="1" x14ac:dyDescent="0.35">
      <c r="A24" s="121"/>
      <c r="B24" s="108" t="s">
        <v>68</v>
      </c>
      <c r="C24" s="109" t="s">
        <v>36</v>
      </c>
      <c r="D24" s="110">
        <v>0</v>
      </c>
      <c r="E24" s="111">
        <f>+F23+1</f>
        <v>45987</v>
      </c>
      <c r="F24" s="111">
        <f>+WORKDAY(E24,4)</f>
        <v>45993</v>
      </c>
      <c r="G24" s="112"/>
      <c r="H24" s="113">
        <f t="shared" si="3"/>
        <v>7</v>
      </c>
      <c r="I24" s="83"/>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s="28" customFormat="1" ht="25" customHeight="1" thickBot="1" x14ac:dyDescent="0.4">
      <c r="A25" s="14" t="s">
        <v>11</v>
      </c>
      <c r="B25" s="99" t="s">
        <v>38</v>
      </c>
      <c r="C25" s="100"/>
      <c r="D25" s="60">
        <f>+AVERAGE(D26:D41)</f>
        <v>0.39437499999999998</v>
      </c>
      <c r="E25" s="62"/>
      <c r="F25" s="101">
        <f>+F41-E26+1</f>
        <v>74</v>
      </c>
      <c r="G25" s="62"/>
      <c r="H25" s="102"/>
    </row>
    <row r="26" spans="1:64" s="24" customFormat="1" ht="25" customHeight="1" thickBot="1" x14ac:dyDescent="0.4">
      <c r="A26" s="14"/>
      <c r="B26" s="105" t="s">
        <v>58</v>
      </c>
      <c r="C26" s="106" t="s">
        <v>36</v>
      </c>
      <c r="D26" s="71">
        <v>0</v>
      </c>
      <c r="E26" s="72">
        <v>45962</v>
      </c>
      <c r="F26" s="72">
        <f>+WORKDAY(E26,4)</f>
        <v>45967</v>
      </c>
      <c r="G26" s="73"/>
      <c r="H26" s="48">
        <f t="shared" si="3"/>
        <v>6</v>
      </c>
      <c r="I26" s="64"/>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s="25" customFormat="1" ht="25" customHeight="1" thickBot="1" x14ac:dyDescent="0.4">
      <c r="A27" s="121" t="s">
        <v>9</v>
      </c>
      <c r="B27" s="103" t="s">
        <v>39</v>
      </c>
      <c r="C27" s="104" t="s">
        <v>36</v>
      </c>
      <c r="D27" s="75">
        <v>0.9</v>
      </c>
      <c r="E27" s="76">
        <f>+F26</f>
        <v>45967</v>
      </c>
      <c r="F27" s="76">
        <f>+WORKDAY(E27,0)</f>
        <v>45967</v>
      </c>
      <c r="G27" s="77"/>
      <c r="H27" s="78">
        <f t="shared" si="3"/>
        <v>1</v>
      </c>
      <c r="I27" s="68"/>
      <c r="J27" s="6"/>
      <c r="K27" s="6"/>
      <c r="L27" s="6"/>
      <c r="M27" s="6"/>
      <c r="N27" s="6"/>
      <c r="O27" s="6"/>
      <c r="P27" s="6"/>
      <c r="Q27" s="6"/>
      <c r="R27" s="6"/>
      <c r="S27" s="6"/>
      <c r="T27" s="6"/>
      <c r="U27" s="7"/>
      <c r="V27" s="7"/>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25" customFormat="1" ht="25" customHeight="1" thickBot="1" x14ac:dyDescent="0.4">
      <c r="A28" s="14"/>
      <c r="B28" s="105" t="s">
        <v>41</v>
      </c>
      <c r="C28" s="106" t="s">
        <v>36</v>
      </c>
      <c r="D28" s="71">
        <v>0.9</v>
      </c>
      <c r="E28" s="72">
        <f>+F27+0</f>
        <v>45967</v>
      </c>
      <c r="F28" s="72">
        <f>+WORKDAY(E28,0)</f>
        <v>45967</v>
      </c>
      <c r="G28" s="73"/>
      <c r="H28" s="48">
        <f t="shared" si="3"/>
        <v>1</v>
      </c>
      <c r="I28" s="6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25" customFormat="1" ht="25" customHeight="1" thickBot="1" x14ac:dyDescent="0.4">
      <c r="A29" s="14"/>
      <c r="B29" s="103" t="s">
        <v>45</v>
      </c>
      <c r="C29" s="104" t="s">
        <v>36</v>
      </c>
      <c r="D29" s="75">
        <v>0.7</v>
      </c>
      <c r="E29" s="76">
        <f>+F26+1</f>
        <v>45968</v>
      </c>
      <c r="F29" s="76">
        <f>+WORKDAY(E29,3)</f>
        <v>45973</v>
      </c>
      <c r="G29" s="77"/>
      <c r="H29" s="78">
        <f t="shared" si="3"/>
        <v>6</v>
      </c>
      <c r="I29" s="68"/>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25" customFormat="1" ht="25" customHeight="1" thickBot="1" x14ac:dyDescent="0.4">
      <c r="A30" s="14"/>
      <c r="B30" s="105" t="s">
        <v>46</v>
      </c>
      <c r="C30" s="106" t="s">
        <v>36</v>
      </c>
      <c r="D30" s="71">
        <v>0.2</v>
      </c>
      <c r="E30" s="72">
        <f t="shared" ref="E30:E41" si="4">+F29+1</f>
        <v>45974</v>
      </c>
      <c r="F30" s="72">
        <f>+WORKDAY(E30,3)</f>
        <v>45979</v>
      </c>
      <c r="G30" s="73"/>
      <c r="H30" s="48">
        <f t="shared" si="3"/>
        <v>6</v>
      </c>
      <c r="I30" s="68"/>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25" customFormat="1" ht="25" customHeight="1" thickBot="1" x14ac:dyDescent="0.4">
      <c r="A31" s="14"/>
      <c r="B31" s="103" t="s">
        <v>73</v>
      </c>
      <c r="C31" s="104" t="s">
        <v>36</v>
      </c>
      <c r="D31" s="75">
        <v>0.01</v>
      </c>
      <c r="E31" s="76">
        <f>+F30+1</f>
        <v>45980</v>
      </c>
      <c r="F31" s="76">
        <f>+WORKDAY(E31,1)</f>
        <v>45981</v>
      </c>
      <c r="G31" s="77"/>
      <c r="H31" s="78">
        <f t="shared" si="3"/>
        <v>2</v>
      </c>
      <c r="I31" s="68"/>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25" customFormat="1" ht="25" customHeight="1" thickBot="1" x14ac:dyDescent="0.4">
      <c r="A32" s="14"/>
      <c r="B32" s="105" t="s">
        <v>51</v>
      </c>
      <c r="C32" s="106" t="s">
        <v>36</v>
      </c>
      <c r="D32" s="71">
        <v>0.5</v>
      </c>
      <c r="E32" s="72">
        <f t="shared" si="4"/>
        <v>45982</v>
      </c>
      <c r="F32" s="72">
        <f>+WORKDAY(E32,3)</f>
        <v>45987</v>
      </c>
      <c r="G32" s="73"/>
      <c r="H32" s="48">
        <f t="shared" si="3"/>
        <v>6</v>
      </c>
      <c r="I32" s="68"/>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25" customFormat="1" ht="25" customHeight="1" thickBot="1" x14ac:dyDescent="0.4">
      <c r="A33" s="14"/>
      <c r="B33" s="103" t="s">
        <v>52</v>
      </c>
      <c r="C33" s="104" t="s">
        <v>36</v>
      </c>
      <c r="D33" s="75">
        <v>0.5</v>
      </c>
      <c r="E33" s="76">
        <f t="shared" si="4"/>
        <v>45988</v>
      </c>
      <c r="F33" s="76">
        <f>+WORKDAY(E33,3)</f>
        <v>45993</v>
      </c>
      <c r="G33" s="77"/>
      <c r="H33" s="78">
        <f t="shared" si="3"/>
        <v>6</v>
      </c>
      <c r="I33" s="6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25" customFormat="1" ht="25" customHeight="1" thickBot="1" x14ac:dyDescent="0.4">
      <c r="A34" s="14"/>
      <c r="B34" s="105" t="s">
        <v>49</v>
      </c>
      <c r="C34" s="106" t="s">
        <v>36</v>
      </c>
      <c r="D34" s="71">
        <v>0.5</v>
      </c>
      <c r="E34" s="72">
        <f t="shared" si="4"/>
        <v>45994</v>
      </c>
      <c r="F34" s="72">
        <f>+WORKDAY(E34,3)</f>
        <v>45999</v>
      </c>
      <c r="G34" s="73"/>
      <c r="H34" s="48">
        <f t="shared" si="3"/>
        <v>6</v>
      </c>
      <c r="I34" s="6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25" customFormat="1" ht="25" customHeight="1" thickBot="1" x14ac:dyDescent="0.4">
      <c r="A35" s="14"/>
      <c r="B35" s="103" t="s">
        <v>50</v>
      </c>
      <c r="C35" s="104" t="s">
        <v>36</v>
      </c>
      <c r="D35" s="75">
        <v>0.5</v>
      </c>
      <c r="E35" s="76">
        <f t="shared" si="4"/>
        <v>46000</v>
      </c>
      <c r="F35" s="76">
        <f>+WORKDAY(E35,3)</f>
        <v>46003</v>
      </c>
      <c r="G35" s="77"/>
      <c r="H35" s="78">
        <f t="shared" si="3"/>
        <v>4</v>
      </c>
      <c r="I35" s="68"/>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25" customFormat="1" ht="25" customHeight="1" thickBot="1" x14ac:dyDescent="0.4">
      <c r="A36" s="14"/>
      <c r="B36" s="105" t="s">
        <v>48</v>
      </c>
      <c r="C36" s="106" t="s">
        <v>36</v>
      </c>
      <c r="D36" s="71">
        <v>0.8</v>
      </c>
      <c r="E36" s="72">
        <f t="shared" si="4"/>
        <v>46004</v>
      </c>
      <c r="F36" s="72">
        <f>+WORKDAY(E36,2)</f>
        <v>46007</v>
      </c>
      <c r="G36" s="73"/>
      <c r="H36" s="48">
        <f t="shared" si="3"/>
        <v>4</v>
      </c>
      <c r="I36" s="6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25" customFormat="1" ht="25" customHeight="1" thickBot="1" x14ac:dyDescent="0.4">
      <c r="A37" s="14"/>
      <c r="B37" s="103" t="s">
        <v>72</v>
      </c>
      <c r="C37" s="104" t="s">
        <v>36</v>
      </c>
      <c r="D37" s="75">
        <v>0.1</v>
      </c>
      <c r="E37" s="76">
        <f t="shared" si="4"/>
        <v>46008</v>
      </c>
      <c r="F37" s="76">
        <f>+WORKDAY(E37,3)</f>
        <v>46013</v>
      </c>
      <c r="G37" s="77"/>
      <c r="H37" s="78"/>
      <c r="I37" s="68"/>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spans="1:64" s="25" customFormat="1" ht="25" customHeight="1" thickBot="1" x14ac:dyDescent="0.4">
      <c r="A38" s="14"/>
      <c r="B38" s="105" t="s">
        <v>53</v>
      </c>
      <c r="C38" s="106" t="s">
        <v>36</v>
      </c>
      <c r="D38" s="71">
        <v>0</v>
      </c>
      <c r="E38" s="72">
        <f t="shared" si="4"/>
        <v>46014</v>
      </c>
      <c r="F38" s="72">
        <f>+WORKDAY(E38,3)</f>
        <v>46017</v>
      </c>
      <c r="G38" s="73"/>
      <c r="H38" s="48"/>
      <c r="I38" s="68"/>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spans="1:64" s="25" customFormat="1" ht="25" customHeight="1" thickBot="1" x14ac:dyDescent="0.4">
      <c r="A39" s="14"/>
      <c r="B39" s="103" t="s">
        <v>54</v>
      </c>
      <c r="C39" s="104" t="s">
        <v>36</v>
      </c>
      <c r="D39" s="75">
        <v>0</v>
      </c>
      <c r="E39" s="76">
        <f t="shared" si="4"/>
        <v>46018</v>
      </c>
      <c r="F39" s="76">
        <f>+WORKDAY(E39,3)</f>
        <v>46022</v>
      </c>
      <c r="G39" s="77"/>
      <c r="H39" s="78"/>
      <c r="I39" s="6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spans="1:64" s="25" customFormat="1" ht="25" customHeight="1" thickBot="1" x14ac:dyDescent="0.4">
      <c r="A40" s="14"/>
      <c r="B40" s="105" t="s">
        <v>55</v>
      </c>
      <c r="C40" s="106" t="s">
        <v>36</v>
      </c>
      <c r="D40" s="71">
        <v>0.5</v>
      </c>
      <c r="E40" s="72">
        <f t="shared" si="4"/>
        <v>46023</v>
      </c>
      <c r="F40" s="72">
        <f>+WORKDAY(E40,1)</f>
        <v>46024</v>
      </c>
      <c r="G40" s="73"/>
      <c r="H40" s="48"/>
      <c r="I40" s="68"/>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row>
    <row r="41" spans="1:64" s="27" customFormat="1" ht="25" customHeight="1" x14ac:dyDescent="0.35">
      <c r="A41" s="14"/>
      <c r="B41" s="103" t="s">
        <v>69</v>
      </c>
      <c r="C41" s="104" t="s">
        <v>36</v>
      </c>
      <c r="D41" s="75">
        <v>0.2</v>
      </c>
      <c r="E41" s="76">
        <f t="shared" si="4"/>
        <v>46025</v>
      </c>
      <c r="F41" s="76">
        <f>+WORKDAY(E41,7)</f>
        <v>46035</v>
      </c>
      <c r="G41" s="77"/>
      <c r="H41" s="78">
        <f t="shared" si="3"/>
        <v>11</v>
      </c>
      <c r="I41" s="83"/>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row>
    <row r="42" spans="1:64" s="30" customFormat="1" ht="25" customHeight="1" thickBot="1" x14ac:dyDescent="0.4">
      <c r="A42" s="14" t="s">
        <v>11</v>
      </c>
      <c r="B42" s="99" t="s">
        <v>74</v>
      </c>
      <c r="C42" s="100"/>
      <c r="D42" s="60">
        <f>+AVERAGE(D43:D45)</f>
        <v>3.3333333333333333E-2</v>
      </c>
      <c r="E42" s="62"/>
      <c r="F42" s="101">
        <f>+F45-E43+1</f>
        <v>38</v>
      </c>
      <c r="G42" s="62"/>
      <c r="H42" s="102"/>
    </row>
    <row r="43" spans="1:64" s="24" customFormat="1" ht="25" customHeight="1" thickBot="1" x14ac:dyDescent="0.4">
      <c r="A43" s="14"/>
      <c r="B43" s="103" t="s">
        <v>59</v>
      </c>
      <c r="C43" s="114" t="s">
        <v>71</v>
      </c>
      <c r="D43" s="75">
        <v>0.1</v>
      </c>
      <c r="E43" s="76">
        <v>45958</v>
      </c>
      <c r="F43" s="76">
        <f>+WORKDAY(E43,5)</f>
        <v>45965</v>
      </c>
      <c r="G43" s="77"/>
      <c r="H43" s="78">
        <f t="shared" si="3"/>
        <v>8</v>
      </c>
      <c r="I43" s="64"/>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1:64" s="25" customFormat="1" ht="25" customHeight="1" thickBot="1" x14ac:dyDescent="0.4">
      <c r="A44" s="14"/>
      <c r="B44" s="105" t="s">
        <v>60</v>
      </c>
      <c r="C44" s="115" t="s">
        <v>71</v>
      </c>
      <c r="D44" s="71">
        <v>0</v>
      </c>
      <c r="E44" s="72">
        <f>+F43+1</f>
        <v>45966</v>
      </c>
      <c r="F44" s="72">
        <f>+WORKDAY(E44,10)</f>
        <v>45980</v>
      </c>
      <c r="G44" s="73"/>
      <c r="H44" s="48">
        <f t="shared" si="3"/>
        <v>15</v>
      </c>
      <c r="I44" s="68"/>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row>
    <row r="45" spans="1:64" s="27" customFormat="1" ht="25" customHeight="1" x14ac:dyDescent="0.35">
      <c r="A45" s="14"/>
      <c r="B45" s="116" t="s">
        <v>61</v>
      </c>
      <c r="C45" s="117" t="s">
        <v>71</v>
      </c>
      <c r="D45" s="84">
        <v>0</v>
      </c>
      <c r="E45" s="85">
        <f>+F44+1</f>
        <v>45981</v>
      </c>
      <c r="F45" s="85">
        <f>+WORKDAY(E45,10)</f>
        <v>45995</v>
      </c>
      <c r="G45" s="86"/>
      <c r="H45" s="87">
        <f t="shared" si="3"/>
        <v>15</v>
      </c>
      <c r="I45" s="83"/>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row>
    <row r="46" spans="1:64" ht="30" customHeight="1" x14ac:dyDescent="0.35">
      <c r="G46" s="3"/>
    </row>
    <row r="47" spans="1:64" ht="30" customHeight="1" x14ac:dyDescent="0.35">
      <c r="C47" s="4"/>
      <c r="F47" s="15"/>
    </row>
    <row r="48" spans="1:64" ht="30" customHeight="1" x14ac:dyDescent="0.35">
      <c r="C48" s="5"/>
    </row>
    <row r="69" spans="2:2" ht="30" customHeight="1" x14ac:dyDescent="0.35">
      <c r="B69" t="s">
        <v>73</v>
      </c>
    </row>
    <row r="70" spans="2:2" ht="30" customHeight="1" x14ac:dyDescent="0.35">
      <c r="B70" t="s">
        <v>57</v>
      </c>
    </row>
  </sheetData>
  <mergeCells count="11">
    <mergeCell ref="AD4:AJ4"/>
    <mergeCell ref="AK4:AQ4"/>
    <mergeCell ref="AR4:AX4"/>
    <mergeCell ref="AY4:BE4"/>
    <mergeCell ref="BF4:BL4"/>
    <mergeCell ref="W4:AC4"/>
    <mergeCell ref="C3:D3"/>
    <mergeCell ref="E3:F3"/>
    <mergeCell ref="C4:D4"/>
    <mergeCell ref="I4:O4"/>
    <mergeCell ref="P4:V4"/>
  </mergeCells>
  <conditionalFormatting sqref="D7:D45">
    <cfRule type="dataBar" priority="1">
      <dataBar>
        <cfvo type="num" val="0"/>
        <cfvo type="num" val="1"/>
        <color theme="0" tint="-0.249977111117893"/>
      </dataBar>
      <extLst>
        <ext xmlns:x14="http://schemas.microsoft.com/office/spreadsheetml/2009/9/main" uri="{B025F937-C7B1-47D3-B67F-A62EFF666E3E}">
          <x14:id>{FF296BB3-51B8-4EB0-A97C-ADA584C50281}</x14:id>
        </ext>
      </extLst>
    </cfRule>
  </conditionalFormatting>
  <conditionalFormatting sqref="I5:BL7 G9:BL15 I16:BL24 I26:BL45">
    <cfRule type="expression" dxfId="5" priority="4">
      <formula>AND(TODAY()&gt;=G$5,TODAY()&lt;H$5)</formula>
    </cfRule>
  </conditionalFormatting>
  <conditionalFormatting sqref="I7:BL7 G9:BL15 I16:BL24 I26:BL45">
    <cfRule type="expression" dxfId="4" priority="2">
      <formula>AND(task_start&lt;=G$5,ROUNDDOWN((task_end-task_start+1)*task_progress,0)+task_start-1&gt;=G$5)</formula>
    </cfRule>
    <cfRule type="expression" dxfId="3" priority="3" stopIfTrue="1">
      <formula>AND(task_end&gt;=G$5,task_start&lt;H$5)</formula>
    </cfRule>
  </conditionalFormatting>
  <dataValidations count="1">
    <dataValidation type="whole" operator="greaterThanOrEqual" allowBlank="1" showInputMessage="1" promptTitle="Mostrar semana" prompt="Al cambiar este número, se desplazará la vista del diagrama de Gantt." sqref="E4" xr:uid="{FFB77F12-F107-4EC7-9D01-5842BC5525EE}">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FF296BB3-51B8-4EB0-A97C-ADA584C50281}">
            <x14:dataBar minLength="0" maxLength="100" gradient="0">
              <x14:cfvo type="num">
                <xm:f>0</xm:f>
              </x14:cfvo>
              <x14:cfvo type="num">
                <xm:f>1</xm:f>
              </x14:cfvo>
              <x14:negativeFillColor rgb="FFFF0000"/>
              <x14:axisColor rgb="FF000000"/>
            </x14:dataBar>
          </x14:cfRule>
          <xm:sqref>D7:D45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9"/>
  <sheetViews>
    <sheetView showGridLines="0" showRuler="0" zoomScale="90" zoomScaleNormal="90" zoomScalePageLayoutView="70" workbookViewId="0">
      <pane ySplit="6" topLeftCell="A7" activePane="bottomLeft" state="frozen"/>
      <selection pane="bottomLeft" activeCell="K1" sqref="K1"/>
    </sheetView>
  </sheetViews>
  <sheetFormatPr baseColWidth="10" defaultColWidth="9.1796875" defaultRowHeight="30" customHeight="1" x14ac:dyDescent="0.35"/>
  <cols>
    <col min="1" max="1" width="2.7265625" style="14" customWidth="1"/>
    <col min="2" max="2" width="64.08984375" bestFit="1" customWidth="1"/>
    <col min="3" max="3" width="26.1796875" bestFit="1" customWidth="1"/>
    <col min="4" max="4" width="10.7265625" customWidth="1"/>
    <col min="5" max="5" width="10.453125" style="2" customWidth="1"/>
    <col min="6" max="6" width="10.453125" customWidth="1"/>
    <col min="7" max="7" width="2.7265625" customWidth="1"/>
    <col min="8" max="8" width="9.453125" hidden="1" customWidth="1"/>
    <col min="9" max="23" width="3.26953125" customWidth="1"/>
    <col min="24" max="24" width="4.08984375" customWidth="1"/>
    <col min="25" max="25" width="2.54296875" bestFit="1" customWidth="1"/>
    <col min="26" max="64" width="3.26953125" customWidth="1"/>
    <col min="69" max="70" width="10.26953125"/>
  </cols>
  <sheetData>
    <row r="1" spans="1:64" ht="30" customHeight="1" x14ac:dyDescent="0.65">
      <c r="A1" s="121" t="s">
        <v>0</v>
      </c>
      <c r="B1" s="92" t="s">
        <v>34</v>
      </c>
      <c r="C1" s="40"/>
      <c r="D1" s="1"/>
      <c r="E1" s="41"/>
      <c r="F1" s="42"/>
      <c r="H1" s="1"/>
      <c r="I1" s="17"/>
    </row>
    <row r="2" spans="1:64" ht="30" customHeight="1" x14ac:dyDescent="0.4">
      <c r="A2" s="14" t="s">
        <v>1</v>
      </c>
      <c r="B2" s="93" t="s">
        <v>35</v>
      </c>
      <c r="I2" s="18"/>
    </row>
    <row r="3" spans="1:64" ht="30" customHeight="1" x14ac:dyDescent="0.35">
      <c r="A3" s="14" t="s">
        <v>2</v>
      </c>
      <c r="B3" s="94" t="s">
        <v>36</v>
      </c>
      <c r="C3" s="152" t="s">
        <v>13</v>
      </c>
      <c r="D3" s="152"/>
      <c r="E3" s="153">
        <v>45958</v>
      </c>
      <c r="F3" s="154"/>
    </row>
    <row r="4" spans="1:64" s="20" customFormat="1" ht="30" customHeight="1" x14ac:dyDescent="0.3">
      <c r="A4" s="122" t="s">
        <v>3</v>
      </c>
      <c r="C4" s="152" t="s">
        <v>14</v>
      </c>
      <c r="D4" s="152"/>
      <c r="E4" s="49">
        <v>1</v>
      </c>
      <c r="I4" s="148">
        <f>I5</f>
        <v>45957</v>
      </c>
      <c r="J4" s="148"/>
      <c r="K4" s="148"/>
      <c r="L4" s="148"/>
      <c r="M4" s="148"/>
      <c r="N4" s="148"/>
      <c r="O4" s="149"/>
      <c r="P4" s="147">
        <f>P5</f>
        <v>45964</v>
      </c>
      <c r="Q4" s="148"/>
      <c r="R4" s="148"/>
      <c r="S4" s="148"/>
      <c r="T4" s="148"/>
      <c r="U4" s="148"/>
      <c r="V4" s="149"/>
      <c r="W4" s="147">
        <f>W5</f>
        <v>45971</v>
      </c>
      <c r="X4" s="148"/>
      <c r="Y4" s="148"/>
      <c r="Z4" s="148"/>
      <c r="AA4" s="148"/>
      <c r="AB4" s="148"/>
      <c r="AC4" s="149"/>
      <c r="AD4" s="147">
        <f>AD5</f>
        <v>45978</v>
      </c>
      <c r="AE4" s="148"/>
      <c r="AF4" s="148"/>
      <c r="AG4" s="148"/>
      <c r="AH4" s="148"/>
      <c r="AI4" s="148"/>
      <c r="AJ4" s="149"/>
      <c r="AK4" s="147">
        <f>AK5</f>
        <v>45985</v>
      </c>
      <c r="AL4" s="148"/>
      <c r="AM4" s="148"/>
      <c r="AN4" s="148"/>
      <c r="AO4" s="148"/>
      <c r="AP4" s="148"/>
      <c r="AQ4" s="149"/>
      <c r="AR4" s="147">
        <f>AR5</f>
        <v>45992</v>
      </c>
      <c r="AS4" s="148"/>
      <c r="AT4" s="148"/>
      <c r="AU4" s="148"/>
      <c r="AV4" s="148"/>
      <c r="AW4" s="148"/>
      <c r="AX4" s="149"/>
      <c r="AY4" s="147">
        <f>AY5</f>
        <v>45999</v>
      </c>
      <c r="AZ4" s="148"/>
      <c r="BA4" s="148"/>
      <c r="BB4" s="148"/>
      <c r="BC4" s="148"/>
      <c r="BD4" s="148"/>
      <c r="BE4" s="149"/>
      <c r="BF4" s="147">
        <f>BF5</f>
        <v>46006</v>
      </c>
      <c r="BG4" s="148"/>
      <c r="BH4" s="148"/>
      <c r="BI4" s="148"/>
      <c r="BJ4" s="148"/>
      <c r="BK4" s="148"/>
      <c r="BL4" s="149"/>
    </row>
    <row r="5" spans="1:64" ht="15" customHeight="1" x14ac:dyDescent="0.35">
      <c r="A5" s="121" t="s">
        <v>4</v>
      </c>
      <c r="E5"/>
      <c r="I5" s="89">
        <f>Inicio_del_proyecto-WEEKDAY(Inicio_del_proyecto,1)+2+7*(Semana_para_mostrar-1)</f>
        <v>45957</v>
      </c>
      <c r="J5" s="89">
        <f>I5+1</f>
        <v>45958</v>
      </c>
      <c r="K5" s="89">
        <f t="shared" ref="K5:AX5" si="0">J5+1</f>
        <v>45959</v>
      </c>
      <c r="L5" s="89">
        <f t="shared" si="0"/>
        <v>45960</v>
      </c>
      <c r="M5" s="89">
        <f t="shared" si="0"/>
        <v>45961</v>
      </c>
      <c r="N5" s="89">
        <f t="shared" si="0"/>
        <v>45962</v>
      </c>
      <c r="O5" s="90">
        <f t="shared" si="0"/>
        <v>45963</v>
      </c>
      <c r="P5" s="88">
        <f>O5+1</f>
        <v>45964</v>
      </c>
      <c r="Q5" s="89">
        <f>P5+1</f>
        <v>45965</v>
      </c>
      <c r="R5" s="89">
        <f t="shared" si="0"/>
        <v>45966</v>
      </c>
      <c r="S5" s="89">
        <f t="shared" si="0"/>
        <v>45967</v>
      </c>
      <c r="T5" s="89">
        <f t="shared" si="0"/>
        <v>45968</v>
      </c>
      <c r="U5" s="89">
        <f t="shared" si="0"/>
        <v>45969</v>
      </c>
      <c r="V5" s="90">
        <f t="shared" si="0"/>
        <v>45970</v>
      </c>
      <c r="W5" s="88">
        <f>V5+1</f>
        <v>45971</v>
      </c>
      <c r="X5" s="89">
        <f>W5+1</f>
        <v>45972</v>
      </c>
      <c r="Y5" s="89">
        <f t="shared" si="0"/>
        <v>45973</v>
      </c>
      <c r="Z5" s="89">
        <f t="shared" si="0"/>
        <v>45974</v>
      </c>
      <c r="AA5" s="89">
        <f t="shared" si="0"/>
        <v>45975</v>
      </c>
      <c r="AB5" s="89">
        <f t="shared" si="0"/>
        <v>45976</v>
      </c>
      <c r="AC5" s="90">
        <f t="shared" si="0"/>
        <v>45977</v>
      </c>
      <c r="AD5" s="88">
        <f>AC5+1</f>
        <v>45978</v>
      </c>
      <c r="AE5" s="89">
        <f>AD5+1</f>
        <v>45979</v>
      </c>
      <c r="AF5" s="89">
        <f t="shared" si="0"/>
        <v>45980</v>
      </c>
      <c r="AG5" s="89">
        <f t="shared" si="0"/>
        <v>45981</v>
      </c>
      <c r="AH5" s="89">
        <f t="shared" si="0"/>
        <v>45982</v>
      </c>
      <c r="AI5" s="89">
        <f t="shared" si="0"/>
        <v>45983</v>
      </c>
      <c r="AJ5" s="90">
        <f t="shared" si="0"/>
        <v>45984</v>
      </c>
      <c r="AK5" s="88">
        <f>AJ5+1</f>
        <v>45985</v>
      </c>
      <c r="AL5" s="89">
        <f>AK5+1</f>
        <v>45986</v>
      </c>
      <c r="AM5" s="89">
        <f t="shared" si="0"/>
        <v>45987</v>
      </c>
      <c r="AN5" s="89">
        <f t="shared" si="0"/>
        <v>45988</v>
      </c>
      <c r="AO5" s="89">
        <f t="shared" si="0"/>
        <v>45989</v>
      </c>
      <c r="AP5" s="89">
        <f t="shared" si="0"/>
        <v>45990</v>
      </c>
      <c r="AQ5" s="90">
        <f t="shared" si="0"/>
        <v>45991</v>
      </c>
      <c r="AR5" s="88">
        <f>AQ5+1</f>
        <v>45992</v>
      </c>
      <c r="AS5" s="89">
        <f>AR5+1</f>
        <v>45993</v>
      </c>
      <c r="AT5" s="89">
        <f t="shared" si="0"/>
        <v>45994</v>
      </c>
      <c r="AU5" s="89">
        <f t="shared" si="0"/>
        <v>45995</v>
      </c>
      <c r="AV5" s="89">
        <f t="shared" si="0"/>
        <v>45996</v>
      </c>
      <c r="AW5" s="89">
        <f t="shared" si="0"/>
        <v>45997</v>
      </c>
      <c r="AX5" s="90">
        <f t="shared" si="0"/>
        <v>45998</v>
      </c>
      <c r="AY5" s="88">
        <f t="shared" ref="AY5:BL5" si="1">AX5+1</f>
        <v>45999</v>
      </c>
      <c r="AZ5" s="89">
        <f t="shared" si="1"/>
        <v>46000</v>
      </c>
      <c r="BA5" s="89">
        <f t="shared" si="1"/>
        <v>46001</v>
      </c>
      <c r="BB5" s="89">
        <f t="shared" si="1"/>
        <v>46002</v>
      </c>
      <c r="BC5" s="89">
        <f t="shared" si="1"/>
        <v>46003</v>
      </c>
      <c r="BD5" s="89">
        <f t="shared" si="1"/>
        <v>46004</v>
      </c>
      <c r="BE5" s="90">
        <f t="shared" si="1"/>
        <v>46005</v>
      </c>
      <c r="BF5" s="88">
        <f t="shared" si="1"/>
        <v>46006</v>
      </c>
      <c r="BG5" s="89">
        <f t="shared" si="1"/>
        <v>46007</v>
      </c>
      <c r="BH5" s="89">
        <f t="shared" si="1"/>
        <v>46008</v>
      </c>
      <c r="BI5" s="89">
        <f t="shared" si="1"/>
        <v>46009</v>
      </c>
      <c r="BJ5" s="89">
        <f t="shared" si="1"/>
        <v>46010</v>
      </c>
      <c r="BK5" s="89">
        <f t="shared" si="1"/>
        <v>46011</v>
      </c>
      <c r="BL5" s="90">
        <f t="shared" si="1"/>
        <v>46012</v>
      </c>
    </row>
    <row r="6" spans="1:64" s="22" customFormat="1" ht="30" customHeight="1" thickBot="1" x14ac:dyDescent="0.35">
      <c r="A6" s="123" t="s">
        <v>5</v>
      </c>
      <c r="B6" s="95" t="s">
        <v>12</v>
      </c>
      <c r="C6" s="50" t="s">
        <v>75</v>
      </c>
      <c r="D6" s="50" t="s">
        <v>15</v>
      </c>
      <c r="E6" s="50" t="s">
        <v>16</v>
      </c>
      <c r="F6" s="50" t="s">
        <v>17</v>
      </c>
      <c r="G6" s="50"/>
      <c r="H6" s="50" t="s">
        <v>18</v>
      </c>
      <c r="I6" s="118" t="str">
        <f>LEFT(TEXT(I5,"ddd"),1)</f>
        <v>l</v>
      </c>
      <c r="J6" s="91" t="str">
        <f t="shared" ref="J6:AR6" si="2">LEFT(TEXT(J5,"ddd"),1)</f>
        <v>m</v>
      </c>
      <c r="K6" s="91" t="str">
        <f t="shared" si="2"/>
        <v>m</v>
      </c>
      <c r="L6" s="91" t="str">
        <f t="shared" si="2"/>
        <v>j</v>
      </c>
      <c r="M6" s="91" t="str">
        <f t="shared" si="2"/>
        <v>v</v>
      </c>
      <c r="N6" s="91" t="str">
        <f t="shared" si="2"/>
        <v>s</v>
      </c>
      <c r="O6" s="91" t="str">
        <f t="shared" si="2"/>
        <v>d</v>
      </c>
      <c r="P6" s="91" t="str">
        <f t="shared" si="2"/>
        <v>l</v>
      </c>
      <c r="Q6" s="91" t="str">
        <f t="shared" si="2"/>
        <v>m</v>
      </c>
      <c r="R6" s="91" t="str">
        <f t="shared" si="2"/>
        <v>m</v>
      </c>
      <c r="S6" s="91" t="str">
        <f t="shared" si="2"/>
        <v>j</v>
      </c>
      <c r="T6" s="91" t="str">
        <f t="shared" si="2"/>
        <v>v</v>
      </c>
      <c r="U6" s="91" t="str">
        <f t="shared" si="2"/>
        <v>s</v>
      </c>
      <c r="V6" s="91" t="str">
        <f t="shared" si="2"/>
        <v>d</v>
      </c>
      <c r="W6" s="91" t="str">
        <f t="shared" si="2"/>
        <v>l</v>
      </c>
      <c r="X6" s="91" t="str">
        <f t="shared" si="2"/>
        <v>m</v>
      </c>
      <c r="Y6" s="91" t="str">
        <f t="shared" si="2"/>
        <v>m</v>
      </c>
      <c r="Z6" s="91" t="str">
        <f t="shared" si="2"/>
        <v>j</v>
      </c>
      <c r="AA6" s="91" t="str">
        <f t="shared" si="2"/>
        <v>v</v>
      </c>
      <c r="AB6" s="91" t="str">
        <f t="shared" si="2"/>
        <v>s</v>
      </c>
      <c r="AC6" s="91" t="str">
        <f t="shared" si="2"/>
        <v>d</v>
      </c>
      <c r="AD6" s="91" t="str">
        <f t="shared" si="2"/>
        <v>l</v>
      </c>
      <c r="AE6" s="91" t="str">
        <f t="shared" si="2"/>
        <v>m</v>
      </c>
      <c r="AF6" s="91" t="str">
        <f t="shared" si="2"/>
        <v>m</v>
      </c>
      <c r="AG6" s="91" t="str">
        <f t="shared" si="2"/>
        <v>j</v>
      </c>
      <c r="AH6" s="91" t="str">
        <f t="shared" si="2"/>
        <v>v</v>
      </c>
      <c r="AI6" s="91" t="str">
        <f t="shared" si="2"/>
        <v>s</v>
      </c>
      <c r="AJ6" s="91" t="str">
        <f t="shared" si="2"/>
        <v>d</v>
      </c>
      <c r="AK6" s="91" t="str">
        <f t="shared" si="2"/>
        <v>l</v>
      </c>
      <c r="AL6" s="91" t="str">
        <f t="shared" si="2"/>
        <v>m</v>
      </c>
      <c r="AM6" s="91" t="str">
        <f t="shared" si="2"/>
        <v>m</v>
      </c>
      <c r="AN6" s="91" t="str">
        <f t="shared" si="2"/>
        <v>j</v>
      </c>
      <c r="AO6" s="91" t="str">
        <f t="shared" si="2"/>
        <v>v</v>
      </c>
      <c r="AP6" s="91" t="str">
        <f t="shared" si="2"/>
        <v>s</v>
      </c>
      <c r="AQ6" s="91" t="str">
        <f t="shared" si="2"/>
        <v>d</v>
      </c>
      <c r="AR6" s="91" t="str">
        <f t="shared" si="2"/>
        <v>l</v>
      </c>
      <c r="AS6" s="91" t="str">
        <f t="shared" ref="AS6:BL6" si="3">LEFT(TEXT(AS5,"ddd"),1)</f>
        <v>m</v>
      </c>
      <c r="AT6" s="91" t="str">
        <f t="shared" si="3"/>
        <v>m</v>
      </c>
      <c r="AU6" s="91" t="str">
        <f t="shared" si="3"/>
        <v>j</v>
      </c>
      <c r="AV6" s="91" t="str">
        <f t="shared" si="3"/>
        <v>v</v>
      </c>
      <c r="AW6" s="91" t="str">
        <f t="shared" si="3"/>
        <v>s</v>
      </c>
      <c r="AX6" s="91" t="str">
        <f t="shared" si="3"/>
        <v>d</v>
      </c>
      <c r="AY6" s="91" t="str">
        <f t="shared" si="3"/>
        <v>l</v>
      </c>
      <c r="AZ6" s="91" t="str">
        <f t="shared" si="3"/>
        <v>m</v>
      </c>
      <c r="BA6" s="91" t="str">
        <f t="shared" si="3"/>
        <v>m</v>
      </c>
      <c r="BB6" s="91" t="str">
        <f t="shared" si="3"/>
        <v>j</v>
      </c>
      <c r="BC6" s="91" t="str">
        <f t="shared" si="3"/>
        <v>v</v>
      </c>
      <c r="BD6" s="91" t="str">
        <f t="shared" si="3"/>
        <v>s</v>
      </c>
      <c r="BE6" s="91" t="str">
        <f t="shared" si="3"/>
        <v>d</v>
      </c>
      <c r="BF6" s="91" t="str">
        <f t="shared" si="3"/>
        <v>l</v>
      </c>
      <c r="BG6" s="91" t="str">
        <f t="shared" si="3"/>
        <v>m</v>
      </c>
      <c r="BH6" s="91" t="str">
        <f t="shared" si="3"/>
        <v>m</v>
      </c>
      <c r="BI6" s="91" t="str">
        <f t="shared" si="3"/>
        <v>j</v>
      </c>
      <c r="BJ6" s="91" t="str">
        <f t="shared" si="3"/>
        <v>v</v>
      </c>
      <c r="BK6" s="91" t="str">
        <f t="shared" si="3"/>
        <v>s</v>
      </c>
      <c r="BL6" s="91" t="str">
        <f t="shared" si="3"/>
        <v>d</v>
      </c>
    </row>
    <row r="7" spans="1:64" ht="1.5" customHeight="1" thickBot="1" x14ac:dyDescent="0.4">
      <c r="A7" s="14" t="s">
        <v>6</v>
      </c>
      <c r="B7" s="96"/>
      <c r="C7" s="97"/>
      <c r="D7" s="96"/>
      <c r="E7" s="96"/>
      <c r="F7" s="96"/>
      <c r="G7" s="96"/>
      <c r="H7" s="96" t="str">
        <f>IF(OR(ISBLANK(task_start),ISBLANK(task_end)),"",task_end-task_start+1)</f>
        <v/>
      </c>
      <c r="I7" s="68"/>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row>
    <row r="8" spans="1:64" s="21" customFormat="1" ht="25" customHeight="1" thickBot="1" x14ac:dyDescent="0.4">
      <c r="A8" s="121" t="s">
        <v>7</v>
      </c>
      <c r="B8" s="99" t="s">
        <v>37</v>
      </c>
      <c r="C8" s="100"/>
      <c r="D8" s="60">
        <f>+AVERAGE(D9:D15)</f>
        <v>0.16428571428571428</v>
      </c>
      <c r="E8" s="62"/>
      <c r="F8" s="101">
        <f>+F15-E11+1</f>
        <v>48</v>
      </c>
      <c r="G8" s="62"/>
      <c r="H8" s="102"/>
    </row>
    <row r="9" spans="1:64" s="24" customFormat="1" ht="25" customHeight="1" thickBot="1" x14ac:dyDescent="0.4">
      <c r="A9" s="121" t="s">
        <v>8</v>
      </c>
      <c r="B9" s="103" t="s">
        <v>42</v>
      </c>
      <c r="C9" s="104" t="s">
        <v>47</v>
      </c>
      <c r="D9" s="75">
        <v>0.2</v>
      </c>
      <c r="E9" s="76">
        <f>Inicio_del_proyecto</f>
        <v>45958</v>
      </c>
      <c r="F9" s="76">
        <f>+WORKDAY(E9,10)</f>
        <v>45972</v>
      </c>
      <c r="G9" s="77"/>
      <c r="H9" s="78">
        <f t="shared" ref="H9:H44" si="4">IF(OR(ISBLANK(task_start),ISBLANK(task_end)),"",task_end-task_start+1)</f>
        <v>15</v>
      </c>
      <c r="I9" s="64"/>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25" customFormat="1" ht="25" customHeight="1" thickBot="1" x14ac:dyDescent="0.4">
      <c r="A10" s="121" t="s">
        <v>8</v>
      </c>
      <c r="B10" s="105" t="s">
        <v>40</v>
      </c>
      <c r="C10" s="106" t="s">
        <v>36</v>
      </c>
      <c r="D10" s="71">
        <v>0.7</v>
      </c>
      <c r="E10" s="72">
        <v>45962</v>
      </c>
      <c r="F10" s="72">
        <f>+WORKDAY(E10,2)</f>
        <v>45965</v>
      </c>
      <c r="G10" s="73"/>
      <c r="H10" s="48">
        <f t="shared" si="4"/>
        <v>4</v>
      </c>
      <c r="I10" s="64"/>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25" customFormat="1" ht="25" customHeight="1" thickBot="1" x14ac:dyDescent="0.4">
      <c r="A11" s="121"/>
      <c r="B11" s="103" t="s">
        <v>56</v>
      </c>
      <c r="C11" s="104" t="s">
        <v>36</v>
      </c>
      <c r="D11" s="75">
        <v>0.25</v>
      </c>
      <c r="E11" s="76">
        <v>46023</v>
      </c>
      <c r="F11" s="76">
        <f>+WORKDAY(E11,7)</f>
        <v>46034</v>
      </c>
      <c r="G11" s="77"/>
      <c r="H11" s="78"/>
      <c r="I11" s="64"/>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25" customFormat="1" ht="25" customHeight="1" thickBot="1" x14ac:dyDescent="0.4">
      <c r="A12" s="14"/>
      <c r="B12" s="105" t="s">
        <v>43</v>
      </c>
      <c r="C12" s="106" t="s">
        <v>36</v>
      </c>
      <c r="D12" s="71">
        <v>0</v>
      </c>
      <c r="E12" s="72">
        <f>+F11+1</f>
        <v>46035</v>
      </c>
      <c r="F12" s="72">
        <f>+WORKDAY(E12,4)</f>
        <v>46041</v>
      </c>
      <c r="G12" s="73"/>
      <c r="H12" s="48">
        <f t="shared" si="4"/>
        <v>7</v>
      </c>
      <c r="I12" s="64"/>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25" customFormat="1" ht="25" customHeight="1" thickBot="1" x14ac:dyDescent="0.4">
      <c r="A13" s="14"/>
      <c r="B13" s="103" t="s">
        <v>44</v>
      </c>
      <c r="C13" s="104" t="s">
        <v>36</v>
      </c>
      <c r="D13" s="75">
        <v>0</v>
      </c>
      <c r="E13" s="76">
        <f>+F12+1</f>
        <v>46042</v>
      </c>
      <c r="F13" s="76">
        <f>+WORKDAY(E13,4)</f>
        <v>46048</v>
      </c>
      <c r="G13" s="77"/>
      <c r="H13" s="78">
        <f t="shared" si="4"/>
        <v>7</v>
      </c>
      <c r="I13" s="64"/>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25" customFormat="1" ht="25" customHeight="1" thickBot="1" x14ac:dyDescent="0.4">
      <c r="A14" s="14"/>
      <c r="B14" s="105" t="s">
        <v>70</v>
      </c>
      <c r="C14" s="106" t="s">
        <v>36</v>
      </c>
      <c r="D14" s="71">
        <v>0</v>
      </c>
      <c r="E14" s="72">
        <f>+F13+1</f>
        <v>46049</v>
      </c>
      <c r="F14" s="72">
        <f>+WORKDAY(E14,7)</f>
        <v>46058</v>
      </c>
      <c r="G14" s="73"/>
      <c r="H14" s="48"/>
      <c r="I14" s="64"/>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27" customFormat="1" ht="25" customHeight="1" x14ac:dyDescent="0.35">
      <c r="A15" s="14"/>
      <c r="B15" s="103" t="s">
        <v>76</v>
      </c>
      <c r="C15" s="104" t="s">
        <v>36</v>
      </c>
      <c r="D15" s="75">
        <v>0</v>
      </c>
      <c r="E15" s="76">
        <f>+F14+1</f>
        <v>46059</v>
      </c>
      <c r="F15" s="76">
        <f>+WORKDAY(E15,7)</f>
        <v>46070</v>
      </c>
      <c r="G15" s="77"/>
      <c r="H15" s="78"/>
      <c r="I15" s="98"/>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29" customFormat="1" ht="25" customHeight="1" thickBot="1" x14ac:dyDescent="0.4">
      <c r="A16" s="121" t="s">
        <v>10</v>
      </c>
      <c r="B16" s="99" t="s">
        <v>65</v>
      </c>
      <c r="C16" s="100"/>
      <c r="D16" s="60">
        <f>+AVERAGE(D17:D23)</f>
        <v>2.8571428571428574E-2</v>
      </c>
      <c r="E16" s="62"/>
      <c r="F16" s="101">
        <f>+F23-E17+1</f>
        <v>36</v>
      </c>
      <c r="G16" s="62"/>
      <c r="H16" s="102"/>
    </row>
    <row r="17" spans="1:64" s="24" customFormat="1" ht="25" customHeight="1" thickBot="1" x14ac:dyDescent="0.4">
      <c r="A17" s="121"/>
      <c r="B17" s="103" t="s">
        <v>67</v>
      </c>
      <c r="C17" s="104" t="s">
        <v>36</v>
      </c>
      <c r="D17" s="75">
        <v>0</v>
      </c>
      <c r="E17" s="76">
        <v>45958</v>
      </c>
      <c r="F17" s="76">
        <f>+WORKDAY(E17,60)</f>
        <v>46042</v>
      </c>
      <c r="G17" s="77"/>
      <c r="H17" s="78">
        <f t="shared" si="4"/>
        <v>85</v>
      </c>
      <c r="I17" s="6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25" customFormat="1" ht="25" customHeight="1" thickBot="1" x14ac:dyDescent="0.4">
      <c r="A18" s="14"/>
      <c r="B18" s="105" t="s">
        <v>64</v>
      </c>
      <c r="C18" s="106" t="s">
        <v>36</v>
      </c>
      <c r="D18" s="71">
        <v>0</v>
      </c>
      <c r="E18" s="72">
        <v>45978</v>
      </c>
      <c r="F18" s="72">
        <f>+WORKDAY(E18,2)</f>
        <v>45980</v>
      </c>
      <c r="G18" s="73"/>
      <c r="H18" s="48">
        <f t="shared" si="4"/>
        <v>3</v>
      </c>
      <c r="I18" s="68"/>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row>
    <row r="19" spans="1:64" s="25" customFormat="1" ht="25" customHeight="1" thickBot="1" x14ac:dyDescent="0.4">
      <c r="A19" s="14"/>
      <c r="B19" s="103" t="s">
        <v>63</v>
      </c>
      <c r="C19" s="104" t="s">
        <v>36</v>
      </c>
      <c r="D19" s="75">
        <v>0</v>
      </c>
      <c r="E19" s="76">
        <v>45978</v>
      </c>
      <c r="F19" s="76">
        <f>+WORKDAY(E19,2)</f>
        <v>45980</v>
      </c>
      <c r="G19" s="77"/>
      <c r="H19" s="78">
        <f t="shared" si="4"/>
        <v>3</v>
      </c>
      <c r="I19" s="68"/>
      <c r="J19" s="6"/>
      <c r="K19" s="6"/>
      <c r="L19" s="6"/>
      <c r="M19" s="6"/>
      <c r="N19" s="6"/>
      <c r="O19" s="6"/>
      <c r="P19" s="6"/>
      <c r="Q19" s="6"/>
      <c r="R19" s="6"/>
      <c r="S19" s="6"/>
      <c r="T19" s="6"/>
      <c r="U19" s="6"/>
      <c r="V19" s="6"/>
      <c r="W19" s="6"/>
      <c r="X19" s="6"/>
      <c r="Y19" s="7"/>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row>
    <row r="20" spans="1:64" s="25" customFormat="1" ht="25" customHeight="1" thickBot="1" x14ac:dyDescent="0.4">
      <c r="A20" s="14"/>
      <c r="B20" s="105" t="s">
        <v>66</v>
      </c>
      <c r="C20" s="106" t="s">
        <v>36</v>
      </c>
      <c r="D20" s="71">
        <v>0.2</v>
      </c>
      <c r="E20" s="72">
        <v>45959</v>
      </c>
      <c r="F20" s="72">
        <f>+WORKDAY(E20,10)</f>
        <v>45973</v>
      </c>
      <c r="G20" s="73"/>
      <c r="H20" s="48">
        <f t="shared" si="4"/>
        <v>15</v>
      </c>
      <c r="I20" s="68"/>
      <c r="J20" s="6"/>
      <c r="K20" s="6"/>
      <c r="L20" s="6"/>
      <c r="M20" s="6"/>
      <c r="N20" s="6"/>
      <c r="O20" s="6"/>
      <c r="P20" s="6"/>
      <c r="Q20" s="6"/>
      <c r="R20" s="6"/>
      <c r="S20" s="6"/>
      <c r="T20" s="6"/>
      <c r="U20" s="7"/>
      <c r="V20" s="7"/>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row>
    <row r="21" spans="1:64" s="25" customFormat="1" ht="25" customHeight="1" thickBot="1" x14ac:dyDescent="0.4">
      <c r="A21" s="121"/>
      <c r="B21" s="103" t="s">
        <v>77</v>
      </c>
      <c r="C21" s="104" t="s">
        <v>36</v>
      </c>
      <c r="D21" s="75">
        <v>0</v>
      </c>
      <c r="E21" s="76">
        <f>+F20+1</f>
        <v>45974</v>
      </c>
      <c r="F21" s="76">
        <f>+WORKDAY(E21,4)</f>
        <v>45980</v>
      </c>
      <c r="G21" s="77"/>
      <c r="H21" s="78">
        <f t="shared" si="4"/>
        <v>7</v>
      </c>
      <c r="I21" s="68"/>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row>
    <row r="22" spans="1:64" s="25" customFormat="1" ht="25" customHeight="1" thickBot="1" x14ac:dyDescent="0.4">
      <c r="A22" s="14"/>
      <c r="B22" s="105" t="s">
        <v>62</v>
      </c>
      <c r="C22" s="106" t="s">
        <v>36</v>
      </c>
      <c r="D22" s="71">
        <v>0</v>
      </c>
      <c r="E22" s="72">
        <f>+F19+1</f>
        <v>45981</v>
      </c>
      <c r="F22" s="72">
        <f>+WORKDAY(E22,3)</f>
        <v>45986</v>
      </c>
      <c r="G22" s="73"/>
      <c r="H22" s="48">
        <f t="shared" si="4"/>
        <v>6</v>
      </c>
      <c r="I22" s="68"/>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row>
    <row r="23" spans="1:64" s="27" customFormat="1" ht="25" customHeight="1" x14ac:dyDescent="0.35">
      <c r="A23" s="121"/>
      <c r="B23" s="103" t="s">
        <v>68</v>
      </c>
      <c r="C23" s="104" t="s">
        <v>36</v>
      </c>
      <c r="D23" s="75">
        <v>0</v>
      </c>
      <c r="E23" s="76">
        <f>+F22+1</f>
        <v>45987</v>
      </c>
      <c r="F23" s="76">
        <f>+WORKDAY(E23,4)</f>
        <v>45993</v>
      </c>
      <c r="G23" s="77"/>
      <c r="H23" s="78">
        <f t="shared" si="4"/>
        <v>7</v>
      </c>
      <c r="I23" s="83"/>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s="28" customFormat="1" ht="25" customHeight="1" thickBot="1" x14ac:dyDescent="0.4">
      <c r="A24" s="14" t="s">
        <v>11</v>
      </c>
      <c r="B24" s="99" t="s">
        <v>38</v>
      </c>
      <c r="C24" s="100"/>
      <c r="D24" s="60">
        <f>+AVERAGE(D25:D40)</f>
        <v>0.39437499999999998</v>
      </c>
      <c r="E24" s="62"/>
      <c r="F24" s="101">
        <f>+F40-E25+1</f>
        <v>74</v>
      </c>
      <c r="G24" s="62"/>
      <c r="H24" s="102"/>
    </row>
    <row r="25" spans="1:64" s="24" customFormat="1" ht="25" customHeight="1" thickBot="1" x14ac:dyDescent="0.4">
      <c r="A25" s="14"/>
      <c r="B25" s="103" t="s">
        <v>58</v>
      </c>
      <c r="C25" s="104" t="s">
        <v>36</v>
      </c>
      <c r="D25" s="75">
        <v>0</v>
      </c>
      <c r="E25" s="76">
        <v>45962</v>
      </c>
      <c r="F25" s="76">
        <f>+WORKDAY(E25,4)</f>
        <v>45967</v>
      </c>
      <c r="G25" s="77"/>
      <c r="H25" s="78">
        <f t="shared" si="4"/>
        <v>6</v>
      </c>
      <c r="I25" s="64"/>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s="25" customFormat="1" ht="25" customHeight="1" thickBot="1" x14ac:dyDescent="0.4">
      <c r="A26" s="121" t="s">
        <v>9</v>
      </c>
      <c r="B26" s="105" t="s">
        <v>39</v>
      </c>
      <c r="C26" s="106" t="s">
        <v>36</v>
      </c>
      <c r="D26" s="71">
        <v>0.9</v>
      </c>
      <c r="E26" s="72">
        <f>+F25</f>
        <v>45967</v>
      </c>
      <c r="F26" s="72">
        <f>+WORKDAY(E26,0)</f>
        <v>45967</v>
      </c>
      <c r="G26" s="73"/>
      <c r="H26" s="48">
        <f t="shared" si="4"/>
        <v>1</v>
      </c>
      <c r="I26" s="68"/>
      <c r="J26" s="6"/>
      <c r="K26" s="6"/>
      <c r="L26" s="6"/>
      <c r="M26" s="6"/>
      <c r="N26" s="6"/>
      <c r="O26" s="6"/>
      <c r="P26" s="6"/>
      <c r="Q26" s="6"/>
      <c r="R26" s="6"/>
      <c r="S26" s="6"/>
      <c r="T26" s="6"/>
      <c r="U26" s="7"/>
      <c r="V26" s="7"/>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row>
    <row r="27" spans="1:64" s="25" customFormat="1" ht="25" customHeight="1" thickBot="1" x14ac:dyDescent="0.4">
      <c r="A27" s="14"/>
      <c r="B27" s="103" t="s">
        <v>41</v>
      </c>
      <c r="C27" s="104" t="s">
        <v>36</v>
      </c>
      <c r="D27" s="75">
        <v>0.9</v>
      </c>
      <c r="E27" s="76">
        <f>+F26+0</f>
        <v>45967</v>
      </c>
      <c r="F27" s="76">
        <f>+WORKDAY(E27,0)</f>
        <v>45967</v>
      </c>
      <c r="G27" s="77"/>
      <c r="H27" s="78">
        <f t="shared" si="4"/>
        <v>1</v>
      </c>
      <c r="I27" s="68"/>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row>
    <row r="28" spans="1:64" s="25" customFormat="1" ht="25" customHeight="1" thickBot="1" x14ac:dyDescent="0.4">
      <c r="A28" s="14"/>
      <c r="B28" s="105" t="s">
        <v>45</v>
      </c>
      <c r="C28" s="106" t="s">
        <v>36</v>
      </c>
      <c r="D28" s="71">
        <v>0.7</v>
      </c>
      <c r="E28" s="72">
        <f>+F25+1</f>
        <v>45968</v>
      </c>
      <c r="F28" s="72">
        <f>+WORKDAY(E28,3)</f>
        <v>45973</v>
      </c>
      <c r="G28" s="73"/>
      <c r="H28" s="48">
        <f t="shared" si="4"/>
        <v>6</v>
      </c>
      <c r="I28" s="68"/>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row>
    <row r="29" spans="1:64" s="25" customFormat="1" ht="25" customHeight="1" thickBot="1" x14ac:dyDescent="0.4">
      <c r="A29" s="14"/>
      <c r="B29" s="103" t="s">
        <v>46</v>
      </c>
      <c r="C29" s="104" t="s">
        <v>36</v>
      </c>
      <c r="D29" s="75">
        <v>0.2</v>
      </c>
      <c r="E29" s="76">
        <f t="shared" ref="E29:E40" si="5">+F28+1</f>
        <v>45974</v>
      </c>
      <c r="F29" s="76">
        <f>+WORKDAY(E29,3)</f>
        <v>45979</v>
      </c>
      <c r="G29" s="77"/>
      <c r="H29" s="78">
        <f t="shared" si="4"/>
        <v>6</v>
      </c>
      <c r="I29" s="68"/>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row>
    <row r="30" spans="1:64" s="25" customFormat="1" ht="25" customHeight="1" thickBot="1" x14ac:dyDescent="0.4">
      <c r="A30" s="14"/>
      <c r="B30" s="105" t="s">
        <v>73</v>
      </c>
      <c r="C30" s="106" t="s">
        <v>36</v>
      </c>
      <c r="D30" s="71">
        <v>0.01</v>
      </c>
      <c r="E30" s="72">
        <f>+F29+1</f>
        <v>45980</v>
      </c>
      <c r="F30" s="72">
        <f>+WORKDAY(E30,1)</f>
        <v>45981</v>
      </c>
      <c r="G30" s="73"/>
      <c r="H30" s="48">
        <f t="shared" si="4"/>
        <v>2</v>
      </c>
      <c r="I30" s="68"/>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row>
    <row r="31" spans="1:64" s="25" customFormat="1" ht="25" customHeight="1" thickBot="1" x14ac:dyDescent="0.4">
      <c r="A31" s="14"/>
      <c r="B31" s="103" t="s">
        <v>51</v>
      </c>
      <c r="C31" s="104" t="s">
        <v>36</v>
      </c>
      <c r="D31" s="75">
        <v>0.5</v>
      </c>
      <c r="E31" s="76">
        <f t="shared" si="5"/>
        <v>45982</v>
      </c>
      <c r="F31" s="76">
        <f>+WORKDAY(E31,3)</f>
        <v>45987</v>
      </c>
      <c r="G31" s="77"/>
      <c r="H31" s="78">
        <f t="shared" si="4"/>
        <v>6</v>
      </c>
      <c r="I31" s="68"/>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row>
    <row r="32" spans="1:64" s="25" customFormat="1" ht="25" customHeight="1" thickBot="1" x14ac:dyDescent="0.4">
      <c r="A32" s="14"/>
      <c r="B32" s="105" t="s">
        <v>52</v>
      </c>
      <c r="C32" s="106" t="s">
        <v>36</v>
      </c>
      <c r="D32" s="71">
        <v>0.5</v>
      </c>
      <c r="E32" s="72">
        <f t="shared" si="5"/>
        <v>45988</v>
      </c>
      <c r="F32" s="72">
        <f>+WORKDAY(E32,3)</f>
        <v>45993</v>
      </c>
      <c r="G32" s="73"/>
      <c r="H32" s="48">
        <f t="shared" si="4"/>
        <v>6</v>
      </c>
      <c r="I32" s="68"/>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row>
    <row r="33" spans="1:64" s="25" customFormat="1" ht="25" customHeight="1" thickBot="1" x14ac:dyDescent="0.4">
      <c r="A33" s="14"/>
      <c r="B33" s="103" t="s">
        <v>49</v>
      </c>
      <c r="C33" s="104" t="s">
        <v>36</v>
      </c>
      <c r="D33" s="75">
        <v>0.5</v>
      </c>
      <c r="E33" s="76">
        <f t="shared" si="5"/>
        <v>45994</v>
      </c>
      <c r="F33" s="76">
        <f>+WORKDAY(E33,3)</f>
        <v>45999</v>
      </c>
      <c r="G33" s="77"/>
      <c r="H33" s="78">
        <f t="shared" si="4"/>
        <v>6</v>
      </c>
      <c r="I33" s="68"/>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row>
    <row r="34" spans="1:64" s="25" customFormat="1" ht="25" customHeight="1" thickBot="1" x14ac:dyDescent="0.4">
      <c r="A34" s="14"/>
      <c r="B34" s="105" t="s">
        <v>50</v>
      </c>
      <c r="C34" s="106" t="s">
        <v>36</v>
      </c>
      <c r="D34" s="71">
        <v>0.5</v>
      </c>
      <c r="E34" s="72">
        <f t="shared" si="5"/>
        <v>46000</v>
      </c>
      <c r="F34" s="72">
        <f>+WORKDAY(E34,3)</f>
        <v>46003</v>
      </c>
      <c r="G34" s="73"/>
      <c r="H34" s="48">
        <f t="shared" si="4"/>
        <v>4</v>
      </c>
      <c r="I34" s="68"/>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row>
    <row r="35" spans="1:64" s="25" customFormat="1" ht="25" customHeight="1" thickBot="1" x14ac:dyDescent="0.4">
      <c r="A35" s="14"/>
      <c r="B35" s="103" t="s">
        <v>48</v>
      </c>
      <c r="C35" s="104" t="s">
        <v>36</v>
      </c>
      <c r="D35" s="75">
        <v>0.8</v>
      </c>
      <c r="E35" s="76">
        <f t="shared" si="5"/>
        <v>46004</v>
      </c>
      <c r="F35" s="76">
        <f>+WORKDAY(E35,2)</f>
        <v>46007</v>
      </c>
      <c r="G35" s="77"/>
      <c r="H35" s="78">
        <f t="shared" si="4"/>
        <v>4</v>
      </c>
      <c r="I35" s="68"/>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row>
    <row r="36" spans="1:64" s="25" customFormat="1" ht="25" customHeight="1" thickBot="1" x14ac:dyDescent="0.4">
      <c r="A36" s="14"/>
      <c r="B36" s="105" t="s">
        <v>72</v>
      </c>
      <c r="C36" s="106" t="s">
        <v>36</v>
      </c>
      <c r="D36" s="71">
        <v>0.1</v>
      </c>
      <c r="E36" s="72">
        <f t="shared" si="5"/>
        <v>46008</v>
      </c>
      <c r="F36" s="72">
        <f>+WORKDAY(E36,3)</f>
        <v>46013</v>
      </c>
      <c r="G36" s="73"/>
      <c r="H36" s="48"/>
      <c r="I36" s="68"/>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64" s="25" customFormat="1" ht="25" customHeight="1" thickBot="1" x14ac:dyDescent="0.4">
      <c r="A37" s="14"/>
      <c r="B37" s="103" t="s">
        <v>53</v>
      </c>
      <c r="C37" s="104" t="s">
        <v>36</v>
      </c>
      <c r="D37" s="75">
        <v>0</v>
      </c>
      <c r="E37" s="76">
        <f t="shared" si="5"/>
        <v>46014</v>
      </c>
      <c r="F37" s="76">
        <f>+WORKDAY(E37,3)</f>
        <v>46017</v>
      </c>
      <c r="G37" s="77"/>
      <c r="H37" s="78"/>
      <c r="I37" s="68"/>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row>
    <row r="38" spans="1:64" s="25" customFormat="1" ht="25" customHeight="1" thickBot="1" x14ac:dyDescent="0.4">
      <c r="A38" s="14"/>
      <c r="B38" s="105" t="s">
        <v>54</v>
      </c>
      <c r="C38" s="106" t="s">
        <v>36</v>
      </c>
      <c r="D38" s="71">
        <v>0</v>
      </c>
      <c r="E38" s="72">
        <f t="shared" si="5"/>
        <v>46018</v>
      </c>
      <c r="F38" s="72">
        <f>+WORKDAY(E38,3)</f>
        <v>46022</v>
      </c>
      <c r="G38" s="73"/>
      <c r="H38" s="48"/>
      <c r="I38" s="68"/>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row>
    <row r="39" spans="1:64" s="25" customFormat="1" ht="25" customHeight="1" thickBot="1" x14ac:dyDescent="0.4">
      <c r="A39" s="14"/>
      <c r="B39" s="103" t="s">
        <v>55</v>
      </c>
      <c r="C39" s="104" t="s">
        <v>36</v>
      </c>
      <c r="D39" s="75">
        <v>0.5</v>
      </c>
      <c r="E39" s="76">
        <f t="shared" si="5"/>
        <v>46023</v>
      </c>
      <c r="F39" s="76">
        <f>+WORKDAY(E39,1)</f>
        <v>46024</v>
      </c>
      <c r="G39" s="77"/>
      <c r="H39" s="78"/>
      <c r="I39" s="6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row>
    <row r="40" spans="1:64" s="27" customFormat="1" ht="25" customHeight="1" x14ac:dyDescent="0.35">
      <c r="A40" s="14"/>
      <c r="B40" s="105" t="s">
        <v>69</v>
      </c>
      <c r="C40" s="106" t="s">
        <v>36</v>
      </c>
      <c r="D40" s="71">
        <v>0.2</v>
      </c>
      <c r="E40" s="72">
        <f t="shared" si="5"/>
        <v>46025</v>
      </c>
      <c r="F40" s="72">
        <f>+WORKDAY(E40,7)</f>
        <v>46035</v>
      </c>
      <c r="G40" s="73"/>
      <c r="H40" s="48">
        <f t="shared" si="4"/>
        <v>11</v>
      </c>
      <c r="I40" s="83"/>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row>
    <row r="41" spans="1:64" s="30" customFormat="1" ht="25" customHeight="1" thickBot="1" x14ac:dyDescent="0.4">
      <c r="A41" s="14" t="s">
        <v>11</v>
      </c>
      <c r="B41" s="99" t="s">
        <v>74</v>
      </c>
      <c r="C41" s="100"/>
      <c r="D41" s="60">
        <f>+AVERAGE(D42:D44)</f>
        <v>3.3333333333333333E-2</v>
      </c>
      <c r="E41" s="62"/>
      <c r="F41" s="101">
        <f>+F44-E42+1</f>
        <v>38</v>
      </c>
      <c r="G41" s="62"/>
      <c r="H41" s="102"/>
    </row>
    <row r="42" spans="1:64" s="24" customFormat="1" ht="25" customHeight="1" thickBot="1" x14ac:dyDescent="0.4">
      <c r="A42" s="14"/>
      <c r="B42" s="105" t="s">
        <v>59</v>
      </c>
      <c r="C42" s="115" t="s">
        <v>71</v>
      </c>
      <c r="D42" s="71">
        <v>0.1</v>
      </c>
      <c r="E42" s="72">
        <v>45958</v>
      </c>
      <c r="F42" s="72">
        <f>+WORKDAY(E42,5)</f>
        <v>45965</v>
      </c>
      <c r="G42" s="73"/>
      <c r="H42" s="48">
        <f t="shared" si="4"/>
        <v>8</v>
      </c>
      <c r="I42" s="64"/>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1:64" s="25" customFormat="1" ht="25" customHeight="1" thickBot="1" x14ac:dyDescent="0.4">
      <c r="A43" s="14"/>
      <c r="B43" s="103" t="s">
        <v>60</v>
      </c>
      <c r="C43" s="114" t="s">
        <v>71</v>
      </c>
      <c r="D43" s="75">
        <v>0</v>
      </c>
      <c r="E43" s="76">
        <f>+F42+1</f>
        <v>45966</v>
      </c>
      <c r="F43" s="76">
        <f>+WORKDAY(E43,10)</f>
        <v>45980</v>
      </c>
      <c r="G43" s="77"/>
      <c r="H43" s="78">
        <f t="shared" si="4"/>
        <v>15</v>
      </c>
      <c r="I43" s="68"/>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row>
    <row r="44" spans="1:64" s="27" customFormat="1" ht="25" customHeight="1" x14ac:dyDescent="0.35">
      <c r="A44" s="14"/>
      <c r="B44" s="119" t="s">
        <v>61</v>
      </c>
      <c r="C44" s="120" t="s">
        <v>71</v>
      </c>
      <c r="D44" s="79">
        <v>0</v>
      </c>
      <c r="E44" s="80">
        <f>+F43+1</f>
        <v>45981</v>
      </c>
      <c r="F44" s="80">
        <f>+WORKDAY(E44,10)</f>
        <v>45995</v>
      </c>
      <c r="G44" s="81"/>
      <c r="H44" s="82">
        <f t="shared" si="4"/>
        <v>15</v>
      </c>
      <c r="I44" s="83"/>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row>
    <row r="45" spans="1:64" ht="30" customHeight="1" x14ac:dyDescent="0.35">
      <c r="G45" s="3"/>
    </row>
    <row r="46" spans="1:64" ht="30" customHeight="1" x14ac:dyDescent="0.35">
      <c r="C46" s="4"/>
      <c r="F46" s="15"/>
    </row>
    <row r="47" spans="1:64" ht="30" customHeight="1" x14ac:dyDescent="0.35">
      <c r="C47" s="5"/>
    </row>
    <row r="68" spans="2:2" ht="30" customHeight="1" x14ac:dyDescent="0.35">
      <c r="B68" t="s">
        <v>73</v>
      </c>
    </row>
    <row r="69" spans="2:2" ht="30" customHeight="1" x14ac:dyDescent="0.35">
      <c r="B69" t="s">
        <v>57</v>
      </c>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4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7 G9:BL15 I16:BL23 I25:BL44">
    <cfRule type="expression" dxfId="2" priority="33">
      <formula>AND(TODAY()&gt;=G$5,TODAY()&lt;H$5)</formula>
    </cfRule>
  </conditionalFormatting>
  <conditionalFormatting sqref="I7:BL7 G9:BL15 I16:BL23 I25:BL44">
    <cfRule type="expression" dxfId="1" priority="27">
      <formula>AND(task_start&lt;=G$5,ROUNDDOWN((task_end-task_start+1)*task_progress,0)+task_start-1&gt;=G$5)</formula>
    </cfRule>
    <cfRule type="expression" dxfId="0" priority="28" stopIfTrue="1">
      <formula>AND(task_end&gt;=G$5,task_start&lt;H$5)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F30" formula="1"/>
  </ignoredErrors>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2" zoomScaleNormal="100" workbookViewId="0"/>
  </sheetViews>
  <sheetFormatPr baseColWidth="10" defaultColWidth="9.1796875" defaultRowHeight="13" x14ac:dyDescent="0.3"/>
  <cols>
    <col min="1" max="1" width="87.1796875" style="8" customWidth="1"/>
    <col min="2" max="16384" width="9.1796875" style="1"/>
  </cols>
  <sheetData>
    <row r="1" spans="1:2" ht="46.5" customHeight="1" x14ac:dyDescent="0.3"/>
    <row r="2" spans="1:2" s="10" customFormat="1" ht="23.5" x14ac:dyDescent="0.35">
      <c r="A2" s="33" t="s">
        <v>19</v>
      </c>
      <c r="B2" s="9"/>
    </row>
    <row r="3" spans="1:2" s="12" customFormat="1" ht="27" customHeight="1" x14ac:dyDescent="0.35">
      <c r="A3" s="34" t="s">
        <v>20</v>
      </c>
      <c r="B3" s="13"/>
    </row>
    <row r="4" spans="1:2" s="11" customFormat="1" ht="26" x14ac:dyDescent="0.6">
      <c r="A4" s="38" t="s">
        <v>21</v>
      </c>
    </row>
    <row r="5" spans="1:2" ht="74.150000000000006" customHeight="1" x14ac:dyDescent="0.3">
      <c r="A5" s="35" t="s">
        <v>22</v>
      </c>
    </row>
    <row r="6" spans="1:2" ht="26.25" customHeight="1" x14ac:dyDescent="0.3">
      <c r="A6" s="38" t="s">
        <v>23</v>
      </c>
    </row>
    <row r="7" spans="1:2" s="8" customFormat="1" ht="215.25" customHeight="1" x14ac:dyDescent="0.35">
      <c r="A7" s="36" t="s">
        <v>24</v>
      </c>
    </row>
    <row r="8" spans="1:2" s="11" customFormat="1" ht="26" x14ac:dyDescent="0.6">
      <c r="A8" s="38" t="s">
        <v>25</v>
      </c>
    </row>
    <row r="9" spans="1:2" ht="72.5" x14ac:dyDescent="0.3">
      <c r="A9" s="35" t="s">
        <v>26</v>
      </c>
    </row>
    <row r="10" spans="1:2" s="8" customFormat="1" ht="28" customHeight="1" x14ac:dyDescent="0.35">
      <c r="A10" s="37" t="s">
        <v>27</v>
      </c>
    </row>
    <row r="11" spans="1:2" s="11" customFormat="1" ht="26" x14ac:dyDescent="0.6">
      <c r="A11" s="38" t="s">
        <v>28</v>
      </c>
    </row>
    <row r="12" spans="1:2" ht="29" x14ac:dyDescent="0.3">
      <c r="A12" s="35" t="s">
        <v>29</v>
      </c>
    </row>
    <row r="13" spans="1:2" s="8" customFormat="1" ht="28" customHeight="1" x14ac:dyDescent="0.35">
      <c r="A13" s="37" t="s">
        <v>30</v>
      </c>
    </row>
    <row r="14" spans="1:2" s="11" customFormat="1" ht="26" x14ac:dyDescent="0.6">
      <c r="A14" s="38" t="s">
        <v>31</v>
      </c>
    </row>
    <row r="15" spans="1:2" ht="96.75" customHeight="1" x14ac:dyDescent="0.3">
      <c r="A15" s="35" t="s">
        <v>32</v>
      </c>
    </row>
    <row r="16" spans="1:2" ht="87" x14ac:dyDescent="0.3">
      <c r="A16" s="35" t="s">
        <v>33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18</vt:i4>
      </vt:variant>
    </vt:vector>
  </HeadingPairs>
  <TitlesOfParts>
    <vt:vector size="22" baseType="lpstr">
      <vt:lpstr>Proyecto Datos (OKR´s)</vt:lpstr>
      <vt:lpstr>Proyecto Datos (Actual)</vt:lpstr>
      <vt:lpstr>Proyecto Datos</vt:lpstr>
      <vt:lpstr>Acerca de</vt:lpstr>
      <vt:lpstr>'Proyecto Datos (Actual)'!Inicio_del_proyecto</vt:lpstr>
      <vt:lpstr>'Proyecto Datos (OKR´s)'!Inicio_del_proyecto</vt:lpstr>
      <vt:lpstr>Inicio_del_proyecto</vt:lpstr>
      <vt:lpstr>'Proyecto Datos (Actual)'!Semana_para_mostrar</vt:lpstr>
      <vt:lpstr>'Proyecto Datos (OKR´s)'!Semana_para_mostrar</vt:lpstr>
      <vt:lpstr>Semana_para_mostrar</vt:lpstr>
      <vt:lpstr>'Proyecto Datos'!task_end</vt:lpstr>
      <vt:lpstr>'Proyecto Datos (Actual)'!task_end</vt:lpstr>
      <vt:lpstr>'Proyecto Datos (OKR´s)'!task_end</vt:lpstr>
      <vt:lpstr>'Proyecto Datos'!task_progress</vt:lpstr>
      <vt:lpstr>'Proyecto Datos (Actual)'!task_progress</vt:lpstr>
      <vt:lpstr>'Proyecto Datos (OKR´s)'!task_progress</vt:lpstr>
      <vt:lpstr>'Proyecto Datos'!task_start</vt:lpstr>
      <vt:lpstr>'Proyecto Datos (Actual)'!task_start</vt:lpstr>
      <vt:lpstr>'Proyecto Datos (OKR´s)'!task_start</vt:lpstr>
      <vt:lpstr>'Proyecto Datos'!Títulos_a_imprimir</vt:lpstr>
      <vt:lpstr>'Proyecto Datos (Actual)'!Títulos_a_imprimir</vt:lpstr>
      <vt:lpstr>'Proyecto Datos (OKR´s)'!Títulos_a_imprimir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2026-06-08T19:37:03Z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