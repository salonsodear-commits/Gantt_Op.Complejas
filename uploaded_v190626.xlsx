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8_{F60E744F-A733-4A66-9EDF-60E6F83B900A}" xr6:coauthVersionLast="47" xr6:coauthVersionMax="47" xr10:uidLastSave="{00000000-0000-0000-0000-000000000000}"/>
  <bookViews>
    <workbookView xWindow="28680" yWindow="-120" windowWidth="20730" windowHeight="11040" xr2:uid="{00000000-000D-0000-FFFF-FFFF00000000}"/>
  </bookViews>
  <sheets>
    <sheet name="Proyecto Datos (OKR´s)" sheetId="14" r:id="rId1"/>
    <sheet name="Proyecto Datos (Actual)" sheetId="13" state="hidden" r:id="rId2"/>
    <sheet name="Proyecto Datos" sheetId="11" state="hidden" r:id="rId3"/>
    <sheet name="Acerca de" sheetId="12" state="hidden" r:id="rId4"/>
    <sheet name="Tablero" sheetId="15" r:id="rId5"/>
    <sheet name="Entregas Próximas" sheetId="16" r:id="rId6"/>
    <sheet name="Sprints" sheetId="19" r:id="rId7"/>
    <sheet name="_Datos" sheetId="18" state="hidden" r:id="rId8"/>
  </sheets>
  <definedNames>
    <definedName name="_xlnm._FilterDatabase" localSheetId="5" hidden="1">'Entregas Próximas'!$B$6:$M$156</definedName>
    <definedName name="hoy" localSheetId="2">TODAY()</definedName>
    <definedName name="hoy" localSheetId="1">TODAY()</definedName>
    <definedName name="hoy" localSheetId="0">TODAY()</definedName>
    <definedName name="Inicio_del_proyecto" localSheetId="1">'Proyecto Datos (Actual)'!$E$3</definedName>
    <definedName name="Inicio_del_proyecto" localSheetId="0">'Proyecto Datos (OKR´s)'!$K$3</definedName>
    <definedName name="Inicio_del_proyecto">'Proyecto Datos'!$E$3</definedName>
    <definedName name="Semana_para_mostrar" localSheetId="1">'Proyecto Datos (Actual)'!$E$4</definedName>
    <definedName name="Semana_para_mostrar" localSheetId="0">'Proyecto Datos (OKR´s)'!$K$4</definedName>
    <definedName name="Semana_para_mostrar">'Proyecto Datos'!$E$4</definedName>
    <definedName name="task_end" localSheetId="2">'Proyecto Datos'!$F1</definedName>
    <definedName name="task_end" localSheetId="1">'Proyecto Datos (Actual)'!$F1</definedName>
    <definedName name="task_end" localSheetId="0">'Proyecto Datos (OKR´s)'!$L1</definedName>
    <definedName name="task_progress" localSheetId="2">'Proyecto Datos'!$D1</definedName>
    <definedName name="task_progress" localSheetId="1">'Proyecto Datos (Actual)'!$D1</definedName>
    <definedName name="task_progress" localSheetId="0">'Proyecto Datos (OKR´s)'!$J1</definedName>
    <definedName name="task_start" localSheetId="2">'Proyecto Datos'!$E1</definedName>
    <definedName name="task_start" localSheetId="1">'Proyecto Datos (Actual)'!$E1</definedName>
    <definedName name="task_start" localSheetId="0">'Proyecto Datos (OKR´s)'!$K1</definedName>
    <definedName name="_xlnm.Print_Titles" localSheetId="2">'Proyecto Datos'!$4:$6</definedName>
    <definedName name="_xlnm.Print_Titles" localSheetId="1">'Proyecto Datos (Actual)'!$4:$6</definedName>
    <definedName name="_xlnm.Print_Titles" localSheetId="0">'Proyecto Datos (OKR´s)'!$4:$6</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0" i="18" l="1"/>
  <c r="C200" i="18" s="1"/>
  <c r="A200" i="18"/>
  <c r="AO199" i="18"/>
  <c r="AE199" i="18"/>
  <c r="X199" i="18"/>
  <c r="S199" i="18"/>
  <c r="L199" i="18"/>
  <c r="G199" i="18"/>
  <c r="B199" i="18"/>
  <c r="C199" i="18" s="1"/>
  <c r="W199" i="18" s="1"/>
  <c r="A199" i="18"/>
  <c r="AN198" i="18"/>
  <c r="AD198" i="18"/>
  <c r="X198" i="18"/>
  <c r="W198" i="18"/>
  <c r="R198" i="18"/>
  <c r="L198" i="18"/>
  <c r="I198" i="18"/>
  <c r="F198" i="18"/>
  <c r="B198" i="18"/>
  <c r="C198" i="18" s="1"/>
  <c r="AP198" i="18" s="1"/>
  <c r="A198" i="18"/>
  <c r="AP197" i="18"/>
  <c r="AM197" i="18"/>
  <c r="AL197" i="18"/>
  <c r="AF197" i="18"/>
  <c r="AI197" i="18" s="1"/>
  <c r="AA197" i="18"/>
  <c r="Z197" i="18"/>
  <c r="X197" i="18"/>
  <c r="W197" i="18"/>
  <c r="V197" i="18"/>
  <c r="O197" i="18"/>
  <c r="N197" i="18"/>
  <c r="L197" i="18"/>
  <c r="I197" i="18"/>
  <c r="H197" i="18"/>
  <c r="E197" i="18"/>
  <c r="D197" i="18"/>
  <c r="B197" i="18"/>
  <c r="C197" i="18" s="1"/>
  <c r="AO197" i="18" s="1"/>
  <c r="A197" i="18"/>
  <c r="AO196" i="18"/>
  <c r="AG196" i="18"/>
  <c r="AF196" i="18"/>
  <c r="AH196" i="18" s="1"/>
  <c r="AE196" i="18"/>
  <c r="W196" i="18"/>
  <c r="N196" i="18"/>
  <c r="M196" i="18"/>
  <c r="I196" i="18"/>
  <c r="D196" i="18"/>
  <c r="B196" i="18"/>
  <c r="C196" i="18" s="1"/>
  <c r="S196" i="18" s="1"/>
  <c r="A196" i="18"/>
  <c r="V195" i="18"/>
  <c r="B195" i="18"/>
  <c r="C195" i="18" s="1"/>
  <c r="A195" i="18"/>
  <c r="AO194" i="18"/>
  <c r="AN194" i="18"/>
  <c r="AM194" i="18"/>
  <c r="AE194" i="18"/>
  <c r="AD194" i="18"/>
  <c r="AA194" i="18"/>
  <c r="X194" i="18"/>
  <c r="W194" i="18"/>
  <c r="S194" i="18"/>
  <c r="R194" i="18"/>
  <c r="O194" i="18"/>
  <c r="L194" i="18"/>
  <c r="I194" i="18"/>
  <c r="G194" i="18"/>
  <c r="F194" i="18"/>
  <c r="E194" i="18"/>
  <c r="B194" i="18"/>
  <c r="C194" i="18" s="1"/>
  <c r="A194" i="18"/>
  <c r="AP193" i="18"/>
  <c r="AN193" i="18"/>
  <c r="AM193" i="18"/>
  <c r="AL193" i="18"/>
  <c r="AF193" i="18"/>
  <c r="AD193" i="18"/>
  <c r="AA193" i="18"/>
  <c r="Z193" i="18"/>
  <c r="W193" i="18"/>
  <c r="V193" i="18"/>
  <c r="R193" i="18"/>
  <c r="O193" i="18"/>
  <c r="N193" i="18"/>
  <c r="I193" i="18"/>
  <c r="H193" i="18"/>
  <c r="F193" i="18"/>
  <c r="E193" i="18"/>
  <c r="D193" i="18"/>
  <c r="B193" i="18"/>
  <c r="C193" i="18" s="1"/>
  <c r="X193" i="18" s="1"/>
  <c r="A193" i="18"/>
  <c r="AF192" i="18"/>
  <c r="N192" i="18"/>
  <c r="B192" i="18"/>
  <c r="C192" i="18" s="1"/>
  <c r="O192" i="18" s="1"/>
  <c r="A192" i="18"/>
  <c r="AO191" i="18"/>
  <c r="AD191" i="18"/>
  <c r="Z191" i="18"/>
  <c r="Y191" i="18"/>
  <c r="R191" i="18"/>
  <c r="L191" i="18"/>
  <c r="G191" i="18"/>
  <c r="F191" i="18"/>
  <c r="B191" i="18"/>
  <c r="C191" i="18" s="1"/>
  <c r="N191" i="18" s="1"/>
  <c r="A191" i="18"/>
  <c r="AN190" i="18"/>
  <c r="AA190" i="18"/>
  <c r="Y190" i="18"/>
  <c r="X190" i="18"/>
  <c r="R190" i="18"/>
  <c r="O190" i="18"/>
  <c r="M190" i="18"/>
  <c r="I190" i="18"/>
  <c r="F190" i="18"/>
  <c r="E190" i="18"/>
  <c r="B190" i="18"/>
  <c r="C190" i="18" s="1"/>
  <c r="A190" i="18"/>
  <c r="AM189" i="18"/>
  <c r="Z189" i="18"/>
  <c r="W189" i="18"/>
  <c r="N189" i="18"/>
  <c r="I189" i="18"/>
  <c r="E189" i="18"/>
  <c r="B189" i="18"/>
  <c r="C189" i="18" s="1"/>
  <c r="O189" i="18" s="1"/>
  <c r="A189" i="18"/>
  <c r="AP188" i="18"/>
  <c r="AM188" i="18"/>
  <c r="AL188" i="18"/>
  <c r="AD188" i="18"/>
  <c r="AB188" i="18"/>
  <c r="Z188" i="18"/>
  <c r="Y188" i="18"/>
  <c r="X188" i="18"/>
  <c r="T188" i="18"/>
  <c r="S188" i="18"/>
  <c r="O188" i="18"/>
  <c r="N188" i="18"/>
  <c r="M188" i="18"/>
  <c r="I188" i="18"/>
  <c r="H188" i="18"/>
  <c r="F188" i="18"/>
  <c r="E188" i="18"/>
  <c r="D188" i="18"/>
  <c r="B188" i="18"/>
  <c r="C188" i="18" s="1"/>
  <c r="AN188" i="18" s="1"/>
  <c r="A188" i="18"/>
  <c r="AO187" i="18"/>
  <c r="AJ187" i="18"/>
  <c r="AF187" i="18"/>
  <c r="AD187" i="18"/>
  <c r="AA187" i="18"/>
  <c r="W187" i="18"/>
  <c r="T187" i="18"/>
  <c r="S187" i="18"/>
  <c r="R187" i="18"/>
  <c r="M187" i="18"/>
  <c r="H187" i="18"/>
  <c r="G187" i="18"/>
  <c r="F187" i="18"/>
  <c r="D187" i="18"/>
  <c r="B187" i="18"/>
  <c r="C187" i="18" s="1"/>
  <c r="AM187" i="18" s="1"/>
  <c r="A187" i="18"/>
  <c r="AP186" i="18"/>
  <c r="AN186" i="18"/>
  <c r="AM186" i="18"/>
  <c r="AJ186" i="18"/>
  <c r="AF186" i="18"/>
  <c r="AE186" i="18"/>
  <c r="AA186" i="18"/>
  <c r="Z186" i="18"/>
  <c r="X186" i="18"/>
  <c r="W186" i="18"/>
  <c r="V186" i="18"/>
  <c r="T186" i="18"/>
  <c r="R186" i="18"/>
  <c r="M186" i="18"/>
  <c r="L186" i="18"/>
  <c r="J186" i="18"/>
  <c r="I186" i="18"/>
  <c r="G186" i="18"/>
  <c r="F186" i="18"/>
  <c r="D186" i="18"/>
  <c r="B186" i="18"/>
  <c r="C186" i="18" s="1"/>
  <c r="A186" i="18"/>
  <c r="AP185" i="18"/>
  <c r="AN185" i="18"/>
  <c r="AM185" i="18"/>
  <c r="AJ185" i="18"/>
  <c r="AE185" i="18"/>
  <c r="AD185" i="18"/>
  <c r="AA185" i="18"/>
  <c r="Z185" i="18"/>
  <c r="Y185" i="18"/>
  <c r="X185" i="18"/>
  <c r="V185" i="18"/>
  <c r="T185" i="18"/>
  <c r="R185" i="18"/>
  <c r="O185" i="18"/>
  <c r="N185" i="18"/>
  <c r="M185" i="18"/>
  <c r="J185" i="18"/>
  <c r="I185" i="18"/>
  <c r="G185" i="18"/>
  <c r="F185" i="18"/>
  <c r="E185" i="18"/>
  <c r="D185" i="18"/>
  <c r="B185" i="18"/>
  <c r="C185" i="18" s="1"/>
  <c r="A185" i="18"/>
  <c r="AP184" i="18"/>
  <c r="AN184" i="18"/>
  <c r="AM184" i="18"/>
  <c r="AL184" i="18"/>
  <c r="AJ184" i="18"/>
  <c r="AE184" i="18"/>
  <c r="AD184" i="18"/>
  <c r="AB184" i="18"/>
  <c r="AA184" i="18"/>
  <c r="Y184" i="18"/>
  <c r="X184" i="18"/>
  <c r="V184" i="18"/>
  <c r="T184" i="18"/>
  <c r="S184" i="18"/>
  <c r="R184" i="18"/>
  <c r="N184" i="18"/>
  <c r="M184" i="18"/>
  <c r="J184" i="18"/>
  <c r="I184" i="18"/>
  <c r="H184" i="18"/>
  <c r="G184" i="18"/>
  <c r="E184" i="18"/>
  <c r="D184" i="18"/>
  <c r="B184" i="18"/>
  <c r="C184" i="18" s="1"/>
  <c r="Z184" i="18" s="1"/>
  <c r="A184" i="18"/>
  <c r="AO183" i="18"/>
  <c r="AL183" i="18"/>
  <c r="AD183" i="18"/>
  <c r="AA183" i="18"/>
  <c r="X183" i="18"/>
  <c r="S183" i="18"/>
  <c r="O183" i="18"/>
  <c r="K183" i="18"/>
  <c r="G183" i="18"/>
  <c r="D183" i="18"/>
  <c r="C183" i="18"/>
  <c r="Y183" i="18" s="1"/>
  <c r="B183" i="18"/>
  <c r="A183" i="18"/>
  <c r="AN182" i="18"/>
  <c r="V182" i="18"/>
  <c r="I182" i="18"/>
  <c r="C182" i="18"/>
  <c r="AC182" i="18" s="1"/>
  <c r="B182" i="18"/>
  <c r="A182" i="18"/>
  <c r="AP181" i="18"/>
  <c r="AL181" i="18"/>
  <c r="AH181" i="18"/>
  <c r="AF181" i="18"/>
  <c r="AG181" i="18" s="1"/>
  <c r="AA181" i="18"/>
  <c r="Y181" i="18"/>
  <c r="X181" i="18"/>
  <c r="U181" i="18"/>
  <c r="O181" i="18"/>
  <c r="L181" i="18"/>
  <c r="K181" i="18"/>
  <c r="H181" i="18"/>
  <c r="D181" i="18"/>
  <c r="C181" i="18"/>
  <c r="B181" i="18"/>
  <c r="A181" i="18"/>
  <c r="V180" i="18"/>
  <c r="K180" i="18"/>
  <c r="G180" i="18"/>
  <c r="C180" i="18"/>
  <c r="X180" i="18" s="1"/>
  <c r="B180" i="18"/>
  <c r="A180" i="18"/>
  <c r="AA179" i="18"/>
  <c r="I179" i="18"/>
  <c r="C179" i="18"/>
  <c r="S179" i="18" s="1"/>
  <c r="B179" i="18"/>
  <c r="A179" i="18"/>
  <c r="AF178" i="18"/>
  <c r="C178" i="18"/>
  <c r="AK178" i="18" s="1"/>
  <c r="B178" i="18"/>
  <c r="A178" i="18"/>
  <c r="AP177" i="18"/>
  <c r="AB177" i="18"/>
  <c r="T177" i="18"/>
  <c r="N177" i="18"/>
  <c r="F177" i="18"/>
  <c r="C177" i="18"/>
  <c r="AC177" i="18" s="1"/>
  <c r="B177" i="18"/>
  <c r="A177" i="18"/>
  <c r="AC176" i="18"/>
  <c r="M176" i="18"/>
  <c r="C176" i="18"/>
  <c r="B176" i="18"/>
  <c r="A176" i="18"/>
  <c r="C175" i="18"/>
  <c r="B175" i="18"/>
  <c r="A175" i="18"/>
  <c r="AN174" i="18"/>
  <c r="AM174" i="18"/>
  <c r="AJ174" i="18"/>
  <c r="AE174" i="18"/>
  <c r="AC174" i="18"/>
  <c r="AA174" i="18"/>
  <c r="Y174" i="18"/>
  <c r="U174" i="18"/>
  <c r="T174" i="18"/>
  <c r="R174" i="18"/>
  <c r="N174" i="18"/>
  <c r="J174" i="18"/>
  <c r="I174" i="18"/>
  <c r="G174" i="18"/>
  <c r="E174" i="18"/>
  <c r="C174" i="18"/>
  <c r="AO174" i="18" s="1"/>
  <c r="B174" i="18"/>
  <c r="A174" i="18"/>
  <c r="AN173" i="18"/>
  <c r="AE173" i="18"/>
  <c r="Y173" i="18"/>
  <c r="U173" i="18"/>
  <c r="N173" i="18"/>
  <c r="J173" i="18"/>
  <c r="E173" i="18"/>
  <c r="C173" i="18"/>
  <c r="AO173" i="18" s="1"/>
  <c r="B173" i="18"/>
  <c r="A173" i="18"/>
  <c r="AK172" i="18"/>
  <c r="Y172" i="18"/>
  <c r="B172" i="18"/>
  <c r="C172" i="18" s="1"/>
  <c r="A172" i="18"/>
  <c r="AK171" i="18"/>
  <c r="AF171" i="18"/>
  <c r="AB171" i="18"/>
  <c r="W171" i="18"/>
  <c r="S171" i="18"/>
  <c r="K171" i="18"/>
  <c r="B171" i="18"/>
  <c r="C171" i="18" s="1"/>
  <c r="A171" i="18"/>
  <c r="AO170" i="18"/>
  <c r="AM170" i="18"/>
  <c r="AI170" i="18"/>
  <c r="AF170" i="18"/>
  <c r="AD170" i="18"/>
  <c r="AA170" i="18"/>
  <c r="Z170" i="18"/>
  <c r="X170" i="18"/>
  <c r="V170" i="18"/>
  <c r="S170" i="18"/>
  <c r="R170" i="18"/>
  <c r="N170" i="18"/>
  <c r="L170" i="18"/>
  <c r="I170" i="18"/>
  <c r="H170" i="18"/>
  <c r="F170" i="18"/>
  <c r="D170" i="18"/>
  <c r="C170" i="18"/>
  <c r="AL170" i="18" s="1"/>
  <c r="B170" i="18"/>
  <c r="A170" i="18"/>
  <c r="AP169" i="18"/>
  <c r="AN169" i="18"/>
  <c r="AL169" i="18"/>
  <c r="AI169" i="18"/>
  <c r="AF169" i="18"/>
  <c r="AG169" i="18" s="1"/>
  <c r="AD169" i="18"/>
  <c r="AA169" i="18"/>
  <c r="Z169" i="18"/>
  <c r="X169" i="18"/>
  <c r="V169" i="18"/>
  <c r="S169" i="18"/>
  <c r="R169" i="18"/>
  <c r="N169" i="18"/>
  <c r="L169" i="18"/>
  <c r="I169" i="18"/>
  <c r="H169" i="18"/>
  <c r="F169" i="18"/>
  <c r="D169" i="18"/>
  <c r="C169" i="18"/>
  <c r="AO169" i="18" s="1"/>
  <c r="B169" i="18"/>
  <c r="A169" i="18"/>
  <c r="AP168" i="18"/>
  <c r="AN168" i="18"/>
  <c r="AL168" i="18"/>
  <c r="AF168" i="18"/>
  <c r="AD168" i="18"/>
  <c r="AA168" i="18"/>
  <c r="Z168" i="18"/>
  <c r="X168" i="18"/>
  <c r="V168" i="18"/>
  <c r="S168" i="18"/>
  <c r="R168" i="18"/>
  <c r="N168" i="18"/>
  <c r="L168" i="18"/>
  <c r="I168" i="18"/>
  <c r="H168" i="18"/>
  <c r="F168" i="18"/>
  <c r="D168" i="18"/>
  <c r="C168" i="18"/>
  <c r="AO168" i="18" s="1"/>
  <c r="B168" i="18"/>
  <c r="A168" i="18"/>
  <c r="AP167" i="18"/>
  <c r="AN167" i="18"/>
  <c r="AL167" i="18"/>
  <c r="AI167" i="18"/>
  <c r="AH167" i="18"/>
  <c r="AF167" i="18"/>
  <c r="AG167" i="18" s="1"/>
  <c r="AD167" i="18"/>
  <c r="AA167" i="18"/>
  <c r="Z167" i="18"/>
  <c r="X167" i="18"/>
  <c r="V167" i="18"/>
  <c r="S167" i="18"/>
  <c r="R167" i="18"/>
  <c r="N167" i="18"/>
  <c r="L167" i="18"/>
  <c r="I167" i="18"/>
  <c r="H167" i="18"/>
  <c r="F167" i="18"/>
  <c r="D167" i="18"/>
  <c r="C167" i="18"/>
  <c r="AO167" i="18" s="1"/>
  <c r="B167" i="18"/>
  <c r="A167" i="18"/>
  <c r="AP166" i="18"/>
  <c r="AN166" i="18"/>
  <c r="AL166" i="18"/>
  <c r="AK166" i="18"/>
  <c r="AF166" i="18"/>
  <c r="AC166" i="18"/>
  <c r="AA166" i="18"/>
  <c r="Z166" i="18"/>
  <c r="X166" i="18"/>
  <c r="V166" i="18"/>
  <c r="U166" i="18"/>
  <c r="S166" i="18"/>
  <c r="N166" i="18"/>
  <c r="L166" i="18"/>
  <c r="K166" i="18"/>
  <c r="I166" i="18"/>
  <c r="H166" i="18"/>
  <c r="F166" i="18"/>
  <c r="D166" i="18"/>
  <c r="C166" i="18"/>
  <c r="B166" i="18"/>
  <c r="A166" i="18"/>
  <c r="V165" i="18"/>
  <c r="R165" i="18"/>
  <c r="H165" i="18"/>
  <c r="C165" i="18"/>
  <c r="AD165" i="18" s="1"/>
  <c r="B165" i="18"/>
  <c r="A165" i="18"/>
  <c r="AP164" i="18"/>
  <c r="AL164" i="18"/>
  <c r="AC164" i="18"/>
  <c r="AA164" i="18"/>
  <c r="Z164" i="18"/>
  <c r="U164" i="18"/>
  <c r="N164" i="18"/>
  <c r="L164" i="18"/>
  <c r="K164" i="18"/>
  <c r="F164" i="18"/>
  <c r="C164" i="18"/>
  <c r="AN164" i="18" s="1"/>
  <c r="B164" i="18"/>
  <c r="A164" i="18"/>
  <c r="AK163" i="18"/>
  <c r="AC163" i="18"/>
  <c r="R163" i="18"/>
  <c r="K163" i="18"/>
  <c r="D163" i="18"/>
  <c r="B163" i="18"/>
  <c r="C163" i="18" s="1"/>
  <c r="AP163" i="18" s="1"/>
  <c r="A163" i="18"/>
  <c r="AJ162" i="18"/>
  <c r="U162" i="18"/>
  <c r="L162" i="18"/>
  <c r="I162" i="18"/>
  <c r="B162" i="18"/>
  <c r="C162" i="18" s="1"/>
  <c r="AF162" i="18" s="1"/>
  <c r="A162" i="18"/>
  <c r="M161" i="18"/>
  <c r="B161" i="18"/>
  <c r="C161" i="18" s="1"/>
  <c r="AC161" i="18" s="1"/>
  <c r="A161" i="18"/>
  <c r="AB160" i="18"/>
  <c r="M160" i="18"/>
  <c r="B160" i="18"/>
  <c r="C160" i="18" s="1"/>
  <c r="AE160" i="18" s="1"/>
  <c r="A160" i="18"/>
  <c r="AM159" i="18"/>
  <c r="AB159" i="18"/>
  <c r="M159" i="18"/>
  <c r="J159" i="18"/>
  <c r="G159" i="18"/>
  <c r="B159" i="18"/>
  <c r="C159" i="18" s="1"/>
  <c r="W159" i="18" s="1"/>
  <c r="A159" i="18"/>
  <c r="AJ158" i="18"/>
  <c r="AE158" i="18"/>
  <c r="W158" i="18"/>
  <c r="M158" i="18"/>
  <c r="J158" i="18"/>
  <c r="G158" i="18"/>
  <c r="B158" i="18"/>
  <c r="C158" i="18" s="1"/>
  <c r="AO158" i="18" s="1"/>
  <c r="A158" i="18"/>
  <c r="AE157" i="18"/>
  <c r="X157" i="18"/>
  <c r="M157" i="18"/>
  <c r="G157" i="18"/>
  <c r="B157" i="18"/>
  <c r="C157" i="18" s="1"/>
  <c r="N157" i="18" s="1"/>
  <c r="A157" i="18"/>
  <c r="AP156" i="18"/>
  <c r="AM156" i="18"/>
  <c r="AF156" i="18"/>
  <c r="AA156" i="18"/>
  <c r="X156" i="18"/>
  <c r="W156" i="18"/>
  <c r="T156" i="18"/>
  <c r="O156" i="18"/>
  <c r="J156" i="18"/>
  <c r="I156" i="18"/>
  <c r="H156" i="18"/>
  <c r="E156" i="18"/>
  <c r="B156" i="18"/>
  <c r="C156" i="18" s="1"/>
  <c r="Y156" i="18" s="1"/>
  <c r="A156" i="18"/>
  <c r="AN155" i="18"/>
  <c r="AJ155" i="18"/>
  <c r="AE155" i="18"/>
  <c r="AA155" i="18"/>
  <c r="U155" i="18"/>
  <c r="R155" i="18"/>
  <c r="J155" i="18"/>
  <c r="G155" i="18"/>
  <c r="C155" i="18"/>
  <c r="AO155" i="18" s="1"/>
  <c r="B155" i="18"/>
  <c r="A155" i="18"/>
  <c r="AN154" i="18"/>
  <c r="B154" i="18"/>
  <c r="C154" i="18" s="1"/>
  <c r="A154" i="18"/>
  <c r="AN153" i="18"/>
  <c r="AM153" i="18"/>
  <c r="AK153" i="18"/>
  <c r="AE153" i="18"/>
  <c r="AC153" i="18"/>
  <c r="AB153" i="18"/>
  <c r="Y153" i="18"/>
  <c r="U153" i="18"/>
  <c r="T153" i="18"/>
  <c r="S153" i="18"/>
  <c r="N153" i="18"/>
  <c r="J153" i="18"/>
  <c r="I153" i="18"/>
  <c r="H153" i="18"/>
  <c r="E153" i="18"/>
  <c r="C153" i="18"/>
  <c r="AO153" i="18" s="1"/>
  <c r="B153" i="18"/>
  <c r="A153" i="18"/>
  <c r="AF152" i="18"/>
  <c r="AB152" i="18"/>
  <c r="K152" i="18"/>
  <c r="B152" i="18"/>
  <c r="C152" i="18" s="1"/>
  <c r="AK152" i="18" s="1"/>
  <c r="A152" i="18"/>
  <c r="W151" i="18"/>
  <c r="B151" i="18"/>
  <c r="C151" i="18" s="1"/>
  <c r="A151" i="18"/>
  <c r="AC150" i="18"/>
  <c r="Z150" i="18"/>
  <c r="T150" i="18"/>
  <c r="O150" i="18"/>
  <c r="I150" i="18"/>
  <c r="F150" i="18"/>
  <c r="B150" i="18"/>
  <c r="C150" i="18" s="1"/>
  <c r="A150" i="18"/>
  <c r="T149" i="18"/>
  <c r="C149" i="18"/>
  <c r="AM149" i="18" s="1"/>
  <c r="B149" i="18"/>
  <c r="A149" i="18"/>
  <c r="U148" i="18"/>
  <c r="C148" i="18"/>
  <c r="B148" i="18"/>
  <c r="A148" i="18"/>
  <c r="R147" i="18"/>
  <c r="C147" i="18"/>
  <c r="AC147" i="18" s="1"/>
  <c r="B147" i="18"/>
  <c r="A147" i="18"/>
  <c r="U146" i="18"/>
  <c r="C146" i="18"/>
  <c r="B146" i="18"/>
  <c r="A146" i="18"/>
  <c r="AK145" i="18"/>
  <c r="R145" i="18"/>
  <c r="C145" i="18"/>
  <c r="B145" i="18"/>
  <c r="A145" i="18"/>
  <c r="U144" i="18"/>
  <c r="C144" i="18"/>
  <c r="B144" i="18"/>
  <c r="A144" i="18"/>
  <c r="AK143" i="18"/>
  <c r="R143" i="18"/>
  <c r="C143" i="18"/>
  <c r="B143" i="18"/>
  <c r="A143" i="18"/>
  <c r="U142" i="18"/>
  <c r="C142" i="18"/>
  <c r="B142" i="18"/>
  <c r="A142" i="18"/>
  <c r="AK141" i="18"/>
  <c r="C141" i="18"/>
  <c r="B141" i="18"/>
  <c r="A141" i="18"/>
  <c r="AP140" i="18"/>
  <c r="AK140" i="18"/>
  <c r="U140" i="18"/>
  <c r="R140" i="18"/>
  <c r="M140" i="18"/>
  <c r="K140" i="18"/>
  <c r="H140" i="18"/>
  <c r="E140" i="18"/>
  <c r="C140" i="18"/>
  <c r="Z140" i="18" s="1"/>
  <c r="B140" i="18"/>
  <c r="A140" i="18"/>
  <c r="AP139" i="18"/>
  <c r="AM139" i="18"/>
  <c r="AK139" i="18"/>
  <c r="AE139" i="18"/>
  <c r="W139" i="18"/>
  <c r="U139" i="18"/>
  <c r="R139" i="18"/>
  <c r="M139" i="18"/>
  <c r="K139" i="18"/>
  <c r="H139" i="18"/>
  <c r="C139" i="18"/>
  <c r="B139" i="18"/>
  <c r="A139" i="18"/>
  <c r="AA138" i="18"/>
  <c r="C138" i="18"/>
  <c r="B138" i="18"/>
  <c r="A138" i="18"/>
  <c r="AP137" i="18"/>
  <c r="AD137" i="18"/>
  <c r="Y137" i="18"/>
  <c r="W137" i="18"/>
  <c r="S137" i="18"/>
  <c r="L137" i="18"/>
  <c r="K137" i="18"/>
  <c r="G137" i="18"/>
  <c r="C137" i="18"/>
  <c r="B137" i="18"/>
  <c r="A137" i="18"/>
  <c r="AM136" i="18"/>
  <c r="AC136" i="18"/>
  <c r="Y136" i="18"/>
  <c r="W136" i="18"/>
  <c r="V136" i="18"/>
  <c r="R136" i="18"/>
  <c r="L136" i="18"/>
  <c r="K136" i="18"/>
  <c r="I136" i="18"/>
  <c r="E136" i="18"/>
  <c r="C136" i="18"/>
  <c r="B136" i="18"/>
  <c r="A136" i="18"/>
  <c r="T135" i="18"/>
  <c r="L135" i="18"/>
  <c r="I135" i="18"/>
  <c r="C135" i="18"/>
  <c r="AL135" i="18" s="1"/>
  <c r="B135" i="18"/>
  <c r="A135" i="18"/>
  <c r="AP134" i="18"/>
  <c r="AC134" i="18"/>
  <c r="Z134" i="18"/>
  <c r="U134" i="18"/>
  <c r="H134" i="18"/>
  <c r="C134" i="18"/>
  <c r="B134" i="18"/>
  <c r="A134" i="18"/>
  <c r="AP133" i="18"/>
  <c r="R133" i="18"/>
  <c r="K133" i="18"/>
  <c r="H133" i="18"/>
  <c r="C133" i="18"/>
  <c r="AC133" i="18" s="1"/>
  <c r="B133" i="18"/>
  <c r="A133" i="18"/>
  <c r="AC132" i="18"/>
  <c r="Z132" i="18"/>
  <c r="U132" i="18"/>
  <c r="H132" i="18"/>
  <c r="C132" i="18"/>
  <c r="B132" i="18"/>
  <c r="A132" i="18"/>
  <c r="AP131" i="18"/>
  <c r="R131" i="18"/>
  <c r="K131" i="18"/>
  <c r="H131" i="18"/>
  <c r="C131" i="18"/>
  <c r="AC131" i="18" s="1"/>
  <c r="B131" i="18"/>
  <c r="A131" i="18"/>
  <c r="AC130" i="18"/>
  <c r="Z130" i="18"/>
  <c r="U130" i="18"/>
  <c r="C130" i="18"/>
  <c r="B130" i="18"/>
  <c r="A130" i="18"/>
  <c r="AP129" i="18"/>
  <c r="AK129" i="18"/>
  <c r="Z129" i="18"/>
  <c r="U129" i="18"/>
  <c r="R129" i="18"/>
  <c r="L129" i="18"/>
  <c r="K129" i="18"/>
  <c r="H129" i="18"/>
  <c r="D129" i="18"/>
  <c r="C129" i="18"/>
  <c r="B129" i="18"/>
  <c r="A129" i="18"/>
  <c r="AP128" i="18"/>
  <c r="AL128" i="18"/>
  <c r="AK128" i="18"/>
  <c r="U128" i="18"/>
  <c r="R128" i="18"/>
  <c r="L128" i="18"/>
  <c r="K128" i="18"/>
  <c r="C128" i="18"/>
  <c r="V128" i="18" s="1"/>
  <c r="B128" i="18"/>
  <c r="A128" i="18"/>
  <c r="AP127" i="18"/>
  <c r="AL127" i="18"/>
  <c r="AK127" i="18"/>
  <c r="V127" i="18"/>
  <c r="U127" i="18"/>
  <c r="R127" i="18"/>
  <c r="L127" i="18"/>
  <c r="D127" i="18"/>
  <c r="C127" i="18"/>
  <c r="B127" i="18"/>
  <c r="A127" i="18"/>
  <c r="C126" i="18"/>
  <c r="B126" i="18"/>
  <c r="A126" i="18"/>
  <c r="AC125" i="18"/>
  <c r="D125" i="18"/>
  <c r="C125" i="18"/>
  <c r="V125" i="18" s="1"/>
  <c r="B125" i="18"/>
  <c r="A125" i="18"/>
  <c r="AD124" i="18"/>
  <c r="H124" i="18"/>
  <c r="D124" i="18"/>
  <c r="C124" i="18"/>
  <c r="V124" i="18" s="1"/>
  <c r="B124" i="18"/>
  <c r="A124" i="18"/>
  <c r="AD123" i="18"/>
  <c r="AC123" i="18"/>
  <c r="K123" i="18"/>
  <c r="H123" i="18"/>
  <c r="D123" i="18"/>
  <c r="C123" i="18"/>
  <c r="V123" i="18" s="1"/>
  <c r="B123" i="18"/>
  <c r="A123" i="18"/>
  <c r="AP122" i="18"/>
  <c r="AL122" i="18"/>
  <c r="AK122" i="18"/>
  <c r="AD122" i="18"/>
  <c r="AC122" i="18"/>
  <c r="U122" i="18"/>
  <c r="R122" i="18"/>
  <c r="L122" i="18"/>
  <c r="K122" i="18"/>
  <c r="H122" i="18"/>
  <c r="D122" i="18"/>
  <c r="C122" i="18"/>
  <c r="V122" i="18" s="1"/>
  <c r="B122" i="18"/>
  <c r="A122" i="18"/>
  <c r="AL121" i="18"/>
  <c r="AK121" i="18"/>
  <c r="AD121" i="18"/>
  <c r="U121" i="18"/>
  <c r="T121" i="18"/>
  <c r="S121" i="18"/>
  <c r="R121" i="18"/>
  <c r="I121" i="18"/>
  <c r="H121" i="18"/>
  <c r="G121" i="18"/>
  <c r="F121" i="18"/>
  <c r="C121" i="18"/>
  <c r="AP121" i="18" s="1"/>
  <c r="B121" i="18"/>
  <c r="A121" i="18"/>
  <c r="AP120" i="18"/>
  <c r="AO120" i="18"/>
  <c r="AN120" i="18"/>
  <c r="AF120" i="18"/>
  <c r="AA120" i="18"/>
  <c r="Z120" i="18"/>
  <c r="Y120" i="18"/>
  <c r="X120" i="18"/>
  <c r="S120" i="18"/>
  <c r="R120" i="18"/>
  <c r="O120" i="18"/>
  <c r="N120" i="18"/>
  <c r="I120" i="18"/>
  <c r="H120" i="18"/>
  <c r="G120" i="18"/>
  <c r="F120" i="18"/>
  <c r="C120" i="18"/>
  <c r="AM120" i="18" s="1"/>
  <c r="B120" i="18"/>
  <c r="A120" i="18"/>
  <c r="AP119" i="18"/>
  <c r="AO119" i="18"/>
  <c r="AN119" i="18"/>
  <c r="AI119" i="18"/>
  <c r="AG119" i="18"/>
  <c r="AF119" i="18"/>
  <c r="AH119" i="18" s="1"/>
  <c r="AA119" i="18"/>
  <c r="Z119" i="18"/>
  <c r="Y119" i="18"/>
  <c r="X119" i="18"/>
  <c r="S119" i="18"/>
  <c r="R119" i="18"/>
  <c r="O119" i="18"/>
  <c r="N119" i="18"/>
  <c r="I119" i="18"/>
  <c r="H119" i="18"/>
  <c r="G119" i="18"/>
  <c r="F119" i="18"/>
  <c r="C119" i="18"/>
  <c r="AM119" i="18" s="1"/>
  <c r="B119" i="18"/>
  <c r="A119" i="18"/>
  <c r="AP118" i="18"/>
  <c r="AO118" i="18"/>
  <c r="AN118" i="18"/>
  <c r="AI118" i="18"/>
  <c r="AH118" i="18"/>
  <c r="AG118" i="18"/>
  <c r="AF118" i="18"/>
  <c r="AA118" i="18"/>
  <c r="Z118" i="18"/>
  <c r="Y118" i="18"/>
  <c r="X118" i="18"/>
  <c r="S118" i="18"/>
  <c r="R118" i="18"/>
  <c r="O118" i="18"/>
  <c r="N118" i="18"/>
  <c r="I118" i="18"/>
  <c r="H118" i="18"/>
  <c r="G118" i="18"/>
  <c r="F118" i="18"/>
  <c r="C118" i="18"/>
  <c r="AM118" i="18" s="1"/>
  <c r="B118" i="18"/>
  <c r="A118" i="18"/>
  <c r="AP117" i="18"/>
  <c r="AO117" i="18"/>
  <c r="AN117" i="18"/>
  <c r="AF117" i="18"/>
  <c r="AI117" i="18" s="1"/>
  <c r="AA117" i="18"/>
  <c r="Z117" i="18"/>
  <c r="Y117" i="18"/>
  <c r="X117" i="18"/>
  <c r="S117" i="18"/>
  <c r="R117" i="18"/>
  <c r="O117" i="18"/>
  <c r="N117" i="18"/>
  <c r="I117" i="18"/>
  <c r="H117" i="18"/>
  <c r="G117" i="18"/>
  <c r="F117" i="18"/>
  <c r="C117" i="18"/>
  <c r="AM117" i="18" s="1"/>
  <c r="B117" i="18"/>
  <c r="A117" i="18"/>
  <c r="AP116" i="18"/>
  <c r="AO116" i="18"/>
  <c r="AN116" i="18"/>
  <c r="AF116" i="18"/>
  <c r="AA116" i="18"/>
  <c r="Z116" i="18"/>
  <c r="Y116" i="18"/>
  <c r="X116" i="18"/>
  <c r="S116" i="18"/>
  <c r="R116" i="18"/>
  <c r="O116" i="18"/>
  <c r="N116" i="18"/>
  <c r="I116" i="18"/>
  <c r="H116" i="18"/>
  <c r="G116" i="18"/>
  <c r="F116" i="18"/>
  <c r="C116" i="18"/>
  <c r="AM116" i="18" s="1"/>
  <c r="B116" i="18"/>
  <c r="A116" i="18"/>
  <c r="AP115" i="18"/>
  <c r="AO115" i="18"/>
  <c r="AN115" i="18"/>
  <c r="AI115" i="18"/>
  <c r="AG115" i="18"/>
  <c r="AF115" i="18"/>
  <c r="AH115" i="18" s="1"/>
  <c r="AA115" i="18"/>
  <c r="Z115" i="18"/>
  <c r="Y115" i="18"/>
  <c r="X115" i="18"/>
  <c r="S115" i="18"/>
  <c r="R115" i="18"/>
  <c r="O115" i="18"/>
  <c r="N115" i="18"/>
  <c r="I115" i="18"/>
  <c r="H115" i="18"/>
  <c r="G115" i="18"/>
  <c r="F115" i="18"/>
  <c r="C115" i="18"/>
  <c r="AM115" i="18" s="1"/>
  <c r="B115" i="18"/>
  <c r="A115" i="18"/>
  <c r="AP114" i="18"/>
  <c r="AO114" i="18"/>
  <c r="AN114" i="18"/>
  <c r="AI114" i="18"/>
  <c r="AH114" i="18"/>
  <c r="AG114" i="18"/>
  <c r="AF114" i="18"/>
  <c r="AA114" i="18"/>
  <c r="Z114" i="18"/>
  <c r="Y114" i="18"/>
  <c r="X114" i="18"/>
  <c r="S114" i="18"/>
  <c r="R114" i="18"/>
  <c r="O114" i="18"/>
  <c r="N114" i="18"/>
  <c r="I114" i="18"/>
  <c r="H114" i="18"/>
  <c r="G114" i="18"/>
  <c r="F114" i="18"/>
  <c r="C114" i="18"/>
  <c r="AM114" i="18" s="1"/>
  <c r="B114" i="18"/>
  <c r="A114" i="18"/>
  <c r="AP113" i="18"/>
  <c r="AO113" i="18"/>
  <c r="AN113" i="18"/>
  <c r="AF113" i="18"/>
  <c r="AA113" i="18"/>
  <c r="Z113" i="18"/>
  <c r="Y113" i="18"/>
  <c r="X113" i="18"/>
  <c r="S113" i="18"/>
  <c r="R113" i="18"/>
  <c r="O113" i="18"/>
  <c r="N113" i="18"/>
  <c r="I113" i="18"/>
  <c r="H113" i="18"/>
  <c r="G113" i="18"/>
  <c r="F113" i="18"/>
  <c r="C113" i="18"/>
  <c r="AM113" i="18" s="1"/>
  <c r="B113" i="18"/>
  <c r="A113" i="18"/>
  <c r="AP112" i="18"/>
  <c r="AO112" i="18"/>
  <c r="AN112" i="18"/>
  <c r="AF112" i="18"/>
  <c r="AA112" i="18"/>
  <c r="Z112" i="18"/>
  <c r="Y112" i="18"/>
  <c r="X112" i="18"/>
  <c r="S112" i="18"/>
  <c r="R112" i="18"/>
  <c r="O112" i="18"/>
  <c r="N112" i="18"/>
  <c r="I112" i="18"/>
  <c r="H112" i="18"/>
  <c r="G112" i="18"/>
  <c r="F112" i="18"/>
  <c r="C112" i="18"/>
  <c r="AM112" i="18" s="1"/>
  <c r="B112" i="18"/>
  <c r="A112" i="18"/>
  <c r="AP111" i="18"/>
  <c r="AO111" i="18"/>
  <c r="AN111" i="18"/>
  <c r="AI111" i="18"/>
  <c r="AF111" i="18"/>
  <c r="AH111" i="18" s="1"/>
  <c r="AA111" i="18"/>
  <c r="Z111" i="18"/>
  <c r="Y111" i="18"/>
  <c r="X111" i="18"/>
  <c r="S111" i="18"/>
  <c r="R111" i="18"/>
  <c r="O111" i="18"/>
  <c r="N111" i="18"/>
  <c r="I111" i="18"/>
  <c r="H111" i="18"/>
  <c r="G111" i="18"/>
  <c r="F111" i="18"/>
  <c r="C111" i="18"/>
  <c r="AM111" i="18" s="1"/>
  <c r="B111" i="18"/>
  <c r="A111" i="18"/>
  <c r="AP110" i="18"/>
  <c r="AO110" i="18"/>
  <c r="AN110" i="18"/>
  <c r="AI110" i="18"/>
  <c r="AH110" i="18"/>
  <c r="AG110" i="18"/>
  <c r="AF110" i="18"/>
  <c r="AA110" i="18"/>
  <c r="Z110" i="18"/>
  <c r="Y110" i="18"/>
  <c r="X110" i="18"/>
  <c r="S110" i="18"/>
  <c r="R110" i="18"/>
  <c r="O110" i="18"/>
  <c r="N110" i="18"/>
  <c r="I110" i="18"/>
  <c r="H110" i="18"/>
  <c r="G110" i="18"/>
  <c r="F110" i="18"/>
  <c r="C110" i="18"/>
  <c r="AM110" i="18" s="1"/>
  <c r="B110" i="18"/>
  <c r="A110" i="18"/>
  <c r="AP109" i="18"/>
  <c r="AO109" i="18"/>
  <c r="AN109" i="18"/>
  <c r="AH109" i="18"/>
  <c r="AG109" i="18"/>
  <c r="AF109" i="18"/>
  <c r="AI109" i="18" s="1"/>
  <c r="AA109" i="18"/>
  <c r="Z109" i="18"/>
  <c r="Y109" i="18"/>
  <c r="X109" i="18"/>
  <c r="S109" i="18"/>
  <c r="R109" i="18"/>
  <c r="O109" i="18"/>
  <c r="N109" i="18"/>
  <c r="I109" i="18"/>
  <c r="H109" i="18"/>
  <c r="G109" i="18"/>
  <c r="F109" i="18"/>
  <c r="C109" i="18"/>
  <c r="AM109" i="18" s="1"/>
  <c r="B109" i="18"/>
  <c r="A109" i="18"/>
  <c r="AP108" i="18"/>
  <c r="AO108" i="18"/>
  <c r="AN108" i="18"/>
  <c r="AF108" i="18"/>
  <c r="AA108" i="18"/>
  <c r="Z108" i="18"/>
  <c r="Y108" i="18"/>
  <c r="X108" i="18"/>
  <c r="S108" i="18"/>
  <c r="R108" i="18"/>
  <c r="O108" i="18"/>
  <c r="N108" i="18"/>
  <c r="I108" i="18"/>
  <c r="H108" i="18"/>
  <c r="G108" i="18"/>
  <c r="F108" i="18"/>
  <c r="C108" i="18"/>
  <c r="AM108" i="18" s="1"/>
  <c r="B108" i="18"/>
  <c r="A108" i="18"/>
  <c r="AP107" i="18"/>
  <c r="AO107" i="18"/>
  <c r="AN107" i="18"/>
  <c r="AI107" i="18"/>
  <c r="AG107" i="18"/>
  <c r="AF107" i="18"/>
  <c r="AH107" i="18" s="1"/>
  <c r="AA107" i="18"/>
  <c r="Z107" i="18"/>
  <c r="Y107" i="18"/>
  <c r="X107" i="18"/>
  <c r="S107" i="18"/>
  <c r="R107" i="18"/>
  <c r="O107" i="18"/>
  <c r="N107" i="18"/>
  <c r="I107" i="18"/>
  <c r="H107" i="18"/>
  <c r="G107" i="18"/>
  <c r="F107" i="18"/>
  <c r="C107" i="18"/>
  <c r="AM107" i="18" s="1"/>
  <c r="B107" i="18"/>
  <c r="A107" i="18"/>
  <c r="AN106" i="18"/>
  <c r="AK106" i="18"/>
  <c r="Z106" i="18"/>
  <c r="Y106" i="18"/>
  <c r="X106" i="18"/>
  <c r="U106" i="18"/>
  <c r="K106" i="18"/>
  <c r="I106" i="18"/>
  <c r="H106" i="18"/>
  <c r="G106" i="18"/>
  <c r="C106" i="18"/>
  <c r="AP106" i="18" s="1"/>
  <c r="B106" i="18"/>
  <c r="A106" i="18"/>
  <c r="AP105" i="18"/>
  <c r="AO105" i="18"/>
  <c r="AN105" i="18"/>
  <c r="AK105" i="18"/>
  <c r="AC105" i="18"/>
  <c r="AA105" i="18"/>
  <c r="Z105" i="18"/>
  <c r="Y105" i="18"/>
  <c r="U105" i="18"/>
  <c r="S105" i="18"/>
  <c r="O105" i="18"/>
  <c r="N105" i="18"/>
  <c r="K105" i="18"/>
  <c r="I105" i="18"/>
  <c r="G105" i="18"/>
  <c r="F105" i="18"/>
  <c r="C105" i="18"/>
  <c r="B105" i="18"/>
  <c r="A105" i="18"/>
  <c r="AF104" i="18"/>
  <c r="S104" i="18"/>
  <c r="R104" i="18"/>
  <c r="O104" i="18"/>
  <c r="F104" i="18"/>
  <c r="C104" i="18"/>
  <c r="AC104" i="18" s="1"/>
  <c r="B104" i="18"/>
  <c r="A104" i="18"/>
  <c r="AH103" i="18"/>
  <c r="AF103" i="18"/>
  <c r="AI103" i="18" s="1"/>
  <c r="G103" i="18"/>
  <c r="C103" i="18"/>
  <c r="B103" i="18"/>
  <c r="A103" i="18"/>
  <c r="AN102" i="18"/>
  <c r="AK102" i="18"/>
  <c r="Z102" i="18"/>
  <c r="Y102" i="18"/>
  <c r="X102" i="18"/>
  <c r="U102" i="18"/>
  <c r="K102" i="18"/>
  <c r="I102" i="18"/>
  <c r="H102" i="18"/>
  <c r="G102" i="18"/>
  <c r="C102" i="18"/>
  <c r="AP102" i="18" s="1"/>
  <c r="B102" i="18"/>
  <c r="A102" i="18"/>
  <c r="AP101" i="18"/>
  <c r="AO101" i="18"/>
  <c r="AN101" i="18"/>
  <c r="AK101" i="18"/>
  <c r="AC101" i="18"/>
  <c r="AA101" i="18"/>
  <c r="Z101" i="18"/>
  <c r="Y101" i="18"/>
  <c r="U101" i="18"/>
  <c r="S101" i="18"/>
  <c r="O101" i="18"/>
  <c r="N101" i="18"/>
  <c r="K101" i="18"/>
  <c r="I101" i="18"/>
  <c r="G101" i="18"/>
  <c r="F101" i="18"/>
  <c r="C101" i="18"/>
  <c r="B101" i="18"/>
  <c r="A101" i="18"/>
  <c r="AO100" i="18"/>
  <c r="AG100" i="18"/>
  <c r="AF100" i="18"/>
  <c r="C100" i="18"/>
  <c r="B100" i="18"/>
  <c r="A100" i="18"/>
  <c r="AF99" i="18"/>
  <c r="X99" i="18"/>
  <c r="U99" i="18"/>
  <c r="C99" i="18"/>
  <c r="B99" i="18"/>
  <c r="A99" i="18"/>
  <c r="Z98" i="18"/>
  <c r="C98" i="18"/>
  <c r="AA98" i="18" s="1"/>
  <c r="B98" i="18"/>
  <c r="A98" i="18"/>
  <c r="AJ97" i="18"/>
  <c r="Y97" i="18"/>
  <c r="X97" i="18"/>
  <c r="U97" i="18"/>
  <c r="N97" i="18"/>
  <c r="J97" i="18"/>
  <c r="I97" i="18"/>
  <c r="B97" i="18"/>
  <c r="C97" i="18" s="1"/>
  <c r="A97" i="18"/>
  <c r="AP96" i="18"/>
  <c r="AO96" i="18"/>
  <c r="AH96" i="18"/>
  <c r="AF96" i="18"/>
  <c r="AI96" i="18" s="1"/>
  <c r="AC96" i="18"/>
  <c r="X96" i="18"/>
  <c r="U96" i="18"/>
  <c r="T96" i="18"/>
  <c r="S96" i="18"/>
  <c r="J96" i="18"/>
  <c r="I96" i="18"/>
  <c r="H96" i="18"/>
  <c r="G96" i="18"/>
  <c r="C96" i="18"/>
  <c r="AJ96" i="18" s="1"/>
  <c r="B96" i="18"/>
  <c r="A96" i="18"/>
  <c r="AA95" i="18"/>
  <c r="T95" i="18"/>
  <c r="F95" i="18"/>
  <c r="C95" i="18"/>
  <c r="AP95" i="18" s="1"/>
  <c r="B95" i="18"/>
  <c r="A95" i="18"/>
  <c r="Z94" i="18"/>
  <c r="C94" i="18"/>
  <c r="AB94" i="18" s="1"/>
  <c r="B94" i="18"/>
  <c r="A94" i="18"/>
  <c r="I93" i="18"/>
  <c r="B93" i="18"/>
  <c r="C93" i="18" s="1"/>
  <c r="Z93" i="18" s="1"/>
  <c r="A93" i="18"/>
  <c r="AP92" i="18"/>
  <c r="AO92" i="18"/>
  <c r="AK92" i="18"/>
  <c r="AF92" i="18"/>
  <c r="AC92" i="18"/>
  <c r="AA92" i="18"/>
  <c r="X92" i="18"/>
  <c r="U92" i="18"/>
  <c r="T92" i="18"/>
  <c r="S92" i="18"/>
  <c r="O92" i="18"/>
  <c r="J92" i="18"/>
  <c r="I92" i="18"/>
  <c r="H92" i="18"/>
  <c r="G92" i="18"/>
  <c r="D92" i="18"/>
  <c r="C92" i="18"/>
  <c r="Y92" i="18" s="1"/>
  <c r="B92" i="18"/>
  <c r="A92" i="18"/>
  <c r="AP91" i="18"/>
  <c r="AO91" i="18"/>
  <c r="AN91" i="18"/>
  <c r="AG91" i="18"/>
  <c r="AF91" i="18"/>
  <c r="AD91" i="18"/>
  <c r="AC91" i="18"/>
  <c r="V91" i="18"/>
  <c r="U91" i="18"/>
  <c r="S91" i="18"/>
  <c r="R91" i="18"/>
  <c r="I91" i="18"/>
  <c r="H91" i="18"/>
  <c r="G91" i="18"/>
  <c r="F91" i="18"/>
  <c r="C91" i="18"/>
  <c r="Y91" i="18" s="1"/>
  <c r="B91" i="18"/>
  <c r="A91" i="18"/>
  <c r="AP90" i="18"/>
  <c r="AO90" i="18"/>
  <c r="AN90" i="18"/>
  <c r="AL90" i="18"/>
  <c r="AF90" i="18"/>
  <c r="AD90" i="18"/>
  <c r="AC90" i="18"/>
  <c r="AA90" i="18"/>
  <c r="Y90" i="18"/>
  <c r="X90" i="18"/>
  <c r="U90" i="18"/>
  <c r="S90" i="18"/>
  <c r="R90" i="18"/>
  <c r="O90" i="18"/>
  <c r="L90" i="18"/>
  <c r="K90" i="18"/>
  <c r="H90" i="18"/>
  <c r="G90" i="18"/>
  <c r="F90" i="18"/>
  <c r="D90" i="18"/>
  <c r="C90" i="18"/>
  <c r="V90" i="18" s="1"/>
  <c r="B90" i="18"/>
  <c r="A90" i="18"/>
  <c r="AO89" i="18"/>
  <c r="AN89" i="18"/>
  <c r="AL89" i="18"/>
  <c r="AD89" i="18"/>
  <c r="AC89" i="18"/>
  <c r="AA89" i="18"/>
  <c r="S89" i="18"/>
  <c r="R89" i="18"/>
  <c r="O89" i="18"/>
  <c r="G89" i="18"/>
  <c r="F89" i="18"/>
  <c r="D89" i="18"/>
  <c r="C89" i="18"/>
  <c r="Y89" i="18" s="1"/>
  <c r="B89" i="18"/>
  <c r="A89" i="18"/>
  <c r="AN88" i="18"/>
  <c r="AL88" i="18"/>
  <c r="AK88" i="18"/>
  <c r="R88" i="18"/>
  <c r="O88" i="18"/>
  <c r="N88" i="18"/>
  <c r="L88" i="18"/>
  <c r="C88" i="18"/>
  <c r="Y88" i="18" s="1"/>
  <c r="B88" i="18"/>
  <c r="A88" i="18"/>
  <c r="AL87" i="18"/>
  <c r="AK87" i="18"/>
  <c r="X87" i="18"/>
  <c r="O87" i="18"/>
  <c r="N87" i="18"/>
  <c r="L87" i="18"/>
  <c r="C87" i="18"/>
  <c r="Y87" i="18" s="1"/>
  <c r="B87" i="18"/>
  <c r="A87" i="18"/>
  <c r="AK86" i="18"/>
  <c r="Y86" i="18"/>
  <c r="V86" i="18"/>
  <c r="N86" i="18"/>
  <c r="L86" i="18"/>
  <c r="K86" i="18"/>
  <c r="C86" i="18"/>
  <c r="X86" i="18" s="1"/>
  <c r="B86" i="18"/>
  <c r="A86" i="18"/>
  <c r="AP85" i="18"/>
  <c r="AN85" i="18"/>
  <c r="AL85" i="18"/>
  <c r="AI85" i="18"/>
  <c r="AF85" i="18"/>
  <c r="AH85" i="18" s="1"/>
  <c r="AC85" i="18"/>
  <c r="AA85" i="18"/>
  <c r="Y85" i="18"/>
  <c r="X85" i="18"/>
  <c r="V85" i="18"/>
  <c r="U85" i="18"/>
  <c r="R85" i="18"/>
  <c r="O85" i="18"/>
  <c r="L85" i="18"/>
  <c r="K85" i="18"/>
  <c r="I85" i="18"/>
  <c r="H85" i="18"/>
  <c r="F85" i="18"/>
  <c r="D85" i="18"/>
  <c r="C85" i="18"/>
  <c r="B85" i="18"/>
  <c r="A85" i="18"/>
  <c r="AP84" i="18"/>
  <c r="AO84" i="18"/>
  <c r="AH84" i="18"/>
  <c r="AG84" i="18"/>
  <c r="AF84" i="18"/>
  <c r="AI84" i="18" s="1"/>
  <c r="AD84" i="18"/>
  <c r="X84" i="18"/>
  <c r="V84" i="18"/>
  <c r="U84" i="18"/>
  <c r="S84" i="18"/>
  <c r="K84" i="18"/>
  <c r="I84" i="18"/>
  <c r="H84" i="18"/>
  <c r="G84" i="18"/>
  <c r="C84" i="18"/>
  <c r="Y84" i="18" s="1"/>
  <c r="B84" i="18"/>
  <c r="A84" i="18"/>
  <c r="AP83" i="18"/>
  <c r="AO83" i="18"/>
  <c r="AN83" i="18"/>
  <c r="AF83" i="18"/>
  <c r="AD83" i="18"/>
  <c r="AC83" i="18"/>
  <c r="Y83" i="18"/>
  <c r="V83" i="18"/>
  <c r="U83" i="18"/>
  <c r="S83" i="18"/>
  <c r="R83" i="18"/>
  <c r="L83" i="18"/>
  <c r="I83" i="18"/>
  <c r="H83" i="18"/>
  <c r="G83" i="18"/>
  <c r="F83" i="18"/>
  <c r="C83" i="18"/>
  <c r="X83" i="18" s="1"/>
  <c r="B83" i="18"/>
  <c r="A83" i="18"/>
  <c r="AP82" i="18"/>
  <c r="AO82" i="18"/>
  <c r="AN82" i="18"/>
  <c r="AL82" i="18"/>
  <c r="AF82" i="18"/>
  <c r="AD82" i="18"/>
  <c r="AC82" i="18"/>
  <c r="AA82" i="18"/>
  <c r="Y82" i="18"/>
  <c r="X82" i="18"/>
  <c r="U82" i="18"/>
  <c r="S82" i="18"/>
  <c r="R82" i="18"/>
  <c r="O82" i="18"/>
  <c r="L82" i="18"/>
  <c r="K82" i="18"/>
  <c r="H82" i="18"/>
  <c r="G82" i="18"/>
  <c r="F82" i="18"/>
  <c r="D82" i="18"/>
  <c r="C82" i="18"/>
  <c r="V82" i="18" s="1"/>
  <c r="B82" i="18"/>
  <c r="A82" i="18"/>
  <c r="AD81" i="18"/>
  <c r="AC81" i="18"/>
  <c r="AA81" i="18"/>
  <c r="G81" i="18"/>
  <c r="F81" i="18"/>
  <c r="D81" i="18"/>
  <c r="C81" i="18"/>
  <c r="AO81" i="18" s="1"/>
  <c r="B81" i="18"/>
  <c r="A81" i="18"/>
  <c r="AN80" i="18"/>
  <c r="AK80" i="18"/>
  <c r="AC80" i="18"/>
  <c r="AA80" i="18"/>
  <c r="Y80" i="18"/>
  <c r="R80" i="18"/>
  <c r="O80" i="18"/>
  <c r="N80" i="18"/>
  <c r="L80" i="18"/>
  <c r="F80" i="18"/>
  <c r="D80" i="18"/>
  <c r="C80" i="18"/>
  <c r="AL80" i="18" s="1"/>
  <c r="B80" i="18"/>
  <c r="A80" i="18"/>
  <c r="AK79" i="18"/>
  <c r="AA79" i="18"/>
  <c r="Y79" i="18"/>
  <c r="X79" i="18"/>
  <c r="N79" i="18"/>
  <c r="L79" i="18"/>
  <c r="K79" i="18"/>
  <c r="D79" i="18"/>
  <c r="C79" i="18"/>
  <c r="AL79" i="18" s="1"/>
  <c r="B79" i="18"/>
  <c r="A79" i="18"/>
  <c r="AC78" i="18"/>
  <c r="Y78" i="18"/>
  <c r="X78" i="18"/>
  <c r="R78" i="18"/>
  <c r="N78" i="18"/>
  <c r="L78" i="18"/>
  <c r="K78" i="18"/>
  <c r="G78" i="18"/>
  <c r="F78" i="18"/>
  <c r="C78" i="18"/>
  <c r="B78" i="18"/>
  <c r="A78" i="18"/>
  <c r="AP77" i="18"/>
  <c r="AN77" i="18"/>
  <c r="AL77" i="18"/>
  <c r="AF77" i="18"/>
  <c r="AC77" i="18"/>
  <c r="AA77" i="18"/>
  <c r="Y77" i="18"/>
  <c r="X77" i="18"/>
  <c r="V77" i="18"/>
  <c r="U77" i="18"/>
  <c r="R77" i="18"/>
  <c r="O77" i="18"/>
  <c r="L77" i="18"/>
  <c r="K77" i="18"/>
  <c r="I77" i="18"/>
  <c r="H77" i="18"/>
  <c r="F77" i="18"/>
  <c r="D77" i="18"/>
  <c r="C77" i="18"/>
  <c r="B77" i="18"/>
  <c r="A77" i="18"/>
  <c r="AP76" i="18"/>
  <c r="AO76" i="18"/>
  <c r="AK76" i="18"/>
  <c r="AF76" i="18"/>
  <c r="AD76" i="18"/>
  <c r="AA76" i="18"/>
  <c r="Z76" i="18"/>
  <c r="V76" i="18"/>
  <c r="U76" i="18"/>
  <c r="O76" i="18"/>
  <c r="N76" i="18"/>
  <c r="K76" i="18"/>
  <c r="I76" i="18"/>
  <c r="G76" i="18"/>
  <c r="D76" i="18"/>
  <c r="C76" i="18"/>
  <c r="B76" i="18"/>
  <c r="A76" i="18"/>
  <c r="AF75" i="18"/>
  <c r="S75" i="18"/>
  <c r="D75" i="18"/>
  <c r="B75" i="18"/>
  <c r="C75" i="18" s="1"/>
  <c r="AP75" i="18" s="1"/>
  <c r="A75" i="18"/>
  <c r="AH74" i="18"/>
  <c r="AG74" i="18"/>
  <c r="AF74" i="18"/>
  <c r="AI74" i="18" s="1"/>
  <c r="V74" i="18"/>
  <c r="T74" i="18"/>
  <c r="S74" i="18"/>
  <c r="H74" i="18"/>
  <c r="F74" i="18"/>
  <c r="D74" i="18"/>
  <c r="C74" i="18"/>
  <c r="AO74" i="18" s="1"/>
  <c r="B74" i="18"/>
  <c r="A74" i="18"/>
  <c r="AL73" i="18"/>
  <c r="AK73" i="18"/>
  <c r="AJ73" i="18"/>
  <c r="AA73" i="18"/>
  <c r="Z73" i="18"/>
  <c r="X73" i="18"/>
  <c r="V73" i="18"/>
  <c r="L73" i="18"/>
  <c r="K73" i="18"/>
  <c r="I73" i="18"/>
  <c r="H73" i="18"/>
  <c r="C73" i="18"/>
  <c r="AO73" i="18" s="1"/>
  <c r="B73" i="18"/>
  <c r="A73" i="18"/>
  <c r="AF72" i="18"/>
  <c r="T72" i="18"/>
  <c r="F72" i="18"/>
  <c r="B72" i="18"/>
  <c r="C72" i="18" s="1"/>
  <c r="A72" i="18"/>
  <c r="AN71" i="18"/>
  <c r="AL71" i="18"/>
  <c r="AJ71" i="18"/>
  <c r="AD71" i="18"/>
  <c r="AA71" i="18"/>
  <c r="Z71" i="18"/>
  <c r="Y71" i="18"/>
  <c r="X71" i="18"/>
  <c r="U71" i="18"/>
  <c r="T71" i="18"/>
  <c r="R71" i="18"/>
  <c r="N71" i="18"/>
  <c r="L71" i="18"/>
  <c r="J71" i="18"/>
  <c r="I71" i="18"/>
  <c r="G71" i="18"/>
  <c r="F71" i="18"/>
  <c r="D71" i="18"/>
  <c r="C71" i="18"/>
  <c r="B71" i="18"/>
  <c r="A71" i="18"/>
  <c r="AN70" i="18"/>
  <c r="AL70" i="18"/>
  <c r="AK70" i="18"/>
  <c r="AJ70" i="18"/>
  <c r="AD70" i="18"/>
  <c r="AB70" i="18"/>
  <c r="AA70" i="18"/>
  <c r="Y70" i="18"/>
  <c r="X70" i="18"/>
  <c r="T70" i="18"/>
  <c r="S70" i="18"/>
  <c r="N70" i="18"/>
  <c r="L70" i="18"/>
  <c r="J70" i="18"/>
  <c r="I70" i="18"/>
  <c r="G70" i="18"/>
  <c r="D70" i="18"/>
  <c r="C70" i="18"/>
  <c r="B70" i="18"/>
  <c r="A70" i="18"/>
  <c r="U69" i="18"/>
  <c r="G69" i="18"/>
  <c r="C69" i="18"/>
  <c r="AO69" i="18" s="1"/>
  <c r="B69" i="18"/>
  <c r="A69" i="18"/>
  <c r="X68" i="18"/>
  <c r="N68" i="18"/>
  <c r="K68" i="18"/>
  <c r="C68" i="18"/>
  <c r="AK68" i="18" s="1"/>
  <c r="B68" i="18"/>
  <c r="A68" i="18"/>
  <c r="AO67" i="18"/>
  <c r="AG67" i="18"/>
  <c r="AF67" i="18"/>
  <c r="AD67" i="18"/>
  <c r="X67" i="18"/>
  <c r="V67" i="18"/>
  <c r="U67" i="18"/>
  <c r="T67" i="18"/>
  <c r="K67" i="18"/>
  <c r="J67" i="18"/>
  <c r="I67" i="18"/>
  <c r="G67" i="18"/>
  <c r="C67" i="18"/>
  <c r="AJ67" i="18" s="1"/>
  <c r="B67" i="18"/>
  <c r="A67" i="18"/>
  <c r="AF66" i="18"/>
  <c r="AD66" i="18"/>
  <c r="AC66" i="18"/>
  <c r="B66" i="18"/>
  <c r="C66" i="18" s="1"/>
  <c r="A66" i="18"/>
  <c r="AA65" i="18"/>
  <c r="S65" i="18"/>
  <c r="O65" i="18"/>
  <c r="C65" i="18"/>
  <c r="AB65" i="18" s="1"/>
  <c r="B65" i="18"/>
  <c r="A65" i="18"/>
  <c r="C64" i="18"/>
  <c r="B64" i="18"/>
  <c r="A64" i="18"/>
  <c r="AO63" i="18"/>
  <c r="AF63" i="18"/>
  <c r="AD63" i="18"/>
  <c r="X63" i="18"/>
  <c r="V63" i="18"/>
  <c r="U63" i="18"/>
  <c r="T63" i="18"/>
  <c r="K63" i="18"/>
  <c r="J63" i="18"/>
  <c r="I63" i="18"/>
  <c r="G63" i="18"/>
  <c r="C63" i="18"/>
  <c r="AJ63" i="18" s="1"/>
  <c r="B63" i="18"/>
  <c r="A63" i="18"/>
  <c r="AD62" i="18"/>
  <c r="AC62" i="18"/>
  <c r="B62" i="18"/>
  <c r="C62" i="18" s="1"/>
  <c r="A62" i="18"/>
  <c r="AN61" i="18"/>
  <c r="AB61" i="18"/>
  <c r="S61" i="18"/>
  <c r="O61" i="18"/>
  <c r="N61" i="18"/>
  <c r="C61" i="18"/>
  <c r="AA61" i="18" s="1"/>
  <c r="B61" i="18"/>
  <c r="A61" i="18"/>
  <c r="C60" i="18"/>
  <c r="AK60" i="18" s="1"/>
  <c r="B60" i="18"/>
  <c r="A60" i="18"/>
  <c r="AO59" i="18"/>
  <c r="AI59" i="18"/>
  <c r="AG59" i="18"/>
  <c r="AF59" i="18"/>
  <c r="AH59" i="18" s="1"/>
  <c r="AD59" i="18"/>
  <c r="X59" i="18"/>
  <c r="V59" i="18"/>
  <c r="U59" i="18"/>
  <c r="T59" i="18"/>
  <c r="K59" i="18"/>
  <c r="J59" i="18"/>
  <c r="I59" i="18"/>
  <c r="G59" i="18"/>
  <c r="C59" i="18"/>
  <c r="AJ59" i="18" s="1"/>
  <c r="B59" i="18"/>
  <c r="A59" i="18"/>
  <c r="AN58" i="18"/>
  <c r="AF58" i="18"/>
  <c r="AC58" i="18"/>
  <c r="U58" i="18"/>
  <c r="T58" i="18"/>
  <c r="S58" i="18"/>
  <c r="G58" i="18"/>
  <c r="F58" i="18"/>
  <c r="B58" i="18"/>
  <c r="C58" i="18" s="1"/>
  <c r="A58" i="18"/>
  <c r="AL57" i="18"/>
  <c r="O57" i="18"/>
  <c r="N57" i="18"/>
  <c r="B57" i="18"/>
  <c r="C57" i="18" s="1"/>
  <c r="AN57" i="18" s="1"/>
  <c r="A57" i="18"/>
  <c r="AJ56" i="18"/>
  <c r="L56" i="18"/>
  <c r="K56" i="18"/>
  <c r="J56" i="18"/>
  <c r="C56" i="18"/>
  <c r="Y56" i="18" s="1"/>
  <c r="B56" i="18"/>
  <c r="A56" i="18"/>
  <c r="B55" i="18"/>
  <c r="A55" i="18"/>
  <c r="B54" i="18"/>
  <c r="A54" i="18"/>
  <c r="F53" i="18"/>
  <c r="E53" i="18"/>
  <c r="B53" i="18"/>
  <c r="C53" i="18" s="1"/>
  <c r="A53" i="18"/>
  <c r="A52" i="18"/>
  <c r="B51" i="18"/>
  <c r="A51" i="18"/>
  <c r="B50" i="18"/>
  <c r="A50" i="18"/>
  <c r="B49" i="18"/>
  <c r="C49" i="18" s="1"/>
  <c r="A49" i="18"/>
  <c r="A48" i="18"/>
  <c r="A47" i="18"/>
  <c r="A46" i="18"/>
  <c r="B45" i="18"/>
  <c r="A45" i="18"/>
  <c r="B44" i="18"/>
  <c r="A44" i="18"/>
  <c r="B43" i="18"/>
  <c r="A43" i="18"/>
  <c r="B42" i="18"/>
  <c r="A42" i="18"/>
  <c r="B41" i="18"/>
  <c r="A41" i="18"/>
  <c r="B40" i="18"/>
  <c r="A40" i="18"/>
  <c r="B39" i="18"/>
  <c r="A39" i="18"/>
  <c r="B38" i="18"/>
  <c r="A38" i="18"/>
  <c r="B37" i="18"/>
  <c r="A37" i="18"/>
  <c r="P36" i="18"/>
  <c r="A36" i="18"/>
  <c r="P35" i="18"/>
  <c r="B35" i="18"/>
  <c r="A35" i="18"/>
  <c r="P34" i="18"/>
  <c r="B34" i="18"/>
  <c r="A34" i="18"/>
  <c r="P33" i="18"/>
  <c r="B33" i="18"/>
  <c r="A33" i="18"/>
  <c r="P32" i="18"/>
  <c r="B32" i="18"/>
  <c r="A32" i="18"/>
  <c r="P31" i="18"/>
  <c r="B31" i="18"/>
  <c r="A31" i="18"/>
  <c r="P30" i="18"/>
  <c r="B30" i="18"/>
  <c r="A30" i="18"/>
  <c r="P29" i="18"/>
  <c r="B29" i="18"/>
  <c r="A29" i="18"/>
  <c r="P28" i="18"/>
  <c r="B28" i="18"/>
  <c r="A28" i="18"/>
  <c r="P27" i="18"/>
  <c r="A27" i="18"/>
  <c r="P26" i="18"/>
  <c r="B26" i="18"/>
  <c r="A26" i="18"/>
  <c r="P25" i="18"/>
  <c r="B25" i="18"/>
  <c r="A25" i="18"/>
  <c r="P24" i="18"/>
  <c r="B24" i="18"/>
  <c r="A24" i="18"/>
  <c r="P23" i="18"/>
  <c r="B23" i="18"/>
  <c r="A23" i="18"/>
  <c r="P22" i="18"/>
  <c r="A22" i="18"/>
  <c r="P21" i="18"/>
  <c r="A21" i="18"/>
  <c r="P20" i="18"/>
  <c r="A20" i="18"/>
  <c r="P19" i="18"/>
  <c r="B19" i="18"/>
  <c r="A19" i="18"/>
  <c r="P18" i="18"/>
  <c r="A18" i="18"/>
  <c r="P17" i="18"/>
  <c r="A17" i="18"/>
  <c r="P16" i="18"/>
  <c r="B16" i="18"/>
  <c r="A16" i="18"/>
  <c r="P15" i="18"/>
  <c r="B15" i="18"/>
  <c r="A15" i="18"/>
  <c r="P14" i="18"/>
  <c r="B14" i="18"/>
  <c r="A14" i="18"/>
  <c r="P13" i="18"/>
  <c r="B13" i="18"/>
  <c r="A13" i="18"/>
  <c r="P12" i="18"/>
  <c r="B12" i="18"/>
  <c r="A12" i="18"/>
  <c r="P11" i="18"/>
  <c r="B11" i="18"/>
  <c r="A11" i="18"/>
  <c r="P10" i="18"/>
  <c r="B10" i="18"/>
  <c r="A10" i="18"/>
  <c r="P9" i="18"/>
  <c r="A9" i="18"/>
  <c r="P8" i="18"/>
  <c r="A8" i="18"/>
  <c r="P7" i="18"/>
  <c r="B7" i="18"/>
  <c r="A7" i="18"/>
  <c r="H200" i="19"/>
  <c r="G200" i="19"/>
  <c r="F200" i="19"/>
  <c r="E200" i="19"/>
  <c r="D200" i="19"/>
  <c r="C200" i="19"/>
  <c r="B200" i="19"/>
  <c r="H199" i="19"/>
  <c r="G199" i="19"/>
  <c r="F199" i="19"/>
  <c r="E199" i="19"/>
  <c r="D199" i="19"/>
  <c r="C199" i="19"/>
  <c r="B199" i="19"/>
  <c r="H198" i="19"/>
  <c r="G198" i="19"/>
  <c r="F198" i="19"/>
  <c r="E198" i="19"/>
  <c r="D198" i="19"/>
  <c r="C198" i="19"/>
  <c r="B198" i="19"/>
  <c r="H197" i="19"/>
  <c r="G197" i="19"/>
  <c r="F197" i="19"/>
  <c r="E197" i="19"/>
  <c r="D197" i="19"/>
  <c r="C197" i="19"/>
  <c r="B197" i="19"/>
  <c r="H196" i="19"/>
  <c r="G196" i="19"/>
  <c r="F196" i="19"/>
  <c r="E196" i="19"/>
  <c r="D196" i="19"/>
  <c r="C196" i="19"/>
  <c r="B196" i="19"/>
  <c r="H195" i="19"/>
  <c r="G195" i="19"/>
  <c r="F195" i="19"/>
  <c r="E195" i="19"/>
  <c r="D195" i="19"/>
  <c r="C195" i="19"/>
  <c r="B195" i="19"/>
  <c r="H194" i="19"/>
  <c r="G194" i="19"/>
  <c r="F194" i="19"/>
  <c r="E194" i="19"/>
  <c r="D194" i="19"/>
  <c r="C194" i="19"/>
  <c r="B194" i="19"/>
  <c r="H193" i="19"/>
  <c r="G193" i="19"/>
  <c r="F193" i="19"/>
  <c r="E193" i="19"/>
  <c r="D193" i="19"/>
  <c r="C193" i="19"/>
  <c r="B193" i="19"/>
  <c r="H192" i="19"/>
  <c r="G192" i="19"/>
  <c r="F192" i="19"/>
  <c r="E192" i="19"/>
  <c r="D192" i="19"/>
  <c r="C192" i="19"/>
  <c r="B192" i="19"/>
  <c r="H191" i="19"/>
  <c r="G191" i="19"/>
  <c r="F191" i="19"/>
  <c r="E191" i="19"/>
  <c r="D191" i="19"/>
  <c r="C191" i="19"/>
  <c r="B191" i="19"/>
  <c r="H190" i="19"/>
  <c r="G190" i="19"/>
  <c r="F190" i="19"/>
  <c r="E190" i="19"/>
  <c r="D190" i="19"/>
  <c r="C190" i="19"/>
  <c r="B190" i="19"/>
  <c r="H189" i="19"/>
  <c r="G189" i="19"/>
  <c r="F189" i="19"/>
  <c r="E189" i="19"/>
  <c r="D189" i="19"/>
  <c r="C189" i="19"/>
  <c r="B189" i="19"/>
  <c r="H188" i="19"/>
  <c r="G188" i="19"/>
  <c r="F188" i="19"/>
  <c r="E188" i="19"/>
  <c r="D188" i="19"/>
  <c r="C188" i="19"/>
  <c r="B188" i="19"/>
  <c r="H187" i="19"/>
  <c r="G187" i="19"/>
  <c r="F187" i="19"/>
  <c r="E187" i="19"/>
  <c r="D187" i="19"/>
  <c r="C187" i="19"/>
  <c r="B187" i="19"/>
  <c r="H186" i="19"/>
  <c r="G186" i="19"/>
  <c r="F186" i="19"/>
  <c r="E186" i="19"/>
  <c r="D186" i="19"/>
  <c r="C186" i="19"/>
  <c r="B186" i="19"/>
  <c r="H185" i="19"/>
  <c r="G185" i="19"/>
  <c r="F185" i="19"/>
  <c r="E185" i="19"/>
  <c r="D185" i="19"/>
  <c r="C185" i="19"/>
  <c r="B185" i="19"/>
  <c r="H184" i="19"/>
  <c r="G184" i="19"/>
  <c r="F184" i="19"/>
  <c r="E184" i="19"/>
  <c r="D184" i="19"/>
  <c r="C184" i="19"/>
  <c r="B184" i="19"/>
  <c r="H183" i="19"/>
  <c r="G183" i="19"/>
  <c r="F183" i="19"/>
  <c r="E183" i="19"/>
  <c r="D183" i="19"/>
  <c r="C183" i="19"/>
  <c r="B183" i="19"/>
  <c r="H182" i="19"/>
  <c r="G182" i="19"/>
  <c r="F182" i="19"/>
  <c r="E182" i="19"/>
  <c r="D182" i="19"/>
  <c r="C182" i="19"/>
  <c r="B182" i="19"/>
  <c r="H181" i="19"/>
  <c r="G181" i="19"/>
  <c r="F181" i="19"/>
  <c r="E181" i="19"/>
  <c r="D181" i="19"/>
  <c r="C181" i="19"/>
  <c r="B181" i="19"/>
  <c r="H180" i="19"/>
  <c r="G180" i="19"/>
  <c r="F180" i="19"/>
  <c r="E180" i="19"/>
  <c r="D180" i="19"/>
  <c r="C180" i="19"/>
  <c r="B180" i="19"/>
  <c r="H179" i="19"/>
  <c r="G179" i="19"/>
  <c r="F179" i="19"/>
  <c r="E179" i="19"/>
  <c r="D179" i="19"/>
  <c r="C179" i="19"/>
  <c r="B179" i="19"/>
  <c r="H178" i="19"/>
  <c r="G178" i="19"/>
  <c r="F178" i="19"/>
  <c r="E178" i="19"/>
  <c r="D178" i="19"/>
  <c r="C178" i="19"/>
  <c r="B178" i="19"/>
  <c r="H177" i="19"/>
  <c r="G177" i="19"/>
  <c r="F177" i="19"/>
  <c r="E177" i="19"/>
  <c r="D177" i="19"/>
  <c r="C177" i="19"/>
  <c r="B177" i="19"/>
  <c r="H176" i="19"/>
  <c r="G176" i="19"/>
  <c r="F176" i="19"/>
  <c r="E176" i="19"/>
  <c r="D176" i="19"/>
  <c r="C176" i="19"/>
  <c r="B176" i="19"/>
  <c r="H175" i="19"/>
  <c r="G175" i="19"/>
  <c r="F175" i="19"/>
  <c r="E175" i="19"/>
  <c r="D175" i="19"/>
  <c r="C175" i="19"/>
  <c r="B175" i="19"/>
  <c r="H174" i="19"/>
  <c r="G174" i="19"/>
  <c r="F174" i="19"/>
  <c r="E174" i="19"/>
  <c r="D174" i="19"/>
  <c r="C174" i="19"/>
  <c r="B174" i="19"/>
  <c r="H173" i="19"/>
  <c r="G173" i="19"/>
  <c r="F173" i="19"/>
  <c r="E173" i="19"/>
  <c r="D173" i="19"/>
  <c r="C173" i="19"/>
  <c r="B173" i="19"/>
  <c r="H172" i="19"/>
  <c r="G172" i="19"/>
  <c r="F172" i="19"/>
  <c r="E172" i="19"/>
  <c r="D172" i="19"/>
  <c r="C172" i="19"/>
  <c r="B172" i="19"/>
  <c r="H171" i="19"/>
  <c r="G171" i="19"/>
  <c r="F171" i="19"/>
  <c r="E171" i="19"/>
  <c r="D171" i="19"/>
  <c r="C171" i="19"/>
  <c r="B171" i="19"/>
  <c r="H170" i="19"/>
  <c r="G170" i="19"/>
  <c r="F170" i="19"/>
  <c r="E170" i="19"/>
  <c r="D170" i="19"/>
  <c r="C170" i="19"/>
  <c r="B170" i="19"/>
  <c r="H169" i="19"/>
  <c r="G169" i="19"/>
  <c r="F169" i="19"/>
  <c r="E169" i="19"/>
  <c r="D169" i="19"/>
  <c r="C169" i="19"/>
  <c r="B169" i="19"/>
  <c r="H168" i="19"/>
  <c r="G168" i="19"/>
  <c r="F168" i="19"/>
  <c r="E168" i="19"/>
  <c r="D168" i="19"/>
  <c r="C168" i="19"/>
  <c r="B168" i="19"/>
  <c r="H167" i="19"/>
  <c r="G167" i="19"/>
  <c r="F167" i="19"/>
  <c r="E167" i="19"/>
  <c r="D167" i="19"/>
  <c r="C167" i="19"/>
  <c r="B167" i="19"/>
  <c r="H166" i="19"/>
  <c r="G166" i="19"/>
  <c r="F166" i="19"/>
  <c r="E166" i="19"/>
  <c r="D166" i="19"/>
  <c r="C166" i="19"/>
  <c r="B166" i="19"/>
  <c r="H165" i="19"/>
  <c r="G165" i="19"/>
  <c r="F165" i="19"/>
  <c r="E165" i="19"/>
  <c r="D165" i="19"/>
  <c r="C165" i="19"/>
  <c r="B165" i="19"/>
  <c r="H164" i="19"/>
  <c r="G164" i="19"/>
  <c r="F164" i="19"/>
  <c r="E164" i="19"/>
  <c r="D164" i="19"/>
  <c r="C164" i="19"/>
  <c r="B164" i="19"/>
  <c r="H163" i="19"/>
  <c r="G163" i="19"/>
  <c r="F163" i="19"/>
  <c r="E163" i="19"/>
  <c r="D163" i="19"/>
  <c r="C163" i="19"/>
  <c r="B163" i="19"/>
  <c r="H162" i="19"/>
  <c r="G162" i="19"/>
  <c r="F162" i="19"/>
  <c r="E162" i="19"/>
  <c r="D162" i="19"/>
  <c r="C162" i="19"/>
  <c r="B162" i="19"/>
  <c r="H161" i="19"/>
  <c r="G161" i="19"/>
  <c r="F161" i="19"/>
  <c r="E161" i="19"/>
  <c r="D161" i="19"/>
  <c r="C161" i="19"/>
  <c r="B161" i="19"/>
  <c r="H160" i="19"/>
  <c r="G160" i="19"/>
  <c r="F160" i="19"/>
  <c r="E160" i="19"/>
  <c r="D160" i="19"/>
  <c r="C160" i="19"/>
  <c r="B160" i="19"/>
  <c r="H159" i="19"/>
  <c r="G159" i="19"/>
  <c r="F159" i="19"/>
  <c r="E159" i="19"/>
  <c r="D159" i="19"/>
  <c r="C159" i="19"/>
  <c r="B159" i="19"/>
  <c r="H158" i="19"/>
  <c r="G158" i="19"/>
  <c r="F158" i="19"/>
  <c r="E158" i="19"/>
  <c r="D158" i="19"/>
  <c r="C158" i="19"/>
  <c r="B158" i="19"/>
  <c r="H157" i="19"/>
  <c r="G157" i="19"/>
  <c r="F157" i="19"/>
  <c r="E157" i="19"/>
  <c r="D157" i="19"/>
  <c r="C157" i="19"/>
  <c r="B157" i="19"/>
  <c r="H156" i="19"/>
  <c r="G156" i="19"/>
  <c r="F156" i="19"/>
  <c r="E156" i="19"/>
  <c r="D156" i="19"/>
  <c r="C156" i="19"/>
  <c r="B156" i="19"/>
  <c r="H155" i="19"/>
  <c r="G155" i="19"/>
  <c r="F155" i="19"/>
  <c r="E155" i="19"/>
  <c r="D155" i="19"/>
  <c r="C155" i="19"/>
  <c r="B155" i="19"/>
  <c r="H154" i="19"/>
  <c r="G154" i="19"/>
  <c r="F154" i="19"/>
  <c r="E154" i="19"/>
  <c r="D154" i="19"/>
  <c r="C154" i="19"/>
  <c r="B154" i="19"/>
  <c r="H153" i="19"/>
  <c r="G153" i="19"/>
  <c r="F153" i="19"/>
  <c r="E153" i="19"/>
  <c r="D153" i="19"/>
  <c r="C153" i="19"/>
  <c r="B153" i="19"/>
  <c r="H152" i="19"/>
  <c r="G152" i="19"/>
  <c r="F152" i="19"/>
  <c r="E152" i="19"/>
  <c r="D152" i="19"/>
  <c r="C152" i="19"/>
  <c r="B152" i="19"/>
  <c r="H151" i="19"/>
  <c r="G151" i="19"/>
  <c r="F151" i="19"/>
  <c r="E151" i="19"/>
  <c r="D151" i="19"/>
  <c r="C151" i="19"/>
  <c r="B151" i="19"/>
  <c r="H150" i="19"/>
  <c r="G150" i="19"/>
  <c r="F150" i="19"/>
  <c r="E150" i="19"/>
  <c r="D150" i="19"/>
  <c r="C150" i="19"/>
  <c r="B150" i="19"/>
  <c r="H149" i="19"/>
  <c r="G149" i="19"/>
  <c r="F149" i="19"/>
  <c r="E149" i="19"/>
  <c r="D149" i="19"/>
  <c r="C149" i="19"/>
  <c r="B149" i="19"/>
  <c r="H148" i="19"/>
  <c r="G148" i="19"/>
  <c r="F148" i="19"/>
  <c r="E148" i="19"/>
  <c r="D148" i="19"/>
  <c r="C148" i="19"/>
  <c r="B148" i="19"/>
  <c r="H147" i="19"/>
  <c r="G147" i="19"/>
  <c r="F147" i="19"/>
  <c r="E147" i="19"/>
  <c r="D147" i="19"/>
  <c r="C147" i="19"/>
  <c r="B147" i="19"/>
  <c r="H146" i="19"/>
  <c r="G146" i="19"/>
  <c r="F146" i="19"/>
  <c r="E146" i="19"/>
  <c r="D146" i="19"/>
  <c r="C146" i="19"/>
  <c r="B146" i="19"/>
  <c r="H145" i="19"/>
  <c r="G145" i="19"/>
  <c r="F145" i="19"/>
  <c r="E145" i="19"/>
  <c r="D145" i="19"/>
  <c r="C145" i="19"/>
  <c r="B145" i="19"/>
  <c r="H144" i="19"/>
  <c r="G144" i="19"/>
  <c r="F144" i="19"/>
  <c r="E144" i="19"/>
  <c r="D144" i="19"/>
  <c r="C144" i="19"/>
  <c r="B144" i="19"/>
  <c r="H143" i="19"/>
  <c r="G143" i="19"/>
  <c r="F143" i="19"/>
  <c r="E143" i="19"/>
  <c r="D143" i="19"/>
  <c r="C143" i="19"/>
  <c r="B143" i="19"/>
  <c r="H142" i="19"/>
  <c r="G142" i="19"/>
  <c r="F142" i="19"/>
  <c r="E142" i="19"/>
  <c r="D142" i="19"/>
  <c r="C142" i="19"/>
  <c r="B142" i="19"/>
  <c r="H141" i="19"/>
  <c r="G141" i="19"/>
  <c r="F141" i="19"/>
  <c r="E141" i="19"/>
  <c r="D141" i="19"/>
  <c r="C141" i="19"/>
  <c r="B141" i="19"/>
  <c r="H140" i="19"/>
  <c r="G140" i="19"/>
  <c r="F140" i="19"/>
  <c r="E140" i="19"/>
  <c r="D140" i="19"/>
  <c r="C140" i="19"/>
  <c r="B140" i="19"/>
  <c r="H139" i="19"/>
  <c r="G139" i="19"/>
  <c r="F139" i="19"/>
  <c r="E139" i="19"/>
  <c r="D139" i="19"/>
  <c r="C139" i="19"/>
  <c r="B139" i="19"/>
  <c r="H138" i="19"/>
  <c r="G138" i="19"/>
  <c r="F138" i="19"/>
  <c r="E138" i="19"/>
  <c r="D138" i="19"/>
  <c r="C138" i="19"/>
  <c r="B138" i="19"/>
  <c r="H137" i="19"/>
  <c r="G137" i="19"/>
  <c r="F137" i="19"/>
  <c r="E137" i="19"/>
  <c r="D137" i="19"/>
  <c r="C137" i="19"/>
  <c r="B137" i="19"/>
  <c r="H136" i="19"/>
  <c r="G136" i="19"/>
  <c r="F136" i="19"/>
  <c r="E136" i="19"/>
  <c r="D136" i="19"/>
  <c r="C136" i="19"/>
  <c r="B136" i="19"/>
  <c r="H135" i="19"/>
  <c r="G135" i="19"/>
  <c r="F135" i="19"/>
  <c r="E135" i="19"/>
  <c r="D135" i="19"/>
  <c r="C135" i="19"/>
  <c r="B135" i="19"/>
  <c r="H134" i="19"/>
  <c r="G134" i="19"/>
  <c r="F134" i="19"/>
  <c r="E134" i="19"/>
  <c r="D134" i="19"/>
  <c r="C134" i="19"/>
  <c r="B134" i="19"/>
  <c r="H133" i="19"/>
  <c r="G133" i="19"/>
  <c r="F133" i="19"/>
  <c r="E133" i="19"/>
  <c r="D133" i="19"/>
  <c r="C133" i="19"/>
  <c r="B133" i="19"/>
  <c r="H132" i="19"/>
  <c r="G132" i="19"/>
  <c r="F132" i="19"/>
  <c r="E132" i="19"/>
  <c r="D132" i="19"/>
  <c r="C132" i="19"/>
  <c r="B132" i="19"/>
  <c r="H131" i="19"/>
  <c r="G131" i="19"/>
  <c r="F131" i="19"/>
  <c r="E131" i="19"/>
  <c r="D131" i="19"/>
  <c r="C131" i="19"/>
  <c r="B131" i="19"/>
  <c r="H130" i="19"/>
  <c r="G130" i="19"/>
  <c r="F130" i="19"/>
  <c r="E130" i="19"/>
  <c r="D130" i="19"/>
  <c r="C130" i="19"/>
  <c r="B130" i="19"/>
  <c r="H129" i="19"/>
  <c r="G129" i="19"/>
  <c r="F129" i="19"/>
  <c r="E129" i="19"/>
  <c r="D129" i="19"/>
  <c r="C129" i="19"/>
  <c r="B129" i="19"/>
  <c r="H128" i="19"/>
  <c r="G128" i="19"/>
  <c r="F128" i="19"/>
  <c r="E128" i="19"/>
  <c r="D128" i="19"/>
  <c r="C128" i="19"/>
  <c r="B128" i="19"/>
  <c r="H127" i="19"/>
  <c r="G127" i="19"/>
  <c r="F127" i="19"/>
  <c r="E127" i="19"/>
  <c r="D127" i="19"/>
  <c r="C127" i="19"/>
  <c r="B127" i="19"/>
  <c r="H126" i="19"/>
  <c r="G126" i="19"/>
  <c r="F126" i="19"/>
  <c r="E126" i="19"/>
  <c r="D126" i="19"/>
  <c r="C126" i="19"/>
  <c r="B126" i="19"/>
  <c r="H125" i="19"/>
  <c r="G125" i="19"/>
  <c r="F125" i="19"/>
  <c r="E125" i="19"/>
  <c r="D125" i="19"/>
  <c r="C125" i="19"/>
  <c r="B125" i="19"/>
  <c r="H124" i="19"/>
  <c r="G124" i="19"/>
  <c r="F124" i="19"/>
  <c r="E124" i="19"/>
  <c r="D124" i="19"/>
  <c r="C124" i="19"/>
  <c r="B124" i="19"/>
  <c r="H123" i="19"/>
  <c r="G123" i="19"/>
  <c r="F123" i="19"/>
  <c r="E123" i="19"/>
  <c r="D123" i="19"/>
  <c r="C123" i="19"/>
  <c r="B123" i="19"/>
  <c r="H122" i="19"/>
  <c r="G122" i="19"/>
  <c r="F122" i="19"/>
  <c r="E122" i="19"/>
  <c r="D122" i="19"/>
  <c r="C122" i="19"/>
  <c r="B122" i="19"/>
  <c r="H121" i="19"/>
  <c r="G121" i="19"/>
  <c r="F121" i="19"/>
  <c r="E121" i="19"/>
  <c r="D121" i="19"/>
  <c r="C121" i="19"/>
  <c r="B121" i="19"/>
  <c r="H120" i="19"/>
  <c r="G120" i="19"/>
  <c r="F120" i="19"/>
  <c r="E120" i="19"/>
  <c r="D120" i="19"/>
  <c r="C120" i="19"/>
  <c r="B120" i="19"/>
  <c r="H119" i="19"/>
  <c r="G119" i="19"/>
  <c r="F119" i="19"/>
  <c r="E119" i="19"/>
  <c r="D119" i="19"/>
  <c r="C119" i="19"/>
  <c r="B119" i="19"/>
  <c r="H118" i="19"/>
  <c r="G118" i="19"/>
  <c r="F118" i="19"/>
  <c r="E118" i="19"/>
  <c r="D118" i="19"/>
  <c r="C118" i="19"/>
  <c r="B118" i="19"/>
  <c r="H117" i="19"/>
  <c r="G117" i="19"/>
  <c r="F117" i="19"/>
  <c r="E117" i="19"/>
  <c r="D117" i="19"/>
  <c r="C117" i="19"/>
  <c r="B117" i="19"/>
  <c r="H116" i="19"/>
  <c r="G116" i="19"/>
  <c r="F116" i="19"/>
  <c r="E116" i="19"/>
  <c r="D116" i="19"/>
  <c r="C116" i="19"/>
  <c r="B116" i="19"/>
  <c r="H115" i="19"/>
  <c r="G115" i="19"/>
  <c r="F115" i="19"/>
  <c r="E115" i="19"/>
  <c r="D115" i="19"/>
  <c r="C115" i="19"/>
  <c r="B115" i="19"/>
  <c r="H114" i="19"/>
  <c r="G114" i="19"/>
  <c r="F114" i="19"/>
  <c r="E114" i="19"/>
  <c r="D114" i="19"/>
  <c r="C114" i="19"/>
  <c r="B114" i="19"/>
  <c r="H113" i="19"/>
  <c r="G113" i="19"/>
  <c r="F113" i="19"/>
  <c r="E113" i="19"/>
  <c r="D113" i="19"/>
  <c r="C113" i="19"/>
  <c r="B113" i="19"/>
  <c r="H112" i="19"/>
  <c r="G112" i="19"/>
  <c r="F112" i="19"/>
  <c r="E112" i="19"/>
  <c r="D112" i="19"/>
  <c r="C112" i="19"/>
  <c r="B112" i="19"/>
  <c r="H111" i="19"/>
  <c r="G111" i="19"/>
  <c r="F111" i="19"/>
  <c r="E111" i="19"/>
  <c r="D111" i="19"/>
  <c r="C111" i="19"/>
  <c r="B111" i="19"/>
  <c r="H110" i="19"/>
  <c r="G110" i="19"/>
  <c r="F110" i="19"/>
  <c r="E110" i="19"/>
  <c r="D110" i="19"/>
  <c r="C110" i="19"/>
  <c r="B110" i="19"/>
  <c r="H109" i="19"/>
  <c r="G109" i="19"/>
  <c r="F109" i="19"/>
  <c r="E109" i="19"/>
  <c r="D109" i="19"/>
  <c r="C109" i="19"/>
  <c r="B109" i="19"/>
  <c r="H108" i="19"/>
  <c r="G108" i="19"/>
  <c r="F108" i="19"/>
  <c r="E108" i="19"/>
  <c r="D108" i="19"/>
  <c r="C108" i="19"/>
  <c r="B108" i="19"/>
  <c r="H107" i="19"/>
  <c r="G107" i="19"/>
  <c r="F107" i="19"/>
  <c r="E107" i="19"/>
  <c r="D107" i="19"/>
  <c r="C107" i="19"/>
  <c r="B107" i="19"/>
  <c r="H106" i="19"/>
  <c r="G106" i="19"/>
  <c r="F106" i="19"/>
  <c r="E106" i="19"/>
  <c r="D106" i="19"/>
  <c r="C106" i="19"/>
  <c r="B106" i="19"/>
  <c r="H105" i="19"/>
  <c r="G105" i="19"/>
  <c r="F105" i="19"/>
  <c r="E105" i="19"/>
  <c r="D105" i="19"/>
  <c r="C105" i="19"/>
  <c r="B105" i="19"/>
  <c r="H104" i="19"/>
  <c r="G104" i="19"/>
  <c r="F104" i="19"/>
  <c r="E104" i="19"/>
  <c r="D104" i="19"/>
  <c r="C104" i="19"/>
  <c r="B104" i="19"/>
  <c r="H103" i="19"/>
  <c r="G103" i="19"/>
  <c r="F103" i="19"/>
  <c r="E103" i="19"/>
  <c r="D103" i="19"/>
  <c r="C103" i="19"/>
  <c r="B103" i="19"/>
  <c r="H102" i="19"/>
  <c r="G102" i="19"/>
  <c r="F102" i="19"/>
  <c r="E102" i="19"/>
  <c r="D102" i="19"/>
  <c r="C102" i="19"/>
  <c r="B102" i="19"/>
  <c r="H101" i="19"/>
  <c r="G101" i="19"/>
  <c r="F101" i="19"/>
  <c r="E101" i="19"/>
  <c r="D101" i="19"/>
  <c r="C101" i="19"/>
  <c r="B101" i="19"/>
  <c r="H100" i="19"/>
  <c r="G100" i="19"/>
  <c r="F100" i="19"/>
  <c r="E100" i="19"/>
  <c r="D100" i="19"/>
  <c r="C100" i="19"/>
  <c r="B100" i="19"/>
  <c r="H99" i="19"/>
  <c r="G99" i="19"/>
  <c r="F99" i="19"/>
  <c r="E99" i="19"/>
  <c r="D99" i="19"/>
  <c r="C99" i="19"/>
  <c r="B99" i="19"/>
  <c r="H98" i="19"/>
  <c r="G98" i="19"/>
  <c r="F98" i="19"/>
  <c r="E98" i="19"/>
  <c r="D98" i="19"/>
  <c r="C98" i="19"/>
  <c r="B98" i="19"/>
  <c r="H97" i="19"/>
  <c r="G97" i="19"/>
  <c r="F97" i="19"/>
  <c r="E97" i="19"/>
  <c r="D97" i="19"/>
  <c r="C97" i="19"/>
  <c r="B97" i="19"/>
  <c r="H96" i="19"/>
  <c r="G96" i="19"/>
  <c r="F96" i="19"/>
  <c r="E96" i="19"/>
  <c r="D96" i="19"/>
  <c r="C96" i="19"/>
  <c r="B96" i="19"/>
  <c r="H95" i="19"/>
  <c r="G95" i="19"/>
  <c r="F95" i="19"/>
  <c r="E95" i="19"/>
  <c r="D95" i="19"/>
  <c r="C95" i="19"/>
  <c r="B95" i="19"/>
  <c r="H94" i="19"/>
  <c r="G94" i="19"/>
  <c r="F94" i="19"/>
  <c r="E94" i="19"/>
  <c r="D94" i="19"/>
  <c r="C94" i="19"/>
  <c r="B94" i="19"/>
  <c r="H93" i="19"/>
  <c r="G93" i="19"/>
  <c r="F93" i="19"/>
  <c r="E93" i="19"/>
  <c r="D93" i="19"/>
  <c r="C93" i="19"/>
  <c r="B93" i="19"/>
  <c r="H92" i="19"/>
  <c r="G92" i="19"/>
  <c r="F92" i="19"/>
  <c r="E92" i="19"/>
  <c r="D92" i="19"/>
  <c r="C92" i="19"/>
  <c r="B92" i="19"/>
  <c r="H91" i="19"/>
  <c r="G91" i="19"/>
  <c r="F91" i="19"/>
  <c r="E91" i="19"/>
  <c r="D91" i="19"/>
  <c r="C91" i="19"/>
  <c r="B91" i="19"/>
  <c r="H90" i="19"/>
  <c r="G90" i="19"/>
  <c r="F90" i="19"/>
  <c r="E90" i="19"/>
  <c r="D90" i="19"/>
  <c r="C90" i="19"/>
  <c r="B90" i="19"/>
  <c r="H89" i="19"/>
  <c r="G89" i="19"/>
  <c r="F89" i="19"/>
  <c r="E89" i="19"/>
  <c r="D89" i="19"/>
  <c r="C89" i="19"/>
  <c r="B89" i="19"/>
  <c r="H88" i="19"/>
  <c r="G88" i="19"/>
  <c r="F88" i="19"/>
  <c r="E88" i="19"/>
  <c r="D88" i="19"/>
  <c r="C88" i="19"/>
  <c r="B88" i="19"/>
  <c r="H87" i="19"/>
  <c r="G87" i="19"/>
  <c r="F87" i="19"/>
  <c r="E87" i="19"/>
  <c r="D87" i="19"/>
  <c r="C87" i="19"/>
  <c r="B87" i="19"/>
  <c r="H86" i="19"/>
  <c r="G86" i="19"/>
  <c r="F86" i="19"/>
  <c r="E86" i="19"/>
  <c r="D86" i="19"/>
  <c r="C86" i="19"/>
  <c r="B86" i="19"/>
  <c r="H85" i="19"/>
  <c r="G85" i="19"/>
  <c r="F85" i="19"/>
  <c r="E85" i="19"/>
  <c r="D85" i="19"/>
  <c r="C85" i="19"/>
  <c r="B85" i="19"/>
  <c r="H84" i="19"/>
  <c r="G84" i="19"/>
  <c r="F84" i="19"/>
  <c r="E84" i="19"/>
  <c r="D84" i="19"/>
  <c r="C84" i="19"/>
  <c r="B84" i="19"/>
  <c r="H83" i="19"/>
  <c r="G83" i="19"/>
  <c r="F83" i="19"/>
  <c r="E83" i="19"/>
  <c r="D83" i="19"/>
  <c r="C83" i="19"/>
  <c r="B83" i="19"/>
  <c r="H82" i="19"/>
  <c r="G82" i="19"/>
  <c r="F82" i="19"/>
  <c r="E82" i="19"/>
  <c r="D82" i="19"/>
  <c r="C82" i="19"/>
  <c r="B82" i="19"/>
  <c r="H81" i="19"/>
  <c r="G81" i="19"/>
  <c r="F81" i="19"/>
  <c r="E81" i="19"/>
  <c r="D81" i="19"/>
  <c r="C81" i="19"/>
  <c r="B81" i="19"/>
  <c r="H80" i="19"/>
  <c r="G80" i="19"/>
  <c r="F80" i="19"/>
  <c r="E80" i="19"/>
  <c r="D80" i="19"/>
  <c r="C80" i="19"/>
  <c r="B80" i="19"/>
  <c r="H79" i="19"/>
  <c r="G79" i="19"/>
  <c r="F79" i="19"/>
  <c r="E79" i="19"/>
  <c r="D79" i="19"/>
  <c r="C79" i="19"/>
  <c r="B79" i="19"/>
  <c r="H78" i="19"/>
  <c r="G78" i="19"/>
  <c r="F78" i="19"/>
  <c r="E78" i="19"/>
  <c r="D78" i="19"/>
  <c r="C78" i="19"/>
  <c r="B78" i="19"/>
  <c r="H77" i="19"/>
  <c r="G77" i="19"/>
  <c r="F77" i="19"/>
  <c r="E77" i="19"/>
  <c r="D77" i="19"/>
  <c r="C77" i="19"/>
  <c r="B77" i="19"/>
  <c r="H76" i="19"/>
  <c r="G76" i="19"/>
  <c r="F76" i="19"/>
  <c r="E76" i="19"/>
  <c r="D76" i="19"/>
  <c r="C76" i="19"/>
  <c r="B76" i="19"/>
  <c r="H75" i="19"/>
  <c r="G75" i="19"/>
  <c r="F75" i="19"/>
  <c r="E75" i="19"/>
  <c r="D75" i="19"/>
  <c r="C75" i="19"/>
  <c r="B75" i="19"/>
  <c r="H74" i="19"/>
  <c r="G74" i="19"/>
  <c r="F74" i="19"/>
  <c r="E74" i="19"/>
  <c r="D74" i="19"/>
  <c r="C74" i="19"/>
  <c r="B74" i="19"/>
  <c r="H73" i="19"/>
  <c r="G73" i="19"/>
  <c r="F73" i="19"/>
  <c r="E73" i="19"/>
  <c r="D73" i="19"/>
  <c r="C73" i="19"/>
  <c r="B73" i="19"/>
  <c r="H72" i="19"/>
  <c r="G72" i="19"/>
  <c r="F72" i="19"/>
  <c r="E72" i="19"/>
  <c r="D72" i="19"/>
  <c r="C72" i="19"/>
  <c r="B72" i="19"/>
  <c r="H71" i="19"/>
  <c r="G71" i="19"/>
  <c r="F71" i="19"/>
  <c r="E71" i="19"/>
  <c r="D71" i="19"/>
  <c r="C71" i="19"/>
  <c r="B71" i="19"/>
  <c r="H70" i="19"/>
  <c r="G70" i="19"/>
  <c r="F70" i="19"/>
  <c r="E70" i="19"/>
  <c r="D70" i="19"/>
  <c r="C70" i="19"/>
  <c r="B70" i="19"/>
  <c r="H69" i="19"/>
  <c r="G69" i="19"/>
  <c r="F69" i="19"/>
  <c r="E69" i="19"/>
  <c r="D69" i="19"/>
  <c r="C69" i="19"/>
  <c r="B69" i="19"/>
  <c r="H68" i="19"/>
  <c r="G68" i="19"/>
  <c r="F68" i="19"/>
  <c r="E68" i="19"/>
  <c r="D68" i="19"/>
  <c r="C68" i="19"/>
  <c r="B68" i="19"/>
  <c r="H67" i="19"/>
  <c r="G67" i="19"/>
  <c r="F67" i="19"/>
  <c r="E67" i="19"/>
  <c r="D67" i="19"/>
  <c r="C67" i="19"/>
  <c r="B67" i="19"/>
  <c r="H66" i="19"/>
  <c r="G66" i="19"/>
  <c r="F66" i="19"/>
  <c r="E66" i="19"/>
  <c r="D66" i="19"/>
  <c r="C66" i="19"/>
  <c r="B66" i="19"/>
  <c r="H65" i="19"/>
  <c r="G65" i="19"/>
  <c r="F65" i="19"/>
  <c r="E65" i="19"/>
  <c r="D65" i="19"/>
  <c r="C65" i="19"/>
  <c r="B65" i="19"/>
  <c r="C64" i="19"/>
  <c r="B64" i="19"/>
  <c r="H63" i="19"/>
  <c r="G63" i="19"/>
  <c r="F63" i="19"/>
  <c r="E63" i="19"/>
  <c r="D63" i="19"/>
  <c r="C63" i="19"/>
  <c r="B63" i="19"/>
  <c r="H62" i="19"/>
  <c r="G62" i="19"/>
  <c r="F62" i="19"/>
  <c r="E62" i="19"/>
  <c r="D62" i="19"/>
  <c r="C62" i="19"/>
  <c r="B62" i="19"/>
  <c r="H61" i="19"/>
  <c r="G61" i="19"/>
  <c r="F61" i="19"/>
  <c r="E61" i="19"/>
  <c r="D61" i="19"/>
  <c r="C61" i="19"/>
  <c r="B61" i="19"/>
  <c r="H60" i="19"/>
  <c r="G60" i="19"/>
  <c r="F60" i="19"/>
  <c r="E60" i="19"/>
  <c r="D60" i="19"/>
  <c r="C60" i="19"/>
  <c r="B60" i="19"/>
  <c r="H59" i="19"/>
  <c r="G59" i="19"/>
  <c r="F59" i="19"/>
  <c r="E59" i="19"/>
  <c r="D59" i="19"/>
  <c r="C59" i="19"/>
  <c r="B59" i="19"/>
  <c r="H58" i="19"/>
  <c r="G58" i="19"/>
  <c r="F58" i="19"/>
  <c r="E58" i="19"/>
  <c r="D58" i="19"/>
  <c r="C58" i="19"/>
  <c r="B58" i="19"/>
  <c r="H57" i="19"/>
  <c r="G57" i="19"/>
  <c r="F57" i="19"/>
  <c r="E57" i="19"/>
  <c r="D57" i="19"/>
  <c r="C57" i="19"/>
  <c r="B57" i="19"/>
  <c r="H56" i="19"/>
  <c r="G56" i="19"/>
  <c r="F56" i="19"/>
  <c r="E56" i="19"/>
  <c r="D56" i="19"/>
  <c r="C56" i="19"/>
  <c r="B56" i="19"/>
  <c r="C53" i="19"/>
  <c r="M16" i="19"/>
  <c r="M15" i="19"/>
  <c r="M13" i="19"/>
  <c r="M12" i="19"/>
  <c r="M11" i="19"/>
  <c r="M10" i="19"/>
  <c r="M9" i="19"/>
  <c r="M8" i="19"/>
  <c r="M7" i="19"/>
  <c r="M6" i="19"/>
  <c r="B16" i="15"/>
  <c r="B15" i="15"/>
  <c r="B14" i="15"/>
  <c r="B13" i="15"/>
  <c r="B12" i="15"/>
  <c r="B11" i="15"/>
  <c r="B10" i="15"/>
  <c r="B2" i="15"/>
  <c r="F42" i="11"/>
  <c r="D41" i="11"/>
  <c r="F25" i="11"/>
  <c r="E26" i="11" s="1"/>
  <c r="D24" i="11"/>
  <c r="E22" i="11"/>
  <c r="F20" i="11"/>
  <c r="E21" i="11" s="1"/>
  <c r="F19" i="11"/>
  <c r="H19" i="11" s="1"/>
  <c r="F18" i="11"/>
  <c r="H18" i="11" s="1"/>
  <c r="F17" i="11"/>
  <c r="H17" i="11" s="1"/>
  <c r="D16" i="11"/>
  <c r="E13" i="11"/>
  <c r="H12" i="11"/>
  <c r="F11" i="11"/>
  <c r="E12" i="11" s="1"/>
  <c r="F12" i="11" s="1"/>
  <c r="H10" i="11"/>
  <c r="F10" i="11"/>
  <c r="E9" i="11"/>
  <c r="D8" i="11"/>
  <c r="H7" i="11"/>
  <c r="I5" i="11"/>
  <c r="J5" i="11" s="1"/>
  <c r="I4" i="11"/>
  <c r="F44" i="13"/>
  <c r="E45" i="13" s="1"/>
  <c r="F43" i="13"/>
  <c r="E44" i="13" s="1"/>
  <c r="D42" i="13"/>
  <c r="F26" i="13"/>
  <c r="E29" i="13" s="1"/>
  <c r="D25" i="13"/>
  <c r="E23" i="13"/>
  <c r="F23" i="13" s="1"/>
  <c r="E24" i="13" s="1"/>
  <c r="H21" i="13"/>
  <c r="F20" i="13"/>
  <c r="F19" i="13"/>
  <c r="H19" i="13" s="1"/>
  <c r="H18" i="13"/>
  <c r="H17" i="13"/>
  <c r="D16" i="13"/>
  <c r="E14" i="13"/>
  <c r="F14" i="13" s="1"/>
  <c r="H13" i="13"/>
  <c r="F13" i="13"/>
  <c r="E13" i="13"/>
  <c r="E12" i="13"/>
  <c r="H12" i="13" s="1"/>
  <c r="H10" i="13"/>
  <c r="E9" i="13"/>
  <c r="H9" i="13" s="1"/>
  <c r="F8" i="13"/>
  <c r="D8" i="13"/>
  <c r="H7" i="13"/>
  <c r="L6" i="13"/>
  <c r="K6" i="13"/>
  <c r="J6" i="13"/>
  <c r="L5" i="13"/>
  <c r="M5" i="13" s="1"/>
  <c r="K5" i="13"/>
  <c r="J5" i="13"/>
  <c r="I5" i="13"/>
  <c r="I6" i="13" s="1"/>
  <c r="I4" i="13"/>
  <c r="H56" i="14"/>
  <c r="D55" i="14"/>
  <c r="L54" i="14"/>
  <c r="L55" i="14" s="1"/>
  <c r="N55" i="14" s="1"/>
  <c r="D54" i="14"/>
  <c r="N53" i="14"/>
  <c r="L52" i="14"/>
  <c r="K52" i="14"/>
  <c r="B52" i="18" s="1"/>
  <c r="J52" i="14"/>
  <c r="L51" i="14"/>
  <c r="N51" i="14" s="1"/>
  <c r="D51" i="14"/>
  <c r="N50" i="14"/>
  <c r="L50" i="14"/>
  <c r="D50" i="14"/>
  <c r="N49" i="14"/>
  <c r="L48" i="14"/>
  <c r="K48" i="14"/>
  <c r="B48" i="18" s="1"/>
  <c r="J48" i="14"/>
  <c r="J27" i="14" s="1"/>
  <c r="L47" i="14"/>
  <c r="D47" i="14"/>
  <c r="L46" i="14"/>
  <c r="K47" i="14" s="1"/>
  <c r="B47" i="18" s="1"/>
  <c r="C47" i="18" s="1"/>
  <c r="D46" i="14"/>
  <c r="D45" i="14"/>
  <c r="D44" i="14"/>
  <c r="D43" i="14"/>
  <c r="N42" i="14"/>
  <c r="L42" i="14"/>
  <c r="L43" i="14" s="1"/>
  <c r="L44" i="14" s="1"/>
  <c r="L45" i="14" s="1"/>
  <c r="K46" i="14" s="1"/>
  <c r="D42" i="14"/>
  <c r="L41" i="14"/>
  <c r="N41" i="14" s="1"/>
  <c r="D41" i="14"/>
  <c r="N40" i="14"/>
  <c r="L40" i="14"/>
  <c r="D40" i="14"/>
  <c r="L39" i="14"/>
  <c r="N39" i="14" s="1"/>
  <c r="D39" i="14"/>
  <c r="N38" i="14"/>
  <c r="L38" i="14"/>
  <c r="D38" i="14"/>
  <c r="L37" i="14"/>
  <c r="K36" i="14"/>
  <c r="J36" i="14"/>
  <c r="D35" i="14"/>
  <c r="D34" i="14"/>
  <c r="D33" i="14"/>
  <c r="D32" i="14"/>
  <c r="L31" i="14"/>
  <c r="C31" i="18" s="1"/>
  <c r="D31" i="14"/>
  <c r="N30" i="14"/>
  <c r="L30" i="14"/>
  <c r="D30" i="14"/>
  <c r="N29" i="14"/>
  <c r="L29" i="14"/>
  <c r="D29" i="14"/>
  <c r="N28" i="14"/>
  <c r="L28" i="14"/>
  <c r="L27" i="14"/>
  <c r="K27" i="14"/>
  <c r="B27" i="18" s="1"/>
  <c r="L25" i="14"/>
  <c r="C25" i="18" s="1"/>
  <c r="D25" i="14"/>
  <c r="L24" i="14"/>
  <c r="N24" i="14" s="1"/>
  <c r="D24" i="14"/>
  <c r="L23" i="14"/>
  <c r="N23" i="14" s="1"/>
  <c r="L22" i="14"/>
  <c r="K22" i="14"/>
  <c r="B22" i="18" s="1"/>
  <c r="J22" i="14"/>
  <c r="D21" i="14"/>
  <c r="D20" i="14"/>
  <c r="L19" i="14"/>
  <c r="K20" i="14" s="1"/>
  <c r="D19" i="14"/>
  <c r="K18" i="14"/>
  <c r="D18" i="14"/>
  <c r="D17" i="14"/>
  <c r="N16" i="14"/>
  <c r="L16" i="14"/>
  <c r="D16" i="14"/>
  <c r="L15" i="14"/>
  <c r="N15" i="14" s="1"/>
  <c r="D15" i="14"/>
  <c r="D14" i="14"/>
  <c r="L13" i="14"/>
  <c r="C13" i="18" s="1"/>
  <c r="D13" i="14"/>
  <c r="N12" i="14"/>
  <c r="L12" i="14"/>
  <c r="D12" i="14"/>
  <c r="N11" i="14"/>
  <c r="L11" i="14"/>
  <c r="C11" i="18" s="1"/>
  <c r="D11" i="14"/>
  <c r="L10" i="14"/>
  <c r="K9" i="14"/>
  <c r="B9" i="18" s="1"/>
  <c r="J9" i="14"/>
  <c r="N8" i="14"/>
  <c r="L8" i="14"/>
  <c r="K8" i="14"/>
  <c r="B8" i="18" s="1"/>
  <c r="C8" i="18" s="1"/>
  <c r="J7" i="14"/>
  <c r="O5" i="14"/>
  <c r="O4" i="14" s="1"/>
  <c r="C22" i="18" l="1"/>
  <c r="O22" i="18" s="1"/>
  <c r="B20" i="18"/>
  <c r="F21" i="11"/>
  <c r="H21" i="11" s="1"/>
  <c r="F45" i="13"/>
  <c r="F42" i="13" s="1"/>
  <c r="B46" i="18"/>
  <c r="C46" i="18" s="1"/>
  <c r="L36" i="14"/>
  <c r="F24" i="13"/>
  <c r="F16" i="13" s="1"/>
  <c r="H29" i="13"/>
  <c r="F29" i="13"/>
  <c r="E30" i="13" s="1"/>
  <c r="H23" i="13"/>
  <c r="B36" i="18"/>
  <c r="D53" i="18"/>
  <c r="H20" i="11"/>
  <c r="F26" i="11"/>
  <c r="E27" i="11" s="1"/>
  <c r="O6" i="14"/>
  <c r="N19" i="14"/>
  <c r="T25" i="18"/>
  <c r="I25" i="18"/>
  <c r="S25" i="18"/>
  <c r="H25" i="18"/>
  <c r="K25" i="18" s="1"/>
  <c r="F25" i="18"/>
  <c r="C25" i="19" s="1"/>
  <c r="R25" i="18"/>
  <c r="U25" i="18" s="1"/>
  <c r="E25" i="18"/>
  <c r="O25" i="18"/>
  <c r="B25" i="19" s="1"/>
  <c r="N25" i="18"/>
  <c r="AO25" i="18" s="1"/>
  <c r="G25" i="18"/>
  <c r="P5" i="14"/>
  <c r="X8" i="18"/>
  <c r="H8" i="18"/>
  <c r="B8" i="19"/>
  <c r="O8" i="18"/>
  <c r="G8" i="18"/>
  <c r="D8" i="19" s="1"/>
  <c r="N8" i="18"/>
  <c r="F8" i="18"/>
  <c r="E8" i="18"/>
  <c r="T8" i="18"/>
  <c r="D8" i="18"/>
  <c r="K8" i="18"/>
  <c r="R8" i="18"/>
  <c r="S8" i="18" s="1"/>
  <c r="J8" i="18"/>
  <c r="I8" i="18"/>
  <c r="C8" i="19"/>
  <c r="F13" i="11"/>
  <c r="E14" i="11" s="1"/>
  <c r="F14" i="11" s="1"/>
  <c r="E15" i="11" s="1"/>
  <c r="F15" i="11" s="1"/>
  <c r="F8" i="11" s="1"/>
  <c r="H42" i="11"/>
  <c r="E43" i="11"/>
  <c r="L26" i="14"/>
  <c r="C27" i="18"/>
  <c r="C30" i="18"/>
  <c r="L32" i="14"/>
  <c r="N47" i="14"/>
  <c r="N54" i="14"/>
  <c r="H26" i="13"/>
  <c r="F9" i="11"/>
  <c r="H9" i="11" s="1"/>
  <c r="H22" i="11"/>
  <c r="K47" i="18"/>
  <c r="T47" i="18"/>
  <c r="J47" i="18"/>
  <c r="F47" i="19" s="1"/>
  <c r="S47" i="18"/>
  <c r="I47" i="18"/>
  <c r="R47" i="18"/>
  <c r="U47" i="18" s="1"/>
  <c r="V47" i="18" s="1"/>
  <c r="H47" i="18"/>
  <c r="E47" i="18"/>
  <c r="D47" i="18"/>
  <c r="O47" i="18"/>
  <c r="N47" i="18"/>
  <c r="AO47" i="18" s="1"/>
  <c r="X47" i="18"/>
  <c r="D47" i="19"/>
  <c r="G47" i="18"/>
  <c r="F47" i="18"/>
  <c r="C47" i="19" s="1"/>
  <c r="B47" i="19"/>
  <c r="C11" i="19"/>
  <c r="N25" i="14"/>
  <c r="C37" i="18"/>
  <c r="N37" i="14"/>
  <c r="H20" i="13"/>
  <c r="E22" i="13"/>
  <c r="E27" i="13"/>
  <c r="C10" i="18"/>
  <c r="N10" i="14"/>
  <c r="M6" i="13"/>
  <c r="N5" i="13"/>
  <c r="K5" i="11"/>
  <c r="J6" i="11"/>
  <c r="B18" i="18"/>
  <c r="N31" i="14"/>
  <c r="H44" i="13"/>
  <c r="H31" i="18"/>
  <c r="X31" i="18" s="1"/>
  <c r="E31" i="18"/>
  <c r="T31" i="18"/>
  <c r="K31" i="18"/>
  <c r="R31" i="18"/>
  <c r="S31" i="18" s="1"/>
  <c r="I31" i="18"/>
  <c r="G31" i="18"/>
  <c r="F31" i="18"/>
  <c r="E31" i="19"/>
  <c r="O31" i="18"/>
  <c r="B31" i="19" s="1"/>
  <c r="C31" i="19"/>
  <c r="N31" i="18"/>
  <c r="AO31" i="18" s="1"/>
  <c r="L7" i="14"/>
  <c r="C7" i="18" s="1"/>
  <c r="T13" i="18"/>
  <c r="I13" i="18"/>
  <c r="F13" i="18"/>
  <c r="C13" i="19" s="1"/>
  <c r="B13" i="19"/>
  <c r="O13" i="18"/>
  <c r="E13" i="18"/>
  <c r="N13" i="18"/>
  <c r="AO13" i="18" s="1"/>
  <c r="D13" i="18"/>
  <c r="U13" i="18"/>
  <c r="V13" i="18" s="1"/>
  <c r="S13" i="18"/>
  <c r="H13" i="18"/>
  <c r="X13" i="18" s="1"/>
  <c r="D13" i="19"/>
  <c r="R13" i="18"/>
  <c r="G13" i="18"/>
  <c r="C52" i="18"/>
  <c r="I6" i="11"/>
  <c r="E28" i="11"/>
  <c r="H43" i="13"/>
  <c r="F22" i="11"/>
  <c r="E23" i="11" s="1"/>
  <c r="H25" i="11"/>
  <c r="R11" i="18"/>
  <c r="S11" i="18" s="1"/>
  <c r="I11" i="18"/>
  <c r="J11" i="18" s="1"/>
  <c r="X11" i="18"/>
  <c r="H11" i="18"/>
  <c r="O11" i="18"/>
  <c r="B11" i="19" s="1"/>
  <c r="G11" i="18"/>
  <c r="D11" i="19" s="1"/>
  <c r="N11" i="18"/>
  <c r="F11" i="18"/>
  <c r="U11" i="18"/>
  <c r="E11" i="18"/>
  <c r="E11" i="19"/>
  <c r="T11" i="18"/>
  <c r="D11" i="18"/>
  <c r="K11" i="18"/>
  <c r="L14" i="14"/>
  <c r="C48" i="18"/>
  <c r="C12" i="18"/>
  <c r="C29" i="18"/>
  <c r="T49" i="18"/>
  <c r="I49" i="18"/>
  <c r="J49" i="18" s="1"/>
  <c r="R49" i="18"/>
  <c r="S49" i="18" s="1"/>
  <c r="H49" i="18"/>
  <c r="X49" i="18" s="1"/>
  <c r="N49" i="18"/>
  <c r="AF49" i="18" s="1"/>
  <c r="AE49" i="18"/>
  <c r="AD49" i="18"/>
  <c r="M49" i="18" s="1"/>
  <c r="AO49" i="18"/>
  <c r="G49" i="18"/>
  <c r="D49" i="19" s="1"/>
  <c r="F49" i="18"/>
  <c r="C49" i="19" s="1"/>
  <c r="AP64" i="18"/>
  <c r="Z64" i="18"/>
  <c r="R64" i="18"/>
  <c r="H64" i="18"/>
  <c r="AM64" i="18"/>
  <c r="AE64" i="18"/>
  <c r="W64" i="18"/>
  <c r="M64" i="18"/>
  <c r="E64" i="18"/>
  <c r="V64" i="18"/>
  <c r="J64" i="18"/>
  <c r="AF64" i="18"/>
  <c r="U64" i="18"/>
  <c r="I64" i="18"/>
  <c r="AO64" i="18"/>
  <c r="AD64" i="18"/>
  <c r="T64" i="18"/>
  <c r="G64" i="18"/>
  <c r="AN64" i="18"/>
  <c r="AC64" i="18"/>
  <c r="S64" i="18"/>
  <c r="F64" i="18"/>
  <c r="AL64" i="18"/>
  <c r="AB64" i="18"/>
  <c r="O64" i="18"/>
  <c r="D64" i="18"/>
  <c r="AA64" i="18"/>
  <c r="Y64" i="18"/>
  <c r="X64" i="18"/>
  <c r="N64" i="18"/>
  <c r="AH66" i="18"/>
  <c r="AI66" i="18"/>
  <c r="AG66" i="18"/>
  <c r="E49" i="19"/>
  <c r="D64" i="19"/>
  <c r="C42" i="18"/>
  <c r="D49" i="18"/>
  <c r="AJ60" i="18"/>
  <c r="K64" i="18"/>
  <c r="AH72" i="18"/>
  <c r="AI72" i="18"/>
  <c r="AG72" i="18"/>
  <c r="E64" i="19"/>
  <c r="C15" i="18"/>
  <c r="C19" i="18"/>
  <c r="C23" i="18"/>
  <c r="C32" i="18"/>
  <c r="E49" i="18"/>
  <c r="L64" i="18"/>
  <c r="G49" i="19"/>
  <c r="F64" i="19"/>
  <c r="C38" i="18"/>
  <c r="O49" i="18"/>
  <c r="B49" i="19" s="1"/>
  <c r="AJ64" i="18"/>
  <c r="G64" i="19"/>
  <c r="AP57" i="18"/>
  <c r="Z57" i="18"/>
  <c r="R57" i="18"/>
  <c r="H57" i="18"/>
  <c r="AM57" i="18"/>
  <c r="AE57" i="18"/>
  <c r="W57" i="18"/>
  <c r="M57" i="18"/>
  <c r="E57" i="18"/>
  <c r="AJ57" i="18"/>
  <c r="Y57" i="18"/>
  <c r="L57" i="18"/>
  <c r="X57" i="18"/>
  <c r="K57" i="18"/>
  <c r="V57" i="18"/>
  <c r="J57" i="18"/>
  <c r="AF57" i="18"/>
  <c r="U57" i="18"/>
  <c r="I57" i="18"/>
  <c r="AO57" i="18"/>
  <c r="AD57" i="18"/>
  <c r="T57" i="18"/>
  <c r="G57" i="18"/>
  <c r="AK57" i="18"/>
  <c r="D57" i="18"/>
  <c r="AC57" i="18"/>
  <c r="AB57" i="18"/>
  <c r="AA57" i="18"/>
  <c r="S57" i="18"/>
  <c r="AP62" i="18"/>
  <c r="Z62" i="18"/>
  <c r="R62" i="18"/>
  <c r="H62" i="18"/>
  <c r="AM62" i="18"/>
  <c r="AE62" i="18"/>
  <c r="W62" i="18"/>
  <c r="M62" i="18"/>
  <c r="E62" i="18"/>
  <c r="AL62" i="18"/>
  <c r="AB62" i="18"/>
  <c r="O62" i="18"/>
  <c r="D62" i="18"/>
  <c r="AK62" i="18"/>
  <c r="AA62" i="18"/>
  <c r="N62" i="18"/>
  <c r="AJ62" i="18"/>
  <c r="Y62" i="18"/>
  <c r="L62" i="18"/>
  <c r="X62" i="18"/>
  <c r="K62" i="18"/>
  <c r="V62" i="18"/>
  <c r="J62" i="18"/>
  <c r="T62" i="18"/>
  <c r="S62" i="18"/>
  <c r="AO62" i="18"/>
  <c r="I62" i="18"/>
  <c r="AN62" i="18"/>
  <c r="G62" i="18"/>
  <c r="AF62" i="18"/>
  <c r="F62" i="18"/>
  <c r="AH63" i="18"/>
  <c r="AI63" i="18"/>
  <c r="AG63" i="18"/>
  <c r="AK64" i="18"/>
  <c r="AP66" i="18"/>
  <c r="Z66" i="18"/>
  <c r="R66" i="18"/>
  <c r="H66" i="18"/>
  <c r="AM66" i="18"/>
  <c r="AE66" i="18"/>
  <c r="W66" i="18"/>
  <c r="M66" i="18"/>
  <c r="E66" i="18"/>
  <c r="AL66" i="18"/>
  <c r="AB66" i="18"/>
  <c r="O66" i="18"/>
  <c r="D66" i="18"/>
  <c r="AK66" i="18"/>
  <c r="AA66" i="18"/>
  <c r="N66" i="18"/>
  <c r="AJ66" i="18"/>
  <c r="Y66" i="18"/>
  <c r="L66" i="18"/>
  <c r="X66" i="18"/>
  <c r="K66" i="18"/>
  <c r="V66" i="18"/>
  <c r="J66" i="18"/>
  <c r="U66" i="18"/>
  <c r="T66" i="18"/>
  <c r="S66" i="18"/>
  <c r="AO66" i="18"/>
  <c r="I66" i="18"/>
  <c r="AN66" i="18"/>
  <c r="G66" i="18"/>
  <c r="H64" i="19"/>
  <c r="F57" i="18"/>
  <c r="U62" i="18"/>
  <c r="F66" i="18"/>
  <c r="AH67" i="18"/>
  <c r="AI67" i="18"/>
  <c r="AF53" i="18"/>
  <c r="AP60" i="18"/>
  <c r="Z60" i="18"/>
  <c r="R60" i="18"/>
  <c r="H60" i="18"/>
  <c r="AM60" i="18"/>
  <c r="AE60" i="18"/>
  <c r="W60" i="18"/>
  <c r="M60" i="18"/>
  <c r="E60" i="18"/>
  <c r="V60" i="18"/>
  <c r="J60" i="18"/>
  <c r="AF60" i="18"/>
  <c r="U60" i="18"/>
  <c r="I60" i="18"/>
  <c r="AO60" i="18"/>
  <c r="AD60" i="18"/>
  <c r="T60" i="18"/>
  <c r="G60" i="18"/>
  <c r="AN60" i="18"/>
  <c r="AC60" i="18"/>
  <c r="S60" i="18"/>
  <c r="F60" i="18"/>
  <c r="AL60" i="18"/>
  <c r="AB60" i="18"/>
  <c r="O60" i="18"/>
  <c r="D60" i="18"/>
  <c r="AA60" i="18"/>
  <c r="Y60" i="18"/>
  <c r="X60" i="18"/>
  <c r="N60" i="18"/>
  <c r="L60" i="18"/>
  <c r="C28" i="18"/>
  <c r="K60" i="18"/>
  <c r="C41" i="18"/>
  <c r="C45" i="18"/>
  <c r="G53" i="18"/>
  <c r="D53" i="19" s="1"/>
  <c r="AO53" i="18"/>
  <c r="C55" i="18"/>
  <c r="N56" i="18"/>
  <c r="AK56" i="18"/>
  <c r="AP58" i="18"/>
  <c r="Z58" i="18"/>
  <c r="R58" i="18"/>
  <c r="H58" i="18"/>
  <c r="AM58" i="18"/>
  <c r="AE58" i="18"/>
  <c r="W58" i="18"/>
  <c r="M58" i="18"/>
  <c r="E58" i="18"/>
  <c r="AL58" i="18"/>
  <c r="AB58" i="18"/>
  <c r="O58" i="18"/>
  <c r="D58" i="18"/>
  <c r="AK58" i="18"/>
  <c r="AA58" i="18"/>
  <c r="N58" i="18"/>
  <c r="AJ58" i="18"/>
  <c r="Y58" i="18"/>
  <c r="L58" i="18"/>
  <c r="X58" i="18"/>
  <c r="K58" i="18"/>
  <c r="V58" i="18"/>
  <c r="J58" i="18"/>
  <c r="AD58" i="18"/>
  <c r="AA68" i="18"/>
  <c r="C51" i="18"/>
  <c r="AD53" i="18"/>
  <c r="L53" i="18" s="1"/>
  <c r="V56" i="18"/>
  <c r="AH58" i="18"/>
  <c r="AI58" i="18"/>
  <c r="AG58" i="18"/>
  <c r="AP65" i="18"/>
  <c r="Z65" i="18"/>
  <c r="R65" i="18"/>
  <c r="H65" i="18"/>
  <c r="AM65" i="18"/>
  <c r="AE65" i="18"/>
  <c r="W65" i="18"/>
  <c r="M65" i="18"/>
  <c r="E65" i="18"/>
  <c r="AJ65" i="18"/>
  <c r="Y65" i="18"/>
  <c r="L65" i="18"/>
  <c r="X65" i="18"/>
  <c r="K65" i="18"/>
  <c r="V65" i="18"/>
  <c r="J65" i="18"/>
  <c r="AF65" i="18"/>
  <c r="U65" i="18"/>
  <c r="I65" i="18"/>
  <c r="AO65" i="18"/>
  <c r="AD65" i="18"/>
  <c r="T65" i="18"/>
  <c r="G65" i="18"/>
  <c r="AC65" i="18"/>
  <c r="AI92" i="18"/>
  <c r="AH92" i="18"/>
  <c r="AG92" i="18"/>
  <c r="C40" i="18"/>
  <c r="C44" i="18"/>
  <c r="AE53" i="18"/>
  <c r="G53" i="19" s="1"/>
  <c r="C54" i="18"/>
  <c r="X56" i="18"/>
  <c r="AP61" i="18"/>
  <c r="Z61" i="18"/>
  <c r="R61" i="18"/>
  <c r="H61" i="18"/>
  <c r="AM61" i="18"/>
  <c r="AE61" i="18"/>
  <c r="W61" i="18"/>
  <c r="M61" i="18"/>
  <c r="E61" i="18"/>
  <c r="AJ61" i="18"/>
  <c r="Y61" i="18"/>
  <c r="L61" i="18"/>
  <c r="X61" i="18"/>
  <c r="K61" i="18"/>
  <c r="V61" i="18"/>
  <c r="J61" i="18"/>
  <c r="AF61" i="18"/>
  <c r="U61" i="18"/>
  <c r="I61" i="18"/>
  <c r="AO61" i="18"/>
  <c r="AD61" i="18"/>
  <c r="T61" i="18"/>
  <c r="G61" i="18"/>
  <c r="AC61" i="18"/>
  <c r="D65" i="18"/>
  <c r="AK65" i="18"/>
  <c r="AI77" i="18"/>
  <c r="AH77" i="18"/>
  <c r="AG77" i="18"/>
  <c r="C16" i="18"/>
  <c r="C24" i="18"/>
  <c r="C50" i="18"/>
  <c r="N53" i="18"/>
  <c r="E53" i="19" s="1"/>
  <c r="I58" i="18"/>
  <c r="AO58" i="18"/>
  <c r="D61" i="18"/>
  <c r="AK61" i="18"/>
  <c r="F65" i="18"/>
  <c r="AL65" i="18"/>
  <c r="C39" i="18"/>
  <c r="C43" i="18"/>
  <c r="T53" i="18"/>
  <c r="I53" i="18"/>
  <c r="R53" i="18"/>
  <c r="S53" i="18" s="1"/>
  <c r="H53" i="18"/>
  <c r="O53" i="18"/>
  <c r="B53" i="19" s="1"/>
  <c r="AP56" i="18"/>
  <c r="Z56" i="18"/>
  <c r="R56" i="18"/>
  <c r="H56" i="18"/>
  <c r="AM56" i="18"/>
  <c r="AE56" i="18"/>
  <c r="W56" i="18"/>
  <c r="M56" i="18"/>
  <c r="E56" i="18"/>
  <c r="AF56" i="18"/>
  <c r="U56" i="18"/>
  <c r="I56" i="18"/>
  <c r="AO56" i="18"/>
  <c r="AD56" i="18"/>
  <c r="T56" i="18"/>
  <c r="G56" i="18"/>
  <c r="AN56" i="18"/>
  <c r="AC56" i="18"/>
  <c r="S56" i="18"/>
  <c r="F56" i="18"/>
  <c r="AL56" i="18"/>
  <c r="AB56" i="18"/>
  <c r="O56" i="18"/>
  <c r="D56" i="18"/>
  <c r="AA56" i="18"/>
  <c r="F61" i="18"/>
  <c r="AL61" i="18"/>
  <c r="N65" i="18"/>
  <c r="AN65" i="18"/>
  <c r="AP68" i="18"/>
  <c r="Z68" i="18"/>
  <c r="R68" i="18"/>
  <c r="H68" i="18"/>
  <c r="AM68" i="18"/>
  <c r="AE68" i="18"/>
  <c r="W68" i="18"/>
  <c r="M68" i="18"/>
  <c r="E68" i="18"/>
  <c r="AJ68" i="18"/>
  <c r="Y68" i="18"/>
  <c r="L68" i="18"/>
  <c r="V68" i="18"/>
  <c r="J68" i="18"/>
  <c r="AF68" i="18"/>
  <c r="U68" i="18"/>
  <c r="I68" i="18"/>
  <c r="AO68" i="18"/>
  <c r="AD68" i="18"/>
  <c r="T68" i="18"/>
  <c r="G68" i="18"/>
  <c r="AN68" i="18"/>
  <c r="AC68" i="18"/>
  <c r="S68" i="18"/>
  <c r="F68" i="18"/>
  <c r="AL68" i="18"/>
  <c r="AB68" i="18"/>
  <c r="O68" i="18"/>
  <c r="D68" i="18"/>
  <c r="AM72" i="18"/>
  <c r="AE72" i="18"/>
  <c r="W72" i="18"/>
  <c r="M72" i="18"/>
  <c r="E72" i="18"/>
  <c r="AK72" i="18"/>
  <c r="AB72" i="18"/>
  <c r="S72" i="18"/>
  <c r="H72" i="18"/>
  <c r="Y72" i="18"/>
  <c r="N72" i="18"/>
  <c r="D72" i="18"/>
  <c r="AP72" i="18"/>
  <c r="AD72" i="18"/>
  <c r="R72" i="18"/>
  <c r="AO72" i="18"/>
  <c r="AC72" i="18"/>
  <c r="O72" i="18"/>
  <c r="AN72" i="18"/>
  <c r="AA72" i="18"/>
  <c r="L72" i="18"/>
  <c r="AL72" i="18"/>
  <c r="Z72" i="18"/>
  <c r="K72" i="18"/>
  <c r="AJ72" i="18"/>
  <c r="X72" i="18"/>
  <c r="J72" i="18"/>
  <c r="V72" i="18"/>
  <c r="I72" i="18"/>
  <c r="U72" i="18"/>
  <c r="G72" i="18"/>
  <c r="AI76" i="18"/>
  <c r="AH76" i="18"/>
  <c r="AG76" i="18"/>
  <c r="AH75" i="18"/>
  <c r="AI75" i="18"/>
  <c r="AG75" i="18"/>
  <c r="L59" i="18"/>
  <c r="Y59" i="18"/>
  <c r="L63" i="18"/>
  <c r="Y63" i="18"/>
  <c r="L67" i="18"/>
  <c r="Y67" i="18"/>
  <c r="H69" i="18"/>
  <c r="V69" i="18"/>
  <c r="AM70" i="18"/>
  <c r="AE70" i="18"/>
  <c r="W70" i="18"/>
  <c r="M70" i="18"/>
  <c r="E70" i="18"/>
  <c r="Z70" i="18"/>
  <c r="O70" i="18"/>
  <c r="F70" i="18"/>
  <c r="AO70" i="18"/>
  <c r="AF70" i="18"/>
  <c r="V70" i="18"/>
  <c r="K70" i="18"/>
  <c r="R70" i="18"/>
  <c r="AC70" i="18"/>
  <c r="AP70" i="18"/>
  <c r="O73" i="18"/>
  <c r="AB73" i="18"/>
  <c r="I74" i="18"/>
  <c r="X74" i="18"/>
  <c r="F75" i="18"/>
  <c r="T75" i="18"/>
  <c r="AM76" i="18"/>
  <c r="AE76" i="18"/>
  <c r="W76" i="18"/>
  <c r="M76" i="18"/>
  <c r="E76" i="18"/>
  <c r="AJ76" i="18"/>
  <c r="AB76" i="18"/>
  <c r="T76" i="18"/>
  <c r="J76" i="18"/>
  <c r="AN76" i="18"/>
  <c r="AC76" i="18"/>
  <c r="R76" i="18"/>
  <c r="F76" i="18"/>
  <c r="Y76" i="18"/>
  <c r="L76" i="18"/>
  <c r="S76" i="18"/>
  <c r="AM78" i="18"/>
  <c r="AE78" i="18"/>
  <c r="W78" i="18"/>
  <c r="M78" i="18"/>
  <c r="E78" i="18"/>
  <c r="AJ78" i="18"/>
  <c r="AB78" i="18"/>
  <c r="T78" i="18"/>
  <c r="J78" i="18"/>
  <c r="AP78" i="18"/>
  <c r="AF78" i="18"/>
  <c r="U78" i="18"/>
  <c r="H78" i="18"/>
  <c r="AO78" i="18"/>
  <c r="AD78" i="18"/>
  <c r="S78" i="18"/>
  <c r="AN78" i="18"/>
  <c r="AL78" i="18"/>
  <c r="AA78" i="18"/>
  <c r="O78" i="18"/>
  <c r="D78" i="18"/>
  <c r="V78" i="18"/>
  <c r="AK78" i="18"/>
  <c r="O79" i="18"/>
  <c r="N81" i="18"/>
  <c r="AK81" i="18"/>
  <c r="X93" i="18"/>
  <c r="AA94" i="18"/>
  <c r="AB95" i="18"/>
  <c r="AI116" i="18"/>
  <c r="AH116" i="18"/>
  <c r="AG116" i="18"/>
  <c r="AP59" i="18"/>
  <c r="Z59" i="18"/>
  <c r="R59" i="18"/>
  <c r="H59" i="18"/>
  <c r="AM59" i="18"/>
  <c r="AE59" i="18"/>
  <c r="W59" i="18"/>
  <c r="M59" i="18"/>
  <c r="E59" i="18"/>
  <c r="N59" i="18"/>
  <c r="AA59" i="18"/>
  <c r="AK59" i="18"/>
  <c r="AP63" i="18"/>
  <c r="Z63" i="18"/>
  <c r="R63" i="18"/>
  <c r="H63" i="18"/>
  <c r="AM63" i="18"/>
  <c r="AE63" i="18"/>
  <c r="W63" i="18"/>
  <c r="M63" i="18"/>
  <c r="E63" i="18"/>
  <c r="N63" i="18"/>
  <c r="AA63" i="18"/>
  <c r="AK63" i="18"/>
  <c r="AP67" i="18"/>
  <c r="Z67" i="18"/>
  <c r="R67" i="18"/>
  <c r="H67" i="18"/>
  <c r="AM67" i="18"/>
  <c r="AE67" i="18"/>
  <c r="W67" i="18"/>
  <c r="M67" i="18"/>
  <c r="E67" i="18"/>
  <c r="N67" i="18"/>
  <c r="AA67" i="18"/>
  <c r="AK67" i="18"/>
  <c r="J69" i="18"/>
  <c r="X69" i="18"/>
  <c r="AJ69" i="18"/>
  <c r="AM73" i="18"/>
  <c r="AE73" i="18"/>
  <c r="W73" i="18"/>
  <c r="M73" i="18"/>
  <c r="E73" i="18"/>
  <c r="Y73" i="18"/>
  <c r="N73" i="18"/>
  <c r="D73" i="18"/>
  <c r="AN73" i="18"/>
  <c r="AD73" i="18"/>
  <c r="U73" i="18"/>
  <c r="J73" i="18"/>
  <c r="R73" i="18"/>
  <c r="AC73" i="18"/>
  <c r="AP73" i="18"/>
  <c r="K74" i="18"/>
  <c r="Y74" i="18"/>
  <c r="AK74" i="18"/>
  <c r="H75" i="18"/>
  <c r="U75" i="18"/>
  <c r="O81" i="18"/>
  <c r="AL81" i="18"/>
  <c r="AM87" i="18"/>
  <c r="AE87" i="18"/>
  <c r="W87" i="18"/>
  <c r="M87" i="18"/>
  <c r="E87" i="18"/>
  <c r="AJ87" i="18"/>
  <c r="AB87" i="18"/>
  <c r="T87" i="18"/>
  <c r="J87" i="18"/>
  <c r="V87" i="18"/>
  <c r="I87" i="18"/>
  <c r="AP87" i="18"/>
  <c r="AF87" i="18"/>
  <c r="U87" i="18"/>
  <c r="H87" i="18"/>
  <c r="AO87" i="18"/>
  <c r="AD87" i="18"/>
  <c r="S87" i="18"/>
  <c r="G87" i="18"/>
  <c r="AN87" i="18"/>
  <c r="AC87" i="18"/>
  <c r="R87" i="18"/>
  <c r="F87" i="18"/>
  <c r="Z87" i="18"/>
  <c r="AM88" i="18"/>
  <c r="AE88" i="18"/>
  <c r="W88" i="18"/>
  <c r="M88" i="18"/>
  <c r="E88" i="18"/>
  <c r="AJ88" i="18"/>
  <c r="AB88" i="18"/>
  <c r="T88" i="18"/>
  <c r="J88" i="18"/>
  <c r="X88" i="18"/>
  <c r="K88" i="18"/>
  <c r="V88" i="18"/>
  <c r="I88" i="18"/>
  <c r="AP88" i="18"/>
  <c r="AF88" i="18"/>
  <c r="U88" i="18"/>
  <c r="H88" i="18"/>
  <c r="AO88" i="18"/>
  <c r="AD88" i="18"/>
  <c r="S88" i="18"/>
  <c r="G88" i="18"/>
  <c r="Z88" i="18"/>
  <c r="AI90" i="18"/>
  <c r="AH90" i="18"/>
  <c r="AG90" i="18"/>
  <c r="Y93" i="18"/>
  <c r="AM100" i="18"/>
  <c r="AE100" i="18"/>
  <c r="W100" i="18"/>
  <c r="M100" i="18"/>
  <c r="E100" i="18"/>
  <c r="AL100" i="18"/>
  <c r="AD100" i="18"/>
  <c r="V100" i="18"/>
  <c r="L100" i="18"/>
  <c r="D100" i="18"/>
  <c r="AJ100" i="18"/>
  <c r="AB100" i="18"/>
  <c r="T100" i="18"/>
  <c r="J100" i="18"/>
  <c r="AN100" i="18"/>
  <c r="Z100" i="18"/>
  <c r="K100" i="18"/>
  <c r="AK100" i="18"/>
  <c r="Y100" i="18"/>
  <c r="I100" i="18"/>
  <c r="X100" i="18"/>
  <c r="H100" i="18"/>
  <c r="U100" i="18"/>
  <c r="G100" i="18"/>
  <c r="AC100" i="18"/>
  <c r="AA100" i="18"/>
  <c r="S100" i="18"/>
  <c r="R100" i="18"/>
  <c r="AP100" i="18"/>
  <c r="O100" i="18"/>
  <c r="AI113" i="18"/>
  <c r="AH113" i="18"/>
  <c r="D59" i="18"/>
  <c r="O59" i="18"/>
  <c r="AB59" i="18"/>
  <c r="AL59" i="18"/>
  <c r="D63" i="18"/>
  <c r="O63" i="18"/>
  <c r="AB63" i="18"/>
  <c r="AL63" i="18"/>
  <c r="D67" i="18"/>
  <c r="O67" i="18"/>
  <c r="AB67" i="18"/>
  <c r="AL67" i="18"/>
  <c r="K69" i="18"/>
  <c r="Y69" i="18"/>
  <c r="AK69" i="18"/>
  <c r="F73" i="18"/>
  <c r="S73" i="18"/>
  <c r="AF73" i="18"/>
  <c r="L74" i="18"/>
  <c r="Z74" i="18"/>
  <c r="AL74" i="18"/>
  <c r="I75" i="18"/>
  <c r="V75" i="18"/>
  <c r="AK75" i="18"/>
  <c r="R81" i="18"/>
  <c r="AN81" i="18"/>
  <c r="AI83" i="18"/>
  <c r="AH83" i="18"/>
  <c r="AG85" i="18"/>
  <c r="AM86" i="18"/>
  <c r="AE86" i="18"/>
  <c r="W86" i="18"/>
  <c r="M86" i="18"/>
  <c r="E86" i="18"/>
  <c r="AJ86" i="18"/>
  <c r="AB86" i="18"/>
  <c r="T86" i="18"/>
  <c r="J86" i="18"/>
  <c r="AP86" i="18"/>
  <c r="AF86" i="18"/>
  <c r="U86" i="18"/>
  <c r="H86" i="18"/>
  <c r="AO86" i="18"/>
  <c r="AD86" i="18"/>
  <c r="S86" i="18"/>
  <c r="G86" i="18"/>
  <c r="AN86" i="18"/>
  <c r="AC86" i="18"/>
  <c r="R86" i="18"/>
  <c r="F86" i="18"/>
  <c r="AL86" i="18"/>
  <c r="AA86" i="18"/>
  <c r="O86" i="18"/>
  <c r="D86" i="18"/>
  <c r="Z86" i="18"/>
  <c r="D87" i="18"/>
  <c r="AA87" i="18"/>
  <c r="D88" i="18"/>
  <c r="AA88" i="18"/>
  <c r="F100" i="18"/>
  <c r="AM103" i="18"/>
  <c r="AE103" i="18"/>
  <c r="W103" i="18"/>
  <c r="M103" i="18"/>
  <c r="E103" i="18"/>
  <c r="AL103" i="18"/>
  <c r="AD103" i="18"/>
  <c r="V103" i="18"/>
  <c r="L103" i="18"/>
  <c r="D103" i="18"/>
  <c r="AJ103" i="18"/>
  <c r="AB103" i="18"/>
  <c r="T103" i="18"/>
  <c r="J103" i="18"/>
  <c r="AP103" i="18"/>
  <c r="AC103" i="18"/>
  <c r="O103" i="18"/>
  <c r="AO103" i="18"/>
  <c r="AA103" i="18"/>
  <c r="N103" i="18"/>
  <c r="AN103" i="18"/>
  <c r="Z103" i="18"/>
  <c r="K103" i="18"/>
  <c r="AK103" i="18"/>
  <c r="Y103" i="18"/>
  <c r="I103" i="18"/>
  <c r="X103" i="18"/>
  <c r="U103" i="18"/>
  <c r="S103" i="18"/>
  <c r="R103" i="18"/>
  <c r="H103" i="18"/>
  <c r="AG113" i="18"/>
  <c r="F59" i="18"/>
  <c r="S59" i="18"/>
  <c r="AC59" i="18"/>
  <c r="AN59" i="18"/>
  <c r="F63" i="18"/>
  <c r="S63" i="18"/>
  <c r="AC63" i="18"/>
  <c r="AN63" i="18"/>
  <c r="F67" i="18"/>
  <c r="S67" i="18"/>
  <c r="AC67" i="18"/>
  <c r="AN67" i="18"/>
  <c r="L69" i="18"/>
  <c r="AA69" i="18"/>
  <c r="AN69" i="18"/>
  <c r="H70" i="18"/>
  <c r="U70" i="18"/>
  <c r="AM71" i="18"/>
  <c r="AE71" i="18"/>
  <c r="W71" i="18"/>
  <c r="M71" i="18"/>
  <c r="E71" i="18"/>
  <c r="AO71" i="18"/>
  <c r="AF71" i="18"/>
  <c r="V71" i="18"/>
  <c r="K71" i="18"/>
  <c r="AK71" i="18"/>
  <c r="AB71" i="18"/>
  <c r="S71" i="18"/>
  <c r="H71" i="18"/>
  <c r="O71" i="18"/>
  <c r="AC71" i="18"/>
  <c r="AP71" i="18"/>
  <c r="G73" i="18"/>
  <c r="T73" i="18"/>
  <c r="N74" i="18"/>
  <c r="AB74" i="18"/>
  <c r="J75" i="18"/>
  <c r="Y75" i="18"/>
  <c r="AN75" i="18"/>
  <c r="H76" i="18"/>
  <c r="X76" i="18"/>
  <c r="AL76" i="18"/>
  <c r="I78" i="18"/>
  <c r="Z78" i="18"/>
  <c r="AM79" i="18"/>
  <c r="AE79" i="18"/>
  <c r="W79" i="18"/>
  <c r="M79" i="18"/>
  <c r="E79" i="18"/>
  <c r="AJ79" i="18"/>
  <c r="AB79" i="18"/>
  <c r="T79" i="18"/>
  <c r="J79" i="18"/>
  <c r="V79" i="18"/>
  <c r="I79" i="18"/>
  <c r="AP79" i="18"/>
  <c r="AF79" i="18"/>
  <c r="U79" i="18"/>
  <c r="H79" i="18"/>
  <c r="AO79" i="18"/>
  <c r="AD79" i="18"/>
  <c r="S79" i="18"/>
  <c r="G79" i="18"/>
  <c r="AN79" i="18"/>
  <c r="AC79" i="18"/>
  <c r="R79" i="18"/>
  <c r="F79" i="18"/>
  <c r="Z79" i="18"/>
  <c r="AM80" i="18"/>
  <c r="AE80" i="18"/>
  <c r="W80" i="18"/>
  <c r="M80" i="18"/>
  <c r="E80" i="18"/>
  <c r="AJ80" i="18"/>
  <c r="AB80" i="18"/>
  <c r="T80" i="18"/>
  <c r="J80" i="18"/>
  <c r="X80" i="18"/>
  <c r="K80" i="18"/>
  <c r="V80" i="18"/>
  <c r="I80" i="18"/>
  <c r="AP80" i="18"/>
  <c r="AF80" i="18"/>
  <c r="U80" i="18"/>
  <c r="H80" i="18"/>
  <c r="AO80" i="18"/>
  <c r="AD80" i="18"/>
  <c r="S80" i="18"/>
  <c r="G80" i="18"/>
  <c r="Z80" i="18"/>
  <c r="S81" i="18"/>
  <c r="AG83" i="18"/>
  <c r="I86" i="18"/>
  <c r="K87" i="18"/>
  <c r="F88" i="18"/>
  <c r="AC88" i="18"/>
  <c r="AI91" i="18"/>
  <c r="AH91" i="18"/>
  <c r="AM99" i="18"/>
  <c r="AE99" i="18"/>
  <c r="W99" i="18"/>
  <c r="M99" i="18"/>
  <c r="E99" i="18"/>
  <c r="AL99" i="18"/>
  <c r="AD99" i="18"/>
  <c r="V99" i="18"/>
  <c r="L99" i="18"/>
  <c r="D99" i="18"/>
  <c r="AJ99" i="18"/>
  <c r="AB99" i="18"/>
  <c r="T99" i="18"/>
  <c r="J99" i="18"/>
  <c r="AP99" i="18"/>
  <c r="AC99" i="18"/>
  <c r="O99" i="18"/>
  <c r="AO99" i="18"/>
  <c r="AA99" i="18"/>
  <c r="N99" i="18"/>
  <c r="AN99" i="18"/>
  <c r="Z99" i="18"/>
  <c r="K99" i="18"/>
  <c r="AK99" i="18"/>
  <c r="Y99" i="18"/>
  <c r="I99" i="18"/>
  <c r="S99" i="18"/>
  <c r="R99" i="18"/>
  <c r="H99" i="18"/>
  <c r="G99" i="18"/>
  <c r="F99" i="18"/>
  <c r="N100" i="18"/>
  <c r="F103" i="18"/>
  <c r="N69" i="18"/>
  <c r="AB69" i="18"/>
  <c r="AM74" i="18"/>
  <c r="AE74" i="18"/>
  <c r="W74" i="18"/>
  <c r="M74" i="18"/>
  <c r="E74" i="18"/>
  <c r="AN74" i="18"/>
  <c r="AD74" i="18"/>
  <c r="U74" i="18"/>
  <c r="J74" i="18"/>
  <c r="AJ74" i="18"/>
  <c r="AA74" i="18"/>
  <c r="R74" i="18"/>
  <c r="G74" i="18"/>
  <c r="O74" i="18"/>
  <c r="AC74" i="18"/>
  <c r="AP74" i="18"/>
  <c r="K75" i="18"/>
  <c r="Z75" i="18"/>
  <c r="AO75" i="18"/>
  <c r="AM81" i="18"/>
  <c r="AE81" i="18"/>
  <c r="W81" i="18"/>
  <c r="M81" i="18"/>
  <c r="E81" i="18"/>
  <c r="AJ81" i="18"/>
  <c r="AB81" i="18"/>
  <c r="T81" i="18"/>
  <c r="J81" i="18"/>
  <c r="Y81" i="18"/>
  <c r="L81" i="18"/>
  <c r="X81" i="18"/>
  <c r="K81" i="18"/>
  <c r="V81" i="18"/>
  <c r="I81" i="18"/>
  <c r="AP81" i="18"/>
  <c r="AF81" i="18"/>
  <c r="U81" i="18"/>
  <c r="H81" i="18"/>
  <c r="Z81" i="18"/>
  <c r="AM95" i="18"/>
  <c r="AE95" i="18"/>
  <c r="W95" i="18"/>
  <c r="M95" i="18"/>
  <c r="E95" i="18"/>
  <c r="AL95" i="18"/>
  <c r="AD95" i="18"/>
  <c r="V95" i="18"/>
  <c r="L95" i="18"/>
  <c r="D95" i="18"/>
  <c r="AJ95" i="18"/>
  <c r="Z95" i="18"/>
  <c r="N95" i="18"/>
  <c r="Y95" i="18"/>
  <c r="K95" i="18"/>
  <c r="X95" i="18"/>
  <c r="J95" i="18"/>
  <c r="U95" i="18"/>
  <c r="I95" i="18"/>
  <c r="AO95" i="18"/>
  <c r="S95" i="18"/>
  <c r="AN95" i="18"/>
  <c r="R95" i="18"/>
  <c r="AK95" i="18"/>
  <c r="O95" i="18"/>
  <c r="AF95" i="18"/>
  <c r="H95" i="18"/>
  <c r="AC95" i="18"/>
  <c r="G95" i="18"/>
  <c r="AI100" i="18"/>
  <c r="AH100" i="18"/>
  <c r="AM69" i="18"/>
  <c r="AE69" i="18"/>
  <c r="W69" i="18"/>
  <c r="M69" i="18"/>
  <c r="E69" i="18"/>
  <c r="AL69" i="18"/>
  <c r="AC69" i="18"/>
  <c r="T69" i="18"/>
  <c r="I69" i="18"/>
  <c r="Z69" i="18"/>
  <c r="O69" i="18"/>
  <c r="F69" i="18"/>
  <c r="R69" i="18"/>
  <c r="AD69" i="18"/>
  <c r="AP69" i="18"/>
  <c r="N75" i="18"/>
  <c r="AC75" i="18"/>
  <c r="AM93" i="18"/>
  <c r="AE93" i="18"/>
  <c r="W93" i="18"/>
  <c r="M93" i="18"/>
  <c r="E93" i="18"/>
  <c r="AL93" i="18"/>
  <c r="AD93" i="18"/>
  <c r="V93" i="18"/>
  <c r="L93" i="18"/>
  <c r="D93" i="18"/>
  <c r="AP93" i="18"/>
  <c r="AF93" i="18"/>
  <c r="T93" i="18"/>
  <c r="H93" i="18"/>
  <c r="AO93" i="18"/>
  <c r="AC93" i="18"/>
  <c r="AN93" i="18"/>
  <c r="AB93" i="18"/>
  <c r="R93" i="18"/>
  <c r="F93" i="18"/>
  <c r="AK93" i="18"/>
  <c r="AA93" i="18"/>
  <c r="O93" i="18"/>
  <c r="U93" i="18"/>
  <c r="AJ93" i="18"/>
  <c r="S93" i="18"/>
  <c r="N93" i="18"/>
  <c r="K93" i="18"/>
  <c r="J93" i="18"/>
  <c r="AM94" i="18"/>
  <c r="AE94" i="18"/>
  <c r="W94" i="18"/>
  <c r="M94" i="18"/>
  <c r="E94" i="18"/>
  <c r="AL94" i="18"/>
  <c r="AD94" i="18"/>
  <c r="V94" i="18"/>
  <c r="L94" i="18"/>
  <c r="D94" i="18"/>
  <c r="X94" i="18"/>
  <c r="J94" i="18"/>
  <c r="U94" i="18"/>
  <c r="I94" i="18"/>
  <c r="AP94" i="18"/>
  <c r="AF94" i="18"/>
  <c r="T94" i="18"/>
  <c r="H94" i="18"/>
  <c r="AO94" i="18"/>
  <c r="AC94" i="18"/>
  <c r="S94" i="18"/>
  <c r="G94" i="18"/>
  <c r="Y94" i="18"/>
  <c r="AN94" i="18"/>
  <c r="R94" i="18"/>
  <c r="AK94" i="18"/>
  <c r="O94" i="18"/>
  <c r="AJ94" i="18"/>
  <c r="N94" i="18"/>
  <c r="K94" i="18"/>
  <c r="AM98" i="18"/>
  <c r="AE98" i="18"/>
  <c r="W98" i="18"/>
  <c r="M98" i="18"/>
  <c r="E98" i="18"/>
  <c r="AL98" i="18"/>
  <c r="AD98" i="18"/>
  <c r="V98" i="18"/>
  <c r="L98" i="18"/>
  <c r="D98" i="18"/>
  <c r="X98" i="18"/>
  <c r="J98" i="18"/>
  <c r="U98" i="18"/>
  <c r="I98" i="18"/>
  <c r="AP98" i="18"/>
  <c r="AF98" i="18"/>
  <c r="T98" i="18"/>
  <c r="H98" i="18"/>
  <c r="AO98" i="18"/>
  <c r="AC98" i="18"/>
  <c r="S98" i="18"/>
  <c r="G98" i="18"/>
  <c r="AN98" i="18"/>
  <c r="R98" i="18"/>
  <c r="AK98" i="18"/>
  <c r="O98" i="18"/>
  <c r="AJ98" i="18"/>
  <c r="N98" i="18"/>
  <c r="K98" i="18"/>
  <c r="AB98" i="18"/>
  <c r="F98" i="18"/>
  <c r="D69" i="18"/>
  <c r="S69" i="18"/>
  <c r="AF69" i="18"/>
  <c r="AM75" i="18"/>
  <c r="AE75" i="18"/>
  <c r="W75" i="18"/>
  <c r="M75" i="18"/>
  <c r="E75" i="18"/>
  <c r="AJ75" i="18"/>
  <c r="AB75" i="18"/>
  <c r="AL75" i="18"/>
  <c r="AA75" i="18"/>
  <c r="R75" i="18"/>
  <c r="G75" i="18"/>
  <c r="X75" i="18"/>
  <c r="L75" i="18"/>
  <c r="O75" i="18"/>
  <c r="AD75" i="18"/>
  <c r="AI82" i="18"/>
  <c r="AH82" i="18"/>
  <c r="AG82" i="18"/>
  <c r="G93" i="18"/>
  <c r="F94" i="18"/>
  <c r="Y98" i="18"/>
  <c r="AI99" i="18"/>
  <c r="AH99" i="18"/>
  <c r="AG99" i="18"/>
  <c r="AG103" i="18"/>
  <c r="AM77" i="18"/>
  <c r="AE77" i="18"/>
  <c r="W77" i="18"/>
  <c r="M77" i="18"/>
  <c r="E77" i="18"/>
  <c r="AJ77" i="18"/>
  <c r="AB77" i="18"/>
  <c r="T77" i="18"/>
  <c r="J77" i="18"/>
  <c r="N77" i="18"/>
  <c r="Z77" i="18"/>
  <c r="AK77" i="18"/>
  <c r="I82" i="18"/>
  <c r="K83" i="18"/>
  <c r="L84" i="18"/>
  <c r="AM85" i="18"/>
  <c r="AE85" i="18"/>
  <c r="W85" i="18"/>
  <c r="M85" i="18"/>
  <c r="E85" i="18"/>
  <c r="AJ85" i="18"/>
  <c r="AB85" i="18"/>
  <c r="T85" i="18"/>
  <c r="J85" i="18"/>
  <c r="N85" i="18"/>
  <c r="Z85" i="18"/>
  <c r="AK85" i="18"/>
  <c r="H89" i="18"/>
  <c r="U89" i="18"/>
  <c r="AF89" i="18"/>
  <c r="AP89" i="18"/>
  <c r="I90" i="18"/>
  <c r="K91" i="18"/>
  <c r="X91" i="18"/>
  <c r="AM97" i="18"/>
  <c r="AE97" i="18"/>
  <c r="W97" i="18"/>
  <c r="M97" i="18"/>
  <c r="E97" i="18"/>
  <c r="AL97" i="18"/>
  <c r="AD97" i="18"/>
  <c r="V97" i="18"/>
  <c r="L97" i="18"/>
  <c r="D97" i="18"/>
  <c r="AP97" i="18"/>
  <c r="AF97" i="18"/>
  <c r="T97" i="18"/>
  <c r="H97" i="18"/>
  <c r="AO97" i="18"/>
  <c r="AC97" i="18"/>
  <c r="S97" i="18"/>
  <c r="G97" i="18"/>
  <c r="AN97" i="18"/>
  <c r="AB97" i="18"/>
  <c r="R97" i="18"/>
  <c r="F97" i="18"/>
  <c r="AK97" i="18"/>
  <c r="AA97" i="18"/>
  <c r="O97" i="18"/>
  <c r="Z97" i="18"/>
  <c r="AM84" i="18"/>
  <c r="AE84" i="18"/>
  <c r="W84" i="18"/>
  <c r="M84" i="18"/>
  <c r="E84" i="18"/>
  <c r="AJ84" i="18"/>
  <c r="AB84" i="18"/>
  <c r="T84" i="18"/>
  <c r="J84" i="18"/>
  <c r="N84" i="18"/>
  <c r="Z84" i="18"/>
  <c r="AK84" i="18"/>
  <c r="I89" i="18"/>
  <c r="V89" i="18"/>
  <c r="L91" i="18"/>
  <c r="AI104" i="18"/>
  <c r="AH104" i="18"/>
  <c r="AI108" i="18"/>
  <c r="AH108" i="18"/>
  <c r="AG108" i="18"/>
  <c r="AI120" i="18"/>
  <c r="AH120" i="18"/>
  <c r="AG120" i="18"/>
  <c r="AM83" i="18"/>
  <c r="AE83" i="18"/>
  <c r="W83" i="18"/>
  <c r="M83" i="18"/>
  <c r="E83" i="18"/>
  <c r="AJ83" i="18"/>
  <c r="AB83" i="18"/>
  <c r="T83" i="18"/>
  <c r="J83" i="18"/>
  <c r="N83" i="18"/>
  <c r="Z83" i="18"/>
  <c r="AK83" i="18"/>
  <c r="D84" i="18"/>
  <c r="O84" i="18"/>
  <c r="AA84" i="18"/>
  <c r="AL84" i="18"/>
  <c r="K89" i="18"/>
  <c r="X89" i="18"/>
  <c r="AM91" i="18"/>
  <c r="AE91" i="18"/>
  <c r="W91" i="18"/>
  <c r="M91" i="18"/>
  <c r="E91" i="18"/>
  <c r="AJ91" i="18"/>
  <c r="AB91" i="18"/>
  <c r="T91" i="18"/>
  <c r="J91" i="18"/>
  <c r="N91" i="18"/>
  <c r="Z91" i="18"/>
  <c r="AK91" i="18"/>
  <c r="AG104" i="18"/>
  <c r="AG117" i="18"/>
  <c r="G77" i="18"/>
  <c r="S77" i="18"/>
  <c r="AD77" i="18"/>
  <c r="AO77" i="18"/>
  <c r="AM82" i="18"/>
  <c r="AE82" i="18"/>
  <c r="W82" i="18"/>
  <c r="M82" i="18"/>
  <c r="E82" i="18"/>
  <c r="AJ82" i="18"/>
  <c r="AB82" i="18"/>
  <c r="T82" i="18"/>
  <c r="J82" i="18"/>
  <c r="N82" i="18"/>
  <c r="Z82" i="18"/>
  <c r="AK82" i="18"/>
  <c r="D83" i="18"/>
  <c r="O83" i="18"/>
  <c r="AA83" i="18"/>
  <c r="AL83" i="18"/>
  <c r="F84" i="18"/>
  <c r="R84" i="18"/>
  <c r="AC84" i="18"/>
  <c r="AN84" i="18"/>
  <c r="G85" i="18"/>
  <c r="S85" i="18"/>
  <c r="AD85" i="18"/>
  <c r="AO85" i="18"/>
  <c r="L89" i="18"/>
  <c r="AM90" i="18"/>
  <c r="AE90" i="18"/>
  <c r="W90" i="18"/>
  <c r="M90" i="18"/>
  <c r="E90" i="18"/>
  <c r="AJ90" i="18"/>
  <c r="AB90" i="18"/>
  <c r="T90" i="18"/>
  <c r="J90" i="18"/>
  <c r="N90" i="18"/>
  <c r="Z90" i="18"/>
  <c r="AK90" i="18"/>
  <c r="D91" i="18"/>
  <c r="O91" i="18"/>
  <c r="AA91" i="18"/>
  <c r="AL91" i="18"/>
  <c r="AG96" i="18"/>
  <c r="K97" i="18"/>
  <c r="AM104" i="18"/>
  <c r="AE104" i="18"/>
  <c r="W104" i="18"/>
  <c r="M104" i="18"/>
  <c r="E104" i="18"/>
  <c r="AL104" i="18"/>
  <c r="AD104" i="18"/>
  <c r="V104" i="18"/>
  <c r="L104" i="18"/>
  <c r="D104" i="18"/>
  <c r="AJ104" i="18"/>
  <c r="AB104" i="18"/>
  <c r="T104" i="18"/>
  <c r="J104" i="18"/>
  <c r="AO104" i="18"/>
  <c r="AA104" i="18"/>
  <c r="N104" i="18"/>
  <c r="AN104" i="18"/>
  <c r="Z104" i="18"/>
  <c r="K104" i="18"/>
  <c r="AK104" i="18"/>
  <c r="Y104" i="18"/>
  <c r="I104" i="18"/>
  <c r="X104" i="18"/>
  <c r="H104" i="18"/>
  <c r="U104" i="18"/>
  <c r="G104" i="18"/>
  <c r="AP104" i="18"/>
  <c r="AI112" i="18"/>
  <c r="AH112" i="18"/>
  <c r="AG112" i="18"/>
  <c r="AH117" i="18"/>
  <c r="AM89" i="18"/>
  <c r="AE89" i="18"/>
  <c r="W89" i="18"/>
  <c r="M89" i="18"/>
  <c r="E89" i="18"/>
  <c r="AJ89" i="18"/>
  <c r="AB89" i="18"/>
  <c r="T89" i="18"/>
  <c r="J89" i="18"/>
  <c r="N89" i="18"/>
  <c r="Z89" i="18"/>
  <c r="AK89" i="18"/>
  <c r="K92" i="18"/>
  <c r="K96" i="18"/>
  <c r="Y96" i="18"/>
  <c r="AM101" i="18"/>
  <c r="AE101" i="18"/>
  <c r="W101" i="18"/>
  <c r="M101" i="18"/>
  <c r="E101" i="18"/>
  <c r="AL101" i="18"/>
  <c r="AD101" i="18"/>
  <c r="V101" i="18"/>
  <c r="L101" i="18"/>
  <c r="D101" i="18"/>
  <c r="AJ101" i="18"/>
  <c r="AB101" i="18"/>
  <c r="T101" i="18"/>
  <c r="J101" i="18"/>
  <c r="R101" i="18"/>
  <c r="AF101" i="18"/>
  <c r="N102" i="18"/>
  <c r="AA102" i="18"/>
  <c r="AO102" i="18"/>
  <c r="AM105" i="18"/>
  <c r="AE105" i="18"/>
  <c r="W105" i="18"/>
  <c r="M105" i="18"/>
  <c r="E105" i="18"/>
  <c r="AL105" i="18"/>
  <c r="AD105" i="18"/>
  <c r="V105" i="18"/>
  <c r="L105" i="18"/>
  <c r="D105" i="18"/>
  <c r="AJ105" i="18"/>
  <c r="AB105" i="18"/>
  <c r="T105" i="18"/>
  <c r="J105" i="18"/>
  <c r="R105" i="18"/>
  <c r="AF105" i="18"/>
  <c r="N106" i="18"/>
  <c r="AA106" i="18"/>
  <c r="AO106" i="18"/>
  <c r="AM92" i="18"/>
  <c r="AE92" i="18"/>
  <c r="W92" i="18"/>
  <c r="M92" i="18"/>
  <c r="E92" i="18"/>
  <c r="AL92" i="18"/>
  <c r="AD92" i="18"/>
  <c r="V92" i="18"/>
  <c r="L92" i="18"/>
  <c r="N92" i="18"/>
  <c r="Z92" i="18"/>
  <c r="AJ92" i="18"/>
  <c r="N96" i="18"/>
  <c r="Z96" i="18"/>
  <c r="O102" i="18"/>
  <c r="AC102" i="18"/>
  <c r="O106" i="18"/>
  <c r="AC106" i="18"/>
  <c r="AM96" i="18"/>
  <c r="AE96" i="18"/>
  <c r="W96" i="18"/>
  <c r="M96" i="18"/>
  <c r="E96" i="18"/>
  <c r="AL96" i="18"/>
  <c r="AD96" i="18"/>
  <c r="V96" i="18"/>
  <c r="L96" i="18"/>
  <c r="D96" i="18"/>
  <c r="O96" i="18"/>
  <c r="AA96" i="18"/>
  <c r="AK96" i="18"/>
  <c r="AM102" i="18"/>
  <c r="AE102" i="18"/>
  <c r="W102" i="18"/>
  <c r="M102" i="18"/>
  <c r="E102" i="18"/>
  <c r="AL102" i="18"/>
  <c r="AD102" i="18"/>
  <c r="V102" i="18"/>
  <c r="L102" i="18"/>
  <c r="D102" i="18"/>
  <c r="AJ102" i="18"/>
  <c r="AB102" i="18"/>
  <c r="T102" i="18"/>
  <c r="J102" i="18"/>
  <c r="R102" i="18"/>
  <c r="AF102" i="18"/>
  <c r="AM106" i="18"/>
  <c r="AE106" i="18"/>
  <c r="W106" i="18"/>
  <c r="M106" i="18"/>
  <c r="E106" i="18"/>
  <c r="AL106" i="18"/>
  <c r="AD106" i="18"/>
  <c r="V106" i="18"/>
  <c r="L106" i="18"/>
  <c r="D106" i="18"/>
  <c r="AJ106" i="18"/>
  <c r="AB106" i="18"/>
  <c r="T106" i="18"/>
  <c r="J106" i="18"/>
  <c r="R106" i="18"/>
  <c r="AF106" i="18"/>
  <c r="AG111" i="18"/>
  <c r="AJ126" i="18"/>
  <c r="AB126" i="18"/>
  <c r="T126" i="18"/>
  <c r="J126" i="18"/>
  <c r="AA126" i="18"/>
  <c r="S126" i="18"/>
  <c r="I126" i="18"/>
  <c r="AO126" i="18"/>
  <c r="Y126" i="18"/>
  <c r="O126" i="18"/>
  <c r="G126" i="18"/>
  <c r="AN126" i="18"/>
  <c r="AF126" i="18"/>
  <c r="X126" i="18"/>
  <c r="N126" i="18"/>
  <c r="F126" i="18"/>
  <c r="AM126" i="18"/>
  <c r="AE126" i="18"/>
  <c r="W126" i="18"/>
  <c r="M126" i="18"/>
  <c r="E126" i="18"/>
  <c r="V126" i="18"/>
  <c r="AP126" i="18"/>
  <c r="U126" i="18"/>
  <c r="AL126" i="18"/>
  <c r="R126" i="18"/>
  <c r="AK126" i="18"/>
  <c r="L126" i="18"/>
  <c r="K126" i="18"/>
  <c r="AD126" i="18"/>
  <c r="H126" i="18"/>
  <c r="AC126" i="18"/>
  <c r="D126" i="18"/>
  <c r="F92" i="18"/>
  <c r="R92" i="18"/>
  <c r="AB92" i="18"/>
  <c r="AN92" i="18"/>
  <c r="F96" i="18"/>
  <c r="R96" i="18"/>
  <c r="AB96" i="18"/>
  <c r="AN96" i="18"/>
  <c r="H101" i="18"/>
  <c r="X101" i="18"/>
  <c r="F102" i="18"/>
  <c r="S102" i="18"/>
  <c r="H105" i="18"/>
  <c r="X105" i="18"/>
  <c r="F106" i="18"/>
  <c r="S106" i="18"/>
  <c r="Z126" i="18"/>
  <c r="J107" i="18"/>
  <c r="T107" i="18"/>
  <c r="AB107" i="18"/>
  <c r="AJ107" i="18"/>
  <c r="J108" i="18"/>
  <c r="T108" i="18"/>
  <c r="AB108" i="18"/>
  <c r="AJ108" i="18"/>
  <c r="J109" i="18"/>
  <c r="T109" i="18"/>
  <c r="AB109" i="18"/>
  <c r="AJ109" i="18"/>
  <c r="J110" i="18"/>
  <c r="T110" i="18"/>
  <c r="AB110" i="18"/>
  <c r="AJ110" i="18"/>
  <c r="J111" i="18"/>
  <c r="T111" i="18"/>
  <c r="AB111" i="18"/>
  <c r="AJ111" i="18"/>
  <c r="J112" i="18"/>
  <c r="T112" i="18"/>
  <c r="AB112" i="18"/>
  <c r="AJ112" i="18"/>
  <c r="J113" i="18"/>
  <c r="T113" i="18"/>
  <c r="AB113" i="18"/>
  <c r="AJ113" i="18"/>
  <c r="J114" i="18"/>
  <c r="T114" i="18"/>
  <c r="AB114" i="18"/>
  <c r="AJ114" i="18"/>
  <c r="J115" i="18"/>
  <c r="T115" i="18"/>
  <c r="AB115" i="18"/>
  <c r="AJ115" i="18"/>
  <c r="J116" i="18"/>
  <c r="T116" i="18"/>
  <c r="AB116" i="18"/>
  <c r="AJ116" i="18"/>
  <c r="J117" i="18"/>
  <c r="T117" i="18"/>
  <c r="AB117" i="18"/>
  <c r="AJ117" i="18"/>
  <c r="J118" i="18"/>
  <c r="T118" i="18"/>
  <c r="AB118" i="18"/>
  <c r="AJ118" i="18"/>
  <c r="J119" i="18"/>
  <c r="T119" i="18"/>
  <c r="AB119" i="18"/>
  <c r="AJ119" i="18"/>
  <c r="J120" i="18"/>
  <c r="T120" i="18"/>
  <c r="AB120" i="18"/>
  <c r="AJ120" i="18"/>
  <c r="J121" i="18"/>
  <c r="V121" i="18"/>
  <c r="L123" i="18"/>
  <c r="AK123" i="18"/>
  <c r="K124" i="18"/>
  <c r="H125" i="18"/>
  <c r="AD125" i="18"/>
  <c r="AJ127" i="18"/>
  <c r="AB127" i="18"/>
  <c r="T127" i="18"/>
  <c r="J127" i="18"/>
  <c r="AA127" i="18"/>
  <c r="S127" i="18"/>
  <c r="I127" i="18"/>
  <c r="AO127" i="18"/>
  <c r="Y127" i="18"/>
  <c r="O127" i="18"/>
  <c r="G127" i="18"/>
  <c r="AN127" i="18"/>
  <c r="AF127" i="18"/>
  <c r="X127" i="18"/>
  <c r="N127" i="18"/>
  <c r="F127" i="18"/>
  <c r="AM127" i="18"/>
  <c r="AE127" i="18"/>
  <c r="W127" i="18"/>
  <c r="M127" i="18"/>
  <c r="E127" i="18"/>
  <c r="Z127" i="18"/>
  <c r="AJ130" i="18"/>
  <c r="AB130" i="18"/>
  <c r="T130" i="18"/>
  <c r="J130" i="18"/>
  <c r="AA130" i="18"/>
  <c r="S130" i="18"/>
  <c r="I130" i="18"/>
  <c r="AO130" i="18"/>
  <c r="Y130" i="18"/>
  <c r="O130" i="18"/>
  <c r="G130" i="18"/>
  <c r="AN130" i="18"/>
  <c r="AF130" i="18"/>
  <c r="X130" i="18"/>
  <c r="N130" i="18"/>
  <c r="F130" i="18"/>
  <c r="AM130" i="18"/>
  <c r="AE130" i="18"/>
  <c r="W130" i="18"/>
  <c r="M130" i="18"/>
  <c r="E130" i="18"/>
  <c r="AL130" i="18"/>
  <c r="AD130" i="18"/>
  <c r="V130" i="18"/>
  <c r="L130" i="18"/>
  <c r="D130" i="18"/>
  <c r="AK130" i="18"/>
  <c r="U131" i="18"/>
  <c r="AJ132" i="18"/>
  <c r="AB132" i="18"/>
  <c r="T132" i="18"/>
  <c r="J132" i="18"/>
  <c r="AA132" i="18"/>
  <c r="S132" i="18"/>
  <c r="I132" i="18"/>
  <c r="AO132" i="18"/>
  <c r="Y132" i="18"/>
  <c r="O132" i="18"/>
  <c r="G132" i="18"/>
  <c r="AN132" i="18"/>
  <c r="AF132" i="18"/>
  <c r="X132" i="18"/>
  <c r="N132" i="18"/>
  <c r="F132" i="18"/>
  <c r="AM132" i="18"/>
  <c r="AE132" i="18"/>
  <c r="W132" i="18"/>
  <c r="M132" i="18"/>
  <c r="E132" i="18"/>
  <c r="AL132" i="18"/>
  <c r="AD132" i="18"/>
  <c r="V132" i="18"/>
  <c r="L132" i="18"/>
  <c r="D132" i="18"/>
  <c r="AK132" i="18"/>
  <c r="U133" i="18"/>
  <c r="AJ134" i="18"/>
  <c r="AB134" i="18"/>
  <c r="T134" i="18"/>
  <c r="J134" i="18"/>
  <c r="AA134" i="18"/>
  <c r="S134" i="18"/>
  <c r="I134" i="18"/>
  <c r="AO134" i="18"/>
  <c r="Y134" i="18"/>
  <c r="O134" i="18"/>
  <c r="G134" i="18"/>
  <c r="AN134" i="18"/>
  <c r="AF134" i="18"/>
  <c r="X134" i="18"/>
  <c r="N134" i="18"/>
  <c r="F134" i="18"/>
  <c r="AM134" i="18"/>
  <c r="AE134" i="18"/>
  <c r="W134" i="18"/>
  <c r="M134" i="18"/>
  <c r="E134" i="18"/>
  <c r="AL134" i="18"/>
  <c r="AD134" i="18"/>
  <c r="V134" i="18"/>
  <c r="L134" i="18"/>
  <c r="D134" i="18"/>
  <c r="AK134" i="18"/>
  <c r="W135" i="18"/>
  <c r="K107" i="18"/>
  <c r="U107" i="18"/>
  <c r="AC107" i="18"/>
  <c r="AK107" i="18"/>
  <c r="K108" i="18"/>
  <c r="U108" i="18"/>
  <c r="AC108" i="18"/>
  <c r="AK108" i="18"/>
  <c r="K109" i="18"/>
  <c r="U109" i="18"/>
  <c r="AC109" i="18"/>
  <c r="AK109" i="18"/>
  <c r="K110" i="18"/>
  <c r="U110" i="18"/>
  <c r="AC110" i="18"/>
  <c r="AK110" i="18"/>
  <c r="K111" i="18"/>
  <c r="U111" i="18"/>
  <c r="AC111" i="18"/>
  <c r="AK111" i="18"/>
  <c r="K112" i="18"/>
  <c r="U112" i="18"/>
  <c r="AC112" i="18"/>
  <c r="AK112" i="18"/>
  <c r="K113" i="18"/>
  <c r="U113" i="18"/>
  <c r="AC113" i="18"/>
  <c r="AK113" i="18"/>
  <c r="K114" i="18"/>
  <c r="U114" i="18"/>
  <c r="AC114" i="18"/>
  <c r="AK114" i="18"/>
  <c r="K115" i="18"/>
  <c r="U115" i="18"/>
  <c r="AC115" i="18"/>
  <c r="AK115" i="18"/>
  <c r="K116" i="18"/>
  <c r="U116" i="18"/>
  <c r="AC116" i="18"/>
  <c r="AK116" i="18"/>
  <c r="K117" i="18"/>
  <c r="U117" i="18"/>
  <c r="AC117" i="18"/>
  <c r="AK117" i="18"/>
  <c r="K118" i="18"/>
  <c r="U118" i="18"/>
  <c r="AC118" i="18"/>
  <c r="AK118" i="18"/>
  <c r="K119" i="18"/>
  <c r="U119" i="18"/>
  <c r="AC119" i="18"/>
  <c r="AK119" i="18"/>
  <c r="K120" i="18"/>
  <c r="U120" i="18"/>
  <c r="AC120" i="18"/>
  <c r="AK120" i="18"/>
  <c r="AJ121" i="18"/>
  <c r="AB121" i="18"/>
  <c r="AO121" i="18"/>
  <c r="Y121" i="18"/>
  <c r="AN121" i="18"/>
  <c r="AF121" i="18"/>
  <c r="X121" i="18"/>
  <c r="N121" i="18"/>
  <c r="AM121" i="18"/>
  <c r="AE121" i="18"/>
  <c r="W121" i="18"/>
  <c r="M121" i="18"/>
  <c r="K121" i="18"/>
  <c r="Z121" i="18"/>
  <c r="R123" i="18"/>
  <c r="AL123" i="18"/>
  <c r="L124" i="18"/>
  <c r="AK124" i="18"/>
  <c r="K125" i="18"/>
  <c r="AC127" i="18"/>
  <c r="AJ128" i="18"/>
  <c r="AB128" i="18"/>
  <c r="T128" i="18"/>
  <c r="J128" i="18"/>
  <c r="AA128" i="18"/>
  <c r="S128" i="18"/>
  <c r="I128" i="18"/>
  <c r="AO128" i="18"/>
  <c r="Y128" i="18"/>
  <c r="O128" i="18"/>
  <c r="G128" i="18"/>
  <c r="AN128" i="18"/>
  <c r="AF128" i="18"/>
  <c r="X128" i="18"/>
  <c r="N128" i="18"/>
  <c r="F128" i="18"/>
  <c r="AM128" i="18"/>
  <c r="AE128" i="18"/>
  <c r="W128" i="18"/>
  <c r="M128" i="18"/>
  <c r="E128" i="18"/>
  <c r="Z128" i="18"/>
  <c r="H130" i="18"/>
  <c r="AP130" i="18"/>
  <c r="Z131" i="18"/>
  <c r="AP132" i="18"/>
  <c r="Z133" i="18"/>
  <c r="AC135" i="18"/>
  <c r="AJ138" i="18"/>
  <c r="AB138" i="18"/>
  <c r="T138" i="18"/>
  <c r="J138" i="18"/>
  <c r="AO138" i="18"/>
  <c r="Y138" i="18"/>
  <c r="O138" i="18"/>
  <c r="G138" i="18"/>
  <c r="AN138" i="18"/>
  <c r="AF138" i="18"/>
  <c r="X138" i="18"/>
  <c r="N138" i="18"/>
  <c r="F138" i="18"/>
  <c r="AL138" i="18"/>
  <c r="AD138" i="18"/>
  <c r="V138" i="18"/>
  <c r="AE138" i="18"/>
  <c r="M138" i="18"/>
  <c r="AC138" i="18"/>
  <c r="L138" i="18"/>
  <c r="Z138" i="18"/>
  <c r="I138" i="18"/>
  <c r="AP138" i="18"/>
  <c r="W138" i="18"/>
  <c r="H138" i="18"/>
  <c r="AM138" i="18"/>
  <c r="U138" i="18"/>
  <c r="E138" i="18"/>
  <c r="AK138" i="18"/>
  <c r="S138" i="18"/>
  <c r="D138" i="18"/>
  <c r="AJ141" i="18"/>
  <c r="AB141" i="18"/>
  <c r="T141" i="18"/>
  <c r="J141" i="18"/>
  <c r="AA141" i="18"/>
  <c r="S141" i="18"/>
  <c r="I141" i="18"/>
  <c r="AO141" i="18"/>
  <c r="Y141" i="18"/>
  <c r="O141" i="18"/>
  <c r="G141" i="18"/>
  <c r="AN141" i="18"/>
  <c r="AF141" i="18"/>
  <c r="X141" i="18"/>
  <c r="N141" i="18"/>
  <c r="F141" i="18"/>
  <c r="AM141" i="18"/>
  <c r="AE141" i="18"/>
  <c r="W141" i="18"/>
  <c r="M141" i="18"/>
  <c r="E141" i="18"/>
  <c r="AL141" i="18"/>
  <c r="AD141" i="18"/>
  <c r="V141" i="18"/>
  <c r="L141" i="18"/>
  <c r="D141" i="18"/>
  <c r="K141" i="18"/>
  <c r="AP141" i="18"/>
  <c r="H141" i="18"/>
  <c r="AC141" i="18"/>
  <c r="Z141" i="18"/>
  <c r="U141" i="18"/>
  <c r="D107" i="18"/>
  <c r="L107" i="18"/>
  <c r="V107" i="18"/>
  <c r="AD107" i="18"/>
  <c r="AL107" i="18"/>
  <c r="D108" i="18"/>
  <c r="L108" i="18"/>
  <c r="V108" i="18"/>
  <c r="AD108" i="18"/>
  <c r="AL108" i="18"/>
  <c r="D109" i="18"/>
  <c r="L109" i="18"/>
  <c r="V109" i="18"/>
  <c r="AD109" i="18"/>
  <c r="AL109" i="18"/>
  <c r="D110" i="18"/>
  <c r="L110" i="18"/>
  <c r="V110" i="18"/>
  <c r="AD110" i="18"/>
  <c r="AL110" i="18"/>
  <c r="D111" i="18"/>
  <c r="L111" i="18"/>
  <c r="V111" i="18"/>
  <c r="AD111" i="18"/>
  <c r="AL111" i="18"/>
  <c r="D112" i="18"/>
  <c r="L112" i="18"/>
  <c r="V112" i="18"/>
  <c r="AD112" i="18"/>
  <c r="AL112" i="18"/>
  <c r="D113" i="18"/>
  <c r="L113" i="18"/>
  <c r="V113" i="18"/>
  <c r="AD113" i="18"/>
  <c r="AL113" i="18"/>
  <c r="D114" i="18"/>
  <c r="L114" i="18"/>
  <c r="V114" i="18"/>
  <c r="AD114" i="18"/>
  <c r="AL114" i="18"/>
  <c r="D115" i="18"/>
  <c r="L115" i="18"/>
  <c r="V115" i="18"/>
  <c r="AD115" i="18"/>
  <c r="AL115" i="18"/>
  <c r="D116" i="18"/>
  <c r="L116" i="18"/>
  <c r="V116" i="18"/>
  <c r="AD116" i="18"/>
  <c r="AL116" i="18"/>
  <c r="D117" i="18"/>
  <c r="L117" i="18"/>
  <c r="V117" i="18"/>
  <c r="AD117" i="18"/>
  <c r="AL117" i="18"/>
  <c r="D118" i="18"/>
  <c r="L118" i="18"/>
  <c r="V118" i="18"/>
  <c r="AD118" i="18"/>
  <c r="AL118" i="18"/>
  <c r="D119" i="18"/>
  <c r="L119" i="18"/>
  <c r="V119" i="18"/>
  <c r="AD119" i="18"/>
  <c r="AL119" i="18"/>
  <c r="D120" i="18"/>
  <c r="L120" i="18"/>
  <c r="V120" i="18"/>
  <c r="AD120" i="18"/>
  <c r="AL120" i="18"/>
  <c r="D121" i="18"/>
  <c r="L121" i="18"/>
  <c r="AA121" i="18"/>
  <c r="U123" i="18"/>
  <c r="AP123" i="18"/>
  <c r="R124" i="18"/>
  <c r="AL124" i="18"/>
  <c r="L125" i="18"/>
  <c r="AK125" i="18"/>
  <c r="H127" i="18"/>
  <c r="AD127" i="18"/>
  <c r="D128" i="18"/>
  <c r="AC128" i="18"/>
  <c r="AJ129" i="18"/>
  <c r="AB129" i="18"/>
  <c r="T129" i="18"/>
  <c r="J129" i="18"/>
  <c r="AA129" i="18"/>
  <c r="S129" i="18"/>
  <c r="I129" i="18"/>
  <c r="AO129" i="18"/>
  <c r="Y129" i="18"/>
  <c r="O129" i="18"/>
  <c r="G129" i="18"/>
  <c r="AN129" i="18"/>
  <c r="AF129" i="18"/>
  <c r="X129" i="18"/>
  <c r="N129" i="18"/>
  <c r="F129" i="18"/>
  <c r="AM129" i="18"/>
  <c r="AE129" i="18"/>
  <c r="W129" i="18"/>
  <c r="M129" i="18"/>
  <c r="E129" i="18"/>
  <c r="AL129" i="18"/>
  <c r="AD129" i="18"/>
  <c r="V129" i="18"/>
  <c r="AC129" i="18"/>
  <c r="K130" i="18"/>
  <c r="K132" i="18"/>
  <c r="K134" i="18"/>
  <c r="K138" i="18"/>
  <c r="R141" i="18"/>
  <c r="E107" i="18"/>
  <c r="M107" i="18"/>
  <c r="W107" i="18"/>
  <c r="AE107" i="18"/>
  <c r="E108" i="18"/>
  <c r="M108" i="18"/>
  <c r="W108" i="18"/>
  <c r="AE108" i="18"/>
  <c r="E109" i="18"/>
  <c r="M109" i="18"/>
  <c r="W109" i="18"/>
  <c r="AE109" i="18"/>
  <c r="E110" i="18"/>
  <c r="M110" i="18"/>
  <c r="W110" i="18"/>
  <c r="AE110" i="18"/>
  <c r="E111" i="18"/>
  <c r="M111" i="18"/>
  <c r="W111" i="18"/>
  <c r="AE111" i="18"/>
  <c r="E112" i="18"/>
  <c r="M112" i="18"/>
  <c r="W112" i="18"/>
  <c r="AE112" i="18"/>
  <c r="E113" i="18"/>
  <c r="M113" i="18"/>
  <c r="W113" i="18"/>
  <c r="AE113" i="18"/>
  <c r="E114" i="18"/>
  <c r="M114" i="18"/>
  <c r="W114" i="18"/>
  <c r="AE114" i="18"/>
  <c r="E115" i="18"/>
  <c r="M115" i="18"/>
  <c r="W115" i="18"/>
  <c r="AE115" i="18"/>
  <c r="E116" i="18"/>
  <c r="M116" i="18"/>
  <c r="W116" i="18"/>
  <c r="AE116" i="18"/>
  <c r="E117" i="18"/>
  <c r="M117" i="18"/>
  <c r="W117" i="18"/>
  <c r="AE117" i="18"/>
  <c r="E118" i="18"/>
  <c r="M118" i="18"/>
  <c r="W118" i="18"/>
  <c r="AE118" i="18"/>
  <c r="E119" i="18"/>
  <c r="M119" i="18"/>
  <c r="W119" i="18"/>
  <c r="AE119" i="18"/>
  <c r="E120" i="18"/>
  <c r="M120" i="18"/>
  <c r="W120" i="18"/>
  <c r="AE120" i="18"/>
  <c r="E121" i="18"/>
  <c r="O121" i="18"/>
  <c r="AC121" i="18"/>
  <c r="AJ122" i="18"/>
  <c r="AB122" i="18"/>
  <c r="T122" i="18"/>
  <c r="J122" i="18"/>
  <c r="AA122" i="18"/>
  <c r="S122" i="18"/>
  <c r="I122" i="18"/>
  <c r="AO122" i="18"/>
  <c r="Y122" i="18"/>
  <c r="O122" i="18"/>
  <c r="G122" i="18"/>
  <c r="AN122" i="18"/>
  <c r="AF122" i="18"/>
  <c r="X122" i="18"/>
  <c r="N122" i="18"/>
  <c r="F122" i="18"/>
  <c r="AM122" i="18"/>
  <c r="AE122" i="18"/>
  <c r="W122" i="18"/>
  <c r="M122" i="18"/>
  <c r="E122" i="18"/>
  <c r="Z122" i="18"/>
  <c r="U124" i="18"/>
  <c r="AP124" i="18"/>
  <c r="R125" i="18"/>
  <c r="AL125" i="18"/>
  <c r="K127" i="18"/>
  <c r="H128" i="18"/>
  <c r="AD128" i="18"/>
  <c r="R130" i="18"/>
  <c r="R132" i="18"/>
  <c r="R134" i="18"/>
  <c r="R138" i="18"/>
  <c r="AJ143" i="18"/>
  <c r="AB143" i="18"/>
  <c r="T143" i="18"/>
  <c r="J143" i="18"/>
  <c r="AA143" i="18"/>
  <c r="S143" i="18"/>
  <c r="I143" i="18"/>
  <c r="AO143" i="18"/>
  <c r="Y143" i="18"/>
  <c r="O143" i="18"/>
  <c r="G143" i="18"/>
  <c r="AN143" i="18"/>
  <c r="AF143" i="18"/>
  <c r="X143" i="18"/>
  <c r="N143" i="18"/>
  <c r="F143" i="18"/>
  <c r="AM143" i="18"/>
  <c r="AE143" i="18"/>
  <c r="W143" i="18"/>
  <c r="M143" i="18"/>
  <c r="E143" i="18"/>
  <c r="AL143" i="18"/>
  <c r="AD143" i="18"/>
  <c r="V143" i="18"/>
  <c r="L143" i="18"/>
  <c r="D143" i="18"/>
  <c r="K143" i="18"/>
  <c r="AP143" i="18"/>
  <c r="H143" i="18"/>
  <c r="AC143" i="18"/>
  <c r="Z143" i="18"/>
  <c r="U143" i="18"/>
  <c r="AJ123" i="18"/>
  <c r="AB123" i="18"/>
  <c r="T123" i="18"/>
  <c r="J123" i="18"/>
  <c r="AA123" i="18"/>
  <c r="S123" i="18"/>
  <c r="I123" i="18"/>
  <c r="AO123" i="18"/>
  <c r="Y123" i="18"/>
  <c r="O123" i="18"/>
  <c r="G123" i="18"/>
  <c r="AN123" i="18"/>
  <c r="AF123" i="18"/>
  <c r="X123" i="18"/>
  <c r="N123" i="18"/>
  <c r="F123" i="18"/>
  <c r="AM123" i="18"/>
  <c r="AE123" i="18"/>
  <c r="W123" i="18"/>
  <c r="M123" i="18"/>
  <c r="E123" i="18"/>
  <c r="Z123" i="18"/>
  <c r="U125" i="18"/>
  <c r="AP125" i="18"/>
  <c r="AJ131" i="18"/>
  <c r="AB131" i="18"/>
  <c r="T131" i="18"/>
  <c r="J131" i="18"/>
  <c r="AA131" i="18"/>
  <c r="S131" i="18"/>
  <c r="I131" i="18"/>
  <c r="AO131" i="18"/>
  <c r="Y131" i="18"/>
  <c r="O131" i="18"/>
  <c r="G131" i="18"/>
  <c r="AN131" i="18"/>
  <c r="AF131" i="18"/>
  <c r="X131" i="18"/>
  <c r="N131" i="18"/>
  <c r="F131" i="18"/>
  <c r="AM131" i="18"/>
  <c r="AE131" i="18"/>
  <c r="W131" i="18"/>
  <c r="M131" i="18"/>
  <c r="E131" i="18"/>
  <c r="AL131" i="18"/>
  <c r="AD131" i="18"/>
  <c r="V131" i="18"/>
  <c r="L131" i="18"/>
  <c r="D131" i="18"/>
  <c r="AK131" i="18"/>
  <c r="AJ133" i="18"/>
  <c r="AB133" i="18"/>
  <c r="T133" i="18"/>
  <c r="J133" i="18"/>
  <c r="AA133" i="18"/>
  <c r="S133" i="18"/>
  <c r="I133" i="18"/>
  <c r="AO133" i="18"/>
  <c r="Y133" i="18"/>
  <c r="O133" i="18"/>
  <c r="G133" i="18"/>
  <c r="AN133" i="18"/>
  <c r="AF133" i="18"/>
  <c r="X133" i="18"/>
  <c r="N133" i="18"/>
  <c r="F133" i="18"/>
  <c r="AM133" i="18"/>
  <c r="AE133" i="18"/>
  <c r="W133" i="18"/>
  <c r="M133" i="18"/>
  <c r="E133" i="18"/>
  <c r="AL133" i="18"/>
  <c r="AD133" i="18"/>
  <c r="V133" i="18"/>
  <c r="L133" i="18"/>
  <c r="D133" i="18"/>
  <c r="AK133" i="18"/>
  <c r="AN135" i="18"/>
  <c r="AF135" i="18"/>
  <c r="X135" i="18"/>
  <c r="N135" i="18"/>
  <c r="F135" i="18"/>
  <c r="AO135" i="18"/>
  <c r="AE135" i="18"/>
  <c r="V135" i="18"/>
  <c r="K135" i="18"/>
  <c r="AM135" i="18"/>
  <c r="AD135" i="18"/>
  <c r="U135" i="18"/>
  <c r="J135" i="18"/>
  <c r="AK135" i="18"/>
  <c r="AB135" i="18"/>
  <c r="S135" i="18"/>
  <c r="H135" i="18"/>
  <c r="AJ135" i="18"/>
  <c r="AA135" i="18"/>
  <c r="R135" i="18"/>
  <c r="G135" i="18"/>
  <c r="Z135" i="18"/>
  <c r="O135" i="18"/>
  <c r="E135" i="18"/>
  <c r="Y135" i="18"/>
  <c r="M135" i="18"/>
  <c r="D135" i="18"/>
  <c r="AP135" i="18"/>
  <c r="AJ124" i="18"/>
  <c r="AB124" i="18"/>
  <c r="T124" i="18"/>
  <c r="J124" i="18"/>
  <c r="AA124" i="18"/>
  <c r="S124" i="18"/>
  <c r="I124" i="18"/>
  <c r="AO124" i="18"/>
  <c r="Y124" i="18"/>
  <c r="O124" i="18"/>
  <c r="G124" i="18"/>
  <c r="AN124" i="18"/>
  <c r="AF124" i="18"/>
  <c r="X124" i="18"/>
  <c r="N124" i="18"/>
  <c r="F124" i="18"/>
  <c r="AM124" i="18"/>
  <c r="AE124" i="18"/>
  <c r="W124" i="18"/>
  <c r="M124" i="18"/>
  <c r="E124" i="18"/>
  <c r="Z124" i="18"/>
  <c r="AJ145" i="18"/>
  <c r="AB145" i="18"/>
  <c r="T145" i="18"/>
  <c r="J145" i="18"/>
  <c r="AA145" i="18"/>
  <c r="S145" i="18"/>
  <c r="I145" i="18"/>
  <c r="AO145" i="18"/>
  <c r="Y145" i="18"/>
  <c r="O145" i="18"/>
  <c r="G145" i="18"/>
  <c r="AN145" i="18"/>
  <c r="AF145" i="18"/>
  <c r="X145" i="18"/>
  <c r="N145" i="18"/>
  <c r="F145" i="18"/>
  <c r="AM145" i="18"/>
  <c r="AE145" i="18"/>
  <c r="W145" i="18"/>
  <c r="M145" i="18"/>
  <c r="E145" i="18"/>
  <c r="AL145" i="18"/>
  <c r="AD145" i="18"/>
  <c r="V145" i="18"/>
  <c r="L145" i="18"/>
  <c r="D145" i="18"/>
  <c r="K145" i="18"/>
  <c r="AP145" i="18"/>
  <c r="H145" i="18"/>
  <c r="AC145" i="18"/>
  <c r="Z145" i="18"/>
  <c r="U145" i="18"/>
  <c r="AC124" i="18"/>
  <c r="AJ125" i="18"/>
  <c r="AB125" i="18"/>
  <c r="T125" i="18"/>
  <c r="J125" i="18"/>
  <c r="AA125" i="18"/>
  <c r="S125" i="18"/>
  <c r="I125" i="18"/>
  <c r="AO125" i="18"/>
  <c r="Y125" i="18"/>
  <c r="O125" i="18"/>
  <c r="G125" i="18"/>
  <c r="AN125" i="18"/>
  <c r="AF125" i="18"/>
  <c r="X125" i="18"/>
  <c r="N125" i="18"/>
  <c r="F125" i="18"/>
  <c r="AM125" i="18"/>
  <c r="AE125" i="18"/>
  <c r="W125" i="18"/>
  <c r="M125" i="18"/>
  <c r="E125" i="18"/>
  <c r="Z125" i="18"/>
  <c r="AL154" i="18"/>
  <c r="AD154" i="18"/>
  <c r="V154" i="18"/>
  <c r="L154" i="18"/>
  <c r="D154" i="18"/>
  <c r="AP154" i="18"/>
  <c r="X154" i="18"/>
  <c r="M154" i="18"/>
  <c r="AO154" i="18"/>
  <c r="AF154" i="18"/>
  <c r="W154" i="18"/>
  <c r="K154" i="18"/>
  <c r="AM154" i="18"/>
  <c r="AC154" i="18"/>
  <c r="T154" i="18"/>
  <c r="I154" i="18"/>
  <c r="AK154" i="18"/>
  <c r="AB154" i="18"/>
  <c r="S154" i="18"/>
  <c r="H154" i="18"/>
  <c r="AJ154" i="18"/>
  <c r="AA154" i="18"/>
  <c r="R154" i="18"/>
  <c r="G154" i="18"/>
  <c r="Z154" i="18"/>
  <c r="O154" i="18"/>
  <c r="F154" i="18"/>
  <c r="AE154" i="18"/>
  <c r="Y154" i="18"/>
  <c r="U154" i="18"/>
  <c r="N154" i="18"/>
  <c r="J154" i="18"/>
  <c r="E154" i="18"/>
  <c r="AJ142" i="18"/>
  <c r="AB142" i="18"/>
  <c r="T142" i="18"/>
  <c r="J142" i="18"/>
  <c r="AA142" i="18"/>
  <c r="S142" i="18"/>
  <c r="I142" i="18"/>
  <c r="AO142" i="18"/>
  <c r="Y142" i="18"/>
  <c r="O142" i="18"/>
  <c r="G142" i="18"/>
  <c r="AN142" i="18"/>
  <c r="AF142" i="18"/>
  <c r="X142" i="18"/>
  <c r="N142" i="18"/>
  <c r="F142" i="18"/>
  <c r="AM142" i="18"/>
  <c r="AE142" i="18"/>
  <c r="W142" i="18"/>
  <c r="M142" i="18"/>
  <c r="E142" i="18"/>
  <c r="AL142" i="18"/>
  <c r="AD142" i="18"/>
  <c r="V142" i="18"/>
  <c r="L142" i="18"/>
  <c r="D142" i="18"/>
  <c r="AK142" i="18"/>
  <c r="AJ144" i="18"/>
  <c r="AB144" i="18"/>
  <c r="T144" i="18"/>
  <c r="J144" i="18"/>
  <c r="AA144" i="18"/>
  <c r="S144" i="18"/>
  <c r="I144" i="18"/>
  <c r="AO144" i="18"/>
  <c r="Y144" i="18"/>
  <c r="O144" i="18"/>
  <c r="G144" i="18"/>
  <c r="AN144" i="18"/>
  <c r="AF144" i="18"/>
  <c r="X144" i="18"/>
  <c r="N144" i="18"/>
  <c r="F144" i="18"/>
  <c r="AM144" i="18"/>
  <c r="AE144" i="18"/>
  <c r="W144" i="18"/>
  <c r="M144" i="18"/>
  <c r="E144" i="18"/>
  <c r="AL144" i="18"/>
  <c r="AD144" i="18"/>
  <c r="V144" i="18"/>
  <c r="L144" i="18"/>
  <c r="D144" i="18"/>
  <c r="AK144" i="18"/>
  <c r="AJ146" i="18"/>
  <c r="AB146" i="18"/>
  <c r="T146" i="18"/>
  <c r="J146" i="18"/>
  <c r="AA146" i="18"/>
  <c r="S146" i="18"/>
  <c r="I146" i="18"/>
  <c r="AO146" i="18"/>
  <c r="Y146" i="18"/>
  <c r="O146" i="18"/>
  <c r="G146" i="18"/>
  <c r="AN146" i="18"/>
  <c r="AF146" i="18"/>
  <c r="X146" i="18"/>
  <c r="N146" i="18"/>
  <c r="F146" i="18"/>
  <c r="AM146" i="18"/>
  <c r="AE146" i="18"/>
  <c r="W146" i="18"/>
  <c r="M146" i="18"/>
  <c r="E146" i="18"/>
  <c r="AL146" i="18"/>
  <c r="AD146" i="18"/>
  <c r="V146" i="18"/>
  <c r="L146" i="18"/>
  <c r="D146" i="18"/>
  <c r="AK146" i="18"/>
  <c r="U147" i="18"/>
  <c r="AJ148" i="18"/>
  <c r="AB148" i="18"/>
  <c r="T148" i="18"/>
  <c r="J148" i="18"/>
  <c r="AA148" i="18"/>
  <c r="S148" i="18"/>
  <c r="I148" i="18"/>
  <c r="AO148" i="18"/>
  <c r="Y148" i="18"/>
  <c r="O148" i="18"/>
  <c r="G148" i="18"/>
  <c r="AN148" i="18"/>
  <c r="AF148" i="18"/>
  <c r="X148" i="18"/>
  <c r="N148" i="18"/>
  <c r="F148" i="18"/>
  <c r="AM148" i="18"/>
  <c r="AE148" i="18"/>
  <c r="W148" i="18"/>
  <c r="M148" i="18"/>
  <c r="E148" i="18"/>
  <c r="AL148" i="18"/>
  <c r="AD148" i="18"/>
  <c r="V148" i="18"/>
  <c r="L148" i="18"/>
  <c r="D148" i="18"/>
  <c r="AK148" i="18"/>
  <c r="X149" i="18"/>
  <c r="AL151" i="18"/>
  <c r="AD151" i="18"/>
  <c r="V151" i="18"/>
  <c r="L151" i="18"/>
  <c r="D151" i="18"/>
  <c r="Y151" i="18"/>
  <c r="N151" i="18"/>
  <c r="E151" i="18"/>
  <c r="AP151" i="18"/>
  <c r="X151" i="18"/>
  <c r="M151" i="18"/>
  <c r="AN151" i="18"/>
  <c r="AE151" i="18"/>
  <c r="U151" i="18"/>
  <c r="J151" i="18"/>
  <c r="AM151" i="18"/>
  <c r="AC151" i="18"/>
  <c r="T151" i="18"/>
  <c r="I151" i="18"/>
  <c r="AK151" i="18"/>
  <c r="AB151" i="18"/>
  <c r="S151" i="18"/>
  <c r="H151" i="18"/>
  <c r="AJ151" i="18"/>
  <c r="AA151" i="18"/>
  <c r="R151" i="18"/>
  <c r="G151" i="18"/>
  <c r="AO151" i="18"/>
  <c r="AI152" i="18"/>
  <c r="AH152" i="18"/>
  <c r="AG152" i="18"/>
  <c r="AL175" i="18"/>
  <c r="AD175" i="18"/>
  <c r="V175" i="18"/>
  <c r="L175" i="18"/>
  <c r="D175" i="18"/>
  <c r="Z175" i="18"/>
  <c r="O175" i="18"/>
  <c r="F175" i="18"/>
  <c r="Y175" i="18"/>
  <c r="N175" i="18"/>
  <c r="E175" i="18"/>
  <c r="AO175" i="18"/>
  <c r="AF175" i="18"/>
  <c r="W175" i="18"/>
  <c r="K175" i="18"/>
  <c r="AN175" i="18"/>
  <c r="AE175" i="18"/>
  <c r="U175" i="18"/>
  <c r="J175" i="18"/>
  <c r="AM175" i="18"/>
  <c r="AC175" i="18"/>
  <c r="T175" i="18"/>
  <c r="I175" i="18"/>
  <c r="AK175" i="18"/>
  <c r="AB175" i="18"/>
  <c r="S175" i="18"/>
  <c r="H175" i="18"/>
  <c r="AJ175" i="18"/>
  <c r="AA175" i="18"/>
  <c r="X175" i="18"/>
  <c r="R175" i="18"/>
  <c r="M175" i="18"/>
  <c r="G175" i="18"/>
  <c r="AP175" i="18"/>
  <c r="AJ137" i="18"/>
  <c r="AB137" i="18"/>
  <c r="T137" i="18"/>
  <c r="J137" i="18"/>
  <c r="AO137" i="18"/>
  <c r="AN137" i="18"/>
  <c r="AF137" i="18"/>
  <c r="X137" i="18"/>
  <c r="N137" i="18"/>
  <c r="F137" i="18"/>
  <c r="M137" i="18"/>
  <c r="Z137" i="18"/>
  <c r="AK137" i="18"/>
  <c r="H142" i="18"/>
  <c r="AP142" i="18"/>
  <c r="H144" i="18"/>
  <c r="AP144" i="18"/>
  <c r="H146" i="18"/>
  <c r="AP146" i="18"/>
  <c r="Z147" i="18"/>
  <c r="H148" i="18"/>
  <c r="AP148" i="18"/>
  <c r="AC149" i="18"/>
  <c r="F151" i="18"/>
  <c r="AJ136" i="18"/>
  <c r="AB136" i="18"/>
  <c r="T136" i="18"/>
  <c r="J136" i="18"/>
  <c r="AN136" i="18"/>
  <c r="AF136" i="18"/>
  <c r="X136" i="18"/>
  <c r="N136" i="18"/>
  <c r="F136" i="18"/>
  <c r="M136" i="18"/>
  <c r="Z136" i="18"/>
  <c r="AK136" i="18"/>
  <c r="D137" i="18"/>
  <c r="O137" i="18"/>
  <c r="AA137" i="18"/>
  <c r="AL137" i="18"/>
  <c r="K142" i="18"/>
  <c r="K144" i="18"/>
  <c r="K146" i="18"/>
  <c r="K148" i="18"/>
  <c r="K151" i="18"/>
  <c r="AL152" i="18"/>
  <c r="AD152" i="18"/>
  <c r="V152" i="18"/>
  <c r="L152" i="18"/>
  <c r="D152" i="18"/>
  <c r="AN152" i="18"/>
  <c r="AE152" i="18"/>
  <c r="U152" i="18"/>
  <c r="J152" i="18"/>
  <c r="AM152" i="18"/>
  <c r="AC152" i="18"/>
  <c r="T152" i="18"/>
  <c r="I152" i="18"/>
  <c r="AJ152" i="18"/>
  <c r="AA152" i="18"/>
  <c r="R152" i="18"/>
  <c r="G152" i="18"/>
  <c r="Z152" i="18"/>
  <c r="O152" i="18"/>
  <c r="F152" i="18"/>
  <c r="Y152" i="18"/>
  <c r="N152" i="18"/>
  <c r="E152" i="18"/>
  <c r="AP152" i="18"/>
  <c r="X152" i="18"/>
  <c r="M152" i="18"/>
  <c r="AO152" i="18"/>
  <c r="D136" i="18"/>
  <c r="O136" i="18"/>
  <c r="AA136" i="18"/>
  <c r="AL136" i="18"/>
  <c r="E137" i="18"/>
  <c r="R137" i="18"/>
  <c r="AC137" i="18"/>
  <c r="AM137" i="18"/>
  <c r="R142" i="18"/>
  <c r="R144" i="18"/>
  <c r="R146" i="18"/>
  <c r="R148" i="18"/>
  <c r="O151" i="18"/>
  <c r="H152" i="18"/>
  <c r="AJ147" i="18"/>
  <c r="AB147" i="18"/>
  <c r="T147" i="18"/>
  <c r="J147" i="18"/>
  <c r="AA147" i="18"/>
  <c r="S147" i="18"/>
  <c r="I147" i="18"/>
  <c r="AO147" i="18"/>
  <c r="Y147" i="18"/>
  <c r="O147" i="18"/>
  <c r="G147" i="18"/>
  <c r="AN147" i="18"/>
  <c r="AF147" i="18"/>
  <c r="X147" i="18"/>
  <c r="N147" i="18"/>
  <c r="F147" i="18"/>
  <c r="AM147" i="18"/>
  <c r="AE147" i="18"/>
  <c r="W147" i="18"/>
  <c r="M147" i="18"/>
  <c r="E147" i="18"/>
  <c r="AL147" i="18"/>
  <c r="AD147" i="18"/>
  <c r="V147" i="18"/>
  <c r="L147" i="18"/>
  <c r="D147" i="18"/>
  <c r="AK147" i="18"/>
  <c r="AL149" i="18"/>
  <c r="AD149" i="18"/>
  <c r="V149" i="18"/>
  <c r="L149" i="18"/>
  <c r="D149" i="18"/>
  <c r="AO149" i="18"/>
  <c r="AF149" i="18"/>
  <c r="W149" i="18"/>
  <c r="K149" i="18"/>
  <c r="AN149" i="18"/>
  <c r="AE149" i="18"/>
  <c r="U149" i="18"/>
  <c r="J149" i="18"/>
  <c r="AK149" i="18"/>
  <c r="AB149" i="18"/>
  <c r="S149" i="18"/>
  <c r="H149" i="18"/>
  <c r="AJ149" i="18"/>
  <c r="AA149" i="18"/>
  <c r="R149" i="18"/>
  <c r="G149" i="18"/>
  <c r="Z149" i="18"/>
  <c r="O149" i="18"/>
  <c r="F149" i="18"/>
  <c r="Y149" i="18"/>
  <c r="N149" i="18"/>
  <c r="E149" i="18"/>
  <c r="AP149" i="18"/>
  <c r="G136" i="18"/>
  <c r="S136" i="18"/>
  <c r="AD136" i="18"/>
  <c r="AO136" i="18"/>
  <c r="H137" i="18"/>
  <c r="U137" i="18"/>
  <c r="AE137" i="18"/>
  <c r="AJ139" i="18"/>
  <c r="AB139" i="18"/>
  <c r="T139" i="18"/>
  <c r="J139" i="18"/>
  <c r="AA139" i="18"/>
  <c r="S139" i="18"/>
  <c r="I139" i="18"/>
  <c r="AO139" i="18"/>
  <c r="Y139" i="18"/>
  <c r="O139" i="18"/>
  <c r="G139" i="18"/>
  <c r="AN139" i="18"/>
  <c r="AF139" i="18"/>
  <c r="X139" i="18"/>
  <c r="N139" i="18"/>
  <c r="F139" i="18"/>
  <c r="AL139" i="18"/>
  <c r="AD139" i="18"/>
  <c r="V139" i="18"/>
  <c r="L139" i="18"/>
  <c r="D139" i="18"/>
  <c r="Z139" i="18"/>
  <c r="Z142" i="18"/>
  <c r="Z144" i="18"/>
  <c r="Z146" i="18"/>
  <c r="H147" i="18"/>
  <c r="AP147" i="18"/>
  <c r="Z148" i="18"/>
  <c r="I149" i="18"/>
  <c r="Z151" i="18"/>
  <c r="S152" i="18"/>
  <c r="H136" i="18"/>
  <c r="U136" i="18"/>
  <c r="AE136" i="18"/>
  <c r="AP136" i="18"/>
  <c r="I137" i="18"/>
  <c r="V137" i="18"/>
  <c r="E139" i="18"/>
  <c r="AC139" i="18"/>
  <c r="AJ140" i="18"/>
  <c r="AB140" i="18"/>
  <c r="T140" i="18"/>
  <c r="J140" i="18"/>
  <c r="AA140" i="18"/>
  <c r="S140" i="18"/>
  <c r="I140" i="18"/>
  <c r="AO140" i="18"/>
  <c r="Y140" i="18"/>
  <c r="O140" i="18"/>
  <c r="G140" i="18"/>
  <c r="AN140" i="18"/>
  <c r="AF140" i="18"/>
  <c r="X140" i="18"/>
  <c r="N140" i="18"/>
  <c r="F140" i="18"/>
  <c r="AM140" i="18"/>
  <c r="AE140" i="18"/>
  <c r="W140" i="18"/>
  <c r="AL140" i="18"/>
  <c r="AD140" i="18"/>
  <c r="V140" i="18"/>
  <c r="L140" i="18"/>
  <c r="D140" i="18"/>
  <c r="AC140" i="18"/>
  <c r="AC142" i="18"/>
  <c r="AC144" i="18"/>
  <c r="AC146" i="18"/>
  <c r="K147" i="18"/>
  <c r="AC148" i="18"/>
  <c r="M149" i="18"/>
  <c r="AL150" i="18"/>
  <c r="AD150" i="18"/>
  <c r="V150" i="18"/>
  <c r="L150" i="18"/>
  <c r="D150" i="18"/>
  <c r="AK150" i="18"/>
  <c r="AB150" i="18"/>
  <c r="S150" i="18"/>
  <c r="H150" i="18"/>
  <c r="AJ150" i="18"/>
  <c r="AA150" i="18"/>
  <c r="R150" i="18"/>
  <c r="G150" i="18"/>
  <c r="Y150" i="18"/>
  <c r="N150" i="18"/>
  <c r="E150" i="18"/>
  <c r="AP150" i="18"/>
  <c r="X150" i="18"/>
  <c r="M150" i="18"/>
  <c r="AO150" i="18"/>
  <c r="AF150" i="18"/>
  <c r="W150" i="18"/>
  <c r="K150" i="18"/>
  <c r="AN150" i="18"/>
  <c r="AE150" i="18"/>
  <c r="U150" i="18"/>
  <c r="J150" i="18"/>
  <c r="AM150" i="18"/>
  <c r="AF151" i="18"/>
  <c r="W152" i="18"/>
  <c r="AI156" i="18"/>
  <c r="AH156" i="18"/>
  <c r="AG156" i="18"/>
  <c r="AG162" i="18"/>
  <c r="AI162" i="18"/>
  <c r="AH162" i="18"/>
  <c r="K155" i="18"/>
  <c r="W155" i="18"/>
  <c r="AF155" i="18"/>
  <c r="T161" i="18"/>
  <c r="AG168" i="18"/>
  <c r="AI168" i="18"/>
  <c r="AH168" i="18"/>
  <c r="AL155" i="18"/>
  <c r="AD155" i="18"/>
  <c r="V155" i="18"/>
  <c r="L155" i="18"/>
  <c r="D155" i="18"/>
  <c r="M155" i="18"/>
  <c r="X155" i="18"/>
  <c r="AP155" i="18"/>
  <c r="AL157" i="18"/>
  <c r="AD157" i="18"/>
  <c r="V157" i="18"/>
  <c r="L157" i="18"/>
  <c r="D157" i="18"/>
  <c r="AK157" i="18"/>
  <c r="AC157" i="18"/>
  <c r="U157" i="18"/>
  <c r="K157" i="18"/>
  <c r="AA157" i="18"/>
  <c r="S157" i="18"/>
  <c r="I157" i="18"/>
  <c r="AP157" i="18"/>
  <c r="Z157" i="18"/>
  <c r="R157" i="18"/>
  <c r="AN157" i="18"/>
  <c r="AF157" i="18"/>
  <c r="O157" i="18"/>
  <c r="AJ157" i="18"/>
  <c r="AL160" i="18"/>
  <c r="AD160" i="18"/>
  <c r="V160" i="18"/>
  <c r="L160" i="18"/>
  <c r="D160" i="18"/>
  <c r="AK160" i="18"/>
  <c r="AC160" i="18"/>
  <c r="U160" i="18"/>
  <c r="K160" i="18"/>
  <c r="AA160" i="18"/>
  <c r="S160" i="18"/>
  <c r="I160" i="18"/>
  <c r="AP160" i="18"/>
  <c r="Z160" i="18"/>
  <c r="R160" i="18"/>
  <c r="H160" i="18"/>
  <c r="AO160" i="18"/>
  <c r="Y160" i="18"/>
  <c r="O160" i="18"/>
  <c r="G160" i="18"/>
  <c r="AN160" i="18"/>
  <c r="AF160" i="18"/>
  <c r="X160" i="18"/>
  <c r="N160" i="18"/>
  <c r="F160" i="18"/>
  <c r="AJ160" i="18"/>
  <c r="X161" i="18"/>
  <c r="AG178" i="18"/>
  <c r="AI178" i="18"/>
  <c r="AH178" i="18"/>
  <c r="K153" i="18"/>
  <c r="W153" i="18"/>
  <c r="AF153" i="18"/>
  <c r="E155" i="18"/>
  <c r="N155" i="18"/>
  <c r="Y155" i="18"/>
  <c r="M156" i="18"/>
  <c r="E157" i="18"/>
  <c r="T157" i="18"/>
  <c r="AM157" i="18"/>
  <c r="O158" i="18"/>
  <c r="AM158" i="18"/>
  <c r="T159" i="18"/>
  <c r="E160" i="18"/>
  <c r="AM160" i="18"/>
  <c r="Z162" i="18"/>
  <c r="X163" i="18"/>
  <c r="AL153" i="18"/>
  <c r="AD153" i="18"/>
  <c r="V153" i="18"/>
  <c r="L153" i="18"/>
  <c r="D153" i="18"/>
  <c r="M153" i="18"/>
  <c r="X153" i="18"/>
  <c r="AP153" i="18"/>
  <c r="F155" i="18"/>
  <c r="O155" i="18"/>
  <c r="Z155" i="18"/>
  <c r="AL156" i="18"/>
  <c r="AD156" i="18"/>
  <c r="V156" i="18"/>
  <c r="L156" i="18"/>
  <c r="D156" i="18"/>
  <c r="AK156" i="18"/>
  <c r="AC156" i="18"/>
  <c r="U156" i="18"/>
  <c r="K156" i="18"/>
  <c r="N156" i="18"/>
  <c r="Z156" i="18"/>
  <c r="AJ156" i="18"/>
  <c r="F157" i="18"/>
  <c r="W157" i="18"/>
  <c r="AO157" i="18"/>
  <c r="T158" i="18"/>
  <c r="J160" i="18"/>
  <c r="AO161" i="18"/>
  <c r="AM161" i="18"/>
  <c r="AE161" i="18"/>
  <c r="W161" i="18"/>
  <c r="AF161" i="18"/>
  <c r="V161" i="18"/>
  <c r="L161" i="18"/>
  <c r="D161" i="18"/>
  <c r="AP161" i="18"/>
  <c r="AD161" i="18"/>
  <c r="U161" i="18"/>
  <c r="K161" i="18"/>
  <c r="AL161" i="18"/>
  <c r="AB161" i="18"/>
  <c r="S161" i="18"/>
  <c r="I161" i="18"/>
  <c r="AK161" i="18"/>
  <c r="AA161" i="18"/>
  <c r="R161" i="18"/>
  <c r="H161" i="18"/>
  <c r="AJ161" i="18"/>
  <c r="Z161" i="18"/>
  <c r="O161" i="18"/>
  <c r="G161" i="18"/>
  <c r="Y161" i="18"/>
  <c r="N161" i="18"/>
  <c r="F161" i="18"/>
  <c r="AN161" i="18"/>
  <c r="F153" i="18"/>
  <c r="O153" i="18"/>
  <c r="Z153" i="18"/>
  <c r="H155" i="18"/>
  <c r="S155" i="18"/>
  <c r="AB155" i="18"/>
  <c r="AK155" i="18"/>
  <c r="F156" i="18"/>
  <c r="R156" i="18"/>
  <c r="AB156" i="18"/>
  <c r="AN156" i="18"/>
  <c r="H157" i="18"/>
  <c r="Y157" i="18"/>
  <c r="AL158" i="18"/>
  <c r="AD158" i="18"/>
  <c r="V158" i="18"/>
  <c r="L158" i="18"/>
  <c r="D158" i="18"/>
  <c r="AK158" i="18"/>
  <c r="AC158" i="18"/>
  <c r="U158" i="18"/>
  <c r="K158" i="18"/>
  <c r="AA158" i="18"/>
  <c r="S158" i="18"/>
  <c r="I158" i="18"/>
  <c r="AP158" i="18"/>
  <c r="Z158" i="18"/>
  <c r="R158" i="18"/>
  <c r="H158" i="18"/>
  <c r="AN158" i="18"/>
  <c r="AF158" i="18"/>
  <c r="X158" i="18"/>
  <c r="N158" i="18"/>
  <c r="F158" i="18"/>
  <c r="Y158" i="18"/>
  <c r="AL159" i="18"/>
  <c r="AD159" i="18"/>
  <c r="V159" i="18"/>
  <c r="L159" i="18"/>
  <c r="D159" i="18"/>
  <c r="AK159" i="18"/>
  <c r="AC159" i="18"/>
  <c r="U159" i="18"/>
  <c r="K159" i="18"/>
  <c r="AA159" i="18"/>
  <c r="S159" i="18"/>
  <c r="I159" i="18"/>
  <c r="AP159" i="18"/>
  <c r="Z159" i="18"/>
  <c r="R159" i="18"/>
  <c r="H159" i="18"/>
  <c r="AO159" i="18"/>
  <c r="Y159" i="18"/>
  <c r="O159" i="18"/>
  <c r="AN159" i="18"/>
  <c r="AF159" i="18"/>
  <c r="X159" i="18"/>
  <c r="N159" i="18"/>
  <c r="F159" i="18"/>
  <c r="AE159" i="18"/>
  <c r="T160" i="18"/>
  <c r="E161" i="18"/>
  <c r="AG166" i="18"/>
  <c r="AI166" i="18"/>
  <c r="AH166" i="18"/>
  <c r="G153" i="18"/>
  <c r="R153" i="18"/>
  <c r="AA153" i="18"/>
  <c r="AJ153" i="18"/>
  <c r="I155" i="18"/>
  <c r="T155" i="18"/>
  <c r="AC155" i="18"/>
  <c r="AM155" i="18"/>
  <c r="G156" i="18"/>
  <c r="S156" i="18"/>
  <c r="AE156" i="18"/>
  <c r="AO156" i="18"/>
  <c r="J157" i="18"/>
  <c r="AB157" i="18"/>
  <c r="E158" i="18"/>
  <c r="AB158" i="18"/>
  <c r="E159" i="18"/>
  <c r="AJ159" i="18"/>
  <c r="W160" i="18"/>
  <c r="J161" i="18"/>
  <c r="AO162" i="18"/>
  <c r="Y162" i="18"/>
  <c r="O162" i="18"/>
  <c r="G162" i="18"/>
  <c r="AM162" i="18"/>
  <c r="AE162" i="18"/>
  <c r="W162" i="18"/>
  <c r="M162" i="18"/>
  <c r="E162" i="18"/>
  <c r="X162" i="18"/>
  <c r="K162" i="18"/>
  <c r="V162" i="18"/>
  <c r="J162" i="18"/>
  <c r="AP162" i="18"/>
  <c r="AD162" i="18"/>
  <c r="T162" i="18"/>
  <c r="H162" i="18"/>
  <c r="AN162" i="18"/>
  <c r="AC162" i="18"/>
  <c r="S162" i="18"/>
  <c r="F162" i="18"/>
  <c r="AL162" i="18"/>
  <c r="AB162" i="18"/>
  <c r="R162" i="18"/>
  <c r="D162" i="18"/>
  <c r="AK162" i="18"/>
  <c r="AA162" i="18"/>
  <c r="N162" i="18"/>
  <c r="AO163" i="18"/>
  <c r="Y163" i="18"/>
  <c r="O163" i="18"/>
  <c r="G163" i="18"/>
  <c r="AM163" i="18"/>
  <c r="AE163" i="18"/>
  <c r="W163" i="18"/>
  <c r="M163" i="18"/>
  <c r="E163" i="18"/>
  <c r="AJ163" i="18"/>
  <c r="AB163" i="18"/>
  <c r="AN163" i="18"/>
  <c r="AA163" i="18"/>
  <c r="N163" i="18"/>
  <c r="AL163" i="18"/>
  <c r="Z163" i="18"/>
  <c r="L163" i="18"/>
  <c r="V163" i="18"/>
  <c r="J163" i="18"/>
  <c r="U163" i="18"/>
  <c r="I163" i="18"/>
  <c r="AF163" i="18"/>
  <c r="T163" i="18"/>
  <c r="H163" i="18"/>
  <c r="AD163" i="18"/>
  <c r="S163" i="18"/>
  <c r="F163" i="18"/>
  <c r="AO165" i="18"/>
  <c r="Y165" i="18"/>
  <c r="O165" i="18"/>
  <c r="G165" i="18"/>
  <c r="AM165" i="18"/>
  <c r="AE165" i="18"/>
  <c r="W165" i="18"/>
  <c r="M165" i="18"/>
  <c r="E165" i="18"/>
  <c r="AJ165" i="18"/>
  <c r="AB165" i="18"/>
  <c r="T165" i="18"/>
  <c r="J165" i="18"/>
  <c r="U165" i="18"/>
  <c r="F165" i="18"/>
  <c r="AF165" i="18"/>
  <c r="S165" i="18"/>
  <c r="D165" i="18"/>
  <c r="AP165" i="18"/>
  <c r="AC165" i="18"/>
  <c r="N165" i="18"/>
  <c r="AN165" i="18"/>
  <c r="AA165" i="18"/>
  <c r="L165" i="18"/>
  <c r="AL165" i="18"/>
  <c r="Z165" i="18"/>
  <c r="K165" i="18"/>
  <c r="AK165" i="18"/>
  <c r="X165" i="18"/>
  <c r="I165" i="18"/>
  <c r="AL172" i="18"/>
  <c r="AD172" i="18"/>
  <c r="V172" i="18"/>
  <c r="L172" i="18"/>
  <c r="D172" i="18"/>
  <c r="AJ172" i="18"/>
  <c r="AA172" i="18"/>
  <c r="R172" i="18"/>
  <c r="G172" i="18"/>
  <c r="Z172" i="18"/>
  <c r="O172" i="18"/>
  <c r="F172" i="18"/>
  <c r="AP172" i="18"/>
  <c r="X172" i="18"/>
  <c r="M172" i="18"/>
  <c r="AO172" i="18"/>
  <c r="AF172" i="18"/>
  <c r="W172" i="18"/>
  <c r="K172" i="18"/>
  <c r="AN172" i="18"/>
  <c r="AE172" i="18"/>
  <c r="U172" i="18"/>
  <c r="J172" i="18"/>
  <c r="AM172" i="18"/>
  <c r="AC172" i="18"/>
  <c r="T172" i="18"/>
  <c r="I172" i="18"/>
  <c r="AB172" i="18"/>
  <c r="S172" i="18"/>
  <c r="N172" i="18"/>
  <c r="H172" i="18"/>
  <c r="E172" i="18"/>
  <c r="AH170" i="18"/>
  <c r="AG170" i="18"/>
  <c r="AO164" i="18"/>
  <c r="Y164" i="18"/>
  <c r="O164" i="18"/>
  <c r="G164" i="18"/>
  <c r="AM164" i="18"/>
  <c r="AE164" i="18"/>
  <c r="W164" i="18"/>
  <c r="M164" i="18"/>
  <c r="E164" i="18"/>
  <c r="AJ164" i="18"/>
  <c r="AB164" i="18"/>
  <c r="T164" i="18"/>
  <c r="J164" i="18"/>
  <c r="R164" i="18"/>
  <c r="AD164" i="18"/>
  <c r="AO176" i="18"/>
  <c r="AM176" i="18"/>
  <c r="AE176" i="18"/>
  <c r="AL176" i="18"/>
  <c r="AD176" i="18"/>
  <c r="V176" i="18"/>
  <c r="L176" i="18"/>
  <c r="D176" i="18"/>
  <c r="W176" i="18"/>
  <c r="K176" i="18"/>
  <c r="AF176" i="18"/>
  <c r="U176" i="18"/>
  <c r="J176" i="18"/>
  <c r="AP176" i="18"/>
  <c r="AB176" i="18"/>
  <c r="S176" i="18"/>
  <c r="H176" i="18"/>
  <c r="AN176" i="18"/>
  <c r="AA176" i="18"/>
  <c r="R176" i="18"/>
  <c r="G176" i="18"/>
  <c r="AK176" i="18"/>
  <c r="Z176" i="18"/>
  <c r="O176" i="18"/>
  <c r="F176" i="18"/>
  <c r="AJ176" i="18"/>
  <c r="Y176" i="18"/>
  <c r="N176" i="18"/>
  <c r="E176" i="18"/>
  <c r="AH186" i="18"/>
  <c r="AI186" i="18"/>
  <c r="AG186" i="18"/>
  <c r="D164" i="18"/>
  <c r="S164" i="18"/>
  <c r="AF164" i="18"/>
  <c r="AH169" i="18"/>
  <c r="AI171" i="18"/>
  <c r="AH171" i="18"/>
  <c r="AG171" i="18"/>
  <c r="I176" i="18"/>
  <c r="AO178" i="18"/>
  <c r="Y178" i="18"/>
  <c r="O178" i="18"/>
  <c r="G178" i="18"/>
  <c r="AM178" i="18"/>
  <c r="AE178" i="18"/>
  <c r="W178" i="18"/>
  <c r="M178" i="18"/>
  <c r="E178" i="18"/>
  <c r="AL178" i="18"/>
  <c r="AD178" i="18"/>
  <c r="V178" i="18"/>
  <c r="L178" i="18"/>
  <c r="D178" i="18"/>
  <c r="AJ178" i="18"/>
  <c r="AB178" i="18"/>
  <c r="T178" i="18"/>
  <c r="J178" i="18"/>
  <c r="S178" i="18"/>
  <c r="R178" i="18"/>
  <c r="AC178" i="18"/>
  <c r="K178" i="18"/>
  <c r="AA178" i="18"/>
  <c r="I178" i="18"/>
  <c r="AP178" i="18"/>
  <c r="Z178" i="18"/>
  <c r="H178" i="18"/>
  <c r="AN178" i="18"/>
  <c r="X178" i="18"/>
  <c r="F178" i="18"/>
  <c r="H164" i="18"/>
  <c r="V164" i="18"/>
  <c r="AL171" i="18"/>
  <c r="AD171" i="18"/>
  <c r="V171" i="18"/>
  <c r="L171" i="18"/>
  <c r="D171" i="18"/>
  <c r="AN171" i="18"/>
  <c r="AE171" i="18"/>
  <c r="U171" i="18"/>
  <c r="J171" i="18"/>
  <c r="AM171" i="18"/>
  <c r="AC171" i="18"/>
  <c r="T171" i="18"/>
  <c r="I171" i="18"/>
  <c r="AJ171" i="18"/>
  <c r="AA171" i="18"/>
  <c r="R171" i="18"/>
  <c r="G171" i="18"/>
  <c r="Z171" i="18"/>
  <c r="O171" i="18"/>
  <c r="F171" i="18"/>
  <c r="Y171" i="18"/>
  <c r="N171" i="18"/>
  <c r="E171" i="18"/>
  <c r="AP171" i="18"/>
  <c r="X171" i="18"/>
  <c r="M171" i="18"/>
  <c r="AO171" i="18"/>
  <c r="T176" i="18"/>
  <c r="N178" i="18"/>
  <c r="I164" i="18"/>
  <c r="X164" i="18"/>
  <c r="AK164" i="18"/>
  <c r="AO166" i="18"/>
  <c r="Y166" i="18"/>
  <c r="O166" i="18"/>
  <c r="G166" i="18"/>
  <c r="AM166" i="18"/>
  <c r="AE166" i="18"/>
  <c r="W166" i="18"/>
  <c r="M166" i="18"/>
  <c r="E166" i="18"/>
  <c r="AJ166" i="18"/>
  <c r="AB166" i="18"/>
  <c r="T166" i="18"/>
  <c r="J166" i="18"/>
  <c r="R166" i="18"/>
  <c r="AD166" i="18"/>
  <c r="H171" i="18"/>
  <c r="X176" i="18"/>
  <c r="U178" i="18"/>
  <c r="J167" i="18"/>
  <c r="T167" i="18"/>
  <c r="AB167" i="18"/>
  <c r="AJ167" i="18"/>
  <c r="J168" i="18"/>
  <c r="T168" i="18"/>
  <c r="AB168" i="18"/>
  <c r="AJ168" i="18"/>
  <c r="J169" i="18"/>
  <c r="T169" i="18"/>
  <c r="AB169" i="18"/>
  <c r="AJ169" i="18"/>
  <c r="J170" i="18"/>
  <c r="T170" i="18"/>
  <c r="AB170" i="18"/>
  <c r="AJ170" i="18"/>
  <c r="F173" i="18"/>
  <c r="O173" i="18"/>
  <c r="Z173" i="18"/>
  <c r="K174" i="18"/>
  <c r="W174" i="18"/>
  <c r="AF174" i="18"/>
  <c r="H177" i="18"/>
  <c r="U177" i="18"/>
  <c r="K179" i="18"/>
  <c r="AC179" i="18"/>
  <c r="Z182" i="18"/>
  <c r="K167" i="18"/>
  <c r="U167" i="18"/>
  <c r="AC167" i="18"/>
  <c r="AK167" i="18"/>
  <c r="K168" i="18"/>
  <c r="U168" i="18"/>
  <c r="AC168" i="18"/>
  <c r="AK168" i="18"/>
  <c r="K169" i="18"/>
  <c r="U169" i="18"/>
  <c r="AC169" i="18"/>
  <c r="AK169" i="18"/>
  <c r="K170" i="18"/>
  <c r="U170" i="18"/>
  <c r="AC170" i="18"/>
  <c r="AK170" i="18"/>
  <c r="G173" i="18"/>
  <c r="R173" i="18"/>
  <c r="AA173" i="18"/>
  <c r="AJ173" i="18"/>
  <c r="AL174" i="18"/>
  <c r="AD174" i="18"/>
  <c r="V174" i="18"/>
  <c r="L174" i="18"/>
  <c r="D174" i="18"/>
  <c r="M174" i="18"/>
  <c r="X174" i="18"/>
  <c r="AP174" i="18"/>
  <c r="I177" i="18"/>
  <c r="X177" i="18"/>
  <c r="AJ177" i="18"/>
  <c r="N179" i="18"/>
  <c r="AF179" i="18"/>
  <c r="AJ180" i="18"/>
  <c r="AB180" i="18"/>
  <c r="T180" i="18"/>
  <c r="J180" i="18"/>
  <c r="AM180" i="18"/>
  <c r="AE180" i="18"/>
  <c r="W180" i="18"/>
  <c r="M180" i="18"/>
  <c r="E180" i="18"/>
  <c r="AP180" i="18"/>
  <c r="AF180" i="18"/>
  <c r="U180" i="18"/>
  <c r="H180" i="18"/>
  <c r="AN180" i="18"/>
  <c r="AC180" i="18"/>
  <c r="R180" i="18"/>
  <c r="F180" i="18"/>
  <c r="AL180" i="18"/>
  <c r="AA180" i="18"/>
  <c r="O180" i="18"/>
  <c r="D180" i="18"/>
  <c r="Y180" i="18"/>
  <c r="L180" i="18"/>
  <c r="Z180" i="18"/>
  <c r="AI187" i="18"/>
  <c r="AH187" i="18"/>
  <c r="AG187" i="18"/>
  <c r="H173" i="18"/>
  <c r="S173" i="18"/>
  <c r="AB173" i="18"/>
  <c r="AK173" i="18"/>
  <c r="J177" i="18"/>
  <c r="Z177" i="18"/>
  <c r="AK177" i="18"/>
  <c r="R179" i="18"/>
  <c r="AD180" i="18"/>
  <c r="AJ182" i="18"/>
  <c r="AB182" i="18"/>
  <c r="T182" i="18"/>
  <c r="J182" i="18"/>
  <c r="AM182" i="18"/>
  <c r="AE182" i="18"/>
  <c r="W182" i="18"/>
  <c r="M182" i="18"/>
  <c r="E182" i="18"/>
  <c r="Y182" i="18"/>
  <c r="L182" i="18"/>
  <c r="X182" i="18"/>
  <c r="K182" i="18"/>
  <c r="AP182" i="18"/>
  <c r="AF182" i="18"/>
  <c r="U182" i="18"/>
  <c r="H182" i="18"/>
  <c r="AO182" i="18"/>
  <c r="AD182" i="18"/>
  <c r="S182" i="18"/>
  <c r="G182" i="18"/>
  <c r="AL182" i="18"/>
  <c r="AA182" i="18"/>
  <c r="O182" i="18"/>
  <c r="D182" i="18"/>
  <c r="E167" i="18"/>
  <c r="M167" i="18"/>
  <c r="W167" i="18"/>
  <c r="AE167" i="18"/>
  <c r="AM167" i="18"/>
  <c r="E168" i="18"/>
  <c r="M168" i="18"/>
  <c r="W168" i="18"/>
  <c r="AE168" i="18"/>
  <c r="AM168" i="18"/>
  <c r="E169" i="18"/>
  <c r="M169" i="18"/>
  <c r="W169" i="18"/>
  <c r="AE169" i="18"/>
  <c r="AM169" i="18"/>
  <c r="E170" i="18"/>
  <c r="M170" i="18"/>
  <c r="W170" i="18"/>
  <c r="AE170" i="18"/>
  <c r="AN170" i="18"/>
  <c r="I173" i="18"/>
  <c r="T173" i="18"/>
  <c r="AC173" i="18"/>
  <c r="AM173" i="18"/>
  <c r="F174" i="18"/>
  <c r="O174" i="18"/>
  <c r="Z174" i="18"/>
  <c r="K177" i="18"/>
  <c r="AA177" i="18"/>
  <c r="AN177" i="18"/>
  <c r="I180" i="18"/>
  <c r="F182" i="18"/>
  <c r="AK182" i="18"/>
  <c r="AH192" i="18"/>
  <c r="AG192" i="18"/>
  <c r="AI192" i="18"/>
  <c r="AK195" i="18"/>
  <c r="AC195" i="18"/>
  <c r="U195" i="18"/>
  <c r="K195" i="18"/>
  <c r="AJ195" i="18"/>
  <c r="AB195" i="18"/>
  <c r="T195" i="18"/>
  <c r="J195" i="18"/>
  <c r="W195" i="18"/>
  <c r="I195" i="18"/>
  <c r="AM195" i="18"/>
  <c r="AA195" i="18"/>
  <c r="O195" i="18"/>
  <c r="E195" i="18"/>
  <c r="AL195" i="18"/>
  <c r="Z195" i="18"/>
  <c r="N195" i="18"/>
  <c r="D195" i="18"/>
  <c r="S195" i="18"/>
  <c r="R195" i="18"/>
  <c r="AF195" i="18"/>
  <c r="M195" i="18"/>
  <c r="AE195" i="18"/>
  <c r="L195" i="18"/>
  <c r="AD195" i="18"/>
  <c r="H195" i="18"/>
  <c r="AP195" i="18"/>
  <c r="Y195" i="18"/>
  <c r="G195" i="18"/>
  <c r="AO195" i="18"/>
  <c r="X195" i="18"/>
  <c r="F195" i="18"/>
  <c r="AO179" i="18"/>
  <c r="Y179" i="18"/>
  <c r="O179" i="18"/>
  <c r="G179" i="18"/>
  <c r="AM179" i="18"/>
  <c r="AE179" i="18"/>
  <c r="W179" i="18"/>
  <c r="M179" i="18"/>
  <c r="E179" i="18"/>
  <c r="AL179" i="18"/>
  <c r="AD179" i="18"/>
  <c r="V179" i="18"/>
  <c r="L179" i="18"/>
  <c r="D179" i="18"/>
  <c r="AJ179" i="18"/>
  <c r="AB179" i="18"/>
  <c r="T179" i="18"/>
  <c r="J179" i="18"/>
  <c r="U179" i="18"/>
  <c r="AK179" i="18"/>
  <c r="G167" i="18"/>
  <c r="O167" i="18"/>
  <c r="Y167" i="18"/>
  <c r="G168" i="18"/>
  <c r="O168" i="18"/>
  <c r="Y168" i="18"/>
  <c r="G169" i="18"/>
  <c r="O169" i="18"/>
  <c r="Y169" i="18"/>
  <c r="G170" i="18"/>
  <c r="O170" i="18"/>
  <c r="Y170" i="18"/>
  <c r="AP170" i="18"/>
  <c r="K173" i="18"/>
  <c r="W173" i="18"/>
  <c r="AF173" i="18"/>
  <c r="H174" i="18"/>
  <c r="S174" i="18"/>
  <c r="AB174" i="18"/>
  <c r="AK174" i="18"/>
  <c r="R177" i="18"/>
  <c r="F179" i="18"/>
  <c r="X179" i="18"/>
  <c r="AN179" i="18"/>
  <c r="N180" i="18"/>
  <c r="AK180" i="18"/>
  <c r="AI181" i="18"/>
  <c r="N182" i="18"/>
  <c r="AN195" i="18"/>
  <c r="AL173" i="18"/>
  <c r="AD173" i="18"/>
  <c r="V173" i="18"/>
  <c r="L173" i="18"/>
  <c r="D173" i="18"/>
  <c r="M173" i="18"/>
  <c r="X173" i="18"/>
  <c r="AP173" i="18"/>
  <c r="AO177" i="18"/>
  <c r="Y177" i="18"/>
  <c r="O177" i="18"/>
  <c r="G177" i="18"/>
  <c r="AM177" i="18"/>
  <c r="AE177" i="18"/>
  <c r="W177" i="18"/>
  <c r="M177" i="18"/>
  <c r="E177" i="18"/>
  <c r="AL177" i="18"/>
  <c r="AD177" i="18"/>
  <c r="V177" i="18"/>
  <c r="L177" i="18"/>
  <c r="D177" i="18"/>
  <c r="S177" i="18"/>
  <c r="AF177" i="18"/>
  <c r="H179" i="18"/>
  <c r="Z179" i="18"/>
  <c r="AP179" i="18"/>
  <c r="S180" i="18"/>
  <c r="AO180" i="18"/>
  <c r="R182" i="18"/>
  <c r="AJ181" i="18"/>
  <c r="AB181" i="18"/>
  <c r="T181" i="18"/>
  <c r="J181" i="18"/>
  <c r="AM181" i="18"/>
  <c r="AE181" i="18"/>
  <c r="W181" i="18"/>
  <c r="M181" i="18"/>
  <c r="E181" i="18"/>
  <c r="N181" i="18"/>
  <c r="Z181" i="18"/>
  <c r="AK181" i="18"/>
  <c r="F183" i="18"/>
  <c r="R183" i="18"/>
  <c r="AC183" i="18"/>
  <c r="AN183" i="18"/>
  <c r="F189" i="18"/>
  <c r="X189" i="18"/>
  <c r="AP189" i="18"/>
  <c r="AK200" i="18"/>
  <c r="AC200" i="18"/>
  <c r="U200" i="18"/>
  <c r="K200" i="18"/>
  <c r="AJ200" i="18"/>
  <c r="AB200" i="18"/>
  <c r="T200" i="18"/>
  <c r="J200" i="18"/>
  <c r="AP200" i="18"/>
  <c r="AO200" i="18"/>
  <c r="AE200" i="18"/>
  <c r="S200" i="18"/>
  <c r="G200" i="18"/>
  <c r="AN200" i="18"/>
  <c r="AD200" i="18"/>
  <c r="R200" i="18"/>
  <c r="F200" i="18"/>
  <c r="AM200" i="18"/>
  <c r="AA200" i="18"/>
  <c r="O200" i="18"/>
  <c r="E200" i="18"/>
  <c r="AL200" i="18"/>
  <c r="Z200" i="18"/>
  <c r="N200" i="18"/>
  <c r="D200" i="18"/>
  <c r="X200" i="18"/>
  <c r="L200" i="18"/>
  <c r="W200" i="18"/>
  <c r="I200" i="18"/>
  <c r="AK192" i="18"/>
  <c r="AC192" i="18"/>
  <c r="U192" i="18"/>
  <c r="K192" i="18"/>
  <c r="AJ192" i="18"/>
  <c r="AB192" i="18"/>
  <c r="T192" i="18"/>
  <c r="J192" i="18"/>
  <c r="AN192" i="18"/>
  <c r="AD192" i="18"/>
  <c r="R192" i="18"/>
  <c r="F192" i="18"/>
  <c r="X192" i="18"/>
  <c r="L192" i="18"/>
  <c r="W192" i="18"/>
  <c r="I192" i="18"/>
  <c r="S192" i="18"/>
  <c r="AL192" i="18"/>
  <c r="H200" i="18"/>
  <c r="F181" i="18"/>
  <c r="R181" i="18"/>
  <c r="AC181" i="18"/>
  <c r="AN181" i="18"/>
  <c r="H183" i="18"/>
  <c r="U183" i="18"/>
  <c r="AF183" i="18"/>
  <c r="AP183" i="18"/>
  <c r="AK186" i="18"/>
  <c r="AC186" i="18"/>
  <c r="U186" i="18"/>
  <c r="K186" i="18"/>
  <c r="Y186" i="18"/>
  <c r="N186" i="18"/>
  <c r="E186" i="18"/>
  <c r="AL186" i="18"/>
  <c r="AB186" i="18"/>
  <c r="S186" i="18"/>
  <c r="H186" i="18"/>
  <c r="O186" i="18"/>
  <c r="AD186" i="18"/>
  <c r="AO186" i="18"/>
  <c r="I187" i="18"/>
  <c r="X187" i="18"/>
  <c r="AL187" i="18"/>
  <c r="J189" i="18"/>
  <c r="AA189" i="18"/>
  <c r="AK190" i="18"/>
  <c r="AC190" i="18"/>
  <c r="U190" i="18"/>
  <c r="K190" i="18"/>
  <c r="AJ190" i="18"/>
  <c r="AB190" i="18"/>
  <c r="T190" i="18"/>
  <c r="J190" i="18"/>
  <c r="AL190" i="18"/>
  <c r="Z190" i="18"/>
  <c r="N190" i="18"/>
  <c r="D190" i="18"/>
  <c r="AP190" i="18"/>
  <c r="AF190" i="18"/>
  <c r="V190" i="18"/>
  <c r="H190" i="18"/>
  <c r="AO190" i="18"/>
  <c r="AE190" i="18"/>
  <c r="S190" i="18"/>
  <c r="G190" i="18"/>
  <c r="W190" i="18"/>
  <c r="AM190" i="18"/>
  <c r="M191" i="18"/>
  <c r="AE191" i="18"/>
  <c r="D192" i="18"/>
  <c r="V192" i="18"/>
  <c r="AM192" i="18"/>
  <c r="AI196" i="18"/>
  <c r="M200" i="18"/>
  <c r="G181" i="18"/>
  <c r="S181" i="18"/>
  <c r="AD181" i="18"/>
  <c r="AO181" i="18"/>
  <c r="I183" i="18"/>
  <c r="V183" i="18"/>
  <c r="L187" i="18"/>
  <c r="Z187" i="18"/>
  <c r="L189" i="18"/>
  <c r="AF189" i="18"/>
  <c r="E192" i="18"/>
  <c r="Y192" i="18"/>
  <c r="AO192" i="18"/>
  <c r="AK196" i="18"/>
  <c r="AC196" i="18"/>
  <c r="U196" i="18"/>
  <c r="K196" i="18"/>
  <c r="AJ196" i="18"/>
  <c r="AB196" i="18"/>
  <c r="T196" i="18"/>
  <c r="J196" i="18"/>
  <c r="X196" i="18"/>
  <c r="L196" i="18"/>
  <c r="AN196" i="18"/>
  <c r="AD196" i="18"/>
  <c r="R196" i="18"/>
  <c r="F196" i="18"/>
  <c r="AM196" i="18"/>
  <c r="AA196" i="18"/>
  <c r="O196" i="18"/>
  <c r="E196" i="18"/>
  <c r="V196" i="18"/>
  <c r="AL196" i="18"/>
  <c r="V200" i="18"/>
  <c r="G192" i="18"/>
  <c r="Z192" i="18"/>
  <c r="AP192" i="18"/>
  <c r="AI193" i="18"/>
  <c r="AH193" i="18"/>
  <c r="Y200" i="18"/>
  <c r="I181" i="18"/>
  <c r="V181" i="18"/>
  <c r="L183" i="18"/>
  <c r="AK187" i="18"/>
  <c r="AC187" i="18"/>
  <c r="U187" i="18"/>
  <c r="K187" i="18"/>
  <c r="AN187" i="18"/>
  <c r="AE187" i="18"/>
  <c r="V187" i="18"/>
  <c r="J187" i="18"/>
  <c r="Y187" i="18"/>
  <c r="N187" i="18"/>
  <c r="E187" i="18"/>
  <c r="O187" i="18"/>
  <c r="AB187" i="18"/>
  <c r="AP187" i="18"/>
  <c r="AK191" i="18"/>
  <c r="AC191" i="18"/>
  <c r="U191" i="18"/>
  <c r="K191" i="18"/>
  <c r="AJ191" i="18"/>
  <c r="AB191" i="18"/>
  <c r="T191" i="18"/>
  <c r="J191" i="18"/>
  <c r="AM191" i="18"/>
  <c r="AA191" i="18"/>
  <c r="O191" i="18"/>
  <c r="E191" i="18"/>
  <c r="W191" i="18"/>
  <c r="I191" i="18"/>
  <c r="AP191" i="18"/>
  <c r="AF191" i="18"/>
  <c r="V191" i="18"/>
  <c r="H191" i="18"/>
  <c r="S191" i="18"/>
  <c r="AL191" i="18"/>
  <c r="H192" i="18"/>
  <c r="AA192" i="18"/>
  <c r="AG193" i="18"/>
  <c r="G196" i="18"/>
  <c r="Y196" i="18"/>
  <c r="AP196" i="18"/>
  <c r="AG197" i="18"/>
  <c r="AF200" i="18"/>
  <c r="AJ183" i="18"/>
  <c r="AB183" i="18"/>
  <c r="T183" i="18"/>
  <c r="J183" i="18"/>
  <c r="AM183" i="18"/>
  <c r="AE183" i="18"/>
  <c r="W183" i="18"/>
  <c r="M183" i="18"/>
  <c r="E183" i="18"/>
  <c r="N183" i="18"/>
  <c r="Z183" i="18"/>
  <c r="AK183" i="18"/>
  <c r="AK189" i="18"/>
  <c r="AC189" i="18"/>
  <c r="U189" i="18"/>
  <c r="K189" i="18"/>
  <c r="AJ189" i="18"/>
  <c r="AB189" i="18"/>
  <c r="T189" i="18"/>
  <c r="Y189" i="18"/>
  <c r="M189" i="18"/>
  <c r="D189" i="18"/>
  <c r="AO189" i="18"/>
  <c r="AE189" i="18"/>
  <c r="S189" i="18"/>
  <c r="H189" i="18"/>
  <c r="AN189" i="18"/>
  <c r="AD189" i="18"/>
  <c r="R189" i="18"/>
  <c r="G189" i="18"/>
  <c r="V189" i="18"/>
  <c r="AL189" i="18"/>
  <c r="L190" i="18"/>
  <c r="AD190" i="18"/>
  <c r="D191" i="18"/>
  <c r="X191" i="18"/>
  <c r="AN191" i="18"/>
  <c r="M192" i="18"/>
  <c r="AE192" i="18"/>
  <c r="H196" i="18"/>
  <c r="Z196" i="18"/>
  <c r="AH197" i="18"/>
  <c r="F184" i="18"/>
  <c r="O184" i="18"/>
  <c r="AK185" i="18"/>
  <c r="AC185" i="18"/>
  <c r="U185" i="18"/>
  <c r="K185" i="18"/>
  <c r="L185" i="18"/>
  <c r="W185" i="18"/>
  <c r="AF185" i="18"/>
  <c r="AO185" i="18"/>
  <c r="J188" i="18"/>
  <c r="V188" i="18"/>
  <c r="AE188" i="18"/>
  <c r="L193" i="18"/>
  <c r="AK194" i="18"/>
  <c r="AC194" i="18"/>
  <c r="U194" i="18"/>
  <c r="K194" i="18"/>
  <c r="AJ194" i="18"/>
  <c r="AB194" i="18"/>
  <c r="T194" i="18"/>
  <c r="J194" i="18"/>
  <c r="M194" i="18"/>
  <c r="Y194" i="18"/>
  <c r="F197" i="18"/>
  <c r="R197" i="18"/>
  <c r="AD197" i="18"/>
  <c r="AN197" i="18"/>
  <c r="G198" i="18"/>
  <c r="S198" i="18"/>
  <c r="AE198" i="18"/>
  <c r="AO198" i="18"/>
  <c r="H199" i="18"/>
  <c r="V199" i="18"/>
  <c r="AF199" i="18"/>
  <c r="AP199" i="18"/>
  <c r="AK188" i="18"/>
  <c r="AC188" i="18"/>
  <c r="U188" i="18"/>
  <c r="K188" i="18"/>
  <c r="L188" i="18"/>
  <c r="W188" i="18"/>
  <c r="AF188" i="18"/>
  <c r="AO188" i="18"/>
  <c r="AK193" i="18"/>
  <c r="AC193" i="18"/>
  <c r="U193" i="18"/>
  <c r="K193" i="18"/>
  <c r="AJ193" i="18"/>
  <c r="AB193" i="18"/>
  <c r="T193" i="18"/>
  <c r="J193" i="18"/>
  <c r="M193" i="18"/>
  <c r="Y193" i="18"/>
  <c r="D194" i="18"/>
  <c r="N194" i="18"/>
  <c r="Z194" i="18"/>
  <c r="AL194" i="18"/>
  <c r="G197" i="18"/>
  <c r="S197" i="18"/>
  <c r="AE197" i="18"/>
  <c r="H198" i="18"/>
  <c r="V198" i="18"/>
  <c r="AF198" i="18"/>
  <c r="I199" i="18"/>
  <c r="AK199" i="18"/>
  <c r="AC199" i="18"/>
  <c r="U199" i="18"/>
  <c r="K199" i="18"/>
  <c r="AJ199" i="18"/>
  <c r="AB199" i="18"/>
  <c r="T199" i="18"/>
  <c r="J199" i="18"/>
  <c r="M199" i="18"/>
  <c r="Y199" i="18"/>
  <c r="AK198" i="18"/>
  <c r="AC198" i="18"/>
  <c r="U198" i="18"/>
  <c r="K198" i="18"/>
  <c r="AJ198" i="18"/>
  <c r="AB198" i="18"/>
  <c r="T198" i="18"/>
  <c r="J198" i="18"/>
  <c r="M198" i="18"/>
  <c r="Y198" i="18"/>
  <c r="D199" i="18"/>
  <c r="N199" i="18"/>
  <c r="Z199" i="18"/>
  <c r="AL199" i="18"/>
  <c r="AK184" i="18"/>
  <c r="AC184" i="18"/>
  <c r="U184" i="18"/>
  <c r="K184" i="18"/>
  <c r="L184" i="18"/>
  <c r="W184" i="18"/>
  <c r="AF184" i="18"/>
  <c r="AO184" i="18"/>
  <c r="H185" i="18"/>
  <c r="S185" i="18"/>
  <c r="AB185" i="18"/>
  <c r="AL185" i="18"/>
  <c r="G188" i="18"/>
  <c r="R188" i="18"/>
  <c r="AA188" i="18"/>
  <c r="AJ188" i="18"/>
  <c r="G193" i="18"/>
  <c r="S193" i="18"/>
  <c r="AE193" i="18"/>
  <c r="AO193" i="18"/>
  <c r="H194" i="18"/>
  <c r="V194" i="18"/>
  <c r="AF194" i="18"/>
  <c r="AP194" i="18"/>
  <c r="AK197" i="18"/>
  <c r="AC197" i="18"/>
  <c r="U197" i="18"/>
  <c r="K197" i="18"/>
  <c r="AJ197" i="18"/>
  <c r="AB197" i="18"/>
  <c r="T197" i="18"/>
  <c r="J197" i="18"/>
  <c r="M197" i="18"/>
  <c r="Y197" i="18"/>
  <c r="D198" i="18"/>
  <c r="N198" i="18"/>
  <c r="Z198" i="18"/>
  <c r="AL198" i="18"/>
  <c r="E199" i="18"/>
  <c r="O199" i="18"/>
  <c r="AA199" i="18"/>
  <c r="AM199" i="18"/>
  <c r="E198" i="18"/>
  <c r="O198" i="18"/>
  <c r="AA198" i="18"/>
  <c r="AM198" i="18"/>
  <c r="F199" i="18"/>
  <c r="R199" i="18"/>
  <c r="AD199" i="18"/>
  <c r="AN199" i="18"/>
  <c r="L22" i="18" l="1"/>
  <c r="AA22" i="18"/>
  <c r="N22" i="18"/>
  <c r="E22" i="19"/>
  <c r="E25" i="19"/>
  <c r="AJ22" i="18"/>
  <c r="X25" i="18"/>
  <c r="G22" i="19"/>
  <c r="K22" i="18"/>
  <c r="Y22" i="18"/>
  <c r="AN22" i="18"/>
  <c r="AO22" i="18"/>
  <c r="B22" i="19"/>
  <c r="D22" i="19"/>
  <c r="X22" i="18"/>
  <c r="AF22" i="18"/>
  <c r="AH22" i="18" s="1"/>
  <c r="E22" i="18"/>
  <c r="W22" i="18"/>
  <c r="F22" i="19"/>
  <c r="G22" i="18"/>
  <c r="AE22" i="18"/>
  <c r="V22" i="18"/>
  <c r="D22" i="18"/>
  <c r="H22" i="19"/>
  <c r="AM22" i="18"/>
  <c r="C22" i="19"/>
  <c r="F22" i="18"/>
  <c r="I22" i="18"/>
  <c r="Z22" i="18"/>
  <c r="AC22" i="18"/>
  <c r="U22" i="18"/>
  <c r="T22" i="18"/>
  <c r="H22" i="18"/>
  <c r="AD22" i="18"/>
  <c r="J22" i="18"/>
  <c r="AB22" i="18"/>
  <c r="S22" i="18"/>
  <c r="AK22" i="18"/>
  <c r="M22" i="18"/>
  <c r="AP22" i="18"/>
  <c r="W47" i="18"/>
  <c r="AL47" i="18" s="1"/>
  <c r="AK47" i="18"/>
  <c r="R22" i="18"/>
  <c r="AL22" i="18"/>
  <c r="AD11" i="18"/>
  <c r="L11" i="18" s="1"/>
  <c r="AD8" i="18"/>
  <c r="AE8" i="18" s="1"/>
  <c r="G8" i="19" s="1"/>
  <c r="Z47" i="18"/>
  <c r="AM47" i="18" s="1"/>
  <c r="AI49" i="18"/>
  <c r="AH49" i="18"/>
  <c r="AG49" i="18"/>
  <c r="H49" i="19"/>
  <c r="W49" i="18"/>
  <c r="Z49" i="18"/>
  <c r="F49" i="19"/>
  <c r="W11" i="18"/>
  <c r="F11" i="19"/>
  <c r="AK11" i="18"/>
  <c r="Z11" i="18"/>
  <c r="AM11" i="18" s="1"/>
  <c r="AH200" i="18"/>
  <c r="AG200" i="18"/>
  <c r="AI200" i="18"/>
  <c r="AG179" i="18"/>
  <c r="AI179" i="18"/>
  <c r="AH179" i="18"/>
  <c r="AG161" i="18"/>
  <c r="AI161" i="18"/>
  <c r="AH161" i="18"/>
  <c r="AI140" i="18"/>
  <c r="AG140" i="18"/>
  <c r="AH140" i="18"/>
  <c r="AI149" i="18"/>
  <c r="AH149" i="18"/>
  <c r="AG149" i="18"/>
  <c r="AI148" i="18"/>
  <c r="AG148" i="18"/>
  <c r="AH148" i="18"/>
  <c r="AI124" i="18"/>
  <c r="AG124" i="18"/>
  <c r="AH124" i="18"/>
  <c r="AI127" i="18"/>
  <c r="AG127" i="18"/>
  <c r="AH127" i="18"/>
  <c r="AH98" i="18"/>
  <c r="AG98" i="18"/>
  <c r="AI98" i="18"/>
  <c r="AH71" i="18"/>
  <c r="AG71" i="18"/>
  <c r="AI71" i="18"/>
  <c r="AH78" i="18"/>
  <c r="AG78" i="18"/>
  <c r="AI78" i="18"/>
  <c r="X53" i="18"/>
  <c r="K39" i="18"/>
  <c r="T39" i="18"/>
  <c r="J39" i="18"/>
  <c r="Z39" i="18" s="1"/>
  <c r="S39" i="18"/>
  <c r="I39" i="18"/>
  <c r="R39" i="18"/>
  <c r="U39" i="18" s="1"/>
  <c r="V39" i="18" s="1"/>
  <c r="H39" i="18"/>
  <c r="O39" i="18"/>
  <c r="B39" i="19" s="1"/>
  <c r="N39" i="18"/>
  <c r="E39" i="19" s="1"/>
  <c r="G39" i="18"/>
  <c r="F39" i="18"/>
  <c r="C39" i="19" s="1"/>
  <c r="E39" i="18"/>
  <c r="D39" i="18"/>
  <c r="X39" i="18"/>
  <c r="D39" i="19"/>
  <c r="U50" i="18"/>
  <c r="V50" i="18" s="1"/>
  <c r="T50" i="18"/>
  <c r="I50" i="18"/>
  <c r="R50" i="18"/>
  <c r="S50" i="18" s="1"/>
  <c r="H50" i="18"/>
  <c r="X50" i="18" s="1"/>
  <c r="D50" i="18"/>
  <c r="O50" i="18"/>
  <c r="N50" i="18"/>
  <c r="D50" i="19"/>
  <c r="C50" i="19"/>
  <c r="G50" i="18"/>
  <c r="B50" i="19"/>
  <c r="F50" i="18"/>
  <c r="AO50" i="18"/>
  <c r="E50" i="18"/>
  <c r="E50" i="19"/>
  <c r="K51" i="18"/>
  <c r="T51" i="18"/>
  <c r="J51" i="18"/>
  <c r="I51" i="18"/>
  <c r="R51" i="18"/>
  <c r="X51" i="18" s="1"/>
  <c r="H51" i="18"/>
  <c r="F51" i="18"/>
  <c r="E51" i="18"/>
  <c r="D51" i="18"/>
  <c r="O51" i="18"/>
  <c r="AF51" i="18"/>
  <c r="H51" i="19" s="1"/>
  <c r="N51" i="18"/>
  <c r="E51" i="19"/>
  <c r="G51" i="18"/>
  <c r="D51" i="19" s="1"/>
  <c r="C51" i="19"/>
  <c r="AO51" i="18"/>
  <c r="B51" i="19"/>
  <c r="AD51" i="18"/>
  <c r="AE51" i="18" s="1"/>
  <c r="G51" i="19" s="1"/>
  <c r="M51" i="18"/>
  <c r="U45" i="18"/>
  <c r="T45" i="18"/>
  <c r="I45" i="18"/>
  <c r="R45" i="18"/>
  <c r="S45" i="18" s="1"/>
  <c r="H45" i="18"/>
  <c r="J45" i="18" s="1"/>
  <c r="G45" i="18"/>
  <c r="F45" i="18"/>
  <c r="C45" i="19" s="1"/>
  <c r="E45" i="18"/>
  <c r="D45" i="18"/>
  <c r="O45" i="18"/>
  <c r="B45" i="19" s="1"/>
  <c r="D45" i="19"/>
  <c r="N45" i="18"/>
  <c r="AO45" i="18" s="1"/>
  <c r="U31" i="18"/>
  <c r="V31" i="18" s="1"/>
  <c r="F8" i="19"/>
  <c r="T10" i="18"/>
  <c r="D10" i="18"/>
  <c r="K10" i="18"/>
  <c r="R10" i="18"/>
  <c r="S10" i="18" s="1"/>
  <c r="I10" i="18"/>
  <c r="H10" i="18"/>
  <c r="X10" i="18" s="1"/>
  <c r="O10" i="18"/>
  <c r="B10" i="19" s="1"/>
  <c r="G10" i="18"/>
  <c r="E10" i="19"/>
  <c r="N10" i="18"/>
  <c r="AO10" i="18" s="1"/>
  <c r="F10" i="18"/>
  <c r="C10" i="19" s="1"/>
  <c r="U10" i="18"/>
  <c r="E10" i="18"/>
  <c r="U8" i="18"/>
  <c r="V8" i="18" s="1"/>
  <c r="J25" i="18"/>
  <c r="AD25" i="18" s="1"/>
  <c r="U46" i="18"/>
  <c r="T46" i="18"/>
  <c r="S46" i="18"/>
  <c r="I46" i="18"/>
  <c r="R46" i="18"/>
  <c r="H46" i="18"/>
  <c r="K46" i="18" s="1"/>
  <c r="N46" i="18"/>
  <c r="G46" i="18"/>
  <c r="F46" i="18"/>
  <c r="C46" i="19" s="1"/>
  <c r="D46" i="18"/>
  <c r="D46" i="19"/>
  <c r="O46" i="18"/>
  <c r="B46" i="19" s="1"/>
  <c r="E46" i="18"/>
  <c r="AH150" i="18"/>
  <c r="AG150" i="18"/>
  <c r="AI150" i="18"/>
  <c r="AI138" i="18"/>
  <c r="AG138" i="18"/>
  <c r="AH138" i="18"/>
  <c r="AI105" i="18"/>
  <c r="AH105" i="18"/>
  <c r="AG105" i="18"/>
  <c r="AG87" i="18"/>
  <c r="AI87" i="18"/>
  <c r="AH87" i="18"/>
  <c r="N24" i="18"/>
  <c r="F24" i="18"/>
  <c r="C24" i="19" s="1"/>
  <c r="T24" i="18"/>
  <c r="I24" i="18"/>
  <c r="H24" i="18"/>
  <c r="K24" i="18" s="1"/>
  <c r="G24" i="18"/>
  <c r="D24" i="19" s="1"/>
  <c r="R24" i="18"/>
  <c r="S24" i="18" s="1"/>
  <c r="E24" i="18"/>
  <c r="O24" i="18"/>
  <c r="B24" i="19" s="1"/>
  <c r="U41" i="18"/>
  <c r="T41" i="18"/>
  <c r="I41" i="18"/>
  <c r="J41" i="18" s="1"/>
  <c r="R41" i="18"/>
  <c r="S41" i="18" s="1"/>
  <c r="H41" i="18"/>
  <c r="K41" i="18" s="1"/>
  <c r="G41" i="18"/>
  <c r="F41" i="18"/>
  <c r="C41" i="19" s="1"/>
  <c r="E41" i="18"/>
  <c r="D41" i="18"/>
  <c r="O41" i="18"/>
  <c r="B41" i="19" s="1"/>
  <c r="N41" i="18"/>
  <c r="AO41" i="18" s="1"/>
  <c r="D41" i="19"/>
  <c r="AH60" i="18"/>
  <c r="AG60" i="18"/>
  <c r="AI60" i="18"/>
  <c r="AG163" i="18"/>
  <c r="AI163" i="18"/>
  <c r="AH163" i="18"/>
  <c r="AI158" i="18"/>
  <c r="AH158" i="18"/>
  <c r="AG158" i="18"/>
  <c r="AI160" i="18"/>
  <c r="AH160" i="18"/>
  <c r="AG160" i="18"/>
  <c r="AI157" i="18"/>
  <c r="AH157" i="18"/>
  <c r="AG157" i="18"/>
  <c r="AI136" i="18"/>
  <c r="AH136" i="18"/>
  <c r="AG136" i="18"/>
  <c r="AI142" i="18"/>
  <c r="AG142" i="18"/>
  <c r="AH142" i="18"/>
  <c r="AI145" i="18"/>
  <c r="AG145" i="18"/>
  <c r="AH145" i="18"/>
  <c r="AI131" i="18"/>
  <c r="AG131" i="18"/>
  <c r="AH131" i="18"/>
  <c r="AI123" i="18"/>
  <c r="AG123" i="18"/>
  <c r="AH123" i="18"/>
  <c r="AI143" i="18"/>
  <c r="AG143" i="18"/>
  <c r="AH143" i="18"/>
  <c r="AI128" i="18"/>
  <c r="AG128" i="18"/>
  <c r="AH128" i="18"/>
  <c r="AI134" i="18"/>
  <c r="AG134" i="18"/>
  <c r="AH134" i="18"/>
  <c r="AI130" i="18"/>
  <c r="AG130" i="18"/>
  <c r="AH130" i="18"/>
  <c r="AH73" i="18"/>
  <c r="AI73" i="18"/>
  <c r="AG73" i="18"/>
  <c r="N16" i="18"/>
  <c r="F16" i="18"/>
  <c r="K16" i="18"/>
  <c r="AO16" i="18"/>
  <c r="O16" i="18"/>
  <c r="C16" i="19"/>
  <c r="B16" i="19"/>
  <c r="U16" i="18"/>
  <c r="V16" i="18" s="1"/>
  <c r="I16" i="18"/>
  <c r="J16" i="18" s="1"/>
  <c r="T16" i="18"/>
  <c r="H16" i="18"/>
  <c r="R16" i="18"/>
  <c r="X16" i="18" s="1"/>
  <c r="G16" i="18"/>
  <c r="E16" i="18"/>
  <c r="E16" i="19"/>
  <c r="D16" i="18"/>
  <c r="D16" i="19"/>
  <c r="L49" i="18"/>
  <c r="C14" i="18"/>
  <c r="K17" i="14"/>
  <c r="N14" i="14"/>
  <c r="F27" i="13"/>
  <c r="E28" i="13" s="1"/>
  <c r="H27" i="13"/>
  <c r="N32" i="14"/>
  <c r="L34" i="14"/>
  <c r="L33" i="14"/>
  <c r="Z8" i="18"/>
  <c r="AM8" i="18" s="1"/>
  <c r="F27" i="11"/>
  <c r="H27" i="11"/>
  <c r="F30" i="13"/>
  <c r="E31" i="13" s="1"/>
  <c r="H45" i="13"/>
  <c r="AH151" i="18"/>
  <c r="AG151" i="18"/>
  <c r="AI151" i="18"/>
  <c r="AI125" i="18"/>
  <c r="AG125" i="18"/>
  <c r="AH125" i="18"/>
  <c r="U54" i="18"/>
  <c r="T54" i="18"/>
  <c r="I54" i="18"/>
  <c r="J54" i="18" s="1"/>
  <c r="R54" i="18"/>
  <c r="S54" i="18" s="1"/>
  <c r="H54" i="18"/>
  <c r="L54" i="18" s="1"/>
  <c r="E54" i="18"/>
  <c r="D54" i="18"/>
  <c r="O54" i="18"/>
  <c r="AF54" i="18"/>
  <c r="N54" i="18"/>
  <c r="E54" i="19" s="1"/>
  <c r="AE54" i="18"/>
  <c r="G54" i="19" s="1"/>
  <c r="AD54" i="18"/>
  <c r="M54" i="18" s="1"/>
  <c r="X54" i="18"/>
  <c r="G54" i="18"/>
  <c r="D54" i="19" s="1"/>
  <c r="F54" i="18"/>
  <c r="C54" i="19" s="1"/>
  <c r="AO54" i="18"/>
  <c r="B54" i="19"/>
  <c r="F28" i="11"/>
  <c r="E29" i="11" s="1"/>
  <c r="AG195" i="18"/>
  <c r="AI195" i="18"/>
  <c r="AH195" i="18"/>
  <c r="AI199" i="18"/>
  <c r="AG199" i="18"/>
  <c r="AH199" i="18"/>
  <c r="AG173" i="18"/>
  <c r="AI173" i="18"/>
  <c r="AH173" i="18"/>
  <c r="AG164" i="18"/>
  <c r="AI164" i="18"/>
  <c r="AH164" i="18"/>
  <c r="AG176" i="18"/>
  <c r="AH176" i="18"/>
  <c r="AI176" i="18"/>
  <c r="AI122" i="18"/>
  <c r="AG122" i="18"/>
  <c r="AH122" i="18"/>
  <c r="AH68" i="18"/>
  <c r="AG68" i="18"/>
  <c r="AI68" i="18"/>
  <c r="AP53" i="18"/>
  <c r="K53" i="18"/>
  <c r="M53" i="18"/>
  <c r="AH62" i="18"/>
  <c r="AI62" i="18"/>
  <c r="AG62" i="18"/>
  <c r="AD32" i="18"/>
  <c r="AF32" i="18" s="1"/>
  <c r="N32" i="18"/>
  <c r="F32" i="18"/>
  <c r="T32" i="18"/>
  <c r="L32" i="18"/>
  <c r="K32" i="18"/>
  <c r="O32" i="18"/>
  <c r="B32" i="19" s="1"/>
  <c r="M32" i="18"/>
  <c r="I32" i="18"/>
  <c r="J32" i="18" s="1"/>
  <c r="U32" i="18"/>
  <c r="V32" i="18" s="1"/>
  <c r="H32" i="18"/>
  <c r="R32" i="18"/>
  <c r="S32" i="18" s="1"/>
  <c r="G32" i="18"/>
  <c r="AO32" i="18"/>
  <c r="E32" i="18"/>
  <c r="E32" i="19"/>
  <c r="D32" i="19"/>
  <c r="C32" i="19"/>
  <c r="AP49" i="18"/>
  <c r="K49" i="18"/>
  <c r="H12" i="18"/>
  <c r="X12" i="18" s="1"/>
  <c r="B12" i="19"/>
  <c r="O12" i="18"/>
  <c r="G12" i="18"/>
  <c r="N12" i="18"/>
  <c r="E12" i="19" s="1"/>
  <c r="F12" i="18"/>
  <c r="C12" i="19" s="1"/>
  <c r="E12" i="18"/>
  <c r="T12" i="18"/>
  <c r="D12" i="18"/>
  <c r="K12" i="18"/>
  <c r="R12" i="18"/>
  <c r="U12" i="18" s="1"/>
  <c r="D12" i="19"/>
  <c r="I12" i="18"/>
  <c r="AK52" i="18"/>
  <c r="AC52" i="18"/>
  <c r="U52" i="18"/>
  <c r="K52" i="18"/>
  <c r="AJ52" i="18"/>
  <c r="AB52" i="18"/>
  <c r="T52" i="18"/>
  <c r="J52" i="18"/>
  <c r="AA52" i="18"/>
  <c r="S52" i="18"/>
  <c r="I52" i="18"/>
  <c r="AP52" i="18"/>
  <c r="Z52" i="18"/>
  <c r="R52" i="18"/>
  <c r="H52" i="18"/>
  <c r="AE52" i="18"/>
  <c r="M52" i="18"/>
  <c r="AD52" i="18"/>
  <c r="L52" i="18"/>
  <c r="AO52" i="18"/>
  <c r="Y52" i="18"/>
  <c r="G52" i="18"/>
  <c r="AN52" i="18"/>
  <c r="X52" i="18"/>
  <c r="F52" i="18"/>
  <c r="AM52" i="18"/>
  <c r="W52" i="18"/>
  <c r="E52" i="18"/>
  <c r="N52" i="18"/>
  <c r="F52" i="19"/>
  <c r="D52" i="18"/>
  <c r="E52" i="19"/>
  <c r="D52" i="19"/>
  <c r="AL52" i="18"/>
  <c r="C52" i="19"/>
  <c r="B52" i="19"/>
  <c r="AF52" i="18"/>
  <c r="V52" i="18"/>
  <c r="H52" i="19"/>
  <c r="O52" i="18"/>
  <c r="G52" i="19"/>
  <c r="D31" i="19"/>
  <c r="H22" i="13"/>
  <c r="F22" i="13"/>
  <c r="R30" i="18"/>
  <c r="O30" i="18"/>
  <c r="B30" i="19" s="1"/>
  <c r="G30" i="18"/>
  <c r="U30" i="18"/>
  <c r="T30" i="18"/>
  <c r="I30" i="18"/>
  <c r="S30" i="18"/>
  <c r="H30" i="18"/>
  <c r="K30" i="18" s="1"/>
  <c r="F30" i="18"/>
  <c r="C30" i="19" s="1"/>
  <c r="E30" i="19"/>
  <c r="N30" i="18"/>
  <c r="D30" i="19"/>
  <c r="E30" i="18"/>
  <c r="AK8" i="18"/>
  <c r="W8" i="18"/>
  <c r="Q5" i="14"/>
  <c r="P6" i="14"/>
  <c r="AI159" i="18"/>
  <c r="AH159" i="18"/>
  <c r="AG159" i="18"/>
  <c r="AG137" i="18"/>
  <c r="AI137" i="18"/>
  <c r="AH137" i="18"/>
  <c r="AI126" i="18"/>
  <c r="AG126" i="18"/>
  <c r="AH126" i="18"/>
  <c r="AI95" i="18"/>
  <c r="AH95" i="18"/>
  <c r="AG95" i="18"/>
  <c r="AH65" i="18"/>
  <c r="AI65" i="18"/>
  <c r="AG65" i="18"/>
  <c r="AI188" i="18"/>
  <c r="AH188" i="18"/>
  <c r="AG188" i="18"/>
  <c r="AI189" i="18"/>
  <c r="AH189" i="18"/>
  <c r="AG189" i="18"/>
  <c r="AG191" i="18"/>
  <c r="AI191" i="18"/>
  <c r="AH191" i="18"/>
  <c r="AI190" i="18"/>
  <c r="AH190" i="18"/>
  <c r="AG190" i="18"/>
  <c r="AI146" i="18"/>
  <c r="AG146" i="18"/>
  <c r="AH146" i="18"/>
  <c r="AI129" i="18"/>
  <c r="AG129" i="18"/>
  <c r="AH129" i="18"/>
  <c r="AI101" i="18"/>
  <c r="AH101" i="18"/>
  <c r="AG101" i="18"/>
  <c r="AH80" i="18"/>
  <c r="AG80" i="18"/>
  <c r="AI80" i="18"/>
  <c r="AI86" i="18"/>
  <c r="AH86" i="18"/>
  <c r="AG86" i="18"/>
  <c r="U53" i="18"/>
  <c r="V53" i="18" s="1"/>
  <c r="K44" i="18"/>
  <c r="T44" i="18"/>
  <c r="J44" i="18"/>
  <c r="Z44" i="18" s="1"/>
  <c r="S44" i="18"/>
  <c r="I44" i="18"/>
  <c r="R44" i="18"/>
  <c r="U44" i="18" s="1"/>
  <c r="V44" i="18" s="1"/>
  <c r="H44" i="18"/>
  <c r="E44" i="18"/>
  <c r="D44" i="18"/>
  <c r="O44" i="18"/>
  <c r="N44" i="18"/>
  <c r="G44" i="18"/>
  <c r="F44" i="18"/>
  <c r="E44" i="19"/>
  <c r="D44" i="19"/>
  <c r="C44" i="19"/>
  <c r="B44" i="19"/>
  <c r="X44" i="18"/>
  <c r="AD55" i="18"/>
  <c r="AE55" i="18" s="1"/>
  <c r="G55" i="19" s="1"/>
  <c r="T55" i="18"/>
  <c r="I55" i="18"/>
  <c r="R55" i="18"/>
  <c r="U55" i="18" s="1"/>
  <c r="V55" i="18" s="1"/>
  <c r="H55" i="18"/>
  <c r="X55" i="18" s="1"/>
  <c r="G55" i="18"/>
  <c r="F55" i="18"/>
  <c r="E55" i="18"/>
  <c r="D55" i="18"/>
  <c r="O55" i="18"/>
  <c r="B55" i="19" s="1"/>
  <c r="N55" i="18"/>
  <c r="AF55" i="18" s="1"/>
  <c r="M55" i="18"/>
  <c r="L55" i="18"/>
  <c r="E55" i="19"/>
  <c r="C55" i="19"/>
  <c r="N28" i="18"/>
  <c r="F28" i="18"/>
  <c r="K28" i="18"/>
  <c r="T28" i="18"/>
  <c r="I28" i="18"/>
  <c r="R28" i="18"/>
  <c r="U28" i="18" s="1"/>
  <c r="H28" i="18"/>
  <c r="X28" i="18" s="1"/>
  <c r="E28" i="19"/>
  <c r="D28" i="19"/>
  <c r="O28" i="18"/>
  <c r="B28" i="19" s="1"/>
  <c r="C28" i="19"/>
  <c r="G28" i="18"/>
  <c r="E28" i="18"/>
  <c r="U38" i="18"/>
  <c r="T38" i="18"/>
  <c r="S38" i="18"/>
  <c r="I38" i="18"/>
  <c r="R38" i="18"/>
  <c r="H38" i="18"/>
  <c r="K38" i="18" s="1"/>
  <c r="G38" i="18"/>
  <c r="F38" i="18"/>
  <c r="C38" i="19" s="1"/>
  <c r="E38" i="18"/>
  <c r="O38" i="18"/>
  <c r="B38" i="19" s="1"/>
  <c r="N38" i="18"/>
  <c r="D38" i="18"/>
  <c r="D38" i="19"/>
  <c r="H23" i="18"/>
  <c r="E23" i="18"/>
  <c r="N23" i="18"/>
  <c r="AO23" i="18"/>
  <c r="K23" i="18"/>
  <c r="I23" i="18"/>
  <c r="T23" i="18"/>
  <c r="G23" i="18"/>
  <c r="R23" i="18"/>
  <c r="S23" i="18" s="1"/>
  <c r="F23" i="18"/>
  <c r="C23" i="19" s="1"/>
  <c r="E23" i="19"/>
  <c r="O23" i="18"/>
  <c r="B23" i="19" s="1"/>
  <c r="U49" i="18"/>
  <c r="V49" i="18" s="1"/>
  <c r="K13" i="18"/>
  <c r="AP7" i="18"/>
  <c r="Z7" i="18"/>
  <c r="R7" i="18"/>
  <c r="J7" i="18"/>
  <c r="B7" i="19"/>
  <c r="AO7" i="18"/>
  <c r="Y7" i="18"/>
  <c r="I7" i="18"/>
  <c r="AN7" i="18"/>
  <c r="AF7" i="18"/>
  <c r="X7" i="18"/>
  <c r="H7" i="18"/>
  <c r="AM7" i="18"/>
  <c r="AE7" i="18"/>
  <c r="W7" i="18"/>
  <c r="O7" i="18"/>
  <c r="G7" i="18"/>
  <c r="G7" i="19"/>
  <c r="AL7" i="18"/>
  <c r="AD7" i="18"/>
  <c r="V7" i="18"/>
  <c r="N7" i="18"/>
  <c r="F7" i="18"/>
  <c r="F7" i="19"/>
  <c r="AK7" i="18"/>
  <c r="AC7" i="18"/>
  <c r="U7" i="18"/>
  <c r="M7" i="18"/>
  <c r="E7" i="18"/>
  <c r="E7" i="19"/>
  <c r="AJ7" i="18"/>
  <c r="AB7" i="18"/>
  <c r="T7" i="18"/>
  <c r="L7" i="18"/>
  <c r="D7" i="18"/>
  <c r="D7" i="19"/>
  <c r="AA7" i="18"/>
  <c r="S7" i="18"/>
  <c r="K7" i="18"/>
  <c r="H7" i="19"/>
  <c r="C7" i="19"/>
  <c r="J31" i="18"/>
  <c r="K6" i="11"/>
  <c r="L5" i="11"/>
  <c r="AD47" i="18"/>
  <c r="AF47" i="18" s="1"/>
  <c r="AN27" i="18"/>
  <c r="AF27" i="18"/>
  <c r="X27" i="18"/>
  <c r="H27" i="18"/>
  <c r="AK27" i="18"/>
  <c r="AC27" i="18"/>
  <c r="U27" i="18"/>
  <c r="M27" i="18"/>
  <c r="E27" i="18"/>
  <c r="V27" i="18"/>
  <c r="L27" i="18"/>
  <c r="AM27" i="18"/>
  <c r="AB27" i="18"/>
  <c r="R27" i="18"/>
  <c r="I27" i="18"/>
  <c r="AE27" i="18"/>
  <c r="D27" i="18"/>
  <c r="E27" i="19"/>
  <c r="AD27" i="18"/>
  <c r="D27" i="19"/>
  <c r="AP27" i="18"/>
  <c r="AA27" i="18"/>
  <c r="O27" i="18"/>
  <c r="C27" i="19"/>
  <c r="AO27" i="18"/>
  <c r="Z27" i="18"/>
  <c r="N27" i="18"/>
  <c r="B27" i="19"/>
  <c r="AL27" i="18"/>
  <c r="Y27" i="18"/>
  <c r="K27" i="18"/>
  <c r="AJ27" i="18"/>
  <c r="W27" i="18"/>
  <c r="J27" i="18"/>
  <c r="H27" i="19"/>
  <c r="T27" i="18"/>
  <c r="G27" i="18"/>
  <c r="G27" i="19"/>
  <c r="S27" i="18"/>
  <c r="F27" i="18"/>
  <c r="F27" i="19"/>
  <c r="E8" i="19"/>
  <c r="D25" i="19"/>
  <c r="H13" i="11"/>
  <c r="L17" i="14"/>
  <c r="L18" i="14" s="1"/>
  <c r="AH56" i="18"/>
  <c r="AI56" i="18"/>
  <c r="AG56" i="18"/>
  <c r="K40" i="18"/>
  <c r="T40" i="18"/>
  <c r="J40" i="18"/>
  <c r="Z40" i="18" s="1"/>
  <c r="I40" i="18"/>
  <c r="R40" i="18"/>
  <c r="X40" i="18" s="1"/>
  <c r="H40" i="18"/>
  <c r="E40" i="18"/>
  <c r="D40" i="18"/>
  <c r="O40" i="18"/>
  <c r="N40" i="18"/>
  <c r="B40" i="19"/>
  <c r="E40" i="19"/>
  <c r="G40" i="18"/>
  <c r="D40" i="19" s="1"/>
  <c r="F40" i="18"/>
  <c r="C40" i="19" s="1"/>
  <c r="AI53" i="18"/>
  <c r="AH53" i="18"/>
  <c r="AG53" i="18"/>
  <c r="H53" i="19"/>
  <c r="AH57" i="18"/>
  <c r="AI57" i="18"/>
  <c r="AG57" i="18"/>
  <c r="H19" i="18"/>
  <c r="K19" i="18" s="1"/>
  <c r="E19" i="18"/>
  <c r="N19" i="18"/>
  <c r="AO19" i="18"/>
  <c r="S19" i="18"/>
  <c r="E19" i="19"/>
  <c r="I19" i="18"/>
  <c r="T19" i="18"/>
  <c r="G19" i="18"/>
  <c r="D19" i="19" s="1"/>
  <c r="R19" i="18"/>
  <c r="U19" i="18" s="1"/>
  <c r="F19" i="18"/>
  <c r="C19" i="19" s="1"/>
  <c r="D19" i="18"/>
  <c r="O19" i="18"/>
  <c r="B19" i="19" s="1"/>
  <c r="AK48" i="18"/>
  <c r="AC48" i="18"/>
  <c r="U48" i="18"/>
  <c r="K48" i="18"/>
  <c r="AJ48" i="18"/>
  <c r="AB48" i="18"/>
  <c r="T48" i="18"/>
  <c r="J48" i="18"/>
  <c r="AA48" i="18"/>
  <c r="S48" i="18"/>
  <c r="I48" i="18"/>
  <c r="AP48" i="18"/>
  <c r="Z48" i="18"/>
  <c r="R48" i="18"/>
  <c r="H48" i="18"/>
  <c r="AD48" i="18"/>
  <c r="L48" i="18"/>
  <c r="AO48" i="18"/>
  <c r="Y48" i="18"/>
  <c r="G48" i="18"/>
  <c r="AN48" i="18"/>
  <c r="X48" i="18"/>
  <c r="F48" i="18"/>
  <c r="AM48" i="18"/>
  <c r="W48" i="18"/>
  <c r="E48" i="18"/>
  <c r="AL48" i="18"/>
  <c r="V48" i="18"/>
  <c r="D48" i="18"/>
  <c r="B48" i="19"/>
  <c r="AF48" i="18"/>
  <c r="H48" i="19"/>
  <c r="AE48" i="18"/>
  <c r="G48" i="19"/>
  <c r="O48" i="18"/>
  <c r="F48" i="19"/>
  <c r="N48" i="18"/>
  <c r="E48" i="19"/>
  <c r="M48" i="18"/>
  <c r="D48" i="19"/>
  <c r="C48" i="19"/>
  <c r="AO11" i="18"/>
  <c r="O5" i="13"/>
  <c r="N6" i="13"/>
  <c r="C26" i="18"/>
  <c r="N26" i="14"/>
  <c r="AI180" i="18"/>
  <c r="AH180" i="18"/>
  <c r="AG180" i="18"/>
  <c r="AG165" i="18"/>
  <c r="AH165" i="18"/>
  <c r="AI165" i="18"/>
  <c r="AI147" i="18"/>
  <c r="AG147" i="18"/>
  <c r="AH147" i="18"/>
  <c r="AI175" i="18"/>
  <c r="AH175" i="18"/>
  <c r="AG175" i="18"/>
  <c r="AI121" i="18"/>
  <c r="AG121" i="18"/>
  <c r="AH121" i="18"/>
  <c r="AI194" i="18"/>
  <c r="AH194" i="18"/>
  <c r="AG194" i="18"/>
  <c r="AI184" i="18"/>
  <c r="AH184" i="18"/>
  <c r="AG184" i="18"/>
  <c r="AI198" i="18"/>
  <c r="AH198" i="18"/>
  <c r="AG198" i="18"/>
  <c r="AI183" i="18"/>
  <c r="AG183" i="18"/>
  <c r="AH183" i="18"/>
  <c r="AG177" i="18"/>
  <c r="AI177" i="18"/>
  <c r="AH177" i="18"/>
  <c r="AI174" i="18"/>
  <c r="AH174" i="18"/>
  <c r="AG174" i="18"/>
  <c r="AI172" i="18"/>
  <c r="AG172" i="18"/>
  <c r="AH172" i="18"/>
  <c r="AG154" i="18"/>
  <c r="AI154" i="18"/>
  <c r="AH154" i="18"/>
  <c r="AI132" i="18"/>
  <c r="AG132" i="18"/>
  <c r="AH132" i="18"/>
  <c r="AI69" i="18"/>
  <c r="AH69" i="18"/>
  <c r="AG69" i="18"/>
  <c r="AH94" i="18"/>
  <c r="AG94" i="18"/>
  <c r="AI94" i="18"/>
  <c r="AI81" i="18"/>
  <c r="AH81" i="18"/>
  <c r="AG81" i="18"/>
  <c r="AG79" i="18"/>
  <c r="AI79" i="18"/>
  <c r="AH79" i="18"/>
  <c r="AI70" i="18"/>
  <c r="AH70" i="18"/>
  <c r="AG70" i="18"/>
  <c r="X15" i="18"/>
  <c r="H15" i="18"/>
  <c r="K15" i="18" s="1"/>
  <c r="E15" i="18"/>
  <c r="N15" i="18"/>
  <c r="T15" i="18"/>
  <c r="I15" i="18"/>
  <c r="J15" i="18" s="1"/>
  <c r="R15" i="18"/>
  <c r="U15" i="18" s="1"/>
  <c r="G15" i="18"/>
  <c r="F15" i="18"/>
  <c r="C15" i="19" s="1"/>
  <c r="D15" i="18"/>
  <c r="O15" i="18"/>
  <c r="B15" i="19" s="1"/>
  <c r="D15" i="19"/>
  <c r="V11" i="18"/>
  <c r="E13" i="19"/>
  <c r="D37" i="18"/>
  <c r="T37" i="18"/>
  <c r="K37" i="18"/>
  <c r="R37" i="18"/>
  <c r="U37" i="18" s="1"/>
  <c r="I37" i="18"/>
  <c r="H37" i="18"/>
  <c r="G37" i="18"/>
  <c r="F37" i="18"/>
  <c r="C37" i="19" s="1"/>
  <c r="E37" i="18"/>
  <c r="O37" i="18"/>
  <c r="B37" i="19" s="1"/>
  <c r="N37" i="18"/>
  <c r="AO37" i="18" s="1"/>
  <c r="F43" i="11"/>
  <c r="E44" i="11" s="1"/>
  <c r="AO8" i="18"/>
  <c r="V25" i="18"/>
  <c r="C36" i="18"/>
  <c r="H24" i="13"/>
  <c r="AH185" i="18"/>
  <c r="AG185" i="18"/>
  <c r="AI185" i="18"/>
  <c r="AI182" i="18"/>
  <c r="AH182" i="18"/>
  <c r="AG182" i="18"/>
  <c r="AI153" i="18"/>
  <c r="AG153" i="18"/>
  <c r="AH153" i="18"/>
  <c r="AI155" i="18"/>
  <c r="AH155" i="18"/>
  <c r="AG155" i="18"/>
  <c r="AI139" i="18"/>
  <c r="AG139" i="18"/>
  <c r="AH139" i="18"/>
  <c r="AI144" i="18"/>
  <c r="AG144" i="18"/>
  <c r="AH144" i="18"/>
  <c r="AI135" i="18"/>
  <c r="AH135" i="18"/>
  <c r="AG135" i="18"/>
  <c r="AI133" i="18"/>
  <c r="AG133" i="18"/>
  <c r="AH133" i="18"/>
  <c r="AI141" i="18"/>
  <c r="AG141" i="18"/>
  <c r="AH141" i="18"/>
  <c r="AH106" i="18"/>
  <c r="AG106" i="18"/>
  <c r="AI106" i="18"/>
  <c r="AG102" i="18"/>
  <c r="AI102" i="18"/>
  <c r="AH102" i="18"/>
  <c r="AI97" i="18"/>
  <c r="AH97" i="18"/>
  <c r="AG97" i="18"/>
  <c r="AI89" i="18"/>
  <c r="AH89" i="18"/>
  <c r="AG89" i="18"/>
  <c r="AI93" i="18"/>
  <c r="AH93" i="18"/>
  <c r="AG93" i="18"/>
  <c r="AH88" i="18"/>
  <c r="AG88" i="18"/>
  <c r="AI88" i="18"/>
  <c r="J53" i="18"/>
  <c r="U43" i="18"/>
  <c r="V43" i="18" s="1"/>
  <c r="K43" i="18"/>
  <c r="T43" i="18"/>
  <c r="J43" i="18"/>
  <c r="W43" i="18" s="1"/>
  <c r="S43" i="18"/>
  <c r="I43" i="18"/>
  <c r="R43" i="18"/>
  <c r="H43" i="18"/>
  <c r="O43" i="18"/>
  <c r="B43" i="19" s="1"/>
  <c r="N43" i="18"/>
  <c r="E43" i="19" s="1"/>
  <c r="G43" i="18"/>
  <c r="D43" i="19" s="1"/>
  <c r="F43" i="18"/>
  <c r="C43" i="19" s="1"/>
  <c r="E43" i="18"/>
  <c r="D43" i="18"/>
  <c r="X43" i="18"/>
  <c r="AH61" i="18"/>
  <c r="AI61" i="18"/>
  <c r="AG61" i="18"/>
  <c r="K42" i="18"/>
  <c r="T42" i="18"/>
  <c r="J42" i="18"/>
  <c r="F42" i="19" s="1"/>
  <c r="I42" i="18"/>
  <c r="R42" i="18"/>
  <c r="X42" i="18" s="1"/>
  <c r="H42" i="18"/>
  <c r="AO42" i="18"/>
  <c r="G42" i="18"/>
  <c r="F42" i="18"/>
  <c r="E42" i="18"/>
  <c r="C42" i="19"/>
  <c r="O42" i="18"/>
  <c r="B42" i="19" s="1"/>
  <c r="N42" i="18"/>
  <c r="E42" i="19" s="1"/>
  <c r="D42" i="18"/>
  <c r="AH64" i="18"/>
  <c r="AG64" i="18"/>
  <c r="AI64" i="18"/>
  <c r="T29" i="18"/>
  <c r="I29" i="18"/>
  <c r="J29" i="18" s="1"/>
  <c r="S29" i="18"/>
  <c r="H29" i="18"/>
  <c r="K29" i="18" s="1"/>
  <c r="R29" i="18"/>
  <c r="U29" i="18" s="1"/>
  <c r="V29" i="18" s="1"/>
  <c r="G29" i="18"/>
  <c r="X29" i="18"/>
  <c r="O29" i="18"/>
  <c r="N29" i="18"/>
  <c r="D29" i="19"/>
  <c r="F29" i="18"/>
  <c r="C29" i="19"/>
  <c r="E29" i="18"/>
  <c r="B29" i="19"/>
  <c r="H23" i="11"/>
  <c r="F23" i="11"/>
  <c r="F16" i="11" s="1"/>
  <c r="J13" i="18"/>
  <c r="Z13" i="18" s="1"/>
  <c r="E47" i="19"/>
  <c r="H26" i="11"/>
  <c r="J24" i="18" l="1"/>
  <c r="AK24" i="18" s="1"/>
  <c r="X24" i="18"/>
  <c r="X23" i="18"/>
  <c r="AG22" i="18"/>
  <c r="AI22" i="18"/>
  <c r="V10" i="18"/>
  <c r="AM49" i="18"/>
  <c r="AF11" i="18"/>
  <c r="AI11" i="18" s="1"/>
  <c r="AE11" i="18"/>
  <c r="G11" i="19" s="1"/>
  <c r="AP11" i="18"/>
  <c r="M11" i="18"/>
  <c r="AL49" i="18"/>
  <c r="V15" i="18"/>
  <c r="AM39" i="18"/>
  <c r="AK51" i="18"/>
  <c r="AF8" i="18"/>
  <c r="AI8" i="18" s="1"/>
  <c r="AM44" i="18"/>
  <c r="AD40" i="18"/>
  <c r="M40" i="18" s="1"/>
  <c r="M8" i="18"/>
  <c r="AP8" i="18"/>
  <c r="L8" i="18"/>
  <c r="AP25" i="18"/>
  <c r="AF25" i="18"/>
  <c r="AG25" i="18" s="1"/>
  <c r="Z43" i="18"/>
  <c r="AM43" i="18" s="1"/>
  <c r="V19" i="18"/>
  <c r="F44" i="19"/>
  <c r="Z51" i="18"/>
  <c r="AM51" i="18" s="1"/>
  <c r="AK49" i="18"/>
  <c r="V28" i="18"/>
  <c r="AD15" i="18"/>
  <c r="L15" i="18" s="1"/>
  <c r="V45" i="18"/>
  <c r="AK15" i="18"/>
  <c r="Z45" i="18"/>
  <c r="F45" i="19"/>
  <c r="W45" i="18"/>
  <c r="F29" i="19"/>
  <c r="Z29" i="18"/>
  <c r="AM29" i="18" s="1"/>
  <c r="AK29" i="18"/>
  <c r="W29" i="18"/>
  <c r="V37" i="18"/>
  <c r="AH55" i="18"/>
  <c r="AI55" i="18"/>
  <c r="AG55" i="18"/>
  <c r="H55" i="19"/>
  <c r="F32" i="19"/>
  <c r="AK32" i="18"/>
  <c r="Z32" i="18"/>
  <c r="AM32" i="18" s="1"/>
  <c r="W32" i="18"/>
  <c r="AL32" i="18" s="1"/>
  <c r="AI32" i="18"/>
  <c r="AH32" i="18"/>
  <c r="AG32" i="18"/>
  <c r="H32" i="19"/>
  <c r="N18" i="14"/>
  <c r="L20" i="14"/>
  <c r="C18" i="18"/>
  <c r="W41" i="18"/>
  <c r="F41" i="19"/>
  <c r="AK41" i="18"/>
  <c r="AD41" i="18"/>
  <c r="Z41" i="18"/>
  <c r="AM41" i="18" s="1"/>
  <c r="AF44" i="18"/>
  <c r="AK16" i="18"/>
  <c r="F16" i="19"/>
  <c r="W16" i="18"/>
  <c r="AL16" i="18" s="1"/>
  <c r="Z16" i="18"/>
  <c r="AM16" i="18" s="1"/>
  <c r="AD16" i="18"/>
  <c r="AF16" i="18" s="1"/>
  <c r="F24" i="19"/>
  <c r="F54" i="19"/>
  <c r="W54" i="18"/>
  <c r="Z54" i="18"/>
  <c r="AI47" i="18"/>
  <c r="AH47" i="18"/>
  <c r="AG47" i="18"/>
  <c r="S16" i="18"/>
  <c r="D42" i="19"/>
  <c r="Z42" i="18"/>
  <c r="AM42" i="18" s="1"/>
  <c r="F43" i="19"/>
  <c r="AK43" i="18"/>
  <c r="AL36" i="18"/>
  <c r="AD36" i="18"/>
  <c r="V36" i="18"/>
  <c r="N36" i="18"/>
  <c r="F36" i="18"/>
  <c r="AK36" i="18"/>
  <c r="AC36" i="18"/>
  <c r="U36" i="18"/>
  <c r="M36" i="18"/>
  <c r="E36" i="18"/>
  <c r="AJ36" i="18"/>
  <c r="AB36" i="18"/>
  <c r="T36" i="18"/>
  <c r="L36" i="18"/>
  <c r="D36" i="18"/>
  <c r="AA36" i="18"/>
  <c r="S36" i="18"/>
  <c r="K36" i="18"/>
  <c r="AN36" i="18"/>
  <c r="X36" i="18"/>
  <c r="H36" i="18"/>
  <c r="AM36" i="18"/>
  <c r="W36" i="18"/>
  <c r="G36" i="18"/>
  <c r="R36" i="18"/>
  <c r="AF36" i="18"/>
  <c r="AE36" i="18"/>
  <c r="F36" i="19"/>
  <c r="Z36" i="18"/>
  <c r="E36" i="19"/>
  <c r="Y36" i="18"/>
  <c r="D36" i="19"/>
  <c r="C36" i="19"/>
  <c r="O36" i="18"/>
  <c r="B36" i="19"/>
  <c r="J36" i="18"/>
  <c r="AP36" i="18"/>
  <c r="I36" i="18"/>
  <c r="H36" i="19"/>
  <c r="AO36" i="18"/>
  <c r="G36" i="19"/>
  <c r="F15" i="19"/>
  <c r="W15" i="18"/>
  <c r="X19" i="18"/>
  <c r="F40" i="19"/>
  <c r="AO40" i="18"/>
  <c r="U40" i="18"/>
  <c r="V40" i="18" s="1"/>
  <c r="AD31" i="18"/>
  <c r="F31" i="19"/>
  <c r="W31" i="18"/>
  <c r="AL31" i="18" s="1"/>
  <c r="AK31" i="18"/>
  <c r="Z31" i="18"/>
  <c r="AM31" i="18" s="1"/>
  <c r="AH7" i="18"/>
  <c r="AG7" i="18"/>
  <c r="AI7" i="18"/>
  <c r="J23" i="18"/>
  <c r="AD23" i="18" s="1"/>
  <c r="U23" i="18"/>
  <c r="V23" i="18" s="1"/>
  <c r="X38" i="18"/>
  <c r="J38" i="18"/>
  <c r="Z38" i="18" s="1"/>
  <c r="AO55" i="18"/>
  <c r="AD44" i="18"/>
  <c r="AO30" i="18"/>
  <c r="AO12" i="18"/>
  <c r="S12" i="18"/>
  <c r="V12" i="18"/>
  <c r="B17" i="18"/>
  <c r="C17" i="18" s="1"/>
  <c r="N17" i="14"/>
  <c r="X41" i="18"/>
  <c r="E46" i="19"/>
  <c r="X46" i="18"/>
  <c r="D10" i="19"/>
  <c r="AD50" i="18"/>
  <c r="J50" i="18"/>
  <c r="Z50" i="18" s="1"/>
  <c r="F39" i="19"/>
  <c r="AK39" i="18"/>
  <c r="AL11" i="18"/>
  <c r="AI54" i="18"/>
  <c r="AH54" i="18"/>
  <c r="AG54" i="18"/>
  <c r="S40" i="18"/>
  <c r="W42" i="18"/>
  <c r="U42" i="18"/>
  <c r="V42" i="18" s="1"/>
  <c r="AO43" i="18"/>
  <c r="D37" i="19"/>
  <c r="J37" i="18"/>
  <c r="AD37" i="18" s="1"/>
  <c r="AP37" i="18" s="1"/>
  <c r="Z15" i="18"/>
  <c r="AM15" i="18" s="1"/>
  <c r="S15" i="18"/>
  <c r="W40" i="18"/>
  <c r="AK40" i="18"/>
  <c r="AG27" i="18"/>
  <c r="AI27" i="18"/>
  <c r="AH27" i="18"/>
  <c r="AO28" i="18"/>
  <c r="S28" i="18"/>
  <c r="W44" i="18"/>
  <c r="AL44" i="18" s="1"/>
  <c r="AK44" i="18"/>
  <c r="R5" i="14"/>
  <c r="Q6" i="14"/>
  <c r="J12" i="18"/>
  <c r="Z12" i="18" s="1"/>
  <c r="AE32" i="18"/>
  <c r="G32" i="19" s="1"/>
  <c r="AP32" i="18"/>
  <c r="H54" i="19"/>
  <c r="V54" i="18"/>
  <c r="AP54" i="18"/>
  <c r="K54" i="18"/>
  <c r="AK54" i="18" s="1"/>
  <c r="C33" i="18"/>
  <c r="L35" i="14"/>
  <c r="N33" i="14"/>
  <c r="L21" i="14"/>
  <c r="V41" i="18"/>
  <c r="Z24" i="18"/>
  <c r="AM24" i="18" s="1"/>
  <c r="AO24" i="18"/>
  <c r="J46" i="18"/>
  <c r="Z46" i="18" s="1"/>
  <c r="AL8" i="18"/>
  <c r="X45" i="18"/>
  <c r="AP45" i="18"/>
  <c r="K45" i="18"/>
  <c r="AK45" i="18" s="1"/>
  <c r="AO39" i="18"/>
  <c r="J55" i="18"/>
  <c r="Z55" i="18" s="1"/>
  <c r="AI52" i="18"/>
  <c r="AH52" i="18"/>
  <c r="AG52" i="18"/>
  <c r="F53" i="19"/>
  <c r="W53" i="18"/>
  <c r="AK53" i="18"/>
  <c r="Z53" i="18"/>
  <c r="AM53" i="18" s="1"/>
  <c r="X30" i="18"/>
  <c r="U24" i="18"/>
  <c r="V24" i="18" s="1"/>
  <c r="E29" i="19"/>
  <c r="AO29" i="18"/>
  <c r="S42" i="18"/>
  <c r="AL43" i="18"/>
  <c r="F44" i="11"/>
  <c r="F41" i="11" s="1"/>
  <c r="H44" i="11"/>
  <c r="S37" i="18"/>
  <c r="AM40" i="18"/>
  <c r="AD13" i="18"/>
  <c r="V38" i="18"/>
  <c r="J28" i="18"/>
  <c r="K55" i="18"/>
  <c r="J30" i="18"/>
  <c r="X32" i="18"/>
  <c r="F29" i="11"/>
  <c r="E30" i="11" s="1"/>
  <c r="C34" i="18"/>
  <c r="N34" i="14"/>
  <c r="R14" i="18"/>
  <c r="U14" i="18" s="1"/>
  <c r="AE14" i="18"/>
  <c r="G14" i="19" s="1"/>
  <c r="O14" i="18"/>
  <c r="B14" i="19" s="1"/>
  <c r="G14" i="18"/>
  <c r="E14" i="18"/>
  <c r="N14" i="18"/>
  <c r="AF14" i="18" s="1"/>
  <c r="D14" i="18"/>
  <c r="L14" i="18"/>
  <c r="T14" i="18"/>
  <c r="I14" i="18"/>
  <c r="J14" i="18" s="1"/>
  <c r="E14" i="19"/>
  <c r="AD14" i="18"/>
  <c r="M14" i="18" s="1"/>
  <c r="H14" i="18"/>
  <c r="K14" i="18" s="1"/>
  <c r="D14" i="19"/>
  <c r="F14" i="18"/>
  <c r="C14" i="19" s="1"/>
  <c r="AD24" i="18"/>
  <c r="AD45" i="18"/>
  <c r="L51" i="18"/>
  <c r="W51" i="18"/>
  <c r="AP51" i="18"/>
  <c r="W39" i="18"/>
  <c r="X37" i="18"/>
  <c r="AP55" i="18"/>
  <c r="AD42" i="18"/>
  <c r="AO15" i="18"/>
  <c r="AI48" i="18"/>
  <c r="AH48" i="18"/>
  <c r="AG48" i="18"/>
  <c r="AK42" i="18"/>
  <c r="AD43" i="18"/>
  <c r="H43" i="11"/>
  <c r="E37" i="19"/>
  <c r="E15" i="19"/>
  <c r="R26" i="18"/>
  <c r="S26" i="18" s="1"/>
  <c r="O26" i="18"/>
  <c r="B26" i="19" s="1"/>
  <c r="G26" i="18"/>
  <c r="H26" i="18"/>
  <c r="K26" i="18" s="1"/>
  <c r="AD26" i="18"/>
  <c r="AE26" i="18" s="1"/>
  <c r="G26" i="19" s="1"/>
  <c r="C26" i="19"/>
  <c r="N26" i="18"/>
  <c r="AO26" i="18" s="1"/>
  <c r="I26" i="18"/>
  <c r="F26" i="18"/>
  <c r="T26" i="18"/>
  <c r="E26" i="18"/>
  <c r="E26" i="19"/>
  <c r="J19" i="18"/>
  <c r="E38" i="19"/>
  <c r="AO38" i="18"/>
  <c r="D55" i="19"/>
  <c r="S55" i="18"/>
  <c r="AO44" i="18"/>
  <c r="H28" i="11"/>
  <c r="E41" i="19"/>
  <c r="E24" i="19"/>
  <c r="AO46" i="18"/>
  <c r="U51" i="18"/>
  <c r="V51" i="18" s="1"/>
  <c r="AF50" i="18"/>
  <c r="K50" i="18"/>
  <c r="AD39" i="18"/>
  <c r="AF39" i="18" s="1"/>
  <c r="F13" i="19"/>
  <c r="W13" i="18"/>
  <c r="AL13" i="18" s="1"/>
  <c r="AK13" i="18"/>
  <c r="AM13" i="18"/>
  <c r="V30" i="18"/>
  <c r="F31" i="13"/>
  <c r="E32" i="13" s="1"/>
  <c r="H31" i="13"/>
  <c r="V46" i="18"/>
  <c r="AE25" i="18"/>
  <c r="G25" i="19" s="1"/>
  <c r="M25" i="18"/>
  <c r="L25" i="18"/>
  <c r="J10" i="18"/>
  <c r="AD10" i="18" s="1"/>
  <c r="AI51" i="18"/>
  <c r="AH51" i="18"/>
  <c r="AG51" i="18"/>
  <c r="S51" i="18"/>
  <c r="AP43" i="18"/>
  <c r="AP47" i="18"/>
  <c r="H47" i="19" s="1"/>
  <c r="L47" i="18"/>
  <c r="AE47" i="18"/>
  <c r="G47" i="19" s="1"/>
  <c r="M47" i="18"/>
  <c r="AD29" i="18"/>
  <c r="AP29" i="18" s="1"/>
  <c r="P5" i="13"/>
  <c r="O6" i="13"/>
  <c r="M5" i="11"/>
  <c r="L6" i="11"/>
  <c r="D23" i="19"/>
  <c r="H30" i="13"/>
  <c r="H28" i="13"/>
  <c r="F28" i="13"/>
  <c r="AK25" i="18"/>
  <c r="W25" i="18"/>
  <c r="AL25" i="18" s="1"/>
  <c r="F25" i="19"/>
  <c r="E45" i="19"/>
  <c r="F51" i="19"/>
  <c r="Z25" i="18"/>
  <c r="AM25" i="18" s="1"/>
  <c r="U26" i="18" l="1"/>
  <c r="W24" i="18"/>
  <c r="AL24" i="18" s="1"/>
  <c r="J26" i="18"/>
  <c r="AP26" i="18"/>
  <c r="AF26" i="18"/>
  <c r="AH26" i="18" s="1"/>
  <c r="AF15" i="18"/>
  <c r="AH15" i="18" s="1"/>
  <c r="AH8" i="18"/>
  <c r="AG11" i="18"/>
  <c r="AH11" i="18"/>
  <c r="H11" i="19"/>
  <c r="AL54" i="18"/>
  <c r="AG8" i="18"/>
  <c r="AD12" i="18"/>
  <c r="AF12" i="18" s="1"/>
  <c r="AG12" i="18" s="1"/>
  <c r="M15" i="18"/>
  <c r="AL15" i="18"/>
  <c r="AI25" i="18"/>
  <c r="H8" i="19"/>
  <c r="AL51" i="18"/>
  <c r="H25" i="19"/>
  <c r="AH25" i="18"/>
  <c r="AP15" i="18"/>
  <c r="AL45" i="18"/>
  <c r="AE40" i="18"/>
  <c r="G40" i="19" s="1"/>
  <c r="L40" i="18"/>
  <c r="AP39" i="18"/>
  <c r="H39" i="19" s="1"/>
  <c r="AE15" i="18"/>
  <c r="G15" i="19" s="1"/>
  <c r="AF40" i="18"/>
  <c r="AG40" i="18" s="1"/>
  <c r="AP40" i="18"/>
  <c r="AM45" i="18"/>
  <c r="AD46" i="18"/>
  <c r="AP46" i="18" s="1"/>
  <c r="L10" i="18"/>
  <c r="M10" i="18"/>
  <c r="AE10" i="18"/>
  <c r="G10" i="19" s="1"/>
  <c r="AF10" i="18"/>
  <c r="AP10" i="18"/>
  <c r="AK26" i="18"/>
  <c r="F26" i="19"/>
  <c r="W26" i="18"/>
  <c r="AK14" i="18"/>
  <c r="F14" i="19"/>
  <c r="W14" i="18"/>
  <c r="AI16" i="18"/>
  <c r="AH16" i="18"/>
  <c r="AG16" i="18"/>
  <c r="AI39" i="18"/>
  <c r="AH39" i="18"/>
  <c r="AG39" i="18"/>
  <c r="AH14" i="18"/>
  <c r="AI14" i="18"/>
  <c r="AG14" i="18"/>
  <c r="H14" i="19"/>
  <c r="S14" i="18"/>
  <c r="X14" i="18"/>
  <c r="Z14" i="18"/>
  <c r="AM14" i="18" s="1"/>
  <c r="AK30" i="18"/>
  <c r="AD30" i="18"/>
  <c r="W30" i="18"/>
  <c r="AL30" i="18" s="1"/>
  <c r="F30" i="19"/>
  <c r="R6" i="14"/>
  <c r="S5" i="14"/>
  <c r="AE50" i="18"/>
  <c r="G50" i="19" s="1"/>
  <c r="M50" i="18"/>
  <c r="L50" i="18"/>
  <c r="M44" i="18"/>
  <c r="L44" i="18"/>
  <c r="AE44" i="18"/>
  <c r="G44" i="19" s="1"/>
  <c r="AP44" i="18"/>
  <c r="AM54" i="18"/>
  <c r="AL39" i="18"/>
  <c r="AK19" i="18"/>
  <c r="AD19" i="18"/>
  <c r="W19" i="18"/>
  <c r="AL19" i="18" s="1"/>
  <c r="F19" i="19"/>
  <c r="L26" i="18"/>
  <c r="M6" i="11"/>
  <c r="N5" i="11"/>
  <c r="H32" i="13"/>
  <c r="F32" i="13"/>
  <c r="E33" i="13" s="1"/>
  <c r="Z19" i="18"/>
  <c r="AM19" i="18" s="1"/>
  <c r="M26" i="18"/>
  <c r="D26" i="19"/>
  <c r="V26" i="18"/>
  <c r="Z26" i="18"/>
  <c r="AM26" i="18" s="1"/>
  <c r="AL53" i="18"/>
  <c r="W37" i="18"/>
  <c r="AL37" i="18" s="1"/>
  <c r="F37" i="19"/>
  <c r="AK37" i="18"/>
  <c r="M31" i="18"/>
  <c r="AF31" i="18"/>
  <c r="L31" i="18"/>
  <c r="AP31" i="18"/>
  <c r="AE31" i="18"/>
  <c r="G31" i="19" s="1"/>
  <c r="AD38" i="18"/>
  <c r="AL29" i="18"/>
  <c r="AE37" i="18"/>
  <c r="G37" i="19" s="1"/>
  <c r="M37" i="18"/>
  <c r="AF37" i="18"/>
  <c r="L37" i="18"/>
  <c r="Q5" i="13"/>
  <c r="P6" i="13"/>
  <c r="P4" i="13"/>
  <c r="X26" i="18"/>
  <c r="AG26" i="18"/>
  <c r="AI26" i="18"/>
  <c r="V14" i="18"/>
  <c r="R34" i="18"/>
  <c r="S34" i="18" s="1"/>
  <c r="AO34" i="18"/>
  <c r="H34" i="18"/>
  <c r="K34" i="18" s="1"/>
  <c r="O34" i="18"/>
  <c r="B34" i="19" s="1"/>
  <c r="G34" i="18"/>
  <c r="N34" i="18"/>
  <c r="AP34" i="18" s="1"/>
  <c r="U34" i="18"/>
  <c r="I34" i="18"/>
  <c r="J34" i="18" s="1"/>
  <c r="D34" i="19"/>
  <c r="C34" i="19"/>
  <c r="F34" i="18"/>
  <c r="E34" i="18"/>
  <c r="AD34" i="18"/>
  <c r="M34" i="18" s="1"/>
  <c r="T34" i="18"/>
  <c r="E34" i="19"/>
  <c r="AK28" i="18"/>
  <c r="F28" i="19"/>
  <c r="AD28" i="18"/>
  <c r="W28" i="18"/>
  <c r="AL28" i="18" s="1"/>
  <c r="L41" i="18"/>
  <c r="AE41" i="18"/>
  <c r="G41" i="19" s="1"/>
  <c r="AP41" i="18"/>
  <c r="M41" i="18"/>
  <c r="AF41" i="18"/>
  <c r="R18" i="18"/>
  <c r="S18" i="18" s="1"/>
  <c r="AE18" i="18"/>
  <c r="G18" i="19" s="1"/>
  <c r="O18" i="18"/>
  <c r="G18" i="18"/>
  <c r="M18" i="18"/>
  <c r="AD18" i="18"/>
  <c r="L18" i="18" s="1"/>
  <c r="T18" i="18"/>
  <c r="I18" i="18"/>
  <c r="J18" i="18" s="1"/>
  <c r="D18" i="19"/>
  <c r="H18" i="18"/>
  <c r="X18" i="18" s="1"/>
  <c r="F18" i="18"/>
  <c r="C18" i="19" s="1"/>
  <c r="B18" i="19"/>
  <c r="E18" i="18"/>
  <c r="AF18" i="18"/>
  <c r="H18" i="19" s="1"/>
  <c r="D18" i="18"/>
  <c r="N18" i="18"/>
  <c r="AO18" i="18" s="1"/>
  <c r="E18" i="19"/>
  <c r="AP50" i="18"/>
  <c r="Z30" i="18"/>
  <c r="AM30" i="18" s="1"/>
  <c r="AL40" i="18"/>
  <c r="Z37" i="18"/>
  <c r="AM37" i="18" s="1"/>
  <c r="AI36" i="18"/>
  <c r="AH36" i="18"/>
  <c r="AG36" i="18"/>
  <c r="AL41" i="18"/>
  <c r="K21" i="14"/>
  <c r="N20" i="14"/>
  <c r="C20" i="18"/>
  <c r="AF23" i="18"/>
  <c r="AP23" i="18"/>
  <c r="M23" i="18"/>
  <c r="L23" i="18"/>
  <c r="AE23" i="18"/>
  <c r="G23" i="19" s="1"/>
  <c r="AE42" i="18"/>
  <c r="G42" i="19" s="1"/>
  <c r="AF42" i="18"/>
  <c r="M42" i="18"/>
  <c r="AP42" i="18"/>
  <c r="L42" i="18"/>
  <c r="H30" i="11"/>
  <c r="F30" i="11"/>
  <c r="E31" i="11" s="1"/>
  <c r="L29" i="18"/>
  <c r="M29" i="18"/>
  <c r="AE29" i="18"/>
  <c r="G29" i="19" s="1"/>
  <c r="L45" i="18"/>
  <c r="AE45" i="18"/>
  <c r="G45" i="19" s="1"/>
  <c r="M45" i="18"/>
  <c r="AF45" i="18"/>
  <c r="AO14" i="18"/>
  <c r="AP14" i="18" s="1"/>
  <c r="H29" i="11"/>
  <c r="W23" i="18"/>
  <c r="AL23" i="18" s="1"/>
  <c r="F23" i="19"/>
  <c r="AK23" i="18"/>
  <c r="Z23" i="18"/>
  <c r="AM23" i="18" s="1"/>
  <c r="T17" i="18"/>
  <c r="D17" i="18"/>
  <c r="AO17" i="18"/>
  <c r="I17" i="18"/>
  <c r="H17" i="18"/>
  <c r="X17" i="18" s="1"/>
  <c r="C17" i="19"/>
  <c r="G17" i="18"/>
  <c r="D17" i="19" s="1"/>
  <c r="B17" i="19"/>
  <c r="F17" i="18"/>
  <c r="R17" i="18"/>
  <c r="U17" i="18" s="1"/>
  <c r="V17" i="18" s="1"/>
  <c r="E17" i="18"/>
  <c r="O17" i="18"/>
  <c r="N17" i="18"/>
  <c r="AD17" i="18" s="1"/>
  <c r="E17" i="19"/>
  <c r="AM38" i="18"/>
  <c r="F38" i="19"/>
  <c r="W38" i="18"/>
  <c r="AL38" i="18" s="1"/>
  <c r="AK38" i="18"/>
  <c r="M16" i="18"/>
  <c r="L16" i="18"/>
  <c r="AE16" i="18"/>
  <c r="G16" i="19" s="1"/>
  <c r="AI44" i="18"/>
  <c r="AH44" i="18"/>
  <c r="AG44" i="18"/>
  <c r="H44" i="19"/>
  <c r="AE39" i="18"/>
  <c r="G39" i="19" s="1"/>
  <c r="M39" i="18"/>
  <c r="L39" i="18"/>
  <c r="AL42" i="18"/>
  <c r="Z28" i="18"/>
  <c r="AM28" i="18" s="1"/>
  <c r="AI50" i="18"/>
  <c r="AH50" i="18"/>
  <c r="AG50" i="18"/>
  <c r="H50" i="19"/>
  <c r="AP16" i="18"/>
  <c r="H16" i="19" s="1"/>
  <c r="AE43" i="18"/>
  <c r="G43" i="19" s="1"/>
  <c r="M43" i="18"/>
  <c r="L43" i="18"/>
  <c r="AP13" i="18"/>
  <c r="AE13" i="18"/>
  <c r="G13" i="19" s="1"/>
  <c r="L13" i="18"/>
  <c r="M13" i="18"/>
  <c r="AF13" i="18"/>
  <c r="AM46" i="18"/>
  <c r="AK46" i="18"/>
  <c r="W46" i="18"/>
  <c r="AL46" i="18" s="1"/>
  <c r="F46" i="19"/>
  <c r="C35" i="18"/>
  <c r="N35" i="14"/>
  <c r="W12" i="18"/>
  <c r="AL12" i="18" s="1"/>
  <c r="AK12" i="18"/>
  <c r="AM12" i="18"/>
  <c r="F12" i="19"/>
  <c r="AF29" i="18"/>
  <c r="F10" i="19"/>
  <c r="W10" i="18"/>
  <c r="Z10" i="18"/>
  <c r="AM10" i="18" s="1"/>
  <c r="AK10" i="18"/>
  <c r="AE24" i="18"/>
  <c r="G24" i="19" s="1"/>
  <c r="L24" i="18"/>
  <c r="M24" i="18"/>
  <c r="AP24" i="18"/>
  <c r="AK55" i="18"/>
  <c r="F55" i="19"/>
  <c r="W55" i="18"/>
  <c r="AM55" i="18"/>
  <c r="T33" i="18"/>
  <c r="R33" i="18"/>
  <c r="I33" i="18"/>
  <c r="J33" i="18" s="1"/>
  <c r="U33" i="18"/>
  <c r="G33" i="18"/>
  <c r="S33" i="18"/>
  <c r="F33" i="18"/>
  <c r="C33" i="19" s="1"/>
  <c r="E33" i="18"/>
  <c r="O33" i="18"/>
  <c r="B33" i="19" s="1"/>
  <c r="N33" i="18"/>
  <c r="H33" i="18"/>
  <c r="K33" i="18" s="1"/>
  <c r="X33" i="18"/>
  <c r="W50" i="18"/>
  <c r="AM50" i="18"/>
  <c r="F50" i="19"/>
  <c r="AK50" i="18"/>
  <c r="AF43" i="18"/>
  <c r="AF24" i="18"/>
  <c r="AI15" i="18" l="1"/>
  <c r="AG15" i="18"/>
  <c r="H15" i="19"/>
  <c r="AH12" i="18"/>
  <c r="H26" i="19"/>
  <c r="AP12" i="18"/>
  <c r="H12" i="19" s="1"/>
  <c r="AI12" i="18"/>
  <c r="M12" i="18"/>
  <c r="L12" i="18"/>
  <c r="AE12" i="18"/>
  <c r="G12" i="19" s="1"/>
  <c r="H40" i="19"/>
  <c r="AL26" i="18"/>
  <c r="AF46" i="18"/>
  <c r="AI46" i="18" s="1"/>
  <c r="M46" i="18"/>
  <c r="AI40" i="18"/>
  <c r="AH40" i="18"/>
  <c r="AE46" i="18"/>
  <c r="G46" i="19" s="1"/>
  <c r="L46" i="18"/>
  <c r="F33" i="19"/>
  <c r="Z33" i="18"/>
  <c r="AM33" i="18" s="1"/>
  <c r="W33" i="18"/>
  <c r="AK33" i="18"/>
  <c r="M17" i="18"/>
  <c r="AP17" i="18"/>
  <c r="AF17" i="18"/>
  <c r="L17" i="18"/>
  <c r="AE17" i="18"/>
  <c r="G17" i="19" s="1"/>
  <c r="F18" i="19"/>
  <c r="W18" i="18"/>
  <c r="Z18" i="18"/>
  <c r="W34" i="18"/>
  <c r="F34" i="19"/>
  <c r="AK34" i="18"/>
  <c r="Z34" i="18"/>
  <c r="AM34" i="18" s="1"/>
  <c r="AD33" i="18"/>
  <c r="AI42" i="18"/>
  <c r="AH42" i="18"/>
  <c r="AG42" i="18"/>
  <c r="H42" i="19"/>
  <c r="K18" i="18"/>
  <c r="AK18" i="18" s="1"/>
  <c r="V33" i="18"/>
  <c r="AO33" i="18"/>
  <c r="S17" i="18"/>
  <c r="U18" i="18"/>
  <c r="V18" i="18" s="1"/>
  <c r="AP18" i="18"/>
  <c r="X34" i="18"/>
  <c r="AG31" i="18"/>
  <c r="AI31" i="18"/>
  <c r="AH31" i="18"/>
  <c r="H31" i="19"/>
  <c r="F33" i="13"/>
  <c r="E34" i="13" s="1"/>
  <c r="D33" i="19"/>
  <c r="AI41" i="18"/>
  <c r="AH41" i="18"/>
  <c r="AG41" i="18"/>
  <c r="H41" i="19"/>
  <c r="AF34" i="18"/>
  <c r="L30" i="18"/>
  <c r="AF30" i="18"/>
  <c r="M30" i="18"/>
  <c r="AE30" i="18"/>
  <c r="G30" i="19" s="1"/>
  <c r="AP30" i="18"/>
  <c r="AL14" i="18"/>
  <c r="AI24" i="18"/>
  <c r="AH24" i="18"/>
  <c r="AG24" i="18"/>
  <c r="H24" i="19"/>
  <c r="AI43" i="18"/>
  <c r="AH43" i="18"/>
  <c r="AG43" i="18"/>
  <c r="H43" i="19"/>
  <c r="AL10" i="18"/>
  <c r="AI45" i="18"/>
  <c r="AH45" i="18"/>
  <c r="AG45" i="18"/>
  <c r="H45" i="19"/>
  <c r="F31" i="11"/>
  <c r="E32" i="11" s="1"/>
  <c r="H31" i="11"/>
  <c r="AD20" i="18"/>
  <c r="AE20" i="18" s="1"/>
  <c r="G20" i="19" s="1"/>
  <c r="N20" i="18"/>
  <c r="F20" i="18"/>
  <c r="M20" i="18"/>
  <c r="AO20" i="18"/>
  <c r="AP20" i="18" s="1"/>
  <c r="T20" i="18"/>
  <c r="I20" i="18"/>
  <c r="H20" i="18"/>
  <c r="K20" i="18" s="1"/>
  <c r="E20" i="19"/>
  <c r="G20" i="18"/>
  <c r="D20" i="19"/>
  <c r="R20" i="18"/>
  <c r="S20" i="18" s="1"/>
  <c r="E20" i="18"/>
  <c r="C20" i="19"/>
  <c r="AF20" i="18"/>
  <c r="D20" i="18"/>
  <c r="B20" i="19"/>
  <c r="O20" i="18"/>
  <c r="H20" i="19"/>
  <c r="V34" i="18"/>
  <c r="Q6" i="13"/>
  <c r="R5" i="13"/>
  <c r="O5" i="11"/>
  <c r="N6" i="11"/>
  <c r="AE19" i="18"/>
  <c r="G19" i="19" s="1"/>
  <c r="M19" i="18"/>
  <c r="AF19" i="18"/>
  <c r="L19" i="18"/>
  <c r="AP19" i="18"/>
  <c r="T5" i="14"/>
  <c r="S6" i="14"/>
  <c r="AI10" i="18"/>
  <c r="AH10" i="18"/>
  <c r="AG10" i="18"/>
  <c r="H10" i="19"/>
  <c r="AL50" i="18"/>
  <c r="AP33" i="18"/>
  <c r="L34" i="18"/>
  <c r="L38" i="18"/>
  <c r="M38" i="18"/>
  <c r="AE38" i="18"/>
  <c r="G38" i="19" s="1"/>
  <c r="AF38" i="18"/>
  <c r="AP38" i="18"/>
  <c r="AH18" i="18"/>
  <c r="AI18" i="18"/>
  <c r="AG18" i="18"/>
  <c r="E33" i="19"/>
  <c r="AG13" i="18"/>
  <c r="AI13" i="18"/>
  <c r="AH13" i="18"/>
  <c r="H13" i="19"/>
  <c r="J17" i="18"/>
  <c r="B21" i="18"/>
  <c r="C21" i="18" s="1"/>
  <c r="N21" i="14"/>
  <c r="D31" i="18"/>
  <c r="D32" i="18"/>
  <c r="D30" i="18"/>
  <c r="D29" i="18"/>
  <c r="D28" i="18"/>
  <c r="D24" i="18"/>
  <c r="D23" i="18"/>
  <c r="D25" i="18"/>
  <c r="D26" i="18"/>
  <c r="L9" i="14"/>
  <c r="C9" i="18" s="1"/>
  <c r="D33" i="18"/>
  <c r="AL55" i="18"/>
  <c r="H35" i="18"/>
  <c r="K35" i="18" s="1"/>
  <c r="O35" i="18"/>
  <c r="B35" i="19" s="1"/>
  <c r="G35" i="18"/>
  <c r="N35" i="18"/>
  <c r="F35" i="18"/>
  <c r="C35" i="19" s="1"/>
  <c r="U35" i="18"/>
  <c r="E35" i="18"/>
  <c r="R35" i="18"/>
  <c r="I35" i="18"/>
  <c r="E35" i="19"/>
  <c r="D35" i="18"/>
  <c r="D35" i="19"/>
  <c r="T35" i="18"/>
  <c r="S35" i="18"/>
  <c r="J35" i="18"/>
  <c r="Z35" i="18" s="1"/>
  <c r="K17" i="18"/>
  <c r="AH23" i="18"/>
  <c r="AI23" i="18"/>
  <c r="AG23" i="18"/>
  <c r="H23" i="19"/>
  <c r="AF28" i="18"/>
  <c r="M28" i="18"/>
  <c r="AE28" i="18"/>
  <c r="G28" i="19" s="1"/>
  <c r="L28" i="18"/>
  <c r="AP28" i="18"/>
  <c r="AE34" i="18"/>
  <c r="G34" i="19" s="1"/>
  <c r="AI37" i="18"/>
  <c r="AH37" i="18"/>
  <c r="AG37" i="18"/>
  <c r="H37" i="19"/>
  <c r="AG29" i="18"/>
  <c r="AH29" i="18"/>
  <c r="AI29" i="18"/>
  <c r="H29" i="19"/>
  <c r="D34" i="18"/>
  <c r="AG46" i="18" l="1"/>
  <c r="H46" i="19"/>
  <c r="AH46" i="18"/>
  <c r="AL18" i="18"/>
  <c r="AM18" i="18"/>
  <c r="AK35" i="18"/>
  <c r="AL33" i="18"/>
  <c r="V35" i="18"/>
  <c r="W35" i="18"/>
  <c r="AF35" i="18"/>
  <c r="AI38" i="18"/>
  <c r="AH38" i="18"/>
  <c r="AG38" i="18"/>
  <c r="H38" i="19"/>
  <c r="AH34" i="18"/>
  <c r="AG34" i="18"/>
  <c r="AI34" i="18"/>
  <c r="H34" i="19"/>
  <c r="S5" i="13"/>
  <c r="R6" i="13"/>
  <c r="AM35" i="18"/>
  <c r="H34" i="13"/>
  <c r="F34" i="13"/>
  <c r="E35" i="13" s="1"/>
  <c r="AL34" i="18"/>
  <c r="AG17" i="18"/>
  <c r="AH17" i="18"/>
  <c r="AI17" i="18"/>
  <c r="H17" i="19"/>
  <c r="AL9" i="18"/>
  <c r="AD9" i="18"/>
  <c r="V9" i="18"/>
  <c r="N9" i="18"/>
  <c r="F9" i="18"/>
  <c r="B9" i="19"/>
  <c r="AK9" i="18"/>
  <c r="AC9" i="18"/>
  <c r="U9" i="18"/>
  <c r="M9" i="18"/>
  <c r="E9" i="18"/>
  <c r="AJ9" i="18"/>
  <c r="AB9" i="18"/>
  <c r="T9" i="18"/>
  <c r="L9" i="18"/>
  <c r="D9" i="18"/>
  <c r="AA9" i="18"/>
  <c r="S9" i="18"/>
  <c r="K9" i="18"/>
  <c r="G9" i="19"/>
  <c r="AP9" i="18"/>
  <c r="Z9" i="18"/>
  <c r="R9" i="18"/>
  <c r="J9" i="18"/>
  <c r="F9" i="19"/>
  <c r="AO9" i="18"/>
  <c r="Y9" i="18"/>
  <c r="I9" i="18"/>
  <c r="B5" i="15" s="1"/>
  <c r="E9" i="19"/>
  <c r="AN9" i="18"/>
  <c r="AF9" i="18"/>
  <c r="X9" i="18"/>
  <c r="H9" i="18"/>
  <c r="D9" i="19"/>
  <c r="AM9" i="18"/>
  <c r="AE9" i="18"/>
  <c r="W9" i="18"/>
  <c r="O9" i="18"/>
  <c r="G9" i="18"/>
  <c r="H9" i="19"/>
  <c r="C9" i="19"/>
  <c r="U5" i="14"/>
  <c r="T6" i="14"/>
  <c r="T21" i="18"/>
  <c r="D21" i="18"/>
  <c r="AO21" i="18"/>
  <c r="I21" i="18"/>
  <c r="S21" i="18"/>
  <c r="H21" i="18"/>
  <c r="X21" i="18"/>
  <c r="J21" i="18"/>
  <c r="G21" i="18"/>
  <c r="D21" i="19" s="1"/>
  <c r="U21" i="18"/>
  <c r="F21" i="18"/>
  <c r="C21" i="19" s="1"/>
  <c r="E21" i="19"/>
  <c r="R21" i="18"/>
  <c r="E21" i="18"/>
  <c r="O21" i="18"/>
  <c r="B21" i="19" s="1"/>
  <c r="N21" i="18"/>
  <c r="K21" i="18"/>
  <c r="AH19" i="18"/>
  <c r="AI19" i="18"/>
  <c r="AG19" i="18"/>
  <c r="H19" i="19"/>
  <c r="H33" i="13"/>
  <c r="AI28" i="18"/>
  <c r="AG28" i="18"/>
  <c r="AH28" i="18"/>
  <c r="H28" i="19"/>
  <c r="AO35" i="18"/>
  <c r="AD35" i="18"/>
  <c r="X35" i="18"/>
  <c r="Z17" i="18"/>
  <c r="AM17" i="18" s="1"/>
  <c r="F17" i="19"/>
  <c r="W17" i="18"/>
  <c r="AL17" i="18" s="1"/>
  <c r="AK17" i="18"/>
  <c r="J20" i="18"/>
  <c r="X20" i="18"/>
  <c r="F35" i="19"/>
  <c r="L20" i="18"/>
  <c r="U20" i="18"/>
  <c r="V20" i="18" s="1"/>
  <c r="L33" i="18"/>
  <c r="M33" i="18"/>
  <c r="AE33" i="18"/>
  <c r="G33" i="19" s="1"/>
  <c r="F32" i="11"/>
  <c r="E33" i="11" s="1"/>
  <c r="AH30" i="18"/>
  <c r="AG30" i="18"/>
  <c r="AI30" i="18"/>
  <c r="H30" i="19"/>
  <c r="AF33" i="18"/>
  <c r="O6" i="11"/>
  <c r="P5" i="11"/>
  <c r="AI20" i="18"/>
  <c r="AH20" i="18"/>
  <c r="AG20" i="18"/>
  <c r="AL35" i="18" l="1"/>
  <c r="Y21" i="18"/>
  <c r="V21" i="18"/>
  <c r="P4" i="11"/>
  <c r="Q5" i="11"/>
  <c r="P6" i="11"/>
  <c r="D5" i="15"/>
  <c r="F33" i="11"/>
  <c r="E34" i="11" s="1"/>
  <c r="H32" i="11"/>
  <c r="Z21" i="18"/>
  <c r="AM21" i="18" s="1"/>
  <c r="H5" i="15"/>
  <c r="G5" i="15"/>
  <c r="F5" i="15"/>
  <c r="E5" i="15"/>
  <c r="G13" i="15"/>
  <c r="I15" i="15"/>
  <c r="I14" i="15"/>
  <c r="G16" i="15"/>
  <c r="G10" i="15"/>
  <c r="I16" i="15"/>
  <c r="I11" i="15"/>
  <c r="G15" i="15"/>
  <c r="G14" i="15"/>
  <c r="I12" i="15"/>
  <c r="H12" i="15"/>
  <c r="I10" i="15"/>
  <c r="H15" i="15"/>
  <c r="H11" i="15"/>
  <c r="G12" i="15"/>
  <c r="I13" i="15"/>
  <c r="G11" i="15"/>
  <c r="H10" i="15"/>
  <c r="H13" i="15"/>
  <c r="H16" i="15"/>
  <c r="H14" i="15"/>
  <c r="AP35" i="18"/>
  <c r="M35" i="18"/>
  <c r="AE35" i="18"/>
  <c r="G35" i="19" s="1"/>
  <c r="L35" i="18"/>
  <c r="AD21" i="18"/>
  <c r="Y43" i="18"/>
  <c r="Y12" i="18"/>
  <c r="Y10" i="18"/>
  <c r="Y39" i="18"/>
  <c r="Y40" i="18"/>
  <c r="Y11" i="18"/>
  <c r="Y16" i="18"/>
  <c r="Y37" i="18"/>
  <c r="Y14" i="18"/>
  <c r="Y46" i="18"/>
  <c r="Y38" i="18"/>
  <c r="Y28" i="18"/>
  <c r="Y50" i="18"/>
  <c r="Y13" i="18"/>
  <c r="Y53" i="18"/>
  <c r="Y19" i="18"/>
  <c r="Y54" i="18"/>
  <c r="Y24" i="18"/>
  <c r="Y8" i="18"/>
  <c r="Y15" i="18"/>
  <c r="Y29" i="18"/>
  <c r="Y49" i="18"/>
  <c r="Y31" i="18"/>
  <c r="Y47" i="18"/>
  <c r="Y25" i="18"/>
  <c r="Y55" i="18"/>
  <c r="Y23" i="18"/>
  <c r="Y32" i="18"/>
  <c r="Y30" i="18"/>
  <c r="Y45" i="18"/>
  <c r="Y44" i="18"/>
  <c r="Y42" i="18"/>
  <c r="Y41" i="18"/>
  <c r="Y51" i="18"/>
  <c r="Y17" i="18"/>
  <c r="AA17" i="18" s="1"/>
  <c r="Y34" i="18"/>
  <c r="AN34" i="18" s="1"/>
  <c r="AC34" i="18" s="1"/>
  <c r="Y18" i="18"/>
  <c r="Y26" i="18"/>
  <c r="Y33" i="18"/>
  <c r="Y20" i="18"/>
  <c r="AI9" i="18"/>
  <c r="AH9" i="18"/>
  <c r="AG9" i="18"/>
  <c r="F20" i="19"/>
  <c r="AK20" i="18"/>
  <c r="W20" i="18"/>
  <c r="AH33" i="18"/>
  <c r="AG33" i="18"/>
  <c r="AI33" i="18"/>
  <c r="H33" i="19"/>
  <c r="AP21" i="18"/>
  <c r="AK21" i="18"/>
  <c r="Y35" i="18"/>
  <c r="AN35" i="18" s="1"/>
  <c r="AC35" i="18" s="1"/>
  <c r="W21" i="18"/>
  <c r="F21" i="19"/>
  <c r="AN17" i="18"/>
  <c r="AC17" i="18" s="1"/>
  <c r="Z20" i="18"/>
  <c r="T5" i="13"/>
  <c r="S6" i="13"/>
  <c r="V5" i="14"/>
  <c r="U6" i="14"/>
  <c r="Q34" i="18"/>
  <c r="Q28" i="18"/>
  <c r="Q19" i="18"/>
  <c r="Q33" i="18"/>
  <c r="Q35" i="18"/>
  <c r="Q11" i="18"/>
  <c r="Q14" i="18"/>
  <c r="Q21" i="18"/>
  <c r="Q37" i="18"/>
  <c r="Q24" i="18"/>
  <c r="Q8" i="18"/>
  <c r="Q9" i="18"/>
  <c r="Q36" i="18"/>
  <c r="Q7" i="18"/>
  <c r="Q12" i="18"/>
  <c r="Q13" i="18"/>
  <c r="Q17" i="18"/>
  <c r="Q31" i="18"/>
  <c r="Q15" i="18"/>
  <c r="Q30" i="18"/>
  <c r="Q18" i="18"/>
  <c r="Q26" i="18"/>
  <c r="Q23" i="18"/>
  <c r="Q25" i="18"/>
  <c r="Q16" i="18"/>
  <c r="Q32" i="18"/>
  <c r="Q20" i="18"/>
  <c r="Q29" i="18"/>
  <c r="Q27" i="18"/>
  <c r="Q22" i="18"/>
  <c r="Q10" i="18"/>
  <c r="F35" i="13"/>
  <c r="E36" i="13" s="1"/>
  <c r="AH35" i="18"/>
  <c r="AG35" i="18"/>
  <c r="AI35" i="18"/>
  <c r="H35" i="19"/>
  <c r="AN21" i="18" l="1"/>
  <c r="AC21" i="18" s="1"/>
  <c r="C36" i="15"/>
  <c r="AN20" i="18"/>
  <c r="AC20" i="18" s="1"/>
  <c r="AJ17" i="18"/>
  <c r="AB17" i="18"/>
  <c r="AN43" i="18"/>
  <c r="AC43" i="18" s="1"/>
  <c r="AA43" i="18"/>
  <c r="F36" i="13"/>
  <c r="E37" i="13" s="1"/>
  <c r="F37" i="13" s="1"/>
  <c r="E38" i="13" s="1"/>
  <c r="F38" i="13" s="1"/>
  <c r="E39" i="13" s="1"/>
  <c r="F39" i="13" s="1"/>
  <c r="E40" i="13" s="1"/>
  <c r="F40" i="13" s="1"/>
  <c r="E41" i="13" s="1"/>
  <c r="AL20" i="18"/>
  <c r="W5" i="14"/>
  <c r="V6" i="14"/>
  <c r="V4" i="14"/>
  <c r="AM20" i="18"/>
  <c r="K32" i="15"/>
  <c r="K31" i="15"/>
  <c r="K30" i="15"/>
  <c r="K29" i="15"/>
  <c r="K28" i="15"/>
  <c r="K27" i="15"/>
  <c r="K26" i="15"/>
  <c r="K25" i="15"/>
  <c r="K24" i="15"/>
  <c r="K23" i="15"/>
  <c r="K22" i="15"/>
  <c r="K21" i="15"/>
  <c r="AN23" i="18"/>
  <c r="AC23" i="18" s="1"/>
  <c r="AA23" i="18"/>
  <c r="AN8" i="18"/>
  <c r="AC8" i="18" s="1"/>
  <c r="AA8" i="18"/>
  <c r="AN38" i="18"/>
  <c r="AC38" i="18" s="1"/>
  <c r="AA38" i="18"/>
  <c r="AN10" i="18"/>
  <c r="AC10" i="18" s="1"/>
  <c r="AA10" i="18"/>
  <c r="AL21" i="18"/>
  <c r="AA21" i="18" s="1"/>
  <c r="AA41" i="18"/>
  <c r="AN41" i="18"/>
  <c r="AC41" i="18" s="1"/>
  <c r="U5" i="13"/>
  <c r="T6" i="13"/>
  <c r="AN51" i="18"/>
  <c r="AC51" i="18" s="1"/>
  <c r="AA51" i="18"/>
  <c r="AN55" i="18"/>
  <c r="AC55" i="18" s="1"/>
  <c r="AA55" i="18"/>
  <c r="AA24" i="18"/>
  <c r="AN24" i="18"/>
  <c r="AC24" i="18" s="1"/>
  <c r="AN46" i="18"/>
  <c r="AC46" i="18" s="1"/>
  <c r="AA46" i="18"/>
  <c r="AN12" i="18"/>
  <c r="AC12" i="18" s="1"/>
  <c r="AA12" i="18"/>
  <c r="AN14" i="18"/>
  <c r="AC14" i="18" s="1"/>
  <c r="AA14" i="18"/>
  <c r="AN42" i="18"/>
  <c r="AC42" i="18" s="1"/>
  <c r="AA42" i="18"/>
  <c r="AA47" i="18"/>
  <c r="AN47" i="18"/>
  <c r="AC47" i="18" s="1"/>
  <c r="AN19" i="18"/>
  <c r="AC19" i="18" s="1"/>
  <c r="AA19" i="18"/>
  <c r="AN37" i="18"/>
  <c r="AC37" i="18" s="1"/>
  <c r="AA37" i="18"/>
  <c r="M21" i="18"/>
  <c r="L21" i="18"/>
  <c r="AE21" i="18"/>
  <c r="G21" i="19" s="1"/>
  <c r="AN25" i="18"/>
  <c r="AC25" i="18" s="1"/>
  <c r="AA25" i="18"/>
  <c r="AN33" i="18"/>
  <c r="AC33" i="18" s="1"/>
  <c r="AA33" i="18"/>
  <c r="AN44" i="18"/>
  <c r="AC44" i="18" s="1"/>
  <c r="AA44" i="18"/>
  <c r="AN31" i="18"/>
  <c r="AC31" i="18" s="1"/>
  <c r="AA31" i="18"/>
  <c r="AN53" i="18"/>
  <c r="AC53" i="18" s="1"/>
  <c r="AA53" i="18"/>
  <c r="AA16" i="18"/>
  <c r="AN16" i="18"/>
  <c r="AC16" i="18" s="1"/>
  <c r="F34" i="11"/>
  <c r="E35" i="11" s="1"/>
  <c r="H34" i="11"/>
  <c r="AA35" i="18"/>
  <c r="R5" i="11"/>
  <c r="Q6" i="11"/>
  <c r="D36" i="15"/>
  <c r="H35" i="13"/>
  <c r="AN26" i="18"/>
  <c r="AC26" i="18" s="1"/>
  <c r="AA26" i="18"/>
  <c r="AN45" i="18"/>
  <c r="AC45" i="18" s="1"/>
  <c r="AA45" i="18"/>
  <c r="AN49" i="18"/>
  <c r="AC49" i="18" s="1"/>
  <c r="AA49" i="18"/>
  <c r="AA13" i="18"/>
  <c r="AN13" i="18"/>
  <c r="AC13" i="18" s="1"/>
  <c r="AN11" i="18"/>
  <c r="AC11" i="18" s="1"/>
  <c r="AA11" i="18"/>
  <c r="H33" i="11"/>
  <c r="AF21" i="18"/>
  <c r="AN54" i="18"/>
  <c r="AC54" i="18" s="1"/>
  <c r="AA54" i="18"/>
  <c r="AA18" i="18"/>
  <c r="AN18" i="18"/>
  <c r="AC18" i="18" s="1"/>
  <c r="AN30" i="18"/>
  <c r="AC30" i="18" s="1"/>
  <c r="AA30" i="18"/>
  <c r="AA29" i="18"/>
  <c r="AN29" i="18"/>
  <c r="AC29" i="18" s="1"/>
  <c r="AN50" i="18"/>
  <c r="AC50" i="18" s="1"/>
  <c r="AA50" i="18"/>
  <c r="AN40" i="18"/>
  <c r="AC40" i="18" s="1"/>
  <c r="AA40" i="18"/>
  <c r="AA34" i="18"/>
  <c r="AN32" i="18"/>
  <c r="AC32" i="18" s="1"/>
  <c r="AA32" i="18"/>
  <c r="AA15" i="18"/>
  <c r="AN15" i="18"/>
  <c r="AC15" i="18" s="1"/>
  <c r="AN28" i="18"/>
  <c r="AC28" i="18" s="1"/>
  <c r="AA28" i="18"/>
  <c r="AA39" i="18"/>
  <c r="AN39" i="18"/>
  <c r="AC39" i="18" s="1"/>
  <c r="AA20" i="18" l="1"/>
  <c r="AJ21" i="18"/>
  <c r="AB21" i="18"/>
  <c r="AJ54" i="18"/>
  <c r="AB54" i="18"/>
  <c r="AJ34" i="18"/>
  <c r="AB34" i="18"/>
  <c r="AJ44" i="18"/>
  <c r="AB44" i="18"/>
  <c r="AJ24" i="18"/>
  <c r="AB24" i="18"/>
  <c r="AJ23" i="18"/>
  <c r="AB23" i="18"/>
  <c r="AJ41" i="18"/>
  <c r="AB41" i="18"/>
  <c r="H27" i="15"/>
  <c r="G27" i="15"/>
  <c r="E27" i="15"/>
  <c r="D27" i="15"/>
  <c r="C27" i="15"/>
  <c r="B27" i="15"/>
  <c r="F27" i="15"/>
  <c r="AJ39" i="18"/>
  <c r="AB39" i="18"/>
  <c r="AJ40" i="18"/>
  <c r="AB40" i="18"/>
  <c r="F35" i="11"/>
  <c r="E36" i="11" s="1"/>
  <c r="F36" i="11" s="1"/>
  <c r="E37" i="11" s="1"/>
  <c r="F37" i="11" s="1"/>
  <c r="E38" i="11" s="1"/>
  <c r="F38" i="11" s="1"/>
  <c r="E39" i="11" s="1"/>
  <c r="F39" i="11" s="1"/>
  <c r="E40" i="11" s="1"/>
  <c r="AJ37" i="18"/>
  <c r="AB37" i="18"/>
  <c r="AJ14" i="18"/>
  <c r="AB14" i="18"/>
  <c r="AJ55" i="18"/>
  <c r="AB55" i="18"/>
  <c r="H28" i="15"/>
  <c r="G28" i="15"/>
  <c r="E28" i="15"/>
  <c r="D28" i="15"/>
  <c r="C28" i="15"/>
  <c r="B28" i="15"/>
  <c r="F28" i="15"/>
  <c r="W6" i="14"/>
  <c r="X5" i="14"/>
  <c r="AJ28" i="18"/>
  <c r="AB28" i="18"/>
  <c r="AJ18" i="18"/>
  <c r="AB18" i="18"/>
  <c r="AJ13" i="18"/>
  <c r="AB13" i="18"/>
  <c r="AJ33" i="18"/>
  <c r="AB33" i="18"/>
  <c r="AJ10" i="18"/>
  <c r="AB10" i="18"/>
  <c r="H21" i="15"/>
  <c r="E21" i="15"/>
  <c r="D21" i="15"/>
  <c r="G21" i="15" s="1"/>
  <c r="C21" i="15"/>
  <c r="B21" i="15"/>
  <c r="F21" i="15"/>
  <c r="H29" i="15"/>
  <c r="G29" i="15"/>
  <c r="E29" i="15"/>
  <c r="D29" i="15"/>
  <c r="C29" i="15"/>
  <c r="B29" i="15"/>
  <c r="F29" i="15"/>
  <c r="AJ50" i="18"/>
  <c r="AB50" i="18"/>
  <c r="AJ20" i="18"/>
  <c r="AB20" i="18"/>
  <c r="H30" i="15"/>
  <c r="G30" i="15"/>
  <c r="E30" i="15"/>
  <c r="D30" i="15"/>
  <c r="C30" i="15"/>
  <c r="B30" i="15"/>
  <c r="F30" i="15"/>
  <c r="H41" i="13"/>
  <c r="F41" i="13"/>
  <c r="F25" i="13" s="1"/>
  <c r="AJ53" i="18"/>
  <c r="AB53" i="18"/>
  <c r="AJ25" i="18"/>
  <c r="AB25" i="18"/>
  <c r="AJ38" i="18"/>
  <c r="AB38" i="18"/>
  <c r="H23" i="15"/>
  <c r="E23" i="15"/>
  <c r="D23" i="15"/>
  <c r="G23" i="15" s="1"/>
  <c r="C23" i="15"/>
  <c r="B23" i="15"/>
  <c r="F23" i="15"/>
  <c r="H31" i="15"/>
  <c r="G31" i="15"/>
  <c r="E31" i="15"/>
  <c r="D31" i="15"/>
  <c r="C31" i="15"/>
  <c r="B31" i="15"/>
  <c r="F31" i="15"/>
  <c r="H36" i="13"/>
  <c r="AJ12" i="18"/>
  <c r="AB12" i="18"/>
  <c r="AJ15" i="18"/>
  <c r="AB15" i="18"/>
  <c r="AG21" i="18"/>
  <c r="AH21" i="18"/>
  <c r="AI21" i="18"/>
  <c r="H21" i="19"/>
  <c r="H24" i="15"/>
  <c r="G24" i="15"/>
  <c r="E24" i="15"/>
  <c r="D24" i="15"/>
  <c r="C24" i="15"/>
  <c r="B24" i="15"/>
  <c r="F24" i="15"/>
  <c r="H32" i="15"/>
  <c r="G32" i="15"/>
  <c r="E32" i="15"/>
  <c r="D32" i="15"/>
  <c r="C32" i="15"/>
  <c r="B32" i="15"/>
  <c r="F32" i="15"/>
  <c r="AJ43" i="18"/>
  <c r="AB43" i="18"/>
  <c r="AJ32" i="18"/>
  <c r="AB32" i="18"/>
  <c r="AJ29" i="18"/>
  <c r="AB29" i="18"/>
  <c r="S5" i="11"/>
  <c r="R6" i="11"/>
  <c r="AJ31" i="18"/>
  <c r="AB31" i="18"/>
  <c r="AJ47" i="18"/>
  <c r="AB47" i="18"/>
  <c r="U6" i="13"/>
  <c r="V5" i="13"/>
  <c r="AJ8" i="18"/>
  <c r="AB8" i="18"/>
  <c r="H25" i="15"/>
  <c r="G25" i="15"/>
  <c r="E25" i="15"/>
  <c r="D25" i="15"/>
  <c r="C25" i="15"/>
  <c r="B25" i="15"/>
  <c r="F25" i="15"/>
  <c r="AJ49" i="18"/>
  <c r="AB49" i="18"/>
  <c r="AJ16" i="18"/>
  <c r="AB16" i="18"/>
  <c r="AJ19" i="18"/>
  <c r="AB19" i="18"/>
  <c r="AJ51" i="18"/>
  <c r="AB51" i="18"/>
  <c r="H22" i="15"/>
  <c r="E22" i="15"/>
  <c r="D22" i="15"/>
  <c r="G22" i="15" s="1"/>
  <c r="C22" i="15"/>
  <c r="B22" i="15"/>
  <c r="F22" i="15"/>
  <c r="AJ45" i="18"/>
  <c r="AB45" i="18"/>
  <c r="AJ46" i="18"/>
  <c r="AB46" i="18"/>
  <c r="AJ30" i="18"/>
  <c r="AB30" i="18"/>
  <c r="AJ11" i="18"/>
  <c r="AB11" i="18"/>
  <c r="AJ26" i="18"/>
  <c r="AB26" i="18"/>
  <c r="AJ35" i="18"/>
  <c r="AB35" i="18"/>
  <c r="AB42" i="18"/>
  <c r="AJ42" i="18"/>
  <c r="E36" i="15"/>
  <c r="H26" i="15"/>
  <c r="G26" i="15"/>
  <c r="E26" i="15"/>
  <c r="D26" i="15"/>
  <c r="C26" i="15"/>
  <c r="B26" i="15"/>
  <c r="F26" i="15"/>
  <c r="W5" i="13" l="1"/>
  <c r="V6" i="13"/>
  <c r="H35" i="11"/>
  <c r="Y5" i="14"/>
  <c r="X6" i="14"/>
  <c r="F40" i="11"/>
  <c r="F24" i="11" s="1"/>
  <c r="B36" i="15"/>
  <c r="B2" i="16"/>
  <c r="P119" i="16"/>
  <c r="P149" i="16"/>
  <c r="P144" i="16"/>
  <c r="P56" i="16"/>
  <c r="P107" i="16"/>
  <c r="P43" i="16"/>
  <c r="P123" i="16"/>
  <c r="P54" i="16"/>
  <c r="P115" i="16"/>
  <c r="P57" i="16"/>
  <c r="P92" i="16"/>
  <c r="P28" i="16"/>
  <c r="P16" i="16"/>
  <c r="P106" i="16"/>
  <c r="P50" i="16"/>
  <c r="P31" i="16"/>
  <c r="P15" i="16"/>
  <c r="P10" i="16"/>
  <c r="P111" i="16"/>
  <c r="P141" i="16"/>
  <c r="P136" i="16"/>
  <c r="P48" i="16"/>
  <c r="P99" i="16"/>
  <c r="P35" i="16"/>
  <c r="P120" i="16"/>
  <c r="P46" i="16"/>
  <c r="P112" i="16"/>
  <c r="P49" i="16"/>
  <c r="P84" i="16"/>
  <c r="P20" i="16"/>
  <c r="P8" i="16"/>
  <c r="P93" i="16"/>
  <c r="P32" i="16"/>
  <c r="P22" i="16"/>
  <c r="P7" i="16"/>
  <c r="P148" i="16"/>
  <c r="P145" i="16"/>
  <c r="P125" i="16"/>
  <c r="P96" i="16"/>
  <c r="P83" i="16"/>
  <c r="P94" i="16"/>
  <c r="P97" i="16"/>
  <c r="P68" i="16"/>
  <c r="P85" i="16"/>
  <c r="P9" i="16"/>
  <c r="P74" i="16"/>
  <c r="P143" i="16"/>
  <c r="P134" i="16"/>
  <c r="P78" i="16"/>
  <c r="P77" i="16"/>
  <c r="P37" i="16"/>
  <c r="P153" i="16"/>
  <c r="P154" i="16"/>
  <c r="P133" i="16"/>
  <c r="P104" i="16"/>
  <c r="P40" i="16"/>
  <c r="P91" i="16"/>
  <c r="P27" i="16"/>
  <c r="P102" i="16"/>
  <c r="P38" i="16"/>
  <c r="P105" i="16"/>
  <c r="P41" i="16"/>
  <c r="P76" i="16"/>
  <c r="P147" i="16"/>
  <c r="P98" i="16"/>
  <c r="P55" i="16"/>
  <c r="P18" i="16"/>
  <c r="P12" i="16"/>
  <c r="P87" i="16"/>
  <c r="P95" i="16"/>
  <c r="P146" i="16"/>
  <c r="P139" i="16"/>
  <c r="P19" i="16"/>
  <c r="P156" i="16"/>
  <c r="P116" i="16"/>
  <c r="P103" i="16"/>
  <c r="P42" i="16"/>
  <c r="P79" i="16"/>
  <c r="P82" i="16"/>
  <c r="P130" i="16"/>
  <c r="P67" i="16"/>
  <c r="P124" i="16"/>
  <c r="P52" i="16"/>
  <c r="P53" i="16"/>
  <c r="P151" i="16"/>
  <c r="P138" i="16"/>
  <c r="P117" i="16"/>
  <c r="P88" i="16"/>
  <c r="P137" i="16"/>
  <c r="P75" i="16"/>
  <c r="P150" i="16"/>
  <c r="P86" i="16"/>
  <c r="P140" i="16"/>
  <c r="P89" i="16"/>
  <c r="P113" i="16"/>
  <c r="P60" i="16"/>
  <c r="P90" i="16"/>
  <c r="P47" i="16"/>
  <c r="P23" i="16"/>
  <c r="P109" i="16"/>
  <c r="P66" i="16"/>
  <c r="P61" i="16"/>
  <c r="P69" i="16"/>
  <c r="P152" i="16"/>
  <c r="P110" i="16"/>
  <c r="P14" i="16"/>
  <c r="P135" i="16"/>
  <c r="P122" i="16"/>
  <c r="P155" i="16"/>
  <c r="P72" i="16"/>
  <c r="P131" i="16"/>
  <c r="P59" i="16"/>
  <c r="P129" i="16"/>
  <c r="P70" i="16"/>
  <c r="P121" i="16"/>
  <c r="P73" i="16"/>
  <c r="P108" i="16"/>
  <c r="P44" i="16"/>
  <c r="P39" i="16"/>
  <c r="P24" i="16"/>
  <c r="P101" i="16"/>
  <c r="P58" i="16"/>
  <c r="P26" i="16"/>
  <c r="P30" i="16"/>
  <c r="P25" i="16"/>
  <c r="P80" i="16"/>
  <c r="P81" i="16"/>
  <c r="P33" i="16"/>
  <c r="P34" i="16"/>
  <c r="P127" i="16"/>
  <c r="P114" i="16"/>
  <c r="P142" i="16"/>
  <c r="P64" i="16"/>
  <c r="P128" i="16"/>
  <c r="P51" i="16"/>
  <c r="P126" i="16"/>
  <c r="P62" i="16"/>
  <c r="P118" i="16"/>
  <c r="P65" i="16"/>
  <c r="P100" i="16"/>
  <c r="P36" i="16"/>
  <c r="P29" i="16"/>
  <c r="P11" i="16"/>
  <c r="P63" i="16"/>
  <c r="P45" i="16"/>
  <c r="P17" i="16"/>
  <c r="P21" i="16"/>
  <c r="P13" i="16"/>
  <c r="P132" i="16"/>
  <c r="P71" i="16"/>
  <c r="S6" i="11"/>
  <c r="T5" i="11"/>
  <c r="T6" i="11" l="1"/>
  <c r="U5" i="11"/>
  <c r="G59" i="16"/>
  <c r="F59" i="16"/>
  <c r="M59" i="16"/>
  <c r="E59" i="16"/>
  <c r="L59" i="16"/>
  <c r="D59" i="16"/>
  <c r="K59" i="16"/>
  <c r="C59" i="16"/>
  <c r="J59" i="16"/>
  <c r="I59" i="16"/>
  <c r="H59" i="16"/>
  <c r="B59" i="16"/>
  <c r="F88" i="16"/>
  <c r="M88" i="16"/>
  <c r="E88" i="16"/>
  <c r="L88" i="16"/>
  <c r="D88" i="16"/>
  <c r="K88" i="16"/>
  <c r="C88" i="16"/>
  <c r="J88" i="16"/>
  <c r="B88" i="16"/>
  <c r="I88" i="16"/>
  <c r="H88" i="16"/>
  <c r="G88" i="16"/>
  <c r="L147" i="16"/>
  <c r="D147" i="16"/>
  <c r="J147" i="16"/>
  <c r="B147" i="16"/>
  <c r="I147" i="16"/>
  <c r="H147" i="16"/>
  <c r="M147" i="16"/>
  <c r="G147" i="16"/>
  <c r="F147" i="16"/>
  <c r="E147" i="16"/>
  <c r="C147" i="16"/>
  <c r="K147" i="16"/>
  <c r="G11" i="16"/>
  <c r="F11" i="16"/>
  <c r="M11" i="16"/>
  <c r="E11" i="16"/>
  <c r="L11" i="16"/>
  <c r="D11" i="16"/>
  <c r="K11" i="16"/>
  <c r="C11" i="16"/>
  <c r="J11" i="16"/>
  <c r="B11" i="16"/>
  <c r="I11" i="16"/>
  <c r="H11" i="16"/>
  <c r="I81" i="16"/>
  <c r="H81" i="16"/>
  <c r="G81" i="16"/>
  <c r="F81" i="16"/>
  <c r="M81" i="16"/>
  <c r="E81" i="16"/>
  <c r="C81" i="16"/>
  <c r="B81" i="16"/>
  <c r="L81" i="16"/>
  <c r="K81" i="16"/>
  <c r="J81" i="16"/>
  <c r="D81" i="16"/>
  <c r="M69" i="16"/>
  <c r="E69" i="16"/>
  <c r="L69" i="16"/>
  <c r="D69" i="16"/>
  <c r="K69" i="16"/>
  <c r="C69" i="16"/>
  <c r="J69" i="16"/>
  <c r="B69" i="16"/>
  <c r="I69" i="16"/>
  <c r="H69" i="16"/>
  <c r="G69" i="16"/>
  <c r="F69" i="16"/>
  <c r="I146" i="16"/>
  <c r="G146" i="16"/>
  <c r="F146" i="16"/>
  <c r="M146" i="16"/>
  <c r="E146" i="16"/>
  <c r="J146" i="16"/>
  <c r="D146" i="16"/>
  <c r="C146" i="16"/>
  <c r="B146" i="16"/>
  <c r="L146" i="16"/>
  <c r="K146" i="16"/>
  <c r="H146" i="16"/>
  <c r="F104" i="16"/>
  <c r="M104" i="16"/>
  <c r="E104" i="16"/>
  <c r="L104" i="16"/>
  <c r="D104" i="16"/>
  <c r="K104" i="16"/>
  <c r="C104" i="16"/>
  <c r="J104" i="16"/>
  <c r="B104" i="16"/>
  <c r="I104" i="16"/>
  <c r="H104" i="16"/>
  <c r="G104" i="16"/>
  <c r="H143" i="16"/>
  <c r="F143" i="16"/>
  <c r="M143" i="16"/>
  <c r="E143" i="16"/>
  <c r="L143" i="16"/>
  <c r="D143" i="16"/>
  <c r="K143" i="16"/>
  <c r="J143" i="16"/>
  <c r="I143" i="16"/>
  <c r="G143" i="16"/>
  <c r="C143" i="16"/>
  <c r="B143" i="16"/>
  <c r="F96" i="16"/>
  <c r="M96" i="16"/>
  <c r="E96" i="16"/>
  <c r="L96" i="16"/>
  <c r="D96" i="16"/>
  <c r="K96" i="16"/>
  <c r="C96" i="16"/>
  <c r="J96" i="16"/>
  <c r="B96" i="16"/>
  <c r="I96" i="16"/>
  <c r="H96" i="16"/>
  <c r="G96" i="16"/>
  <c r="G99" i="16"/>
  <c r="F99" i="16"/>
  <c r="M99" i="16"/>
  <c r="E99" i="16"/>
  <c r="L99" i="16"/>
  <c r="D99" i="16"/>
  <c r="K99" i="16"/>
  <c r="C99" i="16"/>
  <c r="B99" i="16"/>
  <c r="J99" i="16"/>
  <c r="I99" i="16"/>
  <c r="H99" i="16"/>
  <c r="J123" i="16"/>
  <c r="B123" i="16"/>
  <c r="I123" i="16"/>
  <c r="H123" i="16"/>
  <c r="G123" i="16"/>
  <c r="E123" i="16"/>
  <c r="D123" i="16"/>
  <c r="C123" i="16"/>
  <c r="M123" i="16"/>
  <c r="L123" i="16"/>
  <c r="K123" i="16"/>
  <c r="F123" i="16"/>
  <c r="J44" i="16"/>
  <c r="B44" i="16"/>
  <c r="I44" i="16"/>
  <c r="H44" i="16"/>
  <c r="G44" i="16"/>
  <c r="F44" i="16"/>
  <c r="M44" i="16"/>
  <c r="L44" i="16"/>
  <c r="K44" i="16"/>
  <c r="E44" i="16"/>
  <c r="D44" i="16"/>
  <c r="C44" i="16"/>
  <c r="I89" i="16"/>
  <c r="H89" i="16"/>
  <c r="G89" i="16"/>
  <c r="F89" i="16"/>
  <c r="M89" i="16"/>
  <c r="E89" i="16"/>
  <c r="D89" i="16"/>
  <c r="C89" i="16"/>
  <c r="B89" i="16"/>
  <c r="L89" i="16"/>
  <c r="K89" i="16"/>
  <c r="J89" i="16"/>
  <c r="I41" i="16"/>
  <c r="H41" i="16"/>
  <c r="G41" i="16"/>
  <c r="F41" i="16"/>
  <c r="M41" i="16"/>
  <c r="E41" i="16"/>
  <c r="K41" i="16"/>
  <c r="J41" i="16"/>
  <c r="D41" i="16"/>
  <c r="C41" i="16"/>
  <c r="B41" i="16"/>
  <c r="L41" i="16"/>
  <c r="H133" i="16"/>
  <c r="G133" i="16"/>
  <c r="F133" i="16"/>
  <c r="E133" i="16"/>
  <c r="C133" i="16"/>
  <c r="M133" i="16"/>
  <c r="B133" i="16"/>
  <c r="L133" i="16"/>
  <c r="K133" i="16"/>
  <c r="J133" i="16"/>
  <c r="I133" i="16"/>
  <c r="D133" i="16"/>
  <c r="L74" i="16"/>
  <c r="D74" i="16"/>
  <c r="K74" i="16"/>
  <c r="C74" i="16"/>
  <c r="J74" i="16"/>
  <c r="B74" i="16"/>
  <c r="I74" i="16"/>
  <c r="H74" i="16"/>
  <c r="G74" i="16"/>
  <c r="F74" i="16"/>
  <c r="E74" i="16"/>
  <c r="M74" i="16"/>
  <c r="H125" i="16"/>
  <c r="G125" i="16"/>
  <c r="F125" i="16"/>
  <c r="I125" i="16"/>
  <c r="D125" i="16"/>
  <c r="C125" i="16"/>
  <c r="M125" i="16"/>
  <c r="B125" i="16"/>
  <c r="L125" i="16"/>
  <c r="K125" i="16"/>
  <c r="J125" i="16"/>
  <c r="E125" i="16"/>
  <c r="I20" i="16"/>
  <c r="F20" i="16"/>
  <c r="M20" i="16"/>
  <c r="C20" i="16"/>
  <c r="L20" i="16"/>
  <c r="B20" i="16"/>
  <c r="K20" i="16"/>
  <c r="J20" i="16"/>
  <c r="H20" i="16"/>
  <c r="G20" i="16"/>
  <c r="E20" i="16"/>
  <c r="D20" i="16"/>
  <c r="F48" i="16"/>
  <c r="M48" i="16"/>
  <c r="E48" i="16"/>
  <c r="L48" i="16"/>
  <c r="D48" i="16"/>
  <c r="K48" i="16"/>
  <c r="C48" i="16"/>
  <c r="J48" i="16"/>
  <c r="B48" i="16"/>
  <c r="G48" i="16"/>
  <c r="I48" i="16"/>
  <c r="H48" i="16"/>
  <c r="L106" i="16"/>
  <c r="D106" i="16"/>
  <c r="K106" i="16"/>
  <c r="C106" i="16"/>
  <c r="J106" i="16"/>
  <c r="B106" i="16"/>
  <c r="I106" i="16"/>
  <c r="H106" i="16"/>
  <c r="M106" i="16"/>
  <c r="G106" i="16"/>
  <c r="F106" i="16"/>
  <c r="E106" i="16"/>
  <c r="G43" i="16"/>
  <c r="F43" i="16"/>
  <c r="M43" i="16"/>
  <c r="E43" i="16"/>
  <c r="L43" i="16"/>
  <c r="D43" i="16"/>
  <c r="K43" i="16"/>
  <c r="C43" i="16"/>
  <c r="H43" i="16"/>
  <c r="B43" i="16"/>
  <c r="J43" i="16"/>
  <c r="I43" i="16"/>
  <c r="F40" i="16"/>
  <c r="M40" i="16"/>
  <c r="E40" i="16"/>
  <c r="L40" i="16"/>
  <c r="D40" i="16"/>
  <c r="K40" i="16"/>
  <c r="C40" i="16"/>
  <c r="J40" i="16"/>
  <c r="B40" i="16"/>
  <c r="I40" i="16"/>
  <c r="H40" i="16"/>
  <c r="G40" i="16"/>
  <c r="K39" i="16"/>
  <c r="C39" i="16"/>
  <c r="J39" i="16"/>
  <c r="B39" i="16"/>
  <c r="I39" i="16"/>
  <c r="H39" i="16"/>
  <c r="G39" i="16"/>
  <c r="M39" i="16"/>
  <c r="L39" i="16"/>
  <c r="F39" i="16"/>
  <c r="E39" i="16"/>
  <c r="D39" i="16"/>
  <c r="L113" i="16"/>
  <c r="D113" i="16"/>
  <c r="K113" i="16"/>
  <c r="C113" i="16"/>
  <c r="J113" i="16"/>
  <c r="B113" i="16"/>
  <c r="G113" i="16"/>
  <c r="F113" i="16"/>
  <c r="E113" i="16"/>
  <c r="H113" i="16"/>
  <c r="M113" i="16"/>
  <c r="I113" i="16"/>
  <c r="L82" i="16"/>
  <c r="D82" i="16"/>
  <c r="K82" i="16"/>
  <c r="C82" i="16"/>
  <c r="J82" i="16"/>
  <c r="B82" i="16"/>
  <c r="I82" i="16"/>
  <c r="H82" i="16"/>
  <c r="M82" i="16"/>
  <c r="G82" i="16"/>
  <c r="F82" i="16"/>
  <c r="E82" i="16"/>
  <c r="J76" i="16"/>
  <c r="B76" i="16"/>
  <c r="I76" i="16"/>
  <c r="H76" i="16"/>
  <c r="G76" i="16"/>
  <c r="F76" i="16"/>
  <c r="D76" i="16"/>
  <c r="C76" i="16"/>
  <c r="M76" i="16"/>
  <c r="L76" i="16"/>
  <c r="K76" i="16"/>
  <c r="E76" i="16"/>
  <c r="F8" i="16"/>
  <c r="M8" i="16"/>
  <c r="E8" i="16"/>
  <c r="L8" i="16"/>
  <c r="D8" i="16"/>
  <c r="K8" i="16"/>
  <c r="C8" i="16"/>
  <c r="J8" i="16"/>
  <c r="B8" i="16"/>
  <c r="I8" i="16"/>
  <c r="H8" i="16"/>
  <c r="G8" i="16"/>
  <c r="L50" i="16"/>
  <c r="D50" i="16"/>
  <c r="K50" i="16"/>
  <c r="C50" i="16"/>
  <c r="J50" i="16"/>
  <c r="B50" i="16"/>
  <c r="I50" i="16"/>
  <c r="H50" i="16"/>
  <c r="M50" i="16"/>
  <c r="G50" i="16"/>
  <c r="F50" i="16"/>
  <c r="E50" i="16"/>
  <c r="L29" i="16"/>
  <c r="D29" i="16"/>
  <c r="I29" i="16"/>
  <c r="C29" i="16"/>
  <c r="M29" i="16"/>
  <c r="B29" i="16"/>
  <c r="K29" i="16"/>
  <c r="J29" i="16"/>
  <c r="H29" i="16"/>
  <c r="G29" i="16"/>
  <c r="F29" i="16"/>
  <c r="E29" i="16"/>
  <c r="F80" i="16"/>
  <c r="M80" i="16"/>
  <c r="E80" i="16"/>
  <c r="L80" i="16"/>
  <c r="D80" i="16"/>
  <c r="K80" i="16"/>
  <c r="C80" i="16"/>
  <c r="J80" i="16"/>
  <c r="B80" i="16"/>
  <c r="I80" i="16"/>
  <c r="H80" i="16"/>
  <c r="G80" i="16"/>
  <c r="M61" i="16"/>
  <c r="E61" i="16"/>
  <c r="L61" i="16"/>
  <c r="D61" i="16"/>
  <c r="K61" i="16"/>
  <c r="C61" i="16"/>
  <c r="J61" i="16"/>
  <c r="B61" i="16"/>
  <c r="I61" i="16"/>
  <c r="G61" i="16"/>
  <c r="F61" i="16"/>
  <c r="H61" i="16"/>
  <c r="K79" i="16"/>
  <c r="C79" i="16"/>
  <c r="J79" i="16"/>
  <c r="B79" i="16"/>
  <c r="I79" i="16"/>
  <c r="H79" i="16"/>
  <c r="G79" i="16"/>
  <c r="F79" i="16"/>
  <c r="E79" i="16"/>
  <c r="D79" i="16"/>
  <c r="M79" i="16"/>
  <c r="L79" i="16"/>
  <c r="M132" i="16"/>
  <c r="E132" i="16"/>
  <c r="L132" i="16"/>
  <c r="D132" i="16"/>
  <c r="K132" i="16"/>
  <c r="C132" i="16"/>
  <c r="G132" i="16"/>
  <c r="B132" i="16"/>
  <c r="J132" i="16"/>
  <c r="I132" i="16"/>
  <c r="H132" i="16"/>
  <c r="F132" i="16"/>
  <c r="J36" i="16"/>
  <c r="B36" i="16"/>
  <c r="I36" i="16"/>
  <c r="F36" i="16"/>
  <c r="K36" i="16"/>
  <c r="H36" i="16"/>
  <c r="G36" i="16"/>
  <c r="E36" i="16"/>
  <c r="D36" i="16"/>
  <c r="C36" i="16"/>
  <c r="M36" i="16"/>
  <c r="L36" i="16"/>
  <c r="F64" i="16"/>
  <c r="M64" i="16"/>
  <c r="E64" i="16"/>
  <c r="L64" i="16"/>
  <c r="D64" i="16"/>
  <c r="K64" i="16"/>
  <c r="C64" i="16"/>
  <c r="J64" i="16"/>
  <c r="B64" i="16"/>
  <c r="I64" i="16"/>
  <c r="H64" i="16"/>
  <c r="G64" i="16"/>
  <c r="H25" i="16"/>
  <c r="M25" i="16"/>
  <c r="E25" i="16"/>
  <c r="L25" i="16"/>
  <c r="B25" i="16"/>
  <c r="K25" i="16"/>
  <c r="J25" i="16"/>
  <c r="I25" i="16"/>
  <c r="G25" i="16"/>
  <c r="F25" i="16"/>
  <c r="D25" i="16"/>
  <c r="C25" i="16"/>
  <c r="J108" i="16"/>
  <c r="B108" i="16"/>
  <c r="I108" i="16"/>
  <c r="H108" i="16"/>
  <c r="G108" i="16"/>
  <c r="F108" i="16"/>
  <c r="M108" i="16"/>
  <c r="L108" i="16"/>
  <c r="K108" i="16"/>
  <c r="E108" i="16"/>
  <c r="D108" i="16"/>
  <c r="C108" i="16"/>
  <c r="M155" i="16"/>
  <c r="E155" i="16"/>
  <c r="L155" i="16"/>
  <c r="D155" i="16"/>
  <c r="J155" i="16"/>
  <c r="B155" i="16"/>
  <c r="I155" i="16"/>
  <c r="H155" i="16"/>
  <c r="G155" i="16"/>
  <c r="F155" i="16"/>
  <c r="C155" i="16"/>
  <c r="K155" i="16"/>
  <c r="L66" i="16"/>
  <c r="D66" i="16"/>
  <c r="K66" i="16"/>
  <c r="C66" i="16"/>
  <c r="J66" i="16"/>
  <c r="B66" i="16"/>
  <c r="I66" i="16"/>
  <c r="H66" i="16"/>
  <c r="F66" i="16"/>
  <c r="E66" i="16"/>
  <c r="M66" i="16"/>
  <c r="G66" i="16"/>
  <c r="G140" i="16"/>
  <c r="M140" i="16"/>
  <c r="E140" i="16"/>
  <c r="L140" i="16"/>
  <c r="D140" i="16"/>
  <c r="K140" i="16"/>
  <c r="C140" i="16"/>
  <c r="H140" i="16"/>
  <c r="B140" i="16"/>
  <c r="J140" i="16"/>
  <c r="I140" i="16"/>
  <c r="F140" i="16"/>
  <c r="I151" i="16"/>
  <c r="H151" i="16"/>
  <c r="F151" i="16"/>
  <c r="M151" i="16"/>
  <c r="E151" i="16"/>
  <c r="L151" i="16"/>
  <c r="D151" i="16"/>
  <c r="J151" i="16"/>
  <c r="C151" i="16"/>
  <c r="B151" i="16"/>
  <c r="K151" i="16"/>
  <c r="G151" i="16"/>
  <c r="L42" i="16"/>
  <c r="D42" i="16"/>
  <c r="K42" i="16"/>
  <c r="C42" i="16"/>
  <c r="J42" i="16"/>
  <c r="B42" i="16"/>
  <c r="I42" i="16"/>
  <c r="H42" i="16"/>
  <c r="M42" i="16"/>
  <c r="G42" i="16"/>
  <c r="F42" i="16"/>
  <c r="E42" i="16"/>
  <c r="K87" i="16"/>
  <c r="C87" i="16"/>
  <c r="J87" i="16"/>
  <c r="B87" i="16"/>
  <c r="I87" i="16"/>
  <c r="H87" i="16"/>
  <c r="G87" i="16"/>
  <c r="L87" i="16"/>
  <c r="F87" i="16"/>
  <c r="E87" i="16"/>
  <c r="D87" i="16"/>
  <c r="M87" i="16"/>
  <c r="I105" i="16"/>
  <c r="H105" i="16"/>
  <c r="G105" i="16"/>
  <c r="F105" i="16"/>
  <c r="M105" i="16"/>
  <c r="E105" i="16"/>
  <c r="K105" i="16"/>
  <c r="J105" i="16"/>
  <c r="D105" i="16"/>
  <c r="C105" i="16"/>
  <c r="B105" i="16"/>
  <c r="L105" i="16"/>
  <c r="J154" i="16"/>
  <c r="B154" i="16"/>
  <c r="I154" i="16"/>
  <c r="G154" i="16"/>
  <c r="F154" i="16"/>
  <c r="M154" i="16"/>
  <c r="E154" i="16"/>
  <c r="L154" i="16"/>
  <c r="D154" i="16"/>
  <c r="K154" i="16"/>
  <c r="H154" i="16"/>
  <c r="C154" i="16"/>
  <c r="I9" i="16"/>
  <c r="H9" i="16"/>
  <c r="G9" i="16"/>
  <c r="F9" i="16"/>
  <c r="M9" i="16"/>
  <c r="E9" i="16"/>
  <c r="L9" i="16"/>
  <c r="D9" i="16"/>
  <c r="K9" i="16"/>
  <c r="C9" i="16"/>
  <c r="J9" i="16"/>
  <c r="B9" i="16"/>
  <c r="F145" i="16"/>
  <c r="L145" i="16"/>
  <c r="D145" i="16"/>
  <c r="K145" i="16"/>
  <c r="C145" i="16"/>
  <c r="J145" i="16"/>
  <c r="B145" i="16"/>
  <c r="G145" i="16"/>
  <c r="M145" i="16"/>
  <c r="I145" i="16"/>
  <c r="H145" i="16"/>
  <c r="E145" i="16"/>
  <c r="J84" i="16"/>
  <c r="B84" i="16"/>
  <c r="I84" i="16"/>
  <c r="H84" i="16"/>
  <c r="G84" i="16"/>
  <c r="F84" i="16"/>
  <c r="E84" i="16"/>
  <c r="D84" i="16"/>
  <c r="C84" i="16"/>
  <c r="M84" i="16"/>
  <c r="L84" i="16"/>
  <c r="K84" i="16"/>
  <c r="I136" i="16"/>
  <c r="H136" i="16"/>
  <c r="G136" i="16"/>
  <c r="E136" i="16"/>
  <c r="C136" i="16"/>
  <c r="M136" i="16"/>
  <c r="B136" i="16"/>
  <c r="L136" i="16"/>
  <c r="K136" i="16"/>
  <c r="J136" i="16"/>
  <c r="F136" i="16"/>
  <c r="D136" i="16"/>
  <c r="F16" i="16"/>
  <c r="M16" i="16"/>
  <c r="E16" i="16"/>
  <c r="L16" i="16"/>
  <c r="D16" i="16"/>
  <c r="K16" i="16"/>
  <c r="C16" i="16"/>
  <c r="J16" i="16"/>
  <c r="B16" i="16"/>
  <c r="I16" i="16"/>
  <c r="H16" i="16"/>
  <c r="G16" i="16"/>
  <c r="G107" i="16"/>
  <c r="F107" i="16"/>
  <c r="M107" i="16"/>
  <c r="E107" i="16"/>
  <c r="L107" i="16"/>
  <c r="D107" i="16"/>
  <c r="K107" i="16"/>
  <c r="C107" i="16"/>
  <c r="H107" i="16"/>
  <c r="B107" i="16"/>
  <c r="J107" i="16"/>
  <c r="I107" i="16"/>
  <c r="H40" i="11"/>
  <c r="K63" i="16"/>
  <c r="C63" i="16"/>
  <c r="J63" i="16"/>
  <c r="B63" i="16"/>
  <c r="I63" i="16"/>
  <c r="H63" i="16"/>
  <c r="G63" i="16"/>
  <c r="D63" i="16"/>
  <c r="M63" i="16"/>
  <c r="L63" i="16"/>
  <c r="F63" i="16"/>
  <c r="E63" i="16"/>
  <c r="L152" i="16"/>
  <c r="D152" i="16"/>
  <c r="K152" i="16"/>
  <c r="C152" i="16"/>
  <c r="I152" i="16"/>
  <c r="H152" i="16"/>
  <c r="G152" i="16"/>
  <c r="M152" i="16"/>
  <c r="J152" i="16"/>
  <c r="F152" i="16"/>
  <c r="E152" i="16"/>
  <c r="B152" i="16"/>
  <c r="G130" i="16"/>
  <c r="F130" i="16"/>
  <c r="M130" i="16"/>
  <c r="E130" i="16"/>
  <c r="H130" i="16"/>
  <c r="C130" i="16"/>
  <c r="B130" i="16"/>
  <c r="L130" i="16"/>
  <c r="K130" i="16"/>
  <c r="J130" i="16"/>
  <c r="I130" i="16"/>
  <c r="D130" i="16"/>
  <c r="G51" i="16"/>
  <c r="F51" i="16"/>
  <c r="M51" i="16"/>
  <c r="E51" i="16"/>
  <c r="L51" i="16"/>
  <c r="D51" i="16"/>
  <c r="K51" i="16"/>
  <c r="C51" i="16"/>
  <c r="I51" i="16"/>
  <c r="H51" i="16"/>
  <c r="B51" i="16"/>
  <c r="J51" i="16"/>
  <c r="J131" i="16"/>
  <c r="B131" i="16"/>
  <c r="I131" i="16"/>
  <c r="H131" i="16"/>
  <c r="F131" i="16"/>
  <c r="D131" i="16"/>
  <c r="C131" i="16"/>
  <c r="M131" i="16"/>
  <c r="L131" i="16"/>
  <c r="K131" i="16"/>
  <c r="G131" i="16"/>
  <c r="E131" i="16"/>
  <c r="H117" i="16"/>
  <c r="G117" i="16"/>
  <c r="F117" i="16"/>
  <c r="E117" i="16"/>
  <c r="D117" i="16"/>
  <c r="C117" i="16"/>
  <c r="M117" i="16"/>
  <c r="B117" i="16"/>
  <c r="L117" i="16"/>
  <c r="K117" i="16"/>
  <c r="J117" i="16"/>
  <c r="I117" i="16"/>
  <c r="K71" i="16"/>
  <c r="C71" i="16"/>
  <c r="J71" i="16"/>
  <c r="B71" i="16"/>
  <c r="I71" i="16"/>
  <c r="H71" i="16"/>
  <c r="G71" i="16"/>
  <c r="E71" i="16"/>
  <c r="D71" i="16"/>
  <c r="M71" i="16"/>
  <c r="L71" i="16"/>
  <c r="F71" i="16"/>
  <c r="I128" i="16"/>
  <c r="H128" i="16"/>
  <c r="G128" i="16"/>
  <c r="F128" i="16"/>
  <c r="D128" i="16"/>
  <c r="C128" i="16"/>
  <c r="M128" i="16"/>
  <c r="B128" i="16"/>
  <c r="L128" i="16"/>
  <c r="K128" i="16"/>
  <c r="J128" i="16"/>
  <c r="E128" i="16"/>
  <c r="F72" i="16"/>
  <c r="M72" i="16"/>
  <c r="E72" i="16"/>
  <c r="L72" i="16"/>
  <c r="D72" i="16"/>
  <c r="K72" i="16"/>
  <c r="C72" i="16"/>
  <c r="J72" i="16"/>
  <c r="B72" i="16"/>
  <c r="I72" i="16"/>
  <c r="H72" i="16"/>
  <c r="G72" i="16"/>
  <c r="G138" i="16"/>
  <c r="F138" i="16"/>
  <c r="M138" i="16"/>
  <c r="E138" i="16"/>
  <c r="D138" i="16"/>
  <c r="B138" i="16"/>
  <c r="L138" i="16"/>
  <c r="K138" i="16"/>
  <c r="J138" i="16"/>
  <c r="I138" i="16"/>
  <c r="H138" i="16"/>
  <c r="C138" i="16"/>
  <c r="K95" i="16"/>
  <c r="C95" i="16"/>
  <c r="J95" i="16"/>
  <c r="B95" i="16"/>
  <c r="I95" i="16"/>
  <c r="H95" i="16"/>
  <c r="G95" i="16"/>
  <c r="M95" i="16"/>
  <c r="L95" i="16"/>
  <c r="F95" i="16"/>
  <c r="E95" i="16"/>
  <c r="D95" i="16"/>
  <c r="M13" i="16"/>
  <c r="E13" i="16"/>
  <c r="L13" i="16"/>
  <c r="D13" i="16"/>
  <c r="K13" i="16"/>
  <c r="C13" i="16"/>
  <c r="J13" i="16"/>
  <c r="B13" i="16"/>
  <c r="I13" i="16"/>
  <c r="H13" i="16"/>
  <c r="G13" i="16"/>
  <c r="F13" i="16"/>
  <c r="J100" i="16"/>
  <c r="B100" i="16"/>
  <c r="I100" i="16"/>
  <c r="H100" i="16"/>
  <c r="G100" i="16"/>
  <c r="F100" i="16"/>
  <c r="L100" i="16"/>
  <c r="K100" i="16"/>
  <c r="E100" i="16"/>
  <c r="D100" i="16"/>
  <c r="C100" i="16"/>
  <c r="M100" i="16"/>
  <c r="M142" i="16"/>
  <c r="E142" i="16"/>
  <c r="K142" i="16"/>
  <c r="C142" i="16"/>
  <c r="J142" i="16"/>
  <c r="B142" i="16"/>
  <c r="I142" i="16"/>
  <c r="H142" i="16"/>
  <c r="G142" i="16"/>
  <c r="F142" i="16"/>
  <c r="D142" i="16"/>
  <c r="L142" i="16"/>
  <c r="G30" i="16"/>
  <c r="L30" i="16"/>
  <c r="D30" i="16"/>
  <c r="K30" i="16"/>
  <c r="J30" i="16"/>
  <c r="I30" i="16"/>
  <c r="H30" i="16"/>
  <c r="F30" i="16"/>
  <c r="E30" i="16"/>
  <c r="C30" i="16"/>
  <c r="M30" i="16"/>
  <c r="B30" i="16"/>
  <c r="I73" i="16"/>
  <c r="H73" i="16"/>
  <c r="G73" i="16"/>
  <c r="F73" i="16"/>
  <c r="M73" i="16"/>
  <c r="E73" i="16"/>
  <c r="B73" i="16"/>
  <c r="L73" i="16"/>
  <c r="K73" i="16"/>
  <c r="J73" i="16"/>
  <c r="D73" i="16"/>
  <c r="C73" i="16"/>
  <c r="G122" i="16"/>
  <c r="F122" i="16"/>
  <c r="M122" i="16"/>
  <c r="E122" i="16"/>
  <c r="I122" i="16"/>
  <c r="D122" i="16"/>
  <c r="C122" i="16"/>
  <c r="B122" i="16"/>
  <c r="L122" i="16"/>
  <c r="K122" i="16"/>
  <c r="J122" i="16"/>
  <c r="H122" i="16"/>
  <c r="M109" i="16"/>
  <c r="E109" i="16"/>
  <c r="L109" i="16"/>
  <c r="D109" i="16"/>
  <c r="K109" i="16"/>
  <c r="C109" i="16"/>
  <c r="J109" i="16"/>
  <c r="B109" i="16"/>
  <c r="I109" i="16"/>
  <c r="H109" i="16"/>
  <c r="G109" i="16"/>
  <c r="F109" i="16"/>
  <c r="H86" i="16"/>
  <c r="G86" i="16"/>
  <c r="F86" i="16"/>
  <c r="M86" i="16"/>
  <c r="E86" i="16"/>
  <c r="L86" i="16"/>
  <c r="D86" i="16"/>
  <c r="B86" i="16"/>
  <c r="K86" i="16"/>
  <c r="J86" i="16"/>
  <c r="I86" i="16"/>
  <c r="C86" i="16"/>
  <c r="M53" i="16"/>
  <c r="E53" i="16"/>
  <c r="L53" i="16"/>
  <c r="D53" i="16"/>
  <c r="K53" i="16"/>
  <c r="C53" i="16"/>
  <c r="J53" i="16"/>
  <c r="B53" i="16"/>
  <c r="I53" i="16"/>
  <c r="F53" i="16"/>
  <c r="H53" i="16"/>
  <c r="G53" i="16"/>
  <c r="K103" i="16"/>
  <c r="C103" i="16"/>
  <c r="J103" i="16"/>
  <c r="B103" i="16"/>
  <c r="I103" i="16"/>
  <c r="H103" i="16"/>
  <c r="G103" i="16"/>
  <c r="M103" i="16"/>
  <c r="L103" i="16"/>
  <c r="F103" i="16"/>
  <c r="E103" i="16"/>
  <c r="D103" i="16"/>
  <c r="J12" i="16"/>
  <c r="B12" i="16"/>
  <c r="I12" i="16"/>
  <c r="H12" i="16"/>
  <c r="G12" i="16"/>
  <c r="F12" i="16"/>
  <c r="M12" i="16"/>
  <c r="E12" i="16"/>
  <c r="L12" i="16"/>
  <c r="D12" i="16"/>
  <c r="K12" i="16"/>
  <c r="C12" i="16"/>
  <c r="H38" i="16"/>
  <c r="G38" i="16"/>
  <c r="L38" i="16"/>
  <c r="D38" i="16"/>
  <c r="J38" i="16"/>
  <c r="I38" i="16"/>
  <c r="F38" i="16"/>
  <c r="E38" i="16"/>
  <c r="C38" i="16"/>
  <c r="B38" i="16"/>
  <c r="M38" i="16"/>
  <c r="K38" i="16"/>
  <c r="G153" i="16"/>
  <c r="F153" i="16"/>
  <c r="L153" i="16"/>
  <c r="D153" i="16"/>
  <c r="K153" i="16"/>
  <c r="C153" i="16"/>
  <c r="J153" i="16"/>
  <c r="B153" i="16"/>
  <c r="I153" i="16"/>
  <c r="H153" i="16"/>
  <c r="M153" i="16"/>
  <c r="E153" i="16"/>
  <c r="M85" i="16"/>
  <c r="E85" i="16"/>
  <c r="L85" i="16"/>
  <c r="D85" i="16"/>
  <c r="K85" i="16"/>
  <c r="C85" i="16"/>
  <c r="J85" i="16"/>
  <c r="B85" i="16"/>
  <c r="I85" i="16"/>
  <c r="H85" i="16"/>
  <c r="G85" i="16"/>
  <c r="F85" i="16"/>
  <c r="G148" i="16"/>
  <c r="M148" i="16"/>
  <c r="E148" i="16"/>
  <c r="L148" i="16"/>
  <c r="D148" i="16"/>
  <c r="K148" i="16"/>
  <c r="C148" i="16"/>
  <c r="J148" i="16"/>
  <c r="I148" i="16"/>
  <c r="H148" i="16"/>
  <c r="F148" i="16"/>
  <c r="B148" i="16"/>
  <c r="I49" i="16"/>
  <c r="H49" i="16"/>
  <c r="G49" i="16"/>
  <c r="F49" i="16"/>
  <c r="M49" i="16"/>
  <c r="E49" i="16"/>
  <c r="L49" i="16"/>
  <c r="K49" i="16"/>
  <c r="J49" i="16"/>
  <c r="D49" i="16"/>
  <c r="C49" i="16"/>
  <c r="B49" i="16"/>
  <c r="J141" i="16"/>
  <c r="B141" i="16"/>
  <c r="H141" i="16"/>
  <c r="G141" i="16"/>
  <c r="F141" i="16"/>
  <c r="K141" i="16"/>
  <c r="E141" i="16"/>
  <c r="D141" i="16"/>
  <c r="C141" i="16"/>
  <c r="M141" i="16"/>
  <c r="L141" i="16"/>
  <c r="I141" i="16"/>
  <c r="I28" i="16"/>
  <c r="F28" i="16"/>
  <c r="E28" i="16"/>
  <c r="D28" i="16"/>
  <c r="M28" i="16"/>
  <c r="C28" i="16"/>
  <c r="L28" i="16"/>
  <c r="B28" i="16"/>
  <c r="K28" i="16"/>
  <c r="J28" i="16"/>
  <c r="H28" i="16"/>
  <c r="G28" i="16"/>
  <c r="F56" i="16"/>
  <c r="M56" i="16"/>
  <c r="E56" i="16"/>
  <c r="L56" i="16"/>
  <c r="D56" i="16"/>
  <c r="K56" i="16"/>
  <c r="C56" i="16"/>
  <c r="J56" i="16"/>
  <c r="B56" i="16"/>
  <c r="H56" i="16"/>
  <c r="G56" i="16"/>
  <c r="I56" i="16"/>
  <c r="H33" i="16"/>
  <c r="M33" i="16"/>
  <c r="E33" i="16"/>
  <c r="D33" i="16"/>
  <c r="C33" i="16"/>
  <c r="L33" i="16"/>
  <c r="B33" i="16"/>
  <c r="K33" i="16"/>
  <c r="J33" i="16"/>
  <c r="I33" i="16"/>
  <c r="G33" i="16"/>
  <c r="F33" i="16"/>
  <c r="K26" i="16"/>
  <c r="C26" i="16"/>
  <c r="H26" i="16"/>
  <c r="J26" i="16"/>
  <c r="I26" i="16"/>
  <c r="G26" i="16"/>
  <c r="F26" i="16"/>
  <c r="E26" i="16"/>
  <c r="D26" i="16"/>
  <c r="M26" i="16"/>
  <c r="B26" i="16"/>
  <c r="L26" i="16"/>
  <c r="F135" i="16"/>
  <c r="M135" i="16"/>
  <c r="E135" i="16"/>
  <c r="L135" i="16"/>
  <c r="D135" i="16"/>
  <c r="G135" i="16"/>
  <c r="B135" i="16"/>
  <c r="K135" i="16"/>
  <c r="J135" i="16"/>
  <c r="I135" i="16"/>
  <c r="H135" i="16"/>
  <c r="C135" i="16"/>
  <c r="K18" i="16"/>
  <c r="C18" i="16"/>
  <c r="H18" i="16"/>
  <c r="G18" i="16"/>
  <c r="F18" i="16"/>
  <c r="E18" i="16"/>
  <c r="D18" i="16"/>
  <c r="M18" i="16"/>
  <c r="B18" i="16"/>
  <c r="L18" i="16"/>
  <c r="J18" i="16"/>
  <c r="I18" i="16"/>
  <c r="H102" i="16"/>
  <c r="G102" i="16"/>
  <c r="F102" i="16"/>
  <c r="M102" i="16"/>
  <c r="E102" i="16"/>
  <c r="L102" i="16"/>
  <c r="D102" i="16"/>
  <c r="I102" i="16"/>
  <c r="C102" i="16"/>
  <c r="B102" i="16"/>
  <c r="K102" i="16"/>
  <c r="J102" i="16"/>
  <c r="M37" i="16"/>
  <c r="E37" i="16"/>
  <c r="L37" i="16"/>
  <c r="D37" i="16"/>
  <c r="I37" i="16"/>
  <c r="J37" i="16"/>
  <c r="H37" i="16"/>
  <c r="G37" i="16"/>
  <c r="F37" i="16"/>
  <c r="C37" i="16"/>
  <c r="B37" i="16"/>
  <c r="K37" i="16"/>
  <c r="J68" i="16"/>
  <c r="B68" i="16"/>
  <c r="I68" i="16"/>
  <c r="H68" i="16"/>
  <c r="G68" i="16"/>
  <c r="F68" i="16"/>
  <c r="C68" i="16"/>
  <c r="M68" i="16"/>
  <c r="L68" i="16"/>
  <c r="K68" i="16"/>
  <c r="E68" i="16"/>
  <c r="D68" i="16"/>
  <c r="K7" i="16"/>
  <c r="C7" i="16"/>
  <c r="J7" i="16"/>
  <c r="B7" i="16"/>
  <c r="I7" i="16"/>
  <c r="H7" i="16"/>
  <c r="G7" i="16"/>
  <c r="F7" i="16"/>
  <c r="M7" i="16"/>
  <c r="E7" i="16"/>
  <c r="L7" i="16"/>
  <c r="D7" i="16"/>
  <c r="I112" i="16"/>
  <c r="H112" i="16"/>
  <c r="G112" i="16"/>
  <c r="F112" i="16"/>
  <c r="E112" i="16"/>
  <c r="D112" i="16"/>
  <c r="C112" i="16"/>
  <c r="M112" i="16"/>
  <c r="B112" i="16"/>
  <c r="L112" i="16"/>
  <c r="K112" i="16"/>
  <c r="J112" i="16"/>
  <c r="F111" i="16"/>
  <c r="M111" i="16"/>
  <c r="E111" i="16"/>
  <c r="L111" i="16"/>
  <c r="D111" i="16"/>
  <c r="H111" i="16"/>
  <c r="G111" i="16"/>
  <c r="C111" i="16"/>
  <c r="B111" i="16"/>
  <c r="K111" i="16"/>
  <c r="J111" i="16"/>
  <c r="I111" i="16"/>
  <c r="J92" i="16"/>
  <c r="B92" i="16"/>
  <c r="I92" i="16"/>
  <c r="H92" i="16"/>
  <c r="G92" i="16"/>
  <c r="F92" i="16"/>
  <c r="K92" i="16"/>
  <c r="E92" i="16"/>
  <c r="D92" i="16"/>
  <c r="C92" i="16"/>
  <c r="M92" i="16"/>
  <c r="L92" i="16"/>
  <c r="K144" i="16"/>
  <c r="C144" i="16"/>
  <c r="I144" i="16"/>
  <c r="H144" i="16"/>
  <c r="G144" i="16"/>
  <c r="D144" i="16"/>
  <c r="M144" i="16"/>
  <c r="L144" i="16"/>
  <c r="J144" i="16"/>
  <c r="F144" i="16"/>
  <c r="E144" i="16"/>
  <c r="B144" i="16"/>
  <c r="Z5" i="14"/>
  <c r="Y6" i="14"/>
  <c r="L21" i="16"/>
  <c r="D21" i="16"/>
  <c r="I21" i="16"/>
  <c r="K21" i="16"/>
  <c r="J21" i="16"/>
  <c r="H21" i="16"/>
  <c r="G21" i="16"/>
  <c r="F21" i="16"/>
  <c r="E21" i="16"/>
  <c r="C21" i="16"/>
  <c r="M21" i="16"/>
  <c r="B21" i="16"/>
  <c r="I65" i="16"/>
  <c r="H65" i="16"/>
  <c r="G65" i="16"/>
  <c r="F65" i="16"/>
  <c r="M65" i="16"/>
  <c r="E65" i="16"/>
  <c r="L65" i="16"/>
  <c r="K65" i="16"/>
  <c r="J65" i="16"/>
  <c r="D65" i="16"/>
  <c r="C65" i="16"/>
  <c r="B65" i="16"/>
  <c r="G114" i="16"/>
  <c r="F114" i="16"/>
  <c r="M114" i="16"/>
  <c r="E114" i="16"/>
  <c r="H114" i="16"/>
  <c r="D114" i="16"/>
  <c r="C114" i="16"/>
  <c r="B114" i="16"/>
  <c r="L114" i="16"/>
  <c r="K114" i="16"/>
  <c r="J114" i="16"/>
  <c r="I114" i="16"/>
  <c r="L121" i="16"/>
  <c r="D121" i="16"/>
  <c r="K121" i="16"/>
  <c r="C121" i="16"/>
  <c r="J121" i="16"/>
  <c r="B121" i="16"/>
  <c r="H121" i="16"/>
  <c r="F121" i="16"/>
  <c r="E121" i="16"/>
  <c r="M121" i="16"/>
  <c r="I121" i="16"/>
  <c r="G121" i="16"/>
  <c r="M150" i="16"/>
  <c r="E150" i="16"/>
  <c r="K150" i="16"/>
  <c r="C150" i="16"/>
  <c r="J150" i="16"/>
  <c r="B150" i="16"/>
  <c r="I150" i="16"/>
  <c r="F150" i="16"/>
  <c r="L150" i="16"/>
  <c r="H150" i="16"/>
  <c r="G150" i="16"/>
  <c r="D150" i="16"/>
  <c r="M116" i="16"/>
  <c r="E116" i="16"/>
  <c r="L116" i="16"/>
  <c r="D116" i="16"/>
  <c r="K116" i="16"/>
  <c r="C116" i="16"/>
  <c r="G116" i="16"/>
  <c r="F116" i="16"/>
  <c r="B116" i="16"/>
  <c r="J116" i="16"/>
  <c r="I116" i="16"/>
  <c r="H116" i="16"/>
  <c r="M17" i="16"/>
  <c r="E17" i="16"/>
  <c r="J17" i="16"/>
  <c r="I17" i="16"/>
  <c r="H17" i="16"/>
  <c r="G17" i="16"/>
  <c r="F17" i="16"/>
  <c r="D17" i="16"/>
  <c r="L17" i="16"/>
  <c r="C17" i="16"/>
  <c r="K17" i="16"/>
  <c r="B17" i="16"/>
  <c r="K118" i="16"/>
  <c r="C118" i="16"/>
  <c r="J118" i="16"/>
  <c r="B118" i="16"/>
  <c r="I118" i="16"/>
  <c r="H118" i="16"/>
  <c r="F118" i="16"/>
  <c r="E118" i="16"/>
  <c r="D118" i="16"/>
  <c r="M118" i="16"/>
  <c r="L118" i="16"/>
  <c r="G118" i="16"/>
  <c r="F127" i="16"/>
  <c r="M127" i="16"/>
  <c r="E127" i="16"/>
  <c r="L127" i="16"/>
  <c r="D127" i="16"/>
  <c r="H127" i="16"/>
  <c r="C127" i="16"/>
  <c r="B127" i="16"/>
  <c r="K127" i="16"/>
  <c r="J127" i="16"/>
  <c r="I127" i="16"/>
  <c r="G127" i="16"/>
  <c r="L58" i="16"/>
  <c r="D58" i="16"/>
  <c r="K58" i="16"/>
  <c r="C58" i="16"/>
  <c r="J58" i="16"/>
  <c r="B58" i="16"/>
  <c r="I58" i="16"/>
  <c r="H58" i="16"/>
  <c r="E58" i="16"/>
  <c r="M58" i="16"/>
  <c r="G58" i="16"/>
  <c r="F58" i="16"/>
  <c r="H70" i="16"/>
  <c r="G70" i="16"/>
  <c r="F70" i="16"/>
  <c r="M70" i="16"/>
  <c r="E70" i="16"/>
  <c r="L70" i="16"/>
  <c r="D70" i="16"/>
  <c r="K70" i="16"/>
  <c r="J70" i="16"/>
  <c r="I70" i="16"/>
  <c r="C70" i="16"/>
  <c r="B70" i="16"/>
  <c r="H14" i="16"/>
  <c r="G14" i="16"/>
  <c r="F14" i="16"/>
  <c r="M14" i="16"/>
  <c r="E14" i="16"/>
  <c r="L14" i="16"/>
  <c r="D14" i="16"/>
  <c r="K14" i="16"/>
  <c r="C14" i="16"/>
  <c r="J14" i="16"/>
  <c r="B14" i="16"/>
  <c r="I14" i="16"/>
  <c r="K47" i="16"/>
  <c r="C47" i="16"/>
  <c r="J47" i="16"/>
  <c r="B47" i="16"/>
  <c r="I47" i="16"/>
  <c r="H47" i="16"/>
  <c r="G47" i="16"/>
  <c r="M47" i="16"/>
  <c r="L47" i="16"/>
  <c r="F47" i="16"/>
  <c r="E47" i="16"/>
  <c r="D47" i="16"/>
  <c r="G75" i="16"/>
  <c r="F75" i="16"/>
  <c r="M75" i="16"/>
  <c r="E75" i="16"/>
  <c r="L75" i="16"/>
  <c r="D75" i="16"/>
  <c r="K75" i="16"/>
  <c r="C75" i="16"/>
  <c r="J75" i="16"/>
  <c r="I75" i="16"/>
  <c r="H75" i="16"/>
  <c r="B75" i="16"/>
  <c r="M124" i="16"/>
  <c r="E124" i="16"/>
  <c r="L124" i="16"/>
  <c r="D124" i="16"/>
  <c r="K124" i="16"/>
  <c r="C124" i="16"/>
  <c r="H124" i="16"/>
  <c r="F124" i="16"/>
  <c r="B124" i="16"/>
  <c r="J124" i="16"/>
  <c r="I124" i="16"/>
  <c r="G124" i="16"/>
  <c r="H156" i="16"/>
  <c r="G156" i="16"/>
  <c r="M156" i="16"/>
  <c r="E156" i="16"/>
  <c r="L156" i="16"/>
  <c r="D156" i="16"/>
  <c r="K156" i="16"/>
  <c r="C156" i="16"/>
  <c r="J156" i="16"/>
  <c r="B156" i="16"/>
  <c r="I156" i="16"/>
  <c r="F156" i="16"/>
  <c r="K55" i="16"/>
  <c r="C55" i="16"/>
  <c r="J55" i="16"/>
  <c r="B55" i="16"/>
  <c r="I55" i="16"/>
  <c r="H55" i="16"/>
  <c r="G55" i="16"/>
  <c r="M55" i="16"/>
  <c r="L55" i="16"/>
  <c r="F55" i="16"/>
  <c r="E55" i="16"/>
  <c r="D55" i="16"/>
  <c r="F27" i="16"/>
  <c r="K27" i="16"/>
  <c r="C27" i="16"/>
  <c r="H27" i="16"/>
  <c r="G27" i="16"/>
  <c r="E27" i="16"/>
  <c r="D27" i="16"/>
  <c r="M27" i="16"/>
  <c r="B27" i="16"/>
  <c r="L27" i="16"/>
  <c r="J27" i="16"/>
  <c r="I27" i="16"/>
  <c r="M77" i="16"/>
  <c r="E77" i="16"/>
  <c r="L77" i="16"/>
  <c r="D77" i="16"/>
  <c r="K77" i="16"/>
  <c r="C77" i="16"/>
  <c r="J77" i="16"/>
  <c r="B77" i="16"/>
  <c r="I77" i="16"/>
  <c r="H77" i="16"/>
  <c r="G77" i="16"/>
  <c r="F77" i="16"/>
  <c r="I97" i="16"/>
  <c r="H97" i="16"/>
  <c r="G97" i="16"/>
  <c r="F97" i="16"/>
  <c r="M97" i="16"/>
  <c r="E97" i="16"/>
  <c r="J97" i="16"/>
  <c r="D97" i="16"/>
  <c r="C97" i="16"/>
  <c r="B97" i="16"/>
  <c r="L97" i="16"/>
  <c r="K97" i="16"/>
  <c r="G22" i="16"/>
  <c r="L22" i="16"/>
  <c r="D22" i="16"/>
  <c r="I22" i="16"/>
  <c r="H22" i="16"/>
  <c r="F22" i="16"/>
  <c r="E22" i="16"/>
  <c r="C22" i="16"/>
  <c r="M22" i="16"/>
  <c r="B22" i="16"/>
  <c r="K22" i="16"/>
  <c r="J22" i="16"/>
  <c r="H46" i="16"/>
  <c r="G46" i="16"/>
  <c r="F46" i="16"/>
  <c r="M46" i="16"/>
  <c r="E46" i="16"/>
  <c r="L46" i="16"/>
  <c r="D46" i="16"/>
  <c r="J46" i="16"/>
  <c r="I46" i="16"/>
  <c r="C46" i="16"/>
  <c r="B46" i="16"/>
  <c r="K46" i="16"/>
  <c r="L10" i="16"/>
  <c r="D10" i="16"/>
  <c r="K10" i="16"/>
  <c r="C10" i="16"/>
  <c r="J10" i="16"/>
  <c r="B10" i="16"/>
  <c r="I10" i="16"/>
  <c r="H10" i="16"/>
  <c r="G10" i="16"/>
  <c r="F10" i="16"/>
  <c r="M10" i="16"/>
  <c r="E10" i="16"/>
  <c r="I57" i="16"/>
  <c r="H57" i="16"/>
  <c r="G57" i="16"/>
  <c r="F57" i="16"/>
  <c r="M57" i="16"/>
  <c r="E57" i="16"/>
  <c r="L57" i="16"/>
  <c r="K57" i="16"/>
  <c r="J57" i="16"/>
  <c r="D57" i="16"/>
  <c r="C57" i="16"/>
  <c r="B57" i="16"/>
  <c r="J149" i="16"/>
  <c r="B149" i="16"/>
  <c r="H149" i="16"/>
  <c r="G149" i="16"/>
  <c r="F149" i="16"/>
  <c r="C149" i="16"/>
  <c r="M149" i="16"/>
  <c r="L149" i="16"/>
  <c r="K149" i="16"/>
  <c r="I149" i="16"/>
  <c r="E149" i="16"/>
  <c r="D149" i="16"/>
  <c r="M24" i="16"/>
  <c r="E24" i="16"/>
  <c r="J24" i="16"/>
  <c r="B24" i="16"/>
  <c r="D24" i="16"/>
  <c r="C24" i="16"/>
  <c r="L24" i="16"/>
  <c r="K24" i="16"/>
  <c r="I24" i="16"/>
  <c r="H24" i="16"/>
  <c r="G24" i="16"/>
  <c r="F24" i="16"/>
  <c r="J23" i="16"/>
  <c r="B23" i="16"/>
  <c r="G23" i="16"/>
  <c r="F23" i="16"/>
  <c r="E23" i="16"/>
  <c r="D23" i="16"/>
  <c r="M23" i="16"/>
  <c r="C23" i="16"/>
  <c r="L23" i="16"/>
  <c r="K23" i="16"/>
  <c r="I23" i="16"/>
  <c r="H23" i="16"/>
  <c r="J52" i="16"/>
  <c r="B52" i="16"/>
  <c r="I52" i="16"/>
  <c r="H52" i="16"/>
  <c r="G52" i="16"/>
  <c r="F52" i="16"/>
  <c r="M52" i="16"/>
  <c r="L52" i="16"/>
  <c r="K52" i="16"/>
  <c r="E52" i="16"/>
  <c r="D52" i="16"/>
  <c r="C52" i="16"/>
  <c r="M45" i="16"/>
  <c r="E45" i="16"/>
  <c r="L45" i="16"/>
  <c r="D45" i="16"/>
  <c r="K45" i="16"/>
  <c r="C45" i="16"/>
  <c r="J45" i="16"/>
  <c r="B45" i="16"/>
  <c r="I45" i="16"/>
  <c r="H45" i="16"/>
  <c r="G45" i="16"/>
  <c r="F45" i="16"/>
  <c r="H62" i="16"/>
  <c r="G62" i="16"/>
  <c r="F62" i="16"/>
  <c r="M62" i="16"/>
  <c r="E62" i="16"/>
  <c r="L62" i="16"/>
  <c r="D62" i="16"/>
  <c r="K62" i="16"/>
  <c r="J62" i="16"/>
  <c r="I62" i="16"/>
  <c r="C62" i="16"/>
  <c r="B62" i="16"/>
  <c r="K34" i="16"/>
  <c r="C34" i="16"/>
  <c r="H34" i="16"/>
  <c r="M34" i="16"/>
  <c r="B34" i="16"/>
  <c r="L34" i="16"/>
  <c r="J34" i="16"/>
  <c r="I34" i="16"/>
  <c r="G34" i="16"/>
  <c r="F34" i="16"/>
  <c r="E34" i="16"/>
  <c r="D34" i="16"/>
  <c r="M101" i="16"/>
  <c r="E101" i="16"/>
  <c r="L101" i="16"/>
  <c r="D101" i="16"/>
  <c r="K101" i="16"/>
  <c r="C101" i="16"/>
  <c r="J101" i="16"/>
  <c r="B101" i="16"/>
  <c r="I101" i="16"/>
  <c r="H101" i="16"/>
  <c r="G101" i="16"/>
  <c r="F101" i="16"/>
  <c r="L129" i="16"/>
  <c r="D129" i="16"/>
  <c r="K129" i="16"/>
  <c r="C129" i="16"/>
  <c r="J129" i="16"/>
  <c r="B129" i="16"/>
  <c r="G129" i="16"/>
  <c r="E129" i="16"/>
  <c r="M129" i="16"/>
  <c r="I129" i="16"/>
  <c r="H129" i="16"/>
  <c r="F129" i="16"/>
  <c r="J110" i="16"/>
  <c r="I110" i="16"/>
  <c r="H110" i="16"/>
  <c r="G110" i="16"/>
  <c r="F110" i="16"/>
  <c r="E110" i="16"/>
  <c r="D110" i="16"/>
  <c r="L110" i="16"/>
  <c r="K110" i="16"/>
  <c r="C110" i="16"/>
  <c r="B110" i="16"/>
  <c r="M110" i="16"/>
  <c r="L90" i="16"/>
  <c r="D90" i="16"/>
  <c r="K90" i="16"/>
  <c r="C90" i="16"/>
  <c r="J90" i="16"/>
  <c r="B90" i="16"/>
  <c r="I90" i="16"/>
  <c r="H90" i="16"/>
  <c r="M90" i="16"/>
  <c r="G90" i="16"/>
  <c r="F90" i="16"/>
  <c r="E90" i="16"/>
  <c r="L137" i="16"/>
  <c r="D137" i="16"/>
  <c r="K137" i="16"/>
  <c r="C137" i="16"/>
  <c r="J137" i="16"/>
  <c r="B137" i="16"/>
  <c r="F137" i="16"/>
  <c r="M137" i="16"/>
  <c r="I137" i="16"/>
  <c r="H137" i="16"/>
  <c r="G137" i="16"/>
  <c r="E137" i="16"/>
  <c r="G67" i="16"/>
  <c r="F67" i="16"/>
  <c r="M67" i="16"/>
  <c r="E67" i="16"/>
  <c r="L67" i="16"/>
  <c r="D67" i="16"/>
  <c r="K67" i="16"/>
  <c r="C67" i="16"/>
  <c r="J67" i="16"/>
  <c r="I67" i="16"/>
  <c r="H67" i="16"/>
  <c r="B67" i="16"/>
  <c r="F19" i="16"/>
  <c r="K19" i="16"/>
  <c r="C19" i="16"/>
  <c r="E19" i="16"/>
  <c r="D19" i="16"/>
  <c r="M19" i="16"/>
  <c r="B19" i="16"/>
  <c r="L19" i="16"/>
  <c r="J19" i="16"/>
  <c r="I19" i="16"/>
  <c r="H19" i="16"/>
  <c r="G19" i="16"/>
  <c r="L98" i="16"/>
  <c r="D98" i="16"/>
  <c r="K98" i="16"/>
  <c r="C98" i="16"/>
  <c r="J98" i="16"/>
  <c r="B98" i="16"/>
  <c r="I98" i="16"/>
  <c r="H98" i="16"/>
  <c r="M98" i="16"/>
  <c r="G98" i="16"/>
  <c r="F98" i="16"/>
  <c r="E98" i="16"/>
  <c r="G91" i="16"/>
  <c r="F91" i="16"/>
  <c r="M91" i="16"/>
  <c r="E91" i="16"/>
  <c r="L91" i="16"/>
  <c r="D91" i="16"/>
  <c r="K91" i="16"/>
  <c r="C91" i="16"/>
  <c r="J91" i="16"/>
  <c r="I91" i="16"/>
  <c r="H91" i="16"/>
  <c r="B91" i="16"/>
  <c r="H78" i="16"/>
  <c r="G78" i="16"/>
  <c r="F78" i="16"/>
  <c r="M78" i="16"/>
  <c r="E78" i="16"/>
  <c r="L78" i="16"/>
  <c r="D78" i="16"/>
  <c r="K78" i="16"/>
  <c r="J78" i="16"/>
  <c r="I78" i="16"/>
  <c r="C78" i="16"/>
  <c r="B78" i="16"/>
  <c r="H94" i="16"/>
  <c r="G94" i="16"/>
  <c r="F94" i="16"/>
  <c r="M94" i="16"/>
  <c r="E94" i="16"/>
  <c r="L94" i="16"/>
  <c r="D94" i="16"/>
  <c r="C94" i="16"/>
  <c r="B94" i="16"/>
  <c r="K94" i="16"/>
  <c r="J94" i="16"/>
  <c r="I94" i="16"/>
  <c r="M32" i="16"/>
  <c r="E32" i="16"/>
  <c r="J32" i="16"/>
  <c r="B32" i="16"/>
  <c r="G32" i="16"/>
  <c r="F32" i="16"/>
  <c r="D32" i="16"/>
  <c r="C32" i="16"/>
  <c r="L32" i="16"/>
  <c r="K32" i="16"/>
  <c r="I32" i="16"/>
  <c r="H32" i="16"/>
  <c r="I120" i="16"/>
  <c r="H120" i="16"/>
  <c r="G120" i="16"/>
  <c r="J120" i="16"/>
  <c r="E120" i="16"/>
  <c r="D120" i="16"/>
  <c r="C120" i="16"/>
  <c r="M120" i="16"/>
  <c r="B120" i="16"/>
  <c r="L120" i="16"/>
  <c r="K120" i="16"/>
  <c r="F120" i="16"/>
  <c r="K15" i="16"/>
  <c r="C15" i="16"/>
  <c r="J15" i="16"/>
  <c r="B15" i="16"/>
  <c r="I15" i="16"/>
  <c r="H15" i="16"/>
  <c r="G15" i="16"/>
  <c r="F15" i="16"/>
  <c r="M15" i="16"/>
  <c r="E15" i="16"/>
  <c r="L15" i="16"/>
  <c r="D15" i="16"/>
  <c r="J115" i="16"/>
  <c r="B115" i="16"/>
  <c r="I115" i="16"/>
  <c r="H115" i="16"/>
  <c r="F115" i="16"/>
  <c r="E115" i="16"/>
  <c r="D115" i="16"/>
  <c r="C115" i="16"/>
  <c r="M115" i="16"/>
  <c r="L115" i="16"/>
  <c r="K115" i="16"/>
  <c r="G115" i="16"/>
  <c r="F119" i="16"/>
  <c r="M119" i="16"/>
  <c r="E119" i="16"/>
  <c r="L119" i="16"/>
  <c r="D119" i="16"/>
  <c r="I119" i="16"/>
  <c r="G119" i="16"/>
  <c r="C119" i="16"/>
  <c r="B119" i="16"/>
  <c r="K119" i="16"/>
  <c r="J119" i="16"/>
  <c r="H119" i="16"/>
  <c r="K126" i="16"/>
  <c r="C126" i="16"/>
  <c r="J126" i="16"/>
  <c r="B126" i="16"/>
  <c r="I126" i="16"/>
  <c r="G126" i="16"/>
  <c r="E126" i="16"/>
  <c r="D126" i="16"/>
  <c r="M126" i="16"/>
  <c r="L126" i="16"/>
  <c r="H126" i="16"/>
  <c r="F126" i="16"/>
  <c r="J60" i="16"/>
  <c r="B60" i="16"/>
  <c r="I60" i="16"/>
  <c r="H60" i="16"/>
  <c r="G60" i="16"/>
  <c r="F60" i="16"/>
  <c r="M60" i="16"/>
  <c r="L60" i="16"/>
  <c r="K60" i="16"/>
  <c r="E60" i="16"/>
  <c r="D60" i="16"/>
  <c r="C60" i="16"/>
  <c r="L139" i="16"/>
  <c r="J139" i="16"/>
  <c r="B139" i="16"/>
  <c r="I139" i="16"/>
  <c r="H139" i="16"/>
  <c r="E139" i="16"/>
  <c r="C139" i="16"/>
  <c r="M139" i="16"/>
  <c r="K139" i="16"/>
  <c r="G139" i="16"/>
  <c r="F139" i="16"/>
  <c r="D139" i="16"/>
  <c r="K134" i="16"/>
  <c r="C134" i="16"/>
  <c r="J134" i="16"/>
  <c r="B134" i="16"/>
  <c r="I134" i="16"/>
  <c r="F134" i="16"/>
  <c r="D134" i="16"/>
  <c r="M134" i="16"/>
  <c r="L134" i="16"/>
  <c r="H134" i="16"/>
  <c r="G134" i="16"/>
  <c r="E134" i="16"/>
  <c r="G83" i="16"/>
  <c r="F83" i="16"/>
  <c r="M83" i="16"/>
  <c r="E83" i="16"/>
  <c r="L83" i="16"/>
  <c r="D83" i="16"/>
  <c r="K83" i="16"/>
  <c r="C83" i="16"/>
  <c r="J83" i="16"/>
  <c r="I83" i="16"/>
  <c r="H83" i="16"/>
  <c r="B83" i="16"/>
  <c r="M93" i="16"/>
  <c r="E93" i="16"/>
  <c r="L93" i="16"/>
  <c r="D93" i="16"/>
  <c r="K93" i="16"/>
  <c r="C93" i="16"/>
  <c r="J93" i="16"/>
  <c r="B93" i="16"/>
  <c r="I93" i="16"/>
  <c r="H93" i="16"/>
  <c r="G93" i="16"/>
  <c r="F93" i="16"/>
  <c r="F35" i="16"/>
  <c r="K35" i="16"/>
  <c r="C35" i="16"/>
  <c r="J35" i="16"/>
  <c r="I35" i="16"/>
  <c r="H35" i="16"/>
  <c r="G35" i="16"/>
  <c r="E35" i="16"/>
  <c r="D35" i="16"/>
  <c r="M35" i="16"/>
  <c r="B35" i="16"/>
  <c r="L35" i="16"/>
  <c r="J31" i="16"/>
  <c r="B31" i="16"/>
  <c r="G31" i="16"/>
  <c r="I31" i="16"/>
  <c r="H31" i="16"/>
  <c r="F31" i="16"/>
  <c r="E31" i="16"/>
  <c r="D31" i="16"/>
  <c r="M31" i="16"/>
  <c r="C31" i="16"/>
  <c r="L31" i="16"/>
  <c r="K31" i="16"/>
  <c r="H54" i="16"/>
  <c r="G54" i="16"/>
  <c r="F54" i="16"/>
  <c r="M54" i="16"/>
  <c r="E54" i="16"/>
  <c r="L54" i="16"/>
  <c r="D54" i="16"/>
  <c r="K54" i="16"/>
  <c r="J54" i="16"/>
  <c r="I54" i="16"/>
  <c r="C54" i="16"/>
  <c r="B54" i="16"/>
  <c r="X5" i="13"/>
  <c r="W6" i="13"/>
  <c r="W4" i="13"/>
  <c r="Y5" i="13" l="1"/>
  <c r="X6" i="13"/>
  <c r="Z6" i="14"/>
  <c r="AA5" i="14"/>
  <c r="U6" i="11"/>
  <c r="V5" i="11"/>
  <c r="W5" i="11" l="1"/>
  <c r="V6" i="11"/>
  <c r="AB5" i="14"/>
  <c r="AA6" i="14"/>
  <c r="Y6" i="13"/>
  <c r="Z5" i="13"/>
  <c r="Z6" i="13" l="1"/>
  <c r="AA5" i="13"/>
  <c r="AC5" i="14"/>
  <c r="AB6" i="14"/>
  <c r="W6" i="11"/>
  <c r="W4" i="11"/>
  <c r="X5" i="11"/>
  <c r="Y5" i="11" l="1"/>
  <c r="X6" i="11"/>
  <c r="AC4" i="14"/>
  <c r="AC6" i="14"/>
  <c r="AD5" i="14"/>
  <c r="AA6" i="13"/>
  <c r="AB5" i="13"/>
  <c r="Z5" i="11" l="1"/>
  <c r="Y6" i="11"/>
  <c r="AC5" i="13"/>
  <c r="AB6" i="13"/>
  <c r="AE5" i="14"/>
  <c r="AD6" i="14"/>
  <c r="AE6" i="14" l="1"/>
  <c r="AF5" i="14"/>
  <c r="AC6" i="13"/>
  <c r="AD5" i="13"/>
  <c r="AA5" i="11"/>
  <c r="Z6" i="11"/>
  <c r="AE5" i="13" l="1"/>
  <c r="AD6" i="13"/>
  <c r="AD4" i="13"/>
  <c r="AA6" i="11"/>
  <c r="AB5" i="11"/>
  <c r="AF6" i="14"/>
  <c r="AG5" i="14"/>
  <c r="AH5" i="14" l="1"/>
  <c r="AG6" i="14"/>
  <c r="AC5" i="11"/>
  <c r="AB6" i="11"/>
  <c r="AF5" i="13"/>
  <c r="AE6" i="13"/>
  <c r="AD5" i="11" l="1"/>
  <c r="AC6" i="11"/>
  <c r="AG5" i="13"/>
  <c r="AF6" i="13"/>
  <c r="AH6" i="14"/>
  <c r="AI5" i="14"/>
  <c r="AI6" i="14" l="1"/>
  <c r="AJ5" i="14"/>
  <c r="AG6" i="13"/>
  <c r="AH5" i="13"/>
  <c r="AE5" i="11"/>
  <c r="AD4" i="11"/>
  <c r="AD6" i="11"/>
  <c r="AE6" i="11" l="1"/>
  <c r="AF5" i="11"/>
  <c r="AI5" i="13"/>
  <c r="AH6" i="13"/>
  <c r="AJ4" i="14"/>
  <c r="AJ6" i="14"/>
  <c r="AK5" i="14"/>
  <c r="AL5" i="14" l="1"/>
  <c r="AK6" i="14"/>
  <c r="AJ5" i="13"/>
  <c r="AI6" i="13"/>
  <c r="AG5" i="11"/>
  <c r="AF6" i="11"/>
  <c r="AK5" i="13" l="1"/>
  <c r="AJ6" i="13"/>
  <c r="AM5" i="14"/>
  <c r="AL6" i="14"/>
  <c r="AH5" i="11"/>
  <c r="AG6" i="11"/>
  <c r="AK6" i="13" l="1"/>
  <c r="AK4" i="13"/>
  <c r="AL5" i="13"/>
  <c r="AN5" i="14"/>
  <c r="AM6" i="14"/>
  <c r="AI5" i="11"/>
  <c r="AH6" i="11"/>
  <c r="AI6" i="11" l="1"/>
  <c r="AJ5" i="11"/>
  <c r="AO5" i="14"/>
  <c r="AN6" i="14"/>
  <c r="AM5" i="13"/>
  <c r="AL6" i="13"/>
  <c r="AN5" i="13" l="1"/>
  <c r="AM6" i="13"/>
  <c r="AP5" i="14"/>
  <c r="AO6" i="14"/>
  <c r="AJ6" i="11"/>
  <c r="AK5" i="11"/>
  <c r="AK6" i="11" l="1"/>
  <c r="AK4" i="11"/>
  <c r="AL5" i="11"/>
  <c r="AP6" i="14"/>
  <c r="AQ5" i="14"/>
  <c r="AO5" i="13"/>
  <c r="AN6" i="13"/>
  <c r="AO6" i="13" l="1"/>
  <c r="AP5" i="13"/>
  <c r="AQ6" i="14"/>
  <c r="AQ4" i="14"/>
  <c r="AR5" i="14"/>
  <c r="AM5" i="11"/>
  <c r="AL6" i="11"/>
  <c r="AM6" i="11" l="1"/>
  <c r="AN5" i="11"/>
  <c r="AR6" i="14"/>
  <c r="AS5" i="14"/>
  <c r="AP6" i="13"/>
  <c r="AQ5" i="13"/>
  <c r="AO5" i="11" l="1"/>
  <c r="AN6" i="11"/>
  <c r="AQ6" i="13"/>
  <c r="AR5" i="13"/>
  <c r="AS6" i="14"/>
  <c r="AT5" i="14"/>
  <c r="AP5" i="11" l="1"/>
  <c r="AO6" i="11"/>
  <c r="AU5" i="14"/>
  <c r="AT6" i="14"/>
  <c r="AS5" i="13"/>
  <c r="AR4" i="13"/>
  <c r="AR6" i="13"/>
  <c r="AU6" i="14" l="1"/>
  <c r="AV5" i="14"/>
  <c r="AQ5" i="11"/>
  <c r="AP6" i="11"/>
  <c r="AS6" i="13"/>
  <c r="AT5" i="13"/>
  <c r="AQ6" i="11" l="1"/>
  <c r="AR5" i="11"/>
  <c r="AW5" i="14"/>
  <c r="AV6" i="14"/>
  <c r="AU5" i="13"/>
  <c r="AT6" i="13"/>
  <c r="AV5" i="13" l="1"/>
  <c r="AU6" i="13"/>
  <c r="AX5" i="14"/>
  <c r="AW6" i="14"/>
  <c r="AR6" i="11"/>
  <c r="AR4" i="11"/>
  <c r="AS5" i="11"/>
  <c r="AW5" i="13" l="1"/>
  <c r="AV6" i="13"/>
  <c r="AT5" i="11"/>
  <c r="AS6" i="11"/>
  <c r="AX6" i="14"/>
  <c r="AX4" i="14"/>
  <c r="AY5" i="14"/>
  <c r="AW6" i="13" l="1"/>
  <c r="AX5" i="13"/>
  <c r="AY6" i="14"/>
  <c r="AZ5" i="14"/>
  <c r="AU5" i="11"/>
  <c r="AT6" i="11"/>
  <c r="AU6" i="11" l="1"/>
  <c r="AV5" i="11"/>
  <c r="AZ6" i="14"/>
  <c r="BA5" i="14"/>
  <c r="AX6" i="13"/>
  <c r="AY5" i="13"/>
  <c r="AW5" i="11" l="1"/>
  <c r="AV6" i="11"/>
  <c r="AY4" i="13"/>
  <c r="AZ5" i="13"/>
  <c r="AY6" i="13"/>
  <c r="BA6" i="14"/>
  <c r="BB5" i="14"/>
  <c r="AX5" i="11" l="1"/>
  <c r="AW6" i="11"/>
  <c r="BB6" i="14"/>
  <c r="BC5" i="14"/>
  <c r="BA5" i="13"/>
  <c r="AZ6" i="13"/>
  <c r="AY5" i="11" l="1"/>
  <c r="AX6" i="11"/>
  <c r="BA6" i="13"/>
  <c r="BB5" i="13"/>
  <c r="BC6" i="14"/>
  <c r="BD5" i="14"/>
  <c r="BD6" i="14" l="1"/>
  <c r="BE5" i="14"/>
  <c r="BC5" i="13"/>
  <c r="BB6" i="13"/>
  <c r="AY4" i="11"/>
  <c r="AY6" i="11"/>
  <c r="AZ5" i="11"/>
  <c r="BD5" i="13" l="1"/>
  <c r="BC6" i="13"/>
  <c r="BF5" i="14"/>
  <c r="BE6" i="14"/>
  <c r="BE4" i="14"/>
  <c r="BA5" i="11"/>
  <c r="AZ6" i="11"/>
  <c r="BB5" i="11" l="1"/>
  <c r="BA6" i="11"/>
  <c r="BF6" i="14"/>
  <c r="BG5" i="14"/>
  <c r="BE5" i="13"/>
  <c r="BD6" i="13"/>
  <c r="BE6" i="13" l="1"/>
  <c r="BF5" i="13"/>
  <c r="BG6" i="14"/>
  <c r="BH5" i="14"/>
  <c r="BC5" i="11"/>
  <c r="BB6" i="11"/>
  <c r="BF4" i="13" l="1"/>
  <c r="BG5" i="13"/>
  <c r="BF6" i="13"/>
  <c r="BC6" i="11"/>
  <c r="BD5" i="11"/>
  <c r="BH6" i="14"/>
  <c r="BI5" i="14"/>
  <c r="BI6" i="14" l="1"/>
  <c r="BJ5" i="14"/>
  <c r="BE5" i="11"/>
  <c r="BD6" i="11"/>
  <c r="BH5" i="13"/>
  <c r="BG6" i="13"/>
  <c r="BF5" i="11" l="1"/>
  <c r="BE6" i="11"/>
  <c r="BJ6" i="14"/>
  <c r="BK5" i="14"/>
  <c r="BI5" i="13"/>
  <c r="BH6" i="13"/>
  <c r="BI6" i="13" l="1"/>
  <c r="BJ5" i="13"/>
  <c r="BK6" i="14"/>
  <c r="BL5" i="14"/>
  <c r="BG5" i="11"/>
  <c r="BF6" i="11"/>
  <c r="BF4" i="11"/>
  <c r="BK5" i="13" l="1"/>
  <c r="BJ6" i="13"/>
  <c r="BG6" i="11"/>
  <c r="BH5" i="11"/>
  <c r="BM5" i="14"/>
  <c r="BL6" i="14"/>
  <c r="BL4" i="14"/>
  <c r="BN5" i="14" l="1"/>
  <c r="BM6" i="14"/>
  <c r="BH6" i="11"/>
  <c r="BI5" i="11"/>
  <c r="BL5" i="13"/>
  <c r="BL6" i="13" s="1"/>
  <c r="BK6" i="13"/>
  <c r="BI6" i="11" l="1"/>
  <c r="BJ5" i="11"/>
  <c r="BN6" i="14"/>
  <c r="BO5" i="14"/>
  <c r="BO6" i="14" l="1"/>
  <c r="BP5" i="14"/>
  <c r="BK5" i="11"/>
  <c r="BJ6" i="11"/>
  <c r="BK6" i="11" l="1"/>
  <c r="BL5" i="11"/>
  <c r="BL6" i="11" s="1"/>
  <c r="BQ5" i="14"/>
  <c r="BP6" i="14"/>
  <c r="BQ6" i="14" l="1"/>
  <c r="BR5" i="14"/>
  <c r="BR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17" authorId="0" shapeId="0" xr:uid="{D846AD94-692F-47E5-B5E1-E83C2AC73A54}">
      <text>
        <r>
          <rPr>
            <sz val="8"/>
            <color indexed="81"/>
            <rFont val="Tahoma"/>
            <family val="2"/>
          </rPr>
          <t>No están vinculados a un cliente en particular, tienen un % de incidencia.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1" authorId="0" shapeId="0" xr:uid="{2267CB23-C376-4C2A-9E6A-1AFF69443F5C}">
      <text>
        <r>
          <rPr>
            <sz val="8"/>
            <color indexed="81"/>
            <rFont val="Tahoma"/>
            <family val="2"/>
          </rPr>
          <t>No están vinculados a un cliente en particular, tienen un % de incidencia.</t>
        </r>
      </text>
    </comment>
    <comment ref="B22" authorId="0" shapeId="0" xr:uid="{228B4EF3-7575-4439-8F18-4FE6AE128B1B}">
      <text>
        <r>
          <rPr>
            <sz val="8"/>
            <color indexed="81"/>
            <rFont val="Tahoma"/>
            <family val="2"/>
          </rPr>
          <t>No están vinculados a un cliente en particular, tienen un % de incidencia.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1" authorId="0" shapeId="0" xr:uid="{710DF7A7-BEF1-4BFB-A662-E13D634E83F1}">
      <text>
        <r>
          <rPr>
            <sz val="8"/>
            <color indexed="81"/>
            <rFont val="Tahoma"/>
            <family val="2"/>
          </rPr>
          <t>No están vinculados a un cliente en particular, tienen un % de incidencia.</t>
        </r>
      </text>
    </comment>
  </commentList>
</comments>
</file>

<file path=xl/sharedStrings.xml><?xml version="1.0" encoding="utf-8"?>
<sst xmlns="http://schemas.openxmlformats.org/spreadsheetml/2006/main" count="487" uniqueCount="253">
  <si>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</si>
  <si>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</si>
  <si>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</si>
  <si>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</si>
  <si>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</si>
  <si>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</si>
  <si>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</si>
  <si>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</si>
  <si>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</si>
  <si>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</si>
  <si>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</si>
  <si>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</si>
  <si>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TAREA</t>
  </si>
  <si>
    <t>Inicio del proyecto:</t>
  </si>
  <si>
    <t>Semana para mostrar:</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</si>
  <si>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</si>
  <si>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</si>
  <si>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</si>
  <si>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</si>
  <si>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</si>
  <si>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</si>
  <si>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</si>
  <si>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</si>
  <si>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</si>
  <si>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</si>
  <si>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</si>
  <si>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</si>
  <si>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</si>
  <si>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</si>
  <si>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</si>
  <si>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</si>
  <si>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</si>
  <si>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</si>
  <si>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</si>
  <si>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Proyecto Datos Op. Complejas</t>
  </si>
  <si>
    <t>IHSA S.A.</t>
  </si>
  <si>
    <t>Santiago Alonso</t>
  </si>
  <si>
    <t>1- Automatización de Tareas</t>
  </si>
  <si>
    <t>3- Planilla de Control</t>
  </si>
  <si>
    <t>Planilla DTM Estandarizada</t>
  </si>
  <si>
    <t>Polinómicas + Tarifario + Ev. Parámetros Precios</t>
  </si>
  <si>
    <t>Planilla Aeroevaciaciones</t>
  </si>
  <si>
    <t>Carpeta almacenamiento en Sharepoint p/ Datalake</t>
  </si>
  <si>
    <t>Días en Calle Calculado</t>
  </si>
  <si>
    <t>Aging Calculado</t>
  </si>
  <si>
    <t>Resumen Clientes Petróleo</t>
  </si>
  <si>
    <t>Resumen Clientes Minería</t>
  </si>
  <si>
    <t>Julio Tinelli</t>
  </si>
  <si>
    <t>Importe Pendiente Fc (Provisión)</t>
  </si>
  <si>
    <t>Importe Provisionado (Datalake --&gt; Clik Sense "Venta Bruta")</t>
  </si>
  <si>
    <t>Importe Facturado (Datalake --&gt; Clik Sense "Venta Bruta")</t>
  </si>
  <si>
    <t>Días en Calle (Sharepoint --&gt; Excel)</t>
  </si>
  <si>
    <t>Aging (Sharepoint  --&gt; Excel)</t>
  </si>
  <si>
    <t>Locaciones Geográficas Minería</t>
  </si>
  <si>
    <t>Locaciones Geográficas Op. Dedicadas</t>
  </si>
  <si>
    <t>Detalle Responsables (Comerciales + Analistas)</t>
  </si>
  <si>
    <t>Obtener información detallada de DTM x Service Desk</t>
  </si>
  <si>
    <t>Armado de Dashboard</t>
  </si>
  <si>
    <t>Planilla Activos Unificados (Nico Sifuentes) - Estandarizar</t>
  </si>
  <si>
    <t>Eliminar contratos obsoletos</t>
  </si>
  <si>
    <t>Estandarizar materíales de contratos</t>
  </si>
  <si>
    <t>Crear Boom´s para materiales que hacen alusión a US</t>
  </si>
  <si>
    <t>Armado de solicitudes extra x Módulos (Ej: Med. Laboral)</t>
  </si>
  <si>
    <t>Automatización Archivo Sueldos Petro</t>
  </si>
  <si>
    <t>Automatización Archivo Sueldos FATSA</t>
  </si>
  <si>
    <t>2- Cotizador Automático (Neuquén)</t>
  </si>
  <si>
    <t>Estandarización cotizaciones COMPRAS</t>
  </si>
  <si>
    <t>Crear estructura de Cotizador en base a modelo armado</t>
  </si>
  <si>
    <t>Diseño de Dashboard</t>
  </si>
  <si>
    <t>Armado de Dashboard + Diseño</t>
  </si>
  <si>
    <t>Automatización de Provisión</t>
  </si>
  <si>
    <t>Luis Barrozo/ Santiago Alonso</t>
  </si>
  <si>
    <r>
      <t xml:space="preserve">Locaciones Geográficas Pozos Petro (ver datos </t>
    </r>
    <r>
      <rPr>
        <b/>
        <i/>
        <u/>
        <sz val="11"/>
        <color theme="1"/>
        <rFont val="Calibri"/>
        <family val="2"/>
        <scheme val="minor"/>
      </rPr>
      <t>Secretaria de Energía</t>
    </r>
    <r>
      <rPr>
        <sz val="11"/>
        <color theme="1"/>
        <rFont val="Calibri"/>
        <family val="2"/>
        <scheme val="minor"/>
      </rPr>
      <t>)</t>
    </r>
  </si>
  <si>
    <t>Resumen Clientes Op. Dedicadas</t>
  </si>
  <si>
    <t>4- Contratos Salesforce</t>
  </si>
  <si>
    <t>ASIGNADO A</t>
  </si>
  <si>
    <t>Automatización de Certificaciones Mensuales</t>
  </si>
  <si>
    <t>Asociar Gastos de Estructura (% de incidencia)</t>
  </si>
  <si>
    <t>Crear estructura de Cotizador en base a modelo armado (migra a CLAUDE)</t>
  </si>
  <si>
    <t>Automatización Archivo Sueldos FATSA (PENDIENTE REVISIÓN GENERAL)</t>
  </si>
  <si>
    <t>Automatización Archivo Sueldos Petro (PENDIENTE REVISIÓN GENERAL)</t>
  </si>
  <si>
    <t>Asociar Gastos de Estructura (% de incidencia) --&gt; Pedir a Fran</t>
  </si>
  <si>
    <t>Estandarización cotizaciones COMPRAS (costos x provincia)</t>
  </si>
  <si>
    <t>Asociar Archivo Móviles y Tráilers (Nico Sifuentes)</t>
  </si>
  <si>
    <t>1- GOC: Módulo de Datos para Procesos de Certificación (Inteligencia Comercial)</t>
  </si>
  <si>
    <t>2- Cotizador de Operaciones Complejas</t>
  </si>
  <si>
    <t>Días Transcurridos=</t>
  </si>
  <si>
    <t>Ponderación OKR</t>
  </si>
  <si>
    <t>Disponibilidad de información centralizada en GOC (aguarda desarrollo)</t>
  </si>
  <si>
    <t>Lucila Pronzato</t>
  </si>
  <si>
    <t>Relevamiento Últimos Sueldos de referencia Monotributistas</t>
  </si>
  <si>
    <t>Estandarización cotizaciones COMPRAS (costos x provincia) - aguardo información</t>
  </si>
  <si>
    <t>Polinómicas y tarifario automático</t>
  </si>
  <si>
    <t>Certificados automáticos (ver si utilizar scripts)</t>
  </si>
  <si>
    <t>Provisión Automática</t>
  </si>
  <si>
    <t>Santiago Alonso/ Julio Tinelli</t>
  </si>
  <si>
    <t>Santiago Alonso/ Danna Basso/ Lucía Paciello</t>
  </si>
  <si>
    <t>Estandarizar materíales de contratos - ver si se puede realizarmasivo (Matias Viera - SF)</t>
  </si>
  <si>
    <t>Crear Backend ETL - ver con Claude Code</t>
  </si>
  <si>
    <t>Fecha Reunón Programada</t>
  </si>
  <si>
    <t>Comentarios</t>
  </si>
  <si>
    <t>Sprint</t>
  </si>
  <si>
    <t>Periodicidad</t>
  </si>
  <si>
    <t>Mensual</t>
  </si>
  <si>
    <t>Fecha</t>
  </si>
  <si>
    <t>Asociar Archivo Masters de Medicación (Seba Oliver) + Capacitaciones + procedimiento</t>
  </si>
  <si>
    <t>Asociar Archivo Móviles y Tráilers (Nico Sifuentes) + procedimiento</t>
  </si>
  <si>
    <t>Semanal</t>
  </si>
  <si>
    <t>Planilla DTM Estandarizada+ Procedimiento</t>
  </si>
  <si>
    <t>Planilla Aeroevaciaciones + Procedimiento</t>
  </si>
  <si>
    <t>Procedimiento</t>
  </si>
  <si>
    <t>5- Tablero Control General - Op. Complejas</t>
  </si>
  <si>
    <t>Planilla Activos Unificados - Estandarizar + Procedimiento</t>
  </si>
  <si>
    <t>Relevar conveniencia de creación de Boom´s para materiales que hacen alusión a US</t>
  </si>
  <si>
    <t>Revisión de Gráfico en cascada: por desvío y desagregación por categorías.</t>
  </si>
  <si>
    <t>Armado de Procedimiento</t>
  </si>
  <si>
    <t>Revisión de viabilidad de incorporación datos Redash (input ZReal con clasificaciones automaticas por CECO - Directas e Indirectas)</t>
  </si>
  <si>
    <t>Relevamiento área de IA -  Repositorio (GitHub o AWS S3) + Seguridad</t>
  </si>
  <si>
    <t>Deployar (URL Web)</t>
  </si>
  <si>
    <t>Input de datos desde Provisión mensual</t>
  </si>
  <si>
    <t>Creación detalle deuda YPF (ídem Excel)</t>
  </si>
  <si>
    <t>Creación detalle deuda Vista - Replicar Excel Deuda</t>
  </si>
  <si>
    <t>Revisar con Fran</t>
  </si>
  <si>
    <t>Martes 09/06</t>
  </si>
  <si>
    <t>Jueves 11/06</t>
  </si>
  <si>
    <t>Martes 16/06</t>
  </si>
  <si>
    <t>Automatización Archivo Sueldos FATSA + Procedimientos</t>
  </si>
  <si>
    <t>Automatización Archivo Sueldos Petro + Procedimientos</t>
  </si>
  <si>
    <t>Quincenal</t>
  </si>
  <si>
    <t>3- Tablero BI OPEX - Real vs BO</t>
  </si>
  <si>
    <t>4- Tablero BI DEUDA</t>
  </si>
  <si>
    <t>6- Automatización de procesos: certificación, provisión,polinómicas</t>
  </si>
  <si>
    <t>7- Incorporación de Operaciones Complejas en sistemas de la compañía: Salesforce, SAP, etc.</t>
  </si>
  <si>
    <t>Dias en Calle - desde SharePoint</t>
  </si>
  <si>
    <t>Aging - desde SharePoint</t>
  </si>
  <si>
    <t>Revisión y Publicación de Tablero</t>
  </si>
  <si>
    <t>Analizar viabilidad de input Redash: Importe Facturado (Datalake --&gt; Clik Sense "Venta Bruta")</t>
  </si>
  <si>
    <t>Analizar viabilidad de input Redash: Importe Provisionado (Datalake --&gt; Clik Sense)</t>
  </si>
  <si>
    <t>TABLERO EJECUTIVO — PROYECTO DATOS OP. COMPLEJAS</t>
  </si>
  <si>
    <t>Avance Global</t>
  </si>
  <si>
    <t>Tareas</t>
  </si>
  <si>
    <t>Completadas</t>
  </si>
  <si>
    <t>En curso</t>
  </si>
  <si>
    <t>Próximas (≤7d)</t>
  </si>
  <si>
    <t>Vencidas</t>
  </si>
  <si>
    <t>AVANCE POR MÓDULO (OKR)</t>
  </si>
  <si>
    <t>Módulo / Entregable</t>
  </si>
  <si>
    <t>% Avance</t>
  </si>
  <si>
    <t>Avance</t>
  </si>
  <si>
    <t>AVANCE POR SPRINT</t>
  </si>
  <si>
    <t>Pendientes</t>
  </si>
  <si>
    <t>Próx. a vencer</t>
  </si>
  <si>
    <t>Próxima entrega</t>
  </si>
  <si>
    <t>ALERTAS / CUELLOS DE BOTELLA</t>
  </si>
  <si>
    <t>Críticas</t>
  </si>
  <si>
    <t>Bloqueadas</t>
  </si>
  <si>
    <t>Atrasadas</t>
  </si>
  <si>
    <t>Sobrecarga</t>
  </si>
  <si>
    <t>Bloqueada = debía iniciar y sigue en 0%. Atrasada = pasó la fecha objetivo sin completar. Sobrecarga = responsable con &gt;8 tareas pendientes. La lista priorizada completa está en 'Entregas Próximas'.</t>
  </si>
  <si>
    <t>Las métricas se recalculan solas desde la hoja Gantt. Los sprints (vigentes) aparecen automáticamente al usarse y conservan el histórico. El % por módulo se recalcula de forma independiente (no usa las celdas de promedio de las filas de fase).</t>
  </si>
  <si>
    <t>ENTREGAS PRÓXIMAS — PRIORIZADAS</t>
  </si>
  <si>
    <t>Estados:</t>
  </si>
  <si>
    <t>Vencido</t>
  </si>
  <si>
    <t>Próximo a vencer</t>
  </si>
  <si>
    <t>Completado</t>
  </si>
  <si>
    <t>Umbral 'Próximo' (días):</t>
  </si>
  <si>
    <t>DETALLE DE ENTREGAS  (ordenado por PRIORIDAD: urgencia + atraso + riesgo + carga)</t>
  </si>
  <si>
    <t>Prioridad</t>
  </si>
  <si>
    <t>Tarea</t>
  </si>
  <si>
    <t>Responsable</t>
  </si>
  <si>
    <t>Fecha obj.</t>
  </si>
  <si>
    <t>Estado</t>
  </si>
  <si>
    <t>Días rest.</t>
  </si>
  <si>
    <t>Dur.est.</t>
  </si>
  <si>
    <t>Días real</t>
  </si>
  <si>
    <t>Variación</t>
  </si>
  <si>
    <t>Atraso(d)</t>
  </si>
  <si>
    <t>Alerta / Cuello de botella</t>
  </si>
  <si>
    <t>SPRINTS  —  gestión por reunión (1 sprint = 1 reunión de cierre)</t>
  </si>
  <si>
    <t>Un sprint es un PERÍODO que cierra en una reunión. Al cerrar, las tareas NO completadas pasan automáticamente al sprint siguiente, mostrando el desvío. Indique el motivo (editable) en la columna I. Edite las fechas de las reuniones en el calendario de la derecha.</t>
  </si>
  <si>
    <t>SEGUIMIENTO DE TAREAS POR SPRINT</t>
  </si>
  <si>
    <t>CALENDARIO DE SPRINTS (editable)</t>
  </si>
  <si>
    <t>Motivos del desvío (editable)</t>
  </si>
  <si>
    <t>Reunión / Hito</t>
  </si>
  <si>
    <t>Fecha de cierre</t>
  </si>
  <si>
    <t>Dependencia bloqueada</t>
  </si>
  <si>
    <t>ID</t>
  </si>
  <si>
    <t>Sprint planif.</t>
  </si>
  <si>
    <t>Sprint vigente</t>
  </si>
  <si>
    <t>Desvío (d)</t>
  </si>
  <si>
    <t>Motivo del desvío (editable)</t>
  </si>
  <si>
    <t>Reunión 1</t>
  </si>
  <si>
    <t>Sobrecarga del responsable</t>
  </si>
  <si>
    <t>Reunión 2</t>
  </si>
  <si>
    <t>Falta de información / insumos</t>
  </si>
  <si>
    <t>Reunión 3</t>
  </si>
  <si>
    <t>Reestimación / mayor alcance</t>
  </si>
  <si>
    <t>Reunión 4</t>
  </si>
  <si>
    <t>Recurso no disponible</t>
  </si>
  <si>
    <t>Reunión 5</t>
  </si>
  <si>
    <t>Prioridad reasignada</t>
  </si>
  <si>
    <t>Reunión 6</t>
  </si>
  <si>
    <t>Bloqueo técnico</t>
  </si>
  <si>
    <t>Reunión 7</t>
  </si>
  <si>
    <t>Otro</t>
  </si>
  <si>
    <t>Reunión 8</t>
  </si>
  <si>
    <t>Sprint actual:</t>
  </si>
  <si>
    <t>Hoy:</t>
  </si>
  <si>
    <t>HOJA AUXILIAR — Motor de cálculo (no editar). Alimenta Tablero, Entregas Próximas e Historial de Sprints.</t>
  </si>
  <si>
    <t>Fila</t>
  </si>
  <si>
    <t>EsFase</t>
  </si>
  <si>
    <t>EsTarea</t>
  </si>
  <si>
    <t>Módulo</t>
  </si>
  <si>
    <t>SprintRaw</t>
  </si>
  <si>
    <t>FechaObj</t>
  </si>
  <si>
    <t>Progreso</t>
  </si>
  <si>
    <t>DíasRest</t>
  </si>
  <si>
    <t>ClaveOrden</t>
  </si>
  <si>
    <t>SprintKey</t>
  </si>
  <si>
    <t>SprintNum</t>
  </si>
  <si>
    <t>CandSpr</t>
  </si>
  <si>
    <t>SprExiste</t>
  </si>
  <si>
    <t>FinPlan</t>
  </si>
  <si>
    <t>DurEst</t>
  </si>
  <si>
    <t>DíasTransc</t>
  </si>
  <si>
    <t>AvEsper</t>
  </si>
  <si>
    <t>VarAvance</t>
  </si>
  <si>
    <t>Atraso</t>
  </si>
  <si>
    <t>DesvíoPlan</t>
  </si>
  <si>
    <t>CargaResp</t>
  </si>
  <si>
    <t>Bloqueo</t>
  </si>
  <si>
    <t>Score</t>
  </si>
  <si>
    <t>Alertas</t>
  </si>
  <si>
    <t>SprVigente</t>
  </si>
  <si>
    <t>SprVigKey</t>
  </si>
  <si>
    <t>Movido</t>
  </si>
  <si>
    <t>FechaMov</t>
  </si>
  <si>
    <t>Motivo</t>
  </si>
  <si>
    <t>ClaveAud</t>
  </si>
  <si>
    <t>ClavePri</t>
  </si>
  <si>
    <t>urg</t>
  </si>
  <si>
    <t>atr</t>
  </si>
  <si>
    <t>rsk</t>
  </si>
  <si>
    <t>AlertRaw</t>
  </si>
  <si>
    <t>CierrePlan</t>
  </si>
  <si>
    <t>DesvíoSprint</t>
  </si>
  <si>
    <t>Ok registro global Personas y Móviles (Habilitado/ Inhabilitado/ Dado de baja) + Vencimientos; Próximo: Diagrama (30/6 fecha estimada); Se avanzó con módulo diagrama.</t>
  </si>
  <si>
    <t>Reunión con Danna Mar 16/06; dependo de tiempos de Danna. Se avanzó pero falta ya que estamos realizando una automatización linea por linea.</t>
  </si>
  <si>
    <t>pedir últimos a Carlos Hernández; no llegué</t>
  </si>
  <si>
    <t>Avance Nico Sifuentes; sólo pendiente procedimiento.</t>
  </si>
  <si>
    <t>Reunión jue 11/6 - Avance Seba Oliver; sólo pendiente procedimiento.</t>
  </si>
  <si>
    <t>mar 9/6 Reunión Torres, Huilen (Equipo IA)  - Definir con Nico Vazquez. En reunión se definió que una vez finalizado el proyecto, el backend, seguridad y deploy lo continúan en IT.</t>
  </si>
  <si>
    <t>No llegué por nuevas solicitudes: Tablero Forecast + Reuniones por tarifas YPF + Contratos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</si>
</sst>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 #,##0.00_-;\-&quot;$&quot;\ * #,##0.00_-;_-&quot;$&quot;\ * &quot;-&quot;??_-;_-@_-"/>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 numFmtId="172" formatCode="ddd\,\ d/m/yyyy"/>
    <numFmt numFmtId="173" formatCode="dd/mm/yyyy"/>
    <numFmt numFmtId="174" formatCode="0&quot; d&quot;"/>
  </numFmts>
  <fonts count="7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0"/>
      <name val="Calibri"/>
      <family val="2"/>
      <scheme val="minor"/>
    </font>
    <font>
      <sz val="10"/>
      <color theme="1"/>
      <name val="Calibri"/>
      <family val="2"/>
      <scheme val="minor"/>
    </font>
    <font>
      <b/>
      <sz val="10"/>
      <color theme="0"/>
      <name val="Calibri"/>
      <family val="2"/>
      <scheme val="minor"/>
    </font>
    <font>
      <sz val="8"/>
      <color indexed="81"/>
      <name val="Tahoma"/>
      <family val="2"/>
    </font>
    <font>
      <b/>
      <i/>
      <u/>
      <sz val="11"/>
      <color theme="1"/>
      <name val="Calibri"/>
      <family val="2"/>
      <scheme val="minor"/>
    </font>
    <font>
      <b/>
      <sz val="12"/>
      <color rgb="FF1F3A52"/>
      <name val="Calibri"/>
      <family val="2"/>
      <scheme val="minor"/>
    </font>
    <font>
      <b/>
      <sz val="18"/>
      <color rgb="FF1F3A52"/>
      <name val="Calibri"/>
      <family val="2"/>
      <scheme val="minor"/>
    </font>
    <font>
      <sz val="10"/>
      <color rgb="FF4A7A9E"/>
      <name val="Calibri"/>
      <family val="2"/>
      <scheme val="minor"/>
    </font>
    <font>
      <b/>
      <sz val="13"/>
      <color rgb="FF1F3A52"/>
      <name val="Calibri"/>
      <family val="2"/>
      <scheme val="major"/>
    </font>
    <font>
      <sz val="11"/>
      <color rgb="FF3A3A3A"/>
      <name val="Calibri"/>
      <family val="2"/>
      <scheme val="minor"/>
    </font>
    <font>
      <u/>
      <sz val="11"/>
      <color rgb="FF2E5C7E"/>
      <name val="Calibri"/>
      <family val="2"/>
    </font>
    <font>
      <b/>
      <u/>
      <sz val="22"/>
      <color rgb="FF1F3A52"/>
      <name val="Calibri"/>
      <family val="2"/>
      <scheme val="major"/>
    </font>
    <font>
      <b/>
      <sz val="22"/>
      <color rgb="FF1F3A52"/>
      <name val="Calibri"/>
      <family val="2"/>
      <scheme val="major"/>
    </font>
    <font>
      <b/>
      <sz val="13"/>
      <color rgb="FF3A3A3A"/>
      <name val="Calibri"/>
      <family val="2"/>
      <scheme val="minor"/>
    </font>
    <font>
      <sz val="12"/>
      <color rgb="FF6B6B6B"/>
      <name val="Calibri"/>
      <family val="2"/>
      <scheme val="minor"/>
    </font>
    <font>
      <sz val="11"/>
      <color rgb="FF6B6B6B"/>
      <name val="Calibri"/>
      <family val="2"/>
      <scheme val="minor"/>
    </font>
    <font>
      <sz val="10"/>
      <color rgb="FF6B6B6B"/>
      <name val="Calibri"/>
      <family val="2"/>
      <scheme val="minor"/>
    </font>
    <font>
      <sz val="11"/>
      <color rgb="FF1F3A52"/>
      <name val="Calibri"/>
      <family val="2"/>
      <scheme val="minor"/>
    </font>
    <font>
      <b/>
      <sz val="11"/>
      <color rgb="FF1F3A52"/>
      <name val="Calibri"/>
      <family val="2"/>
      <scheme val="minor"/>
    </font>
    <font>
      <b/>
      <sz val="10"/>
      <color rgb="FFFFFFFF"/>
      <name val="Calibri"/>
      <family val="2"/>
      <scheme val="minor"/>
    </font>
    <font>
      <b/>
      <sz val="11"/>
      <color rgb="FFFFFFFF"/>
      <name val="Calibri"/>
      <family val="2"/>
      <scheme val="minor"/>
    </font>
    <font>
      <sz val="11"/>
      <color rgb="FFFFFFFF"/>
      <name val="Calibri"/>
      <family val="2"/>
      <scheme val="minor"/>
    </font>
    <font>
      <sz val="10"/>
      <color rgb="FFFFFFFF"/>
      <name val="Calibri"/>
      <family val="2"/>
      <scheme val="minor"/>
    </font>
    <font>
      <b/>
      <sz val="12"/>
      <color rgb="FFFFFFFF"/>
      <name val="Calibri"/>
      <family val="2"/>
      <scheme val="minor"/>
    </font>
    <font>
      <sz val="10"/>
      <color rgb="FF3A3A3A"/>
      <name val="Calibri"/>
      <family val="2"/>
      <scheme val="minor"/>
    </font>
    <font>
      <b/>
      <sz val="11"/>
      <color rgb="FF3A3A3A"/>
      <name val="Calibri"/>
      <family val="2"/>
      <scheme val="minor"/>
    </font>
    <font>
      <b/>
      <sz val="9"/>
      <color rgb="FF1F3A52"/>
      <name val="Calibri"/>
      <family val="2"/>
      <scheme val="minor"/>
    </font>
    <font>
      <sz val="9"/>
      <color rgb="FF6B6B6B"/>
      <name val="Calibri"/>
      <family val="2"/>
      <scheme val="minor"/>
    </font>
    <font>
      <b/>
      <sz val="9"/>
      <color rgb="FFFFFFFF"/>
      <name val="Calibri"/>
      <family val="2"/>
      <scheme val="minor"/>
    </font>
    <font>
      <strike/>
      <sz val="11"/>
      <color rgb="FF6B6B6B"/>
      <name val="Calibri"/>
      <family val="2"/>
      <scheme val="minor"/>
    </font>
    <font>
      <b/>
      <strike/>
      <sz val="11"/>
      <color rgb="FF1F3A52"/>
      <name val="Calibri"/>
      <family val="2"/>
      <scheme val="minor"/>
    </font>
    <font>
      <sz val="8"/>
      <name val="Calibri"/>
      <family val="2"/>
      <scheme val="minor"/>
    </font>
    <font>
      <b/>
      <sz val="16"/>
      <color rgb="FFFFFFFF"/>
      <name val="Calibri"/>
      <family val="2"/>
      <scheme val="minor"/>
    </font>
    <font>
      <sz val="10"/>
      <color rgb="FFD6E2F0"/>
      <name val="Calibri"/>
      <family val="2"/>
      <scheme val="minor"/>
    </font>
    <font>
      <b/>
      <sz val="10"/>
      <color rgb="FFFFFFFF"/>
      <name val="Calibri"/>
      <family val="2"/>
      <scheme val="minor"/>
    </font>
    <font>
      <b/>
      <sz val="12"/>
      <color rgb="FF1F3A52"/>
      <name val="Calibri"/>
      <family val="2"/>
      <scheme val="minor"/>
    </font>
    <font>
      <b/>
      <sz val="11"/>
      <color rgb="FF1F3A52"/>
      <name val="Calibri"/>
      <family val="2"/>
      <scheme val="minor"/>
    </font>
    <font>
      <i/>
      <sz val="9"/>
      <color rgb="FF7F7F7F"/>
      <name val="Calibri"/>
      <family val="2"/>
      <scheme val="minor"/>
    </font>
    <font>
      <b/>
      <sz val="22"/>
      <color rgb="FF1F3A52"/>
      <name val="Calibri"/>
      <family val="2"/>
      <scheme val="minor"/>
    </font>
    <font>
      <b/>
      <sz val="22"/>
      <color rgb="FFC0392B"/>
      <name val="Calibri"/>
      <family val="2"/>
      <scheme val="minor"/>
    </font>
    <font>
      <sz val="11"/>
      <color rgb="FF1F3A52"/>
      <name val="Calibri"/>
      <family val="2"/>
      <scheme val="minor"/>
    </font>
    <font>
      <sz val="10"/>
      <color rgb="FF404040"/>
      <name val="Calibri"/>
      <family val="2"/>
      <scheme val="minor"/>
    </font>
    <font>
      <sz val="9"/>
      <color rgb="FF595959"/>
      <name val="Calibri"/>
      <family val="2"/>
      <scheme val="minor"/>
    </font>
    <font>
      <b/>
      <sz val="9"/>
      <color rgb="FFFFFFFF"/>
      <name val="Calibri"/>
      <family val="2"/>
      <scheme val="minor"/>
    </font>
  </fonts>
  <fills count="57">
    <fill>
      <patternFill patternType="none"/>
    </fill>
    <fill>
      <patternFill patternType="gray125"/>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theme="4"/>
      </patternFill>
    </fill>
    <fill>
      <patternFill patternType="solid">
        <fgColor theme="3" tint="-0.499984740745262"/>
        <bgColor indexed="64"/>
      </patternFill>
    </fill>
    <fill>
      <patternFill patternType="solid">
        <fgColor rgb="FFFFFFFF"/>
        <bgColor indexed="64"/>
      </patternFill>
    </fill>
    <fill>
      <patternFill patternType="solid">
        <fgColor rgb="FFEAF1F7"/>
        <bgColor indexed="64"/>
      </patternFill>
    </fill>
    <fill>
      <patternFill patternType="solid">
        <fgColor rgb="FF1F3A52"/>
        <bgColor indexed="64"/>
      </patternFill>
    </fill>
    <fill>
      <patternFill patternType="solid">
        <fgColor rgb="FF2E5C7E"/>
        <bgColor indexed="64"/>
      </patternFill>
    </fill>
    <fill>
      <patternFill patternType="solid">
        <fgColor rgb="FFD6E4EF"/>
        <bgColor indexed="64"/>
      </patternFill>
    </fill>
    <fill>
      <patternFill patternType="solid">
        <fgColor theme="8" tint="0.59999389629810485"/>
        <bgColor indexed="64"/>
      </patternFill>
    </fill>
    <fill>
      <patternFill patternType="solid">
        <fgColor rgb="FF1F3A52"/>
        <bgColor indexed="64"/>
      </patternFill>
    </fill>
    <fill>
      <patternFill patternType="solid">
        <fgColor rgb="FFEAF1F8"/>
        <bgColor indexed="64"/>
      </patternFill>
    </fill>
    <fill>
      <patternFill patternType="solid">
        <fgColor rgb="FFF2F2F2"/>
        <bgColor indexed="64"/>
      </patternFill>
    </fill>
    <fill>
      <patternFill patternType="solid">
        <fgColor rgb="FFE06666"/>
        <bgColor indexed="64"/>
      </patternFill>
    </fill>
    <fill>
      <patternFill patternType="solid">
        <fgColor rgb="FFFFD966"/>
        <bgColor indexed="64"/>
      </patternFill>
    </fill>
    <fill>
      <patternFill patternType="solid">
        <fgColor rgb="FFD9EAD3"/>
        <bgColor indexed="64"/>
      </patternFill>
    </fill>
    <fill>
      <patternFill patternType="solid">
        <fgColor rgb="FF38761D"/>
        <bgColor indexed="64"/>
      </patternFill>
    </fill>
    <fill>
      <patternFill patternType="solid">
        <fgColor rgb="FF2E75B6"/>
        <bgColor indexed="64"/>
      </patternFill>
    </fill>
    <fill>
      <patternFill patternType="solid">
        <fgColor rgb="FFD6E2F0"/>
        <bgColor indexed="64"/>
      </patternFill>
    </fill>
    <fill>
      <patternFill patternType="solid">
        <fgColor rgb="FFFFF2CC"/>
        <bgColor indexed="64"/>
      </patternFill>
    </fill>
    <fill>
      <patternFill patternType="solid">
        <fgColor rgb="FFFFFF00"/>
        <bgColor indexed="64"/>
      </patternFill>
    </fill>
  </fills>
  <borders count="4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0" tint="-0.14996795556505021"/>
      </top>
      <bottom/>
      <diagonal/>
    </border>
    <border>
      <left/>
      <right/>
      <top style="thin">
        <color indexed="64"/>
      </top>
      <bottom/>
      <diagonal/>
    </border>
    <border>
      <left style="thin">
        <color theme="0" tint="-0.14993743705557422"/>
      </left>
      <right style="thin">
        <color theme="0" tint="-0.14993743705557422"/>
      </right>
      <top style="thin">
        <color indexed="64"/>
      </top>
      <bottom style="medium">
        <color theme="0" tint="-0.14996795556505021"/>
      </bottom>
      <diagonal/>
    </border>
    <border>
      <left/>
      <right/>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style="thin">
        <color theme="0" tint="-0.14993743705557422"/>
      </left>
      <right style="thin">
        <color theme="0" tint="-0.14993743705557422"/>
      </right>
      <top style="thin">
        <color indexed="64"/>
      </top>
      <bottom style="thin">
        <color indexed="64"/>
      </bottom>
      <diagonal/>
    </border>
    <border>
      <left style="thin">
        <color indexed="64"/>
      </left>
      <right style="thin">
        <color indexed="64"/>
      </right>
      <top/>
      <bottom/>
      <diagonal/>
    </border>
    <border>
      <left/>
      <right/>
      <top/>
      <bottom style="thin">
        <color rgb="FFD9DEE3"/>
      </bottom>
      <diagonal/>
    </border>
    <border>
      <left/>
      <right/>
      <top style="thin">
        <color rgb="FF4A7A9E"/>
      </top>
      <bottom/>
      <diagonal/>
    </border>
    <border>
      <left/>
      <right/>
      <top/>
      <bottom style="medium">
        <color rgb="FF1F3A52"/>
      </bottom>
      <diagonal/>
    </border>
    <border>
      <left/>
      <right style="thin">
        <color theme="0" tint="-0.14993743705557422"/>
      </right>
      <top style="thin">
        <color indexed="64"/>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right style="thin">
        <color theme="0" tint="-0.14993743705557422"/>
      </right>
      <top style="medium">
        <color theme="0" tint="-0.14996795556505021"/>
      </top>
      <bottom style="thin">
        <color indexed="64"/>
      </bottom>
      <diagonal/>
    </border>
    <border>
      <left/>
      <right style="thin">
        <color theme="0" tint="-0.34998626667073579"/>
      </right>
      <top/>
      <bottom style="medium">
        <color theme="0" tint="-0.14996795556505021"/>
      </bottom>
      <diagonal/>
    </border>
    <border>
      <left/>
      <right style="thin">
        <color theme="0" tint="-0.14993743705557422"/>
      </right>
      <top style="thin">
        <color indexed="64"/>
      </top>
      <bottom style="thin">
        <color indexed="64"/>
      </bottom>
      <diagonal/>
    </border>
    <border>
      <left/>
      <right/>
      <top style="medium">
        <color rgb="FF1F3A5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1F3A52"/>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BFBFBF"/>
      </left>
      <right style="thin">
        <color rgb="FFBFBFBF"/>
      </right>
      <top style="thin">
        <color rgb="FFBFBFBF"/>
      </top>
      <bottom style="thin">
        <color rgb="FFBFBFBF"/>
      </bottom>
      <diagonal/>
    </border>
    <border>
      <left/>
      <right/>
      <top/>
      <bottom style="medium">
        <color rgb="FF1F3A52"/>
      </bottom>
      <diagonal/>
    </border>
    <border>
      <left style="thin">
        <color rgb="FFBDD7EE"/>
      </left>
      <right style="thin">
        <color rgb="FFBDD7EE"/>
      </right>
      <top style="thin">
        <color rgb="FFBDD7EE"/>
      </top>
      <bottom style="thin">
        <color rgb="FFBDD7EE"/>
      </bottom>
      <diagonal/>
    </border>
  </borders>
  <cellStyleXfs count="56">
    <xf numFmtId="0" fontId="0" fillId="0" borderId="0"/>
    <xf numFmtId="0" fontId="3" fillId="0" borderId="0" applyNumberFormat="0" applyFill="0" applyBorder="0" applyAlignment="0" applyProtection="0">
      <alignment vertical="top"/>
      <protection locked="0"/>
    </xf>
    <xf numFmtId="9" fontId="6" fillId="0" borderId="0" applyFont="0" applyFill="0" applyBorder="0" applyAlignment="0" applyProtection="0"/>
    <xf numFmtId="0" fontId="16" fillId="0" borderId="0"/>
    <xf numFmtId="167" fontId="6" fillId="0" borderId="3" applyFont="0" applyFill="0" applyAlignment="0" applyProtection="0"/>
    <xf numFmtId="0" fontId="9"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70"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9" fillId="0" borderId="0" applyNumberForma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0" applyNumberFormat="0" applyBorder="0" applyAlignment="0" applyProtection="0"/>
    <xf numFmtId="0" fontId="24" fillId="10" borderId="10" applyNumberFormat="0" applyAlignment="0" applyProtection="0"/>
    <xf numFmtId="0" fontId="25" fillId="11" borderId="11" applyNumberFormat="0" applyAlignment="0" applyProtection="0"/>
    <xf numFmtId="0" fontId="26" fillId="11" borderId="10" applyNumberFormat="0" applyAlignment="0" applyProtection="0"/>
    <xf numFmtId="0" fontId="27" fillId="0" borderId="12" applyNumberFormat="0" applyFill="0" applyAlignment="0" applyProtection="0"/>
    <xf numFmtId="0" fontId="28" fillId="12" borderId="13" applyNumberFormat="0" applyAlignment="0" applyProtection="0"/>
    <xf numFmtId="0" fontId="29" fillId="0" borderId="0" applyNumberFormat="0" applyFill="0" applyBorder="0" applyAlignment="0" applyProtection="0"/>
    <xf numFmtId="0" fontId="6" fillId="13" borderId="14" applyNumberFormat="0" applyFont="0" applyAlignment="0" applyProtection="0"/>
    <xf numFmtId="0" fontId="30" fillId="0" borderId="0" applyNumberFormat="0" applyFill="0" applyBorder="0" applyAlignment="0" applyProtection="0"/>
    <xf numFmtId="0" fontId="5" fillId="0" borderId="15" applyNumberFormat="0" applyFill="0" applyAlignment="0" applyProtection="0"/>
    <xf numFmtId="0" fontId="1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1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0" borderId="0"/>
    <xf numFmtId="44" fontId="6" fillId="0" borderId="0" applyFont="0" applyFill="0" applyBorder="0" applyAlignment="0" applyProtection="0"/>
  </cellStyleXfs>
  <cellXfs count="208">
    <xf numFmtId="0" fontId="0" fillId="0" borderId="0" xfId="0"/>
    <xf numFmtId="0" fontId="2" fillId="0" borderId="0" xfId="0" applyFont="1"/>
    <xf numFmtId="0" fontId="0" fillId="0" borderId="0" xfId="0" applyAlignment="1">
      <alignment horizontal="center"/>
    </xf>
    <xf numFmtId="0" fontId="0" fillId="0" borderId="0" xfId="0" applyAlignment="1">
      <alignment horizontal="right" vertical="center"/>
    </xf>
    <xf numFmtId="0" fontId="10" fillId="0" borderId="0" xfId="0" applyFont="1"/>
    <xf numFmtId="0" fontId="11" fillId="0" borderId="0" xfId="1" applyFont="1" applyAlignment="1" applyProtection="1"/>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2" fillId="0" borderId="0" xfId="0" applyFont="1" applyAlignment="1">
      <alignment horizontal="left" vertical="top"/>
    </xf>
    <xf numFmtId="0" fontId="14" fillId="0" borderId="0" xfId="0" applyFont="1" applyAlignment="1">
      <alignment vertical="top"/>
    </xf>
    <xf numFmtId="0" fontId="16" fillId="0" borderId="0" xfId="3"/>
    <xf numFmtId="0" fontId="16" fillId="0" borderId="0" xfId="0" applyFont="1" applyAlignment="1">
      <alignment horizontal="center"/>
    </xf>
    <xf numFmtId="0" fontId="0" fillId="0" borderId="0" xfId="0" applyAlignment="1">
      <alignment wrapText="1"/>
    </xf>
    <xf numFmtId="0" fontId="17" fillId="0" borderId="0" xfId="0" applyFont="1"/>
    <xf numFmtId="0" fontId="18" fillId="0" borderId="0" xfId="1" applyFont="1" applyProtection="1">
      <alignment vertical="top"/>
    </xf>
    <xf numFmtId="171" fontId="8" fillId="4" borderId="7" xfId="0" applyNumberFormat="1" applyFont="1" applyFill="1" applyBorder="1" applyAlignment="1">
      <alignment horizontal="center" vertical="center"/>
    </xf>
    <xf numFmtId="0" fontId="32" fillId="0" borderId="0" xfId="0" applyFont="1"/>
    <xf numFmtId="170" fontId="4" fillId="5" borderId="16" xfId="0" applyNumberFormat="1" applyFont="1" applyFill="1" applyBorder="1" applyAlignment="1">
      <alignment horizontal="center" vertical="center"/>
    </xf>
    <xf numFmtId="0" fontId="32" fillId="0" borderId="0" xfId="0" applyFont="1" applyAlignment="1">
      <alignment horizontal="center"/>
    </xf>
    <xf numFmtId="0" fontId="0" fillId="0" borderId="18"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20" xfId="0" applyBorder="1" applyAlignment="1">
      <alignment vertical="center"/>
    </xf>
    <xf numFmtId="0" fontId="0" fillId="0" borderId="19" xfId="0" applyBorder="1" applyAlignment="1">
      <alignment vertical="center"/>
    </xf>
    <xf numFmtId="170" fontId="4" fillId="3" borderId="0" xfId="0" applyNumberFormat="1" applyFont="1" applyFill="1" applyAlignment="1">
      <alignment horizontal="center" vertical="center"/>
    </xf>
    <xf numFmtId="170" fontId="4" fillId="6" borderId="0" xfId="0" applyNumberFormat="1" applyFont="1" applyFill="1" applyAlignment="1">
      <alignment horizontal="center" vertical="center"/>
    </xf>
    <xf numFmtId="170" fontId="4" fillId="2" borderId="0" xfId="0" applyNumberFormat="1" applyFont="1" applyFill="1" applyAlignment="1">
      <alignment horizontal="center" vertical="center"/>
    </xf>
    <xf numFmtId="0" fontId="0" fillId="0" borderId="21" xfId="0" applyBorder="1" applyAlignment="1">
      <alignment vertical="center"/>
    </xf>
    <xf numFmtId="0" fontId="33" fillId="39" borderId="8" xfId="0" applyFont="1" applyFill="1" applyBorder="1" applyAlignment="1">
      <alignment horizontal="center" vertical="center" shrinkToFit="1"/>
    </xf>
    <xf numFmtId="0" fontId="37" fillId="40" borderId="0" xfId="0" applyFont="1" applyFill="1" applyAlignment="1">
      <alignment horizontal="left" vertical="center"/>
    </xf>
    <xf numFmtId="0" fontId="38" fillId="40" borderId="0" xfId="0" applyFont="1" applyFill="1" applyAlignment="1">
      <alignment horizontal="left" vertical="top"/>
    </xf>
    <xf numFmtId="0" fontId="40" fillId="40" borderId="0" xfId="0" applyFont="1" applyFill="1" applyAlignment="1">
      <alignment horizontal="left" vertical="top" wrapText="1" indent="1"/>
    </xf>
    <xf numFmtId="0" fontId="40" fillId="40" borderId="0" xfId="0" applyFont="1" applyFill="1" applyAlignment="1">
      <alignment horizontal="left" vertical="top" wrapText="1"/>
    </xf>
    <xf numFmtId="0" fontId="41" fillId="40" borderId="0" xfId="1" applyFont="1" applyFill="1" applyBorder="1" applyAlignment="1" applyProtection="1">
      <alignment horizontal="left" vertical="top"/>
    </xf>
    <xf numFmtId="0" fontId="39" fillId="40" borderId="23" xfId="0" applyFont="1" applyFill="1" applyBorder="1" applyAlignment="1">
      <alignment horizontal="left" vertical="center"/>
    </xf>
    <xf numFmtId="0" fontId="33" fillId="38" borderId="0" xfId="0" applyFont="1" applyFill="1" applyAlignment="1">
      <alignment horizontal="center" vertical="center" wrapText="1"/>
    </xf>
    <xf numFmtId="0" fontId="1"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wrapText="1"/>
    </xf>
    <xf numFmtId="0" fontId="42" fillId="40" borderId="0" xfId="5" applyFont="1" applyFill="1" applyBorder="1" applyAlignment="1">
      <alignment horizontal="left" wrapText="1"/>
    </xf>
    <xf numFmtId="0" fontId="43" fillId="40" borderId="0" xfId="5" applyFont="1" applyFill="1" applyBorder="1" applyAlignment="1">
      <alignment horizontal="left" wrapText="1"/>
    </xf>
    <xf numFmtId="0" fontId="44" fillId="40" borderId="0" xfId="6" applyFont="1" applyFill="1" applyAlignment="1">
      <alignment horizontal="left" wrapText="1"/>
    </xf>
    <xf numFmtId="0" fontId="45" fillId="40" borderId="0" xfId="7" applyFont="1" applyFill="1" applyAlignment="1">
      <alignment horizontal="left" vertical="top" wrapText="1"/>
    </xf>
    <xf numFmtId="0" fontId="49" fillId="41" borderId="0" xfId="0" applyFont="1" applyFill="1" applyAlignment="1">
      <alignment horizontal="center" vertical="center"/>
    </xf>
    <xf numFmtId="0" fontId="49" fillId="41" borderId="24" xfId="0" applyFont="1" applyFill="1" applyBorder="1" applyAlignment="1">
      <alignment horizontal="center" vertical="center"/>
    </xf>
    <xf numFmtId="0" fontId="50" fillId="42" borderId="0" xfId="0" applyFont="1" applyFill="1" applyAlignment="1">
      <alignment horizontal="center" vertical="center" wrapText="1"/>
    </xf>
    <xf numFmtId="0" fontId="50" fillId="42" borderId="1" xfId="0" applyFont="1" applyFill="1" applyBorder="1" applyAlignment="1">
      <alignment horizontal="center" vertical="center" wrapText="1"/>
    </xf>
    <xf numFmtId="0" fontId="51" fillId="43" borderId="0" xfId="0" applyFont="1" applyFill="1" applyAlignment="1">
      <alignment horizontal="left" vertical="center" wrapText="1"/>
    </xf>
    <xf numFmtId="0" fontId="53" fillId="43" borderId="0" xfId="11" applyFont="1" applyFill="1" applyBorder="1">
      <alignment horizontal="center" vertical="center"/>
    </xf>
    <xf numFmtId="9" fontId="54" fillId="43" borderId="0" xfId="2" applyFont="1" applyFill="1" applyBorder="1" applyAlignment="1">
      <alignment horizontal="center" vertical="center"/>
    </xf>
    <xf numFmtId="170" fontId="53" fillId="43" borderId="0" xfId="0" applyNumberFormat="1" applyFont="1" applyFill="1" applyAlignment="1">
      <alignment horizontal="center" vertical="center" wrapText="1"/>
    </xf>
    <xf numFmtId="167" fontId="53" fillId="43" borderId="0" xfId="4" applyFont="1" applyFill="1" applyBorder="1" applyAlignment="1">
      <alignment horizontal="center" vertical="center"/>
    </xf>
    <xf numFmtId="170" fontId="52" fillId="43" borderId="0" xfId="0" applyNumberFormat="1" applyFont="1" applyFill="1" applyAlignment="1">
      <alignment horizontal="center" vertical="center"/>
    </xf>
    <xf numFmtId="170" fontId="53" fillId="43" borderId="0" xfId="0" applyNumberFormat="1" applyFont="1" applyFill="1" applyAlignment="1">
      <alignment horizontal="center" vertical="center"/>
    </xf>
    <xf numFmtId="0" fontId="51" fillId="43" borderId="25" xfId="0" applyFont="1" applyFill="1" applyBorder="1" applyAlignment="1">
      <alignment horizontal="left" vertical="center" wrapText="1"/>
    </xf>
    <xf numFmtId="9" fontId="54" fillId="43" borderId="25" xfId="2" applyFont="1" applyFill="1" applyBorder="1" applyAlignment="1">
      <alignment horizontal="center" vertical="center"/>
    </xf>
    <xf numFmtId="167" fontId="53" fillId="43" borderId="25" xfId="4" applyFont="1" applyFill="1" applyBorder="1" applyAlignment="1">
      <alignment horizontal="center" vertical="center"/>
    </xf>
    <xf numFmtId="170" fontId="52" fillId="43" borderId="25" xfId="0" applyNumberFormat="1" applyFont="1" applyFill="1" applyBorder="1" applyAlignment="1">
      <alignment horizontal="center" vertical="center"/>
    </xf>
    <xf numFmtId="170" fontId="53" fillId="43" borderId="25" xfId="0" applyNumberFormat="1" applyFont="1" applyFill="1" applyBorder="1" applyAlignment="1">
      <alignment horizontal="center" vertical="center"/>
    </xf>
    <xf numFmtId="0" fontId="0" fillId="0" borderId="26" xfId="0" applyBorder="1" applyAlignment="1">
      <alignment vertical="center"/>
    </xf>
    <xf numFmtId="170" fontId="40" fillId="44" borderId="0" xfId="10" applyFont="1" applyFill="1" applyBorder="1">
      <alignment horizontal="center" vertical="center"/>
    </xf>
    <xf numFmtId="0" fontId="40" fillId="44" borderId="0" xfId="0" applyFont="1" applyFill="1" applyAlignment="1">
      <alignment horizontal="center" vertical="center"/>
    </xf>
    <xf numFmtId="0" fontId="49" fillId="44" borderId="0" xfId="0" applyFont="1" applyFill="1" applyAlignment="1">
      <alignment horizontal="center" vertical="center"/>
    </xf>
    <xf numFmtId="0" fontId="0" fillId="0" borderId="27" xfId="0" applyBorder="1" applyAlignment="1">
      <alignment vertical="center"/>
    </xf>
    <xf numFmtId="170" fontId="50" fillId="43" borderId="25" xfId="0" applyNumberFormat="1" applyFont="1" applyFill="1" applyBorder="1" applyAlignment="1">
      <alignment horizontal="center" vertical="center"/>
    </xf>
    <xf numFmtId="0" fontId="40" fillId="41" borderId="0" xfId="12" applyFont="1" applyFill="1" applyBorder="1" applyAlignment="1">
      <alignment horizontal="left" vertical="center" wrapText="1"/>
    </xf>
    <xf numFmtId="9" fontId="40" fillId="41" borderId="0" xfId="2" applyFont="1" applyFill="1" applyBorder="1" applyAlignment="1">
      <alignment horizontal="center" vertical="center"/>
    </xf>
    <xf numFmtId="170" fontId="40" fillId="41" borderId="0" xfId="10" applyFont="1" applyFill="1" applyBorder="1">
      <alignment horizontal="center" vertical="center"/>
    </xf>
    <xf numFmtId="0" fontId="40" fillId="41" borderId="0" xfId="0" applyFont="1" applyFill="1" applyAlignment="1">
      <alignment horizontal="center" vertical="center"/>
    </xf>
    <xf numFmtId="0" fontId="40" fillId="40" borderId="0" xfId="12" applyFont="1" applyFill="1" applyBorder="1" applyAlignment="1">
      <alignment horizontal="left" vertical="center" wrapText="1"/>
    </xf>
    <xf numFmtId="9" fontId="40" fillId="40" borderId="0" xfId="2" applyFont="1" applyFill="1" applyBorder="1" applyAlignment="1">
      <alignment horizontal="center" vertical="center"/>
    </xf>
    <xf numFmtId="170" fontId="40" fillId="40" borderId="0" xfId="10" applyFont="1" applyFill="1" applyBorder="1">
      <alignment horizontal="center" vertical="center"/>
    </xf>
    <xf numFmtId="0" fontId="40" fillId="40" borderId="0" xfId="0" applyFont="1" applyFill="1" applyAlignment="1">
      <alignment horizontal="center" vertical="center"/>
    </xf>
    <xf numFmtId="0" fontId="49" fillId="40" borderId="0" xfId="0" applyFont="1" applyFill="1" applyAlignment="1">
      <alignment horizontal="center" vertical="center"/>
    </xf>
    <xf numFmtId="9" fontId="40" fillId="41" borderId="23" xfId="2" applyFont="1" applyFill="1" applyBorder="1" applyAlignment="1">
      <alignment horizontal="center" vertical="center"/>
    </xf>
    <xf numFmtId="170" fontId="40" fillId="41" borderId="23" xfId="10" applyFont="1" applyFill="1" applyBorder="1">
      <alignment horizontal="center" vertical="center"/>
    </xf>
    <xf numFmtId="0" fontId="40" fillId="41" borderId="23" xfId="0" applyFont="1" applyFill="1" applyBorder="1" applyAlignment="1">
      <alignment horizontal="center" vertical="center"/>
    </xf>
    <xf numFmtId="0" fontId="49" fillId="41" borderId="23" xfId="0" applyFont="1" applyFill="1" applyBorder="1" applyAlignment="1">
      <alignment horizontal="center" vertical="center"/>
    </xf>
    <xf numFmtId="0" fontId="0" fillId="0" borderId="28" xfId="0" applyBorder="1" applyAlignment="1">
      <alignment vertical="center"/>
    </xf>
    <xf numFmtId="9" fontId="40" fillId="40" borderId="23" xfId="2" applyFont="1" applyFill="1" applyBorder="1" applyAlignment="1">
      <alignment horizontal="center" vertical="center"/>
    </xf>
    <xf numFmtId="170" fontId="40" fillId="40" borderId="23" xfId="10" applyFont="1" applyFill="1" applyBorder="1">
      <alignment horizontal="center" vertical="center"/>
    </xf>
    <xf numFmtId="0" fontId="40" fillId="40" borderId="23" xfId="0" applyFont="1" applyFill="1" applyBorder="1" applyAlignment="1">
      <alignment horizontal="center" vertical="center"/>
    </xf>
    <xf numFmtId="0" fontId="49" fillId="40" borderId="23" xfId="0" applyFont="1" applyFill="1" applyBorder="1" applyAlignment="1">
      <alignment horizontal="center" vertical="center"/>
    </xf>
    <xf numFmtId="171" fontId="58" fillId="41" borderId="6" xfId="0" applyNumberFormat="1" applyFont="1" applyFill="1" applyBorder="1" applyAlignment="1">
      <alignment horizontal="center" vertical="center"/>
    </xf>
    <xf numFmtId="171" fontId="58" fillId="41" borderId="0" xfId="0" applyNumberFormat="1" applyFont="1" applyFill="1" applyAlignment="1">
      <alignment horizontal="center" vertical="center"/>
    </xf>
    <xf numFmtId="171" fontId="58" fillId="41" borderId="7" xfId="0" applyNumberFormat="1" applyFont="1" applyFill="1" applyBorder="1" applyAlignment="1">
      <alignment horizontal="center" vertical="center"/>
    </xf>
    <xf numFmtId="0" fontId="59" fillId="42" borderId="8" xfId="0" applyFont="1" applyFill="1" applyBorder="1" applyAlignment="1">
      <alignment horizontal="center" vertical="center" shrinkToFit="1"/>
    </xf>
    <xf numFmtId="0" fontId="43" fillId="40" borderId="0" xfId="5" applyFont="1" applyFill="1" applyBorder="1" applyAlignment="1">
      <alignment horizontal="left"/>
    </xf>
    <xf numFmtId="0" fontId="44" fillId="40" borderId="0" xfId="6" applyFont="1" applyFill="1" applyAlignment="1">
      <alignment horizontal="left"/>
    </xf>
    <xf numFmtId="0" fontId="45" fillId="40" borderId="0" xfId="7" applyFont="1" applyFill="1" applyAlignment="1">
      <alignment horizontal="left" vertical="top"/>
    </xf>
    <xf numFmtId="0" fontId="50" fillId="42" borderId="0" xfId="0" applyFont="1" applyFill="1" applyAlignment="1">
      <alignment horizontal="center" vertical="center"/>
    </xf>
    <xf numFmtId="0" fontId="55" fillId="40" borderId="0" xfId="0" applyFont="1" applyFill="1" applyAlignment="1">
      <alignment horizontal="center"/>
    </xf>
    <xf numFmtId="0" fontId="55" fillId="40" borderId="0" xfId="0" applyFont="1" applyFill="1" applyAlignment="1">
      <alignment horizontal="center" wrapText="1"/>
    </xf>
    <xf numFmtId="0" fontId="0" fillId="0" borderId="30" xfId="0" applyBorder="1" applyAlignment="1">
      <alignment vertical="center"/>
    </xf>
    <xf numFmtId="0" fontId="51" fillId="43" borderId="25" xfId="0" applyFont="1" applyFill="1" applyBorder="1" applyAlignment="1">
      <alignment horizontal="left" vertical="center" indent="1"/>
    </xf>
    <xf numFmtId="0" fontId="52" fillId="43" borderId="25" xfId="11" applyFont="1" applyFill="1" applyBorder="1">
      <alignment horizontal="center" vertical="center"/>
    </xf>
    <xf numFmtId="167" fontId="52" fillId="43" borderId="25" xfId="4" applyFont="1" applyFill="1" applyBorder="1" applyAlignment="1">
      <alignment horizontal="center" vertical="center"/>
    </xf>
    <xf numFmtId="170" fontId="51" fillId="43" borderId="25" xfId="0" applyNumberFormat="1" applyFont="1" applyFill="1" applyBorder="1" applyAlignment="1">
      <alignment horizontal="center" vertical="center"/>
    </xf>
    <xf numFmtId="0" fontId="40" fillId="40" borderId="0" xfId="12" applyFont="1" applyFill="1" applyBorder="1">
      <alignment horizontal="left" vertical="center" indent="2"/>
    </xf>
    <xf numFmtId="0" fontId="40" fillId="40" borderId="0" xfId="11" applyFont="1" applyFill="1" applyBorder="1">
      <alignment horizontal="center" vertical="center"/>
    </xf>
    <xf numFmtId="0" fontId="40" fillId="41" borderId="0" xfId="12" applyFont="1" applyFill="1" applyBorder="1">
      <alignment horizontal="left" vertical="center" indent="2"/>
    </xf>
    <xf numFmtId="0" fontId="40" fillId="41" borderId="0" xfId="11" applyFont="1" applyFill="1" applyBorder="1">
      <alignment horizontal="center" vertical="center"/>
    </xf>
    <xf numFmtId="0" fontId="40" fillId="40" borderId="0" xfId="12" applyFont="1" applyFill="1" applyBorder="1" applyAlignment="1">
      <alignment horizontal="left" vertical="center" wrapText="1" indent="2"/>
    </xf>
    <xf numFmtId="0" fontId="60" fillId="41" borderId="0" xfId="12" applyFont="1" applyFill="1" applyBorder="1">
      <alignment horizontal="left" vertical="center" indent="2"/>
    </xf>
    <xf numFmtId="0" fontId="60" fillId="41" borderId="0" xfId="11" applyFont="1" applyFill="1" applyBorder="1">
      <alignment horizontal="center" vertical="center"/>
    </xf>
    <xf numFmtId="9" fontId="60" fillId="41" borderId="0" xfId="2" applyFont="1" applyFill="1" applyBorder="1" applyAlignment="1">
      <alignment horizontal="center" vertical="center"/>
    </xf>
    <xf numFmtId="170" fontId="60" fillId="41" borderId="0" xfId="10" applyFont="1" applyFill="1" applyBorder="1">
      <alignment horizontal="center" vertical="center"/>
    </xf>
    <xf numFmtId="0" fontId="60" fillId="41" borderId="0" xfId="0" applyFont="1" applyFill="1" applyAlignment="1">
      <alignment horizontal="center" vertical="center"/>
    </xf>
    <xf numFmtId="0" fontId="61" fillId="41" borderId="0" xfId="0" applyFont="1" applyFill="1" applyAlignment="1">
      <alignment horizontal="center" vertical="center"/>
    </xf>
    <xf numFmtId="0" fontId="40" fillId="40" borderId="0" xfId="11" applyFont="1" applyFill="1" applyBorder="1" applyAlignment="1">
      <alignment horizontal="center" vertical="center" wrapText="1"/>
    </xf>
    <xf numFmtId="0" fontId="40" fillId="41" borderId="0" xfId="11" applyFont="1" applyFill="1" applyBorder="1" applyAlignment="1">
      <alignment horizontal="center" vertical="center" wrapText="1"/>
    </xf>
    <xf numFmtId="0" fontId="40" fillId="40" borderId="23" xfId="12" applyFont="1" applyFill="1" applyBorder="1">
      <alignment horizontal="left" vertical="center" indent="2"/>
    </xf>
    <xf numFmtId="0" fontId="40" fillId="40" borderId="23" xfId="11" applyFont="1" applyFill="1" applyBorder="1" applyAlignment="1">
      <alignment horizontal="center" vertical="center" wrapText="1"/>
    </xf>
    <xf numFmtId="0" fontId="59" fillId="42" borderId="29" xfId="0" applyFont="1" applyFill="1" applyBorder="1" applyAlignment="1">
      <alignment horizontal="center" vertical="center" shrinkToFit="1"/>
    </xf>
    <xf numFmtId="0" fontId="40" fillId="41" borderId="23" xfId="12" applyFont="1" applyFill="1" applyBorder="1">
      <alignment horizontal="left" vertical="center" indent="2"/>
    </xf>
    <xf numFmtId="0" fontId="40" fillId="41" borderId="23" xfId="11" applyFont="1" applyFill="1" applyBorder="1" applyAlignment="1">
      <alignment horizontal="center" vertical="center" wrapText="1"/>
    </xf>
    <xf numFmtId="0" fontId="16" fillId="0" borderId="0" xfId="3" applyAlignment="1">
      <alignment wrapText="1"/>
    </xf>
    <xf numFmtId="0" fontId="31" fillId="0" borderId="0" xfId="3" applyFont="1" applyAlignment="1">
      <alignment wrapText="1"/>
    </xf>
    <xf numFmtId="0" fontId="31" fillId="0" borderId="0" xfId="3" applyFont="1" applyAlignment="1">
      <alignment horizontal="center" wrapText="1"/>
    </xf>
    <xf numFmtId="0" fontId="49" fillId="40" borderId="31" xfId="0" applyFont="1" applyFill="1" applyBorder="1" applyAlignment="1">
      <alignment horizontal="right" wrapText="1"/>
    </xf>
    <xf numFmtId="0" fontId="48" fillId="40" borderId="31" xfId="0" applyFont="1" applyFill="1" applyBorder="1" applyAlignment="1">
      <alignment horizontal="center"/>
    </xf>
    <xf numFmtId="0" fontId="48" fillId="40" borderId="31" xfId="0" applyFont="1" applyFill="1" applyBorder="1" applyAlignment="1">
      <alignment horizontal="center" vertical="center"/>
    </xf>
    <xf numFmtId="9" fontId="36" fillId="40" borderId="32" xfId="2" applyFont="1" applyFill="1" applyBorder="1" applyAlignment="1">
      <alignment horizontal="center" vertical="center" wrapText="1"/>
    </xf>
    <xf numFmtId="0" fontId="4" fillId="0" borderId="0" xfId="3" applyFont="1" applyAlignment="1">
      <alignment wrapText="1"/>
    </xf>
    <xf numFmtId="0" fontId="4" fillId="0" borderId="0" xfId="3" applyFont="1"/>
    <xf numFmtId="0" fontId="2" fillId="0" borderId="0" xfId="3" applyFont="1" applyAlignment="1">
      <alignment wrapText="1"/>
    </xf>
    <xf numFmtId="0" fontId="62" fillId="0" borderId="0" xfId="3" applyFont="1" applyAlignment="1">
      <alignment horizontal="center" vertical="center" wrapText="1"/>
    </xf>
    <xf numFmtId="0" fontId="33" fillId="0" borderId="0" xfId="3" applyFont="1" applyAlignment="1">
      <alignment horizontal="center" vertical="center" wrapText="1"/>
    </xf>
    <xf numFmtId="0" fontId="5" fillId="0" borderId="0" xfId="0" applyFont="1" applyAlignment="1">
      <alignment horizontal="center" vertical="center"/>
    </xf>
    <xf numFmtId="0" fontId="62" fillId="0" borderId="36" xfId="3" applyFont="1" applyBorder="1" applyAlignment="1">
      <alignment horizontal="center" vertical="center" wrapText="1"/>
    </xf>
    <xf numFmtId="0" fontId="62" fillId="0" borderId="36" xfId="4" applyNumberFormat="1" applyFont="1" applyBorder="1" applyAlignment="1">
      <alignment horizontal="center" vertical="center" wrapText="1"/>
    </xf>
    <xf numFmtId="16" fontId="62" fillId="0" borderId="36" xfId="3" applyNumberFormat="1" applyFont="1" applyBorder="1" applyAlignment="1">
      <alignment horizontal="center" vertical="center" wrapText="1"/>
    </xf>
    <xf numFmtId="0" fontId="62" fillId="45" borderId="0" xfId="3" applyFont="1" applyFill="1" applyAlignment="1">
      <alignment vertical="center" wrapText="1"/>
    </xf>
    <xf numFmtId="0" fontId="62" fillId="0" borderId="0" xfId="3" applyFont="1" applyAlignment="1">
      <alignment vertical="center" wrapText="1"/>
    </xf>
    <xf numFmtId="0" fontId="50" fillId="42" borderId="36" xfId="0" applyFont="1" applyFill="1" applyBorder="1" applyAlignment="1">
      <alignment horizontal="center" vertical="center" wrapText="1"/>
    </xf>
    <xf numFmtId="0" fontId="1" fillId="0" borderId="0" xfId="0" applyFont="1" applyAlignment="1">
      <alignment horizontal="left" wrapText="1"/>
    </xf>
    <xf numFmtId="0" fontId="53" fillId="43" borderId="0" xfId="11" applyFont="1" applyFill="1" applyBorder="1" applyAlignment="1">
      <alignment horizontal="center" vertical="center" wrapText="1"/>
    </xf>
    <xf numFmtId="0" fontId="53" fillId="43" borderId="25" xfId="11" applyFont="1" applyFill="1" applyBorder="1" applyAlignment="1">
      <alignment horizontal="center" vertical="center" wrapText="1"/>
    </xf>
    <xf numFmtId="0" fontId="46" fillId="41" borderId="0" xfId="11" applyFont="1" applyFill="1" applyBorder="1" applyAlignment="1">
      <alignment horizontal="center" vertical="center" wrapText="1"/>
    </xf>
    <xf numFmtId="0" fontId="46" fillId="40" borderId="0" xfId="11" applyFont="1" applyFill="1" applyBorder="1" applyAlignment="1">
      <alignment horizontal="center" vertical="center" wrapText="1"/>
    </xf>
    <xf numFmtId="0" fontId="48" fillId="40" borderId="31" xfId="0" applyFont="1" applyFill="1" applyBorder="1" applyAlignment="1">
      <alignment horizontal="center" wrapText="1"/>
    </xf>
    <xf numFmtId="0" fontId="10" fillId="0" borderId="0" xfId="0" applyFont="1" applyAlignment="1">
      <alignment wrapText="1"/>
    </xf>
    <xf numFmtId="0" fontId="11" fillId="0" borderId="0" xfId="1" applyFont="1" applyAlignment="1" applyProtection="1">
      <alignment wrapText="1"/>
    </xf>
    <xf numFmtId="0" fontId="40" fillId="0" borderId="0" xfId="12" applyFont="1" applyFill="1" applyBorder="1" applyAlignment="1">
      <alignment horizontal="left" vertical="center" wrapText="1"/>
    </xf>
    <xf numFmtId="0" fontId="65" fillId="53" borderId="38" xfId="0" applyFont="1" applyFill="1" applyBorder="1" applyAlignment="1">
      <alignment horizontal="center" vertical="center" wrapText="1"/>
    </xf>
    <xf numFmtId="0" fontId="65" fillId="53" borderId="38" xfId="0" applyFont="1" applyFill="1" applyBorder="1" applyAlignment="1">
      <alignment horizontal="left" vertical="center" wrapText="1"/>
    </xf>
    <xf numFmtId="0" fontId="67" fillId="0" borderId="0" xfId="0" applyFont="1" applyAlignment="1">
      <alignment horizontal="left" vertical="center"/>
    </xf>
    <xf numFmtId="0" fontId="71" fillId="0" borderId="38" xfId="0" applyFont="1" applyBorder="1" applyAlignment="1">
      <alignment horizontal="center" vertical="center"/>
    </xf>
    <xf numFmtId="9" fontId="71" fillId="0" borderId="38" xfId="0" applyNumberFormat="1" applyFont="1" applyBorder="1" applyAlignment="1">
      <alignment horizontal="center" vertical="center"/>
    </xf>
    <xf numFmtId="0" fontId="69" fillId="48" borderId="40" xfId="0" applyFont="1" applyFill="1" applyBorder="1" applyAlignment="1">
      <alignment horizontal="center" vertical="center"/>
    </xf>
    <xf numFmtId="0" fontId="70" fillId="48" borderId="40" xfId="0" applyFont="1" applyFill="1" applyBorder="1" applyAlignment="1">
      <alignment horizontal="center" vertical="center"/>
    </xf>
    <xf numFmtId="0" fontId="73" fillId="48" borderId="40" xfId="0" applyFont="1" applyFill="1" applyBorder="1" applyAlignment="1">
      <alignment horizontal="center" vertical="center" wrapText="1"/>
    </xf>
    <xf numFmtId="1" fontId="67" fillId="54" borderId="38" xfId="0" applyNumberFormat="1" applyFont="1" applyFill="1" applyBorder="1" applyAlignment="1">
      <alignment horizontal="center" vertical="center"/>
    </xf>
    <xf numFmtId="173" fontId="67" fillId="54" borderId="38" xfId="0" applyNumberFormat="1" applyFont="1" applyFill="1" applyBorder="1" applyAlignment="1">
      <alignment horizontal="center" vertical="center"/>
    </xf>
    <xf numFmtId="1" fontId="67" fillId="55" borderId="38" xfId="0" applyNumberFormat="1" applyFont="1" applyFill="1" applyBorder="1" applyAlignment="1">
      <alignment horizontal="center" vertical="center"/>
    </xf>
    <xf numFmtId="173" fontId="67" fillId="55" borderId="38" xfId="0" applyNumberFormat="1" applyFont="1" applyFill="1" applyBorder="1" applyAlignment="1">
      <alignment horizontal="center" vertical="center"/>
    </xf>
    <xf numFmtId="0" fontId="67" fillId="50" borderId="38" xfId="0" applyFont="1" applyFill="1" applyBorder="1" applyAlignment="1">
      <alignment horizontal="center" vertical="center"/>
    </xf>
    <xf numFmtId="0" fontId="71" fillId="0" borderId="0" xfId="0" applyFont="1" applyAlignment="1">
      <alignment horizontal="left" vertical="center" wrapText="1"/>
    </xf>
    <xf numFmtId="0" fontId="72" fillId="0" borderId="0" xfId="0" applyFont="1" applyAlignment="1">
      <alignment horizontal="center" vertical="center"/>
    </xf>
    <xf numFmtId="0" fontId="72" fillId="0" borderId="0" xfId="0" applyFont="1" applyAlignment="1">
      <alignment horizontal="left" vertical="center"/>
    </xf>
    <xf numFmtId="0" fontId="71" fillId="0" borderId="0" xfId="0" applyFont="1" applyAlignment="1">
      <alignment horizontal="center" vertical="center"/>
    </xf>
    <xf numFmtId="173" fontId="71" fillId="0" borderId="0" xfId="0" applyNumberFormat="1" applyFont="1" applyAlignment="1">
      <alignment horizontal="center" vertical="center"/>
    </xf>
    <xf numFmtId="9" fontId="71" fillId="0" borderId="0" xfId="0" applyNumberFormat="1" applyFont="1" applyAlignment="1">
      <alignment horizontal="center" vertical="center"/>
    </xf>
    <xf numFmtId="174" fontId="71" fillId="0" borderId="0" xfId="0" applyNumberFormat="1" applyFont="1" applyAlignment="1">
      <alignment horizontal="center" vertical="center"/>
    </xf>
    <xf numFmtId="0" fontId="62" fillId="45" borderId="0" xfId="3" applyFont="1" applyFill="1" applyAlignment="1">
      <alignment horizontal="center" vertical="center" wrapText="1"/>
    </xf>
    <xf numFmtId="9" fontId="51" fillId="43" borderId="22" xfId="0" applyNumberFormat="1" applyFont="1" applyFill="1" applyBorder="1" applyAlignment="1">
      <alignment horizontal="center" vertical="center" wrapText="1"/>
    </xf>
    <xf numFmtId="9" fontId="49" fillId="44" borderId="22" xfId="0" applyNumberFormat="1" applyFont="1" applyFill="1" applyBorder="1" applyAlignment="1">
      <alignment horizontal="center" vertical="center" wrapText="1"/>
    </xf>
    <xf numFmtId="169" fontId="57" fillId="41" borderId="4" xfId="0" applyNumberFormat="1" applyFont="1" applyFill="1" applyBorder="1" applyAlignment="1">
      <alignment horizontal="center" vertical="center" wrapText="1" indent="1"/>
    </xf>
    <xf numFmtId="169" fontId="57" fillId="41" borderId="1" xfId="0" applyNumberFormat="1" applyFont="1" applyFill="1" applyBorder="1" applyAlignment="1">
      <alignment horizontal="center" vertical="center" wrapText="1" indent="1"/>
    </xf>
    <xf numFmtId="169" fontId="57" fillId="41" borderId="5" xfId="0" applyNumberFormat="1" applyFont="1" applyFill="1" applyBorder="1" applyAlignment="1">
      <alignment horizontal="center" vertical="center" wrapText="1" indent="1"/>
    </xf>
    <xf numFmtId="0" fontId="47" fillId="40" borderId="0" xfId="8" applyFont="1" applyFill="1">
      <alignment horizontal="right" indent="1"/>
    </xf>
    <xf numFmtId="172" fontId="49" fillId="41" borderId="0" xfId="9" applyNumberFormat="1" applyFont="1" applyFill="1" applyBorder="1">
      <alignment horizontal="center" vertical="center"/>
    </xf>
    <xf numFmtId="172" fontId="6" fillId="0" borderId="0" xfId="9" applyNumberFormat="1" applyBorder="1">
      <alignment horizontal="center" vertical="center"/>
    </xf>
    <xf numFmtId="169" fontId="32" fillId="4" borderId="5" xfId="0" applyNumberFormat="1" applyFont="1" applyFill="1" applyBorder="1" applyAlignment="1">
      <alignment horizontal="left" vertical="center" wrapText="1" indent="1"/>
    </xf>
    <xf numFmtId="9" fontId="51" fillId="43" borderId="33" xfId="0" applyNumberFormat="1" applyFont="1" applyFill="1" applyBorder="1" applyAlignment="1">
      <alignment horizontal="center" vertical="center" wrapText="1"/>
    </xf>
    <xf numFmtId="9" fontId="51" fillId="43" borderId="34" xfId="0" applyNumberFormat="1" applyFont="1" applyFill="1" applyBorder="1" applyAlignment="1">
      <alignment horizontal="center" vertical="center" wrapText="1"/>
    </xf>
    <xf numFmtId="0" fontId="56" fillId="41" borderId="34" xfId="0" applyFont="1" applyFill="1" applyBorder="1" applyAlignment="1">
      <alignment horizontal="center" vertical="center" wrapText="1"/>
    </xf>
    <xf numFmtId="0" fontId="56" fillId="40" borderId="34" xfId="0" applyFont="1" applyFill="1" applyBorder="1" applyAlignment="1">
      <alignment horizontal="center" vertical="center" wrapText="1"/>
    </xf>
    <xf numFmtId="0" fontId="56" fillId="40" borderId="35" xfId="0" applyFont="1" applyFill="1" applyBorder="1" applyAlignment="1">
      <alignment horizontal="center" vertical="center" wrapText="1"/>
    </xf>
    <xf numFmtId="9" fontId="56" fillId="40" borderId="34" xfId="0" applyNumberFormat="1" applyFont="1" applyFill="1" applyBorder="1" applyAlignment="1">
      <alignment horizontal="center" vertical="center" wrapText="1"/>
    </xf>
    <xf numFmtId="9" fontId="56" fillId="41" borderId="34" xfId="0" applyNumberFormat="1" applyFont="1" applyFill="1" applyBorder="1" applyAlignment="1">
      <alignment horizontal="center" vertical="center" wrapText="1"/>
    </xf>
    <xf numFmtId="9" fontId="56" fillId="40" borderId="35" xfId="0" applyNumberFormat="1" applyFont="1" applyFill="1" applyBorder="1" applyAlignment="1">
      <alignment horizontal="center" vertical="center" wrapText="1"/>
    </xf>
    <xf numFmtId="9" fontId="56" fillId="41" borderId="35" xfId="0" applyNumberFormat="1" applyFont="1" applyFill="1" applyBorder="1" applyAlignment="1">
      <alignment horizontal="center" vertical="center" wrapText="1"/>
    </xf>
    <xf numFmtId="0" fontId="63" fillId="46" borderId="0" xfId="0" applyFont="1" applyFill="1" applyAlignment="1">
      <alignment horizontal="left" vertical="center"/>
    </xf>
    <xf numFmtId="0" fontId="64" fillId="46" borderId="0" xfId="0" applyFont="1" applyFill="1" applyAlignment="1">
      <alignment horizontal="left" vertical="center"/>
    </xf>
    <xf numFmtId="0" fontId="73" fillId="48" borderId="40" xfId="0" applyFont="1" applyFill="1" applyBorder="1" applyAlignment="1">
      <alignment horizontal="center" vertical="center" wrapText="1"/>
    </xf>
    <xf numFmtId="9" fontId="69" fillId="48" borderId="40" xfId="0" applyNumberFormat="1" applyFont="1" applyFill="1" applyBorder="1" applyAlignment="1">
      <alignment horizontal="center" vertical="center"/>
    </xf>
    <xf numFmtId="0" fontId="69" fillId="48" borderId="40" xfId="0" applyFont="1" applyFill="1" applyBorder="1" applyAlignment="1">
      <alignment horizontal="center" vertical="center"/>
    </xf>
    <xf numFmtId="0" fontId="66" fillId="47" borderId="39" xfId="0" applyFont="1" applyFill="1" applyBorder="1" applyAlignment="1">
      <alignment horizontal="left" vertical="center"/>
    </xf>
    <xf numFmtId="0" fontId="65" fillId="53" borderId="38" xfId="0" applyFont="1" applyFill="1" applyBorder="1" applyAlignment="1">
      <alignment horizontal="left" vertical="center" wrapText="1"/>
    </xf>
    <xf numFmtId="0" fontId="65" fillId="53" borderId="38" xfId="0" applyFont="1" applyFill="1" applyBorder="1" applyAlignment="1">
      <alignment horizontal="center" vertical="center" wrapText="1"/>
    </xf>
    <xf numFmtId="0" fontId="71" fillId="0" borderId="0" xfId="0" applyFont="1" applyAlignment="1">
      <alignment horizontal="left" vertical="center" wrapText="1"/>
    </xf>
    <xf numFmtId="0" fontId="68" fillId="0" borderId="0" xfId="0" applyFont="1" applyAlignment="1">
      <alignment horizontal="left" vertical="center" wrapText="1"/>
    </xf>
    <xf numFmtId="0" fontId="0" fillId="0" borderId="0" xfId="0"/>
    <xf numFmtId="0" fontId="74" fillId="49" borderId="38" xfId="0" applyFont="1" applyFill="1" applyBorder="1" applyAlignment="1">
      <alignment horizontal="center" vertical="center"/>
    </xf>
    <xf numFmtId="0" fontId="67" fillId="51" borderId="38" xfId="0" applyFont="1" applyFill="1" applyBorder="1" applyAlignment="1">
      <alignment horizontal="center" vertical="center"/>
    </xf>
    <xf numFmtId="0" fontId="74" fillId="52" borderId="38" xfId="0" applyFont="1" applyFill="1" applyBorder="1" applyAlignment="1">
      <alignment horizontal="center" vertical="center"/>
    </xf>
    <xf numFmtId="0" fontId="67" fillId="0" borderId="0" xfId="0" applyFont="1" applyAlignment="1">
      <alignment horizontal="left" vertical="center"/>
    </xf>
    <xf numFmtId="0" fontId="67" fillId="0" borderId="0" xfId="0" applyFont="1" applyAlignment="1">
      <alignment horizontal="left" vertical="center" wrapText="1"/>
    </xf>
    <xf numFmtId="0" fontId="62" fillId="56" borderId="37" xfId="3" applyFont="1" applyFill="1" applyBorder="1" applyAlignment="1">
      <alignment horizontal="center" vertical="center" wrapText="1"/>
    </xf>
    <xf numFmtId="0" fontId="62" fillId="56" borderId="0" xfId="3" applyFont="1" applyFill="1" applyAlignment="1">
      <alignment horizontal="center" vertical="center" wrapText="1"/>
    </xf>
    <xf numFmtId="0" fontId="62" fillId="56" borderId="0" xfId="3" applyFont="1" applyFill="1" applyAlignment="1">
      <alignment vertical="center" wrapText="1"/>
    </xf>
    <xf numFmtId="0" fontId="62" fillId="56" borderId="0" xfId="3" applyFont="1" applyFill="1" applyAlignment="1">
      <alignment horizontal="center" vertical="center" wrapText="1"/>
    </xf>
  </cellXfs>
  <cellStyles count="56">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Moneda 5" xfId="55" xr:uid="{7539DEA7-AC3B-4557-8F64-10F32A80B746}"/>
    <cellStyle name="Neutral" xfId="20" builtinId="28" customBuiltin="1"/>
    <cellStyle name="Nombre" xfId="11" xr:uid="{B2D3C1EE-6B41-4801-AAFC-C2274E49E503}"/>
    <cellStyle name="Normal" xfId="0" builtinId="0" customBuiltin="1"/>
    <cellStyle name="Normal 2" xfId="54" xr:uid="{05E4BB33-962B-410C-9046-BE7798285F3A}"/>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42">
    <dxf>
      <fill>
        <patternFill>
          <bgColor rgb="FFFFF2CC"/>
        </patternFill>
      </fill>
    </dxf>
    <dxf>
      <font>
        <b/>
        <color rgb="FF7F6000"/>
      </font>
      <fill>
        <patternFill>
          <bgColor rgb="FFFFD966"/>
        </patternFill>
      </fill>
    </dxf>
    <dxf>
      <font>
        <b/>
        <color rgb="FFFFFFFF"/>
      </font>
      <fill>
        <patternFill>
          <bgColor rgb="FF38761D"/>
        </patternFill>
      </fill>
    </dxf>
    <dxf>
      <font>
        <color rgb="FF274E13"/>
      </font>
      <fill>
        <patternFill>
          <bgColor rgb="FFD9EAD3"/>
        </patternFill>
      </fill>
    </dxf>
    <dxf>
      <font>
        <b/>
        <color rgb="FF7F6000"/>
      </font>
      <fill>
        <patternFill>
          <bgColor rgb="FFFFD966"/>
        </patternFill>
      </fill>
    </dxf>
    <dxf>
      <font>
        <b/>
        <color rgb="FFFFFFFF"/>
      </font>
      <fill>
        <patternFill>
          <bgColor rgb="FFE06666"/>
        </patternFill>
      </fill>
    </dxf>
    <dxf>
      <border>
        <left style="thin">
          <color rgb="FFBFBFBF"/>
        </left>
        <right style="thin">
          <color rgb="FFBFBFBF"/>
        </right>
        <top style="thin">
          <color rgb="FFBFBFBF"/>
        </top>
        <bottom style="thin">
          <color rgb="FFBFBFBF"/>
        </bottom>
      </border>
    </dxf>
    <dxf>
      <font>
        <b/>
        <color rgb="FFFFFFFF"/>
      </font>
      <fill>
        <patternFill>
          <bgColor rgb="FF38761D"/>
        </patternFill>
      </fill>
    </dxf>
    <dxf>
      <font>
        <color rgb="FF274E13"/>
      </font>
      <fill>
        <patternFill>
          <bgColor rgb="FFD9EAD3"/>
        </patternFill>
      </fill>
    </dxf>
    <dxf>
      <font>
        <b/>
        <color rgb="FF7F6000"/>
      </font>
      <fill>
        <patternFill>
          <bgColor rgb="FFFFD966"/>
        </patternFill>
      </fill>
    </dxf>
    <dxf>
      <font>
        <b/>
        <color rgb="FFFFFFFF"/>
      </font>
      <fill>
        <patternFill>
          <bgColor rgb="FFE06666"/>
        </patternFill>
      </fill>
    </dxf>
    <dxf>
      <border>
        <left style="thin">
          <color rgb="FFBFBFBF"/>
        </left>
        <right style="thin">
          <color rgb="FFBFBFBF"/>
        </right>
        <top style="thin">
          <color rgb="FFBFBFBF"/>
        </top>
        <bottom style="thin">
          <color rgb="FFBFBFBF"/>
        </bottom>
      </border>
    </dxf>
    <dxf>
      <font>
        <color rgb="FF274E13"/>
      </font>
      <fill>
        <patternFill>
          <bgColor rgb="FFD9EAD3"/>
        </patternFill>
      </fill>
    </dxf>
    <dxf>
      <font>
        <b/>
        <color rgb="FF7F6000"/>
      </font>
      <fill>
        <patternFill>
          <bgColor rgb="FFFFD966"/>
        </patternFill>
      </fill>
    </dxf>
    <dxf>
      <font>
        <b/>
        <color rgb="FFFFFFFF"/>
      </font>
      <fill>
        <patternFill>
          <bgColor rgb="FFE06666"/>
        </patternFill>
      </fill>
    </dxf>
    <dxf>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bottom style="thin">
          <color rgb="FFBFBFBF"/>
        </bottom>
      </border>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patternType="solid">
          <fgColor indexed="64"/>
          <bgColor rgb="FFA8C5DE"/>
        </patternFill>
      </fill>
      <border>
        <left/>
        <right/>
      </border>
    </dxf>
    <dxf>
      <fill>
        <patternFill patternType="solid">
          <fgColor indexed="64"/>
          <bgColor rgb="FF1F3A52"/>
        </patternFill>
      </fill>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font>
        <color rgb="FF274E13"/>
      </font>
      <fill>
        <patternFill>
          <bgColor rgb="FFD9EAD3"/>
        </patternFill>
      </fill>
    </dxf>
    <dxf>
      <font>
        <b/>
        <color rgb="FF7F6000"/>
      </font>
      <fill>
        <patternFill>
          <bgColor rgb="FFFFD966"/>
        </patternFill>
      </fill>
    </dxf>
    <dxf>
      <font>
        <b/>
        <color rgb="FFFFFFFF"/>
      </font>
      <fill>
        <patternFill>
          <bgColor rgb="FFE06666"/>
        </patternFill>
      </fill>
    </dxf>
    <dxf>
      <font>
        <b/>
        <color rgb="FFFFFFFF"/>
      </font>
      <fill>
        <patternFill>
          <bgColor rgb="FF38761D"/>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41"/>
      <tableStyleElement type="headerRow" dxfId="40"/>
      <tableStyleElement type="totalRow" dxfId="39"/>
      <tableStyleElement type="firstColumn" dxfId="38"/>
      <tableStyleElement type="lastColumn" dxfId="37"/>
      <tableStyleElement type="firstRowStripe" dxfId="36"/>
      <tableStyleElement type="secondRowStripe" dxfId="35"/>
      <tableStyleElement type="firstColumnStripe" dxfId="34"/>
      <tableStyleElement type="secondColumnStripe" dxfId="3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000000"/>
      <color rgb="FF427FC2"/>
      <color rgb="FF215881"/>
      <color rgb="FF42648A"/>
      <color rgb="FF969696"/>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520700</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E04964-845D-49EA-AE40-B3D687E90185}">
  <we:reference id="WA200009404" version="1.0.0.8" store="Omex" storeType="OMEX"/>
  <we:alternateReferences>
    <we:reference id="WA200009404" version="1.0.0.8" store="WA200009404" storeType="OMEX"/>
  </we:alternateReferences>
  <we:properties>
    <we:property name="claude.fileId" value="&quot;cab32c97-b976-452e-9260-bf25865177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A0BA-5F40-481C-A416-1CA5E04363A6}">
  <sheetPr>
    <pageSetUpPr fitToPage="1"/>
  </sheetPr>
  <dimension ref="A1:BR80"/>
  <sheetViews>
    <sheetView showGridLines="0" tabSelected="1" showRuler="0" topLeftCell="B1" zoomScale="70" zoomScaleNormal="70" zoomScalePageLayoutView="70" workbookViewId="0">
      <pane ySplit="6" topLeftCell="A7" activePane="bottomLeft" state="frozen"/>
      <selection pane="bottomLeft" activeCell="E8" sqref="E8"/>
    </sheetView>
  </sheetViews>
  <sheetFormatPr baseColWidth="10" defaultColWidth="9.1796875" defaultRowHeight="30" customHeight="1" x14ac:dyDescent="0.35"/>
  <cols>
    <col min="1" max="1" width="2.7265625" style="14" hidden="1" customWidth="1"/>
    <col min="2" max="2" width="12.26953125" style="129" bestFit="1" customWidth="1"/>
    <col min="3" max="3" width="26.54296875" style="131" customWidth="1"/>
    <col min="4" max="4" width="10.90625" style="131" customWidth="1"/>
    <col min="5" max="6" width="12.54296875" style="131" customWidth="1"/>
    <col min="7" max="7" width="74" style="16" customWidth="1"/>
    <col min="8" max="8" width="14.6328125" style="16" bestFit="1" customWidth="1"/>
    <col min="9" max="9" width="20.7265625" style="16" customWidth="1"/>
    <col min="10" max="10" width="9.26953125" bestFit="1" customWidth="1"/>
    <col min="11" max="11" width="15.7265625" style="2" bestFit="1" customWidth="1"/>
    <col min="12" max="12" width="9.08984375" bestFit="1" customWidth="1"/>
    <col min="13" max="13" width="2.7265625" customWidth="1"/>
    <col min="14" max="14" width="9.453125" hidden="1" customWidth="1"/>
    <col min="15" max="20" width="3.26953125" customWidth="1"/>
    <col min="21" max="21" width="8.453125" bestFit="1" customWidth="1"/>
    <col min="22" max="29" width="3.26953125" customWidth="1"/>
    <col min="30" max="30" width="4.08984375" customWidth="1"/>
    <col min="31" max="31" width="2.54296875" bestFit="1" customWidth="1"/>
    <col min="32" max="70" width="3.26953125" customWidth="1"/>
  </cols>
  <sheetData>
    <row r="1" spans="1:70" ht="30" customHeight="1" x14ac:dyDescent="0.65">
      <c r="A1" s="121" t="s">
        <v>0</v>
      </c>
      <c r="B1" s="128"/>
      <c r="G1" s="44" t="s">
        <v>34</v>
      </c>
      <c r="H1" s="45"/>
      <c r="I1" s="140"/>
      <c r="J1" s="1"/>
      <c r="K1" s="41"/>
      <c r="L1" s="42"/>
      <c r="N1" s="1"/>
      <c r="O1" s="17"/>
    </row>
    <row r="2" spans="1:70" ht="30" customHeight="1" x14ac:dyDescent="0.4">
      <c r="A2" s="14" t="s">
        <v>1</v>
      </c>
      <c r="G2" s="46" t="s">
        <v>35</v>
      </c>
      <c r="H2" s="47"/>
      <c r="O2" s="18"/>
    </row>
    <row r="3" spans="1:70" ht="30" customHeight="1" x14ac:dyDescent="0.35">
      <c r="A3" s="14" t="s">
        <v>2</v>
      </c>
      <c r="G3" s="47" t="s">
        <v>36</v>
      </c>
      <c r="H3" s="47"/>
      <c r="I3" s="175" t="s">
        <v>13</v>
      </c>
      <c r="J3" s="175"/>
      <c r="K3" s="176">
        <v>45958</v>
      </c>
      <c r="L3" s="177"/>
    </row>
    <row r="4" spans="1:70" ht="30" customHeight="1" x14ac:dyDescent="0.35">
      <c r="A4" s="122" t="s">
        <v>3</v>
      </c>
      <c r="B4" s="130"/>
      <c r="G4" s="43"/>
      <c r="H4" s="43"/>
      <c r="I4" s="175" t="s">
        <v>14</v>
      </c>
      <c r="J4" s="175"/>
      <c r="K4" s="49">
        <v>32</v>
      </c>
      <c r="L4" s="20"/>
      <c r="M4" s="20"/>
      <c r="N4" s="20"/>
      <c r="O4" s="172">
        <f>O5</f>
        <v>46174</v>
      </c>
      <c r="P4" s="173"/>
      <c r="Q4" s="173"/>
      <c r="R4" s="173"/>
      <c r="S4" s="173"/>
      <c r="T4" s="173"/>
      <c r="U4" s="174"/>
      <c r="V4" s="172">
        <f>V5</f>
        <v>46181</v>
      </c>
      <c r="W4" s="173"/>
      <c r="X4" s="173"/>
      <c r="Y4" s="173"/>
      <c r="Z4" s="173"/>
      <c r="AA4" s="173"/>
      <c r="AB4" s="174"/>
      <c r="AC4" s="172">
        <f>AC5</f>
        <v>46188</v>
      </c>
      <c r="AD4" s="173"/>
      <c r="AE4" s="173"/>
      <c r="AF4" s="173"/>
      <c r="AG4" s="173"/>
      <c r="AH4" s="173"/>
      <c r="AI4" s="174"/>
      <c r="AJ4" s="172">
        <f>AJ5</f>
        <v>46195</v>
      </c>
      <c r="AK4" s="173"/>
      <c r="AL4" s="173"/>
      <c r="AM4" s="173"/>
      <c r="AN4" s="173"/>
      <c r="AO4" s="173"/>
      <c r="AP4" s="174"/>
      <c r="AQ4" s="172">
        <f>AQ5</f>
        <v>46202</v>
      </c>
      <c r="AR4" s="173"/>
      <c r="AS4" s="173"/>
      <c r="AT4" s="173"/>
      <c r="AU4" s="173"/>
      <c r="AV4" s="173"/>
      <c r="AW4" s="174"/>
      <c r="AX4" s="172">
        <f>AX5</f>
        <v>46209</v>
      </c>
      <c r="AY4" s="173"/>
      <c r="AZ4" s="173"/>
      <c r="BA4" s="173"/>
      <c r="BB4" s="173"/>
      <c r="BC4" s="173"/>
      <c r="BD4" s="174"/>
      <c r="BE4" s="172">
        <f>BE5</f>
        <v>46216</v>
      </c>
      <c r="BF4" s="173"/>
      <c r="BG4" s="173"/>
      <c r="BH4" s="173"/>
      <c r="BI4" s="173"/>
      <c r="BJ4" s="173"/>
      <c r="BK4" s="174"/>
      <c r="BL4" s="172">
        <f>BL5</f>
        <v>46223</v>
      </c>
      <c r="BM4" s="173"/>
      <c r="BN4" s="173"/>
      <c r="BO4" s="173"/>
      <c r="BP4" s="173"/>
      <c r="BQ4" s="173"/>
      <c r="BR4" s="178"/>
    </row>
    <row r="5" spans="1:70" ht="15" customHeight="1" x14ac:dyDescent="0.35">
      <c r="A5" s="121" t="s">
        <v>4</v>
      </c>
      <c r="B5" s="128"/>
      <c r="K5"/>
      <c r="O5" s="88">
        <f>Inicio_del_proyecto-WEEKDAY(Inicio_del_proyecto,1)+2+7*(Semana_para_mostrar-1)</f>
        <v>46174</v>
      </c>
      <c r="P5" s="89">
        <f>O5+1</f>
        <v>46175</v>
      </c>
      <c r="Q5" s="89">
        <f t="shared" ref="Q5:BD5" si="0">P5+1</f>
        <v>46176</v>
      </c>
      <c r="R5" s="89">
        <f t="shared" si="0"/>
        <v>46177</v>
      </c>
      <c r="S5" s="89">
        <f t="shared" si="0"/>
        <v>46178</v>
      </c>
      <c r="T5" s="89">
        <f t="shared" si="0"/>
        <v>46179</v>
      </c>
      <c r="U5" s="90">
        <f t="shared" si="0"/>
        <v>46180</v>
      </c>
      <c r="V5" s="88">
        <f>U5+1</f>
        <v>46181</v>
      </c>
      <c r="W5" s="89">
        <f>V5+1</f>
        <v>46182</v>
      </c>
      <c r="X5" s="89">
        <f t="shared" si="0"/>
        <v>46183</v>
      </c>
      <c r="Y5" s="89">
        <f t="shared" si="0"/>
        <v>46184</v>
      </c>
      <c r="Z5" s="89">
        <f t="shared" si="0"/>
        <v>46185</v>
      </c>
      <c r="AA5" s="89">
        <f t="shared" si="0"/>
        <v>46186</v>
      </c>
      <c r="AB5" s="90">
        <f t="shared" si="0"/>
        <v>46187</v>
      </c>
      <c r="AC5" s="88">
        <f>AB5+1</f>
        <v>46188</v>
      </c>
      <c r="AD5" s="89">
        <f>AC5+1</f>
        <v>46189</v>
      </c>
      <c r="AE5" s="89">
        <f t="shared" si="0"/>
        <v>46190</v>
      </c>
      <c r="AF5" s="89">
        <f t="shared" si="0"/>
        <v>46191</v>
      </c>
      <c r="AG5" s="89">
        <f t="shared" si="0"/>
        <v>46192</v>
      </c>
      <c r="AH5" s="89">
        <f t="shared" si="0"/>
        <v>46193</v>
      </c>
      <c r="AI5" s="90">
        <f t="shared" si="0"/>
        <v>46194</v>
      </c>
      <c r="AJ5" s="88">
        <f>AI5+1</f>
        <v>46195</v>
      </c>
      <c r="AK5" s="89">
        <f>AJ5+1</f>
        <v>46196</v>
      </c>
      <c r="AL5" s="89">
        <f t="shared" si="0"/>
        <v>46197</v>
      </c>
      <c r="AM5" s="89">
        <f t="shared" si="0"/>
        <v>46198</v>
      </c>
      <c r="AN5" s="89">
        <f t="shared" si="0"/>
        <v>46199</v>
      </c>
      <c r="AO5" s="89">
        <f t="shared" si="0"/>
        <v>46200</v>
      </c>
      <c r="AP5" s="90">
        <f t="shared" si="0"/>
        <v>46201</v>
      </c>
      <c r="AQ5" s="88">
        <f>AP5+1</f>
        <v>46202</v>
      </c>
      <c r="AR5" s="89">
        <f>AQ5+1</f>
        <v>46203</v>
      </c>
      <c r="AS5" s="89">
        <f t="shared" si="0"/>
        <v>46204</v>
      </c>
      <c r="AT5" s="89">
        <f t="shared" si="0"/>
        <v>46205</v>
      </c>
      <c r="AU5" s="89">
        <f t="shared" si="0"/>
        <v>46206</v>
      </c>
      <c r="AV5" s="89">
        <f t="shared" si="0"/>
        <v>46207</v>
      </c>
      <c r="AW5" s="90">
        <f t="shared" si="0"/>
        <v>46208</v>
      </c>
      <c r="AX5" s="88">
        <f>AW5+1</f>
        <v>46209</v>
      </c>
      <c r="AY5" s="89">
        <f>AX5+1</f>
        <v>46210</v>
      </c>
      <c r="AZ5" s="89">
        <f t="shared" si="0"/>
        <v>46211</v>
      </c>
      <c r="BA5" s="89">
        <f t="shared" si="0"/>
        <v>46212</v>
      </c>
      <c r="BB5" s="89">
        <f t="shared" si="0"/>
        <v>46213</v>
      </c>
      <c r="BC5" s="89">
        <f t="shared" si="0"/>
        <v>46214</v>
      </c>
      <c r="BD5" s="90">
        <f t="shared" si="0"/>
        <v>46215</v>
      </c>
      <c r="BE5" s="88">
        <f t="shared" ref="BE5:BR5" si="1">BD5+1</f>
        <v>46216</v>
      </c>
      <c r="BF5" s="89">
        <f t="shared" si="1"/>
        <v>46217</v>
      </c>
      <c r="BG5" s="89">
        <f t="shared" si="1"/>
        <v>46218</v>
      </c>
      <c r="BH5" s="89">
        <f t="shared" si="1"/>
        <v>46219</v>
      </c>
      <c r="BI5" s="89">
        <f t="shared" si="1"/>
        <v>46220</v>
      </c>
      <c r="BJ5" s="89">
        <f t="shared" si="1"/>
        <v>46221</v>
      </c>
      <c r="BK5" s="90">
        <f t="shared" si="1"/>
        <v>46222</v>
      </c>
      <c r="BL5" s="88">
        <f t="shared" si="1"/>
        <v>46223</v>
      </c>
      <c r="BM5" s="89">
        <f t="shared" si="1"/>
        <v>46224</v>
      </c>
      <c r="BN5" s="89">
        <f t="shared" si="1"/>
        <v>46225</v>
      </c>
      <c r="BO5" s="89">
        <f t="shared" si="1"/>
        <v>46226</v>
      </c>
      <c r="BP5" s="89">
        <f t="shared" si="1"/>
        <v>46227</v>
      </c>
      <c r="BQ5" s="89">
        <f t="shared" si="1"/>
        <v>46228</v>
      </c>
      <c r="BR5" s="19">
        <f t="shared" si="1"/>
        <v>46229</v>
      </c>
    </row>
    <row r="6" spans="1:70" s="133" customFormat="1" ht="30" customHeight="1" thickBot="1" x14ac:dyDescent="0.4">
      <c r="A6" s="132" t="s">
        <v>5</v>
      </c>
      <c r="B6" s="139" t="s">
        <v>99</v>
      </c>
      <c r="C6" s="139" t="s">
        <v>100</v>
      </c>
      <c r="D6" s="139" t="s">
        <v>102</v>
      </c>
      <c r="E6" s="139" t="s">
        <v>101</v>
      </c>
      <c r="F6" s="139" t="s">
        <v>104</v>
      </c>
      <c r="G6" s="139" t="s">
        <v>12</v>
      </c>
      <c r="H6" s="139" t="s">
        <v>87</v>
      </c>
      <c r="I6" s="139" t="s">
        <v>75</v>
      </c>
      <c r="J6" s="139" t="s">
        <v>15</v>
      </c>
      <c r="K6" s="139" t="s">
        <v>16</v>
      </c>
      <c r="L6" s="139" t="s">
        <v>17</v>
      </c>
      <c r="M6" s="39"/>
      <c r="N6" s="51" t="s">
        <v>18</v>
      </c>
      <c r="O6" s="91" t="str">
        <f t="shared" ref="O6:BR6" si="2">LEFT(TEXT(O5,"ddd"),1)</f>
        <v>l</v>
      </c>
      <c r="P6" s="91" t="str">
        <f t="shared" si="2"/>
        <v>m</v>
      </c>
      <c r="Q6" s="91" t="str">
        <f t="shared" si="2"/>
        <v>m</v>
      </c>
      <c r="R6" s="91" t="str">
        <f t="shared" si="2"/>
        <v>j</v>
      </c>
      <c r="S6" s="91" t="str">
        <f t="shared" si="2"/>
        <v>v</v>
      </c>
      <c r="T6" s="91" t="str">
        <f t="shared" si="2"/>
        <v>s</v>
      </c>
      <c r="U6" s="91" t="str">
        <f t="shared" si="2"/>
        <v>d</v>
      </c>
      <c r="V6" s="91" t="str">
        <f t="shared" si="2"/>
        <v>l</v>
      </c>
      <c r="W6" s="91" t="str">
        <f t="shared" si="2"/>
        <v>m</v>
      </c>
      <c r="X6" s="91" t="str">
        <f t="shared" si="2"/>
        <v>m</v>
      </c>
      <c r="Y6" s="91" t="str">
        <f t="shared" si="2"/>
        <v>j</v>
      </c>
      <c r="Z6" s="91" t="str">
        <f t="shared" si="2"/>
        <v>v</v>
      </c>
      <c r="AA6" s="91" t="str">
        <f t="shared" si="2"/>
        <v>s</v>
      </c>
      <c r="AB6" s="91" t="str">
        <f t="shared" si="2"/>
        <v>d</v>
      </c>
      <c r="AC6" s="91" t="str">
        <f t="shared" si="2"/>
        <v>l</v>
      </c>
      <c r="AD6" s="91" t="str">
        <f t="shared" si="2"/>
        <v>m</v>
      </c>
      <c r="AE6" s="91" t="str">
        <f t="shared" si="2"/>
        <v>m</v>
      </c>
      <c r="AF6" s="91" t="str">
        <f t="shared" si="2"/>
        <v>j</v>
      </c>
      <c r="AG6" s="91" t="str">
        <f t="shared" si="2"/>
        <v>v</v>
      </c>
      <c r="AH6" s="91" t="str">
        <f t="shared" si="2"/>
        <v>s</v>
      </c>
      <c r="AI6" s="91" t="str">
        <f t="shared" si="2"/>
        <v>d</v>
      </c>
      <c r="AJ6" s="91" t="str">
        <f t="shared" si="2"/>
        <v>l</v>
      </c>
      <c r="AK6" s="91" t="str">
        <f t="shared" si="2"/>
        <v>m</v>
      </c>
      <c r="AL6" s="91" t="str">
        <f t="shared" si="2"/>
        <v>m</v>
      </c>
      <c r="AM6" s="91" t="str">
        <f t="shared" si="2"/>
        <v>j</v>
      </c>
      <c r="AN6" s="91" t="str">
        <f t="shared" si="2"/>
        <v>v</v>
      </c>
      <c r="AO6" s="91" t="str">
        <f t="shared" si="2"/>
        <v>s</v>
      </c>
      <c r="AP6" s="91" t="str">
        <f t="shared" si="2"/>
        <v>d</v>
      </c>
      <c r="AQ6" s="91" t="str">
        <f t="shared" si="2"/>
        <v>l</v>
      </c>
      <c r="AR6" s="91" t="str">
        <f t="shared" si="2"/>
        <v>m</v>
      </c>
      <c r="AS6" s="91" t="str">
        <f t="shared" si="2"/>
        <v>m</v>
      </c>
      <c r="AT6" s="91" t="str">
        <f t="shared" si="2"/>
        <v>j</v>
      </c>
      <c r="AU6" s="91" t="str">
        <f t="shared" si="2"/>
        <v>v</v>
      </c>
      <c r="AV6" s="91" t="str">
        <f t="shared" si="2"/>
        <v>s</v>
      </c>
      <c r="AW6" s="91" t="str">
        <f t="shared" si="2"/>
        <v>d</v>
      </c>
      <c r="AX6" s="91" t="str">
        <f t="shared" si="2"/>
        <v>l</v>
      </c>
      <c r="AY6" s="91" t="str">
        <f t="shared" si="2"/>
        <v>m</v>
      </c>
      <c r="AZ6" s="91" t="str">
        <f t="shared" si="2"/>
        <v>m</v>
      </c>
      <c r="BA6" s="91" t="str">
        <f t="shared" si="2"/>
        <v>j</v>
      </c>
      <c r="BB6" s="91" t="str">
        <f t="shared" si="2"/>
        <v>v</v>
      </c>
      <c r="BC6" s="91" t="str">
        <f t="shared" si="2"/>
        <v>s</v>
      </c>
      <c r="BD6" s="91" t="str">
        <f t="shared" si="2"/>
        <v>d</v>
      </c>
      <c r="BE6" s="91" t="str">
        <f t="shared" si="2"/>
        <v>l</v>
      </c>
      <c r="BF6" s="91" t="str">
        <f t="shared" si="2"/>
        <v>m</v>
      </c>
      <c r="BG6" s="91" t="str">
        <f t="shared" si="2"/>
        <v>m</v>
      </c>
      <c r="BH6" s="91" t="str">
        <f t="shared" si="2"/>
        <v>j</v>
      </c>
      <c r="BI6" s="91" t="str">
        <f t="shared" si="2"/>
        <v>v</v>
      </c>
      <c r="BJ6" s="91" t="str">
        <f t="shared" si="2"/>
        <v>s</v>
      </c>
      <c r="BK6" s="91" t="str">
        <f t="shared" si="2"/>
        <v>d</v>
      </c>
      <c r="BL6" s="91" t="str">
        <f t="shared" si="2"/>
        <v>l</v>
      </c>
      <c r="BM6" s="91" t="str">
        <f t="shared" si="2"/>
        <v>m</v>
      </c>
      <c r="BN6" s="91" t="str">
        <f t="shared" si="2"/>
        <v>m</v>
      </c>
      <c r="BO6" s="91" t="str">
        <f t="shared" si="2"/>
        <v>j</v>
      </c>
      <c r="BP6" s="91" t="str">
        <f t="shared" si="2"/>
        <v>v</v>
      </c>
      <c r="BQ6" s="91" t="str">
        <f t="shared" si="2"/>
        <v>s</v>
      </c>
      <c r="BR6" s="32" t="str">
        <f t="shared" si="2"/>
        <v>d</v>
      </c>
    </row>
    <row r="7" spans="1:70" ht="25" customHeight="1" x14ac:dyDescent="0.35">
      <c r="A7" s="121" t="s">
        <v>7</v>
      </c>
      <c r="B7" s="128"/>
      <c r="G7" s="52" t="s">
        <v>84</v>
      </c>
      <c r="H7" s="170">
        <v>0.4</v>
      </c>
      <c r="I7" s="141"/>
      <c r="J7" s="54">
        <f>+AVERAGE(J8:J8)</f>
        <v>0.2</v>
      </c>
      <c r="K7" s="55" t="s">
        <v>86</v>
      </c>
      <c r="L7" s="56">
        <f ca="1">TODAY()-MIN(K8)-139</f>
        <v>95</v>
      </c>
      <c r="M7" s="57"/>
      <c r="N7" s="58"/>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row>
    <row r="8" spans="1:70" ht="50" customHeight="1" thickBot="1" x14ac:dyDescent="0.4">
      <c r="A8" s="121" t="s">
        <v>8</v>
      </c>
      <c r="B8" s="128"/>
      <c r="C8" s="131" t="s">
        <v>246</v>
      </c>
      <c r="D8" s="134" t="s">
        <v>103</v>
      </c>
      <c r="E8" s="135">
        <v>1</v>
      </c>
      <c r="F8" s="136">
        <v>46203</v>
      </c>
      <c r="G8" s="74" t="s">
        <v>88</v>
      </c>
      <c r="H8" s="171"/>
      <c r="I8" s="143" t="s">
        <v>89</v>
      </c>
      <c r="J8" s="71">
        <v>0.2</v>
      </c>
      <c r="K8" s="65">
        <f>Inicio_del_proyecto</f>
        <v>45958</v>
      </c>
      <c r="L8" s="76">
        <f>IF(F8="",WORKDAY(L7,5),F8)</f>
        <v>46203</v>
      </c>
      <c r="M8" s="66"/>
      <c r="N8" s="67">
        <f t="shared" ref="N8:N55" si="3">IF(OR(ISBLANK(task_start),ISBLANK(task_end)),"",task_end-task_start+1)</f>
        <v>246</v>
      </c>
      <c r="O8" s="64"/>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row>
    <row r="9" spans="1:70" ht="25" customHeight="1" thickBot="1" x14ac:dyDescent="0.4">
      <c r="A9" s="121" t="s">
        <v>10</v>
      </c>
      <c r="B9" s="128"/>
      <c r="G9" s="59" t="s">
        <v>85</v>
      </c>
      <c r="H9" s="179">
        <v>0.35</v>
      </c>
      <c r="I9" s="142"/>
      <c r="J9" s="60">
        <f>+AVERAGE(J10:J19)</f>
        <v>0.58000000000000007</v>
      </c>
      <c r="K9" s="63" t="str">
        <f>+$K$7</f>
        <v>Días Transcurridos=</v>
      </c>
      <c r="L9" s="56">
        <f ca="1">TODAY()-MIN(K10:K21)-139</f>
        <v>95</v>
      </c>
      <c r="M9" s="62"/>
      <c r="N9" s="69"/>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row>
    <row r="10" spans="1:70" ht="25" customHeight="1" thickBot="1" x14ac:dyDescent="0.4">
      <c r="A10" s="121"/>
      <c r="B10" s="128"/>
      <c r="D10" s="134" t="s">
        <v>128</v>
      </c>
      <c r="E10" s="135">
        <v>1</v>
      </c>
      <c r="F10" s="136">
        <v>46192</v>
      </c>
      <c r="G10" s="70" t="s">
        <v>78</v>
      </c>
      <c r="H10" s="185"/>
      <c r="I10" s="143" t="s">
        <v>36</v>
      </c>
      <c r="J10" s="71">
        <v>1</v>
      </c>
      <c r="K10" s="72">
        <v>45958</v>
      </c>
      <c r="L10" s="76">
        <f t="shared" ref="L10:L16" si="4">IF(F10="",WORKDAY(L9,5),F10)</f>
        <v>46192</v>
      </c>
      <c r="M10" s="73"/>
      <c r="N10" s="48">
        <f t="shared" si="3"/>
        <v>235</v>
      </c>
      <c r="O10" s="64"/>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row>
    <row r="11" spans="1:70" ht="25" customHeight="1" thickBot="1" x14ac:dyDescent="0.4">
      <c r="B11" s="169" t="s">
        <v>125</v>
      </c>
      <c r="C11" s="204" t="s">
        <v>247</v>
      </c>
      <c r="D11" s="134" t="str">
        <f>+$D$10</f>
        <v>Quincenal</v>
      </c>
      <c r="E11" s="135">
        <v>1</v>
      </c>
      <c r="F11" s="136">
        <v>46192</v>
      </c>
      <c r="G11" s="74" t="s">
        <v>126</v>
      </c>
      <c r="H11" s="184"/>
      <c r="I11" s="144" t="s">
        <v>36</v>
      </c>
      <c r="J11" s="75">
        <v>0.75</v>
      </c>
      <c r="K11" s="76">
        <v>45958</v>
      </c>
      <c r="L11" s="76">
        <f t="shared" si="4"/>
        <v>46192</v>
      </c>
      <c r="M11" s="77"/>
      <c r="N11" s="78">
        <f t="shared" si="3"/>
        <v>235</v>
      </c>
      <c r="O11" s="68"/>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row>
    <row r="12" spans="1:70" ht="25" customHeight="1" thickBot="1" x14ac:dyDescent="0.4">
      <c r="B12" s="169"/>
      <c r="C12" s="204"/>
      <c r="D12" s="134" t="str">
        <f t="shared" ref="D12:D21" si="5">+$D$10</f>
        <v>Quincenal</v>
      </c>
      <c r="E12" s="135">
        <v>1</v>
      </c>
      <c r="F12" s="136">
        <v>46192</v>
      </c>
      <c r="G12" s="70" t="s">
        <v>127</v>
      </c>
      <c r="H12" s="185"/>
      <c r="I12" s="143" t="s">
        <v>36</v>
      </c>
      <c r="J12" s="71">
        <v>0.75</v>
      </c>
      <c r="K12" s="72">
        <v>45978</v>
      </c>
      <c r="L12" s="76">
        <f t="shared" si="4"/>
        <v>46192</v>
      </c>
      <c r="M12" s="73"/>
      <c r="N12" s="48">
        <f t="shared" si="3"/>
        <v>215</v>
      </c>
      <c r="O12" s="68"/>
      <c r="P12" s="6"/>
      <c r="Q12" s="6"/>
      <c r="R12" s="6"/>
      <c r="S12" s="6"/>
      <c r="T12" s="6"/>
      <c r="U12" s="6"/>
      <c r="V12" s="6"/>
      <c r="W12" s="6"/>
      <c r="X12" s="6"/>
      <c r="Y12" s="6"/>
      <c r="Z12" s="6"/>
      <c r="AA12" s="6"/>
      <c r="AB12" s="6"/>
      <c r="AC12" s="6"/>
      <c r="AD12" s="6"/>
      <c r="AE12" s="7"/>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row>
    <row r="13" spans="1:70" ht="25" customHeight="1" thickBot="1" x14ac:dyDescent="0.4">
      <c r="C13" s="131" t="s">
        <v>248</v>
      </c>
      <c r="D13" s="134" t="str">
        <f t="shared" si="5"/>
        <v>Quincenal</v>
      </c>
      <c r="E13" s="135">
        <v>1</v>
      </c>
      <c r="F13" s="136">
        <v>46192</v>
      </c>
      <c r="G13" s="74" t="s">
        <v>90</v>
      </c>
      <c r="H13" s="184"/>
      <c r="I13" s="144" t="s">
        <v>36</v>
      </c>
      <c r="J13" s="75">
        <v>0.5</v>
      </c>
      <c r="K13" s="76">
        <v>46345</v>
      </c>
      <c r="L13" s="76">
        <f t="shared" si="4"/>
        <v>46192</v>
      </c>
      <c r="M13" s="77"/>
      <c r="N13" s="78"/>
      <c r="O13" s="68"/>
      <c r="P13" s="6"/>
      <c r="Q13" s="6"/>
      <c r="R13" s="6"/>
      <c r="S13" s="6"/>
      <c r="T13" s="6"/>
      <c r="U13" s="6"/>
      <c r="V13" s="6"/>
      <c r="W13" s="6"/>
      <c r="X13" s="6"/>
      <c r="Y13" s="6"/>
      <c r="Z13" s="6"/>
      <c r="AA13" s="6"/>
      <c r="AB13" s="6"/>
      <c r="AC13" s="6"/>
      <c r="AD13" s="6"/>
      <c r="AE13" s="7"/>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row>
    <row r="14" spans="1:70" ht="25" customHeight="1" thickBot="1" x14ac:dyDescent="0.4">
      <c r="D14" s="134" t="str">
        <f t="shared" si="5"/>
        <v>Quincenal</v>
      </c>
      <c r="E14" s="135"/>
      <c r="F14" s="136"/>
      <c r="G14" s="70" t="s">
        <v>91</v>
      </c>
      <c r="H14" s="185"/>
      <c r="I14" s="143" t="s">
        <v>36</v>
      </c>
      <c r="J14" s="71">
        <v>0.2</v>
      </c>
      <c r="K14" s="72">
        <v>45959</v>
      </c>
      <c r="L14" s="76">
        <f t="shared" si="4"/>
        <v>46199</v>
      </c>
      <c r="M14" s="73"/>
      <c r="N14" s="48">
        <f t="shared" si="3"/>
        <v>241</v>
      </c>
      <c r="O14" s="68"/>
      <c r="P14" s="6"/>
      <c r="Q14" s="6"/>
      <c r="R14" s="6"/>
      <c r="S14" s="6"/>
      <c r="T14" s="6"/>
      <c r="U14" s="6"/>
      <c r="V14" s="6"/>
      <c r="W14" s="6"/>
      <c r="X14" s="6"/>
      <c r="Y14" s="6"/>
      <c r="Z14" s="6"/>
      <c r="AA14" s="7"/>
      <c r="AB14" s="7"/>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row>
    <row r="15" spans="1:70" ht="25" customHeight="1" thickBot="1" x14ac:dyDescent="0.4">
      <c r="A15" s="121"/>
      <c r="B15" s="128"/>
      <c r="C15" s="205" t="s">
        <v>249</v>
      </c>
      <c r="D15" s="134" t="str">
        <f t="shared" si="5"/>
        <v>Quincenal</v>
      </c>
      <c r="E15" s="135">
        <v>1</v>
      </c>
      <c r="F15" s="136">
        <v>46192</v>
      </c>
      <c r="G15" s="74" t="s">
        <v>106</v>
      </c>
      <c r="H15" s="184"/>
      <c r="I15" s="144" t="s">
        <v>36</v>
      </c>
      <c r="J15" s="75">
        <v>0.95</v>
      </c>
      <c r="K15" s="76">
        <v>45992</v>
      </c>
      <c r="L15" s="76">
        <f t="shared" si="4"/>
        <v>46192</v>
      </c>
      <c r="M15" s="77"/>
      <c r="N15" s="78">
        <f t="shared" si="3"/>
        <v>201</v>
      </c>
      <c r="O15" s="68"/>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row>
    <row r="16" spans="1:70" ht="25" customHeight="1" thickBot="1" x14ac:dyDescent="0.4">
      <c r="A16" s="121"/>
      <c r="B16" s="137" t="s">
        <v>124</v>
      </c>
      <c r="C16" s="206" t="s">
        <v>250</v>
      </c>
      <c r="D16" s="134" t="str">
        <f t="shared" si="5"/>
        <v>Quincenal</v>
      </c>
      <c r="E16" s="135">
        <v>1</v>
      </c>
      <c r="F16" s="136">
        <v>46192</v>
      </c>
      <c r="G16" s="74" t="s">
        <v>105</v>
      </c>
      <c r="H16" s="184"/>
      <c r="I16" s="144" t="s">
        <v>36</v>
      </c>
      <c r="J16" s="75">
        <v>0.65</v>
      </c>
      <c r="K16" s="76">
        <v>45992</v>
      </c>
      <c r="L16" s="76">
        <f t="shared" si="4"/>
        <v>46192</v>
      </c>
      <c r="M16" s="77"/>
      <c r="N16" s="78">
        <f t="shared" si="3"/>
        <v>201</v>
      </c>
      <c r="O16" s="68"/>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row>
    <row r="17" spans="1:70" ht="25" customHeight="1" thickBot="1" x14ac:dyDescent="0.4">
      <c r="A17" s="121"/>
      <c r="B17" s="138"/>
      <c r="C17" s="131" t="s">
        <v>122</v>
      </c>
      <c r="D17" s="134" t="str">
        <f t="shared" si="5"/>
        <v>Quincenal</v>
      </c>
      <c r="E17" s="135"/>
      <c r="F17" s="136"/>
      <c r="G17" s="70" t="s">
        <v>77</v>
      </c>
      <c r="H17" s="185"/>
      <c r="I17" s="143" t="s">
        <v>36</v>
      </c>
      <c r="J17" s="71">
        <v>0</v>
      </c>
      <c r="K17" s="72">
        <f>+L14+1</f>
        <v>46200</v>
      </c>
      <c r="L17" s="76">
        <f>IF(F17="",WORKDAY(MAX(L10:L16),5),F17)</f>
        <v>46206</v>
      </c>
      <c r="M17" s="73"/>
      <c r="N17" s="48">
        <f t="shared" si="3"/>
        <v>7</v>
      </c>
      <c r="O17" s="68"/>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row>
    <row r="18" spans="1:70" ht="25" customHeight="1" thickBot="1" x14ac:dyDescent="0.4">
      <c r="B18" s="138"/>
      <c r="D18" s="134" t="str">
        <f t="shared" si="5"/>
        <v>Quincenal</v>
      </c>
      <c r="E18" s="135"/>
      <c r="F18" s="136"/>
      <c r="G18" s="74" t="s">
        <v>62</v>
      </c>
      <c r="H18" s="184"/>
      <c r="I18" s="144" t="s">
        <v>36</v>
      </c>
      <c r="J18" s="75">
        <v>0</v>
      </c>
      <c r="K18" s="76">
        <f>+L12+1</f>
        <v>46193</v>
      </c>
      <c r="L18" s="76">
        <f>IF(F18="",WORKDAY(MAX(L11:L17),5),F18)</f>
        <v>46213</v>
      </c>
      <c r="M18" s="77"/>
      <c r="N18" s="78">
        <f t="shared" si="3"/>
        <v>21</v>
      </c>
      <c r="O18" s="68"/>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row>
    <row r="19" spans="1:70" ht="25" customHeight="1" thickBot="1" x14ac:dyDescent="0.4">
      <c r="A19" s="121"/>
      <c r="B19" s="169" t="s">
        <v>123</v>
      </c>
      <c r="C19" s="207" t="s">
        <v>251</v>
      </c>
      <c r="D19" s="134" t="str">
        <f t="shared" si="5"/>
        <v>Quincenal</v>
      </c>
      <c r="E19" s="135">
        <v>1</v>
      </c>
      <c r="F19" s="136">
        <v>46192</v>
      </c>
      <c r="G19" s="70" t="s">
        <v>117</v>
      </c>
      <c r="H19" s="185"/>
      <c r="I19" s="143" t="s">
        <v>36</v>
      </c>
      <c r="J19" s="71">
        <v>1</v>
      </c>
      <c r="K19" s="72">
        <v>46182</v>
      </c>
      <c r="L19" s="76">
        <f>IF(F19="",WORKDAY(MAX(L10:L18),5),F19)</f>
        <v>46192</v>
      </c>
      <c r="M19" s="73"/>
      <c r="N19" s="48">
        <f t="shared" si="3"/>
        <v>11</v>
      </c>
      <c r="O19" s="68"/>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row>
    <row r="20" spans="1:70" ht="25" customHeight="1" thickBot="1" x14ac:dyDescent="0.4">
      <c r="A20" s="121"/>
      <c r="B20" s="169"/>
      <c r="C20" s="207"/>
      <c r="D20" s="134" t="str">
        <f t="shared" si="5"/>
        <v>Quincenal</v>
      </c>
      <c r="E20" s="135"/>
      <c r="F20" s="136"/>
      <c r="G20" s="74" t="s">
        <v>98</v>
      </c>
      <c r="H20" s="184"/>
      <c r="I20" s="144" t="s">
        <v>36</v>
      </c>
      <c r="J20" s="75">
        <v>0</v>
      </c>
      <c r="K20" s="76">
        <f>+L19+1</f>
        <v>46193</v>
      </c>
      <c r="L20" s="76">
        <f>IF(F20="",WORKDAY(MAX(L13:L19),5),F20)</f>
        <v>46220</v>
      </c>
      <c r="M20" s="77"/>
      <c r="N20" s="78">
        <f t="shared" si="3"/>
        <v>28</v>
      </c>
      <c r="O20" s="68"/>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row>
    <row r="21" spans="1:70" ht="25" customHeight="1" thickBot="1" x14ac:dyDescent="0.4">
      <c r="A21" s="121"/>
      <c r="B21" s="169"/>
      <c r="C21" s="207"/>
      <c r="D21" s="134" t="str">
        <f t="shared" si="5"/>
        <v>Quincenal</v>
      </c>
      <c r="E21" s="135"/>
      <c r="F21" s="136"/>
      <c r="G21" s="70" t="s">
        <v>118</v>
      </c>
      <c r="H21" s="187"/>
      <c r="I21" s="143" t="s">
        <v>36</v>
      </c>
      <c r="J21" s="71">
        <v>0</v>
      </c>
      <c r="K21" s="72">
        <f>+L20+1</f>
        <v>46221</v>
      </c>
      <c r="L21" s="76">
        <f>IF(F21="",WORKDAY(MAX(L14:L20),5),F21)</f>
        <v>46227</v>
      </c>
      <c r="M21" s="73"/>
      <c r="N21" s="48">
        <f t="shared" si="3"/>
        <v>7</v>
      </c>
      <c r="O21" s="68"/>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row>
    <row r="22" spans="1:70" ht="25" customHeight="1" thickBot="1" x14ac:dyDescent="0.4">
      <c r="A22" s="14" t="s">
        <v>11</v>
      </c>
      <c r="G22" s="59" t="s">
        <v>129</v>
      </c>
      <c r="H22" s="179">
        <v>0.25</v>
      </c>
      <c r="I22" s="142"/>
      <c r="J22" s="60">
        <f>+AVERAGE(J23:J26)</f>
        <v>0.875</v>
      </c>
      <c r="K22" s="63" t="str">
        <f>+$K$7</f>
        <v>Días Transcurridos=</v>
      </c>
      <c r="L22" s="56">
        <f ca="1">TODAY()-MIN(K23:K26)</f>
        <v>15</v>
      </c>
      <c r="M22" s="62"/>
      <c r="N22" s="69"/>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row>
    <row r="23" spans="1:70" ht="25" customHeight="1" thickBot="1" x14ac:dyDescent="0.4">
      <c r="A23" s="121" t="s">
        <v>9</v>
      </c>
      <c r="B23" s="128"/>
      <c r="D23" s="134" t="s">
        <v>107</v>
      </c>
      <c r="E23" s="135">
        <v>1</v>
      </c>
      <c r="F23" s="136">
        <v>46192</v>
      </c>
      <c r="G23" s="74" t="s">
        <v>115</v>
      </c>
      <c r="H23" s="180"/>
      <c r="I23" s="144" t="s">
        <v>36</v>
      </c>
      <c r="J23" s="75">
        <v>0.9</v>
      </c>
      <c r="K23" s="76">
        <v>46182</v>
      </c>
      <c r="L23" s="76">
        <f>IF(F23="",WORKDAY(L22,5),F23)</f>
        <v>46192</v>
      </c>
      <c r="M23" s="77"/>
      <c r="N23" s="78">
        <f t="shared" si="3"/>
        <v>11</v>
      </c>
      <c r="O23" s="68"/>
      <c r="P23" s="6"/>
      <c r="Q23" s="6"/>
      <c r="R23" s="6"/>
      <c r="S23" s="6"/>
      <c r="T23" s="6"/>
      <c r="U23" s="6"/>
      <c r="V23" s="6"/>
      <c r="W23" s="6"/>
      <c r="X23" s="6"/>
      <c r="Y23" s="6"/>
      <c r="Z23" s="6"/>
      <c r="AA23" s="7"/>
      <c r="AB23" s="7"/>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row>
    <row r="24" spans="1:70" ht="25" customHeight="1" thickBot="1" x14ac:dyDescent="0.4">
      <c r="A24" s="121" t="s">
        <v>9</v>
      </c>
      <c r="B24" s="128"/>
      <c r="D24" s="134" t="str">
        <f>+$D$23</f>
        <v>Semanal</v>
      </c>
      <c r="E24" s="135">
        <v>1</v>
      </c>
      <c r="F24" s="136">
        <v>46192</v>
      </c>
      <c r="G24" s="74" t="s">
        <v>114</v>
      </c>
      <c r="H24" s="180"/>
      <c r="I24" s="144" t="s">
        <v>36</v>
      </c>
      <c r="J24" s="75">
        <v>0.9</v>
      </c>
      <c r="K24" s="76">
        <v>46177</v>
      </c>
      <c r="L24" s="76">
        <f>IF(F24="",WORKDAY(MAX(L23:L26),5),F24)</f>
        <v>46192</v>
      </c>
      <c r="M24" s="77"/>
      <c r="N24" s="78">
        <f t="shared" si="3"/>
        <v>16</v>
      </c>
      <c r="O24" s="68"/>
      <c r="P24" s="6"/>
      <c r="Q24" s="6"/>
      <c r="R24" s="6"/>
      <c r="S24" s="6"/>
      <c r="T24" s="6"/>
      <c r="U24" s="6"/>
      <c r="V24" s="6"/>
      <c r="W24" s="6"/>
      <c r="X24" s="6"/>
      <c r="Y24" s="6"/>
      <c r="Z24" s="6"/>
      <c r="AA24" s="7"/>
      <c r="AB24" s="7"/>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row>
    <row r="25" spans="1:70" ht="25" customHeight="1" thickBot="1" x14ac:dyDescent="0.4">
      <c r="A25" s="121" t="s">
        <v>9</v>
      </c>
      <c r="B25" s="128"/>
      <c r="D25" s="134" t="str">
        <f>+$D$23</f>
        <v>Semanal</v>
      </c>
      <c r="E25" s="135">
        <v>1</v>
      </c>
      <c r="F25" s="136">
        <v>46185</v>
      </c>
      <c r="G25" s="74" t="s">
        <v>116</v>
      </c>
      <c r="H25" s="180"/>
      <c r="I25" s="144" t="s">
        <v>36</v>
      </c>
      <c r="J25" s="75">
        <v>0.9</v>
      </c>
      <c r="K25" s="76">
        <v>46177</v>
      </c>
      <c r="L25" s="76">
        <f>IF(F25="",WORKDAY(MAX($L$23:$L$26),5),F25)</f>
        <v>46185</v>
      </c>
      <c r="M25" s="77"/>
      <c r="N25" s="78">
        <f t="shared" si="3"/>
        <v>9</v>
      </c>
      <c r="O25" s="68"/>
      <c r="P25" s="6"/>
      <c r="Q25" s="6"/>
      <c r="R25" s="6"/>
      <c r="S25" s="6"/>
      <c r="T25" s="6"/>
      <c r="U25" s="6"/>
      <c r="V25" s="6"/>
      <c r="W25" s="6"/>
      <c r="X25" s="6"/>
      <c r="Y25" s="6"/>
      <c r="Z25" s="6"/>
      <c r="AA25" s="7"/>
      <c r="AB25" s="7"/>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row>
    <row r="26" spans="1:70" ht="25" customHeight="1" thickBot="1" x14ac:dyDescent="0.4">
      <c r="A26" s="121" t="s">
        <v>9</v>
      </c>
      <c r="B26" s="128"/>
      <c r="D26" s="134"/>
      <c r="E26" s="135"/>
      <c r="F26" s="136"/>
      <c r="G26" s="74" t="s">
        <v>135</v>
      </c>
      <c r="H26" s="180"/>
      <c r="I26" s="144" t="s">
        <v>36</v>
      </c>
      <c r="J26" s="75">
        <v>0.8</v>
      </c>
      <c r="K26" s="76">
        <v>46185</v>
      </c>
      <c r="L26" s="76">
        <f>IF(F26="",WORKDAY(MAX($L$23:$L$25),5),F26)</f>
        <v>46199</v>
      </c>
      <c r="M26" s="77"/>
      <c r="N26" s="78">
        <f t="shared" si="3"/>
        <v>15</v>
      </c>
      <c r="O26" s="68"/>
      <c r="P26" s="6"/>
      <c r="Q26" s="6"/>
      <c r="R26" s="6"/>
      <c r="S26" s="6"/>
      <c r="T26" s="6"/>
      <c r="U26" s="6"/>
      <c r="V26" s="6"/>
      <c r="W26" s="6"/>
      <c r="X26" s="6"/>
      <c r="Y26" s="6"/>
      <c r="Z26" s="6"/>
      <c r="AA26" s="7"/>
      <c r="AB26" s="7"/>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row>
    <row r="27" spans="1:70" ht="25" customHeight="1" thickBot="1" x14ac:dyDescent="0.4">
      <c r="A27" s="14" t="s">
        <v>11</v>
      </c>
      <c r="G27" s="59" t="s">
        <v>130</v>
      </c>
      <c r="H27" s="180"/>
      <c r="I27" s="142"/>
      <c r="J27" s="60">
        <f>+AVERAGE(J39:J49)</f>
        <v>0.37575757575757573</v>
      </c>
      <c r="K27" s="63" t="str">
        <f>+$K$7</f>
        <v>Días Transcurridos=</v>
      </c>
      <c r="L27" s="56">
        <f ca="1">TODAY()-MIN(K28:K35)-139</f>
        <v>61</v>
      </c>
      <c r="M27" s="62"/>
      <c r="N27" s="69"/>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row>
    <row r="28" spans="1:70" ht="25" customHeight="1" thickBot="1" x14ac:dyDescent="0.4">
      <c r="A28" s="121" t="s">
        <v>9</v>
      </c>
      <c r="B28" s="128"/>
      <c r="D28" s="134" t="s">
        <v>107</v>
      </c>
      <c r="E28" s="135">
        <v>1</v>
      </c>
      <c r="F28" s="136">
        <v>46185</v>
      </c>
      <c r="G28" s="74" t="s">
        <v>110</v>
      </c>
      <c r="H28" s="180"/>
      <c r="I28" s="144" t="s">
        <v>36</v>
      </c>
      <c r="J28" s="75">
        <v>0.9</v>
      </c>
      <c r="K28" s="76">
        <v>46181</v>
      </c>
      <c r="L28" s="76">
        <f t="shared" ref="L28:L33" si="6">IF(F28="",WORKDAY(L27,5),F28)</f>
        <v>46185</v>
      </c>
      <c r="M28" s="77"/>
      <c r="N28" s="78">
        <f t="shared" si="3"/>
        <v>5</v>
      </c>
      <c r="O28" s="68"/>
      <c r="P28" s="6"/>
      <c r="Q28" s="6"/>
      <c r="R28" s="6"/>
      <c r="S28" s="6"/>
      <c r="T28" s="6"/>
      <c r="U28" s="6"/>
      <c r="V28" s="6"/>
      <c r="W28" s="6"/>
      <c r="X28" s="6"/>
      <c r="Y28" s="6"/>
      <c r="Z28" s="6"/>
      <c r="AA28" s="7"/>
      <c r="AB28" s="7"/>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row>
    <row r="29" spans="1:70" ht="25" customHeight="1" thickBot="1" x14ac:dyDescent="0.4">
      <c r="A29" s="121" t="s">
        <v>9</v>
      </c>
      <c r="B29" s="128"/>
      <c r="D29" s="134" t="str">
        <f>+$D$28</f>
        <v>Semanal</v>
      </c>
      <c r="E29" s="135">
        <v>1</v>
      </c>
      <c r="F29" s="136">
        <v>46185</v>
      </c>
      <c r="G29" s="74" t="s">
        <v>134</v>
      </c>
      <c r="H29" s="180"/>
      <c r="I29" s="144" t="s">
        <v>36</v>
      </c>
      <c r="J29" s="75">
        <v>0.9</v>
      </c>
      <c r="K29" s="76">
        <v>45992</v>
      </c>
      <c r="L29" s="76">
        <f t="shared" si="6"/>
        <v>46185</v>
      </c>
      <c r="M29" s="77"/>
      <c r="N29" s="78">
        <f t="shared" si="3"/>
        <v>194</v>
      </c>
      <c r="O29" s="68"/>
      <c r="P29" s="6"/>
      <c r="Q29" s="6"/>
      <c r="R29" s="6"/>
      <c r="S29" s="6"/>
      <c r="T29" s="6"/>
      <c r="U29" s="6"/>
      <c r="V29" s="6"/>
      <c r="W29" s="6"/>
      <c r="X29" s="6"/>
      <c r="Y29" s="6"/>
      <c r="Z29" s="6"/>
      <c r="AA29" s="7"/>
      <c r="AB29" s="7"/>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ht="25" customHeight="1" thickBot="1" x14ac:dyDescent="0.4">
      <c r="A30" s="121" t="s">
        <v>9</v>
      </c>
      <c r="B30" s="128"/>
      <c r="D30" s="134" t="str">
        <f t="shared" ref="D30:D35" si="7">+$D$28</f>
        <v>Semanal</v>
      </c>
      <c r="E30" s="135">
        <v>1</v>
      </c>
      <c r="F30" s="136">
        <v>46185</v>
      </c>
      <c r="G30" s="74" t="s">
        <v>133</v>
      </c>
      <c r="H30" s="180"/>
      <c r="I30" s="144" t="s">
        <v>36</v>
      </c>
      <c r="J30" s="75">
        <v>0.9</v>
      </c>
      <c r="K30" s="76">
        <v>45992</v>
      </c>
      <c r="L30" s="76">
        <f t="shared" si="6"/>
        <v>46185</v>
      </c>
      <c r="M30" s="77"/>
      <c r="N30" s="78">
        <f t="shared" si="3"/>
        <v>194</v>
      </c>
      <c r="O30" s="68"/>
      <c r="P30" s="6"/>
      <c r="Q30" s="6"/>
      <c r="R30" s="6"/>
      <c r="S30" s="6"/>
      <c r="T30" s="6"/>
      <c r="U30" s="6"/>
      <c r="V30" s="6"/>
      <c r="W30" s="6"/>
      <c r="X30" s="6"/>
      <c r="Y30" s="6"/>
      <c r="Z30" s="6"/>
      <c r="AA30" s="7"/>
      <c r="AB30" s="7"/>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row>
    <row r="31" spans="1:70" ht="25" customHeight="1" thickBot="1" x14ac:dyDescent="0.4">
      <c r="A31" s="121" t="s">
        <v>9</v>
      </c>
      <c r="B31" s="128"/>
      <c r="D31" s="134" t="str">
        <f t="shared" si="7"/>
        <v>Semanal</v>
      </c>
      <c r="E31" s="135">
        <v>1</v>
      </c>
      <c r="F31" s="136">
        <v>46185</v>
      </c>
      <c r="G31" s="74" t="s">
        <v>119</v>
      </c>
      <c r="H31" s="180"/>
      <c r="I31" s="144" t="s">
        <v>36</v>
      </c>
      <c r="J31" s="75">
        <v>0.9</v>
      </c>
      <c r="K31" s="76">
        <v>46023</v>
      </c>
      <c r="L31" s="76">
        <f>IF(F31="",WORKDAY(L30,5),F31)</f>
        <v>46185</v>
      </c>
      <c r="M31" s="77"/>
      <c r="N31" s="78">
        <f t="shared" si="3"/>
        <v>163</v>
      </c>
      <c r="O31" s="68"/>
      <c r="P31" s="6"/>
      <c r="Q31" s="6"/>
      <c r="R31" s="6"/>
      <c r="S31" s="6"/>
      <c r="T31" s="6"/>
      <c r="U31" s="6"/>
      <c r="V31" s="6"/>
      <c r="W31" s="6"/>
      <c r="X31" s="6"/>
      <c r="Y31" s="6"/>
      <c r="Z31" s="6"/>
      <c r="AA31" s="7"/>
      <c r="AB31" s="7"/>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row>
    <row r="32" spans="1:70" ht="25" customHeight="1" thickBot="1" x14ac:dyDescent="0.4">
      <c r="D32" s="134" t="str">
        <f t="shared" si="7"/>
        <v>Semanal</v>
      </c>
      <c r="E32" s="135"/>
      <c r="F32" s="136"/>
      <c r="G32" s="70" t="s">
        <v>137</v>
      </c>
      <c r="H32" s="180"/>
      <c r="I32" s="143" t="s">
        <v>36</v>
      </c>
      <c r="J32" s="71">
        <v>0.6</v>
      </c>
      <c r="K32" s="72">
        <v>46188</v>
      </c>
      <c r="L32" s="76">
        <f>IF(F32="",WORKDAY(L30,5),F32)</f>
        <v>46192</v>
      </c>
      <c r="M32" s="73"/>
      <c r="N32" s="48">
        <f t="shared" si="3"/>
        <v>5</v>
      </c>
      <c r="O32" s="68"/>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row>
    <row r="33" spans="1:70" ht="25" customHeight="1" thickBot="1" x14ac:dyDescent="0.4">
      <c r="D33" s="134" t="str">
        <f t="shared" si="7"/>
        <v>Semanal</v>
      </c>
      <c r="E33" s="135"/>
      <c r="F33" s="136"/>
      <c r="G33" s="74" t="s">
        <v>136</v>
      </c>
      <c r="H33" s="180"/>
      <c r="I33" s="144" t="s">
        <v>36</v>
      </c>
      <c r="J33" s="75">
        <v>0.6</v>
      </c>
      <c r="K33" s="72">
        <v>46192</v>
      </c>
      <c r="L33" s="76">
        <f t="shared" si="6"/>
        <v>46199</v>
      </c>
      <c r="M33" s="77"/>
      <c r="N33" s="78">
        <f t="shared" si="3"/>
        <v>8</v>
      </c>
      <c r="O33" s="68"/>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row>
    <row r="34" spans="1:70" ht="25" customHeight="1" thickBot="1" x14ac:dyDescent="0.4">
      <c r="D34" s="134" t="str">
        <f t="shared" si="7"/>
        <v>Semanal</v>
      </c>
      <c r="E34" s="135"/>
      <c r="F34" s="136"/>
      <c r="G34" s="70" t="s">
        <v>121</v>
      </c>
      <c r="H34" s="180"/>
      <c r="I34" s="143" t="s">
        <v>36</v>
      </c>
      <c r="J34" s="71">
        <v>0.5</v>
      </c>
      <c r="K34" s="72">
        <v>46188</v>
      </c>
      <c r="L34" s="76">
        <f>IF(F34="",WORKDAY(L32,5),F34)</f>
        <v>46199</v>
      </c>
      <c r="M34" s="73"/>
      <c r="N34" s="48">
        <f t="shared" si="3"/>
        <v>12</v>
      </c>
      <c r="O34" s="68"/>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row>
    <row r="35" spans="1:70" ht="25" customHeight="1" thickBot="1" x14ac:dyDescent="0.4">
      <c r="D35" s="134" t="str">
        <f t="shared" si="7"/>
        <v>Semanal</v>
      </c>
      <c r="E35" s="135"/>
      <c r="F35" s="136"/>
      <c r="G35" s="70" t="s">
        <v>120</v>
      </c>
      <c r="H35" s="180"/>
      <c r="I35" s="143" t="s">
        <v>36</v>
      </c>
      <c r="J35" s="71">
        <v>0.5</v>
      </c>
      <c r="K35" s="72">
        <v>46192</v>
      </c>
      <c r="L35" s="76">
        <f>IF(F35="",WORKDAY(L33,5),F35)</f>
        <v>46206</v>
      </c>
      <c r="M35" s="73"/>
      <c r="N35" s="48">
        <f t="shared" si="3"/>
        <v>15</v>
      </c>
      <c r="O35" s="68"/>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row>
    <row r="36" spans="1:70" ht="25" customHeight="1" thickBot="1" x14ac:dyDescent="0.4">
      <c r="A36" s="14" t="s">
        <v>11</v>
      </c>
      <c r="G36" s="59" t="s">
        <v>111</v>
      </c>
      <c r="H36" s="180"/>
      <c r="I36" s="142"/>
      <c r="J36" s="60">
        <f>+AVERAGE(J46:J56)</f>
        <v>0.16666666666666669</v>
      </c>
      <c r="K36" s="63" t="str">
        <f>+$K$7</f>
        <v>Días Transcurridos=</v>
      </c>
      <c r="L36" s="61">
        <f ca="1">+TODAY()-MIN($K$37:$K$47)-139</f>
        <v>61</v>
      </c>
      <c r="M36" s="62"/>
      <c r="N36" s="69"/>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row>
    <row r="37" spans="1:70" ht="25" customHeight="1" thickBot="1" x14ac:dyDescent="0.4">
      <c r="C37" s="205" t="s">
        <v>252</v>
      </c>
      <c r="D37" s="134" t="s">
        <v>107</v>
      </c>
      <c r="E37" s="135">
        <v>1</v>
      </c>
      <c r="F37" s="136">
        <v>46185</v>
      </c>
      <c r="G37" s="148" t="s">
        <v>112</v>
      </c>
      <c r="H37" s="181"/>
      <c r="I37" s="143" t="s">
        <v>36</v>
      </c>
      <c r="J37" s="71">
        <v>0.2</v>
      </c>
      <c r="K37" s="72">
        <v>45992</v>
      </c>
      <c r="L37" s="76">
        <f>IF(F37="",WORKDAY(L36,5),F37)</f>
        <v>46185</v>
      </c>
      <c r="M37" s="73"/>
      <c r="N37" s="48">
        <f t="shared" si="3"/>
        <v>194</v>
      </c>
      <c r="O37" s="64"/>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row>
    <row r="38" spans="1:70" ht="25" customHeight="1" thickBot="1" x14ac:dyDescent="0.4">
      <c r="A38" s="121" t="s">
        <v>9</v>
      </c>
      <c r="B38" s="128"/>
      <c r="D38" s="134" t="str">
        <f>+$D$37</f>
        <v>Semanal</v>
      </c>
      <c r="E38" s="135">
        <v>1</v>
      </c>
      <c r="F38" s="136">
        <v>46185</v>
      </c>
      <c r="G38" s="148" t="s">
        <v>108</v>
      </c>
      <c r="H38" s="182"/>
      <c r="I38" s="144" t="s">
        <v>36</v>
      </c>
      <c r="J38" s="75">
        <v>0.9</v>
      </c>
      <c r="K38" s="76">
        <v>46023</v>
      </c>
      <c r="L38" s="76">
        <f>IF(F38="",WORKDAY(L37,5),F38)</f>
        <v>46185</v>
      </c>
      <c r="M38" s="77"/>
      <c r="N38" s="78">
        <f t="shared" si="3"/>
        <v>163</v>
      </c>
      <c r="O38" s="68"/>
      <c r="P38" s="6"/>
      <c r="Q38" s="6"/>
      <c r="R38" s="6"/>
      <c r="S38" s="6"/>
      <c r="T38" s="6"/>
      <c r="U38" s="6"/>
      <c r="V38" s="6"/>
      <c r="W38" s="6"/>
      <c r="X38" s="6"/>
      <c r="Y38" s="6"/>
      <c r="Z38" s="6"/>
      <c r="AA38" s="7"/>
      <c r="AB38" s="7"/>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row>
    <row r="39" spans="1:70" ht="25" customHeight="1" thickBot="1" x14ac:dyDescent="0.4">
      <c r="D39" s="134" t="str">
        <f t="shared" ref="D39:D47" si="8">+$D$37</f>
        <v>Semanal</v>
      </c>
      <c r="E39" s="135">
        <v>1</v>
      </c>
      <c r="F39" s="136">
        <v>46185</v>
      </c>
      <c r="G39" s="148" t="s">
        <v>109</v>
      </c>
      <c r="H39" s="181"/>
      <c r="I39" s="143" t="s">
        <v>36</v>
      </c>
      <c r="J39" s="71">
        <v>0.95</v>
      </c>
      <c r="K39" s="72">
        <v>45992</v>
      </c>
      <c r="L39" s="76">
        <f>IF(F39="",WORKDAY(L38,5),F39)</f>
        <v>46185</v>
      </c>
      <c r="M39" s="73"/>
      <c r="N39" s="48">
        <f t="shared" si="3"/>
        <v>194</v>
      </c>
      <c r="O39" s="68"/>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row>
    <row r="40" spans="1:70" ht="25" customHeight="1" thickBot="1" x14ac:dyDescent="0.4">
      <c r="D40" s="134" t="str">
        <f t="shared" si="8"/>
        <v>Semanal</v>
      </c>
      <c r="E40" s="135">
        <v>1</v>
      </c>
      <c r="F40" s="136">
        <v>46185</v>
      </c>
      <c r="G40" s="74" t="s">
        <v>45</v>
      </c>
      <c r="H40" s="182"/>
      <c r="I40" s="144" t="s">
        <v>36</v>
      </c>
      <c r="J40" s="75">
        <v>0.7</v>
      </c>
      <c r="K40" s="76">
        <v>46357</v>
      </c>
      <c r="L40" s="76">
        <f t="shared" ref="L40:L47" si="9">IF(F40="",WORKDAY(L39,5),F40)</f>
        <v>46185</v>
      </c>
      <c r="M40" s="77"/>
      <c r="N40" s="78">
        <f t="shared" si="3"/>
        <v>-171</v>
      </c>
      <c r="O40" s="68"/>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row>
    <row r="41" spans="1:70" ht="25" customHeight="1" thickBot="1" x14ac:dyDescent="0.4">
      <c r="D41" s="134" t="str">
        <f t="shared" si="8"/>
        <v>Semanal</v>
      </c>
      <c r="E41" s="135">
        <v>1</v>
      </c>
      <c r="F41" s="136">
        <v>46185</v>
      </c>
      <c r="G41" s="70" t="s">
        <v>46</v>
      </c>
      <c r="H41" s="181"/>
      <c r="I41" s="143" t="s">
        <v>36</v>
      </c>
      <c r="J41" s="71">
        <v>0.5</v>
      </c>
      <c r="K41" s="72">
        <v>46188</v>
      </c>
      <c r="L41" s="76">
        <f t="shared" si="9"/>
        <v>46185</v>
      </c>
      <c r="M41" s="73"/>
      <c r="N41" s="48">
        <f t="shared" si="3"/>
        <v>-2</v>
      </c>
      <c r="O41" s="68"/>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row>
    <row r="42" spans="1:70" ht="25" customHeight="1" thickBot="1" x14ac:dyDescent="0.4">
      <c r="D42" s="134" t="str">
        <f t="shared" si="8"/>
        <v>Semanal</v>
      </c>
      <c r="E42" s="135">
        <v>1</v>
      </c>
      <c r="F42" s="136">
        <v>46185</v>
      </c>
      <c r="G42" s="74" t="s">
        <v>73</v>
      </c>
      <c r="H42" s="182"/>
      <c r="I42" s="144" t="s">
        <v>36</v>
      </c>
      <c r="J42" s="75">
        <v>0.4</v>
      </c>
      <c r="K42" s="76">
        <v>46188</v>
      </c>
      <c r="L42" s="76">
        <f t="shared" si="9"/>
        <v>46185</v>
      </c>
      <c r="M42" s="77"/>
      <c r="N42" s="78">
        <f t="shared" si="3"/>
        <v>-2</v>
      </c>
      <c r="O42" s="68"/>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row>
    <row r="43" spans="1:70" ht="25" customHeight="1" thickBot="1" x14ac:dyDescent="0.4">
      <c r="D43" s="134" t="str">
        <f t="shared" si="8"/>
        <v>Semanal</v>
      </c>
      <c r="E43" s="135"/>
      <c r="F43" s="136"/>
      <c r="G43" s="74" t="s">
        <v>72</v>
      </c>
      <c r="H43" s="182"/>
      <c r="I43" s="144" t="s">
        <v>36</v>
      </c>
      <c r="J43" s="75">
        <v>0.1</v>
      </c>
      <c r="K43" s="76">
        <v>46188</v>
      </c>
      <c r="L43" s="76">
        <f t="shared" si="9"/>
        <v>46192</v>
      </c>
      <c r="M43" s="77"/>
      <c r="N43" s="78"/>
      <c r="O43" s="68"/>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row>
    <row r="44" spans="1:70" ht="25" customHeight="1" thickBot="1" x14ac:dyDescent="0.4">
      <c r="D44" s="134" t="str">
        <f t="shared" si="8"/>
        <v>Semanal</v>
      </c>
      <c r="E44" s="135"/>
      <c r="F44" s="136"/>
      <c r="G44" s="70" t="s">
        <v>53</v>
      </c>
      <c r="H44" s="181"/>
      <c r="I44" s="143" t="s">
        <v>36</v>
      </c>
      <c r="J44" s="71">
        <v>0</v>
      </c>
      <c r="K44" s="72">
        <v>46195</v>
      </c>
      <c r="L44" s="76">
        <f t="shared" si="9"/>
        <v>46199</v>
      </c>
      <c r="M44" s="73"/>
      <c r="N44" s="48"/>
      <c r="O44" s="68"/>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row>
    <row r="45" spans="1:70" ht="25" customHeight="1" thickBot="1" x14ac:dyDescent="0.4">
      <c r="D45" s="134" t="str">
        <f t="shared" si="8"/>
        <v>Semanal</v>
      </c>
      <c r="E45" s="135"/>
      <c r="F45" s="136"/>
      <c r="G45" s="74" t="s">
        <v>54</v>
      </c>
      <c r="H45" s="182"/>
      <c r="I45" s="144" t="s">
        <v>36</v>
      </c>
      <c r="J45" s="75">
        <v>0</v>
      </c>
      <c r="K45" s="76">
        <v>46202</v>
      </c>
      <c r="L45" s="76">
        <f t="shared" si="9"/>
        <v>46206</v>
      </c>
      <c r="M45" s="77"/>
      <c r="N45" s="78"/>
      <c r="O45" s="68"/>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row>
    <row r="46" spans="1:70" ht="25" customHeight="1" thickBot="1" x14ac:dyDescent="0.4">
      <c r="D46" s="134" t="str">
        <f t="shared" si="8"/>
        <v>Semanal</v>
      </c>
      <c r="E46" s="135">
        <v>1</v>
      </c>
      <c r="F46" s="136">
        <v>46185</v>
      </c>
      <c r="G46" s="70" t="s">
        <v>55</v>
      </c>
      <c r="H46" s="181"/>
      <c r="I46" s="143" t="s">
        <v>36</v>
      </c>
      <c r="J46" s="71">
        <v>0.5</v>
      </c>
      <c r="K46" s="72">
        <f t="shared" ref="K46:K47" si="10">+L45+1</f>
        <v>46207</v>
      </c>
      <c r="L46" s="76">
        <f t="shared" si="9"/>
        <v>46185</v>
      </c>
      <c r="M46" s="73"/>
      <c r="N46" s="48"/>
      <c r="O46" s="68"/>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row>
    <row r="47" spans="1:70" ht="25" customHeight="1" x14ac:dyDescent="0.35">
      <c r="D47" s="134" t="str">
        <f t="shared" si="8"/>
        <v>Semanal</v>
      </c>
      <c r="E47" s="135">
        <v>1</v>
      </c>
      <c r="F47" s="136">
        <v>46185</v>
      </c>
      <c r="G47" s="74" t="s">
        <v>69</v>
      </c>
      <c r="H47" s="183"/>
      <c r="I47" s="144" t="s">
        <v>36</v>
      </c>
      <c r="J47" s="75">
        <v>0.5</v>
      </c>
      <c r="K47" s="76">
        <f t="shared" si="10"/>
        <v>46186</v>
      </c>
      <c r="L47" s="76">
        <f t="shared" si="9"/>
        <v>46185</v>
      </c>
      <c r="M47" s="77"/>
      <c r="N47" s="78">
        <f t="shared" si="3"/>
        <v>0</v>
      </c>
      <c r="O47" s="83"/>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row>
    <row r="48" spans="1:70" ht="25" customHeight="1" thickBot="1" x14ac:dyDescent="0.4">
      <c r="A48" s="14" t="s">
        <v>11</v>
      </c>
      <c r="G48" s="59" t="s">
        <v>131</v>
      </c>
      <c r="H48" s="179">
        <v>0.25</v>
      </c>
      <c r="I48" s="142"/>
      <c r="J48" s="60">
        <f>+AVERAGE(J49:J51)</f>
        <v>0.13333333333333333</v>
      </c>
      <c r="K48" s="63" t="str">
        <f>+$K$7</f>
        <v>Días Transcurridos=</v>
      </c>
      <c r="L48" s="61">
        <f ca="1">+TODAY()-MIN($K$49:$K$51)-139</f>
        <v>95</v>
      </c>
      <c r="M48" s="62"/>
      <c r="N48" s="69"/>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row>
    <row r="49" spans="1:70" ht="25" customHeight="1" thickBot="1" x14ac:dyDescent="0.4">
      <c r="D49" s="134" t="s">
        <v>103</v>
      </c>
      <c r="E49" s="135"/>
      <c r="F49" s="136"/>
      <c r="G49" s="74" t="s">
        <v>92</v>
      </c>
      <c r="H49" s="184"/>
      <c r="I49" s="144" t="s">
        <v>36</v>
      </c>
      <c r="J49" s="75">
        <v>0.35</v>
      </c>
      <c r="K49" s="76">
        <v>45958</v>
      </c>
      <c r="L49" s="76">
        <v>46213</v>
      </c>
      <c r="M49" s="77"/>
      <c r="N49" s="78">
        <f t="shared" si="3"/>
        <v>256</v>
      </c>
      <c r="O49" s="64"/>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row>
    <row r="50" spans="1:70" ht="25" customHeight="1" thickBot="1" x14ac:dyDescent="0.4">
      <c r="D50" s="134" t="str">
        <f>+$D$49</f>
        <v>Mensual</v>
      </c>
      <c r="E50" s="135"/>
      <c r="F50" s="136"/>
      <c r="G50" s="70" t="s">
        <v>93</v>
      </c>
      <c r="H50" s="185"/>
      <c r="I50" s="143" t="s">
        <v>36</v>
      </c>
      <c r="J50" s="71">
        <v>0.05</v>
      </c>
      <c r="K50" s="72">
        <v>46209</v>
      </c>
      <c r="L50" s="76">
        <f>IF(F50="",WORKDAY(L49,5),F50)</f>
        <v>46220</v>
      </c>
      <c r="M50" s="73"/>
      <c r="N50" s="48">
        <f t="shared" si="3"/>
        <v>12</v>
      </c>
      <c r="O50" s="68"/>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row>
    <row r="51" spans="1:70" ht="25" customHeight="1" x14ac:dyDescent="0.35">
      <c r="D51" s="134" t="str">
        <f>+$D$49</f>
        <v>Mensual</v>
      </c>
      <c r="E51" s="135"/>
      <c r="F51" s="136"/>
      <c r="G51" s="74" t="s">
        <v>94</v>
      </c>
      <c r="H51" s="186"/>
      <c r="I51" s="144" t="s">
        <v>95</v>
      </c>
      <c r="J51" s="75">
        <v>0</v>
      </c>
      <c r="K51" s="76">
        <v>46216</v>
      </c>
      <c r="L51" s="76">
        <f>IF(F51="",WORKDAY(L50,5),F51)</f>
        <v>46227</v>
      </c>
      <c r="M51" s="77"/>
      <c r="N51" s="78">
        <f t="shared" si="3"/>
        <v>12</v>
      </c>
      <c r="O51" s="83"/>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row>
    <row r="52" spans="1:70" ht="25" customHeight="1" thickBot="1" x14ac:dyDescent="0.4">
      <c r="A52" s="14" t="s">
        <v>11</v>
      </c>
      <c r="G52" s="59" t="s">
        <v>132</v>
      </c>
      <c r="H52" s="179">
        <v>0.1</v>
      </c>
      <c r="I52" s="142"/>
      <c r="J52" s="60">
        <f>+AVERAGE(J53:J55)</f>
        <v>3.3333333333333333E-2</v>
      </c>
      <c r="K52" s="63" t="str">
        <f>+$K$7</f>
        <v>Días Transcurridos=</v>
      </c>
      <c r="L52" s="61">
        <f ca="1">+TODAY()-MIN($K$53:$K$55)-139</f>
        <v>95</v>
      </c>
      <c r="M52" s="62"/>
      <c r="N52" s="69"/>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row>
    <row r="53" spans="1:70" ht="44" thickBot="1" x14ac:dyDescent="0.4">
      <c r="D53" s="134" t="s">
        <v>103</v>
      </c>
      <c r="E53" s="135"/>
      <c r="F53" s="136"/>
      <c r="G53" s="74" t="s">
        <v>59</v>
      </c>
      <c r="H53" s="182"/>
      <c r="I53" s="144" t="s">
        <v>96</v>
      </c>
      <c r="J53" s="75">
        <v>0.1</v>
      </c>
      <c r="K53" s="76">
        <v>45958</v>
      </c>
      <c r="L53" s="76">
        <v>46213</v>
      </c>
      <c r="M53" s="77"/>
      <c r="N53" s="78">
        <f t="shared" si="3"/>
        <v>256</v>
      </c>
      <c r="O53" s="64"/>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row>
    <row r="54" spans="1:70" ht="44" thickBot="1" x14ac:dyDescent="0.4">
      <c r="D54" s="134" t="str">
        <f>+$D$53</f>
        <v>Mensual</v>
      </c>
      <c r="E54" s="135"/>
      <c r="F54" s="136"/>
      <c r="G54" s="70" t="s">
        <v>97</v>
      </c>
      <c r="H54" s="181"/>
      <c r="I54" s="143" t="s">
        <v>96</v>
      </c>
      <c r="J54" s="71">
        <v>0</v>
      </c>
      <c r="K54" s="72">
        <v>46216</v>
      </c>
      <c r="L54" s="76">
        <f>IF(F54="",WORKDAY(L53,5),F54)</f>
        <v>46220</v>
      </c>
      <c r="M54" s="73"/>
      <c r="N54" s="48">
        <f t="shared" si="3"/>
        <v>5</v>
      </c>
      <c r="O54" s="68"/>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row>
    <row r="55" spans="1:70" ht="44" thickBot="1" x14ac:dyDescent="0.4">
      <c r="D55" s="134" t="str">
        <f>+$D$53</f>
        <v>Mensual</v>
      </c>
      <c r="E55" s="135"/>
      <c r="F55" s="136"/>
      <c r="G55" s="74" t="s">
        <v>113</v>
      </c>
      <c r="H55" s="183"/>
      <c r="I55" s="144" t="s">
        <v>96</v>
      </c>
      <c r="J55" s="75">
        <v>0</v>
      </c>
      <c r="K55" s="76">
        <v>46223</v>
      </c>
      <c r="L55" s="76">
        <f>IF(F55="",WORKDAY(L54,5),F55)</f>
        <v>46227</v>
      </c>
      <c r="M55" s="77"/>
      <c r="N55" s="78">
        <f t="shared" si="3"/>
        <v>5</v>
      </c>
      <c r="O55" s="83"/>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row>
    <row r="56" spans="1:70" ht="30" customHeight="1" x14ac:dyDescent="0.35">
      <c r="G56" s="124"/>
      <c r="H56" s="127">
        <f>+SUBTOTAL(9,H7:H55)</f>
        <v>1.35</v>
      </c>
      <c r="I56" s="145"/>
      <c r="J56" s="125"/>
      <c r="K56" s="125"/>
      <c r="L56" s="125"/>
      <c r="M56" s="126"/>
      <c r="N56" s="125"/>
    </row>
    <row r="57" spans="1:70" ht="30" customHeight="1" x14ac:dyDescent="0.35">
      <c r="I57" s="146"/>
      <c r="L57" s="15"/>
    </row>
    <row r="58" spans="1:70" ht="30" customHeight="1" x14ac:dyDescent="0.35">
      <c r="I58" s="147"/>
    </row>
    <row r="79" spans="7:7" ht="30" customHeight="1" x14ac:dyDescent="0.35">
      <c r="G79" s="16" t="s">
        <v>73</v>
      </c>
    </row>
    <row r="80" spans="7:7" ht="30" customHeight="1" x14ac:dyDescent="0.35">
      <c r="G80" s="16" t="s">
        <v>57</v>
      </c>
    </row>
  </sheetData>
  <mergeCells count="20">
    <mergeCell ref="H22:H47"/>
    <mergeCell ref="H48:H51"/>
    <mergeCell ref="H52:H55"/>
    <mergeCell ref="H9:H21"/>
    <mergeCell ref="AJ4:AP4"/>
    <mergeCell ref="AQ4:AW4"/>
    <mergeCell ref="AX4:BD4"/>
    <mergeCell ref="BE4:BK4"/>
    <mergeCell ref="BL4:BR4"/>
    <mergeCell ref="I3:J3"/>
    <mergeCell ref="K3:L3"/>
    <mergeCell ref="I4:J4"/>
    <mergeCell ref="O4:U4"/>
    <mergeCell ref="V4:AB4"/>
    <mergeCell ref="B19:B21"/>
    <mergeCell ref="C11:C12"/>
    <mergeCell ref="B11:B12"/>
    <mergeCell ref="H7:H8"/>
    <mergeCell ref="AC4:AI4"/>
    <mergeCell ref="C19:C21"/>
  </mergeCells>
  <conditionalFormatting sqref="E7:E200">
    <cfRule type="colorScale" priority="24">
      <colorScale>
        <cfvo type="min"/>
        <cfvo type="max"/>
        <color rgb="FFDDEBF7"/>
        <color rgb="FF2E75B6"/>
      </colorScale>
    </cfRule>
  </conditionalFormatting>
  <conditionalFormatting sqref="F7:F200">
    <cfRule type="expression" dxfId="32" priority="20">
      <formula>AND(LEN($G7)&gt;0,NOT(ISTEXT($K7)),$J7&gt;=1)</formula>
    </cfRule>
    <cfRule type="expression" dxfId="31" priority="21">
      <formula>AND(LEN($G7)&gt;0,NOT(ISTEXT($K7)),ISNUMBER($F7),$F7&lt;TODAY(),$J7&lt;1)</formula>
    </cfRule>
    <cfRule type="expression" dxfId="30" priority="22">
      <formula>AND(LEN($G7)&gt;0,NOT(ISTEXT($K7)),ISNUMBER($F7),$F7-TODAY()&gt;=0,$F7-TODAY()&lt;=7,$J7&lt;1)</formula>
    </cfRule>
    <cfRule type="expression" dxfId="29" priority="23">
      <formula>AND(LEN($G7)&gt;0,NOT(ISTEXT($K7)),ISNUMBER($F7),$F7-TODAY()&gt;7,$J7&lt;1)</formula>
    </cfRule>
  </conditionalFormatting>
  <conditionalFormatting sqref="J7:J55">
    <cfRule type="dataBar" priority="10">
      <dataBar>
        <cfvo type="num" val="0"/>
        <cfvo type="num" val="1"/>
        <color theme="0" tint="-0.249977111117893"/>
      </dataBar>
      <extLst>
        <ext xmlns:x14="http://schemas.microsoft.com/office/spreadsheetml/2009/9/main" uri="{B025F937-C7B1-47D3-B67F-A62EFF666E3E}">
          <x14:id>{1ABDF043-8B59-48D1-8979-9A4A80F37E74}</x14:id>
        </ext>
      </extLst>
    </cfRule>
  </conditionalFormatting>
  <conditionalFormatting sqref="M8:BR8 O10:BR21 O23:BR26 O37:BR47 O49:BR51 O53:BR200 O5:BR6">
    <cfRule type="expression" dxfId="28" priority="13">
      <formula>AND(TODAY()&gt;=M$5,TODAY()&lt;N$5)</formula>
    </cfRule>
  </conditionalFormatting>
  <conditionalFormatting sqref="M8:BR8 O10:BR21 O23:BR26 O37:BR47 O49:BR51 O53:BR200">
    <cfRule type="expression" dxfId="27" priority="11">
      <formula>AND(task_start&lt;=M$5,ROUNDDOWN((task_end-task_start+1)*task_progress,0)+task_start-1&gt;=M$5)</formula>
    </cfRule>
    <cfRule type="expression" dxfId="26" priority="12" stopIfTrue="1">
      <formula>AND(task_end&gt;=M$5,task_start&lt;N$5)</formula>
    </cfRule>
  </conditionalFormatting>
  <conditionalFormatting sqref="O28:BR35">
    <cfRule type="expression" dxfId="25" priority="1">
      <formula>AND(task_start&lt;=O$5,ROUNDDOWN((task_end-task_start+1)*task_progress,0)+task_start-1&gt;=O$5)</formula>
    </cfRule>
    <cfRule type="expression" dxfId="24" priority="2" stopIfTrue="1">
      <formula>AND(task_end&gt;=O$5,task_start&lt;P$5)</formula>
    </cfRule>
    <cfRule type="expression" dxfId="23" priority="3">
      <formula>AND(TODAY()&gt;=O$5,TODAY()&lt;P$5)</formula>
    </cfRule>
  </conditionalFormatting>
  <dataValidations disablePrompts="1" count="1">
    <dataValidation type="whole" operator="greaterThanOrEqual" allowBlank="1" showInputMessage="1" promptTitle="Mostrar semana" prompt="Al cambiar este número, se desplazará la vista del diagrama de Gantt." sqref="K4" xr:uid="{A8CFA2FF-5A90-4731-BBE6-9585A5C78C31}">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L32:L33" formula="1"/>
  </ignoredErrors>
  <legacyDrawing r:id="rId2"/>
  <extLst>
    <ext xmlns:x14="http://schemas.microsoft.com/office/spreadsheetml/2009/9/main" uri="{78C0D931-6437-407d-A8EE-F0AAD7539E65}">
      <x14:conditionalFormattings>
        <x14:conditionalFormatting xmlns:xm="http://schemas.microsoft.com/office/excel/2006/main">
          <x14:cfRule type="dataBar" id="{1ABDF043-8B59-48D1-8979-9A4A80F37E74}">
            <x14:dataBar minLength="0" maxLength="100" gradient="0">
              <x14:cfvo type="num">
                <xm:f>0</xm:f>
              </x14:cfvo>
              <x14:cfvo type="num">
                <xm:f>1</xm:f>
              </x14:cfvo>
              <x14:negativeFillColor rgb="FFFF0000"/>
              <x14:axisColor rgb="FF000000"/>
            </x14:dataBar>
          </x14:cfRule>
          <xm:sqref>J7:J55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3F60-36D0-4B31-8741-D920D66702E2}">
  <sheetPr>
    <pageSetUpPr fitToPage="1"/>
  </sheetPr>
  <dimension ref="A1:BL70"/>
  <sheetViews>
    <sheetView showGridLines="0" showRuler="0" zoomScale="90" zoomScaleNormal="90" zoomScalePageLayoutView="70" workbookViewId="0">
      <pane ySplit="6" topLeftCell="A74" activePane="bottomLeft" state="frozen"/>
      <selection pane="bottomLeft" activeCell="C2" sqref="C2"/>
    </sheetView>
  </sheetViews>
  <sheetFormatPr baseColWidth="10" defaultColWidth="9.1796875" defaultRowHeight="30" customHeight="1" x14ac:dyDescent="0.35"/>
  <cols>
    <col min="1" max="1" width="2.7265625" style="14" customWidth="1"/>
    <col min="2" max="2" width="65.453125" bestFit="1" customWidth="1"/>
    <col min="3" max="3" width="26.1796875" bestFit="1" customWidth="1"/>
    <col min="4" max="4" width="10.7265625" customWidth="1"/>
    <col min="5" max="5" width="10.453125" style="2" customWidth="1"/>
    <col min="6" max="6" width="10.453125" customWidth="1"/>
    <col min="7" max="7" width="2.7265625" customWidth="1"/>
    <col min="8" max="8" width="9.453125" hidden="1" customWidth="1"/>
    <col min="9" max="23" width="3.26953125" customWidth="1"/>
    <col min="24" max="24" width="4.08984375" customWidth="1"/>
    <col min="25" max="25" width="2.54296875" bestFit="1" customWidth="1"/>
    <col min="26" max="64" width="3.26953125" customWidth="1"/>
  </cols>
  <sheetData>
    <row r="1" spans="1:64" ht="30" customHeight="1" x14ac:dyDescent="0.65">
      <c r="A1" s="121" t="s">
        <v>0</v>
      </c>
      <c r="B1" s="92" t="s">
        <v>34</v>
      </c>
      <c r="C1" s="40"/>
      <c r="D1" s="1"/>
      <c r="E1" s="41"/>
      <c r="F1" s="42"/>
      <c r="H1" s="1"/>
      <c r="I1" s="17"/>
    </row>
    <row r="2" spans="1:64" ht="30" customHeight="1" x14ac:dyDescent="0.4">
      <c r="A2" s="14" t="s">
        <v>1</v>
      </c>
      <c r="B2" s="93" t="s">
        <v>35</v>
      </c>
      <c r="I2" s="18"/>
    </row>
    <row r="3" spans="1:64" ht="30" customHeight="1" x14ac:dyDescent="0.35">
      <c r="A3" s="14" t="s">
        <v>2</v>
      </c>
      <c r="B3" s="94" t="s">
        <v>36</v>
      </c>
      <c r="C3" s="175" t="s">
        <v>13</v>
      </c>
      <c r="D3" s="175"/>
      <c r="E3" s="176">
        <v>45958</v>
      </c>
      <c r="F3" s="177"/>
    </row>
    <row r="4" spans="1:64" s="20" customFormat="1" ht="30" customHeight="1" x14ac:dyDescent="0.3">
      <c r="A4" s="122" t="s">
        <v>3</v>
      </c>
      <c r="C4" s="175" t="s">
        <v>14</v>
      </c>
      <c r="D4" s="175"/>
      <c r="E4" s="49">
        <v>25</v>
      </c>
      <c r="I4" s="173">
        <f>I5</f>
        <v>46125</v>
      </c>
      <c r="J4" s="173"/>
      <c r="K4" s="173"/>
      <c r="L4" s="173"/>
      <c r="M4" s="173"/>
      <c r="N4" s="173"/>
      <c r="O4" s="174"/>
      <c r="P4" s="172">
        <f>P5</f>
        <v>46132</v>
      </c>
      <c r="Q4" s="173"/>
      <c r="R4" s="173"/>
      <c r="S4" s="173"/>
      <c r="T4" s="173"/>
      <c r="U4" s="173"/>
      <c r="V4" s="174"/>
      <c r="W4" s="172">
        <f>W5</f>
        <v>46139</v>
      </c>
      <c r="X4" s="173"/>
      <c r="Y4" s="173"/>
      <c r="Z4" s="173"/>
      <c r="AA4" s="173"/>
      <c r="AB4" s="173"/>
      <c r="AC4" s="174"/>
      <c r="AD4" s="172">
        <f>AD5</f>
        <v>46146</v>
      </c>
      <c r="AE4" s="173"/>
      <c r="AF4" s="173"/>
      <c r="AG4" s="173"/>
      <c r="AH4" s="173"/>
      <c r="AI4" s="173"/>
      <c r="AJ4" s="174"/>
      <c r="AK4" s="172">
        <f>AK5</f>
        <v>46153</v>
      </c>
      <c r="AL4" s="173"/>
      <c r="AM4" s="173"/>
      <c r="AN4" s="173"/>
      <c r="AO4" s="173"/>
      <c r="AP4" s="173"/>
      <c r="AQ4" s="174"/>
      <c r="AR4" s="172">
        <f>AR5</f>
        <v>46160</v>
      </c>
      <c r="AS4" s="173"/>
      <c r="AT4" s="173"/>
      <c r="AU4" s="173"/>
      <c r="AV4" s="173"/>
      <c r="AW4" s="173"/>
      <c r="AX4" s="174"/>
      <c r="AY4" s="172">
        <f>AY5</f>
        <v>46167</v>
      </c>
      <c r="AZ4" s="173"/>
      <c r="BA4" s="173"/>
      <c r="BB4" s="173"/>
      <c r="BC4" s="173"/>
      <c r="BD4" s="173"/>
      <c r="BE4" s="174"/>
      <c r="BF4" s="172">
        <f>BF5</f>
        <v>46174</v>
      </c>
      <c r="BG4" s="173"/>
      <c r="BH4" s="173"/>
      <c r="BI4" s="173"/>
      <c r="BJ4" s="173"/>
      <c r="BK4" s="173"/>
      <c r="BL4" s="174"/>
    </row>
    <row r="5" spans="1:64" ht="15" customHeight="1" x14ac:dyDescent="0.35">
      <c r="A5" s="121" t="s">
        <v>4</v>
      </c>
      <c r="E5"/>
      <c r="I5" s="89">
        <f>Inicio_del_proyecto-WEEKDAY(Inicio_del_proyecto,1)+2+7*(Semana_para_mostrar-1)</f>
        <v>46125</v>
      </c>
      <c r="J5" s="89">
        <f>I5+1</f>
        <v>46126</v>
      </c>
      <c r="K5" s="89">
        <f t="shared" ref="K5:AX5" si="0">J5+1</f>
        <v>46127</v>
      </c>
      <c r="L5" s="89">
        <f t="shared" si="0"/>
        <v>46128</v>
      </c>
      <c r="M5" s="89">
        <f t="shared" si="0"/>
        <v>46129</v>
      </c>
      <c r="N5" s="89">
        <f t="shared" si="0"/>
        <v>46130</v>
      </c>
      <c r="O5" s="90">
        <f t="shared" si="0"/>
        <v>46131</v>
      </c>
      <c r="P5" s="88">
        <f>O5+1</f>
        <v>46132</v>
      </c>
      <c r="Q5" s="89">
        <f>P5+1</f>
        <v>46133</v>
      </c>
      <c r="R5" s="89">
        <f t="shared" si="0"/>
        <v>46134</v>
      </c>
      <c r="S5" s="89">
        <f t="shared" si="0"/>
        <v>46135</v>
      </c>
      <c r="T5" s="89">
        <f t="shared" si="0"/>
        <v>46136</v>
      </c>
      <c r="U5" s="89">
        <f t="shared" si="0"/>
        <v>46137</v>
      </c>
      <c r="V5" s="90">
        <f t="shared" si="0"/>
        <v>46138</v>
      </c>
      <c r="W5" s="88">
        <f>V5+1</f>
        <v>46139</v>
      </c>
      <c r="X5" s="89">
        <f>W5+1</f>
        <v>46140</v>
      </c>
      <c r="Y5" s="89">
        <f t="shared" si="0"/>
        <v>46141</v>
      </c>
      <c r="Z5" s="89">
        <f t="shared" si="0"/>
        <v>46142</v>
      </c>
      <c r="AA5" s="89">
        <f t="shared" si="0"/>
        <v>46143</v>
      </c>
      <c r="AB5" s="89">
        <f t="shared" si="0"/>
        <v>46144</v>
      </c>
      <c r="AC5" s="90">
        <f t="shared" si="0"/>
        <v>46145</v>
      </c>
      <c r="AD5" s="88">
        <f>AC5+1</f>
        <v>46146</v>
      </c>
      <c r="AE5" s="89">
        <f>AD5+1</f>
        <v>46147</v>
      </c>
      <c r="AF5" s="89">
        <f t="shared" si="0"/>
        <v>46148</v>
      </c>
      <c r="AG5" s="89">
        <f t="shared" si="0"/>
        <v>46149</v>
      </c>
      <c r="AH5" s="89">
        <f t="shared" si="0"/>
        <v>46150</v>
      </c>
      <c r="AI5" s="89">
        <f t="shared" si="0"/>
        <v>46151</v>
      </c>
      <c r="AJ5" s="90">
        <f t="shared" si="0"/>
        <v>46152</v>
      </c>
      <c r="AK5" s="88">
        <f>AJ5+1</f>
        <v>46153</v>
      </c>
      <c r="AL5" s="89">
        <f>AK5+1</f>
        <v>46154</v>
      </c>
      <c r="AM5" s="89">
        <f t="shared" si="0"/>
        <v>46155</v>
      </c>
      <c r="AN5" s="89">
        <f t="shared" si="0"/>
        <v>46156</v>
      </c>
      <c r="AO5" s="89">
        <f t="shared" si="0"/>
        <v>46157</v>
      </c>
      <c r="AP5" s="89">
        <f t="shared" si="0"/>
        <v>46158</v>
      </c>
      <c r="AQ5" s="90">
        <f t="shared" si="0"/>
        <v>46159</v>
      </c>
      <c r="AR5" s="88">
        <f>AQ5+1</f>
        <v>46160</v>
      </c>
      <c r="AS5" s="89">
        <f>AR5+1</f>
        <v>46161</v>
      </c>
      <c r="AT5" s="89">
        <f t="shared" si="0"/>
        <v>46162</v>
      </c>
      <c r="AU5" s="89">
        <f t="shared" si="0"/>
        <v>46163</v>
      </c>
      <c r="AV5" s="89">
        <f t="shared" si="0"/>
        <v>46164</v>
      </c>
      <c r="AW5" s="89">
        <f t="shared" si="0"/>
        <v>46165</v>
      </c>
      <c r="AX5" s="90">
        <f t="shared" si="0"/>
        <v>46166</v>
      </c>
      <c r="AY5" s="88">
        <f t="shared" ref="AY5:BL5" si="1">AX5+1</f>
        <v>46167</v>
      </c>
      <c r="AZ5" s="89">
        <f t="shared" si="1"/>
        <v>46168</v>
      </c>
      <c r="BA5" s="89">
        <f t="shared" si="1"/>
        <v>46169</v>
      </c>
      <c r="BB5" s="89">
        <f t="shared" si="1"/>
        <v>46170</v>
      </c>
      <c r="BC5" s="89">
        <f t="shared" si="1"/>
        <v>46171</v>
      </c>
      <c r="BD5" s="89">
        <f t="shared" si="1"/>
        <v>46172</v>
      </c>
      <c r="BE5" s="90">
        <f t="shared" si="1"/>
        <v>46173</v>
      </c>
      <c r="BF5" s="88">
        <f t="shared" si="1"/>
        <v>46174</v>
      </c>
      <c r="BG5" s="89">
        <f t="shared" si="1"/>
        <v>46175</v>
      </c>
      <c r="BH5" s="89">
        <f t="shared" si="1"/>
        <v>46176</v>
      </c>
      <c r="BI5" s="89">
        <f t="shared" si="1"/>
        <v>46177</v>
      </c>
      <c r="BJ5" s="89">
        <f t="shared" si="1"/>
        <v>46178</v>
      </c>
      <c r="BK5" s="89">
        <f t="shared" si="1"/>
        <v>46179</v>
      </c>
      <c r="BL5" s="90">
        <f t="shared" si="1"/>
        <v>46180</v>
      </c>
    </row>
    <row r="6" spans="1:64" s="22" customFormat="1" ht="30" customHeight="1" thickBot="1" x14ac:dyDescent="0.35">
      <c r="A6" s="123" t="s">
        <v>5</v>
      </c>
      <c r="B6" s="95" t="s">
        <v>12</v>
      </c>
      <c r="C6" s="50" t="s">
        <v>75</v>
      </c>
      <c r="D6" s="50" t="s">
        <v>15</v>
      </c>
      <c r="E6" s="50" t="s">
        <v>16</v>
      </c>
      <c r="F6" s="50" t="s">
        <v>17</v>
      </c>
      <c r="G6" s="50"/>
      <c r="H6" s="50" t="s">
        <v>18</v>
      </c>
      <c r="I6" s="118" t="str">
        <f t="shared" ref="I6:BL6" si="2">LEFT(TEXT(I5,"ddd"),1)</f>
        <v>l</v>
      </c>
      <c r="J6" s="91" t="str">
        <f t="shared" si="2"/>
        <v>m</v>
      </c>
      <c r="K6" s="91" t="str">
        <f t="shared" si="2"/>
        <v>m</v>
      </c>
      <c r="L6" s="91" t="str">
        <f t="shared" si="2"/>
        <v>j</v>
      </c>
      <c r="M6" s="91" t="str">
        <f t="shared" si="2"/>
        <v>v</v>
      </c>
      <c r="N6" s="91" t="str">
        <f t="shared" si="2"/>
        <v>s</v>
      </c>
      <c r="O6" s="91" t="str">
        <f t="shared" si="2"/>
        <v>d</v>
      </c>
      <c r="P6" s="91" t="str">
        <f t="shared" si="2"/>
        <v>l</v>
      </c>
      <c r="Q6" s="91" t="str">
        <f t="shared" si="2"/>
        <v>m</v>
      </c>
      <c r="R6" s="91" t="str">
        <f t="shared" si="2"/>
        <v>m</v>
      </c>
      <c r="S6" s="91" t="str">
        <f t="shared" si="2"/>
        <v>j</v>
      </c>
      <c r="T6" s="91" t="str">
        <f t="shared" si="2"/>
        <v>v</v>
      </c>
      <c r="U6" s="91" t="str">
        <f t="shared" si="2"/>
        <v>s</v>
      </c>
      <c r="V6" s="91" t="str">
        <f t="shared" si="2"/>
        <v>d</v>
      </c>
      <c r="W6" s="91" t="str">
        <f t="shared" si="2"/>
        <v>l</v>
      </c>
      <c r="X6" s="91" t="str">
        <f t="shared" si="2"/>
        <v>m</v>
      </c>
      <c r="Y6" s="91" t="str">
        <f t="shared" si="2"/>
        <v>m</v>
      </c>
      <c r="Z6" s="91" t="str">
        <f t="shared" si="2"/>
        <v>j</v>
      </c>
      <c r="AA6" s="91" t="str">
        <f t="shared" si="2"/>
        <v>v</v>
      </c>
      <c r="AB6" s="91" t="str">
        <f t="shared" si="2"/>
        <v>s</v>
      </c>
      <c r="AC6" s="91" t="str">
        <f t="shared" si="2"/>
        <v>d</v>
      </c>
      <c r="AD6" s="91" t="str">
        <f t="shared" si="2"/>
        <v>l</v>
      </c>
      <c r="AE6" s="91" t="str">
        <f t="shared" si="2"/>
        <v>m</v>
      </c>
      <c r="AF6" s="91" t="str">
        <f t="shared" si="2"/>
        <v>m</v>
      </c>
      <c r="AG6" s="91" t="str">
        <f t="shared" si="2"/>
        <v>j</v>
      </c>
      <c r="AH6" s="91" t="str">
        <f t="shared" si="2"/>
        <v>v</v>
      </c>
      <c r="AI6" s="91" t="str">
        <f t="shared" si="2"/>
        <v>s</v>
      </c>
      <c r="AJ6" s="91" t="str">
        <f t="shared" si="2"/>
        <v>d</v>
      </c>
      <c r="AK6" s="91" t="str">
        <f t="shared" si="2"/>
        <v>l</v>
      </c>
      <c r="AL6" s="91" t="str">
        <f t="shared" si="2"/>
        <v>m</v>
      </c>
      <c r="AM6" s="91" t="str">
        <f t="shared" si="2"/>
        <v>m</v>
      </c>
      <c r="AN6" s="91" t="str">
        <f t="shared" si="2"/>
        <v>j</v>
      </c>
      <c r="AO6" s="91" t="str">
        <f t="shared" si="2"/>
        <v>v</v>
      </c>
      <c r="AP6" s="91" t="str">
        <f t="shared" si="2"/>
        <v>s</v>
      </c>
      <c r="AQ6" s="91" t="str">
        <f t="shared" si="2"/>
        <v>d</v>
      </c>
      <c r="AR6" s="91" t="str">
        <f t="shared" si="2"/>
        <v>l</v>
      </c>
      <c r="AS6" s="91" t="str">
        <f t="shared" si="2"/>
        <v>m</v>
      </c>
      <c r="AT6" s="91" t="str">
        <f t="shared" si="2"/>
        <v>m</v>
      </c>
      <c r="AU6" s="91" t="str">
        <f t="shared" si="2"/>
        <v>j</v>
      </c>
      <c r="AV6" s="91" t="str">
        <f t="shared" si="2"/>
        <v>v</v>
      </c>
      <c r="AW6" s="91" t="str">
        <f t="shared" si="2"/>
        <v>s</v>
      </c>
      <c r="AX6" s="91" t="str">
        <f t="shared" si="2"/>
        <v>d</v>
      </c>
      <c r="AY6" s="91" t="str">
        <f t="shared" si="2"/>
        <v>l</v>
      </c>
      <c r="AZ6" s="91" t="str">
        <f t="shared" si="2"/>
        <v>m</v>
      </c>
      <c r="BA6" s="91" t="str">
        <f t="shared" si="2"/>
        <v>m</v>
      </c>
      <c r="BB6" s="91" t="str">
        <f t="shared" si="2"/>
        <v>j</v>
      </c>
      <c r="BC6" s="91" t="str">
        <f t="shared" si="2"/>
        <v>v</v>
      </c>
      <c r="BD6" s="91" t="str">
        <f t="shared" si="2"/>
        <v>s</v>
      </c>
      <c r="BE6" s="91" t="str">
        <f t="shared" si="2"/>
        <v>d</v>
      </c>
      <c r="BF6" s="91" t="str">
        <f t="shared" si="2"/>
        <v>l</v>
      </c>
      <c r="BG6" s="91" t="str">
        <f t="shared" si="2"/>
        <v>m</v>
      </c>
      <c r="BH6" s="91" t="str">
        <f t="shared" si="2"/>
        <v>m</v>
      </c>
      <c r="BI6" s="91" t="str">
        <f t="shared" si="2"/>
        <v>j</v>
      </c>
      <c r="BJ6" s="91" t="str">
        <f t="shared" si="2"/>
        <v>v</v>
      </c>
      <c r="BK6" s="91" t="str">
        <f t="shared" si="2"/>
        <v>s</v>
      </c>
      <c r="BL6" s="91" t="str">
        <f t="shared" si="2"/>
        <v>d</v>
      </c>
    </row>
    <row r="7" spans="1:64" ht="1.5" customHeight="1" thickBot="1" x14ac:dyDescent="0.4">
      <c r="A7" s="14" t="s">
        <v>6</v>
      </c>
      <c r="B7" s="96"/>
      <c r="C7" s="97"/>
      <c r="D7" s="96"/>
      <c r="E7" s="96"/>
      <c r="F7" s="96"/>
      <c r="G7" s="96"/>
      <c r="H7" s="96" t="str">
        <f>IF(OR(ISBLANK(task_start),ISBLANK(task_end)),"",task_end-task_start+1)</f>
        <v/>
      </c>
      <c r="I7" s="68"/>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21" customFormat="1" ht="25" customHeight="1" thickBot="1" x14ac:dyDescent="0.4">
      <c r="A8" s="121" t="s">
        <v>7</v>
      </c>
      <c r="B8" s="99" t="s">
        <v>37</v>
      </c>
      <c r="C8" s="100"/>
      <c r="D8" s="60">
        <f>+AVERAGE(D9:D15)</f>
        <v>0.26428571428571429</v>
      </c>
      <c r="E8" s="62"/>
      <c r="F8" s="101">
        <f>+F15-E11+1</f>
        <v>212</v>
      </c>
      <c r="G8" s="62"/>
      <c r="H8" s="102"/>
    </row>
    <row r="9" spans="1:64" s="24" customFormat="1" ht="25" customHeight="1" thickBot="1" x14ac:dyDescent="0.4">
      <c r="A9" s="121" t="s">
        <v>8</v>
      </c>
      <c r="B9" s="103" t="s">
        <v>42</v>
      </c>
      <c r="C9" s="104" t="s">
        <v>47</v>
      </c>
      <c r="D9" s="75">
        <v>0.9</v>
      </c>
      <c r="E9" s="76">
        <f>Inicio_del_proyecto</f>
        <v>45958</v>
      </c>
      <c r="F9" s="76">
        <v>46173</v>
      </c>
      <c r="G9" s="77"/>
      <c r="H9" s="78">
        <f t="shared" ref="H9:H45" si="3">IF(OR(ISBLANK(task_start),ISBLANK(task_end)),"",task_end-task_start+1)</f>
        <v>216</v>
      </c>
      <c r="I9" s="64"/>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25" customFormat="1" ht="25" customHeight="1" thickBot="1" x14ac:dyDescent="0.4">
      <c r="A10" s="121" t="s">
        <v>8</v>
      </c>
      <c r="B10" s="105" t="s">
        <v>40</v>
      </c>
      <c r="C10" s="106" t="s">
        <v>36</v>
      </c>
      <c r="D10" s="71">
        <v>0.7</v>
      </c>
      <c r="E10" s="72">
        <v>45962</v>
      </c>
      <c r="F10" s="72">
        <v>46203</v>
      </c>
      <c r="G10" s="73"/>
      <c r="H10" s="48">
        <f t="shared" si="3"/>
        <v>242</v>
      </c>
      <c r="I10" s="64"/>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25" customFormat="1" ht="25" customHeight="1" thickBot="1" x14ac:dyDescent="0.4">
      <c r="A11" s="121"/>
      <c r="B11" s="103" t="s">
        <v>56</v>
      </c>
      <c r="C11" s="104" t="s">
        <v>36</v>
      </c>
      <c r="D11" s="75">
        <v>0.25</v>
      </c>
      <c r="E11" s="76">
        <v>46023</v>
      </c>
      <c r="F11" s="76">
        <v>46203</v>
      </c>
      <c r="G11" s="77"/>
      <c r="H11" s="78"/>
      <c r="I11" s="64"/>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25" customFormat="1" ht="25" customHeight="1" thickBot="1" x14ac:dyDescent="0.4">
      <c r="A12" s="14"/>
      <c r="B12" s="105" t="s">
        <v>43</v>
      </c>
      <c r="C12" s="106" t="s">
        <v>36</v>
      </c>
      <c r="D12" s="71">
        <v>0</v>
      </c>
      <c r="E12" s="72">
        <f>+F11+1</f>
        <v>46204</v>
      </c>
      <c r="F12" s="72">
        <v>46295</v>
      </c>
      <c r="G12" s="73"/>
      <c r="H12" s="48">
        <f t="shared" si="3"/>
        <v>92</v>
      </c>
      <c r="I12" s="64"/>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25" customFormat="1" ht="25" customHeight="1" thickBot="1" x14ac:dyDescent="0.4">
      <c r="A13" s="14"/>
      <c r="B13" s="103" t="s">
        <v>44</v>
      </c>
      <c r="C13" s="104" t="s">
        <v>36</v>
      </c>
      <c r="D13" s="75">
        <v>0</v>
      </c>
      <c r="E13" s="76">
        <f>+F12+1</f>
        <v>46296</v>
      </c>
      <c r="F13" s="76">
        <f>+WORKDAY(E13,4)</f>
        <v>46302</v>
      </c>
      <c r="G13" s="77"/>
      <c r="H13" s="78">
        <f t="shared" si="3"/>
        <v>7</v>
      </c>
      <c r="I13" s="64"/>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25" customFormat="1" ht="25" customHeight="1" thickBot="1" x14ac:dyDescent="0.4">
      <c r="A14" s="14"/>
      <c r="B14" s="105" t="s">
        <v>70</v>
      </c>
      <c r="C14" s="106" t="s">
        <v>36</v>
      </c>
      <c r="D14" s="71">
        <v>0</v>
      </c>
      <c r="E14" s="72">
        <f>+F13+1</f>
        <v>46303</v>
      </c>
      <c r="F14" s="72">
        <f>+WORKDAY(E14,7)</f>
        <v>46314</v>
      </c>
      <c r="G14" s="73"/>
      <c r="H14" s="48"/>
      <c r="I14" s="64"/>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27" customFormat="1" ht="25" customHeight="1" x14ac:dyDescent="0.35">
      <c r="A15" s="14"/>
      <c r="B15" s="103" t="s">
        <v>76</v>
      </c>
      <c r="C15" s="104" t="s">
        <v>36</v>
      </c>
      <c r="D15" s="75">
        <v>0</v>
      </c>
      <c r="E15" s="76">
        <v>46160</v>
      </c>
      <c r="F15" s="76">
        <v>46234</v>
      </c>
      <c r="G15" s="77"/>
      <c r="H15" s="78"/>
      <c r="I15" s="98"/>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29" customFormat="1" ht="25" customHeight="1" thickBot="1" x14ac:dyDescent="0.4">
      <c r="A16" s="121" t="s">
        <v>10</v>
      </c>
      <c r="B16" s="99" t="s">
        <v>65</v>
      </c>
      <c r="C16" s="100"/>
      <c r="D16" s="60">
        <f>+AVERAGE(D17:D24)</f>
        <v>0.41875000000000001</v>
      </c>
      <c r="E16" s="62"/>
      <c r="F16" s="101">
        <f>+F24-E17+1</f>
        <v>36</v>
      </c>
      <c r="G16" s="62"/>
      <c r="H16" s="102"/>
    </row>
    <row r="17" spans="1:64" s="24" customFormat="1" ht="25" customHeight="1" thickBot="1" x14ac:dyDescent="0.4">
      <c r="A17" s="121"/>
      <c r="B17" s="107" t="s">
        <v>78</v>
      </c>
      <c r="C17" s="104" t="s">
        <v>36</v>
      </c>
      <c r="D17" s="75">
        <v>0.9</v>
      </c>
      <c r="E17" s="76">
        <v>45958</v>
      </c>
      <c r="F17" s="76">
        <v>46173</v>
      </c>
      <c r="G17" s="77"/>
      <c r="H17" s="78">
        <f t="shared" si="3"/>
        <v>216</v>
      </c>
      <c r="I17" s="6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25" customFormat="1" ht="25" customHeight="1" thickBot="1" x14ac:dyDescent="0.4">
      <c r="A18" s="14"/>
      <c r="B18" s="105" t="s">
        <v>79</v>
      </c>
      <c r="C18" s="106" t="s">
        <v>36</v>
      </c>
      <c r="D18" s="71">
        <v>0.85</v>
      </c>
      <c r="E18" s="72">
        <v>45958</v>
      </c>
      <c r="F18" s="72">
        <v>45991</v>
      </c>
      <c r="G18" s="73"/>
      <c r="H18" s="48">
        <f t="shared" si="3"/>
        <v>34</v>
      </c>
      <c r="I18" s="68"/>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25" customFormat="1" ht="25" customHeight="1" thickBot="1" x14ac:dyDescent="0.4">
      <c r="A19" s="14"/>
      <c r="B19" s="103" t="s">
        <v>80</v>
      </c>
      <c r="C19" s="104" t="s">
        <v>36</v>
      </c>
      <c r="D19" s="75">
        <v>0.9</v>
      </c>
      <c r="E19" s="76">
        <v>45978</v>
      </c>
      <c r="F19" s="76">
        <f>+WORKDAY(E19,2)</f>
        <v>45980</v>
      </c>
      <c r="G19" s="77"/>
      <c r="H19" s="78">
        <f t="shared" si="3"/>
        <v>3</v>
      </c>
      <c r="I19" s="68"/>
      <c r="J19" s="6"/>
      <c r="K19" s="6"/>
      <c r="L19" s="6"/>
      <c r="M19" s="6"/>
      <c r="N19" s="6"/>
      <c r="O19" s="6"/>
      <c r="P19" s="6"/>
      <c r="Q19" s="6"/>
      <c r="R19" s="6"/>
      <c r="S19" s="6"/>
      <c r="T19" s="6"/>
      <c r="U19" s="6"/>
      <c r="V19" s="6"/>
      <c r="W19" s="6"/>
      <c r="X19" s="6"/>
      <c r="Y19" s="7"/>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25" customFormat="1" ht="25" customHeight="1" thickBot="1" x14ac:dyDescent="0.4">
      <c r="A20" s="14"/>
      <c r="B20" s="105" t="s">
        <v>82</v>
      </c>
      <c r="C20" s="106" t="s">
        <v>36</v>
      </c>
      <c r="D20" s="71">
        <v>0.2</v>
      </c>
      <c r="E20" s="72">
        <v>45959</v>
      </c>
      <c r="F20" s="72">
        <f>+WORKDAY(E20,10)</f>
        <v>45973</v>
      </c>
      <c r="G20" s="73"/>
      <c r="H20" s="48">
        <f t="shared" si="3"/>
        <v>15</v>
      </c>
      <c r="I20" s="68"/>
      <c r="J20" s="6"/>
      <c r="K20" s="6"/>
      <c r="L20" s="6"/>
      <c r="M20" s="6"/>
      <c r="N20" s="6"/>
      <c r="O20" s="6"/>
      <c r="P20" s="6"/>
      <c r="Q20" s="6"/>
      <c r="R20" s="6"/>
      <c r="S20" s="6"/>
      <c r="T20" s="6"/>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25" customFormat="1" ht="25" customHeight="1" thickBot="1" x14ac:dyDescent="0.4">
      <c r="A21" s="121"/>
      <c r="B21" s="103" t="s">
        <v>83</v>
      </c>
      <c r="C21" s="104" t="s">
        <v>36</v>
      </c>
      <c r="D21" s="75">
        <v>0.5</v>
      </c>
      <c r="E21" s="76">
        <v>45992</v>
      </c>
      <c r="F21" s="76">
        <v>46000</v>
      </c>
      <c r="G21" s="77"/>
      <c r="H21" s="78">
        <f t="shared" si="3"/>
        <v>9</v>
      </c>
      <c r="I21" s="68"/>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25" customFormat="1" ht="25" customHeight="1" thickBot="1" x14ac:dyDescent="0.4">
      <c r="A22" s="121"/>
      <c r="B22" s="105" t="s">
        <v>81</v>
      </c>
      <c r="C22" s="106" t="s">
        <v>36</v>
      </c>
      <c r="D22" s="71">
        <v>0</v>
      </c>
      <c r="E22" s="72">
        <f>+F20+1</f>
        <v>45974</v>
      </c>
      <c r="F22" s="72">
        <f>+WORKDAY(E22,4)</f>
        <v>45980</v>
      </c>
      <c r="G22" s="73"/>
      <c r="H22" s="48">
        <f t="shared" si="3"/>
        <v>7</v>
      </c>
      <c r="I22" s="68"/>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25" customFormat="1" ht="25" customHeight="1" thickBot="1" x14ac:dyDescent="0.4">
      <c r="A23" s="14"/>
      <c r="B23" s="103" t="s">
        <v>62</v>
      </c>
      <c r="C23" s="104" t="s">
        <v>36</v>
      </c>
      <c r="D23" s="75">
        <v>0</v>
      </c>
      <c r="E23" s="76">
        <f>+F19+1</f>
        <v>45981</v>
      </c>
      <c r="F23" s="76">
        <f>+WORKDAY(E23,3)</f>
        <v>45986</v>
      </c>
      <c r="G23" s="77"/>
      <c r="H23" s="78">
        <f t="shared" si="3"/>
        <v>6</v>
      </c>
      <c r="I23" s="68"/>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row>
    <row r="24" spans="1:64" s="27" customFormat="1" ht="25" customHeight="1" x14ac:dyDescent="0.35">
      <c r="A24" s="121"/>
      <c r="B24" s="108" t="s">
        <v>68</v>
      </c>
      <c r="C24" s="109" t="s">
        <v>36</v>
      </c>
      <c r="D24" s="110">
        <v>0</v>
      </c>
      <c r="E24" s="111">
        <f>+F23+1</f>
        <v>45987</v>
      </c>
      <c r="F24" s="111">
        <f>+WORKDAY(E24,4)</f>
        <v>45993</v>
      </c>
      <c r="G24" s="112"/>
      <c r="H24" s="113">
        <f t="shared" si="3"/>
        <v>7</v>
      </c>
      <c r="I24" s="83"/>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s="28" customFormat="1" ht="25" customHeight="1" thickBot="1" x14ac:dyDescent="0.4">
      <c r="A25" s="14" t="s">
        <v>11</v>
      </c>
      <c r="B25" s="99" t="s">
        <v>38</v>
      </c>
      <c r="C25" s="100"/>
      <c r="D25" s="60">
        <f>+AVERAGE(D26:D41)</f>
        <v>0.39437499999999998</v>
      </c>
      <c r="E25" s="62"/>
      <c r="F25" s="101">
        <f>+F41-E26+1</f>
        <v>74</v>
      </c>
      <c r="G25" s="62"/>
      <c r="H25" s="102"/>
    </row>
    <row r="26" spans="1:64" s="24" customFormat="1" ht="25" customHeight="1" thickBot="1" x14ac:dyDescent="0.4">
      <c r="A26" s="14"/>
      <c r="B26" s="105" t="s">
        <v>58</v>
      </c>
      <c r="C26" s="106" t="s">
        <v>36</v>
      </c>
      <c r="D26" s="71">
        <v>0</v>
      </c>
      <c r="E26" s="72">
        <v>45962</v>
      </c>
      <c r="F26" s="72">
        <f>+WORKDAY(E26,4)</f>
        <v>45967</v>
      </c>
      <c r="G26" s="73"/>
      <c r="H26" s="48">
        <f t="shared" si="3"/>
        <v>6</v>
      </c>
      <c r="I26" s="64"/>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s="25" customFormat="1" ht="25" customHeight="1" thickBot="1" x14ac:dyDescent="0.4">
      <c r="A27" s="121" t="s">
        <v>9</v>
      </c>
      <c r="B27" s="103" t="s">
        <v>39</v>
      </c>
      <c r="C27" s="104" t="s">
        <v>36</v>
      </c>
      <c r="D27" s="75">
        <v>0.9</v>
      </c>
      <c r="E27" s="76">
        <f>+F26</f>
        <v>45967</v>
      </c>
      <c r="F27" s="76">
        <f>+WORKDAY(E27,0)</f>
        <v>45967</v>
      </c>
      <c r="G27" s="77"/>
      <c r="H27" s="78">
        <f t="shared" si="3"/>
        <v>1</v>
      </c>
      <c r="I27" s="68"/>
      <c r="J27" s="6"/>
      <c r="K27" s="6"/>
      <c r="L27" s="6"/>
      <c r="M27" s="6"/>
      <c r="N27" s="6"/>
      <c r="O27" s="6"/>
      <c r="P27" s="6"/>
      <c r="Q27" s="6"/>
      <c r="R27" s="6"/>
      <c r="S27" s="6"/>
      <c r="T27" s="6"/>
      <c r="U27" s="7"/>
      <c r="V27" s="7"/>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25" customFormat="1" ht="25" customHeight="1" thickBot="1" x14ac:dyDescent="0.4">
      <c r="A28" s="14"/>
      <c r="B28" s="105" t="s">
        <v>41</v>
      </c>
      <c r="C28" s="106" t="s">
        <v>36</v>
      </c>
      <c r="D28" s="71">
        <v>0.9</v>
      </c>
      <c r="E28" s="72">
        <f>+F27+0</f>
        <v>45967</v>
      </c>
      <c r="F28" s="72">
        <f>+WORKDAY(E28,0)</f>
        <v>45967</v>
      </c>
      <c r="G28" s="73"/>
      <c r="H28" s="48">
        <f t="shared" si="3"/>
        <v>1</v>
      </c>
      <c r="I28" s="6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25" customFormat="1" ht="25" customHeight="1" thickBot="1" x14ac:dyDescent="0.4">
      <c r="A29" s="14"/>
      <c r="B29" s="103" t="s">
        <v>45</v>
      </c>
      <c r="C29" s="104" t="s">
        <v>36</v>
      </c>
      <c r="D29" s="75">
        <v>0.7</v>
      </c>
      <c r="E29" s="76">
        <f>+F26+1</f>
        <v>45968</v>
      </c>
      <c r="F29" s="76">
        <f>+WORKDAY(E29,3)</f>
        <v>45973</v>
      </c>
      <c r="G29" s="77"/>
      <c r="H29" s="78">
        <f t="shared" si="3"/>
        <v>6</v>
      </c>
      <c r="I29" s="68"/>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25" customFormat="1" ht="25" customHeight="1" thickBot="1" x14ac:dyDescent="0.4">
      <c r="A30" s="14"/>
      <c r="B30" s="105" t="s">
        <v>46</v>
      </c>
      <c r="C30" s="106" t="s">
        <v>36</v>
      </c>
      <c r="D30" s="71">
        <v>0.2</v>
      </c>
      <c r="E30" s="72">
        <f t="shared" ref="E30:E41" si="4">+F29+1</f>
        <v>45974</v>
      </c>
      <c r="F30" s="72">
        <f>+WORKDAY(E30,3)</f>
        <v>45979</v>
      </c>
      <c r="G30" s="73"/>
      <c r="H30" s="48">
        <f t="shared" si="3"/>
        <v>6</v>
      </c>
      <c r="I30" s="68"/>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25" customFormat="1" ht="25" customHeight="1" thickBot="1" x14ac:dyDescent="0.4">
      <c r="A31" s="14"/>
      <c r="B31" s="103" t="s">
        <v>73</v>
      </c>
      <c r="C31" s="104" t="s">
        <v>36</v>
      </c>
      <c r="D31" s="75">
        <v>0.01</v>
      </c>
      <c r="E31" s="76">
        <f>+F30+1</f>
        <v>45980</v>
      </c>
      <c r="F31" s="76">
        <f>+WORKDAY(E31,1)</f>
        <v>45981</v>
      </c>
      <c r="G31" s="77"/>
      <c r="H31" s="78">
        <f t="shared" si="3"/>
        <v>2</v>
      </c>
      <c r="I31" s="68"/>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25" customFormat="1" ht="25" customHeight="1" thickBot="1" x14ac:dyDescent="0.4">
      <c r="A32" s="14"/>
      <c r="B32" s="105" t="s">
        <v>51</v>
      </c>
      <c r="C32" s="106" t="s">
        <v>36</v>
      </c>
      <c r="D32" s="71">
        <v>0.5</v>
      </c>
      <c r="E32" s="72">
        <f t="shared" si="4"/>
        <v>45982</v>
      </c>
      <c r="F32" s="72">
        <f>+WORKDAY(E32,3)</f>
        <v>45987</v>
      </c>
      <c r="G32" s="73"/>
      <c r="H32" s="48">
        <f t="shared" si="3"/>
        <v>6</v>
      </c>
      <c r="I32" s="68"/>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25" customFormat="1" ht="25" customHeight="1" thickBot="1" x14ac:dyDescent="0.4">
      <c r="A33" s="14"/>
      <c r="B33" s="103" t="s">
        <v>52</v>
      </c>
      <c r="C33" s="104" t="s">
        <v>36</v>
      </c>
      <c r="D33" s="75">
        <v>0.5</v>
      </c>
      <c r="E33" s="76">
        <f t="shared" si="4"/>
        <v>45988</v>
      </c>
      <c r="F33" s="76">
        <f>+WORKDAY(E33,3)</f>
        <v>45993</v>
      </c>
      <c r="G33" s="77"/>
      <c r="H33" s="78">
        <f t="shared" si="3"/>
        <v>6</v>
      </c>
      <c r="I33" s="6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25" customFormat="1" ht="25" customHeight="1" thickBot="1" x14ac:dyDescent="0.4">
      <c r="A34" s="14"/>
      <c r="B34" s="105" t="s">
        <v>49</v>
      </c>
      <c r="C34" s="106" t="s">
        <v>36</v>
      </c>
      <c r="D34" s="71">
        <v>0.5</v>
      </c>
      <c r="E34" s="72">
        <f t="shared" si="4"/>
        <v>45994</v>
      </c>
      <c r="F34" s="72">
        <f>+WORKDAY(E34,3)</f>
        <v>45999</v>
      </c>
      <c r="G34" s="73"/>
      <c r="H34" s="48">
        <f t="shared" si="3"/>
        <v>6</v>
      </c>
      <c r="I34" s="6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25" customFormat="1" ht="25" customHeight="1" thickBot="1" x14ac:dyDescent="0.4">
      <c r="A35" s="14"/>
      <c r="B35" s="103" t="s">
        <v>50</v>
      </c>
      <c r="C35" s="104" t="s">
        <v>36</v>
      </c>
      <c r="D35" s="75">
        <v>0.5</v>
      </c>
      <c r="E35" s="76">
        <f t="shared" si="4"/>
        <v>46000</v>
      </c>
      <c r="F35" s="76">
        <f>+WORKDAY(E35,3)</f>
        <v>46003</v>
      </c>
      <c r="G35" s="77"/>
      <c r="H35" s="78">
        <f t="shared" si="3"/>
        <v>4</v>
      </c>
      <c r="I35" s="68"/>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25" customFormat="1" ht="25" customHeight="1" thickBot="1" x14ac:dyDescent="0.4">
      <c r="A36" s="14"/>
      <c r="B36" s="105" t="s">
        <v>48</v>
      </c>
      <c r="C36" s="106" t="s">
        <v>36</v>
      </c>
      <c r="D36" s="71">
        <v>0.8</v>
      </c>
      <c r="E36" s="72">
        <f t="shared" si="4"/>
        <v>46004</v>
      </c>
      <c r="F36" s="72">
        <f>+WORKDAY(E36,2)</f>
        <v>46007</v>
      </c>
      <c r="G36" s="73"/>
      <c r="H36" s="48">
        <f t="shared" si="3"/>
        <v>4</v>
      </c>
      <c r="I36" s="6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25" customFormat="1" ht="25" customHeight="1" thickBot="1" x14ac:dyDescent="0.4">
      <c r="A37" s="14"/>
      <c r="B37" s="103" t="s">
        <v>72</v>
      </c>
      <c r="C37" s="104" t="s">
        <v>36</v>
      </c>
      <c r="D37" s="75">
        <v>0.1</v>
      </c>
      <c r="E37" s="76">
        <f t="shared" si="4"/>
        <v>46008</v>
      </c>
      <c r="F37" s="76">
        <f>+WORKDAY(E37,3)</f>
        <v>46013</v>
      </c>
      <c r="G37" s="77"/>
      <c r="H37" s="78"/>
      <c r="I37" s="68"/>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spans="1:64" s="25" customFormat="1" ht="25" customHeight="1" thickBot="1" x14ac:dyDescent="0.4">
      <c r="A38" s="14"/>
      <c r="B38" s="105" t="s">
        <v>53</v>
      </c>
      <c r="C38" s="106" t="s">
        <v>36</v>
      </c>
      <c r="D38" s="71">
        <v>0</v>
      </c>
      <c r="E38" s="72">
        <f t="shared" si="4"/>
        <v>46014</v>
      </c>
      <c r="F38" s="72">
        <f>+WORKDAY(E38,3)</f>
        <v>46017</v>
      </c>
      <c r="G38" s="73"/>
      <c r="H38" s="48"/>
      <c r="I38" s="68"/>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spans="1:64" s="25" customFormat="1" ht="25" customHeight="1" thickBot="1" x14ac:dyDescent="0.4">
      <c r="A39" s="14"/>
      <c r="B39" s="103" t="s">
        <v>54</v>
      </c>
      <c r="C39" s="104" t="s">
        <v>36</v>
      </c>
      <c r="D39" s="75">
        <v>0</v>
      </c>
      <c r="E39" s="76">
        <f t="shared" si="4"/>
        <v>46018</v>
      </c>
      <c r="F39" s="76">
        <f>+WORKDAY(E39,3)</f>
        <v>46022</v>
      </c>
      <c r="G39" s="77"/>
      <c r="H39" s="78"/>
      <c r="I39" s="6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spans="1:64" s="25" customFormat="1" ht="25" customHeight="1" thickBot="1" x14ac:dyDescent="0.4">
      <c r="A40" s="14"/>
      <c r="B40" s="105" t="s">
        <v>55</v>
      </c>
      <c r="C40" s="106" t="s">
        <v>36</v>
      </c>
      <c r="D40" s="71">
        <v>0.5</v>
      </c>
      <c r="E40" s="72">
        <f t="shared" si="4"/>
        <v>46023</v>
      </c>
      <c r="F40" s="72">
        <f>+WORKDAY(E40,1)</f>
        <v>46024</v>
      </c>
      <c r="G40" s="73"/>
      <c r="H40" s="48"/>
      <c r="I40" s="68"/>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row>
    <row r="41" spans="1:64" s="27" customFormat="1" ht="25" customHeight="1" x14ac:dyDescent="0.35">
      <c r="A41" s="14"/>
      <c r="B41" s="103" t="s">
        <v>69</v>
      </c>
      <c r="C41" s="104" t="s">
        <v>36</v>
      </c>
      <c r="D41" s="75">
        <v>0.2</v>
      </c>
      <c r="E41" s="76">
        <f t="shared" si="4"/>
        <v>46025</v>
      </c>
      <c r="F41" s="76">
        <f>+WORKDAY(E41,7)</f>
        <v>46035</v>
      </c>
      <c r="G41" s="77"/>
      <c r="H41" s="78">
        <f t="shared" si="3"/>
        <v>11</v>
      </c>
      <c r="I41" s="83"/>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row>
    <row r="42" spans="1:64" s="30" customFormat="1" ht="25" customHeight="1" thickBot="1" x14ac:dyDescent="0.4">
      <c r="A42" s="14" t="s">
        <v>11</v>
      </c>
      <c r="B42" s="99" t="s">
        <v>74</v>
      </c>
      <c r="C42" s="100"/>
      <c r="D42" s="60">
        <f>+AVERAGE(D43:D45)</f>
        <v>3.3333333333333333E-2</v>
      </c>
      <c r="E42" s="62"/>
      <c r="F42" s="101">
        <f>+F45-E43+1</f>
        <v>38</v>
      </c>
      <c r="G42" s="62"/>
      <c r="H42" s="102"/>
    </row>
    <row r="43" spans="1:64" s="24" customFormat="1" ht="25" customHeight="1" thickBot="1" x14ac:dyDescent="0.4">
      <c r="A43" s="14"/>
      <c r="B43" s="103" t="s">
        <v>59</v>
      </c>
      <c r="C43" s="114" t="s">
        <v>71</v>
      </c>
      <c r="D43" s="75">
        <v>0.1</v>
      </c>
      <c r="E43" s="76">
        <v>45958</v>
      </c>
      <c r="F43" s="76">
        <f>+WORKDAY(E43,5)</f>
        <v>45965</v>
      </c>
      <c r="G43" s="77"/>
      <c r="H43" s="78">
        <f t="shared" si="3"/>
        <v>8</v>
      </c>
      <c r="I43" s="64"/>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1:64" s="25" customFormat="1" ht="25" customHeight="1" thickBot="1" x14ac:dyDescent="0.4">
      <c r="A44" s="14"/>
      <c r="B44" s="105" t="s">
        <v>60</v>
      </c>
      <c r="C44" s="115" t="s">
        <v>71</v>
      </c>
      <c r="D44" s="71">
        <v>0</v>
      </c>
      <c r="E44" s="72">
        <f>+F43+1</f>
        <v>45966</v>
      </c>
      <c r="F44" s="72">
        <f>+WORKDAY(E44,10)</f>
        <v>45980</v>
      </c>
      <c r="G44" s="73"/>
      <c r="H44" s="48">
        <f t="shared" si="3"/>
        <v>15</v>
      </c>
      <c r="I44" s="68"/>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row>
    <row r="45" spans="1:64" s="27" customFormat="1" ht="25" customHeight="1" x14ac:dyDescent="0.35">
      <c r="A45" s="14"/>
      <c r="B45" s="116" t="s">
        <v>61</v>
      </c>
      <c r="C45" s="117" t="s">
        <v>71</v>
      </c>
      <c r="D45" s="84">
        <v>0</v>
      </c>
      <c r="E45" s="85">
        <f>+F44+1</f>
        <v>45981</v>
      </c>
      <c r="F45" s="85">
        <f>+WORKDAY(E45,10)</f>
        <v>45995</v>
      </c>
      <c r="G45" s="86"/>
      <c r="H45" s="87">
        <f t="shared" si="3"/>
        <v>15</v>
      </c>
      <c r="I45" s="83"/>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row>
    <row r="46" spans="1:64" ht="30" customHeight="1" x14ac:dyDescent="0.35">
      <c r="G46" s="3"/>
    </row>
    <row r="47" spans="1:64" ht="30" customHeight="1" x14ac:dyDescent="0.35">
      <c r="C47" s="4"/>
      <c r="F47" s="15"/>
    </row>
    <row r="48" spans="1:64" ht="30" customHeight="1" x14ac:dyDescent="0.35">
      <c r="C48" s="5"/>
    </row>
    <row r="69" spans="2:2" ht="30" customHeight="1" x14ac:dyDescent="0.35">
      <c r="B69" t="s">
        <v>73</v>
      </c>
    </row>
    <row r="70" spans="2:2" ht="30" customHeight="1" x14ac:dyDescent="0.35">
      <c r="B70" t="s">
        <v>57</v>
      </c>
    </row>
  </sheetData>
  <mergeCells count="11">
    <mergeCell ref="W4:AC4"/>
    <mergeCell ref="C3:D3"/>
    <mergeCell ref="E3:F3"/>
    <mergeCell ref="C4:D4"/>
    <mergeCell ref="I4:O4"/>
    <mergeCell ref="P4:V4"/>
    <mergeCell ref="AD4:AJ4"/>
    <mergeCell ref="AK4:AQ4"/>
    <mergeCell ref="AR4:AX4"/>
    <mergeCell ref="AY4:BE4"/>
    <mergeCell ref="BF4:BL4"/>
  </mergeCells>
  <conditionalFormatting sqref="D7:D45">
    <cfRule type="dataBar" priority="1">
      <dataBar>
        <cfvo type="num" val="0"/>
        <cfvo type="num" val="1"/>
        <color theme="0" tint="-0.249977111117893"/>
      </dataBar>
      <extLst>
        <ext xmlns:x14="http://schemas.microsoft.com/office/spreadsheetml/2009/9/main" uri="{B025F937-C7B1-47D3-B67F-A62EFF666E3E}">
          <x14:id>{FF296BB3-51B8-4EB0-A97C-ADA584C50281}</x14:id>
        </ext>
      </extLst>
    </cfRule>
  </conditionalFormatting>
  <conditionalFormatting sqref="I5:BL7 G9:BL15 I16:BL24 I26:BL45">
    <cfRule type="expression" dxfId="22" priority="4">
      <formula>AND(TODAY()&gt;=G$5,TODAY()&lt;H$5)</formula>
    </cfRule>
  </conditionalFormatting>
  <conditionalFormatting sqref="I7:BL7 G9:BL15 I16:BL24 I26:BL45">
    <cfRule type="expression" dxfId="21" priority="2">
      <formula>AND(task_start&lt;=G$5,ROUNDDOWN((task_end-task_start+1)*task_progress,0)+task_start-1&gt;=G$5)</formula>
    </cfRule>
    <cfRule type="expression" dxfId="20" priority="3" stopIfTrue="1">
      <formula>AND(task_end&gt;=G$5,task_start&lt;H$5)</formula>
    </cfRule>
  </conditionalFormatting>
  <dataValidations count="1">
    <dataValidation type="whole" operator="greaterThanOrEqual" allowBlank="1" showInputMessage="1" promptTitle="Mostrar semana" prompt="Al cambiar este número, se desplazará la vista del diagrama de Gantt." sqref="E4" xr:uid="{FFB77F12-F107-4EC7-9D01-5842BC5525EE}">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FF296BB3-51B8-4EB0-A97C-ADA584C50281}">
            <x14:dataBar minLength="0" maxLength="100" gradient="0">
              <x14:cfvo type="num">
                <xm:f>0</xm:f>
              </x14:cfvo>
              <x14:cfvo type="num">
                <xm:f>1</xm:f>
              </x14:cfvo>
              <x14:negativeFillColor rgb="FFFF0000"/>
              <x14:axisColor rgb="FF000000"/>
            </x14:dataBar>
          </x14:cfRule>
          <xm:sqref>D7:D45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9"/>
  <sheetViews>
    <sheetView showGridLines="0" showRuler="0" zoomScale="90" zoomScaleNormal="90" zoomScalePageLayoutView="70" workbookViewId="0">
      <pane ySplit="6" topLeftCell="A7" activePane="bottomLeft" state="frozen"/>
      <selection pane="bottomLeft" activeCell="K1" sqref="K1"/>
    </sheetView>
  </sheetViews>
  <sheetFormatPr baseColWidth="10" defaultColWidth="9.1796875" defaultRowHeight="30" customHeight="1" x14ac:dyDescent="0.35"/>
  <cols>
    <col min="1" max="1" width="2.7265625" style="14" customWidth="1"/>
    <col min="2" max="2" width="64.08984375" bestFit="1" customWidth="1"/>
    <col min="3" max="3" width="26.1796875" bestFit="1" customWidth="1"/>
    <col min="4" max="4" width="10.7265625" customWidth="1"/>
    <col min="5" max="5" width="10.453125" style="2" customWidth="1"/>
    <col min="6" max="6" width="10.453125" customWidth="1"/>
    <col min="7" max="7" width="2.7265625" customWidth="1"/>
    <col min="8" max="8" width="9.453125" hidden="1" customWidth="1"/>
    <col min="9" max="23" width="3.26953125" customWidth="1"/>
    <col min="24" max="24" width="4.08984375" customWidth="1"/>
    <col min="25" max="25" width="2.54296875" bestFit="1" customWidth="1"/>
    <col min="26" max="64" width="3.26953125" customWidth="1"/>
    <col min="69" max="70" width="10.26953125"/>
  </cols>
  <sheetData>
    <row r="1" spans="1:64" ht="30" customHeight="1" x14ac:dyDescent="0.65">
      <c r="A1" s="121" t="s">
        <v>0</v>
      </c>
      <c r="B1" s="92" t="s">
        <v>34</v>
      </c>
      <c r="C1" s="40"/>
      <c r="D1" s="1"/>
      <c r="E1" s="41"/>
      <c r="F1" s="42"/>
      <c r="H1" s="1"/>
      <c r="I1" s="17"/>
    </row>
    <row r="2" spans="1:64" ht="30" customHeight="1" x14ac:dyDescent="0.4">
      <c r="A2" s="14" t="s">
        <v>1</v>
      </c>
      <c r="B2" s="93" t="s">
        <v>35</v>
      </c>
      <c r="I2" s="18"/>
    </row>
    <row r="3" spans="1:64" ht="30" customHeight="1" x14ac:dyDescent="0.35">
      <c r="A3" s="14" t="s">
        <v>2</v>
      </c>
      <c r="B3" s="94" t="s">
        <v>36</v>
      </c>
      <c r="C3" s="175" t="s">
        <v>13</v>
      </c>
      <c r="D3" s="175"/>
      <c r="E3" s="176">
        <v>45958</v>
      </c>
      <c r="F3" s="177"/>
    </row>
    <row r="4" spans="1:64" s="20" customFormat="1" ht="30" customHeight="1" x14ac:dyDescent="0.3">
      <c r="A4" s="122" t="s">
        <v>3</v>
      </c>
      <c r="C4" s="175" t="s">
        <v>14</v>
      </c>
      <c r="D4" s="175"/>
      <c r="E4" s="49">
        <v>1</v>
      </c>
      <c r="I4" s="173">
        <f>I5</f>
        <v>45957</v>
      </c>
      <c r="J4" s="173"/>
      <c r="K4" s="173"/>
      <c r="L4" s="173"/>
      <c r="M4" s="173"/>
      <c r="N4" s="173"/>
      <c r="O4" s="174"/>
      <c r="P4" s="172">
        <f>P5</f>
        <v>45964</v>
      </c>
      <c r="Q4" s="173"/>
      <c r="R4" s="173"/>
      <c r="S4" s="173"/>
      <c r="T4" s="173"/>
      <c r="U4" s="173"/>
      <c r="V4" s="174"/>
      <c r="W4" s="172">
        <f>W5</f>
        <v>45971</v>
      </c>
      <c r="X4" s="173"/>
      <c r="Y4" s="173"/>
      <c r="Z4" s="173"/>
      <c r="AA4" s="173"/>
      <c r="AB4" s="173"/>
      <c r="AC4" s="174"/>
      <c r="AD4" s="172">
        <f>AD5</f>
        <v>45978</v>
      </c>
      <c r="AE4" s="173"/>
      <c r="AF4" s="173"/>
      <c r="AG4" s="173"/>
      <c r="AH4" s="173"/>
      <c r="AI4" s="173"/>
      <c r="AJ4" s="174"/>
      <c r="AK4" s="172">
        <f>AK5</f>
        <v>45985</v>
      </c>
      <c r="AL4" s="173"/>
      <c r="AM4" s="173"/>
      <c r="AN4" s="173"/>
      <c r="AO4" s="173"/>
      <c r="AP4" s="173"/>
      <c r="AQ4" s="174"/>
      <c r="AR4" s="172">
        <f>AR5</f>
        <v>45992</v>
      </c>
      <c r="AS4" s="173"/>
      <c r="AT4" s="173"/>
      <c r="AU4" s="173"/>
      <c r="AV4" s="173"/>
      <c r="AW4" s="173"/>
      <c r="AX4" s="174"/>
      <c r="AY4" s="172">
        <f>AY5</f>
        <v>45999</v>
      </c>
      <c r="AZ4" s="173"/>
      <c r="BA4" s="173"/>
      <c r="BB4" s="173"/>
      <c r="BC4" s="173"/>
      <c r="BD4" s="173"/>
      <c r="BE4" s="174"/>
      <c r="BF4" s="172">
        <f>BF5</f>
        <v>46006</v>
      </c>
      <c r="BG4" s="173"/>
      <c r="BH4" s="173"/>
      <c r="BI4" s="173"/>
      <c r="BJ4" s="173"/>
      <c r="BK4" s="173"/>
      <c r="BL4" s="174"/>
    </row>
    <row r="5" spans="1:64" ht="15" customHeight="1" x14ac:dyDescent="0.35">
      <c r="A5" s="121" t="s">
        <v>4</v>
      </c>
      <c r="E5"/>
      <c r="I5" s="89">
        <f>Inicio_del_proyecto-WEEKDAY(Inicio_del_proyecto,1)+2+7*(Semana_para_mostrar-1)</f>
        <v>45957</v>
      </c>
      <c r="J5" s="89">
        <f>I5+1</f>
        <v>45958</v>
      </c>
      <c r="K5" s="89">
        <f t="shared" ref="K5:AX5" si="0">J5+1</f>
        <v>45959</v>
      </c>
      <c r="L5" s="89">
        <f t="shared" si="0"/>
        <v>45960</v>
      </c>
      <c r="M5" s="89">
        <f t="shared" si="0"/>
        <v>45961</v>
      </c>
      <c r="N5" s="89">
        <f t="shared" si="0"/>
        <v>45962</v>
      </c>
      <c r="O5" s="90">
        <f t="shared" si="0"/>
        <v>45963</v>
      </c>
      <c r="P5" s="88">
        <f>O5+1</f>
        <v>45964</v>
      </c>
      <c r="Q5" s="89">
        <f>P5+1</f>
        <v>45965</v>
      </c>
      <c r="R5" s="89">
        <f t="shared" si="0"/>
        <v>45966</v>
      </c>
      <c r="S5" s="89">
        <f t="shared" si="0"/>
        <v>45967</v>
      </c>
      <c r="T5" s="89">
        <f t="shared" si="0"/>
        <v>45968</v>
      </c>
      <c r="U5" s="89">
        <f t="shared" si="0"/>
        <v>45969</v>
      </c>
      <c r="V5" s="90">
        <f t="shared" si="0"/>
        <v>45970</v>
      </c>
      <c r="W5" s="88">
        <f>V5+1</f>
        <v>45971</v>
      </c>
      <c r="X5" s="89">
        <f>W5+1</f>
        <v>45972</v>
      </c>
      <c r="Y5" s="89">
        <f t="shared" si="0"/>
        <v>45973</v>
      </c>
      <c r="Z5" s="89">
        <f t="shared" si="0"/>
        <v>45974</v>
      </c>
      <c r="AA5" s="89">
        <f t="shared" si="0"/>
        <v>45975</v>
      </c>
      <c r="AB5" s="89">
        <f t="shared" si="0"/>
        <v>45976</v>
      </c>
      <c r="AC5" s="90">
        <f t="shared" si="0"/>
        <v>45977</v>
      </c>
      <c r="AD5" s="88">
        <f>AC5+1</f>
        <v>45978</v>
      </c>
      <c r="AE5" s="89">
        <f>AD5+1</f>
        <v>45979</v>
      </c>
      <c r="AF5" s="89">
        <f t="shared" si="0"/>
        <v>45980</v>
      </c>
      <c r="AG5" s="89">
        <f t="shared" si="0"/>
        <v>45981</v>
      </c>
      <c r="AH5" s="89">
        <f t="shared" si="0"/>
        <v>45982</v>
      </c>
      <c r="AI5" s="89">
        <f t="shared" si="0"/>
        <v>45983</v>
      </c>
      <c r="AJ5" s="90">
        <f t="shared" si="0"/>
        <v>45984</v>
      </c>
      <c r="AK5" s="88">
        <f>AJ5+1</f>
        <v>45985</v>
      </c>
      <c r="AL5" s="89">
        <f>AK5+1</f>
        <v>45986</v>
      </c>
      <c r="AM5" s="89">
        <f t="shared" si="0"/>
        <v>45987</v>
      </c>
      <c r="AN5" s="89">
        <f t="shared" si="0"/>
        <v>45988</v>
      </c>
      <c r="AO5" s="89">
        <f t="shared" si="0"/>
        <v>45989</v>
      </c>
      <c r="AP5" s="89">
        <f t="shared" si="0"/>
        <v>45990</v>
      </c>
      <c r="AQ5" s="90">
        <f t="shared" si="0"/>
        <v>45991</v>
      </c>
      <c r="AR5" s="88">
        <f>AQ5+1</f>
        <v>45992</v>
      </c>
      <c r="AS5" s="89">
        <f>AR5+1</f>
        <v>45993</v>
      </c>
      <c r="AT5" s="89">
        <f t="shared" si="0"/>
        <v>45994</v>
      </c>
      <c r="AU5" s="89">
        <f t="shared" si="0"/>
        <v>45995</v>
      </c>
      <c r="AV5" s="89">
        <f t="shared" si="0"/>
        <v>45996</v>
      </c>
      <c r="AW5" s="89">
        <f t="shared" si="0"/>
        <v>45997</v>
      </c>
      <c r="AX5" s="90">
        <f t="shared" si="0"/>
        <v>45998</v>
      </c>
      <c r="AY5" s="88">
        <f t="shared" ref="AY5:BL5" si="1">AX5+1</f>
        <v>45999</v>
      </c>
      <c r="AZ5" s="89">
        <f t="shared" si="1"/>
        <v>46000</v>
      </c>
      <c r="BA5" s="89">
        <f t="shared" si="1"/>
        <v>46001</v>
      </c>
      <c r="BB5" s="89">
        <f t="shared" si="1"/>
        <v>46002</v>
      </c>
      <c r="BC5" s="89">
        <f t="shared" si="1"/>
        <v>46003</v>
      </c>
      <c r="BD5" s="89">
        <f t="shared" si="1"/>
        <v>46004</v>
      </c>
      <c r="BE5" s="90">
        <f t="shared" si="1"/>
        <v>46005</v>
      </c>
      <c r="BF5" s="88">
        <f t="shared" si="1"/>
        <v>46006</v>
      </c>
      <c r="BG5" s="89">
        <f t="shared" si="1"/>
        <v>46007</v>
      </c>
      <c r="BH5" s="89">
        <f t="shared" si="1"/>
        <v>46008</v>
      </c>
      <c r="BI5" s="89">
        <f t="shared" si="1"/>
        <v>46009</v>
      </c>
      <c r="BJ5" s="89">
        <f t="shared" si="1"/>
        <v>46010</v>
      </c>
      <c r="BK5" s="89">
        <f t="shared" si="1"/>
        <v>46011</v>
      </c>
      <c r="BL5" s="90">
        <f t="shared" si="1"/>
        <v>46012</v>
      </c>
    </row>
    <row r="6" spans="1:64" s="22" customFormat="1" ht="30" customHeight="1" thickBot="1" x14ac:dyDescent="0.35">
      <c r="A6" s="123" t="s">
        <v>5</v>
      </c>
      <c r="B6" s="95" t="s">
        <v>12</v>
      </c>
      <c r="C6" s="50" t="s">
        <v>75</v>
      </c>
      <c r="D6" s="50" t="s">
        <v>15</v>
      </c>
      <c r="E6" s="50" t="s">
        <v>16</v>
      </c>
      <c r="F6" s="50" t="s">
        <v>17</v>
      </c>
      <c r="G6" s="50"/>
      <c r="H6" s="50" t="s">
        <v>18</v>
      </c>
      <c r="I6" s="118" t="str">
        <f>LEFT(TEXT(I5,"ddd"),1)</f>
        <v>l</v>
      </c>
      <c r="J6" s="91" t="str">
        <f t="shared" ref="J6:AR6" si="2">LEFT(TEXT(J5,"ddd"),1)</f>
        <v>m</v>
      </c>
      <c r="K6" s="91" t="str">
        <f t="shared" si="2"/>
        <v>m</v>
      </c>
      <c r="L6" s="91" t="str">
        <f t="shared" si="2"/>
        <v>j</v>
      </c>
      <c r="M6" s="91" t="str">
        <f t="shared" si="2"/>
        <v>v</v>
      </c>
      <c r="N6" s="91" t="str">
        <f t="shared" si="2"/>
        <v>s</v>
      </c>
      <c r="O6" s="91" t="str">
        <f t="shared" si="2"/>
        <v>d</v>
      </c>
      <c r="P6" s="91" t="str">
        <f t="shared" si="2"/>
        <v>l</v>
      </c>
      <c r="Q6" s="91" t="str">
        <f t="shared" si="2"/>
        <v>m</v>
      </c>
      <c r="R6" s="91" t="str">
        <f t="shared" si="2"/>
        <v>m</v>
      </c>
      <c r="S6" s="91" t="str">
        <f t="shared" si="2"/>
        <v>j</v>
      </c>
      <c r="T6" s="91" t="str">
        <f t="shared" si="2"/>
        <v>v</v>
      </c>
      <c r="U6" s="91" t="str">
        <f t="shared" si="2"/>
        <v>s</v>
      </c>
      <c r="V6" s="91" t="str">
        <f t="shared" si="2"/>
        <v>d</v>
      </c>
      <c r="W6" s="91" t="str">
        <f t="shared" si="2"/>
        <v>l</v>
      </c>
      <c r="X6" s="91" t="str">
        <f t="shared" si="2"/>
        <v>m</v>
      </c>
      <c r="Y6" s="91" t="str">
        <f t="shared" si="2"/>
        <v>m</v>
      </c>
      <c r="Z6" s="91" t="str">
        <f t="shared" si="2"/>
        <v>j</v>
      </c>
      <c r="AA6" s="91" t="str">
        <f t="shared" si="2"/>
        <v>v</v>
      </c>
      <c r="AB6" s="91" t="str">
        <f t="shared" si="2"/>
        <v>s</v>
      </c>
      <c r="AC6" s="91" t="str">
        <f t="shared" si="2"/>
        <v>d</v>
      </c>
      <c r="AD6" s="91" t="str">
        <f t="shared" si="2"/>
        <v>l</v>
      </c>
      <c r="AE6" s="91" t="str">
        <f t="shared" si="2"/>
        <v>m</v>
      </c>
      <c r="AF6" s="91" t="str">
        <f t="shared" si="2"/>
        <v>m</v>
      </c>
      <c r="AG6" s="91" t="str">
        <f t="shared" si="2"/>
        <v>j</v>
      </c>
      <c r="AH6" s="91" t="str">
        <f t="shared" si="2"/>
        <v>v</v>
      </c>
      <c r="AI6" s="91" t="str">
        <f t="shared" si="2"/>
        <v>s</v>
      </c>
      <c r="AJ6" s="91" t="str">
        <f t="shared" si="2"/>
        <v>d</v>
      </c>
      <c r="AK6" s="91" t="str">
        <f t="shared" si="2"/>
        <v>l</v>
      </c>
      <c r="AL6" s="91" t="str">
        <f t="shared" si="2"/>
        <v>m</v>
      </c>
      <c r="AM6" s="91" t="str">
        <f t="shared" si="2"/>
        <v>m</v>
      </c>
      <c r="AN6" s="91" t="str">
        <f t="shared" si="2"/>
        <v>j</v>
      </c>
      <c r="AO6" s="91" t="str">
        <f t="shared" si="2"/>
        <v>v</v>
      </c>
      <c r="AP6" s="91" t="str">
        <f t="shared" si="2"/>
        <v>s</v>
      </c>
      <c r="AQ6" s="91" t="str">
        <f t="shared" si="2"/>
        <v>d</v>
      </c>
      <c r="AR6" s="91" t="str">
        <f t="shared" si="2"/>
        <v>l</v>
      </c>
      <c r="AS6" s="91" t="str">
        <f t="shared" ref="AS6:BL6" si="3">LEFT(TEXT(AS5,"ddd"),1)</f>
        <v>m</v>
      </c>
      <c r="AT6" s="91" t="str">
        <f t="shared" si="3"/>
        <v>m</v>
      </c>
      <c r="AU6" s="91" t="str">
        <f t="shared" si="3"/>
        <v>j</v>
      </c>
      <c r="AV6" s="91" t="str">
        <f t="shared" si="3"/>
        <v>v</v>
      </c>
      <c r="AW6" s="91" t="str">
        <f t="shared" si="3"/>
        <v>s</v>
      </c>
      <c r="AX6" s="91" t="str">
        <f t="shared" si="3"/>
        <v>d</v>
      </c>
      <c r="AY6" s="91" t="str">
        <f t="shared" si="3"/>
        <v>l</v>
      </c>
      <c r="AZ6" s="91" t="str">
        <f t="shared" si="3"/>
        <v>m</v>
      </c>
      <c r="BA6" s="91" t="str">
        <f t="shared" si="3"/>
        <v>m</v>
      </c>
      <c r="BB6" s="91" t="str">
        <f t="shared" si="3"/>
        <v>j</v>
      </c>
      <c r="BC6" s="91" t="str">
        <f t="shared" si="3"/>
        <v>v</v>
      </c>
      <c r="BD6" s="91" t="str">
        <f t="shared" si="3"/>
        <v>s</v>
      </c>
      <c r="BE6" s="91" t="str">
        <f t="shared" si="3"/>
        <v>d</v>
      </c>
      <c r="BF6" s="91" t="str">
        <f t="shared" si="3"/>
        <v>l</v>
      </c>
      <c r="BG6" s="91" t="str">
        <f t="shared" si="3"/>
        <v>m</v>
      </c>
      <c r="BH6" s="91" t="str">
        <f t="shared" si="3"/>
        <v>m</v>
      </c>
      <c r="BI6" s="91" t="str">
        <f t="shared" si="3"/>
        <v>j</v>
      </c>
      <c r="BJ6" s="91" t="str">
        <f t="shared" si="3"/>
        <v>v</v>
      </c>
      <c r="BK6" s="91" t="str">
        <f t="shared" si="3"/>
        <v>s</v>
      </c>
      <c r="BL6" s="91" t="str">
        <f t="shared" si="3"/>
        <v>d</v>
      </c>
    </row>
    <row r="7" spans="1:64" ht="1.5" customHeight="1" thickBot="1" x14ac:dyDescent="0.4">
      <c r="A7" s="14" t="s">
        <v>6</v>
      </c>
      <c r="B7" s="96"/>
      <c r="C7" s="97"/>
      <c r="D7" s="96"/>
      <c r="E7" s="96"/>
      <c r="F7" s="96"/>
      <c r="G7" s="96"/>
      <c r="H7" s="96" t="str">
        <f>IF(OR(ISBLANK(task_start),ISBLANK(task_end)),"",task_end-task_start+1)</f>
        <v/>
      </c>
      <c r="I7" s="68"/>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21" customFormat="1" ht="25" customHeight="1" thickBot="1" x14ac:dyDescent="0.4">
      <c r="A8" s="121" t="s">
        <v>7</v>
      </c>
      <c r="B8" s="99" t="s">
        <v>37</v>
      </c>
      <c r="C8" s="100"/>
      <c r="D8" s="60">
        <f>+AVERAGE(D9:D15)</f>
        <v>0.16428571428571428</v>
      </c>
      <c r="E8" s="62"/>
      <c r="F8" s="101">
        <f>+F15-E11+1</f>
        <v>48</v>
      </c>
      <c r="G8" s="62"/>
      <c r="H8" s="102"/>
    </row>
    <row r="9" spans="1:64" s="24" customFormat="1" ht="25" customHeight="1" thickBot="1" x14ac:dyDescent="0.4">
      <c r="A9" s="121" t="s">
        <v>8</v>
      </c>
      <c r="B9" s="103" t="s">
        <v>42</v>
      </c>
      <c r="C9" s="104" t="s">
        <v>47</v>
      </c>
      <c r="D9" s="75">
        <v>0.2</v>
      </c>
      <c r="E9" s="76">
        <f>Inicio_del_proyecto</f>
        <v>45958</v>
      </c>
      <c r="F9" s="76">
        <f>+WORKDAY(E9,10)</f>
        <v>45972</v>
      </c>
      <c r="G9" s="77"/>
      <c r="H9" s="78">
        <f t="shared" ref="H9:H44" si="4">IF(OR(ISBLANK(task_start),ISBLANK(task_end)),"",task_end-task_start+1)</f>
        <v>15</v>
      </c>
      <c r="I9" s="64"/>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25" customFormat="1" ht="25" customHeight="1" thickBot="1" x14ac:dyDescent="0.4">
      <c r="A10" s="121" t="s">
        <v>8</v>
      </c>
      <c r="B10" s="105" t="s">
        <v>40</v>
      </c>
      <c r="C10" s="106" t="s">
        <v>36</v>
      </c>
      <c r="D10" s="71">
        <v>0.7</v>
      </c>
      <c r="E10" s="72">
        <v>45962</v>
      </c>
      <c r="F10" s="72">
        <f>+WORKDAY(E10,2)</f>
        <v>45965</v>
      </c>
      <c r="G10" s="73"/>
      <c r="H10" s="48">
        <f t="shared" si="4"/>
        <v>4</v>
      </c>
      <c r="I10" s="64"/>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25" customFormat="1" ht="25" customHeight="1" thickBot="1" x14ac:dyDescent="0.4">
      <c r="A11" s="121"/>
      <c r="B11" s="103" t="s">
        <v>56</v>
      </c>
      <c r="C11" s="104" t="s">
        <v>36</v>
      </c>
      <c r="D11" s="75">
        <v>0.25</v>
      </c>
      <c r="E11" s="76">
        <v>46023</v>
      </c>
      <c r="F11" s="76">
        <f>+WORKDAY(E11,7)</f>
        <v>46034</v>
      </c>
      <c r="G11" s="77"/>
      <c r="H11" s="78"/>
      <c r="I11" s="64"/>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25" customFormat="1" ht="25" customHeight="1" thickBot="1" x14ac:dyDescent="0.4">
      <c r="A12" s="14"/>
      <c r="B12" s="105" t="s">
        <v>43</v>
      </c>
      <c r="C12" s="106" t="s">
        <v>36</v>
      </c>
      <c r="D12" s="71">
        <v>0</v>
      </c>
      <c r="E12" s="72">
        <f>+F11+1</f>
        <v>46035</v>
      </c>
      <c r="F12" s="72">
        <f>+WORKDAY(E12,4)</f>
        <v>46041</v>
      </c>
      <c r="G12" s="73"/>
      <c r="H12" s="48">
        <f t="shared" si="4"/>
        <v>7</v>
      </c>
      <c r="I12" s="64"/>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25" customFormat="1" ht="25" customHeight="1" thickBot="1" x14ac:dyDescent="0.4">
      <c r="A13" s="14"/>
      <c r="B13" s="103" t="s">
        <v>44</v>
      </c>
      <c r="C13" s="104" t="s">
        <v>36</v>
      </c>
      <c r="D13" s="75">
        <v>0</v>
      </c>
      <c r="E13" s="76">
        <f>+F12+1</f>
        <v>46042</v>
      </c>
      <c r="F13" s="76">
        <f>+WORKDAY(E13,4)</f>
        <v>46048</v>
      </c>
      <c r="G13" s="77"/>
      <c r="H13" s="78">
        <f t="shared" si="4"/>
        <v>7</v>
      </c>
      <c r="I13" s="64"/>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25" customFormat="1" ht="25" customHeight="1" thickBot="1" x14ac:dyDescent="0.4">
      <c r="A14" s="14"/>
      <c r="B14" s="105" t="s">
        <v>70</v>
      </c>
      <c r="C14" s="106" t="s">
        <v>36</v>
      </c>
      <c r="D14" s="71">
        <v>0</v>
      </c>
      <c r="E14" s="72">
        <f>+F13+1</f>
        <v>46049</v>
      </c>
      <c r="F14" s="72">
        <f>+WORKDAY(E14,7)</f>
        <v>46058</v>
      </c>
      <c r="G14" s="73"/>
      <c r="H14" s="48"/>
      <c r="I14" s="64"/>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27" customFormat="1" ht="25" customHeight="1" x14ac:dyDescent="0.35">
      <c r="A15" s="14"/>
      <c r="B15" s="103" t="s">
        <v>76</v>
      </c>
      <c r="C15" s="104" t="s">
        <v>36</v>
      </c>
      <c r="D15" s="75">
        <v>0</v>
      </c>
      <c r="E15" s="76">
        <f>+F14+1</f>
        <v>46059</v>
      </c>
      <c r="F15" s="76">
        <f>+WORKDAY(E15,7)</f>
        <v>46070</v>
      </c>
      <c r="G15" s="77"/>
      <c r="H15" s="78"/>
      <c r="I15" s="98"/>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29" customFormat="1" ht="25" customHeight="1" thickBot="1" x14ac:dyDescent="0.4">
      <c r="A16" s="121" t="s">
        <v>10</v>
      </c>
      <c r="B16" s="99" t="s">
        <v>65</v>
      </c>
      <c r="C16" s="100"/>
      <c r="D16" s="60">
        <f>+AVERAGE(D17:D23)</f>
        <v>2.8571428571428574E-2</v>
      </c>
      <c r="E16" s="62"/>
      <c r="F16" s="101">
        <f>+F23-E17+1</f>
        <v>36</v>
      </c>
      <c r="G16" s="62"/>
      <c r="H16" s="102"/>
    </row>
    <row r="17" spans="1:64" s="24" customFormat="1" ht="25" customHeight="1" thickBot="1" x14ac:dyDescent="0.4">
      <c r="A17" s="121"/>
      <c r="B17" s="103" t="s">
        <v>67</v>
      </c>
      <c r="C17" s="104" t="s">
        <v>36</v>
      </c>
      <c r="D17" s="75">
        <v>0</v>
      </c>
      <c r="E17" s="76">
        <v>45958</v>
      </c>
      <c r="F17" s="76">
        <f>+WORKDAY(E17,60)</f>
        <v>46042</v>
      </c>
      <c r="G17" s="77"/>
      <c r="H17" s="78">
        <f t="shared" si="4"/>
        <v>85</v>
      </c>
      <c r="I17" s="6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25" customFormat="1" ht="25" customHeight="1" thickBot="1" x14ac:dyDescent="0.4">
      <c r="A18" s="14"/>
      <c r="B18" s="105" t="s">
        <v>64</v>
      </c>
      <c r="C18" s="106" t="s">
        <v>36</v>
      </c>
      <c r="D18" s="71">
        <v>0</v>
      </c>
      <c r="E18" s="72">
        <v>45978</v>
      </c>
      <c r="F18" s="72">
        <f>+WORKDAY(E18,2)</f>
        <v>45980</v>
      </c>
      <c r="G18" s="73"/>
      <c r="H18" s="48">
        <f t="shared" si="4"/>
        <v>3</v>
      </c>
      <c r="I18" s="68"/>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25" customFormat="1" ht="25" customHeight="1" thickBot="1" x14ac:dyDescent="0.4">
      <c r="A19" s="14"/>
      <c r="B19" s="103" t="s">
        <v>63</v>
      </c>
      <c r="C19" s="104" t="s">
        <v>36</v>
      </c>
      <c r="D19" s="75">
        <v>0</v>
      </c>
      <c r="E19" s="76">
        <v>45978</v>
      </c>
      <c r="F19" s="76">
        <f>+WORKDAY(E19,2)</f>
        <v>45980</v>
      </c>
      <c r="G19" s="77"/>
      <c r="H19" s="78">
        <f t="shared" si="4"/>
        <v>3</v>
      </c>
      <c r="I19" s="68"/>
      <c r="J19" s="6"/>
      <c r="K19" s="6"/>
      <c r="L19" s="6"/>
      <c r="M19" s="6"/>
      <c r="N19" s="6"/>
      <c r="O19" s="6"/>
      <c r="P19" s="6"/>
      <c r="Q19" s="6"/>
      <c r="R19" s="6"/>
      <c r="S19" s="6"/>
      <c r="T19" s="6"/>
      <c r="U19" s="6"/>
      <c r="V19" s="6"/>
      <c r="W19" s="6"/>
      <c r="X19" s="6"/>
      <c r="Y19" s="7"/>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25" customFormat="1" ht="25" customHeight="1" thickBot="1" x14ac:dyDescent="0.4">
      <c r="A20" s="14"/>
      <c r="B20" s="105" t="s">
        <v>66</v>
      </c>
      <c r="C20" s="106" t="s">
        <v>36</v>
      </c>
      <c r="D20" s="71">
        <v>0.2</v>
      </c>
      <c r="E20" s="72">
        <v>45959</v>
      </c>
      <c r="F20" s="72">
        <f>+WORKDAY(E20,10)</f>
        <v>45973</v>
      </c>
      <c r="G20" s="73"/>
      <c r="H20" s="48">
        <f t="shared" si="4"/>
        <v>15</v>
      </c>
      <c r="I20" s="68"/>
      <c r="J20" s="6"/>
      <c r="K20" s="6"/>
      <c r="L20" s="6"/>
      <c r="M20" s="6"/>
      <c r="N20" s="6"/>
      <c r="O20" s="6"/>
      <c r="P20" s="6"/>
      <c r="Q20" s="6"/>
      <c r="R20" s="6"/>
      <c r="S20" s="6"/>
      <c r="T20" s="6"/>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25" customFormat="1" ht="25" customHeight="1" thickBot="1" x14ac:dyDescent="0.4">
      <c r="A21" s="121"/>
      <c r="B21" s="103" t="s">
        <v>77</v>
      </c>
      <c r="C21" s="104" t="s">
        <v>36</v>
      </c>
      <c r="D21" s="75">
        <v>0</v>
      </c>
      <c r="E21" s="76">
        <f>+F20+1</f>
        <v>45974</v>
      </c>
      <c r="F21" s="76">
        <f>+WORKDAY(E21,4)</f>
        <v>45980</v>
      </c>
      <c r="G21" s="77"/>
      <c r="H21" s="78">
        <f t="shared" si="4"/>
        <v>7</v>
      </c>
      <c r="I21" s="68"/>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25" customFormat="1" ht="25" customHeight="1" thickBot="1" x14ac:dyDescent="0.4">
      <c r="A22" s="14"/>
      <c r="B22" s="105" t="s">
        <v>62</v>
      </c>
      <c r="C22" s="106" t="s">
        <v>36</v>
      </c>
      <c r="D22" s="71">
        <v>0</v>
      </c>
      <c r="E22" s="72">
        <f>+F19+1</f>
        <v>45981</v>
      </c>
      <c r="F22" s="72">
        <f>+WORKDAY(E22,3)</f>
        <v>45986</v>
      </c>
      <c r="G22" s="73"/>
      <c r="H22" s="48">
        <f t="shared" si="4"/>
        <v>6</v>
      </c>
      <c r="I22" s="68"/>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27" customFormat="1" ht="25" customHeight="1" x14ac:dyDescent="0.35">
      <c r="A23" s="121"/>
      <c r="B23" s="103" t="s">
        <v>68</v>
      </c>
      <c r="C23" s="104" t="s">
        <v>36</v>
      </c>
      <c r="D23" s="75">
        <v>0</v>
      </c>
      <c r="E23" s="76">
        <f>+F22+1</f>
        <v>45987</v>
      </c>
      <c r="F23" s="76">
        <f>+WORKDAY(E23,4)</f>
        <v>45993</v>
      </c>
      <c r="G23" s="77"/>
      <c r="H23" s="78">
        <f t="shared" si="4"/>
        <v>7</v>
      </c>
      <c r="I23" s="83"/>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s="28" customFormat="1" ht="25" customHeight="1" thickBot="1" x14ac:dyDescent="0.4">
      <c r="A24" s="14" t="s">
        <v>11</v>
      </c>
      <c r="B24" s="99" t="s">
        <v>38</v>
      </c>
      <c r="C24" s="100"/>
      <c r="D24" s="60">
        <f>+AVERAGE(D25:D40)</f>
        <v>0.39437499999999998</v>
      </c>
      <c r="E24" s="62"/>
      <c r="F24" s="101">
        <f>+F40-E25+1</f>
        <v>74</v>
      </c>
      <c r="G24" s="62"/>
      <c r="H24" s="102"/>
    </row>
    <row r="25" spans="1:64" s="24" customFormat="1" ht="25" customHeight="1" thickBot="1" x14ac:dyDescent="0.4">
      <c r="A25" s="14"/>
      <c r="B25" s="103" t="s">
        <v>58</v>
      </c>
      <c r="C25" s="104" t="s">
        <v>36</v>
      </c>
      <c r="D25" s="75">
        <v>0</v>
      </c>
      <c r="E25" s="76">
        <v>45962</v>
      </c>
      <c r="F25" s="76">
        <f>+WORKDAY(E25,4)</f>
        <v>45967</v>
      </c>
      <c r="G25" s="77"/>
      <c r="H25" s="78">
        <f t="shared" si="4"/>
        <v>6</v>
      </c>
      <c r="I25" s="64"/>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s="25" customFormat="1" ht="25" customHeight="1" thickBot="1" x14ac:dyDescent="0.4">
      <c r="A26" s="121" t="s">
        <v>9</v>
      </c>
      <c r="B26" s="105" t="s">
        <v>39</v>
      </c>
      <c r="C26" s="106" t="s">
        <v>36</v>
      </c>
      <c r="D26" s="71">
        <v>0.9</v>
      </c>
      <c r="E26" s="72">
        <f>+F25</f>
        <v>45967</v>
      </c>
      <c r="F26" s="72">
        <f>+WORKDAY(E26,0)</f>
        <v>45967</v>
      </c>
      <c r="G26" s="73"/>
      <c r="H26" s="48">
        <f t="shared" si="4"/>
        <v>1</v>
      </c>
      <c r="I26" s="68"/>
      <c r="J26" s="6"/>
      <c r="K26" s="6"/>
      <c r="L26" s="6"/>
      <c r="M26" s="6"/>
      <c r="N26" s="6"/>
      <c r="O26" s="6"/>
      <c r="P26" s="6"/>
      <c r="Q26" s="6"/>
      <c r="R26" s="6"/>
      <c r="S26" s="6"/>
      <c r="T26" s="6"/>
      <c r="U26" s="7"/>
      <c r="V26" s="7"/>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row>
    <row r="27" spans="1:64" s="25" customFormat="1" ht="25" customHeight="1" thickBot="1" x14ac:dyDescent="0.4">
      <c r="A27" s="14"/>
      <c r="B27" s="103" t="s">
        <v>41</v>
      </c>
      <c r="C27" s="104" t="s">
        <v>36</v>
      </c>
      <c r="D27" s="75">
        <v>0.9</v>
      </c>
      <c r="E27" s="76">
        <f>+F26+0</f>
        <v>45967</v>
      </c>
      <c r="F27" s="76">
        <f>+WORKDAY(E27,0)</f>
        <v>45967</v>
      </c>
      <c r="G27" s="77"/>
      <c r="H27" s="78">
        <f t="shared" si="4"/>
        <v>1</v>
      </c>
      <c r="I27" s="68"/>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25" customFormat="1" ht="25" customHeight="1" thickBot="1" x14ac:dyDescent="0.4">
      <c r="A28" s="14"/>
      <c r="B28" s="105" t="s">
        <v>45</v>
      </c>
      <c r="C28" s="106" t="s">
        <v>36</v>
      </c>
      <c r="D28" s="71">
        <v>0.7</v>
      </c>
      <c r="E28" s="72">
        <f>+F25+1</f>
        <v>45968</v>
      </c>
      <c r="F28" s="72">
        <f>+WORKDAY(E28,3)</f>
        <v>45973</v>
      </c>
      <c r="G28" s="73"/>
      <c r="H28" s="48">
        <f t="shared" si="4"/>
        <v>6</v>
      </c>
      <c r="I28" s="6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25" customFormat="1" ht="25" customHeight="1" thickBot="1" x14ac:dyDescent="0.4">
      <c r="A29" s="14"/>
      <c r="B29" s="103" t="s">
        <v>46</v>
      </c>
      <c r="C29" s="104" t="s">
        <v>36</v>
      </c>
      <c r="D29" s="75">
        <v>0.2</v>
      </c>
      <c r="E29" s="76">
        <f t="shared" ref="E29:E40" si="5">+F28+1</f>
        <v>45974</v>
      </c>
      <c r="F29" s="76">
        <f>+WORKDAY(E29,3)</f>
        <v>45979</v>
      </c>
      <c r="G29" s="77"/>
      <c r="H29" s="78">
        <f t="shared" si="4"/>
        <v>6</v>
      </c>
      <c r="I29" s="68"/>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25" customFormat="1" ht="25" customHeight="1" thickBot="1" x14ac:dyDescent="0.4">
      <c r="A30" s="14"/>
      <c r="B30" s="105" t="s">
        <v>73</v>
      </c>
      <c r="C30" s="106" t="s">
        <v>36</v>
      </c>
      <c r="D30" s="71">
        <v>0.01</v>
      </c>
      <c r="E30" s="72">
        <f>+F29+1</f>
        <v>45980</v>
      </c>
      <c r="F30" s="72">
        <f>+WORKDAY(E30,1)</f>
        <v>45981</v>
      </c>
      <c r="G30" s="73"/>
      <c r="H30" s="48">
        <f t="shared" si="4"/>
        <v>2</v>
      </c>
      <c r="I30" s="68"/>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25" customFormat="1" ht="25" customHeight="1" thickBot="1" x14ac:dyDescent="0.4">
      <c r="A31" s="14"/>
      <c r="B31" s="103" t="s">
        <v>51</v>
      </c>
      <c r="C31" s="104" t="s">
        <v>36</v>
      </c>
      <c r="D31" s="75">
        <v>0.5</v>
      </c>
      <c r="E31" s="76">
        <f t="shared" si="5"/>
        <v>45982</v>
      </c>
      <c r="F31" s="76">
        <f>+WORKDAY(E31,3)</f>
        <v>45987</v>
      </c>
      <c r="G31" s="77"/>
      <c r="H31" s="78">
        <f t="shared" si="4"/>
        <v>6</v>
      </c>
      <c r="I31" s="68"/>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25" customFormat="1" ht="25" customHeight="1" thickBot="1" x14ac:dyDescent="0.4">
      <c r="A32" s="14"/>
      <c r="B32" s="105" t="s">
        <v>52</v>
      </c>
      <c r="C32" s="106" t="s">
        <v>36</v>
      </c>
      <c r="D32" s="71">
        <v>0.5</v>
      </c>
      <c r="E32" s="72">
        <f t="shared" si="5"/>
        <v>45988</v>
      </c>
      <c r="F32" s="72">
        <f>+WORKDAY(E32,3)</f>
        <v>45993</v>
      </c>
      <c r="G32" s="73"/>
      <c r="H32" s="48">
        <f t="shared" si="4"/>
        <v>6</v>
      </c>
      <c r="I32" s="68"/>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25" customFormat="1" ht="25" customHeight="1" thickBot="1" x14ac:dyDescent="0.4">
      <c r="A33" s="14"/>
      <c r="B33" s="103" t="s">
        <v>49</v>
      </c>
      <c r="C33" s="104" t="s">
        <v>36</v>
      </c>
      <c r="D33" s="75">
        <v>0.5</v>
      </c>
      <c r="E33" s="76">
        <f t="shared" si="5"/>
        <v>45994</v>
      </c>
      <c r="F33" s="76">
        <f>+WORKDAY(E33,3)</f>
        <v>45999</v>
      </c>
      <c r="G33" s="77"/>
      <c r="H33" s="78">
        <f t="shared" si="4"/>
        <v>6</v>
      </c>
      <c r="I33" s="6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25" customFormat="1" ht="25" customHeight="1" thickBot="1" x14ac:dyDescent="0.4">
      <c r="A34" s="14"/>
      <c r="B34" s="105" t="s">
        <v>50</v>
      </c>
      <c r="C34" s="106" t="s">
        <v>36</v>
      </c>
      <c r="D34" s="71">
        <v>0.5</v>
      </c>
      <c r="E34" s="72">
        <f t="shared" si="5"/>
        <v>46000</v>
      </c>
      <c r="F34" s="72">
        <f>+WORKDAY(E34,3)</f>
        <v>46003</v>
      </c>
      <c r="G34" s="73"/>
      <c r="H34" s="48">
        <f t="shared" si="4"/>
        <v>4</v>
      </c>
      <c r="I34" s="6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25" customFormat="1" ht="25" customHeight="1" thickBot="1" x14ac:dyDescent="0.4">
      <c r="A35" s="14"/>
      <c r="B35" s="103" t="s">
        <v>48</v>
      </c>
      <c r="C35" s="104" t="s">
        <v>36</v>
      </c>
      <c r="D35" s="75">
        <v>0.8</v>
      </c>
      <c r="E35" s="76">
        <f t="shared" si="5"/>
        <v>46004</v>
      </c>
      <c r="F35" s="76">
        <f>+WORKDAY(E35,2)</f>
        <v>46007</v>
      </c>
      <c r="G35" s="77"/>
      <c r="H35" s="78">
        <f t="shared" si="4"/>
        <v>4</v>
      </c>
      <c r="I35" s="68"/>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25" customFormat="1" ht="25" customHeight="1" thickBot="1" x14ac:dyDescent="0.4">
      <c r="A36" s="14"/>
      <c r="B36" s="105" t="s">
        <v>72</v>
      </c>
      <c r="C36" s="106" t="s">
        <v>36</v>
      </c>
      <c r="D36" s="71">
        <v>0.1</v>
      </c>
      <c r="E36" s="72">
        <f t="shared" si="5"/>
        <v>46008</v>
      </c>
      <c r="F36" s="72">
        <f>+WORKDAY(E36,3)</f>
        <v>46013</v>
      </c>
      <c r="G36" s="73"/>
      <c r="H36" s="48"/>
      <c r="I36" s="6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25" customFormat="1" ht="25" customHeight="1" thickBot="1" x14ac:dyDescent="0.4">
      <c r="A37" s="14"/>
      <c r="B37" s="103" t="s">
        <v>53</v>
      </c>
      <c r="C37" s="104" t="s">
        <v>36</v>
      </c>
      <c r="D37" s="75">
        <v>0</v>
      </c>
      <c r="E37" s="76">
        <f t="shared" si="5"/>
        <v>46014</v>
      </c>
      <c r="F37" s="76">
        <f>+WORKDAY(E37,3)</f>
        <v>46017</v>
      </c>
      <c r="G37" s="77"/>
      <c r="H37" s="78"/>
      <c r="I37" s="68"/>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spans="1:64" s="25" customFormat="1" ht="25" customHeight="1" thickBot="1" x14ac:dyDescent="0.4">
      <c r="A38" s="14"/>
      <c r="B38" s="105" t="s">
        <v>54</v>
      </c>
      <c r="C38" s="106" t="s">
        <v>36</v>
      </c>
      <c r="D38" s="71">
        <v>0</v>
      </c>
      <c r="E38" s="72">
        <f t="shared" si="5"/>
        <v>46018</v>
      </c>
      <c r="F38" s="72">
        <f>+WORKDAY(E38,3)</f>
        <v>46022</v>
      </c>
      <c r="G38" s="73"/>
      <c r="H38" s="48"/>
      <c r="I38" s="68"/>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spans="1:64" s="25" customFormat="1" ht="25" customHeight="1" thickBot="1" x14ac:dyDescent="0.4">
      <c r="A39" s="14"/>
      <c r="B39" s="103" t="s">
        <v>55</v>
      </c>
      <c r="C39" s="104" t="s">
        <v>36</v>
      </c>
      <c r="D39" s="75">
        <v>0.5</v>
      </c>
      <c r="E39" s="76">
        <f t="shared" si="5"/>
        <v>46023</v>
      </c>
      <c r="F39" s="76">
        <f>+WORKDAY(E39,1)</f>
        <v>46024</v>
      </c>
      <c r="G39" s="77"/>
      <c r="H39" s="78"/>
      <c r="I39" s="6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spans="1:64" s="27" customFormat="1" ht="25" customHeight="1" x14ac:dyDescent="0.35">
      <c r="A40" s="14"/>
      <c r="B40" s="105" t="s">
        <v>69</v>
      </c>
      <c r="C40" s="106" t="s">
        <v>36</v>
      </c>
      <c r="D40" s="71">
        <v>0.2</v>
      </c>
      <c r="E40" s="72">
        <f t="shared" si="5"/>
        <v>46025</v>
      </c>
      <c r="F40" s="72">
        <f>+WORKDAY(E40,7)</f>
        <v>46035</v>
      </c>
      <c r="G40" s="73"/>
      <c r="H40" s="48">
        <f t="shared" si="4"/>
        <v>11</v>
      </c>
      <c r="I40" s="83"/>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row>
    <row r="41" spans="1:64" s="30" customFormat="1" ht="25" customHeight="1" thickBot="1" x14ac:dyDescent="0.4">
      <c r="A41" s="14" t="s">
        <v>11</v>
      </c>
      <c r="B41" s="99" t="s">
        <v>74</v>
      </c>
      <c r="C41" s="100"/>
      <c r="D41" s="60">
        <f>+AVERAGE(D42:D44)</f>
        <v>3.3333333333333333E-2</v>
      </c>
      <c r="E41" s="62"/>
      <c r="F41" s="101">
        <f>+F44-E42+1</f>
        <v>38</v>
      </c>
      <c r="G41" s="62"/>
      <c r="H41" s="102"/>
    </row>
    <row r="42" spans="1:64" s="24" customFormat="1" ht="25" customHeight="1" thickBot="1" x14ac:dyDescent="0.4">
      <c r="A42" s="14"/>
      <c r="B42" s="105" t="s">
        <v>59</v>
      </c>
      <c r="C42" s="115" t="s">
        <v>71</v>
      </c>
      <c r="D42" s="71">
        <v>0.1</v>
      </c>
      <c r="E42" s="72">
        <v>45958</v>
      </c>
      <c r="F42" s="72">
        <f>+WORKDAY(E42,5)</f>
        <v>45965</v>
      </c>
      <c r="G42" s="73"/>
      <c r="H42" s="48">
        <f t="shared" si="4"/>
        <v>8</v>
      </c>
      <c r="I42" s="64"/>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1:64" s="25" customFormat="1" ht="25" customHeight="1" thickBot="1" x14ac:dyDescent="0.4">
      <c r="A43" s="14"/>
      <c r="B43" s="103" t="s">
        <v>60</v>
      </c>
      <c r="C43" s="114" t="s">
        <v>71</v>
      </c>
      <c r="D43" s="75">
        <v>0</v>
      </c>
      <c r="E43" s="76">
        <f>+F42+1</f>
        <v>45966</v>
      </c>
      <c r="F43" s="76">
        <f>+WORKDAY(E43,10)</f>
        <v>45980</v>
      </c>
      <c r="G43" s="77"/>
      <c r="H43" s="78">
        <f t="shared" si="4"/>
        <v>15</v>
      </c>
      <c r="I43" s="68"/>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row>
    <row r="44" spans="1:64" s="27" customFormat="1" ht="25" customHeight="1" x14ac:dyDescent="0.35">
      <c r="A44" s="14"/>
      <c r="B44" s="119" t="s">
        <v>61</v>
      </c>
      <c r="C44" s="120" t="s">
        <v>71</v>
      </c>
      <c r="D44" s="79">
        <v>0</v>
      </c>
      <c r="E44" s="80">
        <f>+F43+1</f>
        <v>45981</v>
      </c>
      <c r="F44" s="80">
        <f>+WORKDAY(E44,10)</f>
        <v>45995</v>
      </c>
      <c r="G44" s="81"/>
      <c r="H44" s="82">
        <f t="shared" si="4"/>
        <v>15</v>
      </c>
      <c r="I44" s="83"/>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row>
    <row r="45" spans="1:64" ht="30" customHeight="1" x14ac:dyDescent="0.35">
      <c r="G45" s="3"/>
    </row>
    <row r="46" spans="1:64" ht="30" customHeight="1" x14ac:dyDescent="0.35">
      <c r="C46" s="4"/>
      <c r="F46" s="15"/>
    </row>
    <row r="47" spans="1:64" ht="30" customHeight="1" x14ac:dyDescent="0.35">
      <c r="C47" s="5"/>
    </row>
    <row r="68" spans="2:2" ht="30" customHeight="1" x14ac:dyDescent="0.35">
      <c r="B68" t="s">
        <v>73</v>
      </c>
    </row>
    <row r="69" spans="2:2" ht="30" customHeight="1" x14ac:dyDescent="0.35">
      <c r="B69" t="s">
        <v>57</v>
      </c>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4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7 G9:BL15 I16:BL23 I25:BL44">
    <cfRule type="expression" dxfId="19" priority="33">
      <formula>AND(TODAY()&gt;=G$5,TODAY()&lt;H$5)</formula>
    </cfRule>
  </conditionalFormatting>
  <conditionalFormatting sqref="I7:BL7 G9:BL15 I16:BL23 I25:BL44">
    <cfRule type="expression" dxfId="18" priority="27">
      <formula>AND(task_start&lt;=G$5,ROUNDDOWN((task_end-task_start+1)*task_progress,0)+task_start-1&gt;=G$5)</formula>
    </cfRule>
    <cfRule type="expression" dxfId="17" priority="28" stopIfTrue="1">
      <formula>AND(task_end&gt;=G$5,task_start&lt;H$5)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F30" formula="1"/>
  </ignoredErrors>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2" zoomScaleNormal="100" workbookViewId="0"/>
  </sheetViews>
  <sheetFormatPr baseColWidth="10" defaultColWidth="9.1796875" defaultRowHeight="13" x14ac:dyDescent="0.3"/>
  <cols>
    <col min="1" max="1" width="87.1796875" style="8" customWidth="1"/>
    <col min="2" max="16384" width="9.1796875" style="1"/>
  </cols>
  <sheetData>
    <row r="1" spans="1:2" ht="46.5" customHeight="1" x14ac:dyDescent="0.3"/>
    <row r="2" spans="1:2" s="10" customFormat="1" ht="23.5" x14ac:dyDescent="0.35">
      <c r="A2" s="33" t="s">
        <v>19</v>
      </c>
      <c r="B2" s="9"/>
    </row>
    <row r="3" spans="1:2" s="12" customFormat="1" ht="27" customHeight="1" x14ac:dyDescent="0.35">
      <c r="A3" s="34" t="s">
        <v>20</v>
      </c>
      <c r="B3" s="13"/>
    </row>
    <row r="4" spans="1:2" s="11" customFormat="1" ht="26" x14ac:dyDescent="0.6">
      <c r="A4" s="38" t="s">
        <v>21</v>
      </c>
    </row>
    <row r="5" spans="1:2" ht="74.150000000000006" customHeight="1" x14ac:dyDescent="0.3">
      <c r="A5" s="35" t="s">
        <v>22</v>
      </c>
    </row>
    <row r="6" spans="1:2" ht="26.25" customHeight="1" x14ac:dyDescent="0.3">
      <c r="A6" s="38" t="s">
        <v>23</v>
      </c>
    </row>
    <row r="7" spans="1:2" s="8" customFormat="1" ht="215.25" customHeight="1" x14ac:dyDescent="0.35">
      <c r="A7" s="36" t="s">
        <v>24</v>
      </c>
    </row>
    <row r="8" spans="1:2" s="11" customFormat="1" ht="26" x14ac:dyDescent="0.6">
      <c r="A8" s="38" t="s">
        <v>25</v>
      </c>
    </row>
    <row r="9" spans="1:2" ht="72.5" x14ac:dyDescent="0.3">
      <c r="A9" s="35" t="s">
        <v>26</v>
      </c>
    </row>
    <row r="10" spans="1:2" s="8" customFormat="1" ht="28" customHeight="1" x14ac:dyDescent="0.35">
      <c r="A10" s="37" t="s">
        <v>27</v>
      </c>
    </row>
    <row r="11" spans="1:2" s="11" customFormat="1" ht="26" x14ac:dyDescent="0.6">
      <c r="A11" s="38" t="s">
        <v>28</v>
      </c>
    </row>
    <row r="12" spans="1:2" ht="29" x14ac:dyDescent="0.3">
      <c r="A12" s="35" t="s">
        <v>29</v>
      </c>
    </row>
    <row r="13" spans="1:2" s="8" customFormat="1" ht="28" customHeight="1" x14ac:dyDescent="0.35">
      <c r="A13" s="37" t="s">
        <v>30</v>
      </c>
    </row>
    <row r="14" spans="1:2" s="11" customFormat="1" ht="26" x14ac:dyDescent="0.6">
      <c r="A14" s="38" t="s">
        <v>31</v>
      </c>
    </row>
    <row r="15" spans="1:2" ht="96.75" customHeight="1" x14ac:dyDescent="0.3">
      <c r="A15" s="35" t="s">
        <v>32</v>
      </c>
    </row>
    <row r="16" spans="1:2" ht="87" x14ac:dyDescent="0.3">
      <c r="A16" s="35" t="s">
        <v>33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39"/>
  <sheetViews>
    <sheetView showGridLines="0" workbookViewId="0">
      <selection activeCell="H12" sqref="H12"/>
    </sheetView>
  </sheetViews>
  <sheetFormatPr baseColWidth="10" defaultColWidth="8.7265625" defaultRowHeight="14.5" x14ac:dyDescent="0.35"/>
  <cols>
    <col min="1" max="1" width="2.453125" customWidth="1"/>
    <col min="2" max="2" width="22" customWidth="1"/>
    <col min="3" max="8" width="13" customWidth="1"/>
    <col min="9" max="9" width="14" customWidth="1"/>
    <col min="11" max="11" width="9" hidden="1"/>
  </cols>
  <sheetData>
    <row r="1" spans="2:9" ht="28" customHeight="1" x14ac:dyDescent="0.35">
      <c r="B1" s="188" t="s">
        <v>138</v>
      </c>
      <c r="C1" s="188"/>
      <c r="D1" s="188"/>
      <c r="E1" s="188"/>
      <c r="F1" s="188"/>
      <c r="G1" s="188"/>
      <c r="H1" s="188"/>
      <c r="I1" s="188"/>
    </row>
    <row r="2" spans="2:9" ht="16" customHeight="1" x14ac:dyDescent="0.35">
      <c r="B2" s="189" t="str">
        <f ca="1">"IHSA S.A.  ·  Responsable: "&amp;'Proyecto Datos (OKR´s)'!$G$3&amp;"  ·  Inicio: "&amp;TEXT('Proyecto Datos (OKR´s)'!$K$3,"dd/mm/yyyy")&amp;"  ·  Actualizado al "&amp;TEXT(TODAY(),"dd/mm/yyyy")</f>
        <v>IHSA S.A.  ·  Responsable: Santiago Alonso  ·  Inicio: 28/10/2025  ·  Actualizado al 19/06/2026</v>
      </c>
      <c r="C2" s="189"/>
      <c r="D2" s="189"/>
      <c r="E2" s="189"/>
      <c r="F2" s="189"/>
      <c r="G2" s="189"/>
      <c r="H2" s="189"/>
      <c r="I2" s="189"/>
    </row>
    <row r="4" spans="2:9" ht="16" customHeight="1" x14ac:dyDescent="0.35">
      <c r="B4" s="190" t="s">
        <v>139</v>
      </c>
      <c r="C4" s="190"/>
      <c r="D4" s="156" t="s">
        <v>140</v>
      </c>
      <c r="E4" s="156" t="s">
        <v>141</v>
      </c>
      <c r="F4" s="156" t="s">
        <v>142</v>
      </c>
      <c r="G4" s="156" t="s">
        <v>143</v>
      </c>
      <c r="H4" s="156" t="s">
        <v>144</v>
      </c>
      <c r="I4" s="156"/>
    </row>
    <row r="5" spans="2:9" ht="30" customHeight="1" x14ac:dyDescent="0.35">
      <c r="B5" s="191">
        <f ca="1">IFERROR(AVERAGE(_Datos!$I$7:$I$200),0)</f>
        <v>0.48928571428571438</v>
      </c>
      <c r="C5" s="192"/>
      <c r="D5" s="154">
        <f ca="1">COUNT(_Datos!$H$7:$H$200)</f>
        <v>42</v>
      </c>
      <c r="E5" s="154">
        <f ca="1">COUNTIF(_Datos!$J$7:$J$200,"Completado")</f>
        <v>2</v>
      </c>
      <c r="F5" s="154">
        <f ca="1">COUNTIF(_Datos!$J$7:$J$200,"En curso")</f>
        <v>13</v>
      </c>
      <c r="G5" s="154">
        <f ca="1">COUNTIF(_Datos!$J$7:$J$200,"Próximo a vencer")</f>
        <v>14</v>
      </c>
      <c r="H5" s="155">
        <f ca="1">COUNTIF(_Datos!$J$7:$J$200,"Vencido")</f>
        <v>13</v>
      </c>
      <c r="I5" s="154"/>
    </row>
    <row r="8" spans="2:9" ht="15.5" x14ac:dyDescent="0.35">
      <c r="B8" s="193" t="s">
        <v>145</v>
      </c>
      <c r="C8" s="193"/>
      <c r="D8" s="193"/>
      <c r="E8" s="193"/>
      <c r="F8" s="193"/>
      <c r="G8" s="193"/>
      <c r="H8" s="193"/>
      <c r="I8" s="193"/>
    </row>
    <row r="9" spans="2:9" x14ac:dyDescent="0.35">
      <c r="B9" s="194" t="s">
        <v>146</v>
      </c>
      <c r="C9" s="195"/>
      <c r="D9" s="195"/>
      <c r="E9" s="195"/>
      <c r="F9" s="195"/>
      <c r="G9" s="149" t="s">
        <v>140</v>
      </c>
      <c r="H9" s="149" t="s">
        <v>147</v>
      </c>
      <c r="I9" s="149" t="s">
        <v>148</v>
      </c>
    </row>
    <row r="10" spans="2:9" x14ac:dyDescent="0.35">
      <c r="B10" s="196" t="str">
        <f>'Proyecto Datos (OKR´s)'!$G$7</f>
        <v>1- GOC: Módulo de Datos para Procesos de Certificación (Inteligencia Comercial)</v>
      </c>
      <c r="C10" s="196"/>
      <c r="D10" s="196"/>
      <c r="E10" s="196"/>
      <c r="F10" s="196"/>
      <c r="G10" s="152">
        <f ca="1">COUNTIF(_Datos!$D$7:$D$200,$B10)</f>
        <v>1</v>
      </c>
      <c r="H10" s="153">
        <f ca="1">IFERROR(AVERAGEIF(_Datos!$D$7:$D$200,$B10,_Datos!$I$7:$I$200),"")</f>
        <v>0.2</v>
      </c>
      <c r="I10" s="153">
        <f ca="1">IFERROR(AVERAGEIF(_Datos!$D$7:$D$200,$B10,_Datos!$I$7:$I$200),"")</f>
        <v>0.2</v>
      </c>
    </row>
    <row r="11" spans="2:9" x14ac:dyDescent="0.35">
      <c r="B11" s="196" t="str">
        <f>'Proyecto Datos (OKR´s)'!$G$9</f>
        <v>2- Cotizador de Operaciones Complejas</v>
      </c>
      <c r="C11" s="196"/>
      <c r="D11" s="196"/>
      <c r="E11" s="196"/>
      <c r="F11" s="196"/>
      <c r="G11" s="152">
        <f ca="1">COUNTIF(_Datos!$D$7:$D$200,$B11)</f>
        <v>12</v>
      </c>
      <c r="H11" s="153">
        <f ca="1">IFERROR(AVERAGEIF(_Datos!$D$7:$D$200,$B11,_Datos!$I$7:$I$200),"")</f>
        <v>0.48333333333333339</v>
      </c>
      <c r="I11" s="153">
        <f ca="1">IFERROR(AVERAGEIF(_Datos!$D$7:$D$200,$B11,_Datos!$I$7:$I$200),"")</f>
        <v>0.48333333333333339</v>
      </c>
    </row>
    <row r="12" spans="2:9" x14ac:dyDescent="0.35">
      <c r="B12" s="196" t="str">
        <f>'Proyecto Datos (OKR´s)'!$G$22</f>
        <v>3- Tablero BI OPEX - Real vs BO</v>
      </c>
      <c r="C12" s="196"/>
      <c r="D12" s="196"/>
      <c r="E12" s="196"/>
      <c r="F12" s="196"/>
      <c r="G12" s="152">
        <f ca="1">COUNTIF(_Datos!$D$7:$D$200,$B12)</f>
        <v>4</v>
      </c>
      <c r="H12" s="153">
        <f ca="1">IFERROR(AVERAGEIF(_Datos!$D$7:$D$200,$B12,_Datos!$I$7:$I$200),"")</f>
        <v>0.875</v>
      </c>
      <c r="I12" s="153">
        <f ca="1">IFERROR(AVERAGEIF(_Datos!$D$7:$D$200,$B12,_Datos!$I$7:$I$200),"")</f>
        <v>0.875</v>
      </c>
    </row>
    <row r="13" spans="2:9" x14ac:dyDescent="0.35">
      <c r="B13" s="196" t="str">
        <f>'Proyecto Datos (OKR´s)'!$G$27</f>
        <v>4- Tablero BI DEUDA</v>
      </c>
      <c r="C13" s="196"/>
      <c r="D13" s="196"/>
      <c r="E13" s="196"/>
      <c r="F13" s="196"/>
      <c r="G13" s="152">
        <f ca="1">COUNTIF(_Datos!$D$7:$D$200,$B13)</f>
        <v>8</v>
      </c>
      <c r="H13" s="153">
        <f ca="1">IFERROR(AVERAGEIF(_Datos!$D$7:$D$200,$B13,_Datos!$I$7:$I$200),"")</f>
        <v>0.72499999999999998</v>
      </c>
      <c r="I13" s="153">
        <f ca="1">IFERROR(AVERAGEIF(_Datos!$D$7:$D$200,$B13,_Datos!$I$7:$I$200),"")</f>
        <v>0.72499999999999998</v>
      </c>
    </row>
    <row r="14" spans="2:9" x14ac:dyDescent="0.35">
      <c r="B14" s="196" t="str">
        <f>'Proyecto Datos (OKR´s)'!$G$36</f>
        <v>5- Tablero Control General - Op. Complejas</v>
      </c>
      <c r="C14" s="196"/>
      <c r="D14" s="196"/>
      <c r="E14" s="196"/>
      <c r="F14" s="196"/>
      <c r="G14" s="152">
        <f ca="1">COUNTIF(_Datos!$D$7:$D$200,$B14)</f>
        <v>11</v>
      </c>
      <c r="H14" s="153">
        <f ca="1">IFERROR(AVERAGEIF(_Datos!$D$7:$D$200,$B14,_Datos!$I$7:$I$200),"")</f>
        <v>0.43181818181818182</v>
      </c>
      <c r="I14" s="153">
        <f ca="1">IFERROR(AVERAGEIF(_Datos!$D$7:$D$200,$B14,_Datos!$I$7:$I$200),"")</f>
        <v>0.43181818181818182</v>
      </c>
    </row>
    <row r="15" spans="2:9" x14ac:dyDescent="0.35">
      <c r="B15" s="196" t="str">
        <f>'Proyecto Datos (OKR´s)'!$G$48</f>
        <v>6- Automatización de procesos: certificación, provisión,polinómicas</v>
      </c>
      <c r="C15" s="196"/>
      <c r="D15" s="196"/>
      <c r="E15" s="196"/>
      <c r="F15" s="196"/>
      <c r="G15" s="152">
        <f ca="1">COUNTIF(_Datos!$D$7:$D$200,$B15)</f>
        <v>3</v>
      </c>
      <c r="H15" s="153">
        <f ca="1">IFERROR(AVERAGEIF(_Datos!$D$7:$D$200,$B15,_Datos!$I$7:$I$200),"")</f>
        <v>0.13333333333333333</v>
      </c>
      <c r="I15" s="153">
        <f ca="1">IFERROR(AVERAGEIF(_Datos!$D$7:$D$200,$B15,_Datos!$I$7:$I$200),"")</f>
        <v>0.13333333333333333</v>
      </c>
    </row>
    <row r="16" spans="2:9" x14ac:dyDescent="0.35">
      <c r="B16" s="196" t="str">
        <f>'Proyecto Datos (OKR´s)'!$G$52</f>
        <v>7- Incorporación de Operaciones Complejas en sistemas de la compañía: Salesforce, SAP, etc.</v>
      </c>
      <c r="C16" s="196"/>
      <c r="D16" s="196"/>
      <c r="E16" s="196"/>
      <c r="F16" s="196"/>
      <c r="G16" s="152">
        <f ca="1">COUNTIF(_Datos!$D$7:$D$200,$B16)</f>
        <v>3</v>
      </c>
      <c r="H16" s="153">
        <f ca="1">IFERROR(AVERAGEIF(_Datos!$D$7:$D$200,$B16,_Datos!$I$7:$I$200),"")</f>
        <v>3.3333333333333333E-2</v>
      </c>
      <c r="I16" s="153">
        <f ca="1">IFERROR(AVERAGEIF(_Datos!$D$7:$D$200,$B16,_Datos!$I$7:$I$200),"")</f>
        <v>3.3333333333333333E-2</v>
      </c>
    </row>
    <row r="19" spans="2:11" ht="15.5" x14ac:dyDescent="0.35">
      <c r="B19" s="193" t="s">
        <v>149</v>
      </c>
      <c r="C19" s="193"/>
      <c r="D19" s="193"/>
      <c r="E19" s="193"/>
      <c r="F19" s="193"/>
      <c r="G19" s="193"/>
      <c r="H19" s="193"/>
      <c r="I19" s="193"/>
    </row>
    <row r="20" spans="2:11" ht="26" x14ac:dyDescent="0.35">
      <c r="B20" s="149" t="s">
        <v>101</v>
      </c>
      <c r="C20" s="149" t="s">
        <v>140</v>
      </c>
      <c r="D20" s="149" t="s">
        <v>150</v>
      </c>
      <c r="E20" s="149" t="s">
        <v>144</v>
      </c>
      <c r="F20" s="149" t="s">
        <v>151</v>
      </c>
      <c r="G20" s="149" t="s">
        <v>152</v>
      </c>
      <c r="H20" s="149" t="s">
        <v>147</v>
      </c>
    </row>
    <row r="21" spans="2:11" x14ac:dyDescent="0.35">
      <c r="B21" s="165">
        <f t="shared" ref="B21:B32" ca="1" si="0">IF($K21="","",IF($K21=9999,"(Sin sprint)",$K21))</f>
        <v>1</v>
      </c>
      <c r="C21" s="165">
        <f ca="1">IF($K21="","",COUNTIF(_Datos!$AD$7:$AD$200,$K21))</f>
        <v>2</v>
      </c>
      <c r="D21" s="165">
        <f ca="1">IF($K21="","",COUNTIFS(_Datos!$AD$7:$AD$200,$K21,_Datos!$J$7:$J$200,"&lt;&gt;Completado"))</f>
        <v>0</v>
      </c>
      <c r="E21" s="165">
        <f ca="1">IF($K21="","",COUNTIFS(_Datos!$AD$7:$AD$200,$K21,_Datos!$J$7:$J$200,"Vencido"))</f>
        <v>0</v>
      </c>
      <c r="F21" s="165">
        <f ca="1">IF($K21="","",COUNTIFS(_Datos!$AD$7:$AD$200,$K21,_Datos!$J$7:$J$200,"Próximo a vencer"))</f>
        <v>0</v>
      </c>
      <c r="G21" s="166" t="str">
        <f ca="1">IF($K21="","",IF($D21=0,"—",_xlfn.MINIFS(_Datos!$H$7:$H$200,_Datos!$AD$7:$AD$200,$K21,_Datos!$J$7:$J$200,"&lt;&gt;Completado")))</f>
        <v>—</v>
      </c>
      <c r="H21" s="167">
        <f ca="1">IF($K21="","",IFERROR(AVERAGEIF(_Datos!$AD$7:$AD$200,$K21,_Datos!$I$7:$I$200),""))</f>
        <v>1</v>
      </c>
      <c r="I21" s="165"/>
      <c r="K21" s="163">
        <f ca="1">IFERROR(SMALL(_Datos!$Q$7:$Q$37,ROW()-21+1),"")</f>
        <v>1</v>
      </c>
    </row>
    <row r="22" spans="2:11" x14ac:dyDescent="0.35">
      <c r="B22" s="165">
        <f t="shared" ca="1" si="0"/>
        <v>2</v>
      </c>
      <c r="C22" s="165">
        <f ca="1">IF($K22="","",COUNTIF(_Datos!$AD$7:$AD$200,$K22))</f>
        <v>21</v>
      </c>
      <c r="D22" s="165">
        <f ca="1">IF($K22="","",COUNTIFS(_Datos!$AD$7:$AD$200,$K22,_Datos!$J$7:$J$200,"&lt;&gt;Completado"))</f>
        <v>21</v>
      </c>
      <c r="E22" s="165">
        <f ca="1">IF($K22="","",COUNTIFS(_Datos!$AD$7:$AD$200,$K22,_Datos!$J$7:$J$200,"Vencido"))</f>
        <v>13</v>
      </c>
      <c r="F22" s="165">
        <f ca="1">IF($K22="","",COUNTIFS(_Datos!$AD$7:$AD$200,$K22,_Datos!$J$7:$J$200,"Próximo a vencer"))</f>
        <v>7</v>
      </c>
      <c r="G22" s="166">
        <f ca="1">IF($K22="","",IF($D22=0,"—",_xlfn.MINIFS(_Datos!$H$7:$H$200,_Datos!$AD$7:$AD$200,$K22,_Datos!$J$7:$J$200,"&lt;&gt;Completado")))</f>
        <v>46185</v>
      </c>
      <c r="H22" s="167">
        <f ca="1">IF($K22="","",IFERROR(AVERAGEIF(_Datos!$AD$7:$AD$200,$K22,_Datos!$I$7:$I$200),""))</f>
        <v>0.70238095238095233</v>
      </c>
      <c r="I22" s="165"/>
      <c r="K22" s="163">
        <f ca="1">IFERROR(SMALL(_Datos!$Q$7:$Q$37,ROW()-21+1),"")</f>
        <v>2</v>
      </c>
    </row>
    <row r="23" spans="2:11" x14ac:dyDescent="0.35">
      <c r="B23" s="165" t="str">
        <f t="shared" ca="1" si="0"/>
        <v>(Sin sprint)</v>
      </c>
      <c r="C23" s="165">
        <f ca="1">IF($K23="","",COUNTIF(_Datos!$AD$7:$AD$200,$K23))</f>
        <v>19</v>
      </c>
      <c r="D23" s="165">
        <f ca="1">IF($K23="","",COUNTIFS(_Datos!$AD$7:$AD$200,$K23,_Datos!$J$7:$J$200,"&lt;&gt;Completado"))</f>
        <v>19</v>
      </c>
      <c r="E23" s="165">
        <f ca="1">IF($K23="","",COUNTIFS(_Datos!$AD$7:$AD$200,$K23,_Datos!$J$7:$J$200,"Vencido"))</f>
        <v>0</v>
      </c>
      <c r="F23" s="165">
        <f ca="1">IF($K23="","",COUNTIFS(_Datos!$AD$7:$AD$200,$K23,_Datos!$J$7:$J$200,"Próximo a vencer"))</f>
        <v>7</v>
      </c>
      <c r="G23" s="166">
        <f ca="1">IF($K23="","",IF($D23=0,"—",_xlfn.MINIFS(_Datos!$H$7:$H$200,_Datos!$AD$7:$AD$200,$K23,_Datos!$J$7:$J$200,"&lt;&gt;Completado")))</f>
        <v>46192</v>
      </c>
      <c r="H23" s="167">
        <f ca="1">IF($K23="","",IFERROR(AVERAGEIF(_Datos!$AD$7:$AD$200,$K23,_Datos!$I$7:$I$200),""))</f>
        <v>0.2</v>
      </c>
      <c r="I23" s="165"/>
      <c r="K23" s="163">
        <f ca="1">IFERROR(SMALL(_Datos!$Q$7:$Q$37,ROW()-21+1),"")</f>
        <v>9999</v>
      </c>
    </row>
    <row r="24" spans="2:11" x14ac:dyDescent="0.35">
      <c r="B24" s="165" t="str">
        <f t="shared" ca="1" si="0"/>
        <v/>
      </c>
      <c r="C24" s="165" t="str">
        <f ca="1">IF($K24="","",COUNTIF(_Datos!$AD$7:$AD$200,$K24))</f>
        <v/>
      </c>
      <c r="D24" s="165" t="str">
        <f ca="1">IF($K24="","",COUNTIFS(_Datos!$AD$7:$AD$200,$K24,_Datos!$J$7:$J$200,"&lt;&gt;Completado"))</f>
        <v/>
      </c>
      <c r="E24" s="165" t="str">
        <f ca="1">IF($K24="","",COUNTIFS(_Datos!$AD$7:$AD$200,$K24,_Datos!$J$7:$J$200,"Vencido"))</f>
        <v/>
      </c>
      <c r="F24" s="165" t="str">
        <f ca="1">IF($K24="","",COUNTIFS(_Datos!$AD$7:$AD$200,$K24,_Datos!$J$7:$J$200,"Próximo a vencer"))</f>
        <v/>
      </c>
      <c r="G24" s="166" t="str">
        <f ca="1">IF($K24="","",IF($D24=0,"—",_xlfn.MINIFS(_Datos!$H$7:$H$200,_Datos!$AD$7:$AD$200,$K24,_Datos!$J$7:$J$200,"&lt;&gt;Completado")))</f>
        <v/>
      </c>
      <c r="H24" s="167" t="str">
        <f ca="1">IF($K24="","",IFERROR(AVERAGEIF(_Datos!$AD$7:$AD$200,$K24,_Datos!$I$7:$I$200),""))</f>
        <v/>
      </c>
      <c r="I24" s="165"/>
      <c r="K24" s="163" t="str">
        <f ca="1">IFERROR(SMALL(_Datos!$Q$7:$Q$37,ROW()-21+1),"")</f>
        <v/>
      </c>
    </row>
    <row r="25" spans="2:11" x14ac:dyDescent="0.35">
      <c r="B25" s="165" t="str">
        <f t="shared" ca="1" si="0"/>
        <v/>
      </c>
      <c r="C25" s="165" t="str">
        <f ca="1">IF($K25="","",COUNTIF(_Datos!$AD$7:$AD$200,$K25))</f>
        <v/>
      </c>
      <c r="D25" s="165" t="str">
        <f ca="1">IF($K25="","",COUNTIFS(_Datos!$AD$7:$AD$200,$K25,_Datos!$J$7:$J$200,"&lt;&gt;Completado"))</f>
        <v/>
      </c>
      <c r="E25" s="165" t="str">
        <f ca="1">IF($K25="","",COUNTIFS(_Datos!$AD$7:$AD$200,$K25,_Datos!$J$7:$J$200,"Vencido"))</f>
        <v/>
      </c>
      <c r="F25" s="165" t="str">
        <f ca="1">IF($K25="","",COUNTIFS(_Datos!$AD$7:$AD$200,$K25,_Datos!$J$7:$J$200,"Próximo a vencer"))</f>
        <v/>
      </c>
      <c r="G25" s="166" t="str">
        <f ca="1">IF($K25="","",IF($D25=0,"—",_xlfn.MINIFS(_Datos!$H$7:$H$200,_Datos!$AD$7:$AD$200,$K25,_Datos!$J$7:$J$200,"&lt;&gt;Completado")))</f>
        <v/>
      </c>
      <c r="H25" s="167" t="str">
        <f ca="1">IF($K25="","",IFERROR(AVERAGEIF(_Datos!$AD$7:$AD$200,$K25,_Datos!$I$7:$I$200),""))</f>
        <v/>
      </c>
      <c r="I25" s="165"/>
      <c r="K25" s="163" t="str">
        <f ca="1">IFERROR(SMALL(_Datos!$Q$7:$Q$37,ROW()-21+1),"")</f>
        <v/>
      </c>
    </row>
    <row r="26" spans="2:11" x14ac:dyDescent="0.35">
      <c r="B26" s="165" t="str">
        <f t="shared" ca="1" si="0"/>
        <v/>
      </c>
      <c r="C26" s="165" t="str">
        <f ca="1">IF($K26="","",COUNTIF(_Datos!$AD$7:$AD$200,$K26))</f>
        <v/>
      </c>
      <c r="D26" s="165" t="str">
        <f ca="1">IF($K26="","",COUNTIFS(_Datos!$AD$7:$AD$200,$K26,_Datos!$J$7:$J$200,"&lt;&gt;Completado"))</f>
        <v/>
      </c>
      <c r="E26" s="165" t="str">
        <f ca="1">IF($K26="","",COUNTIFS(_Datos!$AD$7:$AD$200,$K26,_Datos!$J$7:$J$200,"Vencido"))</f>
        <v/>
      </c>
      <c r="F26" s="165" t="str">
        <f ca="1">IF($K26="","",COUNTIFS(_Datos!$AD$7:$AD$200,$K26,_Datos!$J$7:$J$200,"Próximo a vencer"))</f>
        <v/>
      </c>
      <c r="G26" s="166" t="str">
        <f ca="1">IF($K26="","",IF($D26=0,"—",_xlfn.MINIFS(_Datos!$H$7:$H$200,_Datos!$AD$7:$AD$200,$K26,_Datos!$J$7:$J$200,"&lt;&gt;Completado")))</f>
        <v/>
      </c>
      <c r="H26" s="167" t="str">
        <f ca="1">IF($K26="","",IFERROR(AVERAGEIF(_Datos!$AD$7:$AD$200,$K26,_Datos!$I$7:$I$200),""))</f>
        <v/>
      </c>
      <c r="I26" s="165"/>
      <c r="K26" s="163" t="str">
        <f ca="1">IFERROR(SMALL(_Datos!$Q$7:$Q$37,ROW()-21+1),"")</f>
        <v/>
      </c>
    </row>
    <row r="27" spans="2:11" x14ac:dyDescent="0.35">
      <c r="B27" s="165" t="str">
        <f t="shared" ca="1" si="0"/>
        <v/>
      </c>
      <c r="C27" s="165" t="str">
        <f ca="1">IF($K27="","",COUNTIF(_Datos!$AD$7:$AD$200,$K27))</f>
        <v/>
      </c>
      <c r="D27" s="165" t="str">
        <f ca="1">IF($K27="","",COUNTIFS(_Datos!$AD$7:$AD$200,$K27,_Datos!$J$7:$J$200,"&lt;&gt;Completado"))</f>
        <v/>
      </c>
      <c r="E27" s="165" t="str">
        <f ca="1">IF($K27="","",COUNTIFS(_Datos!$AD$7:$AD$200,$K27,_Datos!$J$7:$J$200,"Vencido"))</f>
        <v/>
      </c>
      <c r="F27" s="165" t="str">
        <f ca="1">IF($K27="","",COUNTIFS(_Datos!$AD$7:$AD$200,$K27,_Datos!$J$7:$J$200,"Próximo a vencer"))</f>
        <v/>
      </c>
      <c r="G27" s="166" t="str">
        <f ca="1">IF($K27="","",IF($D27=0,"—",_xlfn.MINIFS(_Datos!$H$7:$H$200,_Datos!$AD$7:$AD$200,$K27,_Datos!$J$7:$J$200,"&lt;&gt;Completado")))</f>
        <v/>
      </c>
      <c r="H27" s="167" t="str">
        <f ca="1">IF($K27="","",IFERROR(AVERAGEIF(_Datos!$AD$7:$AD$200,$K27,_Datos!$I$7:$I$200),""))</f>
        <v/>
      </c>
      <c r="I27" s="165"/>
      <c r="K27" s="163" t="str">
        <f ca="1">IFERROR(SMALL(_Datos!$Q$7:$Q$37,ROW()-21+1),"")</f>
        <v/>
      </c>
    </row>
    <row r="28" spans="2:11" x14ac:dyDescent="0.35">
      <c r="B28" s="165" t="str">
        <f t="shared" ca="1" si="0"/>
        <v/>
      </c>
      <c r="C28" s="165" t="str">
        <f ca="1">IF($K28="","",COUNTIF(_Datos!$AD$7:$AD$200,$K28))</f>
        <v/>
      </c>
      <c r="D28" s="165" t="str">
        <f ca="1">IF($K28="","",COUNTIFS(_Datos!$AD$7:$AD$200,$K28,_Datos!$J$7:$J$200,"&lt;&gt;Completado"))</f>
        <v/>
      </c>
      <c r="E28" s="165" t="str">
        <f ca="1">IF($K28="","",COUNTIFS(_Datos!$AD$7:$AD$200,$K28,_Datos!$J$7:$J$200,"Vencido"))</f>
        <v/>
      </c>
      <c r="F28" s="165" t="str">
        <f ca="1">IF($K28="","",COUNTIFS(_Datos!$AD$7:$AD$200,$K28,_Datos!$J$7:$J$200,"Próximo a vencer"))</f>
        <v/>
      </c>
      <c r="G28" s="166" t="str">
        <f ca="1">IF($K28="","",IF($D28=0,"—",_xlfn.MINIFS(_Datos!$H$7:$H$200,_Datos!$AD$7:$AD$200,$K28,_Datos!$J$7:$J$200,"&lt;&gt;Completado")))</f>
        <v/>
      </c>
      <c r="H28" s="167" t="str">
        <f ca="1">IF($K28="","",IFERROR(AVERAGEIF(_Datos!$AD$7:$AD$200,$K28,_Datos!$I$7:$I$200),""))</f>
        <v/>
      </c>
      <c r="I28" s="165"/>
      <c r="K28" s="163" t="str">
        <f ca="1">IFERROR(SMALL(_Datos!$Q$7:$Q$37,ROW()-21+1),"")</f>
        <v/>
      </c>
    </row>
    <row r="29" spans="2:11" x14ac:dyDescent="0.35">
      <c r="B29" s="165" t="str">
        <f t="shared" ca="1" si="0"/>
        <v/>
      </c>
      <c r="C29" s="165" t="str">
        <f ca="1">IF($K29="","",COUNTIF(_Datos!$AD$7:$AD$200,$K29))</f>
        <v/>
      </c>
      <c r="D29" s="165" t="str">
        <f ca="1">IF($K29="","",COUNTIFS(_Datos!$AD$7:$AD$200,$K29,_Datos!$J$7:$J$200,"&lt;&gt;Completado"))</f>
        <v/>
      </c>
      <c r="E29" s="165" t="str">
        <f ca="1">IF($K29="","",COUNTIFS(_Datos!$AD$7:$AD$200,$K29,_Datos!$J$7:$J$200,"Vencido"))</f>
        <v/>
      </c>
      <c r="F29" s="165" t="str">
        <f ca="1">IF($K29="","",COUNTIFS(_Datos!$AD$7:$AD$200,$K29,_Datos!$J$7:$J$200,"Próximo a vencer"))</f>
        <v/>
      </c>
      <c r="G29" s="166" t="str">
        <f ca="1">IF($K29="","",IF($D29=0,"—",_xlfn.MINIFS(_Datos!$H$7:$H$200,_Datos!$AD$7:$AD$200,$K29,_Datos!$J$7:$J$200,"&lt;&gt;Completado")))</f>
        <v/>
      </c>
      <c r="H29" s="167" t="str">
        <f ca="1">IF($K29="","",IFERROR(AVERAGEIF(_Datos!$AD$7:$AD$200,$K29,_Datos!$I$7:$I$200),""))</f>
        <v/>
      </c>
      <c r="I29" s="165"/>
      <c r="K29" s="163" t="str">
        <f ca="1">IFERROR(SMALL(_Datos!$Q$7:$Q$37,ROW()-21+1),"")</f>
        <v/>
      </c>
    </row>
    <row r="30" spans="2:11" x14ac:dyDescent="0.35">
      <c r="B30" s="165" t="str">
        <f t="shared" ca="1" si="0"/>
        <v/>
      </c>
      <c r="C30" s="165" t="str">
        <f ca="1">IF($K30="","",COUNTIF(_Datos!$AD$7:$AD$200,$K30))</f>
        <v/>
      </c>
      <c r="D30" s="165" t="str">
        <f ca="1">IF($K30="","",COUNTIFS(_Datos!$AD$7:$AD$200,$K30,_Datos!$J$7:$J$200,"&lt;&gt;Completado"))</f>
        <v/>
      </c>
      <c r="E30" s="165" t="str">
        <f ca="1">IF($K30="","",COUNTIFS(_Datos!$AD$7:$AD$200,$K30,_Datos!$J$7:$J$200,"Vencido"))</f>
        <v/>
      </c>
      <c r="F30" s="165" t="str">
        <f ca="1">IF($K30="","",COUNTIFS(_Datos!$AD$7:$AD$200,$K30,_Datos!$J$7:$J$200,"Próximo a vencer"))</f>
        <v/>
      </c>
      <c r="G30" s="166" t="str">
        <f ca="1">IF($K30="","",IF($D30=0,"—",_xlfn.MINIFS(_Datos!$H$7:$H$200,_Datos!$AD$7:$AD$200,$K30,_Datos!$J$7:$J$200,"&lt;&gt;Completado")))</f>
        <v/>
      </c>
      <c r="H30" s="167" t="str">
        <f ca="1">IF($K30="","",IFERROR(AVERAGEIF(_Datos!$AD$7:$AD$200,$K30,_Datos!$I$7:$I$200),""))</f>
        <v/>
      </c>
      <c r="I30" s="165"/>
      <c r="K30" s="163" t="str">
        <f ca="1">IFERROR(SMALL(_Datos!$Q$7:$Q$37,ROW()-21+1),"")</f>
        <v/>
      </c>
    </row>
    <row r="31" spans="2:11" x14ac:dyDescent="0.35">
      <c r="B31" s="165" t="str">
        <f t="shared" ca="1" si="0"/>
        <v/>
      </c>
      <c r="C31" s="165" t="str">
        <f ca="1">IF($K31="","",COUNTIF(_Datos!$AD$7:$AD$200,$K31))</f>
        <v/>
      </c>
      <c r="D31" s="165" t="str">
        <f ca="1">IF($K31="","",COUNTIFS(_Datos!$AD$7:$AD$200,$K31,_Datos!$J$7:$J$200,"&lt;&gt;Completado"))</f>
        <v/>
      </c>
      <c r="E31" s="165" t="str">
        <f ca="1">IF($K31="","",COUNTIFS(_Datos!$AD$7:$AD$200,$K31,_Datos!$J$7:$J$200,"Vencido"))</f>
        <v/>
      </c>
      <c r="F31" s="165" t="str">
        <f ca="1">IF($K31="","",COUNTIFS(_Datos!$AD$7:$AD$200,$K31,_Datos!$J$7:$J$200,"Próximo a vencer"))</f>
        <v/>
      </c>
      <c r="G31" s="166" t="str">
        <f ca="1">IF($K31="","",IF($D31=0,"—",_xlfn.MINIFS(_Datos!$H$7:$H$200,_Datos!$AD$7:$AD$200,$K31,_Datos!$J$7:$J$200,"&lt;&gt;Completado")))</f>
        <v/>
      </c>
      <c r="H31" s="167" t="str">
        <f ca="1">IF($K31="","",IFERROR(AVERAGEIF(_Datos!$AD$7:$AD$200,$K31,_Datos!$I$7:$I$200),""))</f>
        <v/>
      </c>
      <c r="I31" s="165"/>
      <c r="K31" s="163" t="str">
        <f ca="1">IFERROR(SMALL(_Datos!$Q$7:$Q$37,ROW()-21+1),"")</f>
        <v/>
      </c>
    </row>
    <row r="32" spans="2:11" x14ac:dyDescent="0.35">
      <c r="B32" s="165" t="str">
        <f t="shared" ca="1" si="0"/>
        <v/>
      </c>
      <c r="C32" s="165" t="str">
        <f ca="1">IF($K32="","",COUNTIF(_Datos!$AD$7:$AD$200,$K32))</f>
        <v/>
      </c>
      <c r="D32" s="165" t="str">
        <f ca="1">IF($K32="","",COUNTIFS(_Datos!$AD$7:$AD$200,$K32,_Datos!$J$7:$J$200,"&lt;&gt;Completado"))</f>
        <v/>
      </c>
      <c r="E32" s="165" t="str">
        <f ca="1">IF($K32="","",COUNTIFS(_Datos!$AD$7:$AD$200,$K32,_Datos!$J$7:$J$200,"Vencido"))</f>
        <v/>
      </c>
      <c r="F32" s="165" t="str">
        <f ca="1">IF($K32="","",COUNTIFS(_Datos!$AD$7:$AD$200,$K32,_Datos!$J$7:$J$200,"Próximo a vencer"))</f>
        <v/>
      </c>
      <c r="G32" s="166" t="str">
        <f ca="1">IF($K32="","",IF($D32=0,"—",_xlfn.MINIFS(_Datos!$H$7:$H$200,_Datos!$AD$7:$AD$200,$K32,_Datos!$J$7:$J$200,"&lt;&gt;Completado")))</f>
        <v/>
      </c>
      <c r="H32" s="167" t="str">
        <f ca="1">IF($K32="","",IFERROR(AVERAGEIF(_Datos!$AD$7:$AD$200,$K32,_Datos!$I$7:$I$200),""))</f>
        <v/>
      </c>
      <c r="I32" s="165"/>
      <c r="K32" s="163" t="str">
        <f ca="1">IFERROR(SMALL(_Datos!$Q$7:$Q$37,ROW()-21+1),"")</f>
        <v/>
      </c>
    </row>
    <row r="34" spans="2:9" ht="15.5" x14ac:dyDescent="0.35">
      <c r="B34" s="193" t="s">
        <v>153</v>
      </c>
      <c r="C34" s="193"/>
      <c r="D34" s="193"/>
      <c r="E34" s="193"/>
      <c r="F34" s="193"/>
      <c r="G34" s="193"/>
      <c r="H34" s="193"/>
      <c r="I34" s="193"/>
    </row>
    <row r="35" spans="2:9" x14ac:dyDescent="0.35">
      <c r="B35" s="156" t="s">
        <v>154</v>
      </c>
      <c r="C35" s="156" t="s">
        <v>155</v>
      </c>
      <c r="D35" s="156" t="s">
        <v>156</v>
      </c>
      <c r="E35" s="156" t="s">
        <v>157</v>
      </c>
    </row>
    <row r="36" spans="2:9" ht="28.5" x14ac:dyDescent="0.35">
      <c r="B36" s="155">
        <f ca="1">COUNTIF(_Datos!$AB$7:$AB$200,"Crítica")</f>
        <v>6</v>
      </c>
      <c r="C36" s="154">
        <f ca="1">COUNTIF(_Datos!$Z$7:$Z$200,TRUE)</f>
        <v>0</v>
      </c>
      <c r="D36" s="154">
        <f ca="1">COUNTIF(_Datos!$W$7:$W$200,"&gt;0")</f>
        <v>13</v>
      </c>
      <c r="E36" s="154">
        <f ca="1">COUNTIF(_Datos!$AC$7:$AC$200,"*SOBRECARGA*")</f>
        <v>37</v>
      </c>
    </row>
    <row r="37" spans="2:9" x14ac:dyDescent="0.35">
      <c r="B37" s="197" t="s">
        <v>158</v>
      </c>
      <c r="C37" s="198"/>
      <c r="D37" s="198"/>
      <c r="E37" s="198"/>
      <c r="F37" s="198"/>
      <c r="G37" s="198"/>
      <c r="H37" s="198"/>
      <c r="I37" s="198"/>
    </row>
    <row r="39" spans="2:9" x14ac:dyDescent="0.35">
      <c r="B39" s="197" t="s">
        <v>159</v>
      </c>
      <c r="C39" s="198"/>
      <c r="D39" s="198"/>
      <c r="E39" s="198"/>
      <c r="F39" s="198"/>
      <c r="G39" s="198"/>
      <c r="H39" s="198"/>
      <c r="I39" s="198"/>
    </row>
  </sheetData>
  <mergeCells count="17">
    <mergeCell ref="B37:I37"/>
    <mergeCell ref="B39:I39"/>
    <mergeCell ref="B14:F14"/>
    <mergeCell ref="B15:F15"/>
    <mergeCell ref="B16:F16"/>
    <mergeCell ref="B19:I19"/>
    <mergeCell ref="B34:I34"/>
    <mergeCell ref="B9:F9"/>
    <mergeCell ref="B10:F10"/>
    <mergeCell ref="B11:F11"/>
    <mergeCell ref="B12:F12"/>
    <mergeCell ref="B13:F13"/>
    <mergeCell ref="B1:I1"/>
    <mergeCell ref="B2:I2"/>
    <mergeCell ref="B4:C4"/>
    <mergeCell ref="B5:C5"/>
    <mergeCell ref="B8:I8"/>
  </mergeCells>
  <conditionalFormatting sqref="B21:H32">
    <cfRule type="expression" dxfId="16" priority="14">
      <formula>$B21&lt;&gt;""</formula>
    </cfRule>
  </conditionalFormatting>
  <conditionalFormatting sqref="B10:I16">
    <cfRule type="expression" dxfId="15" priority="13">
      <formula>$B10&lt;&gt;""</formula>
    </cfRule>
  </conditionalFormatting>
  <conditionalFormatting sqref="H10:H16">
    <cfRule type="dataBar" priority="10">
      <dataBar>
        <cfvo type="num" val="0"/>
        <cfvo type="num" val="1"/>
        <color rgb="FF2E75B6"/>
      </dataBar>
    </cfRule>
  </conditionalFormatting>
  <conditionalFormatting sqref="H21:H32">
    <cfRule type="dataBar" priority="12">
      <dataBar>
        <cfvo type="num" val="0"/>
        <cfvo type="num" val="1"/>
        <color rgb="FF2E75B6"/>
      </dataBar>
    </cfRule>
  </conditionalFormatting>
  <conditionalFormatting sqref="I10:I16">
    <cfRule type="dataBar" priority="11">
      <dataBar showValue="0">
        <cfvo type="num" val="0"/>
        <cfvo type="num" val="1"/>
        <color rgb="FF9DC3E6"/>
      </dataBar>
    </cfRule>
  </conditionalFormatting>
  <pageMargins left="0.4" right="0.4" top="0.5" bottom="0.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B1:P156"/>
  <sheetViews>
    <sheetView showGridLines="0" topLeftCell="C1" workbookViewId="0">
      <pane ySplit="6" topLeftCell="A7" activePane="bottomLeft" state="frozen"/>
      <selection pane="bottomLeft" activeCell="D11" sqref="D11"/>
    </sheetView>
  </sheetViews>
  <sheetFormatPr baseColWidth="10" defaultColWidth="8.7265625" defaultRowHeight="14.5" x14ac:dyDescent="0.35"/>
  <cols>
    <col min="1" max="1" width="2.453125" customWidth="1"/>
    <col min="2" max="2" width="11" customWidth="1"/>
    <col min="3" max="3" width="9" customWidth="1"/>
    <col min="4" max="4" width="46" customWidth="1"/>
    <col min="5" max="5" width="20" customWidth="1"/>
    <col min="6" max="6" width="12" customWidth="1"/>
    <col min="7" max="7" width="16" customWidth="1"/>
    <col min="8" max="8" width="9" customWidth="1"/>
    <col min="9" max="10" width="8" customWidth="1"/>
    <col min="11" max="11" width="10" customWidth="1"/>
    <col min="12" max="12" width="8" customWidth="1"/>
    <col min="13" max="13" width="24" customWidth="1"/>
    <col min="16" max="16" width="9" hidden="1"/>
  </cols>
  <sheetData>
    <row r="1" spans="2:16" ht="26" customHeight="1" x14ac:dyDescent="0.35">
      <c r="B1" s="188" t="s">
        <v>160</v>
      </c>
      <c r="C1" s="188"/>
      <c r="D1" s="188"/>
      <c r="E1" s="188"/>
      <c r="F1" s="188"/>
      <c r="G1" s="188"/>
      <c r="H1" s="188"/>
      <c r="I1" s="188"/>
      <c r="J1" s="188"/>
      <c r="K1" s="188"/>
      <c r="L1" s="188"/>
      <c r="M1" s="188"/>
    </row>
    <row r="2" spans="2:16" ht="16" customHeight="1" x14ac:dyDescent="0.35">
      <c r="B2" s="189" t="str">
        <f ca="1">"Proyecto Datos Op. Complejas · IHSA S.A. · Hoy "&amp;TEXT(TODAY(),"dd/mm/yyyy")&amp;"   |   Entregas: "&amp;COUNT(_Datos!$H$7:$H$200)&amp;"   |   Críticas: "&amp;COUNTIF(_Datos!$AB$7:$AB$200,"Crítica")&amp;"   |   Vencidas: "&amp;COUNTIF(_Datos!$J$7:$J$200,"Vencido")&amp;"   |   Próximas: "&amp;COUNTIF(_Datos!$J$7:$J$200,"Próximo a vencer")&amp;"   |   Bloqueadas: "&amp;COUNTIF(_Datos!$Z$7:$Z$200,TRUE)&amp;"   |   Avance: "&amp;TEXT(IFERROR(AVERAGE(_Datos!$I$7:$I$200),0),"0%")</f>
        <v>Proyecto Datos Op. Complejas · IHSA S.A. · Hoy 19/06/2026   |   Entregas: 42   |   Críticas: 6   |   Vencidas: 13   |   Próximas: 14   |   Bloqueadas: 0   |   Avance: 49%</v>
      </c>
      <c r="C2" s="189"/>
      <c r="D2" s="189"/>
      <c r="E2" s="189"/>
      <c r="F2" s="189"/>
      <c r="G2" s="189"/>
      <c r="H2" s="189"/>
      <c r="I2" s="189"/>
      <c r="J2" s="189"/>
      <c r="K2" s="189"/>
      <c r="L2" s="189"/>
      <c r="M2" s="189"/>
    </row>
    <row r="3" spans="2:16" x14ac:dyDescent="0.35">
      <c r="B3" s="151" t="s">
        <v>161</v>
      </c>
      <c r="C3" s="199" t="s">
        <v>162</v>
      </c>
      <c r="D3" s="199"/>
      <c r="E3" s="161" t="s">
        <v>163</v>
      </c>
      <c r="F3" s="200" t="s">
        <v>142</v>
      </c>
      <c r="G3" s="200"/>
      <c r="H3" s="201" t="s">
        <v>164</v>
      </c>
      <c r="I3" s="201"/>
      <c r="K3" s="202" t="s">
        <v>165</v>
      </c>
      <c r="L3" s="202"/>
      <c r="M3" s="159">
        <v>7</v>
      </c>
    </row>
    <row r="5" spans="2:16" ht="15.5" x14ac:dyDescent="0.35">
      <c r="B5" s="193" t="s">
        <v>166</v>
      </c>
      <c r="C5" s="193"/>
      <c r="D5" s="193"/>
      <c r="E5" s="193"/>
      <c r="F5" s="193"/>
      <c r="G5" s="193"/>
      <c r="H5" s="193"/>
      <c r="I5" s="193"/>
      <c r="J5" s="193"/>
      <c r="K5" s="193"/>
      <c r="L5" s="193"/>
      <c r="M5" s="193"/>
    </row>
    <row r="6" spans="2:16" x14ac:dyDescent="0.35">
      <c r="B6" s="149" t="s">
        <v>167</v>
      </c>
      <c r="C6" s="149" t="s">
        <v>101</v>
      </c>
      <c r="D6" s="149" t="s">
        <v>168</v>
      </c>
      <c r="E6" s="149" t="s">
        <v>169</v>
      </c>
      <c r="F6" s="149" t="s">
        <v>170</v>
      </c>
      <c r="G6" s="149" t="s">
        <v>171</v>
      </c>
      <c r="H6" s="149" t="s">
        <v>172</v>
      </c>
      <c r="I6" s="149" t="s">
        <v>173</v>
      </c>
      <c r="J6" s="149" t="s">
        <v>174</v>
      </c>
      <c r="K6" s="149" t="s">
        <v>175</v>
      </c>
      <c r="L6" s="149" t="s">
        <v>176</v>
      </c>
      <c r="M6" s="149" t="s">
        <v>177</v>
      </c>
    </row>
    <row r="7" spans="2:16" x14ac:dyDescent="0.35">
      <c r="B7" s="165" t="str">
        <f ca="1">IF($P7="","",INDEX(_Datos!$AB$7:$AB$200,$P7))</f>
        <v>Crítica</v>
      </c>
      <c r="C7" s="165">
        <f ca="1">IF($P7="","",INDEX(_Datos!$AE$7:$AE$200,$P7))</f>
        <v>2</v>
      </c>
      <c r="D7" s="162" t="str">
        <f ca="1">IF($P7="","",INDEX(_Datos!$F$7:$F$200,$P7))</f>
        <v>Planilla Activos Unificados - Estandarizar + Procedimiento</v>
      </c>
      <c r="E7" s="162" t="str">
        <f ca="1">IF($P7="","",INDEX(_Datos!$G$7:$G$200,$P7))</f>
        <v>Santiago Alonso</v>
      </c>
      <c r="F7" s="166">
        <f ca="1">IF($P7="","",INDEX(_Datos!$H$7:$H$200,$P7))</f>
        <v>46185</v>
      </c>
      <c r="G7" s="165" t="str">
        <f ca="1">IF($P7="","",INDEX(_Datos!$J$7:$J$200,$P7))</f>
        <v>Vencido</v>
      </c>
      <c r="H7" s="168">
        <f ca="1">IF($P7="","",INDEX(_Datos!$K$7:$K$200,$P7))</f>
        <v>-7</v>
      </c>
      <c r="I7" s="168">
        <f ca="1">IF($P7="","",INDEX(_Datos!$S$7:$S$200,$P7))</f>
        <v>194</v>
      </c>
      <c r="J7" s="168">
        <f ca="1">IF($P7="","",INDEX(_Datos!$T$7:$T$200,$P7))</f>
        <v>200</v>
      </c>
      <c r="K7" s="167">
        <f ca="1">IF($P7="","",INDEX(_Datos!$V$7:$V$200,$P7))</f>
        <v>-0.8</v>
      </c>
      <c r="L7" s="168">
        <f ca="1">IF($P7="","",INDEX(_Datos!$W$7:$W$200,$P7))</f>
        <v>7</v>
      </c>
      <c r="M7" s="162" t="str">
        <f ca="1">IF($P7="","",INDEX(_Datos!$AC$7:$AC$200,$P7))</f>
        <v>ATRASO SOBRECARGA</v>
      </c>
      <c r="P7" s="163">
        <f ca="1">IFERROR(MATCH(LARGE(_Datos!$AJ$7:$AJ$200,ROW()-7+1),_Datos!$AJ$7:$AJ$200,0),"")</f>
        <v>31</v>
      </c>
    </row>
    <row r="8" spans="2:16" hidden="1" x14ac:dyDescent="0.35">
      <c r="B8" s="165" t="str">
        <f ca="1">IF($P8="","",INDEX(_Datos!$AB$7:$AB$200,$P8))</f>
        <v>Crítica</v>
      </c>
      <c r="C8" s="165" t="str">
        <f ca="1">IF($P8="","",INDEX(_Datos!$AE$7:$AE$200,$P8))</f>
        <v>(Sin sprint)</v>
      </c>
      <c r="D8" s="162" t="str">
        <f ca="1">IF($P8="","",INDEX(_Datos!$F$7:$F$200,$P8))</f>
        <v>Locaciones Geográficas Pozos Petro (ver datos Secretaria de Energía)</v>
      </c>
      <c r="E8" s="162" t="str">
        <f ca="1">IF($P8="","",INDEX(_Datos!$G$7:$G$200,$P8))</f>
        <v>Santiago Alonso</v>
      </c>
      <c r="F8" s="166">
        <f ca="1">IF($P8="","",INDEX(_Datos!$H$7:$H$200,$P8))</f>
        <v>46192</v>
      </c>
      <c r="G8" s="165" t="str">
        <f ca="1">IF($P8="","",INDEX(_Datos!$J$7:$J$200,$P8))</f>
        <v>Próximo a vencer</v>
      </c>
      <c r="H8" s="168">
        <f ca="1">IF($P8="","",INDEX(_Datos!$K$7:$K$200,$P8))</f>
        <v>0</v>
      </c>
      <c r="I8" s="168">
        <f ca="1">IF($P8="","",INDEX(_Datos!$S$7:$S$200,$P8))</f>
        <v>5</v>
      </c>
      <c r="J8" s="168">
        <f ca="1">IF($P8="","",INDEX(_Datos!$T$7:$T$200,$P8))</f>
        <v>4</v>
      </c>
      <c r="K8" s="167">
        <f ca="1">IF($P8="","",INDEX(_Datos!$V$7:$V$200,$P8))</f>
        <v>-0.9</v>
      </c>
      <c r="L8" s="168">
        <f ca="1">IF($P8="","",INDEX(_Datos!$W$7:$W$200,$P8))</f>
        <v>0</v>
      </c>
      <c r="M8" s="162" t="str">
        <f ca="1">IF($P8="","",INDEX(_Datos!$AC$7:$AC$200,$P8))</f>
        <v>ATRASO SOBRECARGA</v>
      </c>
      <c r="P8" s="163">
        <f ca="1">IFERROR(MATCH(LARGE(_Datos!$AJ$7:$AJ$200,ROW()-7+1),_Datos!$AJ$7:$AJ$200,0),"")</f>
        <v>37</v>
      </c>
    </row>
    <row r="9" spans="2:16" x14ac:dyDescent="0.35">
      <c r="B9" s="165" t="str">
        <f ca="1">IF($P9="","",INDEX(_Datos!$AB$7:$AB$200,$P9))</f>
        <v>Crítica</v>
      </c>
      <c r="C9" s="165">
        <f ca="1">IF($P9="","",INDEX(_Datos!$AE$7:$AE$200,$P9))</f>
        <v>2</v>
      </c>
      <c r="D9" s="162" t="str">
        <f ca="1">IF($P9="","",INDEX(_Datos!$F$7:$F$200,$P9))</f>
        <v>Resumen Clientes Op. Dedicadas</v>
      </c>
      <c r="E9" s="162" t="str">
        <f ca="1">IF($P9="","",INDEX(_Datos!$G$7:$G$200,$P9))</f>
        <v>Santiago Alonso</v>
      </c>
      <c r="F9" s="166">
        <f ca="1">IF($P9="","",INDEX(_Datos!$H$7:$H$200,$P9))</f>
        <v>46185</v>
      </c>
      <c r="G9" s="165" t="str">
        <f ca="1">IF($P9="","",INDEX(_Datos!$J$7:$J$200,$P9))</f>
        <v>Vencido</v>
      </c>
      <c r="H9" s="168">
        <f ca="1">IF($P9="","",INDEX(_Datos!$K$7:$K$200,$P9))</f>
        <v>-7</v>
      </c>
      <c r="I9" s="168">
        <f ca="1">IF($P9="","",INDEX(_Datos!$S$7:$S$200,$P9))</f>
        <v>-2</v>
      </c>
      <c r="J9" s="168">
        <f ca="1">IF($P9="","",INDEX(_Datos!$T$7:$T$200,$P9))</f>
        <v>4</v>
      </c>
      <c r="K9" s="167">
        <f ca="1">IF($P9="","",INDEX(_Datos!$V$7:$V$200,$P9))</f>
        <v>-0.6</v>
      </c>
      <c r="L9" s="168">
        <f ca="1">IF($P9="","",INDEX(_Datos!$W$7:$W$200,$P9))</f>
        <v>7</v>
      </c>
      <c r="M9" s="162" t="str">
        <f ca="1">IF($P9="","",INDEX(_Datos!$AC$7:$AC$200,$P9))</f>
        <v>ATRASO SOBRECARGA</v>
      </c>
      <c r="P9" s="163">
        <f ca="1">IFERROR(MATCH(LARGE(_Datos!$AJ$7:$AJ$200,ROW()-7+1),_Datos!$AJ$7:$AJ$200,0),"")</f>
        <v>36</v>
      </c>
    </row>
    <row r="10" spans="2:16" hidden="1" x14ac:dyDescent="0.35">
      <c r="B10" s="165" t="str">
        <f ca="1">IF($P10="","",INDEX(_Datos!$AB$7:$AB$200,$P10))</f>
        <v>Crítica</v>
      </c>
      <c r="C10" s="165" t="str">
        <f ca="1">IF($P10="","",INDEX(_Datos!$AE$7:$AE$200,$P10))</f>
        <v>(Sin sprint)</v>
      </c>
      <c r="D10" s="162" t="str">
        <f ca="1">IF($P10="","",INDEX(_Datos!$F$7:$F$200,$P10))</f>
        <v>Estandarización cotizaciones COMPRAS (costos x provincia) - aguardo información</v>
      </c>
      <c r="E10" s="162" t="str">
        <f ca="1">IF($P10="","",INDEX(_Datos!$G$7:$G$200,$P10))</f>
        <v>Santiago Alonso</v>
      </c>
      <c r="F10" s="166">
        <f ca="1">IF($P10="","",INDEX(_Datos!$H$7:$H$200,$P10))</f>
        <v>46199</v>
      </c>
      <c r="G10" s="165" t="str">
        <f ca="1">IF($P10="","",INDEX(_Datos!$J$7:$J$200,$P10))</f>
        <v>Próximo a vencer</v>
      </c>
      <c r="H10" s="168">
        <f ca="1">IF($P10="","",INDEX(_Datos!$K$7:$K$200,$P10))</f>
        <v>7</v>
      </c>
      <c r="I10" s="168">
        <f ca="1">IF($P10="","",INDEX(_Datos!$S$7:$S$200,$P10))</f>
        <v>241</v>
      </c>
      <c r="J10" s="168">
        <f ca="1">IF($P10="","",INDEX(_Datos!$T$7:$T$200,$P10))</f>
        <v>233</v>
      </c>
      <c r="K10" s="167">
        <f ca="1">IF($P10="","",INDEX(_Datos!$V$7:$V$200,$P10))</f>
        <v>-0.77083333333333326</v>
      </c>
      <c r="L10" s="168">
        <f ca="1">IF($P10="","",INDEX(_Datos!$W$7:$W$200,$P10))</f>
        <v>0</v>
      </c>
      <c r="M10" s="162" t="str">
        <f ca="1">IF($P10="","",INDEX(_Datos!$AC$7:$AC$200,$P10))</f>
        <v>ATRASO SOBRECARGA</v>
      </c>
      <c r="P10" s="163">
        <f ca="1">IFERROR(MATCH(LARGE(_Datos!$AJ$7:$AJ$200,ROW()-7+1),_Datos!$AJ$7:$AJ$200,0),"")</f>
        <v>8</v>
      </c>
    </row>
    <row r="11" spans="2:16" x14ac:dyDescent="0.35">
      <c r="B11" s="165" t="str">
        <f ca="1">IF($P11="","",INDEX(_Datos!$AB$7:$AB$200,$P11))</f>
        <v>Crítica</v>
      </c>
      <c r="C11" s="165">
        <f ca="1">IF($P11="","",INDEX(_Datos!$AE$7:$AE$200,$P11))</f>
        <v>2</v>
      </c>
      <c r="D11" s="162" t="str">
        <f ca="1">IF($P11="","",INDEX(_Datos!$F$7:$F$200,$P11))</f>
        <v>Resumen Clientes Minería</v>
      </c>
      <c r="E11" s="162" t="str">
        <f ca="1">IF($P11="","",INDEX(_Datos!$G$7:$G$200,$P11))</f>
        <v>Santiago Alonso</v>
      </c>
      <c r="F11" s="166">
        <f ca="1">IF($P11="","",INDEX(_Datos!$H$7:$H$200,$P11))</f>
        <v>46185</v>
      </c>
      <c r="G11" s="165" t="str">
        <f ca="1">IF($P11="","",INDEX(_Datos!$J$7:$J$200,$P11))</f>
        <v>Vencido</v>
      </c>
      <c r="H11" s="168">
        <f ca="1">IF($P11="","",INDEX(_Datos!$K$7:$K$200,$P11))</f>
        <v>-7</v>
      </c>
      <c r="I11" s="168">
        <f ca="1">IF($P11="","",INDEX(_Datos!$S$7:$S$200,$P11))</f>
        <v>-2</v>
      </c>
      <c r="J11" s="168">
        <f ca="1">IF($P11="","",INDEX(_Datos!$T$7:$T$200,$P11))</f>
        <v>4</v>
      </c>
      <c r="K11" s="167">
        <f ca="1">IF($P11="","",INDEX(_Datos!$V$7:$V$200,$P11))</f>
        <v>-0.5</v>
      </c>
      <c r="L11" s="168">
        <f ca="1">IF($P11="","",INDEX(_Datos!$W$7:$W$200,$P11))</f>
        <v>7</v>
      </c>
      <c r="M11" s="162" t="str">
        <f ca="1">IF($P11="","",INDEX(_Datos!$AC$7:$AC$200,$P11))</f>
        <v>ATRASO SOBRECARGA</v>
      </c>
      <c r="P11" s="163">
        <f ca="1">IFERROR(MATCH(LARGE(_Datos!$AJ$7:$AJ$200,ROW()-7+1),_Datos!$AJ$7:$AJ$200,0),"")</f>
        <v>35</v>
      </c>
    </row>
    <row r="12" spans="2:16" x14ac:dyDescent="0.35">
      <c r="B12" s="165" t="str">
        <f ca="1">IF($P12="","",INDEX(_Datos!$AB$7:$AB$200,$P12))</f>
        <v>Crítica</v>
      </c>
      <c r="C12" s="165">
        <f ca="1">IF($P12="","",INDEX(_Datos!$AE$7:$AE$200,$P12))</f>
        <v>2</v>
      </c>
      <c r="D12" s="162" t="str">
        <f ca="1">IF($P12="","",INDEX(_Datos!$F$7:$F$200,$P12))</f>
        <v>Armado de Dashboard + Diseño</v>
      </c>
      <c r="E12" s="162" t="str">
        <f ca="1">IF($P12="","",INDEX(_Datos!$G$7:$G$200,$P12))</f>
        <v>Santiago Alonso</v>
      </c>
      <c r="F12" s="166">
        <f ca="1">IF($P12="","",INDEX(_Datos!$H$7:$H$200,$P12))</f>
        <v>46185</v>
      </c>
      <c r="G12" s="165" t="str">
        <f ca="1">IF($P12="","",INDEX(_Datos!$J$7:$J$200,$P12))</f>
        <v>Vencido</v>
      </c>
      <c r="H12" s="168">
        <f ca="1">IF($P12="","",INDEX(_Datos!$K$7:$K$200,$P12))</f>
        <v>-7</v>
      </c>
      <c r="I12" s="168">
        <f ca="1">IF($P12="","",INDEX(_Datos!$S$7:$S$200,$P12))</f>
        <v>0</v>
      </c>
      <c r="J12" s="168">
        <f ca="1">IF($P12="","",INDEX(_Datos!$T$7:$T$200,$P12))</f>
        <v>6</v>
      </c>
      <c r="K12" s="167">
        <f ca="1">IF($P12="","",INDEX(_Datos!$V$7:$V$200,$P12))</f>
        <v>-0.5</v>
      </c>
      <c r="L12" s="168">
        <f ca="1">IF($P12="","",INDEX(_Datos!$W$7:$W$200,$P12))</f>
        <v>7</v>
      </c>
      <c r="M12" s="162" t="str">
        <f ca="1">IF($P12="","",INDEX(_Datos!$AC$7:$AC$200,$P12))</f>
        <v>ATRASO SOBRECARGA</v>
      </c>
      <c r="P12" s="163">
        <f ca="1">IFERROR(MATCH(LARGE(_Datos!$AJ$7:$AJ$200,ROW()-7+1),_Datos!$AJ$7:$AJ$200,0),"")</f>
        <v>41</v>
      </c>
    </row>
    <row r="13" spans="2:16" hidden="1" x14ac:dyDescent="0.35">
      <c r="B13" s="165" t="str">
        <f ca="1">IF($P13="","",INDEX(_Datos!$AB$7:$AB$200,$P13))</f>
        <v>Alta</v>
      </c>
      <c r="C13" s="165" t="str">
        <f ca="1">IF($P13="","",INDEX(_Datos!$AE$7:$AE$200,$P13))</f>
        <v>(Sin sprint)</v>
      </c>
      <c r="D13" s="162" t="str">
        <f ca="1">IF($P13="","",INDEX(_Datos!$F$7:$F$200,$P13))</f>
        <v>Analizar viabilidad de input Redash: Importe Provisionado (Datalake --&gt; Clik Sense)</v>
      </c>
      <c r="E13" s="162" t="str">
        <f ca="1">IF($P13="","",INDEX(_Datos!$G$7:$G$200,$P13))</f>
        <v>Santiago Alonso</v>
      </c>
      <c r="F13" s="166">
        <f ca="1">IF($P13="","",INDEX(_Datos!$H$7:$H$200,$P13))</f>
        <v>46192</v>
      </c>
      <c r="G13" s="165" t="str">
        <f ca="1">IF($P13="","",INDEX(_Datos!$J$7:$J$200,$P13))</f>
        <v>Próximo a vencer</v>
      </c>
      <c r="H13" s="168">
        <f ca="1">IF($P13="","",INDEX(_Datos!$K$7:$K$200,$P13))</f>
        <v>0</v>
      </c>
      <c r="I13" s="168">
        <f ca="1">IF($P13="","",INDEX(_Datos!$S$7:$S$200,$P13))</f>
        <v>5</v>
      </c>
      <c r="J13" s="168">
        <f ca="1">IF($P13="","",INDEX(_Datos!$T$7:$T$200,$P13))</f>
        <v>4</v>
      </c>
      <c r="K13" s="167">
        <f ca="1">IF($P13="","",INDEX(_Datos!$V$7:$V$200,$P13))</f>
        <v>-0.4</v>
      </c>
      <c r="L13" s="168">
        <f ca="1">IF($P13="","",INDEX(_Datos!$W$7:$W$200,$P13))</f>
        <v>0</v>
      </c>
      <c r="M13" s="162" t="str">
        <f ca="1">IF($P13="","",INDEX(_Datos!$AC$7:$AC$200,$P13))</f>
        <v>ATRASO SOBRECARGA</v>
      </c>
      <c r="P13" s="163">
        <f ca="1">IFERROR(MATCH(LARGE(_Datos!$AJ$7:$AJ$200,ROW()-7+1),_Datos!$AJ$7:$AJ$200,0),"")</f>
        <v>26</v>
      </c>
    </row>
    <row r="14" spans="2:16" x14ac:dyDescent="0.35">
      <c r="B14" s="165" t="str">
        <f ca="1">IF($P14="","",INDEX(_Datos!$AB$7:$AB$200,$P14))</f>
        <v>Alta</v>
      </c>
      <c r="C14" s="165">
        <f ca="1">IF($P14="","",INDEX(_Datos!$AE$7:$AE$200,$P14))</f>
        <v>2</v>
      </c>
      <c r="D14" s="162" t="str">
        <f ca="1">IF($P14="","",INDEX(_Datos!$F$7:$F$200,$P14))</f>
        <v>Revisión de viabilidad de incorporación datos Redash (input ZReal con clasificaciones automaticas por CECO - Directas e Indirectas)</v>
      </c>
      <c r="E14" s="162" t="str">
        <f ca="1">IF($P14="","",INDEX(_Datos!$G$7:$G$200,$P14))</f>
        <v>Santiago Alonso</v>
      </c>
      <c r="F14" s="166">
        <f ca="1">IF($P14="","",INDEX(_Datos!$H$7:$H$200,$P14))</f>
        <v>46185</v>
      </c>
      <c r="G14" s="165" t="str">
        <f ca="1">IF($P14="","",INDEX(_Datos!$J$7:$J$200,$P14))</f>
        <v>Vencido</v>
      </c>
      <c r="H14" s="168">
        <f ca="1">IF($P14="","",INDEX(_Datos!$K$7:$K$200,$P14))</f>
        <v>-7</v>
      </c>
      <c r="I14" s="168">
        <f ca="1">IF($P14="","",INDEX(_Datos!$S$7:$S$200,$P14))</f>
        <v>9</v>
      </c>
      <c r="J14" s="168">
        <f ca="1">IF($P14="","",INDEX(_Datos!$T$7:$T$200,$P14))</f>
        <v>15</v>
      </c>
      <c r="K14" s="167">
        <f ca="1">IF($P14="","",INDEX(_Datos!$V$7:$V$200,$P14))</f>
        <v>-9.9999999999999978E-2</v>
      </c>
      <c r="L14" s="168">
        <f ca="1">IF($P14="","",INDEX(_Datos!$W$7:$W$200,$P14))</f>
        <v>7</v>
      </c>
      <c r="M14" s="162" t="str">
        <f ca="1">IF($P14="","",INDEX(_Datos!$AC$7:$AC$200,$P14))</f>
        <v>ATRASO SOBRECARGA</v>
      </c>
      <c r="P14" s="163">
        <f ca="1">IFERROR(MATCH(LARGE(_Datos!$AJ$7:$AJ$200,ROW()-7+1),_Datos!$AJ$7:$AJ$200,0),"")</f>
        <v>19</v>
      </c>
    </row>
    <row r="15" spans="2:16" x14ac:dyDescent="0.35">
      <c r="B15" s="165" t="str">
        <f ca="1">IF($P15="","",INDEX(_Datos!$AB$7:$AB$200,$P15))</f>
        <v>Alta</v>
      </c>
      <c r="C15" s="165">
        <f ca="1">IF($P15="","",INDEX(_Datos!$AE$7:$AE$200,$P15))</f>
        <v>2</v>
      </c>
      <c r="D15" s="162" t="str">
        <f ca="1">IF($P15="","",INDEX(_Datos!$F$7:$F$200,$P15))</f>
        <v>Procedimiento</v>
      </c>
      <c r="E15" s="162" t="str">
        <f ca="1">IF($P15="","",INDEX(_Datos!$G$7:$G$200,$P15))</f>
        <v>Santiago Alonso</v>
      </c>
      <c r="F15" s="166">
        <f ca="1">IF($P15="","",INDEX(_Datos!$H$7:$H$200,$P15))</f>
        <v>46185</v>
      </c>
      <c r="G15" s="165" t="str">
        <f ca="1">IF($P15="","",INDEX(_Datos!$J$7:$J$200,$P15))</f>
        <v>Vencido</v>
      </c>
      <c r="H15" s="168">
        <f ca="1">IF($P15="","",INDEX(_Datos!$K$7:$K$200,$P15))</f>
        <v>-7</v>
      </c>
      <c r="I15" s="168">
        <f ca="1">IF($P15="","",INDEX(_Datos!$S$7:$S$200,$P15))</f>
        <v>5</v>
      </c>
      <c r="J15" s="168">
        <f ca="1">IF($P15="","",INDEX(_Datos!$T$7:$T$200,$P15))</f>
        <v>11</v>
      </c>
      <c r="K15" s="167">
        <f ca="1">IF($P15="","",INDEX(_Datos!$V$7:$V$200,$P15))</f>
        <v>-9.9999999999999978E-2</v>
      </c>
      <c r="L15" s="168">
        <f ca="1">IF($P15="","",INDEX(_Datos!$W$7:$W$200,$P15))</f>
        <v>7</v>
      </c>
      <c r="M15" s="162" t="str">
        <f ca="1">IF($P15="","",INDEX(_Datos!$AC$7:$AC$200,$P15))</f>
        <v>ATRASO SOBRECARGA</v>
      </c>
      <c r="P15" s="163">
        <f ca="1">IFERROR(MATCH(LARGE(_Datos!$AJ$7:$AJ$200,ROW()-7+1),_Datos!$AJ$7:$AJ$200,0),"")</f>
        <v>22</v>
      </c>
    </row>
    <row r="16" spans="2:16" x14ac:dyDescent="0.35">
      <c r="B16" s="165" t="str">
        <f ca="1">IF($P16="","",INDEX(_Datos!$AB$7:$AB$200,$P16))</f>
        <v>Alta</v>
      </c>
      <c r="C16" s="165">
        <f ca="1">IF($P16="","",INDEX(_Datos!$AE$7:$AE$200,$P16))</f>
        <v>2</v>
      </c>
      <c r="D16" s="162" t="str">
        <f ca="1">IF($P16="","",INDEX(_Datos!$F$7:$F$200,$P16))</f>
        <v>Aging - desde SharePoint</v>
      </c>
      <c r="E16" s="162" t="str">
        <f ca="1">IF($P16="","",INDEX(_Datos!$G$7:$G$200,$P16))</f>
        <v>Santiago Alonso</v>
      </c>
      <c r="F16" s="166">
        <f ca="1">IF($P16="","",INDEX(_Datos!$H$7:$H$200,$P16))</f>
        <v>46185</v>
      </c>
      <c r="G16" s="165" t="str">
        <f ca="1">IF($P16="","",INDEX(_Datos!$J$7:$J$200,$P16))</f>
        <v>Vencido</v>
      </c>
      <c r="H16" s="168">
        <f ca="1">IF($P16="","",INDEX(_Datos!$K$7:$K$200,$P16))</f>
        <v>-7</v>
      </c>
      <c r="I16" s="168">
        <f ca="1">IF($P16="","",INDEX(_Datos!$S$7:$S$200,$P16))</f>
        <v>194</v>
      </c>
      <c r="J16" s="168">
        <f ca="1">IF($P16="","",INDEX(_Datos!$T$7:$T$200,$P16))</f>
        <v>200</v>
      </c>
      <c r="K16" s="167">
        <f ca="1">IF($P16="","",INDEX(_Datos!$V$7:$V$200,$P16))</f>
        <v>-9.9999999999999978E-2</v>
      </c>
      <c r="L16" s="168">
        <f ca="1">IF($P16="","",INDEX(_Datos!$W$7:$W$200,$P16))</f>
        <v>7</v>
      </c>
      <c r="M16" s="162" t="str">
        <f ca="1">IF($P16="","",INDEX(_Datos!$AC$7:$AC$200,$P16))</f>
        <v>ATRASO SOBRECARGA</v>
      </c>
      <c r="P16" s="163">
        <f ca="1">IFERROR(MATCH(LARGE(_Datos!$AJ$7:$AJ$200,ROW()-7+1),_Datos!$AJ$7:$AJ$200,0),"")</f>
        <v>23</v>
      </c>
    </row>
    <row r="17" spans="2:16" x14ac:dyDescent="0.35">
      <c r="B17" s="165" t="str">
        <f ca="1">IF($P17="","",INDEX(_Datos!$AB$7:$AB$200,$P17))</f>
        <v>Alta</v>
      </c>
      <c r="C17" s="165">
        <f ca="1">IF($P17="","",INDEX(_Datos!$AE$7:$AE$200,$P17))</f>
        <v>2</v>
      </c>
      <c r="D17" s="162" t="str">
        <f ca="1">IF($P17="","",INDEX(_Datos!$F$7:$F$200,$P17))</f>
        <v>Dias en Calle - desde SharePoint</v>
      </c>
      <c r="E17" s="162" t="str">
        <f ca="1">IF($P17="","",INDEX(_Datos!$G$7:$G$200,$P17))</f>
        <v>Santiago Alonso</v>
      </c>
      <c r="F17" s="166">
        <f ca="1">IF($P17="","",INDEX(_Datos!$H$7:$H$200,$P17))</f>
        <v>46185</v>
      </c>
      <c r="G17" s="165" t="str">
        <f ca="1">IF($P17="","",INDEX(_Datos!$J$7:$J$200,$P17))</f>
        <v>Vencido</v>
      </c>
      <c r="H17" s="168">
        <f ca="1">IF($P17="","",INDEX(_Datos!$K$7:$K$200,$P17))</f>
        <v>-7</v>
      </c>
      <c r="I17" s="168">
        <f ca="1">IF($P17="","",INDEX(_Datos!$S$7:$S$200,$P17))</f>
        <v>194</v>
      </c>
      <c r="J17" s="168">
        <f ca="1">IF($P17="","",INDEX(_Datos!$T$7:$T$200,$P17))</f>
        <v>200</v>
      </c>
      <c r="K17" s="167">
        <f ca="1">IF($P17="","",INDEX(_Datos!$V$7:$V$200,$P17))</f>
        <v>-9.9999999999999978E-2</v>
      </c>
      <c r="L17" s="168">
        <f ca="1">IF($P17="","",INDEX(_Datos!$W$7:$W$200,$P17))</f>
        <v>7</v>
      </c>
      <c r="M17" s="162" t="str">
        <f ca="1">IF($P17="","",INDEX(_Datos!$AC$7:$AC$200,$P17))</f>
        <v>ATRASO SOBRECARGA</v>
      </c>
      <c r="P17" s="163">
        <f ca="1">IFERROR(MATCH(LARGE(_Datos!$AJ$7:$AJ$200,ROW()-7+1),_Datos!$AJ$7:$AJ$200,0),"")</f>
        <v>24</v>
      </c>
    </row>
    <row r="18" spans="2:16" x14ac:dyDescent="0.35">
      <c r="B18" s="165" t="str">
        <f ca="1">IF($P18="","",INDEX(_Datos!$AB$7:$AB$200,$P18))</f>
        <v>Alta</v>
      </c>
      <c r="C18" s="165">
        <f ca="1">IF($P18="","",INDEX(_Datos!$AE$7:$AE$200,$P18))</f>
        <v>2</v>
      </c>
      <c r="D18" s="162" t="str">
        <f ca="1">IF($P18="","",INDEX(_Datos!$F$7:$F$200,$P18))</f>
        <v>Input de datos desde Provisión mensual</v>
      </c>
      <c r="E18" s="162" t="str">
        <f ca="1">IF($P18="","",INDEX(_Datos!$G$7:$G$200,$P18))</f>
        <v>Santiago Alonso</v>
      </c>
      <c r="F18" s="166">
        <f ca="1">IF($P18="","",INDEX(_Datos!$H$7:$H$200,$P18))</f>
        <v>46185</v>
      </c>
      <c r="G18" s="165" t="str">
        <f ca="1">IF($P18="","",INDEX(_Datos!$J$7:$J$200,$P18))</f>
        <v>Vencido</v>
      </c>
      <c r="H18" s="168">
        <f ca="1">IF($P18="","",INDEX(_Datos!$K$7:$K$200,$P18))</f>
        <v>-7</v>
      </c>
      <c r="I18" s="168">
        <f ca="1">IF($P18="","",INDEX(_Datos!$S$7:$S$200,$P18))</f>
        <v>163</v>
      </c>
      <c r="J18" s="168">
        <f ca="1">IF($P18="","",INDEX(_Datos!$T$7:$T$200,$P18))</f>
        <v>169</v>
      </c>
      <c r="K18" s="167">
        <f ca="1">IF($P18="","",INDEX(_Datos!$V$7:$V$200,$P18))</f>
        <v>-9.9999999999999978E-2</v>
      </c>
      <c r="L18" s="168">
        <f ca="1">IF($P18="","",INDEX(_Datos!$W$7:$W$200,$P18))</f>
        <v>7</v>
      </c>
      <c r="M18" s="162" t="str">
        <f ca="1">IF($P18="","",INDEX(_Datos!$AC$7:$AC$200,$P18))</f>
        <v>ATRASO SOBRECARGA</v>
      </c>
      <c r="P18" s="163">
        <f ca="1">IFERROR(MATCH(LARGE(_Datos!$AJ$7:$AJ$200,ROW()-7+1),_Datos!$AJ$7:$AJ$200,0),"")</f>
        <v>25</v>
      </c>
    </row>
    <row r="19" spans="2:16" x14ac:dyDescent="0.35">
      <c r="B19" s="165" t="str">
        <f ca="1">IF($P19="","",INDEX(_Datos!$AB$7:$AB$200,$P19))</f>
        <v>Alta</v>
      </c>
      <c r="C19" s="165">
        <f ca="1">IF($P19="","",INDEX(_Datos!$AE$7:$AE$200,$P19))</f>
        <v>2</v>
      </c>
      <c r="D19" s="162" t="str">
        <f ca="1">IF($P19="","",INDEX(_Datos!$F$7:$F$200,$P19))</f>
        <v>Planilla DTM Estandarizada+ Procedimiento</v>
      </c>
      <c r="E19" s="162" t="str">
        <f ca="1">IF($P19="","",INDEX(_Datos!$G$7:$G$200,$P19))</f>
        <v>Santiago Alonso</v>
      </c>
      <c r="F19" s="166">
        <f ca="1">IF($P19="","",INDEX(_Datos!$H$7:$H$200,$P19))</f>
        <v>46185</v>
      </c>
      <c r="G19" s="165" t="str">
        <f ca="1">IF($P19="","",INDEX(_Datos!$J$7:$J$200,$P19))</f>
        <v>Vencido</v>
      </c>
      <c r="H19" s="168">
        <f ca="1">IF($P19="","",INDEX(_Datos!$K$7:$K$200,$P19))</f>
        <v>-7</v>
      </c>
      <c r="I19" s="168">
        <f ca="1">IF($P19="","",INDEX(_Datos!$S$7:$S$200,$P19))</f>
        <v>163</v>
      </c>
      <c r="J19" s="168">
        <f ca="1">IF($P19="","",INDEX(_Datos!$T$7:$T$200,$P19))</f>
        <v>169</v>
      </c>
      <c r="K19" s="167">
        <f ca="1">IF($P19="","",INDEX(_Datos!$V$7:$V$200,$P19))</f>
        <v>-9.9999999999999978E-2</v>
      </c>
      <c r="L19" s="168">
        <f ca="1">IF($P19="","",INDEX(_Datos!$W$7:$W$200,$P19))</f>
        <v>7</v>
      </c>
      <c r="M19" s="162" t="str">
        <f ca="1">IF($P19="","",INDEX(_Datos!$AC$7:$AC$200,$P19))</f>
        <v>ATRASO SOBRECARGA</v>
      </c>
      <c r="P19" s="163">
        <f ca="1">IFERROR(MATCH(LARGE(_Datos!$AJ$7:$AJ$200,ROW()-7+1),_Datos!$AJ$7:$AJ$200,0),"")</f>
        <v>32</v>
      </c>
    </row>
    <row r="20" spans="2:16" x14ac:dyDescent="0.35">
      <c r="B20" s="165" t="str">
        <f ca="1">IF($P20="","",INDEX(_Datos!$AB$7:$AB$200,$P20))</f>
        <v>Alta</v>
      </c>
      <c r="C20" s="165">
        <f ca="1">IF($P20="","",INDEX(_Datos!$AE$7:$AE$200,$P20))</f>
        <v>2</v>
      </c>
      <c r="D20" s="162" t="str">
        <f ca="1">IF($P20="","",INDEX(_Datos!$F$7:$F$200,$P20))</f>
        <v>Planilla Aeroevaciaciones + Procedimiento</v>
      </c>
      <c r="E20" s="162" t="str">
        <f ca="1">IF($P20="","",INDEX(_Datos!$G$7:$G$200,$P20))</f>
        <v>Santiago Alonso</v>
      </c>
      <c r="F20" s="166">
        <f ca="1">IF($P20="","",INDEX(_Datos!$H$7:$H$200,$P20))</f>
        <v>46185</v>
      </c>
      <c r="G20" s="165" t="str">
        <f ca="1">IF($P20="","",INDEX(_Datos!$J$7:$J$200,$P20))</f>
        <v>Vencido</v>
      </c>
      <c r="H20" s="168">
        <f ca="1">IF($P20="","",INDEX(_Datos!$K$7:$K$200,$P20))</f>
        <v>-7</v>
      </c>
      <c r="I20" s="168">
        <f ca="1">IF($P20="","",INDEX(_Datos!$S$7:$S$200,$P20))</f>
        <v>194</v>
      </c>
      <c r="J20" s="168">
        <f ca="1">IF($P20="","",INDEX(_Datos!$T$7:$T$200,$P20))</f>
        <v>200</v>
      </c>
      <c r="K20" s="167">
        <f ca="1">IF($P20="","",INDEX(_Datos!$V$7:$V$200,$P20))</f>
        <v>-5.0000000000000044E-2</v>
      </c>
      <c r="L20" s="168">
        <f ca="1">IF($P20="","",INDEX(_Datos!$W$7:$W$200,$P20))</f>
        <v>7</v>
      </c>
      <c r="M20" s="162" t="str">
        <f ca="1">IF($P20="","",INDEX(_Datos!$AC$7:$AC$200,$P20))</f>
        <v>ATRASO SOBRECARGA</v>
      </c>
      <c r="P20" s="163">
        <f ca="1">IFERROR(MATCH(LARGE(_Datos!$AJ$7:$AJ$200,ROW()-7+1),_Datos!$AJ$7:$AJ$200,0),"")</f>
        <v>33</v>
      </c>
    </row>
    <row r="21" spans="2:16" x14ac:dyDescent="0.35">
      <c r="B21" s="165" t="str">
        <f ca="1">IF($P21="","",INDEX(_Datos!$AB$7:$AB$200,$P21))</f>
        <v>Alta</v>
      </c>
      <c r="C21" s="165">
        <f ca="1">IF($P21="","",INDEX(_Datos!$AE$7:$AE$200,$P21))</f>
        <v>2</v>
      </c>
      <c r="D21" s="162" t="str">
        <f ca="1">IF($P21="","",INDEX(_Datos!$F$7:$F$200,$P21))</f>
        <v>Resumen Clientes Petróleo</v>
      </c>
      <c r="E21" s="162" t="str">
        <f ca="1">IF($P21="","",INDEX(_Datos!$G$7:$G$200,$P21))</f>
        <v>Santiago Alonso</v>
      </c>
      <c r="F21" s="166">
        <f ca="1">IF($P21="","",INDEX(_Datos!$H$7:$H$200,$P21))</f>
        <v>46185</v>
      </c>
      <c r="G21" s="165" t="str">
        <f ca="1">IF($P21="","",INDEX(_Datos!$J$7:$J$200,$P21))</f>
        <v>Vencido</v>
      </c>
      <c r="H21" s="168">
        <f ca="1">IF($P21="","",INDEX(_Datos!$K$7:$K$200,$P21))</f>
        <v>-7</v>
      </c>
      <c r="I21" s="168">
        <f ca="1">IF($P21="","",INDEX(_Datos!$S$7:$S$200,$P21))</f>
        <v>-171</v>
      </c>
      <c r="J21" s="168">
        <f ca="1">IF($P21="","",INDEX(_Datos!$T$7:$T$200,$P21))</f>
        <v>0</v>
      </c>
      <c r="K21" s="167">
        <f ca="1">IF($P21="","",INDEX(_Datos!$V$7:$V$200,$P21))</f>
        <v>0.7</v>
      </c>
      <c r="L21" s="168">
        <f ca="1">IF($P21="","",INDEX(_Datos!$W$7:$W$200,$P21))</f>
        <v>7</v>
      </c>
      <c r="M21" s="162" t="str">
        <f ca="1">IF($P21="","",INDEX(_Datos!$AC$7:$AC$200,$P21))</f>
        <v>ATRASO SOBRECARGA</v>
      </c>
      <c r="P21" s="163">
        <f ca="1">IFERROR(MATCH(LARGE(_Datos!$AJ$7:$AJ$200,ROW()-7+1),_Datos!$AJ$7:$AJ$200,0),"")</f>
        <v>34</v>
      </c>
    </row>
    <row r="22" spans="2:16" x14ac:dyDescent="0.35">
      <c r="B22" s="165" t="str">
        <f ca="1">IF($P22="","",INDEX(_Datos!$AB$7:$AB$200,$P22))</f>
        <v>Alta</v>
      </c>
      <c r="C22" s="165">
        <f ca="1">IF($P22="","",INDEX(_Datos!$AE$7:$AE$200,$P22))</f>
        <v>2</v>
      </c>
      <c r="D22" s="162" t="str">
        <f ca="1">IF($P22="","",INDEX(_Datos!$F$7:$F$200,$P22))</f>
        <v>Detalle Responsables (Comerciales + Analistas)</v>
      </c>
      <c r="E22" s="162" t="str">
        <f ca="1">IF($P22="","",INDEX(_Datos!$G$7:$G$200,$P22))</f>
        <v>Santiago Alonso</v>
      </c>
      <c r="F22" s="166">
        <f ca="1">IF($P22="","",INDEX(_Datos!$H$7:$H$200,$P22))</f>
        <v>46185</v>
      </c>
      <c r="G22" s="165" t="str">
        <f ca="1">IF($P22="","",INDEX(_Datos!$J$7:$J$200,$P22))</f>
        <v>Vencido</v>
      </c>
      <c r="H22" s="168">
        <f ca="1">IF($P22="","",INDEX(_Datos!$K$7:$K$200,$P22))</f>
        <v>-7</v>
      </c>
      <c r="I22" s="168">
        <f ca="1">IF($P22="","",INDEX(_Datos!$S$7:$S$200,$P22))</f>
        <v>-21</v>
      </c>
      <c r="J22" s="168">
        <f ca="1">IF($P22="","",INDEX(_Datos!$T$7:$T$200,$P22))</f>
        <v>0</v>
      </c>
      <c r="K22" s="167">
        <f ca="1">IF($P22="","",INDEX(_Datos!$V$7:$V$200,$P22))</f>
        <v>0.5</v>
      </c>
      <c r="L22" s="168">
        <f ca="1">IF($P22="","",INDEX(_Datos!$W$7:$W$200,$P22))</f>
        <v>7</v>
      </c>
      <c r="M22" s="162" t="str">
        <f ca="1">IF($P22="","",INDEX(_Datos!$AC$7:$AC$200,$P22))</f>
        <v>ATRASO SOBRECARGA</v>
      </c>
      <c r="P22" s="163">
        <f ca="1">IFERROR(MATCH(LARGE(_Datos!$AJ$7:$AJ$200,ROW()-7+1),_Datos!$AJ$7:$AJ$200,0),"")</f>
        <v>40</v>
      </c>
    </row>
    <row r="23" spans="2:16" x14ac:dyDescent="0.35">
      <c r="B23" s="165" t="str">
        <f ca="1">IF($P23="","",INDEX(_Datos!$AB$7:$AB$200,$P23))</f>
        <v>Alta</v>
      </c>
      <c r="C23" s="165">
        <f ca="1">IF($P23="","",INDEX(_Datos!$AE$7:$AE$200,$P23))</f>
        <v>2</v>
      </c>
      <c r="D23" s="162" t="str">
        <f ca="1">IF($P23="","",INDEX(_Datos!$F$7:$F$200,$P23))</f>
        <v>Asociar Archivo Masters de Medicación (Seba Oliver) + Capacitaciones + procedimiento</v>
      </c>
      <c r="E23" s="162" t="str">
        <f ca="1">IF($P23="","",INDEX(_Datos!$G$7:$G$200,$P23))</f>
        <v>Santiago Alonso</v>
      </c>
      <c r="F23" s="166">
        <f ca="1">IF($P23="","",INDEX(_Datos!$H$7:$H$200,$P23))</f>
        <v>46192</v>
      </c>
      <c r="G23" s="165" t="str">
        <f ca="1">IF($P23="","",INDEX(_Datos!$J$7:$J$200,$P23))</f>
        <v>Próximo a vencer</v>
      </c>
      <c r="H23" s="168">
        <f ca="1">IF($P23="","",INDEX(_Datos!$K$7:$K$200,$P23))</f>
        <v>0</v>
      </c>
      <c r="I23" s="168">
        <f ca="1">IF($P23="","",INDEX(_Datos!$S$7:$S$200,$P23))</f>
        <v>201</v>
      </c>
      <c r="J23" s="168">
        <f ca="1">IF($P23="","",INDEX(_Datos!$T$7:$T$200,$P23))</f>
        <v>200</v>
      </c>
      <c r="K23" s="167">
        <f ca="1">IF($P23="","",INDEX(_Datos!$V$7:$V$200,$P23))</f>
        <v>-0.35</v>
      </c>
      <c r="L23" s="168">
        <f ca="1">IF($P23="","",INDEX(_Datos!$W$7:$W$200,$P23))</f>
        <v>0</v>
      </c>
      <c r="M23" s="162" t="str">
        <f ca="1">IF($P23="","",INDEX(_Datos!$AC$7:$AC$200,$P23))</f>
        <v>ATRASO SOBRECARGA</v>
      </c>
      <c r="P23" s="163">
        <f ca="1">IFERROR(MATCH(LARGE(_Datos!$AJ$7:$AJ$200,ROW()-7+1),_Datos!$AJ$7:$AJ$200,0),"")</f>
        <v>10</v>
      </c>
    </row>
    <row r="24" spans="2:16" x14ac:dyDescent="0.35">
      <c r="B24" s="165" t="str">
        <f ca="1">IF($P24="","",INDEX(_Datos!$AB$7:$AB$200,$P24))</f>
        <v>Alta</v>
      </c>
      <c r="C24" s="165">
        <f ca="1">IF($P24="","",INDEX(_Datos!$AE$7:$AE$200,$P24))</f>
        <v>2</v>
      </c>
      <c r="D24" s="162" t="str">
        <f ca="1">IF($P24="","",INDEX(_Datos!$F$7:$F$200,$P24))</f>
        <v>Automatización Archivo Sueldos FATSA + Procedimientos</v>
      </c>
      <c r="E24" s="162" t="str">
        <f ca="1">IF($P24="","",INDEX(_Datos!$G$7:$G$200,$P24))</f>
        <v>Santiago Alonso</v>
      </c>
      <c r="F24" s="166">
        <f ca="1">IF($P24="","",INDEX(_Datos!$H$7:$H$200,$P24))</f>
        <v>46192</v>
      </c>
      <c r="G24" s="165" t="str">
        <f ca="1">IF($P24="","",INDEX(_Datos!$J$7:$J$200,$P24))</f>
        <v>Próximo a vencer</v>
      </c>
      <c r="H24" s="168">
        <f ca="1">IF($P24="","",INDEX(_Datos!$K$7:$K$200,$P24))</f>
        <v>0</v>
      </c>
      <c r="I24" s="168">
        <f ca="1">IF($P24="","",INDEX(_Datos!$S$7:$S$200,$P24))</f>
        <v>235</v>
      </c>
      <c r="J24" s="168">
        <f ca="1">IF($P24="","",INDEX(_Datos!$T$7:$T$200,$P24))</f>
        <v>234</v>
      </c>
      <c r="K24" s="167">
        <f ca="1">IF($P24="","",INDEX(_Datos!$V$7:$V$200,$P24))</f>
        <v>-0.25</v>
      </c>
      <c r="L24" s="168">
        <f ca="1">IF($P24="","",INDEX(_Datos!$W$7:$W$200,$P24))</f>
        <v>0</v>
      </c>
      <c r="M24" s="162" t="str">
        <f ca="1">IF($P24="","",INDEX(_Datos!$AC$7:$AC$200,$P24))</f>
        <v>ATRASO SOBRECARGA</v>
      </c>
      <c r="P24" s="163">
        <f ca="1">IFERROR(MATCH(LARGE(_Datos!$AJ$7:$AJ$200,ROW()-7+1),_Datos!$AJ$7:$AJ$200,0),"")</f>
        <v>5</v>
      </c>
    </row>
    <row r="25" spans="2:16" x14ac:dyDescent="0.35">
      <c r="B25" s="165" t="str">
        <f ca="1">IF($P25="","",INDEX(_Datos!$AB$7:$AB$200,$P25))</f>
        <v>Alta</v>
      </c>
      <c r="C25" s="165">
        <f ca="1">IF($P25="","",INDEX(_Datos!$AE$7:$AE$200,$P25))</f>
        <v>2</v>
      </c>
      <c r="D25" s="162" t="str">
        <f ca="1">IF($P25="","",INDEX(_Datos!$F$7:$F$200,$P25))</f>
        <v>Automatización Archivo Sueldos Petro + Procedimientos</v>
      </c>
      <c r="E25" s="162" t="str">
        <f ca="1">IF($P25="","",INDEX(_Datos!$G$7:$G$200,$P25))</f>
        <v>Santiago Alonso</v>
      </c>
      <c r="F25" s="166">
        <f ca="1">IF($P25="","",INDEX(_Datos!$H$7:$H$200,$P25))</f>
        <v>46192</v>
      </c>
      <c r="G25" s="165" t="str">
        <f ca="1">IF($P25="","",INDEX(_Datos!$J$7:$J$200,$P25))</f>
        <v>Próximo a vencer</v>
      </c>
      <c r="H25" s="168">
        <f ca="1">IF($P25="","",INDEX(_Datos!$K$7:$K$200,$P25))</f>
        <v>0</v>
      </c>
      <c r="I25" s="168">
        <f ca="1">IF($P25="","",INDEX(_Datos!$S$7:$S$200,$P25))</f>
        <v>215</v>
      </c>
      <c r="J25" s="168">
        <f ca="1">IF($P25="","",INDEX(_Datos!$T$7:$T$200,$P25))</f>
        <v>214</v>
      </c>
      <c r="K25" s="167">
        <f ca="1">IF($P25="","",INDEX(_Datos!$V$7:$V$200,$P25))</f>
        <v>-0.25</v>
      </c>
      <c r="L25" s="168">
        <f ca="1">IF($P25="","",INDEX(_Datos!$W$7:$W$200,$P25))</f>
        <v>0</v>
      </c>
      <c r="M25" s="162" t="str">
        <f ca="1">IF($P25="","",INDEX(_Datos!$AC$7:$AC$200,$P25))</f>
        <v>ATRASO SOBRECARGA</v>
      </c>
      <c r="P25" s="163">
        <f ca="1">IFERROR(MATCH(LARGE(_Datos!$AJ$7:$AJ$200,ROW()-7+1),_Datos!$AJ$7:$AJ$200,0),"")</f>
        <v>6</v>
      </c>
    </row>
    <row r="26" spans="2:16" ht="29" x14ac:dyDescent="0.35">
      <c r="B26" s="165" t="str">
        <f ca="1">IF($P26="","",INDEX(_Datos!$AB$7:$AB$200,$P26))</f>
        <v>Alta</v>
      </c>
      <c r="C26" s="165">
        <f ca="1">IF($P26="","",INDEX(_Datos!$AE$7:$AE$200,$P26))</f>
        <v>2</v>
      </c>
      <c r="D26" s="162" t="str">
        <f ca="1">IF($P26="","",INDEX(_Datos!$F$7:$F$200,$P26))</f>
        <v>Armado de Procedimiento</v>
      </c>
      <c r="E26" s="162" t="str">
        <f ca="1">IF($P26="","",INDEX(_Datos!$G$7:$G$200,$P26))</f>
        <v>Santiago Alonso</v>
      </c>
      <c r="F26" s="166">
        <f ca="1">IF($P26="","",INDEX(_Datos!$H$7:$H$200,$P26))</f>
        <v>46192</v>
      </c>
      <c r="G26" s="165" t="str">
        <f ca="1">IF($P26="","",INDEX(_Datos!$J$7:$J$200,$P26))</f>
        <v>Próximo a vencer</v>
      </c>
      <c r="H26" s="168">
        <f ca="1">IF($P26="","",INDEX(_Datos!$K$7:$K$200,$P26))</f>
        <v>0</v>
      </c>
      <c r="I26" s="168">
        <f ca="1">IF($P26="","",INDEX(_Datos!$S$7:$S$200,$P26))</f>
        <v>11</v>
      </c>
      <c r="J26" s="168">
        <f ca="1">IF($P26="","",INDEX(_Datos!$T$7:$T$200,$P26))</f>
        <v>10</v>
      </c>
      <c r="K26" s="167">
        <f ca="1">IF($P26="","",INDEX(_Datos!$V$7:$V$200,$P26))</f>
        <v>-9.9999999999999978E-2</v>
      </c>
      <c r="L26" s="168">
        <f ca="1">IF($P26="","",INDEX(_Datos!$W$7:$W$200,$P26))</f>
        <v>0</v>
      </c>
      <c r="M26" s="162" t="str">
        <f ca="1">IF($P26="","",INDEX(_Datos!$AC$7:$AC$200,$P26))</f>
        <v>SOBRECARGA</v>
      </c>
      <c r="P26" s="163">
        <f ca="1">IFERROR(MATCH(LARGE(_Datos!$AJ$7:$AJ$200,ROW()-7+1),_Datos!$AJ$7:$AJ$200,0),"")</f>
        <v>17</v>
      </c>
    </row>
    <row r="27" spans="2:16" ht="29" x14ac:dyDescent="0.35">
      <c r="B27" s="165" t="str">
        <f ca="1">IF($P27="","",INDEX(_Datos!$AB$7:$AB$200,$P27))</f>
        <v>Alta</v>
      </c>
      <c r="C27" s="165">
        <f ca="1">IF($P27="","",INDEX(_Datos!$AE$7:$AE$200,$P27))</f>
        <v>2</v>
      </c>
      <c r="D27" s="162" t="str">
        <f ca="1">IF($P27="","",INDEX(_Datos!$F$7:$F$200,$P27))</f>
        <v>Revisión de Gráfico en cascada: por desvío y desagregación por categorías.</v>
      </c>
      <c r="E27" s="162" t="str">
        <f ca="1">IF($P27="","",INDEX(_Datos!$G$7:$G$200,$P27))</f>
        <v>Santiago Alonso</v>
      </c>
      <c r="F27" s="166">
        <f ca="1">IF($P27="","",INDEX(_Datos!$H$7:$H$200,$P27))</f>
        <v>46192</v>
      </c>
      <c r="G27" s="165" t="str">
        <f ca="1">IF($P27="","",INDEX(_Datos!$J$7:$J$200,$P27))</f>
        <v>Próximo a vencer</v>
      </c>
      <c r="H27" s="168">
        <f ca="1">IF($P27="","",INDEX(_Datos!$K$7:$K$200,$P27))</f>
        <v>0</v>
      </c>
      <c r="I27" s="168">
        <f ca="1">IF($P27="","",INDEX(_Datos!$S$7:$S$200,$P27))</f>
        <v>16</v>
      </c>
      <c r="J27" s="168">
        <f ca="1">IF($P27="","",INDEX(_Datos!$T$7:$T$200,$P27))</f>
        <v>15</v>
      </c>
      <c r="K27" s="167">
        <f ca="1">IF($P27="","",INDEX(_Datos!$V$7:$V$200,$P27))</f>
        <v>-9.9999999999999978E-2</v>
      </c>
      <c r="L27" s="168">
        <f ca="1">IF($P27="","",INDEX(_Datos!$W$7:$W$200,$P27))</f>
        <v>0</v>
      </c>
      <c r="M27" s="162" t="str">
        <f ca="1">IF($P27="","",INDEX(_Datos!$AC$7:$AC$200,$P27))</f>
        <v>SOBRECARGA</v>
      </c>
      <c r="P27" s="163">
        <f ca="1">IFERROR(MATCH(LARGE(_Datos!$AJ$7:$AJ$200,ROW()-7+1),_Datos!$AJ$7:$AJ$200,0),"")</f>
        <v>18</v>
      </c>
    </row>
    <row r="28" spans="2:16" ht="29" x14ac:dyDescent="0.35">
      <c r="B28" s="165" t="str">
        <f ca="1">IF($P28="","",INDEX(_Datos!$AB$7:$AB$200,$P28))</f>
        <v>Alta</v>
      </c>
      <c r="C28" s="165">
        <f ca="1">IF($P28="","",INDEX(_Datos!$AE$7:$AE$200,$P28))</f>
        <v>2</v>
      </c>
      <c r="D28" s="162" t="str">
        <f ca="1">IF($P28="","",INDEX(_Datos!$F$7:$F$200,$P28))</f>
        <v>Asociar Archivo Móviles y Tráilers (Nico Sifuentes) + procedimiento</v>
      </c>
      <c r="E28" s="162" t="str">
        <f ca="1">IF($P28="","",INDEX(_Datos!$G$7:$G$200,$P28))</f>
        <v>Santiago Alonso</v>
      </c>
      <c r="F28" s="166">
        <f ca="1">IF($P28="","",INDEX(_Datos!$H$7:$H$200,$P28))</f>
        <v>46192</v>
      </c>
      <c r="G28" s="165" t="str">
        <f ca="1">IF($P28="","",INDEX(_Datos!$J$7:$J$200,$P28))</f>
        <v>Próximo a vencer</v>
      </c>
      <c r="H28" s="168">
        <f ca="1">IF($P28="","",INDEX(_Datos!$K$7:$K$200,$P28))</f>
        <v>0</v>
      </c>
      <c r="I28" s="168">
        <f ca="1">IF($P28="","",INDEX(_Datos!$S$7:$S$200,$P28))</f>
        <v>201</v>
      </c>
      <c r="J28" s="168">
        <f ca="1">IF($P28="","",INDEX(_Datos!$T$7:$T$200,$P28))</f>
        <v>200</v>
      </c>
      <c r="K28" s="167">
        <f ca="1">IF($P28="","",INDEX(_Datos!$V$7:$V$200,$P28))</f>
        <v>-5.0000000000000044E-2</v>
      </c>
      <c r="L28" s="168">
        <f ca="1">IF($P28="","",INDEX(_Datos!$W$7:$W$200,$P28))</f>
        <v>0</v>
      </c>
      <c r="M28" s="162" t="str">
        <f ca="1">IF($P28="","",INDEX(_Datos!$AC$7:$AC$200,$P28))</f>
        <v>SOBRECARGA</v>
      </c>
      <c r="P28" s="163">
        <f ca="1">IFERROR(MATCH(LARGE(_Datos!$AJ$7:$AJ$200,ROW()-7+1),_Datos!$AJ$7:$AJ$200,0),"")</f>
        <v>9</v>
      </c>
    </row>
    <row r="29" spans="2:16" ht="29" hidden="1" x14ac:dyDescent="0.35">
      <c r="B29" s="165" t="str">
        <f ca="1">IF($P29="","",INDEX(_Datos!$AB$7:$AB$200,$P29))</f>
        <v>Alta</v>
      </c>
      <c r="C29" s="165" t="str">
        <f ca="1">IF($P29="","",INDEX(_Datos!$AE$7:$AE$200,$P29))</f>
        <v>(Sin sprint)</v>
      </c>
      <c r="D29" s="162" t="str">
        <f ca="1">IF($P29="","",INDEX(_Datos!$F$7:$F$200,$P29))</f>
        <v>Locaciones Geográficas Minería</v>
      </c>
      <c r="E29" s="162" t="str">
        <f ca="1">IF($P29="","",INDEX(_Datos!$G$7:$G$200,$P29))</f>
        <v>Santiago Alonso</v>
      </c>
      <c r="F29" s="166">
        <f ca="1">IF($P29="","",INDEX(_Datos!$H$7:$H$200,$P29))</f>
        <v>46199</v>
      </c>
      <c r="G29" s="165" t="str">
        <f ca="1">IF($P29="","",INDEX(_Datos!$J$7:$J$200,$P29))</f>
        <v>Próximo a vencer</v>
      </c>
      <c r="H29" s="168">
        <f ca="1">IF($P29="","",INDEX(_Datos!$K$7:$K$200,$P29))</f>
        <v>7</v>
      </c>
      <c r="I29" s="168">
        <f ca="1">IF($P29="","",INDEX(_Datos!$S$7:$S$200,$P29))</f>
        <v>5</v>
      </c>
      <c r="J29" s="168">
        <f ca="1">IF($P29="","",INDEX(_Datos!$T$7:$T$200,$P29))</f>
        <v>0</v>
      </c>
      <c r="K29" s="167">
        <f ca="1">IF($P29="","",INDEX(_Datos!$V$7:$V$200,$P29))</f>
        <v>0</v>
      </c>
      <c r="L29" s="168">
        <f ca="1">IF($P29="","",INDEX(_Datos!$W$7:$W$200,$P29))</f>
        <v>0</v>
      </c>
      <c r="M29" s="162" t="str">
        <f ca="1">IF($P29="","",INDEX(_Datos!$AC$7:$AC$200,$P29))</f>
        <v>SOBRECARGA</v>
      </c>
      <c r="P29" s="163">
        <f ca="1">IFERROR(MATCH(LARGE(_Datos!$AJ$7:$AJ$200,ROW()-7+1),_Datos!$AJ$7:$AJ$200,0),"")</f>
        <v>38</v>
      </c>
    </row>
    <row r="30" spans="2:16" x14ac:dyDescent="0.35">
      <c r="B30" s="165" t="str">
        <f ca="1">IF($P30="","",INDEX(_Datos!$AB$7:$AB$200,$P30))</f>
        <v>Alta</v>
      </c>
      <c r="C30" s="165">
        <f ca="1">IF($P30="","",INDEX(_Datos!$AE$7:$AE$200,$P30))</f>
        <v>2</v>
      </c>
      <c r="D30" s="162" t="str">
        <f ca="1">IF($P30="","",INDEX(_Datos!$F$7:$F$200,$P30))</f>
        <v>Relevamiento Últimos Sueldos de referencia Monotributistas</v>
      </c>
      <c r="E30" s="162" t="str">
        <f ca="1">IF($P30="","",INDEX(_Datos!$G$7:$G$200,$P30))</f>
        <v>Santiago Alonso</v>
      </c>
      <c r="F30" s="166">
        <f ca="1">IF($P30="","",INDEX(_Datos!$H$7:$H$200,$P30))</f>
        <v>46192</v>
      </c>
      <c r="G30" s="165" t="str">
        <f ca="1">IF($P30="","",INDEX(_Datos!$J$7:$J$200,$P30))</f>
        <v>Próximo a vencer</v>
      </c>
      <c r="H30" s="168">
        <f ca="1">IF($P30="","",INDEX(_Datos!$K$7:$K$200,$P30))</f>
        <v>0</v>
      </c>
      <c r="I30" s="168">
        <f ca="1">IF($P30="","",INDEX(_Datos!$S$7:$S$200,$P30))</f>
        <v>-152</v>
      </c>
      <c r="J30" s="168">
        <f ca="1">IF($P30="","",INDEX(_Datos!$T$7:$T$200,$P30))</f>
        <v>0</v>
      </c>
      <c r="K30" s="167">
        <f ca="1">IF($P30="","",INDEX(_Datos!$V$7:$V$200,$P30))</f>
        <v>0.5</v>
      </c>
      <c r="L30" s="168">
        <f ca="1">IF($P30="","",INDEX(_Datos!$W$7:$W$200,$P30))</f>
        <v>0</v>
      </c>
      <c r="M30" s="162" t="str">
        <f ca="1">IF($P30="","",INDEX(_Datos!$AC$7:$AC$200,$P30))</f>
        <v>SOBRECARGA</v>
      </c>
      <c r="P30" s="163">
        <f ca="1">IFERROR(MATCH(LARGE(_Datos!$AJ$7:$AJ$200,ROW()-7+1),_Datos!$AJ$7:$AJ$200,0),"")</f>
        <v>7</v>
      </c>
    </row>
    <row r="31" spans="2:16" ht="29" hidden="1" x14ac:dyDescent="0.35">
      <c r="B31" s="165" t="str">
        <f ca="1">IF($P31="","",INDEX(_Datos!$AB$7:$AB$200,$P31))</f>
        <v>Alta</v>
      </c>
      <c r="C31" s="165" t="str">
        <f ca="1">IF($P31="","",INDEX(_Datos!$AE$7:$AE$200,$P31))</f>
        <v>(Sin sprint)</v>
      </c>
      <c r="D31" s="162" t="str">
        <f ca="1">IF($P31="","",INDEX(_Datos!$F$7:$F$200,$P31))</f>
        <v>Revisión y Publicación de Tablero</v>
      </c>
      <c r="E31" s="162" t="str">
        <f ca="1">IF($P31="","",INDEX(_Datos!$G$7:$G$200,$P31))</f>
        <v>Santiago Alonso</v>
      </c>
      <c r="F31" s="166">
        <f ca="1">IF($P31="","",INDEX(_Datos!$H$7:$H$200,$P31))</f>
        <v>46199</v>
      </c>
      <c r="G31" s="165" t="str">
        <f ca="1">IF($P31="","",INDEX(_Datos!$J$7:$J$200,$P31))</f>
        <v>Próximo a vencer</v>
      </c>
      <c r="H31" s="168">
        <f ca="1">IF($P31="","",INDEX(_Datos!$K$7:$K$200,$P31))</f>
        <v>7</v>
      </c>
      <c r="I31" s="168">
        <f ca="1">IF($P31="","",INDEX(_Datos!$S$7:$S$200,$P31))</f>
        <v>15</v>
      </c>
      <c r="J31" s="168">
        <f ca="1">IF($P31="","",INDEX(_Datos!$T$7:$T$200,$P31))</f>
        <v>7</v>
      </c>
      <c r="K31" s="167">
        <f ca="1">IF($P31="","",INDEX(_Datos!$V$7:$V$200,$P31))</f>
        <v>0.30000000000000004</v>
      </c>
      <c r="L31" s="168">
        <f ca="1">IF($P31="","",INDEX(_Datos!$W$7:$W$200,$P31))</f>
        <v>0</v>
      </c>
      <c r="M31" s="162" t="str">
        <f ca="1">IF($P31="","",INDEX(_Datos!$AC$7:$AC$200,$P31))</f>
        <v>SOBRECARGA</v>
      </c>
      <c r="P31" s="163">
        <f ca="1">IFERROR(MATCH(LARGE(_Datos!$AJ$7:$AJ$200,ROW()-7+1),_Datos!$AJ$7:$AJ$200,0),"")</f>
        <v>20</v>
      </c>
    </row>
    <row r="32" spans="2:16" hidden="1" x14ac:dyDescent="0.35">
      <c r="B32" s="165" t="str">
        <f ca="1">IF($P32="","",INDEX(_Datos!$AB$7:$AB$200,$P32))</f>
        <v>Alta</v>
      </c>
      <c r="C32" s="165" t="str">
        <f ca="1">IF($P32="","",INDEX(_Datos!$AE$7:$AE$200,$P32))</f>
        <v>(Sin sprint)</v>
      </c>
      <c r="D32" s="162" t="str">
        <f ca="1">IF($P32="","",INDEX(_Datos!$F$7:$F$200,$P32))</f>
        <v>Analizar viabilidad de input Redash: Importe Facturado (Datalake --&gt; Clik Sense "Venta Bruta")</v>
      </c>
      <c r="E32" s="162" t="str">
        <f ca="1">IF($P32="","",INDEX(_Datos!$G$7:$G$200,$P32))</f>
        <v>Santiago Alonso</v>
      </c>
      <c r="F32" s="166">
        <f ca="1">IF($P32="","",INDEX(_Datos!$H$7:$H$200,$P32))</f>
        <v>46199</v>
      </c>
      <c r="G32" s="165" t="str">
        <f ca="1">IF($P32="","",INDEX(_Datos!$J$7:$J$200,$P32))</f>
        <v>Próximo a vencer</v>
      </c>
      <c r="H32" s="168">
        <f ca="1">IF($P32="","",INDEX(_Datos!$K$7:$K$200,$P32))</f>
        <v>7</v>
      </c>
      <c r="I32" s="168">
        <f ca="1">IF($P32="","",INDEX(_Datos!$S$7:$S$200,$P32))</f>
        <v>8</v>
      </c>
      <c r="J32" s="168">
        <f ca="1">IF($P32="","",INDEX(_Datos!$T$7:$T$200,$P32))</f>
        <v>0</v>
      </c>
      <c r="K32" s="167">
        <f ca="1">IF($P32="","",INDEX(_Datos!$V$7:$V$200,$P32))</f>
        <v>0.6</v>
      </c>
      <c r="L32" s="168">
        <f ca="1">IF($P32="","",INDEX(_Datos!$W$7:$W$200,$P32))</f>
        <v>0</v>
      </c>
      <c r="M32" s="162" t="str">
        <f ca="1">IF($P32="","",INDEX(_Datos!$AC$7:$AC$200,$P32))</f>
        <v>SOBRECARGA</v>
      </c>
      <c r="P32" s="163">
        <f ca="1">IFERROR(MATCH(LARGE(_Datos!$AJ$7:$AJ$200,ROW()-7+1),_Datos!$AJ$7:$AJ$200,0),"")</f>
        <v>27</v>
      </c>
    </row>
    <row r="33" spans="2:16" ht="29" hidden="1" x14ac:dyDescent="0.35">
      <c r="B33" s="165" t="str">
        <f ca="1">IF($P33="","",INDEX(_Datos!$AB$7:$AB$200,$P33))</f>
        <v>Alta</v>
      </c>
      <c r="C33" s="165" t="str">
        <f ca="1">IF($P33="","",INDEX(_Datos!$AE$7:$AE$200,$P33))</f>
        <v>(Sin sprint)</v>
      </c>
      <c r="D33" s="162" t="str">
        <f ca="1">IF($P33="","",INDEX(_Datos!$F$7:$F$200,$P33))</f>
        <v>Creación detalle deuda Vista - Replicar Excel Deuda</v>
      </c>
      <c r="E33" s="162" t="str">
        <f ca="1">IF($P33="","",INDEX(_Datos!$G$7:$G$200,$P33))</f>
        <v>Santiago Alonso</v>
      </c>
      <c r="F33" s="166">
        <f ca="1">IF($P33="","",INDEX(_Datos!$H$7:$H$200,$P33))</f>
        <v>46199</v>
      </c>
      <c r="G33" s="165" t="str">
        <f ca="1">IF($P33="","",INDEX(_Datos!$J$7:$J$200,$P33))</f>
        <v>Próximo a vencer</v>
      </c>
      <c r="H33" s="168">
        <f ca="1">IF($P33="","",INDEX(_Datos!$K$7:$K$200,$P33))</f>
        <v>7</v>
      </c>
      <c r="I33" s="168">
        <f ca="1">IF($P33="","",INDEX(_Datos!$S$7:$S$200,$P33))</f>
        <v>12</v>
      </c>
      <c r="J33" s="168">
        <f ca="1">IF($P33="","",INDEX(_Datos!$T$7:$T$200,$P33))</f>
        <v>4</v>
      </c>
      <c r="K33" s="167">
        <f ca="1">IF($P33="","",INDEX(_Datos!$V$7:$V$200,$P33))</f>
        <v>0.13636363636363635</v>
      </c>
      <c r="L33" s="168">
        <f ca="1">IF($P33="","",INDEX(_Datos!$W$7:$W$200,$P33))</f>
        <v>0</v>
      </c>
      <c r="M33" s="162" t="str">
        <f ca="1">IF($P33="","",INDEX(_Datos!$AC$7:$AC$200,$P33))</f>
        <v>SOBRECARGA</v>
      </c>
      <c r="P33" s="163">
        <f ca="1">IFERROR(MATCH(LARGE(_Datos!$AJ$7:$AJ$200,ROW()-7+1),_Datos!$AJ$7:$AJ$200,0),"")</f>
        <v>28</v>
      </c>
    </row>
    <row r="34" spans="2:16" ht="29" hidden="1" x14ac:dyDescent="0.35">
      <c r="B34" s="165" t="str">
        <f ca="1">IF($P34="","",INDEX(_Datos!$AB$7:$AB$200,$P34))</f>
        <v>Alta</v>
      </c>
      <c r="C34" s="165" t="str">
        <f ca="1">IF($P34="","",INDEX(_Datos!$AE$7:$AE$200,$P34))</f>
        <v>(Sin sprint)</v>
      </c>
      <c r="D34" s="162" t="str">
        <f ca="1">IF($P34="","",INDEX(_Datos!$F$7:$F$200,$P34))</f>
        <v>Polinómicas y tarifario automático</v>
      </c>
      <c r="E34" s="162" t="str">
        <f ca="1">IF($P34="","",INDEX(_Datos!$G$7:$G$200,$P34))</f>
        <v>Santiago Alonso</v>
      </c>
      <c r="F34" s="166">
        <f ca="1">IF($P34="","",INDEX(_Datos!$H$7:$H$200,$P34))</f>
        <v>46213</v>
      </c>
      <c r="G34" s="165" t="str">
        <f ca="1">IF($P34="","",INDEX(_Datos!$J$7:$J$200,$P34))</f>
        <v>En curso</v>
      </c>
      <c r="H34" s="168">
        <f ca="1">IF($P34="","",INDEX(_Datos!$K$7:$K$200,$P34))</f>
        <v>21</v>
      </c>
      <c r="I34" s="168">
        <f ca="1">IF($P34="","",INDEX(_Datos!$S$7:$S$200,$P34))</f>
        <v>256</v>
      </c>
      <c r="J34" s="168">
        <f ca="1">IF($P34="","",INDEX(_Datos!$T$7:$T$200,$P34))</f>
        <v>234</v>
      </c>
      <c r="K34" s="167">
        <f ca="1">IF($P34="","",INDEX(_Datos!$V$7:$V$200,$P34))</f>
        <v>-0.56764705882352939</v>
      </c>
      <c r="L34" s="168">
        <f ca="1">IF($P34="","",INDEX(_Datos!$W$7:$W$200,$P34))</f>
        <v>0</v>
      </c>
      <c r="M34" s="162" t="str">
        <f ca="1">IF($P34="","",INDEX(_Datos!$AC$7:$AC$200,$P34))</f>
        <v>ATRASO SOBRECARGA</v>
      </c>
      <c r="P34" s="163">
        <f ca="1">IFERROR(MATCH(LARGE(_Datos!$AJ$7:$AJ$200,ROW()-7+1),_Datos!$AJ$7:$AJ$200,0),"")</f>
        <v>43</v>
      </c>
    </row>
    <row r="35" spans="2:16" x14ac:dyDescent="0.35">
      <c r="B35" s="165" t="str">
        <f ca="1">IF($P35="","",INDEX(_Datos!$AB$7:$AB$200,$P35))</f>
        <v>Media</v>
      </c>
      <c r="C35" s="165">
        <f ca="1">IF($P35="","",INDEX(_Datos!$AE$7:$AE$200,$P35))</f>
        <v>2</v>
      </c>
      <c r="D35" s="162" t="str">
        <f ca="1">IF($P35="","",INDEX(_Datos!$F$7:$F$200,$P35))</f>
        <v>Disponibilidad de información centralizada en GOC (aguarda desarrollo)</v>
      </c>
      <c r="E35" s="162" t="str">
        <f ca="1">IF($P35="","",INDEX(_Datos!$G$7:$G$200,$P35))</f>
        <v>Lucila Pronzato</v>
      </c>
      <c r="F35" s="166">
        <f ca="1">IF($P35="","",INDEX(_Datos!$H$7:$H$200,$P35))</f>
        <v>46203</v>
      </c>
      <c r="G35" s="165" t="str">
        <f ca="1">IF($P35="","",INDEX(_Datos!$J$7:$J$200,$P35))</f>
        <v>En curso</v>
      </c>
      <c r="H35" s="168">
        <f ca="1">IF($P35="","",INDEX(_Datos!$K$7:$K$200,$P35))</f>
        <v>11</v>
      </c>
      <c r="I35" s="168">
        <f ca="1">IF($P35="","",INDEX(_Datos!$S$7:$S$200,$P35))</f>
        <v>246</v>
      </c>
      <c r="J35" s="168">
        <f ca="1">IF($P35="","",INDEX(_Datos!$T$7:$T$200,$P35))</f>
        <v>234</v>
      </c>
      <c r="K35" s="167">
        <f ca="1">IF($P35="","",INDEX(_Datos!$V$7:$V$200,$P35))</f>
        <v>-0.75510204081632648</v>
      </c>
      <c r="L35" s="168">
        <f ca="1">IF($P35="","",INDEX(_Datos!$W$7:$W$200,$P35))</f>
        <v>0</v>
      </c>
      <c r="M35" s="162" t="str">
        <f ca="1">IF($P35="","",INDEX(_Datos!$AC$7:$AC$200,$P35))</f>
        <v>ATRASO</v>
      </c>
      <c r="P35" s="163">
        <f ca="1">IFERROR(MATCH(LARGE(_Datos!$AJ$7:$AJ$200,ROW()-7+1),_Datos!$AJ$7:$AJ$200,0),"")</f>
        <v>2</v>
      </c>
    </row>
    <row r="36" spans="2:16" hidden="1" x14ac:dyDescent="0.35">
      <c r="B36" s="165" t="str">
        <f ca="1">IF($P36="","",INDEX(_Datos!$AB$7:$AB$200,$P36))</f>
        <v>Media</v>
      </c>
      <c r="C36" s="165" t="str">
        <f ca="1">IF($P36="","",INDEX(_Datos!$AE$7:$AE$200,$P36))</f>
        <v>(Sin sprint)</v>
      </c>
      <c r="D36" s="162" t="str">
        <f ca="1">IF($P36="","",INDEX(_Datos!$F$7:$F$200,$P36))</f>
        <v>Eliminar contratos obsoletos</v>
      </c>
      <c r="E36" s="162" t="str">
        <f ca="1">IF($P36="","",INDEX(_Datos!$G$7:$G$200,$P36))</f>
        <v>Santiago Alonso/ Danna Basso/ Lucía Paciello</v>
      </c>
      <c r="F36" s="166">
        <f ca="1">IF($P36="","",INDEX(_Datos!$H$7:$H$200,$P36))</f>
        <v>46213</v>
      </c>
      <c r="G36" s="165" t="str">
        <f ca="1">IF($P36="","",INDEX(_Datos!$J$7:$J$200,$P36))</f>
        <v>En curso</v>
      </c>
      <c r="H36" s="168">
        <f ca="1">IF($P36="","",INDEX(_Datos!$K$7:$K$200,$P36))</f>
        <v>21</v>
      </c>
      <c r="I36" s="168">
        <f ca="1">IF($P36="","",INDEX(_Datos!$S$7:$S$200,$P36))</f>
        <v>256</v>
      </c>
      <c r="J36" s="168">
        <f ca="1">IF($P36="","",INDEX(_Datos!$T$7:$T$200,$P36))</f>
        <v>234</v>
      </c>
      <c r="K36" s="167">
        <f ca="1">IF($P36="","",INDEX(_Datos!$V$7:$V$200,$P36))</f>
        <v>-0.81764705882352939</v>
      </c>
      <c r="L36" s="168">
        <f ca="1">IF($P36="","",INDEX(_Datos!$W$7:$W$200,$P36))</f>
        <v>0</v>
      </c>
      <c r="M36" s="162" t="str">
        <f ca="1">IF($P36="","",INDEX(_Datos!$AC$7:$AC$200,$P36))</f>
        <v>ATRASO</v>
      </c>
      <c r="P36" s="163">
        <f ca="1">IFERROR(MATCH(LARGE(_Datos!$AJ$7:$AJ$200,ROW()-7+1),_Datos!$AJ$7:$AJ$200,0),"")</f>
        <v>47</v>
      </c>
    </row>
    <row r="37" spans="2:16" ht="29" hidden="1" x14ac:dyDescent="0.35">
      <c r="B37" s="165" t="str">
        <f ca="1">IF($P37="","",INDEX(_Datos!$AB$7:$AB$200,$P37))</f>
        <v>Media</v>
      </c>
      <c r="C37" s="165" t="str">
        <f ca="1">IF($P37="","",INDEX(_Datos!$AE$7:$AE$200,$P37))</f>
        <v>(Sin sprint)</v>
      </c>
      <c r="D37" s="162" t="str">
        <f ca="1">IF($P37="","",INDEX(_Datos!$F$7:$F$200,$P37))</f>
        <v>Asociar Gastos de Estructura (% de incidencia)</v>
      </c>
      <c r="E37" s="162" t="str">
        <f ca="1">IF($P37="","",INDEX(_Datos!$G$7:$G$200,$P37))</f>
        <v>Santiago Alonso</v>
      </c>
      <c r="F37" s="166">
        <f ca="1">IF($P37="","",INDEX(_Datos!$H$7:$H$200,$P37))</f>
        <v>46206</v>
      </c>
      <c r="G37" s="165" t="str">
        <f ca="1">IF($P37="","",INDEX(_Datos!$J$7:$J$200,$P37))</f>
        <v>En curso</v>
      </c>
      <c r="H37" s="168">
        <f ca="1">IF($P37="","",INDEX(_Datos!$K$7:$K$200,$P37))</f>
        <v>14</v>
      </c>
      <c r="I37" s="168">
        <f ca="1">IF($P37="","",INDEX(_Datos!$S$7:$S$200,$P37))</f>
        <v>7</v>
      </c>
      <c r="J37" s="168">
        <f ca="1">IF($P37="","",INDEX(_Datos!$T$7:$T$200,$P37))</f>
        <v>0</v>
      </c>
      <c r="K37" s="167">
        <f ca="1">IF($P37="","",INDEX(_Datos!$V$7:$V$200,$P37))</f>
        <v>0</v>
      </c>
      <c r="L37" s="168">
        <f ca="1">IF($P37="","",INDEX(_Datos!$W$7:$W$200,$P37))</f>
        <v>0</v>
      </c>
      <c r="M37" s="162" t="str">
        <f ca="1">IF($P37="","",INDEX(_Datos!$AC$7:$AC$200,$P37))</f>
        <v>SOBRECARGA</v>
      </c>
      <c r="P37" s="163">
        <f ca="1">IFERROR(MATCH(LARGE(_Datos!$AJ$7:$AJ$200,ROW()-7+1),_Datos!$AJ$7:$AJ$200,0),"")</f>
        <v>11</v>
      </c>
    </row>
    <row r="38" spans="2:16" ht="43.5" hidden="1" x14ac:dyDescent="0.35">
      <c r="B38" s="165" t="str">
        <f ca="1">IF($P38="","",INDEX(_Datos!$AB$7:$AB$200,$P38))</f>
        <v>Media</v>
      </c>
      <c r="C38" s="165" t="str">
        <f ca="1">IF($P38="","",INDEX(_Datos!$AE$7:$AE$200,$P38))</f>
        <v>(Sin sprint)</v>
      </c>
      <c r="D38" s="162" t="str">
        <f ca="1">IF($P38="","",INDEX(_Datos!$F$7:$F$200,$P38))</f>
        <v>Creación detalle deuda YPF (ídem Excel)</v>
      </c>
      <c r="E38" s="162" t="str">
        <f ca="1">IF($P38="","",INDEX(_Datos!$G$7:$G$200,$P38))</f>
        <v>Santiago Alonso</v>
      </c>
      <c r="F38" s="166">
        <f ca="1">IF($P38="","",INDEX(_Datos!$H$7:$H$200,$P38))</f>
        <v>46206</v>
      </c>
      <c r="G38" s="165" t="str">
        <f ca="1">IF($P38="","",INDEX(_Datos!$J$7:$J$200,$P38))</f>
        <v>En curso</v>
      </c>
      <c r="H38" s="168">
        <f ca="1">IF($P38="","",INDEX(_Datos!$K$7:$K$200,$P38))</f>
        <v>14</v>
      </c>
      <c r="I38" s="168">
        <f ca="1">IF($P38="","",INDEX(_Datos!$S$7:$S$200,$P38))</f>
        <v>15</v>
      </c>
      <c r="J38" s="168">
        <f ca="1">IF($P38="","",INDEX(_Datos!$T$7:$T$200,$P38))</f>
        <v>0</v>
      </c>
      <c r="K38" s="167">
        <f ca="1">IF($P38="","",INDEX(_Datos!$V$7:$V$200,$P38))</f>
        <v>0.5</v>
      </c>
      <c r="L38" s="168">
        <f ca="1">IF($P38="","",INDEX(_Datos!$W$7:$W$200,$P38))</f>
        <v>0</v>
      </c>
      <c r="M38" s="162" t="str">
        <f ca="1">IF($P38="","",INDEX(_Datos!$AC$7:$AC$200,$P38))</f>
        <v>SOBRECARGA</v>
      </c>
      <c r="P38" s="163">
        <f ca="1">IFERROR(MATCH(LARGE(_Datos!$AJ$7:$AJ$200,ROW()-7+1),_Datos!$AJ$7:$AJ$200,0),"")</f>
        <v>29</v>
      </c>
    </row>
    <row r="39" spans="2:16" hidden="1" x14ac:dyDescent="0.35">
      <c r="B39" s="165" t="str">
        <f ca="1">IF($P39="","",INDEX(_Datos!$AB$7:$AB$200,$P39))</f>
        <v>Media</v>
      </c>
      <c r="C39" s="165" t="str">
        <f ca="1">IF($P39="","",INDEX(_Datos!$AE$7:$AE$200,$P39))</f>
        <v>(Sin sprint)</v>
      </c>
      <c r="D39" s="162" t="str">
        <f ca="1">IF($P39="","",INDEX(_Datos!$F$7:$F$200,$P39))</f>
        <v>Locaciones Geográficas Op. Dedicadas</v>
      </c>
      <c r="E39" s="162" t="str">
        <f ca="1">IF($P39="","",INDEX(_Datos!$G$7:$G$200,$P39))</f>
        <v>Santiago Alonso</v>
      </c>
      <c r="F39" s="166">
        <f ca="1">IF($P39="","",INDEX(_Datos!$H$7:$H$200,$P39))</f>
        <v>46206</v>
      </c>
      <c r="G39" s="165" t="str">
        <f ca="1">IF($P39="","",INDEX(_Datos!$J$7:$J$200,$P39))</f>
        <v>En curso</v>
      </c>
      <c r="H39" s="168">
        <f ca="1">IF($P39="","",INDEX(_Datos!$K$7:$K$200,$P39))</f>
        <v>14</v>
      </c>
      <c r="I39" s="168">
        <f ca="1">IF($P39="","",INDEX(_Datos!$S$7:$S$200,$P39))</f>
        <v>5</v>
      </c>
      <c r="J39" s="168">
        <f ca="1">IF($P39="","",INDEX(_Datos!$T$7:$T$200,$P39))</f>
        <v>0</v>
      </c>
      <c r="K39" s="167">
        <f ca="1">IF($P39="","",INDEX(_Datos!$V$7:$V$200,$P39))</f>
        <v>0</v>
      </c>
      <c r="L39" s="168">
        <f ca="1">IF($P39="","",INDEX(_Datos!$W$7:$W$200,$P39))</f>
        <v>0</v>
      </c>
      <c r="M39" s="162" t="str">
        <f ca="1">IF($P39="","",INDEX(_Datos!$AC$7:$AC$200,$P39))</f>
        <v>SOBRECARGA</v>
      </c>
      <c r="P39" s="163">
        <f ca="1">IFERROR(MATCH(LARGE(_Datos!$AJ$7:$AJ$200,ROW()-7+1),_Datos!$AJ$7:$AJ$200,0),"")</f>
        <v>39</v>
      </c>
    </row>
    <row r="40" spans="2:16" hidden="1" x14ac:dyDescent="0.35">
      <c r="B40" s="165" t="str">
        <f ca="1">IF($P40="","",INDEX(_Datos!$AB$7:$AB$200,$P40))</f>
        <v>Media</v>
      </c>
      <c r="C40" s="165" t="str">
        <f ca="1">IF($P40="","",INDEX(_Datos!$AE$7:$AE$200,$P40))</f>
        <v>(Sin sprint)</v>
      </c>
      <c r="D40" s="162" t="str">
        <f ca="1">IF($P40="","",INDEX(_Datos!$F$7:$F$200,$P40))</f>
        <v>Armado de solicitudes extra x Módulos (Ej: Med. Laboral)</v>
      </c>
      <c r="E40" s="162" t="str">
        <f ca="1">IF($P40="","",INDEX(_Datos!$G$7:$G$200,$P40))</f>
        <v>Santiago Alonso</v>
      </c>
      <c r="F40" s="166">
        <f ca="1">IF($P40="","",INDEX(_Datos!$H$7:$H$200,$P40))</f>
        <v>46213</v>
      </c>
      <c r="G40" s="165" t="str">
        <f ca="1">IF($P40="","",INDEX(_Datos!$J$7:$J$200,$P40))</f>
        <v>En curso</v>
      </c>
      <c r="H40" s="168">
        <f ca="1">IF($P40="","",INDEX(_Datos!$K$7:$K$200,$P40))</f>
        <v>21</v>
      </c>
      <c r="I40" s="168">
        <f ca="1">IF($P40="","",INDEX(_Datos!$S$7:$S$200,$P40))</f>
        <v>21</v>
      </c>
      <c r="J40" s="168">
        <f ca="1">IF($P40="","",INDEX(_Datos!$T$7:$T$200,$P40))</f>
        <v>0</v>
      </c>
      <c r="K40" s="167">
        <f ca="1">IF($P40="","",INDEX(_Datos!$V$7:$V$200,$P40))</f>
        <v>0</v>
      </c>
      <c r="L40" s="168">
        <f ca="1">IF($P40="","",INDEX(_Datos!$W$7:$W$200,$P40))</f>
        <v>0</v>
      </c>
      <c r="M40" s="162" t="str">
        <f ca="1">IF($P40="","",INDEX(_Datos!$AC$7:$AC$200,$P40))</f>
        <v>SOBRECARGA</v>
      </c>
      <c r="P40" s="163">
        <f ca="1">IFERROR(MATCH(LARGE(_Datos!$AJ$7:$AJ$200,ROW()-7+1),_Datos!$AJ$7:$AJ$200,0),"")</f>
        <v>12</v>
      </c>
    </row>
    <row r="41" spans="2:16" hidden="1" x14ac:dyDescent="0.35">
      <c r="B41" s="165" t="str">
        <f ca="1">IF($P41="","",INDEX(_Datos!$AB$7:$AB$200,$P41))</f>
        <v>Media</v>
      </c>
      <c r="C41" s="165" t="str">
        <f ca="1">IF($P41="","",INDEX(_Datos!$AE$7:$AE$200,$P41))</f>
        <v>(Sin sprint)</v>
      </c>
      <c r="D41" s="162" t="str">
        <f ca="1">IF($P41="","",INDEX(_Datos!$F$7:$F$200,$P41))</f>
        <v>Crear Backend ETL - ver con Claude Code</v>
      </c>
      <c r="E41" s="162" t="str">
        <f ca="1">IF($P41="","",INDEX(_Datos!$G$7:$G$200,$P41))</f>
        <v>Santiago Alonso</v>
      </c>
      <c r="F41" s="166">
        <f ca="1">IF($P41="","",INDEX(_Datos!$H$7:$H$200,$P41))</f>
        <v>46220</v>
      </c>
      <c r="G41" s="165" t="str">
        <f ca="1">IF($P41="","",INDEX(_Datos!$J$7:$J$200,$P41))</f>
        <v>En curso</v>
      </c>
      <c r="H41" s="168">
        <f ca="1">IF($P41="","",INDEX(_Datos!$K$7:$K$200,$P41))</f>
        <v>28</v>
      </c>
      <c r="I41" s="168">
        <f ca="1">IF($P41="","",INDEX(_Datos!$S$7:$S$200,$P41))</f>
        <v>28</v>
      </c>
      <c r="J41" s="168">
        <f ca="1">IF($P41="","",INDEX(_Datos!$T$7:$T$200,$P41))</f>
        <v>0</v>
      </c>
      <c r="K41" s="167">
        <f ca="1">IF($P41="","",INDEX(_Datos!$V$7:$V$200,$P41))</f>
        <v>0</v>
      </c>
      <c r="L41" s="168">
        <f ca="1">IF($P41="","",INDEX(_Datos!$W$7:$W$200,$P41))</f>
        <v>0</v>
      </c>
      <c r="M41" s="162" t="str">
        <f ca="1">IF($P41="","",INDEX(_Datos!$AC$7:$AC$200,$P41))</f>
        <v>SOBRECARGA</v>
      </c>
      <c r="P41" s="163">
        <f ca="1">IFERROR(MATCH(LARGE(_Datos!$AJ$7:$AJ$200,ROW()-7+1),_Datos!$AJ$7:$AJ$200,0),"")</f>
        <v>14</v>
      </c>
    </row>
    <row r="42" spans="2:16" ht="29" hidden="1" x14ac:dyDescent="0.35">
      <c r="B42" s="165" t="str">
        <f ca="1">IF($P42="","",INDEX(_Datos!$AB$7:$AB$200,$P42))</f>
        <v>Media</v>
      </c>
      <c r="C42" s="165" t="str">
        <f ca="1">IF($P42="","",INDEX(_Datos!$AE$7:$AE$200,$P42))</f>
        <v>(Sin sprint)</v>
      </c>
      <c r="D42" s="162" t="str">
        <f ca="1">IF($P42="","",INDEX(_Datos!$F$7:$F$200,$P42))</f>
        <v>Certificados automáticos (ver si utilizar scripts)</v>
      </c>
      <c r="E42" s="162" t="str">
        <f ca="1">IF($P42="","",INDEX(_Datos!$G$7:$G$200,$P42))</f>
        <v>Santiago Alonso</v>
      </c>
      <c r="F42" s="166">
        <f ca="1">IF($P42="","",INDEX(_Datos!$H$7:$H$200,$P42))</f>
        <v>46220</v>
      </c>
      <c r="G42" s="165" t="str">
        <f ca="1">IF($P42="","",INDEX(_Datos!$J$7:$J$200,$P42))</f>
        <v>En curso</v>
      </c>
      <c r="H42" s="168">
        <f ca="1">IF($P42="","",INDEX(_Datos!$K$7:$K$200,$P42))</f>
        <v>28</v>
      </c>
      <c r="I42" s="168">
        <f ca="1">IF($P42="","",INDEX(_Datos!$S$7:$S$200,$P42))</f>
        <v>12</v>
      </c>
      <c r="J42" s="168">
        <f ca="1">IF($P42="","",INDEX(_Datos!$T$7:$T$200,$P42))</f>
        <v>0</v>
      </c>
      <c r="K42" s="167">
        <f ca="1">IF($P42="","",INDEX(_Datos!$V$7:$V$200,$P42))</f>
        <v>0.05</v>
      </c>
      <c r="L42" s="168">
        <f ca="1">IF($P42="","",INDEX(_Datos!$W$7:$W$200,$P42))</f>
        <v>0</v>
      </c>
      <c r="M42" s="162" t="str">
        <f ca="1">IF($P42="","",INDEX(_Datos!$AC$7:$AC$200,$P42))</f>
        <v>SOBRECARGA</v>
      </c>
      <c r="P42" s="163">
        <f ca="1">IFERROR(MATCH(LARGE(_Datos!$AJ$7:$AJ$200,ROW()-7+1),_Datos!$AJ$7:$AJ$200,0),"")</f>
        <v>44</v>
      </c>
    </row>
    <row r="43" spans="2:16" hidden="1" x14ac:dyDescent="0.35">
      <c r="B43" s="165" t="str">
        <f ca="1">IF($P43="","",INDEX(_Datos!$AB$7:$AB$200,$P43))</f>
        <v>Media</v>
      </c>
      <c r="C43" s="165" t="str">
        <f ca="1">IF($P43="","",INDEX(_Datos!$AE$7:$AE$200,$P43))</f>
        <v>(Sin sprint)</v>
      </c>
      <c r="D43" s="162" t="str">
        <f ca="1">IF($P43="","",INDEX(_Datos!$F$7:$F$200,$P43))</f>
        <v>Deployar (URL Web)</v>
      </c>
      <c r="E43" s="162" t="str">
        <f ca="1">IF($P43="","",INDEX(_Datos!$G$7:$G$200,$P43))</f>
        <v>Santiago Alonso</v>
      </c>
      <c r="F43" s="166">
        <f ca="1">IF($P43="","",INDEX(_Datos!$H$7:$H$200,$P43))</f>
        <v>46227</v>
      </c>
      <c r="G43" s="165" t="str">
        <f ca="1">IF($P43="","",INDEX(_Datos!$J$7:$J$200,$P43))</f>
        <v>En curso</v>
      </c>
      <c r="H43" s="168">
        <f ca="1">IF($P43="","",INDEX(_Datos!$K$7:$K$200,$P43))</f>
        <v>35</v>
      </c>
      <c r="I43" s="168">
        <f ca="1">IF($P43="","",INDEX(_Datos!$S$7:$S$200,$P43))</f>
        <v>7</v>
      </c>
      <c r="J43" s="168">
        <f ca="1">IF($P43="","",INDEX(_Datos!$T$7:$T$200,$P43))</f>
        <v>0</v>
      </c>
      <c r="K43" s="167">
        <f ca="1">IF($P43="","",INDEX(_Datos!$V$7:$V$200,$P43))</f>
        <v>0</v>
      </c>
      <c r="L43" s="168">
        <f ca="1">IF($P43="","",INDEX(_Datos!$W$7:$W$200,$P43))</f>
        <v>0</v>
      </c>
      <c r="M43" s="162" t="str">
        <f ca="1">IF($P43="","",INDEX(_Datos!$AC$7:$AC$200,$P43))</f>
        <v>SOBRECARGA</v>
      </c>
      <c r="P43" s="163">
        <f ca="1">IFERROR(MATCH(LARGE(_Datos!$AJ$7:$AJ$200,ROW()-7+1),_Datos!$AJ$7:$AJ$200,0),"")</f>
        <v>15</v>
      </c>
    </row>
    <row r="44" spans="2:16" x14ac:dyDescent="0.35">
      <c r="B44" s="165" t="str">
        <f ca="1">IF($P44="","",INDEX(_Datos!$AB$7:$AB$200,$P44))</f>
        <v>—</v>
      </c>
      <c r="C44" s="165">
        <f ca="1">IF($P44="","",INDEX(_Datos!$AE$7:$AE$200,$P44))</f>
        <v>1</v>
      </c>
      <c r="D44" s="162" t="str">
        <f ca="1">IF($P44="","",INDEX(_Datos!$F$7:$F$200,$P44))</f>
        <v>Crear estructura de Cotizador en base a modelo armado (migra a CLAUDE)</v>
      </c>
      <c r="E44" s="162" t="str">
        <f ca="1">IF($P44="","",INDEX(_Datos!$G$7:$G$200,$P44))</f>
        <v>Santiago Alonso</v>
      </c>
      <c r="F44" s="166">
        <f ca="1">IF($P44="","",INDEX(_Datos!$H$7:$H$200,$P44))</f>
        <v>46192</v>
      </c>
      <c r="G44" s="165" t="str">
        <f ca="1">IF($P44="","",INDEX(_Datos!$J$7:$J$200,$P44))</f>
        <v>Completado</v>
      </c>
      <c r="H44" s="168">
        <f ca="1">IF($P44="","",INDEX(_Datos!$K$7:$K$200,$P44))</f>
        <v>0</v>
      </c>
      <c r="I44" s="168">
        <f ca="1">IF($P44="","",INDEX(_Datos!$S$7:$S$200,$P44))</f>
        <v>235</v>
      </c>
      <c r="J44" s="168">
        <f ca="1">IF($P44="","",INDEX(_Datos!$T$7:$T$200,$P44))</f>
        <v>234</v>
      </c>
      <c r="K44" s="167">
        <f ca="1">IF($P44="","",INDEX(_Datos!$V$7:$V$200,$P44))</f>
        <v>0</v>
      </c>
      <c r="L44" s="168">
        <f ca="1">IF($P44="","",INDEX(_Datos!$W$7:$W$200,$P44))</f>
        <v>0</v>
      </c>
      <c r="M44" s="162" t="str">
        <f ca="1">IF($P44="","",INDEX(_Datos!$AC$7:$AC$200,$P44))</f>
        <v>SOBRECARGA</v>
      </c>
      <c r="P44" s="163">
        <f ca="1">IFERROR(MATCH(LARGE(_Datos!$AJ$7:$AJ$200,ROW()-7+1),_Datos!$AJ$7:$AJ$200,0),"")</f>
        <v>4</v>
      </c>
    </row>
    <row r="45" spans="2:16" x14ac:dyDescent="0.35">
      <c r="B45" s="165" t="str">
        <f ca="1">IF($P45="","",INDEX(_Datos!$AB$7:$AB$200,$P45))</f>
        <v>—</v>
      </c>
      <c r="C45" s="165">
        <f ca="1">IF($P45="","",INDEX(_Datos!$AE$7:$AE$200,$P45))</f>
        <v>1</v>
      </c>
      <c r="D45" s="162" t="str">
        <f ca="1">IF($P45="","",INDEX(_Datos!$F$7:$F$200,$P45))</f>
        <v>Relevamiento área de IA -  Repositorio (GitHub o AWS S3) + Seguridad</v>
      </c>
      <c r="E45" s="162" t="str">
        <f ca="1">IF($P45="","",INDEX(_Datos!$G$7:$G$200,$P45))</f>
        <v>Santiago Alonso</v>
      </c>
      <c r="F45" s="166">
        <f ca="1">IF($P45="","",INDEX(_Datos!$H$7:$H$200,$P45))</f>
        <v>46192</v>
      </c>
      <c r="G45" s="165" t="str">
        <f ca="1">IF($P45="","",INDEX(_Datos!$J$7:$J$200,$P45))</f>
        <v>Completado</v>
      </c>
      <c r="H45" s="168">
        <f ca="1">IF($P45="","",INDEX(_Datos!$K$7:$K$200,$P45))</f>
        <v>0</v>
      </c>
      <c r="I45" s="168">
        <f ca="1">IF($P45="","",INDEX(_Datos!$S$7:$S$200,$P45))</f>
        <v>11</v>
      </c>
      <c r="J45" s="168">
        <f ca="1">IF($P45="","",INDEX(_Datos!$T$7:$T$200,$P45))</f>
        <v>10</v>
      </c>
      <c r="K45" s="167">
        <f ca="1">IF($P45="","",INDEX(_Datos!$V$7:$V$200,$P45))</f>
        <v>0</v>
      </c>
      <c r="L45" s="168">
        <f ca="1">IF($P45="","",INDEX(_Datos!$W$7:$W$200,$P45))</f>
        <v>0</v>
      </c>
      <c r="M45" s="162" t="str">
        <f ca="1">IF($P45="","",INDEX(_Datos!$AC$7:$AC$200,$P45))</f>
        <v>SOBRECARGA</v>
      </c>
      <c r="P45" s="163">
        <f ca="1">IFERROR(MATCH(LARGE(_Datos!$AJ$7:$AJ$200,ROW()-7+1),_Datos!$AJ$7:$AJ$200,0),"")</f>
        <v>13</v>
      </c>
    </row>
    <row r="46" spans="2:16" ht="43.5" hidden="1" x14ac:dyDescent="0.35">
      <c r="B46" s="165" t="str">
        <f ca="1">IF($P46="","",INDEX(_Datos!$AB$7:$AB$200,$P46))</f>
        <v>Baja</v>
      </c>
      <c r="C46" s="165" t="str">
        <f ca="1">IF($P46="","",INDEX(_Datos!$AE$7:$AE$200,$P46))</f>
        <v>(Sin sprint)</v>
      </c>
      <c r="D46" s="162" t="str">
        <f ca="1">IF($P46="","",INDEX(_Datos!$F$7:$F$200,$P46))</f>
        <v>Estandarizar materíales de contratos - ver si se puede realizarmasivo (Matias Viera - SF)</v>
      </c>
      <c r="E46" s="162" t="str">
        <f ca="1">IF($P46="","",INDEX(_Datos!$G$7:$G$200,$P46))</f>
        <v>Santiago Alonso/ Danna Basso/ Lucía Paciello</v>
      </c>
      <c r="F46" s="166">
        <f ca="1">IF($P46="","",INDEX(_Datos!$H$7:$H$200,$P46))</f>
        <v>46220</v>
      </c>
      <c r="G46" s="165" t="str">
        <f ca="1">IF($P46="","",INDEX(_Datos!$J$7:$J$200,$P46))</f>
        <v>En curso</v>
      </c>
      <c r="H46" s="168">
        <f ca="1">IF($P46="","",INDEX(_Datos!$K$7:$K$200,$P46))</f>
        <v>28</v>
      </c>
      <c r="I46" s="168">
        <f ca="1">IF($P46="","",INDEX(_Datos!$S$7:$S$200,$P46))</f>
        <v>5</v>
      </c>
      <c r="J46" s="168">
        <f ca="1">IF($P46="","",INDEX(_Datos!$T$7:$T$200,$P46))</f>
        <v>0</v>
      </c>
      <c r="K46" s="167">
        <f ca="1">IF($P46="","",INDEX(_Datos!$V$7:$V$200,$P46))</f>
        <v>0</v>
      </c>
      <c r="L46" s="168">
        <f ca="1">IF($P46="","",INDEX(_Datos!$W$7:$W$200,$P46))</f>
        <v>0</v>
      </c>
      <c r="M46" s="162" t="str">
        <f ca="1">IF($P46="","",INDEX(_Datos!$AC$7:$AC$200,$P46))</f>
        <v>—</v>
      </c>
      <c r="P46" s="163">
        <f ca="1">IFERROR(MATCH(LARGE(_Datos!$AJ$7:$AJ$200,ROW()-7+1),_Datos!$AJ$7:$AJ$200,0),"")</f>
        <v>48</v>
      </c>
    </row>
    <row r="47" spans="2:16" ht="29" hidden="1" x14ac:dyDescent="0.35">
      <c r="B47" s="165" t="str">
        <f ca="1">IF($P47="","",INDEX(_Datos!$AB$7:$AB$200,$P47))</f>
        <v>Baja</v>
      </c>
      <c r="C47" s="165" t="str">
        <f ca="1">IF($P47="","",INDEX(_Datos!$AE$7:$AE$200,$P47))</f>
        <v>(Sin sprint)</v>
      </c>
      <c r="D47" s="162" t="str">
        <f ca="1">IF($P47="","",INDEX(_Datos!$F$7:$F$200,$P47))</f>
        <v>Provisión Automática</v>
      </c>
      <c r="E47" s="162" t="str">
        <f ca="1">IF($P47="","",INDEX(_Datos!$G$7:$G$200,$P47))</f>
        <v>Santiago Alonso/ Julio Tinelli</v>
      </c>
      <c r="F47" s="166">
        <f ca="1">IF($P47="","",INDEX(_Datos!$H$7:$H$200,$P47))</f>
        <v>46227</v>
      </c>
      <c r="G47" s="165" t="str">
        <f ca="1">IF($P47="","",INDEX(_Datos!$J$7:$J$200,$P47))</f>
        <v>En curso</v>
      </c>
      <c r="H47" s="168">
        <f ca="1">IF($P47="","",INDEX(_Datos!$K$7:$K$200,$P47))</f>
        <v>35</v>
      </c>
      <c r="I47" s="168">
        <f ca="1">IF($P47="","",INDEX(_Datos!$S$7:$S$200,$P47))</f>
        <v>12</v>
      </c>
      <c r="J47" s="168">
        <f ca="1">IF($P47="","",INDEX(_Datos!$T$7:$T$200,$P47))</f>
        <v>0</v>
      </c>
      <c r="K47" s="167">
        <f ca="1">IF($P47="","",INDEX(_Datos!$V$7:$V$200,$P47))</f>
        <v>0</v>
      </c>
      <c r="L47" s="168">
        <f ca="1">IF($P47="","",INDEX(_Datos!$W$7:$W$200,$P47))</f>
        <v>0</v>
      </c>
      <c r="M47" s="162" t="str">
        <f ca="1">IF($P47="","",INDEX(_Datos!$AC$7:$AC$200,$P47))</f>
        <v>—</v>
      </c>
      <c r="P47" s="163">
        <f ca="1">IFERROR(MATCH(LARGE(_Datos!$AJ$7:$AJ$200,ROW()-7+1),_Datos!$AJ$7:$AJ$200,0),"")</f>
        <v>45</v>
      </c>
    </row>
    <row r="48" spans="2:16" ht="43.5" hidden="1" x14ac:dyDescent="0.35">
      <c r="B48" s="165" t="str">
        <f ca="1">IF($P48="","",INDEX(_Datos!$AB$7:$AB$200,$P48))</f>
        <v>Baja</v>
      </c>
      <c r="C48" s="165" t="str">
        <f ca="1">IF($P48="","",INDEX(_Datos!$AE$7:$AE$200,$P48))</f>
        <v>(Sin sprint)</v>
      </c>
      <c r="D48" s="162" t="str">
        <f ca="1">IF($P48="","",INDEX(_Datos!$F$7:$F$200,$P48))</f>
        <v>Relevar conveniencia de creación de Boom´s para materiales que hacen alusión a US</v>
      </c>
      <c r="E48" s="162" t="str">
        <f ca="1">IF($P48="","",INDEX(_Datos!$G$7:$G$200,$P48))</f>
        <v>Santiago Alonso/ Danna Basso/ Lucía Paciello</v>
      </c>
      <c r="F48" s="166">
        <f ca="1">IF($P48="","",INDEX(_Datos!$H$7:$H$200,$P48))</f>
        <v>46227</v>
      </c>
      <c r="G48" s="165" t="str">
        <f ca="1">IF($P48="","",INDEX(_Datos!$J$7:$J$200,$P48))</f>
        <v>En curso</v>
      </c>
      <c r="H48" s="168">
        <f ca="1">IF($P48="","",INDEX(_Datos!$K$7:$K$200,$P48))</f>
        <v>35</v>
      </c>
      <c r="I48" s="168">
        <f ca="1">IF($P48="","",INDEX(_Datos!$S$7:$S$200,$P48))</f>
        <v>5</v>
      </c>
      <c r="J48" s="168">
        <f ca="1">IF($P48="","",INDEX(_Datos!$T$7:$T$200,$P48))</f>
        <v>0</v>
      </c>
      <c r="K48" s="167">
        <f ca="1">IF($P48="","",INDEX(_Datos!$V$7:$V$200,$P48))</f>
        <v>0</v>
      </c>
      <c r="L48" s="168">
        <f ca="1">IF($P48="","",INDEX(_Datos!$W$7:$W$200,$P48))</f>
        <v>0</v>
      </c>
      <c r="M48" s="162" t="str">
        <f ca="1">IF($P48="","",INDEX(_Datos!$AC$7:$AC$200,$P48))</f>
        <v>—</v>
      </c>
      <c r="P48" s="163">
        <f ca="1">IFERROR(MATCH(LARGE(_Datos!$AJ$7:$AJ$200,ROW()-7+1),_Datos!$AJ$7:$AJ$200,0),"")</f>
        <v>49</v>
      </c>
    </row>
    <row r="49" spans="2:16" hidden="1" x14ac:dyDescent="0.35">
      <c r="B49" s="165" t="str">
        <f ca="1">IF($P49="","",INDEX(_Datos!$AB$7:$AB$200,$P49))</f>
        <v/>
      </c>
      <c r="C49" s="165" t="str">
        <f ca="1">IF($P49="","",INDEX(_Datos!$AE$7:$AE$200,$P49))</f>
        <v/>
      </c>
      <c r="D49" s="162" t="str">
        <f ca="1">IF($P49="","",INDEX(_Datos!$F$7:$F$200,$P49))</f>
        <v/>
      </c>
      <c r="E49" s="162" t="str">
        <f ca="1">IF($P49="","",INDEX(_Datos!$G$7:$G$200,$P49))</f>
        <v/>
      </c>
      <c r="F49" s="166" t="str">
        <f ca="1">IF($P49="","",INDEX(_Datos!$H$7:$H$200,$P49))</f>
        <v/>
      </c>
      <c r="G49" s="165" t="str">
        <f ca="1">IF($P49="","",INDEX(_Datos!$J$7:$J$200,$P49))</f>
        <v/>
      </c>
      <c r="H49" s="168" t="str">
        <f ca="1">IF($P49="","",INDEX(_Datos!$K$7:$K$200,$P49))</f>
        <v/>
      </c>
      <c r="I49" s="168" t="str">
        <f ca="1">IF($P49="","",INDEX(_Datos!$S$7:$S$200,$P49))</f>
        <v/>
      </c>
      <c r="J49" s="168" t="str">
        <f ca="1">IF($P49="","",INDEX(_Datos!$T$7:$T$200,$P49))</f>
        <v/>
      </c>
      <c r="K49" s="167" t="str">
        <f ca="1">IF($P49="","",INDEX(_Datos!$V$7:$V$200,$P49))</f>
        <v/>
      </c>
      <c r="L49" s="168" t="str">
        <f ca="1">IF($P49="","",INDEX(_Datos!$W$7:$W$200,$P49))</f>
        <v/>
      </c>
      <c r="M49" s="162" t="str">
        <f ca="1">IF($P49="","",INDEX(_Datos!$AC$7:$AC$200,$P49))</f>
        <v/>
      </c>
      <c r="P49" s="163" t="str">
        <f ca="1">IFERROR(MATCH(LARGE(_Datos!$AJ$7:$AJ$200,ROW()-7+1),_Datos!$AJ$7:$AJ$200,0),"")</f>
        <v/>
      </c>
    </row>
    <row r="50" spans="2:16" hidden="1" x14ac:dyDescent="0.35">
      <c r="B50" s="165" t="str">
        <f ca="1">IF($P50="","",INDEX(_Datos!$AB$7:$AB$200,$P50))</f>
        <v/>
      </c>
      <c r="C50" s="165" t="str">
        <f ca="1">IF($P50="","",INDEX(_Datos!$AE$7:$AE$200,$P50))</f>
        <v/>
      </c>
      <c r="D50" s="162" t="str">
        <f ca="1">IF($P50="","",INDEX(_Datos!$F$7:$F$200,$P50))</f>
        <v/>
      </c>
      <c r="E50" s="162" t="str">
        <f ca="1">IF($P50="","",INDEX(_Datos!$G$7:$G$200,$P50))</f>
        <v/>
      </c>
      <c r="F50" s="166" t="str">
        <f ca="1">IF($P50="","",INDEX(_Datos!$H$7:$H$200,$P50))</f>
        <v/>
      </c>
      <c r="G50" s="165" t="str">
        <f ca="1">IF($P50="","",INDEX(_Datos!$J$7:$J$200,$P50))</f>
        <v/>
      </c>
      <c r="H50" s="168" t="str">
        <f ca="1">IF($P50="","",INDEX(_Datos!$K$7:$K$200,$P50))</f>
        <v/>
      </c>
      <c r="I50" s="168" t="str">
        <f ca="1">IF($P50="","",INDEX(_Datos!$S$7:$S$200,$P50))</f>
        <v/>
      </c>
      <c r="J50" s="168" t="str">
        <f ca="1">IF($P50="","",INDEX(_Datos!$T$7:$T$200,$P50))</f>
        <v/>
      </c>
      <c r="K50" s="167" t="str">
        <f ca="1">IF($P50="","",INDEX(_Datos!$V$7:$V$200,$P50))</f>
        <v/>
      </c>
      <c r="L50" s="168" t="str">
        <f ca="1">IF($P50="","",INDEX(_Datos!$W$7:$W$200,$P50))</f>
        <v/>
      </c>
      <c r="M50" s="162" t="str">
        <f ca="1">IF($P50="","",INDEX(_Datos!$AC$7:$AC$200,$P50))</f>
        <v/>
      </c>
      <c r="P50" s="163" t="str">
        <f ca="1">IFERROR(MATCH(LARGE(_Datos!$AJ$7:$AJ$200,ROW()-7+1),_Datos!$AJ$7:$AJ$200,0),"")</f>
        <v/>
      </c>
    </row>
    <row r="51" spans="2:16" hidden="1" x14ac:dyDescent="0.35">
      <c r="B51" s="165" t="str">
        <f ca="1">IF($P51="","",INDEX(_Datos!$AB$7:$AB$200,$P51))</f>
        <v/>
      </c>
      <c r="C51" s="165" t="str">
        <f ca="1">IF($P51="","",INDEX(_Datos!$AE$7:$AE$200,$P51))</f>
        <v/>
      </c>
      <c r="D51" s="162" t="str">
        <f ca="1">IF($P51="","",INDEX(_Datos!$F$7:$F$200,$P51))</f>
        <v/>
      </c>
      <c r="E51" s="162" t="str">
        <f ca="1">IF($P51="","",INDEX(_Datos!$G$7:$G$200,$P51))</f>
        <v/>
      </c>
      <c r="F51" s="166" t="str">
        <f ca="1">IF($P51="","",INDEX(_Datos!$H$7:$H$200,$P51))</f>
        <v/>
      </c>
      <c r="G51" s="165" t="str">
        <f ca="1">IF($P51="","",INDEX(_Datos!$J$7:$J$200,$P51))</f>
        <v/>
      </c>
      <c r="H51" s="168" t="str">
        <f ca="1">IF($P51="","",INDEX(_Datos!$K$7:$K$200,$P51))</f>
        <v/>
      </c>
      <c r="I51" s="168" t="str">
        <f ca="1">IF($P51="","",INDEX(_Datos!$S$7:$S$200,$P51))</f>
        <v/>
      </c>
      <c r="J51" s="168" t="str">
        <f ca="1">IF($P51="","",INDEX(_Datos!$T$7:$T$200,$P51))</f>
        <v/>
      </c>
      <c r="K51" s="167" t="str">
        <f ca="1">IF($P51="","",INDEX(_Datos!$V$7:$V$200,$P51))</f>
        <v/>
      </c>
      <c r="L51" s="168" t="str">
        <f ca="1">IF($P51="","",INDEX(_Datos!$W$7:$W$200,$P51))</f>
        <v/>
      </c>
      <c r="M51" s="162" t="str">
        <f ca="1">IF($P51="","",INDEX(_Datos!$AC$7:$AC$200,$P51))</f>
        <v/>
      </c>
      <c r="P51" s="163" t="str">
        <f ca="1">IFERROR(MATCH(LARGE(_Datos!$AJ$7:$AJ$200,ROW()-7+1),_Datos!$AJ$7:$AJ$200,0),"")</f>
        <v/>
      </c>
    </row>
    <row r="52" spans="2:16" hidden="1" x14ac:dyDescent="0.35">
      <c r="B52" s="165" t="str">
        <f ca="1">IF($P52="","",INDEX(_Datos!$AB$7:$AB$200,$P52))</f>
        <v/>
      </c>
      <c r="C52" s="165" t="str">
        <f ca="1">IF($P52="","",INDEX(_Datos!$AE$7:$AE$200,$P52))</f>
        <v/>
      </c>
      <c r="D52" s="162" t="str">
        <f ca="1">IF($P52="","",INDEX(_Datos!$F$7:$F$200,$P52))</f>
        <v/>
      </c>
      <c r="E52" s="162" t="str">
        <f ca="1">IF($P52="","",INDEX(_Datos!$G$7:$G$200,$P52))</f>
        <v/>
      </c>
      <c r="F52" s="166" t="str">
        <f ca="1">IF($P52="","",INDEX(_Datos!$H$7:$H$200,$P52))</f>
        <v/>
      </c>
      <c r="G52" s="165" t="str">
        <f ca="1">IF($P52="","",INDEX(_Datos!$J$7:$J$200,$P52))</f>
        <v/>
      </c>
      <c r="H52" s="168" t="str">
        <f ca="1">IF($P52="","",INDEX(_Datos!$K$7:$K$200,$P52))</f>
        <v/>
      </c>
      <c r="I52" s="168" t="str">
        <f ca="1">IF($P52="","",INDEX(_Datos!$S$7:$S$200,$P52))</f>
        <v/>
      </c>
      <c r="J52" s="168" t="str">
        <f ca="1">IF($P52="","",INDEX(_Datos!$T$7:$T$200,$P52))</f>
        <v/>
      </c>
      <c r="K52" s="167" t="str">
        <f ca="1">IF($P52="","",INDEX(_Datos!$V$7:$V$200,$P52))</f>
        <v/>
      </c>
      <c r="L52" s="168" t="str">
        <f ca="1">IF($P52="","",INDEX(_Datos!$W$7:$W$200,$P52))</f>
        <v/>
      </c>
      <c r="M52" s="162" t="str">
        <f ca="1">IF($P52="","",INDEX(_Datos!$AC$7:$AC$200,$P52))</f>
        <v/>
      </c>
      <c r="P52" s="163" t="str">
        <f ca="1">IFERROR(MATCH(LARGE(_Datos!$AJ$7:$AJ$200,ROW()-7+1),_Datos!$AJ$7:$AJ$200,0),"")</f>
        <v/>
      </c>
    </row>
    <row r="53" spans="2:16" hidden="1" x14ac:dyDescent="0.35">
      <c r="B53" s="165" t="str">
        <f ca="1">IF($P53="","",INDEX(_Datos!$AB$7:$AB$200,$P53))</f>
        <v/>
      </c>
      <c r="C53" s="165" t="str">
        <f ca="1">IF($P53="","",INDEX(_Datos!$AE$7:$AE$200,$P53))</f>
        <v/>
      </c>
      <c r="D53" s="162" t="str">
        <f ca="1">IF($P53="","",INDEX(_Datos!$F$7:$F$200,$P53))</f>
        <v/>
      </c>
      <c r="E53" s="162" t="str">
        <f ca="1">IF($P53="","",INDEX(_Datos!$G$7:$G$200,$P53))</f>
        <v/>
      </c>
      <c r="F53" s="166" t="str">
        <f ca="1">IF($P53="","",INDEX(_Datos!$H$7:$H$200,$P53))</f>
        <v/>
      </c>
      <c r="G53" s="165" t="str">
        <f ca="1">IF($P53="","",INDEX(_Datos!$J$7:$J$200,$P53))</f>
        <v/>
      </c>
      <c r="H53" s="168" t="str">
        <f ca="1">IF($P53="","",INDEX(_Datos!$K$7:$K$200,$P53))</f>
        <v/>
      </c>
      <c r="I53" s="168" t="str">
        <f ca="1">IF($P53="","",INDEX(_Datos!$S$7:$S$200,$P53))</f>
        <v/>
      </c>
      <c r="J53" s="168" t="str">
        <f ca="1">IF($P53="","",INDEX(_Datos!$T$7:$T$200,$P53))</f>
        <v/>
      </c>
      <c r="K53" s="167" t="str">
        <f ca="1">IF($P53="","",INDEX(_Datos!$V$7:$V$200,$P53))</f>
        <v/>
      </c>
      <c r="L53" s="168" t="str">
        <f ca="1">IF($P53="","",INDEX(_Datos!$W$7:$W$200,$P53))</f>
        <v/>
      </c>
      <c r="M53" s="162" t="str">
        <f ca="1">IF($P53="","",INDEX(_Datos!$AC$7:$AC$200,$P53))</f>
        <v/>
      </c>
      <c r="P53" s="163" t="str">
        <f ca="1">IFERROR(MATCH(LARGE(_Datos!$AJ$7:$AJ$200,ROW()-7+1),_Datos!$AJ$7:$AJ$200,0),"")</f>
        <v/>
      </c>
    </row>
    <row r="54" spans="2:16" hidden="1" x14ac:dyDescent="0.35">
      <c r="B54" s="165" t="str">
        <f ca="1">IF($P54="","",INDEX(_Datos!$AB$7:$AB$200,$P54))</f>
        <v/>
      </c>
      <c r="C54" s="165" t="str">
        <f ca="1">IF($P54="","",INDEX(_Datos!$AE$7:$AE$200,$P54))</f>
        <v/>
      </c>
      <c r="D54" s="162" t="str">
        <f ca="1">IF($P54="","",INDEX(_Datos!$F$7:$F$200,$P54))</f>
        <v/>
      </c>
      <c r="E54" s="162" t="str">
        <f ca="1">IF($P54="","",INDEX(_Datos!$G$7:$G$200,$P54))</f>
        <v/>
      </c>
      <c r="F54" s="166" t="str">
        <f ca="1">IF($P54="","",INDEX(_Datos!$H$7:$H$200,$P54))</f>
        <v/>
      </c>
      <c r="G54" s="165" t="str">
        <f ca="1">IF($P54="","",INDEX(_Datos!$J$7:$J$200,$P54))</f>
        <v/>
      </c>
      <c r="H54" s="168" t="str">
        <f ca="1">IF($P54="","",INDEX(_Datos!$K$7:$K$200,$P54))</f>
        <v/>
      </c>
      <c r="I54" s="168" t="str">
        <f ca="1">IF($P54="","",INDEX(_Datos!$S$7:$S$200,$P54))</f>
        <v/>
      </c>
      <c r="J54" s="168" t="str">
        <f ca="1">IF($P54="","",INDEX(_Datos!$T$7:$T$200,$P54))</f>
        <v/>
      </c>
      <c r="K54" s="167" t="str">
        <f ca="1">IF($P54="","",INDEX(_Datos!$V$7:$V$200,$P54))</f>
        <v/>
      </c>
      <c r="L54" s="168" t="str">
        <f ca="1">IF($P54="","",INDEX(_Datos!$W$7:$W$200,$P54))</f>
        <v/>
      </c>
      <c r="M54" s="162" t="str">
        <f ca="1">IF($P54="","",INDEX(_Datos!$AC$7:$AC$200,$P54))</f>
        <v/>
      </c>
      <c r="P54" s="163" t="str">
        <f ca="1">IFERROR(MATCH(LARGE(_Datos!$AJ$7:$AJ$200,ROW()-7+1),_Datos!$AJ$7:$AJ$200,0),"")</f>
        <v/>
      </c>
    </row>
    <row r="55" spans="2:16" hidden="1" x14ac:dyDescent="0.35">
      <c r="B55" s="165" t="str">
        <f ca="1">IF($P55="","",INDEX(_Datos!$AB$7:$AB$200,$P55))</f>
        <v/>
      </c>
      <c r="C55" s="165" t="str">
        <f ca="1">IF($P55="","",INDEX(_Datos!$AE$7:$AE$200,$P55))</f>
        <v/>
      </c>
      <c r="D55" s="162" t="str">
        <f ca="1">IF($P55="","",INDEX(_Datos!$F$7:$F$200,$P55))</f>
        <v/>
      </c>
      <c r="E55" s="162" t="str">
        <f ca="1">IF($P55="","",INDEX(_Datos!$G$7:$G$200,$P55))</f>
        <v/>
      </c>
      <c r="F55" s="166" t="str">
        <f ca="1">IF($P55="","",INDEX(_Datos!$H$7:$H$200,$P55))</f>
        <v/>
      </c>
      <c r="G55" s="165" t="str">
        <f ca="1">IF($P55="","",INDEX(_Datos!$J$7:$J$200,$P55))</f>
        <v/>
      </c>
      <c r="H55" s="168" t="str">
        <f ca="1">IF($P55="","",INDEX(_Datos!$K$7:$K$200,$P55))</f>
        <v/>
      </c>
      <c r="I55" s="168" t="str">
        <f ca="1">IF($P55="","",INDEX(_Datos!$S$7:$S$200,$P55))</f>
        <v/>
      </c>
      <c r="J55" s="168" t="str">
        <f ca="1">IF($P55="","",INDEX(_Datos!$T$7:$T$200,$P55))</f>
        <v/>
      </c>
      <c r="K55" s="167" t="str">
        <f ca="1">IF($P55="","",INDEX(_Datos!$V$7:$V$200,$P55))</f>
        <v/>
      </c>
      <c r="L55" s="168" t="str">
        <f ca="1">IF($P55="","",INDEX(_Datos!$W$7:$W$200,$P55))</f>
        <v/>
      </c>
      <c r="M55" s="162" t="str">
        <f ca="1">IF($P55="","",INDEX(_Datos!$AC$7:$AC$200,$P55))</f>
        <v/>
      </c>
      <c r="P55" s="163" t="str">
        <f ca="1">IFERROR(MATCH(LARGE(_Datos!$AJ$7:$AJ$200,ROW()-7+1),_Datos!$AJ$7:$AJ$200,0),"")</f>
        <v/>
      </c>
    </row>
    <row r="56" spans="2:16" hidden="1" x14ac:dyDescent="0.35">
      <c r="B56" s="165" t="str">
        <f ca="1">IF($P56="","",INDEX(_Datos!$AB$7:$AB$200,$P56))</f>
        <v/>
      </c>
      <c r="C56" s="165" t="str">
        <f ca="1">IF($P56="","",INDEX(_Datos!$AE$7:$AE$200,$P56))</f>
        <v/>
      </c>
      <c r="D56" s="162" t="str">
        <f ca="1">IF($P56="","",INDEX(_Datos!$F$7:$F$200,$P56))</f>
        <v/>
      </c>
      <c r="E56" s="162" t="str">
        <f ca="1">IF($P56="","",INDEX(_Datos!$G$7:$G$200,$P56))</f>
        <v/>
      </c>
      <c r="F56" s="166" t="str">
        <f ca="1">IF($P56="","",INDEX(_Datos!$H$7:$H$200,$P56))</f>
        <v/>
      </c>
      <c r="G56" s="165" t="str">
        <f ca="1">IF($P56="","",INDEX(_Datos!$J$7:$J$200,$P56))</f>
        <v/>
      </c>
      <c r="H56" s="168" t="str">
        <f ca="1">IF($P56="","",INDEX(_Datos!$K$7:$K$200,$P56))</f>
        <v/>
      </c>
      <c r="I56" s="168" t="str">
        <f ca="1">IF($P56="","",INDEX(_Datos!$S$7:$S$200,$P56))</f>
        <v/>
      </c>
      <c r="J56" s="168" t="str">
        <f ca="1">IF($P56="","",INDEX(_Datos!$T$7:$T$200,$P56))</f>
        <v/>
      </c>
      <c r="K56" s="167" t="str">
        <f ca="1">IF($P56="","",INDEX(_Datos!$V$7:$V$200,$P56))</f>
        <v/>
      </c>
      <c r="L56" s="168" t="str">
        <f ca="1">IF($P56="","",INDEX(_Datos!$W$7:$W$200,$P56))</f>
        <v/>
      </c>
      <c r="M56" s="162" t="str">
        <f ca="1">IF($P56="","",INDEX(_Datos!$AC$7:$AC$200,$P56))</f>
        <v/>
      </c>
      <c r="P56" s="163" t="str">
        <f ca="1">IFERROR(MATCH(LARGE(_Datos!$AJ$7:$AJ$200,ROW()-7+1),_Datos!$AJ$7:$AJ$200,0),"")</f>
        <v/>
      </c>
    </row>
    <row r="57" spans="2:16" hidden="1" x14ac:dyDescent="0.35">
      <c r="B57" s="165" t="str">
        <f ca="1">IF($P57="","",INDEX(_Datos!$AB$7:$AB$200,$P57))</f>
        <v/>
      </c>
      <c r="C57" s="165" t="str">
        <f ca="1">IF($P57="","",INDEX(_Datos!$AE$7:$AE$200,$P57))</f>
        <v/>
      </c>
      <c r="D57" s="162" t="str">
        <f ca="1">IF($P57="","",INDEX(_Datos!$F$7:$F$200,$P57))</f>
        <v/>
      </c>
      <c r="E57" s="162" t="str">
        <f ca="1">IF($P57="","",INDEX(_Datos!$G$7:$G$200,$P57))</f>
        <v/>
      </c>
      <c r="F57" s="166" t="str">
        <f ca="1">IF($P57="","",INDEX(_Datos!$H$7:$H$200,$P57))</f>
        <v/>
      </c>
      <c r="G57" s="165" t="str">
        <f ca="1">IF($P57="","",INDEX(_Datos!$J$7:$J$200,$P57))</f>
        <v/>
      </c>
      <c r="H57" s="168" t="str">
        <f ca="1">IF($P57="","",INDEX(_Datos!$K$7:$K$200,$P57))</f>
        <v/>
      </c>
      <c r="I57" s="168" t="str">
        <f ca="1">IF($P57="","",INDEX(_Datos!$S$7:$S$200,$P57))</f>
        <v/>
      </c>
      <c r="J57" s="168" t="str">
        <f ca="1">IF($P57="","",INDEX(_Datos!$T$7:$T$200,$P57))</f>
        <v/>
      </c>
      <c r="K57" s="167" t="str">
        <f ca="1">IF($P57="","",INDEX(_Datos!$V$7:$V$200,$P57))</f>
        <v/>
      </c>
      <c r="L57" s="168" t="str">
        <f ca="1">IF($P57="","",INDEX(_Datos!$W$7:$W$200,$P57))</f>
        <v/>
      </c>
      <c r="M57" s="162" t="str">
        <f ca="1">IF($P57="","",INDEX(_Datos!$AC$7:$AC$200,$P57))</f>
        <v/>
      </c>
      <c r="P57" s="163" t="str">
        <f ca="1">IFERROR(MATCH(LARGE(_Datos!$AJ$7:$AJ$200,ROW()-7+1),_Datos!$AJ$7:$AJ$200,0),"")</f>
        <v/>
      </c>
    </row>
    <row r="58" spans="2:16" hidden="1" x14ac:dyDescent="0.35">
      <c r="B58" s="165" t="str">
        <f ca="1">IF($P58="","",INDEX(_Datos!$AB$7:$AB$200,$P58))</f>
        <v/>
      </c>
      <c r="C58" s="165" t="str">
        <f ca="1">IF($P58="","",INDEX(_Datos!$AE$7:$AE$200,$P58))</f>
        <v/>
      </c>
      <c r="D58" s="162" t="str">
        <f ca="1">IF($P58="","",INDEX(_Datos!$F$7:$F$200,$P58))</f>
        <v/>
      </c>
      <c r="E58" s="162" t="str">
        <f ca="1">IF($P58="","",INDEX(_Datos!$G$7:$G$200,$P58))</f>
        <v/>
      </c>
      <c r="F58" s="166" t="str">
        <f ca="1">IF($P58="","",INDEX(_Datos!$H$7:$H$200,$P58))</f>
        <v/>
      </c>
      <c r="G58" s="165" t="str">
        <f ca="1">IF($P58="","",INDEX(_Datos!$J$7:$J$200,$P58))</f>
        <v/>
      </c>
      <c r="H58" s="168" t="str">
        <f ca="1">IF($P58="","",INDEX(_Datos!$K$7:$K$200,$P58))</f>
        <v/>
      </c>
      <c r="I58" s="168" t="str">
        <f ca="1">IF($P58="","",INDEX(_Datos!$S$7:$S$200,$P58))</f>
        <v/>
      </c>
      <c r="J58" s="168" t="str">
        <f ca="1">IF($P58="","",INDEX(_Datos!$T$7:$T$200,$P58))</f>
        <v/>
      </c>
      <c r="K58" s="167" t="str">
        <f ca="1">IF($P58="","",INDEX(_Datos!$V$7:$V$200,$P58))</f>
        <v/>
      </c>
      <c r="L58" s="168" t="str">
        <f ca="1">IF($P58="","",INDEX(_Datos!$W$7:$W$200,$P58))</f>
        <v/>
      </c>
      <c r="M58" s="162" t="str">
        <f ca="1">IF($P58="","",INDEX(_Datos!$AC$7:$AC$200,$P58))</f>
        <v/>
      </c>
      <c r="P58" s="163" t="str">
        <f ca="1">IFERROR(MATCH(LARGE(_Datos!$AJ$7:$AJ$200,ROW()-7+1),_Datos!$AJ$7:$AJ$200,0),"")</f>
        <v/>
      </c>
    </row>
    <row r="59" spans="2:16" hidden="1" x14ac:dyDescent="0.35">
      <c r="B59" s="165" t="str">
        <f ca="1">IF($P59="","",INDEX(_Datos!$AB$7:$AB$200,$P59))</f>
        <v/>
      </c>
      <c r="C59" s="165" t="str">
        <f ca="1">IF($P59="","",INDEX(_Datos!$AE$7:$AE$200,$P59))</f>
        <v/>
      </c>
      <c r="D59" s="162" t="str">
        <f ca="1">IF($P59="","",INDEX(_Datos!$F$7:$F$200,$P59))</f>
        <v/>
      </c>
      <c r="E59" s="162" t="str">
        <f ca="1">IF($P59="","",INDEX(_Datos!$G$7:$G$200,$P59))</f>
        <v/>
      </c>
      <c r="F59" s="166" t="str">
        <f ca="1">IF($P59="","",INDEX(_Datos!$H$7:$H$200,$P59))</f>
        <v/>
      </c>
      <c r="G59" s="165" t="str">
        <f ca="1">IF($P59="","",INDEX(_Datos!$J$7:$J$200,$P59))</f>
        <v/>
      </c>
      <c r="H59" s="168" t="str">
        <f ca="1">IF($P59="","",INDEX(_Datos!$K$7:$K$200,$P59))</f>
        <v/>
      </c>
      <c r="I59" s="168" t="str">
        <f ca="1">IF($P59="","",INDEX(_Datos!$S$7:$S$200,$P59))</f>
        <v/>
      </c>
      <c r="J59" s="168" t="str">
        <f ca="1">IF($P59="","",INDEX(_Datos!$T$7:$T$200,$P59))</f>
        <v/>
      </c>
      <c r="K59" s="167" t="str">
        <f ca="1">IF($P59="","",INDEX(_Datos!$V$7:$V$200,$P59))</f>
        <v/>
      </c>
      <c r="L59" s="168" t="str">
        <f ca="1">IF($P59="","",INDEX(_Datos!$W$7:$W$200,$P59))</f>
        <v/>
      </c>
      <c r="M59" s="162" t="str">
        <f ca="1">IF($P59="","",INDEX(_Datos!$AC$7:$AC$200,$P59))</f>
        <v/>
      </c>
      <c r="P59" s="163" t="str">
        <f ca="1">IFERROR(MATCH(LARGE(_Datos!$AJ$7:$AJ$200,ROW()-7+1),_Datos!$AJ$7:$AJ$200,0),"")</f>
        <v/>
      </c>
    </row>
    <row r="60" spans="2:16" hidden="1" x14ac:dyDescent="0.35">
      <c r="B60" s="165" t="str">
        <f ca="1">IF($P60="","",INDEX(_Datos!$AB$7:$AB$200,$P60))</f>
        <v/>
      </c>
      <c r="C60" s="165" t="str">
        <f ca="1">IF($P60="","",INDEX(_Datos!$AE$7:$AE$200,$P60))</f>
        <v/>
      </c>
      <c r="D60" s="162" t="str">
        <f ca="1">IF($P60="","",INDEX(_Datos!$F$7:$F$200,$P60))</f>
        <v/>
      </c>
      <c r="E60" s="162" t="str">
        <f ca="1">IF($P60="","",INDEX(_Datos!$G$7:$G$200,$P60))</f>
        <v/>
      </c>
      <c r="F60" s="166" t="str">
        <f ca="1">IF($P60="","",INDEX(_Datos!$H$7:$H$200,$P60))</f>
        <v/>
      </c>
      <c r="G60" s="165" t="str">
        <f ca="1">IF($P60="","",INDEX(_Datos!$J$7:$J$200,$P60))</f>
        <v/>
      </c>
      <c r="H60" s="168" t="str">
        <f ca="1">IF($P60="","",INDEX(_Datos!$K$7:$K$200,$P60))</f>
        <v/>
      </c>
      <c r="I60" s="168" t="str">
        <f ca="1">IF($P60="","",INDEX(_Datos!$S$7:$S$200,$P60))</f>
        <v/>
      </c>
      <c r="J60" s="168" t="str">
        <f ca="1">IF($P60="","",INDEX(_Datos!$T$7:$T$200,$P60))</f>
        <v/>
      </c>
      <c r="K60" s="167" t="str">
        <f ca="1">IF($P60="","",INDEX(_Datos!$V$7:$V$200,$P60))</f>
        <v/>
      </c>
      <c r="L60" s="168" t="str">
        <f ca="1">IF($P60="","",INDEX(_Datos!$W$7:$W$200,$P60))</f>
        <v/>
      </c>
      <c r="M60" s="162" t="str">
        <f ca="1">IF($P60="","",INDEX(_Datos!$AC$7:$AC$200,$P60))</f>
        <v/>
      </c>
      <c r="P60" s="163" t="str">
        <f ca="1">IFERROR(MATCH(LARGE(_Datos!$AJ$7:$AJ$200,ROW()-7+1),_Datos!$AJ$7:$AJ$200,0),"")</f>
        <v/>
      </c>
    </row>
    <row r="61" spans="2:16" hidden="1" x14ac:dyDescent="0.35">
      <c r="B61" s="165" t="str">
        <f ca="1">IF($P61="","",INDEX(_Datos!$AB$7:$AB$200,$P61))</f>
        <v/>
      </c>
      <c r="C61" s="165" t="str">
        <f ca="1">IF($P61="","",INDEX(_Datos!$AE$7:$AE$200,$P61))</f>
        <v/>
      </c>
      <c r="D61" s="162" t="str">
        <f ca="1">IF($P61="","",INDEX(_Datos!$F$7:$F$200,$P61))</f>
        <v/>
      </c>
      <c r="E61" s="162" t="str">
        <f ca="1">IF($P61="","",INDEX(_Datos!$G$7:$G$200,$P61))</f>
        <v/>
      </c>
      <c r="F61" s="166" t="str">
        <f ca="1">IF($P61="","",INDEX(_Datos!$H$7:$H$200,$P61))</f>
        <v/>
      </c>
      <c r="G61" s="165" t="str">
        <f ca="1">IF($P61="","",INDEX(_Datos!$J$7:$J$200,$P61))</f>
        <v/>
      </c>
      <c r="H61" s="168" t="str">
        <f ca="1">IF($P61="","",INDEX(_Datos!$K$7:$K$200,$P61))</f>
        <v/>
      </c>
      <c r="I61" s="168" t="str">
        <f ca="1">IF($P61="","",INDEX(_Datos!$S$7:$S$200,$P61))</f>
        <v/>
      </c>
      <c r="J61" s="168" t="str">
        <f ca="1">IF($P61="","",INDEX(_Datos!$T$7:$T$200,$P61))</f>
        <v/>
      </c>
      <c r="K61" s="167" t="str">
        <f ca="1">IF($P61="","",INDEX(_Datos!$V$7:$V$200,$P61))</f>
        <v/>
      </c>
      <c r="L61" s="168" t="str">
        <f ca="1">IF($P61="","",INDEX(_Datos!$W$7:$W$200,$P61))</f>
        <v/>
      </c>
      <c r="M61" s="162" t="str">
        <f ca="1">IF($P61="","",INDEX(_Datos!$AC$7:$AC$200,$P61))</f>
        <v/>
      </c>
      <c r="P61" s="163" t="str">
        <f ca="1">IFERROR(MATCH(LARGE(_Datos!$AJ$7:$AJ$200,ROW()-7+1),_Datos!$AJ$7:$AJ$200,0),"")</f>
        <v/>
      </c>
    </row>
    <row r="62" spans="2:16" hidden="1" x14ac:dyDescent="0.35">
      <c r="B62" s="165" t="str">
        <f ca="1">IF($P62="","",INDEX(_Datos!$AB$7:$AB$200,$P62))</f>
        <v/>
      </c>
      <c r="C62" s="165" t="str">
        <f ca="1">IF($P62="","",INDEX(_Datos!$AE$7:$AE$200,$P62))</f>
        <v/>
      </c>
      <c r="D62" s="162" t="str">
        <f ca="1">IF($P62="","",INDEX(_Datos!$F$7:$F$200,$P62))</f>
        <v/>
      </c>
      <c r="E62" s="162" t="str">
        <f ca="1">IF($P62="","",INDEX(_Datos!$G$7:$G$200,$P62))</f>
        <v/>
      </c>
      <c r="F62" s="166" t="str">
        <f ca="1">IF($P62="","",INDEX(_Datos!$H$7:$H$200,$P62))</f>
        <v/>
      </c>
      <c r="G62" s="165" t="str">
        <f ca="1">IF($P62="","",INDEX(_Datos!$J$7:$J$200,$P62))</f>
        <v/>
      </c>
      <c r="H62" s="168" t="str">
        <f ca="1">IF($P62="","",INDEX(_Datos!$K$7:$K$200,$P62))</f>
        <v/>
      </c>
      <c r="I62" s="168" t="str">
        <f ca="1">IF($P62="","",INDEX(_Datos!$S$7:$S$200,$P62))</f>
        <v/>
      </c>
      <c r="J62" s="168" t="str">
        <f ca="1">IF($P62="","",INDEX(_Datos!$T$7:$T$200,$P62))</f>
        <v/>
      </c>
      <c r="K62" s="167" t="str">
        <f ca="1">IF($P62="","",INDEX(_Datos!$V$7:$V$200,$P62))</f>
        <v/>
      </c>
      <c r="L62" s="168" t="str">
        <f ca="1">IF($P62="","",INDEX(_Datos!$W$7:$W$200,$P62))</f>
        <v/>
      </c>
      <c r="M62" s="162" t="str">
        <f ca="1">IF($P62="","",INDEX(_Datos!$AC$7:$AC$200,$P62))</f>
        <v/>
      </c>
      <c r="P62" s="163" t="str">
        <f ca="1">IFERROR(MATCH(LARGE(_Datos!$AJ$7:$AJ$200,ROW()-7+1),_Datos!$AJ$7:$AJ$200,0),"")</f>
        <v/>
      </c>
    </row>
    <row r="63" spans="2:16" hidden="1" x14ac:dyDescent="0.35">
      <c r="B63" s="165" t="str">
        <f ca="1">IF($P63="","",INDEX(_Datos!$AB$7:$AB$200,$P63))</f>
        <v/>
      </c>
      <c r="C63" s="165" t="str">
        <f ca="1">IF($P63="","",INDEX(_Datos!$AE$7:$AE$200,$P63))</f>
        <v/>
      </c>
      <c r="D63" s="162" t="str">
        <f ca="1">IF($P63="","",INDEX(_Datos!$F$7:$F$200,$P63))</f>
        <v/>
      </c>
      <c r="E63" s="162" t="str">
        <f ca="1">IF($P63="","",INDEX(_Datos!$G$7:$G$200,$P63))</f>
        <v/>
      </c>
      <c r="F63" s="166" t="str">
        <f ca="1">IF($P63="","",INDEX(_Datos!$H$7:$H$200,$P63))</f>
        <v/>
      </c>
      <c r="G63" s="165" t="str">
        <f ca="1">IF($P63="","",INDEX(_Datos!$J$7:$J$200,$P63))</f>
        <v/>
      </c>
      <c r="H63" s="168" t="str">
        <f ca="1">IF($P63="","",INDEX(_Datos!$K$7:$K$200,$P63))</f>
        <v/>
      </c>
      <c r="I63" s="168" t="str">
        <f ca="1">IF($P63="","",INDEX(_Datos!$S$7:$S$200,$P63))</f>
        <v/>
      </c>
      <c r="J63" s="168" t="str">
        <f ca="1">IF($P63="","",INDEX(_Datos!$T$7:$T$200,$P63))</f>
        <v/>
      </c>
      <c r="K63" s="167" t="str">
        <f ca="1">IF($P63="","",INDEX(_Datos!$V$7:$V$200,$P63))</f>
        <v/>
      </c>
      <c r="L63" s="168" t="str">
        <f ca="1">IF($P63="","",INDEX(_Datos!$W$7:$W$200,$P63))</f>
        <v/>
      </c>
      <c r="M63" s="162" t="str">
        <f ca="1">IF($P63="","",INDEX(_Datos!$AC$7:$AC$200,$P63))</f>
        <v/>
      </c>
      <c r="P63" s="163" t="str">
        <f ca="1">IFERROR(MATCH(LARGE(_Datos!$AJ$7:$AJ$200,ROW()-7+1),_Datos!$AJ$7:$AJ$200,0),"")</f>
        <v/>
      </c>
    </row>
    <row r="64" spans="2:16" hidden="1" x14ac:dyDescent="0.35">
      <c r="B64" s="165" t="str">
        <f ca="1">IF($P64="","",INDEX(_Datos!$AB$7:$AB$200,$P64))</f>
        <v/>
      </c>
      <c r="C64" s="165" t="str">
        <f ca="1">IF($P64="","",INDEX(_Datos!$AE$7:$AE$200,$P64))</f>
        <v/>
      </c>
      <c r="D64" s="162" t="str">
        <f ca="1">IF($P64="","",INDEX(_Datos!$F$7:$F$200,$P64))</f>
        <v/>
      </c>
      <c r="E64" s="162" t="str">
        <f ca="1">IF($P64="","",INDEX(_Datos!$G$7:$G$200,$P64))</f>
        <v/>
      </c>
      <c r="F64" s="166" t="str">
        <f ca="1">IF($P64="","",INDEX(_Datos!$H$7:$H$200,$P64))</f>
        <v/>
      </c>
      <c r="G64" s="165" t="str">
        <f ca="1">IF($P64="","",INDEX(_Datos!$J$7:$J$200,$P64))</f>
        <v/>
      </c>
      <c r="H64" s="168" t="str">
        <f ca="1">IF($P64="","",INDEX(_Datos!$K$7:$K$200,$P64))</f>
        <v/>
      </c>
      <c r="I64" s="168" t="str">
        <f ca="1">IF($P64="","",INDEX(_Datos!$S$7:$S$200,$P64))</f>
        <v/>
      </c>
      <c r="J64" s="168" t="str">
        <f ca="1">IF($P64="","",INDEX(_Datos!$T$7:$T$200,$P64))</f>
        <v/>
      </c>
      <c r="K64" s="167" t="str">
        <f ca="1">IF($P64="","",INDEX(_Datos!$V$7:$V$200,$P64))</f>
        <v/>
      </c>
      <c r="L64" s="168" t="str">
        <f ca="1">IF($P64="","",INDEX(_Datos!$W$7:$W$200,$P64))</f>
        <v/>
      </c>
      <c r="M64" s="162" t="str">
        <f ca="1">IF($P64="","",INDEX(_Datos!$AC$7:$AC$200,$P64))</f>
        <v/>
      </c>
      <c r="P64" s="163" t="str">
        <f ca="1">IFERROR(MATCH(LARGE(_Datos!$AJ$7:$AJ$200,ROW()-7+1),_Datos!$AJ$7:$AJ$200,0),"")</f>
        <v/>
      </c>
    </row>
    <row r="65" spans="2:16" hidden="1" x14ac:dyDescent="0.35">
      <c r="B65" s="165" t="str">
        <f ca="1">IF($P65="","",INDEX(_Datos!$AB$7:$AB$200,$P65))</f>
        <v/>
      </c>
      <c r="C65" s="165" t="str">
        <f ca="1">IF($P65="","",INDEX(_Datos!$AE$7:$AE$200,$P65))</f>
        <v/>
      </c>
      <c r="D65" s="162" t="str">
        <f ca="1">IF($P65="","",INDEX(_Datos!$F$7:$F$200,$P65))</f>
        <v/>
      </c>
      <c r="E65" s="162" t="str">
        <f ca="1">IF($P65="","",INDEX(_Datos!$G$7:$G$200,$P65))</f>
        <v/>
      </c>
      <c r="F65" s="166" t="str">
        <f ca="1">IF($P65="","",INDEX(_Datos!$H$7:$H$200,$P65))</f>
        <v/>
      </c>
      <c r="G65" s="165" t="str">
        <f ca="1">IF($P65="","",INDEX(_Datos!$J$7:$J$200,$P65))</f>
        <v/>
      </c>
      <c r="H65" s="168" t="str">
        <f ca="1">IF($P65="","",INDEX(_Datos!$K$7:$K$200,$P65))</f>
        <v/>
      </c>
      <c r="I65" s="168" t="str">
        <f ca="1">IF($P65="","",INDEX(_Datos!$S$7:$S$200,$P65))</f>
        <v/>
      </c>
      <c r="J65" s="168" t="str">
        <f ca="1">IF($P65="","",INDEX(_Datos!$T$7:$T$200,$P65))</f>
        <v/>
      </c>
      <c r="K65" s="167" t="str">
        <f ca="1">IF($P65="","",INDEX(_Datos!$V$7:$V$200,$P65))</f>
        <v/>
      </c>
      <c r="L65" s="168" t="str">
        <f ca="1">IF($P65="","",INDEX(_Datos!$W$7:$W$200,$P65))</f>
        <v/>
      </c>
      <c r="M65" s="162" t="str">
        <f ca="1">IF($P65="","",INDEX(_Datos!$AC$7:$AC$200,$P65))</f>
        <v/>
      </c>
      <c r="P65" s="163" t="str">
        <f ca="1">IFERROR(MATCH(LARGE(_Datos!$AJ$7:$AJ$200,ROW()-7+1),_Datos!$AJ$7:$AJ$200,0),"")</f>
        <v/>
      </c>
    </row>
    <row r="66" spans="2:16" hidden="1" x14ac:dyDescent="0.35">
      <c r="B66" s="165" t="str">
        <f ca="1">IF($P66="","",INDEX(_Datos!$AB$7:$AB$200,$P66))</f>
        <v/>
      </c>
      <c r="C66" s="165" t="str">
        <f ca="1">IF($P66="","",INDEX(_Datos!$AE$7:$AE$200,$P66))</f>
        <v/>
      </c>
      <c r="D66" s="162" t="str">
        <f ca="1">IF($P66="","",INDEX(_Datos!$F$7:$F$200,$P66))</f>
        <v/>
      </c>
      <c r="E66" s="162" t="str">
        <f ca="1">IF($P66="","",INDEX(_Datos!$G$7:$G$200,$P66))</f>
        <v/>
      </c>
      <c r="F66" s="166" t="str">
        <f ca="1">IF($P66="","",INDEX(_Datos!$H$7:$H$200,$P66))</f>
        <v/>
      </c>
      <c r="G66" s="165" t="str">
        <f ca="1">IF($P66="","",INDEX(_Datos!$J$7:$J$200,$P66))</f>
        <v/>
      </c>
      <c r="H66" s="168" t="str">
        <f ca="1">IF($P66="","",INDEX(_Datos!$K$7:$K$200,$P66))</f>
        <v/>
      </c>
      <c r="I66" s="168" t="str">
        <f ca="1">IF($P66="","",INDEX(_Datos!$S$7:$S$200,$P66))</f>
        <v/>
      </c>
      <c r="J66" s="168" t="str">
        <f ca="1">IF($P66="","",INDEX(_Datos!$T$7:$T$200,$P66))</f>
        <v/>
      </c>
      <c r="K66" s="167" t="str">
        <f ca="1">IF($P66="","",INDEX(_Datos!$V$7:$V$200,$P66))</f>
        <v/>
      </c>
      <c r="L66" s="168" t="str">
        <f ca="1">IF($P66="","",INDEX(_Datos!$W$7:$W$200,$P66))</f>
        <v/>
      </c>
      <c r="M66" s="162" t="str">
        <f ca="1">IF($P66="","",INDEX(_Datos!$AC$7:$AC$200,$P66))</f>
        <v/>
      </c>
      <c r="P66" s="163" t="str">
        <f ca="1">IFERROR(MATCH(LARGE(_Datos!$AJ$7:$AJ$200,ROW()-7+1),_Datos!$AJ$7:$AJ$200,0),"")</f>
        <v/>
      </c>
    </row>
    <row r="67" spans="2:16" hidden="1" x14ac:dyDescent="0.35">
      <c r="B67" s="165" t="str">
        <f ca="1">IF($P67="","",INDEX(_Datos!$AB$7:$AB$200,$P67))</f>
        <v/>
      </c>
      <c r="C67" s="165" t="str">
        <f ca="1">IF($P67="","",INDEX(_Datos!$AE$7:$AE$200,$P67))</f>
        <v/>
      </c>
      <c r="D67" s="162" t="str">
        <f ca="1">IF($P67="","",INDEX(_Datos!$F$7:$F$200,$P67))</f>
        <v/>
      </c>
      <c r="E67" s="162" t="str">
        <f ca="1">IF($P67="","",INDEX(_Datos!$G$7:$G$200,$P67))</f>
        <v/>
      </c>
      <c r="F67" s="166" t="str">
        <f ca="1">IF($P67="","",INDEX(_Datos!$H$7:$H$200,$P67))</f>
        <v/>
      </c>
      <c r="G67" s="165" t="str">
        <f ca="1">IF($P67="","",INDEX(_Datos!$J$7:$J$200,$P67))</f>
        <v/>
      </c>
      <c r="H67" s="168" t="str">
        <f ca="1">IF($P67="","",INDEX(_Datos!$K$7:$K$200,$P67))</f>
        <v/>
      </c>
      <c r="I67" s="168" t="str">
        <f ca="1">IF($P67="","",INDEX(_Datos!$S$7:$S$200,$P67))</f>
        <v/>
      </c>
      <c r="J67" s="168" t="str">
        <f ca="1">IF($P67="","",INDEX(_Datos!$T$7:$T$200,$P67))</f>
        <v/>
      </c>
      <c r="K67" s="167" t="str">
        <f ca="1">IF($P67="","",INDEX(_Datos!$V$7:$V$200,$P67))</f>
        <v/>
      </c>
      <c r="L67" s="168" t="str">
        <f ca="1">IF($P67="","",INDEX(_Datos!$W$7:$W$200,$P67))</f>
        <v/>
      </c>
      <c r="M67" s="162" t="str">
        <f ca="1">IF($P67="","",INDEX(_Datos!$AC$7:$AC$200,$P67))</f>
        <v/>
      </c>
      <c r="P67" s="163" t="str">
        <f ca="1">IFERROR(MATCH(LARGE(_Datos!$AJ$7:$AJ$200,ROW()-7+1),_Datos!$AJ$7:$AJ$200,0),"")</f>
        <v/>
      </c>
    </row>
    <row r="68" spans="2:16" hidden="1" x14ac:dyDescent="0.35">
      <c r="B68" s="165" t="str">
        <f ca="1">IF($P68="","",INDEX(_Datos!$AB$7:$AB$200,$P68))</f>
        <v/>
      </c>
      <c r="C68" s="165" t="str">
        <f ca="1">IF($P68="","",INDEX(_Datos!$AE$7:$AE$200,$P68))</f>
        <v/>
      </c>
      <c r="D68" s="162" t="str">
        <f ca="1">IF($P68="","",INDEX(_Datos!$F$7:$F$200,$P68))</f>
        <v/>
      </c>
      <c r="E68" s="162" t="str">
        <f ca="1">IF($P68="","",INDEX(_Datos!$G$7:$G$200,$P68))</f>
        <v/>
      </c>
      <c r="F68" s="166" t="str">
        <f ca="1">IF($P68="","",INDEX(_Datos!$H$7:$H$200,$P68))</f>
        <v/>
      </c>
      <c r="G68" s="165" t="str">
        <f ca="1">IF($P68="","",INDEX(_Datos!$J$7:$J$200,$P68))</f>
        <v/>
      </c>
      <c r="H68" s="168" t="str">
        <f ca="1">IF($P68="","",INDEX(_Datos!$K$7:$K$200,$P68))</f>
        <v/>
      </c>
      <c r="I68" s="168" t="str">
        <f ca="1">IF($P68="","",INDEX(_Datos!$S$7:$S$200,$P68))</f>
        <v/>
      </c>
      <c r="J68" s="168" t="str">
        <f ca="1">IF($P68="","",INDEX(_Datos!$T$7:$T$200,$P68))</f>
        <v/>
      </c>
      <c r="K68" s="167" t="str">
        <f ca="1">IF($P68="","",INDEX(_Datos!$V$7:$V$200,$P68))</f>
        <v/>
      </c>
      <c r="L68" s="168" t="str">
        <f ca="1">IF($P68="","",INDEX(_Datos!$W$7:$W$200,$P68))</f>
        <v/>
      </c>
      <c r="M68" s="162" t="str">
        <f ca="1">IF($P68="","",INDEX(_Datos!$AC$7:$AC$200,$P68))</f>
        <v/>
      </c>
      <c r="P68" s="163" t="str">
        <f ca="1">IFERROR(MATCH(LARGE(_Datos!$AJ$7:$AJ$200,ROW()-7+1),_Datos!$AJ$7:$AJ$200,0),"")</f>
        <v/>
      </c>
    </row>
    <row r="69" spans="2:16" hidden="1" x14ac:dyDescent="0.35">
      <c r="B69" s="165" t="str">
        <f ca="1">IF($P69="","",INDEX(_Datos!$AB$7:$AB$200,$P69))</f>
        <v/>
      </c>
      <c r="C69" s="165" t="str">
        <f ca="1">IF($P69="","",INDEX(_Datos!$AE$7:$AE$200,$P69))</f>
        <v/>
      </c>
      <c r="D69" s="162" t="str">
        <f ca="1">IF($P69="","",INDEX(_Datos!$F$7:$F$200,$P69))</f>
        <v/>
      </c>
      <c r="E69" s="162" t="str">
        <f ca="1">IF($P69="","",INDEX(_Datos!$G$7:$G$200,$P69))</f>
        <v/>
      </c>
      <c r="F69" s="166" t="str">
        <f ca="1">IF($P69="","",INDEX(_Datos!$H$7:$H$200,$P69))</f>
        <v/>
      </c>
      <c r="G69" s="165" t="str">
        <f ca="1">IF($P69="","",INDEX(_Datos!$J$7:$J$200,$P69))</f>
        <v/>
      </c>
      <c r="H69" s="168" t="str">
        <f ca="1">IF($P69="","",INDEX(_Datos!$K$7:$K$200,$P69))</f>
        <v/>
      </c>
      <c r="I69" s="168" t="str">
        <f ca="1">IF($P69="","",INDEX(_Datos!$S$7:$S$200,$P69))</f>
        <v/>
      </c>
      <c r="J69" s="168" t="str">
        <f ca="1">IF($P69="","",INDEX(_Datos!$T$7:$T$200,$P69))</f>
        <v/>
      </c>
      <c r="K69" s="167" t="str">
        <f ca="1">IF($P69="","",INDEX(_Datos!$V$7:$V$200,$P69))</f>
        <v/>
      </c>
      <c r="L69" s="168" t="str">
        <f ca="1">IF($P69="","",INDEX(_Datos!$W$7:$W$200,$P69))</f>
        <v/>
      </c>
      <c r="M69" s="162" t="str">
        <f ca="1">IF($P69="","",INDEX(_Datos!$AC$7:$AC$200,$P69))</f>
        <v/>
      </c>
      <c r="P69" s="163" t="str">
        <f ca="1">IFERROR(MATCH(LARGE(_Datos!$AJ$7:$AJ$200,ROW()-7+1),_Datos!$AJ$7:$AJ$200,0),"")</f>
        <v/>
      </c>
    </row>
    <row r="70" spans="2:16" hidden="1" x14ac:dyDescent="0.35">
      <c r="B70" s="165" t="str">
        <f ca="1">IF($P70="","",INDEX(_Datos!$AB$7:$AB$200,$P70))</f>
        <v/>
      </c>
      <c r="C70" s="165" t="str">
        <f ca="1">IF($P70="","",INDEX(_Datos!$AE$7:$AE$200,$P70))</f>
        <v/>
      </c>
      <c r="D70" s="162" t="str">
        <f ca="1">IF($P70="","",INDEX(_Datos!$F$7:$F$200,$P70))</f>
        <v/>
      </c>
      <c r="E70" s="162" t="str">
        <f ca="1">IF($P70="","",INDEX(_Datos!$G$7:$G$200,$P70))</f>
        <v/>
      </c>
      <c r="F70" s="166" t="str">
        <f ca="1">IF($P70="","",INDEX(_Datos!$H$7:$H$200,$P70))</f>
        <v/>
      </c>
      <c r="G70" s="165" t="str">
        <f ca="1">IF($P70="","",INDEX(_Datos!$J$7:$J$200,$P70))</f>
        <v/>
      </c>
      <c r="H70" s="168" t="str">
        <f ca="1">IF($P70="","",INDEX(_Datos!$K$7:$K$200,$P70))</f>
        <v/>
      </c>
      <c r="I70" s="168" t="str">
        <f ca="1">IF($P70="","",INDEX(_Datos!$S$7:$S$200,$P70))</f>
        <v/>
      </c>
      <c r="J70" s="168" t="str">
        <f ca="1">IF($P70="","",INDEX(_Datos!$T$7:$T$200,$P70))</f>
        <v/>
      </c>
      <c r="K70" s="167" t="str">
        <f ca="1">IF($P70="","",INDEX(_Datos!$V$7:$V$200,$P70))</f>
        <v/>
      </c>
      <c r="L70" s="168" t="str">
        <f ca="1">IF($P70="","",INDEX(_Datos!$W$7:$W$200,$P70))</f>
        <v/>
      </c>
      <c r="M70" s="162" t="str">
        <f ca="1">IF($P70="","",INDEX(_Datos!$AC$7:$AC$200,$P70))</f>
        <v/>
      </c>
      <c r="P70" s="163" t="str">
        <f ca="1">IFERROR(MATCH(LARGE(_Datos!$AJ$7:$AJ$200,ROW()-7+1),_Datos!$AJ$7:$AJ$200,0),"")</f>
        <v/>
      </c>
    </row>
    <row r="71" spans="2:16" hidden="1" x14ac:dyDescent="0.35">
      <c r="B71" s="165" t="str">
        <f ca="1">IF($P71="","",INDEX(_Datos!$AB$7:$AB$200,$P71))</f>
        <v/>
      </c>
      <c r="C71" s="165" t="str">
        <f ca="1">IF($P71="","",INDEX(_Datos!$AE$7:$AE$200,$P71))</f>
        <v/>
      </c>
      <c r="D71" s="162" t="str">
        <f ca="1">IF($P71="","",INDEX(_Datos!$F$7:$F$200,$P71))</f>
        <v/>
      </c>
      <c r="E71" s="162" t="str">
        <f ca="1">IF($P71="","",INDEX(_Datos!$G$7:$G$200,$P71))</f>
        <v/>
      </c>
      <c r="F71" s="166" t="str">
        <f ca="1">IF($P71="","",INDEX(_Datos!$H$7:$H$200,$P71))</f>
        <v/>
      </c>
      <c r="G71" s="165" t="str">
        <f ca="1">IF($P71="","",INDEX(_Datos!$J$7:$J$200,$P71))</f>
        <v/>
      </c>
      <c r="H71" s="168" t="str">
        <f ca="1">IF($P71="","",INDEX(_Datos!$K$7:$K$200,$P71))</f>
        <v/>
      </c>
      <c r="I71" s="168" t="str">
        <f ca="1">IF($P71="","",INDEX(_Datos!$S$7:$S$200,$P71))</f>
        <v/>
      </c>
      <c r="J71" s="168" t="str">
        <f ca="1">IF($P71="","",INDEX(_Datos!$T$7:$T$200,$P71))</f>
        <v/>
      </c>
      <c r="K71" s="167" t="str">
        <f ca="1">IF($P71="","",INDEX(_Datos!$V$7:$V$200,$P71))</f>
        <v/>
      </c>
      <c r="L71" s="168" t="str">
        <f ca="1">IF($P71="","",INDEX(_Datos!$W$7:$W$200,$P71))</f>
        <v/>
      </c>
      <c r="M71" s="162" t="str">
        <f ca="1">IF($P71="","",INDEX(_Datos!$AC$7:$AC$200,$P71))</f>
        <v/>
      </c>
      <c r="P71" s="163" t="str">
        <f ca="1">IFERROR(MATCH(LARGE(_Datos!$AJ$7:$AJ$200,ROW()-7+1),_Datos!$AJ$7:$AJ$200,0),"")</f>
        <v/>
      </c>
    </row>
    <row r="72" spans="2:16" hidden="1" x14ac:dyDescent="0.35">
      <c r="B72" s="165" t="str">
        <f ca="1">IF($P72="","",INDEX(_Datos!$AB$7:$AB$200,$P72))</f>
        <v/>
      </c>
      <c r="C72" s="165" t="str">
        <f ca="1">IF($P72="","",INDEX(_Datos!$AE$7:$AE$200,$P72))</f>
        <v/>
      </c>
      <c r="D72" s="162" t="str">
        <f ca="1">IF($P72="","",INDEX(_Datos!$F$7:$F$200,$P72))</f>
        <v/>
      </c>
      <c r="E72" s="162" t="str">
        <f ca="1">IF($P72="","",INDEX(_Datos!$G$7:$G$200,$P72))</f>
        <v/>
      </c>
      <c r="F72" s="166" t="str">
        <f ca="1">IF($P72="","",INDEX(_Datos!$H$7:$H$200,$P72))</f>
        <v/>
      </c>
      <c r="G72" s="165" t="str">
        <f ca="1">IF($P72="","",INDEX(_Datos!$J$7:$J$200,$P72))</f>
        <v/>
      </c>
      <c r="H72" s="168" t="str">
        <f ca="1">IF($P72="","",INDEX(_Datos!$K$7:$K$200,$P72))</f>
        <v/>
      </c>
      <c r="I72" s="168" t="str">
        <f ca="1">IF($P72="","",INDEX(_Datos!$S$7:$S$200,$P72))</f>
        <v/>
      </c>
      <c r="J72" s="168" t="str">
        <f ca="1">IF($P72="","",INDEX(_Datos!$T$7:$T$200,$P72))</f>
        <v/>
      </c>
      <c r="K72" s="167" t="str">
        <f ca="1">IF($P72="","",INDEX(_Datos!$V$7:$V$200,$P72))</f>
        <v/>
      </c>
      <c r="L72" s="168" t="str">
        <f ca="1">IF($P72="","",INDEX(_Datos!$W$7:$W$200,$P72))</f>
        <v/>
      </c>
      <c r="M72" s="162" t="str">
        <f ca="1">IF($P72="","",INDEX(_Datos!$AC$7:$AC$200,$P72))</f>
        <v/>
      </c>
      <c r="P72" s="163" t="str">
        <f ca="1">IFERROR(MATCH(LARGE(_Datos!$AJ$7:$AJ$200,ROW()-7+1),_Datos!$AJ$7:$AJ$200,0),"")</f>
        <v/>
      </c>
    </row>
    <row r="73" spans="2:16" hidden="1" x14ac:dyDescent="0.35">
      <c r="B73" s="165" t="str">
        <f ca="1">IF($P73="","",INDEX(_Datos!$AB$7:$AB$200,$P73))</f>
        <v/>
      </c>
      <c r="C73" s="165" t="str">
        <f ca="1">IF($P73="","",INDEX(_Datos!$AE$7:$AE$200,$P73))</f>
        <v/>
      </c>
      <c r="D73" s="162" t="str">
        <f ca="1">IF($P73="","",INDEX(_Datos!$F$7:$F$200,$P73))</f>
        <v/>
      </c>
      <c r="E73" s="162" t="str">
        <f ca="1">IF($P73="","",INDEX(_Datos!$G$7:$G$200,$P73))</f>
        <v/>
      </c>
      <c r="F73" s="166" t="str">
        <f ca="1">IF($P73="","",INDEX(_Datos!$H$7:$H$200,$P73))</f>
        <v/>
      </c>
      <c r="G73" s="165" t="str">
        <f ca="1">IF($P73="","",INDEX(_Datos!$J$7:$J$200,$P73))</f>
        <v/>
      </c>
      <c r="H73" s="168" t="str">
        <f ca="1">IF($P73="","",INDEX(_Datos!$K$7:$K$200,$P73))</f>
        <v/>
      </c>
      <c r="I73" s="168" t="str">
        <f ca="1">IF($P73="","",INDEX(_Datos!$S$7:$S$200,$P73))</f>
        <v/>
      </c>
      <c r="J73" s="168" t="str">
        <f ca="1">IF($P73="","",INDEX(_Datos!$T$7:$T$200,$P73))</f>
        <v/>
      </c>
      <c r="K73" s="167" t="str">
        <f ca="1">IF($P73="","",INDEX(_Datos!$V$7:$V$200,$P73))</f>
        <v/>
      </c>
      <c r="L73" s="168" t="str">
        <f ca="1">IF($P73="","",INDEX(_Datos!$W$7:$W$200,$P73))</f>
        <v/>
      </c>
      <c r="M73" s="162" t="str">
        <f ca="1">IF($P73="","",INDEX(_Datos!$AC$7:$AC$200,$P73))</f>
        <v/>
      </c>
      <c r="P73" s="163" t="str">
        <f ca="1">IFERROR(MATCH(LARGE(_Datos!$AJ$7:$AJ$200,ROW()-7+1),_Datos!$AJ$7:$AJ$200,0),"")</f>
        <v/>
      </c>
    </row>
    <row r="74" spans="2:16" hidden="1" x14ac:dyDescent="0.35">
      <c r="B74" s="165" t="str">
        <f ca="1">IF($P74="","",INDEX(_Datos!$AB$7:$AB$200,$P74))</f>
        <v/>
      </c>
      <c r="C74" s="165" t="str">
        <f ca="1">IF($P74="","",INDEX(_Datos!$AE$7:$AE$200,$P74))</f>
        <v/>
      </c>
      <c r="D74" s="162" t="str">
        <f ca="1">IF($P74="","",INDEX(_Datos!$F$7:$F$200,$P74))</f>
        <v/>
      </c>
      <c r="E74" s="162" t="str">
        <f ca="1">IF($P74="","",INDEX(_Datos!$G$7:$G$200,$P74))</f>
        <v/>
      </c>
      <c r="F74" s="166" t="str">
        <f ca="1">IF($P74="","",INDEX(_Datos!$H$7:$H$200,$P74))</f>
        <v/>
      </c>
      <c r="G74" s="165" t="str">
        <f ca="1">IF($P74="","",INDEX(_Datos!$J$7:$J$200,$P74))</f>
        <v/>
      </c>
      <c r="H74" s="168" t="str">
        <f ca="1">IF($P74="","",INDEX(_Datos!$K$7:$K$200,$P74))</f>
        <v/>
      </c>
      <c r="I74" s="168" t="str">
        <f ca="1">IF($P74="","",INDEX(_Datos!$S$7:$S$200,$P74))</f>
        <v/>
      </c>
      <c r="J74" s="168" t="str">
        <f ca="1">IF($P74="","",INDEX(_Datos!$T$7:$T$200,$P74))</f>
        <v/>
      </c>
      <c r="K74" s="167" t="str">
        <f ca="1">IF($P74="","",INDEX(_Datos!$V$7:$V$200,$P74))</f>
        <v/>
      </c>
      <c r="L74" s="168" t="str">
        <f ca="1">IF($P74="","",INDEX(_Datos!$W$7:$W$200,$P74))</f>
        <v/>
      </c>
      <c r="M74" s="162" t="str">
        <f ca="1">IF($P74="","",INDEX(_Datos!$AC$7:$AC$200,$P74))</f>
        <v/>
      </c>
      <c r="P74" s="163" t="str">
        <f ca="1">IFERROR(MATCH(LARGE(_Datos!$AJ$7:$AJ$200,ROW()-7+1),_Datos!$AJ$7:$AJ$200,0),"")</f>
        <v/>
      </c>
    </row>
    <row r="75" spans="2:16" hidden="1" x14ac:dyDescent="0.35">
      <c r="B75" s="165" t="str">
        <f ca="1">IF($P75="","",INDEX(_Datos!$AB$7:$AB$200,$P75))</f>
        <v/>
      </c>
      <c r="C75" s="165" t="str">
        <f ca="1">IF($P75="","",INDEX(_Datos!$AE$7:$AE$200,$P75))</f>
        <v/>
      </c>
      <c r="D75" s="162" t="str">
        <f ca="1">IF($P75="","",INDEX(_Datos!$F$7:$F$200,$P75))</f>
        <v/>
      </c>
      <c r="E75" s="162" t="str">
        <f ca="1">IF($P75="","",INDEX(_Datos!$G$7:$G$200,$P75))</f>
        <v/>
      </c>
      <c r="F75" s="166" t="str">
        <f ca="1">IF($P75="","",INDEX(_Datos!$H$7:$H$200,$P75))</f>
        <v/>
      </c>
      <c r="G75" s="165" t="str">
        <f ca="1">IF($P75="","",INDEX(_Datos!$J$7:$J$200,$P75))</f>
        <v/>
      </c>
      <c r="H75" s="168" t="str">
        <f ca="1">IF($P75="","",INDEX(_Datos!$K$7:$K$200,$P75))</f>
        <v/>
      </c>
      <c r="I75" s="168" t="str">
        <f ca="1">IF($P75="","",INDEX(_Datos!$S$7:$S$200,$P75))</f>
        <v/>
      </c>
      <c r="J75" s="168" t="str">
        <f ca="1">IF($P75="","",INDEX(_Datos!$T$7:$T$200,$P75))</f>
        <v/>
      </c>
      <c r="K75" s="167" t="str">
        <f ca="1">IF($P75="","",INDEX(_Datos!$V$7:$V$200,$P75))</f>
        <v/>
      </c>
      <c r="L75" s="168" t="str">
        <f ca="1">IF($P75="","",INDEX(_Datos!$W$7:$W$200,$P75))</f>
        <v/>
      </c>
      <c r="M75" s="162" t="str">
        <f ca="1">IF($P75="","",INDEX(_Datos!$AC$7:$AC$200,$P75))</f>
        <v/>
      </c>
      <c r="P75" s="163" t="str">
        <f ca="1">IFERROR(MATCH(LARGE(_Datos!$AJ$7:$AJ$200,ROW()-7+1),_Datos!$AJ$7:$AJ$200,0),"")</f>
        <v/>
      </c>
    </row>
    <row r="76" spans="2:16" hidden="1" x14ac:dyDescent="0.35">
      <c r="B76" s="165" t="str">
        <f ca="1">IF($P76="","",INDEX(_Datos!$AB$7:$AB$200,$P76))</f>
        <v/>
      </c>
      <c r="C76" s="165" t="str">
        <f ca="1">IF($P76="","",INDEX(_Datos!$AE$7:$AE$200,$P76))</f>
        <v/>
      </c>
      <c r="D76" s="162" t="str">
        <f ca="1">IF($P76="","",INDEX(_Datos!$F$7:$F$200,$P76))</f>
        <v/>
      </c>
      <c r="E76" s="162" t="str">
        <f ca="1">IF($P76="","",INDEX(_Datos!$G$7:$G$200,$P76))</f>
        <v/>
      </c>
      <c r="F76" s="166" t="str">
        <f ca="1">IF($P76="","",INDEX(_Datos!$H$7:$H$200,$P76))</f>
        <v/>
      </c>
      <c r="G76" s="165" t="str">
        <f ca="1">IF($P76="","",INDEX(_Datos!$J$7:$J$200,$P76))</f>
        <v/>
      </c>
      <c r="H76" s="168" t="str">
        <f ca="1">IF($P76="","",INDEX(_Datos!$K$7:$K$200,$P76))</f>
        <v/>
      </c>
      <c r="I76" s="168" t="str">
        <f ca="1">IF($P76="","",INDEX(_Datos!$S$7:$S$200,$P76))</f>
        <v/>
      </c>
      <c r="J76" s="168" t="str">
        <f ca="1">IF($P76="","",INDEX(_Datos!$T$7:$T$200,$P76))</f>
        <v/>
      </c>
      <c r="K76" s="167" t="str">
        <f ca="1">IF($P76="","",INDEX(_Datos!$V$7:$V$200,$P76))</f>
        <v/>
      </c>
      <c r="L76" s="168" t="str">
        <f ca="1">IF($P76="","",INDEX(_Datos!$W$7:$W$200,$P76))</f>
        <v/>
      </c>
      <c r="M76" s="162" t="str">
        <f ca="1">IF($P76="","",INDEX(_Datos!$AC$7:$AC$200,$P76))</f>
        <v/>
      </c>
      <c r="P76" s="163" t="str">
        <f ca="1">IFERROR(MATCH(LARGE(_Datos!$AJ$7:$AJ$200,ROW()-7+1),_Datos!$AJ$7:$AJ$200,0),"")</f>
        <v/>
      </c>
    </row>
    <row r="77" spans="2:16" hidden="1" x14ac:dyDescent="0.35">
      <c r="B77" s="165" t="str">
        <f ca="1">IF($P77="","",INDEX(_Datos!$AB$7:$AB$200,$P77))</f>
        <v/>
      </c>
      <c r="C77" s="165" t="str">
        <f ca="1">IF($P77="","",INDEX(_Datos!$AE$7:$AE$200,$P77))</f>
        <v/>
      </c>
      <c r="D77" s="162" t="str">
        <f ca="1">IF($P77="","",INDEX(_Datos!$F$7:$F$200,$P77))</f>
        <v/>
      </c>
      <c r="E77" s="162" t="str">
        <f ca="1">IF($P77="","",INDEX(_Datos!$G$7:$G$200,$P77))</f>
        <v/>
      </c>
      <c r="F77" s="166" t="str">
        <f ca="1">IF($P77="","",INDEX(_Datos!$H$7:$H$200,$P77))</f>
        <v/>
      </c>
      <c r="G77" s="165" t="str">
        <f ca="1">IF($P77="","",INDEX(_Datos!$J$7:$J$200,$P77))</f>
        <v/>
      </c>
      <c r="H77" s="168" t="str">
        <f ca="1">IF($P77="","",INDEX(_Datos!$K$7:$K$200,$P77))</f>
        <v/>
      </c>
      <c r="I77" s="168" t="str">
        <f ca="1">IF($P77="","",INDEX(_Datos!$S$7:$S$200,$P77))</f>
        <v/>
      </c>
      <c r="J77" s="168" t="str">
        <f ca="1">IF($P77="","",INDEX(_Datos!$T$7:$T$200,$P77))</f>
        <v/>
      </c>
      <c r="K77" s="167" t="str">
        <f ca="1">IF($P77="","",INDEX(_Datos!$V$7:$V$200,$P77))</f>
        <v/>
      </c>
      <c r="L77" s="168" t="str">
        <f ca="1">IF($P77="","",INDEX(_Datos!$W$7:$W$200,$P77))</f>
        <v/>
      </c>
      <c r="M77" s="162" t="str">
        <f ca="1">IF($P77="","",INDEX(_Datos!$AC$7:$AC$200,$P77))</f>
        <v/>
      </c>
      <c r="P77" s="163" t="str">
        <f ca="1">IFERROR(MATCH(LARGE(_Datos!$AJ$7:$AJ$200,ROW()-7+1),_Datos!$AJ$7:$AJ$200,0),"")</f>
        <v/>
      </c>
    </row>
    <row r="78" spans="2:16" hidden="1" x14ac:dyDescent="0.35">
      <c r="B78" s="165" t="str">
        <f ca="1">IF($P78="","",INDEX(_Datos!$AB$7:$AB$200,$P78))</f>
        <v/>
      </c>
      <c r="C78" s="165" t="str">
        <f ca="1">IF($P78="","",INDEX(_Datos!$AE$7:$AE$200,$P78))</f>
        <v/>
      </c>
      <c r="D78" s="162" t="str">
        <f ca="1">IF($P78="","",INDEX(_Datos!$F$7:$F$200,$P78))</f>
        <v/>
      </c>
      <c r="E78" s="162" t="str">
        <f ca="1">IF($P78="","",INDEX(_Datos!$G$7:$G$200,$P78))</f>
        <v/>
      </c>
      <c r="F78" s="166" t="str">
        <f ca="1">IF($P78="","",INDEX(_Datos!$H$7:$H$200,$P78))</f>
        <v/>
      </c>
      <c r="G78" s="165" t="str">
        <f ca="1">IF($P78="","",INDEX(_Datos!$J$7:$J$200,$P78))</f>
        <v/>
      </c>
      <c r="H78" s="168" t="str">
        <f ca="1">IF($P78="","",INDEX(_Datos!$K$7:$K$200,$P78))</f>
        <v/>
      </c>
      <c r="I78" s="168" t="str">
        <f ca="1">IF($P78="","",INDEX(_Datos!$S$7:$S$200,$P78))</f>
        <v/>
      </c>
      <c r="J78" s="168" t="str">
        <f ca="1">IF($P78="","",INDEX(_Datos!$T$7:$T$200,$P78))</f>
        <v/>
      </c>
      <c r="K78" s="167" t="str">
        <f ca="1">IF($P78="","",INDEX(_Datos!$V$7:$V$200,$P78))</f>
        <v/>
      </c>
      <c r="L78" s="168" t="str">
        <f ca="1">IF($P78="","",INDEX(_Datos!$W$7:$W$200,$P78))</f>
        <v/>
      </c>
      <c r="M78" s="162" t="str">
        <f ca="1">IF($P78="","",INDEX(_Datos!$AC$7:$AC$200,$P78))</f>
        <v/>
      </c>
      <c r="P78" s="163" t="str">
        <f ca="1">IFERROR(MATCH(LARGE(_Datos!$AJ$7:$AJ$200,ROW()-7+1),_Datos!$AJ$7:$AJ$200,0),"")</f>
        <v/>
      </c>
    </row>
    <row r="79" spans="2:16" hidden="1" x14ac:dyDescent="0.35">
      <c r="B79" s="165" t="str">
        <f ca="1">IF($P79="","",INDEX(_Datos!$AB$7:$AB$200,$P79))</f>
        <v/>
      </c>
      <c r="C79" s="165" t="str">
        <f ca="1">IF($P79="","",INDEX(_Datos!$AE$7:$AE$200,$P79))</f>
        <v/>
      </c>
      <c r="D79" s="162" t="str">
        <f ca="1">IF($P79="","",INDEX(_Datos!$F$7:$F$200,$P79))</f>
        <v/>
      </c>
      <c r="E79" s="162" t="str">
        <f ca="1">IF($P79="","",INDEX(_Datos!$G$7:$G$200,$P79))</f>
        <v/>
      </c>
      <c r="F79" s="166" t="str">
        <f ca="1">IF($P79="","",INDEX(_Datos!$H$7:$H$200,$P79))</f>
        <v/>
      </c>
      <c r="G79" s="165" t="str">
        <f ca="1">IF($P79="","",INDEX(_Datos!$J$7:$J$200,$P79))</f>
        <v/>
      </c>
      <c r="H79" s="168" t="str">
        <f ca="1">IF($P79="","",INDEX(_Datos!$K$7:$K$200,$P79))</f>
        <v/>
      </c>
      <c r="I79" s="168" t="str">
        <f ca="1">IF($P79="","",INDEX(_Datos!$S$7:$S$200,$P79))</f>
        <v/>
      </c>
      <c r="J79" s="168" t="str">
        <f ca="1">IF($P79="","",INDEX(_Datos!$T$7:$T$200,$P79))</f>
        <v/>
      </c>
      <c r="K79" s="167" t="str">
        <f ca="1">IF($P79="","",INDEX(_Datos!$V$7:$V$200,$P79))</f>
        <v/>
      </c>
      <c r="L79" s="168" t="str">
        <f ca="1">IF($P79="","",INDEX(_Datos!$W$7:$W$200,$P79))</f>
        <v/>
      </c>
      <c r="M79" s="162" t="str">
        <f ca="1">IF($P79="","",INDEX(_Datos!$AC$7:$AC$200,$P79))</f>
        <v/>
      </c>
      <c r="P79" s="163" t="str">
        <f ca="1">IFERROR(MATCH(LARGE(_Datos!$AJ$7:$AJ$200,ROW()-7+1),_Datos!$AJ$7:$AJ$200,0),"")</f>
        <v/>
      </c>
    </row>
    <row r="80" spans="2:16" hidden="1" x14ac:dyDescent="0.35">
      <c r="B80" s="165" t="str">
        <f ca="1">IF($P80="","",INDEX(_Datos!$AB$7:$AB$200,$P80))</f>
        <v/>
      </c>
      <c r="C80" s="165" t="str">
        <f ca="1">IF($P80="","",INDEX(_Datos!$AE$7:$AE$200,$P80))</f>
        <v/>
      </c>
      <c r="D80" s="162" t="str">
        <f ca="1">IF($P80="","",INDEX(_Datos!$F$7:$F$200,$P80))</f>
        <v/>
      </c>
      <c r="E80" s="162" t="str">
        <f ca="1">IF($P80="","",INDEX(_Datos!$G$7:$G$200,$P80))</f>
        <v/>
      </c>
      <c r="F80" s="166" t="str">
        <f ca="1">IF($P80="","",INDEX(_Datos!$H$7:$H$200,$P80))</f>
        <v/>
      </c>
      <c r="G80" s="165" t="str">
        <f ca="1">IF($P80="","",INDEX(_Datos!$J$7:$J$200,$P80))</f>
        <v/>
      </c>
      <c r="H80" s="168" t="str">
        <f ca="1">IF($P80="","",INDEX(_Datos!$K$7:$K$200,$P80))</f>
        <v/>
      </c>
      <c r="I80" s="168" t="str">
        <f ca="1">IF($P80="","",INDEX(_Datos!$S$7:$S$200,$P80))</f>
        <v/>
      </c>
      <c r="J80" s="168" t="str">
        <f ca="1">IF($P80="","",INDEX(_Datos!$T$7:$T$200,$P80))</f>
        <v/>
      </c>
      <c r="K80" s="167" t="str">
        <f ca="1">IF($P80="","",INDEX(_Datos!$V$7:$V$200,$P80))</f>
        <v/>
      </c>
      <c r="L80" s="168" t="str">
        <f ca="1">IF($P80="","",INDEX(_Datos!$W$7:$W$200,$P80))</f>
        <v/>
      </c>
      <c r="M80" s="162" t="str">
        <f ca="1">IF($P80="","",INDEX(_Datos!$AC$7:$AC$200,$P80))</f>
        <v/>
      </c>
      <c r="P80" s="163" t="str">
        <f ca="1">IFERROR(MATCH(LARGE(_Datos!$AJ$7:$AJ$200,ROW()-7+1),_Datos!$AJ$7:$AJ$200,0),"")</f>
        <v/>
      </c>
    </row>
    <row r="81" spans="2:16" hidden="1" x14ac:dyDescent="0.35">
      <c r="B81" s="165" t="str">
        <f ca="1">IF($P81="","",INDEX(_Datos!$AB$7:$AB$200,$P81))</f>
        <v/>
      </c>
      <c r="C81" s="165" t="str">
        <f ca="1">IF($P81="","",INDEX(_Datos!$AE$7:$AE$200,$P81))</f>
        <v/>
      </c>
      <c r="D81" s="162" t="str">
        <f ca="1">IF($P81="","",INDEX(_Datos!$F$7:$F$200,$P81))</f>
        <v/>
      </c>
      <c r="E81" s="162" t="str">
        <f ca="1">IF($P81="","",INDEX(_Datos!$G$7:$G$200,$P81))</f>
        <v/>
      </c>
      <c r="F81" s="166" t="str">
        <f ca="1">IF($P81="","",INDEX(_Datos!$H$7:$H$200,$P81))</f>
        <v/>
      </c>
      <c r="G81" s="165" t="str">
        <f ca="1">IF($P81="","",INDEX(_Datos!$J$7:$J$200,$P81))</f>
        <v/>
      </c>
      <c r="H81" s="168" t="str">
        <f ca="1">IF($P81="","",INDEX(_Datos!$K$7:$K$200,$P81))</f>
        <v/>
      </c>
      <c r="I81" s="168" t="str">
        <f ca="1">IF($P81="","",INDEX(_Datos!$S$7:$S$200,$P81))</f>
        <v/>
      </c>
      <c r="J81" s="168" t="str">
        <f ca="1">IF($P81="","",INDEX(_Datos!$T$7:$T$200,$P81))</f>
        <v/>
      </c>
      <c r="K81" s="167" t="str">
        <f ca="1">IF($P81="","",INDEX(_Datos!$V$7:$V$200,$P81))</f>
        <v/>
      </c>
      <c r="L81" s="168" t="str">
        <f ca="1">IF($P81="","",INDEX(_Datos!$W$7:$W$200,$P81))</f>
        <v/>
      </c>
      <c r="M81" s="162" t="str">
        <f ca="1">IF($P81="","",INDEX(_Datos!$AC$7:$AC$200,$P81))</f>
        <v/>
      </c>
      <c r="P81" s="163" t="str">
        <f ca="1">IFERROR(MATCH(LARGE(_Datos!$AJ$7:$AJ$200,ROW()-7+1),_Datos!$AJ$7:$AJ$200,0),"")</f>
        <v/>
      </c>
    </row>
    <row r="82" spans="2:16" hidden="1" x14ac:dyDescent="0.35">
      <c r="B82" s="165" t="str">
        <f ca="1">IF($P82="","",INDEX(_Datos!$AB$7:$AB$200,$P82))</f>
        <v/>
      </c>
      <c r="C82" s="165" t="str">
        <f ca="1">IF($P82="","",INDEX(_Datos!$AE$7:$AE$200,$P82))</f>
        <v/>
      </c>
      <c r="D82" s="162" t="str">
        <f ca="1">IF($P82="","",INDEX(_Datos!$F$7:$F$200,$P82))</f>
        <v/>
      </c>
      <c r="E82" s="162" t="str">
        <f ca="1">IF($P82="","",INDEX(_Datos!$G$7:$G$200,$P82))</f>
        <v/>
      </c>
      <c r="F82" s="166" t="str">
        <f ca="1">IF($P82="","",INDEX(_Datos!$H$7:$H$200,$P82))</f>
        <v/>
      </c>
      <c r="G82" s="165" t="str">
        <f ca="1">IF($P82="","",INDEX(_Datos!$J$7:$J$200,$P82))</f>
        <v/>
      </c>
      <c r="H82" s="168" t="str">
        <f ca="1">IF($P82="","",INDEX(_Datos!$K$7:$K$200,$P82))</f>
        <v/>
      </c>
      <c r="I82" s="168" t="str">
        <f ca="1">IF($P82="","",INDEX(_Datos!$S$7:$S$200,$P82))</f>
        <v/>
      </c>
      <c r="J82" s="168" t="str">
        <f ca="1">IF($P82="","",INDEX(_Datos!$T$7:$T$200,$P82))</f>
        <v/>
      </c>
      <c r="K82" s="167" t="str">
        <f ca="1">IF($P82="","",INDEX(_Datos!$V$7:$V$200,$P82))</f>
        <v/>
      </c>
      <c r="L82" s="168" t="str">
        <f ca="1">IF($P82="","",INDEX(_Datos!$W$7:$W$200,$P82))</f>
        <v/>
      </c>
      <c r="M82" s="162" t="str">
        <f ca="1">IF($P82="","",INDEX(_Datos!$AC$7:$AC$200,$P82))</f>
        <v/>
      </c>
      <c r="P82" s="163" t="str">
        <f ca="1">IFERROR(MATCH(LARGE(_Datos!$AJ$7:$AJ$200,ROW()-7+1),_Datos!$AJ$7:$AJ$200,0),"")</f>
        <v/>
      </c>
    </row>
    <row r="83" spans="2:16" hidden="1" x14ac:dyDescent="0.35">
      <c r="B83" s="165" t="str">
        <f ca="1">IF($P83="","",INDEX(_Datos!$AB$7:$AB$200,$P83))</f>
        <v/>
      </c>
      <c r="C83" s="165" t="str">
        <f ca="1">IF($P83="","",INDEX(_Datos!$AE$7:$AE$200,$P83))</f>
        <v/>
      </c>
      <c r="D83" s="162" t="str">
        <f ca="1">IF($P83="","",INDEX(_Datos!$F$7:$F$200,$P83))</f>
        <v/>
      </c>
      <c r="E83" s="162" t="str">
        <f ca="1">IF($P83="","",INDEX(_Datos!$G$7:$G$200,$P83))</f>
        <v/>
      </c>
      <c r="F83" s="166" t="str">
        <f ca="1">IF($P83="","",INDEX(_Datos!$H$7:$H$200,$P83))</f>
        <v/>
      </c>
      <c r="G83" s="165" t="str">
        <f ca="1">IF($P83="","",INDEX(_Datos!$J$7:$J$200,$P83))</f>
        <v/>
      </c>
      <c r="H83" s="168" t="str">
        <f ca="1">IF($P83="","",INDEX(_Datos!$K$7:$K$200,$P83))</f>
        <v/>
      </c>
      <c r="I83" s="168" t="str">
        <f ca="1">IF($P83="","",INDEX(_Datos!$S$7:$S$200,$P83))</f>
        <v/>
      </c>
      <c r="J83" s="168" t="str">
        <f ca="1">IF($P83="","",INDEX(_Datos!$T$7:$T$200,$P83))</f>
        <v/>
      </c>
      <c r="K83" s="167" t="str">
        <f ca="1">IF($P83="","",INDEX(_Datos!$V$7:$V$200,$P83))</f>
        <v/>
      </c>
      <c r="L83" s="168" t="str">
        <f ca="1">IF($P83="","",INDEX(_Datos!$W$7:$W$200,$P83))</f>
        <v/>
      </c>
      <c r="M83" s="162" t="str">
        <f ca="1">IF($P83="","",INDEX(_Datos!$AC$7:$AC$200,$P83))</f>
        <v/>
      </c>
      <c r="P83" s="163" t="str">
        <f ca="1">IFERROR(MATCH(LARGE(_Datos!$AJ$7:$AJ$200,ROW()-7+1),_Datos!$AJ$7:$AJ$200,0),"")</f>
        <v/>
      </c>
    </row>
    <row r="84" spans="2:16" hidden="1" x14ac:dyDescent="0.35">
      <c r="B84" s="165" t="str">
        <f ca="1">IF($P84="","",INDEX(_Datos!$AB$7:$AB$200,$P84))</f>
        <v/>
      </c>
      <c r="C84" s="165" t="str">
        <f ca="1">IF($P84="","",INDEX(_Datos!$AE$7:$AE$200,$P84))</f>
        <v/>
      </c>
      <c r="D84" s="162" t="str">
        <f ca="1">IF($P84="","",INDEX(_Datos!$F$7:$F$200,$P84))</f>
        <v/>
      </c>
      <c r="E84" s="162" t="str">
        <f ca="1">IF($P84="","",INDEX(_Datos!$G$7:$G$200,$P84))</f>
        <v/>
      </c>
      <c r="F84" s="166" t="str">
        <f ca="1">IF($P84="","",INDEX(_Datos!$H$7:$H$200,$P84))</f>
        <v/>
      </c>
      <c r="G84" s="165" t="str">
        <f ca="1">IF($P84="","",INDEX(_Datos!$J$7:$J$200,$P84))</f>
        <v/>
      </c>
      <c r="H84" s="168" t="str">
        <f ca="1">IF($P84="","",INDEX(_Datos!$K$7:$K$200,$P84))</f>
        <v/>
      </c>
      <c r="I84" s="168" t="str">
        <f ca="1">IF($P84="","",INDEX(_Datos!$S$7:$S$200,$P84))</f>
        <v/>
      </c>
      <c r="J84" s="168" t="str">
        <f ca="1">IF($P84="","",INDEX(_Datos!$T$7:$T$200,$P84))</f>
        <v/>
      </c>
      <c r="K84" s="167" t="str">
        <f ca="1">IF($P84="","",INDEX(_Datos!$V$7:$V$200,$P84))</f>
        <v/>
      </c>
      <c r="L84" s="168" t="str">
        <f ca="1">IF($P84="","",INDEX(_Datos!$W$7:$W$200,$P84))</f>
        <v/>
      </c>
      <c r="M84" s="162" t="str">
        <f ca="1">IF($P84="","",INDEX(_Datos!$AC$7:$AC$200,$P84))</f>
        <v/>
      </c>
      <c r="P84" s="163" t="str">
        <f ca="1">IFERROR(MATCH(LARGE(_Datos!$AJ$7:$AJ$200,ROW()-7+1),_Datos!$AJ$7:$AJ$200,0),"")</f>
        <v/>
      </c>
    </row>
    <row r="85" spans="2:16" hidden="1" x14ac:dyDescent="0.35">
      <c r="B85" s="165" t="str">
        <f ca="1">IF($P85="","",INDEX(_Datos!$AB$7:$AB$200,$P85))</f>
        <v/>
      </c>
      <c r="C85" s="165" t="str">
        <f ca="1">IF($P85="","",INDEX(_Datos!$AE$7:$AE$200,$P85))</f>
        <v/>
      </c>
      <c r="D85" s="162" t="str">
        <f ca="1">IF($P85="","",INDEX(_Datos!$F$7:$F$200,$P85))</f>
        <v/>
      </c>
      <c r="E85" s="162" t="str">
        <f ca="1">IF($P85="","",INDEX(_Datos!$G$7:$G$200,$P85))</f>
        <v/>
      </c>
      <c r="F85" s="166" t="str">
        <f ca="1">IF($P85="","",INDEX(_Datos!$H$7:$H$200,$P85))</f>
        <v/>
      </c>
      <c r="G85" s="165" t="str">
        <f ca="1">IF($P85="","",INDEX(_Datos!$J$7:$J$200,$P85))</f>
        <v/>
      </c>
      <c r="H85" s="168" t="str">
        <f ca="1">IF($P85="","",INDEX(_Datos!$K$7:$K$200,$P85))</f>
        <v/>
      </c>
      <c r="I85" s="168" t="str">
        <f ca="1">IF($P85="","",INDEX(_Datos!$S$7:$S$200,$P85))</f>
        <v/>
      </c>
      <c r="J85" s="168" t="str">
        <f ca="1">IF($P85="","",INDEX(_Datos!$T$7:$T$200,$P85))</f>
        <v/>
      </c>
      <c r="K85" s="167" t="str">
        <f ca="1">IF($P85="","",INDEX(_Datos!$V$7:$V$200,$P85))</f>
        <v/>
      </c>
      <c r="L85" s="168" t="str">
        <f ca="1">IF($P85="","",INDEX(_Datos!$W$7:$W$200,$P85))</f>
        <v/>
      </c>
      <c r="M85" s="162" t="str">
        <f ca="1">IF($P85="","",INDEX(_Datos!$AC$7:$AC$200,$P85))</f>
        <v/>
      </c>
      <c r="P85" s="163" t="str">
        <f ca="1">IFERROR(MATCH(LARGE(_Datos!$AJ$7:$AJ$200,ROW()-7+1),_Datos!$AJ$7:$AJ$200,0),"")</f>
        <v/>
      </c>
    </row>
    <row r="86" spans="2:16" hidden="1" x14ac:dyDescent="0.35">
      <c r="B86" s="165" t="str">
        <f ca="1">IF($P86="","",INDEX(_Datos!$AB$7:$AB$200,$P86))</f>
        <v/>
      </c>
      <c r="C86" s="165" t="str">
        <f ca="1">IF($P86="","",INDEX(_Datos!$AE$7:$AE$200,$P86))</f>
        <v/>
      </c>
      <c r="D86" s="162" t="str">
        <f ca="1">IF($P86="","",INDEX(_Datos!$F$7:$F$200,$P86))</f>
        <v/>
      </c>
      <c r="E86" s="162" t="str">
        <f ca="1">IF($P86="","",INDEX(_Datos!$G$7:$G$200,$P86))</f>
        <v/>
      </c>
      <c r="F86" s="166" t="str">
        <f ca="1">IF($P86="","",INDEX(_Datos!$H$7:$H$200,$P86))</f>
        <v/>
      </c>
      <c r="G86" s="165" t="str">
        <f ca="1">IF($P86="","",INDEX(_Datos!$J$7:$J$200,$P86))</f>
        <v/>
      </c>
      <c r="H86" s="168" t="str">
        <f ca="1">IF($P86="","",INDEX(_Datos!$K$7:$K$200,$P86))</f>
        <v/>
      </c>
      <c r="I86" s="168" t="str">
        <f ca="1">IF($P86="","",INDEX(_Datos!$S$7:$S$200,$P86))</f>
        <v/>
      </c>
      <c r="J86" s="168" t="str">
        <f ca="1">IF($P86="","",INDEX(_Datos!$T$7:$T$200,$P86))</f>
        <v/>
      </c>
      <c r="K86" s="167" t="str">
        <f ca="1">IF($P86="","",INDEX(_Datos!$V$7:$V$200,$P86))</f>
        <v/>
      </c>
      <c r="L86" s="168" t="str">
        <f ca="1">IF($P86="","",INDEX(_Datos!$W$7:$W$200,$P86))</f>
        <v/>
      </c>
      <c r="M86" s="162" t="str">
        <f ca="1">IF($P86="","",INDEX(_Datos!$AC$7:$AC$200,$P86))</f>
        <v/>
      </c>
      <c r="P86" s="163" t="str">
        <f ca="1">IFERROR(MATCH(LARGE(_Datos!$AJ$7:$AJ$200,ROW()-7+1),_Datos!$AJ$7:$AJ$200,0),"")</f>
        <v/>
      </c>
    </row>
    <row r="87" spans="2:16" hidden="1" x14ac:dyDescent="0.35">
      <c r="B87" s="165" t="str">
        <f ca="1">IF($P87="","",INDEX(_Datos!$AB$7:$AB$200,$P87))</f>
        <v/>
      </c>
      <c r="C87" s="165" t="str">
        <f ca="1">IF($P87="","",INDEX(_Datos!$AE$7:$AE$200,$P87))</f>
        <v/>
      </c>
      <c r="D87" s="162" t="str">
        <f ca="1">IF($P87="","",INDEX(_Datos!$F$7:$F$200,$P87))</f>
        <v/>
      </c>
      <c r="E87" s="162" t="str">
        <f ca="1">IF($P87="","",INDEX(_Datos!$G$7:$G$200,$P87))</f>
        <v/>
      </c>
      <c r="F87" s="166" t="str">
        <f ca="1">IF($P87="","",INDEX(_Datos!$H$7:$H$200,$P87))</f>
        <v/>
      </c>
      <c r="G87" s="165" t="str">
        <f ca="1">IF($P87="","",INDEX(_Datos!$J$7:$J$200,$P87))</f>
        <v/>
      </c>
      <c r="H87" s="168" t="str">
        <f ca="1">IF($P87="","",INDEX(_Datos!$K$7:$K$200,$P87))</f>
        <v/>
      </c>
      <c r="I87" s="168" t="str">
        <f ca="1">IF($P87="","",INDEX(_Datos!$S$7:$S$200,$P87))</f>
        <v/>
      </c>
      <c r="J87" s="168" t="str">
        <f ca="1">IF($P87="","",INDEX(_Datos!$T$7:$T$200,$P87))</f>
        <v/>
      </c>
      <c r="K87" s="167" t="str">
        <f ca="1">IF($P87="","",INDEX(_Datos!$V$7:$V$200,$P87))</f>
        <v/>
      </c>
      <c r="L87" s="168" t="str">
        <f ca="1">IF($P87="","",INDEX(_Datos!$W$7:$W$200,$P87))</f>
        <v/>
      </c>
      <c r="M87" s="162" t="str">
        <f ca="1">IF($P87="","",INDEX(_Datos!$AC$7:$AC$200,$P87))</f>
        <v/>
      </c>
      <c r="P87" s="163" t="str">
        <f ca="1">IFERROR(MATCH(LARGE(_Datos!$AJ$7:$AJ$200,ROW()-7+1),_Datos!$AJ$7:$AJ$200,0),"")</f>
        <v/>
      </c>
    </row>
    <row r="88" spans="2:16" hidden="1" x14ac:dyDescent="0.35">
      <c r="B88" s="165" t="str">
        <f ca="1">IF($P88="","",INDEX(_Datos!$AB$7:$AB$200,$P88))</f>
        <v/>
      </c>
      <c r="C88" s="165" t="str">
        <f ca="1">IF($P88="","",INDEX(_Datos!$AE$7:$AE$200,$P88))</f>
        <v/>
      </c>
      <c r="D88" s="162" t="str">
        <f ca="1">IF($P88="","",INDEX(_Datos!$F$7:$F$200,$P88))</f>
        <v/>
      </c>
      <c r="E88" s="162" t="str">
        <f ca="1">IF($P88="","",INDEX(_Datos!$G$7:$G$200,$P88))</f>
        <v/>
      </c>
      <c r="F88" s="166" t="str">
        <f ca="1">IF($P88="","",INDEX(_Datos!$H$7:$H$200,$P88))</f>
        <v/>
      </c>
      <c r="G88" s="165" t="str">
        <f ca="1">IF($P88="","",INDEX(_Datos!$J$7:$J$200,$P88))</f>
        <v/>
      </c>
      <c r="H88" s="168" t="str">
        <f ca="1">IF($P88="","",INDEX(_Datos!$K$7:$K$200,$P88))</f>
        <v/>
      </c>
      <c r="I88" s="168" t="str">
        <f ca="1">IF($P88="","",INDEX(_Datos!$S$7:$S$200,$P88))</f>
        <v/>
      </c>
      <c r="J88" s="168" t="str">
        <f ca="1">IF($P88="","",INDEX(_Datos!$T$7:$T$200,$P88))</f>
        <v/>
      </c>
      <c r="K88" s="167" t="str">
        <f ca="1">IF($P88="","",INDEX(_Datos!$V$7:$V$200,$P88))</f>
        <v/>
      </c>
      <c r="L88" s="168" t="str">
        <f ca="1">IF($P88="","",INDEX(_Datos!$W$7:$W$200,$P88))</f>
        <v/>
      </c>
      <c r="M88" s="162" t="str">
        <f ca="1">IF($P88="","",INDEX(_Datos!$AC$7:$AC$200,$P88))</f>
        <v/>
      </c>
      <c r="P88" s="163" t="str">
        <f ca="1">IFERROR(MATCH(LARGE(_Datos!$AJ$7:$AJ$200,ROW()-7+1),_Datos!$AJ$7:$AJ$200,0),"")</f>
        <v/>
      </c>
    </row>
    <row r="89" spans="2:16" hidden="1" x14ac:dyDescent="0.35">
      <c r="B89" s="165" t="str">
        <f ca="1">IF($P89="","",INDEX(_Datos!$AB$7:$AB$200,$P89))</f>
        <v/>
      </c>
      <c r="C89" s="165" t="str">
        <f ca="1">IF($P89="","",INDEX(_Datos!$AE$7:$AE$200,$P89))</f>
        <v/>
      </c>
      <c r="D89" s="162" t="str">
        <f ca="1">IF($P89="","",INDEX(_Datos!$F$7:$F$200,$P89))</f>
        <v/>
      </c>
      <c r="E89" s="162" t="str">
        <f ca="1">IF($P89="","",INDEX(_Datos!$G$7:$G$200,$P89))</f>
        <v/>
      </c>
      <c r="F89" s="166" t="str">
        <f ca="1">IF($P89="","",INDEX(_Datos!$H$7:$H$200,$P89))</f>
        <v/>
      </c>
      <c r="G89" s="165" t="str">
        <f ca="1">IF($P89="","",INDEX(_Datos!$J$7:$J$200,$P89))</f>
        <v/>
      </c>
      <c r="H89" s="168" t="str">
        <f ca="1">IF($P89="","",INDEX(_Datos!$K$7:$K$200,$P89))</f>
        <v/>
      </c>
      <c r="I89" s="168" t="str">
        <f ca="1">IF($P89="","",INDEX(_Datos!$S$7:$S$200,$P89))</f>
        <v/>
      </c>
      <c r="J89" s="168" t="str">
        <f ca="1">IF($P89="","",INDEX(_Datos!$T$7:$T$200,$P89))</f>
        <v/>
      </c>
      <c r="K89" s="167" t="str">
        <f ca="1">IF($P89="","",INDEX(_Datos!$V$7:$V$200,$P89))</f>
        <v/>
      </c>
      <c r="L89" s="168" t="str">
        <f ca="1">IF($P89="","",INDEX(_Datos!$W$7:$W$200,$P89))</f>
        <v/>
      </c>
      <c r="M89" s="162" t="str">
        <f ca="1">IF($P89="","",INDEX(_Datos!$AC$7:$AC$200,$P89))</f>
        <v/>
      </c>
      <c r="P89" s="163" t="str">
        <f ca="1">IFERROR(MATCH(LARGE(_Datos!$AJ$7:$AJ$200,ROW()-7+1),_Datos!$AJ$7:$AJ$200,0),"")</f>
        <v/>
      </c>
    </row>
    <row r="90" spans="2:16" hidden="1" x14ac:dyDescent="0.35">
      <c r="B90" s="165" t="str">
        <f ca="1">IF($P90="","",INDEX(_Datos!$AB$7:$AB$200,$P90))</f>
        <v/>
      </c>
      <c r="C90" s="165" t="str">
        <f ca="1">IF($P90="","",INDEX(_Datos!$AE$7:$AE$200,$P90))</f>
        <v/>
      </c>
      <c r="D90" s="162" t="str">
        <f ca="1">IF($P90="","",INDEX(_Datos!$F$7:$F$200,$P90))</f>
        <v/>
      </c>
      <c r="E90" s="162" t="str">
        <f ca="1">IF($P90="","",INDEX(_Datos!$G$7:$G$200,$P90))</f>
        <v/>
      </c>
      <c r="F90" s="166" t="str">
        <f ca="1">IF($P90="","",INDEX(_Datos!$H$7:$H$200,$P90))</f>
        <v/>
      </c>
      <c r="G90" s="165" t="str">
        <f ca="1">IF($P90="","",INDEX(_Datos!$J$7:$J$200,$P90))</f>
        <v/>
      </c>
      <c r="H90" s="168" t="str">
        <f ca="1">IF($P90="","",INDEX(_Datos!$K$7:$K$200,$P90))</f>
        <v/>
      </c>
      <c r="I90" s="168" t="str">
        <f ca="1">IF($P90="","",INDEX(_Datos!$S$7:$S$200,$P90))</f>
        <v/>
      </c>
      <c r="J90" s="168" t="str">
        <f ca="1">IF($P90="","",INDEX(_Datos!$T$7:$T$200,$P90))</f>
        <v/>
      </c>
      <c r="K90" s="167" t="str">
        <f ca="1">IF($P90="","",INDEX(_Datos!$V$7:$V$200,$P90))</f>
        <v/>
      </c>
      <c r="L90" s="168" t="str">
        <f ca="1">IF($P90="","",INDEX(_Datos!$W$7:$W$200,$P90))</f>
        <v/>
      </c>
      <c r="M90" s="162" t="str">
        <f ca="1">IF($P90="","",INDEX(_Datos!$AC$7:$AC$200,$P90))</f>
        <v/>
      </c>
      <c r="P90" s="163" t="str">
        <f ca="1">IFERROR(MATCH(LARGE(_Datos!$AJ$7:$AJ$200,ROW()-7+1),_Datos!$AJ$7:$AJ$200,0),"")</f>
        <v/>
      </c>
    </row>
    <row r="91" spans="2:16" hidden="1" x14ac:dyDescent="0.35">
      <c r="B91" s="165" t="str">
        <f ca="1">IF($P91="","",INDEX(_Datos!$AB$7:$AB$200,$P91))</f>
        <v/>
      </c>
      <c r="C91" s="165" t="str">
        <f ca="1">IF($P91="","",INDEX(_Datos!$AE$7:$AE$200,$P91))</f>
        <v/>
      </c>
      <c r="D91" s="162" t="str">
        <f ca="1">IF($P91="","",INDEX(_Datos!$F$7:$F$200,$P91))</f>
        <v/>
      </c>
      <c r="E91" s="162" t="str">
        <f ca="1">IF($P91="","",INDEX(_Datos!$G$7:$G$200,$P91))</f>
        <v/>
      </c>
      <c r="F91" s="166" t="str">
        <f ca="1">IF($P91="","",INDEX(_Datos!$H$7:$H$200,$P91))</f>
        <v/>
      </c>
      <c r="G91" s="165" t="str">
        <f ca="1">IF($P91="","",INDEX(_Datos!$J$7:$J$200,$P91))</f>
        <v/>
      </c>
      <c r="H91" s="168" t="str">
        <f ca="1">IF($P91="","",INDEX(_Datos!$K$7:$K$200,$P91))</f>
        <v/>
      </c>
      <c r="I91" s="168" t="str">
        <f ca="1">IF($P91="","",INDEX(_Datos!$S$7:$S$200,$P91))</f>
        <v/>
      </c>
      <c r="J91" s="168" t="str">
        <f ca="1">IF($P91="","",INDEX(_Datos!$T$7:$T$200,$P91))</f>
        <v/>
      </c>
      <c r="K91" s="167" t="str">
        <f ca="1">IF($P91="","",INDEX(_Datos!$V$7:$V$200,$P91))</f>
        <v/>
      </c>
      <c r="L91" s="168" t="str">
        <f ca="1">IF($P91="","",INDEX(_Datos!$W$7:$W$200,$P91))</f>
        <v/>
      </c>
      <c r="M91" s="162" t="str">
        <f ca="1">IF($P91="","",INDEX(_Datos!$AC$7:$AC$200,$P91))</f>
        <v/>
      </c>
      <c r="P91" s="163" t="str">
        <f ca="1">IFERROR(MATCH(LARGE(_Datos!$AJ$7:$AJ$200,ROW()-7+1),_Datos!$AJ$7:$AJ$200,0),"")</f>
        <v/>
      </c>
    </row>
    <row r="92" spans="2:16" hidden="1" x14ac:dyDescent="0.35">
      <c r="B92" s="165" t="str">
        <f ca="1">IF($P92="","",INDEX(_Datos!$AB$7:$AB$200,$P92))</f>
        <v/>
      </c>
      <c r="C92" s="165" t="str">
        <f ca="1">IF($P92="","",INDEX(_Datos!$AE$7:$AE$200,$P92))</f>
        <v/>
      </c>
      <c r="D92" s="162" t="str">
        <f ca="1">IF($P92="","",INDEX(_Datos!$F$7:$F$200,$P92))</f>
        <v/>
      </c>
      <c r="E92" s="162" t="str">
        <f ca="1">IF($P92="","",INDEX(_Datos!$G$7:$G$200,$P92))</f>
        <v/>
      </c>
      <c r="F92" s="166" t="str">
        <f ca="1">IF($P92="","",INDEX(_Datos!$H$7:$H$200,$P92))</f>
        <v/>
      </c>
      <c r="G92" s="165" t="str">
        <f ca="1">IF($P92="","",INDEX(_Datos!$J$7:$J$200,$P92))</f>
        <v/>
      </c>
      <c r="H92" s="168" t="str">
        <f ca="1">IF($P92="","",INDEX(_Datos!$K$7:$K$200,$P92))</f>
        <v/>
      </c>
      <c r="I92" s="168" t="str">
        <f ca="1">IF($P92="","",INDEX(_Datos!$S$7:$S$200,$P92))</f>
        <v/>
      </c>
      <c r="J92" s="168" t="str">
        <f ca="1">IF($P92="","",INDEX(_Datos!$T$7:$T$200,$P92))</f>
        <v/>
      </c>
      <c r="K92" s="167" t="str">
        <f ca="1">IF($P92="","",INDEX(_Datos!$V$7:$V$200,$P92))</f>
        <v/>
      </c>
      <c r="L92" s="168" t="str">
        <f ca="1">IF($P92="","",INDEX(_Datos!$W$7:$W$200,$P92))</f>
        <v/>
      </c>
      <c r="M92" s="162" t="str">
        <f ca="1">IF($P92="","",INDEX(_Datos!$AC$7:$AC$200,$P92))</f>
        <v/>
      </c>
      <c r="P92" s="163" t="str">
        <f ca="1">IFERROR(MATCH(LARGE(_Datos!$AJ$7:$AJ$200,ROW()-7+1),_Datos!$AJ$7:$AJ$200,0),"")</f>
        <v/>
      </c>
    </row>
    <row r="93" spans="2:16" hidden="1" x14ac:dyDescent="0.35">
      <c r="B93" s="165" t="str">
        <f ca="1">IF($P93="","",INDEX(_Datos!$AB$7:$AB$200,$P93))</f>
        <v/>
      </c>
      <c r="C93" s="165" t="str">
        <f ca="1">IF($P93="","",INDEX(_Datos!$AE$7:$AE$200,$P93))</f>
        <v/>
      </c>
      <c r="D93" s="162" t="str">
        <f ca="1">IF($P93="","",INDEX(_Datos!$F$7:$F$200,$P93))</f>
        <v/>
      </c>
      <c r="E93" s="162" t="str">
        <f ca="1">IF($P93="","",INDEX(_Datos!$G$7:$G$200,$P93))</f>
        <v/>
      </c>
      <c r="F93" s="166" t="str">
        <f ca="1">IF($P93="","",INDEX(_Datos!$H$7:$H$200,$P93))</f>
        <v/>
      </c>
      <c r="G93" s="165" t="str">
        <f ca="1">IF($P93="","",INDEX(_Datos!$J$7:$J$200,$P93))</f>
        <v/>
      </c>
      <c r="H93" s="168" t="str">
        <f ca="1">IF($P93="","",INDEX(_Datos!$K$7:$K$200,$P93))</f>
        <v/>
      </c>
      <c r="I93" s="168" t="str">
        <f ca="1">IF($P93="","",INDEX(_Datos!$S$7:$S$200,$P93))</f>
        <v/>
      </c>
      <c r="J93" s="168" t="str">
        <f ca="1">IF($P93="","",INDEX(_Datos!$T$7:$T$200,$P93))</f>
        <v/>
      </c>
      <c r="K93" s="167" t="str">
        <f ca="1">IF($P93="","",INDEX(_Datos!$V$7:$V$200,$P93))</f>
        <v/>
      </c>
      <c r="L93" s="168" t="str">
        <f ca="1">IF($P93="","",INDEX(_Datos!$W$7:$W$200,$P93))</f>
        <v/>
      </c>
      <c r="M93" s="162" t="str">
        <f ca="1">IF($P93="","",INDEX(_Datos!$AC$7:$AC$200,$P93))</f>
        <v/>
      </c>
      <c r="P93" s="163" t="str">
        <f ca="1">IFERROR(MATCH(LARGE(_Datos!$AJ$7:$AJ$200,ROW()-7+1),_Datos!$AJ$7:$AJ$200,0),"")</f>
        <v/>
      </c>
    </row>
    <row r="94" spans="2:16" hidden="1" x14ac:dyDescent="0.35">
      <c r="B94" s="165" t="str">
        <f ca="1">IF($P94="","",INDEX(_Datos!$AB$7:$AB$200,$P94))</f>
        <v/>
      </c>
      <c r="C94" s="165" t="str">
        <f ca="1">IF($P94="","",INDEX(_Datos!$AE$7:$AE$200,$P94))</f>
        <v/>
      </c>
      <c r="D94" s="162" t="str">
        <f ca="1">IF($P94="","",INDEX(_Datos!$F$7:$F$200,$P94))</f>
        <v/>
      </c>
      <c r="E94" s="162" t="str">
        <f ca="1">IF($P94="","",INDEX(_Datos!$G$7:$G$200,$P94))</f>
        <v/>
      </c>
      <c r="F94" s="166" t="str">
        <f ca="1">IF($P94="","",INDEX(_Datos!$H$7:$H$200,$P94))</f>
        <v/>
      </c>
      <c r="G94" s="165" t="str">
        <f ca="1">IF($P94="","",INDEX(_Datos!$J$7:$J$200,$P94))</f>
        <v/>
      </c>
      <c r="H94" s="168" t="str">
        <f ca="1">IF($P94="","",INDEX(_Datos!$K$7:$K$200,$P94))</f>
        <v/>
      </c>
      <c r="I94" s="168" t="str">
        <f ca="1">IF($P94="","",INDEX(_Datos!$S$7:$S$200,$P94))</f>
        <v/>
      </c>
      <c r="J94" s="168" t="str">
        <f ca="1">IF($P94="","",INDEX(_Datos!$T$7:$T$200,$P94))</f>
        <v/>
      </c>
      <c r="K94" s="167" t="str">
        <f ca="1">IF($P94="","",INDEX(_Datos!$V$7:$V$200,$P94))</f>
        <v/>
      </c>
      <c r="L94" s="168" t="str">
        <f ca="1">IF($P94="","",INDEX(_Datos!$W$7:$W$200,$P94))</f>
        <v/>
      </c>
      <c r="M94" s="162" t="str">
        <f ca="1">IF($P94="","",INDEX(_Datos!$AC$7:$AC$200,$P94))</f>
        <v/>
      </c>
      <c r="P94" s="163" t="str">
        <f ca="1">IFERROR(MATCH(LARGE(_Datos!$AJ$7:$AJ$200,ROW()-7+1),_Datos!$AJ$7:$AJ$200,0),"")</f>
        <v/>
      </c>
    </row>
    <row r="95" spans="2:16" hidden="1" x14ac:dyDescent="0.35">
      <c r="B95" s="165" t="str">
        <f ca="1">IF($P95="","",INDEX(_Datos!$AB$7:$AB$200,$P95))</f>
        <v/>
      </c>
      <c r="C95" s="165" t="str">
        <f ca="1">IF($P95="","",INDEX(_Datos!$AE$7:$AE$200,$P95))</f>
        <v/>
      </c>
      <c r="D95" s="162" t="str">
        <f ca="1">IF($P95="","",INDEX(_Datos!$F$7:$F$200,$P95))</f>
        <v/>
      </c>
      <c r="E95" s="162" t="str">
        <f ca="1">IF($P95="","",INDEX(_Datos!$G$7:$G$200,$P95))</f>
        <v/>
      </c>
      <c r="F95" s="166" t="str">
        <f ca="1">IF($P95="","",INDEX(_Datos!$H$7:$H$200,$P95))</f>
        <v/>
      </c>
      <c r="G95" s="165" t="str">
        <f ca="1">IF($P95="","",INDEX(_Datos!$J$7:$J$200,$P95))</f>
        <v/>
      </c>
      <c r="H95" s="168" t="str">
        <f ca="1">IF($P95="","",INDEX(_Datos!$K$7:$K$200,$P95))</f>
        <v/>
      </c>
      <c r="I95" s="168" t="str">
        <f ca="1">IF($P95="","",INDEX(_Datos!$S$7:$S$200,$P95))</f>
        <v/>
      </c>
      <c r="J95" s="168" t="str">
        <f ca="1">IF($P95="","",INDEX(_Datos!$T$7:$T$200,$P95))</f>
        <v/>
      </c>
      <c r="K95" s="167" t="str">
        <f ca="1">IF($P95="","",INDEX(_Datos!$V$7:$V$200,$P95))</f>
        <v/>
      </c>
      <c r="L95" s="168" t="str">
        <f ca="1">IF($P95="","",INDEX(_Datos!$W$7:$W$200,$P95))</f>
        <v/>
      </c>
      <c r="M95" s="162" t="str">
        <f ca="1">IF($P95="","",INDEX(_Datos!$AC$7:$AC$200,$P95))</f>
        <v/>
      </c>
      <c r="P95" s="163" t="str">
        <f ca="1">IFERROR(MATCH(LARGE(_Datos!$AJ$7:$AJ$200,ROW()-7+1),_Datos!$AJ$7:$AJ$200,0),"")</f>
        <v/>
      </c>
    </row>
    <row r="96" spans="2:16" hidden="1" x14ac:dyDescent="0.35">
      <c r="B96" s="165" t="str">
        <f ca="1">IF($P96="","",INDEX(_Datos!$AB$7:$AB$200,$P96))</f>
        <v/>
      </c>
      <c r="C96" s="165" t="str">
        <f ca="1">IF($P96="","",INDEX(_Datos!$AE$7:$AE$200,$P96))</f>
        <v/>
      </c>
      <c r="D96" s="162" t="str">
        <f ca="1">IF($P96="","",INDEX(_Datos!$F$7:$F$200,$P96))</f>
        <v/>
      </c>
      <c r="E96" s="162" t="str">
        <f ca="1">IF($P96="","",INDEX(_Datos!$G$7:$G$200,$P96))</f>
        <v/>
      </c>
      <c r="F96" s="166" t="str">
        <f ca="1">IF($P96="","",INDEX(_Datos!$H$7:$H$200,$P96))</f>
        <v/>
      </c>
      <c r="G96" s="165" t="str">
        <f ca="1">IF($P96="","",INDEX(_Datos!$J$7:$J$200,$P96))</f>
        <v/>
      </c>
      <c r="H96" s="168" t="str">
        <f ca="1">IF($P96="","",INDEX(_Datos!$K$7:$K$200,$P96))</f>
        <v/>
      </c>
      <c r="I96" s="168" t="str">
        <f ca="1">IF($P96="","",INDEX(_Datos!$S$7:$S$200,$P96))</f>
        <v/>
      </c>
      <c r="J96" s="168" t="str">
        <f ca="1">IF($P96="","",INDEX(_Datos!$T$7:$T$200,$P96))</f>
        <v/>
      </c>
      <c r="K96" s="167" t="str">
        <f ca="1">IF($P96="","",INDEX(_Datos!$V$7:$V$200,$P96))</f>
        <v/>
      </c>
      <c r="L96" s="168" t="str">
        <f ca="1">IF($P96="","",INDEX(_Datos!$W$7:$W$200,$P96))</f>
        <v/>
      </c>
      <c r="M96" s="162" t="str">
        <f ca="1">IF($P96="","",INDEX(_Datos!$AC$7:$AC$200,$P96))</f>
        <v/>
      </c>
      <c r="P96" s="163" t="str">
        <f ca="1">IFERROR(MATCH(LARGE(_Datos!$AJ$7:$AJ$200,ROW()-7+1),_Datos!$AJ$7:$AJ$200,0),"")</f>
        <v/>
      </c>
    </row>
    <row r="97" spans="2:16" hidden="1" x14ac:dyDescent="0.35">
      <c r="B97" s="165" t="str">
        <f ca="1">IF($P97="","",INDEX(_Datos!$AB$7:$AB$200,$P97))</f>
        <v/>
      </c>
      <c r="C97" s="165" t="str">
        <f ca="1">IF($P97="","",INDEX(_Datos!$AE$7:$AE$200,$P97))</f>
        <v/>
      </c>
      <c r="D97" s="162" t="str">
        <f ca="1">IF($P97="","",INDEX(_Datos!$F$7:$F$200,$P97))</f>
        <v/>
      </c>
      <c r="E97" s="162" t="str">
        <f ca="1">IF($P97="","",INDEX(_Datos!$G$7:$G$200,$P97))</f>
        <v/>
      </c>
      <c r="F97" s="166" t="str">
        <f ca="1">IF($P97="","",INDEX(_Datos!$H$7:$H$200,$P97))</f>
        <v/>
      </c>
      <c r="G97" s="165" t="str">
        <f ca="1">IF($P97="","",INDEX(_Datos!$J$7:$J$200,$P97))</f>
        <v/>
      </c>
      <c r="H97" s="168" t="str">
        <f ca="1">IF($P97="","",INDEX(_Datos!$K$7:$K$200,$P97))</f>
        <v/>
      </c>
      <c r="I97" s="168" t="str">
        <f ca="1">IF($P97="","",INDEX(_Datos!$S$7:$S$200,$P97))</f>
        <v/>
      </c>
      <c r="J97" s="168" t="str">
        <f ca="1">IF($P97="","",INDEX(_Datos!$T$7:$T$200,$P97))</f>
        <v/>
      </c>
      <c r="K97" s="167" t="str">
        <f ca="1">IF($P97="","",INDEX(_Datos!$V$7:$V$200,$P97))</f>
        <v/>
      </c>
      <c r="L97" s="168" t="str">
        <f ca="1">IF($P97="","",INDEX(_Datos!$W$7:$W$200,$P97))</f>
        <v/>
      </c>
      <c r="M97" s="162" t="str">
        <f ca="1">IF($P97="","",INDEX(_Datos!$AC$7:$AC$200,$P97))</f>
        <v/>
      </c>
      <c r="P97" s="163" t="str">
        <f ca="1">IFERROR(MATCH(LARGE(_Datos!$AJ$7:$AJ$200,ROW()-7+1),_Datos!$AJ$7:$AJ$200,0),"")</f>
        <v/>
      </c>
    </row>
    <row r="98" spans="2:16" hidden="1" x14ac:dyDescent="0.35">
      <c r="B98" s="165" t="str">
        <f ca="1">IF($P98="","",INDEX(_Datos!$AB$7:$AB$200,$P98))</f>
        <v/>
      </c>
      <c r="C98" s="165" t="str">
        <f ca="1">IF($P98="","",INDEX(_Datos!$AE$7:$AE$200,$P98))</f>
        <v/>
      </c>
      <c r="D98" s="162" t="str">
        <f ca="1">IF($P98="","",INDEX(_Datos!$F$7:$F$200,$P98))</f>
        <v/>
      </c>
      <c r="E98" s="162" t="str">
        <f ca="1">IF($P98="","",INDEX(_Datos!$G$7:$G$200,$P98))</f>
        <v/>
      </c>
      <c r="F98" s="166" t="str">
        <f ca="1">IF($P98="","",INDEX(_Datos!$H$7:$H$200,$P98))</f>
        <v/>
      </c>
      <c r="G98" s="165" t="str">
        <f ca="1">IF($P98="","",INDEX(_Datos!$J$7:$J$200,$P98))</f>
        <v/>
      </c>
      <c r="H98" s="168" t="str">
        <f ca="1">IF($P98="","",INDEX(_Datos!$K$7:$K$200,$P98))</f>
        <v/>
      </c>
      <c r="I98" s="168" t="str">
        <f ca="1">IF($P98="","",INDEX(_Datos!$S$7:$S$200,$P98))</f>
        <v/>
      </c>
      <c r="J98" s="168" t="str">
        <f ca="1">IF($P98="","",INDEX(_Datos!$T$7:$T$200,$P98))</f>
        <v/>
      </c>
      <c r="K98" s="167" t="str">
        <f ca="1">IF($P98="","",INDEX(_Datos!$V$7:$V$200,$P98))</f>
        <v/>
      </c>
      <c r="L98" s="168" t="str">
        <f ca="1">IF($P98="","",INDEX(_Datos!$W$7:$W$200,$P98))</f>
        <v/>
      </c>
      <c r="M98" s="162" t="str">
        <f ca="1">IF($P98="","",INDEX(_Datos!$AC$7:$AC$200,$P98))</f>
        <v/>
      </c>
      <c r="P98" s="163" t="str">
        <f ca="1">IFERROR(MATCH(LARGE(_Datos!$AJ$7:$AJ$200,ROW()-7+1),_Datos!$AJ$7:$AJ$200,0),"")</f>
        <v/>
      </c>
    </row>
    <row r="99" spans="2:16" hidden="1" x14ac:dyDescent="0.35">
      <c r="B99" s="165" t="str">
        <f ca="1">IF($P99="","",INDEX(_Datos!$AB$7:$AB$200,$P99))</f>
        <v/>
      </c>
      <c r="C99" s="165" t="str">
        <f ca="1">IF($P99="","",INDEX(_Datos!$AE$7:$AE$200,$P99))</f>
        <v/>
      </c>
      <c r="D99" s="162" t="str">
        <f ca="1">IF($P99="","",INDEX(_Datos!$F$7:$F$200,$P99))</f>
        <v/>
      </c>
      <c r="E99" s="162" t="str">
        <f ca="1">IF($P99="","",INDEX(_Datos!$G$7:$G$200,$P99))</f>
        <v/>
      </c>
      <c r="F99" s="166" t="str">
        <f ca="1">IF($P99="","",INDEX(_Datos!$H$7:$H$200,$P99))</f>
        <v/>
      </c>
      <c r="G99" s="165" t="str">
        <f ca="1">IF($P99="","",INDEX(_Datos!$J$7:$J$200,$P99))</f>
        <v/>
      </c>
      <c r="H99" s="168" t="str">
        <f ca="1">IF($P99="","",INDEX(_Datos!$K$7:$K$200,$P99))</f>
        <v/>
      </c>
      <c r="I99" s="168" t="str">
        <f ca="1">IF($P99="","",INDEX(_Datos!$S$7:$S$200,$P99))</f>
        <v/>
      </c>
      <c r="J99" s="168" t="str">
        <f ca="1">IF($P99="","",INDEX(_Datos!$T$7:$T$200,$P99))</f>
        <v/>
      </c>
      <c r="K99" s="167" t="str">
        <f ca="1">IF($P99="","",INDEX(_Datos!$V$7:$V$200,$P99))</f>
        <v/>
      </c>
      <c r="L99" s="168" t="str">
        <f ca="1">IF($P99="","",INDEX(_Datos!$W$7:$W$200,$P99))</f>
        <v/>
      </c>
      <c r="M99" s="162" t="str">
        <f ca="1">IF($P99="","",INDEX(_Datos!$AC$7:$AC$200,$P99))</f>
        <v/>
      </c>
      <c r="P99" s="163" t="str">
        <f ca="1">IFERROR(MATCH(LARGE(_Datos!$AJ$7:$AJ$200,ROW()-7+1),_Datos!$AJ$7:$AJ$200,0),"")</f>
        <v/>
      </c>
    </row>
    <row r="100" spans="2:16" hidden="1" x14ac:dyDescent="0.35">
      <c r="B100" s="165" t="str">
        <f ca="1">IF($P100="","",INDEX(_Datos!$AB$7:$AB$200,$P100))</f>
        <v/>
      </c>
      <c r="C100" s="165" t="str">
        <f ca="1">IF($P100="","",INDEX(_Datos!$AE$7:$AE$200,$P100))</f>
        <v/>
      </c>
      <c r="D100" s="162" t="str">
        <f ca="1">IF($P100="","",INDEX(_Datos!$F$7:$F$200,$P100))</f>
        <v/>
      </c>
      <c r="E100" s="162" t="str">
        <f ca="1">IF($P100="","",INDEX(_Datos!$G$7:$G$200,$P100))</f>
        <v/>
      </c>
      <c r="F100" s="166" t="str">
        <f ca="1">IF($P100="","",INDEX(_Datos!$H$7:$H$200,$P100))</f>
        <v/>
      </c>
      <c r="G100" s="165" t="str">
        <f ca="1">IF($P100="","",INDEX(_Datos!$J$7:$J$200,$P100))</f>
        <v/>
      </c>
      <c r="H100" s="168" t="str">
        <f ca="1">IF($P100="","",INDEX(_Datos!$K$7:$K$200,$P100))</f>
        <v/>
      </c>
      <c r="I100" s="168" t="str">
        <f ca="1">IF($P100="","",INDEX(_Datos!$S$7:$S$200,$P100))</f>
        <v/>
      </c>
      <c r="J100" s="168" t="str">
        <f ca="1">IF($P100="","",INDEX(_Datos!$T$7:$T$200,$P100))</f>
        <v/>
      </c>
      <c r="K100" s="167" t="str">
        <f ca="1">IF($P100="","",INDEX(_Datos!$V$7:$V$200,$P100))</f>
        <v/>
      </c>
      <c r="L100" s="168" t="str">
        <f ca="1">IF($P100="","",INDEX(_Datos!$W$7:$W$200,$P100))</f>
        <v/>
      </c>
      <c r="M100" s="162" t="str">
        <f ca="1">IF($P100="","",INDEX(_Datos!$AC$7:$AC$200,$P100))</f>
        <v/>
      </c>
      <c r="P100" s="163" t="str">
        <f ca="1">IFERROR(MATCH(LARGE(_Datos!$AJ$7:$AJ$200,ROW()-7+1),_Datos!$AJ$7:$AJ$200,0),"")</f>
        <v/>
      </c>
    </row>
    <row r="101" spans="2:16" hidden="1" x14ac:dyDescent="0.35">
      <c r="B101" s="165" t="str">
        <f ca="1">IF($P101="","",INDEX(_Datos!$AB$7:$AB$200,$P101))</f>
        <v/>
      </c>
      <c r="C101" s="165" t="str">
        <f ca="1">IF($P101="","",INDEX(_Datos!$AE$7:$AE$200,$P101))</f>
        <v/>
      </c>
      <c r="D101" s="162" t="str">
        <f ca="1">IF($P101="","",INDEX(_Datos!$F$7:$F$200,$P101))</f>
        <v/>
      </c>
      <c r="E101" s="162" t="str">
        <f ca="1">IF($P101="","",INDEX(_Datos!$G$7:$G$200,$P101))</f>
        <v/>
      </c>
      <c r="F101" s="166" t="str">
        <f ca="1">IF($P101="","",INDEX(_Datos!$H$7:$H$200,$P101))</f>
        <v/>
      </c>
      <c r="G101" s="165" t="str">
        <f ca="1">IF($P101="","",INDEX(_Datos!$J$7:$J$200,$P101))</f>
        <v/>
      </c>
      <c r="H101" s="168" t="str">
        <f ca="1">IF($P101="","",INDEX(_Datos!$K$7:$K$200,$P101))</f>
        <v/>
      </c>
      <c r="I101" s="168" t="str">
        <f ca="1">IF($P101="","",INDEX(_Datos!$S$7:$S$200,$P101))</f>
        <v/>
      </c>
      <c r="J101" s="168" t="str">
        <f ca="1">IF($P101="","",INDEX(_Datos!$T$7:$T$200,$P101))</f>
        <v/>
      </c>
      <c r="K101" s="167" t="str">
        <f ca="1">IF($P101="","",INDEX(_Datos!$V$7:$V$200,$P101))</f>
        <v/>
      </c>
      <c r="L101" s="168" t="str">
        <f ca="1">IF($P101="","",INDEX(_Datos!$W$7:$W$200,$P101))</f>
        <v/>
      </c>
      <c r="M101" s="162" t="str">
        <f ca="1">IF($P101="","",INDEX(_Datos!$AC$7:$AC$200,$P101))</f>
        <v/>
      </c>
      <c r="P101" s="163" t="str">
        <f ca="1">IFERROR(MATCH(LARGE(_Datos!$AJ$7:$AJ$200,ROW()-7+1),_Datos!$AJ$7:$AJ$200,0),"")</f>
        <v/>
      </c>
    </row>
    <row r="102" spans="2:16" hidden="1" x14ac:dyDescent="0.35">
      <c r="B102" s="165" t="str">
        <f ca="1">IF($P102="","",INDEX(_Datos!$AB$7:$AB$200,$P102))</f>
        <v/>
      </c>
      <c r="C102" s="165" t="str">
        <f ca="1">IF($P102="","",INDEX(_Datos!$AE$7:$AE$200,$P102))</f>
        <v/>
      </c>
      <c r="D102" s="162" t="str">
        <f ca="1">IF($P102="","",INDEX(_Datos!$F$7:$F$200,$P102))</f>
        <v/>
      </c>
      <c r="E102" s="162" t="str">
        <f ca="1">IF($P102="","",INDEX(_Datos!$G$7:$G$200,$P102))</f>
        <v/>
      </c>
      <c r="F102" s="166" t="str">
        <f ca="1">IF($P102="","",INDEX(_Datos!$H$7:$H$200,$P102))</f>
        <v/>
      </c>
      <c r="G102" s="165" t="str">
        <f ca="1">IF($P102="","",INDEX(_Datos!$J$7:$J$200,$P102))</f>
        <v/>
      </c>
      <c r="H102" s="168" t="str">
        <f ca="1">IF($P102="","",INDEX(_Datos!$K$7:$K$200,$P102))</f>
        <v/>
      </c>
      <c r="I102" s="168" t="str">
        <f ca="1">IF($P102="","",INDEX(_Datos!$S$7:$S$200,$P102))</f>
        <v/>
      </c>
      <c r="J102" s="168" t="str">
        <f ca="1">IF($P102="","",INDEX(_Datos!$T$7:$T$200,$P102))</f>
        <v/>
      </c>
      <c r="K102" s="167" t="str">
        <f ca="1">IF($P102="","",INDEX(_Datos!$V$7:$V$200,$P102))</f>
        <v/>
      </c>
      <c r="L102" s="168" t="str">
        <f ca="1">IF($P102="","",INDEX(_Datos!$W$7:$W$200,$P102))</f>
        <v/>
      </c>
      <c r="M102" s="162" t="str">
        <f ca="1">IF($P102="","",INDEX(_Datos!$AC$7:$AC$200,$P102))</f>
        <v/>
      </c>
      <c r="P102" s="163" t="str">
        <f ca="1">IFERROR(MATCH(LARGE(_Datos!$AJ$7:$AJ$200,ROW()-7+1),_Datos!$AJ$7:$AJ$200,0),"")</f>
        <v/>
      </c>
    </row>
    <row r="103" spans="2:16" hidden="1" x14ac:dyDescent="0.35">
      <c r="B103" s="165" t="str">
        <f ca="1">IF($P103="","",INDEX(_Datos!$AB$7:$AB$200,$P103))</f>
        <v/>
      </c>
      <c r="C103" s="165" t="str">
        <f ca="1">IF($P103="","",INDEX(_Datos!$AE$7:$AE$200,$P103))</f>
        <v/>
      </c>
      <c r="D103" s="162" t="str">
        <f ca="1">IF($P103="","",INDEX(_Datos!$F$7:$F$200,$P103))</f>
        <v/>
      </c>
      <c r="E103" s="162" t="str">
        <f ca="1">IF($P103="","",INDEX(_Datos!$G$7:$G$200,$P103))</f>
        <v/>
      </c>
      <c r="F103" s="166" t="str">
        <f ca="1">IF($P103="","",INDEX(_Datos!$H$7:$H$200,$P103))</f>
        <v/>
      </c>
      <c r="G103" s="165" t="str">
        <f ca="1">IF($P103="","",INDEX(_Datos!$J$7:$J$200,$P103))</f>
        <v/>
      </c>
      <c r="H103" s="168" t="str">
        <f ca="1">IF($P103="","",INDEX(_Datos!$K$7:$K$200,$P103))</f>
        <v/>
      </c>
      <c r="I103" s="168" t="str">
        <f ca="1">IF($P103="","",INDEX(_Datos!$S$7:$S$200,$P103))</f>
        <v/>
      </c>
      <c r="J103" s="168" t="str">
        <f ca="1">IF($P103="","",INDEX(_Datos!$T$7:$T$200,$P103))</f>
        <v/>
      </c>
      <c r="K103" s="167" t="str">
        <f ca="1">IF($P103="","",INDEX(_Datos!$V$7:$V$200,$P103))</f>
        <v/>
      </c>
      <c r="L103" s="168" t="str">
        <f ca="1">IF($P103="","",INDEX(_Datos!$W$7:$W$200,$P103))</f>
        <v/>
      </c>
      <c r="M103" s="162" t="str">
        <f ca="1">IF($P103="","",INDEX(_Datos!$AC$7:$AC$200,$P103))</f>
        <v/>
      </c>
      <c r="P103" s="163" t="str">
        <f ca="1">IFERROR(MATCH(LARGE(_Datos!$AJ$7:$AJ$200,ROW()-7+1),_Datos!$AJ$7:$AJ$200,0),"")</f>
        <v/>
      </c>
    </row>
    <row r="104" spans="2:16" hidden="1" x14ac:dyDescent="0.35">
      <c r="B104" s="165" t="str">
        <f ca="1">IF($P104="","",INDEX(_Datos!$AB$7:$AB$200,$P104))</f>
        <v/>
      </c>
      <c r="C104" s="165" t="str">
        <f ca="1">IF($P104="","",INDEX(_Datos!$AE$7:$AE$200,$P104))</f>
        <v/>
      </c>
      <c r="D104" s="162" t="str">
        <f ca="1">IF($P104="","",INDEX(_Datos!$F$7:$F$200,$P104))</f>
        <v/>
      </c>
      <c r="E104" s="162" t="str">
        <f ca="1">IF($P104="","",INDEX(_Datos!$G$7:$G$200,$P104))</f>
        <v/>
      </c>
      <c r="F104" s="166" t="str">
        <f ca="1">IF($P104="","",INDEX(_Datos!$H$7:$H$200,$P104))</f>
        <v/>
      </c>
      <c r="G104" s="165" t="str">
        <f ca="1">IF($P104="","",INDEX(_Datos!$J$7:$J$200,$P104))</f>
        <v/>
      </c>
      <c r="H104" s="168" t="str">
        <f ca="1">IF($P104="","",INDEX(_Datos!$K$7:$K$200,$P104))</f>
        <v/>
      </c>
      <c r="I104" s="168" t="str">
        <f ca="1">IF($P104="","",INDEX(_Datos!$S$7:$S$200,$P104))</f>
        <v/>
      </c>
      <c r="J104" s="168" t="str">
        <f ca="1">IF($P104="","",INDEX(_Datos!$T$7:$T$200,$P104))</f>
        <v/>
      </c>
      <c r="K104" s="167" t="str">
        <f ca="1">IF($P104="","",INDEX(_Datos!$V$7:$V$200,$P104))</f>
        <v/>
      </c>
      <c r="L104" s="168" t="str">
        <f ca="1">IF($P104="","",INDEX(_Datos!$W$7:$W$200,$P104))</f>
        <v/>
      </c>
      <c r="M104" s="162" t="str">
        <f ca="1">IF($P104="","",INDEX(_Datos!$AC$7:$AC$200,$P104))</f>
        <v/>
      </c>
      <c r="P104" s="163" t="str">
        <f ca="1">IFERROR(MATCH(LARGE(_Datos!$AJ$7:$AJ$200,ROW()-7+1),_Datos!$AJ$7:$AJ$200,0),"")</f>
        <v/>
      </c>
    </row>
    <row r="105" spans="2:16" hidden="1" x14ac:dyDescent="0.35">
      <c r="B105" s="165" t="str">
        <f ca="1">IF($P105="","",INDEX(_Datos!$AB$7:$AB$200,$P105))</f>
        <v/>
      </c>
      <c r="C105" s="165" t="str">
        <f ca="1">IF($P105="","",INDEX(_Datos!$AE$7:$AE$200,$P105))</f>
        <v/>
      </c>
      <c r="D105" s="162" t="str">
        <f ca="1">IF($P105="","",INDEX(_Datos!$F$7:$F$200,$P105))</f>
        <v/>
      </c>
      <c r="E105" s="162" t="str">
        <f ca="1">IF($P105="","",INDEX(_Datos!$G$7:$G$200,$P105))</f>
        <v/>
      </c>
      <c r="F105" s="166" t="str">
        <f ca="1">IF($P105="","",INDEX(_Datos!$H$7:$H$200,$P105))</f>
        <v/>
      </c>
      <c r="G105" s="165" t="str">
        <f ca="1">IF($P105="","",INDEX(_Datos!$J$7:$J$200,$P105))</f>
        <v/>
      </c>
      <c r="H105" s="168" t="str">
        <f ca="1">IF($P105="","",INDEX(_Datos!$K$7:$K$200,$P105))</f>
        <v/>
      </c>
      <c r="I105" s="168" t="str">
        <f ca="1">IF($P105="","",INDEX(_Datos!$S$7:$S$200,$P105))</f>
        <v/>
      </c>
      <c r="J105" s="168" t="str">
        <f ca="1">IF($P105="","",INDEX(_Datos!$T$7:$T$200,$P105))</f>
        <v/>
      </c>
      <c r="K105" s="167" t="str">
        <f ca="1">IF($P105="","",INDEX(_Datos!$V$7:$V$200,$P105))</f>
        <v/>
      </c>
      <c r="L105" s="168" t="str">
        <f ca="1">IF($P105="","",INDEX(_Datos!$W$7:$W$200,$P105))</f>
        <v/>
      </c>
      <c r="M105" s="162" t="str">
        <f ca="1">IF($P105="","",INDEX(_Datos!$AC$7:$AC$200,$P105))</f>
        <v/>
      </c>
      <c r="P105" s="163" t="str">
        <f ca="1">IFERROR(MATCH(LARGE(_Datos!$AJ$7:$AJ$200,ROW()-7+1),_Datos!$AJ$7:$AJ$200,0),"")</f>
        <v/>
      </c>
    </row>
    <row r="106" spans="2:16" hidden="1" x14ac:dyDescent="0.35">
      <c r="B106" s="165" t="str">
        <f ca="1">IF($P106="","",INDEX(_Datos!$AB$7:$AB$200,$P106))</f>
        <v/>
      </c>
      <c r="C106" s="165" t="str">
        <f ca="1">IF($P106="","",INDEX(_Datos!$AE$7:$AE$200,$P106))</f>
        <v/>
      </c>
      <c r="D106" s="162" t="str">
        <f ca="1">IF($P106="","",INDEX(_Datos!$F$7:$F$200,$P106))</f>
        <v/>
      </c>
      <c r="E106" s="162" t="str">
        <f ca="1">IF($P106="","",INDEX(_Datos!$G$7:$G$200,$P106))</f>
        <v/>
      </c>
      <c r="F106" s="166" t="str">
        <f ca="1">IF($P106="","",INDEX(_Datos!$H$7:$H$200,$P106))</f>
        <v/>
      </c>
      <c r="G106" s="165" t="str">
        <f ca="1">IF($P106="","",INDEX(_Datos!$J$7:$J$200,$P106))</f>
        <v/>
      </c>
      <c r="H106" s="168" t="str">
        <f ca="1">IF($P106="","",INDEX(_Datos!$K$7:$K$200,$P106))</f>
        <v/>
      </c>
      <c r="I106" s="168" t="str">
        <f ca="1">IF($P106="","",INDEX(_Datos!$S$7:$S$200,$P106))</f>
        <v/>
      </c>
      <c r="J106" s="168" t="str">
        <f ca="1">IF($P106="","",INDEX(_Datos!$T$7:$T$200,$P106))</f>
        <v/>
      </c>
      <c r="K106" s="167" t="str">
        <f ca="1">IF($P106="","",INDEX(_Datos!$V$7:$V$200,$P106))</f>
        <v/>
      </c>
      <c r="L106" s="168" t="str">
        <f ca="1">IF($P106="","",INDEX(_Datos!$W$7:$W$200,$P106))</f>
        <v/>
      </c>
      <c r="M106" s="162" t="str">
        <f ca="1">IF($P106="","",INDEX(_Datos!$AC$7:$AC$200,$P106))</f>
        <v/>
      </c>
      <c r="P106" s="163" t="str">
        <f ca="1">IFERROR(MATCH(LARGE(_Datos!$AJ$7:$AJ$200,ROW()-7+1),_Datos!$AJ$7:$AJ$200,0),"")</f>
        <v/>
      </c>
    </row>
    <row r="107" spans="2:16" hidden="1" x14ac:dyDescent="0.35">
      <c r="B107" s="165" t="str">
        <f ca="1">IF($P107="","",INDEX(_Datos!$AB$7:$AB$200,$P107))</f>
        <v/>
      </c>
      <c r="C107" s="165" t="str">
        <f ca="1">IF($P107="","",INDEX(_Datos!$AE$7:$AE$200,$P107))</f>
        <v/>
      </c>
      <c r="D107" s="162" t="str">
        <f ca="1">IF($P107="","",INDEX(_Datos!$F$7:$F$200,$P107))</f>
        <v/>
      </c>
      <c r="E107" s="162" t="str">
        <f ca="1">IF($P107="","",INDEX(_Datos!$G$7:$G$200,$P107))</f>
        <v/>
      </c>
      <c r="F107" s="166" t="str">
        <f ca="1">IF($P107="","",INDEX(_Datos!$H$7:$H$200,$P107))</f>
        <v/>
      </c>
      <c r="G107" s="165" t="str">
        <f ca="1">IF($P107="","",INDEX(_Datos!$J$7:$J$200,$P107))</f>
        <v/>
      </c>
      <c r="H107" s="168" t="str">
        <f ca="1">IF($P107="","",INDEX(_Datos!$K$7:$K$200,$P107))</f>
        <v/>
      </c>
      <c r="I107" s="168" t="str">
        <f ca="1">IF($P107="","",INDEX(_Datos!$S$7:$S$200,$P107))</f>
        <v/>
      </c>
      <c r="J107" s="168" t="str">
        <f ca="1">IF($P107="","",INDEX(_Datos!$T$7:$T$200,$P107))</f>
        <v/>
      </c>
      <c r="K107" s="167" t="str">
        <f ca="1">IF($P107="","",INDEX(_Datos!$V$7:$V$200,$P107))</f>
        <v/>
      </c>
      <c r="L107" s="168" t="str">
        <f ca="1">IF($P107="","",INDEX(_Datos!$W$7:$W$200,$P107))</f>
        <v/>
      </c>
      <c r="M107" s="162" t="str">
        <f ca="1">IF($P107="","",INDEX(_Datos!$AC$7:$AC$200,$P107))</f>
        <v/>
      </c>
      <c r="P107" s="163" t="str">
        <f ca="1">IFERROR(MATCH(LARGE(_Datos!$AJ$7:$AJ$200,ROW()-7+1),_Datos!$AJ$7:$AJ$200,0),"")</f>
        <v/>
      </c>
    </row>
    <row r="108" spans="2:16" hidden="1" x14ac:dyDescent="0.35">
      <c r="B108" s="165" t="str">
        <f ca="1">IF($P108="","",INDEX(_Datos!$AB$7:$AB$200,$P108))</f>
        <v/>
      </c>
      <c r="C108" s="165" t="str">
        <f ca="1">IF($P108="","",INDEX(_Datos!$AE$7:$AE$200,$P108))</f>
        <v/>
      </c>
      <c r="D108" s="162" t="str">
        <f ca="1">IF($P108="","",INDEX(_Datos!$F$7:$F$200,$P108))</f>
        <v/>
      </c>
      <c r="E108" s="162" t="str">
        <f ca="1">IF($P108="","",INDEX(_Datos!$G$7:$G$200,$P108))</f>
        <v/>
      </c>
      <c r="F108" s="166" t="str">
        <f ca="1">IF($P108="","",INDEX(_Datos!$H$7:$H$200,$P108))</f>
        <v/>
      </c>
      <c r="G108" s="165" t="str">
        <f ca="1">IF($P108="","",INDEX(_Datos!$J$7:$J$200,$P108))</f>
        <v/>
      </c>
      <c r="H108" s="168" t="str">
        <f ca="1">IF($P108="","",INDEX(_Datos!$K$7:$K$200,$P108))</f>
        <v/>
      </c>
      <c r="I108" s="168" t="str">
        <f ca="1">IF($P108="","",INDEX(_Datos!$S$7:$S$200,$P108))</f>
        <v/>
      </c>
      <c r="J108" s="168" t="str">
        <f ca="1">IF($P108="","",INDEX(_Datos!$T$7:$T$200,$P108))</f>
        <v/>
      </c>
      <c r="K108" s="167" t="str">
        <f ca="1">IF($P108="","",INDEX(_Datos!$V$7:$V$200,$P108))</f>
        <v/>
      </c>
      <c r="L108" s="168" t="str">
        <f ca="1">IF($P108="","",INDEX(_Datos!$W$7:$W$200,$P108))</f>
        <v/>
      </c>
      <c r="M108" s="162" t="str">
        <f ca="1">IF($P108="","",INDEX(_Datos!$AC$7:$AC$200,$P108))</f>
        <v/>
      </c>
      <c r="P108" s="163" t="str">
        <f ca="1">IFERROR(MATCH(LARGE(_Datos!$AJ$7:$AJ$200,ROW()-7+1),_Datos!$AJ$7:$AJ$200,0),"")</f>
        <v/>
      </c>
    </row>
    <row r="109" spans="2:16" hidden="1" x14ac:dyDescent="0.35">
      <c r="B109" s="165" t="str">
        <f ca="1">IF($P109="","",INDEX(_Datos!$AB$7:$AB$200,$P109))</f>
        <v/>
      </c>
      <c r="C109" s="165" t="str">
        <f ca="1">IF($P109="","",INDEX(_Datos!$AE$7:$AE$200,$P109))</f>
        <v/>
      </c>
      <c r="D109" s="162" t="str">
        <f ca="1">IF($P109="","",INDEX(_Datos!$F$7:$F$200,$P109))</f>
        <v/>
      </c>
      <c r="E109" s="162" t="str">
        <f ca="1">IF($P109="","",INDEX(_Datos!$G$7:$G$200,$P109))</f>
        <v/>
      </c>
      <c r="F109" s="166" t="str">
        <f ca="1">IF($P109="","",INDEX(_Datos!$H$7:$H$200,$P109))</f>
        <v/>
      </c>
      <c r="G109" s="165" t="str">
        <f ca="1">IF($P109="","",INDEX(_Datos!$J$7:$J$200,$P109))</f>
        <v/>
      </c>
      <c r="H109" s="168" t="str">
        <f ca="1">IF($P109="","",INDEX(_Datos!$K$7:$K$200,$P109))</f>
        <v/>
      </c>
      <c r="I109" s="168" t="str">
        <f ca="1">IF($P109="","",INDEX(_Datos!$S$7:$S$200,$P109))</f>
        <v/>
      </c>
      <c r="J109" s="168" t="str">
        <f ca="1">IF($P109="","",INDEX(_Datos!$T$7:$T$200,$P109))</f>
        <v/>
      </c>
      <c r="K109" s="167" t="str">
        <f ca="1">IF($P109="","",INDEX(_Datos!$V$7:$V$200,$P109))</f>
        <v/>
      </c>
      <c r="L109" s="168" t="str">
        <f ca="1">IF($P109="","",INDEX(_Datos!$W$7:$W$200,$P109))</f>
        <v/>
      </c>
      <c r="M109" s="162" t="str">
        <f ca="1">IF($P109="","",INDEX(_Datos!$AC$7:$AC$200,$P109))</f>
        <v/>
      </c>
      <c r="P109" s="163" t="str">
        <f ca="1">IFERROR(MATCH(LARGE(_Datos!$AJ$7:$AJ$200,ROW()-7+1),_Datos!$AJ$7:$AJ$200,0),"")</f>
        <v/>
      </c>
    </row>
    <row r="110" spans="2:16" hidden="1" x14ac:dyDescent="0.35">
      <c r="B110" s="165" t="str">
        <f ca="1">IF($P110="","",INDEX(_Datos!$AB$7:$AB$200,$P110))</f>
        <v/>
      </c>
      <c r="C110" s="165" t="str">
        <f ca="1">IF($P110="","",INDEX(_Datos!$AE$7:$AE$200,$P110))</f>
        <v/>
      </c>
      <c r="D110" s="162" t="str">
        <f ca="1">IF($P110="","",INDEX(_Datos!$F$7:$F$200,$P110))</f>
        <v/>
      </c>
      <c r="E110" s="162" t="str">
        <f ca="1">IF($P110="","",INDEX(_Datos!$G$7:$G$200,$P110))</f>
        <v/>
      </c>
      <c r="F110" s="166" t="str">
        <f ca="1">IF($P110="","",INDEX(_Datos!$H$7:$H$200,$P110))</f>
        <v/>
      </c>
      <c r="G110" s="165" t="str">
        <f ca="1">IF($P110="","",INDEX(_Datos!$J$7:$J$200,$P110))</f>
        <v/>
      </c>
      <c r="H110" s="168" t="str">
        <f ca="1">IF($P110="","",INDEX(_Datos!$K$7:$K$200,$P110))</f>
        <v/>
      </c>
      <c r="I110" s="168" t="str">
        <f ca="1">IF($P110="","",INDEX(_Datos!$S$7:$S$200,$P110))</f>
        <v/>
      </c>
      <c r="J110" s="168" t="str">
        <f ca="1">IF($P110="","",INDEX(_Datos!$T$7:$T$200,$P110))</f>
        <v/>
      </c>
      <c r="K110" s="167" t="str">
        <f ca="1">IF($P110="","",INDEX(_Datos!$V$7:$V$200,$P110))</f>
        <v/>
      </c>
      <c r="L110" s="168" t="str">
        <f ca="1">IF($P110="","",INDEX(_Datos!$W$7:$W$200,$P110))</f>
        <v/>
      </c>
      <c r="M110" s="162" t="str">
        <f ca="1">IF($P110="","",INDEX(_Datos!$AC$7:$AC$200,$P110))</f>
        <v/>
      </c>
      <c r="P110" s="163" t="str">
        <f ca="1">IFERROR(MATCH(LARGE(_Datos!$AJ$7:$AJ$200,ROW()-7+1),_Datos!$AJ$7:$AJ$200,0),"")</f>
        <v/>
      </c>
    </row>
    <row r="111" spans="2:16" hidden="1" x14ac:dyDescent="0.35">
      <c r="B111" s="165" t="str">
        <f ca="1">IF($P111="","",INDEX(_Datos!$AB$7:$AB$200,$P111))</f>
        <v/>
      </c>
      <c r="C111" s="165" t="str">
        <f ca="1">IF($P111="","",INDEX(_Datos!$AE$7:$AE$200,$P111))</f>
        <v/>
      </c>
      <c r="D111" s="162" t="str">
        <f ca="1">IF($P111="","",INDEX(_Datos!$F$7:$F$200,$P111))</f>
        <v/>
      </c>
      <c r="E111" s="162" t="str">
        <f ca="1">IF($P111="","",INDEX(_Datos!$G$7:$G$200,$P111))</f>
        <v/>
      </c>
      <c r="F111" s="166" t="str">
        <f ca="1">IF($P111="","",INDEX(_Datos!$H$7:$H$200,$P111))</f>
        <v/>
      </c>
      <c r="G111" s="165" t="str">
        <f ca="1">IF($P111="","",INDEX(_Datos!$J$7:$J$200,$P111))</f>
        <v/>
      </c>
      <c r="H111" s="168" t="str">
        <f ca="1">IF($P111="","",INDEX(_Datos!$K$7:$K$200,$P111))</f>
        <v/>
      </c>
      <c r="I111" s="168" t="str">
        <f ca="1">IF($P111="","",INDEX(_Datos!$S$7:$S$200,$P111))</f>
        <v/>
      </c>
      <c r="J111" s="168" t="str">
        <f ca="1">IF($P111="","",INDEX(_Datos!$T$7:$T$200,$P111))</f>
        <v/>
      </c>
      <c r="K111" s="167" t="str">
        <f ca="1">IF($P111="","",INDEX(_Datos!$V$7:$V$200,$P111))</f>
        <v/>
      </c>
      <c r="L111" s="168" t="str">
        <f ca="1">IF($P111="","",INDEX(_Datos!$W$7:$W$200,$P111))</f>
        <v/>
      </c>
      <c r="M111" s="162" t="str">
        <f ca="1">IF($P111="","",INDEX(_Datos!$AC$7:$AC$200,$P111))</f>
        <v/>
      </c>
      <c r="P111" s="163" t="str">
        <f ca="1">IFERROR(MATCH(LARGE(_Datos!$AJ$7:$AJ$200,ROW()-7+1),_Datos!$AJ$7:$AJ$200,0),"")</f>
        <v/>
      </c>
    </row>
    <row r="112" spans="2:16" hidden="1" x14ac:dyDescent="0.35">
      <c r="B112" s="165" t="str">
        <f ca="1">IF($P112="","",INDEX(_Datos!$AB$7:$AB$200,$P112))</f>
        <v/>
      </c>
      <c r="C112" s="165" t="str">
        <f ca="1">IF($P112="","",INDEX(_Datos!$AE$7:$AE$200,$P112))</f>
        <v/>
      </c>
      <c r="D112" s="162" t="str">
        <f ca="1">IF($P112="","",INDEX(_Datos!$F$7:$F$200,$P112))</f>
        <v/>
      </c>
      <c r="E112" s="162" t="str">
        <f ca="1">IF($P112="","",INDEX(_Datos!$G$7:$G$200,$P112))</f>
        <v/>
      </c>
      <c r="F112" s="166" t="str">
        <f ca="1">IF($P112="","",INDEX(_Datos!$H$7:$H$200,$P112))</f>
        <v/>
      </c>
      <c r="G112" s="165" t="str">
        <f ca="1">IF($P112="","",INDEX(_Datos!$J$7:$J$200,$P112))</f>
        <v/>
      </c>
      <c r="H112" s="168" t="str">
        <f ca="1">IF($P112="","",INDEX(_Datos!$K$7:$K$200,$P112))</f>
        <v/>
      </c>
      <c r="I112" s="168" t="str">
        <f ca="1">IF($P112="","",INDEX(_Datos!$S$7:$S$200,$P112))</f>
        <v/>
      </c>
      <c r="J112" s="168" t="str">
        <f ca="1">IF($P112="","",INDEX(_Datos!$T$7:$T$200,$P112))</f>
        <v/>
      </c>
      <c r="K112" s="167" t="str">
        <f ca="1">IF($P112="","",INDEX(_Datos!$V$7:$V$200,$P112))</f>
        <v/>
      </c>
      <c r="L112" s="168" t="str">
        <f ca="1">IF($P112="","",INDEX(_Datos!$W$7:$W$200,$P112))</f>
        <v/>
      </c>
      <c r="M112" s="162" t="str">
        <f ca="1">IF($P112="","",INDEX(_Datos!$AC$7:$AC$200,$P112))</f>
        <v/>
      </c>
      <c r="P112" s="163" t="str">
        <f ca="1">IFERROR(MATCH(LARGE(_Datos!$AJ$7:$AJ$200,ROW()-7+1),_Datos!$AJ$7:$AJ$200,0),"")</f>
        <v/>
      </c>
    </row>
    <row r="113" spans="2:16" hidden="1" x14ac:dyDescent="0.35">
      <c r="B113" s="165" t="str">
        <f ca="1">IF($P113="","",INDEX(_Datos!$AB$7:$AB$200,$P113))</f>
        <v/>
      </c>
      <c r="C113" s="165" t="str">
        <f ca="1">IF($P113="","",INDEX(_Datos!$AE$7:$AE$200,$P113))</f>
        <v/>
      </c>
      <c r="D113" s="162" t="str">
        <f ca="1">IF($P113="","",INDEX(_Datos!$F$7:$F$200,$P113))</f>
        <v/>
      </c>
      <c r="E113" s="162" t="str">
        <f ca="1">IF($P113="","",INDEX(_Datos!$G$7:$G$200,$P113))</f>
        <v/>
      </c>
      <c r="F113" s="166" t="str">
        <f ca="1">IF($P113="","",INDEX(_Datos!$H$7:$H$200,$P113))</f>
        <v/>
      </c>
      <c r="G113" s="165" t="str">
        <f ca="1">IF($P113="","",INDEX(_Datos!$J$7:$J$200,$P113))</f>
        <v/>
      </c>
      <c r="H113" s="168" t="str">
        <f ca="1">IF($P113="","",INDEX(_Datos!$K$7:$K$200,$P113))</f>
        <v/>
      </c>
      <c r="I113" s="168" t="str">
        <f ca="1">IF($P113="","",INDEX(_Datos!$S$7:$S$200,$P113))</f>
        <v/>
      </c>
      <c r="J113" s="168" t="str">
        <f ca="1">IF($P113="","",INDEX(_Datos!$T$7:$T$200,$P113))</f>
        <v/>
      </c>
      <c r="K113" s="167" t="str">
        <f ca="1">IF($P113="","",INDEX(_Datos!$V$7:$V$200,$P113))</f>
        <v/>
      </c>
      <c r="L113" s="168" t="str">
        <f ca="1">IF($P113="","",INDEX(_Datos!$W$7:$W$200,$P113))</f>
        <v/>
      </c>
      <c r="M113" s="162" t="str">
        <f ca="1">IF($P113="","",INDEX(_Datos!$AC$7:$AC$200,$P113))</f>
        <v/>
      </c>
      <c r="P113" s="163" t="str">
        <f ca="1">IFERROR(MATCH(LARGE(_Datos!$AJ$7:$AJ$200,ROW()-7+1),_Datos!$AJ$7:$AJ$200,0),"")</f>
        <v/>
      </c>
    </row>
    <row r="114" spans="2:16" hidden="1" x14ac:dyDescent="0.35">
      <c r="B114" s="165" t="str">
        <f ca="1">IF($P114="","",INDEX(_Datos!$AB$7:$AB$200,$P114))</f>
        <v/>
      </c>
      <c r="C114" s="165" t="str">
        <f ca="1">IF($P114="","",INDEX(_Datos!$AE$7:$AE$200,$P114))</f>
        <v/>
      </c>
      <c r="D114" s="162" t="str">
        <f ca="1">IF($P114="","",INDEX(_Datos!$F$7:$F$200,$P114))</f>
        <v/>
      </c>
      <c r="E114" s="162" t="str">
        <f ca="1">IF($P114="","",INDEX(_Datos!$G$7:$G$200,$P114))</f>
        <v/>
      </c>
      <c r="F114" s="166" t="str">
        <f ca="1">IF($P114="","",INDEX(_Datos!$H$7:$H$200,$P114))</f>
        <v/>
      </c>
      <c r="G114" s="165" t="str">
        <f ca="1">IF($P114="","",INDEX(_Datos!$J$7:$J$200,$P114))</f>
        <v/>
      </c>
      <c r="H114" s="168" t="str">
        <f ca="1">IF($P114="","",INDEX(_Datos!$K$7:$K$200,$P114))</f>
        <v/>
      </c>
      <c r="I114" s="168" t="str">
        <f ca="1">IF($P114="","",INDEX(_Datos!$S$7:$S$200,$P114))</f>
        <v/>
      </c>
      <c r="J114" s="168" t="str">
        <f ca="1">IF($P114="","",INDEX(_Datos!$T$7:$T$200,$P114))</f>
        <v/>
      </c>
      <c r="K114" s="167" t="str">
        <f ca="1">IF($P114="","",INDEX(_Datos!$V$7:$V$200,$P114))</f>
        <v/>
      </c>
      <c r="L114" s="168" t="str">
        <f ca="1">IF($P114="","",INDEX(_Datos!$W$7:$W$200,$P114))</f>
        <v/>
      </c>
      <c r="M114" s="162" t="str">
        <f ca="1">IF($P114="","",INDEX(_Datos!$AC$7:$AC$200,$P114))</f>
        <v/>
      </c>
      <c r="P114" s="163" t="str">
        <f ca="1">IFERROR(MATCH(LARGE(_Datos!$AJ$7:$AJ$200,ROW()-7+1),_Datos!$AJ$7:$AJ$200,0),"")</f>
        <v/>
      </c>
    </row>
    <row r="115" spans="2:16" hidden="1" x14ac:dyDescent="0.35">
      <c r="B115" s="165" t="str">
        <f ca="1">IF($P115="","",INDEX(_Datos!$AB$7:$AB$200,$P115))</f>
        <v/>
      </c>
      <c r="C115" s="165" t="str">
        <f ca="1">IF($P115="","",INDEX(_Datos!$AE$7:$AE$200,$P115))</f>
        <v/>
      </c>
      <c r="D115" s="162" t="str">
        <f ca="1">IF($P115="","",INDEX(_Datos!$F$7:$F$200,$P115))</f>
        <v/>
      </c>
      <c r="E115" s="162" t="str">
        <f ca="1">IF($P115="","",INDEX(_Datos!$G$7:$G$200,$P115))</f>
        <v/>
      </c>
      <c r="F115" s="166" t="str">
        <f ca="1">IF($P115="","",INDEX(_Datos!$H$7:$H$200,$P115))</f>
        <v/>
      </c>
      <c r="G115" s="165" t="str">
        <f ca="1">IF($P115="","",INDEX(_Datos!$J$7:$J$200,$P115))</f>
        <v/>
      </c>
      <c r="H115" s="168" t="str">
        <f ca="1">IF($P115="","",INDEX(_Datos!$K$7:$K$200,$P115))</f>
        <v/>
      </c>
      <c r="I115" s="168" t="str">
        <f ca="1">IF($P115="","",INDEX(_Datos!$S$7:$S$200,$P115))</f>
        <v/>
      </c>
      <c r="J115" s="168" t="str">
        <f ca="1">IF($P115="","",INDEX(_Datos!$T$7:$T$200,$P115))</f>
        <v/>
      </c>
      <c r="K115" s="167" t="str">
        <f ca="1">IF($P115="","",INDEX(_Datos!$V$7:$V$200,$P115))</f>
        <v/>
      </c>
      <c r="L115" s="168" t="str">
        <f ca="1">IF($P115="","",INDEX(_Datos!$W$7:$W$200,$P115))</f>
        <v/>
      </c>
      <c r="M115" s="162" t="str">
        <f ca="1">IF($P115="","",INDEX(_Datos!$AC$7:$AC$200,$P115))</f>
        <v/>
      </c>
      <c r="P115" s="163" t="str">
        <f ca="1">IFERROR(MATCH(LARGE(_Datos!$AJ$7:$AJ$200,ROW()-7+1),_Datos!$AJ$7:$AJ$200,0),"")</f>
        <v/>
      </c>
    </row>
    <row r="116" spans="2:16" hidden="1" x14ac:dyDescent="0.35">
      <c r="B116" s="165" t="str">
        <f ca="1">IF($P116="","",INDEX(_Datos!$AB$7:$AB$200,$P116))</f>
        <v/>
      </c>
      <c r="C116" s="165" t="str">
        <f ca="1">IF($P116="","",INDEX(_Datos!$AE$7:$AE$200,$P116))</f>
        <v/>
      </c>
      <c r="D116" s="162" t="str">
        <f ca="1">IF($P116="","",INDEX(_Datos!$F$7:$F$200,$P116))</f>
        <v/>
      </c>
      <c r="E116" s="162" t="str">
        <f ca="1">IF($P116="","",INDEX(_Datos!$G$7:$G$200,$P116))</f>
        <v/>
      </c>
      <c r="F116" s="166" t="str">
        <f ca="1">IF($P116="","",INDEX(_Datos!$H$7:$H$200,$P116))</f>
        <v/>
      </c>
      <c r="G116" s="165" t="str">
        <f ca="1">IF($P116="","",INDEX(_Datos!$J$7:$J$200,$P116))</f>
        <v/>
      </c>
      <c r="H116" s="168" t="str">
        <f ca="1">IF($P116="","",INDEX(_Datos!$K$7:$K$200,$P116))</f>
        <v/>
      </c>
      <c r="I116" s="168" t="str">
        <f ca="1">IF($P116="","",INDEX(_Datos!$S$7:$S$200,$P116))</f>
        <v/>
      </c>
      <c r="J116" s="168" t="str">
        <f ca="1">IF($P116="","",INDEX(_Datos!$T$7:$T$200,$P116))</f>
        <v/>
      </c>
      <c r="K116" s="167" t="str">
        <f ca="1">IF($P116="","",INDEX(_Datos!$V$7:$V$200,$P116))</f>
        <v/>
      </c>
      <c r="L116" s="168" t="str">
        <f ca="1">IF($P116="","",INDEX(_Datos!$W$7:$W$200,$P116))</f>
        <v/>
      </c>
      <c r="M116" s="162" t="str">
        <f ca="1">IF($P116="","",INDEX(_Datos!$AC$7:$AC$200,$P116))</f>
        <v/>
      </c>
      <c r="P116" s="163" t="str">
        <f ca="1">IFERROR(MATCH(LARGE(_Datos!$AJ$7:$AJ$200,ROW()-7+1),_Datos!$AJ$7:$AJ$200,0),"")</f>
        <v/>
      </c>
    </row>
    <row r="117" spans="2:16" hidden="1" x14ac:dyDescent="0.35">
      <c r="B117" s="165" t="str">
        <f ca="1">IF($P117="","",INDEX(_Datos!$AB$7:$AB$200,$P117))</f>
        <v/>
      </c>
      <c r="C117" s="165" t="str">
        <f ca="1">IF($P117="","",INDEX(_Datos!$AE$7:$AE$200,$P117))</f>
        <v/>
      </c>
      <c r="D117" s="162" t="str">
        <f ca="1">IF($P117="","",INDEX(_Datos!$F$7:$F$200,$P117))</f>
        <v/>
      </c>
      <c r="E117" s="162" t="str">
        <f ca="1">IF($P117="","",INDEX(_Datos!$G$7:$G$200,$P117))</f>
        <v/>
      </c>
      <c r="F117" s="166" t="str">
        <f ca="1">IF($P117="","",INDEX(_Datos!$H$7:$H$200,$P117))</f>
        <v/>
      </c>
      <c r="G117" s="165" t="str">
        <f ca="1">IF($P117="","",INDEX(_Datos!$J$7:$J$200,$P117))</f>
        <v/>
      </c>
      <c r="H117" s="168" t="str">
        <f ca="1">IF($P117="","",INDEX(_Datos!$K$7:$K$200,$P117))</f>
        <v/>
      </c>
      <c r="I117" s="168" t="str">
        <f ca="1">IF($P117="","",INDEX(_Datos!$S$7:$S$200,$P117))</f>
        <v/>
      </c>
      <c r="J117" s="168" t="str">
        <f ca="1">IF($P117="","",INDEX(_Datos!$T$7:$T$200,$P117))</f>
        <v/>
      </c>
      <c r="K117" s="167" t="str">
        <f ca="1">IF($P117="","",INDEX(_Datos!$V$7:$V$200,$P117))</f>
        <v/>
      </c>
      <c r="L117" s="168" t="str">
        <f ca="1">IF($P117="","",INDEX(_Datos!$W$7:$W$200,$P117))</f>
        <v/>
      </c>
      <c r="M117" s="162" t="str">
        <f ca="1">IF($P117="","",INDEX(_Datos!$AC$7:$AC$200,$P117))</f>
        <v/>
      </c>
      <c r="P117" s="163" t="str">
        <f ca="1">IFERROR(MATCH(LARGE(_Datos!$AJ$7:$AJ$200,ROW()-7+1),_Datos!$AJ$7:$AJ$200,0),"")</f>
        <v/>
      </c>
    </row>
    <row r="118" spans="2:16" hidden="1" x14ac:dyDescent="0.35">
      <c r="B118" s="165" t="str">
        <f ca="1">IF($P118="","",INDEX(_Datos!$AB$7:$AB$200,$P118))</f>
        <v/>
      </c>
      <c r="C118" s="165" t="str">
        <f ca="1">IF($P118="","",INDEX(_Datos!$AE$7:$AE$200,$P118))</f>
        <v/>
      </c>
      <c r="D118" s="162" t="str">
        <f ca="1">IF($P118="","",INDEX(_Datos!$F$7:$F$200,$P118))</f>
        <v/>
      </c>
      <c r="E118" s="162" t="str">
        <f ca="1">IF($P118="","",INDEX(_Datos!$G$7:$G$200,$P118))</f>
        <v/>
      </c>
      <c r="F118" s="166" t="str">
        <f ca="1">IF($P118="","",INDEX(_Datos!$H$7:$H$200,$P118))</f>
        <v/>
      </c>
      <c r="G118" s="165" t="str">
        <f ca="1">IF($P118="","",INDEX(_Datos!$J$7:$J$200,$P118))</f>
        <v/>
      </c>
      <c r="H118" s="168" t="str">
        <f ca="1">IF($P118="","",INDEX(_Datos!$K$7:$K$200,$P118))</f>
        <v/>
      </c>
      <c r="I118" s="168" t="str">
        <f ca="1">IF($P118="","",INDEX(_Datos!$S$7:$S$200,$P118))</f>
        <v/>
      </c>
      <c r="J118" s="168" t="str">
        <f ca="1">IF($P118="","",INDEX(_Datos!$T$7:$T$200,$P118))</f>
        <v/>
      </c>
      <c r="K118" s="167" t="str">
        <f ca="1">IF($P118="","",INDEX(_Datos!$V$7:$V$200,$P118))</f>
        <v/>
      </c>
      <c r="L118" s="168" t="str">
        <f ca="1">IF($P118="","",INDEX(_Datos!$W$7:$W$200,$P118))</f>
        <v/>
      </c>
      <c r="M118" s="162" t="str">
        <f ca="1">IF($P118="","",INDEX(_Datos!$AC$7:$AC$200,$P118))</f>
        <v/>
      </c>
      <c r="P118" s="163" t="str">
        <f ca="1">IFERROR(MATCH(LARGE(_Datos!$AJ$7:$AJ$200,ROW()-7+1),_Datos!$AJ$7:$AJ$200,0),"")</f>
        <v/>
      </c>
    </row>
    <row r="119" spans="2:16" hidden="1" x14ac:dyDescent="0.35">
      <c r="B119" s="165" t="str">
        <f ca="1">IF($P119="","",INDEX(_Datos!$AB$7:$AB$200,$P119))</f>
        <v/>
      </c>
      <c r="C119" s="165" t="str">
        <f ca="1">IF($P119="","",INDEX(_Datos!$AE$7:$AE$200,$P119))</f>
        <v/>
      </c>
      <c r="D119" s="162" t="str">
        <f ca="1">IF($P119="","",INDEX(_Datos!$F$7:$F$200,$P119))</f>
        <v/>
      </c>
      <c r="E119" s="162" t="str">
        <f ca="1">IF($P119="","",INDEX(_Datos!$G$7:$G$200,$P119))</f>
        <v/>
      </c>
      <c r="F119" s="166" t="str">
        <f ca="1">IF($P119="","",INDEX(_Datos!$H$7:$H$200,$P119))</f>
        <v/>
      </c>
      <c r="G119" s="165" t="str">
        <f ca="1">IF($P119="","",INDEX(_Datos!$J$7:$J$200,$P119))</f>
        <v/>
      </c>
      <c r="H119" s="168" t="str">
        <f ca="1">IF($P119="","",INDEX(_Datos!$K$7:$K$200,$P119))</f>
        <v/>
      </c>
      <c r="I119" s="168" t="str">
        <f ca="1">IF($P119="","",INDEX(_Datos!$S$7:$S$200,$P119))</f>
        <v/>
      </c>
      <c r="J119" s="168" t="str">
        <f ca="1">IF($P119="","",INDEX(_Datos!$T$7:$T$200,$P119))</f>
        <v/>
      </c>
      <c r="K119" s="167" t="str">
        <f ca="1">IF($P119="","",INDEX(_Datos!$V$7:$V$200,$P119))</f>
        <v/>
      </c>
      <c r="L119" s="168" t="str">
        <f ca="1">IF($P119="","",INDEX(_Datos!$W$7:$W$200,$P119))</f>
        <v/>
      </c>
      <c r="M119" s="162" t="str">
        <f ca="1">IF($P119="","",INDEX(_Datos!$AC$7:$AC$200,$P119))</f>
        <v/>
      </c>
      <c r="P119" s="163" t="str">
        <f ca="1">IFERROR(MATCH(LARGE(_Datos!$AJ$7:$AJ$200,ROW()-7+1),_Datos!$AJ$7:$AJ$200,0),"")</f>
        <v/>
      </c>
    </row>
    <row r="120" spans="2:16" hidden="1" x14ac:dyDescent="0.35">
      <c r="B120" s="165" t="str">
        <f ca="1">IF($P120="","",INDEX(_Datos!$AB$7:$AB$200,$P120))</f>
        <v/>
      </c>
      <c r="C120" s="165" t="str">
        <f ca="1">IF($P120="","",INDEX(_Datos!$AE$7:$AE$200,$P120))</f>
        <v/>
      </c>
      <c r="D120" s="162" t="str">
        <f ca="1">IF($P120="","",INDEX(_Datos!$F$7:$F$200,$P120))</f>
        <v/>
      </c>
      <c r="E120" s="162" t="str">
        <f ca="1">IF($P120="","",INDEX(_Datos!$G$7:$G$200,$P120))</f>
        <v/>
      </c>
      <c r="F120" s="166" t="str">
        <f ca="1">IF($P120="","",INDEX(_Datos!$H$7:$H$200,$P120))</f>
        <v/>
      </c>
      <c r="G120" s="165" t="str">
        <f ca="1">IF($P120="","",INDEX(_Datos!$J$7:$J$200,$P120))</f>
        <v/>
      </c>
      <c r="H120" s="168" t="str">
        <f ca="1">IF($P120="","",INDEX(_Datos!$K$7:$K$200,$P120))</f>
        <v/>
      </c>
      <c r="I120" s="168" t="str">
        <f ca="1">IF($P120="","",INDEX(_Datos!$S$7:$S$200,$P120))</f>
        <v/>
      </c>
      <c r="J120" s="168" t="str">
        <f ca="1">IF($P120="","",INDEX(_Datos!$T$7:$T$200,$P120))</f>
        <v/>
      </c>
      <c r="K120" s="167" t="str">
        <f ca="1">IF($P120="","",INDEX(_Datos!$V$7:$V$200,$P120))</f>
        <v/>
      </c>
      <c r="L120" s="168" t="str">
        <f ca="1">IF($P120="","",INDEX(_Datos!$W$7:$W$200,$P120))</f>
        <v/>
      </c>
      <c r="M120" s="162" t="str">
        <f ca="1">IF($P120="","",INDEX(_Datos!$AC$7:$AC$200,$P120))</f>
        <v/>
      </c>
      <c r="P120" s="163" t="str">
        <f ca="1">IFERROR(MATCH(LARGE(_Datos!$AJ$7:$AJ$200,ROW()-7+1),_Datos!$AJ$7:$AJ$200,0),"")</f>
        <v/>
      </c>
    </row>
    <row r="121" spans="2:16" hidden="1" x14ac:dyDescent="0.35">
      <c r="B121" s="165" t="str">
        <f ca="1">IF($P121="","",INDEX(_Datos!$AB$7:$AB$200,$P121))</f>
        <v/>
      </c>
      <c r="C121" s="165" t="str">
        <f ca="1">IF($P121="","",INDEX(_Datos!$AE$7:$AE$200,$P121))</f>
        <v/>
      </c>
      <c r="D121" s="162" t="str">
        <f ca="1">IF($P121="","",INDEX(_Datos!$F$7:$F$200,$P121))</f>
        <v/>
      </c>
      <c r="E121" s="162" t="str">
        <f ca="1">IF($P121="","",INDEX(_Datos!$G$7:$G$200,$P121))</f>
        <v/>
      </c>
      <c r="F121" s="166" t="str">
        <f ca="1">IF($P121="","",INDEX(_Datos!$H$7:$H$200,$P121))</f>
        <v/>
      </c>
      <c r="G121" s="165" t="str">
        <f ca="1">IF($P121="","",INDEX(_Datos!$J$7:$J$200,$P121))</f>
        <v/>
      </c>
      <c r="H121" s="168" t="str">
        <f ca="1">IF($P121="","",INDEX(_Datos!$K$7:$K$200,$P121))</f>
        <v/>
      </c>
      <c r="I121" s="168" t="str">
        <f ca="1">IF($P121="","",INDEX(_Datos!$S$7:$S$200,$P121))</f>
        <v/>
      </c>
      <c r="J121" s="168" t="str">
        <f ca="1">IF($P121="","",INDEX(_Datos!$T$7:$T$200,$P121))</f>
        <v/>
      </c>
      <c r="K121" s="167" t="str">
        <f ca="1">IF($P121="","",INDEX(_Datos!$V$7:$V$200,$P121))</f>
        <v/>
      </c>
      <c r="L121" s="168" t="str">
        <f ca="1">IF($P121="","",INDEX(_Datos!$W$7:$W$200,$P121))</f>
        <v/>
      </c>
      <c r="M121" s="162" t="str">
        <f ca="1">IF($P121="","",INDEX(_Datos!$AC$7:$AC$200,$P121))</f>
        <v/>
      </c>
      <c r="P121" s="163" t="str">
        <f ca="1">IFERROR(MATCH(LARGE(_Datos!$AJ$7:$AJ$200,ROW()-7+1),_Datos!$AJ$7:$AJ$200,0),"")</f>
        <v/>
      </c>
    </row>
    <row r="122" spans="2:16" hidden="1" x14ac:dyDescent="0.35">
      <c r="B122" s="165" t="str">
        <f ca="1">IF($P122="","",INDEX(_Datos!$AB$7:$AB$200,$P122))</f>
        <v/>
      </c>
      <c r="C122" s="165" t="str">
        <f ca="1">IF($P122="","",INDEX(_Datos!$AE$7:$AE$200,$P122))</f>
        <v/>
      </c>
      <c r="D122" s="162" t="str">
        <f ca="1">IF($P122="","",INDEX(_Datos!$F$7:$F$200,$P122))</f>
        <v/>
      </c>
      <c r="E122" s="162" t="str">
        <f ca="1">IF($P122="","",INDEX(_Datos!$G$7:$G$200,$P122))</f>
        <v/>
      </c>
      <c r="F122" s="166" t="str">
        <f ca="1">IF($P122="","",INDEX(_Datos!$H$7:$H$200,$P122))</f>
        <v/>
      </c>
      <c r="G122" s="165" t="str">
        <f ca="1">IF($P122="","",INDEX(_Datos!$J$7:$J$200,$P122))</f>
        <v/>
      </c>
      <c r="H122" s="168" t="str">
        <f ca="1">IF($P122="","",INDEX(_Datos!$K$7:$K$200,$P122))</f>
        <v/>
      </c>
      <c r="I122" s="168" t="str">
        <f ca="1">IF($P122="","",INDEX(_Datos!$S$7:$S$200,$P122))</f>
        <v/>
      </c>
      <c r="J122" s="168" t="str">
        <f ca="1">IF($P122="","",INDEX(_Datos!$T$7:$T$200,$P122))</f>
        <v/>
      </c>
      <c r="K122" s="167" t="str">
        <f ca="1">IF($P122="","",INDEX(_Datos!$V$7:$V$200,$P122))</f>
        <v/>
      </c>
      <c r="L122" s="168" t="str">
        <f ca="1">IF($P122="","",INDEX(_Datos!$W$7:$W$200,$P122))</f>
        <v/>
      </c>
      <c r="M122" s="162" t="str">
        <f ca="1">IF($P122="","",INDEX(_Datos!$AC$7:$AC$200,$P122))</f>
        <v/>
      </c>
      <c r="P122" s="163" t="str">
        <f ca="1">IFERROR(MATCH(LARGE(_Datos!$AJ$7:$AJ$200,ROW()-7+1),_Datos!$AJ$7:$AJ$200,0),"")</f>
        <v/>
      </c>
    </row>
    <row r="123" spans="2:16" hidden="1" x14ac:dyDescent="0.35">
      <c r="B123" s="165" t="str">
        <f ca="1">IF($P123="","",INDEX(_Datos!$AB$7:$AB$200,$P123))</f>
        <v/>
      </c>
      <c r="C123" s="165" t="str">
        <f ca="1">IF($P123="","",INDEX(_Datos!$AE$7:$AE$200,$P123))</f>
        <v/>
      </c>
      <c r="D123" s="162" t="str">
        <f ca="1">IF($P123="","",INDEX(_Datos!$F$7:$F$200,$P123))</f>
        <v/>
      </c>
      <c r="E123" s="162" t="str">
        <f ca="1">IF($P123="","",INDEX(_Datos!$G$7:$G$200,$P123))</f>
        <v/>
      </c>
      <c r="F123" s="166" t="str">
        <f ca="1">IF($P123="","",INDEX(_Datos!$H$7:$H$200,$P123))</f>
        <v/>
      </c>
      <c r="G123" s="165" t="str">
        <f ca="1">IF($P123="","",INDEX(_Datos!$J$7:$J$200,$P123))</f>
        <v/>
      </c>
      <c r="H123" s="168" t="str">
        <f ca="1">IF($P123="","",INDEX(_Datos!$K$7:$K$200,$P123))</f>
        <v/>
      </c>
      <c r="I123" s="168" t="str">
        <f ca="1">IF($P123="","",INDEX(_Datos!$S$7:$S$200,$P123))</f>
        <v/>
      </c>
      <c r="J123" s="168" t="str">
        <f ca="1">IF($P123="","",INDEX(_Datos!$T$7:$T$200,$P123))</f>
        <v/>
      </c>
      <c r="K123" s="167" t="str">
        <f ca="1">IF($P123="","",INDEX(_Datos!$V$7:$V$200,$P123))</f>
        <v/>
      </c>
      <c r="L123" s="168" t="str">
        <f ca="1">IF($P123="","",INDEX(_Datos!$W$7:$W$200,$P123))</f>
        <v/>
      </c>
      <c r="M123" s="162" t="str">
        <f ca="1">IF($P123="","",INDEX(_Datos!$AC$7:$AC$200,$P123))</f>
        <v/>
      </c>
      <c r="P123" s="163" t="str">
        <f ca="1">IFERROR(MATCH(LARGE(_Datos!$AJ$7:$AJ$200,ROW()-7+1),_Datos!$AJ$7:$AJ$200,0),"")</f>
        <v/>
      </c>
    </row>
    <row r="124" spans="2:16" hidden="1" x14ac:dyDescent="0.35">
      <c r="B124" s="165" t="str">
        <f ca="1">IF($P124="","",INDEX(_Datos!$AB$7:$AB$200,$P124))</f>
        <v/>
      </c>
      <c r="C124" s="165" t="str">
        <f ca="1">IF($P124="","",INDEX(_Datos!$AE$7:$AE$200,$P124))</f>
        <v/>
      </c>
      <c r="D124" s="162" t="str">
        <f ca="1">IF($P124="","",INDEX(_Datos!$F$7:$F$200,$P124))</f>
        <v/>
      </c>
      <c r="E124" s="162" t="str">
        <f ca="1">IF($P124="","",INDEX(_Datos!$G$7:$G$200,$P124))</f>
        <v/>
      </c>
      <c r="F124" s="166" t="str">
        <f ca="1">IF($P124="","",INDEX(_Datos!$H$7:$H$200,$P124))</f>
        <v/>
      </c>
      <c r="G124" s="165" t="str">
        <f ca="1">IF($P124="","",INDEX(_Datos!$J$7:$J$200,$P124))</f>
        <v/>
      </c>
      <c r="H124" s="168" t="str">
        <f ca="1">IF($P124="","",INDEX(_Datos!$K$7:$K$200,$P124))</f>
        <v/>
      </c>
      <c r="I124" s="168" t="str">
        <f ca="1">IF($P124="","",INDEX(_Datos!$S$7:$S$200,$P124))</f>
        <v/>
      </c>
      <c r="J124" s="168" t="str">
        <f ca="1">IF($P124="","",INDEX(_Datos!$T$7:$T$200,$P124))</f>
        <v/>
      </c>
      <c r="K124" s="167" t="str">
        <f ca="1">IF($P124="","",INDEX(_Datos!$V$7:$V$200,$P124))</f>
        <v/>
      </c>
      <c r="L124" s="168" t="str">
        <f ca="1">IF($P124="","",INDEX(_Datos!$W$7:$W$200,$P124))</f>
        <v/>
      </c>
      <c r="M124" s="162" t="str">
        <f ca="1">IF($P124="","",INDEX(_Datos!$AC$7:$AC$200,$P124))</f>
        <v/>
      </c>
      <c r="P124" s="163" t="str">
        <f ca="1">IFERROR(MATCH(LARGE(_Datos!$AJ$7:$AJ$200,ROW()-7+1),_Datos!$AJ$7:$AJ$200,0),"")</f>
        <v/>
      </c>
    </row>
    <row r="125" spans="2:16" hidden="1" x14ac:dyDescent="0.35">
      <c r="B125" s="165" t="str">
        <f ca="1">IF($P125="","",INDEX(_Datos!$AB$7:$AB$200,$P125))</f>
        <v/>
      </c>
      <c r="C125" s="165" t="str">
        <f ca="1">IF($P125="","",INDEX(_Datos!$AE$7:$AE$200,$P125))</f>
        <v/>
      </c>
      <c r="D125" s="162" t="str">
        <f ca="1">IF($P125="","",INDEX(_Datos!$F$7:$F$200,$P125))</f>
        <v/>
      </c>
      <c r="E125" s="162" t="str">
        <f ca="1">IF($P125="","",INDEX(_Datos!$G$7:$G$200,$P125))</f>
        <v/>
      </c>
      <c r="F125" s="166" t="str">
        <f ca="1">IF($P125="","",INDEX(_Datos!$H$7:$H$200,$P125))</f>
        <v/>
      </c>
      <c r="G125" s="165" t="str">
        <f ca="1">IF($P125="","",INDEX(_Datos!$J$7:$J$200,$P125))</f>
        <v/>
      </c>
      <c r="H125" s="168" t="str">
        <f ca="1">IF($P125="","",INDEX(_Datos!$K$7:$K$200,$P125))</f>
        <v/>
      </c>
      <c r="I125" s="168" t="str">
        <f ca="1">IF($P125="","",INDEX(_Datos!$S$7:$S$200,$P125))</f>
        <v/>
      </c>
      <c r="J125" s="168" t="str">
        <f ca="1">IF($P125="","",INDEX(_Datos!$T$7:$T$200,$P125))</f>
        <v/>
      </c>
      <c r="K125" s="167" t="str">
        <f ca="1">IF($P125="","",INDEX(_Datos!$V$7:$V$200,$P125))</f>
        <v/>
      </c>
      <c r="L125" s="168" t="str">
        <f ca="1">IF($P125="","",INDEX(_Datos!$W$7:$W$200,$P125))</f>
        <v/>
      </c>
      <c r="M125" s="162" t="str">
        <f ca="1">IF($P125="","",INDEX(_Datos!$AC$7:$AC$200,$P125))</f>
        <v/>
      </c>
      <c r="P125" s="163" t="str">
        <f ca="1">IFERROR(MATCH(LARGE(_Datos!$AJ$7:$AJ$200,ROW()-7+1),_Datos!$AJ$7:$AJ$200,0),"")</f>
        <v/>
      </c>
    </row>
    <row r="126" spans="2:16" hidden="1" x14ac:dyDescent="0.35">
      <c r="B126" s="165" t="str">
        <f ca="1">IF($P126="","",INDEX(_Datos!$AB$7:$AB$200,$P126))</f>
        <v/>
      </c>
      <c r="C126" s="165" t="str">
        <f ca="1">IF($P126="","",INDEX(_Datos!$AE$7:$AE$200,$P126))</f>
        <v/>
      </c>
      <c r="D126" s="162" t="str">
        <f ca="1">IF($P126="","",INDEX(_Datos!$F$7:$F$200,$P126))</f>
        <v/>
      </c>
      <c r="E126" s="162" t="str">
        <f ca="1">IF($P126="","",INDEX(_Datos!$G$7:$G$200,$P126))</f>
        <v/>
      </c>
      <c r="F126" s="166" t="str">
        <f ca="1">IF($P126="","",INDEX(_Datos!$H$7:$H$200,$P126))</f>
        <v/>
      </c>
      <c r="G126" s="165" t="str">
        <f ca="1">IF($P126="","",INDEX(_Datos!$J$7:$J$200,$P126))</f>
        <v/>
      </c>
      <c r="H126" s="168" t="str">
        <f ca="1">IF($P126="","",INDEX(_Datos!$K$7:$K$200,$P126))</f>
        <v/>
      </c>
      <c r="I126" s="168" t="str">
        <f ca="1">IF($P126="","",INDEX(_Datos!$S$7:$S$200,$P126))</f>
        <v/>
      </c>
      <c r="J126" s="168" t="str">
        <f ca="1">IF($P126="","",INDEX(_Datos!$T$7:$T$200,$P126))</f>
        <v/>
      </c>
      <c r="K126" s="167" t="str">
        <f ca="1">IF($P126="","",INDEX(_Datos!$V$7:$V$200,$P126))</f>
        <v/>
      </c>
      <c r="L126" s="168" t="str">
        <f ca="1">IF($P126="","",INDEX(_Datos!$W$7:$W$200,$P126))</f>
        <v/>
      </c>
      <c r="M126" s="162" t="str">
        <f ca="1">IF($P126="","",INDEX(_Datos!$AC$7:$AC$200,$P126))</f>
        <v/>
      </c>
      <c r="P126" s="163" t="str">
        <f ca="1">IFERROR(MATCH(LARGE(_Datos!$AJ$7:$AJ$200,ROW()-7+1),_Datos!$AJ$7:$AJ$200,0),"")</f>
        <v/>
      </c>
    </row>
    <row r="127" spans="2:16" hidden="1" x14ac:dyDescent="0.35">
      <c r="B127" s="165" t="str">
        <f ca="1">IF($P127="","",INDEX(_Datos!$AB$7:$AB$200,$P127))</f>
        <v/>
      </c>
      <c r="C127" s="165" t="str">
        <f ca="1">IF($P127="","",INDEX(_Datos!$AE$7:$AE$200,$P127))</f>
        <v/>
      </c>
      <c r="D127" s="162" t="str">
        <f ca="1">IF($P127="","",INDEX(_Datos!$F$7:$F$200,$P127))</f>
        <v/>
      </c>
      <c r="E127" s="162" t="str">
        <f ca="1">IF($P127="","",INDEX(_Datos!$G$7:$G$200,$P127))</f>
        <v/>
      </c>
      <c r="F127" s="166" t="str">
        <f ca="1">IF($P127="","",INDEX(_Datos!$H$7:$H$200,$P127))</f>
        <v/>
      </c>
      <c r="G127" s="165" t="str">
        <f ca="1">IF($P127="","",INDEX(_Datos!$J$7:$J$200,$P127))</f>
        <v/>
      </c>
      <c r="H127" s="168" t="str">
        <f ca="1">IF($P127="","",INDEX(_Datos!$K$7:$K$200,$P127))</f>
        <v/>
      </c>
      <c r="I127" s="168" t="str">
        <f ca="1">IF($P127="","",INDEX(_Datos!$S$7:$S$200,$P127))</f>
        <v/>
      </c>
      <c r="J127" s="168" t="str">
        <f ca="1">IF($P127="","",INDEX(_Datos!$T$7:$T$200,$P127))</f>
        <v/>
      </c>
      <c r="K127" s="167" t="str">
        <f ca="1">IF($P127="","",INDEX(_Datos!$V$7:$V$200,$P127))</f>
        <v/>
      </c>
      <c r="L127" s="168" t="str">
        <f ca="1">IF($P127="","",INDEX(_Datos!$W$7:$W$200,$P127))</f>
        <v/>
      </c>
      <c r="M127" s="162" t="str">
        <f ca="1">IF($P127="","",INDEX(_Datos!$AC$7:$AC$200,$P127))</f>
        <v/>
      </c>
      <c r="P127" s="163" t="str">
        <f ca="1">IFERROR(MATCH(LARGE(_Datos!$AJ$7:$AJ$200,ROW()-7+1),_Datos!$AJ$7:$AJ$200,0),"")</f>
        <v/>
      </c>
    </row>
    <row r="128" spans="2:16" hidden="1" x14ac:dyDescent="0.35">
      <c r="B128" s="165" t="str">
        <f ca="1">IF($P128="","",INDEX(_Datos!$AB$7:$AB$200,$P128))</f>
        <v/>
      </c>
      <c r="C128" s="165" t="str">
        <f ca="1">IF($P128="","",INDEX(_Datos!$AE$7:$AE$200,$P128))</f>
        <v/>
      </c>
      <c r="D128" s="162" t="str">
        <f ca="1">IF($P128="","",INDEX(_Datos!$F$7:$F$200,$P128))</f>
        <v/>
      </c>
      <c r="E128" s="162" t="str">
        <f ca="1">IF($P128="","",INDEX(_Datos!$G$7:$G$200,$P128))</f>
        <v/>
      </c>
      <c r="F128" s="166" t="str">
        <f ca="1">IF($P128="","",INDEX(_Datos!$H$7:$H$200,$P128))</f>
        <v/>
      </c>
      <c r="G128" s="165" t="str">
        <f ca="1">IF($P128="","",INDEX(_Datos!$J$7:$J$200,$P128))</f>
        <v/>
      </c>
      <c r="H128" s="168" t="str">
        <f ca="1">IF($P128="","",INDEX(_Datos!$K$7:$K$200,$P128))</f>
        <v/>
      </c>
      <c r="I128" s="168" t="str">
        <f ca="1">IF($P128="","",INDEX(_Datos!$S$7:$S$200,$P128))</f>
        <v/>
      </c>
      <c r="J128" s="168" t="str">
        <f ca="1">IF($P128="","",INDEX(_Datos!$T$7:$T$200,$P128))</f>
        <v/>
      </c>
      <c r="K128" s="167" t="str">
        <f ca="1">IF($P128="","",INDEX(_Datos!$V$7:$V$200,$P128))</f>
        <v/>
      </c>
      <c r="L128" s="168" t="str">
        <f ca="1">IF($P128="","",INDEX(_Datos!$W$7:$W$200,$P128))</f>
        <v/>
      </c>
      <c r="M128" s="162" t="str">
        <f ca="1">IF($P128="","",INDEX(_Datos!$AC$7:$AC$200,$P128))</f>
        <v/>
      </c>
      <c r="P128" s="163" t="str">
        <f ca="1">IFERROR(MATCH(LARGE(_Datos!$AJ$7:$AJ$200,ROW()-7+1),_Datos!$AJ$7:$AJ$200,0),"")</f>
        <v/>
      </c>
    </row>
    <row r="129" spans="2:16" hidden="1" x14ac:dyDescent="0.35">
      <c r="B129" s="165" t="str">
        <f ca="1">IF($P129="","",INDEX(_Datos!$AB$7:$AB$200,$P129))</f>
        <v/>
      </c>
      <c r="C129" s="165" t="str">
        <f ca="1">IF($P129="","",INDEX(_Datos!$AE$7:$AE$200,$P129))</f>
        <v/>
      </c>
      <c r="D129" s="162" t="str">
        <f ca="1">IF($P129="","",INDEX(_Datos!$F$7:$F$200,$P129))</f>
        <v/>
      </c>
      <c r="E129" s="162" t="str">
        <f ca="1">IF($P129="","",INDEX(_Datos!$G$7:$G$200,$P129))</f>
        <v/>
      </c>
      <c r="F129" s="166" t="str">
        <f ca="1">IF($P129="","",INDEX(_Datos!$H$7:$H$200,$P129))</f>
        <v/>
      </c>
      <c r="G129" s="165" t="str">
        <f ca="1">IF($P129="","",INDEX(_Datos!$J$7:$J$200,$P129))</f>
        <v/>
      </c>
      <c r="H129" s="168" t="str">
        <f ca="1">IF($P129="","",INDEX(_Datos!$K$7:$K$200,$P129))</f>
        <v/>
      </c>
      <c r="I129" s="168" t="str">
        <f ca="1">IF($P129="","",INDEX(_Datos!$S$7:$S$200,$P129))</f>
        <v/>
      </c>
      <c r="J129" s="168" t="str">
        <f ca="1">IF($P129="","",INDEX(_Datos!$T$7:$T$200,$P129))</f>
        <v/>
      </c>
      <c r="K129" s="167" t="str">
        <f ca="1">IF($P129="","",INDEX(_Datos!$V$7:$V$200,$P129))</f>
        <v/>
      </c>
      <c r="L129" s="168" t="str">
        <f ca="1">IF($P129="","",INDEX(_Datos!$W$7:$W$200,$P129))</f>
        <v/>
      </c>
      <c r="M129" s="162" t="str">
        <f ca="1">IF($P129="","",INDEX(_Datos!$AC$7:$AC$200,$P129))</f>
        <v/>
      </c>
      <c r="P129" s="163" t="str">
        <f ca="1">IFERROR(MATCH(LARGE(_Datos!$AJ$7:$AJ$200,ROW()-7+1),_Datos!$AJ$7:$AJ$200,0),"")</f>
        <v/>
      </c>
    </row>
    <row r="130" spans="2:16" hidden="1" x14ac:dyDescent="0.35">
      <c r="B130" s="165" t="str">
        <f ca="1">IF($P130="","",INDEX(_Datos!$AB$7:$AB$200,$P130))</f>
        <v/>
      </c>
      <c r="C130" s="165" t="str">
        <f ca="1">IF($P130="","",INDEX(_Datos!$AE$7:$AE$200,$P130))</f>
        <v/>
      </c>
      <c r="D130" s="162" t="str">
        <f ca="1">IF($P130="","",INDEX(_Datos!$F$7:$F$200,$P130))</f>
        <v/>
      </c>
      <c r="E130" s="162" t="str">
        <f ca="1">IF($P130="","",INDEX(_Datos!$G$7:$G$200,$P130))</f>
        <v/>
      </c>
      <c r="F130" s="166" t="str">
        <f ca="1">IF($P130="","",INDEX(_Datos!$H$7:$H$200,$P130))</f>
        <v/>
      </c>
      <c r="G130" s="165" t="str">
        <f ca="1">IF($P130="","",INDEX(_Datos!$J$7:$J$200,$P130))</f>
        <v/>
      </c>
      <c r="H130" s="168" t="str">
        <f ca="1">IF($P130="","",INDEX(_Datos!$K$7:$K$200,$P130))</f>
        <v/>
      </c>
      <c r="I130" s="168" t="str">
        <f ca="1">IF($P130="","",INDEX(_Datos!$S$7:$S$200,$P130))</f>
        <v/>
      </c>
      <c r="J130" s="168" t="str">
        <f ca="1">IF($P130="","",INDEX(_Datos!$T$7:$T$200,$P130))</f>
        <v/>
      </c>
      <c r="K130" s="167" t="str">
        <f ca="1">IF($P130="","",INDEX(_Datos!$V$7:$V$200,$P130))</f>
        <v/>
      </c>
      <c r="L130" s="168" t="str">
        <f ca="1">IF($P130="","",INDEX(_Datos!$W$7:$W$200,$P130))</f>
        <v/>
      </c>
      <c r="M130" s="162" t="str">
        <f ca="1">IF($P130="","",INDEX(_Datos!$AC$7:$AC$200,$P130))</f>
        <v/>
      </c>
      <c r="P130" s="163" t="str">
        <f ca="1">IFERROR(MATCH(LARGE(_Datos!$AJ$7:$AJ$200,ROW()-7+1),_Datos!$AJ$7:$AJ$200,0),"")</f>
        <v/>
      </c>
    </row>
    <row r="131" spans="2:16" hidden="1" x14ac:dyDescent="0.35">
      <c r="B131" s="165" t="str">
        <f ca="1">IF($P131="","",INDEX(_Datos!$AB$7:$AB$200,$P131))</f>
        <v/>
      </c>
      <c r="C131" s="165" t="str">
        <f ca="1">IF($P131="","",INDEX(_Datos!$AE$7:$AE$200,$P131))</f>
        <v/>
      </c>
      <c r="D131" s="162" t="str">
        <f ca="1">IF($P131="","",INDEX(_Datos!$F$7:$F$200,$P131))</f>
        <v/>
      </c>
      <c r="E131" s="162" t="str">
        <f ca="1">IF($P131="","",INDEX(_Datos!$G$7:$G$200,$P131))</f>
        <v/>
      </c>
      <c r="F131" s="166" t="str">
        <f ca="1">IF($P131="","",INDEX(_Datos!$H$7:$H$200,$P131))</f>
        <v/>
      </c>
      <c r="G131" s="165" t="str">
        <f ca="1">IF($P131="","",INDEX(_Datos!$J$7:$J$200,$P131))</f>
        <v/>
      </c>
      <c r="H131" s="168" t="str">
        <f ca="1">IF($P131="","",INDEX(_Datos!$K$7:$K$200,$P131))</f>
        <v/>
      </c>
      <c r="I131" s="168" t="str">
        <f ca="1">IF($P131="","",INDEX(_Datos!$S$7:$S$200,$P131))</f>
        <v/>
      </c>
      <c r="J131" s="168" t="str">
        <f ca="1">IF($P131="","",INDEX(_Datos!$T$7:$T$200,$P131))</f>
        <v/>
      </c>
      <c r="K131" s="167" t="str">
        <f ca="1">IF($P131="","",INDEX(_Datos!$V$7:$V$200,$P131))</f>
        <v/>
      </c>
      <c r="L131" s="168" t="str">
        <f ca="1">IF($P131="","",INDEX(_Datos!$W$7:$W$200,$P131))</f>
        <v/>
      </c>
      <c r="M131" s="162" t="str">
        <f ca="1">IF($P131="","",INDEX(_Datos!$AC$7:$AC$200,$P131))</f>
        <v/>
      </c>
      <c r="P131" s="163" t="str">
        <f ca="1">IFERROR(MATCH(LARGE(_Datos!$AJ$7:$AJ$200,ROW()-7+1),_Datos!$AJ$7:$AJ$200,0),"")</f>
        <v/>
      </c>
    </row>
    <row r="132" spans="2:16" hidden="1" x14ac:dyDescent="0.35">
      <c r="B132" s="165" t="str">
        <f ca="1">IF($P132="","",INDEX(_Datos!$AB$7:$AB$200,$P132))</f>
        <v/>
      </c>
      <c r="C132" s="165" t="str">
        <f ca="1">IF($P132="","",INDEX(_Datos!$AE$7:$AE$200,$P132))</f>
        <v/>
      </c>
      <c r="D132" s="162" t="str">
        <f ca="1">IF($P132="","",INDEX(_Datos!$F$7:$F$200,$P132))</f>
        <v/>
      </c>
      <c r="E132" s="162" t="str">
        <f ca="1">IF($P132="","",INDEX(_Datos!$G$7:$G$200,$P132))</f>
        <v/>
      </c>
      <c r="F132" s="166" t="str">
        <f ca="1">IF($P132="","",INDEX(_Datos!$H$7:$H$200,$P132))</f>
        <v/>
      </c>
      <c r="G132" s="165" t="str">
        <f ca="1">IF($P132="","",INDEX(_Datos!$J$7:$J$200,$P132))</f>
        <v/>
      </c>
      <c r="H132" s="168" t="str">
        <f ca="1">IF($P132="","",INDEX(_Datos!$K$7:$K$200,$P132))</f>
        <v/>
      </c>
      <c r="I132" s="168" t="str">
        <f ca="1">IF($P132="","",INDEX(_Datos!$S$7:$S$200,$P132))</f>
        <v/>
      </c>
      <c r="J132" s="168" t="str">
        <f ca="1">IF($P132="","",INDEX(_Datos!$T$7:$T$200,$P132))</f>
        <v/>
      </c>
      <c r="K132" s="167" t="str">
        <f ca="1">IF($P132="","",INDEX(_Datos!$V$7:$V$200,$P132))</f>
        <v/>
      </c>
      <c r="L132" s="168" t="str">
        <f ca="1">IF($P132="","",INDEX(_Datos!$W$7:$W$200,$P132))</f>
        <v/>
      </c>
      <c r="M132" s="162" t="str">
        <f ca="1">IF($P132="","",INDEX(_Datos!$AC$7:$AC$200,$P132))</f>
        <v/>
      </c>
      <c r="P132" s="163" t="str">
        <f ca="1">IFERROR(MATCH(LARGE(_Datos!$AJ$7:$AJ$200,ROW()-7+1),_Datos!$AJ$7:$AJ$200,0),"")</f>
        <v/>
      </c>
    </row>
    <row r="133" spans="2:16" hidden="1" x14ac:dyDescent="0.35">
      <c r="B133" s="165" t="str">
        <f ca="1">IF($P133="","",INDEX(_Datos!$AB$7:$AB$200,$P133))</f>
        <v/>
      </c>
      <c r="C133" s="165" t="str">
        <f ca="1">IF($P133="","",INDEX(_Datos!$AE$7:$AE$200,$P133))</f>
        <v/>
      </c>
      <c r="D133" s="162" t="str">
        <f ca="1">IF($P133="","",INDEX(_Datos!$F$7:$F$200,$P133))</f>
        <v/>
      </c>
      <c r="E133" s="162" t="str">
        <f ca="1">IF($P133="","",INDEX(_Datos!$G$7:$G$200,$P133))</f>
        <v/>
      </c>
      <c r="F133" s="166" t="str">
        <f ca="1">IF($P133="","",INDEX(_Datos!$H$7:$H$200,$P133))</f>
        <v/>
      </c>
      <c r="G133" s="165" t="str">
        <f ca="1">IF($P133="","",INDEX(_Datos!$J$7:$J$200,$P133))</f>
        <v/>
      </c>
      <c r="H133" s="168" t="str">
        <f ca="1">IF($P133="","",INDEX(_Datos!$K$7:$K$200,$P133))</f>
        <v/>
      </c>
      <c r="I133" s="168" t="str">
        <f ca="1">IF($P133="","",INDEX(_Datos!$S$7:$S$200,$P133))</f>
        <v/>
      </c>
      <c r="J133" s="168" t="str">
        <f ca="1">IF($P133="","",INDEX(_Datos!$T$7:$T$200,$P133))</f>
        <v/>
      </c>
      <c r="K133" s="167" t="str">
        <f ca="1">IF($P133="","",INDEX(_Datos!$V$7:$V$200,$P133))</f>
        <v/>
      </c>
      <c r="L133" s="168" t="str">
        <f ca="1">IF($P133="","",INDEX(_Datos!$W$7:$W$200,$P133))</f>
        <v/>
      </c>
      <c r="M133" s="162" t="str">
        <f ca="1">IF($P133="","",INDEX(_Datos!$AC$7:$AC$200,$P133))</f>
        <v/>
      </c>
      <c r="P133" s="163" t="str">
        <f ca="1">IFERROR(MATCH(LARGE(_Datos!$AJ$7:$AJ$200,ROW()-7+1),_Datos!$AJ$7:$AJ$200,0),"")</f>
        <v/>
      </c>
    </row>
    <row r="134" spans="2:16" hidden="1" x14ac:dyDescent="0.35">
      <c r="B134" s="165" t="str">
        <f ca="1">IF($P134="","",INDEX(_Datos!$AB$7:$AB$200,$P134))</f>
        <v/>
      </c>
      <c r="C134" s="165" t="str">
        <f ca="1">IF($P134="","",INDEX(_Datos!$AE$7:$AE$200,$P134))</f>
        <v/>
      </c>
      <c r="D134" s="162" t="str">
        <f ca="1">IF($P134="","",INDEX(_Datos!$F$7:$F$200,$P134))</f>
        <v/>
      </c>
      <c r="E134" s="162" t="str">
        <f ca="1">IF($P134="","",INDEX(_Datos!$G$7:$G$200,$P134))</f>
        <v/>
      </c>
      <c r="F134" s="166" t="str">
        <f ca="1">IF($P134="","",INDEX(_Datos!$H$7:$H$200,$P134))</f>
        <v/>
      </c>
      <c r="G134" s="165" t="str">
        <f ca="1">IF($P134="","",INDEX(_Datos!$J$7:$J$200,$P134))</f>
        <v/>
      </c>
      <c r="H134" s="168" t="str">
        <f ca="1">IF($P134="","",INDEX(_Datos!$K$7:$K$200,$P134))</f>
        <v/>
      </c>
      <c r="I134" s="168" t="str">
        <f ca="1">IF($P134="","",INDEX(_Datos!$S$7:$S$200,$P134))</f>
        <v/>
      </c>
      <c r="J134" s="168" t="str">
        <f ca="1">IF($P134="","",INDEX(_Datos!$T$7:$T$200,$P134))</f>
        <v/>
      </c>
      <c r="K134" s="167" t="str">
        <f ca="1">IF($P134="","",INDEX(_Datos!$V$7:$V$200,$P134))</f>
        <v/>
      </c>
      <c r="L134" s="168" t="str">
        <f ca="1">IF($P134="","",INDEX(_Datos!$W$7:$W$200,$P134))</f>
        <v/>
      </c>
      <c r="M134" s="162" t="str">
        <f ca="1">IF($P134="","",INDEX(_Datos!$AC$7:$AC$200,$P134))</f>
        <v/>
      </c>
      <c r="P134" s="163" t="str">
        <f ca="1">IFERROR(MATCH(LARGE(_Datos!$AJ$7:$AJ$200,ROW()-7+1),_Datos!$AJ$7:$AJ$200,0),"")</f>
        <v/>
      </c>
    </row>
    <row r="135" spans="2:16" hidden="1" x14ac:dyDescent="0.35">
      <c r="B135" s="165" t="str">
        <f ca="1">IF($P135="","",INDEX(_Datos!$AB$7:$AB$200,$P135))</f>
        <v/>
      </c>
      <c r="C135" s="165" t="str">
        <f ca="1">IF($P135="","",INDEX(_Datos!$AE$7:$AE$200,$P135))</f>
        <v/>
      </c>
      <c r="D135" s="162" t="str">
        <f ca="1">IF($P135="","",INDEX(_Datos!$F$7:$F$200,$P135))</f>
        <v/>
      </c>
      <c r="E135" s="162" t="str">
        <f ca="1">IF($P135="","",INDEX(_Datos!$G$7:$G$200,$P135))</f>
        <v/>
      </c>
      <c r="F135" s="166" t="str">
        <f ca="1">IF($P135="","",INDEX(_Datos!$H$7:$H$200,$P135))</f>
        <v/>
      </c>
      <c r="G135" s="165" t="str">
        <f ca="1">IF($P135="","",INDEX(_Datos!$J$7:$J$200,$P135))</f>
        <v/>
      </c>
      <c r="H135" s="168" t="str">
        <f ca="1">IF($P135="","",INDEX(_Datos!$K$7:$K$200,$P135))</f>
        <v/>
      </c>
      <c r="I135" s="168" t="str">
        <f ca="1">IF($P135="","",INDEX(_Datos!$S$7:$S$200,$P135))</f>
        <v/>
      </c>
      <c r="J135" s="168" t="str">
        <f ca="1">IF($P135="","",INDEX(_Datos!$T$7:$T$200,$P135))</f>
        <v/>
      </c>
      <c r="K135" s="167" t="str">
        <f ca="1">IF($P135="","",INDEX(_Datos!$V$7:$V$200,$P135))</f>
        <v/>
      </c>
      <c r="L135" s="168" t="str">
        <f ca="1">IF($P135="","",INDEX(_Datos!$W$7:$W$200,$P135))</f>
        <v/>
      </c>
      <c r="M135" s="162" t="str">
        <f ca="1">IF($P135="","",INDEX(_Datos!$AC$7:$AC$200,$P135))</f>
        <v/>
      </c>
      <c r="P135" s="163" t="str">
        <f ca="1">IFERROR(MATCH(LARGE(_Datos!$AJ$7:$AJ$200,ROW()-7+1),_Datos!$AJ$7:$AJ$200,0),"")</f>
        <v/>
      </c>
    </row>
    <row r="136" spans="2:16" hidden="1" x14ac:dyDescent="0.35">
      <c r="B136" s="165" t="str">
        <f ca="1">IF($P136="","",INDEX(_Datos!$AB$7:$AB$200,$P136))</f>
        <v/>
      </c>
      <c r="C136" s="165" t="str">
        <f ca="1">IF($P136="","",INDEX(_Datos!$AE$7:$AE$200,$P136))</f>
        <v/>
      </c>
      <c r="D136" s="162" t="str">
        <f ca="1">IF($P136="","",INDEX(_Datos!$F$7:$F$200,$P136))</f>
        <v/>
      </c>
      <c r="E136" s="162" t="str">
        <f ca="1">IF($P136="","",INDEX(_Datos!$G$7:$G$200,$P136))</f>
        <v/>
      </c>
      <c r="F136" s="166" t="str">
        <f ca="1">IF($P136="","",INDEX(_Datos!$H$7:$H$200,$P136))</f>
        <v/>
      </c>
      <c r="G136" s="165" t="str">
        <f ca="1">IF($P136="","",INDEX(_Datos!$J$7:$J$200,$P136))</f>
        <v/>
      </c>
      <c r="H136" s="168" t="str">
        <f ca="1">IF($P136="","",INDEX(_Datos!$K$7:$K$200,$P136))</f>
        <v/>
      </c>
      <c r="I136" s="168" t="str">
        <f ca="1">IF($P136="","",INDEX(_Datos!$S$7:$S$200,$P136))</f>
        <v/>
      </c>
      <c r="J136" s="168" t="str">
        <f ca="1">IF($P136="","",INDEX(_Datos!$T$7:$T$200,$P136))</f>
        <v/>
      </c>
      <c r="K136" s="167" t="str">
        <f ca="1">IF($P136="","",INDEX(_Datos!$V$7:$V$200,$P136))</f>
        <v/>
      </c>
      <c r="L136" s="168" t="str">
        <f ca="1">IF($P136="","",INDEX(_Datos!$W$7:$W$200,$P136))</f>
        <v/>
      </c>
      <c r="M136" s="162" t="str">
        <f ca="1">IF($P136="","",INDEX(_Datos!$AC$7:$AC$200,$P136))</f>
        <v/>
      </c>
      <c r="P136" s="163" t="str">
        <f ca="1">IFERROR(MATCH(LARGE(_Datos!$AJ$7:$AJ$200,ROW()-7+1),_Datos!$AJ$7:$AJ$200,0),"")</f>
        <v/>
      </c>
    </row>
    <row r="137" spans="2:16" hidden="1" x14ac:dyDescent="0.35">
      <c r="B137" s="165" t="str">
        <f ca="1">IF($P137="","",INDEX(_Datos!$AB$7:$AB$200,$P137))</f>
        <v/>
      </c>
      <c r="C137" s="165" t="str">
        <f ca="1">IF($P137="","",INDEX(_Datos!$AE$7:$AE$200,$P137))</f>
        <v/>
      </c>
      <c r="D137" s="162" t="str">
        <f ca="1">IF($P137="","",INDEX(_Datos!$F$7:$F$200,$P137))</f>
        <v/>
      </c>
      <c r="E137" s="162" t="str">
        <f ca="1">IF($P137="","",INDEX(_Datos!$G$7:$G$200,$P137))</f>
        <v/>
      </c>
      <c r="F137" s="166" t="str">
        <f ca="1">IF($P137="","",INDEX(_Datos!$H$7:$H$200,$P137))</f>
        <v/>
      </c>
      <c r="G137" s="165" t="str">
        <f ca="1">IF($P137="","",INDEX(_Datos!$J$7:$J$200,$P137))</f>
        <v/>
      </c>
      <c r="H137" s="168" t="str">
        <f ca="1">IF($P137="","",INDEX(_Datos!$K$7:$K$200,$P137))</f>
        <v/>
      </c>
      <c r="I137" s="168" t="str">
        <f ca="1">IF($P137="","",INDEX(_Datos!$S$7:$S$200,$P137))</f>
        <v/>
      </c>
      <c r="J137" s="168" t="str">
        <f ca="1">IF($P137="","",INDEX(_Datos!$T$7:$T$200,$P137))</f>
        <v/>
      </c>
      <c r="K137" s="167" t="str">
        <f ca="1">IF($P137="","",INDEX(_Datos!$V$7:$V$200,$P137))</f>
        <v/>
      </c>
      <c r="L137" s="168" t="str">
        <f ca="1">IF($P137="","",INDEX(_Datos!$W$7:$W$200,$P137))</f>
        <v/>
      </c>
      <c r="M137" s="162" t="str">
        <f ca="1">IF($P137="","",INDEX(_Datos!$AC$7:$AC$200,$P137))</f>
        <v/>
      </c>
      <c r="P137" s="163" t="str">
        <f ca="1">IFERROR(MATCH(LARGE(_Datos!$AJ$7:$AJ$200,ROW()-7+1),_Datos!$AJ$7:$AJ$200,0),"")</f>
        <v/>
      </c>
    </row>
    <row r="138" spans="2:16" hidden="1" x14ac:dyDescent="0.35">
      <c r="B138" s="165" t="str">
        <f ca="1">IF($P138="","",INDEX(_Datos!$AB$7:$AB$200,$P138))</f>
        <v/>
      </c>
      <c r="C138" s="165" t="str">
        <f ca="1">IF($P138="","",INDEX(_Datos!$AE$7:$AE$200,$P138))</f>
        <v/>
      </c>
      <c r="D138" s="162" t="str">
        <f ca="1">IF($P138="","",INDEX(_Datos!$F$7:$F$200,$P138))</f>
        <v/>
      </c>
      <c r="E138" s="162" t="str">
        <f ca="1">IF($P138="","",INDEX(_Datos!$G$7:$G$200,$P138))</f>
        <v/>
      </c>
      <c r="F138" s="166" t="str">
        <f ca="1">IF($P138="","",INDEX(_Datos!$H$7:$H$200,$P138))</f>
        <v/>
      </c>
      <c r="G138" s="165" t="str">
        <f ca="1">IF($P138="","",INDEX(_Datos!$J$7:$J$200,$P138))</f>
        <v/>
      </c>
      <c r="H138" s="168" t="str">
        <f ca="1">IF($P138="","",INDEX(_Datos!$K$7:$K$200,$P138))</f>
        <v/>
      </c>
      <c r="I138" s="168" t="str">
        <f ca="1">IF($P138="","",INDEX(_Datos!$S$7:$S$200,$P138))</f>
        <v/>
      </c>
      <c r="J138" s="168" t="str">
        <f ca="1">IF($P138="","",INDEX(_Datos!$T$7:$T$200,$P138))</f>
        <v/>
      </c>
      <c r="K138" s="167" t="str">
        <f ca="1">IF($P138="","",INDEX(_Datos!$V$7:$V$200,$P138))</f>
        <v/>
      </c>
      <c r="L138" s="168" t="str">
        <f ca="1">IF($P138="","",INDEX(_Datos!$W$7:$W$200,$P138))</f>
        <v/>
      </c>
      <c r="M138" s="162" t="str">
        <f ca="1">IF($P138="","",INDEX(_Datos!$AC$7:$AC$200,$P138))</f>
        <v/>
      </c>
      <c r="P138" s="163" t="str">
        <f ca="1">IFERROR(MATCH(LARGE(_Datos!$AJ$7:$AJ$200,ROW()-7+1),_Datos!$AJ$7:$AJ$200,0),"")</f>
        <v/>
      </c>
    </row>
    <row r="139" spans="2:16" hidden="1" x14ac:dyDescent="0.35">
      <c r="B139" s="165" t="str">
        <f ca="1">IF($P139="","",INDEX(_Datos!$AB$7:$AB$200,$P139))</f>
        <v/>
      </c>
      <c r="C139" s="165" t="str">
        <f ca="1">IF($P139="","",INDEX(_Datos!$AE$7:$AE$200,$P139))</f>
        <v/>
      </c>
      <c r="D139" s="162" t="str">
        <f ca="1">IF($P139="","",INDEX(_Datos!$F$7:$F$200,$P139))</f>
        <v/>
      </c>
      <c r="E139" s="162" t="str">
        <f ca="1">IF($P139="","",INDEX(_Datos!$G$7:$G$200,$P139))</f>
        <v/>
      </c>
      <c r="F139" s="166" t="str">
        <f ca="1">IF($P139="","",INDEX(_Datos!$H$7:$H$200,$P139))</f>
        <v/>
      </c>
      <c r="G139" s="165" t="str">
        <f ca="1">IF($P139="","",INDEX(_Datos!$J$7:$J$200,$P139))</f>
        <v/>
      </c>
      <c r="H139" s="168" t="str">
        <f ca="1">IF($P139="","",INDEX(_Datos!$K$7:$K$200,$P139))</f>
        <v/>
      </c>
      <c r="I139" s="168" t="str">
        <f ca="1">IF($P139="","",INDEX(_Datos!$S$7:$S$200,$P139))</f>
        <v/>
      </c>
      <c r="J139" s="168" t="str">
        <f ca="1">IF($P139="","",INDEX(_Datos!$T$7:$T$200,$P139))</f>
        <v/>
      </c>
      <c r="K139" s="167" t="str">
        <f ca="1">IF($P139="","",INDEX(_Datos!$V$7:$V$200,$P139))</f>
        <v/>
      </c>
      <c r="L139" s="168" t="str">
        <f ca="1">IF($P139="","",INDEX(_Datos!$W$7:$W$200,$P139))</f>
        <v/>
      </c>
      <c r="M139" s="162" t="str">
        <f ca="1">IF($P139="","",INDEX(_Datos!$AC$7:$AC$200,$P139))</f>
        <v/>
      </c>
      <c r="P139" s="163" t="str">
        <f ca="1">IFERROR(MATCH(LARGE(_Datos!$AJ$7:$AJ$200,ROW()-7+1),_Datos!$AJ$7:$AJ$200,0),"")</f>
        <v/>
      </c>
    </row>
    <row r="140" spans="2:16" hidden="1" x14ac:dyDescent="0.35">
      <c r="B140" s="165" t="str">
        <f ca="1">IF($P140="","",INDEX(_Datos!$AB$7:$AB$200,$P140))</f>
        <v/>
      </c>
      <c r="C140" s="165" t="str">
        <f ca="1">IF($P140="","",INDEX(_Datos!$AE$7:$AE$200,$P140))</f>
        <v/>
      </c>
      <c r="D140" s="162" t="str">
        <f ca="1">IF($P140="","",INDEX(_Datos!$F$7:$F$200,$P140))</f>
        <v/>
      </c>
      <c r="E140" s="162" t="str">
        <f ca="1">IF($P140="","",INDEX(_Datos!$G$7:$G$200,$P140))</f>
        <v/>
      </c>
      <c r="F140" s="166" t="str">
        <f ca="1">IF($P140="","",INDEX(_Datos!$H$7:$H$200,$P140))</f>
        <v/>
      </c>
      <c r="G140" s="165" t="str">
        <f ca="1">IF($P140="","",INDEX(_Datos!$J$7:$J$200,$P140))</f>
        <v/>
      </c>
      <c r="H140" s="168" t="str">
        <f ca="1">IF($P140="","",INDEX(_Datos!$K$7:$K$200,$P140))</f>
        <v/>
      </c>
      <c r="I140" s="168" t="str">
        <f ca="1">IF($P140="","",INDEX(_Datos!$S$7:$S$200,$P140))</f>
        <v/>
      </c>
      <c r="J140" s="168" t="str">
        <f ca="1">IF($P140="","",INDEX(_Datos!$T$7:$T$200,$P140))</f>
        <v/>
      </c>
      <c r="K140" s="167" t="str">
        <f ca="1">IF($P140="","",INDEX(_Datos!$V$7:$V$200,$P140))</f>
        <v/>
      </c>
      <c r="L140" s="168" t="str">
        <f ca="1">IF($P140="","",INDEX(_Datos!$W$7:$W$200,$P140))</f>
        <v/>
      </c>
      <c r="M140" s="162" t="str">
        <f ca="1">IF($P140="","",INDEX(_Datos!$AC$7:$AC$200,$P140))</f>
        <v/>
      </c>
      <c r="P140" s="163" t="str">
        <f ca="1">IFERROR(MATCH(LARGE(_Datos!$AJ$7:$AJ$200,ROW()-7+1),_Datos!$AJ$7:$AJ$200,0),"")</f>
        <v/>
      </c>
    </row>
    <row r="141" spans="2:16" hidden="1" x14ac:dyDescent="0.35">
      <c r="B141" s="165" t="str">
        <f ca="1">IF($P141="","",INDEX(_Datos!$AB$7:$AB$200,$P141))</f>
        <v/>
      </c>
      <c r="C141" s="165" t="str">
        <f ca="1">IF($P141="","",INDEX(_Datos!$AE$7:$AE$200,$P141))</f>
        <v/>
      </c>
      <c r="D141" s="162" t="str">
        <f ca="1">IF($P141="","",INDEX(_Datos!$F$7:$F$200,$P141))</f>
        <v/>
      </c>
      <c r="E141" s="162" t="str">
        <f ca="1">IF($P141="","",INDEX(_Datos!$G$7:$G$200,$P141))</f>
        <v/>
      </c>
      <c r="F141" s="166" t="str">
        <f ca="1">IF($P141="","",INDEX(_Datos!$H$7:$H$200,$P141))</f>
        <v/>
      </c>
      <c r="G141" s="165" t="str">
        <f ca="1">IF($P141="","",INDEX(_Datos!$J$7:$J$200,$P141))</f>
        <v/>
      </c>
      <c r="H141" s="168" t="str">
        <f ca="1">IF($P141="","",INDEX(_Datos!$K$7:$K$200,$P141))</f>
        <v/>
      </c>
      <c r="I141" s="168" t="str">
        <f ca="1">IF($P141="","",INDEX(_Datos!$S$7:$S$200,$P141))</f>
        <v/>
      </c>
      <c r="J141" s="168" t="str">
        <f ca="1">IF($P141="","",INDEX(_Datos!$T$7:$T$200,$P141))</f>
        <v/>
      </c>
      <c r="K141" s="167" t="str">
        <f ca="1">IF($P141="","",INDEX(_Datos!$V$7:$V$200,$P141))</f>
        <v/>
      </c>
      <c r="L141" s="168" t="str">
        <f ca="1">IF($P141="","",INDEX(_Datos!$W$7:$W$200,$P141))</f>
        <v/>
      </c>
      <c r="M141" s="162" t="str">
        <f ca="1">IF($P141="","",INDEX(_Datos!$AC$7:$AC$200,$P141))</f>
        <v/>
      </c>
      <c r="P141" s="163" t="str">
        <f ca="1">IFERROR(MATCH(LARGE(_Datos!$AJ$7:$AJ$200,ROW()-7+1),_Datos!$AJ$7:$AJ$200,0),"")</f>
        <v/>
      </c>
    </row>
    <row r="142" spans="2:16" hidden="1" x14ac:dyDescent="0.35">
      <c r="B142" s="165" t="str">
        <f ca="1">IF($P142="","",INDEX(_Datos!$AB$7:$AB$200,$P142))</f>
        <v/>
      </c>
      <c r="C142" s="165" t="str">
        <f ca="1">IF($P142="","",INDEX(_Datos!$AE$7:$AE$200,$P142))</f>
        <v/>
      </c>
      <c r="D142" s="162" t="str">
        <f ca="1">IF($P142="","",INDEX(_Datos!$F$7:$F$200,$P142))</f>
        <v/>
      </c>
      <c r="E142" s="162" t="str">
        <f ca="1">IF($P142="","",INDEX(_Datos!$G$7:$G$200,$P142))</f>
        <v/>
      </c>
      <c r="F142" s="166" t="str">
        <f ca="1">IF($P142="","",INDEX(_Datos!$H$7:$H$200,$P142))</f>
        <v/>
      </c>
      <c r="G142" s="165" t="str">
        <f ca="1">IF($P142="","",INDEX(_Datos!$J$7:$J$200,$P142))</f>
        <v/>
      </c>
      <c r="H142" s="168" t="str">
        <f ca="1">IF($P142="","",INDEX(_Datos!$K$7:$K$200,$P142))</f>
        <v/>
      </c>
      <c r="I142" s="168" t="str">
        <f ca="1">IF($P142="","",INDEX(_Datos!$S$7:$S$200,$P142))</f>
        <v/>
      </c>
      <c r="J142" s="168" t="str">
        <f ca="1">IF($P142="","",INDEX(_Datos!$T$7:$T$200,$P142))</f>
        <v/>
      </c>
      <c r="K142" s="167" t="str">
        <f ca="1">IF($P142="","",INDEX(_Datos!$V$7:$V$200,$P142))</f>
        <v/>
      </c>
      <c r="L142" s="168" t="str">
        <f ca="1">IF($P142="","",INDEX(_Datos!$W$7:$W$200,$P142))</f>
        <v/>
      </c>
      <c r="M142" s="162" t="str">
        <f ca="1">IF($P142="","",INDEX(_Datos!$AC$7:$AC$200,$P142))</f>
        <v/>
      </c>
      <c r="P142" s="163" t="str">
        <f ca="1">IFERROR(MATCH(LARGE(_Datos!$AJ$7:$AJ$200,ROW()-7+1),_Datos!$AJ$7:$AJ$200,0),"")</f>
        <v/>
      </c>
    </row>
    <row r="143" spans="2:16" hidden="1" x14ac:dyDescent="0.35">
      <c r="B143" s="165" t="str">
        <f ca="1">IF($P143="","",INDEX(_Datos!$AB$7:$AB$200,$P143))</f>
        <v/>
      </c>
      <c r="C143" s="165" t="str">
        <f ca="1">IF($P143="","",INDEX(_Datos!$AE$7:$AE$200,$P143))</f>
        <v/>
      </c>
      <c r="D143" s="162" t="str">
        <f ca="1">IF($P143="","",INDEX(_Datos!$F$7:$F$200,$P143))</f>
        <v/>
      </c>
      <c r="E143" s="162" t="str">
        <f ca="1">IF($P143="","",INDEX(_Datos!$G$7:$G$200,$P143))</f>
        <v/>
      </c>
      <c r="F143" s="166" t="str">
        <f ca="1">IF($P143="","",INDEX(_Datos!$H$7:$H$200,$P143))</f>
        <v/>
      </c>
      <c r="G143" s="165" t="str">
        <f ca="1">IF($P143="","",INDEX(_Datos!$J$7:$J$200,$P143))</f>
        <v/>
      </c>
      <c r="H143" s="168" t="str">
        <f ca="1">IF($P143="","",INDEX(_Datos!$K$7:$K$200,$P143))</f>
        <v/>
      </c>
      <c r="I143" s="168" t="str">
        <f ca="1">IF($P143="","",INDEX(_Datos!$S$7:$S$200,$P143))</f>
        <v/>
      </c>
      <c r="J143" s="168" t="str">
        <f ca="1">IF($P143="","",INDEX(_Datos!$T$7:$T$200,$P143))</f>
        <v/>
      </c>
      <c r="K143" s="167" t="str">
        <f ca="1">IF($P143="","",INDEX(_Datos!$V$7:$V$200,$P143))</f>
        <v/>
      </c>
      <c r="L143" s="168" t="str">
        <f ca="1">IF($P143="","",INDEX(_Datos!$W$7:$W$200,$P143))</f>
        <v/>
      </c>
      <c r="M143" s="162" t="str">
        <f ca="1">IF($P143="","",INDEX(_Datos!$AC$7:$AC$200,$P143))</f>
        <v/>
      </c>
      <c r="P143" s="163" t="str">
        <f ca="1">IFERROR(MATCH(LARGE(_Datos!$AJ$7:$AJ$200,ROW()-7+1),_Datos!$AJ$7:$AJ$200,0),"")</f>
        <v/>
      </c>
    </row>
    <row r="144" spans="2:16" hidden="1" x14ac:dyDescent="0.35">
      <c r="B144" s="165" t="str">
        <f ca="1">IF($P144="","",INDEX(_Datos!$AB$7:$AB$200,$P144))</f>
        <v/>
      </c>
      <c r="C144" s="165" t="str">
        <f ca="1">IF($P144="","",INDEX(_Datos!$AE$7:$AE$200,$P144))</f>
        <v/>
      </c>
      <c r="D144" s="162" t="str">
        <f ca="1">IF($P144="","",INDEX(_Datos!$F$7:$F$200,$P144))</f>
        <v/>
      </c>
      <c r="E144" s="162" t="str">
        <f ca="1">IF($P144="","",INDEX(_Datos!$G$7:$G$200,$P144))</f>
        <v/>
      </c>
      <c r="F144" s="166" t="str">
        <f ca="1">IF($P144="","",INDEX(_Datos!$H$7:$H$200,$P144))</f>
        <v/>
      </c>
      <c r="G144" s="165" t="str">
        <f ca="1">IF($P144="","",INDEX(_Datos!$J$7:$J$200,$P144))</f>
        <v/>
      </c>
      <c r="H144" s="168" t="str">
        <f ca="1">IF($P144="","",INDEX(_Datos!$K$7:$K$200,$P144))</f>
        <v/>
      </c>
      <c r="I144" s="168" t="str">
        <f ca="1">IF($P144="","",INDEX(_Datos!$S$7:$S$200,$P144))</f>
        <v/>
      </c>
      <c r="J144" s="168" t="str">
        <f ca="1">IF($P144="","",INDEX(_Datos!$T$7:$T$200,$P144))</f>
        <v/>
      </c>
      <c r="K144" s="167" t="str">
        <f ca="1">IF($P144="","",INDEX(_Datos!$V$7:$V$200,$P144))</f>
        <v/>
      </c>
      <c r="L144" s="168" t="str">
        <f ca="1">IF($P144="","",INDEX(_Datos!$W$7:$W$200,$P144))</f>
        <v/>
      </c>
      <c r="M144" s="162" t="str">
        <f ca="1">IF($P144="","",INDEX(_Datos!$AC$7:$AC$200,$P144))</f>
        <v/>
      </c>
      <c r="P144" s="163" t="str">
        <f ca="1">IFERROR(MATCH(LARGE(_Datos!$AJ$7:$AJ$200,ROW()-7+1),_Datos!$AJ$7:$AJ$200,0),"")</f>
        <v/>
      </c>
    </row>
    <row r="145" spans="2:16" hidden="1" x14ac:dyDescent="0.35">
      <c r="B145" s="165" t="str">
        <f ca="1">IF($P145="","",INDEX(_Datos!$AB$7:$AB$200,$P145))</f>
        <v/>
      </c>
      <c r="C145" s="165" t="str">
        <f ca="1">IF($P145="","",INDEX(_Datos!$AE$7:$AE$200,$P145))</f>
        <v/>
      </c>
      <c r="D145" s="162" t="str">
        <f ca="1">IF($P145="","",INDEX(_Datos!$F$7:$F$200,$P145))</f>
        <v/>
      </c>
      <c r="E145" s="162" t="str">
        <f ca="1">IF($P145="","",INDEX(_Datos!$G$7:$G$200,$P145))</f>
        <v/>
      </c>
      <c r="F145" s="166" t="str">
        <f ca="1">IF($P145="","",INDEX(_Datos!$H$7:$H$200,$P145))</f>
        <v/>
      </c>
      <c r="G145" s="165" t="str">
        <f ca="1">IF($P145="","",INDEX(_Datos!$J$7:$J$200,$P145))</f>
        <v/>
      </c>
      <c r="H145" s="168" t="str">
        <f ca="1">IF($P145="","",INDEX(_Datos!$K$7:$K$200,$P145))</f>
        <v/>
      </c>
      <c r="I145" s="168" t="str">
        <f ca="1">IF($P145="","",INDEX(_Datos!$S$7:$S$200,$P145))</f>
        <v/>
      </c>
      <c r="J145" s="168" t="str">
        <f ca="1">IF($P145="","",INDEX(_Datos!$T$7:$T$200,$P145))</f>
        <v/>
      </c>
      <c r="K145" s="167" t="str">
        <f ca="1">IF($P145="","",INDEX(_Datos!$V$7:$V$200,$P145))</f>
        <v/>
      </c>
      <c r="L145" s="168" t="str">
        <f ca="1">IF($P145="","",INDEX(_Datos!$W$7:$W$200,$P145))</f>
        <v/>
      </c>
      <c r="M145" s="162" t="str">
        <f ca="1">IF($P145="","",INDEX(_Datos!$AC$7:$AC$200,$P145))</f>
        <v/>
      </c>
      <c r="P145" s="163" t="str">
        <f ca="1">IFERROR(MATCH(LARGE(_Datos!$AJ$7:$AJ$200,ROW()-7+1),_Datos!$AJ$7:$AJ$200,0),"")</f>
        <v/>
      </c>
    </row>
    <row r="146" spans="2:16" hidden="1" x14ac:dyDescent="0.35">
      <c r="B146" s="165" t="str">
        <f ca="1">IF($P146="","",INDEX(_Datos!$AB$7:$AB$200,$P146))</f>
        <v/>
      </c>
      <c r="C146" s="165" t="str">
        <f ca="1">IF($P146="","",INDEX(_Datos!$AE$7:$AE$200,$P146))</f>
        <v/>
      </c>
      <c r="D146" s="162" t="str">
        <f ca="1">IF($P146="","",INDEX(_Datos!$F$7:$F$200,$P146))</f>
        <v/>
      </c>
      <c r="E146" s="162" t="str">
        <f ca="1">IF($P146="","",INDEX(_Datos!$G$7:$G$200,$P146))</f>
        <v/>
      </c>
      <c r="F146" s="166" t="str">
        <f ca="1">IF($P146="","",INDEX(_Datos!$H$7:$H$200,$P146))</f>
        <v/>
      </c>
      <c r="G146" s="165" t="str">
        <f ca="1">IF($P146="","",INDEX(_Datos!$J$7:$J$200,$P146))</f>
        <v/>
      </c>
      <c r="H146" s="168" t="str">
        <f ca="1">IF($P146="","",INDEX(_Datos!$K$7:$K$200,$P146))</f>
        <v/>
      </c>
      <c r="I146" s="168" t="str">
        <f ca="1">IF($P146="","",INDEX(_Datos!$S$7:$S$200,$P146))</f>
        <v/>
      </c>
      <c r="J146" s="168" t="str">
        <f ca="1">IF($P146="","",INDEX(_Datos!$T$7:$T$200,$P146))</f>
        <v/>
      </c>
      <c r="K146" s="167" t="str">
        <f ca="1">IF($P146="","",INDEX(_Datos!$V$7:$V$200,$P146))</f>
        <v/>
      </c>
      <c r="L146" s="168" t="str">
        <f ca="1">IF($P146="","",INDEX(_Datos!$W$7:$W$200,$P146))</f>
        <v/>
      </c>
      <c r="M146" s="162" t="str">
        <f ca="1">IF($P146="","",INDEX(_Datos!$AC$7:$AC$200,$P146))</f>
        <v/>
      </c>
      <c r="P146" s="163" t="str">
        <f ca="1">IFERROR(MATCH(LARGE(_Datos!$AJ$7:$AJ$200,ROW()-7+1),_Datos!$AJ$7:$AJ$200,0),"")</f>
        <v/>
      </c>
    </row>
    <row r="147" spans="2:16" hidden="1" x14ac:dyDescent="0.35">
      <c r="B147" s="165" t="str">
        <f ca="1">IF($P147="","",INDEX(_Datos!$AB$7:$AB$200,$P147))</f>
        <v/>
      </c>
      <c r="C147" s="165" t="str">
        <f ca="1">IF($P147="","",INDEX(_Datos!$AE$7:$AE$200,$P147))</f>
        <v/>
      </c>
      <c r="D147" s="162" t="str">
        <f ca="1">IF($P147="","",INDEX(_Datos!$F$7:$F$200,$P147))</f>
        <v/>
      </c>
      <c r="E147" s="162" t="str">
        <f ca="1">IF($P147="","",INDEX(_Datos!$G$7:$G$200,$P147))</f>
        <v/>
      </c>
      <c r="F147" s="166" t="str">
        <f ca="1">IF($P147="","",INDEX(_Datos!$H$7:$H$200,$P147))</f>
        <v/>
      </c>
      <c r="G147" s="165" t="str">
        <f ca="1">IF($P147="","",INDEX(_Datos!$J$7:$J$200,$P147))</f>
        <v/>
      </c>
      <c r="H147" s="168" t="str">
        <f ca="1">IF($P147="","",INDEX(_Datos!$K$7:$K$200,$P147))</f>
        <v/>
      </c>
      <c r="I147" s="168" t="str">
        <f ca="1">IF($P147="","",INDEX(_Datos!$S$7:$S$200,$P147))</f>
        <v/>
      </c>
      <c r="J147" s="168" t="str">
        <f ca="1">IF($P147="","",INDEX(_Datos!$T$7:$T$200,$P147))</f>
        <v/>
      </c>
      <c r="K147" s="167" t="str">
        <f ca="1">IF($P147="","",INDEX(_Datos!$V$7:$V$200,$P147))</f>
        <v/>
      </c>
      <c r="L147" s="168" t="str">
        <f ca="1">IF($P147="","",INDEX(_Datos!$W$7:$W$200,$P147))</f>
        <v/>
      </c>
      <c r="M147" s="162" t="str">
        <f ca="1">IF($P147="","",INDEX(_Datos!$AC$7:$AC$200,$P147))</f>
        <v/>
      </c>
      <c r="P147" s="163" t="str">
        <f ca="1">IFERROR(MATCH(LARGE(_Datos!$AJ$7:$AJ$200,ROW()-7+1),_Datos!$AJ$7:$AJ$200,0),"")</f>
        <v/>
      </c>
    </row>
    <row r="148" spans="2:16" hidden="1" x14ac:dyDescent="0.35">
      <c r="B148" s="165" t="str">
        <f ca="1">IF($P148="","",INDEX(_Datos!$AB$7:$AB$200,$P148))</f>
        <v/>
      </c>
      <c r="C148" s="165" t="str">
        <f ca="1">IF($P148="","",INDEX(_Datos!$AE$7:$AE$200,$P148))</f>
        <v/>
      </c>
      <c r="D148" s="162" t="str">
        <f ca="1">IF($P148="","",INDEX(_Datos!$F$7:$F$200,$P148))</f>
        <v/>
      </c>
      <c r="E148" s="162" t="str">
        <f ca="1">IF($P148="","",INDEX(_Datos!$G$7:$G$200,$P148))</f>
        <v/>
      </c>
      <c r="F148" s="166" t="str">
        <f ca="1">IF($P148="","",INDEX(_Datos!$H$7:$H$200,$P148))</f>
        <v/>
      </c>
      <c r="G148" s="165" t="str">
        <f ca="1">IF($P148="","",INDEX(_Datos!$J$7:$J$200,$P148))</f>
        <v/>
      </c>
      <c r="H148" s="168" t="str">
        <f ca="1">IF($P148="","",INDEX(_Datos!$K$7:$K$200,$P148))</f>
        <v/>
      </c>
      <c r="I148" s="168" t="str">
        <f ca="1">IF($P148="","",INDEX(_Datos!$S$7:$S$200,$P148))</f>
        <v/>
      </c>
      <c r="J148" s="168" t="str">
        <f ca="1">IF($P148="","",INDEX(_Datos!$T$7:$T$200,$P148))</f>
        <v/>
      </c>
      <c r="K148" s="167" t="str">
        <f ca="1">IF($P148="","",INDEX(_Datos!$V$7:$V$200,$P148))</f>
        <v/>
      </c>
      <c r="L148" s="168" t="str">
        <f ca="1">IF($P148="","",INDEX(_Datos!$W$7:$W$200,$P148))</f>
        <v/>
      </c>
      <c r="M148" s="162" t="str">
        <f ca="1">IF($P148="","",INDEX(_Datos!$AC$7:$AC$200,$P148))</f>
        <v/>
      </c>
      <c r="P148" s="163" t="str">
        <f ca="1">IFERROR(MATCH(LARGE(_Datos!$AJ$7:$AJ$200,ROW()-7+1),_Datos!$AJ$7:$AJ$200,0),"")</f>
        <v/>
      </c>
    </row>
    <row r="149" spans="2:16" hidden="1" x14ac:dyDescent="0.35">
      <c r="B149" s="165" t="str">
        <f ca="1">IF($P149="","",INDEX(_Datos!$AB$7:$AB$200,$P149))</f>
        <v/>
      </c>
      <c r="C149" s="165" t="str">
        <f ca="1">IF($P149="","",INDEX(_Datos!$AE$7:$AE$200,$P149))</f>
        <v/>
      </c>
      <c r="D149" s="162" t="str">
        <f ca="1">IF($P149="","",INDEX(_Datos!$F$7:$F$200,$P149))</f>
        <v/>
      </c>
      <c r="E149" s="162" t="str">
        <f ca="1">IF($P149="","",INDEX(_Datos!$G$7:$G$200,$P149))</f>
        <v/>
      </c>
      <c r="F149" s="166" t="str">
        <f ca="1">IF($P149="","",INDEX(_Datos!$H$7:$H$200,$P149))</f>
        <v/>
      </c>
      <c r="G149" s="165" t="str">
        <f ca="1">IF($P149="","",INDEX(_Datos!$J$7:$J$200,$P149))</f>
        <v/>
      </c>
      <c r="H149" s="168" t="str">
        <f ca="1">IF($P149="","",INDEX(_Datos!$K$7:$K$200,$P149))</f>
        <v/>
      </c>
      <c r="I149" s="168" t="str">
        <f ca="1">IF($P149="","",INDEX(_Datos!$S$7:$S$200,$P149))</f>
        <v/>
      </c>
      <c r="J149" s="168" t="str">
        <f ca="1">IF($P149="","",INDEX(_Datos!$T$7:$T$200,$P149))</f>
        <v/>
      </c>
      <c r="K149" s="167" t="str">
        <f ca="1">IF($P149="","",INDEX(_Datos!$V$7:$V$200,$P149))</f>
        <v/>
      </c>
      <c r="L149" s="168" t="str">
        <f ca="1">IF($P149="","",INDEX(_Datos!$W$7:$W$200,$P149))</f>
        <v/>
      </c>
      <c r="M149" s="162" t="str">
        <f ca="1">IF($P149="","",INDEX(_Datos!$AC$7:$AC$200,$P149))</f>
        <v/>
      </c>
      <c r="P149" s="163" t="str">
        <f ca="1">IFERROR(MATCH(LARGE(_Datos!$AJ$7:$AJ$200,ROW()-7+1),_Datos!$AJ$7:$AJ$200,0),"")</f>
        <v/>
      </c>
    </row>
    <row r="150" spans="2:16" hidden="1" x14ac:dyDescent="0.35">
      <c r="B150" s="165" t="str">
        <f ca="1">IF($P150="","",INDEX(_Datos!$AB$7:$AB$200,$P150))</f>
        <v/>
      </c>
      <c r="C150" s="165" t="str">
        <f ca="1">IF($P150="","",INDEX(_Datos!$AE$7:$AE$200,$P150))</f>
        <v/>
      </c>
      <c r="D150" s="162" t="str">
        <f ca="1">IF($P150="","",INDEX(_Datos!$F$7:$F$200,$P150))</f>
        <v/>
      </c>
      <c r="E150" s="162" t="str">
        <f ca="1">IF($P150="","",INDEX(_Datos!$G$7:$G$200,$P150))</f>
        <v/>
      </c>
      <c r="F150" s="166" t="str">
        <f ca="1">IF($P150="","",INDEX(_Datos!$H$7:$H$200,$P150))</f>
        <v/>
      </c>
      <c r="G150" s="165" t="str">
        <f ca="1">IF($P150="","",INDEX(_Datos!$J$7:$J$200,$P150))</f>
        <v/>
      </c>
      <c r="H150" s="168" t="str">
        <f ca="1">IF($P150="","",INDEX(_Datos!$K$7:$K$200,$P150))</f>
        <v/>
      </c>
      <c r="I150" s="168" t="str">
        <f ca="1">IF($P150="","",INDEX(_Datos!$S$7:$S$200,$P150))</f>
        <v/>
      </c>
      <c r="J150" s="168" t="str">
        <f ca="1">IF($P150="","",INDEX(_Datos!$T$7:$T$200,$P150))</f>
        <v/>
      </c>
      <c r="K150" s="167" t="str">
        <f ca="1">IF($P150="","",INDEX(_Datos!$V$7:$V$200,$P150))</f>
        <v/>
      </c>
      <c r="L150" s="168" t="str">
        <f ca="1">IF($P150="","",INDEX(_Datos!$W$7:$W$200,$P150))</f>
        <v/>
      </c>
      <c r="M150" s="162" t="str">
        <f ca="1">IF($P150="","",INDEX(_Datos!$AC$7:$AC$200,$P150))</f>
        <v/>
      </c>
      <c r="P150" s="163" t="str">
        <f ca="1">IFERROR(MATCH(LARGE(_Datos!$AJ$7:$AJ$200,ROW()-7+1),_Datos!$AJ$7:$AJ$200,0),"")</f>
        <v/>
      </c>
    </row>
    <row r="151" spans="2:16" hidden="1" x14ac:dyDescent="0.35">
      <c r="B151" s="165" t="str">
        <f ca="1">IF($P151="","",INDEX(_Datos!$AB$7:$AB$200,$P151))</f>
        <v/>
      </c>
      <c r="C151" s="165" t="str">
        <f ca="1">IF($P151="","",INDEX(_Datos!$AE$7:$AE$200,$P151))</f>
        <v/>
      </c>
      <c r="D151" s="162" t="str">
        <f ca="1">IF($P151="","",INDEX(_Datos!$F$7:$F$200,$P151))</f>
        <v/>
      </c>
      <c r="E151" s="162" t="str">
        <f ca="1">IF($P151="","",INDEX(_Datos!$G$7:$G$200,$P151))</f>
        <v/>
      </c>
      <c r="F151" s="166" t="str">
        <f ca="1">IF($P151="","",INDEX(_Datos!$H$7:$H$200,$P151))</f>
        <v/>
      </c>
      <c r="G151" s="165" t="str">
        <f ca="1">IF($P151="","",INDEX(_Datos!$J$7:$J$200,$P151))</f>
        <v/>
      </c>
      <c r="H151" s="168" t="str">
        <f ca="1">IF($P151="","",INDEX(_Datos!$K$7:$K$200,$P151))</f>
        <v/>
      </c>
      <c r="I151" s="168" t="str">
        <f ca="1">IF($P151="","",INDEX(_Datos!$S$7:$S$200,$P151))</f>
        <v/>
      </c>
      <c r="J151" s="168" t="str">
        <f ca="1">IF($P151="","",INDEX(_Datos!$T$7:$T$200,$P151))</f>
        <v/>
      </c>
      <c r="K151" s="167" t="str">
        <f ca="1">IF($P151="","",INDEX(_Datos!$V$7:$V$200,$P151))</f>
        <v/>
      </c>
      <c r="L151" s="168" t="str">
        <f ca="1">IF($P151="","",INDEX(_Datos!$W$7:$W$200,$P151))</f>
        <v/>
      </c>
      <c r="M151" s="162" t="str">
        <f ca="1">IF($P151="","",INDEX(_Datos!$AC$7:$AC$200,$P151))</f>
        <v/>
      </c>
      <c r="P151" s="163" t="str">
        <f ca="1">IFERROR(MATCH(LARGE(_Datos!$AJ$7:$AJ$200,ROW()-7+1),_Datos!$AJ$7:$AJ$200,0),"")</f>
        <v/>
      </c>
    </row>
    <row r="152" spans="2:16" hidden="1" x14ac:dyDescent="0.35">
      <c r="B152" s="165" t="str">
        <f ca="1">IF($P152="","",INDEX(_Datos!$AB$7:$AB$200,$P152))</f>
        <v/>
      </c>
      <c r="C152" s="165" t="str">
        <f ca="1">IF($P152="","",INDEX(_Datos!$AE$7:$AE$200,$P152))</f>
        <v/>
      </c>
      <c r="D152" s="162" t="str">
        <f ca="1">IF($P152="","",INDEX(_Datos!$F$7:$F$200,$P152))</f>
        <v/>
      </c>
      <c r="E152" s="162" t="str">
        <f ca="1">IF($P152="","",INDEX(_Datos!$G$7:$G$200,$P152))</f>
        <v/>
      </c>
      <c r="F152" s="166" t="str">
        <f ca="1">IF($P152="","",INDEX(_Datos!$H$7:$H$200,$P152))</f>
        <v/>
      </c>
      <c r="G152" s="165" t="str">
        <f ca="1">IF($P152="","",INDEX(_Datos!$J$7:$J$200,$P152))</f>
        <v/>
      </c>
      <c r="H152" s="168" t="str">
        <f ca="1">IF($P152="","",INDEX(_Datos!$K$7:$K$200,$P152))</f>
        <v/>
      </c>
      <c r="I152" s="168" t="str">
        <f ca="1">IF($P152="","",INDEX(_Datos!$S$7:$S$200,$P152))</f>
        <v/>
      </c>
      <c r="J152" s="168" t="str">
        <f ca="1">IF($P152="","",INDEX(_Datos!$T$7:$T$200,$P152))</f>
        <v/>
      </c>
      <c r="K152" s="167" t="str">
        <f ca="1">IF($P152="","",INDEX(_Datos!$V$7:$V$200,$P152))</f>
        <v/>
      </c>
      <c r="L152" s="168" t="str">
        <f ca="1">IF($P152="","",INDEX(_Datos!$W$7:$W$200,$P152))</f>
        <v/>
      </c>
      <c r="M152" s="162" t="str">
        <f ca="1">IF($P152="","",INDEX(_Datos!$AC$7:$AC$200,$P152))</f>
        <v/>
      </c>
      <c r="P152" s="163" t="str">
        <f ca="1">IFERROR(MATCH(LARGE(_Datos!$AJ$7:$AJ$200,ROW()-7+1),_Datos!$AJ$7:$AJ$200,0),"")</f>
        <v/>
      </c>
    </row>
    <row r="153" spans="2:16" hidden="1" x14ac:dyDescent="0.35">
      <c r="B153" s="165" t="str">
        <f ca="1">IF($P153="","",INDEX(_Datos!$AB$7:$AB$200,$P153))</f>
        <v/>
      </c>
      <c r="C153" s="165" t="str">
        <f ca="1">IF($P153="","",INDEX(_Datos!$AE$7:$AE$200,$P153))</f>
        <v/>
      </c>
      <c r="D153" s="162" t="str">
        <f ca="1">IF($P153="","",INDEX(_Datos!$F$7:$F$200,$P153))</f>
        <v/>
      </c>
      <c r="E153" s="162" t="str">
        <f ca="1">IF($P153="","",INDEX(_Datos!$G$7:$G$200,$P153))</f>
        <v/>
      </c>
      <c r="F153" s="166" t="str">
        <f ca="1">IF($P153="","",INDEX(_Datos!$H$7:$H$200,$P153))</f>
        <v/>
      </c>
      <c r="G153" s="165" t="str">
        <f ca="1">IF($P153="","",INDEX(_Datos!$J$7:$J$200,$P153))</f>
        <v/>
      </c>
      <c r="H153" s="168" t="str">
        <f ca="1">IF($P153="","",INDEX(_Datos!$K$7:$K$200,$P153))</f>
        <v/>
      </c>
      <c r="I153" s="168" t="str">
        <f ca="1">IF($P153="","",INDEX(_Datos!$S$7:$S$200,$P153))</f>
        <v/>
      </c>
      <c r="J153" s="168" t="str">
        <f ca="1">IF($P153="","",INDEX(_Datos!$T$7:$T$200,$P153))</f>
        <v/>
      </c>
      <c r="K153" s="167" t="str">
        <f ca="1">IF($P153="","",INDEX(_Datos!$V$7:$V$200,$P153))</f>
        <v/>
      </c>
      <c r="L153" s="168" t="str">
        <f ca="1">IF($P153="","",INDEX(_Datos!$W$7:$W$200,$P153))</f>
        <v/>
      </c>
      <c r="M153" s="162" t="str">
        <f ca="1">IF($P153="","",INDEX(_Datos!$AC$7:$AC$200,$P153))</f>
        <v/>
      </c>
      <c r="P153" s="163" t="str">
        <f ca="1">IFERROR(MATCH(LARGE(_Datos!$AJ$7:$AJ$200,ROW()-7+1),_Datos!$AJ$7:$AJ$200,0),"")</f>
        <v/>
      </c>
    </row>
    <row r="154" spans="2:16" hidden="1" x14ac:dyDescent="0.35">
      <c r="B154" s="165" t="str">
        <f ca="1">IF($P154="","",INDEX(_Datos!$AB$7:$AB$200,$P154))</f>
        <v/>
      </c>
      <c r="C154" s="165" t="str">
        <f ca="1">IF($P154="","",INDEX(_Datos!$AE$7:$AE$200,$P154))</f>
        <v/>
      </c>
      <c r="D154" s="162" t="str">
        <f ca="1">IF($P154="","",INDEX(_Datos!$F$7:$F$200,$P154))</f>
        <v/>
      </c>
      <c r="E154" s="162" t="str">
        <f ca="1">IF($P154="","",INDEX(_Datos!$G$7:$G$200,$P154))</f>
        <v/>
      </c>
      <c r="F154" s="166" t="str">
        <f ca="1">IF($P154="","",INDEX(_Datos!$H$7:$H$200,$P154))</f>
        <v/>
      </c>
      <c r="G154" s="165" t="str">
        <f ca="1">IF($P154="","",INDEX(_Datos!$J$7:$J$200,$P154))</f>
        <v/>
      </c>
      <c r="H154" s="168" t="str">
        <f ca="1">IF($P154="","",INDEX(_Datos!$K$7:$K$200,$P154))</f>
        <v/>
      </c>
      <c r="I154" s="168" t="str">
        <f ca="1">IF($P154="","",INDEX(_Datos!$S$7:$S$200,$P154))</f>
        <v/>
      </c>
      <c r="J154" s="168" t="str">
        <f ca="1">IF($P154="","",INDEX(_Datos!$T$7:$T$200,$P154))</f>
        <v/>
      </c>
      <c r="K154" s="167" t="str">
        <f ca="1">IF($P154="","",INDEX(_Datos!$V$7:$V$200,$P154))</f>
        <v/>
      </c>
      <c r="L154" s="168" t="str">
        <f ca="1">IF($P154="","",INDEX(_Datos!$W$7:$W$200,$P154))</f>
        <v/>
      </c>
      <c r="M154" s="162" t="str">
        <f ca="1">IF($P154="","",INDEX(_Datos!$AC$7:$AC$200,$P154))</f>
        <v/>
      </c>
      <c r="P154" s="163" t="str">
        <f ca="1">IFERROR(MATCH(LARGE(_Datos!$AJ$7:$AJ$200,ROW()-7+1),_Datos!$AJ$7:$AJ$200,0),"")</f>
        <v/>
      </c>
    </row>
    <row r="155" spans="2:16" hidden="1" x14ac:dyDescent="0.35">
      <c r="B155" s="165" t="str">
        <f ca="1">IF($P155="","",INDEX(_Datos!$AB$7:$AB$200,$P155))</f>
        <v/>
      </c>
      <c r="C155" s="165" t="str">
        <f ca="1">IF($P155="","",INDEX(_Datos!$AE$7:$AE$200,$P155))</f>
        <v/>
      </c>
      <c r="D155" s="162" t="str">
        <f ca="1">IF($P155="","",INDEX(_Datos!$F$7:$F$200,$P155))</f>
        <v/>
      </c>
      <c r="E155" s="162" t="str">
        <f ca="1">IF($P155="","",INDEX(_Datos!$G$7:$G$200,$P155))</f>
        <v/>
      </c>
      <c r="F155" s="166" t="str">
        <f ca="1">IF($P155="","",INDEX(_Datos!$H$7:$H$200,$P155))</f>
        <v/>
      </c>
      <c r="G155" s="165" t="str">
        <f ca="1">IF($P155="","",INDEX(_Datos!$J$7:$J$200,$P155))</f>
        <v/>
      </c>
      <c r="H155" s="168" t="str">
        <f ca="1">IF($P155="","",INDEX(_Datos!$K$7:$K$200,$P155))</f>
        <v/>
      </c>
      <c r="I155" s="168" t="str">
        <f ca="1">IF($P155="","",INDEX(_Datos!$S$7:$S$200,$P155))</f>
        <v/>
      </c>
      <c r="J155" s="168" t="str">
        <f ca="1">IF($P155="","",INDEX(_Datos!$T$7:$T$200,$P155))</f>
        <v/>
      </c>
      <c r="K155" s="167" t="str">
        <f ca="1">IF($P155="","",INDEX(_Datos!$V$7:$V$200,$P155))</f>
        <v/>
      </c>
      <c r="L155" s="168" t="str">
        <f ca="1">IF($P155="","",INDEX(_Datos!$W$7:$W$200,$P155))</f>
        <v/>
      </c>
      <c r="M155" s="162" t="str">
        <f ca="1">IF($P155="","",INDEX(_Datos!$AC$7:$AC$200,$P155))</f>
        <v/>
      </c>
      <c r="P155" s="163" t="str">
        <f ca="1">IFERROR(MATCH(LARGE(_Datos!$AJ$7:$AJ$200,ROW()-7+1),_Datos!$AJ$7:$AJ$200,0),"")</f>
        <v/>
      </c>
    </row>
    <row r="156" spans="2:16" hidden="1" x14ac:dyDescent="0.35">
      <c r="B156" s="165" t="str">
        <f ca="1">IF($P156="","",INDEX(_Datos!$AB$7:$AB$200,$P156))</f>
        <v/>
      </c>
      <c r="C156" s="165" t="str">
        <f ca="1">IF($P156="","",INDEX(_Datos!$AE$7:$AE$200,$P156))</f>
        <v/>
      </c>
      <c r="D156" s="162" t="str">
        <f ca="1">IF($P156="","",INDEX(_Datos!$F$7:$F$200,$P156))</f>
        <v/>
      </c>
      <c r="E156" s="162" t="str">
        <f ca="1">IF($P156="","",INDEX(_Datos!$G$7:$G$200,$P156))</f>
        <v/>
      </c>
      <c r="F156" s="166" t="str">
        <f ca="1">IF($P156="","",INDEX(_Datos!$H$7:$H$200,$P156))</f>
        <v/>
      </c>
      <c r="G156" s="165" t="str">
        <f ca="1">IF($P156="","",INDEX(_Datos!$J$7:$J$200,$P156))</f>
        <v/>
      </c>
      <c r="H156" s="168" t="str">
        <f ca="1">IF($P156="","",INDEX(_Datos!$K$7:$K$200,$P156))</f>
        <v/>
      </c>
      <c r="I156" s="168" t="str">
        <f ca="1">IF($P156="","",INDEX(_Datos!$S$7:$S$200,$P156))</f>
        <v/>
      </c>
      <c r="J156" s="168" t="str">
        <f ca="1">IF($P156="","",INDEX(_Datos!$T$7:$T$200,$P156))</f>
        <v/>
      </c>
      <c r="K156" s="167" t="str">
        <f ca="1">IF($P156="","",INDEX(_Datos!$V$7:$V$200,$P156))</f>
        <v/>
      </c>
      <c r="L156" s="168" t="str">
        <f ca="1">IF($P156="","",INDEX(_Datos!$W$7:$W$200,$P156))</f>
        <v/>
      </c>
      <c r="M156" s="162" t="str">
        <f ca="1">IF($P156="","",INDEX(_Datos!$AC$7:$AC$200,$P156))</f>
        <v/>
      </c>
      <c r="P156" s="163" t="str">
        <f ca="1">IFERROR(MATCH(LARGE(_Datos!$AJ$7:$AJ$200,ROW()-7+1),_Datos!$AJ$7:$AJ$200,0),"")</f>
        <v/>
      </c>
    </row>
  </sheetData>
  <autoFilter ref="B6:M156" xr:uid="{00000000-0001-0000-0500-000000000000}">
    <filterColumn colId="1">
      <filters>
        <filter val="1"/>
        <filter val="2"/>
      </filters>
    </filterColumn>
  </autoFilter>
  <mergeCells count="7">
    <mergeCell ref="B5:M5"/>
    <mergeCell ref="B1:M1"/>
    <mergeCell ref="B2:M2"/>
    <mergeCell ref="C3:D3"/>
    <mergeCell ref="F3:G3"/>
    <mergeCell ref="H3:I3"/>
    <mergeCell ref="K3:L3"/>
  </mergeCells>
  <conditionalFormatting sqref="B7:B156">
    <cfRule type="expression" dxfId="14" priority="11">
      <formula>$B7="Crítica"</formula>
    </cfRule>
    <cfRule type="expression" dxfId="13" priority="12">
      <formula>$B7="Alta"</formula>
    </cfRule>
    <cfRule type="expression" dxfId="12" priority="13">
      <formula>$B7="Media"</formula>
    </cfRule>
  </conditionalFormatting>
  <conditionalFormatting sqref="B7:M156">
    <cfRule type="expression" dxfId="11" priority="40">
      <formula>$D7&lt;&gt;""</formula>
    </cfRule>
  </conditionalFormatting>
  <conditionalFormatting sqref="G7:G156">
    <cfRule type="expression" dxfId="10" priority="21">
      <formula>$G7="Vencido"</formula>
    </cfRule>
    <cfRule type="expression" dxfId="9" priority="22">
      <formula>$G7="Próximo a vencer"</formula>
    </cfRule>
    <cfRule type="expression" dxfId="8" priority="23">
      <formula>$G7="En curso"</formula>
    </cfRule>
    <cfRule type="expression" dxfId="7" priority="24">
      <formula>$G7="Completado"</formula>
    </cfRule>
  </conditionalFormatting>
  <pageMargins left="0.4" right="0.4" top="0.5" bottom="0.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200"/>
  <sheetViews>
    <sheetView showGridLines="0" topLeftCell="D1" workbookViewId="0">
      <pane ySplit="6" topLeftCell="A7" activePane="bottomLeft" state="frozen"/>
      <selection pane="bottomLeft" activeCell="M7" sqref="M7"/>
    </sheetView>
  </sheetViews>
  <sheetFormatPr baseColWidth="10" defaultColWidth="8.7265625" defaultRowHeight="14.5" x14ac:dyDescent="0.35"/>
  <cols>
    <col min="1" max="1" width="2.453125" customWidth="1"/>
    <col min="2" max="2" width="8" customWidth="1"/>
    <col min="3" max="3" width="42" customWidth="1"/>
    <col min="4" max="4" width="18" customWidth="1"/>
    <col min="5" max="5" width="12" customWidth="1"/>
    <col min="6" max="6" width="16" customWidth="1"/>
    <col min="7" max="7" width="13" customWidth="1"/>
    <col min="8" max="8" width="10" customWidth="1"/>
    <col min="9" max="9" width="30" customWidth="1"/>
    <col min="10" max="10" width="3" customWidth="1"/>
    <col min="11" max="11" width="9" customWidth="1"/>
    <col min="12" max="12" width="22" customWidth="1"/>
    <col min="13" max="13" width="13" customWidth="1"/>
    <col min="14" max="14" width="3" customWidth="1"/>
    <col min="15" max="15" width="30" customWidth="1"/>
  </cols>
  <sheetData>
    <row r="1" spans="2:15" ht="26" customHeight="1" x14ac:dyDescent="0.35">
      <c r="B1" s="188" t="s">
        <v>178</v>
      </c>
      <c r="C1" s="188"/>
      <c r="D1" s="188"/>
      <c r="E1" s="188"/>
      <c r="F1" s="188"/>
      <c r="G1" s="188"/>
      <c r="H1" s="188"/>
      <c r="I1" s="188"/>
    </row>
    <row r="2" spans="2:15" ht="30" customHeight="1" x14ac:dyDescent="0.35">
      <c r="B2" s="189" t="s">
        <v>179</v>
      </c>
      <c r="C2" s="189"/>
      <c r="D2" s="189"/>
      <c r="E2" s="189"/>
      <c r="F2" s="189"/>
      <c r="G2" s="189"/>
      <c r="H2" s="189"/>
      <c r="I2" s="189"/>
    </row>
    <row r="4" spans="2:15" ht="15.5" x14ac:dyDescent="0.35">
      <c r="B4" s="193" t="s">
        <v>180</v>
      </c>
      <c r="C4" s="193"/>
      <c r="D4" s="193"/>
      <c r="E4" s="193"/>
      <c r="F4" s="193"/>
      <c r="G4" s="193"/>
      <c r="H4" s="193"/>
      <c r="I4" s="193"/>
      <c r="K4" s="193" t="s">
        <v>181</v>
      </c>
      <c r="L4" s="193"/>
      <c r="M4" s="193"/>
      <c r="O4" s="150" t="s">
        <v>182</v>
      </c>
    </row>
    <row r="5" spans="2:15" x14ac:dyDescent="0.35">
      <c r="K5" s="149" t="s">
        <v>101</v>
      </c>
      <c r="L5" s="149" t="s">
        <v>183</v>
      </c>
      <c r="M5" s="149" t="s">
        <v>184</v>
      </c>
      <c r="O5" s="162" t="s">
        <v>185</v>
      </c>
    </row>
    <row r="6" spans="2:15" x14ac:dyDescent="0.35">
      <c r="B6" s="149" t="s">
        <v>186</v>
      </c>
      <c r="C6" s="149" t="s">
        <v>168</v>
      </c>
      <c r="D6" s="149" t="s">
        <v>169</v>
      </c>
      <c r="E6" s="149" t="s">
        <v>187</v>
      </c>
      <c r="F6" s="149" t="s">
        <v>171</v>
      </c>
      <c r="G6" s="149" t="s">
        <v>188</v>
      </c>
      <c r="H6" s="149" t="s">
        <v>189</v>
      </c>
      <c r="I6" s="149" t="s">
        <v>190</v>
      </c>
      <c r="K6" s="165">
        <v>1</v>
      </c>
      <c r="L6" s="159" t="s">
        <v>191</v>
      </c>
      <c r="M6" s="160">
        <f>DATE(2026,6,13)</f>
        <v>46186</v>
      </c>
      <c r="O6" s="162" t="s">
        <v>192</v>
      </c>
    </row>
    <row r="7" spans="2:15" x14ac:dyDescent="0.35">
      <c r="B7" s="165" t="str">
        <f ca="1">IF(_Datos!$C7,_Datos!$O7,"")</f>
        <v/>
      </c>
      <c r="C7" s="162" t="str">
        <f ca="1">IF(_Datos!$C7,_Datos!$F7,"")</f>
        <v/>
      </c>
      <c r="D7" s="162" t="str">
        <f ca="1">IF(_Datos!$C7,_Datos!$G7,"")</f>
        <v/>
      </c>
      <c r="E7" s="165" t="str">
        <f ca="1">IF(_Datos!$C7,IF(_Datos!$N7=9999,"(Sin sprint)",_Datos!$N7),"")</f>
        <v/>
      </c>
      <c r="F7" s="165" t="str">
        <f ca="1">IF(_Datos!$C7,_Datos!$J7,"")</f>
        <v/>
      </c>
      <c r="G7" s="165" t="str">
        <f ca="1">IF(_Datos!$C7,_Datos!$AE7,"")</f>
        <v/>
      </c>
      <c r="H7" s="168" t="str">
        <f ca="1">IF(_Datos!$C7,IF(_Datos!$AF7,_Datos!$AP7,"-"),"")</f>
        <v/>
      </c>
      <c r="I7" s="162"/>
      <c r="K7" s="165">
        <v>2</v>
      </c>
      <c r="L7" s="159" t="s">
        <v>193</v>
      </c>
      <c r="M7" s="160">
        <f>DATE(2026,6,27)</f>
        <v>46200</v>
      </c>
      <c r="O7" s="162" t="s">
        <v>194</v>
      </c>
    </row>
    <row r="8" spans="2:15" x14ac:dyDescent="0.35">
      <c r="B8" s="165" t="str">
        <f>IF(_Datos!$C8,_Datos!$O8,"")</f>
        <v>T008</v>
      </c>
      <c r="C8" s="162" t="str">
        <f>IF(_Datos!$C8,_Datos!$F8,"")</f>
        <v>Disponibilidad de información centralizada en GOC (aguarda desarrollo)</v>
      </c>
      <c r="D8" s="162" t="str">
        <f>IF(_Datos!$C8,_Datos!$G8,"")</f>
        <v>Lucila Pronzato</v>
      </c>
      <c r="E8" s="165">
        <f>IF(_Datos!$C8,IF(_Datos!$N8=9999,"(Sin sprint)",_Datos!$N8),"")</f>
        <v>1</v>
      </c>
      <c r="F8" s="165" t="str">
        <f ca="1">IF(_Datos!$C8,_Datos!$J8,"")</f>
        <v>En curso</v>
      </c>
      <c r="G8" s="165">
        <f ca="1">IF(_Datos!$C8,_Datos!$AE8,"")</f>
        <v>2</v>
      </c>
      <c r="H8" s="168">
        <f ca="1">IF(_Datos!$C8,IF(_Datos!$AF8,_Datos!$AP8,"-"),"")</f>
        <v>6</v>
      </c>
      <c r="I8" s="162"/>
      <c r="K8" s="165">
        <v>3</v>
      </c>
      <c r="L8" s="159" t="s">
        <v>195</v>
      </c>
      <c r="M8" s="160">
        <f>DATE(2026,7,11)</f>
        <v>46214</v>
      </c>
      <c r="O8" s="162" t="s">
        <v>196</v>
      </c>
    </row>
    <row r="9" spans="2:15" x14ac:dyDescent="0.35">
      <c r="B9" s="165" t="str">
        <f ca="1">IF(_Datos!$C9,_Datos!$O9,"")</f>
        <v/>
      </c>
      <c r="C9" s="162" t="str">
        <f ca="1">IF(_Datos!$C9,_Datos!$F9,"")</f>
        <v/>
      </c>
      <c r="D9" s="162" t="str">
        <f ca="1">IF(_Datos!$C9,_Datos!$G9,"")</f>
        <v/>
      </c>
      <c r="E9" s="165" t="str">
        <f ca="1">IF(_Datos!$C9,IF(_Datos!$N9=9999,"(Sin sprint)",_Datos!$N9),"")</f>
        <v/>
      </c>
      <c r="F9" s="165" t="str">
        <f ca="1">IF(_Datos!$C9,_Datos!$J9,"")</f>
        <v/>
      </c>
      <c r="G9" s="165" t="str">
        <f ca="1">IF(_Datos!$C9,_Datos!$AE9,"")</f>
        <v/>
      </c>
      <c r="H9" s="168" t="str">
        <f ca="1">IF(_Datos!$C9,IF(_Datos!$AF9,_Datos!$AP9,"-"),"")</f>
        <v/>
      </c>
      <c r="I9" s="162"/>
      <c r="K9" s="165">
        <v>4</v>
      </c>
      <c r="L9" s="159" t="s">
        <v>197</v>
      </c>
      <c r="M9" s="160">
        <f>DATE(2026,7,25)</f>
        <v>46228</v>
      </c>
      <c r="O9" s="162" t="s">
        <v>198</v>
      </c>
    </row>
    <row r="10" spans="2:15" x14ac:dyDescent="0.35">
      <c r="B10" s="165" t="str">
        <f>IF(_Datos!$C10,_Datos!$O10,"")</f>
        <v>T010</v>
      </c>
      <c r="C10" s="162" t="str">
        <f>IF(_Datos!$C10,_Datos!$F10,"")</f>
        <v>Crear estructura de Cotizador en base a modelo armado (migra a CLAUDE)</v>
      </c>
      <c r="D10" s="162" t="str">
        <f>IF(_Datos!$C10,_Datos!$G10,"")</f>
        <v>Santiago Alonso</v>
      </c>
      <c r="E10" s="165">
        <f>IF(_Datos!$C10,IF(_Datos!$N10=9999,"(Sin sprint)",_Datos!$N10),"")</f>
        <v>1</v>
      </c>
      <c r="F10" s="165" t="str">
        <f ca="1">IF(_Datos!$C10,_Datos!$J10,"")</f>
        <v>Completado</v>
      </c>
      <c r="G10" s="165">
        <f ca="1">IF(_Datos!$C10,_Datos!$AE10,"")</f>
        <v>1</v>
      </c>
      <c r="H10" s="168" t="str">
        <f ca="1">IF(_Datos!$C10,IF(_Datos!$AF10,_Datos!$AP10,"-"),"")</f>
        <v>-</v>
      </c>
      <c r="I10" s="162"/>
      <c r="K10" s="165">
        <v>5</v>
      </c>
      <c r="L10" s="159" t="s">
        <v>199</v>
      </c>
      <c r="M10" s="160">
        <f>DATE(2026,8,8)</f>
        <v>46242</v>
      </c>
      <c r="O10" s="162" t="s">
        <v>200</v>
      </c>
    </row>
    <row r="11" spans="2:15" x14ac:dyDescent="0.35">
      <c r="B11" s="165" t="str">
        <f>IF(_Datos!$C11,_Datos!$O11,"")</f>
        <v>T011</v>
      </c>
      <c r="C11" s="162" t="str">
        <f>IF(_Datos!$C11,_Datos!$F11,"")</f>
        <v>Automatización Archivo Sueldos FATSA + Procedimientos</v>
      </c>
      <c r="D11" s="162" t="str">
        <f>IF(_Datos!$C11,_Datos!$G11,"")</f>
        <v>Santiago Alonso</v>
      </c>
      <c r="E11" s="165">
        <f>IF(_Datos!$C11,IF(_Datos!$N11=9999,"(Sin sprint)",_Datos!$N11),"")</f>
        <v>1</v>
      </c>
      <c r="F11" s="165" t="str">
        <f ca="1">IF(_Datos!$C11,_Datos!$J11,"")</f>
        <v>Próximo a vencer</v>
      </c>
      <c r="G11" s="165">
        <f ca="1">IF(_Datos!$C11,_Datos!$AE11,"")</f>
        <v>2</v>
      </c>
      <c r="H11" s="168">
        <f ca="1">IF(_Datos!$C11,IF(_Datos!$AF11,_Datos!$AP11,"-"),"")</f>
        <v>6</v>
      </c>
      <c r="I11" s="162"/>
      <c r="K11" s="165">
        <v>6</v>
      </c>
      <c r="L11" s="159" t="s">
        <v>201</v>
      </c>
      <c r="M11" s="160">
        <f>DATE(2026,8,22)</f>
        <v>46256</v>
      </c>
      <c r="O11" s="162" t="s">
        <v>202</v>
      </c>
    </row>
    <row r="12" spans="2:15" x14ac:dyDescent="0.35">
      <c r="B12" s="165" t="str">
        <f>IF(_Datos!$C12,_Datos!$O12,"")</f>
        <v>T012</v>
      </c>
      <c r="C12" s="162" t="str">
        <f>IF(_Datos!$C12,_Datos!$F12,"")</f>
        <v>Automatización Archivo Sueldos Petro + Procedimientos</v>
      </c>
      <c r="D12" s="162" t="str">
        <f>IF(_Datos!$C12,_Datos!$G12,"")</f>
        <v>Santiago Alonso</v>
      </c>
      <c r="E12" s="165">
        <f>IF(_Datos!$C12,IF(_Datos!$N12=9999,"(Sin sprint)",_Datos!$N12),"")</f>
        <v>1</v>
      </c>
      <c r="F12" s="165" t="str">
        <f ca="1">IF(_Datos!$C12,_Datos!$J12,"")</f>
        <v>Próximo a vencer</v>
      </c>
      <c r="G12" s="165">
        <f ca="1">IF(_Datos!$C12,_Datos!$AE12,"")</f>
        <v>2</v>
      </c>
      <c r="H12" s="168">
        <f ca="1">IF(_Datos!$C12,IF(_Datos!$AF12,_Datos!$AP12,"-"),"")</f>
        <v>6</v>
      </c>
      <c r="I12" s="162"/>
      <c r="K12" s="165">
        <v>7</v>
      </c>
      <c r="L12" s="159" t="s">
        <v>203</v>
      </c>
      <c r="M12" s="160">
        <f>DATE(2026,9,5)</f>
        <v>46270</v>
      </c>
      <c r="O12" s="162" t="s">
        <v>204</v>
      </c>
    </row>
    <row r="13" spans="2:15" x14ac:dyDescent="0.35">
      <c r="B13" s="165" t="str">
        <f>IF(_Datos!$C13,_Datos!$O13,"")</f>
        <v>T013</v>
      </c>
      <c r="C13" s="162" t="str">
        <f>IF(_Datos!$C13,_Datos!$F13,"")</f>
        <v>Relevamiento Últimos Sueldos de referencia Monotributistas</v>
      </c>
      <c r="D13" s="162" t="str">
        <f>IF(_Datos!$C13,_Datos!$G13,"")</f>
        <v>Santiago Alonso</v>
      </c>
      <c r="E13" s="165">
        <f>IF(_Datos!$C13,IF(_Datos!$N13=9999,"(Sin sprint)",_Datos!$N13),"")</f>
        <v>1</v>
      </c>
      <c r="F13" s="165" t="str">
        <f ca="1">IF(_Datos!$C13,_Datos!$J13,"")</f>
        <v>Próximo a vencer</v>
      </c>
      <c r="G13" s="165">
        <f ca="1">IF(_Datos!$C13,_Datos!$AE13,"")</f>
        <v>2</v>
      </c>
      <c r="H13" s="168">
        <f ca="1">IF(_Datos!$C13,IF(_Datos!$AF13,_Datos!$AP13,"-"),"")</f>
        <v>6</v>
      </c>
      <c r="I13" s="162"/>
      <c r="K13" s="165">
        <v>8</v>
      </c>
      <c r="L13" s="159" t="s">
        <v>205</v>
      </c>
      <c r="M13" s="160">
        <f>DATE(2026,9,19)</f>
        <v>46284</v>
      </c>
    </row>
    <row r="14" spans="2:15" x14ac:dyDescent="0.35">
      <c r="B14" s="165" t="str">
        <f>IF(_Datos!$C14,_Datos!$O14,"")</f>
        <v>T014</v>
      </c>
      <c r="C14" s="162" t="str">
        <f>IF(_Datos!$C14,_Datos!$F14,"")</f>
        <v>Estandarización cotizaciones COMPRAS (costos x provincia) - aguardo información</v>
      </c>
      <c r="D14" s="162" t="str">
        <f>IF(_Datos!$C14,_Datos!$G14,"")</f>
        <v>Santiago Alonso</v>
      </c>
      <c r="E14" s="165" t="str">
        <f>IF(_Datos!$C14,IF(_Datos!$N14=9999,"(Sin sprint)",_Datos!$N14),"")</f>
        <v>(Sin sprint)</v>
      </c>
      <c r="F14" s="165" t="str">
        <f ca="1">IF(_Datos!$C14,_Datos!$J14,"")</f>
        <v>Próximo a vencer</v>
      </c>
      <c r="G14" s="165" t="str">
        <f>IF(_Datos!$C14,_Datos!$AE14,"")</f>
        <v>(Sin sprint)</v>
      </c>
      <c r="H14" s="168" t="str">
        <f>IF(_Datos!$C14,IF(_Datos!$AF14,_Datos!$AP14,"-"),"")</f>
        <v>-</v>
      </c>
      <c r="I14" s="162"/>
    </row>
    <row r="15" spans="2:15" x14ac:dyDescent="0.35">
      <c r="B15" s="165" t="str">
        <f>IF(_Datos!$C15,_Datos!$O15,"")</f>
        <v>T015</v>
      </c>
      <c r="C15" s="162" t="str">
        <f>IF(_Datos!$C15,_Datos!$F15,"")</f>
        <v>Asociar Archivo Móviles y Tráilers (Nico Sifuentes) + procedimiento</v>
      </c>
      <c r="D15" s="162" t="str">
        <f>IF(_Datos!$C15,_Datos!$G15,"")</f>
        <v>Santiago Alonso</v>
      </c>
      <c r="E15" s="165">
        <f>IF(_Datos!$C15,IF(_Datos!$N15=9999,"(Sin sprint)",_Datos!$N15),"")</f>
        <v>1</v>
      </c>
      <c r="F15" s="165" t="str">
        <f ca="1">IF(_Datos!$C15,_Datos!$J15,"")</f>
        <v>Próximo a vencer</v>
      </c>
      <c r="G15" s="165">
        <f ca="1">IF(_Datos!$C15,_Datos!$AE15,"")</f>
        <v>2</v>
      </c>
      <c r="H15" s="168">
        <f ca="1">IF(_Datos!$C15,IF(_Datos!$AF15,_Datos!$AP15,"-"),"")</f>
        <v>6</v>
      </c>
      <c r="I15" s="162"/>
      <c r="K15" s="202" t="s">
        <v>206</v>
      </c>
      <c r="L15" s="202"/>
      <c r="M15" s="157">
        <f ca="1">MIN(COUNT($K$6:$K$13),COUNTIF($M$6:$M$13,"&lt;"&amp;TODAY())+1)</f>
        <v>2</v>
      </c>
    </row>
    <row r="16" spans="2:15" x14ac:dyDescent="0.35">
      <c r="B16" s="165" t="str">
        <f>IF(_Datos!$C16,_Datos!$O16,"")</f>
        <v>T016</v>
      </c>
      <c r="C16" s="162" t="str">
        <f>IF(_Datos!$C16,_Datos!$F16,"")</f>
        <v>Asociar Archivo Masters de Medicación (Seba Oliver) + Capacitaciones + procedimiento</v>
      </c>
      <c r="D16" s="162" t="str">
        <f>IF(_Datos!$C16,_Datos!$G16,"")</f>
        <v>Santiago Alonso</v>
      </c>
      <c r="E16" s="165">
        <f>IF(_Datos!$C16,IF(_Datos!$N16=9999,"(Sin sprint)",_Datos!$N16),"")</f>
        <v>1</v>
      </c>
      <c r="F16" s="165" t="str">
        <f ca="1">IF(_Datos!$C16,_Datos!$J16,"")</f>
        <v>Próximo a vencer</v>
      </c>
      <c r="G16" s="165">
        <f ca="1">IF(_Datos!$C16,_Datos!$AE16,"")</f>
        <v>2</v>
      </c>
      <c r="H16" s="168">
        <f ca="1">IF(_Datos!$C16,IF(_Datos!$AF16,_Datos!$AP16,"-"),"")</f>
        <v>6</v>
      </c>
      <c r="I16" s="162"/>
      <c r="K16" s="202" t="s">
        <v>207</v>
      </c>
      <c r="L16" s="202"/>
      <c r="M16" s="158">
        <f ca="1">TODAY()</f>
        <v>46192</v>
      </c>
    </row>
    <row r="17" spans="2:9" x14ac:dyDescent="0.35">
      <c r="B17" s="165" t="str">
        <f>IF(_Datos!$C17,_Datos!$O17,"")</f>
        <v>T017</v>
      </c>
      <c r="C17" s="162" t="str">
        <f>IF(_Datos!$C17,_Datos!$F17,"")</f>
        <v>Asociar Gastos de Estructura (% de incidencia)</v>
      </c>
      <c r="D17" s="162" t="str">
        <f>IF(_Datos!$C17,_Datos!$G17,"")</f>
        <v>Santiago Alonso</v>
      </c>
      <c r="E17" s="165" t="str">
        <f>IF(_Datos!$C17,IF(_Datos!$N17=9999,"(Sin sprint)",_Datos!$N17),"")</f>
        <v>(Sin sprint)</v>
      </c>
      <c r="F17" s="165" t="str">
        <f ca="1">IF(_Datos!$C17,_Datos!$J17,"")</f>
        <v>En curso</v>
      </c>
      <c r="G17" s="165" t="str">
        <f>IF(_Datos!$C17,_Datos!$AE17,"")</f>
        <v>(Sin sprint)</v>
      </c>
      <c r="H17" s="168" t="str">
        <f>IF(_Datos!$C17,IF(_Datos!$AF17,_Datos!$AP17,"-"),"")</f>
        <v>-</v>
      </c>
      <c r="I17" s="162"/>
    </row>
    <row r="18" spans="2:9" ht="29" x14ac:dyDescent="0.35">
      <c r="B18" s="165" t="str">
        <f>IF(_Datos!$C18,_Datos!$O18,"")</f>
        <v>T018</v>
      </c>
      <c r="C18" s="162" t="str">
        <f>IF(_Datos!$C18,_Datos!$F18,"")</f>
        <v>Armado de solicitudes extra x Módulos (Ej: Med. Laboral)</v>
      </c>
      <c r="D18" s="162" t="str">
        <f>IF(_Datos!$C18,_Datos!$G18,"")</f>
        <v>Santiago Alonso</v>
      </c>
      <c r="E18" s="165" t="str">
        <f>IF(_Datos!$C18,IF(_Datos!$N18=9999,"(Sin sprint)",_Datos!$N18),"")</f>
        <v>(Sin sprint)</v>
      </c>
      <c r="F18" s="165" t="str">
        <f ca="1">IF(_Datos!$C18,_Datos!$J18,"")</f>
        <v>En curso</v>
      </c>
      <c r="G18" s="165" t="str">
        <f>IF(_Datos!$C18,_Datos!$AE18,"")</f>
        <v>(Sin sprint)</v>
      </c>
      <c r="H18" s="168" t="str">
        <f>IF(_Datos!$C18,IF(_Datos!$AF18,_Datos!$AP18,"-"),"")</f>
        <v>-</v>
      </c>
      <c r="I18" s="162"/>
    </row>
    <row r="19" spans="2:9" ht="29" x14ac:dyDescent="0.35">
      <c r="B19" s="165" t="str">
        <f>IF(_Datos!$C19,_Datos!$O19,"")</f>
        <v>T019</v>
      </c>
      <c r="C19" s="162" t="str">
        <f>IF(_Datos!$C19,_Datos!$F19,"")</f>
        <v>Relevamiento área de IA -  Repositorio (GitHub o AWS S3) + Seguridad</v>
      </c>
      <c r="D19" s="162" t="str">
        <f>IF(_Datos!$C19,_Datos!$G19,"")</f>
        <v>Santiago Alonso</v>
      </c>
      <c r="E19" s="165">
        <f>IF(_Datos!$C19,IF(_Datos!$N19=9999,"(Sin sprint)",_Datos!$N19),"")</f>
        <v>1</v>
      </c>
      <c r="F19" s="165" t="str">
        <f ca="1">IF(_Datos!$C19,_Datos!$J19,"")</f>
        <v>Completado</v>
      </c>
      <c r="G19" s="165">
        <f ca="1">IF(_Datos!$C19,_Datos!$AE19,"")</f>
        <v>1</v>
      </c>
      <c r="H19" s="168" t="str">
        <f ca="1">IF(_Datos!$C19,IF(_Datos!$AF19,_Datos!$AP19,"-"),"")</f>
        <v>-</v>
      </c>
      <c r="I19" s="162"/>
    </row>
    <row r="20" spans="2:9" x14ac:dyDescent="0.35">
      <c r="B20" s="165" t="str">
        <f>IF(_Datos!$C20,_Datos!$O20,"")</f>
        <v>T020</v>
      </c>
      <c r="C20" s="162" t="str">
        <f>IF(_Datos!$C20,_Datos!$F20,"")</f>
        <v>Crear Backend ETL - ver con Claude Code</v>
      </c>
      <c r="D20" s="162" t="str">
        <f>IF(_Datos!$C20,_Datos!$G20,"")</f>
        <v>Santiago Alonso</v>
      </c>
      <c r="E20" s="165" t="str">
        <f>IF(_Datos!$C20,IF(_Datos!$N20=9999,"(Sin sprint)",_Datos!$N20),"")</f>
        <v>(Sin sprint)</v>
      </c>
      <c r="F20" s="165" t="str">
        <f ca="1">IF(_Datos!$C20,_Datos!$J20,"")</f>
        <v>En curso</v>
      </c>
      <c r="G20" s="165" t="str">
        <f>IF(_Datos!$C20,_Datos!$AE20,"")</f>
        <v>(Sin sprint)</v>
      </c>
      <c r="H20" s="168" t="str">
        <f>IF(_Datos!$C20,IF(_Datos!$AF20,_Datos!$AP20,"-"),"")</f>
        <v>-</v>
      </c>
      <c r="I20" s="162"/>
    </row>
    <row r="21" spans="2:9" x14ac:dyDescent="0.35">
      <c r="B21" s="165" t="str">
        <f>IF(_Datos!$C21,_Datos!$O21,"")</f>
        <v>T021</v>
      </c>
      <c r="C21" s="162" t="str">
        <f>IF(_Datos!$C21,_Datos!$F21,"")</f>
        <v>Deployar (URL Web)</v>
      </c>
      <c r="D21" s="162" t="str">
        <f>IF(_Datos!$C21,_Datos!$G21,"")</f>
        <v>Santiago Alonso</v>
      </c>
      <c r="E21" s="165" t="str">
        <f>IF(_Datos!$C21,IF(_Datos!$N21=9999,"(Sin sprint)",_Datos!$N21),"")</f>
        <v>(Sin sprint)</v>
      </c>
      <c r="F21" s="165" t="str">
        <f ca="1">IF(_Datos!$C21,_Datos!$J21,"")</f>
        <v>En curso</v>
      </c>
      <c r="G21" s="165" t="str">
        <f>IF(_Datos!$C21,_Datos!$AE21,"")</f>
        <v>(Sin sprint)</v>
      </c>
      <c r="H21" s="168" t="str">
        <f>IF(_Datos!$C21,IF(_Datos!$AF21,_Datos!$AP21,"-"),"")</f>
        <v>-</v>
      </c>
      <c r="I21" s="162"/>
    </row>
    <row r="22" spans="2:9" x14ac:dyDescent="0.35">
      <c r="B22" s="165" t="str">
        <f ca="1">IF(_Datos!$C22,_Datos!$O22,"")</f>
        <v/>
      </c>
      <c r="C22" s="162" t="str">
        <f ca="1">IF(_Datos!$C22,_Datos!$F22,"")</f>
        <v/>
      </c>
      <c r="D22" s="162" t="str">
        <f ca="1">IF(_Datos!$C22,_Datos!$G22,"")</f>
        <v/>
      </c>
      <c r="E22" s="165" t="str">
        <f ca="1">IF(_Datos!$C22,IF(_Datos!$N22=9999,"(Sin sprint)",_Datos!$N22),"")</f>
        <v/>
      </c>
      <c r="F22" s="165" t="str">
        <f ca="1">IF(_Datos!$C22,_Datos!$J22,"")</f>
        <v/>
      </c>
      <c r="G22" s="165" t="str">
        <f ca="1">IF(_Datos!$C22,_Datos!$AE22,"")</f>
        <v/>
      </c>
      <c r="H22" s="168" t="str">
        <f ca="1">IF(_Datos!$C22,IF(_Datos!$AF22,_Datos!$AP22,"-"),"")</f>
        <v/>
      </c>
      <c r="I22" s="162"/>
    </row>
    <row r="23" spans="2:9" x14ac:dyDescent="0.35">
      <c r="B23" s="165" t="str">
        <f>IF(_Datos!$C23,_Datos!$O23,"")</f>
        <v>T023</v>
      </c>
      <c r="C23" s="162" t="str">
        <f>IF(_Datos!$C23,_Datos!$F23,"")</f>
        <v>Armado de Procedimiento</v>
      </c>
      <c r="D23" s="162" t="str">
        <f>IF(_Datos!$C23,_Datos!$G23,"")</f>
        <v>Santiago Alonso</v>
      </c>
      <c r="E23" s="165">
        <f>IF(_Datos!$C23,IF(_Datos!$N23=9999,"(Sin sprint)",_Datos!$N23),"")</f>
        <v>1</v>
      </c>
      <c r="F23" s="165" t="str">
        <f ca="1">IF(_Datos!$C23,_Datos!$J23,"")</f>
        <v>Próximo a vencer</v>
      </c>
      <c r="G23" s="165">
        <f ca="1">IF(_Datos!$C23,_Datos!$AE23,"")</f>
        <v>2</v>
      </c>
      <c r="H23" s="168">
        <f ca="1">IF(_Datos!$C23,IF(_Datos!$AF23,_Datos!$AP23,"-"),"")</f>
        <v>6</v>
      </c>
      <c r="I23" s="162"/>
    </row>
    <row r="24" spans="2:9" ht="29" x14ac:dyDescent="0.35">
      <c r="B24" s="165" t="str">
        <f>IF(_Datos!$C24,_Datos!$O24,"")</f>
        <v>T024</v>
      </c>
      <c r="C24" s="162" t="str">
        <f>IF(_Datos!$C24,_Datos!$F24,"")</f>
        <v>Revisión de Gráfico en cascada: por desvío y desagregación por categorías.</v>
      </c>
      <c r="D24" s="162" t="str">
        <f>IF(_Datos!$C24,_Datos!$G24,"")</f>
        <v>Santiago Alonso</v>
      </c>
      <c r="E24" s="165">
        <f>IF(_Datos!$C24,IF(_Datos!$N24=9999,"(Sin sprint)",_Datos!$N24),"")</f>
        <v>1</v>
      </c>
      <c r="F24" s="165" t="str">
        <f ca="1">IF(_Datos!$C24,_Datos!$J24,"")</f>
        <v>Próximo a vencer</v>
      </c>
      <c r="G24" s="165">
        <f ca="1">IF(_Datos!$C24,_Datos!$AE24,"")</f>
        <v>2</v>
      </c>
      <c r="H24" s="168">
        <f ca="1">IF(_Datos!$C24,IF(_Datos!$AF24,_Datos!$AP24,"-"),"")</f>
        <v>6</v>
      </c>
      <c r="I24" s="162"/>
    </row>
    <row r="25" spans="2:9" ht="43.5" x14ac:dyDescent="0.35">
      <c r="B25" s="165" t="str">
        <f>IF(_Datos!$C25,_Datos!$O25,"")</f>
        <v>T025</v>
      </c>
      <c r="C25" s="162" t="str">
        <f>IF(_Datos!$C25,_Datos!$F25,"")</f>
        <v>Revisión de viabilidad de incorporación datos Redash (input ZReal con clasificaciones automaticas por CECO - Directas e Indirectas)</v>
      </c>
      <c r="D25" s="162" t="str">
        <f>IF(_Datos!$C25,_Datos!$G25,"")</f>
        <v>Santiago Alonso</v>
      </c>
      <c r="E25" s="165">
        <f>IF(_Datos!$C25,IF(_Datos!$N25=9999,"(Sin sprint)",_Datos!$N25),"")</f>
        <v>1</v>
      </c>
      <c r="F25" s="165" t="str">
        <f ca="1">IF(_Datos!$C25,_Datos!$J25,"")</f>
        <v>Vencido</v>
      </c>
      <c r="G25" s="165">
        <f ca="1">IF(_Datos!$C25,_Datos!$AE25,"")</f>
        <v>2</v>
      </c>
      <c r="H25" s="168">
        <f ca="1">IF(_Datos!$C25,IF(_Datos!$AF25,_Datos!$AP25,"-"),"")</f>
        <v>6</v>
      </c>
      <c r="I25" s="162"/>
    </row>
    <row r="26" spans="2:9" x14ac:dyDescent="0.35">
      <c r="B26" s="165" t="str">
        <f>IF(_Datos!$C26,_Datos!$O26,"")</f>
        <v>T026</v>
      </c>
      <c r="C26" s="162" t="str">
        <f>IF(_Datos!$C26,_Datos!$F26,"")</f>
        <v>Revisión y Publicación de Tablero</v>
      </c>
      <c r="D26" s="162" t="str">
        <f>IF(_Datos!$C26,_Datos!$G26,"")</f>
        <v>Santiago Alonso</v>
      </c>
      <c r="E26" s="165" t="str">
        <f>IF(_Datos!$C26,IF(_Datos!$N26=9999,"(Sin sprint)",_Datos!$N26),"")</f>
        <v>(Sin sprint)</v>
      </c>
      <c r="F26" s="165" t="str">
        <f ca="1">IF(_Datos!$C26,_Datos!$J26,"")</f>
        <v>Próximo a vencer</v>
      </c>
      <c r="G26" s="165" t="str">
        <f>IF(_Datos!$C26,_Datos!$AE26,"")</f>
        <v>(Sin sprint)</v>
      </c>
      <c r="H26" s="168" t="str">
        <f>IF(_Datos!$C26,IF(_Datos!$AF26,_Datos!$AP26,"-"),"")</f>
        <v>-</v>
      </c>
      <c r="I26" s="162"/>
    </row>
    <row r="27" spans="2:9" x14ac:dyDescent="0.35">
      <c r="B27" s="165" t="str">
        <f ca="1">IF(_Datos!$C27,_Datos!$O27,"")</f>
        <v/>
      </c>
      <c r="C27" s="162" t="str">
        <f ca="1">IF(_Datos!$C27,_Datos!$F27,"")</f>
        <v/>
      </c>
      <c r="D27" s="162" t="str">
        <f ca="1">IF(_Datos!$C27,_Datos!$G27,"")</f>
        <v/>
      </c>
      <c r="E27" s="165" t="str">
        <f ca="1">IF(_Datos!$C27,IF(_Datos!$N27=9999,"(Sin sprint)",_Datos!$N27),"")</f>
        <v/>
      </c>
      <c r="F27" s="165" t="str">
        <f ca="1">IF(_Datos!$C27,_Datos!$J27,"")</f>
        <v/>
      </c>
      <c r="G27" s="165" t="str">
        <f ca="1">IF(_Datos!$C27,_Datos!$AE27,"")</f>
        <v/>
      </c>
      <c r="H27" s="168" t="str">
        <f ca="1">IF(_Datos!$C27,IF(_Datos!$AF27,_Datos!$AP27,"-"),"")</f>
        <v/>
      </c>
      <c r="I27" s="162"/>
    </row>
    <row r="28" spans="2:9" x14ac:dyDescent="0.35">
      <c r="B28" s="165" t="str">
        <f>IF(_Datos!$C28,_Datos!$O28,"")</f>
        <v>T028</v>
      </c>
      <c r="C28" s="162" t="str">
        <f>IF(_Datos!$C28,_Datos!$F28,"")</f>
        <v>Procedimiento</v>
      </c>
      <c r="D28" s="162" t="str">
        <f>IF(_Datos!$C28,_Datos!$G28,"")</f>
        <v>Santiago Alonso</v>
      </c>
      <c r="E28" s="165">
        <f>IF(_Datos!$C28,IF(_Datos!$N28=9999,"(Sin sprint)",_Datos!$N28),"")</f>
        <v>1</v>
      </c>
      <c r="F28" s="165" t="str">
        <f ca="1">IF(_Datos!$C28,_Datos!$J28,"")</f>
        <v>Vencido</v>
      </c>
      <c r="G28" s="165">
        <f ca="1">IF(_Datos!$C28,_Datos!$AE28,"")</f>
        <v>2</v>
      </c>
      <c r="H28" s="168">
        <f ca="1">IF(_Datos!$C28,IF(_Datos!$AF28,_Datos!$AP28,"-"),"")</f>
        <v>6</v>
      </c>
      <c r="I28" s="162"/>
    </row>
    <row r="29" spans="2:9" x14ac:dyDescent="0.35">
      <c r="B29" s="165" t="str">
        <f>IF(_Datos!$C29,_Datos!$O29,"")</f>
        <v>T029</v>
      </c>
      <c r="C29" s="162" t="str">
        <f>IF(_Datos!$C29,_Datos!$F29,"")</f>
        <v>Aging - desde SharePoint</v>
      </c>
      <c r="D29" s="162" t="str">
        <f>IF(_Datos!$C29,_Datos!$G29,"")</f>
        <v>Santiago Alonso</v>
      </c>
      <c r="E29" s="165">
        <f>IF(_Datos!$C29,IF(_Datos!$N29=9999,"(Sin sprint)",_Datos!$N29),"")</f>
        <v>1</v>
      </c>
      <c r="F29" s="165" t="str">
        <f ca="1">IF(_Datos!$C29,_Datos!$J29,"")</f>
        <v>Vencido</v>
      </c>
      <c r="G29" s="165">
        <f ca="1">IF(_Datos!$C29,_Datos!$AE29,"")</f>
        <v>2</v>
      </c>
      <c r="H29" s="168">
        <f ca="1">IF(_Datos!$C29,IF(_Datos!$AF29,_Datos!$AP29,"-"),"")</f>
        <v>6</v>
      </c>
      <c r="I29" s="162"/>
    </row>
    <row r="30" spans="2:9" x14ac:dyDescent="0.35">
      <c r="B30" s="165" t="str">
        <f>IF(_Datos!$C30,_Datos!$O30,"")</f>
        <v>T030</v>
      </c>
      <c r="C30" s="162" t="str">
        <f>IF(_Datos!$C30,_Datos!$F30,"")</f>
        <v>Dias en Calle - desde SharePoint</v>
      </c>
      <c r="D30" s="162" t="str">
        <f>IF(_Datos!$C30,_Datos!$G30,"")</f>
        <v>Santiago Alonso</v>
      </c>
      <c r="E30" s="165">
        <f>IF(_Datos!$C30,IF(_Datos!$N30=9999,"(Sin sprint)",_Datos!$N30),"")</f>
        <v>1</v>
      </c>
      <c r="F30" s="165" t="str">
        <f ca="1">IF(_Datos!$C30,_Datos!$J30,"")</f>
        <v>Vencido</v>
      </c>
      <c r="G30" s="165">
        <f ca="1">IF(_Datos!$C30,_Datos!$AE30,"")</f>
        <v>2</v>
      </c>
      <c r="H30" s="168">
        <f ca="1">IF(_Datos!$C30,IF(_Datos!$AF30,_Datos!$AP30,"-"),"")</f>
        <v>6</v>
      </c>
      <c r="I30" s="162"/>
    </row>
    <row r="31" spans="2:9" x14ac:dyDescent="0.35">
      <c r="B31" s="165" t="str">
        <f>IF(_Datos!$C31,_Datos!$O31,"")</f>
        <v>T031</v>
      </c>
      <c r="C31" s="162" t="str">
        <f>IF(_Datos!$C31,_Datos!$F31,"")</f>
        <v>Input de datos desde Provisión mensual</v>
      </c>
      <c r="D31" s="162" t="str">
        <f>IF(_Datos!$C31,_Datos!$G31,"")</f>
        <v>Santiago Alonso</v>
      </c>
      <c r="E31" s="165">
        <f>IF(_Datos!$C31,IF(_Datos!$N31=9999,"(Sin sprint)",_Datos!$N31),"")</f>
        <v>1</v>
      </c>
      <c r="F31" s="165" t="str">
        <f ca="1">IF(_Datos!$C31,_Datos!$J31,"")</f>
        <v>Vencido</v>
      </c>
      <c r="G31" s="165">
        <f ca="1">IF(_Datos!$C31,_Datos!$AE31,"")</f>
        <v>2</v>
      </c>
      <c r="H31" s="168">
        <f ca="1">IF(_Datos!$C31,IF(_Datos!$AF31,_Datos!$AP31,"-"),"")</f>
        <v>6</v>
      </c>
      <c r="I31" s="162"/>
    </row>
    <row r="32" spans="2:9" ht="29" x14ac:dyDescent="0.35">
      <c r="B32" s="165" t="str">
        <f>IF(_Datos!$C32,_Datos!$O32,"")</f>
        <v>T032</v>
      </c>
      <c r="C32" s="162" t="str">
        <f>IF(_Datos!$C32,_Datos!$F32,"")</f>
        <v>Analizar viabilidad de input Redash: Importe Provisionado (Datalake --&gt; Clik Sense)</v>
      </c>
      <c r="D32" s="162" t="str">
        <f>IF(_Datos!$C32,_Datos!$G32,"")</f>
        <v>Santiago Alonso</v>
      </c>
      <c r="E32" s="165" t="str">
        <f>IF(_Datos!$C32,IF(_Datos!$N32=9999,"(Sin sprint)",_Datos!$N32),"")</f>
        <v>(Sin sprint)</v>
      </c>
      <c r="F32" s="165" t="str">
        <f ca="1">IF(_Datos!$C32,_Datos!$J32,"")</f>
        <v>Próximo a vencer</v>
      </c>
      <c r="G32" s="165" t="str">
        <f>IF(_Datos!$C32,_Datos!$AE32,"")</f>
        <v>(Sin sprint)</v>
      </c>
      <c r="H32" s="168" t="str">
        <f>IF(_Datos!$C32,IF(_Datos!$AF32,_Datos!$AP32,"-"),"")</f>
        <v>-</v>
      </c>
      <c r="I32" s="162"/>
    </row>
    <row r="33" spans="2:9" ht="29" x14ac:dyDescent="0.35">
      <c r="B33" s="165" t="str">
        <f>IF(_Datos!$C33,_Datos!$O33,"")</f>
        <v>T033</v>
      </c>
      <c r="C33" s="162" t="str">
        <f>IF(_Datos!$C33,_Datos!$F33,"")</f>
        <v>Analizar viabilidad de input Redash: Importe Facturado (Datalake --&gt; Clik Sense "Venta Bruta")</v>
      </c>
      <c r="D33" s="162" t="str">
        <f>IF(_Datos!$C33,_Datos!$G33,"")</f>
        <v>Santiago Alonso</v>
      </c>
      <c r="E33" s="165" t="str">
        <f>IF(_Datos!$C33,IF(_Datos!$N33=9999,"(Sin sprint)",_Datos!$N33),"")</f>
        <v>(Sin sprint)</v>
      </c>
      <c r="F33" s="165" t="str">
        <f ca="1">IF(_Datos!$C33,_Datos!$J33,"")</f>
        <v>Próximo a vencer</v>
      </c>
      <c r="G33" s="165" t="str">
        <f>IF(_Datos!$C33,_Datos!$AE33,"")</f>
        <v>(Sin sprint)</v>
      </c>
      <c r="H33" s="168" t="str">
        <f>IF(_Datos!$C33,IF(_Datos!$AF33,_Datos!$AP33,"-"),"")</f>
        <v>-</v>
      </c>
      <c r="I33" s="162"/>
    </row>
    <row r="34" spans="2:9" ht="29" x14ac:dyDescent="0.35">
      <c r="B34" s="165" t="str">
        <f>IF(_Datos!$C34,_Datos!$O34,"")</f>
        <v>T034</v>
      </c>
      <c r="C34" s="162" t="str">
        <f>IF(_Datos!$C34,_Datos!$F34,"")</f>
        <v>Creación detalle deuda Vista - Replicar Excel Deuda</v>
      </c>
      <c r="D34" s="162" t="str">
        <f>IF(_Datos!$C34,_Datos!$G34,"")</f>
        <v>Santiago Alonso</v>
      </c>
      <c r="E34" s="165" t="str">
        <f>IF(_Datos!$C34,IF(_Datos!$N34=9999,"(Sin sprint)",_Datos!$N34),"")</f>
        <v>(Sin sprint)</v>
      </c>
      <c r="F34" s="165" t="str">
        <f ca="1">IF(_Datos!$C34,_Datos!$J34,"")</f>
        <v>Próximo a vencer</v>
      </c>
      <c r="G34" s="165" t="str">
        <f>IF(_Datos!$C34,_Datos!$AE34,"")</f>
        <v>(Sin sprint)</v>
      </c>
      <c r="H34" s="168" t="str">
        <f>IF(_Datos!$C34,IF(_Datos!$AF34,_Datos!$AP34,"-"),"")</f>
        <v>-</v>
      </c>
      <c r="I34" s="162"/>
    </row>
    <row r="35" spans="2:9" x14ac:dyDescent="0.35">
      <c r="B35" s="165" t="str">
        <f>IF(_Datos!$C35,_Datos!$O35,"")</f>
        <v>T035</v>
      </c>
      <c r="C35" s="162" t="str">
        <f>IF(_Datos!$C35,_Datos!$F35,"")</f>
        <v>Creación detalle deuda YPF (ídem Excel)</v>
      </c>
      <c r="D35" s="162" t="str">
        <f>IF(_Datos!$C35,_Datos!$G35,"")</f>
        <v>Santiago Alonso</v>
      </c>
      <c r="E35" s="165" t="str">
        <f>IF(_Datos!$C35,IF(_Datos!$N35=9999,"(Sin sprint)",_Datos!$N35),"")</f>
        <v>(Sin sprint)</v>
      </c>
      <c r="F35" s="165" t="str">
        <f ca="1">IF(_Datos!$C35,_Datos!$J35,"")</f>
        <v>En curso</v>
      </c>
      <c r="G35" s="165" t="str">
        <f>IF(_Datos!$C35,_Datos!$AE35,"")</f>
        <v>(Sin sprint)</v>
      </c>
      <c r="H35" s="168" t="str">
        <f>IF(_Datos!$C35,IF(_Datos!$AF35,_Datos!$AP35,"-"),"")</f>
        <v>-</v>
      </c>
      <c r="I35" s="162"/>
    </row>
    <row r="36" spans="2:9" x14ac:dyDescent="0.35">
      <c r="B36" s="165" t="str">
        <f ca="1">IF(_Datos!$C36,_Datos!$O36,"")</f>
        <v/>
      </c>
      <c r="C36" s="162" t="str">
        <f ca="1">IF(_Datos!$C36,_Datos!$F36,"")</f>
        <v/>
      </c>
      <c r="D36" s="162" t="str">
        <f ca="1">IF(_Datos!$C36,_Datos!$G36,"")</f>
        <v/>
      </c>
      <c r="E36" s="165" t="str">
        <f ca="1">IF(_Datos!$C36,IF(_Datos!$N36=9999,"(Sin sprint)",_Datos!$N36),"")</f>
        <v/>
      </c>
      <c r="F36" s="165" t="str">
        <f ca="1">IF(_Datos!$C36,_Datos!$J36,"")</f>
        <v/>
      </c>
      <c r="G36" s="165" t="str">
        <f ca="1">IF(_Datos!$C36,_Datos!$AE36,"")</f>
        <v/>
      </c>
      <c r="H36" s="168" t="str">
        <f ca="1">IF(_Datos!$C36,IF(_Datos!$AF36,_Datos!$AP36,"-"),"")</f>
        <v/>
      </c>
      <c r="I36" s="162"/>
    </row>
    <row r="37" spans="2:9" ht="29" x14ac:dyDescent="0.35">
      <c r="B37" s="165" t="str">
        <f>IF(_Datos!$C37,_Datos!$O37,"")</f>
        <v>T037</v>
      </c>
      <c r="C37" s="162" t="str">
        <f>IF(_Datos!$C37,_Datos!$F37,"")</f>
        <v>Planilla Activos Unificados - Estandarizar + Procedimiento</v>
      </c>
      <c r="D37" s="162" t="str">
        <f>IF(_Datos!$C37,_Datos!$G37,"")</f>
        <v>Santiago Alonso</v>
      </c>
      <c r="E37" s="165">
        <f>IF(_Datos!$C37,IF(_Datos!$N37=9999,"(Sin sprint)",_Datos!$N37),"")</f>
        <v>1</v>
      </c>
      <c r="F37" s="165" t="str">
        <f ca="1">IF(_Datos!$C37,_Datos!$J37,"")</f>
        <v>Vencido</v>
      </c>
      <c r="G37" s="165">
        <f ca="1">IF(_Datos!$C37,_Datos!$AE37,"")</f>
        <v>2</v>
      </c>
      <c r="H37" s="168">
        <f ca="1">IF(_Datos!$C37,IF(_Datos!$AF37,_Datos!$AP37,"-"),"")</f>
        <v>6</v>
      </c>
      <c r="I37" s="162"/>
    </row>
    <row r="38" spans="2:9" x14ac:dyDescent="0.35">
      <c r="B38" s="165" t="str">
        <f>IF(_Datos!$C38,_Datos!$O38,"")</f>
        <v>T038</v>
      </c>
      <c r="C38" s="162" t="str">
        <f>IF(_Datos!$C38,_Datos!$F38,"")</f>
        <v>Planilla DTM Estandarizada+ Procedimiento</v>
      </c>
      <c r="D38" s="162" t="str">
        <f>IF(_Datos!$C38,_Datos!$G38,"")</f>
        <v>Santiago Alonso</v>
      </c>
      <c r="E38" s="165">
        <f>IF(_Datos!$C38,IF(_Datos!$N38=9999,"(Sin sprint)",_Datos!$N38),"")</f>
        <v>1</v>
      </c>
      <c r="F38" s="165" t="str">
        <f ca="1">IF(_Datos!$C38,_Datos!$J38,"")</f>
        <v>Vencido</v>
      </c>
      <c r="G38" s="165">
        <f ca="1">IF(_Datos!$C38,_Datos!$AE38,"")</f>
        <v>2</v>
      </c>
      <c r="H38" s="168">
        <f ca="1">IF(_Datos!$C38,IF(_Datos!$AF38,_Datos!$AP38,"-"),"")</f>
        <v>6</v>
      </c>
      <c r="I38" s="162"/>
    </row>
    <row r="39" spans="2:9" x14ac:dyDescent="0.35">
      <c r="B39" s="165" t="str">
        <f>IF(_Datos!$C39,_Datos!$O39,"")</f>
        <v>T039</v>
      </c>
      <c r="C39" s="162" t="str">
        <f>IF(_Datos!$C39,_Datos!$F39,"")</f>
        <v>Planilla Aeroevaciaciones + Procedimiento</v>
      </c>
      <c r="D39" s="162" t="str">
        <f>IF(_Datos!$C39,_Datos!$G39,"")</f>
        <v>Santiago Alonso</v>
      </c>
      <c r="E39" s="165">
        <f>IF(_Datos!$C39,IF(_Datos!$N39=9999,"(Sin sprint)",_Datos!$N39),"")</f>
        <v>1</v>
      </c>
      <c r="F39" s="165" t="str">
        <f ca="1">IF(_Datos!$C39,_Datos!$J39,"")</f>
        <v>Vencido</v>
      </c>
      <c r="G39" s="165">
        <f ca="1">IF(_Datos!$C39,_Datos!$AE39,"")</f>
        <v>2</v>
      </c>
      <c r="H39" s="168">
        <f ca="1">IF(_Datos!$C39,IF(_Datos!$AF39,_Datos!$AP39,"-"),"")</f>
        <v>6</v>
      </c>
      <c r="I39" s="162"/>
    </row>
    <row r="40" spans="2:9" x14ac:dyDescent="0.35">
      <c r="B40" s="165" t="str">
        <f>IF(_Datos!$C40,_Datos!$O40,"")</f>
        <v>T040</v>
      </c>
      <c r="C40" s="162" t="str">
        <f>IF(_Datos!$C40,_Datos!$F40,"")</f>
        <v>Resumen Clientes Petróleo</v>
      </c>
      <c r="D40" s="162" t="str">
        <f>IF(_Datos!$C40,_Datos!$G40,"")</f>
        <v>Santiago Alonso</v>
      </c>
      <c r="E40" s="165">
        <f>IF(_Datos!$C40,IF(_Datos!$N40=9999,"(Sin sprint)",_Datos!$N40),"")</f>
        <v>1</v>
      </c>
      <c r="F40" s="165" t="str">
        <f ca="1">IF(_Datos!$C40,_Datos!$J40,"")</f>
        <v>Vencido</v>
      </c>
      <c r="G40" s="165">
        <f ca="1">IF(_Datos!$C40,_Datos!$AE40,"")</f>
        <v>2</v>
      </c>
      <c r="H40" s="168">
        <f ca="1">IF(_Datos!$C40,IF(_Datos!$AF40,_Datos!$AP40,"-"),"")</f>
        <v>6</v>
      </c>
      <c r="I40" s="162"/>
    </row>
    <row r="41" spans="2:9" x14ac:dyDescent="0.35">
      <c r="B41" s="165" t="str">
        <f>IF(_Datos!$C41,_Datos!$O41,"")</f>
        <v>T041</v>
      </c>
      <c r="C41" s="162" t="str">
        <f>IF(_Datos!$C41,_Datos!$F41,"")</f>
        <v>Resumen Clientes Minería</v>
      </c>
      <c r="D41" s="162" t="str">
        <f>IF(_Datos!$C41,_Datos!$G41,"")</f>
        <v>Santiago Alonso</v>
      </c>
      <c r="E41" s="165">
        <f>IF(_Datos!$C41,IF(_Datos!$N41=9999,"(Sin sprint)",_Datos!$N41),"")</f>
        <v>1</v>
      </c>
      <c r="F41" s="165" t="str">
        <f ca="1">IF(_Datos!$C41,_Datos!$J41,"")</f>
        <v>Vencido</v>
      </c>
      <c r="G41" s="165">
        <f ca="1">IF(_Datos!$C41,_Datos!$AE41,"")</f>
        <v>2</v>
      </c>
      <c r="H41" s="168">
        <f ca="1">IF(_Datos!$C41,IF(_Datos!$AF41,_Datos!$AP41,"-"),"")</f>
        <v>6</v>
      </c>
      <c r="I41" s="162"/>
    </row>
    <row r="42" spans="2:9" x14ac:dyDescent="0.35">
      <c r="B42" s="165" t="str">
        <f>IF(_Datos!$C42,_Datos!$O42,"")</f>
        <v>T042</v>
      </c>
      <c r="C42" s="162" t="str">
        <f>IF(_Datos!$C42,_Datos!$F42,"")</f>
        <v>Resumen Clientes Op. Dedicadas</v>
      </c>
      <c r="D42" s="162" t="str">
        <f>IF(_Datos!$C42,_Datos!$G42,"")</f>
        <v>Santiago Alonso</v>
      </c>
      <c r="E42" s="165">
        <f>IF(_Datos!$C42,IF(_Datos!$N42=9999,"(Sin sprint)",_Datos!$N42),"")</f>
        <v>1</v>
      </c>
      <c r="F42" s="165" t="str">
        <f ca="1">IF(_Datos!$C42,_Datos!$J42,"")</f>
        <v>Vencido</v>
      </c>
      <c r="G42" s="165">
        <f ca="1">IF(_Datos!$C42,_Datos!$AE42,"")</f>
        <v>2</v>
      </c>
      <c r="H42" s="168">
        <f ca="1">IF(_Datos!$C42,IF(_Datos!$AF42,_Datos!$AP42,"-"),"")</f>
        <v>6</v>
      </c>
      <c r="I42" s="162"/>
    </row>
    <row r="43" spans="2:9" ht="29" x14ac:dyDescent="0.35">
      <c r="B43" s="165" t="str">
        <f>IF(_Datos!$C43,_Datos!$O43,"")</f>
        <v>T043</v>
      </c>
      <c r="C43" s="162" t="str">
        <f>IF(_Datos!$C43,_Datos!$F43,"")</f>
        <v>Locaciones Geográficas Pozos Petro (ver datos Secretaria de Energía)</v>
      </c>
      <c r="D43" s="162" t="str">
        <f>IF(_Datos!$C43,_Datos!$G43,"")</f>
        <v>Santiago Alonso</v>
      </c>
      <c r="E43" s="165" t="str">
        <f>IF(_Datos!$C43,IF(_Datos!$N43=9999,"(Sin sprint)",_Datos!$N43),"")</f>
        <v>(Sin sprint)</v>
      </c>
      <c r="F43" s="165" t="str">
        <f ca="1">IF(_Datos!$C43,_Datos!$J43,"")</f>
        <v>Próximo a vencer</v>
      </c>
      <c r="G43" s="165" t="str">
        <f>IF(_Datos!$C43,_Datos!$AE43,"")</f>
        <v>(Sin sprint)</v>
      </c>
      <c r="H43" s="168" t="str">
        <f>IF(_Datos!$C43,IF(_Datos!$AF43,_Datos!$AP43,"-"),"")</f>
        <v>-</v>
      </c>
      <c r="I43" s="162"/>
    </row>
    <row r="44" spans="2:9" x14ac:dyDescent="0.35">
      <c r="B44" s="165" t="str">
        <f>IF(_Datos!$C44,_Datos!$O44,"")</f>
        <v>T044</v>
      </c>
      <c r="C44" s="162" t="str">
        <f>IF(_Datos!$C44,_Datos!$F44,"")</f>
        <v>Locaciones Geográficas Minería</v>
      </c>
      <c r="D44" s="162" t="str">
        <f>IF(_Datos!$C44,_Datos!$G44,"")</f>
        <v>Santiago Alonso</v>
      </c>
      <c r="E44" s="165" t="str">
        <f>IF(_Datos!$C44,IF(_Datos!$N44=9999,"(Sin sprint)",_Datos!$N44),"")</f>
        <v>(Sin sprint)</v>
      </c>
      <c r="F44" s="165" t="str">
        <f ca="1">IF(_Datos!$C44,_Datos!$J44,"")</f>
        <v>Próximo a vencer</v>
      </c>
      <c r="G44" s="165" t="str">
        <f>IF(_Datos!$C44,_Datos!$AE44,"")</f>
        <v>(Sin sprint)</v>
      </c>
      <c r="H44" s="168" t="str">
        <f>IF(_Datos!$C44,IF(_Datos!$AF44,_Datos!$AP44,"-"),"")</f>
        <v>-</v>
      </c>
      <c r="I44" s="162"/>
    </row>
    <row r="45" spans="2:9" x14ac:dyDescent="0.35">
      <c r="B45" s="165" t="str">
        <f>IF(_Datos!$C45,_Datos!$O45,"")</f>
        <v>T045</v>
      </c>
      <c r="C45" s="162" t="str">
        <f>IF(_Datos!$C45,_Datos!$F45,"")</f>
        <v>Locaciones Geográficas Op. Dedicadas</v>
      </c>
      <c r="D45" s="162" t="str">
        <f>IF(_Datos!$C45,_Datos!$G45,"")</f>
        <v>Santiago Alonso</v>
      </c>
      <c r="E45" s="165" t="str">
        <f>IF(_Datos!$C45,IF(_Datos!$N45=9999,"(Sin sprint)",_Datos!$N45),"")</f>
        <v>(Sin sprint)</v>
      </c>
      <c r="F45" s="165" t="str">
        <f ca="1">IF(_Datos!$C45,_Datos!$J45,"")</f>
        <v>En curso</v>
      </c>
      <c r="G45" s="165" t="str">
        <f>IF(_Datos!$C45,_Datos!$AE45,"")</f>
        <v>(Sin sprint)</v>
      </c>
      <c r="H45" s="168" t="str">
        <f>IF(_Datos!$C45,IF(_Datos!$AF45,_Datos!$AP45,"-"),"")</f>
        <v>-</v>
      </c>
      <c r="I45" s="162"/>
    </row>
    <row r="46" spans="2:9" x14ac:dyDescent="0.35">
      <c r="B46" s="165" t="str">
        <f>IF(_Datos!$C46,_Datos!$O46,"")</f>
        <v>T046</v>
      </c>
      <c r="C46" s="162" t="str">
        <f>IF(_Datos!$C46,_Datos!$F46,"")</f>
        <v>Detalle Responsables (Comerciales + Analistas)</v>
      </c>
      <c r="D46" s="162" t="str">
        <f>IF(_Datos!$C46,_Datos!$G46,"")</f>
        <v>Santiago Alonso</v>
      </c>
      <c r="E46" s="165">
        <f>IF(_Datos!$C46,IF(_Datos!$N46=9999,"(Sin sprint)",_Datos!$N46),"")</f>
        <v>1</v>
      </c>
      <c r="F46" s="165" t="str">
        <f ca="1">IF(_Datos!$C46,_Datos!$J46,"")</f>
        <v>Vencido</v>
      </c>
      <c r="G46" s="165">
        <f ca="1">IF(_Datos!$C46,_Datos!$AE46,"")</f>
        <v>2</v>
      </c>
      <c r="H46" s="168">
        <f ca="1">IF(_Datos!$C46,IF(_Datos!$AF46,_Datos!$AP46,"-"),"")</f>
        <v>6</v>
      </c>
      <c r="I46" s="162"/>
    </row>
    <row r="47" spans="2:9" x14ac:dyDescent="0.35">
      <c r="B47" s="165" t="str">
        <f>IF(_Datos!$C47,_Datos!$O47,"")</f>
        <v>T047</v>
      </c>
      <c r="C47" s="162" t="str">
        <f>IF(_Datos!$C47,_Datos!$F47,"")</f>
        <v>Armado de Dashboard + Diseño</v>
      </c>
      <c r="D47" s="162" t="str">
        <f>IF(_Datos!$C47,_Datos!$G47,"")</f>
        <v>Santiago Alonso</v>
      </c>
      <c r="E47" s="165">
        <f>IF(_Datos!$C47,IF(_Datos!$N47=9999,"(Sin sprint)",_Datos!$N47),"")</f>
        <v>1</v>
      </c>
      <c r="F47" s="165" t="str">
        <f ca="1">IF(_Datos!$C47,_Datos!$J47,"")</f>
        <v>Vencido</v>
      </c>
      <c r="G47" s="165">
        <f ca="1">IF(_Datos!$C47,_Datos!$AE47,"")</f>
        <v>2</v>
      </c>
      <c r="H47" s="168">
        <f ca="1">IF(_Datos!$C47,IF(_Datos!$AF47,_Datos!$AP47,"-"),"")</f>
        <v>6</v>
      </c>
      <c r="I47" s="162"/>
    </row>
    <row r="48" spans="2:9" x14ac:dyDescent="0.35">
      <c r="B48" s="165" t="str">
        <f ca="1">IF(_Datos!$C48,_Datos!$O48,"")</f>
        <v/>
      </c>
      <c r="C48" s="162" t="str">
        <f ca="1">IF(_Datos!$C48,_Datos!$F48,"")</f>
        <v/>
      </c>
      <c r="D48" s="162" t="str">
        <f ca="1">IF(_Datos!$C48,_Datos!$G48,"")</f>
        <v/>
      </c>
      <c r="E48" s="165" t="str">
        <f ca="1">IF(_Datos!$C48,IF(_Datos!$N48=9999,"(Sin sprint)",_Datos!$N48),"")</f>
        <v/>
      </c>
      <c r="F48" s="165" t="str">
        <f ca="1">IF(_Datos!$C48,_Datos!$J48,"")</f>
        <v/>
      </c>
      <c r="G48" s="165" t="str">
        <f ca="1">IF(_Datos!$C48,_Datos!$AE48,"")</f>
        <v/>
      </c>
      <c r="H48" s="168" t="str">
        <f ca="1">IF(_Datos!$C48,IF(_Datos!$AF48,_Datos!$AP48,"-"),"")</f>
        <v/>
      </c>
      <c r="I48" s="162"/>
    </row>
    <row r="49" spans="2:9" x14ac:dyDescent="0.35">
      <c r="B49" s="165" t="str">
        <f>IF(_Datos!$C49,_Datos!$O49,"")</f>
        <v>T049</v>
      </c>
      <c r="C49" s="162" t="str">
        <f>IF(_Datos!$C49,_Datos!$F49,"")</f>
        <v>Polinómicas y tarifario automático</v>
      </c>
      <c r="D49" s="162" t="str">
        <f>IF(_Datos!$C49,_Datos!$G49,"")</f>
        <v>Santiago Alonso</v>
      </c>
      <c r="E49" s="165" t="str">
        <f>IF(_Datos!$C49,IF(_Datos!$N49=9999,"(Sin sprint)",_Datos!$N49),"")</f>
        <v>(Sin sprint)</v>
      </c>
      <c r="F49" s="165" t="str">
        <f ca="1">IF(_Datos!$C49,_Datos!$J49,"")</f>
        <v>En curso</v>
      </c>
      <c r="G49" s="165" t="str">
        <f>IF(_Datos!$C49,_Datos!$AE49,"")</f>
        <v>(Sin sprint)</v>
      </c>
      <c r="H49" s="168" t="str">
        <f>IF(_Datos!$C49,IF(_Datos!$AF49,_Datos!$AP49,"-"),"")</f>
        <v>-</v>
      </c>
      <c r="I49" s="162"/>
    </row>
    <row r="50" spans="2:9" x14ac:dyDescent="0.35">
      <c r="B50" s="165" t="str">
        <f>IF(_Datos!$C50,_Datos!$O50,"")</f>
        <v>T050</v>
      </c>
      <c r="C50" s="162" t="str">
        <f>IF(_Datos!$C50,_Datos!$F50,"")</f>
        <v>Certificados automáticos (ver si utilizar scripts)</v>
      </c>
      <c r="D50" s="162" t="str">
        <f>IF(_Datos!$C50,_Datos!$G50,"")</f>
        <v>Santiago Alonso</v>
      </c>
      <c r="E50" s="165" t="str">
        <f>IF(_Datos!$C50,IF(_Datos!$N50=9999,"(Sin sprint)",_Datos!$N50),"")</f>
        <v>(Sin sprint)</v>
      </c>
      <c r="F50" s="165" t="str">
        <f ca="1">IF(_Datos!$C50,_Datos!$J50,"")</f>
        <v>En curso</v>
      </c>
      <c r="G50" s="165" t="str">
        <f>IF(_Datos!$C50,_Datos!$AE50,"")</f>
        <v>(Sin sprint)</v>
      </c>
      <c r="H50" s="168" t="str">
        <f>IF(_Datos!$C50,IF(_Datos!$AF50,_Datos!$AP50,"-"),"")</f>
        <v>-</v>
      </c>
      <c r="I50" s="162"/>
    </row>
    <row r="51" spans="2:9" ht="29" x14ac:dyDescent="0.35">
      <c r="B51" s="165" t="str">
        <f>IF(_Datos!$C51,_Datos!$O51,"")</f>
        <v>T051</v>
      </c>
      <c r="C51" s="162" t="str">
        <f>IF(_Datos!$C51,_Datos!$F51,"")</f>
        <v>Provisión Automática</v>
      </c>
      <c r="D51" s="162" t="str">
        <f>IF(_Datos!$C51,_Datos!$G51,"")</f>
        <v>Santiago Alonso/ Julio Tinelli</v>
      </c>
      <c r="E51" s="165" t="str">
        <f>IF(_Datos!$C51,IF(_Datos!$N51=9999,"(Sin sprint)",_Datos!$N51),"")</f>
        <v>(Sin sprint)</v>
      </c>
      <c r="F51" s="165" t="str">
        <f ca="1">IF(_Datos!$C51,_Datos!$J51,"")</f>
        <v>En curso</v>
      </c>
      <c r="G51" s="165" t="str">
        <f>IF(_Datos!$C51,_Datos!$AE51,"")</f>
        <v>(Sin sprint)</v>
      </c>
      <c r="H51" s="168" t="str">
        <f>IF(_Datos!$C51,IF(_Datos!$AF51,_Datos!$AP51,"-"),"")</f>
        <v>-</v>
      </c>
      <c r="I51" s="162"/>
    </row>
    <row r="52" spans="2:9" x14ac:dyDescent="0.35">
      <c r="B52" s="165" t="str">
        <f ca="1">IF(_Datos!$C52,_Datos!$O52,"")</f>
        <v/>
      </c>
      <c r="C52" s="162" t="str">
        <f ca="1">IF(_Datos!$C52,_Datos!$F52,"")</f>
        <v/>
      </c>
      <c r="D52" s="162" t="str">
        <f ca="1">IF(_Datos!$C52,_Datos!$G52,"")</f>
        <v/>
      </c>
      <c r="E52" s="165" t="str">
        <f ca="1">IF(_Datos!$C52,IF(_Datos!$N52=9999,"(Sin sprint)",_Datos!$N52),"")</f>
        <v/>
      </c>
      <c r="F52" s="165" t="str">
        <f ca="1">IF(_Datos!$C52,_Datos!$J52,"")</f>
        <v/>
      </c>
      <c r="G52" s="165" t="str">
        <f ca="1">IF(_Datos!$C52,_Datos!$AE52,"")</f>
        <v/>
      </c>
      <c r="H52" s="168" t="str">
        <f ca="1">IF(_Datos!$C52,IF(_Datos!$AF52,_Datos!$AP52,"-"),"")</f>
        <v/>
      </c>
      <c r="I52" s="162"/>
    </row>
    <row r="53" spans="2:9" ht="43.5" x14ac:dyDescent="0.35">
      <c r="B53" s="165" t="str">
        <f>IF(_Datos!$C53,_Datos!$O53,"")</f>
        <v>T053</v>
      </c>
      <c r="C53" s="162" t="str">
        <f>IF(_Datos!$C53,_Datos!$F53,"")</f>
        <v>Eliminar contratos obsoletos</v>
      </c>
      <c r="D53" s="162" t="str">
        <f>IF(_Datos!$C53,_Datos!$G53,"")</f>
        <v>Santiago Alonso/ Danna Basso/ Lucía Paciello</v>
      </c>
      <c r="E53" s="165" t="str">
        <f>IF(_Datos!$C53,IF(_Datos!$N53=9999,"(Sin sprint)",_Datos!$N53),"")</f>
        <v>(Sin sprint)</v>
      </c>
      <c r="F53" s="165" t="str">
        <f ca="1">IF(_Datos!$C53,_Datos!$J53,"")</f>
        <v>En curso</v>
      </c>
      <c r="G53" s="165" t="str">
        <f>IF(_Datos!$C53,_Datos!$AE53,"")</f>
        <v>(Sin sprint)</v>
      </c>
      <c r="H53" s="168" t="str">
        <f>IF(_Datos!$C53,IF(_Datos!$AF53,_Datos!$AP53,"-"),"")</f>
        <v>-</v>
      </c>
      <c r="I53" s="162"/>
    </row>
    <row r="54" spans="2:9" ht="43.5" x14ac:dyDescent="0.35">
      <c r="B54" s="165" t="str">
        <f>IF(_Datos!$C54,_Datos!$O54,"")</f>
        <v>T054</v>
      </c>
      <c r="C54" s="162" t="str">
        <f>IF(_Datos!$C54,_Datos!$F54,"")</f>
        <v>Estandarizar materíales de contratos - ver si se puede realizarmasivo (Matias Viera - SF)</v>
      </c>
      <c r="D54" s="162" t="str">
        <f>IF(_Datos!$C54,_Datos!$G54,"")</f>
        <v>Santiago Alonso/ Danna Basso/ Lucía Paciello</v>
      </c>
      <c r="E54" s="165" t="str">
        <f>IF(_Datos!$C54,IF(_Datos!$N54=9999,"(Sin sprint)",_Datos!$N54),"")</f>
        <v>(Sin sprint)</v>
      </c>
      <c r="F54" s="165" t="str">
        <f ca="1">IF(_Datos!$C54,_Datos!$J54,"")</f>
        <v>En curso</v>
      </c>
      <c r="G54" s="165" t="str">
        <f>IF(_Datos!$C54,_Datos!$AE54,"")</f>
        <v>(Sin sprint)</v>
      </c>
      <c r="H54" s="168" t="str">
        <f>IF(_Datos!$C54,IF(_Datos!$AF54,_Datos!$AP54,"-"),"")</f>
        <v>-</v>
      </c>
      <c r="I54" s="162"/>
    </row>
    <row r="55" spans="2:9" ht="43.5" x14ac:dyDescent="0.35">
      <c r="B55" s="165" t="str">
        <f>IF(_Datos!$C55,_Datos!$O55,"")</f>
        <v>T055</v>
      </c>
      <c r="C55" s="162" t="str">
        <f>IF(_Datos!$C55,_Datos!$F55,"")</f>
        <v>Relevar conveniencia de creación de Boom´s para materiales que hacen alusión a US</v>
      </c>
      <c r="D55" s="162" t="str">
        <f>IF(_Datos!$C55,_Datos!$G55,"")</f>
        <v>Santiago Alonso/ Danna Basso/ Lucía Paciello</v>
      </c>
      <c r="E55" s="165" t="str">
        <f>IF(_Datos!$C55,IF(_Datos!$N55=9999,"(Sin sprint)",_Datos!$N55),"")</f>
        <v>(Sin sprint)</v>
      </c>
      <c r="F55" s="165" t="str">
        <f ca="1">IF(_Datos!$C55,_Datos!$J55,"")</f>
        <v>En curso</v>
      </c>
      <c r="G55" s="165" t="str">
        <f>IF(_Datos!$C55,_Datos!$AE55,"")</f>
        <v>(Sin sprint)</v>
      </c>
      <c r="H55" s="168" t="str">
        <f>IF(_Datos!$C55,IF(_Datos!$AF55,_Datos!$AP55,"-"),"")</f>
        <v>-</v>
      </c>
      <c r="I55" s="162"/>
    </row>
    <row r="56" spans="2:9" x14ac:dyDescent="0.35">
      <c r="B56" s="165" t="str">
        <f>IF(_Datos!$C56,_Datos!$O56,"")</f>
        <v/>
      </c>
      <c r="C56" s="162" t="str">
        <f>IF(_Datos!$C56,_Datos!$F56,"")</f>
        <v/>
      </c>
      <c r="D56" s="162" t="str">
        <f>IF(_Datos!$C56,_Datos!$G56,"")</f>
        <v/>
      </c>
      <c r="E56" s="165" t="str">
        <f>IF(_Datos!$C56,IF(_Datos!$N56=9999,"(Sin sprint)",_Datos!$N56),"")</f>
        <v/>
      </c>
      <c r="F56" s="165" t="str">
        <f>IF(_Datos!$C56,_Datos!$J56,"")</f>
        <v/>
      </c>
      <c r="G56" s="165" t="str">
        <f>IF(_Datos!$C56,_Datos!$AE56,"")</f>
        <v/>
      </c>
      <c r="H56" s="168" t="str">
        <f>IF(_Datos!$C56,IF(_Datos!$AF56,_Datos!$AP56,"-"),"")</f>
        <v/>
      </c>
      <c r="I56" s="162"/>
    </row>
    <row r="57" spans="2:9" x14ac:dyDescent="0.35">
      <c r="B57" s="165" t="str">
        <f>IF(_Datos!$C57,_Datos!$O57,"")</f>
        <v/>
      </c>
      <c r="C57" s="162" t="str">
        <f>IF(_Datos!$C57,_Datos!$F57,"")</f>
        <v/>
      </c>
      <c r="D57" s="162" t="str">
        <f>IF(_Datos!$C57,_Datos!$G57,"")</f>
        <v/>
      </c>
      <c r="E57" s="165" t="str">
        <f>IF(_Datos!$C57,IF(_Datos!$N57=9999,"(Sin sprint)",_Datos!$N57),"")</f>
        <v/>
      </c>
      <c r="F57" s="165" t="str">
        <f>IF(_Datos!$C57,_Datos!$J57,"")</f>
        <v/>
      </c>
      <c r="G57" s="165" t="str">
        <f>IF(_Datos!$C57,_Datos!$AE57,"")</f>
        <v/>
      </c>
      <c r="H57" s="168" t="str">
        <f>IF(_Datos!$C57,IF(_Datos!$AF57,_Datos!$AP57,"-"),"")</f>
        <v/>
      </c>
      <c r="I57" s="162"/>
    </row>
    <row r="58" spans="2:9" x14ac:dyDescent="0.35">
      <c r="B58" s="165" t="str">
        <f>IF(_Datos!$C58,_Datos!$O58,"")</f>
        <v/>
      </c>
      <c r="C58" s="162" t="str">
        <f>IF(_Datos!$C58,_Datos!$F58,"")</f>
        <v/>
      </c>
      <c r="D58" s="162" t="str">
        <f>IF(_Datos!$C58,_Datos!$G58,"")</f>
        <v/>
      </c>
      <c r="E58" s="165" t="str">
        <f>IF(_Datos!$C58,IF(_Datos!$N58=9999,"(Sin sprint)",_Datos!$N58),"")</f>
        <v/>
      </c>
      <c r="F58" s="165" t="str">
        <f>IF(_Datos!$C58,_Datos!$J58,"")</f>
        <v/>
      </c>
      <c r="G58" s="165" t="str">
        <f>IF(_Datos!$C58,_Datos!$AE58,"")</f>
        <v/>
      </c>
      <c r="H58" s="168" t="str">
        <f>IF(_Datos!$C58,IF(_Datos!$AF58,_Datos!$AP58,"-"),"")</f>
        <v/>
      </c>
      <c r="I58" s="162"/>
    </row>
    <row r="59" spans="2:9" x14ac:dyDescent="0.35">
      <c r="B59" s="165" t="str">
        <f>IF(_Datos!$C59,_Datos!$O59,"")</f>
        <v/>
      </c>
      <c r="C59" s="162" t="str">
        <f>IF(_Datos!$C59,_Datos!$F59,"")</f>
        <v/>
      </c>
      <c r="D59" s="162" t="str">
        <f>IF(_Datos!$C59,_Datos!$G59,"")</f>
        <v/>
      </c>
      <c r="E59" s="165" t="str">
        <f>IF(_Datos!$C59,IF(_Datos!$N59=9999,"(Sin sprint)",_Datos!$N59),"")</f>
        <v/>
      </c>
      <c r="F59" s="165" t="str">
        <f>IF(_Datos!$C59,_Datos!$J59,"")</f>
        <v/>
      </c>
      <c r="G59" s="165" t="str">
        <f>IF(_Datos!$C59,_Datos!$AE59,"")</f>
        <v/>
      </c>
      <c r="H59" s="168" t="str">
        <f>IF(_Datos!$C59,IF(_Datos!$AF59,_Datos!$AP59,"-"),"")</f>
        <v/>
      </c>
      <c r="I59" s="162"/>
    </row>
    <row r="60" spans="2:9" x14ac:dyDescent="0.35">
      <c r="B60" s="165" t="str">
        <f>IF(_Datos!$C60,_Datos!$O60,"")</f>
        <v/>
      </c>
      <c r="C60" s="162" t="str">
        <f>IF(_Datos!$C60,_Datos!$F60,"")</f>
        <v/>
      </c>
      <c r="D60" s="162" t="str">
        <f>IF(_Datos!$C60,_Datos!$G60,"")</f>
        <v/>
      </c>
      <c r="E60" s="165" t="str">
        <f>IF(_Datos!$C60,IF(_Datos!$N60=9999,"(Sin sprint)",_Datos!$N60),"")</f>
        <v/>
      </c>
      <c r="F60" s="165" t="str">
        <f>IF(_Datos!$C60,_Datos!$J60,"")</f>
        <v/>
      </c>
      <c r="G60" s="165" t="str">
        <f>IF(_Datos!$C60,_Datos!$AE60,"")</f>
        <v/>
      </c>
      <c r="H60" s="168" t="str">
        <f>IF(_Datos!$C60,IF(_Datos!$AF60,_Datos!$AP60,"-"),"")</f>
        <v/>
      </c>
      <c r="I60" s="162"/>
    </row>
    <row r="61" spans="2:9" x14ac:dyDescent="0.35">
      <c r="B61" s="165" t="str">
        <f>IF(_Datos!$C61,_Datos!$O61,"")</f>
        <v/>
      </c>
      <c r="C61" s="162" t="str">
        <f>IF(_Datos!$C61,_Datos!$F61,"")</f>
        <v/>
      </c>
      <c r="D61" s="162" t="str">
        <f>IF(_Datos!$C61,_Datos!$G61,"")</f>
        <v/>
      </c>
      <c r="E61" s="165" t="str">
        <f>IF(_Datos!$C61,IF(_Datos!$N61=9999,"(Sin sprint)",_Datos!$N61),"")</f>
        <v/>
      </c>
      <c r="F61" s="165" t="str">
        <f>IF(_Datos!$C61,_Datos!$J61,"")</f>
        <v/>
      </c>
      <c r="G61" s="165" t="str">
        <f>IF(_Datos!$C61,_Datos!$AE61,"")</f>
        <v/>
      </c>
      <c r="H61" s="168" t="str">
        <f>IF(_Datos!$C61,IF(_Datos!$AF61,_Datos!$AP61,"-"),"")</f>
        <v/>
      </c>
      <c r="I61" s="162"/>
    </row>
    <row r="62" spans="2:9" x14ac:dyDescent="0.35">
      <c r="B62" s="165" t="str">
        <f>IF(_Datos!$C62,_Datos!$O62,"")</f>
        <v/>
      </c>
      <c r="C62" s="162" t="str">
        <f>IF(_Datos!$C62,_Datos!$F62,"")</f>
        <v/>
      </c>
      <c r="D62" s="162" t="str">
        <f>IF(_Datos!$C62,_Datos!$G62,"")</f>
        <v/>
      </c>
      <c r="E62" s="165" t="str">
        <f>IF(_Datos!$C62,IF(_Datos!$N62=9999,"(Sin sprint)",_Datos!$N62),"")</f>
        <v/>
      </c>
      <c r="F62" s="165" t="str">
        <f>IF(_Datos!$C62,_Datos!$J62,"")</f>
        <v/>
      </c>
      <c r="G62" s="165" t="str">
        <f>IF(_Datos!$C62,_Datos!$AE62,"")</f>
        <v/>
      </c>
      <c r="H62" s="168" t="str">
        <f>IF(_Datos!$C62,IF(_Datos!$AF62,_Datos!$AP62,"-"),"")</f>
        <v/>
      </c>
      <c r="I62" s="162"/>
    </row>
    <row r="63" spans="2:9" x14ac:dyDescent="0.35">
      <c r="B63" s="165" t="str">
        <f>IF(_Datos!$C63,_Datos!$O63,"")</f>
        <v/>
      </c>
      <c r="C63" s="162" t="str">
        <f>IF(_Datos!$C63,_Datos!$F63,"")</f>
        <v/>
      </c>
      <c r="D63" s="162" t="str">
        <f>IF(_Datos!$C63,_Datos!$G63,"")</f>
        <v/>
      </c>
      <c r="E63" s="165" t="str">
        <f>IF(_Datos!$C63,IF(_Datos!$N63=9999,"(Sin sprint)",_Datos!$N63),"")</f>
        <v/>
      </c>
      <c r="F63" s="165" t="str">
        <f>IF(_Datos!$C63,_Datos!$J63,"")</f>
        <v/>
      </c>
      <c r="G63" s="165" t="str">
        <f>IF(_Datos!$C63,_Datos!$AE63,"")</f>
        <v/>
      </c>
      <c r="H63" s="168" t="str">
        <f>IF(_Datos!$C63,IF(_Datos!$AF63,_Datos!$AP63,"-"),"")</f>
        <v/>
      </c>
      <c r="I63" s="162"/>
    </row>
    <row r="64" spans="2:9" x14ac:dyDescent="0.35">
      <c r="B64" s="165" t="str">
        <f>IF(_Datos!$C64,_Datos!$O64,"")</f>
        <v/>
      </c>
      <c r="C64" s="162" t="str">
        <f>IF(_Datos!$C64,_Datos!$F64,"")</f>
        <v/>
      </c>
      <c r="D64" s="162" t="str">
        <f>IF(_Datos!$C64,_Datos!$G64,"")</f>
        <v/>
      </c>
      <c r="E64" s="165" t="str">
        <f>IF(_Datos!$C64,IF(_Datos!$N64=9999,"(Sin sprint)",_Datos!$N64),"")</f>
        <v/>
      </c>
      <c r="F64" s="165" t="str">
        <f>IF(_Datos!$C64,_Datos!$J64,"")</f>
        <v/>
      </c>
      <c r="G64" s="165" t="str">
        <f>IF(_Datos!$C64,_Datos!$AE64,"")</f>
        <v/>
      </c>
      <c r="H64" s="168" t="str">
        <f>IF(_Datos!$C64,IF(_Datos!$AF64,_Datos!$AP64,"-"),"")</f>
        <v/>
      </c>
      <c r="I64" s="162"/>
    </row>
    <row r="65" spans="2:9" x14ac:dyDescent="0.35">
      <c r="B65" s="165" t="str">
        <f>IF(_Datos!$C65,_Datos!$O65,"")</f>
        <v/>
      </c>
      <c r="C65" s="162" t="str">
        <f>IF(_Datos!$C65,_Datos!$F65,"")</f>
        <v/>
      </c>
      <c r="D65" s="162" t="str">
        <f>IF(_Datos!$C65,_Datos!$G65,"")</f>
        <v/>
      </c>
      <c r="E65" s="165" t="str">
        <f>IF(_Datos!$C65,IF(_Datos!$N65=9999,"(Sin sprint)",_Datos!$N65),"")</f>
        <v/>
      </c>
      <c r="F65" s="165" t="str">
        <f>IF(_Datos!$C65,_Datos!$J65,"")</f>
        <v/>
      </c>
      <c r="G65" s="165" t="str">
        <f>IF(_Datos!$C65,_Datos!$AE65,"")</f>
        <v/>
      </c>
      <c r="H65" s="168" t="str">
        <f>IF(_Datos!$C65,IF(_Datos!$AF65,_Datos!$AP65,"-"),"")</f>
        <v/>
      </c>
      <c r="I65" s="162"/>
    </row>
    <row r="66" spans="2:9" x14ac:dyDescent="0.35">
      <c r="B66" s="165" t="str">
        <f>IF(_Datos!$C66,_Datos!$O66,"")</f>
        <v/>
      </c>
      <c r="C66" s="162" t="str">
        <f>IF(_Datos!$C66,_Datos!$F66,"")</f>
        <v/>
      </c>
      <c r="D66" s="162" t="str">
        <f>IF(_Datos!$C66,_Datos!$G66,"")</f>
        <v/>
      </c>
      <c r="E66" s="165" t="str">
        <f>IF(_Datos!$C66,IF(_Datos!$N66=9999,"(Sin sprint)",_Datos!$N66),"")</f>
        <v/>
      </c>
      <c r="F66" s="165" t="str">
        <f>IF(_Datos!$C66,_Datos!$J66,"")</f>
        <v/>
      </c>
      <c r="G66" s="165" t="str">
        <f>IF(_Datos!$C66,_Datos!$AE66,"")</f>
        <v/>
      </c>
      <c r="H66" s="168" t="str">
        <f>IF(_Datos!$C66,IF(_Datos!$AF66,_Datos!$AP66,"-"),"")</f>
        <v/>
      </c>
      <c r="I66" s="162"/>
    </row>
    <row r="67" spans="2:9" x14ac:dyDescent="0.35">
      <c r="B67" s="165" t="str">
        <f>IF(_Datos!$C67,_Datos!$O67,"")</f>
        <v/>
      </c>
      <c r="C67" s="162" t="str">
        <f>IF(_Datos!$C67,_Datos!$F67,"")</f>
        <v/>
      </c>
      <c r="D67" s="162" t="str">
        <f>IF(_Datos!$C67,_Datos!$G67,"")</f>
        <v/>
      </c>
      <c r="E67" s="165" t="str">
        <f>IF(_Datos!$C67,IF(_Datos!$N67=9999,"(Sin sprint)",_Datos!$N67),"")</f>
        <v/>
      </c>
      <c r="F67" s="165" t="str">
        <f>IF(_Datos!$C67,_Datos!$J67,"")</f>
        <v/>
      </c>
      <c r="G67" s="165" t="str">
        <f>IF(_Datos!$C67,_Datos!$AE67,"")</f>
        <v/>
      </c>
      <c r="H67" s="168" t="str">
        <f>IF(_Datos!$C67,IF(_Datos!$AF67,_Datos!$AP67,"-"),"")</f>
        <v/>
      </c>
      <c r="I67" s="162"/>
    </row>
    <row r="68" spans="2:9" x14ac:dyDescent="0.35">
      <c r="B68" s="165" t="str">
        <f>IF(_Datos!$C68,_Datos!$O68,"")</f>
        <v/>
      </c>
      <c r="C68" s="162" t="str">
        <f>IF(_Datos!$C68,_Datos!$F68,"")</f>
        <v/>
      </c>
      <c r="D68" s="162" t="str">
        <f>IF(_Datos!$C68,_Datos!$G68,"")</f>
        <v/>
      </c>
      <c r="E68" s="165" t="str">
        <f>IF(_Datos!$C68,IF(_Datos!$N68=9999,"(Sin sprint)",_Datos!$N68),"")</f>
        <v/>
      </c>
      <c r="F68" s="165" t="str">
        <f>IF(_Datos!$C68,_Datos!$J68,"")</f>
        <v/>
      </c>
      <c r="G68" s="165" t="str">
        <f>IF(_Datos!$C68,_Datos!$AE68,"")</f>
        <v/>
      </c>
      <c r="H68" s="168" t="str">
        <f>IF(_Datos!$C68,IF(_Datos!$AF68,_Datos!$AP68,"-"),"")</f>
        <v/>
      </c>
      <c r="I68" s="162"/>
    </row>
    <row r="69" spans="2:9" x14ac:dyDescent="0.35">
      <c r="B69" s="165" t="str">
        <f>IF(_Datos!$C69,_Datos!$O69,"")</f>
        <v/>
      </c>
      <c r="C69" s="162" t="str">
        <f>IF(_Datos!$C69,_Datos!$F69,"")</f>
        <v/>
      </c>
      <c r="D69" s="162" t="str">
        <f>IF(_Datos!$C69,_Datos!$G69,"")</f>
        <v/>
      </c>
      <c r="E69" s="165" t="str">
        <f>IF(_Datos!$C69,IF(_Datos!$N69=9999,"(Sin sprint)",_Datos!$N69),"")</f>
        <v/>
      </c>
      <c r="F69" s="165" t="str">
        <f>IF(_Datos!$C69,_Datos!$J69,"")</f>
        <v/>
      </c>
      <c r="G69" s="165" t="str">
        <f>IF(_Datos!$C69,_Datos!$AE69,"")</f>
        <v/>
      </c>
      <c r="H69" s="168" t="str">
        <f>IF(_Datos!$C69,IF(_Datos!$AF69,_Datos!$AP69,"-"),"")</f>
        <v/>
      </c>
      <c r="I69" s="162"/>
    </row>
    <row r="70" spans="2:9" x14ac:dyDescent="0.35">
      <c r="B70" s="165" t="str">
        <f>IF(_Datos!$C70,_Datos!$O70,"")</f>
        <v/>
      </c>
      <c r="C70" s="162" t="str">
        <f>IF(_Datos!$C70,_Datos!$F70,"")</f>
        <v/>
      </c>
      <c r="D70" s="162" t="str">
        <f>IF(_Datos!$C70,_Datos!$G70,"")</f>
        <v/>
      </c>
      <c r="E70" s="165" t="str">
        <f>IF(_Datos!$C70,IF(_Datos!$N70=9999,"(Sin sprint)",_Datos!$N70),"")</f>
        <v/>
      </c>
      <c r="F70" s="165" t="str">
        <f>IF(_Datos!$C70,_Datos!$J70,"")</f>
        <v/>
      </c>
      <c r="G70" s="165" t="str">
        <f>IF(_Datos!$C70,_Datos!$AE70,"")</f>
        <v/>
      </c>
      <c r="H70" s="168" t="str">
        <f>IF(_Datos!$C70,IF(_Datos!$AF70,_Datos!$AP70,"-"),"")</f>
        <v/>
      </c>
      <c r="I70" s="162"/>
    </row>
    <row r="71" spans="2:9" x14ac:dyDescent="0.35">
      <c r="B71" s="165" t="str">
        <f>IF(_Datos!$C71,_Datos!$O71,"")</f>
        <v/>
      </c>
      <c r="C71" s="162" t="str">
        <f>IF(_Datos!$C71,_Datos!$F71,"")</f>
        <v/>
      </c>
      <c r="D71" s="162" t="str">
        <f>IF(_Datos!$C71,_Datos!$G71,"")</f>
        <v/>
      </c>
      <c r="E71" s="165" t="str">
        <f>IF(_Datos!$C71,IF(_Datos!$N71=9999,"(Sin sprint)",_Datos!$N71),"")</f>
        <v/>
      </c>
      <c r="F71" s="165" t="str">
        <f>IF(_Datos!$C71,_Datos!$J71,"")</f>
        <v/>
      </c>
      <c r="G71" s="165" t="str">
        <f>IF(_Datos!$C71,_Datos!$AE71,"")</f>
        <v/>
      </c>
      <c r="H71" s="168" t="str">
        <f>IF(_Datos!$C71,IF(_Datos!$AF71,_Datos!$AP71,"-"),"")</f>
        <v/>
      </c>
      <c r="I71" s="162"/>
    </row>
    <row r="72" spans="2:9" x14ac:dyDescent="0.35">
      <c r="B72" s="165" t="str">
        <f>IF(_Datos!$C72,_Datos!$O72,"")</f>
        <v/>
      </c>
      <c r="C72" s="162" t="str">
        <f>IF(_Datos!$C72,_Datos!$F72,"")</f>
        <v/>
      </c>
      <c r="D72" s="162" t="str">
        <f>IF(_Datos!$C72,_Datos!$G72,"")</f>
        <v/>
      </c>
      <c r="E72" s="165" t="str">
        <f>IF(_Datos!$C72,IF(_Datos!$N72=9999,"(Sin sprint)",_Datos!$N72),"")</f>
        <v/>
      </c>
      <c r="F72" s="165" t="str">
        <f>IF(_Datos!$C72,_Datos!$J72,"")</f>
        <v/>
      </c>
      <c r="G72" s="165" t="str">
        <f>IF(_Datos!$C72,_Datos!$AE72,"")</f>
        <v/>
      </c>
      <c r="H72" s="168" t="str">
        <f>IF(_Datos!$C72,IF(_Datos!$AF72,_Datos!$AP72,"-"),"")</f>
        <v/>
      </c>
      <c r="I72" s="162"/>
    </row>
    <row r="73" spans="2:9" x14ac:dyDescent="0.35">
      <c r="B73" s="165" t="str">
        <f>IF(_Datos!$C73,_Datos!$O73,"")</f>
        <v/>
      </c>
      <c r="C73" s="162" t="str">
        <f>IF(_Datos!$C73,_Datos!$F73,"")</f>
        <v/>
      </c>
      <c r="D73" s="162" t="str">
        <f>IF(_Datos!$C73,_Datos!$G73,"")</f>
        <v/>
      </c>
      <c r="E73" s="165" t="str">
        <f>IF(_Datos!$C73,IF(_Datos!$N73=9999,"(Sin sprint)",_Datos!$N73),"")</f>
        <v/>
      </c>
      <c r="F73" s="165" t="str">
        <f>IF(_Datos!$C73,_Datos!$J73,"")</f>
        <v/>
      </c>
      <c r="G73" s="165" t="str">
        <f>IF(_Datos!$C73,_Datos!$AE73,"")</f>
        <v/>
      </c>
      <c r="H73" s="168" t="str">
        <f>IF(_Datos!$C73,IF(_Datos!$AF73,_Datos!$AP73,"-"),"")</f>
        <v/>
      </c>
      <c r="I73" s="162"/>
    </row>
    <row r="74" spans="2:9" x14ac:dyDescent="0.35">
      <c r="B74" s="165" t="str">
        <f>IF(_Datos!$C74,_Datos!$O74,"")</f>
        <v/>
      </c>
      <c r="C74" s="162" t="str">
        <f>IF(_Datos!$C74,_Datos!$F74,"")</f>
        <v/>
      </c>
      <c r="D74" s="162" t="str">
        <f>IF(_Datos!$C74,_Datos!$G74,"")</f>
        <v/>
      </c>
      <c r="E74" s="165" t="str">
        <f>IF(_Datos!$C74,IF(_Datos!$N74=9999,"(Sin sprint)",_Datos!$N74),"")</f>
        <v/>
      </c>
      <c r="F74" s="165" t="str">
        <f>IF(_Datos!$C74,_Datos!$J74,"")</f>
        <v/>
      </c>
      <c r="G74" s="165" t="str">
        <f>IF(_Datos!$C74,_Datos!$AE74,"")</f>
        <v/>
      </c>
      <c r="H74" s="168" t="str">
        <f>IF(_Datos!$C74,IF(_Datos!$AF74,_Datos!$AP74,"-"),"")</f>
        <v/>
      </c>
      <c r="I74" s="162"/>
    </row>
    <row r="75" spans="2:9" x14ac:dyDescent="0.35">
      <c r="B75" s="165" t="str">
        <f>IF(_Datos!$C75,_Datos!$O75,"")</f>
        <v/>
      </c>
      <c r="C75" s="162" t="str">
        <f>IF(_Datos!$C75,_Datos!$F75,"")</f>
        <v/>
      </c>
      <c r="D75" s="162" t="str">
        <f>IF(_Datos!$C75,_Datos!$G75,"")</f>
        <v/>
      </c>
      <c r="E75" s="165" t="str">
        <f>IF(_Datos!$C75,IF(_Datos!$N75=9999,"(Sin sprint)",_Datos!$N75),"")</f>
        <v/>
      </c>
      <c r="F75" s="165" t="str">
        <f>IF(_Datos!$C75,_Datos!$J75,"")</f>
        <v/>
      </c>
      <c r="G75" s="165" t="str">
        <f>IF(_Datos!$C75,_Datos!$AE75,"")</f>
        <v/>
      </c>
      <c r="H75" s="168" t="str">
        <f>IF(_Datos!$C75,IF(_Datos!$AF75,_Datos!$AP75,"-"),"")</f>
        <v/>
      </c>
      <c r="I75" s="162"/>
    </row>
    <row r="76" spans="2:9" x14ac:dyDescent="0.35">
      <c r="B76" s="165" t="str">
        <f>IF(_Datos!$C76,_Datos!$O76,"")</f>
        <v/>
      </c>
      <c r="C76" s="162" t="str">
        <f>IF(_Datos!$C76,_Datos!$F76,"")</f>
        <v/>
      </c>
      <c r="D76" s="162" t="str">
        <f>IF(_Datos!$C76,_Datos!$G76,"")</f>
        <v/>
      </c>
      <c r="E76" s="165" t="str">
        <f>IF(_Datos!$C76,IF(_Datos!$N76=9999,"(Sin sprint)",_Datos!$N76),"")</f>
        <v/>
      </c>
      <c r="F76" s="165" t="str">
        <f>IF(_Datos!$C76,_Datos!$J76,"")</f>
        <v/>
      </c>
      <c r="G76" s="165" t="str">
        <f>IF(_Datos!$C76,_Datos!$AE76,"")</f>
        <v/>
      </c>
      <c r="H76" s="168" t="str">
        <f>IF(_Datos!$C76,IF(_Datos!$AF76,_Datos!$AP76,"-"),"")</f>
        <v/>
      </c>
      <c r="I76" s="162"/>
    </row>
    <row r="77" spans="2:9" x14ac:dyDescent="0.35">
      <c r="B77" s="165" t="str">
        <f>IF(_Datos!$C77,_Datos!$O77,"")</f>
        <v/>
      </c>
      <c r="C77" s="162" t="str">
        <f>IF(_Datos!$C77,_Datos!$F77,"")</f>
        <v/>
      </c>
      <c r="D77" s="162" t="str">
        <f>IF(_Datos!$C77,_Datos!$G77,"")</f>
        <v/>
      </c>
      <c r="E77" s="165" t="str">
        <f>IF(_Datos!$C77,IF(_Datos!$N77=9999,"(Sin sprint)",_Datos!$N77),"")</f>
        <v/>
      </c>
      <c r="F77" s="165" t="str">
        <f>IF(_Datos!$C77,_Datos!$J77,"")</f>
        <v/>
      </c>
      <c r="G77" s="165" t="str">
        <f>IF(_Datos!$C77,_Datos!$AE77,"")</f>
        <v/>
      </c>
      <c r="H77" s="168" t="str">
        <f>IF(_Datos!$C77,IF(_Datos!$AF77,_Datos!$AP77,"-"),"")</f>
        <v/>
      </c>
      <c r="I77" s="162"/>
    </row>
    <row r="78" spans="2:9" x14ac:dyDescent="0.35">
      <c r="B78" s="165" t="str">
        <f>IF(_Datos!$C78,_Datos!$O78,"")</f>
        <v/>
      </c>
      <c r="C78" s="162" t="str">
        <f>IF(_Datos!$C78,_Datos!$F78,"")</f>
        <v/>
      </c>
      <c r="D78" s="162" t="str">
        <f>IF(_Datos!$C78,_Datos!$G78,"")</f>
        <v/>
      </c>
      <c r="E78" s="165" t="str">
        <f>IF(_Datos!$C78,IF(_Datos!$N78=9999,"(Sin sprint)",_Datos!$N78),"")</f>
        <v/>
      </c>
      <c r="F78" s="165" t="str">
        <f>IF(_Datos!$C78,_Datos!$J78,"")</f>
        <v/>
      </c>
      <c r="G78" s="165" t="str">
        <f>IF(_Datos!$C78,_Datos!$AE78,"")</f>
        <v/>
      </c>
      <c r="H78" s="168" t="str">
        <f>IF(_Datos!$C78,IF(_Datos!$AF78,_Datos!$AP78,"-"),"")</f>
        <v/>
      </c>
      <c r="I78" s="162"/>
    </row>
    <row r="79" spans="2:9" x14ac:dyDescent="0.35">
      <c r="B79" s="165" t="str">
        <f>IF(_Datos!$C79,_Datos!$O79,"")</f>
        <v/>
      </c>
      <c r="C79" s="162" t="str">
        <f>IF(_Datos!$C79,_Datos!$F79,"")</f>
        <v/>
      </c>
      <c r="D79" s="162" t="str">
        <f>IF(_Datos!$C79,_Datos!$G79,"")</f>
        <v/>
      </c>
      <c r="E79" s="165" t="str">
        <f>IF(_Datos!$C79,IF(_Datos!$N79=9999,"(Sin sprint)",_Datos!$N79),"")</f>
        <v/>
      </c>
      <c r="F79" s="165" t="str">
        <f>IF(_Datos!$C79,_Datos!$J79,"")</f>
        <v/>
      </c>
      <c r="G79" s="165" t="str">
        <f>IF(_Datos!$C79,_Datos!$AE79,"")</f>
        <v/>
      </c>
      <c r="H79" s="168" t="str">
        <f>IF(_Datos!$C79,IF(_Datos!$AF79,_Datos!$AP79,"-"),"")</f>
        <v/>
      </c>
      <c r="I79" s="162"/>
    </row>
    <row r="80" spans="2:9" x14ac:dyDescent="0.35">
      <c r="B80" s="165" t="str">
        <f>IF(_Datos!$C80,_Datos!$O80,"")</f>
        <v/>
      </c>
      <c r="C80" s="162" t="str">
        <f>IF(_Datos!$C80,_Datos!$F80,"")</f>
        <v/>
      </c>
      <c r="D80" s="162" t="str">
        <f>IF(_Datos!$C80,_Datos!$G80,"")</f>
        <v/>
      </c>
      <c r="E80" s="165" t="str">
        <f>IF(_Datos!$C80,IF(_Datos!$N80=9999,"(Sin sprint)",_Datos!$N80),"")</f>
        <v/>
      </c>
      <c r="F80" s="165" t="str">
        <f>IF(_Datos!$C80,_Datos!$J80,"")</f>
        <v/>
      </c>
      <c r="G80" s="165" t="str">
        <f>IF(_Datos!$C80,_Datos!$AE80,"")</f>
        <v/>
      </c>
      <c r="H80" s="168" t="str">
        <f>IF(_Datos!$C80,IF(_Datos!$AF80,_Datos!$AP80,"-"),"")</f>
        <v/>
      </c>
      <c r="I80" s="162"/>
    </row>
    <row r="81" spans="2:9" x14ac:dyDescent="0.35">
      <c r="B81" s="165" t="str">
        <f>IF(_Datos!$C81,_Datos!$O81,"")</f>
        <v/>
      </c>
      <c r="C81" s="162" t="str">
        <f>IF(_Datos!$C81,_Datos!$F81,"")</f>
        <v/>
      </c>
      <c r="D81" s="162" t="str">
        <f>IF(_Datos!$C81,_Datos!$G81,"")</f>
        <v/>
      </c>
      <c r="E81" s="165" t="str">
        <f>IF(_Datos!$C81,IF(_Datos!$N81=9999,"(Sin sprint)",_Datos!$N81),"")</f>
        <v/>
      </c>
      <c r="F81" s="165" t="str">
        <f>IF(_Datos!$C81,_Datos!$J81,"")</f>
        <v/>
      </c>
      <c r="G81" s="165" t="str">
        <f>IF(_Datos!$C81,_Datos!$AE81,"")</f>
        <v/>
      </c>
      <c r="H81" s="168" t="str">
        <f>IF(_Datos!$C81,IF(_Datos!$AF81,_Datos!$AP81,"-"),"")</f>
        <v/>
      </c>
      <c r="I81" s="162"/>
    </row>
    <row r="82" spans="2:9" x14ac:dyDescent="0.35">
      <c r="B82" s="165" t="str">
        <f>IF(_Datos!$C82,_Datos!$O82,"")</f>
        <v/>
      </c>
      <c r="C82" s="162" t="str">
        <f>IF(_Datos!$C82,_Datos!$F82,"")</f>
        <v/>
      </c>
      <c r="D82" s="162" t="str">
        <f>IF(_Datos!$C82,_Datos!$G82,"")</f>
        <v/>
      </c>
      <c r="E82" s="165" t="str">
        <f>IF(_Datos!$C82,IF(_Datos!$N82=9999,"(Sin sprint)",_Datos!$N82),"")</f>
        <v/>
      </c>
      <c r="F82" s="165" t="str">
        <f>IF(_Datos!$C82,_Datos!$J82,"")</f>
        <v/>
      </c>
      <c r="G82" s="165" t="str">
        <f>IF(_Datos!$C82,_Datos!$AE82,"")</f>
        <v/>
      </c>
      <c r="H82" s="168" t="str">
        <f>IF(_Datos!$C82,IF(_Datos!$AF82,_Datos!$AP82,"-"),"")</f>
        <v/>
      </c>
      <c r="I82" s="162"/>
    </row>
    <row r="83" spans="2:9" x14ac:dyDescent="0.35">
      <c r="B83" s="165" t="str">
        <f>IF(_Datos!$C83,_Datos!$O83,"")</f>
        <v/>
      </c>
      <c r="C83" s="162" t="str">
        <f>IF(_Datos!$C83,_Datos!$F83,"")</f>
        <v/>
      </c>
      <c r="D83" s="162" t="str">
        <f>IF(_Datos!$C83,_Datos!$G83,"")</f>
        <v/>
      </c>
      <c r="E83" s="165" t="str">
        <f>IF(_Datos!$C83,IF(_Datos!$N83=9999,"(Sin sprint)",_Datos!$N83),"")</f>
        <v/>
      </c>
      <c r="F83" s="165" t="str">
        <f>IF(_Datos!$C83,_Datos!$J83,"")</f>
        <v/>
      </c>
      <c r="G83" s="165" t="str">
        <f>IF(_Datos!$C83,_Datos!$AE83,"")</f>
        <v/>
      </c>
      <c r="H83" s="168" t="str">
        <f>IF(_Datos!$C83,IF(_Datos!$AF83,_Datos!$AP83,"-"),"")</f>
        <v/>
      </c>
      <c r="I83" s="162"/>
    </row>
    <row r="84" spans="2:9" x14ac:dyDescent="0.35">
      <c r="B84" s="165" t="str">
        <f>IF(_Datos!$C84,_Datos!$O84,"")</f>
        <v/>
      </c>
      <c r="C84" s="162" t="str">
        <f>IF(_Datos!$C84,_Datos!$F84,"")</f>
        <v/>
      </c>
      <c r="D84" s="162" t="str">
        <f>IF(_Datos!$C84,_Datos!$G84,"")</f>
        <v/>
      </c>
      <c r="E84" s="165" t="str">
        <f>IF(_Datos!$C84,IF(_Datos!$N84=9999,"(Sin sprint)",_Datos!$N84),"")</f>
        <v/>
      </c>
      <c r="F84" s="165" t="str">
        <f>IF(_Datos!$C84,_Datos!$J84,"")</f>
        <v/>
      </c>
      <c r="G84" s="165" t="str">
        <f>IF(_Datos!$C84,_Datos!$AE84,"")</f>
        <v/>
      </c>
      <c r="H84" s="168" t="str">
        <f>IF(_Datos!$C84,IF(_Datos!$AF84,_Datos!$AP84,"-"),"")</f>
        <v/>
      </c>
      <c r="I84" s="162"/>
    </row>
    <row r="85" spans="2:9" x14ac:dyDescent="0.35">
      <c r="B85" s="165" t="str">
        <f>IF(_Datos!$C85,_Datos!$O85,"")</f>
        <v/>
      </c>
      <c r="C85" s="162" t="str">
        <f>IF(_Datos!$C85,_Datos!$F85,"")</f>
        <v/>
      </c>
      <c r="D85" s="162" t="str">
        <f>IF(_Datos!$C85,_Datos!$G85,"")</f>
        <v/>
      </c>
      <c r="E85" s="165" t="str">
        <f>IF(_Datos!$C85,IF(_Datos!$N85=9999,"(Sin sprint)",_Datos!$N85),"")</f>
        <v/>
      </c>
      <c r="F85" s="165" t="str">
        <f>IF(_Datos!$C85,_Datos!$J85,"")</f>
        <v/>
      </c>
      <c r="G85" s="165" t="str">
        <f>IF(_Datos!$C85,_Datos!$AE85,"")</f>
        <v/>
      </c>
      <c r="H85" s="168" t="str">
        <f>IF(_Datos!$C85,IF(_Datos!$AF85,_Datos!$AP85,"-"),"")</f>
        <v/>
      </c>
      <c r="I85" s="162"/>
    </row>
    <row r="86" spans="2:9" x14ac:dyDescent="0.35">
      <c r="B86" s="165" t="str">
        <f>IF(_Datos!$C86,_Datos!$O86,"")</f>
        <v/>
      </c>
      <c r="C86" s="162" t="str">
        <f>IF(_Datos!$C86,_Datos!$F86,"")</f>
        <v/>
      </c>
      <c r="D86" s="162" t="str">
        <f>IF(_Datos!$C86,_Datos!$G86,"")</f>
        <v/>
      </c>
      <c r="E86" s="165" t="str">
        <f>IF(_Datos!$C86,IF(_Datos!$N86=9999,"(Sin sprint)",_Datos!$N86),"")</f>
        <v/>
      </c>
      <c r="F86" s="165" t="str">
        <f>IF(_Datos!$C86,_Datos!$J86,"")</f>
        <v/>
      </c>
      <c r="G86" s="165" t="str">
        <f>IF(_Datos!$C86,_Datos!$AE86,"")</f>
        <v/>
      </c>
      <c r="H86" s="168" t="str">
        <f>IF(_Datos!$C86,IF(_Datos!$AF86,_Datos!$AP86,"-"),"")</f>
        <v/>
      </c>
      <c r="I86" s="162"/>
    </row>
    <row r="87" spans="2:9" x14ac:dyDescent="0.35">
      <c r="B87" s="165" t="str">
        <f>IF(_Datos!$C87,_Datos!$O87,"")</f>
        <v/>
      </c>
      <c r="C87" s="162" t="str">
        <f>IF(_Datos!$C87,_Datos!$F87,"")</f>
        <v/>
      </c>
      <c r="D87" s="162" t="str">
        <f>IF(_Datos!$C87,_Datos!$G87,"")</f>
        <v/>
      </c>
      <c r="E87" s="165" t="str">
        <f>IF(_Datos!$C87,IF(_Datos!$N87=9999,"(Sin sprint)",_Datos!$N87),"")</f>
        <v/>
      </c>
      <c r="F87" s="165" t="str">
        <f>IF(_Datos!$C87,_Datos!$J87,"")</f>
        <v/>
      </c>
      <c r="G87" s="165" t="str">
        <f>IF(_Datos!$C87,_Datos!$AE87,"")</f>
        <v/>
      </c>
      <c r="H87" s="168" t="str">
        <f>IF(_Datos!$C87,IF(_Datos!$AF87,_Datos!$AP87,"-"),"")</f>
        <v/>
      </c>
      <c r="I87" s="162"/>
    </row>
    <row r="88" spans="2:9" x14ac:dyDescent="0.35">
      <c r="B88" s="165" t="str">
        <f>IF(_Datos!$C88,_Datos!$O88,"")</f>
        <v/>
      </c>
      <c r="C88" s="162" t="str">
        <f>IF(_Datos!$C88,_Datos!$F88,"")</f>
        <v/>
      </c>
      <c r="D88" s="162" t="str">
        <f>IF(_Datos!$C88,_Datos!$G88,"")</f>
        <v/>
      </c>
      <c r="E88" s="165" t="str">
        <f>IF(_Datos!$C88,IF(_Datos!$N88=9999,"(Sin sprint)",_Datos!$N88),"")</f>
        <v/>
      </c>
      <c r="F88" s="165" t="str">
        <f>IF(_Datos!$C88,_Datos!$J88,"")</f>
        <v/>
      </c>
      <c r="G88" s="165" t="str">
        <f>IF(_Datos!$C88,_Datos!$AE88,"")</f>
        <v/>
      </c>
      <c r="H88" s="168" t="str">
        <f>IF(_Datos!$C88,IF(_Datos!$AF88,_Datos!$AP88,"-"),"")</f>
        <v/>
      </c>
      <c r="I88" s="162"/>
    </row>
    <row r="89" spans="2:9" x14ac:dyDescent="0.35">
      <c r="B89" s="165" t="str">
        <f>IF(_Datos!$C89,_Datos!$O89,"")</f>
        <v/>
      </c>
      <c r="C89" s="162" t="str">
        <f>IF(_Datos!$C89,_Datos!$F89,"")</f>
        <v/>
      </c>
      <c r="D89" s="162" t="str">
        <f>IF(_Datos!$C89,_Datos!$G89,"")</f>
        <v/>
      </c>
      <c r="E89" s="165" t="str">
        <f>IF(_Datos!$C89,IF(_Datos!$N89=9999,"(Sin sprint)",_Datos!$N89),"")</f>
        <v/>
      </c>
      <c r="F89" s="165" t="str">
        <f>IF(_Datos!$C89,_Datos!$J89,"")</f>
        <v/>
      </c>
      <c r="G89" s="165" t="str">
        <f>IF(_Datos!$C89,_Datos!$AE89,"")</f>
        <v/>
      </c>
      <c r="H89" s="168" t="str">
        <f>IF(_Datos!$C89,IF(_Datos!$AF89,_Datos!$AP89,"-"),"")</f>
        <v/>
      </c>
      <c r="I89" s="162"/>
    </row>
    <row r="90" spans="2:9" x14ac:dyDescent="0.35">
      <c r="B90" s="165" t="str">
        <f>IF(_Datos!$C90,_Datos!$O90,"")</f>
        <v/>
      </c>
      <c r="C90" s="162" t="str">
        <f>IF(_Datos!$C90,_Datos!$F90,"")</f>
        <v/>
      </c>
      <c r="D90" s="162" t="str">
        <f>IF(_Datos!$C90,_Datos!$G90,"")</f>
        <v/>
      </c>
      <c r="E90" s="165" t="str">
        <f>IF(_Datos!$C90,IF(_Datos!$N90=9999,"(Sin sprint)",_Datos!$N90),"")</f>
        <v/>
      </c>
      <c r="F90" s="165" t="str">
        <f>IF(_Datos!$C90,_Datos!$J90,"")</f>
        <v/>
      </c>
      <c r="G90" s="165" t="str">
        <f>IF(_Datos!$C90,_Datos!$AE90,"")</f>
        <v/>
      </c>
      <c r="H90" s="168" t="str">
        <f>IF(_Datos!$C90,IF(_Datos!$AF90,_Datos!$AP90,"-"),"")</f>
        <v/>
      </c>
      <c r="I90" s="162"/>
    </row>
    <row r="91" spans="2:9" x14ac:dyDescent="0.35">
      <c r="B91" s="165" t="str">
        <f>IF(_Datos!$C91,_Datos!$O91,"")</f>
        <v/>
      </c>
      <c r="C91" s="162" t="str">
        <f>IF(_Datos!$C91,_Datos!$F91,"")</f>
        <v/>
      </c>
      <c r="D91" s="162" t="str">
        <f>IF(_Datos!$C91,_Datos!$G91,"")</f>
        <v/>
      </c>
      <c r="E91" s="165" t="str">
        <f>IF(_Datos!$C91,IF(_Datos!$N91=9999,"(Sin sprint)",_Datos!$N91),"")</f>
        <v/>
      </c>
      <c r="F91" s="165" t="str">
        <f>IF(_Datos!$C91,_Datos!$J91,"")</f>
        <v/>
      </c>
      <c r="G91" s="165" t="str">
        <f>IF(_Datos!$C91,_Datos!$AE91,"")</f>
        <v/>
      </c>
      <c r="H91" s="168" t="str">
        <f>IF(_Datos!$C91,IF(_Datos!$AF91,_Datos!$AP91,"-"),"")</f>
        <v/>
      </c>
      <c r="I91" s="162"/>
    </row>
    <row r="92" spans="2:9" x14ac:dyDescent="0.35">
      <c r="B92" s="165" t="str">
        <f>IF(_Datos!$C92,_Datos!$O92,"")</f>
        <v/>
      </c>
      <c r="C92" s="162" t="str">
        <f>IF(_Datos!$C92,_Datos!$F92,"")</f>
        <v/>
      </c>
      <c r="D92" s="162" t="str">
        <f>IF(_Datos!$C92,_Datos!$G92,"")</f>
        <v/>
      </c>
      <c r="E92" s="165" t="str">
        <f>IF(_Datos!$C92,IF(_Datos!$N92=9999,"(Sin sprint)",_Datos!$N92),"")</f>
        <v/>
      </c>
      <c r="F92" s="165" t="str">
        <f>IF(_Datos!$C92,_Datos!$J92,"")</f>
        <v/>
      </c>
      <c r="G92" s="165" t="str">
        <f>IF(_Datos!$C92,_Datos!$AE92,"")</f>
        <v/>
      </c>
      <c r="H92" s="168" t="str">
        <f>IF(_Datos!$C92,IF(_Datos!$AF92,_Datos!$AP92,"-"),"")</f>
        <v/>
      </c>
      <c r="I92" s="162"/>
    </row>
    <row r="93" spans="2:9" x14ac:dyDescent="0.35">
      <c r="B93" s="165" t="str">
        <f>IF(_Datos!$C93,_Datos!$O93,"")</f>
        <v/>
      </c>
      <c r="C93" s="162" t="str">
        <f>IF(_Datos!$C93,_Datos!$F93,"")</f>
        <v/>
      </c>
      <c r="D93" s="162" t="str">
        <f>IF(_Datos!$C93,_Datos!$G93,"")</f>
        <v/>
      </c>
      <c r="E93" s="165" t="str">
        <f>IF(_Datos!$C93,IF(_Datos!$N93=9999,"(Sin sprint)",_Datos!$N93),"")</f>
        <v/>
      </c>
      <c r="F93" s="165" t="str">
        <f>IF(_Datos!$C93,_Datos!$J93,"")</f>
        <v/>
      </c>
      <c r="G93" s="165" t="str">
        <f>IF(_Datos!$C93,_Datos!$AE93,"")</f>
        <v/>
      </c>
      <c r="H93" s="168" t="str">
        <f>IF(_Datos!$C93,IF(_Datos!$AF93,_Datos!$AP93,"-"),"")</f>
        <v/>
      </c>
      <c r="I93" s="162"/>
    </row>
    <row r="94" spans="2:9" x14ac:dyDescent="0.35">
      <c r="B94" s="165" t="str">
        <f>IF(_Datos!$C94,_Datos!$O94,"")</f>
        <v/>
      </c>
      <c r="C94" s="162" t="str">
        <f>IF(_Datos!$C94,_Datos!$F94,"")</f>
        <v/>
      </c>
      <c r="D94" s="162" t="str">
        <f>IF(_Datos!$C94,_Datos!$G94,"")</f>
        <v/>
      </c>
      <c r="E94" s="165" t="str">
        <f>IF(_Datos!$C94,IF(_Datos!$N94=9999,"(Sin sprint)",_Datos!$N94),"")</f>
        <v/>
      </c>
      <c r="F94" s="165" t="str">
        <f>IF(_Datos!$C94,_Datos!$J94,"")</f>
        <v/>
      </c>
      <c r="G94" s="165" t="str">
        <f>IF(_Datos!$C94,_Datos!$AE94,"")</f>
        <v/>
      </c>
      <c r="H94" s="168" t="str">
        <f>IF(_Datos!$C94,IF(_Datos!$AF94,_Datos!$AP94,"-"),"")</f>
        <v/>
      </c>
      <c r="I94" s="162"/>
    </row>
    <row r="95" spans="2:9" x14ac:dyDescent="0.35">
      <c r="B95" s="165" t="str">
        <f>IF(_Datos!$C95,_Datos!$O95,"")</f>
        <v/>
      </c>
      <c r="C95" s="162" t="str">
        <f>IF(_Datos!$C95,_Datos!$F95,"")</f>
        <v/>
      </c>
      <c r="D95" s="162" t="str">
        <f>IF(_Datos!$C95,_Datos!$G95,"")</f>
        <v/>
      </c>
      <c r="E95" s="165" t="str">
        <f>IF(_Datos!$C95,IF(_Datos!$N95=9999,"(Sin sprint)",_Datos!$N95),"")</f>
        <v/>
      </c>
      <c r="F95" s="165" t="str">
        <f>IF(_Datos!$C95,_Datos!$J95,"")</f>
        <v/>
      </c>
      <c r="G95" s="165" t="str">
        <f>IF(_Datos!$C95,_Datos!$AE95,"")</f>
        <v/>
      </c>
      <c r="H95" s="168" t="str">
        <f>IF(_Datos!$C95,IF(_Datos!$AF95,_Datos!$AP95,"-"),"")</f>
        <v/>
      </c>
      <c r="I95" s="162"/>
    </row>
    <row r="96" spans="2:9" x14ac:dyDescent="0.35">
      <c r="B96" s="165" t="str">
        <f>IF(_Datos!$C96,_Datos!$O96,"")</f>
        <v/>
      </c>
      <c r="C96" s="162" t="str">
        <f>IF(_Datos!$C96,_Datos!$F96,"")</f>
        <v/>
      </c>
      <c r="D96" s="162" t="str">
        <f>IF(_Datos!$C96,_Datos!$G96,"")</f>
        <v/>
      </c>
      <c r="E96" s="165" t="str">
        <f>IF(_Datos!$C96,IF(_Datos!$N96=9999,"(Sin sprint)",_Datos!$N96),"")</f>
        <v/>
      </c>
      <c r="F96" s="165" t="str">
        <f>IF(_Datos!$C96,_Datos!$J96,"")</f>
        <v/>
      </c>
      <c r="G96" s="165" t="str">
        <f>IF(_Datos!$C96,_Datos!$AE96,"")</f>
        <v/>
      </c>
      <c r="H96" s="168" t="str">
        <f>IF(_Datos!$C96,IF(_Datos!$AF96,_Datos!$AP96,"-"),"")</f>
        <v/>
      </c>
      <c r="I96" s="162"/>
    </row>
    <row r="97" spans="2:9" x14ac:dyDescent="0.35">
      <c r="B97" s="165" t="str">
        <f>IF(_Datos!$C97,_Datos!$O97,"")</f>
        <v/>
      </c>
      <c r="C97" s="162" t="str">
        <f>IF(_Datos!$C97,_Datos!$F97,"")</f>
        <v/>
      </c>
      <c r="D97" s="162" t="str">
        <f>IF(_Datos!$C97,_Datos!$G97,"")</f>
        <v/>
      </c>
      <c r="E97" s="165" t="str">
        <f>IF(_Datos!$C97,IF(_Datos!$N97=9999,"(Sin sprint)",_Datos!$N97),"")</f>
        <v/>
      </c>
      <c r="F97" s="165" t="str">
        <f>IF(_Datos!$C97,_Datos!$J97,"")</f>
        <v/>
      </c>
      <c r="G97" s="165" t="str">
        <f>IF(_Datos!$C97,_Datos!$AE97,"")</f>
        <v/>
      </c>
      <c r="H97" s="168" t="str">
        <f>IF(_Datos!$C97,IF(_Datos!$AF97,_Datos!$AP97,"-"),"")</f>
        <v/>
      </c>
      <c r="I97" s="162"/>
    </row>
    <row r="98" spans="2:9" x14ac:dyDescent="0.35">
      <c r="B98" s="165" t="str">
        <f>IF(_Datos!$C98,_Datos!$O98,"")</f>
        <v/>
      </c>
      <c r="C98" s="162" t="str">
        <f>IF(_Datos!$C98,_Datos!$F98,"")</f>
        <v/>
      </c>
      <c r="D98" s="162" t="str">
        <f>IF(_Datos!$C98,_Datos!$G98,"")</f>
        <v/>
      </c>
      <c r="E98" s="165" t="str">
        <f>IF(_Datos!$C98,IF(_Datos!$N98=9999,"(Sin sprint)",_Datos!$N98),"")</f>
        <v/>
      </c>
      <c r="F98" s="165" t="str">
        <f>IF(_Datos!$C98,_Datos!$J98,"")</f>
        <v/>
      </c>
      <c r="G98" s="165" t="str">
        <f>IF(_Datos!$C98,_Datos!$AE98,"")</f>
        <v/>
      </c>
      <c r="H98" s="168" t="str">
        <f>IF(_Datos!$C98,IF(_Datos!$AF98,_Datos!$AP98,"-"),"")</f>
        <v/>
      </c>
      <c r="I98" s="162"/>
    </row>
    <row r="99" spans="2:9" x14ac:dyDescent="0.35">
      <c r="B99" s="165" t="str">
        <f>IF(_Datos!$C99,_Datos!$O99,"")</f>
        <v/>
      </c>
      <c r="C99" s="162" t="str">
        <f>IF(_Datos!$C99,_Datos!$F99,"")</f>
        <v/>
      </c>
      <c r="D99" s="162" t="str">
        <f>IF(_Datos!$C99,_Datos!$G99,"")</f>
        <v/>
      </c>
      <c r="E99" s="165" t="str">
        <f>IF(_Datos!$C99,IF(_Datos!$N99=9999,"(Sin sprint)",_Datos!$N99),"")</f>
        <v/>
      </c>
      <c r="F99" s="165" t="str">
        <f>IF(_Datos!$C99,_Datos!$J99,"")</f>
        <v/>
      </c>
      <c r="G99" s="165" t="str">
        <f>IF(_Datos!$C99,_Datos!$AE99,"")</f>
        <v/>
      </c>
      <c r="H99" s="168" t="str">
        <f>IF(_Datos!$C99,IF(_Datos!$AF99,_Datos!$AP99,"-"),"")</f>
        <v/>
      </c>
      <c r="I99" s="162"/>
    </row>
    <row r="100" spans="2:9" x14ac:dyDescent="0.35">
      <c r="B100" s="165" t="str">
        <f>IF(_Datos!$C100,_Datos!$O100,"")</f>
        <v/>
      </c>
      <c r="C100" s="162" t="str">
        <f>IF(_Datos!$C100,_Datos!$F100,"")</f>
        <v/>
      </c>
      <c r="D100" s="162" t="str">
        <f>IF(_Datos!$C100,_Datos!$G100,"")</f>
        <v/>
      </c>
      <c r="E100" s="165" t="str">
        <f>IF(_Datos!$C100,IF(_Datos!$N100=9999,"(Sin sprint)",_Datos!$N100),"")</f>
        <v/>
      </c>
      <c r="F100" s="165" t="str">
        <f>IF(_Datos!$C100,_Datos!$J100,"")</f>
        <v/>
      </c>
      <c r="G100" s="165" t="str">
        <f>IF(_Datos!$C100,_Datos!$AE100,"")</f>
        <v/>
      </c>
      <c r="H100" s="168" t="str">
        <f>IF(_Datos!$C100,IF(_Datos!$AF100,_Datos!$AP100,"-"),"")</f>
        <v/>
      </c>
      <c r="I100" s="162"/>
    </row>
    <row r="101" spans="2:9" x14ac:dyDescent="0.35">
      <c r="B101" s="165" t="str">
        <f>IF(_Datos!$C101,_Datos!$O101,"")</f>
        <v/>
      </c>
      <c r="C101" s="162" t="str">
        <f>IF(_Datos!$C101,_Datos!$F101,"")</f>
        <v/>
      </c>
      <c r="D101" s="162" t="str">
        <f>IF(_Datos!$C101,_Datos!$G101,"")</f>
        <v/>
      </c>
      <c r="E101" s="165" t="str">
        <f>IF(_Datos!$C101,IF(_Datos!$N101=9999,"(Sin sprint)",_Datos!$N101),"")</f>
        <v/>
      </c>
      <c r="F101" s="165" t="str">
        <f>IF(_Datos!$C101,_Datos!$J101,"")</f>
        <v/>
      </c>
      <c r="G101" s="165" t="str">
        <f>IF(_Datos!$C101,_Datos!$AE101,"")</f>
        <v/>
      </c>
      <c r="H101" s="168" t="str">
        <f>IF(_Datos!$C101,IF(_Datos!$AF101,_Datos!$AP101,"-"),"")</f>
        <v/>
      </c>
      <c r="I101" s="162"/>
    </row>
    <row r="102" spans="2:9" x14ac:dyDescent="0.35">
      <c r="B102" s="165" t="str">
        <f>IF(_Datos!$C102,_Datos!$O102,"")</f>
        <v/>
      </c>
      <c r="C102" s="162" t="str">
        <f>IF(_Datos!$C102,_Datos!$F102,"")</f>
        <v/>
      </c>
      <c r="D102" s="162" t="str">
        <f>IF(_Datos!$C102,_Datos!$G102,"")</f>
        <v/>
      </c>
      <c r="E102" s="165" t="str">
        <f>IF(_Datos!$C102,IF(_Datos!$N102=9999,"(Sin sprint)",_Datos!$N102),"")</f>
        <v/>
      </c>
      <c r="F102" s="165" t="str">
        <f>IF(_Datos!$C102,_Datos!$J102,"")</f>
        <v/>
      </c>
      <c r="G102" s="165" t="str">
        <f>IF(_Datos!$C102,_Datos!$AE102,"")</f>
        <v/>
      </c>
      <c r="H102" s="168" t="str">
        <f>IF(_Datos!$C102,IF(_Datos!$AF102,_Datos!$AP102,"-"),"")</f>
        <v/>
      </c>
      <c r="I102" s="162"/>
    </row>
    <row r="103" spans="2:9" x14ac:dyDescent="0.35">
      <c r="B103" s="165" t="str">
        <f>IF(_Datos!$C103,_Datos!$O103,"")</f>
        <v/>
      </c>
      <c r="C103" s="162" t="str">
        <f>IF(_Datos!$C103,_Datos!$F103,"")</f>
        <v/>
      </c>
      <c r="D103" s="162" t="str">
        <f>IF(_Datos!$C103,_Datos!$G103,"")</f>
        <v/>
      </c>
      <c r="E103" s="165" t="str">
        <f>IF(_Datos!$C103,IF(_Datos!$N103=9999,"(Sin sprint)",_Datos!$N103),"")</f>
        <v/>
      </c>
      <c r="F103" s="165" t="str">
        <f>IF(_Datos!$C103,_Datos!$J103,"")</f>
        <v/>
      </c>
      <c r="G103" s="165" t="str">
        <f>IF(_Datos!$C103,_Datos!$AE103,"")</f>
        <v/>
      </c>
      <c r="H103" s="168" t="str">
        <f>IF(_Datos!$C103,IF(_Datos!$AF103,_Datos!$AP103,"-"),"")</f>
        <v/>
      </c>
      <c r="I103" s="162"/>
    </row>
    <row r="104" spans="2:9" x14ac:dyDescent="0.35">
      <c r="B104" s="165" t="str">
        <f>IF(_Datos!$C104,_Datos!$O104,"")</f>
        <v/>
      </c>
      <c r="C104" s="162" t="str">
        <f>IF(_Datos!$C104,_Datos!$F104,"")</f>
        <v/>
      </c>
      <c r="D104" s="162" t="str">
        <f>IF(_Datos!$C104,_Datos!$G104,"")</f>
        <v/>
      </c>
      <c r="E104" s="165" t="str">
        <f>IF(_Datos!$C104,IF(_Datos!$N104=9999,"(Sin sprint)",_Datos!$N104),"")</f>
        <v/>
      </c>
      <c r="F104" s="165" t="str">
        <f>IF(_Datos!$C104,_Datos!$J104,"")</f>
        <v/>
      </c>
      <c r="G104" s="165" t="str">
        <f>IF(_Datos!$C104,_Datos!$AE104,"")</f>
        <v/>
      </c>
      <c r="H104" s="168" t="str">
        <f>IF(_Datos!$C104,IF(_Datos!$AF104,_Datos!$AP104,"-"),"")</f>
        <v/>
      </c>
      <c r="I104" s="162"/>
    </row>
    <row r="105" spans="2:9" x14ac:dyDescent="0.35">
      <c r="B105" s="165" t="str">
        <f>IF(_Datos!$C105,_Datos!$O105,"")</f>
        <v/>
      </c>
      <c r="C105" s="162" t="str">
        <f>IF(_Datos!$C105,_Datos!$F105,"")</f>
        <v/>
      </c>
      <c r="D105" s="162" t="str">
        <f>IF(_Datos!$C105,_Datos!$G105,"")</f>
        <v/>
      </c>
      <c r="E105" s="165" t="str">
        <f>IF(_Datos!$C105,IF(_Datos!$N105=9999,"(Sin sprint)",_Datos!$N105),"")</f>
        <v/>
      </c>
      <c r="F105" s="165" t="str">
        <f>IF(_Datos!$C105,_Datos!$J105,"")</f>
        <v/>
      </c>
      <c r="G105" s="165" t="str">
        <f>IF(_Datos!$C105,_Datos!$AE105,"")</f>
        <v/>
      </c>
      <c r="H105" s="168" t="str">
        <f>IF(_Datos!$C105,IF(_Datos!$AF105,_Datos!$AP105,"-"),"")</f>
        <v/>
      </c>
      <c r="I105" s="162"/>
    </row>
    <row r="106" spans="2:9" x14ac:dyDescent="0.35">
      <c r="B106" s="165" t="str">
        <f>IF(_Datos!$C106,_Datos!$O106,"")</f>
        <v/>
      </c>
      <c r="C106" s="162" t="str">
        <f>IF(_Datos!$C106,_Datos!$F106,"")</f>
        <v/>
      </c>
      <c r="D106" s="162" t="str">
        <f>IF(_Datos!$C106,_Datos!$G106,"")</f>
        <v/>
      </c>
      <c r="E106" s="165" t="str">
        <f>IF(_Datos!$C106,IF(_Datos!$N106=9999,"(Sin sprint)",_Datos!$N106),"")</f>
        <v/>
      </c>
      <c r="F106" s="165" t="str">
        <f>IF(_Datos!$C106,_Datos!$J106,"")</f>
        <v/>
      </c>
      <c r="G106" s="165" t="str">
        <f>IF(_Datos!$C106,_Datos!$AE106,"")</f>
        <v/>
      </c>
      <c r="H106" s="168" t="str">
        <f>IF(_Datos!$C106,IF(_Datos!$AF106,_Datos!$AP106,"-"),"")</f>
        <v/>
      </c>
      <c r="I106" s="162"/>
    </row>
    <row r="107" spans="2:9" x14ac:dyDescent="0.35">
      <c r="B107" s="165" t="str">
        <f>IF(_Datos!$C107,_Datos!$O107,"")</f>
        <v/>
      </c>
      <c r="C107" s="162" t="str">
        <f>IF(_Datos!$C107,_Datos!$F107,"")</f>
        <v/>
      </c>
      <c r="D107" s="162" t="str">
        <f>IF(_Datos!$C107,_Datos!$G107,"")</f>
        <v/>
      </c>
      <c r="E107" s="165" t="str">
        <f>IF(_Datos!$C107,IF(_Datos!$N107=9999,"(Sin sprint)",_Datos!$N107),"")</f>
        <v/>
      </c>
      <c r="F107" s="165" t="str">
        <f>IF(_Datos!$C107,_Datos!$J107,"")</f>
        <v/>
      </c>
      <c r="G107" s="165" t="str">
        <f>IF(_Datos!$C107,_Datos!$AE107,"")</f>
        <v/>
      </c>
      <c r="H107" s="168" t="str">
        <f>IF(_Datos!$C107,IF(_Datos!$AF107,_Datos!$AP107,"-"),"")</f>
        <v/>
      </c>
      <c r="I107" s="162"/>
    </row>
    <row r="108" spans="2:9" x14ac:dyDescent="0.35">
      <c r="B108" s="165" t="str">
        <f>IF(_Datos!$C108,_Datos!$O108,"")</f>
        <v/>
      </c>
      <c r="C108" s="162" t="str">
        <f>IF(_Datos!$C108,_Datos!$F108,"")</f>
        <v/>
      </c>
      <c r="D108" s="162" t="str">
        <f>IF(_Datos!$C108,_Datos!$G108,"")</f>
        <v/>
      </c>
      <c r="E108" s="165" t="str">
        <f>IF(_Datos!$C108,IF(_Datos!$N108=9999,"(Sin sprint)",_Datos!$N108),"")</f>
        <v/>
      </c>
      <c r="F108" s="165" t="str">
        <f>IF(_Datos!$C108,_Datos!$J108,"")</f>
        <v/>
      </c>
      <c r="G108" s="165" t="str">
        <f>IF(_Datos!$C108,_Datos!$AE108,"")</f>
        <v/>
      </c>
      <c r="H108" s="168" t="str">
        <f>IF(_Datos!$C108,IF(_Datos!$AF108,_Datos!$AP108,"-"),"")</f>
        <v/>
      </c>
      <c r="I108" s="162"/>
    </row>
    <row r="109" spans="2:9" x14ac:dyDescent="0.35">
      <c r="B109" s="165" t="str">
        <f>IF(_Datos!$C109,_Datos!$O109,"")</f>
        <v/>
      </c>
      <c r="C109" s="162" t="str">
        <f>IF(_Datos!$C109,_Datos!$F109,"")</f>
        <v/>
      </c>
      <c r="D109" s="162" t="str">
        <f>IF(_Datos!$C109,_Datos!$G109,"")</f>
        <v/>
      </c>
      <c r="E109" s="165" t="str">
        <f>IF(_Datos!$C109,IF(_Datos!$N109=9999,"(Sin sprint)",_Datos!$N109),"")</f>
        <v/>
      </c>
      <c r="F109" s="165" t="str">
        <f>IF(_Datos!$C109,_Datos!$J109,"")</f>
        <v/>
      </c>
      <c r="G109" s="165" t="str">
        <f>IF(_Datos!$C109,_Datos!$AE109,"")</f>
        <v/>
      </c>
      <c r="H109" s="168" t="str">
        <f>IF(_Datos!$C109,IF(_Datos!$AF109,_Datos!$AP109,"-"),"")</f>
        <v/>
      </c>
      <c r="I109" s="162"/>
    </row>
    <row r="110" spans="2:9" x14ac:dyDescent="0.35">
      <c r="B110" s="165" t="str">
        <f>IF(_Datos!$C110,_Datos!$O110,"")</f>
        <v/>
      </c>
      <c r="C110" s="162" t="str">
        <f>IF(_Datos!$C110,_Datos!$F110,"")</f>
        <v/>
      </c>
      <c r="D110" s="162" t="str">
        <f>IF(_Datos!$C110,_Datos!$G110,"")</f>
        <v/>
      </c>
      <c r="E110" s="165" t="str">
        <f>IF(_Datos!$C110,IF(_Datos!$N110=9999,"(Sin sprint)",_Datos!$N110),"")</f>
        <v/>
      </c>
      <c r="F110" s="165" t="str">
        <f>IF(_Datos!$C110,_Datos!$J110,"")</f>
        <v/>
      </c>
      <c r="G110" s="165" t="str">
        <f>IF(_Datos!$C110,_Datos!$AE110,"")</f>
        <v/>
      </c>
      <c r="H110" s="168" t="str">
        <f>IF(_Datos!$C110,IF(_Datos!$AF110,_Datos!$AP110,"-"),"")</f>
        <v/>
      </c>
      <c r="I110" s="162"/>
    </row>
    <row r="111" spans="2:9" x14ac:dyDescent="0.35">
      <c r="B111" s="165" t="str">
        <f>IF(_Datos!$C111,_Datos!$O111,"")</f>
        <v/>
      </c>
      <c r="C111" s="162" t="str">
        <f>IF(_Datos!$C111,_Datos!$F111,"")</f>
        <v/>
      </c>
      <c r="D111" s="162" t="str">
        <f>IF(_Datos!$C111,_Datos!$G111,"")</f>
        <v/>
      </c>
      <c r="E111" s="165" t="str">
        <f>IF(_Datos!$C111,IF(_Datos!$N111=9999,"(Sin sprint)",_Datos!$N111),"")</f>
        <v/>
      </c>
      <c r="F111" s="165" t="str">
        <f>IF(_Datos!$C111,_Datos!$J111,"")</f>
        <v/>
      </c>
      <c r="G111" s="165" t="str">
        <f>IF(_Datos!$C111,_Datos!$AE111,"")</f>
        <v/>
      </c>
      <c r="H111" s="168" t="str">
        <f>IF(_Datos!$C111,IF(_Datos!$AF111,_Datos!$AP111,"-"),"")</f>
        <v/>
      </c>
      <c r="I111" s="162"/>
    </row>
    <row r="112" spans="2:9" x14ac:dyDescent="0.35">
      <c r="B112" s="165" t="str">
        <f>IF(_Datos!$C112,_Datos!$O112,"")</f>
        <v/>
      </c>
      <c r="C112" s="162" t="str">
        <f>IF(_Datos!$C112,_Datos!$F112,"")</f>
        <v/>
      </c>
      <c r="D112" s="162" t="str">
        <f>IF(_Datos!$C112,_Datos!$G112,"")</f>
        <v/>
      </c>
      <c r="E112" s="165" t="str">
        <f>IF(_Datos!$C112,IF(_Datos!$N112=9999,"(Sin sprint)",_Datos!$N112),"")</f>
        <v/>
      </c>
      <c r="F112" s="165" t="str">
        <f>IF(_Datos!$C112,_Datos!$J112,"")</f>
        <v/>
      </c>
      <c r="G112" s="165" t="str">
        <f>IF(_Datos!$C112,_Datos!$AE112,"")</f>
        <v/>
      </c>
      <c r="H112" s="168" t="str">
        <f>IF(_Datos!$C112,IF(_Datos!$AF112,_Datos!$AP112,"-"),"")</f>
        <v/>
      </c>
      <c r="I112" s="162"/>
    </row>
    <row r="113" spans="2:9" x14ac:dyDescent="0.35">
      <c r="B113" s="165" t="str">
        <f>IF(_Datos!$C113,_Datos!$O113,"")</f>
        <v/>
      </c>
      <c r="C113" s="162" t="str">
        <f>IF(_Datos!$C113,_Datos!$F113,"")</f>
        <v/>
      </c>
      <c r="D113" s="162" t="str">
        <f>IF(_Datos!$C113,_Datos!$G113,"")</f>
        <v/>
      </c>
      <c r="E113" s="165" t="str">
        <f>IF(_Datos!$C113,IF(_Datos!$N113=9999,"(Sin sprint)",_Datos!$N113),"")</f>
        <v/>
      </c>
      <c r="F113" s="165" t="str">
        <f>IF(_Datos!$C113,_Datos!$J113,"")</f>
        <v/>
      </c>
      <c r="G113" s="165" t="str">
        <f>IF(_Datos!$C113,_Datos!$AE113,"")</f>
        <v/>
      </c>
      <c r="H113" s="168" t="str">
        <f>IF(_Datos!$C113,IF(_Datos!$AF113,_Datos!$AP113,"-"),"")</f>
        <v/>
      </c>
      <c r="I113" s="162"/>
    </row>
    <row r="114" spans="2:9" x14ac:dyDescent="0.35">
      <c r="B114" s="165" t="str">
        <f>IF(_Datos!$C114,_Datos!$O114,"")</f>
        <v/>
      </c>
      <c r="C114" s="162" t="str">
        <f>IF(_Datos!$C114,_Datos!$F114,"")</f>
        <v/>
      </c>
      <c r="D114" s="162" t="str">
        <f>IF(_Datos!$C114,_Datos!$G114,"")</f>
        <v/>
      </c>
      <c r="E114" s="165" t="str">
        <f>IF(_Datos!$C114,IF(_Datos!$N114=9999,"(Sin sprint)",_Datos!$N114),"")</f>
        <v/>
      </c>
      <c r="F114" s="165" t="str">
        <f>IF(_Datos!$C114,_Datos!$J114,"")</f>
        <v/>
      </c>
      <c r="G114" s="165" t="str">
        <f>IF(_Datos!$C114,_Datos!$AE114,"")</f>
        <v/>
      </c>
      <c r="H114" s="168" t="str">
        <f>IF(_Datos!$C114,IF(_Datos!$AF114,_Datos!$AP114,"-"),"")</f>
        <v/>
      </c>
      <c r="I114" s="162"/>
    </row>
    <row r="115" spans="2:9" x14ac:dyDescent="0.35">
      <c r="B115" s="165" t="str">
        <f>IF(_Datos!$C115,_Datos!$O115,"")</f>
        <v/>
      </c>
      <c r="C115" s="162" t="str">
        <f>IF(_Datos!$C115,_Datos!$F115,"")</f>
        <v/>
      </c>
      <c r="D115" s="162" t="str">
        <f>IF(_Datos!$C115,_Datos!$G115,"")</f>
        <v/>
      </c>
      <c r="E115" s="165" t="str">
        <f>IF(_Datos!$C115,IF(_Datos!$N115=9999,"(Sin sprint)",_Datos!$N115),"")</f>
        <v/>
      </c>
      <c r="F115" s="165" t="str">
        <f>IF(_Datos!$C115,_Datos!$J115,"")</f>
        <v/>
      </c>
      <c r="G115" s="165" t="str">
        <f>IF(_Datos!$C115,_Datos!$AE115,"")</f>
        <v/>
      </c>
      <c r="H115" s="168" t="str">
        <f>IF(_Datos!$C115,IF(_Datos!$AF115,_Datos!$AP115,"-"),"")</f>
        <v/>
      </c>
      <c r="I115" s="162"/>
    </row>
    <row r="116" spans="2:9" x14ac:dyDescent="0.35">
      <c r="B116" s="165" t="str">
        <f>IF(_Datos!$C116,_Datos!$O116,"")</f>
        <v/>
      </c>
      <c r="C116" s="162" t="str">
        <f>IF(_Datos!$C116,_Datos!$F116,"")</f>
        <v/>
      </c>
      <c r="D116" s="162" t="str">
        <f>IF(_Datos!$C116,_Datos!$G116,"")</f>
        <v/>
      </c>
      <c r="E116" s="165" t="str">
        <f>IF(_Datos!$C116,IF(_Datos!$N116=9999,"(Sin sprint)",_Datos!$N116),"")</f>
        <v/>
      </c>
      <c r="F116" s="165" t="str">
        <f>IF(_Datos!$C116,_Datos!$J116,"")</f>
        <v/>
      </c>
      <c r="G116" s="165" t="str">
        <f>IF(_Datos!$C116,_Datos!$AE116,"")</f>
        <v/>
      </c>
      <c r="H116" s="168" t="str">
        <f>IF(_Datos!$C116,IF(_Datos!$AF116,_Datos!$AP116,"-"),"")</f>
        <v/>
      </c>
      <c r="I116" s="162"/>
    </row>
    <row r="117" spans="2:9" x14ac:dyDescent="0.35">
      <c r="B117" s="165" t="str">
        <f>IF(_Datos!$C117,_Datos!$O117,"")</f>
        <v/>
      </c>
      <c r="C117" s="162" t="str">
        <f>IF(_Datos!$C117,_Datos!$F117,"")</f>
        <v/>
      </c>
      <c r="D117" s="162" t="str">
        <f>IF(_Datos!$C117,_Datos!$G117,"")</f>
        <v/>
      </c>
      <c r="E117" s="165" t="str">
        <f>IF(_Datos!$C117,IF(_Datos!$N117=9999,"(Sin sprint)",_Datos!$N117),"")</f>
        <v/>
      </c>
      <c r="F117" s="165" t="str">
        <f>IF(_Datos!$C117,_Datos!$J117,"")</f>
        <v/>
      </c>
      <c r="G117" s="165" t="str">
        <f>IF(_Datos!$C117,_Datos!$AE117,"")</f>
        <v/>
      </c>
      <c r="H117" s="168" t="str">
        <f>IF(_Datos!$C117,IF(_Datos!$AF117,_Datos!$AP117,"-"),"")</f>
        <v/>
      </c>
      <c r="I117" s="162"/>
    </row>
    <row r="118" spans="2:9" x14ac:dyDescent="0.35">
      <c r="B118" s="165" t="str">
        <f>IF(_Datos!$C118,_Datos!$O118,"")</f>
        <v/>
      </c>
      <c r="C118" s="162" t="str">
        <f>IF(_Datos!$C118,_Datos!$F118,"")</f>
        <v/>
      </c>
      <c r="D118" s="162" t="str">
        <f>IF(_Datos!$C118,_Datos!$G118,"")</f>
        <v/>
      </c>
      <c r="E118" s="165" t="str">
        <f>IF(_Datos!$C118,IF(_Datos!$N118=9999,"(Sin sprint)",_Datos!$N118),"")</f>
        <v/>
      </c>
      <c r="F118" s="165" t="str">
        <f>IF(_Datos!$C118,_Datos!$J118,"")</f>
        <v/>
      </c>
      <c r="G118" s="165" t="str">
        <f>IF(_Datos!$C118,_Datos!$AE118,"")</f>
        <v/>
      </c>
      <c r="H118" s="168" t="str">
        <f>IF(_Datos!$C118,IF(_Datos!$AF118,_Datos!$AP118,"-"),"")</f>
        <v/>
      </c>
      <c r="I118" s="162"/>
    </row>
    <row r="119" spans="2:9" x14ac:dyDescent="0.35">
      <c r="B119" s="165" t="str">
        <f>IF(_Datos!$C119,_Datos!$O119,"")</f>
        <v/>
      </c>
      <c r="C119" s="162" t="str">
        <f>IF(_Datos!$C119,_Datos!$F119,"")</f>
        <v/>
      </c>
      <c r="D119" s="162" t="str">
        <f>IF(_Datos!$C119,_Datos!$G119,"")</f>
        <v/>
      </c>
      <c r="E119" s="165" t="str">
        <f>IF(_Datos!$C119,IF(_Datos!$N119=9999,"(Sin sprint)",_Datos!$N119),"")</f>
        <v/>
      </c>
      <c r="F119" s="165" t="str">
        <f>IF(_Datos!$C119,_Datos!$J119,"")</f>
        <v/>
      </c>
      <c r="G119" s="165" t="str">
        <f>IF(_Datos!$C119,_Datos!$AE119,"")</f>
        <v/>
      </c>
      <c r="H119" s="168" t="str">
        <f>IF(_Datos!$C119,IF(_Datos!$AF119,_Datos!$AP119,"-"),"")</f>
        <v/>
      </c>
      <c r="I119" s="162"/>
    </row>
    <row r="120" spans="2:9" x14ac:dyDescent="0.35">
      <c r="B120" s="165" t="str">
        <f>IF(_Datos!$C120,_Datos!$O120,"")</f>
        <v/>
      </c>
      <c r="C120" s="162" t="str">
        <f>IF(_Datos!$C120,_Datos!$F120,"")</f>
        <v/>
      </c>
      <c r="D120" s="162" t="str">
        <f>IF(_Datos!$C120,_Datos!$G120,"")</f>
        <v/>
      </c>
      <c r="E120" s="165" t="str">
        <f>IF(_Datos!$C120,IF(_Datos!$N120=9999,"(Sin sprint)",_Datos!$N120),"")</f>
        <v/>
      </c>
      <c r="F120" s="165" t="str">
        <f>IF(_Datos!$C120,_Datos!$J120,"")</f>
        <v/>
      </c>
      <c r="G120" s="165" t="str">
        <f>IF(_Datos!$C120,_Datos!$AE120,"")</f>
        <v/>
      </c>
      <c r="H120" s="168" t="str">
        <f>IF(_Datos!$C120,IF(_Datos!$AF120,_Datos!$AP120,"-"),"")</f>
        <v/>
      </c>
      <c r="I120" s="162"/>
    </row>
    <row r="121" spans="2:9" x14ac:dyDescent="0.35">
      <c r="B121" s="165" t="str">
        <f>IF(_Datos!$C121,_Datos!$O121,"")</f>
        <v/>
      </c>
      <c r="C121" s="162" t="str">
        <f>IF(_Datos!$C121,_Datos!$F121,"")</f>
        <v/>
      </c>
      <c r="D121" s="162" t="str">
        <f>IF(_Datos!$C121,_Datos!$G121,"")</f>
        <v/>
      </c>
      <c r="E121" s="165" t="str">
        <f>IF(_Datos!$C121,IF(_Datos!$N121=9999,"(Sin sprint)",_Datos!$N121),"")</f>
        <v/>
      </c>
      <c r="F121" s="165" t="str">
        <f>IF(_Datos!$C121,_Datos!$J121,"")</f>
        <v/>
      </c>
      <c r="G121" s="165" t="str">
        <f>IF(_Datos!$C121,_Datos!$AE121,"")</f>
        <v/>
      </c>
      <c r="H121" s="168" t="str">
        <f>IF(_Datos!$C121,IF(_Datos!$AF121,_Datos!$AP121,"-"),"")</f>
        <v/>
      </c>
      <c r="I121" s="162"/>
    </row>
    <row r="122" spans="2:9" x14ac:dyDescent="0.35">
      <c r="B122" s="165" t="str">
        <f>IF(_Datos!$C122,_Datos!$O122,"")</f>
        <v/>
      </c>
      <c r="C122" s="162" t="str">
        <f>IF(_Datos!$C122,_Datos!$F122,"")</f>
        <v/>
      </c>
      <c r="D122" s="162" t="str">
        <f>IF(_Datos!$C122,_Datos!$G122,"")</f>
        <v/>
      </c>
      <c r="E122" s="165" t="str">
        <f>IF(_Datos!$C122,IF(_Datos!$N122=9999,"(Sin sprint)",_Datos!$N122),"")</f>
        <v/>
      </c>
      <c r="F122" s="165" t="str">
        <f>IF(_Datos!$C122,_Datos!$J122,"")</f>
        <v/>
      </c>
      <c r="G122" s="165" t="str">
        <f>IF(_Datos!$C122,_Datos!$AE122,"")</f>
        <v/>
      </c>
      <c r="H122" s="168" t="str">
        <f>IF(_Datos!$C122,IF(_Datos!$AF122,_Datos!$AP122,"-"),"")</f>
        <v/>
      </c>
      <c r="I122" s="162"/>
    </row>
    <row r="123" spans="2:9" x14ac:dyDescent="0.35">
      <c r="B123" s="165" t="str">
        <f>IF(_Datos!$C123,_Datos!$O123,"")</f>
        <v/>
      </c>
      <c r="C123" s="162" t="str">
        <f>IF(_Datos!$C123,_Datos!$F123,"")</f>
        <v/>
      </c>
      <c r="D123" s="162" t="str">
        <f>IF(_Datos!$C123,_Datos!$G123,"")</f>
        <v/>
      </c>
      <c r="E123" s="165" t="str">
        <f>IF(_Datos!$C123,IF(_Datos!$N123=9999,"(Sin sprint)",_Datos!$N123),"")</f>
        <v/>
      </c>
      <c r="F123" s="165" t="str">
        <f>IF(_Datos!$C123,_Datos!$J123,"")</f>
        <v/>
      </c>
      <c r="G123" s="165" t="str">
        <f>IF(_Datos!$C123,_Datos!$AE123,"")</f>
        <v/>
      </c>
      <c r="H123" s="168" t="str">
        <f>IF(_Datos!$C123,IF(_Datos!$AF123,_Datos!$AP123,"-"),"")</f>
        <v/>
      </c>
      <c r="I123" s="162"/>
    </row>
    <row r="124" spans="2:9" x14ac:dyDescent="0.35">
      <c r="B124" s="165" t="str">
        <f>IF(_Datos!$C124,_Datos!$O124,"")</f>
        <v/>
      </c>
      <c r="C124" s="162" t="str">
        <f>IF(_Datos!$C124,_Datos!$F124,"")</f>
        <v/>
      </c>
      <c r="D124" s="162" t="str">
        <f>IF(_Datos!$C124,_Datos!$G124,"")</f>
        <v/>
      </c>
      <c r="E124" s="165" t="str">
        <f>IF(_Datos!$C124,IF(_Datos!$N124=9999,"(Sin sprint)",_Datos!$N124),"")</f>
        <v/>
      </c>
      <c r="F124" s="165" t="str">
        <f>IF(_Datos!$C124,_Datos!$J124,"")</f>
        <v/>
      </c>
      <c r="G124" s="165" t="str">
        <f>IF(_Datos!$C124,_Datos!$AE124,"")</f>
        <v/>
      </c>
      <c r="H124" s="168" t="str">
        <f>IF(_Datos!$C124,IF(_Datos!$AF124,_Datos!$AP124,"-"),"")</f>
        <v/>
      </c>
      <c r="I124" s="162"/>
    </row>
    <row r="125" spans="2:9" x14ac:dyDescent="0.35">
      <c r="B125" s="165" t="str">
        <f>IF(_Datos!$C125,_Datos!$O125,"")</f>
        <v/>
      </c>
      <c r="C125" s="162" t="str">
        <f>IF(_Datos!$C125,_Datos!$F125,"")</f>
        <v/>
      </c>
      <c r="D125" s="162" t="str">
        <f>IF(_Datos!$C125,_Datos!$G125,"")</f>
        <v/>
      </c>
      <c r="E125" s="165" t="str">
        <f>IF(_Datos!$C125,IF(_Datos!$N125=9999,"(Sin sprint)",_Datos!$N125),"")</f>
        <v/>
      </c>
      <c r="F125" s="165" t="str">
        <f>IF(_Datos!$C125,_Datos!$J125,"")</f>
        <v/>
      </c>
      <c r="G125" s="165" t="str">
        <f>IF(_Datos!$C125,_Datos!$AE125,"")</f>
        <v/>
      </c>
      <c r="H125" s="168" t="str">
        <f>IF(_Datos!$C125,IF(_Datos!$AF125,_Datos!$AP125,"-"),"")</f>
        <v/>
      </c>
      <c r="I125" s="162"/>
    </row>
    <row r="126" spans="2:9" x14ac:dyDescent="0.35">
      <c r="B126" s="165" t="str">
        <f>IF(_Datos!$C126,_Datos!$O126,"")</f>
        <v/>
      </c>
      <c r="C126" s="162" t="str">
        <f>IF(_Datos!$C126,_Datos!$F126,"")</f>
        <v/>
      </c>
      <c r="D126" s="162" t="str">
        <f>IF(_Datos!$C126,_Datos!$G126,"")</f>
        <v/>
      </c>
      <c r="E126" s="165" t="str">
        <f>IF(_Datos!$C126,IF(_Datos!$N126=9999,"(Sin sprint)",_Datos!$N126),"")</f>
        <v/>
      </c>
      <c r="F126" s="165" t="str">
        <f>IF(_Datos!$C126,_Datos!$J126,"")</f>
        <v/>
      </c>
      <c r="G126" s="165" t="str">
        <f>IF(_Datos!$C126,_Datos!$AE126,"")</f>
        <v/>
      </c>
      <c r="H126" s="168" t="str">
        <f>IF(_Datos!$C126,IF(_Datos!$AF126,_Datos!$AP126,"-"),"")</f>
        <v/>
      </c>
      <c r="I126" s="162"/>
    </row>
    <row r="127" spans="2:9" x14ac:dyDescent="0.35">
      <c r="B127" s="165" t="str">
        <f>IF(_Datos!$C127,_Datos!$O127,"")</f>
        <v/>
      </c>
      <c r="C127" s="162" t="str">
        <f>IF(_Datos!$C127,_Datos!$F127,"")</f>
        <v/>
      </c>
      <c r="D127" s="162" t="str">
        <f>IF(_Datos!$C127,_Datos!$G127,"")</f>
        <v/>
      </c>
      <c r="E127" s="165" t="str">
        <f>IF(_Datos!$C127,IF(_Datos!$N127=9999,"(Sin sprint)",_Datos!$N127),"")</f>
        <v/>
      </c>
      <c r="F127" s="165" t="str">
        <f>IF(_Datos!$C127,_Datos!$J127,"")</f>
        <v/>
      </c>
      <c r="G127" s="165" t="str">
        <f>IF(_Datos!$C127,_Datos!$AE127,"")</f>
        <v/>
      </c>
      <c r="H127" s="168" t="str">
        <f>IF(_Datos!$C127,IF(_Datos!$AF127,_Datos!$AP127,"-"),"")</f>
        <v/>
      </c>
      <c r="I127" s="162"/>
    </row>
    <row r="128" spans="2:9" x14ac:dyDescent="0.35">
      <c r="B128" s="165" t="str">
        <f>IF(_Datos!$C128,_Datos!$O128,"")</f>
        <v/>
      </c>
      <c r="C128" s="162" t="str">
        <f>IF(_Datos!$C128,_Datos!$F128,"")</f>
        <v/>
      </c>
      <c r="D128" s="162" t="str">
        <f>IF(_Datos!$C128,_Datos!$G128,"")</f>
        <v/>
      </c>
      <c r="E128" s="165" t="str">
        <f>IF(_Datos!$C128,IF(_Datos!$N128=9999,"(Sin sprint)",_Datos!$N128),"")</f>
        <v/>
      </c>
      <c r="F128" s="165" t="str">
        <f>IF(_Datos!$C128,_Datos!$J128,"")</f>
        <v/>
      </c>
      <c r="G128" s="165" t="str">
        <f>IF(_Datos!$C128,_Datos!$AE128,"")</f>
        <v/>
      </c>
      <c r="H128" s="168" t="str">
        <f>IF(_Datos!$C128,IF(_Datos!$AF128,_Datos!$AP128,"-"),"")</f>
        <v/>
      </c>
      <c r="I128" s="162"/>
    </row>
    <row r="129" spans="2:9" x14ac:dyDescent="0.35">
      <c r="B129" s="165" t="str">
        <f>IF(_Datos!$C129,_Datos!$O129,"")</f>
        <v/>
      </c>
      <c r="C129" s="162" t="str">
        <f>IF(_Datos!$C129,_Datos!$F129,"")</f>
        <v/>
      </c>
      <c r="D129" s="162" t="str">
        <f>IF(_Datos!$C129,_Datos!$G129,"")</f>
        <v/>
      </c>
      <c r="E129" s="165" t="str">
        <f>IF(_Datos!$C129,IF(_Datos!$N129=9999,"(Sin sprint)",_Datos!$N129),"")</f>
        <v/>
      </c>
      <c r="F129" s="165" t="str">
        <f>IF(_Datos!$C129,_Datos!$J129,"")</f>
        <v/>
      </c>
      <c r="G129" s="165" t="str">
        <f>IF(_Datos!$C129,_Datos!$AE129,"")</f>
        <v/>
      </c>
      <c r="H129" s="168" t="str">
        <f>IF(_Datos!$C129,IF(_Datos!$AF129,_Datos!$AP129,"-"),"")</f>
        <v/>
      </c>
      <c r="I129" s="162"/>
    </row>
    <row r="130" spans="2:9" x14ac:dyDescent="0.35">
      <c r="B130" s="165" t="str">
        <f>IF(_Datos!$C130,_Datos!$O130,"")</f>
        <v/>
      </c>
      <c r="C130" s="162" t="str">
        <f>IF(_Datos!$C130,_Datos!$F130,"")</f>
        <v/>
      </c>
      <c r="D130" s="162" t="str">
        <f>IF(_Datos!$C130,_Datos!$G130,"")</f>
        <v/>
      </c>
      <c r="E130" s="165" t="str">
        <f>IF(_Datos!$C130,IF(_Datos!$N130=9999,"(Sin sprint)",_Datos!$N130),"")</f>
        <v/>
      </c>
      <c r="F130" s="165" t="str">
        <f>IF(_Datos!$C130,_Datos!$J130,"")</f>
        <v/>
      </c>
      <c r="G130" s="165" t="str">
        <f>IF(_Datos!$C130,_Datos!$AE130,"")</f>
        <v/>
      </c>
      <c r="H130" s="168" t="str">
        <f>IF(_Datos!$C130,IF(_Datos!$AF130,_Datos!$AP130,"-"),"")</f>
        <v/>
      </c>
      <c r="I130" s="162"/>
    </row>
    <row r="131" spans="2:9" x14ac:dyDescent="0.35">
      <c r="B131" s="165" t="str">
        <f>IF(_Datos!$C131,_Datos!$O131,"")</f>
        <v/>
      </c>
      <c r="C131" s="162" t="str">
        <f>IF(_Datos!$C131,_Datos!$F131,"")</f>
        <v/>
      </c>
      <c r="D131" s="162" t="str">
        <f>IF(_Datos!$C131,_Datos!$G131,"")</f>
        <v/>
      </c>
      <c r="E131" s="165" t="str">
        <f>IF(_Datos!$C131,IF(_Datos!$N131=9999,"(Sin sprint)",_Datos!$N131),"")</f>
        <v/>
      </c>
      <c r="F131" s="165" t="str">
        <f>IF(_Datos!$C131,_Datos!$J131,"")</f>
        <v/>
      </c>
      <c r="G131" s="165" t="str">
        <f>IF(_Datos!$C131,_Datos!$AE131,"")</f>
        <v/>
      </c>
      <c r="H131" s="168" t="str">
        <f>IF(_Datos!$C131,IF(_Datos!$AF131,_Datos!$AP131,"-"),"")</f>
        <v/>
      </c>
      <c r="I131" s="162"/>
    </row>
    <row r="132" spans="2:9" x14ac:dyDescent="0.35">
      <c r="B132" s="165" t="str">
        <f>IF(_Datos!$C132,_Datos!$O132,"")</f>
        <v/>
      </c>
      <c r="C132" s="162" t="str">
        <f>IF(_Datos!$C132,_Datos!$F132,"")</f>
        <v/>
      </c>
      <c r="D132" s="162" t="str">
        <f>IF(_Datos!$C132,_Datos!$G132,"")</f>
        <v/>
      </c>
      <c r="E132" s="165" t="str">
        <f>IF(_Datos!$C132,IF(_Datos!$N132=9999,"(Sin sprint)",_Datos!$N132),"")</f>
        <v/>
      </c>
      <c r="F132" s="165" t="str">
        <f>IF(_Datos!$C132,_Datos!$J132,"")</f>
        <v/>
      </c>
      <c r="G132" s="165" t="str">
        <f>IF(_Datos!$C132,_Datos!$AE132,"")</f>
        <v/>
      </c>
      <c r="H132" s="168" t="str">
        <f>IF(_Datos!$C132,IF(_Datos!$AF132,_Datos!$AP132,"-"),"")</f>
        <v/>
      </c>
      <c r="I132" s="162"/>
    </row>
    <row r="133" spans="2:9" x14ac:dyDescent="0.35">
      <c r="B133" s="165" t="str">
        <f>IF(_Datos!$C133,_Datos!$O133,"")</f>
        <v/>
      </c>
      <c r="C133" s="162" t="str">
        <f>IF(_Datos!$C133,_Datos!$F133,"")</f>
        <v/>
      </c>
      <c r="D133" s="162" t="str">
        <f>IF(_Datos!$C133,_Datos!$G133,"")</f>
        <v/>
      </c>
      <c r="E133" s="165" t="str">
        <f>IF(_Datos!$C133,IF(_Datos!$N133=9999,"(Sin sprint)",_Datos!$N133),"")</f>
        <v/>
      </c>
      <c r="F133" s="165" t="str">
        <f>IF(_Datos!$C133,_Datos!$J133,"")</f>
        <v/>
      </c>
      <c r="G133" s="165" t="str">
        <f>IF(_Datos!$C133,_Datos!$AE133,"")</f>
        <v/>
      </c>
      <c r="H133" s="168" t="str">
        <f>IF(_Datos!$C133,IF(_Datos!$AF133,_Datos!$AP133,"-"),"")</f>
        <v/>
      </c>
      <c r="I133" s="162"/>
    </row>
    <row r="134" spans="2:9" x14ac:dyDescent="0.35">
      <c r="B134" s="165" t="str">
        <f>IF(_Datos!$C134,_Datos!$O134,"")</f>
        <v/>
      </c>
      <c r="C134" s="162" t="str">
        <f>IF(_Datos!$C134,_Datos!$F134,"")</f>
        <v/>
      </c>
      <c r="D134" s="162" t="str">
        <f>IF(_Datos!$C134,_Datos!$G134,"")</f>
        <v/>
      </c>
      <c r="E134" s="165" t="str">
        <f>IF(_Datos!$C134,IF(_Datos!$N134=9999,"(Sin sprint)",_Datos!$N134),"")</f>
        <v/>
      </c>
      <c r="F134" s="165" t="str">
        <f>IF(_Datos!$C134,_Datos!$J134,"")</f>
        <v/>
      </c>
      <c r="G134" s="165" t="str">
        <f>IF(_Datos!$C134,_Datos!$AE134,"")</f>
        <v/>
      </c>
      <c r="H134" s="168" t="str">
        <f>IF(_Datos!$C134,IF(_Datos!$AF134,_Datos!$AP134,"-"),"")</f>
        <v/>
      </c>
      <c r="I134" s="162"/>
    </row>
    <row r="135" spans="2:9" x14ac:dyDescent="0.35">
      <c r="B135" s="165" t="str">
        <f>IF(_Datos!$C135,_Datos!$O135,"")</f>
        <v/>
      </c>
      <c r="C135" s="162" t="str">
        <f>IF(_Datos!$C135,_Datos!$F135,"")</f>
        <v/>
      </c>
      <c r="D135" s="162" t="str">
        <f>IF(_Datos!$C135,_Datos!$G135,"")</f>
        <v/>
      </c>
      <c r="E135" s="165" t="str">
        <f>IF(_Datos!$C135,IF(_Datos!$N135=9999,"(Sin sprint)",_Datos!$N135),"")</f>
        <v/>
      </c>
      <c r="F135" s="165" t="str">
        <f>IF(_Datos!$C135,_Datos!$J135,"")</f>
        <v/>
      </c>
      <c r="G135" s="165" t="str">
        <f>IF(_Datos!$C135,_Datos!$AE135,"")</f>
        <v/>
      </c>
      <c r="H135" s="168" t="str">
        <f>IF(_Datos!$C135,IF(_Datos!$AF135,_Datos!$AP135,"-"),"")</f>
        <v/>
      </c>
      <c r="I135" s="162"/>
    </row>
    <row r="136" spans="2:9" x14ac:dyDescent="0.35">
      <c r="B136" s="165" t="str">
        <f>IF(_Datos!$C136,_Datos!$O136,"")</f>
        <v/>
      </c>
      <c r="C136" s="162" t="str">
        <f>IF(_Datos!$C136,_Datos!$F136,"")</f>
        <v/>
      </c>
      <c r="D136" s="162" t="str">
        <f>IF(_Datos!$C136,_Datos!$G136,"")</f>
        <v/>
      </c>
      <c r="E136" s="165" t="str">
        <f>IF(_Datos!$C136,IF(_Datos!$N136=9999,"(Sin sprint)",_Datos!$N136),"")</f>
        <v/>
      </c>
      <c r="F136" s="165" t="str">
        <f>IF(_Datos!$C136,_Datos!$J136,"")</f>
        <v/>
      </c>
      <c r="G136" s="165" t="str">
        <f>IF(_Datos!$C136,_Datos!$AE136,"")</f>
        <v/>
      </c>
      <c r="H136" s="168" t="str">
        <f>IF(_Datos!$C136,IF(_Datos!$AF136,_Datos!$AP136,"-"),"")</f>
        <v/>
      </c>
      <c r="I136" s="162"/>
    </row>
    <row r="137" spans="2:9" x14ac:dyDescent="0.35">
      <c r="B137" s="165" t="str">
        <f>IF(_Datos!$C137,_Datos!$O137,"")</f>
        <v/>
      </c>
      <c r="C137" s="162" t="str">
        <f>IF(_Datos!$C137,_Datos!$F137,"")</f>
        <v/>
      </c>
      <c r="D137" s="162" t="str">
        <f>IF(_Datos!$C137,_Datos!$G137,"")</f>
        <v/>
      </c>
      <c r="E137" s="165" t="str">
        <f>IF(_Datos!$C137,IF(_Datos!$N137=9999,"(Sin sprint)",_Datos!$N137),"")</f>
        <v/>
      </c>
      <c r="F137" s="165" t="str">
        <f>IF(_Datos!$C137,_Datos!$J137,"")</f>
        <v/>
      </c>
      <c r="G137" s="165" t="str">
        <f>IF(_Datos!$C137,_Datos!$AE137,"")</f>
        <v/>
      </c>
      <c r="H137" s="168" t="str">
        <f>IF(_Datos!$C137,IF(_Datos!$AF137,_Datos!$AP137,"-"),"")</f>
        <v/>
      </c>
      <c r="I137" s="162"/>
    </row>
    <row r="138" spans="2:9" x14ac:dyDescent="0.35">
      <c r="B138" s="165" t="str">
        <f>IF(_Datos!$C138,_Datos!$O138,"")</f>
        <v/>
      </c>
      <c r="C138" s="162" t="str">
        <f>IF(_Datos!$C138,_Datos!$F138,"")</f>
        <v/>
      </c>
      <c r="D138" s="162" t="str">
        <f>IF(_Datos!$C138,_Datos!$G138,"")</f>
        <v/>
      </c>
      <c r="E138" s="165" t="str">
        <f>IF(_Datos!$C138,IF(_Datos!$N138=9999,"(Sin sprint)",_Datos!$N138),"")</f>
        <v/>
      </c>
      <c r="F138" s="165" t="str">
        <f>IF(_Datos!$C138,_Datos!$J138,"")</f>
        <v/>
      </c>
      <c r="G138" s="165" t="str">
        <f>IF(_Datos!$C138,_Datos!$AE138,"")</f>
        <v/>
      </c>
      <c r="H138" s="168" t="str">
        <f>IF(_Datos!$C138,IF(_Datos!$AF138,_Datos!$AP138,"-"),"")</f>
        <v/>
      </c>
      <c r="I138" s="162"/>
    </row>
    <row r="139" spans="2:9" x14ac:dyDescent="0.35">
      <c r="B139" s="165" t="str">
        <f>IF(_Datos!$C139,_Datos!$O139,"")</f>
        <v/>
      </c>
      <c r="C139" s="162" t="str">
        <f>IF(_Datos!$C139,_Datos!$F139,"")</f>
        <v/>
      </c>
      <c r="D139" s="162" t="str">
        <f>IF(_Datos!$C139,_Datos!$G139,"")</f>
        <v/>
      </c>
      <c r="E139" s="165" t="str">
        <f>IF(_Datos!$C139,IF(_Datos!$N139=9999,"(Sin sprint)",_Datos!$N139),"")</f>
        <v/>
      </c>
      <c r="F139" s="165" t="str">
        <f>IF(_Datos!$C139,_Datos!$J139,"")</f>
        <v/>
      </c>
      <c r="G139" s="165" t="str">
        <f>IF(_Datos!$C139,_Datos!$AE139,"")</f>
        <v/>
      </c>
      <c r="H139" s="168" t="str">
        <f>IF(_Datos!$C139,IF(_Datos!$AF139,_Datos!$AP139,"-"),"")</f>
        <v/>
      </c>
      <c r="I139" s="162"/>
    </row>
    <row r="140" spans="2:9" x14ac:dyDescent="0.35">
      <c r="B140" s="165" t="str">
        <f>IF(_Datos!$C140,_Datos!$O140,"")</f>
        <v/>
      </c>
      <c r="C140" s="162" t="str">
        <f>IF(_Datos!$C140,_Datos!$F140,"")</f>
        <v/>
      </c>
      <c r="D140" s="162" t="str">
        <f>IF(_Datos!$C140,_Datos!$G140,"")</f>
        <v/>
      </c>
      <c r="E140" s="165" t="str">
        <f>IF(_Datos!$C140,IF(_Datos!$N140=9999,"(Sin sprint)",_Datos!$N140),"")</f>
        <v/>
      </c>
      <c r="F140" s="165" t="str">
        <f>IF(_Datos!$C140,_Datos!$J140,"")</f>
        <v/>
      </c>
      <c r="G140" s="165" t="str">
        <f>IF(_Datos!$C140,_Datos!$AE140,"")</f>
        <v/>
      </c>
      <c r="H140" s="168" t="str">
        <f>IF(_Datos!$C140,IF(_Datos!$AF140,_Datos!$AP140,"-"),"")</f>
        <v/>
      </c>
      <c r="I140" s="162"/>
    </row>
    <row r="141" spans="2:9" x14ac:dyDescent="0.35">
      <c r="B141" s="165" t="str">
        <f>IF(_Datos!$C141,_Datos!$O141,"")</f>
        <v/>
      </c>
      <c r="C141" s="162" t="str">
        <f>IF(_Datos!$C141,_Datos!$F141,"")</f>
        <v/>
      </c>
      <c r="D141" s="162" t="str">
        <f>IF(_Datos!$C141,_Datos!$G141,"")</f>
        <v/>
      </c>
      <c r="E141" s="165" t="str">
        <f>IF(_Datos!$C141,IF(_Datos!$N141=9999,"(Sin sprint)",_Datos!$N141),"")</f>
        <v/>
      </c>
      <c r="F141" s="165" t="str">
        <f>IF(_Datos!$C141,_Datos!$J141,"")</f>
        <v/>
      </c>
      <c r="G141" s="165" t="str">
        <f>IF(_Datos!$C141,_Datos!$AE141,"")</f>
        <v/>
      </c>
      <c r="H141" s="168" t="str">
        <f>IF(_Datos!$C141,IF(_Datos!$AF141,_Datos!$AP141,"-"),"")</f>
        <v/>
      </c>
      <c r="I141" s="162"/>
    </row>
    <row r="142" spans="2:9" x14ac:dyDescent="0.35">
      <c r="B142" s="165" t="str">
        <f>IF(_Datos!$C142,_Datos!$O142,"")</f>
        <v/>
      </c>
      <c r="C142" s="162" t="str">
        <f>IF(_Datos!$C142,_Datos!$F142,"")</f>
        <v/>
      </c>
      <c r="D142" s="162" t="str">
        <f>IF(_Datos!$C142,_Datos!$G142,"")</f>
        <v/>
      </c>
      <c r="E142" s="165" t="str">
        <f>IF(_Datos!$C142,IF(_Datos!$N142=9999,"(Sin sprint)",_Datos!$N142),"")</f>
        <v/>
      </c>
      <c r="F142" s="165" t="str">
        <f>IF(_Datos!$C142,_Datos!$J142,"")</f>
        <v/>
      </c>
      <c r="G142" s="165" t="str">
        <f>IF(_Datos!$C142,_Datos!$AE142,"")</f>
        <v/>
      </c>
      <c r="H142" s="168" t="str">
        <f>IF(_Datos!$C142,IF(_Datos!$AF142,_Datos!$AP142,"-"),"")</f>
        <v/>
      </c>
      <c r="I142" s="162"/>
    </row>
    <row r="143" spans="2:9" x14ac:dyDescent="0.35">
      <c r="B143" s="165" t="str">
        <f>IF(_Datos!$C143,_Datos!$O143,"")</f>
        <v/>
      </c>
      <c r="C143" s="162" t="str">
        <f>IF(_Datos!$C143,_Datos!$F143,"")</f>
        <v/>
      </c>
      <c r="D143" s="162" t="str">
        <f>IF(_Datos!$C143,_Datos!$G143,"")</f>
        <v/>
      </c>
      <c r="E143" s="165" t="str">
        <f>IF(_Datos!$C143,IF(_Datos!$N143=9999,"(Sin sprint)",_Datos!$N143),"")</f>
        <v/>
      </c>
      <c r="F143" s="165" t="str">
        <f>IF(_Datos!$C143,_Datos!$J143,"")</f>
        <v/>
      </c>
      <c r="G143" s="165" t="str">
        <f>IF(_Datos!$C143,_Datos!$AE143,"")</f>
        <v/>
      </c>
      <c r="H143" s="168" t="str">
        <f>IF(_Datos!$C143,IF(_Datos!$AF143,_Datos!$AP143,"-"),"")</f>
        <v/>
      </c>
      <c r="I143" s="162"/>
    </row>
    <row r="144" spans="2:9" x14ac:dyDescent="0.35">
      <c r="B144" s="165" t="str">
        <f>IF(_Datos!$C144,_Datos!$O144,"")</f>
        <v/>
      </c>
      <c r="C144" s="162" t="str">
        <f>IF(_Datos!$C144,_Datos!$F144,"")</f>
        <v/>
      </c>
      <c r="D144" s="162" t="str">
        <f>IF(_Datos!$C144,_Datos!$G144,"")</f>
        <v/>
      </c>
      <c r="E144" s="165" t="str">
        <f>IF(_Datos!$C144,IF(_Datos!$N144=9999,"(Sin sprint)",_Datos!$N144),"")</f>
        <v/>
      </c>
      <c r="F144" s="165" t="str">
        <f>IF(_Datos!$C144,_Datos!$J144,"")</f>
        <v/>
      </c>
      <c r="G144" s="165" t="str">
        <f>IF(_Datos!$C144,_Datos!$AE144,"")</f>
        <v/>
      </c>
      <c r="H144" s="168" t="str">
        <f>IF(_Datos!$C144,IF(_Datos!$AF144,_Datos!$AP144,"-"),"")</f>
        <v/>
      </c>
      <c r="I144" s="162"/>
    </row>
    <row r="145" spans="2:9" x14ac:dyDescent="0.35">
      <c r="B145" s="165" t="str">
        <f>IF(_Datos!$C145,_Datos!$O145,"")</f>
        <v/>
      </c>
      <c r="C145" s="162" t="str">
        <f>IF(_Datos!$C145,_Datos!$F145,"")</f>
        <v/>
      </c>
      <c r="D145" s="162" t="str">
        <f>IF(_Datos!$C145,_Datos!$G145,"")</f>
        <v/>
      </c>
      <c r="E145" s="165" t="str">
        <f>IF(_Datos!$C145,IF(_Datos!$N145=9999,"(Sin sprint)",_Datos!$N145),"")</f>
        <v/>
      </c>
      <c r="F145" s="165" t="str">
        <f>IF(_Datos!$C145,_Datos!$J145,"")</f>
        <v/>
      </c>
      <c r="G145" s="165" t="str">
        <f>IF(_Datos!$C145,_Datos!$AE145,"")</f>
        <v/>
      </c>
      <c r="H145" s="168" t="str">
        <f>IF(_Datos!$C145,IF(_Datos!$AF145,_Datos!$AP145,"-"),"")</f>
        <v/>
      </c>
      <c r="I145" s="162"/>
    </row>
    <row r="146" spans="2:9" x14ac:dyDescent="0.35">
      <c r="B146" s="165" t="str">
        <f>IF(_Datos!$C146,_Datos!$O146,"")</f>
        <v/>
      </c>
      <c r="C146" s="162" t="str">
        <f>IF(_Datos!$C146,_Datos!$F146,"")</f>
        <v/>
      </c>
      <c r="D146" s="162" t="str">
        <f>IF(_Datos!$C146,_Datos!$G146,"")</f>
        <v/>
      </c>
      <c r="E146" s="165" t="str">
        <f>IF(_Datos!$C146,IF(_Datos!$N146=9999,"(Sin sprint)",_Datos!$N146),"")</f>
        <v/>
      </c>
      <c r="F146" s="165" t="str">
        <f>IF(_Datos!$C146,_Datos!$J146,"")</f>
        <v/>
      </c>
      <c r="G146" s="165" t="str">
        <f>IF(_Datos!$C146,_Datos!$AE146,"")</f>
        <v/>
      </c>
      <c r="H146" s="168" t="str">
        <f>IF(_Datos!$C146,IF(_Datos!$AF146,_Datos!$AP146,"-"),"")</f>
        <v/>
      </c>
      <c r="I146" s="162"/>
    </row>
    <row r="147" spans="2:9" x14ac:dyDescent="0.35">
      <c r="B147" s="165" t="str">
        <f>IF(_Datos!$C147,_Datos!$O147,"")</f>
        <v/>
      </c>
      <c r="C147" s="162" t="str">
        <f>IF(_Datos!$C147,_Datos!$F147,"")</f>
        <v/>
      </c>
      <c r="D147" s="162" t="str">
        <f>IF(_Datos!$C147,_Datos!$G147,"")</f>
        <v/>
      </c>
      <c r="E147" s="165" t="str">
        <f>IF(_Datos!$C147,IF(_Datos!$N147=9999,"(Sin sprint)",_Datos!$N147),"")</f>
        <v/>
      </c>
      <c r="F147" s="165" t="str">
        <f>IF(_Datos!$C147,_Datos!$J147,"")</f>
        <v/>
      </c>
      <c r="G147" s="165" t="str">
        <f>IF(_Datos!$C147,_Datos!$AE147,"")</f>
        <v/>
      </c>
      <c r="H147" s="168" t="str">
        <f>IF(_Datos!$C147,IF(_Datos!$AF147,_Datos!$AP147,"-"),"")</f>
        <v/>
      </c>
      <c r="I147" s="162"/>
    </row>
    <row r="148" spans="2:9" x14ac:dyDescent="0.35">
      <c r="B148" s="165" t="str">
        <f>IF(_Datos!$C148,_Datos!$O148,"")</f>
        <v/>
      </c>
      <c r="C148" s="162" t="str">
        <f>IF(_Datos!$C148,_Datos!$F148,"")</f>
        <v/>
      </c>
      <c r="D148" s="162" t="str">
        <f>IF(_Datos!$C148,_Datos!$G148,"")</f>
        <v/>
      </c>
      <c r="E148" s="165" t="str">
        <f>IF(_Datos!$C148,IF(_Datos!$N148=9999,"(Sin sprint)",_Datos!$N148),"")</f>
        <v/>
      </c>
      <c r="F148" s="165" t="str">
        <f>IF(_Datos!$C148,_Datos!$J148,"")</f>
        <v/>
      </c>
      <c r="G148" s="165" t="str">
        <f>IF(_Datos!$C148,_Datos!$AE148,"")</f>
        <v/>
      </c>
      <c r="H148" s="168" t="str">
        <f>IF(_Datos!$C148,IF(_Datos!$AF148,_Datos!$AP148,"-"),"")</f>
        <v/>
      </c>
      <c r="I148" s="162"/>
    </row>
    <row r="149" spans="2:9" x14ac:dyDescent="0.35">
      <c r="B149" s="165" t="str">
        <f>IF(_Datos!$C149,_Datos!$O149,"")</f>
        <v/>
      </c>
      <c r="C149" s="162" t="str">
        <f>IF(_Datos!$C149,_Datos!$F149,"")</f>
        <v/>
      </c>
      <c r="D149" s="162" t="str">
        <f>IF(_Datos!$C149,_Datos!$G149,"")</f>
        <v/>
      </c>
      <c r="E149" s="165" t="str">
        <f>IF(_Datos!$C149,IF(_Datos!$N149=9999,"(Sin sprint)",_Datos!$N149),"")</f>
        <v/>
      </c>
      <c r="F149" s="165" t="str">
        <f>IF(_Datos!$C149,_Datos!$J149,"")</f>
        <v/>
      </c>
      <c r="G149" s="165" t="str">
        <f>IF(_Datos!$C149,_Datos!$AE149,"")</f>
        <v/>
      </c>
      <c r="H149" s="168" t="str">
        <f>IF(_Datos!$C149,IF(_Datos!$AF149,_Datos!$AP149,"-"),"")</f>
        <v/>
      </c>
      <c r="I149" s="162"/>
    </row>
    <row r="150" spans="2:9" x14ac:dyDescent="0.35">
      <c r="B150" s="165" t="str">
        <f>IF(_Datos!$C150,_Datos!$O150,"")</f>
        <v/>
      </c>
      <c r="C150" s="162" t="str">
        <f>IF(_Datos!$C150,_Datos!$F150,"")</f>
        <v/>
      </c>
      <c r="D150" s="162" t="str">
        <f>IF(_Datos!$C150,_Datos!$G150,"")</f>
        <v/>
      </c>
      <c r="E150" s="165" t="str">
        <f>IF(_Datos!$C150,IF(_Datos!$N150=9999,"(Sin sprint)",_Datos!$N150),"")</f>
        <v/>
      </c>
      <c r="F150" s="165" t="str">
        <f>IF(_Datos!$C150,_Datos!$J150,"")</f>
        <v/>
      </c>
      <c r="G150" s="165" t="str">
        <f>IF(_Datos!$C150,_Datos!$AE150,"")</f>
        <v/>
      </c>
      <c r="H150" s="168" t="str">
        <f>IF(_Datos!$C150,IF(_Datos!$AF150,_Datos!$AP150,"-"),"")</f>
        <v/>
      </c>
      <c r="I150" s="162"/>
    </row>
    <row r="151" spans="2:9" x14ac:dyDescent="0.35">
      <c r="B151" s="165" t="str">
        <f>IF(_Datos!$C151,_Datos!$O151,"")</f>
        <v/>
      </c>
      <c r="C151" s="162" t="str">
        <f>IF(_Datos!$C151,_Datos!$F151,"")</f>
        <v/>
      </c>
      <c r="D151" s="162" t="str">
        <f>IF(_Datos!$C151,_Datos!$G151,"")</f>
        <v/>
      </c>
      <c r="E151" s="165" t="str">
        <f>IF(_Datos!$C151,IF(_Datos!$N151=9999,"(Sin sprint)",_Datos!$N151),"")</f>
        <v/>
      </c>
      <c r="F151" s="165" t="str">
        <f>IF(_Datos!$C151,_Datos!$J151,"")</f>
        <v/>
      </c>
      <c r="G151" s="165" t="str">
        <f>IF(_Datos!$C151,_Datos!$AE151,"")</f>
        <v/>
      </c>
      <c r="H151" s="168" t="str">
        <f>IF(_Datos!$C151,IF(_Datos!$AF151,_Datos!$AP151,"-"),"")</f>
        <v/>
      </c>
      <c r="I151" s="162"/>
    </row>
    <row r="152" spans="2:9" x14ac:dyDescent="0.35">
      <c r="B152" s="165" t="str">
        <f>IF(_Datos!$C152,_Datos!$O152,"")</f>
        <v/>
      </c>
      <c r="C152" s="162" t="str">
        <f>IF(_Datos!$C152,_Datos!$F152,"")</f>
        <v/>
      </c>
      <c r="D152" s="162" t="str">
        <f>IF(_Datos!$C152,_Datos!$G152,"")</f>
        <v/>
      </c>
      <c r="E152" s="165" t="str">
        <f>IF(_Datos!$C152,IF(_Datos!$N152=9999,"(Sin sprint)",_Datos!$N152),"")</f>
        <v/>
      </c>
      <c r="F152" s="165" t="str">
        <f>IF(_Datos!$C152,_Datos!$J152,"")</f>
        <v/>
      </c>
      <c r="G152" s="165" t="str">
        <f>IF(_Datos!$C152,_Datos!$AE152,"")</f>
        <v/>
      </c>
      <c r="H152" s="168" t="str">
        <f>IF(_Datos!$C152,IF(_Datos!$AF152,_Datos!$AP152,"-"),"")</f>
        <v/>
      </c>
      <c r="I152" s="162"/>
    </row>
    <row r="153" spans="2:9" x14ac:dyDescent="0.35">
      <c r="B153" s="165" t="str">
        <f>IF(_Datos!$C153,_Datos!$O153,"")</f>
        <v/>
      </c>
      <c r="C153" s="162" t="str">
        <f>IF(_Datos!$C153,_Datos!$F153,"")</f>
        <v/>
      </c>
      <c r="D153" s="162" t="str">
        <f>IF(_Datos!$C153,_Datos!$G153,"")</f>
        <v/>
      </c>
      <c r="E153" s="165" t="str">
        <f>IF(_Datos!$C153,IF(_Datos!$N153=9999,"(Sin sprint)",_Datos!$N153),"")</f>
        <v/>
      </c>
      <c r="F153" s="165" t="str">
        <f>IF(_Datos!$C153,_Datos!$J153,"")</f>
        <v/>
      </c>
      <c r="G153" s="165" t="str">
        <f>IF(_Datos!$C153,_Datos!$AE153,"")</f>
        <v/>
      </c>
      <c r="H153" s="168" t="str">
        <f>IF(_Datos!$C153,IF(_Datos!$AF153,_Datos!$AP153,"-"),"")</f>
        <v/>
      </c>
      <c r="I153" s="162"/>
    </row>
    <row r="154" spans="2:9" x14ac:dyDescent="0.35">
      <c r="B154" s="165" t="str">
        <f>IF(_Datos!$C154,_Datos!$O154,"")</f>
        <v/>
      </c>
      <c r="C154" s="162" t="str">
        <f>IF(_Datos!$C154,_Datos!$F154,"")</f>
        <v/>
      </c>
      <c r="D154" s="162" t="str">
        <f>IF(_Datos!$C154,_Datos!$G154,"")</f>
        <v/>
      </c>
      <c r="E154" s="165" t="str">
        <f>IF(_Datos!$C154,IF(_Datos!$N154=9999,"(Sin sprint)",_Datos!$N154),"")</f>
        <v/>
      </c>
      <c r="F154" s="165" t="str">
        <f>IF(_Datos!$C154,_Datos!$J154,"")</f>
        <v/>
      </c>
      <c r="G154" s="165" t="str">
        <f>IF(_Datos!$C154,_Datos!$AE154,"")</f>
        <v/>
      </c>
      <c r="H154" s="168" t="str">
        <f>IF(_Datos!$C154,IF(_Datos!$AF154,_Datos!$AP154,"-"),"")</f>
        <v/>
      </c>
      <c r="I154" s="162"/>
    </row>
    <row r="155" spans="2:9" x14ac:dyDescent="0.35">
      <c r="B155" s="165" t="str">
        <f>IF(_Datos!$C155,_Datos!$O155,"")</f>
        <v/>
      </c>
      <c r="C155" s="162" t="str">
        <f>IF(_Datos!$C155,_Datos!$F155,"")</f>
        <v/>
      </c>
      <c r="D155" s="162" t="str">
        <f>IF(_Datos!$C155,_Datos!$G155,"")</f>
        <v/>
      </c>
      <c r="E155" s="165" t="str">
        <f>IF(_Datos!$C155,IF(_Datos!$N155=9999,"(Sin sprint)",_Datos!$N155),"")</f>
        <v/>
      </c>
      <c r="F155" s="165" t="str">
        <f>IF(_Datos!$C155,_Datos!$J155,"")</f>
        <v/>
      </c>
      <c r="G155" s="165" t="str">
        <f>IF(_Datos!$C155,_Datos!$AE155,"")</f>
        <v/>
      </c>
      <c r="H155" s="168" t="str">
        <f>IF(_Datos!$C155,IF(_Datos!$AF155,_Datos!$AP155,"-"),"")</f>
        <v/>
      </c>
      <c r="I155" s="162"/>
    </row>
    <row r="156" spans="2:9" x14ac:dyDescent="0.35">
      <c r="B156" s="165" t="str">
        <f>IF(_Datos!$C156,_Datos!$O156,"")</f>
        <v/>
      </c>
      <c r="C156" s="162" t="str">
        <f>IF(_Datos!$C156,_Datos!$F156,"")</f>
        <v/>
      </c>
      <c r="D156" s="162" t="str">
        <f>IF(_Datos!$C156,_Datos!$G156,"")</f>
        <v/>
      </c>
      <c r="E156" s="165" t="str">
        <f>IF(_Datos!$C156,IF(_Datos!$N156=9999,"(Sin sprint)",_Datos!$N156),"")</f>
        <v/>
      </c>
      <c r="F156" s="165" t="str">
        <f>IF(_Datos!$C156,_Datos!$J156,"")</f>
        <v/>
      </c>
      <c r="G156" s="165" t="str">
        <f>IF(_Datos!$C156,_Datos!$AE156,"")</f>
        <v/>
      </c>
      <c r="H156" s="168" t="str">
        <f>IF(_Datos!$C156,IF(_Datos!$AF156,_Datos!$AP156,"-"),"")</f>
        <v/>
      </c>
      <c r="I156" s="162"/>
    </row>
    <row r="157" spans="2:9" x14ac:dyDescent="0.35">
      <c r="B157" s="165" t="str">
        <f>IF(_Datos!$C157,_Datos!$O157,"")</f>
        <v/>
      </c>
      <c r="C157" s="162" t="str">
        <f>IF(_Datos!$C157,_Datos!$F157,"")</f>
        <v/>
      </c>
      <c r="D157" s="162" t="str">
        <f>IF(_Datos!$C157,_Datos!$G157,"")</f>
        <v/>
      </c>
      <c r="E157" s="165" t="str">
        <f>IF(_Datos!$C157,IF(_Datos!$N157=9999,"(Sin sprint)",_Datos!$N157),"")</f>
        <v/>
      </c>
      <c r="F157" s="165" t="str">
        <f>IF(_Datos!$C157,_Datos!$J157,"")</f>
        <v/>
      </c>
      <c r="G157" s="165" t="str">
        <f>IF(_Datos!$C157,_Datos!$AE157,"")</f>
        <v/>
      </c>
      <c r="H157" s="168" t="str">
        <f>IF(_Datos!$C157,IF(_Datos!$AF157,_Datos!$AP157,"-"),"")</f>
        <v/>
      </c>
      <c r="I157" s="162"/>
    </row>
    <row r="158" spans="2:9" x14ac:dyDescent="0.35">
      <c r="B158" s="165" t="str">
        <f>IF(_Datos!$C158,_Datos!$O158,"")</f>
        <v/>
      </c>
      <c r="C158" s="162" t="str">
        <f>IF(_Datos!$C158,_Datos!$F158,"")</f>
        <v/>
      </c>
      <c r="D158" s="162" t="str">
        <f>IF(_Datos!$C158,_Datos!$G158,"")</f>
        <v/>
      </c>
      <c r="E158" s="165" t="str">
        <f>IF(_Datos!$C158,IF(_Datos!$N158=9999,"(Sin sprint)",_Datos!$N158),"")</f>
        <v/>
      </c>
      <c r="F158" s="165" t="str">
        <f>IF(_Datos!$C158,_Datos!$J158,"")</f>
        <v/>
      </c>
      <c r="G158" s="165" t="str">
        <f>IF(_Datos!$C158,_Datos!$AE158,"")</f>
        <v/>
      </c>
      <c r="H158" s="168" t="str">
        <f>IF(_Datos!$C158,IF(_Datos!$AF158,_Datos!$AP158,"-"),"")</f>
        <v/>
      </c>
      <c r="I158" s="162"/>
    </row>
    <row r="159" spans="2:9" x14ac:dyDescent="0.35">
      <c r="B159" s="165" t="str">
        <f>IF(_Datos!$C159,_Datos!$O159,"")</f>
        <v/>
      </c>
      <c r="C159" s="162" t="str">
        <f>IF(_Datos!$C159,_Datos!$F159,"")</f>
        <v/>
      </c>
      <c r="D159" s="162" t="str">
        <f>IF(_Datos!$C159,_Datos!$G159,"")</f>
        <v/>
      </c>
      <c r="E159" s="165" t="str">
        <f>IF(_Datos!$C159,IF(_Datos!$N159=9999,"(Sin sprint)",_Datos!$N159),"")</f>
        <v/>
      </c>
      <c r="F159" s="165" t="str">
        <f>IF(_Datos!$C159,_Datos!$J159,"")</f>
        <v/>
      </c>
      <c r="G159" s="165" t="str">
        <f>IF(_Datos!$C159,_Datos!$AE159,"")</f>
        <v/>
      </c>
      <c r="H159" s="168" t="str">
        <f>IF(_Datos!$C159,IF(_Datos!$AF159,_Datos!$AP159,"-"),"")</f>
        <v/>
      </c>
      <c r="I159" s="162"/>
    </row>
    <row r="160" spans="2:9" x14ac:dyDescent="0.35">
      <c r="B160" s="165" t="str">
        <f>IF(_Datos!$C160,_Datos!$O160,"")</f>
        <v/>
      </c>
      <c r="C160" s="162" t="str">
        <f>IF(_Datos!$C160,_Datos!$F160,"")</f>
        <v/>
      </c>
      <c r="D160" s="162" t="str">
        <f>IF(_Datos!$C160,_Datos!$G160,"")</f>
        <v/>
      </c>
      <c r="E160" s="165" t="str">
        <f>IF(_Datos!$C160,IF(_Datos!$N160=9999,"(Sin sprint)",_Datos!$N160),"")</f>
        <v/>
      </c>
      <c r="F160" s="165" t="str">
        <f>IF(_Datos!$C160,_Datos!$J160,"")</f>
        <v/>
      </c>
      <c r="G160" s="165" t="str">
        <f>IF(_Datos!$C160,_Datos!$AE160,"")</f>
        <v/>
      </c>
      <c r="H160" s="168" t="str">
        <f>IF(_Datos!$C160,IF(_Datos!$AF160,_Datos!$AP160,"-"),"")</f>
        <v/>
      </c>
      <c r="I160" s="162"/>
    </row>
    <row r="161" spans="2:9" x14ac:dyDescent="0.35">
      <c r="B161" s="165" t="str">
        <f>IF(_Datos!$C161,_Datos!$O161,"")</f>
        <v/>
      </c>
      <c r="C161" s="162" t="str">
        <f>IF(_Datos!$C161,_Datos!$F161,"")</f>
        <v/>
      </c>
      <c r="D161" s="162" t="str">
        <f>IF(_Datos!$C161,_Datos!$G161,"")</f>
        <v/>
      </c>
      <c r="E161" s="165" t="str">
        <f>IF(_Datos!$C161,IF(_Datos!$N161=9999,"(Sin sprint)",_Datos!$N161),"")</f>
        <v/>
      </c>
      <c r="F161" s="165" t="str">
        <f>IF(_Datos!$C161,_Datos!$J161,"")</f>
        <v/>
      </c>
      <c r="G161" s="165" t="str">
        <f>IF(_Datos!$C161,_Datos!$AE161,"")</f>
        <v/>
      </c>
      <c r="H161" s="168" t="str">
        <f>IF(_Datos!$C161,IF(_Datos!$AF161,_Datos!$AP161,"-"),"")</f>
        <v/>
      </c>
      <c r="I161" s="162"/>
    </row>
    <row r="162" spans="2:9" x14ac:dyDescent="0.35">
      <c r="B162" s="165" t="str">
        <f>IF(_Datos!$C162,_Datos!$O162,"")</f>
        <v/>
      </c>
      <c r="C162" s="162" t="str">
        <f>IF(_Datos!$C162,_Datos!$F162,"")</f>
        <v/>
      </c>
      <c r="D162" s="162" t="str">
        <f>IF(_Datos!$C162,_Datos!$G162,"")</f>
        <v/>
      </c>
      <c r="E162" s="165" t="str">
        <f>IF(_Datos!$C162,IF(_Datos!$N162=9999,"(Sin sprint)",_Datos!$N162),"")</f>
        <v/>
      </c>
      <c r="F162" s="165" t="str">
        <f>IF(_Datos!$C162,_Datos!$J162,"")</f>
        <v/>
      </c>
      <c r="G162" s="165" t="str">
        <f>IF(_Datos!$C162,_Datos!$AE162,"")</f>
        <v/>
      </c>
      <c r="H162" s="168" t="str">
        <f>IF(_Datos!$C162,IF(_Datos!$AF162,_Datos!$AP162,"-"),"")</f>
        <v/>
      </c>
      <c r="I162" s="162"/>
    </row>
    <row r="163" spans="2:9" x14ac:dyDescent="0.35">
      <c r="B163" s="165" t="str">
        <f>IF(_Datos!$C163,_Datos!$O163,"")</f>
        <v/>
      </c>
      <c r="C163" s="162" t="str">
        <f>IF(_Datos!$C163,_Datos!$F163,"")</f>
        <v/>
      </c>
      <c r="D163" s="162" t="str">
        <f>IF(_Datos!$C163,_Datos!$G163,"")</f>
        <v/>
      </c>
      <c r="E163" s="165" t="str">
        <f>IF(_Datos!$C163,IF(_Datos!$N163=9999,"(Sin sprint)",_Datos!$N163),"")</f>
        <v/>
      </c>
      <c r="F163" s="165" t="str">
        <f>IF(_Datos!$C163,_Datos!$J163,"")</f>
        <v/>
      </c>
      <c r="G163" s="165" t="str">
        <f>IF(_Datos!$C163,_Datos!$AE163,"")</f>
        <v/>
      </c>
      <c r="H163" s="168" t="str">
        <f>IF(_Datos!$C163,IF(_Datos!$AF163,_Datos!$AP163,"-"),"")</f>
        <v/>
      </c>
      <c r="I163" s="162"/>
    </row>
    <row r="164" spans="2:9" x14ac:dyDescent="0.35">
      <c r="B164" s="165" t="str">
        <f>IF(_Datos!$C164,_Datos!$O164,"")</f>
        <v/>
      </c>
      <c r="C164" s="162" t="str">
        <f>IF(_Datos!$C164,_Datos!$F164,"")</f>
        <v/>
      </c>
      <c r="D164" s="162" t="str">
        <f>IF(_Datos!$C164,_Datos!$G164,"")</f>
        <v/>
      </c>
      <c r="E164" s="165" t="str">
        <f>IF(_Datos!$C164,IF(_Datos!$N164=9999,"(Sin sprint)",_Datos!$N164),"")</f>
        <v/>
      </c>
      <c r="F164" s="165" t="str">
        <f>IF(_Datos!$C164,_Datos!$J164,"")</f>
        <v/>
      </c>
      <c r="G164" s="165" t="str">
        <f>IF(_Datos!$C164,_Datos!$AE164,"")</f>
        <v/>
      </c>
      <c r="H164" s="168" t="str">
        <f>IF(_Datos!$C164,IF(_Datos!$AF164,_Datos!$AP164,"-"),"")</f>
        <v/>
      </c>
      <c r="I164" s="162"/>
    </row>
    <row r="165" spans="2:9" x14ac:dyDescent="0.35">
      <c r="B165" s="165" t="str">
        <f>IF(_Datos!$C165,_Datos!$O165,"")</f>
        <v/>
      </c>
      <c r="C165" s="162" t="str">
        <f>IF(_Datos!$C165,_Datos!$F165,"")</f>
        <v/>
      </c>
      <c r="D165" s="162" t="str">
        <f>IF(_Datos!$C165,_Datos!$G165,"")</f>
        <v/>
      </c>
      <c r="E165" s="165" t="str">
        <f>IF(_Datos!$C165,IF(_Datos!$N165=9999,"(Sin sprint)",_Datos!$N165),"")</f>
        <v/>
      </c>
      <c r="F165" s="165" t="str">
        <f>IF(_Datos!$C165,_Datos!$J165,"")</f>
        <v/>
      </c>
      <c r="G165" s="165" t="str">
        <f>IF(_Datos!$C165,_Datos!$AE165,"")</f>
        <v/>
      </c>
      <c r="H165" s="168" t="str">
        <f>IF(_Datos!$C165,IF(_Datos!$AF165,_Datos!$AP165,"-"),"")</f>
        <v/>
      </c>
      <c r="I165" s="162"/>
    </row>
    <row r="166" spans="2:9" x14ac:dyDescent="0.35">
      <c r="B166" s="165" t="str">
        <f>IF(_Datos!$C166,_Datos!$O166,"")</f>
        <v/>
      </c>
      <c r="C166" s="162" t="str">
        <f>IF(_Datos!$C166,_Datos!$F166,"")</f>
        <v/>
      </c>
      <c r="D166" s="162" t="str">
        <f>IF(_Datos!$C166,_Datos!$G166,"")</f>
        <v/>
      </c>
      <c r="E166" s="165" t="str">
        <f>IF(_Datos!$C166,IF(_Datos!$N166=9999,"(Sin sprint)",_Datos!$N166),"")</f>
        <v/>
      </c>
      <c r="F166" s="165" t="str">
        <f>IF(_Datos!$C166,_Datos!$J166,"")</f>
        <v/>
      </c>
      <c r="G166" s="165" t="str">
        <f>IF(_Datos!$C166,_Datos!$AE166,"")</f>
        <v/>
      </c>
      <c r="H166" s="168" t="str">
        <f>IF(_Datos!$C166,IF(_Datos!$AF166,_Datos!$AP166,"-"),"")</f>
        <v/>
      </c>
      <c r="I166" s="162"/>
    </row>
    <row r="167" spans="2:9" x14ac:dyDescent="0.35">
      <c r="B167" s="165" t="str">
        <f>IF(_Datos!$C167,_Datos!$O167,"")</f>
        <v/>
      </c>
      <c r="C167" s="162" t="str">
        <f>IF(_Datos!$C167,_Datos!$F167,"")</f>
        <v/>
      </c>
      <c r="D167" s="162" t="str">
        <f>IF(_Datos!$C167,_Datos!$G167,"")</f>
        <v/>
      </c>
      <c r="E167" s="165" t="str">
        <f>IF(_Datos!$C167,IF(_Datos!$N167=9999,"(Sin sprint)",_Datos!$N167),"")</f>
        <v/>
      </c>
      <c r="F167" s="165" t="str">
        <f>IF(_Datos!$C167,_Datos!$J167,"")</f>
        <v/>
      </c>
      <c r="G167" s="165" t="str">
        <f>IF(_Datos!$C167,_Datos!$AE167,"")</f>
        <v/>
      </c>
      <c r="H167" s="168" t="str">
        <f>IF(_Datos!$C167,IF(_Datos!$AF167,_Datos!$AP167,"-"),"")</f>
        <v/>
      </c>
      <c r="I167" s="162"/>
    </row>
    <row r="168" spans="2:9" x14ac:dyDescent="0.35">
      <c r="B168" s="165" t="str">
        <f>IF(_Datos!$C168,_Datos!$O168,"")</f>
        <v/>
      </c>
      <c r="C168" s="162" t="str">
        <f>IF(_Datos!$C168,_Datos!$F168,"")</f>
        <v/>
      </c>
      <c r="D168" s="162" t="str">
        <f>IF(_Datos!$C168,_Datos!$G168,"")</f>
        <v/>
      </c>
      <c r="E168" s="165" t="str">
        <f>IF(_Datos!$C168,IF(_Datos!$N168=9999,"(Sin sprint)",_Datos!$N168),"")</f>
        <v/>
      </c>
      <c r="F168" s="165" t="str">
        <f>IF(_Datos!$C168,_Datos!$J168,"")</f>
        <v/>
      </c>
      <c r="G168" s="165" t="str">
        <f>IF(_Datos!$C168,_Datos!$AE168,"")</f>
        <v/>
      </c>
      <c r="H168" s="168" t="str">
        <f>IF(_Datos!$C168,IF(_Datos!$AF168,_Datos!$AP168,"-"),"")</f>
        <v/>
      </c>
      <c r="I168" s="162"/>
    </row>
    <row r="169" spans="2:9" x14ac:dyDescent="0.35">
      <c r="B169" s="165" t="str">
        <f>IF(_Datos!$C169,_Datos!$O169,"")</f>
        <v/>
      </c>
      <c r="C169" s="162" t="str">
        <f>IF(_Datos!$C169,_Datos!$F169,"")</f>
        <v/>
      </c>
      <c r="D169" s="162" t="str">
        <f>IF(_Datos!$C169,_Datos!$G169,"")</f>
        <v/>
      </c>
      <c r="E169" s="165" t="str">
        <f>IF(_Datos!$C169,IF(_Datos!$N169=9999,"(Sin sprint)",_Datos!$N169),"")</f>
        <v/>
      </c>
      <c r="F169" s="165" t="str">
        <f>IF(_Datos!$C169,_Datos!$J169,"")</f>
        <v/>
      </c>
      <c r="G169" s="165" t="str">
        <f>IF(_Datos!$C169,_Datos!$AE169,"")</f>
        <v/>
      </c>
      <c r="H169" s="168" t="str">
        <f>IF(_Datos!$C169,IF(_Datos!$AF169,_Datos!$AP169,"-"),"")</f>
        <v/>
      </c>
      <c r="I169" s="162"/>
    </row>
    <row r="170" spans="2:9" x14ac:dyDescent="0.35">
      <c r="B170" s="165" t="str">
        <f>IF(_Datos!$C170,_Datos!$O170,"")</f>
        <v/>
      </c>
      <c r="C170" s="162" t="str">
        <f>IF(_Datos!$C170,_Datos!$F170,"")</f>
        <v/>
      </c>
      <c r="D170" s="162" t="str">
        <f>IF(_Datos!$C170,_Datos!$G170,"")</f>
        <v/>
      </c>
      <c r="E170" s="165" t="str">
        <f>IF(_Datos!$C170,IF(_Datos!$N170=9999,"(Sin sprint)",_Datos!$N170),"")</f>
        <v/>
      </c>
      <c r="F170" s="165" t="str">
        <f>IF(_Datos!$C170,_Datos!$J170,"")</f>
        <v/>
      </c>
      <c r="G170" s="165" t="str">
        <f>IF(_Datos!$C170,_Datos!$AE170,"")</f>
        <v/>
      </c>
      <c r="H170" s="168" t="str">
        <f>IF(_Datos!$C170,IF(_Datos!$AF170,_Datos!$AP170,"-"),"")</f>
        <v/>
      </c>
      <c r="I170" s="162"/>
    </row>
    <row r="171" spans="2:9" x14ac:dyDescent="0.35">
      <c r="B171" s="165" t="str">
        <f>IF(_Datos!$C171,_Datos!$O171,"")</f>
        <v/>
      </c>
      <c r="C171" s="162" t="str">
        <f>IF(_Datos!$C171,_Datos!$F171,"")</f>
        <v/>
      </c>
      <c r="D171" s="162" t="str">
        <f>IF(_Datos!$C171,_Datos!$G171,"")</f>
        <v/>
      </c>
      <c r="E171" s="165" t="str">
        <f>IF(_Datos!$C171,IF(_Datos!$N171=9999,"(Sin sprint)",_Datos!$N171),"")</f>
        <v/>
      </c>
      <c r="F171" s="165" t="str">
        <f>IF(_Datos!$C171,_Datos!$J171,"")</f>
        <v/>
      </c>
      <c r="G171" s="165" t="str">
        <f>IF(_Datos!$C171,_Datos!$AE171,"")</f>
        <v/>
      </c>
      <c r="H171" s="168" t="str">
        <f>IF(_Datos!$C171,IF(_Datos!$AF171,_Datos!$AP171,"-"),"")</f>
        <v/>
      </c>
      <c r="I171" s="162"/>
    </row>
    <row r="172" spans="2:9" x14ac:dyDescent="0.35">
      <c r="B172" s="165" t="str">
        <f>IF(_Datos!$C172,_Datos!$O172,"")</f>
        <v/>
      </c>
      <c r="C172" s="162" t="str">
        <f>IF(_Datos!$C172,_Datos!$F172,"")</f>
        <v/>
      </c>
      <c r="D172" s="162" t="str">
        <f>IF(_Datos!$C172,_Datos!$G172,"")</f>
        <v/>
      </c>
      <c r="E172" s="165" t="str">
        <f>IF(_Datos!$C172,IF(_Datos!$N172=9999,"(Sin sprint)",_Datos!$N172),"")</f>
        <v/>
      </c>
      <c r="F172" s="165" t="str">
        <f>IF(_Datos!$C172,_Datos!$J172,"")</f>
        <v/>
      </c>
      <c r="G172" s="165" t="str">
        <f>IF(_Datos!$C172,_Datos!$AE172,"")</f>
        <v/>
      </c>
      <c r="H172" s="168" t="str">
        <f>IF(_Datos!$C172,IF(_Datos!$AF172,_Datos!$AP172,"-"),"")</f>
        <v/>
      </c>
      <c r="I172" s="162"/>
    </row>
    <row r="173" spans="2:9" x14ac:dyDescent="0.35">
      <c r="B173" s="165" t="str">
        <f>IF(_Datos!$C173,_Datos!$O173,"")</f>
        <v/>
      </c>
      <c r="C173" s="162" t="str">
        <f>IF(_Datos!$C173,_Datos!$F173,"")</f>
        <v/>
      </c>
      <c r="D173" s="162" t="str">
        <f>IF(_Datos!$C173,_Datos!$G173,"")</f>
        <v/>
      </c>
      <c r="E173" s="165" t="str">
        <f>IF(_Datos!$C173,IF(_Datos!$N173=9999,"(Sin sprint)",_Datos!$N173),"")</f>
        <v/>
      </c>
      <c r="F173" s="165" t="str">
        <f>IF(_Datos!$C173,_Datos!$J173,"")</f>
        <v/>
      </c>
      <c r="G173" s="165" t="str">
        <f>IF(_Datos!$C173,_Datos!$AE173,"")</f>
        <v/>
      </c>
      <c r="H173" s="168" t="str">
        <f>IF(_Datos!$C173,IF(_Datos!$AF173,_Datos!$AP173,"-"),"")</f>
        <v/>
      </c>
      <c r="I173" s="162"/>
    </row>
    <row r="174" spans="2:9" x14ac:dyDescent="0.35">
      <c r="B174" s="165" t="str">
        <f>IF(_Datos!$C174,_Datos!$O174,"")</f>
        <v/>
      </c>
      <c r="C174" s="162" t="str">
        <f>IF(_Datos!$C174,_Datos!$F174,"")</f>
        <v/>
      </c>
      <c r="D174" s="162" t="str">
        <f>IF(_Datos!$C174,_Datos!$G174,"")</f>
        <v/>
      </c>
      <c r="E174" s="165" t="str">
        <f>IF(_Datos!$C174,IF(_Datos!$N174=9999,"(Sin sprint)",_Datos!$N174),"")</f>
        <v/>
      </c>
      <c r="F174" s="165" t="str">
        <f>IF(_Datos!$C174,_Datos!$J174,"")</f>
        <v/>
      </c>
      <c r="G174" s="165" t="str">
        <f>IF(_Datos!$C174,_Datos!$AE174,"")</f>
        <v/>
      </c>
      <c r="H174" s="168" t="str">
        <f>IF(_Datos!$C174,IF(_Datos!$AF174,_Datos!$AP174,"-"),"")</f>
        <v/>
      </c>
      <c r="I174" s="162"/>
    </row>
    <row r="175" spans="2:9" x14ac:dyDescent="0.35">
      <c r="B175" s="165" t="str">
        <f>IF(_Datos!$C175,_Datos!$O175,"")</f>
        <v/>
      </c>
      <c r="C175" s="162" t="str">
        <f>IF(_Datos!$C175,_Datos!$F175,"")</f>
        <v/>
      </c>
      <c r="D175" s="162" t="str">
        <f>IF(_Datos!$C175,_Datos!$G175,"")</f>
        <v/>
      </c>
      <c r="E175" s="165" t="str">
        <f>IF(_Datos!$C175,IF(_Datos!$N175=9999,"(Sin sprint)",_Datos!$N175),"")</f>
        <v/>
      </c>
      <c r="F175" s="165" t="str">
        <f>IF(_Datos!$C175,_Datos!$J175,"")</f>
        <v/>
      </c>
      <c r="G175" s="165" t="str">
        <f>IF(_Datos!$C175,_Datos!$AE175,"")</f>
        <v/>
      </c>
      <c r="H175" s="168" t="str">
        <f>IF(_Datos!$C175,IF(_Datos!$AF175,_Datos!$AP175,"-"),"")</f>
        <v/>
      </c>
      <c r="I175" s="162"/>
    </row>
    <row r="176" spans="2:9" x14ac:dyDescent="0.35">
      <c r="B176" s="165" t="str">
        <f>IF(_Datos!$C176,_Datos!$O176,"")</f>
        <v/>
      </c>
      <c r="C176" s="162" t="str">
        <f>IF(_Datos!$C176,_Datos!$F176,"")</f>
        <v/>
      </c>
      <c r="D176" s="162" t="str">
        <f>IF(_Datos!$C176,_Datos!$G176,"")</f>
        <v/>
      </c>
      <c r="E176" s="165" t="str">
        <f>IF(_Datos!$C176,IF(_Datos!$N176=9999,"(Sin sprint)",_Datos!$N176),"")</f>
        <v/>
      </c>
      <c r="F176" s="165" t="str">
        <f>IF(_Datos!$C176,_Datos!$J176,"")</f>
        <v/>
      </c>
      <c r="G176" s="165" t="str">
        <f>IF(_Datos!$C176,_Datos!$AE176,"")</f>
        <v/>
      </c>
      <c r="H176" s="168" t="str">
        <f>IF(_Datos!$C176,IF(_Datos!$AF176,_Datos!$AP176,"-"),"")</f>
        <v/>
      </c>
      <c r="I176" s="162"/>
    </row>
    <row r="177" spans="2:9" x14ac:dyDescent="0.35">
      <c r="B177" s="165" t="str">
        <f>IF(_Datos!$C177,_Datos!$O177,"")</f>
        <v/>
      </c>
      <c r="C177" s="162" t="str">
        <f>IF(_Datos!$C177,_Datos!$F177,"")</f>
        <v/>
      </c>
      <c r="D177" s="162" t="str">
        <f>IF(_Datos!$C177,_Datos!$G177,"")</f>
        <v/>
      </c>
      <c r="E177" s="165" t="str">
        <f>IF(_Datos!$C177,IF(_Datos!$N177=9999,"(Sin sprint)",_Datos!$N177),"")</f>
        <v/>
      </c>
      <c r="F177" s="165" t="str">
        <f>IF(_Datos!$C177,_Datos!$J177,"")</f>
        <v/>
      </c>
      <c r="G177" s="165" t="str">
        <f>IF(_Datos!$C177,_Datos!$AE177,"")</f>
        <v/>
      </c>
      <c r="H177" s="168" t="str">
        <f>IF(_Datos!$C177,IF(_Datos!$AF177,_Datos!$AP177,"-"),"")</f>
        <v/>
      </c>
      <c r="I177" s="162"/>
    </row>
    <row r="178" spans="2:9" x14ac:dyDescent="0.35">
      <c r="B178" s="165" t="str">
        <f>IF(_Datos!$C178,_Datos!$O178,"")</f>
        <v/>
      </c>
      <c r="C178" s="162" t="str">
        <f>IF(_Datos!$C178,_Datos!$F178,"")</f>
        <v/>
      </c>
      <c r="D178" s="162" t="str">
        <f>IF(_Datos!$C178,_Datos!$G178,"")</f>
        <v/>
      </c>
      <c r="E178" s="165" t="str">
        <f>IF(_Datos!$C178,IF(_Datos!$N178=9999,"(Sin sprint)",_Datos!$N178),"")</f>
        <v/>
      </c>
      <c r="F178" s="165" t="str">
        <f>IF(_Datos!$C178,_Datos!$J178,"")</f>
        <v/>
      </c>
      <c r="G178" s="165" t="str">
        <f>IF(_Datos!$C178,_Datos!$AE178,"")</f>
        <v/>
      </c>
      <c r="H178" s="168" t="str">
        <f>IF(_Datos!$C178,IF(_Datos!$AF178,_Datos!$AP178,"-"),"")</f>
        <v/>
      </c>
      <c r="I178" s="162"/>
    </row>
    <row r="179" spans="2:9" x14ac:dyDescent="0.35">
      <c r="B179" s="165" t="str">
        <f>IF(_Datos!$C179,_Datos!$O179,"")</f>
        <v/>
      </c>
      <c r="C179" s="162" t="str">
        <f>IF(_Datos!$C179,_Datos!$F179,"")</f>
        <v/>
      </c>
      <c r="D179" s="162" t="str">
        <f>IF(_Datos!$C179,_Datos!$G179,"")</f>
        <v/>
      </c>
      <c r="E179" s="165" t="str">
        <f>IF(_Datos!$C179,IF(_Datos!$N179=9999,"(Sin sprint)",_Datos!$N179),"")</f>
        <v/>
      </c>
      <c r="F179" s="165" t="str">
        <f>IF(_Datos!$C179,_Datos!$J179,"")</f>
        <v/>
      </c>
      <c r="G179" s="165" t="str">
        <f>IF(_Datos!$C179,_Datos!$AE179,"")</f>
        <v/>
      </c>
      <c r="H179" s="168" t="str">
        <f>IF(_Datos!$C179,IF(_Datos!$AF179,_Datos!$AP179,"-"),"")</f>
        <v/>
      </c>
      <c r="I179" s="162"/>
    </row>
    <row r="180" spans="2:9" x14ac:dyDescent="0.35">
      <c r="B180" s="165" t="str">
        <f>IF(_Datos!$C180,_Datos!$O180,"")</f>
        <v/>
      </c>
      <c r="C180" s="162" t="str">
        <f>IF(_Datos!$C180,_Datos!$F180,"")</f>
        <v/>
      </c>
      <c r="D180" s="162" t="str">
        <f>IF(_Datos!$C180,_Datos!$G180,"")</f>
        <v/>
      </c>
      <c r="E180" s="165" t="str">
        <f>IF(_Datos!$C180,IF(_Datos!$N180=9999,"(Sin sprint)",_Datos!$N180),"")</f>
        <v/>
      </c>
      <c r="F180" s="165" t="str">
        <f>IF(_Datos!$C180,_Datos!$J180,"")</f>
        <v/>
      </c>
      <c r="G180" s="165" t="str">
        <f>IF(_Datos!$C180,_Datos!$AE180,"")</f>
        <v/>
      </c>
      <c r="H180" s="168" t="str">
        <f>IF(_Datos!$C180,IF(_Datos!$AF180,_Datos!$AP180,"-"),"")</f>
        <v/>
      </c>
      <c r="I180" s="162"/>
    </row>
    <row r="181" spans="2:9" x14ac:dyDescent="0.35">
      <c r="B181" s="165" t="str">
        <f>IF(_Datos!$C181,_Datos!$O181,"")</f>
        <v/>
      </c>
      <c r="C181" s="162" t="str">
        <f>IF(_Datos!$C181,_Datos!$F181,"")</f>
        <v/>
      </c>
      <c r="D181" s="162" t="str">
        <f>IF(_Datos!$C181,_Datos!$G181,"")</f>
        <v/>
      </c>
      <c r="E181" s="165" t="str">
        <f>IF(_Datos!$C181,IF(_Datos!$N181=9999,"(Sin sprint)",_Datos!$N181),"")</f>
        <v/>
      </c>
      <c r="F181" s="165" t="str">
        <f>IF(_Datos!$C181,_Datos!$J181,"")</f>
        <v/>
      </c>
      <c r="G181" s="165" t="str">
        <f>IF(_Datos!$C181,_Datos!$AE181,"")</f>
        <v/>
      </c>
      <c r="H181" s="168" t="str">
        <f>IF(_Datos!$C181,IF(_Datos!$AF181,_Datos!$AP181,"-"),"")</f>
        <v/>
      </c>
      <c r="I181" s="162"/>
    </row>
    <row r="182" spans="2:9" x14ac:dyDescent="0.35">
      <c r="B182" s="165" t="str">
        <f>IF(_Datos!$C182,_Datos!$O182,"")</f>
        <v/>
      </c>
      <c r="C182" s="162" t="str">
        <f>IF(_Datos!$C182,_Datos!$F182,"")</f>
        <v/>
      </c>
      <c r="D182" s="162" t="str">
        <f>IF(_Datos!$C182,_Datos!$G182,"")</f>
        <v/>
      </c>
      <c r="E182" s="165" t="str">
        <f>IF(_Datos!$C182,IF(_Datos!$N182=9999,"(Sin sprint)",_Datos!$N182),"")</f>
        <v/>
      </c>
      <c r="F182" s="165" t="str">
        <f>IF(_Datos!$C182,_Datos!$J182,"")</f>
        <v/>
      </c>
      <c r="G182" s="165" t="str">
        <f>IF(_Datos!$C182,_Datos!$AE182,"")</f>
        <v/>
      </c>
      <c r="H182" s="168" t="str">
        <f>IF(_Datos!$C182,IF(_Datos!$AF182,_Datos!$AP182,"-"),"")</f>
        <v/>
      </c>
      <c r="I182" s="162"/>
    </row>
    <row r="183" spans="2:9" x14ac:dyDescent="0.35">
      <c r="B183" s="165" t="str">
        <f>IF(_Datos!$C183,_Datos!$O183,"")</f>
        <v/>
      </c>
      <c r="C183" s="162" t="str">
        <f>IF(_Datos!$C183,_Datos!$F183,"")</f>
        <v/>
      </c>
      <c r="D183" s="162" t="str">
        <f>IF(_Datos!$C183,_Datos!$G183,"")</f>
        <v/>
      </c>
      <c r="E183" s="165" t="str">
        <f>IF(_Datos!$C183,IF(_Datos!$N183=9999,"(Sin sprint)",_Datos!$N183),"")</f>
        <v/>
      </c>
      <c r="F183" s="165" t="str">
        <f>IF(_Datos!$C183,_Datos!$J183,"")</f>
        <v/>
      </c>
      <c r="G183" s="165" t="str">
        <f>IF(_Datos!$C183,_Datos!$AE183,"")</f>
        <v/>
      </c>
      <c r="H183" s="168" t="str">
        <f>IF(_Datos!$C183,IF(_Datos!$AF183,_Datos!$AP183,"-"),"")</f>
        <v/>
      </c>
      <c r="I183" s="162"/>
    </row>
    <row r="184" spans="2:9" x14ac:dyDescent="0.35">
      <c r="B184" s="165" t="str">
        <f>IF(_Datos!$C184,_Datos!$O184,"")</f>
        <v/>
      </c>
      <c r="C184" s="162" t="str">
        <f>IF(_Datos!$C184,_Datos!$F184,"")</f>
        <v/>
      </c>
      <c r="D184" s="162" t="str">
        <f>IF(_Datos!$C184,_Datos!$G184,"")</f>
        <v/>
      </c>
      <c r="E184" s="165" t="str">
        <f>IF(_Datos!$C184,IF(_Datos!$N184=9999,"(Sin sprint)",_Datos!$N184),"")</f>
        <v/>
      </c>
      <c r="F184" s="165" t="str">
        <f>IF(_Datos!$C184,_Datos!$J184,"")</f>
        <v/>
      </c>
      <c r="G184" s="165" t="str">
        <f>IF(_Datos!$C184,_Datos!$AE184,"")</f>
        <v/>
      </c>
      <c r="H184" s="168" t="str">
        <f>IF(_Datos!$C184,IF(_Datos!$AF184,_Datos!$AP184,"-"),"")</f>
        <v/>
      </c>
      <c r="I184" s="162"/>
    </row>
    <row r="185" spans="2:9" x14ac:dyDescent="0.35">
      <c r="B185" s="165" t="str">
        <f>IF(_Datos!$C185,_Datos!$O185,"")</f>
        <v/>
      </c>
      <c r="C185" s="162" t="str">
        <f>IF(_Datos!$C185,_Datos!$F185,"")</f>
        <v/>
      </c>
      <c r="D185" s="162" t="str">
        <f>IF(_Datos!$C185,_Datos!$G185,"")</f>
        <v/>
      </c>
      <c r="E185" s="165" t="str">
        <f>IF(_Datos!$C185,IF(_Datos!$N185=9999,"(Sin sprint)",_Datos!$N185),"")</f>
        <v/>
      </c>
      <c r="F185" s="165" t="str">
        <f>IF(_Datos!$C185,_Datos!$J185,"")</f>
        <v/>
      </c>
      <c r="G185" s="165" t="str">
        <f>IF(_Datos!$C185,_Datos!$AE185,"")</f>
        <v/>
      </c>
      <c r="H185" s="168" t="str">
        <f>IF(_Datos!$C185,IF(_Datos!$AF185,_Datos!$AP185,"-"),"")</f>
        <v/>
      </c>
      <c r="I185" s="162"/>
    </row>
    <row r="186" spans="2:9" x14ac:dyDescent="0.35">
      <c r="B186" s="165" t="str">
        <f>IF(_Datos!$C186,_Datos!$O186,"")</f>
        <v/>
      </c>
      <c r="C186" s="162" t="str">
        <f>IF(_Datos!$C186,_Datos!$F186,"")</f>
        <v/>
      </c>
      <c r="D186" s="162" t="str">
        <f>IF(_Datos!$C186,_Datos!$G186,"")</f>
        <v/>
      </c>
      <c r="E186" s="165" t="str">
        <f>IF(_Datos!$C186,IF(_Datos!$N186=9999,"(Sin sprint)",_Datos!$N186),"")</f>
        <v/>
      </c>
      <c r="F186" s="165" t="str">
        <f>IF(_Datos!$C186,_Datos!$J186,"")</f>
        <v/>
      </c>
      <c r="G186" s="165" t="str">
        <f>IF(_Datos!$C186,_Datos!$AE186,"")</f>
        <v/>
      </c>
      <c r="H186" s="168" t="str">
        <f>IF(_Datos!$C186,IF(_Datos!$AF186,_Datos!$AP186,"-"),"")</f>
        <v/>
      </c>
      <c r="I186" s="162"/>
    </row>
    <row r="187" spans="2:9" x14ac:dyDescent="0.35">
      <c r="B187" s="165" t="str">
        <f>IF(_Datos!$C187,_Datos!$O187,"")</f>
        <v/>
      </c>
      <c r="C187" s="162" t="str">
        <f>IF(_Datos!$C187,_Datos!$F187,"")</f>
        <v/>
      </c>
      <c r="D187" s="162" t="str">
        <f>IF(_Datos!$C187,_Datos!$G187,"")</f>
        <v/>
      </c>
      <c r="E187" s="165" t="str">
        <f>IF(_Datos!$C187,IF(_Datos!$N187=9999,"(Sin sprint)",_Datos!$N187),"")</f>
        <v/>
      </c>
      <c r="F187" s="165" t="str">
        <f>IF(_Datos!$C187,_Datos!$J187,"")</f>
        <v/>
      </c>
      <c r="G187" s="165" t="str">
        <f>IF(_Datos!$C187,_Datos!$AE187,"")</f>
        <v/>
      </c>
      <c r="H187" s="168" t="str">
        <f>IF(_Datos!$C187,IF(_Datos!$AF187,_Datos!$AP187,"-"),"")</f>
        <v/>
      </c>
      <c r="I187" s="162"/>
    </row>
    <row r="188" spans="2:9" x14ac:dyDescent="0.35">
      <c r="B188" s="165" t="str">
        <f>IF(_Datos!$C188,_Datos!$O188,"")</f>
        <v/>
      </c>
      <c r="C188" s="162" t="str">
        <f>IF(_Datos!$C188,_Datos!$F188,"")</f>
        <v/>
      </c>
      <c r="D188" s="162" t="str">
        <f>IF(_Datos!$C188,_Datos!$G188,"")</f>
        <v/>
      </c>
      <c r="E188" s="165" t="str">
        <f>IF(_Datos!$C188,IF(_Datos!$N188=9999,"(Sin sprint)",_Datos!$N188),"")</f>
        <v/>
      </c>
      <c r="F188" s="165" t="str">
        <f>IF(_Datos!$C188,_Datos!$J188,"")</f>
        <v/>
      </c>
      <c r="G188" s="165" t="str">
        <f>IF(_Datos!$C188,_Datos!$AE188,"")</f>
        <v/>
      </c>
      <c r="H188" s="168" t="str">
        <f>IF(_Datos!$C188,IF(_Datos!$AF188,_Datos!$AP188,"-"),"")</f>
        <v/>
      </c>
      <c r="I188" s="162"/>
    </row>
    <row r="189" spans="2:9" x14ac:dyDescent="0.35">
      <c r="B189" s="165" t="str">
        <f>IF(_Datos!$C189,_Datos!$O189,"")</f>
        <v/>
      </c>
      <c r="C189" s="162" t="str">
        <f>IF(_Datos!$C189,_Datos!$F189,"")</f>
        <v/>
      </c>
      <c r="D189" s="162" t="str">
        <f>IF(_Datos!$C189,_Datos!$G189,"")</f>
        <v/>
      </c>
      <c r="E189" s="165" t="str">
        <f>IF(_Datos!$C189,IF(_Datos!$N189=9999,"(Sin sprint)",_Datos!$N189),"")</f>
        <v/>
      </c>
      <c r="F189" s="165" t="str">
        <f>IF(_Datos!$C189,_Datos!$J189,"")</f>
        <v/>
      </c>
      <c r="G189" s="165" t="str">
        <f>IF(_Datos!$C189,_Datos!$AE189,"")</f>
        <v/>
      </c>
      <c r="H189" s="168" t="str">
        <f>IF(_Datos!$C189,IF(_Datos!$AF189,_Datos!$AP189,"-"),"")</f>
        <v/>
      </c>
      <c r="I189" s="162"/>
    </row>
    <row r="190" spans="2:9" x14ac:dyDescent="0.35">
      <c r="B190" s="165" t="str">
        <f>IF(_Datos!$C190,_Datos!$O190,"")</f>
        <v/>
      </c>
      <c r="C190" s="162" t="str">
        <f>IF(_Datos!$C190,_Datos!$F190,"")</f>
        <v/>
      </c>
      <c r="D190" s="162" t="str">
        <f>IF(_Datos!$C190,_Datos!$G190,"")</f>
        <v/>
      </c>
      <c r="E190" s="165" t="str">
        <f>IF(_Datos!$C190,IF(_Datos!$N190=9999,"(Sin sprint)",_Datos!$N190),"")</f>
        <v/>
      </c>
      <c r="F190" s="165" t="str">
        <f>IF(_Datos!$C190,_Datos!$J190,"")</f>
        <v/>
      </c>
      <c r="G190" s="165" t="str">
        <f>IF(_Datos!$C190,_Datos!$AE190,"")</f>
        <v/>
      </c>
      <c r="H190" s="168" t="str">
        <f>IF(_Datos!$C190,IF(_Datos!$AF190,_Datos!$AP190,"-"),"")</f>
        <v/>
      </c>
      <c r="I190" s="162"/>
    </row>
    <row r="191" spans="2:9" x14ac:dyDescent="0.35">
      <c r="B191" s="165" t="str">
        <f>IF(_Datos!$C191,_Datos!$O191,"")</f>
        <v/>
      </c>
      <c r="C191" s="162" t="str">
        <f>IF(_Datos!$C191,_Datos!$F191,"")</f>
        <v/>
      </c>
      <c r="D191" s="162" t="str">
        <f>IF(_Datos!$C191,_Datos!$G191,"")</f>
        <v/>
      </c>
      <c r="E191" s="165" t="str">
        <f>IF(_Datos!$C191,IF(_Datos!$N191=9999,"(Sin sprint)",_Datos!$N191),"")</f>
        <v/>
      </c>
      <c r="F191" s="165" t="str">
        <f>IF(_Datos!$C191,_Datos!$J191,"")</f>
        <v/>
      </c>
      <c r="G191" s="165" t="str">
        <f>IF(_Datos!$C191,_Datos!$AE191,"")</f>
        <v/>
      </c>
      <c r="H191" s="168" t="str">
        <f>IF(_Datos!$C191,IF(_Datos!$AF191,_Datos!$AP191,"-"),"")</f>
        <v/>
      </c>
      <c r="I191" s="162"/>
    </row>
    <row r="192" spans="2:9" x14ac:dyDescent="0.35">
      <c r="B192" s="165" t="str">
        <f>IF(_Datos!$C192,_Datos!$O192,"")</f>
        <v/>
      </c>
      <c r="C192" s="162" t="str">
        <f>IF(_Datos!$C192,_Datos!$F192,"")</f>
        <v/>
      </c>
      <c r="D192" s="162" t="str">
        <f>IF(_Datos!$C192,_Datos!$G192,"")</f>
        <v/>
      </c>
      <c r="E192" s="165" t="str">
        <f>IF(_Datos!$C192,IF(_Datos!$N192=9999,"(Sin sprint)",_Datos!$N192),"")</f>
        <v/>
      </c>
      <c r="F192" s="165" t="str">
        <f>IF(_Datos!$C192,_Datos!$J192,"")</f>
        <v/>
      </c>
      <c r="G192" s="165" t="str">
        <f>IF(_Datos!$C192,_Datos!$AE192,"")</f>
        <v/>
      </c>
      <c r="H192" s="168" t="str">
        <f>IF(_Datos!$C192,IF(_Datos!$AF192,_Datos!$AP192,"-"),"")</f>
        <v/>
      </c>
      <c r="I192" s="162"/>
    </row>
    <row r="193" spans="2:9" x14ac:dyDescent="0.35">
      <c r="B193" s="165" t="str">
        <f>IF(_Datos!$C193,_Datos!$O193,"")</f>
        <v/>
      </c>
      <c r="C193" s="162" t="str">
        <f>IF(_Datos!$C193,_Datos!$F193,"")</f>
        <v/>
      </c>
      <c r="D193" s="162" t="str">
        <f>IF(_Datos!$C193,_Datos!$G193,"")</f>
        <v/>
      </c>
      <c r="E193" s="165" t="str">
        <f>IF(_Datos!$C193,IF(_Datos!$N193=9999,"(Sin sprint)",_Datos!$N193),"")</f>
        <v/>
      </c>
      <c r="F193" s="165" t="str">
        <f>IF(_Datos!$C193,_Datos!$J193,"")</f>
        <v/>
      </c>
      <c r="G193" s="165" t="str">
        <f>IF(_Datos!$C193,_Datos!$AE193,"")</f>
        <v/>
      </c>
      <c r="H193" s="168" t="str">
        <f>IF(_Datos!$C193,IF(_Datos!$AF193,_Datos!$AP193,"-"),"")</f>
        <v/>
      </c>
      <c r="I193" s="162"/>
    </row>
    <row r="194" spans="2:9" x14ac:dyDescent="0.35">
      <c r="B194" s="165" t="str">
        <f>IF(_Datos!$C194,_Datos!$O194,"")</f>
        <v/>
      </c>
      <c r="C194" s="162" t="str">
        <f>IF(_Datos!$C194,_Datos!$F194,"")</f>
        <v/>
      </c>
      <c r="D194" s="162" t="str">
        <f>IF(_Datos!$C194,_Datos!$G194,"")</f>
        <v/>
      </c>
      <c r="E194" s="165" t="str">
        <f>IF(_Datos!$C194,IF(_Datos!$N194=9999,"(Sin sprint)",_Datos!$N194),"")</f>
        <v/>
      </c>
      <c r="F194" s="165" t="str">
        <f>IF(_Datos!$C194,_Datos!$J194,"")</f>
        <v/>
      </c>
      <c r="G194" s="165" t="str">
        <f>IF(_Datos!$C194,_Datos!$AE194,"")</f>
        <v/>
      </c>
      <c r="H194" s="168" t="str">
        <f>IF(_Datos!$C194,IF(_Datos!$AF194,_Datos!$AP194,"-"),"")</f>
        <v/>
      </c>
      <c r="I194" s="162"/>
    </row>
    <row r="195" spans="2:9" x14ac:dyDescent="0.35">
      <c r="B195" s="165" t="str">
        <f>IF(_Datos!$C195,_Datos!$O195,"")</f>
        <v/>
      </c>
      <c r="C195" s="162" t="str">
        <f>IF(_Datos!$C195,_Datos!$F195,"")</f>
        <v/>
      </c>
      <c r="D195" s="162" t="str">
        <f>IF(_Datos!$C195,_Datos!$G195,"")</f>
        <v/>
      </c>
      <c r="E195" s="165" t="str">
        <f>IF(_Datos!$C195,IF(_Datos!$N195=9999,"(Sin sprint)",_Datos!$N195),"")</f>
        <v/>
      </c>
      <c r="F195" s="165" t="str">
        <f>IF(_Datos!$C195,_Datos!$J195,"")</f>
        <v/>
      </c>
      <c r="G195" s="165" t="str">
        <f>IF(_Datos!$C195,_Datos!$AE195,"")</f>
        <v/>
      </c>
      <c r="H195" s="168" t="str">
        <f>IF(_Datos!$C195,IF(_Datos!$AF195,_Datos!$AP195,"-"),"")</f>
        <v/>
      </c>
      <c r="I195" s="162"/>
    </row>
    <row r="196" spans="2:9" x14ac:dyDescent="0.35">
      <c r="B196" s="165" t="str">
        <f>IF(_Datos!$C196,_Datos!$O196,"")</f>
        <v/>
      </c>
      <c r="C196" s="162" t="str">
        <f>IF(_Datos!$C196,_Datos!$F196,"")</f>
        <v/>
      </c>
      <c r="D196" s="162" t="str">
        <f>IF(_Datos!$C196,_Datos!$G196,"")</f>
        <v/>
      </c>
      <c r="E196" s="165" t="str">
        <f>IF(_Datos!$C196,IF(_Datos!$N196=9999,"(Sin sprint)",_Datos!$N196),"")</f>
        <v/>
      </c>
      <c r="F196" s="165" t="str">
        <f>IF(_Datos!$C196,_Datos!$J196,"")</f>
        <v/>
      </c>
      <c r="G196" s="165" t="str">
        <f>IF(_Datos!$C196,_Datos!$AE196,"")</f>
        <v/>
      </c>
      <c r="H196" s="168" t="str">
        <f>IF(_Datos!$C196,IF(_Datos!$AF196,_Datos!$AP196,"-"),"")</f>
        <v/>
      </c>
      <c r="I196" s="162"/>
    </row>
    <row r="197" spans="2:9" x14ac:dyDescent="0.35">
      <c r="B197" s="165" t="str">
        <f>IF(_Datos!$C197,_Datos!$O197,"")</f>
        <v/>
      </c>
      <c r="C197" s="162" t="str">
        <f>IF(_Datos!$C197,_Datos!$F197,"")</f>
        <v/>
      </c>
      <c r="D197" s="162" t="str">
        <f>IF(_Datos!$C197,_Datos!$G197,"")</f>
        <v/>
      </c>
      <c r="E197" s="165" t="str">
        <f>IF(_Datos!$C197,IF(_Datos!$N197=9999,"(Sin sprint)",_Datos!$N197),"")</f>
        <v/>
      </c>
      <c r="F197" s="165" t="str">
        <f>IF(_Datos!$C197,_Datos!$J197,"")</f>
        <v/>
      </c>
      <c r="G197" s="165" t="str">
        <f>IF(_Datos!$C197,_Datos!$AE197,"")</f>
        <v/>
      </c>
      <c r="H197" s="168" t="str">
        <f>IF(_Datos!$C197,IF(_Datos!$AF197,_Datos!$AP197,"-"),"")</f>
        <v/>
      </c>
      <c r="I197" s="162"/>
    </row>
    <row r="198" spans="2:9" x14ac:dyDescent="0.35">
      <c r="B198" s="165" t="str">
        <f>IF(_Datos!$C198,_Datos!$O198,"")</f>
        <v/>
      </c>
      <c r="C198" s="162" t="str">
        <f>IF(_Datos!$C198,_Datos!$F198,"")</f>
        <v/>
      </c>
      <c r="D198" s="162" t="str">
        <f>IF(_Datos!$C198,_Datos!$G198,"")</f>
        <v/>
      </c>
      <c r="E198" s="165" t="str">
        <f>IF(_Datos!$C198,IF(_Datos!$N198=9999,"(Sin sprint)",_Datos!$N198),"")</f>
        <v/>
      </c>
      <c r="F198" s="165" t="str">
        <f>IF(_Datos!$C198,_Datos!$J198,"")</f>
        <v/>
      </c>
      <c r="G198" s="165" t="str">
        <f>IF(_Datos!$C198,_Datos!$AE198,"")</f>
        <v/>
      </c>
      <c r="H198" s="168" t="str">
        <f>IF(_Datos!$C198,IF(_Datos!$AF198,_Datos!$AP198,"-"),"")</f>
        <v/>
      </c>
      <c r="I198" s="162"/>
    </row>
    <row r="199" spans="2:9" x14ac:dyDescent="0.35">
      <c r="B199" s="165" t="str">
        <f>IF(_Datos!$C199,_Datos!$O199,"")</f>
        <v/>
      </c>
      <c r="C199" s="162" t="str">
        <f>IF(_Datos!$C199,_Datos!$F199,"")</f>
        <v/>
      </c>
      <c r="D199" s="162" t="str">
        <f>IF(_Datos!$C199,_Datos!$G199,"")</f>
        <v/>
      </c>
      <c r="E199" s="165" t="str">
        <f>IF(_Datos!$C199,IF(_Datos!$N199=9999,"(Sin sprint)",_Datos!$N199),"")</f>
        <v/>
      </c>
      <c r="F199" s="165" t="str">
        <f>IF(_Datos!$C199,_Datos!$J199,"")</f>
        <v/>
      </c>
      <c r="G199" s="165" t="str">
        <f>IF(_Datos!$C199,_Datos!$AE199,"")</f>
        <v/>
      </c>
      <c r="H199" s="168" t="str">
        <f>IF(_Datos!$C199,IF(_Datos!$AF199,_Datos!$AP199,"-"),"")</f>
        <v/>
      </c>
      <c r="I199" s="162"/>
    </row>
    <row r="200" spans="2:9" x14ac:dyDescent="0.35">
      <c r="B200" s="165" t="str">
        <f>IF(_Datos!$C200,_Datos!$O200,"")</f>
        <v/>
      </c>
      <c r="C200" s="162" t="str">
        <f>IF(_Datos!$C200,_Datos!$F200,"")</f>
        <v/>
      </c>
      <c r="D200" s="162" t="str">
        <f>IF(_Datos!$C200,_Datos!$G200,"")</f>
        <v/>
      </c>
      <c r="E200" s="165" t="str">
        <f>IF(_Datos!$C200,IF(_Datos!$N200=9999,"(Sin sprint)",_Datos!$N200),"")</f>
        <v/>
      </c>
      <c r="F200" s="165" t="str">
        <f>IF(_Datos!$C200,_Datos!$J200,"")</f>
        <v/>
      </c>
      <c r="G200" s="165" t="str">
        <f>IF(_Datos!$C200,_Datos!$AE200,"")</f>
        <v/>
      </c>
      <c r="H200" s="168" t="str">
        <f>IF(_Datos!$C200,IF(_Datos!$AF200,_Datos!$AP200,"-"),"")</f>
        <v/>
      </c>
      <c r="I200" s="162"/>
    </row>
  </sheetData>
  <mergeCells count="6">
    <mergeCell ref="B1:I1"/>
    <mergeCell ref="B2:I2"/>
    <mergeCell ref="K4:M4"/>
    <mergeCell ref="K15:L15"/>
    <mergeCell ref="K16:L16"/>
    <mergeCell ref="B4:I4"/>
  </mergeCells>
  <conditionalFormatting sqref="B7:I200">
    <cfRule type="expression" dxfId="6" priority="40">
      <formula>$B7&lt;&gt;""</formula>
    </cfRule>
  </conditionalFormatting>
  <conditionalFormatting sqref="F7:F200">
    <cfRule type="expression" dxfId="5" priority="21">
      <formula>$F7="Vencido"</formula>
    </cfRule>
    <cfRule type="expression" dxfId="4" priority="22">
      <formula>$F7="Próximo a vencer"</formula>
    </cfRule>
    <cfRule type="expression" dxfId="3" priority="23">
      <formula>$F7="En curso"</formula>
    </cfRule>
    <cfRule type="expression" dxfId="2" priority="24">
      <formula>$F7="Completado"</formula>
    </cfRule>
  </conditionalFormatting>
  <conditionalFormatting sqref="G7:H200">
    <cfRule type="expression" dxfId="1" priority="25">
      <formula>AND($B7&lt;&gt;"",$G7&lt;&gt;$E7)</formula>
    </cfRule>
  </conditionalFormatting>
  <conditionalFormatting sqref="I7:I200">
    <cfRule type="expression" dxfId="0" priority="26">
      <formula>$B7&lt;&gt;""</formula>
    </cfRule>
  </conditionalFormatting>
  <dataValidations count="1">
    <dataValidation type="list" allowBlank="1" showInputMessage="1" showErrorMessage="1" sqref="I7:I200" xr:uid="{00000000-0002-0000-0600-000000000000}">
      <formula1>$O$5:$O$12</formula1>
    </dataValidation>
  </dataValidations>
  <pageMargins left="0.4" right="0.4" top="0.5" bottom="0.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200"/>
  <sheetViews>
    <sheetView workbookViewId="0"/>
  </sheetViews>
  <sheetFormatPr baseColWidth="10" defaultColWidth="8.7265625" defaultRowHeight="14.5" x14ac:dyDescent="0.35"/>
  <cols>
    <col min="1" max="1" width="6" customWidth="1"/>
    <col min="2" max="3" width="8" customWidth="1"/>
    <col min="4" max="4" width="36" customWidth="1"/>
    <col min="5" max="5" width="7" customWidth="1"/>
    <col min="6" max="6" width="36" customWidth="1"/>
    <col min="7" max="7" width="18" customWidth="1"/>
    <col min="8" max="40" width="11" customWidth="1"/>
  </cols>
  <sheetData>
    <row r="1" spans="1:42" x14ac:dyDescent="0.35">
      <c r="A1" s="203" t="s">
        <v>208</v>
      </c>
      <c r="B1" s="198"/>
      <c r="C1" s="198"/>
      <c r="D1" s="198"/>
      <c r="E1" s="198"/>
      <c r="F1" s="198"/>
      <c r="G1" s="198"/>
      <c r="H1" s="198"/>
      <c r="I1" s="198"/>
      <c r="J1" s="198"/>
      <c r="K1" s="198"/>
      <c r="L1" s="198"/>
      <c r="M1" s="198"/>
      <c r="N1" s="198"/>
      <c r="O1" s="198"/>
      <c r="P1" s="198"/>
    </row>
    <row r="6" spans="1:42" ht="26" x14ac:dyDescent="0.35">
      <c r="A6" s="149" t="s">
        <v>209</v>
      </c>
      <c r="B6" s="149" t="s">
        <v>210</v>
      </c>
      <c r="C6" s="149" t="s">
        <v>211</v>
      </c>
      <c r="D6" s="149" t="s">
        <v>212</v>
      </c>
      <c r="E6" s="149" t="s">
        <v>213</v>
      </c>
      <c r="F6" s="149" t="s">
        <v>168</v>
      </c>
      <c r="G6" s="149" t="s">
        <v>169</v>
      </c>
      <c r="H6" s="149" t="s">
        <v>214</v>
      </c>
      <c r="I6" s="149" t="s">
        <v>215</v>
      </c>
      <c r="J6" s="149" t="s">
        <v>171</v>
      </c>
      <c r="K6" s="149" t="s">
        <v>216</v>
      </c>
      <c r="L6" s="149" t="s">
        <v>217</v>
      </c>
      <c r="M6" s="149" t="s">
        <v>218</v>
      </c>
      <c r="N6" s="149" t="s">
        <v>219</v>
      </c>
      <c r="O6" s="149" t="s">
        <v>186</v>
      </c>
      <c r="P6" s="149" t="s">
        <v>220</v>
      </c>
      <c r="Q6" s="149" t="s">
        <v>221</v>
      </c>
      <c r="R6" s="149" t="s">
        <v>222</v>
      </c>
      <c r="S6" s="149" t="s">
        <v>223</v>
      </c>
      <c r="T6" s="149" t="s">
        <v>224</v>
      </c>
      <c r="U6" s="149" t="s">
        <v>225</v>
      </c>
      <c r="V6" s="149" t="s">
        <v>226</v>
      </c>
      <c r="W6" s="149" t="s">
        <v>227</v>
      </c>
      <c r="X6" s="149" t="s">
        <v>228</v>
      </c>
      <c r="Y6" s="149" t="s">
        <v>229</v>
      </c>
      <c r="Z6" s="149" t="s">
        <v>230</v>
      </c>
      <c r="AA6" s="149" t="s">
        <v>231</v>
      </c>
      <c r="AB6" s="149" t="s">
        <v>167</v>
      </c>
      <c r="AC6" s="149" t="s">
        <v>232</v>
      </c>
      <c r="AD6" s="149" t="s">
        <v>233</v>
      </c>
      <c r="AE6" s="149" t="s">
        <v>234</v>
      </c>
      <c r="AF6" s="149" t="s">
        <v>235</v>
      </c>
      <c r="AG6" s="149" t="s">
        <v>236</v>
      </c>
      <c r="AH6" s="149" t="s">
        <v>237</v>
      </c>
      <c r="AI6" s="149" t="s">
        <v>238</v>
      </c>
      <c r="AJ6" s="149" t="s">
        <v>239</v>
      </c>
      <c r="AK6" s="149" t="s">
        <v>240</v>
      </c>
      <c r="AL6" s="149" t="s">
        <v>241</v>
      </c>
      <c r="AM6" s="149" t="s">
        <v>242</v>
      </c>
      <c r="AN6" s="149" t="s">
        <v>243</v>
      </c>
      <c r="AO6" s="149" t="s">
        <v>244</v>
      </c>
      <c r="AP6" s="149" t="s">
        <v>245</v>
      </c>
    </row>
    <row r="7" spans="1:42" x14ac:dyDescent="0.35">
      <c r="A7" s="163">
        <f>ROW()</f>
        <v>7</v>
      </c>
      <c r="B7" s="163" t="b">
        <f>ISTEXT('Proyecto Datos (OKR´s)'!$K7)</f>
        <v>1</v>
      </c>
      <c r="C7" s="163" t="b">
        <f ca="1">AND(LEN('Proyecto Datos (OKR´s)'!$G7)&gt;0,NOT($B7),OR(ISNUMBER('Proyecto Datos (OKR´s)'!$F7),ISNUMBER('Proyecto Datos (OKR´s)'!$L7)))</f>
        <v>0</v>
      </c>
      <c r="D7" s="164" t="str">
        <f ca="1">IF($C7,IFERROR(LOOKUP(2,1/((ISTEXT('Proyecto Datos (OKR´s)'!$K$7:$K7))*(LEN('Proyecto Datos (OKR´s)'!$G$7:$G7)&gt;0)),'Proyecto Datos (OKR´s)'!$G$7:$G7),""),"")</f>
        <v/>
      </c>
      <c r="E7" s="163" t="str">
        <f ca="1">IF($C7,'Proyecto Datos (OKR´s)'!$E7,"")</f>
        <v/>
      </c>
      <c r="F7" s="164" t="str">
        <f ca="1">IF($C7,'Proyecto Datos (OKR´s)'!$G7,"")</f>
        <v/>
      </c>
      <c r="G7" s="164" t="str">
        <f ca="1">IF($C7,IF('Proyecto Datos (OKR´s)'!$I7="","(Sin asignar)",'Proyecto Datos (OKR´s)'!$I7),"")</f>
        <v/>
      </c>
      <c r="H7" s="163" t="str">
        <f ca="1">IF($C7,IF(ISNUMBER('Proyecto Datos (OKR´s)'!$F7),'Proyecto Datos (OKR´s)'!$F7,'Proyecto Datos (OKR´s)'!$L7),"")</f>
        <v/>
      </c>
      <c r="I7" s="163" t="str">
        <f ca="1">IF($C7,'Proyecto Datos (OKR´s)'!$J7,"")</f>
        <v/>
      </c>
      <c r="J7" s="164" t="str">
        <f ca="1">IF($C7,IF($I7&gt;=1,"Completado",IF($H7&lt;TODAY(),"Vencido",IF(($H7-TODAY())&lt;='Entregas Próximas'!$M$3,"Próximo a vencer","En curso"))),"")</f>
        <v/>
      </c>
      <c r="K7" s="163" t="str">
        <f t="shared" ref="K7:K38" ca="1" si="0">IF($C7,$H7-TODAY(),"")</f>
        <v/>
      </c>
      <c r="L7" s="163" t="str">
        <f t="shared" ref="L7:L38" ca="1" si="1">IF($C7,$AD7*1000000+$H7+ROW()/100000,"")</f>
        <v/>
      </c>
      <c r="M7" s="163" t="str">
        <f t="shared" ref="M7:M38" ca="1" si="2">IF($C7,IF($AD7=9999,"(Sin sprint)",$AD7),"")</f>
        <v/>
      </c>
      <c r="N7" s="163" t="str">
        <f ca="1">IF($C7,IF('Proyecto Datos (OKR´s)'!$E7="",9999,'Proyecto Datos (OKR´s)'!$E7),"")</f>
        <v/>
      </c>
      <c r="O7" s="163" t="str">
        <f t="shared" ref="O7:O38" ca="1" si="3">IF($C7,"T"&amp;TEXT(ROW(),"000"),"")</f>
        <v/>
      </c>
      <c r="P7" s="163">
        <f t="shared" ref="P7:P36" si="4">ROW()-6</f>
        <v>1</v>
      </c>
      <c r="Q7" s="163">
        <f t="shared" ref="Q7:Q36" ca="1" si="5">IF(COUNTIF($AD$7:$AD$200,$P7)&gt;0,$P7,"")</f>
        <v>1</v>
      </c>
      <c r="R7" s="163" t="str">
        <f ca="1">IF($C7,IF(ISNUMBER('Proyecto Datos (OKR´s)'!$L7),'Proyecto Datos (OKR´s)'!$L7,$H7),"")</f>
        <v/>
      </c>
      <c r="S7" s="163" t="str">
        <f ca="1">IF($C7,$R7-'Proyecto Datos (OKR´s)'!$K7+1,"")</f>
        <v/>
      </c>
      <c r="T7" s="163" t="str">
        <f ca="1">IF($C7,MAX(0,TODAY()-'Proyecto Datos (OKR´s)'!$K7),"")</f>
        <v/>
      </c>
      <c r="U7" s="163" t="str">
        <f ca="1">IF($C7,MEDIAN(0,(TODAY()-'Proyecto Datos (OKR´s)'!$K7)/MAX(1,$R7-'Proyecto Datos (OKR´s)'!$K7),1),"")</f>
        <v/>
      </c>
      <c r="V7" s="163" t="str">
        <f t="shared" ref="V7:V38" ca="1" si="6">IF($C7,$I7-$U7,"")</f>
        <v/>
      </c>
      <c r="W7" s="163" t="str">
        <f t="shared" ref="W7:W38" ca="1" si="7">IF($C7,IF($J7="Completado",0,MAX(0,TODAY()-$H7)),"")</f>
        <v/>
      </c>
      <c r="X7" s="163" t="str">
        <f t="shared" ref="X7:X38" ca="1" si="8">IF($C7,IF(ISNUMBER($H7),$R7-$H7,0),"")</f>
        <v/>
      </c>
      <c r="Y7" s="163" t="str">
        <f t="shared" ref="Y7:Y38" ca="1" si="9">IF($C7,COUNTIFS($G$7:$G$200,$G7,$J$7:$J$200,"&lt;&gt;Completado",$J$7:$J$200,"&lt;&gt;"),"")</f>
        <v/>
      </c>
      <c r="Z7" s="163" t="str">
        <f ca="1">IF($C7,AND($I7=0,'Proyecto Datos (OKR´s)'!$K7&lt;=TODAY(),$J7&lt;&gt;"Completado"),"")</f>
        <v/>
      </c>
      <c r="AA7" s="163" t="str">
        <f t="shared" ref="AA7:AA38" ca="1" si="10">IF($C7,ROUND(100*(0.35*$AK7+0.3*$AL7+0.2*$AM7+0.15*MEDIAN(0,($Y7-4)/8,1)),0),"")</f>
        <v/>
      </c>
      <c r="AB7" s="164" t="str">
        <f t="shared" ref="AB7:AB38" ca="1" si="11">IF($C7,IF($J7="Completado","—",IF($AA7&gt;=70,"Crítica",IF($AA7&gt;=45,"Alta",IF($AA7&gt;=25,"Media","Baja")))),"")</f>
        <v/>
      </c>
      <c r="AC7" s="164" t="str">
        <f t="shared" ref="AC7:AC38" ca="1" si="12">IF($C7,IF(LEN(TRIM($AN7))=0,"—",TRIM($AN7)),"")</f>
        <v/>
      </c>
      <c r="AD7" s="163" t="str">
        <f ca="1">IF($C7,IF($N7=9999,9999,IF($J7="Completado",$N7,MAX($N7,Sprints!$M$15))),"")</f>
        <v/>
      </c>
      <c r="AE7" s="163" t="str">
        <f t="shared" ref="AE7:AE38" ca="1" si="13">IF($C7,IF($AD7=9999,"(Sin sprint)",$AD7),"")</f>
        <v/>
      </c>
      <c r="AF7" s="163" t="b">
        <f t="shared" ref="AF7:AF38" ca="1" si="14">IF($C7,AND($N7&lt;&gt;9999,$AD7&lt;&gt;$N7),FALSE)</f>
        <v>0</v>
      </c>
      <c r="AG7" s="163" t="str">
        <f t="shared" ref="AG7:AG38" ca="1" si="15">IF($AF7,$AO7,"")</f>
        <v/>
      </c>
      <c r="AH7" s="164" t="str">
        <f ca="1">IF($AF7,IF(Sprints!$I7&lt;&gt;"",Sprints!$I7,"Comprometida y no completada al cierre del Sprint "&amp;$N7),"")</f>
        <v/>
      </c>
      <c r="AI7" s="163" t="str">
        <f t="shared" ref="AI7:AI38" ca="1" si="16">IF($AF7,$N7*100000+ROW(),"")</f>
        <v/>
      </c>
      <c r="AJ7" s="163" t="str">
        <f t="shared" ref="AJ7:AJ38" ca="1" si="17">IF($C7,$AA7*1000000-MEDIAN(-9999,$K7,9999)*100+(300-ROW()),"")</f>
        <v/>
      </c>
      <c r="AK7" s="163" t="str">
        <f t="shared" ref="AK7:AK38" ca="1" si="18">IF($C7,IF($J7="Completado",0,IF($K7&lt;0,1,IF($K7&lt;=3,0.9,IF($K7&lt;=7,0.7,IF($K7&lt;=14,0.45,0.2))))),"")</f>
        <v/>
      </c>
      <c r="AL7" s="163" t="str">
        <f t="shared" ref="AL7:AL38" ca="1" si="19">IF($C7,IF($J7="Completado",0,MEDIAN(0,MAX(-$V7,$W7/30),1)),"")</f>
        <v/>
      </c>
      <c r="AM7" s="163" t="str">
        <f t="shared" ref="AM7:AM38" ca="1" si="20">IF($C7,IF($J7="Completado",0,IF($Z7,1,IF(AND($I7&lt;0.5,$K7&lt;=7),0.7,0.3))),"")</f>
        <v/>
      </c>
      <c r="AN7" s="164" t="str">
        <f t="shared" ref="AN7:AN38" ca="1" si="21">IF($C7,IF(OR($V7&lt;-0.2,$W7&gt;0),"ATRASO ","")&amp;IF($Z7,"BLOQUEO ","")&amp;IF($Y7&gt;8,"SOBRECARGA ","")&amp;IF($X7&gt;0,"DESVÍO-PLAN ",""),"")</f>
        <v/>
      </c>
      <c r="AO7" s="163" t="str">
        <f ca="1">IF($C7,IFERROR(INDEX(Sprints!$M$6:$M$13,MATCH($N7,Sprints!$K$6:$K$13,0)),""),"")</f>
        <v/>
      </c>
      <c r="AP7" s="163" t="str">
        <f t="shared" ref="AP7:AP38" ca="1" si="22">IF($C7,IF(AND($N7&lt;&gt;9999,$AD7&lt;&gt;$N7,ISNUMBER($AO7)),TODAY()-$AO7,0),"")</f>
        <v/>
      </c>
    </row>
    <row r="8" spans="1:42" x14ac:dyDescent="0.35">
      <c r="A8" s="163">
        <f>ROW()</f>
        <v>8</v>
      </c>
      <c r="B8" s="163" t="b">
        <f>ISTEXT('Proyecto Datos (OKR´s)'!$K8)</f>
        <v>0</v>
      </c>
      <c r="C8" s="163" t="b">
        <f>AND(LEN('Proyecto Datos (OKR´s)'!$G8)&gt;0,NOT($B8),OR(ISNUMBER('Proyecto Datos (OKR´s)'!$F8),ISNUMBER('Proyecto Datos (OKR´s)'!$L8)))</f>
        <v>1</v>
      </c>
      <c r="D8" s="164" t="str">
        <f>IF($C8,IFERROR(LOOKUP(2,1/((ISTEXT('Proyecto Datos (OKR´s)'!$K$7:$K8))*(LEN('Proyecto Datos (OKR´s)'!$G$7:$G8)&gt;0)),'Proyecto Datos (OKR´s)'!$G$7:$G8),""),"")</f>
        <v>1- GOC: Módulo de Datos para Procesos de Certificación (Inteligencia Comercial)</v>
      </c>
      <c r="E8" s="163">
        <f>IF($C8,'Proyecto Datos (OKR´s)'!$E8,"")</f>
        <v>1</v>
      </c>
      <c r="F8" s="164" t="str">
        <f>IF($C8,'Proyecto Datos (OKR´s)'!$G8,"")</f>
        <v>Disponibilidad de información centralizada en GOC (aguarda desarrollo)</v>
      </c>
      <c r="G8" s="164" t="str">
        <f>IF($C8,IF('Proyecto Datos (OKR´s)'!$I8="","(Sin asignar)",'Proyecto Datos (OKR´s)'!$I8),"")</f>
        <v>Lucila Pronzato</v>
      </c>
      <c r="H8" s="163">
        <f>IF($C8,IF(ISNUMBER('Proyecto Datos (OKR´s)'!$F8),'Proyecto Datos (OKR´s)'!$F8,'Proyecto Datos (OKR´s)'!$L8),"")</f>
        <v>46203</v>
      </c>
      <c r="I8" s="163">
        <f>IF($C8,'Proyecto Datos (OKR´s)'!$J8,"")</f>
        <v>0.2</v>
      </c>
      <c r="J8" s="164" t="str">
        <f ca="1">IF($C8,IF($I8&gt;=1,"Completado",IF($H8&lt;TODAY(),"Vencido",IF(($H8-TODAY())&lt;='Entregas Próximas'!$M$3,"Próximo a vencer","En curso"))),"")</f>
        <v>En curso</v>
      </c>
      <c r="K8" s="163">
        <f t="shared" ca="1" si="0"/>
        <v>11</v>
      </c>
      <c r="L8" s="163">
        <f t="shared" ca="1" si="1"/>
        <v>2046203.0000799999</v>
      </c>
      <c r="M8" s="163">
        <f t="shared" ca="1" si="2"/>
        <v>2</v>
      </c>
      <c r="N8" s="163">
        <f>IF($C8,IF('Proyecto Datos (OKR´s)'!$E8="",9999,'Proyecto Datos (OKR´s)'!$E8),"")</f>
        <v>1</v>
      </c>
      <c r="O8" s="163" t="str">
        <f t="shared" si="3"/>
        <v>T008</v>
      </c>
      <c r="P8" s="163">
        <f t="shared" si="4"/>
        <v>2</v>
      </c>
      <c r="Q8" s="163">
        <f t="shared" ca="1" si="5"/>
        <v>2</v>
      </c>
      <c r="R8" s="163">
        <f>IF($C8,IF(ISNUMBER('Proyecto Datos (OKR´s)'!$L8),'Proyecto Datos (OKR´s)'!$L8,$H8),"")</f>
        <v>46203</v>
      </c>
      <c r="S8" s="163">
        <f>IF($C8,$R8-'Proyecto Datos (OKR´s)'!$K8+1,"")</f>
        <v>246</v>
      </c>
      <c r="T8" s="163">
        <f ca="1">IF($C8,MAX(0,TODAY()-'Proyecto Datos (OKR´s)'!$K8),"")</f>
        <v>234</v>
      </c>
      <c r="U8" s="163">
        <f ca="1">IF($C8,MEDIAN(0,(TODAY()-'Proyecto Datos (OKR´s)'!$K8)/MAX(1,$R8-'Proyecto Datos (OKR´s)'!$K8),1),"")</f>
        <v>0.95510204081632655</v>
      </c>
      <c r="V8" s="163">
        <f t="shared" ca="1" si="6"/>
        <v>-0.75510204081632648</v>
      </c>
      <c r="W8" s="163">
        <f t="shared" ca="1" si="7"/>
        <v>0</v>
      </c>
      <c r="X8" s="163">
        <f t="shared" si="8"/>
        <v>0</v>
      </c>
      <c r="Y8" s="163">
        <f t="shared" ca="1" si="9"/>
        <v>1</v>
      </c>
      <c r="Z8" s="163" t="b">
        <f ca="1">IF($C8,AND($I8=0,'Proyecto Datos (OKR´s)'!$K8&lt;=TODAY(),$J8&lt;&gt;"Completado"),"")</f>
        <v>0</v>
      </c>
      <c r="AA8" s="163">
        <f t="shared" ca="1" si="10"/>
        <v>44</v>
      </c>
      <c r="AB8" s="164" t="str">
        <f t="shared" ca="1" si="11"/>
        <v>Media</v>
      </c>
      <c r="AC8" s="164" t="str">
        <f t="shared" ca="1" si="12"/>
        <v>ATRASO</v>
      </c>
      <c r="AD8" s="163">
        <f ca="1">IF($C8,IF($N8=9999,9999,IF($J8="Completado",$N8,MAX($N8,Sprints!$M$15))),"")</f>
        <v>2</v>
      </c>
      <c r="AE8" s="163">
        <f t="shared" ca="1" si="13"/>
        <v>2</v>
      </c>
      <c r="AF8" s="163" t="b">
        <f t="shared" ca="1" si="14"/>
        <v>1</v>
      </c>
      <c r="AG8" s="163">
        <f t="shared" ca="1" si="15"/>
        <v>46186</v>
      </c>
      <c r="AH8" s="164" t="str">
        <f ca="1">IF($AF8,IF(Sprints!$I8&lt;&gt;"",Sprints!$I8,"Comprometida y no completada al cierre del Sprint "&amp;$N8),"")</f>
        <v>Comprometida y no completada al cierre del Sprint 1</v>
      </c>
      <c r="AI8" s="163">
        <f t="shared" ca="1" si="16"/>
        <v>100008</v>
      </c>
      <c r="AJ8" s="163">
        <f t="shared" ca="1" si="17"/>
        <v>43999192</v>
      </c>
      <c r="AK8" s="163">
        <f t="shared" ca="1" si="18"/>
        <v>0.45</v>
      </c>
      <c r="AL8" s="163">
        <f t="shared" ca="1" si="19"/>
        <v>0.75510204081632648</v>
      </c>
      <c r="AM8" s="163">
        <f t="shared" ca="1" si="20"/>
        <v>0.3</v>
      </c>
      <c r="AN8" s="164" t="str">
        <f t="shared" ca="1" si="21"/>
        <v xml:space="preserve">ATRASO </v>
      </c>
      <c r="AO8" s="163">
        <f>IF($C8,IFERROR(INDEX(Sprints!$M$6:$M$13,MATCH($N8,Sprints!$K$6:$K$13,0)),""),"")</f>
        <v>46186</v>
      </c>
      <c r="AP8" s="163">
        <f t="shared" ca="1" si="22"/>
        <v>6</v>
      </c>
    </row>
    <row r="9" spans="1:42" x14ac:dyDescent="0.35">
      <c r="A9" s="163">
        <f>ROW()</f>
        <v>9</v>
      </c>
      <c r="B9" s="163" t="b">
        <f>ISTEXT('Proyecto Datos (OKR´s)'!$K9)</f>
        <v>1</v>
      </c>
      <c r="C9" s="163" t="b">
        <f ca="1">AND(LEN('Proyecto Datos (OKR´s)'!$G9)&gt;0,NOT($B9),OR(ISNUMBER('Proyecto Datos (OKR´s)'!$F9),ISNUMBER('Proyecto Datos (OKR´s)'!$L9)))</f>
        <v>0</v>
      </c>
      <c r="D9" s="164" t="str">
        <f ca="1">IF($C9,IFERROR(LOOKUP(2,1/((ISTEXT('Proyecto Datos (OKR´s)'!$K$7:$K9))*(LEN('Proyecto Datos (OKR´s)'!$G$7:$G9)&gt;0)),'Proyecto Datos (OKR´s)'!$G$7:$G9),""),"")</f>
        <v/>
      </c>
      <c r="E9" s="163" t="str">
        <f ca="1">IF($C9,'Proyecto Datos (OKR´s)'!$E9,"")</f>
        <v/>
      </c>
      <c r="F9" s="164" t="str">
        <f ca="1">IF($C9,'Proyecto Datos (OKR´s)'!$G9,"")</f>
        <v/>
      </c>
      <c r="G9" s="164" t="str">
        <f ca="1">IF($C9,IF('Proyecto Datos (OKR´s)'!$I9="","(Sin asignar)",'Proyecto Datos (OKR´s)'!$I9),"")</f>
        <v/>
      </c>
      <c r="H9" s="163" t="str">
        <f ca="1">IF($C9,IF(ISNUMBER('Proyecto Datos (OKR´s)'!$F9),'Proyecto Datos (OKR´s)'!$F9,'Proyecto Datos (OKR´s)'!$L9),"")</f>
        <v/>
      </c>
      <c r="I9" s="163" t="str">
        <f ca="1">IF($C9,'Proyecto Datos (OKR´s)'!$J9,"")</f>
        <v/>
      </c>
      <c r="J9" s="164" t="str">
        <f ca="1">IF($C9,IF($I9&gt;=1,"Completado",IF($H9&lt;TODAY(),"Vencido",IF(($H9-TODAY())&lt;='Entregas Próximas'!$M$3,"Próximo a vencer","En curso"))),"")</f>
        <v/>
      </c>
      <c r="K9" s="163" t="str">
        <f t="shared" ca="1" si="0"/>
        <v/>
      </c>
      <c r="L9" s="163" t="str">
        <f t="shared" ca="1" si="1"/>
        <v/>
      </c>
      <c r="M9" s="163" t="str">
        <f t="shared" ca="1" si="2"/>
        <v/>
      </c>
      <c r="N9" s="163" t="str">
        <f ca="1">IF($C9,IF('Proyecto Datos (OKR´s)'!$E9="",9999,'Proyecto Datos (OKR´s)'!$E9),"")</f>
        <v/>
      </c>
      <c r="O9" s="163" t="str">
        <f t="shared" ca="1" si="3"/>
        <v/>
      </c>
      <c r="P9" s="163">
        <f t="shared" si="4"/>
        <v>3</v>
      </c>
      <c r="Q9" s="163" t="str">
        <f t="shared" ca="1" si="5"/>
        <v/>
      </c>
      <c r="R9" s="163" t="str">
        <f ca="1">IF($C9,IF(ISNUMBER('Proyecto Datos (OKR´s)'!$L9),'Proyecto Datos (OKR´s)'!$L9,$H9),"")</f>
        <v/>
      </c>
      <c r="S9" s="163" t="str">
        <f ca="1">IF($C9,$R9-'Proyecto Datos (OKR´s)'!$K9+1,"")</f>
        <v/>
      </c>
      <c r="T9" s="163" t="str">
        <f ca="1">IF($C9,MAX(0,TODAY()-'Proyecto Datos (OKR´s)'!$K9),"")</f>
        <v/>
      </c>
      <c r="U9" s="163" t="str">
        <f ca="1">IF($C9,MEDIAN(0,(TODAY()-'Proyecto Datos (OKR´s)'!$K9)/MAX(1,$R9-'Proyecto Datos (OKR´s)'!$K9),1),"")</f>
        <v/>
      </c>
      <c r="V9" s="163" t="str">
        <f t="shared" ca="1" si="6"/>
        <v/>
      </c>
      <c r="W9" s="163" t="str">
        <f t="shared" ca="1" si="7"/>
        <v/>
      </c>
      <c r="X9" s="163" t="str">
        <f t="shared" ca="1" si="8"/>
        <v/>
      </c>
      <c r="Y9" s="163" t="str">
        <f t="shared" ca="1" si="9"/>
        <v/>
      </c>
      <c r="Z9" s="163" t="str">
        <f ca="1">IF($C9,AND($I9=0,'Proyecto Datos (OKR´s)'!$K9&lt;=TODAY(),$J9&lt;&gt;"Completado"),"")</f>
        <v/>
      </c>
      <c r="AA9" s="163" t="str">
        <f t="shared" ca="1" si="10"/>
        <v/>
      </c>
      <c r="AB9" s="164" t="str">
        <f t="shared" ca="1" si="11"/>
        <v/>
      </c>
      <c r="AC9" s="164" t="str">
        <f t="shared" ca="1" si="12"/>
        <v/>
      </c>
      <c r="AD9" s="163" t="str">
        <f ca="1">IF($C9,IF($N9=9999,9999,IF($J9="Completado",$N9,MAX($N9,Sprints!$M$15))),"")</f>
        <v/>
      </c>
      <c r="AE9" s="163" t="str">
        <f t="shared" ca="1" si="13"/>
        <v/>
      </c>
      <c r="AF9" s="163" t="b">
        <f t="shared" ca="1" si="14"/>
        <v>0</v>
      </c>
      <c r="AG9" s="163" t="str">
        <f t="shared" ca="1" si="15"/>
        <v/>
      </c>
      <c r="AH9" s="164" t="str">
        <f ca="1">IF($AF9,IF(Sprints!$I9&lt;&gt;"",Sprints!$I9,"Comprometida y no completada al cierre del Sprint "&amp;$N9),"")</f>
        <v/>
      </c>
      <c r="AI9" s="163" t="str">
        <f t="shared" ca="1" si="16"/>
        <v/>
      </c>
      <c r="AJ9" s="163" t="str">
        <f t="shared" ca="1" si="17"/>
        <v/>
      </c>
      <c r="AK9" s="163" t="str">
        <f t="shared" ca="1" si="18"/>
        <v/>
      </c>
      <c r="AL9" s="163" t="str">
        <f t="shared" ca="1" si="19"/>
        <v/>
      </c>
      <c r="AM9" s="163" t="str">
        <f t="shared" ca="1" si="20"/>
        <v/>
      </c>
      <c r="AN9" s="164" t="str">
        <f t="shared" ca="1" si="21"/>
        <v/>
      </c>
      <c r="AO9" s="163" t="str">
        <f ca="1">IF($C9,IFERROR(INDEX(Sprints!$M$6:$M$13,MATCH($N9,Sprints!$K$6:$K$13,0)),""),"")</f>
        <v/>
      </c>
      <c r="AP9" s="163" t="str">
        <f t="shared" ca="1" si="22"/>
        <v/>
      </c>
    </row>
    <row r="10" spans="1:42" x14ac:dyDescent="0.35">
      <c r="A10" s="163">
        <f>ROW()</f>
        <v>10</v>
      </c>
      <c r="B10" s="163" t="b">
        <f>ISTEXT('Proyecto Datos (OKR´s)'!$K10)</f>
        <v>0</v>
      </c>
      <c r="C10" s="163" t="b">
        <f>AND(LEN('Proyecto Datos (OKR´s)'!$G10)&gt;0,NOT($B10),OR(ISNUMBER('Proyecto Datos (OKR´s)'!$F10),ISNUMBER('Proyecto Datos (OKR´s)'!$L10)))</f>
        <v>1</v>
      </c>
      <c r="D10" s="164" t="str">
        <f>IF($C10,IFERROR(LOOKUP(2,1/((ISTEXT('Proyecto Datos (OKR´s)'!$K$7:$K10))*(LEN('Proyecto Datos (OKR´s)'!$G$7:$G10)&gt;0)),'Proyecto Datos (OKR´s)'!$G$7:$G10),""),"")</f>
        <v>2- Cotizador de Operaciones Complejas</v>
      </c>
      <c r="E10" s="163">
        <f>IF($C10,'Proyecto Datos (OKR´s)'!$E10,"")</f>
        <v>1</v>
      </c>
      <c r="F10" s="164" t="str">
        <f>IF($C10,'Proyecto Datos (OKR´s)'!$G10,"")</f>
        <v>Crear estructura de Cotizador en base a modelo armado (migra a CLAUDE)</v>
      </c>
      <c r="G10" s="164" t="str">
        <f>IF($C10,IF('Proyecto Datos (OKR´s)'!$I10="","(Sin asignar)",'Proyecto Datos (OKR´s)'!$I10),"")</f>
        <v>Santiago Alonso</v>
      </c>
      <c r="H10" s="163">
        <f>IF($C10,IF(ISNUMBER('Proyecto Datos (OKR´s)'!$F10),'Proyecto Datos (OKR´s)'!$F10,'Proyecto Datos (OKR´s)'!$L10),"")</f>
        <v>46192</v>
      </c>
      <c r="I10" s="163">
        <f>IF($C10,'Proyecto Datos (OKR´s)'!$J10,"")</f>
        <v>1</v>
      </c>
      <c r="J10" s="164" t="str">
        <f ca="1">IF($C10,IF($I10&gt;=1,"Completado",IF($H10&lt;TODAY(),"Vencido",IF(($H10-TODAY())&lt;='Entregas Próximas'!$M$3,"Próximo a vencer","En curso"))),"")</f>
        <v>Completado</v>
      </c>
      <c r="K10" s="163">
        <f t="shared" ca="1" si="0"/>
        <v>0</v>
      </c>
      <c r="L10" s="163">
        <f t="shared" ca="1" si="1"/>
        <v>1046192.0000999999</v>
      </c>
      <c r="M10" s="163">
        <f t="shared" ca="1" si="2"/>
        <v>1</v>
      </c>
      <c r="N10" s="163">
        <f>IF($C10,IF('Proyecto Datos (OKR´s)'!$E10="",9999,'Proyecto Datos (OKR´s)'!$E10),"")</f>
        <v>1</v>
      </c>
      <c r="O10" s="163" t="str">
        <f t="shared" si="3"/>
        <v>T010</v>
      </c>
      <c r="P10" s="163">
        <f t="shared" si="4"/>
        <v>4</v>
      </c>
      <c r="Q10" s="163" t="str">
        <f t="shared" ca="1" si="5"/>
        <v/>
      </c>
      <c r="R10" s="163">
        <f>IF($C10,IF(ISNUMBER('Proyecto Datos (OKR´s)'!$L10),'Proyecto Datos (OKR´s)'!$L10,$H10),"")</f>
        <v>46192</v>
      </c>
      <c r="S10" s="163">
        <f>IF($C10,$R10-'Proyecto Datos (OKR´s)'!$K10+1,"")</f>
        <v>235</v>
      </c>
      <c r="T10" s="163">
        <f ca="1">IF($C10,MAX(0,TODAY()-'Proyecto Datos (OKR´s)'!$K10),"")</f>
        <v>234</v>
      </c>
      <c r="U10" s="163">
        <f ca="1">IF($C10,MEDIAN(0,(TODAY()-'Proyecto Datos (OKR´s)'!$K10)/MAX(1,$R10-'Proyecto Datos (OKR´s)'!$K10),1),"")</f>
        <v>1</v>
      </c>
      <c r="V10" s="163">
        <f t="shared" ca="1" si="6"/>
        <v>0</v>
      </c>
      <c r="W10" s="163">
        <f t="shared" ca="1" si="7"/>
        <v>0</v>
      </c>
      <c r="X10" s="163">
        <f t="shared" si="8"/>
        <v>0</v>
      </c>
      <c r="Y10" s="163">
        <f t="shared" ca="1" si="9"/>
        <v>35</v>
      </c>
      <c r="Z10" s="163" t="b">
        <f ca="1">IF($C10,AND($I10=0,'Proyecto Datos (OKR´s)'!$K10&lt;=TODAY(),$J10&lt;&gt;"Completado"),"")</f>
        <v>0</v>
      </c>
      <c r="AA10" s="163">
        <f t="shared" ca="1" si="10"/>
        <v>15</v>
      </c>
      <c r="AB10" s="164" t="str">
        <f t="shared" ca="1" si="11"/>
        <v>—</v>
      </c>
      <c r="AC10" s="164" t="str">
        <f t="shared" ca="1" si="12"/>
        <v>SOBRECARGA</v>
      </c>
      <c r="AD10" s="163">
        <f ca="1">IF($C10,IF($N10=9999,9999,IF($J10="Completado",$N10,MAX($N10,Sprints!$M$15))),"")</f>
        <v>1</v>
      </c>
      <c r="AE10" s="163">
        <f t="shared" ca="1" si="13"/>
        <v>1</v>
      </c>
      <c r="AF10" s="163" t="b">
        <f t="shared" ca="1" si="14"/>
        <v>0</v>
      </c>
      <c r="AG10" s="163" t="str">
        <f t="shared" ca="1" si="15"/>
        <v/>
      </c>
      <c r="AH10" s="164" t="str">
        <f ca="1">IF($AF10,IF(Sprints!$I10&lt;&gt;"",Sprints!$I10,"Comprometida y no completada al cierre del Sprint "&amp;$N10),"")</f>
        <v/>
      </c>
      <c r="AI10" s="163" t="str">
        <f t="shared" ca="1" si="16"/>
        <v/>
      </c>
      <c r="AJ10" s="163">
        <f t="shared" ca="1" si="17"/>
        <v>15000290</v>
      </c>
      <c r="AK10" s="163">
        <f t="shared" ca="1" si="18"/>
        <v>0</v>
      </c>
      <c r="AL10" s="163">
        <f t="shared" ca="1" si="19"/>
        <v>0</v>
      </c>
      <c r="AM10" s="163">
        <f t="shared" ca="1" si="20"/>
        <v>0</v>
      </c>
      <c r="AN10" s="164" t="str">
        <f t="shared" ca="1" si="21"/>
        <v xml:space="preserve">SOBRECARGA </v>
      </c>
      <c r="AO10" s="163">
        <f>IF($C10,IFERROR(INDEX(Sprints!$M$6:$M$13,MATCH($N10,Sprints!$K$6:$K$13,0)),""),"")</f>
        <v>46186</v>
      </c>
      <c r="AP10" s="163">
        <f t="shared" ca="1" si="22"/>
        <v>0</v>
      </c>
    </row>
    <row r="11" spans="1:42" x14ac:dyDescent="0.35">
      <c r="A11" s="163">
        <f>ROW()</f>
        <v>11</v>
      </c>
      <c r="B11" s="163" t="b">
        <f>ISTEXT('Proyecto Datos (OKR´s)'!$K11)</f>
        <v>0</v>
      </c>
      <c r="C11" s="163" t="b">
        <f>AND(LEN('Proyecto Datos (OKR´s)'!$G11)&gt;0,NOT($B11),OR(ISNUMBER('Proyecto Datos (OKR´s)'!$F11),ISNUMBER('Proyecto Datos (OKR´s)'!$L11)))</f>
        <v>1</v>
      </c>
      <c r="D11" s="164" t="str">
        <f>IF($C11,IFERROR(LOOKUP(2,1/((ISTEXT('Proyecto Datos (OKR´s)'!$K$7:$K11))*(LEN('Proyecto Datos (OKR´s)'!$G$7:$G11)&gt;0)),'Proyecto Datos (OKR´s)'!$G$7:$G11),""),"")</f>
        <v>2- Cotizador de Operaciones Complejas</v>
      </c>
      <c r="E11" s="163">
        <f>IF($C11,'Proyecto Datos (OKR´s)'!$E11,"")</f>
        <v>1</v>
      </c>
      <c r="F11" s="164" t="str">
        <f>IF($C11,'Proyecto Datos (OKR´s)'!$G11,"")</f>
        <v>Automatización Archivo Sueldos FATSA + Procedimientos</v>
      </c>
      <c r="G11" s="164" t="str">
        <f>IF($C11,IF('Proyecto Datos (OKR´s)'!$I11="","(Sin asignar)",'Proyecto Datos (OKR´s)'!$I11),"")</f>
        <v>Santiago Alonso</v>
      </c>
      <c r="H11" s="163">
        <f>IF($C11,IF(ISNUMBER('Proyecto Datos (OKR´s)'!$F11),'Proyecto Datos (OKR´s)'!$F11,'Proyecto Datos (OKR´s)'!$L11),"")</f>
        <v>46192</v>
      </c>
      <c r="I11" s="163">
        <f>IF($C11,'Proyecto Datos (OKR´s)'!$J11,"")</f>
        <v>0.75</v>
      </c>
      <c r="J11" s="164" t="str">
        <f ca="1">IF($C11,IF($I11&gt;=1,"Completado",IF($H11&lt;TODAY(),"Vencido",IF(($H11-TODAY())&lt;='Entregas Próximas'!$M$3,"Próximo a vencer","En curso"))),"")</f>
        <v>Próximo a vencer</v>
      </c>
      <c r="K11" s="163">
        <f t="shared" ca="1" si="0"/>
        <v>0</v>
      </c>
      <c r="L11" s="163">
        <f t="shared" ca="1" si="1"/>
        <v>2046192.0001099999</v>
      </c>
      <c r="M11" s="163">
        <f t="shared" ca="1" si="2"/>
        <v>2</v>
      </c>
      <c r="N11" s="163">
        <f>IF($C11,IF('Proyecto Datos (OKR´s)'!$E11="",9999,'Proyecto Datos (OKR´s)'!$E11),"")</f>
        <v>1</v>
      </c>
      <c r="O11" s="163" t="str">
        <f t="shared" si="3"/>
        <v>T011</v>
      </c>
      <c r="P11" s="163">
        <f t="shared" si="4"/>
        <v>5</v>
      </c>
      <c r="Q11" s="163" t="str">
        <f t="shared" ca="1" si="5"/>
        <v/>
      </c>
      <c r="R11" s="163">
        <f>IF($C11,IF(ISNUMBER('Proyecto Datos (OKR´s)'!$L11),'Proyecto Datos (OKR´s)'!$L11,$H11),"")</f>
        <v>46192</v>
      </c>
      <c r="S11" s="163">
        <f>IF($C11,$R11-'Proyecto Datos (OKR´s)'!$K11+1,"")</f>
        <v>235</v>
      </c>
      <c r="T11" s="163">
        <f ca="1">IF($C11,MAX(0,TODAY()-'Proyecto Datos (OKR´s)'!$K11),"")</f>
        <v>234</v>
      </c>
      <c r="U11" s="163">
        <f ca="1">IF($C11,MEDIAN(0,(TODAY()-'Proyecto Datos (OKR´s)'!$K11)/MAX(1,$R11-'Proyecto Datos (OKR´s)'!$K11),1),"")</f>
        <v>1</v>
      </c>
      <c r="V11" s="163">
        <f t="shared" ca="1" si="6"/>
        <v>-0.25</v>
      </c>
      <c r="W11" s="163">
        <f t="shared" ca="1" si="7"/>
        <v>0</v>
      </c>
      <c r="X11" s="163">
        <f t="shared" si="8"/>
        <v>0</v>
      </c>
      <c r="Y11" s="163">
        <f t="shared" ca="1" si="9"/>
        <v>35</v>
      </c>
      <c r="Z11" s="163" t="b">
        <f ca="1">IF($C11,AND($I11=0,'Proyecto Datos (OKR´s)'!$K11&lt;=TODAY(),$J11&lt;&gt;"Completado"),"")</f>
        <v>0</v>
      </c>
      <c r="AA11" s="163">
        <f t="shared" ca="1" si="10"/>
        <v>60</v>
      </c>
      <c r="AB11" s="164" t="str">
        <f t="shared" ca="1" si="11"/>
        <v>Alta</v>
      </c>
      <c r="AC11" s="164" t="str">
        <f t="shared" ca="1" si="12"/>
        <v>ATRASO SOBRECARGA</v>
      </c>
      <c r="AD11" s="163">
        <f ca="1">IF($C11,IF($N11=9999,9999,IF($J11="Completado",$N11,MAX($N11,Sprints!$M$15))),"")</f>
        <v>2</v>
      </c>
      <c r="AE11" s="163">
        <f t="shared" ca="1" si="13"/>
        <v>2</v>
      </c>
      <c r="AF11" s="163" t="b">
        <f t="shared" ca="1" si="14"/>
        <v>1</v>
      </c>
      <c r="AG11" s="163">
        <f t="shared" ca="1" si="15"/>
        <v>46186</v>
      </c>
      <c r="AH11" s="164" t="str">
        <f ca="1">IF($AF11,IF(Sprints!$I11&lt;&gt;"",Sprints!$I11,"Comprometida y no completada al cierre del Sprint "&amp;$N11),"")</f>
        <v>Comprometida y no completada al cierre del Sprint 1</v>
      </c>
      <c r="AI11" s="163">
        <f t="shared" ca="1" si="16"/>
        <v>100011</v>
      </c>
      <c r="AJ11" s="163">
        <f t="shared" ca="1" si="17"/>
        <v>60000289</v>
      </c>
      <c r="AK11" s="163">
        <f t="shared" ca="1" si="18"/>
        <v>0.9</v>
      </c>
      <c r="AL11" s="163">
        <f t="shared" ca="1" si="19"/>
        <v>0.25</v>
      </c>
      <c r="AM11" s="163">
        <f t="shared" ca="1" si="20"/>
        <v>0.3</v>
      </c>
      <c r="AN11" s="164" t="str">
        <f t="shared" ca="1" si="21"/>
        <v xml:space="preserve">ATRASO SOBRECARGA </v>
      </c>
      <c r="AO11" s="163">
        <f>IF($C11,IFERROR(INDEX(Sprints!$M$6:$M$13,MATCH($N11,Sprints!$K$6:$K$13,0)),""),"")</f>
        <v>46186</v>
      </c>
      <c r="AP11" s="163">
        <f t="shared" ca="1" si="22"/>
        <v>6</v>
      </c>
    </row>
    <row r="12" spans="1:42" x14ac:dyDescent="0.35">
      <c r="A12" s="163">
        <f>ROW()</f>
        <v>12</v>
      </c>
      <c r="B12" s="163" t="b">
        <f>ISTEXT('Proyecto Datos (OKR´s)'!$K12)</f>
        <v>0</v>
      </c>
      <c r="C12" s="163" t="b">
        <f>AND(LEN('Proyecto Datos (OKR´s)'!$G12)&gt;0,NOT($B12),OR(ISNUMBER('Proyecto Datos (OKR´s)'!$F12),ISNUMBER('Proyecto Datos (OKR´s)'!$L12)))</f>
        <v>1</v>
      </c>
      <c r="D12" s="164" t="str">
        <f>IF($C12,IFERROR(LOOKUP(2,1/((ISTEXT('Proyecto Datos (OKR´s)'!$K$7:$K12))*(LEN('Proyecto Datos (OKR´s)'!$G$7:$G12)&gt;0)),'Proyecto Datos (OKR´s)'!$G$7:$G12),""),"")</f>
        <v>2- Cotizador de Operaciones Complejas</v>
      </c>
      <c r="E12" s="163">
        <f>IF($C12,'Proyecto Datos (OKR´s)'!$E12,"")</f>
        <v>1</v>
      </c>
      <c r="F12" s="164" t="str">
        <f>IF($C12,'Proyecto Datos (OKR´s)'!$G12,"")</f>
        <v>Automatización Archivo Sueldos Petro + Procedimientos</v>
      </c>
      <c r="G12" s="164" t="str">
        <f>IF($C12,IF('Proyecto Datos (OKR´s)'!$I12="","(Sin asignar)",'Proyecto Datos (OKR´s)'!$I12),"")</f>
        <v>Santiago Alonso</v>
      </c>
      <c r="H12" s="163">
        <f>IF($C12,IF(ISNUMBER('Proyecto Datos (OKR´s)'!$F12),'Proyecto Datos (OKR´s)'!$F12,'Proyecto Datos (OKR´s)'!$L12),"")</f>
        <v>46192</v>
      </c>
      <c r="I12" s="163">
        <f>IF($C12,'Proyecto Datos (OKR´s)'!$J12,"")</f>
        <v>0.75</v>
      </c>
      <c r="J12" s="164" t="str">
        <f ca="1">IF($C12,IF($I12&gt;=1,"Completado",IF($H12&lt;TODAY(),"Vencido",IF(($H12-TODAY())&lt;='Entregas Próximas'!$M$3,"Próximo a vencer","En curso"))),"")</f>
        <v>Próximo a vencer</v>
      </c>
      <c r="K12" s="163">
        <f t="shared" ca="1" si="0"/>
        <v>0</v>
      </c>
      <c r="L12" s="163">
        <f t="shared" ca="1" si="1"/>
        <v>2046192.00012</v>
      </c>
      <c r="M12" s="163">
        <f t="shared" ca="1" si="2"/>
        <v>2</v>
      </c>
      <c r="N12" s="163">
        <f>IF($C12,IF('Proyecto Datos (OKR´s)'!$E12="",9999,'Proyecto Datos (OKR´s)'!$E12),"")</f>
        <v>1</v>
      </c>
      <c r="O12" s="163" t="str">
        <f t="shared" si="3"/>
        <v>T012</v>
      </c>
      <c r="P12" s="163">
        <f t="shared" si="4"/>
        <v>6</v>
      </c>
      <c r="Q12" s="163" t="str">
        <f t="shared" ca="1" si="5"/>
        <v/>
      </c>
      <c r="R12" s="163">
        <f>IF($C12,IF(ISNUMBER('Proyecto Datos (OKR´s)'!$L12),'Proyecto Datos (OKR´s)'!$L12,$H12),"")</f>
        <v>46192</v>
      </c>
      <c r="S12" s="163">
        <f>IF($C12,$R12-'Proyecto Datos (OKR´s)'!$K12+1,"")</f>
        <v>215</v>
      </c>
      <c r="T12" s="163">
        <f ca="1">IF($C12,MAX(0,TODAY()-'Proyecto Datos (OKR´s)'!$K12),"")</f>
        <v>214</v>
      </c>
      <c r="U12" s="163">
        <f ca="1">IF($C12,MEDIAN(0,(TODAY()-'Proyecto Datos (OKR´s)'!$K12)/MAX(1,$R12-'Proyecto Datos (OKR´s)'!$K12),1),"")</f>
        <v>1</v>
      </c>
      <c r="V12" s="163">
        <f t="shared" ca="1" si="6"/>
        <v>-0.25</v>
      </c>
      <c r="W12" s="163">
        <f t="shared" ca="1" si="7"/>
        <v>0</v>
      </c>
      <c r="X12" s="163">
        <f t="shared" si="8"/>
        <v>0</v>
      </c>
      <c r="Y12" s="163">
        <f t="shared" ca="1" si="9"/>
        <v>35</v>
      </c>
      <c r="Z12" s="163" t="b">
        <f ca="1">IF($C12,AND($I12=0,'Proyecto Datos (OKR´s)'!$K12&lt;=TODAY(),$J12&lt;&gt;"Completado"),"")</f>
        <v>0</v>
      </c>
      <c r="AA12" s="163">
        <f t="shared" ca="1" si="10"/>
        <v>60</v>
      </c>
      <c r="AB12" s="164" t="str">
        <f t="shared" ca="1" si="11"/>
        <v>Alta</v>
      </c>
      <c r="AC12" s="164" t="str">
        <f t="shared" ca="1" si="12"/>
        <v>ATRASO SOBRECARGA</v>
      </c>
      <c r="AD12" s="163">
        <f ca="1">IF($C12,IF($N12=9999,9999,IF($J12="Completado",$N12,MAX($N12,Sprints!$M$15))),"")</f>
        <v>2</v>
      </c>
      <c r="AE12" s="163">
        <f t="shared" ca="1" si="13"/>
        <v>2</v>
      </c>
      <c r="AF12" s="163" t="b">
        <f t="shared" ca="1" si="14"/>
        <v>1</v>
      </c>
      <c r="AG12" s="163">
        <f t="shared" ca="1" si="15"/>
        <v>46186</v>
      </c>
      <c r="AH12" s="164" t="str">
        <f ca="1">IF($AF12,IF(Sprints!$I12&lt;&gt;"",Sprints!$I12,"Comprometida y no completada al cierre del Sprint "&amp;$N12),"")</f>
        <v>Comprometida y no completada al cierre del Sprint 1</v>
      </c>
      <c r="AI12" s="163">
        <f t="shared" ca="1" si="16"/>
        <v>100012</v>
      </c>
      <c r="AJ12" s="163">
        <f t="shared" ca="1" si="17"/>
        <v>60000288</v>
      </c>
      <c r="AK12" s="163">
        <f t="shared" ca="1" si="18"/>
        <v>0.9</v>
      </c>
      <c r="AL12" s="163">
        <f t="shared" ca="1" si="19"/>
        <v>0.25</v>
      </c>
      <c r="AM12" s="163">
        <f t="shared" ca="1" si="20"/>
        <v>0.3</v>
      </c>
      <c r="AN12" s="164" t="str">
        <f t="shared" ca="1" si="21"/>
        <v xml:space="preserve">ATRASO SOBRECARGA </v>
      </c>
      <c r="AO12" s="163">
        <f>IF($C12,IFERROR(INDEX(Sprints!$M$6:$M$13,MATCH($N12,Sprints!$K$6:$K$13,0)),""),"")</f>
        <v>46186</v>
      </c>
      <c r="AP12" s="163">
        <f t="shared" ca="1" si="22"/>
        <v>6</v>
      </c>
    </row>
    <row r="13" spans="1:42" x14ac:dyDescent="0.35">
      <c r="A13" s="163">
        <f>ROW()</f>
        <v>13</v>
      </c>
      <c r="B13" s="163" t="b">
        <f>ISTEXT('Proyecto Datos (OKR´s)'!$K13)</f>
        <v>0</v>
      </c>
      <c r="C13" s="163" t="b">
        <f>AND(LEN('Proyecto Datos (OKR´s)'!$G13)&gt;0,NOT($B13),OR(ISNUMBER('Proyecto Datos (OKR´s)'!$F13),ISNUMBER('Proyecto Datos (OKR´s)'!$L13)))</f>
        <v>1</v>
      </c>
      <c r="D13" s="164" t="str">
        <f>IF($C13,IFERROR(LOOKUP(2,1/((ISTEXT('Proyecto Datos (OKR´s)'!$K$7:$K13))*(LEN('Proyecto Datos (OKR´s)'!$G$7:$G13)&gt;0)),'Proyecto Datos (OKR´s)'!$G$7:$G13),""),"")</f>
        <v>2- Cotizador de Operaciones Complejas</v>
      </c>
      <c r="E13" s="163">
        <f>IF($C13,'Proyecto Datos (OKR´s)'!$E13,"")</f>
        <v>1</v>
      </c>
      <c r="F13" s="164" t="str">
        <f>IF($C13,'Proyecto Datos (OKR´s)'!$G13,"")</f>
        <v>Relevamiento Últimos Sueldos de referencia Monotributistas</v>
      </c>
      <c r="G13" s="164" t="str">
        <f>IF($C13,IF('Proyecto Datos (OKR´s)'!$I13="","(Sin asignar)",'Proyecto Datos (OKR´s)'!$I13),"")</f>
        <v>Santiago Alonso</v>
      </c>
      <c r="H13" s="163">
        <f>IF($C13,IF(ISNUMBER('Proyecto Datos (OKR´s)'!$F13),'Proyecto Datos (OKR´s)'!$F13,'Proyecto Datos (OKR´s)'!$L13),"")</f>
        <v>46192</v>
      </c>
      <c r="I13" s="163">
        <f>IF($C13,'Proyecto Datos (OKR´s)'!$J13,"")</f>
        <v>0.5</v>
      </c>
      <c r="J13" s="164" t="str">
        <f ca="1">IF($C13,IF($I13&gt;=1,"Completado",IF($H13&lt;TODAY(),"Vencido",IF(($H13-TODAY())&lt;='Entregas Próximas'!$M$3,"Próximo a vencer","En curso"))),"")</f>
        <v>Próximo a vencer</v>
      </c>
      <c r="K13" s="163">
        <f t="shared" ca="1" si="0"/>
        <v>0</v>
      </c>
      <c r="L13" s="163">
        <f t="shared" ca="1" si="1"/>
        <v>2046192.0001300001</v>
      </c>
      <c r="M13" s="163">
        <f t="shared" ca="1" si="2"/>
        <v>2</v>
      </c>
      <c r="N13" s="163">
        <f>IF($C13,IF('Proyecto Datos (OKR´s)'!$E13="",9999,'Proyecto Datos (OKR´s)'!$E13),"")</f>
        <v>1</v>
      </c>
      <c r="O13" s="163" t="str">
        <f t="shared" si="3"/>
        <v>T013</v>
      </c>
      <c r="P13" s="163">
        <f t="shared" si="4"/>
        <v>7</v>
      </c>
      <c r="Q13" s="163" t="str">
        <f t="shared" ca="1" si="5"/>
        <v/>
      </c>
      <c r="R13" s="163">
        <f>IF($C13,IF(ISNUMBER('Proyecto Datos (OKR´s)'!$L13),'Proyecto Datos (OKR´s)'!$L13,$H13),"")</f>
        <v>46192</v>
      </c>
      <c r="S13" s="163">
        <f>IF($C13,$R13-'Proyecto Datos (OKR´s)'!$K13+1,"")</f>
        <v>-152</v>
      </c>
      <c r="T13" s="163">
        <f ca="1">IF($C13,MAX(0,TODAY()-'Proyecto Datos (OKR´s)'!$K13),"")</f>
        <v>0</v>
      </c>
      <c r="U13" s="163">
        <f ca="1">IF($C13,MEDIAN(0,(TODAY()-'Proyecto Datos (OKR´s)'!$K13)/MAX(1,$R13-'Proyecto Datos (OKR´s)'!$K13),1),"")</f>
        <v>0</v>
      </c>
      <c r="V13" s="163">
        <f t="shared" ca="1" si="6"/>
        <v>0.5</v>
      </c>
      <c r="W13" s="163">
        <f t="shared" ca="1" si="7"/>
        <v>0</v>
      </c>
      <c r="X13" s="163">
        <f t="shared" si="8"/>
        <v>0</v>
      </c>
      <c r="Y13" s="163">
        <f t="shared" ca="1" si="9"/>
        <v>35</v>
      </c>
      <c r="Z13" s="163" t="b">
        <f ca="1">IF($C13,AND($I13=0,'Proyecto Datos (OKR´s)'!$K13&lt;=TODAY(),$J13&lt;&gt;"Completado"),"")</f>
        <v>0</v>
      </c>
      <c r="AA13" s="163">
        <f t="shared" ca="1" si="10"/>
        <v>53</v>
      </c>
      <c r="AB13" s="164" t="str">
        <f t="shared" ca="1" si="11"/>
        <v>Alta</v>
      </c>
      <c r="AC13" s="164" t="str">
        <f t="shared" ca="1" si="12"/>
        <v>SOBRECARGA</v>
      </c>
      <c r="AD13" s="163">
        <f ca="1">IF($C13,IF($N13=9999,9999,IF($J13="Completado",$N13,MAX($N13,Sprints!$M$15))),"")</f>
        <v>2</v>
      </c>
      <c r="AE13" s="163">
        <f t="shared" ca="1" si="13"/>
        <v>2</v>
      </c>
      <c r="AF13" s="163" t="b">
        <f t="shared" ca="1" si="14"/>
        <v>1</v>
      </c>
      <c r="AG13" s="163">
        <f t="shared" ca="1" si="15"/>
        <v>46186</v>
      </c>
      <c r="AH13" s="164" t="str">
        <f ca="1">IF($AF13,IF(Sprints!$I13&lt;&gt;"",Sprints!$I13,"Comprometida y no completada al cierre del Sprint "&amp;$N13),"")</f>
        <v>Comprometida y no completada al cierre del Sprint 1</v>
      </c>
      <c r="AI13" s="163">
        <f t="shared" ca="1" si="16"/>
        <v>100013</v>
      </c>
      <c r="AJ13" s="163">
        <f t="shared" ca="1" si="17"/>
        <v>53000287</v>
      </c>
      <c r="AK13" s="163">
        <f t="shared" ca="1" si="18"/>
        <v>0.9</v>
      </c>
      <c r="AL13" s="163">
        <f t="shared" ca="1" si="19"/>
        <v>0</v>
      </c>
      <c r="AM13" s="163">
        <f t="shared" ca="1" si="20"/>
        <v>0.3</v>
      </c>
      <c r="AN13" s="164" t="str">
        <f t="shared" ca="1" si="21"/>
        <v xml:space="preserve">SOBRECARGA </v>
      </c>
      <c r="AO13" s="163">
        <f>IF($C13,IFERROR(INDEX(Sprints!$M$6:$M$13,MATCH($N13,Sprints!$K$6:$K$13,0)),""),"")</f>
        <v>46186</v>
      </c>
      <c r="AP13" s="163">
        <f t="shared" ca="1" si="22"/>
        <v>6</v>
      </c>
    </row>
    <row r="14" spans="1:42" x14ac:dyDescent="0.35">
      <c r="A14" s="163">
        <f>ROW()</f>
        <v>14</v>
      </c>
      <c r="B14" s="163" t="b">
        <f>ISTEXT('Proyecto Datos (OKR´s)'!$K14)</f>
        <v>0</v>
      </c>
      <c r="C14" s="163" t="b">
        <f>AND(LEN('Proyecto Datos (OKR´s)'!$G14)&gt;0,NOT($B14),OR(ISNUMBER('Proyecto Datos (OKR´s)'!$F14),ISNUMBER('Proyecto Datos (OKR´s)'!$L14)))</f>
        <v>1</v>
      </c>
      <c r="D14" s="164" t="str">
        <f>IF($C14,IFERROR(LOOKUP(2,1/((ISTEXT('Proyecto Datos (OKR´s)'!$K$7:$K14))*(LEN('Proyecto Datos (OKR´s)'!$G$7:$G14)&gt;0)),'Proyecto Datos (OKR´s)'!$G$7:$G14),""),"")</f>
        <v>2- Cotizador de Operaciones Complejas</v>
      </c>
      <c r="E14" s="163">
        <f>IF($C14,'Proyecto Datos (OKR´s)'!$E14,"")</f>
        <v>0</v>
      </c>
      <c r="F14" s="164" t="str">
        <f>IF($C14,'Proyecto Datos (OKR´s)'!$G14,"")</f>
        <v>Estandarización cotizaciones COMPRAS (costos x provincia) - aguardo información</v>
      </c>
      <c r="G14" s="164" t="str">
        <f>IF($C14,IF('Proyecto Datos (OKR´s)'!$I14="","(Sin asignar)",'Proyecto Datos (OKR´s)'!$I14),"")</f>
        <v>Santiago Alonso</v>
      </c>
      <c r="H14" s="163">
        <f>IF($C14,IF(ISNUMBER('Proyecto Datos (OKR´s)'!$F14),'Proyecto Datos (OKR´s)'!$F14,'Proyecto Datos (OKR´s)'!$L14),"")</f>
        <v>46199</v>
      </c>
      <c r="I14" s="163">
        <f>IF($C14,'Proyecto Datos (OKR´s)'!$J14,"")</f>
        <v>0.2</v>
      </c>
      <c r="J14" s="164" t="str">
        <f ca="1">IF($C14,IF($I14&gt;=1,"Completado",IF($H14&lt;TODAY(),"Vencido",IF(($H14-TODAY())&lt;='Entregas Próximas'!$M$3,"Próximo a vencer","En curso"))),"")</f>
        <v>Próximo a vencer</v>
      </c>
      <c r="K14" s="163">
        <f t="shared" ca="1" si="0"/>
        <v>7</v>
      </c>
      <c r="L14" s="163">
        <f t="shared" si="1"/>
        <v>9999046199.0001392</v>
      </c>
      <c r="M14" s="163" t="str">
        <f t="shared" si="2"/>
        <v>(Sin sprint)</v>
      </c>
      <c r="N14" s="163">
        <f>IF($C14,IF('Proyecto Datos (OKR´s)'!$E14="",9999,'Proyecto Datos (OKR´s)'!$E14),"")</f>
        <v>9999</v>
      </c>
      <c r="O14" s="163" t="str">
        <f t="shared" si="3"/>
        <v>T014</v>
      </c>
      <c r="P14" s="163">
        <f t="shared" si="4"/>
        <v>8</v>
      </c>
      <c r="Q14" s="163" t="str">
        <f t="shared" ca="1" si="5"/>
        <v/>
      </c>
      <c r="R14" s="163">
        <f>IF($C14,IF(ISNUMBER('Proyecto Datos (OKR´s)'!$L14),'Proyecto Datos (OKR´s)'!$L14,$H14),"")</f>
        <v>46199</v>
      </c>
      <c r="S14" s="163">
        <f>IF($C14,$R14-'Proyecto Datos (OKR´s)'!$K14+1,"")</f>
        <v>241</v>
      </c>
      <c r="T14" s="163">
        <f ca="1">IF($C14,MAX(0,TODAY()-'Proyecto Datos (OKR´s)'!$K14),"")</f>
        <v>233</v>
      </c>
      <c r="U14" s="163">
        <f ca="1">IF($C14,MEDIAN(0,(TODAY()-'Proyecto Datos (OKR´s)'!$K14)/MAX(1,$R14-'Proyecto Datos (OKR´s)'!$K14),1),"")</f>
        <v>0.97083333333333333</v>
      </c>
      <c r="V14" s="163">
        <f t="shared" ca="1" si="6"/>
        <v>-0.77083333333333326</v>
      </c>
      <c r="W14" s="163">
        <f t="shared" ca="1" si="7"/>
        <v>0</v>
      </c>
      <c r="X14" s="163">
        <f t="shared" si="8"/>
        <v>0</v>
      </c>
      <c r="Y14" s="163">
        <f t="shared" ca="1" si="9"/>
        <v>35</v>
      </c>
      <c r="Z14" s="163" t="b">
        <f ca="1">IF($C14,AND($I14=0,'Proyecto Datos (OKR´s)'!$K14&lt;=TODAY(),$J14&lt;&gt;"Completado"),"")</f>
        <v>0</v>
      </c>
      <c r="AA14" s="163">
        <f t="shared" ca="1" si="10"/>
        <v>77</v>
      </c>
      <c r="AB14" s="164" t="str">
        <f t="shared" ca="1" si="11"/>
        <v>Crítica</v>
      </c>
      <c r="AC14" s="164" t="str">
        <f t="shared" ca="1" si="12"/>
        <v>ATRASO SOBRECARGA</v>
      </c>
      <c r="AD14" s="163">
        <f>IF($C14,IF($N14=9999,9999,IF($J14="Completado",$N14,MAX($N14,Sprints!$M$15))),"")</f>
        <v>9999</v>
      </c>
      <c r="AE14" s="163" t="str">
        <f t="shared" si="13"/>
        <v>(Sin sprint)</v>
      </c>
      <c r="AF14" s="163" t="b">
        <f t="shared" si="14"/>
        <v>0</v>
      </c>
      <c r="AG14" s="163" t="str">
        <f t="shared" si="15"/>
        <v/>
      </c>
      <c r="AH14" s="164" t="str">
        <f>IF($AF14,IF(Sprints!$I14&lt;&gt;"",Sprints!$I14,"Comprometida y no completada al cierre del Sprint "&amp;$N14),"")</f>
        <v/>
      </c>
      <c r="AI14" s="163" t="str">
        <f t="shared" si="16"/>
        <v/>
      </c>
      <c r="AJ14" s="163">
        <f t="shared" ca="1" si="17"/>
        <v>76999586</v>
      </c>
      <c r="AK14" s="163">
        <f t="shared" ca="1" si="18"/>
        <v>0.7</v>
      </c>
      <c r="AL14" s="163">
        <f t="shared" ca="1" si="19"/>
        <v>0.77083333333333326</v>
      </c>
      <c r="AM14" s="163">
        <f t="shared" ca="1" si="20"/>
        <v>0.7</v>
      </c>
      <c r="AN14" s="164" t="str">
        <f t="shared" ca="1" si="21"/>
        <v xml:space="preserve">ATRASO SOBRECARGA </v>
      </c>
      <c r="AO14" s="163" t="str">
        <f>IF($C14,IFERROR(INDEX(Sprints!$M$6:$M$13,MATCH($N14,Sprints!$K$6:$K$13,0)),""),"")</f>
        <v/>
      </c>
      <c r="AP14" s="163">
        <f t="shared" ca="1" si="22"/>
        <v>0</v>
      </c>
    </row>
    <row r="15" spans="1:42" x14ac:dyDescent="0.35">
      <c r="A15" s="163">
        <f>ROW()</f>
        <v>15</v>
      </c>
      <c r="B15" s="163" t="b">
        <f>ISTEXT('Proyecto Datos (OKR´s)'!$K15)</f>
        <v>0</v>
      </c>
      <c r="C15" s="163" t="b">
        <f>AND(LEN('Proyecto Datos (OKR´s)'!$G15)&gt;0,NOT($B15),OR(ISNUMBER('Proyecto Datos (OKR´s)'!$F15),ISNUMBER('Proyecto Datos (OKR´s)'!$L15)))</f>
        <v>1</v>
      </c>
      <c r="D15" s="164" t="str">
        <f>IF($C15,IFERROR(LOOKUP(2,1/((ISTEXT('Proyecto Datos (OKR´s)'!$K$7:$K15))*(LEN('Proyecto Datos (OKR´s)'!$G$7:$G15)&gt;0)),'Proyecto Datos (OKR´s)'!$G$7:$G15),""),"")</f>
        <v>2- Cotizador de Operaciones Complejas</v>
      </c>
      <c r="E15" s="163">
        <f>IF($C15,'Proyecto Datos (OKR´s)'!$E15,"")</f>
        <v>1</v>
      </c>
      <c r="F15" s="164" t="str">
        <f>IF($C15,'Proyecto Datos (OKR´s)'!$G15,"")</f>
        <v>Asociar Archivo Móviles y Tráilers (Nico Sifuentes) + procedimiento</v>
      </c>
      <c r="G15" s="164" t="str">
        <f>IF($C15,IF('Proyecto Datos (OKR´s)'!$I15="","(Sin asignar)",'Proyecto Datos (OKR´s)'!$I15),"")</f>
        <v>Santiago Alonso</v>
      </c>
      <c r="H15" s="163">
        <f>IF($C15,IF(ISNUMBER('Proyecto Datos (OKR´s)'!$F15),'Proyecto Datos (OKR´s)'!$F15,'Proyecto Datos (OKR´s)'!$L15),"")</f>
        <v>46192</v>
      </c>
      <c r="I15" s="163">
        <f>IF($C15,'Proyecto Datos (OKR´s)'!$J15,"")</f>
        <v>0.95</v>
      </c>
      <c r="J15" s="164" t="str">
        <f ca="1">IF($C15,IF($I15&gt;=1,"Completado",IF($H15&lt;TODAY(),"Vencido",IF(($H15-TODAY())&lt;='Entregas Próximas'!$M$3,"Próximo a vencer","En curso"))),"")</f>
        <v>Próximo a vencer</v>
      </c>
      <c r="K15" s="163">
        <f t="shared" ca="1" si="0"/>
        <v>0</v>
      </c>
      <c r="L15" s="163">
        <f t="shared" ca="1" si="1"/>
        <v>2046192.00015</v>
      </c>
      <c r="M15" s="163">
        <f t="shared" ca="1" si="2"/>
        <v>2</v>
      </c>
      <c r="N15" s="163">
        <f>IF($C15,IF('Proyecto Datos (OKR´s)'!$E15="",9999,'Proyecto Datos (OKR´s)'!$E15),"")</f>
        <v>1</v>
      </c>
      <c r="O15" s="163" t="str">
        <f t="shared" si="3"/>
        <v>T015</v>
      </c>
      <c r="P15" s="163">
        <f t="shared" si="4"/>
        <v>9</v>
      </c>
      <c r="Q15" s="163" t="str">
        <f t="shared" ca="1" si="5"/>
        <v/>
      </c>
      <c r="R15" s="163">
        <f>IF($C15,IF(ISNUMBER('Proyecto Datos (OKR´s)'!$L15),'Proyecto Datos (OKR´s)'!$L15,$H15),"")</f>
        <v>46192</v>
      </c>
      <c r="S15" s="163">
        <f>IF($C15,$R15-'Proyecto Datos (OKR´s)'!$K15+1,"")</f>
        <v>201</v>
      </c>
      <c r="T15" s="163">
        <f ca="1">IF($C15,MAX(0,TODAY()-'Proyecto Datos (OKR´s)'!$K15),"")</f>
        <v>200</v>
      </c>
      <c r="U15" s="163">
        <f ca="1">IF($C15,MEDIAN(0,(TODAY()-'Proyecto Datos (OKR´s)'!$K15)/MAX(1,$R15-'Proyecto Datos (OKR´s)'!$K15),1),"")</f>
        <v>1</v>
      </c>
      <c r="V15" s="163">
        <f t="shared" ca="1" si="6"/>
        <v>-5.0000000000000044E-2</v>
      </c>
      <c r="W15" s="163">
        <f t="shared" ca="1" si="7"/>
        <v>0</v>
      </c>
      <c r="X15" s="163">
        <f t="shared" si="8"/>
        <v>0</v>
      </c>
      <c r="Y15" s="163">
        <f t="shared" ca="1" si="9"/>
        <v>35</v>
      </c>
      <c r="Z15" s="163" t="b">
        <f ca="1">IF($C15,AND($I15=0,'Proyecto Datos (OKR´s)'!$K15&lt;=TODAY(),$J15&lt;&gt;"Completado"),"")</f>
        <v>0</v>
      </c>
      <c r="AA15" s="163">
        <f t="shared" ca="1" si="10"/>
        <v>54</v>
      </c>
      <c r="AB15" s="164" t="str">
        <f t="shared" ca="1" si="11"/>
        <v>Alta</v>
      </c>
      <c r="AC15" s="164" t="str">
        <f t="shared" ca="1" si="12"/>
        <v>SOBRECARGA</v>
      </c>
      <c r="AD15" s="163">
        <f ca="1">IF($C15,IF($N15=9999,9999,IF($J15="Completado",$N15,MAX($N15,Sprints!$M$15))),"")</f>
        <v>2</v>
      </c>
      <c r="AE15" s="163">
        <f t="shared" ca="1" si="13"/>
        <v>2</v>
      </c>
      <c r="AF15" s="163" t="b">
        <f t="shared" ca="1" si="14"/>
        <v>1</v>
      </c>
      <c r="AG15" s="163">
        <f t="shared" ca="1" si="15"/>
        <v>46186</v>
      </c>
      <c r="AH15" s="164" t="str">
        <f ca="1">IF($AF15,IF(Sprints!$I15&lt;&gt;"",Sprints!$I15,"Comprometida y no completada al cierre del Sprint "&amp;$N15),"")</f>
        <v>Comprometida y no completada al cierre del Sprint 1</v>
      </c>
      <c r="AI15" s="163">
        <f t="shared" ca="1" si="16"/>
        <v>100015</v>
      </c>
      <c r="AJ15" s="163">
        <f t="shared" ca="1" si="17"/>
        <v>54000285</v>
      </c>
      <c r="AK15" s="163">
        <f t="shared" ca="1" si="18"/>
        <v>0.9</v>
      </c>
      <c r="AL15" s="163">
        <f t="shared" ca="1" si="19"/>
        <v>5.0000000000000044E-2</v>
      </c>
      <c r="AM15" s="163">
        <f t="shared" ca="1" si="20"/>
        <v>0.3</v>
      </c>
      <c r="AN15" s="164" t="str">
        <f t="shared" ca="1" si="21"/>
        <v xml:space="preserve">SOBRECARGA </v>
      </c>
      <c r="AO15" s="163">
        <f>IF($C15,IFERROR(INDEX(Sprints!$M$6:$M$13,MATCH($N15,Sprints!$K$6:$K$13,0)),""),"")</f>
        <v>46186</v>
      </c>
      <c r="AP15" s="163">
        <f t="shared" ca="1" si="22"/>
        <v>6</v>
      </c>
    </row>
    <row r="16" spans="1:42" x14ac:dyDescent="0.35">
      <c r="A16" s="163">
        <f>ROW()</f>
        <v>16</v>
      </c>
      <c r="B16" s="163" t="b">
        <f>ISTEXT('Proyecto Datos (OKR´s)'!$K16)</f>
        <v>0</v>
      </c>
      <c r="C16" s="163" t="b">
        <f>AND(LEN('Proyecto Datos (OKR´s)'!$G16)&gt;0,NOT($B16),OR(ISNUMBER('Proyecto Datos (OKR´s)'!$F16),ISNUMBER('Proyecto Datos (OKR´s)'!$L16)))</f>
        <v>1</v>
      </c>
      <c r="D16" s="164" t="str">
        <f>IF($C16,IFERROR(LOOKUP(2,1/((ISTEXT('Proyecto Datos (OKR´s)'!$K$7:$K16))*(LEN('Proyecto Datos (OKR´s)'!$G$7:$G16)&gt;0)),'Proyecto Datos (OKR´s)'!$G$7:$G16),""),"")</f>
        <v>2- Cotizador de Operaciones Complejas</v>
      </c>
      <c r="E16" s="163">
        <f>IF($C16,'Proyecto Datos (OKR´s)'!$E16,"")</f>
        <v>1</v>
      </c>
      <c r="F16" s="164" t="str">
        <f>IF($C16,'Proyecto Datos (OKR´s)'!$G16,"")</f>
        <v>Asociar Archivo Masters de Medicación (Seba Oliver) + Capacitaciones + procedimiento</v>
      </c>
      <c r="G16" s="164" t="str">
        <f>IF($C16,IF('Proyecto Datos (OKR´s)'!$I16="","(Sin asignar)",'Proyecto Datos (OKR´s)'!$I16),"")</f>
        <v>Santiago Alonso</v>
      </c>
      <c r="H16" s="163">
        <f>IF($C16,IF(ISNUMBER('Proyecto Datos (OKR´s)'!$F16),'Proyecto Datos (OKR´s)'!$F16,'Proyecto Datos (OKR´s)'!$L16),"")</f>
        <v>46192</v>
      </c>
      <c r="I16" s="163">
        <f>IF($C16,'Proyecto Datos (OKR´s)'!$J16,"")</f>
        <v>0.65</v>
      </c>
      <c r="J16" s="164" t="str">
        <f ca="1">IF($C16,IF($I16&gt;=1,"Completado",IF($H16&lt;TODAY(),"Vencido",IF(($H16-TODAY())&lt;='Entregas Próximas'!$M$3,"Próximo a vencer","En curso"))),"")</f>
        <v>Próximo a vencer</v>
      </c>
      <c r="K16" s="163">
        <f t="shared" ca="1" si="0"/>
        <v>0</v>
      </c>
      <c r="L16" s="163">
        <f t="shared" ca="1" si="1"/>
        <v>2046192.0001600001</v>
      </c>
      <c r="M16" s="163">
        <f t="shared" ca="1" si="2"/>
        <v>2</v>
      </c>
      <c r="N16" s="163">
        <f>IF($C16,IF('Proyecto Datos (OKR´s)'!$E16="",9999,'Proyecto Datos (OKR´s)'!$E16),"")</f>
        <v>1</v>
      </c>
      <c r="O16" s="163" t="str">
        <f t="shared" si="3"/>
        <v>T016</v>
      </c>
      <c r="P16" s="163">
        <f t="shared" si="4"/>
        <v>10</v>
      </c>
      <c r="Q16" s="163" t="str">
        <f t="shared" ca="1" si="5"/>
        <v/>
      </c>
      <c r="R16" s="163">
        <f>IF($C16,IF(ISNUMBER('Proyecto Datos (OKR´s)'!$L16),'Proyecto Datos (OKR´s)'!$L16,$H16),"")</f>
        <v>46192</v>
      </c>
      <c r="S16" s="163">
        <f>IF($C16,$R16-'Proyecto Datos (OKR´s)'!$K16+1,"")</f>
        <v>201</v>
      </c>
      <c r="T16" s="163">
        <f ca="1">IF($C16,MAX(0,TODAY()-'Proyecto Datos (OKR´s)'!$K16),"")</f>
        <v>200</v>
      </c>
      <c r="U16" s="163">
        <f ca="1">IF($C16,MEDIAN(0,(TODAY()-'Proyecto Datos (OKR´s)'!$K16)/MAX(1,$R16-'Proyecto Datos (OKR´s)'!$K16),1),"")</f>
        <v>1</v>
      </c>
      <c r="V16" s="163">
        <f t="shared" ca="1" si="6"/>
        <v>-0.35</v>
      </c>
      <c r="W16" s="163">
        <f t="shared" ca="1" si="7"/>
        <v>0</v>
      </c>
      <c r="X16" s="163">
        <f t="shared" si="8"/>
        <v>0</v>
      </c>
      <c r="Y16" s="163">
        <f t="shared" ca="1" si="9"/>
        <v>35</v>
      </c>
      <c r="Z16" s="163" t="b">
        <f ca="1">IF($C16,AND($I16=0,'Proyecto Datos (OKR´s)'!$K16&lt;=TODAY(),$J16&lt;&gt;"Completado"),"")</f>
        <v>0</v>
      </c>
      <c r="AA16" s="163">
        <f t="shared" ca="1" si="10"/>
        <v>63</v>
      </c>
      <c r="AB16" s="164" t="str">
        <f t="shared" ca="1" si="11"/>
        <v>Alta</v>
      </c>
      <c r="AC16" s="164" t="str">
        <f t="shared" ca="1" si="12"/>
        <v>ATRASO SOBRECARGA</v>
      </c>
      <c r="AD16" s="163">
        <f ca="1">IF($C16,IF($N16=9999,9999,IF($J16="Completado",$N16,MAX($N16,Sprints!$M$15))),"")</f>
        <v>2</v>
      </c>
      <c r="AE16" s="163">
        <f t="shared" ca="1" si="13"/>
        <v>2</v>
      </c>
      <c r="AF16" s="163" t="b">
        <f t="shared" ca="1" si="14"/>
        <v>1</v>
      </c>
      <c r="AG16" s="163">
        <f t="shared" ca="1" si="15"/>
        <v>46186</v>
      </c>
      <c r="AH16" s="164" t="str">
        <f ca="1">IF($AF16,IF(Sprints!$I16&lt;&gt;"",Sprints!$I16,"Comprometida y no completada al cierre del Sprint "&amp;$N16),"")</f>
        <v>Comprometida y no completada al cierre del Sprint 1</v>
      </c>
      <c r="AI16" s="163">
        <f t="shared" ca="1" si="16"/>
        <v>100016</v>
      </c>
      <c r="AJ16" s="163">
        <f t="shared" ca="1" si="17"/>
        <v>63000284</v>
      </c>
      <c r="AK16" s="163">
        <f t="shared" ca="1" si="18"/>
        <v>0.9</v>
      </c>
      <c r="AL16" s="163">
        <f t="shared" ca="1" si="19"/>
        <v>0.35</v>
      </c>
      <c r="AM16" s="163">
        <f t="shared" ca="1" si="20"/>
        <v>0.3</v>
      </c>
      <c r="AN16" s="164" t="str">
        <f t="shared" ca="1" si="21"/>
        <v xml:space="preserve">ATRASO SOBRECARGA </v>
      </c>
      <c r="AO16" s="163">
        <f>IF($C16,IFERROR(INDEX(Sprints!$M$6:$M$13,MATCH($N16,Sprints!$K$6:$K$13,0)),""),"")</f>
        <v>46186</v>
      </c>
      <c r="AP16" s="163">
        <f t="shared" ca="1" si="22"/>
        <v>6</v>
      </c>
    </row>
    <row r="17" spans="1:42" x14ac:dyDescent="0.35">
      <c r="A17" s="163">
        <f>ROW()</f>
        <v>17</v>
      </c>
      <c r="B17" s="163" t="b">
        <f>ISTEXT('Proyecto Datos (OKR´s)'!$K17)</f>
        <v>0</v>
      </c>
      <c r="C17" s="163" t="b">
        <f>AND(LEN('Proyecto Datos (OKR´s)'!$G17)&gt;0,NOT($B17),OR(ISNUMBER('Proyecto Datos (OKR´s)'!$F17),ISNUMBER('Proyecto Datos (OKR´s)'!$L17)))</f>
        <v>1</v>
      </c>
      <c r="D17" s="164" t="str">
        <f>IF($C17,IFERROR(LOOKUP(2,1/((ISTEXT('Proyecto Datos (OKR´s)'!$K$7:$K17))*(LEN('Proyecto Datos (OKR´s)'!$G$7:$G17)&gt;0)),'Proyecto Datos (OKR´s)'!$G$7:$G17),""),"")</f>
        <v>2- Cotizador de Operaciones Complejas</v>
      </c>
      <c r="E17" s="163">
        <f>IF($C17,'Proyecto Datos (OKR´s)'!$E17,"")</f>
        <v>0</v>
      </c>
      <c r="F17" s="164" t="str">
        <f>IF($C17,'Proyecto Datos (OKR´s)'!$G17,"")</f>
        <v>Asociar Gastos de Estructura (% de incidencia)</v>
      </c>
      <c r="G17" s="164" t="str">
        <f>IF($C17,IF('Proyecto Datos (OKR´s)'!$I17="","(Sin asignar)",'Proyecto Datos (OKR´s)'!$I17),"")</f>
        <v>Santiago Alonso</v>
      </c>
      <c r="H17" s="163">
        <f>IF($C17,IF(ISNUMBER('Proyecto Datos (OKR´s)'!$F17),'Proyecto Datos (OKR´s)'!$F17,'Proyecto Datos (OKR´s)'!$L17),"")</f>
        <v>46206</v>
      </c>
      <c r="I17" s="163">
        <f>IF($C17,'Proyecto Datos (OKR´s)'!$J17,"")</f>
        <v>0</v>
      </c>
      <c r="J17" s="164" t="str">
        <f ca="1">IF($C17,IF($I17&gt;=1,"Completado",IF($H17&lt;TODAY(),"Vencido",IF(($H17-TODAY())&lt;='Entregas Próximas'!$M$3,"Próximo a vencer","En curso"))),"")</f>
        <v>En curso</v>
      </c>
      <c r="K17" s="163">
        <f t="shared" ca="1" si="0"/>
        <v>14</v>
      </c>
      <c r="L17" s="163">
        <f t="shared" si="1"/>
        <v>9999046206.0001698</v>
      </c>
      <c r="M17" s="163" t="str">
        <f t="shared" si="2"/>
        <v>(Sin sprint)</v>
      </c>
      <c r="N17" s="163">
        <f>IF($C17,IF('Proyecto Datos (OKR´s)'!$E17="",9999,'Proyecto Datos (OKR´s)'!$E17),"")</f>
        <v>9999</v>
      </c>
      <c r="O17" s="163" t="str">
        <f t="shared" si="3"/>
        <v>T017</v>
      </c>
      <c r="P17" s="163">
        <f t="shared" si="4"/>
        <v>11</v>
      </c>
      <c r="Q17" s="163" t="str">
        <f t="shared" ca="1" si="5"/>
        <v/>
      </c>
      <c r="R17" s="163">
        <f>IF($C17,IF(ISNUMBER('Proyecto Datos (OKR´s)'!$L17),'Proyecto Datos (OKR´s)'!$L17,$H17),"")</f>
        <v>46206</v>
      </c>
      <c r="S17" s="163">
        <f>IF($C17,$R17-'Proyecto Datos (OKR´s)'!$K17+1,"")</f>
        <v>7</v>
      </c>
      <c r="T17" s="163">
        <f ca="1">IF($C17,MAX(0,TODAY()-'Proyecto Datos (OKR´s)'!$K17),"")</f>
        <v>0</v>
      </c>
      <c r="U17" s="163">
        <f ca="1">IF($C17,MEDIAN(0,(TODAY()-'Proyecto Datos (OKR´s)'!$K17)/MAX(1,$R17-'Proyecto Datos (OKR´s)'!$K17),1),"")</f>
        <v>0</v>
      </c>
      <c r="V17" s="163">
        <f t="shared" ca="1" si="6"/>
        <v>0</v>
      </c>
      <c r="W17" s="163">
        <f t="shared" ca="1" si="7"/>
        <v>0</v>
      </c>
      <c r="X17" s="163">
        <f t="shared" si="8"/>
        <v>0</v>
      </c>
      <c r="Y17" s="163">
        <f t="shared" ca="1" si="9"/>
        <v>35</v>
      </c>
      <c r="Z17" s="163" t="b">
        <f ca="1">IF($C17,AND($I17=0,'Proyecto Datos (OKR´s)'!$K17&lt;=TODAY(),$J17&lt;&gt;"Completado"),"")</f>
        <v>0</v>
      </c>
      <c r="AA17" s="163">
        <f t="shared" ca="1" si="10"/>
        <v>37</v>
      </c>
      <c r="AB17" s="164" t="str">
        <f t="shared" ca="1" si="11"/>
        <v>Media</v>
      </c>
      <c r="AC17" s="164" t="str">
        <f t="shared" ca="1" si="12"/>
        <v>SOBRECARGA</v>
      </c>
      <c r="AD17" s="163">
        <f>IF($C17,IF($N17=9999,9999,IF($J17="Completado",$N17,MAX($N17,Sprints!$M$15))),"")</f>
        <v>9999</v>
      </c>
      <c r="AE17" s="163" t="str">
        <f t="shared" si="13"/>
        <v>(Sin sprint)</v>
      </c>
      <c r="AF17" s="163" t="b">
        <f t="shared" si="14"/>
        <v>0</v>
      </c>
      <c r="AG17" s="163" t="str">
        <f t="shared" si="15"/>
        <v/>
      </c>
      <c r="AH17" s="164" t="str">
        <f>IF($AF17,IF(Sprints!$I17&lt;&gt;"",Sprints!$I17,"Comprometida y no completada al cierre del Sprint "&amp;$N17),"")</f>
        <v/>
      </c>
      <c r="AI17" s="163" t="str">
        <f t="shared" si="16"/>
        <v/>
      </c>
      <c r="AJ17" s="163">
        <f t="shared" ca="1" si="17"/>
        <v>36998883</v>
      </c>
      <c r="AK17" s="163">
        <f t="shared" ca="1" si="18"/>
        <v>0.45</v>
      </c>
      <c r="AL17" s="163">
        <f t="shared" ca="1" si="19"/>
        <v>0</v>
      </c>
      <c r="AM17" s="163">
        <f t="shared" ca="1" si="20"/>
        <v>0.3</v>
      </c>
      <c r="AN17" s="164" t="str">
        <f t="shared" ca="1" si="21"/>
        <v xml:space="preserve">SOBRECARGA </v>
      </c>
      <c r="AO17" s="163" t="str">
        <f>IF($C17,IFERROR(INDEX(Sprints!$M$6:$M$13,MATCH($N17,Sprints!$K$6:$K$13,0)),""),"")</f>
        <v/>
      </c>
      <c r="AP17" s="163">
        <f t="shared" ca="1" si="22"/>
        <v>0</v>
      </c>
    </row>
    <row r="18" spans="1:42" x14ac:dyDescent="0.35">
      <c r="A18" s="163">
        <f>ROW()</f>
        <v>18</v>
      </c>
      <c r="B18" s="163" t="b">
        <f>ISTEXT('Proyecto Datos (OKR´s)'!$K18)</f>
        <v>0</v>
      </c>
      <c r="C18" s="163" t="b">
        <f>AND(LEN('Proyecto Datos (OKR´s)'!$G18)&gt;0,NOT($B18),OR(ISNUMBER('Proyecto Datos (OKR´s)'!$F18),ISNUMBER('Proyecto Datos (OKR´s)'!$L18)))</f>
        <v>1</v>
      </c>
      <c r="D18" s="164" t="str">
        <f>IF($C18,IFERROR(LOOKUP(2,1/((ISTEXT('Proyecto Datos (OKR´s)'!$K$7:$K18))*(LEN('Proyecto Datos (OKR´s)'!$G$7:$G18)&gt;0)),'Proyecto Datos (OKR´s)'!$G$7:$G18),""),"")</f>
        <v>2- Cotizador de Operaciones Complejas</v>
      </c>
      <c r="E18" s="163">
        <f>IF($C18,'Proyecto Datos (OKR´s)'!$E18,"")</f>
        <v>0</v>
      </c>
      <c r="F18" s="164" t="str">
        <f>IF($C18,'Proyecto Datos (OKR´s)'!$G18,"")</f>
        <v>Armado de solicitudes extra x Módulos (Ej: Med. Laboral)</v>
      </c>
      <c r="G18" s="164" t="str">
        <f>IF($C18,IF('Proyecto Datos (OKR´s)'!$I18="","(Sin asignar)",'Proyecto Datos (OKR´s)'!$I18),"")</f>
        <v>Santiago Alonso</v>
      </c>
      <c r="H18" s="163">
        <f>IF($C18,IF(ISNUMBER('Proyecto Datos (OKR´s)'!$F18),'Proyecto Datos (OKR´s)'!$F18,'Proyecto Datos (OKR´s)'!$L18),"")</f>
        <v>46213</v>
      </c>
      <c r="I18" s="163">
        <f>IF($C18,'Proyecto Datos (OKR´s)'!$J18,"")</f>
        <v>0</v>
      </c>
      <c r="J18" s="164" t="str">
        <f ca="1">IF($C18,IF($I18&gt;=1,"Completado",IF($H18&lt;TODAY(),"Vencido",IF(($H18-TODAY())&lt;='Entregas Próximas'!$M$3,"Próximo a vencer","En curso"))),"")</f>
        <v>En curso</v>
      </c>
      <c r="K18" s="163">
        <f t="shared" ca="1" si="0"/>
        <v>21</v>
      </c>
      <c r="L18" s="163">
        <f t="shared" si="1"/>
        <v>9999046213.0001793</v>
      </c>
      <c r="M18" s="163" t="str">
        <f t="shared" si="2"/>
        <v>(Sin sprint)</v>
      </c>
      <c r="N18" s="163">
        <f>IF($C18,IF('Proyecto Datos (OKR´s)'!$E18="",9999,'Proyecto Datos (OKR´s)'!$E18),"")</f>
        <v>9999</v>
      </c>
      <c r="O18" s="163" t="str">
        <f t="shared" si="3"/>
        <v>T018</v>
      </c>
      <c r="P18" s="163">
        <f t="shared" si="4"/>
        <v>12</v>
      </c>
      <c r="Q18" s="163" t="str">
        <f t="shared" ca="1" si="5"/>
        <v/>
      </c>
      <c r="R18" s="163">
        <f>IF($C18,IF(ISNUMBER('Proyecto Datos (OKR´s)'!$L18),'Proyecto Datos (OKR´s)'!$L18,$H18),"")</f>
        <v>46213</v>
      </c>
      <c r="S18" s="163">
        <f>IF($C18,$R18-'Proyecto Datos (OKR´s)'!$K18+1,"")</f>
        <v>21</v>
      </c>
      <c r="T18" s="163">
        <f ca="1">IF($C18,MAX(0,TODAY()-'Proyecto Datos (OKR´s)'!$K18),"")</f>
        <v>0</v>
      </c>
      <c r="U18" s="163">
        <f ca="1">IF($C18,MEDIAN(0,(TODAY()-'Proyecto Datos (OKR´s)'!$K18)/MAX(1,$R18-'Proyecto Datos (OKR´s)'!$K18),1),"")</f>
        <v>0</v>
      </c>
      <c r="V18" s="163">
        <f t="shared" ca="1" si="6"/>
        <v>0</v>
      </c>
      <c r="W18" s="163">
        <f t="shared" ca="1" si="7"/>
        <v>0</v>
      </c>
      <c r="X18" s="163">
        <f t="shared" si="8"/>
        <v>0</v>
      </c>
      <c r="Y18" s="163">
        <f t="shared" ca="1" si="9"/>
        <v>35</v>
      </c>
      <c r="Z18" s="163" t="b">
        <f ca="1">IF($C18,AND($I18=0,'Proyecto Datos (OKR´s)'!$K18&lt;=TODAY(),$J18&lt;&gt;"Completado"),"")</f>
        <v>0</v>
      </c>
      <c r="AA18" s="163">
        <f t="shared" ca="1" si="10"/>
        <v>28</v>
      </c>
      <c r="AB18" s="164" t="str">
        <f t="shared" ca="1" si="11"/>
        <v>Media</v>
      </c>
      <c r="AC18" s="164" t="str">
        <f t="shared" ca="1" si="12"/>
        <v>SOBRECARGA</v>
      </c>
      <c r="AD18" s="163">
        <f>IF($C18,IF($N18=9999,9999,IF($J18="Completado",$N18,MAX($N18,Sprints!$M$15))),"")</f>
        <v>9999</v>
      </c>
      <c r="AE18" s="163" t="str">
        <f t="shared" si="13"/>
        <v>(Sin sprint)</v>
      </c>
      <c r="AF18" s="163" t="b">
        <f t="shared" si="14"/>
        <v>0</v>
      </c>
      <c r="AG18" s="163" t="str">
        <f t="shared" si="15"/>
        <v/>
      </c>
      <c r="AH18" s="164" t="str">
        <f>IF($AF18,IF(Sprints!$I18&lt;&gt;"",Sprints!$I18,"Comprometida y no completada al cierre del Sprint "&amp;$N18),"")</f>
        <v/>
      </c>
      <c r="AI18" s="163" t="str">
        <f t="shared" si="16"/>
        <v/>
      </c>
      <c r="AJ18" s="163">
        <f t="shared" ca="1" si="17"/>
        <v>27998182</v>
      </c>
      <c r="AK18" s="163">
        <f t="shared" ca="1" si="18"/>
        <v>0.2</v>
      </c>
      <c r="AL18" s="163">
        <f t="shared" ca="1" si="19"/>
        <v>0</v>
      </c>
      <c r="AM18" s="163">
        <f t="shared" ca="1" si="20"/>
        <v>0.3</v>
      </c>
      <c r="AN18" s="164" t="str">
        <f t="shared" ca="1" si="21"/>
        <v xml:space="preserve">SOBRECARGA </v>
      </c>
      <c r="AO18" s="163" t="str">
        <f>IF($C18,IFERROR(INDEX(Sprints!$M$6:$M$13,MATCH($N18,Sprints!$K$6:$K$13,0)),""),"")</f>
        <v/>
      </c>
      <c r="AP18" s="163">
        <f t="shared" ca="1" si="22"/>
        <v>0</v>
      </c>
    </row>
    <row r="19" spans="1:42" x14ac:dyDescent="0.35">
      <c r="A19" s="163">
        <f>ROW()</f>
        <v>19</v>
      </c>
      <c r="B19" s="163" t="b">
        <f>ISTEXT('Proyecto Datos (OKR´s)'!$K19)</f>
        <v>0</v>
      </c>
      <c r="C19" s="163" t="b">
        <f>AND(LEN('Proyecto Datos (OKR´s)'!$G19)&gt;0,NOT($B19),OR(ISNUMBER('Proyecto Datos (OKR´s)'!$F19),ISNUMBER('Proyecto Datos (OKR´s)'!$L19)))</f>
        <v>1</v>
      </c>
      <c r="D19" s="164" t="str">
        <f>IF($C19,IFERROR(LOOKUP(2,1/((ISTEXT('Proyecto Datos (OKR´s)'!$K$7:$K19))*(LEN('Proyecto Datos (OKR´s)'!$G$7:$G19)&gt;0)),'Proyecto Datos (OKR´s)'!$G$7:$G19),""),"")</f>
        <v>2- Cotizador de Operaciones Complejas</v>
      </c>
      <c r="E19" s="163">
        <f>IF($C19,'Proyecto Datos (OKR´s)'!$E19,"")</f>
        <v>1</v>
      </c>
      <c r="F19" s="164" t="str">
        <f>IF($C19,'Proyecto Datos (OKR´s)'!$G19,"")</f>
        <v>Relevamiento área de IA -  Repositorio (GitHub o AWS S3) + Seguridad</v>
      </c>
      <c r="G19" s="164" t="str">
        <f>IF($C19,IF('Proyecto Datos (OKR´s)'!$I19="","(Sin asignar)",'Proyecto Datos (OKR´s)'!$I19),"")</f>
        <v>Santiago Alonso</v>
      </c>
      <c r="H19" s="163">
        <f>IF($C19,IF(ISNUMBER('Proyecto Datos (OKR´s)'!$F19),'Proyecto Datos (OKR´s)'!$F19,'Proyecto Datos (OKR´s)'!$L19),"")</f>
        <v>46192</v>
      </c>
      <c r="I19" s="163">
        <f>IF($C19,'Proyecto Datos (OKR´s)'!$J19,"")</f>
        <v>1</v>
      </c>
      <c r="J19" s="164" t="str">
        <f ca="1">IF($C19,IF($I19&gt;=1,"Completado",IF($H19&lt;TODAY(),"Vencido",IF(($H19-TODAY())&lt;='Entregas Próximas'!$M$3,"Próximo a vencer","En curso"))),"")</f>
        <v>Completado</v>
      </c>
      <c r="K19" s="163">
        <f t="shared" ca="1" si="0"/>
        <v>0</v>
      </c>
      <c r="L19" s="163">
        <f t="shared" ca="1" si="1"/>
        <v>1046192.00019</v>
      </c>
      <c r="M19" s="163">
        <f t="shared" ca="1" si="2"/>
        <v>1</v>
      </c>
      <c r="N19" s="163">
        <f>IF($C19,IF('Proyecto Datos (OKR´s)'!$E19="",9999,'Proyecto Datos (OKR´s)'!$E19),"")</f>
        <v>1</v>
      </c>
      <c r="O19" s="163" t="str">
        <f t="shared" si="3"/>
        <v>T019</v>
      </c>
      <c r="P19" s="163">
        <f t="shared" si="4"/>
        <v>13</v>
      </c>
      <c r="Q19" s="163" t="str">
        <f t="shared" ca="1" si="5"/>
        <v/>
      </c>
      <c r="R19" s="163">
        <f>IF($C19,IF(ISNUMBER('Proyecto Datos (OKR´s)'!$L19),'Proyecto Datos (OKR´s)'!$L19,$H19),"")</f>
        <v>46192</v>
      </c>
      <c r="S19" s="163">
        <f>IF($C19,$R19-'Proyecto Datos (OKR´s)'!$K19+1,"")</f>
        <v>11</v>
      </c>
      <c r="T19" s="163">
        <f ca="1">IF($C19,MAX(0,TODAY()-'Proyecto Datos (OKR´s)'!$K19),"")</f>
        <v>10</v>
      </c>
      <c r="U19" s="163">
        <f ca="1">IF($C19,MEDIAN(0,(TODAY()-'Proyecto Datos (OKR´s)'!$K19)/MAX(1,$R19-'Proyecto Datos (OKR´s)'!$K19),1),"")</f>
        <v>1</v>
      </c>
      <c r="V19" s="163">
        <f t="shared" ca="1" si="6"/>
        <v>0</v>
      </c>
      <c r="W19" s="163">
        <f t="shared" ca="1" si="7"/>
        <v>0</v>
      </c>
      <c r="X19" s="163">
        <f t="shared" si="8"/>
        <v>0</v>
      </c>
      <c r="Y19" s="163">
        <f t="shared" ca="1" si="9"/>
        <v>35</v>
      </c>
      <c r="Z19" s="163" t="b">
        <f ca="1">IF($C19,AND($I19=0,'Proyecto Datos (OKR´s)'!$K19&lt;=TODAY(),$J19&lt;&gt;"Completado"),"")</f>
        <v>0</v>
      </c>
      <c r="AA19" s="163">
        <f t="shared" ca="1" si="10"/>
        <v>15</v>
      </c>
      <c r="AB19" s="164" t="str">
        <f t="shared" ca="1" si="11"/>
        <v>—</v>
      </c>
      <c r="AC19" s="164" t="str">
        <f t="shared" ca="1" si="12"/>
        <v>SOBRECARGA</v>
      </c>
      <c r="AD19" s="163">
        <f ca="1">IF($C19,IF($N19=9999,9999,IF($J19="Completado",$N19,MAX($N19,Sprints!$M$15))),"")</f>
        <v>1</v>
      </c>
      <c r="AE19" s="163">
        <f t="shared" ca="1" si="13"/>
        <v>1</v>
      </c>
      <c r="AF19" s="163" t="b">
        <f t="shared" ca="1" si="14"/>
        <v>0</v>
      </c>
      <c r="AG19" s="163" t="str">
        <f t="shared" ca="1" si="15"/>
        <v/>
      </c>
      <c r="AH19" s="164" t="str">
        <f ca="1">IF($AF19,IF(Sprints!$I19&lt;&gt;"",Sprints!$I19,"Comprometida y no completada al cierre del Sprint "&amp;$N19),"")</f>
        <v/>
      </c>
      <c r="AI19" s="163" t="str">
        <f t="shared" ca="1" si="16"/>
        <v/>
      </c>
      <c r="AJ19" s="163">
        <f t="shared" ca="1" si="17"/>
        <v>15000281</v>
      </c>
      <c r="AK19" s="163">
        <f t="shared" ca="1" si="18"/>
        <v>0</v>
      </c>
      <c r="AL19" s="163">
        <f t="shared" ca="1" si="19"/>
        <v>0</v>
      </c>
      <c r="AM19" s="163">
        <f t="shared" ca="1" si="20"/>
        <v>0</v>
      </c>
      <c r="AN19" s="164" t="str">
        <f t="shared" ca="1" si="21"/>
        <v xml:space="preserve">SOBRECARGA </v>
      </c>
      <c r="AO19" s="163">
        <f>IF($C19,IFERROR(INDEX(Sprints!$M$6:$M$13,MATCH($N19,Sprints!$K$6:$K$13,0)),""),"")</f>
        <v>46186</v>
      </c>
      <c r="AP19" s="163">
        <f t="shared" ca="1" si="22"/>
        <v>0</v>
      </c>
    </row>
    <row r="20" spans="1:42" x14ac:dyDescent="0.35">
      <c r="A20" s="163">
        <f>ROW()</f>
        <v>20</v>
      </c>
      <c r="B20" s="163" t="b">
        <f>ISTEXT('Proyecto Datos (OKR´s)'!$K20)</f>
        <v>0</v>
      </c>
      <c r="C20" s="163" t="b">
        <f>AND(LEN('Proyecto Datos (OKR´s)'!$G20)&gt;0,NOT($B20),OR(ISNUMBER('Proyecto Datos (OKR´s)'!$F20),ISNUMBER('Proyecto Datos (OKR´s)'!$L20)))</f>
        <v>1</v>
      </c>
      <c r="D20" s="164" t="str">
        <f>IF($C20,IFERROR(LOOKUP(2,1/((ISTEXT('Proyecto Datos (OKR´s)'!$K$7:$K20))*(LEN('Proyecto Datos (OKR´s)'!$G$7:$G20)&gt;0)),'Proyecto Datos (OKR´s)'!$G$7:$G20),""),"")</f>
        <v>2- Cotizador de Operaciones Complejas</v>
      </c>
      <c r="E20" s="163">
        <f>IF($C20,'Proyecto Datos (OKR´s)'!$E20,"")</f>
        <v>0</v>
      </c>
      <c r="F20" s="164" t="str">
        <f>IF($C20,'Proyecto Datos (OKR´s)'!$G20,"")</f>
        <v>Crear Backend ETL - ver con Claude Code</v>
      </c>
      <c r="G20" s="164" t="str">
        <f>IF($C20,IF('Proyecto Datos (OKR´s)'!$I20="","(Sin asignar)",'Proyecto Datos (OKR´s)'!$I20),"")</f>
        <v>Santiago Alonso</v>
      </c>
      <c r="H20" s="163">
        <f>IF($C20,IF(ISNUMBER('Proyecto Datos (OKR´s)'!$F20),'Proyecto Datos (OKR´s)'!$F20,'Proyecto Datos (OKR´s)'!$L20),"")</f>
        <v>46220</v>
      </c>
      <c r="I20" s="163">
        <f>IF($C20,'Proyecto Datos (OKR´s)'!$J20,"")</f>
        <v>0</v>
      </c>
      <c r="J20" s="164" t="str">
        <f ca="1">IF($C20,IF($I20&gt;=1,"Completado",IF($H20&lt;TODAY(),"Vencido",IF(($H20-TODAY())&lt;='Entregas Próximas'!$M$3,"Próximo a vencer","En curso"))),"")</f>
        <v>En curso</v>
      </c>
      <c r="K20" s="163">
        <f t="shared" ca="1" si="0"/>
        <v>28</v>
      </c>
      <c r="L20" s="163">
        <f t="shared" si="1"/>
        <v>9999046220.0002003</v>
      </c>
      <c r="M20" s="163" t="str">
        <f t="shared" si="2"/>
        <v>(Sin sprint)</v>
      </c>
      <c r="N20" s="163">
        <f>IF($C20,IF('Proyecto Datos (OKR´s)'!$E20="",9999,'Proyecto Datos (OKR´s)'!$E20),"")</f>
        <v>9999</v>
      </c>
      <c r="O20" s="163" t="str">
        <f t="shared" si="3"/>
        <v>T020</v>
      </c>
      <c r="P20" s="163">
        <f t="shared" si="4"/>
        <v>14</v>
      </c>
      <c r="Q20" s="163" t="str">
        <f t="shared" ca="1" si="5"/>
        <v/>
      </c>
      <c r="R20" s="163">
        <f>IF($C20,IF(ISNUMBER('Proyecto Datos (OKR´s)'!$L20),'Proyecto Datos (OKR´s)'!$L20,$H20),"")</f>
        <v>46220</v>
      </c>
      <c r="S20" s="163">
        <f>IF($C20,$R20-'Proyecto Datos (OKR´s)'!$K20+1,"")</f>
        <v>28</v>
      </c>
      <c r="T20" s="163">
        <f ca="1">IF($C20,MAX(0,TODAY()-'Proyecto Datos (OKR´s)'!$K20),"")</f>
        <v>0</v>
      </c>
      <c r="U20" s="163">
        <f ca="1">IF($C20,MEDIAN(0,(TODAY()-'Proyecto Datos (OKR´s)'!$K20)/MAX(1,$R20-'Proyecto Datos (OKR´s)'!$K20),1),"")</f>
        <v>0</v>
      </c>
      <c r="V20" s="163">
        <f t="shared" ca="1" si="6"/>
        <v>0</v>
      </c>
      <c r="W20" s="163">
        <f t="shared" ca="1" si="7"/>
        <v>0</v>
      </c>
      <c r="X20" s="163">
        <f t="shared" si="8"/>
        <v>0</v>
      </c>
      <c r="Y20" s="163">
        <f t="shared" ca="1" si="9"/>
        <v>35</v>
      </c>
      <c r="Z20" s="163" t="b">
        <f ca="1">IF($C20,AND($I20=0,'Proyecto Datos (OKR´s)'!$K20&lt;=TODAY(),$J20&lt;&gt;"Completado"),"")</f>
        <v>0</v>
      </c>
      <c r="AA20" s="163">
        <f t="shared" ca="1" si="10"/>
        <v>28</v>
      </c>
      <c r="AB20" s="164" t="str">
        <f t="shared" ca="1" si="11"/>
        <v>Media</v>
      </c>
      <c r="AC20" s="164" t="str">
        <f t="shared" ca="1" si="12"/>
        <v>SOBRECARGA</v>
      </c>
      <c r="AD20" s="163">
        <f>IF($C20,IF($N20=9999,9999,IF($J20="Completado",$N20,MAX($N20,Sprints!$M$15))),"")</f>
        <v>9999</v>
      </c>
      <c r="AE20" s="163" t="str">
        <f t="shared" si="13"/>
        <v>(Sin sprint)</v>
      </c>
      <c r="AF20" s="163" t="b">
        <f t="shared" si="14"/>
        <v>0</v>
      </c>
      <c r="AG20" s="163" t="str">
        <f t="shared" si="15"/>
        <v/>
      </c>
      <c r="AH20" s="164" t="str">
        <f>IF($AF20,IF(Sprints!$I20&lt;&gt;"",Sprints!$I20,"Comprometida y no completada al cierre del Sprint "&amp;$N20),"")</f>
        <v/>
      </c>
      <c r="AI20" s="163" t="str">
        <f t="shared" si="16"/>
        <v/>
      </c>
      <c r="AJ20" s="163">
        <f t="shared" ca="1" si="17"/>
        <v>27997480</v>
      </c>
      <c r="AK20" s="163">
        <f t="shared" ca="1" si="18"/>
        <v>0.2</v>
      </c>
      <c r="AL20" s="163">
        <f t="shared" ca="1" si="19"/>
        <v>0</v>
      </c>
      <c r="AM20" s="163">
        <f t="shared" ca="1" si="20"/>
        <v>0.3</v>
      </c>
      <c r="AN20" s="164" t="str">
        <f t="shared" ca="1" si="21"/>
        <v xml:space="preserve">SOBRECARGA </v>
      </c>
      <c r="AO20" s="163" t="str">
        <f>IF($C20,IFERROR(INDEX(Sprints!$M$6:$M$13,MATCH($N20,Sprints!$K$6:$K$13,0)),""),"")</f>
        <v/>
      </c>
      <c r="AP20" s="163">
        <f t="shared" ca="1" si="22"/>
        <v>0</v>
      </c>
    </row>
    <row r="21" spans="1:42" x14ac:dyDescent="0.35">
      <c r="A21" s="163">
        <f>ROW()</f>
        <v>21</v>
      </c>
      <c r="B21" s="163" t="b">
        <f>ISTEXT('Proyecto Datos (OKR´s)'!$K21)</f>
        <v>0</v>
      </c>
      <c r="C21" s="163" t="b">
        <f>AND(LEN('Proyecto Datos (OKR´s)'!$G21)&gt;0,NOT($B21),OR(ISNUMBER('Proyecto Datos (OKR´s)'!$F21),ISNUMBER('Proyecto Datos (OKR´s)'!$L21)))</f>
        <v>1</v>
      </c>
      <c r="D21" s="164" t="str">
        <f>IF($C21,IFERROR(LOOKUP(2,1/((ISTEXT('Proyecto Datos (OKR´s)'!$K$7:$K21))*(LEN('Proyecto Datos (OKR´s)'!$G$7:$G21)&gt;0)),'Proyecto Datos (OKR´s)'!$G$7:$G21),""),"")</f>
        <v>2- Cotizador de Operaciones Complejas</v>
      </c>
      <c r="E21" s="163">
        <f>IF($C21,'Proyecto Datos (OKR´s)'!$E21,"")</f>
        <v>0</v>
      </c>
      <c r="F21" s="164" t="str">
        <f>IF($C21,'Proyecto Datos (OKR´s)'!$G21,"")</f>
        <v>Deployar (URL Web)</v>
      </c>
      <c r="G21" s="164" t="str">
        <f>IF($C21,IF('Proyecto Datos (OKR´s)'!$I21="","(Sin asignar)",'Proyecto Datos (OKR´s)'!$I21),"")</f>
        <v>Santiago Alonso</v>
      </c>
      <c r="H21" s="163">
        <f>IF($C21,IF(ISNUMBER('Proyecto Datos (OKR´s)'!$F21),'Proyecto Datos (OKR´s)'!$F21,'Proyecto Datos (OKR´s)'!$L21),"")</f>
        <v>46227</v>
      </c>
      <c r="I21" s="163">
        <f>IF($C21,'Proyecto Datos (OKR´s)'!$J21,"")</f>
        <v>0</v>
      </c>
      <c r="J21" s="164" t="str">
        <f ca="1">IF($C21,IF($I21&gt;=1,"Completado",IF($H21&lt;TODAY(),"Vencido",IF(($H21-TODAY())&lt;='Entregas Próximas'!$M$3,"Próximo a vencer","En curso"))),"")</f>
        <v>En curso</v>
      </c>
      <c r="K21" s="163">
        <f t="shared" ca="1" si="0"/>
        <v>35</v>
      </c>
      <c r="L21" s="163">
        <f t="shared" si="1"/>
        <v>9999046227.0002098</v>
      </c>
      <c r="M21" s="163" t="str">
        <f t="shared" si="2"/>
        <v>(Sin sprint)</v>
      </c>
      <c r="N21" s="163">
        <f>IF($C21,IF('Proyecto Datos (OKR´s)'!$E21="",9999,'Proyecto Datos (OKR´s)'!$E21),"")</f>
        <v>9999</v>
      </c>
      <c r="O21" s="163" t="str">
        <f t="shared" si="3"/>
        <v>T021</v>
      </c>
      <c r="P21" s="163">
        <f t="shared" si="4"/>
        <v>15</v>
      </c>
      <c r="Q21" s="163" t="str">
        <f t="shared" ca="1" si="5"/>
        <v/>
      </c>
      <c r="R21" s="163">
        <f>IF($C21,IF(ISNUMBER('Proyecto Datos (OKR´s)'!$L21),'Proyecto Datos (OKR´s)'!$L21,$H21),"")</f>
        <v>46227</v>
      </c>
      <c r="S21" s="163">
        <f>IF($C21,$R21-'Proyecto Datos (OKR´s)'!$K21+1,"")</f>
        <v>7</v>
      </c>
      <c r="T21" s="163">
        <f ca="1">IF($C21,MAX(0,TODAY()-'Proyecto Datos (OKR´s)'!$K21),"")</f>
        <v>0</v>
      </c>
      <c r="U21" s="163">
        <f ca="1">IF($C21,MEDIAN(0,(TODAY()-'Proyecto Datos (OKR´s)'!$K21)/MAX(1,$R21-'Proyecto Datos (OKR´s)'!$K21),1),"")</f>
        <v>0</v>
      </c>
      <c r="V21" s="163">
        <f t="shared" ca="1" si="6"/>
        <v>0</v>
      </c>
      <c r="W21" s="163">
        <f t="shared" ca="1" si="7"/>
        <v>0</v>
      </c>
      <c r="X21" s="163">
        <f t="shared" si="8"/>
        <v>0</v>
      </c>
      <c r="Y21" s="163">
        <f t="shared" ca="1" si="9"/>
        <v>35</v>
      </c>
      <c r="Z21" s="163" t="b">
        <f ca="1">IF($C21,AND($I21=0,'Proyecto Datos (OKR´s)'!$K21&lt;=TODAY(),$J21&lt;&gt;"Completado"),"")</f>
        <v>0</v>
      </c>
      <c r="AA21" s="163">
        <f t="shared" ca="1" si="10"/>
        <v>28</v>
      </c>
      <c r="AB21" s="164" t="str">
        <f t="shared" ca="1" si="11"/>
        <v>Media</v>
      </c>
      <c r="AC21" s="164" t="str">
        <f t="shared" ca="1" si="12"/>
        <v>SOBRECARGA</v>
      </c>
      <c r="AD21" s="163">
        <f>IF($C21,IF($N21=9999,9999,IF($J21="Completado",$N21,MAX($N21,Sprints!$M$15))),"")</f>
        <v>9999</v>
      </c>
      <c r="AE21" s="163" t="str">
        <f t="shared" si="13"/>
        <v>(Sin sprint)</v>
      </c>
      <c r="AF21" s="163" t="b">
        <f t="shared" si="14"/>
        <v>0</v>
      </c>
      <c r="AG21" s="163" t="str">
        <f t="shared" si="15"/>
        <v/>
      </c>
      <c r="AH21" s="164" t="str">
        <f>IF($AF21,IF(Sprints!$I21&lt;&gt;"",Sprints!$I21,"Comprometida y no completada al cierre del Sprint "&amp;$N21),"")</f>
        <v/>
      </c>
      <c r="AI21" s="163" t="str">
        <f t="shared" si="16"/>
        <v/>
      </c>
      <c r="AJ21" s="163">
        <f t="shared" ca="1" si="17"/>
        <v>27996779</v>
      </c>
      <c r="AK21" s="163">
        <f t="shared" ca="1" si="18"/>
        <v>0.2</v>
      </c>
      <c r="AL21" s="163">
        <f t="shared" ca="1" si="19"/>
        <v>0</v>
      </c>
      <c r="AM21" s="163">
        <f t="shared" ca="1" si="20"/>
        <v>0.3</v>
      </c>
      <c r="AN21" s="164" t="str">
        <f t="shared" ca="1" si="21"/>
        <v xml:space="preserve">SOBRECARGA </v>
      </c>
      <c r="AO21" s="163" t="str">
        <f>IF($C21,IFERROR(INDEX(Sprints!$M$6:$M$13,MATCH($N21,Sprints!$K$6:$K$13,0)),""),"")</f>
        <v/>
      </c>
      <c r="AP21" s="163">
        <f t="shared" ca="1" si="22"/>
        <v>0</v>
      </c>
    </row>
    <row r="22" spans="1:42" x14ac:dyDescent="0.35">
      <c r="A22" s="163">
        <f>ROW()</f>
        <v>22</v>
      </c>
      <c r="B22" s="163" t="b">
        <f>ISTEXT('Proyecto Datos (OKR´s)'!$K22)</f>
        <v>1</v>
      </c>
      <c r="C22" s="163" t="b">
        <f ca="1">AND(LEN('Proyecto Datos (OKR´s)'!$G22)&gt;0,NOT($B22),OR(ISNUMBER('Proyecto Datos (OKR´s)'!$F22),ISNUMBER('Proyecto Datos (OKR´s)'!$L22)))</f>
        <v>0</v>
      </c>
      <c r="D22" s="164" t="str">
        <f ca="1">IF($C22,IFERROR(LOOKUP(2,1/((ISTEXT('Proyecto Datos (OKR´s)'!$K$7:$K22))*(LEN('Proyecto Datos (OKR´s)'!$G$7:$G22)&gt;0)),'Proyecto Datos (OKR´s)'!$G$7:$G22),""),"")</f>
        <v/>
      </c>
      <c r="E22" s="163" t="str">
        <f ca="1">IF($C22,'Proyecto Datos (OKR´s)'!$E22,"")</f>
        <v/>
      </c>
      <c r="F22" s="164" t="str">
        <f ca="1">IF($C22,'Proyecto Datos (OKR´s)'!$G22,"")</f>
        <v/>
      </c>
      <c r="G22" s="164" t="str">
        <f ca="1">IF($C22,IF('Proyecto Datos (OKR´s)'!$I22="","(Sin asignar)",'Proyecto Datos (OKR´s)'!$I22),"")</f>
        <v/>
      </c>
      <c r="H22" s="163" t="str">
        <f ca="1">IF($C22,IF(ISNUMBER('Proyecto Datos (OKR´s)'!$F22),'Proyecto Datos (OKR´s)'!$F22,'Proyecto Datos (OKR´s)'!$L22),"")</f>
        <v/>
      </c>
      <c r="I22" s="163" t="str">
        <f ca="1">IF($C22,'Proyecto Datos (OKR´s)'!$J22,"")</f>
        <v/>
      </c>
      <c r="J22" s="164" t="str">
        <f ca="1">IF($C22,IF($I22&gt;=1,"Completado",IF($H22&lt;TODAY(),"Vencido",IF(($H22-TODAY())&lt;='Entregas Próximas'!$M$3,"Próximo a vencer","En curso"))),"")</f>
        <v/>
      </c>
      <c r="K22" s="163" t="str">
        <f t="shared" ca="1" si="0"/>
        <v/>
      </c>
      <c r="L22" s="163" t="str">
        <f t="shared" ca="1" si="1"/>
        <v/>
      </c>
      <c r="M22" s="163" t="str">
        <f t="shared" ca="1" si="2"/>
        <v/>
      </c>
      <c r="N22" s="163" t="str">
        <f ca="1">IF($C22,IF('Proyecto Datos (OKR´s)'!$E22="",9999,'Proyecto Datos (OKR´s)'!$E22),"")</f>
        <v/>
      </c>
      <c r="O22" s="163" t="str">
        <f t="shared" ca="1" si="3"/>
        <v/>
      </c>
      <c r="P22" s="163">
        <f t="shared" si="4"/>
        <v>16</v>
      </c>
      <c r="Q22" s="163" t="str">
        <f t="shared" ca="1" si="5"/>
        <v/>
      </c>
      <c r="R22" s="163" t="str">
        <f ca="1">IF($C22,IF(ISNUMBER('Proyecto Datos (OKR´s)'!$L22),'Proyecto Datos (OKR´s)'!$L22,$H22),"")</f>
        <v/>
      </c>
      <c r="S22" s="163" t="str">
        <f ca="1">IF($C22,$R22-'Proyecto Datos (OKR´s)'!$K22+1,"")</f>
        <v/>
      </c>
      <c r="T22" s="163" t="str">
        <f ca="1">IF($C22,MAX(0,TODAY()-'Proyecto Datos (OKR´s)'!$K22),"")</f>
        <v/>
      </c>
      <c r="U22" s="163" t="str">
        <f ca="1">IF($C22,MEDIAN(0,(TODAY()-'Proyecto Datos (OKR´s)'!$K22)/MAX(1,$R22-'Proyecto Datos (OKR´s)'!$K22),1),"")</f>
        <v/>
      </c>
      <c r="V22" s="163" t="str">
        <f t="shared" ca="1" si="6"/>
        <v/>
      </c>
      <c r="W22" s="163" t="str">
        <f t="shared" ca="1" si="7"/>
        <v/>
      </c>
      <c r="X22" s="163" t="str">
        <f t="shared" ca="1" si="8"/>
        <v/>
      </c>
      <c r="Y22" s="163" t="str">
        <f t="shared" ca="1" si="9"/>
        <v/>
      </c>
      <c r="Z22" s="163" t="str">
        <f ca="1">IF($C22,AND($I22=0,'Proyecto Datos (OKR´s)'!$K22&lt;=TODAY(),$J22&lt;&gt;"Completado"),"")</f>
        <v/>
      </c>
      <c r="AA22" s="163" t="str">
        <f t="shared" ca="1" si="10"/>
        <v/>
      </c>
      <c r="AB22" s="164" t="str">
        <f t="shared" ca="1" si="11"/>
        <v/>
      </c>
      <c r="AC22" s="164" t="str">
        <f t="shared" ca="1" si="12"/>
        <v/>
      </c>
      <c r="AD22" s="163" t="str">
        <f ca="1">IF($C22,IF($N22=9999,9999,IF($J22="Completado",$N22,MAX($N22,Sprints!$M$15))),"")</f>
        <v/>
      </c>
      <c r="AE22" s="163" t="str">
        <f t="shared" ca="1" si="13"/>
        <v/>
      </c>
      <c r="AF22" s="163" t="b">
        <f t="shared" ca="1" si="14"/>
        <v>0</v>
      </c>
      <c r="AG22" s="163" t="str">
        <f t="shared" ca="1" si="15"/>
        <v/>
      </c>
      <c r="AH22" s="164" t="str">
        <f ca="1">IF($AF22,IF(Sprints!$I22&lt;&gt;"",Sprints!$I22,"Comprometida y no completada al cierre del Sprint "&amp;$N22),"")</f>
        <v/>
      </c>
      <c r="AI22" s="163" t="str">
        <f t="shared" ca="1" si="16"/>
        <v/>
      </c>
      <c r="AJ22" s="163" t="str">
        <f t="shared" ca="1" si="17"/>
        <v/>
      </c>
      <c r="AK22" s="163" t="str">
        <f t="shared" ca="1" si="18"/>
        <v/>
      </c>
      <c r="AL22" s="163" t="str">
        <f t="shared" ca="1" si="19"/>
        <v/>
      </c>
      <c r="AM22" s="163" t="str">
        <f t="shared" ca="1" si="20"/>
        <v/>
      </c>
      <c r="AN22" s="164" t="str">
        <f t="shared" ca="1" si="21"/>
        <v/>
      </c>
      <c r="AO22" s="163" t="str">
        <f ca="1">IF($C22,IFERROR(INDEX(Sprints!$M$6:$M$13,MATCH($N22,Sprints!$K$6:$K$13,0)),""),"")</f>
        <v/>
      </c>
      <c r="AP22" s="163" t="str">
        <f t="shared" ca="1" si="22"/>
        <v/>
      </c>
    </row>
    <row r="23" spans="1:42" x14ac:dyDescent="0.35">
      <c r="A23" s="163">
        <f>ROW()</f>
        <v>23</v>
      </c>
      <c r="B23" s="163" t="b">
        <f>ISTEXT('Proyecto Datos (OKR´s)'!$K23)</f>
        <v>0</v>
      </c>
      <c r="C23" s="163" t="b">
        <f>AND(LEN('Proyecto Datos (OKR´s)'!$G23)&gt;0,NOT($B23),OR(ISNUMBER('Proyecto Datos (OKR´s)'!$F23),ISNUMBER('Proyecto Datos (OKR´s)'!$L23)))</f>
        <v>1</v>
      </c>
      <c r="D23" s="164" t="str">
        <f>IF($C23,IFERROR(LOOKUP(2,1/((ISTEXT('Proyecto Datos (OKR´s)'!$K$7:$K23))*(LEN('Proyecto Datos (OKR´s)'!$G$7:$G23)&gt;0)),'Proyecto Datos (OKR´s)'!$G$7:$G23),""),"")</f>
        <v>3- Tablero BI OPEX - Real vs BO</v>
      </c>
      <c r="E23" s="163">
        <f>IF($C23,'Proyecto Datos (OKR´s)'!$E23,"")</f>
        <v>1</v>
      </c>
      <c r="F23" s="164" t="str">
        <f>IF($C23,'Proyecto Datos (OKR´s)'!$G23,"")</f>
        <v>Armado de Procedimiento</v>
      </c>
      <c r="G23" s="164" t="str">
        <f>IF($C23,IF('Proyecto Datos (OKR´s)'!$I23="","(Sin asignar)",'Proyecto Datos (OKR´s)'!$I23),"")</f>
        <v>Santiago Alonso</v>
      </c>
      <c r="H23" s="163">
        <f>IF($C23,IF(ISNUMBER('Proyecto Datos (OKR´s)'!$F23),'Proyecto Datos (OKR´s)'!$F23,'Proyecto Datos (OKR´s)'!$L23),"")</f>
        <v>46192</v>
      </c>
      <c r="I23" s="163">
        <f>IF($C23,'Proyecto Datos (OKR´s)'!$J23,"")</f>
        <v>0.9</v>
      </c>
      <c r="J23" s="164" t="str">
        <f ca="1">IF($C23,IF($I23&gt;=1,"Completado",IF($H23&lt;TODAY(),"Vencido",IF(($H23-TODAY())&lt;='Entregas Próximas'!$M$3,"Próximo a vencer","En curso"))),"")</f>
        <v>Próximo a vencer</v>
      </c>
      <c r="K23" s="163">
        <f t="shared" ca="1" si="0"/>
        <v>0</v>
      </c>
      <c r="L23" s="163">
        <f t="shared" ca="1" si="1"/>
        <v>2046192.0002299999</v>
      </c>
      <c r="M23" s="163">
        <f t="shared" ca="1" si="2"/>
        <v>2</v>
      </c>
      <c r="N23" s="163">
        <f>IF($C23,IF('Proyecto Datos (OKR´s)'!$E23="",9999,'Proyecto Datos (OKR´s)'!$E23),"")</f>
        <v>1</v>
      </c>
      <c r="O23" s="163" t="str">
        <f t="shared" si="3"/>
        <v>T023</v>
      </c>
      <c r="P23" s="163">
        <f t="shared" si="4"/>
        <v>17</v>
      </c>
      <c r="Q23" s="163" t="str">
        <f t="shared" ca="1" si="5"/>
        <v/>
      </c>
      <c r="R23" s="163">
        <f>IF($C23,IF(ISNUMBER('Proyecto Datos (OKR´s)'!$L23),'Proyecto Datos (OKR´s)'!$L23,$H23),"")</f>
        <v>46192</v>
      </c>
      <c r="S23" s="163">
        <f>IF($C23,$R23-'Proyecto Datos (OKR´s)'!$K23+1,"")</f>
        <v>11</v>
      </c>
      <c r="T23" s="163">
        <f ca="1">IF($C23,MAX(0,TODAY()-'Proyecto Datos (OKR´s)'!$K23),"")</f>
        <v>10</v>
      </c>
      <c r="U23" s="163">
        <f ca="1">IF($C23,MEDIAN(0,(TODAY()-'Proyecto Datos (OKR´s)'!$K23)/MAX(1,$R23-'Proyecto Datos (OKR´s)'!$K23),1),"")</f>
        <v>1</v>
      </c>
      <c r="V23" s="163">
        <f t="shared" ca="1" si="6"/>
        <v>-9.9999999999999978E-2</v>
      </c>
      <c r="W23" s="163">
        <f t="shared" ca="1" si="7"/>
        <v>0</v>
      </c>
      <c r="X23" s="163">
        <f t="shared" si="8"/>
        <v>0</v>
      </c>
      <c r="Y23" s="163">
        <f t="shared" ca="1" si="9"/>
        <v>35</v>
      </c>
      <c r="Z23" s="163" t="b">
        <f ca="1">IF($C23,AND($I23=0,'Proyecto Datos (OKR´s)'!$K23&lt;=TODAY(),$J23&lt;&gt;"Completado"),"")</f>
        <v>0</v>
      </c>
      <c r="AA23" s="163">
        <f t="shared" ca="1" si="10"/>
        <v>56</v>
      </c>
      <c r="AB23" s="164" t="str">
        <f t="shared" ca="1" si="11"/>
        <v>Alta</v>
      </c>
      <c r="AC23" s="164" t="str">
        <f t="shared" ca="1" si="12"/>
        <v>SOBRECARGA</v>
      </c>
      <c r="AD23" s="163">
        <f ca="1">IF($C23,IF($N23=9999,9999,IF($J23="Completado",$N23,MAX($N23,Sprints!$M$15))),"")</f>
        <v>2</v>
      </c>
      <c r="AE23" s="163">
        <f t="shared" ca="1" si="13"/>
        <v>2</v>
      </c>
      <c r="AF23" s="163" t="b">
        <f t="shared" ca="1" si="14"/>
        <v>1</v>
      </c>
      <c r="AG23" s="163">
        <f t="shared" ca="1" si="15"/>
        <v>46186</v>
      </c>
      <c r="AH23" s="164" t="str">
        <f ca="1">IF($AF23,IF(Sprints!$I23&lt;&gt;"",Sprints!$I23,"Comprometida y no completada al cierre del Sprint "&amp;$N23),"")</f>
        <v>Comprometida y no completada al cierre del Sprint 1</v>
      </c>
      <c r="AI23" s="163">
        <f t="shared" ca="1" si="16"/>
        <v>100023</v>
      </c>
      <c r="AJ23" s="163">
        <f t="shared" ca="1" si="17"/>
        <v>56000277</v>
      </c>
      <c r="AK23" s="163">
        <f t="shared" ca="1" si="18"/>
        <v>0.9</v>
      </c>
      <c r="AL23" s="163">
        <f t="shared" ca="1" si="19"/>
        <v>9.9999999999999978E-2</v>
      </c>
      <c r="AM23" s="163">
        <f t="shared" ca="1" si="20"/>
        <v>0.3</v>
      </c>
      <c r="AN23" s="164" t="str">
        <f t="shared" ca="1" si="21"/>
        <v xml:space="preserve">SOBRECARGA </v>
      </c>
      <c r="AO23" s="163">
        <f>IF($C23,IFERROR(INDEX(Sprints!$M$6:$M$13,MATCH($N23,Sprints!$K$6:$K$13,0)),""),"")</f>
        <v>46186</v>
      </c>
      <c r="AP23" s="163">
        <f t="shared" ca="1" si="22"/>
        <v>6</v>
      </c>
    </row>
    <row r="24" spans="1:42" x14ac:dyDescent="0.35">
      <c r="A24" s="163">
        <f>ROW()</f>
        <v>24</v>
      </c>
      <c r="B24" s="163" t="b">
        <f>ISTEXT('Proyecto Datos (OKR´s)'!$K24)</f>
        <v>0</v>
      </c>
      <c r="C24" s="163" t="b">
        <f>AND(LEN('Proyecto Datos (OKR´s)'!$G24)&gt;0,NOT($B24),OR(ISNUMBER('Proyecto Datos (OKR´s)'!$F24),ISNUMBER('Proyecto Datos (OKR´s)'!$L24)))</f>
        <v>1</v>
      </c>
      <c r="D24" s="164" t="str">
        <f>IF($C24,IFERROR(LOOKUP(2,1/((ISTEXT('Proyecto Datos (OKR´s)'!$K$7:$K24))*(LEN('Proyecto Datos (OKR´s)'!$G$7:$G24)&gt;0)),'Proyecto Datos (OKR´s)'!$G$7:$G24),""),"")</f>
        <v>3- Tablero BI OPEX - Real vs BO</v>
      </c>
      <c r="E24" s="163">
        <f>IF($C24,'Proyecto Datos (OKR´s)'!$E24,"")</f>
        <v>1</v>
      </c>
      <c r="F24" s="164" t="str">
        <f>IF($C24,'Proyecto Datos (OKR´s)'!$G24,"")</f>
        <v>Revisión de Gráfico en cascada: por desvío y desagregación por categorías.</v>
      </c>
      <c r="G24" s="164" t="str">
        <f>IF($C24,IF('Proyecto Datos (OKR´s)'!$I24="","(Sin asignar)",'Proyecto Datos (OKR´s)'!$I24),"")</f>
        <v>Santiago Alonso</v>
      </c>
      <c r="H24" s="163">
        <f>IF($C24,IF(ISNUMBER('Proyecto Datos (OKR´s)'!$F24),'Proyecto Datos (OKR´s)'!$F24,'Proyecto Datos (OKR´s)'!$L24),"")</f>
        <v>46192</v>
      </c>
      <c r="I24" s="163">
        <f>IF($C24,'Proyecto Datos (OKR´s)'!$J24,"")</f>
        <v>0.9</v>
      </c>
      <c r="J24" s="164" t="str">
        <f ca="1">IF($C24,IF($I24&gt;=1,"Completado",IF($H24&lt;TODAY(),"Vencido",IF(($H24-TODAY())&lt;='Entregas Próximas'!$M$3,"Próximo a vencer","En curso"))),"")</f>
        <v>Próximo a vencer</v>
      </c>
      <c r="K24" s="163">
        <f t="shared" ca="1" si="0"/>
        <v>0</v>
      </c>
      <c r="L24" s="163">
        <f t="shared" ca="1" si="1"/>
        <v>2046192.00024</v>
      </c>
      <c r="M24" s="163">
        <f t="shared" ca="1" si="2"/>
        <v>2</v>
      </c>
      <c r="N24" s="163">
        <f>IF($C24,IF('Proyecto Datos (OKR´s)'!$E24="",9999,'Proyecto Datos (OKR´s)'!$E24),"")</f>
        <v>1</v>
      </c>
      <c r="O24" s="163" t="str">
        <f t="shared" si="3"/>
        <v>T024</v>
      </c>
      <c r="P24" s="163">
        <f t="shared" si="4"/>
        <v>18</v>
      </c>
      <c r="Q24" s="163" t="str">
        <f t="shared" ca="1" si="5"/>
        <v/>
      </c>
      <c r="R24" s="163">
        <f>IF($C24,IF(ISNUMBER('Proyecto Datos (OKR´s)'!$L24),'Proyecto Datos (OKR´s)'!$L24,$H24),"")</f>
        <v>46192</v>
      </c>
      <c r="S24" s="163">
        <f>IF($C24,$R24-'Proyecto Datos (OKR´s)'!$K24+1,"")</f>
        <v>16</v>
      </c>
      <c r="T24" s="163">
        <f ca="1">IF($C24,MAX(0,TODAY()-'Proyecto Datos (OKR´s)'!$K24),"")</f>
        <v>15</v>
      </c>
      <c r="U24" s="163">
        <f ca="1">IF($C24,MEDIAN(0,(TODAY()-'Proyecto Datos (OKR´s)'!$K24)/MAX(1,$R24-'Proyecto Datos (OKR´s)'!$K24),1),"")</f>
        <v>1</v>
      </c>
      <c r="V24" s="163">
        <f t="shared" ca="1" si="6"/>
        <v>-9.9999999999999978E-2</v>
      </c>
      <c r="W24" s="163">
        <f t="shared" ca="1" si="7"/>
        <v>0</v>
      </c>
      <c r="X24" s="163">
        <f t="shared" si="8"/>
        <v>0</v>
      </c>
      <c r="Y24" s="163">
        <f t="shared" ca="1" si="9"/>
        <v>35</v>
      </c>
      <c r="Z24" s="163" t="b">
        <f ca="1">IF($C24,AND($I24=0,'Proyecto Datos (OKR´s)'!$K24&lt;=TODAY(),$J24&lt;&gt;"Completado"),"")</f>
        <v>0</v>
      </c>
      <c r="AA24" s="163">
        <f t="shared" ca="1" si="10"/>
        <v>56</v>
      </c>
      <c r="AB24" s="164" t="str">
        <f t="shared" ca="1" si="11"/>
        <v>Alta</v>
      </c>
      <c r="AC24" s="164" t="str">
        <f t="shared" ca="1" si="12"/>
        <v>SOBRECARGA</v>
      </c>
      <c r="AD24" s="163">
        <f ca="1">IF($C24,IF($N24=9999,9999,IF($J24="Completado",$N24,MAX($N24,Sprints!$M$15))),"")</f>
        <v>2</v>
      </c>
      <c r="AE24" s="163">
        <f t="shared" ca="1" si="13"/>
        <v>2</v>
      </c>
      <c r="AF24" s="163" t="b">
        <f t="shared" ca="1" si="14"/>
        <v>1</v>
      </c>
      <c r="AG24" s="163">
        <f t="shared" ca="1" si="15"/>
        <v>46186</v>
      </c>
      <c r="AH24" s="164" t="str">
        <f ca="1">IF($AF24,IF(Sprints!$I24&lt;&gt;"",Sprints!$I24,"Comprometida y no completada al cierre del Sprint "&amp;$N24),"")</f>
        <v>Comprometida y no completada al cierre del Sprint 1</v>
      </c>
      <c r="AI24" s="163">
        <f t="shared" ca="1" si="16"/>
        <v>100024</v>
      </c>
      <c r="AJ24" s="163">
        <f t="shared" ca="1" si="17"/>
        <v>56000276</v>
      </c>
      <c r="AK24" s="163">
        <f t="shared" ca="1" si="18"/>
        <v>0.9</v>
      </c>
      <c r="AL24" s="163">
        <f t="shared" ca="1" si="19"/>
        <v>9.9999999999999978E-2</v>
      </c>
      <c r="AM24" s="163">
        <f t="shared" ca="1" si="20"/>
        <v>0.3</v>
      </c>
      <c r="AN24" s="164" t="str">
        <f t="shared" ca="1" si="21"/>
        <v xml:space="preserve">SOBRECARGA </v>
      </c>
      <c r="AO24" s="163">
        <f>IF($C24,IFERROR(INDEX(Sprints!$M$6:$M$13,MATCH($N24,Sprints!$K$6:$K$13,0)),""),"")</f>
        <v>46186</v>
      </c>
      <c r="AP24" s="163">
        <f t="shared" ca="1" si="22"/>
        <v>6</v>
      </c>
    </row>
    <row r="25" spans="1:42" x14ac:dyDescent="0.35">
      <c r="A25" s="163">
        <f>ROW()</f>
        <v>25</v>
      </c>
      <c r="B25" s="163" t="b">
        <f>ISTEXT('Proyecto Datos (OKR´s)'!$K25)</f>
        <v>0</v>
      </c>
      <c r="C25" s="163" t="b">
        <f>AND(LEN('Proyecto Datos (OKR´s)'!$G25)&gt;0,NOT($B25),OR(ISNUMBER('Proyecto Datos (OKR´s)'!$F25),ISNUMBER('Proyecto Datos (OKR´s)'!$L25)))</f>
        <v>1</v>
      </c>
      <c r="D25" s="164" t="str">
        <f>IF($C25,IFERROR(LOOKUP(2,1/((ISTEXT('Proyecto Datos (OKR´s)'!$K$7:$K25))*(LEN('Proyecto Datos (OKR´s)'!$G$7:$G25)&gt;0)),'Proyecto Datos (OKR´s)'!$G$7:$G25),""),"")</f>
        <v>3- Tablero BI OPEX - Real vs BO</v>
      </c>
      <c r="E25" s="163">
        <f>IF($C25,'Proyecto Datos (OKR´s)'!$E25,"")</f>
        <v>1</v>
      </c>
      <c r="F25" s="164" t="str">
        <f>IF($C25,'Proyecto Datos (OKR´s)'!$G25,"")</f>
        <v>Revisión de viabilidad de incorporación datos Redash (input ZReal con clasificaciones automaticas por CECO - Directas e Indirectas)</v>
      </c>
      <c r="G25" s="164" t="str">
        <f>IF($C25,IF('Proyecto Datos (OKR´s)'!$I25="","(Sin asignar)",'Proyecto Datos (OKR´s)'!$I25),"")</f>
        <v>Santiago Alonso</v>
      </c>
      <c r="H25" s="163">
        <f>IF($C25,IF(ISNUMBER('Proyecto Datos (OKR´s)'!$F25),'Proyecto Datos (OKR´s)'!$F25,'Proyecto Datos (OKR´s)'!$L25),"")</f>
        <v>46185</v>
      </c>
      <c r="I25" s="163">
        <f>IF($C25,'Proyecto Datos (OKR´s)'!$J25,"")</f>
        <v>0.9</v>
      </c>
      <c r="J25" s="164" t="str">
        <f ca="1">IF($C25,IF($I25&gt;=1,"Completado",IF($H25&lt;TODAY(),"Vencido",IF(($H25-TODAY())&lt;='Entregas Próximas'!$M$3,"Próximo a vencer","En curso"))),"")</f>
        <v>Vencido</v>
      </c>
      <c r="K25" s="163">
        <f t="shared" ca="1" si="0"/>
        <v>-7</v>
      </c>
      <c r="L25" s="163">
        <f t="shared" ca="1" si="1"/>
        <v>2046185.00025</v>
      </c>
      <c r="M25" s="163">
        <f t="shared" ca="1" si="2"/>
        <v>2</v>
      </c>
      <c r="N25" s="163">
        <f>IF($C25,IF('Proyecto Datos (OKR´s)'!$E25="",9999,'Proyecto Datos (OKR´s)'!$E25),"")</f>
        <v>1</v>
      </c>
      <c r="O25" s="163" t="str">
        <f t="shared" si="3"/>
        <v>T025</v>
      </c>
      <c r="P25" s="163">
        <f t="shared" si="4"/>
        <v>19</v>
      </c>
      <c r="Q25" s="163" t="str">
        <f t="shared" ca="1" si="5"/>
        <v/>
      </c>
      <c r="R25" s="163">
        <f>IF($C25,IF(ISNUMBER('Proyecto Datos (OKR´s)'!$L25),'Proyecto Datos (OKR´s)'!$L25,$H25),"")</f>
        <v>46185</v>
      </c>
      <c r="S25" s="163">
        <f>IF($C25,$R25-'Proyecto Datos (OKR´s)'!$K25+1,"")</f>
        <v>9</v>
      </c>
      <c r="T25" s="163">
        <f ca="1">IF($C25,MAX(0,TODAY()-'Proyecto Datos (OKR´s)'!$K25),"")</f>
        <v>15</v>
      </c>
      <c r="U25" s="163">
        <f ca="1">IF($C25,MEDIAN(0,(TODAY()-'Proyecto Datos (OKR´s)'!$K25)/MAX(1,$R25-'Proyecto Datos (OKR´s)'!$K25),1),"")</f>
        <v>1</v>
      </c>
      <c r="V25" s="163">
        <f t="shared" ca="1" si="6"/>
        <v>-9.9999999999999978E-2</v>
      </c>
      <c r="W25" s="163">
        <f t="shared" ca="1" si="7"/>
        <v>7</v>
      </c>
      <c r="X25" s="163">
        <f t="shared" si="8"/>
        <v>0</v>
      </c>
      <c r="Y25" s="163">
        <f t="shared" ca="1" si="9"/>
        <v>35</v>
      </c>
      <c r="Z25" s="163" t="b">
        <f ca="1">IF($C25,AND($I25=0,'Proyecto Datos (OKR´s)'!$K25&lt;=TODAY(),$J25&lt;&gt;"Completado"),"")</f>
        <v>0</v>
      </c>
      <c r="AA25" s="163">
        <f t="shared" ca="1" si="10"/>
        <v>63</v>
      </c>
      <c r="AB25" s="164" t="str">
        <f t="shared" ca="1" si="11"/>
        <v>Alta</v>
      </c>
      <c r="AC25" s="164" t="str">
        <f t="shared" ca="1" si="12"/>
        <v>ATRASO SOBRECARGA</v>
      </c>
      <c r="AD25" s="163">
        <f ca="1">IF($C25,IF($N25=9999,9999,IF($J25="Completado",$N25,MAX($N25,Sprints!$M$15))),"")</f>
        <v>2</v>
      </c>
      <c r="AE25" s="163">
        <f t="shared" ca="1" si="13"/>
        <v>2</v>
      </c>
      <c r="AF25" s="163" t="b">
        <f t="shared" ca="1" si="14"/>
        <v>1</v>
      </c>
      <c r="AG25" s="163">
        <f t="shared" ca="1" si="15"/>
        <v>46186</v>
      </c>
      <c r="AH25" s="164" t="str">
        <f ca="1">IF($AF25,IF(Sprints!$I25&lt;&gt;"",Sprints!$I25,"Comprometida y no completada al cierre del Sprint "&amp;$N25),"")</f>
        <v>Comprometida y no completada al cierre del Sprint 1</v>
      </c>
      <c r="AI25" s="163">
        <f t="shared" ca="1" si="16"/>
        <v>100025</v>
      </c>
      <c r="AJ25" s="163">
        <f t="shared" ca="1" si="17"/>
        <v>63000975</v>
      </c>
      <c r="AK25" s="163">
        <f t="shared" ca="1" si="18"/>
        <v>1</v>
      </c>
      <c r="AL25" s="163">
        <f t="shared" ca="1" si="19"/>
        <v>0.23333333333333334</v>
      </c>
      <c r="AM25" s="163">
        <f t="shared" ca="1" si="20"/>
        <v>0.3</v>
      </c>
      <c r="AN25" s="164" t="str">
        <f t="shared" ca="1" si="21"/>
        <v xml:space="preserve">ATRASO SOBRECARGA </v>
      </c>
      <c r="AO25" s="163">
        <f>IF($C25,IFERROR(INDEX(Sprints!$M$6:$M$13,MATCH($N25,Sprints!$K$6:$K$13,0)),""),"")</f>
        <v>46186</v>
      </c>
      <c r="AP25" s="163">
        <f t="shared" ca="1" si="22"/>
        <v>6</v>
      </c>
    </row>
    <row r="26" spans="1:42" x14ac:dyDescent="0.35">
      <c r="A26" s="163">
        <f>ROW()</f>
        <v>26</v>
      </c>
      <c r="B26" s="163" t="b">
        <f>ISTEXT('Proyecto Datos (OKR´s)'!$K26)</f>
        <v>0</v>
      </c>
      <c r="C26" s="163" t="b">
        <f>AND(LEN('Proyecto Datos (OKR´s)'!$G26)&gt;0,NOT($B26),OR(ISNUMBER('Proyecto Datos (OKR´s)'!$F26),ISNUMBER('Proyecto Datos (OKR´s)'!$L26)))</f>
        <v>1</v>
      </c>
      <c r="D26" s="164" t="str">
        <f>IF($C26,IFERROR(LOOKUP(2,1/((ISTEXT('Proyecto Datos (OKR´s)'!$K$7:$K26))*(LEN('Proyecto Datos (OKR´s)'!$G$7:$G26)&gt;0)),'Proyecto Datos (OKR´s)'!$G$7:$G26),""),"")</f>
        <v>3- Tablero BI OPEX - Real vs BO</v>
      </c>
      <c r="E26" s="163">
        <f>IF($C26,'Proyecto Datos (OKR´s)'!$E26,"")</f>
        <v>0</v>
      </c>
      <c r="F26" s="164" t="str">
        <f>IF($C26,'Proyecto Datos (OKR´s)'!$G26,"")</f>
        <v>Revisión y Publicación de Tablero</v>
      </c>
      <c r="G26" s="164" t="str">
        <f>IF($C26,IF('Proyecto Datos (OKR´s)'!$I26="","(Sin asignar)",'Proyecto Datos (OKR´s)'!$I26),"")</f>
        <v>Santiago Alonso</v>
      </c>
      <c r="H26" s="163">
        <f>IF($C26,IF(ISNUMBER('Proyecto Datos (OKR´s)'!$F26),'Proyecto Datos (OKR´s)'!$F26,'Proyecto Datos (OKR´s)'!$L26),"")</f>
        <v>46199</v>
      </c>
      <c r="I26" s="163">
        <f>IF($C26,'Proyecto Datos (OKR´s)'!$J26,"")</f>
        <v>0.8</v>
      </c>
      <c r="J26" s="164" t="str">
        <f ca="1">IF($C26,IF($I26&gt;=1,"Completado",IF($H26&lt;TODAY(),"Vencido",IF(($H26-TODAY())&lt;='Entregas Próximas'!$M$3,"Próximo a vencer","En curso"))),"")</f>
        <v>Próximo a vencer</v>
      </c>
      <c r="K26" s="163">
        <f t="shared" ca="1" si="0"/>
        <v>7</v>
      </c>
      <c r="L26" s="163">
        <f t="shared" si="1"/>
        <v>9999046199.0002594</v>
      </c>
      <c r="M26" s="163" t="str">
        <f t="shared" si="2"/>
        <v>(Sin sprint)</v>
      </c>
      <c r="N26" s="163">
        <f>IF($C26,IF('Proyecto Datos (OKR´s)'!$E26="",9999,'Proyecto Datos (OKR´s)'!$E26),"")</f>
        <v>9999</v>
      </c>
      <c r="O26" s="163" t="str">
        <f t="shared" si="3"/>
        <v>T026</v>
      </c>
      <c r="P26" s="163">
        <f t="shared" si="4"/>
        <v>20</v>
      </c>
      <c r="Q26" s="163" t="str">
        <f t="shared" ca="1" si="5"/>
        <v/>
      </c>
      <c r="R26" s="163">
        <f>IF($C26,IF(ISNUMBER('Proyecto Datos (OKR´s)'!$L26),'Proyecto Datos (OKR´s)'!$L26,$H26),"")</f>
        <v>46199</v>
      </c>
      <c r="S26" s="163">
        <f>IF($C26,$R26-'Proyecto Datos (OKR´s)'!$K26+1,"")</f>
        <v>15</v>
      </c>
      <c r="T26" s="163">
        <f ca="1">IF($C26,MAX(0,TODAY()-'Proyecto Datos (OKR´s)'!$K26),"")</f>
        <v>7</v>
      </c>
      <c r="U26" s="163">
        <f ca="1">IF($C26,MEDIAN(0,(TODAY()-'Proyecto Datos (OKR´s)'!$K26)/MAX(1,$R26-'Proyecto Datos (OKR´s)'!$K26),1),"")</f>
        <v>0.5</v>
      </c>
      <c r="V26" s="163">
        <f t="shared" ca="1" si="6"/>
        <v>0.30000000000000004</v>
      </c>
      <c r="W26" s="163">
        <f t="shared" ca="1" si="7"/>
        <v>0</v>
      </c>
      <c r="X26" s="163">
        <f t="shared" si="8"/>
        <v>0</v>
      </c>
      <c r="Y26" s="163">
        <f t="shared" ca="1" si="9"/>
        <v>35</v>
      </c>
      <c r="Z26" s="163" t="b">
        <f ca="1">IF($C26,AND($I26=0,'Proyecto Datos (OKR´s)'!$K26&lt;=TODAY(),$J26&lt;&gt;"Completado"),"")</f>
        <v>0</v>
      </c>
      <c r="AA26" s="163">
        <f t="shared" ca="1" si="10"/>
        <v>46</v>
      </c>
      <c r="AB26" s="164" t="str">
        <f t="shared" ca="1" si="11"/>
        <v>Alta</v>
      </c>
      <c r="AC26" s="164" t="str">
        <f t="shared" ca="1" si="12"/>
        <v>SOBRECARGA</v>
      </c>
      <c r="AD26" s="163">
        <f>IF($C26,IF($N26=9999,9999,IF($J26="Completado",$N26,MAX($N26,Sprints!$M$15))),"")</f>
        <v>9999</v>
      </c>
      <c r="AE26" s="163" t="str">
        <f t="shared" si="13"/>
        <v>(Sin sprint)</v>
      </c>
      <c r="AF26" s="163" t="b">
        <f t="shared" si="14"/>
        <v>0</v>
      </c>
      <c r="AG26" s="163" t="str">
        <f t="shared" si="15"/>
        <v/>
      </c>
      <c r="AH26" s="164" t="str">
        <f>IF($AF26,IF(Sprints!$I26&lt;&gt;"",Sprints!$I26,"Comprometida y no completada al cierre del Sprint "&amp;$N26),"")</f>
        <v/>
      </c>
      <c r="AI26" s="163" t="str">
        <f t="shared" si="16"/>
        <v/>
      </c>
      <c r="AJ26" s="163">
        <f t="shared" ca="1" si="17"/>
        <v>45999574</v>
      </c>
      <c r="AK26" s="163">
        <f t="shared" ca="1" si="18"/>
        <v>0.7</v>
      </c>
      <c r="AL26" s="163">
        <f t="shared" ca="1" si="19"/>
        <v>0</v>
      </c>
      <c r="AM26" s="163">
        <f t="shared" ca="1" si="20"/>
        <v>0.3</v>
      </c>
      <c r="AN26" s="164" t="str">
        <f t="shared" ca="1" si="21"/>
        <v xml:space="preserve">SOBRECARGA </v>
      </c>
      <c r="AO26" s="163" t="str">
        <f>IF($C26,IFERROR(INDEX(Sprints!$M$6:$M$13,MATCH($N26,Sprints!$K$6:$K$13,0)),""),"")</f>
        <v/>
      </c>
      <c r="AP26" s="163">
        <f t="shared" ca="1" si="22"/>
        <v>0</v>
      </c>
    </row>
    <row r="27" spans="1:42" x14ac:dyDescent="0.35">
      <c r="A27" s="163">
        <f>ROW()</f>
        <v>27</v>
      </c>
      <c r="B27" s="163" t="b">
        <f>ISTEXT('Proyecto Datos (OKR´s)'!$K27)</f>
        <v>1</v>
      </c>
      <c r="C27" s="163" t="b">
        <f ca="1">AND(LEN('Proyecto Datos (OKR´s)'!$G27)&gt;0,NOT($B27),OR(ISNUMBER('Proyecto Datos (OKR´s)'!$F27),ISNUMBER('Proyecto Datos (OKR´s)'!$L27)))</f>
        <v>0</v>
      </c>
      <c r="D27" s="164" t="str">
        <f ca="1">IF($C27,IFERROR(LOOKUP(2,1/((ISTEXT('Proyecto Datos (OKR´s)'!$K$7:$K27))*(LEN('Proyecto Datos (OKR´s)'!$G$7:$G27)&gt;0)),'Proyecto Datos (OKR´s)'!$G$7:$G27),""),"")</f>
        <v/>
      </c>
      <c r="E27" s="163" t="str">
        <f ca="1">IF($C27,'Proyecto Datos (OKR´s)'!$E27,"")</f>
        <v/>
      </c>
      <c r="F27" s="164" t="str">
        <f ca="1">IF($C27,'Proyecto Datos (OKR´s)'!$G27,"")</f>
        <v/>
      </c>
      <c r="G27" s="164" t="str">
        <f ca="1">IF($C27,IF('Proyecto Datos (OKR´s)'!$I27="","(Sin asignar)",'Proyecto Datos (OKR´s)'!$I27),"")</f>
        <v/>
      </c>
      <c r="H27" s="163" t="str">
        <f ca="1">IF($C27,IF(ISNUMBER('Proyecto Datos (OKR´s)'!$F27),'Proyecto Datos (OKR´s)'!$F27,'Proyecto Datos (OKR´s)'!$L27),"")</f>
        <v/>
      </c>
      <c r="I27" s="163" t="str">
        <f ca="1">IF($C27,'Proyecto Datos (OKR´s)'!$J27,"")</f>
        <v/>
      </c>
      <c r="J27" s="164" t="str">
        <f ca="1">IF($C27,IF($I27&gt;=1,"Completado",IF($H27&lt;TODAY(),"Vencido",IF(($H27-TODAY())&lt;='Entregas Próximas'!$M$3,"Próximo a vencer","En curso"))),"")</f>
        <v/>
      </c>
      <c r="K27" s="163" t="str">
        <f t="shared" ca="1" si="0"/>
        <v/>
      </c>
      <c r="L27" s="163" t="str">
        <f t="shared" ca="1" si="1"/>
        <v/>
      </c>
      <c r="M27" s="163" t="str">
        <f t="shared" ca="1" si="2"/>
        <v/>
      </c>
      <c r="N27" s="163" t="str">
        <f ca="1">IF($C27,IF('Proyecto Datos (OKR´s)'!$E27="",9999,'Proyecto Datos (OKR´s)'!$E27),"")</f>
        <v/>
      </c>
      <c r="O27" s="163" t="str">
        <f t="shared" ca="1" si="3"/>
        <v/>
      </c>
      <c r="P27" s="163">
        <f t="shared" si="4"/>
        <v>21</v>
      </c>
      <c r="Q27" s="163" t="str">
        <f t="shared" ca="1" si="5"/>
        <v/>
      </c>
      <c r="R27" s="163" t="str">
        <f ca="1">IF($C27,IF(ISNUMBER('Proyecto Datos (OKR´s)'!$L27),'Proyecto Datos (OKR´s)'!$L27,$H27),"")</f>
        <v/>
      </c>
      <c r="S27" s="163" t="str">
        <f ca="1">IF($C27,$R27-'Proyecto Datos (OKR´s)'!$K27+1,"")</f>
        <v/>
      </c>
      <c r="T27" s="163" t="str">
        <f ca="1">IF($C27,MAX(0,TODAY()-'Proyecto Datos (OKR´s)'!$K27),"")</f>
        <v/>
      </c>
      <c r="U27" s="163" t="str">
        <f ca="1">IF($C27,MEDIAN(0,(TODAY()-'Proyecto Datos (OKR´s)'!$K27)/MAX(1,$R27-'Proyecto Datos (OKR´s)'!$K27),1),"")</f>
        <v/>
      </c>
      <c r="V27" s="163" t="str">
        <f t="shared" ca="1" si="6"/>
        <v/>
      </c>
      <c r="W27" s="163" t="str">
        <f t="shared" ca="1" si="7"/>
        <v/>
      </c>
      <c r="X27" s="163" t="str">
        <f t="shared" ca="1" si="8"/>
        <v/>
      </c>
      <c r="Y27" s="163" t="str">
        <f t="shared" ca="1" si="9"/>
        <v/>
      </c>
      <c r="Z27" s="163" t="str">
        <f ca="1">IF($C27,AND($I27=0,'Proyecto Datos (OKR´s)'!$K27&lt;=TODAY(),$J27&lt;&gt;"Completado"),"")</f>
        <v/>
      </c>
      <c r="AA27" s="163" t="str">
        <f t="shared" ca="1" si="10"/>
        <v/>
      </c>
      <c r="AB27" s="164" t="str">
        <f t="shared" ca="1" si="11"/>
        <v/>
      </c>
      <c r="AC27" s="164" t="str">
        <f t="shared" ca="1" si="12"/>
        <v/>
      </c>
      <c r="AD27" s="163" t="str">
        <f ca="1">IF($C27,IF($N27=9999,9999,IF($J27="Completado",$N27,MAX($N27,Sprints!$M$15))),"")</f>
        <v/>
      </c>
      <c r="AE27" s="163" t="str">
        <f t="shared" ca="1" si="13"/>
        <v/>
      </c>
      <c r="AF27" s="163" t="b">
        <f t="shared" ca="1" si="14"/>
        <v>0</v>
      </c>
      <c r="AG27" s="163" t="str">
        <f t="shared" ca="1" si="15"/>
        <v/>
      </c>
      <c r="AH27" s="164" t="str">
        <f ca="1">IF($AF27,IF(Sprints!$I27&lt;&gt;"",Sprints!$I27,"Comprometida y no completada al cierre del Sprint "&amp;$N27),"")</f>
        <v/>
      </c>
      <c r="AI27" s="163" t="str">
        <f t="shared" ca="1" si="16"/>
        <v/>
      </c>
      <c r="AJ27" s="163" t="str">
        <f t="shared" ca="1" si="17"/>
        <v/>
      </c>
      <c r="AK27" s="163" t="str">
        <f t="shared" ca="1" si="18"/>
        <v/>
      </c>
      <c r="AL27" s="163" t="str">
        <f t="shared" ca="1" si="19"/>
        <v/>
      </c>
      <c r="AM27" s="163" t="str">
        <f t="shared" ca="1" si="20"/>
        <v/>
      </c>
      <c r="AN27" s="164" t="str">
        <f t="shared" ca="1" si="21"/>
        <v/>
      </c>
      <c r="AO27" s="163" t="str">
        <f ca="1">IF($C27,IFERROR(INDEX(Sprints!$M$6:$M$13,MATCH($N27,Sprints!$K$6:$K$13,0)),""),"")</f>
        <v/>
      </c>
      <c r="AP27" s="163" t="str">
        <f t="shared" ca="1" si="22"/>
        <v/>
      </c>
    </row>
    <row r="28" spans="1:42" x14ac:dyDescent="0.35">
      <c r="A28" s="163">
        <f>ROW()</f>
        <v>28</v>
      </c>
      <c r="B28" s="163" t="b">
        <f>ISTEXT('Proyecto Datos (OKR´s)'!$K28)</f>
        <v>0</v>
      </c>
      <c r="C28" s="163" t="b">
        <f>AND(LEN('Proyecto Datos (OKR´s)'!$G28)&gt;0,NOT($B28),OR(ISNUMBER('Proyecto Datos (OKR´s)'!$F28),ISNUMBER('Proyecto Datos (OKR´s)'!$L28)))</f>
        <v>1</v>
      </c>
      <c r="D28" s="164" t="str">
        <f>IF($C28,IFERROR(LOOKUP(2,1/((ISTEXT('Proyecto Datos (OKR´s)'!$K$7:$K28))*(LEN('Proyecto Datos (OKR´s)'!$G$7:$G28)&gt;0)),'Proyecto Datos (OKR´s)'!$G$7:$G28),""),"")</f>
        <v>4- Tablero BI DEUDA</v>
      </c>
      <c r="E28" s="163">
        <f>IF($C28,'Proyecto Datos (OKR´s)'!$E28,"")</f>
        <v>1</v>
      </c>
      <c r="F28" s="164" t="str">
        <f>IF($C28,'Proyecto Datos (OKR´s)'!$G28,"")</f>
        <v>Procedimiento</v>
      </c>
      <c r="G28" s="164" t="str">
        <f>IF($C28,IF('Proyecto Datos (OKR´s)'!$I28="","(Sin asignar)",'Proyecto Datos (OKR´s)'!$I28),"")</f>
        <v>Santiago Alonso</v>
      </c>
      <c r="H28" s="163">
        <f>IF($C28,IF(ISNUMBER('Proyecto Datos (OKR´s)'!$F28),'Proyecto Datos (OKR´s)'!$F28,'Proyecto Datos (OKR´s)'!$L28),"")</f>
        <v>46185</v>
      </c>
      <c r="I28" s="163">
        <f>IF($C28,'Proyecto Datos (OKR´s)'!$J28,"")</f>
        <v>0.9</v>
      </c>
      <c r="J28" s="164" t="str">
        <f ca="1">IF($C28,IF($I28&gt;=1,"Completado",IF($H28&lt;TODAY(),"Vencido",IF(($H28-TODAY())&lt;='Entregas Próximas'!$M$3,"Próximo a vencer","En curso"))),"")</f>
        <v>Vencido</v>
      </c>
      <c r="K28" s="163">
        <f t="shared" ca="1" si="0"/>
        <v>-7</v>
      </c>
      <c r="L28" s="163">
        <f t="shared" ca="1" si="1"/>
        <v>2046185.00028</v>
      </c>
      <c r="M28" s="163">
        <f t="shared" ca="1" si="2"/>
        <v>2</v>
      </c>
      <c r="N28" s="163">
        <f>IF($C28,IF('Proyecto Datos (OKR´s)'!$E28="",9999,'Proyecto Datos (OKR´s)'!$E28),"")</f>
        <v>1</v>
      </c>
      <c r="O28" s="163" t="str">
        <f t="shared" si="3"/>
        <v>T028</v>
      </c>
      <c r="P28" s="163">
        <f t="shared" si="4"/>
        <v>22</v>
      </c>
      <c r="Q28" s="163" t="str">
        <f t="shared" ca="1" si="5"/>
        <v/>
      </c>
      <c r="R28" s="163">
        <f>IF($C28,IF(ISNUMBER('Proyecto Datos (OKR´s)'!$L28),'Proyecto Datos (OKR´s)'!$L28,$H28),"")</f>
        <v>46185</v>
      </c>
      <c r="S28" s="163">
        <f>IF($C28,$R28-'Proyecto Datos (OKR´s)'!$K28+1,"")</f>
        <v>5</v>
      </c>
      <c r="T28" s="163">
        <f ca="1">IF($C28,MAX(0,TODAY()-'Proyecto Datos (OKR´s)'!$K28),"")</f>
        <v>11</v>
      </c>
      <c r="U28" s="163">
        <f ca="1">IF($C28,MEDIAN(0,(TODAY()-'Proyecto Datos (OKR´s)'!$K28)/MAX(1,$R28-'Proyecto Datos (OKR´s)'!$K28),1),"")</f>
        <v>1</v>
      </c>
      <c r="V28" s="163">
        <f t="shared" ca="1" si="6"/>
        <v>-9.9999999999999978E-2</v>
      </c>
      <c r="W28" s="163">
        <f t="shared" ca="1" si="7"/>
        <v>7</v>
      </c>
      <c r="X28" s="163">
        <f t="shared" si="8"/>
        <v>0</v>
      </c>
      <c r="Y28" s="163">
        <f t="shared" ca="1" si="9"/>
        <v>35</v>
      </c>
      <c r="Z28" s="163" t="b">
        <f ca="1">IF($C28,AND($I28=0,'Proyecto Datos (OKR´s)'!$K28&lt;=TODAY(),$J28&lt;&gt;"Completado"),"")</f>
        <v>0</v>
      </c>
      <c r="AA28" s="163">
        <f t="shared" ca="1" si="10"/>
        <v>63</v>
      </c>
      <c r="AB28" s="164" t="str">
        <f t="shared" ca="1" si="11"/>
        <v>Alta</v>
      </c>
      <c r="AC28" s="164" t="str">
        <f t="shared" ca="1" si="12"/>
        <v>ATRASO SOBRECARGA</v>
      </c>
      <c r="AD28" s="163">
        <f ca="1">IF($C28,IF($N28=9999,9999,IF($J28="Completado",$N28,MAX($N28,Sprints!$M$15))),"")</f>
        <v>2</v>
      </c>
      <c r="AE28" s="163">
        <f t="shared" ca="1" si="13"/>
        <v>2</v>
      </c>
      <c r="AF28" s="163" t="b">
        <f t="shared" ca="1" si="14"/>
        <v>1</v>
      </c>
      <c r="AG28" s="163">
        <f t="shared" ca="1" si="15"/>
        <v>46186</v>
      </c>
      <c r="AH28" s="164" t="str">
        <f ca="1">IF($AF28,IF(Sprints!$I28&lt;&gt;"",Sprints!$I28,"Comprometida y no completada al cierre del Sprint "&amp;$N28),"")</f>
        <v>Comprometida y no completada al cierre del Sprint 1</v>
      </c>
      <c r="AI28" s="163">
        <f t="shared" ca="1" si="16"/>
        <v>100028</v>
      </c>
      <c r="AJ28" s="163">
        <f t="shared" ca="1" si="17"/>
        <v>63000972</v>
      </c>
      <c r="AK28" s="163">
        <f t="shared" ca="1" si="18"/>
        <v>1</v>
      </c>
      <c r="AL28" s="163">
        <f t="shared" ca="1" si="19"/>
        <v>0.23333333333333334</v>
      </c>
      <c r="AM28" s="163">
        <f t="shared" ca="1" si="20"/>
        <v>0.3</v>
      </c>
      <c r="AN28" s="164" t="str">
        <f t="shared" ca="1" si="21"/>
        <v xml:space="preserve">ATRASO SOBRECARGA </v>
      </c>
      <c r="AO28" s="163">
        <f>IF($C28,IFERROR(INDEX(Sprints!$M$6:$M$13,MATCH($N28,Sprints!$K$6:$K$13,0)),""),"")</f>
        <v>46186</v>
      </c>
      <c r="AP28" s="163">
        <f t="shared" ca="1" si="22"/>
        <v>6</v>
      </c>
    </row>
    <row r="29" spans="1:42" x14ac:dyDescent="0.35">
      <c r="A29" s="163">
        <f>ROW()</f>
        <v>29</v>
      </c>
      <c r="B29" s="163" t="b">
        <f>ISTEXT('Proyecto Datos (OKR´s)'!$K29)</f>
        <v>0</v>
      </c>
      <c r="C29" s="163" t="b">
        <f>AND(LEN('Proyecto Datos (OKR´s)'!$G29)&gt;0,NOT($B29),OR(ISNUMBER('Proyecto Datos (OKR´s)'!$F29),ISNUMBER('Proyecto Datos (OKR´s)'!$L29)))</f>
        <v>1</v>
      </c>
      <c r="D29" s="164" t="str">
        <f>IF($C29,IFERROR(LOOKUP(2,1/((ISTEXT('Proyecto Datos (OKR´s)'!$K$7:$K29))*(LEN('Proyecto Datos (OKR´s)'!$G$7:$G29)&gt;0)),'Proyecto Datos (OKR´s)'!$G$7:$G29),""),"")</f>
        <v>4- Tablero BI DEUDA</v>
      </c>
      <c r="E29" s="163">
        <f>IF($C29,'Proyecto Datos (OKR´s)'!$E29,"")</f>
        <v>1</v>
      </c>
      <c r="F29" s="164" t="str">
        <f>IF($C29,'Proyecto Datos (OKR´s)'!$G29,"")</f>
        <v>Aging - desde SharePoint</v>
      </c>
      <c r="G29" s="164" t="str">
        <f>IF($C29,IF('Proyecto Datos (OKR´s)'!$I29="","(Sin asignar)",'Proyecto Datos (OKR´s)'!$I29),"")</f>
        <v>Santiago Alonso</v>
      </c>
      <c r="H29" s="163">
        <f>IF($C29,IF(ISNUMBER('Proyecto Datos (OKR´s)'!$F29),'Proyecto Datos (OKR´s)'!$F29,'Proyecto Datos (OKR´s)'!$L29),"")</f>
        <v>46185</v>
      </c>
      <c r="I29" s="163">
        <f>IF($C29,'Proyecto Datos (OKR´s)'!$J29,"")</f>
        <v>0.9</v>
      </c>
      <c r="J29" s="164" t="str">
        <f ca="1">IF($C29,IF($I29&gt;=1,"Completado",IF($H29&lt;TODAY(),"Vencido",IF(($H29-TODAY())&lt;='Entregas Próximas'!$M$3,"Próximo a vencer","En curso"))),"")</f>
        <v>Vencido</v>
      </c>
      <c r="K29" s="163">
        <f t="shared" ca="1" si="0"/>
        <v>-7</v>
      </c>
      <c r="L29" s="163">
        <f t="shared" ca="1" si="1"/>
        <v>2046185.0002900001</v>
      </c>
      <c r="M29" s="163">
        <f t="shared" ca="1" si="2"/>
        <v>2</v>
      </c>
      <c r="N29" s="163">
        <f>IF($C29,IF('Proyecto Datos (OKR´s)'!$E29="",9999,'Proyecto Datos (OKR´s)'!$E29),"")</f>
        <v>1</v>
      </c>
      <c r="O29" s="163" t="str">
        <f t="shared" si="3"/>
        <v>T029</v>
      </c>
      <c r="P29" s="163">
        <f t="shared" si="4"/>
        <v>23</v>
      </c>
      <c r="Q29" s="163" t="str">
        <f t="shared" ca="1" si="5"/>
        <v/>
      </c>
      <c r="R29" s="163">
        <f>IF($C29,IF(ISNUMBER('Proyecto Datos (OKR´s)'!$L29),'Proyecto Datos (OKR´s)'!$L29,$H29),"")</f>
        <v>46185</v>
      </c>
      <c r="S29" s="163">
        <f>IF($C29,$R29-'Proyecto Datos (OKR´s)'!$K29+1,"")</f>
        <v>194</v>
      </c>
      <c r="T29" s="163">
        <f ca="1">IF($C29,MAX(0,TODAY()-'Proyecto Datos (OKR´s)'!$K29),"")</f>
        <v>200</v>
      </c>
      <c r="U29" s="163">
        <f ca="1">IF($C29,MEDIAN(0,(TODAY()-'Proyecto Datos (OKR´s)'!$K29)/MAX(1,$R29-'Proyecto Datos (OKR´s)'!$K29),1),"")</f>
        <v>1</v>
      </c>
      <c r="V29" s="163">
        <f t="shared" ca="1" si="6"/>
        <v>-9.9999999999999978E-2</v>
      </c>
      <c r="W29" s="163">
        <f t="shared" ca="1" si="7"/>
        <v>7</v>
      </c>
      <c r="X29" s="163">
        <f t="shared" si="8"/>
        <v>0</v>
      </c>
      <c r="Y29" s="163">
        <f t="shared" ca="1" si="9"/>
        <v>35</v>
      </c>
      <c r="Z29" s="163" t="b">
        <f ca="1">IF($C29,AND($I29=0,'Proyecto Datos (OKR´s)'!$K29&lt;=TODAY(),$J29&lt;&gt;"Completado"),"")</f>
        <v>0</v>
      </c>
      <c r="AA29" s="163">
        <f t="shared" ca="1" si="10"/>
        <v>63</v>
      </c>
      <c r="AB29" s="164" t="str">
        <f t="shared" ca="1" si="11"/>
        <v>Alta</v>
      </c>
      <c r="AC29" s="164" t="str">
        <f t="shared" ca="1" si="12"/>
        <v>ATRASO SOBRECARGA</v>
      </c>
      <c r="AD29" s="163">
        <f ca="1">IF($C29,IF($N29=9999,9999,IF($J29="Completado",$N29,MAX($N29,Sprints!$M$15))),"")</f>
        <v>2</v>
      </c>
      <c r="AE29" s="163">
        <f t="shared" ca="1" si="13"/>
        <v>2</v>
      </c>
      <c r="AF29" s="163" t="b">
        <f t="shared" ca="1" si="14"/>
        <v>1</v>
      </c>
      <c r="AG29" s="163">
        <f t="shared" ca="1" si="15"/>
        <v>46186</v>
      </c>
      <c r="AH29" s="164" t="str">
        <f ca="1">IF($AF29,IF(Sprints!$I29&lt;&gt;"",Sprints!$I29,"Comprometida y no completada al cierre del Sprint "&amp;$N29),"")</f>
        <v>Comprometida y no completada al cierre del Sprint 1</v>
      </c>
      <c r="AI29" s="163">
        <f t="shared" ca="1" si="16"/>
        <v>100029</v>
      </c>
      <c r="AJ29" s="163">
        <f t="shared" ca="1" si="17"/>
        <v>63000971</v>
      </c>
      <c r="AK29" s="163">
        <f t="shared" ca="1" si="18"/>
        <v>1</v>
      </c>
      <c r="AL29" s="163">
        <f t="shared" ca="1" si="19"/>
        <v>0.23333333333333334</v>
      </c>
      <c r="AM29" s="163">
        <f t="shared" ca="1" si="20"/>
        <v>0.3</v>
      </c>
      <c r="AN29" s="164" t="str">
        <f t="shared" ca="1" si="21"/>
        <v xml:space="preserve">ATRASO SOBRECARGA </v>
      </c>
      <c r="AO29" s="163">
        <f>IF($C29,IFERROR(INDEX(Sprints!$M$6:$M$13,MATCH($N29,Sprints!$K$6:$K$13,0)),""),"")</f>
        <v>46186</v>
      </c>
      <c r="AP29" s="163">
        <f t="shared" ca="1" si="22"/>
        <v>6</v>
      </c>
    </row>
    <row r="30" spans="1:42" x14ac:dyDescent="0.35">
      <c r="A30" s="163">
        <f>ROW()</f>
        <v>30</v>
      </c>
      <c r="B30" s="163" t="b">
        <f>ISTEXT('Proyecto Datos (OKR´s)'!$K30)</f>
        <v>0</v>
      </c>
      <c r="C30" s="163" t="b">
        <f>AND(LEN('Proyecto Datos (OKR´s)'!$G30)&gt;0,NOT($B30),OR(ISNUMBER('Proyecto Datos (OKR´s)'!$F30),ISNUMBER('Proyecto Datos (OKR´s)'!$L30)))</f>
        <v>1</v>
      </c>
      <c r="D30" s="164" t="str">
        <f>IF($C30,IFERROR(LOOKUP(2,1/((ISTEXT('Proyecto Datos (OKR´s)'!$K$7:$K30))*(LEN('Proyecto Datos (OKR´s)'!$G$7:$G30)&gt;0)),'Proyecto Datos (OKR´s)'!$G$7:$G30),""),"")</f>
        <v>4- Tablero BI DEUDA</v>
      </c>
      <c r="E30" s="163">
        <f>IF($C30,'Proyecto Datos (OKR´s)'!$E30,"")</f>
        <v>1</v>
      </c>
      <c r="F30" s="164" t="str">
        <f>IF($C30,'Proyecto Datos (OKR´s)'!$G30,"")</f>
        <v>Dias en Calle - desde SharePoint</v>
      </c>
      <c r="G30" s="164" t="str">
        <f>IF($C30,IF('Proyecto Datos (OKR´s)'!$I30="","(Sin asignar)",'Proyecto Datos (OKR´s)'!$I30),"")</f>
        <v>Santiago Alonso</v>
      </c>
      <c r="H30" s="163">
        <f>IF($C30,IF(ISNUMBER('Proyecto Datos (OKR´s)'!$F30),'Proyecto Datos (OKR´s)'!$F30,'Proyecto Datos (OKR´s)'!$L30),"")</f>
        <v>46185</v>
      </c>
      <c r="I30" s="163">
        <f>IF($C30,'Proyecto Datos (OKR´s)'!$J30,"")</f>
        <v>0.9</v>
      </c>
      <c r="J30" s="164" t="str">
        <f ca="1">IF($C30,IF($I30&gt;=1,"Completado",IF($H30&lt;TODAY(),"Vencido",IF(($H30-TODAY())&lt;='Entregas Próximas'!$M$3,"Próximo a vencer","En curso"))),"")</f>
        <v>Vencido</v>
      </c>
      <c r="K30" s="163">
        <f t="shared" ca="1" si="0"/>
        <v>-7</v>
      </c>
      <c r="L30" s="163">
        <f t="shared" ca="1" si="1"/>
        <v>2046185.0003</v>
      </c>
      <c r="M30" s="163">
        <f t="shared" ca="1" si="2"/>
        <v>2</v>
      </c>
      <c r="N30" s="163">
        <f>IF($C30,IF('Proyecto Datos (OKR´s)'!$E30="",9999,'Proyecto Datos (OKR´s)'!$E30),"")</f>
        <v>1</v>
      </c>
      <c r="O30" s="163" t="str">
        <f t="shared" si="3"/>
        <v>T030</v>
      </c>
      <c r="P30" s="163">
        <f t="shared" si="4"/>
        <v>24</v>
      </c>
      <c r="Q30" s="163" t="str">
        <f t="shared" ca="1" si="5"/>
        <v/>
      </c>
      <c r="R30" s="163">
        <f>IF($C30,IF(ISNUMBER('Proyecto Datos (OKR´s)'!$L30),'Proyecto Datos (OKR´s)'!$L30,$H30),"")</f>
        <v>46185</v>
      </c>
      <c r="S30" s="163">
        <f>IF($C30,$R30-'Proyecto Datos (OKR´s)'!$K30+1,"")</f>
        <v>194</v>
      </c>
      <c r="T30" s="163">
        <f ca="1">IF($C30,MAX(0,TODAY()-'Proyecto Datos (OKR´s)'!$K30),"")</f>
        <v>200</v>
      </c>
      <c r="U30" s="163">
        <f ca="1">IF($C30,MEDIAN(0,(TODAY()-'Proyecto Datos (OKR´s)'!$K30)/MAX(1,$R30-'Proyecto Datos (OKR´s)'!$K30),1),"")</f>
        <v>1</v>
      </c>
      <c r="V30" s="163">
        <f t="shared" ca="1" si="6"/>
        <v>-9.9999999999999978E-2</v>
      </c>
      <c r="W30" s="163">
        <f t="shared" ca="1" si="7"/>
        <v>7</v>
      </c>
      <c r="X30" s="163">
        <f t="shared" si="8"/>
        <v>0</v>
      </c>
      <c r="Y30" s="163">
        <f t="shared" ca="1" si="9"/>
        <v>35</v>
      </c>
      <c r="Z30" s="163" t="b">
        <f ca="1">IF($C30,AND($I30=0,'Proyecto Datos (OKR´s)'!$K30&lt;=TODAY(),$J30&lt;&gt;"Completado"),"")</f>
        <v>0</v>
      </c>
      <c r="AA30" s="163">
        <f t="shared" ca="1" si="10"/>
        <v>63</v>
      </c>
      <c r="AB30" s="164" t="str">
        <f t="shared" ca="1" si="11"/>
        <v>Alta</v>
      </c>
      <c r="AC30" s="164" t="str">
        <f t="shared" ca="1" si="12"/>
        <v>ATRASO SOBRECARGA</v>
      </c>
      <c r="AD30" s="163">
        <f ca="1">IF($C30,IF($N30=9999,9999,IF($J30="Completado",$N30,MAX($N30,Sprints!$M$15))),"")</f>
        <v>2</v>
      </c>
      <c r="AE30" s="163">
        <f t="shared" ca="1" si="13"/>
        <v>2</v>
      </c>
      <c r="AF30" s="163" t="b">
        <f t="shared" ca="1" si="14"/>
        <v>1</v>
      </c>
      <c r="AG30" s="163">
        <f t="shared" ca="1" si="15"/>
        <v>46186</v>
      </c>
      <c r="AH30" s="164" t="str">
        <f ca="1">IF($AF30,IF(Sprints!$I30&lt;&gt;"",Sprints!$I30,"Comprometida y no completada al cierre del Sprint "&amp;$N30),"")</f>
        <v>Comprometida y no completada al cierre del Sprint 1</v>
      </c>
      <c r="AI30" s="163">
        <f t="shared" ca="1" si="16"/>
        <v>100030</v>
      </c>
      <c r="AJ30" s="163">
        <f t="shared" ca="1" si="17"/>
        <v>63000970</v>
      </c>
      <c r="AK30" s="163">
        <f t="shared" ca="1" si="18"/>
        <v>1</v>
      </c>
      <c r="AL30" s="163">
        <f t="shared" ca="1" si="19"/>
        <v>0.23333333333333334</v>
      </c>
      <c r="AM30" s="163">
        <f t="shared" ca="1" si="20"/>
        <v>0.3</v>
      </c>
      <c r="AN30" s="164" t="str">
        <f t="shared" ca="1" si="21"/>
        <v xml:space="preserve">ATRASO SOBRECARGA </v>
      </c>
      <c r="AO30" s="163">
        <f>IF($C30,IFERROR(INDEX(Sprints!$M$6:$M$13,MATCH($N30,Sprints!$K$6:$K$13,0)),""),"")</f>
        <v>46186</v>
      </c>
      <c r="AP30" s="163">
        <f t="shared" ca="1" si="22"/>
        <v>6</v>
      </c>
    </row>
    <row r="31" spans="1:42" x14ac:dyDescent="0.35">
      <c r="A31" s="163">
        <f>ROW()</f>
        <v>31</v>
      </c>
      <c r="B31" s="163" t="b">
        <f>ISTEXT('Proyecto Datos (OKR´s)'!$K31)</f>
        <v>0</v>
      </c>
      <c r="C31" s="163" t="b">
        <f>AND(LEN('Proyecto Datos (OKR´s)'!$G31)&gt;0,NOT($B31),OR(ISNUMBER('Proyecto Datos (OKR´s)'!$F31),ISNUMBER('Proyecto Datos (OKR´s)'!$L31)))</f>
        <v>1</v>
      </c>
      <c r="D31" s="164" t="str">
        <f>IF($C31,IFERROR(LOOKUP(2,1/((ISTEXT('Proyecto Datos (OKR´s)'!$K$7:$K31))*(LEN('Proyecto Datos (OKR´s)'!$G$7:$G31)&gt;0)),'Proyecto Datos (OKR´s)'!$G$7:$G31),""),"")</f>
        <v>4- Tablero BI DEUDA</v>
      </c>
      <c r="E31" s="163">
        <f>IF($C31,'Proyecto Datos (OKR´s)'!$E31,"")</f>
        <v>1</v>
      </c>
      <c r="F31" s="164" t="str">
        <f>IF($C31,'Proyecto Datos (OKR´s)'!$G31,"")</f>
        <v>Input de datos desde Provisión mensual</v>
      </c>
      <c r="G31" s="164" t="str">
        <f>IF($C31,IF('Proyecto Datos (OKR´s)'!$I31="","(Sin asignar)",'Proyecto Datos (OKR´s)'!$I31),"")</f>
        <v>Santiago Alonso</v>
      </c>
      <c r="H31" s="163">
        <f>IF($C31,IF(ISNUMBER('Proyecto Datos (OKR´s)'!$F31),'Proyecto Datos (OKR´s)'!$F31,'Proyecto Datos (OKR´s)'!$L31),"")</f>
        <v>46185</v>
      </c>
      <c r="I31" s="163">
        <f>IF($C31,'Proyecto Datos (OKR´s)'!$J31,"")</f>
        <v>0.9</v>
      </c>
      <c r="J31" s="164" t="str">
        <f ca="1">IF($C31,IF($I31&gt;=1,"Completado",IF($H31&lt;TODAY(),"Vencido",IF(($H31-TODAY())&lt;='Entregas Próximas'!$M$3,"Próximo a vencer","En curso"))),"")</f>
        <v>Vencido</v>
      </c>
      <c r="K31" s="163">
        <f t="shared" ca="1" si="0"/>
        <v>-7</v>
      </c>
      <c r="L31" s="163">
        <f t="shared" ca="1" si="1"/>
        <v>2046185.00031</v>
      </c>
      <c r="M31" s="163">
        <f t="shared" ca="1" si="2"/>
        <v>2</v>
      </c>
      <c r="N31" s="163">
        <f>IF($C31,IF('Proyecto Datos (OKR´s)'!$E31="",9999,'Proyecto Datos (OKR´s)'!$E31),"")</f>
        <v>1</v>
      </c>
      <c r="O31" s="163" t="str">
        <f t="shared" si="3"/>
        <v>T031</v>
      </c>
      <c r="P31" s="163">
        <f t="shared" si="4"/>
        <v>25</v>
      </c>
      <c r="Q31" s="163" t="str">
        <f t="shared" ca="1" si="5"/>
        <v/>
      </c>
      <c r="R31" s="163">
        <f>IF($C31,IF(ISNUMBER('Proyecto Datos (OKR´s)'!$L31),'Proyecto Datos (OKR´s)'!$L31,$H31),"")</f>
        <v>46185</v>
      </c>
      <c r="S31" s="163">
        <f>IF($C31,$R31-'Proyecto Datos (OKR´s)'!$K31+1,"")</f>
        <v>163</v>
      </c>
      <c r="T31" s="163">
        <f ca="1">IF($C31,MAX(0,TODAY()-'Proyecto Datos (OKR´s)'!$K31),"")</f>
        <v>169</v>
      </c>
      <c r="U31" s="163">
        <f ca="1">IF($C31,MEDIAN(0,(TODAY()-'Proyecto Datos (OKR´s)'!$K31)/MAX(1,$R31-'Proyecto Datos (OKR´s)'!$K31),1),"")</f>
        <v>1</v>
      </c>
      <c r="V31" s="163">
        <f t="shared" ca="1" si="6"/>
        <v>-9.9999999999999978E-2</v>
      </c>
      <c r="W31" s="163">
        <f t="shared" ca="1" si="7"/>
        <v>7</v>
      </c>
      <c r="X31" s="163">
        <f t="shared" si="8"/>
        <v>0</v>
      </c>
      <c r="Y31" s="163">
        <f t="shared" ca="1" si="9"/>
        <v>35</v>
      </c>
      <c r="Z31" s="163" t="b">
        <f ca="1">IF($C31,AND($I31=0,'Proyecto Datos (OKR´s)'!$K31&lt;=TODAY(),$J31&lt;&gt;"Completado"),"")</f>
        <v>0</v>
      </c>
      <c r="AA31" s="163">
        <f t="shared" ca="1" si="10"/>
        <v>63</v>
      </c>
      <c r="AB31" s="164" t="str">
        <f t="shared" ca="1" si="11"/>
        <v>Alta</v>
      </c>
      <c r="AC31" s="164" t="str">
        <f t="shared" ca="1" si="12"/>
        <v>ATRASO SOBRECARGA</v>
      </c>
      <c r="AD31" s="163">
        <f ca="1">IF($C31,IF($N31=9999,9999,IF($J31="Completado",$N31,MAX($N31,Sprints!$M$15))),"")</f>
        <v>2</v>
      </c>
      <c r="AE31" s="163">
        <f t="shared" ca="1" si="13"/>
        <v>2</v>
      </c>
      <c r="AF31" s="163" t="b">
        <f t="shared" ca="1" si="14"/>
        <v>1</v>
      </c>
      <c r="AG31" s="163">
        <f t="shared" ca="1" si="15"/>
        <v>46186</v>
      </c>
      <c r="AH31" s="164" t="str">
        <f ca="1">IF($AF31,IF(Sprints!$I31&lt;&gt;"",Sprints!$I31,"Comprometida y no completada al cierre del Sprint "&amp;$N31),"")</f>
        <v>Comprometida y no completada al cierre del Sprint 1</v>
      </c>
      <c r="AI31" s="163">
        <f t="shared" ca="1" si="16"/>
        <v>100031</v>
      </c>
      <c r="AJ31" s="163">
        <f t="shared" ca="1" si="17"/>
        <v>63000969</v>
      </c>
      <c r="AK31" s="163">
        <f t="shared" ca="1" si="18"/>
        <v>1</v>
      </c>
      <c r="AL31" s="163">
        <f t="shared" ca="1" si="19"/>
        <v>0.23333333333333334</v>
      </c>
      <c r="AM31" s="163">
        <f t="shared" ca="1" si="20"/>
        <v>0.3</v>
      </c>
      <c r="AN31" s="164" t="str">
        <f t="shared" ca="1" si="21"/>
        <v xml:space="preserve">ATRASO SOBRECARGA </v>
      </c>
      <c r="AO31" s="163">
        <f>IF($C31,IFERROR(INDEX(Sprints!$M$6:$M$13,MATCH($N31,Sprints!$K$6:$K$13,0)),""),"")</f>
        <v>46186</v>
      </c>
      <c r="AP31" s="163">
        <f t="shared" ca="1" si="22"/>
        <v>6</v>
      </c>
    </row>
    <row r="32" spans="1:42" x14ac:dyDescent="0.35">
      <c r="A32" s="163">
        <f>ROW()</f>
        <v>32</v>
      </c>
      <c r="B32" s="163" t="b">
        <f>ISTEXT('Proyecto Datos (OKR´s)'!$K32)</f>
        <v>0</v>
      </c>
      <c r="C32" s="163" t="b">
        <f>AND(LEN('Proyecto Datos (OKR´s)'!$G32)&gt;0,NOT($B32),OR(ISNUMBER('Proyecto Datos (OKR´s)'!$F32),ISNUMBER('Proyecto Datos (OKR´s)'!$L32)))</f>
        <v>1</v>
      </c>
      <c r="D32" s="164" t="str">
        <f>IF($C32,IFERROR(LOOKUP(2,1/((ISTEXT('Proyecto Datos (OKR´s)'!$K$7:$K32))*(LEN('Proyecto Datos (OKR´s)'!$G$7:$G32)&gt;0)),'Proyecto Datos (OKR´s)'!$G$7:$G32),""),"")</f>
        <v>4- Tablero BI DEUDA</v>
      </c>
      <c r="E32" s="163">
        <f>IF($C32,'Proyecto Datos (OKR´s)'!$E32,"")</f>
        <v>0</v>
      </c>
      <c r="F32" s="164" t="str">
        <f>IF($C32,'Proyecto Datos (OKR´s)'!$G32,"")</f>
        <v>Analizar viabilidad de input Redash: Importe Provisionado (Datalake --&gt; Clik Sense)</v>
      </c>
      <c r="G32" s="164" t="str">
        <f>IF($C32,IF('Proyecto Datos (OKR´s)'!$I32="","(Sin asignar)",'Proyecto Datos (OKR´s)'!$I32),"")</f>
        <v>Santiago Alonso</v>
      </c>
      <c r="H32" s="163">
        <f>IF($C32,IF(ISNUMBER('Proyecto Datos (OKR´s)'!$F32),'Proyecto Datos (OKR´s)'!$F32,'Proyecto Datos (OKR´s)'!$L32),"")</f>
        <v>46192</v>
      </c>
      <c r="I32" s="163">
        <f>IF($C32,'Proyecto Datos (OKR´s)'!$J32,"")</f>
        <v>0.6</v>
      </c>
      <c r="J32" s="164" t="str">
        <f ca="1">IF($C32,IF($I32&gt;=1,"Completado",IF($H32&lt;TODAY(),"Vencido",IF(($H32-TODAY())&lt;='Entregas Próximas'!$M$3,"Próximo a vencer","En curso"))),"")</f>
        <v>Próximo a vencer</v>
      </c>
      <c r="K32" s="163">
        <f t="shared" ca="1" si="0"/>
        <v>0</v>
      </c>
      <c r="L32" s="163">
        <f t="shared" si="1"/>
        <v>9999046192.0003204</v>
      </c>
      <c r="M32" s="163" t="str">
        <f t="shared" si="2"/>
        <v>(Sin sprint)</v>
      </c>
      <c r="N32" s="163">
        <f>IF($C32,IF('Proyecto Datos (OKR´s)'!$E32="",9999,'Proyecto Datos (OKR´s)'!$E32),"")</f>
        <v>9999</v>
      </c>
      <c r="O32" s="163" t="str">
        <f t="shared" si="3"/>
        <v>T032</v>
      </c>
      <c r="P32" s="163">
        <f t="shared" si="4"/>
        <v>26</v>
      </c>
      <c r="Q32" s="163" t="str">
        <f t="shared" ca="1" si="5"/>
        <v/>
      </c>
      <c r="R32" s="163">
        <f>IF($C32,IF(ISNUMBER('Proyecto Datos (OKR´s)'!$L32),'Proyecto Datos (OKR´s)'!$L32,$H32),"")</f>
        <v>46192</v>
      </c>
      <c r="S32" s="163">
        <f>IF($C32,$R32-'Proyecto Datos (OKR´s)'!$K32+1,"")</f>
        <v>5</v>
      </c>
      <c r="T32" s="163">
        <f ca="1">IF($C32,MAX(0,TODAY()-'Proyecto Datos (OKR´s)'!$K32),"")</f>
        <v>4</v>
      </c>
      <c r="U32" s="163">
        <f ca="1">IF($C32,MEDIAN(0,(TODAY()-'Proyecto Datos (OKR´s)'!$K32)/MAX(1,$R32-'Proyecto Datos (OKR´s)'!$K32),1),"")</f>
        <v>1</v>
      </c>
      <c r="V32" s="163">
        <f t="shared" ca="1" si="6"/>
        <v>-0.4</v>
      </c>
      <c r="W32" s="163">
        <f t="shared" ca="1" si="7"/>
        <v>0</v>
      </c>
      <c r="X32" s="163">
        <f t="shared" si="8"/>
        <v>0</v>
      </c>
      <c r="Y32" s="163">
        <f t="shared" ca="1" si="9"/>
        <v>35</v>
      </c>
      <c r="Z32" s="163" t="b">
        <f ca="1">IF($C32,AND($I32=0,'Proyecto Datos (OKR´s)'!$K32&lt;=TODAY(),$J32&lt;&gt;"Completado"),"")</f>
        <v>0</v>
      </c>
      <c r="AA32" s="163">
        <f t="shared" ca="1" si="10"/>
        <v>65</v>
      </c>
      <c r="AB32" s="164" t="str">
        <f t="shared" ca="1" si="11"/>
        <v>Alta</v>
      </c>
      <c r="AC32" s="164" t="str">
        <f t="shared" ca="1" si="12"/>
        <v>ATRASO SOBRECARGA</v>
      </c>
      <c r="AD32" s="163">
        <f>IF($C32,IF($N32=9999,9999,IF($J32="Completado",$N32,MAX($N32,Sprints!$M$15))),"")</f>
        <v>9999</v>
      </c>
      <c r="AE32" s="163" t="str">
        <f t="shared" si="13"/>
        <v>(Sin sprint)</v>
      </c>
      <c r="AF32" s="163" t="b">
        <f t="shared" si="14"/>
        <v>0</v>
      </c>
      <c r="AG32" s="163" t="str">
        <f t="shared" si="15"/>
        <v/>
      </c>
      <c r="AH32" s="164" t="str">
        <f>IF($AF32,IF(Sprints!$I32&lt;&gt;"",Sprints!$I32,"Comprometida y no completada al cierre del Sprint "&amp;$N32),"")</f>
        <v/>
      </c>
      <c r="AI32" s="163" t="str">
        <f t="shared" si="16"/>
        <v/>
      </c>
      <c r="AJ32" s="163">
        <f t="shared" ca="1" si="17"/>
        <v>65000268</v>
      </c>
      <c r="AK32" s="163">
        <f t="shared" ca="1" si="18"/>
        <v>0.9</v>
      </c>
      <c r="AL32" s="163">
        <f t="shared" ca="1" si="19"/>
        <v>0.4</v>
      </c>
      <c r="AM32" s="163">
        <f t="shared" ca="1" si="20"/>
        <v>0.3</v>
      </c>
      <c r="AN32" s="164" t="str">
        <f t="shared" ca="1" si="21"/>
        <v xml:space="preserve">ATRASO SOBRECARGA </v>
      </c>
      <c r="AO32" s="163" t="str">
        <f>IF($C32,IFERROR(INDEX(Sprints!$M$6:$M$13,MATCH($N32,Sprints!$K$6:$K$13,0)),""),"")</f>
        <v/>
      </c>
      <c r="AP32" s="163">
        <f t="shared" ca="1" si="22"/>
        <v>0</v>
      </c>
    </row>
    <row r="33" spans="1:42" x14ac:dyDescent="0.35">
      <c r="A33" s="163">
        <f>ROW()</f>
        <v>33</v>
      </c>
      <c r="B33" s="163" t="b">
        <f>ISTEXT('Proyecto Datos (OKR´s)'!$K33)</f>
        <v>0</v>
      </c>
      <c r="C33" s="163" t="b">
        <f>AND(LEN('Proyecto Datos (OKR´s)'!$G33)&gt;0,NOT($B33),OR(ISNUMBER('Proyecto Datos (OKR´s)'!$F33),ISNUMBER('Proyecto Datos (OKR´s)'!$L33)))</f>
        <v>1</v>
      </c>
      <c r="D33" s="164" t="str">
        <f>IF($C33,IFERROR(LOOKUP(2,1/((ISTEXT('Proyecto Datos (OKR´s)'!$K$7:$K33))*(LEN('Proyecto Datos (OKR´s)'!$G$7:$G33)&gt;0)),'Proyecto Datos (OKR´s)'!$G$7:$G33),""),"")</f>
        <v>4- Tablero BI DEUDA</v>
      </c>
      <c r="E33" s="163">
        <f>IF($C33,'Proyecto Datos (OKR´s)'!$E33,"")</f>
        <v>0</v>
      </c>
      <c r="F33" s="164" t="str">
        <f>IF($C33,'Proyecto Datos (OKR´s)'!$G33,"")</f>
        <v>Analizar viabilidad de input Redash: Importe Facturado (Datalake --&gt; Clik Sense "Venta Bruta")</v>
      </c>
      <c r="G33" s="164" t="str">
        <f>IF($C33,IF('Proyecto Datos (OKR´s)'!$I33="","(Sin asignar)",'Proyecto Datos (OKR´s)'!$I33),"")</f>
        <v>Santiago Alonso</v>
      </c>
      <c r="H33" s="163">
        <f>IF($C33,IF(ISNUMBER('Proyecto Datos (OKR´s)'!$F33),'Proyecto Datos (OKR´s)'!$F33,'Proyecto Datos (OKR´s)'!$L33),"")</f>
        <v>46199</v>
      </c>
      <c r="I33" s="163">
        <f>IF($C33,'Proyecto Datos (OKR´s)'!$J33,"")</f>
        <v>0.6</v>
      </c>
      <c r="J33" s="164" t="str">
        <f ca="1">IF($C33,IF($I33&gt;=1,"Completado",IF($H33&lt;TODAY(),"Vencido",IF(($H33-TODAY())&lt;='Entregas Próximas'!$M$3,"Próximo a vencer","En curso"))),"")</f>
        <v>Próximo a vencer</v>
      </c>
      <c r="K33" s="163">
        <f t="shared" ca="1" si="0"/>
        <v>7</v>
      </c>
      <c r="L33" s="163">
        <f t="shared" si="1"/>
        <v>9999046199.00033</v>
      </c>
      <c r="M33" s="163" t="str">
        <f t="shared" si="2"/>
        <v>(Sin sprint)</v>
      </c>
      <c r="N33" s="163">
        <f>IF($C33,IF('Proyecto Datos (OKR´s)'!$E33="",9999,'Proyecto Datos (OKR´s)'!$E33),"")</f>
        <v>9999</v>
      </c>
      <c r="O33" s="163" t="str">
        <f t="shared" si="3"/>
        <v>T033</v>
      </c>
      <c r="P33" s="163">
        <f t="shared" si="4"/>
        <v>27</v>
      </c>
      <c r="Q33" s="163" t="str">
        <f t="shared" ca="1" si="5"/>
        <v/>
      </c>
      <c r="R33" s="163">
        <f>IF($C33,IF(ISNUMBER('Proyecto Datos (OKR´s)'!$L33),'Proyecto Datos (OKR´s)'!$L33,$H33),"")</f>
        <v>46199</v>
      </c>
      <c r="S33" s="163">
        <f>IF($C33,$R33-'Proyecto Datos (OKR´s)'!$K33+1,"")</f>
        <v>8</v>
      </c>
      <c r="T33" s="163">
        <f ca="1">IF($C33,MAX(0,TODAY()-'Proyecto Datos (OKR´s)'!$K33),"")</f>
        <v>0</v>
      </c>
      <c r="U33" s="163">
        <f ca="1">IF($C33,MEDIAN(0,(TODAY()-'Proyecto Datos (OKR´s)'!$K33)/MAX(1,$R33-'Proyecto Datos (OKR´s)'!$K33),1),"")</f>
        <v>0</v>
      </c>
      <c r="V33" s="163">
        <f t="shared" ca="1" si="6"/>
        <v>0.6</v>
      </c>
      <c r="W33" s="163">
        <f t="shared" ca="1" si="7"/>
        <v>0</v>
      </c>
      <c r="X33" s="163">
        <f t="shared" si="8"/>
        <v>0</v>
      </c>
      <c r="Y33" s="163">
        <f t="shared" ca="1" si="9"/>
        <v>35</v>
      </c>
      <c r="Z33" s="163" t="b">
        <f ca="1">IF($C33,AND($I33=0,'Proyecto Datos (OKR´s)'!$K33&lt;=TODAY(),$J33&lt;&gt;"Completado"),"")</f>
        <v>0</v>
      </c>
      <c r="AA33" s="163">
        <f t="shared" ca="1" si="10"/>
        <v>46</v>
      </c>
      <c r="AB33" s="164" t="str">
        <f t="shared" ca="1" si="11"/>
        <v>Alta</v>
      </c>
      <c r="AC33" s="164" t="str">
        <f t="shared" ca="1" si="12"/>
        <v>SOBRECARGA</v>
      </c>
      <c r="AD33" s="163">
        <f>IF($C33,IF($N33=9999,9999,IF($J33="Completado",$N33,MAX($N33,Sprints!$M$15))),"")</f>
        <v>9999</v>
      </c>
      <c r="AE33" s="163" t="str">
        <f t="shared" si="13"/>
        <v>(Sin sprint)</v>
      </c>
      <c r="AF33" s="163" t="b">
        <f t="shared" si="14"/>
        <v>0</v>
      </c>
      <c r="AG33" s="163" t="str">
        <f t="shared" si="15"/>
        <v/>
      </c>
      <c r="AH33" s="164" t="str">
        <f>IF($AF33,IF(Sprints!$I33&lt;&gt;"",Sprints!$I33,"Comprometida y no completada al cierre del Sprint "&amp;$N33),"")</f>
        <v/>
      </c>
      <c r="AI33" s="163" t="str">
        <f t="shared" si="16"/>
        <v/>
      </c>
      <c r="AJ33" s="163">
        <f t="shared" ca="1" si="17"/>
        <v>45999567</v>
      </c>
      <c r="AK33" s="163">
        <f t="shared" ca="1" si="18"/>
        <v>0.7</v>
      </c>
      <c r="AL33" s="163">
        <f t="shared" ca="1" si="19"/>
        <v>0</v>
      </c>
      <c r="AM33" s="163">
        <f t="shared" ca="1" si="20"/>
        <v>0.3</v>
      </c>
      <c r="AN33" s="164" t="str">
        <f t="shared" ca="1" si="21"/>
        <v xml:space="preserve">SOBRECARGA </v>
      </c>
      <c r="AO33" s="163" t="str">
        <f>IF($C33,IFERROR(INDEX(Sprints!$M$6:$M$13,MATCH($N33,Sprints!$K$6:$K$13,0)),""),"")</f>
        <v/>
      </c>
      <c r="AP33" s="163">
        <f t="shared" ca="1" si="22"/>
        <v>0</v>
      </c>
    </row>
    <row r="34" spans="1:42" x14ac:dyDescent="0.35">
      <c r="A34" s="163">
        <f>ROW()</f>
        <v>34</v>
      </c>
      <c r="B34" s="163" t="b">
        <f>ISTEXT('Proyecto Datos (OKR´s)'!$K34)</f>
        <v>0</v>
      </c>
      <c r="C34" s="163" t="b">
        <f>AND(LEN('Proyecto Datos (OKR´s)'!$G34)&gt;0,NOT($B34),OR(ISNUMBER('Proyecto Datos (OKR´s)'!$F34),ISNUMBER('Proyecto Datos (OKR´s)'!$L34)))</f>
        <v>1</v>
      </c>
      <c r="D34" s="164" t="str">
        <f>IF($C34,IFERROR(LOOKUP(2,1/((ISTEXT('Proyecto Datos (OKR´s)'!$K$7:$K34))*(LEN('Proyecto Datos (OKR´s)'!$G$7:$G34)&gt;0)),'Proyecto Datos (OKR´s)'!$G$7:$G34),""),"")</f>
        <v>4- Tablero BI DEUDA</v>
      </c>
      <c r="E34" s="163">
        <f>IF($C34,'Proyecto Datos (OKR´s)'!$E34,"")</f>
        <v>0</v>
      </c>
      <c r="F34" s="164" t="str">
        <f>IF($C34,'Proyecto Datos (OKR´s)'!$G34,"")</f>
        <v>Creación detalle deuda Vista - Replicar Excel Deuda</v>
      </c>
      <c r="G34" s="164" t="str">
        <f>IF($C34,IF('Proyecto Datos (OKR´s)'!$I34="","(Sin asignar)",'Proyecto Datos (OKR´s)'!$I34),"")</f>
        <v>Santiago Alonso</v>
      </c>
      <c r="H34" s="163">
        <f>IF($C34,IF(ISNUMBER('Proyecto Datos (OKR´s)'!$F34),'Proyecto Datos (OKR´s)'!$F34,'Proyecto Datos (OKR´s)'!$L34),"")</f>
        <v>46199</v>
      </c>
      <c r="I34" s="163">
        <f>IF($C34,'Proyecto Datos (OKR´s)'!$J34,"")</f>
        <v>0.5</v>
      </c>
      <c r="J34" s="164" t="str">
        <f ca="1">IF($C34,IF($I34&gt;=1,"Completado",IF($H34&lt;TODAY(),"Vencido",IF(($H34-TODAY())&lt;='Entregas Próximas'!$M$3,"Próximo a vencer","En curso"))),"")</f>
        <v>Próximo a vencer</v>
      </c>
      <c r="K34" s="163">
        <f t="shared" ca="1" si="0"/>
        <v>7</v>
      </c>
      <c r="L34" s="163">
        <f t="shared" si="1"/>
        <v>9999046199.0003395</v>
      </c>
      <c r="M34" s="163" t="str">
        <f t="shared" si="2"/>
        <v>(Sin sprint)</v>
      </c>
      <c r="N34" s="163">
        <f>IF($C34,IF('Proyecto Datos (OKR´s)'!$E34="",9999,'Proyecto Datos (OKR´s)'!$E34),"")</f>
        <v>9999</v>
      </c>
      <c r="O34" s="163" t="str">
        <f t="shared" si="3"/>
        <v>T034</v>
      </c>
      <c r="P34" s="163">
        <f t="shared" si="4"/>
        <v>28</v>
      </c>
      <c r="Q34" s="163" t="str">
        <f t="shared" ca="1" si="5"/>
        <v/>
      </c>
      <c r="R34" s="163">
        <f>IF($C34,IF(ISNUMBER('Proyecto Datos (OKR´s)'!$L34),'Proyecto Datos (OKR´s)'!$L34,$H34),"")</f>
        <v>46199</v>
      </c>
      <c r="S34" s="163">
        <f>IF($C34,$R34-'Proyecto Datos (OKR´s)'!$K34+1,"")</f>
        <v>12</v>
      </c>
      <c r="T34" s="163">
        <f ca="1">IF($C34,MAX(0,TODAY()-'Proyecto Datos (OKR´s)'!$K34),"")</f>
        <v>4</v>
      </c>
      <c r="U34" s="163">
        <f ca="1">IF($C34,MEDIAN(0,(TODAY()-'Proyecto Datos (OKR´s)'!$K34)/MAX(1,$R34-'Proyecto Datos (OKR´s)'!$K34),1),"")</f>
        <v>0.36363636363636365</v>
      </c>
      <c r="V34" s="163">
        <f t="shared" ca="1" si="6"/>
        <v>0.13636363636363635</v>
      </c>
      <c r="W34" s="163">
        <f t="shared" ca="1" si="7"/>
        <v>0</v>
      </c>
      <c r="X34" s="163">
        <f t="shared" si="8"/>
        <v>0</v>
      </c>
      <c r="Y34" s="163">
        <f t="shared" ca="1" si="9"/>
        <v>35</v>
      </c>
      <c r="Z34" s="163" t="b">
        <f ca="1">IF($C34,AND($I34=0,'Proyecto Datos (OKR´s)'!$K34&lt;=TODAY(),$J34&lt;&gt;"Completado"),"")</f>
        <v>0</v>
      </c>
      <c r="AA34" s="163">
        <f t="shared" ca="1" si="10"/>
        <v>46</v>
      </c>
      <c r="AB34" s="164" t="str">
        <f t="shared" ca="1" si="11"/>
        <v>Alta</v>
      </c>
      <c r="AC34" s="164" t="str">
        <f t="shared" ca="1" si="12"/>
        <v>SOBRECARGA</v>
      </c>
      <c r="AD34" s="163">
        <f>IF($C34,IF($N34=9999,9999,IF($J34="Completado",$N34,MAX($N34,Sprints!$M$15))),"")</f>
        <v>9999</v>
      </c>
      <c r="AE34" s="163" t="str">
        <f t="shared" si="13"/>
        <v>(Sin sprint)</v>
      </c>
      <c r="AF34" s="163" t="b">
        <f t="shared" si="14"/>
        <v>0</v>
      </c>
      <c r="AG34" s="163" t="str">
        <f t="shared" si="15"/>
        <v/>
      </c>
      <c r="AH34" s="164" t="str">
        <f>IF($AF34,IF(Sprints!$I34&lt;&gt;"",Sprints!$I34,"Comprometida y no completada al cierre del Sprint "&amp;$N34),"")</f>
        <v/>
      </c>
      <c r="AI34" s="163" t="str">
        <f t="shared" si="16"/>
        <v/>
      </c>
      <c r="AJ34" s="163">
        <f t="shared" ca="1" si="17"/>
        <v>45999566</v>
      </c>
      <c r="AK34" s="163">
        <f t="shared" ca="1" si="18"/>
        <v>0.7</v>
      </c>
      <c r="AL34" s="163">
        <f t="shared" ca="1" si="19"/>
        <v>0</v>
      </c>
      <c r="AM34" s="163">
        <f t="shared" ca="1" si="20"/>
        <v>0.3</v>
      </c>
      <c r="AN34" s="164" t="str">
        <f t="shared" ca="1" si="21"/>
        <v xml:space="preserve">SOBRECARGA </v>
      </c>
      <c r="AO34" s="163" t="str">
        <f>IF($C34,IFERROR(INDEX(Sprints!$M$6:$M$13,MATCH($N34,Sprints!$K$6:$K$13,0)),""),"")</f>
        <v/>
      </c>
      <c r="AP34" s="163">
        <f t="shared" ca="1" si="22"/>
        <v>0</v>
      </c>
    </row>
    <row r="35" spans="1:42" x14ac:dyDescent="0.35">
      <c r="A35" s="163">
        <f>ROW()</f>
        <v>35</v>
      </c>
      <c r="B35" s="163" t="b">
        <f>ISTEXT('Proyecto Datos (OKR´s)'!$K35)</f>
        <v>0</v>
      </c>
      <c r="C35" s="163" t="b">
        <f>AND(LEN('Proyecto Datos (OKR´s)'!$G35)&gt;0,NOT($B35),OR(ISNUMBER('Proyecto Datos (OKR´s)'!$F35),ISNUMBER('Proyecto Datos (OKR´s)'!$L35)))</f>
        <v>1</v>
      </c>
      <c r="D35" s="164" t="str">
        <f>IF($C35,IFERROR(LOOKUP(2,1/((ISTEXT('Proyecto Datos (OKR´s)'!$K$7:$K35))*(LEN('Proyecto Datos (OKR´s)'!$G$7:$G35)&gt;0)),'Proyecto Datos (OKR´s)'!$G$7:$G35),""),"")</f>
        <v>4- Tablero BI DEUDA</v>
      </c>
      <c r="E35" s="163">
        <f>IF($C35,'Proyecto Datos (OKR´s)'!$E35,"")</f>
        <v>0</v>
      </c>
      <c r="F35" s="164" t="str">
        <f>IF($C35,'Proyecto Datos (OKR´s)'!$G35,"")</f>
        <v>Creación detalle deuda YPF (ídem Excel)</v>
      </c>
      <c r="G35" s="164" t="str">
        <f>IF($C35,IF('Proyecto Datos (OKR´s)'!$I35="","(Sin asignar)",'Proyecto Datos (OKR´s)'!$I35),"")</f>
        <v>Santiago Alonso</v>
      </c>
      <c r="H35" s="163">
        <f>IF($C35,IF(ISNUMBER('Proyecto Datos (OKR´s)'!$F35),'Proyecto Datos (OKR´s)'!$F35,'Proyecto Datos (OKR´s)'!$L35),"")</f>
        <v>46206</v>
      </c>
      <c r="I35" s="163">
        <f>IF($C35,'Proyecto Datos (OKR´s)'!$J35,"")</f>
        <v>0.5</v>
      </c>
      <c r="J35" s="164" t="str">
        <f ca="1">IF($C35,IF($I35&gt;=1,"Completado",IF($H35&lt;TODAY(),"Vencido",IF(($H35-TODAY())&lt;='Entregas Próximas'!$M$3,"Próximo a vencer","En curso"))),"")</f>
        <v>En curso</v>
      </c>
      <c r="K35" s="163">
        <f t="shared" ca="1" si="0"/>
        <v>14</v>
      </c>
      <c r="L35" s="163">
        <f t="shared" si="1"/>
        <v>9999046206.000351</v>
      </c>
      <c r="M35" s="163" t="str">
        <f t="shared" si="2"/>
        <v>(Sin sprint)</v>
      </c>
      <c r="N35" s="163">
        <f>IF($C35,IF('Proyecto Datos (OKR´s)'!$E35="",9999,'Proyecto Datos (OKR´s)'!$E35),"")</f>
        <v>9999</v>
      </c>
      <c r="O35" s="163" t="str">
        <f t="shared" si="3"/>
        <v>T035</v>
      </c>
      <c r="P35" s="163">
        <f t="shared" si="4"/>
        <v>29</v>
      </c>
      <c r="Q35" s="163" t="str">
        <f t="shared" ca="1" si="5"/>
        <v/>
      </c>
      <c r="R35" s="163">
        <f>IF($C35,IF(ISNUMBER('Proyecto Datos (OKR´s)'!$L35),'Proyecto Datos (OKR´s)'!$L35,$H35),"")</f>
        <v>46206</v>
      </c>
      <c r="S35" s="163">
        <f>IF($C35,$R35-'Proyecto Datos (OKR´s)'!$K35+1,"")</f>
        <v>15</v>
      </c>
      <c r="T35" s="163">
        <f ca="1">IF($C35,MAX(0,TODAY()-'Proyecto Datos (OKR´s)'!$K35),"")</f>
        <v>0</v>
      </c>
      <c r="U35" s="163">
        <f ca="1">IF($C35,MEDIAN(0,(TODAY()-'Proyecto Datos (OKR´s)'!$K35)/MAX(1,$R35-'Proyecto Datos (OKR´s)'!$K35),1),"")</f>
        <v>0</v>
      </c>
      <c r="V35" s="163">
        <f t="shared" ca="1" si="6"/>
        <v>0.5</v>
      </c>
      <c r="W35" s="163">
        <f t="shared" ca="1" si="7"/>
        <v>0</v>
      </c>
      <c r="X35" s="163">
        <f t="shared" si="8"/>
        <v>0</v>
      </c>
      <c r="Y35" s="163">
        <f t="shared" ca="1" si="9"/>
        <v>35</v>
      </c>
      <c r="Z35" s="163" t="b">
        <f ca="1">IF($C35,AND($I35=0,'Proyecto Datos (OKR´s)'!$K35&lt;=TODAY(),$J35&lt;&gt;"Completado"),"")</f>
        <v>0</v>
      </c>
      <c r="AA35" s="163">
        <f t="shared" ca="1" si="10"/>
        <v>37</v>
      </c>
      <c r="AB35" s="164" t="str">
        <f t="shared" ca="1" si="11"/>
        <v>Media</v>
      </c>
      <c r="AC35" s="164" t="str">
        <f t="shared" ca="1" si="12"/>
        <v>SOBRECARGA</v>
      </c>
      <c r="AD35" s="163">
        <f>IF($C35,IF($N35=9999,9999,IF($J35="Completado",$N35,MAX($N35,Sprints!$M$15))),"")</f>
        <v>9999</v>
      </c>
      <c r="AE35" s="163" t="str">
        <f t="shared" si="13"/>
        <v>(Sin sprint)</v>
      </c>
      <c r="AF35" s="163" t="b">
        <f t="shared" si="14"/>
        <v>0</v>
      </c>
      <c r="AG35" s="163" t="str">
        <f t="shared" si="15"/>
        <v/>
      </c>
      <c r="AH35" s="164" t="str">
        <f>IF($AF35,IF(Sprints!$I35&lt;&gt;"",Sprints!$I35,"Comprometida y no completada al cierre del Sprint "&amp;$N35),"")</f>
        <v/>
      </c>
      <c r="AI35" s="163" t="str">
        <f t="shared" si="16"/>
        <v/>
      </c>
      <c r="AJ35" s="163">
        <f t="shared" ca="1" si="17"/>
        <v>36998865</v>
      </c>
      <c r="AK35" s="163">
        <f t="shared" ca="1" si="18"/>
        <v>0.45</v>
      </c>
      <c r="AL35" s="163">
        <f t="shared" ca="1" si="19"/>
        <v>0</v>
      </c>
      <c r="AM35" s="163">
        <f t="shared" ca="1" si="20"/>
        <v>0.3</v>
      </c>
      <c r="AN35" s="164" t="str">
        <f t="shared" ca="1" si="21"/>
        <v xml:space="preserve">SOBRECARGA </v>
      </c>
      <c r="AO35" s="163" t="str">
        <f>IF($C35,IFERROR(INDEX(Sprints!$M$6:$M$13,MATCH($N35,Sprints!$K$6:$K$13,0)),""),"")</f>
        <v/>
      </c>
      <c r="AP35" s="163">
        <f t="shared" ca="1" si="22"/>
        <v>0</v>
      </c>
    </row>
    <row r="36" spans="1:42" x14ac:dyDescent="0.35">
      <c r="A36" s="163">
        <f>ROW()</f>
        <v>36</v>
      </c>
      <c r="B36" s="163" t="b">
        <f>ISTEXT('Proyecto Datos (OKR´s)'!$K36)</f>
        <v>1</v>
      </c>
      <c r="C36" s="163" t="b">
        <f ca="1">AND(LEN('Proyecto Datos (OKR´s)'!$G36)&gt;0,NOT($B36),OR(ISNUMBER('Proyecto Datos (OKR´s)'!$F36),ISNUMBER('Proyecto Datos (OKR´s)'!$L36)))</f>
        <v>0</v>
      </c>
      <c r="D36" s="164" t="str">
        <f ca="1">IF($C36,IFERROR(LOOKUP(2,1/((ISTEXT('Proyecto Datos (OKR´s)'!$K$7:$K36))*(LEN('Proyecto Datos (OKR´s)'!$G$7:$G36)&gt;0)),'Proyecto Datos (OKR´s)'!$G$7:$G36),""),"")</f>
        <v/>
      </c>
      <c r="E36" s="163" t="str">
        <f ca="1">IF($C36,'Proyecto Datos (OKR´s)'!$E36,"")</f>
        <v/>
      </c>
      <c r="F36" s="164" t="str">
        <f ca="1">IF($C36,'Proyecto Datos (OKR´s)'!$G36,"")</f>
        <v/>
      </c>
      <c r="G36" s="164" t="str">
        <f ca="1">IF($C36,IF('Proyecto Datos (OKR´s)'!$I36="","(Sin asignar)",'Proyecto Datos (OKR´s)'!$I36),"")</f>
        <v/>
      </c>
      <c r="H36" s="163" t="str">
        <f ca="1">IF($C36,IF(ISNUMBER('Proyecto Datos (OKR´s)'!$F36),'Proyecto Datos (OKR´s)'!$F36,'Proyecto Datos (OKR´s)'!$L36),"")</f>
        <v/>
      </c>
      <c r="I36" s="163" t="str">
        <f ca="1">IF($C36,'Proyecto Datos (OKR´s)'!$J36,"")</f>
        <v/>
      </c>
      <c r="J36" s="164" t="str">
        <f ca="1">IF($C36,IF($I36&gt;=1,"Completado",IF($H36&lt;TODAY(),"Vencido",IF(($H36-TODAY())&lt;='Entregas Próximas'!$M$3,"Próximo a vencer","En curso"))),"")</f>
        <v/>
      </c>
      <c r="K36" s="163" t="str">
        <f t="shared" ca="1" si="0"/>
        <v/>
      </c>
      <c r="L36" s="163" t="str">
        <f t="shared" ca="1" si="1"/>
        <v/>
      </c>
      <c r="M36" s="163" t="str">
        <f t="shared" ca="1" si="2"/>
        <v/>
      </c>
      <c r="N36" s="163" t="str">
        <f ca="1">IF($C36,IF('Proyecto Datos (OKR´s)'!$E36="",9999,'Proyecto Datos (OKR´s)'!$E36),"")</f>
        <v/>
      </c>
      <c r="O36" s="163" t="str">
        <f t="shared" ca="1" si="3"/>
        <v/>
      </c>
      <c r="P36" s="163">
        <f t="shared" si="4"/>
        <v>30</v>
      </c>
      <c r="Q36" s="163" t="str">
        <f t="shared" ca="1" si="5"/>
        <v/>
      </c>
      <c r="R36" s="163" t="str">
        <f ca="1">IF($C36,IF(ISNUMBER('Proyecto Datos (OKR´s)'!$L36),'Proyecto Datos (OKR´s)'!$L36,$H36),"")</f>
        <v/>
      </c>
      <c r="S36" s="163" t="str">
        <f ca="1">IF($C36,$R36-'Proyecto Datos (OKR´s)'!$K36+1,"")</f>
        <v/>
      </c>
      <c r="T36" s="163" t="str">
        <f ca="1">IF($C36,MAX(0,TODAY()-'Proyecto Datos (OKR´s)'!$K36),"")</f>
        <v/>
      </c>
      <c r="U36" s="163" t="str">
        <f ca="1">IF($C36,MEDIAN(0,(TODAY()-'Proyecto Datos (OKR´s)'!$K36)/MAX(1,$R36-'Proyecto Datos (OKR´s)'!$K36),1),"")</f>
        <v/>
      </c>
      <c r="V36" s="163" t="str">
        <f t="shared" ca="1" si="6"/>
        <v/>
      </c>
      <c r="W36" s="163" t="str">
        <f t="shared" ca="1" si="7"/>
        <v/>
      </c>
      <c r="X36" s="163" t="str">
        <f t="shared" ca="1" si="8"/>
        <v/>
      </c>
      <c r="Y36" s="163" t="str">
        <f t="shared" ca="1" si="9"/>
        <v/>
      </c>
      <c r="Z36" s="163" t="str">
        <f ca="1">IF($C36,AND($I36=0,'Proyecto Datos (OKR´s)'!$K36&lt;=TODAY(),$J36&lt;&gt;"Completado"),"")</f>
        <v/>
      </c>
      <c r="AA36" s="163" t="str">
        <f t="shared" ca="1" si="10"/>
        <v/>
      </c>
      <c r="AB36" s="164" t="str">
        <f t="shared" ca="1" si="11"/>
        <v/>
      </c>
      <c r="AC36" s="164" t="str">
        <f t="shared" ca="1" si="12"/>
        <v/>
      </c>
      <c r="AD36" s="163" t="str">
        <f ca="1">IF($C36,IF($N36=9999,9999,IF($J36="Completado",$N36,MAX($N36,Sprints!$M$15))),"")</f>
        <v/>
      </c>
      <c r="AE36" s="163" t="str">
        <f t="shared" ca="1" si="13"/>
        <v/>
      </c>
      <c r="AF36" s="163" t="b">
        <f t="shared" ca="1" si="14"/>
        <v>0</v>
      </c>
      <c r="AG36" s="163" t="str">
        <f t="shared" ca="1" si="15"/>
        <v/>
      </c>
      <c r="AH36" s="164" t="str">
        <f ca="1">IF($AF36,IF(Sprints!$I36&lt;&gt;"",Sprints!$I36,"Comprometida y no completada al cierre del Sprint "&amp;$N36),"")</f>
        <v/>
      </c>
      <c r="AI36" s="163" t="str">
        <f t="shared" ca="1" si="16"/>
        <v/>
      </c>
      <c r="AJ36" s="163" t="str">
        <f t="shared" ca="1" si="17"/>
        <v/>
      </c>
      <c r="AK36" s="163" t="str">
        <f t="shared" ca="1" si="18"/>
        <v/>
      </c>
      <c r="AL36" s="163" t="str">
        <f t="shared" ca="1" si="19"/>
        <v/>
      </c>
      <c r="AM36" s="163" t="str">
        <f t="shared" ca="1" si="20"/>
        <v/>
      </c>
      <c r="AN36" s="164" t="str">
        <f t="shared" ca="1" si="21"/>
        <v/>
      </c>
      <c r="AO36" s="163" t="str">
        <f ca="1">IF($C36,IFERROR(INDEX(Sprints!$M$6:$M$13,MATCH($N36,Sprints!$K$6:$K$13,0)),""),"")</f>
        <v/>
      </c>
      <c r="AP36" s="163" t="str">
        <f t="shared" ca="1" si="22"/>
        <v/>
      </c>
    </row>
    <row r="37" spans="1:42" x14ac:dyDescent="0.35">
      <c r="A37" s="163">
        <f>ROW()</f>
        <v>37</v>
      </c>
      <c r="B37" s="163" t="b">
        <f>ISTEXT('Proyecto Datos (OKR´s)'!$K37)</f>
        <v>0</v>
      </c>
      <c r="C37" s="163" t="b">
        <f>AND(LEN('Proyecto Datos (OKR´s)'!$G37)&gt;0,NOT($B37),OR(ISNUMBER('Proyecto Datos (OKR´s)'!$F37),ISNUMBER('Proyecto Datos (OKR´s)'!$L37)))</f>
        <v>1</v>
      </c>
      <c r="D37" s="164" t="str">
        <f>IF($C37,IFERROR(LOOKUP(2,1/((ISTEXT('Proyecto Datos (OKR´s)'!$K$7:$K37))*(LEN('Proyecto Datos (OKR´s)'!$G$7:$G37)&gt;0)),'Proyecto Datos (OKR´s)'!$G$7:$G37),""),"")</f>
        <v>5- Tablero Control General - Op. Complejas</v>
      </c>
      <c r="E37" s="163">
        <f>IF($C37,'Proyecto Datos (OKR´s)'!$E37,"")</f>
        <v>1</v>
      </c>
      <c r="F37" s="164" t="str">
        <f>IF($C37,'Proyecto Datos (OKR´s)'!$G37,"")</f>
        <v>Planilla Activos Unificados - Estandarizar + Procedimiento</v>
      </c>
      <c r="G37" s="164" t="str">
        <f>IF($C37,IF('Proyecto Datos (OKR´s)'!$I37="","(Sin asignar)",'Proyecto Datos (OKR´s)'!$I37),"")</f>
        <v>Santiago Alonso</v>
      </c>
      <c r="H37" s="163">
        <f>IF($C37,IF(ISNUMBER('Proyecto Datos (OKR´s)'!$F37),'Proyecto Datos (OKR´s)'!$F37,'Proyecto Datos (OKR´s)'!$L37),"")</f>
        <v>46185</v>
      </c>
      <c r="I37" s="163">
        <f>IF($C37,'Proyecto Datos (OKR´s)'!$J37,"")</f>
        <v>0.2</v>
      </c>
      <c r="J37" s="164" t="str">
        <f ca="1">IF($C37,IF($I37&gt;=1,"Completado",IF($H37&lt;TODAY(),"Vencido",IF(($H37-TODAY())&lt;='Entregas Próximas'!$M$3,"Próximo a vencer","En curso"))),"")</f>
        <v>Vencido</v>
      </c>
      <c r="K37" s="163">
        <f t="shared" ca="1" si="0"/>
        <v>-7</v>
      </c>
      <c r="L37" s="163">
        <f t="shared" ca="1" si="1"/>
        <v>2046185.00037</v>
      </c>
      <c r="M37" s="163">
        <f t="shared" ca="1" si="2"/>
        <v>2</v>
      </c>
      <c r="N37" s="163">
        <f>IF($C37,IF('Proyecto Datos (OKR´s)'!$E37="",9999,'Proyecto Datos (OKR´s)'!$E37),"")</f>
        <v>1</v>
      </c>
      <c r="O37" s="163" t="str">
        <f t="shared" si="3"/>
        <v>T037</v>
      </c>
      <c r="P37" s="163">
        <v>9999</v>
      </c>
      <c r="Q37" s="163">
        <f ca="1">IF(COUNTIF($AD$7:$AD$200,9999)&gt;0,9999,"")</f>
        <v>9999</v>
      </c>
      <c r="R37" s="163">
        <f>IF($C37,IF(ISNUMBER('Proyecto Datos (OKR´s)'!$L37),'Proyecto Datos (OKR´s)'!$L37,$H37),"")</f>
        <v>46185</v>
      </c>
      <c r="S37" s="163">
        <f>IF($C37,$R37-'Proyecto Datos (OKR´s)'!$K37+1,"")</f>
        <v>194</v>
      </c>
      <c r="T37" s="163">
        <f ca="1">IF($C37,MAX(0,TODAY()-'Proyecto Datos (OKR´s)'!$K37),"")</f>
        <v>200</v>
      </c>
      <c r="U37" s="163">
        <f ca="1">IF($C37,MEDIAN(0,(TODAY()-'Proyecto Datos (OKR´s)'!$K37)/MAX(1,$R37-'Proyecto Datos (OKR´s)'!$K37),1),"")</f>
        <v>1</v>
      </c>
      <c r="V37" s="163">
        <f t="shared" ca="1" si="6"/>
        <v>-0.8</v>
      </c>
      <c r="W37" s="163">
        <f t="shared" ca="1" si="7"/>
        <v>7</v>
      </c>
      <c r="X37" s="163">
        <f t="shared" si="8"/>
        <v>0</v>
      </c>
      <c r="Y37" s="163">
        <f t="shared" ca="1" si="9"/>
        <v>35</v>
      </c>
      <c r="Z37" s="163" t="b">
        <f ca="1">IF($C37,AND($I37=0,'Proyecto Datos (OKR´s)'!$K37&lt;=TODAY(),$J37&lt;&gt;"Completado"),"")</f>
        <v>0</v>
      </c>
      <c r="AA37" s="163">
        <f t="shared" ca="1" si="10"/>
        <v>88</v>
      </c>
      <c r="AB37" s="164" t="str">
        <f t="shared" ca="1" si="11"/>
        <v>Crítica</v>
      </c>
      <c r="AC37" s="164" t="str">
        <f t="shared" ca="1" si="12"/>
        <v>ATRASO SOBRECARGA</v>
      </c>
      <c r="AD37" s="163">
        <f ca="1">IF($C37,IF($N37=9999,9999,IF($J37="Completado",$N37,MAX($N37,Sprints!$M$15))),"")</f>
        <v>2</v>
      </c>
      <c r="AE37" s="163">
        <f t="shared" ca="1" si="13"/>
        <v>2</v>
      </c>
      <c r="AF37" s="163" t="b">
        <f t="shared" ca="1" si="14"/>
        <v>1</v>
      </c>
      <c r="AG37" s="163">
        <f t="shared" ca="1" si="15"/>
        <v>46186</v>
      </c>
      <c r="AH37" s="164" t="str">
        <f ca="1">IF($AF37,IF(Sprints!$I37&lt;&gt;"",Sprints!$I37,"Comprometida y no completada al cierre del Sprint "&amp;$N37),"")</f>
        <v>Comprometida y no completada al cierre del Sprint 1</v>
      </c>
      <c r="AI37" s="163">
        <f t="shared" ca="1" si="16"/>
        <v>100037</v>
      </c>
      <c r="AJ37" s="163">
        <f t="shared" ca="1" si="17"/>
        <v>88000963</v>
      </c>
      <c r="AK37" s="163">
        <f t="shared" ca="1" si="18"/>
        <v>1</v>
      </c>
      <c r="AL37" s="163">
        <f t="shared" ca="1" si="19"/>
        <v>0.8</v>
      </c>
      <c r="AM37" s="163">
        <f t="shared" ca="1" si="20"/>
        <v>0.7</v>
      </c>
      <c r="AN37" s="164" t="str">
        <f t="shared" ca="1" si="21"/>
        <v xml:space="preserve">ATRASO SOBRECARGA </v>
      </c>
      <c r="AO37" s="163">
        <f>IF($C37,IFERROR(INDEX(Sprints!$M$6:$M$13,MATCH($N37,Sprints!$K$6:$K$13,0)),""),"")</f>
        <v>46186</v>
      </c>
      <c r="AP37" s="163">
        <f t="shared" ca="1" si="22"/>
        <v>6</v>
      </c>
    </row>
    <row r="38" spans="1:42" x14ac:dyDescent="0.35">
      <c r="A38" s="163">
        <f>ROW()</f>
        <v>38</v>
      </c>
      <c r="B38" s="163" t="b">
        <f>ISTEXT('Proyecto Datos (OKR´s)'!$K38)</f>
        <v>0</v>
      </c>
      <c r="C38" s="163" t="b">
        <f>AND(LEN('Proyecto Datos (OKR´s)'!$G38)&gt;0,NOT($B38),OR(ISNUMBER('Proyecto Datos (OKR´s)'!$F38),ISNUMBER('Proyecto Datos (OKR´s)'!$L38)))</f>
        <v>1</v>
      </c>
      <c r="D38" s="164" t="str">
        <f>IF($C38,IFERROR(LOOKUP(2,1/((ISTEXT('Proyecto Datos (OKR´s)'!$K$7:$K38))*(LEN('Proyecto Datos (OKR´s)'!$G$7:$G38)&gt;0)),'Proyecto Datos (OKR´s)'!$G$7:$G38),""),"")</f>
        <v>5- Tablero Control General - Op. Complejas</v>
      </c>
      <c r="E38" s="163">
        <f>IF($C38,'Proyecto Datos (OKR´s)'!$E38,"")</f>
        <v>1</v>
      </c>
      <c r="F38" s="164" t="str">
        <f>IF($C38,'Proyecto Datos (OKR´s)'!$G38,"")</f>
        <v>Planilla DTM Estandarizada+ Procedimiento</v>
      </c>
      <c r="G38" s="164" t="str">
        <f>IF($C38,IF('Proyecto Datos (OKR´s)'!$I38="","(Sin asignar)",'Proyecto Datos (OKR´s)'!$I38),"")</f>
        <v>Santiago Alonso</v>
      </c>
      <c r="H38" s="163">
        <f>IF($C38,IF(ISNUMBER('Proyecto Datos (OKR´s)'!$F38),'Proyecto Datos (OKR´s)'!$F38,'Proyecto Datos (OKR´s)'!$L38),"")</f>
        <v>46185</v>
      </c>
      <c r="I38" s="163">
        <f>IF($C38,'Proyecto Datos (OKR´s)'!$J38,"")</f>
        <v>0.9</v>
      </c>
      <c r="J38" s="164" t="str">
        <f ca="1">IF($C38,IF($I38&gt;=1,"Completado",IF($H38&lt;TODAY(),"Vencido",IF(($H38-TODAY())&lt;='Entregas Próximas'!$M$3,"Próximo a vencer","En curso"))),"")</f>
        <v>Vencido</v>
      </c>
      <c r="K38" s="163">
        <f t="shared" ca="1" si="0"/>
        <v>-7</v>
      </c>
      <c r="L38" s="163">
        <f t="shared" ca="1" si="1"/>
        <v>2046185.0003800001</v>
      </c>
      <c r="M38" s="163">
        <f t="shared" ca="1" si="2"/>
        <v>2</v>
      </c>
      <c r="N38" s="163">
        <f>IF($C38,IF('Proyecto Datos (OKR´s)'!$E38="",9999,'Proyecto Datos (OKR´s)'!$E38),"")</f>
        <v>1</v>
      </c>
      <c r="O38" s="163" t="str">
        <f t="shared" si="3"/>
        <v>T038</v>
      </c>
      <c r="R38" s="163">
        <f>IF($C38,IF(ISNUMBER('Proyecto Datos (OKR´s)'!$L38),'Proyecto Datos (OKR´s)'!$L38,$H38),"")</f>
        <v>46185</v>
      </c>
      <c r="S38" s="163">
        <f>IF($C38,$R38-'Proyecto Datos (OKR´s)'!$K38+1,"")</f>
        <v>163</v>
      </c>
      <c r="T38" s="163">
        <f ca="1">IF($C38,MAX(0,TODAY()-'Proyecto Datos (OKR´s)'!$K38),"")</f>
        <v>169</v>
      </c>
      <c r="U38" s="163">
        <f ca="1">IF($C38,MEDIAN(0,(TODAY()-'Proyecto Datos (OKR´s)'!$K38)/MAX(1,$R38-'Proyecto Datos (OKR´s)'!$K38),1),"")</f>
        <v>1</v>
      </c>
      <c r="V38" s="163">
        <f t="shared" ca="1" si="6"/>
        <v>-9.9999999999999978E-2</v>
      </c>
      <c r="W38" s="163">
        <f t="shared" ca="1" si="7"/>
        <v>7</v>
      </c>
      <c r="X38" s="163">
        <f t="shared" si="8"/>
        <v>0</v>
      </c>
      <c r="Y38" s="163">
        <f t="shared" ca="1" si="9"/>
        <v>35</v>
      </c>
      <c r="Z38" s="163" t="b">
        <f ca="1">IF($C38,AND($I38=0,'Proyecto Datos (OKR´s)'!$K38&lt;=TODAY(),$J38&lt;&gt;"Completado"),"")</f>
        <v>0</v>
      </c>
      <c r="AA38" s="163">
        <f t="shared" ca="1" si="10"/>
        <v>63</v>
      </c>
      <c r="AB38" s="164" t="str">
        <f t="shared" ca="1" si="11"/>
        <v>Alta</v>
      </c>
      <c r="AC38" s="164" t="str">
        <f t="shared" ca="1" si="12"/>
        <v>ATRASO SOBRECARGA</v>
      </c>
      <c r="AD38" s="163">
        <f ca="1">IF($C38,IF($N38=9999,9999,IF($J38="Completado",$N38,MAX($N38,Sprints!$M$15))),"")</f>
        <v>2</v>
      </c>
      <c r="AE38" s="163">
        <f t="shared" ca="1" si="13"/>
        <v>2</v>
      </c>
      <c r="AF38" s="163" t="b">
        <f t="shared" ca="1" si="14"/>
        <v>1</v>
      </c>
      <c r="AG38" s="163">
        <f t="shared" ca="1" si="15"/>
        <v>46186</v>
      </c>
      <c r="AH38" s="164" t="str">
        <f ca="1">IF($AF38,IF(Sprints!$I38&lt;&gt;"",Sprints!$I38,"Comprometida y no completada al cierre del Sprint "&amp;$N38),"")</f>
        <v>Comprometida y no completada al cierre del Sprint 1</v>
      </c>
      <c r="AI38" s="163">
        <f t="shared" ca="1" si="16"/>
        <v>100038</v>
      </c>
      <c r="AJ38" s="163">
        <f t="shared" ca="1" si="17"/>
        <v>63000962</v>
      </c>
      <c r="AK38" s="163">
        <f t="shared" ca="1" si="18"/>
        <v>1</v>
      </c>
      <c r="AL38" s="163">
        <f t="shared" ca="1" si="19"/>
        <v>0.23333333333333334</v>
      </c>
      <c r="AM38" s="163">
        <f t="shared" ca="1" si="20"/>
        <v>0.3</v>
      </c>
      <c r="AN38" s="164" t="str">
        <f t="shared" ca="1" si="21"/>
        <v xml:space="preserve">ATRASO SOBRECARGA </v>
      </c>
      <c r="AO38" s="163">
        <f>IF($C38,IFERROR(INDEX(Sprints!$M$6:$M$13,MATCH($N38,Sprints!$K$6:$K$13,0)),""),"")</f>
        <v>46186</v>
      </c>
      <c r="AP38" s="163">
        <f t="shared" ca="1" si="22"/>
        <v>6</v>
      </c>
    </row>
    <row r="39" spans="1:42" x14ac:dyDescent="0.35">
      <c r="A39" s="163">
        <f>ROW()</f>
        <v>39</v>
      </c>
      <c r="B39" s="163" t="b">
        <f>ISTEXT('Proyecto Datos (OKR´s)'!$K39)</f>
        <v>0</v>
      </c>
      <c r="C39" s="163" t="b">
        <f>AND(LEN('Proyecto Datos (OKR´s)'!$G39)&gt;0,NOT($B39),OR(ISNUMBER('Proyecto Datos (OKR´s)'!$F39),ISNUMBER('Proyecto Datos (OKR´s)'!$L39)))</f>
        <v>1</v>
      </c>
      <c r="D39" s="164" t="str">
        <f>IF($C39,IFERROR(LOOKUP(2,1/((ISTEXT('Proyecto Datos (OKR´s)'!$K$7:$K39))*(LEN('Proyecto Datos (OKR´s)'!$G$7:$G39)&gt;0)),'Proyecto Datos (OKR´s)'!$G$7:$G39),""),"")</f>
        <v>5- Tablero Control General - Op. Complejas</v>
      </c>
      <c r="E39" s="163">
        <f>IF($C39,'Proyecto Datos (OKR´s)'!$E39,"")</f>
        <v>1</v>
      </c>
      <c r="F39" s="164" t="str">
        <f>IF($C39,'Proyecto Datos (OKR´s)'!$G39,"")</f>
        <v>Planilla Aeroevaciaciones + Procedimiento</v>
      </c>
      <c r="G39" s="164" t="str">
        <f>IF($C39,IF('Proyecto Datos (OKR´s)'!$I39="","(Sin asignar)",'Proyecto Datos (OKR´s)'!$I39),"")</f>
        <v>Santiago Alonso</v>
      </c>
      <c r="H39" s="163">
        <f>IF($C39,IF(ISNUMBER('Proyecto Datos (OKR´s)'!$F39),'Proyecto Datos (OKR´s)'!$F39,'Proyecto Datos (OKR´s)'!$L39),"")</f>
        <v>46185</v>
      </c>
      <c r="I39" s="163">
        <f>IF($C39,'Proyecto Datos (OKR´s)'!$J39,"")</f>
        <v>0.95</v>
      </c>
      <c r="J39" s="164" t="str">
        <f ca="1">IF($C39,IF($I39&gt;=1,"Completado",IF($H39&lt;TODAY(),"Vencido",IF(($H39-TODAY())&lt;='Entregas Próximas'!$M$3,"Próximo a vencer","En curso"))),"")</f>
        <v>Vencido</v>
      </c>
      <c r="K39" s="163">
        <f t="shared" ref="K39:K70" ca="1" si="23">IF($C39,$H39-TODAY(),"")</f>
        <v>-7</v>
      </c>
      <c r="L39" s="163">
        <f t="shared" ref="L39:L70" ca="1" si="24">IF($C39,$AD39*1000000+$H39+ROW()/100000,"")</f>
        <v>2046185.0003899999</v>
      </c>
      <c r="M39" s="163">
        <f t="shared" ref="M39:M70" ca="1" si="25">IF($C39,IF($AD39=9999,"(Sin sprint)",$AD39),"")</f>
        <v>2</v>
      </c>
      <c r="N39" s="163">
        <f>IF($C39,IF('Proyecto Datos (OKR´s)'!$E39="",9999,'Proyecto Datos (OKR´s)'!$E39),"")</f>
        <v>1</v>
      </c>
      <c r="O39" s="163" t="str">
        <f t="shared" ref="O39:O70" si="26">IF($C39,"T"&amp;TEXT(ROW(),"000"),"")</f>
        <v>T039</v>
      </c>
      <c r="R39" s="163">
        <f>IF($C39,IF(ISNUMBER('Proyecto Datos (OKR´s)'!$L39),'Proyecto Datos (OKR´s)'!$L39,$H39),"")</f>
        <v>46185</v>
      </c>
      <c r="S39" s="163">
        <f>IF($C39,$R39-'Proyecto Datos (OKR´s)'!$K39+1,"")</f>
        <v>194</v>
      </c>
      <c r="T39" s="163">
        <f ca="1">IF($C39,MAX(0,TODAY()-'Proyecto Datos (OKR´s)'!$K39),"")</f>
        <v>200</v>
      </c>
      <c r="U39" s="163">
        <f ca="1">IF($C39,MEDIAN(0,(TODAY()-'Proyecto Datos (OKR´s)'!$K39)/MAX(1,$R39-'Proyecto Datos (OKR´s)'!$K39),1),"")</f>
        <v>1</v>
      </c>
      <c r="V39" s="163">
        <f t="shared" ref="V39:V70" ca="1" si="27">IF($C39,$I39-$U39,"")</f>
        <v>-5.0000000000000044E-2</v>
      </c>
      <c r="W39" s="163">
        <f t="shared" ref="W39:W70" ca="1" si="28">IF($C39,IF($J39="Completado",0,MAX(0,TODAY()-$H39)),"")</f>
        <v>7</v>
      </c>
      <c r="X39" s="163">
        <f t="shared" ref="X39:X70" si="29">IF($C39,IF(ISNUMBER($H39),$R39-$H39,0),"")</f>
        <v>0</v>
      </c>
      <c r="Y39" s="163">
        <f t="shared" ref="Y39:Y70" ca="1" si="30">IF($C39,COUNTIFS($G$7:$G$200,$G39,$J$7:$J$200,"&lt;&gt;Completado",$J$7:$J$200,"&lt;&gt;"),"")</f>
        <v>35</v>
      </c>
      <c r="Z39" s="163" t="b">
        <f ca="1">IF($C39,AND($I39=0,'Proyecto Datos (OKR´s)'!$K39&lt;=TODAY(),$J39&lt;&gt;"Completado"),"")</f>
        <v>0</v>
      </c>
      <c r="AA39" s="163">
        <f t="shared" ref="AA39:AA70" ca="1" si="31">IF($C39,ROUND(100*(0.35*$AK39+0.3*$AL39+0.2*$AM39+0.15*MEDIAN(0,($Y39-4)/8,1)),0),"")</f>
        <v>63</v>
      </c>
      <c r="AB39" s="164" t="str">
        <f t="shared" ref="AB39:AB70" ca="1" si="32">IF($C39,IF($J39="Completado","—",IF($AA39&gt;=70,"Crítica",IF($AA39&gt;=45,"Alta",IF($AA39&gt;=25,"Media","Baja")))),"")</f>
        <v>Alta</v>
      </c>
      <c r="AC39" s="164" t="str">
        <f t="shared" ref="AC39:AC70" ca="1" si="33">IF($C39,IF(LEN(TRIM($AN39))=0,"—",TRIM($AN39)),"")</f>
        <v>ATRASO SOBRECARGA</v>
      </c>
      <c r="AD39" s="163">
        <f ca="1">IF($C39,IF($N39=9999,9999,IF($J39="Completado",$N39,MAX($N39,Sprints!$M$15))),"")</f>
        <v>2</v>
      </c>
      <c r="AE39" s="163">
        <f t="shared" ref="AE39:AE70" ca="1" si="34">IF($C39,IF($AD39=9999,"(Sin sprint)",$AD39),"")</f>
        <v>2</v>
      </c>
      <c r="AF39" s="163" t="b">
        <f t="shared" ref="AF39:AF70" ca="1" si="35">IF($C39,AND($N39&lt;&gt;9999,$AD39&lt;&gt;$N39),FALSE)</f>
        <v>1</v>
      </c>
      <c r="AG39" s="163">
        <f t="shared" ref="AG39:AG70" ca="1" si="36">IF($AF39,$AO39,"")</f>
        <v>46186</v>
      </c>
      <c r="AH39" s="164" t="str">
        <f ca="1">IF($AF39,IF(Sprints!$I39&lt;&gt;"",Sprints!$I39,"Comprometida y no completada al cierre del Sprint "&amp;$N39),"")</f>
        <v>Comprometida y no completada al cierre del Sprint 1</v>
      </c>
      <c r="AI39" s="163">
        <f t="shared" ref="AI39:AI70" ca="1" si="37">IF($AF39,$N39*100000+ROW(),"")</f>
        <v>100039</v>
      </c>
      <c r="AJ39" s="163">
        <f t="shared" ref="AJ39:AJ70" ca="1" si="38">IF($C39,$AA39*1000000-MEDIAN(-9999,$K39,9999)*100+(300-ROW()),"")</f>
        <v>63000961</v>
      </c>
      <c r="AK39" s="163">
        <f t="shared" ref="AK39:AK70" ca="1" si="39">IF($C39,IF($J39="Completado",0,IF($K39&lt;0,1,IF($K39&lt;=3,0.9,IF($K39&lt;=7,0.7,IF($K39&lt;=14,0.45,0.2))))),"")</f>
        <v>1</v>
      </c>
      <c r="AL39" s="163">
        <f t="shared" ref="AL39:AL70" ca="1" si="40">IF($C39,IF($J39="Completado",0,MEDIAN(0,MAX(-$V39,$W39/30),1)),"")</f>
        <v>0.23333333333333334</v>
      </c>
      <c r="AM39" s="163">
        <f t="shared" ref="AM39:AM70" ca="1" si="41">IF($C39,IF($J39="Completado",0,IF($Z39,1,IF(AND($I39&lt;0.5,$K39&lt;=7),0.7,0.3))),"")</f>
        <v>0.3</v>
      </c>
      <c r="AN39" s="164" t="str">
        <f t="shared" ref="AN39:AN70" ca="1" si="42">IF($C39,IF(OR($V39&lt;-0.2,$W39&gt;0),"ATRASO ","")&amp;IF($Z39,"BLOQUEO ","")&amp;IF($Y39&gt;8,"SOBRECARGA ","")&amp;IF($X39&gt;0,"DESVÍO-PLAN ",""),"")</f>
        <v xml:space="preserve">ATRASO SOBRECARGA </v>
      </c>
      <c r="AO39" s="163">
        <f>IF($C39,IFERROR(INDEX(Sprints!$M$6:$M$13,MATCH($N39,Sprints!$K$6:$K$13,0)),""),"")</f>
        <v>46186</v>
      </c>
      <c r="AP39" s="163">
        <f t="shared" ref="AP39:AP70" ca="1" si="43">IF($C39,IF(AND($N39&lt;&gt;9999,$AD39&lt;&gt;$N39,ISNUMBER($AO39)),TODAY()-$AO39,0),"")</f>
        <v>6</v>
      </c>
    </row>
    <row r="40" spans="1:42" x14ac:dyDescent="0.35">
      <c r="A40" s="163">
        <f>ROW()</f>
        <v>40</v>
      </c>
      <c r="B40" s="163" t="b">
        <f>ISTEXT('Proyecto Datos (OKR´s)'!$K40)</f>
        <v>0</v>
      </c>
      <c r="C40" s="163" t="b">
        <f>AND(LEN('Proyecto Datos (OKR´s)'!$G40)&gt;0,NOT($B40),OR(ISNUMBER('Proyecto Datos (OKR´s)'!$F40),ISNUMBER('Proyecto Datos (OKR´s)'!$L40)))</f>
        <v>1</v>
      </c>
      <c r="D40" s="164" t="str">
        <f>IF($C40,IFERROR(LOOKUP(2,1/((ISTEXT('Proyecto Datos (OKR´s)'!$K$7:$K40))*(LEN('Proyecto Datos (OKR´s)'!$G$7:$G40)&gt;0)),'Proyecto Datos (OKR´s)'!$G$7:$G40),""),"")</f>
        <v>5- Tablero Control General - Op. Complejas</v>
      </c>
      <c r="E40" s="163">
        <f>IF($C40,'Proyecto Datos (OKR´s)'!$E40,"")</f>
        <v>1</v>
      </c>
      <c r="F40" s="164" t="str">
        <f>IF($C40,'Proyecto Datos (OKR´s)'!$G40,"")</f>
        <v>Resumen Clientes Petróleo</v>
      </c>
      <c r="G40" s="164" t="str">
        <f>IF($C40,IF('Proyecto Datos (OKR´s)'!$I40="","(Sin asignar)",'Proyecto Datos (OKR´s)'!$I40),"")</f>
        <v>Santiago Alonso</v>
      </c>
      <c r="H40" s="163">
        <f>IF($C40,IF(ISNUMBER('Proyecto Datos (OKR´s)'!$F40),'Proyecto Datos (OKR´s)'!$F40,'Proyecto Datos (OKR´s)'!$L40),"")</f>
        <v>46185</v>
      </c>
      <c r="I40" s="163">
        <f>IF($C40,'Proyecto Datos (OKR´s)'!$J40,"")</f>
        <v>0.7</v>
      </c>
      <c r="J40" s="164" t="str">
        <f ca="1">IF($C40,IF($I40&gt;=1,"Completado",IF($H40&lt;TODAY(),"Vencido",IF(($H40-TODAY())&lt;='Entregas Próximas'!$M$3,"Próximo a vencer","En curso"))),"")</f>
        <v>Vencido</v>
      </c>
      <c r="K40" s="163">
        <f t="shared" ca="1" si="23"/>
        <v>-7</v>
      </c>
      <c r="L40" s="163">
        <f t="shared" ca="1" si="24"/>
        <v>2046185.0004</v>
      </c>
      <c r="M40" s="163">
        <f t="shared" ca="1" si="25"/>
        <v>2</v>
      </c>
      <c r="N40" s="163">
        <f>IF($C40,IF('Proyecto Datos (OKR´s)'!$E40="",9999,'Proyecto Datos (OKR´s)'!$E40),"")</f>
        <v>1</v>
      </c>
      <c r="O40" s="163" t="str">
        <f t="shared" si="26"/>
        <v>T040</v>
      </c>
      <c r="R40" s="163">
        <f>IF($C40,IF(ISNUMBER('Proyecto Datos (OKR´s)'!$L40),'Proyecto Datos (OKR´s)'!$L40,$H40),"")</f>
        <v>46185</v>
      </c>
      <c r="S40" s="163">
        <f>IF($C40,$R40-'Proyecto Datos (OKR´s)'!$K40+1,"")</f>
        <v>-171</v>
      </c>
      <c r="T40" s="163">
        <f ca="1">IF($C40,MAX(0,TODAY()-'Proyecto Datos (OKR´s)'!$K40),"")</f>
        <v>0</v>
      </c>
      <c r="U40" s="163">
        <f ca="1">IF($C40,MEDIAN(0,(TODAY()-'Proyecto Datos (OKR´s)'!$K40)/MAX(1,$R40-'Proyecto Datos (OKR´s)'!$K40),1),"")</f>
        <v>0</v>
      </c>
      <c r="V40" s="163">
        <f t="shared" ca="1" si="27"/>
        <v>0.7</v>
      </c>
      <c r="W40" s="163">
        <f t="shared" ca="1" si="28"/>
        <v>7</v>
      </c>
      <c r="X40" s="163">
        <f t="shared" si="29"/>
        <v>0</v>
      </c>
      <c r="Y40" s="163">
        <f t="shared" ca="1" si="30"/>
        <v>35</v>
      </c>
      <c r="Z40" s="163" t="b">
        <f ca="1">IF($C40,AND($I40=0,'Proyecto Datos (OKR´s)'!$K40&lt;=TODAY(),$J40&lt;&gt;"Completado"),"")</f>
        <v>0</v>
      </c>
      <c r="AA40" s="163">
        <f t="shared" ca="1" si="31"/>
        <v>63</v>
      </c>
      <c r="AB40" s="164" t="str">
        <f t="shared" ca="1" si="32"/>
        <v>Alta</v>
      </c>
      <c r="AC40" s="164" t="str">
        <f t="shared" ca="1" si="33"/>
        <v>ATRASO SOBRECARGA</v>
      </c>
      <c r="AD40" s="163">
        <f ca="1">IF($C40,IF($N40=9999,9999,IF($J40="Completado",$N40,MAX($N40,Sprints!$M$15))),"")</f>
        <v>2</v>
      </c>
      <c r="AE40" s="163">
        <f t="shared" ca="1" si="34"/>
        <v>2</v>
      </c>
      <c r="AF40" s="163" t="b">
        <f t="shared" ca="1" si="35"/>
        <v>1</v>
      </c>
      <c r="AG40" s="163">
        <f t="shared" ca="1" si="36"/>
        <v>46186</v>
      </c>
      <c r="AH40" s="164" t="str">
        <f ca="1">IF($AF40,IF(Sprints!$I40&lt;&gt;"",Sprints!$I40,"Comprometida y no completada al cierre del Sprint "&amp;$N40),"")</f>
        <v>Comprometida y no completada al cierre del Sprint 1</v>
      </c>
      <c r="AI40" s="163">
        <f t="shared" ca="1" si="37"/>
        <v>100040</v>
      </c>
      <c r="AJ40" s="163">
        <f t="shared" ca="1" si="38"/>
        <v>63000960</v>
      </c>
      <c r="AK40" s="163">
        <f t="shared" ca="1" si="39"/>
        <v>1</v>
      </c>
      <c r="AL40" s="163">
        <f t="shared" ca="1" si="40"/>
        <v>0.23333333333333334</v>
      </c>
      <c r="AM40" s="163">
        <f t="shared" ca="1" si="41"/>
        <v>0.3</v>
      </c>
      <c r="AN40" s="164" t="str">
        <f t="shared" ca="1" si="42"/>
        <v xml:space="preserve">ATRASO SOBRECARGA </v>
      </c>
      <c r="AO40" s="163">
        <f>IF($C40,IFERROR(INDEX(Sprints!$M$6:$M$13,MATCH($N40,Sprints!$K$6:$K$13,0)),""),"")</f>
        <v>46186</v>
      </c>
      <c r="AP40" s="163">
        <f t="shared" ca="1" si="43"/>
        <v>6</v>
      </c>
    </row>
    <row r="41" spans="1:42" x14ac:dyDescent="0.35">
      <c r="A41" s="163">
        <f>ROW()</f>
        <v>41</v>
      </c>
      <c r="B41" s="163" t="b">
        <f>ISTEXT('Proyecto Datos (OKR´s)'!$K41)</f>
        <v>0</v>
      </c>
      <c r="C41" s="163" t="b">
        <f>AND(LEN('Proyecto Datos (OKR´s)'!$G41)&gt;0,NOT($B41),OR(ISNUMBER('Proyecto Datos (OKR´s)'!$F41),ISNUMBER('Proyecto Datos (OKR´s)'!$L41)))</f>
        <v>1</v>
      </c>
      <c r="D41" s="164" t="str">
        <f>IF($C41,IFERROR(LOOKUP(2,1/((ISTEXT('Proyecto Datos (OKR´s)'!$K$7:$K41))*(LEN('Proyecto Datos (OKR´s)'!$G$7:$G41)&gt;0)),'Proyecto Datos (OKR´s)'!$G$7:$G41),""),"")</f>
        <v>5- Tablero Control General - Op. Complejas</v>
      </c>
      <c r="E41" s="163">
        <f>IF($C41,'Proyecto Datos (OKR´s)'!$E41,"")</f>
        <v>1</v>
      </c>
      <c r="F41" s="164" t="str">
        <f>IF($C41,'Proyecto Datos (OKR´s)'!$G41,"")</f>
        <v>Resumen Clientes Minería</v>
      </c>
      <c r="G41" s="164" t="str">
        <f>IF($C41,IF('Proyecto Datos (OKR´s)'!$I41="","(Sin asignar)",'Proyecto Datos (OKR´s)'!$I41),"")</f>
        <v>Santiago Alonso</v>
      </c>
      <c r="H41" s="163">
        <f>IF($C41,IF(ISNUMBER('Proyecto Datos (OKR´s)'!$F41),'Proyecto Datos (OKR´s)'!$F41,'Proyecto Datos (OKR´s)'!$L41),"")</f>
        <v>46185</v>
      </c>
      <c r="I41" s="163">
        <f>IF($C41,'Proyecto Datos (OKR´s)'!$J41,"")</f>
        <v>0.5</v>
      </c>
      <c r="J41" s="164" t="str">
        <f ca="1">IF($C41,IF($I41&gt;=1,"Completado",IF($H41&lt;TODAY(),"Vencido",IF(($H41-TODAY())&lt;='Entregas Próximas'!$M$3,"Próximo a vencer","En curso"))),"")</f>
        <v>Vencido</v>
      </c>
      <c r="K41" s="163">
        <f t="shared" ca="1" si="23"/>
        <v>-7</v>
      </c>
      <c r="L41" s="163">
        <f t="shared" ca="1" si="24"/>
        <v>2046185.0004100001</v>
      </c>
      <c r="M41" s="163">
        <f t="shared" ca="1" si="25"/>
        <v>2</v>
      </c>
      <c r="N41" s="163">
        <f>IF($C41,IF('Proyecto Datos (OKR´s)'!$E41="",9999,'Proyecto Datos (OKR´s)'!$E41),"")</f>
        <v>1</v>
      </c>
      <c r="O41" s="163" t="str">
        <f t="shared" si="26"/>
        <v>T041</v>
      </c>
      <c r="R41" s="163">
        <f>IF($C41,IF(ISNUMBER('Proyecto Datos (OKR´s)'!$L41),'Proyecto Datos (OKR´s)'!$L41,$H41),"")</f>
        <v>46185</v>
      </c>
      <c r="S41" s="163">
        <f>IF($C41,$R41-'Proyecto Datos (OKR´s)'!$K41+1,"")</f>
        <v>-2</v>
      </c>
      <c r="T41" s="163">
        <f ca="1">IF($C41,MAX(0,TODAY()-'Proyecto Datos (OKR´s)'!$K41),"")</f>
        <v>4</v>
      </c>
      <c r="U41" s="163">
        <f ca="1">IF($C41,MEDIAN(0,(TODAY()-'Proyecto Datos (OKR´s)'!$K41)/MAX(1,$R41-'Proyecto Datos (OKR´s)'!$K41),1),"")</f>
        <v>1</v>
      </c>
      <c r="V41" s="163">
        <f t="shared" ca="1" si="27"/>
        <v>-0.5</v>
      </c>
      <c r="W41" s="163">
        <f t="shared" ca="1" si="28"/>
        <v>7</v>
      </c>
      <c r="X41" s="163">
        <f t="shared" si="29"/>
        <v>0</v>
      </c>
      <c r="Y41" s="163">
        <f t="shared" ca="1" si="30"/>
        <v>35</v>
      </c>
      <c r="Z41" s="163" t="b">
        <f ca="1">IF($C41,AND($I41=0,'Proyecto Datos (OKR´s)'!$K41&lt;=TODAY(),$J41&lt;&gt;"Completado"),"")</f>
        <v>0</v>
      </c>
      <c r="AA41" s="163">
        <f t="shared" ca="1" si="31"/>
        <v>71</v>
      </c>
      <c r="AB41" s="164" t="str">
        <f t="shared" ca="1" si="32"/>
        <v>Crítica</v>
      </c>
      <c r="AC41" s="164" t="str">
        <f t="shared" ca="1" si="33"/>
        <v>ATRASO SOBRECARGA</v>
      </c>
      <c r="AD41" s="163">
        <f ca="1">IF($C41,IF($N41=9999,9999,IF($J41="Completado",$N41,MAX($N41,Sprints!$M$15))),"")</f>
        <v>2</v>
      </c>
      <c r="AE41" s="163">
        <f t="shared" ca="1" si="34"/>
        <v>2</v>
      </c>
      <c r="AF41" s="163" t="b">
        <f t="shared" ca="1" si="35"/>
        <v>1</v>
      </c>
      <c r="AG41" s="163">
        <f t="shared" ca="1" si="36"/>
        <v>46186</v>
      </c>
      <c r="AH41" s="164" t="str">
        <f ca="1">IF($AF41,IF(Sprints!$I41&lt;&gt;"",Sprints!$I41,"Comprometida y no completada al cierre del Sprint "&amp;$N41),"")</f>
        <v>Comprometida y no completada al cierre del Sprint 1</v>
      </c>
      <c r="AI41" s="163">
        <f t="shared" ca="1" si="37"/>
        <v>100041</v>
      </c>
      <c r="AJ41" s="163">
        <f t="shared" ca="1" si="38"/>
        <v>71000959</v>
      </c>
      <c r="AK41" s="163">
        <f t="shared" ca="1" si="39"/>
        <v>1</v>
      </c>
      <c r="AL41" s="163">
        <f t="shared" ca="1" si="40"/>
        <v>0.5</v>
      </c>
      <c r="AM41" s="163">
        <f t="shared" ca="1" si="41"/>
        <v>0.3</v>
      </c>
      <c r="AN41" s="164" t="str">
        <f t="shared" ca="1" si="42"/>
        <v xml:space="preserve">ATRASO SOBRECARGA </v>
      </c>
      <c r="AO41" s="163">
        <f>IF($C41,IFERROR(INDEX(Sprints!$M$6:$M$13,MATCH($N41,Sprints!$K$6:$K$13,0)),""),"")</f>
        <v>46186</v>
      </c>
      <c r="AP41" s="163">
        <f t="shared" ca="1" si="43"/>
        <v>6</v>
      </c>
    </row>
    <row r="42" spans="1:42" x14ac:dyDescent="0.35">
      <c r="A42" s="163">
        <f>ROW()</f>
        <v>42</v>
      </c>
      <c r="B42" s="163" t="b">
        <f>ISTEXT('Proyecto Datos (OKR´s)'!$K42)</f>
        <v>0</v>
      </c>
      <c r="C42" s="163" t="b">
        <f>AND(LEN('Proyecto Datos (OKR´s)'!$G42)&gt;0,NOT($B42),OR(ISNUMBER('Proyecto Datos (OKR´s)'!$F42),ISNUMBER('Proyecto Datos (OKR´s)'!$L42)))</f>
        <v>1</v>
      </c>
      <c r="D42" s="164" t="str">
        <f>IF($C42,IFERROR(LOOKUP(2,1/((ISTEXT('Proyecto Datos (OKR´s)'!$K$7:$K42))*(LEN('Proyecto Datos (OKR´s)'!$G$7:$G42)&gt;0)),'Proyecto Datos (OKR´s)'!$G$7:$G42),""),"")</f>
        <v>5- Tablero Control General - Op. Complejas</v>
      </c>
      <c r="E42" s="163">
        <f>IF($C42,'Proyecto Datos (OKR´s)'!$E42,"")</f>
        <v>1</v>
      </c>
      <c r="F42" s="164" t="str">
        <f>IF($C42,'Proyecto Datos (OKR´s)'!$G42,"")</f>
        <v>Resumen Clientes Op. Dedicadas</v>
      </c>
      <c r="G42" s="164" t="str">
        <f>IF($C42,IF('Proyecto Datos (OKR´s)'!$I42="","(Sin asignar)",'Proyecto Datos (OKR´s)'!$I42),"")</f>
        <v>Santiago Alonso</v>
      </c>
      <c r="H42" s="163">
        <f>IF($C42,IF(ISNUMBER('Proyecto Datos (OKR´s)'!$F42),'Proyecto Datos (OKR´s)'!$F42,'Proyecto Datos (OKR´s)'!$L42),"")</f>
        <v>46185</v>
      </c>
      <c r="I42" s="163">
        <f>IF($C42,'Proyecto Datos (OKR´s)'!$J42,"")</f>
        <v>0.4</v>
      </c>
      <c r="J42" s="164" t="str">
        <f ca="1">IF($C42,IF($I42&gt;=1,"Completado",IF($H42&lt;TODAY(),"Vencido",IF(($H42-TODAY())&lt;='Entregas Próximas'!$M$3,"Próximo a vencer","En curso"))),"")</f>
        <v>Vencido</v>
      </c>
      <c r="K42" s="163">
        <f t="shared" ca="1" si="23"/>
        <v>-7</v>
      </c>
      <c r="L42" s="163">
        <f t="shared" ca="1" si="24"/>
        <v>2046185.0004199999</v>
      </c>
      <c r="M42" s="163">
        <f t="shared" ca="1" si="25"/>
        <v>2</v>
      </c>
      <c r="N42" s="163">
        <f>IF($C42,IF('Proyecto Datos (OKR´s)'!$E42="",9999,'Proyecto Datos (OKR´s)'!$E42),"")</f>
        <v>1</v>
      </c>
      <c r="O42" s="163" t="str">
        <f t="shared" si="26"/>
        <v>T042</v>
      </c>
      <c r="R42" s="163">
        <f>IF($C42,IF(ISNUMBER('Proyecto Datos (OKR´s)'!$L42),'Proyecto Datos (OKR´s)'!$L42,$H42),"")</f>
        <v>46185</v>
      </c>
      <c r="S42" s="163">
        <f>IF($C42,$R42-'Proyecto Datos (OKR´s)'!$K42+1,"")</f>
        <v>-2</v>
      </c>
      <c r="T42" s="163">
        <f ca="1">IF($C42,MAX(0,TODAY()-'Proyecto Datos (OKR´s)'!$K42),"")</f>
        <v>4</v>
      </c>
      <c r="U42" s="163">
        <f ca="1">IF($C42,MEDIAN(0,(TODAY()-'Proyecto Datos (OKR´s)'!$K42)/MAX(1,$R42-'Proyecto Datos (OKR´s)'!$K42),1),"")</f>
        <v>1</v>
      </c>
      <c r="V42" s="163">
        <f t="shared" ca="1" si="27"/>
        <v>-0.6</v>
      </c>
      <c r="W42" s="163">
        <f t="shared" ca="1" si="28"/>
        <v>7</v>
      </c>
      <c r="X42" s="163">
        <f t="shared" si="29"/>
        <v>0</v>
      </c>
      <c r="Y42" s="163">
        <f t="shared" ca="1" si="30"/>
        <v>35</v>
      </c>
      <c r="Z42" s="163" t="b">
        <f ca="1">IF($C42,AND($I42=0,'Proyecto Datos (OKR´s)'!$K42&lt;=TODAY(),$J42&lt;&gt;"Completado"),"")</f>
        <v>0</v>
      </c>
      <c r="AA42" s="163">
        <f t="shared" ca="1" si="31"/>
        <v>82</v>
      </c>
      <c r="AB42" s="164" t="str">
        <f t="shared" ca="1" si="32"/>
        <v>Crítica</v>
      </c>
      <c r="AC42" s="164" t="str">
        <f t="shared" ca="1" si="33"/>
        <v>ATRASO SOBRECARGA</v>
      </c>
      <c r="AD42" s="163">
        <f ca="1">IF($C42,IF($N42=9999,9999,IF($J42="Completado",$N42,MAX($N42,Sprints!$M$15))),"")</f>
        <v>2</v>
      </c>
      <c r="AE42" s="163">
        <f t="shared" ca="1" si="34"/>
        <v>2</v>
      </c>
      <c r="AF42" s="163" t="b">
        <f t="shared" ca="1" si="35"/>
        <v>1</v>
      </c>
      <c r="AG42" s="163">
        <f t="shared" ca="1" si="36"/>
        <v>46186</v>
      </c>
      <c r="AH42" s="164" t="str">
        <f ca="1">IF($AF42,IF(Sprints!$I42&lt;&gt;"",Sprints!$I42,"Comprometida y no completada al cierre del Sprint "&amp;$N42),"")</f>
        <v>Comprometida y no completada al cierre del Sprint 1</v>
      </c>
      <c r="AI42" s="163">
        <f t="shared" ca="1" si="37"/>
        <v>100042</v>
      </c>
      <c r="AJ42" s="163">
        <f t="shared" ca="1" si="38"/>
        <v>82000958</v>
      </c>
      <c r="AK42" s="163">
        <f t="shared" ca="1" si="39"/>
        <v>1</v>
      </c>
      <c r="AL42" s="163">
        <f t="shared" ca="1" si="40"/>
        <v>0.6</v>
      </c>
      <c r="AM42" s="163">
        <f t="shared" ca="1" si="41"/>
        <v>0.7</v>
      </c>
      <c r="AN42" s="164" t="str">
        <f t="shared" ca="1" si="42"/>
        <v xml:space="preserve">ATRASO SOBRECARGA </v>
      </c>
      <c r="AO42" s="163">
        <f>IF($C42,IFERROR(INDEX(Sprints!$M$6:$M$13,MATCH($N42,Sprints!$K$6:$K$13,0)),""),"")</f>
        <v>46186</v>
      </c>
      <c r="AP42" s="163">
        <f t="shared" ca="1" si="43"/>
        <v>6</v>
      </c>
    </row>
    <row r="43" spans="1:42" x14ac:dyDescent="0.35">
      <c r="A43" s="163">
        <f>ROW()</f>
        <v>43</v>
      </c>
      <c r="B43" s="163" t="b">
        <f>ISTEXT('Proyecto Datos (OKR´s)'!$K43)</f>
        <v>0</v>
      </c>
      <c r="C43" s="163" t="b">
        <f>AND(LEN('Proyecto Datos (OKR´s)'!$G43)&gt;0,NOT($B43),OR(ISNUMBER('Proyecto Datos (OKR´s)'!$F43),ISNUMBER('Proyecto Datos (OKR´s)'!$L43)))</f>
        <v>1</v>
      </c>
      <c r="D43" s="164" t="str">
        <f>IF($C43,IFERROR(LOOKUP(2,1/((ISTEXT('Proyecto Datos (OKR´s)'!$K$7:$K43))*(LEN('Proyecto Datos (OKR´s)'!$G$7:$G43)&gt;0)),'Proyecto Datos (OKR´s)'!$G$7:$G43),""),"")</f>
        <v>5- Tablero Control General - Op. Complejas</v>
      </c>
      <c r="E43" s="163">
        <f>IF($C43,'Proyecto Datos (OKR´s)'!$E43,"")</f>
        <v>0</v>
      </c>
      <c r="F43" s="164" t="str">
        <f>IF($C43,'Proyecto Datos (OKR´s)'!$G43,"")</f>
        <v>Locaciones Geográficas Pozos Petro (ver datos Secretaria de Energía)</v>
      </c>
      <c r="G43" s="164" t="str">
        <f>IF($C43,IF('Proyecto Datos (OKR´s)'!$I43="","(Sin asignar)",'Proyecto Datos (OKR´s)'!$I43),"")</f>
        <v>Santiago Alonso</v>
      </c>
      <c r="H43" s="163">
        <f>IF($C43,IF(ISNUMBER('Proyecto Datos (OKR´s)'!$F43),'Proyecto Datos (OKR´s)'!$F43,'Proyecto Datos (OKR´s)'!$L43),"")</f>
        <v>46192</v>
      </c>
      <c r="I43" s="163">
        <f>IF($C43,'Proyecto Datos (OKR´s)'!$J43,"")</f>
        <v>0.1</v>
      </c>
      <c r="J43" s="164" t="str">
        <f ca="1">IF($C43,IF($I43&gt;=1,"Completado",IF($H43&lt;TODAY(),"Vencido",IF(($H43-TODAY())&lt;='Entregas Próximas'!$M$3,"Próximo a vencer","En curso"))),"")</f>
        <v>Próximo a vencer</v>
      </c>
      <c r="K43" s="163">
        <f t="shared" ca="1" si="23"/>
        <v>0</v>
      </c>
      <c r="L43" s="163">
        <f t="shared" si="24"/>
        <v>9999046192.0004292</v>
      </c>
      <c r="M43" s="163" t="str">
        <f t="shared" si="25"/>
        <v>(Sin sprint)</v>
      </c>
      <c r="N43" s="163">
        <f>IF($C43,IF('Proyecto Datos (OKR´s)'!$E43="",9999,'Proyecto Datos (OKR´s)'!$E43),"")</f>
        <v>9999</v>
      </c>
      <c r="O43" s="163" t="str">
        <f t="shared" si="26"/>
        <v>T043</v>
      </c>
      <c r="R43" s="163">
        <f>IF($C43,IF(ISNUMBER('Proyecto Datos (OKR´s)'!$L43),'Proyecto Datos (OKR´s)'!$L43,$H43),"")</f>
        <v>46192</v>
      </c>
      <c r="S43" s="163">
        <f>IF($C43,$R43-'Proyecto Datos (OKR´s)'!$K43+1,"")</f>
        <v>5</v>
      </c>
      <c r="T43" s="163">
        <f ca="1">IF($C43,MAX(0,TODAY()-'Proyecto Datos (OKR´s)'!$K43),"")</f>
        <v>4</v>
      </c>
      <c r="U43" s="163">
        <f ca="1">IF($C43,MEDIAN(0,(TODAY()-'Proyecto Datos (OKR´s)'!$K43)/MAX(1,$R43-'Proyecto Datos (OKR´s)'!$K43),1),"")</f>
        <v>1</v>
      </c>
      <c r="V43" s="163">
        <f t="shared" ca="1" si="27"/>
        <v>-0.9</v>
      </c>
      <c r="W43" s="163">
        <f t="shared" ca="1" si="28"/>
        <v>0</v>
      </c>
      <c r="X43" s="163">
        <f t="shared" si="29"/>
        <v>0</v>
      </c>
      <c r="Y43" s="163">
        <f t="shared" ca="1" si="30"/>
        <v>35</v>
      </c>
      <c r="Z43" s="163" t="b">
        <f ca="1">IF($C43,AND($I43=0,'Proyecto Datos (OKR´s)'!$K43&lt;=TODAY(),$J43&lt;&gt;"Completado"),"")</f>
        <v>0</v>
      </c>
      <c r="AA43" s="163">
        <f t="shared" ca="1" si="31"/>
        <v>88</v>
      </c>
      <c r="AB43" s="164" t="str">
        <f t="shared" ca="1" si="32"/>
        <v>Crítica</v>
      </c>
      <c r="AC43" s="164" t="str">
        <f t="shared" ca="1" si="33"/>
        <v>ATRASO SOBRECARGA</v>
      </c>
      <c r="AD43" s="163">
        <f>IF($C43,IF($N43=9999,9999,IF($J43="Completado",$N43,MAX($N43,Sprints!$M$15))),"")</f>
        <v>9999</v>
      </c>
      <c r="AE43" s="163" t="str">
        <f t="shared" si="34"/>
        <v>(Sin sprint)</v>
      </c>
      <c r="AF43" s="163" t="b">
        <f t="shared" si="35"/>
        <v>0</v>
      </c>
      <c r="AG43" s="163" t="str">
        <f t="shared" si="36"/>
        <v/>
      </c>
      <c r="AH43" s="164" t="str">
        <f>IF($AF43,IF(Sprints!$I43&lt;&gt;"",Sprints!$I43,"Comprometida y no completada al cierre del Sprint "&amp;$N43),"")</f>
        <v/>
      </c>
      <c r="AI43" s="163" t="str">
        <f t="shared" si="37"/>
        <v/>
      </c>
      <c r="AJ43" s="163">
        <f t="shared" ca="1" si="38"/>
        <v>88000257</v>
      </c>
      <c r="AK43" s="163">
        <f t="shared" ca="1" si="39"/>
        <v>0.9</v>
      </c>
      <c r="AL43" s="163">
        <f t="shared" ca="1" si="40"/>
        <v>0.9</v>
      </c>
      <c r="AM43" s="163">
        <f t="shared" ca="1" si="41"/>
        <v>0.7</v>
      </c>
      <c r="AN43" s="164" t="str">
        <f t="shared" ca="1" si="42"/>
        <v xml:space="preserve">ATRASO SOBRECARGA </v>
      </c>
      <c r="AO43" s="163" t="str">
        <f>IF($C43,IFERROR(INDEX(Sprints!$M$6:$M$13,MATCH($N43,Sprints!$K$6:$K$13,0)),""),"")</f>
        <v/>
      </c>
      <c r="AP43" s="163">
        <f t="shared" ca="1" si="43"/>
        <v>0</v>
      </c>
    </row>
    <row r="44" spans="1:42" x14ac:dyDescent="0.35">
      <c r="A44" s="163">
        <f>ROW()</f>
        <v>44</v>
      </c>
      <c r="B44" s="163" t="b">
        <f>ISTEXT('Proyecto Datos (OKR´s)'!$K44)</f>
        <v>0</v>
      </c>
      <c r="C44" s="163" t="b">
        <f>AND(LEN('Proyecto Datos (OKR´s)'!$G44)&gt;0,NOT($B44),OR(ISNUMBER('Proyecto Datos (OKR´s)'!$F44),ISNUMBER('Proyecto Datos (OKR´s)'!$L44)))</f>
        <v>1</v>
      </c>
      <c r="D44" s="164" t="str">
        <f>IF($C44,IFERROR(LOOKUP(2,1/((ISTEXT('Proyecto Datos (OKR´s)'!$K$7:$K44))*(LEN('Proyecto Datos (OKR´s)'!$G$7:$G44)&gt;0)),'Proyecto Datos (OKR´s)'!$G$7:$G44),""),"")</f>
        <v>5- Tablero Control General - Op. Complejas</v>
      </c>
      <c r="E44" s="163">
        <f>IF($C44,'Proyecto Datos (OKR´s)'!$E44,"")</f>
        <v>0</v>
      </c>
      <c r="F44" s="164" t="str">
        <f>IF($C44,'Proyecto Datos (OKR´s)'!$G44,"")</f>
        <v>Locaciones Geográficas Minería</v>
      </c>
      <c r="G44" s="164" t="str">
        <f>IF($C44,IF('Proyecto Datos (OKR´s)'!$I44="","(Sin asignar)",'Proyecto Datos (OKR´s)'!$I44),"")</f>
        <v>Santiago Alonso</v>
      </c>
      <c r="H44" s="163">
        <f>IF($C44,IF(ISNUMBER('Proyecto Datos (OKR´s)'!$F44),'Proyecto Datos (OKR´s)'!$F44,'Proyecto Datos (OKR´s)'!$L44),"")</f>
        <v>46199</v>
      </c>
      <c r="I44" s="163">
        <f>IF($C44,'Proyecto Datos (OKR´s)'!$J44,"")</f>
        <v>0</v>
      </c>
      <c r="J44" s="164" t="str">
        <f ca="1">IF($C44,IF($I44&gt;=1,"Completado",IF($H44&lt;TODAY(),"Vencido",IF(($H44-TODAY())&lt;='Entregas Próximas'!$M$3,"Próximo a vencer","En curso"))),"")</f>
        <v>Próximo a vencer</v>
      </c>
      <c r="K44" s="163">
        <f t="shared" ca="1" si="23"/>
        <v>7</v>
      </c>
      <c r="L44" s="163">
        <f t="shared" si="24"/>
        <v>9999046199.0004406</v>
      </c>
      <c r="M44" s="163" t="str">
        <f t="shared" si="25"/>
        <v>(Sin sprint)</v>
      </c>
      <c r="N44" s="163">
        <f>IF($C44,IF('Proyecto Datos (OKR´s)'!$E44="",9999,'Proyecto Datos (OKR´s)'!$E44),"")</f>
        <v>9999</v>
      </c>
      <c r="O44" s="163" t="str">
        <f t="shared" si="26"/>
        <v>T044</v>
      </c>
      <c r="R44" s="163">
        <f>IF($C44,IF(ISNUMBER('Proyecto Datos (OKR´s)'!$L44),'Proyecto Datos (OKR´s)'!$L44,$H44),"")</f>
        <v>46199</v>
      </c>
      <c r="S44" s="163">
        <f>IF($C44,$R44-'Proyecto Datos (OKR´s)'!$K44+1,"")</f>
        <v>5</v>
      </c>
      <c r="T44" s="163">
        <f ca="1">IF($C44,MAX(0,TODAY()-'Proyecto Datos (OKR´s)'!$K44),"")</f>
        <v>0</v>
      </c>
      <c r="U44" s="163">
        <f ca="1">IF($C44,MEDIAN(0,(TODAY()-'Proyecto Datos (OKR´s)'!$K44)/MAX(1,$R44-'Proyecto Datos (OKR´s)'!$K44),1),"")</f>
        <v>0</v>
      </c>
      <c r="V44" s="163">
        <f t="shared" ca="1" si="27"/>
        <v>0</v>
      </c>
      <c r="W44" s="163">
        <f t="shared" ca="1" si="28"/>
        <v>0</v>
      </c>
      <c r="X44" s="163">
        <f t="shared" si="29"/>
        <v>0</v>
      </c>
      <c r="Y44" s="163">
        <f t="shared" ca="1" si="30"/>
        <v>35</v>
      </c>
      <c r="Z44" s="163" t="b">
        <f ca="1">IF($C44,AND($I44=0,'Proyecto Datos (OKR´s)'!$K44&lt;=TODAY(),$J44&lt;&gt;"Completado"),"")</f>
        <v>0</v>
      </c>
      <c r="AA44" s="163">
        <f t="shared" ca="1" si="31"/>
        <v>54</v>
      </c>
      <c r="AB44" s="164" t="str">
        <f t="shared" ca="1" si="32"/>
        <v>Alta</v>
      </c>
      <c r="AC44" s="164" t="str">
        <f t="shared" ca="1" si="33"/>
        <v>SOBRECARGA</v>
      </c>
      <c r="AD44" s="163">
        <f>IF($C44,IF($N44=9999,9999,IF($J44="Completado",$N44,MAX($N44,Sprints!$M$15))),"")</f>
        <v>9999</v>
      </c>
      <c r="AE44" s="163" t="str">
        <f t="shared" si="34"/>
        <v>(Sin sprint)</v>
      </c>
      <c r="AF44" s="163" t="b">
        <f t="shared" si="35"/>
        <v>0</v>
      </c>
      <c r="AG44" s="163" t="str">
        <f t="shared" si="36"/>
        <v/>
      </c>
      <c r="AH44" s="164" t="str">
        <f>IF($AF44,IF(Sprints!$I44&lt;&gt;"",Sprints!$I44,"Comprometida y no completada al cierre del Sprint "&amp;$N44),"")</f>
        <v/>
      </c>
      <c r="AI44" s="163" t="str">
        <f t="shared" si="37"/>
        <v/>
      </c>
      <c r="AJ44" s="163">
        <f t="shared" ca="1" si="38"/>
        <v>53999556</v>
      </c>
      <c r="AK44" s="163">
        <f t="shared" ca="1" si="39"/>
        <v>0.7</v>
      </c>
      <c r="AL44" s="163">
        <f t="shared" ca="1" si="40"/>
        <v>0</v>
      </c>
      <c r="AM44" s="163">
        <f t="shared" ca="1" si="41"/>
        <v>0.7</v>
      </c>
      <c r="AN44" s="164" t="str">
        <f t="shared" ca="1" si="42"/>
        <v xml:space="preserve">SOBRECARGA </v>
      </c>
      <c r="AO44" s="163" t="str">
        <f>IF($C44,IFERROR(INDEX(Sprints!$M$6:$M$13,MATCH($N44,Sprints!$K$6:$K$13,0)),""),"")</f>
        <v/>
      </c>
      <c r="AP44" s="163">
        <f t="shared" ca="1" si="43"/>
        <v>0</v>
      </c>
    </row>
    <row r="45" spans="1:42" x14ac:dyDescent="0.35">
      <c r="A45" s="163">
        <f>ROW()</f>
        <v>45</v>
      </c>
      <c r="B45" s="163" t="b">
        <f>ISTEXT('Proyecto Datos (OKR´s)'!$K45)</f>
        <v>0</v>
      </c>
      <c r="C45" s="163" t="b">
        <f>AND(LEN('Proyecto Datos (OKR´s)'!$G45)&gt;0,NOT($B45),OR(ISNUMBER('Proyecto Datos (OKR´s)'!$F45),ISNUMBER('Proyecto Datos (OKR´s)'!$L45)))</f>
        <v>1</v>
      </c>
      <c r="D45" s="164" t="str">
        <f>IF($C45,IFERROR(LOOKUP(2,1/((ISTEXT('Proyecto Datos (OKR´s)'!$K$7:$K45))*(LEN('Proyecto Datos (OKR´s)'!$G$7:$G45)&gt;0)),'Proyecto Datos (OKR´s)'!$G$7:$G45),""),"")</f>
        <v>5- Tablero Control General - Op. Complejas</v>
      </c>
      <c r="E45" s="163">
        <f>IF($C45,'Proyecto Datos (OKR´s)'!$E45,"")</f>
        <v>0</v>
      </c>
      <c r="F45" s="164" t="str">
        <f>IF($C45,'Proyecto Datos (OKR´s)'!$G45,"")</f>
        <v>Locaciones Geográficas Op. Dedicadas</v>
      </c>
      <c r="G45" s="164" t="str">
        <f>IF($C45,IF('Proyecto Datos (OKR´s)'!$I45="","(Sin asignar)",'Proyecto Datos (OKR´s)'!$I45),"")</f>
        <v>Santiago Alonso</v>
      </c>
      <c r="H45" s="163">
        <f>IF($C45,IF(ISNUMBER('Proyecto Datos (OKR´s)'!$F45),'Proyecto Datos (OKR´s)'!$F45,'Proyecto Datos (OKR´s)'!$L45),"")</f>
        <v>46206</v>
      </c>
      <c r="I45" s="163">
        <f>IF($C45,'Proyecto Datos (OKR´s)'!$J45,"")</f>
        <v>0</v>
      </c>
      <c r="J45" s="164" t="str">
        <f ca="1">IF($C45,IF($I45&gt;=1,"Completado",IF($H45&lt;TODAY(),"Vencido",IF(($H45-TODAY())&lt;='Entregas Próximas'!$M$3,"Próximo a vencer","En curso"))),"")</f>
        <v>En curso</v>
      </c>
      <c r="K45" s="163">
        <f t="shared" ca="1" si="23"/>
        <v>14</v>
      </c>
      <c r="L45" s="163">
        <f t="shared" si="24"/>
        <v>9999046206.0004501</v>
      </c>
      <c r="M45" s="163" t="str">
        <f t="shared" si="25"/>
        <v>(Sin sprint)</v>
      </c>
      <c r="N45" s="163">
        <f>IF($C45,IF('Proyecto Datos (OKR´s)'!$E45="",9999,'Proyecto Datos (OKR´s)'!$E45),"")</f>
        <v>9999</v>
      </c>
      <c r="O45" s="163" t="str">
        <f t="shared" si="26"/>
        <v>T045</v>
      </c>
      <c r="R45" s="163">
        <f>IF($C45,IF(ISNUMBER('Proyecto Datos (OKR´s)'!$L45),'Proyecto Datos (OKR´s)'!$L45,$H45),"")</f>
        <v>46206</v>
      </c>
      <c r="S45" s="163">
        <f>IF($C45,$R45-'Proyecto Datos (OKR´s)'!$K45+1,"")</f>
        <v>5</v>
      </c>
      <c r="T45" s="163">
        <f ca="1">IF($C45,MAX(0,TODAY()-'Proyecto Datos (OKR´s)'!$K45),"")</f>
        <v>0</v>
      </c>
      <c r="U45" s="163">
        <f ca="1">IF($C45,MEDIAN(0,(TODAY()-'Proyecto Datos (OKR´s)'!$K45)/MAX(1,$R45-'Proyecto Datos (OKR´s)'!$K45),1),"")</f>
        <v>0</v>
      </c>
      <c r="V45" s="163">
        <f t="shared" ca="1" si="27"/>
        <v>0</v>
      </c>
      <c r="W45" s="163">
        <f t="shared" ca="1" si="28"/>
        <v>0</v>
      </c>
      <c r="X45" s="163">
        <f t="shared" si="29"/>
        <v>0</v>
      </c>
      <c r="Y45" s="163">
        <f t="shared" ca="1" si="30"/>
        <v>35</v>
      </c>
      <c r="Z45" s="163" t="b">
        <f ca="1">IF($C45,AND($I45=0,'Proyecto Datos (OKR´s)'!$K45&lt;=TODAY(),$J45&lt;&gt;"Completado"),"")</f>
        <v>0</v>
      </c>
      <c r="AA45" s="163">
        <f t="shared" ca="1" si="31"/>
        <v>37</v>
      </c>
      <c r="AB45" s="164" t="str">
        <f t="shared" ca="1" si="32"/>
        <v>Media</v>
      </c>
      <c r="AC45" s="164" t="str">
        <f t="shared" ca="1" si="33"/>
        <v>SOBRECARGA</v>
      </c>
      <c r="AD45" s="163">
        <f>IF($C45,IF($N45=9999,9999,IF($J45="Completado",$N45,MAX($N45,Sprints!$M$15))),"")</f>
        <v>9999</v>
      </c>
      <c r="AE45" s="163" t="str">
        <f t="shared" si="34"/>
        <v>(Sin sprint)</v>
      </c>
      <c r="AF45" s="163" t="b">
        <f t="shared" si="35"/>
        <v>0</v>
      </c>
      <c r="AG45" s="163" t="str">
        <f t="shared" si="36"/>
        <v/>
      </c>
      <c r="AH45" s="164" t="str">
        <f>IF($AF45,IF(Sprints!$I45&lt;&gt;"",Sprints!$I45,"Comprometida y no completada al cierre del Sprint "&amp;$N45),"")</f>
        <v/>
      </c>
      <c r="AI45" s="163" t="str">
        <f t="shared" si="37"/>
        <v/>
      </c>
      <c r="AJ45" s="163">
        <f t="shared" ca="1" si="38"/>
        <v>36998855</v>
      </c>
      <c r="AK45" s="163">
        <f t="shared" ca="1" si="39"/>
        <v>0.45</v>
      </c>
      <c r="AL45" s="163">
        <f t="shared" ca="1" si="40"/>
        <v>0</v>
      </c>
      <c r="AM45" s="163">
        <f t="shared" ca="1" si="41"/>
        <v>0.3</v>
      </c>
      <c r="AN45" s="164" t="str">
        <f t="shared" ca="1" si="42"/>
        <v xml:space="preserve">SOBRECARGA </v>
      </c>
      <c r="AO45" s="163" t="str">
        <f>IF($C45,IFERROR(INDEX(Sprints!$M$6:$M$13,MATCH($N45,Sprints!$K$6:$K$13,0)),""),"")</f>
        <v/>
      </c>
      <c r="AP45" s="163">
        <f t="shared" ca="1" si="43"/>
        <v>0</v>
      </c>
    </row>
    <row r="46" spans="1:42" x14ac:dyDescent="0.35">
      <c r="A46" s="163">
        <f>ROW()</f>
        <v>46</v>
      </c>
      <c r="B46" s="163" t="b">
        <f>ISTEXT('Proyecto Datos (OKR´s)'!$K46)</f>
        <v>0</v>
      </c>
      <c r="C46" s="163" t="b">
        <f>AND(LEN('Proyecto Datos (OKR´s)'!$G46)&gt;0,NOT($B46),OR(ISNUMBER('Proyecto Datos (OKR´s)'!$F46),ISNUMBER('Proyecto Datos (OKR´s)'!$L46)))</f>
        <v>1</v>
      </c>
      <c r="D46" s="164" t="str">
        <f>IF($C46,IFERROR(LOOKUP(2,1/((ISTEXT('Proyecto Datos (OKR´s)'!$K$7:$K46))*(LEN('Proyecto Datos (OKR´s)'!$G$7:$G46)&gt;0)),'Proyecto Datos (OKR´s)'!$G$7:$G46),""),"")</f>
        <v>5- Tablero Control General - Op. Complejas</v>
      </c>
      <c r="E46" s="163">
        <f>IF($C46,'Proyecto Datos (OKR´s)'!$E46,"")</f>
        <v>1</v>
      </c>
      <c r="F46" s="164" t="str">
        <f>IF($C46,'Proyecto Datos (OKR´s)'!$G46,"")</f>
        <v>Detalle Responsables (Comerciales + Analistas)</v>
      </c>
      <c r="G46" s="164" t="str">
        <f>IF($C46,IF('Proyecto Datos (OKR´s)'!$I46="","(Sin asignar)",'Proyecto Datos (OKR´s)'!$I46),"")</f>
        <v>Santiago Alonso</v>
      </c>
      <c r="H46" s="163">
        <f>IF($C46,IF(ISNUMBER('Proyecto Datos (OKR´s)'!$F46),'Proyecto Datos (OKR´s)'!$F46,'Proyecto Datos (OKR´s)'!$L46),"")</f>
        <v>46185</v>
      </c>
      <c r="I46" s="163">
        <f>IF($C46,'Proyecto Datos (OKR´s)'!$J46,"")</f>
        <v>0.5</v>
      </c>
      <c r="J46" s="164" t="str">
        <f ca="1">IF($C46,IF($I46&gt;=1,"Completado",IF($H46&lt;TODAY(),"Vencido",IF(($H46-TODAY())&lt;='Entregas Próximas'!$M$3,"Próximo a vencer","En curso"))),"")</f>
        <v>Vencido</v>
      </c>
      <c r="K46" s="163">
        <f t="shared" ca="1" si="23"/>
        <v>-7</v>
      </c>
      <c r="L46" s="163">
        <f t="shared" ca="1" si="24"/>
        <v>2046185.00046</v>
      </c>
      <c r="M46" s="163">
        <f t="shared" ca="1" si="25"/>
        <v>2</v>
      </c>
      <c r="N46" s="163">
        <f>IF($C46,IF('Proyecto Datos (OKR´s)'!$E46="",9999,'Proyecto Datos (OKR´s)'!$E46),"")</f>
        <v>1</v>
      </c>
      <c r="O46" s="163" t="str">
        <f t="shared" si="26"/>
        <v>T046</v>
      </c>
      <c r="R46" s="163">
        <f>IF($C46,IF(ISNUMBER('Proyecto Datos (OKR´s)'!$L46),'Proyecto Datos (OKR´s)'!$L46,$H46),"")</f>
        <v>46185</v>
      </c>
      <c r="S46" s="163">
        <f>IF($C46,$R46-'Proyecto Datos (OKR´s)'!$K46+1,"")</f>
        <v>-21</v>
      </c>
      <c r="T46" s="163">
        <f ca="1">IF($C46,MAX(0,TODAY()-'Proyecto Datos (OKR´s)'!$K46),"")</f>
        <v>0</v>
      </c>
      <c r="U46" s="163">
        <f ca="1">IF($C46,MEDIAN(0,(TODAY()-'Proyecto Datos (OKR´s)'!$K46)/MAX(1,$R46-'Proyecto Datos (OKR´s)'!$K46),1),"")</f>
        <v>0</v>
      </c>
      <c r="V46" s="163">
        <f t="shared" ca="1" si="27"/>
        <v>0.5</v>
      </c>
      <c r="W46" s="163">
        <f t="shared" ca="1" si="28"/>
        <v>7</v>
      </c>
      <c r="X46" s="163">
        <f t="shared" si="29"/>
        <v>0</v>
      </c>
      <c r="Y46" s="163">
        <f t="shared" ca="1" si="30"/>
        <v>35</v>
      </c>
      <c r="Z46" s="163" t="b">
        <f ca="1">IF($C46,AND($I46=0,'Proyecto Datos (OKR´s)'!$K46&lt;=TODAY(),$J46&lt;&gt;"Completado"),"")</f>
        <v>0</v>
      </c>
      <c r="AA46" s="163">
        <f t="shared" ca="1" si="31"/>
        <v>63</v>
      </c>
      <c r="AB46" s="164" t="str">
        <f t="shared" ca="1" si="32"/>
        <v>Alta</v>
      </c>
      <c r="AC46" s="164" t="str">
        <f t="shared" ca="1" si="33"/>
        <v>ATRASO SOBRECARGA</v>
      </c>
      <c r="AD46" s="163">
        <f ca="1">IF($C46,IF($N46=9999,9999,IF($J46="Completado",$N46,MAX($N46,Sprints!$M$15))),"")</f>
        <v>2</v>
      </c>
      <c r="AE46" s="163">
        <f t="shared" ca="1" si="34"/>
        <v>2</v>
      </c>
      <c r="AF46" s="163" t="b">
        <f t="shared" ca="1" si="35"/>
        <v>1</v>
      </c>
      <c r="AG46" s="163">
        <f t="shared" ca="1" si="36"/>
        <v>46186</v>
      </c>
      <c r="AH46" s="164" t="str">
        <f ca="1">IF($AF46,IF(Sprints!$I46&lt;&gt;"",Sprints!$I46,"Comprometida y no completada al cierre del Sprint "&amp;$N46),"")</f>
        <v>Comprometida y no completada al cierre del Sprint 1</v>
      </c>
      <c r="AI46" s="163">
        <f t="shared" ca="1" si="37"/>
        <v>100046</v>
      </c>
      <c r="AJ46" s="163">
        <f t="shared" ca="1" si="38"/>
        <v>63000954</v>
      </c>
      <c r="AK46" s="163">
        <f t="shared" ca="1" si="39"/>
        <v>1</v>
      </c>
      <c r="AL46" s="163">
        <f t="shared" ca="1" si="40"/>
        <v>0.23333333333333334</v>
      </c>
      <c r="AM46" s="163">
        <f t="shared" ca="1" si="41"/>
        <v>0.3</v>
      </c>
      <c r="AN46" s="164" t="str">
        <f t="shared" ca="1" si="42"/>
        <v xml:space="preserve">ATRASO SOBRECARGA </v>
      </c>
      <c r="AO46" s="163">
        <f>IF($C46,IFERROR(INDEX(Sprints!$M$6:$M$13,MATCH($N46,Sprints!$K$6:$K$13,0)),""),"")</f>
        <v>46186</v>
      </c>
      <c r="AP46" s="163">
        <f t="shared" ca="1" si="43"/>
        <v>6</v>
      </c>
    </row>
    <row r="47" spans="1:42" x14ac:dyDescent="0.35">
      <c r="A47" s="163">
        <f>ROW()</f>
        <v>47</v>
      </c>
      <c r="B47" s="163" t="b">
        <f>ISTEXT('Proyecto Datos (OKR´s)'!$K47)</f>
        <v>0</v>
      </c>
      <c r="C47" s="163" t="b">
        <f>AND(LEN('Proyecto Datos (OKR´s)'!$G47)&gt;0,NOT($B47),OR(ISNUMBER('Proyecto Datos (OKR´s)'!$F47),ISNUMBER('Proyecto Datos (OKR´s)'!$L47)))</f>
        <v>1</v>
      </c>
      <c r="D47" s="164" t="str">
        <f>IF($C47,IFERROR(LOOKUP(2,1/((ISTEXT('Proyecto Datos (OKR´s)'!$K$7:$K47))*(LEN('Proyecto Datos (OKR´s)'!$G$7:$G47)&gt;0)),'Proyecto Datos (OKR´s)'!$G$7:$G47),""),"")</f>
        <v>5- Tablero Control General - Op. Complejas</v>
      </c>
      <c r="E47" s="163">
        <f>IF($C47,'Proyecto Datos (OKR´s)'!$E47,"")</f>
        <v>1</v>
      </c>
      <c r="F47" s="164" t="str">
        <f>IF($C47,'Proyecto Datos (OKR´s)'!$G47,"")</f>
        <v>Armado de Dashboard + Diseño</v>
      </c>
      <c r="G47" s="164" t="str">
        <f>IF($C47,IF('Proyecto Datos (OKR´s)'!$I47="","(Sin asignar)",'Proyecto Datos (OKR´s)'!$I47),"")</f>
        <v>Santiago Alonso</v>
      </c>
      <c r="H47" s="163">
        <f>IF($C47,IF(ISNUMBER('Proyecto Datos (OKR´s)'!$F47),'Proyecto Datos (OKR´s)'!$F47,'Proyecto Datos (OKR´s)'!$L47),"")</f>
        <v>46185</v>
      </c>
      <c r="I47" s="163">
        <f>IF($C47,'Proyecto Datos (OKR´s)'!$J47,"")</f>
        <v>0.5</v>
      </c>
      <c r="J47" s="164" t="str">
        <f ca="1">IF($C47,IF($I47&gt;=1,"Completado",IF($H47&lt;TODAY(),"Vencido",IF(($H47-TODAY())&lt;='Entregas Próximas'!$M$3,"Próximo a vencer","En curso"))),"")</f>
        <v>Vencido</v>
      </c>
      <c r="K47" s="163">
        <f t="shared" ca="1" si="23"/>
        <v>-7</v>
      </c>
      <c r="L47" s="163">
        <f t="shared" ca="1" si="24"/>
        <v>2046185.0004700001</v>
      </c>
      <c r="M47" s="163">
        <f t="shared" ca="1" si="25"/>
        <v>2</v>
      </c>
      <c r="N47" s="163">
        <f>IF($C47,IF('Proyecto Datos (OKR´s)'!$E47="",9999,'Proyecto Datos (OKR´s)'!$E47),"")</f>
        <v>1</v>
      </c>
      <c r="O47" s="163" t="str">
        <f t="shared" si="26"/>
        <v>T047</v>
      </c>
      <c r="R47" s="163">
        <f>IF($C47,IF(ISNUMBER('Proyecto Datos (OKR´s)'!$L47),'Proyecto Datos (OKR´s)'!$L47,$H47),"")</f>
        <v>46185</v>
      </c>
      <c r="S47" s="163">
        <f>IF($C47,$R47-'Proyecto Datos (OKR´s)'!$K47+1,"")</f>
        <v>0</v>
      </c>
      <c r="T47" s="163">
        <f ca="1">IF($C47,MAX(0,TODAY()-'Proyecto Datos (OKR´s)'!$K47),"")</f>
        <v>6</v>
      </c>
      <c r="U47" s="163">
        <f ca="1">IF($C47,MEDIAN(0,(TODAY()-'Proyecto Datos (OKR´s)'!$K47)/MAX(1,$R47-'Proyecto Datos (OKR´s)'!$K47),1),"")</f>
        <v>1</v>
      </c>
      <c r="V47" s="163">
        <f t="shared" ca="1" si="27"/>
        <v>-0.5</v>
      </c>
      <c r="W47" s="163">
        <f t="shared" ca="1" si="28"/>
        <v>7</v>
      </c>
      <c r="X47" s="163">
        <f t="shared" si="29"/>
        <v>0</v>
      </c>
      <c r="Y47" s="163">
        <f t="shared" ca="1" si="30"/>
        <v>35</v>
      </c>
      <c r="Z47" s="163" t="b">
        <f ca="1">IF($C47,AND($I47=0,'Proyecto Datos (OKR´s)'!$K47&lt;=TODAY(),$J47&lt;&gt;"Completado"),"")</f>
        <v>0</v>
      </c>
      <c r="AA47" s="163">
        <f t="shared" ca="1" si="31"/>
        <v>71</v>
      </c>
      <c r="AB47" s="164" t="str">
        <f t="shared" ca="1" si="32"/>
        <v>Crítica</v>
      </c>
      <c r="AC47" s="164" t="str">
        <f t="shared" ca="1" si="33"/>
        <v>ATRASO SOBRECARGA</v>
      </c>
      <c r="AD47" s="163">
        <f ca="1">IF($C47,IF($N47=9999,9999,IF($J47="Completado",$N47,MAX($N47,Sprints!$M$15))),"")</f>
        <v>2</v>
      </c>
      <c r="AE47" s="163">
        <f t="shared" ca="1" si="34"/>
        <v>2</v>
      </c>
      <c r="AF47" s="163" t="b">
        <f t="shared" ca="1" si="35"/>
        <v>1</v>
      </c>
      <c r="AG47" s="163">
        <f t="shared" ca="1" si="36"/>
        <v>46186</v>
      </c>
      <c r="AH47" s="164" t="str">
        <f ca="1">IF($AF47,IF(Sprints!$I47&lt;&gt;"",Sprints!$I47,"Comprometida y no completada al cierre del Sprint "&amp;$N47),"")</f>
        <v>Comprometida y no completada al cierre del Sprint 1</v>
      </c>
      <c r="AI47" s="163">
        <f t="shared" ca="1" si="37"/>
        <v>100047</v>
      </c>
      <c r="AJ47" s="163">
        <f t="shared" ca="1" si="38"/>
        <v>71000953</v>
      </c>
      <c r="AK47" s="163">
        <f t="shared" ca="1" si="39"/>
        <v>1</v>
      </c>
      <c r="AL47" s="163">
        <f t="shared" ca="1" si="40"/>
        <v>0.5</v>
      </c>
      <c r="AM47" s="163">
        <f t="shared" ca="1" si="41"/>
        <v>0.3</v>
      </c>
      <c r="AN47" s="164" t="str">
        <f t="shared" ca="1" si="42"/>
        <v xml:space="preserve">ATRASO SOBRECARGA </v>
      </c>
      <c r="AO47" s="163">
        <f>IF($C47,IFERROR(INDEX(Sprints!$M$6:$M$13,MATCH($N47,Sprints!$K$6:$K$13,0)),""),"")</f>
        <v>46186</v>
      </c>
      <c r="AP47" s="163">
        <f t="shared" ca="1" si="43"/>
        <v>6</v>
      </c>
    </row>
    <row r="48" spans="1:42" x14ac:dyDescent="0.35">
      <c r="A48" s="163">
        <f>ROW()</f>
        <v>48</v>
      </c>
      <c r="B48" s="163" t="b">
        <f>ISTEXT('Proyecto Datos (OKR´s)'!$K48)</f>
        <v>1</v>
      </c>
      <c r="C48" s="163" t="b">
        <f ca="1">AND(LEN('Proyecto Datos (OKR´s)'!$G48)&gt;0,NOT($B48),OR(ISNUMBER('Proyecto Datos (OKR´s)'!$F48),ISNUMBER('Proyecto Datos (OKR´s)'!$L48)))</f>
        <v>0</v>
      </c>
      <c r="D48" s="164" t="str">
        <f ca="1">IF($C48,IFERROR(LOOKUP(2,1/((ISTEXT('Proyecto Datos (OKR´s)'!$K$7:$K48))*(LEN('Proyecto Datos (OKR´s)'!$G$7:$G48)&gt;0)),'Proyecto Datos (OKR´s)'!$G$7:$G48),""),"")</f>
        <v/>
      </c>
      <c r="E48" s="163" t="str">
        <f ca="1">IF($C48,'Proyecto Datos (OKR´s)'!$E48,"")</f>
        <v/>
      </c>
      <c r="F48" s="164" t="str">
        <f ca="1">IF($C48,'Proyecto Datos (OKR´s)'!$G48,"")</f>
        <v/>
      </c>
      <c r="G48" s="164" t="str">
        <f ca="1">IF($C48,IF('Proyecto Datos (OKR´s)'!$I48="","(Sin asignar)",'Proyecto Datos (OKR´s)'!$I48),"")</f>
        <v/>
      </c>
      <c r="H48" s="163" t="str">
        <f ca="1">IF($C48,IF(ISNUMBER('Proyecto Datos (OKR´s)'!$F48),'Proyecto Datos (OKR´s)'!$F48,'Proyecto Datos (OKR´s)'!$L48),"")</f>
        <v/>
      </c>
      <c r="I48" s="163" t="str">
        <f ca="1">IF($C48,'Proyecto Datos (OKR´s)'!$J48,"")</f>
        <v/>
      </c>
      <c r="J48" s="164" t="str">
        <f ca="1">IF($C48,IF($I48&gt;=1,"Completado",IF($H48&lt;TODAY(),"Vencido",IF(($H48-TODAY())&lt;='Entregas Próximas'!$M$3,"Próximo a vencer","En curso"))),"")</f>
        <v/>
      </c>
      <c r="K48" s="163" t="str">
        <f t="shared" ca="1" si="23"/>
        <v/>
      </c>
      <c r="L48" s="163" t="str">
        <f t="shared" ca="1" si="24"/>
        <v/>
      </c>
      <c r="M48" s="163" t="str">
        <f t="shared" ca="1" si="25"/>
        <v/>
      </c>
      <c r="N48" s="163" t="str">
        <f ca="1">IF($C48,IF('Proyecto Datos (OKR´s)'!$E48="",9999,'Proyecto Datos (OKR´s)'!$E48),"")</f>
        <v/>
      </c>
      <c r="O48" s="163" t="str">
        <f t="shared" ca="1" si="26"/>
        <v/>
      </c>
      <c r="R48" s="163" t="str">
        <f ca="1">IF($C48,IF(ISNUMBER('Proyecto Datos (OKR´s)'!$L48),'Proyecto Datos (OKR´s)'!$L48,$H48),"")</f>
        <v/>
      </c>
      <c r="S48" s="163" t="str">
        <f ca="1">IF($C48,$R48-'Proyecto Datos (OKR´s)'!$K48+1,"")</f>
        <v/>
      </c>
      <c r="T48" s="163" t="str">
        <f ca="1">IF($C48,MAX(0,TODAY()-'Proyecto Datos (OKR´s)'!$K48),"")</f>
        <v/>
      </c>
      <c r="U48" s="163" t="str">
        <f ca="1">IF($C48,MEDIAN(0,(TODAY()-'Proyecto Datos (OKR´s)'!$K48)/MAX(1,$R48-'Proyecto Datos (OKR´s)'!$K48),1),"")</f>
        <v/>
      </c>
      <c r="V48" s="163" t="str">
        <f t="shared" ca="1" si="27"/>
        <v/>
      </c>
      <c r="W48" s="163" t="str">
        <f t="shared" ca="1" si="28"/>
        <v/>
      </c>
      <c r="X48" s="163" t="str">
        <f t="shared" ca="1" si="29"/>
        <v/>
      </c>
      <c r="Y48" s="163" t="str">
        <f t="shared" ca="1" si="30"/>
        <v/>
      </c>
      <c r="Z48" s="163" t="str">
        <f ca="1">IF($C48,AND($I48=0,'Proyecto Datos (OKR´s)'!$K48&lt;=TODAY(),$J48&lt;&gt;"Completado"),"")</f>
        <v/>
      </c>
      <c r="AA48" s="163" t="str">
        <f t="shared" ca="1" si="31"/>
        <v/>
      </c>
      <c r="AB48" s="164" t="str">
        <f t="shared" ca="1" si="32"/>
        <v/>
      </c>
      <c r="AC48" s="164" t="str">
        <f t="shared" ca="1" si="33"/>
        <v/>
      </c>
      <c r="AD48" s="163" t="str">
        <f ca="1">IF($C48,IF($N48=9999,9999,IF($J48="Completado",$N48,MAX($N48,Sprints!$M$15))),"")</f>
        <v/>
      </c>
      <c r="AE48" s="163" t="str">
        <f t="shared" ca="1" si="34"/>
        <v/>
      </c>
      <c r="AF48" s="163" t="b">
        <f t="shared" ca="1" si="35"/>
        <v>0</v>
      </c>
      <c r="AG48" s="163" t="str">
        <f t="shared" ca="1" si="36"/>
        <v/>
      </c>
      <c r="AH48" s="164" t="str">
        <f ca="1">IF($AF48,IF(Sprints!$I48&lt;&gt;"",Sprints!$I48,"Comprometida y no completada al cierre del Sprint "&amp;$N48),"")</f>
        <v/>
      </c>
      <c r="AI48" s="163" t="str">
        <f t="shared" ca="1" si="37"/>
        <v/>
      </c>
      <c r="AJ48" s="163" t="str">
        <f t="shared" ca="1" si="38"/>
        <v/>
      </c>
      <c r="AK48" s="163" t="str">
        <f t="shared" ca="1" si="39"/>
        <v/>
      </c>
      <c r="AL48" s="163" t="str">
        <f t="shared" ca="1" si="40"/>
        <v/>
      </c>
      <c r="AM48" s="163" t="str">
        <f t="shared" ca="1" si="41"/>
        <v/>
      </c>
      <c r="AN48" s="164" t="str">
        <f t="shared" ca="1" si="42"/>
        <v/>
      </c>
      <c r="AO48" s="163" t="str">
        <f ca="1">IF($C48,IFERROR(INDEX(Sprints!$M$6:$M$13,MATCH($N48,Sprints!$K$6:$K$13,0)),""),"")</f>
        <v/>
      </c>
      <c r="AP48" s="163" t="str">
        <f t="shared" ca="1" si="43"/>
        <v/>
      </c>
    </row>
    <row r="49" spans="1:42" x14ac:dyDescent="0.35">
      <c r="A49" s="163">
        <f>ROW()</f>
        <v>49</v>
      </c>
      <c r="B49" s="163" t="b">
        <f>ISTEXT('Proyecto Datos (OKR´s)'!$K49)</f>
        <v>0</v>
      </c>
      <c r="C49" s="163" t="b">
        <f>AND(LEN('Proyecto Datos (OKR´s)'!$G49)&gt;0,NOT($B49),OR(ISNUMBER('Proyecto Datos (OKR´s)'!$F49),ISNUMBER('Proyecto Datos (OKR´s)'!$L49)))</f>
        <v>1</v>
      </c>
      <c r="D49" s="164" t="str">
        <f>IF($C49,IFERROR(LOOKUP(2,1/((ISTEXT('Proyecto Datos (OKR´s)'!$K$7:$K49))*(LEN('Proyecto Datos (OKR´s)'!$G$7:$G49)&gt;0)),'Proyecto Datos (OKR´s)'!$G$7:$G49),""),"")</f>
        <v>6- Automatización de procesos: certificación, provisión,polinómicas</v>
      </c>
      <c r="E49" s="163">
        <f>IF($C49,'Proyecto Datos (OKR´s)'!$E49,"")</f>
        <v>0</v>
      </c>
      <c r="F49" s="164" t="str">
        <f>IF($C49,'Proyecto Datos (OKR´s)'!$G49,"")</f>
        <v>Polinómicas y tarifario automático</v>
      </c>
      <c r="G49" s="164" t="str">
        <f>IF($C49,IF('Proyecto Datos (OKR´s)'!$I49="","(Sin asignar)",'Proyecto Datos (OKR´s)'!$I49),"")</f>
        <v>Santiago Alonso</v>
      </c>
      <c r="H49" s="163">
        <f>IF($C49,IF(ISNUMBER('Proyecto Datos (OKR´s)'!$F49),'Proyecto Datos (OKR´s)'!$F49,'Proyecto Datos (OKR´s)'!$L49),"")</f>
        <v>46213</v>
      </c>
      <c r="I49" s="163">
        <f>IF($C49,'Proyecto Datos (OKR´s)'!$J49,"")</f>
        <v>0.35</v>
      </c>
      <c r="J49" s="164" t="str">
        <f ca="1">IF($C49,IF($I49&gt;=1,"Completado",IF($H49&lt;TODAY(),"Vencido",IF(($H49-TODAY())&lt;='Entregas Próximas'!$M$3,"Próximo a vencer","En curso"))),"")</f>
        <v>En curso</v>
      </c>
      <c r="K49" s="163">
        <f t="shared" ca="1" si="23"/>
        <v>21</v>
      </c>
      <c r="L49" s="163">
        <f t="shared" si="24"/>
        <v>9999046213.0004902</v>
      </c>
      <c r="M49" s="163" t="str">
        <f t="shared" si="25"/>
        <v>(Sin sprint)</v>
      </c>
      <c r="N49" s="163">
        <f>IF($C49,IF('Proyecto Datos (OKR´s)'!$E49="",9999,'Proyecto Datos (OKR´s)'!$E49),"")</f>
        <v>9999</v>
      </c>
      <c r="O49" s="163" t="str">
        <f t="shared" si="26"/>
        <v>T049</v>
      </c>
      <c r="R49" s="163">
        <f>IF($C49,IF(ISNUMBER('Proyecto Datos (OKR´s)'!$L49),'Proyecto Datos (OKR´s)'!$L49,$H49),"")</f>
        <v>46213</v>
      </c>
      <c r="S49" s="163">
        <f>IF($C49,$R49-'Proyecto Datos (OKR´s)'!$K49+1,"")</f>
        <v>256</v>
      </c>
      <c r="T49" s="163">
        <f ca="1">IF($C49,MAX(0,TODAY()-'Proyecto Datos (OKR´s)'!$K49),"")</f>
        <v>234</v>
      </c>
      <c r="U49" s="163">
        <f ca="1">IF($C49,MEDIAN(0,(TODAY()-'Proyecto Datos (OKR´s)'!$K49)/MAX(1,$R49-'Proyecto Datos (OKR´s)'!$K49),1),"")</f>
        <v>0.91764705882352937</v>
      </c>
      <c r="V49" s="163">
        <f t="shared" ca="1" si="27"/>
        <v>-0.56764705882352939</v>
      </c>
      <c r="W49" s="163">
        <f t="shared" ca="1" si="28"/>
        <v>0</v>
      </c>
      <c r="X49" s="163">
        <f t="shared" si="29"/>
        <v>0</v>
      </c>
      <c r="Y49" s="163">
        <f t="shared" ca="1" si="30"/>
        <v>35</v>
      </c>
      <c r="Z49" s="163" t="b">
        <f ca="1">IF($C49,AND($I49=0,'Proyecto Datos (OKR´s)'!$K49&lt;=TODAY(),$J49&lt;&gt;"Completado"),"")</f>
        <v>0</v>
      </c>
      <c r="AA49" s="163">
        <f t="shared" ca="1" si="31"/>
        <v>45</v>
      </c>
      <c r="AB49" s="164" t="str">
        <f t="shared" ca="1" si="32"/>
        <v>Alta</v>
      </c>
      <c r="AC49" s="164" t="str">
        <f t="shared" ca="1" si="33"/>
        <v>ATRASO SOBRECARGA</v>
      </c>
      <c r="AD49" s="163">
        <f>IF($C49,IF($N49=9999,9999,IF($J49="Completado",$N49,MAX($N49,Sprints!$M$15))),"")</f>
        <v>9999</v>
      </c>
      <c r="AE49" s="163" t="str">
        <f t="shared" si="34"/>
        <v>(Sin sprint)</v>
      </c>
      <c r="AF49" s="163" t="b">
        <f t="shared" si="35"/>
        <v>0</v>
      </c>
      <c r="AG49" s="163" t="str">
        <f t="shared" si="36"/>
        <v/>
      </c>
      <c r="AH49" s="164" t="str">
        <f>IF($AF49,IF(Sprints!$I49&lt;&gt;"",Sprints!$I49,"Comprometida y no completada al cierre del Sprint "&amp;$N49),"")</f>
        <v/>
      </c>
      <c r="AI49" s="163" t="str">
        <f t="shared" si="37"/>
        <v/>
      </c>
      <c r="AJ49" s="163">
        <f t="shared" ca="1" si="38"/>
        <v>44998151</v>
      </c>
      <c r="AK49" s="163">
        <f t="shared" ca="1" si="39"/>
        <v>0.2</v>
      </c>
      <c r="AL49" s="163">
        <f t="shared" ca="1" si="40"/>
        <v>0.56764705882352939</v>
      </c>
      <c r="AM49" s="163">
        <f t="shared" ca="1" si="41"/>
        <v>0.3</v>
      </c>
      <c r="AN49" s="164" t="str">
        <f t="shared" ca="1" si="42"/>
        <v xml:space="preserve">ATRASO SOBRECARGA </v>
      </c>
      <c r="AO49" s="163" t="str">
        <f>IF($C49,IFERROR(INDEX(Sprints!$M$6:$M$13,MATCH($N49,Sprints!$K$6:$K$13,0)),""),"")</f>
        <v/>
      </c>
      <c r="AP49" s="163">
        <f t="shared" ca="1" si="43"/>
        <v>0</v>
      </c>
    </row>
    <row r="50" spans="1:42" x14ac:dyDescent="0.35">
      <c r="A50" s="163">
        <f>ROW()</f>
        <v>50</v>
      </c>
      <c r="B50" s="163" t="b">
        <f>ISTEXT('Proyecto Datos (OKR´s)'!$K50)</f>
        <v>0</v>
      </c>
      <c r="C50" s="163" t="b">
        <f>AND(LEN('Proyecto Datos (OKR´s)'!$G50)&gt;0,NOT($B50),OR(ISNUMBER('Proyecto Datos (OKR´s)'!$F50),ISNUMBER('Proyecto Datos (OKR´s)'!$L50)))</f>
        <v>1</v>
      </c>
      <c r="D50" s="164" t="str">
        <f>IF($C50,IFERROR(LOOKUP(2,1/((ISTEXT('Proyecto Datos (OKR´s)'!$K$7:$K50))*(LEN('Proyecto Datos (OKR´s)'!$G$7:$G50)&gt;0)),'Proyecto Datos (OKR´s)'!$G$7:$G50),""),"")</f>
        <v>6- Automatización de procesos: certificación, provisión,polinómicas</v>
      </c>
      <c r="E50" s="163">
        <f>IF($C50,'Proyecto Datos (OKR´s)'!$E50,"")</f>
        <v>0</v>
      </c>
      <c r="F50" s="164" t="str">
        <f>IF($C50,'Proyecto Datos (OKR´s)'!$G50,"")</f>
        <v>Certificados automáticos (ver si utilizar scripts)</v>
      </c>
      <c r="G50" s="164" t="str">
        <f>IF($C50,IF('Proyecto Datos (OKR´s)'!$I50="","(Sin asignar)",'Proyecto Datos (OKR´s)'!$I50),"")</f>
        <v>Santiago Alonso</v>
      </c>
      <c r="H50" s="163">
        <f>IF($C50,IF(ISNUMBER('Proyecto Datos (OKR´s)'!$F50),'Proyecto Datos (OKR´s)'!$F50,'Proyecto Datos (OKR´s)'!$L50),"")</f>
        <v>46220</v>
      </c>
      <c r="I50" s="163">
        <f>IF($C50,'Proyecto Datos (OKR´s)'!$J50,"")</f>
        <v>0.05</v>
      </c>
      <c r="J50" s="164" t="str">
        <f ca="1">IF($C50,IF($I50&gt;=1,"Completado",IF($H50&lt;TODAY(),"Vencido",IF(($H50-TODAY())&lt;='Entregas Próximas'!$M$3,"Próximo a vencer","En curso"))),"")</f>
        <v>En curso</v>
      </c>
      <c r="K50" s="163">
        <f t="shared" ca="1" si="23"/>
        <v>28</v>
      </c>
      <c r="L50" s="163">
        <f t="shared" si="24"/>
        <v>9999046220.0004997</v>
      </c>
      <c r="M50" s="163" t="str">
        <f t="shared" si="25"/>
        <v>(Sin sprint)</v>
      </c>
      <c r="N50" s="163">
        <f>IF($C50,IF('Proyecto Datos (OKR´s)'!$E50="",9999,'Proyecto Datos (OKR´s)'!$E50),"")</f>
        <v>9999</v>
      </c>
      <c r="O50" s="163" t="str">
        <f t="shared" si="26"/>
        <v>T050</v>
      </c>
      <c r="R50" s="163">
        <f>IF($C50,IF(ISNUMBER('Proyecto Datos (OKR´s)'!$L50),'Proyecto Datos (OKR´s)'!$L50,$H50),"")</f>
        <v>46220</v>
      </c>
      <c r="S50" s="163">
        <f>IF($C50,$R50-'Proyecto Datos (OKR´s)'!$K50+1,"")</f>
        <v>12</v>
      </c>
      <c r="T50" s="163">
        <f ca="1">IF($C50,MAX(0,TODAY()-'Proyecto Datos (OKR´s)'!$K50),"")</f>
        <v>0</v>
      </c>
      <c r="U50" s="163">
        <f ca="1">IF($C50,MEDIAN(0,(TODAY()-'Proyecto Datos (OKR´s)'!$K50)/MAX(1,$R50-'Proyecto Datos (OKR´s)'!$K50),1),"")</f>
        <v>0</v>
      </c>
      <c r="V50" s="163">
        <f t="shared" ca="1" si="27"/>
        <v>0.05</v>
      </c>
      <c r="W50" s="163">
        <f t="shared" ca="1" si="28"/>
        <v>0</v>
      </c>
      <c r="X50" s="163">
        <f t="shared" si="29"/>
        <v>0</v>
      </c>
      <c r="Y50" s="163">
        <f t="shared" ca="1" si="30"/>
        <v>35</v>
      </c>
      <c r="Z50" s="163" t="b">
        <f ca="1">IF($C50,AND($I50=0,'Proyecto Datos (OKR´s)'!$K50&lt;=TODAY(),$J50&lt;&gt;"Completado"),"")</f>
        <v>0</v>
      </c>
      <c r="AA50" s="163">
        <f t="shared" ca="1" si="31"/>
        <v>28</v>
      </c>
      <c r="AB50" s="164" t="str">
        <f t="shared" ca="1" si="32"/>
        <v>Media</v>
      </c>
      <c r="AC50" s="164" t="str">
        <f t="shared" ca="1" si="33"/>
        <v>SOBRECARGA</v>
      </c>
      <c r="AD50" s="163">
        <f>IF($C50,IF($N50=9999,9999,IF($J50="Completado",$N50,MAX($N50,Sprints!$M$15))),"")</f>
        <v>9999</v>
      </c>
      <c r="AE50" s="163" t="str">
        <f t="shared" si="34"/>
        <v>(Sin sprint)</v>
      </c>
      <c r="AF50" s="163" t="b">
        <f t="shared" si="35"/>
        <v>0</v>
      </c>
      <c r="AG50" s="163" t="str">
        <f t="shared" si="36"/>
        <v/>
      </c>
      <c r="AH50" s="164" t="str">
        <f>IF($AF50,IF(Sprints!$I50&lt;&gt;"",Sprints!$I50,"Comprometida y no completada al cierre del Sprint "&amp;$N50),"")</f>
        <v/>
      </c>
      <c r="AI50" s="163" t="str">
        <f t="shared" si="37"/>
        <v/>
      </c>
      <c r="AJ50" s="163">
        <f t="shared" ca="1" si="38"/>
        <v>27997450</v>
      </c>
      <c r="AK50" s="163">
        <f t="shared" ca="1" si="39"/>
        <v>0.2</v>
      </c>
      <c r="AL50" s="163">
        <f t="shared" ca="1" si="40"/>
        <v>0</v>
      </c>
      <c r="AM50" s="163">
        <f t="shared" ca="1" si="41"/>
        <v>0.3</v>
      </c>
      <c r="AN50" s="164" t="str">
        <f t="shared" ca="1" si="42"/>
        <v xml:space="preserve">SOBRECARGA </v>
      </c>
      <c r="AO50" s="163" t="str">
        <f>IF($C50,IFERROR(INDEX(Sprints!$M$6:$M$13,MATCH($N50,Sprints!$K$6:$K$13,0)),""),"")</f>
        <v/>
      </c>
      <c r="AP50" s="163">
        <f t="shared" ca="1" si="43"/>
        <v>0</v>
      </c>
    </row>
    <row r="51" spans="1:42" x14ac:dyDescent="0.35">
      <c r="A51" s="163">
        <f>ROW()</f>
        <v>51</v>
      </c>
      <c r="B51" s="163" t="b">
        <f>ISTEXT('Proyecto Datos (OKR´s)'!$K51)</f>
        <v>0</v>
      </c>
      <c r="C51" s="163" t="b">
        <f>AND(LEN('Proyecto Datos (OKR´s)'!$G51)&gt;0,NOT($B51),OR(ISNUMBER('Proyecto Datos (OKR´s)'!$F51),ISNUMBER('Proyecto Datos (OKR´s)'!$L51)))</f>
        <v>1</v>
      </c>
      <c r="D51" s="164" t="str">
        <f>IF($C51,IFERROR(LOOKUP(2,1/((ISTEXT('Proyecto Datos (OKR´s)'!$K$7:$K51))*(LEN('Proyecto Datos (OKR´s)'!$G$7:$G51)&gt;0)),'Proyecto Datos (OKR´s)'!$G$7:$G51),""),"")</f>
        <v>6- Automatización de procesos: certificación, provisión,polinómicas</v>
      </c>
      <c r="E51" s="163">
        <f>IF($C51,'Proyecto Datos (OKR´s)'!$E51,"")</f>
        <v>0</v>
      </c>
      <c r="F51" s="164" t="str">
        <f>IF($C51,'Proyecto Datos (OKR´s)'!$G51,"")</f>
        <v>Provisión Automática</v>
      </c>
      <c r="G51" s="164" t="str">
        <f>IF($C51,IF('Proyecto Datos (OKR´s)'!$I51="","(Sin asignar)",'Proyecto Datos (OKR´s)'!$I51),"")</f>
        <v>Santiago Alonso/ Julio Tinelli</v>
      </c>
      <c r="H51" s="163">
        <f>IF($C51,IF(ISNUMBER('Proyecto Datos (OKR´s)'!$F51),'Proyecto Datos (OKR´s)'!$F51,'Proyecto Datos (OKR´s)'!$L51),"")</f>
        <v>46227</v>
      </c>
      <c r="I51" s="163">
        <f>IF($C51,'Proyecto Datos (OKR´s)'!$J51,"")</f>
        <v>0</v>
      </c>
      <c r="J51" s="164" t="str">
        <f ca="1">IF($C51,IF($I51&gt;=1,"Completado",IF($H51&lt;TODAY(),"Vencido",IF(($H51-TODAY())&lt;='Entregas Próximas'!$M$3,"Próximo a vencer","En curso"))),"")</f>
        <v>En curso</v>
      </c>
      <c r="K51" s="163">
        <f t="shared" ca="1" si="23"/>
        <v>35</v>
      </c>
      <c r="L51" s="163">
        <f t="shared" si="24"/>
        <v>9999046227.0005093</v>
      </c>
      <c r="M51" s="163" t="str">
        <f t="shared" si="25"/>
        <v>(Sin sprint)</v>
      </c>
      <c r="N51" s="163">
        <f>IF($C51,IF('Proyecto Datos (OKR´s)'!$E51="",9999,'Proyecto Datos (OKR´s)'!$E51),"")</f>
        <v>9999</v>
      </c>
      <c r="O51" s="163" t="str">
        <f t="shared" si="26"/>
        <v>T051</v>
      </c>
      <c r="R51" s="163">
        <f>IF($C51,IF(ISNUMBER('Proyecto Datos (OKR´s)'!$L51),'Proyecto Datos (OKR´s)'!$L51,$H51),"")</f>
        <v>46227</v>
      </c>
      <c r="S51" s="163">
        <f>IF($C51,$R51-'Proyecto Datos (OKR´s)'!$K51+1,"")</f>
        <v>12</v>
      </c>
      <c r="T51" s="163">
        <f ca="1">IF($C51,MAX(0,TODAY()-'Proyecto Datos (OKR´s)'!$K51),"")</f>
        <v>0</v>
      </c>
      <c r="U51" s="163">
        <f ca="1">IF($C51,MEDIAN(0,(TODAY()-'Proyecto Datos (OKR´s)'!$K51)/MAX(1,$R51-'Proyecto Datos (OKR´s)'!$K51),1),"")</f>
        <v>0</v>
      </c>
      <c r="V51" s="163">
        <f t="shared" ca="1" si="27"/>
        <v>0</v>
      </c>
      <c r="W51" s="163">
        <f t="shared" ca="1" si="28"/>
        <v>0</v>
      </c>
      <c r="X51" s="163">
        <f t="shared" si="29"/>
        <v>0</v>
      </c>
      <c r="Y51" s="163">
        <f t="shared" ca="1" si="30"/>
        <v>1</v>
      </c>
      <c r="Z51" s="163" t="b">
        <f ca="1">IF($C51,AND($I51=0,'Proyecto Datos (OKR´s)'!$K51&lt;=TODAY(),$J51&lt;&gt;"Completado"),"")</f>
        <v>0</v>
      </c>
      <c r="AA51" s="163">
        <f t="shared" ca="1" si="31"/>
        <v>13</v>
      </c>
      <c r="AB51" s="164" t="str">
        <f t="shared" ca="1" si="32"/>
        <v>Baja</v>
      </c>
      <c r="AC51" s="164" t="str">
        <f t="shared" ca="1" si="33"/>
        <v>—</v>
      </c>
      <c r="AD51" s="163">
        <f>IF($C51,IF($N51=9999,9999,IF($J51="Completado",$N51,MAX($N51,Sprints!$M$15))),"")</f>
        <v>9999</v>
      </c>
      <c r="AE51" s="163" t="str">
        <f t="shared" si="34"/>
        <v>(Sin sprint)</v>
      </c>
      <c r="AF51" s="163" t="b">
        <f t="shared" si="35"/>
        <v>0</v>
      </c>
      <c r="AG51" s="163" t="str">
        <f t="shared" si="36"/>
        <v/>
      </c>
      <c r="AH51" s="164" t="str">
        <f>IF($AF51,IF(Sprints!$I51&lt;&gt;"",Sprints!$I51,"Comprometida y no completada al cierre del Sprint "&amp;$N51),"")</f>
        <v/>
      </c>
      <c r="AI51" s="163" t="str">
        <f t="shared" si="37"/>
        <v/>
      </c>
      <c r="AJ51" s="163">
        <f t="shared" ca="1" si="38"/>
        <v>12996749</v>
      </c>
      <c r="AK51" s="163">
        <f t="shared" ca="1" si="39"/>
        <v>0.2</v>
      </c>
      <c r="AL51" s="163">
        <f t="shared" ca="1" si="40"/>
        <v>0</v>
      </c>
      <c r="AM51" s="163">
        <f t="shared" ca="1" si="41"/>
        <v>0.3</v>
      </c>
      <c r="AN51" s="164" t="str">
        <f t="shared" ca="1" si="42"/>
        <v/>
      </c>
      <c r="AO51" s="163" t="str">
        <f>IF($C51,IFERROR(INDEX(Sprints!$M$6:$M$13,MATCH($N51,Sprints!$K$6:$K$13,0)),""),"")</f>
        <v/>
      </c>
      <c r="AP51" s="163">
        <f t="shared" ca="1" si="43"/>
        <v>0</v>
      </c>
    </row>
    <row r="52" spans="1:42" x14ac:dyDescent="0.35">
      <c r="A52" s="163">
        <f>ROW()</f>
        <v>52</v>
      </c>
      <c r="B52" s="163" t="b">
        <f>ISTEXT('Proyecto Datos (OKR´s)'!$K52)</f>
        <v>1</v>
      </c>
      <c r="C52" s="163" t="b">
        <f ca="1">AND(LEN('Proyecto Datos (OKR´s)'!$G52)&gt;0,NOT($B52),OR(ISNUMBER('Proyecto Datos (OKR´s)'!$F52),ISNUMBER('Proyecto Datos (OKR´s)'!$L52)))</f>
        <v>0</v>
      </c>
      <c r="D52" s="164" t="str">
        <f ca="1">IF($C52,IFERROR(LOOKUP(2,1/((ISTEXT('Proyecto Datos (OKR´s)'!$K$7:$K52))*(LEN('Proyecto Datos (OKR´s)'!$G$7:$G52)&gt;0)),'Proyecto Datos (OKR´s)'!$G$7:$G52),""),"")</f>
        <v/>
      </c>
      <c r="E52" s="163" t="str">
        <f ca="1">IF($C52,'Proyecto Datos (OKR´s)'!$E52,"")</f>
        <v/>
      </c>
      <c r="F52" s="164" t="str">
        <f ca="1">IF($C52,'Proyecto Datos (OKR´s)'!$G52,"")</f>
        <v/>
      </c>
      <c r="G52" s="164" t="str">
        <f ca="1">IF($C52,IF('Proyecto Datos (OKR´s)'!$I52="","(Sin asignar)",'Proyecto Datos (OKR´s)'!$I52),"")</f>
        <v/>
      </c>
      <c r="H52" s="163" t="str">
        <f ca="1">IF($C52,IF(ISNUMBER('Proyecto Datos (OKR´s)'!$F52),'Proyecto Datos (OKR´s)'!$F52,'Proyecto Datos (OKR´s)'!$L52),"")</f>
        <v/>
      </c>
      <c r="I52" s="163" t="str">
        <f ca="1">IF($C52,'Proyecto Datos (OKR´s)'!$J52,"")</f>
        <v/>
      </c>
      <c r="J52" s="164" t="str">
        <f ca="1">IF($C52,IF($I52&gt;=1,"Completado",IF($H52&lt;TODAY(),"Vencido",IF(($H52-TODAY())&lt;='Entregas Próximas'!$M$3,"Próximo a vencer","En curso"))),"")</f>
        <v/>
      </c>
      <c r="K52" s="163" t="str">
        <f t="shared" ca="1" si="23"/>
        <v/>
      </c>
      <c r="L52" s="163" t="str">
        <f t="shared" ca="1" si="24"/>
        <v/>
      </c>
      <c r="M52" s="163" t="str">
        <f t="shared" ca="1" si="25"/>
        <v/>
      </c>
      <c r="N52" s="163" t="str">
        <f ca="1">IF($C52,IF('Proyecto Datos (OKR´s)'!$E52="",9999,'Proyecto Datos (OKR´s)'!$E52),"")</f>
        <v/>
      </c>
      <c r="O52" s="163" t="str">
        <f t="shared" ca="1" si="26"/>
        <v/>
      </c>
      <c r="R52" s="163" t="str">
        <f ca="1">IF($C52,IF(ISNUMBER('Proyecto Datos (OKR´s)'!$L52),'Proyecto Datos (OKR´s)'!$L52,$H52),"")</f>
        <v/>
      </c>
      <c r="S52" s="163" t="str">
        <f ca="1">IF($C52,$R52-'Proyecto Datos (OKR´s)'!$K52+1,"")</f>
        <v/>
      </c>
      <c r="T52" s="163" t="str">
        <f ca="1">IF($C52,MAX(0,TODAY()-'Proyecto Datos (OKR´s)'!$K52),"")</f>
        <v/>
      </c>
      <c r="U52" s="163" t="str">
        <f ca="1">IF($C52,MEDIAN(0,(TODAY()-'Proyecto Datos (OKR´s)'!$K52)/MAX(1,$R52-'Proyecto Datos (OKR´s)'!$K52),1),"")</f>
        <v/>
      </c>
      <c r="V52" s="163" t="str">
        <f t="shared" ca="1" si="27"/>
        <v/>
      </c>
      <c r="W52" s="163" t="str">
        <f t="shared" ca="1" si="28"/>
        <v/>
      </c>
      <c r="X52" s="163" t="str">
        <f t="shared" ca="1" si="29"/>
        <v/>
      </c>
      <c r="Y52" s="163" t="str">
        <f t="shared" ca="1" si="30"/>
        <v/>
      </c>
      <c r="Z52" s="163" t="str">
        <f ca="1">IF($C52,AND($I52=0,'Proyecto Datos (OKR´s)'!$K52&lt;=TODAY(),$J52&lt;&gt;"Completado"),"")</f>
        <v/>
      </c>
      <c r="AA52" s="163" t="str">
        <f t="shared" ca="1" si="31"/>
        <v/>
      </c>
      <c r="AB52" s="164" t="str">
        <f t="shared" ca="1" si="32"/>
        <v/>
      </c>
      <c r="AC52" s="164" t="str">
        <f t="shared" ca="1" si="33"/>
        <v/>
      </c>
      <c r="AD52" s="163" t="str">
        <f ca="1">IF($C52,IF($N52=9999,9999,IF($J52="Completado",$N52,MAX($N52,Sprints!$M$15))),"")</f>
        <v/>
      </c>
      <c r="AE52" s="163" t="str">
        <f t="shared" ca="1" si="34"/>
        <v/>
      </c>
      <c r="AF52" s="163" t="b">
        <f t="shared" ca="1" si="35"/>
        <v>0</v>
      </c>
      <c r="AG52" s="163" t="str">
        <f t="shared" ca="1" si="36"/>
        <v/>
      </c>
      <c r="AH52" s="164" t="str">
        <f ca="1">IF($AF52,IF(Sprints!$I52&lt;&gt;"",Sprints!$I52,"Comprometida y no completada al cierre del Sprint "&amp;$N52),"")</f>
        <v/>
      </c>
      <c r="AI52" s="163" t="str">
        <f t="shared" ca="1" si="37"/>
        <v/>
      </c>
      <c r="AJ52" s="163" t="str">
        <f t="shared" ca="1" si="38"/>
        <v/>
      </c>
      <c r="AK52" s="163" t="str">
        <f t="shared" ca="1" si="39"/>
        <v/>
      </c>
      <c r="AL52" s="163" t="str">
        <f t="shared" ca="1" si="40"/>
        <v/>
      </c>
      <c r="AM52" s="163" t="str">
        <f t="shared" ca="1" si="41"/>
        <v/>
      </c>
      <c r="AN52" s="164" t="str">
        <f t="shared" ca="1" si="42"/>
        <v/>
      </c>
      <c r="AO52" s="163" t="str">
        <f ca="1">IF($C52,IFERROR(INDEX(Sprints!$M$6:$M$13,MATCH($N52,Sprints!$K$6:$K$13,0)),""),"")</f>
        <v/>
      </c>
      <c r="AP52" s="163" t="str">
        <f t="shared" ca="1" si="43"/>
        <v/>
      </c>
    </row>
    <row r="53" spans="1:42" x14ac:dyDescent="0.35">
      <c r="A53" s="163">
        <f>ROW()</f>
        <v>53</v>
      </c>
      <c r="B53" s="163" t="b">
        <f>ISTEXT('Proyecto Datos (OKR´s)'!$K53)</f>
        <v>0</v>
      </c>
      <c r="C53" s="163" t="b">
        <f>AND(LEN('Proyecto Datos (OKR´s)'!$G53)&gt;0,NOT($B53),OR(ISNUMBER('Proyecto Datos (OKR´s)'!$F53),ISNUMBER('Proyecto Datos (OKR´s)'!$L53)))</f>
        <v>1</v>
      </c>
      <c r="D53" s="164" t="str">
        <f>IF($C53,IFERROR(LOOKUP(2,1/((ISTEXT('Proyecto Datos (OKR´s)'!$K$7:$K53))*(LEN('Proyecto Datos (OKR´s)'!$G$7:$G53)&gt;0)),'Proyecto Datos (OKR´s)'!$G$7:$G53),""),"")</f>
        <v>7- Incorporación de Operaciones Complejas en sistemas de la compañía: Salesforce, SAP, etc.</v>
      </c>
      <c r="E53" s="163">
        <f>IF($C53,'Proyecto Datos (OKR´s)'!$E53,"")</f>
        <v>0</v>
      </c>
      <c r="F53" s="164" t="str">
        <f>IF($C53,'Proyecto Datos (OKR´s)'!$G53,"")</f>
        <v>Eliminar contratos obsoletos</v>
      </c>
      <c r="G53" s="164" t="str">
        <f>IF($C53,IF('Proyecto Datos (OKR´s)'!$I53="","(Sin asignar)",'Proyecto Datos (OKR´s)'!$I53),"")</f>
        <v>Santiago Alonso/ Danna Basso/ Lucía Paciello</v>
      </c>
      <c r="H53" s="163">
        <f>IF($C53,IF(ISNUMBER('Proyecto Datos (OKR´s)'!$F53),'Proyecto Datos (OKR´s)'!$F53,'Proyecto Datos (OKR´s)'!$L53),"")</f>
        <v>46213</v>
      </c>
      <c r="I53" s="163">
        <f>IF($C53,'Proyecto Datos (OKR´s)'!$J53,"")</f>
        <v>0.1</v>
      </c>
      <c r="J53" s="164" t="str">
        <f ca="1">IF($C53,IF($I53&gt;=1,"Completado",IF($H53&lt;TODAY(),"Vencido",IF(($H53-TODAY())&lt;='Entregas Próximas'!$M$3,"Próximo a vencer","En curso"))),"")</f>
        <v>En curso</v>
      </c>
      <c r="K53" s="163">
        <f t="shared" ca="1" si="23"/>
        <v>21</v>
      </c>
      <c r="L53" s="163">
        <f t="shared" si="24"/>
        <v>9999046213.0005302</v>
      </c>
      <c r="M53" s="163" t="str">
        <f t="shared" si="25"/>
        <v>(Sin sprint)</v>
      </c>
      <c r="N53" s="163">
        <f>IF($C53,IF('Proyecto Datos (OKR´s)'!$E53="",9999,'Proyecto Datos (OKR´s)'!$E53),"")</f>
        <v>9999</v>
      </c>
      <c r="O53" s="163" t="str">
        <f t="shared" si="26"/>
        <v>T053</v>
      </c>
      <c r="R53" s="163">
        <f>IF($C53,IF(ISNUMBER('Proyecto Datos (OKR´s)'!$L53),'Proyecto Datos (OKR´s)'!$L53,$H53),"")</f>
        <v>46213</v>
      </c>
      <c r="S53" s="163">
        <f>IF($C53,$R53-'Proyecto Datos (OKR´s)'!$K53+1,"")</f>
        <v>256</v>
      </c>
      <c r="T53" s="163">
        <f ca="1">IF($C53,MAX(0,TODAY()-'Proyecto Datos (OKR´s)'!$K53),"")</f>
        <v>234</v>
      </c>
      <c r="U53" s="163">
        <f ca="1">IF($C53,MEDIAN(0,(TODAY()-'Proyecto Datos (OKR´s)'!$K53)/MAX(1,$R53-'Proyecto Datos (OKR´s)'!$K53),1),"")</f>
        <v>0.91764705882352937</v>
      </c>
      <c r="V53" s="163">
        <f t="shared" ca="1" si="27"/>
        <v>-0.81764705882352939</v>
      </c>
      <c r="W53" s="163">
        <f t="shared" ca="1" si="28"/>
        <v>0</v>
      </c>
      <c r="X53" s="163">
        <f t="shared" si="29"/>
        <v>0</v>
      </c>
      <c r="Y53" s="163">
        <f t="shared" ca="1" si="30"/>
        <v>3</v>
      </c>
      <c r="Z53" s="163" t="b">
        <f ca="1">IF($C53,AND($I53=0,'Proyecto Datos (OKR´s)'!$K53&lt;=TODAY(),$J53&lt;&gt;"Completado"),"")</f>
        <v>0</v>
      </c>
      <c r="AA53" s="163">
        <f t="shared" ca="1" si="31"/>
        <v>38</v>
      </c>
      <c r="AB53" s="164" t="str">
        <f t="shared" ca="1" si="32"/>
        <v>Media</v>
      </c>
      <c r="AC53" s="164" t="str">
        <f t="shared" ca="1" si="33"/>
        <v>ATRASO</v>
      </c>
      <c r="AD53" s="163">
        <f>IF($C53,IF($N53=9999,9999,IF($J53="Completado",$N53,MAX($N53,Sprints!$M$15))),"")</f>
        <v>9999</v>
      </c>
      <c r="AE53" s="163" t="str">
        <f t="shared" si="34"/>
        <v>(Sin sprint)</v>
      </c>
      <c r="AF53" s="163" t="b">
        <f t="shared" si="35"/>
        <v>0</v>
      </c>
      <c r="AG53" s="163" t="str">
        <f t="shared" si="36"/>
        <v/>
      </c>
      <c r="AH53" s="164" t="str">
        <f>IF($AF53,IF(Sprints!$I53&lt;&gt;"",Sprints!$I53,"Comprometida y no completada al cierre del Sprint "&amp;$N53),"")</f>
        <v/>
      </c>
      <c r="AI53" s="163" t="str">
        <f t="shared" si="37"/>
        <v/>
      </c>
      <c r="AJ53" s="163">
        <f t="shared" ca="1" si="38"/>
        <v>37998147</v>
      </c>
      <c r="AK53" s="163">
        <f t="shared" ca="1" si="39"/>
        <v>0.2</v>
      </c>
      <c r="AL53" s="163">
        <f t="shared" ca="1" si="40"/>
        <v>0.81764705882352939</v>
      </c>
      <c r="AM53" s="163">
        <f t="shared" ca="1" si="41"/>
        <v>0.3</v>
      </c>
      <c r="AN53" s="164" t="str">
        <f t="shared" ca="1" si="42"/>
        <v xml:space="preserve">ATRASO </v>
      </c>
      <c r="AO53" s="163" t="str">
        <f>IF($C53,IFERROR(INDEX(Sprints!$M$6:$M$13,MATCH($N53,Sprints!$K$6:$K$13,0)),""),"")</f>
        <v/>
      </c>
      <c r="AP53" s="163">
        <f t="shared" ca="1" si="43"/>
        <v>0</v>
      </c>
    </row>
    <row r="54" spans="1:42" x14ac:dyDescent="0.35">
      <c r="A54" s="163">
        <f>ROW()</f>
        <v>54</v>
      </c>
      <c r="B54" s="163" t="b">
        <f>ISTEXT('Proyecto Datos (OKR´s)'!$K54)</f>
        <v>0</v>
      </c>
      <c r="C54" s="163" t="b">
        <f>AND(LEN('Proyecto Datos (OKR´s)'!$G54)&gt;0,NOT($B54),OR(ISNUMBER('Proyecto Datos (OKR´s)'!$F54),ISNUMBER('Proyecto Datos (OKR´s)'!$L54)))</f>
        <v>1</v>
      </c>
      <c r="D54" s="164" t="str">
        <f>IF($C54,IFERROR(LOOKUP(2,1/((ISTEXT('Proyecto Datos (OKR´s)'!$K$7:$K54))*(LEN('Proyecto Datos (OKR´s)'!$G$7:$G54)&gt;0)),'Proyecto Datos (OKR´s)'!$G$7:$G54),""),"")</f>
        <v>7- Incorporación de Operaciones Complejas en sistemas de la compañía: Salesforce, SAP, etc.</v>
      </c>
      <c r="E54" s="163">
        <f>IF($C54,'Proyecto Datos (OKR´s)'!$E54,"")</f>
        <v>0</v>
      </c>
      <c r="F54" s="164" t="str">
        <f>IF($C54,'Proyecto Datos (OKR´s)'!$G54,"")</f>
        <v>Estandarizar materíales de contratos - ver si se puede realizarmasivo (Matias Viera - SF)</v>
      </c>
      <c r="G54" s="164" t="str">
        <f>IF($C54,IF('Proyecto Datos (OKR´s)'!$I54="","(Sin asignar)",'Proyecto Datos (OKR´s)'!$I54),"")</f>
        <v>Santiago Alonso/ Danna Basso/ Lucía Paciello</v>
      </c>
      <c r="H54" s="163">
        <f>IF($C54,IF(ISNUMBER('Proyecto Datos (OKR´s)'!$F54),'Proyecto Datos (OKR´s)'!$F54,'Proyecto Datos (OKR´s)'!$L54),"")</f>
        <v>46220</v>
      </c>
      <c r="I54" s="163">
        <f>IF($C54,'Proyecto Datos (OKR´s)'!$J54,"")</f>
        <v>0</v>
      </c>
      <c r="J54" s="164" t="str">
        <f ca="1">IF($C54,IF($I54&gt;=1,"Completado",IF($H54&lt;TODAY(),"Vencido",IF(($H54-TODAY())&lt;='Entregas Próximas'!$M$3,"Próximo a vencer","En curso"))),"")</f>
        <v>En curso</v>
      </c>
      <c r="K54" s="163">
        <f t="shared" ca="1" si="23"/>
        <v>28</v>
      </c>
      <c r="L54" s="163">
        <f t="shared" si="24"/>
        <v>9999046220.0005398</v>
      </c>
      <c r="M54" s="163" t="str">
        <f t="shared" si="25"/>
        <v>(Sin sprint)</v>
      </c>
      <c r="N54" s="163">
        <f>IF($C54,IF('Proyecto Datos (OKR´s)'!$E54="",9999,'Proyecto Datos (OKR´s)'!$E54),"")</f>
        <v>9999</v>
      </c>
      <c r="O54" s="163" t="str">
        <f t="shared" si="26"/>
        <v>T054</v>
      </c>
      <c r="R54" s="163">
        <f>IF($C54,IF(ISNUMBER('Proyecto Datos (OKR´s)'!$L54),'Proyecto Datos (OKR´s)'!$L54,$H54),"")</f>
        <v>46220</v>
      </c>
      <c r="S54" s="163">
        <f>IF($C54,$R54-'Proyecto Datos (OKR´s)'!$K54+1,"")</f>
        <v>5</v>
      </c>
      <c r="T54" s="163">
        <f ca="1">IF($C54,MAX(0,TODAY()-'Proyecto Datos (OKR´s)'!$K54),"")</f>
        <v>0</v>
      </c>
      <c r="U54" s="163">
        <f ca="1">IF($C54,MEDIAN(0,(TODAY()-'Proyecto Datos (OKR´s)'!$K54)/MAX(1,$R54-'Proyecto Datos (OKR´s)'!$K54),1),"")</f>
        <v>0</v>
      </c>
      <c r="V54" s="163">
        <f t="shared" ca="1" si="27"/>
        <v>0</v>
      </c>
      <c r="W54" s="163">
        <f t="shared" ca="1" si="28"/>
        <v>0</v>
      </c>
      <c r="X54" s="163">
        <f t="shared" si="29"/>
        <v>0</v>
      </c>
      <c r="Y54" s="163">
        <f t="shared" ca="1" si="30"/>
        <v>3</v>
      </c>
      <c r="Z54" s="163" t="b">
        <f ca="1">IF($C54,AND($I54=0,'Proyecto Datos (OKR´s)'!$K54&lt;=TODAY(),$J54&lt;&gt;"Completado"),"")</f>
        <v>0</v>
      </c>
      <c r="AA54" s="163">
        <f t="shared" ca="1" si="31"/>
        <v>13</v>
      </c>
      <c r="AB54" s="164" t="str">
        <f t="shared" ca="1" si="32"/>
        <v>Baja</v>
      </c>
      <c r="AC54" s="164" t="str">
        <f t="shared" ca="1" si="33"/>
        <v>—</v>
      </c>
      <c r="AD54" s="163">
        <f>IF($C54,IF($N54=9999,9999,IF($J54="Completado",$N54,MAX($N54,Sprints!$M$15))),"")</f>
        <v>9999</v>
      </c>
      <c r="AE54" s="163" t="str">
        <f t="shared" si="34"/>
        <v>(Sin sprint)</v>
      </c>
      <c r="AF54" s="163" t="b">
        <f t="shared" si="35"/>
        <v>0</v>
      </c>
      <c r="AG54" s="163" t="str">
        <f t="shared" si="36"/>
        <v/>
      </c>
      <c r="AH54" s="164" t="str">
        <f>IF($AF54,IF(Sprints!$I54&lt;&gt;"",Sprints!$I54,"Comprometida y no completada al cierre del Sprint "&amp;$N54),"")</f>
        <v/>
      </c>
      <c r="AI54" s="163" t="str">
        <f t="shared" si="37"/>
        <v/>
      </c>
      <c r="AJ54" s="163">
        <f t="shared" ca="1" si="38"/>
        <v>12997446</v>
      </c>
      <c r="AK54" s="163">
        <f t="shared" ca="1" si="39"/>
        <v>0.2</v>
      </c>
      <c r="AL54" s="163">
        <f t="shared" ca="1" si="40"/>
        <v>0</v>
      </c>
      <c r="AM54" s="163">
        <f t="shared" ca="1" si="41"/>
        <v>0.3</v>
      </c>
      <c r="AN54" s="164" t="str">
        <f t="shared" ca="1" si="42"/>
        <v/>
      </c>
      <c r="AO54" s="163" t="str">
        <f>IF($C54,IFERROR(INDEX(Sprints!$M$6:$M$13,MATCH($N54,Sprints!$K$6:$K$13,0)),""),"")</f>
        <v/>
      </c>
      <c r="AP54" s="163">
        <f t="shared" ca="1" si="43"/>
        <v>0</v>
      </c>
    </row>
    <row r="55" spans="1:42" x14ac:dyDescent="0.35">
      <c r="A55" s="163">
        <f>ROW()</f>
        <v>55</v>
      </c>
      <c r="B55" s="163" t="b">
        <f>ISTEXT('Proyecto Datos (OKR´s)'!$K55)</f>
        <v>0</v>
      </c>
      <c r="C55" s="163" t="b">
        <f>AND(LEN('Proyecto Datos (OKR´s)'!$G55)&gt;0,NOT($B55),OR(ISNUMBER('Proyecto Datos (OKR´s)'!$F55),ISNUMBER('Proyecto Datos (OKR´s)'!$L55)))</f>
        <v>1</v>
      </c>
      <c r="D55" s="164" t="str">
        <f>IF($C55,IFERROR(LOOKUP(2,1/((ISTEXT('Proyecto Datos (OKR´s)'!$K$7:$K55))*(LEN('Proyecto Datos (OKR´s)'!$G$7:$G55)&gt;0)),'Proyecto Datos (OKR´s)'!$G$7:$G55),""),"")</f>
        <v>7- Incorporación de Operaciones Complejas en sistemas de la compañía: Salesforce, SAP, etc.</v>
      </c>
      <c r="E55" s="163">
        <f>IF($C55,'Proyecto Datos (OKR´s)'!$E55,"")</f>
        <v>0</v>
      </c>
      <c r="F55" s="164" t="str">
        <f>IF($C55,'Proyecto Datos (OKR´s)'!$G55,"")</f>
        <v>Relevar conveniencia de creación de Boom´s para materiales que hacen alusión a US</v>
      </c>
      <c r="G55" s="164" t="str">
        <f>IF($C55,IF('Proyecto Datos (OKR´s)'!$I55="","(Sin asignar)",'Proyecto Datos (OKR´s)'!$I55),"")</f>
        <v>Santiago Alonso/ Danna Basso/ Lucía Paciello</v>
      </c>
      <c r="H55" s="163">
        <f>IF($C55,IF(ISNUMBER('Proyecto Datos (OKR´s)'!$F55),'Proyecto Datos (OKR´s)'!$F55,'Proyecto Datos (OKR´s)'!$L55),"")</f>
        <v>46227</v>
      </c>
      <c r="I55" s="163">
        <f>IF($C55,'Proyecto Datos (OKR´s)'!$J55,"")</f>
        <v>0</v>
      </c>
      <c r="J55" s="164" t="str">
        <f ca="1">IF($C55,IF($I55&gt;=1,"Completado",IF($H55&lt;TODAY(),"Vencido",IF(($H55-TODAY())&lt;='Entregas Próximas'!$M$3,"Próximo a vencer","En curso"))),"")</f>
        <v>En curso</v>
      </c>
      <c r="K55" s="163">
        <f t="shared" ca="1" si="23"/>
        <v>35</v>
      </c>
      <c r="L55" s="163">
        <f t="shared" si="24"/>
        <v>9999046227.0005493</v>
      </c>
      <c r="M55" s="163" t="str">
        <f t="shared" si="25"/>
        <v>(Sin sprint)</v>
      </c>
      <c r="N55" s="163">
        <f>IF($C55,IF('Proyecto Datos (OKR´s)'!$E55="",9999,'Proyecto Datos (OKR´s)'!$E55),"")</f>
        <v>9999</v>
      </c>
      <c r="O55" s="163" t="str">
        <f t="shared" si="26"/>
        <v>T055</v>
      </c>
      <c r="R55" s="163">
        <f>IF($C55,IF(ISNUMBER('Proyecto Datos (OKR´s)'!$L55),'Proyecto Datos (OKR´s)'!$L55,$H55),"")</f>
        <v>46227</v>
      </c>
      <c r="S55" s="163">
        <f>IF($C55,$R55-'Proyecto Datos (OKR´s)'!$K55+1,"")</f>
        <v>5</v>
      </c>
      <c r="T55" s="163">
        <f ca="1">IF($C55,MAX(0,TODAY()-'Proyecto Datos (OKR´s)'!$K55),"")</f>
        <v>0</v>
      </c>
      <c r="U55" s="163">
        <f ca="1">IF($C55,MEDIAN(0,(TODAY()-'Proyecto Datos (OKR´s)'!$K55)/MAX(1,$R55-'Proyecto Datos (OKR´s)'!$K55),1),"")</f>
        <v>0</v>
      </c>
      <c r="V55" s="163">
        <f t="shared" ca="1" si="27"/>
        <v>0</v>
      </c>
      <c r="W55" s="163">
        <f t="shared" ca="1" si="28"/>
        <v>0</v>
      </c>
      <c r="X55" s="163">
        <f t="shared" si="29"/>
        <v>0</v>
      </c>
      <c r="Y55" s="163">
        <f t="shared" ca="1" si="30"/>
        <v>3</v>
      </c>
      <c r="Z55" s="163" t="b">
        <f ca="1">IF($C55,AND($I55=0,'Proyecto Datos (OKR´s)'!$K55&lt;=TODAY(),$J55&lt;&gt;"Completado"),"")</f>
        <v>0</v>
      </c>
      <c r="AA55" s="163">
        <f t="shared" ca="1" si="31"/>
        <v>13</v>
      </c>
      <c r="AB55" s="164" t="str">
        <f t="shared" ca="1" si="32"/>
        <v>Baja</v>
      </c>
      <c r="AC55" s="164" t="str">
        <f t="shared" ca="1" si="33"/>
        <v>—</v>
      </c>
      <c r="AD55" s="163">
        <f>IF($C55,IF($N55=9999,9999,IF($J55="Completado",$N55,MAX($N55,Sprints!$M$15))),"")</f>
        <v>9999</v>
      </c>
      <c r="AE55" s="163" t="str">
        <f t="shared" si="34"/>
        <v>(Sin sprint)</v>
      </c>
      <c r="AF55" s="163" t="b">
        <f t="shared" si="35"/>
        <v>0</v>
      </c>
      <c r="AG55" s="163" t="str">
        <f t="shared" si="36"/>
        <v/>
      </c>
      <c r="AH55" s="164" t="str">
        <f>IF($AF55,IF(Sprints!$I55&lt;&gt;"",Sprints!$I55,"Comprometida y no completada al cierre del Sprint "&amp;$N55),"")</f>
        <v/>
      </c>
      <c r="AI55" s="163" t="str">
        <f t="shared" si="37"/>
        <v/>
      </c>
      <c r="AJ55" s="163">
        <f t="shared" ca="1" si="38"/>
        <v>12996745</v>
      </c>
      <c r="AK55" s="163">
        <f t="shared" ca="1" si="39"/>
        <v>0.2</v>
      </c>
      <c r="AL55" s="163">
        <f t="shared" ca="1" si="40"/>
        <v>0</v>
      </c>
      <c r="AM55" s="163">
        <f t="shared" ca="1" si="41"/>
        <v>0.3</v>
      </c>
      <c r="AN55" s="164" t="str">
        <f t="shared" ca="1" si="42"/>
        <v/>
      </c>
      <c r="AO55" s="163" t="str">
        <f>IF($C55,IFERROR(INDEX(Sprints!$M$6:$M$13,MATCH($N55,Sprints!$K$6:$K$13,0)),""),"")</f>
        <v/>
      </c>
      <c r="AP55" s="163">
        <f t="shared" ca="1" si="43"/>
        <v>0</v>
      </c>
    </row>
    <row r="56" spans="1:42" x14ac:dyDescent="0.35">
      <c r="A56" s="163">
        <f>ROW()</f>
        <v>56</v>
      </c>
      <c r="B56" s="163" t="b">
        <f>ISTEXT('Proyecto Datos (OKR´s)'!$K56)</f>
        <v>0</v>
      </c>
      <c r="C56" s="163" t="b">
        <f>AND(LEN('Proyecto Datos (OKR´s)'!$G56)&gt;0,NOT($B56),OR(ISNUMBER('Proyecto Datos (OKR´s)'!$F56),ISNUMBER('Proyecto Datos (OKR´s)'!$L56)))</f>
        <v>0</v>
      </c>
      <c r="D56" s="164" t="str">
        <f>IF($C56,IFERROR(LOOKUP(2,1/((ISTEXT('Proyecto Datos (OKR´s)'!$K$7:$K56))*(LEN('Proyecto Datos (OKR´s)'!$G$7:$G56)&gt;0)),'Proyecto Datos (OKR´s)'!$G$7:$G56),""),"")</f>
        <v/>
      </c>
      <c r="E56" s="163" t="str">
        <f>IF($C56,'Proyecto Datos (OKR´s)'!$E56,"")</f>
        <v/>
      </c>
      <c r="F56" s="164" t="str">
        <f>IF($C56,'Proyecto Datos (OKR´s)'!$G56,"")</f>
        <v/>
      </c>
      <c r="G56" s="164" t="str">
        <f>IF($C56,IF('Proyecto Datos (OKR´s)'!$I56="","(Sin asignar)",'Proyecto Datos (OKR´s)'!$I56),"")</f>
        <v/>
      </c>
      <c r="H56" s="163" t="str">
        <f>IF($C56,IF(ISNUMBER('Proyecto Datos (OKR´s)'!$F56),'Proyecto Datos (OKR´s)'!$F56,'Proyecto Datos (OKR´s)'!$L56),"")</f>
        <v/>
      </c>
      <c r="I56" s="163" t="str">
        <f>IF($C56,'Proyecto Datos (OKR´s)'!$J56,"")</f>
        <v/>
      </c>
      <c r="J56" s="164" t="str">
        <f ca="1">IF($C56,IF($I56&gt;=1,"Completado",IF($H56&lt;TODAY(),"Vencido",IF(($H56-TODAY())&lt;='Entregas Próximas'!$M$3,"Próximo a vencer","En curso"))),"")</f>
        <v/>
      </c>
      <c r="K56" s="163" t="str">
        <f t="shared" ca="1" si="23"/>
        <v/>
      </c>
      <c r="L56" s="163" t="str">
        <f t="shared" si="24"/>
        <v/>
      </c>
      <c r="M56" s="163" t="str">
        <f t="shared" si="25"/>
        <v/>
      </c>
      <c r="N56" s="163" t="str">
        <f>IF($C56,IF('Proyecto Datos (OKR´s)'!$E56="",9999,'Proyecto Datos (OKR´s)'!$E56),"")</f>
        <v/>
      </c>
      <c r="O56" s="163" t="str">
        <f t="shared" si="26"/>
        <v/>
      </c>
      <c r="R56" s="163" t="str">
        <f>IF($C56,IF(ISNUMBER('Proyecto Datos (OKR´s)'!$L56),'Proyecto Datos (OKR´s)'!$L56,$H56),"")</f>
        <v/>
      </c>
      <c r="S56" s="163" t="str">
        <f>IF($C56,$R56-'Proyecto Datos (OKR´s)'!$K56+1,"")</f>
        <v/>
      </c>
      <c r="T56" s="163" t="str">
        <f ca="1">IF($C56,MAX(0,TODAY()-'Proyecto Datos (OKR´s)'!$K56),"")</f>
        <v/>
      </c>
      <c r="U56" s="163" t="str">
        <f ca="1">IF($C56,MEDIAN(0,(TODAY()-'Proyecto Datos (OKR´s)'!$K56)/MAX(1,$R56-'Proyecto Datos (OKR´s)'!$K56),1),"")</f>
        <v/>
      </c>
      <c r="V56" s="163" t="str">
        <f t="shared" si="27"/>
        <v/>
      </c>
      <c r="W56" s="163" t="str">
        <f t="shared" ca="1" si="28"/>
        <v/>
      </c>
      <c r="X56" s="163" t="str">
        <f t="shared" si="29"/>
        <v/>
      </c>
      <c r="Y56" s="163" t="str">
        <f t="shared" si="30"/>
        <v/>
      </c>
      <c r="Z56" s="163" t="str">
        <f ca="1">IF($C56,AND($I56=0,'Proyecto Datos (OKR´s)'!$K56&lt;=TODAY(),$J56&lt;&gt;"Completado"),"")</f>
        <v/>
      </c>
      <c r="AA56" s="163" t="str">
        <f t="shared" si="31"/>
        <v/>
      </c>
      <c r="AB56" s="164" t="str">
        <f t="shared" si="32"/>
        <v/>
      </c>
      <c r="AC56" s="164" t="str">
        <f t="shared" si="33"/>
        <v/>
      </c>
      <c r="AD56" s="163" t="str">
        <f>IF($C56,IF($N56=9999,9999,IF($J56="Completado",$N56,MAX($N56,Sprints!$M$15))),"")</f>
        <v/>
      </c>
      <c r="AE56" s="163" t="str">
        <f t="shared" si="34"/>
        <v/>
      </c>
      <c r="AF56" s="163" t="b">
        <f t="shared" si="35"/>
        <v>0</v>
      </c>
      <c r="AG56" s="163" t="str">
        <f t="shared" si="36"/>
        <v/>
      </c>
      <c r="AH56" s="164" t="str">
        <f>IF($AF56,IF(Sprints!$I56&lt;&gt;"",Sprints!$I56,"Comprometida y no completada al cierre del Sprint "&amp;$N56),"")</f>
        <v/>
      </c>
      <c r="AI56" s="163" t="str">
        <f t="shared" si="37"/>
        <v/>
      </c>
      <c r="AJ56" s="163" t="str">
        <f t="shared" si="38"/>
        <v/>
      </c>
      <c r="AK56" s="163" t="str">
        <f t="shared" si="39"/>
        <v/>
      </c>
      <c r="AL56" s="163" t="str">
        <f t="shared" si="40"/>
        <v/>
      </c>
      <c r="AM56" s="163" t="str">
        <f t="shared" si="41"/>
        <v/>
      </c>
      <c r="AN56" s="164" t="str">
        <f t="shared" si="42"/>
        <v/>
      </c>
      <c r="AO56" s="163" t="str">
        <f>IF($C56,IFERROR(INDEX(Sprints!$M$6:$M$13,MATCH($N56,Sprints!$K$6:$K$13,0)),""),"")</f>
        <v/>
      </c>
      <c r="AP56" s="163" t="str">
        <f t="shared" ca="1" si="43"/>
        <v/>
      </c>
    </row>
    <row r="57" spans="1:42" x14ac:dyDescent="0.35">
      <c r="A57" s="163">
        <f>ROW()</f>
        <v>57</v>
      </c>
      <c r="B57" s="163" t="b">
        <f>ISTEXT('Proyecto Datos (OKR´s)'!$K57)</f>
        <v>0</v>
      </c>
      <c r="C57" s="163" t="b">
        <f>AND(LEN('Proyecto Datos (OKR´s)'!$G57)&gt;0,NOT($B57),OR(ISNUMBER('Proyecto Datos (OKR´s)'!$F57),ISNUMBER('Proyecto Datos (OKR´s)'!$L57)))</f>
        <v>0</v>
      </c>
      <c r="D57" s="164" t="str">
        <f>IF($C57,IFERROR(LOOKUP(2,1/((ISTEXT('Proyecto Datos (OKR´s)'!$K$7:$K57))*(LEN('Proyecto Datos (OKR´s)'!$G$7:$G57)&gt;0)),'Proyecto Datos (OKR´s)'!$G$7:$G57),""),"")</f>
        <v/>
      </c>
      <c r="E57" s="163" t="str">
        <f>IF($C57,'Proyecto Datos (OKR´s)'!$E57,"")</f>
        <v/>
      </c>
      <c r="F57" s="164" t="str">
        <f>IF($C57,'Proyecto Datos (OKR´s)'!$G57,"")</f>
        <v/>
      </c>
      <c r="G57" s="164" t="str">
        <f>IF($C57,IF('Proyecto Datos (OKR´s)'!$I57="","(Sin asignar)",'Proyecto Datos (OKR´s)'!$I57),"")</f>
        <v/>
      </c>
      <c r="H57" s="163" t="str">
        <f>IF($C57,IF(ISNUMBER('Proyecto Datos (OKR´s)'!$F57),'Proyecto Datos (OKR´s)'!$F57,'Proyecto Datos (OKR´s)'!$L57),"")</f>
        <v/>
      </c>
      <c r="I57" s="163" t="str">
        <f>IF($C57,'Proyecto Datos (OKR´s)'!$J57,"")</f>
        <v/>
      </c>
      <c r="J57" s="164" t="str">
        <f ca="1">IF($C57,IF($I57&gt;=1,"Completado",IF($H57&lt;TODAY(),"Vencido",IF(($H57-TODAY())&lt;='Entregas Próximas'!$M$3,"Próximo a vencer","En curso"))),"")</f>
        <v/>
      </c>
      <c r="K57" s="163" t="str">
        <f t="shared" ca="1" si="23"/>
        <v/>
      </c>
      <c r="L57" s="163" t="str">
        <f t="shared" si="24"/>
        <v/>
      </c>
      <c r="M57" s="163" t="str">
        <f t="shared" si="25"/>
        <v/>
      </c>
      <c r="N57" s="163" t="str">
        <f>IF($C57,IF('Proyecto Datos (OKR´s)'!$E57="",9999,'Proyecto Datos (OKR´s)'!$E57),"")</f>
        <v/>
      </c>
      <c r="O57" s="163" t="str">
        <f t="shared" si="26"/>
        <v/>
      </c>
      <c r="R57" s="163" t="str">
        <f>IF($C57,IF(ISNUMBER('Proyecto Datos (OKR´s)'!$L57),'Proyecto Datos (OKR´s)'!$L57,$H57),"")</f>
        <v/>
      </c>
      <c r="S57" s="163" t="str">
        <f>IF($C57,$R57-'Proyecto Datos (OKR´s)'!$K57+1,"")</f>
        <v/>
      </c>
      <c r="T57" s="163" t="str">
        <f ca="1">IF($C57,MAX(0,TODAY()-'Proyecto Datos (OKR´s)'!$K57),"")</f>
        <v/>
      </c>
      <c r="U57" s="163" t="str">
        <f ca="1">IF($C57,MEDIAN(0,(TODAY()-'Proyecto Datos (OKR´s)'!$K57)/MAX(1,$R57-'Proyecto Datos (OKR´s)'!$K57),1),"")</f>
        <v/>
      </c>
      <c r="V57" s="163" t="str">
        <f t="shared" si="27"/>
        <v/>
      </c>
      <c r="W57" s="163" t="str">
        <f t="shared" ca="1" si="28"/>
        <v/>
      </c>
      <c r="X57" s="163" t="str">
        <f t="shared" si="29"/>
        <v/>
      </c>
      <c r="Y57" s="163" t="str">
        <f t="shared" si="30"/>
        <v/>
      </c>
      <c r="Z57" s="163" t="str">
        <f ca="1">IF($C57,AND($I57=0,'Proyecto Datos (OKR´s)'!$K57&lt;=TODAY(),$J57&lt;&gt;"Completado"),"")</f>
        <v/>
      </c>
      <c r="AA57" s="163" t="str">
        <f t="shared" si="31"/>
        <v/>
      </c>
      <c r="AB57" s="164" t="str">
        <f t="shared" si="32"/>
        <v/>
      </c>
      <c r="AC57" s="164" t="str">
        <f t="shared" si="33"/>
        <v/>
      </c>
      <c r="AD57" s="163" t="str">
        <f>IF($C57,IF($N57=9999,9999,IF($J57="Completado",$N57,MAX($N57,Sprints!$M$15))),"")</f>
        <v/>
      </c>
      <c r="AE57" s="163" t="str">
        <f t="shared" si="34"/>
        <v/>
      </c>
      <c r="AF57" s="163" t="b">
        <f t="shared" si="35"/>
        <v>0</v>
      </c>
      <c r="AG57" s="163" t="str">
        <f t="shared" si="36"/>
        <v/>
      </c>
      <c r="AH57" s="164" t="str">
        <f>IF($AF57,IF(Sprints!$I57&lt;&gt;"",Sprints!$I57,"Comprometida y no completada al cierre del Sprint "&amp;$N57),"")</f>
        <v/>
      </c>
      <c r="AI57" s="163" t="str">
        <f t="shared" si="37"/>
        <v/>
      </c>
      <c r="AJ57" s="163" t="str">
        <f t="shared" si="38"/>
        <v/>
      </c>
      <c r="AK57" s="163" t="str">
        <f t="shared" si="39"/>
        <v/>
      </c>
      <c r="AL57" s="163" t="str">
        <f t="shared" si="40"/>
        <v/>
      </c>
      <c r="AM57" s="163" t="str">
        <f t="shared" si="41"/>
        <v/>
      </c>
      <c r="AN57" s="164" t="str">
        <f t="shared" si="42"/>
        <v/>
      </c>
      <c r="AO57" s="163" t="str">
        <f>IF($C57,IFERROR(INDEX(Sprints!$M$6:$M$13,MATCH($N57,Sprints!$K$6:$K$13,0)),""),"")</f>
        <v/>
      </c>
      <c r="AP57" s="163" t="str">
        <f t="shared" ca="1" si="43"/>
        <v/>
      </c>
    </row>
    <row r="58" spans="1:42" x14ac:dyDescent="0.35">
      <c r="A58" s="163">
        <f>ROW()</f>
        <v>58</v>
      </c>
      <c r="B58" s="163" t="b">
        <f>ISTEXT('Proyecto Datos (OKR´s)'!$K58)</f>
        <v>0</v>
      </c>
      <c r="C58" s="163" t="b">
        <f>AND(LEN('Proyecto Datos (OKR´s)'!$G58)&gt;0,NOT($B58),OR(ISNUMBER('Proyecto Datos (OKR´s)'!$F58),ISNUMBER('Proyecto Datos (OKR´s)'!$L58)))</f>
        <v>0</v>
      </c>
      <c r="D58" s="164" t="str">
        <f>IF($C58,IFERROR(LOOKUP(2,1/((ISTEXT('Proyecto Datos (OKR´s)'!$K$7:$K58))*(LEN('Proyecto Datos (OKR´s)'!$G$7:$G58)&gt;0)),'Proyecto Datos (OKR´s)'!$G$7:$G58),""),"")</f>
        <v/>
      </c>
      <c r="E58" s="163" t="str">
        <f>IF($C58,'Proyecto Datos (OKR´s)'!$E58,"")</f>
        <v/>
      </c>
      <c r="F58" s="164" t="str">
        <f>IF($C58,'Proyecto Datos (OKR´s)'!$G58,"")</f>
        <v/>
      </c>
      <c r="G58" s="164" t="str">
        <f>IF($C58,IF('Proyecto Datos (OKR´s)'!$I58="","(Sin asignar)",'Proyecto Datos (OKR´s)'!$I58),"")</f>
        <v/>
      </c>
      <c r="H58" s="163" t="str">
        <f>IF($C58,IF(ISNUMBER('Proyecto Datos (OKR´s)'!$F58),'Proyecto Datos (OKR´s)'!$F58,'Proyecto Datos (OKR´s)'!$L58),"")</f>
        <v/>
      </c>
      <c r="I58" s="163" t="str">
        <f>IF($C58,'Proyecto Datos (OKR´s)'!$J58,"")</f>
        <v/>
      </c>
      <c r="J58" s="164" t="str">
        <f ca="1">IF($C58,IF($I58&gt;=1,"Completado",IF($H58&lt;TODAY(),"Vencido",IF(($H58-TODAY())&lt;='Entregas Próximas'!$M$3,"Próximo a vencer","En curso"))),"")</f>
        <v/>
      </c>
      <c r="K58" s="163" t="str">
        <f t="shared" ca="1" si="23"/>
        <v/>
      </c>
      <c r="L58" s="163" t="str">
        <f t="shared" si="24"/>
        <v/>
      </c>
      <c r="M58" s="163" t="str">
        <f t="shared" si="25"/>
        <v/>
      </c>
      <c r="N58" s="163" t="str">
        <f>IF($C58,IF('Proyecto Datos (OKR´s)'!$E58="",9999,'Proyecto Datos (OKR´s)'!$E58),"")</f>
        <v/>
      </c>
      <c r="O58" s="163" t="str">
        <f t="shared" si="26"/>
        <v/>
      </c>
      <c r="R58" s="163" t="str">
        <f>IF($C58,IF(ISNUMBER('Proyecto Datos (OKR´s)'!$L58),'Proyecto Datos (OKR´s)'!$L58,$H58),"")</f>
        <v/>
      </c>
      <c r="S58" s="163" t="str">
        <f>IF($C58,$R58-'Proyecto Datos (OKR´s)'!$K58+1,"")</f>
        <v/>
      </c>
      <c r="T58" s="163" t="str">
        <f ca="1">IF($C58,MAX(0,TODAY()-'Proyecto Datos (OKR´s)'!$K58),"")</f>
        <v/>
      </c>
      <c r="U58" s="163" t="str">
        <f ca="1">IF($C58,MEDIAN(0,(TODAY()-'Proyecto Datos (OKR´s)'!$K58)/MAX(1,$R58-'Proyecto Datos (OKR´s)'!$K58),1),"")</f>
        <v/>
      </c>
      <c r="V58" s="163" t="str">
        <f t="shared" si="27"/>
        <v/>
      </c>
      <c r="W58" s="163" t="str">
        <f t="shared" ca="1" si="28"/>
        <v/>
      </c>
      <c r="X58" s="163" t="str">
        <f t="shared" si="29"/>
        <v/>
      </c>
      <c r="Y58" s="163" t="str">
        <f t="shared" si="30"/>
        <v/>
      </c>
      <c r="Z58" s="163" t="str">
        <f ca="1">IF($C58,AND($I58=0,'Proyecto Datos (OKR´s)'!$K58&lt;=TODAY(),$J58&lt;&gt;"Completado"),"")</f>
        <v/>
      </c>
      <c r="AA58" s="163" t="str">
        <f t="shared" si="31"/>
        <v/>
      </c>
      <c r="AB58" s="164" t="str">
        <f t="shared" si="32"/>
        <v/>
      </c>
      <c r="AC58" s="164" t="str">
        <f t="shared" si="33"/>
        <v/>
      </c>
      <c r="AD58" s="163" t="str">
        <f>IF($C58,IF($N58=9999,9999,IF($J58="Completado",$N58,MAX($N58,Sprints!$M$15))),"")</f>
        <v/>
      </c>
      <c r="AE58" s="163" t="str">
        <f t="shared" si="34"/>
        <v/>
      </c>
      <c r="AF58" s="163" t="b">
        <f t="shared" si="35"/>
        <v>0</v>
      </c>
      <c r="AG58" s="163" t="str">
        <f t="shared" si="36"/>
        <v/>
      </c>
      <c r="AH58" s="164" t="str">
        <f>IF($AF58,IF(Sprints!$I58&lt;&gt;"",Sprints!$I58,"Comprometida y no completada al cierre del Sprint "&amp;$N58),"")</f>
        <v/>
      </c>
      <c r="AI58" s="163" t="str">
        <f t="shared" si="37"/>
        <v/>
      </c>
      <c r="AJ58" s="163" t="str">
        <f t="shared" si="38"/>
        <v/>
      </c>
      <c r="AK58" s="163" t="str">
        <f t="shared" si="39"/>
        <v/>
      </c>
      <c r="AL58" s="163" t="str">
        <f t="shared" si="40"/>
        <v/>
      </c>
      <c r="AM58" s="163" t="str">
        <f t="shared" si="41"/>
        <v/>
      </c>
      <c r="AN58" s="164" t="str">
        <f t="shared" si="42"/>
        <v/>
      </c>
      <c r="AO58" s="163" t="str">
        <f>IF($C58,IFERROR(INDEX(Sprints!$M$6:$M$13,MATCH($N58,Sprints!$K$6:$K$13,0)),""),"")</f>
        <v/>
      </c>
      <c r="AP58" s="163" t="str">
        <f t="shared" ca="1" si="43"/>
        <v/>
      </c>
    </row>
    <row r="59" spans="1:42" x14ac:dyDescent="0.35">
      <c r="A59" s="163">
        <f>ROW()</f>
        <v>59</v>
      </c>
      <c r="B59" s="163" t="b">
        <f>ISTEXT('Proyecto Datos (OKR´s)'!$K59)</f>
        <v>0</v>
      </c>
      <c r="C59" s="163" t="b">
        <f>AND(LEN('Proyecto Datos (OKR´s)'!$G59)&gt;0,NOT($B59),OR(ISNUMBER('Proyecto Datos (OKR´s)'!$F59),ISNUMBER('Proyecto Datos (OKR´s)'!$L59)))</f>
        <v>0</v>
      </c>
      <c r="D59" s="164" t="str">
        <f>IF($C59,IFERROR(LOOKUP(2,1/((ISTEXT('Proyecto Datos (OKR´s)'!$K$7:$K59))*(LEN('Proyecto Datos (OKR´s)'!$G$7:$G59)&gt;0)),'Proyecto Datos (OKR´s)'!$G$7:$G59),""),"")</f>
        <v/>
      </c>
      <c r="E59" s="163" t="str">
        <f>IF($C59,'Proyecto Datos (OKR´s)'!$E59,"")</f>
        <v/>
      </c>
      <c r="F59" s="164" t="str">
        <f>IF($C59,'Proyecto Datos (OKR´s)'!$G59,"")</f>
        <v/>
      </c>
      <c r="G59" s="164" t="str">
        <f>IF($C59,IF('Proyecto Datos (OKR´s)'!$I59="","(Sin asignar)",'Proyecto Datos (OKR´s)'!$I59),"")</f>
        <v/>
      </c>
      <c r="H59" s="163" t="str">
        <f>IF($C59,IF(ISNUMBER('Proyecto Datos (OKR´s)'!$F59),'Proyecto Datos (OKR´s)'!$F59,'Proyecto Datos (OKR´s)'!$L59),"")</f>
        <v/>
      </c>
      <c r="I59" s="163" t="str">
        <f>IF($C59,'Proyecto Datos (OKR´s)'!$J59,"")</f>
        <v/>
      </c>
      <c r="J59" s="164" t="str">
        <f ca="1">IF($C59,IF($I59&gt;=1,"Completado",IF($H59&lt;TODAY(),"Vencido",IF(($H59-TODAY())&lt;='Entregas Próximas'!$M$3,"Próximo a vencer","En curso"))),"")</f>
        <v/>
      </c>
      <c r="K59" s="163" t="str">
        <f t="shared" ca="1" si="23"/>
        <v/>
      </c>
      <c r="L59" s="163" t="str">
        <f t="shared" si="24"/>
        <v/>
      </c>
      <c r="M59" s="163" t="str">
        <f t="shared" si="25"/>
        <v/>
      </c>
      <c r="N59" s="163" t="str">
        <f>IF($C59,IF('Proyecto Datos (OKR´s)'!$E59="",9999,'Proyecto Datos (OKR´s)'!$E59),"")</f>
        <v/>
      </c>
      <c r="O59" s="163" t="str">
        <f t="shared" si="26"/>
        <v/>
      </c>
      <c r="R59" s="163" t="str">
        <f>IF($C59,IF(ISNUMBER('Proyecto Datos (OKR´s)'!$L59),'Proyecto Datos (OKR´s)'!$L59,$H59),"")</f>
        <v/>
      </c>
      <c r="S59" s="163" t="str">
        <f>IF($C59,$R59-'Proyecto Datos (OKR´s)'!$K59+1,"")</f>
        <v/>
      </c>
      <c r="T59" s="163" t="str">
        <f ca="1">IF($C59,MAX(0,TODAY()-'Proyecto Datos (OKR´s)'!$K59),"")</f>
        <v/>
      </c>
      <c r="U59" s="163" t="str">
        <f ca="1">IF($C59,MEDIAN(0,(TODAY()-'Proyecto Datos (OKR´s)'!$K59)/MAX(1,$R59-'Proyecto Datos (OKR´s)'!$K59),1),"")</f>
        <v/>
      </c>
      <c r="V59" s="163" t="str">
        <f t="shared" si="27"/>
        <v/>
      </c>
      <c r="W59" s="163" t="str">
        <f t="shared" ca="1" si="28"/>
        <v/>
      </c>
      <c r="X59" s="163" t="str">
        <f t="shared" si="29"/>
        <v/>
      </c>
      <c r="Y59" s="163" t="str">
        <f t="shared" si="30"/>
        <v/>
      </c>
      <c r="Z59" s="163" t="str">
        <f ca="1">IF($C59,AND($I59=0,'Proyecto Datos (OKR´s)'!$K59&lt;=TODAY(),$J59&lt;&gt;"Completado"),"")</f>
        <v/>
      </c>
      <c r="AA59" s="163" t="str">
        <f t="shared" si="31"/>
        <v/>
      </c>
      <c r="AB59" s="164" t="str">
        <f t="shared" si="32"/>
        <v/>
      </c>
      <c r="AC59" s="164" t="str">
        <f t="shared" si="33"/>
        <v/>
      </c>
      <c r="AD59" s="163" t="str">
        <f>IF($C59,IF($N59=9999,9999,IF($J59="Completado",$N59,MAX($N59,Sprints!$M$15))),"")</f>
        <v/>
      </c>
      <c r="AE59" s="163" t="str">
        <f t="shared" si="34"/>
        <v/>
      </c>
      <c r="AF59" s="163" t="b">
        <f t="shared" si="35"/>
        <v>0</v>
      </c>
      <c r="AG59" s="163" t="str">
        <f t="shared" si="36"/>
        <v/>
      </c>
      <c r="AH59" s="164" t="str">
        <f>IF($AF59,IF(Sprints!$I59&lt;&gt;"",Sprints!$I59,"Comprometida y no completada al cierre del Sprint "&amp;$N59),"")</f>
        <v/>
      </c>
      <c r="AI59" s="163" t="str">
        <f t="shared" si="37"/>
        <v/>
      </c>
      <c r="AJ59" s="163" t="str">
        <f t="shared" si="38"/>
        <v/>
      </c>
      <c r="AK59" s="163" t="str">
        <f t="shared" si="39"/>
        <v/>
      </c>
      <c r="AL59" s="163" t="str">
        <f t="shared" si="40"/>
        <v/>
      </c>
      <c r="AM59" s="163" t="str">
        <f t="shared" si="41"/>
        <v/>
      </c>
      <c r="AN59" s="164" t="str">
        <f t="shared" si="42"/>
        <v/>
      </c>
      <c r="AO59" s="163" t="str">
        <f>IF($C59,IFERROR(INDEX(Sprints!$M$6:$M$13,MATCH($N59,Sprints!$K$6:$K$13,0)),""),"")</f>
        <v/>
      </c>
      <c r="AP59" s="163" t="str">
        <f t="shared" ca="1" si="43"/>
        <v/>
      </c>
    </row>
    <row r="60" spans="1:42" x14ac:dyDescent="0.35">
      <c r="A60" s="163">
        <f>ROW()</f>
        <v>60</v>
      </c>
      <c r="B60" s="163" t="b">
        <f>ISTEXT('Proyecto Datos (OKR´s)'!$K60)</f>
        <v>0</v>
      </c>
      <c r="C60" s="163" t="b">
        <f>AND(LEN('Proyecto Datos (OKR´s)'!$G60)&gt;0,NOT($B60),OR(ISNUMBER('Proyecto Datos (OKR´s)'!$F60),ISNUMBER('Proyecto Datos (OKR´s)'!$L60)))</f>
        <v>0</v>
      </c>
      <c r="D60" s="164" t="str">
        <f>IF($C60,IFERROR(LOOKUP(2,1/((ISTEXT('Proyecto Datos (OKR´s)'!$K$7:$K60))*(LEN('Proyecto Datos (OKR´s)'!$G$7:$G60)&gt;0)),'Proyecto Datos (OKR´s)'!$G$7:$G60),""),"")</f>
        <v/>
      </c>
      <c r="E60" s="163" t="str">
        <f>IF($C60,'Proyecto Datos (OKR´s)'!$E60,"")</f>
        <v/>
      </c>
      <c r="F60" s="164" t="str">
        <f>IF($C60,'Proyecto Datos (OKR´s)'!$G60,"")</f>
        <v/>
      </c>
      <c r="G60" s="164" t="str">
        <f>IF($C60,IF('Proyecto Datos (OKR´s)'!$I60="","(Sin asignar)",'Proyecto Datos (OKR´s)'!$I60),"")</f>
        <v/>
      </c>
      <c r="H60" s="163" t="str">
        <f>IF($C60,IF(ISNUMBER('Proyecto Datos (OKR´s)'!$F60),'Proyecto Datos (OKR´s)'!$F60,'Proyecto Datos (OKR´s)'!$L60),"")</f>
        <v/>
      </c>
      <c r="I60" s="163" t="str">
        <f>IF($C60,'Proyecto Datos (OKR´s)'!$J60,"")</f>
        <v/>
      </c>
      <c r="J60" s="164" t="str">
        <f ca="1">IF($C60,IF($I60&gt;=1,"Completado",IF($H60&lt;TODAY(),"Vencido",IF(($H60-TODAY())&lt;='Entregas Próximas'!$M$3,"Próximo a vencer","En curso"))),"")</f>
        <v/>
      </c>
      <c r="K60" s="163" t="str">
        <f t="shared" ca="1" si="23"/>
        <v/>
      </c>
      <c r="L60" s="163" t="str">
        <f t="shared" si="24"/>
        <v/>
      </c>
      <c r="M60" s="163" t="str">
        <f t="shared" si="25"/>
        <v/>
      </c>
      <c r="N60" s="163" t="str">
        <f>IF($C60,IF('Proyecto Datos (OKR´s)'!$E60="",9999,'Proyecto Datos (OKR´s)'!$E60),"")</f>
        <v/>
      </c>
      <c r="O60" s="163" t="str">
        <f t="shared" si="26"/>
        <v/>
      </c>
      <c r="R60" s="163" t="str">
        <f>IF($C60,IF(ISNUMBER('Proyecto Datos (OKR´s)'!$L60),'Proyecto Datos (OKR´s)'!$L60,$H60),"")</f>
        <v/>
      </c>
      <c r="S60" s="163" t="str">
        <f>IF($C60,$R60-'Proyecto Datos (OKR´s)'!$K60+1,"")</f>
        <v/>
      </c>
      <c r="T60" s="163" t="str">
        <f ca="1">IF($C60,MAX(0,TODAY()-'Proyecto Datos (OKR´s)'!$K60),"")</f>
        <v/>
      </c>
      <c r="U60" s="163" t="str">
        <f ca="1">IF($C60,MEDIAN(0,(TODAY()-'Proyecto Datos (OKR´s)'!$K60)/MAX(1,$R60-'Proyecto Datos (OKR´s)'!$K60),1),"")</f>
        <v/>
      </c>
      <c r="V60" s="163" t="str">
        <f t="shared" si="27"/>
        <v/>
      </c>
      <c r="W60" s="163" t="str">
        <f t="shared" ca="1" si="28"/>
        <v/>
      </c>
      <c r="X60" s="163" t="str">
        <f t="shared" si="29"/>
        <v/>
      </c>
      <c r="Y60" s="163" t="str">
        <f t="shared" si="30"/>
        <v/>
      </c>
      <c r="Z60" s="163" t="str">
        <f ca="1">IF($C60,AND($I60=0,'Proyecto Datos (OKR´s)'!$K60&lt;=TODAY(),$J60&lt;&gt;"Completado"),"")</f>
        <v/>
      </c>
      <c r="AA60" s="163" t="str">
        <f t="shared" si="31"/>
        <v/>
      </c>
      <c r="AB60" s="164" t="str">
        <f t="shared" si="32"/>
        <v/>
      </c>
      <c r="AC60" s="164" t="str">
        <f t="shared" si="33"/>
        <v/>
      </c>
      <c r="AD60" s="163" t="str">
        <f>IF($C60,IF($N60=9999,9999,IF($J60="Completado",$N60,MAX($N60,Sprints!$M$15))),"")</f>
        <v/>
      </c>
      <c r="AE60" s="163" t="str">
        <f t="shared" si="34"/>
        <v/>
      </c>
      <c r="AF60" s="163" t="b">
        <f t="shared" si="35"/>
        <v>0</v>
      </c>
      <c r="AG60" s="163" t="str">
        <f t="shared" si="36"/>
        <v/>
      </c>
      <c r="AH60" s="164" t="str">
        <f>IF($AF60,IF(Sprints!$I60&lt;&gt;"",Sprints!$I60,"Comprometida y no completada al cierre del Sprint "&amp;$N60),"")</f>
        <v/>
      </c>
      <c r="AI60" s="163" t="str">
        <f t="shared" si="37"/>
        <v/>
      </c>
      <c r="AJ60" s="163" t="str">
        <f t="shared" si="38"/>
        <v/>
      </c>
      <c r="AK60" s="163" t="str">
        <f t="shared" si="39"/>
        <v/>
      </c>
      <c r="AL60" s="163" t="str">
        <f t="shared" si="40"/>
        <v/>
      </c>
      <c r="AM60" s="163" t="str">
        <f t="shared" si="41"/>
        <v/>
      </c>
      <c r="AN60" s="164" t="str">
        <f t="shared" si="42"/>
        <v/>
      </c>
      <c r="AO60" s="163" t="str">
        <f>IF($C60,IFERROR(INDEX(Sprints!$M$6:$M$13,MATCH($N60,Sprints!$K$6:$K$13,0)),""),"")</f>
        <v/>
      </c>
      <c r="AP60" s="163" t="str">
        <f t="shared" ca="1" si="43"/>
        <v/>
      </c>
    </row>
    <row r="61" spans="1:42" x14ac:dyDescent="0.35">
      <c r="A61" s="163">
        <f>ROW()</f>
        <v>61</v>
      </c>
      <c r="B61" s="163" t="b">
        <f>ISTEXT('Proyecto Datos (OKR´s)'!$K61)</f>
        <v>0</v>
      </c>
      <c r="C61" s="163" t="b">
        <f>AND(LEN('Proyecto Datos (OKR´s)'!$G61)&gt;0,NOT($B61),OR(ISNUMBER('Proyecto Datos (OKR´s)'!$F61),ISNUMBER('Proyecto Datos (OKR´s)'!$L61)))</f>
        <v>0</v>
      </c>
      <c r="D61" s="164" t="str">
        <f>IF($C61,IFERROR(LOOKUP(2,1/((ISTEXT('Proyecto Datos (OKR´s)'!$K$7:$K61))*(LEN('Proyecto Datos (OKR´s)'!$G$7:$G61)&gt;0)),'Proyecto Datos (OKR´s)'!$G$7:$G61),""),"")</f>
        <v/>
      </c>
      <c r="E61" s="163" t="str">
        <f>IF($C61,'Proyecto Datos (OKR´s)'!$E61,"")</f>
        <v/>
      </c>
      <c r="F61" s="164" t="str">
        <f>IF($C61,'Proyecto Datos (OKR´s)'!$G61,"")</f>
        <v/>
      </c>
      <c r="G61" s="164" t="str">
        <f>IF($C61,IF('Proyecto Datos (OKR´s)'!$I61="","(Sin asignar)",'Proyecto Datos (OKR´s)'!$I61),"")</f>
        <v/>
      </c>
      <c r="H61" s="163" t="str">
        <f>IF($C61,IF(ISNUMBER('Proyecto Datos (OKR´s)'!$F61),'Proyecto Datos (OKR´s)'!$F61,'Proyecto Datos (OKR´s)'!$L61),"")</f>
        <v/>
      </c>
      <c r="I61" s="163" t="str">
        <f>IF($C61,'Proyecto Datos (OKR´s)'!$J61,"")</f>
        <v/>
      </c>
      <c r="J61" s="164" t="str">
        <f ca="1">IF($C61,IF($I61&gt;=1,"Completado",IF($H61&lt;TODAY(),"Vencido",IF(($H61-TODAY())&lt;='Entregas Próximas'!$M$3,"Próximo a vencer","En curso"))),"")</f>
        <v/>
      </c>
      <c r="K61" s="163" t="str">
        <f t="shared" ca="1" si="23"/>
        <v/>
      </c>
      <c r="L61" s="163" t="str">
        <f t="shared" si="24"/>
        <v/>
      </c>
      <c r="M61" s="163" t="str">
        <f t="shared" si="25"/>
        <v/>
      </c>
      <c r="N61" s="163" t="str">
        <f>IF($C61,IF('Proyecto Datos (OKR´s)'!$E61="",9999,'Proyecto Datos (OKR´s)'!$E61),"")</f>
        <v/>
      </c>
      <c r="O61" s="163" t="str">
        <f t="shared" si="26"/>
        <v/>
      </c>
      <c r="R61" s="163" t="str">
        <f>IF($C61,IF(ISNUMBER('Proyecto Datos (OKR´s)'!$L61),'Proyecto Datos (OKR´s)'!$L61,$H61),"")</f>
        <v/>
      </c>
      <c r="S61" s="163" t="str">
        <f>IF($C61,$R61-'Proyecto Datos (OKR´s)'!$K61+1,"")</f>
        <v/>
      </c>
      <c r="T61" s="163" t="str">
        <f ca="1">IF($C61,MAX(0,TODAY()-'Proyecto Datos (OKR´s)'!$K61),"")</f>
        <v/>
      </c>
      <c r="U61" s="163" t="str">
        <f ca="1">IF($C61,MEDIAN(0,(TODAY()-'Proyecto Datos (OKR´s)'!$K61)/MAX(1,$R61-'Proyecto Datos (OKR´s)'!$K61),1),"")</f>
        <v/>
      </c>
      <c r="V61" s="163" t="str">
        <f t="shared" si="27"/>
        <v/>
      </c>
      <c r="W61" s="163" t="str">
        <f t="shared" ca="1" si="28"/>
        <v/>
      </c>
      <c r="X61" s="163" t="str">
        <f t="shared" si="29"/>
        <v/>
      </c>
      <c r="Y61" s="163" t="str">
        <f t="shared" si="30"/>
        <v/>
      </c>
      <c r="Z61" s="163" t="str">
        <f ca="1">IF($C61,AND($I61=0,'Proyecto Datos (OKR´s)'!$K61&lt;=TODAY(),$J61&lt;&gt;"Completado"),"")</f>
        <v/>
      </c>
      <c r="AA61" s="163" t="str">
        <f t="shared" si="31"/>
        <v/>
      </c>
      <c r="AB61" s="164" t="str">
        <f t="shared" si="32"/>
        <v/>
      </c>
      <c r="AC61" s="164" t="str">
        <f t="shared" si="33"/>
        <v/>
      </c>
      <c r="AD61" s="163" t="str">
        <f>IF($C61,IF($N61=9999,9999,IF($J61="Completado",$N61,MAX($N61,Sprints!$M$15))),"")</f>
        <v/>
      </c>
      <c r="AE61" s="163" t="str">
        <f t="shared" si="34"/>
        <v/>
      </c>
      <c r="AF61" s="163" t="b">
        <f t="shared" si="35"/>
        <v>0</v>
      </c>
      <c r="AG61" s="163" t="str">
        <f t="shared" si="36"/>
        <v/>
      </c>
      <c r="AH61" s="164" t="str">
        <f>IF($AF61,IF(Sprints!$I61&lt;&gt;"",Sprints!$I61,"Comprometida y no completada al cierre del Sprint "&amp;$N61),"")</f>
        <v/>
      </c>
      <c r="AI61" s="163" t="str">
        <f t="shared" si="37"/>
        <v/>
      </c>
      <c r="AJ61" s="163" t="str">
        <f t="shared" si="38"/>
        <v/>
      </c>
      <c r="AK61" s="163" t="str">
        <f t="shared" si="39"/>
        <v/>
      </c>
      <c r="AL61" s="163" t="str">
        <f t="shared" si="40"/>
        <v/>
      </c>
      <c r="AM61" s="163" t="str">
        <f t="shared" si="41"/>
        <v/>
      </c>
      <c r="AN61" s="164" t="str">
        <f t="shared" si="42"/>
        <v/>
      </c>
      <c r="AO61" s="163" t="str">
        <f>IF($C61,IFERROR(INDEX(Sprints!$M$6:$M$13,MATCH($N61,Sprints!$K$6:$K$13,0)),""),"")</f>
        <v/>
      </c>
      <c r="AP61" s="163" t="str">
        <f t="shared" ca="1" si="43"/>
        <v/>
      </c>
    </row>
    <row r="62" spans="1:42" x14ac:dyDescent="0.35">
      <c r="A62" s="163">
        <f>ROW()</f>
        <v>62</v>
      </c>
      <c r="B62" s="163" t="b">
        <f>ISTEXT('Proyecto Datos (OKR´s)'!$K62)</f>
        <v>0</v>
      </c>
      <c r="C62" s="163" t="b">
        <f>AND(LEN('Proyecto Datos (OKR´s)'!$G62)&gt;0,NOT($B62),OR(ISNUMBER('Proyecto Datos (OKR´s)'!$F62),ISNUMBER('Proyecto Datos (OKR´s)'!$L62)))</f>
        <v>0</v>
      </c>
      <c r="D62" s="164" t="str">
        <f>IF($C62,IFERROR(LOOKUP(2,1/((ISTEXT('Proyecto Datos (OKR´s)'!$K$7:$K62))*(LEN('Proyecto Datos (OKR´s)'!$G$7:$G62)&gt;0)),'Proyecto Datos (OKR´s)'!$G$7:$G62),""),"")</f>
        <v/>
      </c>
      <c r="E62" s="163" t="str">
        <f>IF($C62,'Proyecto Datos (OKR´s)'!$E62,"")</f>
        <v/>
      </c>
      <c r="F62" s="164" t="str">
        <f>IF($C62,'Proyecto Datos (OKR´s)'!$G62,"")</f>
        <v/>
      </c>
      <c r="G62" s="164" t="str">
        <f>IF($C62,IF('Proyecto Datos (OKR´s)'!$I62="","(Sin asignar)",'Proyecto Datos (OKR´s)'!$I62),"")</f>
        <v/>
      </c>
      <c r="H62" s="163" t="str">
        <f>IF($C62,IF(ISNUMBER('Proyecto Datos (OKR´s)'!$F62),'Proyecto Datos (OKR´s)'!$F62,'Proyecto Datos (OKR´s)'!$L62),"")</f>
        <v/>
      </c>
      <c r="I62" s="163" t="str">
        <f>IF($C62,'Proyecto Datos (OKR´s)'!$J62,"")</f>
        <v/>
      </c>
      <c r="J62" s="164" t="str">
        <f ca="1">IF($C62,IF($I62&gt;=1,"Completado",IF($H62&lt;TODAY(),"Vencido",IF(($H62-TODAY())&lt;='Entregas Próximas'!$M$3,"Próximo a vencer","En curso"))),"")</f>
        <v/>
      </c>
      <c r="K62" s="163" t="str">
        <f t="shared" ca="1" si="23"/>
        <v/>
      </c>
      <c r="L62" s="163" t="str">
        <f t="shared" si="24"/>
        <v/>
      </c>
      <c r="M62" s="163" t="str">
        <f t="shared" si="25"/>
        <v/>
      </c>
      <c r="N62" s="163" t="str">
        <f>IF($C62,IF('Proyecto Datos (OKR´s)'!$E62="",9999,'Proyecto Datos (OKR´s)'!$E62),"")</f>
        <v/>
      </c>
      <c r="O62" s="163" t="str">
        <f t="shared" si="26"/>
        <v/>
      </c>
      <c r="R62" s="163" t="str">
        <f>IF($C62,IF(ISNUMBER('Proyecto Datos (OKR´s)'!$L62),'Proyecto Datos (OKR´s)'!$L62,$H62),"")</f>
        <v/>
      </c>
      <c r="S62" s="163" t="str">
        <f>IF($C62,$R62-'Proyecto Datos (OKR´s)'!$K62+1,"")</f>
        <v/>
      </c>
      <c r="T62" s="163" t="str">
        <f ca="1">IF($C62,MAX(0,TODAY()-'Proyecto Datos (OKR´s)'!$K62),"")</f>
        <v/>
      </c>
      <c r="U62" s="163" t="str">
        <f ca="1">IF($C62,MEDIAN(0,(TODAY()-'Proyecto Datos (OKR´s)'!$K62)/MAX(1,$R62-'Proyecto Datos (OKR´s)'!$K62),1),"")</f>
        <v/>
      </c>
      <c r="V62" s="163" t="str">
        <f t="shared" si="27"/>
        <v/>
      </c>
      <c r="W62" s="163" t="str">
        <f t="shared" ca="1" si="28"/>
        <v/>
      </c>
      <c r="X62" s="163" t="str">
        <f t="shared" si="29"/>
        <v/>
      </c>
      <c r="Y62" s="163" t="str">
        <f t="shared" si="30"/>
        <v/>
      </c>
      <c r="Z62" s="163" t="str">
        <f ca="1">IF($C62,AND($I62=0,'Proyecto Datos (OKR´s)'!$K62&lt;=TODAY(),$J62&lt;&gt;"Completado"),"")</f>
        <v/>
      </c>
      <c r="AA62" s="163" t="str">
        <f t="shared" si="31"/>
        <v/>
      </c>
      <c r="AB62" s="164" t="str">
        <f t="shared" si="32"/>
        <v/>
      </c>
      <c r="AC62" s="164" t="str">
        <f t="shared" si="33"/>
        <v/>
      </c>
      <c r="AD62" s="163" t="str">
        <f>IF($C62,IF($N62=9999,9999,IF($J62="Completado",$N62,MAX($N62,Sprints!$M$15))),"")</f>
        <v/>
      </c>
      <c r="AE62" s="163" t="str">
        <f t="shared" si="34"/>
        <v/>
      </c>
      <c r="AF62" s="163" t="b">
        <f t="shared" si="35"/>
        <v>0</v>
      </c>
      <c r="AG62" s="163" t="str">
        <f t="shared" si="36"/>
        <v/>
      </c>
      <c r="AH62" s="164" t="str">
        <f>IF($AF62,IF(Sprints!$I62&lt;&gt;"",Sprints!$I62,"Comprometida y no completada al cierre del Sprint "&amp;$N62),"")</f>
        <v/>
      </c>
      <c r="AI62" s="163" t="str">
        <f t="shared" si="37"/>
        <v/>
      </c>
      <c r="AJ62" s="163" t="str">
        <f t="shared" si="38"/>
        <v/>
      </c>
      <c r="AK62" s="163" t="str">
        <f t="shared" si="39"/>
        <v/>
      </c>
      <c r="AL62" s="163" t="str">
        <f t="shared" si="40"/>
        <v/>
      </c>
      <c r="AM62" s="163" t="str">
        <f t="shared" si="41"/>
        <v/>
      </c>
      <c r="AN62" s="164" t="str">
        <f t="shared" si="42"/>
        <v/>
      </c>
      <c r="AO62" s="163" t="str">
        <f>IF($C62,IFERROR(INDEX(Sprints!$M$6:$M$13,MATCH($N62,Sprints!$K$6:$K$13,0)),""),"")</f>
        <v/>
      </c>
      <c r="AP62" s="163" t="str">
        <f t="shared" ca="1" si="43"/>
        <v/>
      </c>
    </row>
    <row r="63" spans="1:42" x14ac:dyDescent="0.35">
      <c r="A63" s="163">
        <f>ROW()</f>
        <v>63</v>
      </c>
      <c r="B63" s="163" t="b">
        <f>ISTEXT('Proyecto Datos (OKR´s)'!$K63)</f>
        <v>0</v>
      </c>
      <c r="C63" s="163" t="b">
        <f>AND(LEN('Proyecto Datos (OKR´s)'!$G63)&gt;0,NOT($B63),OR(ISNUMBER('Proyecto Datos (OKR´s)'!$F63),ISNUMBER('Proyecto Datos (OKR´s)'!$L63)))</f>
        <v>0</v>
      </c>
      <c r="D63" s="164" t="str">
        <f>IF($C63,IFERROR(LOOKUP(2,1/((ISTEXT('Proyecto Datos (OKR´s)'!$K$7:$K63))*(LEN('Proyecto Datos (OKR´s)'!$G$7:$G63)&gt;0)),'Proyecto Datos (OKR´s)'!$G$7:$G63),""),"")</f>
        <v/>
      </c>
      <c r="E63" s="163" t="str">
        <f>IF($C63,'Proyecto Datos (OKR´s)'!$E63,"")</f>
        <v/>
      </c>
      <c r="F63" s="164" t="str">
        <f>IF($C63,'Proyecto Datos (OKR´s)'!$G63,"")</f>
        <v/>
      </c>
      <c r="G63" s="164" t="str">
        <f>IF($C63,IF('Proyecto Datos (OKR´s)'!$I63="","(Sin asignar)",'Proyecto Datos (OKR´s)'!$I63),"")</f>
        <v/>
      </c>
      <c r="H63" s="163" t="str">
        <f>IF($C63,IF(ISNUMBER('Proyecto Datos (OKR´s)'!$F63),'Proyecto Datos (OKR´s)'!$F63,'Proyecto Datos (OKR´s)'!$L63),"")</f>
        <v/>
      </c>
      <c r="I63" s="163" t="str">
        <f>IF($C63,'Proyecto Datos (OKR´s)'!$J63,"")</f>
        <v/>
      </c>
      <c r="J63" s="164" t="str">
        <f ca="1">IF($C63,IF($I63&gt;=1,"Completado",IF($H63&lt;TODAY(),"Vencido",IF(($H63-TODAY())&lt;='Entregas Próximas'!$M$3,"Próximo a vencer","En curso"))),"")</f>
        <v/>
      </c>
      <c r="K63" s="163" t="str">
        <f t="shared" ca="1" si="23"/>
        <v/>
      </c>
      <c r="L63" s="163" t="str">
        <f t="shared" si="24"/>
        <v/>
      </c>
      <c r="M63" s="163" t="str">
        <f t="shared" si="25"/>
        <v/>
      </c>
      <c r="N63" s="163" t="str">
        <f>IF($C63,IF('Proyecto Datos (OKR´s)'!$E63="",9999,'Proyecto Datos (OKR´s)'!$E63),"")</f>
        <v/>
      </c>
      <c r="O63" s="163" t="str">
        <f t="shared" si="26"/>
        <v/>
      </c>
      <c r="R63" s="163" t="str">
        <f>IF($C63,IF(ISNUMBER('Proyecto Datos (OKR´s)'!$L63),'Proyecto Datos (OKR´s)'!$L63,$H63),"")</f>
        <v/>
      </c>
      <c r="S63" s="163" t="str">
        <f>IF($C63,$R63-'Proyecto Datos (OKR´s)'!$K63+1,"")</f>
        <v/>
      </c>
      <c r="T63" s="163" t="str">
        <f ca="1">IF($C63,MAX(0,TODAY()-'Proyecto Datos (OKR´s)'!$K63),"")</f>
        <v/>
      </c>
      <c r="U63" s="163" t="str">
        <f ca="1">IF($C63,MEDIAN(0,(TODAY()-'Proyecto Datos (OKR´s)'!$K63)/MAX(1,$R63-'Proyecto Datos (OKR´s)'!$K63),1),"")</f>
        <v/>
      </c>
      <c r="V63" s="163" t="str">
        <f t="shared" si="27"/>
        <v/>
      </c>
      <c r="W63" s="163" t="str">
        <f t="shared" ca="1" si="28"/>
        <v/>
      </c>
      <c r="X63" s="163" t="str">
        <f t="shared" si="29"/>
        <v/>
      </c>
      <c r="Y63" s="163" t="str">
        <f t="shared" si="30"/>
        <v/>
      </c>
      <c r="Z63" s="163" t="str">
        <f ca="1">IF($C63,AND($I63=0,'Proyecto Datos (OKR´s)'!$K63&lt;=TODAY(),$J63&lt;&gt;"Completado"),"")</f>
        <v/>
      </c>
      <c r="AA63" s="163" t="str">
        <f t="shared" si="31"/>
        <v/>
      </c>
      <c r="AB63" s="164" t="str">
        <f t="shared" si="32"/>
        <v/>
      </c>
      <c r="AC63" s="164" t="str">
        <f t="shared" si="33"/>
        <v/>
      </c>
      <c r="AD63" s="163" t="str">
        <f>IF($C63,IF($N63=9999,9999,IF($J63="Completado",$N63,MAX($N63,Sprints!$M$15))),"")</f>
        <v/>
      </c>
      <c r="AE63" s="163" t="str">
        <f t="shared" si="34"/>
        <v/>
      </c>
      <c r="AF63" s="163" t="b">
        <f t="shared" si="35"/>
        <v>0</v>
      </c>
      <c r="AG63" s="163" t="str">
        <f t="shared" si="36"/>
        <v/>
      </c>
      <c r="AH63" s="164" t="str">
        <f>IF($AF63,IF(Sprints!$I63&lt;&gt;"",Sprints!$I63,"Comprometida y no completada al cierre del Sprint "&amp;$N63),"")</f>
        <v/>
      </c>
      <c r="AI63" s="163" t="str">
        <f t="shared" si="37"/>
        <v/>
      </c>
      <c r="AJ63" s="163" t="str">
        <f t="shared" si="38"/>
        <v/>
      </c>
      <c r="AK63" s="163" t="str">
        <f t="shared" si="39"/>
        <v/>
      </c>
      <c r="AL63" s="163" t="str">
        <f t="shared" si="40"/>
        <v/>
      </c>
      <c r="AM63" s="163" t="str">
        <f t="shared" si="41"/>
        <v/>
      </c>
      <c r="AN63" s="164" t="str">
        <f t="shared" si="42"/>
        <v/>
      </c>
      <c r="AO63" s="163" t="str">
        <f>IF($C63,IFERROR(INDEX(Sprints!$M$6:$M$13,MATCH($N63,Sprints!$K$6:$K$13,0)),""),"")</f>
        <v/>
      </c>
      <c r="AP63" s="163" t="str">
        <f t="shared" ca="1" si="43"/>
        <v/>
      </c>
    </row>
    <row r="64" spans="1:42" x14ac:dyDescent="0.35">
      <c r="A64" s="163">
        <f>ROW()</f>
        <v>64</v>
      </c>
      <c r="B64" s="163" t="b">
        <f>ISTEXT('Proyecto Datos (OKR´s)'!$K64)</f>
        <v>0</v>
      </c>
      <c r="C64" s="163" t="b">
        <f>AND(LEN('Proyecto Datos (OKR´s)'!$G64)&gt;0,NOT($B64),OR(ISNUMBER('Proyecto Datos (OKR´s)'!$F64),ISNUMBER('Proyecto Datos (OKR´s)'!$L64)))</f>
        <v>0</v>
      </c>
      <c r="D64" s="164" t="str">
        <f>IF($C64,IFERROR(LOOKUP(2,1/((ISTEXT('Proyecto Datos (OKR´s)'!$K$7:$K64))*(LEN('Proyecto Datos (OKR´s)'!$G$7:$G64)&gt;0)),'Proyecto Datos (OKR´s)'!$G$7:$G64),""),"")</f>
        <v/>
      </c>
      <c r="E64" s="163" t="str">
        <f>IF($C64,'Proyecto Datos (OKR´s)'!$E64,"")</f>
        <v/>
      </c>
      <c r="F64" s="164" t="str">
        <f>IF($C64,'Proyecto Datos (OKR´s)'!$G64,"")</f>
        <v/>
      </c>
      <c r="G64" s="164" t="str">
        <f>IF($C64,IF('Proyecto Datos (OKR´s)'!$I64="","(Sin asignar)",'Proyecto Datos (OKR´s)'!$I64),"")</f>
        <v/>
      </c>
      <c r="H64" s="163" t="str">
        <f>IF($C64,IF(ISNUMBER('Proyecto Datos (OKR´s)'!$F64),'Proyecto Datos (OKR´s)'!$F64,'Proyecto Datos (OKR´s)'!$L64),"")</f>
        <v/>
      </c>
      <c r="I64" s="163" t="str">
        <f>IF($C64,'Proyecto Datos (OKR´s)'!$J64,"")</f>
        <v/>
      </c>
      <c r="J64" s="164" t="str">
        <f ca="1">IF($C64,IF($I64&gt;=1,"Completado",IF($H64&lt;TODAY(),"Vencido",IF(($H64-TODAY())&lt;='Entregas Próximas'!$M$3,"Próximo a vencer","En curso"))),"")</f>
        <v/>
      </c>
      <c r="K64" s="163" t="str">
        <f t="shared" ca="1" si="23"/>
        <v/>
      </c>
      <c r="L64" s="163" t="str">
        <f t="shared" si="24"/>
        <v/>
      </c>
      <c r="M64" s="163" t="str">
        <f t="shared" si="25"/>
        <v/>
      </c>
      <c r="N64" s="163" t="str">
        <f>IF($C64,IF('Proyecto Datos (OKR´s)'!$E64="",9999,'Proyecto Datos (OKR´s)'!$E64),"")</f>
        <v/>
      </c>
      <c r="O64" s="163" t="str">
        <f t="shared" si="26"/>
        <v/>
      </c>
      <c r="R64" s="163" t="str">
        <f>IF($C64,IF(ISNUMBER('Proyecto Datos (OKR´s)'!$L64),'Proyecto Datos (OKR´s)'!$L64,$H64),"")</f>
        <v/>
      </c>
      <c r="S64" s="163" t="str">
        <f>IF($C64,$R64-'Proyecto Datos (OKR´s)'!$K64+1,"")</f>
        <v/>
      </c>
      <c r="T64" s="163" t="str">
        <f ca="1">IF($C64,MAX(0,TODAY()-'Proyecto Datos (OKR´s)'!$K64),"")</f>
        <v/>
      </c>
      <c r="U64" s="163" t="str">
        <f ca="1">IF($C64,MEDIAN(0,(TODAY()-'Proyecto Datos (OKR´s)'!$K64)/MAX(1,$R64-'Proyecto Datos (OKR´s)'!$K64),1),"")</f>
        <v/>
      </c>
      <c r="V64" s="163" t="str">
        <f t="shared" si="27"/>
        <v/>
      </c>
      <c r="W64" s="163" t="str">
        <f t="shared" ca="1" si="28"/>
        <v/>
      </c>
      <c r="X64" s="163" t="str">
        <f t="shared" si="29"/>
        <v/>
      </c>
      <c r="Y64" s="163" t="str">
        <f t="shared" si="30"/>
        <v/>
      </c>
      <c r="Z64" s="163" t="str">
        <f ca="1">IF($C64,AND($I64=0,'Proyecto Datos (OKR´s)'!$K64&lt;=TODAY(),$J64&lt;&gt;"Completado"),"")</f>
        <v/>
      </c>
      <c r="AA64" s="163" t="str">
        <f t="shared" si="31"/>
        <v/>
      </c>
      <c r="AB64" s="164" t="str">
        <f t="shared" si="32"/>
        <v/>
      </c>
      <c r="AC64" s="164" t="str">
        <f t="shared" si="33"/>
        <v/>
      </c>
      <c r="AD64" s="163" t="str">
        <f>IF($C64,IF($N64=9999,9999,IF($J64="Completado",$N64,MAX($N64,Sprints!$M$15))),"")</f>
        <v/>
      </c>
      <c r="AE64" s="163" t="str">
        <f t="shared" si="34"/>
        <v/>
      </c>
      <c r="AF64" s="163" t="b">
        <f t="shared" si="35"/>
        <v>0</v>
      </c>
      <c r="AG64" s="163" t="str">
        <f t="shared" si="36"/>
        <v/>
      </c>
      <c r="AH64" s="164" t="str">
        <f>IF($AF64,IF(Sprints!$I64&lt;&gt;"",Sprints!$I64,"Comprometida y no completada al cierre del Sprint "&amp;$N64),"")</f>
        <v/>
      </c>
      <c r="AI64" s="163" t="str">
        <f t="shared" si="37"/>
        <v/>
      </c>
      <c r="AJ64" s="163" t="str">
        <f t="shared" si="38"/>
        <v/>
      </c>
      <c r="AK64" s="163" t="str">
        <f t="shared" si="39"/>
        <v/>
      </c>
      <c r="AL64" s="163" t="str">
        <f t="shared" si="40"/>
        <v/>
      </c>
      <c r="AM64" s="163" t="str">
        <f t="shared" si="41"/>
        <v/>
      </c>
      <c r="AN64" s="164" t="str">
        <f t="shared" si="42"/>
        <v/>
      </c>
      <c r="AO64" s="163" t="str">
        <f>IF($C64,IFERROR(INDEX(Sprints!$M$6:$M$13,MATCH($N64,Sprints!$K$6:$K$13,0)),""),"")</f>
        <v/>
      </c>
      <c r="AP64" s="163" t="str">
        <f t="shared" ca="1" si="43"/>
        <v/>
      </c>
    </row>
    <row r="65" spans="1:42" x14ac:dyDescent="0.35">
      <c r="A65" s="163">
        <f>ROW()</f>
        <v>65</v>
      </c>
      <c r="B65" s="163" t="b">
        <f>ISTEXT('Proyecto Datos (OKR´s)'!$K65)</f>
        <v>0</v>
      </c>
      <c r="C65" s="163" t="b">
        <f>AND(LEN('Proyecto Datos (OKR´s)'!$G65)&gt;0,NOT($B65),OR(ISNUMBER('Proyecto Datos (OKR´s)'!$F65),ISNUMBER('Proyecto Datos (OKR´s)'!$L65)))</f>
        <v>0</v>
      </c>
      <c r="D65" s="164" t="str">
        <f>IF($C65,IFERROR(LOOKUP(2,1/((ISTEXT('Proyecto Datos (OKR´s)'!$K$7:$K65))*(LEN('Proyecto Datos (OKR´s)'!$G$7:$G65)&gt;0)),'Proyecto Datos (OKR´s)'!$G$7:$G65),""),"")</f>
        <v/>
      </c>
      <c r="E65" s="163" t="str">
        <f>IF($C65,'Proyecto Datos (OKR´s)'!$E65,"")</f>
        <v/>
      </c>
      <c r="F65" s="164" t="str">
        <f>IF($C65,'Proyecto Datos (OKR´s)'!$G65,"")</f>
        <v/>
      </c>
      <c r="G65" s="164" t="str">
        <f>IF($C65,IF('Proyecto Datos (OKR´s)'!$I65="","(Sin asignar)",'Proyecto Datos (OKR´s)'!$I65),"")</f>
        <v/>
      </c>
      <c r="H65" s="163" t="str">
        <f>IF($C65,IF(ISNUMBER('Proyecto Datos (OKR´s)'!$F65),'Proyecto Datos (OKR´s)'!$F65,'Proyecto Datos (OKR´s)'!$L65),"")</f>
        <v/>
      </c>
      <c r="I65" s="163" t="str">
        <f>IF($C65,'Proyecto Datos (OKR´s)'!$J65,"")</f>
        <v/>
      </c>
      <c r="J65" s="164" t="str">
        <f ca="1">IF($C65,IF($I65&gt;=1,"Completado",IF($H65&lt;TODAY(),"Vencido",IF(($H65-TODAY())&lt;='Entregas Próximas'!$M$3,"Próximo a vencer","En curso"))),"")</f>
        <v/>
      </c>
      <c r="K65" s="163" t="str">
        <f t="shared" ca="1" si="23"/>
        <v/>
      </c>
      <c r="L65" s="163" t="str">
        <f t="shared" si="24"/>
        <v/>
      </c>
      <c r="M65" s="163" t="str">
        <f t="shared" si="25"/>
        <v/>
      </c>
      <c r="N65" s="163" t="str">
        <f>IF($C65,IF('Proyecto Datos (OKR´s)'!$E65="",9999,'Proyecto Datos (OKR´s)'!$E65),"")</f>
        <v/>
      </c>
      <c r="O65" s="163" t="str">
        <f t="shared" si="26"/>
        <v/>
      </c>
      <c r="R65" s="163" t="str">
        <f>IF($C65,IF(ISNUMBER('Proyecto Datos (OKR´s)'!$L65),'Proyecto Datos (OKR´s)'!$L65,$H65),"")</f>
        <v/>
      </c>
      <c r="S65" s="163" t="str">
        <f>IF($C65,$R65-'Proyecto Datos (OKR´s)'!$K65+1,"")</f>
        <v/>
      </c>
      <c r="T65" s="163" t="str">
        <f ca="1">IF($C65,MAX(0,TODAY()-'Proyecto Datos (OKR´s)'!$K65),"")</f>
        <v/>
      </c>
      <c r="U65" s="163" t="str">
        <f ca="1">IF($C65,MEDIAN(0,(TODAY()-'Proyecto Datos (OKR´s)'!$K65)/MAX(1,$R65-'Proyecto Datos (OKR´s)'!$K65),1),"")</f>
        <v/>
      </c>
      <c r="V65" s="163" t="str">
        <f t="shared" si="27"/>
        <v/>
      </c>
      <c r="W65" s="163" t="str">
        <f t="shared" ca="1" si="28"/>
        <v/>
      </c>
      <c r="X65" s="163" t="str">
        <f t="shared" si="29"/>
        <v/>
      </c>
      <c r="Y65" s="163" t="str">
        <f t="shared" si="30"/>
        <v/>
      </c>
      <c r="Z65" s="163" t="str">
        <f ca="1">IF($C65,AND($I65=0,'Proyecto Datos (OKR´s)'!$K65&lt;=TODAY(),$J65&lt;&gt;"Completado"),"")</f>
        <v/>
      </c>
      <c r="AA65" s="163" t="str">
        <f t="shared" si="31"/>
        <v/>
      </c>
      <c r="AB65" s="164" t="str">
        <f t="shared" si="32"/>
        <v/>
      </c>
      <c r="AC65" s="164" t="str">
        <f t="shared" si="33"/>
        <v/>
      </c>
      <c r="AD65" s="163" t="str">
        <f>IF($C65,IF($N65=9999,9999,IF($J65="Completado",$N65,MAX($N65,Sprints!$M$15))),"")</f>
        <v/>
      </c>
      <c r="AE65" s="163" t="str">
        <f t="shared" si="34"/>
        <v/>
      </c>
      <c r="AF65" s="163" t="b">
        <f t="shared" si="35"/>
        <v>0</v>
      </c>
      <c r="AG65" s="163" t="str">
        <f t="shared" si="36"/>
        <v/>
      </c>
      <c r="AH65" s="164" t="str">
        <f>IF($AF65,IF(Sprints!$I65&lt;&gt;"",Sprints!$I65,"Comprometida y no completada al cierre del Sprint "&amp;$N65),"")</f>
        <v/>
      </c>
      <c r="AI65" s="163" t="str">
        <f t="shared" si="37"/>
        <v/>
      </c>
      <c r="AJ65" s="163" t="str">
        <f t="shared" si="38"/>
        <v/>
      </c>
      <c r="AK65" s="163" t="str">
        <f t="shared" si="39"/>
        <v/>
      </c>
      <c r="AL65" s="163" t="str">
        <f t="shared" si="40"/>
        <v/>
      </c>
      <c r="AM65" s="163" t="str">
        <f t="shared" si="41"/>
        <v/>
      </c>
      <c r="AN65" s="164" t="str">
        <f t="shared" si="42"/>
        <v/>
      </c>
      <c r="AO65" s="163" t="str">
        <f>IF($C65,IFERROR(INDEX(Sprints!$M$6:$M$13,MATCH($N65,Sprints!$K$6:$K$13,0)),""),"")</f>
        <v/>
      </c>
      <c r="AP65" s="163" t="str">
        <f t="shared" ca="1" si="43"/>
        <v/>
      </c>
    </row>
    <row r="66" spans="1:42" x14ac:dyDescent="0.35">
      <c r="A66" s="163">
        <f>ROW()</f>
        <v>66</v>
      </c>
      <c r="B66" s="163" t="b">
        <f>ISTEXT('Proyecto Datos (OKR´s)'!$K66)</f>
        <v>0</v>
      </c>
      <c r="C66" s="163" t="b">
        <f>AND(LEN('Proyecto Datos (OKR´s)'!$G66)&gt;0,NOT($B66),OR(ISNUMBER('Proyecto Datos (OKR´s)'!$F66),ISNUMBER('Proyecto Datos (OKR´s)'!$L66)))</f>
        <v>0</v>
      </c>
      <c r="D66" s="164" t="str">
        <f>IF($C66,IFERROR(LOOKUP(2,1/((ISTEXT('Proyecto Datos (OKR´s)'!$K$7:$K66))*(LEN('Proyecto Datos (OKR´s)'!$G$7:$G66)&gt;0)),'Proyecto Datos (OKR´s)'!$G$7:$G66),""),"")</f>
        <v/>
      </c>
      <c r="E66" s="163" t="str">
        <f>IF($C66,'Proyecto Datos (OKR´s)'!$E66,"")</f>
        <v/>
      </c>
      <c r="F66" s="164" t="str">
        <f>IF($C66,'Proyecto Datos (OKR´s)'!$G66,"")</f>
        <v/>
      </c>
      <c r="G66" s="164" t="str">
        <f>IF($C66,IF('Proyecto Datos (OKR´s)'!$I66="","(Sin asignar)",'Proyecto Datos (OKR´s)'!$I66),"")</f>
        <v/>
      </c>
      <c r="H66" s="163" t="str">
        <f>IF($C66,IF(ISNUMBER('Proyecto Datos (OKR´s)'!$F66),'Proyecto Datos (OKR´s)'!$F66,'Proyecto Datos (OKR´s)'!$L66),"")</f>
        <v/>
      </c>
      <c r="I66" s="163" t="str">
        <f>IF($C66,'Proyecto Datos (OKR´s)'!$J66,"")</f>
        <v/>
      </c>
      <c r="J66" s="164" t="str">
        <f ca="1">IF($C66,IF($I66&gt;=1,"Completado",IF($H66&lt;TODAY(),"Vencido",IF(($H66-TODAY())&lt;='Entregas Próximas'!$M$3,"Próximo a vencer","En curso"))),"")</f>
        <v/>
      </c>
      <c r="K66" s="163" t="str">
        <f t="shared" ca="1" si="23"/>
        <v/>
      </c>
      <c r="L66" s="163" t="str">
        <f t="shared" si="24"/>
        <v/>
      </c>
      <c r="M66" s="163" t="str">
        <f t="shared" si="25"/>
        <v/>
      </c>
      <c r="N66" s="163" t="str">
        <f>IF($C66,IF('Proyecto Datos (OKR´s)'!$E66="",9999,'Proyecto Datos (OKR´s)'!$E66),"")</f>
        <v/>
      </c>
      <c r="O66" s="163" t="str">
        <f t="shared" si="26"/>
        <v/>
      </c>
      <c r="R66" s="163" t="str">
        <f>IF($C66,IF(ISNUMBER('Proyecto Datos (OKR´s)'!$L66),'Proyecto Datos (OKR´s)'!$L66,$H66),"")</f>
        <v/>
      </c>
      <c r="S66" s="163" t="str">
        <f>IF($C66,$R66-'Proyecto Datos (OKR´s)'!$K66+1,"")</f>
        <v/>
      </c>
      <c r="T66" s="163" t="str">
        <f ca="1">IF($C66,MAX(0,TODAY()-'Proyecto Datos (OKR´s)'!$K66),"")</f>
        <v/>
      </c>
      <c r="U66" s="163" t="str">
        <f ca="1">IF($C66,MEDIAN(0,(TODAY()-'Proyecto Datos (OKR´s)'!$K66)/MAX(1,$R66-'Proyecto Datos (OKR´s)'!$K66),1),"")</f>
        <v/>
      </c>
      <c r="V66" s="163" t="str">
        <f t="shared" si="27"/>
        <v/>
      </c>
      <c r="W66" s="163" t="str">
        <f t="shared" ca="1" si="28"/>
        <v/>
      </c>
      <c r="X66" s="163" t="str">
        <f t="shared" si="29"/>
        <v/>
      </c>
      <c r="Y66" s="163" t="str">
        <f t="shared" si="30"/>
        <v/>
      </c>
      <c r="Z66" s="163" t="str">
        <f ca="1">IF($C66,AND($I66=0,'Proyecto Datos (OKR´s)'!$K66&lt;=TODAY(),$J66&lt;&gt;"Completado"),"")</f>
        <v/>
      </c>
      <c r="AA66" s="163" t="str">
        <f t="shared" si="31"/>
        <v/>
      </c>
      <c r="AB66" s="164" t="str">
        <f t="shared" si="32"/>
        <v/>
      </c>
      <c r="AC66" s="164" t="str">
        <f t="shared" si="33"/>
        <v/>
      </c>
      <c r="AD66" s="163" t="str">
        <f>IF($C66,IF($N66=9999,9999,IF($J66="Completado",$N66,MAX($N66,Sprints!$M$15))),"")</f>
        <v/>
      </c>
      <c r="AE66" s="163" t="str">
        <f t="shared" si="34"/>
        <v/>
      </c>
      <c r="AF66" s="163" t="b">
        <f t="shared" si="35"/>
        <v>0</v>
      </c>
      <c r="AG66" s="163" t="str">
        <f t="shared" si="36"/>
        <v/>
      </c>
      <c r="AH66" s="164" t="str">
        <f>IF($AF66,IF(Sprints!$I66&lt;&gt;"",Sprints!$I66,"Comprometida y no completada al cierre del Sprint "&amp;$N66),"")</f>
        <v/>
      </c>
      <c r="AI66" s="163" t="str">
        <f t="shared" si="37"/>
        <v/>
      </c>
      <c r="AJ66" s="163" t="str">
        <f t="shared" si="38"/>
        <v/>
      </c>
      <c r="AK66" s="163" t="str">
        <f t="shared" si="39"/>
        <v/>
      </c>
      <c r="AL66" s="163" t="str">
        <f t="shared" si="40"/>
        <v/>
      </c>
      <c r="AM66" s="163" t="str">
        <f t="shared" si="41"/>
        <v/>
      </c>
      <c r="AN66" s="164" t="str">
        <f t="shared" si="42"/>
        <v/>
      </c>
      <c r="AO66" s="163" t="str">
        <f>IF($C66,IFERROR(INDEX(Sprints!$M$6:$M$13,MATCH($N66,Sprints!$K$6:$K$13,0)),""),"")</f>
        <v/>
      </c>
      <c r="AP66" s="163" t="str">
        <f t="shared" ca="1" si="43"/>
        <v/>
      </c>
    </row>
    <row r="67" spans="1:42" x14ac:dyDescent="0.35">
      <c r="A67" s="163">
        <f>ROW()</f>
        <v>67</v>
      </c>
      <c r="B67" s="163" t="b">
        <f>ISTEXT('Proyecto Datos (OKR´s)'!$K67)</f>
        <v>0</v>
      </c>
      <c r="C67" s="163" t="b">
        <f>AND(LEN('Proyecto Datos (OKR´s)'!$G67)&gt;0,NOT($B67),OR(ISNUMBER('Proyecto Datos (OKR´s)'!$F67),ISNUMBER('Proyecto Datos (OKR´s)'!$L67)))</f>
        <v>0</v>
      </c>
      <c r="D67" s="164" t="str">
        <f>IF($C67,IFERROR(LOOKUP(2,1/((ISTEXT('Proyecto Datos (OKR´s)'!$K$7:$K67))*(LEN('Proyecto Datos (OKR´s)'!$G$7:$G67)&gt;0)),'Proyecto Datos (OKR´s)'!$G$7:$G67),""),"")</f>
        <v/>
      </c>
      <c r="E67" s="163" t="str">
        <f>IF($C67,'Proyecto Datos (OKR´s)'!$E67,"")</f>
        <v/>
      </c>
      <c r="F67" s="164" t="str">
        <f>IF($C67,'Proyecto Datos (OKR´s)'!$G67,"")</f>
        <v/>
      </c>
      <c r="G67" s="164" t="str">
        <f>IF($C67,IF('Proyecto Datos (OKR´s)'!$I67="","(Sin asignar)",'Proyecto Datos (OKR´s)'!$I67),"")</f>
        <v/>
      </c>
      <c r="H67" s="163" t="str">
        <f>IF($C67,IF(ISNUMBER('Proyecto Datos (OKR´s)'!$F67),'Proyecto Datos (OKR´s)'!$F67,'Proyecto Datos (OKR´s)'!$L67),"")</f>
        <v/>
      </c>
      <c r="I67" s="163" t="str">
        <f>IF($C67,'Proyecto Datos (OKR´s)'!$J67,"")</f>
        <v/>
      </c>
      <c r="J67" s="164" t="str">
        <f ca="1">IF($C67,IF($I67&gt;=1,"Completado",IF($H67&lt;TODAY(),"Vencido",IF(($H67-TODAY())&lt;='Entregas Próximas'!$M$3,"Próximo a vencer","En curso"))),"")</f>
        <v/>
      </c>
      <c r="K67" s="163" t="str">
        <f t="shared" ca="1" si="23"/>
        <v/>
      </c>
      <c r="L67" s="163" t="str">
        <f t="shared" si="24"/>
        <v/>
      </c>
      <c r="M67" s="163" t="str">
        <f t="shared" si="25"/>
        <v/>
      </c>
      <c r="N67" s="163" t="str">
        <f>IF($C67,IF('Proyecto Datos (OKR´s)'!$E67="",9999,'Proyecto Datos (OKR´s)'!$E67),"")</f>
        <v/>
      </c>
      <c r="O67" s="163" t="str">
        <f t="shared" si="26"/>
        <v/>
      </c>
      <c r="R67" s="163" t="str">
        <f>IF($C67,IF(ISNUMBER('Proyecto Datos (OKR´s)'!$L67),'Proyecto Datos (OKR´s)'!$L67,$H67),"")</f>
        <v/>
      </c>
      <c r="S67" s="163" t="str">
        <f>IF($C67,$R67-'Proyecto Datos (OKR´s)'!$K67+1,"")</f>
        <v/>
      </c>
      <c r="T67" s="163" t="str">
        <f ca="1">IF($C67,MAX(0,TODAY()-'Proyecto Datos (OKR´s)'!$K67),"")</f>
        <v/>
      </c>
      <c r="U67" s="163" t="str">
        <f ca="1">IF($C67,MEDIAN(0,(TODAY()-'Proyecto Datos (OKR´s)'!$K67)/MAX(1,$R67-'Proyecto Datos (OKR´s)'!$K67),1),"")</f>
        <v/>
      </c>
      <c r="V67" s="163" t="str">
        <f t="shared" si="27"/>
        <v/>
      </c>
      <c r="W67" s="163" t="str">
        <f t="shared" ca="1" si="28"/>
        <v/>
      </c>
      <c r="X67" s="163" t="str">
        <f t="shared" si="29"/>
        <v/>
      </c>
      <c r="Y67" s="163" t="str">
        <f t="shared" si="30"/>
        <v/>
      </c>
      <c r="Z67" s="163" t="str">
        <f ca="1">IF($C67,AND($I67=0,'Proyecto Datos (OKR´s)'!$K67&lt;=TODAY(),$J67&lt;&gt;"Completado"),"")</f>
        <v/>
      </c>
      <c r="AA67" s="163" t="str">
        <f t="shared" si="31"/>
        <v/>
      </c>
      <c r="AB67" s="164" t="str">
        <f t="shared" si="32"/>
        <v/>
      </c>
      <c r="AC67" s="164" t="str">
        <f t="shared" si="33"/>
        <v/>
      </c>
      <c r="AD67" s="163" t="str">
        <f>IF($C67,IF($N67=9999,9999,IF($J67="Completado",$N67,MAX($N67,Sprints!$M$15))),"")</f>
        <v/>
      </c>
      <c r="AE67" s="163" t="str">
        <f t="shared" si="34"/>
        <v/>
      </c>
      <c r="AF67" s="163" t="b">
        <f t="shared" si="35"/>
        <v>0</v>
      </c>
      <c r="AG67" s="163" t="str">
        <f t="shared" si="36"/>
        <v/>
      </c>
      <c r="AH67" s="164" t="str">
        <f>IF($AF67,IF(Sprints!$I67&lt;&gt;"",Sprints!$I67,"Comprometida y no completada al cierre del Sprint "&amp;$N67),"")</f>
        <v/>
      </c>
      <c r="AI67" s="163" t="str">
        <f t="shared" si="37"/>
        <v/>
      </c>
      <c r="AJ67" s="163" t="str">
        <f t="shared" si="38"/>
        <v/>
      </c>
      <c r="AK67" s="163" t="str">
        <f t="shared" si="39"/>
        <v/>
      </c>
      <c r="AL67" s="163" t="str">
        <f t="shared" si="40"/>
        <v/>
      </c>
      <c r="AM67" s="163" t="str">
        <f t="shared" si="41"/>
        <v/>
      </c>
      <c r="AN67" s="164" t="str">
        <f t="shared" si="42"/>
        <v/>
      </c>
      <c r="AO67" s="163" t="str">
        <f>IF($C67,IFERROR(INDEX(Sprints!$M$6:$M$13,MATCH($N67,Sprints!$K$6:$K$13,0)),""),"")</f>
        <v/>
      </c>
      <c r="AP67" s="163" t="str">
        <f t="shared" ca="1" si="43"/>
        <v/>
      </c>
    </row>
    <row r="68" spans="1:42" x14ac:dyDescent="0.35">
      <c r="A68" s="163">
        <f>ROW()</f>
        <v>68</v>
      </c>
      <c r="B68" s="163" t="b">
        <f>ISTEXT('Proyecto Datos (OKR´s)'!$K68)</f>
        <v>0</v>
      </c>
      <c r="C68" s="163" t="b">
        <f>AND(LEN('Proyecto Datos (OKR´s)'!$G68)&gt;0,NOT($B68),OR(ISNUMBER('Proyecto Datos (OKR´s)'!$F68),ISNUMBER('Proyecto Datos (OKR´s)'!$L68)))</f>
        <v>0</v>
      </c>
      <c r="D68" s="164" t="str">
        <f>IF($C68,IFERROR(LOOKUP(2,1/((ISTEXT('Proyecto Datos (OKR´s)'!$K$7:$K68))*(LEN('Proyecto Datos (OKR´s)'!$G$7:$G68)&gt;0)),'Proyecto Datos (OKR´s)'!$G$7:$G68),""),"")</f>
        <v/>
      </c>
      <c r="E68" s="163" t="str">
        <f>IF($C68,'Proyecto Datos (OKR´s)'!$E68,"")</f>
        <v/>
      </c>
      <c r="F68" s="164" t="str">
        <f>IF($C68,'Proyecto Datos (OKR´s)'!$G68,"")</f>
        <v/>
      </c>
      <c r="G68" s="164" t="str">
        <f>IF($C68,IF('Proyecto Datos (OKR´s)'!$I68="","(Sin asignar)",'Proyecto Datos (OKR´s)'!$I68),"")</f>
        <v/>
      </c>
      <c r="H68" s="163" t="str">
        <f>IF($C68,IF(ISNUMBER('Proyecto Datos (OKR´s)'!$F68),'Proyecto Datos (OKR´s)'!$F68,'Proyecto Datos (OKR´s)'!$L68),"")</f>
        <v/>
      </c>
      <c r="I68" s="163" t="str">
        <f>IF($C68,'Proyecto Datos (OKR´s)'!$J68,"")</f>
        <v/>
      </c>
      <c r="J68" s="164" t="str">
        <f ca="1">IF($C68,IF($I68&gt;=1,"Completado",IF($H68&lt;TODAY(),"Vencido",IF(($H68-TODAY())&lt;='Entregas Próximas'!$M$3,"Próximo a vencer","En curso"))),"")</f>
        <v/>
      </c>
      <c r="K68" s="163" t="str">
        <f t="shared" ca="1" si="23"/>
        <v/>
      </c>
      <c r="L68" s="163" t="str">
        <f t="shared" si="24"/>
        <v/>
      </c>
      <c r="M68" s="163" t="str">
        <f t="shared" si="25"/>
        <v/>
      </c>
      <c r="N68" s="163" t="str">
        <f>IF($C68,IF('Proyecto Datos (OKR´s)'!$E68="",9999,'Proyecto Datos (OKR´s)'!$E68),"")</f>
        <v/>
      </c>
      <c r="O68" s="163" t="str">
        <f t="shared" si="26"/>
        <v/>
      </c>
      <c r="R68" s="163" t="str">
        <f>IF($C68,IF(ISNUMBER('Proyecto Datos (OKR´s)'!$L68),'Proyecto Datos (OKR´s)'!$L68,$H68),"")</f>
        <v/>
      </c>
      <c r="S68" s="163" t="str">
        <f>IF($C68,$R68-'Proyecto Datos (OKR´s)'!$K68+1,"")</f>
        <v/>
      </c>
      <c r="T68" s="163" t="str">
        <f ca="1">IF($C68,MAX(0,TODAY()-'Proyecto Datos (OKR´s)'!$K68),"")</f>
        <v/>
      </c>
      <c r="U68" s="163" t="str">
        <f ca="1">IF($C68,MEDIAN(0,(TODAY()-'Proyecto Datos (OKR´s)'!$K68)/MAX(1,$R68-'Proyecto Datos (OKR´s)'!$K68),1),"")</f>
        <v/>
      </c>
      <c r="V68" s="163" t="str">
        <f t="shared" si="27"/>
        <v/>
      </c>
      <c r="W68" s="163" t="str">
        <f t="shared" ca="1" si="28"/>
        <v/>
      </c>
      <c r="X68" s="163" t="str">
        <f t="shared" si="29"/>
        <v/>
      </c>
      <c r="Y68" s="163" t="str">
        <f t="shared" si="30"/>
        <v/>
      </c>
      <c r="Z68" s="163" t="str">
        <f ca="1">IF($C68,AND($I68=0,'Proyecto Datos (OKR´s)'!$K68&lt;=TODAY(),$J68&lt;&gt;"Completado"),"")</f>
        <v/>
      </c>
      <c r="AA68" s="163" t="str">
        <f t="shared" si="31"/>
        <v/>
      </c>
      <c r="AB68" s="164" t="str">
        <f t="shared" si="32"/>
        <v/>
      </c>
      <c r="AC68" s="164" t="str">
        <f t="shared" si="33"/>
        <v/>
      </c>
      <c r="AD68" s="163" t="str">
        <f>IF($C68,IF($N68=9999,9999,IF($J68="Completado",$N68,MAX($N68,Sprints!$M$15))),"")</f>
        <v/>
      </c>
      <c r="AE68" s="163" t="str">
        <f t="shared" si="34"/>
        <v/>
      </c>
      <c r="AF68" s="163" t="b">
        <f t="shared" si="35"/>
        <v>0</v>
      </c>
      <c r="AG68" s="163" t="str">
        <f t="shared" si="36"/>
        <v/>
      </c>
      <c r="AH68" s="164" t="str">
        <f>IF($AF68,IF(Sprints!$I68&lt;&gt;"",Sprints!$I68,"Comprometida y no completada al cierre del Sprint "&amp;$N68),"")</f>
        <v/>
      </c>
      <c r="AI68" s="163" t="str">
        <f t="shared" si="37"/>
        <v/>
      </c>
      <c r="AJ68" s="163" t="str">
        <f t="shared" si="38"/>
        <v/>
      </c>
      <c r="AK68" s="163" t="str">
        <f t="shared" si="39"/>
        <v/>
      </c>
      <c r="AL68" s="163" t="str">
        <f t="shared" si="40"/>
        <v/>
      </c>
      <c r="AM68" s="163" t="str">
        <f t="shared" si="41"/>
        <v/>
      </c>
      <c r="AN68" s="164" t="str">
        <f t="shared" si="42"/>
        <v/>
      </c>
      <c r="AO68" s="163" t="str">
        <f>IF($C68,IFERROR(INDEX(Sprints!$M$6:$M$13,MATCH($N68,Sprints!$K$6:$K$13,0)),""),"")</f>
        <v/>
      </c>
      <c r="AP68" s="163" t="str">
        <f t="shared" ca="1" si="43"/>
        <v/>
      </c>
    </row>
    <row r="69" spans="1:42" x14ac:dyDescent="0.35">
      <c r="A69" s="163">
        <f>ROW()</f>
        <v>69</v>
      </c>
      <c r="B69" s="163" t="b">
        <f>ISTEXT('Proyecto Datos (OKR´s)'!$K69)</f>
        <v>0</v>
      </c>
      <c r="C69" s="163" t="b">
        <f>AND(LEN('Proyecto Datos (OKR´s)'!$G69)&gt;0,NOT($B69),OR(ISNUMBER('Proyecto Datos (OKR´s)'!$F69),ISNUMBER('Proyecto Datos (OKR´s)'!$L69)))</f>
        <v>0</v>
      </c>
      <c r="D69" s="164" t="str">
        <f>IF($C69,IFERROR(LOOKUP(2,1/((ISTEXT('Proyecto Datos (OKR´s)'!$K$7:$K69))*(LEN('Proyecto Datos (OKR´s)'!$G$7:$G69)&gt;0)),'Proyecto Datos (OKR´s)'!$G$7:$G69),""),"")</f>
        <v/>
      </c>
      <c r="E69" s="163" t="str">
        <f>IF($C69,'Proyecto Datos (OKR´s)'!$E69,"")</f>
        <v/>
      </c>
      <c r="F69" s="164" t="str">
        <f>IF($C69,'Proyecto Datos (OKR´s)'!$G69,"")</f>
        <v/>
      </c>
      <c r="G69" s="164" t="str">
        <f>IF($C69,IF('Proyecto Datos (OKR´s)'!$I69="","(Sin asignar)",'Proyecto Datos (OKR´s)'!$I69),"")</f>
        <v/>
      </c>
      <c r="H69" s="163" t="str">
        <f>IF($C69,IF(ISNUMBER('Proyecto Datos (OKR´s)'!$F69),'Proyecto Datos (OKR´s)'!$F69,'Proyecto Datos (OKR´s)'!$L69),"")</f>
        <v/>
      </c>
      <c r="I69" s="163" t="str">
        <f>IF($C69,'Proyecto Datos (OKR´s)'!$J69,"")</f>
        <v/>
      </c>
      <c r="J69" s="164" t="str">
        <f ca="1">IF($C69,IF($I69&gt;=1,"Completado",IF($H69&lt;TODAY(),"Vencido",IF(($H69-TODAY())&lt;='Entregas Próximas'!$M$3,"Próximo a vencer","En curso"))),"")</f>
        <v/>
      </c>
      <c r="K69" s="163" t="str">
        <f t="shared" ca="1" si="23"/>
        <v/>
      </c>
      <c r="L69" s="163" t="str">
        <f t="shared" si="24"/>
        <v/>
      </c>
      <c r="M69" s="163" t="str">
        <f t="shared" si="25"/>
        <v/>
      </c>
      <c r="N69" s="163" t="str">
        <f>IF($C69,IF('Proyecto Datos (OKR´s)'!$E69="",9999,'Proyecto Datos (OKR´s)'!$E69),"")</f>
        <v/>
      </c>
      <c r="O69" s="163" t="str">
        <f t="shared" si="26"/>
        <v/>
      </c>
      <c r="R69" s="163" t="str">
        <f>IF($C69,IF(ISNUMBER('Proyecto Datos (OKR´s)'!$L69),'Proyecto Datos (OKR´s)'!$L69,$H69),"")</f>
        <v/>
      </c>
      <c r="S69" s="163" t="str">
        <f>IF($C69,$R69-'Proyecto Datos (OKR´s)'!$K69+1,"")</f>
        <v/>
      </c>
      <c r="T69" s="163" t="str">
        <f ca="1">IF($C69,MAX(0,TODAY()-'Proyecto Datos (OKR´s)'!$K69),"")</f>
        <v/>
      </c>
      <c r="U69" s="163" t="str">
        <f ca="1">IF($C69,MEDIAN(0,(TODAY()-'Proyecto Datos (OKR´s)'!$K69)/MAX(1,$R69-'Proyecto Datos (OKR´s)'!$K69),1),"")</f>
        <v/>
      </c>
      <c r="V69" s="163" t="str">
        <f t="shared" si="27"/>
        <v/>
      </c>
      <c r="W69" s="163" t="str">
        <f t="shared" ca="1" si="28"/>
        <v/>
      </c>
      <c r="X69" s="163" t="str">
        <f t="shared" si="29"/>
        <v/>
      </c>
      <c r="Y69" s="163" t="str">
        <f t="shared" si="30"/>
        <v/>
      </c>
      <c r="Z69" s="163" t="str">
        <f ca="1">IF($C69,AND($I69=0,'Proyecto Datos (OKR´s)'!$K69&lt;=TODAY(),$J69&lt;&gt;"Completado"),"")</f>
        <v/>
      </c>
      <c r="AA69" s="163" t="str">
        <f t="shared" si="31"/>
        <v/>
      </c>
      <c r="AB69" s="164" t="str">
        <f t="shared" si="32"/>
        <v/>
      </c>
      <c r="AC69" s="164" t="str">
        <f t="shared" si="33"/>
        <v/>
      </c>
      <c r="AD69" s="163" t="str">
        <f>IF($C69,IF($N69=9999,9999,IF($J69="Completado",$N69,MAX($N69,Sprints!$M$15))),"")</f>
        <v/>
      </c>
      <c r="AE69" s="163" t="str">
        <f t="shared" si="34"/>
        <v/>
      </c>
      <c r="AF69" s="163" t="b">
        <f t="shared" si="35"/>
        <v>0</v>
      </c>
      <c r="AG69" s="163" t="str">
        <f t="shared" si="36"/>
        <v/>
      </c>
      <c r="AH69" s="164" t="str">
        <f>IF($AF69,IF(Sprints!$I69&lt;&gt;"",Sprints!$I69,"Comprometida y no completada al cierre del Sprint "&amp;$N69),"")</f>
        <v/>
      </c>
      <c r="AI69" s="163" t="str">
        <f t="shared" si="37"/>
        <v/>
      </c>
      <c r="AJ69" s="163" t="str">
        <f t="shared" si="38"/>
        <v/>
      </c>
      <c r="AK69" s="163" t="str">
        <f t="shared" si="39"/>
        <v/>
      </c>
      <c r="AL69" s="163" t="str">
        <f t="shared" si="40"/>
        <v/>
      </c>
      <c r="AM69" s="163" t="str">
        <f t="shared" si="41"/>
        <v/>
      </c>
      <c r="AN69" s="164" t="str">
        <f t="shared" si="42"/>
        <v/>
      </c>
      <c r="AO69" s="163" t="str">
        <f>IF($C69,IFERROR(INDEX(Sprints!$M$6:$M$13,MATCH($N69,Sprints!$K$6:$K$13,0)),""),"")</f>
        <v/>
      </c>
      <c r="AP69" s="163" t="str">
        <f t="shared" ca="1" si="43"/>
        <v/>
      </c>
    </row>
    <row r="70" spans="1:42" x14ac:dyDescent="0.35">
      <c r="A70" s="163">
        <f>ROW()</f>
        <v>70</v>
      </c>
      <c r="B70" s="163" t="b">
        <f>ISTEXT('Proyecto Datos (OKR´s)'!$K70)</f>
        <v>0</v>
      </c>
      <c r="C70" s="163" t="b">
        <f>AND(LEN('Proyecto Datos (OKR´s)'!$G70)&gt;0,NOT($B70),OR(ISNUMBER('Proyecto Datos (OKR´s)'!$F70),ISNUMBER('Proyecto Datos (OKR´s)'!$L70)))</f>
        <v>0</v>
      </c>
      <c r="D70" s="164" t="str">
        <f>IF($C70,IFERROR(LOOKUP(2,1/((ISTEXT('Proyecto Datos (OKR´s)'!$K$7:$K70))*(LEN('Proyecto Datos (OKR´s)'!$G$7:$G70)&gt;0)),'Proyecto Datos (OKR´s)'!$G$7:$G70),""),"")</f>
        <v/>
      </c>
      <c r="E70" s="163" t="str">
        <f>IF($C70,'Proyecto Datos (OKR´s)'!$E70,"")</f>
        <v/>
      </c>
      <c r="F70" s="164" t="str">
        <f>IF($C70,'Proyecto Datos (OKR´s)'!$G70,"")</f>
        <v/>
      </c>
      <c r="G70" s="164" t="str">
        <f>IF($C70,IF('Proyecto Datos (OKR´s)'!$I70="","(Sin asignar)",'Proyecto Datos (OKR´s)'!$I70),"")</f>
        <v/>
      </c>
      <c r="H70" s="163" t="str">
        <f>IF($C70,IF(ISNUMBER('Proyecto Datos (OKR´s)'!$F70),'Proyecto Datos (OKR´s)'!$F70,'Proyecto Datos (OKR´s)'!$L70),"")</f>
        <v/>
      </c>
      <c r="I70" s="163" t="str">
        <f>IF($C70,'Proyecto Datos (OKR´s)'!$J70,"")</f>
        <v/>
      </c>
      <c r="J70" s="164" t="str">
        <f ca="1">IF($C70,IF($I70&gt;=1,"Completado",IF($H70&lt;TODAY(),"Vencido",IF(($H70-TODAY())&lt;='Entregas Próximas'!$M$3,"Próximo a vencer","En curso"))),"")</f>
        <v/>
      </c>
      <c r="K70" s="163" t="str">
        <f t="shared" ca="1" si="23"/>
        <v/>
      </c>
      <c r="L70" s="163" t="str">
        <f t="shared" si="24"/>
        <v/>
      </c>
      <c r="M70" s="163" t="str">
        <f t="shared" si="25"/>
        <v/>
      </c>
      <c r="N70" s="163" t="str">
        <f>IF($C70,IF('Proyecto Datos (OKR´s)'!$E70="",9999,'Proyecto Datos (OKR´s)'!$E70),"")</f>
        <v/>
      </c>
      <c r="O70" s="163" t="str">
        <f t="shared" si="26"/>
        <v/>
      </c>
      <c r="R70" s="163" t="str">
        <f>IF($C70,IF(ISNUMBER('Proyecto Datos (OKR´s)'!$L70),'Proyecto Datos (OKR´s)'!$L70,$H70),"")</f>
        <v/>
      </c>
      <c r="S70" s="163" t="str">
        <f>IF($C70,$R70-'Proyecto Datos (OKR´s)'!$K70+1,"")</f>
        <v/>
      </c>
      <c r="T70" s="163" t="str">
        <f ca="1">IF($C70,MAX(0,TODAY()-'Proyecto Datos (OKR´s)'!$K70),"")</f>
        <v/>
      </c>
      <c r="U70" s="163" t="str">
        <f ca="1">IF($C70,MEDIAN(0,(TODAY()-'Proyecto Datos (OKR´s)'!$K70)/MAX(1,$R70-'Proyecto Datos (OKR´s)'!$K70),1),"")</f>
        <v/>
      </c>
      <c r="V70" s="163" t="str">
        <f t="shared" si="27"/>
        <v/>
      </c>
      <c r="W70" s="163" t="str">
        <f t="shared" ca="1" si="28"/>
        <v/>
      </c>
      <c r="X70" s="163" t="str">
        <f t="shared" si="29"/>
        <v/>
      </c>
      <c r="Y70" s="163" t="str">
        <f t="shared" si="30"/>
        <v/>
      </c>
      <c r="Z70" s="163" t="str">
        <f ca="1">IF($C70,AND($I70=0,'Proyecto Datos (OKR´s)'!$K70&lt;=TODAY(),$J70&lt;&gt;"Completado"),"")</f>
        <v/>
      </c>
      <c r="AA70" s="163" t="str">
        <f t="shared" si="31"/>
        <v/>
      </c>
      <c r="AB70" s="164" t="str">
        <f t="shared" si="32"/>
        <v/>
      </c>
      <c r="AC70" s="164" t="str">
        <f t="shared" si="33"/>
        <v/>
      </c>
      <c r="AD70" s="163" t="str">
        <f>IF($C70,IF($N70=9999,9999,IF($J70="Completado",$N70,MAX($N70,Sprints!$M$15))),"")</f>
        <v/>
      </c>
      <c r="AE70" s="163" t="str">
        <f t="shared" si="34"/>
        <v/>
      </c>
      <c r="AF70" s="163" t="b">
        <f t="shared" si="35"/>
        <v>0</v>
      </c>
      <c r="AG70" s="163" t="str">
        <f t="shared" si="36"/>
        <v/>
      </c>
      <c r="AH70" s="164" t="str">
        <f>IF($AF70,IF(Sprints!$I70&lt;&gt;"",Sprints!$I70,"Comprometida y no completada al cierre del Sprint "&amp;$N70),"")</f>
        <v/>
      </c>
      <c r="AI70" s="163" t="str">
        <f t="shared" si="37"/>
        <v/>
      </c>
      <c r="AJ70" s="163" t="str">
        <f t="shared" si="38"/>
        <v/>
      </c>
      <c r="AK70" s="163" t="str">
        <f t="shared" si="39"/>
        <v/>
      </c>
      <c r="AL70" s="163" t="str">
        <f t="shared" si="40"/>
        <v/>
      </c>
      <c r="AM70" s="163" t="str">
        <f t="shared" si="41"/>
        <v/>
      </c>
      <c r="AN70" s="164" t="str">
        <f t="shared" si="42"/>
        <v/>
      </c>
      <c r="AO70" s="163" t="str">
        <f>IF($C70,IFERROR(INDEX(Sprints!$M$6:$M$13,MATCH($N70,Sprints!$K$6:$K$13,0)),""),"")</f>
        <v/>
      </c>
      <c r="AP70" s="163" t="str">
        <f t="shared" ca="1" si="43"/>
        <v/>
      </c>
    </row>
    <row r="71" spans="1:42" x14ac:dyDescent="0.35">
      <c r="A71" s="163">
        <f>ROW()</f>
        <v>71</v>
      </c>
      <c r="B71" s="163" t="b">
        <f>ISTEXT('Proyecto Datos (OKR´s)'!$K71)</f>
        <v>0</v>
      </c>
      <c r="C71" s="163" t="b">
        <f>AND(LEN('Proyecto Datos (OKR´s)'!$G71)&gt;0,NOT($B71),OR(ISNUMBER('Proyecto Datos (OKR´s)'!$F71),ISNUMBER('Proyecto Datos (OKR´s)'!$L71)))</f>
        <v>0</v>
      </c>
      <c r="D71" s="164" t="str">
        <f>IF($C71,IFERROR(LOOKUP(2,1/((ISTEXT('Proyecto Datos (OKR´s)'!$K$7:$K71))*(LEN('Proyecto Datos (OKR´s)'!$G$7:$G71)&gt;0)),'Proyecto Datos (OKR´s)'!$G$7:$G71),""),"")</f>
        <v/>
      </c>
      <c r="E71" s="163" t="str">
        <f>IF($C71,'Proyecto Datos (OKR´s)'!$E71,"")</f>
        <v/>
      </c>
      <c r="F71" s="164" t="str">
        <f>IF($C71,'Proyecto Datos (OKR´s)'!$G71,"")</f>
        <v/>
      </c>
      <c r="G71" s="164" t="str">
        <f>IF($C71,IF('Proyecto Datos (OKR´s)'!$I71="","(Sin asignar)",'Proyecto Datos (OKR´s)'!$I71),"")</f>
        <v/>
      </c>
      <c r="H71" s="163" t="str">
        <f>IF($C71,IF(ISNUMBER('Proyecto Datos (OKR´s)'!$F71),'Proyecto Datos (OKR´s)'!$F71,'Proyecto Datos (OKR´s)'!$L71),"")</f>
        <v/>
      </c>
      <c r="I71" s="163" t="str">
        <f>IF($C71,'Proyecto Datos (OKR´s)'!$J71,"")</f>
        <v/>
      </c>
      <c r="J71" s="164" t="str">
        <f ca="1">IF($C71,IF($I71&gt;=1,"Completado",IF($H71&lt;TODAY(),"Vencido",IF(($H71-TODAY())&lt;='Entregas Próximas'!$M$3,"Próximo a vencer","En curso"))),"")</f>
        <v/>
      </c>
      <c r="K71" s="163" t="str">
        <f t="shared" ref="K71:K102" ca="1" si="44">IF($C71,$H71-TODAY(),"")</f>
        <v/>
      </c>
      <c r="L71" s="163" t="str">
        <f t="shared" ref="L71:L102" si="45">IF($C71,$AD71*1000000+$H71+ROW()/100000,"")</f>
        <v/>
      </c>
      <c r="M71" s="163" t="str">
        <f t="shared" ref="M71:M102" si="46">IF($C71,IF($AD71=9999,"(Sin sprint)",$AD71),"")</f>
        <v/>
      </c>
      <c r="N71" s="163" t="str">
        <f>IF($C71,IF('Proyecto Datos (OKR´s)'!$E71="",9999,'Proyecto Datos (OKR´s)'!$E71),"")</f>
        <v/>
      </c>
      <c r="O71" s="163" t="str">
        <f t="shared" ref="O71:O102" si="47">IF($C71,"T"&amp;TEXT(ROW(),"000"),"")</f>
        <v/>
      </c>
      <c r="R71" s="163" t="str">
        <f>IF($C71,IF(ISNUMBER('Proyecto Datos (OKR´s)'!$L71),'Proyecto Datos (OKR´s)'!$L71,$H71),"")</f>
        <v/>
      </c>
      <c r="S71" s="163" t="str">
        <f>IF($C71,$R71-'Proyecto Datos (OKR´s)'!$K71+1,"")</f>
        <v/>
      </c>
      <c r="T71" s="163" t="str">
        <f ca="1">IF($C71,MAX(0,TODAY()-'Proyecto Datos (OKR´s)'!$K71),"")</f>
        <v/>
      </c>
      <c r="U71" s="163" t="str">
        <f ca="1">IF($C71,MEDIAN(0,(TODAY()-'Proyecto Datos (OKR´s)'!$K71)/MAX(1,$R71-'Proyecto Datos (OKR´s)'!$K71),1),"")</f>
        <v/>
      </c>
      <c r="V71" s="163" t="str">
        <f t="shared" ref="V71:V102" si="48">IF($C71,$I71-$U71,"")</f>
        <v/>
      </c>
      <c r="W71" s="163" t="str">
        <f t="shared" ref="W71:W102" ca="1" si="49">IF($C71,IF($J71="Completado",0,MAX(0,TODAY()-$H71)),"")</f>
        <v/>
      </c>
      <c r="X71" s="163" t="str">
        <f t="shared" ref="X71:X102" si="50">IF($C71,IF(ISNUMBER($H71),$R71-$H71,0),"")</f>
        <v/>
      </c>
      <c r="Y71" s="163" t="str">
        <f t="shared" ref="Y71:Y102" si="51">IF($C71,COUNTIFS($G$7:$G$200,$G71,$J$7:$J$200,"&lt;&gt;Completado",$J$7:$J$200,"&lt;&gt;"),"")</f>
        <v/>
      </c>
      <c r="Z71" s="163" t="str">
        <f ca="1">IF($C71,AND($I71=0,'Proyecto Datos (OKR´s)'!$K71&lt;=TODAY(),$J71&lt;&gt;"Completado"),"")</f>
        <v/>
      </c>
      <c r="AA71" s="163" t="str">
        <f t="shared" ref="AA71:AA102" si="52">IF($C71,ROUND(100*(0.35*$AK71+0.3*$AL71+0.2*$AM71+0.15*MEDIAN(0,($Y71-4)/8,1)),0),"")</f>
        <v/>
      </c>
      <c r="AB71" s="164" t="str">
        <f t="shared" ref="AB71:AB102" si="53">IF($C71,IF($J71="Completado","—",IF($AA71&gt;=70,"Crítica",IF($AA71&gt;=45,"Alta",IF($AA71&gt;=25,"Media","Baja")))),"")</f>
        <v/>
      </c>
      <c r="AC71" s="164" t="str">
        <f t="shared" ref="AC71:AC102" si="54">IF($C71,IF(LEN(TRIM($AN71))=0,"—",TRIM($AN71)),"")</f>
        <v/>
      </c>
      <c r="AD71" s="163" t="str">
        <f>IF($C71,IF($N71=9999,9999,IF($J71="Completado",$N71,MAX($N71,Sprints!$M$15))),"")</f>
        <v/>
      </c>
      <c r="AE71" s="163" t="str">
        <f t="shared" ref="AE71:AE102" si="55">IF($C71,IF($AD71=9999,"(Sin sprint)",$AD71),"")</f>
        <v/>
      </c>
      <c r="AF71" s="163" t="b">
        <f t="shared" ref="AF71:AF102" si="56">IF($C71,AND($N71&lt;&gt;9999,$AD71&lt;&gt;$N71),FALSE)</f>
        <v>0</v>
      </c>
      <c r="AG71" s="163" t="str">
        <f t="shared" ref="AG71:AG102" si="57">IF($AF71,$AO71,"")</f>
        <v/>
      </c>
      <c r="AH71" s="164" t="str">
        <f>IF($AF71,IF(Sprints!$I71&lt;&gt;"",Sprints!$I71,"Comprometida y no completada al cierre del Sprint "&amp;$N71),"")</f>
        <v/>
      </c>
      <c r="AI71" s="163" t="str">
        <f t="shared" ref="AI71:AI102" si="58">IF($AF71,$N71*100000+ROW(),"")</f>
        <v/>
      </c>
      <c r="AJ71" s="163" t="str">
        <f t="shared" ref="AJ71:AJ102" si="59">IF($C71,$AA71*1000000-MEDIAN(-9999,$K71,9999)*100+(300-ROW()),"")</f>
        <v/>
      </c>
      <c r="AK71" s="163" t="str">
        <f t="shared" ref="AK71:AK102" si="60">IF($C71,IF($J71="Completado",0,IF($K71&lt;0,1,IF($K71&lt;=3,0.9,IF($K71&lt;=7,0.7,IF($K71&lt;=14,0.45,0.2))))),"")</f>
        <v/>
      </c>
      <c r="AL71" s="163" t="str">
        <f t="shared" ref="AL71:AL102" si="61">IF($C71,IF($J71="Completado",0,MEDIAN(0,MAX(-$V71,$W71/30),1)),"")</f>
        <v/>
      </c>
      <c r="AM71" s="163" t="str">
        <f t="shared" ref="AM71:AM102" si="62">IF($C71,IF($J71="Completado",0,IF($Z71,1,IF(AND($I71&lt;0.5,$K71&lt;=7),0.7,0.3))),"")</f>
        <v/>
      </c>
      <c r="AN71" s="164" t="str">
        <f t="shared" ref="AN71:AN102" si="63">IF($C71,IF(OR($V71&lt;-0.2,$W71&gt;0),"ATRASO ","")&amp;IF($Z71,"BLOQUEO ","")&amp;IF($Y71&gt;8,"SOBRECARGA ","")&amp;IF($X71&gt;0,"DESVÍO-PLAN ",""),"")</f>
        <v/>
      </c>
      <c r="AO71" s="163" t="str">
        <f>IF($C71,IFERROR(INDEX(Sprints!$M$6:$M$13,MATCH($N71,Sprints!$K$6:$K$13,0)),""),"")</f>
        <v/>
      </c>
      <c r="AP71" s="163" t="str">
        <f t="shared" ref="AP71:AP102" ca="1" si="64">IF($C71,IF(AND($N71&lt;&gt;9999,$AD71&lt;&gt;$N71,ISNUMBER($AO71)),TODAY()-$AO71,0),"")</f>
        <v/>
      </c>
    </row>
    <row r="72" spans="1:42" x14ac:dyDescent="0.35">
      <c r="A72" s="163">
        <f>ROW()</f>
        <v>72</v>
      </c>
      <c r="B72" s="163" t="b">
        <f>ISTEXT('Proyecto Datos (OKR´s)'!$K72)</f>
        <v>0</v>
      </c>
      <c r="C72" s="163" t="b">
        <f>AND(LEN('Proyecto Datos (OKR´s)'!$G72)&gt;0,NOT($B72),OR(ISNUMBER('Proyecto Datos (OKR´s)'!$F72),ISNUMBER('Proyecto Datos (OKR´s)'!$L72)))</f>
        <v>0</v>
      </c>
      <c r="D72" s="164" t="str">
        <f>IF($C72,IFERROR(LOOKUP(2,1/((ISTEXT('Proyecto Datos (OKR´s)'!$K$7:$K72))*(LEN('Proyecto Datos (OKR´s)'!$G$7:$G72)&gt;0)),'Proyecto Datos (OKR´s)'!$G$7:$G72),""),"")</f>
        <v/>
      </c>
      <c r="E72" s="163" t="str">
        <f>IF($C72,'Proyecto Datos (OKR´s)'!$E72,"")</f>
        <v/>
      </c>
      <c r="F72" s="164" t="str">
        <f>IF($C72,'Proyecto Datos (OKR´s)'!$G72,"")</f>
        <v/>
      </c>
      <c r="G72" s="164" t="str">
        <f>IF($C72,IF('Proyecto Datos (OKR´s)'!$I72="","(Sin asignar)",'Proyecto Datos (OKR´s)'!$I72),"")</f>
        <v/>
      </c>
      <c r="H72" s="163" t="str">
        <f>IF($C72,IF(ISNUMBER('Proyecto Datos (OKR´s)'!$F72),'Proyecto Datos (OKR´s)'!$F72,'Proyecto Datos (OKR´s)'!$L72),"")</f>
        <v/>
      </c>
      <c r="I72" s="163" t="str">
        <f>IF($C72,'Proyecto Datos (OKR´s)'!$J72,"")</f>
        <v/>
      </c>
      <c r="J72" s="164" t="str">
        <f ca="1">IF($C72,IF($I72&gt;=1,"Completado",IF($H72&lt;TODAY(),"Vencido",IF(($H72-TODAY())&lt;='Entregas Próximas'!$M$3,"Próximo a vencer","En curso"))),"")</f>
        <v/>
      </c>
      <c r="K72" s="163" t="str">
        <f t="shared" ca="1" si="44"/>
        <v/>
      </c>
      <c r="L72" s="163" t="str">
        <f t="shared" si="45"/>
        <v/>
      </c>
      <c r="M72" s="163" t="str">
        <f t="shared" si="46"/>
        <v/>
      </c>
      <c r="N72" s="163" t="str">
        <f>IF($C72,IF('Proyecto Datos (OKR´s)'!$E72="",9999,'Proyecto Datos (OKR´s)'!$E72),"")</f>
        <v/>
      </c>
      <c r="O72" s="163" t="str">
        <f t="shared" si="47"/>
        <v/>
      </c>
      <c r="R72" s="163" t="str">
        <f>IF($C72,IF(ISNUMBER('Proyecto Datos (OKR´s)'!$L72),'Proyecto Datos (OKR´s)'!$L72,$H72),"")</f>
        <v/>
      </c>
      <c r="S72" s="163" t="str">
        <f>IF($C72,$R72-'Proyecto Datos (OKR´s)'!$K72+1,"")</f>
        <v/>
      </c>
      <c r="T72" s="163" t="str">
        <f ca="1">IF($C72,MAX(0,TODAY()-'Proyecto Datos (OKR´s)'!$K72),"")</f>
        <v/>
      </c>
      <c r="U72" s="163" t="str">
        <f ca="1">IF($C72,MEDIAN(0,(TODAY()-'Proyecto Datos (OKR´s)'!$K72)/MAX(1,$R72-'Proyecto Datos (OKR´s)'!$K72),1),"")</f>
        <v/>
      </c>
      <c r="V72" s="163" t="str">
        <f t="shared" si="48"/>
        <v/>
      </c>
      <c r="W72" s="163" t="str">
        <f t="shared" ca="1" si="49"/>
        <v/>
      </c>
      <c r="X72" s="163" t="str">
        <f t="shared" si="50"/>
        <v/>
      </c>
      <c r="Y72" s="163" t="str">
        <f t="shared" si="51"/>
        <v/>
      </c>
      <c r="Z72" s="163" t="str">
        <f ca="1">IF($C72,AND($I72=0,'Proyecto Datos (OKR´s)'!$K72&lt;=TODAY(),$J72&lt;&gt;"Completado"),"")</f>
        <v/>
      </c>
      <c r="AA72" s="163" t="str">
        <f t="shared" si="52"/>
        <v/>
      </c>
      <c r="AB72" s="164" t="str">
        <f t="shared" si="53"/>
        <v/>
      </c>
      <c r="AC72" s="164" t="str">
        <f t="shared" si="54"/>
        <v/>
      </c>
      <c r="AD72" s="163" t="str">
        <f>IF($C72,IF($N72=9999,9999,IF($J72="Completado",$N72,MAX($N72,Sprints!$M$15))),"")</f>
        <v/>
      </c>
      <c r="AE72" s="163" t="str">
        <f t="shared" si="55"/>
        <v/>
      </c>
      <c r="AF72" s="163" t="b">
        <f t="shared" si="56"/>
        <v>0</v>
      </c>
      <c r="AG72" s="163" t="str">
        <f t="shared" si="57"/>
        <v/>
      </c>
      <c r="AH72" s="164" t="str">
        <f>IF($AF72,IF(Sprints!$I72&lt;&gt;"",Sprints!$I72,"Comprometida y no completada al cierre del Sprint "&amp;$N72),"")</f>
        <v/>
      </c>
      <c r="AI72" s="163" t="str">
        <f t="shared" si="58"/>
        <v/>
      </c>
      <c r="AJ72" s="163" t="str">
        <f t="shared" si="59"/>
        <v/>
      </c>
      <c r="AK72" s="163" t="str">
        <f t="shared" si="60"/>
        <v/>
      </c>
      <c r="AL72" s="163" t="str">
        <f t="shared" si="61"/>
        <v/>
      </c>
      <c r="AM72" s="163" t="str">
        <f t="shared" si="62"/>
        <v/>
      </c>
      <c r="AN72" s="164" t="str">
        <f t="shared" si="63"/>
        <v/>
      </c>
      <c r="AO72" s="163" t="str">
        <f>IF($C72,IFERROR(INDEX(Sprints!$M$6:$M$13,MATCH($N72,Sprints!$K$6:$K$13,0)),""),"")</f>
        <v/>
      </c>
      <c r="AP72" s="163" t="str">
        <f t="shared" ca="1" si="64"/>
        <v/>
      </c>
    </row>
    <row r="73" spans="1:42" x14ac:dyDescent="0.35">
      <c r="A73" s="163">
        <f>ROW()</f>
        <v>73</v>
      </c>
      <c r="B73" s="163" t="b">
        <f>ISTEXT('Proyecto Datos (OKR´s)'!$K73)</f>
        <v>0</v>
      </c>
      <c r="C73" s="163" t="b">
        <f>AND(LEN('Proyecto Datos (OKR´s)'!$G73)&gt;0,NOT($B73),OR(ISNUMBER('Proyecto Datos (OKR´s)'!$F73),ISNUMBER('Proyecto Datos (OKR´s)'!$L73)))</f>
        <v>0</v>
      </c>
      <c r="D73" s="164" t="str">
        <f>IF($C73,IFERROR(LOOKUP(2,1/((ISTEXT('Proyecto Datos (OKR´s)'!$K$7:$K73))*(LEN('Proyecto Datos (OKR´s)'!$G$7:$G73)&gt;0)),'Proyecto Datos (OKR´s)'!$G$7:$G73),""),"")</f>
        <v/>
      </c>
      <c r="E73" s="163" t="str">
        <f>IF($C73,'Proyecto Datos (OKR´s)'!$E73,"")</f>
        <v/>
      </c>
      <c r="F73" s="164" t="str">
        <f>IF($C73,'Proyecto Datos (OKR´s)'!$G73,"")</f>
        <v/>
      </c>
      <c r="G73" s="164" t="str">
        <f>IF($C73,IF('Proyecto Datos (OKR´s)'!$I73="","(Sin asignar)",'Proyecto Datos (OKR´s)'!$I73),"")</f>
        <v/>
      </c>
      <c r="H73" s="163" t="str">
        <f>IF($C73,IF(ISNUMBER('Proyecto Datos (OKR´s)'!$F73),'Proyecto Datos (OKR´s)'!$F73,'Proyecto Datos (OKR´s)'!$L73),"")</f>
        <v/>
      </c>
      <c r="I73" s="163" t="str">
        <f>IF($C73,'Proyecto Datos (OKR´s)'!$J73,"")</f>
        <v/>
      </c>
      <c r="J73" s="164" t="str">
        <f ca="1">IF($C73,IF($I73&gt;=1,"Completado",IF($H73&lt;TODAY(),"Vencido",IF(($H73-TODAY())&lt;='Entregas Próximas'!$M$3,"Próximo a vencer","En curso"))),"")</f>
        <v/>
      </c>
      <c r="K73" s="163" t="str">
        <f t="shared" ca="1" si="44"/>
        <v/>
      </c>
      <c r="L73" s="163" t="str">
        <f t="shared" si="45"/>
        <v/>
      </c>
      <c r="M73" s="163" t="str">
        <f t="shared" si="46"/>
        <v/>
      </c>
      <c r="N73" s="163" t="str">
        <f>IF($C73,IF('Proyecto Datos (OKR´s)'!$E73="",9999,'Proyecto Datos (OKR´s)'!$E73),"")</f>
        <v/>
      </c>
      <c r="O73" s="163" t="str">
        <f t="shared" si="47"/>
        <v/>
      </c>
      <c r="R73" s="163" t="str">
        <f>IF($C73,IF(ISNUMBER('Proyecto Datos (OKR´s)'!$L73),'Proyecto Datos (OKR´s)'!$L73,$H73),"")</f>
        <v/>
      </c>
      <c r="S73" s="163" t="str">
        <f>IF($C73,$R73-'Proyecto Datos (OKR´s)'!$K73+1,"")</f>
        <v/>
      </c>
      <c r="T73" s="163" t="str">
        <f ca="1">IF($C73,MAX(0,TODAY()-'Proyecto Datos (OKR´s)'!$K73),"")</f>
        <v/>
      </c>
      <c r="U73" s="163" t="str">
        <f ca="1">IF($C73,MEDIAN(0,(TODAY()-'Proyecto Datos (OKR´s)'!$K73)/MAX(1,$R73-'Proyecto Datos (OKR´s)'!$K73),1),"")</f>
        <v/>
      </c>
      <c r="V73" s="163" t="str">
        <f t="shared" si="48"/>
        <v/>
      </c>
      <c r="W73" s="163" t="str">
        <f t="shared" ca="1" si="49"/>
        <v/>
      </c>
      <c r="X73" s="163" t="str">
        <f t="shared" si="50"/>
        <v/>
      </c>
      <c r="Y73" s="163" t="str">
        <f t="shared" si="51"/>
        <v/>
      </c>
      <c r="Z73" s="163" t="str">
        <f ca="1">IF($C73,AND($I73=0,'Proyecto Datos (OKR´s)'!$K73&lt;=TODAY(),$J73&lt;&gt;"Completado"),"")</f>
        <v/>
      </c>
      <c r="AA73" s="163" t="str">
        <f t="shared" si="52"/>
        <v/>
      </c>
      <c r="AB73" s="164" t="str">
        <f t="shared" si="53"/>
        <v/>
      </c>
      <c r="AC73" s="164" t="str">
        <f t="shared" si="54"/>
        <v/>
      </c>
      <c r="AD73" s="163" t="str">
        <f>IF($C73,IF($N73=9999,9999,IF($J73="Completado",$N73,MAX($N73,Sprints!$M$15))),"")</f>
        <v/>
      </c>
      <c r="AE73" s="163" t="str">
        <f t="shared" si="55"/>
        <v/>
      </c>
      <c r="AF73" s="163" t="b">
        <f t="shared" si="56"/>
        <v>0</v>
      </c>
      <c r="AG73" s="163" t="str">
        <f t="shared" si="57"/>
        <v/>
      </c>
      <c r="AH73" s="164" t="str">
        <f>IF($AF73,IF(Sprints!$I73&lt;&gt;"",Sprints!$I73,"Comprometida y no completada al cierre del Sprint "&amp;$N73),"")</f>
        <v/>
      </c>
      <c r="AI73" s="163" t="str">
        <f t="shared" si="58"/>
        <v/>
      </c>
      <c r="AJ73" s="163" t="str">
        <f t="shared" si="59"/>
        <v/>
      </c>
      <c r="AK73" s="163" t="str">
        <f t="shared" si="60"/>
        <v/>
      </c>
      <c r="AL73" s="163" t="str">
        <f t="shared" si="61"/>
        <v/>
      </c>
      <c r="AM73" s="163" t="str">
        <f t="shared" si="62"/>
        <v/>
      </c>
      <c r="AN73" s="164" t="str">
        <f t="shared" si="63"/>
        <v/>
      </c>
      <c r="AO73" s="163" t="str">
        <f>IF($C73,IFERROR(INDEX(Sprints!$M$6:$M$13,MATCH($N73,Sprints!$K$6:$K$13,0)),""),"")</f>
        <v/>
      </c>
      <c r="AP73" s="163" t="str">
        <f t="shared" ca="1" si="64"/>
        <v/>
      </c>
    </row>
    <row r="74" spans="1:42" x14ac:dyDescent="0.35">
      <c r="A74" s="163">
        <f>ROW()</f>
        <v>74</v>
      </c>
      <c r="B74" s="163" t="b">
        <f>ISTEXT('Proyecto Datos (OKR´s)'!$K74)</f>
        <v>0</v>
      </c>
      <c r="C74" s="163" t="b">
        <f>AND(LEN('Proyecto Datos (OKR´s)'!$G74)&gt;0,NOT($B74),OR(ISNUMBER('Proyecto Datos (OKR´s)'!$F74),ISNUMBER('Proyecto Datos (OKR´s)'!$L74)))</f>
        <v>0</v>
      </c>
      <c r="D74" s="164" t="str">
        <f>IF($C74,IFERROR(LOOKUP(2,1/((ISTEXT('Proyecto Datos (OKR´s)'!$K$7:$K74))*(LEN('Proyecto Datos (OKR´s)'!$G$7:$G74)&gt;0)),'Proyecto Datos (OKR´s)'!$G$7:$G74),""),"")</f>
        <v/>
      </c>
      <c r="E74" s="163" t="str">
        <f>IF($C74,'Proyecto Datos (OKR´s)'!$E74,"")</f>
        <v/>
      </c>
      <c r="F74" s="164" t="str">
        <f>IF($C74,'Proyecto Datos (OKR´s)'!$G74,"")</f>
        <v/>
      </c>
      <c r="G74" s="164" t="str">
        <f>IF($C74,IF('Proyecto Datos (OKR´s)'!$I74="","(Sin asignar)",'Proyecto Datos (OKR´s)'!$I74),"")</f>
        <v/>
      </c>
      <c r="H74" s="163" t="str">
        <f>IF($C74,IF(ISNUMBER('Proyecto Datos (OKR´s)'!$F74),'Proyecto Datos (OKR´s)'!$F74,'Proyecto Datos (OKR´s)'!$L74),"")</f>
        <v/>
      </c>
      <c r="I74" s="163" t="str">
        <f>IF($C74,'Proyecto Datos (OKR´s)'!$J74,"")</f>
        <v/>
      </c>
      <c r="J74" s="164" t="str">
        <f ca="1">IF($C74,IF($I74&gt;=1,"Completado",IF($H74&lt;TODAY(),"Vencido",IF(($H74-TODAY())&lt;='Entregas Próximas'!$M$3,"Próximo a vencer","En curso"))),"")</f>
        <v/>
      </c>
      <c r="K74" s="163" t="str">
        <f t="shared" ca="1" si="44"/>
        <v/>
      </c>
      <c r="L74" s="163" t="str">
        <f t="shared" si="45"/>
        <v/>
      </c>
      <c r="M74" s="163" t="str">
        <f t="shared" si="46"/>
        <v/>
      </c>
      <c r="N74" s="163" t="str">
        <f>IF($C74,IF('Proyecto Datos (OKR´s)'!$E74="",9999,'Proyecto Datos (OKR´s)'!$E74),"")</f>
        <v/>
      </c>
      <c r="O74" s="163" t="str">
        <f t="shared" si="47"/>
        <v/>
      </c>
      <c r="R74" s="163" t="str">
        <f>IF($C74,IF(ISNUMBER('Proyecto Datos (OKR´s)'!$L74),'Proyecto Datos (OKR´s)'!$L74,$H74),"")</f>
        <v/>
      </c>
      <c r="S74" s="163" t="str">
        <f>IF($C74,$R74-'Proyecto Datos (OKR´s)'!$K74+1,"")</f>
        <v/>
      </c>
      <c r="T74" s="163" t="str">
        <f ca="1">IF($C74,MAX(0,TODAY()-'Proyecto Datos (OKR´s)'!$K74),"")</f>
        <v/>
      </c>
      <c r="U74" s="163" t="str">
        <f ca="1">IF($C74,MEDIAN(0,(TODAY()-'Proyecto Datos (OKR´s)'!$K74)/MAX(1,$R74-'Proyecto Datos (OKR´s)'!$K74),1),"")</f>
        <v/>
      </c>
      <c r="V74" s="163" t="str">
        <f t="shared" si="48"/>
        <v/>
      </c>
      <c r="W74" s="163" t="str">
        <f t="shared" ca="1" si="49"/>
        <v/>
      </c>
      <c r="X74" s="163" t="str">
        <f t="shared" si="50"/>
        <v/>
      </c>
      <c r="Y74" s="163" t="str">
        <f t="shared" si="51"/>
        <v/>
      </c>
      <c r="Z74" s="163" t="str">
        <f ca="1">IF($C74,AND($I74=0,'Proyecto Datos (OKR´s)'!$K74&lt;=TODAY(),$J74&lt;&gt;"Completado"),"")</f>
        <v/>
      </c>
      <c r="AA74" s="163" t="str">
        <f t="shared" si="52"/>
        <v/>
      </c>
      <c r="AB74" s="164" t="str">
        <f t="shared" si="53"/>
        <v/>
      </c>
      <c r="AC74" s="164" t="str">
        <f t="shared" si="54"/>
        <v/>
      </c>
      <c r="AD74" s="163" t="str">
        <f>IF($C74,IF($N74=9999,9999,IF($J74="Completado",$N74,MAX($N74,Sprints!$M$15))),"")</f>
        <v/>
      </c>
      <c r="AE74" s="163" t="str">
        <f t="shared" si="55"/>
        <v/>
      </c>
      <c r="AF74" s="163" t="b">
        <f t="shared" si="56"/>
        <v>0</v>
      </c>
      <c r="AG74" s="163" t="str">
        <f t="shared" si="57"/>
        <v/>
      </c>
      <c r="AH74" s="164" t="str">
        <f>IF($AF74,IF(Sprints!$I74&lt;&gt;"",Sprints!$I74,"Comprometida y no completada al cierre del Sprint "&amp;$N74),"")</f>
        <v/>
      </c>
      <c r="AI74" s="163" t="str">
        <f t="shared" si="58"/>
        <v/>
      </c>
      <c r="AJ74" s="163" t="str">
        <f t="shared" si="59"/>
        <v/>
      </c>
      <c r="AK74" s="163" t="str">
        <f t="shared" si="60"/>
        <v/>
      </c>
      <c r="AL74" s="163" t="str">
        <f t="shared" si="61"/>
        <v/>
      </c>
      <c r="AM74" s="163" t="str">
        <f t="shared" si="62"/>
        <v/>
      </c>
      <c r="AN74" s="164" t="str">
        <f t="shared" si="63"/>
        <v/>
      </c>
      <c r="AO74" s="163" t="str">
        <f>IF($C74,IFERROR(INDEX(Sprints!$M$6:$M$13,MATCH($N74,Sprints!$K$6:$K$13,0)),""),"")</f>
        <v/>
      </c>
      <c r="AP74" s="163" t="str">
        <f t="shared" ca="1" si="64"/>
        <v/>
      </c>
    </row>
    <row r="75" spans="1:42" x14ac:dyDescent="0.35">
      <c r="A75" s="163">
        <f>ROW()</f>
        <v>75</v>
      </c>
      <c r="B75" s="163" t="b">
        <f>ISTEXT('Proyecto Datos (OKR´s)'!$K75)</f>
        <v>0</v>
      </c>
      <c r="C75" s="163" t="b">
        <f>AND(LEN('Proyecto Datos (OKR´s)'!$G75)&gt;0,NOT($B75),OR(ISNUMBER('Proyecto Datos (OKR´s)'!$F75),ISNUMBER('Proyecto Datos (OKR´s)'!$L75)))</f>
        <v>0</v>
      </c>
      <c r="D75" s="164" t="str">
        <f>IF($C75,IFERROR(LOOKUP(2,1/((ISTEXT('Proyecto Datos (OKR´s)'!$K$7:$K75))*(LEN('Proyecto Datos (OKR´s)'!$G$7:$G75)&gt;0)),'Proyecto Datos (OKR´s)'!$G$7:$G75),""),"")</f>
        <v/>
      </c>
      <c r="E75" s="163" t="str">
        <f>IF($C75,'Proyecto Datos (OKR´s)'!$E75,"")</f>
        <v/>
      </c>
      <c r="F75" s="164" t="str">
        <f>IF($C75,'Proyecto Datos (OKR´s)'!$G75,"")</f>
        <v/>
      </c>
      <c r="G75" s="164" t="str">
        <f>IF($C75,IF('Proyecto Datos (OKR´s)'!$I75="","(Sin asignar)",'Proyecto Datos (OKR´s)'!$I75),"")</f>
        <v/>
      </c>
      <c r="H75" s="163" t="str">
        <f>IF($C75,IF(ISNUMBER('Proyecto Datos (OKR´s)'!$F75),'Proyecto Datos (OKR´s)'!$F75,'Proyecto Datos (OKR´s)'!$L75),"")</f>
        <v/>
      </c>
      <c r="I75" s="163" t="str">
        <f>IF($C75,'Proyecto Datos (OKR´s)'!$J75,"")</f>
        <v/>
      </c>
      <c r="J75" s="164" t="str">
        <f ca="1">IF($C75,IF($I75&gt;=1,"Completado",IF($H75&lt;TODAY(),"Vencido",IF(($H75-TODAY())&lt;='Entregas Próximas'!$M$3,"Próximo a vencer","En curso"))),"")</f>
        <v/>
      </c>
      <c r="K75" s="163" t="str">
        <f t="shared" ca="1" si="44"/>
        <v/>
      </c>
      <c r="L75" s="163" t="str">
        <f t="shared" si="45"/>
        <v/>
      </c>
      <c r="M75" s="163" t="str">
        <f t="shared" si="46"/>
        <v/>
      </c>
      <c r="N75" s="163" t="str">
        <f>IF($C75,IF('Proyecto Datos (OKR´s)'!$E75="",9999,'Proyecto Datos (OKR´s)'!$E75),"")</f>
        <v/>
      </c>
      <c r="O75" s="163" t="str">
        <f t="shared" si="47"/>
        <v/>
      </c>
      <c r="R75" s="163" t="str">
        <f>IF($C75,IF(ISNUMBER('Proyecto Datos (OKR´s)'!$L75),'Proyecto Datos (OKR´s)'!$L75,$H75),"")</f>
        <v/>
      </c>
      <c r="S75" s="163" t="str">
        <f>IF($C75,$R75-'Proyecto Datos (OKR´s)'!$K75+1,"")</f>
        <v/>
      </c>
      <c r="T75" s="163" t="str">
        <f ca="1">IF($C75,MAX(0,TODAY()-'Proyecto Datos (OKR´s)'!$K75),"")</f>
        <v/>
      </c>
      <c r="U75" s="163" t="str">
        <f ca="1">IF($C75,MEDIAN(0,(TODAY()-'Proyecto Datos (OKR´s)'!$K75)/MAX(1,$R75-'Proyecto Datos (OKR´s)'!$K75),1),"")</f>
        <v/>
      </c>
      <c r="V75" s="163" t="str">
        <f t="shared" si="48"/>
        <v/>
      </c>
      <c r="W75" s="163" t="str">
        <f t="shared" ca="1" si="49"/>
        <v/>
      </c>
      <c r="X75" s="163" t="str">
        <f t="shared" si="50"/>
        <v/>
      </c>
      <c r="Y75" s="163" t="str">
        <f t="shared" si="51"/>
        <v/>
      </c>
      <c r="Z75" s="163" t="str">
        <f ca="1">IF($C75,AND($I75=0,'Proyecto Datos (OKR´s)'!$K75&lt;=TODAY(),$J75&lt;&gt;"Completado"),"")</f>
        <v/>
      </c>
      <c r="AA75" s="163" t="str">
        <f t="shared" si="52"/>
        <v/>
      </c>
      <c r="AB75" s="164" t="str">
        <f t="shared" si="53"/>
        <v/>
      </c>
      <c r="AC75" s="164" t="str">
        <f t="shared" si="54"/>
        <v/>
      </c>
      <c r="AD75" s="163" t="str">
        <f>IF($C75,IF($N75=9999,9999,IF($J75="Completado",$N75,MAX($N75,Sprints!$M$15))),"")</f>
        <v/>
      </c>
      <c r="AE75" s="163" t="str">
        <f t="shared" si="55"/>
        <v/>
      </c>
      <c r="AF75" s="163" t="b">
        <f t="shared" si="56"/>
        <v>0</v>
      </c>
      <c r="AG75" s="163" t="str">
        <f t="shared" si="57"/>
        <v/>
      </c>
      <c r="AH75" s="164" t="str">
        <f>IF($AF75,IF(Sprints!$I75&lt;&gt;"",Sprints!$I75,"Comprometida y no completada al cierre del Sprint "&amp;$N75),"")</f>
        <v/>
      </c>
      <c r="AI75" s="163" t="str">
        <f t="shared" si="58"/>
        <v/>
      </c>
      <c r="AJ75" s="163" t="str">
        <f t="shared" si="59"/>
        <v/>
      </c>
      <c r="AK75" s="163" t="str">
        <f t="shared" si="60"/>
        <v/>
      </c>
      <c r="AL75" s="163" t="str">
        <f t="shared" si="61"/>
        <v/>
      </c>
      <c r="AM75" s="163" t="str">
        <f t="shared" si="62"/>
        <v/>
      </c>
      <c r="AN75" s="164" t="str">
        <f t="shared" si="63"/>
        <v/>
      </c>
      <c r="AO75" s="163" t="str">
        <f>IF($C75,IFERROR(INDEX(Sprints!$M$6:$M$13,MATCH($N75,Sprints!$K$6:$K$13,0)),""),"")</f>
        <v/>
      </c>
      <c r="AP75" s="163" t="str">
        <f t="shared" ca="1" si="64"/>
        <v/>
      </c>
    </row>
    <row r="76" spans="1:42" x14ac:dyDescent="0.35">
      <c r="A76" s="163">
        <f>ROW()</f>
        <v>76</v>
      </c>
      <c r="B76" s="163" t="b">
        <f>ISTEXT('Proyecto Datos (OKR´s)'!$K76)</f>
        <v>0</v>
      </c>
      <c r="C76" s="163" t="b">
        <f>AND(LEN('Proyecto Datos (OKR´s)'!$G76)&gt;0,NOT($B76),OR(ISNUMBER('Proyecto Datos (OKR´s)'!$F76),ISNUMBER('Proyecto Datos (OKR´s)'!$L76)))</f>
        <v>0</v>
      </c>
      <c r="D76" s="164" t="str">
        <f>IF($C76,IFERROR(LOOKUP(2,1/((ISTEXT('Proyecto Datos (OKR´s)'!$K$7:$K76))*(LEN('Proyecto Datos (OKR´s)'!$G$7:$G76)&gt;0)),'Proyecto Datos (OKR´s)'!$G$7:$G76),""),"")</f>
        <v/>
      </c>
      <c r="E76" s="163" t="str">
        <f>IF($C76,'Proyecto Datos (OKR´s)'!$E76,"")</f>
        <v/>
      </c>
      <c r="F76" s="164" t="str">
        <f>IF($C76,'Proyecto Datos (OKR´s)'!$G76,"")</f>
        <v/>
      </c>
      <c r="G76" s="164" t="str">
        <f>IF($C76,IF('Proyecto Datos (OKR´s)'!$I76="","(Sin asignar)",'Proyecto Datos (OKR´s)'!$I76),"")</f>
        <v/>
      </c>
      <c r="H76" s="163" t="str">
        <f>IF($C76,IF(ISNUMBER('Proyecto Datos (OKR´s)'!$F76),'Proyecto Datos (OKR´s)'!$F76,'Proyecto Datos (OKR´s)'!$L76),"")</f>
        <v/>
      </c>
      <c r="I76" s="163" t="str">
        <f>IF($C76,'Proyecto Datos (OKR´s)'!$J76,"")</f>
        <v/>
      </c>
      <c r="J76" s="164" t="str">
        <f ca="1">IF($C76,IF($I76&gt;=1,"Completado",IF($H76&lt;TODAY(),"Vencido",IF(($H76-TODAY())&lt;='Entregas Próximas'!$M$3,"Próximo a vencer","En curso"))),"")</f>
        <v/>
      </c>
      <c r="K76" s="163" t="str">
        <f t="shared" ca="1" si="44"/>
        <v/>
      </c>
      <c r="L76" s="163" t="str">
        <f t="shared" si="45"/>
        <v/>
      </c>
      <c r="M76" s="163" t="str">
        <f t="shared" si="46"/>
        <v/>
      </c>
      <c r="N76" s="163" t="str">
        <f>IF($C76,IF('Proyecto Datos (OKR´s)'!$E76="",9999,'Proyecto Datos (OKR´s)'!$E76),"")</f>
        <v/>
      </c>
      <c r="O76" s="163" t="str">
        <f t="shared" si="47"/>
        <v/>
      </c>
      <c r="R76" s="163" t="str">
        <f>IF($C76,IF(ISNUMBER('Proyecto Datos (OKR´s)'!$L76),'Proyecto Datos (OKR´s)'!$L76,$H76),"")</f>
        <v/>
      </c>
      <c r="S76" s="163" t="str">
        <f>IF($C76,$R76-'Proyecto Datos (OKR´s)'!$K76+1,"")</f>
        <v/>
      </c>
      <c r="T76" s="163" t="str">
        <f ca="1">IF($C76,MAX(0,TODAY()-'Proyecto Datos (OKR´s)'!$K76),"")</f>
        <v/>
      </c>
      <c r="U76" s="163" t="str">
        <f ca="1">IF($C76,MEDIAN(0,(TODAY()-'Proyecto Datos (OKR´s)'!$K76)/MAX(1,$R76-'Proyecto Datos (OKR´s)'!$K76),1),"")</f>
        <v/>
      </c>
      <c r="V76" s="163" t="str">
        <f t="shared" si="48"/>
        <v/>
      </c>
      <c r="W76" s="163" t="str">
        <f t="shared" ca="1" si="49"/>
        <v/>
      </c>
      <c r="X76" s="163" t="str">
        <f t="shared" si="50"/>
        <v/>
      </c>
      <c r="Y76" s="163" t="str">
        <f t="shared" si="51"/>
        <v/>
      </c>
      <c r="Z76" s="163" t="str">
        <f ca="1">IF($C76,AND($I76=0,'Proyecto Datos (OKR´s)'!$K76&lt;=TODAY(),$J76&lt;&gt;"Completado"),"")</f>
        <v/>
      </c>
      <c r="AA76" s="163" t="str">
        <f t="shared" si="52"/>
        <v/>
      </c>
      <c r="AB76" s="164" t="str">
        <f t="shared" si="53"/>
        <v/>
      </c>
      <c r="AC76" s="164" t="str">
        <f t="shared" si="54"/>
        <v/>
      </c>
      <c r="AD76" s="163" t="str">
        <f>IF($C76,IF($N76=9999,9999,IF($J76="Completado",$N76,MAX($N76,Sprints!$M$15))),"")</f>
        <v/>
      </c>
      <c r="AE76" s="163" t="str">
        <f t="shared" si="55"/>
        <v/>
      </c>
      <c r="AF76" s="163" t="b">
        <f t="shared" si="56"/>
        <v>0</v>
      </c>
      <c r="AG76" s="163" t="str">
        <f t="shared" si="57"/>
        <v/>
      </c>
      <c r="AH76" s="164" t="str">
        <f>IF($AF76,IF(Sprints!$I76&lt;&gt;"",Sprints!$I76,"Comprometida y no completada al cierre del Sprint "&amp;$N76),"")</f>
        <v/>
      </c>
      <c r="AI76" s="163" t="str">
        <f t="shared" si="58"/>
        <v/>
      </c>
      <c r="AJ76" s="163" t="str">
        <f t="shared" si="59"/>
        <v/>
      </c>
      <c r="AK76" s="163" t="str">
        <f t="shared" si="60"/>
        <v/>
      </c>
      <c r="AL76" s="163" t="str">
        <f t="shared" si="61"/>
        <v/>
      </c>
      <c r="AM76" s="163" t="str">
        <f t="shared" si="62"/>
        <v/>
      </c>
      <c r="AN76" s="164" t="str">
        <f t="shared" si="63"/>
        <v/>
      </c>
      <c r="AO76" s="163" t="str">
        <f>IF($C76,IFERROR(INDEX(Sprints!$M$6:$M$13,MATCH($N76,Sprints!$K$6:$K$13,0)),""),"")</f>
        <v/>
      </c>
      <c r="AP76" s="163" t="str">
        <f t="shared" ca="1" si="64"/>
        <v/>
      </c>
    </row>
    <row r="77" spans="1:42" x14ac:dyDescent="0.35">
      <c r="A77" s="163">
        <f>ROW()</f>
        <v>77</v>
      </c>
      <c r="B77" s="163" t="b">
        <f>ISTEXT('Proyecto Datos (OKR´s)'!$K77)</f>
        <v>0</v>
      </c>
      <c r="C77" s="163" t="b">
        <f>AND(LEN('Proyecto Datos (OKR´s)'!$G77)&gt;0,NOT($B77),OR(ISNUMBER('Proyecto Datos (OKR´s)'!$F77),ISNUMBER('Proyecto Datos (OKR´s)'!$L77)))</f>
        <v>0</v>
      </c>
      <c r="D77" s="164" t="str">
        <f>IF($C77,IFERROR(LOOKUP(2,1/((ISTEXT('Proyecto Datos (OKR´s)'!$K$7:$K77))*(LEN('Proyecto Datos (OKR´s)'!$G$7:$G77)&gt;0)),'Proyecto Datos (OKR´s)'!$G$7:$G77),""),"")</f>
        <v/>
      </c>
      <c r="E77" s="163" t="str">
        <f>IF($C77,'Proyecto Datos (OKR´s)'!$E77,"")</f>
        <v/>
      </c>
      <c r="F77" s="164" t="str">
        <f>IF($C77,'Proyecto Datos (OKR´s)'!$G77,"")</f>
        <v/>
      </c>
      <c r="G77" s="164" t="str">
        <f>IF($C77,IF('Proyecto Datos (OKR´s)'!$I77="","(Sin asignar)",'Proyecto Datos (OKR´s)'!$I77),"")</f>
        <v/>
      </c>
      <c r="H77" s="163" t="str">
        <f>IF($C77,IF(ISNUMBER('Proyecto Datos (OKR´s)'!$F77),'Proyecto Datos (OKR´s)'!$F77,'Proyecto Datos (OKR´s)'!$L77),"")</f>
        <v/>
      </c>
      <c r="I77" s="163" t="str">
        <f>IF($C77,'Proyecto Datos (OKR´s)'!$J77,"")</f>
        <v/>
      </c>
      <c r="J77" s="164" t="str">
        <f ca="1">IF($C77,IF($I77&gt;=1,"Completado",IF($H77&lt;TODAY(),"Vencido",IF(($H77-TODAY())&lt;='Entregas Próximas'!$M$3,"Próximo a vencer","En curso"))),"")</f>
        <v/>
      </c>
      <c r="K77" s="163" t="str">
        <f t="shared" ca="1" si="44"/>
        <v/>
      </c>
      <c r="L77" s="163" t="str">
        <f t="shared" si="45"/>
        <v/>
      </c>
      <c r="M77" s="163" t="str">
        <f t="shared" si="46"/>
        <v/>
      </c>
      <c r="N77" s="163" t="str">
        <f>IF($C77,IF('Proyecto Datos (OKR´s)'!$E77="",9999,'Proyecto Datos (OKR´s)'!$E77),"")</f>
        <v/>
      </c>
      <c r="O77" s="163" t="str">
        <f t="shared" si="47"/>
        <v/>
      </c>
      <c r="R77" s="163" t="str">
        <f>IF($C77,IF(ISNUMBER('Proyecto Datos (OKR´s)'!$L77),'Proyecto Datos (OKR´s)'!$L77,$H77),"")</f>
        <v/>
      </c>
      <c r="S77" s="163" t="str">
        <f>IF($C77,$R77-'Proyecto Datos (OKR´s)'!$K77+1,"")</f>
        <v/>
      </c>
      <c r="T77" s="163" t="str">
        <f ca="1">IF($C77,MAX(0,TODAY()-'Proyecto Datos (OKR´s)'!$K77),"")</f>
        <v/>
      </c>
      <c r="U77" s="163" t="str">
        <f ca="1">IF($C77,MEDIAN(0,(TODAY()-'Proyecto Datos (OKR´s)'!$K77)/MAX(1,$R77-'Proyecto Datos (OKR´s)'!$K77),1),"")</f>
        <v/>
      </c>
      <c r="V77" s="163" t="str">
        <f t="shared" si="48"/>
        <v/>
      </c>
      <c r="W77" s="163" t="str">
        <f t="shared" ca="1" si="49"/>
        <v/>
      </c>
      <c r="X77" s="163" t="str">
        <f t="shared" si="50"/>
        <v/>
      </c>
      <c r="Y77" s="163" t="str">
        <f t="shared" si="51"/>
        <v/>
      </c>
      <c r="Z77" s="163" t="str">
        <f ca="1">IF($C77,AND($I77=0,'Proyecto Datos (OKR´s)'!$K77&lt;=TODAY(),$J77&lt;&gt;"Completado"),"")</f>
        <v/>
      </c>
      <c r="AA77" s="163" t="str">
        <f t="shared" si="52"/>
        <v/>
      </c>
      <c r="AB77" s="164" t="str">
        <f t="shared" si="53"/>
        <v/>
      </c>
      <c r="AC77" s="164" t="str">
        <f t="shared" si="54"/>
        <v/>
      </c>
      <c r="AD77" s="163" t="str">
        <f>IF($C77,IF($N77=9999,9999,IF($J77="Completado",$N77,MAX($N77,Sprints!$M$15))),"")</f>
        <v/>
      </c>
      <c r="AE77" s="163" t="str">
        <f t="shared" si="55"/>
        <v/>
      </c>
      <c r="AF77" s="163" t="b">
        <f t="shared" si="56"/>
        <v>0</v>
      </c>
      <c r="AG77" s="163" t="str">
        <f t="shared" si="57"/>
        <v/>
      </c>
      <c r="AH77" s="164" t="str">
        <f>IF($AF77,IF(Sprints!$I77&lt;&gt;"",Sprints!$I77,"Comprometida y no completada al cierre del Sprint "&amp;$N77),"")</f>
        <v/>
      </c>
      <c r="AI77" s="163" t="str">
        <f t="shared" si="58"/>
        <v/>
      </c>
      <c r="AJ77" s="163" t="str">
        <f t="shared" si="59"/>
        <v/>
      </c>
      <c r="AK77" s="163" t="str">
        <f t="shared" si="60"/>
        <v/>
      </c>
      <c r="AL77" s="163" t="str">
        <f t="shared" si="61"/>
        <v/>
      </c>
      <c r="AM77" s="163" t="str">
        <f t="shared" si="62"/>
        <v/>
      </c>
      <c r="AN77" s="164" t="str">
        <f t="shared" si="63"/>
        <v/>
      </c>
      <c r="AO77" s="163" t="str">
        <f>IF($C77,IFERROR(INDEX(Sprints!$M$6:$M$13,MATCH($N77,Sprints!$K$6:$K$13,0)),""),"")</f>
        <v/>
      </c>
      <c r="AP77" s="163" t="str">
        <f t="shared" ca="1" si="64"/>
        <v/>
      </c>
    </row>
    <row r="78" spans="1:42" x14ac:dyDescent="0.35">
      <c r="A78" s="163">
        <f>ROW()</f>
        <v>78</v>
      </c>
      <c r="B78" s="163" t="b">
        <f>ISTEXT('Proyecto Datos (OKR´s)'!$K78)</f>
        <v>0</v>
      </c>
      <c r="C78" s="163" t="b">
        <f>AND(LEN('Proyecto Datos (OKR´s)'!$G78)&gt;0,NOT($B78),OR(ISNUMBER('Proyecto Datos (OKR´s)'!$F78),ISNUMBER('Proyecto Datos (OKR´s)'!$L78)))</f>
        <v>0</v>
      </c>
      <c r="D78" s="164" t="str">
        <f>IF($C78,IFERROR(LOOKUP(2,1/((ISTEXT('Proyecto Datos (OKR´s)'!$K$7:$K78))*(LEN('Proyecto Datos (OKR´s)'!$G$7:$G78)&gt;0)),'Proyecto Datos (OKR´s)'!$G$7:$G78),""),"")</f>
        <v/>
      </c>
      <c r="E78" s="163" t="str">
        <f>IF($C78,'Proyecto Datos (OKR´s)'!$E78,"")</f>
        <v/>
      </c>
      <c r="F78" s="164" t="str">
        <f>IF($C78,'Proyecto Datos (OKR´s)'!$G78,"")</f>
        <v/>
      </c>
      <c r="G78" s="164" t="str">
        <f>IF($C78,IF('Proyecto Datos (OKR´s)'!$I78="","(Sin asignar)",'Proyecto Datos (OKR´s)'!$I78),"")</f>
        <v/>
      </c>
      <c r="H78" s="163" t="str">
        <f>IF($C78,IF(ISNUMBER('Proyecto Datos (OKR´s)'!$F78),'Proyecto Datos (OKR´s)'!$F78,'Proyecto Datos (OKR´s)'!$L78),"")</f>
        <v/>
      </c>
      <c r="I78" s="163" t="str">
        <f>IF($C78,'Proyecto Datos (OKR´s)'!$J78,"")</f>
        <v/>
      </c>
      <c r="J78" s="164" t="str">
        <f ca="1">IF($C78,IF($I78&gt;=1,"Completado",IF($H78&lt;TODAY(),"Vencido",IF(($H78-TODAY())&lt;='Entregas Próximas'!$M$3,"Próximo a vencer","En curso"))),"")</f>
        <v/>
      </c>
      <c r="K78" s="163" t="str">
        <f t="shared" ca="1" si="44"/>
        <v/>
      </c>
      <c r="L78" s="163" t="str">
        <f t="shared" si="45"/>
        <v/>
      </c>
      <c r="M78" s="163" t="str">
        <f t="shared" si="46"/>
        <v/>
      </c>
      <c r="N78" s="163" t="str">
        <f>IF($C78,IF('Proyecto Datos (OKR´s)'!$E78="",9999,'Proyecto Datos (OKR´s)'!$E78),"")</f>
        <v/>
      </c>
      <c r="O78" s="163" t="str">
        <f t="shared" si="47"/>
        <v/>
      </c>
      <c r="R78" s="163" t="str">
        <f>IF($C78,IF(ISNUMBER('Proyecto Datos (OKR´s)'!$L78),'Proyecto Datos (OKR´s)'!$L78,$H78),"")</f>
        <v/>
      </c>
      <c r="S78" s="163" t="str">
        <f>IF($C78,$R78-'Proyecto Datos (OKR´s)'!$K78+1,"")</f>
        <v/>
      </c>
      <c r="T78" s="163" t="str">
        <f ca="1">IF($C78,MAX(0,TODAY()-'Proyecto Datos (OKR´s)'!$K78),"")</f>
        <v/>
      </c>
      <c r="U78" s="163" t="str">
        <f ca="1">IF($C78,MEDIAN(0,(TODAY()-'Proyecto Datos (OKR´s)'!$K78)/MAX(1,$R78-'Proyecto Datos (OKR´s)'!$K78),1),"")</f>
        <v/>
      </c>
      <c r="V78" s="163" t="str">
        <f t="shared" si="48"/>
        <v/>
      </c>
      <c r="W78" s="163" t="str">
        <f t="shared" ca="1" si="49"/>
        <v/>
      </c>
      <c r="X78" s="163" t="str">
        <f t="shared" si="50"/>
        <v/>
      </c>
      <c r="Y78" s="163" t="str">
        <f t="shared" si="51"/>
        <v/>
      </c>
      <c r="Z78" s="163" t="str">
        <f ca="1">IF($C78,AND($I78=0,'Proyecto Datos (OKR´s)'!$K78&lt;=TODAY(),$J78&lt;&gt;"Completado"),"")</f>
        <v/>
      </c>
      <c r="AA78" s="163" t="str">
        <f t="shared" si="52"/>
        <v/>
      </c>
      <c r="AB78" s="164" t="str">
        <f t="shared" si="53"/>
        <v/>
      </c>
      <c r="AC78" s="164" t="str">
        <f t="shared" si="54"/>
        <v/>
      </c>
      <c r="AD78" s="163" t="str">
        <f>IF($C78,IF($N78=9999,9999,IF($J78="Completado",$N78,MAX($N78,Sprints!$M$15))),"")</f>
        <v/>
      </c>
      <c r="AE78" s="163" t="str">
        <f t="shared" si="55"/>
        <v/>
      </c>
      <c r="AF78" s="163" t="b">
        <f t="shared" si="56"/>
        <v>0</v>
      </c>
      <c r="AG78" s="163" t="str">
        <f t="shared" si="57"/>
        <v/>
      </c>
      <c r="AH78" s="164" t="str">
        <f>IF($AF78,IF(Sprints!$I78&lt;&gt;"",Sprints!$I78,"Comprometida y no completada al cierre del Sprint "&amp;$N78),"")</f>
        <v/>
      </c>
      <c r="AI78" s="163" t="str">
        <f t="shared" si="58"/>
        <v/>
      </c>
      <c r="AJ78" s="163" t="str">
        <f t="shared" si="59"/>
        <v/>
      </c>
      <c r="AK78" s="163" t="str">
        <f t="shared" si="60"/>
        <v/>
      </c>
      <c r="AL78" s="163" t="str">
        <f t="shared" si="61"/>
        <v/>
      </c>
      <c r="AM78" s="163" t="str">
        <f t="shared" si="62"/>
        <v/>
      </c>
      <c r="AN78" s="164" t="str">
        <f t="shared" si="63"/>
        <v/>
      </c>
      <c r="AO78" s="163" t="str">
        <f>IF($C78,IFERROR(INDEX(Sprints!$M$6:$M$13,MATCH($N78,Sprints!$K$6:$K$13,0)),""),"")</f>
        <v/>
      </c>
      <c r="AP78" s="163" t="str">
        <f t="shared" ca="1" si="64"/>
        <v/>
      </c>
    </row>
    <row r="79" spans="1:42" x14ac:dyDescent="0.35">
      <c r="A79" s="163">
        <f>ROW()</f>
        <v>79</v>
      </c>
      <c r="B79" s="163" t="b">
        <f>ISTEXT('Proyecto Datos (OKR´s)'!$K79)</f>
        <v>0</v>
      </c>
      <c r="C79" s="163" t="b">
        <f>AND(LEN('Proyecto Datos (OKR´s)'!$G79)&gt;0,NOT($B79),OR(ISNUMBER('Proyecto Datos (OKR´s)'!$F79),ISNUMBER('Proyecto Datos (OKR´s)'!$L79)))</f>
        <v>0</v>
      </c>
      <c r="D79" s="164" t="str">
        <f>IF($C79,IFERROR(LOOKUP(2,1/((ISTEXT('Proyecto Datos (OKR´s)'!$K$7:$K79))*(LEN('Proyecto Datos (OKR´s)'!$G$7:$G79)&gt;0)),'Proyecto Datos (OKR´s)'!$G$7:$G79),""),"")</f>
        <v/>
      </c>
      <c r="E79" s="163" t="str">
        <f>IF($C79,'Proyecto Datos (OKR´s)'!$E79,"")</f>
        <v/>
      </c>
      <c r="F79" s="164" t="str">
        <f>IF($C79,'Proyecto Datos (OKR´s)'!$G79,"")</f>
        <v/>
      </c>
      <c r="G79" s="164" t="str">
        <f>IF($C79,IF('Proyecto Datos (OKR´s)'!$I79="","(Sin asignar)",'Proyecto Datos (OKR´s)'!$I79),"")</f>
        <v/>
      </c>
      <c r="H79" s="163" t="str">
        <f>IF($C79,IF(ISNUMBER('Proyecto Datos (OKR´s)'!$F79),'Proyecto Datos (OKR´s)'!$F79,'Proyecto Datos (OKR´s)'!$L79),"")</f>
        <v/>
      </c>
      <c r="I79" s="163" t="str">
        <f>IF($C79,'Proyecto Datos (OKR´s)'!$J79,"")</f>
        <v/>
      </c>
      <c r="J79" s="164" t="str">
        <f ca="1">IF($C79,IF($I79&gt;=1,"Completado",IF($H79&lt;TODAY(),"Vencido",IF(($H79-TODAY())&lt;='Entregas Próximas'!$M$3,"Próximo a vencer","En curso"))),"")</f>
        <v/>
      </c>
      <c r="K79" s="163" t="str">
        <f t="shared" ca="1" si="44"/>
        <v/>
      </c>
      <c r="L79" s="163" t="str">
        <f t="shared" si="45"/>
        <v/>
      </c>
      <c r="M79" s="163" t="str">
        <f t="shared" si="46"/>
        <v/>
      </c>
      <c r="N79" s="163" t="str">
        <f>IF($C79,IF('Proyecto Datos (OKR´s)'!$E79="",9999,'Proyecto Datos (OKR´s)'!$E79),"")</f>
        <v/>
      </c>
      <c r="O79" s="163" t="str">
        <f t="shared" si="47"/>
        <v/>
      </c>
      <c r="R79" s="163" t="str">
        <f>IF($C79,IF(ISNUMBER('Proyecto Datos (OKR´s)'!$L79),'Proyecto Datos (OKR´s)'!$L79,$H79),"")</f>
        <v/>
      </c>
      <c r="S79" s="163" t="str">
        <f>IF($C79,$R79-'Proyecto Datos (OKR´s)'!$K79+1,"")</f>
        <v/>
      </c>
      <c r="T79" s="163" t="str">
        <f ca="1">IF($C79,MAX(0,TODAY()-'Proyecto Datos (OKR´s)'!$K79),"")</f>
        <v/>
      </c>
      <c r="U79" s="163" t="str">
        <f ca="1">IF($C79,MEDIAN(0,(TODAY()-'Proyecto Datos (OKR´s)'!$K79)/MAX(1,$R79-'Proyecto Datos (OKR´s)'!$K79),1),"")</f>
        <v/>
      </c>
      <c r="V79" s="163" t="str">
        <f t="shared" si="48"/>
        <v/>
      </c>
      <c r="W79" s="163" t="str">
        <f t="shared" ca="1" si="49"/>
        <v/>
      </c>
      <c r="X79" s="163" t="str">
        <f t="shared" si="50"/>
        <v/>
      </c>
      <c r="Y79" s="163" t="str">
        <f t="shared" si="51"/>
        <v/>
      </c>
      <c r="Z79" s="163" t="str">
        <f ca="1">IF($C79,AND($I79=0,'Proyecto Datos (OKR´s)'!$K79&lt;=TODAY(),$J79&lt;&gt;"Completado"),"")</f>
        <v/>
      </c>
      <c r="AA79" s="163" t="str">
        <f t="shared" si="52"/>
        <v/>
      </c>
      <c r="AB79" s="164" t="str">
        <f t="shared" si="53"/>
        <v/>
      </c>
      <c r="AC79" s="164" t="str">
        <f t="shared" si="54"/>
        <v/>
      </c>
      <c r="AD79" s="163" t="str">
        <f>IF($C79,IF($N79=9999,9999,IF($J79="Completado",$N79,MAX($N79,Sprints!$M$15))),"")</f>
        <v/>
      </c>
      <c r="AE79" s="163" t="str">
        <f t="shared" si="55"/>
        <v/>
      </c>
      <c r="AF79" s="163" t="b">
        <f t="shared" si="56"/>
        <v>0</v>
      </c>
      <c r="AG79" s="163" t="str">
        <f t="shared" si="57"/>
        <v/>
      </c>
      <c r="AH79" s="164" t="str">
        <f>IF($AF79,IF(Sprints!$I79&lt;&gt;"",Sprints!$I79,"Comprometida y no completada al cierre del Sprint "&amp;$N79),"")</f>
        <v/>
      </c>
      <c r="AI79" s="163" t="str">
        <f t="shared" si="58"/>
        <v/>
      </c>
      <c r="AJ79" s="163" t="str">
        <f t="shared" si="59"/>
        <v/>
      </c>
      <c r="AK79" s="163" t="str">
        <f t="shared" si="60"/>
        <v/>
      </c>
      <c r="AL79" s="163" t="str">
        <f t="shared" si="61"/>
        <v/>
      </c>
      <c r="AM79" s="163" t="str">
        <f t="shared" si="62"/>
        <v/>
      </c>
      <c r="AN79" s="164" t="str">
        <f t="shared" si="63"/>
        <v/>
      </c>
      <c r="AO79" s="163" t="str">
        <f>IF($C79,IFERROR(INDEX(Sprints!$M$6:$M$13,MATCH($N79,Sprints!$K$6:$K$13,0)),""),"")</f>
        <v/>
      </c>
      <c r="AP79" s="163" t="str">
        <f t="shared" ca="1" si="64"/>
        <v/>
      </c>
    </row>
    <row r="80" spans="1:42" x14ac:dyDescent="0.35">
      <c r="A80" s="163">
        <f>ROW()</f>
        <v>80</v>
      </c>
      <c r="B80" s="163" t="b">
        <f>ISTEXT('Proyecto Datos (OKR´s)'!$K80)</f>
        <v>0</v>
      </c>
      <c r="C80" s="163" t="b">
        <f>AND(LEN('Proyecto Datos (OKR´s)'!$G80)&gt;0,NOT($B80),OR(ISNUMBER('Proyecto Datos (OKR´s)'!$F80),ISNUMBER('Proyecto Datos (OKR´s)'!$L80)))</f>
        <v>0</v>
      </c>
      <c r="D80" s="164" t="str">
        <f>IF($C80,IFERROR(LOOKUP(2,1/((ISTEXT('Proyecto Datos (OKR´s)'!$K$7:$K80))*(LEN('Proyecto Datos (OKR´s)'!$G$7:$G80)&gt;0)),'Proyecto Datos (OKR´s)'!$G$7:$G80),""),"")</f>
        <v/>
      </c>
      <c r="E80" s="163" t="str">
        <f>IF($C80,'Proyecto Datos (OKR´s)'!$E80,"")</f>
        <v/>
      </c>
      <c r="F80" s="164" t="str">
        <f>IF($C80,'Proyecto Datos (OKR´s)'!$G80,"")</f>
        <v/>
      </c>
      <c r="G80" s="164" t="str">
        <f>IF($C80,IF('Proyecto Datos (OKR´s)'!$I80="","(Sin asignar)",'Proyecto Datos (OKR´s)'!$I80),"")</f>
        <v/>
      </c>
      <c r="H80" s="163" t="str">
        <f>IF($C80,IF(ISNUMBER('Proyecto Datos (OKR´s)'!$F80),'Proyecto Datos (OKR´s)'!$F80,'Proyecto Datos (OKR´s)'!$L80),"")</f>
        <v/>
      </c>
      <c r="I80" s="163" t="str">
        <f>IF($C80,'Proyecto Datos (OKR´s)'!$J80,"")</f>
        <v/>
      </c>
      <c r="J80" s="164" t="str">
        <f ca="1">IF($C80,IF($I80&gt;=1,"Completado",IF($H80&lt;TODAY(),"Vencido",IF(($H80-TODAY())&lt;='Entregas Próximas'!$M$3,"Próximo a vencer","En curso"))),"")</f>
        <v/>
      </c>
      <c r="K80" s="163" t="str">
        <f t="shared" ca="1" si="44"/>
        <v/>
      </c>
      <c r="L80" s="163" t="str">
        <f t="shared" si="45"/>
        <v/>
      </c>
      <c r="M80" s="163" t="str">
        <f t="shared" si="46"/>
        <v/>
      </c>
      <c r="N80" s="163" t="str">
        <f>IF($C80,IF('Proyecto Datos (OKR´s)'!$E80="",9999,'Proyecto Datos (OKR´s)'!$E80),"")</f>
        <v/>
      </c>
      <c r="O80" s="163" t="str">
        <f t="shared" si="47"/>
        <v/>
      </c>
      <c r="R80" s="163" t="str">
        <f>IF($C80,IF(ISNUMBER('Proyecto Datos (OKR´s)'!$L80),'Proyecto Datos (OKR´s)'!$L80,$H80),"")</f>
        <v/>
      </c>
      <c r="S80" s="163" t="str">
        <f>IF($C80,$R80-'Proyecto Datos (OKR´s)'!$K80+1,"")</f>
        <v/>
      </c>
      <c r="T80" s="163" t="str">
        <f ca="1">IF($C80,MAX(0,TODAY()-'Proyecto Datos (OKR´s)'!$K80),"")</f>
        <v/>
      </c>
      <c r="U80" s="163" t="str">
        <f ca="1">IF($C80,MEDIAN(0,(TODAY()-'Proyecto Datos (OKR´s)'!$K80)/MAX(1,$R80-'Proyecto Datos (OKR´s)'!$K80),1),"")</f>
        <v/>
      </c>
      <c r="V80" s="163" t="str">
        <f t="shared" si="48"/>
        <v/>
      </c>
      <c r="W80" s="163" t="str">
        <f t="shared" ca="1" si="49"/>
        <v/>
      </c>
      <c r="X80" s="163" t="str">
        <f t="shared" si="50"/>
        <v/>
      </c>
      <c r="Y80" s="163" t="str">
        <f t="shared" si="51"/>
        <v/>
      </c>
      <c r="Z80" s="163" t="str">
        <f ca="1">IF($C80,AND($I80=0,'Proyecto Datos (OKR´s)'!$K80&lt;=TODAY(),$J80&lt;&gt;"Completado"),"")</f>
        <v/>
      </c>
      <c r="AA80" s="163" t="str">
        <f t="shared" si="52"/>
        <v/>
      </c>
      <c r="AB80" s="164" t="str">
        <f t="shared" si="53"/>
        <v/>
      </c>
      <c r="AC80" s="164" t="str">
        <f t="shared" si="54"/>
        <v/>
      </c>
      <c r="AD80" s="163" t="str">
        <f>IF($C80,IF($N80=9999,9999,IF($J80="Completado",$N80,MAX($N80,Sprints!$M$15))),"")</f>
        <v/>
      </c>
      <c r="AE80" s="163" t="str">
        <f t="shared" si="55"/>
        <v/>
      </c>
      <c r="AF80" s="163" t="b">
        <f t="shared" si="56"/>
        <v>0</v>
      </c>
      <c r="AG80" s="163" t="str">
        <f t="shared" si="57"/>
        <v/>
      </c>
      <c r="AH80" s="164" t="str">
        <f>IF($AF80,IF(Sprints!$I80&lt;&gt;"",Sprints!$I80,"Comprometida y no completada al cierre del Sprint "&amp;$N80),"")</f>
        <v/>
      </c>
      <c r="AI80" s="163" t="str">
        <f t="shared" si="58"/>
        <v/>
      </c>
      <c r="AJ80" s="163" t="str">
        <f t="shared" si="59"/>
        <v/>
      </c>
      <c r="AK80" s="163" t="str">
        <f t="shared" si="60"/>
        <v/>
      </c>
      <c r="AL80" s="163" t="str">
        <f t="shared" si="61"/>
        <v/>
      </c>
      <c r="AM80" s="163" t="str">
        <f t="shared" si="62"/>
        <v/>
      </c>
      <c r="AN80" s="164" t="str">
        <f t="shared" si="63"/>
        <v/>
      </c>
      <c r="AO80" s="163" t="str">
        <f>IF($C80,IFERROR(INDEX(Sprints!$M$6:$M$13,MATCH($N80,Sprints!$K$6:$K$13,0)),""),"")</f>
        <v/>
      </c>
      <c r="AP80" s="163" t="str">
        <f t="shared" ca="1" si="64"/>
        <v/>
      </c>
    </row>
    <row r="81" spans="1:42" x14ac:dyDescent="0.35">
      <c r="A81" s="163">
        <f>ROW()</f>
        <v>81</v>
      </c>
      <c r="B81" s="163" t="b">
        <f>ISTEXT('Proyecto Datos (OKR´s)'!$K81)</f>
        <v>0</v>
      </c>
      <c r="C81" s="163" t="b">
        <f>AND(LEN('Proyecto Datos (OKR´s)'!$G81)&gt;0,NOT($B81),OR(ISNUMBER('Proyecto Datos (OKR´s)'!$F81),ISNUMBER('Proyecto Datos (OKR´s)'!$L81)))</f>
        <v>0</v>
      </c>
      <c r="D81" s="164" t="str">
        <f>IF($C81,IFERROR(LOOKUP(2,1/((ISTEXT('Proyecto Datos (OKR´s)'!$K$7:$K81))*(LEN('Proyecto Datos (OKR´s)'!$G$7:$G81)&gt;0)),'Proyecto Datos (OKR´s)'!$G$7:$G81),""),"")</f>
        <v/>
      </c>
      <c r="E81" s="163" t="str">
        <f>IF($C81,'Proyecto Datos (OKR´s)'!$E81,"")</f>
        <v/>
      </c>
      <c r="F81" s="164" t="str">
        <f>IF($C81,'Proyecto Datos (OKR´s)'!$G81,"")</f>
        <v/>
      </c>
      <c r="G81" s="164" t="str">
        <f>IF($C81,IF('Proyecto Datos (OKR´s)'!$I81="","(Sin asignar)",'Proyecto Datos (OKR´s)'!$I81),"")</f>
        <v/>
      </c>
      <c r="H81" s="163" t="str">
        <f>IF($C81,IF(ISNUMBER('Proyecto Datos (OKR´s)'!$F81),'Proyecto Datos (OKR´s)'!$F81,'Proyecto Datos (OKR´s)'!$L81),"")</f>
        <v/>
      </c>
      <c r="I81" s="163" t="str">
        <f>IF($C81,'Proyecto Datos (OKR´s)'!$J81,"")</f>
        <v/>
      </c>
      <c r="J81" s="164" t="str">
        <f ca="1">IF($C81,IF($I81&gt;=1,"Completado",IF($H81&lt;TODAY(),"Vencido",IF(($H81-TODAY())&lt;='Entregas Próximas'!$M$3,"Próximo a vencer","En curso"))),"")</f>
        <v/>
      </c>
      <c r="K81" s="163" t="str">
        <f t="shared" ca="1" si="44"/>
        <v/>
      </c>
      <c r="L81" s="163" t="str">
        <f t="shared" si="45"/>
        <v/>
      </c>
      <c r="M81" s="163" t="str">
        <f t="shared" si="46"/>
        <v/>
      </c>
      <c r="N81" s="163" t="str">
        <f>IF($C81,IF('Proyecto Datos (OKR´s)'!$E81="",9999,'Proyecto Datos (OKR´s)'!$E81),"")</f>
        <v/>
      </c>
      <c r="O81" s="163" t="str">
        <f t="shared" si="47"/>
        <v/>
      </c>
      <c r="R81" s="163" t="str">
        <f>IF($C81,IF(ISNUMBER('Proyecto Datos (OKR´s)'!$L81),'Proyecto Datos (OKR´s)'!$L81,$H81),"")</f>
        <v/>
      </c>
      <c r="S81" s="163" t="str">
        <f>IF($C81,$R81-'Proyecto Datos (OKR´s)'!$K81+1,"")</f>
        <v/>
      </c>
      <c r="T81" s="163" t="str">
        <f ca="1">IF($C81,MAX(0,TODAY()-'Proyecto Datos (OKR´s)'!$K81),"")</f>
        <v/>
      </c>
      <c r="U81" s="163" t="str">
        <f ca="1">IF($C81,MEDIAN(0,(TODAY()-'Proyecto Datos (OKR´s)'!$K81)/MAX(1,$R81-'Proyecto Datos (OKR´s)'!$K81),1),"")</f>
        <v/>
      </c>
      <c r="V81" s="163" t="str">
        <f t="shared" si="48"/>
        <v/>
      </c>
      <c r="W81" s="163" t="str">
        <f t="shared" ca="1" si="49"/>
        <v/>
      </c>
      <c r="X81" s="163" t="str">
        <f t="shared" si="50"/>
        <v/>
      </c>
      <c r="Y81" s="163" t="str">
        <f t="shared" si="51"/>
        <v/>
      </c>
      <c r="Z81" s="163" t="str">
        <f ca="1">IF($C81,AND($I81=0,'Proyecto Datos (OKR´s)'!$K81&lt;=TODAY(),$J81&lt;&gt;"Completado"),"")</f>
        <v/>
      </c>
      <c r="AA81" s="163" t="str">
        <f t="shared" si="52"/>
        <v/>
      </c>
      <c r="AB81" s="164" t="str">
        <f t="shared" si="53"/>
        <v/>
      </c>
      <c r="AC81" s="164" t="str">
        <f t="shared" si="54"/>
        <v/>
      </c>
      <c r="AD81" s="163" t="str">
        <f>IF($C81,IF($N81=9999,9999,IF($J81="Completado",$N81,MAX($N81,Sprints!$M$15))),"")</f>
        <v/>
      </c>
      <c r="AE81" s="163" t="str">
        <f t="shared" si="55"/>
        <v/>
      </c>
      <c r="AF81" s="163" t="b">
        <f t="shared" si="56"/>
        <v>0</v>
      </c>
      <c r="AG81" s="163" t="str">
        <f t="shared" si="57"/>
        <v/>
      </c>
      <c r="AH81" s="164" t="str">
        <f>IF($AF81,IF(Sprints!$I81&lt;&gt;"",Sprints!$I81,"Comprometida y no completada al cierre del Sprint "&amp;$N81),"")</f>
        <v/>
      </c>
      <c r="AI81" s="163" t="str">
        <f t="shared" si="58"/>
        <v/>
      </c>
      <c r="AJ81" s="163" t="str">
        <f t="shared" si="59"/>
        <v/>
      </c>
      <c r="AK81" s="163" t="str">
        <f t="shared" si="60"/>
        <v/>
      </c>
      <c r="AL81" s="163" t="str">
        <f t="shared" si="61"/>
        <v/>
      </c>
      <c r="AM81" s="163" t="str">
        <f t="shared" si="62"/>
        <v/>
      </c>
      <c r="AN81" s="164" t="str">
        <f t="shared" si="63"/>
        <v/>
      </c>
      <c r="AO81" s="163" t="str">
        <f>IF($C81,IFERROR(INDEX(Sprints!$M$6:$M$13,MATCH($N81,Sprints!$K$6:$K$13,0)),""),"")</f>
        <v/>
      </c>
      <c r="AP81" s="163" t="str">
        <f t="shared" ca="1" si="64"/>
        <v/>
      </c>
    </row>
    <row r="82" spans="1:42" x14ac:dyDescent="0.35">
      <c r="A82" s="163">
        <f>ROW()</f>
        <v>82</v>
      </c>
      <c r="B82" s="163" t="b">
        <f>ISTEXT('Proyecto Datos (OKR´s)'!$K82)</f>
        <v>0</v>
      </c>
      <c r="C82" s="163" t="b">
        <f>AND(LEN('Proyecto Datos (OKR´s)'!$G82)&gt;0,NOT($B82),OR(ISNUMBER('Proyecto Datos (OKR´s)'!$F82),ISNUMBER('Proyecto Datos (OKR´s)'!$L82)))</f>
        <v>0</v>
      </c>
      <c r="D82" s="164" t="str">
        <f>IF($C82,IFERROR(LOOKUP(2,1/((ISTEXT('Proyecto Datos (OKR´s)'!$K$7:$K82))*(LEN('Proyecto Datos (OKR´s)'!$G$7:$G82)&gt;0)),'Proyecto Datos (OKR´s)'!$G$7:$G82),""),"")</f>
        <v/>
      </c>
      <c r="E82" s="163" t="str">
        <f>IF($C82,'Proyecto Datos (OKR´s)'!$E82,"")</f>
        <v/>
      </c>
      <c r="F82" s="164" t="str">
        <f>IF($C82,'Proyecto Datos (OKR´s)'!$G82,"")</f>
        <v/>
      </c>
      <c r="G82" s="164" t="str">
        <f>IF($C82,IF('Proyecto Datos (OKR´s)'!$I82="","(Sin asignar)",'Proyecto Datos (OKR´s)'!$I82),"")</f>
        <v/>
      </c>
      <c r="H82" s="163" t="str">
        <f>IF($C82,IF(ISNUMBER('Proyecto Datos (OKR´s)'!$F82),'Proyecto Datos (OKR´s)'!$F82,'Proyecto Datos (OKR´s)'!$L82),"")</f>
        <v/>
      </c>
      <c r="I82" s="163" t="str">
        <f>IF($C82,'Proyecto Datos (OKR´s)'!$J82,"")</f>
        <v/>
      </c>
      <c r="J82" s="164" t="str">
        <f ca="1">IF($C82,IF($I82&gt;=1,"Completado",IF($H82&lt;TODAY(),"Vencido",IF(($H82-TODAY())&lt;='Entregas Próximas'!$M$3,"Próximo a vencer","En curso"))),"")</f>
        <v/>
      </c>
      <c r="K82" s="163" t="str">
        <f t="shared" ca="1" si="44"/>
        <v/>
      </c>
      <c r="L82" s="163" t="str">
        <f t="shared" si="45"/>
        <v/>
      </c>
      <c r="M82" s="163" t="str">
        <f t="shared" si="46"/>
        <v/>
      </c>
      <c r="N82" s="163" t="str">
        <f>IF($C82,IF('Proyecto Datos (OKR´s)'!$E82="",9999,'Proyecto Datos (OKR´s)'!$E82),"")</f>
        <v/>
      </c>
      <c r="O82" s="163" t="str">
        <f t="shared" si="47"/>
        <v/>
      </c>
      <c r="R82" s="163" t="str">
        <f>IF($C82,IF(ISNUMBER('Proyecto Datos (OKR´s)'!$L82),'Proyecto Datos (OKR´s)'!$L82,$H82),"")</f>
        <v/>
      </c>
      <c r="S82" s="163" t="str">
        <f>IF($C82,$R82-'Proyecto Datos (OKR´s)'!$K82+1,"")</f>
        <v/>
      </c>
      <c r="T82" s="163" t="str">
        <f ca="1">IF($C82,MAX(0,TODAY()-'Proyecto Datos (OKR´s)'!$K82),"")</f>
        <v/>
      </c>
      <c r="U82" s="163" t="str">
        <f ca="1">IF($C82,MEDIAN(0,(TODAY()-'Proyecto Datos (OKR´s)'!$K82)/MAX(1,$R82-'Proyecto Datos (OKR´s)'!$K82),1),"")</f>
        <v/>
      </c>
      <c r="V82" s="163" t="str">
        <f t="shared" si="48"/>
        <v/>
      </c>
      <c r="W82" s="163" t="str">
        <f t="shared" ca="1" si="49"/>
        <v/>
      </c>
      <c r="X82" s="163" t="str">
        <f t="shared" si="50"/>
        <v/>
      </c>
      <c r="Y82" s="163" t="str">
        <f t="shared" si="51"/>
        <v/>
      </c>
      <c r="Z82" s="163" t="str">
        <f ca="1">IF($C82,AND($I82=0,'Proyecto Datos (OKR´s)'!$K82&lt;=TODAY(),$J82&lt;&gt;"Completado"),"")</f>
        <v/>
      </c>
      <c r="AA82" s="163" t="str">
        <f t="shared" si="52"/>
        <v/>
      </c>
      <c r="AB82" s="164" t="str">
        <f t="shared" si="53"/>
        <v/>
      </c>
      <c r="AC82" s="164" t="str">
        <f t="shared" si="54"/>
        <v/>
      </c>
      <c r="AD82" s="163" t="str">
        <f>IF($C82,IF($N82=9999,9999,IF($J82="Completado",$N82,MAX($N82,Sprints!$M$15))),"")</f>
        <v/>
      </c>
      <c r="AE82" s="163" t="str">
        <f t="shared" si="55"/>
        <v/>
      </c>
      <c r="AF82" s="163" t="b">
        <f t="shared" si="56"/>
        <v>0</v>
      </c>
      <c r="AG82" s="163" t="str">
        <f t="shared" si="57"/>
        <v/>
      </c>
      <c r="AH82" s="164" t="str">
        <f>IF($AF82,IF(Sprints!$I82&lt;&gt;"",Sprints!$I82,"Comprometida y no completada al cierre del Sprint "&amp;$N82),"")</f>
        <v/>
      </c>
      <c r="AI82" s="163" t="str">
        <f t="shared" si="58"/>
        <v/>
      </c>
      <c r="AJ82" s="163" t="str">
        <f t="shared" si="59"/>
        <v/>
      </c>
      <c r="AK82" s="163" t="str">
        <f t="shared" si="60"/>
        <v/>
      </c>
      <c r="AL82" s="163" t="str">
        <f t="shared" si="61"/>
        <v/>
      </c>
      <c r="AM82" s="163" t="str">
        <f t="shared" si="62"/>
        <v/>
      </c>
      <c r="AN82" s="164" t="str">
        <f t="shared" si="63"/>
        <v/>
      </c>
      <c r="AO82" s="163" t="str">
        <f>IF($C82,IFERROR(INDEX(Sprints!$M$6:$M$13,MATCH($N82,Sprints!$K$6:$K$13,0)),""),"")</f>
        <v/>
      </c>
      <c r="AP82" s="163" t="str">
        <f t="shared" ca="1" si="64"/>
        <v/>
      </c>
    </row>
    <row r="83" spans="1:42" x14ac:dyDescent="0.35">
      <c r="A83" s="163">
        <f>ROW()</f>
        <v>83</v>
      </c>
      <c r="B83" s="163" t="b">
        <f>ISTEXT('Proyecto Datos (OKR´s)'!$K83)</f>
        <v>0</v>
      </c>
      <c r="C83" s="163" t="b">
        <f>AND(LEN('Proyecto Datos (OKR´s)'!$G83)&gt;0,NOT($B83),OR(ISNUMBER('Proyecto Datos (OKR´s)'!$F83),ISNUMBER('Proyecto Datos (OKR´s)'!$L83)))</f>
        <v>0</v>
      </c>
      <c r="D83" s="164" t="str">
        <f>IF($C83,IFERROR(LOOKUP(2,1/((ISTEXT('Proyecto Datos (OKR´s)'!$K$7:$K83))*(LEN('Proyecto Datos (OKR´s)'!$G$7:$G83)&gt;0)),'Proyecto Datos (OKR´s)'!$G$7:$G83),""),"")</f>
        <v/>
      </c>
      <c r="E83" s="163" t="str">
        <f>IF($C83,'Proyecto Datos (OKR´s)'!$E83,"")</f>
        <v/>
      </c>
      <c r="F83" s="164" t="str">
        <f>IF($C83,'Proyecto Datos (OKR´s)'!$G83,"")</f>
        <v/>
      </c>
      <c r="G83" s="164" t="str">
        <f>IF($C83,IF('Proyecto Datos (OKR´s)'!$I83="","(Sin asignar)",'Proyecto Datos (OKR´s)'!$I83),"")</f>
        <v/>
      </c>
      <c r="H83" s="163" t="str">
        <f>IF($C83,IF(ISNUMBER('Proyecto Datos (OKR´s)'!$F83),'Proyecto Datos (OKR´s)'!$F83,'Proyecto Datos (OKR´s)'!$L83),"")</f>
        <v/>
      </c>
      <c r="I83" s="163" t="str">
        <f>IF($C83,'Proyecto Datos (OKR´s)'!$J83,"")</f>
        <v/>
      </c>
      <c r="J83" s="164" t="str">
        <f ca="1">IF($C83,IF($I83&gt;=1,"Completado",IF($H83&lt;TODAY(),"Vencido",IF(($H83-TODAY())&lt;='Entregas Próximas'!$M$3,"Próximo a vencer","En curso"))),"")</f>
        <v/>
      </c>
      <c r="K83" s="163" t="str">
        <f t="shared" ca="1" si="44"/>
        <v/>
      </c>
      <c r="L83" s="163" t="str">
        <f t="shared" si="45"/>
        <v/>
      </c>
      <c r="M83" s="163" t="str">
        <f t="shared" si="46"/>
        <v/>
      </c>
      <c r="N83" s="163" t="str">
        <f>IF($C83,IF('Proyecto Datos (OKR´s)'!$E83="",9999,'Proyecto Datos (OKR´s)'!$E83),"")</f>
        <v/>
      </c>
      <c r="O83" s="163" t="str">
        <f t="shared" si="47"/>
        <v/>
      </c>
      <c r="R83" s="163" t="str">
        <f>IF($C83,IF(ISNUMBER('Proyecto Datos (OKR´s)'!$L83),'Proyecto Datos (OKR´s)'!$L83,$H83),"")</f>
        <v/>
      </c>
      <c r="S83" s="163" t="str">
        <f>IF($C83,$R83-'Proyecto Datos (OKR´s)'!$K83+1,"")</f>
        <v/>
      </c>
      <c r="T83" s="163" t="str">
        <f ca="1">IF($C83,MAX(0,TODAY()-'Proyecto Datos (OKR´s)'!$K83),"")</f>
        <v/>
      </c>
      <c r="U83" s="163" t="str">
        <f ca="1">IF($C83,MEDIAN(0,(TODAY()-'Proyecto Datos (OKR´s)'!$K83)/MAX(1,$R83-'Proyecto Datos (OKR´s)'!$K83),1),"")</f>
        <v/>
      </c>
      <c r="V83" s="163" t="str">
        <f t="shared" si="48"/>
        <v/>
      </c>
      <c r="W83" s="163" t="str">
        <f t="shared" ca="1" si="49"/>
        <v/>
      </c>
      <c r="X83" s="163" t="str">
        <f t="shared" si="50"/>
        <v/>
      </c>
      <c r="Y83" s="163" t="str">
        <f t="shared" si="51"/>
        <v/>
      </c>
      <c r="Z83" s="163" t="str">
        <f ca="1">IF($C83,AND($I83=0,'Proyecto Datos (OKR´s)'!$K83&lt;=TODAY(),$J83&lt;&gt;"Completado"),"")</f>
        <v/>
      </c>
      <c r="AA83" s="163" t="str">
        <f t="shared" si="52"/>
        <v/>
      </c>
      <c r="AB83" s="164" t="str">
        <f t="shared" si="53"/>
        <v/>
      </c>
      <c r="AC83" s="164" t="str">
        <f t="shared" si="54"/>
        <v/>
      </c>
      <c r="AD83" s="163" t="str">
        <f>IF($C83,IF($N83=9999,9999,IF($J83="Completado",$N83,MAX($N83,Sprints!$M$15))),"")</f>
        <v/>
      </c>
      <c r="AE83" s="163" t="str">
        <f t="shared" si="55"/>
        <v/>
      </c>
      <c r="AF83" s="163" t="b">
        <f t="shared" si="56"/>
        <v>0</v>
      </c>
      <c r="AG83" s="163" t="str">
        <f t="shared" si="57"/>
        <v/>
      </c>
      <c r="AH83" s="164" t="str">
        <f>IF($AF83,IF(Sprints!$I83&lt;&gt;"",Sprints!$I83,"Comprometida y no completada al cierre del Sprint "&amp;$N83),"")</f>
        <v/>
      </c>
      <c r="AI83" s="163" t="str">
        <f t="shared" si="58"/>
        <v/>
      </c>
      <c r="AJ83" s="163" t="str">
        <f t="shared" si="59"/>
        <v/>
      </c>
      <c r="AK83" s="163" t="str">
        <f t="shared" si="60"/>
        <v/>
      </c>
      <c r="AL83" s="163" t="str">
        <f t="shared" si="61"/>
        <v/>
      </c>
      <c r="AM83" s="163" t="str">
        <f t="shared" si="62"/>
        <v/>
      </c>
      <c r="AN83" s="164" t="str">
        <f t="shared" si="63"/>
        <v/>
      </c>
      <c r="AO83" s="163" t="str">
        <f>IF($C83,IFERROR(INDEX(Sprints!$M$6:$M$13,MATCH($N83,Sprints!$K$6:$K$13,0)),""),"")</f>
        <v/>
      </c>
      <c r="AP83" s="163" t="str">
        <f t="shared" ca="1" si="64"/>
        <v/>
      </c>
    </row>
    <row r="84" spans="1:42" x14ac:dyDescent="0.35">
      <c r="A84" s="163">
        <f>ROW()</f>
        <v>84</v>
      </c>
      <c r="B84" s="163" t="b">
        <f>ISTEXT('Proyecto Datos (OKR´s)'!$K84)</f>
        <v>0</v>
      </c>
      <c r="C84" s="163" t="b">
        <f>AND(LEN('Proyecto Datos (OKR´s)'!$G84)&gt;0,NOT($B84),OR(ISNUMBER('Proyecto Datos (OKR´s)'!$F84),ISNUMBER('Proyecto Datos (OKR´s)'!$L84)))</f>
        <v>0</v>
      </c>
      <c r="D84" s="164" t="str">
        <f>IF($C84,IFERROR(LOOKUP(2,1/((ISTEXT('Proyecto Datos (OKR´s)'!$K$7:$K84))*(LEN('Proyecto Datos (OKR´s)'!$G$7:$G84)&gt;0)),'Proyecto Datos (OKR´s)'!$G$7:$G84),""),"")</f>
        <v/>
      </c>
      <c r="E84" s="163" t="str">
        <f>IF($C84,'Proyecto Datos (OKR´s)'!$E84,"")</f>
        <v/>
      </c>
      <c r="F84" s="164" t="str">
        <f>IF($C84,'Proyecto Datos (OKR´s)'!$G84,"")</f>
        <v/>
      </c>
      <c r="G84" s="164" t="str">
        <f>IF($C84,IF('Proyecto Datos (OKR´s)'!$I84="","(Sin asignar)",'Proyecto Datos (OKR´s)'!$I84),"")</f>
        <v/>
      </c>
      <c r="H84" s="163" t="str">
        <f>IF($C84,IF(ISNUMBER('Proyecto Datos (OKR´s)'!$F84),'Proyecto Datos (OKR´s)'!$F84,'Proyecto Datos (OKR´s)'!$L84),"")</f>
        <v/>
      </c>
      <c r="I84" s="163" t="str">
        <f>IF($C84,'Proyecto Datos (OKR´s)'!$J84,"")</f>
        <v/>
      </c>
      <c r="J84" s="164" t="str">
        <f ca="1">IF($C84,IF($I84&gt;=1,"Completado",IF($H84&lt;TODAY(),"Vencido",IF(($H84-TODAY())&lt;='Entregas Próximas'!$M$3,"Próximo a vencer","En curso"))),"")</f>
        <v/>
      </c>
      <c r="K84" s="163" t="str">
        <f t="shared" ca="1" si="44"/>
        <v/>
      </c>
      <c r="L84" s="163" t="str">
        <f t="shared" si="45"/>
        <v/>
      </c>
      <c r="M84" s="163" t="str">
        <f t="shared" si="46"/>
        <v/>
      </c>
      <c r="N84" s="163" t="str">
        <f>IF($C84,IF('Proyecto Datos (OKR´s)'!$E84="",9999,'Proyecto Datos (OKR´s)'!$E84),"")</f>
        <v/>
      </c>
      <c r="O84" s="163" t="str">
        <f t="shared" si="47"/>
        <v/>
      </c>
      <c r="R84" s="163" t="str">
        <f>IF($C84,IF(ISNUMBER('Proyecto Datos (OKR´s)'!$L84),'Proyecto Datos (OKR´s)'!$L84,$H84),"")</f>
        <v/>
      </c>
      <c r="S84" s="163" t="str">
        <f>IF($C84,$R84-'Proyecto Datos (OKR´s)'!$K84+1,"")</f>
        <v/>
      </c>
      <c r="T84" s="163" t="str">
        <f ca="1">IF($C84,MAX(0,TODAY()-'Proyecto Datos (OKR´s)'!$K84),"")</f>
        <v/>
      </c>
      <c r="U84" s="163" t="str">
        <f ca="1">IF($C84,MEDIAN(0,(TODAY()-'Proyecto Datos (OKR´s)'!$K84)/MAX(1,$R84-'Proyecto Datos (OKR´s)'!$K84),1),"")</f>
        <v/>
      </c>
      <c r="V84" s="163" t="str">
        <f t="shared" si="48"/>
        <v/>
      </c>
      <c r="W84" s="163" t="str">
        <f t="shared" ca="1" si="49"/>
        <v/>
      </c>
      <c r="X84" s="163" t="str">
        <f t="shared" si="50"/>
        <v/>
      </c>
      <c r="Y84" s="163" t="str">
        <f t="shared" si="51"/>
        <v/>
      </c>
      <c r="Z84" s="163" t="str">
        <f ca="1">IF($C84,AND($I84=0,'Proyecto Datos (OKR´s)'!$K84&lt;=TODAY(),$J84&lt;&gt;"Completado"),"")</f>
        <v/>
      </c>
      <c r="AA84" s="163" t="str">
        <f t="shared" si="52"/>
        <v/>
      </c>
      <c r="AB84" s="164" t="str">
        <f t="shared" si="53"/>
        <v/>
      </c>
      <c r="AC84" s="164" t="str">
        <f t="shared" si="54"/>
        <v/>
      </c>
      <c r="AD84" s="163" t="str">
        <f>IF($C84,IF($N84=9999,9999,IF($J84="Completado",$N84,MAX($N84,Sprints!$M$15))),"")</f>
        <v/>
      </c>
      <c r="AE84" s="163" t="str">
        <f t="shared" si="55"/>
        <v/>
      </c>
      <c r="AF84" s="163" t="b">
        <f t="shared" si="56"/>
        <v>0</v>
      </c>
      <c r="AG84" s="163" t="str">
        <f t="shared" si="57"/>
        <v/>
      </c>
      <c r="AH84" s="164" t="str">
        <f>IF($AF84,IF(Sprints!$I84&lt;&gt;"",Sprints!$I84,"Comprometida y no completada al cierre del Sprint "&amp;$N84),"")</f>
        <v/>
      </c>
      <c r="AI84" s="163" t="str">
        <f t="shared" si="58"/>
        <v/>
      </c>
      <c r="AJ84" s="163" t="str">
        <f t="shared" si="59"/>
        <v/>
      </c>
      <c r="AK84" s="163" t="str">
        <f t="shared" si="60"/>
        <v/>
      </c>
      <c r="AL84" s="163" t="str">
        <f t="shared" si="61"/>
        <v/>
      </c>
      <c r="AM84" s="163" t="str">
        <f t="shared" si="62"/>
        <v/>
      </c>
      <c r="AN84" s="164" t="str">
        <f t="shared" si="63"/>
        <v/>
      </c>
      <c r="AO84" s="163" t="str">
        <f>IF($C84,IFERROR(INDEX(Sprints!$M$6:$M$13,MATCH($N84,Sprints!$K$6:$K$13,0)),""),"")</f>
        <v/>
      </c>
      <c r="AP84" s="163" t="str">
        <f t="shared" ca="1" si="64"/>
        <v/>
      </c>
    </row>
    <row r="85" spans="1:42" x14ac:dyDescent="0.35">
      <c r="A85" s="163">
        <f>ROW()</f>
        <v>85</v>
      </c>
      <c r="B85" s="163" t="b">
        <f>ISTEXT('Proyecto Datos (OKR´s)'!$K85)</f>
        <v>0</v>
      </c>
      <c r="C85" s="163" t="b">
        <f>AND(LEN('Proyecto Datos (OKR´s)'!$G85)&gt;0,NOT($B85),OR(ISNUMBER('Proyecto Datos (OKR´s)'!$F85),ISNUMBER('Proyecto Datos (OKR´s)'!$L85)))</f>
        <v>0</v>
      </c>
      <c r="D85" s="164" t="str">
        <f>IF($C85,IFERROR(LOOKUP(2,1/((ISTEXT('Proyecto Datos (OKR´s)'!$K$7:$K85))*(LEN('Proyecto Datos (OKR´s)'!$G$7:$G85)&gt;0)),'Proyecto Datos (OKR´s)'!$G$7:$G85),""),"")</f>
        <v/>
      </c>
      <c r="E85" s="163" t="str">
        <f>IF($C85,'Proyecto Datos (OKR´s)'!$E85,"")</f>
        <v/>
      </c>
      <c r="F85" s="164" t="str">
        <f>IF($C85,'Proyecto Datos (OKR´s)'!$G85,"")</f>
        <v/>
      </c>
      <c r="G85" s="164" t="str">
        <f>IF($C85,IF('Proyecto Datos (OKR´s)'!$I85="","(Sin asignar)",'Proyecto Datos (OKR´s)'!$I85),"")</f>
        <v/>
      </c>
      <c r="H85" s="163" t="str">
        <f>IF($C85,IF(ISNUMBER('Proyecto Datos (OKR´s)'!$F85),'Proyecto Datos (OKR´s)'!$F85,'Proyecto Datos (OKR´s)'!$L85),"")</f>
        <v/>
      </c>
      <c r="I85" s="163" t="str">
        <f>IF($C85,'Proyecto Datos (OKR´s)'!$J85,"")</f>
        <v/>
      </c>
      <c r="J85" s="164" t="str">
        <f ca="1">IF($C85,IF($I85&gt;=1,"Completado",IF($H85&lt;TODAY(),"Vencido",IF(($H85-TODAY())&lt;='Entregas Próximas'!$M$3,"Próximo a vencer","En curso"))),"")</f>
        <v/>
      </c>
      <c r="K85" s="163" t="str">
        <f t="shared" ca="1" si="44"/>
        <v/>
      </c>
      <c r="L85" s="163" t="str">
        <f t="shared" si="45"/>
        <v/>
      </c>
      <c r="M85" s="163" t="str">
        <f t="shared" si="46"/>
        <v/>
      </c>
      <c r="N85" s="163" t="str">
        <f>IF($C85,IF('Proyecto Datos (OKR´s)'!$E85="",9999,'Proyecto Datos (OKR´s)'!$E85),"")</f>
        <v/>
      </c>
      <c r="O85" s="163" t="str">
        <f t="shared" si="47"/>
        <v/>
      </c>
      <c r="R85" s="163" t="str">
        <f>IF($C85,IF(ISNUMBER('Proyecto Datos (OKR´s)'!$L85),'Proyecto Datos (OKR´s)'!$L85,$H85),"")</f>
        <v/>
      </c>
      <c r="S85" s="163" t="str">
        <f>IF($C85,$R85-'Proyecto Datos (OKR´s)'!$K85+1,"")</f>
        <v/>
      </c>
      <c r="T85" s="163" t="str">
        <f ca="1">IF($C85,MAX(0,TODAY()-'Proyecto Datos (OKR´s)'!$K85),"")</f>
        <v/>
      </c>
      <c r="U85" s="163" t="str">
        <f ca="1">IF($C85,MEDIAN(0,(TODAY()-'Proyecto Datos (OKR´s)'!$K85)/MAX(1,$R85-'Proyecto Datos (OKR´s)'!$K85),1),"")</f>
        <v/>
      </c>
      <c r="V85" s="163" t="str">
        <f t="shared" si="48"/>
        <v/>
      </c>
      <c r="W85" s="163" t="str">
        <f t="shared" ca="1" si="49"/>
        <v/>
      </c>
      <c r="X85" s="163" t="str">
        <f t="shared" si="50"/>
        <v/>
      </c>
      <c r="Y85" s="163" t="str">
        <f t="shared" si="51"/>
        <v/>
      </c>
      <c r="Z85" s="163" t="str">
        <f ca="1">IF($C85,AND($I85=0,'Proyecto Datos (OKR´s)'!$K85&lt;=TODAY(),$J85&lt;&gt;"Completado"),"")</f>
        <v/>
      </c>
      <c r="AA85" s="163" t="str">
        <f t="shared" si="52"/>
        <v/>
      </c>
      <c r="AB85" s="164" t="str">
        <f t="shared" si="53"/>
        <v/>
      </c>
      <c r="AC85" s="164" t="str">
        <f t="shared" si="54"/>
        <v/>
      </c>
      <c r="AD85" s="163" t="str">
        <f>IF($C85,IF($N85=9999,9999,IF($J85="Completado",$N85,MAX($N85,Sprints!$M$15))),"")</f>
        <v/>
      </c>
      <c r="AE85" s="163" t="str">
        <f t="shared" si="55"/>
        <v/>
      </c>
      <c r="AF85" s="163" t="b">
        <f t="shared" si="56"/>
        <v>0</v>
      </c>
      <c r="AG85" s="163" t="str">
        <f t="shared" si="57"/>
        <v/>
      </c>
      <c r="AH85" s="164" t="str">
        <f>IF($AF85,IF(Sprints!$I85&lt;&gt;"",Sprints!$I85,"Comprometida y no completada al cierre del Sprint "&amp;$N85),"")</f>
        <v/>
      </c>
      <c r="AI85" s="163" t="str">
        <f t="shared" si="58"/>
        <v/>
      </c>
      <c r="AJ85" s="163" t="str">
        <f t="shared" si="59"/>
        <v/>
      </c>
      <c r="AK85" s="163" t="str">
        <f t="shared" si="60"/>
        <v/>
      </c>
      <c r="AL85" s="163" t="str">
        <f t="shared" si="61"/>
        <v/>
      </c>
      <c r="AM85" s="163" t="str">
        <f t="shared" si="62"/>
        <v/>
      </c>
      <c r="AN85" s="164" t="str">
        <f t="shared" si="63"/>
        <v/>
      </c>
      <c r="AO85" s="163" t="str">
        <f>IF($C85,IFERROR(INDEX(Sprints!$M$6:$M$13,MATCH($N85,Sprints!$K$6:$K$13,0)),""),"")</f>
        <v/>
      </c>
      <c r="AP85" s="163" t="str">
        <f t="shared" ca="1" si="64"/>
        <v/>
      </c>
    </row>
    <row r="86" spans="1:42" x14ac:dyDescent="0.35">
      <c r="A86" s="163">
        <f>ROW()</f>
        <v>86</v>
      </c>
      <c r="B86" s="163" t="b">
        <f>ISTEXT('Proyecto Datos (OKR´s)'!$K86)</f>
        <v>0</v>
      </c>
      <c r="C86" s="163" t="b">
        <f>AND(LEN('Proyecto Datos (OKR´s)'!$G86)&gt;0,NOT($B86),OR(ISNUMBER('Proyecto Datos (OKR´s)'!$F86),ISNUMBER('Proyecto Datos (OKR´s)'!$L86)))</f>
        <v>0</v>
      </c>
      <c r="D86" s="164" t="str">
        <f>IF($C86,IFERROR(LOOKUP(2,1/((ISTEXT('Proyecto Datos (OKR´s)'!$K$7:$K86))*(LEN('Proyecto Datos (OKR´s)'!$G$7:$G86)&gt;0)),'Proyecto Datos (OKR´s)'!$G$7:$G86),""),"")</f>
        <v/>
      </c>
      <c r="E86" s="163" t="str">
        <f>IF($C86,'Proyecto Datos (OKR´s)'!$E86,"")</f>
        <v/>
      </c>
      <c r="F86" s="164" t="str">
        <f>IF($C86,'Proyecto Datos (OKR´s)'!$G86,"")</f>
        <v/>
      </c>
      <c r="G86" s="164" t="str">
        <f>IF($C86,IF('Proyecto Datos (OKR´s)'!$I86="","(Sin asignar)",'Proyecto Datos (OKR´s)'!$I86),"")</f>
        <v/>
      </c>
      <c r="H86" s="163" t="str">
        <f>IF($C86,IF(ISNUMBER('Proyecto Datos (OKR´s)'!$F86),'Proyecto Datos (OKR´s)'!$F86,'Proyecto Datos (OKR´s)'!$L86),"")</f>
        <v/>
      </c>
      <c r="I86" s="163" t="str">
        <f>IF($C86,'Proyecto Datos (OKR´s)'!$J86,"")</f>
        <v/>
      </c>
      <c r="J86" s="164" t="str">
        <f ca="1">IF($C86,IF($I86&gt;=1,"Completado",IF($H86&lt;TODAY(),"Vencido",IF(($H86-TODAY())&lt;='Entregas Próximas'!$M$3,"Próximo a vencer","En curso"))),"")</f>
        <v/>
      </c>
      <c r="K86" s="163" t="str">
        <f t="shared" ca="1" si="44"/>
        <v/>
      </c>
      <c r="L86" s="163" t="str">
        <f t="shared" si="45"/>
        <v/>
      </c>
      <c r="M86" s="163" t="str">
        <f t="shared" si="46"/>
        <v/>
      </c>
      <c r="N86" s="163" t="str">
        <f>IF($C86,IF('Proyecto Datos (OKR´s)'!$E86="",9999,'Proyecto Datos (OKR´s)'!$E86),"")</f>
        <v/>
      </c>
      <c r="O86" s="163" t="str">
        <f t="shared" si="47"/>
        <v/>
      </c>
      <c r="R86" s="163" t="str">
        <f>IF($C86,IF(ISNUMBER('Proyecto Datos (OKR´s)'!$L86),'Proyecto Datos (OKR´s)'!$L86,$H86),"")</f>
        <v/>
      </c>
      <c r="S86" s="163" t="str">
        <f>IF($C86,$R86-'Proyecto Datos (OKR´s)'!$K86+1,"")</f>
        <v/>
      </c>
      <c r="T86" s="163" t="str">
        <f ca="1">IF($C86,MAX(0,TODAY()-'Proyecto Datos (OKR´s)'!$K86),"")</f>
        <v/>
      </c>
      <c r="U86" s="163" t="str">
        <f ca="1">IF($C86,MEDIAN(0,(TODAY()-'Proyecto Datos (OKR´s)'!$K86)/MAX(1,$R86-'Proyecto Datos (OKR´s)'!$K86),1),"")</f>
        <v/>
      </c>
      <c r="V86" s="163" t="str">
        <f t="shared" si="48"/>
        <v/>
      </c>
      <c r="W86" s="163" t="str">
        <f t="shared" ca="1" si="49"/>
        <v/>
      </c>
      <c r="X86" s="163" t="str">
        <f t="shared" si="50"/>
        <v/>
      </c>
      <c r="Y86" s="163" t="str">
        <f t="shared" si="51"/>
        <v/>
      </c>
      <c r="Z86" s="163" t="str">
        <f ca="1">IF($C86,AND($I86=0,'Proyecto Datos (OKR´s)'!$K86&lt;=TODAY(),$J86&lt;&gt;"Completado"),"")</f>
        <v/>
      </c>
      <c r="AA86" s="163" t="str">
        <f t="shared" si="52"/>
        <v/>
      </c>
      <c r="AB86" s="164" t="str">
        <f t="shared" si="53"/>
        <v/>
      </c>
      <c r="AC86" s="164" t="str">
        <f t="shared" si="54"/>
        <v/>
      </c>
      <c r="AD86" s="163" t="str">
        <f>IF($C86,IF($N86=9999,9999,IF($J86="Completado",$N86,MAX($N86,Sprints!$M$15))),"")</f>
        <v/>
      </c>
      <c r="AE86" s="163" t="str">
        <f t="shared" si="55"/>
        <v/>
      </c>
      <c r="AF86" s="163" t="b">
        <f t="shared" si="56"/>
        <v>0</v>
      </c>
      <c r="AG86" s="163" t="str">
        <f t="shared" si="57"/>
        <v/>
      </c>
      <c r="AH86" s="164" t="str">
        <f>IF($AF86,IF(Sprints!$I86&lt;&gt;"",Sprints!$I86,"Comprometida y no completada al cierre del Sprint "&amp;$N86),"")</f>
        <v/>
      </c>
      <c r="AI86" s="163" t="str">
        <f t="shared" si="58"/>
        <v/>
      </c>
      <c r="AJ86" s="163" t="str">
        <f t="shared" si="59"/>
        <v/>
      </c>
      <c r="AK86" s="163" t="str">
        <f t="shared" si="60"/>
        <v/>
      </c>
      <c r="AL86" s="163" t="str">
        <f t="shared" si="61"/>
        <v/>
      </c>
      <c r="AM86" s="163" t="str">
        <f t="shared" si="62"/>
        <v/>
      </c>
      <c r="AN86" s="164" t="str">
        <f t="shared" si="63"/>
        <v/>
      </c>
      <c r="AO86" s="163" t="str">
        <f>IF($C86,IFERROR(INDEX(Sprints!$M$6:$M$13,MATCH($N86,Sprints!$K$6:$K$13,0)),""),"")</f>
        <v/>
      </c>
      <c r="AP86" s="163" t="str">
        <f t="shared" ca="1" si="64"/>
        <v/>
      </c>
    </row>
    <row r="87" spans="1:42" x14ac:dyDescent="0.35">
      <c r="A87" s="163">
        <f>ROW()</f>
        <v>87</v>
      </c>
      <c r="B87" s="163" t="b">
        <f>ISTEXT('Proyecto Datos (OKR´s)'!$K87)</f>
        <v>0</v>
      </c>
      <c r="C87" s="163" t="b">
        <f>AND(LEN('Proyecto Datos (OKR´s)'!$G87)&gt;0,NOT($B87),OR(ISNUMBER('Proyecto Datos (OKR´s)'!$F87),ISNUMBER('Proyecto Datos (OKR´s)'!$L87)))</f>
        <v>0</v>
      </c>
      <c r="D87" s="164" t="str">
        <f>IF($C87,IFERROR(LOOKUP(2,1/((ISTEXT('Proyecto Datos (OKR´s)'!$K$7:$K87))*(LEN('Proyecto Datos (OKR´s)'!$G$7:$G87)&gt;0)),'Proyecto Datos (OKR´s)'!$G$7:$G87),""),"")</f>
        <v/>
      </c>
      <c r="E87" s="163" t="str">
        <f>IF($C87,'Proyecto Datos (OKR´s)'!$E87,"")</f>
        <v/>
      </c>
      <c r="F87" s="164" t="str">
        <f>IF($C87,'Proyecto Datos (OKR´s)'!$G87,"")</f>
        <v/>
      </c>
      <c r="G87" s="164" t="str">
        <f>IF($C87,IF('Proyecto Datos (OKR´s)'!$I87="","(Sin asignar)",'Proyecto Datos (OKR´s)'!$I87),"")</f>
        <v/>
      </c>
      <c r="H87" s="163" t="str">
        <f>IF($C87,IF(ISNUMBER('Proyecto Datos (OKR´s)'!$F87),'Proyecto Datos (OKR´s)'!$F87,'Proyecto Datos (OKR´s)'!$L87),"")</f>
        <v/>
      </c>
      <c r="I87" s="163" t="str">
        <f>IF($C87,'Proyecto Datos (OKR´s)'!$J87,"")</f>
        <v/>
      </c>
      <c r="J87" s="164" t="str">
        <f ca="1">IF($C87,IF($I87&gt;=1,"Completado",IF($H87&lt;TODAY(),"Vencido",IF(($H87-TODAY())&lt;='Entregas Próximas'!$M$3,"Próximo a vencer","En curso"))),"")</f>
        <v/>
      </c>
      <c r="K87" s="163" t="str">
        <f t="shared" ca="1" si="44"/>
        <v/>
      </c>
      <c r="L87" s="163" t="str">
        <f t="shared" si="45"/>
        <v/>
      </c>
      <c r="M87" s="163" t="str">
        <f t="shared" si="46"/>
        <v/>
      </c>
      <c r="N87" s="163" t="str">
        <f>IF($C87,IF('Proyecto Datos (OKR´s)'!$E87="",9999,'Proyecto Datos (OKR´s)'!$E87),"")</f>
        <v/>
      </c>
      <c r="O87" s="163" t="str">
        <f t="shared" si="47"/>
        <v/>
      </c>
      <c r="R87" s="163" t="str">
        <f>IF($C87,IF(ISNUMBER('Proyecto Datos (OKR´s)'!$L87),'Proyecto Datos (OKR´s)'!$L87,$H87),"")</f>
        <v/>
      </c>
      <c r="S87" s="163" t="str">
        <f>IF($C87,$R87-'Proyecto Datos (OKR´s)'!$K87+1,"")</f>
        <v/>
      </c>
      <c r="T87" s="163" t="str">
        <f ca="1">IF($C87,MAX(0,TODAY()-'Proyecto Datos (OKR´s)'!$K87),"")</f>
        <v/>
      </c>
      <c r="U87" s="163" t="str">
        <f ca="1">IF($C87,MEDIAN(0,(TODAY()-'Proyecto Datos (OKR´s)'!$K87)/MAX(1,$R87-'Proyecto Datos (OKR´s)'!$K87),1),"")</f>
        <v/>
      </c>
      <c r="V87" s="163" t="str">
        <f t="shared" si="48"/>
        <v/>
      </c>
      <c r="W87" s="163" t="str">
        <f t="shared" ca="1" si="49"/>
        <v/>
      </c>
      <c r="X87" s="163" t="str">
        <f t="shared" si="50"/>
        <v/>
      </c>
      <c r="Y87" s="163" t="str">
        <f t="shared" si="51"/>
        <v/>
      </c>
      <c r="Z87" s="163" t="str">
        <f ca="1">IF($C87,AND($I87=0,'Proyecto Datos (OKR´s)'!$K87&lt;=TODAY(),$J87&lt;&gt;"Completado"),"")</f>
        <v/>
      </c>
      <c r="AA87" s="163" t="str">
        <f t="shared" si="52"/>
        <v/>
      </c>
      <c r="AB87" s="164" t="str">
        <f t="shared" si="53"/>
        <v/>
      </c>
      <c r="AC87" s="164" t="str">
        <f t="shared" si="54"/>
        <v/>
      </c>
      <c r="AD87" s="163" t="str">
        <f>IF($C87,IF($N87=9999,9999,IF($J87="Completado",$N87,MAX($N87,Sprints!$M$15))),"")</f>
        <v/>
      </c>
      <c r="AE87" s="163" t="str">
        <f t="shared" si="55"/>
        <v/>
      </c>
      <c r="AF87" s="163" t="b">
        <f t="shared" si="56"/>
        <v>0</v>
      </c>
      <c r="AG87" s="163" t="str">
        <f t="shared" si="57"/>
        <v/>
      </c>
      <c r="AH87" s="164" t="str">
        <f>IF($AF87,IF(Sprints!$I87&lt;&gt;"",Sprints!$I87,"Comprometida y no completada al cierre del Sprint "&amp;$N87),"")</f>
        <v/>
      </c>
      <c r="AI87" s="163" t="str">
        <f t="shared" si="58"/>
        <v/>
      </c>
      <c r="AJ87" s="163" t="str">
        <f t="shared" si="59"/>
        <v/>
      </c>
      <c r="AK87" s="163" t="str">
        <f t="shared" si="60"/>
        <v/>
      </c>
      <c r="AL87" s="163" t="str">
        <f t="shared" si="61"/>
        <v/>
      </c>
      <c r="AM87" s="163" t="str">
        <f t="shared" si="62"/>
        <v/>
      </c>
      <c r="AN87" s="164" t="str">
        <f t="shared" si="63"/>
        <v/>
      </c>
      <c r="AO87" s="163" t="str">
        <f>IF($C87,IFERROR(INDEX(Sprints!$M$6:$M$13,MATCH($N87,Sprints!$K$6:$K$13,0)),""),"")</f>
        <v/>
      </c>
      <c r="AP87" s="163" t="str">
        <f t="shared" ca="1" si="64"/>
        <v/>
      </c>
    </row>
    <row r="88" spans="1:42" x14ac:dyDescent="0.35">
      <c r="A88" s="163">
        <f>ROW()</f>
        <v>88</v>
      </c>
      <c r="B88" s="163" t="b">
        <f>ISTEXT('Proyecto Datos (OKR´s)'!$K88)</f>
        <v>0</v>
      </c>
      <c r="C88" s="163" t="b">
        <f>AND(LEN('Proyecto Datos (OKR´s)'!$G88)&gt;0,NOT($B88),OR(ISNUMBER('Proyecto Datos (OKR´s)'!$F88),ISNUMBER('Proyecto Datos (OKR´s)'!$L88)))</f>
        <v>0</v>
      </c>
      <c r="D88" s="164" t="str">
        <f>IF($C88,IFERROR(LOOKUP(2,1/((ISTEXT('Proyecto Datos (OKR´s)'!$K$7:$K88))*(LEN('Proyecto Datos (OKR´s)'!$G$7:$G88)&gt;0)),'Proyecto Datos (OKR´s)'!$G$7:$G88),""),"")</f>
        <v/>
      </c>
      <c r="E88" s="163" t="str">
        <f>IF($C88,'Proyecto Datos (OKR´s)'!$E88,"")</f>
        <v/>
      </c>
      <c r="F88" s="164" t="str">
        <f>IF($C88,'Proyecto Datos (OKR´s)'!$G88,"")</f>
        <v/>
      </c>
      <c r="G88" s="164" t="str">
        <f>IF($C88,IF('Proyecto Datos (OKR´s)'!$I88="","(Sin asignar)",'Proyecto Datos (OKR´s)'!$I88),"")</f>
        <v/>
      </c>
      <c r="H88" s="163" t="str">
        <f>IF($C88,IF(ISNUMBER('Proyecto Datos (OKR´s)'!$F88),'Proyecto Datos (OKR´s)'!$F88,'Proyecto Datos (OKR´s)'!$L88),"")</f>
        <v/>
      </c>
      <c r="I88" s="163" t="str">
        <f>IF($C88,'Proyecto Datos (OKR´s)'!$J88,"")</f>
        <v/>
      </c>
      <c r="J88" s="164" t="str">
        <f ca="1">IF($C88,IF($I88&gt;=1,"Completado",IF($H88&lt;TODAY(),"Vencido",IF(($H88-TODAY())&lt;='Entregas Próximas'!$M$3,"Próximo a vencer","En curso"))),"")</f>
        <v/>
      </c>
      <c r="K88" s="163" t="str">
        <f t="shared" ca="1" si="44"/>
        <v/>
      </c>
      <c r="L88" s="163" t="str">
        <f t="shared" si="45"/>
        <v/>
      </c>
      <c r="M88" s="163" t="str">
        <f t="shared" si="46"/>
        <v/>
      </c>
      <c r="N88" s="163" t="str">
        <f>IF($C88,IF('Proyecto Datos (OKR´s)'!$E88="",9999,'Proyecto Datos (OKR´s)'!$E88),"")</f>
        <v/>
      </c>
      <c r="O88" s="163" t="str">
        <f t="shared" si="47"/>
        <v/>
      </c>
      <c r="R88" s="163" t="str">
        <f>IF($C88,IF(ISNUMBER('Proyecto Datos (OKR´s)'!$L88),'Proyecto Datos (OKR´s)'!$L88,$H88),"")</f>
        <v/>
      </c>
      <c r="S88" s="163" t="str">
        <f>IF($C88,$R88-'Proyecto Datos (OKR´s)'!$K88+1,"")</f>
        <v/>
      </c>
      <c r="T88" s="163" t="str">
        <f ca="1">IF($C88,MAX(0,TODAY()-'Proyecto Datos (OKR´s)'!$K88),"")</f>
        <v/>
      </c>
      <c r="U88" s="163" t="str">
        <f ca="1">IF($C88,MEDIAN(0,(TODAY()-'Proyecto Datos (OKR´s)'!$K88)/MAX(1,$R88-'Proyecto Datos (OKR´s)'!$K88),1),"")</f>
        <v/>
      </c>
      <c r="V88" s="163" t="str">
        <f t="shared" si="48"/>
        <v/>
      </c>
      <c r="W88" s="163" t="str">
        <f t="shared" ca="1" si="49"/>
        <v/>
      </c>
      <c r="X88" s="163" t="str">
        <f t="shared" si="50"/>
        <v/>
      </c>
      <c r="Y88" s="163" t="str">
        <f t="shared" si="51"/>
        <v/>
      </c>
      <c r="Z88" s="163" t="str">
        <f ca="1">IF($C88,AND($I88=0,'Proyecto Datos (OKR´s)'!$K88&lt;=TODAY(),$J88&lt;&gt;"Completado"),"")</f>
        <v/>
      </c>
      <c r="AA88" s="163" t="str">
        <f t="shared" si="52"/>
        <v/>
      </c>
      <c r="AB88" s="164" t="str">
        <f t="shared" si="53"/>
        <v/>
      </c>
      <c r="AC88" s="164" t="str">
        <f t="shared" si="54"/>
        <v/>
      </c>
      <c r="AD88" s="163" t="str">
        <f>IF($C88,IF($N88=9999,9999,IF($J88="Completado",$N88,MAX($N88,Sprints!$M$15))),"")</f>
        <v/>
      </c>
      <c r="AE88" s="163" t="str">
        <f t="shared" si="55"/>
        <v/>
      </c>
      <c r="AF88" s="163" t="b">
        <f t="shared" si="56"/>
        <v>0</v>
      </c>
      <c r="AG88" s="163" t="str">
        <f t="shared" si="57"/>
        <v/>
      </c>
      <c r="AH88" s="164" t="str">
        <f>IF($AF88,IF(Sprints!$I88&lt;&gt;"",Sprints!$I88,"Comprometida y no completada al cierre del Sprint "&amp;$N88),"")</f>
        <v/>
      </c>
      <c r="AI88" s="163" t="str">
        <f t="shared" si="58"/>
        <v/>
      </c>
      <c r="AJ88" s="163" t="str">
        <f t="shared" si="59"/>
        <v/>
      </c>
      <c r="AK88" s="163" t="str">
        <f t="shared" si="60"/>
        <v/>
      </c>
      <c r="AL88" s="163" t="str">
        <f t="shared" si="61"/>
        <v/>
      </c>
      <c r="AM88" s="163" t="str">
        <f t="shared" si="62"/>
        <v/>
      </c>
      <c r="AN88" s="164" t="str">
        <f t="shared" si="63"/>
        <v/>
      </c>
      <c r="AO88" s="163" t="str">
        <f>IF($C88,IFERROR(INDEX(Sprints!$M$6:$M$13,MATCH($N88,Sprints!$K$6:$K$13,0)),""),"")</f>
        <v/>
      </c>
      <c r="AP88" s="163" t="str">
        <f t="shared" ca="1" si="64"/>
        <v/>
      </c>
    </row>
    <row r="89" spans="1:42" x14ac:dyDescent="0.35">
      <c r="A89" s="163">
        <f>ROW()</f>
        <v>89</v>
      </c>
      <c r="B89" s="163" t="b">
        <f>ISTEXT('Proyecto Datos (OKR´s)'!$K89)</f>
        <v>0</v>
      </c>
      <c r="C89" s="163" t="b">
        <f>AND(LEN('Proyecto Datos (OKR´s)'!$G89)&gt;0,NOT($B89),OR(ISNUMBER('Proyecto Datos (OKR´s)'!$F89),ISNUMBER('Proyecto Datos (OKR´s)'!$L89)))</f>
        <v>0</v>
      </c>
      <c r="D89" s="164" t="str">
        <f>IF($C89,IFERROR(LOOKUP(2,1/((ISTEXT('Proyecto Datos (OKR´s)'!$K$7:$K89))*(LEN('Proyecto Datos (OKR´s)'!$G$7:$G89)&gt;0)),'Proyecto Datos (OKR´s)'!$G$7:$G89),""),"")</f>
        <v/>
      </c>
      <c r="E89" s="163" t="str">
        <f>IF($C89,'Proyecto Datos (OKR´s)'!$E89,"")</f>
        <v/>
      </c>
      <c r="F89" s="164" t="str">
        <f>IF($C89,'Proyecto Datos (OKR´s)'!$G89,"")</f>
        <v/>
      </c>
      <c r="G89" s="164" t="str">
        <f>IF($C89,IF('Proyecto Datos (OKR´s)'!$I89="","(Sin asignar)",'Proyecto Datos (OKR´s)'!$I89),"")</f>
        <v/>
      </c>
      <c r="H89" s="163" t="str">
        <f>IF($C89,IF(ISNUMBER('Proyecto Datos (OKR´s)'!$F89),'Proyecto Datos (OKR´s)'!$F89,'Proyecto Datos (OKR´s)'!$L89),"")</f>
        <v/>
      </c>
      <c r="I89" s="163" t="str">
        <f>IF($C89,'Proyecto Datos (OKR´s)'!$J89,"")</f>
        <v/>
      </c>
      <c r="J89" s="164" t="str">
        <f ca="1">IF($C89,IF($I89&gt;=1,"Completado",IF($H89&lt;TODAY(),"Vencido",IF(($H89-TODAY())&lt;='Entregas Próximas'!$M$3,"Próximo a vencer","En curso"))),"")</f>
        <v/>
      </c>
      <c r="K89" s="163" t="str">
        <f t="shared" ca="1" si="44"/>
        <v/>
      </c>
      <c r="L89" s="163" t="str">
        <f t="shared" si="45"/>
        <v/>
      </c>
      <c r="M89" s="163" t="str">
        <f t="shared" si="46"/>
        <v/>
      </c>
      <c r="N89" s="163" t="str">
        <f>IF($C89,IF('Proyecto Datos (OKR´s)'!$E89="",9999,'Proyecto Datos (OKR´s)'!$E89),"")</f>
        <v/>
      </c>
      <c r="O89" s="163" t="str">
        <f t="shared" si="47"/>
        <v/>
      </c>
      <c r="R89" s="163" t="str">
        <f>IF($C89,IF(ISNUMBER('Proyecto Datos (OKR´s)'!$L89),'Proyecto Datos (OKR´s)'!$L89,$H89),"")</f>
        <v/>
      </c>
      <c r="S89" s="163" t="str">
        <f>IF($C89,$R89-'Proyecto Datos (OKR´s)'!$K89+1,"")</f>
        <v/>
      </c>
      <c r="T89" s="163" t="str">
        <f ca="1">IF($C89,MAX(0,TODAY()-'Proyecto Datos (OKR´s)'!$K89),"")</f>
        <v/>
      </c>
      <c r="U89" s="163" t="str">
        <f ca="1">IF($C89,MEDIAN(0,(TODAY()-'Proyecto Datos (OKR´s)'!$K89)/MAX(1,$R89-'Proyecto Datos (OKR´s)'!$K89),1),"")</f>
        <v/>
      </c>
      <c r="V89" s="163" t="str">
        <f t="shared" si="48"/>
        <v/>
      </c>
      <c r="W89" s="163" t="str">
        <f t="shared" ca="1" si="49"/>
        <v/>
      </c>
      <c r="X89" s="163" t="str">
        <f t="shared" si="50"/>
        <v/>
      </c>
      <c r="Y89" s="163" t="str">
        <f t="shared" si="51"/>
        <v/>
      </c>
      <c r="Z89" s="163" t="str">
        <f ca="1">IF($C89,AND($I89=0,'Proyecto Datos (OKR´s)'!$K89&lt;=TODAY(),$J89&lt;&gt;"Completado"),"")</f>
        <v/>
      </c>
      <c r="AA89" s="163" t="str">
        <f t="shared" si="52"/>
        <v/>
      </c>
      <c r="AB89" s="164" t="str">
        <f t="shared" si="53"/>
        <v/>
      </c>
      <c r="AC89" s="164" t="str">
        <f t="shared" si="54"/>
        <v/>
      </c>
      <c r="AD89" s="163" t="str">
        <f>IF($C89,IF($N89=9999,9999,IF($J89="Completado",$N89,MAX($N89,Sprints!$M$15))),"")</f>
        <v/>
      </c>
      <c r="AE89" s="163" t="str">
        <f t="shared" si="55"/>
        <v/>
      </c>
      <c r="AF89" s="163" t="b">
        <f t="shared" si="56"/>
        <v>0</v>
      </c>
      <c r="AG89" s="163" t="str">
        <f t="shared" si="57"/>
        <v/>
      </c>
      <c r="AH89" s="164" t="str">
        <f>IF($AF89,IF(Sprints!$I89&lt;&gt;"",Sprints!$I89,"Comprometida y no completada al cierre del Sprint "&amp;$N89),"")</f>
        <v/>
      </c>
      <c r="AI89" s="163" t="str">
        <f t="shared" si="58"/>
        <v/>
      </c>
      <c r="AJ89" s="163" t="str">
        <f t="shared" si="59"/>
        <v/>
      </c>
      <c r="AK89" s="163" t="str">
        <f t="shared" si="60"/>
        <v/>
      </c>
      <c r="AL89" s="163" t="str">
        <f t="shared" si="61"/>
        <v/>
      </c>
      <c r="AM89" s="163" t="str">
        <f t="shared" si="62"/>
        <v/>
      </c>
      <c r="AN89" s="164" t="str">
        <f t="shared" si="63"/>
        <v/>
      </c>
      <c r="AO89" s="163" t="str">
        <f>IF($C89,IFERROR(INDEX(Sprints!$M$6:$M$13,MATCH($N89,Sprints!$K$6:$K$13,0)),""),"")</f>
        <v/>
      </c>
      <c r="AP89" s="163" t="str">
        <f t="shared" ca="1" si="64"/>
        <v/>
      </c>
    </row>
    <row r="90" spans="1:42" x14ac:dyDescent="0.35">
      <c r="A90" s="163">
        <f>ROW()</f>
        <v>90</v>
      </c>
      <c r="B90" s="163" t="b">
        <f>ISTEXT('Proyecto Datos (OKR´s)'!$K90)</f>
        <v>0</v>
      </c>
      <c r="C90" s="163" t="b">
        <f>AND(LEN('Proyecto Datos (OKR´s)'!$G90)&gt;0,NOT($B90),OR(ISNUMBER('Proyecto Datos (OKR´s)'!$F90),ISNUMBER('Proyecto Datos (OKR´s)'!$L90)))</f>
        <v>0</v>
      </c>
      <c r="D90" s="164" t="str">
        <f>IF($C90,IFERROR(LOOKUP(2,1/((ISTEXT('Proyecto Datos (OKR´s)'!$K$7:$K90))*(LEN('Proyecto Datos (OKR´s)'!$G$7:$G90)&gt;0)),'Proyecto Datos (OKR´s)'!$G$7:$G90),""),"")</f>
        <v/>
      </c>
      <c r="E90" s="163" t="str">
        <f>IF($C90,'Proyecto Datos (OKR´s)'!$E90,"")</f>
        <v/>
      </c>
      <c r="F90" s="164" t="str">
        <f>IF($C90,'Proyecto Datos (OKR´s)'!$G90,"")</f>
        <v/>
      </c>
      <c r="G90" s="164" t="str">
        <f>IF($C90,IF('Proyecto Datos (OKR´s)'!$I90="","(Sin asignar)",'Proyecto Datos (OKR´s)'!$I90),"")</f>
        <v/>
      </c>
      <c r="H90" s="163" t="str">
        <f>IF($C90,IF(ISNUMBER('Proyecto Datos (OKR´s)'!$F90),'Proyecto Datos (OKR´s)'!$F90,'Proyecto Datos (OKR´s)'!$L90),"")</f>
        <v/>
      </c>
      <c r="I90" s="163" t="str">
        <f>IF($C90,'Proyecto Datos (OKR´s)'!$J90,"")</f>
        <v/>
      </c>
      <c r="J90" s="164" t="str">
        <f ca="1">IF($C90,IF($I90&gt;=1,"Completado",IF($H90&lt;TODAY(),"Vencido",IF(($H90-TODAY())&lt;='Entregas Próximas'!$M$3,"Próximo a vencer","En curso"))),"")</f>
        <v/>
      </c>
      <c r="K90" s="163" t="str">
        <f t="shared" ca="1" si="44"/>
        <v/>
      </c>
      <c r="L90" s="163" t="str">
        <f t="shared" si="45"/>
        <v/>
      </c>
      <c r="M90" s="163" t="str">
        <f t="shared" si="46"/>
        <v/>
      </c>
      <c r="N90" s="163" t="str">
        <f>IF($C90,IF('Proyecto Datos (OKR´s)'!$E90="",9999,'Proyecto Datos (OKR´s)'!$E90),"")</f>
        <v/>
      </c>
      <c r="O90" s="163" t="str">
        <f t="shared" si="47"/>
        <v/>
      </c>
      <c r="R90" s="163" t="str">
        <f>IF($C90,IF(ISNUMBER('Proyecto Datos (OKR´s)'!$L90),'Proyecto Datos (OKR´s)'!$L90,$H90),"")</f>
        <v/>
      </c>
      <c r="S90" s="163" t="str">
        <f>IF($C90,$R90-'Proyecto Datos (OKR´s)'!$K90+1,"")</f>
        <v/>
      </c>
      <c r="T90" s="163" t="str">
        <f ca="1">IF($C90,MAX(0,TODAY()-'Proyecto Datos (OKR´s)'!$K90),"")</f>
        <v/>
      </c>
      <c r="U90" s="163" t="str">
        <f ca="1">IF($C90,MEDIAN(0,(TODAY()-'Proyecto Datos (OKR´s)'!$K90)/MAX(1,$R90-'Proyecto Datos (OKR´s)'!$K90),1),"")</f>
        <v/>
      </c>
      <c r="V90" s="163" t="str">
        <f t="shared" si="48"/>
        <v/>
      </c>
      <c r="W90" s="163" t="str">
        <f t="shared" ca="1" si="49"/>
        <v/>
      </c>
      <c r="X90" s="163" t="str">
        <f t="shared" si="50"/>
        <v/>
      </c>
      <c r="Y90" s="163" t="str">
        <f t="shared" si="51"/>
        <v/>
      </c>
      <c r="Z90" s="163" t="str">
        <f ca="1">IF($C90,AND($I90=0,'Proyecto Datos (OKR´s)'!$K90&lt;=TODAY(),$J90&lt;&gt;"Completado"),"")</f>
        <v/>
      </c>
      <c r="AA90" s="163" t="str">
        <f t="shared" si="52"/>
        <v/>
      </c>
      <c r="AB90" s="164" t="str">
        <f t="shared" si="53"/>
        <v/>
      </c>
      <c r="AC90" s="164" t="str">
        <f t="shared" si="54"/>
        <v/>
      </c>
      <c r="AD90" s="163" t="str">
        <f>IF($C90,IF($N90=9999,9999,IF($J90="Completado",$N90,MAX($N90,Sprints!$M$15))),"")</f>
        <v/>
      </c>
      <c r="AE90" s="163" t="str">
        <f t="shared" si="55"/>
        <v/>
      </c>
      <c r="AF90" s="163" t="b">
        <f t="shared" si="56"/>
        <v>0</v>
      </c>
      <c r="AG90" s="163" t="str">
        <f t="shared" si="57"/>
        <v/>
      </c>
      <c r="AH90" s="164" t="str">
        <f>IF($AF90,IF(Sprints!$I90&lt;&gt;"",Sprints!$I90,"Comprometida y no completada al cierre del Sprint "&amp;$N90),"")</f>
        <v/>
      </c>
      <c r="AI90" s="163" t="str">
        <f t="shared" si="58"/>
        <v/>
      </c>
      <c r="AJ90" s="163" t="str">
        <f t="shared" si="59"/>
        <v/>
      </c>
      <c r="AK90" s="163" t="str">
        <f t="shared" si="60"/>
        <v/>
      </c>
      <c r="AL90" s="163" t="str">
        <f t="shared" si="61"/>
        <v/>
      </c>
      <c r="AM90" s="163" t="str">
        <f t="shared" si="62"/>
        <v/>
      </c>
      <c r="AN90" s="164" t="str">
        <f t="shared" si="63"/>
        <v/>
      </c>
      <c r="AO90" s="163" t="str">
        <f>IF($C90,IFERROR(INDEX(Sprints!$M$6:$M$13,MATCH($N90,Sprints!$K$6:$K$13,0)),""),"")</f>
        <v/>
      </c>
      <c r="AP90" s="163" t="str">
        <f t="shared" ca="1" si="64"/>
        <v/>
      </c>
    </row>
    <row r="91" spans="1:42" x14ac:dyDescent="0.35">
      <c r="A91" s="163">
        <f>ROW()</f>
        <v>91</v>
      </c>
      <c r="B91" s="163" t="b">
        <f>ISTEXT('Proyecto Datos (OKR´s)'!$K91)</f>
        <v>0</v>
      </c>
      <c r="C91" s="163" t="b">
        <f>AND(LEN('Proyecto Datos (OKR´s)'!$G91)&gt;0,NOT($B91),OR(ISNUMBER('Proyecto Datos (OKR´s)'!$F91),ISNUMBER('Proyecto Datos (OKR´s)'!$L91)))</f>
        <v>0</v>
      </c>
      <c r="D91" s="164" t="str">
        <f>IF($C91,IFERROR(LOOKUP(2,1/((ISTEXT('Proyecto Datos (OKR´s)'!$K$7:$K91))*(LEN('Proyecto Datos (OKR´s)'!$G$7:$G91)&gt;0)),'Proyecto Datos (OKR´s)'!$G$7:$G91),""),"")</f>
        <v/>
      </c>
      <c r="E91" s="163" t="str">
        <f>IF($C91,'Proyecto Datos (OKR´s)'!$E91,"")</f>
        <v/>
      </c>
      <c r="F91" s="164" t="str">
        <f>IF($C91,'Proyecto Datos (OKR´s)'!$G91,"")</f>
        <v/>
      </c>
      <c r="G91" s="164" t="str">
        <f>IF($C91,IF('Proyecto Datos (OKR´s)'!$I91="","(Sin asignar)",'Proyecto Datos (OKR´s)'!$I91),"")</f>
        <v/>
      </c>
      <c r="H91" s="163" t="str">
        <f>IF($C91,IF(ISNUMBER('Proyecto Datos (OKR´s)'!$F91),'Proyecto Datos (OKR´s)'!$F91,'Proyecto Datos (OKR´s)'!$L91),"")</f>
        <v/>
      </c>
      <c r="I91" s="163" t="str">
        <f>IF($C91,'Proyecto Datos (OKR´s)'!$J91,"")</f>
        <v/>
      </c>
      <c r="J91" s="164" t="str">
        <f ca="1">IF($C91,IF($I91&gt;=1,"Completado",IF($H91&lt;TODAY(),"Vencido",IF(($H91-TODAY())&lt;='Entregas Próximas'!$M$3,"Próximo a vencer","En curso"))),"")</f>
        <v/>
      </c>
      <c r="K91" s="163" t="str">
        <f t="shared" ca="1" si="44"/>
        <v/>
      </c>
      <c r="L91" s="163" t="str">
        <f t="shared" si="45"/>
        <v/>
      </c>
      <c r="M91" s="163" t="str">
        <f t="shared" si="46"/>
        <v/>
      </c>
      <c r="N91" s="163" t="str">
        <f>IF($C91,IF('Proyecto Datos (OKR´s)'!$E91="",9999,'Proyecto Datos (OKR´s)'!$E91),"")</f>
        <v/>
      </c>
      <c r="O91" s="163" t="str">
        <f t="shared" si="47"/>
        <v/>
      </c>
      <c r="R91" s="163" t="str">
        <f>IF($C91,IF(ISNUMBER('Proyecto Datos (OKR´s)'!$L91),'Proyecto Datos (OKR´s)'!$L91,$H91),"")</f>
        <v/>
      </c>
      <c r="S91" s="163" t="str">
        <f>IF($C91,$R91-'Proyecto Datos (OKR´s)'!$K91+1,"")</f>
        <v/>
      </c>
      <c r="T91" s="163" t="str">
        <f ca="1">IF($C91,MAX(0,TODAY()-'Proyecto Datos (OKR´s)'!$K91),"")</f>
        <v/>
      </c>
      <c r="U91" s="163" t="str">
        <f ca="1">IF($C91,MEDIAN(0,(TODAY()-'Proyecto Datos (OKR´s)'!$K91)/MAX(1,$R91-'Proyecto Datos (OKR´s)'!$K91),1),"")</f>
        <v/>
      </c>
      <c r="V91" s="163" t="str">
        <f t="shared" si="48"/>
        <v/>
      </c>
      <c r="W91" s="163" t="str">
        <f t="shared" ca="1" si="49"/>
        <v/>
      </c>
      <c r="X91" s="163" t="str">
        <f t="shared" si="50"/>
        <v/>
      </c>
      <c r="Y91" s="163" t="str">
        <f t="shared" si="51"/>
        <v/>
      </c>
      <c r="Z91" s="163" t="str">
        <f ca="1">IF($C91,AND($I91=0,'Proyecto Datos (OKR´s)'!$K91&lt;=TODAY(),$J91&lt;&gt;"Completado"),"")</f>
        <v/>
      </c>
      <c r="AA91" s="163" t="str">
        <f t="shared" si="52"/>
        <v/>
      </c>
      <c r="AB91" s="164" t="str">
        <f t="shared" si="53"/>
        <v/>
      </c>
      <c r="AC91" s="164" t="str">
        <f t="shared" si="54"/>
        <v/>
      </c>
      <c r="AD91" s="163" t="str">
        <f>IF($C91,IF($N91=9999,9999,IF($J91="Completado",$N91,MAX($N91,Sprints!$M$15))),"")</f>
        <v/>
      </c>
      <c r="AE91" s="163" t="str">
        <f t="shared" si="55"/>
        <v/>
      </c>
      <c r="AF91" s="163" t="b">
        <f t="shared" si="56"/>
        <v>0</v>
      </c>
      <c r="AG91" s="163" t="str">
        <f t="shared" si="57"/>
        <v/>
      </c>
      <c r="AH91" s="164" t="str">
        <f>IF($AF91,IF(Sprints!$I91&lt;&gt;"",Sprints!$I91,"Comprometida y no completada al cierre del Sprint "&amp;$N91),"")</f>
        <v/>
      </c>
      <c r="AI91" s="163" t="str">
        <f t="shared" si="58"/>
        <v/>
      </c>
      <c r="AJ91" s="163" t="str">
        <f t="shared" si="59"/>
        <v/>
      </c>
      <c r="AK91" s="163" t="str">
        <f t="shared" si="60"/>
        <v/>
      </c>
      <c r="AL91" s="163" t="str">
        <f t="shared" si="61"/>
        <v/>
      </c>
      <c r="AM91" s="163" t="str">
        <f t="shared" si="62"/>
        <v/>
      </c>
      <c r="AN91" s="164" t="str">
        <f t="shared" si="63"/>
        <v/>
      </c>
      <c r="AO91" s="163" t="str">
        <f>IF($C91,IFERROR(INDEX(Sprints!$M$6:$M$13,MATCH($N91,Sprints!$K$6:$K$13,0)),""),"")</f>
        <v/>
      </c>
      <c r="AP91" s="163" t="str">
        <f t="shared" ca="1" si="64"/>
        <v/>
      </c>
    </row>
    <row r="92" spans="1:42" x14ac:dyDescent="0.35">
      <c r="A92" s="163">
        <f>ROW()</f>
        <v>92</v>
      </c>
      <c r="B92" s="163" t="b">
        <f>ISTEXT('Proyecto Datos (OKR´s)'!$K92)</f>
        <v>0</v>
      </c>
      <c r="C92" s="163" t="b">
        <f>AND(LEN('Proyecto Datos (OKR´s)'!$G92)&gt;0,NOT($B92),OR(ISNUMBER('Proyecto Datos (OKR´s)'!$F92),ISNUMBER('Proyecto Datos (OKR´s)'!$L92)))</f>
        <v>0</v>
      </c>
      <c r="D92" s="164" t="str">
        <f>IF($C92,IFERROR(LOOKUP(2,1/((ISTEXT('Proyecto Datos (OKR´s)'!$K$7:$K92))*(LEN('Proyecto Datos (OKR´s)'!$G$7:$G92)&gt;0)),'Proyecto Datos (OKR´s)'!$G$7:$G92),""),"")</f>
        <v/>
      </c>
      <c r="E92" s="163" t="str">
        <f>IF($C92,'Proyecto Datos (OKR´s)'!$E92,"")</f>
        <v/>
      </c>
      <c r="F92" s="164" t="str">
        <f>IF($C92,'Proyecto Datos (OKR´s)'!$G92,"")</f>
        <v/>
      </c>
      <c r="G92" s="164" t="str">
        <f>IF($C92,IF('Proyecto Datos (OKR´s)'!$I92="","(Sin asignar)",'Proyecto Datos (OKR´s)'!$I92),"")</f>
        <v/>
      </c>
      <c r="H92" s="163" t="str">
        <f>IF($C92,IF(ISNUMBER('Proyecto Datos (OKR´s)'!$F92),'Proyecto Datos (OKR´s)'!$F92,'Proyecto Datos (OKR´s)'!$L92),"")</f>
        <v/>
      </c>
      <c r="I92" s="163" t="str">
        <f>IF($C92,'Proyecto Datos (OKR´s)'!$J92,"")</f>
        <v/>
      </c>
      <c r="J92" s="164" t="str">
        <f ca="1">IF($C92,IF($I92&gt;=1,"Completado",IF($H92&lt;TODAY(),"Vencido",IF(($H92-TODAY())&lt;='Entregas Próximas'!$M$3,"Próximo a vencer","En curso"))),"")</f>
        <v/>
      </c>
      <c r="K92" s="163" t="str">
        <f t="shared" ca="1" si="44"/>
        <v/>
      </c>
      <c r="L92" s="163" t="str">
        <f t="shared" si="45"/>
        <v/>
      </c>
      <c r="M92" s="163" t="str">
        <f t="shared" si="46"/>
        <v/>
      </c>
      <c r="N92" s="163" t="str">
        <f>IF($C92,IF('Proyecto Datos (OKR´s)'!$E92="",9999,'Proyecto Datos (OKR´s)'!$E92),"")</f>
        <v/>
      </c>
      <c r="O92" s="163" t="str">
        <f t="shared" si="47"/>
        <v/>
      </c>
      <c r="R92" s="163" t="str">
        <f>IF($C92,IF(ISNUMBER('Proyecto Datos (OKR´s)'!$L92),'Proyecto Datos (OKR´s)'!$L92,$H92),"")</f>
        <v/>
      </c>
      <c r="S92" s="163" t="str">
        <f>IF($C92,$R92-'Proyecto Datos (OKR´s)'!$K92+1,"")</f>
        <v/>
      </c>
      <c r="T92" s="163" t="str">
        <f ca="1">IF($C92,MAX(0,TODAY()-'Proyecto Datos (OKR´s)'!$K92),"")</f>
        <v/>
      </c>
      <c r="U92" s="163" t="str">
        <f ca="1">IF($C92,MEDIAN(0,(TODAY()-'Proyecto Datos (OKR´s)'!$K92)/MAX(1,$R92-'Proyecto Datos (OKR´s)'!$K92),1),"")</f>
        <v/>
      </c>
      <c r="V92" s="163" t="str">
        <f t="shared" si="48"/>
        <v/>
      </c>
      <c r="W92" s="163" t="str">
        <f t="shared" ca="1" si="49"/>
        <v/>
      </c>
      <c r="X92" s="163" t="str">
        <f t="shared" si="50"/>
        <v/>
      </c>
      <c r="Y92" s="163" t="str">
        <f t="shared" si="51"/>
        <v/>
      </c>
      <c r="Z92" s="163" t="str">
        <f ca="1">IF($C92,AND($I92=0,'Proyecto Datos (OKR´s)'!$K92&lt;=TODAY(),$J92&lt;&gt;"Completado"),"")</f>
        <v/>
      </c>
      <c r="AA92" s="163" t="str">
        <f t="shared" si="52"/>
        <v/>
      </c>
      <c r="AB92" s="164" t="str">
        <f t="shared" si="53"/>
        <v/>
      </c>
      <c r="AC92" s="164" t="str">
        <f t="shared" si="54"/>
        <v/>
      </c>
      <c r="AD92" s="163" t="str">
        <f>IF($C92,IF($N92=9999,9999,IF($J92="Completado",$N92,MAX($N92,Sprints!$M$15))),"")</f>
        <v/>
      </c>
      <c r="AE92" s="163" t="str">
        <f t="shared" si="55"/>
        <v/>
      </c>
      <c r="AF92" s="163" t="b">
        <f t="shared" si="56"/>
        <v>0</v>
      </c>
      <c r="AG92" s="163" t="str">
        <f t="shared" si="57"/>
        <v/>
      </c>
      <c r="AH92" s="164" t="str">
        <f>IF($AF92,IF(Sprints!$I92&lt;&gt;"",Sprints!$I92,"Comprometida y no completada al cierre del Sprint "&amp;$N92),"")</f>
        <v/>
      </c>
      <c r="AI92" s="163" t="str">
        <f t="shared" si="58"/>
        <v/>
      </c>
      <c r="AJ92" s="163" t="str">
        <f t="shared" si="59"/>
        <v/>
      </c>
      <c r="AK92" s="163" t="str">
        <f t="shared" si="60"/>
        <v/>
      </c>
      <c r="AL92" s="163" t="str">
        <f t="shared" si="61"/>
        <v/>
      </c>
      <c r="AM92" s="163" t="str">
        <f t="shared" si="62"/>
        <v/>
      </c>
      <c r="AN92" s="164" t="str">
        <f t="shared" si="63"/>
        <v/>
      </c>
      <c r="AO92" s="163" t="str">
        <f>IF($C92,IFERROR(INDEX(Sprints!$M$6:$M$13,MATCH($N92,Sprints!$K$6:$K$13,0)),""),"")</f>
        <v/>
      </c>
      <c r="AP92" s="163" t="str">
        <f t="shared" ca="1" si="64"/>
        <v/>
      </c>
    </row>
    <row r="93" spans="1:42" x14ac:dyDescent="0.35">
      <c r="A93" s="163">
        <f>ROW()</f>
        <v>93</v>
      </c>
      <c r="B93" s="163" t="b">
        <f>ISTEXT('Proyecto Datos (OKR´s)'!$K93)</f>
        <v>0</v>
      </c>
      <c r="C93" s="163" t="b">
        <f>AND(LEN('Proyecto Datos (OKR´s)'!$G93)&gt;0,NOT($B93),OR(ISNUMBER('Proyecto Datos (OKR´s)'!$F93),ISNUMBER('Proyecto Datos (OKR´s)'!$L93)))</f>
        <v>0</v>
      </c>
      <c r="D93" s="164" t="str">
        <f>IF($C93,IFERROR(LOOKUP(2,1/((ISTEXT('Proyecto Datos (OKR´s)'!$K$7:$K93))*(LEN('Proyecto Datos (OKR´s)'!$G$7:$G93)&gt;0)),'Proyecto Datos (OKR´s)'!$G$7:$G93),""),"")</f>
        <v/>
      </c>
      <c r="E93" s="163" t="str">
        <f>IF($C93,'Proyecto Datos (OKR´s)'!$E93,"")</f>
        <v/>
      </c>
      <c r="F93" s="164" t="str">
        <f>IF($C93,'Proyecto Datos (OKR´s)'!$G93,"")</f>
        <v/>
      </c>
      <c r="G93" s="164" t="str">
        <f>IF($C93,IF('Proyecto Datos (OKR´s)'!$I93="","(Sin asignar)",'Proyecto Datos (OKR´s)'!$I93),"")</f>
        <v/>
      </c>
      <c r="H93" s="163" t="str">
        <f>IF($C93,IF(ISNUMBER('Proyecto Datos (OKR´s)'!$F93),'Proyecto Datos (OKR´s)'!$F93,'Proyecto Datos (OKR´s)'!$L93),"")</f>
        <v/>
      </c>
      <c r="I93" s="163" t="str">
        <f>IF($C93,'Proyecto Datos (OKR´s)'!$J93,"")</f>
        <v/>
      </c>
      <c r="J93" s="164" t="str">
        <f ca="1">IF($C93,IF($I93&gt;=1,"Completado",IF($H93&lt;TODAY(),"Vencido",IF(($H93-TODAY())&lt;='Entregas Próximas'!$M$3,"Próximo a vencer","En curso"))),"")</f>
        <v/>
      </c>
      <c r="K93" s="163" t="str">
        <f t="shared" ca="1" si="44"/>
        <v/>
      </c>
      <c r="L93" s="163" t="str">
        <f t="shared" si="45"/>
        <v/>
      </c>
      <c r="M93" s="163" t="str">
        <f t="shared" si="46"/>
        <v/>
      </c>
      <c r="N93" s="163" t="str">
        <f>IF($C93,IF('Proyecto Datos (OKR´s)'!$E93="",9999,'Proyecto Datos (OKR´s)'!$E93),"")</f>
        <v/>
      </c>
      <c r="O93" s="163" t="str">
        <f t="shared" si="47"/>
        <v/>
      </c>
      <c r="R93" s="163" t="str">
        <f>IF($C93,IF(ISNUMBER('Proyecto Datos (OKR´s)'!$L93),'Proyecto Datos (OKR´s)'!$L93,$H93),"")</f>
        <v/>
      </c>
      <c r="S93" s="163" t="str">
        <f>IF($C93,$R93-'Proyecto Datos (OKR´s)'!$K93+1,"")</f>
        <v/>
      </c>
      <c r="T93" s="163" t="str">
        <f ca="1">IF($C93,MAX(0,TODAY()-'Proyecto Datos (OKR´s)'!$K93),"")</f>
        <v/>
      </c>
      <c r="U93" s="163" t="str">
        <f ca="1">IF($C93,MEDIAN(0,(TODAY()-'Proyecto Datos (OKR´s)'!$K93)/MAX(1,$R93-'Proyecto Datos (OKR´s)'!$K93),1),"")</f>
        <v/>
      </c>
      <c r="V93" s="163" t="str">
        <f t="shared" si="48"/>
        <v/>
      </c>
      <c r="W93" s="163" t="str">
        <f t="shared" ca="1" si="49"/>
        <v/>
      </c>
      <c r="X93" s="163" t="str">
        <f t="shared" si="50"/>
        <v/>
      </c>
      <c r="Y93" s="163" t="str">
        <f t="shared" si="51"/>
        <v/>
      </c>
      <c r="Z93" s="163" t="str">
        <f ca="1">IF($C93,AND($I93=0,'Proyecto Datos (OKR´s)'!$K93&lt;=TODAY(),$J93&lt;&gt;"Completado"),"")</f>
        <v/>
      </c>
      <c r="AA93" s="163" t="str">
        <f t="shared" si="52"/>
        <v/>
      </c>
      <c r="AB93" s="164" t="str">
        <f t="shared" si="53"/>
        <v/>
      </c>
      <c r="AC93" s="164" t="str">
        <f t="shared" si="54"/>
        <v/>
      </c>
      <c r="AD93" s="163" t="str">
        <f>IF($C93,IF($N93=9999,9999,IF($J93="Completado",$N93,MAX($N93,Sprints!$M$15))),"")</f>
        <v/>
      </c>
      <c r="AE93" s="163" t="str">
        <f t="shared" si="55"/>
        <v/>
      </c>
      <c r="AF93" s="163" t="b">
        <f t="shared" si="56"/>
        <v>0</v>
      </c>
      <c r="AG93" s="163" t="str">
        <f t="shared" si="57"/>
        <v/>
      </c>
      <c r="AH93" s="164" t="str">
        <f>IF($AF93,IF(Sprints!$I93&lt;&gt;"",Sprints!$I93,"Comprometida y no completada al cierre del Sprint "&amp;$N93),"")</f>
        <v/>
      </c>
      <c r="AI93" s="163" t="str">
        <f t="shared" si="58"/>
        <v/>
      </c>
      <c r="AJ93" s="163" t="str">
        <f t="shared" si="59"/>
        <v/>
      </c>
      <c r="AK93" s="163" t="str">
        <f t="shared" si="60"/>
        <v/>
      </c>
      <c r="AL93" s="163" t="str">
        <f t="shared" si="61"/>
        <v/>
      </c>
      <c r="AM93" s="163" t="str">
        <f t="shared" si="62"/>
        <v/>
      </c>
      <c r="AN93" s="164" t="str">
        <f t="shared" si="63"/>
        <v/>
      </c>
      <c r="AO93" s="163" t="str">
        <f>IF($C93,IFERROR(INDEX(Sprints!$M$6:$M$13,MATCH($N93,Sprints!$K$6:$K$13,0)),""),"")</f>
        <v/>
      </c>
      <c r="AP93" s="163" t="str">
        <f t="shared" ca="1" si="64"/>
        <v/>
      </c>
    </row>
    <row r="94" spans="1:42" x14ac:dyDescent="0.35">
      <c r="A94" s="163">
        <f>ROW()</f>
        <v>94</v>
      </c>
      <c r="B94" s="163" t="b">
        <f>ISTEXT('Proyecto Datos (OKR´s)'!$K94)</f>
        <v>0</v>
      </c>
      <c r="C94" s="163" t="b">
        <f>AND(LEN('Proyecto Datos (OKR´s)'!$G94)&gt;0,NOT($B94),OR(ISNUMBER('Proyecto Datos (OKR´s)'!$F94),ISNUMBER('Proyecto Datos (OKR´s)'!$L94)))</f>
        <v>0</v>
      </c>
      <c r="D94" s="164" t="str">
        <f>IF($C94,IFERROR(LOOKUP(2,1/((ISTEXT('Proyecto Datos (OKR´s)'!$K$7:$K94))*(LEN('Proyecto Datos (OKR´s)'!$G$7:$G94)&gt;0)),'Proyecto Datos (OKR´s)'!$G$7:$G94),""),"")</f>
        <v/>
      </c>
      <c r="E94" s="163" t="str">
        <f>IF($C94,'Proyecto Datos (OKR´s)'!$E94,"")</f>
        <v/>
      </c>
      <c r="F94" s="164" t="str">
        <f>IF($C94,'Proyecto Datos (OKR´s)'!$G94,"")</f>
        <v/>
      </c>
      <c r="G94" s="164" t="str">
        <f>IF($C94,IF('Proyecto Datos (OKR´s)'!$I94="","(Sin asignar)",'Proyecto Datos (OKR´s)'!$I94),"")</f>
        <v/>
      </c>
      <c r="H94" s="163" t="str">
        <f>IF($C94,IF(ISNUMBER('Proyecto Datos (OKR´s)'!$F94),'Proyecto Datos (OKR´s)'!$F94,'Proyecto Datos (OKR´s)'!$L94),"")</f>
        <v/>
      </c>
      <c r="I94" s="163" t="str">
        <f>IF($C94,'Proyecto Datos (OKR´s)'!$J94,"")</f>
        <v/>
      </c>
      <c r="J94" s="164" t="str">
        <f ca="1">IF($C94,IF($I94&gt;=1,"Completado",IF($H94&lt;TODAY(),"Vencido",IF(($H94-TODAY())&lt;='Entregas Próximas'!$M$3,"Próximo a vencer","En curso"))),"")</f>
        <v/>
      </c>
      <c r="K94" s="163" t="str">
        <f t="shared" ca="1" si="44"/>
        <v/>
      </c>
      <c r="L94" s="163" t="str">
        <f t="shared" si="45"/>
        <v/>
      </c>
      <c r="M94" s="163" t="str">
        <f t="shared" si="46"/>
        <v/>
      </c>
      <c r="N94" s="163" t="str">
        <f>IF($C94,IF('Proyecto Datos (OKR´s)'!$E94="",9999,'Proyecto Datos (OKR´s)'!$E94),"")</f>
        <v/>
      </c>
      <c r="O94" s="163" t="str">
        <f t="shared" si="47"/>
        <v/>
      </c>
      <c r="R94" s="163" t="str">
        <f>IF($C94,IF(ISNUMBER('Proyecto Datos (OKR´s)'!$L94),'Proyecto Datos (OKR´s)'!$L94,$H94),"")</f>
        <v/>
      </c>
      <c r="S94" s="163" t="str">
        <f>IF($C94,$R94-'Proyecto Datos (OKR´s)'!$K94+1,"")</f>
        <v/>
      </c>
      <c r="T94" s="163" t="str">
        <f ca="1">IF($C94,MAX(0,TODAY()-'Proyecto Datos (OKR´s)'!$K94),"")</f>
        <v/>
      </c>
      <c r="U94" s="163" t="str">
        <f ca="1">IF($C94,MEDIAN(0,(TODAY()-'Proyecto Datos (OKR´s)'!$K94)/MAX(1,$R94-'Proyecto Datos (OKR´s)'!$K94),1),"")</f>
        <v/>
      </c>
      <c r="V94" s="163" t="str">
        <f t="shared" si="48"/>
        <v/>
      </c>
      <c r="W94" s="163" t="str">
        <f t="shared" ca="1" si="49"/>
        <v/>
      </c>
      <c r="X94" s="163" t="str">
        <f t="shared" si="50"/>
        <v/>
      </c>
      <c r="Y94" s="163" t="str">
        <f t="shared" si="51"/>
        <v/>
      </c>
      <c r="Z94" s="163" t="str">
        <f ca="1">IF($C94,AND($I94=0,'Proyecto Datos (OKR´s)'!$K94&lt;=TODAY(),$J94&lt;&gt;"Completado"),"")</f>
        <v/>
      </c>
      <c r="AA94" s="163" t="str">
        <f t="shared" si="52"/>
        <v/>
      </c>
      <c r="AB94" s="164" t="str">
        <f t="shared" si="53"/>
        <v/>
      </c>
      <c r="AC94" s="164" t="str">
        <f t="shared" si="54"/>
        <v/>
      </c>
      <c r="AD94" s="163" t="str">
        <f>IF($C94,IF($N94=9999,9999,IF($J94="Completado",$N94,MAX($N94,Sprints!$M$15))),"")</f>
        <v/>
      </c>
      <c r="AE94" s="163" t="str">
        <f t="shared" si="55"/>
        <v/>
      </c>
      <c r="AF94" s="163" t="b">
        <f t="shared" si="56"/>
        <v>0</v>
      </c>
      <c r="AG94" s="163" t="str">
        <f t="shared" si="57"/>
        <v/>
      </c>
      <c r="AH94" s="164" t="str">
        <f>IF($AF94,IF(Sprints!$I94&lt;&gt;"",Sprints!$I94,"Comprometida y no completada al cierre del Sprint "&amp;$N94),"")</f>
        <v/>
      </c>
      <c r="AI94" s="163" t="str">
        <f t="shared" si="58"/>
        <v/>
      </c>
      <c r="AJ94" s="163" t="str">
        <f t="shared" si="59"/>
        <v/>
      </c>
      <c r="AK94" s="163" t="str">
        <f t="shared" si="60"/>
        <v/>
      </c>
      <c r="AL94" s="163" t="str">
        <f t="shared" si="61"/>
        <v/>
      </c>
      <c r="AM94" s="163" t="str">
        <f t="shared" si="62"/>
        <v/>
      </c>
      <c r="AN94" s="164" t="str">
        <f t="shared" si="63"/>
        <v/>
      </c>
      <c r="AO94" s="163" t="str">
        <f>IF($C94,IFERROR(INDEX(Sprints!$M$6:$M$13,MATCH($N94,Sprints!$K$6:$K$13,0)),""),"")</f>
        <v/>
      </c>
      <c r="AP94" s="163" t="str">
        <f t="shared" ca="1" si="64"/>
        <v/>
      </c>
    </row>
    <row r="95" spans="1:42" x14ac:dyDescent="0.35">
      <c r="A95" s="163">
        <f>ROW()</f>
        <v>95</v>
      </c>
      <c r="B95" s="163" t="b">
        <f>ISTEXT('Proyecto Datos (OKR´s)'!$K95)</f>
        <v>0</v>
      </c>
      <c r="C95" s="163" t="b">
        <f>AND(LEN('Proyecto Datos (OKR´s)'!$G95)&gt;0,NOT($B95),OR(ISNUMBER('Proyecto Datos (OKR´s)'!$F95),ISNUMBER('Proyecto Datos (OKR´s)'!$L95)))</f>
        <v>0</v>
      </c>
      <c r="D95" s="164" t="str">
        <f>IF($C95,IFERROR(LOOKUP(2,1/((ISTEXT('Proyecto Datos (OKR´s)'!$K$7:$K95))*(LEN('Proyecto Datos (OKR´s)'!$G$7:$G95)&gt;0)),'Proyecto Datos (OKR´s)'!$G$7:$G95),""),"")</f>
        <v/>
      </c>
      <c r="E95" s="163" t="str">
        <f>IF($C95,'Proyecto Datos (OKR´s)'!$E95,"")</f>
        <v/>
      </c>
      <c r="F95" s="164" t="str">
        <f>IF($C95,'Proyecto Datos (OKR´s)'!$G95,"")</f>
        <v/>
      </c>
      <c r="G95" s="164" t="str">
        <f>IF($C95,IF('Proyecto Datos (OKR´s)'!$I95="","(Sin asignar)",'Proyecto Datos (OKR´s)'!$I95),"")</f>
        <v/>
      </c>
      <c r="H95" s="163" t="str">
        <f>IF($C95,IF(ISNUMBER('Proyecto Datos (OKR´s)'!$F95),'Proyecto Datos (OKR´s)'!$F95,'Proyecto Datos (OKR´s)'!$L95),"")</f>
        <v/>
      </c>
      <c r="I95" s="163" t="str">
        <f>IF($C95,'Proyecto Datos (OKR´s)'!$J95,"")</f>
        <v/>
      </c>
      <c r="J95" s="164" t="str">
        <f ca="1">IF($C95,IF($I95&gt;=1,"Completado",IF($H95&lt;TODAY(),"Vencido",IF(($H95-TODAY())&lt;='Entregas Próximas'!$M$3,"Próximo a vencer","En curso"))),"")</f>
        <v/>
      </c>
      <c r="K95" s="163" t="str">
        <f t="shared" ca="1" si="44"/>
        <v/>
      </c>
      <c r="L95" s="163" t="str">
        <f t="shared" si="45"/>
        <v/>
      </c>
      <c r="M95" s="163" t="str">
        <f t="shared" si="46"/>
        <v/>
      </c>
      <c r="N95" s="163" t="str">
        <f>IF($C95,IF('Proyecto Datos (OKR´s)'!$E95="",9999,'Proyecto Datos (OKR´s)'!$E95),"")</f>
        <v/>
      </c>
      <c r="O95" s="163" t="str">
        <f t="shared" si="47"/>
        <v/>
      </c>
      <c r="R95" s="163" t="str">
        <f>IF($C95,IF(ISNUMBER('Proyecto Datos (OKR´s)'!$L95),'Proyecto Datos (OKR´s)'!$L95,$H95),"")</f>
        <v/>
      </c>
      <c r="S95" s="163" t="str">
        <f>IF($C95,$R95-'Proyecto Datos (OKR´s)'!$K95+1,"")</f>
        <v/>
      </c>
      <c r="T95" s="163" t="str">
        <f ca="1">IF($C95,MAX(0,TODAY()-'Proyecto Datos (OKR´s)'!$K95),"")</f>
        <v/>
      </c>
      <c r="U95" s="163" t="str">
        <f ca="1">IF($C95,MEDIAN(0,(TODAY()-'Proyecto Datos (OKR´s)'!$K95)/MAX(1,$R95-'Proyecto Datos (OKR´s)'!$K95),1),"")</f>
        <v/>
      </c>
      <c r="V95" s="163" t="str">
        <f t="shared" si="48"/>
        <v/>
      </c>
      <c r="W95" s="163" t="str">
        <f t="shared" ca="1" si="49"/>
        <v/>
      </c>
      <c r="X95" s="163" t="str">
        <f t="shared" si="50"/>
        <v/>
      </c>
      <c r="Y95" s="163" t="str">
        <f t="shared" si="51"/>
        <v/>
      </c>
      <c r="Z95" s="163" t="str">
        <f ca="1">IF($C95,AND($I95=0,'Proyecto Datos (OKR´s)'!$K95&lt;=TODAY(),$J95&lt;&gt;"Completado"),"")</f>
        <v/>
      </c>
      <c r="AA95" s="163" t="str">
        <f t="shared" si="52"/>
        <v/>
      </c>
      <c r="AB95" s="164" t="str">
        <f t="shared" si="53"/>
        <v/>
      </c>
      <c r="AC95" s="164" t="str">
        <f t="shared" si="54"/>
        <v/>
      </c>
      <c r="AD95" s="163" t="str">
        <f>IF($C95,IF($N95=9999,9999,IF($J95="Completado",$N95,MAX($N95,Sprints!$M$15))),"")</f>
        <v/>
      </c>
      <c r="AE95" s="163" t="str">
        <f t="shared" si="55"/>
        <v/>
      </c>
      <c r="AF95" s="163" t="b">
        <f t="shared" si="56"/>
        <v>0</v>
      </c>
      <c r="AG95" s="163" t="str">
        <f t="shared" si="57"/>
        <v/>
      </c>
      <c r="AH95" s="164" t="str">
        <f>IF($AF95,IF(Sprints!$I95&lt;&gt;"",Sprints!$I95,"Comprometida y no completada al cierre del Sprint "&amp;$N95),"")</f>
        <v/>
      </c>
      <c r="AI95" s="163" t="str">
        <f t="shared" si="58"/>
        <v/>
      </c>
      <c r="AJ95" s="163" t="str">
        <f t="shared" si="59"/>
        <v/>
      </c>
      <c r="AK95" s="163" t="str">
        <f t="shared" si="60"/>
        <v/>
      </c>
      <c r="AL95" s="163" t="str">
        <f t="shared" si="61"/>
        <v/>
      </c>
      <c r="AM95" s="163" t="str">
        <f t="shared" si="62"/>
        <v/>
      </c>
      <c r="AN95" s="164" t="str">
        <f t="shared" si="63"/>
        <v/>
      </c>
      <c r="AO95" s="163" t="str">
        <f>IF($C95,IFERROR(INDEX(Sprints!$M$6:$M$13,MATCH($N95,Sprints!$K$6:$K$13,0)),""),"")</f>
        <v/>
      </c>
      <c r="AP95" s="163" t="str">
        <f t="shared" ca="1" si="64"/>
        <v/>
      </c>
    </row>
    <row r="96" spans="1:42" x14ac:dyDescent="0.35">
      <c r="A96" s="163">
        <f>ROW()</f>
        <v>96</v>
      </c>
      <c r="B96" s="163" t="b">
        <f>ISTEXT('Proyecto Datos (OKR´s)'!$K96)</f>
        <v>0</v>
      </c>
      <c r="C96" s="163" t="b">
        <f>AND(LEN('Proyecto Datos (OKR´s)'!$G96)&gt;0,NOT($B96),OR(ISNUMBER('Proyecto Datos (OKR´s)'!$F96),ISNUMBER('Proyecto Datos (OKR´s)'!$L96)))</f>
        <v>0</v>
      </c>
      <c r="D96" s="164" t="str">
        <f>IF($C96,IFERROR(LOOKUP(2,1/((ISTEXT('Proyecto Datos (OKR´s)'!$K$7:$K96))*(LEN('Proyecto Datos (OKR´s)'!$G$7:$G96)&gt;0)),'Proyecto Datos (OKR´s)'!$G$7:$G96),""),"")</f>
        <v/>
      </c>
      <c r="E96" s="163" t="str">
        <f>IF($C96,'Proyecto Datos (OKR´s)'!$E96,"")</f>
        <v/>
      </c>
      <c r="F96" s="164" t="str">
        <f>IF($C96,'Proyecto Datos (OKR´s)'!$G96,"")</f>
        <v/>
      </c>
      <c r="G96" s="164" t="str">
        <f>IF($C96,IF('Proyecto Datos (OKR´s)'!$I96="","(Sin asignar)",'Proyecto Datos (OKR´s)'!$I96),"")</f>
        <v/>
      </c>
      <c r="H96" s="163" t="str">
        <f>IF($C96,IF(ISNUMBER('Proyecto Datos (OKR´s)'!$F96),'Proyecto Datos (OKR´s)'!$F96,'Proyecto Datos (OKR´s)'!$L96),"")</f>
        <v/>
      </c>
      <c r="I96" s="163" t="str">
        <f>IF($C96,'Proyecto Datos (OKR´s)'!$J96,"")</f>
        <v/>
      </c>
      <c r="J96" s="164" t="str">
        <f ca="1">IF($C96,IF($I96&gt;=1,"Completado",IF($H96&lt;TODAY(),"Vencido",IF(($H96-TODAY())&lt;='Entregas Próximas'!$M$3,"Próximo a vencer","En curso"))),"")</f>
        <v/>
      </c>
      <c r="K96" s="163" t="str">
        <f t="shared" ca="1" si="44"/>
        <v/>
      </c>
      <c r="L96" s="163" t="str">
        <f t="shared" si="45"/>
        <v/>
      </c>
      <c r="M96" s="163" t="str">
        <f t="shared" si="46"/>
        <v/>
      </c>
      <c r="N96" s="163" t="str">
        <f>IF($C96,IF('Proyecto Datos (OKR´s)'!$E96="",9999,'Proyecto Datos (OKR´s)'!$E96),"")</f>
        <v/>
      </c>
      <c r="O96" s="163" t="str">
        <f t="shared" si="47"/>
        <v/>
      </c>
      <c r="R96" s="163" t="str">
        <f>IF($C96,IF(ISNUMBER('Proyecto Datos (OKR´s)'!$L96),'Proyecto Datos (OKR´s)'!$L96,$H96),"")</f>
        <v/>
      </c>
      <c r="S96" s="163" t="str">
        <f>IF($C96,$R96-'Proyecto Datos (OKR´s)'!$K96+1,"")</f>
        <v/>
      </c>
      <c r="T96" s="163" t="str">
        <f ca="1">IF($C96,MAX(0,TODAY()-'Proyecto Datos (OKR´s)'!$K96),"")</f>
        <v/>
      </c>
      <c r="U96" s="163" t="str">
        <f ca="1">IF($C96,MEDIAN(0,(TODAY()-'Proyecto Datos (OKR´s)'!$K96)/MAX(1,$R96-'Proyecto Datos (OKR´s)'!$K96),1),"")</f>
        <v/>
      </c>
      <c r="V96" s="163" t="str">
        <f t="shared" si="48"/>
        <v/>
      </c>
      <c r="W96" s="163" t="str">
        <f t="shared" ca="1" si="49"/>
        <v/>
      </c>
      <c r="X96" s="163" t="str">
        <f t="shared" si="50"/>
        <v/>
      </c>
      <c r="Y96" s="163" t="str">
        <f t="shared" si="51"/>
        <v/>
      </c>
      <c r="Z96" s="163" t="str">
        <f ca="1">IF($C96,AND($I96=0,'Proyecto Datos (OKR´s)'!$K96&lt;=TODAY(),$J96&lt;&gt;"Completado"),"")</f>
        <v/>
      </c>
      <c r="AA96" s="163" t="str">
        <f t="shared" si="52"/>
        <v/>
      </c>
      <c r="AB96" s="164" t="str">
        <f t="shared" si="53"/>
        <v/>
      </c>
      <c r="AC96" s="164" t="str">
        <f t="shared" si="54"/>
        <v/>
      </c>
      <c r="AD96" s="163" t="str">
        <f>IF($C96,IF($N96=9999,9999,IF($J96="Completado",$N96,MAX($N96,Sprints!$M$15))),"")</f>
        <v/>
      </c>
      <c r="AE96" s="163" t="str">
        <f t="shared" si="55"/>
        <v/>
      </c>
      <c r="AF96" s="163" t="b">
        <f t="shared" si="56"/>
        <v>0</v>
      </c>
      <c r="AG96" s="163" t="str">
        <f t="shared" si="57"/>
        <v/>
      </c>
      <c r="AH96" s="164" t="str">
        <f>IF($AF96,IF(Sprints!$I96&lt;&gt;"",Sprints!$I96,"Comprometida y no completada al cierre del Sprint "&amp;$N96),"")</f>
        <v/>
      </c>
      <c r="AI96" s="163" t="str">
        <f t="shared" si="58"/>
        <v/>
      </c>
      <c r="AJ96" s="163" t="str">
        <f t="shared" si="59"/>
        <v/>
      </c>
      <c r="AK96" s="163" t="str">
        <f t="shared" si="60"/>
        <v/>
      </c>
      <c r="AL96" s="163" t="str">
        <f t="shared" si="61"/>
        <v/>
      </c>
      <c r="AM96" s="163" t="str">
        <f t="shared" si="62"/>
        <v/>
      </c>
      <c r="AN96" s="164" t="str">
        <f t="shared" si="63"/>
        <v/>
      </c>
      <c r="AO96" s="163" t="str">
        <f>IF($C96,IFERROR(INDEX(Sprints!$M$6:$M$13,MATCH($N96,Sprints!$K$6:$K$13,0)),""),"")</f>
        <v/>
      </c>
      <c r="AP96" s="163" t="str">
        <f t="shared" ca="1" si="64"/>
        <v/>
      </c>
    </row>
    <row r="97" spans="1:42" x14ac:dyDescent="0.35">
      <c r="A97" s="163">
        <f>ROW()</f>
        <v>97</v>
      </c>
      <c r="B97" s="163" t="b">
        <f>ISTEXT('Proyecto Datos (OKR´s)'!$K97)</f>
        <v>0</v>
      </c>
      <c r="C97" s="163" t="b">
        <f>AND(LEN('Proyecto Datos (OKR´s)'!$G97)&gt;0,NOT($B97),OR(ISNUMBER('Proyecto Datos (OKR´s)'!$F97),ISNUMBER('Proyecto Datos (OKR´s)'!$L97)))</f>
        <v>0</v>
      </c>
      <c r="D97" s="164" t="str">
        <f>IF($C97,IFERROR(LOOKUP(2,1/((ISTEXT('Proyecto Datos (OKR´s)'!$K$7:$K97))*(LEN('Proyecto Datos (OKR´s)'!$G$7:$G97)&gt;0)),'Proyecto Datos (OKR´s)'!$G$7:$G97),""),"")</f>
        <v/>
      </c>
      <c r="E97" s="163" t="str">
        <f>IF($C97,'Proyecto Datos (OKR´s)'!$E97,"")</f>
        <v/>
      </c>
      <c r="F97" s="164" t="str">
        <f>IF($C97,'Proyecto Datos (OKR´s)'!$G97,"")</f>
        <v/>
      </c>
      <c r="G97" s="164" t="str">
        <f>IF($C97,IF('Proyecto Datos (OKR´s)'!$I97="","(Sin asignar)",'Proyecto Datos (OKR´s)'!$I97),"")</f>
        <v/>
      </c>
      <c r="H97" s="163" t="str">
        <f>IF($C97,IF(ISNUMBER('Proyecto Datos (OKR´s)'!$F97),'Proyecto Datos (OKR´s)'!$F97,'Proyecto Datos (OKR´s)'!$L97),"")</f>
        <v/>
      </c>
      <c r="I97" s="163" t="str">
        <f>IF($C97,'Proyecto Datos (OKR´s)'!$J97,"")</f>
        <v/>
      </c>
      <c r="J97" s="164" t="str">
        <f ca="1">IF($C97,IF($I97&gt;=1,"Completado",IF($H97&lt;TODAY(),"Vencido",IF(($H97-TODAY())&lt;='Entregas Próximas'!$M$3,"Próximo a vencer","En curso"))),"")</f>
        <v/>
      </c>
      <c r="K97" s="163" t="str">
        <f t="shared" ca="1" si="44"/>
        <v/>
      </c>
      <c r="L97" s="163" t="str">
        <f t="shared" si="45"/>
        <v/>
      </c>
      <c r="M97" s="163" t="str">
        <f t="shared" si="46"/>
        <v/>
      </c>
      <c r="N97" s="163" t="str">
        <f>IF($C97,IF('Proyecto Datos (OKR´s)'!$E97="",9999,'Proyecto Datos (OKR´s)'!$E97),"")</f>
        <v/>
      </c>
      <c r="O97" s="163" t="str">
        <f t="shared" si="47"/>
        <v/>
      </c>
      <c r="R97" s="163" t="str">
        <f>IF($C97,IF(ISNUMBER('Proyecto Datos (OKR´s)'!$L97),'Proyecto Datos (OKR´s)'!$L97,$H97),"")</f>
        <v/>
      </c>
      <c r="S97" s="163" t="str">
        <f>IF($C97,$R97-'Proyecto Datos (OKR´s)'!$K97+1,"")</f>
        <v/>
      </c>
      <c r="T97" s="163" t="str">
        <f ca="1">IF($C97,MAX(0,TODAY()-'Proyecto Datos (OKR´s)'!$K97),"")</f>
        <v/>
      </c>
      <c r="U97" s="163" t="str">
        <f ca="1">IF($C97,MEDIAN(0,(TODAY()-'Proyecto Datos (OKR´s)'!$K97)/MAX(1,$R97-'Proyecto Datos (OKR´s)'!$K97),1),"")</f>
        <v/>
      </c>
      <c r="V97" s="163" t="str">
        <f t="shared" si="48"/>
        <v/>
      </c>
      <c r="W97" s="163" t="str">
        <f t="shared" ca="1" si="49"/>
        <v/>
      </c>
      <c r="X97" s="163" t="str">
        <f t="shared" si="50"/>
        <v/>
      </c>
      <c r="Y97" s="163" t="str">
        <f t="shared" si="51"/>
        <v/>
      </c>
      <c r="Z97" s="163" t="str">
        <f ca="1">IF($C97,AND($I97=0,'Proyecto Datos (OKR´s)'!$K97&lt;=TODAY(),$J97&lt;&gt;"Completado"),"")</f>
        <v/>
      </c>
      <c r="AA97" s="163" t="str">
        <f t="shared" si="52"/>
        <v/>
      </c>
      <c r="AB97" s="164" t="str">
        <f t="shared" si="53"/>
        <v/>
      </c>
      <c r="AC97" s="164" t="str">
        <f t="shared" si="54"/>
        <v/>
      </c>
      <c r="AD97" s="163" t="str">
        <f>IF($C97,IF($N97=9999,9999,IF($J97="Completado",$N97,MAX($N97,Sprints!$M$15))),"")</f>
        <v/>
      </c>
      <c r="AE97" s="163" t="str">
        <f t="shared" si="55"/>
        <v/>
      </c>
      <c r="AF97" s="163" t="b">
        <f t="shared" si="56"/>
        <v>0</v>
      </c>
      <c r="AG97" s="163" t="str">
        <f t="shared" si="57"/>
        <v/>
      </c>
      <c r="AH97" s="164" t="str">
        <f>IF($AF97,IF(Sprints!$I97&lt;&gt;"",Sprints!$I97,"Comprometida y no completada al cierre del Sprint "&amp;$N97),"")</f>
        <v/>
      </c>
      <c r="AI97" s="163" t="str">
        <f t="shared" si="58"/>
        <v/>
      </c>
      <c r="AJ97" s="163" t="str">
        <f t="shared" si="59"/>
        <v/>
      </c>
      <c r="AK97" s="163" t="str">
        <f t="shared" si="60"/>
        <v/>
      </c>
      <c r="AL97" s="163" t="str">
        <f t="shared" si="61"/>
        <v/>
      </c>
      <c r="AM97" s="163" t="str">
        <f t="shared" si="62"/>
        <v/>
      </c>
      <c r="AN97" s="164" t="str">
        <f t="shared" si="63"/>
        <v/>
      </c>
      <c r="AO97" s="163" t="str">
        <f>IF($C97,IFERROR(INDEX(Sprints!$M$6:$M$13,MATCH($N97,Sprints!$K$6:$K$13,0)),""),"")</f>
        <v/>
      </c>
      <c r="AP97" s="163" t="str">
        <f t="shared" ca="1" si="64"/>
        <v/>
      </c>
    </row>
    <row r="98" spans="1:42" x14ac:dyDescent="0.35">
      <c r="A98" s="163">
        <f>ROW()</f>
        <v>98</v>
      </c>
      <c r="B98" s="163" t="b">
        <f>ISTEXT('Proyecto Datos (OKR´s)'!$K98)</f>
        <v>0</v>
      </c>
      <c r="C98" s="163" t="b">
        <f>AND(LEN('Proyecto Datos (OKR´s)'!$G98)&gt;0,NOT($B98),OR(ISNUMBER('Proyecto Datos (OKR´s)'!$F98),ISNUMBER('Proyecto Datos (OKR´s)'!$L98)))</f>
        <v>0</v>
      </c>
      <c r="D98" s="164" t="str">
        <f>IF($C98,IFERROR(LOOKUP(2,1/((ISTEXT('Proyecto Datos (OKR´s)'!$K$7:$K98))*(LEN('Proyecto Datos (OKR´s)'!$G$7:$G98)&gt;0)),'Proyecto Datos (OKR´s)'!$G$7:$G98),""),"")</f>
        <v/>
      </c>
      <c r="E98" s="163" t="str">
        <f>IF($C98,'Proyecto Datos (OKR´s)'!$E98,"")</f>
        <v/>
      </c>
      <c r="F98" s="164" t="str">
        <f>IF($C98,'Proyecto Datos (OKR´s)'!$G98,"")</f>
        <v/>
      </c>
      <c r="G98" s="164" t="str">
        <f>IF($C98,IF('Proyecto Datos (OKR´s)'!$I98="","(Sin asignar)",'Proyecto Datos (OKR´s)'!$I98),"")</f>
        <v/>
      </c>
      <c r="H98" s="163" t="str">
        <f>IF($C98,IF(ISNUMBER('Proyecto Datos (OKR´s)'!$F98),'Proyecto Datos (OKR´s)'!$F98,'Proyecto Datos (OKR´s)'!$L98),"")</f>
        <v/>
      </c>
      <c r="I98" s="163" t="str">
        <f>IF($C98,'Proyecto Datos (OKR´s)'!$J98,"")</f>
        <v/>
      </c>
      <c r="J98" s="164" t="str">
        <f ca="1">IF($C98,IF($I98&gt;=1,"Completado",IF($H98&lt;TODAY(),"Vencido",IF(($H98-TODAY())&lt;='Entregas Próximas'!$M$3,"Próximo a vencer","En curso"))),"")</f>
        <v/>
      </c>
      <c r="K98" s="163" t="str">
        <f t="shared" ca="1" si="44"/>
        <v/>
      </c>
      <c r="L98" s="163" t="str">
        <f t="shared" si="45"/>
        <v/>
      </c>
      <c r="M98" s="163" t="str">
        <f t="shared" si="46"/>
        <v/>
      </c>
      <c r="N98" s="163" t="str">
        <f>IF($C98,IF('Proyecto Datos (OKR´s)'!$E98="",9999,'Proyecto Datos (OKR´s)'!$E98),"")</f>
        <v/>
      </c>
      <c r="O98" s="163" t="str">
        <f t="shared" si="47"/>
        <v/>
      </c>
      <c r="R98" s="163" t="str">
        <f>IF($C98,IF(ISNUMBER('Proyecto Datos (OKR´s)'!$L98),'Proyecto Datos (OKR´s)'!$L98,$H98),"")</f>
        <v/>
      </c>
      <c r="S98" s="163" t="str">
        <f>IF($C98,$R98-'Proyecto Datos (OKR´s)'!$K98+1,"")</f>
        <v/>
      </c>
      <c r="T98" s="163" t="str">
        <f ca="1">IF($C98,MAX(0,TODAY()-'Proyecto Datos (OKR´s)'!$K98),"")</f>
        <v/>
      </c>
      <c r="U98" s="163" t="str">
        <f ca="1">IF($C98,MEDIAN(0,(TODAY()-'Proyecto Datos (OKR´s)'!$K98)/MAX(1,$R98-'Proyecto Datos (OKR´s)'!$K98),1),"")</f>
        <v/>
      </c>
      <c r="V98" s="163" t="str">
        <f t="shared" si="48"/>
        <v/>
      </c>
      <c r="W98" s="163" t="str">
        <f t="shared" ca="1" si="49"/>
        <v/>
      </c>
      <c r="X98" s="163" t="str">
        <f t="shared" si="50"/>
        <v/>
      </c>
      <c r="Y98" s="163" t="str">
        <f t="shared" si="51"/>
        <v/>
      </c>
      <c r="Z98" s="163" t="str">
        <f ca="1">IF($C98,AND($I98=0,'Proyecto Datos (OKR´s)'!$K98&lt;=TODAY(),$J98&lt;&gt;"Completado"),"")</f>
        <v/>
      </c>
      <c r="AA98" s="163" t="str">
        <f t="shared" si="52"/>
        <v/>
      </c>
      <c r="AB98" s="164" t="str">
        <f t="shared" si="53"/>
        <v/>
      </c>
      <c r="AC98" s="164" t="str">
        <f t="shared" si="54"/>
        <v/>
      </c>
      <c r="AD98" s="163" t="str">
        <f>IF($C98,IF($N98=9999,9999,IF($J98="Completado",$N98,MAX($N98,Sprints!$M$15))),"")</f>
        <v/>
      </c>
      <c r="AE98" s="163" t="str">
        <f t="shared" si="55"/>
        <v/>
      </c>
      <c r="AF98" s="163" t="b">
        <f t="shared" si="56"/>
        <v>0</v>
      </c>
      <c r="AG98" s="163" t="str">
        <f t="shared" si="57"/>
        <v/>
      </c>
      <c r="AH98" s="164" t="str">
        <f>IF($AF98,IF(Sprints!$I98&lt;&gt;"",Sprints!$I98,"Comprometida y no completada al cierre del Sprint "&amp;$N98),"")</f>
        <v/>
      </c>
      <c r="AI98" s="163" t="str">
        <f t="shared" si="58"/>
        <v/>
      </c>
      <c r="AJ98" s="163" t="str">
        <f t="shared" si="59"/>
        <v/>
      </c>
      <c r="AK98" s="163" t="str">
        <f t="shared" si="60"/>
        <v/>
      </c>
      <c r="AL98" s="163" t="str">
        <f t="shared" si="61"/>
        <v/>
      </c>
      <c r="AM98" s="163" t="str">
        <f t="shared" si="62"/>
        <v/>
      </c>
      <c r="AN98" s="164" t="str">
        <f t="shared" si="63"/>
        <v/>
      </c>
      <c r="AO98" s="163" t="str">
        <f>IF($C98,IFERROR(INDEX(Sprints!$M$6:$M$13,MATCH($N98,Sprints!$K$6:$K$13,0)),""),"")</f>
        <v/>
      </c>
      <c r="AP98" s="163" t="str">
        <f t="shared" ca="1" si="64"/>
        <v/>
      </c>
    </row>
    <row r="99" spans="1:42" x14ac:dyDescent="0.35">
      <c r="A99" s="163">
        <f>ROW()</f>
        <v>99</v>
      </c>
      <c r="B99" s="163" t="b">
        <f>ISTEXT('Proyecto Datos (OKR´s)'!$K99)</f>
        <v>0</v>
      </c>
      <c r="C99" s="163" t="b">
        <f>AND(LEN('Proyecto Datos (OKR´s)'!$G99)&gt;0,NOT($B99),OR(ISNUMBER('Proyecto Datos (OKR´s)'!$F99),ISNUMBER('Proyecto Datos (OKR´s)'!$L99)))</f>
        <v>0</v>
      </c>
      <c r="D99" s="164" t="str">
        <f>IF($C99,IFERROR(LOOKUP(2,1/((ISTEXT('Proyecto Datos (OKR´s)'!$K$7:$K99))*(LEN('Proyecto Datos (OKR´s)'!$G$7:$G99)&gt;0)),'Proyecto Datos (OKR´s)'!$G$7:$G99),""),"")</f>
        <v/>
      </c>
      <c r="E99" s="163" t="str">
        <f>IF($C99,'Proyecto Datos (OKR´s)'!$E99,"")</f>
        <v/>
      </c>
      <c r="F99" s="164" t="str">
        <f>IF($C99,'Proyecto Datos (OKR´s)'!$G99,"")</f>
        <v/>
      </c>
      <c r="G99" s="164" t="str">
        <f>IF($C99,IF('Proyecto Datos (OKR´s)'!$I99="","(Sin asignar)",'Proyecto Datos (OKR´s)'!$I99),"")</f>
        <v/>
      </c>
      <c r="H99" s="163" t="str">
        <f>IF($C99,IF(ISNUMBER('Proyecto Datos (OKR´s)'!$F99),'Proyecto Datos (OKR´s)'!$F99,'Proyecto Datos (OKR´s)'!$L99),"")</f>
        <v/>
      </c>
      <c r="I99" s="163" t="str">
        <f>IF($C99,'Proyecto Datos (OKR´s)'!$J99,"")</f>
        <v/>
      </c>
      <c r="J99" s="164" t="str">
        <f ca="1">IF($C99,IF($I99&gt;=1,"Completado",IF($H99&lt;TODAY(),"Vencido",IF(($H99-TODAY())&lt;='Entregas Próximas'!$M$3,"Próximo a vencer","En curso"))),"")</f>
        <v/>
      </c>
      <c r="K99" s="163" t="str">
        <f t="shared" ca="1" si="44"/>
        <v/>
      </c>
      <c r="L99" s="163" t="str">
        <f t="shared" si="45"/>
        <v/>
      </c>
      <c r="M99" s="163" t="str">
        <f t="shared" si="46"/>
        <v/>
      </c>
      <c r="N99" s="163" t="str">
        <f>IF($C99,IF('Proyecto Datos (OKR´s)'!$E99="",9999,'Proyecto Datos (OKR´s)'!$E99),"")</f>
        <v/>
      </c>
      <c r="O99" s="163" t="str">
        <f t="shared" si="47"/>
        <v/>
      </c>
      <c r="R99" s="163" t="str">
        <f>IF($C99,IF(ISNUMBER('Proyecto Datos (OKR´s)'!$L99),'Proyecto Datos (OKR´s)'!$L99,$H99),"")</f>
        <v/>
      </c>
      <c r="S99" s="163" t="str">
        <f>IF($C99,$R99-'Proyecto Datos (OKR´s)'!$K99+1,"")</f>
        <v/>
      </c>
      <c r="T99" s="163" t="str">
        <f ca="1">IF($C99,MAX(0,TODAY()-'Proyecto Datos (OKR´s)'!$K99),"")</f>
        <v/>
      </c>
      <c r="U99" s="163" t="str">
        <f ca="1">IF($C99,MEDIAN(0,(TODAY()-'Proyecto Datos (OKR´s)'!$K99)/MAX(1,$R99-'Proyecto Datos (OKR´s)'!$K99),1),"")</f>
        <v/>
      </c>
      <c r="V99" s="163" t="str">
        <f t="shared" si="48"/>
        <v/>
      </c>
      <c r="W99" s="163" t="str">
        <f t="shared" ca="1" si="49"/>
        <v/>
      </c>
      <c r="X99" s="163" t="str">
        <f t="shared" si="50"/>
        <v/>
      </c>
      <c r="Y99" s="163" t="str">
        <f t="shared" si="51"/>
        <v/>
      </c>
      <c r="Z99" s="163" t="str">
        <f ca="1">IF($C99,AND($I99=0,'Proyecto Datos (OKR´s)'!$K99&lt;=TODAY(),$J99&lt;&gt;"Completado"),"")</f>
        <v/>
      </c>
      <c r="AA99" s="163" t="str">
        <f t="shared" si="52"/>
        <v/>
      </c>
      <c r="AB99" s="164" t="str">
        <f t="shared" si="53"/>
        <v/>
      </c>
      <c r="AC99" s="164" t="str">
        <f t="shared" si="54"/>
        <v/>
      </c>
      <c r="AD99" s="163" t="str">
        <f>IF($C99,IF($N99=9999,9999,IF($J99="Completado",$N99,MAX($N99,Sprints!$M$15))),"")</f>
        <v/>
      </c>
      <c r="AE99" s="163" t="str">
        <f t="shared" si="55"/>
        <v/>
      </c>
      <c r="AF99" s="163" t="b">
        <f t="shared" si="56"/>
        <v>0</v>
      </c>
      <c r="AG99" s="163" t="str">
        <f t="shared" si="57"/>
        <v/>
      </c>
      <c r="AH99" s="164" t="str">
        <f>IF($AF99,IF(Sprints!$I99&lt;&gt;"",Sprints!$I99,"Comprometida y no completada al cierre del Sprint "&amp;$N99),"")</f>
        <v/>
      </c>
      <c r="AI99" s="163" t="str">
        <f t="shared" si="58"/>
        <v/>
      </c>
      <c r="AJ99" s="163" t="str">
        <f t="shared" si="59"/>
        <v/>
      </c>
      <c r="AK99" s="163" t="str">
        <f t="shared" si="60"/>
        <v/>
      </c>
      <c r="AL99" s="163" t="str">
        <f t="shared" si="61"/>
        <v/>
      </c>
      <c r="AM99" s="163" t="str">
        <f t="shared" si="62"/>
        <v/>
      </c>
      <c r="AN99" s="164" t="str">
        <f t="shared" si="63"/>
        <v/>
      </c>
      <c r="AO99" s="163" t="str">
        <f>IF($C99,IFERROR(INDEX(Sprints!$M$6:$M$13,MATCH($N99,Sprints!$K$6:$K$13,0)),""),"")</f>
        <v/>
      </c>
      <c r="AP99" s="163" t="str">
        <f t="shared" ca="1" si="64"/>
        <v/>
      </c>
    </row>
    <row r="100" spans="1:42" x14ac:dyDescent="0.35">
      <c r="A100" s="163">
        <f>ROW()</f>
        <v>100</v>
      </c>
      <c r="B100" s="163" t="b">
        <f>ISTEXT('Proyecto Datos (OKR´s)'!$K100)</f>
        <v>0</v>
      </c>
      <c r="C100" s="163" t="b">
        <f>AND(LEN('Proyecto Datos (OKR´s)'!$G100)&gt;0,NOT($B100),OR(ISNUMBER('Proyecto Datos (OKR´s)'!$F100),ISNUMBER('Proyecto Datos (OKR´s)'!$L100)))</f>
        <v>0</v>
      </c>
      <c r="D100" s="164" t="str">
        <f>IF($C100,IFERROR(LOOKUP(2,1/((ISTEXT('Proyecto Datos (OKR´s)'!$K$7:$K100))*(LEN('Proyecto Datos (OKR´s)'!$G$7:$G100)&gt;0)),'Proyecto Datos (OKR´s)'!$G$7:$G100),""),"")</f>
        <v/>
      </c>
      <c r="E100" s="163" t="str">
        <f>IF($C100,'Proyecto Datos (OKR´s)'!$E100,"")</f>
        <v/>
      </c>
      <c r="F100" s="164" t="str">
        <f>IF($C100,'Proyecto Datos (OKR´s)'!$G100,"")</f>
        <v/>
      </c>
      <c r="G100" s="164" t="str">
        <f>IF($C100,IF('Proyecto Datos (OKR´s)'!$I100="","(Sin asignar)",'Proyecto Datos (OKR´s)'!$I100),"")</f>
        <v/>
      </c>
      <c r="H100" s="163" t="str">
        <f>IF($C100,IF(ISNUMBER('Proyecto Datos (OKR´s)'!$F100),'Proyecto Datos (OKR´s)'!$F100,'Proyecto Datos (OKR´s)'!$L100),"")</f>
        <v/>
      </c>
      <c r="I100" s="163" t="str">
        <f>IF($C100,'Proyecto Datos (OKR´s)'!$J100,"")</f>
        <v/>
      </c>
      <c r="J100" s="164" t="str">
        <f ca="1">IF($C100,IF($I100&gt;=1,"Completado",IF($H100&lt;TODAY(),"Vencido",IF(($H100-TODAY())&lt;='Entregas Próximas'!$M$3,"Próximo a vencer","En curso"))),"")</f>
        <v/>
      </c>
      <c r="K100" s="163" t="str">
        <f t="shared" ca="1" si="44"/>
        <v/>
      </c>
      <c r="L100" s="163" t="str">
        <f t="shared" si="45"/>
        <v/>
      </c>
      <c r="M100" s="163" t="str">
        <f t="shared" si="46"/>
        <v/>
      </c>
      <c r="N100" s="163" t="str">
        <f>IF($C100,IF('Proyecto Datos (OKR´s)'!$E100="",9999,'Proyecto Datos (OKR´s)'!$E100),"")</f>
        <v/>
      </c>
      <c r="O100" s="163" t="str">
        <f t="shared" si="47"/>
        <v/>
      </c>
      <c r="R100" s="163" t="str">
        <f>IF($C100,IF(ISNUMBER('Proyecto Datos (OKR´s)'!$L100),'Proyecto Datos (OKR´s)'!$L100,$H100),"")</f>
        <v/>
      </c>
      <c r="S100" s="163" t="str">
        <f>IF($C100,$R100-'Proyecto Datos (OKR´s)'!$K100+1,"")</f>
        <v/>
      </c>
      <c r="T100" s="163" t="str">
        <f ca="1">IF($C100,MAX(0,TODAY()-'Proyecto Datos (OKR´s)'!$K100),"")</f>
        <v/>
      </c>
      <c r="U100" s="163" t="str">
        <f ca="1">IF($C100,MEDIAN(0,(TODAY()-'Proyecto Datos (OKR´s)'!$K100)/MAX(1,$R100-'Proyecto Datos (OKR´s)'!$K100),1),"")</f>
        <v/>
      </c>
      <c r="V100" s="163" t="str">
        <f t="shared" si="48"/>
        <v/>
      </c>
      <c r="W100" s="163" t="str">
        <f t="shared" ca="1" si="49"/>
        <v/>
      </c>
      <c r="X100" s="163" t="str">
        <f t="shared" si="50"/>
        <v/>
      </c>
      <c r="Y100" s="163" t="str">
        <f t="shared" si="51"/>
        <v/>
      </c>
      <c r="Z100" s="163" t="str">
        <f ca="1">IF($C100,AND($I100=0,'Proyecto Datos (OKR´s)'!$K100&lt;=TODAY(),$J100&lt;&gt;"Completado"),"")</f>
        <v/>
      </c>
      <c r="AA100" s="163" t="str">
        <f t="shared" si="52"/>
        <v/>
      </c>
      <c r="AB100" s="164" t="str">
        <f t="shared" si="53"/>
        <v/>
      </c>
      <c r="AC100" s="164" t="str">
        <f t="shared" si="54"/>
        <v/>
      </c>
      <c r="AD100" s="163" t="str">
        <f>IF($C100,IF($N100=9999,9999,IF($J100="Completado",$N100,MAX($N100,Sprints!$M$15))),"")</f>
        <v/>
      </c>
      <c r="AE100" s="163" t="str">
        <f t="shared" si="55"/>
        <v/>
      </c>
      <c r="AF100" s="163" t="b">
        <f t="shared" si="56"/>
        <v>0</v>
      </c>
      <c r="AG100" s="163" t="str">
        <f t="shared" si="57"/>
        <v/>
      </c>
      <c r="AH100" s="164" t="str">
        <f>IF($AF100,IF(Sprints!$I100&lt;&gt;"",Sprints!$I100,"Comprometida y no completada al cierre del Sprint "&amp;$N100),"")</f>
        <v/>
      </c>
      <c r="AI100" s="163" t="str">
        <f t="shared" si="58"/>
        <v/>
      </c>
      <c r="AJ100" s="163" t="str">
        <f t="shared" si="59"/>
        <v/>
      </c>
      <c r="AK100" s="163" t="str">
        <f t="shared" si="60"/>
        <v/>
      </c>
      <c r="AL100" s="163" t="str">
        <f t="shared" si="61"/>
        <v/>
      </c>
      <c r="AM100" s="163" t="str">
        <f t="shared" si="62"/>
        <v/>
      </c>
      <c r="AN100" s="164" t="str">
        <f t="shared" si="63"/>
        <v/>
      </c>
      <c r="AO100" s="163" t="str">
        <f>IF($C100,IFERROR(INDEX(Sprints!$M$6:$M$13,MATCH($N100,Sprints!$K$6:$K$13,0)),""),"")</f>
        <v/>
      </c>
      <c r="AP100" s="163" t="str">
        <f t="shared" ca="1" si="64"/>
        <v/>
      </c>
    </row>
    <row r="101" spans="1:42" x14ac:dyDescent="0.35">
      <c r="A101" s="163">
        <f>ROW()</f>
        <v>101</v>
      </c>
      <c r="B101" s="163" t="b">
        <f>ISTEXT('Proyecto Datos (OKR´s)'!$K101)</f>
        <v>0</v>
      </c>
      <c r="C101" s="163" t="b">
        <f>AND(LEN('Proyecto Datos (OKR´s)'!$G101)&gt;0,NOT($B101),OR(ISNUMBER('Proyecto Datos (OKR´s)'!$F101),ISNUMBER('Proyecto Datos (OKR´s)'!$L101)))</f>
        <v>0</v>
      </c>
      <c r="D101" s="164" t="str">
        <f>IF($C101,IFERROR(LOOKUP(2,1/((ISTEXT('Proyecto Datos (OKR´s)'!$K$7:$K101))*(LEN('Proyecto Datos (OKR´s)'!$G$7:$G101)&gt;0)),'Proyecto Datos (OKR´s)'!$G$7:$G101),""),"")</f>
        <v/>
      </c>
      <c r="E101" s="163" t="str">
        <f>IF($C101,'Proyecto Datos (OKR´s)'!$E101,"")</f>
        <v/>
      </c>
      <c r="F101" s="164" t="str">
        <f>IF($C101,'Proyecto Datos (OKR´s)'!$G101,"")</f>
        <v/>
      </c>
      <c r="G101" s="164" t="str">
        <f>IF($C101,IF('Proyecto Datos (OKR´s)'!$I101="","(Sin asignar)",'Proyecto Datos (OKR´s)'!$I101),"")</f>
        <v/>
      </c>
      <c r="H101" s="163" t="str">
        <f>IF($C101,IF(ISNUMBER('Proyecto Datos (OKR´s)'!$F101),'Proyecto Datos (OKR´s)'!$F101,'Proyecto Datos (OKR´s)'!$L101),"")</f>
        <v/>
      </c>
      <c r="I101" s="163" t="str">
        <f>IF($C101,'Proyecto Datos (OKR´s)'!$J101,"")</f>
        <v/>
      </c>
      <c r="J101" s="164" t="str">
        <f ca="1">IF($C101,IF($I101&gt;=1,"Completado",IF($H101&lt;TODAY(),"Vencido",IF(($H101-TODAY())&lt;='Entregas Próximas'!$M$3,"Próximo a vencer","En curso"))),"")</f>
        <v/>
      </c>
      <c r="K101" s="163" t="str">
        <f t="shared" ca="1" si="44"/>
        <v/>
      </c>
      <c r="L101" s="163" t="str">
        <f t="shared" si="45"/>
        <v/>
      </c>
      <c r="M101" s="163" t="str">
        <f t="shared" si="46"/>
        <v/>
      </c>
      <c r="N101" s="163" t="str">
        <f>IF($C101,IF('Proyecto Datos (OKR´s)'!$E101="",9999,'Proyecto Datos (OKR´s)'!$E101),"")</f>
        <v/>
      </c>
      <c r="O101" s="163" t="str">
        <f t="shared" si="47"/>
        <v/>
      </c>
      <c r="R101" s="163" t="str">
        <f>IF($C101,IF(ISNUMBER('Proyecto Datos (OKR´s)'!$L101),'Proyecto Datos (OKR´s)'!$L101,$H101),"")</f>
        <v/>
      </c>
      <c r="S101" s="163" t="str">
        <f>IF($C101,$R101-'Proyecto Datos (OKR´s)'!$K101+1,"")</f>
        <v/>
      </c>
      <c r="T101" s="163" t="str">
        <f ca="1">IF($C101,MAX(0,TODAY()-'Proyecto Datos (OKR´s)'!$K101),"")</f>
        <v/>
      </c>
      <c r="U101" s="163" t="str">
        <f ca="1">IF($C101,MEDIAN(0,(TODAY()-'Proyecto Datos (OKR´s)'!$K101)/MAX(1,$R101-'Proyecto Datos (OKR´s)'!$K101),1),"")</f>
        <v/>
      </c>
      <c r="V101" s="163" t="str">
        <f t="shared" si="48"/>
        <v/>
      </c>
      <c r="W101" s="163" t="str">
        <f t="shared" ca="1" si="49"/>
        <v/>
      </c>
      <c r="X101" s="163" t="str">
        <f t="shared" si="50"/>
        <v/>
      </c>
      <c r="Y101" s="163" t="str">
        <f t="shared" si="51"/>
        <v/>
      </c>
      <c r="Z101" s="163" t="str">
        <f ca="1">IF($C101,AND($I101=0,'Proyecto Datos (OKR´s)'!$K101&lt;=TODAY(),$J101&lt;&gt;"Completado"),"")</f>
        <v/>
      </c>
      <c r="AA101" s="163" t="str">
        <f t="shared" si="52"/>
        <v/>
      </c>
      <c r="AB101" s="164" t="str">
        <f t="shared" si="53"/>
        <v/>
      </c>
      <c r="AC101" s="164" t="str">
        <f t="shared" si="54"/>
        <v/>
      </c>
      <c r="AD101" s="163" t="str">
        <f>IF($C101,IF($N101=9999,9999,IF($J101="Completado",$N101,MAX($N101,Sprints!$M$15))),"")</f>
        <v/>
      </c>
      <c r="AE101" s="163" t="str">
        <f t="shared" si="55"/>
        <v/>
      </c>
      <c r="AF101" s="163" t="b">
        <f t="shared" si="56"/>
        <v>0</v>
      </c>
      <c r="AG101" s="163" t="str">
        <f t="shared" si="57"/>
        <v/>
      </c>
      <c r="AH101" s="164" t="str">
        <f>IF($AF101,IF(Sprints!$I101&lt;&gt;"",Sprints!$I101,"Comprometida y no completada al cierre del Sprint "&amp;$N101),"")</f>
        <v/>
      </c>
      <c r="AI101" s="163" t="str">
        <f t="shared" si="58"/>
        <v/>
      </c>
      <c r="AJ101" s="163" t="str">
        <f t="shared" si="59"/>
        <v/>
      </c>
      <c r="AK101" s="163" t="str">
        <f t="shared" si="60"/>
        <v/>
      </c>
      <c r="AL101" s="163" t="str">
        <f t="shared" si="61"/>
        <v/>
      </c>
      <c r="AM101" s="163" t="str">
        <f t="shared" si="62"/>
        <v/>
      </c>
      <c r="AN101" s="164" t="str">
        <f t="shared" si="63"/>
        <v/>
      </c>
      <c r="AO101" s="163" t="str">
        <f>IF($C101,IFERROR(INDEX(Sprints!$M$6:$M$13,MATCH($N101,Sprints!$K$6:$K$13,0)),""),"")</f>
        <v/>
      </c>
      <c r="AP101" s="163" t="str">
        <f t="shared" ca="1" si="64"/>
        <v/>
      </c>
    </row>
    <row r="102" spans="1:42" x14ac:dyDescent="0.35">
      <c r="A102" s="163">
        <f>ROW()</f>
        <v>102</v>
      </c>
      <c r="B102" s="163" t="b">
        <f>ISTEXT('Proyecto Datos (OKR´s)'!$K102)</f>
        <v>0</v>
      </c>
      <c r="C102" s="163" t="b">
        <f>AND(LEN('Proyecto Datos (OKR´s)'!$G102)&gt;0,NOT($B102),OR(ISNUMBER('Proyecto Datos (OKR´s)'!$F102),ISNUMBER('Proyecto Datos (OKR´s)'!$L102)))</f>
        <v>0</v>
      </c>
      <c r="D102" s="164" t="str">
        <f>IF($C102,IFERROR(LOOKUP(2,1/((ISTEXT('Proyecto Datos (OKR´s)'!$K$7:$K102))*(LEN('Proyecto Datos (OKR´s)'!$G$7:$G102)&gt;0)),'Proyecto Datos (OKR´s)'!$G$7:$G102),""),"")</f>
        <v/>
      </c>
      <c r="E102" s="163" t="str">
        <f>IF($C102,'Proyecto Datos (OKR´s)'!$E102,"")</f>
        <v/>
      </c>
      <c r="F102" s="164" t="str">
        <f>IF($C102,'Proyecto Datos (OKR´s)'!$G102,"")</f>
        <v/>
      </c>
      <c r="G102" s="164" t="str">
        <f>IF($C102,IF('Proyecto Datos (OKR´s)'!$I102="","(Sin asignar)",'Proyecto Datos (OKR´s)'!$I102),"")</f>
        <v/>
      </c>
      <c r="H102" s="163" t="str">
        <f>IF($C102,IF(ISNUMBER('Proyecto Datos (OKR´s)'!$F102),'Proyecto Datos (OKR´s)'!$F102,'Proyecto Datos (OKR´s)'!$L102),"")</f>
        <v/>
      </c>
      <c r="I102" s="163" t="str">
        <f>IF($C102,'Proyecto Datos (OKR´s)'!$J102,"")</f>
        <v/>
      </c>
      <c r="J102" s="164" t="str">
        <f ca="1">IF($C102,IF($I102&gt;=1,"Completado",IF($H102&lt;TODAY(),"Vencido",IF(($H102-TODAY())&lt;='Entregas Próximas'!$M$3,"Próximo a vencer","En curso"))),"")</f>
        <v/>
      </c>
      <c r="K102" s="163" t="str">
        <f t="shared" ca="1" si="44"/>
        <v/>
      </c>
      <c r="L102" s="163" t="str">
        <f t="shared" si="45"/>
        <v/>
      </c>
      <c r="M102" s="163" t="str">
        <f t="shared" si="46"/>
        <v/>
      </c>
      <c r="N102" s="163" t="str">
        <f>IF($C102,IF('Proyecto Datos (OKR´s)'!$E102="",9999,'Proyecto Datos (OKR´s)'!$E102),"")</f>
        <v/>
      </c>
      <c r="O102" s="163" t="str">
        <f t="shared" si="47"/>
        <v/>
      </c>
      <c r="R102" s="163" t="str">
        <f>IF($C102,IF(ISNUMBER('Proyecto Datos (OKR´s)'!$L102),'Proyecto Datos (OKR´s)'!$L102,$H102),"")</f>
        <v/>
      </c>
      <c r="S102" s="163" t="str">
        <f>IF($C102,$R102-'Proyecto Datos (OKR´s)'!$K102+1,"")</f>
        <v/>
      </c>
      <c r="T102" s="163" t="str">
        <f ca="1">IF($C102,MAX(0,TODAY()-'Proyecto Datos (OKR´s)'!$K102),"")</f>
        <v/>
      </c>
      <c r="U102" s="163" t="str">
        <f ca="1">IF($C102,MEDIAN(0,(TODAY()-'Proyecto Datos (OKR´s)'!$K102)/MAX(1,$R102-'Proyecto Datos (OKR´s)'!$K102),1),"")</f>
        <v/>
      </c>
      <c r="V102" s="163" t="str">
        <f t="shared" si="48"/>
        <v/>
      </c>
      <c r="W102" s="163" t="str">
        <f t="shared" ca="1" si="49"/>
        <v/>
      </c>
      <c r="X102" s="163" t="str">
        <f t="shared" si="50"/>
        <v/>
      </c>
      <c r="Y102" s="163" t="str">
        <f t="shared" si="51"/>
        <v/>
      </c>
      <c r="Z102" s="163" t="str">
        <f ca="1">IF($C102,AND($I102=0,'Proyecto Datos (OKR´s)'!$K102&lt;=TODAY(),$J102&lt;&gt;"Completado"),"")</f>
        <v/>
      </c>
      <c r="AA102" s="163" t="str">
        <f t="shared" si="52"/>
        <v/>
      </c>
      <c r="AB102" s="164" t="str">
        <f t="shared" si="53"/>
        <v/>
      </c>
      <c r="AC102" s="164" t="str">
        <f t="shared" si="54"/>
        <v/>
      </c>
      <c r="AD102" s="163" t="str">
        <f>IF($C102,IF($N102=9999,9999,IF($J102="Completado",$N102,MAX($N102,Sprints!$M$15))),"")</f>
        <v/>
      </c>
      <c r="AE102" s="163" t="str">
        <f t="shared" si="55"/>
        <v/>
      </c>
      <c r="AF102" s="163" t="b">
        <f t="shared" si="56"/>
        <v>0</v>
      </c>
      <c r="AG102" s="163" t="str">
        <f t="shared" si="57"/>
        <v/>
      </c>
      <c r="AH102" s="164" t="str">
        <f>IF($AF102,IF(Sprints!$I102&lt;&gt;"",Sprints!$I102,"Comprometida y no completada al cierre del Sprint "&amp;$N102),"")</f>
        <v/>
      </c>
      <c r="AI102" s="163" t="str">
        <f t="shared" si="58"/>
        <v/>
      </c>
      <c r="AJ102" s="163" t="str">
        <f t="shared" si="59"/>
        <v/>
      </c>
      <c r="AK102" s="163" t="str">
        <f t="shared" si="60"/>
        <v/>
      </c>
      <c r="AL102" s="163" t="str">
        <f t="shared" si="61"/>
        <v/>
      </c>
      <c r="AM102" s="163" t="str">
        <f t="shared" si="62"/>
        <v/>
      </c>
      <c r="AN102" s="164" t="str">
        <f t="shared" si="63"/>
        <v/>
      </c>
      <c r="AO102" s="163" t="str">
        <f>IF($C102,IFERROR(INDEX(Sprints!$M$6:$M$13,MATCH($N102,Sprints!$K$6:$K$13,0)),""),"")</f>
        <v/>
      </c>
      <c r="AP102" s="163" t="str">
        <f t="shared" ca="1" si="64"/>
        <v/>
      </c>
    </row>
    <row r="103" spans="1:42" x14ac:dyDescent="0.35">
      <c r="A103" s="163">
        <f>ROW()</f>
        <v>103</v>
      </c>
      <c r="B103" s="163" t="b">
        <f>ISTEXT('Proyecto Datos (OKR´s)'!$K103)</f>
        <v>0</v>
      </c>
      <c r="C103" s="163" t="b">
        <f>AND(LEN('Proyecto Datos (OKR´s)'!$G103)&gt;0,NOT($B103),OR(ISNUMBER('Proyecto Datos (OKR´s)'!$F103),ISNUMBER('Proyecto Datos (OKR´s)'!$L103)))</f>
        <v>0</v>
      </c>
      <c r="D103" s="164" t="str">
        <f>IF($C103,IFERROR(LOOKUP(2,1/((ISTEXT('Proyecto Datos (OKR´s)'!$K$7:$K103))*(LEN('Proyecto Datos (OKR´s)'!$G$7:$G103)&gt;0)),'Proyecto Datos (OKR´s)'!$G$7:$G103),""),"")</f>
        <v/>
      </c>
      <c r="E103" s="163" t="str">
        <f>IF($C103,'Proyecto Datos (OKR´s)'!$E103,"")</f>
        <v/>
      </c>
      <c r="F103" s="164" t="str">
        <f>IF($C103,'Proyecto Datos (OKR´s)'!$G103,"")</f>
        <v/>
      </c>
      <c r="G103" s="164" t="str">
        <f>IF($C103,IF('Proyecto Datos (OKR´s)'!$I103="","(Sin asignar)",'Proyecto Datos (OKR´s)'!$I103),"")</f>
        <v/>
      </c>
      <c r="H103" s="163" t="str">
        <f>IF($C103,IF(ISNUMBER('Proyecto Datos (OKR´s)'!$F103),'Proyecto Datos (OKR´s)'!$F103,'Proyecto Datos (OKR´s)'!$L103),"")</f>
        <v/>
      </c>
      <c r="I103" s="163" t="str">
        <f>IF($C103,'Proyecto Datos (OKR´s)'!$J103,"")</f>
        <v/>
      </c>
      <c r="J103" s="164" t="str">
        <f ca="1">IF($C103,IF($I103&gt;=1,"Completado",IF($H103&lt;TODAY(),"Vencido",IF(($H103-TODAY())&lt;='Entregas Próximas'!$M$3,"Próximo a vencer","En curso"))),"")</f>
        <v/>
      </c>
      <c r="K103" s="163" t="str">
        <f t="shared" ref="K103:K134" ca="1" si="65">IF($C103,$H103-TODAY(),"")</f>
        <v/>
      </c>
      <c r="L103" s="163" t="str">
        <f t="shared" ref="L103:L134" si="66">IF($C103,$AD103*1000000+$H103+ROW()/100000,"")</f>
        <v/>
      </c>
      <c r="M103" s="163" t="str">
        <f t="shared" ref="M103:M134" si="67">IF($C103,IF($AD103=9999,"(Sin sprint)",$AD103),"")</f>
        <v/>
      </c>
      <c r="N103" s="163" t="str">
        <f>IF($C103,IF('Proyecto Datos (OKR´s)'!$E103="",9999,'Proyecto Datos (OKR´s)'!$E103),"")</f>
        <v/>
      </c>
      <c r="O103" s="163" t="str">
        <f t="shared" ref="O103:O134" si="68">IF($C103,"T"&amp;TEXT(ROW(),"000"),"")</f>
        <v/>
      </c>
      <c r="R103" s="163" t="str">
        <f>IF($C103,IF(ISNUMBER('Proyecto Datos (OKR´s)'!$L103),'Proyecto Datos (OKR´s)'!$L103,$H103),"")</f>
        <v/>
      </c>
      <c r="S103" s="163" t="str">
        <f>IF($C103,$R103-'Proyecto Datos (OKR´s)'!$K103+1,"")</f>
        <v/>
      </c>
      <c r="T103" s="163" t="str">
        <f ca="1">IF($C103,MAX(0,TODAY()-'Proyecto Datos (OKR´s)'!$K103),"")</f>
        <v/>
      </c>
      <c r="U103" s="163" t="str">
        <f ca="1">IF($C103,MEDIAN(0,(TODAY()-'Proyecto Datos (OKR´s)'!$K103)/MAX(1,$R103-'Proyecto Datos (OKR´s)'!$K103),1),"")</f>
        <v/>
      </c>
      <c r="V103" s="163" t="str">
        <f t="shared" ref="V103:V134" si="69">IF($C103,$I103-$U103,"")</f>
        <v/>
      </c>
      <c r="W103" s="163" t="str">
        <f t="shared" ref="W103:W134" ca="1" si="70">IF($C103,IF($J103="Completado",0,MAX(0,TODAY()-$H103)),"")</f>
        <v/>
      </c>
      <c r="X103" s="163" t="str">
        <f t="shared" ref="X103:X134" si="71">IF($C103,IF(ISNUMBER($H103),$R103-$H103,0),"")</f>
        <v/>
      </c>
      <c r="Y103" s="163" t="str">
        <f t="shared" ref="Y103:Y134" si="72">IF($C103,COUNTIFS($G$7:$G$200,$G103,$J$7:$J$200,"&lt;&gt;Completado",$J$7:$J$200,"&lt;&gt;"),"")</f>
        <v/>
      </c>
      <c r="Z103" s="163" t="str">
        <f ca="1">IF($C103,AND($I103=0,'Proyecto Datos (OKR´s)'!$K103&lt;=TODAY(),$J103&lt;&gt;"Completado"),"")</f>
        <v/>
      </c>
      <c r="AA103" s="163" t="str">
        <f t="shared" ref="AA103:AA134" si="73">IF($C103,ROUND(100*(0.35*$AK103+0.3*$AL103+0.2*$AM103+0.15*MEDIAN(0,($Y103-4)/8,1)),0),"")</f>
        <v/>
      </c>
      <c r="AB103" s="164" t="str">
        <f t="shared" ref="AB103:AB134" si="74">IF($C103,IF($J103="Completado","—",IF($AA103&gt;=70,"Crítica",IF($AA103&gt;=45,"Alta",IF($AA103&gt;=25,"Media","Baja")))),"")</f>
        <v/>
      </c>
      <c r="AC103" s="164" t="str">
        <f t="shared" ref="AC103:AC134" si="75">IF($C103,IF(LEN(TRIM($AN103))=0,"—",TRIM($AN103)),"")</f>
        <v/>
      </c>
      <c r="AD103" s="163" t="str">
        <f>IF($C103,IF($N103=9999,9999,IF($J103="Completado",$N103,MAX($N103,Sprints!$M$15))),"")</f>
        <v/>
      </c>
      <c r="AE103" s="163" t="str">
        <f t="shared" ref="AE103:AE134" si="76">IF($C103,IF($AD103=9999,"(Sin sprint)",$AD103),"")</f>
        <v/>
      </c>
      <c r="AF103" s="163" t="b">
        <f t="shared" ref="AF103:AF134" si="77">IF($C103,AND($N103&lt;&gt;9999,$AD103&lt;&gt;$N103),FALSE)</f>
        <v>0</v>
      </c>
      <c r="AG103" s="163" t="str">
        <f t="shared" ref="AG103:AG134" si="78">IF($AF103,$AO103,"")</f>
        <v/>
      </c>
      <c r="AH103" s="164" t="str">
        <f>IF($AF103,IF(Sprints!$I103&lt;&gt;"",Sprints!$I103,"Comprometida y no completada al cierre del Sprint "&amp;$N103),"")</f>
        <v/>
      </c>
      <c r="AI103" s="163" t="str">
        <f t="shared" ref="AI103:AI134" si="79">IF($AF103,$N103*100000+ROW(),"")</f>
        <v/>
      </c>
      <c r="AJ103" s="163" t="str">
        <f t="shared" ref="AJ103:AJ134" si="80">IF($C103,$AA103*1000000-MEDIAN(-9999,$K103,9999)*100+(300-ROW()),"")</f>
        <v/>
      </c>
      <c r="AK103" s="163" t="str">
        <f t="shared" ref="AK103:AK134" si="81">IF($C103,IF($J103="Completado",0,IF($K103&lt;0,1,IF($K103&lt;=3,0.9,IF($K103&lt;=7,0.7,IF($K103&lt;=14,0.45,0.2))))),"")</f>
        <v/>
      </c>
      <c r="AL103" s="163" t="str">
        <f t="shared" ref="AL103:AL134" si="82">IF($C103,IF($J103="Completado",0,MEDIAN(0,MAX(-$V103,$W103/30),1)),"")</f>
        <v/>
      </c>
      <c r="AM103" s="163" t="str">
        <f t="shared" ref="AM103:AM134" si="83">IF($C103,IF($J103="Completado",0,IF($Z103,1,IF(AND($I103&lt;0.5,$K103&lt;=7),0.7,0.3))),"")</f>
        <v/>
      </c>
      <c r="AN103" s="164" t="str">
        <f t="shared" ref="AN103:AN134" si="84">IF($C103,IF(OR($V103&lt;-0.2,$W103&gt;0),"ATRASO ","")&amp;IF($Z103,"BLOQUEO ","")&amp;IF($Y103&gt;8,"SOBRECARGA ","")&amp;IF($X103&gt;0,"DESVÍO-PLAN ",""),"")</f>
        <v/>
      </c>
      <c r="AO103" s="163" t="str">
        <f>IF($C103,IFERROR(INDEX(Sprints!$M$6:$M$13,MATCH($N103,Sprints!$K$6:$K$13,0)),""),"")</f>
        <v/>
      </c>
      <c r="AP103" s="163" t="str">
        <f t="shared" ref="AP103:AP134" ca="1" si="85">IF($C103,IF(AND($N103&lt;&gt;9999,$AD103&lt;&gt;$N103,ISNUMBER($AO103)),TODAY()-$AO103,0),"")</f>
        <v/>
      </c>
    </row>
    <row r="104" spans="1:42" x14ac:dyDescent="0.35">
      <c r="A104" s="163">
        <f>ROW()</f>
        <v>104</v>
      </c>
      <c r="B104" s="163" t="b">
        <f>ISTEXT('Proyecto Datos (OKR´s)'!$K104)</f>
        <v>0</v>
      </c>
      <c r="C104" s="163" t="b">
        <f>AND(LEN('Proyecto Datos (OKR´s)'!$G104)&gt;0,NOT($B104),OR(ISNUMBER('Proyecto Datos (OKR´s)'!$F104),ISNUMBER('Proyecto Datos (OKR´s)'!$L104)))</f>
        <v>0</v>
      </c>
      <c r="D104" s="164" t="str">
        <f>IF($C104,IFERROR(LOOKUP(2,1/((ISTEXT('Proyecto Datos (OKR´s)'!$K$7:$K104))*(LEN('Proyecto Datos (OKR´s)'!$G$7:$G104)&gt;0)),'Proyecto Datos (OKR´s)'!$G$7:$G104),""),"")</f>
        <v/>
      </c>
      <c r="E104" s="163" t="str">
        <f>IF($C104,'Proyecto Datos (OKR´s)'!$E104,"")</f>
        <v/>
      </c>
      <c r="F104" s="164" t="str">
        <f>IF($C104,'Proyecto Datos (OKR´s)'!$G104,"")</f>
        <v/>
      </c>
      <c r="G104" s="164" t="str">
        <f>IF($C104,IF('Proyecto Datos (OKR´s)'!$I104="","(Sin asignar)",'Proyecto Datos (OKR´s)'!$I104),"")</f>
        <v/>
      </c>
      <c r="H104" s="163" t="str">
        <f>IF($C104,IF(ISNUMBER('Proyecto Datos (OKR´s)'!$F104),'Proyecto Datos (OKR´s)'!$F104,'Proyecto Datos (OKR´s)'!$L104),"")</f>
        <v/>
      </c>
      <c r="I104" s="163" t="str">
        <f>IF($C104,'Proyecto Datos (OKR´s)'!$J104,"")</f>
        <v/>
      </c>
      <c r="J104" s="164" t="str">
        <f ca="1">IF($C104,IF($I104&gt;=1,"Completado",IF($H104&lt;TODAY(),"Vencido",IF(($H104-TODAY())&lt;='Entregas Próximas'!$M$3,"Próximo a vencer","En curso"))),"")</f>
        <v/>
      </c>
      <c r="K104" s="163" t="str">
        <f t="shared" ca="1" si="65"/>
        <v/>
      </c>
      <c r="L104" s="163" t="str">
        <f t="shared" si="66"/>
        <v/>
      </c>
      <c r="M104" s="163" t="str">
        <f t="shared" si="67"/>
        <v/>
      </c>
      <c r="N104" s="163" t="str">
        <f>IF($C104,IF('Proyecto Datos (OKR´s)'!$E104="",9999,'Proyecto Datos (OKR´s)'!$E104),"")</f>
        <v/>
      </c>
      <c r="O104" s="163" t="str">
        <f t="shared" si="68"/>
        <v/>
      </c>
      <c r="R104" s="163" t="str">
        <f>IF($C104,IF(ISNUMBER('Proyecto Datos (OKR´s)'!$L104),'Proyecto Datos (OKR´s)'!$L104,$H104),"")</f>
        <v/>
      </c>
      <c r="S104" s="163" t="str">
        <f>IF($C104,$R104-'Proyecto Datos (OKR´s)'!$K104+1,"")</f>
        <v/>
      </c>
      <c r="T104" s="163" t="str">
        <f ca="1">IF($C104,MAX(0,TODAY()-'Proyecto Datos (OKR´s)'!$K104),"")</f>
        <v/>
      </c>
      <c r="U104" s="163" t="str">
        <f ca="1">IF($C104,MEDIAN(0,(TODAY()-'Proyecto Datos (OKR´s)'!$K104)/MAX(1,$R104-'Proyecto Datos (OKR´s)'!$K104),1),"")</f>
        <v/>
      </c>
      <c r="V104" s="163" t="str">
        <f t="shared" si="69"/>
        <v/>
      </c>
      <c r="W104" s="163" t="str">
        <f t="shared" ca="1" si="70"/>
        <v/>
      </c>
      <c r="X104" s="163" t="str">
        <f t="shared" si="71"/>
        <v/>
      </c>
      <c r="Y104" s="163" t="str">
        <f t="shared" si="72"/>
        <v/>
      </c>
      <c r="Z104" s="163" t="str">
        <f ca="1">IF($C104,AND($I104=0,'Proyecto Datos (OKR´s)'!$K104&lt;=TODAY(),$J104&lt;&gt;"Completado"),"")</f>
        <v/>
      </c>
      <c r="AA104" s="163" t="str">
        <f t="shared" si="73"/>
        <v/>
      </c>
      <c r="AB104" s="164" t="str">
        <f t="shared" si="74"/>
        <v/>
      </c>
      <c r="AC104" s="164" t="str">
        <f t="shared" si="75"/>
        <v/>
      </c>
      <c r="AD104" s="163" t="str">
        <f>IF($C104,IF($N104=9999,9999,IF($J104="Completado",$N104,MAX($N104,Sprints!$M$15))),"")</f>
        <v/>
      </c>
      <c r="AE104" s="163" t="str">
        <f t="shared" si="76"/>
        <v/>
      </c>
      <c r="AF104" s="163" t="b">
        <f t="shared" si="77"/>
        <v>0</v>
      </c>
      <c r="AG104" s="163" t="str">
        <f t="shared" si="78"/>
        <v/>
      </c>
      <c r="AH104" s="164" t="str">
        <f>IF($AF104,IF(Sprints!$I104&lt;&gt;"",Sprints!$I104,"Comprometida y no completada al cierre del Sprint "&amp;$N104),"")</f>
        <v/>
      </c>
      <c r="AI104" s="163" t="str">
        <f t="shared" si="79"/>
        <v/>
      </c>
      <c r="AJ104" s="163" t="str">
        <f t="shared" si="80"/>
        <v/>
      </c>
      <c r="AK104" s="163" t="str">
        <f t="shared" si="81"/>
        <v/>
      </c>
      <c r="AL104" s="163" t="str">
        <f t="shared" si="82"/>
        <v/>
      </c>
      <c r="AM104" s="163" t="str">
        <f t="shared" si="83"/>
        <v/>
      </c>
      <c r="AN104" s="164" t="str">
        <f t="shared" si="84"/>
        <v/>
      </c>
      <c r="AO104" s="163" t="str">
        <f>IF($C104,IFERROR(INDEX(Sprints!$M$6:$M$13,MATCH($N104,Sprints!$K$6:$K$13,0)),""),"")</f>
        <v/>
      </c>
      <c r="AP104" s="163" t="str">
        <f t="shared" ca="1" si="85"/>
        <v/>
      </c>
    </row>
    <row r="105" spans="1:42" x14ac:dyDescent="0.35">
      <c r="A105" s="163">
        <f>ROW()</f>
        <v>105</v>
      </c>
      <c r="B105" s="163" t="b">
        <f>ISTEXT('Proyecto Datos (OKR´s)'!$K105)</f>
        <v>0</v>
      </c>
      <c r="C105" s="163" t="b">
        <f>AND(LEN('Proyecto Datos (OKR´s)'!$G105)&gt;0,NOT($B105),OR(ISNUMBER('Proyecto Datos (OKR´s)'!$F105),ISNUMBER('Proyecto Datos (OKR´s)'!$L105)))</f>
        <v>0</v>
      </c>
      <c r="D105" s="164" t="str">
        <f>IF($C105,IFERROR(LOOKUP(2,1/((ISTEXT('Proyecto Datos (OKR´s)'!$K$7:$K105))*(LEN('Proyecto Datos (OKR´s)'!$G$7:$G105)&gt;0)),'Proyecto Datos (OKR´s)'!$G$7:$G105),""),"")</f>
        <v/>
      </c>
      <c r="E105" s="163" t="str">
        <f>IF($C105,'Proyecto Datos (OKR´s)'!$E105,"")</f>
        <v/>
      </c>
      <c r="F105" s="164" t="str">
        <f>IF($C105,'Proyecto Datos (OKR´s)'!$G105,"")</f>
        <v/>
      </c>
      <c r="G105" s="164" t="str">
        <f>IF($C105,IF('Proyecto Datos (OKR´s)'!$I105="","(Sin asignar)",'Proyecto Datos (OKR´s)'!$I105),"")</f>
        <v/>
      </c>
      <c r="H105" s="163" t="str">
        <f>IF($C105,IF(ISNUMBER('Proyecto Datos (OKR´s)'!$F105),'Proyecto Datos (OKR´s)'!$F105,'Proyecto Datos (OKR´s)'!$L105),"")</f>
        <v/>
      </c>
      <c r="I105" s="163" t="str">
        <f>IF($C105,'Proyecto Datos (OKR´s)'!$J105,"")</f>
        <v/>
      </c>
      <c r="J105" s="164" t="str">
        <f ca="1">IF($C105,IF($I105&gt;=1,"Completado",IF($H105&lt;TODAY(),"Vencido",IF(($H105-TODAY())&lt;='Entregas Próximas'!$M$3,"Próximo a vencer","En curso"))),"")</f>
        <v/>
      </c>
      <c r="K105" s="163" t="str">
        <f t="shared" ca="1" si="65"/>
        <v/>
      </c>
      <c r="L105" s="163" t="str">
        <f t="shared" si="66"/>
        <v/>
      </c>
      <c r="M105" s="163" t="str">
        <f t="shared" si="67"/>
        <v/>
      </c>
      <c r="N105" s="163" t="str">
        <f>IF($C105,IF('Proyecto Datos (OKR´s)'!$E105="",9999,'Proyecto Datos (OKR´s)'!$E105),"")</f>
        <v/>
      </c>
      <c r="O105" s="163" t="str">
        <f t="shared" si="68"/>
        <v/>
      </c>
      <c r="R105" s="163" t="str">
        <f>IF($C105,IF(ISNUMBER('Proyecto Datos (OKR´s)'!$L105),'Proyecto Datos (OKR´s)'!$L105,$H105),"")</f>
        <v/>
      </c>
      <c r="S105" s="163" t="str">
        <f>IF($C105,$R105-'Proyecto Datos (OKR´s)'!$K105+1,"")</f>
        <v/>
      </c>
      <c r="T105" s="163" t="str">
        <f ca="1">IF($C105,MAX(0,TODAY()-'Proyecto Datos (OKR´s)'!$K105),"")</f>
        <v/>
      </c>
      <c r="U105" s="163" t="str">
        <f ca="1">IF($C105,MEDIAN(0,(TODAY()-'Proyecto Datos (OKR´s)'!$K105)/MAX(1,$R105-'Proyecto Datos (OKR´s)'!$K105),1),"")</f>
        <v/>
      </c>
      <c r="V105" s="163" t="str">
        <f t="shared" si="69"/>
        <v/>
      </c>
      <c r="W105" s="163" t="str">
        <f t="shared" ca="1" si="70"/>
        <v/>
      </c>
      <c r="X105" s="163" t="str">
        <f t="shared" si="71"/>
        <v/>
      </c>
      <c r="Y105" s="163" t="str">
        <f t="shared" si="72"/>
        <v/>
      </c>
      <c r="Z105" s="163" t="str">
        <f ca="1">IF($C105,AND($I105=0,'Proyecto Datos (OKR´s)'!$K105&lt;=TODAY(),$J105&lt;&gt;"Completado"),"")</f>
        <v/>
      </c>
      <c r="AA105" s="163" t="str">
        <f t="shared" si="73"/>
        <v/>
      </c>
      <c r="AB105" s="164" t="str">
        <f t="shared" si="74"/>
        <v/>
      </c>
      <c r="AC105" s="164" t="str">
        <f t="shared" si="75"/>
        <v/>
      </c>
      <c r="AD105" s="163" t="str">
        <f>IF($C105,IF($N105=9999,9999,IF($J105="Completado",$N105,MAX($N105,Sprints!$M$15))),"")</f>
        <v/>
      </c>
      <c r="AE105" s="163" t="str">
        <f t="shared" si="76"/>
        <v/>
      </c>
      <c r="AF105" s="163" t="b">
        <f t="shared" si="77"/>
        <v>0</v>
      </c>
      <c r="AG105" s="163" t="str">
        <f t="shared" si="78"/>
        <v/>
      </c>
      <c r="AH105" s="164" t="str">
        <f>IF($AF105,IF(Sprints!$I105&lt;&gt;"",Sprints!$I105,"Comprometida y no completada al cierre del Sprint "&amp;$N105),"")</f>
        <v/>
      </c>
      <c r="AI105" s="163" t="str">
        <f t="shared" si="79"/>
        <v/>
      </c>
      <c r="AJ105" s="163" t="str">
        <f t="shared" si="80"/>
        <v/>
      </c>
      <c r="AK105" s="163" t="str">
        <f t="shared" si="81"/>
        <v/>
      </c>
      <c r="AL105" s="163" t="str">
        <f t="shared" si="82"/>
        <v/>
      </c>
      <c r="AM105" s="163" t="str">
        <f t="shared" si="83"/>
        <v/>
      </c>
      <c r="AN105" s="164" t="str">
        <f t="shared" si="84"/>
        <v/>
      </c>
      <c r="AO105" s="163" t="str">
        <f>IF($C105,IFERROR(INDEX(Sprints!$M$6:$M$13,MATCH($N105,Sprints!$K$6:$K$13,0)),""),"")</f>
        <v/>
      </c>
      <c r="AP105" s="163" t="str">
        <f t="shared" ca="1" si="85"/>
        <v/>
      </c>
    </row>
    <row r="106" spans="1:42" x14ac:dyDescent="0.35">
      <c r="A106" s="163">
        <f>ROW()</f>
        <v>106</v>
      </c>
      <c r="B106" s="163" t="b">
        <f>ISTEXT('Proyecto Datos (OKR´s)'!$K106)</f>
        <v>0</v>
      </c>
      <c r="C106" s="163" t="b">
        <f>AND(LEN('Proyecto Datos (OKR´s)'!$G106)&gt;0,NOT($B106),OR(ISNUMBER('Proyecto Datos (OKR´s)'!$F106),ISNUMBER('Proyecto Datos (OKR´s)'!$L106)))</f>
        <v>0</v>
      </c>
      <c r="D106" s="164" t="str">
        <f>IF($C106,IFERROR(LOOKUP(2,1/((ISTEXT('Proyecto Datos (OKR´s)'!$K$7:$K106))*(LEN('Proyecto Datos (OKR´s)'!$G$7:$G106)&gt;0)),'Proyecto Datos (OKR´s)'!$G$7:$G106),""),"")</f>
        <v/>
      </c>
      <c r="E106" s="163" t="str">
        <f>IF($C106,'Proyecto Datos (OKR´s)'!$E106,"")</f>
        <v/>
      </c>
      <c r="F106" s="164" t="str">
        <f>IF($C106,'Proyecto Datos (OKR´s)'!$G106,"")</f>
        <v/>
      </c>
      <c r="G106" s="164" t="str">
        <f>IF($C106,IF('Proyecto Datos (OKR´s)'!$I106="","(Sin asignar)",'Proyecto Datos (OKR´s)'!$I106),"")</f>
        <v/>
      </c>
      <c r="H106" s="163" t="str">
        <f>IF($C106,IF(ISNUMBER('Proyecto Datos (OKR´s)'!$F106),'Proyecto Datos (OKR´s)'!$F106,'Proyecto Datos (OKR´s)'!$L106),"")</f>
        <v/>
      </c>
      <c r="I106" s="163" t="str">
        <f>IF($C106,'Proyecto Datos (OKR´s)'!$J106,"")</f>
        <v/>
      </c>
      <c r="J106" s="164" t="str">
        <f ca="1">IF($C106,IF($I106&gt;=1,"Completado",IF($H106&lt;TODAY(),"Vencido",IF(($H106-TODAY())&lt;='Entregas Próximas'!$M$3,"Próximo a vencer","En curso"))),"")</f>
        <v/>
      </c>
      <c r="K106" s="163" t="str">
        <f t="shared" ca="1" si="65"/>
        <v/>
      </c>
      <c r="L106" s="163" t="str">
        <f t="shared" si="66"/>
        <v/>
      </c>
      <c r="M106" s="163" t="str">
        <f t="shared" si="67"/>
        <v/>
      </c>
      <c r="N106" s="163" t="str">
        <f>IF($C106,IF('Proyecto Datos (OKR´s)'!$E106="",9999,'Proyecto Datos (OKR´s)'!$E106),"")</f>
        <v/>
      </c>
      <c r="O106" s="163" t="str">
        <f t="shared" si="68"/>
        <v/>
      </c>
      <c r="R106" s="163" t="str">
        <f>IF($C106,IF(ISNUMBER('Proyecto Datos (OKR´s)'!$L106),'Proyecto Datos (OKR´s)'!$L106,$H106),"")</f>
        <v/>
      </c>
      <c r="S106" s="163" t="str">
        <f>IF($C106,$R106-'Proyecto Datos (OKR´s)'!$K106+1,"")</f>
        <v/>
      </c>
      <c r="T106" s="163" t="str">
        <f ca="1">IF($C106,MAX(0,TODAY()-'Proyecto Datos (OKR´s)'!$K106),"")</f>
        <v/>
      </c>
      <c r="U106" s="163" t="str">
        <f ca="1">IF($C106,MEDIAN(0,(TODAY()-'Proyecto Datos (OKR´s)'!$K106)/MAX(1,$R106-'Proyecto Datos (OKR´s)'!$K106),1),"")</f>
        <v/>
      </c>
      <c r="V106" s="163" t="str">
        <f t="shared" si="69"/>
        <v/>
      </c>
      <c r="W106" s="163" t="str">
        <f t="shared" ca="1" si="70"/>
        <v/>
      </c>
      <c r="X106" s="163" t="str">
        <f t="shared" si="71"/>
        <v/>
      </c>
      <c r="Y106" s="163" t="str">
        <f t="shared" si="72"/>
        <v/>
      </c>
      <c r="Z106" s="163" t="str">
        <f ca="1">IF($C106,AND($I106=0,'Proyecto Datos (OKR´s)'!$K106&lt;=TODAY(),$J106&lt;&gt;"Completado"),"")</f>
        <v/>
      </c>
      <c r="AA106" s="163" t="str">
        <f t="shared" si="73"/>
        <v/>
      </c>
      <c r="AB106" s="164" t="str">
        <f t="shared" si="74"/>
        <v/>
      </c>
      <c r="AC106" s="164" t="str">
        <f t="shared" si="75"/>
        <v/>
      </c>
      <c r="AD106" s="163" t="str">
        <f>IF($C106,IF($N106=9999,9999,IF($J106="Completado",$N106,MAX($N106,Sprints!$M$15))),"")</f>
        <v/>
      </c>
      <c r="AE106" s="163" t="str">
        <f t="shared" si="76"/>
        <v/>
      </c>
      <c r="AF106" s="163" t="b">
        <f t="shared" si="77"/>
        <v>0</v>
      </c>
      <c r="AG106" s="163" t="str">
        <f t="shared" si="78"/>
        <v/>
      </c>
      <c r="AH106" s="164" t="str">
        <f>IF($AF106,IF(Sprints!$I106&lt;&gt;"",Sprints!$I106,"Comprometida y no completada al cierre del Sprint "&amp;$N106),"")</f>
        <v/>
      </c>
      <c r="AI106" s="163" t="str">
        <f t="shared" si="79"/>
        <v/>
      </c>
      <c r="AJ106" s="163" t="str">
        <f t="shared" si="80"/>
        <v/>
      </c>
      <c r="AK106" s="163" t="str">
        <f t="shared" si="81"/>
        <v/>
      </c>
      <c r="AL106" s="163" t="str">
        <f t="shared" si="82"/>
        <v/>
      </c>
      <c r="AM106" s="163" t="str">
        <f t="shared" si="83"/>
        <v/>
      </c>
      <c r="AN106" s="164" t="str">
        <f t="shared" si="84"/>
        <v/>
      </c>
      <c r="AO106" s="163" t="str">
        <f>IF($C106,IFERROR(INDEX(Sprints!$M$6:$M$13,MATCH($N106,Sprints!$K$6:$K$13,0)),""),"")</f>
        <v/>
      </c>
      <c r="AP106" s="163" t="str">
        <f t="shared" ca="1" si="85"/>
        <v/>
      </c>
    </row>
    <row r="107" spans="1:42" x14ac:dyDescent="0.35">
      <c r="A107" s="163">
        <f>ROW()</f>
        <v>107</v>
      </c>
      <c r="B107" s="163" t="b">
        <f>ISTEXT('Proyecto Datos (OKR´s)'!$K107)</f>
        <v>0</v>
      </c>
      <c r="C107" s="163" t="b">
        <f>AND(LEN('Proyecto Datos (OKR´s)'!$G107)&gt;0,NOT($B107),OR(ISNUMBER('Proyecto Datos (OKR´s)'!$F107),ISNUMBER('Proyecto Datos (OKR´s)'!$L107)))</f>
        <v>0</v>
      </c>
      <c r="D107" s="164" t="str">
        <f>IF($C107,IFERROR(LOOKUP(2,1/((ISTEXT('Proyecto Datos (OKR´s)'!$K$7:$K107))*(LEN('Proyecto Datos (OKR´s)'!$G$7:$G107)&gt;0)),'Proyecto Datos (OKR´s)'!$G$7:$G107),""),"")</f>
        <v/>
      </c>
      <c r="E107" s="163" t="str">
        <f>IF($C107,'Proyecto Datos (OKR´s)'!$E107,"")</f>
        <v/>
      </c>
      <c r="F107" s="164" t="str">
        <f>IF($C107,'Proyecto Datos (OKR´s)'!$G107,"")</f>
        <v/>
      </c>
      <c r="G107" s="164" t="str">
        <f>IF($C107,IF('Proyecto Datos (OKR´s)'!$I107="","(Sin asignar)",'Proyecto Datos (OKR´s)'!$I107),"")</f>
        <v/>
      </c>
      <c r="H107" s="163" t="str">
        <f>IF($C107,IF(ISNUMBER('Proyecto Datos (OKR´s)'!$F107),'Proyecto Datos (OKR´s)'!$F107,'Proyecto Datos (OKR´s)'!$L107),"")</f>
        <v/>
      </c>
      <c r="I107" s="163" t="str">
        <f>IF($C107,'Proyecto Datos (OKR´s)'!$J107,"")</f>
        <v/>
      </c>
      <c r="J107" s="164" t="str">
        <f ca="1">IF($C107,IF($I107&gt;=1,"Completado",IF($H107&lt;TODAY(),"Vencido",IF(($H107-TODAY())&lt;='Entregas Próximas'!$M$3,"Próximo a vencer","En curso"))),"")</f>
        <v/>
      </c>
      <c r="K107" s="163" t="str">
        <f t="shared" ca="1" si="65"/>
        <v/>
      </c>
      <c r="L107" s="163" t="str">
        <f t="shared" si="66"/>
        <v/>
      </c>
      <c r="M107" s="163" t="str">
        <f t="shared" si="67"/>
        <v/>
      </c>
      <c r="N107" s="163" t="str">
        <f>IF($C107,IF('Proyecto Datos (OKR´s)'!$E107="",9999,'Proyecto Datos (OKR´s)'!$E107),"")</f>
        <v/>
      </c>
      <c r="O107" s="163" t="str">
        <f t="shared" si="68"/>
        <v/>
      </c>
      <c r="R107" s="163" t="str">
        <f>IF($C107,IF(ISNUMBER('Proyecto Datos (OKR´s)'!$L107),'Proyecto Datos (OKR´s)'!$L107,$H107),"")</f>
        <v/>
      </c>
      <c r="S107" s="163" t="str">
        <f>IF($C107,$R107-'Proyecto Datos (OKR´s)'!$K107+1,"")</f>
        <v/>
      </c>
      <c r="T107" s="163" t="str">
        <f ca="1">IF($C107,MAX(0,TODAY()-'Proyecto Datos (OKR´s)'!$K107),"")</f>
        <v/>
      </c>
      <c r="U107" s="163" t="str">
        <f ca="1">IF($C107,MEDIAN(0,(TODAY()-'Proyecto Datos (OKR´s)'!$K107)/MAX(1,$R107-'Proyecto Datos (OKR´s)'!$K107),1),"")</f>
        <v/>
      </c>
      <c r="V107" s="163" t="str">
        <f t="shared" si="69"/>
        <v/>
      </c>
      <c r="W107" s="163" t="str">
        <f t="shared" ca="1" si="70"/>
        <v/>
      </c>
      <c r="X107" s="163" t="str">
        <f t="shared" si="71"/>
        <v/>
      </c>
      <c r="Y107" s="163" t="str">
        <f t="shared" si="72"/>
        <v/>
      </c>
      <c r="Z107" s="163" t="str">
        <f ca="1">IF($C107,AND($I107=0,'Proyecto Datos (OKR´s)'!$K107&lt;=TODAY(),$J107&lt;&gt;"Completado"),"")</f>
        <v/>
      </c>
      <c r="AA107" s="163" t="str">
        <f t="shared" si="73"/>
        <v/>
      </c>
      <c r="AB107" s="164" t="str">
        <f t="shared" si="74"/>
        <v/>
      </c>
      <c r="AC107" s="164" t="str">
        <f t="shared" si="75"/>
        <v/>
      </c>
      <c r="AD107" s="163" t="str">
        <f>IF($C107,IF($N107=9999,9999,IF($J107="Completado",$N107,MAX($N107,Sprints!$M$15))),"")</f>
        <v/>
      </c>
      <c r="AE107" s="163" t="str">
        <f t="shared" si="76"/>
        <v/>
      </c>
      <c r="AF107" s="163" t="b">
        <f t="shared" si="77"/>
        <v>0</v>
      </c>
      <c r="AG107" s="163" t="str">
        <f t="shared" si="78"/>
        <v/>
      </c>
      <c r="AH107" s="164" t="str">
        <f>IF($AF107,IF(Sprints!$I107&lt;&gt;"",Sprints!$I107,"Comprometida y no completada al cierre del Sprint "&amp;$N107),"")</f>
        <v/>
      </c>
      <c r="AI107" s="163" t="str">
        <f t="shared" si="79"/>
        <v/>
      </c>
      <c r="AJ107" s="163" t="str">
        <f t="shared" si="80"/>
        <v/>
      </c>
      <c r="AK107" s="163" t="str">
        <f t="shared" si="81"/>
        <v/>
      </c>
      <c r="AL107" s="163" t="str">
        <f t="shared" si="82"/>
        <v/>
      </c>
      <c r="AM107" s="163" t="str">
        <f t="shared" si="83"/>
        <v/>
      </c>
      <c r="AN107" s="164" t="str">
        <f t="shared" si="84"/>
        <v/>
      </c>
      <c r="AO107" s="163" t="str">
        <f>IF($C107,IFERROR(INDEX(Sprints!$M$6:$M$13,MATCH($N107,Sprints!$K$6:$K$13,0)),""),"")</f>
        <v/>
      </c>
      <c r="AP107" s="163" t="str">
        <f t="shared" ca="1" si="85"/>
        <v/>
      </c>
    </row>
    <row r="108" spans="1:42" x14ac:dyDescent="0.35">
      <c r="A108" s="163">
        <f>ROW()</f>
        <v>108</v>
      </c>
      <c r="B108" s="163" t="b">
        <f>ISTEXT('Proyecto Datos (OKR´s)'!$K108)</f>
        <v>0</v>
      </c>
      <c r="C108" s="163" t="b">
        <f>AND(LEN('Proyecto Datos (OKR´s)'!$G108)&gt;0,NOT($B108),OR(ISNUMBER('Proyecto Datos (OKR´s)'!$F108),ISNUMBER('Proyecto Datos (OKR´s)'!$L108)))</f>
        <v>0</v>
      </c>
      <c r="D108" s="164" t="str">
        <f>IF($C108,IFERROR(LOOKUP(2,1/((ISTEXT('Proyecto Datos (OKR´s)'!$K$7:$K108))*(LEN('Proyecto Datos (OKR´s)'!$G$7:$G108)&gt;0)),'Proyecto Datos (OKR´s)'!$G$7:$G108),""),"")</f>
        <v/>
      </c>
      <c r="E108" s="163" t="str">
        <f>IF($C108,'Proyecto Datos (OKR´s)'!$E108,"")</f>
        <v/>
      </c>
      <c r="F108" s="164" t="str">
        <f>IF($C108,'Proyecto Datos (OKR´s)'!$G108,"")</f>
        <v/>
      </c>
      <c r="G108" s="164" t="str">
        <f>IF($C108,IF('Proyecto Datos (OKR´s)'!$I108="","(Sin asignar)",'Proyecto Datos (OKR´s)'!$I108),"")</f>
        <v/>
      </c>
      <c r="H108" s="163" t="str">
        <f>IF($C108,IF(ISNUMBER('Proyecto Datos (OKR´s)'!$F108),'Proyecto Datos (OKR´s)'!$F108,'Proyecto Datos (OKR´s)'!$L108),"")</f>
        <v/>
      </c>
      <c r="I108" s="163" t="str">
        <f>IF($C108,'Proyecto Datos (OKR´s)'!$J108,"")</f>
        <v/>
      </c>
      <c r="J108" s="164" t="str">
        <f ca="1">IF($C108,IF($I108&gt;=1,"Completado",IF($H108&lt;TODAY(),"Vencido",IF(($H108-TODAY())&lt;='Entregas Próximas'!$M$3,"Próximo a vencer","En curso"))),"")</f>
        <v/>
      </c>
      <c r="K108" s="163" t="str">
        <f t="shared" ca="1" si="65"/>
        <v/>
      </c>
      <c r="L108" s="163" t="str">
        <f t="shared" si="66"/>
        <v/>
      </c>
      <c r="M108" s="163" t="str">
        <f t="shared" si="67"/>
        <v/>
      </c>
      <c r="N108" s="163" t="str">
        <f>IF($C108,IF('Proyecto Datos (OKR´s)'!$E108="",9999,'Proyecto Datos (OKR´s)'!$E108),"")</f>
        <v/>
      </c>
      <c r="O108" s="163" t="str">
        <f t="shared" si="68"/>
        <v/>
      </c>
      <c r="R108" s="163" t="str">
        <f>IF($C108,IF(ISNUMBER('Proyecto Datos (OKR´s)'!$L108),'Proyecto Datos (OKR´s)'!$L108,$H108),"")</f>
        <v/>
      </c>
      <c r="S108" s="163" t="str">
        <f>IF($C108,$R108-'Proyecto Datos (OKR´s)'!$K108+1,"")</f>
        <v/>
      </c>
      <c r="T108" s="163" t="str">
        <f ca="1">IF($C108,MAX(0,TODAY()-'Proyecto Datos (OKR´s)'!$K108),"")</f>
        <v/>
      </c>
      <c r="U108" s="163" t="str">
        <f ca="1">IF($C108,MEDIAN(0,(TODAY()-'Proyecto Datos (OKR´s)'!$K108)/MAX(1,$R108-'Proyecto Datos (OKR´s)'!$K108),1),"")</f>
        <v/>
      </c>
      <c r="V108" s="163" t="str">
        <f t="shared" si="69"/>
        <v/>
      </c>
      <c r="W108" s="163" t="str">
        <f t="shared" ca="1" si="70"/>
        <v/>
      </c>
      <c r="X108" s="163" t="str">
        <f t="shared" si="71"/>
        <v/>
      </c>
      <c r="Y108" s="163" t="str">
        <f t="shared" si="72"/>
        <v/>
      </c>
      <c r="Z108" s="163" t="str">
        <f ca="1">IF($C108,AND($I108=0,'Proyecto Datos (OKR´s)'!$K108&lt;=TODAY(),$J108&lt;&gt;"Completado"),"")</f>
        <v/>
      </c>
      <c r="AA108" s="163" t="str">
        <f t="shared" si="73"/>
        <v/>
      </c>
      <c r="AB108" s="164" t="str">
        <f t="shared" si="74"/>
        <v/>
      </c>
      <c r="AC108" s="164" t="str">
        <f t="shared" si="75"/>
        <v/>
      </c>
      <c r="AD108" s="163" t="str">
        <f>IF($C108,IF($N108=9999,9999,IF($J108="Completado",$N108,MAX($N108,Sprints!$M$15))),"")</f>
        <v/>
      </c>
      <c r="AE108" s="163" t="str">
        <f t="shared" si="76"/>
        <v/>
      </c>
      <c r="AF108" s="163" t="b">
        <f t="shared" si="77"/>
        <v>0</v>
      </c>
      <c r="AG108" s="163" t="str">
        <f t="shared" si="78"/>
        <v/>
      </c>
      <c r="AH108" s="164" t="str">
        <f>IF($AF108,IF(Sprints!$I108&lt;&gt;"",Sprints!$I108,"Comprometida y no completada al cierre del Sprint "&amp;$N108),"")</f>
        <v/>
      </c>
      <c r="AI108" s="163" t="str">
        <f t="shared" si="79"/>
        <v/>
      </c>
      <c r="AJ108" s="163" t="str">
        <f t="shared" si="80"/>
        <v/>
      </c>
      <c r="AK108" s="163" t="str">
        <f t="shared" si="81"/>
        <v/>
      </c>
      <c r="AL108" s="163" t="str">
        <f t="shared" si="82"/>
        <v/>
      </c>
      <c r="AM108" s="163" t="str">
        <f t="shared" si="83"/>
        <v/>
      </c>
      <c r="AN108" s="164" t="str">
        <f t="shared" si="84"/>
        <v/>
      </c>
      <c r="AO108" s="163" t="str">
        <f>IF($C108,IFERROR(INDEX(Sprints!$M$6:$M$13,MATCH($N108,Sprints!$K$6:$K$13,0)),""),"")</f>
        <v/>
      </c>
      <c r="AP108" s="163" t="str">
        <f t="shared" ca="1" si="85"/>
        <v/>
      </c>
    </row>
    <row r="109" spans="1:42" x14ac:dyDescent="0.35">
      <c r="A109" s="163">
        <f>ROW()</f>
        <v>109</v>
      </c>
      <c r="B109" s="163" t="b">
        <f>ISTEXT('Proyecto Datos (OKR´s)'!$K109)</f>
        <v>0</v>
      </c>
      <c r="C109" s="163" t="b">
        <f>AND(LEN('Proyecto Datos (OKR´s)'!$G109)&gt;0,NOT($B109),OR(ISNUMBER('Proyecto Datos (OKR´s)'!$F109),ISNUMBER('Proyecto Datos (OKR´s)'!$L109)))</f>
        <v>0</v>
      </c>
      <c r="D109" s="164" t="str">
        <f>IF($C109,IFERROR(LOOKUP(2,1/((ISTEXT('Proyecto Datos (OKR´s)'!$K$7:$K109))*(LEN('Proyecto Datos (OKR´s)'!$G$7:$G109)&gt;0)),'Proyecto Datos (OKR´s)'!$G$7:$G109),""),"")</f>
        <v/>
      </c>
      <c r="E109" s="163" t="str">
        <f>IF($C109,'Proyecto Datos (OKR´s)'!$E109,"")</f>
        <v/>
      </c>
      <c r="F109" s="164" t="str">
        <f>IF($C109,'Proyecto Datos (OKR´s)'!$G109,"")</f>
        <v/>
      </c>
      <c r="G109" s="164" t="str">
        <f>IF($C109,IF('Proyecto Datos (OKR´s)'!$I109="","(Sin asignar)",'Proyecto Datos (OKR´s)'!$I109),"")</f>
        <v/>
      </c>
      <c r="H109" s="163" t="str">
        <f>IF($C109,IF(ISNUMBER('Proyecto Datos (OKR´s)'!$F109),'Proyecto Datos (OKR´s)'!$F109,'Proyecto Datos (OKR´s)'!$L109),"")</f>
        <v/>
      </c>
      <c r="I109" s="163" t="str">
        <f>IF($C109,'Proyecto Datos (OKR´s)'!$J109,"")</f>
        <v/>
      </c>
      <c r="J109" s="164" t="str">
        <f ca="1">IF($C109,IF($I109&gt;=1,"Completado",IF($H109&lt;TODAY(),"Vencido",IF(($H109-TODAY())&lt;='Entregas Próximas'!$M$3,"Próximo a vencer","En curso"))),"")</f>
        <v/>
      </c>
      <c r="K109" s="163" t="str">
        <f t="shared" ca="1" si="65"/>
        <v/>
      </c>
      <c r="L109" s="163" t="str">
        <f t="shared" si="66"/>
        <v/>
      </c>
      <c r="M109" s="163" t="str">
        <f t="shared" si="67"/>
        <v/>
      </c>
      <c r="N109" s="163" t="str">
        <f>IF($C109,IF('Proyecto Datos (OKR´s)'!$E109="",9999,'Proyecto Datos (OKR´s)'!$E109),"")</f>
        <v/>
      </c>
      <c r="O109" s="163" t="str">
        <f t="shared" si="68"/>
        <v/>
      </c>
      <c r="R109" s="163" t="str">
        <f>IF($C109,IF(ISNUMBER('Proyecto Datos (OKR´s)'!$L109),'Proyecto Datos (OKR´s)'!$L109,$H109),"")</f>
        <v/>
      </c>
      <c r="S109" s="163" t="str">
        <f>IF($C109,$R109-'Proyecto Datos (OKR´s)'!$K109+1,"")</f>
        <v/>
      </c>
      <c r="T109" s="163" t="str">
        <f ca="1">IF($C109,MAX(0,TODAY()-'Proyecto Datos (OKR´s)'!$K109),"")</f>
        <v/>
      </c>
      <c r="U109" s="163" t="str">
        <f ca="1">IF($C109,MEDIAN(0,(TODAY()-'Proyecto Datos (OKR´s)'!$K109)/MAX(1,$R109-'Proyecto Datos (OKR´s)'!$K109),1),"")</f>
        <v/>
      </c>
      <c r="V109" s="163" t="str">
        <f t="shared" si="69"/>
        <v/>
      </c>
      <c r="W109" s="163" t="str">
        <f t="shared" ca="1" si="70"/>
        <v/>
      </c>
      <c r="X109" s="163" t="str">
        <f t="shared" si="71"/>
        <v/>
      </c>
      <c r="Y109" s="163" t="str">
        <f t="shared" si="72"/>
        <v/>
      </c>
      <c r="Z109" s="163" t="str">
        <f ca="1">IF($C109,AND($I109=0,'Proyecto Datos (OKR´s)'!$K109&lt;=TODAY(),$J109&lt;&gt;"Completado"),"")</f>
        <v/>
      </c>
      <c r="AA109" s="163" t="str">
        <f t="shared" si="73"/>
        <v/>
      </c>
      <c r="AB109" s="164" t="str">
        <f t="shared" si="74"/>
        <v/>
      </c>
      <c r="AC109" s="164" t="str">
        <f t="shared" si="75"/>
        <v/>
      </c>
      <c r="AD109" s="163" t="str">
        <f>IF($C109,IF($N109=9999,9999,IF($J109="Completado",$N109,MAX($N109,Sprints!$M$15))),"")</f>
        <v/>
      </c>
      <c r="AE109" s="163" t="str">
        <f t="shared" si="76"/>
        <v/>
      </c>
      <c r="AF109" s="163" t="b">
        <f t="shared" si="77"/>
        <v>0</v>
      </c>
      <c r="AG109" s="163" t="str">
        <f t="shared" si="78"/>
        <v/>
      </c>
      <c r="AH109" s="164" t="str">
        <f>IF($AF109,IF(Sprints!$I109&lt;&gt;"",Sprints!$I109,"Comprometida y no completada al cierre del Sprint "&amp;$N109),"")</f>
        <v/>
      </c>
      <c r="AI109" s="163" t="str">
        <f t="shared" si="79"/>
        <v/>
      </c>
      <c r="AJ109" s="163" t="str">
        <f t="shared" si="80"/>
        <v/>
      </c>
      <c r="AK109" s="163" t="str">
        <f t="shared" si="81"/>
        <v/>
      </c>
      <c r="AL109" s="163" t="str">
        <f t="shared" si="82"/>
        <v/>
      </c>
      <c r="AM109" s="163" t="str">
        <f t="shared" si="83"/>
        <v/>
      </c>
      <c r="AN109" s="164" t="str">
        <f t="shared" si="84"/>
        <v/>
      </c>
      <c r="AO109" s="163" t="str">
        <f>IF($C109,IFERROR(INDEX(Sprints!$M$6:$M$13,MATCH($N109,Sprints!$K$6:$K$13,0)),""),"")</f>
        <v/>
      </c>
      <c r="AP109" s="163" t="str">
        <f t="shared" ca="1" si="85"/>
        <v/>
      </c>
    </row>
    <row r="110" spans="1:42" x14ac:dyDescent="0.35">
      <c r="A110" s="163">
        <f>ROW()</f>
        <v>110</v>
      </c>
      <c r="B110" s="163" t="b">
        <f>ISTEXT('Proyecto Datos (OKR´s)'!$K110)</f>
        <v>0</v>
      </c>
      <c r="C110" s="163" t="b">
        <f>AND(LEN('Proyecto Datos (OKR´s)'!$G110)&gt;0,NOT($B110),OR(ISNUMBER('Proyecto Datos (OKR´s)'!$F110),ISNUMBER('Proyecto Datos (OKR´s)'!$L110)))</f>
        <v>0</v>
      </c>
      <c r="D110" s="164" t="str">
        <f>IF($C110,IFERROR(LOOKUP(2,1/((ISTEXT('Proyecto Datos (OKR´s)'!$K$7:$K110))*(LEN('Proyecto Datos (OKR´s)'!$G$7:$G110)&gt;0)),'Proyecto Datos (OKR´s)'!$G$7:$G110),""),"")</f>
        <v/>
      </c>
      <c r="E110" s="163" t="str">
        <f>IF($C110,'Proyecto Datos (OKR´s)'!$E110,"")</f>
        <v/>
      </c>
      <c r="F110" s="164" t="str">
        <f>IF($C110,'Proyecto Datos (OKR´s)'!$G110,"")</f>
        <v/>
      </c>
      <c r="G110" s="164" t="str">
        <f>IF($C110,IF('Proyecto Datos (OKR´s)'!$I110="","(Sin asignar)",'Proyecto Datos (OKR´s)'!$I110),"")</f>
        <v/>
      </c>
      <c r="H110" s="163" t="str">
        <f>IF($C110,IF(ISNUMBER('Proyecto Datos (OKR´s)'!$F110),'Proyecto Datos (OKR´s)'!$F110,'Proyecto Datos (OKR´s)'!$L110),"")</f>
        <v/>
      </c>
      <c r="I110" s="163" t="str">
        <f>IF($C110,'Proyecto Datos (OKR´s)'!$J110,"")</f>
        <v/>
      </c>
      <c r="J110" s="164" t="str">
        <f ca="1">IF($C110,IF($I110&gt;=1,"Completado",IF($H110&lt;TODAY(),"Vencido",IF(($H110-TODAY())&lt;='Entregas Próximas'!$M$3,"Próximo a vencer","En curso"))),"")</f>
        <v/>
      </c>
      <c r="K110" s="163" t="str">
        <f t="shared" ca="1" si="65"/>
        <v/>
      </c>
      <c r="L110" s="163" t="str">
        <f t="shared" si="66"/>
        <v/>
      </c>
      <c r="M110" s="163" t="str">
        <f t="shared" si="67"/>
        <v/>
      </c>
      <c r="N110" s="163" t="str">
        <f>IF($C110,IF('Proyecto Datos (OKR´s)'!$E110="",9999,'Proyecto Datos (OKR´s)'!$E110),"")</f>
        <v/>
      </c>
      <c r="O110" s="163" t="str">
        <f t="shared" si="68"/>
        <v/>
      </c>
      <c r="R110" s="163" t="str">
        <f>IF($C110,IF(ISNUMBER('Proyecto Datos (OKR´s)'!$L110),'Proyecto Datos (OKR´s)'!$L110,$H110),"")</f>
        <v/>
      </c>
      <c r="S110" s="163" t="str">
        <f>IF($C110,$R110-'Proyecto Datos (OKR´s)'!$K110+1,"")</f>
        <v/>
      </c>
      <c r="T110" s="163" t="str">
        <f ca="1">IF($C110,MAX(0,TODAY()-'Proyecto Datos (OKR´s)'!$K110),"")</f>
        <v/>
      </c>
      <c r="U110" s="163" t="str">
        <f ca="1">IF($C110,MEDIAN(0,(TODAY()-'Proyecto Datos (OKR´s)'!$K110)/MAX(1,$R110-'Proyecto Datos (OKR´s)'!$K110),1),"")</f>
        <v/>
      </c>
      <c r="V110" s="163" t="str">
        <f t="shared" si="69"/>
        <v/>
      </c>
      <c r="W110" s="163" t="str">
        <f t="shared" ca="1" si="70"/>
        <v/>
      </c>
      <c r="X110" s="163" t="str">
        <f t="shared" si="71"/>
        <v/>
      </c>
      <c r="Y110" s="163" t="str">
        <f t="shared" si="72"/>
        <v/>
      </c>
      <c r="Z110" s="163" t="str">
        <f ca="1">IF($C110,AND($I110=0,'Proyecto Datos (OKR´s)'!$K110&lt;=TODAY(),$J110&lt;&gt;"Completado"),"")</f>
        <v/>
      </c>
      <c r="AA110" s="163" t="str">
        <f t="shared" si="73"/>
        <v/>
      </c>
      <c r="AB110" s="164" t="str">
        <f t="shared" si="74"/>
        <v/>
      </c>
      <c r="AC110" s="164" t="str">
        <f t="shared" si="75"/>
        <v/>
      </c>
      <c r="AD110" s="163" t="str">
        <f>IF($C110,IF($N110=9999,9999,IF($J110="Completado",$N110,MAX($N110,Sprints!$M$15))),"")</f>
        <v/>
      </c>
      <c r="AE110" s="163" t="str">
        <f t="shared" si="76"/>
        <v/>
      </c>
      <c r="AF110" s="163" t="b">
        <f t="shared" si="77"/>
        <v>0</v>
      </c>
      <c r="AG110" s="163" t="str">
        <f t="shared" si="78"/>
        <v/>
      </c>
      <c r="AH110" s="164" t="str">
        <f>IF($AF110,IF(Sprints!$I110&lt;&gt;"",Sprints!$I110,"Comprometida y no completada al cierre del Sprint "&amp;$N110),"")</f>
        <v/>
      </c>
      <c r="AI110" s="163" t="str">
        <f t="shared" si="79"/>
        <v/>
      </c>
      <c r="AJ110" s="163" t="str">
        <f t="shared" si="80"/>
        <v/>
      </c>
      <c r="AK110" s="163" t="str">
        <f t="shared" si="81"/>
        <v/>
      </c>
      <c r="AL110" s="163" t="str">
        <f t="shared" si="82"/>
        <v/>
      </c>
      <c r="AM110" s="163" t="str">
        <f t="shared" si="83"/>
        <v/>
      </c>
      <c r="AN110" s="164" t="str">
        <f t="shared" si="84"/>
        <v/>
      </c>
      <c r="AO110" s="163" t="str">
        <f>IF($C110,IFERROR(INDEX(Sprints!$M$6:$M$13,MATCH($N110,Sprints!$K$6:$K$13,0)),""),"")</f>
        <v/>
      </c>
      <c r="AP110" s="163" t="str">
        <f t="shared" ca="1" si="85"/>
        <v/>
      </c>
    </row>
    <row r="111" spans="1:42" x14ac:dyDescent="0.35">
      <c r="A111" s="163">
        <f>ROW()</f>
        <v>111</v>
      </c>
      <c r="B111" s="163" t="b">
        <f>ISTEXT('Proyecto Datos (OKR´s)'!$K111)</f>
        <v>0</v>
      </c>
      <c r="C111" s="163" t="b">
        <f>AND(LEN('Proyecto Datos (OKR´s)'!$G111)&gt;0,NOT($B111),OR(ISNUMBER('Proyecto Datos (OKR´s)'!$F111),ISNUMBER('Proyecto Datos (OKR´s)'!$L111)))</f>
        <v>0</v>
      </c>
      <c r="D111" s="164" t="str">
        <f>IF($C111,IFERROR(LOOKUP(2,1/((ISTEXT('Proyecto Datos (OKR´s)'!$K$7:$K111))*(LEN('Proyecto Datos (OKR´s)'!$G$7:$G111)&gt;0)),'Proyecto Datos (OKR´s)'!$G$7:$G111),""),"")</f>
        <v/>
      </c>
      <c r="E111" s="163" t="str">
        <f>IF($C111,'Proyecto Datos (OKR´s)'!$E111,"")</f>
        <v/>
      </c>
      <c r="F111" s="164" t="str">
        <f>IF($C111,'Proyecto Datos (OKR´s)'!$G111,"")</f>
        <v/>
      </c>
      <c r="G111" s="164" t="str">
        <f>IF($C111,IF('Proyecto Datos (OKR´s)'!$I111="","(Sin asignar)",'Proyecto Datos (OKR´s)'!$I111),"")</f>
        <v/>
      </c>
      <c r="H111" s="163" t="str">
        <f>IF($C111,IF(ISNUMBER('Proyecto Datos (OKR´s)'!$F111),'Proyecto Datos (OKR´s)'!$F111,'Proyecto Datos (OKR´s)'!$L111),"")</f>
        <v/>
      </c>
      <c r="I111" s="163" t="str">
        <f>IF($C111,'Proyecto Datos (OKR´s)'!$J111,"")</f>
        <v/>
      </c>
      <c r="J111" s="164" t="str">
        <f ca="1">IF($C111,IF($I111&gt;=1,"Completado",IF($H111&lt;TODAY(),"Vencido",IF(($H111-TODAY())&lt;='Entregas Próximas'!$M$3,"Próximo a vencer","En curso"))),"")</f>
        <v/>
      </c>
      <c r="K111" s="163" t="str">
        <f t="shared" ca="1" si="65"/>
        <v/>
      </c>
      <c r="L111" s="163" t="str">
        <f t="shared" si="66"/>
        <v/>
      </c>
      <c r="M111" s="163" t="str">
        <f t="shared" si="67"/>
        <v/>
      </c>
      <c r="N111" s="163" t="str">
        <f>IF($C111,IF('Proyecto Datos (OKR´s)'!$E111="",9999,'Proyecto Datos (OKR´s)'!$E111),"")</f>
        <v/>
      </c>
      <c r="O111" s="163" t="str">
        <f t="shared" si="68"/>
        <v/>
      </c>
      <c r="R111" s="163" t="str">
        <f>IF($C111,IF(ISNUMBER('Proyecto Datos (OKR´s)'!$L111),'Proyecto Datos (OKR´s)'!$L111,$H111),"")</f>
        <v/>
      </c>
      <c r="S111" s="163" t="str">
        <f>IF($C111,$R111-'Proyecto Datos (OKR´s)'!$K111+1,"")</f>
        <v/>
      </c>
      <c r="T111" s="163" t="str">
        <f ca="1">IF($C111,MAX(0,TODAY()-'Proyecto Datos (OKR´s)'!$K111),"")</f>
        <v/>
      </c>
      <c r="U111" s="163" t="str">
        <f ca="1">IF($C111,MEDIAN(0,(TODAY()-'Proyecto Datos (OKR´s)'!$K111)/MAX(1,$R111-'Proyecto Datos (OKR´s)'!$K111),1),"")</f>
        <v/>
      </c>
      <c r="V111" s="163" t="str">
        <f t="shared" si="69"/>
        <v/>
      </c>
      <c r="W111" s="163" t="str">
        <f t="shared" ca="1" si="70"/>
        <v/>
      </c>
      <c r="X111" s="163" t="str">
        <f t="shared" si="71"/>
        <v/>
      </c>
      <c r="Y111" s="163" t="str">
        <f t="shared" si="72"/>
        <v/>
      </c>
      <c r="Z111" s="163" t="str">
        <f ca="1">IF($C111,AND($I111=0,'Proyecto Datos (OKR´s)'!$K111&lt;=TODAY(),$J111&lt;&gt;"Completado"),"")</f>
        <v/>
      </c>
      <c r="AA111" s="163" t="str">
        <f t="shared" si="73"/>
        <v/>
      </c>
      <c r="AB111" s="164" t="str">
        <f t="shared" si="74"/>
        <v/>
      </c>
      <c r="AC111" s="164" t="str">
        <f t="shared" si="75"/>
        <v/>
      </c>
      <c r="AD111" s="163" t="str">
        <f>IF($C111,IF($N111=9999,9999,IF($J111="Completado",$N111,MAX($N111,Sprints!$M$15))),"")</f>
        <v/>
      </c>
      <c r="AE111" s="163" t="str">
        <f t="shared" si="76"/>
        <v/>
      </c>
      <c r="AF111" s="163" t="b">
        <f t="shared" si="77"/>
        <v>0</v>
      </c>
      <c r="AG111" s="163" t="str">
        <f t="shared" si="78"/>
        <v/>
      </c>
      <c r="AH111" s="164" t="str">
        <f>IF($AF111,IF(Sprints!$I111&lt;&gt;"",Sprints!$I111,"Comprometida y no completada al cierre del Sprint "&amp;$N111),"")</f>
        <v/>
      </c>
      <c r="AI111" s="163" t="str">
        <f t="shared" si="79"/>
        <v/>
      </c>
      <c r="AJ111" s="163" t="str">
        <f t="shared" si="80"/>
        <v/>
      </c>
      <c r="AK111" s="163" t="str">
        <f t="shared" si="81"/>
        <v/>
      </c>
      <c r="AL111" s="163" t="str">
        <f t="shared" si="82"/>
        <v/>
      </c>
      <c r="AM111" s="163" t="str">
        <f t="shared" si="83"/>
        <v/>
      </c>
      <c r="AN111" s="164" t="str">
        <f t="shared" si="84"/>
        <v/>
      </c>
      <c r="AO111" s="163" t="str">
        <f>IF($C111,IFERROR(INDEX(Sprints!$M$6:$M$13,MATCH($N111,Sprints!$K$6:$K$13,0)),""),"")</f>
        <v/>
      </c>
      <c r="AP111" s="163" t="str">
        <f t="shared" ca="1" si="85"/>
        <v/>
      </c>
    </row>
    <row r="112" spans="1:42" x14ac:dyDescent="0.35">
      <c r="A112" s="163">
        <f>ROW()</f>
        <v>112</v>
      </c>
      <c r="B112" s="163" t="b">
        <f>ISTEXT('Proyecto Datos (OKR´s)'!$K112)</f>
        <v>0</v>
      </c>
      <c r="C112" s="163" t="b">
        <f>AND(LEN('Proyecto Datos (OKR´s)'!$G112)&gt;0,NOT($B112),OR(ISNUMBER('Proyecto Datos (OKR´s)'!$F112),ISNUMBER('Proyecto Datos (OKR´s)'!$L112)))</f>
        <v>0</v>
      </c>
      <c r="D112" s="164" t="str">
        <f>IF($C112,IFERROR(LOOKUP(2,1/((ISTEXT('Proyecto Datos (OKR´s)'!$K$7:$K112))*(LEN('Proyecto Datos (OKR´s)'!$G$7:$G112)&gt;0)),'Proyecto Datos (OKR´s)'!$G$7:$G112),""),"")</f>
        <v/>
      </c>
      <c r="E112" s="163" t="str">
        <f>IF($C112,'Proyecto Datos (OKR´s)'!$E112,"")</f>
        <v/>
      </c>
      <c r="F112" s="164" t="str">
        <f>IF($C112,'Proyecto Datos (OKR´s)'!$G112,"")</f>
        <v/>
      </c>
      <c r="G112" s="164" t="str">
        <f>IF($C112,IF('Proyecto Datos (OKR´s)'!$I112="","(Sin asignar)",'Proyecto Datos (OKR´s)'!$I112),"")</f>
        <v/>
      </c>
      <c r="H112" s="163" t="str">
        <f>IF($C112,IF(ISNUMBER('Proyecto Datos (OKR´s)'!$F112),'Proyecto Datos (OKR´s)'!$F112,'Proyecto Datos (OKR´s)'!$L112),"")</f>
        <v/>
      </c>
      <c r="I112" s="163" t="str">
        <f>IF($C112,'Proyecto Datos (OKR´s)'!$J112,"")</f>
        <v/>
      </c>
      <c r="J112" s="164" t="str">
        <f ca="1">IF($C112,IF($I112&gt;=1,"Completado",IF($H112&lt;TODAY(),"Vencido",IF(($H112-TODAY())&lt;='Entregas Próximas'!$M$3,"Próximo a vencer","En curso"))),"")</f>
        <v/>
      </c>
      <c r="K112" s="163" t="str">
        <f t="shared" ca="1" si="65"/>
        <v/>
      </c>
      <c r="L112" s="163" t="str">
        <f t="shared" si="66"/>
        <v/>
      </c>
      <c r="M112" s="163" t="str">
        <f t="shared" si="67"/>
        <v/>
      </c>
      <c r="N112" s="163" t="str">
        <f>IF($C112,IF('Proyecto Datos (OKR´s)'!$E112="",9999,'Proyecto Datos (OKR´s)'!$E112),"")</f>
        <v/>
      </c>
      <c r="O112" s="163" t="str">
        <f t="shared" si="68"/>
        <v/>
      </c>
      <c r="R112" s="163" t="str">
        <f>IF($C112,IF(ISNUMBER('Proyecto Datos (OKR´s)'!$L112),'Proyecto Datos (OKR´s)'!$L112,$H112),"")</f>
        <v/>
      </c>
      <c r="S112" s="163" t="str">
        <f>IF($C112,$R112-'Proyecto Datos (OKR´s)'!$K112+1,"")</f>
        <v/>
      </c>
      <c r="T112" s="163" t="str">
        <f ca="1">IF($C112,MAX(0,TODAY()-'Proyecto Datos (OKR´s)'!$K112),"")</f>
        <v/>
      </c>
      <c r="U112" s="163" t="str">
        <f ca="1">IF($C112,MEDIAN(0,(TODAY()-'Proyecto Datos (OKR´s)'!$K112)/MAX(1,$R112-'Proyecto Datos (OKR´s)'!$K112),1),"")</f>
        <v/>
      </c>
      <c r="V112" s="163" t="str">
        <f t="shared" si="69"/>
        <v/>
      </c>
      <c r="W112" s="163" t="str">
        <f t="shared" ca="1" si="70"/>
        <v/>
      </c>
      <c r="X112" s="163" t="str">
        <f t="shared" si="71"/>
        <v/>
      </c>
      <c r="Y112" s="163" t="str">
        <f t="shared" si="72"/>
        <v/>
      </c>
      <c r="Z112" s="163" t="str">
        <f ca="1">IF($C112,AND($I112=0,'Proyecto Datos (OKR´s)'!$K112&lt;=TODAY(),$J112&lt;&gt;"Completado"),"")</f>
        <v/>
      </c>
      <c r="AA112" s="163" t="str">
        <f t="shared" si="73"/>
        <v/>
      </c>
      <c r="AB112" s="164" t="str">
        <f t="shared" si="74"/>
        <v/>
      </c>
      <c r="AC112" s="164" t="str">
        <f t="shared" si="75"/>
        <v/>
      </c>
      <c r="AD112" s="163" t="str">
        <f>IF($C112,IF($N112=9999,9999,IF($J112="Completado",$N112,MAX($N112,Sprints!$M$15))),"")</f>
        <v/>
      </c>
      <c r="AE112" s="163" t="str">
        <f t="shared" si="76"/>
        <v/>
      </c>
      <c r="AF112" s="163" t="b">
        <f t="shared" si="77"/>
        <v>0</v>
      </c>
      <c r="AG112" s="163" t="str">
        <f t="shared" si="78"/>
        <v/>
      </c>
      <c r="AH112" s="164" t="str">
        <f>IF($AF112,IF(Sprints!$I112&lt;&gt;"",Sprints!$I112,"Comprometida y no completada al cierre del Sprint "&amp;$N112),"")</f>
        <v/>
      </c>
      <c r="AI112" s="163" t="str">
        <f t="shared" si="79"/>
        <v/>
      </c>
      <c r="AJ112" s="163" t="str">
        <f t="shared" si="80"/>
        <v/>
      </c>
      <c r="AK112" s="163" t="str">
        <f t="shared" si="81"/>
        <v/>
      </c>
      <c r="AL112" s="163" t="str">
        <f t="shared" si="82"/>
        <v/>
      </c>
      <c r="AM112" s="163" t="str">
        <f t="shared" si="83"/>
        <v/>
      </c>
      <c r="AN112" s="164" t="str">
        <f t="shared" si="84"/>
        <v/>
      </c>
      <c r="AO112" s="163" t="str">
        <f>IF($C112,IFERROR(INDEX(Sprints!$M$6:$M$13,MATCH($N112,Sprints!$K$6:$K$13,0)),""),"")</f>
        <v/>
      </c>
      <c r="AP112" s="163" t="str">
        <f t="shared" ca="1" si="85"/>
        <v/>
      </c>
    </row>
    <row r="113" spans="1:42" x14ac:dyDescent="0.35">
      <c r="A113" s="163">
        <f>ROW()</f>
        <v>113</v>
      </c>
      <c r="B113" s="163" t="b">
        <f>ISTEXT('Proyecto Datos (OKR´s)'!$K113)</f>
        <v>0</v>
      </c>
      <c r="C113" s="163" t="b">
        <f>AND(LEN('Proyecto Datos (OKR´s)'!$G113)&gt;0,NOT($B113),OR(ISNUMBER('Proyecto Datos (OKR´s)'!$F113),ISNUMBER('Proyecto Datos (OKR´s)'!$L113)))</f>
        <v>0</v>
      </c>
      <c r="D113" s="164" t="str">
        <f>IF($C113,IFERROR(LOOKUP(2,1/((ISTEXT('Proyecto Datos (OKR´s)'!$K$7:$K113))*(LEN('Proyecto Datos (OKR´s)'!$G$7:$G113)&gt;0)),'Proyecto Datos (OKR´s)'!$G$7:$G113),""),"")</f>
        <v/>
      </c>
      <c r="E113" s="163" t="str">
        <f>IF($C113,'Proyecto Datos (OKR´s)'!$E113,"")</f>
        <v/>
      </c>
      <c r="F113" s="164" t="str">
        <f>IF($C113,'Proyecto Datos (OKR´s)'!$G113,"")</f>
        <v/>
      </c>
      <c r="G113" s="164" t="str">
        <f>IF($C113,IF('Proyecto Datos (OKR´s)'!$I113="","(Sin asignar)",'Proyecto Datos (OKR´s)'!$I113),"")</f>
        <v/>
      </c>
      <c r="H113" s="163" t="str">
        <f>IF($C113,IF(ISNUMBER('Proyecto Datos (OKR´s)'!$F113),'Proyecto Datos (OKR´s)'!$F113,'Proyecto Datos (OKR´s)'!$L113),"")</f>
        <v/>
      </c>
      <c r="I113" s="163" t="str">
        <f>IF($C113,'Proyecto Datos (OKR´s)'!$J113,"")</f>
        <v/>
      </c>
      <c r="J113" s="164" t="str">
        <f ca="1">IF($C113,IF($I113&gt;=1,"Completado",IF($H113&lt;TODAY(),"Vencido",IF(($H113-TODAY())&lt;='Entregas Próximas'!$M$3,"Próximo a vencer","En curso"))),"")</f>
        <v/>
      </c>
      <c r="K113" s="163" t="str">
        <f t="shared" ca="1" si="65"/>
        <v/>
      </c>
      <c r="L113" s="163" t="str">
        <f t="shared" si="66"/>
        <v/>
      </c>
      <c r="M113" s="163" t="str">
        <f t="shared" si="67"/>
        <v/>
      </c>
      <c r="N113" s="163" t="str">
        <f>IF($C113,IF('Proyecto Datos (OKR´s)'!$E113="",9999,'Proyecto Datos (OKR´s)'!$E113),"")</f>
        <v/>
      </c>
      <c r="O113" s="163" t="str">
        <f t="shared" si="68"/>
        <v/>
      </c>
      <c r="R113" s="163" t="str">
        <f>IF($C113,IF(ISNUMBER('Proyecto Datos (OKR´s)'!$L113),'Proyecto Datos (OKR´s)'!$L113,$H113),"")</f>
        <v/>
      </c>
      <c r="S113" s="163" t="str">
        <f>IF($C113,$R113-'Proyecto Datos (OKR´s)'!$K113+1,"")</f>
        <v/>
      </c>
      <c r="T113" s="163" t="str">
        <f ca="1">IF($C113,MAX(0,TODAY()-'Proyecto Datos (OKR´s)'!$K113),"")</f>
        <v/>
      </c>
      <c r="U113" s="163" t="str">
        <f ca="1">IF($C113,MEDIAN(0,(TODAY()-'Proyecto Datos (OKR´s)'!$K113)/MAX(1,$R113-'Proyecto Datos (OKR´s)'!$K113),1),"")</f>
        <v/>
      </c>
      <c r="V113" s="163" t="str">
        <f t="shared" si="69"/>
        <v/>
      </c>
      <c r="W113" s="163" t="str">
        <f t="shared" ca="1" si="70"/>
        <v/>
      </c>
      <c r="X113" s="163" t="str">
        <f t="shared" si="71"/>
        <v/>
      </c>
      <c r="Y113" s="163" t="str">
        <f t="shared" si="72"/>
        <v/>
      </c>
      <c r="Z113" s="163" t="str">
        <f ca="1">IF($C113,AND($I113=0,'Proyecto Datos (OKR´s)'!$K113&lt;=TODAY(),$J113&lt;&gt;"Completado"),"")</f>
        <v/>
      </c>
      <c r="AA113" s="163" t="str">
        <f t="shared" si="73"/>
        <v/>
      </c>
      <c r="AB113" s="164" t="str">
        <f t="shared" si="74"/>
        <v/>
      </c>
      <c r="AC113" s="164" t="str">
        <f t="shared" si="75"/>
        <v/>
      </c>
      <c r="AD113" s="163" t="str">
        <f>IF($C113,IF($N113=9999,9999,IF($J113="Completado",$N113,MAX($N113,Sprints!$M$15))),"")</f>
        <v/>
      </c>
      <c r="AE113" s="163" t="str">
        <f t="shared" si="76"/>
        <v/>
      </c>
      <c r="AF113" s="163" t="b">
        <f t="shared" si="77"/>
        <v>0</v>
      </c>
      <c r="AG113" s="163" t="str">
        <f t="shared" si="78"/>
        <v/>
      </c>
      <c r="AH113" s="164" t="str">
        <f>IF($AF113,IF(Sprints!$I113&lt;&gt;"",Sprints!$I113,"Comprometida y no completada al cierre del Sprint "&amp;$N113),"")</f>
        <v/>
      </c>
      <c r="AI113" s="163" t="str">
        <f t="shared" si="79"/>
        <v/>
      </c>
      <c r="AJ113" s="163" t="str">
        <f t="shared" si="80"/>
        <v/>
      </c>
      <c r="AK113" s="163" t="str">
        <f t="shared" si="81"/>
        <v/>
      </c>
      <c r="AL113" s="163" t="str">
        <f t="shared" si="82"/>
        <v/>
      </c>
      <c r="AM113" s="163" t="str">
        <f t="shared" si="83"/>
        <v/>
      </c>
      <c r="AN113" s="164" t="str">
        <f t="shared" si="84"/>
        <v/>
      </c>
      <c r="AO113" s="163" t="str">
        <f>IF($C113,IFERROR(INDEX(Sprints!$M$6:$M$13,MATCH($N113,Sprints!$K$6:$K$13,0)),""),"")</f>
        <v/>
      </c>
      <c r="AP113" s="163" t="str">
        <f t="shared" ca="1" si="85"/>
        <v/>
      </c>
    </row>
    <row r="114" spans="1:42" x14ac:dyDescent="0.35">
      <c r="A114" s="163">
        <f>ROW()</f>
        <v>114</v>
      </c>
      <c r="B114" s="163" t="b">
        <f>ISTEXT('Proyecto Datos (OKR´s)'!$K114)</f>
        <v>0</v>
      </c>
      <c r="C114" s="163" t="b">
        <f>AND(LEN('Proyecto Datos (OKR´s)'!$G114)&gt;0,NOT($B114),OR(ISNUMBER('Proyecto Datos (OKR´s)'!$F114),ISNUMBER('Proyecto Datos (OKR´s)'!$L114)))</f>
        <v>0</v>
      </c>
      <c r="D114" s="164" t="str">
        <f>IF($C114,IFERROR(LOOKUP(2,1/((ISTEXT('Proyecto Datos (OKR´s)'!$K$7:$K114))*(LEN('Proyecto Datos (OKR´s)'!$G$7:$G114)&gt;0)),'Proyecto Datos (OKR´s)'!$G$7:$G114),""),"")</f>
        <v/>
      </c>
      <c r="E114" s="163" t="str">
        <f>IF($C114,'Proyecto Datos (OKR´s)'!$E114,"")</f>
        <v/>
      </c>
      <c r="F114" s="164" t="str">
        <f>IF($C114,'Proyecto Datos (OKR´s)'!$G114,"")</f>
        <v/>
      </c>
      <c r="G114" s="164" t="str">
        <f>IF($C114,IF('Proyecto Datos (OKR´s)'!$I114="","(Sin asignar)",'Proyecto Datos (OKR´s)'!$I114),"")</f>
        <v/>
      </c>
      <c r="H114" s="163" t="str">
        <f>IF($C114,IF(ISNUMBER('Proyecto Datos (OKR´s)'!$F114),'Proyecto Datos (OKR´s)'!$F114,'Proyecto Datos (OKR´s)'!$L114),"")</f>
        <v/>
      </c>
      <c r="I114" s="163" t="str">
        <f>IF($C114,'Proyecto Datos (OKR´s)'!$J114,"")</f>
        <v/>
      </c>
      <c r="J114" s="164" t="str">
        <f ca="1">IF($C114,IF($I114&gt;=1,"Completado",IF($H114&lt;TODAY(),"Vencido",IF(($H114-TODAY())&lt;='Entregas Próximas'!$M$3,"Próximo a vencer","En curso"))),"")</f>
        <v/>
      </c>
      <c r="K114" s="163" t="str">
        <f t="shared" ca="1" si="65"/>
        <v/>
      </c>
      <c r="L114" s="163" t="str">
        <f t="shared" si="66"/>
        <v/>
      </c>
      <c r="M114" s="163" t="str">
        <f t="shared" si="67"/>
        <v/>
      </c>
      <c r="N114" s="163" t="str">
        <f>IF($C114,IF('Proyecto Datos (OKR´s)'!$E114="",9999,'Proyecto Datos (OKR´s)'!$E114),"")</f>
        <v/>
      </c>
      <c r="O114" s="163" t="str">
        <f t="shared" si="68"/>
        <v/>
      </c>
      <c r="R114" s="163" t="str">
        <f>IF($C114,IF(ISNUMBER('Proyecto Datos (OKR´s)'!$L114),'Proyecto Datos (OKR´s)'!$L114,$H114),"")</f>
        <v/>
      </c>
      <c r="S114" s="163" t="str">
        <f>IF($C114,$R114-'Proyecto Datos (OKR´s)'!$K114+1,"")</f>
        <v/>
      </c>
      <c r="T114" s="163" t="str">
        <f ca="1">IF($C114,MAX(0,TODAY()-'Proyecto Datos (OKR´s)'!$K114),"")</f>
        <v/>
      </c>
      <c r="U114" s="163" t="str">
        <f ca="1">IF($C114,MEDIAN(0,(TODAY()-'Proyecto Datos (OKR´s)'!$K114)/MAX(1,$R114-'Proyecto Datos (OKR´s)'!$K114),1),"")</f>
        <v/>
      </c>
      <c r="V114" s="163" t="str">
        <f t="shared" si="69"/>
        <v/>
      </c>
      <c r="W114" s="163" t="str">
        <f t="shared" ca="1" si="70"/>
        <v/>
      </c>
      <c r="X114" s="163" t="str">
        <f t="shared" si="71"/>
        <v/>
      </c>
      <c r="Y114" s="163" t="str">
        <f t="shared" si="72"/>
        <v/>
      </c>
      <c r="Z114" s="163" t="str">
        <f ca="1">IF($C114,AND($I114=0,'Proyecto Datos (OKR´s)'!$K114&lt;=TODAY(),$J114&lt;&gt;"Completado"),"")</f>
        <v/>
      </c>
      <c r="AA114" s="163" t="str">
        <f t="shared" si="73"/>
        <v/>
      </c>
      <c r="AB114" s="164" t="str">
        <f t="shared" si="74"/>
        <v/>
      </c>
      <c r="AC114" s="164" t="str">
        <f t="shared" si="75"/>
        <v/>
      </c>
      <c r="AD114" s="163" t="str">
        <f>IF($C114,IF($N114=9999,9999,IF($J114="Completado",$N114,MAX($N114,Sprints!$M$15))),"")</f>
        <v/>
      </c>
      <c r="AE114" s="163" t="str">
        <f t="shared" si="76"/>
        <v/>
      </c>
      <c r="AF114" s="163" t="b">
        <f t="shared" si="77"/>
        <v>0</v>
      </c>
      <c r="AG114" s="163" t="str">
        <f t="shared" si="78"/>
        <v/>
      </c>
      <c r="AH114" s="164" t="str">
        <f>IF($AF114,IF(Sprints!$I114&lt;&gt;"",Sprints!$I114,"Comprometida y no completada al cierre del Sprint "&amp;$N114),"")</f>
        <v/>
      </c>
      <c r="AI114" s="163" t="str">
        <f t="shared" si="79"/>
        <v/>
      </c>
      <c r="AJ114" s="163" t="str">
        <f t="shared" si="80"/>
        <v/>
      </c>
      <c r="AK114" s="163" t="str">
        <f t="shared" si="81"/>
        <v/>
      </c>
      <c r="AL114" s="163" t="str">
        <f t="shared" si="82"/>
        <v/>
      </c>
      <c r="AM114" s="163" t="str">
        <f t="shared" si="83"/>
        <v/>
      </c>
      <c r="AN114" s="164" t="str">
        <f t="shared" si="84"/>
        <v/>
      </c>
      <c r="AO114" s="163" t="str">
        <f>IF($C114,IFERROR(INDEX(Sprints!$M$6:$M$13,MATCH($N114,Sprints!$K$6:$K$13,0)),""),"")</f>
        <v/>
      </c>
      <c r="AP114" s="163" t="str">
        <f t="shared" ca="1" si="85"/>
        <v/>
      </c>
    </row>
    <row r="115" spans="1:42" x14ac:dyDescent="0.35">
      <c r="A115" s="163">
        <f>ROW()</f>
        <v>115</v>
      </c>
      <c r="B115" s="163" t="b">
        <f>ISTEXT('Proyecto Datos (OKR´s)'!$K115)</f>
        <v>0</v>
      </c>
      <c r="C115" s="163" t="b">
        <f>AND(LEN('Proyecto Datos (OKR´s)'!$G115)&gt;0,NOT($B115),OR(ISNUMBER('Proyecto Datos (OKR´s)'!$F115),ISNUMBER('Proyecto Datos (OKR´s)'!$L115)))</f>
        <v>0</v>
      </c>
      <c r="D115" s="164" t="str">
        <f>IF($C115,IFERROR(LOOKUP(2,1/((ISTEXT('Proyecto Datos (OKR´s)'!$K$7:$K115))*(LEN('Proyecto Datos (OKR´s)'!$G$7:$G115)&gt;0)),'Proyecto Datos (OKR´s)'!$G$7:$G115),""),"")</f>
        <v/>
      </c>
      <c r="E115" s="163" t="str">
        <f>IF($C115,'Proyecto Datos (OKR´s)'!$E115,"")</f>
        <v/>
      </c>
      <c r="F115" s="164" t="str">
        <f>IF($C115,'Proyecto Datos (OKR´s)'!$G115,"")</f>
        <v/>
      </c>
      <c r="G115" s="164" t="str">
        <f>IF($C115,IF('Proyecto Datos (OKR´s)'!$I115="","(Sin asignar)",'Proyecto Datos (OKR´s)'!$I115),"")</f>
        <v/>
      </c>
      <c r="H115" s="163" t="str">
        <f>IF($C115,IF(ISNUMBER('Proyecto Datos (OKR´s)'!$F115),'Proyecto Datos (OKR´s)'!$F115,'Proyecto Datos (OKR´s)'!$L115),"")</f>
        <v/>
      </c>
      <c r="I115" s="163" t="str">
        <f>IF($C115,'Proyecto Datos (OKR´s)'!$J115,"")</f>
        <v/>
      </c>
      <c r="J115" s="164" t="str">
        <f ca="1">IF($C115,IF($I115&gt;=1,"Completado",IF($H115&lt;TODAY(),"Vencido",IF(($H115-TODAY())&lt;='Entregas Próximas'!$M$3,"Próximo a vencer","En curso"))),"")</f>
        <v/>
      </c>
      <c r="K115" s="163" t="str">
        <f t="shared" ca="1" si="65"/>
        <v/>
      </c>
      <c r="L115" s="163" t="str">
        <f t="shared" si="66"/>
        <v/>
      </c>
      <c r="M115" s="163" t="str">
        <f t="shared" si="67"/>
        <v/>
      </c>
      <c r="N115" s="163" t="str">
        <f>IF($C115,IF('Proyecto Datos (OKR´s)'!$E115="",9999,'Proyecto Datos (OKR´s)'!$E115),"")</f>
        <v/>
      </c>
      <c r="O115" s="163" t="str">
        <f t="shared" si="68"/>
        <v/>
      </c>
      <c r="R115" s="163" t="str">
        <f>IF($C115,IF(ISNUMBER('Proyecto Datos (OKR´s)'!$L115),'Proyecto Datos (OKR´s)'!$L115,$H115),"")</f>
        <v/>
      </c>
      <c r="S115" s="163" t="str">
        <f>IF($C115,$R115-'Proyecto Datos (OKR´s)'!$K115+1,"")</f>
        <v/>
      </c>
      <c r="T115" s="163" t="str">
        <f ca="1">IF($C115,MAX(0,TODAY()-'Proyecto Datos (OKR´s)'!$K115),"")</f>
        <v/>
      </c>
      <c r="U115" s="163" t="str">
        <f ca="1">IF($C115,MEDIAN(0,(TODAY()-'Proyecto Datos (OKR´s)'!$K115)/MAX(1,$R115-'Proyecto Datos (OKR´s)'!$K115),1),"")</f>
        <v/>
      </c>
      <c r="V115" s="163" t="str">
        <f t="shared" si="69"/>
        <v/>
      </c>
      <c r="W115" s="163" t="str">
        <f t="shared" ca="1" si="70"/>
        <v/>
      </c>
      <c r="X115" s="163" t="str">
        <f t="shared" si="71"/>
        <v/>
      </c>
      <c r="Y115" s="163" t="str">
        <f t="shared" si="72"/>
        <v/>
      </c>
      <c r="Z115" s="163" t="str">
        <f ca="1">IF($C115,AND($I115=0,'Proyecto Datos (OKR´s)'!$K115&lt;=TODAY(),$J115&lt;&gt;"Completado"),"")</f>
        <v/>
      </c>
      <c r="AA115" s="163" t="str">
        <f t="shared" si="73"/>
        <v/>
      </c>
      <c r="AB115" s="164" t="str">
        <f t="shared" si="74"/>
        <v/>
      </c>
      <c r="AC115" s="164" t="str">
        <f t="shared" si="75"/>
        <v/>
      </c>
      <c r="AD115" s="163" t="str">
        <f>IF($C115,IF($N115=9999,9999,IF($J115="Completado",$N115,MAX($N115,Sprints!$M$15))),"")</f>
        <v/>
      </c>
      <c r="AE115" s="163" t="str">
        <f t="shared" si="76"/>
        <v/>
      </c>
      <c r="AF115" s="163" t="b">
        <f t="shared" si="77"/>
        <v>0</v>
      </c>
      <c r="AG115" s="163" t="str">
        <f t="shared" si="78"/>
        <v/>
      </c>
      <c r="AH115" s="164" t="str">
        <f>IF($AF115,IF(Sprints!$I115&lt;&gt;"",Sprints!$I115,"Comprometida y no completada al cierre del Sprint "&amp;$N115),"")</f>
        <v/>
      </c>
      <c r="AI115" s="163" t="str">
        <f t="shared" si="79"/>
        <v/>
      </c>
      <c r="AJ115" s="163" t="str">
        <f t="shared" si="80"/>
        <v/>
      </c>
      <c r="AK115" s="163" t="str">
        <f t="shared" si="81"/>
        <v/>
      </c>
      <c r="AL115" s="163" t="str">
        <f t="shared" si="82"/>
        <v/>
      </c>
      <c r="AM115" s="163" t="str">
        <f t="shared" si="83"/>
        <v/>
      </c>
      <c r="AN115" s="164" t="str">
        <f t="shared" si="84"/>
        <v/>
      </c>
      <c r="AO115" s="163" t="str">
        <f>IF($C115,IFERROR(INDEX(Sprints!$M$6:$M$13,MATCH($N115,Sprints!$K$6:$K$13,0)),""),"")</f>
        <v/>
      </c>
      <c r="AP115" s="163" t="str">
        <f t="shared" ca="1" si="85"/>
        <v/>
      </c>
    </row>
    <row r="116" spans="1:42" x14ac:dyDescent="0.35">
      <c r="A116" s="163">
        <f>ROW()</f>
        <v>116</v>
      </c>
      <c r="B116" s="163" t="b">
        <f>ISTEXT('Proyecto Datos (OKR´s)'!$K116)</f>
        <v>0</v>
      </c>
      <c r="C116" s="163" t="b">
        <f>AND(LEN('Proyecto Datos (OKR´s)'!$G116)&gt;0,NOT($B116),OR(ISNUMBER('Proyecto Datos (OKR´s)'!$F116),ISNUMBER('Proyecto Datos (OKR´s)'!$L116)))</f>
        <v>0</v>
      </c>
      <c r="D116" s="164" t="str">
        <f>IF($C116,IFERROR(LOOKUP(2,1/((ISTEXT('Proyecto Datos (OKR´s)'!$K$7:$K116))*(LEN('Proyecto Datos (OKR´s)'!$G$7:$G116)&gt;0)),'Proyecto Datos (OKR´s)'!$G$7:$G116),""),"")</f>
        <v/>
      </c>
      <c r="E116" s="163" t="str">
        <f>IF($C116,'Proyecto Datos (OKR´s)'!$E116,"")</f>
        <v/>
      </c>
      <c r="F116" s="164" t="str">
        <f>IF($C116,'Proyecto Datos (OKR´s)'!$G116,"")</f>
        <v/>
      </c>
      <c r="G116" s="164" t="str">
        <f>IF($C116,IF('Proyecto Datos (OKR´s)'!$I116="","(Sin asignar)",'Proyecto Datos (OKR´s)'!$I116),"")</f>
        <v/>
      </c>
      <c r="H116" s="163" t="str">
        <f>IF($C116,IF(ISNUMBER('Proyecto Datos (OKR´s)'!$F116),'Proyecto Datos (OKR´s)'!$F116,'Proyecto Datos (OKR´s)'!$L116),"")</f>
        <v/>
      </c>
      <c r="I116" s="163" t="str">
        <f>IF($C116,'Proyecto Datos (OKR´s)'!$J116,"")</f>
        <v/>
      </c>
      <c r="J116" s="164" t="str">
        <f ca="1">IF($C116,IF($I116&gt;=1,"Completado",IF($H116&lt;TODAY(),"Vencido",IF(($H116-TODAY())&lt;='Entregas Próximas'!$M$3,"Próximo a vencer","En curso"))),"")</f>
        <v/>
      </c>
      <c r="K116" s="163" t="str">
        <f t="shared" ca="1" si="65"/>
        <v/>
      </c>
      <c r="L116" s="163" t="str">
        <f t="shared" si="66"/>
        <v/>
      </c>
      <c r="M116" s="163" t="str">
        <f t="shared" si="67"/>
        <v/>
      </c>
      <c r="N116" s="163" t="str">
        <f>IF($C116,IF('Proyecto Datos (OKR´s)'!$E116="",9999,'Proyecto Datos (OKR´s)'!$E116),"")</f>
        <v/>
      </c>
      <c r="O116" s="163" t="str">
        <f t="shared" si="68"/>
        <v/>
      </c>
      <c r="R116" s="163" t="str">
        <f>IF($C116,IF(ISNUMBER('Proyecto Datos (OKR´s)'!$L116),'Proyecto Datos (OKR´s)'!$L116,$H116),"")</f>
        <v/>
      </c>
      <c r="S116" s="163" t="str">
        <f>IF($C116,$R116-'Proyecto Datos (OKR´s)'!$K116+1,"")</f>
        <v/>
      </c>
      <c r="T116" s="163" t="str">
        <f ca="1">IF($C116,MAX(0,TODAY()-'Proyecto Datos (OKR´s)'!$K116),"")</f>
        <v/>
      </c>
      <c r="U116" s="163" t="str">
        <f ca="1">IF($C116,MEDIAN(0,(TODAY()-'Proyecto Datos (OKR´s)'!$K116)/MAX(1,$R116-'Proyecto Datos (OKR´s)'!$K116),1),"")</f>
        <v/>
      </c>
      <c r="V116" s="163" t="str">
        <f t="shared" si="69"/>
        <v/>
      </c>
      <c r="W116" s="163" t="str">
        <f t="shared" ca="1" si="70"/>
        <v/>
      </c>
      <c r="X116" s="163" t="str">
        <f t="shared" si="71"/>
        <v/>
      </c>
      <c r="Y116" s="163" t="str">
        <f t="shared" si="72"/>
        <v/>
      </c>
      <c r="Z116" s="163" t="str">
        <f ca="1">IF($C116,AND($I116=0,'Proyecto Datos (OKR´s)'!$K116&lt;=TODAY(),$J116&lt;&gt;"Completado"),"")</f>
        <v/>
      </c>
      <c r="AA116" s="163" t="str">
        <f t="shared" si="73"/>
        <v/>
      </c>
      <c r="AB116" s="164" t="str">
        <f t="shared" si="74"/>
        <v/>
      </c>
      <c r="AC116" s="164" t="str">
        <f t="shared" si="75"/>
        <v/>
      </c>
      <c r="AD116" s="163" t="str">
        <f>IF($C116,IF($N116=9999,9999,IF($J116="Completado",$N116,MAX($N116,Sprints!$M$15))),"")</f>
        <v/>
      </c>
      <c r="AE116" s="163" t="str">
        <f t="shared" si="76"/>
        <v/>
      </c>
      <c r="AF116" s="163" t="b">
        <f t="shared" si="77"/>
        <v>0</v>
      </c>
      <c r="AG116" s="163" t="str">
        <f t="shared" si="78"/>
        <v/>
      </c>
      <c r="AH116" s="164" t="str">
        <f>IF($AF116,IF(Sprints!$I116&lt;&gt;"",Sprints!$I116,"Comprometida y no completada al cierre del Sprint "&amp;$N116),"")</f>
        <v/>
      </c>
      <c r="AI116" s="163" t="str">
        <f t="shared" si="79"/>
        <v/>
      </c>
      <c r="AJ116" s="163" t="str">
        <f t="shared" si="80"/>
        <v/>
      </c>
      <c r="AK116" s="163" t="str">
        <f t="shared" si="81"/>
        <v/>
      </c>
      <c r="AL116" s="163" t="str">
        <f t="shared" si="82"/>
        <v/>
      </c>
      <c r="AM116" s="163" t="str">
        <f t="shared" si="83"/>
        <v/>
      </c>
      <c r="AN116" s="164" t="str">
        <f t="shared" si="84"/>
        <v/>
      </c>
      <c r="AO116" s="163" t="str">
        <f>IF($C116,IFERROR(INDEX(Sprints!$M$6:$M$13,MATCH($N116,Sprints!$K$6:$K$13,0)),""),"")</f>
        <v/>
      </c>
      <c r="AP116" s="163" t="str">
        <f t="shared" ca="1" si="85"/>
        <v/>
      </c>
    </row>
    <row r="117" spans="1:42" x14ac:dyDescent="0.35">
      <c r="A117" s="163">
        <f>ROW()</f>
        <v>117</v>
      </c>
      <c r="B117" s="163" t="b">
        <f>ISTEXT('Proyecto Datos (OKR´s)'!$K117)</f>
        <v>0</v>
      </c>
      <c r="C117" s="163" t="b">
        <f>AND(LEN('Proyecto Datos (OKR´s)'!$G117)&gt;0,NOT($B117),OR(ISNUMBER('Proyecto Datos (OKR´s)'!$F117),ISNUMBER('Proyecto Datos (OKR´s)'!$L117)))</f>
        <v>0</v>
      </c>
      <c r="D117" s="164" t="str">
        <f>IF($C117,IFERROR(LOOKUP(2,1/((ISTEXT('Proyecto Datos (OKR´s)'!$K$7:$K117))*(LEN('Proyecto Datos (OKR´s)'!$G$7:$G117)&gt;0)),'Proyecto Datos (OKR´s)'!$G$7:$G117),""),"")</f>
        <v/>
      </c>
      <c r="E117" s="163" t="str">
        <f>IF($C117,'Proyecto Datos (OKR´s)'!$E117,"")</f>
        <v/>
      </c>
      <c r="F117" s="164" t="str">
        <f>IF($C117,'Proyecto Datos (OKR´s)'!$G117,"")</f>
        <v/>
      </c>
      <c r="G117" s="164" t="str">
        <f>IF($C117,IF('Proyecto Datos (OKR´s)'!$I117="","(Sin asignar)",'Proyecto Datos (OKR´s)'!$I117),"")</f>
        <v/>
      </c>
      <c r="H117" s="163" t="str">
        <f>IF($C117,IF(ISNUMBER('Proyecto Datos (OKR´s)'!$F117),'Proyecto Datos (OKR´s)'!$F117,'Proyecto Datos (OKR´s)'!$L117),"")</f>
        <v/>
      </c>
      <c r="I117" s="163" t="str">
        <f>IF($C117,'Proyecto Datos (OKR´s)'!$J117,"")</f>
        <v/>
      </c>
      <c r="J117" s="164" t="str">
        <f ca="1">IF($C117,IF($I117&gt;=1,"Completado",IF($H117&lt;TODAY(),"Vencido",IF(($H117-TODAY())&lt;='Entregas Próximas'!$M$3,"Próximo a vencer","En curso"))),"")</f>
        <v/>
      </c>
      <c r="K117" s="163" t="str">
        <f t="shared" ca="1" si="65"/>
        <v/>
      </c>
      <c r="L117" s="163" t="str">
        <f t="shared" si="66"/>
        <v/>
      </c>
      <c r="M117" s="163" t="str">
        <f t="shared" si="67"/>
        <v/>
      </c>
      <c r="N117" s="163" t="str">
        <f>IF($C117,IF('Proyecto Datos (OKR´s)'!$E117="",9999,'Proyecto Datos (OKR´s)'!$E117),"")</f>
        <v/>
      </c>
      <c r="O117" s="163" t="str">
        <f t="shared" si="68"/>
        <v/>
      </c>
      <c r="R117" s="163" t="str">
        <f>IF($C117,IF(ISNUMBER('Proyecto Datos (OKR´s)'!$L117),'Proyecto Datos (OKR´s)'!$L117,$H117),"")</f>
        <v/>
      </c>
      <c r="S117" s="163" t="str">
        <f>IF($C117,$R117-'Proyecto Datos (OKR´s)'!$K117+1,"")</f>
        <v/>
      </c>
      <c r="T117" s="163" t="str">
        <f ca="1">IF($C117,MAX(0,TODAY()-'Proyecto Datos (OKR´s)'!$K117),"")</f>
        <v/>
      </c>
      <c r="U117" s="163" t="str">
        <f ca="1">IF($C117,MEDIAN(0,(TODAY()-'Proyecto Datos (OKR´s)'!$K117)/MAX(1,$R117-'Proyecto Datos (OKR´s)'!$K117),1),"")</f>
        <v/>
      </c>
      <c r="V117" s="163" t="str">
        <f t="shared" si="69"/>
        <v/>
      </c>
      <c r="W117" s="163" t="str">
        <f t="shared" ca="1" si="70"/>
        <v/>
      </c>
      <c r="X117" s="163" t="str">
        <f t="shared" si="71"/>
        <v/>
      </c>
      <c r="Y117" s="163" t="str">
        <f t="shared" si="72"/>
        <v/>
      </c>
      <c r="Z117" s="163" t="str">
        <f ca="1">IF($C117,AND($I117=0,'Proyecto Datos (OKR´s)'!$K117&lt;=TODAY(),$J117&lt;&gt;"Completado"),"")</f>
        <v/>
      </c>
      <c r="AA117" s="163" t="str">
        <f t="shared" si="73"/>
        <v/>
      </c>
      <c r="AB117" s="164" t="str">
        <f t="shared" si="74"/>
        <v/>
      </c>
      <c r="AC117" s="164" t="str">
        <f t="shared" si="75"/>
        <v/>
      </c>
      <c r="AD117" s="163" t="str">
        <f>IF($C117,IF($N117=9999,9999,IF($J117="Completado",$N117,MAX($N117,Sprints!$M$15))),"")</f>
        <v/>
      </c>
      <c r="AE117" s="163" t="str">
        <f t="shared" si="76"/>
        <v/>
      </c>
      <c r="AF117" s="163" t="b">
        <f t="shared" si="77"/>
        <v>0</v>
      </c>
      <c r="AG117" s="163" t="str">
        <f t="shared" si="78"/>
        <v/>
      </c>
      <c r="AH117" s="164" t="str">
        <f>IF($AF117,IF(Sprints!$I117&lt;&gt;"",Sprints!$I117,"Comprometida y no completada al cierre del Sprint "&amp;$N117),"")</f>
        <v/>
      </c>
      <c r="AI117" s="163" t="str">
        <f t="shared" si="79"/>
        <v/>
      </c>
      <c r="AJ117" s="163" t="str">
        <f t="shared" si="80"/>
        <v/>
      </c>
      <c r="AK117" s="163" t="str">
        <f t="shared" si="81"/>
        <v/>
      </c>
      <c r="AL117" s="163" t="str">
        <f t="shared" si="82"/>
        <v/>
      </c>
      <c r="AM117" s="163" t="str">
        <f t="shared" si="83"/>
        <v/>
      </c>
      <c r="AN117" s="164" t="str">
        <f t="shared" si="84"/>
        <v/>
      </c>
      <c r="AO117" s="163" t="str">
        <f>IF($C117,IFERROR(INDEX(Sprints!$M$6:$M$13,MATCH($N117,Sprints!$K$6:$K$13,0)),""),"")</f>
        <v/>
      </c>
      <c r="AP117" s="163" t="str">
        <f t="shared" ca="1" si="85"/>
        <v/>
      </c>
    </row>
    <row r="118" spans="1:42" x14ac:dyDescent="0.35">
      <c r="A118" s="163">
        <f>ROW()</f>
        <v>118</v>
      </c>
      <c r="B118" s="163" t="b">
        <f>ISTEXT('Proyecto Datos (OKR´s)'!$K118)</f>
        <v>0</v>
      </c>
      <c r="C118" s="163" t="b">
        <f>AND(LEN('Proyecto Datos (OKR´s)'!$G118)&gt;0,NOT($B118),OR(ISNUMBER('Proyecto Datos (OKR´s)'!$F118),ISNUMBER('Proyecto Datos (OKR´s)'!$L118)))</f>
        <v>0</v>
      </c>
      <c r="D118" s="164" t="str">
        <f>IF($C118,IFERROR(LOOKUP(2,1/((ISTEXT('Proyecto Datos (OKR´s)'!$K$7:$K118))*(LEN('Proyecto Datos (OKR´s)'!$G$7:$G118)&gt;0)),'Proyecto Datos (OKR´s)'!$G$7:$G118),""),"")</f>
        <v/>
      </c>
      <c r="E118" s="163" t="str">
        <f>IF($C118,'Proyecto Datos (OKR´s)'!$E118,"")</f>
        <v/>
      </c>
      <c r="F118" s="164" t="str">
        <f>IF($C118,'Proyecto Datos (OKR´s)'!$G118,"")</f>
        <v/>
      </c>
      <c r="G118" s="164" t="str">
        <f>IF($C118,IF('Proyecto Datos (OKR´s)'!$I118="","(Sin asignar)",'Proyecto Datos (OKR´s)'!$I118),"")</f>
        <v/>
      </c>
      <c r="H118" s="163" t="str">
        <f>IF($C118,IF(ISNUMBER('Proyecto Datos (OKR´s)'!$F118),'Proyecto Datos (OKR´s)'!$F118,'Proyecto Datos (OKR´s)'!$L118),"")</f>
        <v/>
      </c>
      <c r="I118" s="163" t="str">
        <f>IF($C118,'Proyecto Datos (OKR´s)'!$J118,"")</f>
        <v/>
      </c>
      <c r="J118" s="164" t="str">
        <f ca="1">IF($C118,IF($I118&gt;=1,"Completado",IF($H118&lt;TODAY(),"Vencido",IF(($H118-TODAY())&lt;='Entregas Próximas'!$M$3,"Próximo a vencer","En curso"))),"")</f>
        <v/>
      </c>
      <c r="K118" s="163" t="str">
        <f t="shared" ca="1" si="65"/>
        <v/>
      </c>
      <c r="L118" s="163" t="str">
        <f t="shared" si="66"/>
        <v/>
      </c>
      <c r="M118" s="163" t="str">
        <f t="shared" si="67"/>
        <v/>
      </c>
      <c r="N118" s="163" t="str">
        <f>IF($C118,IF('Proyecto Datos (OKR´s)'!$E118="",9999,'Proyecto Datos (OKR´s)'!$E118),"")</f>
        <v/>
      </c>
      <c r="O118" s="163" t="str">
        <f t="shared" si="68"/>
        <v/>
      </c>
      <c r="R118" s="163" t="str">
        <f>IF($C118,IF(ISNUMBER('Proyecto Datos (OKR´s)'!$L118),'Proyecto Datos (OKR´s)'!$L118,$H118),"")</f>
        <v/>
      </c>
      <c r="S118" s="163" t="str">
        <f>IF($C118,$R118-'Proyecto Datos (OKR´s)'!$K118+1,"")</f>
        <v/>
      </c>
      <c r="T118" s="163" t="str">
        <f ca="1">IF($C118,MAX(0,TODAY()-'Proyecto Datos (OKR´s)'!$K118),"")</f>
        <v/>
      </c>
      <c r="U118" s="163" t="str">
        <f ca="1">IF($C118,MEDIAN(0,(TODAY()-'Proyecto Datos (OKR´s)'!$K118)/MAX(1,$R118-'Proyecto Datos (OKR´s)'!$K118),1),"")</f>
        <v/>
      </c>
      <c r="V118" s="163" t="str">
        <f t="shared" si="69"/>
        <v/>
      </c>
      <c r="W118" s="163" t="str">
        <f t="shared" ca="1" si="70"/>
        <v/>
      </c>
      <c r="X118" s="163" t="str">
        <f t="shared" si="71"/>
        <v/>
      </c>
      <c r="Y118" s="163" t="str">
        <f t="shared" si="72"/>
        <v/>
      </c>
      <c r="Z118" s="163" t="str">
        <f ca="1">IF($C118,AND($I118=0,'Proyecto Datos (OKR´s)'!$K118&lt;=TODAY(),$J118&lt;&gt;"Completado"),"")</f>
        <v/>
      </c>
      <c r="AA118" s="163" t="str">
        <f t="shared" si="73"/>
        <v/>
      </c>
      <c r="AB118" s="164" t="str">
        <f t="shared" si="74"/>
        <v/>
      </c>
      <c r="AC118" s="164" t="str">
        <f t="shared" si="75"/>
        <v/>
      </c>
      <c r="AD118" s="163" t="str">
        <f>IF($C118,IF($N118=9999,9999,IF($J118="Completado",$N118,MAX($N118,Sprints!$M$15))),"")</f>
        <v/>
      </c>
      <c r="AE118" s="163" t="str">
        <f t="shared" si="76"/>
        <v/>
      </c>
      <c r="AF118" s="163" t="b">
        <f t="shared" si="77"/>
        <v>0</v>
      </c>
      <c r="AG118" s="163" t="str">
        <f t="shared" si="78"/>
        <v/>
      </c>
      <c r="AH118" s="164" t="str">
        <f>IF($AF118,IF(Sprints!$I118&lt;&gt;"",Sprints!$I118,"Comprometida y no completada al cierre del Sprint "&amp;$N118),"")</f>
        <v/>
      </c>
      <c r="AI118" s="163" t="str">
        <f t="shared" si="79"/>
        <v/>
      </c>
      <c r="AJ118" s="163" t="str">
        <f t="shared" si="80"/>
        <v/>
      </c>
      <c r="AK118" s="163" t="str">
        <f t="shared" si="81"/>
        <v/>
      </c>
      <c r="AL118" s="163" t="str">
        <f t="shared" si="82"/>
        <v/>
      </c>
      <c r="AM118" s="163" t="str">
        <f t="shared" si="83"/>
        <v/>
      </c>
      <c r="AN118" s="164" t="str">
        <f t="shared" si="84"/>
        <v/>
      </c>
      <c r="AO118" s="163" t="str">
        <f>IF($C118,IFERROR(INDEX(Sprints!$M$6:$M$13,MATCH($N118,Sprints!$K$6:$K$13,0)),""),"")</f>
        <v/>
      </c>
      <c r="AP118" s="163" t="str">
        <f t="shared" ca="1" si="85"/>
        <v/>
      </c>
    </row>
    <row r="119" spans="1:42" x14ac:dyDescent="0.35">
      <c r="A119" s="163">
        <f>ROW()</f>
        <v>119</v>
      </c>
      <c r="B119" s="163" t="b">
        <f>ISTEXT('Proyecto Datos (OKR´s)'!$K119)</f>
        <v>0</v>
      </c>
      <c r="C119" s="163" t="b">
        <f>AND(LEN('Proyecto Datos (OKR´s)'!$G119)&gt;0,NOT($B119),OR(ISNUMBER('Proyecto Datos (OKR´s)'!$F119),ISNUMBER('Proyecto Datos (OKR´s)'!$L119)))</f>
        <v>0</v>
      </c>
      <c r="D119" s="164" t="str">
        <f>IF($C119,IFERROR(LOOKUP(2,1/((ISTEXT('Proyecto Datos (OKR´s)'!$K$7:$K119))*(LEN('Proyecto Datos (OKR´s)'!$G$7:$G119)&gt;0)),'Proyecto Datos (OKR´s)'!$G$7:$G119),""),"")</f>
        <v/>
      </c>
      <c r="E119" s="163" t="str">
        <f>IF($C119,'Proyecto Datos (OKR´s)'!$E119,"")</f>
        <v/>
      </c>
      <c r="F119" s="164" t="str">
        <f>IF($C119,'Proyecto Datos (OKR´s)'!$G119,"")</f>
        <v/>
      </c>
      <c r="G119" s="164" t="str">
        <f>IF($C119,IF('Proyecto Datos (OKR´s)'!$I119="","(Sin asignar)",'Proyecto Datos (OKR´s)'!$I119),"")</f>
        <v/>
      </c>
      <c r="H119" s="163" t="str">
        <f>IF($C119,IF(ISNUMBER('Proyecto Datos (OKR´s)'!$F119),'Proyecto Datos (OKR´s)'!$F119,'Proyecto Datos (OKR´s)'!$L119),"")</f>
        <v/>
      </c>
      <c r="I119" s="163" t="str">
        <f>IF($C119,'Proyecto Datos (OKR´s)'!$J119,"")</f>
        <v/>
      </c>
      <c r="J119" s="164" t="str">
        <f ca="1">IF($C119,IF($I119&gt;=1,"Completado",IF($H119&lt;TODAY(),"Vencido",IF(($H119-TODAY())&lt;='Entregas Próximas'!$M$3,"Próximo a vencer","En curso"))),"")</f>
        <v/>
      </c>
      <c r="K119" s="163" t="str">
        <f t="shared" ca="1" si="65"/>
        <v/>
      </c>
      <c r="L119" s="163" t="str">
        <f t="shared" si="66"/>
        <v/>
      </c>
      <c r="M119" s="163" t="str">
        <f t="shared" si="67"/>
        <v/>
      </c>
      <c r="N119" s="163" t="str">
        <f>IF($C119,IF('Proyecto Datos (OKR´s)'!$E119="",9999,'Proyecto Datos (OKR´s)'!$E119),"")</f>
        <v/>
      </c>
      <c r="O119" s="163" t="str">
        <f t="shared" si="68"/>
        <v/>
      </c>
      <c r="R119" s="163" t="str">
        <f>IF($C119,IF(ISNUMBER('Proyecto Datos (OKR´s)'!$L119),'Proyecto Datos (OKR´s)'!$L119,$H119),"")</f>
        <v/>
      </c>
      <c r="S119" s="163" t="str">
        <f>IF($C119,$R119-'Proyecto Datos (OKR´s)'!$K119+1,"")</f>
        <v/>
      </c>
      <c r="T119" s="163" t="str">
        <f ca="1">IF($C119,MAX(0,TODAY()-'Proyecto Datos (OKR´s)'!$K119),"")</f>
        <v/>
      </c>
      <c r="U119" s="163" t="str">
        <f ca="1">IF($C119,MEDIAN(0,(TODAY()-'Proyecto Datos (OKR´s)'!$K119)/MAX(1,$R119-'Proyecto Datos (OKR´s)'!$K119),1),"")</f>
        <v/>
      </c>
      <c r="V119" s="163" t="str">
        <f t="shared" si="69"/>
        <v/>
      </c>
      <c r="W119" s="163" t="str">
        <f t="shared" ca="1" si="70"/>
        <v/>
      </c>
      <c r="X119" s="163" t="str">
        <f t="shared" si="71"/>
        <v/>
      </c>
      <c r="Y119" s="163" t="str">
        <f t="shared" si="72"/>
        <v/>
      </c>
      <c r="Z119" s="163" t="str">
        <f ca="1">IF($C119,AND($I119=0,'Proyecto Datos (OKR´s)'!$K119&lt;=TODAY(),$J119&lt;&gt;"Completado"),"")</f>
        <v/>
      </c>
      <c r="AA119" s="163" t="str">
        <f t="shared" si="73"/>
        <v/>
      </c>
      <c r="AB119" s="164" t="str">
        <f t="shared" si="74"/>
        <v/>
      </c>
      <c r="AC119" s="164" t="str">
        <f t="shared" si="75"/>
        <v/>
      </c>
      <c r="AD119" s="163" t="str">
        <f>IF($C119,IF($N119=9999,9999,IF($J119="Completado",$N119,MAX($N119,Sprints!$M$15))),"")</f>
        <v/>
      </c>
      <c r="AE119" s="163" t="str">
        <f t="shared" si="76"/>
        <v/>
      </c>
      <c r="AF119" s="163" t="b">
        <f t="shared" si="77"/>
        <v>0</v>
      </c>
      <c r="AG119" s="163" t="str">
        <f t="shared" si="78"/>
        <v/>
      </c>
      <c r="AH119" s="164" t="str">
        <f>IF($AF119,IF(Sprints!$I119&lt;&gt;"",Sprints!$I119,"Comprometida y no completada al cierre del Sprint "&amp;$N119),"")</f>
        <v/>
      </c>
      <c r="AI119" s="163" t="str">
        <f t="shared" si="79"/>
        <v/>
      </c>
      <c r="AJ119" s="163" t="str">
        <f t="shared" si="80"/>
        <v/>
      </c>
      <c r="AK119" s="163" t="str">
        <f t="shared" si="81"/>
        <v/>
      </c>
      <c r="AL119" s="163" t="str">
        <f t="shared" si="82"/>
        <v/>
      </c>
      <c r="AM119" s="163" t="str">
        <f t="shared" si="83"/>
        <v/>
      </c>
      <c r="AN119" s="164" t="str">
        <f t="shared" si="84"/>
        <v/>
      </c>
      <c r="AO119" s="163" t="str">
        <f>IF($C119,IFERROR(INDEX(Sprints!$M$6:$M$13,MATCH($N119,Sprints!$K$6:$K$13,0)),""),"")</f>
        <v/>
      </c>
      <c r="AP119" s="163" t="str">
        <f t="shared" ca="1" si="85"/>
        <v/>
      </c>
    </row>
    <row r="120" spans="1:42" x14ac:dyDescent="0.35">
      <c r="A120" s="163">
        <f>ROW()</f>
        <v>120</v>
      </c>
      <c r="B120" s="163" t="b">
        <f>ISTEXT('Proyecto Datos (OKR´s)'!$K120)</f>
        <v>0</v>
      </c>
      <c r="C120" s="163" t="b">
        <f>AND(LEN('Proyecto Datos (OKR´s)'!$G120)&gt;0,NOT($B120),OR(ISNUMBER('Proyecto Datos (OKR´s)'!$F120),ISNUMBER('Proyecto Datos (OKR´s)'!$L120)))</f>
        <v>0</v>
      </c>
      <c r="D120" s="164" t="str">
        <f>IF($C120,IFERROR(LOOKUP(2,1/((ISTEXT('Proyecto Datos (OKR´s)'!$K$7:$K120))*(LEN('Proyecto Datos (OKR´s)'!$G$7:$G120)&gt;0)),'Proyecto Datos (OKR´s)'!$G$7:$G120),""),"")</f>
        <v/>
      </c>
      <c r="E120" s="163" t="str">
        <f>IF($C120,'Proyecto Datos (OKR´s)'!$E120,"")</f>
        <v/>
      </c>
      <c r="F120" s="164" t="str">
        <f>IF($C120,'Proyecto Datos (OKR´s)'!$G120,"")</f>
        <v/>
      </c>
      <c r="G120" s="164" t="str">
        <f>IF($C120,IF('Proyecto Datos (OKR´s)'!$I120="","(Sin asignar)",'Proyecto Datos (OKR´s)'!$I120),"")</f>
        <v/>
      </c>
      <c r="H120" s="163" t="str">
        <f>IF($C120,IF(ISNUMBER('Proyecto Datos (OKR´s)'!$F120),'Proyecto Datos (OKR´s)'!$F120,'Proyecto Datos (OKR´s)'!$L120),"")</f>
        <v/>
      </c>
      <c r="I120" s="163" t="str">
        <f>IF($C120,'Proyecto Datos (OKR´s)'!$J120,"")</f>
        <v/>
      </c>
      <c r="J120" s="164" t="str">
        <f ca="1">IF($C120,IF($I120&gt;=1,"Completado",IF($H120&lt;TODAY(),"Vencido",IF(($H120-TODAY())&lt;='Entregas Próximas'!$M$3,"Próximo a vencer","En curso"))),"")</f>
        <v/>
      </c>
      <c r="K120" s="163" t="str">
        <f t="shared" ca="1" si="65"/>
        <v/>
      </c>
      <c r="L120" s="163" t="str">
        <f t="shared" si="66"/>
        <v/>
      </c>
      <c r="M120" s="163" t="str">
        <f t="shared" si="67"/>
        <v/>
      </c>
      <c r="N120" s="163" t="str">
        <f>IF($C120,IF('Proyecto Datos (OKR´s)'!$E120="",9999,'Proyecto Datos (OKR´s)'!$E120),"")</f>
        <v/>
      </c>
      <c r="O120" s="163" t="str">
        <f t="shared" si="68"/>
        <v/>
      </c>
      <c r="R120" s="163" t="str">
        <f>IF($C120,IF(ISNUMBER('Proyecto Datos (OKR´s)'!$L120),'Proyecto Datos (OKR´s)'!$L120,$H120),"")</f>
        <v/>
      </c>
      <c r="S120" s="163" t="str">
        <f>IF($C120,$R120-'Proyecto Datos (OKR´s)'!$K120+1,"")</f>
        <v/>
      </c>
      <c r="T120" s="163" t="str">
        <f ca="1">IF($C120,MAX(0,TODAY()-'Proyecto Datos (OKR´s)'!$K120),"")</f>
        <v/>
      </c>
      <c r="U120" s="163" t="str">
        <f ca="1">IF($C120,MEDIAN(0,(TODAY()-'Proyecto Datos (OKR´s)'!$K120)/MAX(1,$R120-'Proyecto Datos (OKR´s)'!$K120),1),"")</f>
        <v/>
      </c>
      <c r="V120" s="163" t="str">
        <f t="shared" si="69"/>
        <v/>
      </c>
      <c r="W120" s="163" t="str">
        <f t="shared" ca="1" si="70"/>
        <v/>
      </c>
      <c r="X120" s="163" t="str">
        <f t="shared" si="71"/>
        <v/>
      </c>
      <c r="Y120" s="163" t="str">
        <f t="shared" si="72"/>
        <v/>
      </c>
      <c r="Z120" s="163" t="str">
        <f ca="1">IF($C120,AND($I120=0,'Proyecto Datos (OKR´s)'!$K120&lt;=TODAY(),$J120&lt;&gt;"Completado"),"")</f>
        <v/>
      </c>
      <c r="AA120" s="163" t="str">
        <f t="shared" si="73"/>
        <v/>
      </c>
      <c r="AB120" s="164" t="str">
        <f t="shared" si="74"/>
        <v/>
      </c>
      <c r="AC120" s="164" t="str">
        <f t="shared" si="75"/>
        <v/>
      </c>
      <c r="AD120" s="163" t="str">
        <f>IF($C120,IF($N120=9999,9999,IF($J120="Completado",$N120,MAX($N120,Sprints!$M$15))),"")</f>
        <v/>
      </c>
      <c r="AE120" s="163" t="str">
        <f t="shared" si="76"/>
        <v/>
      </c>
      <c r="AF120" s="163" t="b">
        <f t="shared" si="77"/>
        <v>0</v>
      </c>
      <c r="AG120" s="163" t="str">
        <f t="shared" si="78"/>
        <v/>
      </c>
      <c r="AH120" s="164" t="str">
        <f>IF($AF120,IF(Sprints!$I120&lt;&gt;"",Sprints!$I120,"Comprometida y no completada al cierre del Sprint "&amp;$N120),"")</f>
        <v/>
      </c>
      <c r="AI120" s="163" t="str">
        <f t="shared" si="79"/>
        <v/>
      </c>
      <c r="AJ120" s="163" t="str">
        <f t="shared" si="80"/>
        <v/>
      </c>
      <c r="AK120" s="163" t="str">
        <f t="shared" si="81"/>
        <v/>
      </c>
      <c r="AL120" s="163" t="str">
        <f t="shared" si="82"/>
        <v/>
      </c>
      <c r="AM120" s="163" t="str">
        <f t="shared" si="83"/>
        <v/>
      </c>
      <c r="AN120" s="164" t="str">
        <f t="shared" si="84"/>
        <v/>
      </c>
      <c r="AO120" s="163" t="str">
        <f>IF($C120,IFERROR(INDEX(Sprints!$M$6:$M$13,MATCH($N120,Sprints!$K$6:$K$13,0)),""),"")</f>
        <v/>
      </c>
      <c r="AP120" s="163" t="str">
        <f t="shared" ca="1" si="85"/>
        <v/>
      </c>
    </row>
    <row r="121" spans="1:42" x14ac:dyDescent="0.35">
      <c r="A121" s="163">
        <f>ROW()</f>
        <v>121</v>
      </c>
      <c r="B121" s="163" t="b">
        <f>ISTEXT('Proyecto Datos (OKR´s)'!$K121)</f>
        <v>0</v>
      </c>
      <c r="C121" s="163" t="b">
        <f>AND(LEN('Proyecto Datos (OKR´s)'!$G121)&gt;0,NOT($B121),OR(ISNUMBER('Proyecto Datos (OKR´s)'!$F121),ISNUMBER('Proyecto Datos (OKR´s)'!$L121)))</f>
        <v>0</v>
      </c>
      <c r="D121" s="164" t="str">
        <f>IF($C121,IFERROR(LOOKUP(2,1/((ISTEXT('Proyecto Datos (OKR´s)'!$K$7:$K121))*(LEN('Proyecto Datos (OKR´s)'!$G$7:$G121)&gt;0)),'Proyecto Datos (OKR´s)'!$G$7:$G121),""),"")</f>
        <v/>
      </c>
      <c r="E121" s="163" t="str">
        <f>IF($C121,'Proyecto Datos (OKR´s)'!$E121,"")</f>
        <v/>
      </c>
      <c r="F121" s="164" t="str">
        <f>IF($C121,'Proyecto Datos (OKR´s)'!$G121,"")</f>
        <v/>
      </c>
      <c r="G121" s="164" t="str">
        <f>IF($C121,IF('Proyecto Datos (OKR´s)'!$I121="","(Sin asignar)",'Proyecto Datos (OKR´s)'!$I121),"")</f>
        <v/>
      </c>
      <c r="H121" s="163" t="str">
        <f>IF($C121,IF(ISNUMBER('Proyecto Datos (OKR´s)'!$F121),'Proyecto Datos (OKR´s)'!$F121,'Proyecto Datos (OKR´s)'!$L121),"")</f>
        <v/>
      </c>
      <c r="I121" s="163" t="str">
        <f>IF($C121,'Proyecto Datos (OKR´s)'!$J121,"")</f>
        <v/>
      </c>
      <c r="J121" s="164" t="str">
        <f ca="1">IF($C121,IF($I121&gt;=1,"Completado",IF($H121&lt;TODAY(),"Vencido",IF(($H121-TODAY())&lt;='Entregas Próximas'!$M$3,"Próximo a vencer","En curso"))),"")</f>
        <v/>
      </c>
      <c r="K121" s="163" t="str">
        <f t="shared" ca="1" si="65"/>
        <v/>
      </c>
      <c r="L121" s="163" t="str">
        <f t="shared" si="66"/>
        <v/>
      </c>
      <c r="M121" s="163" t="str">
        <f t="shared" si="67"/>
        <v/>
      </c>
      <c r="N121" s="163" t="str">
        <f>IF($C121,IF('Proyecto Datos (OKR´s)'!$E121="",9999,'Proyecto Datos (OKR´s)'!$E121),"")</f>
        <v/>
      </c>
      <c r="O121" s="163" t="str">
        <f t="shared" si="68"/>
        <v/>
      </c>
      <c r="R121" s="163" t="str">
        <f>IF($C121,IF(ISNUMBER('Proyecto Datos (OKR´s)'!$L121),'Proyecto Datos (OKR´s)'!$L121,$H121),"")</f>
        <v/>
      </c>
      <c r="S121" s="163" t="str">
        <f>IF($C121,$R121-'Proyecto Datos (OKR´s)'!$K121+1,"")</f>
        <v/>
      </c>
      <c r="T121" s="163" t="str">
        <f ca="1">IF($C121,MAX(0,TODAY()-'Proyecto Datos (OKR´s)'!$K121),"")</f>
        <v/>
      </c>
      <c r="U121" s="163" t="str">
        <f ca="1">IF($C121,MEDIAN(0,(TODAY()-'Proyecto Datos (OKR´s)'!$K121)/MAX(1,$R121-'Proyecto Datos (OKR´s)'!$K121),1),"")</f>
        <v/>
      </c>
      <c r="V121" s="163" t="str">
        <f t="shared" si="69"/>
        <v/>
      </c>
      <c r="W121" s="163" t="str">
        <f t="shared" ca="1" si="70"/>
        <v/>
      </c>
      <c r="X121" s="163" t="str">
        <f t="shared" si="71"/>
        <v/>
      </c>
      <c r="Y121" s="163" t="str">
        <f t="shared" si="72"/>
        <v/>
      </c>
      <c r="Z121" s="163" t="str">
        <f ca="1">IF($C121,AND($I121=0,'Proyecto Datos (OKR´s)'!$K121&lt;=TODAY(),$J121&lt;&gt;"Completado"),"")</f>
        <v/>
      </c>
      <c r="AA121" s="163" t="str">
        <f t="shared" si="73"/>
        <v/>
      </c>
      <c r="AB121" s="164" t="str">
        <f t="shared" si="74"/>
        <v/>
      </c>
      <c r="AC121" s="164" t="str">
        <f t="shared" si="75"/>
        <v/>
      </c>
      <c r="AD121" s="163" t="str">
        <f>IF($C121,IF($N121=9999,9999,IF($J121="Completado",$N121,MAX($N121,Sprints!$M$15))),"")</f>
        <v/>
      </c>
      <c r="AE121" s="163" t="str">
        <f t="shared" si="76"/>
        <v/>
      </c>
      <c r="AF121" s="163" t="b">
        <f t="shared" si="77"/>
        <v>0</v>
      </c>
      <c r="AG121" s="163" t="str">
        <f t="shared" si="78"/>
        <v/>
      </c>
      <c r="AH121" s="164" t="str">
        <f>IF($AF121,IF(Sprints!$I121&lt;&gt;"",Sprints!$I121,"Comprometida y no completada al cierre del Sprint "&amp;$N121),"")</f>
        <v/>
      </c>
      <c r="AI121" s="163" t="str">
        <f t="shared" si="79"/>
        <v/>
      </c>
      <c r="AJ121" s="163" t="str">
        <f t="shared" si="80"/>
        <v/>
      </c>
      <c r="AK121" s="163" t="str">
        <f t="shared" si="81"/>
        <v/>
      </c>
      <c r="AL121" s="163" t="str">
        <f t="shared" si="82"/>
        <v/>
      </c>
      <c r="AM121" s="163" t="str">
        <f t="shared" si="83"/>
        <v/>
      </c>
      <c r="AN121" s="164" t="str">
        <f t="shared" si="84"/>
        <v/>
      </c>
      <c r="AO121" s="163" t="str">
        <f>IF($C121,IFERROR(INDEX(Sprints!$M$6:$M$13,MATCH($N121,Sprints!$K$6:$K$13,0)),""),"")</f>
        <v/>
      </c>
      <c r="AP121" s="163" t="str">
        <f t="shared" ca="1" si="85"/>
        <v/>
      </c>
    </row>
    <row r="122" spans="1:42" x14ac:dyDescent="0.35">
      <c r="A122" s="163">
        <f>ROW()</f>
        <v>122</v>
      </c>
      <c r="B122" s="163" t="b">
        <f>ISTEXT('Proyecto Datos (OKR´s)'!$K122)</f>
        <v>0</v>
      </c>
      <c r="C122" s="163" t="b">
        <f>AND(LEN('Proyecto Datos (OKR´s)'!$G122)&gt;0,NOT($B122),OR(ISNUMBER('Proyecto Datos (OKR´s)'!$F122),ISNUMBER('Proyecto Datos (OKR´s)'!$L122)))</f>
        <v>0</v>
      </c>
      <c r="D122" s="164" t="str">
        <f>IF($C122,IFERROR(LOOKUP(2,1/((ISTEXT('Proyecto Datos (OKR´s)'!$K$7:$K122))*(LEN('Proyecto Datos (OKR´s)'!$G$7:$G122)&gt;0)),'Proyecto Datos (OKR´s)'!$G$7:$G122),""),"")</f>
        <v/>
      </c>
      <c r="E122" s="163" t="str">
        <f>IF($C122,'Proyecto Datos (OKR´s)'!$E122,"")</f>
        <v/>
      </c>
      <c r="F122" s="164" t="str">
        <f>IF($C122,'Proyecto Datos (OKR´s)'!$G122,"")</f>
        <v/>
      </c>
      <c r="G122" s="164" t="str">
        <f>IF($C122,IF('Proyecto Datos (OKR´s)'!$I122="","(Sin asignar)",'Proyecto Datos (OKR´s)'!$I122),"")</f>
        <v/>
      </c>
      <c r="H122" s="163" t="str">
        <f>IF($C122,IF(ISNUMBER('Proyecto Datos (OKR´s)'!$F122),'Proyecto Datos (OKR´s)'!$F122,'Proyecto Datos (OKR´s)'!$L122),"")</f>
        <v/>
      </c>
      <c r="I122" s="163" t="str">
        <f>IF($C122,'Proyecto Datos (OKR´s)'!$J122,"")</f>
        <v/>
      </c>
      <c r="J122" s="164" t="str">
        <f ca="1">IF($C122,IF($I122&gt;=1,"Completado",IF($H122&lt;TODAY(),"Vencido",IF(($H122-TODAY())&lt;='Entregas Próximas'!$M$3,"Próximo a vencer","En curso"))),"")</f>
        <v/>
      </c>
      <c r="K122" s="163" t="str">
        <f t="shared" ca="1" si="65"/>
        <v/>
      </c>
      <c r="L122" s="163" t="str">
        <f t="shared" si="66"/>
        <v/>
      </c>
      <c r="M122" s="163" t="str">
        <f t="shared" si="67"/>
        <v/>
      </c>
      <c r="N122" s="163" t="str">
        <f>IF($C122,IF('Proyecto Datos (OKR´s)'!$E122="",9999,'Proyecto Datos (OKR´s)'!$E122),"")</f>
        <v/>
      </c>
      <c r="O122" s="163" t="str">
        <f t="shared" si="68"/>
        <v/>
      </c>
      <c r="R122" s="163" t="str">
        <f>IF($C122,IF(ISNUMBER('Proyecto Datos (OKR´s)'!$L122),'Proyecto Datos (OKR´s)'!$L122,$H122),"")</f>
        <v/>
      </c>
      <c r="S122" s="163" t="str">
        <f>IF($C122,$R122-'Proyecto Datos (OKR´s)'!$K122+1,"")</f>
        <v/>
      </c>
      <c r="T122" s="163" t="str">
        <f ca="1">IF($C122,MAX(0,TODAY()-'Proyecto Datos (OKR´s)'!$K122),"")</f>
        <v/>
      </c>
      <c r="U122" s="163" t="str">
        <f ca="1">IF($C122,MEDIAN(0,(TODAY()-'Proyecto Datos (OKR´s)'!$K122)/MAX(1,$R122-'Proyecto Datos (OKR´s)'!$K122),1),"")</f>
        <v/>
      </c>
      <c r="V122" s="163" t="str">
        <f t="shared" si="69"/>
        <v/>
      </c>
      <c r="W122" s="163" t="str">
        <f t="shared" ca="1" si="70"/>
        <v/>
      </c>
      <c r="X122" s="163" t="str">
        <f t="shared" si="71"/>
        <v/>
      </c>
      <c r="Y122" s="163" t="str">
        <f t="shared" si="72"/>
        <v/>
      </c>
      <c r="Z122" s="163" t="str">
        <f ca="1">IF($C122,AND($I122=0,'Proyecto Datos (OKR´s)'!$K122&lt;=TODAY(),$J122&lt;&gt;"Completado"),"")</f>
        <v/>
      </c>
      <c r="AA122" s="163" t="str">
        <f t="shared" si="73"/>
        <v/>
      </c>
      <c r="AB122" s="164" t="str">
        <f t="shared" si="74"/>
        <v/>
      </c>
      <c r="AC122" s="164" t="str">
        <f t="shared" si="75"/>
        <v/>
      </c>
      <c r="AD122" s="163" t="str">
        <f>IF($C122,IF($N122=9999,9999,IF($J122="Completado",$N122,MAX($N122,Sprints!$M$15))),"")</f>
        <v/>
      </c>
      <c r="AE122" s="163" t="str">
        <f t="shared" si="76"/>
        <v/>
      </c>
      <c r="AF122" s="163" t="b">
        <f t="shared" si="77"/>
        <v>0</v>
      </c>
      <c r="AG122" s="163" t="str">
        <f t="shared" si="78"/>
        <v/>
      </c>
      <c r="AH122" s="164" t="str">
        <f>IF($AF122,IF(Sprints!$I122&lt;&gt;"",Sprints!$I122,"Comprometida y no completada al cierre del Sprint "&amp;$N122),"")</f>
        <v/>
      </c>
      <c r="AI122" s="163" t="str">
        <f t="shared" si="79"/>
        <v/>
      </c>
      <c r="AJ122" s="163" t="str">
        <f t="shared" si="80"/>
        <v/>
      </c>
      <c r="AK122" s="163" t="str">
        <f t="shared" si="81"/>
        <v/>
      </c>
      <c r="AL122" s="163" t="str">
        <f t="shared" si="82"/>
        <v/>
      </c>
      <c r="AM122" s="163" t="str">
        <f t="shared" si="83"/>
        <v/>
      </c>
      <c r="AN122" s="164" t="str">
        <f t="shared" si="84"/>
        <v/>
      </c>
      <c r="AO122" s="163" t="str">
        <f>IF($C122,IFERROR(INDEX(Sprints!$M$6:$M$13,MATCH($N122,Sprints!$K$6:$K$13,0)),""),"")</f>
        <v/>
      </c>
      <c r="AP122" s="163" t="str">
        <f t="shared" ca="1" si="85"/>
        <v/>
      </c>
    </row>
    <row r="123" spans="1:42" x14ac:dyDescent="0.35">
      <c r="A123" s="163">
        <f>ROW()</f>
        <v>123</v>
      </c>
      <c r="B123" s="163" t="b">
        <f>ISTEXT('Proyecto Datos (OKR´s)'!$K123)</f>
        <v>0</v>
      </c>
      <c r="C123" s="163" t="b">
        <f>AND(LEN('Proyecto Datos (OKR´s)'!$G123)&gt;0,NOT($B123),OR(ISNUMBER('Proyecto Datos (OKR´s)'!$F123),ISNUMBER('Proyecto Datos (OKR´s)'!$L123)))</f>
        <v>0</v>
      </c>
      <c r="D123" s="164" t="str">
        <f>IF($C123,IFERROR(LOOKUP(2,1/((ISTEXT('Proyecto Datos (OKR´s)'!$K$7:$K123))*(LEN('Proyecto Datos (OKR´s)'!$G$7:$G123)&gt;0)),'Proyecto Datos (OKR´s)'!$G$7:$G123),""),"")</f>
        <v/>
      </c>
      <c r="E123" s="163" t="str">
        <f>IF($C123,'Proyecto Datos (OKR´s)'!$E123,"")</f>
        <v/>
      </c>
      <c r="F123" s="164" t="str">
        <f>IF($C123,'Proyecto Datos (OKR´s)'!$G123,"")</f>
        <v/>
      </c>
      <c r="G123" s="164" t="str">
        <f>IF($C123,IF('Proyecto Datos (OKR´s)'!$I123="","(Sin asignar)",'Proyecto Datos (OKR´s)'!$I123),"")</f>
        <v/>
      </c>
      <c r="H123" s="163" t="str">
        <f>IF($C123,IF(ISNUMBER('Proyecto Datos (OKR´s)'!$F123),'Proyecto Datos (OKR´s)'!$F123,'Proyecto Datos (OKR´s)'!$L123),"")</f>
        <v/>
      </c>
      <c r="I123" s="163" t="str">
        <f>IF($C123,'Proyecto Datos (OKR´s)'!$J123,"")</f>
        <v/>
      </c>
      <c r="J123" s="164" t="str">
        <f ca="1">IF($C123,IF($I123&gt;=1,"Completado",IF($H123&lt;TODAY(),"Vencido",IF(($H123-TODAY())&lt;='Entregas Próximas'!$M$3,"Próximo a vencer","En curso"))),"")</f>
        <v/>
      </c>
      <c r="K123" s="163" t="str">
        <f t="shared" ca="1" si="65"/>
        <v/>
      </c>
      <c r="L123" s="163" t="str">
        <f t="shared" si="66"/>
        <v/>
      </c>
      <c r="M123" s="163" t="str">
        <f t="shared" si="67"/>
        <v/>
      </c>
      <c r="N123" s="163" t="str">
        <f>IF($C123,IF('Proyecto Datos (OKR´s)'!$E123="",9999,'Proyecto Datos (OKR´s)'!$E123),"")</f>
        <v/>
      </c>
      <c r="O123" s="163" t="str">
        <f t="shared" si="68"/>
        <v/>
      </c>
      <c r="R123" s="163" t="str">
        <f>IF($C123,IF(ISNUMBER('Proyecto Datos (OKR´s)'!$L123),'Proyecto Datos (OKR´s)'!$L123,$H123),"")</f>
        <v/>
      </c>
      <c r="S123" s="163" t="str">
        <f>IF($C123,$R123-'Proyecto Datos (OKR´s)'!$K123+1,"")</f>
        <v/>
      </c>
      <c r="T123" s="163" t="str">
        <f ca="1">IF($C123,MAX(0,TODAY()-'Proyecto Datos (OKR´s)'!$K123),"")</f>
        <v/>
      </c>
      <c r="U123" s="163" t="str">
        <f ca="1">IF($C123,MEDIAN(0,(TODAY()-'Proyecto Datos (OKR´s)'!$K123)/MAX(1,$R123-'Proyecto Datos (OKR´s)'!$K123),1),"")</f>
        <v/>
      </c>
      <c r="V123" s="163" t="str">
        <f t="shared" si="69"/>
        <v/>
      </c>
      <c r="W123" s="163" t="str">
        <f t="shared" ca="1" si="70"/>
        <v/>
      </c>
      <c r="X123" s="163" t="str">
        <f t="shared" si="71"/>
        <v/>
      </c>
      <c r="Y123" s="163" t="str">
        <f t="shared" si="72"/>
        <v/>
      </c>
      <c r="Z123" s="163" t="str">
        <f ca="1">IF($C123,AND($I123=0,'Proyecto Datos (OKR´s)'!$K123&lt;=TODAY(),$J123&lt;&gt;"Completado"),"")</f>
        <v/>
      </c>
      <c r="AA123" s="163" t="str">
        <f t="shared" si="73"/>
        <v/>
      </c>
      <c r="AB123" s="164" t="str">
        <f t="shared" si="74"/>
        <v/>
      </c>
      <c r="AC123" s="164" t="str">
        <f t="shared" si="75"/>
        <v/>
      </c>
      <c r="AD123" s="163" t="str">
        <f>IF($C123,IF($N123=9999,9999,IF($J123="Completado",$N123,MAX($N123,Sprints!$M$15))),"")</f>
        <v/>
      </c>
      <c r="AE123" s="163" t="str">
        <f t="shared" si="76"/>
        <v/>
      </c>
      <c r="AF123" s="163" t="b">
        <f t="shared" si="77"/>
        <v>0</v>
      </c>
      <c r="AG123" s="163" t="str">
        <f t="shared" si="78"/>
        <v/>
      </c>
      <c r="AH123" s="164" t="str">
        <f>IF($AF123,IF(Sprints!$I123&lt;&gt;"",Sprints!$I123,"Comprometida y no completada al cierre del Sprint "&amp;$N123),"")</f>
        <v/>
      </c>
      <c r="AI123" s="163" t="str">
        <f t="shared" si="79"/>
        <v/>
      </c>
      <c r="AJ123" s="163" t="str">
        <f t="shared" si="80"/>
        <v/>
      </c>
      <c r="AK123" s="163" t="str">
        <f t="shared" si="81"/>
        <v/>
      </c>
      <c r="AL123" s="163" t="str">
        <f t="shared" si="82"/>
        <v/>
      </c>
      <c r="AM123" s="163" t="str">
        <f t="shared" si="83"/>
        <v/>
      </c>
      <c r="AN123" s="164" t="str">
        <f t="shared" si="84"/>
        <v/>
      </c>
      <c r="AO123" s="163" t="str">
        <f>IF($C123,IFERROR(INDEX(Sprints!$M$6:$M$13,MATCH($N123,Sprints!$K$6:$K$13,0)),""),"")</f>
        <v/>
      </c>
      <c r="AP123" s="163" t="str">
        <f t="shared" ca="1" si="85"/>
        <v/>
      </c>
    </row>
    <row r="124" spans="1:42" x14ac:dyDescent="0.35">
      <c r="A124" s="163">
        <f>ROW()</f>
        <v>124</v>
      </c>
      <c r="B124" s="163" t="b">
        <f>ISTEXT('Proyecto Datos (OKR´s)'!$K124)</f>
        <v>0</v>
      </c>
      <c r="C124" s="163" t="b">
        <f>AND(LEN('Proyecto Datos (OKR´s)'!$G124)&gt;0,NOT($B124),OR(ISNUMBER('Proyecto Datos (OKR´s)'!$F124),ISNUMBER('Proyecto Datos (OKR´s)'!$L124)))</f>
        <v>0</v>
      </c>
      <c r="D124" s="164" t="str">
        <f>IF($C124,IFERROR(LOOKUP(2,1/((ISTEXT('Proyecto Datos (OKR´s)'!$K$7:$K124))*(LEN('Proyecto Datos (OKR´s)'!$G$7:$G124)&gt;0)),'Proyecto Datos (OKR´s)'!$G$7:$G124),""),"")</f>
        <v/>
      </c>
      <c r="E124" s="163" t="str">
        <f>IF($C124,'Proyecto Datos (OKR´s)'!$E124,"")</f>
        <v/>
      </c>
      <c r="F124" s="164" t="str">
        <f>IF($C124,'Proyecto Datos (OKR´s)'!$G124,"")</f>
        <v/>
      </c>
      <c r="G124" s="164" t="str">
        <f>IF($C124,IF('Proyecto Datos (OKR´s)'!$I124="","(Sin asignar)",'Proyecto Datos (OKR´s)'!$I124),"")</f>
        <v/>
      </c>
      <c r="H124" s="163" t="str">
        <f>IF($C124,IF(ISNUMBER('Proyecto Datos (OKR´s)'!$F124),'Proyecto Datos (OKR´s)'!$F124,'Proyecto Datos (OKR´s)'!$L124),"")</f>
        <v/>
      </c>
      <c r="I124" s="163" t="str">
        <f>IF($C124,'Proyecto Datos (OKR´s)'!$J124,"")</f>
        <v/>
      </c>
      <c r="J124" s="164" t="str">
        <f ca="1">IF($C124,IF($I124&gt;=1,"Completado",IF($H124&lt;TODAY(),"Vencido",IF(($H124-TODAY())&lt;='Entregas Próximas'!$M$3,"Próximo a vencer","En curso"))),"")</f>
        <v/>
      </c>
      <c r="K124" s="163" t="str">
        <f t="shared" ca="1" si="65"/>
        <v/>
      </c>
      <c r="L124" s="163" t="str">
        <f t="shared" si="66"/>
        <v/>
      </c>
      <c r="M124" s="163" t="str">
        <f t="shared" si="67"/>
        <v/>
      </c>
      <c r="N124" s="163" t="str">
        <f>IF($C124,IF('Proyecto Datos (OKR´s)'!$E124="",9999,'Proyecto Datos (OKR´s)'!$E124),"")</f>
        <v/>
      </c>
      <c r="O124" s="163" t="str">
        <f t="shared" si="68"/>
        <v/>
      </c>
      <c r="R124" s="163" t="str">
        <f>IF($C124,IF(ISNUMBER('Proyecto Datos (OKR´s)'!$L124),'Proyecto Datos (OKR´s)'!$L124,$H124),"")</f>
        <v/>
      </c>
      <c r="S124" s="163" t="str">
        <f>IF($C124,$R124-'Proyecto Datos (OKR´s)'!$K124+1,"")</f>
        <v/>
      </c>
      <c r="T124" s="163" t="str">
        <f ca="1">IF($C124,MAX(0,TODAY()-'Proyecto Datos (OKR´s)'!$K124),"")</f>
        <v/>
      </c>
      <c r="U124" s="163" t="str">
        <f ca="1">IF($C124,MEDIAN(0,(TODAY()-'Proyecto Datos (OKR´s)'!$K124)/MAX(1,$R124-'Proyecto Datos (OKR´s)'!$K124),1),"")</f>
        <v/>
      </c>
      <c r="V124" s="163" t="str">
        <f t="shared" si="69"/>
        <v/>
      </c>
      <c r="W124" s="163" t="str">
        <f t="shared" ca="1" si="70"/>
        <v/>
      </c>
      <c r="X124" s="163" t="str">
        <f t="shared" si="71"/>
        <v/>
      </c>
      <c r="Y124" s="163" t="str">
        <f t="shared" si="72"/>
        <v/>
      </c>
      <c r="Z124" s="163" t="str">
        <f ca="1">IF($C124,AND($I124=0,'Proyecto Datos (OKR´s)'!$K124&lt;=TODAY(),$J124&lt;&gt;"Completado"),"")</f>
        <v/>
      </c>
      <c r="AA124" s="163" t="str">
        <f t="shared" si="73"/>
        <v/>
      </c>
      <c r="AB124" s="164" t="str">
        <f t="shared" si="74"/>
        <v/>
      </c>
      <c r="AC124" s="164" t="str">
        <f t="shared" si="75"/>
        <v/>
      </c>
      <c r="AD124" s="163" t="str">
        <f>IF($C124,IF($N124=9999,9999,IF($J124="Completado",$N124,MAX($N124,Sprints!$M$15))),"")</f>
        <v/>
      </c>
      <c r="AE124" s="163" t="str">
        <f t="shared" si="76"/>
        <v/>
      </c>
      <c r="AF124" s="163" t="b">
        <f t="shared" si="77"/>
        <v>0</v>
      </c>
      <c r="AG124" s="163" t="str">
        <f t="shared" si="78"/>
        <v/>
      </c>
      <c r="AH124" s="164" t="str">
        <f>IF($AF124,IF(Sprints!$I124&lt;&gt;"",Sprints!$I124,"Comprometida y no completada al cierre del Sprint "&amp;$N124),"")</f>
        <v/>
      </c>
      <c r="AI124" s="163" t="str">
        <f t="shared" si="79"/>
        <v/>
      </c>
      <c r="AJ124" s="163" t="str">
        <f t="shared" si="80"/>
        <v/>
      </c>
      <c r="AK124" s="163" t="str">
        <f t="shared" si="81"/>
        <v/>
      </c>
      <c r="AL124" s="163" t="str">
        <f t="shared" si="82"/>
        <v/>
      </c>
      <c r="AM124" s="163" t="str">
        <f t="shared" si="83"/>
        <v/>
      </c>
      <c r="AN124" s="164" t="str">
        <f t="shared" si="84"/>
        <v/>
      </c>
      <c r="AO124" s="163" t="str">
        <f>IF($C124,IFERROR(INDEX(Sprints!$M$6:$M$13,MATCH($N124,Sprints!$K$6:$K$13,0)),""),"")</f>
        <v/>
      </c>
      <c r="AP124" s="163" t="str">
        <f t="shared" ca="1" si="85"/>
        <v/>
      </c>
    </row>
    <row r="125" spans="1:42" x14ac:dyDescent="0.35">
      <c r="A125" s="163">
        <f>ROW()</f>
        <v>125</v>
      </c>
      <c r="B125" s="163" t="b">
        <f>ISTEXT('Proyecto Datos (OKR´s)'!$K125)</f>
        <v>0</v>
      </c>
      <c r="C125" s="163" t="b">
        <f>AND(LEN('Proyecto Datos (OKR´s)'!$G125)&gt;0,NOT($B125),OR(ISNUMBER('Proyecto Datos (OKR´s)'!$F125),ISNUMBER('Proyecto Datos (OKR´s)'!$L125)))</f>
        <v>0</v>
      </c>
      <c r="D125" s="164" t="str">
        <f>IF($C125,IFERROR(LOOKUP(2,1/((ISTEXT('Proyecto Datos (OKR´s)'!$K$7:$K125))*(LEN('Proyecto Datos (OKR´s)'!$G$7:$G125)&gt;0)),'Proyecto Datos (OKR´s)'!$G$7:$G125),""),"")</f>
        <v/>
      </c>
      <c r="E125" s="163" t="str">
        <f>IF($C125,'Proyecto Datos (OKR´s)'!$E125,"")</f>
        <v/>
      </c>
      <c r="F125" s="164" t="str">
        <f>IF($C125,'Proyecto Datos (OKR´s)'!$G125,"")</f>
        <v/>
      </c>
      <c r="G125" s="164" t="str">
        <f>IF($C125,IF('Proyecto Datos (OKR´s)'!$I125="","(Sin asignar)",'Proyecto Datos (OKR´s)'!$I125),"")</f>
        <v/>
      </c>
      <c r="H125" s="163" t="str">
        <f>IF($C125,IF(ISNUMBER('Proyecto Datos (OKR´s)'!$F125),'Proyecto Datos (OKR´s)'!$F125,'Proyecto Datos (OKR´s)'!$L125),"")</f>
        <v/>
      </c>
      <c r="I125" s="163" t="str">
        <f>IF($C125,'Proyecto Datos (OKR´s)'!$J125,"")</f>
        <v/>
      </c>
      <c r="J125" s="164" t="str">
        <f ca="1">IF($C125,IF($I125&gt;=1,"Completado",IF($H125&lt;TODAY(),"Vencido",IF(($H125-TODAY())&lt;='Entregas Próximas'!$M$3,"Próximo a vencer","En curso"))),"")</f>
        <v/>
      </c>
      <c r="K125" s="163" t="str">
        <f t="shared" ca="1" si="65"/>
        <v/>
      </c>
      <c r="L125" s="163" t="str">
        <f t="shared" si="66"/>
        <v/>
      </c>
      <c r="M125" s="163" t="str">
        <f t="shared" si="67"/>
        <v/>
      </c>
      <c r="N125" s="163" t="str">
        <f>IF($C125,IF('Proyecto Datos (OKR´s)'!$E125="",9999,'Proyecto Datos (OKR´s)'!$E125),"")</f>
        <v/>
      </c>
      <c r="O125" s="163" t="str">
        <f t="shared" si="68"/>
        <v/>
      </c>
      <c r="R125" s="163" t="str">
        <f>IF($C125,IF(ISNUMBER('Proyecto Datos (OKR´s)'!$L125),'Proyecto Datos (OKR´s)'!$L125,$H125),"")</f>
        <v/>
      </c>
      <c r="S125" s="163" t="str">
        <f>IF($C125,$R125-'Proyecto Datos (OKR´s)'!$K125+1,"")</f>
        <v/>
      </c>
      <c r="T125" s="163" t="str">
        <f ca="1">IF($C125,MAX(0,TODAY()-'Proyecto Datos (OKR´s)'!$K125),"")</f>
        <v/>
      </c>
      <c r="U125" s="163" t="str">
        <f ca="1">IF($C125,MEDIAN(0,(TODAY()-'Proyecto Datos (OKR´s)'!$K125)/MAX(1,$R125-'Proyecto Datos (OKR´s)'!$K125),1),"")</f>
        <v/>
      </c>
      <c r="V125" s="163" t="str">
        <f t="shared" si="69"/>
        <v/>
      </c>
      <c r="W125" s="163" t="str">
        <f t="shared" ca="1" si="70"/>
        <v/>
      </c>
      <c r="X125" s="163" t="str">
        <f t="shared" si="71"/>
        <v/>
      </c>
      <c r="Y125" s="163" t="str">
        <f t="shared" si="72"/>
        <v/>
      </c>
      <c r="Z125" s="163" t="str">
        <f ca="1">IF($C125,AND($I125=0,'Proyecto Datos (OKR´s)'!$K125&lt;=TODAY(),$J125&lt;&gt;"Completado"),"")</f>
        <v/>
      </c>
      <c r="AA125" s="163" t="str">
        <f t="shared" si="73"/>
        <v/>
      </c>
      <c r="AB125" s="164" t="str">
        <f t="shared" si="74"/>
        <v/>
      </c>
      <c r="AC125" s="164" t="str">
        <f t="shared" si="75"/>
        <v/>
      </c>
      <c r="AD125" s="163" t="str">
        <f>IF($C125,IF($N125=9999,9999,IF($J125="Completado",$N125,MAX($N125,Sprints!$M$15))),"")</f>
        <v/>
      </c>
      <c r="AE125" s="163" t="str">
        <f t="shared" si="76"/>
        <v/>
      </c>
      <c r="AF125" s="163" t="b">
        <f t="shared" si="77"/>
        <v>0</v>
      </c>
      <c r="AG125" s="163" t="str">
        <f t="shared" si="78"/>
        <v/>
      </c>
      <c r="AH125" s="164" t="str">
        <f>IF($AF125,IF(Sprints!$I125&lt;&gt;"",Sprints!$I125,"Comprometida y no completada al cierre del Sprint "&amp;$N125),"")</f>
        <v/>
      </c>
      <c r="AI125" s="163" t="str">
        <f t="shared" si="79"/>
        <v/>
      </c>
      <c r="AJ125" s="163" t="str">
        <f t="shared" si="80"/>
        <v/>
      </c>
      <c r="AK125" s="163" t="str">
        <f t="shared" si="81"/>
        <v/>
      </c>
      <c r="AL125" s="163" t="str">
        <f t="shared" si="82"/>
        <v/>
      </c>
      <c r="AM125" s="163" t="str">
        <f t="shared" si="83"/>
        <v/>
      </c>
      <c r="AN125" s="164" t="str">
        <f t="shared" si="84"/>
        <v/>
      </c>
      <c r="AO125" s="163" t="str">
        <f>IF($C125,IFERROR(INDEX(Sprints!$M$6:$M$13,MATCH($N125,Sprints!$K$6:$K$13,0)),""),"")</f>
        <v/>
      </c>
      <c r="AP125" s="163" t="str">
        <f t="shared" ca="1" si="85"/>
        <v/>
      </c>
    </row>
    <row r="126" spans="1:42" x14ac:dyDescent="0.35">
      <c r="A126" s="163">
        <f>ROW()</f>
        <v>126</v>
      </c>
      <c r="B126" s="163" t="b">
        <f>ISTEXT('Proyecto Datos (OKR´s)'!$K126)</f>
        <v>0</v>
      </c>
      <c r="C126" s="163" t="b">
        <f>AND(LEN('Proyecto Datos (OKR´s)'!$G126)&gt;0,NOT($B126),OR(ISNUMBER('Proyecto Datos (OKR´s)'!$F126),ISNUMBER('Proyecto Datos (OKR´s)'!$L126)))</f>
        <v>0</v>
      </c>
      <c r="D126" s="164" t="str">
        <f>IF($C126,IFERROR(LOOKUP(2,1/((ISTEXT('Proyecto Datos (OKR´s)'!$K$7:$K126))*(LEN('Proyecto Datos (OKR´s)'!$G$7:$G126)&gt;0)),'Proyecto Datos (OKR´s)'!$G$7:$G126),""),"")</f>
        <v/>
      </c>
      <c r="E126" s="163" t="str">
        <f>IF($C126,'Proyecto Datos (OKR´s)'!$E126,"")</f>
        <v/>
      </c>
      <c r="F126" s="164" t="str">
        <f>IF($C126,'Proyecto Datos (OKR´s)'!$G126,"")</f>
        <v/>
      </c>
      <c r="G126" s="164" t="str">
        <f>IF($C126,IF('Proyecto Datos (OKR´s)'!$I126="","(Sin asignar)",'Proyecto Datos (OKR´s)'!$I126),"")</f>
        <v/>
      </c>
      <c r="H126" s="163" t="str">
        <f>IF($C126,IF(ISNUMBER('Proyecto Datos (OKR´s)'!$F126),'Proyecto Datos (OKR´s)'!$F126,'Proyecto Datos (OKR´s)'!$L126),"")</f>
        <v/>
      </c>
      <c r="I126" s="163" t="str">
        <f>IF($C126,'Proyecto Datos (OKR´s)'!$J126,"")</f>
        <v/>
      </c>
      <c r="J126" s="164" t="str">
        <f ca="1">IF($C126,IF($I126&gt;=1,"Completado",IF($H126&lt;TODAY(),"Vencido",IF(($H126-TODAY())&lt;='Entregas Próximas'!$M$3,"Próximo a vencer","En curso"))),"")</f>
        <v/>
      </c>
      <c r="K126" s="163" t="str">
        <f t="shared" ca="1" si="65"/>
        <v/>
      </c>
      <c r="L126" s="163" t="str">
        <f t="shared" si="66"/>
        <v/>
      </c>
      <c r="M126" s="163" t="str">
        <f t="shared" si="67"/>
        <v/>
      </c>
      <c r="N126" s="163" t="str">
        <f>IF($C126,IF('Proyecto Datos (OKR´s)'!$E126="",9999,'Proyecto Datos (OKR´s)'!$E126),"")</f>
        <v/>
      </c>
      <c r="O126" s="163" t="str">
        <f t="shared" si="68"/>
        <v/>
      </c>
      <c r="R126" s="163" t="str">
        <f>IF($C126,IF(ISNUMBER('Proyecto Datos (OKR´s)'!$L126),'Proyecto Datos (OKR´s)'!$L126,$H126),"")</f>
        <v/>
      </c>
      <c r="S126" s="163" t="str">
        <f>IF($C126,$R126-'Proyecto Datos (OKR´s)'!$K126+1,"")</f>
        <v/>
      </c>
      <c r="T126" s="163" t="str">
        <f ca="1">IF($C126,MAX(0,TODAY()-'Proyecto Datos (OKR´s)'!$K126),"")</f>
        <v/>
      </c>
      <c r="U126" s="163" t="str">
        <f ca="1">IF($C126,MEDIAN(0,(TODAY()-'Proyecto Datos (OKR´s)'!$K126)/MAX(1,$R126-'Proyecto Datos (OKR´s)'!$K126),1),"")</f>
        <v/>
      </c>
      <c r="V126" s="163" t="str">
        <f t="shared" si="69"/>
        <v/>
      </c>
      <c r="W126" s="163" t="str">
        <f t="shared" ca="1" si="70"/>
        <v/>
      </c>
      <c r="X126" s="163" t="str">
        <f t="shared" si="71"/>
        <v/>
      </c>
      <c r="Y126" s="163" t="str">
        <f t="shared" si="72"/>
        <v/>
      </c>
      <c r="Z126" s="163" t="str">
        <f ca="1">IF($C126,AND($I126=0,'Proyecto Datos (OKR´s)'!$K126&lt;=TODAY(),$J126&lt;&gt;"Completado"),"")</f>
        <v/>
      </c>
      <c r="AA126" s="163" t="str">
        <f t="shared" si="73"/>
        <v/>
      </c>
      <c r="AB126" s="164" t="str">
        <f t="shared" si="74"/>
        <v/>
      </c>
      <c r="AC126" s="164" t="str">
        <f t="shared" si="75"/>
        <v/>
      </c>
      <c r="AD126" s="163" t="str">
        <f>IF($C126,IF($N126=9999,9999,IF($J126="Completado",$N126,MAX($N126,Sprints!$M$15))),"")</f>
        <v/>
      </c>
      <c r="AE126" s="163" t="str">
        <f t="shared" si="76"/>
        <v/>
      </c>
      <c r="AF126" s="163" t="b">
        <f t="shared" si="77"/>
        <v>0</v>
      </c>
      <c r="AG126" s="163" t="str">
        <f t="shared" si="78"/>
        <v/>
      </c>
      <c r="AH126" s="164" t="str">
        <f>IF($AF126,IF(Sprints!$I126&lt;&gt;"",Sprints!$I126,"Comprometida y no completada al cierre del Sprint "&amp;$N126),"")</f>
        <v/>
      </c>
      <c r="AI126" s="163" t="str">
        <f t="shared" si="79"/>
        <v/>
      </c>
      <c r="AJ126" s="163" t="str">
        <f t="shared" si="80"/>
        <v/>
      </c>
      <c r="AK126" s="163" t="str">
        <f t="shared" si="81"/>
        <v/>
      </c>
      <c r="AL126" s="163" t="str">
        <f t="shared" si="82"/>
        <v/>
      </c>
      <c r="AM126" s="163" t="str">
        <f t="shared" si="83"/>
        <v/>
      </c>
      <c r="AN126" s="164" t="str">
        <f t="shared" si="84"/>
        <v/>
      </c>
      <c r="AO126" s="163" t="str">
        <f>IF($C126,IFERROR(INDEX(Sprints!$M$6:$M$13,MATCH($N126,Sprints!$K$6:$K$13,0)),""),"")</f>
        <v/>
      </c>
      <c r="AP126" s="163" t="str">
        <f t="shared" ca="1" si="85"/>
        <v/>
      </c>
    </row>
    <row r="127" spans="1:42" x14ac:dyDescent="0.35">
      <c r="A127" s="163">
        <f>ROW()</f>
        <v>127</v>
      </c>
      <c r="B127" s="163" t="b">
        <f>ISTEXT('Proyecto Datos (OKR´s)'!$K127)</f>
        <v>0</v>
      </c>
      <c r="C127" s="163" t="b">
        <f>AND(LEN('Proyecto Datos (OKR´s)'!$G127)&gt;0,NOT($B127),OR(ISNUMBER('Proyecto Datos (OKR´s)'!$F127),ISNUMBER('Proyecto Datos (OKR´s)'!$L127)))</f>
        <v>0</v>
      </c>
      <c r="D127" s="164" t="str">
        <f>IF($C127,IFERROR(LOOKUP(2,1/((ISTEXT('Proyecto Datos (OKR´s)'!$K$7:$K127))*(LEN('Proyecto Datos (OKR´s)'!$G$7:$G127)&gt;0)),'Proyecto Datos (OKR´s)'!$G$7:$G127),""),"")</f>
        <v/>
      </c>
      <c r="E127" s="163" t="str">
        <f>IF($C127,'Proyecto Datos (OKR´s)'!$E127,"")</f>
        <v/>
      </c>
      <c r="F127" s="164" t="str">
        <f>IF($C127,'Proyecto Datos (OKR´s)'!$G127,"")</f>
        <v/>
      </c>
      <c r="G127" s="164" t="str">
        <f>IF($C127,IF('Proyecto Datos (OKR´s)'!$I127="","(Sin asignar)",'Proyecto Datos (OKR´s)'!$I127),"")</f>
        <v/>
      </c>
      <c r="H127" s="163" t="str">
        <f>IF($C127,IF(ISNUMBER('Proyecto Datos (OKR´s)'!$F127),'Proyecto Datos (OKR´s)'!$F127,'Proyecto Datos (OKR´s)'!$L127),"")</f>
        <v/>
      </c>
      <c r="I127" s="163" t="str">
        <f>IF($C127,'Proyecto Datos (OKR´s)'!$J127,"")</f>
        <v/>
      </c>
      <c r="J127" s="164" t="str">
        <f ca="1">IF($C127,IF($I127&gt;=1,"Completado",IF($H127&lt;TODAY(),"Vencido",IF(($H127-TODAY())&lt;='Entregas Próximas'!$M$3,"Próximo a vencer","En curso"))),"")</f>
        <v/>
      </c>
      <c r="K127" s="163" t="str">
        <f t="shared" ca="1" si="65"/>
        <v/>
      </c>
      <c r="L127" s="163" t="str">
        <f t="shared" si="66"/>
        <v/>
      </c>
      <c r="M127" s="163" t="str">
        <f t="shared" si="67"/>
        <v/>
      </c>
      <c r="N127" s="163" t="str">
        <f>IF($C127,IF('Proyecto Datos (OKR´s)'!$E127="",9999,'Proyecto Datos (OKR´s)'!$E127),"")</f>
        <v/>
      </c>
      <c r="O127" s="163" t="str">
        <f t="shared" si="68"/>
        <v/>
      </c>
      <c r="R127" s="163" t="str">
        <f>IF($C127,IF(ISNUMBER('Proyecto Datos (OKR´s)'!$L127),'Proyecto Datos (OKR´s)'!$L127,$H127),"")</f>
        <v/>
      </c>
      <c r="S127" s="163" t="str">
        <f>IF($C127,$R127-'Proyecto Datos (OKR´s)'!$K127+1,"")</f>
        <v/>
      </c>
      <c r="T127" s="163" t="str">
        <f ca="1">IF($C127,MAX(0,TODAY()-'Proyecto Datos (OKR´s)'!$K127),"")</f>
        <v/>
      </c>
      <c r="U127" s="163" t="str">
        <f ca="1">IF($C127,MEDIAN(0,(TODAY()-'Proyecto Datos (OKR´s)'!$K127)/MAX(1,$R127-'Proyecto Datos (OKR´s)'!$K127),1),"")</f>
        <v/>
      </c>
      <c r="V127" s="163" t="str">
        <f t="shared" si="69"/>
        <v/>
      </c>
      <c r="W127" s="163" t="str">
        <f t="shared" ca="1" si="70"/>
        <v/>
      </c>
      <c r="X127" s="163" t="str">
        <f t="shared" si="71"/>
        <v/>
      </c>
      <c r="Y127" s="163" t="str">
        <f t="shared" si="72"/>
        <v/>
      </c>
      <c r="Z127" s="163" t="str">
        <f ca="1">IF($C127,AND($I127=0,'Proyecto Datos (OKR´s)'!$K127&lt;=TODAY(),$J127&lt;&gt;"Completado"),"")</f>
        <v/>
      </c>
      <c r="AA127" s="163" t="str">
        <f t="shared" si="73"/>
        <v/>
      </c>
      <c r="AB127" s="164" t="str">
        <f t="shared" si="74"/>
        <v/>
      </c>
      <c r="AC127" s="164" t="str">
        <f t="shared" si="75"/>
        <v/>
      </c>
      <c r="AD127" s="163" t="str">
        <f>IF($C127,IF($N127=9999,9999,IF($J127="Completado",$N127,MAX($N127,Sprints!$M$15))),"")</f>
        <v/>
      </c>
      <c r="AE127" s="163" t="str">
        <f t="shared" si="76"/>
        <v/>
      </c>
      <c r="AF127" s="163" t="b">
        <f t="shared" si="77"/>
        <v>0</v>
      </c>
      <c r="AG127" s="163" t="str">
        <f t="shared" si="78"/>
        <v/>
      </c>
      <c r="AH127" s="164" t="str">
        <f>IF($AF127,IF(Sprints!$I127&lt;&gt;"",Sprints!$I127,"Comprometida y no completada al cierre del Sprint "&amp;$N127),"")</f>
        <v/>
      </c>
      <c r="AI127" s="163" t="str">
        <f t="shared" si="79"/>
        <v/>
      </c>
      <c r="AJ127" s="163" t="str">
        <f t="shared" si="80"/>
        <v/>
      </c>
      <c r="AK127" s="163" t="str">
        <f t="shared" si="81"/>
        <v/>
      </c>
      <c r="AL127" s="163" t="str">
        <f t="shared" si="82"/>
        <v/>
      </c>
      <c r="AM127" s="163" t="str">
        <f t="shared" si="83"/>
        <v/>
      </c>
      <c r="AN127" s="164" t="str">
        <f t="shared" si="84"/>
        <v/>
      </c>
      <c r="AO127" s="163" t="str">
        <f>IF($C127,IFERROR(INDEX(Sprints!$M$6:$M$13,MATCH($N127,Sprints!$K$6:$K$13,0)),""),"")</f>
        <v/>
      </c>
      <c r="AP127" s="163" t="str">
        <f t="shared" ca="1" si="85"/>
        <v/>
      </c>
    </row>
    <row r="128" spans="1:42" x14ac:dyDescent="0.35">
      <c r="A128" s="163">
        <f>ROW()</f>
        <v>128</v>
      </c>
      <c r="B128" s="163" t="b">
        <f>ISTEXT('Proyecto Datos (OKR´s)'!$K128)</f>
        <v>0</v>
      </c>
      <c r="C128" s="163" t="b">
        <f>AND(LEN('Proyecto Datos (OKR´s)'!$G128)&gt;0,NOT($B128),OR(ISNUMBER('Proyecto Datos (OKR´s)'!$F128),ISNUMBER('Proyecto Datos (OKR´s)'!$L128)))</f>
        <v>0</v>
      </c>
      <c r="D128" s="164" t="str">
        <f>IF($C128,IFERROR(LOOKUP(2,1/((ISTEXT('Proyecto Datos (OKR´s)'!$K$7:$K128))*(LEN('Proyecto Datos (OKR´s)'!$G$7:$G128)&gt;0)),'Proyecto Datos (OKR´s)'!$G$7:$G128),""),"")</f>
        <v/>
      </c>
      <c r="E128" s="163" t="str">
        <f>IF($C128,'Proyecto Datos (OKR´s)'!$E128,"")</f>
        <v/>
      </c>
      <c r="F128" s="164" t="str">
        <f>IF($C128,'Proyecto Datos (OKR´s)'!$G128,"")</f>
        <v/>
      </c>
      <c r="G128" s="164" t="str">
        <f>IF($C128,IF('Proyecto Datos (OKR´s)'!$I128="","(Sin asignar)",'Proyecto Datos (OKR´s)'!$I128),"")</f>
        <v/>
      </c>
      <c r="H128" s="163" t="str">
        <f>IF($C128,IF(ISNUMBER('Proyecto Datos (OKR´s)'!$F128),'Proyecto Datos (OKR´s)'!$F128,'Proyecto Datos (OKR´s)'!$L128),"")</f>
        <v/>
      </c>
      <c r="I128" s="163" t="str">
        <f>IF($C128,'Proyecto Datos (OKR´s)'!$J128,"")</f>
        <v/>
      </c>
      <c r="J128" s="164" t="str">
        <f ca="1">IF($C128,IF($I128&gt;=1,"Completado",IF($H128&lt;TODAY(),"Vencido",IF(($H128-TODAY())&lt;='Entregas Próximas'!$M$3,"Próximo a vencer","En curso"))),"")</f>
        <v/>
      </c>
      <c r="K128" s="163" t="str">
        <f t="shared" ca="1" si="65"/>
        <v/>
      </c>
      <c r="L128" s="163" t="str">
        <f t="shared" si="66"/>
        <v/>
      </c>
      <c r="M128" s="163" t="str">
        <f t="shared" si="67"/>
        <v/>
      </c>
      <c r="N128" s="163" t="str">
        <f>IF($C128,IF('Proyecto Datos (OKR´s)'!$E128="",9999,'Proyecto Datos (OKR´s)'!$E128),"")</f>
        <v/>
      </c>
      <c r="O128" s="163" t="str">
        <f t="shared" si="68"/>
        <v/>
      </c>
      <c r="R128" s="163" t="str">
        <f>IF($C128,IF(ISNUMBER('Proyecto Datos (OKR´s)'!$L128),'Proyecto Datos (OKR´s)'!$L128,$H128),"")</f>
        <v/>
      </c>
      <c r="S128" s="163" t="str">
        <f>IF($C128,$R128-'Proyecto Datos (OKR´s)'!$K128+1,"")</f>
        <v/>
      </c>
      <c r="T128" s="163" t="str">
        <f ca="1">IF($C128,MAX(0,TODAY()-'Proyecto Datos (OKR´s)'!$K128),"")</f>
        <v/>
      </c>
      <c r="U128" s="163" t="str">
        <f ca="1">IF($C128,MEDIAN(0,(TODAY()-'Proyecto Datos (OKR´s)'!$K128)/MAX(1,$R128-'Proyecto Datos (OKR´s)'!$K128),1),"")</f>
        <v/>
      </c>
      <c r="V128" s="163" t="str">
        <f t="shared" si="69"/>
        <v/>
      </c>
      <c r="W128" s="163" t="str">
        <f t="shared" ca="1" si="70"/>
        <v/>
      </c>
      <c r="X128" s="163" t="str">
        <f t="shared" si="71"/>
        <v/>
      </c>
      <c r="Y128" s="163" t="str">
        <f t="shared" si="72"/>
        <v/>
      </c>
      <c r="Z128" s="163" t="str">
        <f ca="1">IF($C128,AND($I128=0,'Proyecto Datos (OKR´s)'!$K128&lt;=TODAY(),$J128&lt;&gt;"Completado"),"")</f>
        <v/>
      </c>
      <c r="AA128" s="163" t="str">
        <f t="shared" si="73"/>
        <v/>
      </c>
      <c r="AB128" s="164" t="str">
        <f t="shared" si="74"/>
        <v/>
      </c>
      <c r="AC128" s="164" t="str">
        <f t="shared" si="75"/>
        <v/>
      </c>
      <c r="AD128" s="163" t="str">
        <f>IF($C128,IF($N128=9999,9999,IF($J128="Completado",$N128,MAX($N128,Sprints!$M$15))),"")</f>
        <v/>
      </c>
      <c r="AE128" s="163" t="str">
        <f t="shared" si="76"/>
        <v/>
      </c>
      <c r="AF128" s="163" t="b">
        <f t="shared" si="77"/>
        <v>0</v>
      </c>
      <c r="AG128" s="163" t="str">
        <f t="shared" si="78"/>
        <v/>
      </c>
      <c r="AH128" s="164" t="str">
        <f>IF($AF128,IF(Sprints!$I128&lt;&gt;"",Sprints!$I128,"Comprometida y no completada al cierre del Sprint "&amp;$N128),"")</f>
        <v/>
      </c>
      <c r="AI128" s="163" t="str">
        <f t="shared" si="79"/>
        <v/>
      </c>
      <c r="AJ128" s="163" t="str">
        <f t="shared" si="80"/>
        <v/>
      </c>
      <c r="AK128" s="163" t="str">
        <f t="shared" si="81"/>
        <v/>
      </c>
      <c r="AL128" s="163" t="str">
        <f t="shared" si="82"/>
        <v/>
      </c>
      <c r="AM128" s="163" t="str">
        <f t="shared" si="83"/>
        <v/>
      </c>
      <c r="AN128" s="164" t="str">
        <f t="shared" si="84"/>
        <v/>
      </c>
      <c r="AO128" s="163" t="str">
        <f>IF($C128,IFERROR(INDEX(Sprints!$M$6:$M$13,MATCH($N128,Sprints!$K$6:$K$13,0)),""),"")</f>
        <v/>
      </c>
      <c r="AP128" s="163" t="str">
        <f t="shared" ca="1" si="85"/>
        <v/>
      </c>
    </row>
    <row r="129" spans="1:42" x14ac:dyDescent="0.35">
      <c r="A129" s="163">
        <f>ROW()</f>
        <v>129</v>
      </c>
      <c r="B129" s="163" t="b">
        <f>ISTEXT('Proyecto Datos (OKR´s)'!$K129)</f>
        <v>0</v>
      </c>
      <c r="C129" s="163" t="b">
        <f>AND(LEN('Proyecto Datos (OKR´s)'!$G129)&gt;0,NOT($B129),OR(ISNUMBER('Proyecto Datos (OKR´s)'!$F129),ISNUMBER('Proyecto Datos (OKR´s)'!$L129)))</f>
        <v>0</v>
      </c>
      <c r="D129" s="164" t="str">
        <f>IF($C129,IFERROR(LOOKUP(2,1/((ISTEXT('Proyecto Datos (OKR´s)'!$K$7:$K129))*(LEN('Proyecto Datos (OKR´s)'!$G$7:$G129)&gt;0)),'Proyecto Datos (OKR´s)'!$G$7:$G129),""),"")</f>
        <v/>
      </c>
      <c r="E129" s="163" t="str">
        <f>IF($C129,'Proyecto Datos (OKR´s)'!$E129,"")</f>
        <v/>
      </c>
      <c r="F129" s="164" t="str">
        <f>IF($C129,'Proyecto Datos (OKR´s)'!$G129,"")</f>
        <v/>
      </c>
      <c r="G129" s="164" t="str">
        <f>IF($C129,IF('Proyecto Datos (OKR´s)'!$I129="","(Sin asignar)",'Proyecto Datos (OKR´s)'!$I129),"")</f>
        <v/>
      </c>
      <c r="H129" s="163" t="str">
        <f>IF($C129,IF(ISNUMBER('Proyecto Datos (OKR´s)'!$F129),'Proyecto Datos (OKR´s)'!$F129,'Proyecto Datos (OKR´s)'!$L129),"")</f>
        <v/>
      </c>
      <c r="I129" s="163" t="str">
        <f>IF($C129,'Proyecto Datos (OKR´s)'!$J129,"")</f>
        <v/>
      </c>
      <c r="J129" s="164" t="str">
        <f ca="1">IF($C129,IF($I129&gt;=1,"Completado",IF($H129&lt;TODAY(),"Vencido",IF(($H129-TODAY())&lt;='Entregas Próximas'!$M$3,"Próximo a vencer","En curso"))),"")</f>
        <v/>
      </c>
      <c r="K129" s="163" t="str">
        <f t="shared" ca="1" si="65"/>
        <v/>
      </c>
      <c r="L129" s="163" t="str">
        <f t="shared" si="66"/>
        <v/>
      </c>
      <c r="M129" s="163" t="str">
        <f t="shared" si="67"/>
        <v/>
      </c>
      <c r="N129" s="163" t="str">
        <f>IF($C129,IF('Proyecto Datos (OKR´s)'!$E129="",9999,'Proyecto Datos (OKR´s)'!$E129),"")</f>
        <v/>
      </c>
      <c r="O129" s="163" t="str">
        <f t="shared" si="68"/>
        <v/>
      </c>
      <c r="R129" s="163" t="str">
        <f>IF($C129,IF(ISNUMBER('Proyecto Datos (OKR´s)'!$L129),'Proyecto Datos (OKR´s)'!$L129,$H129),"")</f>
        <v/>
      </c>
      <c r="S129" s="163" t="str">
        <f>IF($C129,$R129-'Proyecto Datos (OKR´s)'!$K129+1,"")</f>
        <v/>
      </c>
      <c r="T129" s="163" t="str">
        <f ca="1">IF($C129,MAX(0,TODAY()-'Proyecto Datos (OKR´s)'!$K129),"")</f>
        <v/>
      </c>
      <c r="U129" s="163" t="str">
        <f ca="1">IF($C129,MEDIAN(0,(TODAY()-'Proyecto Datos (OKR´s)'!$K129)/MAX(1,$R129-'Proyecto Datos (OKR´s)'!$K129),1),"")</f>
        <v/>
      </c>
      <c r="V129" s="163" t="str">
        <f t="shared" si="69"/>
        <v/>
      </c>
      <c r="W129" s="163" t="str">
        <f t="shared" ca="1" si="70"/>
        <v/>
      </c>
      <c r="X129" s="163" t="str">
        <f t="shared" si="71"/>
        <v/>
      </c>
      <c r="Y129" s="163" t="str">
        <f t="shared" si="72"/>
        <v/>
      </c>
      <c r="Z129" s="163" t="str">
        <f ca="1">IF($C129,AND($I129=0,'Proyecto Datos (OKR´s)'!$K129&lt;=TODAY(),$J129&lt;&gt;"Completado"),"")</f>
        <v/>
      </c>
      <c r="AA129" s="163" t="str">
        <f t="shared" si="73"/>
        <v/>
      </c>
      <c r="AB129" s="164" t="str">
        <f t="shared" si="74"/>
        <v/>
      </c>
      <c r="AC129" s="164" t="str">
        <f t="shared" si="75"/>
        <v/>
      </c>
      <c r="AD129" s="163" t="str">
        <f>IF($C129,IF($N129=9999,9999,IF($J129="Completado",$N129,MAX($N129,Sprints!$M$15))),"")</f>
        <v/>
      </c>
      <c r="AE129" s="163" t="str">
        <f t="shared" si="76"/>
        <v/>
      </c>
      <c r="AF129" s="163" t="b">
        <f t="shared" si="77"/>
        <v>0</v>
      </c>
      <c r="AG129" s="163" t="str">
        <f t="shared" si="78"/>
        <v/>
      </c>
      <c r="AH129" s="164" t="str">
        <f>IF($AF129,IF(Sprints!$I129&lt;&gt;"",Sprints!$I129,"Comprometida y no completada al cierre del Sprint "&amp;$N129),"")</f>
        <v/>
      </c>
      <c r="AI129" s="163" t="str">
        <f t="shared" si="79"/>
        <v/>
      </c>
      <c r="AJ129" s="163" t="str">
        <f t="shared" si="80"/>
        <v/>
      </c>
      <c r="AK129" s="163" t="str">
        <f t="shared" si="81"/>
        <v/>
      </c>
      <c r="AL129" s="163" t="str">
        <f t="shared" si="82"/>
        <v/>
      </c>
      <c r="AM129" s="163" t="str">
        <f t="shared" si="83"/>
        <v/>
      </c>
      <c r="AN129" s="164" t="str">
        <f t="shared" si="84"/>
        <v/>
      </c>
      <c r="AO129" s="163" t="str">
        <f>IF($C129,IFERROR(INDEX(Sprints!$M$6:$M$13,MATCH($N129,Sprints!$K$6:$K$13,0)),""),"")</f>
        <v/>
      </c>
      <c r="AP129" s="163" t="str">
        <f t="shared" ca="1" si="85"/>
        <v/>
      </c>
    </row>
    <row r="130" spans="1:42" x14ac:dyDescent="0.35">
      <c r="A130" s="163">
        <f>ROW()</f>
        <v>130</v>
      </c>
      <c r="B130" s="163" t="b">
        <f>ISTEXT('Proyecto Datos (OKR´s)'!$K130)</f>
        <v>0</v>
      </c>
      <c r="C130" s="163" t="b">
        <f>AND(LEN('Proyecto Datos (OKR´s)'!$G130)&gt;0,NOT($B130),OR(ISNUMBER('Proyecto Datos (OKR´s)'!$F130),ISNUMBER('Proyecto Datos (OKR´s)'!$L130)))</f>
        <v>0</v>
      </c>
      <c r="D130" s="164" t="str">
        <f>IF($C130,IFERROR(LOOKUP(2,1/((ISTEXT('Proyecto Datos (OKR´s)'!$K$7:$K130))*(LEN('Proyecto Datos (OKR´s)'!$G$7:$G130)&gt;0)),'Proyecto Datos (OKR´s)'!$G$7:$G130),""),"")</f>
        <v/>
      </c>
      <c r="E130" s="163" t="str">
        <f>IF($C130,'Proyecto Datos (OKR´s)'!$E130,"")</f>
        <v/>
      </c>
      <c r="F130" s="164" t="str">
        <f>IF($C130,'Proyecto Datos (OKR´s)'!$G130,"")</f>
        <v/>
      </c>
      <c r="G130" s="164" t="str">
        <f>IF($C130,IF('Proyecto Datos (OKR´s)'!$I130="","(Sin asignar)",'Proyecto Datos (OKR´s)'!$I130),"")</f>
        <v/>
      </c>
      <c r="H130" s="163" t="str">
        <f>IF($C130,IF(ISNUMBER('Proyecto Datos (OKR´s)'!$F130),'Proyecto Datos (OKR´s)'!$F130,'Proyecto Datos (OKR´s)'!$L130),"")</f>
        <v/>
      </c>
      <c r="I130" s="163" t="str">
        <f>IF($C130,'Proyecto Datos (OKR´s)'!$J130,"")</f>
        <v/>
      </c>
      <c r="J130" s="164" t="str">
        <f ca="1">IF($C130,IF($I130&gt;=1,"Completado",IF($H130&lt;TODAY(),"Vencido",IF(($H130-TODAY())&lt;='Entregas Próximas'!$M$3,"Próximo a vencer","En curso"))),"")</f>
        <v/>
      </c>
      <c r="K130" s="163" t="str">
        <f t="shared" ca="1" si="65"/>
        <v/>
      </c>
      <c r="L130" s="163" t="str">
        <f t="shared" si="66"/>
        <v/>
      </c>
      <c r="M130" s="163" t="str">
        <f t="shared" si="67"/>
        <v/>
      </c>
      <c r="N130" s="163" t="str">
        <f>IF($C130,IF('Proyecto Datos (OKR´s)'!$E130="",9999,'Proyecto Datos (OKR´s)'!$E130),"")</f>
        <v/>
      </c>
      <c r="O130" s="163" t="str">
        <f t="shared" si="68"/>
        <v/>
      </c>
      <c r="R130" s="163" t="str">
        <f>IF($C130,IF(ISNUMBER('Proyecto Datos (OKR´s)'!$L130),'Proyecto Datos (OKR´s)'!$L130,$H130),"")</f>
        <v/>
      </c>
      <c r="S130" s="163" t="str">
        <f>IF($C130,$R130-'Proyecto Datos (OKR´s)'!$K130+1,"")</f>
        <v/>
      </c>
      <c r="T130" s="163" t="str">
        <f ca="1">IF($C130,MAX(0,TODAY()-'Proyecto Datos (OKR´s)'!$K130),"")</f>
        <v/>
      </c>
      <c r="U130" s="163" t="str">
        <f ca="1">IF($C130,MEDIAN(0,(TODAY()-'Proyecto Datos (OKR´s)'!$K130)/MAX(1,$R130-'Proyecto Datos (OKR´s)'!$K130),1),"")</f>
        <v/>
      </c>
      <c r="V130" s="163" t="str">
        <f t="shared" si="69"/>
        <v/>
      </c>
      <c r="W130" s="163" t="str">
        <f t="shared" ca="1" si="70"/>
        <v/>
      </c>
      <c r="X130" s="163" t="str">
        <f t="shared" si="71"/>
        <v/>
      </c>
      <c r="Y130" s="163" t="str">
        <f t="shared" si="72"/>
        <v/>
      </c>
      <c r="Z130" s="163" t="str">
        <f ca="1">IF($C130,AND($I130=0,'Proyecto Datos (OKR´s)'!$K130&lt;=TODAY(),$J130&lt;&gt;"Completado"),"")</f>
        <v/>
      </c>
      <c r="AA130" s="163" t="str">
        <f t="shared" si="73"/>
        <v/>
      </c>
      <c r="AB130" s="164" t="str">
        <f t="shared" si="74"/>
        <v/>
      </c>
      <c r="AC130" s="164" t="str">
        <f t="shared" si="75"/>
        <v/>
      </c>
      <c r="AD130" s="163" t="str">
        <f>IF($C130,IF($N130=9999,9999,IF($J130="Completado",$N130,MAX($N130,Sprints!$M$15))),"")</f>
        <v/>
      </c>
      <c r="AE130" s="163" t="str">
        <f t="shared" si="76"/>
        <v/>
      </c>
      <c r="AF130" s="163" t="b">
        <f t="shared" si="77"/>
        <v>0</v>
      </c>
      <c r="AG130" s="163" t="str">
        <f t="shared" si="78"/>
        <v/>
      </c>
      <c r="AH130" s="164" t="str">
        <f>IF($AF130,IF(Sprints!$I130&lt;&gt;"",Sprints!$I130,"Comprometida y no completada al cierre del Sprint "&amp;$N130),"")</f>
        <v/>
      </c>
      <c r="AI130" s="163" t="str">
        <f t="shared" si="79"/>
        <v/>
      </c>
      <c r="AJ130" s="163" t="str">
        <f t="shared" si="80"/>
        <v/>
      </c>
      <c r="AK130" s="163" t="str">
        <f t="shared" si="81"/>
        <v/>
      </c>
      <c r="AL130" s="163" t="str">
        <f t="shared" si="82"/>
        <v/>
      </c>
      <c r="AM130" s="163" t="str">
        <f t="shared" si="83"/>
        <v/>
      </c>
      <c r="AN130" s="164" t="str">
        <f t="shared" si="84"/>
        <v/>
      </c>
      <c r="AO130" s="163" t="str">
        <f>IF($C130,IFERROR(INDEX(Sprints!$M$6:$M$13,MATCH($N130,Sprints!$K$6:$K$13,0)),""),"")</f>
        <v/>
      </c>
      <c r="AP130" s="163" t="str">
        <f t="shared" ca="1" si="85"/>
        <v/>
      </c>
    </row>
    <row r="131" spans="1:42" x14ac:dyDescent="0.35">
      <c r="A131" s="163">
        <f>ROW()</f>
        <v>131</v>
      </c>
      <c r="B131" s="163" t="b">
        <f>ISTEXT('Proyecto Datos (OKR´s)'!$K131)</f>
        <v>0</v>
      </c>
      <c r="C131" s="163" t="b">
        <f>AND(LEN('Proyecto Datos (OKR´s)'!$G131)&gt;0,NOT($B131),OR(ISNUMBER('Proyecto Datos (OKR´s)'!$F131),ISNUMBER('Proyecto Datos (OKR´s)'!$L131)))</f>
        <v>0</v>
      </c>
      <c r="D131" s="164" t="str">
        <f>IF($C131,IFERROR(LOOKUP(2,1/((ISTEXT('Proyecto Datos (OKR´s)'!$K$7:$K131))*(LEN('Proyecto Datos (OKR´s)'!$G$7:$G131)&gt;0)),'Proyecto Datos (OKR´s)'!$G$7:$G131),""),"")</f>
        <v/>
      </c>
      <c r="E131" s="163" t="str">
        <f>IF($C131,'Proyecto Datos (OKR´s)'!$E131,"")</f>
        <v/>
      </c>
      <c r="F131" s="164" t="str">
        <f>IF($C131,'Proyecto Datos (OKR´s)'!$G131,"")</f>
        <v/>
      </c>
      <c r="G131" s="164" t="str">
        <f>IF($C131,IF('Proyecto Datos (OKR´s)'!$I131="","(Sin asignar)",'Proyecto Datos (OKR´s)'!$I131),"")</f>
        <v/>
      </c>
      <c r="H131" s="163" t="str">
        <f>IF($C131,IF(ISNUMBER('Proyecto Datos (OKR´s)'!$F131),'Proyecto Datos (OKR´s)'!$F131,'Proyecto Datos (OKR´s)'!$L131),"")</f>
        <v/>
      </c>
      <c r="I131" s="163" t="str">
        <f>IF($C131,'Proyecto Datos (OKR´s)'!$J131,"")</f>
        <v/>
      </c>
      <c r="J131" s="164" t="str">
        <f ca="1">IF($C131,IF($I131&gt;=1,"Completado",IF($H131&lt;TODAY(),"Vencido",IF(($H131-TODAY())&lt;='Entregas Próximas'!$M$3,"Próximo a vencer","En curso"))),"")</f>
        <v/>
      </c>
      <c r="K131" s="163" t="str">
        <f t="shared" ca="1" si="65"/>
        <v/>
      </c>
      <c r="L131" s="163" t="str">
        <f t="shared" si="66"/>
        <v/>
      </c>
      <c r="M131" s="163" t="str">
        <f t="shared" si="67"/>
        <v/>
      </c>
      <c r="N131" s="163" t="str">
        <f>IF($C131,IF('Proyecto Datos (OKR´s)'!$E131="",9999,'Proyecto Datos (OKR´s)'!$E131),"")</f>
        <v/>
      </c>
      <c r="O131" s="163" t="str">
        <f t="shared" si="68"/>
        <v/>
      </c>
      <c r="R131" s="163" t="str">
        <f>IF($C131,IF(ISNUMBER('Proyecto Datos (OKR´s)'!$L131),'Proyecto Datos (OKR´s)'!$L131,$H131),"")</f>
        <v/>
      </c>
      <c r="S131" s="163" t="str">
        <f>IF($C131,$R131-'Proyecto Datos (OKR´s)'!$K131+1,"")</f>
        <v/>
      </c>
      <c r="T131" s="163" t="str">
        <f ca="1">IF($C131,MAX(0,TODAY()-'Proyecto Datos (OKR´s)'!$K131),"")</f>
        <v/>
      </c>
      <c r="U131" s="163" t="str">
        <f ca="1">IF($C131,MEDIAN(0,(TODAY()-'Proyecto Datos (OKR´s)'!$K131)/MAX(1,$R131-'Proyecto Datos (OKR´s)'!$K131),1),"")</f>
        <v/>
      </c>
      <c r="V131" s="163" t="str">
        <f t="shared" si="69"/>
        <v/>
      </c>
      <c r="W131" s="163" t="str">
        <f t="shared" ca="1" si="70"/>
        <v/>
      </c>
      <c r="X131" s="163" t="str">
        <f t="shared" si="71"/>
        <v/>
      </c>
      <c r="Y131" s="163" t="str">
        <f t="shared" si="72"/>
        <v/>
      </c>
      <c r="Z131" s="163" t="str">
        <f ca="1">IF($C131,AND($I131=0,'Proyecto Datos (OKR´s)'!$K131&lt;=TODAY(),$J131&lt;&gt;"Completado"),"")</f>
        <v/>
      </c>
      <c r="AA131" s="163" t="str">
        <f t="shared" si="73"/>
        <v/>
      </c>
      <c r="AB131" s="164" t="str">
        <f t="shared" si="74"/>
        <v/>
      </c>
      <c r="AC131" s="164" t="str">
        <f t="shared" si="75"/>
        <v/>
      </c>
      <c r="AD131" s="163" t="str">
        <f>IF($C131,IF($N131=9999,9999,IF($J131="Completado",$N131,MAX($N131,Sprints!$M$15))),"")</f>
        <v/>
      </c>
      <c r="AE131" s="163" t="str">
        <f t="shared" si="76"/>
        <v/>
      </c>
      <c r="AF131" s="163" t="b">
        <f t="shared" si="77"/>
        <v>0</v>
      </c>
      <c r="AG131" s="163" t="str">
        <f t="shared" si="78"/>
        <v/>
      </c>
      <c r="AH131" s="164" t="str">
        <f>IF($AF131,IF(Sprints!$I131&lt;&gt;"",Sprints!$I131,"Comprometida y no completada al cierre del Sprint "&amp;$N131),"")</f>
        <v/>
      </c>
      <c r="AI131" s="163" t="str">
        <f t="shared" si="79"/>
        <v/>
      </c>
      <c r="AJ131" s="163" t="str">
        <f t="shared" si="80"/>
        <v/>
      </c>
      <c r="AK131" s="163" t="str">
        <f t="shared" si="81"/>
        <v/>
      </c>
      <c r="AL131" s="163" t="str">
        <f t="shared" si="82"/>
        <v/>
      </c>
      <c r="AM131" s="163" t="str">
        <f t="shared" si="83"/>
        <v/>
      </c>
      <c r="AN131" s="164" t="str">
        <f t="shared" si="84"/>
        <v/>
      </c>
      <c r="AO131" s="163" t="str">
        <f>IF($C131,IFERROR(INDEX(Sprints!$M$6:$M$13,MATCH($N131,Sprints!$K$6:$K$13,0)),""),"")</f>
        <v/>
      </c>
      <c r="AP131" s="163" t="str">
        <f t="shared" ca="1" si="85"/>
        <v/>
      </c>
    </row>
    <row r="132" spans="1:42" x14ac:dyDescent="0.35">
      <c r="A132" s="163">
        <f>ROW()</f>
        <v>132</v>
      </c>
      <c r="B132" s="163" t="b">
        <f>ISTEXT('Proyecto Datos (OKR´s)'!$K132)</f>
        <v>0</v>
      </c>
      <c r="C132" s="163" t="b">
        <f>AND(LEN('Proyecto Datos (OKR´s)'!$G132)&gt;0,NOT($B132),OR(ISNUMBER('Proyecto Datos (OKR´s)'!$F132),ISNUMBER('Proyecto Datos (OKR´s)'!$L132)))</f>
        <v>0</v>
      </c>
      <c r="D132" s="164" t="str">
        <f>IF($C132,IFERROR(LOOKUP(2,1/((ISTEXT('Proyecto Datos (OKR´s)'!$K$7:$K132))*(LEN('Proyecto Datos (OKR´s)'!$G$7:$G132)&gt;0)),'Proyecto Datos (OKR´s)'!$G$7:$G132),""),"")</f>
        <v/>
      </c>
      <c r="E132" s="163" t="str">
        <f>IF($C132,'Proyecto Datos (OKR´s)'!$E132,"")</f>
        <v/>
      </c>
      <c r="F132" s="164" t="str">
        <f>IF($C132,'Proyecto Datos (OKR´s)'!$G132,"")</f>
        <v/>
      </c>
      <c r="G132" s="164" t="str">
        <f>IF($C132,IF('Proyecto Datos (OKR´s)'!$I132="","(Sin asignar)",'Proyecto Datos (OKR´s)'!$I132),"")</f>
        <v/>
      </c>
      <c r="H132" s="163" t="str">
        <f>IF($C132,IF(ISNUMBER('Proyecto Datos (OKR´s)'!$F132),'Proyecto Datos (OKR´s)'!$F132,'Proyecto Datos (OKR´s)'!$L132),"")</f>
        <v/>
      </c>
      <c r="I132" s="163" t="str">
        <f>IF($C132,'Proyecto Datos (OKR´s)'!$J132,"")</f>
        <v/>
      </c>
      <c r="J132" s="164" t="str">
        <f ca="1">IF($C132,IF($I132&gt;=1,"Completado",IF($H132&lt;TODAY(),"Vencido",IF(($H132-TODAY())&lt;='Entregas Próximas'!$M$3,"Próximo a vencer","En curso"))),"")</f>
        <v/>
      </c>
      <c r="K132" s="163" t="str">
        <f t="shared" ca="1" si="65"/>
        <v/>
      </c>
      <c r="L132" s="163" t="str">
        <f t="shared" si="66"/>
        <v/>
      </c>
      <c r="M132" s="163" t="str">
        <f t="shared" si="67"/>
        <v/>
      </c>
      <c r="N132" s="163" t="str">
        <f>IF($C132,IF('Proyecto Datos (OKR´s)'!$E132="",9999,'Proyecto Datos (OKR´s)'!$E132),"")</f>
        <v/>
      </c>
      <c r="O132" s="163" t="str">
        <f t="shared" si="68"/>
        <v/>
      </c>
      <c r="R132" s="163" t="str">
        <f>IF($C132,IF(ISNUMBER('Proyecto Datos (OKR´s)'!$L132),'Proyecto Datos (OKR´s)'!$L132,$H132),"")</f>
        <v/>
      </c>
      <c r="S132" s="163" t="str">
        <f>IF($C132,$R132-'Proyecto Datos (OKR´s)'!$K132+1,"")</f>
        <v/>
      </c>
      <c r="T132" s="163" t="str">
        <f ca="1">IF($C132,MAX(0,TODAY()-'Proyecto Datos (OKR´s)'!$K132),"")</f>
        <v/>
      </c>
      <c r="U132" s="163" t="str">
        <f ca="1">IF($C132,MEDIAN(0,(TODAY()-'Proyecto Datos (OKR´s)'!$K132)/MAX(1,$R132-'Proyecto Datos (OKR´s)'!$K132),1),"")</f>
        <v/>
      </c>
      <c r="V132" s="163" t="str">
        <f t="shared" si="69"/>
        <v/>
      </c>
      <c r="W132" s="163" t="str">
        <f t="shared" ca="1" si="70"/>
        <v/>
      </c>
      <c r="X132" s="163" t="str">
        <f t="shared" si="71"/>
        <v/>
      </c>
      <c r="Y132" s="163" t="str">
        <f t="shared" si="72"/>
        <v/>
      </c>
      <c r="Z132" s="163" t="str">
        <f ca="1">IF($C132,AND($I132=0,'Proyecto Datos (OKR´s)'!$K132&lt;=TODAY(),$J132&lt;&gt;"Completado"),"")</f>
        <v/>
      </c>
      <c r="AA132" s="163" t="str">
        <f t="shared" si="73"/>
        <v/>
      </c>
      <c r="AB132" s="164" t="str">
        <f t="shared" si="74"/>
        <v/>
      </c>
      <c r="AC132" s="164" t="str">
        <f t="shared" si="75"/>
        <v/>
      </c>
      <c r="AD132" s="163" t="str">
        <f>IF($C132,IF($N132=9999,9999,IF($J132="Completado",$N132,MAX($N132,Sprints!$M$15))),"")</f>
        <v/>
      </c>
      <c r="AE132" s="163" t="str">
        <f t="shared" si="76"/>
        <v/>
      </c>
      <c r="AF132" s="163" t="b">
        <f t="shared" si="77"/>
        <v>0</v>
      </c>
      <c r="AG132" s="163" t="str">
        <f t="shared" si="78"/>
        <v/>
      </c>
      <c r="AH132" s="164" t="str">
        <f>IF($AF132,IF(Sprints!$I132&lt;&gt;"",Sprints!$I132,"Comprometida y no completada al cierre del Sprint "&amp;$N132),"")</f>
        <v/>
      </c>
      <c r="AI132" s="163" t="str">
        <f t="shared" si="79"/>
        <v/>
      </c>
      <c r="AJ132" s="163" t="str">
        <f t="shared" si="80"/>
        <v/>
      </c>
      <c r="AK132" s="163" t="str">
        <f t="shared" si="81"/>
        <v/>
      </c>
      <c r="AL132" s="163" t="str">
        <f t="shared" si="82"/>
        <v/>
      </c>
      <c r="AM132" s="163" t="str">
        <f t="shared" si="83"/>
        <v/>
      </c>
      <c r="AN132" s="164" t="str">
        <f t="shared" si="84"/>
        <v/>
      </c>
      <c r="AO132" s="163" t="str">
        <f>IF($C132,IFERROR(INDEX(Sprints!$M$6:$M$13,MATCH($N132,Sprints!$K$6:$K$13,0)),""),"")</f>
        <v/>
      </c>
      <c r="AP132" s="163" t="str">
        <f t="shared" ca="1" si="85"/>
        <v/>
      </c>
    </row>
    <row r="133" spans="1:42" x14ac:dyDescent="0.35">
      <c r="A133" s="163">
        <f>ROW()</f>
        <v>133</v>
      </c>
      <c r="B133" s="163" t="b">
        <f>ISTEXT('Proyecto Datos (OKR´s)'!$K133)</f>
        <v>0</v>
      </c>
      <c r="C133" s="163" t="b">
        <f>AND(LEN('Proyecto Datos (OKR´s)'!$G133)&gt;0,NOT($B133),OR(ISNUMBER('Proyecto Datos (OKR´s)'!$F133),ISNUMBER('Proyecto Datos (OKR´s)'!$L133)))</f>
        <v>0</v>
      </c>
      <c r="D133" s="164" t="str">
        <f>IF($C133,IFERROR(LOOKUP(2,1/((ISTEXT('Proyecto Datos (OKR´s)'!$K$7:$K133))*(LEN('Proyecto Datos (OKR´s)'!$G$7:$G133)&gt;0)),'Proyecto Datos (OKR´s)'!$G$7:$G133),""),"")</f>
        <v/>
      </c>
      <c r="E133" s="163" t="str">
        <f>IF($C133,'Proyecto Datos (OKR´s)'!$E133,"")</f>
        <v/>
      </c>
      <c r="F133" s="164" t="str">
        <f>IF($C133,'Proyecto Datos (OKR´s)'!$G133,"")</f>
        <v/>
      </c>
      <c r="G133" s="164" t="str">
        <f>IF($C133,IF('Proyecto Datos (OKR´s)'!$I133="","(Sin asignar)",'Proyecto Datos (OKR´s)'!$I133),"")</f>
        <v/>
      </c>
      <c r="H133" s="163" t="str">
        <f>IF($C133,IF(ISNUMBER('Proyecto Datos (OKR´s)'!$F133),'Proyecto Datos (OKR´s)'!$F133,'Proyecto Datos (OKR´s)'!$L133),"")</f>
        <v/>
      </c>
      <c r="I133" s="163" t="str">
        <f>IF($C133,'Proyecto Datos (OKR´s)'!$J133,"")</f>
        <v/>
      </c>
      <c r="J133" s="164" t="str">
        <f ca="1">IF($C133,IF($I133&gt;=1,"Completado",IF($H133&lt;TODAY(),"Vencido",IF(($H133-TODAY())&lt;='Entregas Próximas'!$M$3,"Próximo a vencer","En curso"))),"")</f>
        <v/>
      </c>
      <c r="K133" s="163" t="str">
        <f t="shared" ca="1" si="65"/>
        <v/>
      </c>
      <c r="L133" s="163" t="str">
        <f t="shared" si="66"/>
        <v/>
      </c>
      <c r="M133" s="163" t="str">
        <f t="shared" si="67"/>
        <v/>
      </c>
      <c r="N133" s="163" t="str">
        <f>IF($C133,IF('Proyecto Datos (OKR´s)'!$E133="",9999,'Proyecto Datos (OKR´s)'!$E133),"")</f>
        <v/>
      </c>
      <c r="O133" s="163" t="str">
        <f t="shared" si="68"/>
        <v/>
      </c>
      <c r="R133" s="163" t="str">
        <f>IF($C133,IF(ISNUMBER('Proyecto Datos (OKR´s)'!$L133),'Proyecto Datos (OKR´s)'!$L133,$H133),"")</f>
        <v/>
      </c>
      <c r="S133" s="163" t="str">
        <f>IF($C133,$R133-'Proyecto Datos (OKR´s)'!$K133+1,"")</f>
        <v/>
      </c>
      <c r="T133" s="163" t="str">
        <f ca="1">IF($C133,MAX(0,TODAY()-'Proyecto Datos (OKR´s)'!$K133),"")</f>
        <v/>
      </c>
      <c r="U133" s="163" t="str">
        <f ca="1">IF($C133,MEDIAN(0,(TODAY()-'Proyecto Datos (OKR´s)'!$K133)/MAX(1,$R133-'Proyecto Datos (OKR´s)'!$K133),1),"")</f>
        <v/>
      </c>
      <c r="V133" s="163" t="str">
        <f t="shared" si="69"/>
        <v/>
      </c>
      <c r="W133" s="163" t="str">
        <f t="shared" ca="1" si="70"/>
        <v/>
      </c>
      <c r="X133" s="163" t="str">
        <f t="shared" si="71"/>
        <v/>
      </c>
      <c r="Y133" s="163" t="str">
        <f t="shared" si="72"/>
        <v/>
      </c>
      <c r="Z133" s="163" t="str">
        <f ca="1">IF($C133,AND($I133=0,'Proyecto Datos (OKR´s)'!$K133&lt;=TODAY(),$J133&lt;&gt;"Completado"),"")</f>
        <v/>
      </c>
      <c r="AA133" s="163" t="str">
        <f t="shared" si="73"/>
        <v/>
      </c>
      <c r="AB133" s="164" t="str">
        <f t="shared" si="74"/>
        <v/>
      </c>
      <c r="AC133" s="164" t="str">
        <f t="shared" si="75"/>
        <v/>
      </c>
      <c r="AD133" s="163" t="str">
        <f>IF($C133,IF($N133=9999,9999,IF($J133="Completado",$N133,MAX($N133,Sprints!$M$15))),"")</f>
        <v/>
      </c>
      <c r="AE133" s="163" t="str">
        <f t="shared" si="76"/>
        <v/>
      </c>
      <c r="AF133" s="163" t="b">
        <f t="shared" si="77"/>
        <v>0</v>
      </c>
      <c r="AG133" s="163" t="str">
        <f t="shared" si="78"/>
        <v/>
      </c>
      <c r="AH133" s="164" t="str">
        <f>IF($AF133,IF(Sprints!$I133&lt;&gt;"",Sprints!$I133,"Comprometida y no completada al cierre del Sprint "&amp;$N133),"")</f>
        <v/>
      </c>
      <c r="AI133" s="163" t="str">
        <f t="shared" si="79"/>
        <v/>
      </c>
      <c r="AJ133" s="163" t="str">
        <f t="shared" si="80"/>
        <v/>
      </c>
      <c r="AK133" s="163" t="str">
        <f t="shared" si="81"/>
        <v/>
      </c>
      <c r="AL133" s="163" t="str">
        <f t="shared" si="82"/>
        <v/>
      </c>
      <c r="AM133" s="163" t="str">
        <f t="shared" si="83"/>
        <v/>
      </c>
      <c r="AN133" s="164" t="str">
        <f t="shared" si="84"/>
        <v/>
      </c>
      <c r="AO133" s="163" t="str">
        <f>IF($C133,IFERROR(INDEX(Sprints!$M$6:$M$13,MATCH($N133,Sprints!$K$6:$K$13,0)),""),"")</f>
        <v/>
      </c>
      <c r="AP133" s="163" t="str">
        <f t="shared" ca="1" si="85"/>
        <v/>
      </c>
    </row>
    <row r="134" spans="1:42" x14ac:dyDescent="0.35">
      <c r="A134" s="163">
        <f>ROW()</f>
        <v>134</v>
      </c>
      <c r="B134" s="163" t="b">
        <f>ISTEXT('Proyecto Datos (OKR´s)'!$K134)</f>
        <v>0</v>
      </c>
      <c r="C134" s="163" t="b">
        <f>AND(LEN('Proyecto Datos (OKR´s)'!$G134)&gt;0,NOT($B134),OR(ISNUMBER('Proyecto Datos (OKR´s)'!$F134),ISNUMBER('Proyecto Datos (OKR´s)'!$L134)))</f>
        <v>0</v>
      </c>
      <c r="D134" s="164" t="str">
        <f>IF($C134,IFERROR(LOOKUP(2,1/((ISTEXT('Proyecto Datos (OKR´s)'!$K$7:$K134))*(LEN('Proyecto Datos (OKR´s)'!$G$7:$G134)&gt;0)),'Proyecto Datos (OKR´s)'!$G$7:$G134),""),"")</f>
        <v/>
      </c>
      <c r="E134" s="163" t="str">
        <f>IF($C134,'Proyecto Datos (OKR´s)'!$E134,"")</f>
        <v/>
      </c>
      <c r="F134" s="164" t="str">
        <f>IF($C134,'Proyecto Datos (OKR´s)'!$G134,"")</f>
        <v/>
      </c>
      <c r="G134" s="164" t="str">
        <f>IF($C134,IF('Proyecto Datos (OKR´s)'!$I134="","(Sin asignar)",'Proyecto Datos (OKR´s)'!$I134),"")</f>
        <v/>
      </c>
      <c r="H134" s="163" t="str">
        <f>IF($C134,IF(ISNUMBER('Proyecto Datos (OKR´s)'!$F134),'Proyecto Datos (OKR´s)'!$F134,'Proyecto Datos (OKR´s)'!$L134),"")</f>
        <v/>
      </c>
      <c r="I134" s="163" t="str">
        <f>IF($C134,'Proyecto Datos (OKR´s)'!$J134,"")</f>
        <v/>
      </c>
      <c r="J134" s="164" t="str">
        <f ca="1">IF($C134,IF($I134&gt;=1,"Completado",IF($H134&lt;TODAY(),"Vencido",IF(($H134-TODAY())&lt;='Entregas Próximas'!$M$3,"Próximo a vencer","En curso"))),"")</f>
        <v/>
      </c>
      <c r="K134" s="163" t="str">
        <f t="shared" ca="1" si="65"/>
        <v/>
      </c>
      <c r="L134" s="163" t="str">
        <f t="shared" si="66"/>
        <v/>
      </c>
      <c r="M134" s="163" t="str">
        <f t="shared" si="67"/>
        <v/>
      </c>
      <c r="N134" s="163" t="str">
        <f>IF($C134,IF('Proyecto Datos (OKR´s)'!$E134="",9999,'Proyecto Datos (OKR´s)'!$E134),"")</f>
        <v/>
      </c>
      <c r="O134" s="163" t="str">
        <f t="shared" si="68"/>
        <v/>
      </c>
      <c r="R134" s="163" t="str">
        <f>IF($C134,IF(ISNUMBER('Proyecto Datos (OKR´s)'!$L134),'Proyecto Datos (OKR´s)'!$L134,$H134),"")</f>
        <v/>
      </c>
      <c r="S134" s="163" t="str">
        <f>IF($C134,$R134-'Proyecto Datos (OKR´s)'!$K134+1,"")</f>
        <v/>
      </c>
      <c r="T134" s="163" t="str">
        <f ca="1">IF($C134,MAX(0,TODAY()-'Proyecto Datos (OKR´s)'!$K134),"")</f>
        <v/>
      </c>
      <c r="U134" s="163" t="str">
        <f ca="1">IF($C134,MEDIAN(0,(TODAY()-'Proyecto Datos (OKR´s)'!$K134)/MAX(1,$R134-'Proyecto Datos (OKR´s)'!$K134),1),"")</f>
        <v/>
      </c>
      <c r="V134" s="163" t="str">
        <f t="shared" si="69"/>
        <v/>
      </c>
      <c r="W134" s="163" t="str">
        <f t="shared" ca="1" si="70"/>
        <v/>
      </c>
      <c r="X134" s="163" t="str">
        <f t="shared" si="71"/>
        <v/>
      </c>
      <c r="Y134" s="163" t="str">
        <f t="shared" si="72"/>
        <v/>
      </c>
      <c r="Z134" s="163" t="str">
        <f ca="1">IF($C134,AND($I134=0,'Proyecto Datos (OKR´s)'!$K134&lt;=TODAY(),$J134&lt;&gt;"Completado"),"")</f>
        <v/>
      </c>
      <c r="AA134" s="163" t="str">
        <f t="shared" si="73"/>
        <v/>
      </c>
      <c r="AB134" s="164" t="str">
        <f t="shared" si="74"/>
        <v/>
      </c>
      <c r="AC134" s="164" t="str">
        <f t="shared" si="75"/>
        <v/>
      </c>
      <c r="AD134" s="163" t="str">
        <f>IF($C134,IF($N134=9999,9999,IF($J134="Completado",$N134,MAX($N134,Sprints!$M$15))),"")</f>
        <v/>
      </c>
      <c r="AE134" s="163" t="str">
        <f t="shared" si="76"/>
        <v/>
      </c>
      <c r="AF134" s="163" t="b">
        <f t="shared" si="77"/>
        <v>0</v>
      </c>
      <c r="AG134" s="163" t="str">
        <f t="shared" si="78"/>
        <v/>
      </c>
      <c r="AH134" s="164" t="str">
        <f>IF($AF134,IF(Sprints!$I134&lt;&gt;"",Sprints!$I134,"Comprometida y no completada al cierre del Sprint "&amp;$N134),"")</f>
        <v/>
      </c>
      <c r="AI134" s="163" t="str">
        <f t="shared" si="79"/>
        <v/>
      </c>
      <c r="AJ134" s="163" t="str">
        <f t="shared" si="80"/>
        <v/>
      </c>
      <c r="AK134" s="163" t="str">
        <f t="shared" si="81"/>
        <v/>
      </c>
      <c r="AL134" s="163" t="str">
        <f t="shared" si="82"/>
        <v/>
      </c>
      <c r="AM134" s="163" t="str">
        <f t="shared" si="83"/>
        <v/>
      </c>
      <c r="AN134" s="164" t="str">
        <f t="shared" si="84"/>
        <v/>
      </c>
      <c r="AO134" s="163" t="str">
        <f>IF($C134,IFERROR(INDEX(Sprints!$M$6:$M$13,MATCH($N134,Sprints!$K$6:$K$13,0)),""),"")</f>
        <v/>
      </c>
      <c r="AP134" s="163" t="str">
        <f t="shared" ca="1" si="85"/>
        <v/>
      </c>
    </row>
    <row r="135" spans="1:42" x14ac:dyDescent="0.35">
      <c r="A135" s="163">
        <f>ROW()</f>
        <v>135</v>
      </c>
      <c r="B135" s="163" t="b">
        <f>ISTEXT('Proyecto Datos (OKR´s)'!$K135)</f>
        <v>0</v>
      </c>
      <c r="C135" s="163" t="b">
        <f>AND(LEN('Proyecto Datos (OKR´s)'!$G135)&gt;0,NOT($B135),OR(ISNUMBER('Proyecto Datos (OKR´s)'!$F135),ISNUMBER('Proyecto Datos (OKR´s)'!$L135)))</f>
        <v>0</v>
      </c>
      <c r="D135" s="164" t="str">
        <f>IF($C135,IFERROR(LOOKUP(2,1/((ISTEXT('Proyecto Datos (OKR´s)'!$K$7:$K135))*(LEN('Proyecto Datos (OKR´s)'!$G$7:$G135)&gt;0)),'Proyecto Datos (OKR´s)'!$G$7:$G135),""),"")</f>
        <v/>
      </c>
      <c r="E135" s="163" t="str">
        <f>IF($C135,'Proyecto Datos (OKR´s)'!$E135,"")</f>
        <v/>
      </c>
      <c r="F135" s="164" t="str">
        <f>IF($C135,'Proyecto Datos (OKR´s)'!$G135,"")</f>
        <v/>
      </c>
      <c r="G135" s="164" t="str">
        <f>IF($C135,IF('Proyecto Datos (OKR´s)'!$I135="","(Sin asignar)",'Proyecto Datos (OKR´s)'!$I135),"")</f>
        <v/>
      </c>
      <c r="H135" s="163" t="str">
        <f>IF($C135,IF(ISNUMBER('Proyecto Datos (OKR´s)'!$F135),'Proyecto Datos (OKR´s)'!$F135,'Proyecto Datos (OKR´s)'!$L135),"")</f>
        <v/>
      </c>
      <c r="I135" s="163" t="str">
        <f>IF($C135,'Proyecto Datos (OKR´s)'!$J135,"")</f>
        <v/>
      </c>
      <c r="J135" s="164" t="str">
        <f ca="1">IF($C135,IF($I135&gt;=1,"Completado",IF($H135&lt;TODAY(),"Vencido",IF(($H135-TODAY())&lt;='Entregas Próximas'!$M$3,"Próximo a vencer","En curso"))),"")</f>
        <v/>
      </c>
      <c r="K135" s="163" t="str">
        <f t="shared" ref="K135:K166" ca="1" si="86">IF($C135,$H135-TODAY(),"")</f>
        <v/>
      </c>
      <c r="L135" s="163" t="str">
        <f t="shared" ref="L135:L166" si="87">IF($C135,$AD135*1000000+$H135+ROW()/100000,"")</f>
        <v/>
      </c>
      <c r="M135" s="163" t="str">
        <f t="shared" ref="M135:M166" si="88">IF($C135,IF($AD135=9999,"(Sin sprint)",$AD135),"")</f>
        <v/>
      </c>
      <c r="N135" s="163" t="str">
        <f>IF($C135,IF('Proyecto Datos (OKR´s)'!$E135="",9999,'Proyecto Datos (OKR´s)'!$E135),"")</f>
        <v/>
      </c>
      <c r="O135" s="163" t="str">
        <f t="shared" ref="O135:O166" si="89">IF($C135,"T"&amp;TEXT(ROW(),"000"),"")</f>
        <v/>
      </c>
      <c r="R135" s="163" t="str">
        <f>IF($C135,IF(ISNUMBER('Proyecto Datos (OKR´s)'!$L135),'Proyecto Datos (OKR´s)'!$L135,$H135),"")</f>
        <v/>
      </c>
      <c r="S135" s="163" t="str">
        <f>IF($C135,$R135-'Proyecto Datos (OKR´s)'!$K135+1,"")</f>
        <v/>
      </c>
      <c r="T135" s="163" t="str">
        <f ca="1">IF($C135,MAX(0,TODAY()-'Proyecto Datos (OKR´s)'!$K135),"")</f>
        <v/>
      </c>
      <c r="U135" s="163" t="str">
        <f ca="1">IF($C135,MEDIAN(0,(TODAY()-'Proyecto Datos (OKR´s)'!$K135)/MAX(1,$R135-'Proyecto Datos (OKR´s)'!$K135),1),"")</f>
        <v/>
      </c>
      <c r="V135" s="163" t="str">
        <f t="shared" ref="V135:V166" si="90">IF($C135,$I135-$U135,"")</f>
        <v/>
      </c>
      <c r="W135" s="163" t="str">
        <f t="shared" ref="W135:W166" ca="1" si="91">IF($C135,IF($J135="Completado",0,MAX(0,TODAY()-$H135)),"")</f>
        <v/>
      </c>
      <c r="X135" s="163" t="str">
        <f t="shared" ref="X135:X166" si="92">IF($C135,IF(ISNUMBER($H135),$R135-$H135,0),"")</f>
        <v/>
      </c>
      <c r="Y135" s="163" t="str">
        <f t="shared" ref="Y135:Y166" si="93">IF($C135,COUNTIFS($G$7:$G$200,$G135,$J$7:$J$200,"&lt;&gt;Completado",$J$7:$J$200,"&lt;&gt;"),"")</f>
        <v/>
      </c>
      <c r="Z135" s="163" t="str">
        <f ca="1">IF($C135,AND($I135=0,'Proyecto Datos (OKR´s)'!$K135&lt;=TODAY(),$J135&lt;&gt;"Completado"),"")</f>
        <v/>
      </c>
      <c r="AA135" s="163" t="str">
        <f t="shared" ref="AA135:AA166" si="94">IF($C135,ROUND(100*(0.35*$AK135+0.3*$AL135+0.2*$AM135+0.15*MEDIAN(0,($Y135-4)/8,1)),0),"")</f>
        <v/>
      </c>
      <c r="AB135" s="164" t="str">
        <f t="shared" ref="AB135:AB166" si="95">IF($C135,IF($J135="Completado","—",IF($AA135&gt;=70,"Crítica",IF($AA135&gt;=45,"Alta",IF($AA135&gt;=25,"Media","Baja")))),"")</f>
        <v/>
      </c>
      <c r="AC135" s="164" t="str">
        <f t="shared" ref="AC135:AC166" si="96">IF($C135,IF(LEN(TRIM($AN135))=0,"—",TRIM($AN135)),"")</f>
        <v/>
      </c>
      <c r="AD135" s="163" t="str">
        <f>IF($C135,IF($N135=9999,9999,IF($J135="Completado",$N135,MAX($N135,Sprints!$M$15))),"")</f>
        <v/>
      </c>
      <c r="AE135" s="163" t="str">
        <f t="shared" ref="AE135:AE166" si="97">IF($C135,IF($AD135=9999,"(Sin sprint)",$AD135),"")</f>
        <v/>
      </c>
      <c r="AF135" s="163" t="b">
        <f t="shared" ref="AF135:AF166" si="98">IF($C135,AND($N135&lt;&gt;9999,$AD135&lt;&gt;$N135),FALSE)</f>
        <v>0</v>
      </c>
      <c r="AG135" s="163" t="str">
        <f t="shared" ref="AG135:AG166" si="99">IF($AF135,$AO135,"")</f>
        <v/>
      </c>
      <c r="AH135" s="164" t="str">
        <f>IF($AF135,IF(Sprints!$I135&lt;&gt;"",Sprints!$I135,"Comprometida y no completada al cierre del Sprint "&amp;$N135),"")</f>
        <v/>
      </c>
      <c r="AI135" s="163" t="str">
        <f t="shared" ref="AI135:AI166" si="100">IF($AF135,$N135*100000+ROW(),"")</f>
        <v/>
      </c>
      <c r="AJ135" s="163" t="str">
        <f t="shared" ref="AJ135:AJ166" si="101">IF($C135,$AA135*1000000-MEDIAN(-9999,$K135,9999)*100+(300-ROW()),"")</f>
        <v/>
      </c>
      <c r="AK135" s="163" t="str">
        <f t="shared" ref="AK135:AK166" si="102">IF($C135,IF($J135="Completado",0,IF($K135&lt;0,1,IF($K135&lt;=3,0.9,IF($K135&lt;=7,0.7,IF($K135&lt;=14,0.45,0.2))))),"")</f>
        <v/>
      </c>
      <c r="AL135" s="163" t="str">
        <f t="shared" ref="AL135:AL166" si="103">IF($C135,IF($J135="Completado",0,MEDIAN(0,MAX(-$V135,$W135/30),1)),"")</f>
        <v/>
      </c>
      <c r="AM135" s="163" t="str">
        <f t="shared" ref="AM135:AM166" si="104">IF($C135,IF($J135="Completado",0,IF($Z135,1,IF(AND($I135&lt;0.5,$K135&lt;=7),0.7,0.3))),"")</f>
        <v/>
      </c>
      <c r="AN135" s="164" t="str">
        <f t="shared" ref="AN135:AN166" si="105">IF($C135,IF(OR($V135&lt;-0.2,$W135&gt;0),"ATRASO ","")&amp;IF($Z135,"BLOQUEO ","")&amp;IF($Y135&gt;8,"SOBRECARGA ","")&amp;IF($X135&gt;0,"DESVÍO-PLAN ",""),"")</f>
        <v/>
      </c>
      <c r="AO135" s="163" t="str">
        <f>IF($C135,IFERROR(INDEX(Sprints!$M$6:$M$13,MATCH($N135,Sprints!$K$6:$K$13,0)),""),"")</f>
        <v/>
      </c>
      <c r="AP135" s="163" t="str">
        <f t="shared" ref="AP135:AP166" ca="1" si="106">IF($C135,IF(AND($N135&lt;&gt;9999,$AD135&lt;&gt;$N135,ISNUMBER($AO135)),TODAY()-$AO135,0),"")</f>
        <v/>
      </c>
    </row>
    <row r="136" spans="1:42" x14ac:dyDescent="0.35">
      <c r="A136" s="163">
        <f>ROW()</f>
        <v>136</v>
      </c>
      <c r="B136" s="163" t="b">
        <f>ISTEXT('Proyecto Datos (OKR´s)'!$K136)</f>
        <v>0</v>
      </c>
      <c r="C136" s="163" t="b">
        <f>AND(LEN('Proyecto Datos (OKR´s)'!$G136)&gt;0,NOT($B136),OR(ISNUMBER('Proyecto Datos (OKR´s)'!$F136),ISNUMBER('Proyecto Datos (OKR´s)'!$L136)))</f>
        <v>0</v>
      </c>
      <c r="D136" s="164" t="str">
        <f>IF($C136,IFERROR(LOOKUP(2,1/((ISTEXT('Proyecto Datos (OKR´s)'!$K$7:$K136))*(LEN('Proyecto Datos (OKR´s)'!$G$7:$G136)&gt;0)),'Proyecto Datos (OKR´s)'!$G$7:$G136),""),"")</f>
        <v/>
      </c>
      <c r="E136" s="163" t="str">
        <f>IF($C136,'Proyecto Datos (OKR´s)'!$E136,"")</f>
        <v/>
      </c>
      <c r="F136" s="164" t="str">
        <f>IF($C136,'Proyecto Datos (OKR´s)'!$G136,"")</f>
        <v/>
      </c>
      <c r="G136" s="164" t="str">
        <f>IF($C136,IF('Proyecto Datos (OKR´s)'!$I136="","(Sin asignar)",'Proyecto Datos (OKR´s)'!$I136),"")</f>
        <v/>
      </c>
      <c r="H136" s="163" t="str">
        <f>IF($C136,IF(ISNUMBER('Proyecto Datos (OKR´s)'!$F136),'Proyecto Datos (OKR´s)'!$F136,'Proyecto Datos (OKR´s)'!$L136),"")</f>
        <v/>
      </c>
      <c r="I136" s="163" t="str">
        <f>IF($C136,'Proyecto Datos (OKR´s)'!$J136,"")</f>
        <v/>
      </c>
      <c r="J136" s="164" t="str">
        <f ca="1">IF($C136,IF($I136&gt;=1,"Completado",IF($H136&lt;TODAY(),"Vencido",IF(($H136-TODAY())&lt;='Entregas Próximas'!$M$3,"Próximo a vencer","En curso"))),"")</f>
        <v/>
      </c>
      <c r="K136" s="163" t="str">
        <f t="shared" ca="1" si="86"/>
        <v/>
      </c>
      <c r="L136" s="163" t="str">
        <f t="shared" si="87"/>
        <v/>
      </c>
      <c r="M136" s="163" t="str">
        <f t="shared" si="88"/>
        <v/>
      </c>
      <c r="N136" s="163" t="str">
        <f>IF($C136,IF('Proyecto Datos (OKR´s)'!$E136="",9999,'Proyecto Datos (OKR´s)'!$E136),"")</f>
        <v/>
      </c>
      <c r="O136" s="163" t="str">
        <f t="shared" si="89"/>
        <v/>
      </c>
      <c r="R136" s="163" t="str">
        <f>IF($C136,IF(ISNUMBER('Proyecto Datos (OKR´s)'!$L136),'Proyecto Datos (OKR´s)'!$L136,$H136),"")</f>
        <v/>
      </c>
      <c r="S136" s="163" t="str">
        <f>IF($C136,$R136-'Proyecto Datos (OKR´s)'!$K136+1,"")</f>
        <v/>
      </c>
      <c r="T136" s="163" t="str">
        <f ca="1">IF($C136,MAX(0,TODAY()-'Proyecto Datos (OKR´s)'!$K136),"")</f>
        <v/>
      </c>
      <c r="U136" s="163" t="str">
        <f ca="1">IF($C136,MEDIAN(0,(TODAY()-'Proyecto Datos (OKR´s)'!$K136)/MAX(1,$R136-'Proyecto Datos (OKR´s)'!$K136),1),"")</f>
        <v/>
      </c>
      <c r="V136" s="163" t="str">
        <f t="shared" si="90"/>
        <v/>
      </c>
      <c r="W136" s="163" t="str">
        <f t="shared" ca="1" si="91"/>
        <v/>
      </c>
      <c r="X136" s="163" t="str">
        <f t="shared" si="92"/>
        <v/>
      </c>
      <c r="Y136" s="163" t="str">
        <f t="shared" si="93"/>
        <v/>
      </c>
      <c r="Z136" s="163" t="str">
        <f ca="1">IF($C136,AND($I136=0,'Proyecto Datos (OKR´s)'!$K136&lt;=TODAY(),$J136&lt;&gt;"Completado"),"")</f>
        <v/>
      </c>
      <c r="AA136" s="163" t="str">
        <f t="shared" si="94"/>
        <v/>
      </c>
      <c r="AB136" s="164" t="str">
        <f t="shared" si="95"/>
        <v/>
      </c>
      <c r="AC136" s="164" t="str">
        <f t="shared" si="96"/>
        <v/>
      </c>
      <c r="AD136" s="163" t="str">
        <f>IF($C136,IF($N136=9999,9999,IF($J136="Completado",$N136,MAX($N136,Sprints!$M$15))),"")</f>
        <v/>
      </c>
      <c r="AE136" s="163" t="str">
        <f t="shared" si="97"/>
        <v/>
      </c>
      <c r="AF136" s="163" t="b">
        <f t="shared" si="98"/>
        <v>0</v>
      </c>
      <c r="AG136" s="163" t="str">
        <f t="shared" si="99"/>
        <v/>
      </c>
      <c r="AH136" s="164" t="str">
        <f>IF($AF136,IF(Sprints!$I136&lt;&gt;"",Sprints!$I136,"Comprometida y no completada al cierre del Sprint "&amp;$N136),"")</f>
        <v/>
      </c>
      <c r="AI136" s="163" t="str">
        <f t="shared" si="100"/>
        <v/>
      </c>
      <c r="AJ136" s="163" t="str">
        <f t="shared" si="101"/>
        <v/>
      </c>
      <c r="AK136" s="163" t="str">
        <f t="shared" si="102"/>
        <v/>
      </c>
      <c r="AL136" s="163" t="str">
        <f t="shared" si="103"/>
        <v/>
      </c>
      <c r="AM136" s="163" t="str">
        <f t="shared" si="104"/>
        <v/>
      </c>
      <c r="AN136" s="164" t="str">
        <f t="shared" si="105"/>
        <v/>
      </c>
      <c r="AO136" s="163" t="str">
        <f>IF($C136,IFERROR(INDEX(Sprints!$M$6:$M$13,MATCH($N136,Sprints!$K$6:$K$13,0)),""),"")</f>
        <v/>
      </c>
      <c r="AP136" s="163" t="str">
        <f t="shared" ca="1" si="106"/>
        <v/>
      </c>
    </row>
    <row r="137" spans="1:42" x14ac:dyDescent="0.35">
      <c r="A137" s="163">
        <f>ROW()</f>
        <v>137</v>
      </c>
      <c r="B137" s="163" t="b">
        <f>ISTEXT('Proyecto Datos (OKR´s)'!$K137)</f>
        <v>0</v>
      </c>
      <c r="C137" s="163" t="b">
        <f>AND(LEN('Proyecto Datos (OKR´s)'!$G137)&gt;0,NOT($B137),OR(ISNUMBER('Proyecto Datos (OKR´s)'!$F137),ISNUMBER('Proyecto Datos (OKR´s)'!$L137)))</f>
        <v>0</v>
      </c>
      <c r="D137" s="164" t="str">
        <f>IF($C137,IFERROR(LOOKUP(2,1/((ISTEXT('Proyecto Datos (OKR´s)'!$K$7:$K137))*(LEN('Proyecto Datos (OKR´s)'!$G$7:$G137)&gt;0)),'Proyecto Datos (OKR´s)'!$G$7:$G137),""),"")</f>
        <v/>
      </c>
      <c r="E137" s="163" t="str">
        <f>IF($C137,'Proyecto Datos (OKR´s)'!$E137,"")</f>
        <v/>
      </c>
      <c r="F137" s="164" t="str">
        <f>IF($C137,'Proyecto Datos (OKR´s)'!$G137,"")</f>
        <v/>
      </c>
      <c r="G137" s="164" t="str">
        <f>IF($C137,IF('Proyecto Datos (OKR´s)'!$I137="","(Sin asignar)",'Proyecto Datos (OKR´s)'!$I137),"")</f>
        <v/>
      </c>
      <c r="H137" s="163" t="str">
        <f>IF($C137,IF(ISNUMBER('Proyecto Datos (OKR´s)'!$F137),'Proyecto Datos (OKR´s)'!$F137,'Proyecto Datos (OKR´s)'!$L137),"")</f>
        <v/>
      </c>
      <c r="I137" s="163" t="str">
        <f>IF($C137,'Proyecto Datos (OKR´s)'!$J137,"")</f>
        <v/>
      </c>
      <c r="J137" s="164" t="str">
        <f ca="1">IF($C137,IF($I137&gt;=1,"Completado",IF($H137&lt;TODAY(),"Vencido",IF(($H137-TODAY())&lt;='Entregas Próximas'!$M$3,"Próximo a vencer","En curso"))),"")</f>
        <v/>
      </c>
      <c r="K137" s="163" t="str">
        <f t="shared" ca="1" si="86"/>
        <v/>
      </c>
      <c r="L137" s="163" t="str">
        <f t="shared" si="87"/>
        <v/>
      </c>
      <c r="M137" s="163" t="str">
        <f t="shared" si="88"/>
        <v/>
      </c>
      <c r="N137" s="163" t="str">
        <f>IF($C137,IF('Proyecto Datos (OKR´s)'!$E137="",9999,'Proyecto Datos (OKR´s)'!$E137),"")</f>
        <v/>
      </c>
      <c r="O137" s="163" t="str">
        <f t="shared" si="89"/>
        <v/>
      </c>
      <c r="R137" s="163" t="str">
        <f>IF($C137,IF(ISNUMBER('Proyecto Datos (OKR´s)'!$L137),'Proyecto Datos (OKR´s)'!$L137,$H137),"")</f>
        <v/>
      </c>
      <c r="S137" s="163" t="str">
        <f>IF($C137,$R137-'Proyecto Datos (OKR´s)'!$K137+1,"")</f>
        <v/>
      </c>
      <c r="T137" s="163" t="str">
        <f ca="1">IF($C137,MAX(0,TODAY()-'Proyecto Datos (OKR´s)'!$K137),"")</f>
        <v/>
      </c>
      <c r="U137" s="163" t="str">
        <f ca="1">IF($C137,MEDIAN(0,(TODAY()-'Proyecto Datos (OKR´s)'!$K137)/MAX(1,$R137-'Proyecto Datos (OKR´s)'!$K137),1),"")</f>
        <v/>
      </c>
      <c r="V137" s="163" t="str">
        <f t="shared" si="90"/>
        <v/>
      </c>
      <c r="W137" s="163" t="str">
        <f t="shared" ca="1" si="91"/>
        <v/>
      </c>
      <c r="X137" s="163" t="str">
        <f t="shared" si="92"/>
        <v/>
      </c>
      <c r="Y137" s="163" t="str">
        <f t="shared" si="93"/>
        <v/>
      </c>
      <c r="Z137" s="163" t="str">
        <f ca="1">IF($C137,AND($I137=0,'Proyecto Datos (OKR´s)'!$K137&lt;=TODAY(),$J137&lt;&gt;"Completado"),"")</f>
        <v/>
      </c>
      <c r="AA137" s="163" t="str">
        <f t="shared" si="94"/>
        <v/>
      </c>
      <c r="AB137" s="164" t="str">
        <f t="shared" si="95"/>
        <v/>
      </c>
      <c r="AC137" s="164" t="str">
        <f t="shared" si="96"/>
        <v/>
      </c>
      <c r="AD137" s="163" t="str">
        <f>IF($C137,IF($N137=9999,9999,IF($J137="Completado",$N137,MAX($N137,Sprints!$M$15))),"")</f>
        <v/>
      </c>
      <c r="AE137" s="163" t="str">
        <f t="shared" si="97"/>
        <v/>
      </c>
      <c r="AF137" s="163" t="b">
        <f t="shared" si="98"/>
        <v>0</v>
      </c>
      <c r="AG137" s="163" t="str">
        <f t="shared" si="99"/>
        <v/>
      </c>
      <c r="AH137" s="164" t="str">
        <f>IF($AF137,IF(Sprints!$I137&lt;&gt;"",Sprints!$I137,"Comprometida y no completada al cierre del Sprint "&amp;$N137),"")</f>
        <v/>
      </c>
      <c r="AI137" s="163" t="str">
        <f t="shared" si="100"/>
        <v/>
      </c>
      <c r="AJ137" s="163" t="str">
        <f t="shared" si="101"/>
        <v/>
      </c>
      <c r="AK137" s="163" t="str">
        <f t="shared" si="102"/>
        <v/>
      </c>
      <c r="AL137" s="163" t="str">
        <f t="shared" si="103"/>
        <v/>
      </c>
      <c r="AM137" s="163" t="str">
        <f t="shared" si="104"/>
        <v/>
      </c>
      <c r="AN137" s="164" t="str">
        <f t="shared" si="105"/>
        <v/>
      </c>
      <c r="AO137" s="163" t="str">
        <f>IF($C137,IFERROR(INDEX(Sprints!$M$6:$M$13,MATCH($N137,Sprints!$K$6:$K$13,0)),""),"")</f>
        <v/>
      </c>
      <c r="AP137" s="163" t="str">
        <f t="shared" ca="1" si="106"/>
        <v/>
      </c>
    </row>
    <row r="138" spans="1:42" x14ac:dyDescent="0.35">
      <c r="A138" s="163">
        <f>ROW()</f>
        <v>138</v>
      </c>
      <c r="B138" s="163" t="b">
        <f>ISTEXT('Proyecto Datos (OKR´s)'!$K138)</f>
        <v>0</v>
      </c>
      <c r="C138" s="163" t="b">
        <f>AND(LEN('Proyecto Datos (OKR´s)'!$G138)&gt;0,NOT($B138),OR(ISNUMBER('Proyecto Datos (OKR´s)'!$F138),ISNUMBER('Proyecto Datos (OKR´s)'!$L138)))</f>
        <v>0</v>
      </c>
      <c r="D138" s="164" t="str">
        <f>IF($C138,IFERROR(LOOKUP(2,1/((ISTEXT('Proyecto Datos (OKR´s)'!$K$7:$K138))*(LEN('Proyecto Datos (OKR´s)'!$G$7:$G138)&gt;0)),'Proyecto Datos (OKR´s)'!$G$7:$G138),""),"")</f>
        <v/>
      </c>
      <c r="E138" s="163" t="str">
        <f>IF($C138,'Proyecto Datos (OKR´s)'!$E138,"")</f>
        <v/>
      </c>
      <c r="F138" s="164" t="str">
        <f>IF($C138,'Proyecto Datos (OKR´s)'!$G138,"")</f>
        <v/>
      </c>
      <c r="G138" s="164" t="str">
        <f>IF($C138,IF('Proyecto Datos (OKR´s)'!$I138="","(Sin asignar)",'Proyecto Datos (OKR´s)'!$I138),"")</f>
        <v/>
      </c>
      <c r="H138" s="163" t="str">
        <f>IF($C138,IF(ISNUMBER('Proyecto Datos (OKR´s)'!$F138),'Proyecto Datos (OKR´s)'!$F138,'Proyecto Datos (OKR´s)'!$L138),"")</f>
        <v/>
      </c>
      <c r="I138" s="163" t="str">
        <f>IF($C138,'Proyecto Datos (OKR´s)'!$J138,"")</f>
        <v/>
      </c>
      <c r="J138" s="164" t="str">
        <f ca="1">IF($C138,IF($I138&gt;=1,"Completado",IF($H138&lt;TODAY(),"Vencido",IF(($H138-TODAY())&lt;='Entregas Próximas'!$M$3,"Próximo a vencer","En curso"))),"")</f>
        <v/>
      </c>
      <c r="K138" s="163" t="str">
        <f t="shared" ca="1" si="86"/>
        <v/>
      </c>
      <c r="L138" s="163" t="str">
        <f t="shared" si="87"/>
        <v/>
      </c>
      <c r="M138" s="163" t="str">
        <f t="shared" si="88"/>
        <v/>
      </c>
      <c r="N138" s="163" t="str">
        <f>IF($C138,IF('Proyecto Datos (OKR´s)'!$E138="",9999,'Proyecto Datos (OKR´s)'!$E138),"")</f>
        <v/>
      </c>
      <c r="O138" s="163" t="str">
        <f t="shared" si="89"/>
        <v/>
      </c>
      <c r="R138" s="163" t="str">
        <f>IF($C138,IF(ISNUMBER('Proyecto Datos (OKR´s)'!$L138),'Proyecto Datos (OKR´s)'!$L138,$H138),"")</f>
        <v/>
      </c>
      <c r="S138" s="163" t="str">
        <f>IF($C138,$R138-'Proyecto Datos (OKR´s)'!$K138+1,"")</f>
        <v/>
      </c>
      <c r="T138" s="163" t="str">
        <f ca="1">IF($C138,MAX(0,TODAY()-'Proyecto Datos (OKR´s)'!$K138),"")</f>
        <v/>
      </c>
      <c r="U138" s="163" t="str">
        <f ca="1">IF($C138,MEDIAN(0,(TODAY()-'Proyecto Datos (OKR´s)'!$K138)/MAX(1,$R138-'Proyecto Datos (OKR´s)'!$K138),1),"")</f>
        <v/>
      </c>
      <c r="V138" s="163" t="str">
        <f t="shared" si="90"/>
        <v/>
      </c>
      <c r="W138" s="163" t="str">
        <f t="shared" ca="1" si="91"/>
        <v/>
      </c>
      <c r="X138" s="163" t="str">
        <f t="shared" si="92"/>
        <v/>
      </c>
      <c r="Y138" s="163" t="str">
        <f t="shared" si="93"/>
        <v/>
      </c>
      <c r="Z138" s="163" t="str">
        <f ca="1">IF($C138,AND($I138=0,'Proyecto Datos (OKR´s)'!$K138&lt;=TODAY(),$J138&lt;&gt;"Completado"),"")</f>
        <v/>
      </c>
      <c r="AA138" s="163" t="str">
        <f t="shared" si="94"/>
        <v/>
      </c>
      <c r="AB138" s="164" t="str">
        <f t="shared" si="95"/>
        <v/>
      </c>
      <c r="AC138" s="164" t="str">
        <f t="shared" si="96"/>
        <v/>
      </c>
      <c r="AD138" s="163" t="str">
        <f>IF($C138,IF($N138=9999,9999,IF($J138="Completado",$N138,MAX($N138,Sprints!$M$15))),"")</f>
        <v/>
      </c>
      <c r="AE138" s="163" t="str">
        <f t="shared" si="97"/>
        <v/>
      </c>
      <c r="AF138" s="163" t="b">
        <f t="shared" si="98"/>
        <v>0</v>
      </c>
      <c r="AG138" s="163" t="str">
        <f t="shared" si="99"/>
        <v/>
      </c>
      <c r="AH138" s="164" t="str">
        <f>IF($AF138,IF(Sprints!$I138&lt;&gt;"",Sprints!$I138,"Comprometida y no completada al cierre del Sprint "&amp;$N138),"")</f>
        <v/>
      </c>
      <c r="AI138" s="163" t="str">
        <f t="shared" si="100"/>
        <v/>
      </c>
      <c r="AJ138" s="163" t="str">
        <f t="shared" si="101"/>
        <v/>
      </c>
      <c r="AK138" s="163" t="str">
        <f t="shared" si="102"/>
        <v/>
      </c>
      <c r="AL138" s="163" t="str">
        <f t="shared" si="103"/>
        <v/>
      </c>
      <c r="AM138" s="163" t="str">
        <f t="shared" si="104"/>
        <v/>
      </c>
      <c r="AN138" s="164" t="str">
        <f t="shared" si="105"/>
        <v/>
      </c>
      <c r="AO138" s="163" t="str">
        <f>IF($C138,IFERROR(INDEX(Sprints!$M$6:$M$13,MATCH($N138,Sprints!$K$6:$K$13,0)),""),"")</f>
        <v/>
      </c>
      <c r="AP138" s="163" t="str">
        <f t="shared" ca="1" si="106"/>
        <v/>
      </c>
    </row>
    <row r="139" spans="1:42" x14ac:dyDescent="0.35">
      <c r="A139" s="163">
        <f>ROW()</f>
        <v>139</v>
      </c>
      <c r="B139" s="163" t="b">
        <f>ISTEXT('Proyecto Datos (OKR´s)'!$K139)</f>
        <v>0</v>
      </c>
      <c r="C139" s="163" t="b">
        <f>AND(LEN('Proyecto Datos (OKR´s)'!$G139)&gt;0,NOT($B139),OR(ISNUMBER('Proyecto Datos (OKR´s)'!$F139),ISNUMBER('Proyecto Datos (OKR´s)'!$L139)))</f>
        <v>0</v>
      </c>
      <c r="D139" s="164" t="str">
        <f>IF($C139,IFERROR(LOOKUP(2,1/((ISTEXT('Proyecto Datos (OKR´s)'!$K$7:$K139))*(LEN('Proyecto Datos (OKR´s)'!$G$7:$G139)&gt;0)),'Proyecto Datos (OKR´s)'!$G$7:$G139),""),"")</f>
        <v/>
      </c>
      <c r="E139" s="163" t="str">
        <f>IF($C139,'Proyecto Datos (OKR´s)'!$E139,"")</f>
        <v/>
      </c>
      <c r="F139" s="164" t="str">
        <f>IF($C139,'Proyecto Datos (OKR´s)'!$G139,"")</f>
        <v/>
      </c>
      <c r="G139" s="164" t="str">
        <f>IF($C139,IF('Proyecto Datos (OKR´s)'!$I139="","(Sin asignar)",'Proyecto Datos (OKR´s)'!$I139),"")</f>
        <v/>
      </c>
      <c r="H139" s="163" t="str">
        <f>IF($C139,IF(ISNUMBER('Proyecto Datos (OKR´s)'!$F139),'Proyecto Datos (OKR´s)'!$F139,'Proyecto Datos (OKR´s)'!$L139),"")</f>
        <v/>
      </c>
      <c r="I139" s="163" t="str">
        <f>IF($C139,'Proyecto Datos (OKR´s)'!$J139,"")</f>
        <v/>
      </c>
      <c r="J139" s="164" t="str">
        <f ca="1">IF($C139,IF($I139&gt;=1,"Completado",IF($H139&lt;TODAY(),"Vencido",IF(($H139-TODAY())&lt;='Entregas Próximas'!$M$3,"Próximo a vencer","En curso"))),"")</f>
        <v/>
      </c>
      <c r="K139" s="163" t="str">
        <f t="shared" ca="1" si="86"/>
        <v/>
      </c>
      <c r="L139" s="163" t="str">
        <f t="shared" si="87"/>
        <v/>
      </c>
      <c r="M139" s="163" t="str">
        <f t="shared" si="88"/>
        <v/>
      </c>
      <c r="N139" s="163" t="str">
        <f>IF($C139,IF('Proyecto Datos (OKR´s)'!$E139="",9999,'Proyecto Datos (OKR´s)'!$E139),"")</f>
        <v/>
      </c>
      <c r="O139" s="163" t="str">
        <f t="shared" si="89"/>
        <v/>
      </c>
      <c r="R139" s="163" t="str">
        <f>IF($C139,IF(ISNUMBER('Proyecto Datos (OKR´s)'!$L139),'Proyecto Datos (OKR´s)'!$L139,$H139),"")</f>
        <v/>
      </c>
      <c r="S139" s="163" t="str">
        <f>IF($C139,$R139-'Proyecto Datos (OKR´s)'!$K139+1,"")</f>
        <v/>
      </c>
      <c r="T139" s="163" t="str">
        <f ca="1">IF($C139,MAX(0,TODAY()-'Proyecto Datos (OKR´s)'!$K139),"")</f>
        <v/>
      </c>
      <c r="U139" s="163" t="str">
        <f ca="1">IF($C139,MEDIAN(0,(TODAY()-'Proyecto Datos (OKR´s)'!$K139)/MAX(1,$R139-'Proyecto Datos (OKR´s)'!$K139),1),"")</f>
        <v/>
      </c>
      <c r="V139" s="163" t="str">
        <f t="shared" si="90"/>
        <v/>
      </c>
      <c r="W139" s="163" t="str">
        <f t="shared" ca="1" si="91"/>
        <v/>
      </c>
      <c r="X139" s="163" t="str">
        <f t="shared" si="92"/>
        <v/>
      </c>
      <c r="Y139" s="163" t="str">
        <f t="shared" si="93"/>
        <v/>
      </c>
      <c r="Z139" s="163" t="str">
        <f ca="1">IF($C139,AND($I139=0,'Proyecto Datos (OKR´s)'!$K139&lt;=TODAY(),$J139&lt;&gt;"Completado"),"")</f>
        <v/>
      </c>
      <c r="AA139" s="163" t="str">
        <f t="shared" si="94"/>
        <v/>
      </c>
      <c r="AB139" s="164" t="str">
        <f t="shared" si="95"/>
        <v/>
      </c>
      <c r="AC139" s="164" t="str">
        <f t="shared" si="96"/>
        <v/>
      </c>
      <c r="AD139" s="163" t="str">
        <f>IF($C139,IF($N139=9999,9999,IF($J139="Completado",$N139,MAX($N139,Sprints!$M$15))),"")</f>
        <v/>
      </c>
      <c r="AE139" s="163" t="str">
        <f t="shared" si="97"/>
        <v/>
      </c>
      <c r="AF139" s="163" t="b">
        <f t="shared" si="98"/>
        <v>0</v>
      </c>
      <c r="AG139" s="163" t="str">
        <f t="shared" si="99"/>
        <v/>
      </c>
      <c r="AH139" s="164" t="str">
        <f>IF($AF139,IF(Sprints!$I139&lt;&gt;"",Sprints!$I139,"Comprometida y no completada al cierre del Sprint "&amp;$N139),"")</f>
        <v/>
      </c>
      <c r="AI139" s="163" t="str">
        <f t="shared" si="100"/>
        <v/>
      </c>
      <c r="AJ139" s="163" t="str">
        <f t="shared" si="101"/>
        <v/>
      </c>
      <c r="AK139" s="163" t="str">
        <f t="shared" si="102"/>
        <v/>
      </c>
      <c r="AL139" s="163" t="str">
        <f t="shared" si="103"/>
        <v/>
      </c>
      <c r="AM139" s="163" t="str">
        <f t="shared" si="104"/>
        <v/>
      </c>
      <c r="AN139" s="164" t="str">
        <f t="shared" si="105"/>
        <v/>
      </c>
      <c r="AO139" s="163" t="str">
        <f>IF($C139,IFERROR(INDEX(Sprints!$M$6:$M$13,MATCH($N139,Sprints!$K$6:$K$13,0)),""),"")</f>
        <v/>
      </c>
      <c r="AP139" s="163" t="str">
        <f t="shared" ca="1" si="106"/>
        <v/>
      </c>
    </row>
    <row r="140" spans="1:42" x14ac:dyDescent="0.35">
      <c r="A140" s="163">
        <f>ROW()</f>
        <v>140</v>
      </c>
      <c r="B140" s="163" t="b">
        <f>ISTEXT('Proyecto Datos (OKR´s)'!$K140)</f>
        <v>0</v>
      </c>
      <c r="C140" s="163" t="b">
        <f>AND(LEN('Proyecto Datos (OKR´s)'!$G140)&gt;0,NOT($B140),OR(ISNUMBER('Proyecto Datos (OKR´s)'!$F140),ISNUMBER('Proyecto Datos (OKR´s)'!$L140)))</f>
        <v>0</v>
      </c>
      <c r="D140" s="164" t="str">
        <f>IF($C140,IFERROR(LOOKUP(2,1/((ISTEXT('Proyecto Datos (OKR´s)'!$K$7:$K140))*(LEN('Proyecto Datos (OKR´s)'!$G$7:$G140)&gt;0)),'Proyecto Datos (OKR´s)'!$G$7:$G140),""),"")</f>
        <v/>
      </c>
      <c r="E140" s="163" t="str">
        <f>IF($C140,'Proyecto Datos (OKR´s)'!$E140,"")</f>
        <v/>
      </c>
      <c r="F140" s="164" t="str">
        <f>IF($C140,'Proyecto Datos (OKR´s)'!$G140,"")</f>
        <v/>
      </c>
      <c r="G140" s="164" t="str">
        <f>IF($C140,IF('Proyecto Datos (OKR´s)'!$I140="","(Sin asignar)",'Proyecto Datos (OKR´s)'!$I140),"")</f>
        <v/>
      </c>
      <c r="H140" s="163" t="str">
        <f>IF($C140,IF(ISNUMBER('Proyecto Datos (OKR´s)'!$F140),'Proyecto Datos (OKR´s)'!$F140,'Proyecto Datos (OKR´s)'!$L140),"")</f>
        <v/>
      </c>
      <c r="I140" s="163" t="str">
        <f>IF($C140,'Proyecto Datos (OKR´s)'!$J140,"")</f>
        <v/>
      </c>
      <c r="J140" s="164" t="str">
        <f ca="1">IF($C140,IF($I140&gt;=1,"Completado",IF($H140&lt;TODAY(),"Vencido",IF(($H140-TODAY())&lt;='Entregas Próximas'!$M$3,"Próximo a vencer","En curso"))),"")</f>
        <v/>
      </c>
      <c r="K140" s="163" t="str">
        <f t="shared" ca="1" si="86"/>
        <v/>
      </c>
      <c r="L140" s="163" t="str">
        <f t="shared" si="87"/>
        <v/>
      </c>
      <c r="M140" s="163" t="str">
        <f t="shared" si="88"/>
        <v/>
      </c>
      <c r="N140" s="163" t="str">
        <f>IF($C140,IF('Proyecto Datos (OKR´s)'!$E140="",9999,'Proyecto Datos (OKR´s)'!$E140),"")</f>
        <v/>
      </c>
      <c r="O140" s="163" t="str">
        <f t="shared" si="89"/>
        <v/>
      </c>
      <c r="R140" s="163" t="str">
        <f>IF($C140,IF(ISNUMBER('Proyecto Datos (OKR´s)'!$L140),'Proyecto Datos (OKR´s)'!$L140,$H140),"")</f>
        <v/>
      </c>
      <c r="S140" s="163" t="str">
        <f>IF($C140,$R140-'Proyecto Datos (OKR´s)'!$K140+1,"")</f>
        <v/>
      </c>
      <c r="T140" s="163" t="str">
        <f ca="1">IF($C140,MAX(0,TODAY()-'Proyecto Datos (OKR´s)'!$K140),"")</f>
        <v/>
      </c>
      <c r="U140" s="163" t="str">
        <f ca="1">IF($C140,MEDIAN(0,(TODAY()-'Proyecto Datos (OKR´s)'!$K140)/MAX(1,$R140-'Proyecto Datos (OKR´s)'!$K140),1),"")</f>
        <v/>
      </c>
      <c r="V140" s="163" t="str">
        <f t="shared" si="90"/>
        <v/>
      </c>
      <c r="W140" s="163" t="str">
        <f t="shared" ca="1" si="91"/>
        <v/>
      </c>
      <c r="X140" s="163" t="str">
        <f t="shared" si="92"/>
        <v/>
      </c>
      <c r="Y140" s="163" t="str">
        <f t="shared" si="93"/>
        <v/>
      </c>
      <c r="Z140" s="163" t="str">
        <f ca="1">IF($C140,AND($I140=0,'Proyecto Datos (OKR´s)'!$K140&lt;=TODAY(),$J140&lt;&gt;"Completado"),"")</f>
        <v/>
      </c>
      <c r="AA140" s="163" t="str">
        <f t="shared" si="94"/>
        <v/>
      </c>
      <c r="AB140" s="164" t="str">
        <f t="shared" si="95"/>
        <v/>
      </c>
      <c r="AC140" s="164" t="str">
        <f t="shared" si="96"/>
        <v/>
      </c>
      <c r="AD140" s="163" t="str">
        <f>IF($C140,IF($N140=9999,9999,IF($J140="Completado",$N140,MAX($N140,Sprints!$M$15))),"")</f>
        <v/>
      </c>
      <c r="AE140" s="163" t="str">
        <f t="shared" si="97"/>
        <v/>
      </c>
      <c r="AF140" s="163" t="b">
        <f t="shared" si="98"/>
        <v>0</v>
      </c>
      <c r="AG140" s="163" t="str">
        <f t="shared" si="99"/>
        <v/>
      </c>
      <c r="AH140" s="164" t="str">
        <f>IF($AF140,IF(Sprints!$I140&lt;&gt;"",Sprints!$I140,"Comprometida y no completada al cierre del Sprint "&amp;$N140),"")</f>
        <v/>
      </c>
      <c r="AI140" s="163" t="str">
        <f t="shared" si="100"/>
        <v/>
      </c>
      <c r="AJ140" s="163" t="str">
        <f t="shared" si="101"/>
        <v/>
      </c>
      <c r="AK140" s="163" t="str">
        <f t="shared" si="102"/>
        <v/>
      </c>
      <c r="AL140" s="163" t="str">
        <f t="shared" si="103"/>
        <v/>
      </c>
      <c r="AM140" s="163" t="str">
        <f t="shared" si="104"/>
        <v/>
      </c>
      <c r="AN140" s="164" t="str">
        <f t="shared" si="105"/>
        <v/>
      </c>
      <c r="AO140" s="163" t="str">
        <f>IF($C140,IFERROR(INDEX(Sprints!$M$6:$M$13,MATCH($N140,Sprints!$K$6:$K$13,0)),""),"")</f>
        <v/>
      </c>
      <c r="AP140" s="163" t="str">
        <f t="shared" ca="1" si="106"/>
        <v/>
      </c>
    </row>
    <row r="141" spans="1:42" x14ac:dyDescent="0.35">
      <c r="A141" s="163">
        <f>ROW()</f>
        <v>141</v>
      </c>
      <c r="B141" s="163" t="b">
        <f>ISTEXT('Proyecto Datos (OKR´s)'!$K141)</f>
        <v>0</v>
      </c>
      <c r="C141" s="163" t="b">
        <f>AND(LEN('Proyecto Datos (OKR´s)'!$G141)&gt;0,NOT($B141),OR(ISNUMBER('Proyecto Datos (OKR´s)'!$F141),ISNUMBER('Proyecto Datos (OKR´s)'!$L141)))</f>
        <v>0</v>
      </c>
      <c r="D141" s="164" t="str">
        <f>IF($C141,IFERROR(LOOKUP(2,1/((ISTEXT('Proyecto Datos (OKR´s)'!$K$7:$K141))*(LEN('Proyecto Datos (OKR´s)'!$G$7:$G141)&gt;0)),'Proyecto Datos (OKR´s)'!$G$7:$G141),""),"")</f>
        <v/>
      </c>
      <c r="E141" s="163" t="str">
        <f>IF($C141,'Proyecto Datos (OKR´s)'!$E141,"")</f>
        <v/>
      </c>
      <c r="F141" s="164" t="str">
        <f>IF($C141,'Proyecto Datos (OKR´s)'!$G141,"")</f>
        <v/>
      </c>
      <c r="G141" s="164" t="str">
        <f>IF($C141,IF('Proyecto Datos (OKR´s)'!$I141="","(Sin asignar)",'Proyecto Datos (OKR´s)'!$I141),"")</f>
        <v/>
      </c>
      <c r="H141" s="163" t="str">
        <f>IF($C141,IF(ISNUMBER('Proyecto Datos (OKR´s)'!$F141),'Proyecto Datos (OKR´s)'!$F141,'Proyecto Datos (OKR´s)'!$L141),"")</f>
        <v/>
      </c>
      <c r="I141" s="163" t="str">
        <f>IF($C141,'Proyecto Datos (OKR´s)'!$J141,"")</f>
        <v/>
      </c>
      <c r="J141" s="164" t="str">
        <f ca="1">IF($C141,IF($I141&gt;=1,"Completado",IF($H141&lt;TODAY(),"Vencido",IF(($H141-TODAY())&lt;='Entregas Próximas'!$M$3,"Próximo a vencer","En curso"))),"")</f>
        <v/>
      </c>
      <c r="K141" s="163" t="str">
        <f t="shared" ca="1" si="86"/>
        <v/>
      </c>
      <c r="L141" s="163" t="str">
        <f t="shared" si="87"/>
        <v/>
      </c>
      <c r="M141" s="163" t="str">
        <f t="shared" si="88"/>
        <v/>
      </c>
      <c r="N141" s="163" t="str">
        <f>IF($C141,IF('Proyecto Datos (OKR´s)'!$E141="",9999,'Proyecto Datos (OKR´s)'!$E141),"")</f>
        <v/>
      </c>
      <c r="O141" s="163" t="str">
        <f t="shared" si="89"/>
        <v/>
      </c>
      <c r="R141" s="163" t="str">
        <f>IF($C141,IF(ISNUMBER('Proyecto Datos (OKR´s)'!$L141),'Proyecto Datos (OKR´s)'!$L141,$H141),"")</f>
        <v/>
      </c>
      <c r="S141" s="163" t="str">
        <f>IF($C141,$R141-'Proyecto Datos (OKR´s)'!$K141+1,"")</f>
        <v/>
      </c>
      <c r="T141" s="163" t="str">
        <f ca="1">IF($C141,MAX(0,TODAY()-'Proyecto Datos (OKR´s)'!$K141),"")</f>
        <v/>
      </c>
      <c r="U141" s="163" t="str">
        <f ca="1">IF($C141,MEDIAN(0,(TODAY()-'Proyecto Datos (OKR´s)'!$K141)/MAX(1,$R141-'Proyecto Datos (OKR´s)'!$K141),1),"")</f>
        <v/>
      </c>
      <c r="V141" s="163" t="str">
        <f t="shared" si="90"/>
        <v/>
      </c>
      <c r="W141" s="163" t="str">
        <f t="shared" ca="1" si="91"/>
        <v/>
      </c>
      <c r="X141" s="163" t="str">
        <f t="shared" si="92"/>
        <v/>
      </c>
      <c r="Y141" s="163" t="str">
        <f t="shared" si="93"/>
        <v/>
      </c>
      <c r="Z141" s="163" t="str">
        <f ca="1">IF($C141,AND($I141=0,'Proyecto Datos (OKR´s)'!$K141&lt;=TODAY(),$J141&lt;&gt;"Completado"),"")</f>
        <v/>
      </c>
      <c r="AA141" s="163" t="str">
        <f t="shared" si="94"/>
        <v/>
      </c>
      <c r="AB141" s="164" t="str">
        <f t="shared" si="95"/>
        <v/>
      </c>
      <c r="AC141" s="164" t="str">
        <f t="shared" si="96"/>
        <v/>
      </c>
      <c r="AD141" s="163" t="str">
        <f>IF($C141,IF($N141=9999,9999,IF($J141="Completado",$N141,MAX($N141,Sprints!$M$15))),"")</f>
        <v/>
      </c>
      <c r="AE141" s="163" t="str">
        <f t="shared" si="97"/>
        <v/>
      </c>
      <c r="AF141" s="163" t="b">
        <f t="shared" si="98"/>
        <v>0</v>
      </c>
      <c r="AG141" s="163" t="str">
        <f t="shared" si="99"/>
        <v/>
      </c>
      <c r="AH141" s="164" t="str">
        <f>IF($AF141,IF(Sprints!$I141&lt;&gt;"",Sprints!$I141,"Comprometida y no completada al cierre del Sprint "&amp;$N141),"")</f>
        <v/>
      </c>
      <c r="AI141" s="163" t="str">
        <f t="shared" si="100"/>
        <v/>
      </c>
      <c r="AJ141" s="163" t="str">
        <f t="shared" si="101"/>
        <v/>
      </c>
      <c r="AK141" s="163" t="str">
        <f t="shared" si="102"/>
        <v/>
      </c>
      <c r="AL141" s="163" t="str">
        <f t="shared" si="103"/>
        <v/>
      </c>
      <c r="AM141" s="163" t="str">
        <f t="shared" si="104"/>
        <v/>
      </c>
      <c r="AN141" s="164" t="str">
        <f t="shared" si="105"/>
        <v/>
      </c>
      <c r="AO141" s="163" t="str">
        <f>IF($C141,IFERROR(INDEX(Sprints!$M$6:$M$13,MATCH($N141,Sprints!$K$6:$K$13,0)),""),"")</f>
        <v/>
      </c>
      <c r="AP141" s="163" t="str">
        <f t="shared" ca="1" si="106"/>
        <v/>
      </c>
    </row>
    <row r="142" spans="1:42" x14ac:dyDescent="0.35">
      <c r="A142" s="163">
        <f>ROW()</f>
        <v>142</v>
      </c>
      <c r="B142" s="163" t="b">
        <f>ISTEXT('Proyecto Datos (OKR´s)'!$K142)</f>
        <v>0</v>
      </c>
      <c r="C142" s="163" t="b">
        <f>AND(LEN('Proyecto Datos (OKR´s)'!$G142)&gt;0,NOT($B142),OR(ISNUMBER('Proyecto Datos (OKR´s)'!$F142),ISNUMBER('Proyecto Datos (OKR´s)'!$L142)))</f>
        <v>0</v>
      </c>
      <c r="D142" s="164" t="str">
        <f>IF($C142,IFERROR(LOOKUP(2,1/((ISTEXT('Proyecto Datos (OKR´s)'!$K$7:$K142))*(LEN('Proyecto Datos (OKR´s)'!$G$7:$G142)&gt;0)),'Proyecto Datos (OKR´s)'!$G$7:$G142),""),"")</f>
        <v/>
      </c>
      <c r="E142" s="163" t="str">
        <f>IF($C142,'Proyecto Datos (OKR´s)'!$E142,"")</f>
        <v/>
      </c>
      <c r="F142" s="164" t="str">
        <f>IF($C142,'Proyecto Datos (OKR´s)'!$G142,"")</f>
        <v/>
      </c>
      <c r="G142" s="164" t="str">
        <f>IF($C142,IF('Proyecto Datos (OKR´s)'!$I142="","(Sin asignar)",'Proyecto Datos (OKR´s)'!$I142),"")</f>
        <v/>
      </c>
      <c r="H142" s="163" t="str">
        <f>IF($C142,IF(ISNUMBER('Proyecto Datos (OKR´s)'!$F142),'Proyecto Datos (OKR´s)'!$F142,'Proyecto Datos (OKR´s)'!$L142),"")</f>
        <v/>
      </c>
      <c r="I142" s="163" t="str">
        <f>IF($C142,'Proyecto Datos (OKR´s)'!$J142,"")</f>
        <v/>
      </c>
      <c r="J142" s="164" t="str">
        <f ca="1">IF($C142,IF($I142&gt;=1,"Completado",IF($H142&lt;TODAY(),"Vencido",IF(($H142-TODAY())&lt;='Entregas Próximas'!$M$3,"Próximo a vencer","En curso"))),"")</f>
        <v/>
      </c>
      <c r="K142" s="163" t="str">
        <f t="shared" ca="1" si="86"/>
        <v/>
      </c>
      <c r="L142" s="163" t="str">
        <f t="shared" si="87"/>
        <v/>
      </c>
      <c r="M142" s="163" t="str">
        <f t="shared" si="88"/>
        <v/>
      </c>
      <c r="N142" s="163" t="str">
        <f>IF($C142,IF('Proyecto Datos (OKR´s)'!$E142="",9999,'Proyecto Datos (OKR´s)'!$E142),"")</f>
        <v/>
      </c>
      <c r="O142" s="163" t="str">
        <f t="shared" si="89"/>
        <v/>
      </c>
      <c r="R142" s="163" t="str">
        <f>IF($C142,IF(ISNUMBER('Proyecto Datos (OKR´s)'!$L142),'Proyecto Datos (OKR´s)'!$L142,$H142),"")</f>
        <v/>
      </c>
      <c r="S142" s="163" t="str">
        <f>IF($C142,$R142-'Proyecto Datos (OKR´s)'!$K142+1,"")</f>
        <v/>
      </c>
      <c r="T142" s="163" t="str">
        <f ca="1">IF($C142,MAX(0,TODAY()-'Proyecto Datos (OKR´s)'!$K142),"")</f>
        <v/>
      </c>
      <c r="U142" s="163" t="str">
        <f ca="1">IF($C142,MEDIAN(0,(TODAY()-'Proyecto Datos (OKR´s)'!$K142)/MAX(1,$R142-'Proyecto Datos (OKR´s)'!$K142),1),"")</f>
        <v/>
      </c>
      <c r="V142" s="163" t="str">
        <f t="shared" si="90"/>
        <v/>
      </c>
      <c r="W142" s="163" t="str">
        <f t="shared" ca="1" si="91"/>
        <v/>
      </c>
      <c r="X142" s="163" t="str">
        <f t="shared" si="92"/>
        <v/>
      </c>
      <c r="Y142" s="163" t="str">
        <f t="shared" si="93"/>
        <v/>
      </c>
      <c r="Z142" s="163" t="str">
        <f ca="1">IF($C142,AND($I142=0,'Proyecto Datos (OKR´s)'!$K142&lt;=TODAY(),$J142&lt;&gt;"Completado"),"")</f>
        <v/>
      </c>
      <c r="AA142" s="163" t="str">
        <f t="shared" si="94"/>
        <v/>
      </c>
      <c r="AB142" s="164" t="str">
        <f t="shared" si="95"/>
        <v/>
      </c>
      <c r="AC142" s="164" t="str">
        <f t="shared" si="96"/>
        <v/>
      </c>
      <c r="AD142" s="163" t="str">
        <f>IF($C142,IF($N142=9999,9999,IF($J142="Completado",$N142,MAX($N142,Sprints!$M$15))),"")</f>
        <v/>
      </c>
      <c r="AE142" s="163" t="str">
        <f t="shared" si="97"/>
        <v/>
      </c>
      <c r="AF142" s="163" t="b">
        <f t="shared" si="98"/>
        <v>0</v>
      </c>
      <c r="AG142" s="163" t="str">
        <f t="shared" si="99"/>
        <v/>
      </c>
      <c r="AH142" s="164" t="str">
        <f>IF($AF142,IF(Sprints!$I142&lt;&gt;"",Sprints!$I142,"Comprometida y no completada al cierre del Sprint "&amp;$N142),"")</f>
        <v/>
      </c>
      <c r="AI142" s="163" t="str">
        <f t="shared" si="100"/>
        <v/>
      </c>
      <c r="AJ142" s="163" t="str">
        <f t="shared" si="101"/>
        <v/>
      </c>
      <c r="AK142" s="163" t="str">
        <f t="shared" si="102"/>
        <v/>
      </c>
      <c r="AL142" s="163" t="str">
        <f t="shared" si="103"/>
        <v/>
      </c>
      <c r="AM142" s="163" t="str">
        <f t="shared" si="104"/>
        <v/>
      </c>
      <c r="AN142" s="164" t="str">
        <f t="shared" si="105"/>
        <v/>
      </c>
      <c r="AO142" s="163" t="str">
        <f>IF($C142,IFERROR(INDEX(Sprints!$M$6:$M$13,MATCH($N142,Sprints!$K$6:$K$13,0)),""),"")</f>
        <v/>
      </c>
      <c r="AP142" s="163" t="str">
        <f t="shared" ca="1" si="106"/>
        <v/>
      </c>
    </row>
    <row r="143" spans="1:42" x14ac:dyDescent="0.35">
      <c r="A143" s="163">
        <f>ROW()</f>
        <v>143</v>
      </c>
      <c r="B143" s="163" t="b">
        <f>ISTEXT('Proyecto Datos (OKR´s)'!$K143)</f>
        <v>0</v>
      </c>
      <c r="C143" s="163" t="b">
        <f>AND(LEN('Proyecto Datos (OKR´s)'!$G143)&gt;0,NOT($B143),OR(ISNUMBER('Proyecto Datos (OKR´s)'!$F143),ISNUMBER('Proyecto Datos (OKR´s)'!$L143)))</f>
        <v>0</v>
      </c>
      <c r="D143" s="164" t="str">
        <f>IF($C143,IFERROR(LOOKUP(2,1/((ISTEXT('Proyecto Datos (OKR´s)'!$K$7:$K143))*(LEN('Proyecto Datos (OKR´s)'!$G$7:$G143)&gt;0)),'Proyecto Datos (OKR´s)'!$G$7:$G143),""),"")</f>
        <v/>
      </c>
      <c r="E143" s="163" t="str">
        <f>IF($C143,'Proyecto Datos (OKR´s)'!$E143,"")</f>
        <v/>
      </c>
      <c r="F143" s="164" t="str">
        <f>IF($C143,'Proyecto Datos (OKR´s)'!$G143,"")</f>
        <v/>
      </c>
      <c r="G143" s="164" t="str">
        <f>IF($C143,IF('Proyecto Datos (OKR´s)'!$I143="","(Sin asignar)",'Proyecto Datos (OKR´s)'!$I143),"")</f>
        <v/>
      </c>
      <c r="H143" s="163" t="str">
        <f>IF($C143,IF(ISNUMBER('Proyecto Datos (OKR´s)'!$F143),'Proyecto Datos (OKR´s)'!$F143,'Proyecto Datos (OKR´s)'!$L143),"")</f>
        <v/>
      </c>
      <c r="I143" s="163" t="str">
        <f>IF($C143,'Proyecto Datos (OKR´s)'!$J143,"")</f>
        <v/>
      </c>
      <c r="J143" s="164" t="str">
        <f ca="1">IF($C143,IF($I143&gt;=1,"Completado",IF($H143&lt;TODAY(),"Vencido",IF(($H143-TODAY())&lt;='Entregas Próximas'!$M$3,"Próximo a vencer","En curso"))),"")</f>
        <v/>
      </c>
      <c r="K143" s="163" t="str">
        <f t="shared" ca="1" si="86"/>
        <v/>
      </c>
      <c r="L143" s="163" t="str">
        <f t="shared" si="87"/>
        <v/>
      </c>
      <c r="M143" s="163" t="str">
        <f t="shared" si="88"/>
        <v/>
      </c>
      <c r="N143" s="163" t="str">
        <f>IF($C143,IF('Proyecto Datos (OKR´s)'!$E143="",9999,'Proyecto Datos (OKR´s)'!$E143),"")</f>
        <v/>
      </c>
      <c r="O143" s="163" t="str">
        <f t="shared" si="89"/>
        <v/>
      </c>
      <c r="R143" s="163" t="str">
        <f>IF($C143,IF(ISNUMBER('Proyecto Datos (OKR´s)'!$L143),'Proyecto Datos (OKR´s)'!$L143,$H143),"")</f>
        <v/>
      </c>
      <c r="S143" s="163" t="str">
        <f>IF($C143,$R143-'Proyecto Datos (OKR´s)'!$K143+1,"")</f>
        <v/>
      </c>
      <c r="T143" s="163" t="str">
        <f ca="1">IF($C143,MAX(0,TODAY()-'Proyecto Datos (OKR´s)'!$K143),"")</f>
        <v/>
      </c>
      <c r="U143" s="163" t="str">
        <f ca="1">IF($C143,MEDIAN(0,(TODAY()-'Proyecto Datos (OKR´s)'!$K143)/MAX(1,$R143-'Proyecto Datos (OKR´s)'!$K143),1),"")</f>
        <v/>
      </c>
      <c r="V143" s="163" t="str">
        <f t="shared" si="90"/>
        <v/>
      </c>
      <c r="W143" s="163" t="str">
        <f t="shared" ca="1" si="91"/>
        <v/>
      </c>
      <c r="X143" s="163" t="str">
        <f t="shared" si="92"/>
        <v/>
      </c>
      <c r="Y143" s="163" t="str">
        <f t="shared" si="93"/>
        <v/>
      </c>
      <c r="Z143" s="163" t="str">
        <f ca="1">IF($C143,AND($I143=0,'Proyecto Datos (OKR´s)'!$K143&lt;=TODAY(),$J143&lt;&gt;"Completado"),"")</f>
        <v/>
      </c>
      <c r="AA143" s="163" t="str">
        <f t="shared" si="94"/>
        <v/>
      </c>
      <c r="AB143" s="164" t="str">
        <f t="shared" si="95"/>
        <v/>
      </c>
      <c r="AC143" s="164" t="str">
        <f t="shared" si="96"/>
        <v/>
      </c>
      <c r="AD143" s="163" t="str">
        <f>IF($C143,IF($N143=9999,9999,IF($J143="Completado",$N143,MAX($N143,Sprints!$M$15))),"")</f>
        <v/>
      </c>
      <c r="AE143" s="163" t="str">
        <f t="shared" si="97"/>
        <v/>
      </c>
      <c r="AF143" s="163" t="b">
        <f t="shared" si="98"/>
        <v>0</v>
      </c>
      <c r="AG143" s="163" t="str">
        <f t="shared" si="99"/>
        <v/>
      </c>
      <c r="AH143" s="164" t="str">
        <f>IF($AF143,IF(Sprints!$I143&lt;&gt;"",Sprints!$I143,"Comprometida y no completada al cierre del Sprint "&amp;$N143),"")</f>
        <v/>
      </c>
      <c r="AI143" s="163" t="str">
        <f t="shared" si="100"/>
        <v/>
      </c>
      <c r="AJ143" s="163" t="str">
        <f t="shared" si="101"/>
        <v/>
      </c>
      <c r="AK143" s="163" t="str">
        <f t="shared" si="102"/>
        <v/>
      </c>
      <c r="AL143" s="163" t="str">
        <f t="shared" si="103"/>
        <v/>
      </c>
      <c r="AM143" s="163" t="str">
        <f t="shared" si="104"/>
        <v/>
      </c>
      <c r="AN143" s="164" t="str">
        <f t="shared" si="105"/>
        <v/>
      </c>
      <c r="AO143" s="163" t="str">
        <f>IF($C143,IFERROR(INDEX(Sprints!$M$6:$M$13,MATCH($N143,Sprints!$K$6:$K$13,0)),""),"")</f>
        <v/>
      </c>
      <c r="AP143" s="163" t="str">
        <f t="shared" ca="1" si="106"/>
        <v/>
      </c>
    </row>
    <row r="144" spans="1:42" x14ac:dyDescent="0.35">
      <c r="A144" s="163">
        <f>ROW()</f>
        <v>144</v>
      </c>
      <c r="B144" s="163" t="b">
        <f>ISTEXT('Proyecto Datos (OKR´s)'!$K144)</f>
        <v>0</v>
      </c>
      <c r="C144" s="163" t="b">
        <f>AND(LEN('Proyecto Datos (OKR´s)'!$G144)&gt;0,NOT($B144),OR(ISNUMBER('Proyecto Datos (OKR´s)'!$F144),ISNUMBER('Proyecto Datos (OKR´s)'!$L144)))</f>
        <v>0</v>
      </c>
      <c r="D144" s="164" t="str">
        <f>IF($C144,IFERROR(LOOKUP(2,1/((ISTEXT('Proyecto Datos (OKR´s)'!$K$7:$K144))*(LEN('Proyecto Datos (OKR´s)'!$G$7:$G144)&gt;0)),'Proyecto Datos (OKR´s)'!$G$7:$G144),""),"")</f>
        <v/>
      </c>
      <c r="E144" s="163" t="str">
        <f>IF($C144,'Proyecto Datos (OKR´s)'!$E144,"")</f>
        <v/>
      </c>
      <c r="F144" s="164" t="str">
        <f>IF($C144,'Proyecto Datos (OKR´s)'!$G144,"")</f>
        <v/>
      </c>
      <c r="G144" s="164" t="str">
        <f>IF($C144,IF('Proyecto Datos (OKR´s)'!$I144="","(Sin asignar)",'Proyecto Datos (OKR´s)'!$I144),"")</f>
        <v/>
      </c>
      <c r="H144" s="163" t="str">
        <f>IF($C144,IF(ISNUMBER('Proyecto Datos (OKR´s)'!$F144),'Proyecto Datos (OKR´s)'!$F144,'Proyecto Datos (OKR´s)'!$L144),"")</f>
        <v/>
      </c>
      <c r="I144" s="163" t="str">
        <f>IF($C144,'Proyecto Datos (OKR´s)'!$J144,"")</f>
        <v/>
      </c>
      <c r="J144" s="164" t="str">
        <f ca="1">IF($C144,IF($I144&gt;=1,"Completado",IF($H144&lt;TODAY(),"Vencido",IF(($H144-TODAY())&lt;='Entregas Próximas'!$M$3,"Próximo a vencer","En curso"))),"")</f>
        <v/>
      </c>
      <c r="K144" s="163" t="str">
        <f t="shared" ca="1" si="86"/>
        <v/>
      </c>
      <c r="L144" s="163" t="str">
        <f t="shared" si="87"/>
        <v/>
      </c>
      <c r="M144" s="163" t="str">
        <f t="shared" si="88"/>
        <v/>
      </c>
      <c r="N144" s="163" t="str">
        <f>IF($C144,IF('Proyecto Datos (OKR´s)'!$E144="",9999,'Proyecto Datos (OKR´s)'!$E144),"")</f>
        <v/>
      </c>
      <c r="O144" s="163" t="str">
        <f t="shared" si="89"/>
        <v/>
      </c>
      <c r="R144" s="163" t="str">
        <f>IF($C144,IF(ISNUMBER('Proyecto Datos (OKR´s)'!$L144),'Proyecto Datos (OKR´s)'!$L144,$H144),"")</f>
        <v/>
      </c>
      <c r="S144" s="163" t="str">
        <f>IF($C144,$R144-'Proyecto Datos (OKR´s)'!$K144+1,"")</f>
        <v/>
      </c>
      <c r="T144" s="163" t="str">
        <f ca="1">IF($C144,MAX(0,TODAY()-'Proyecto Datos (OKR´s)'!$K144),"")</f>
        <v/>
      </c>
      <c r="U144" s="163" t="str">
        <f ca="1">IF($C144,MEDIAN(0,(TODAY()-'Proyecto Datos (OKR´s)'!$K144)/MAX(1,$R144-'Proyecto Datos (OKR´s)'!$K144),1),"")</f>
        <v/>
      </c>
      <c r="V144" s="163" t="str">
        <f t="shared" si="90"/>
        <v/>
      </c>
      <c r="W144" s="163" t="str">
        <f t="shared" ca="1" si="91"/>
        <v/>
      </c>
      <c r="X144" s="163" t="str">
        <f t="shared" si="92"/>
        <v/>
      </c>
      <c r="Y144" s="163" t="str">
        <f t="shared" si="93"/>
        <v/>
      </c>
      <c r="Z144" s="163" t="str">
        <f ca="1">IF($C144,AND($I144=0,'Proyecto Datos (OKR´s)'!$K144&lt;=TODAY(),$J144&lt;&gt;"Completado"),"")</f>
        <v/>
      </c>
      <c r="AA144" s="163" t="str">
        <f t="shared" si="94"/>
        <v/>
      </c>
      <c r="AB144" s="164" t="str">
        <f t="shared" si="95"/>
        <v/>
      </c>
      <c r="AC144" s="164" t="str">
        <f t="shared" si="96"/>
        <v/>
      </c>
      <c r="AD144" s="163" t="str">
        <f>IF($C144,IF($N144=9999,9999,IF($J144="Completado",$N144,MAX($N144,Sprints!$M$15))),"")</f>
        <v/>
      </c>
      <c r="AE144" s="163" t="str">
        <f t="shared" si="97"/>
        <v/>
      </c>
      <c r="AF144" s="163" t="b">
        <f t="shared" si="98"/>
        <v>0</v>
      </c>
      <c r="AG144" s="163" t="str">
        <f t="shared" si="99"/>
        <v/>
      </c>
      <c r="AH144" s="164" t="str">
        <f>IF($AF144,IF(Sprints!$I144&lt;&gt;"",Sprints!$I144,"Comprometida y no completada al cierre del Sprint "&amp;$N144),"")</f>
        <v/>
      </c>
      <c r="AI144" s="163" t="str">
        <f t="shared" si="100"/>
        <v/>
      </c>
      <c r="AJ144" s="163" t="str">
        <f t="shared" si="101"/>
        <v/>
      </c>
      <c r="AK144" s="163" t="str">
        <f t="shared" si="102"/>
        <v/>
      </c>
      <c r="AL144" s="163" t="str">
        <f t="shared" si="103"/>
        <v/>
      </c>
      <c r="AM144" s="163" t="str">
        <f t="shared" si="104"/>
        <v/>
      </c>
      <c r="AN144" s="164" t="str">
        <f t="shared" si="105"/>
        <v/>
      </c>
      <c r="AO144" s="163" t="str">
        <f>IF($C144,IFERROR(INDEX(Sprints!$M$6:$M$13,MATCH($N144,Sprints!$K$6:$K$13,0)),""),"")</f>
        <v/>
      </c>
      <c r="AP144" s="163" t="str">
        <f t="shared" ca="1" si="106"/>
        <v/>
      </c>
    </row>
    <row r="145" spans="1:42" x14ac:dyDescent="0.35">
      <c r="A145" s="163">
        <f>ROW()</f>
        <v>145</v>
      </c>
      <c r="B145" s="163" t="b">
        <f>ISTEXT('Proyecto Datos (OKR´s)'!$K145)</f>
        <v>0</v>
      </c>
      <c r="C145" s="163" t="b">
        <f>AND(LEN('Proyecto Datos (OKR´s)'!$G145)&gt;0,NOT($B145),OR(ISNUMBER('Proyecto Datos (OKR´s)'!$F145),ISNUMBER('Proyecto Datos (OKR´s)'!$L145)))</f>
        <v>0</v>
      </c>
      <c r="D145" s="164" t="str">
        <f>IF($C145,IFERROR(LOOKUP(2,1/((ISTEXT('Proyecto Datos (OKR´s)'!$K$7:$K145))*(LEN('Proyecto Datos (OKR´s)'!$G$7:$G145)&gt;0)),'Proyecto Datos (OKR´s)'!$G$7:$G145),""),"")</f>
        <v/>
      </c>
      <c r="E145" s="163" t="str">
        <f>IF($C145,'Proyecto Datos (OKR´s)'!$E145,"")</f>
        <v/>
      </c>
      <c r="F145" s="164" t="str">
        <f>IF($C145,'Proyecto Datos (OKR´s)'!$G145,"")</f>
        <v/>
      </c>
      <c r="G145" s="164" t="str">
        <f>IF($C145,IF('Proyecto Datos (OKR´s)'!$I145="","(Sin asignar)",'Proyecto Datos (OKR´s)'!$I145),"")</f>
        <v/>
      </c>
      <c r="H145" s="163" t="str">
        <f>IF($C145,IF(ISNUMBER('Proyecto Datos (OKR´s)'!$F145),'Proyecto Datos (OKR´s)'!$F145,'Proyecto Datos (OKR´s)'!$L145),"")</f>
        <v/>
      </c>
      <c r="I145" s="163" t="str">
        <f>IF($C145,'Proyecto Datos (OKR´s)'!$J145,"")</f>
        <v/>
      </c>
      <c r="J145" s="164" t="str">
        <f ca="1">IF($C145,IF($I145&gt;=1,"Completado",IF($H145&lt;TODAY(),"Vencido",IF(($H145-TODAY())&lt;='Entregas Próximas'!$M$3,"Próximo a vencer","En curso"))),"")</f>
        <v/>
      </c>
      <c r="K145" s="163" t="str">
        <f t="shared" ca="1" si="86"/>
        <v/>
      </c>
      <c r="L145" s="163" t="str">
        <f t="shared" si="87"/>
        <v/>
      </c>
      <c r="M145" s="163" t="str">
        <f t="shared" si="88"/>
        <v/>
      </c>
      <c r="N145" s="163" t="str">
        <f>IF($C145,IF('Proyecto Datos (OKR´s)'!$E145="",9999,'Proyecto Datos (OKR´s)'!$E145),"")</f>
        <v/>
      </c>
      <c r="O145" s="163" t="str">
        <f t="shared" si="89"/>
        <v/>
      </c>
      <c r="R145" s="163" t="str">
        <f>IF($C145,IF(ISNUMBER('Proyecto Datos (OKR´s)'!$L145),'Proyecto Datos (OKR´s)'!$L145,$H145),"")</f>
        <v/>
      </c>
      <c r="S145" s="163" t="str">
        <f>IF($C145,$R145-'Proyecto Datos (OKR´s)'!$K145+1,"")</f>
        <v/>
      </c>
      <c r="T145" s="163" t="str">
        <f ca="1">IF($C145,MAX(0,TODAY()-'Proyecto Datos (OKR´s)'!$K145),"")</f>
        <v/>
      </c>
      <c r="U145" s="163" t="str">
        <f ca="1">IF($C145,MEDIAN(0,(TODAY()-'Proyecto Datos (OKR´s)'!$K145)/MAX(1,$R145-'Proyecto Datos (OKR´s)'!$K145),1),"")</f>
        <v/>
      </c>
      <c r="V145" s="163" t="str">
        <f t="shared" si="90"/>
        <v/>
      </c>
      <c r="W145" s="163" t="str">
        <f t="shared" ca="1" si="91"/>
        <v/>
      </c>
      <c r="X145" s="163" t="str">
        <f t="shared" si="92"/>
        <v/>
      </c>
      <c r="Y145" s="163" t="str">
        <f t="shared" si="93"/>
        <v/>
      </c>
      <c r="Z145" s="163" t="str">
        <f ca="1">IF($C145,AND($I145=0,'Proyecto Datos (OKR´s)'!$K145&lt;=TODAY(),$J145&lt;&gt;"Completado"),"")</f>
        <v/>
      </c>
      <c r="AA145" s="163" t="str">
        <f t="shared" si="94"/>
        <v/>
      </c>
      <c r="AB145" s="164" t="str">
        <f t="shared" si="95"/>
        <v/>
      </c>
      <c r="AC145" s="164" t="str">
        <f t="shared" si="96"/>
        <v/>
      </c>
      <c r="AD145" s="163" t="str">
        <f>IF($C145,IF($N145=9999,9999,IF($J145="Completado",$N145,MAX($N145,Sprints!$M$15))),"")</f>
        <v/>
      </c>
      <c r="AE145" s="163" t="str">
        <f t="shared" si="97"/>
        <v/>
      </c>
      <c r="AF145" s="163" t="b">
        <f t="shared" si="98"/>
        <v>0</v>
      </c>
      <c r="AG145" s="163" t="str">
        <f t="shared" si="99"/>
        <v/>
      </c>
      <c r="AH145" s="164" t="str">
        <f>IF($AF145,IF(Sprints!$I145&lt;&gt;"",Sprints!$I145,"Comprometida y no completada al cierre del Sprint "&amp;$N145),"")</f>
        <v/>
      </c>
      <c r="AI145" s="163" t="str">
        <f t="shared" si="100"/>
        <v/>
      </c>
      <c r="AJ145" s="163" t="str">
        <f t="shared" si="101"/>
        <v/>
      </c>
      <c r="AK145" s="163" t="str">
        <f t="shared" si="102"/>
        <v/>
      </c>
      <c r="AL145" s="163" t="str">
        <f t="shared" si="103"/>
        <v/>
      </c>
      <c r="AM145" s="163" t="str">
        <f t="shared" si="104"/>
        <v/>
      </c>
      <c r="AN145" s="164" t="str">
        <f t="shared" si="105"/>
        <v/>
      </c>
      <c r="AO145" s="163" t="str">
        <f>IF($C145,IFERROR(INDEX(Sprints!$M$6:$M$13,MATCH($N145,Sprints!$K$6:$K$13,0)),""),"")</f>
        <v/>
      </c>
      <c r="AP145" s="163" t="str">
        <f t="shared" ca="1" si="106"/>
        <v/>
      </c>
    </row>
    <row r="146" spans="1:42" x14ac:dyDescent="0.35">
      <c r="A146" s="163">
        <f>ROW()</f>
        <v>146</v>
      </c>
      <c r="B146" s="163" t="b">
        <f>ISTEXT('Proyecto Datos (OKR´s)'!$K146)</f>
        <v>0</v>
      </c>
      <c r="C146" s="163" t="b">
        <f>AND(LEN('Proyecto Datos (OKR´s)'!$G146)&gt;0,NOT($B146),OR(ISNUMBER('Proyecto Datos (OKR´s)'!$F146),ISNUMBER('Proyecto Datos (OKR´s)'!$L146)))</f>
        <v>0</v>
      </c>
      <c r="D146" s="164" t="str">
        <f>IF($C146,IFERROR(LOOKUP(2,1/((ISTEXT('Proyecto Datos (OKR´s)'!$K$7:$K146))*(LEN('Proyecto Datos (OKR´s)'!$G$7:$G146)&gt;0)),'Proyecto Datos (OKR´s)'!$G$7:$G146),""),"")</f>
        <v/>
      </c>
      <c r="E146" s="163" t="str">
        <f>IF($C146,'Proyecto Datos (OKR´s)'!$E146,"")</f>
        <v/>
      </c>
      <c r="F146" s="164" t="str">
        <f>IF($C146,'Proyecto Datos (OKR´s)'!$G146,"")</f>
        <v/>
      </c>
      <c r="G146" s="164" t="str">
        <f>IF($C146,IF('Proyecto Datos (OKR´s)'!$I146="","(Sin asignar)",'Proyecto Datos (OKR´s)'!$I146),"")</f>
        <v/>
      </c>
      <c r="H146" s="163" t="str">
        <f>IF($C146,IF(ISNUMBER('Proyecto Datos (OKR´s)'!$F146),'Proyecto Datos (OKR´s)'!$F146,'Proyecto Datos (OKR´s)'!$L146),"")</f>
        <v/>
      </c>
      <c r="I146" s="163" t="str">
        <f>IF($C146,'Proyecto Datos (OKR´s)'!$J146,"")</f>
        <v/>
      </c>
      <c r="J146" s="164" t="str">
        <f ca="1">IF($C146,IF($I146&gt;=1,"Completado",IF($H146&lt;TODAY(),"Vencido",IF(($H146-TODAY())&lt;='Entregas Próximas'!$M$3,"Próximo a vencer","En curso"))),"")</f>
        <v/>
      </c>
      <c r="K146" s="163" t="str">
        <f t="shared" ca="1" si="86"/>
        <v/>
      </c>
      <c r="L146" s="163" t="str">
        <f t="shared" si="87"/>
        <v/>
      </c>
      <c r="M146" s="163" t="str">
        <f t="shared" si="88"/>
        <v/>
      </c>
      <c r="N146" s="163" t="str">
        <f>IF($C146,IF('Proyecto Datos (OKR´s)'!$E146="",9999,'Proyecto Datos (OKR´s)'!$E146),"")</f>
        <v/>
      </c>
      <c r="O146" s="163" t="str">
        <f t="shared" si="89"/>
        <v/>
      </c>
      <c r="R146" s="163" t="str">
        <f>IF($C146,IF(ISNUMBER('Proyecto Datos (OKR´s)'!$L146),'Proyecto Datos (OKR´s)'!$L146,$H146),"")</f>
        <v/>
      </c>
      <c r="S146" s="163" t="str">
        <f>IF($C146,$R146-'Proyecto Datos (OKR´s)'!$K146+1,"")</f>
        <v/>
      </c>
      <c r="T146" s="163" t="str">
        <f ca="1">IF($C146,MAX(0,TODAY()-'Proyecto Datos (OKR´s)'!$K146),"")</f>
        <v/>
      </c>
      <c r="U146" s="163" t="str">
        <f ca="1">IF($C146,MEDIAN(0,(TODAY()-'Proyecto Datos (OKR´s)'!$K146)/MAX(1,$R146-'Proyecto Datos (OKR´s)'!$K146),1),"")</f>
        <v/>
      </c>
      <c r="V146" s="163" t="str">
        <f t="shared" si="90"/>
        <v/>
      </c>
      <c r="W146" s="163" t="str">
        <f t="shared" ca="1" si="91"/>
        <v/>
      </c>
      <c r="X146" s="163" t="str">
        <f t="shared" si="92"/>
        <v/>
      </c>
      <c r="Y146" s="163" t="str">
        <f t="shared" si="93"/>
        <v/>
      </c>
      <c r="Z146" s="163" t="str">
        <f ca="1">IF($C146,AND($I146=0,'Proyecto Datos (OKR´s)'!$K146&lt;=TODAY(),$J146&lt;&gt;"Completado"),"")</f>
        <v/>
      </c>
      <c r="AA146" s="163" t="str">
        <f t="shared" si="94"/>
        <v/>
      </c>
      <c r="AB146" s="164" t="str">
        <f t="shared" si="95"/>
        <v/>
      </c>
      <c r="AC146" s="164" t="str">
        <f t="shared" si="96"/>
        <v/>
      </c>
      <c r="AD146" s="163" t="str">
        <f>IF($C146,IF($N146=9999,9999,IF($J146="Completado",$N146,MAX($N146,Sprints!$M$15))),"")</f>
        <v/>
      </c>
      <c r="AE146" s="163" t="str">
        <f t="shared" si="97"/>
        <v/>
      </c>
      <c r="AF146" s="163" t="b">
        <f t="shared" si="98"/>
        <v>0</v>
      </c>
      <c r="AG146" s="163" t="str">
        <f t="shared" si="99"/>
        <v/>
      </c>
      <c r="AH146" s="164" t="str">
        <f>IF($AF146,IF(Sprints!$I146&lt;&gt;"",Sprints!$I146,"Comprometida y no completada al cierre del Sprint "&amp;$N146),"")</f>
        <v/>
      </c>
      <c r="AI146" s="163" t="str">
        <f t="shared" si="100"/>
        <v/>
      </c>
      <c r="AJ146" s="163" t="str">
        <f t="shared" si="101"/>
        <v/>
      </c>
      <c r="AK146" s="163" t="str">
        <f t="shared" si="102"/>
        <v/>
      </c>
      <c r="AL146" s="163" t="str">
        <f t="shared" si="103"/>
        <v/>
      </c>
      <c r="AM146" s="163" t="str">
        <f t="shared" si="104"/>
        <v/>
      </c>
      <c r="AN146" s="164" t="str">
        <f t="shared" si="105"/>
        <v/>
      </c>
      <c r="AO146" s="163" t="str">
        <f>IF($C146,IFERROR(INDEX(Sprints!$M$6:$M$13,MATCH($N146,Sprints!$K$6:$K$13,0)),""),"")</f>
        <v/>
      </c>
      <c r="AP146" s="163" t="str">
        <f t="shared" ca="1" si="106"/>
        <v/>
      </c>
    </row>
    <row r="147" spans="1:42" x14ac:dyDescent="0.35">
      <c r="A147" s="163">
        <f>ROW()</f>
        <v>147</v>
      </c>
      <c r="B147" s="163" t="b">
        <f>ISTEXT('Proyecto Datos (OKR´s)'!$K147)</f>
        <v>0</v>
      </c>
      <c r="C147" s="163" t="b">
        <f>AND(LEN('Proyecto Datos (OKR´s)'!$G147)&gt;0,NOT($B147),OR(ISNUMBER('Proyecto Datos (OKR´s)'!$F147),ISNUMBER('Proyecto Datos (OKR´s)'!$L147)))</f>
        <v>0</v>
      </c>
      <c r="D147" s="164" t="str">
        <f>IF($C147,IFERROR(LOOKUP(2,1/((ISTEXT('Proyecto Datos (OKR´s)'!$K$7:$K147))*(LEN('Proyecto Datos (OKR´s)'!$G$7:$G147)&gt;0)),'Proyecto Datos (OKR´s)'!$G$7:$G147),""),"")</f>
        <v/>
      </c>
      <c r="E147" s="163" t="str">
        <f>IF($C147,'Proyecto Datos (OKR´s)'!$E147,"")</f>
        <v/>
      </c>
      <c r="F147" s="164" t="str">
        <f>IF($C147,'Proyecto Datos (OKR´s)'!$G147,"")</f>
        <v/>
      </c>
      <c r="G147" s="164" t="str">
        <f>IF($C147,IF('Proyecto Datos (OKR´s)'!$I147="","(Sin asignar)",'Proyecto Datos (OKR´s)'!$I147),"")</f>
        <v/>
      </c>
      <c r="H147" s="163" t="str">
        <f>IF($C147,IF(ISNUMBER('Proyecto Datos (OKR´s)'!$F147),'Proyecto Datos (OKR´s)'!$F147,'Proyecto Datos (OKR´s)'!$L147),"")</f>
        <v/>
      </c>
      <c r="I147" s="163" t="str">
        <f>IF($C147,'Proyecto Datos (OKR´s)'!$J147,"")</f>
        <v/>
      </c>
      <c r="J147" s="164" t="str">
        <f ca="1">IF($C147,IF($I147&gt;=1,"Completado",IF($H147&lt;TODAY(),"Vencido",IF(($H147-TODAY())&lt;='Entregas Próximas'!$M$3,"Próximo a vencer","En curso"))),"")</f>
        <v/>
      </c>
      <c r="K147" s="163" t="str">
        <f t="shared" ca="1" si="86"/>
        <v/>
      </c>
      <c r="L147" s="163" t="str">
        <f t="shared" si="87"/>
        <v/>
      </c>
      <c r="M147" s="163" t="str">
        <f t="shared" si="88"/>
        <v/>
      </c>
      <c r="N147" s="163" t="str">
        <f>IF($C147,IF('Proyecto Datos (OKR´s)'!$E147="",9999,'Proyecto Datos (OKR´s)'!$E147),"")</f>
        <v/>
      </c>
      <c r="O147" s="163" t="str">
        <f t="shared" si="89"/>
        <v/>
      </c>
      <c r="R147" s="163" t="str">
        <f>IF($C147,IF(ISNUMBER('Proyecto Datos (OKR´s)'!$L147),'Proyecto Datos (OKR´s)'!$L147,$H147),"")</f>
        <v/>
      </c>
      <c r="S147" s="163" t="str">
        <f>IF($C147,$R147-'Proyecto Datos (OKR´s)'!$K147+1,"")</f>
        <v/>
      </c>
      <c r="T147" s="163" t="str">
        <f ca="1">IF($C147,MAX(0,TODAY()-'Proyecto Datos (OKR´s)'!$K147),"")</f>
        <v/>
      </c>
      <c r="U147" s="163" t="str">
        <f ca="1">IF($C147,MEDIAN(0,(TODAY()-'Proyecto Datos (OKR´s)'!$K147)/MAX(1,$R147-'Proyecto Datos (OKR´s)'!$K147),1),"")</f>
        <v/>
      </c>
      <c r="V147" s="163" t="str">
        <f t="shared" si="90"/>
        <v/>
      </c>
      <c r="W147" s="163" t="str">
        <f t="shared" ca="1" si="91"/>
        <v/>
      </c>
      <c r="X147" s="163" t="str">
        <f t="shared" si="92"/>
        <v/>
      </c>
      <c r="Y147" s="163" t="str">
        <f t="shared" si="93"/>
        <v/>
      </c>
      <c r="Z147" s="163" t="str">
        <f ca="1">IF($C147,AND($I147=0,'Proyecto Datos (OKR´s)'!$K147&lt;=TODAY(),$J147&lt;&gt;"Completado"),"")</f>
        <v/>
      </c>
      <c r="AA147" s="163" t="str">
        <f t="shared" si="94"/>
        <v/>
      </c>
      <c r="AB147" s="164" t="str">
        <f t="shared" si="95"/>
        <v/>
      </c>
      <c r="AC147" s="164" t="str">
        <f t="shared" si="96"/>
        <v/>
      </c>
      <c r="AD147" s="163" t="str">
        <f>IF($C147,IF($N147=9999,9999,IF($J147="Completado",$N147,MAX($N147,Sprints!$M$15))),"")</f>
        <v/>
      </c>
      <c r="AE147" s="163" t="str">
        <f t="shared" si="97"/>
        <v/>
      </c>
      <c r="AF147" s="163" t="b">
        <f t="shared" si="98"/>
        <v>0</v>
      </c>
      <c r="AG147" s="163" t="str">
        <f t="shared" si="99"/>
        <v/>
      </c>
      <c r="AH147" s="164" t="str">
        <f>IF($AF147,IF(Sprints!$I147&lt;&gt;"",Sprints!$I147,"Comprometida y no completada al cierre del Sprint "&amp;$N147),"")</f>
        <v/>
      </c>
      <c r="AI147" s="163" t="str">
        <f t="shared" si="100"/>
        <v/>
      </c>
      <c r="AJ147" s="163" t="str">
        <f t="shared" si="101"/>
        <v/>
      </c>
      <c r="AK147" s="163" t="str">
        <f t="shared" si="102"/>
        <v/>
      </c>
      <c r="AL147" s="163" t="str">
        <f t="shared" si="103"/>
        <v/>
      </c>
      <c r="AM147" s="163" t="str">
        <f t="shared" si="104"/>
        <v/>
      </c>
      <c r="AN147" s="164" t="str">
        <f t="shared" si="105"/>
        <v/>
      </c>
      <c r="AO147" s="163" t="str">
        <f>IF($C147,IFERROR(INDEX(Sprints!$M$6:$M$13,MATCH($N147,Sprints!$K$6:$K$13,0)),""),"")</f>
        <v/>
      </c>
      <c r="AP147" s="163" t="str">
        <f t="shared" ca="1" si="106"/>
        <v/>
      </c>
    </row>
    <row r="148" spans="1:42" x14ac:dyDescent="0.35">
      <c r="A148" s="163">
        <f>ROW()</f>
        <v>148</v>
      </c>
      <c r="B148" s="163" t="b">
        <f>ISTEXT('Proyecto Datos (OKR´s)'!$K148)</f>
        <v>0</v>
      </c>
      <c r="C148" s="163" t="b">
        <f>AND(LEN('Proyecto Datos (OKR´s)'!$G148)&gt;0,NOT($B148),OR(ISNUMBER('Proyecto Datos (OKR´s)'!$F148),ISNUMBER('Proyecto Datos (OKR´s)'!$L148)))</f>
        <v>0</v>
      </c>
      <c r="D148" s="164" t="str">
        <f>IF($C148,IFERROR(LOOKUP(2,1/((ISTEXT('Proyecto Datos (OKR´s)'!$K$7:$K148))*(LEN('Proyecto Datos (OKR´s)'!$G$7:$G148)&gt;0)),'Proyecto Datos (OKR´s)'!$G$7:$G148),""),"")</f>
        <v/>
      </c>
      <c r="E148" s="163" t="str">
        <f>IF($C148,'Proyecto Datos (OKR´s)'!$E148,"")</f>
        <v/>
      </c>
      <c r="F148" s="164" t="str">
        <f>IF($C148,'Proyecto Datos (OKR´s)'!$G148,"")</f>
        <v/>
      </c>
      <c r="G148" s="164" t="str">
        <f>IF($C148,IF('Proyecto Datos (OKR´s)'!$I148="","(Sin asignar)",'Proyecto Datos (OKR´s)'!$I148),"")</f>
        <v/>
      </c>
      <c r="H148" s="163" t="str">
        <f>IF($C148,IF(ISNUMBER('Proyecto Datos (OKR´s)'!$F148),'Proyecto Datos (OKR´s)'!$F148,'Proyecto Datos (OKR´s)'!$L148),"")</f>
        <v/>
      </c>
      <c r="I148" s="163" t="str">
        <f>IF($C148,'Proyecto Datos (OKR´s)'!$J148,"")</f>
        <v/>
      </c>
      <c r="J148" s="164" t="str">
        <f ca="1">IF($C148,IF($I148&gt;=1,"Completado",IF($H148&lt;TODAY(),"Vencido",IF(($H148-TODAY())&lt;='Entregas Próximas'!$M$3,"Próximo a vencer","En curso"))),"")</f>
        <v/>
      </c>
      <c r="K148" s="163" t="str">
        <f t="shared" ca="1" si="86"/>
        <v/>
      </c>
      <c r="L148" s="163" t="str">
        <f t="shared" si="87"/>
        <v/>
      </c>
      <c r="M148" s="163" t="str">
        <f t="shared" si="88"/>
        <v/>
      </c>
      <c r="N148" s="163" t="str">
        <f>IF($C148,IF('Proyecto Datos (OKR´s)'!$E148="",9999,'Proyecto Datos (OKR´s)'!$E148),"")</f>
        <v/>
      </c>
      <c r="O148" s="163" t="str">
        <f t="shared" si="89"/>
        <v/>
      </c>
      <c r="R148" s="163" t="str">
        <f>IF($C148,IF(ISNUMBER('Proyecto Datos (OKR´s)'!$L148),'Proyecto Datos (OKR´s)'!$L148,$H148),"")</f>
        <v/>
      </c>
      <c r="S148" s="163" t="str">
        <f>IF($C148,$R148-'Proyecto Datos (OKR´s)'!$K148+1,"")</f>
        <v/>
      </c>
      <c r="T148" s="163" t="str">
        <f ca="1">IF($C148,MAX(0,TODAY()-'Proyecto Datos (OKR´s)'!$K148),"")</f>
        <v/>
      </c>
      <c r="U148" s="163" t="str">
        <f ca="1">IF($C148,MEDIAN(0,(TODAY()-'Proyecto Datos (OKR´s)'!$K148)/MAX(1,$R148-'Proyecto Datos (OKR´s)'!$K148),1),"")</f>
        <v/>
      </c>
      <c r="V148" s="163" t="str">
        <f t="shared" si="90"/>
        <v/>
      </c>
      <c r="W148" s="163" t="str">
        <f t="shared" ca="1" si="91"/>
        <v/>
      </c>
      <c r="X148" s="163" t="str">
        <f t="shared" si="92"/>
        <v/>
      </c>
      <c r="Y148" s="163" t="str">
        <f t="shared" si="93"/>
        <v/>
      </c>
      <c r="Z148" s="163" t="str">
        <f ca="1">IF($C148,AND($I148=0,'Proyecto Datos (OKR´s)'!$K148&lt;=TODAY(),$J148&lt;&gt;"Completado"),"")</f>
        <v/>
      </c>
      <c r="AA148" s="163" t="str">
        <f t="shared" si="94"/>
        <v/>
      </c>
      <c r="AB148" s="164" t="str">
        <f t="shared" si="95"/>
        <v/>
      </c>
      <c r="AC148" s="164" t="str">
        <f t="shared" si="96"/>
        <v/>
      </c>
      <c r="AD148" s="163" t="str">
        <f>IF($C148,IF($N148=9999,9999,IF($J148="Completado",$N148,MAX($N148,Sprints!$M$15))),"")</f>
        <v/>
      </c>
      <c r="AE148" s="163" t="str">
        <f t="shared" si="97"/>
        <v/>
      </c>
      <c r="AF148" s="163" t="b">
        <f t="shared" si="98"/>
        <v>0</v>
      </c>
      <c r="AG148" s="163" t="str">
        <f t="shared" si="99"/>
        <v/>
      </c>
      <c r="AH148" s="164" t="str">
        <f>IF($AF148,IF(Sprints!$I148&lt;&gt;"",Sprints!$I148,"Comprometida y no completada al cierre del Sprint "&amp;$N148),"")</f>
        <v/>
      </c>
      <c r="AI148" s="163" t="str">
        <f t="shared" si="100"/>
        <v/>
      </c>
      <c r="AJ148" s="163" t="str">
        <f t="shared" si="101"/>
        <v/>
      </c>
      <c r="AK148" s="163" t="str">
        <f t="shared" si="102"/>
        <v/>
      </c>
      <c r="AL148" s="163" t="str">
        <f t="shared" si="103"/>
        <v/>
      </c>
      <c r="AM148" s="163" t="str">
        <f t="shared" si="104"/>
        <v/>
      </c>
      <c r="AN148" s="164" t="str">
        <f t="shared" si="105"/>
        <v/>
      </c>
      <c r="AO148" s="163" t="str">
        <f>IF($C148,IFERROR(INDEX(Sprints!$M$6:$M$13,MATCH($N148,Sprints!$K$6:$K$13,0)),""),"")</f>
        <v/>
      </c>
      <c r="AP148" s="163" t="str">
        <f t="shared" ca="1" si="106"/>
        <v/>
      </c>
    </row>
    <row r="149" spans="1:42" x14ac:dyDescent="0.35">
      <c r="A149" s="163">
        <f>ROW()</f>
        <v>149</v>
      </c>
      <c r="B149" s="163" t="b">
        <f>ISTEXT('Proyecto Datos (OKR´s)'!$K149)</f>
        <v>0</v>
      </c>
      <c r="C149" s="163" t="b">
        <f>AND(LEN('Proyecto Datos (OKR´s)'!$G149)&gt;0,NOT($B149),OR(ISNUMBER('Proyecto Datos (OKR´s)'!$F149),ISNUMBER('Proyecto Datos (OKR´s)'!$L149)))</f>
        <v>0</v>
      </c>
      <c r="D149" s="164" t="str">
        <f>IF($C149,IFERROR(LOOKUP(2,1/((ISTEXT('Proyecto Datos (OKR´s)'!$K$7:$K149))*(LEN('Proyecto Datos (OKR´s)'!$G$7:$G149)&gt;0)),'Proyecto Datos (OKR´s)'!$G$7:$G149),""),"")</f>
        <v/>
      </c>
      <c r="E149" s="163" t="str">
        <f>IF($C149,'Proyecto Datos (OKR´s)'!$E149,"")</f>
        <v/>
      </c>
      <c r="F149" s="164" t="str">
        <f>IF($C149,'Proyecto Datos (OKR´s)'!$G149,"")</f>
        <v/>
      </c>
      <c r="G149" s="164" t="str">
        <f>IF($C149,IF('Proyecto Datos (OKR´s)'!$I149="","(Sin asignar)",'Proyecto Datos (OKR´s)'!$I149),"")</f>
        <v/>
      </c>
      <c r="H149" s="163" t="str">
        <f>IF($C149,IF(ISNUMBER('Proyecto Datos (OKR´s)'!$F149),'Proyecto Datos (OKR´s)'!$F149,'Proyecto Datos (OKR´s)'!$L149),"")</f>
        <v/>
      </c>
      <c r="I149" s="163" t="str">
        <f>IF($C149,'Proyecto Datos (OKR´s)'!$J149,"")</f>
        <v/>
      </c>
      <c r="J149" s="164" t="str">
        <f ca="1">IF($C149,IF($I149&gt;=1,"Completado",IF($H149&lt;TODAY(),"Vencido",IF(($H149-TODAY())&lt;='Entregas Próximas'!$M$3,"Próximo a vencer","En curso"))),"")</f>
        <v/>
      </c>
      <c r="K149" s="163" t="str">
        <f t="shared" ca="1" si="86"/>
        <v/>
      </c>
      <c r="L149" s="163" t="str">
        <f t="shared" si="87"/>
        <v/>
      </c>
      <c r="M149" s="163" t="str">
        <f t="shared" si="88"/>
        <v/>
      </c>
      <c r="N149" s="163" t="str">
        <f>IF($C149,IF('Proyecto Datos (OKR´s)'!$E149="",9999,'Proyecto Datos (OKR´s)'!$E149),"")</f>
        <v/>
      </c>
      <c r="O149" s="163" t="str">
        <f t="shared" si="89"/>
        <v/>
      </c>
      <c r="R149" s="163" t="str">
        <f>IF($C149,IF(ISNUMBER('Proyecto Datos (OKR´s)'!$L149),'Proyecto Datos (OKR´s)'!$L149,$H149),"")</f>
        <v/>
      </c>
      <c r="S149" s="163" t="str">
        <f>IF($C149,$R149-'Proyecto Datos (OKR´s)'!$K149+1,"")</f>
        <v/>
      </c>
      <c r="T149" s="163" t="str">
        <f ca="1">IF($C149,MAX(0,TODAY()-'Proyecto Datos (OKR´s)'!$K149),"")</f>
        <v/>
      </c>
      <c r="U149" s="163" t="str">
        <f ca="1">IF($C149,MEDIAN(0,(TODAY()-'Proyecto Datos (OKR´s)'!$K149)/MAX(1,$R149-'Proyecto Datos (OKR´s)'!$K149),1),"")</f>
        <v/>
      </c>
      <c r="V149" s="163" t="str">
        <f t="shared" si="90"/>
        <v/>
      </c>
      <c r="W149" s="163" t="str">
        <f t="shared" ca="1" si="91"/>
        <v/>
      </c>
      <c r="X149" s="163" t="str">
        <f t="shared" si="92"/>
        <v/>
      </c>
      <c r="Y149" s="163" t="str">
        <f t="shared" si="93"/>
        <v/>
      </c>
      <c r="Z149" s="163" t="str">
        <f ca="1">IF($C149,AND($I149=0,'Proyecto Datos (OKR´s)'!$K149&lt;=TODAY(),$J149&lt;&gt;"Completado"),"")</f>
        <v/>
      </c>
      <c r="AA149" s="163" t="str">
        <f t="shared" si="94"/>
        <v/>
      </c>
      <c r="AB149" s="164" t="str">
        <f t="shared" si="95"/>
        <v/>
      </c>
      <c r="AC149" s="164" t="str">
        <f t="shared" si="96"/>
        <v/>
      </c>
      <c r="AD149" s="163" t="str">
        <f>IF($C149,IF($N149=9999,9999,IF($J149="Completado",$N149,MAX($N149,Sprints!$M$15))),"")</f>
        <v/>
      </c>
      <c r="AE149" s="163" t="str">
        <f t="shared" si="97"/>
        <v/>
      </c>
      <c r="AF149" s="163" t="b">
        <f t="shared" si="98"/>
        <v>0</v>
      </c>
      <c r="AG149" s="163" t="str">
        <f t="shared" si="99"/>
        <v/>
      </c>
      <c r="AH149" s="164" t="str">
        <f>IF($AF149,IF(Sprints!$I149&lt;&gt;"",Sprints!$I149,"Comprometida y no completada al cierre del Sprint "&amp;$N149),"")</f>
        <v/>
      </c>
      <c r="AI149" s="163" t="str">
        <f t="shared" si="100"/>
        <v/>
      </c>
      <c r="AJ149" s="163" t="str">
        <f t="shared" si="101"/>
        <v/>
      </c>
      <c r="AK149" s="163" t="str">
        <f t="shared" si="102"/>
        <v/>
      </c>
      <c r="AL149" s="163" t="str">
        <f t="shared" si="103"/>
        <v/>
      </c>
      <c r="AM149" s="163" t="str">
        <f t="shared" si="104"/>
        <v/>
      </c>
      <c r="AN149" s="164" t="str">
        <f t="shared" si="105"/>
        <v/>
      </c>
      <c r="AO149" s="163" t="str">
        <f>IF($C149,IFERROR(INDEX(Sprints!$M$6:$M$13,MATCH($N149,Sprints!$K$6:$K$13,0)),""),"")</f>
        <v/>
      </c>
      <c r="AP149" s="163" t="str">
        <f t="shared" ca="1" si="106"/>
        <v/>
      </c>
    </row>
    <row r="150" spans="1:42" x14ac:dyDescent="0.35">
      <c r="A150" s="163">
        <f>ROW()</f>
        <v>150</v>
      </c>
      <c r="B150" s="163" t="b">
        <f>ISTEXT('Proyecto Datos (OKR´s)'!$K150)</f>
        <v>0</v>
      </c>
      <c r="C150" s="163" t="b">
        <f>AND(LEN('Proyecto Datos (OKR´s)'!$G150)&gt;0,NOT($B150),OR(ISNUMBER('Proyecto Datos (OKR´s)'!$F150),ISNUMBER('Proyecto Datos (OKR´s)'!$L150)))</f>
        <v>0</v>
      </c>
      <c r="D150" s="164" t="str">
        <f>IF($C150,IFERROR(LOOKUP(2,1/((ISTEXT('Proyecto Datos (OKR´s)'!$K$7:$K150))*(LEN('Proyecto Datos (OKR´s)'!$G$7:$G150)&gt;0)),'Proyecto Datos (OKR´s)'!$G$7:$G150),""),"")</f>
        <v/>
      </c>
      <c r="E150" s="163" t="str">
        <f>IF($C150,'Proyecto Datos (OKR´s)'!$E150,"")</f>
        <v/>
      </c>
      <c r="F150" s="164" t="str">
        <f>IF($C150,'Proyecto Datos (OKR´s)'!$G150,"")</f>
        <v/>
      </c>
      <c r="G150" s="164" t="str">
        <f>IF($C150,IF('Proyecto Datos (OKR´s)'!$I150="","(Sin asignar)",'Proyecto Datos (OKR´s)'!$I150),"")</f>
        <v/>
      </c>
      <c r="H150" s="163" t="str">
        <f>IF($C150,IF(ISNUMBER('Proyecto Datos (OKR´s)'!$F150),'Proyecto Datos (OKR´s)'!$F150,'Proyecto Datos (OKR´s)'!$L150),"")</f>
        <v/>
      </c>
      <c r="I150" s="163" t="str">
        <f>IF($C150,'Proyecto Datos (OKR´s)'!$J150,"")</f>
        <v/>
      </c>
      <c r="J150" s="164" t="str">
        <f ca="1">IF($C150,IF($I150&gt;=1,"Completado",IF($H150&lt;TODAY(),"Vencido",IF(($H150-TODAY())&lt;='Entregas Próximas'!$M$3,"Próximo a vencer","En curso"))),"")</f>
        <v/>
      </c>
      <c r="K150" s="163" t="str">
        <f t="shared" ca="1" si="86"/>
        <v/>
      </c>
      <c r="L150" s="163" t="str">
        <f t="shared" si="87"/>
        <v/>
      </c>
      <c r="M150" s="163" t="str">
        <f t="shared" si="88"/>
        <v/>
      </c>
      <c r="N150" s="163" t="str">
        <f>IF($C150,IF('Proyecto Datos (OKR´s)'!$E150="",9999,'Proyecto Datos (OKR´s)'!$E150),"")</f>
        <v/>
      </c>
      <c r="O150" s="163" t="str">
        <f t="shared" si="89"/>
        <v/>
      </c>
      <c r="R150" s="163" t="str">
        <f>IF($C150,IF(ISNUMBER('Proyecto Datos (OKR´s)'!$L150),'Proyecto Datos (OKR´s)'!$L150,$H150),"")</f>
        <v/>
      </c>
      <c r="S150" s="163" t="str">
        <f>IF($C150,$R150-'Proyecto Datos (OKR´s)'!$K150+1,"")</f>
        <v/>
      </c>
      <c r="T150" s="163" t="str">
        <f ca="1">IF($C150,MAX(0,TODAY()-'Proyecto Datos (OKR´s)'!$K150),"")</f>
        <v/>
      </c>
      <c r="U150" s="163" t="str">
        <f ca="1">IF($C150,MEDIAN(0,(TODAY()-'Proyecto Datos (OKR´s)'!$K150)/MAX(1,$R150-'Proyecto Datos (OKR´s)'!$K150),1),"")</f>
        <v/>
      </c>
      <c r="V150" s="163" t="str">
        <f t="shared" si="90"/>
        <v/>
      </c>
      <c r="W150" s="163" t="str">
        <f t="shared" ca="1" si="91"/>
        <v/>
      </c>
      <c r="X150" s="163" t="str">
        <f t="shared" si="92"/>
        <v/>
      </c>
      <c r="Y150" s="163" t="str">
        <f t="shared" si="93"/>
        <v/>
      </c>
      <c r="Z150" s="163" t="str">
        <f ca="1">IF($C150,AND($I150=0,'Proyecto Datos (OKR´s)'!$K150&lt;=TODAY(),$J150&lt;&gt;"Completado"),"")</f>
        <v/>
      </c>
      <c r="AA150" s="163" t="str">
        <f t="shared" si="94"/>
        <v/>
      </c>
      <c r="AB150" s="164" t="str">
        <f t="shared" si="95"/>
        <v/>
      </c>
      <c r="AC150" s="164" t="str">
        <f t="shared" si="96"/>
        <v/>
      </c>
      <c r="AD150" s="163" t="str">
        <f>IF($C150,IF($N150=9999,9999,IF($J150="Completado",$N150,MAX($N150,Sprints!$M$15))),"")</f>
        <v/>
      </c>
      <c r="AE150" s="163" t="str">
        <f t="shared" si="97"/>
        <v/>
      </c>
      <c r="AF150" s="163" t="b">
        <f t="shared" si="98"/>
        <v>0</v>
      </c>
      <c r="AG150" s="163" t="str">
        <f t="shared" si="99"/>
        <v/>
      </c>
      <c r="AH150" s="164" t="str">
        <f>IF($AF150,IF(Sprints!$I150&lt;&gt;"",Sprints!$I150,"Comprometida y no completada al cierre del Sprint "&amp;$N150),"")</f>
        <v/>
      </c>
      <c r="AI150" s="163" t="str">
        <f t="shared" si="100"/>
        <v/>
      </c>
      <c r="AJ150" s="163" t="str">
        <f t="shared" si="101"/>
        <v/>
      </c>
      <c r="AK150" s="163" t="str">
        <f t="shared" si="102"/>
        <v/>
      </c>
      <c r="AL150" s="163" t="str">
        <f t="shared" si="103"/>
        <v/>
      </c>
      <c r="AM150" s="163" t="str">
        <f t="shared" si="104"/>
        <v/>
      </c>
      <c r="AN150" s="164" t="str">
        <f t="shared" si="105"/>
        <v/>
      </c>
      <c r="AO150" s="163" t="str">
        <f>IF($C150,IFERROR(INDEX(Sprints!$M$6:$M$13,MATCH($N150,Sprints!$K$6:$K$13,0)),""),"")</f>
        <v/>
      </c>
      <c r="AP150" s="163" t="str">
        <f t="shared" ca="1" si="106"/>
        <v/>
      </c>
    </row>
    <row r="151" spans="1:42" x14ac:dyDescent="0.35">
      <c r="A151" s="163">
        <f>ROW()</f>
        <v>151</v>
      </c>
      <c r="B151" s="163" t="b">
        <f>ISTEXT('Proyecto Datos (OKR´s)'!$K151)</f>
        <v>0</v>
      </c>
      <c r="C151" s="163" t="b">
        <f>AND(LEN('Proyecto Datos (OKR´s)'!$G151)&gt;0,NOT($B151),OR(ISNUMBER('Proyecto Datos (OKR´s)'!$F151),ISNUMBER('Proyecto Datos (OKR´s)'!$L151)))</f>
        <v>0</v>
      </c>
      <c r="D151" s="164" t="str">
        <f>IF($C151,IFERROR(LOOKUP(2,1/((ISTEXT('Proyecto Datos (OKR´s)'!$K$7:$K151))*(LEN('Proyecto Datos (OKR´s)'!$G$7:$G151)&gt;0)),'Proyecto Datos (OKR´s)'!$G$7:$G151),""),"")</f>
        <v/>
      </c>
      <c r="E151" s="163" t="str">
        <f>IF($C151,'Proyecto Datos (OKR´s)'!$E151,"")</f>
        <v/>
      </c>
      <c r="F151" s="164" t="str">
        <f>IF($C151,'Proyecto Datos (OKR´s)'!$G151,"")</f>
        <v/>
      </c>
      <c r="G151" s="164" t="str">
        <f>IF($C151,IF('Proyecto Datos (OKR´s)'!$I151="","(Sin asignar)",'Proyecto Datos (OKR´s)'!$I151),"")</f>
        <v/>
      </c>
      <c r="H151" s="163" t="str">
        <f>IF($C151,IF(ISNUMBER('Proyecto Datos (OKR´s)'!$F151),'Proyecto Datos (OKR´s)'!$F151,'Proyecto Datos (OKR´s)'!$L151),"")</f>
        <v/>
      </c>
      <c r="I151" s="163" t="str">
        <f>IF($C151,'Proyecto Datos (OKR´s)'!$J151,"")</f>
        <v/>
      </c>
      <c r="J151" s="164" t="str">
        <f ca="1">IF($C151,IF($I151&gt;=1,"Completado",IF($H151&lt;TODAY(),"Vencido",IF(($H151-TODAY())&lt;='Entregas Próximas'!$M$3,"Próximo a vencer","En curso"))),"")</f>
        <v/>
      </c>
      <c r="K151" s="163" t="str">
        <f t="shared" ca="1" si="86"/>
        <v/>
      </c>
      <c r="L151" s="163" t="str">
        <f t="shared" si="87"/>
        <v/>
      </c>
      <c r="M151" s="163" t="str">
        <f t="shared" si="88"/>
        <v/>
      </c>
      <c r="N151" s="163" t="str">
        <f>IF($C151,IF('Proyecto Datos (OKR´s)'!$E151="",9999,'Proyecto Datos (OKR´s)'!$E151),"")</f>
        <v/>
      </c>
      <c r="O151" s="163" t="str">
        <f t="shared" si="89"/>
        <v/>
      </c>
      <c r="R151" s="163" t="str">
        <f>IF($C151,IF(ISNUMBER('Proyecto Datos (OKR´s)'!$L151),'Proyecto Datos (OKR´s)'!$L151,$H151),"")</f>
        <v/>
      </c>
      <c r="S151" s="163" t="str">
        <f>IF($C151,$R151-'Proyecto Datos (OKR´s)'!$K151+1,"")</f>
        <v/>
      </c>
      <c r="T151" s="163" t="str">
        <f ca="1">IF($C151,MAX(0,TODAY()-'Proyecto Datos (OKR´s)'!$K151),"")</f>
        <v/>
      </c>
      <c r="U151" s="163" t="str">
        <f ca="1">IF($C151,MEDIAN(0,(TODAY()-'Proyecto Datos (OKR´s)'!$K151)/MAX(1,$R151-'Proyecto Datos (OKR´s)'!$K151),1),"")</f>
        <v/>
      </c>
      <c r="V151" s="163" t="str">
        <f t="shared" si="90"/>
        <v/>
      </c>
      <c r="W151" s="163" t="str">
        <f t="shared" ca="1" si="91"/>
        <v/>
      </c>
      <c r="X151" s="163" t="str">
        <f t="shared" si="92"/>
        <v/>
      </c>
      <c r="Y151" s="163" t="str">
        <f t="shared" si="93"/>
        <v/>
      </c>
      <c r="Z151" s="163" t="str">
        <f ca="1">IF($C151,AND($I151=0,'Proyecto Datos (OKR´s)'!$K151&lt;=TODAY(),$J151&lt;&gt;"Completado"),"")</f>
        <v/>
      </c>
      <c r="AA151" s="163" t="str">
        <f t="shared" si="94"/>
        <v/>
      </c>
      <c r="AB151" s="164" t="str">
        <f t="shared" si="95"/>
        <v/>
      </c>
      <c r="AC151" s="164" t="str">
        <f t="shared" si="96"/>
        <v/>
      </c>
      <c r="AD151" s="163" t="str">
        <f>IF($C151,IF($N151=9999,9999,IF($J151="Completado",$N151,MAX($N151,Sprints!$M$15))),"")</f>
        <v/>
      </c>
      <c r="AE151" s="163" t="str">
        <f t="shared" si="97"/>
        <v/>
      </c>
      <c r="AF151" s="163" t="b">
        <f t="shared" si="98"/>
        <v>0</v>
      </c>
      <c r="AG151" s="163" t="str">
        <f t="shared" si="99"/>
        <v/>
      </c>
      <c r="AH151" s="164" t="str">
        <f>IF($AF151,IF(Sprints!$I151&lt;&gt;"",Sprints!$I151,"Comprometida y no completada al cierre del Sprint "&amp;$N151),"")</f>
        <v/>
      </c>
      <c r="AI151" s="163" t="str">
        <f t="shared" si="100"/>
        <v/>
      </c>
      <c r="AJ151" s="163" t="str">
        <f t="shared" si="101"/>
        <v/>
      </c>
      <c r="AK151" s="163" t="str">
        <f t="shared" si="102"/>
        <v/>
      </c>
      <c r="AL151" s="163" t="str">
        <f t="shared" si="103"/>
        <v/>
      </c>
      <c r="AM151" s="163" t="str">
        <f t="shared" si="104"/>
        <v/>
      </c>
      <c r="AN151" s="164" t="str">
        <f t="shared" si="105"/>
        <v/>
      </c>
      <c r="AO151" s="163" t="str">
        <f>IF($C151,IFERROR(INDEX(Sprints!$M$6:$M$13,MATCH($N151,Sprints!$K$6:$K$13,0)),""),"")</f>
        <v/>
      </c>
      <c r="AP151" s="163" t="str">
        <f t="shared" ca="1" si="106"/>
        <v/>
      </c>
    </row>
    <row r="152" spans="1:42" x14ac:dyDescent="0.35">
      <c r="A152" s="163">
        <f>ROW()</f>
        <v>152</v>
      </c>
      <c r="B152" s="163" t="b">
        <f>ISTEXT('Proyecto Datos (OKR´s)'!$K152)</f>
        <v>0</v>
      </c>
      <c r="C152" s="163" t="b">
        <f>AND(LEN('Proyecto Datos (OKR´s)'!$G152)&gt;0,NOT($B152),OR(ISNUMBER('Proyecto Datos (OKR´s)'!$F152),ISNUMBER('Proyecto Datos (OKR´s)'!$L152)))</f>
        <v>0</v>
      </c>
      <c r="D152" s="164" t="str">
        <f>IF($C152,IFERROR(LOOKUP(2,1/((ISTEXT('Proyecto Datos (OKR´s)'!$K$7:$K152))*(LEN('Proyecto Datos (OKR´s)'!$G$7:$G152)&gt;0)),'Proyecto Datos (OKR´s)'!$G$7:$G152),""),"")</f>
        <v/>
      </c>
      <c r="E152" s="163" t="str">
        <f>IF($C152,'Proyecto Datos (OKR´s)'!$E152,"")</f>
        <v/>
      </c>
      <c r="F152" s="164" t="str">
        <f>IF($C152,'Proyecto Datos (OKR´s)'!$G152,"")</f>
        <v/>
      </c>
      <c r="G152" s="164" t="str">
        <f>IF($C152,IF('Proyecto Datos (OKR´s)'!$I152="","(Sin asignar)",'Proyecto Datos (OKR´s)'!$I152),"")</f>
        <v/>
      </c>
      <c r="H152" s="163" t="str">
        <f>IF($C152,IF(ISNUMBER('Proyecto Datos (OKR´s)'!$F152),'Proyecto Datos (OKR´s)'!$F152,'Proyecto Datos (OKR´s)'!$L152),"")</f>
        <v/>
      </c>
      <c r="I152" s="163" t="str">
        <f>IF($C152,'Proyecto Datos (OKR´s)'!$J152,"")</f>
        <v/>
      </c>
      <c r="J152" s="164" t="str">
        <f ca="1">IF($C152,IF($I152&gt;=1,"Completado",IF($H152&lt;TODAY(),"Vencido",IF(($H152-TODAY())&lt;='Entregas Próximas'!$M$3,"Próximo a vencer","En curso"))),"")</f>
        <v/>
      </c>
      <c r="K152" s="163" t="str">
        <f t="shared" ca="1" si="86"/>
        <v/>
      </c>
      <c r="L152" s="163" t="str">
        <f t="shared" si="87"/>
        <v/>
      </c>
      <c r="M152" s="163" t="str">
        <f t="shared" si="88"/>
        <v/>
      </c>
      <c r="N152" s="163" t="str">
        <f>IF($C152,IF('Proyecto Datos (OKR´s)'!$E152="",9999,'Proyecto Datos (OKR´s)'!$E152),"")</f>
        <v/>
      </c>
      <c r="O152" s="163" t="str">
        <f t="shared" si="89"/>
        <v/>
      </c>
      <c r="R152" s="163" t="str">
        <f>IF($C152,IF(ISNUMBER('Proyecto Datos (OKR´s)'!$L152),'Proyecto Datos (OKR´s)'!$L152,$H152),"")</f>
        <v/>
      </c>
      <c r="S152" s="163" t="str">
        <f>IF($C152,$R152-'Proyecto Datos (OKR´s)'!$K152+1,"")</f>
        <v/>
      </c>
      <c r="T152" s="163" t="str">
        <f ca="1">IF($C152,MAX(0,TODAY()-'Proyecto Datos (OKR´s)'!$K152),"")</f>
        <v/>
      </c>
      <c r="U152" s="163" t="str">
        <f ca="1">IF($C152,MEDIAN(0,(TODAY()-'Proyecto Datos (OKR´s)'!$K152)/MAX(1,$R152-'Proyecto Datos (OKR´s)'!$K152),1),"")</f>
        <v/>
      </c>
      <c r="V152" s="163" t="str">
        <f t="shared" si="90"/>
        <v/>
      </c>
      <c r="W152" s="163" t="str">
        <f t="shared" ca="1" si="91"/>
        <v/>
      </c>
      <c r="X152" s="163" t="str">
        <f t="shared" si="92"/>
        <v/>
      </c>
      <c r="Y152" s="163" t="str">
        <f t="shared" si="93"/>
        <v/>
      </c>
      <c r="Z152" s="163" t="str">
        <f ca="1">IF($C152,AND($I152=0,'Proyecto Datos (OKR´s)'!$K152&lt;=TODAY(),$J152&lt;&gt;"Completado"),"")</f>
        <v/>
      </c>
      <c r="AA152" s="163" t="str">
        <f t="shared" si="94"/>
        <v/>
      </c>
      <c r="AB152" s="164" t="str">
        <f t="shared" si="95"/>
        <v/>
      </c>
      <c r="AC152" s="164" t="str">
        <f t="shared" si="96"/>
        <v/>
      </c>
      <c r="AD152" s="163" t="str">
        <f>IF($C152,IF($N152=9999,9999,IF($J152="Completado",$N152,MAX($N152,Sprints!$M$15))),"")</f>
        <v/>
      </c>
      <c r="AE152" s="163" t="str">
        <f t="shared" si="97"/>
        <v/>
      </c>
      <c r="AF152" s="163" t="b">
        <f t="shared" si="98"/>
        <v>0</v>
      </c>
      <c r="AG152" s="163" t="str">
        <f t="shared" si="99"/>
        <v/>
      </c>
      <c r="AH152" s="164" t="str">
        <f>IF($AF152,IF(Sprints!$I152&lt;&gt;"",Sprints!$I152,"Comprometida y no completada al cierre del Sprint "&amp;$N152),"")</f>
        <v/>
      </c>
      <c r="AI152" s="163" t="str">
        <f t="shared" si="100"/>
        <v/>
      </c>
      <c r="AJ152" s="163" t="str">
        <f t="shared" si="101"/>
        <v/>
      </c>
      <c r="AK152" s="163" t="str">
        <f t="shared" si="102"/>
        <v/>
      </c>
      <c r="AL152" s="163" t="str">
        <f t="shared" si="103"/>
        <v/>
      </c>
      <c r="AM152" s="163" t="str">
        <f t="shared" si="104"/>
        <v/>
      </c>
      <c r="AN152" s="164" t="str">
        <f t="shared" si="105"/>
        <v/>
      </c>
      <c r="AO152" s="163" t="str">
        <f>IF($C152,IFERROR(INDEX(Sprints!$M$6:$M$13,MATCH($N152,Sprints!$K$6:$K$13,0)),""),"")</f>
        <v/>
      </c>
      <c r="AP152" s="163" t="str">
        <f t="shared" ca="1" si="106"/>
        <v/>
      </c>
    </row>
    <row r="153" spans="1:42" x14ac:dyDescent="0.35">
      <c r="A153" s="163">
        <f>ROW()</f>
        <v>153</v>
      </c>
      <c r="B153" s="163" t="b">
        <f>ISTEXT('Proyecto Datos (OKR´s)'!$K153)</f>
        <v>0</v>
      </c>
      <c r="C153" s="163" t="b">
        <f>AND(LEN('Proyecto Datos (OKR´s)'!$G153)&gt;0,NOT($B153),OR(ISNUMBER('Proyecto Datos (OKR´s)'!$F153),ISNUMBER('Proyecto Datos (OKR´s)'!$L153)))</f>
        <v>0</v>
      </c>
      <c r="D153" s="164" t="str">
        <f>IF($C153,IFERROR(LOOKUP(2,1/((ISTEXT('Proyecto Datos (OKR´s)'!$K$7:$K153))*(LEN('Proyecto Datos (OKR´s)'!$G$7:$G153)&gt;0)),'Proyecto Datos (OKR´s)'!$G$7:$G153),""),"")</f>
        <v/>
      </c>
      <c r="E153" s="163" t="str">
        <f>IF($C153,'Proyecto Datos (OKR´s)'!$E153,"")</f>
        <v/>
      </c>
      <c r="F153" s="164" t="str">
        <f>IF($C153,'Proyecto Datos (OKR´s)'!$G153,"")</f>
        <v/>
      </c>
      <c r="G153" s="164" t="str">
        <f>IF($C153,IF('Proyecto Datos (OKR´s)'!$I153="","(Sin asignar)",'Proyecto Datos (OKR´s)'!$I153),"")</f>
        <v/>
      </c>
      <c r="H153" s="163" t="str">
        <f>IF($C153,IF(ISNUMBER('Proyecto Datos (OKR´s)'!$F153),'Proyecto Datos (OKR´s)'!$F153,'Proyecto Datos (OKR´s)'!$L153),"")</f>
        <v/>
      </c>
      <c r="I153" s="163" t="str">
        <f>IF($C153,'Proyecto Datos (OKR´s)'!$J153,"")</f>
        <v/>
      </c>
      <c r="J153" s="164" t="str">
        <f ca="1">IF($C153,IF($I153&gt;=1,"Completado",IF($H153&lt;TODAY(),"Vencido",IF(($H153-TODAY())&lt;='Entregas Próximas'!$M$3,"Próximo a vencer","En curso"))),"")</f>
        <v/>
      </c>
      <c r="K153" s="163" t="str">
        <f t="shared" ca="1" si="86"/>
        <v/>
      </c>
      <c r="L153" s="163" t="str">
        <f t="shared" si="87"/>
        <v/>
      </c>
      <c r="M153" s="163" t="str">
        <f t="shared" si="88"/>
        <v/>
      </c>
      <c r="N153" s="163" t="str">
        <f>IF($C153,IF('Proyecto Datos (OKR´s)'!$E153="",9999,'Proyecto Datos (OKR´s)'!$E153),"")</f>
        <v/>
      </c>
      <c r="O153" s="163" t="str">
        <f t="shared" si="89"/>
        <v/>
      </c>
      <c r="R153" s="163" t="str">
        <f>IF($C153,IF(ISNUMBER('Proyecto Datos (OKR´s)'!$L153),'Proyecto Datos (OKR´s)'!$L153,$H153),"")</f>
        <v/>
      </c>
      <c r="S153" s="163" t="str">
        <f>IF($C153,$R153-'Proyecto Datos (OKR´s)'!$K153+1,"")</f>
        <v/>
      </c>
      <c r="T153" s="163" t="str">
        <f ca="1">IF($C153,MAX(0,TODAY()-'Proyecto Datos (OKR´s)'!$K153),"")</f>
        <v/>
      </c>
      <c r="U153" s="163" t="str">
        <f ca="1">IF($C153,MEDIAN(0,(TODAY()-'Proyecto Datos (OKR´s)'!$K153)/MAX(1,$R153-'Proyecto Datos (OKR´s)'!$K153),1),"")</f>
        <v/>
      </c>
      <c r="V153" s="163" t="str">
        <f t="shared" si="90"/>
        <v/>
      </c>
      <c r="W153" s="163" t="str">
        <f t="shared" ca="1" si="91"/>
        <v/>
      </c>
      <c r="X153" s="163" t="str">
        <f t="shared" si="92"/>
        <v/>
      </c>
      <c r="Y153" s="163" t="str">
        <f t="shared" si="93"/>
        <v/>
      </c>
      <c r="Z153" s="163" t="str">
        <f ca="1">IF($C153,AND($I153=0,'Proyecto Datos (OKR´s)'!$K153&lt;=TODAY(),$J153&lt;&gt;"Completado"),"")</f>
        <v/>
      </c>
      <c r="AA153" s="163" t="str">
        <f t="shared" si="94"/>
        <v/>
      </c>
      <c r="AB153" s="164" t="str">
        <f t="shared" si="95"/>
        <v/>
      </c>
      <c r="AC153" s="164" t="str">
        <f t="shared" si="96"/>
        <v/>
      </c>
      <c r="AD153" s="163" t="str">
        <f>IF($C153,IF($N153=9999,9999,IF($J153="Completado",$N153,MAX($N153,Sprints!$M$15))),"")</f>
        <v/>
      </c>
      <c r="AE153" s="163" t="str">
        <f t="shared" si="97"/>
        <v/>
      </c>
      <c r="AF153" s="163" t="b">
        <f t="shared" si="98"/>
        <v>0</v>
      </c>
      <c r="AG153" s="163" t="str">
        <f t="shared" si="99"/>
        <v/>
      </c>
      <c r="AH153" s="164" t="str">
        <f>IF($AF153,IF(Sprints!$I153&lt;&gt;"",Sprints!$I153,"Comprometida y no completada al cierre del Sprint "&amp;$N153),"")</f>
        <v/>
      </c>
      <c r="AI153" s="163" t="str">
        <f t="shared" si="100"/>
        <v/>
      </c>
      <c r="AJ153" s="163" t="str">
        <f t="shared" si="101"/>
        <v/>
      </c>
      <c r="AK153" s="163" t="str">
        <f t="shared" si="102"/>
        <v/>
      </c>
      <c r="AL153" s="163" t="str">
        <f t="shared" si="103"/>
        <v/>
      </c>
      <c r="AM153" s="163" t="str">
        <f t="shared" si="104"/>
        <v/>
      </c>
      <c r="AN153" s="164" t="str">
        <f t="shared" si="105"/>
        <v/>
      </c>
      <c r="AO153" s="163" t="str">
        <f>IF($C153,IFERROR(INDEX(Sprints!$M$6:$M$13,MATCH($N153,Sprints!$K$6:$K$13,0)),""),"")</f>
        <v/>
      </c>
      <c r="AP153" s="163" t="str">
        <f t="shared" ca="1" si="106"/>
        <v/>
      </c>
    </row>
    <row r="154" spans="1:42" x14ac:dyDescent="0.35">
      <c r="A154" s="163">
        <f>ROW()</f>
        <v>154</v>
      </c>
      <c r="B154" s="163" t="b">
        <f>ISTEXT('Proyecto Datos (OKR´s)'!$K154)</f>
        <v>0</v>
      </c>
      <c r="C154" s="163" t="b">
        <f>AND(LEN('Proyecto Datos (OKR´s)'!$G154)&gt;0,NOT($B154),OR(ISNUMBER('Proyecto Datos (OKR´s)'!$F154),ISNUMBER('Proyecto Datos (OKR´s)'!$L154)))</f>
        <v>0</v>
      </c>
      <c r="D154" s="164" t="str">
        <f>IF($C154,IFERROR(LOOKUP(2,1/((ISTEXT('Proyecto Datos (OKR´s)'!$K$7:$K154))*(LEN('Proyecto Datos (OKR´s)'!$G$7:$G154)&gt;0)),'Proyecto Datos (OKR´s)'!$G$7:$G154),""),"")</f>
        <v/>
      </c>
      <c r="E154" s="163" t="str">
        <f>IF($C154,'Proyecto Datos (OKR´s)'!$E154,"")</f>
        <v/>
      </c>
      <c r="F154" s="164" t="str">
        <f>IF($C154,'Proyecto Datos (OKR´s)'!$G154,"")</f>
        <v/>
      </c>
      <c r="G154" s="164" t="str">
        <f>IF($C154,IF('Proyecto Datos (OKR´s)'!$I154="","(Sin asignar)",'Proyecto Datos (OKR´s)'!$I154),"")</f>
        <v/>
      </c>
      <c r="H154" s="163" t="str">
        <f>IF($C154,IF(ISNUMBER('Proyecto Datos (OKR´s)'!$F154),'Proyecto Datos (OKR´s)'!$F154,'Proyecto Datos (OKR´s)'!$L154),"")</f>
        <v/>
      </c>
      <c r="I154" s="163" t="str">
        <f>IF($C154,'Proyecto Datos (OKR´s)'!$J154,"")</f>
        <v/>
      </c>
      <c r="J154" s="164" t="str">
        <f ca="1">IF($C154,IF($I154&gt;=1,"Completado",IF($H154&lt;TODAY(),"Vencido",IF(($H154-TODAY())&lt;='Entregas Próximas'!$M$3,"Próximo a vencer","En curso"))),"")</f>
        <v/>
      </c>
      <c r="K154" s="163" t="str">
        <f t="shared" ca="1" si="86"/>
        <v/>
      </c>
      <c r="L154" s="163" t="str">
        <f t="shared" si="87"/>
        <v/>
      </c>
      <c r="M154" s="163" t="str">
        <f t="shared" si="88"/>
        <v/>
      </c>
      <c r="N154" s="163" t="str">
        <f>IF($C154,IF('Proyecto Datos (OKR´s)'!$E154="",9999,'Proyecto Datos (OKR´s)'!$E154),"")</f>
        <v/>
      </c>
      <c r="O154" s="163" t="str">
        <f t="shared" si="89"/>
        <v/>
      </c>
      <c r="R154" s="163" t="str">
        <f>IF($C154,IF(ISNUMBER('Proyecto Datos (OKR´s)'!$L154),'Proyecto Datos (OKR´s)'!$L154,$H154),"")</f>
        <v/>
      </c>
      <c r="S154" s="163" t="str">
        <f>IF($C154,$R154-'Proyecto Datos (OKR´s)'!$K154+1,"")</f>
        <v/>
      </c>
      <c r="T154" s="163" t="str">
        <f ca="1">IF($C154,MAX(0,TODAY()-'Proyecto Datos (OKR´s)'!$K154),"")</f>
        <v/>
      </c>
      <c r="U154" s="163" t="str">
        <f ca="1">IF($C154,MEDIAN(0,(TODAY()-'Proyecto Datos (OKR´s)'!$K154)/MAX(1,$R154-'Proyecto Datos (OKR´s)'!$K154),1),"")</f>
        <v/>
      </c>
      <c r="V154" s="163" t="str">
        <f t="shared" si="90"/>
        <v/>
      </c>
      <c r="W154" s="163" t="str">
        <f t="shared" ca="1" si="91"/>
        <v/>
      </c>
      <c r="X154" s="163" t="str">
        <f t="shared" si="92"/>
        <v/>
      </c>
      <c r="Y154" s="163" t="str">
        <f t="shared" si="93"/>
        <v/>
      </c>
      <c r="Z154" s="163" t="str">
        <f ca="1">IF($C154,AND($I154=0,'Proyecto Datos (OKR´s)'!$K154&lt;=TODAY(),$J154&lt;&gt;"Completado"),"")</f>
        <v/>
      </c>
      <c r="AA154" s="163" t="str">
        <f t="shared" si="94"/>
        <v/>
      </c>
      <c r="AB154" s="164" t="str">
        <f t="shared" si="95"/>
        <v/>
      </c>
      <c r="AC154" s="164" t="str">
        <f t="shared" si="96"/>
        <v/>
      </c>
      <c r="AD154" s="163" t="str">
        <f>IF($C154,IF($N154=9999,9999,IF($J154="Completado",$N154,MAX($N154,Sprints!$M$15))),"")</f>
        <v/>
      </c>
      <c r="AE154" s="163" t="str">
        <f t="shared" si="97"/>
        <v/>
      </c>
      <c r="AF154" s="163" t="b">
        <f t="shared" si="98"/>
        <v>0</v>
      </c>
      <c r="AG154" s="163" t="str">
        <f t="shared" si="99"/>
        <v/>
      </c>
      <c r="AH154" s="164" t="str">
        <f>IF($AF154,IF(Sprints!$I154&lt;&gt;"",Sprints!$I154,"Comprometida y no completada al cierre del Sprint "&amp;$N154),"")</f>
        <v/>
      </c>
      <c r="AI154" s="163" t="str">
        <f t="shared" si="100"/>
        <v/>
      </c>
      <c r="AJ154" s="163" t="str">
        <f t="shared" si="101"/>
        <v/>
      </c>
      <c r="AK154" s="163" t="str">
        <f t="shared" si="102"/>
        <v/>
      </c>
      <c r="AL154" s="163" t="str">
        <f t="shared" si="103"/>
        <v/>
      </c>
      <c r="AM154" s="163" t="str">
        <f t="shared" si="104"/>
        <v/>
      </c>
      <c r="AN154" s="164" t="str">
        <f t="shared" si="105"/>
        <v/>
      </c>
      <c r="AO154" s="163" t="str">
        <f>IF($C154,IFERROR(INDEX(Sprints!$M$6:$M$13,MATCH($N154,Sprints!$K$6:$K$13,0)),""),"")</f>
        <v/>
      </c>
      <c r="AP154" s="163" t="str">
        <f t="shared" ca="1" si="106"/>
        <v/>
      </c>
    </row>
    <row r="155" spans="1:42" x14ac:dyDescent="0.35">
      <c r="A155" s="163">
        <f>ROW()</f>
        <v>155</v>
      </c>
      <c r="B155" s="163" t="b">
        <f>ISTEXT('Proyecto Datos (OKR´s)'!$K155)</f>
        <v>0</v>
      </c>
      <c r="C155" s="163" t="b">
        <f>AND(LEN('Proyecto Datos (OKR´s)'!$G155)&gt;0,NOT($B155),OR(ISNUMBER('Proyecto Datos (OKR´s)'!$F155),ISNUMBER('Proyecto Datos (OKR´s)'!$L155)))</f>
        <v>0</v>
      </c>
      <c r="D155" s="164" t="str">
        <f>IF($C155,IFERROR(LOOKUP(2,1/((ISTEXT('Proyecto Datos (OKR´s)'!$K$7:$K155))*(LEN('Proyecto Datos (OKR´s)'!$G$7:$G155)&gt;0)),'Proyecto Datos (OKR´s)'!$G$7:$G155),""),"")</f>
        <v/>
      </c>
      <c r="E155" s="163" t="str">
        <f>IF($C155,'Proyecto Datos (OKR´s)'!$E155,"")</f>
        <v/>
      </c>
      <c r="F155" s="164" t="str">
        <f>IF($C155,'Proyecto Datos (OKR´s)'!$G155,"")</f>
        <v/>
      </c>
      <c r="G155" s="164" t="str">
        <f>IF($C155,IF('Proyecto Datos (OKR´s)'!$I155="","(Sin asignar)",'Proyecto Datos (OKR´s)'!$I155),"")</f>
        <v/>
      </c>
      <c r="H155" s="163" t="str">
        <f>IF($C155,IF(ISNUMBER('Proyecto Datos (OKR´s)'!$F155),'Proyecto Datos (OKR´s)'!$F155,'Proyecto Datos (OKR´s)'!$L155),"")</f>
        <v/>
      </c>
      <c r="I155" s="163" t="str">
        <f>IF($C155,'Proyecto Datos (OKR´s)'!$J155,"")</f>
        <v/>
      </c>
      <c r="J155" s="164" t="str">
        <f ca="1">IF($C155,IF($I155&gt;=1,"Completado",IF($H155&lt;TODAY(),"Vencido",IF(($H155-TODAY())&lt;='Entregas Próximas'!$M$3,"Próximo a vencer","En curso"))),"")</f>
        <v/>
      </c>
      <c r="K155" s="163" t="str">
        <f t="shared" ca="1" si="86"/>
        <v/>
      </c>
      <c r="L155" s="163" t="str">
        <f t="shared" si="87"/>
        <v/>
      </c>
      <c r="M155" s="163" t="str">
        <f t="shared" si="88"/>
        <v/>
      </c>
      <c r="N155" s="163" t="str">
        <f>IF($C155,IF('Proyecto Datos (OKR´s)'!$E155="",9999,'Proyecto Datos (OKR´s)'!$E155),"")</f>
        <v/>
      </c>
      <c r="O155" s="163" t="str">
        <f t="shared" si="89"/>
        <v/>
      </c>
      <c r="R155" s="163" t="str">
        <f>IF($C155,IF(ISNUMBER('Proyecto Datos (OKR´s)'!$L155),'Proyecto Datos (OKR´s)'!$L155,$H155),"")</f>
        <v/>
      </c>
      <c r="S155" s="163" t="str">
        <f>IF($C155,$R155-'Proyecto Datos (OKR´s)'!$K155+1,"")</f>
        <v/>
      </c>
      <c r="T155" s="163" t="str">
        <f ca="1">IF($C155,MAX(0,TODAY()-'Proyecto Datos (OKR´s)'!$K155),"")</f>
        <v/>
      </c>
      <c r="U155" s="163" t="str">
        <f ca="1">IF($C155,MEDIAN(0,(TODAY()-'Proyecto Datos (OKR´s)'!$K155)/MAX(1,$R155-'Proyecto Datos (OKR´s)'!$K155),1),"")</f>
        <v/>
      </c>
      <c r="V155" s="163" t="str">
        <f t="shared" si="90"/>
        <v/>
      </c>
      <c r="W155" s="163" t="str">
        <f t="shared" ca="1" si="91"/>
        <v/>
      </c>
      <c r="X155" s="163" t="str">
        <f t="shared" si="92"/>
        <v/>
      </c>
      <c r="Y155" s="163" t="str">
        <f t="shared" si="93"/>
        <v/>
      </c>
      <c r="Z155" s="163" t="str">
        <f ca="1">IF($C155,AND($I155=0,'Proyecto Datos (OKR´s)'!$K155&lt;=TODAY(),$J155&lt;&gt;"Completado"),"")</f>
        <v/>
      </c>
      <c r="AA155" s="163" t="str">
        <f t="shared" si="94"/>
        <v/>
      </c>
      <c r="AB155" s="164" t="str">
        <f t="shared" si="95"/>
        <v/>
      </c>
      <c r="AC155" s="164" t="str">
        <f t="shared" si="96"/>
        <v/>
      </c>
      <c r="AD155" s="163" t="str">
        <f>IF($C155,IF($N155=9999,9999,IF($J155="Completado",$N155,MAX($N155,Sprints!$M$15))),"")</f>
        <v/>
      </c>
      <c r="AE155" s="163" t="str">
        <f t="shared" si="97"/>
        <v/>
      </c>
      <c r="AF155" s="163" t="b">
        <f t="shared" si="98"/>
        <v>0</v>
      </c>
      <c r="AG155" s="163" t="str">
        <f t="shared" si="99"/>
        <v/>
      </c>
      <c r="AH155" s="164" t="str">
        <f>IF($AF155,IF(Sprints!$I155&lt;&gt;"",Sprints!$I155,"Comprometida y no completada al cierre del Sprint "&amp;$N155),"")</f>
        <v/>
      </c>
      <c r="AI155" s="163" t="str">
        <f t="shared" si="100"/>
        <v/>
      </c>
      <c r="AJ155" s="163" t="str">
        <f t="shared" si="101"/>
        <v/>
      </c>
      <c r="AK155" s="163" t="str">
        <f t="shared" si="102"/>
        <v/>
      </c>
      <c r="AL155" s="163" t="str">
        <f t="shared" si="103"/>
        <v/>
      </c>
      <c r="AM155" s="163" t="str">
        <f t="shared" si="104"/>
        <v/>
      </c>
      <c r="AN155" s="164" t="str">
        <f t="shared" si="105"/>
        <v/>
      </c>
      <c r="AO155" s="163" t="str">
        <f>IF($C155,IFERROR(INDEX(Sprints!$M$6:$M$13,MATCH($N155,Sprints!$K$6:$K$13,0)),""),"")</f>
        <v/>
      </c>
      <c r="AP155" s="163" t="str">
        <f t="shared" ca="1" si="106"/>
        <v/>
      </c>
    </row>
    <row r="156" spans="1:42" x14ac:dyDescent="0.35">
      <c r="A156" s="163">
        <f>ROW()</f>
        <v>156</v>
      </c>
      <c r="B156" s="163" t="b">
        <f>ISTEXT('Proyecto Datos (OKR´s)'!$K156)</f>
        <v>0</v>
      </c>
      <c r="C156" s="163" t="b">
        <f>AND(LEN('Proyecto Datos (OKR´s)'!$G156)&gt;0,NOT($B156),OR(ISNUMBER('Proyecto Datos (OKR´s)'!$F156),ISNUMBER('Proyecto Datos (OKR´s)'!$L156)))</f>
        <v>0</v>
      </c>
      <c r="D156" s="164" t="str">
        <f>IF($C156,IFERROR(LOOKUP(2,1/((ISTEXT('Proyecto Datos (OKR´s)'!$K$7:$K156))*(LEN('Proyecto Datos (OKR´s)'!$G$7:$G156)&gt;0)),'Proyecto Datos (OKR´s)'!$G$7:$G156),""),"")</f>
        <v/>
      </c>
      <c r="E156" s="163" t="str">
        <f>IF($C156,'Proyecto Datos (OKR´s)'!$E156,"")</f>
        <v/>
      </c>
      <c r="F156" s="164" t="str">
        <f>IF($C156,'Proyecto Datos (OKR´s)'!$G156,"")</f>
        <v/>
      </c>
      <c r="G156" s="164" t="str">
        <f>IF($C156,IF('Proyecto Datos (OKR´s)'!$I156="","(Sin asignar)",'Proyecto Datos (OKR´s)'!$I156),"")</f>
        <v/>
      </c>
      <c r="H156" s="163" t="str">
        <f>IF($C156,IF(ISNUMBER('Proyecto Datos (OKR´s)'!$F156),'Proyecto Datos (OKR´s)'!$F156,'Proyecto Datos (OKR´s)'!$L156),"")</f>
        <v/>
      </c>
      <c r="I156" s="163" t="str">
        <f>IF($C156,'Proyecto Datos (OKR´s)'!$J156,"")</f>
        <v/>
      </c>
      <c r="J156" s="164" t="str">
        <f ca="1">IF($C156,IF($I156&gt;=1,"Completado",IF($H156&lt;TODAY(),"Vencido",IF(($H156-TODAY())&lt;='Entregas Próximas'!$M$3,"Próximo a vencer","En curso"))),"")</f>
        <v/>
      </c>
      <c r="K156" s="163" t="str">
        <f t="shared" ca="1" si="86"/>
        <v/>
      </c>
      <c r="L156" s="163" t="str">
        <f t="shared" si="87"/>
        <v/>
      </c>
      <c r="M156" s="163" t="str">
        <f t="shared" si="88"/>
        <v/>
      </c>
      <c r="N156" s="163" t="str">
        <f>IF($C156,IF('Proyecto Datos (OKR´s)'!$E156="",9999,'Proyecto Datos (OKR´s)'!$E156),"")</f>
        <v/>
      </c>
      <c r="O156" s="163" t="str">
        <f t="shared" si="89"/>
        <v/>
      </c>
      <c r="R156" s="163" t="str">
        <f>IF($C156,IF(ISNUMBER('Proyecto Datos (OKR´s)'!$L156),'Proyecto Datos (OKR´s)'!$L156,$H156),"")</f>
        <v/>
      </c>
      <c r="S156" s="163" t="str">
        <f>IF($C156,$R156-'Proyecto Datos (OKR´s)'!$K156+1,"")</f>
        <v/>
      </c>
      <c r="T156" s="163" t="str">
        <f ca="1">IF($C156,MAX(0,TODAY()-'Proyecto Datos (OKR´s)'!$K156),"")</f>
        <v/>
      </c>
      <c r="U156" s="163" t="str">
        <f ca="1">IF($C156,MEDIAN(0,(TODAY()-'Proyecto Datos (OKR´s)'!$K156)/MAX(1,$R156-'Proyecto Datos (OKR´s)'!$K156),1),"")</f>
        <v/>
      </c>
      <c r="V156" s="163" t="str">
        <f t="shared" si="90"/>
        <v/>
      </c>
      <c r="W156" s="163" t="str">
        <f t="shared" ca="1" si="91"/>
        <v/>
      </c>
      <c r="X156" s="163" t="str">
        <f t="shared" si="92"/>
        <v/>
      </c>
      <c r="Y156" s="163" t="str">
        <f t="shared" si="93"/>
        <v/>
      </c>
      <c r="Z156" s="163" t="str">
        <f ca="1">IF($C156,AND($I156=0,'Proyecto Datos (OKR´s)'!$K156&lt;=TODAY(),$J156&lt;&gt;"Completado"),"")</f>
        <v/>
      </c>
      <c r="AA156" s="163" t="str">
        <f t="shared" si="94"/>
        <v/>
      </c>
      <c r="AB156" s="164" t="str">
        <f t="shared" si="95"/>
        <v/>
      </c>
      <c r="AC156" s="164" t="str">
        <f t="shared" si="96"/>
        <v/>
      </c>
      <c r="AD156" s="163" t="str">
        <f>IF($C156,IF($N156=9999,9999,IF($J156="Completado",$N156,MAX($N156,Sprints!$M$15))),"")</f>
        <v/>
      </c>
      <c r="AE156" s="163" t="str">
        <f t="shared" si="97"/>
        <v/>
      </c>
      <c r="AF156" s="163" t="b">
        <f t="shared" si="98"/>
        <v>0</v>
      </c>
      <c r="AG156" s="163" t="str">
        <f t="shared" si="99"/>
        <v/>
      </c>
      <c r="AH156" s="164" t="str">
        <f>IF($AF156,IF(Sprints!$I156&lt;&gt;"",Sprints!$I156,"Comprometida y no completada al cierre del Sprint "&amp;$N156),"")</f>
        <v/>
      </c>
      <c r="AI156" s="163" t="str">
        <f t="shared" si="100"/>
        <v/>
      </c>
      <c r="AJ156" s="163" t="str">
        <f t="shared" si="101"/>
        <v/>
      </c>
      <c r="AK156" s="163" t="str">
        <f t="shared" si="102"/>
        <v/>
      </c>
      <c r="AL156" s="163" t="str">
        <f t="shared" si="103"/>
        <v/>
      </c>
      <c r="AM156" s="163" t="str">
        <f t="shared" si="104"/>
        <v/>
      </c>
      <c r="AN156" s="164" t="str">
        <f t="shared" si="105"/>
        <v/>
      </c>
      <c r="AO156" s="163" t="str">
        <f>IF($C156,IFERROR(INDEX(Sprints!$M$6:$M$13,MATCH($N156,Sprints!$K$6:$K$13,0)),""),"")</f>
        <v/>
      </c>
      <c r="AP156" s="163" t="str">
        <f t="shared" ca="1" si="106"/>
        <v/>
      </c>
    </row>
    <row r="157" spans="1:42" x14ac:dyDescent="0.35">
      <c r="A157" s="163">
        <f>ROW()</f>
        <v>157</v>
      </c>
      <c r="B157" s="163" t="b">
        <f>ISTEXT('Proyecto Datos (OKR´s)'!$K157)</f>
        <v>0</v>
      </c>
      <c r="C157" s="163" t="b">
        <f>AND(LEN('Proyecto Datos (OKR´s)'!$G157)&gt;0,NOT($B157),OR(ISNUMBER('Proyecto Datos (OKR´s)'!$F157),ISNUMBER('Proyecto Datos (OKR´s)'!$L157)))</f>
        <v>0</v>
      </c>
      <c r="D157" s="164" t="str">
        <f>IF($C157,IFERROR(LOOKUP(2,1/((ISTEXT('Proyecto Datos (OKR´s)'!$K$7:$K157))*(LEN('Proyecto Datos (OKR´s)'!$G$7:$G157)&gt;0)),'Proyecto Datos (OKR´s)'!$G$7:$G157),""),"")</f>
        <v/>
      </c>
      <c r="E157" s="163" t="str">
        <f>IF($C157,'Proyecto Datos (OKR´s)'!$E157,"")</f>
        <v/>
      </c>
      <c r="F157" s="164" t="str">
        <f>IF($C157,'Proyecto Datos (OKR´s)'!$G157,"")</f>
        <v/>
      </c>
      <c r="G157" s="164" t="str">
        <f>IF($C157,IF('Proyecto Datos (OKR´s)'!$I157="","(Sin asignar)",'Proyecto Datos (OKR´s)'!$I157),"")</f>
        <v/>
      </c>
      <c r="H157" s="163" t="str">
        <f>IF($C157,IF(ISNUMBER('Proyecto Datos (OKR´s)'!$F157),'Proyecto Datos (OKR´s)'!$F157,'Proyecto Datos (OKR´s)'!$L157),"")</f>
        <v/>
      </c>
      <c r="I157" s="163" t="str">
        <f>IF($C157,'Proyecto Datos (OKR´s)'!$J157,"")</f>
        <v/>
      </c>
      <c r="J157" s="164" t="str">
        <f ca="1">IF($C157,IF($I157&gt;=1,"Completado",IF($H157&lt;TODAY(),"Vencido",IF(($H157-TODAY())&lt;='Entregas Próximas'!$M$3,"Próximo a vencer","En curso"))),"")</f>
        <v/>
      </c>
      <c r="K157" s="163" t="str">
        <f t="shared" ca="1" si="86"/>
        <v/>
      </c>
      <c r="L157" s="163" t="str">
        <f t="shared" si="87"/>
        <v/>
      </c>
      <c r="M157" s="163" t="str">
        <f t="shared" si="88"/>
        <v/>
      </c>
      <c r="N157" s="163" t="str">
        <f>IF($C157,IF('Proyecto Datos (OKR´s)'!$E157="",9999,'Proyecto Datos (OKR´s)'!$E157),"")</f>
        <v/>
      </c>
      <c r="O157" s="163" t="str">
        <f t="shared" si="89"/>
        <v/>
      </c>
      <c r="R157" s="163" t="str">
        <f>IF($C157,IF(ISNUMBER('Proyecto Datos (OKR´s)'!$L157),'Proyecto Datos (OKR´s)'!$L157,$H157),"")</f>
        <v/>
      </c>
      <c r="S157" s="163" t="str">
        <f>IF($C157,$R157-'Proyecto Datos (OKR´s)'!$K157+1,"")</f>
        <v/>
      </c>
      <c r="T157" s="163" t="str">
        <f ca="1">IF($C157,MAX(0,TODAY()-'Proyecto Datos (OKR´s)'!$K157),"")</f>
        <v/>
      </c>
      <c r="U157" s="163" t="str">
        <f ca="1">IF($C157,MEDIAN(0,(TODAY()-'Proyecto Datos (OKR´s)'!$K157)/MAX(1,$R157-'Proyecto Datos (OKR´s)'!$K157),1),"")</f>
        <v/>
      </c>
      <c r="V157" s="163" t="str">
        <f t="shared" si="90"/>
        <v/>
      </c>
      <c r="W157" s="163" t="str">
        <f t="shared" ca="1" si="91"/>
        <v/>
      </c>
      <c r="X157" s="163" t="str">
        <f t="shared" si="92"/>
        <v/>
      </c>
      <c r="Y157" s="163" t="str">
        <f t="shared" si="93"/>
        <v/>
      </c>
      <c r="Z157" s="163" t="str">
        <f ca="1">IF($C157,AND($I157=0,'Proyecto Datos (OKR´s)'!$K157&lt;=TODAY(),$J157&lt;&gt;"Completado"),"")</f>
        <v/>
      </c>
      <c r="AA157" s="163" t="str">
        <f t="shared" si="94"/>
        <v/>
      </c>
      <c r="AB157" s="164" t="str">
        <f t="shared" si="95"/>
        <v/>
      </c>
      <c r="AC157" s="164" t="str">
        <f t="shared" si="96"/>
        <v/>
      </c>
      <c r="AD157" s="163" t="str">
        <f>IF($C157,IF($N157=9999,9999,IF($J157="Completado",$N157,MAX($N157,Sprints!$M$15))),"")</f>
        <v/>
      </c>
      <c r="AE157" s="163" t="str">
        <f t="shared" si="97"/>
        <v/>
      </c>
      <c r="AF157" s="163" t="b">
        <f t="shared" si="98"/>
        <v>0</v>
      </c>
      <c r="AG157" s="163" t="str">
        <f t="shared" si="99"/>
        <v/>
      </c>
      <c r="AH157" s="164" t="str">
        <f>IF($AF157,IF(Sprints!$I157&lt;&gt;"",Sprints!$I157,"Comprometida y no completada al cierre del Sprint "&amp;$N157),"")</f>
        <v/>
      </c>
      <c r="AI157" s="163" t="str">
        <f t="shared" si="100"/>
        <v/>
      </c>
      <c r="AJ157" s="163" t="str">
        <f t="shared" si="101"/>
        <v/>
      </c>
      <c r="AK157" s="163" t="str">
        <f t="shared" si="102"/>
        <v/>
      </c>
      <c r="AL157" s="163" t="str">
        <f t="shared" si="103"/>
        <v/>
      </c>
      <c r="AM157" s="163" t="str">
        <f t="shared" si="104"/>
        <v/>
      </c>
      <c r="AN157" s="164" t="str">
        <f t="shared" si="105"/>
        <v/>
      </c>
      <c r="AO157" s="163" t="str">
        <f>IF($C157,IFERROR(INDEX(Sprints!$M$6:$M$13,MATCH($N157,Sprints!$K$6:$K$13,0)),""),"")</f>
        <v/>
      </c>
      <c r="AP157" s="163" t="str">
        <f t="shared" ca="1" si="106"/>
        <v/>
      </c>
    </row>
    <row r="158" spans="1:42" x14ac:dyDescent="0.35">
      <c r="A158" s="163">
        <f>ROW()</f>
        <v>158</v>
      </c>
      <c r="B158" s="163" t="b">
        <f>ISTEXT('Proyecto Datos (OKR´s)'!$K158)</f>
        <v>0</v>
      </c>
      <c r="C158" s="163" t="b">
        <f>AND(LEN('Proyecto Datos (OKR´s)'!$G158)&gt;0,NOT($B158),OR(ISNUMBER('Proyecto Datos (OKR´s)'!$F158),ISNUMBER('Proyecto Datos (OKR´s)'!$L158)))</f>
        <v>0</v>
      </c>
      <c r="D158" s="164" t="str">
        <f>IF($C158,IFERROR(LOOKUP(2,1/((ISTEXT('Proyecto Datos (OKR´s)'!$K$7:$K158))*(LEN('Proyecto Datos (OKR´s)'!$G$7:$G158)&gt;0)),'Proyecto Datos (OKR´s)'!$G$7:$G158),""),"")</f>
        <v/>
      </c>
      <c r="E158" s="163" t="str">
        <f>IF($C158,'Proyecto Datos (OKR´s)'!$E158,"")</f>
        <v/>
      </c>
      <c r="F158" s="164" t="str">
        <f>IF($C158,'Proyecto Datos (OKR´s)'!$G158,"")</f>
        <v/>
      </c>
      <c r="G158" s="164" t="str">
        <f>IF($C158,IF('Proyecto Datos (OKR´s)'!$I158="","(Sin asignar)",'Proyecto Datos (OKR´s)'!$I158),"")</f>
        <v/>
      </c>
      <c r="H158" s="163" t="str">
        <f>IF($C158,IF(ISNUMBER('Proyecto Datos (OKR´s)'!$F158),'Proyecto Datos (OKR´s)'!$F158,'Proyecto Datos (OKR´s)'!$L158),"")</f>
        <v/>
      </c>
      <c r="I158" s="163" t="str">
        <f>IF($C158,'Proyecto Datos (OKR´s)'!$J158,"")</f>
        <v/>
      </c>
      <c r="J158" s="164" t="str">
        <f ca="1">IF($C158,IF($I158&gt;=1,"Completado",IF($H158&lt;TODAY(),"Vencido",IF(($H158-TODAY())&lt;='Entregas Próximas'!$M$3,"Próximo a vencer","En curso"))),"")</f>
        <v/>
      </c>
      <c r="K158" s="163" t="str">
        <f t="shared" ca="1" si="86"/>
        <v/>
      </c>
      <c r="L158" s="163" t="str">
        <f t="shared" si="87"/>
        <v/>
      </c>
      <c r="M158" s="163" t="str">
        <f t="shared" si="88"/>
        <v/>
      </c>
      <c r="N158" s="163" t="str">
        <f>IF($C158,IF('Proyecto Datos (OKR´s)'!$E158="",9999,'Proyecto Datos (OKR´s)'!$E158),"")</f>
        <v/>
      </c>
      <c r="O158" s="163" t="str">
        <f t="shared" si="89"/>
        <v/>
      </c>
      <c r="R158" s="163" t="str">
        <f>IF($C158,IF(ISNUMBER('Proyecto Datos (OKR´s)'!$L158),'Proyecto Datos (OKR´s)'!$L158,$H158),"")</f>
        <v/>
      </c>
      <c r="S158" s="163" t="str">
        <f>IF($C158,$R158-'Proyecto Datos (OKR´s)'!$K158+1,"")</f>
        <v/>
      </c>
      <c r="T158" s="163" t="str">
        <f ca="1">IF($C158,MAX(0,TODAY()-'Proyecto Datos (OKR´s)'!$K158),"")</f>
        <v/>
      </c>
      <c r="U158" s="163" t="str">
        <f ca="1">IF($C158,MEDIAN(0,(TODAY()-'Proyecto Datos (OKR´s)'!$K158)/MAX(1,$R158-'Proyecto Datos (OKR´s)'!$K158),1),"")</f>
        <v/>
      </c>
      <c r="V158" s="163" t="str">
        <f t="shared" si="90"/>
        <v/>
      </c>
      <c r="W158" s="163" t="str">
        <f t="shared" ca="1" si="91"/>
        <v/>
      </c>
      <c r="X158" s="163" t="str">
        <f t="shared" si="92"/>
        <v/>
      </c>
      <c r="Y158" s="163" t="str">
        <f t="shared" si="93"/>
        <v/>
      </c>
      <c r="Z158" s="163" t="str">
        <f ca="1">IF($C158,AND($I158=0,'Proyecto Datos (OKR´s)'!$K158&lt;=TODAY(),$J158&lt;&gt;"Completado"),"")</f>
        <v/>
      </c>
      <c r="AA158" s="163" t="str">
        <f t="shared" si="94"/>
        <v/>
      </c>
      <c r="AB158" s="164" t="str">
        <f t="shared" si="95"/>
        <v/>
      </c>
      <c r="AC158" s="164" t="str">
        <f t="shared" si="96"/>
        <v/>
      </c>
      <c r="AD158" s="163" t="str">
        <f>IF($C158,IF($N158=9999,9999,IF($J158="Completado",$N158,MAX($N158,Sprints!$M$15))),"")</f>
        <v/>
      </c>
      <c r="AE158" s="163" t="str">
        <f t="shared" si="97"/>
        <v/>
      </c>
      <c r="AF158" s="163" t="b">
        <f t="shared" si="98"/>
        <v>0</v>
      </c>
      <c r="AG158" s="163" t="str">
        <f t="shared" si="99"/>
        <v/>
      </c>
      <c r="AH158" s="164" t="str">
        <f>IF($AF158,IF(Sprints!$I158&lt;&gt;"",Sprints!$I158,"Comprometida y no completada al cierre del Sprint "&amp;$N158),"")</f>
        <v/>
      </c>
      <c r="AI158" s="163" t="str">
        <f t="shared" si="100"/>
        <v/>
      </c>
      <c r="AJ158" s="163" t="str">
        <f t="shared" si="101"/>
        <v/>
      </c>
      <c r="AK158" s="163" t="str">
        <f t="shared" si="102"/>
        <v/>
      </c>
      <c r="AL158" s="163" t="str">
        <f t="shared" si="103"/>
        <v/>
      </c>
      <c r="AM158" s="163" t="str">
        <f t="shared" si="104"/>
        <v/>
      </c>
      <c r="AN158" s="164" t="str">
        <f t="shared" si="105"/>
        <v/>
      </c>
      <c r="AO158" s="163" t="str">
        <f>IF($C158,IFERROR(INDEX(Sprints!$M$6:$M$13,MATCH($N158,Sprints!$K$6:$K$13,0)),""),"")</f>
        <v/>
      </c>
      <c r="AP158" s="163" t="str">
        <f t="shared" ca="1" si="106"/>
        <v/>
      </c>
    </row>
    <row r="159" spans="1:42" x14ac:dyDescent="0.35">
      <c r="A159" s="163">
        <f>ROW()</f>
        <v>159</v>
      </c>
      <c r="B159" s="163" t="b">
        <f>ISTEXT('Proyecto Datos (OKR´s)'!$K159)</f>
        <v>0</v>
      </c>
      <c r="C159" s="163" t="b">
        <f>AND(LEN('Proyecto Datos (OKR´s)'!$G159)&gt;0,NOT($B159),OR(ISNUMBER('Proyecto Datos (OKR´s)'!$F159),ISNUMBER('Proyecto Datos (OKR´s)'!$L159)))</f>
        <v>0</v>
      </c>
      <c r="D159" s="164" t="str">
        <f>IF($C159,IFERROR(LOOKUP(2,1/((ISTEXT('Proyecto Datos (OKR´s)'!$K$7:$K159))*(LEN('Proyecto Datos (OKR´s)'!$G$7:$G159)&gt;0)),'Proyecto Datos (OKR´s)'!$G$7:$G159),""),"")</f>
        <v/>
      </c>
      <c r="E159" s="163" t="str">
        <f>IF($C159,'Proyecto Datos (OKR´s)'!$E159,"")</f>
        <v/>
      </c>
      <c r="F159" s="164" t="str">
        <f>IF($C159,'Proyecto Datos (OKR´s)'!$G159,"")</f>
        <v/>
      </c>
      <c r="G159" s="164" t="str">
        <f>IF($C159,IF('Proyecto Datos (OKR´s)'!$I159="","(Sin asignar)",'Proyecto Datos (OKR´s)'!$I159),"")</f>
        <v/>
      </c>
      <c r="H159" s="163" t="str">
        <f>IF($C159,IF(ISNUMBER('Proyecto Datos (OKR´s)'!$F159),'Proyecto Datos (OKR´s)'!$F159,'Proyecto Datos (OKR´s)'!$L159),"")</f>
        <v/>
      </c>
      <c r="I159" s="163" t="str">
        <f>IF($C159,'Proyecto Datos (OKR´s)'!$J159,"")</f>
        <v/>
      </c>
      <c r="J159" s="164" t="str">
        <f ca="1">IF($C159,IF($I159&gt;=1,"Completado",IF($H159&lt;TODAY(),"Vencido",IF(($H159-TODAY())&lt;='Entregas Próximas'!$M$3,"Próximo a vencer","En curso"))),"")</f>
        <v/>
      </c>
      <c r="K159" s="163" t="str">
        <f t="shared" ca="1" si="86"/>
        <v/>
      </c>
      <c r="L159" s="163" t="str">
        <f t="shared" si="87"/>
        <v/>
      </c>
      <c r="M159" s="163" t="str">
        <f t="shared" si="88"/>
        <v/>
      </c>
      <c r="N159" s="163" t="str">
        <f>IF($C159,IF('Proyecto Datos (OKR´s)'!$E159="",9999,'Proyecto Datos (OKR´s)'!$E159),"")</f>
        <v/>
      </c>
      <c r="O159" s="163" t="str">
        <f t="shared" si="89"/>
        <v/>
      </c>
      <c r="R159" s="163" t="str">
        <f>IF($C159,IF(ISNUMBER('Proyecto Datos (OKR´s)'!$L159),'Proyecto Datos (OKR´s)'!$L159,$H159),"")</f>
        <v/>
      </c>
      <c r="S159" s="163" t="str">
        <f>IF($C159,$R159-'Proyecto Datos (OKR´s)'!$K159+1,"")</f>
        <v/>
      </c>
      <c r="T159" s="163" t="str">
        <f ca="1">IF($C159,MAX(0,TODAY()-'Proyecto Datos (OKR´s)'!$K159),"")</f>
        <v/>
      </c>
      <c r="U159" s="163" t="str">
        <f ca="1">IF($C159,MEDIAN(0,(TODAY()-'Proyecto Datos (OKR´s)'!$K159)/MAX(1,$R159-'Proyecto Datos (OKR´s)'!$K159),1),"")</f>
        <v/>
      </c>
      <c r="V159" s="163" t="str">
        <f t="shared" si="90"/>
        <v/>
      </c>
      <c r="W159" s="163" t="str">
        <f t="shared" ca="1" si="91"/>
        <v/>
      </c>
      <c r="X159" s="163" t="str">
        <f t="shared" si="92"/>
        <v/>
      </c>
      <c r="Y159" s="163" t="str">
        <f t="shared" si="93"/>
        <v/>
      </c>
      <c r="Z159" s="163" t="str">
        <f ca="1">IF($C159,AND($I159=0,'Proyecto Datos (OKR´s)'!$K159&lt;=TODAY(),$J159&lt;&gt;"Completado"),"")</f>
        <v/>
      </c>
      <c r="AA159" s="163" t="str">
        <f t="shared" si="94"/>
        <v/>
      </c>
      <c r="AB159" s="164" t="str">
        <f t="shared" si="95"/>
        <v/>
      </c>
      <c r="AC159" s="164" t="str">
        <f t="shared" si="96"/>
        <v/>
      </c>
      <c r="AD159" s="163" t="str">
        <f>IF($C159,IF($N159=9999,9999,IF($J159="Completado",$N159,MAX($N159,Sprints!$M$15))),"")</f>
        <v/>
      </c>
      <c r="AE159" s="163" t="str">
        <f t="shared" si="97"/>
        <v/>
      </c>
      <c r="AF159" s="163" t="b">
        <f t="shared" si="98"/>
        <v>0</v>
      </c>
      <c r="AG159" s="163" t="str">
        <f t="shared" si="99"/>
        <v/>
      </c>
      <c r="AH159" s="164" t="str">
        <f>IF($AF159,IF(Sprints!$I159&lt;&gt;"",Sprints!$I159,"Comprometida y no completada al cierre del Sprint "&amp;$N159),"")</f>
        <v/>
      </c>
      <c r="AI159" s="163" t="str">
        <f t="shared" si="100"/>
        <v/>
      </c>
      <c r="AJ159" s="163" t="str">
        <f t="shared" si="101"/>
        <v/>
      </c>
      <c r="AK159" s="163" t="str">
        <f t="shared" si="102"/>
        <v/>
      </c>
      <c r="AL159" s="163" t="str">
        <f t="shared" si="103"/>
        <v/>
      </c>
      <c r="AM159" s="163" t="str">
        <f t="shared" si="104"/>
        <v/>
      </c>
      <c r="AN159" s="164" t="str">
        <f t="shared" si="105"/>
        <v/>
      </c>
      <c r="AO159" s="163" t="str">
        <f>IF($C159,IFERROR(INDEX(Sprints!$M$6:$M$13,MATCH($N159,Sprints!$K$6:$K$13,0)),""),"")</f>
        <v/>
      </c>
      <c r="AP159" s="163" t="str">
        <f t="shared" ca="1" si="106"/>
        <v/>
      </c>
    </row>
    <row r="160" spans="1:42" x14ac:dyDescent="0.35">
      <c r="A160" s="163">
        <f>ROW()</f>
        <v>160</v>
      </c>
      <c r="B160" s="163" t="b">
        <f>ISTEXT('Proyecto Datos (OKR´s)'!$K160)</f>
        <v>0</v>
      </c>
      <c r="C160" s="163" t="b">
        <f>AND(LEN('Proyecto Datos (OKR´s)'!$G160)&gt;0,NOT($B160),OR(ISNUMBER('Proyecto Datos (OKR´s)'!$F160),ISNUMBER('Proyecto Datos (OKR´s)'!$L160)))</f>
        <v>0</v>
      </c>
      <c r="D160" s="164" t="str">
        <f>IF($C160,IFERROR(LOOKUP(2,1/((ISTEXT('Proyecto Datos (OKR´s)'!$K$7:$K160))*(LEN('Proyecto Datos (OKR´s)'!$G$7:$G160)&gt;0)),'Proyecto Datos (OKR´s)'!$G$7:$G160),""),"")</f>
        <v/>
      </c>
      <c r="E160" s="163" t="str">
        <f>IF($C160,'Proyecto Datos (OKR´s)'!$E160,"")</f>
        <v/>
      </c>
      <c r="F160" s="164" t="str">
        <f>IF($C160,'Proyecto Datos (OKR´s)'!$G160,"")</f>
        <v/>
      </c>
      <c r="G160" s="164" t="str">
        <f>IF($C160,IF('Proyecto Datos (OKR´s)'!$I160="","(Sin asignar)",'Proyecto Datos (OKR´s)'!$I160),"")</f>
        <v/>
      </c>
      <c r="H160" s="163" t="str">
        <f>IF($C160,IF(ISNUMBER('Proyecto Datos (OKR´s)'!$F160),'Proyecto Datos (OKR´s)'!$F160,'Proyecto Datos (OKR´s)'!$L160),"")</f>
        <v/>
      </c>
      <c r="I160" s="163" t="str">
        <f>IF($C160,'Proyecto Datos (OKR´s)'!$J160,"")</f>
        <v/>
      </c>
      <c r="J160" s="164" t="str">
        <f ca="1">IF($C160,IF($I160&gt;=1,"Completado",IF($H160&lt;TODAY(),"Vencido",IF(($H160-TODAY())&lt;='Entregas Próximas'!$M$3,"Próximo a vencer","En curso"))),"")</f>
        <v/>
      </c>
      <c r="K160" s="163" t="str">
        <f t="shared" ca="1" si="86"/>
        <v/>
      </c>
      <c r="L160" s="163" t="str">
        <f t="shared" si="87"/>
        <v/>
      </c>
      <c r="M160" s="163" t="str">
        <f t="shared" si="88"/>
        <v/>
      </c>
      <c r="N160" s="163" t="str">
        <f>IF($C160,IF('Proyecto Datos (OKR´s)'!$E160="",9999,'Proyecto Datos (OKR´s)'!$E160),"")</f>
        <v/>
      </c>
      <c r="O160" s="163" t="str">
        <f t="shared" si="89"/>
        <v/>
      </c>
      <c r="R160" s="163" t="str">
        <f>IF($C160,IF(ISNUMBER('Proyecto Datos (OKR´s)'!$L160),'Proyecto Datos (OKR´s)'!$L160,$H160),"")</f>
        <v/>
      </c>
      <c r="S160" s="163" t="str">
        <f>IF($C160,$R160-'Proyecto Datos (OKR´s)'!$K160+1,"")</f>
        <v/>
      </c>
      <c r="T160" s="163" t="str">
        <f ca="1">IF($C160,MAX(0,TODAY()-'Proyecto Datos (OKR´s)'!$K160),"")</f>
        <v/>
      </c>
      <c r="U160" s="163" t="str">
        <f ca="1">IF($C160,MEDIAN(0,(TODAY()-'Proyecto Datos (OKR´s)'!$K160)/MAX(1,$R160-'Proyecto Datos (OKR´s)'!$K160),1),"")</f>
        <v/>
      </c>
      <c r="V160" s="163" t="str">
        <f t="shared" si="90"/>
        <v/>
      </c>
      <c r="W160" s="163" t="str">
        <f t="shared" ca="1" si="91"/>
        <v/>
      </c>
      <c r="X160" s="163" t="str">
        <f t="shared" si="92"/>
        <v/>
      </c>
      <c r="Y160" s="163" t="str">
        <f t="shared" si="93"/>
        <v/>
      </c>
      <c r="Z160" s="163" t="str">
        <f ca="1">IF($C160,AND($I160=0,'Proyecto Datos (OKR´s)'!$K160&lt;=TODAY(),$J160&lt;&gt;"Completado"),"")</f>
        <v/>
      </c>
      <c r="AA160" s="163" t="str">
        <f t="shared" si="94"/>
        <v/>
      </c>
      <c r="AB160" s="164" t="str">
        <f t="shared" si="95"/>
        <v/>
      </c>
      <c r="AC160" s="164" t="str">
        <f t="shared" si="96"/>
        <v/>
      </c>
      <c r="AD160" s="163" t="str">
        <f>IF($C160,IF($N160=9999,9999,IF($J160="Completado",$N160,MAX($N160,Sprints!$M$15))),"")</f>
        <v/>
      </c>
      <c r="AE160" s="163" t="str">
        <f t="shared" si="97"/>
        <v/>
      </c>
      <c r="AF160" s="163" t="b">
        <f t="shared" si="98"/>
        <v>0</v>
      </c>
      <c r="AG160" s="163" t="str">
        <f t="shared" si="99"/>
        <v/>
      </c>
      <c r="AH160" s="164" t="str">
        <f>IF($AF160,IF(Sprints!$I160&lt;&gt;"",Sprints!$I160,"Comprometida y no completada al cierre del Sprint "&amp;$N160),"")</f>
        <v/>
      </c>
      <c r="AI160" s="163" t="str">
        <f t="shared" si="100"/>
        <v/>
      </c>
      <c r="AJ160" s="163" t="str">
        <f t="shared" si="101"/>
        <v/>
      </c>
      <c r="AK160" s="163" t="str">
        <f t="shared" si="102"/>
        <v/>
      </c>
      <c r="AL160" s="163" t="str">
        <f t="shared" si="103"/>
        <v/>
      </c>
      <c r="AM160" s="163" t="str">
        <f t="shared" si="104"/>
        <v/>
      </c>
      <c r="AN160" s="164" t="str">
        <f t="shared" si="105"/>
        <v/>
      </c>
      <c r="AO160" s="163" t="str">
        <f>IF($C160,IFERROR(INDEX(Sprints!$M$6:$M$13,MATCH($N160,Sprints!$K$6:$K$13,0)),""),"")</f>
        <v/>
      </c>
      <c r="AP160" s="163" t="str">
        <f t="shared" ca="1" si="106"/>
        <v/>
      </c>
    </row>
    <row r="161" spans="1:42" x14ac:dyDescent="0.35">
      <c r="A161" s="163">
        <f>ROW()</f>
        <v>161</v>
      </c>
      <c r="B161" s="163" t="b">
        <f>ISTEXT('Proyecto Datos (OKR´s)'!$K161)</f>
        <v>0</v>
      </c>
      <c r="C161" s="163" t="b">
        <f>AND(LEN('Proyecto Datos (OKR´s)'!$G161)&gt;0,NOT($B161),OR(ISNUMBER('Proyecto Datos (OKR´s)'!$F161),ISNUMBER('Proyecto Datos (OKR´s)'!$L161)))</f>
        <v>0</v>
      </c>
      <c r="D161" s="164" t="str">
        <f>IF($C161,IFERROR(LOOKUP(2,1/((ISTEXT('Proyecto Datos (OKR´s)'!$K$7:$K161))*(LEN('Proyecto Datos (OKR´s)'!$G$7:$G161)&gt;0)),'Proyecto Datos (OKR´s)'!$G$7:$G161),""),"")</f>
        <v/>
      </c>
      <c r="E161" s="163" t="str">
        <f>IF($C161,'Proyecto Datos (OKR´s)'!$E161,"")</f>
        <v/>
      </c>
      <c r="F161" s="164" t="str">
        <f>IF($C161,'Proyecto Datos (OKR´s)'!$G161,"")</f>
        <v/>
      </c>
      <c r="G161" s="164" t="str">
        <f>IF($C161,IF('Proyecto Datos (OKR´s)'!$I161="","(Sin asignar)",'Proyecto Datos (OKR´s)'!$I161),"")</f>
        <v/>
      </c>
      <c r="H161" s="163" t="str">
        <f>IF($C161,IF(ISNUMBER('Proyecto Datos (OKR´s)'!$F161),'Proyecto Datos (OKR´s)'!$F161,'Proyecto Datos (OKR´s)'!$L161),"")</f>
        <v/>
      </c>
      <c r="I161" s="163" t="str">
        <f>IF($C161,'Proyecto Datos (OKR´s)'!$J161,"")</f>
        <v/>
      </c>
      <c r="J161" s="164" t="str">
        <f ca="1">IF($C161,IF($I161&gt;=1,"Completado",IF($H161&lt;TODAY(),"Vencido",IF(($H161-TODAY())&lt;='Entregas Próximas'!$M$3,"Próximo a vencer","En curso"))),"")</f>
        <v/>
      </c>
      <c r="K161" s="163" t="str">
        <f t="shared" ca="1" si="86"/>
        <v/>
      </c>
      <c r="L161" s="163" t="str">
        <f t="shared" si="87"/>
        <v/>
      </c>
      <c r="M161" s="163" t="str">
        <f t="shared" si="88"/>
        <v/>
      </c>
      <c r="N161" s="163" t="str">
        <f>IF($C161,IF('Proyecto Datos (OKR´s)'!$E161="",9999,'Proyecto Datos (OKR´s)'!$E161),"")</f>
        <v/>
      </c>
      <c r="O161" s="163" t="str">
        <f t="shared" si="89"/>
        <v/>
      </c>
      <c r="R161" s="163" t="str">
        <f>IF($C161,IF(ISNUMBER('Proyecto Datos (OKR´s)'!$L161),'Proyecto Datos (OKR´s)'!$L161,$H161),"")</f>
        <v/>
      </c>
      <c r="S161" s="163" t="str">
        <f>IF($C161,$R161-'Proyecto Datos (OKR´s)'!$K161+1,"")</f>
        <v/>
      </c>
      <c r="T161" s="163" t="str">
        <f ca="1">IF($C161,MAX(0,TODAY()-'Proyecto Datos (OKR´s)'!$K161),"")</f>
        <v/>
      </c>
      <c r="U161" s="163" t="str">
        <f ca="1">IF($C161,MEDIAN(0,(TODAY()-'Proyecto Datos (OKR´s)'!$K161)/MAX(1,$R161-'Proyecto Datos (OKR´s)'!$K161),1),"")</f>
        <v/>
      </c>
      <c r="V161" s="163" t="str">
        <f t="shared" si="90"/>
        <v/>
      </c>
      <c r="W161" s="163" t="str">
        <f t="shared" ca="1" si="91"/>
        <v/>
      </c>
      <c r="X161" s="163" t="str">
        <f t="shared" si="92"/>
        <v/>
      </c>
      <c r="Y161" s="163" t="str">
        <f t="shared" si="93"/>
        <v/>
      </c>
      <c r="Z161" s="163" t="str">
        <f ca="1">IF($C161,AND($I161=0,'Proyecto Datos (OKR´s)'!$K161&lt;=TODAY(),$J161&lt;&gt;"Completado"),"")</f>
        <v/>
      </c>
      <c r="AA161" s="163" t="str">
        <f t="shared" si="94"/>
        <v/>
      </c>
      <c r="AB161" s="164" t="str">
        <f t="shared" si="95"/>
        <v/>
      </c>
      <c r="AC161" s="164" t="str">
        <f t="shared" si="96"/>
        <v/>
      </c>
      <c r="AD161" s="163" t="str">
        <f>IF($C161,IF($N161=9999,9999,IF($J161="Completado",$N161,MAX($N161,Sprints!$M$15))),"")</f>
        <v/>
      </c>
      <c r="AE161" s="163" t="str">
        <f t="shared" si="97"/>
        <v/>
      </c>
      <c r="AF161" s="163" t="b">
        <f t="shared" si="98"/>
        <v>0</v>
      </c>
      <c r="AG161" s="163" t="str">
        <f t="shared" si="99"/>
        <v/>
      </c>
      <c r="AH161" s="164" t="str">
        <f>IF($AF161,IF(Sprints!$I161&lt;&gt;"",Sprints!$I161,"Comprometida y no completada al cierre del Sprint "&amp;$N161),"")</f>
        <v/>
      </c>
      <c r="AI161" s="163" t="str">
        <f t="shared" si="100"/>
        <v/>
      </c>
      <c r="AJ161" s="163" t="str">
        <f t="shared" si="101"/>
        <v/>
      </c>
      <c r="AK161" s="163" t="str">
        <f t="shared" si="102"/>
        <v/>
      </c>
      <c r="AL161" s="163" t="str">
        <f t="shared" si="103"/>
        <v/>
      </c>
      <c r="AM161" s="163" t="str">
        <f t="shared" si="104"/>
        <v/>
      </c>
      <c r="AN161" s="164" t="str">
        <f t="shared" si="105"/>
        <v/>
      </c>
      <c r="AO161" s="163" t="str">
        <f>IF($C161,IFERROR(INDEX(Sprints!$M$6:$M$13,MATCH($N161,Sprints!$K$6:$K$13,0)),""),"")</f>
        <v/>
      </c>
      <c r="AP161" s="163" t="str">
        <f t="shared" ca="1" si="106"/>
        <v/>
      </c>
    </row>
    <row r="162" spans="1:42" x14ac:dyDescent="0.35">
      <c r="A162" s="163">
        <f>ROW()</f>
        <v>162</v>
      </c>
      <c r="B162" s="163" t="b">
        <f>ISTEXT('Proyecto Datos (OKR´s)'!$K162)</f>
        <v>0</v>
      </c>
      <c r="C162" s="163" t="b">
        <f>AND(LEN('Proyecto Datos (OKR´s)'!$G162)&gt;0,NOT($B162),OR(ISNUMBER('Proyecto Datos (OKR´s)'!$F162),ISNUMBER('Proyecto Datos (OKR´s)'!$L162)))</f>
        <v>0</v>
      </c>
      <c r="D162" s="164" t="str">
        <f>IF($C162,IFERROR(LOOKUP(2,1/((ISTEXT('Proyecto Datos (OKR´s)'!$K$7:$K162))*(LEN('Proyecto Datos (OKR´s)'!$G$7:$G162)&gt;0)),'Proyecto Datos (OKR´s)'!$G$7:$G162),""),"")</f>
        <v/>
      </c>
      <c r="E162" s="163" t="str">
        <f>IF($C162,'Proyecto Datos (OKR´s)'!$E162,"")</f>
        <v/>
      </c>
      <c r="F162" s="164" t="str">
        <f>IF($C162,'Proyecto Datos (OKR´s)'!$G162,"")</f>
        <v/>
      </c>
      <c r="G162" s="164" t="str">
        <f>IF($C162,IF('Proyecto Datos (OKR´s)'!$I162="","(Sin asignar)",'Proyecto Datos (OKR´s)'!$I162),"")</f>
        <v/>
      </c>
      <c r="H162" s="163" t="str">
        <f>IF($C162,IF(ISNUMBER('Proyecto Datos (OKR´s)'!$F162),'Proyecto Datos (OKR´s)'!$F162,'Proyecto Datos (OKR´s)'!$L162),"")</f>
        <v/>
      </c>
      <c r="I162" s="163" t="str">
        <f>IF($C162,'Proyecto Datos (OKR´s)'!$J162,"")</f>
        <v/>
      </c>
      <c r="J162" s="164" t="str">
        <f ca="1">IF($C162,IF($I162&gt;=1,"Completado",IF($H162&lt;TODAY(),"Vencido",IF(($H162-TODAY())&lt;='Entregas Próximas'!$M$3,"Próximo a vencer","En curso"))),"")</f>
        <v/>
      </c>
      <c r="K162" s="163" t="str">
        <f t="shared" ca="1" si="86"/>
        <v/>
      </c>
      <c r="L162" s="163" t="str">
        <f t="shared" si="87"/>
        <v/>
      </c>
      <c r="M162" s="163" t="str">
        <f t="shared" si="88"/>
        <v/>
      </c>
      <c r="N162" s="163" t="str">
        <f>IF($C162,IF('Proyecto Datos (OKR´s)'!$E162="",9999,'Proyecto Datos (OKR´s)'!$E162),"")</f>
        <v/>
      </c>
      <c r="O162" s="163" t="str">
        <f t="shared" si="89"/>
        <v/>
      </c>
      <c r="R162" s="163" t="str">
        <f>IF($C162,IF(ISNUMBER('Proyecto Datos (OKR´s)'!$L162),'Proyecto Datos (OKR´s)'!$L162,$H162),"")</f>
        <v/>
      </c>
      <c r="S162" s="163" t="str">
        <f>IF($C162,$R162-'Proyecto Datos (OKR´s)'!$K162+1,"")</f>
        <v/>
      </c>
      <c r="T162" s="163" t="str">
        <f ca="1">IF($C162,MAX(0,TODAY()-'Proyecto Datos (OKR´s)'!$K162),"")</f>
        <v/>
      </c>
      <c r="U162" s="163" t="str">
        <f ca="1">IF($C162,MEDIAN(0,(TODAY()-'Proyecto Datos (OKR´s)'!$K162)/MAX(1,$R162-'Proyecto Datos (OKR´s)'!$K162),1),"")</f>
        <v/>
      </c>
      <c r="V162" s="163" t="str">
        <f t="shared" si="90"/>
        <v/>
      </c>
      <c r="W162" s="163" t="str">
        <f t="shared" ca="1" si="91"/>
        <v/>
      </c>
      <c r="X162" s="163" t="str">
        <f t="shared" si="92"/>
        <v/>
      </c>
      <c r="Y162" s="163" t="str">
        <f t="shared" si="93"/>
        <v/>
      </c>
      <c r="Z162" s="163" t="str">
        <f ca="1">IF($C162,AND($I162=0,'Proyecto Datos (OKR´s)'!$K162&lt;=TODAY(),$J162&lt;&gt;"Completado"),"")</f>
        <v/>
      </c>
      <c r="AA162" s="163" t="str">
        <f t="shared" si="94"/>
        <v/>
      </c>
      <c r="AB162" s="164" t="str">
        <f t="shared" si="95"/>
        <v/>
      </c>
      <c r="AC162" s="164" t="str">
        <f t="shared" si="96"/>
        <v/>
      </c>
      <c r="AD162" s="163" t="str">
        <f>IF($C162,IF($N162=9999,9999,IF($J162="Completado",$N162,MAX($N162,Sprints!$M$15))),"")</f>
        <v/>
      </c>
      <c r="AE162" s="163" t="str">
        <f t="shared" si="97"/>
        <v/>
      </c>
      <c r="AF162" s="163" t="b">
        <f t="shared" si="98"/>
        <v>0</v>
      </c>
      <c r="AG162" s="163" t="str">
        <f t="shared" si="99"/>
        <v/>
      </c>
      <c r="AH162" s="164" t="str">
        <f>IF($AF162,IF(Sprints!$I162&lt;&gt;"",Sprints!$I162,"Comprometida y no completada al cierre del Sprint "&amp;$N162),"")</f>
        <v/>
      </c>
      <c r="AI162" s="163" t="str">
        <f t="shared" si="100"/>
        <v/>
      </c>
      <c r="AJ162" s="163" t="str">
        <f t="shared" si="101"/>
        <v/>
      </c>
      <c r="AK162" s="163" t="str">
        <f t="shared" si="102"/>
        <v/>
      </c>
      <c r="AL162" s="163" t="str">
        <f t="shared" si="103"/>
        <v/>
      </c>
      <c r="AM162" s="163" t="str">
        <f t="shared" si="104"/>
        <v/>
      </c>
      <c r="AN162" s="164" t="str">
        <f t="shared" si="105"/>
        <v/>
      </c>
      <c r="AO162" s="163" t="str">
        <f>IF($C162,IFERROR(INDEX(Sprints!$M$6:$M$13,MATCH($N162,Sprints!$K$6:$K$13,0)),""),"")</f>
        <v/>
      </c>
      <c r="AP162" s="163" t="str">
        <f t="shared" ca="1" si="106"/>
        <v/>
      </c>
    </row>
    <row r="163" spans="1:42" x14ac:dyDescent="0.35">
      <c r="A163" s="163">
        <f>ROW()</f>
        <v>163</v>
      </c>
      <c r="B163" s="163" t="b">
        <f>ISTEXT('Proyecto Datos (OKR´s)'!$K163)</f>
        <v>0</v>
      </c>
      <c r="C163" s="163" t="b">
        <f>AND(LEN('Proyecto Datos (OKR´s)'!$G163)&gt;0,NOT($B163),OR(ISNUMBER('Proyecto Datos (OKR´s)'!$F163),ISNUMBER('Proyecto Datos (OKR´s)'!$L163)))</f>
        <v>0</v>
      </c>
      <c r="D163" s="164" t="str">
        <f>IF($C163,IFERROR(LOOKUP(2,1/((ISTEXT('Proyecto Datos (OKR´s)'!$K$7:$K163))*(LEN('Proyecto Datos (OKR´s)'!$G$7:$G163)&gt;0)),'Proyecto Datos (OKR´s)'!$G$7:$G163),""),"")</f>
        <v/>
      </c>
      <c r="E163" s="163" t="str">
        <f>IF($C163,'Proyecto Datos (OKR´s)'!$E163,"")</f>
        <v/>
      </c>
      <c r="F163" s="164" t="str">
        <f>IF($C163,'Proyecto Datos (OKR´s)'!$G163,"")</f>
        <v/>
      </c>
      <c r="G163" s="164" t="str">
        <f>IF($C163,IF('Proyecto Datos (OKR´s)'!$I163="","(Sin asignar)",'Proyecto Datos (OKR´s)'!$I163),"")</f>
        <v/>
      </c>
      <c r="H163" s="163" t="str">
        <f>IF($C163,IF(ISNUMBER('Proyecto Datos (OKR´s)'!$F163),'Proyecto Datos (OKR´s)'!$F163,'Proyecto Datos (OKR´s)'!$L163),"")</f>
        <v/>
      </c>
      <c r="I163" s="163" t="str">
        <f>IF($C163,'Proyecto Datos (OKR´s)'!$J163,"")</f>
        <v/>
      </c>
      <c r="J163" s="164" t="str">
        <f ca="1">IF($C163,IF($I163&gt;=1,"Completado",IF($H163&lt;TODAY(),"Vencido",IF(($H163-TODAY())&lt;='Entregas Próximas'!$M$3,"Próximo a vencer","En curso"))),"")</f>
        <v/>
      </c>
      <c r="K163" s="163" t="str">
        <f t="shared" ca="1" si="86"/>
        <v/>
      </c>
      <c r="L163" s="163" t="str">
        <f t="shared" si="87"/>
        <v/>
      </c>
      <c r="M163" s="163" t="str">
        <f t="shared" si="88"/>
        <v/>
      </c>
      <c r="N163" s="163" t="str">
        <f>IF($C163,IF('Proyecto Datos (OKR´s)'!$E163="",9999,'Proyecto Datos (OKR´s)'!$E163),"")</f>
        <v/>
      </c>
      <c r="O163" s="163" t="str">
        <f t="shared" si="89"/>
        <v/>
      </c>
      <c r="R163" s="163" t="str">
        <f>IF($C163,IF(ISNUMBER('Proyecto Datos (OKR´s)'!$L163),'Proyecto Datos (OKR´s)'!$L163,$H163),"")</f>
        <v/>
      </c>
      <c r="S163" s="163" t="str">
        <f>IF($C163,$R163-'Proyecto Datos (OKR´s)'!$K163+1,"")</f>
        <v/>
      </c>
      <c r="T163" s="163" t="str">
        <f ca="1">IF($C163,MAX(0,TODAY()-'Proyecto Datos (OKR´s)'!$K163),"")</f>
        <v/>
      </c>
      <c r="U163" s="163" t="str">
        <f ca="1">IF($C163,MEDIAN(0,(TODAY()-'Proyecto Datos (OKR´s)'!$K163)/MAX(1,$R163-'Proyecto Datos (OKR´s)'!$K163),1),"")</f>
        <v/>
      </c>
      <c r="V163" s="163" t="str">
        <f t="shared" si="90"/>
        <v/>
      </c>
      <c r="W163" s="163" t="str">
        <f t="shared" ca="1" si="91"/>
        <v/>
      </c>
      <c r="X163" s="163" t="str">
        <f t="shared" si="92"/>
        <v/>
      </c>
      <c r="Y163" s="163" t="str">
        <f t="shared" si="93"/>
        <v/>
      </c>
      <c r="Z163" s="163" t="str">
        <f ca="1">IF($C163,AND($I163=0,'Proyecto Datos (OKR´s)'!$K163&lt;=TODAY(),$J163&lt;&gt;"Completado"),"")</f>
        <v/>
      </c>
      <c r="AA163" s="163" t="str">
        <f t="shared" si="94"/>
        <v/>
      </c>
      <c r="AB163" s="164" t="str">
        <f t="shared" si="95"/>
        <v/>
      </c>
      <c r="AC163" s="164" t="str">
        <f t="shared" si="96"/>
        <v/>
      </c>
      <c r="AD163" s="163" t="str">
        <f>IF($C163,IF($N163=9999,9999,IF($J163="Completado",$N163,MAX($N163,Sprints!$M$15))),"")</f>
        <v/>
      </c>
      <c r="AE163" s="163" t="str">
        <f t="shared" si="97"/>
        <v/>
      </c>
      <c r="AF163" s="163" t="b">
        <f t="shared" si="98"/>
        <v>0</v>
      </c>
      <c r="AG163" s="163" t="str">
        <f t="shared" si="99"/>
        <v/>
      </c>
      <c r="AH163" s="164" t="str">
        <f>IF($AF163,IF(Sprints!$I163&lt;&gt;"",Sprints!$I163,"Comprometida y no completada al cierre del Sprint "&amp;$N163),"")</f>
        <v/>
      </c>
      <c r="AI163" s="163" t="str">
        <f t="shared" si="100"/>
        <v/>
      </c>
      <c r="AJ163" s="163" t="str">
        <f t="shared" si="101"/>
        <v/>
      </c>
      <c r="AK163" s="163" t="str">
        <f t="shared" si="102"/>
        <v/>
      </c>
      <c r="AL163" s="163" t="str">
        <f t="shared" si="103"/>
        <v/>
      </c>
      <c r="AM163" s="163" t="str">
        <f t="shared" si="104"/>
        <v/>
      </c>
      <c r="AN163" s="164" t="str">
        <f t="shared" si="105"/>
        <v/>
      </c>
      <c r="AO163" s="163" t="str">
        <f>IF($C163,IFERROR(INDEX(Sprints!$M$6:$M$13,MATCH($N163,Sprints!$K$6:$K$13,0)),""),"")</f>
        <v/>
      </c>
      <c r="AP163" s="163" t="str">
        <f t="shared" ca="1" si="106"/>
        <v/>
      </c>
    </row>
    <row r="164" spans="1:42" x14ac:dyDescent="0.35">
      <c r="A164" s="163">
        <f>ROW()</f>
        <v>164</v>
      </c>
      <c r="B164" s="163" t="b">
        <f>ISTEXT('Proyecto Datos (OKR´s)'!$K164)</f>
        <v>0</v>
      </c>
      <c r="C164" s="163" t="b">
        <f>AND(LEN('Proyecto Datos (OKR´s)'!$G164)&gt;0,NOT($B164),OR(ISNUMBER('Proyecto Datos (OKR´s)'!$F164),ISNUMBER('Proyecto Datos (OKR´s)'!$L164)))</f>
        <v>0</v>
      </c>
      <c r="D164" s="164" t="str">
        <f>IF($C164,IFERROR(LOOKUP(2,1/((ISTEXT('Proyecto Datos (OKR´s)'!$K$7:$K164))*(LEN('Proyecto Datos (OKR´s)'!$G$7:$G164)&gt;0)),'Proyecto Datos (OKR´s)'!$G$7:$G164),""),"")</f>
        <v/>
      </c>
      <c r="E164" s="163" t="str">
        <f>IF($C164,'Proyecto Datos (OKR´s)'!$E164,"")</f>
        <v/>
      </c>
      <c r="F164" s="164" t="str">
        <f>IF($C164,'Proyecto Datos (OKR´s)'!$G164,"")</f>
        <v/>
      </c>
      <c r="G164" s="164" t="str">
        <f>IF($C164,IF('Proyecto Datos (OKR´s)'!$I164="","(Sin asignar)",'Proyecto Datos (OKR´s)'!$I164),"")</f>
        <v/>
      </c>
      <c r="H164" s="163" t="str">
        <f>IF($C164,IF(ISNUMBER('Proyecto Datos (OKR´s)'!$F164),'Proyecto Datos (OKR´s)'!$F164,'Proyecto Datos (OKR´s)'!$L164),"")</f>
        <v/>
      </c>
      <c r="I164" s="163" t="str">
        <f>IF($C164,'Proyecto Datos (OKR´s)'!$J164,"")</f>
        <v/>
      </c>
      <c r="J164" s="164" t="str">
        <f ca="1">IF($C164,IF($I164&gt;=1,"Completado",IF($H164&lt;TODAY(),"Vencido",IF(($H164-TODAY())&lt;='Entregas Próximas'!$M$3,"Próximo a vencer","En curso"))),"")</f>
        <v/>
      </c>
      <c r="K164" s="163" t="str">
        <f t="shared" ca="1" si="86"/>
        <v/>
      </c>
      <c r="L164" s="163" t="str">
        <f t="shared" si="87"/>
        <v/>
      </c>
      <c r="M164" s="163" t="str">
        <f t="shared" si="88"/>
        <v/>
      </c>
      <c r="N164" s="163" t="str">
        <f>IF($C164,IF('Proyecto Datos (OKR´s)'!$E164="",9999,'Proyecto Datos (OKR´s)'!$E164),"")</f>
        <v/>
      </c>
      <c r="O164" s="163" t="str">
        <f t="shared" si="89"/>
        <v/>
      </c>
      <c r="R164" s="163" t="str">
        <f>IF($C164,IF(ISNUMBER('Proyecto Datos (OKR´s)'!$L164),'Proyecto Datos (OKR´s)'!$L164,$H164),"")</f>
        <v/>
      </c>
      <c r="S164" s="163" t="str">
        <f>IF($C164,$R164-'Proyecto Datos (OKR´s)'!$K164+1,"")</f>
        <v/>
      </c>
      <c r="T164" s="163" t="str">
        <f ca="1">IF($C164,MAX(0,TODAY()-'Proyecto Datos (OKR´s)'!$K164),"")</f>
        <v/>
      </c>
      <c r="U164" s="163" t="str">
        <f ca="1">IF($C164,MEDIAN(0,(TODAY()-'Proyecto Datos (OKR´s)'!$K164)/MAX(1,$R164-'Proyecto Datos (OKR´s)'!$K164),1),"")</f>
        <v/>
      </c>
      <c r="V164" s="163" t="str">
        <f t="shared" si="90"/>
        <v/>
      </c>
      <c r="W164" s="163" t="str">
        <f t="shared" ca="1" si="91"/>
        <v/>
      </c>
      <c r="X164" s="163" t="str">
        <f t="shared" si="92"/>
        <v/>
      </c>
      <c r="Y164" s="163" t="str">
        <f t="shared" si="93"/>
        <v/>
      </c>
      <c r="Z164" s="163" t="str">
        <f ca="1">IF($C164,AND($I164=0,'Proyecto Datos (OKR´s)'!$K164&lt;=TODAY(),$J164&lt;&gt;"Completado"),"")</f>
        <v/>
      </c>
      <c r="AA164" s="163" t="str">
        <f t="shared" si="94"/>
        <v/>
      </c>
      <c r="AB164" s="164" t="str">
        <f t="shared" si="95"/>
        <v/>
      </c>
      <c r="AC164" s="164" t="str">
        <f t="shared" si="96"/>
        <v/>
      </c>
      <c r="AD164" s="163" t="str">
        <f>IF($C164,IF($N164=9999,9999,IF($J164="Completado",$N164,MAX($N164,Sprints!$M$15))),"")</f>
        <v/>
      </c>
      <c r="AE164" s="163" t="str">
        <f t="shared" si="97"/>
        <v/>
      </c>
      <c r="AF164" s="163" t="b">
        <f t="shared" si="98"/>
        <v>0</v>
      </c>
      <c r="AG164" s="163" t="str">
        <f t="shared" si="99"/>
        <v/>
      </c>
      <c r="AH164" s="164" t="str">
        <f>IF($AF164,IF(Sprints!$I164&lt;&gt;"",Sprints!$I164,"Comprometida y no completada al cierre del Sprint "&amp;$N164),"")</f>
        <v/>
      </c>
      <c r="AI164" s="163" t="str">
        <f t="shared" si="100"/>
        <v/>
      </c>
      <c r="AJ164" s="163" t="str">
        <f t="shared" si="101"/>
        <v/>
      </c>
      <c r="AK164" s="163" t="str">
        <f t="shared" si="102"/>
        <v/>
      </c>
      <c r="AL164" s="163" t="str">
        <f t="shared" si="103"/>
        <v/>
      </c>
      <c r="AM164" s="163" t="str">
        <f t="shared" si="104"/>
        <v/>
      </c>
      <c r="AN164" s="164" t="str">
        <f t="shared" si="105"/>
        <v/>
      </c>
      <c r="AO164" s="163" t="str">
        <f>IF($C164,IFERROR(INDEX(Sprints!$M$6:$M$13,MATCH($N164,Sprints!$K$6:$K$13,0)),""),"")</f>
        <v/>
      </c>
      <c r="AP164" s="163" t="str">
        <f t="shared" ca="1" si="106"/>
        <v/>
      </c>
    </row>
    <row r="165" spans="1:42" x14ac:dyDescent="0.35">
      <c r="A165" s="163">
        <f>ROW()</f>
        <v>165</v>
      </c>
      <c r="B165" s="163" t="b">
        <f>ISTEXT('Proyecto Datos (OKR´s)'!$K165)</f>
        <v>0</v>
      </c>
      <c r="C165" s="163" t="b">
        <f>AND(LEN('Proyecto Datos (OKR´s)'!$G165)&gt;0,NOT($B165),OR(ISNUMBER('Proyecto Datos (OKR´s)'!$F165),ISNUMBER('Proyecto Datos (OKR´s)'!$L165)))</f>
        <v>0</v>
      </c>
      <c r="D165" s="164" t="str">
        <f>IF($C165,IFERROR(LOOKUP(2,1/((ISTEXT('Proyecto Datos (OKR´s)'!$K$7:$K165))*(LEN('Proyecto Datos (OKR´s)'!$G$7:$G165)&gt;0)),'Proyecto Datos (OKR´s)'!$G$7:$G165),""),"")</f>
        <v/>
      </c>
      <c r="E165" s="163" t="str">
        <f>IF($C165,'Proyecto Datos (OKR´s)'!$E165,"")</f>
        <v/>
      </c>
      <c r="F165" s="164" t="str">
        <f>IF($C165,'Proyecto Datos (OKR´s)'!$G165,"")</f>
        <v/>
      </c>
      <c r="G165" s="164" t="str">
        <f>IF($C165,IF('Proyecto Datos (OKR´s)'!$I165="","(Sin asignar)",'Proyecto Datos (OKR´s)'!$I165),"")</f>
        <v/>
      </c>
      <c r="H165" s="163" t="str">
        <f>IF($C165,IF(ISNUMBER('Proyecto Datos (OKR´s)'!$F165),'Proyecto Datos (OKR´s)'!$F165,'Proyecto Datos (OKR´s)'!$L165),"")</f>
        <v/>
      </c>
      <c r="I165" s="163" t="str">
        <f>IF($C165,'Proyecto Datos (OKR´s)'!$J165,"")</f>
        <v/>
      </c>
      <c r="J165" s="164" t="str">
        <f ca="1">IF($C165,IF($I165&gt;=1,"Completado",IF($H165&lt;TODAY(),"Vencido",IF(($H165-TODAY())&lt;='Entregas Próximas'!$M$3,"Próximo a vencer","En curso"))),"")</f>
        <v/>
      </c>
      <c r="K165" s="163" t="str">
        <f t="shared" ca="1" si="86"/>
        <v/>
      </c>
      <c r="L165" s="163" t="str">
        <f t="shared" si="87"/>
        <v/>
      </c>
      <c r="M165" s="163" t="str">
        <f t="shared" si="88"/>
        <v/>
      </c>
      <c r="N165" s="163" t="str">
        <f>IF($C165,IF('Proyecto Datos (OKR´s)'!$E165="",9999,'Proyecto Datos (OKR´s)'!$E165),"")</f>
        <v/>
      </c>
      <c r="O165" s="163" t="str">
        <f t="shared" si="89"/>
        <v/>
      </c>
      <c r="R165" s="163" t="str">
        <f>IF($C165,IF(ISNUMBER('Proyecto Datos (OKR´s)'!$L165),'Proyecto Datos (OKR´s)'!$L165,$H165),"")</f>
        <v/>
      </c>
      <c r="S165" s="163" t="str">
        <f>IF($C165,$R165-'Proyecto Datos (OKR´s)'!$K165+1,"")</f>
        <v/>
      </c>
      <c r="T165" s="163" t="str">
        <f ca="1">IF($C165,MAX(0,TODAY()-'Proyecto Datos (OKR´s)'!$K165),"")</f>
        <v/>
      </c>
      <c r="U165" s="163" t="str">
        <f ca="1">IF($C165,MEDIAN(0,(TODAY()-'Proyecto Datos (OKR´s)'!$K165)/MAX(1,$R165-'Proyecto Datos (OKR´s)'!$K165),1),"")</f>
        <v/>
      </c>
      <c r="V165" s="163" t="str">
        <f t="shared" si="90"/>
        <v/>
      </c>
      <c r="W165" s="163" t="str">
        <f t="shared" ca="1" si="91"/>
        <v/>
      </c>
      <c r="X165" s="163" t="str">
        <f t="shared" si="92"/>
        <v/>
      </c>
      <c r="Y165" s="163" t="str">
        <f t="shared" si="93"/>
        <v/>
      </c>
      <c r="Z165" s="163" t="str">
        <f ca="1">IF($C165,AND($I165=0,'Proyecto Datos (OKR´s)'!$K165&lt;=TODAY(),$J165&lt;&gt;"Completado"),"")</f>
        <v/>
      </c>
      <c r="AA165" s="163" t="str">
        <f t="shared" si="94"/>
        <v/>
      </c>
      <c r="AB165" s="164" t="str">
        <f t="shared" si="95"/>
        <v/>
      </c>
      <c r="AC165" s="164" t="str">
        <f t="shared" si="96"/>
        <v/>
      </c>
      <c r="AD165" s="163" t="str">
        <f>IF($C165,IF($N165=9999,9999,IF($J165="Completado",$N165,MAX($N165,Sprints!$M$15))),"")</f>
        <v/>
      </c>
      <c r="AE165" s="163" t="str">
        <f t="shared" si="97"/>
        <v/>
      </c>
      <c r="AF165" s="163" t="b">
        <f t="shared" si="98"/>
        <v>0</v>
      </c>
      <c r="AG165" s="163" t="str">
        <f t="shared" si="99"/>
        <v/>
      </c>
      <c r="AH165" s="164" t="str">
        <f>IF($AF165,IF(Sprints!$I165&lt;&gt;"",Sprints!$I165,"Comprometida y no completada al cierre del Sprint "&amp;$N165),"")</f>
        <v/>
      </c>
      <c r="AI165" s="163" t="str">
        <f t="shared" si="100"/>
        <v/>
      </c>
      <c r="AJ165" s="163" t="str">
        <f t="shared" si="101"/>
        <v/>
      </c>
      <c r="AK165" s="163" t="str">
        <f t="shared" si="102"/>
        <v/>
      </c>
      <c r="AL165" s="163" t="str">
        <f t="shared" si="103"/>
        <v/>
      </c>
      <c r="AM165" s="163" t="str">
        <f t="shared" si="104"/>
        <v/>
      </c>
      <c r="AN165" s="164" t="str">
        <f t="shared" si="105"/>
        <v/>
      </c>
      <c r="AO165" s="163" t="str">
        <f>IF($C165,IFERROR(INDEX(Sprints!$M$6:$M$13,MATCH($N165,Sprints!$K$6:$K$13,0)),""),"")</f>
        <v/>
      </c>
      <c r="AP165" s="163" t="str">
        <f t="shared" ca="1" si="106"/>
        <v/>
      </c>
    </row>
    <row r="166" spans="1:42" x14ac:dyDescent="0.35">
      <c r="A166" s="163">
        <f>ROW()</f>
        <v>166</v>
      </c>
      <c r="B166" s="163" t="b">
        <f>ISTEXT('Proyecto Datos (OKR´s)'!$K166)</f>
        <v>0</v>
      </c>
      <c r="C166" s="163" t="b">
        <f>AND(LEN('Proyecto Datos (OKR´s)'!$G166)&gt;0,NOT($B166),OR(ISNUMBER('Proyecto Datos (OKR´s)'!$F166),ISNUMBER('Proyecto Datos (OKR´s)'!$L166)))</f>
        <v>0</v>
      </c>
      <c r="D166" s="164" t="str">
        <f>IF($C166,IFERROR(LOOKUP(2,1/((ISTEXT('Proyecto Datos (OKR´s)'!$K$7:$K166))*(LEN('Proyecto Datos (OKR´s)'!$G$7:$G166)&gt;0)),'Proyecto Datos (OKR´s)'!$G$7:$G166),""),"")</f>
        <v/>
      </c>
      <c r="E166" s="163" t="str">
        <f>IF($C166,'Proyecto Datos (OKR´s)'!$E166,"")</f>
        <v/>
      </c>
      <c r="F166" s="164" t="str">
        <f>IF($C166,'Proyecto Datos (OKR´s)'!$G166,"")</f>
        <v/>
      </c>
      <c r="G166" s="164" t="str">
        <f>IF($C166,IF('Proyecto Datos (OKR´s)'!$I166="","(Sin asignar)",'Proyecto Datos (OKR´s)'!$I166),"")</f>
        <v/>
      </c>
      <c r="H166" s="163" t="str">
        <f>IF($C166,IF(ISNUMBER('Proyecto Datos (OKR´s)'!$F166),'Proyecto Datos (OKR´s)'!$F166,'Proyecto Datos (OKR´s)'!$L166),"")</f>
        <v/>
      </c>
      <c r="I166" s="163" t="str">
        <f>IF($C166,'Proyecto Datos (OKR´s)'!$J166,"")</f>
        <v/>
      </c>
      <c r="J166" s="164" t="str">
        <f ca="1">IF($C166,IF($I166&gt;=1,"Completado",IF($H166&lt;TODAY(),"Vencido",IF(($H166-TODAY())&lt;='Entregas Próximas'!$M$3,"Próximo a vencer","En curso"))),"")</f>
        <v/>
      </c>
      <c r="K166" s="163" t="str">
        <f t="shared" ca="1" si="86"/>
        <v/>
      </c>
      <c r="L166" s="163" t="str">
        <f t="shared" si="87"/>
        <v/>
      </c>
      <c r="M166" s="163" t="str">
        <f t="shared" si="88"/>
        <v/>
      </c>
      <c r="N166" s="163" t="str">
        <f>IF($C166,IF('Proyecto Datos (OKR´s)'!$E166="",9999,'Proyecto Datos (OKR´s)'!$E166),"")</f>
        <v/>
      </c>
      <c r="O166" s="163" t="str">
        <f t="shared" si="89"/>
        <v/>
      </c>
      <c r="R166" s="163" t="str">
        <f>IF($C166,IF(ISNUMBER('Proyecto Datos (OKR´s)'!$L166),'Proyecto Datos (OKR´s)'!$L166,$H166),"")</f>
        <v/>
      </c>
      <c r="S166" s="163" t="str">
        <f>IF($C166,$R166-'Proyecto Datos (OKR´s)'!$K166+1,"")</f>
        <v/>
      </c>
      <c r="T166" s="163" t="str">
        <f ca="1">IF($C166,MAX(0,TODAY()-'Proyecto Datos (OKR´s)'!$K166),"")</f>
        <v/>
      </c>
      <c r="U166" s="163" t="str">
        <f ca="1">IF($C166,MEDIAN(0,(TODAY()-'Proyecto Datos (OKR´s)'!$K166)/MAX(1,$R166-'Proyecto Datos (OKR´s)'!$K166),1),"")</f>
        <v/>
      </c>
      <c r="V166" s="163" t="str">
        <f t="shared" si="90"/>
        <v/>
      </c>
      <c r="W166" s="163" t="str">
        <f t="shared" ca="1" si="91"/>
        <v/>
      </c>
      <c r="X166" s="163" t="str">
        <f t="shared" si="92"/>
        <v/>
      </c>
      <c r="Y166" s="163" t="str">
        <f t="shared" si="93"/>
        <v/>
      </c>
      <c r="Z166" s="163" t="str">
        <f ca="1">IF($C166,AND($I166=0,'Proyecto Datos (OKR´s)'!$K166&lt;=TODAY(),$J166&lt;&gt;"Completado"),"")</f>
        <v/>
      </c>
      <c r="AA166" s="163" t="str">
        <f t="shared" si="94"/>
        <v/>
      </c>
      <c r="AB166" s="164" t="str">
        <f t="shared" si="95"/>
        <v/>
      </c>
      <c r="AC166" s="164" t="str">
        <f t="shared" si="96"/>
        <v/>
      </c>
      <c r="AD166" s="163" t="str">
        <f>IF($C166,IF($N166=9999,9999,IF($J166="Completado",$N166,MAX($N166,Sprints!$M$15))),"")</f>
        <v/>
      </c>
      <c r="AE166" s="163" t="str">
        <f t="shared" si="97"/>
        <v/>
      </c>
      <c r="AF166" s="163" t="b">
        <f t="shared" si="98"/>
        <v>0</v>
      </c>
      <c r="AG166" s="163" t="str">
        <f t="shared" si="99"/>
        <v/>
      </c>
      <c r="AH166" s="164" t="str">
        <f>IF($AF166,IF(Sprints!$I166&lt;&gt;"",Sprints!$I166,"Comprometida y no completada al cierre del Sprint "&amp;$N166),"")</f>
        <v/>
      </c>
      <c r="AI166" s="163" t="str">
        <f t="shared" si="100"/>
        <v/>
      </c>
      <c r="AJ166" s="163" t="str">
        <f t="shared" si="101"/>
        <v/>
      </c>
      <c r="AK166" s="163" t="str">
        <f t="shared" si="102"/>
        <v/>
      </c>
      <c r="AL166" s="163" t="str">
        <f t="shared" si="103"/>
        <v/>
      </c>
      <c r="AM166" s="163" t="str">
        <f t="shared" si="104"/>
        <v/>
      </c>
      <c r="AN166" s="164" t="str">
        <f t="shared" si="105"/>
        <v/>
      </c>
      <c r="AO166" s="163" t="str">
        <f>IF($C166,IFERROR(INDEX(Sprints!$M$6:$M$13,MATCH($N166,Sprints!$K$6:$K$13,0)),""),"")</f>
        <v/>
      </c>
      <c r="AP166" s="163" t="str">
        <f t="shared" ca="1" si="106"/>
        <v/>
      </c>
    </row>
    <row r="167" spans="1:42" x14ac:dyDescent="0.35">
      <c r="A167" s="163">
        <f>ROW()</f>
        <v>167</v>
      </c>
      <c r="B167" s="163" t="b">
        <f>ISTEXT('Proyecto Datos (OKR´s)'!$K167)</f>
        <v>0</v>
      </c>
      <c r="C167" s="163" t="b">
        <f>AND(LEN('Proyecto Datos (OKR´s)'!$G167)&gt;0,NOT($B167),OR(ISNUMBER('Proyecto Datos (OKR´s)'!$F167),ISNUMBER('Proyecto Datos (OKR´s)'!$L167)))</f>
        <v>0</v>
      </c>
      <c r="D167" s="164" t="str">
        <f>IF($C167,IFERROR(LOOKUP(2,1/((ISTEXT('Proyecto Datos (OKR´s)'!$K$7:$K167))*(LEN('Proyecto Datos (OKR´s)'!$G$7:$G167)&gt;0)),'Proyecto Datos (OKR´s)'!$G$7:$G167),""),"")</f>
        <v/>
      </c>
      <c r="E167" s="163" t="str">
        <f>IF($C167,'Proyecto Datos (OKR´s)'!$E167,"")</f>
        <v/>
      </c>
      <c r="F167" s="164" t="str">
        <f>IF($C167,'Proyecto Datos (OKR´s)'!$G167,"")</f>
        <v/>
      </c>
      <c r="G167" s="164" t="str">
        <f>IF($C167,IF('Proyecto Datos (OKR´s)'!$I167="","(Sin asignar)",'Proyecto Datos (OKR´s)'!$I167),"")</f>
        <v/>
      </c>
      <c r="H167" s="163" t="str">
        <f>IF($C167,IF(ISNUMBER('Proyecto Datos (OKR´s)'!$F167),'Proyecto Datos (OKR´s)'!$F167,'Proyecto Datos (OKR´s)'!$L167),"")</f>
        <v/>
      </c>
      <c r="I167" s="163" t="str">
        <f>IF($C167,'Proyecto Datos (OKR´s)'!$J167,"")</f>
        <v/>
      </c>
      <c r="J167" s="164" t="str">
        <f ca="1">IF($C167,IF($I167&gt;=1,"Completado",IF($H167&lt;TODAY(),"Vencido",IF(($H167-TODAY())&lt;='Entregas Próximas'!$M$3,"Próximo a vencer","En curso"))),"")</f>
        <v/>
      </c>
      <c r="K167" s="163" t="str">
        <f t="shared" ref="K167:K200" ca="1" si="107">IF($C167,$H167-TODAY(),"")</f>
        <v/>
      </c>
      <c r="L167" s="163" t="str">
        <f t="shared" ref="L167:L200" si="108">IF($C167,$AD167*1000000+$H167+ROW()/100000,"")</f>
        <v/>
      </c>
      <c r="M167" s="163" t="str">
        <f t="shared" ref="M167:M200" si="109">IF($C167,IF($AD167=9999,"(Sin sprint)",$AD167),"")</f>
        <v/>
      </c>
      <c r="N167" s="163" t="str">
        <f>IF($C167,IF('Proyecto Datos (OKR´s)'!$E167="",9999,'Proyecto Datos (OKR´s)'!$E167),"")</f>
        <v/>
      </c>
      <c r="O167" s="163" t="str">
        <f t="shared" ref="O167:O200" si="110">IF($C167,"T"&amp;TEXT(ROW(),"000"),"")</f>
        <v/>
      </c>
      <c r="R167" s="163" t="str">
        <f>IF($C167,IF(ISNUMBER('Proyecto Datos (OKR´s)'!$L167),'Proyecto Datos (OKR´s)'!$L167,$H167),"")</f>
        <v/>
      </c>
      <c r="S167" s="163" t="str">
        <f>IF($C167,$R167-'Proyecto Datos (OKR´s)'!$K167+1,"")</f>
        <v/>
      </c>
      <c r="T167" s="163" t="str">
        <f ca="1">IF($C167,MAX(0,TODAY()-'Proyecto Datos (OKR´s)'!$K167),"")</f>
        <v/>
      </c>
      <c r="U167" s="163" t="str">
        <f ca="1">IF($C167,MEDIAN(0,(TODAY()-'Proyecto Datos (OKR´s)'!$K167)/MAX(1,$R167-'Proyecto Datos (OKR´s)'!$K167),1),"")</f>
        <v/>
      </c>
      <c r="V167" s="163" t="str">
        <f t="shared" ref="V167:V200" si="111">IF($C167,$I167-$U167,"")</f>
        <v/>
      </c>
      <c r="W167" s="163" t="str">
        <f t="shared" ref="W167:W200" ca="1" si="112">IF($C167,IF($J167="Completado",0,MAX(0,TODAY()-$H167)),"")</f>
        <v/>
      </c>
      <c r="X167" s="163" t="str">
        <f t="shared" ref="X167:X200" si="113">IF($C167,IF(ISNUMBER($H167),$R167-$H167,0),"")</f>
        <v/>
      </c>
      <c r="Y167" s="163" t="str">
        <f t="shared" ref="Y167:Y200" si="114">IF($C167,COUNTIFS($G$7:$G$200,$G167,$J$7:$J$200,"&lt;&gt;Completado",$J$7:$J$200,"&lt;&gt;"),"")</f>
        <v/>
      </c>
      <c r="Z167" s="163" t="str">
        <f ca="1">IF($C167,AND($I167=0,'Proyecto Datos (OKR´s)'!$K167&lt;=TODAY(),$J167&lt;&gt;"Completado"),"")</f>
        <v/>
      </c>
      <c r="AA167" s="163" t="str">
        <f t="shared" ref="AA167:AA200" si="115">IF($C167,ROUND(100*(0.35*$AK167+0.3*$AL167+0.2*$AM167+0.15*MEDIAN(0,($Y167-4)/8,1)),0),"")</f>
        <v/>
      </c>
      <c r="AB167" s="164" t="str">
        <f t="shared" ref="AB167:AB200" si="116">IF($C167,IF($J167="Completado","—",IF($AA167&gt;=70,"Crítica",IF($AA167&gt;=45,"Alta",IF($AA167&gt;=25,"Media","Baja")))),"")</f>
        <v/>
      </c>
      <c r="AC167" s="164" t="str">
        <f t="shared" ref="AC167:AC200" si="117">IF($C167,IF(LEN(TRIM($AN167))=0,"—",TRIM($AN167)),"")</f>
        <v/>
      </c>
      <c r="AD167" s="163" t="str">
        <f>IF($C167,IF($N167=9999,9999,IF($J167="Completado",$N167,MAX($N167,Sprints!$M$15))),"")</f>
        <v/>
      </c>
      <c r="AE167" s="163" t="str">
        <f t="shared" ref="AE167:AE200" si="118">IF($C167,IF($AD167=9999,"(Sin sprint)",$AD167),"")</f>
        <v/>
      </c>
      <c r="AF167" s="163" t="b">
        <f t="shared" ref="AF167:AF200" si="119">IF($C167,AND($N167&lt;&gt;9999,$AD167&lt;&gt;$N167),FALSE)</f>
        <v>0</v>
      </c>
      <c r="AG167" s="163" t="str">
        <f t="shared" ref="AG167:AG200" si="120">IF($AF167,$AO167,"")</f>
        <v/>
      </c>
      <c r="AH167" s="164" t="str">
        <f>IF($AF167,IF(Sprints!$I167&lt;&gt;"",Sprints!$I167,"Comprometida y no completada al cierre del Sprint "&amp;$N167),"")</f>
        <v/>
      </c>
      <c r="AI167" s="163" t="str">
        <f t="shared" ref="AI167:AI200" si="121">IF($AF167,$N167*100000+ROW(),"")</f>
        <v/>
      </c>
      <c r="AJ167" s="163" t="str">
        <f t="shared" ref="AJ167:AJ200" si="122">IF($C167,$AA167*1000000-MEDIAN(-9999,$K167,9999)*100+(300-ROW()),"")</f>
        <v/>
      </c>
      <c r="AK167" s="163" t="str">
        <f t="shared" ref="AK167:AK200" si="123">IF($C167,IF($J167="Completado",0,IF($K167&lt;0,1,IF($K167&lt;=3,0.9,IF($K167&lt;=7,0.7,IF($K167&lt;=14,0.45,0.2))))),"")</f>
        <v/>
      </c>
      <c r="AL167" s="163" t="str">
        <f t="shared" ref="AL167:AL200" si="124">IF($C167,IF($J167="Completado",0,MEDIAN(0,MAX(-$V167,$W167/30),1)),"")</f>
        <v/>
      </c>
      <c r="AM167" s="163" t="str">
        <f t="shared" ref="AM167:AM200" si="125">IF($C167,IF($J167="Completado",0,IF($Z167,1,IF(AND($I167&lt;0.5,$K167&lt;=7),0.7,0.3))),"")</f>
        <v/>
      </c>
      <c r="AN167" s="164" t="str">
        <f t="shared" ref="AN167:AN200" si="126">IF($C167,IF(OR($V167&lt;-0.2,$W167&gt;0),"ATRASO ","")&amp;IF($Z167,"BLOQUEO ","")&amp;IF($Y167&gt;8,"SOBRECARGA ","")&amp;IF($X167&gt;0,"DESVÍO-PLAN ",""),"")</f>
        <v/>
      </c>
      <c r="AO167" s="163" t="str">
        <f>IF($C167,IFERROR(INDEX(Sprints!$M$6:$M$13,MATCH($N167,Sprints!$K$6:$K$13,0)),""),"")</f>
        <v/>
      </c>
      <c r="AP167" s="163" t="str">
        <f t="shared" ref="AP167:AP200" ca="1" si="127">IF($C167,IF(AND($N167&lt;&gt;9999,$AD167&lt;&gt;$N167,ISNUMBER($AO167)),TODAY()-$AO167,0),"")</f>
        <v/>
      </c>
    </row>
    <row r="168" spans="1:42" x14ac:dyDescent="0.35">
      <c r="A168" s="163">
        <f>ROW()</f>
        <v>168</v>
      </c>
      <c r="B168" s="163" t="b">
        <f>ISTEXT('Proyecto Datos (OKR´s)'!$K168)</f>
        <v>0</v>
      </c>
      <c r="C168" s="163" t="b">
        <f>AND(LEN('Proyecto Datos (OKR´s)'!$G168)&gt;0,NOT($B168),OR(ISNUMBER('Proyecto Datos (OKR´s)'!$F168),ISNUMBER('Proyecto Datos (OKR´s)'!$L168)))</f>
        <v>0</v>
      </c>
      <c r="D168" s="164" t="str">
        <f>IF($C168,IFERROR(LOOKUP(2,1/((ISTEXT('Proyecto Datos (OKR´s)'!$K$7:$K168))*(LEN('Proyecto Datos (OKR´s)'!$G$7:$G168)&gt;0)),'Proyecto Datos (OKR´s)'!$G$7:$G168),""),"")</f>
        <v/>
      </c>
      <c r="E168" s="163" t="str">
        <f>IF($C168,'Proyecto Datos (OKR´s)'!$E168,"")</f>
        <v/>
      </c>
      <c r="F168" s="164" t="str">
        <f>IF($C168,'Proyecto Datos (OKR´s)'!$G168,"")</f>
        <v/>
      </c>
      <c r="G168" s="164" t="str">
        <f>IF($C168,IF('Proyecto Datos (OKR´s)'!$I168="","(Sin asignar)",'Proyecto Datos (OKR´s)'!$I168),"")</f>
        <v/>
      </c>
      <c r="H168" s="163" t="str">
        <f>IF($C168,IF(ISNUMBER('Proyecto Datos (OKR´s)'!$F168),'Proyecto Datos (OKR´s)'!$F168,'Proyecto Datos (OKR´s)'!$L168),"")</f>
        <v/>
      </c>
      <c r="I168" s="163" t="str">
        <f>IF($C168,'Proyecto Datos (OKR´s)'!$J168,"")</f>
        <v/>
      </c>
      <c r="J168" s="164" t="str">
        <f ca="1">IF($C168,IF($I168&gt;=1,"Completado",IF($H168&lt;TODAY(),"Vencido",IF(($H168-TODAY())&lt;='Entregas Próximas'!$M$3,"Próximo a vencer","En curso"))),"")</f>
        <v/>
      </c>
      <c r="K168" s="163" t="str">
        <f t="shared" ca="1" si="107"/>
        <v/>
      </c>
      <c r="L168" s="163" t="str">
        <f t="shared" si="108"/>
        <v/>
      </c>
      <c r="M168" s="163" t="str">
        <f t="shared" si="109"/>
        <v/>
      </c>
      <c r="N168" s="163" t="str">
        <f>IF($C168,IF('Proyecto Datos (OKR´s)'!$E168="",9999,'Proyecto Datos (OKR´s)'!$E168),"")</f>
        <v/>
      </c>
      <c r="O168" s="163" t="str">
        <f t="shared" si="110"/>
        <v/>
      </c>
      <c r="R168" s="163" t="str">
        <f>IF($C168,IF(ISNUMBER('Proyecto Datos (OKR´s)'!$L168),'Proyecto Datos (OKR´s)'!$L168,$H168),"")</f>
        <v/>
      </c>
      <c r="S168" s="163" t="str">
        <f>IF($C168,$R168-'Proyecto Datos (OKR´s)'!$K168+1,"")</f>
        <v/>
      </c>
      <c r="T168" s="163" t="str">
        <f ca="1">IF($C168,MAX(0,TODAY()-'Proyecto Datos (OKR´s)'!$K168),"")</f>
        <v/>
      </c>
      <c r="U168" s="163" t="str">
        <f ca="1">IF($C168,MEDIAN(0,(TODAY()-'Proyecto Datos (OKR´s)'!$K168)/MAX(1,$R168-'Proyecto Datos (OKR´s)'!$K168),1),"")</f>
        <v/>
      </c>
      <c r="V168" s="163" t="str">
        <f t="shared" si="111"/>
        <v/>
      </c>
      <c r="W168" s="163" t="str">
        <f t="shared" ca="1" si="112"/>
        <v/>
      </c>
      <c r="X168" s="163" t="str">
        <f t="shared" si="113"/>
        <v/>
      </c>
      <c r="Y168" s="163" t="str">
        <f t="shared" si="114"/>
        <v/>
      </c>
      <c r="Z168" s="163" t="str">
        <f ca="1">IF($C168,AND($I168=0,'Proyecto Datos (OKR´s)'!$K168&lt;=TODAY(),$J168&lt;&gt;"Completado"),"")</f>
        <v/>
      </c>
      <c r="AA168" s="163" t="str">
        <f t="shared" si="115"/>
        <v/>
      </c>
      <c r="AB168" s="164" t="str">
        <f t="shared" si="116"/>
        <v/>
      </c>
      <c r="AC168" s="164" t="str">
        <f t="shared" si="117"/>
        <v/>
      </c>
      <c r="AD168" s="163" t="str">
        <f>IF($C168,IF($N168=9999,9999,IF($J168="Completado",$N168,MAX($N168,Sprints!$M$15))),"")</f>
        <v/>
      </c>
      <c r="AE168" s="163" t="str">
        <f t="shared" si="118"/>
        <v/>
      </c>
      <c r="AF168" s="163" t="b">
        <f t="shared" si="119"/>
        <v>0</v>
      </c>
      <c r="AG168" s="163" t="str">
        <f t="shared" si="120"/>
        <v/>
      </c>
      <c r="AH168" s="164" t="str">
        <f>IF($AF168,IF(Sprints!$I168&lt;&gt;"",Sprints!$I168,"Comprometida y no completada al cierre del Sprint "&amp;$N168),"")</f>
        <v/>
      </c>
      <c r="AI168" s="163" t="str">
        <f t="shared" si="121"/>
        <v/>
      </c>
      <c r="AJ168" s="163" t="str">
        <f t="shared" si="122"/>
        <v/>
      </c>
      <c r="AK168" s="163" t="str">
        <f t="shared" si="123"/>
        <v/>
      </c>
      <c r="AL168" s="163" t="str">
        <f t="shared" si="124"/>
        <v/>
      </c>
      <c r="AM168" s="163" t="str">
        <f t="shared" si="125"/>
        <v/>
      </c>
      <c r="AN168" s="164" t="str">
        <f t="shared" si="126"/>
        <v/>
      </c>
      <c r="AO168" s="163" t="str">
        <f>IF($C168,IFERROR(INDEX(Sprints!$M$6:$M$13,MATCH($N168,Sprints!$K$6:$K$13,0)),""),"")</f>
        <v/>
      </c>
      <c r="AP168" s="163" t="str">
        <f t="shared" ca="1" si="127"/>
        <v/>
      </c>
    </row>
    <row r="169" spans="1:42" x14ac:dyDescent="0.35">
      <c r="A169" s="163">
        <f>ROW()</f>
        <v>169</v>
      </c>
      <c r="B169" s="163" t="b">
        <f>ISTEXT('Proyecto Datos (OKR´s)'!$K169)</f>
        <v>0</v>
      </c>
      <c r="C169" s="163" t="b">
        <f>AND(LEN('Proyecto Datos (OKR´s)'!$G169)&gt;0,NOT($B169),OR(ISNUMBER('Proyecto Datos (OKR´s)'!$F169),ISNUMBER('Proyecto Datos (OKR´s)'!$L169)))</f>
        <v>0</v>
      </c>
      <c r="D169" s="164" t="str">
        <f>IF($C169,IFERROR(LOOKUP(2,1/((ISTEXT('Proyecto Datos (OKR´s)'!$K$7:$K169))*(LEN('Proyecto Datos (OKR´s)'!$G$7:$G169)&gt;0)),'Proyecto Datos (OKR´s)'!$G$7:$G169),""),"")</f>
        <v/>
      </c>
      <c r="E169" s="163" t="str">
        <f>IF($C169,'Proyecto Datos (OKR´s)'!$E169,"")</f>
        <v/>
      </c>
      <c r="F169" s="164" t="str">
        <f>IF($C169,'Proyecto Datos (OKR´s)'!$G169,"")</f>
        <v/>
      </c>
      <c r="G169" s="164" t="str">
        <f>IF($C169,IF('Proyecto Datos (OKR´s)'!$I169="","(Sin asignar)",'Proyecto Datos (OKR´s)'!$I169),"")</f>
        <v/>
      </c>
      <c r="H169" s="163" t="str">
        <f>IF($C169,IF(ISNUMBER('Proyecto Datos (OKR´s)'!$F169),'Proyecto Datos (OKR´s)'!$F169,'Proyecto Datos (OKR´s)'!$L169),"")</f>
        <v/>
      </c>
      <c r="I169" s="163" t="str">
        <f>IF($C169,'Proyecto Datos (OKR´s)'!$J169,"")</f>
        <v/>
      </c>
      <c r="J169" s="164" t="str">
        <f ca="1">IF($C169,IF($I169&gt;=1,"Completado",IF($H169&lt;TODAY(),"Vencido",IF(($H169-TODAY())&lt;='Entregas Próximas'!$M$3,"Próximo a vencer","En curso"))),"")</f>
        <v/>
      </c>
      <c r="K169" s="163" t="str">
        <f t="shared" ca="1" si="107"/>
        <v/>
      </c>
      <c r="L169" s="163" t="str">
        <f t="shared" si="108"/>
        <v/>
      </c>
      <c r="M169" s="163" t="str">
        <f t="shared" si="109"/>
        <v/>
      </c>
      <c r="N169" s="163" t="str">
        <f>IF($C169,IF('Proyecto Datos (OKR´s)'!$E169="",9999,'Proyecto Datos (OKR´s)'!$E169),"")</f>
        <v/>
      </c>
      <c r="O169" s="163" t="str">
        <f t="shared" si="110"/>
        <v/>
      </c>
      <c r="R169" s="163" t="str">
        <f>IF($C169,IF(ISNUMBER('Proyecto Datos (OKR´s)'!$L169),'Proyecto Datos (OKR´s)'!$L169,$H169),"")</f>
        <v/>
      </c>
      <c r="S169" s="163" t="str">
        <f>IF($C169,$R169-'Proyecto Datos (OKR´s)'!$K169+1,"")</f>
        <v/>
      </c>
      <c r="T169" s="163" t="str">
        <f ca="1">IF($C169,MAX(0,TODAY()-'Proyecto Datos (OKR´s)'!$K169),"")</f>
        <v/>
      </c>
      <c r="U169" s="163" t="str">
        <f ca="1">IF($C169,MEDIAN(0,(TODAY()-'Proyecto Datos (OKR´s)'!$K169)/MAX(1,$R169-'Proyecto Datos (OKR´s)'!$K169),1),"")</f>
        <v/>
      </c>
      <c r="V169" s="163" t="str">
        <f t="shared" si="111"/>
        <v/>
      </c>
      <c r="W169" s="163" t="str">
        <f t="shared" ca="1" si="112"/>
        <v/>
      </c>
      <c r="X169" s="163" t="str">
        <f t="shared" si="113"/>
        <v/>
      </c>
      <c r="Y169" s="163" t="str">
        <f t="shared" si="114"/>
        <v/>
      </c>
      <c r="Z169" s="163" t="str">
        <f ca="1">IF($C169,AND($I169=0,'Proyecto Datos (OKR´s)'!$K169&lt;=TODAY(),$J169&lt;&gt;"Completado"),"")</f>
        <v/>
      </c>
      <c r="AA169" s="163" t="str">
        <f t="shared" si="115"/>
        <v/>
      </c>
      <c r="AB169" s="164" t="str">
        <f t="shared" si="116"/>
        <v/>
      </c>
      <c r="AC169" s="164" t="str">
        <f t="shared" si="117"/>
        <v/>
      </c>
      <c r="AD169" s="163" t="str">
        <f>IF($C169,IF($N169=9999,9999,IF($J169="Completado",$N169,MAX($N169,Sprints!$M$15))),"")</f>
        <v/>
      </c>
      <c r="AE169" s="163" t="str">
        <f t="shared" si="118"/>
        <v/>
      </c>
      <c r="AF169" s="163" t="b">
        <f t="shared" si="119"/>
        <v>0</v>
      </c>
      <c r="AG169" s="163" t="str">
        <f t="shared" si="120"/>
        <v/>
      </c>
      <c r="AH169" s="164" t="str">
        <f>IF($AF169,IF(Sprints!$I169&lt;&gt;"",Sprints!$I169,"Comprometida y no completada al cierre del Sprint "&amp;$N169),"")</f>
        <v/>
      </c>
      <c r="AI169" s="163" t="str">
        <f t="shared" si="121"/>
        <v/>
      </c>
      <c r="AJ169" s="163" t="str">
        <f t="shared" si="122"/>
        <v/>
      </c>
      <c r="AK169" s="163" t="str">
        <f t="shared" si="123"/>
        <v/>
      </c>
      <c r="AL169" s="163" t="str">
        <f t="shared" si="124"/>
        <v/>
      </c>
      <c r="AM169" s="163" t="str">
        <f t="shared" si="125"/>
        <v/>
      </c>
      <c r="AN169" s="164" t="str">
        <f t="shared" si="126"/>
        <v/>
      </c>
      <c r="AO169" s="163" t="str">
        <f>IF($C169,IFERROR(INDEX(Sprints!$M$6:$M$13,MATCH($N169,Sprints!$K$6:$K$13,0)),""),"")</f>
        <v/>
      </c>
      <c r="AP169" s="163" t="str">
        <f t="shared" ca="1" si="127"/>
        <v/>
      </c>
    </row>
    <row r="170" spans="1:42" x14ac:dyDescent="0.35">
      <c r="A170" s="163">
        <f>ROW()</f>
        <v>170</v>
      </c>
      <c r="B170" s="163" t="b">
        <f>ISTEXT('Proyecto Datos (OKR´s)'!$K170)</f>
        <v>0</v>
      </c>
      <c r="C170" s="163" t="b">
        <f>AND(LEN('Proyecto Datos (OKR´s)'!$G170)&gt;0,NOT($B170),OR(ISNUMBER('Proyecto Datos (OKR´s)'!$F170),ISNUMBER('Proyecto Datos (OKR´s)'!$L170)))</f>
        <v>0</v>
      </c>
      <c r="D170" s="164" t="str">
        <f>IF($C170,IFERROR(LOOKUP(2,1/((ISTEXT('Proyecto Datos (OKR´s)'!$K$7:$K170))*(LEN('Proyecto Datos (OKR´s)'!$G$7:$G170)&gt;0)),'Proyecto Datos (OKR´s)'!$G$7:$G170),""),"")</f>
        <v/>
      </c>
      <c r="E170" s="163" t="str">
        <f>IF($C170,'Proyecto Datos (OKR´s)'!$E170,"")</f>
        <v/>
      </c>
      <c r="F170" s="164" t="str">
        <f>IF($C170,'Proyecto Datos (OKR´s)'!$G170,"")</f>
        <v/>
      </c>
      <c r="G170" s="164" t="str">
        <f>IF($C170,IF('Proyecto Datos (OKR´s)'!$I170="","(Sin asignar)",'Proyecto Datos (OKR´s)'!$I170),"")</f>
        <v/>
      </c>
      <c r="H170" s="163" t="str">
        <f>IF($C170,IF(ISNUMBER('Proyecto Datos (OKR´s)'!$F170),'Proyecto Datos (OKR´s)'!$F170,'Proyecto Datos (OKR´s)'!$L170),"")</f>
        <v/>
      </c>
      <c r="I170" s="163" t="str">
        <f>IF($C170,'Proyecto Datos (OKR´s)'!$J170,"")</f>
        <v/>
      </c>
      <c r="J170" s="164" t="str">
        <f ca="1">IF($C170,IF($I170&gt;=1,"Completado",IF($H170&lt;TODAY(),"Vencido",IF(($H170-TODAY())&lt;='Entregas Próximas'!$M$3,"Próximo a vencer","En curso"))),"")</f>
        <v/>
      </c>
      <c r="K170" s="163" t="str">
        <f t="shared" ca="1" si="107"/>
        <v/>
      </c>
      <c r="L170" s="163" t="str">
        <f t="shared" si="108"/>
        <v/>
      </c>
      <c r="M170" s="163" t="str">
        <f t="shared" si="109"/>
        <v/>
      </c>
      <c r="N170" s="163" t="str">
        <f>IF($C170,IF('Proyecto Datos (OKR´s)'!$E170="",9999,'Proyecto Datos (OKR´s)'!$E170),"")</f>
        <v/>
      </c>
      <c r="O170" s="163" t="str">
        <f t="shared" si="110"/>
        <v/>
      </c>
      <c r="R170" s="163" t="str">
        <f>IF($C170,IF(ISNUMBER('Proyecto Datos (OKR´s)'!$L170),'Proyecto Datos (OKR´s)'!$L170,$H170),"")</f>
        <v/>
      </c>
      <c r="S170" s="163" t="str">
        <f>IF($C170,$R170-'Proyecto Datos (OKR´s)'!$K170+1,"")</f>
        <v/>
      </c>
      <c r="T170" s="163" t="str">
        <f ca="1">IF($C170,MAX(0,TODAY()-'Proyecto Datos (OKR´s)'!$K170),"")</f>
        <v/>
      </c>
      <c r="U170" s="163" t="str">
        <f ca="1">IF($C170,MEDIAN(0,(TODAY()-'Proyecto Datos (OKR´s)'!$K170)/MAX(1,$R170-'Proyecto Datos (OKR´s)'!$K170),1),"")</f>
        <v/>
      </c>
      <c r="V170" s="163" t="str">
        <f t="shared" si="111"/>
        <v/>
      </c>
      <c r="W170" s="163" t="str">
        <f t="shared" ca="1" si="112"/>
        <v/>
      </c>
      <c r="X170" s="163" t="str">
        <f t="shared" si="113"/>
        <v/>
      </c>
      <c r="Y170" s="163" t="str">
        <f t="shared" si="114"/>
        <v/>
      </c>
      <c r="Z170" s="163" t="str">
        <f ca="1">IF($C170,AND($I170=0,'Proyecto Datos (OKR´s)'!$K170&lt;=TODAY(),$J170&lt;&gt;"Completado"),"")</f>
        <v/>
      </c>
      <c r="AA170" s="163" t="str">
        <f t="shared" si="115"/>
        <v/>
      </c>
      <c r="AB170" s="164" t="str">
        <f t="shared" si="116"/>
        <v/>
      </c>
      <c r="AC170" s="164" t="str">
        <f t="shared" si="117"/>
        <v/>
      </c>
      <c r="AD170" s="163" t="str">
        <f>IF($C170,IF($N170=9999,9999,IF($J170="Completado",$N170,MAX($N170,Sprints!$M$15))),"")</f>
        <v/>
      </c>
      <c r="AE170" s="163" t="str">
        <f t="shared" si="118"/>
        <v/>
      </c>
      <c r="AF170" s="163" t="b">
        <f t="shared" si="119"/>
        <v>0</v>
      </c>
      <c r="AG170" s="163" t="str">
        <f t="shared" si="120"/>
        <v/>
      </c>
      <c r="AH170" s="164" t="str">
        <f>IF($AF170,IF(Sprints!$I170&lt;&gt;"",Sprints!$I170,"Comprometida y no completada al cierre del Sprint "&amp;$N170),"")</f>
        <v/>
      </c>
      <c r="AI170" s="163" t="str">
        <f t="shared" si="121"/>
        <v/>
      </c>
      <c r="AJ170" s="163" t="str">
        <f t="shared" si="122"/>
        <v/>
      </c>
      <c r="AK170" s="163" t="str">
        <f t="shared" si="123"/>
        <v/>
      </c>
      <c r="AL170" s="163" t="str">
        <f t="shared" si="124"/>
        <v/>
      </c>
      <c r="AM170" s="163" t="str">
        <f t="shared" si="125"/>
        <v/>
      </c>
      <c r="AN170" s="164" t="str">
        <f t="shared" si="126"/>
        <v/>
      </c>
      <c r="AO170" s="163" t="str">
        <f>IF($C170,IFERROR(INDEX(Sprints!$M$6:$M$13,MATCH($N170,Sprints!$K$6:$K$13,0)),""),"")</f>
        <v/>
      </c>
      <c r="AP170" s="163" t="str">
        <f t="shared" ca="1" si="127"/>
        <v/>
      </c>
    </row>
    <row r="171" spans="1:42" x14ac:dyDescent="0.35">
      <c r="A171" s="163">
        <f>ROW()</f>
        <v>171</v>
      </c>
      <c r="B171" s="163" t="b">
        <f>ISTEXT('Proyecto Datos (OKR´s)'!$K171)</f>
        <v>0</v>
      </c>
      <c r="C171" s="163" t="b">
        <f>AND(LEN('Proyecto Datos (OKR´s)'!$G171)&gt;0,NOT($B171),OR(ISNUMBER('Proyecto Datos (OKR´s)'!$F171),ISNUMBER('Proyecto Datos (OKR´s)'!$L171)))</f>
        <v>0</v>
      </c>
      <c r="D171" s="164" t="str">
        <f>IF($C171,IFERROR(LOOKUP(2,1/((ISTEXT('Proyecto Datos (OKR´s)'!$K$7:$K171))*(LEN('Proyecto Datos (OKR´s)'!$G$7:$G171)&gt;0)),'Proyecto Datos (OKR´s)'!$G$7:$G171),""),"")</f>
        <v/>
      </c>
      <c r="E171" s="163" t="str">
        <f>IF($C171,'Proyecto Datos (OKR´s)'!$E171,"")</f>
        <v/>
      </c>
      <c r="F171" s="164" t="str">
        <f>IF($C171,'Proyecto Datos (OKR´s)'!$G171,"")</f>
        <v/>
      </c>
      <c r="G171" s="164" t="str">
        <f>IF($C171,IF('Proyecto Datos (OKR´s)'!$I171="","(Sin asignar)",'Proyecto Datos (OKR´s)'!$I171),"")</f>
        <v/>
      </c>
      <c r="H171" s="163" t="str">
        <f>IF($C171,IF(ISNUMBER('Proyecto Datos (OKR´s)'!$F171),'Proyecto Datos (OKR´s)'!$F171,'Proyecto Datos (OKR´s)'!$L171),"")</f>
        <v/>
      </c>
      <c r="I171" s="163" t="str">
        <f>IF($C171,'Proyecto Datos (OKR´s)'!$J171,"")</f>
        <v/>
      </c>
      <c r="J171" s="164" t="str">
        <f ca="1">IF($C171,IF($I171&gt;=1,"Completado",IF($H171&lt;TODAY(),"Vencido",IF(($H171-TODAY())&lt;='Entregas Próximas'!$M$3,"Próximo a vencer","En curso"))),"")</f>
        <v/>
      </c>
      <c r="K171" s="163" t="str">
        <f t="shared" ca="1" si="107"/>
        <v/>
      </c>
      <c r="L171" s="163" t="str">
        <f t="shared" si="108"/>
        <v/>
      </c>
      <c r="M171" s="163" t="str">
        <f t="shared" si="109"/>
        <v/>
      </c>
      <c r="N171" s="163" t="str">
        <f>IF($C171,IF('Proyecto Datos (OKR´s)'!$E171="",9999,'Proyecto Datos (OKR´s)'!$E171),"")</f>
        <v/>
      </c>
      <c r="O171" s="163" t="str">
        <f t="shared" si="110"/>
        <v/>
      </c>
      <c r="R171" s="163" t="str">
        <f>IF($C171,IF(ISNUMBER('Proyecto Datos (OKR´s)'!$L171),'Proyecto Datos (OKR´s)'!$L171,$H171),"")</f>
        <v/>
      </c>
      <c r="S171" s="163" t="str">
        <f>IF($C171,$R171-'Proyecto Datos (OKR´s)'!$K171+1,"")</f>
        <v/>
      </c>
      <c r="T171" s="163" t="str">
        <f ca="1">IF($C171,MAX(0,TODAY()-'Proyecto Datos (OKR´s)'!$K171),"")</f>
        <v/>
      </c>
      <c r="U171" s="163" t="str">
        <f ca="1">IF($C171,MEDIAN(0,(TODAY()-'Proyecto Datos (OKR´s)'!$K171)/MAX(1,$R171-'Proyecto Datos (OKR´s)'!$K171),1),"")</f>
        <v/>
      </c>
      <c r="V171" s="163" t="str">
        <f t="shared" si="111"/>
        <v/>
      </c>
      <c r="W171" s="163" t="str">
        <f t="shared" ca="1" si="112"/>
        <v/>
      </c>
      <c r="X171" s="163" t="str">
        <f t="shared" si="113"/>
        <v/>
      </c>
      <c r="Y171" s="163" t="str">
        <f t="shared" si="114"/>
        <v/>
      </c>
      <c r="Z171" s="163" t="str">
        <f ca="1">IF($C171,AND($I171=0,'Proyecto Datos (OKR´s)'!$K171&lt;=TODAY(),$J171&lt;&gt;"Completado"),"")</f>
        <v/>
      </c>
      <c r="AA171" s="163" t="str">
        <f t="shared" si="115"/>
        <v/>
      </c>
      <c r="AB171" s="164" t="str">
        <f t="shared" si="116"/>
        <v/>
      </c>
      <c r="AC171" s="164" t="str">
        <f t="shared" si="117"/>
        <v/>
      </c>
      <c r="AD171" s="163" t="str">
        <f>IF($C171,IF($N171=9999,9999,IF($J171="Completado",$N171,MAX($N171,Sprints!$M$15))),"")</f>
        <v/>
      </c>
      <c r="AE171" s="163" t="str">
        <f t="shared" si="118"/>
        <v/>
      </c>
      <c r="AF171" s="163" t="b">
        <f t="shared" si="119"/>
        <v>0</v>
      </c>
      <c r="AG171" s="163" t="str">
        <f t="shared" si="120"/>
        <v/>
      </c>
      <c r="AH171" s="164" t="str">
        <f>IF($AF171,IF(Sprints!$I171&lt;&gt;"",Sprints!$I171,"Comprometida y no completada al cierre del Sprint "&amp;$N171),"")</f>
        <v/>
      </c>
      <c r="AI171" s="163" t="str">
        <f t="shared" si="121"/>
        <v/>
      </c>
      <c r="AJ171" s="163" t="str">
        <f t="shared" si="122"/>
        <v/>
      </c>
      <c r="AK171" s="163" t="str">
        <f t="shared" si="123"/>
        <v/>
      </c>
      <c r="AL171" s="163" t="str">
        <f t="shared" si="124"/>
        <v/>
      </c>
      <c r="AM171" s="163" t="str">
        <f t="shared" si="125"/>
        <v/>
      </c>
      <c r="AN171" s="164" t="str">
        <f t="shared" si="126"/>
        <v/>
      </c>
      <c r="AO171" s="163" t="str">
        <f>IF($C171,IFERROR(INDEX(Sprints!$M$6:$M$13,MATCH($N171,Sprints!$K$6:$K$13,0)),""),"")</f>
        <v/>
      </c>
      <c r="AP171" s="163" t="str">
        <f t="shared" ca="1" si="127"/>
        <v/>
      </c>
    </row>
    <row r="172" spans="1:42" x14ac:dyDescent="0.35">
      <c r="A172" s="163">
        <f>ROW()</f>
        <v>172</v>
      </c>
      <c r="B172" s="163" t="b">
        <f>ISTEXT('Proyecto Datos (OKR´s)'!$K172)</f>
        <v>0</v>
      </c>
      <c r="C172" s="163" t="b">
        <f>AND(LEN('Proyecto Datos (OKR´s)'!$G172)&gt;0,NOT($B172),OR(ISNUMBER('Proyecto Datos (OKR´s)'!$F172),ISNUMBER('Proyecto Datos (OKR´s)'!$L172)))</f>
        <v>0</v>
      </c>
      <c r="D172" s="164" t="str">
        <f>IF($C172,IFERROR(LOOKUP(2,1/((ISTEXT('Proyecto Datos (OKR´s)'!$K$7:$K172))*(LEN('Proyecto Datos (OKR´s)'!$G$7:$G172)&gt;0)),'Proyecto Datos (OKR´s)'!$G$7:$G172),""),"")</f>
        <v/>
      </c>
      <c r="E172" s="163" t="str">
        <f>IF($C172,'Proyecto Datos (OKR´s)'!$E172,"")</f>
        <v/>
      </c>
      <c r="F172" s="164" t="str">
        <f>IF($C172,'Proyecto Datos (OKR´s)'!$G172,"")</f>
        <v/>
      </c>
      <c r="G172" s="164" t="str">
        <f>IF($C172,IF('Proyecto Datos (OKR´s)'!$I172="","(Sin asignar)",'Proyecto Datos (OKR´s)'!$I172),"")</f>
        <v/>
      </c>
      <c r="H172" s="163" t="str">
        <f>IF($C172,IF(ISNUMBER('Proyecto Datos (OKR´s)'!$F172),'Proyecto Datos (OKR´s)'!$F172,'Proyecto Datos (OKR´s)'!$L172),"")</f>
        <v/>
      </c>
      <c r="I172" s="163" t="str">
        <f>IF($C172,'Proyecto Datos (OKR´s)'!$J172,"")</f>
        <v/>
      </c>
      <c r="J172" s="164" t="str">
        <f ca="1">IF($C172,IF($I172&gt;=1,"Completado",IF($H172&lt;TODAY(),"Vencido",IF(($H172-TODAY())&lt;='Entregas Próximas'!$M$3,"Próximo a vencer","En curso"))),"")</f>
        <v/>
      </c>
      <c r="K172" s="163" t="str">
        <f t="shared" ca="1" si="107"/>
        <v/>
      </c>
      <c r="L172" s="163" t="str">
        <f t="shared" si="108"/>
        <v/>
      </c>
      <c r="M172" s="163" t="str">
        <f t="shared" si="109"/>
        <v/>
      </c>
      <c r="N172" s="163" t="str">
        <f>IF($C172,IF('Proyecto Datos (OKR´s)'!$E172="",9999,'Proyecto Datos (OKR´s)'!$E172),"")</f>
        <v/>
      </c>
      <c r="O172" s="163" t="str">
        <f t="shared" si="110"/>
        <v/>
      </c>
      <c r="R172" s="163" t="str">
        <f>IF($C172,IF(ISNUMBER('Proyecto Datos (OKR´s)'!$L172),'Proyecto Datos (OKR´s)'!$L172,$H172),"")</f>
        <v/>
      </c>
      <c r="S172" s="163" t="str">
        <f>IF($C172,$R172-'Proyecto Datos (OKR´s)'!$K172+1,"")</f>
        <v/>
      </c>
      <c r="T172" s="163" t="str">
        <f ca="1">IF($C172,MAX(0,TODAY()-'Proyecto Datos (OKR´s)'!$K172),"")</f>
        <v/>
      </c>
      <c r="U172" s="163" t="str">
        <f ca="1">IF($C172,MEDIAN(0,(TODAY()-'Proyecto Datos (OKR´s)'!$K172)/MAX(1,$R172-'Proyecto Datos (OKR´s)'!$K172),1),"")</f>
        <v/>
      </c>
      <c r="V172" s="163" t="str">
        <f t="shared" si="111"/>
        <v/>
      </c>
      <c r="W172" s="163" t="str">
        <f t="shared" ca="1" si="112"/>
        <v/>
      </c>
      <c r="X172" s="163" t="str">
        <f t="shared" si="113"/>
        <v/>
      </c>
      <c r="Y172" s="163" t="str">
        <f t="shared" si="114"/>
        <v/>
      </c>
      <c r="Z172" s="163" t="str">
        <f ca="1">IF($C172,AND($I172=0,'Proyecto Datos (OKR´s)'!$K172&lt;=TODAY(),$J172&lt;&gt;"Completado"),"")</f>
        <v/>
      </c>
      <c r="AA172" s="163" t="str">
        <f t="shared" si="115"/>
        <v/>
      </c>
      <c r="AB172" s="164" t="str">
        <f t="shared" si="116"/>
        <v/>
      </c>
      <c r="AC172" s="164" t="str">
        <f t="shared" si="117"/>
        <v/>
      </c>
      <c r="AD172" s="163" t="str">
        <f>IF($C172,IF($N172=9999,9999,IF($J172="Completado",$N172,MAX($N172,Sprints!$M$15))),"")</f>
        <v/>
      </c>
      <c r="AE172" s="163" t="str">
        <f t="shared" si="118"/>
        <v/>
      </c>
      <c r="AF172" s="163" t="b">
        <f t="shared" si="119"/>
        <v>0</v>
      </c>
      <c r="AG172" s="163" t="str">
        <f t="shared" si="120"/>
        <v/>
      </c>
      <c r="AH172" s="164" t="str">
        <f>IF($AF172,IF(Sprints!$I172&lt;&gt;"",Sprints!$I172,"Comprometida y no completada al cierre del Sprint "&amp;$N172),"")</f>
        <v/>
      </c>
      <c r="AI172" s="163" t="str">
        <f t="shared" si="121"/>
        <v/>
      </c>
      <c r="AJ172" s="163" t="str">
        <f t="shared" si="122"/>
        <v/>
      </c>
      <c r="AK172" s="163" t="str">
        <f t="shared" si="123"/>
        <v/>
      </c>
      <c r="AL172" s="163" t="str">
        <f t="shared" si="124"/>
        <v/>
      </c>
      <c r="AM172" s="163" t="str">
        <f t="shared" si="125"/>
        <v/>
      </c>
      <c r="AN172" s="164" t="str">
        <f t="shared" si="126"/>
        <v/>
      </c>
      <c r="AO172" s="163" t="str">
        <f>IF($C172,IFERROR(INDEX(Sprints!$M$6:$M$13,MATCH($N172,Sprints!$K$6:$K$13,0)),""),"")</f>
        <v/>
      </c>
      <c r="AP172" s="163" t="str">
        <f t="shared" ca="1" si="127"/>
        <v/>
      </c>
    </row>
    <row r="173" spans="1:42" x14ac:dyDescent="0.35">
      <c r="A173" s="163">
        <f>ROW()</f>
        <v>173</v>
      </c>
      <c r="B173" s="163" t="b">
        <f>ISTEXT('Proyecto Datos (OKR´s)'!$K173)</f>
        <v>0</v>
      </c>
      <c r="C173" s="163" t="b">
        <f>AND(LEN('Proyecto Datos (OKR´s)'!$G173)&gt;0,NOT($B173),OR(ISNUMBER('Proyecto Datos (OKR´s)'!$F173),ISNUMBER('Proyecto Datos (OKR´s)'!$L173)))</f>
        <v>0</v>
      </c>
      <c r="D173" s="164" t="str">
        <f>IF($C173,IFERROR(LOOKUP(2,1/((ISTEXT('Proyecto Datos (OKR´s)'!$K$7:$K173))*(LEN('Proyecto Datos (OKR´s)'!$G$7:$G173)&gt;0)),'Proyecto Datos (OKR´s)'!$G$7:$G173),""),"")</f>
        <v/>
      </c>
      <c r="E173" s="163" t="str">
        <f>IF($C173,'Proyecto Datos (OKR´s)'!$E173,"")</f>
        <v/>
      </c>
      <c r="F173" s="164" t="str">
        <f>IF($C173,'Proyecto Datos (OKR´s)'!$G173,"")</f>
        <v/>
      </c>
      <c r="G173" s="164" t="str">
        <f>IF($C173,IF('Proyecto Datos (OKR´s)'!$I173="","(Sin asignar)",'Proyecto Datos (OKR´s)'!$I173),"")</f>
        <v/>
      </c>
      <c r="H173" s="163" t="str">
        <f>IF($C173,IF(ISNUMBER('Proyecto Datos (OKR´s)'!$F173),'Proyecto Datos (OKR´s)'!$F173,'Proyecto Datos (OKR´s)'!$L173),"")</f>
        <v/>
      </c>
      <c r="I173" s="163" t="str">
        <f>IF($C173,'Proyecto Datos (OKR´s)'!$J173,"")</f>
        <v/>
      </c>
      <c r="J173" s="164" t="str">
        <f ca="1">IF($C173,IF($I173&gt;=1,"Completado",IF($H173&lt;TODAY(),"Vencido",IF(($H173-TODAY())&lt;='Entregas Próximas'!$M$3,"Próximo a vencer","En curso"))),"")</f>
        <v/>
      </c>
      <c r="K173" s="163" t="str">
        <f t="shared" ca="1" si="107"/>
        <v/>
      </c>
      <c r="L173" s="163" t="str">
        <f t="shared" si="108"/>
        <v/>
      </c>
      <c r="M173" s="163" t="str">
        <f t="shared" si="109"/>
        <v/>
      </c>
      <c r="N173" s="163" t="str">
        <f>IF($C173,IF('Proyecto Datos (OKR´s)'!$E173="",9999,'Proyecto Datos (OKR´s)'!$E173),"")</f>
        <v/>
      </c>
      <c r="O173" s="163" t="str">
        <f t="shared" si="110"/>
        <v/>
      </c>
      <c r="R173" s="163" t="str">
        <f>IF($C173,IF(ISNUMBER('Proyecto Datos (OKR´s)'!$L173),'Proyecto Datos (OKR´s)'!$L173,$H173),"")</f>
        <v/>
      </c>
      <c r="S173" s="163" t="str">
        <f>IF($C173,$R173-'Proyecto Datos (OKR´s)'!$K173+1,"")</f>
        <v/>
      </c>
      <c r="T173" s="163" t="str">
        <f ca="1">IF($C173,MAX(0,TODAY()-'Proyecto Datos (OKR´s)'!$K173),"")</f>
        <v/>
      </c>
      <c r="U173" s="163" t="str">
        <f ca="1">IF($C173,MEDIAN(0,(TODAY()-'Proyecto Datos (OKR´s)'!$K173)/MAX(1,$R173-'Proyecto Datos (OKR´s)'!$K173),1),"")</f>
        <v/>
      </c>
      <c r="V173" s="163" t="str">
        <f t="shared" si="111"/>
        <v/>
      </c>
      <c r="W173" s="163" t="str">
        <f t="shared" ca="1" si="112"/>
        <v/>
      </c>
      <c r="X173" s="163" t="str">
        <f t="shared" si="113"/>
        <v/>
      </c>
      <c r="Y173" s="163" t="str">
        <f t="shared" si="114"/>
        <v/>
      </c>
      <c r="Z173" s="163" t="str">
        <f ca="1">IF($C173,AND($I173=0,'Proyecto Datos (OKR´s)'!$K173&lt;=TODAY(),$J173&lt;&gt;"Completado"),"")</f>
        <v/>
      </c>
      <c r="AA173" s="163" t="str">
        <f t="shared" si="115"/>
        <v/>
      </c>
      <c r="AB173" s="164" t="str">
        <f t="shared" si="116"/>
        <v/>
      </c>
      <c r="AC173" s="164" t="str">
        <f t="shared" si="117"/>
        <v/>
      </c>
      <c r="AD173" s="163" t="str">
        <f>IF($C173,IF($N173=9999,9999,IF($J173="Completado",$N173,MAX($N173,Sprints!$M$15))),"")</f>
        <v/>
      </c>
      <c r="AE173" s="163" t="str">
        <f t="shared" si="118"/>
        <v/>
      </c>
      <c r="AF173" s="163" t="b">
        <f t="shared" si="119"/>
        <v>0</v>
      </c>
      <c r="AG173" s="163" t="str">
        <f t="shared" si="120"/>
        <v/>
      </c>
      <c r="AH173" s="164" t="str">
        <f>IF($AF173,IF(Sprints!$I173&lt;&gt;"",Sprints!$I173,"Comprometida y no completada al cierre del Sprint "&amp;$N173),"")</f>
        <v/>
      </c>
      <c r="AI173" s="163" t="str">
        <f t="shared" si="121"/>
        <v/>
      </c>
      <c r="AJ173" s="163" t="str">
        <f t="shared" si="122"/>
        <v/>
      </c>
      <c r="AK173" s="163" t="str">
        <f t="shared" si="123"/>
        <v/>
      </c>
      <c r="AL173" s="163" t="str">
        <f t="shared" si="124"/>
        <v/>
      </c>
      <c r="AM173" s="163" t="str">
        <f t="shared" si="125"/>
        <v/>
      </c>
      <c r="AN173" s="164" t="str">
        <f t="shared" si="126"/>
        <v/>
      </c>
      <c r="AO173" s="163" t="str">
        <f>IF($C173,IFERROR(INDEX(Sprints!$M$6:$M$13,MATCH($N173,Sprints!$K$6:$K$13,0)),""),"")</f>
        <v/>
      </c>
      <c r="AP173" s="163" t="str">
        <f t="shared" ca="1" si="127"/>
        <v/>
      </c>
    </row>
    <row r="174" spans="1:42" x14ac:dyDescent="0.35">
      <c r="A174" s="163">
        <f>ROW()</f>
        <v>174</v>
      </c>
      <c r="B174" s="163" t="b">
        <f>ISTEXT('Proyecto Datos (OKR´s)'!$K174)</f>
        <v>0</v>
      </c>
      <c r="C174" s="163" t="b">
        <f>AND(LEN('Proyecto Datos (OKR´s)'!$G174)&gt;0,NOT($B174),OR(ISNUMBER('Proyecto Datos (OKR´s)'!$F174),ISNUMBER('Proyecto Datos (OKR´s)'!$L174)))</f>
        <v>0</v>
      </c>
      <c r="D174" s="164" t="str">
        <f>IF($C174,IFERROR(LOOKUP(2,1/((ISTEXT('Proyecto Datos (OKR´s)'!$K$7:$K174))*(LEN('Proyecto Datos (OKR´s)'!$G$7:$G174)&gt;0)),'Proyecto Datos (OKR´s)'!$G$7:$G174),""),"")</f>
        <v/>
      </c>
      <c r="E174" s="163" t="str">
        <f>IF($C174,'Proyecto Datos (OKR´s)'!$E174,"")</f>
        <v/>
      </c>
      <c r="F174" s="164" t="str">
        <f>IF($C174,'Proyecto Datos (OKR´s)'!$G174,"")</f>
        <v/>
      </c>
      <c r="G174" s="164" t="str">
        <f>IF($C174,IF('Proyecto Datos (OKR´s)'!$I174="","(Sin asignar)",'Proyecto Datos (OKR´s)'!$I174),"")</f>
        <v/>
      </c>
      <c r="H174" s="163" t="str">
        <f>IF($C174,IF(ISNUMBER('Proyecto Datos (OKR´s)'!$F174),'Proyecto Datos (OKR´s)'!$F174,'Proyecto Datos (OKR´s)'!$L174),"")</f>
        <v/>
      </c>
      <c r="I174" s="163" t="str">
        <f>IF($C174,'Proyecto Datos (OKR´s)'!$J174,"")</f>
        <v/>
      </c>
      <c r="J174" s="164" t="str">
        <f ca="1">IF($C174,IF($I174&gt;=1,"Completado",IF($H174&lt;TODAY(),"Vencido",IF(($H174-TODAY())&lt;='Entregas Próximas'!$M$3,"Próximo a vencer","En curso"))),"")</f>
        <v/>
      </c>
      <c r="K174" s="163" t="str">
        <f t="shared" ca="1" si="107"/>
        <v/>
      </c>
      <c r="L174" s="163" t="str">
        <f t="shared" si="108"/>
        <v/>
      </c>
      <c r="M174" s="163" t="str">
        <f t="shared" si="109"/>
        <v/>
      </c>
      <c r="N174" s="163" t="str">
        <f>IF($C174,IF('Proyecto Datos (OKR´s)'!$E174="",9999,'Proyecto Datos (OKR´s)'!$E174),"")</f>
        <v/>
      </c>
      <c r="O174" s="163" t="str">
        <f t="shared" si="110"/>
        <v/>
      </c>
      <c r="R174" s="163" t="str">
        <f>IF($C174,IF(ISNUMBER('Proyecto Datos (OKR´s)'!$L174),'Proyecto Datos (OKR´s)'!$L174,$H174),"")</f>
        <v/>
      </c>
      <c r="S174" s="163" t="str">
        <f>IF($C174,$R174-'Proyecto Datos (OKR´s)'!$K174+1,"")</f>
        <v/>
      </c>
      <c r="T174" s="163" t="str">
        <f ca="1">IF($C174,MAX(0,TODAY()-'Proyecto Datos (OKR´s)'!$K174),"")</f>
        <v/>
      </c>
      <c r="U174" s="163" t="str">
        <f ca="1">IF($C174,MEDIAN(0,(TODAY()-'Proyecto Datos (OKR´s)'!$K174)/MAX(1,$R174-'Proyecto Datos (OKR´s)'!$K174),1),"")</f>
        <v/>
      </c>
      <c r="V174" s="163" t="str">
        <f t="shared" si="111"/>
        <v/>
      </c>
      <c r="W174" s="163" t="str">
        <f t="shared" ca="1" si="112"/>
        <v/>
      </c>
      <c r="X174" s="163" t="str">
        <f t="shared" si="113"/>
        <v/>
      </c>
      <c r="Y174" s="163" t="str">
        <f t="shared" si="114"/>
        <v/>
      </c>
      <c r="Z174" s="163" t="str">
        <f ca="1">IF($C174,AND($I174=0,'Proyecto Datos (OKR´s)'!$K174&lt;=TODAY(),$J174&lt;&gt;"Completado"),"")</f>
        <v/>
      </c>
      <c r="AA174" s="163" t="str">
        <f t="shared" si="115"/>
        <v/>
      </c>
      <c r="AB174" s="164" t="str">
        <f t="shared" si="116"/>
        <v/>
      </c>
      <c r="AC174" s="164" t="str">
        <f t="shared" si="117"/>
        <v/>
      </c>
      <c r="AD174" s="163" t="str">
        <f>IF($C174,IF($N174=9999,9999,IF($J174="Completado",$N174,MAX($N174,Sprints!$M$15))),"")</f>
        <v/>
      </c>
      <c r="AE174" s="163" t="str">
        <f t="shared" si="118"/>
        <v/>
      </c>
      <c r="AF174" s="163" t="b">
        <f t="shared" si="119"/>
        <v>0</v>
      </c>
      <c r="AG174" s="163" t="str">
        <f t="shared" si="120"/>
        <v/>
      </c>
      <c r="AH174" s="164" t="str">
        <f>IF($AF174,IF(Sprints!$I174&lt;&gt;"",Sprints!$I174,"Comprometida y no completada al cierre del Sprint "&amp;$N174),"")</f>
        <v/>
      </c>
      <c r="AI174" s="163" t="str">
        <f t="shared" si="121"/>
        <v/>
      </c>
      <c r="AJ174" s="163" t="str">
        <f t="shared" si="122"/>
        <v/>
      </c>
      <c r="AK174" s="163" t="str">
        <f t="shared" si="123"/>
        <v/>
      </c>
      <c r="AL174" s="163" t="str">
        <f t="shared" si="124"/>
        <v/>
      </c>
      <c r="AM174" s="163" t="str">
        <f t="shared" si="125"/>
        <v/>
      </c>
      <c r="AN174" s="164" t="str">
        <f t="shared" si="126"/>
        <v/>
      </c>
      <c r="AO174" s="163" t="str">
        <f>IF($C174,IFERROR(INDEX(Sprints!$M$6:$M$13,MATCH($N174,Sprints!$K$6:$K$13,0)),""),"")</f>
        <v/>
      </c>
      <c r="AP174" s="163" t="str">
        <f t="shared" ca="1" si="127"/>
        <v/>
      </c>
    </row>
    <row r="175" spans="1:42" x14ac:dyDescent="0.35">
      <c r="A175" s="163">
        <f>ROW()</f>
        <v>175</v>
      </c>
      <c r="B175" s="163" t="b">
        <f>ISTEXT('Proyecto Datos (OKR´s)'!$K175)</f>
        <v>0</v>
      </c>
      <c r="C175" s="163" t="b">
        <f>AND(LEN('Proyecto Datos (OKR´s)'!$G175)&gt;0,NOT($B175),OR(ISNUMBER('Proyecto Datos (OKR´s)'!$F175),ISNUMBER('Proyecto Datos (OKR´s)'!$L175)))</f>
        <v>0</v>
      </c>
      <c r="D175" s="164" t="str">
        <f>IF($C175,IFERROR(LOOKUP(2,1/((ISTEXT('Proyecto Datos (OKR´s)'!$K$7:$K175))*(LEN('Proyecto Datos (OKR´s)'!$G$7:$G175)&gt;0)),'Proyecto Datos (OKR´s)'!$G$7:$G175),""),"")</f>
        <v/>
      </c>
      <c r="E175" s="163" t="str">
        <f>IF($C175,'Proyecto Datos (OKR´s)'!$E175,"")</f>
        <v/>
      </c>
      <c r="F175" s="164" t="str">
        <f>IF($C175,'Proyecto Datos (OKR´s)'!$G175,"")</f>
        <v/>
      </c>
      <c r="G175" s="164" t="str">
        <f>IF($C175,IF('Proyecto Datos (OKR´s)'!$I175="","(Sin asignar)",'Proyecto Datos (OKR´s)'!$I175),"")</f>
        <v/>
      </c>
      <c r="H175" s="163" t="str">
        <f>IF($C175,IF(ISNUMBER('Proyecto Datos (OKR´s)'!$F175),'Proyecto Datos (OKR´s)'!$F175,'Proyecto Datos (OKR´s)'!$L175),"")</f>
        <v/>
      </c>
      <c r="I175" s="163" t="str">
        <f>IF($C175,'Proyecto Datos (OKR´s)'!$J175,"")</f>
        <v/>
      </c>
      <c r="J175" s="164" t="str">
        <f ca="1">IF($C175,IF($I175&gt;=1,"Completado",IF($H175&lt;TODAY(),"Vencido",IF(($H175-TODAY())&lt;='Entregas Próximas'!$M$3,"Próximo a vencer","En curso"))),"")</f>
        <v/>
      </c>
      <c r="K175" s="163" t="str">
        <f t="shared" ca="1" si="107"/>
        <v/>
      </c>
      <c r="L175" s="163" t="str">
        <f t="shared" si="108"/>
        <v/>
      </c>
      <c r="M175" s="163" t="str">
        <f t="shared" si="109"/>
        <v/>
      </c>
      <c r="N175" s="163" t="str">
        <f>IF($C175,IF('Proyecto Datos (OKR´s)'!$E175="",9999,'Proyecto Datos (OKR´s)'!$E175),"")</f>
        <v/>
      </c>
      <c r="O175" s="163" t="str">
        <f t="shared" si="110"/>
        <v/>
      </c>
      <c r="R175" s="163" t="str">
        <f>IF($C175,IF(ISNUMBER('Proyecto Datos (OKR´s)'!$L175),'Proyecto Datos (OKR´s)'!$L175,$H175),"")</f>
        <v/>
      </c>
      <c r="S175" s="163" t="str">
        <f>IF($C175,$R175-'Proyecto Datos (OKR´s)'!$K175+1,"")</f>
        <v/>
      </c>
      <c r="T175" s="163" t="str">
        <f ca="1">IF($C175,MAX(0,TODAY()-'Proyecto Datos (OKR´s)'!$K175),"")</f>
        <v/>
      </c>
      <c r="U175" s="163" t="str">
        <f ca="1">IF($C175,MEDIAN(0,(TODAY()-'Proyecto Datos (OKR´s)'!$K175)/MAX(1,$R175-'Proyecto Datos (OKR´s)'!$K175),1),"")</f>
        <v/>
      </c>
      <c r="V175" s="163" t="str">
        <f t="shared" si="111"/>
        <v/>
      </c>
      <c r="W175" s="163" t="str">
        <f t="shared" ca="1" si="112"/>
        <v/>
      </c>
      <c r="X175" s="163" t="str">
        <f t="shared" si="113"/>
        <v/>
      </c>
      <c r="Y175" s="163" t="str">
        <f t="shared" si="114"/>
        <v/>
      </c>
      <c r="Z175" s="163" t="str">
        <f ca="1">IF($C175,AND($I175=0,'Proyecto Datos (OKR´s)'!$K175&lt;=TODAY(),$J175&lt;&gt;"Completado"),"")</f>
        <v/>
      </c>
      <c r="AA175" s="163" t="str">
        <f t="shared" si="115"/>
        <v/>
      </c>
      <c r="AB175" s="164" t="str">
        <f t="shared" si="116"/>
        <v/>
      </c>
      <c r="AC175" s="164" t="str">
        <f t="shared" si="117"/>
        <v/>
      </c>
      <c r="AD175" s="163" t="str">
        <f>IF($C175,IF($N175=9999,9999,IF($J175="Completado",$N175,MAX($N175,Sprints!$M$15))),"")</f>
        <v/>
      </c>
      <c r="AE175" s="163" t="str">
        <f t="shared" si="118"/>
        <v/>
      </c>
      <c r="AF175" s="163" t="b">
        <f t="shared" si="119"/>
        <v>0</v>
      </c>
      <c r="AG175" s="163" t="str">
        <f t="shared" si="120"/>
        <v/>
      </c>
      <c r="AH175" s="164" t="str">
        <f>IF($AF175,IF(Sprints!$I175&lt;&gt;"",Sprints!$I175,"Comprometida y no completada al cierre del Sprint "&amp;$N175),"")</f>
        <v/>
      </c>
      <c r="AI175" s="163" t="str">
        <f t="shared" si="121"/>
        <v/>
      </c>
      <c r="AJ175" s="163" t="str">
        <f t="shared" si="122"/>
        <v/>
      </c>
      <c r="AK175" s="163" t="str">
        <f t="shared" si="123"/>
        <v/>
      </c>
      <c r="AL175" s="163" t="str">
        <f t="shared" si="124"/>
        <v/>
      </c>
      <c r="AM175" s="163" t="str">
        <f t="shared" si="125"/>
        <v/>
      </c>
      <c r="AN175" s="164" t="str">
        <f t="shared" si="126"/>
        <v/>
      </c>
      <c r="AO175" s="163" t="str">
        <f>IF($C175,IFERROR(INDEX(Sprints!$M$6:$M$13,MATCH($N175,Sprints!$K$6:$K$13,0)),""),"")</f>
        <v/>
      </c>
      <c r="AP175" s="163" t="str">
        <f t="shared" ca="1" si="127"/>
        <v/>
      </c>
    </row>
    <row r="176" spans="1:42" x14ac:dyDescent="0.35">
      <c r="A176" s="163">
        <f>ROW()</f>
        <v>176</v>
      </c>
      <c r="B176" s="163" t="b">
        <f>ISTEXT('Proyecto Datos (OKR´s)'!$K176)</f>
        <v>0</v>
      </c>
      <c r="C176" s="163" t="b">
        <f>AND(LEN('Proyecto Datos (OKR´s)'!$G176)&gt;0,NOT($B176),OR(ISNUMBER('Proyecto Datos (OKR´s)'!$F176),ISNUMBER('Proyecto Datos (OKR´s)'!$L176)))</f>
        <v>0</v>
      </c>
      <c r="D176" s="164" t="str">
        <f>IF($C176,IFERROR(LOOKUP(2,1/((ISTEXT('Proyecto Datos (OKR´s)'!$K$7:$K176))*(LEN('Proyecto Datos (OKR´s)'!$G$7:$G176)&gt;0)),'Proyecto Datos (OKR´s)'!$G$7:$G176),""),"")</f>
        <v/>
      </c>
      <c r="E176" s="163" t="str">
        <f>IF($C176,'Proyecto Datos (OKR´s)'!$E176,"")</f>
        <v/>
      </c>
      <c r="F176" s="164" t="str">
        <f>IF($C176,'Proyecto Datos (OKR´s)'!$G176,"")</f>
        <v/>
      </c>
      <c r="G176" s="164" t="str">
        <f>IF($C176,IF('Proyecto Datos (OKR´s)'!$I176="","(Sin asignar)",'Proyecto Datos (OKR´s)'!$I176),"")</f>
        <v/>
      </c>
      <c r="H176" s="163" t="str">
        <f>IF($C176,IF(ISNUMBER('Proyecto Datos (OKR´s)'!$F176),'Proyecto Datos (OKR´s)'!$F176,'Proyecto Datos (OKR´s)'!$L176),"")</f>
        <v/>
      </c>
      <c r="I176" s="163" t="str">
        <f>IF($C176,'Proyecto Datos (OKR´s)'!$J176,"")</f>
        <v/>
      </c>
      <c r="J176" s="164" t="str">
        <f ca="1">IF($C176,IF($I176&gt;=1,"Completado",IF($H176&lt;TODAY(),"Vencido",IF(($H176-TODAY())&lt;='Entregas Próximas'!$M$3,"Próximo a vencer","En curso"))),"")</f>
        <v/>
      </c>
      <c r="K176" s="163" t="str">
        <f t="shared" ca="1" si="107"/>
        <v/>
      </c>
      <c r="L176" s="163" t="str">
        <f t="shared" si="108"/>
        <v/>
      </c>
      <c r="M176" s="163" t="str">
        <f t="shared" si="109"/>
        <v/>
      </c>
      <c r="N176" s="163" t="str">
        <f>IF($C176,IF('Proyecto Datos (OKR´s)'!$E176="",9999,'Proyecto Datos (OKR´s)'!$E176),"")</f>
        <v/>
      </c>
      <c r="O176" s="163" t="str">
        <f t="shared" si="110"/>
        <v/>
      </c>
      <c r="R176" s="163" t="str">
        <f>IF($C176,IF(ISNUMBER('Proyecto Datos (OKR´s)'!$L176),'Proyecto Datos (OKR´s)'!$L176,$H176),"")</f>
        <v/>
      </c>
      <c r="S176" s="163" t="str">
        <f>IF($C176,$R176-'Proyecto Datos (OKR´s)'!$K176+1,"")</f>
        <v/>
      </c>
      <c r="T176" s="163" t="str">
        <f ca="1">IF($C176,MAX(0,TODAY()-'Proyecto Datos (OKR´s)'!$K176),"")</f>
        <v/>
      </c>
      <c r="U176" s="163" t="str">
        <f ca="1">IF($C176,MEDIAN(0,(TODAY()-'Proyecto Datos (OKR´s)'!$K176)/MAX(1,$R176-'Proyecto Datos (OKR´s)'!$K176),1),"")</f>
        <v/>
      </c>
      <c r="V176" s="163" t="str">
        <f t="shared" si="111"/>
        <v/>
      </c>
      <c r="W176" s="163" t="str">
        <f t="shared" ca="1" si="112"/>
        <v/>
      </c>
      <c r="X176" s="163" t="str">
        <f t="shared" si="113"/>
        <v/>
      </c>
      <c r="Y176" s="163" t="str">
        <f t="shared" si="114"/>
        <v/>
      </c>
      <c r="Z176" s="163" t="str">
        <f ca="1">IF($C176,AND($I176=0,'Proyecto Datos (OKR´s)'!$K176&lt;=TODAY(),$J176&lt;&gt;"Completado"),"")</f>
        <v/>
      </c>
      <c r="AA176" s="163" t="str">
        <f t="shared" si="115"/>
        <v/>
      </c>
      <c r="AB176" s="164" t="str">
        <f t="shared" si="116"/>
        <v/>
      </c>
      <c r="AC176" s="164" t="str">
        <f t="shared" si="117"/>
        <v/>
      </c>
      <c r="AD176" s="163" t="str">
        <f>IF($C176,IF($N176=9999,9999,IF($J176="Completado",$N176,MAX($N176,Sprints!$M$15))),"")</f>
        <v/>
      </c>
      <c r="AE176" s="163" t="str">
        <f t="shared" si="118"/>
        <v/>
      </c>
      <c r="AF176" s="163" t="b">
        <f t="shared" si="119"/>
        <v>0</v>
      </c>
      <c r="AG176" s="163" t="str">
        <f t="shared" si="120"/>
        <v/>
      </c>
      <c r="AH176" s="164" t="str">
        <f>IF($AF176,IF(Sprints!$I176&lt;&gt;"",Sprints!$I176,"Comprometida y no completada al cierre del Sprint "&amp;$N176),"")</f>
        <v/>
      </c>
      <c r="AI176" s="163" t="str">
        <f t="shared" si="121"/>
        <v/>
      </c>
      <c r="AJ176" s="163" t="str">
        <f t="shared" si="122"/>
        <v/>
      </c>
      <c r="AK176" s="163" t="str">
        <f t="shared" si="123"/>
        <v/>
      </c>
      <c r="AL176" s="163" t="str">
        <f t="shared" si="124"/>
        <v/>
      </c>
      <c r="AM176" s="163" t="str">
        <f t="shared" si="125"/>
        <v/>
      </c>
      <c r="AN176" s="164" t="str">
        <f t="shared" si="126"/>
        <v/>
      </c>
      <c r="AO176" s="163" t="str">
        <f>IF($C176,IFERROR(INDEX(Sprints!$M$6:$M$13,MATCH($N176,Sprints!$K$6:$K$13,0)),""),"")</f>
        <v/>
      </c>
      <c r="AP176" s="163" t="str">
        <f t="shared" ca="1" si="127"/>
        <v/>
      </c>
    </row>
    <row r="177" spans="1:42" x14ac:dyDescent="0.35">
      <c r="A177" s="163">
        <f>ROW()</f>
        <v>177</v>
      </c>
      <c r="B177" s="163" t="b">
        <f>ISTEXT('Proyecto Datos (OKR´s)'!$K177)</f>
        <v>0</v>
      </c>
      <c r="C177" s="163" t="b">
        <f>AND(LEN('Proyecto Datos (OKR´s)'!$G177)&gt;0,NOT($B177),OR(ISNUMBER('Proyecto Datos (OKR´s)'!$F177),ISNUMBER('Proyecto Datos (OKR´s)'!$L177)))</f>
        <v>0</v>
      </c>
      <c r="D177" s="164" t="str">
        <f>IF($C177,IFERROR(LOOKUP(2,1/((ISTEXT('Proyecto Datos (OKR´s)'!$K$7:$K177))*(LEN('Proyecto Datos (OKR´s)'!$G$7:$G177)&gt;0)),'Proyecto Datos (OKR´s)'!$G$7:$G177),""),"")</f>
        <v/>
      </c>
      <c r="E177" s="163" t="str">
        <f>IF($C177,'Proyecto Datos (OKR´s)'!$E177,"")</f>
        <v/>
      </c>
      <c r="F177" s="164" t="str">
        <f>IF($C177,'Proyecto Datos (OKR´s)'!$G177,"")</f>
        <v/>
      </c>
      <c r="G177" s="164" t="str">
        <f>IF($C177,IF('Proyecto Datos (OKR´s)'!$I177="","(Sin asignar)",'Proyecto Datos (OKR´s)'!$I177),"")</f>
        <v/>
      </c>
      <c r="H177" s="163" t="str">
        <f>IF($C177,IF(ISNUMBER('Proyecto Datos (OKR´s)'!$F177),'Proyecto Datos (OKR´s)'!$F177,'Proyecto Datos (OKR´s)'!$L177),"")</f>
        <v/>
      </c>
      <c r="I177" s="163" t="str">
        <f>IF($C177,'Proyecto Datos (OKR´s)'!$J177,"")</f>
        <v/>
      </c>
      <c r="J177" s="164" t="str">
        <f ca="1">IF($C177,IF($I177&gt;=1,"Completado",IF($H177&lt;TODAY(),"Vencido",IF(($H177-TODAY())&lt;='Entregas Próximas'!$M$3,"Próximo a vencer","En curso"))),"")</f>
        <v/>
      </c>
      <c r="K177" s="163" t="str">
        <f t="shared" ca="1" si="107"/>
        <v/>
      </c>
      <c r="L177" s="163" t="str">
        <f t="shared" si="108"/>
        <v/>
      </c>
      <c r="M177" s="163" t="str">
        <f t="shared" si="109"/>
        <v/>
      </c>
      <c r="N177" s="163" t="str">
        <f>IF($C177,IF('Proyecto Datos (OKR´s)'!$E177="",9999,'Proyecto Datos (OKR´s)'!$E177),"")</f>
        <v/>
      </c>
      <c r="O177" s="163" t="str">
        <f t="shared" si="110"/>
        <v/>
      </c>
      <c r="R177" s="163" t="str">
        <f>IF($C177,IF(ISNUMBER('Proyecto Datos (OKR´s)'!$L177),'Proyecto Datos (OKR´s)'!$L177,$H177),"")</f>
        <v/>
      </c>
      <c r="S177" s="163" t="str">
        <f>IF($C177,$R177-'Proyecto Datos (OKR´s)'!$K177+1,"")</f>
        <v/>
      </c>
      <c r="T177" s="163" t="str">
        <f ca="1">IF($C177,MAX(0,TODAY()-'Proyecto Datos (OKR´s)'!$K177),"")</f>
        <v/>
      </c>
      <c r="U177" s="163" t="str">
        <f ca="1">IF($C177,MEDIAN(0,(TODAY()-'Proyecto Datos (OKR´s)'!$K177)/MAX(1,$R177-'Proyecto Datos (OKR´s)'!$K177),1),"")</f>
        <v/>
      </c>
      <c r="V177" s="163" t="str">
        <f t="shared" si="111"/>
        <v/>
      </c>
      <c r="W177" s="163" t="str">
        <f t="shared" ca="1" si="112"/>
        <v/>
      </c>
      <c r="X177" s="163" t="str">
        <f t="shared" si="113"/>
        <v/>
      </c>
      <c r="Y177" s="163" t="str">
        <f t="shared" si="114"/>
        <v/>
      </c>
      <c r="Z177" s="163" t="str">
        <f ca="1">IF($C177,AND($I177=0,'Proyecto Datos (OKR´s)'!$K177&lt;=TODAY(),$J177&lt;&gt;"Completado"),"")</f>
        <v/>
      </c>
      <c r="AA177" s="163" t="str">
        <f t="shared" si="115"/>
        <v/>
      </c>
      <c r="AB177" s="164" t="str">
        <f t="shared" si="116"/>
        <v/>
      </c>
      <c r="AC177" s="164" t="str">
        <f t="shared" si="117"/>
        <v/>
      </c>
      <c r="AD177" s="163" t="str">
        <f>IF($C177,IF($N177=9999,9999,IF($J177="Completado",$N177,MAX($N177,Sprints!$M$15))),"")</f>
        <v/>
      </c>
      <c r="AE177" s="163" t="str">
        <f t="shared" si="118"/>
        <v/>
      </c>
      <c r="AF177" s="163" t="b">
        <f t="shared" si="119"/>
        <v>0</v>
      </c>
      <c r="AG177" s="163" t="str">
        <f t="shared" si="120"/>
        <v/>
      </c>
      <c r="AH177" s="164" t="str">
        <f>IF($AF177,IF(Sprints!$I177&lt;&gt;"",Sprints!$I177,"Comprometida y no completada al cierre del Sprint "&amp;$N177),"")</f>
        <v/>
      </c>
      <c r="AI177" s="163" t="str">
        <f t="shared" si="121"/>
        <v/>
      </c>
      <c r="AJ177" s="163" t="str">
        <f t="shared" si="122"/>
        <v/>
      </c>
      <c r="AK177" s="163" t="str">
        <f t="shared" si="123"/>
        <v/>
      </c>
      <c r="AL177" s="163" t="str">
        <f t="shared" si="124"/>
        <v/>
      </c>
      <c r="AM177" s="163" t="str">
        <f t="shared" si="125"/>
        <v/>
      </c>
      <c r="AN177" s="164" t="str">
        <f t="shared" si="126"/>
        <v/>
      </c>
      <c r="AO177" s="163" t="str">
        <f>IF($C177,IFERROR(INDEX(Sprints!$M$6:$M$13,MATCH($N177,Sprints!$K$6:$K$13,0)),""),"")</f>
        <v/>
      </c>
      <c r="AP177" s="163" t="str">
        <f t="shared" ca="1" si="127"/>
        <v/>
      </c>
    </row>
    <row r="178" spans="1:42" x14ac:dyDescent="0.35">
      <c r="A178" s="163">
        <f>ROW()</f>
        <v>178</v>
      </c>
      <c r="B178" s="163" t="b">
        <f>ISTEXT('Proyecto Datos (OKR´s)'!$K178)</f>
        <v>0</v>
      </c>
      <c r="C178" s="163" t="b">
        <f>AND(LEN('Proyecto Datos (OKR´s)'!$G178)&gt;0,NOT($B178),OR(ISNUMBER('Proyecto Datos (OKR´s)'!$F178),ISNUMBER('Proyecto Datos (OKR´s)'!$L178)))</f>
        <v>0</v>
      </c>
      <c r="D178" s="164" t="str">
        <f>IF($C178,IFERROR(LOOKUP(2,1/((ISTEXT('Proyecto Datos (OKR´s)'!$K$7:$K178))*(LEN('Proyecto Datos (OKR´s)'!$G$7:$G178)&gt;0)),'Proyecto Datos (OKR´s)'!$G$7:$G178),""),"")</f>
        <v/>
      </c>
      <c r="E178" s="163" t="str">
        <f>IF($C178,'Proyecto Datos (OKR´s)'!$E178,"")</f>
        <v/>
      </c>
      <c r="F178" s="164" t="str">
        <f>IF($C178,'Proyecto Datos (OKR´s)'!$G178,"")</f>
        <v/>
      </c>
      <c r="G178" s="164" t="str">
        <f>IF($C178,IF('Proyecto Datos (OKR´s)'!$I178="","(Sin asignar)",'Proyecto Datos (OKR´s)'!$I178),"")</f>
        <v/>
      </c>
      <c r="H178" s="163" t="str">
        <f>IF($C178,IF(ISNUMBER('Proyecto Datos (OKR´s)'!$F178),'Proyecto Datos (OKR´s)'!$F178,'Proyecto Datos (OKR´s)'!$L178),"")</f>
        <v/>
      </c>
      <c r="I178" s="163" t="str">
        <f>IF($C178,'Proyecto Datos (OKR´s)'!$J178,"")</f>
        <v/>
      </c>
      <c r="J178" s="164" t="str">
        <f ca="1">IF($C178,IF($I178&gt;=1,"Completado",IF($H178&lt;TODAY(),"Vencido",IF(($H178-TODAY())&lt;='Entregas Próximas'!$M$3,"Próximo a vencer","En curso"))),"")</f>
        <v/>
      </c>
      <c r="K178" s="163" t="str">
        <f t="shared" ca="1" si="107"/>
        <v/>
      </c>
      <c r="L178" s="163" t="str">
        <f t="shared" si="108"/>
        <v/>
      </c>
      <c r="M178" s="163" t="str">
        <f t="shared" si="109"/>
        <v/>
      </c>
      <c r="N178" s="163" t="str">
        <f>IF($C178,IF('Proyecto Datos (OKR´s)'!$E178="",9999,'Proyecto Datos (OKR´s)'!$E178),"")</f>
        <v/>
      </c>
      <c r="O178" s="163" t="str">
        <f t="shared" si="110"/>
        <v/>
      </c>
      <c r="R178" s="163" t="str">
        <f>IF($C178,IF(ISNUMBER('Proyecto Datos (OKR´s)'!$L178),'Proyecto Datos (OKR´s)'!$L178,$H178),"")</f>
        <v/>
      </c>
      <c r="S178" s="163" t="str">
        <f>IF($C178,$R178-'Proyecto Datos (OKR´s)'!$K178+1,"")</f>
        <v/>
      </c>
      <c r="T178" s="163" t="str">
        <f ca="1">IF($C178,MAX(0,TODAY()-'Proyecto Datos (OKR´s)'!$K178),"")</f>
        <v/>
      </c>
      <c r="U178" s="163" t="str">
        <f ca="1">IF($C178,MEDIAN(0,(TODAY()-'Proyecto Datos (OKR´s)'!$K178)/MAX(1,$R178-'Proyecto Datos (OKR´s)'!$K178),1),"")</f>
        <v/>
      </c>
      <c r="V178" s="163" t="str">
        <f t="shared" si="111"/>
        <v/>
      </c>
      <c r="W178" s="163" t="str">
        <f t="shared" ca="1" si="112"/>
        <v/>
      </c>
      <c r="X178" s="163" t="str">
        <f t="shared" si="113"/>
        <v/>
      </c>
      <c r="Y178" s="163" t="str">
        <f t="shared" si="114"/>
        <v/>
      </c>
      <c r="Z178" s="163" t="str">
        <f ca="1">IF($C178,AND($I178=0,'Proyecto Datos (OKR´s)'!$K178&lt;=TODAY(),$J178&lt;&gt;"Completado"),"")</f>
        <v/>
      </c>
      <c r="AA178" s="163" t="str">
        <f t="shared" si="115"/>
        <v/>
      </c>
      <c r="AB178" s="164" t="str">
        <f t="shared" si="116"/>
        <v/>
      </c>
      <c r="AC178" s="164" t="str">
        <f t="shared" si="117"/>
        <v/>
      </c>
      <c r="AD178" s="163" t="str">
        <f>IF($C178,IF($N178=9999,9999,IF($J178="Completado",$N178,MAX($N178,Sprints!$M$15))),"")</f>
        <v/>
      </c>
      <c r="AE178" s="163" t="str">
        <f t="shared" si="118"/>
        <v/>
      </c>
      <c r="AF178" s="163" t="b">
        <f t="shared" si="119"/>
        <v>0</v>
      </c>
      <c r="AG178" s="163" t="str">
        <f t="shared" si="120"/>
        <v/>
      </c>
      <c r="AH178" s="164" t="str">
        <f>IF($AF178,IF(Sprints!$I178&lt;&gt;"",Sprints!$I178,"Comprometida y no completada al cierre del Sprint "&amp;$N178),"")</f>
        <v/>
      </c>
      <c r="AI178" s="163" t="str">
        <f t="shared" si="121"/>
        <v/>
      </c>
      <c r="AJ178" s="163" t="str">
        <f t="shared" si="122"/>
        <v/>
      </c>
      <c r="AK178" s="163" t="str">
        <f t="shared" si="123"/>
        <v/>
      </c>
      <c r="AL178" s="163" t="str">
        <f t="shared" si="124"/>
        <v/>
      </c>
      <c r="AM178" s="163" t="str">
        <f t="shared" si="125"/>
        <v/>
      </c>
      <c r="AN178" s="164" t="str">
        <f t="shared" si="126"/>
        <v/>
      </c>
      <c r="AO178" s="163" t="str">
        <f>IF($C178,IFERROR(INDEX(Sprints!$M$6:$M$13,MATCH($N178,Sprints!$K$6:$K$13,0)),""),"")</f>
        <v/>
      </c>
      <c r="AP178" s="163" t="str">
        <f t="shared" ca="1" si="127"/>
        <v/>
      </c>
    </row>
    <row r="179" spans="1:42" x14ac:dyDescent="0.35">
      <c r="A179" s="163">
        <f>ROW()</f>
        <v>179</v>
      </c>
      <c r="B179" s="163" t="b">
        <f>ISTEXT('Proyecto Datos (OKR´s)'!$K179)</f>
        <v>0</v>
      </c>
      <c r="C179" s="163" t="b">
        <f>AND(LEN('Proyecto Datos (OKR´s)'!$G179)&gt;0,NOT($B179),OR(ISNUMBER('Proyecto Datos (OKR´s)'!$F179),ISNUMBER('Proyecto Datos (OKR´s)'!$L179)))</f>
        <v>0</v>
      </c>
      <c r="D179" s="164" t="str">
        <f>IF($C179,IFERROR(LOOKUP(2,1/((ISTEXT('Proyecto Datos (OKR´s)'!$K$7:$K179))*(LEN('Proyecto Datos (OKR´s)'!$G$7:$G179)&gt;0)),'Proyecto Datos (OKR´s)'!$G$7:$G179),""),"")</f>
        <v/>
      </c>
      <c r="E179" s="163" t="str">
        <f>IF($C179,'Proyecto Datos (OKR´s)'!$E179,"")</f>
        <v/>
      </c>
      <c r="F179" s="164" t="str">
        <f>IF($C179,'Proyecto Datos (OKR´s)'!$G179,"")</f>
        <v/>
      </c>
      <c r="G179" s="164" t="str">
        <f>IF($C179,IF('Proyecto Datos (OKR´s)'!$I179="","(Sin asignar)",'Proyecto Datos (OKR´s)'!$I179),"")</f>
        <v/>
      </c>
      <c r="H179" s="163" t="str">
        <f>IF($C179,IF(ISNUMBER('Proyecto Datos (OKR´s)'!$F179),'Proyecto Datos (OKR´s)'!$F179,'Proyecto Datos (OKR´s)'!$L179),"")</f>
        <v/>
      </c>
      <c r="I179" s="163" t="str">
        <f>IF($C179,'Proyecto Datos (OKR´s)'!$J179,"")</f>
        <v/>
      </c>
      <c r="J179" s="164" t="str">
        <f ca="1">IF($C179,IF($I179&gt;=1,"Completado",IF($H179&lt;TODAY(),"Vencido",IF(($H179-TODAY())&lt;='Entregas Próximas'!$M$3,"Próximo a vencer","En curso"))),"")</f>
        <v/>
      </c>
      <c r="K179" s="163" t="str">
        <f t="shared" ca="1" si="107"/>
        <v/>
      </c>
      <c r="L179" s="163" t="str">
        <f t="shared" si="108"/>
        <v/>
      </c>
      <c r="M179" s="163" t="str">
        <f t="shared" si="109"/>
        <v/>
      </c>
      <c r="N179" s="163" t="str">
        <f>IF($C179,IF('Proyecto Datos (OKR´s)'!$E179="",9999,'Proyecto Datos (OKR´s)'!$E179),"")</f>
        <v/>
      </c>
      <c r="O179" s="163" t="str">
        <f t="shared" si="110"/>
        <v/>
      </c>
      <c r="R179" s="163" t="str">
        <f>IF($C179,IF(ISNUMBER('Proyecto Datos (OKR´s)'!$L179),'Proyecto Datos (OKR´s)'!$L179,$H179),"")</f>
        <v/>
      </c>
      <c r="S179" s="163" t="str">
        <f>IF($C179,$R179-'Proyecto Datos (OKR´s)'!$K179+1,"")</f>
        <v/>
      </c>
      <c r="T179" s="163" t="str">
        <f ca="1">IF($C179,MAX(0,TODAY()-'Proyecto Datos (OKR´s)'!$K179),"")</f>
        <v/>
      </c>
      <c r="U179" s="163" t="str">
        <f ca="1">IF($C179,MEDIAN(0,(TODAY()-'Proyecto Datos (OKR´s)'!$K179)/MAX(1,$R179-'Proyecto Datos (OKR´s)'!$K179),1),"")</f>
        <v/>
      </c>
      <c r="V179" s="163" t="str">
        <f t="shared" si="111"/>
        <v/>
      </c>
      <c r="W179" s="163" t="str">
        <f t="shared" ca="1" si="112"/>
        <v/>
      </c>
      <c r="X179" s="163" t="str">
        <f t="shared" si="113"/>
        <v/>
      </c>
      <c r="Y179" s="163" t="str">
        <f t="shared" si="114"/>
        <v/>
      </c>
      <c r="Z179" s="163" t="str">
        <f ca="1">IF($C179,AND($I179=0,'Proyecto Datos (OKR´s)'!$K179&lt;=TODAY(),$J179&lt;&gt;"Completado"),"")</f>
        <v/>
      </c>
      <c r="AA179" s="163" t="str">
        <f t="shared" si="115"/>
        <v/>
      </c>
      <c r="AB179" s="164" t="str">
        <f t="shared" si="116"/>
        <v/>
      </c>
      <c r="AC179" s="164" t="str">
        <f t="shared" si="117"/>
        <v/>
      </c>
      <c r="AD179" s="163" t="str">
        <f>IF($C179,IF($N179=9999,9999,IF($J179="Completado",$N179,MAX($N179,Sprints!$M$15))),"")</f>
        <v/>
      </c>
      <c r="AE179" s="163" t="str">
        <f t="shared" si="118"/>
        <v/>
      </c>
      <c r="AF179" s="163" t="b">
        <f t="shared" si="119"/>
        <v>0</v>
      </c>
      <c r="AG179" s="163" t="str">
        <f t="shared" si="120"/>
        <v/>
      </c>
      <c r="AH179" s="164" t="str">
        <f>IF($AF179,IF(Sprints!$I179&lt;&gt;"",Sprints!$I179,"Comprometida y no completada al cierre del Sprint "&amp;$N179),"")</f>
        <v/>
      </c>
      <c r="AI179" s="163" t="str">
        <f t="shared" si="121"/>
        <v/>
      </c>
      <c r="AJ179" s="163" t="str">
        <f t="shared" si="122"/>
        <v/>
      </c>
      <c r="AK179" s="163" t="str">
        <f t="shared" si="123"/>
        <v/>
      </c>
      <c r="AL179" s="163" t="str">
        <f t="shared" si="124"/>
        <v/>
      </c>
      <c r="AM179" s="163" t="str">
        <f t="shared" si="125"/>
        <v/>
      </c>
      <c r="AN179" s="164" t="str">
        <f t="shared" si="126"/>
        <v/>
      </c>
      <c r="AO179" s="163" t="str">
        <f>IF($C179,IFERROR(INDEX(Sprints!$M$6:$M$13,MATCH($N179,Sprints!$K$6:$K$13,0)),""),"")</f>
        <v/>
      </c>
      <c r="AP179" s="163" t="str">
        <f t="shared" ca="1" si="127"/>
        <v/>
      </c>
    </row>
    <row r="180" spans="1:42" x14ac:dyDescent="0.35">
      <c r="A180" s="163">
        <f>ROW()</f>
        <v>180</v>
      </c>
      <c r="B180" s="163" t="b">
        <f>ISTEXT('Proyecto Datos (OKR´s)'!$K180)</f>
        <v>0</v>
      </c>
      <c r="C180" s="163" t="b">
        <f>AND(LEN('Proyecto Datos (OKR´s)'!$G180)&gt;0,NOT($B180),OR(ISNUMBER('Proyecto Datos (OKR´s)'!$F180),ISNUMBER('Proyecto Datos (OKR´s)'!$L180)))</f>
        <v>0</v>
      </c>
      <c r="D180" s="164" t="str">
        <f>IF($C180,IFERROR(LOOKUP(2,1/((ISTEXT('Proyecto Datos (OKR´s)'!$K$7:$K180))*(LEN('Proyecto Datos (OKR´s)'!$G$7:$G180)&gt;0)),'Proyecto Datos (OKR´s)'!$G$7:$G180),""),"")</f>
        <v/>
      </c>
      <c r="E180" s="163" t="str">
        <f>IF($C180,'Proyecto Datos (OKR´s)'!$E180,"")</f>
        <v/>
      </c>
      <c r="F180" s="164" t="str">
        <f>IF($C180,'Proyecto Datos (OKR´s)'!$G180,"")</f>
        <v/>
      </c>
      <c r="G180" s="164" t="str">
        <f>IF($C180,IF('Proyecto Datos (OKR´s)'!$I180="","(Sin asignar)",'Proyecto Datos (OKR´s)'!$I180),"")</f>
        <v/>
      </c>
      <c r="H180" s="163" t="str">
        <f>IF($C180,IF(ISNUMBER('Proyecto Datos (OKR´s)'!$F180),'Proyecto Datos (OKR´s)'!$F180,'Proyecto Datos (OKR´s)'!$L180),"")</f>
        <v/>
      </c>
      <c r="I180" s="163" t="str">
        <f>IF($C180,'Proyecto Datos (OKR´s)'!$J180,"")</f>
        <v/>
      </c>
      <c r="J180" s="164" t="str">
        <f ca="1">IF($C180,IF($I180&gt;=1,"Completado",IF($H180&lt;TODAY(),"Vencido",IF(($H180-TODAY())&lt;='Entregas Próximas'!$M$3,"Próximo a vencer","En curso"))),"")</f>
        <v/>
      </c>
      <c r="K180" s="163" t="str">
        <f t="shared" ca="1" si="107"/>
        <v/>
      </c>
      <c r="L180" s="163" t="str">
        <f t="shared" si="108"/>
        <v/>
      </c>
      <c r="M180" s="163" t="str">
        <f t="shared" si="109"/>
        <v/>
      </c>
      <c r="N180" s="163" t="str">
        <f>IF($C180,IF('Proyecto Datos (OKR´s)'!$E180="",9999,'Proyecto Datos (OKR´s)'!$E180),"")</f>
        <v/>
      </c>
      <c r="O180" s="163" t="str">
        <f t="shared" si="110"/>
        <v/>
      </c>
      <c r="R180" s="163" t="str">
        <f>IF($C180,IF(ISNUMBER('Proyecto Datos (OKR´s)'!$L180),'Proyecto Datos (OKR´s)'!$L180,$H180),"")</f>
        <v/>
      </c>
      <c r="S180" s="163" t="str">
        <f>IF($C180,$R180-'Proyecto Datos (OKR´s)'!$K180+1,"")</f>
        <v/>
      </c>
      <c r="T180" s="163" t="str">
        <f ca="1">IF($C180,MAX(0,TODAY()-'Proyecto Datos (OKR´s)'!$K180),"")</f>
        <v/>
      </c>
      <c r="U180" s="163" t="str">
        <f ca="1">IF($C180,MEDIAN(0,(TODAY()-'Proyecto Datos (OKR´s)'!$K180)/MAX(1,$R180-'Proyecto Datos (OKR´s)'!$K180),1),"")</f>
        <v/>
      </c>
      <c r="V180" s="163" t="str">
        <f t="shared" si="111"/>
        <v/>
      </c>
      <c r="W180" s="163" t="str">
        <f t="shared" ca="1" si="112"/>
        <v/>
      </c>
      <c r="X180" s="163" t="str">
        <f t="shared" si="113"/>
        <v/>
      </c>
      <c r="Y180" s="163" t="str">
        <f t="shared" si="114"/>
        <v/>
      </c>
      <c r="Z180" s="163" t="str">
        <f ca="1">IF($C180,AND($I180=0,'Proyecto Datos (OKR´s)'!$K180&lt;=TODAY(),$J180&lt;&gt;"Completado"),"")</f>
        <v/>
      </c>
      <c r="AA180" s="163" t="str">
        <f t="shared" si="115"/>
        <v/>
      </c>
      <c r="AB180" s="164" t="str">
        <f t="shared" si="116"/>
        <v/>
      </c>
      <c r="AC180" s="164" t="str">
        <f t="shared" si="117"/>
        <v/>
      </c>
      <c r="AD180" s="163" t="str">
        <f>IF($C180,IF($N180=9999,9999,IF($J180="Completado",$N180,MAX($N180,Sprints!$M$15))),"")</f>
        <v/>
      </c>
      <c r="AE180" s="163" t="str">
        <f t="shared" si="118"/>
        <v/>
      </c>
      <c r="AF180" s="163" t="b">
        <f t="shared" si="119"/>
        <v>0</v>
      </c>
      <c r="AG180" s="163" t="str">
        <f t="shared" si="120"/>
        <v/>
      </c>
      <c r="AH180" s="164" t="str">
        <f>IF($AF180,IF(Sprints!$I180&lt;&gt;"",Sprints!$I180,"Comprometida y no completada al cierre del Sprint "&amp;$N180),"")</f>
        <v/>
      </c>
      <c r="AI180" s="163" t="str">
        <f t="shared" si="121"/>
        <v/>
      </c>
      <c r="AJ180" s="163" t="str">
        <f t="shared" si="122"/>
        <v/>
      </c>
      <c r="AK180" s="163" t="str">
        <f t="shared" si="123"/>
        <v/>
      </c>
      <c r="AL180" s="163" t="str">
        <f t="shared" si="124"/>
        <v/>
      </c>
      <c r="AM180" s="163" t="str">
        <f t="shared" si="125"/>
        <v/>
      </c>
      <c r="AN180" s="164" t="str">
        <f t="shared" si="126"/>
        <v/>
      </c>
      <c r="AO180" s="163" t="str">
        <f>IF($C180,IFERROR(INDEX(Sprints!$M$6:$M$13,MATCH($N180,Sprints!$K$6:$K$13,0)),""),"")</f>
        <v/>
      </c>
      <c r="AP180" s="163" t="str">
        <f t="shared" ca="1" si="127"/>
        <v/>
      </c>
    </row>
    <row r="181" spans="1:42" x14ac:dyDescent="0.35">
      <c r="A181" s="163">
        <f>ROW()</f>
        <v>181</v>
      </c>
      <c r="B181" s="163" t="b">
        <f>ISTEXT('Proyecto Datos (OKR´s)'!$K181)</f>
        <v>0</v>
      </c>
      <c r="C181" s="163" t="b">
        <f>AND(LEN('Proyecto Datos (OKR´s)'!$G181)&gt;0,NOT($B181),OR(ISNUMBER('Proyecto Datos (OKR´s)'!$F181),ISNUMBER('Proyecto Datos (OKR´s)'!$L181)))</f>
        <v>0</v>
      </c>
      <c r="D181" s="164" t="str">
        <f>IF($C181,IFERROR(LOOKUP(2,1/((ISTEXT('Proyecto Datos (OKR´s)'!$K$7:$K181))*(LEN('Proyecto Datos (OKR´s)'!$G$7:$G181)&gt;0)),'Proyecto Datos (OKR´s)'!$G$7:$G181),""),"")</f>
        <v/>
      </c>
      <c r="E181" s="163" t="str">
        <f>IF($C181,'Proyecto Datos (OKR´s)'!$E181,"")</f>
        <v/>
      </c>
      <c r="F181" s="164" t="str">
        <f>IF($C181,'Proyecto Datos (OKR´s)'!$G181,"")</f>
        <v/>
      </c>
      <c r="G181" s="164" t="str">
        <f>IF($C181,IF('Proyecto Datos (OKR´s)'!$I181="","(Sin asignar)",'Proyecto Datos (OKR´s)'!$I181),"")</f>
        <v/>
      </c>
      <c r="H181" s="163" t="str">
        <f>IF($C181,IF(ISNUMBER('Proyecto Datos (OKR´s)'!$F181),'Proyecto Datos (OKR´s)'!$F181,'Proyecto Datos (OKR´s)'!$L181),"")</f>
        <v/>
      </c>
      <c r="I181" s="163" t="str">
        <f>IF($C181,'Proyecto Datos (OKR´s)'!$J181,"")</f>
        <v/>
      </c>
      <c r="J181" s="164" t="str">
        <f ca="1">IF($C181,IF($I181&gt;=1,"Completado",IF($H181&lt;TODAY(),"Vencido",IF(($H181-TODAY())&lt;='Entregas Próximas'!$M$3,"Próximo a vencer","En curso"))),"")</f>
        <v/>
      </c>
      <c r="K181" s="163" t="str">
        <f t="shared" ca="1" si="107"/>
        <v/>
      </c>
      <c r="L181" s="163" t="str">
        <f t="shared" si="108"/>
        <v/>
      </c>
      <c r="M181" s="163" t="str">
        <f t="shared" si="109"/>
        <v/>
      </c>
      <c r="N181" s="163" t="str">
        <f>IF($C181,IF('Proyecto Datos (OKR´s)'!$E181="",9999,'Proyecto Datos (OKR´s)'!$E181),"")</f>
        <v/>
      </c>
      <c r="O181" s="163" t="str">
        <f t="shared" si="110"/>
        <v/>
      </c>
      <c r="R181" s="163" t="str">
        <f>IF($C181,IF(ISNUMBER('Proyecto Datos (OKR´s)'!$L181),'Proyecto Datos (OKR´s)'!$L181,$H181),"")</f>
        <v/>
      </c>
      <c r="S181" s="163" t="str">
        <f>IF($C181,$R181-'Proyecto Datos (OKR´s)'!$K181+1,"")</f>
        <v/>
      </c>
      <c r="T181" s="163" t="str">
        <f ca="1">IF($C181,MAX(0,TODAY()-'Proyecto Datos (OKR´s)'!$K181),"")</f>
        <v/>
      </c>
      <c r="U181" s="163" t="str">
        <f ca="1">IF($C181,MEDIAN(0,(TODAY()-'Proyecto Datos (OKR´s)'!$K181)/MAX(1,$R181-'Proyecto Datos (OKR´s)'!$K181),1),"")</f>
        <v/>
      </c>
      <c r="V181" s="163" t="str">
        <f t="shared" si="111"/>
        <v/>
      </c>
      <c r="W181" s="163" t="str">
        <f t="shared" ca="1" si="112"/>
        <v/>
      </c>
      <c r="X181" s="163" t="str">
        <f t="shared" si="113"/>
        <v/>
      </c>
      <c r="Y181" s="163" t="str">
        <f t="shared" si="114"/>
        <v/>
      </c>
      <c r="Z181" s="163" t="str">
        <f ca="1">IF($C181,AND($I181=0,'Proyecto Datos (OKR´s)'!$K181&lt;=TODAY(),$J181&lt;&gt;"Completado"),"")</f>
        <v/>
      </c>
      <c r="AA181" s="163" t="str">
        <f t="shared" si="115"/>
        <v/>
      </c>
      <c r="AB181" s="164" t="str">
        <f t="shared" si="116"/>
        <v/>
      </c>
      <c r="AC181" s="164" t="str">
        <f t="shared" si="117"/>
        <v/>
      </c>
      <c r="AD181" s="163" t="str">
        <f>IF($C181,IF($N181=9999,9999,IF($J181="Completado",$N181,MAX($N181,Sprints!$M$15))),"")</f>
        <v/>
      </c>
      <c r="AE181" s="163" t="str">
        <f t="shared" si="118"/>
        <v/>
      </c>
      <c r="AF181" s="163" t="b">
        <f t="shared" si="119"/>
        <v>0</v>
      </c>
      <c r="AG181" s="163" t="str">
        <f t="shared" si="120"/>
        <v/>
      </c>
      <c r="AH181" s="164" t="str">
        <f>IF($AF181,IF(Sprints!$I181&lt;&gt;"",Sprints!$I181,"Comprometida y no completada al cierre del Sprint "&amp;$N181),"")</f>
        <v/>
      </c>
      <c r="AI181" s="163" t="str">
        <f t="shared" si="121"/>
        <v/>
      </c>
      <c r="AJ181" s="163" t="str">
        <f t="shared" si="122"/>
        <v/>
      </c>
      <c r="AK181" s="163" t="str">
        <f t="shared" si="123"/>
        <v/>
      </c>
      <c r="AL181" s="163" t="str">
        <f t="shared" si="124"/>
        <v/>
      </c>
      <c r="AM181" s="163" t="str">
        <f t="shared" si="125"/>
        <v/>
      </c>
      <c r="AN181" s="164" t="str">
        <f t="shared" si="126"/>
        <v/>
      </c>
      <c r="AO181" s="163" t="str">
        <f>IF($C181,IFERROR(INDEX(Sprints!$M$6:$M$13,MATCH($N181,Sprints!$K$6:$K$13,0)),""),"")</f>
        <v/>
      </c>
      <c r="AP181" s="163" t="str">
        <f t="shared" ca="1" si="127"/>
        <v/>
      </c>
    </row>
    <row r="182" spans="1:42" x14ac:dyDescent="0.35">
      <c r="A182" s="163">
        <f>ROW()</f>
        <v>182</v>
      </c>
      <c r="B182" s="163" t="b">
        <f>ISTEXT('Proyecto Datos (OKR´s)'!$K182)</f>
        <v>0</v>
      </c>
      <c r="C182" s="163" t="b">
        <f>AND(LEN('Proyecto Datos (OKR´s)'!$G182)&gt;0,NOT($B182),OR(ISNUMBER('Proyecto Datos (OKR´s)'!$F182),ISNUMBER('Proyecto Datos (OKR´s)'!$L182)))</f>
        <v>0</v>
      </c>
      <c r="D182" s="164" t="str">
        <f>IF($C182,IFERROR(LOOKUP(2,1/((ISTEXT('Proyecto Datos (OKR´s)'!$K$7:$K182))*(LEN('Proyecto Datos (OKR´s)'!$G$7:$G182)&gt;0)),'Proyecto Datos (OKR´s)'!$G$7:$G182),""),"")</f>
        <v/>
      </c>
      <c r="E182" s="163" t="str">
        <f>IF($C182,'Proyecto Datos (OKR´s)'!$E182,"")</f>
        <v/>
      </c>
      <c r="F182" s="164" t="str">
        <f>IF($C182,'Proyecto Datos (OKR´s)'!$G182,"")</f>
        <v/>
      </c>
      <c r="G182" s="164" t="str">
        <f>IF($C182,IF('Proyecto Datos (OKR´s)'!$I182="","(Sin asignar)",'Proyecto Datos (OKR´s)'!$I182),"")</f>
        <v/>
      </c>
      <c r="H182" s="163" t="str">
        <f>IF($C182,IF(ISNUMBER('Proyecto Datos (OKR´s)'!$F182),'Proyecto Datos (OKR´s)'!$F182,'Proyecto Datos (OKR´s)'!$L182),"")</f>
        <v/>
      </c>
      <c r="I182" s="163" t="str">
        <f>IF($C182,'Proyecto Datos (OKR´s)'!$J182,"")</f>
        <v/>
      </c>
      <c r="J182" s="164" t="str">
        <f ca="1">IF($C182,IF($I182&gt;=1,"Completado",IF($H182&lt;TODAY(),"Vencido",IF(($H182-TODAY())&lt;='Entregas Próximas'!$M$3,"Próximo a vencer","En curso"))),"")</f>
        <v/>
      </c>
      <c r="K182" s="163" t="str">
        <f t="shared" ca="1" si="107"/>
        <v/>
      </c>
      <c r="L182" s="163" t="str">
        <f t="shared" si="108"/>
        <v/>
      </c>
      <c r="M182" s="163" t="str">
        <f t="shared" si="109"/>
        <v/>
      </c>
      <c r="N182" s="163" t="str">
        <f>IF($C182,IF('Proyecto Datos (OKR´s)'!$E182="",9999,'Proyecto Datos (OKR´s)'!$E182),"")</f>
        <v/>
      </c>
      <c r="O182" s="163" t="str">
        <f t="shared" si="110"/>
        <v/>
      </c>
      <c r="R182" s="163" t="str">
        <f>IF($C182,IF(ISNUMBER('Proyecto Datos (OKR´s)'!$L182),'Proyecto Datos (OKR´s)'!$L182,$H182),"")</f>
        <v/>
      </c>
      <c r="S182" s="163" t="str">
        <f>IF($C182,$R182-'Proyecto Datos (OKR´s)'!$K182+1,"")</f>
        <v/>
      </c>
      <c r="T182" s="163" t="str">
        <f ca="1">IF($C182,MAX(0,TODAY()-'Proyecto Datos (OKR´s)'!$K182),"")</f>
        <v/>
      </c>
      <c r="U182" s="163" t="str">
        <f ca="1">IF($C182,MEDIAN(0,(TODAY()-'Proyecto Datos (OKR´s)'!$K182)/MAX(1,$R182-'Proyecto Datos (OKR´s)'!$K182),1),"")</f>
        <v/>
      </c>
      <c r="V182" s="163" t="str">
        <f t="shared" si="111"/>
        <v/>
      </c>
      <c r="W182" s="163" t="str">
        <f t="shared" ca="1" si="112"/>
        <v/>
      </c>
      <c r="X182" s="163" t="str">
        <f t="shared" si="113"/>
        <v/>
      </c>
      <c r="Y182" s="163" t="str">
        <f t="shared" si="114"/>
        <v/>
      </c>
      <c r="Z182" s="163" t="str">
        <f ca="1">IF($C182,AND($I182=0,'Proyecto Datos (OKR´s)'!$K182&lt;=TODAY(),$J182&lt;&gt;"Completado"),"")</f>
        <v/>
      </c>
      <c r="AA182" s="163" t="str">
        <f t="shared" si="115"/>
        <v/>
      </c>
      <c r="AB182" s="164" t="str">
        <f t="shared" si="116"/>
        <v/>
      </c>
      <c r="AC182" s="164" t="str">
        <f t="shared" si="117"/>
        <v/>
      </c>
      <c r="AD182" s="163" t="str">
        <f>IF($C182,IF($N182=9999,9999,IF($J182="Completado",$N182,MAX($N182,Sprints!$M$15))),"")</f>
        <v/>
      </c>
      <c r="AE182" s="163" t="str">
        <f t="shared" si="118"/>
        <v/>
      </c>
      <c r="AF182" s="163" t="b">
        <f t="shared" si="119"/>
        <v>0</v>
      </c>
      <c r="AG182" s="163" t="str">
        <f t="shared" si="120"/>
        <v/>
      </c>
      <c r="AH182" s="164" t="str">
        <f>IF($AF182,IF(Sprints!$I182&lt;&gt;"",Sprints!$I182,"Comprometida y no completada al cierre del Sprint "&amp;$N182),"")</f>
        <v/>
      </c>
      <c r="AI182" s="163" t="str">
        <f t="shared" si="121"/>
        <v/>
      </c>
      <c r="AJ182" s="163" t="str">
        <f t="shared" si="122"/>
        <v/>
      </c>
      <c r="AK182" s="163" t="str">
        <f t="shared" si="123"/>
        <v/>
      </c>
      <c r="AL182" s="163" t="str">
        <f t="shared" si="124"/>
        <v/>
      </c>
      <c r="AM182" s="163" t="str">
        <f t="shared" si="125"/>
        <v/>
      </c>
      <c r="AN182" s="164" t="str">
        <f t="shared" si="126"/>
        <v/>
      </c>
      <c r="AO182" s="163" t="str">
        <f>IF($C182,IFERROR(INDEX(Sprints!$M$6:$M$13,MATCH($N182,Sprints!$K$6:$K$13,0)),""),"")</f>
        <v/>
      </c>
      <c r="AP182" s="163" t="str">
        <f t="shared" ca="1" si="127"/>
        <v/>
      </c>
    </row>
    <row r="183" spans="1:42" x14ac:dyDescent="0.35">
      <c r="A183" s="163">
        <f>ROW()</f>
        <v>183</v>
      </c>
      <c r="B183" s="163" t="b">
        <f>ISTEXT('Proyecto Datos (OKR´s)'!$K183)</f>
        <v>0</v>
      </c>
      <c r="C183" s="163" t="b">
        <f>AND(LEN('Proyecto Datos (OKR´s)'!$G183)&gt;0,NOT($B183),OR(ISNUMBER('Proyecto Datos (OKR´s)'!$F183),ISNUMBER('Proyecto Datos (OKR´s)'!$L183)))</f>
        <v>0</v>
      </c>
      <c r="D183" s="164" t="str">
        <f>IF($C183,IFERROR(LOOKUP(2,1/((ISTEXT('Proyecto Datos (OKR´s)'!$K$7:$K183))*(LEN('Proyecto Datos (OKR´s)'!$G$7:$G183)&gt;0)),'Proyecto Datos (OKR´s)'!$G$7:$G183),""),"")</f>
        <v/>
      </c>
      <c r="E183" s="163" t="str">
        <f>IF($C183,'Proyecto Datos (OKR´s)'!$E183,"")</f>
        <v/>
      </c>
      <c r="F183" s="164" t="str">
        <f>IF($C183,'Proyecto Datos (OKR´s)'!$G183,"")</f>
        <v/>
      </c>
      <c r="G183" s="164" t="str">
        <f>IF($C183,IF('Proyecto Datos (OKR´s)'!$I183="","(Sin asignar)",'Proyecto Datos (OKR´s)'!$I183),"")</f>
        <v/>
      </c>
      <c r="H183" s="163" t="str">
        <f>IF($C183,IF(ISNUMBER('Proyecto Datos (OKR´s)'!$F183),'Proyecto Datos (OKR´s)'!$F183,'Proyecto Datos (OKR´s)'!$L183),"")</f>
        <v/>
      </c>
      <c r="I183" s="163" t="str">
        <f>IF($C183,'Proyecto Datos (OKR´s)'!$J183,"")</f>
        <v/>
      </c>
      <c r="J183" s="164" t="str">
        <f ca="1">IF($C183,IF($I183&gt;=1,"Completado",IF($H183&lt;TODAY(),"Vencido",IF(($H183-TODAY())&lt;='Entregas Próximas'!$M$3,"Próximo a vencer","En curso"))),"")</f>
        <v/>
      </c>
      <c r="K183" s="163" t="str">
        <f t="shared" ca="1" si="107"/>
        <v/>
      </c>
      <c r="L183" s="163" t="str">
        <f t="shared" si="108"/>
        <v/>
      </c>
      <c r="M183" s="163" t="str">
        <f t="shared" si="109"/>
        <v/>
      </c>
      <c r="N183" s="163" t="str">
        <f>IF($C183,IF('Proyecto Datos (OKR´s)'!$E183="",9999,'Proyecto Datos (OKR´s)'!$E183),"")</f>
        <v/>
      </c>
      <c r="O183" s="163" t="str">
        <f t="shared" si="110"/>
        <v/>
      </c>
      <c r="R183" s="163" t="str">
        <f>IF($C183,IF(ISNUMBER('Proyecto Datos (OKR´s)'!$L183),'Proyecto Datos (OKR´s)'!$L183,$H183),"")</f>
        <v/>
      </c>
      <c r="S183" s="163" t="str">
        <f>IF($C183,$R183-'Proyecto Datos (OKR´s)'!$K183+1,"")</f>
        <v/>
      </c>
      <c r="T183" s="163" t="str">
        <f ca="1">IF($C183,MAX(0,TODAY()-'Proyecto Datos (OKR´s)'!$K183),"")</f>
        <v/>
      </c>
      <c r="U183" s="163" t="str">
        <f ca="1">IF($C183,MEDIAN(0,(TODAY()-'Proyecto Datos (OKR´s)'!$K183)/MAX(1,$R183-'Proyecto Datos (OKR´s)'!$K183),1),"")</f>
        <v/>
      </c>
      <c r="V183" s="163" t="str">
        <f t="shared" si="111"/>
        <v/>
      </c>
      <c r="W183" s="163" t="str">
        <f t="shared" ca="1" si="112"/>
        <v/>
      </c>
      <c r="X183" s="163" t="str">
        <f t="shared" si="113"/>
        <v/>
      </c>
      <c r="Y183" s="163" t="str">
        <f t="shared" si="114"/>
        <v/>
      </c>
      <c r="Z183" s="163" t="str">
        <f ca="1">IF($C183,AND($I183=0,'Proyecto Datos (OKR´s)'!$K183&lt;=TODAY(),$J183&lt;&gt;"Completado"),"")</f>
        <v/>
      </c>
      <c r="AA183" s="163" t="str">
        <f t="shared" si="115"/>
        <v/>
      </c>
      <c r="AB183" s="164" t="str">
        <f t="shared" si="116"/>
        <v/>
      </c>
      <c r="AC183" s="164" t="str">
        <f t="shared" si="117"/>
        <v/>
      </c>
      <c r="AD183" s="163" t="str">
        <f>IF($C183,IF($N183=9999,9999,IF($J183="Completado",$N183,MAX($N183,Sprints!$M$15))),"")</f>
        <v/>
      </c>
      <c r="AE183" s="163" t="str">
        <f t="shared" si="118"/>
        <v/>
      </c>
      <c r="AF183" s="163" t="b">
        <f t="shared" si="119"/>
        <v>0</v>
      </c>
      <c r="AG183" s="163" t="str">
        <f t="shared" si="120"/>
        <v/>
      </c>
      <c r="AH183" s="164" t="str">
        <f>IF($AF183,IF(Sprints!$I183&lt;&gt;"",Sprints!$I183,"Comprometida y no completada al cierre del Sprint "&amp;$N183),"")</f>
        <v/>
      </c>
      <c r="AI183" s="163" t="str">
        <f t="shared" si="121"/>
        <v/>
      </c>
      <c r="AJ183" s="163" t="str">
        <f t="shared" si="122"/>
        <v/>
      </c>
      <c r="AK183" s="163" t="str">
        <f t="shared" si="123"/>
        <v/>
      </c>
      <c r="AL183" s="163" t="str">
        <f t="shared" si="124"/>
        <v/>
      </c>
      <c r="AM183" s="163" t="str">
        <f t="shared" si="125"/>
        <v/>
      </c>
      <c r="AN183" s="164" t="str">
        <f t="shared" si="126"/>
        <v/>
      </c>
      <c r="AO183" s="163" t="str">
        <f>IF($C183,IFERROR(INDEX(Sprints!$M$6:$M$13,MATCH($N183,Sprints!$K$6:$K$13,0)),""),"")</f>
        <v/>
      </c>
      <c r="AP183" s="163" t="str">
        <f t="shared" ca="1" si="127"/>
        <v/>
      </c>
    </row>
    <row r="184" spans="1:42" x14ac:dyDescent="0.35">
      <c r="A184" s="163">
        <f>ROW()</f>
        <v>184</v>
      </c>
      <c r="B184" s="163" t="b">
        <f>ISTEXT('Proyecto Datos (OKR´s)'!$K184)</f>
        <v>0</v>
      </c>
      <c r="C184" s="163" t="b">
        <f>AND(LEN('Proyecto Datos (OKR´s)'!$G184)&gt;0,NOT($B184),OR(ISNUMBER('Proyecto Datos (OKR´s)'!$F184),ISNUMBER('Proyecto Datos (OKR´s)'!$L184)))</f>
        <v>0</v>
      </c>
      <c r="D184" s="164" t="str">
        <f>IF($C184,IFERROR(LOOKUP(2,1/((ISTEXT('Proyecto Datos (OKR´s)'!$K$7:$K184))*(LEN('Proyecto Datos (OKR´s)'!$G$7:$G184)&gt;0)),'Proyecto Datos (OKR´s)'!$G$7:$G184),""),"")</f>
        <v/>
      </c>
      <c r="E184" s="163" t="str">
        <f>IF($C184,'Proyecto Datos (OKR´s)'!$E184,"")</f>
        <v/>
      </c>
      <c r="F184" s="164" t="str">
        <f>IF($C184,'Proyecto Datos (OKR´s)'!$G184,"")</f>
        <v/>
      </c>
      <c r="G184" s="164" t="str">
        <f>IF($C184,IF('Proyecto Datos (OKR´s)'!$I184="","(Sin asignar)",'Proyecto Datos (OKR´s)'!$I184),"")</f>
        <v/>
      </c>
      <c r="H184" s="163" t="str">
        <f>IF($C184,IF(ISNUMBER('Proyecto Datos (OKR´s)'!$F184),'Proyecto Datos (OKR´s)'!$F184,'Proyecto Datos (OKR´s)'!$L184),"")</f>
        <v/>
      </c>
      <c r="I184" s="163" t="str">
        <f>IF($C184,'Proyecto Datos (OKR´s)'!$J184,"")</f>
        <v/>
      </c>
      <c r="J184" s="164" t="str">
        <f ca="1">IF($C184,IF($I184&gt;=1,"Completado",IF($H184&lt;TODAY(),"Vencido",IF(($H184-TODAY())&lt;='Entregas Próximas'!$M$3,"Próximo a vencer","En curso"))),"")</f>
        <v/>
      </c>
      <c r="K184" s="163" t="str">
        <f t="shared" ca="1" si="107"/>
        <v/>
      </c>
      <c r="L184" s="163" t="str">
        <f t="shared" si="108"/>
        <v/>
      </c>
      <c r="M184" s="163" t="str">
        <f t="shared" si="109"/>
        <v/>
      </c>
      <c r="N184" s="163" t="str">
        <f>IF($C184,IF('Proyecto Datos (OKR´s)'!$E184="",9999,'Proyecto Datos (OKR´s)'!$E184),"")</f>
        <v/>
      </c>
      <c r="O184" s="163" t="str">
        <f t="shared" si="110"/>
        <v/>
      </c>
      <c r="R184" s="163" t="str">
        <f>IF($C184,IF(ISNUMBER('Proyecto Datos (OKR´s)'!$L184),'Proyecto Datos (OKR´s)'!$L184,$H184),"")</f>
        <v/>
      </c>
      <c r="S184" s="163" t="str">
        <f>IF($C184,$R184-'Proyecto Datos (OKR´s)'!$K184+1,"")</f>
        <v/>
      </c>
      <c r="T184" s="163" t="str">
        <f ca="1">IF($C184,MAX(0,TODAY()-'Proyecto Datos (OKR´s)'!$K184),"")</f>
        <v/>
      </c>
      <c r="U184" s="163" t="str">
        <f ca="1">IF($C184,MEDIAN(0,(TODAY()-'Proyecto Datos (OKR´s)'!$K184)/MAX(1,$R184-'Proyecto Datos (OKR´s)'!$K184),1),"")</f>
        <v/>
      </c>
      <c r="V184" s="163" t="str">
        <f t="shared" si="111"/>
        <v/>
      </c>
      <c r="W184" s="163" t="str">
        <f t="shared" ca="1" si="112"/>
        <v/>
      </c>
      <c r="X184" s="163" t="str">
        <f t="shared" si="113"/>
        <v/>
      </c>
      <c r="Y184" s="163" t="str">
        <f t="shared" si="114"/>
        <v/>
      </c>
      <c r="Z184" s="163" t="str">
        <f ca="1">IF($C184,AND($I184=0,'Proyecto Datos (OKR´s)'!$K184&lt;=TODAY(),$J184&lt;&gt;"Completado"),"")</f>
        <v/>
      </c>
      <c r="AA184" s="163" t="str">
        <f t="shared" si="115"/>
        <v/>
      </c>
      <c r="AB184" s="164" t="str">
        <f t="shared" si="116"/>
        <v/>
      </c>
      <c r="AC184" s="164" t="str">
        <f t="shared" si="117"/>
        <v/>
      </c>
      <c r="AD184" s="163" t="str">
        <f>IF($C184,IF($N184=9999,9999,IF($J184="Completado",$N184,MAX($N184,Sprints!$M$15))),"")</f>
        <v/>
      </c>
      <c r="AE184" s="163" t="str">
        <f t="shared" si="118"/>
        <v/>
      </c>
      <c r="AF184" s="163" t="b">
        <f t="shared" si="119"/>
        <v>0</v>
      </c>
      <c r="AG184" s="163" t="str">
        <f t="shared" si="120"/>
        <v/>
      </c>
      <c r="AH184" s="164" t="str">
        <f>IF($AF184,IF(Sprints!$I184&lt;&gt;"",Sprints!$I184,"Comprometida y no completada al cierre del Sprint "&amp;$N184),"")</f>
        <v/>
      </c>
      <c r="AI184" s="163" t="str">
        <f t="shared" si="121"/>
        <v/>
      </c>
      <c r="AJ184" s="163" t="str">
        <f t="shared" si="122"/>
        <v/>
      </c>
      <c r="AK184" s="163" t="str">
        <f t="shared" si="123"/>
        <v/>
      </c>
      <c r="AL184" s="163" t="str">
        <f t="shared" si="124"/>
        <v/>
      </c>
      <c r="AM184" s="163" t="str">
        <f t="shared" si="125"/>
        <v/>
      </c>
      <c r="AN184" s="164" t="str">
        <f t="shared" si="126"/>
        <v/>
      </c>
      <c r="AO184" s="163" t="str">
        <f>IF($C184,IFERROR(INDEX(Sprints!$M$6:$M$13,MATCH($N184,Sprints!$K$6:$K$13,0)),""),"")</f>
        <v/>
      </c>
      <c r="AP184" s="163" t="str">
        <f t="shared" ca="1" si="127"/>
        <v/>
      </c>
    </row>
    <row r="185" spans="1:42" x14ac:dyDescent="0.35">
      <c r="A185" s="163">
        <f>ROW()</f>
        <v>185</v>
      </c>
      <c r="B185" s="163" t="b">
        <f>ISTEXT('Proyecto Datos (OKR´s)'!$K185)</f>
        <v>0</v>
      </c>
      <c r="C185" s="163" t="b">
        <f>AND(LEN('Proyecto Datos (OKR´s)'!$G185)&gt;0,NOT($B185),OR(ISNUMBER('Proyecto Datos (OKR´s)'!$F185),ISNUMBER('Proyecto Datos (OKR´s)'!$L185)))</f>
        <v>0</v>
      </c>
      <c r="D185" s="164" t="str">
        <f>IF($C185,IFERROR(LOOKUP(2,1/((ISTEXT('Proyecto Datos (OKR´s)'!$K$7:$K185))*(LEN('Proyecto Datos (OKR´s)'!$G$7:$G185)&gt;0)),'Proyecto Datos (OKR´s)'!$G$7:$G185),""),"")</f>
        <v/>
      </c>
      <c r="E185" s="163" t="str">
        <f>IF($C185,'Proyecto Datos (OKR´s)'!$E185,"")</f>
        <v/>
      </c>
      <c r="F185" s="164" t="str">
        <f>IF($C185,'Proyecto Datos (OKR´s)'!$G185,"")</f>
        <v/>
      </c>
      <c r="G185" s="164" t="str">
        <f>IF($C185,IF('Proyecto Datos (OKR´s)'!$I185="","(Sin asignar)",'Proyecto Datos (OKR´s)'!$I185),"")</f>
        <v/>
      </c>
      <c r="H185" s="163" t="str">
        <f>IF($C185,IF(ISNUMBER('Proyecto Datos (OKR´s)'!$F185),'Proyecto Datos (OKR´s)'!$F185,'Proyecto Datos (OKR´s)'!$L185),"")</f>
        <v/>
      </c>
      <c r="I185" s="163" t="str">
        <f>IF($C185,'Proyecto Datos (OKR´s)'!$J185,"")</f>
        <v/>
      </c>
      <c r="J185" s="164" t="str">
        <f ca="1">IF($C185,IF($I185&gt;=1,"Completado",IF($H185&lt;TODAY(),"Vencido",IF(($H185-TODAY())&lt;='Entregas Próximas'!$M$3,"Próximo a vencer","En curso"))),"")</f>
        <v/>
      </c>
      <c r="K185" s="163" t="str">
        <f t="shared" ca="1" si="107"/>
        <v/>
      </c>
      <c r="L185" s="163" t="str">
        <f t="shared" si="108"/>
        <v/>
      </c>
      <c r="M185" s="163" t="str">
        <f t="shared" si="109"/>
        <v/>
      </c>
      <c r="N185" s="163" t="str">
        <f>IF($C185,IF('Proyecto Datos (OKR´s)'!$E185="",9999,'Proyecto Datos (OKR´s)'!$E185),"")</f>
        <v/>
      </c>
      <c r="O185" s="163" t="str">
        <f t="shared" si="110"/>
        <v/>
      </c>
      <c r="R185" s="163" t="str">
        <f>IF($C185,IF(ISNUMBER('Proyecto Datos (OKR´s)'!$L185),'Proyecto Datos (OKR´s)'!$L185,$H185),"")</f>
        <v/>
      </c>
      <c r="S185" s="163" t="str">
        <f>IF($C185,$R185-'Proyecto Datos (OKR´s)'!$K185+1,"")</f>
        <v/>
      </c>
      <c r="T185" s="163" t="str">
        <f ca="1">IF($C185,MAX(0,TODAY()-'Proyecto Datos (OKR´s)'!$K185),"")</f>
        <v/>
      </c>
      <c r="U185" s="163" t="str">
        <f ca="1">IF($C185,MEDIAN(0,(TODAY()-'Proyecto Datos (OKR´s)'!$K185)/MAX(1,$R185-'Proyecto Datos (OKR´s)'!$K185),1),"")</f>
        <v/>
      </c>
      <c r="V185" s="163" t="str">
        <f t="shared" si="111"/>
        <v/>
      </c>
      <c r="W185" s="163" t="str">
        <f t="shared" ca="1" si="112"/>
        <v/>
      </c>
      <c r="X185" s="163" t="str">
        <f t="shared" si="113"/>
        <v/>
      </c>
      <c r="Y185" s="163" t="str">
        <f t="shared" si="114"/>
        <v/>
      </c>
      <c r="Z185" s="163" t="str">
        <f ca="1">IF($C185,AND($I185=0,'Proyecto Datos (OKR´s)'!$K185&lt;=TODAY(),$J185&lt;&gt;"Completado"),"")</f>
        <v/>
      </c>
      <c r="AA185" s="163" t="str">
        <f t="shared" si="115"/>
        <v/>
      </c>
      <c r="AB185" s="164" t="str">
        <f t="shared" si="116"/>
        <v/>
      </c>
      <c r="AC185" s="164" t="str">
        <f t="shared" si="117"/>
        <v/>
      </c>
      <c r="AD185" s="163" t="str">
        <f>IF($C185,IF($N185=9999,9999,IF($J185="Completado",$N185,MAX($N185,Sprints!$M$15))),"")</f>
        <v/>
      </c>
      <c r="AE185" s="163" t="str">
        <f t="shared" si="118"/>
        <v/>
      </c>
      <c r="AF185" s="163" t="b">
        <f t="shared" si="119"/>
        <v>0</v>
      </c>
      <c r="AG185" s="163" t="str">
        <f t="shared" si="120"/>
        <v/>
      </c>
      <c r="AH185" s="164" t="str">
        <f>IF($AF185,IF(Sprints!$I185&lt;&gt;"",Sprints!$I185,"Comprometida y no completada al cierre del Sprint "&amp;$N185),"")</f>
        <v/>
      </c>
      <c r="AI185" s="163" t="str">
        <f t="shared" si="121"/>
        <v/>
      </c>
      <c r="AJ185" s="163" t="str">
        <f t="shared" si="122"/>
        <v/>
      </c>
      <c r="AK185" s="163" t="str">
        <f t="shared" si="123"/>
        <v/>
      </c>
      <c r="AL185" s="163" t="str">
        <f t="shared" si="124"/>
        <v/>
      </c>
      <c r="AM185" s="163" t="str">
        <f t="shared" si="125"/>
        <v/>
      </c>
      <c r="AN185" s="164" t="str">
        <f t="shared" si="126"/>
        <v/>
      </c>
      <c r="AO185" s="163" t="str">
        <f>IF($C185,IFERROR(INDEX(Sprints!$M$6:$M$13,MATCH($N185,Sprints!$K$6:$K$13,0)),""),"")</f>
        <v/>
      </c>
      <c r="AP185" s="163" t="str">
        <f t="shared" ca="1" si="127"/>
        <v/>
      </c>
    </row>
    <row r="186" spans="1:42" x14ac:dyDescent="0.35">
      <c r="A186" s="163">
        <f>ROW()</f>
        <v>186</v>
      </c>
      <c r="B186" s="163" t="b">
        <f>ISTEXT('Proyecto Datos (OKR´s)'!$K186)</f>
        <v>0</v>
      </c>
      <c r="C186" s="163" t="b">
        <f>AND(LEN('Proyecto Datos (OKR´s)'!$G186)&gt;0,NOT($B186),OR(ISNUMBER('Proyecto Datos (OKR´s)'!$F186),ISNUMBER('Proyecto Datos (OKR´s)'!$L186)))</f>
        <v>0</v>
      </c>
      <c r="D186" s="164" t="str">
        <f>IF($C186,IFERROR(LOOKUP(2,1/((ISTEXT('Proyecto Datos (OKR´s)'!$K$7:$K186))*(LEN('Proyecto Datos (OKR´s)'!$G$7:$G186)&gt;0)),'Proyecto Datos (OKR´s)'!$G$7:$G186),""),"")</f>
        <v/>
      </c>
      <c r="E186" s="163" t="str">
        <f>IF($C186,'Proyecto Datos (OKR´s)'!$E186,"")</f>
        <v/>
      </c>
      <c r="F186" s="164" t="str">
        <f>IF($C186,'Proyecto Datos (OKR´s)'!$G186,"")</f>
        <v/>
      </c>
      <c r="G186" s="164" t="str">
        <f>IF($C186,IF('Proyecto Datos (OKR´s)'!$I186="","(Sin asignar)",'Proyecto Datos (OKR´s)'!$I186),"")</f>
        <v/>
      </c>
      <c r="H186" s="163" t="str">
        <f>IF($C186,IF(ISNUMBER('Proyecto Datos (OKR´s)'!$F186),'Proyecto Datos (OKR´s)'!$F186,'Proyecto Datos (OKR´s)'!$L186),"")</f>
        <v/>
      </c>
      <c r="I186" s="163" t="str">
        <f>IF($C186,'Proyecto Datos (OKR´s)'!$J186,"")</f>
        <v/>
      </c>
      <c r="J186" s="164" t="str">
        <f ca="1">IF($C186,IF($I186&gt;=1,"Completado",IF($H186&lt;TODAY(),"Vencido",IF(($H186-TODAY())&lt;='Entregas Próximas'!$M$3,"Próximo a vencer","En curso"))),"")</f>
        <v/>
      </c>
      <c r="K186" s="163" t="str">
        <f t="shared" ca="1" si="107"/>
        <v/>
      </c>
      <c r="L186" s="163" t="str">
        <f t="shared" si="108"/>
        <v/>
      </c>
      <c r="M186" s="163" t="str">
        <f t="shared" si="109"/>
        <v/>
      </c>
      <c r="N186" s="163" t="str">
        <f>IF($C186,IF('Proyecto Datos (OKR´s)'!$E186="",9999,'Proyecto Datos (OKR´s)'!$E186),"")</f>
        <v/>
      </c>
      <c r="O186" s="163" t="str">
        <f t="shared" si="110"/>
        <v/>
      </c>
      <c r="R186" s="163" t="str">
        <f>IF($C186,IF(ISNUMBER('Proyecto Datos (OKR´s)'!$L186),'Proyecto Datos (OKR´s)'!$L186,$H186),"")</f>
        <v/>
      </c>
      <c r="S186" s="163" t="str">
        <f>IF($C186,$R186-'Proyecto Datos (OKR´s)'!$K186+1,"")</f>
        <v/>
      </c>
      <c r="T186" s="163" t="str">
        <f ca="1">IF($C186,MAX(0,TODAY()-'Proyecto Datos (OKR´s)'!$K186),"")</f>
        <v/>
      </c>
      <c r="U186" s="163" t="str">
        <f ca="1">IF($C186,MEDIAN(0,(TODAY()-'Proyecto Datos (OKR´s)'!$K186)/MAX(1,$R186-'Proyecto Datos (OKR´s)'!$K186),1),"")</f>
        <v/>
      </c>
      <c r="V186" s="163" t="str">
        <f t="shared" si="111"/>
        <v/>
      </c>
      <c r="W186" s="163" t="str">
        <f t="shared" ca="1" si="112"/>
        <v/>
      </c>
      <c r="X186" s="163" t="str">
        <f t="shared" si="113"/>
        <v/>
      </c>
      <c r="Y186" s="163" t="str">
        <f t="shared" si="114"/>
        <v/>
      </c>
      <c r="Z186" s="163" t="str">
        <f ca="1">IF($C186,AND($I186=0,'Proyecto Datos (OKR´s)'!$K186&lt;=TODAY(),$J186&lt;&gt;"Completado"),"")</f>
        <v/>
      </c>
      <c r="AA186" s="163" t="str">
        <f t="shared" si="115"/>
        <v/>
      </c>
      <c r="AB186" s="164" t="str">
        <f t="shared" si="116"/>
        <v/>
      </c>
      <c r="AC186" s="164" t="str">
        <f t="shared" si="117"/>
        <v/>
      </c>
      <c r="AD186" s="163" t="str">
        <f>IF($C186,IF($N186=9999,9999,IF($J186="Completado",$N186,MAX($N186,Sprints!$M$15))),"")</f>
        <v/>
      </c>
      <c r="AE186" s="163" t="str">
        <f t="shared" si="118"/>
        <v/>
      </c>
      <c r="AF186" s="163" t="b">
        <f t="shared" si="119"/>
        <v>0</v>
      </c>
      <c r="AG186" s="163" t="str">
        <f t="shared" si="120"/>
        <v/>
      </c>
      <c r="AH186" s="164" t="str">
        <f>IF($AF186,IF(Sprints!$I186&lt;&gt;"",Sprints!$I186,"Comprometida y no completada al cierre del Sprint "&amp;$N186),"")</f>
        <v/>
      </c>
      <c r="AI186" s="163" t="str">
        <f t="shared" si="121"/>
        <v/>
      </c>
      <c r="AJ186" s="163" t="str">
        <f t="shared" si="122"/>
        <v/>
      </c>
      <c r="AK186" s="163" t="str">
        <f t="shared" si="123"/>
        <v/>
      </c>
      <c r="AL186" s="163" t="str">
        <f t="shared" si="124"/>
        <v/>
      </c>
      <c r="AM186" s="163" t="str">
        <f t="shared" si="125"/>
        <v/>
      </c>
      <c r="AN186" s="164" t="str">
        <f t="shared" si="126"/>
        <v/>
      </c>
      <c r="AO186" s="163" t="str">
        <f>IF($C186,IFERROR(INDEX(Sprints!$M$6:$M$13,MATCH($N186,Sprints!$K$6:$K$13,0)),""),"")</f>
        <v/>
      </c>
      <c r="AP186" s="163" t="str">
        <f t="shared" ca="1" si="127"/>
        <v/>
      </c>
    </row>
    <row r="187" spans="1:42" x14ac:dyDescent="0.35">
      <c r="A187" s="163">
        <f>ROW()</f>
        <v>187</v>
      </c>
      <c r="B187" s="163" t="b">
        <f>ISTEXT('Proyecto Datos (OKR´s)'!$K187)</f>
        <v>0</v>
      </c>
      <c r="C187" s="163" t="b">
        <f>AND(LEN('Proyecto Datos (OKR´s)'!$G187)&gt;0,NOT($B187),OR(ISNUMBER('Proyecto Datos (OKR´s)'!$F187),ISNUMBER('Proyecto Datos (OKR´s)'!$L187)))</f>
        <v>0</v>
      </c>
      <c r="D187" s="164" t="str">
        <f>IF($C187,IFERROR(LOOKUP(2,1/((ISTEXT('Proyecto Datos (OKR´s)'!$K$7:$K187))*(LEN('Proyecto Datos (OKR´s)'!$G$7:$G187)&gt;0)),'Proyecto Datos (OKR´s)'!$G$7:$G187),""),"")</f>
        <v/>
      </c>
      <c r="E187" s="163" t="str">
        <f>IF($C187,'Proyecto Datos (OKR´s)'!$E187,"")</f>
        <v/>
      </c>
      <c r="F187" s="164" t="str">
        <f>IF($C187,'Proyecto Datos (OKR´s)'!$G187,"")</f>
        <v/>
      </c>
      <c r="G187" s="164" t="str">
        <f>IF($C187,IF('Proyecto Datos (OKR´s)'!$I187="","(Sin asignar)",'Proyecto Datos (OKR´s)'!$I187),"")</f>
        <v/>
      </c>
      <c r="H187" s="163" t="str">
        <f>IF($C187,IF(ISNUMBER('Proyecto Datos (OKR´s)'!$F187),'Proyecto Datos (OKR´s)'!$F187,'Proyecto Datos (OKR´s)'!$L187),"")</f>
        <v/>
      </c>
      <c r="I187" s="163" t="str">
        <f>IF($C187,'Proyecto Datos (OKR´s)'!$J187,"")</f>
        <v/>
      </c>
      <c r="J187" s="164" t="str">
        <f ca="1">IF($C187,IF($I187&gt;=1,"Completado",IF($H187&lt;TODAY(),"Vencido",IF(($H187-TODAY())&lt;='Entregas Próximas'!$M$3,"Próximo a vencer","En curso"))),"")</f>
        <v/>
      </c>
      <c r="K187" s="163" t="str">
        <f t="shared" ca="1" si="107"/>
        <v/>
      </c>
      <c r="L187" s="163" t="str">
        <f t="shared" si="108"/>
        <v/>
      </c>
      <c r="M187" s="163" t="str">
        <f t="shared" si="109"/>
        <v/>
      </c>
      <c r="N187" s="163" t="str">
        <f>IF($C187,IF('Proyecto Datos (OKR´s)'!$E187="",9999,'Proyecto Datos (OKR´s)'!$E187),"")</f>
        <v/>
      </c>
      <c r="O187" s="163" t="str">
        <f t="shared" si="110"/>
        <v/>
      </c>
      <c r="R187" s="163" t="str">
        <f>IF($C187,IF(ISNUMBER('Proyecto Datos (OKR´s)'!$L187),'Proyecto Datos (OKR´s)'!$L187,$H187),"")</f>
        <v/>
      </c>
      <c r="S187" s="163" t="str">
        <f>IF($C187,$R187-'Proyecto Datos (OKR´s)'!$K187+1,"")</f>
        <v/>
      </c>
      <c r="T187" s="163" t="str">
        <f ca="1">IF($C187,MAX(0,TODAY()-'Proyecto Datos (OKR´s)'!$K187),"")</f>
        <v/>
      </c>
      <c r="U187" s="163" t="str">
        <f ca="1">IF($C187,MEDIAN(0,(TODAY()-'Proyecto Datos (OKR´s)'!$K187)/MAX(1,$R187-'Proyecto Datos (OKR´s)'!$K187),1),"")</f>
        <v/>
      </c>
      <c r="V187" s="163" t="str">
        <f t="shared" si="111"/>
        <v/>
      </c>
      <c r="W187" s="163" t="str">
        <f t="shared" ca="1" si="112"/>
        <v/>
      </c>
      <c r="X187" s="163" t="str">
        <f t="shared" si="113"/>
        <v/>
      </c>
      <c r="Y187" s="163" t="str">
        <f t="shared" si="114"/>
        <v/>
      </c>
      <c r="Z187" s="163" t="str">
        <f ca="1">IF($C187,AND($I187=0,'Proyecto Datos (OKR´s)'!$K187&lt;=TODAY(),$J187&lt;&gt;"Completado"),"")</f>
        <v/>
      </c>
      <c r="AA187" s="163" t="str">
        <f t="shared" si="115"/>
        <v/>
      </c>
      <c r="AB187" s="164" t="str">
        <f t="shared" si="116"/>
        <v/>
      </c>
      <c r="AC187" s="164" t="str">
        <f t="shared" si="117"/>
        <v/>
      </c>
      <c r="AD187" s="163" t="str">
        <f>IF($C187,IF($N187=9999,9999,IF($J187="Completado",$N187,MAX($N187,Sprints!$M$15))),"")</f>
        <v/>
      </c>
      <c r="AE187" s="163" t="str">
        <f t="shared" si="118"/>
        <v/>
      </c>
      <c r="AF187" s="163" t="b">
        <f t="shared" si="119"/>
        <v>0</v>
      </c>
      <c r="AG187" s="163" t="str">
        <f t="shared" si="120"/>
        <v/>
      </c>
      <c r="AH187" s="164" t="str">
        <f>IF($AF187,IF(Sprints!$I187&lt;&gt;"",Sprints!$I187,"Comprometida y no completada al cierre del Sprint "&amp;$N187),"")</f>
        <v/>
      </c>
      <c r="AI187" s="163" t="str">
        <f t="shared" si="121"/>
        <v/>
      </c>
      <c r="AJ187" s="163" t="str">
        <f t="shared" si="122"/>
        <v/>
      </c>
      <c r="AK187" s="163" t="str">
        <f t="shared" si="123"/>
        <v/>
      </c>
      <c r="AL187" s="163" t="str">
        <f t="shared" si="124"/>
        <v/>
      </c>
      <c r="AM187" s="163" t="str">
        <f t="shared" si="125"/>
        <v/>
      </c>
      <c r="AN187" s="164" t="str">
        <f t="shared" si="126"/>
        <v/>
      </c>
      <c r="AO187" s="163" t="str">
        <f>IF($C187,IFERROR(INDEX(Sprints!$M$6:$M$13,MATCH($N187,Sprints!$K$6:$K$13,0)),""),"")</f>
        <v/>
      </c>
      <c r="AP187" s="163" t="str">
        <f t="shared" ca="1" si="127"/>
        <v/>
      </c>
    </row>
    <row r="188" spans="1:42" x14ac:dyDescent="0.35">
      <c r="A188" s="163">
        <f>ROW()</f>
        <v>188</v>
      </c>
      <c r="B188" s="163" t="b">
        <f>ISTEXT('Proyecto Datos (OKR´s)'!$K188)</f>
        <v>0</v>
      </c>
      <c r="C188" s="163" t="b">
        <f>AND(LEN('Proyecto Datos (OKR´s)'!$G188)&gt;0,NOT($B188),OR(ISNUMBER('Proyecto Datos (OKR´s)'!$F188),ISNUMBER('Proyecto Datos (OKR´s)'!$L188)))</f>
        <v>0</v>
      </c>
      <c r="D188" s="164" t="str">
        <f>IF($C188,IFERROR(LOOKUP(2,1/((ISTEXT('Proyecto Datos (OKR´s)'!$K$7:$K188))*(LEN('Proyecto Datos (OKR´s)'!$G$7:$G188)&gt;0)),'Proyecto Datos (OKR´s)'!$G$7:$G188),""),"")</f>
        <v/>
      </c>
      <c r="E188" s="163" t="str">
        <f>IF($C188,'Proyecto Datos (OKR´s)'!$E188,"")</f>
        <v/>
      </c>
      <c r="F188" s="164" t="str">
        <f>IF($C188,'Proyecto Datos (OKR´s)'!$G188,"")</f>
        <v/>
      </c>
      <c r="G188" s="164" t="str">
        <f>IF($C188,IF('Proyecto Datos (OKR´s)'!$I188="","(Sin asignar)",'Proyecto Datos (OKR´s)'!$I188),"")</f>
        <v/>
      </c>
      <c r="H188" s="163" t="str">
        <f>IF($C188,IF(ISNUMBER('Proyecto Datos (OKR´s)'!$F188),'Proyecto Datos (OKR´s)'!$F188,'Proyecto Datos (OKR´s)'!$L188),"")</f>
        <v/>
      </c>
      <c r="I188" s="163" t="str">
        <f>IF($C188,'Proyecto Datos (OKR´s)'!$J188,"")</f>
        <v/>
      </c>
      <c r="J188" s="164" t="str">
        <f ca="1">IF($C188,IF($I188&gt;=1,"Completado",IF($H188&lt;TODAY(),"Vencido",IF(($H188-TODAY())&lt;='Entregas Próximas'!$M$3,"Próximo a vencer","En curso"))),"")</f>
        <v/>
      </c>
      <c r="K188" s="163" t="str">
        <f t="shared" ca="1" si="107"/>
        <v/>
      </c>
      <c r="L188" s="163" t="str">
        <f t="shared" si="108"/>
        <v/>
      </c>
      <c r="M188" s="163" t="str">
        <f t="shared" si="109"/>
        <v/>
      </c>
      <c r="N188" s="163" t="str">
        <f>IF($C188,IF('Proyecto Datos (OKR´s)'!$E188="",9999,'Proyecto Datos (OKR´s)'!$E188),"")</f>
        <v/>
      </c>
      <c r="O188" s="163" t="str">
        <f t="shared" si="110"/>
        <v/>
      </c>
      <c r="R188" s="163" t="str">
        <f>IF($C188,IF(ISNUMBER('Proyecto Datos (OKR´s)'!$L188),'Proyecto Datos (OKR´s)'!$L188,$H188),"")</f>
        <v/>
      </c>
      <c r="S188" s="163" t="str">
        <f>IF($C188,$R188-'Proyecto Datos (OKR´s)'!$K188+1,"")</f>
        <v/>
      </c>
      <c r="T188" s="163" t="str">
        <f ca="1">IF($C188,MAX(0,TODAY()-'Proyecto Datos (OKR´s)'!$K188),"")</f>
        <v/>
      </c>
      <c r="U188" s="163" t="str">
        <f ca="1">IF($C188,MEDIAN(0,(TODAY()-'Proyecto Datos (OKR´s)'!$K188)/MAX(1,$R188-'Proyecto Datos (OKR´s)'!$K188),1),"")</f>
        <v/>
      </c>
      <c r="V188" s="163" t="str">
        <f t="shared" si="111"/>
        <v/>
      </c>
      <c r="W188" s="163" t="str">
        <f t="shared" ca="1" si="112"/>
        <v/>
      </c>
      <c r="X188" s="163" t="str">
        <f t="shared" si="113"/>
        <v/>
      </c>
      <c r="Y188" s="163" t="str">
        <f t="shared" si="114"/>
        <v/>
      </c>
      <c r="Z188" s="163" t="str">
        <f ca="1">IF($C188,AND($I188=0,'Proyecto Datos (OKR´s)'!$K188&lt;=TODAY(),$J188&lt;&gt;"Completado"),"")</f>
        <v/>
      </c>
      <c r="AA188" s="163" t="str">
        <f t="shared" si="115"/>
        <v/>
      </c>
      <c r="AB188" s="164" t="str">
        <f t="shared" si="116"/>
        <v/>
      </c>
      <c r="AC188" s="164" t="str">
        <f t="shared" si="117"/>
        <v/>
      </c>
      <c r="AD188" s="163" t="str">
        <f>IF($C188,IF($N188=9999,9999,IF($J188="Completado",$N188,MAX($N188,Sprints!$M$15))),"")</f>
        <v/>
      </c>
      <c r="AE188" s="163" t="str">
        <f t="shared" si="118"/>
        <v/>
      </c>
      <c r="AF188" s="163" t="b">
        <f t="shared" si="119"/>
        <v>0</v>
      </c>
      <c r="AG188" s="163" t="str">
        <f t="shared" si="120"/>
        <v/>
      </c>
      <c r="AH188" s="164" t="str">
        <f>IF($AF188,IF(Sprints!$I188&lt;&gt;"",Sprints!$I188,"Comprometida y no completada al cierre del Sprint "&amp;$N188),"")</f>
        <v/>
      </c>
      <c r="AI188" s="163" t="str">
        <f t="shared" si="121"/>
        <v/>
      </c>
      <c r="AJ188" s="163" t="str">
        <f t="shared" si="122"/>
        <v/>
      </c>
      <c r="AK188" s="163" t="str">
        <f t="shared" si="123"/>
        <v/>
      </c>
      <c r="AL188" s="163" t="str">
        <f t="shared" si="124"/>
        <v/>
      </c>
      <c r="AM188" s="163" t="str">
        <f t="shared" si="125"/>
        <v/>
      </c>
      <c r="AN188" s="164" t="str">
        <f t="shared" si="126"/>
        <v/>
      </c>
      <c r="AO188" s="163" t="str">
        <f>IF($C188,IFERROR(INDEX(Sprints!$M$6:$M$13,MATCH($N188,Sprints!$K$6:$K$13,0)),""),"")</f>
        <v/>
      </c>
      <c r="AP188" s="163" t="str">
        <f t="shared" ca="1" si="127"/>
        <v/>
      </c>
    </row>
    <row r="189" spans="1:42" x14ac:dyDescent="0.35">
      <c r="A189" s="163">
        <f>ROW()</f>
        <v>189</v>
      </c>
      <c r="B189" s="163" t="b">
        <f>ISTEXT('Proyecto Datos (OKR´s)'!$K189)</f>
        <v>0</v>
      </c>
      <c r="C189" s="163" t="b">
        <f>AND(LEN('Proyecto Datos (OKR´s)'!$G189)&gt;0,NOT($B189),OR(ISNUMBER('Proyecto Datos (OKR´s)'!$F189),ISNUMBER('Proyecto Datos (OKR´s)'!$L189)))</f>
        <v>0</v>
      </c>
      <c r="D189" s="164" t="str">
        <f>IF($C189,IFERROR(LOOKUP(2,1/((ISTEXT('Proyecto Datos (OKR´s)'!$K$7:$K189))*(LEN('Proyecto Datos (OKR´s)'!$G$7:$G189)&gt;0)),'Proyecto Datos (OKR´s)'!$G$7:$G189),""),"")</f>
        <v/>
      </c>
      <c r="E189" s="163" t="str">
        <f>IF($C189,'Proyecto Datos (OKR´s)'!$E189,"")</f>
        <v/>
      </c>
      <c r="F189" s="164" t="str">
        <f>IF($C189,'Proyecto Datos (OKR´s)'!$G189,"")</f>
        <v/>
      </c>
      <c r="G189" s="164" t="str">
        <f>IF($C189,IF('Proyecto Datos (OKR´s)'!$I189="","(Sin asignar)",'Proyecto Datos (OKR´s)'!$I189),"")</f>
        <v/>
      </c>
      <c r="H189" s="163" t="str">
        <f>IF($C189,IF(ISNUMBER('Proyecto Datos (OKR´s)'!$F189),'Proyecto Datos (OKR´s)'!$F189,'Proyecto Datos (OKR´s)'!$L189),"")</f>
        <v/>
      </c>
      <c r="I189" s="163" t="str">
        <f>IF($C189,'Proyecto Datos (OKR´s)'!$J189,"")</f>
        <v/>
      </c>
      <c r="J189" s="164" t="str">
        <f ca="1">IF($C189,IF($I189&gt;=1,"Completado",IF($H189&lt;TODAY(),"Vencido",IF(($H189-TODAY())&lt;='Entregas Próximas'!$M$3,"Próximo a vencer","En curso"))),"")</f>
        <v/>
      </c>
      <c r="K189" s="163" t="str">
        <f t="shared" ca="1" si="107"/>
        <v/>
      </c>
      <c r="L189" s="163" t="str">
        <f t="shared" si="108"/>
        <v/>
      </c>
      <c r="M189" s="163" t="str">
        <f t="shared" si="109"/>
        <v/>
      </c>
      <c r="N189" s="163" t="str">
        <f>IF($C189,IF('Proyecto Datos (OKR´s)'!$E189="",9999,'Proyecto Datos (OKR´s)'!$E189),"")</f>
        <v/>
      </c>
      <c r="O189" s="163" t="str">
        <f t="shared" si="110"/>
        <v/>
      </c>
      <c r="R189" s="163" t="str">
        <f>IF($C189,IF(ISNUMBER('Proyecto Datos (OKR´s)'!$L189),'Proyecto Datos (OKR´s)'!$L189,$H189),"")</f>
        <v/>
      </c>
      <c r="S189" s="163" t="str">
        <f>IF($C189,$R189-'Proyecto Datos (OKR´s)'!$K189+1,"")</f>
        <v/>
      </c>
      <c r="T189" s="163" t="str">
        <f ca="1">IF($C189,MAX(0,TODAY()-'Proyecto Datos (OKR´s)'!$K189),"")</f>
        <v/>
      </c>
      <c r="U189" s="163" t="str">
        <f ca="1">IF($C189,MEDIAN(0,(TODAY()-'Proyecto Datos (OKR´s)'!$K189)/MAX(1,$R189-'Proyecto Datos (OKR´s)'!$K189),1),"")</f>
        <v/>
      </c>
      <c r="V189" s="163" t="str">
        <f t="shared" si="111"/>
        <v/>
      </c>
      <c r="W189" s="163" t="str">
        <f t="shared" ca="1" si="112"/>
        <v/>
      </c>
      <c r="X189" s="163" t="str">
        <f t="shared" si="113"/>
        <v/>
      </c>
      <c r="Y189" s="163" t="str">
        <f t="shared" si="114"/>
        <v/>
      </c>
      <c r="Z189" s="163" t="str">
        <f ca="1">IF($C189,AND($I189=0,'Proyecto Datos (OKR´s)'!$K189&lt;=TODAY(),$J189&lt;&gt;"Completado"),"")</f>
        <v/>
      </c>
      <c r="AA189" s="163" t="str">
        <f t="shared" si="115"/>
        <v/>
      </c>
      <c r="AB189" s="164" t="str">
        <f t="shared" si="116"/>
        <v/>
      </c>
      <c r="AC189" s="164" t="str">
        <f t="shared" si="117"/>
        <v/>
      </c>
      <c r="AD189" s="163" t="str">
        <f>IF($C189,IF($N189=9999,9999,IF($J189="Completado",$N189,MAX($N189,Sprints!$M$15))),"")</f>
        <v/>
      </c>
      <c r="AE189" s="163" t="str">
        <f t="shared" si="118"/>
        <v/>
      </c>
      <c r="AF189" s="163" t="b">
        <f t="shared" si="119"/>
        <v>0</v>
      </c>
      <c r="AG189" s="163" t="str">
        <f t="shared" si="120"/>
        <v/>
      </c>
      <c r="AH189" s="164" t="str">
        <f>IF($AF189,IF(Sprints!$I189&lt;&gt;"",Sprints!$I189,"Comprometida y no completada al cierre del Sprint "&amp;$N189),"")</f>
        <v/>
      </c>
      <c r="AI189" s="163" t="str">
        <f t="shared" si="121"/>
        <v/>
      </c>
      <c r="AJ189" s="163" t="str">
        <f t="shared" si="122"/>
        <v/>
      </c>
      <c r="AK189" s="163" t="str">
        <f t="shared" si="123"/>
        <v/>
      </c>
      <c r="AL189" s="163" t="str">
        <f t="shared" si="124"/>
        <v/>
      </c>
      <c r="AM189" s="163" t="str">
        <f t="shared" si="125"/>
        <v/>
      </c>
      <c r="AN189" s="164" t="str">
        <f t="shared" si="126"/>
        <v/>
      </c>
      <c r="AO189" s="163" t="str">
        <f>IF($C189,IFERROR(INDEX(Sprints!$M$6:$M$13,MATCH($N189,Sprints!$K$6:$K$13,0)),""),"")</f>
        <v/>
      </c>
      <c r="AP189" s="163" t="str">
        <f t="shared" ca="1" si="127"/>
        <v/>
      </c>
    </row>
    <row r="190" spans="1:42" x14ac:dyDescent="0.35">
      <c r="A190" s="163">
        <f>ROW()</f>
        <v>190</v>
      </c>
      <c r="B190" s="163" t="b">
        <f>ISTEXT('Proyecto Datos (OKR´s)'!$K190)</f>
        <v>0</v>
      </c>
      <c r="C190" s="163" t="b">
        <f>AND(LEN('Proyecto Datos (OKR´s)'!$G190)&gt;0,NOT($B190),OR(ISNUMBER('Proyecto Datos (OKR´s)'!$F190),ISNUMBER('Proyecto Datos (OKR´s)'!$L190)))</f>
        <v>0</v>
      </c>
      <c r="D190" s="164" t="str">
        <f>IF($C190,IFERROR(LOOKUP(2,1/((ISTEXT('Proyecto Datos (OKR´s)'!$K$7:$K190))*(LEN('Proyecto Datos (OKR´s)'!$G$7:$G190)&gt;0)),'Proyecto Datos (OKR´s)'!$G$7:$G190),""),"")</f>
        <v/>
      </c>
      <c r="E190" s="163" t="str">
        <f>IF($C190,'Proyecto Datos (OKR´s)'!$E190,"")</f>
        <v/>
      </c>
      <c r="F190" s="164" t="str">
        <f>IF($C190,'Proyecto Datos (OKR´s)'!$G190,"")</f>
        <v/>
      </c>
      <c r="G190" s="164" t="str">
        <f>IF($C190,IF('Proyecto Datos (OKR´s)'!$I190="","(Sin asignar)",'Proyecto Datos (OKR´s)'!$I190),"")</f>
        <v/>
      </c>
      <c r="H190" s="163" t="str">
        <f>IF($C190,IF(ISNUMBER('Proyecto Datos (OKR´s)'!$F190),'Proyecto Datos (OKR´s)'!$F190,'Proyecto Datos (OKR´s)'!$L190),"")</f>
        <v/>
      </c>
      <c r="I190" s="163" t="str">
        <f>IF($C190,'Proyecto Datos (OKR´s)'!$J190,"")</f>
        <v/>
      </c>
      <c r="J190" s="164" t="str">
        <f ca="1">IF($C190,IF($I190&gt;=1,"Completado",IF($H190&lt;TODAY(),"Vencido",IF(($H190-TODAY())&lt;='Entregas Próximas'!$M$3,"Próximo a vencer","En curso"))),"")</f>
        <v/>
      </c>
      <c r="K190" s="163" t="str">
        <f t="shared" ca="1" si="107"/>
        <v/>
      </c>
      <c r="L190" s="163" t="str">
        <f t="shared" si="108"/>
        <v/>
      </c>
      <c r="M190" s="163" t="str">
        <f t="shared" si="109"/>
        <v/>
      </c>
      <c r="N190" s="163" t="str">
        <f>IF($C190,IF('Proyecto Datos (OKR´s)'!$E190="",9999,'Proyecto Datos (OKR´s)'!$E190),"")</f>
        <v/>
      </c>
      <c r="O190" s="163" t="str">
        <f t="shared" si="110"/>
        <v/>
      </c>
      <c r="R190" s="163" t="str">
        <f>IF($C190,IF(ISNUMBER('Proyecto Datos (OKR´s)'!$L190),'Proyecto Datos (OKR´s)'!$L190,$H190),"")</f>
        <v/>
      </c>
      <c r="S190" s="163" t="str">
        <f>IF($C190,$R190-'Proyecto Datos (OKR´s)'!$K190+1,"")</f>
        <v/>
      </c>
      <c r="T190" s="163" t="str">
        <f ca="1">IF($C190,MAX(0,TODAY()-'Proyecto Datos (OKR´s)'!$K190),"")</f>
        <v/>
      </c>
      <c r="U190" s="163" t="str">
        <f ca="1">IF($C190,MEDIAN(0,(TODAY()-'Proyecto Datos (OKR´s)'!$K190)/MAX(1,$R190-'Proyecto Datos (OKR´s)'!$K190),1),"")</f>
        <v/>
      </c>
      <c r="V190" s="163" t="str">
        <f t="shared" si="111"/>
        <v/>
      </c>
      <c r="W190" s="163" t="str">
        <f t="shared" ca="1" si="112"/>
        <v/>
      </c>
      <c r="X190" s="163" t="str">
        <f t="shared" si="113"/>
        <v/>
      </c>
      <c r="Y190" s="163" t="str">
        <f t="shared" si="114"/>
        <v/>
      </c>
      <c r="Z190" s="163" t="str">
        <f ca="1">IF($C190,AND($I190=0,'Proyecto Datos (OKR´s)'!$K190&lt;=TODAY(),$J190&lt;&gt;"Completado"),"")</f>
        <v/>
      </c>
      <c r="AA190" s="163" t="str">
        <f t="shared" si="115"/>
        <v/>
      </c>
      <c r="AB190" s="164" t="str">
        <f t="shared" si="116"/>
        <v/>
      </c>
      <c r="AC190" s="164" t="str">
        <f t="shared" si="117"/>
        <v/>
      </c>
      <c r="AD190" s="163" t="str">
        <f>IF($C190,IF($N190=9999,9999,IF($J190="Completado",$N190,MAX($N190,Sprints!$M$15))),"")</f>
        <v/>
      </c>
      <c r="AE190" s="163" t="str">
        <f t="shared" si="118"/>
        <v/>
      </c>
      <c r="AF190" s="163" t="b">
        <f t="shared" si="119"/>
        <v>0</v>
      </c>
      <c r="AG190" s="163" t="str">
        <f t="shared" si="120"/>
        <v/>
      </c>
      <c r="AH190" s="164" t="str">
        <f>IF($AF190,IF(Sprints!$I190&lt;&gt;"",Sprints!$I190,"Comprometida y no completada al cierre del Sprint "&amp;$N190),"")</f>
        <v/>
      </c>
      <c r="AI190" s="163" t="str">
        <f t="shared" si="121"/>
        <v/>
      </c>
      <c r="AJ190" s="163" t="str">
        <f t="shared" si="122"/>
        <v/>
      </c>
      <c r="AK190" s="163" t="str">
        <f t="shared" si="123"/>
        <v/>
      </c>
      <c r="AL190" s="163" t="str">
        <f t="shared" si="124"/>
        <v/>
      </c>
      <c r="AM190" s="163" t="str">
        <f t="shared" si="125"/>
        <v/>
      </c>
      <c r="AN190" s="164" t="str">
        <f t="shared" si="126"/>
        <v/>
      </c>
      <c r="AO190" s="163" t="str">
        <f>IF($C190,IFERROR(INDEX(Sprints!$M$6:$M$13,MATCH($N190,Sprints!$K$6:$K$13,0)),""),"")</f>
        <v/>
      </c>
      <c r="AP190" s="163" t="str">
        <f t="shared" ca="1" si="127"/>
        <v/>
      </c>
    </row>
    <row r="191" spans="1:42" x14ac:dyDescent="0.35">
      <c r="A191" s="163">
        <f>ROW()</f>
        <v>191</v>
      </c>
      <c r="B191" s="163" t="b">
        <f>ISTEXT('Proyecto Datos (OKR´s)'!$K191)</f>
        <v>0</v>
      </c>
      <c r="C191" s="163" t="b">
        <f>AND(LEN('Proyecto Datos (OKR´s)'!$G191)&gt;0,NOT($B191),OR(ISNUMBER('Proyecto Datos (OKR´s)'!$F191),ISNUMBER('Proyecto Datos (OKR´s)'!$L191)))</f>
        <v>0</v>
      </c>
      <c r="D191" s="164" t="str">
        <f>IF($C191,IFERROR(LOOKUP(2,1/((ISTEXT('Proyecto Datos (OKR´s)'!$K$7:$K191))*(LEN('Proyecto Datos (OKR´s)'!$G$7:$G191)&gt;0)),'Proyecto Datos (OKR´s)'!$G$7:$G191),""),"")</f>
        <v/>
      </c>
      <c r="E191" s="163" t="str">
        <f>IF($C191,'Proyecto Datos (OKR´s)'!$E191,"")</f>
        <v/>
      </c>
      <c r="F191" s="164" t="str">
        <f>IF($C191,'Proyecto Datos (OKR´s)'!$G191,"")</f>
        <v/>
      </c>
      <c r="G191" s="164" t="str">
        <f>IF($C191,IF('Proyecto Datos (OKR´s)'!$I191="","(Sin asignar)",'Proyecto Datos (OKR´s)'!$I191),"")</f>
        <v/>
      </c>
      <c r="H191" s="163" t="str">
        <f>IF($C191,IF(ISNUMBER('Proyecto Datos (OKR´s)'!$F191),'Proyecto Datos (OKR´s)'!$F191,'Proyecto Datos (OKR´s)'!$L191),"")</f>
        <v/>
      </c>
      <c r="I191" s="163" t="str">
        <f>IF($C191,'Proyecto Datos (OKR´s)'!$J191,"")</f>
        <v/>
      </c>
      <c r="J191" s="164" t="str">
        <f ca="1">IF($C191,IF($I191&gt;=1,"Completado",IF($H191&lt;TODAY(),"Vencido",IF(($H191-TODAY())&lt;='Entregas Próximas'!$M$3,"Próximo a vencer","En curso"))),"")</f>
        <v/>
      </c>
      <c r="K191" s="163" t="str">
        <f t="shared" ca="1" si="107"/>
        <v/>
      </c>
      <c r="L191" s="163" t="str">
        <f t="shared" si="108"/>
        <v/>
      </c>
      <c r="M191" s="163" t="str">
        <f t="shared" si="109"/>
        <v/>
      </c>
      <c r="N191" s="163" t="str">
        <f>IF($C191,IF('Proyecto Datos (OKR´s)'!$E191="",9999,'Proyecto Datos (OKR´s)'!$E191),"")</f>
        <v/>
      </c>
      <c r="O191" s="163" t="str">
        <f t="shared" si="110"/>
        <v/>
      </c>
      <c r="R191" s="163" t="str">
        <f>IF($C191,IF(ISNUMBER('Proyecto Datos (OKR´s)'!$L191),'Proyecto Datos (OKR´s)'!$L191,$H191),"")</f>
        <v/>
      </c>
      <c r="S191" s="163" t="str">
        <f>IF($C191,$R191-'Proyecto Datos (OKR´s)'!$K191+1,"")</f>
        <v/>
      </c>
      <c r="T191" s="163" t="str">
        <f ca="1">IF($C191,MAX(0,TODAY()-'Proyecto Datos (OKR´s)'!$K191),"")</f>
        <v/>
      </c>
      <c r="U191" s="163" t="str">
        <f ca="1">IF($C191,MEDIAN(0,(TODAY()-'Proyecto Datos (OKR´s)'!$K191)/MAX(1,$R191-'Proyecto Datos (OKR´s)'!$K191),1),"")</f>
        <v/>
      </c>
      <c r="V191" s="163" t="str">
        <f t="shared" si="111"/>
        <v/>
      </c>
      <c r="W191" s="163" t="str">
        <f t="shared" ca="1" si="112"/>
        <v/>
      </c>
      <c r="X191" s="163" t="str">
        <f t="shared" si="113"/>
        <v/>
      </c>
      <c r="Y191" s="163" t="str">
        <f t="shared" si="114"/>
        <v/>
      </c>
      <c r="Z191" s="163" t="str">
        <f ca="1">IF($C191,AND($I191=0,'Proyecto Datos (OKR´s)'!$K191&lt;=TODAY(),$J191&lt;&gt;"Completado"),"")</f>
        <v/>
      </c>
      <c r="AA191" s="163" t="str">
        <f t="shared" si="115"/>
        <v/>
      </c>
      <c r="AB191" s="164" t="str">
        <f t="shared" si="116"/>
        <v/>
      </c>
      <c r="AC191" s="164" t="str">
        <f t="shared" si="117"/>
        <v/>
      </c>
      <c r="AD191" s="163" t="str">
        <f>IF($C191,IF($N191=9999,9999,IF($J191="Completado",$N191,MAX($N191,Sprints!$M$15))),"")</f>
        <v/>
      </c>
      <c r="AE191" s="163" t="str">
        <f t="shared" si="118"/>
        <v/>
      </c>
      <c r="AF191" s="163" t="b">
        <f t="shared" si="119"/>
        <v>0</v>
      </c>
      <c r="AG191" s="163" t="str">
        <f t="shared" si="120"/>
        <v/>
      </c>
      <c r="AH191" s="164" t="str">
        <f>IF($AF191,IF(Sprints!$I191&lt;&gt;"",Sprints!$I191,"Comprometida y no completada al cierre del Sprint "&amp;$N191),"")</f>
        <v/>
      </c>
      <c r="AI191" s="163" t="str">
        <f t="shared" si="121"/>
        <v/>
      </c>
      <c r="AJ191" s="163" t="str">
        <f t="shared" si="122"/>
        <v/>
      </c>
      <c r="AK191" s="163" t="str">
        <f t="shared" si="123"/>
        <v/>
      </c>
      <c r="AL191" s="163" t="str">
        <f t="shared" si="124"/>
        <v/>
      </c>
      <c r="AM191" s="163" t="str">
        <f t="shared" si="125"/>
        <v/>
      </c>
      <c r="AN191" s="164" t="str">
        <f t="shared" si="126"/>
        <v/>
      </c>
      <c r="AO191" s="163" t="str">
        <f>IF($C191,IFERROR(INDEX(Sprints!$M$6:$M$13,MATCH($N191,Sprints!$K$6:$K$13,0)),""),"")</f>
        <v/>
      </c>
      <c r="AP191" s="163" t="str">
        <f t="shared" ca="1" si="127"/>
        <v/>
      </c>
    </row>
    <row r="192" spans="1:42" x14ac:dyDescent="0.35">
      <c r="A192" s="163">
        <f>ROW()</f>
        <v>192</v>
      </c>
      <c r="B192" s="163" t="b">
        <f>ISTEXT('Proyecto Datos (OKR´s)'!$K192)</f>
        <v>0</v>
      </c>
      <c r="C192" s="163" t="b">
        <f>AND(LEN('Proyecto Datos (OKR´s)'!$G192)&gt;0,NOT($B192),OR(ISNUMBER('Proyecto Datos (OKR´s)'!$F192),ISNUMBER('Proyecto Datos (OKR´s)'!$L192)))</f>
        <v>0</v>
      </c>
      <c r="D192" s="164" t="str">
        <f>IF($C192,IFERROR(LOOKUP(2,1/((ISTEXT('Proyecto Datos (OKR´s)'!$K$7:$K192))*(LEN('Proyecto Datos (OKR´s)'!$G$7:$G192)&gt;0)),'Proyecto Datos (OKR´s)'!$G$7:$G192),""),"")</f>
        <v/>
      </c>
      <c r="E192" s="163" t="str">
        <f>IF($C192,'Proyecto Datos (OKR´s)'!$E192,"")</f>
        <v/>
      </c>
      <c r="F192" s="164" t="str">
        <f>IF($C192,'Proyecto Datos (OKR´s)'!$G192,"")</f>
        <v/>
      </c>
      <c r="G192" s="164" t="str">
        <f>IF($C192,IF('Proyecto Datos (OKR´s)'!$I192="","(Sin asignar)",'Proyecto Datos (OKR´s)'!$I192),"")</f>
        <v/>
      </c>
      <c r="H192" s="163" t="str">
        <f>IF($C192,IF(ISNUMBER('Proyecto Datos (OKR´s)'!$F192),'Proyecto Datos (OKR´s)'!$F192,'Proyecto Datos (OKR´s)'!$L192),"")</f>
        <v/>
      </c>
      <c r="I192" s="163" t="str">
        <f>IF($C192,'Proyecto Datos (OKR´s)'!$J192,"")</f>
        <v/>
      </c>
      <c r="J192" s="164" t="str">
        <f ca="1">IF($C192,IF($I192&gt;=1,"Completado",IF($H192&lt;TODAY(),"Vencido",IF(($H192-TODAY())&lt;='Entregas Próximas'!$M$3,"Próximo a vencer","En curso"))),"")</f>
        <v/>
      </c>
      <c r="K192" s="163" t="str">
        <f t="shared" ca="1" si="107"/>
        <v/>
      </c>
      <c r="L192" s="163" t="str">
        <f t="shared" si="108"/>
        <v/>
      </c>
      <c r="M192" s="163" t="str">
        <f t="shared" si="109"/>
        <v/>
      </c>
      <c r="N192" s="163" t="str">
        <f>IF($C192,IF('Proyecto Datos (OKR´s)'!$E192="",9999,'Proyecto Datos (OKR´s)'!$E192),"")</f>
        <v/>
      </c>
      <c r="O192" s="163" t="str">
        <f t="shared" si="110"/>
        <v/>
      </c>
      <c r="R192" s="163" t="str">
        <f>IF($C192,IF(ISNUMBER('Proyecto Datos (OKR´s)'!$L192),'Proyecto Datos (OKR´s)'!$L192,$H192),"")</f>
        <v/>
      </c>
      <c r="S192" s="163" t="str">
        <f>IF($C192,$R192-'Proyecto Datos (OKR´s)'!$K192+1,"")</f>
        <v/>
      </c>
      <c r="T192" s="163" t="str">
        <f ca="1">IF($C192,MAX(0,TODAY()-'Proyecto Datos (OKR´s)'!$K192),"")</f>
        <v/>
      </c>
      <c r="U192" s="163" t="str">
        <f ca="1">IF($C192,MEDIAN(0,(TODAY()-'Proyecto Datos (OKR´s)'!$K192)/MAX(1,$R192-'Proyecto Datos (OKR´s)'!$K192),1),"")</f>
        <v/>
      </c>
      <c r="V192" s="163" t="str">
        <f t="shared" si="111"/>
        <v/>
      </c>
      <c r="W192" s="163" t="str">
        <f t="shared" ca="1" si="112"/>
        <v/>
      </c>
      <c r="X192" s="163" t="str">
        <f t="shared" si="113"/>
        <v/>
      </c>
      <c r="Y192" s="163" t="str">
        <f t="shared" si="114"/>
        <v/>
      </c>
      <c r="Z192" s="163" t="str">
        <f ca="1">IF($C192,AND($I192=0,'Proyecto Datos (OKR´s)'!$K192&lt;=TODAY(),$J192&lt;&gt;"Completado"),"")</f>
        <v/>
      </c>
      <c r="AA192" s="163" t="str">
        <f t="shared" si="115"/>
        <v/>
      </c>
      <c r="AB192" s="164" t="str">
        <f t="shared" si="116"/>
        <v/>
      </c>
      <c r="AC192" s="164" t="str">
        <f t="shared" si="117"/>
        <v/>
      </c>
      <c r="AD192" s="163" t="str">
        <f>IF($C192,IF($N192=9999,9999,IF($J192="Completado",$N192,MAX($N192,Sprints!$M$15))),"")</f>
        <v/>
      </c>
      <c r="AE192" s="163" t="str">
        <f t="shared" si="118"/>
        <v/>
      </c>
      <c r="AF192" s="163" t="b">
        <f t="shared" si="119"/>
        <v>0</v>
      </c>
      <c r="AG192" s="163" t="str">
        <f t="shared" si="120"/>
        <v/>
      </c>
      <c r="AH192" s="164" t="str">
        <f>IF($AF192,IF(Sprints!$I192&lt;&gt;"",Sprints!$I192,"Comprometida y no completada al cierre del Sprint "&amp;$N192),"")</f>
        <v/>
      </c>
      <c r="AI192" s="163" t="str">
        <f t="shared" si="121"/>
        <v/>
      </c>
      <c r="AJ192" s="163" t="str">
        <f t="shared" si="122"/>
        <v/>
      </c>
      <c r="AK192" s="163" t="str">
        <f t="shared" si="123"/>
        <v/>
      </c>
      <c r="AL192" s="163" t="str">
        <f t="shared" si="124"/>
        <v/>
      </c>
      <c r="AM192" s="163" t="str">
        <f t="shared" si="125"/>
        <v/>
      </c>
      <c r="AN192" s="164" t="str">
        <f t="shared" si="126"/>
        <v/>
      </c>
      <c r="AO192" s="163" t="str">
        <f>IF($C192,IFERROR(INDEX(Sprints!$M$6:$M$13,MATCH($N192,Sprints!$K$6:$K$13,0)),""),"")</f>
        <v/>
      </c>
      <c r="AP192" s="163" t="str">
        <f t="shared" ca="1" si="127"/>
        <v/>
      </c>
    </row>
    <row r="193" spans="1:42" x14ac:dyDescent="0.35">
      <c r="A193" s="163">
        <f>ROW()</f>
        <v>193</v>
      </c>
      <c r="B193" s="163" t="b">
        <f>ISTEXT('Proyecto Datos (OKR´s)'!$K193)</f>
        <v>0</v>
      </c>
      <c r="C193" s="163" t="b">
        <f>AND(LEN('Proyecto Datos (OKR´s)'!$G193)&gt;0,NOT($B193),OR(ISNUMBER('Proyecto Datos (OKR´s)'!$F193),ISNUMBER('Proyecto Datos (OKR´s)'!$L193)))</f>
        <v>0</v>
      </c>
      <c r="D193" s="164" t="str">
        <f>IF($C193,IFERROR(LOOKUP(2,1/((ISTEXT('Proyecto Datos (OKR´s)'!$K$7:$K193))*(LEN('Proyecto Datos (OKR´s)'!$G$7:$G193)&gt;0)),'Proyecto Datos (OKR´s)'!$G$7:$G193),""),"")</f>
        <v/>
      </c>
      <c r="E193" s="163" t="str">
        <f>IF($C193,'Proyecto Datos (OKR´s)'!$E193,"")</f>
        <v/>
      </c>
      <c r="F193" s="164" t="str">
        <f>IF($C193,'Proyecto Datos (OKR´s)'!$G193,"")</f>
        <v/>
      </c>
      <c r="G193" s="164" t="str">
        <f>IF($C193,IF('Proyecto Datos (OKR´s)'!$I193="","(Sin asignar)",'Proyecto Datos (OKR´s)'!$I193),"")</f>
        <v/>
      </c>
      <c r="H193" s="163" t="str">
        <f>IF($C193,IF(ISNUMBER('Proyecto Datos (OKR´s)'!$F193),'Proyecto Datos (OKR´s)'!$F193,'Proyecto Datos (OKR´s)'!$L193),"")</f>
        <v/>
      </c>
      <c r="I193" s="163" t="str">
        <f>IF($C193,'Proyecto Datos (OKR´s)'!$J193,"")</f>
        <v/>
      </c>
      <c r="J193" s="164" t="str">
        <f ca="1">IF($C193,IF($I193&gt;=1,"Completado",IF($H193&lt;TODAY(),"Vencido",IF(($H193-TODAY())&lt;='Entregas Próximas'!$M$3,"Próximo a vencer","En curso"))),"")</f>
        <v/>
      </c>
      <c r="K193" s="163" t="str">
        <f t="shared" ca="1" si="107"/>
        <v/>
      </c>
      <c r="L193" s="163" t="str">
        <f t="shared" si="108"/>
        <v/>
      </c>
      <c r="M193" s="163" t="str">
        <f t="shared" si="109"/>
        <v/>
      </c>
      <c r="N193" s="163" t="str">
        <f>IF($C193,IF('Proyecto Datos (OKR´s)'!$E193="",9999,'Proyecto Datos (OKR´s)'!$E193),"")</f>
        <v/>
      </c>
      <c r="O193" s="163" t="str">
        <f t="shared" si="110"/>
        <v/>
      </c>
      <c r="R193" s="163" t="str">
        <f>IF($C193,IF(ISNUMBER('Proyecto Datos (OKR´s)'!$L193),'Proyecto Datos (OKR´s)'!$L193,$H193),"")</f>
        <v/>
      </c>
      <c r="S193" s="163" t="str">
        <f>IF($C193,$R193-'Proyecto Datos (OKR´s)'!$K193+1,"")</f>
        <v/>
      </c>
      <c r="T193" s="163" t="str">
        <f ca="1">IF($C193,MAX(0,TODAY()-'Proyecto Datos (OKR´s)'!$K193),"")</f>
        <v/>
      </c>
      <c r="U193" s="163" t="str">
        <f ca="1">IF($C193,MEDIAN(0,(TODAY()-'Proyecto Datos (OKR´s)'!$K193)/MAX(1,$R193-'Proyecto Datos (OKR´s)'!$K193),1),"")</f>
        <v/>
      </c>
      <c r="V193" s="163" t="str">
        <f t="shared" si="111"/>
        <v/>
      </c>
      <c r="W193" s="163" t="str">
        <f t="shared" ca="1" si="112"/>
        <v/>
      </c>
      <c r="X193" s="163" t="str">
        <f t="shared" si="113"/>
        <v/>
      </c>
      <c r="Y193" s="163" t="str">
        <f t="shared" si="114"/>
        <v/>
      </c>
      <c r="Z193" s="163" t="str">
        <f ca="1">IF($C193,AND($I193=0,'Proyecto Datos (OKR´s)'!$K193&lt;=TODAY(),$J193&lt;&gt;"Completado"),"")</f>
        <v/>
      </c>
      <c r="AA193" s="163" t="str">
        <f t="shared" si="115"/>
        <v/>
      </c>
      <c r="AB193" s="164" t="str">
        <f t="shared" si="116"/>
        <v/>
      </c>
      <c r="AC193" s="164" t="str">
        <f t="shared" si="117"/>
        <v/>
      </c>
      <c r="AD193" s="163" t="str">
        <f>IF($C193,IF($N193=9999,9999,IF($J193="Completado",$N193,MAX($N193,Sprints!$M$15))),"")</f>
        <v/>
      </c>
      <c r="AE193" s="163" t="str">
        <f t="shared" si="118"/>
        <v/>
      </c>
      <c r="AF193" s="163" t="b">
        <f t="shared" si="119"/>
        <v>0</v>
      </c>
      <c r="AG193" s="163" t="str">
        <f t="shared" si="120"/>
        <v/>
      </c>
      <c r="AH193" s="164" t="str">
        <f>IF($AF193,IF(Sprints!$I193&lt;&gt;"",Sprints!$I193,"Comprometida y no completada al cierre del Sprint "&amp;$N193),"")</f>
        <v/>
      </c>
      <c r="AI193" s="163" t="str">
        <f t="shared" si="121"/>
        <v/>
      </c>
      <c r="AJ193" s="163" t="str">
        <f t="shared" si="122"/>
        <v/>
      </c>
      <c r="AK193" s="163" t="str">
        <f t="shared" si="123"/>
        <v/>
      </c>
      <c r="AL193" s="163" t="str">
        <f t="shared" si="124"/>
        <v/>
      </c>
      <c r="AM193" s="163" t="str">
        <f t="shared" si="125"/>
        <v/>
      </c>
      <c r="AN193" s="164" t="str">
        <f t="shared" si="126"/>
        <v/>
      </c>
      <c r="AO193" s="163" t="str">
        <f>IF($C193,IFERROR(INDEX(Sprints!$M$6:$M$13,MATCH($N193,Sprints!$K$6:$K$13,0)),""),"")</f>
        <v/>
      </c>
      <c r="AP193" s="163" t="str">
        <f t="shared" ca="1" si="127"/>
        <v/>
      </c>
    </row>
    <row r="194" spans="1:42" x14ac:dyDescent="0.35">
      <c r="A194" s="163">
        <f>ROW()</f>
        <v>194</v>
      </c>
      <c r="B194" s="163" t="b">
        <f>ISTEXT('Proyecto Datos (OKR´s)'!$K194)</f>
        <v>0</v>
      </c>
      <c r="C194" s="163" t="b">
        <f>AND(LEN('Proyecto Datos (OKR´s)'!$G194)&gt;0,NOT($B194),OR(ISNUMBER('Proyecto Datos (OKR´s)'!$F194),ISNUMBER('Proyecto Datos (OKR´s)'!$L194)))</f>
        <v>0</v>
      </c>
      <c r="D194" s="164" t="str">
        <f>IF($C194,IFERROR(LOOKUP(2,1/((ISTEXT('Proyecto Datos (OKR´s)'!$K$7:$K194))*(LEN('Proyecto Datos (OKR´s)'!$G$7:$G194)&gt;0)),'Proyecto Datos (OKR´s)'!$G$7:$G194),""),"")</f>
        <v/>
      </c>
      <c r="E194" s="163" t="str">
        <f>IF($C194,'Proyecto Datos (OKR´s)'!$E194,"")</f>
        <v/>
      </c>
      <c r="F194" s="164" t="str">
        <f>IF($C194,'Proyecto Datos (OKR´s)'!$G194,"")</f>
        <v/>
      </c>
      <c r="G194" s="164" t="str">
        <f>IF($C194,IF('Proyecto Datos (OKR´s)'!$I194="","(Sin asignar)",'Proyecto Datos (OKR´s)'!$I194),"")</f>
        <v/>
      </c>
      <c r="H194" s="163" t="str">
        <f>IF($C194,IF(ISNUMBER('Proyecto Datos (OKR´s)'!$F194),'Proyecto Datos (OKR´s)'!$F194,'Proyecto Datos (OKR´s)'!$L194),"")</f>
        <v/>
      </c>
      <c r="I194" s="163" t="str">
        <f>IF($C194,'Proyecto Datos (OKR´s)'!$J194,"")</f>
        <v/>
      </c>
      <c r="J194" s="164" t="str">
        <f ca="1">IF($C194,IF($I194&gt;=1,"Completado",IF($H194&lt;TODAY(),"Vencido",IF(($H194-TODAY())&lt;='Entregas Próximas'!$M$3,"Próximo a vencer","En curso"))),"")</f>
        <v/>
      </c>
      <c r="K194" s="163" t="str">
        <f t="shared" ca="1" si="107"/>
        <v/>
      </c>
      <c r="L194" s="163" t="str">
        <f t="shared" si="108"/>
        <v/>
      </c>
      <c r="M194" s="163" t="str">
        <f t="shared" si="109"/>
        <v/>
      </c>
      <c r="N194" s="163" t="str">
        <f>IF($C194,IF('Proyecto Datos (OKR´s)'!$E194="",9999,'Proyecto Datos (OKR´s)'!$E194),"")</f>
        <v/>
      </c>
      <c r="O194" s="163" t="str">
        <f t="shared" si="110"/>
        <v/>
      </c>
      <c r="R194" s="163" t="str">
        <f>IF($C194,IF(ISNUMBER('Proyecto Datos (OKR´s)'!$L194),'Proyecto Datos (OKR´s)'!$L194,$H194),"")</f>
        <v/>
      </c>
      <c r="S194" s="163" t="str">
        <f>IF($C194,$R194-'Proyecto Datos (OKR´s)'!$K194+1,"")</f>
        <v/>
      </c>
      <c r="T194" s="163" t="str">
        <f ca="1">IF($C194,MAX(0,TODAY()-'Proyecto Datos (OKR´s)'!$K194),"")</f>
        <v/>
      </c>
      <c r="U194" s="163" t="str">
        <f ca="1">IF($C194,MEDIAN(0,(TODAY()-'Proyecto Datos (OKR´s)'!$K194)/MAX(1,$R194-'Proyecto Datos (OKR´s)'!$K194),1),"")</f>
        <v/>
      </c>
      <c r="V194" s="163" t="str">
        <f t="shared" si="111"/>
        <v/>
      </c>
      <c r="W194" s="163" t="str">
        <f t="shared" ca="1" si="112"/>
        <v/>
      </c>
      <c r="X194" s="163" t="str">
        <f t="shared" si="113"/>
        <v/>
      </c>
      <c r="Y194" s="163" t="str">
        <f t="shared" si="114"/>
        <v/>
      </c>
      <c r="Z194" s="163" t="str">
        <f ca="1">IF($C194,AND($I194=0,'Proyecto Datos (OKR´s)'!$K194&lt;=TODAY(),$J194&lt;&gt;"Completado"),"")</f>
        <v/>
      </c>
      <c r="AA194" s="163" t="str">
        <f t="shared" si="115"/>
        <v/>
      </c>
      <c r="AB194" s="164" t="str">
        <f t="shared" si="116"/>
        <v/>
      </c>
      <c r="AC194" s="164" t="str">
        <f t="shared" si="117"/>
        <v/>
      </c>
      <c r="AD194" s="163" t="str">
        <f>IF($C194,IF($N194=9999,9999,IF($J194="Completado",$N194,MAX($N194,Sprints!$M$15))),"")</f>
        <v/>
      </c>
      <c r="AE194" s="163" t="str">
        <f t="shared" si="118"/>
        <v/>
      </c>
      <c r="AF194" s="163" t="b">
        <f t="shared" si="119"/>
        <v>0</v>
      </c>
      <c r="AG194" s="163" t="str">
        <f t="shared" si="120"/>
        <v/>
      </c>
      <c r="AH194" s="164" t="str">
        <f>IF($AF194,IF(Sprints!$I194&lt;&gt;"",Sprints!$I194,"Comprometida y no completada al cierre del Sprint "&amp;$N194),"")</f>
        <v/>
      </c>
      <c r="AI194" s="163" t="str">
        <f t="shared" si="121"/>
        <v/>
      </c>
      <c r="AJ194" s="163" t="str">
        <f t="shared" si="122"/>
        <v/>
      </c>
      <c r="AK194" s="163" t="str">
        <f t="shared" si="123"/>
        <v/>
      </c>
      <c r="AL194" s="163" t="str">
        <f t="shared" si="124"/>
        <v/>
      </c>
      <c r="AM194" s="163" t="str">
        <f t="shared" si="125"/>
        <v/>
      </c>
      <c r="AN194" s="164" t="str">
        <f t="shared" si="126"/>
        <v/>
      </c>
      <c r="AO194" s="163" t="str">
        <f>IF($C194,IFERROR(INDEX(Sprints!$M$6:$M$13,MATCH($N194,Sprints!$K$6:$K$13,0)),""),"")</f>
        <v/>
      </c>
      <c r="AP194" s="163" t="str">
        <f t="shared" ca="1" si="127"/>
        <v/>
      </c>
    </row>
    <row r="195" spans="1:42" x14ac:dyDescent="0.35">
      <c r="A195" s="163">
        <f>ROW()</f>
        <v>195</v>
      </c>
      <c r="B195" s="163" t="b">
        <f>ISTEXT('Proyecto Datos (OKR´s)'!$K195)</f>
        <v>0</v>
      </c>
      <c r="C195" s="163" t="b">
        <f>AND(LEN('Proyecto Datos (OKR´s)'!$G195)&gt;0,NOT($B195),OR(ISNUMBER('Proyecto Datos (OKR´s)'!$F195),ISNUMBER('Proyecto Datos (OKR´s)'!$L195)))</f>
        <v>0</v>
      </c>
      <c r="D195" s="164" t="str">
        <f>IF($C195,IFERROR(LOOKUP(2,1/((ISTEXT('Proyecto Datos (OKR´s)'!$K$7:$K195))*(LEN('Proyecto Datos (OKR´s)'!$G$7:$G195)&gt;0)),'Proyecto Datos (OKR´s)'!$G$7:$G195),""),"")</f>
        <v/>
      </c>
      <c r="E195" s="163" t="str">
        <f>IF($C195,'Proyecto Datos (OKR´s)'!$E195,"")</f>
        <v/>
      </c>
      <c r="F195" s="164" t="str">
        <f>IF($C195,'Proyecto Datos (OKR´s)'!$G195,"")</f>
        <v/>
      </c>
      <c r="G195" s="164" t="str">
        <f>IF($C195,IF('Proyecto Datos (OKR´s)'!$I195="","(Sin asignar)",'Proyecto Datos (OKR´s)'!$I195),"")</f>
        <v/>
      </c>
      <c r="H195" s="163" t="str">
        <f>IF($C195,IF(ISNUMBER('Proyecto Datos (OKR´s)'!$F195),'Proyecto Datos (OKR´s)'!$F195,'Proyecto Datos (OKR´s)'!$L195),"")</f>
        <v/>
      </c>
      <c r="I195" s="163" t="str">
        <f>IF($C195,'Proyecto Datos (OKR´s)'!$J195,"")</f>
        <v/>
      </c>
      <c r="J195" s="164" t="str">
        <f ca="1">IF($C195,IF($I195&gt;=1,"Completado",IF($H195&lt;TODAY(),"Vencido",IF(($H195-TODAY())&lt;='Entregas Próximas'!$M$3,"Próximo a vencer","En curso"))),"")</f>
        <v/>
      </c>
      <c r="K195" s="163" t="str">
        <f t="shared" ca="1" si="107"/>
        <v/>
      </c>
      <c r="L195" s="163" t="str">
        <f t="shared" si="108"/>
        <v/>
      </c>
      <c r="M195" s="163" t="str">
        <f t="shared" si="109"/>
        <v/>
      </c>
      <c r="N195" s="163" t="str">
        <f>IF($C195,IF('Proyecto Datos (OKR´s)'!$E195="",9999,'Proyecto Datos (OKR´s)'!$E195),"")</f>
        <v/>
      </c>
      <c r="O195" s="163" t="str">
        <f t="shared" si="110"/>
        <v/>
      </c>
      <c r="R195" s="163" t="str">
        <f>IF($C195,IF(ISNUMBER('Proyecto Datos (OKR´s)'!$L195),'Proyecto Datos (OKR´s)'!$L195,$H195),"")</f>
        <v/>
      </c>
      <c r="S195" s="163" t="str">
        <f>IF($C195,$R195-'Proyecto Datos (OKR´s)'!$K195+1,"")</f>
        <v/>
      </c>
      <c r="T195" s="163" t="str">
        <f ca="1">IF($C195,MAX(0,TODAY()-'Proyecto Datos (OKR´s)'!$K195),"")</f>
        <v/>
      </c>
      <c r="U195" s="163" t="str">
        <f ca="1">IF($C195,MEDIAN(0,(TODAY()-'Proyecto Datos (OKR´s)'!$K195)/MAX(1,$R195-'Proyecto Datos (OKR´s)'!$K195),1),"")</f>
        <v/>
      </c>
      <c r="V195" s="163" t="str">
        <f t="shared" si="111"/>
        <v/>
      </c>
      <c r="W195" s="163" t="str">
        <f t="shared" ca="1" si="112"/>
        <v/>
      </c>
      <c r="X195" s="163" t="str">
        <f t="shared" si="113"/>
        <v/>
      </c>
      <c r="Y195" s="163" t="str">
        <f t="shared" si="114"/>
        <v/>
      </c>
      <c r="Z195" s="163" t="str">
        <f ca="1">IF($C195,AND($I195=0,'Proyecto Datos (OKR´s)'!$K195&lt;=TODAY(),$J195&lt;&gt;"Completado"),"")</f>
        <v/>
      </c>
      <c r="AA195" s="163" t="str">
        <f t="shared" si="115"/>
        <v/>
      </c>
      <c r="AB195" s="164" t="str">
        <f t="shared" si="116"/>
        <v/>
      </c>
      <c r="AC195" s="164" t="str">
        <f t="shared" si="117"/>
        <v/>
      </c>
      <c r="AD195" s="163" t="str">
        <f>IF($C195,IF($N195=9999,9999,IF($J195="Completado",$N195,MAX($N195,Sprints!$M$15))),"")</f>
        <v/>
      </c>
      <c r="AE195" s="163" t="str">
        <f t="shared" si="118"/>
        <v/>
      </c>
      <c r="AF195" s="163" t="b">
        <f t="shared" si="119"/>
        <v>0</v>
      </c>
      <c r="AG195" s="163" t="str">
        <f t="shared" si="120"/>
        <v/>
      </c>
      <c r="AH195" s="164" t="str">
        <f>IF($AF195,IF(Sprints!$I195&lt;&gt;"",Sprints!$I195,"Comprometida y no completada al cierre del Sprint "&amp;$N195),"")</f>
        <v/>
      </c>
      <c r="AI195" s="163" t="str">
        <f t="shared" si="121"/>
        <v/>
      </c>
      <c r="AJ195" s="163" t="str">
        <f t="shared" si="122"/>
        <v/>
      </c>
      <c r="AK195" s="163" t="str">
        <f t="shared" si="123"/>
        <v/>
      </c>
      <c r="AL195" s="163" t="str">
        <f t="shared" si="124"/>
        <v/>
      </c>
      <c r="AM195" s="163" t="str">
        <f t="shared" si="125"/>
        <v/>
      </c>
      <c r="AN195" s="164" t="str">
        <f t="shared" si="126"/>
        <v/>
      </c>
      <c r="AO195" s="163" t="str">
        <f>IF($C195,IFERROR(INDEX(Sprints!$M$6:$M$13,MATCH($N195,Sprints!$K$6:$K$13,0)),""),"")</f>
        <v/>
      </c>
      <c r="AP195" s="163" t="str">
        <f t="shared" ca="1" si="127"/>
        <v/>
      </c>
    </row>
    <row r="196" spans="1:42" x14ac:dyDescent="0.35">
      <c r="A196" s="163">
        <f>ROW()</f>
        <v>196</v>
      </c>
      <c r="B196" s="163" t="b">
        <f>ISTEXT('Proyecto Datos (OKR´s)'!$K196)</f>
        <v>0</v>
      </c>
      <c r="C196" s="163" t="b">
        <f>AND(LEN('Proyecto Datos (OKR´s)'!$G196)&gt;0,NOT($B196),OR(ISNUMBER('Proyecto Datos (OKR´s)'!$F196),ISNUMBER('Proyecto Datos (OKR´s)'!$L196)))</f>
        <v>0</v>
      </c>
      <c r="D196" s="164" t="str">
        <f>IF($C196,IFERROR(LOOKUP(2,1/((ISTEXT('Proyecto Datos (OKR´s)'!$K$7:$K196))*(LEN('Proyecto Datos (OKR´s)'!$G$7:$G196)&gt;0)),'Proyecto Datos (OKR´s)'!$G$7:$G196),""),"")</f>
        <v/>
      </c>
      <c r="E196" s="163" t="str">
        <f>IF($C196,'Proyecto Datos (OKR´s)'!$E196,"")</f>
        <v/>
      </c>
      <c r="F196" s="164" t="str">
        <f>IF($C196,'Proyecto Datos (OKR´s)'!$G196,"")</f>
        <v/>
      </c>
      <c r="G196" s="164" t="str">
        <f>IF($C196,IF('Proyecto Datos (OKR´s)'!$I196="","(Sin asignar)",'Proyecto Datos (OKR´s)'!$I196),"")</f>
        <v/>
      </c>
      <c r="H196" s="163" t="str">
        <f>IF($C196,IF(ISNUMBER('Proyecto Datos (OKR´s)'!$F196),'Proyecto Datos (OKR´s)'!$F196,'Proyecto Datos (OKR´s)'!$L196),"")</f>
        <v/>
      </c>
      <c r="I196" s="163" t="str">
        <f>IF($C196,'Proyecto Datos (OKR´s)'!$J196,"")</f>
        <v/>
      </c>
      <c r="J196" s="164" t="str">
        <f ca="1">IF($C196,IF($I196&gt;=1,"Completado",IF($H196&lt;TODAY(),"Vencido",IF(($H196-TODAY())&lt;='Entregas Próximas'!$M$3,"Próximo a vencer","En curso"))),"")</f>
        <v/>
      </c>
      <c r="K196" s="163" t="str">
        <f t="shared" ca="1" si="107"/>
        <v/>
      </c>
      <c r="L196" s="163" t="str">
        <f t="shared" si="108"/>
        <v/>
      </c>
      <c r="M196" s="163" t="str">
        <f t="shared" si="109"/>
        <v/>
      </c>
      <c r="N196" s="163" t="str">
        <f>IF($C196,IF('Proyecto Datos (OKR´s)'!$E196="",9999,'Proyecto Datos (OKR´s)'!$E196),"")</f>
        <v/>
      </c>
      <c r="O196" s="163" t="str">
        <f t="shared" si="110"/>
        <v/>
      </c>
      <c r="R196" s="163" t="str">
        <f>IF($C196,IF(ISNUMBER('Proyecto Datos (OKR´s)'!$L196),'Proyecto Datos (OKR´s)'!$L196,$H196),"")</f>
        <v/>
      </c>
      <c r="S196" s="163" t="str">
        <f>IF($C196,$R196-'Proyecto Datos (OKR´s)'!$K196+1,"")</f>
        <v/>
      </c>
      <c r="T196" s="163" t="str">
        <f ca="1">IF($C196,MAX(0,TODAY()-'Proyecto Datos (OKR´s)'!$K196),"")</f>
        <v/>
      </c>
      <c r="U196" s="163" t="str">
        <f ca="1">IF($C196,MEDIAN(0,(TODAY()-'Proyecto Datos (OKR´s)'!$K196)/MAX(1,$R196-'Proyecto Datos (OKR´s)'!$K196),1),"")</f>
        <v/>
      </c>
      <c r="V196" s="163" t="str">
        <f t="shared" si="111"/>
        <v/>
      </c>
      <c r="W196" s="163" t="str">
        <f t="shared" ca="1" si="112"/>
        <v/>
      </c>
      <c r="X196" s="163" t="str">
        <f t="shared" si="113"/>
        <v/>
      </c>
      <c r="Y196" s="163" t="str">
        <f t="shared" si="114"/>
        <v/>
      </c>
      <c r="Z196" s="163" t="str">
        <f ca="1">IF($C196,AND($I196=0,'Proyecto Datos (OKR´s)'!$K196&lt;=TODAY(),$J196&lt;&gt;"Completado"),"")</f>
        <v/>
      </c>
      <c r="AA196" s="163" t="str">
        <f t="shared" si="115"/>
        <v/>
      </c>
      <c r="AB196" s="164" t="str">
        <f t="shared" si="116"/>
        <v/>
      </c>
      <c r="AC196" s="164" t="str">
        <f t="shared" si="117"/>
        <v/>
      </c>
      <c r="AD196" s="163" t="str">
        <f>IF($C196,IF($N196=9999,9999,IF($J196="Completado",$N196,MAX($N196,Sprints!$M$15))),"")</f>
        <v/>
      </c>
      <c r="AE196" s="163" t="str">
        <f t="shared" si="118"/>
        <v/>
      </c>
      <c r="AF196" s="163" t="b">
        <f t="shared" si="119"/>
        <v>0</v>
      </c>
      <c r="AG196" s="163" t="str">
        <f t="shared" si="120"/>
        <v/>
      </c>
      <c r="AH196" s="164" t="str">
        <f>IF($AF196,IF(Sprints!$I196&lt;&gt;"",Sprints!$I196,"Comprometida y no completada al cierre del Sprint "&amp;$N196),"")</f>
        <v/>
      </c>
      <c r="AI196" s="163" t="str">
        <f t="shared" si="121"/>
        <v/>
      </c>
      <c r="AJ196" s="163" t="str">
        <f t="shared" si="122"/>
        <v/>
      </c>
      <c r="AK196" s="163" t="str">
        <f t="shared" si="123"/>
        <v/>
      </c>
      <c r="AL196" s="163" t="str">
        <f t="shared" si="124"/>
        <v/>
      </c>
      <c r="AM196" s="163" t="str">
        <f t="shared" si="125"/>
        <v/>
      </c>
      <c r="AN196" s="164" t="str">
        <f t="shared" si="126"/>
        <v/>
      </c>
      <c r="AO196" s="163" t="str">
        <f>IF($C196,IFERROR(INDEX(Sprints!$M$6:$M$13,MATCH($N196,Sprints!$K$6:$K$13,0)),""),"")</f>
        <v/>
      </c>
      <c r="AP196" s="163" t="str">
        <f t="shared" ca="1" si="127"/>
        <v/>
      </c>
    </row>
    <row r="197" spans="1:42" x14ac:dyDescent="0.35">
      <c r="A197" s="163">
        <f>ROW()</f>
        <v>197</v>
      </c>
      <c r="B197" s="163" t="b">
        <f>ISTEXT('Proyecto Datos (OKR´s)'!$K197)</f>
        <v>0</v>
      </c>
      <c r="C197" s="163" t="b">
        <f>AND(LEN('Proyecto Datos (OKR´s)'!$G197)&gt;0,NOT($B197),OR(ISNUMBER('Proyecto Datos (OKR´s)'!$F197),ISNUMBER('Proyecto Datos (OKR´s)'!$L197)))</f>
        <v>0</v>
      </c>
      <c r="D197" s="164" t="str">
        <f>IF($C197,IFERROR(LOOKUP(2,1/((ISTEXT('Proyecto Datos (OKR´s)'!$K$7:$K197))*(LEN('Proyecto Datos (OKR´s)'!$G$7:$G197)&gt;0)),'Proyecto Datos (OKR´s)'!$G$7:$G197),""),"")</f>
        <v/>
      </c>
      <c r="E197" s="163" t="str">
        <f>IF($C197,'Proyecto Datos (OKR´s)'!$E197,"")</f>
        <v/>
      </c>
      <c r="F197" s="164" t="str">
        <f>IF($C197,'Proyecto Datos (OKR´s)'!$G197,"")</f>
        <v/>
      </c>
      <c r="G197" s="164" t="str">
        <f>IF($C197,IF('Proyecto Datos (OKR´s)'!$I197="","(Sin asignar)",'Proyecto Datos (OKR´s)'!$I197),"")</f>
        <v/>
      </c>
      <c r="H197" s="163" t="str">
        <f>IF($C197,IF(ISNUMBER('Proyecto Datos (OKR´s)'!$F197),'Proyecto Datos (OKR´s)'!$F197,'Proyecto Datos (OKR´s)'!$L197),"")</f>
        <v/>
      </c>
      <c r="I197" s="163" t="str">
        <f>IF($C197,'Proyecto Datos (OKR´s)'!$J197,"")</f>
        <v/>
      </c>
      <c r="J197" s="164" t="str">
        <f ca="1">IF($C197,IF($I197&gt;=1,"Completado",IF($H197&lt;TODAY(),"Vencido",IF(($H197-TODAY())&lt;='Entregas Próximas'!$M$3,"Próximo a vencer","En curso"))),"")</f>
        <v/>
      </c>
      <c r="K197" s="163" t="str">
        <f t="shared" ca="1" si="107"/>
        <v/>
      </c>
      <c r="L197" s="163" t="str">
        <f t="shared" si="108"/>
        <v/>
      </c>
      <c r="M197" s="163" t="str">
        <f t="shared" si="109"/>
        <v/>
      </c>
      <c r="N197" s="163" t="str">
        <f>IF($C197,IF('Proyecto Datos (OKR´s)'!$E197="",9999,'Proyecto Datos (OKR´s)'!$E197),"")</f>
        <v/>
      </c>
      <c r="O197" s="163" t="str">
        <f t="shared" si="110"/>
        <v/>
      </c>
      <c r="R197" s="163" t="str">
        <f>IF($C197,IF(ISNUMBER('Proyecto Datos (OKR´s)'!$L197),'Proyecto Datos (OKR´s)'!$L197,$H197),"")</f>
        <v/>
      </c>
      <c r="S197" s="163" t="str">
        <f>IF($C197,$R197-'Proyecto Datos (OKR´s)'!$K197+1,"")</f>
        <v/>
      </c>
      <c r="T197" s="163" t="str">
        <f ca="1">IF($C197,MAX(0,TODAY()-'Proyecto Datos (OKR´s)'!$K197),"")</f>
        <v/>
      </c>
      <c r="U197" s="163" t="str">
        <f ca="1">IF($C197,MEDIAN(0,(TODAY()-'Proyecto Datos (OKR´s)'!$K197)/MAX(1,$R197-'Proyecto Datos (OKR´s)'!$K197),1),"")</f>
        <v/>
      </c>
      <c r="V197" s="163" t="str">
        <f t="shared" si="111"/>
        <v/>
      </c>
      <c r="W197" s="163" t="str">
        <f t="shared" ca="1" si="112"/>
        <v/>
      </c>
      <c r="X197" s="163" t="str">
        <f t="shared" si="113"/>
        <v/>
      </c>
      <c r="Y197" s="163" t="str">
        <f t="shared" si="114"/>
        <v/>
      </c>
      <c r="Z197" s="163" t="str">
        <f ca="1">IF($C197,AND($I197=0,'Proyecto Datos (OKR´s)'!$K197&lt;=TODAY(),$J197&lt;&gt;"Completado"),"")</f>
        <v/>
      </c>
      <c r="AA197" s="163" t="str">
        <f t="shared" si="115"/>
        <v/>
      </c>
      <c r="AB197" s="164" t="str">
        <f t="shared" si="116"/>
        <v/>
      </c>
      <c r="AC197" s="164" t="str">
        <f t="shared" si="117"/>
        <v/>
      </c>
      <c r="AD197" s="163" t="str">
        <f>IF($C197,IF($N197=9999,9999,IF($J197="Completado",$N197,MAX($N197,Sprints!$M$15))),"")</f>
        <v/>
      </c>
      <c r="AE197" s="163" t="str">
        <f t="shared" si="118"/>
        <v/>
      </c>
      <c r="AF197" s="163" t="b">
        <f t="shared" si="119"/>
        <v>0</v>
      </c>
      <c r="AG197" s="163" t="str">
        <f t="shared" si="120"/>
        <v/>
      </c>
      <c r="AH197" s="164" t="str">
        <f>IF($AF197,IF(Sprints!$I197&lt;&gt;"",Sprints!$I197,"Comprometida y no completada al cierre del Sprint "&amp;$N197),"")</f>
        <v/>
      </c>
      <c r="AI197" s="163" t="str">
        <f t="shared" si="121"/>
        <v/>
      </c>
      <c r="AJ197" s="163" t="str">
        <f t="shared" si="122"/>
        <v/>
      </c>
      <c r="AK197" s="163" t="str">
        <f t="shared" si="123"/>
        <v/>
      </c>
      <c r="AL197" s="163" t="str">
        <f t="shared" si="124"/>
        <v/>
      </c>
      <c r="AM197" s="163" t="str">
        <f t="shared" si="125"/>
        <v/>
      </c>
      <c r="AN197" s="164" t="str">
        <f t="shared" si="126"/>
        <v/>
      </c>
      <c r="AO197" s="163" t="str">
        <f>IF($C197,IFERROR(INDEX(Sprints!$M$6:$M$13,MATCH($N197,Sprints!$K$6:$K$13,0)),""),"")</f>
        <v/>
      </c>
      <c r="AP197" s="163" t="str">
        <f t="shared" ca="1" si="127"/>
        <v/>
      </c>
    </row>
    <row r="198" spans="1:42" x14ac:dyDescent="0.35">
      <c r="A198" s="163">
        <f>ROW()</f>
        <v>198</v>
      </c>
      <c r="B198" s="163" t="b">
        <f>ISTEXT('Proyecto Datos (OKR´s)'!$K198)</f>
        <v>0</v>
      </c>
      <c r="C198" s="163" t="b">
        <f>AND(LEN('Proyecto Datos (OKR´s)'!$G198)&gt;0,NOT($B198),OR(ISNUMBER('Proyecto Datos (OKR´s)'!$F198),ISNUMBER('Proyecto Datos (OKR´s)'!$L198)))</f>
        <v>0</v>
      </c>
      <c r="D198" s="164" t="str">
        <f>IF($C198,IFERROR(LOOKUP(2,1/((ISTEXT('Proyecto Datos (OKR´s)'!$K$7:$K198))*(LEN('Proyecto Datos (OKR´s)'!$G$7:$G198)&gt;0)),'Proyecto Datos (OKR´s)'!$G$7:$G198),""),"")</f>
        <v/>
      </c>
      <c r="E198" s="163" t="str">
        <f>IF($C198,'Proyecto Datos (OKR´s)'!$E198,"")</f>
        <v/>
      </c>
      <c r="F198" s="164" t="str">
        <f>IF($C198,'Proyecto Datos (OKR´s)'!$G198,"")</f>
        <v/>
      </c>
      <c r="G198" s="164" t="str">
        <f>IF($C198,IF('Proyecto Datos (OKR´s)'!$I198="","(Sin asignar)",'Proyecto Datos (OKR´s)'!$I198),"")</f>
        <v/>
      </c>
      <c r="H198" s="163" t="str">
        <f>IF($C198,IF(ISNUMBER('Proyecto Datos (OKR´s)'!$F198),'Proyecto Datos (OKR´s)'!$F198,'Proyecto Datos (OKR´s)'!$L198),"")</f>
        <v/>
      </c>
      <c r="I198" s="163" t="str">
        <f>IF($C198,'Proyecto Datos (OKR´s)'!$J198,"")</f>
        <v/>
      </c>
      <c r="J198" s="164" t="str">
        <f ca="1">IF($C198,IF($I198&gt;=1,"Completado",IF($H198&lt;TODAY(),"Vencido",IF(($H198-TODAY())&lt;='Entregas Próximas'!$M$3,"Próximo a vencer","En curso"))),"")</f>
        <v/>
      </c>
      <c r="K198" s="163" t="str">
        <f t="shared" ca="1" si="107"/>
        <v/>
      </c>
      <c r="L198" s="163" t="str">
        <f t="shared" si="108"/>
        <v/>
      </c>
      <c r="M198" s="163" t="str">
        <f t="shared" si="109"/>
        <v/>
      </c>
      <c r="N198" s="163" t="str">
        <f>IF($C198,IF('Proyecto Datos (OKR´s)'!$E198="",9999,'Proyecto Datos (OKR´s)'!$E198),"")</f>
        <v/>
      </c>
      <c r="O198" s="163" t="str">
        <f t="shared" si="110"/>
        <v/>
      </c>
      <c r="R198" s="163" t="str">
        <f>IF($C198,IF(ISNUMBER('Proyecto Datos (OKR´s)'!$L198),'Proyecto Datos (OKR´s)'!$L198,$H198),"")</f>
        <v/>
      </c>
      <c r="S198" s="163" t="str">
        <f>IF($C198,$R198-'Proyecto Datos (OKR´s)'!$K198+1,"")</f>
        <v/>
      </c>
      <c r="T198" s="163" t="str">
        <f ca="1">IF($C198,MAX(0,TODAY()-'Proyecto Datos (OKR´s)'!$K198),"")</f>
        <v/>
      </c>
      <c r="U198" s="163" t="str">
        <f ca="1">IF($C198,MEDIAN(0,(TODAY()-'Proyecto Datos (OKR´s)'!$K198)/MAX(1,$R198-'Proyecto Datos (OKR´s)'!$K198),1),"")</f>
        <v/>
      </c>
      <c r="V198" s="163" t="str">
        <f t="shared" si="111"/>
        <v/>
      </c>
      <c r="W198" s="163" t="str">
        <f t="shared" ca="1" si="112"/>
        <v/>
      </c>
      <c r="X198" s="163" t="str">
        <f t="shared" si="113"/>
        <v/>
      </c>
      <c r="Y198" s="163" t="str">
        <f t="shared" si="114"/>
        <v/>
      </c>
      <c r="Z198" s="163" t="str">
        <f ca="1">IF($C198,AND($I198=0,'Proyecto Datos (OKR´s)'!$K198&lt;=TODAY(),$J198&lt;&gt;"Completado"),"")</f>
        <v/>
      </c>
      <c r="AA198" s="163" t="str">
        <f t="shared" si="115"/>
        <v/>
      </c>
      <c r="AB198" s="164" t="str">
        <f t="shared" si="116"/>
        <v/>
      </c>
      <c r="AC198" s="164" t="str">
        <f t="shared" si="117"/>
        <v/>
      </c>
      <c r="AD198" s="163" t="str">
        <f>IF($C198,IF($N198=9999,9999,IF($J198="Completado",$N198,MAX($N198,Sprints!$M$15))),"")</f>
        <v/>
      </c>
      <c r="AE198" s="163" t="str">
        <f t="shared" si="118"/>
        <v/>
      </c>
      <c r="AF198" s="163" t="b">
        <f t="shared" si="119"/>
        <v>0</v>
      </c>
      <c r="AG198" s="163" t="str">
        <f t="shared" si="120"/>
        <v/>
      </c>
      <c r="AH198" s="164" t="str">
        <f>IF($AF198,IF(Sprints!$I198&lt;&gt;"",Sprints!$I198,"Comprometida y no completada al cierre del Sprint "&amp;$N198),"")</f>
        <v/>
      </c>
      <c r="AI198" s="163" t="str">
        <f t="shared" si="121"/>
        <v/>
      </c>
      <c r="AJ198" s="163" t="str">
        <f t="shared" si="122"/>
        <v/>
      </c>
      <c r="AK198" s="163" t="str">
        <f t="shared" si="123"/>
        <v/>
      </c>
      <c r="AL198" s="163" t="str">
        <f t="shared" si="124"/>
        <v/>
      </c>
      <c r="AM198" s="163" t="str">
        <f t="shared" si="125"/>
        <v/>
      </c>
      <c r="AN198" s="164" t="str">
        <f t="shared" si="126"/>
        <v/>
      </c>
      <c r="AO198" s="163" t="str">
        <f>IF($C198,IFERROR(INDEX(Sprints!$M$6:$M$13,MATCH($N198,Sprints!$K$6:$K$13,0)),""),"")</f>
        <v/>
      </c>
      <c r="AP198" s="163" t="str">
        <f t="shared" ca="1" si="127"/>
        <v/>
      </c>
    </row>
    <row r="199" spans="1:42" x14ac:dyDescent="0.35">
      <c r="A199" s="163">
        <f>ROW()</f>
        <v>199</v>
      </c>
      <c r="B199" s="163" t="b">
        <f>ISTEXT('Proyecto Datos (OKR´s)'!$K199)</f>
        <v>0</v>
      </c>
      <c r="C199" s="163" t="b">
        <f>AND(LEN('Proyecto Datos (OKR´s)'!$G199)&gt;0,NOT($B199),OR(ISNUMBER('Proyecto Datos (OKR´s)'!$F199),ISNUMBER('Proyecto Datos (OKR´s)'!$L199)))</f>
        <v>0</v>
      </c>
      <c r="D199" s="164" t="str">
        <f>IF($C199,IFERROR(LOOKUP(2,1/((ISTEXT('Proyecto Datos (OKR´s)'!$K$7:$K199))*(LEN('Proyecto Datos (OKR´s)'!$G$7:$G199)&gt;0)),'Proyecto Datos (OKR´s)'!$G$7:$G199),""),"")</f>
        <v/>
      </c>
      <c r="E199" s="163" t="str">
        <f>IF($C199,'Proyecto Datos (OKR´s)'!$E199,"")</f>
        <v/>
      </c>
      <c r="F199" s="164" t="str">
        <f>IF($C199,'Proyecto Datos (OKR´s)'!$G199,"")</f>
        <v/>
      </c>
      <c r="G199" s="164" t="str">
        <f>IF($C199,IF('Proyecto Datos (OKR´s)'!$I199="","(Sin asignar)",'Proyecto Datos (OKR´s)'!$I199),"")</f>
        <v/>
      </c>
      <c r="H199" s="163" t="str">
        <f>IF($C199,IF(ISNUMBER('Proyecto Datos (OKR´s)'!$F199),'Proyecto Datos (OKR´s)'!$F199,'Proyecto Datos (OKR´s)'!$L199),"")</f>
        <v/>
      </c>
      <c r="I199" s="163" t="str">
        <f>IF($C199,'Proyecto Datos (OKR´s)'!$J199,"")</f>
        <v/>
      </c>
      <c r="J199" s="164" t="str">
        <f ca="1">IF($C199,IF($I199&gt;=1,"Completado",IF($H199&lt;TODAY(),"Vencido",IF(($H199-TODAY())&lt;='Entregas Próximas'!$M$3,"Próximo a vencer","En curso"))),"")</f>
        <v/>
      </c>
      <c r="K199" s="163" t="str">
        <f t="shared" ca="1" si="107"/>
        <v/>
      </c>
      <c r="L199" s="163" t="str">
        <f t="shared" si="108"/>
        <v/>
      </c>
      <c r="M199" s="163" t="str">
        <f t="shared" si="109"/>
        <v/>
      </c>
      <c r="N199" s="163" t="str">
        <f>IF($C199,IF('Proyecto Datos (OKR´s)'!$E199="",9999,'Proyecto Datos (OKR´s)'!$E199),"")</f>
        <v/>
      </c>
      <c r="O199" s="163" t="str">
        <f t="shared" si="110"/>
        <v/>
      </c>
      <c r="R199" s="163" t="str">
        <f>IF($C199,IF(ISNUMBER('Proyecto Datos (OKR´s)'!$L199),'Proyecto Datos (OKR´s)'!$L199,$H199),"")</f>
        <v/>
      </c>
      <c r="S199" s="163" t="str">
        <f>IF($C199,$R199-'Proyecto Datos (OKR´s)'!$K199+1,"")</f>
        <v/>
      </c>
      <c r="T199" s="163" t="str">
        <f ca="1">IF($C199,MAX(0,TODAY()-'Proyecto Datos (OKR´s)'!$K199),"")</f>
        <v/>
      </c>
      <c r="U199" s="163" t="str">
        <f ca="1">IF($C199,MEDIAN(0,(TODAY()-'Proyecto Datos (OKR´s)'!$K199)/MAX(1,$R199-'Proyecto Datos (OKR´s)'!$K199),1),"")</f>
        <v/>
      </c>
      <c r="V199" s="163" t="str">
        <f t="shared" si="111"/>
        <v/>
      </c>
      <c r="W199" s="163" t="str">
        <f t="shared" ca="1" si="112"/>
        <v/>
      </c>
      <c r="X199" s="163" t="str">
        <f t="shared" si="113"/>
        <v/>
      </c>
      <c r="Y199" s="163" t="str">
        <f t="shared" si="114"/>
        <v/>
      </c>
      <c r="Z199" s="163" t="str">
        <f ca="1">IF($C199,AND($I199=0,'Proyecto Datos (OKR´s)'!$K199&lt;=TODAY(),$J199&lt;&gt;"Completado"),"")</f>
        <v/>
      </c>
      <c r="AA199" s="163" t="str">
        <f t="shared" si="115"/>
        <v/>
      </c>
      <c r="AB199" s="164" t="str">
        <f t="shared" si="116"/>
        <v/>
      </c>
      <c r="AC199" s="164" t="str">
        <f t="shared" si="117"/>
        <v/>
      </c>
      <c r="AD199" s="163" t="str">
        <f>IF($C199,IF($N199=9999,9999,IF($J199="Completado",$N199,MAX($N199,Sprints!$M$15))),"")</f>
        <v/>
      </c>
      <c r="AE199" s="163" t="str">
        <f t="shared" si="118"/>
        <v/>
      </c>
      <c r="AF199" s="163" t="b">
        <f t="shared" si="119"/>
        <v>0</v>
      </c>
      <c r="AG199" s="163" t="str">
        <f t="shared" si="120"/>
        <v/>
      </c>
      <c r="AH199" s="164" t="str">
        <f>IF($AF199,IF(Sprints!$I199&lt;&gt;"",Sprints!$I199,"Comprometida y no completada al cierre del Sprint "&amp;$N199),"")</f>
        <v/>
      </c>
      <c r="AI199" s="163" t="str">
        <f t="shared" si="121"/>
        <v/>
      </c>
      <c r="AJ199" s="163" t="str">
        <f t="shared" si="122"/>
        <v/>
      </c>
      <c r="AK199" s="163" t="str">
        <f t="shared" si="123"/>
        <v/>
      </c>
      <c r="AL199" s="163" t="str">
        <f t="shared" si="124"/>
        <v/>
      </c>
      <c r="AM199" s="163" t="str">
        <f t="shared" si="125"/>
        <v/>
      </c>
      <c r="AN199" s="164" t="str">
        <f t="shared" si="126"/>
        <v/>
      </c>
      <c r="AO199" s="163" t="str">
        <f>IF($C199,IFERROR(INDEX(Sprints!$M$6:$M$13,MATCH($N199,Sprints!$K$6:$K$13,0)),""),"")</f>
        <v/>
      </c>
      <c r="AP199" s="163" t="str">
        <f t="shared" ca="1" si="127"/>
        <v/>
      </c>
    </row>
    <row r="200" spans="1:42" x14ac:dyDescent="0.35">
      <c r="A200" s="163">
        <f>ROW()</f>
        <v>200</v>
      </c>
      <c r="B200" s="163" t="b">
        <f>ISTEXT('Proyecto Datos (OKR´s)'!$K200)</f>
        <v>0</v>
      </c>
      <c r="C200" s="163" t="b">
        <f>AND(LEN('Proyecto Datos (OKR´s)'!$G200)&gt;0,NOT($B200),OR(ISNUMBER('Proyecto Datos (OKR´s)'!$F200),ISNUMBER('Proyecto Datos (OKR´s)'!$L200)))</f>
        <v>0</v>
      </c>
      <c r="D200" s="164" t="str">
        <f>IF($C200,IFERROR(LOOKUP(2,1/((ISTEXT('Proyecto Datos (OKR´s)'!$K$7:$K200))*(LEN('Proyecto Datos (OKR´s)'!$G$7:$G200)&gt;0)),'Proyecto Datos (OKR´s)'!$G$7:$G200),""),"")</f>
        <v/>
      </c>
      <c r="E200" s="163" t="str">
        <f>IF($C200,'Proyecto Datos (OKR´s)'!$E200,"")</f>
        <v/>
      </c>
      <c r="F200" s="164" t="str">
        <f>IF($C200,'Proyecto Datos (OKR´s)'!$G200,"")</f>
        <v/>
      </c>
      <c r="G200" s="164" t="str">
        <f>IF($C200,IF('Proyecto Datos (OKR´s)'!$I200="","(Sin asignar)",'Proyecto Datos (OKR´s)'!$I200),"")</f>
        <v/>
      </c>
      <c r="H200" s="163" t="str">
        <f>IF($C200,IF(ISNUMBER('Proyecto Datos (OKR´s)'!$F200),'Proyecto Datos (OKR´s)'!$F200,'Proyecto Datos (OKR´s)'!$L200),"")</f>
        <v/>
      </c>
      <c r="I200" s="163" t="str">
        <f>IF($C200,'Proyecto Datos (OKR´s)'!$J200,"")</f>
        <v/>
      </c>
      <c r="J200" s="164" t="str">
        <f ca="1">IF($C200,IF($I200&gt;=1,"Completado",IF($H200&lt;TODAY(),"Vencido",IF(($H200-TODAY())&lt;='Entregas Próximas'!$M$3,"Próximo a vencer","En curso"))),"")</f>
        <v/>
      </c>
      <c r="K200" s="163" t="str">
        <f t="shared" ca="1" si="107"/>
        <v/>
      </c>
      <c r="L200" s="163" t="str">
        <f t="shared" si="108"/>
        <v/>
      </c>
      <c r="M200" s="163" t="str">
        <f t="shared" si="109"/>
        <v/>
      </c>
      <c r="N200" s="163" t="str">
        <f>IF($C200,IF('Proyecto Datos (OKR´s)'!$E200="",9999,'Proyecto Datos (OKR´s)'!$E200),"")</f>
        <v/>
      </c>
      <c r="O200" s="163" t="str">
        <f t="shared" si="110"/>
        <v/>
      </c>
      <c r="R200" s="163" t="str">
        <f>IF($C200,IF(ISNUMBER('Proyecto Datos (OKR´s)'!$L200),'Proyecto Datos (OKR´s)'!$L200,$H200),"")</f>
        <v/>
      </c>
      <c r="S200" s="163" t="str">
        <f>IF($C200,$R200-'Proyecto Datos (OKR´s)'!$K200+1,"")</f>
        <v/>
      </c>
      <c r="T200" s="163" t="str">
        <f ca="1">IF($C200,MAX(0,TODAY()-'Proyecto Datos (OKR´s)'!$K200),"")</f>
        <v/>
      </c>
      <c r="U200" s="163" t="str">
        <f ca="1">IF($C200,MEDIAN(0,(TODAY()-'Proyecto Datos (OKR´s)'!$K200)/MAX(1,$R200-'Proyecto Datos (OKR´s)'!$K200),1),"")</f>
        <v/>
      </c>
      <c r="V200" s="163" t="str">
        <f t="shared" si="111"/>
        <v/>
      </c>
      <c r="W200" s="163" t="str">
        <f t="shared" ca="1" si="112"/>
        <v/>
      </c>
      <c r="X200" s="163" t="str">
        <f t="shared" si="113"/>
        <v/>
      </c>
      <c r="Y200" s="163" t="str">
        <f t="shared" si="114"/>
        <v/>
      </c>
      <c r="Z200" s="163" t="str">
        <f ca="1">IF($C200,AND($I200=0,'Proyecto Datos (OKR´s)'!$K200&lt;=TODAY(),$J200&lt;&gt;"Completado"),"")</f>
        <v/>
      </c>
      <c r="AA200" s="163" t="str">
        <f t="shared" si="115"/>
        <v/>
      </c>
      <c r="AB200" s="164" t="str">
        <f t="shared" si="116"/>
        <v/>
      </c>
      <c r="AC200" s="164" t="str">
        <f t="shared" si="117"/>
        <v/>
      </c>
      <c r="AD200" s="163" t="str">
        <f>IF($C200,IF($N200=9999,9999,IF($J200="Completado",$N200,MAX($N200,Sprints!$M$15))),"")</f>
        <v/>
      </c>
      <c r="AE200" s="163" t="str">
        <f t="shared" si="118"/>
        <v/>
      </c>
      <c r="AF200" s="163" t="b">
        <f t="shared" si="119"/>
        <v>0</v>
      </c>
      <c r="AG200" s="163" t="str">
        <f t="shared" si="120"/>
        <v/>
      </c>
      <c r="AH200" s="164" t="str">
        <f>IF($AF200,IF(Sprints!$I200&lt;&gt;"",Sprints!$I200,"Comprometida y no completada al cierre del Sprint "&amp;$N200),"")</f>
        <v/>
      </c>
      <c r="AI200" s="163" t="str">
        <f t="shared" si="121"/>
        <v/>
      </c>
      <c r="AJ200" s="163" t="str">
        <f t="shared" si="122"/>
        <v/>
      </c>
      <c r="AK200" s="163" t="str">
        <f t="shared" si="123"/>
        <v/>
      </c>
      <c r="AL200" s="163" t="str">
        <f t="shared" si="124"/>
        <v/>
      </c>
      <c r="AM200" s="163" t="str">
        <f t="shared" si="125"/>
        <v/>
      </c>
      <c r="AN200" s="164" t="str">
        <f t="shared" si="126"/>
        <v/>
      </c>
      <c r="AO200" s="163" t="str">
        <f>IF($C200,IFERROR(INDEX(Sprints!$M$6:$M$13,MATCH($N200,Sprints!$K$6:$K$13,0)),""),"")</f>
        <v/>
      </c>
      <c r="AP200" s="163" t="str">
        <f t="shared" ca="1" si="127"/>
        <v/>
      </c>
    </row>
  </sheetData>
  <mergeCells count="1">
    <mergeCell ref="A1:P1"/>
  </mergeCells>
  <pageMargins left="0.4" right="0.4" top="0.5" bottom="0.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18</vt:i4>
      </vt:variant>
    </vt:vector>
  </HeadingPairs>
  <TitlesOfParts>
    <vt:vector size="26" baseType="lpstr">
      <vt:lpstr>Proyecto Datos (OKR´s)</vt:lpstr>
      <vt:lpstr>Proyecto Datos (Actual)</vt:lpstr>
      <vt:lpstr>Proyecto Datos</vt:lpstr>
      <vt:lpstr>Acerca de</vt:lpstr>
      <vt:lpstr>Tablero</vt:lpstr>
      <vt:lpstr>Entregas Próximas</vt:lpstr>
      <vt:lpstr>Sprints</vt:lpstr>
      <vt:lpstr>_Datos</vt:lpstr>
      <vt:lpstr>'Proyecto Datos (Actual)'!Inicio_del_proyecto</vt:lpstr>
      <vt:lpstr>'Proyecto Datos (OKR´s)'!Inicio_del_proyecto</vt:lpstr>
      <vt:lpstr>Inicio_del_proyecto</vt:lpstr>
      <vt:lpstr>'Proyecto Datos (Actual)'!Semana_para_mostrar</vt:lpstr>
      <vt:lpstr>'Proyecto Datos (OKR´s)'!Semana_para_mostrar</vt:lpstr>
      <vt:lpstr>Semana_para_mostrar</vt:lpstr>
      <vt:lpstr>'Proyecto Datos'!task_end</vt:lpstr>
      <vt:lpstr>'Proyecto Datos (Actual)'!task_end</vt:lpstr>
      <vt:lpstr>'Proyecto Datos (OKR´s)'!task_end</vt:lpstr>
      <vt:lpstr>'Proyecto Datos'!task_progress</vt:lpstr>
      <vt:lpstr>'Proyecto Datos (Actual)'!task_progress</vt:lpstr>
      <vt:lpstr>'Proyecto Datos (OKR´s)'!task_progress</vt:lpstr>
      <vt:lpstr>'Proyecto Datos'!task_start</vt:lpstr>
      <vt:lpstr>'Proyecto Datos (Actual)'!task_start</vt:lpstr>
      <vt:lpstr>'Proyecto Datos (OKR´s)'!task_start</vt:lpstr>
      <vt:lpstr>'Proyecto Datos'!Títulos_a_imprimir</vt:lpstr>
      <vt:lpstr>'Proyecto Datos (Actual)'!Títulos_a_imprimir</vt:lpstr>
      <vt:lpstr>'Proyecto Datos (OKR´s)'!Títulos_a_imprimir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2026-06-19T16:05:13Z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