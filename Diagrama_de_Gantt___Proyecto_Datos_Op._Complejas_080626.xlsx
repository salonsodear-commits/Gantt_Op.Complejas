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<sst xmlns="http://schemas.openxmlformats.org/spreadsheetml/2006/main" count="363" uniqueCount="145">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</sst>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7">
      <c r="B17" s="204">
        <f>'Proyecto Datos (OKR´s)'!$G$56</f>
      </c>
      <c r="C17" s="204"/>
      <c r="D17" s="204"/>
      <c r="E17" s="204"/>
      <c r="F17" s="204"/>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3" t="inlineStr">
        <is>
          <t xml:space="preserve">Semanal</t>
        </is>
      </c>
      <c r="C21" s="203">
        <f>COUNTIF('_Datos'!$AO$7:$AO$200,"Semanal")</f>
      </c>
      <c r="D21" s="203">
        <f>COUNTIFS('_Datos'!$AO$7:$AO$200,"Semanal",'_Datos'!$AY$7:$AY$200,"Completo")</f>
      </c>
      <c r="E21" s="203">
        <f>COUNTIFS('_Datos'!$AO$7:$AO$200,"Semanal",'_Datos'!$AY$7:$AY$200,"Pendiente")+COUNTIFS('_Datos'!$AO$7:$AO$200,"Semanal",'_Datos'!$AY$7:$AY$200,"Vencida")</f>
      </c>
      <c r="F21" s="203">
        <f>COUNTIFS('_Datos'!$AO$7:$AO$200,"Semanal",'_Datos'!$AY$7:$AY$200,"Vencida")</f>
      </c>
      <c r="G21" s="203">
        <f>COUNTIFS('_Datos'!$AO$7:$AO$200,"Semanal",'_Datos'!$AY$7:$AY$200,"Baja prioridad")</f>
      </c>
      <c r="H21" s="206">
        <f>IFERROR(AVERAGEIF('_Datos'!$AO$7:$AO$200,"Semanal",'_Datos'!$I$7:$I$200),"")</f>
      </c>
      <c r="I21" s="203"/>
    </row>
    <row r="22">
      <c r="B22" s="203" t="inlineStr">
        <is>
          <t xml:space="preserve">Quincenal</t>
        </is>
      </c>
      <c r="C22" s="203">
        <f>COUNTIF('_Datos'!$AO$7:$AO$200,"Quincenal")</f>
      </c>
      <c r="D22" s="203">
        <f>COUNTIFS('_Datos'!$AO$7:$AO$200,"Quincenal",'_Datos'!$AY$7:$AY$200,"Completo")</f>
      </c>
      <c r="E22" s="203">
        <f>COUNTIFS('_Datos'!$AO$7:$AO$200,"Quincenal",'_Datos'!$AY$7:$AY$200,"Pendiente")+COUNTIFS('_Datos'!$AO$7:$AO$200,"Quincenal",'_Datos'!$AY$7:$AY$200,"Vencida")</f>
      </c>
      <c r="F22" s="203">
        <f>COUNTIFS('_Datos'!$AO$7:$AO$200,"Quincenal",'_Datos'!$AY$7:$AY$200,"Vencida")</f>
      </c>
      <c r="G22" s="203">
        <f>COUNTIFS('_Datos'!$AO$7:$AO$200,"Quincenal",'_Datos'!$AY$7:$AY$200,"Baja prioridad")</f>
      </c>
      <c r="H22" s="206">
        <f>IFERROR(AVERAGEIF('_Datos'!$AO$7:$AO$200,"Quincenal",'_Datos'!$I$7:$I$200),"")</f>
      </c>
      <c r="I22" s="203"/>
    </row>
    <row r="23">
      <c r="B23" s="203" t="inlineStr">
        <is>
          <t xml:space="preserve">Mensual</t>
        </is>
      </c>
      <c r="C23" s="203">
        <f>COUNTIF('_Datos'!$AO$7:$AO$200,"Mensual")</f>
      </c>
      <c r="D23" s="203">
        <f>COUNTIFS('_Datos'!$AO$7:$AO$200,"Mensual",'_Datos'!$AY$7:$AY$200,"Completo")</f>
      </c>
      <c r="E23" s="203">
        <f>COUNTIFS('_Datos'!$AO$7:$AO$200,"Mensual",'_Datos'!$AY$7:$AY$200,"Pendiente")+COUNTIFS('_Datos'!$AO$7:$AO$200,"Mensual",'_Datos'!$AY$7:$AY$200,"Vencida")</f>
      </c>
      <c r="F23" s="203">
        <f>COUNTIFS('_Datos'!$AO$7:$AO$200,"Mensual",'_Datos'!$AY$7:$AY$200,"Vencida")</f>
      </c>
      <c r="G23" s="203">
        <f>COUNTIFS('_Datos'!$AO$7:$AO$200,"Mensual",'_Datos'!$AY$7:$AY$200,"Baja prioridad")</f>
      </c>
      <c r="H23" s="206">
        <f>IFERROR(AVERAGEIF('_Datos'!$AO$7:$AO$200,"Mensual",'_Datos'!$I$7:$I$200),"")</f>
      </c>
      <c r="I23" s="203"/>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IF($C7,$AV7,"")</f>
      </c>
      <c r="AE7" s="201">
        <f>IF($C7,$AZ7,"")</f>
      </c>
      <c r="AF7" s="201">
        <f>IF($C7,$AV7&lt;&gt;$AR7,FALSE)</f>
      </c>
      <c r="AG7" s="201">
        <f>IF($C7,IF($AV7&lt;&gt;$AR7,$AW7,""),"")</f>
      </c>
      <c r="AH7" s="202">
        <f>IF($C7,'Backlog General'!$L7,"")</f>
      </c>
      <c r="AI7" s="201">
        <f>IF($C7,$AV7*100000+ROW(),"")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c r="AO7" s="202">
        <f>IF($C7,IFERROR(VLOOKUP($D7,'Sprints'!$G$5:$H$12,2,FALSE),"Semanal"),"")</f>
      </c>
      <c r="AP7" s="201">
        <f>IF($C7,IF($AO7="Semanal",'Sprints'!$D$5,IF($AO7="Quincenal",'Sprints'!$D$6,'Sprints'!$D$7)),"")</f>
      </c>
      <c r="AQ7" s="201">
        <f>IF($C7,IF($AO7="Semanal",'Sprints'!$C$5,IF($AO7="Quincenal",'Sprints'!$C$6,'Sprints'!$C$7)),"")</f>
      </c>
      <c r="AR7" s="201">
        <f>IF($C7,MAX(1,INT(($H7-$AQ7)/$AP7)+1),"")</f>
      </c>
      <c r="AS7" s="201">
        <f>IF($C7,IF($AO7="Semanal",'Sprints'!$E$5,IF($AO7="Quincenal",'Sprints'!$E$6,'Sprints'!$E$7)),"")</f>
      </c>
      <c r="AT7" s="202">
        <f>IF($C7,'Backlog General'!$G7,"")</f>
      </c>
      <c r="AU7" s="202">
        <f>IF($C7,'Backlog General'!$H7,"")</f>
      </c>
      <c r="AV7" s="201">
        <f>IF($C7,IF(OR($AT7="Completo",$AU7="Cancelado",$AU7="Baja prioridad"),$AR7,IF($AU7="Pasa al siguiente",MAX($AR7+1,$AS7),MAX($AR7,$AS7))),"")</f>
      </c>
      <c r="AW7" s="201">
        <f>IF($C7,$AQ7+$AR7*$AP7-1,"")</f>
      </c>
      <c r="AX7" s="201">
        <f>IF($C7,IF(OR($AT7="Completo",$AU7="Cancelado",$AU7="Baja prioridad"),0,MAX(0,TODAY()-$AW7)),"")</f>
      </c>
      <c r="AY7" s="202">
        <f>IF($C7,IF($AT7="Completo","Completo",IF($AU7="Cancelado","Cancelado",IF($AU7="Baja prioridad","Baja prioridad",IF($AX7&gt;0,"Vencida","Pendiente")))),"")</f>
      </c>
      <c r="AZ7" s="202">
        <f>IF($C7,$AO7&amp;" · S"&amp;$AV7,"")</f>
      </c>
      <c r="BA7" s="201">
        <f>IF($C7,IF(AND(ISNUMBER('Backlog General'!$M7),'Backlog General'!$M7=$AS7),"Nuevo S"&amp;'Backlog General'!$M7,""),"")</f>
      </c>
      <c r="BB7" s="201">
        <f>IF(AND($C7,$AO7="Semanal"),$AV7*100000+ROW(),"")</f>
      </c>
      <c r="BC7" s="201">
        <f>IF(AND($C7,$AO7="Quincenal"),$AV7*100000+ROW(),"")</f>
      </c>
      <c r="BD7" s="201">
        <f>IF(AND($C7,$AO7="Mensual"),$AV7*100000+ROW(),"")</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IF($C8,$AV8,"")</f>
      </c>
      <c r="AE8" s="201">
        <f>IF($C8,$AZ8,"")</f>
      </c>
      <c r="AF8" s="201">
        <f>IF($C8,$AV8&lt;&gt;$AR8,FALSE)</f>
      </c>
      <c r="AG8" s="201">
        <f>IF($C8,IF($AV8&lt;&gt;$AR8,$AW8,""),"")</f>
      </c>
      <c r="AH8" s="202">
        <f>IF($C8,'Backlog General'!$L8,"")</f>
      </c>
      <c r="AI8" s="201">
        <f>IF($C8,$AV8*100000+ROW(),"")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c r="AO8" s="202">
        <f>IF($C8,IFERROR(VLOOKUP($D8,'Sprints'!$G$5:$H$12,2,FALSE),"Semanal"),"")</f>
      </c>
      <c r="AP8" s="201">
        <f>IF($C8,IF($AO8="Semanal",'Sprints'!$D$5,IF($AO8="Quincenal",'Sprints'!$D$6,'Sprints'!$D$7)),"")</f>
      </c>
      <c r="AQ8" s="201">
        <f>IF($C8,IF($AO8="Semanal",'Sprints'!$C$5,IF($AO8="Quincenal",'Sprints'!$C$6,'Sprints'!$C$7)),"")</f>
      </c>
      <c r="AR8" s="201">
        <f>IF($C8,MAX(1,INT(($H8-$AQ8)/$AP8)+1),"")</f>
      </c>
      <c r="AS8" s="201">
        <f>IF($C8,IF($AO8="Semanal",'Sprints'!$E$5,IF($AO8="Quincenal",'Sprints'!$E$6,'Sprints'!$E$7)),"")</f>
      </c>
      <c r="AT8" s="202">
        <f>IF($C8,'Backlog General'!$G8,"")</f>
      </c>
      <c r="AU8" s="202">
        <f>IF($C8,'Backlog General'!$H8,"")</f>
      </c>
      <c r="AV8" s="201">
        <f>IF($C8,IF(OR($AT8="Completo",$AU8="Cancelado",$AU8="Baja prioridad"),$AR8,IF($AU8="Pasa al siguiente",MAX($AR8+1,$AS8),MAX($AR8,$AS8))),"")</f>
      </c>
      <c r="AW8" s="201">
        <f>IF($C8,$AQ8+$AR8*$AP8-1,"")</f>
      </c>
      <c r="AX8" s="201">
        <f>IF($C8,IF(OR($AT8="Completo",$AU8="Cancelado",$AU8="Baja prioridad"),0,MAX(0,TODAY()-$AW8)),"")</f>
      </c>
      <c r="AY8" s="202">
        <f>IF($C8,IF($AT8="Completo","Completo",IF($AU8="Cancelado","Cancelado",IF($AU8="Baja prioridad","Baja prioridad",IF($AX8&gt;0,"Vencida","Pendiente")))),"")</f>
      </c>
      <c r="AZ8" s="202">
        <f>IF($C8,$AO8&amp;" · S"&amp;$AV8,"")</f>
      </c>
      <c r="BA8" s="201">
        <f>IF($C8,IF(AND(ISNUMBER('Backlog General'!$M8),'Backlog General'!$M8=$AS8),"Nuevo S"&amp;'Backlog General'!$M8,""),"")</f>
      </c>
      <c r="BB8" s="201">
        <f>IF(AND($C8,$AO8="Semanal"),$AV8*100000+ROW(),"")</f>
      </c>
      <c r="BC8" s="201">
        <f>IF(AND($C8,$AO8="Quincenal"),$AV8*100000+ROW(),"")</f>
      </c>
      <c r="BD8" s="201">
        <f>IF(AND($C8,$AO8="Mensual"),$AV8*100000+ROW(),"")</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IF($C9,$AV9,"")</f>
      </c>
      <c r="AE9" s="201">
        <f>IF($C9,$AZ9,"")</f>
      </c>
      <c r="AF9" s="201">
        <f>IF($C9,$AV9&lt;&gt;$AR9,FALSE)</f>
      </c>
      <c r="AG9" s="201">
        <f>IF($C9,IF($AV9&lt;&gt;$AR9,$AW9,""),"")</f>
      </c>
      <c r="AH9" s="202">
        <f>IF($C9,'Backlog General'!$L9,"")</f>
      </c>
      <c r="AI9" s="201">
        <f>IF($C9,$AV9*100000+ROW(),"")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c r="AO9" s="202">
        <f>IF($C9,IFERROR(VLOOKUP($D9,'Sprints'!$G$5:$H$12,2,FALSE),"Semanal"),"")</f>
      </c>
      <c r="AP9" s="201">
        <f>IF($C9,IF($AO9="Semanal",'Sprints'!$D$5,IF($AO9="Quincenal",'Sprints'!$D$6,'Sprints'!$D$7)),"")</f>
      </c>
      <c r="AQ9" s="201">
        <f>IF($C9,IF($AO9="Semanal",'Sprints'!$C$5,IF($AO9="Quincenal",'Sprints'!$C$6,'Sprints'!$C$7)),"")</f>
      </c>
      <c r="AR9" s="201">
        <f>IF($C9,MAX(1,INT(($H9-$AQ9)/$AP9)+1),"")</f>
      </c>
      <c r="AS9" s="201">
        <f>IF($C9,IF($AO9="Semanal",'Sprints'!$E$5,IF($AO9="Quincenal",'Sprints'!$E$6,'Sprints'!$E$7)),"")</f>
      </c>
      <c r="AT9" s="202">
        <f>IF($C9,'Backlog General'!$G9,"")</f>
      </c>
      <c r="AU9" s="202">
        <f>IF($C9,'Backlog General'!$H9,"")</f>
      </c>
      <c r="AV9" s="201">
        <f>IF($C9,IF(OR($AT9="Completo",$AU9="Cancelado",$AU9="Baja prioridad"),$AR9,IF($AU9="Pasa al siguiente",MAX($AR9+1,$AS9),MAX($AR9,$AS9))),"")</f>
      </c>
      <c r="AW9" s="201">
        <f>IF($C9,$AQ9+$AR9*$AP9-1,"")</f>
      </c>
      <c r="AX9" s="201">
        <f>IF($C9,IF(OR($AT9="Completo",$AU9="Cancelado",$AU9="Baja prioridad"),0,MAX(0,TODAY()-$AW9)),"")</f>
      </c>
      <c r="AY9" s="202">
        <f>IF($C9,IF($AT9="Completo","Completo",IF($AU9="Cancelado","Cancelado",IF($AU9="Baja prioridad","Baja prioridad",IF($AX9&gt;0,"Vencida","Pendiente")))),"")</f>
      </c>
      <c r="AZ9" s="202">
        <f>IF($C9,$AO9&amp;" · S"&amp;$AV9,"")</f>
      </c>
      <c r="BA9" s="201">
        <f>IF($C9,IF(AND(ISNUMBER('Backlog General'!$M9),'Backlog General'!$M9=$AS9),"Nuevo S"&amp;'Backlog General'!$M9,""),"")</f>
      </c>
      <c r="BB9" s="201">
        <f>IF(AND($C9,$AO9="Semanal"),$AV9*100000+ROW(),"")</f>
      </c>
      <c r="BC9" s="201">
        <f>IF(AND($C9,$AO9="Quincenal"),$AV9*100000+ROW(),"")</f>
      </c>
      <c r="BD9" s="201">
        <f>IF(AND($C9,$AO9="Mensual"),$AV9*100000+ROW(),"")</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IF($C10,$AV10,"")</f>
      </c>
      <c r="AE10" s="201">
        <f>IF($C10,$AZ10,"")</f>
      </c>
      <c r="AF10" s="201">
        <f>IF($C10,$AV10&lt;&gt;$AR10,FALSE)</f>
      </c>
      <c r="AG10" s="201">
        <f>IF($C10,IF($AV10&lt;&gt;$AR10,$AW10,""),"")</f>
      </c>
      <c r="AH10" s="202">
        <f>IF($C10,'Backlog General'!$L10,"")</f>
      </c>
      <c r="AI10" s="201">
        <f>IF($C10,$AV10*100000+ROW(),"")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c r="AO10" s="202">
        <f>IF($C10,IFERROR(VLOOKUP($D10,'Sprints'!$G$5:$H$12,2,FALSE),"Semanal"),"")</f>
      </c>
      <c r="AP10" s="201">
        <f>IF($C10,IF($AO10="Semanal",'Sprints'!$D$5,IF($AO10="Quincenal",'Sprints'!$D$6,'Sprints'!$D$7)),"")</f>
      </c>
      <c r="AQ10" s="201">
        <f>IF($C10,IF($AO10="Semanal",'Sprints'!$C$5,IF($AO10="Quincenal",'Sprints'!$C$6,'Sprints'!$C$7)),"")</f>
      </c>
      <c r="AR10" s="201">
        <f>IF($C10,MAX(1,INT(($H10-$AQ10)/$AP10)+1),"")</f>
      </c>
      <c r="AS10" s="201">
        <f>IF($C10,IF($AO10="Semanal",'Sprints'!$E$5,IF($AO10="Quincenal",'Sprints'!$E$6,'Sprints'!$E$7)),"")</f>
      </c>
      <c r="AT10" s="202">
        <f>IF($C10,'Backlog General'!$G10,"")</f>
      </c>
      <c r="AU10" s="202">
        <f>IF($C10,'Backlog General'!$H10,"")</f>
      </c>
      <c r="AV10" s="201">
        <f>IF($C10,IF(OR($AT10="Completo",$AU10="Cancelado",$AU10="Baja prioridad"),$AR10,IF($AU10="Pasa al siguiente",MAX($AR10+1,$AS10),MAX($AR10,$AS10))),"")</f>
      </c>
      <c r="AW10" s="201">
        <f>IF($C10,$AQ10+$AR10*$AP10-1,"")</f>
      </c>
      <c r="AX10" s="201">
        <f>IF($C10,IF(OR($AT10="Completo",$AU10="Cancelado",$AU10="Baja prioridad"),0,MAX(0,TODAY()-$AW10)),"")</f>
      </c>
      <c r="AY10" s="202">
        <f>IF($C10,IF($AT10="Completo","Completo",IF($AU10="Cancelado","Cancelado",IF($AU10="Baja prioridad","Baja prioridad",IF($AX10&gt;0,"Vencida","Pendiente")))),"")</f>
      </c>
      <c r="AZ10" s="202">
        <f>IF($C10,$AO10&amp;" · S"&amp;$AV10,"")</f>
      </c>
      <c r="BA10" s="201">
        <f>IF($C10,IF(AND(ISNUMBER('Backlog General'!$M10),'Backlog General'!$M10=$AS10),"Nuevo S"&amp;'Backlog General'!$M10,""),"")</f>
      </c>
      <c r="BB10" s="201">
        <f>IF(AND($C10,$AO10="Semanal"),$AV10*100000+ROW(),"")</f>
      </c>
      <c r="BC10" s="201">
        <f>IF(AND($C10,$AO10="Quincenal"),$AV10*100000+ROW(),"")</f>
      </c>
      <c r="BD10" s="201">
        <f>IF(AND($C10,$AO10="Mensual"),$AV10*100000+ROW(),"")</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IF($C11,$AV11,"")</f>
      </c>
      <c r="AE11" s="201">
        <f>IF($C11,$AZ11,"")</f>
      </c>
      <c r="AF11" s="201">
        <f>IF($C11,$AV11&lt;&gt;$AR11,FALSE)</f>
      </c>
      <c r="AG11" s="201">
        <f>IF($C11,IF($AV11&lt;&gt;$AR11,$AW11,""),"")</f>
      </c>
      <c r="AH11" s="202">
        <f>IF($C11,'Backlog General'!$L11,"")</f>
      </c>
      <c r="AI11" s="201">
        <f>IF($C11,$AV11*100000+ROW(),"")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c r="AO11" s="202">
        <f>IF($C11,IFERROR(VLOOKUP($D11,'Sprints'!$G$5:$H$12,2,FALSE),"Semanal"),"")</f>
      </c>
      <c r="AP11" s="201">
        <f>IF($C11,IF($AO11="Semanal",'Sprints'!$D$5,IF($AO11="Quincenal",'Sprints'!$D$6,'Sprints'!$D$7)),"")</f>
      </c>
      <c r="AQ11" s="201">
        <f>IF($C11,IF($AO11="Semanal",'Sprints'!$C$5,IF($AO11="Quincenal",'Sprints'!$C$6,'Sprints'!$C$7)),"")</f>
      </c>
      <c r="AR11" s="201">
        <f>IF($C11,MAX(1,INT(($H11-$AQ11)/$AP11)+1),"")</f>
      </c>
      <c r="AS11" s="201">
        <f>IF($C11,IF($AO11="Semanal",'Sprints'!$E$5,IF($AO11="Quincenal",'Sprints'!$E$6,'Sprints'!$E$7)),"")</f>
      </c>
      <c r="AT11" s="202">
        <f>IF($C11,'Backlog General'!$G11,"")</f>
      </c>
      <c r="AU11" s="202">
        <f>IF($C11,'Backlog General'!$H11,"")</f>
      </c>
      <c r="AV11" s="201">
        <f>IF($C11,IF(OR($AT11="Completo",$AU11="Cancelado",$AU11="Baja prioridad"),$AR11,IF($AU11="Pasa al siguiente",MAX($AR11+1,$AS11),MAX($AR11,$AS11))),"")</f>
      </c>
      <c r="AW11" s="201">
        <f>IF($C11,$AQ11+$AR11*$AP11-1,"")</f>
      </c>
      <c r="AX11" s="201">
        <f>IF($C11,IF(OR($AT11="Completo",$AU11="Cancelado",$AU11="Baja prioridad"),0,MAX(0,TODAY()-$AW11)),"")</f>
      </c>
      <c r="AY11" s="202">
        <f>IF($C11,IF($AT11="Completo","Completo",IF($AU11="Cancelado","Cancelado",IF($AU11="Baja prioridad","Baja prioridad",IF($AX11&gt;0,"Vencida","Pendiente")))),"")</f>
      </c>
      <c r="AZ11" s="202">
        <f>IF($C11,$AO11&amp;" · S"&amp;$AV11,"")</f>
      </c>
      <c r="BA11" s="201">
        <f>IF($C11,IF(AND(ISNUMBER('Backlog General'!$M11),'Backlog General'!$M11=$AS11),"Nuevo S"&amp;'Backlog General'!$M11,""),"")</f>
      </c>
      <c r="BB11" s="201">
        <f>IF(AND($C11,$AO11="Semanal"),$AV11*100000+ROW(),"")</f>
      </c>
      <c r="BC11" s="201">
        <f>IF(AND($C11,$AO11="Quincenal"),$AV11*100000+ROW(),"")</f>
      </c>
      <c r="BD11" s="201">
        <f>IF(AND($C11,$AO11="Mensual"),$AV11*100000+ROW(),"")</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IF($C12,$AV12,"")</f>
      </c>
      <c r="AE12" s="201">
        <f>IF($C12,$AZ12,"")</f>
      </c>
      <c r="AF12" s="201">
        <f>IF($C12,$AV12&lt;&gt;$AR12,FALSE)</f>
      </c>
      <c r="AG12" s="201">
        <f>IF($C12,IF($AV12&lt;&gt;$AR12,$AW12,""),"")</f>
      </c>
      <c r="AH12" s="202">
        <f>IF($C12,'Backlog General'!$L12,"")</f>
      </c>
      <c r="AI12" s="201">
        <f>IF($C12,$AV12*100000+ROW(),"")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c r="AO12" s="202">
        <f>IF($C12,IFERROR(VLOOKUP($D12,'Sprints'!$G$5:$H$12,2,FALSE),"Semanal"),"")</f>
      </c>
      <c r="AP12" s="201">
        <f>IF($C12,IF($AO12="Semanal",'Sprints'!$D$5,IF($AO12="Quincenal",'Sprints'!$D$6,'Sprints'!$D$7)),"")</f>
      </c>
      <c r="AQ12" s="201">
        <f>IF($C12,IF($AO12="Semanal",'Sprints'!$C$5,IF($AO12="Quincenal",'Sprints'!$C$6,'Sprints'!$C$7)),"")</f>
      </c>
      <c r="AR12" s="201">
        <f>IF($C12,MAX(1,INT(($H12-$AQ12)/$AP12)+1),"")</f>
      </c>
      <c r="AS12" s="201">
        <f>IF($C12,IF($AO12="Semanal",'Sprints'!$E$5,IF($AO12="Quincenal",'Sprints'!$E$6,'Sprints'!$E$7)),"")</f>
      </c>
      <c r="AT12" s="202">
        <f>IF($C12,'Backlog General'!$G12,"")</f>
      </c>
      <c r="AU12" s="202">
        <f>IF($C12,'Backlog General'!$H12,"")</f>
      </c>
      <c r="AV12" s="201">
        <f>IF($C12,IF(OR($AT12="Completo",$AU12="Cancelado",$AU12="Baja prioridad"),$AR12,IF($AU12="Pasa al siguiente",MAX($AR12+1,$AS12),MAX($AR12,$AS12))),"")</f>
      </c>
      <c r="AW12" s="201">
        <f>IF($C12,$AQ12+$AR12*$AP12-1,"")</f>
      </c>
      <c r="AX12" s="201">
        <f>IF($C12,IF(OR($AT12="Completo",$AU12="Cancelado",$AU12="Baja prioridad"),0,MAX(0,TODAY()-$AW12)),"")</f>
      </c>
      <c r="AY12" s="202">
        <f>IF($C12,IF($AT12="Completo","Completo",IF($AU12="Cancelado","Cancelado",IF($AU12="Baja prioridad","Baja prioridad",IF($AX12&gt;0,"Vencida","Pendiente")))),"")</f>
      </c>
      <c r="AZ12" s="202">
        <f>IF($C12,$AO12&amp;" · S"&amp;$AV12,"")</f>
      </c>
      <c r="BA12" s="201">
        <f>IF($C12,IF(AND(ISNUMBER('Backlog General'!$M12),'Backlog General'!$M12=$AS12),"Nuevo S"&amp;'Backlog General'!$M12,""),"")</f>
      </c>
      <c r="BB12" s="201">
        <f>IF(AND($C12,$AO12="Semanal"),$AV12*100000+ROW(),"")</f>
      </c>
      <c r="BC12" s="201">
        <f>IF(AND($C12,$AO12="Quincenal"),$AV12*100000+ROW(),"")</f>
      </c>
      <c r="BD12" s="201">
        <f>IF(AND($C12,$AO12="Mensual"),$AV12*100000+ROW(),"")</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IF($C13,$AV13,"")</f>
      </c>
      <c r="AE13" s="201">
        <f>IF($C13,$AZ13,"")</f>
      </c>
      <c r="AF13" s="201">
        <f>IF($C13,$AV13&lt;&gt;$AR13,FALSE)</f>
      </c>
      <c r="AG13" s="201">
        <f>IF($C13,IF($AV13&lt;&gt;$AR13,$AW13,""),"")</f>
      </c>
      <c r="AH13" s="202">
        <f>IF($C13,'Backlog General'!$L13,"")</f>
      </c>
      <c r="AI13" s="201">
        <f>IF($C13,$AV13*100000+ROW(),"")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c r="AO13" s="202">
        <f>IF($C13,IFERROR(VLOOKUP($D13,'Sprints'!$G$5:$H$12,2,FALSE),"Semanal"),"")</f>
      </c>
      <c r="AP13" s="201">
        <f>IF($C13,IF($AO13="Semanal",'Sprints'!$D$5,IF($AO13="Quincenal",'Sprints'!$D$6,'Sprints'!$D$7)),"")</f>
      </c>
      <c r="AQ13" s="201">
        <f>IF($C13,IF($AO13="Semanal",'Sprints'!$C$5,IF($AO13="Quincenal",'Sprints'!$C$6,'Sprints'!$C$7)),"")</f>
      </c>
      <c r="AR13" s="201">
        <f>IF($C13,MAX(1,INT(($H13-$AQ13)/$AP13)+1),"")</f>
      </c>
      <c r="AS13" s="201">
        <f>IF($C13,IF($AO13="Semanal",'Sprints'!$E$5,IF($AO13="Quincenal",'Sprints'!$E$6,'Sprints'!$E$7)),"")</f>
      </c>
      <c r="AT13" s="202">
        <f>IF($C13,'Backlog General'!$G13,"")</f>
      </c>
      <c r="AU13" s="202">
        <f>IF($C13,'Backlog General'!$H13,"")</f>
      </c>
      <c r="AV13" s="201">
        <f>IF($C13,IF(OR($AT13="Completo",$AU13="Cancelado",$AU13="Baja prioridad"),$AR13,IF($AU13="Pasa al siguiente",MAX($AR13+1,$AS13),MAX($AR13,$AS13))),"")</f>
      </c>
      <c r="AW13" s="201">
        <f>IF($C13,$AQ13+$AR13*$AP13-1,"")</f>
      </c>
      <c r="AX13" s="201">
        <f>IF($C13,IF(OR($AT13="Completo",$AU13="Cancelado",$AU13="Baja prioridad"),0,MAX(0,TODAY()-$AW13)),"")</f>
      </c>
      <c r="AY13" s="202">
        <f>IF($C13,IF($AT13="Completo","Completo",IF($AU13="Cancelado","Cancelado",IF($AU13="Baja prioridad","Baja prioridad",IF($AX13&gt;0,"Vencida","Pendiente")))),"")</f>
      </c>
      <c r="AZ13" s="202">
        <f>IF($C13,$AO13&amp;" · S"&amp;$AV13,"")</f>
      </c>
      <c r="BA13" s="201">
        <f>IF($C13,IF(AND(ISNUMBER('Backlog General'!$M13),'Backlog General'!$M13=$AS13),"Nuevo S"&amp;'Backlog General'!$M13,""),"")</f>
      </c>
      <c r="BB13" s="201">
        <f>IF(AND($C13,$AO13="Semanal"),$AV13*100000+ROW(),"")</f>
      </c>
      <c r="BC13" s="201">
        <f>IF(AND($C13,$AO13="Quincenal"),$AV13*100000+ROW(),"")</f>
      </c>
      <c r="BD13" s="201">
        <f>IF(AND($C13,$AO13="Mensual"),$AV13*100000+ROW(),"")</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IF($C14,$AV14,"")</f>
      </c>
      <c r="AE14" s="201">
        <f>IF($C14,$AZ14,"")</f>
      </c>
      <c r="AF14" s="201">
        <f>IF($C14,$AV14&lt;&gt;$AR14,FALSE)</f>
      </c>
      <c r="AG14" s="201">
        <f>IF($C14,IF($AV14&lt;&gt;$AR14,$AW14,""),"")</f>
      </c>
      <c r="AH14" s="202">
        <f>IF($C14,'Backlog General'!$L14,"")</f>
      </c>
      <c r="AI14" s="201">
        <f>IF($C14,$AV14*100000+ROW(),"")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c r="AO14" s="202">
        <f>IF($C14,IFERROR(VLOOKUP($D14,'Sprints'!$G$5:$H$12,2,FALSE),"Semanal"),"")</f>
      </c>
      <c r="AP14" s="201">
        <f>IF($C14,IF($AO14="Semanal",'Sprints'!$D$5,IF($AO14="Quincenal",'Sprints'!$D$6,'Sprints'!$D$7)),"")</f>
      </c>
      <c r="AQ14" s="201">
        <f>IF($C14,IF($AO14="Semanal",'Sprints'!$C$5,IF($AO14="Quincenal",'Sprints'!$C$6,'Sprints'!$C$7)),"")</f>
      </c>
      <c r="AR14" s="201">
        <f>IF($C14,MAX(1,INT(($H14-$AQ14)/$AP14)+1),"")</f>
      </c>
      <c r="AS14" s="201">
        <f>IF($C14,IF($AO14="Semanal",'Sprints'!$E$5,IF($AO14="Quincenal",'Sprints'!$E$6,'Sprints'!$E$7)),"")</f>
      </c>
      <c r="AT14" s="202">
        <f>IF($C14,'Backlog General'!$G14,"")</f>
      </c>
      <c r="AU14" s="202">
        <f>IF($C14,'Backlog General'!$H14,"")</f>
      </c>
      <c r="AV14" s="201">
        <f>IF($C14,IF(OR($AT14="Completo",$AU14="Cancelado",$AU14="Baja prioridad"),$AR14,IF($AU14="Pasa al siguiente",MAX($AR14+1,$AS14),MAX($AR14,$AS14))),"")</f>
      </c>
      <c r="AW14" s="201">
        <f>IF($C14,$AQ14+$AR14*$AP14-1,"")</f>
      </c>
      <c r="AX14" s="201">
        <f>IF($C14,IF(OR($AT14="Completo",$AU14="Cancelado",$AU14="Baja prioridad"),0,MAX(0,TODAY()-$AW14)),"")</f>
      </c>
      <c r="AY14" s="202">
        <f>IF($C14,IF($AT14="Completo","Completo",IF($AU14="Cancelado","Cancelado",IF($AU14="Baja prioridad","Baja prioridad",IF($AX14&gt;0,"Vencida","Pendiente")))),"")</f>
      </c>
      <c r="AZ14" s="202">
        <f>IF($C14,$AO14&amp;" · S"&amp;$AV14,"")</f>
      </c>
      <c r="BA14" s="201">
        <f>IF($C14,IF(AND(ISNUMBER('Backlog General'!$M14),'Backlog General'!$M14=$AS14),"Nuevo S"&amp;'Backlog General'!$M14,""),"")</f>
      </c>
      <c r="BB14" s="201">
        <f>IF(AND($C14,$AO14="Semanal"),$AV14*100000+ROW(),"")</f>
      </c>
      <c r="BC14" s="201">
        <f>IF(AND($C14,$AO14="Quincenal"),$AV14*100000+ROW(),"")</f>
      </c>
      <c r="BD14" s="201">
        <f>IF(AND($C14,$AO14="Mensual"),$AV14*100000+ROW(),"")</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IF($C15,$AV15,"")</f>
      </c>
      <c r="AE15" s="201">
        <f>IF($C15,$AZ15,"")</f>
      </c>
      <c r="AF15" s="201">
        <f>IF($C15,$AV15&lt;&gt;$AR15,FALSE)</f>
      </c>
      <c r="AG15" s="201">
        <f>IF($C15,IF($AV15&lt;&gt;$AR15,$AW15,""),"")</f>
      </c>
      <c r="AH15" s="202">
        <f>IF($C15,'Backlog General'!$L15,"")</f>
      </c>
      <c r="AI15" s="201">
        <f>IF($C15,$AV15*100000+ROW(),"")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c r="AO15" s="202">
        <f>IF($C15,IFERROR(VLOOKUP($D15,'Sprints'!$G$5:$H$12,2,FALSE),"Semanal"),"")</f>
      </c>
      <c r="AP15" s="201">
        <f>IF($C15,IF($AO15="Semanal",'Sprints'!$D$5,IF($AO15="Quincenal",'Sprints'!$D$6,'Sprints'!$D$7)),"")</f>
      </c>
      <c r="AQ15" s="201">
        <f>IF($C15,IF($AO15="Semanal",'Sprints'!$C$5,IF($AO15="Quincenal",'Sprints'!$C$6,'Sprints'!$C$7)),"")</f>
      </c>
      <c r="AR15" s="201">
        <f>IF($C15,MAX(1,INT(($H15-$AQ15)/$AP15)+1),"")</f>
      </c>
      <c r="AS15" s="201">
        <f>IF($C15,IF($AO15="Semanal",'Sprints'!$E$5,IF($AO15="Quincenal",'Sprints'!$E$6,'Sprints'!$E$7)),"")</f>
      </c>
      <c r="AT15" s="202">
        <f>IF($C15,'Backlog General'!$G15,"")</f>
      </c>
      <c r="AU15" s="202">
        <f>IF($C15,'Backlog General'!$H15,"")</f>
      </c>
      <c r="AV15" s="201">
        <f>IF($C15,IF(OR($AT15="Completo",$AU15="Cancelado",$AU15="Baja prioridad"),$AR15,IF($AU15="Pasa al siguiente",MAX($AR15+1,$AS15),MAX($AR15,$AS15))),"")</f>
      </c>
      <c r="AW15" s="201">
        <f>IF($C15,$AQ15+$AR15*$AP15-1,"")</f>
      </c>
      <c r="AX15" s="201">
        <f>IF($C15,IF(OR($AT15="Completo",$AU15="Cancelado",$AU15="Baja prioridad"),0,MAX(0,TODAY()-$AW15)),"")</f>
      </c>
      <c r="AY15" s="202">
        <f>IF($C15,IF($AT15="Completo","Completo",IF($AU15="Cancelado","Cancelado",IF($AU15="Baja prioridad","Baja prioridad",IF($AX15&gt;0,"Vencida","Pendiente")))),"")</f>
      </c>
      <c r="AZ15" s="202">
        <f>IF($C15,$AO15&amp;" · S"&amp;$AV15,"")</f>
      </c>
      <c r="BA15" s="201">
        <f>IF($C15,IF(AND(ISNUMBER('Backlog General'!$M15),'Backlog General'!$M15=$AS15),"Nuevo S"&amp;'Backlog General'!$M15,""),"")</f>
      </c>
      <c r="BB15" s="201">
        <f>IF(AND($C15,$AO15="Semanal"),$AV15*100000+ROW(),"")</f>
      </c>
      <c r="BC15" s="201">
        <f>IF(AND($C15,$AO15="Quincenal"),$AV15*100000+ROW(),"")</f>
      </c>
      <c r="BD15" s="201">
        <f>IF(AND($C15,$AO15="Mensual"),$AV15*100000+ROW(),"")</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IF($C16,$AV16,"")</f>
      </c>
      <c r="AE16" s="201">
        <f>IF($C16,$AZ16,"")</f>
      </c>
      <c r="AF16" s="201">
        <f>IF($C16,$AV16&lt;&gt;$AR16,FALSE)</f>
      </c>
      <c r="AG16" s="201">
        <f>IF($C16,IF($AV16&lt;&gt;$AR16,$AW16,""),"")</f>
      </c>
      <c r="AH16" s="202">
        <f>IF($C16,'Backlog General'!$L16,"")</f>
      </c>
      <c r="AI16" s="201">
        <f>IF($C16,$AV16*100000+ROW(),"")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c r="AO16" s="202">
        <f>IF($C16,IFERROR(VLOOKUP($D16,'Sprints'!$G$5:$H$12,2,FALSE),"Semanal"),"")</f>
      </c>
      <c r="AP16" s="201">
        <f>IF($C16,IF($AO16="Semanal",'Sprints'!$D$5,IF($AO16="Quincenal",'Sprints'!$D$6,'Sprints'!$D$7)),"")</f>
      </c>
      <c r="AQ16" s="201">
        <f>IF($C16,IF($AO16="Semanal",'Sprints'!$C$5,IF($AO16="Quincenal",'Sprints'!$C$6,'Sprints'!$C$7)),"")</f>
      </c>
      <c r="AR16" s="201">
        <f>IF($C16,MAX(1,INT(($H16-$AQ16)/$AP16)+1),"")</f>
      </c>
      <c r="AS16" s="201">
        <f>IF($C16,IF($AO16="Semanal",'Sprints'!$E$5,IF($AO16="Quincenal",'Sprints'!$E$6,'Sprints'!$E$7)),"")</f>
      </c>
      <c r="AT16" s="202">
        <f>IF($C16,'Backlog General'!$G16,"")</f>
      </c>
      <c r="AU16" s="202">
        <f>IF($C16,'Backlog General'!$H16,"")</f>
      </c>
      <c r="AV16" s="201">
        <f>IF($C16,IF(OR($AT16="Completo",$AU16="Cancelado",$AU16="Baja prioridad"),$AR16,IF($AU16="Pasa al siguiente",MAX($AR16+1,$AS16),MAX($AR16,$AS16))),"")</f>
      </c>
      <c r="AW16" s="201">
        <f>IF($C16,$AQ16+$AR16*$AP16-1,"")</f>
      </c>
      <c r="AX16" s="201">
        <f>IF($C16,IF(OR($AT16="Completo",$AU16="Cancelado",$AU16="Baja prioridad"),0,MAX(0,TODAY()-$AW16)),"")</f>
      </c>
      <c r="AY16" s="202">
        <f>IF($C16,IF($AT16="Completo","Completo",IF($AU16="Cancelado","Cancelado",IF($AU16="Baja prioridad","Baja prioridad",IF($AX16&gt;0,"Vencida","Pendiente")))),"")</f>
      </c>
      <c r="AZ16" s="202">
        <f>IF($C16,$AO16&amp;" · S"&amp;$AV16,"")</f>
      </c>
      <c r="BA16" s="201">
        <f>IF($C16,IF(AND(ISNUMBER('Backlog General'!$M16),'Backlog General'!$M16=$AS16),"Nuevo S"&amp;'Backlog General'!$M16,""),"")</f>
      </c>
      <c r="BB16" s="201">
        <f>IF(AND($C16,$AO16="Semanal"),$AV16*100000+ROW(),"")</f>
      </c>
      <c r="BC16" s="201">
        <f>IF(AND($C16,$AO16="Quincenal"),$AV16*100000+ROW(),"")</f>
      </c>
      <c r="BD16" s="201">
        <f>IF(AND($C16,$AO16="Mensual"),$AV16*100000+ROW(),"")</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IF($C17,$AV17,"")</f>
      </c>
      <c r="AE17" s="201">
        <f>IF($C17,$AZ17,"")</f>
      </c>
      <c r="AF17" s="201">
        <f>IF($C17,$AV17&lt;&gt;$AR17,FALSE)</f>
      </c>
      <c r="AG17" s="201">
        <f>IF($C17,IF($AV17&lt;&gt;$AR17,$AW17,""),"")</f>
      </c>
      <c r="AH17" s="202">
        <f>IF($C17,'Backlog General'!$L17,"")</f>
      </c>
      <c r="AI17" s="201">
        <f>IF($C17,$AV17*100000+ROW(),"")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c r="AO17" s="202">
        <f>IF($C17,IFERROR(VLOOKUP($D17,'Sprints'!$G$5:$H$12,2,FALSE),"Semanal"),"")</f>
      </c>
      <c r="AP17" s="201">
        <f>IF($C17,IF($AO17="Semanal",'Sprints'!$D$5,IF($AO17="Quincenal",'Sprints'!$D$6,'Sprints'!$D$7)),"")</f>
      </c>
      <c r="AQ17" s="201">
        <f>IF($C17,IF($AO17="Semanal",'Sprints'!$C$5,IF($AO17="Quincenal",'Sprints'!$C$6,'Sprints'!$C$7)),"")</f>
      </c>
      <c r="AR17" s="201">
        <f>IF($C17,MAX(1,INT(($H17-$AQ17)/$AP17)+1),"")</f>
      </c>
      <c r="AS17" s="201">
        <f>IF($C17,IF($AO17="Semanal",'Sprints'!$E$5,IF($AO17="Quincenal",'Sprints'!$E$6,'Sprints'!$E$7)),"")</f>
      </c>
      <c r="AT17" s="202">
        <f>IF($C17,'Backlog General'!$G17,"")</f>
      </c>
      <c r="AU17" s="202">
        <f>IF($C17,'Backlog General'!$H17,"")</f>
      </c>
      <c r="AV17" s="201">
        <f>IF($C17,IF(OR($AT17="Completo",$AU17="Cancelado",$AU17="Baja prioridad"),$AR17,IF($AU17="Pasa al siguiente",MAX($AR17+1,$AS17),MAX($AR17,$AS17))),"")</f>
      </c>
      <c r="AW17" s="201">
        <f>IF($C17,$AQ17+$AR17*$AP17-1,"")</f>
      </c>
      <c r="AX17" s="201">
        <f>IF($C17,IF(OR($AT17="Completo",$AU17="Cancelado",$AU17="Baja prioridad"),0,MAX(0,TODAY()-$AW17)),"")</f>
      </c>
      <c r="AY17" s="202">
        <f>IF($C17,IF($AT17="Completo","Completo",IF($AU17="Cancelado","Cancelado",IF($AU17="Baja prioridad","Baja prioridad",IF($AX17&gt;0,"Vencida","Pendiente")))),"")</f>
      </c>
      <c r="AZ17" s="202">
        <f>IF($C17,$AO17&amp;" · S"&amp;$AV17,"")</f>
      </c>
      <c r="BA17" s="201">
        <f>IF($C17,IF(AND(ISNUMBER('Backlog General'!$M17),'Backlog General'!$M17=$AS17),"Nuevo S"&amp;'Backlog General'!$M17,""),"")</f>
      </c>
      <c r="BB17" s="201">
        <f>IF(AND($C17,$AO17="Semanal"),$AV17*100000+ROW(),"")</f>
      </c>
      <c r="BC17" s="201">
        <f>IF(AND($C17,$AO17="Quincenal"),$AV17*100000+ROW(),"")</f>
      </c>
      <c r="BD17" s="201">
        <f>IF(AND($C17,$AO17="Mensual"),$AV17*100000+ROW(),"")</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IF($C18,$AV18,"")</f>
      </c>
      <c r="AE18" s="201">
        <f>IF($C18,$AZ18,"")</f>
      </c>
      <c r="AF18" s="201">
        <f>IF($C18,$AV18&lt;&gt;$AR18,FALSE)</f>
      </c>
      <c r="AG18" s="201">
        <f>IF($C18,IF($AV18&lt;&gt;$AR18,$AW18,""),"")</f>
      </c>
      <c r="AH18" s="202">
        <f>IF($C18,'Backlog General'!$L18,"")</f>
      </c>
      <c r="AI18" s="201">
        <f>IF($C18,$AV18*100000+ROW(),"")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c r="AO18" s="202">
        <f>IF($C18,IFERROR(VLOOKUP($D18,'Sprints'!$G$5:$H$12,2,FALSE),"Semanal"),"")</f>
      </c>
      <c r="AP18" s="201">
        <f>IF($C18,IF($AO18="Semanal",'Sprints'!$D$5,IF($AO18="Quincenal",'Sprints'!$D$6,'Sprints'!$D$7)),"")</f>
      </c>
      <c r="AQ18" s="201">
        <f>IF($C18,IF($AO18="Semanal",'Sprints'!$C$5,IF($AO18="Quincenal",'Sprints'!$C$6,'Sprints'!$C$7)),"")</f>
      </c>
      <c r="AR18" s="201">
        <f>IF($C18,MAX(1,INT(($H18-$AQ18)/$AP18)+1),"")</f>
      </c>
      <c r="AS18" s="201">
        <f>IF($C18,IF($AO18="Semanal",'Sprints'!$E$5,IF($AO18="Quincenal",'Sprints'!$E$6,'Sprints'!$E$7)),"")</f>
      </c>
      <c r="AT18" s="202">
        <f>IF($C18,'Backlog General'!$G18,"")</f>
      </c>
      <c r="AU18" s="202">
        <f>IF($C18,'Backlog General'!$H18,"")</f>
      </c>
      <c r="AV18" s="201">
        <f>IF($C18,IF(OR($AT18="Completo",$AU18="Cancelado",$AU18="Baja prioridad"),$AR18,IF($AU18="Pasa al siguiente",MAX($AR18+1,$AS18),MAX($AR18,$AS18))),"")</f>
      </c>
      <c r="AW18" s="201">
        <f>IF($C18,$AQ18+$AR18*$AP18-1,"")</f>
      </c>
      <c r="AX18" s="201">
        <f>IF($C18,IF(OR($AT18="Completo",$AU18="Cancelado",$AU18="Baja prioridad"),0,MAX(0,TODAY()-$AW18)),"")</f>
      </c>
      <c r="AY18" s="202">
        <f>IF($C18,IF($AT18="Completo","Completo",IF($AU18="Cancelado","Cancelado",IF($AU18="Baja prioridad","Baja prioridad",IF($AX18&gt;0,"Vencida","Pendiente")))),"")</f>
      </c>
      <c r="AZ18" s="202">
        <f>IF($C18,$AO18&amp;" · S"&amp;$AV18,"")</f>
      </c>
      <c r="BA18" s="201">
        <f>IF($C18,IF(AND(ISNUMBER('Backlog General'!$M18),'Backlog General'!$M18=$AS18),"Nuevo S"&amp;'Backlog General'!$M18,""),"")</f>
      </c>
      <c r="BB18" s="201">
        <f>IF(AND($C18,$AO18="Semanal"),$AV18*100000+ROW(),"")</f>
      </c>
      <c r="BC18" s="201">
        <f>IF(AND($C18,$AO18="Quincenal"),$AV18*100000+ROW(),"")</f>
      </c>
      <c r="BD18" s="201">
        <f>IF(AND($C18,$AO18="Mensual"),$AV18*100000+ROW(),"")</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IF($C19,$AV19,"")</f>
      </c>
      <c r="AE19" s="201">
        <f>IF($C19,$AZ19,"")</f>
      </c>
      <c r="AF19" s="201">
        <f>IF($C19,$AV19&lt;&gt;$AR19,FALSE)</f>
      </c>
      <c r="AG19" s="201">
        <f>IF($C19,IF($AV19&lt;&gt;$AR19,$AW19,""),"")</f>
      </c>
      <c r="AH19" s="202">
        <f>IF($C19,'Backlog General'!$L19,"")</f>
      </c>
      <c r="AI19" s="201">
        <f>IF($C19,$AV19*100000+ROW(),"")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c r="AO19" s="202">
        <f>IF($C19,IFERROR(VLOOKUP($D19,'Sprints'!$G$5:$H$12,2,FALSE),"Semanal"),"")</f>
      </c>
      <c r="AP19" s="201">
        <f>IF($C19,IF($AO19="Semanal",'Sprints'!$D$5,IF($AO19="Quincenal",'Sprints'!$D$6,'Sprints'!$D$7)),"")</f>
      </c>
      <c r="AQ19" s="201">
        <f>IF($C19,IF($AO19="Semanal",'Sprints'!$C$5,IF($AO19="Quincenal",'Sprints'!$C$6,'Sprints'!$C$7)),"")</f>
      </c>
      <c r="AR19" s="201">
        <f>IF($C19,MAX(1,INT(($H19-$AQ19)/$AP19)+1),"")</f>
      </c>
      <c r="AS19" s="201">
        <f>IF($C19,IF($AO19="Semanal",'Sprints'!$E$5,IF($AO19="Quincenal",'Sprints'!$E$6,'Sprints'!$E$7)),"")</f>
      </c>
      <c r="AT19" s="202">
        <f>IF($C19,'Backlog General'!$G19,"")</f>
      </c>
      <c r="AU19" s="202">
        <f>IF($C19,'Backlog General'!$H19,"")</f>
      </c>
      <c r="AV19" s="201">
        <f>IF($C19,IF(OR($AT19="Completo",$AU19="Cancelado",$AU19="Baja prioridad"),$AR19,IF($AU19="Pasa al siguiente",MAX($AR19+1,$AS19),MAX($AR19,$AS19))),"")</f>
      </c>
      <c r="AW19" s="201">
        <f>IF($C19,$AQ19+$AR19*$AP19-1,"")</f>
      </c>
      <c r="AX19" s="201">
        <f>IF($C19,IF(OR($AT19="Completo",$AU19="Cancelado",$AU19="Baja prioridad"),0,MAX(0,TODAY()-$AW19)),"")</f>
      </c>
      <c r="AY19" s="202">
        <f>IF($C19,IF($AT19="Completo","Completo",IF($AU19="Cancelado","Cancelado",IF($AU19="Baja prioridad","Baja prioridad",IF($AX19&gt;0,"Vencida","Pendiente")))),"")</f>
      </c>
      <c r="AZ19" s="202">
        <f>IF($C19,$AO19&amp;" · S"&amp;$AV19,"")</f>
      </c>
      <c r="BA19" s="201">
        <f>IF($C19,IF(AND(ISNUMBER('Backlog General'!$M19),'Backlog General'!$M19=$AS19),"Nuevo S"&amp;'Backlog General'!$M19,""),"")</f>
      </c>
      <c r="BB19" s="201">
        <f>IF(AND($C19,$AO19="Semanal"),$AV19*100000+ROW(),"")</f>
      </c>
      <c r="BC19" s="201">
        <f>IF(AND($C19,$AO19="Quincenal"),$AV19*100000+ROW(),"")</f>
      </c>
      <c r="BD19" s="201">
        <f>IF(AND($C19,$AO19="Mensual"),$AV19*100000+ROW(),"")</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IF($C20,$AV20,"")</f>
      </c>
      <c r="AE20" s="201">
        <f>IF($C20,$AZ20,"")</f>
      </c>
      <c r="AF20" s="201">
        <f>IF($C20,$AV20&lt;&gt;$AR20,FALSE)</f>
      </c>
      <c r="AG20" s="201">
        <f>IF($C20,IF($AV20&lt;&gt;$AR20,$AW20,""),"")</f>
      </c>
      <c r="AH20" s="202">
        <f>IF($C20,'Backlog General'!$L20,"")</f>
      </c>
      <c r="AI20" s="201">
        <f>IF($C20,$AV20*100000+ROW(),"")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c r="AO20" s="202">
        <f>IF($C20,IFERROR(VLOOKUP($D20,'Sprints'!$G$5:$H$12,2,FALSE),"Semanal"),"")</f>
      </c>
      <c r="AP20" s="201">
        <f>IF($C20,IF($AO20="Semanal",'Sprints'!$D$5,IF($AO20="Quincenal",'Sprints'!$D$6,'Sprints'!$D$7)),"")</f>
      </c>
      <c r="AQ20" s="201">
        <f>IF($C20,IF($AO20="Semanal",'Sprints'!$C$5,IF($AO20="Quincenal",'Sprints'!$C$6,'Sprints'!$C$7)),"")</f>
      </c>
      <c r="AR20" s="201">
        <f>IF($C20,MAX(1,INT(($H20-$AQ20)/$AP20)+1),"")</f>
      </c>
      <c r="AS20" s="201">
        <f>IF($C20,IF($AO20="Semanal",'Sprints'!$E$5,IF($AO20="Quincenal",'Sprints'!$E$6,'Sprints'!$E$7)),"")</f>
      </c>
      <c r="AT20" s="202">
        <f>IF($C20,'Backlog General'!$G20,"")</f>
      </c>
      <c r="AU20" s="202">
        <f>IF($C20,'Backlog General'!$H20,"")</f>
      </c>
      <c r="AV20" s="201">
        <f>IF($C20,IF(OR($AT20="Completo",$AU20="Cancelado",$AU20="Baja prioridad"),$AR20,IF($AU20="Pasa al siguiente",MAX($AR20+1,$AS20),MAX($AR20,$AS20))),"")</f>
      </c>
      <c r="AW20" s="201">
        <f>IF($C20,$AQ20+$AR20*$AP20-1,"")</f>
      </c>
      <c r="AX20" s="201">
        <f>IF($C20,IF(OR($AT20="Completo",$AU20="Cancelado",$AU20="Baja prioridad"),0,MAX(0,TODAY()-$AW20)),"")</f>
      </c>
      <c r="AY20" s="202">
        <f>IF($C20,IF($AT20="Completo","Completo",IF($AU20="Cancelado","Cancelado",IF($AU20="Baja prioridad","Baja prioridad",IF($AX20&gt;0,"Vencida","Pendiente")))),"")</f>
      </c>
      <c r="AZ20" s="202">
        <f>IF($C20,$AO20&amp;" · S"&amp;$AV20,"")</f>
      </c>
      <c r="BA20" s="201">
        <f>IF($C20,IF(AND(ISNUMBER('Backlog General'!$M20),'Backlog General'!$M20=$AS20),"Nuevo S"&amp;'Backlog General'!$M20,""),"")</f>
      </c>
      <c r="BB20" s="201">
        <f>IF(AND($C20,$AO20="Semanal"),$AV20*100000+ROW(),"")</f>
      </c>
      <c r="BC20" s="201">
        <f>IF(AND($C20,$AO20="Quincenal"),$AV20*100000+ROW(),"")</f>
      </c>
      <c r="BD20" s="201">
        <f>IF(AND($C20,$AO20="Mensual"),$AV20*100000+ROW(),"")</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IF($C21,$AV21,"")</f>
      </c>
      <c r="AE21" s="201">
        <f>IF($C21,$AZ21,"")</f>
      </c>
      <c r="AF21" s="201">
        <f>IF($C21,$AV21&lt;&gt;$AR21,FALSE)</f>
      </c>
      <c r="AG21" s="201">
        <f>IF($C21,IF($AV21&lt;&gt;$AR21,$AW21,""),"")</f>
      </c>
      <c r="AH21" s="202">
        <f>IF($C21,'Backlog General'!$L21,"")</f>
      </c>
      <c r="AI21" s="201">
        <f>IF($C21,$AV21*100000+ROW(),"")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c r="AO21" s="202">
        <f>IF($C21,IFERROR(VLOOKUP($D21,'Sprints'!$G$5:$H$12,2,FALSE),"Semanal"),"")</f>
      </c>
      <c r="AP21" s="201">
        <f>IF($C21,IF($AO21="Semanal",'Sprints'!$D$5,IF($AO21="Quincenal",'Sprints'!$D$6,'Sprints'!$D$7)),"")</f>
      </c>
      <c r="AQ21" s="201">
        <f>IF($C21,IF($AO21="Semanal",'Sprints'!$C$5,IF($AO21="Quincenal",'Sprints'!$C$6,'Sprints'!$C$7)),"")</f>
      </c>
      <c r="AR21" s="201">
        <f>IF($C21,MAX(1,INT(($H21-$AQ21)/$AP21)+1),"")</f>
      </c>
      <c r="AS21" s="201">
        <f>IF($C21,IF($AO21="Semanal",'Sprints'!$E$5,IF($AO21="Quincenal",'Sprints'!$E$6,'Sprints'!$E$7)),"")</f>
      </c>
      <c r="AT21" s="202">
        <f>IF($C21,'Backlog General'!$G21,"")</f>
      </c>
      <c r="AU21" s="202">
        <f>IF($C21,'Backlog General'!$H21,"")</f>
      </c>
      <c r="AV21" s="201">
        <f>IF($C21,IF(OR($AT21="Completo",$AU21="Cancelado",$AU21="Baja prioridad"),$AR21,IF($AU21="Pasa al siguiente",MAX($AR21+1,$AS21),MAX($AR21,$AS21))),"")</f>
      </c>
      <c r="AW21" s="201">
        <f>IF($C21,$AQ21+$AR21*$AP21-1,"")</f>
      </c>
      <c r="AX21" s="201">
        <f>IF($C21,IF(OR($AT21="Completo",$AU21="Cancelado",$AU21="Baja prioridad"),0,MAX(0,TODAY()-$AW21)),"")</f>
      </c>
      <c r="AY21" s="202">
        <f>IF($C21,IF($AT21="Completo","Completo",IF($AU21="Cancelado","Cancelado",IF($AU21="Baja prioridad","Baja prioridad",IF($AX21&gt;0,"Vencida","Pendiente")))),"")</f>
      </c>
      <c r="AZ21" s="202">
        <f>IF($C21,$AO21&amp;" · S"&amp;$AV21,"")</f>
      </c>
      <c r="BA21" s="201">
        <f>IF($C21,IF(AND(ISNUMBER('Backlog General'!$M21),'Backlog General'!$M21=$AS21),"Nuevo S"&amp;'Backlog General'!$M21,""),"")</f>
      </c>
      <c r="BB21" s="201">
        <f>IF(AND($C21,$AO21="Semanal"),$AV21*100000+ROW(),"")</f>
      </c>
      <c r="BC21" s="201">
        <f>IF(AND($C21,$AO21="Quincenal"),$AV21*100000+ROW(),"")</f>
      </c>
      <c r="BD21" s="201">
        <f>IF(AND($C21,$AO21="Mensual"),$AV21*100000+ROW(),"")</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IF($C22,$AV22,"")</f>
      </c>
      <c r="AE22" s="201">
        <f>IF($C22,$AZ22,"")</f>
      </c>
      <c r="AF22" s="201">
        <f>IF($C22,$AV22&lt;&gt;$AR22,FALSE)</f>
      </c>
      <c r="AG22" s="201">
        <f>IF($C22,IF($AV22&lt;&gt;$AR22,$AW22,""),"")</f>
      </c>
      <c r="AH22" s="202">
        <f>IF($C22,'Backlog General'!$L22,"")</f>
      </c>
      <c r="AI22" s="201">
        <f>IF($C22,$AV22*100000+ROW(),"")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c r="AO22" s="202">
        <f>IF($C22,IFERROR(VLOOKUP($D22,'Sprints'!$G$5:$H$12,2,FALSE),"Semanal"),"")</f>
      </c>
      <c r="AP22" s="201">
        <f>IF($C22,IF($AO22="Semanal",'Sprints'!$D$5,IF($AO22="Quincenal",'Sprints'!$D$6,'Sprints'!$D$7)),"")</f>
      </c>
      <c r="AQ22" s="201">
        <f>IF($C22,IF($AO22="Semanal",'Sprints'!$C$5,IF($AO22="Quincenal",'Sprints'!$C$6,'Sprints'!$C$7)),"")</f>
      </c>
      <c r="AR22" s="201">
        <f>IF($C22,MAX(1,INT(($H22-$AQ22)/$AP22)+1),"")</f>
      </c>
      <c r="AS22" s="201">
        <f>IF($C22,IF($AO22="Semanal",'Sprints'!$E$5,IF($AO22="Quincenal",'Sprints'!$E$6,'Sprints'!$E$7)),"")</f>
      </c>
      <c r="AT22" s="202">
        <f>IF($C22,'Backlog General'!$G22,"")</f>
      </c>
      <c r="AU22" s="202">
        <f>IF($C22,'Backlog General'!$H22,"")</f>
      </c>
      <c r="AV22" s="201">
        <f>IF($C22,IF(OR($AT22="Completo",$AU22="Cancelado",$AU22="Baja prioridad"),$AR22,IF($AU22="Pasa al siguiente",MAX($AR22+1,$AS22),MAX($AR22,$AS22))),"")</f>
      </c>
      <c r="AW22" s="201">
        <f>IF($C22,$AQ22+$AR22*$AP22-1,"")</f>
      </c>
      <c r="AX22" s="201">
        <f>IF($C22,IF(OR($AT22="Completo",$AU22="Cancelado",$AU22="Baja prioridad"),0,MAX(0,TODAY()-$AW22)),"")</f>
      </c>
      <c r="AY22" s="202">
        <f>IF($C22,IF($AT22="Completo","Completo",IF($AU22="Cancelado","Cancelado",IF($AU22="Baja prioridad","Baja prioridad",IF($AX22&gt;0,"Vencida","Pendiente")))),"")</f>
      </c>
      <c r="AZ22" s="202">
        <f>IF($C22,$AO22&amp;" · S"&amp;$AV22,"")</f>
      </c>
      <c r="BA22" s="201">
        <f>IF($C22,IF(AND(ISNUMBER('Backlog General'!$M22),'Backlog General'!$M22=$AS22),"Nuevo S"&amp;'Backlog General'!$M22,""),"")</f>
      </c>
      <c r="BB22" s="201">
        <f>IF(AND($C22,$AO22="Semanal"),$AV22*100000+ROW(),"")</f>
      </c>
      <c r="BC22" s="201">
        <f>IF(AND($C22,$AO22="Quincenal"),$AV22*100000+ROW(),"")</f>
      </c>
      <c r="BD22" s="201">
        <f>IF(AND($C22,$AO22="Mensual"),$AV22*100000+ROW(),"")</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IF($C23,$AV23,"")</f>
      </c>
      <c r="AE23" s="201">
        <f>IF($C23,$AZ23,"")</f>
      </c>
      <c r="AF23" s="201">
        <f>IF($C23,$AV23&lt;&gt;$AR23,FALSE)</f>
      </c>
      <c r="AG23" s="201">
        <f>IF($C23,IF($AV23&lt;&gt;$AR23,$AW23,""),"")</f>
      </c>
      <c r="AH23" s="202">
        <f>IF($C23,'Backlog General'!$L23,"")</f>
      </c>
      <c r="AI23" s="201">
        <f>IF($C23,$AV23*100000+ROW(),"")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c r="AO23" s="202">
        <f>IF($C23,IFERROR(VLOOKUP($D23,'Sprints'!$G$5:$H$12,2,FALSE),"Semanal"),"")</f>
      </c>
      <c r="AP23" s="201">
        <f>IF($C23,IF($AO23="Semanal",'Sprints'!$D$5,IF($AO23="Quincenal",'Sprints'!$D$6,'Sprints'!$D$7)),"")</f>
      </c>
      <c r="AQ23" s="201">
        <f>IF($C23,IF($AO23="Semanal",'Sprints'!$C$5,IF($AO23="Quincenal",'Sprints'!$C$6,'Sprints'!$C$7)),"")</f>
      </c>
      <c r="AR23" s="201">
        <f>IF($C23,MAX(1,INT(($H23-$AQ23)/$AP23)+1),"")</f>
      </c>
      <c r="AS23" s="201">
        <f>IF($C23,IF($AO23="Semanal",'Sprints'!$E$5,IF($AO23="Quincenal",'Sprints'!$E$6,'Sprints'!$E$7)),"")</f>
      </c>
      <c r="AT23" s="202">
        <f>IF($C23,'Backlog General'!$G23,"")</f>
      </c>
      <c r="AU23" s="202">
        <f>IF($C23,'Backlog General'!$H23,"")</f>
      </c>
      <c r="AV23" s="201">
        <f>IF($C23,IF(OR($AT23="Completo",$AU23="Cancelado",$AU23="Baja prioridad"),$AR23,IF($AU23="Pasa al siguiente",MAX($AR23+1,$AS23),MAX($AR23,$AS23))),"")</f>
      </c>
      <c r="AW23" s="201">
        <f>IF($C23,$AQ23+$AR23*$AP23-1,"")</f>
      </c>
      <c r="AX23" s="201">
        <f>IF($C23,IF(OR($AT23="Completo",$AU23="Cancelado",$AU23="Baja prioridad"),0,MAX(0,TODAY()-$AW23)),"")</f>
      </c>
      <c r="AY23" s="202">
        <f>IF($C23,IF($AT23="Completo","Completo",IF($AU23="Cancelado","Cancelado",IF($AU23="Baja prioridad","Baja prioridad",IF($AX23&gt;0,"Vencida","Pendiente")))),"")</f>
      </c>
      <c r="AZ23" s="202">
        <f>IF($C23,$AO23&amp;" · S"&amp;$AV23,"")</f>
      </c>
      <c r="BA23" s="201">
        <f>IF($C23,IF(AND(ISNUMBER('Backlog General'!$M23),'Backlog General'!$M23=$AS23),"Nuevo S"&amp;'Backlog General'!$M23,""),"")</f>
      </c>
      <c r="BB23" s="201">
        <f>IF(AND($C23,$AO23="Semanal"),$AV23*100000+ROW(),"")</f>
      </c>
      <c r="BC23" s="201">
        <f>IF(AND($C23,$AO23="Quincenal"),$AV23*100000+ROW(),"")</f>
      </c>
      <c r="BD23" s="201">
        <f>IF(AND($C23,$AO23="Mensual"),$AV23*100000+ROW(),"")</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IF($C24,$AV24,"")</f>
      </c>
      <c r="AE24" s="201">
        <f>IF($C24,$AZ24,"")</f>
      </c>
      <c r="AF24" s="201">
        <f>IF($C24,$AV24&lt;&gt;$AR24,FALSE)</f>
      </c>
      <c r="AG24" s="201">
        <f>IF($C24,IF($AV24&lt;&gt;$AR24,$AW24,""),"")</f>
      </c>
      <c r="AH24" s="202">
        <f>IF($C24,'Backlog General'!$L24,"")</f>
      </c>
      <c r="AI24" s="201">
        <f>IF($C24,$AV24*100000+ROW(),"")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c r="AO24" s="202">
        <f>IF($C24,IFERROR(VLOOKUP($D24,'Sprints'!$G$5:$H$12,2,FALSE),"Semanal"),"")</f>
      </c>
      <c r="AP24" s="201">
        <f>IF($C24,IF($AO24="Semanal",'Sprints'!$D$5,IF($AO24="Quincenal",'Sprints'!$D$6,'Sprints'!$D$7)),"")</f>
      </c>
      <c r="AQ24" s="201">
        <f>IF($C24,IF($AO24="Semanal",'Sprints'!$C$5,IF($AO24="Quincenal",'Sprints'!$C$6,'Sprints'!$C$7)),"")</f>
      </c>
      <c r="AR24" s="201">
        <f>IF($C24,MAX(1,INT(($H24-$AQ24)/$AP24)+1),"")</f>
      </c>
      <c r="AS24" s="201">
        <f>IF($C24,IF($AO24="Semanal",'Sprints'!$E$5,IF($AO24="Quincenal",'Sprints'!$E$6,'Sprints'!$E$7)),"")</f>
      </c>
      <c r="AT24" s="202">
        <f>IF($C24,'Backlog General'!$G24,"")</f>
      </c>
      <c r="AU24" s="202">
        <f>IF($C24,'Backlog General'!$H24,"")</f>
      </c>
      <c r="AV24" s="201">
        <f>IF($C24,IF(OR($AT24="Completo",$AU24="Cancelado",$AU24="Baja prioridad"),$AR24,IF($AU24="Pasa al siguiente",MAX($AR24+1,$AS24),MAX($AR24,$AS24))),"")</f>
      </c>
      <c r="AW24" s="201">
        <f>IF($C24,$AQ24+$AR24*$AP24-1,"")</f>
      </c>
      <c r="AX24" s="201">
        <f>IF($C24,IF(OR($AT24="Completo",$AU24="Cancelado",$AU24="Baja prioridad"),0,MAX(0,TODAY()-$AW24)),"")</f>
      </c>
      <c r="AY24" s="202">
        <f>IF($C24,IF($AT24="Completo","Completo",IF($AU24="Cancelado","Cancelado",IF($AU24="Baja prioridad","Baja prioridad",IF($AX24&gt;0,"Vencida","Pendiente")))),"")</f>
      </c>
      <c r="AZ24" s="202">
        <f>IF($C24,$AO24&amp;" · S"&amp;$AV24,"")</f>
      </c>
      <c r="BA24" s="201">
        <f>IF($C24,IF(AND(ISNUMBER('Backlog General'!$M24),'Backlog General'!$M24=$AS24),"Nuevo S"&amp;'Backlog General'!$M24,""),"")</f>
      </c>
      <c r="BB24" s="201">
        <f>IF(AND($C24,$AO24="Semanal"),$AV24*100000+ROW(),"")</f>
      </c>
      <c r="BC24" s="201">
        <f>IF(AND($C24,$AO24="Quincenal"),$AV24*100000+ROW(),"")</f>
      </c>
      <c r="BD24" s="201">
        <f>IF(AND($C24,$AO24="Mensual"),$AV24*100000+ROW(),"")</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IF($C25,$AV25,"")</f>
      </c>
      <c r="AE25" s="201">
        <f>IF($C25,$AZ25,"")</f>
      </c>
      <c r="AF25" s="201">
        <f>IF($C25,$AV25&lt;&gt;$AR25,FALSE)</f>
      </c>
      <c r="AG25" s="201">
        <f>IF($C25,IF($AV25&lt;&gt;$AR25,$AW25,""),"")</f>
      </c>
      <c r="AH25" s="202">
        <f>IF($C25,'Backlog General'!$L25,"")</f>
      </c>
      <c r="AI25" s="201">
        <f>IF($C25,$AV25*100000+ROW(),"")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c r="AO25" s="202">
        <f>IF($C25,IFERROR(VLOOKUP($D25,'Sprints'!$G$5:$H$12,2,FALSE),"Semanal"),"")</f>
      </c>
      <c r="AP25" s="201">
        <f>IF($C25,IF($AO25="Semanal",'Sprints'!$D$5,IF($AO25="Quincenal",'Sprints'!$D$6,'Sprints'!$D$7)),"")</f>
      </c>
      <c r="AQ25" s="201">
        <f>IF($C25,IF($AO25="Semanal",'Sprints'!$C$5,IF($AO25="Quincenal",'Sprints'!$C$6,'Sprints'!$C$7)),"")</f>
      </c>
      <c r="AR25" s="201">
        <f>IF($C25,MAX(1,INT(($H25-$AQ25)/$AP25)+1),"")</f>
      </c>
      <c r="AS25" s="201">
        <f>IF($C25,IF($AO25="Semanal",'Sprints'!$E$5,IF($AO25="Quincenal",'Sprints'!$E$6,'Sprints'!$E$7)),"")</f>
      </c>
      <c r="AT25" s="202">
        <f>IF($C25,'Backlog General'!$G25,"")</f>
      </c>
      <c r="AU25" s="202">
        <f>IF($C25,'Backlog General'!$H25,"")</f>
      </c>
      <c r="AV25" s="201">
        <f>IF($C25,IF(OR($AT25="Completo",$AU25="Cancelado",$AU25="Baja prioridad"),$AR25,IF($AU25="Pasa al siguiente",MAX($AR25+1,$AS25),MAX($AR25,$AS25))),"")</f>
      </c>
      <c r="AW25" s="201">
        <f>IF($C25,$AQ25+$AR25*$AP25-1,"")</f>
      </c>
      <c r="AX25" s="201">
        <f>IF($C25,IF(OR($AT25="Completo",$AU25="Cancelado",$AU25="Baja prioridad"),0,MAX(0,TODAY()-$AW25)),"")</f>
      </c>
      <c r="AY25" s="202">
        <f>IF($C25,IF($AT25="Completo","Completo",IF($AU25="Cancelado","Cancelado",IF($AU25="Baja prioridad","Baja prioridad",IF($AX25&gt;0,"Vencida","Pendiente")))),"")</f>
      </c>
      <c r="AZ25" s="202">
        <f>IF($C25,$AO25&amp;" · S"&amp;$AV25,"")</f>
      </c>
      <c r="BA25" s="201">
        <f>IF($C25,IF(AND(ISNUMBER('Backlog General'!$M25),'Backlog General'!$M25=$AS25),"Nuevo S"&amp;'Backlog General'!$M25,""),"")</f>
      </c>
      <c r="BB25" s="201">
        <f>IF(AND($C25,$AO25="Semanal"),$AV25*100000+ROW(),"")</f>
      </c>
      <c r="BC25" s="201">
        <f>IF(AND($C25,$AO25="Quincenal"),$AV25*100000+ROW(),"")</f>
      </c>
      <c r="BD25" s="201">
        <f>IF(AND($C25,$AO25="Mensual"),$AV25*100000+ROW(),"")</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IF($C26,$AV26,"")</f>
      </c>
      <c r="AE26" s="201">
        <f>IF($C26,$AZ26,"")</f>
      </c>
      <c r="AF26" s="201">
        <f>IF($C26,$AV26&lt;&gt;$AR26,FALSE)</f>
      </c>
      <c r="AG26" s="201">
        <f>IF($C26,IF($AV26&lt;&gt;$AR26,$AW26,""),"")</f>
      </c>
      <c r="AH26" s="202">
        <f>IF($C26,'Backlog General'!$L26,"")</f>
      </c>
      <c r="AI26" s="201">
        <f>IF($C26,$AV26*100000+ROW(),"")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c r="AO26" s="202">
        <f>IF($C26,IFERROR(VLOOKUP($D26,'Sprints'!$G$5:$H$12,2,FALSE),"Semanal"),"")</f>
      </c>
      <c r="AP26" s="201">
        <f>IF($C26,IF($AO26="Semanal",'Sprints'!$D$5,IF($AO26="Quincenal",'Sprints'!$D$6,'Sprints'!$D$7)),"")</f>
      </c>
      <c r="AQ26" s="201">
        <f>IF($C26,IF($AO26="Semanal",'Sprints'!$C$5,IF($AO26="Quincenal",'Sprints'!$C$6,'Sprints'!$C$7)),"")</f>
      </c>
      <c r="AR26" s="201">
        <f>IF($C26,MAX(1,INT(($H26-$AQ26)/$AP26)+1),"")</f>
      </c>
      <c r="AS26" s="201">
        <f>IF($C26,IF($AO26="Semanal",'Sprints'!$E$5,IF($AO26="Quincenal",'Sprints'!$E$6,'Sprints'!$E$7)),"")</f>
      </c>
      <c r="AT26" s="202">
        <f>IF($C26,'Backlog General'!$G26,"")</f>
      </c>
      <c r="AU26" s="202">
        <f>IF($C26,'Backlog General'!$H26,"")</f>
      </c>
      <c r="AV26" s="201">
        <f>IF($C26,IF(OR($AT26="Completo",$AU26="Cancelado",$AU26="Baja prioridad"),$AR26,IF($AU26="Pasa al siguiente",MAX($AR26+1,$AS26),MAX($AR26,$AS26))),"")</f>
      </c>
      <c r="AW26" s="201">
        <f>IF($C26,$AQ26+$AR26*$AP26-1,"")</f>
      </c>
      <c r="AX26" s="201">
        <f>IF($C26,IF(OR($AT26="Completo",$AU26="Cancelado",$AU26="Baja prioridad"),0,MAX(0,TODAY()-$AW26)),"")</f>
      </c>
      <c r="AY26" s="202">
        <f>IF($C26,IF($AT26="Completo","Completo",IF($AU26="Cancelado","Cancelado",IF($AU26="Baja prioridad","Baja prioridad",IF($AX26&gt;0,"Vencida","Pendiente")))),"")</f>
      </c>
      <c r="AZ26" s="202">
        <f>IF($C26,$AO26&amp;" · S"&amp;$AV26,"")</f>
      </c>
      <c r="BA26" s="201">
        <f>IF($C26,IF(AND(ISNUMBER('Backlog General'!$M26),'Backlog General'!$M26=$AS26),"Nuevo S"&amp;'Backlog General'!$M26,""),"")</f>
      </c>
      <c r="BB26" s="201">
        <f>IF(AND($C26,$AO26="Semanal"),$AV26*100000+ROW(),"")</f>
      </c>
      <c r="BC26" s="201">
        <f>IF(AND($C26,$AO26="Quincenal"),$AV26*100000+ROW(),"")</f>
      </c>
      <c r="BD26" s="201">
        <f>IF(AND($C26,$AO26="Mensual"),$AV26*100000+ROW(),"")</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IF($C27,$AV27,"")</f>
      </c>
      <c r="AE27" s="201">
        <f>IF($C27,$AZ27,"")</f>
      </c>
      <c r="AF27" s="201">
        <f>IF($C27,$AV27&lt;&gt;$AR27,FALSE)</f>
      </c>
      <c r="AG27" s="201">
        <f>IF($C27,IF($AV27&lt;&gt;$AR27,$AW27,""),"")</f>
      </c>
      <c r="AH27" s="202">
        <f>IF($C27,'Backlog General'!$L27,"")</f>
      </c>
      <c r="AI27" s="201">
        <f>IF($C27,$AV27*100000+ROW(),"")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c r="AO27" s="202">
        <f>IF($C27,IFERROR(VLOOKUP($D27,'Sprints'!$G$5:$H$12,2,FALSE),"Semanal"),"")</f>
      </c>
      <c r="AP27" s="201">
        <f>IF($C27,IF($AO27="Semanal",'Sprints'!$D$5,IF($AO27="Quincenal",'Sprints'!$D$6,'Sprints'!$D$7)),"")</f>
      </c>
      <c r="AQ27" s="201">
        <f>IF($C27,IF($AO27="Semanal",'Sprints'!$C$5,IF($AO27="Quincenal",'Sprints'!$C$6,'Sprints'!$C$7)),"")</f>
      </c>
      <c r="AR27" s="201">
        <f>IF($C27,MAX(1,INT(($H27-$AQ27)/$AP27)+1),"")</f>
      </c>
      <c r="AS27" s="201">
        <f>IF($C27,IF($AO27="Semanal",'Sprints'!$E$5,IF($AO27="Quincenal",'Sprints'!$E$6,'Sprints'!$E$7)),"")</f>
      </c>
      <c r="AT27" s="202">
        <f>IF($C27,'Backlog General'!$G27,"")</f>
      </c>
      <c r="AU27" s="202">
        <f>IF($C27,'Backlog General'!$H27,"")</f>
      </c>
      <c r="AV27" s="201">
        <f>IF($C27,IF(OR($AT27="Completo",$AU27="Cancelado",$AU27="Baja prioridad"),$AR27,IF($AU27="Pasa al siguiente",MAX($AR27+1,$AS27),MAX($AR27,$AS27))),"")</f>
      </c>
      <c r="AW27" s="201">
        <f>IF($C27,$AQ27+$AR27*$AP27-1,"")</f>
      </c>
      <c r="AX27" s="201">
        <f>IF($C27,IF(OR($AT27="Completo",$AU27="Cancelado",$AU27="Baja prioridad"),0,MAX(0,TODAY()-$AW27)),"")</f>
      </c>
      <c r="AY27" s="202">
        <f>IF($C27,IF($AT27="Completo","Completo",IF($AU27="Cancelado","Cancelado",IF($AU27="Baja prioridad","Baja prioridad",IF($AX27&gt;0,"Vencida","Pendiente")))),"")</f>
      </c>
      <c r="AZ27" s="202">
        <f>IF($C27,$AO27&amp;" · S"&amp;$AV27,"")</f>
      </c>
      <c r="BA27" s="201">
        <f>IF($C27,IF(AND(ISNUMBER('Backlog General'!$M27),'Backlog General'!$M27=$AS27),"Nuevo S"&amp;'Backlog General'!$M27,""),"")</f>
      </c>
      <c r="BB27" s="201">
        <f>IF(AND($C27,$AO27="Semanal"),$AV27*100000+ROW(),"")</f>
      </c>
      <c r="BC27" s="201">
        <f>IF(AND($C27,$AO27="Quincenal"),$AV27*100000+ROW(),"")</f>
      </c>
      <c r="BD27" s="201">
        <f>IF(AND($C27,$AO27="Mensual"),$AV27*100000+ROW(),"")</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IF($C28,$AV28,"")</f>
      </c>
      <c r="AE28" s="201">
        <f>IF($C28,$AZ28,"")</f>
      </c>
      <c r="AF28" s="201">
        <f>IF($C28,$AV28&lt;&gt;$AR28,FALSE)</f>
      </c>
      <c r="AG28" s="201">
        <f>IF($C28,IF($AV28&lt;&gt;$AR28,$AW28,""),"")</f>
      </c>
      <c r="AH28" s="202">
        <f>IF($C28,'Backlog General'!$L28,"")</f>
      </c>
      <c r="AI28" s="201">
        <f>IF($C28,$AV28*100000+ROW(),"")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c r="AO28" s="202">
        <f>IF($C28,IFERROR(VLOOKUP($D28,'Sprints'!$G$5:$H$12,2,FALSE),"Semanal"),"")</f>
      </c>
      <c r="AP28" s="201">
        <f>IF($C28,IF($AO28="Semanal",'Sprints'!$D$5,IF($AO28="Quincenal",'Sprints'!$D$6,'Sprints'!$D$7)),"")</f>
      </c>
      <c r="AQ28" s="201">
        <f>IF($C28,IF($AO28="Semanal",'Sprints'!$C$5,IF($AO28="Quincenal",'Sprints'!$C$6,'Sprints'!$C$7)),"")</f>
      </c>
      <c r="AR28" s="201">
        <f>IF($C28,MAX(1,INT(($H28-$AQ28)/$AP28)+1),"")</f>
      </c>
      <c r="AS28" s="201">
        <f>IF($C28,IF($AO28="Semanal",'Sprints'!$E$5,IF($AO28="Quincenal",'Sprints'!$E$6,'Sprints'!$E$7)),"")</f>
      </c>
      <c r="AT28" s="202">
        <f>IF($C28,'Backlog General'!$G28,"")</f>
      </c>
      <c r="AU28" s="202">
        <f>IF($C28,'Backlog General'!$H28,"")</f>
      </c>
      <c r="AV28" s="201">
        <f>IF($C28,IF(OR($AT28="Completo",$AU28="Cancelado",$AU28="Baja prioridad"),$AR28,IF($AU28="Pasa al siguiente",MAX($AR28+1,$AS28),MAX($AR28,$AS28))),"")</f>
      </c>
      <c r="AW28" s="201">
        <f>IF($C28,$AQ28+$AR28*$AP28-1,"")</f>
      </c>
      <c r="AX28" s="201">
        <f>IF($C28,IF(OR($AT28="Completo",$AU28="Cancelado",$AU28="Baja prioridad"),0,MAX(0,TODAY()-$AW28)),"")</f>
      </c>
      <c r="AY28" s="202">
        <f>IF($C28,IF($AT28="Completo","Completo",IF($AU28="Cancelado","Cancelado",IF($AU28="Baja prioridad","Baja prioridad",IF($AX28&gt;0,"Vencida","Pendiente")))),"")</f>
      </c>
      <c r="AZ28" s="202">
        <f>IF($C28,$AO28&amp;" · S"&amp;$AV28,"")</f>
      </c>
      <c r="BA28" s="201">
        <f>IF($C28,IF(AND(ISNUMBER('Backlog General'!$M28),'Backlog General'!$M28=$AS28),"Nuevo S"&amp;'Backlog General'!$M28,""),"")</f>
      </c>
      <c r="BB28" s="201">
        <f>IF(AND($C28,$AO28="Semanal"),$AV28*100000+ROW(),"")</f>
      </c>
      <c r="BC28" s="201">
        <f>IF(AND($C28,$AO28="Quincenal"),$AV28*100000+ROW(),"")</f>
      </c>
      <c r="BD28" s="201">
        <f>IF(AND($C28,$AO28="Mensual"),$AV28*100000+ROW(),"")</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IF($C29,$AV29,"")</f>
      </c>
      <c r="AE29" s="201">
        <f>IF($C29,$AZ29,"")</f>
      </c>
      <c r="AF29" s="201">
        <f>IF($C29,$AV29&lt;&gt;$AR29,FALSE)</f>
      </c>
      <c r="AG29" s="201">
        <f>IF($C29,IF($AV29&lt;&gt;$AR29,$AW29,""),"")</f>
      </c>
      <c r="AH29" s="202">
        <f>IF($C29,'Backlog General'!$L29,"")</f>
      </c>
      <c r="AI29" s="201">
        <f>IF($C29,$AV29*100000+ROW(),"")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c r="AO29" s="202">
        <f>IF($C29,IFERROR(VLOOKUP($D29,'Sprints'!$G$5:$H$12,2,FALSE),"Semanal"),"")</f>
      </c>
      <c r="AP29" s="201">
        <f>IF($C29,IF($AO29="Semanal",'Sprints'!$D$5,IF($AO29="Quincenal",'Sprints'!$D$6,'Sprints'!$D$7)),"")</f>
      </c>
      <c r="AQ29" s="201">
        <f>IF($C29,IF($AO29="Semanal",'Sprints'!$C$5,IF($AO29="Quincenal",'Sprints'!$C$6,'Sprints'!$C$7)),"")</f>
      </c>
      <c r="AR29" s="201">
        <f>IF($C29,MAX(1,INT(($H29-$AQ29)/$AP29)+1),"")</f>
      </c>
      <c r="AS29" s="201">
        <f>IF($C29,IF($AO29="Semanal",'Sprints'!$E$5,IF($AO29="Quincenal",'Sprints'!$E$6,'Sprints'!$E$7)),"")</f>
      </c>
      <c r="AT29" s="202">
        <f>IF($C29,'Backlog General'!$G29,"")</f>
      </c>
      <c r="AU29" s="202">
        <f>IF($C29,'Backlog General'!$H29,"")</f>
      </c>
      <c r="AV29" s="201">
        <f>IF($C29,IF(OR($AT29="Completo",$AU29="Cancelado",$AU29="Baja prioridad"),$AR29,IF($AU29="Pasa al siguiente",MAX($AR29+1,$AS29),MAX($AR29,$AS29))),"")</f>
      </c>
      <c r="AW29" s="201">
        <f>IF($C29,$AQ29+$AR29*$AP29-1,"")</f>
      </c>
      <c r="AX29" s="201">
        <f>IF($C29,IF(OR($AT29="Completo",$AU29="Cancelado",$AU29="Baja prioridad"),0,MAX(0,TODAY()-$AW29)),"")</f>
      </c>
      <c r="AY29" s="202">
        <f>IF($C29,IF($AT29="Completo","Completo",IF($AU29="Cancelado","Cancelado",IF($AU29="Baja prioridad","Baja prioridad",IF($AX29&gt;0,"Vencida","Pendiente")))),"")</f>
      </c>
      <c r="AZ29" s="202">
        <f>IF($C29,$AO29&amp;" · S"&amp;$AV29,"")</f>
      </c>
      <c r="BA29" s="201">
        <f>IF($C29,IF(AND(ISNUMBER('Backlog General'!$M29),'Backlog General'!$M29=$AS29),"Nuevo S"&amp;'Backlog General'!$M29,""),"")</f>
      </c>
      <c r="BB29" s="201">
        <f>IF(AND($C29,$AO29="Semanal"),$AV29*100000+ROW(),"")</f>
      </c>
      <c r="BC29" s="201">
        <f>IF(AND($C29,$AO29="Quincenal"),$AV29*100000+ROW(),"")</f>
      </c>
      <c r="BD29" s="201">
        <f>IF(AND($C29,$AO29="Mensual"),$AV29*100000+ROW(),"")</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IF($C30,$AV30,"")</f>
      </c>
      <c r="AE30" s="201">
        <f>IF($C30,$AZ30,"")</f>
      </c>
      <c r="AF30" s="201">
        <f>IF($C30,$AV30&lt;&gt;$AR30,FALSE)</f>
      </c>
      <c r="AG30" s="201">
        <f>IF($C30,IF($AV30&lt;&gt;$AR30,$AW30,""),"")</f>
      </c>
      <c r="AH30" s="202">
        <f>IF($C30,'Backlog General'!$L30,"")</f>
      </c>
      <c r="AI30" s="201">
        <f>IF($C30,$AV30*100000+ROW(),"")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c r="AO30" s="202">
        <f>IF($C30,IFERROR(VLOOKUP($D30,'Sprints'!$G$5:$H$12,2,FALSE),"Semanal"),"")</f>
      </c>
      <c r="AP30" s="201">
        <f>IF($C30,IF($AO30="Semanal",'Sprints'!$D$5,IF($AO30="Quincenal",'Sprints'!$D$6,'Sprints'!$D$7)),"")</f>
      </c>
      <c r="AQ30" s="201">
        <f>IF($C30,IF($AO30="Semanal",'Sprints'!$C$5,IF($AO30="Quincenal",'Sprints'!$C$6,'Sprints'!$C$7)),"")</f>
      </c>
      <c r="AR30" s="201">
        <f>IF($C30,MAX(1,INT(($H30-$AQ30)/$AP30)+1),"")</f>
      </c>
      <c r="AS30" s="201">
        <f>IF($C30,IF($AO30="Semanal",'Sprints'!$E$5,IF($AO30="Quincenal",'Sprints'!$E$6,'Sprints'!$E$7)),"")</f>
      </c>
      <c r="AT30" s="202">
        <f>IF($C30,'Backlog General'!$G30,"")</f>
      </c>
      <c r="AU30" s="202">
        <f>IF($C30,'Backlog General'!$H30,"")</f>
      </c>
      <c r="AV30" s="201">
        <f>IF($C30,IF(OR($AT30="Completo",$AU30="Cancelado",$AU30="Baja prioridad"),$AR30,IF($AU30="Pasa al siguiente",MAX($AR30+1,$AS30),MAX($AR30,$AS30))),"")</f>
      </c>
      <c r="AW30" s="201">
        <f>IF($C30,$AQ30+$AR30*$AP30-1,"")</f>
      </c>
      <c r="AX30" s="201">
        <f>IF($C30,IF(OR($AT30="Completo",$AU30="Cancelado",$AU30="Baja prioridad"),0,MAX(0,TODAY()-$AW30)),"")</f>
      </c>
      <c r="AY30" s="202">
        <f>IF($C30,IF($AT30="Completo","Completo",IF($AU30="Cancelado","Cancelado",IF($AU30="Baja prioridad","Baja prioridad",IF($AX30&gt;0,"Vencida","Pendiente")))),"")</f>
      </c>
      <c r="AZ30" s="202">
        <f>IF($C30,$AO30&amp;" · S"&amp;$AV30,"")</f>
      </c>
      <c r="BA30" s="201">
        <f>IF($C30,IF(AND(ISNUMBER('Backlog General'!$M30),'Backlog General'!$M30=$AS30),"Nuevo S"&amp;'Backlog General'!$M30,""),"")</f>
      </c>
      <c r="BB30" s="201">
        <f>IF(AND($C30,$AO30="Semanal"),$AV30*100000+ROW(),"")</f>
      </c>
      <c r="BC30" s="201">
        <f>IF(AND($C30,$AO30="Quincenal"),$AV30*100000+ROW(),"")</f>
      </c>
      <c r="BD30" s="201">
        <f>IF(AND($C30,$AO30="Mensual"),$AV30*100000+ROW(),"")</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IF($C31,$AV31,"")</f>
      </c>
      <c r="AE31" s="201">
        <f>IF($C31,$AZ31,"")</f>
      </c>
      <c r="AF31" s="201">
        <f>IF($C31,$AV31&lt;&gt;$AR31,FALSE)</f>
      </c>
      <c r="AG31" s="201">
        <f>IF($C31,IF($AV31&lt;&gt;$AR31,$AW31,""),"")</f>
      </c>
      <c r="AH31" s="202">
        <f>IF($C31,'Backlog General'!$L31,"")</f>
      </c>
      <c r="AI31" s="201">
        <f>IF($C31,$AV31*100000+ROW(),"")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c r="AO31" s="202">
        <f>IF($C31,IFERROR(VLOOKUP($D31,'Sprints'!$G$5:$H$12,2,FALSE),"Semanal"),"")</f>
      </c>
      <c r="AP31" s="201">
        <f>IF($C31,IF($AO31="Semanal",'Sprints'!$D$5,IF($AO31="Quincenal",'Sprints'!$D$6,'Sprints'!$D$7)),"")</f>
      </c>
      <c r="AQ31" s="201">
        <f>IF($C31,IF($AO31="Semanal",'Sprints'!$C$5,IF($AO31="Quincenal",'Sprints'!$C$6,'Sprints'!$C$7)),"")</f>
      </c>
      <c r="AR31" s="201">
        <f>IF($C31,MAX(1,INT(($H31-$AQ31)/$AP31)+1),"")</f>
      </c>
      <c r="AS31" s="201">
        <f>IF($C31,IF($AO31="Semanal",'Sprints'!$E$5,IF($AO31="Quincenal",'Sprints'!$E$6,'Sprints'!$E$7)),"")</f>
      </c>
      <c r="AT31" s="202">
        <f>IF($C31,'Backlog General'!$G31,"")</f>
      </c>
      <c r="AU31" s="202">
        <f>IF($C31,'Backlog General'!$H31,"")</f>
      </c>
      <c r="AV31" s="201">
        <f>IF($C31,IF(OR($AT31="Completo",$AU31="Cancelado",$AU31="Baja prioridad"),$AR31,IF($AU31="Pasa al siguiente",MAX($AR31+1,$AS31),MAX($AR31,$AS31))),"")</f>
      </c>
      <c r="AW31" s="201">
        <f>IF($C31,$AQ31+$AR31*$AP31-1,"")</f>
      </c>
      <c r="AX31" s="201">
        <f>IF($C31,IF(OR($AT31="Completo",$AU31="Cancelado",$AU31="Baja prioridad"),0,MAX(0,TODAY()-$AW31)),"")</f>
      </c>
      <c r="AY31" s="202">
        <f>IF($C31,IF($AT31="Completo","Completo",IF($AU31="Cancelado","Cancelado",IF($AU31="Baja prioridad","Baja prioridad",IF($AX31&gt;0,"Vencida","Pendiente")))),"")</f>
      </c>
      <c r="AZ31" s="202">
        <f>IF($C31,$AO31&amp;" · S"&amp;$AV31,"")</f>
      </c>
      <c r="BA31" s="201">
        <f>IF($C31,IF(AND(ISNUMBER('Backlog General'!$M31),'Backlog General'!$M31=$AS31),"Nuevo S"&amp;'Backlog General'!$M31,""),"")</f>
      </c>
      <c r="BB31" s="201">
        <f>IF(AND($C31,$AO31="Semanal"),$AV31*100000+ROW(),"")</f>
      </c>
      <c r="BC31" s="201">
        <f>IF(AND($C31,$AO31="Quincenal"),$AV31*100000+ROW(),"")</f>
      </c>
      <c r="BD31" s="201">
        <f>IF(AND($C31,$AO31="Mensual"),$AV31*100000+ROW(),"")</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IF($C32,$AV32,"")</f>
      </c>
      <c r="AE32" s="201">
        <f>IF($C32,$AZ32,"")</f>
      </c>
      <c r="AF32" s="201">
        <f>IF($C32,$AV32&lt;&gt;$AR32,FALSE)</f>
      </c>
      <c r="AG32" s="201">
        <f>IF($C32,IF($AV32&lt;&gt;$AR32,$AW32,""),"")</f>
      </c>
      <c r="AH32" s="202">
        <f>IF($C32,'Backlog General'!$L32,"")</f>
      </c>
      <c r="AI32" s="201">
        <f>IF($C32,$AV32*100000+ROW(),"")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c r="AO32" s="202">
        <f>IF($C32,IFERROR(VLOOKUP($D32,'Sprints'!$G$5:$H$12,2,FALSE),"Semanal"),"")</f>
      </c>
      <c r="AP32" s="201">
        <f>IF($C32,IF($AO32="Semanal",'Sprints'!$D$5,IF($AO32="Quincenal",'Sprints'!$D$6,'Sprints'!$D$7)),"")</f>
      </c>
      <c r="AQ32" s="201">
        <f>IF($C32,IF($AO32="Semanal",'Sprints'!$C$5,IF($AO32="Quincenal",'Sprints'!$C$6,'Sprints'!$C$7)),"")</f>
      </c>
      <c r="AR32" s="201">
        <f>IF($C32,MAX(1,INT(($H32-$AQ32)/$AP32)+1),"")</f>
      </c>
      <c r="AS32" s="201">
        <f>IF($C32,IF($AO32="Semanal",'Sprints'!$E$5,IF($AO32="Quincenal",'Sprints'!$E$6,'Sprints'!$E$7)),"")</f>
      </c>
      <c r="AT32" s="202">
        <f>IF($C32,'Backlog General'!$G32,"")</f>
      </c>
      <c r="AU32" s="202">
        <f>IF($C32,'Backlog General'!$H32,"")</f>
      </c>
      <c r="AV32" s="201">
        <f>IF($C32,IF(OR($AT32="Completo",$AU32="Cancelado",$AU32="Baja prioridad"),$AR32,IF($AU32="Pasa al siguiente",MAX($AR32+1,$AS32),MAX($AR32,$AS32))),"")</f>
      </c>
      <c r="AW32" s="201">
        <f>IF($C32,$AQ32+$AR32*$AP32-1,"")</f>
      </c>
      <c r="AX32" s="201">
        <f>IF($C32,IF(OR($AT32="Completo",$AU32="Cancelado",$AU32="Baja prioridad"),0,MAX(0,TODAY()-$AW32)),"")</f>
      </c>
      <c r="AY32" s="202">
        <f>IF($C32,IF($AT32="Completo","Completo",IF($AU32="Cancelado","Cancelado",IF($AU32="Baja prioridad","Baja prioridad",IF($AX32&gt;0,"Vencida","Pendiente")))),"")</f>
      </c>
      <c r="AZ32" s="202">
        <f>IF($C32,$AO32&amp;" · S"&amp;$AV32,"")</f>
      </c>
      <c r="BA32" s="201">
        <f>IF($C32,IF(AND(ISNUMBER('Backlog General'!$M32),'Backlog General'!$M32=$AS32),"Nuevo S"&amp;'Backlog General'!$M32,""),"")</f>
      </c>
      <c r="BB32" s="201">
        <f>IF(AND($C32,$AO32="Semanal"),$AV32*100000+ROW(),"")</f>
      </c>
      <c r="BC32" s="201">
        <f>IF(AND($C32,$AO32="Quincenal"),$AV32*100000+ROW(),"")</f>
      </c>
      <c r="BD32" s="201">
        <f>IF(AND($C32,$AO32="Mensual"),$AV32*100000+ROW(),"")</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IF($C33,$AV33,"")</f>
      </c>
      <c r="AE33" s="201">
        <f>IF($C33,$AZ33,"")</f>
      </c>
      <c r="AF33" s="201">
        <f>IF($C33,$AV33&lt;&gt;$AR33,FALSE)</f>
      </c>
      <c r="AG33" s="201">
        <f>IF($C33,IF($AV33&lt;&gt;$AR33,$AW33,""),"")</f>
      </c>
      <c r="AH33" s="202">
        <f>IF($C33,'Backlog General'!$L33,"")</f>
      </c>
      <c r="AI33" s="201">
        <f>IF($C33,$AV33*100000+ROW(),"")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c r="AO33" s="202">
        <f>IF($C33,IFERROR(VLOOKUP($D33,'Sprints'!$G$5:$H$12,2,FALSE),"Semanal"),"")</f>
      </c>
      <c r="AP33" s="201">
        <f>IF($C33,IF($AO33="Semanal",'Sprints'!$D$5,IF($AO33="Quincenal",'Sprints'!$D$6,'Sprints'!$D$7)),"")</f>
      </c>
      <c r="AQ33" s="201">
        <f>IF($C33,IF($AO33="Semanal",'Sprints'!$C$5,IF($AO33="Quincenal",'Sprints'!$C$6,'Sprints'!$C$7)),"")</f>
      </c>
      <c r="AR33" s="201">
        <f>IF($C33,MAX(1,INT(($H33-$AQ33)/$AP33)+1),"")</f>
      </c>
      <c r="AS33" s="201">
        <f>IF($C33,IF($AO33="Semanal",'Sprints'!$E$5,IF($AO33="Quincenal",'Sprints'!$E$6,'Sprints'!$E$7)),"")</f>
      </c>
      <c r="AT33" s="202">
        <f>IF($C33,'Backlog General'!$G33,"")</f>
      </c>
      <c r="AU33" s="202">
        <f>IF($C33,'Backlog General'!$H33,"")</f>
      </c>
      <c r="AV33" s="201">
        <f>IF($C33,IF(OR($AT33="Completo",$AU33="Cancelado",$AU33="Baja prioridad"),$AR33,IF($AU33="Pasa al siguiente",MAX($AR33+1,$AS33),MAX($AR33,$AS33))),"")</f>
      </c>
      <c r="AW33" s="201">
        <f>IF($C33,$AQ33+$AR33*$AP33-1,"")</f>
      </c>
      <c r="AX33" s="201">
        <f>IF($C33,IF(OR($AT33="Completo",$AU33="Cancelado",$AU33="Baja prioridad"),0,MAX(0,TODAY()-$AW33)),"")</f>
      </c>
      <c r="AY33" s="202">
        <f>IF($C33,IF($AT33="Completo","Completo",IF($AU33="Cancelado","Cancelado",IF($AU33="Baja prioridad","Baja prioridad",IF($AX33&gt;0,"Vencida","Pendiente")))),"")</f>
      </c>
      <c r="AZ33" s="202">
        <f>IF($C33,$AO33&amp;" · S"&amp;$AV33,"")</f>
      </c>
      <c r="BA33" s="201">
        <f>IF($C33,IF(AND(ISNUMBER('Backlog General'!$M33),'Backlog General'!$M33=$AS33),"Nuevo S"&amp;'Backlog General'!$M33,""),"")</f>
      </c>
      <c r="BB33" s="201">
        <f>IF(AND($C33,$AO33="Semanal"),$AV33*100000+ROW(),"")</f>
      </c>
      <c r="BC33" s="201">
        <f>IF(AND($C33,$AO33="Quincenal"),$AV33*100000+ROW(),"")</f>
      </c>
      <c r="BD33" s="201">
        <f>IF(AND($C33,$AO33="Mensual"),$AV33*100000+ROW(),"")</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IF($C34,$AV34,"")</f>
      </c>
      <c r="AE34" s="201">
        <f>IF($C34,$AZ34,"")</f>
      </c>
      <c r="AF34" s="201">
        <f>IF($C34,$AV34&lt;&gt;$AR34,FALSE)</f>
      </c>
      <c r="AG34" s="201">
        <f>IF($C34,IF($AV34&lt;&gt;$AR34,$AW34,""),"")</f>
      </c>
      <c r="AH34" s="202">
        <f>IF($C34,'Backlog General'!$L34,"")</f>
      </c>
      <c r="AI34" s="201">
        <f>IF($C34,$AV34*100000+ROW(),"")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c r="AO34" s="202">
        <f>IF($C34,IFERROR(VLOOKUP($D34,'Sprints'!$G$5:$H$12,2,FALSE),"Semanal"),"")</f>
      </c>
      <c r="AP34" s="201">
        <f>IF($C34,IF($AO34="Semanal",'Sprints'!$D$5,IF($AO34="Quincenal",'Sprints'!$D$6,'Sprints'!$D$7)),"")</f>
      </c>
      <c r="AQ34" s="201">
        <f>IF($C34,IF($AO34="Semanal",'Sprints'!$C$5,IF($AO34="Quincenal",'Sprints'!$C$6,'Sprints'!$C$7)),"")</f>
      </c>
      <c r="AR34" s="201">
        <f>IF($C34,MAX(1,INT(($H34-$AQ34)/$AP34)+1),"")</f>
      </c>
      <c r="AS34" s="201">
        <f>IF($C34,IF($AO34="Semanal",'Sprints'!$E$5,IF($AO34="Quincenal",'Sprints'!$E$6,'Sprints'!$E$7)),"")</f>
      </c>
      <c r="AT34" s="202">
        <f>IF($C34,'Backlog General'!$G34,"")</f>
      </c>
      <c r="AU34" s="202">
        <f>IF($C34,'Backlog General'!$H34,"")</f>
      </c>
      <c r="AV34" s="201">
        <f>IF($C34,IF(OR($AT34="Completo",$AU34="Cancelado",$AU34="Baja prioridad"),$AR34,IF($AU34="Pasa al siguiente",MAX($AR34+1,$AS34),MAX($AR34,$AS34))),"")</f>
      </c>
      <c r="AW34" s="201">
        <f>IF($C34,$AQ34+$AR34*$AP34-1,"")</f>
      </c>
      <c r="AX34" s="201">
        <f>IF($C34,IF(OR($AT34="Completo",$AU34="Cancelado",$AU34="Baja prioridad"),0,MAX(0,TODAY()-$AW34)),"")</f>
      </c>
      <c r="AY34" s="202">
        <f>IF($C34,IF($AT34="Completo","Completo",IF($AU34="Cancelado","Cancelado",IF($AU34="Baja prioridad","Baja prioridad",IF($AX34&gt;0,"Vencida","Pendiente")))),"")</f>
      </c>
      <c r="AZ34" s="202">
        <f>IF($C34,$AO34&amp;" · S"&amp;$AV34,"")</f>
      </c>
      <c r="BA34" s="201">
        <f>IF($C34,IF(AND(ISNUMBER('Backlog General'!$M34),'Backlog General'!$M34=$AS34),"Nuevo S"&amp;'Backlog General'!$M34,""),"")</f>
      </c>
      <c r="BB34" s="201">
        <f>IF(AND($C34,$AO34="Semanal"),$AV34*100000+ROW(),"")</f>
      </c>
      <c r="BC34" s="201">
        <f>IF(AND($C34,$AO34="Quincenal"),$AV34*100000+ROW(),"")</f>
      </c>
      <c r="BD34" s="201">
        <f>IF(AND($C34,$AO34="Mensual"),$AV34*100000+ROW(),"")</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IF($C35,$AV35,"")</f>
      </c>
      <c r="AE35" s="201">
        <f>IF($C35,$AZ35,"")</f>
      </c>
      <c r="AF35" s="201">
        <f>IF($C35,$AV35&lt;&gt;$AR35,FALSE)</f>
      </c>
      <c r="AG35" s="201">
        <f>IF($C35,IF($AV35&lt;&gt;$AR35,$AW35,""),"")</f>
      </c>
      <c r="AH35" s="202">
        <f>IF($C35,'Backlog General'!$L35,"")</f>
      </c>
      <c r="AI35" s="201">
        <f>IF($C35,$AV35*100000+ROW(),"")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c r="AO35" s="202">
        <f>IF($C35,IFERROR(VLOOKUP($D35,'Sprints'!$G$5:$H$12,2,FALSE),"Semanal"),"")</f>
      </c>
      <c r="AP35" s="201">
        <f>IF($C35,IF($AO35="Semanal",'Sprints'!$D$5,IF($AO35="Quincenal",'Sprints'!$D$6,'Sprints'!$D$7)),"")</f>
      </c>
      <c r="AQ35" s="201">
        <f>IF($C35,IF($AO35="Semanal",'Sprints'!$C$5,IF($AO35="Quincenal",'Sprints'!$C$6,'Sprints'!$C$7)),"")</f>
      </c>
      <c r="AR35" s="201">
        <f>IF($C35,MAX(1,INT(($H35-$AQ35)/$AP35)+1),"")</f>
      </c>
      <c r="AS35" s="201">
        <f>IF($C35,IF($AO35="Semanal",'Sprints'!$E$5,IF($AO35="Quincenal",'Sprints'!$E$6,'Sprints'!$E$7)),"")</f>
      </c>
      <c r="AT35" s="202">
        <f>IF($C35,'Backlog General'!$G35,"")</f>
      </c>
      <c r="AU35" s="202">
        <f>IF($C35,'Backlog General'!$H35,"")</f>
      </c>
      <c r="AV35" s="201">
        <f>IF($C35,IF(OR($AT35="Completo",$AU35="Cancelado",$AU35="Baja prioridad"),$AR35,IF($AU35="Pasa al siguiente",MAX($AR35+1,$AS35),MAX($AR35,$AS35))),"")</f>
      </c>
      <c r="AW35" s="201">
        <f>IF($C35,$AQ35+$AR35*$AP35-1,"")</f>
      </c>
      <c r="AX35" s="201">
        <f>IF($C35,IF(OR($AT35="Completo",$AU35="Cancelado",$AU35="Baja prioridad"),0,MAX(0,TODAY()-$AW35)),"")</f>
      </c>
      <c r="AY35" s="202">
        <f>IF($C35,IF($AT35="Completo","Completo",IF($AU35="Cancelado","Cancelado",IF($AU35="Baja prioridad","Baja prioridad",IF($AX35&gt;0,"Vencida","Pendiente")))),"")</f>
      </c>
      <c r="AZ35" s="202">
        <f>IF($C35,$AO35&amp;" · S"&amp;$AV35,"")</f>
      </c>
      <c r="BA35" s="201">
        <f>IF($C35,IF(AND(ISNUMBER('Backlog General'!$M35),'Backlog General'!$M35=$AS35),"Nuevo S"&amp;'Backlog General'!$M35,""),"")</f>
      </c>
      <c r="BB35" s="201">
        <f>IF(AND($C35,$AO35="Semanal"),$AV35*100000+ROW(),"")</f>
      </c>
      <c r="BC35" s="201">
        <f>IF(AND($C35,$AO35="Quincenal"),$AV35*100000+ROW(),"")</f>
      </c>
      <c r="BD35" s="201">
        <f>IF(AND($C35,$AO35="Mensual"),$AV35*100000+ROW(),"")</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IF($C36,$AV36,"")</f>
      </c>
      <c r="AE36" s="201">
        <f>IF($C36,$AZ36,"")</f>
      </c>
      <c r="AF36" s="201">
        <f>IF($C36,$AV36&lt;&gt;$AR36,FALSE)</f>
      </c>
      <c r="AG36" s="201">
        <f>IF($C36,IF($AV36&lt;&gt;$AR36,$AW36,""),"")</f>
      </c>
      <c r="AH36" s="202">
        <f>IF($C36,'Backlog General'!$L36,"")</f>
      </c>
      <c r="AI36" s="201">
        <f>IF($C36,$AV36*100000+ROW(),"")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c r="AO36" s="202">
        <f>IF($C36,IFERROR(VLOOKUP($D36,'Sprints'!$G$5:$H$12,2,FALSE),"Semanal"),"")</f>
      </c>
      <c r="AP36" s="201">
        <f>IF($C36,IF($AO36="Semanal",'Sprints'!$D$5,IF($AO36="Quincenal",'Sprints'!$D$6,'Sprints'!$D$7)),"")</f>
      </c>
      <c r="AQ36" s="201">
        <f>IF($C36,IF($AO36="Semanal",'Sprints'!$C$5,IF($AO36="Quincenal",'Sprints'!$C$6,'Sprints'!$C$7)),"")</f>
      </c>
      <c r="AR36" s="201">
        <f>IF($C36,MAX(1,INT(($H36-$AQ36)/$AP36)+1),"")</f>
      </c>
      <c r="AS36" s="201">
        <f>IF($C36,IF($AO36="Semanal",'Sprints'!$E$5,IF($AO36="Quincenal",'Sprints'!$E$6,'Sprints'!$E$7)),"")</f>
      </c>
      <c r="AT36" s="202">
        <f>IF($C36,'Backlog General'!$G36,"")</f>
      </c>
      <c r="AU36" s="202">
        <f>IF($C36,'Backlog General'!$H36,"")</f>
      </c>
      <c r="AV36" s="201">
        <f>IF($C36,IF(OR($AT36="Completo",$AU36="Cancelado",$AU36="Baja prioridad"),$AR36,IF($AU36="Pasa al siguiente",MAX($AR36+1,$AS36),MAX($AR36,$AS36))),"")</f>
      </c>
      <c r="AW36" s="201">
        <f>IF($C36,$AQ36+$AR36*$AP36-1,"")</f>
      </c>
      <c r="AX36" s="201">
        <f>IF($C36,IF(OR($AT36="Completo",$AU36="Cancelado",$AU36="Baja prioridad"),0,MAX(0,TODAY()-$AW36)),"")</f>
      </c>
      <c r="AY36" s="202">
        <f>IF($C36,IF($AT36="Completo","Completo",IF($AU36="Cancelado","Cancelado",IF($AU36="Baja prioridad","Baja prioridad",IF($AX36&gt;0,"Vencida","Pendiente")))),"")</f>
      </c>
      <c r="AZ36" s="202">
        <f>IF($C36,$AO36&amp;" · S"&amp;$AV36,"")</f>
      </c>
      <c r="BA36" s="201">
        <f>IF($C36,IF(AND(ISNUMBER('Backlog General'!$M36),'Backlog General'!$M36=$AS36),"Nuevo S"&amp;'Backlog General'!$M36,""),"")</f>
      </c>
      <c r="BB36" s="201">
        <f>IF(AND($C36,$AO36="Semanal"),$AV36*100000+ROW(),"")</f>
      </c>
      <c r="BC36" s="201">
        <f>IF(AND($C36,$AO36="Quincenal"),$AV36*100000+ROW(),"")</f>
      </c>
      <c r="BD36" s="201">
        <f>IF(AND($C36,$AO36="Mensual"),$AV36*100000+ROW(),"")</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IF($C37,$AV37,"")</f>
      </c>
      <c r="AE37" s="201">
        <f>IF($C37,$AZ37,"")</f>
      </c>
      <c r="AF37" s="201">
        <f>IF($C37,$AV37&lt;&gt;$AR37,FALSE)</f>
      </c>
      <c r="AG37" s="201">
        <f>IF($C37,IF($AV37&lt;&gt;$AR37,$AW37,""),"")</f>
      </c>
      <c r="AH37" s="202">
        <f>IF($C37,'Backlog General'!$L37,"")</f>
      </c>
      <c r="AI37" s="201">
        <f>IF($C37,$AV37*100000+ROW(),"")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c r="AO37" s="202">
        <f>IF($C37,IFERROR(VLOOKUP($D37,'Sprints'!$G$5:$H$12,2,FALSE),"Semanal"),"")</f>
      </c>
      <c r="AP37" s="201">
        <f>IF($C37,IF($AO37="Semanal",'Sprints'!$D$5,IF($AO37="Quincenal",'Sprints'!$D$6,'Sprints'!$D$7)),"")</f>
      </c>
      <c r="AQ37" s="201">
        <f>IF($C37,IF($AO37="Semanal",'Sprints'!$C$5,IF($AO37="Quincenal",'Sprints'!$C$6,'Sprints'!$C$7)),"")</f>
      </c>
      <c r="AR37" s="201">
        <f>IF($C37,MAX(1,INT(($H37-$AQ37)/$AP37)+1),"")</f>
      </c>
      <c r="AS37" s="201">
        <f>IF($C37,IF($AO37="Semanal",'Sprints'!$E$5,IF($AO37="Quincenal",'Sprints'!$E$6,'Sprints'!$E$7)),"")</f>
      </c>
      <c r="AT37" s="202">
        <f>IF($C37,'Backlog General'!$G37,"")</f>
      </c>
      <c r="AU37" s="202">
        <f>IF($C37,'Backlog General'!$H37,"")</f>
      </c>
      <c r="AV37" s="201">
        <f>IF($C37,IF(OR($AT37="Completo",$AU37="Cancelado",$AU37="Baja prioridad"),$AR37,IF($AU37="Pasa al siguiente",MAX($AR37+1,$AS37),MAX($AR37,$AS37))),"")</f>
      </c>
      <c r="AW37" s="201">
        <f>IF($C37,$AQ37+$AR37*$AP37-1,"")</f>
      </c>
      <c r="AX37" s="201">
        <f>IF($C37,IF(OR($AT37="Completo",$AU37="Cancelado",$AU37="Baja prioridad"),0,MAX(0,TODAY()-$AW37)),"")</f>
      </c>
      <c r="AY37" s="202">
        <f>IF($C37,IF($AT37="Completo","Completo",IF($AU37="Cancelado","Cancelado",IF($AU37="Baja prioridad","Baja prioridad",IF($AX37&gt;0,"Vencida","Pendiente")))),"")</f>
      </c>
      <c r="AZ37" s="202">
        <f>IF($C37,$AO37&amp;" · S"&amp;$AV37,"")</f>
      </c>
      <c r="BA37" s="201">
        <f>IF($C37,IF(AND(ISNUMBER('Backlog General'!$M37),'Backlog General'!$M37=$AS37),"Nuevo S"&amp;'Backlog General'!$M37,""),"")</f>
      </c>
      <c r="BB37" s="201">
        <f>IF(AND($C37,$AO37="Semanal"),$AV37*100000+ROW(),"")</f>
      </c>
      <c r="BC37" s="201">
        <f>IF(AND($C37,$AO37="Quincenal"),$AV37*100000+ROW(),"")</f>
      </c>
      <c r="BD37" s="201">
        <f>IF(AND($C37,$AO37="Mensual"),$AV37*100000+ROW(),"")</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IF($C38,$AV38,"")</f>
      </c>
      <c r="AE38" s="201">
        <f>IF($C38,$AZ38,"")</f>
      </c>
      <c r="AF38" s="201">
        <f>IF($C38,$AV38&lt;&gt;$AR38,FALSE)</f>
      </c>
      <c r="AG38" s="201">
        <f>IF($C38,IF($AV38&lt;&gt;$AR38,$AW38,""),"")</f>
      </c>
      <c r="AH38" s="202">
        <f>IF($C38,'Backlog General'!$L38,"")</f>
      </c>
      <c r="AI38" s="201">
        <f>IF($C38,$AV38*100000+ROW(),"")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c r="AO38" s="202">
        <f>IF($C38,IFERROR(VLOOKUP($D38,'Sprints'!$G$5:$H$12,2,FALSE),"Semanal"),"")</f>
      </c>
      <c r="AP38" s="201">
        <f>IF($C38,IF($AO38="Semanal",'Sprints'!$D$5,IF($AO38="Quincenal",'Sprints'!$D$6,'Sprints'!$D$7)),"")</f>
      </c>
      <c r="AQ38" s="201">
        <f>IF($C38,IF($AO38="Semanal",'Sprints'!$C$5,IF($AO38="Quincenal",'Sprints'!$C$6,'Sprints'!$C$7)),"")</f>
      </c>
      <c r="AR38" s="201">
        <f>IF($C38,MAX(1,INT(($H38-$AQ38)/$AP38)+1),"")</f>
      </c>
      <c r="AS38" s="201">
        <f>IF($C38,IF($AO38="Semanal",'Sprints'!$E$5,IF($AO38="Quincenal",'Sprints'!$E$6,'Sprints'!$E$7)),"")</f>
      </c>
      <c r="AT38" s="202">
        <f>IF($C38,'Backlog General'!$G38,"")</f>
      </c>
      <c r="AU38" s="202">
        <f>IF($C38,'Backlog General'!$H38,"")</f>
      </c>
      <c r="AV38" s="201">
        <f>IF($C38,IF(OR($AT38="Completo",$AU38="Cancelado",$AU38="Baja prioridad"),$AR38,IF($AU38="Pasa al siguiente",MAX($AR38+1,$AS38),MAX($AR38,$AS38))),"")</f>
      </c>
      <c r="AW38" s="201">
        <f>IF($C38,$AQ38+$AR38*$AP38-1,"")</f>
      </c>
      <c r="AX38" s="201">
        <f>IF($C38,IF(OR($AT38="Completo",$AU38="Cancelado",$AU38="Baja prioridad"),0,MAX(0,TODAY()-$AW38)),"")</f>
      </c>
      <c r="AY38" s="202">
        <f>IF($C38,IF($AT38="Completo","Completo",IF($AU38="Cancelado","Cancelado",IF($AU38="Baja prioridad","Baja prioridad",IF($AX38&gt;0,"Vencida","Pendiente")))),"")</f>
      </c>
      <c r="AZ38" s="202">
        <f>IF($C38,$AO38&amp;" · S"&amp;$AV38,"")</f>
      </c>
      <c r="BA38" s="201">
        <f>IF($C38,IF(AND(ISNUMBER('Backlog General'!$M38),'Backlog General'!$M38=$AS38),"Nuevo S"&amp;'Backlog General'!$M38,""),"")</f>
      </c>
      <c r="BB38" s="201">
        <f>IF(AND($C38,$AO38="Semanal"),$AV38*100000+ROW(),"")</f>
      </c>
      <c r="BC38" s="201">
        <f>IF(AND($C38,$AO38="Quincenal"),$AV38*100000+ROW(),"")</f>
      </c>
      <c r="BD38" s="201">
        <f>IF(AND($C38,$AO38="Mensual"),$AV38*100000+ROW(),"")</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IF($C39,$AV39,"")</f>
      </c>
      <c r="AE39" s="201">
        <f>IF($C39,$AZ39,"")</f>
      </c>
      <c r="AF39" s="201">
        <f>IF($C39,$AV39&lt;&gt;$AR39,FALSE)</f>
      </c>
      <c r="AG39" s="201">
        <f>IF($C39,IF($AV39&lt;&gt;$AR39,$AW39,""),"")</f>
      </c>
      <c r="AH39" s="202">
        <f>IF($C39,'Backlog General'!$L39,"")</f>
      </c>
      <c r="AI39" s="201">
        <f>IF($C39,$AV39*100000+ROW(),"")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c r="AO39" s="202">
        <f>IF($C39,IFERROR(VLOOKUP($D39,'Sprints'!$G$5:$H$12,2,FALSE),"Semanal"),"")</f>
      </c>
      <c r="AP39" s="201">
        <f>IF($C39,IF($AO39="Semanal",'Sprints'!$D$5,IF($AO39="Quincenal",'Sprints'!$D$6,'Sprints'!$D$7)),"")</f>
      </c>
      <c r="AQ39" s="201">
        <f>IF($C39,IF($AO39="Semanal",'Sprints'!$C$5,IF($AO39="Quincenal",'Sprints'!$C$6,'Sprints'!$C$7)),"")</f>
      </c>
      <c r="AR39" s="201">
        <f>IF($C39,MAX(1,INT(($H39-$AQ39)/$AP39)+1),"")</f>
      </c>
      <c r="AS39" s="201">
        <f>IF($C39,IF($AO39="Semanal",'Sprints'!$E$5,IF($AO39="Quincenal",'Sprints'!$E$6,'Sprints'!$E$7)),"")</f>
      </c>
      <c r="AT39" s="202">
        <f>IF($C39,'Backlog General'!$G39,"")</f>
      </c>
      <c r="AU39" s="202">
        <f>IF($C39,'Backlog General'!$H39,"")</f>
      </c>
      <c r="AV39" s="201">
        <f>IF($C39,IF(OR($AT39="Completo",$AU39="Cancelado",$AU39="Baja prioridad"),$AR39,IF($AU39="Pasa al siguiente",MAX($AR39+1,$AS39),MAX($AR39,$AS39))),"")</f>
      </c>
      <c r="AW39" s="201">
        <f>IF($C39,$AQ39+$AR39*$AP39-1,"")</f>
      </c>
      <c r="AX39" s="201">
        <f>IF($C39,IF(OR($AT39="Completo",$AU39="Cancelado",$AU39="Baja prioridad"),0,MAX(0,TODAY()-$AW39)),"")</f>
      </c>
      <c r="AY39" s="202">
        <f>IF($C39,IF($AT39="Completo","Completo",IF($AU39="Cancelado","Cancelado",IF($AU39="Baja prioridad","Baja prioridad",IF($AX39&gt;0,"Vencida","Pendiente")))),"")</f>
      </c>
      <c r="AZ39" s="202">
        <f>IF($C39,$AO39&amp;" · S"&amp;$AV39,"")</f>
      </c>
      <c r="BA39" s="201">
        <f>IF($C39,IF(AND(ISNUMBER('Backlog General'!$M39),'Backlog General'!$M39=$AS39),"Nuevo S"&amp;'Backlog General'!$M39,""),"")</f>
      </c>
      <c r="BB39" s="201">
        <f>IF(AND($C39,$AO39="Semanal"),$AV39*100000+ROW(),"")</f>
      </c>
      <c r="BC39" s="201">
        <f>IF(AND($C39,$AO39="Quincenal"),$AV39*100000+ROW(),"")</f>
      </c>
      <c r="BD39" s="201">
        <f>IF(AND($C39,$AO39="Mensual"),$AV39*100000+ROW(),"")</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IF($C40,$AV40,"")</f>
      </c>
      <c r="AE40" s="201">
        <f>IF($C40,$AZ40,"")</f>
      </c>
      <c r="AF40" s="201">
        <f>IF($C40,$AV40&lt;&gt;$AR40,FALSE)</f>
      </c>
      <c r="AG40" s="201">
        <f>IF($C40,IF($AV40&lt;&gt;$AR40,$AW40,""),"")</f>
      </c>
      <c r="AH40" s="202">
        <f>IF($C40,'Backlog General'!$L40,"")</f>
      </c>
      <c r="AI40" s="201">
        <f>IF($C40,$AV40*100000+ROW(),"")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c r="AO40" s="202">
        <f>IF($C40,IFERROR(VLOOKUP($D40,'Sprints'!$G$5:$H$12,2,FALSE),"Semanal"),"")</f>
      </c>
      <c r="AP40" s="201">
        <f>IF($C40,IF($AO40="Semanal",'Sprints'!$D$5,IF($AO40="Quincenal",'Sprints'!$D$6,'Sprints'!$D$7)),"")</f>
      </c>
      <c r="AQ40" s="201">
        <f>IF($C40,IF($AO40="Semanal",'Sprints'!$C$5,IF($AO40="Quincenal",'Sprints'!$C$6,'Sprints'!$C$7)),"")</f>
      </c>
      <c r="AR40" s="201">
        <f>IF($C40,MAX(1,INT(($H40-$AQ40)/$AP40)+1),"")</f>
      </c>
      <c r="AS40" s="201">
        <f>IF($C40,IF($AO40="Semanal",'Sprints'!$E$5,IF($AO40="Quincenal",'Sprints'!$E$6,'Sprints'!$E$7)),"")</f>
      </c>
      <c r="AT40" s="202">
        <f>IF($C40,'Backlog General'!$G40,"")</f>
      </c>
      <c r="AU40" s="202">
        <f>IF($C40,'Backlog General'!$H40,"")</f>
      </c>
      <c r="AV40" s="201">
        <f>IF($C40,IF(OR($AT40="Completo",$AU40="Cancelado",$AU40="Baja prioridad"),$AR40,IF($AU40="Pasa al siguiente",MAX($AR40+1,$AS40),MAX($AR40,$AS40))),"")</f>
      </c>
      <c r="AW40" s="201">
        <f>IF($C40,$AQ40+$AR40*$AP40-1,"")</f>
      </c>
      <c r="AX40" s="201">
        <f>IF($C40,IF(OR($AT40="Completo",$AU40="Cancelado",$AU40="Baja prioridad"),0,MAX(0,TODAY()-$AW40)),"")</f>
      </c>
      <c r="AY40" s="202">
        <f>IF($C40,IF($AT40="Completo","Completo",IF($AU40="Cancelado","Cancelado",IF($AU40="Baja prioridad","Baja prioridad",IF($AX40&gt;0,"Vencida","Pendiente")))),"")</f>
      </c>
      <c r="AZ40" s="202">
        <f>IF($C40,$AO40&amp;" · S"&amp;$AV40,"")</f>
      </c>
      <c r="BA40" s="201">
        <f>IF($C40,IF(AND(ISNUMBER('Backlog General'!$M40),'Backlog General'!$M40=$AS40),"Nuevo S"&amp;'Backlog General'!$M40,""),"")</f>
      </c>
      <c r="BB40" s="201">
        <f>IF(AND($C40,$AO40="Semanal"),$AV40*100000+ROW(),"")</f>
      </c>
      <c r="BC40" s="201">
        <f>IF(AND($C40,$AO40="Quincenal"),$AV40*100000+ROW(),"")</f>
      </c>
      <c r="BD40" s="201">
        <f>IF(AND($C40,$AO40="Mensual"),$AV40*100000+ROW(),"")</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IF($C41,$AV41,"")</f>
      </c>
      <c r="AE41" s="201">
        <f>IF($C41,$AZ41,"")</f>
      </c>
      <c r="AF41" s="201">
        <f>IF($C41,$AV41&lt;&gt;$AR41,FALSE)</f>
      </c>
      <c r="AG41" s="201">
        <f>IF($C41,IF($AV41&lt;&gt;$AR41,$AW41,""),"")</f>
      </c>
      <c r="AH41" s="202">
        <f>IF($C41,'Backlog General'!$L41,"")</f>
      </c>
      <c r="AI41" s="201">
        <f>IF($C41,$AV41*100000+ROW(),"")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c r="AO41" s="202">
        <f>IF($C41,IFERROR(VLOOKUP($D41,'Sprints'!$G$5:$H$12,2,FALSE),"Semanal"),"")</f>
      </c>
      <c r="AP41" s="201">
        <f>IF($C41,IF($AO41="Semanal",'Sprints'!$D$5,IF($AO41="Quincenal",'Sprints'!$D$6,'Sprints'!$D$7)),"")</f>
      </c>
      <c r="AQ41" s="201">
        <f>IF($C41,IF($AO41="Semanal",'Sprints'!$C$5,IF($AO41="Quincenal",'Sprints'!$C$6,'Sprints'!$C$7)),"")</f>
      </c>
      <c r="AR41" s="201">
        <f>IF($C41,MAX(1,INT(($H41-$AQ41)/$AP41)+1),"")</f>
      </c>
      <c r="AS41" s="201">
        <f>IF($C41,IF($AO41="Semanal",'Sprints'!$E$5,IF($AO41="Quincenal",'Sprints'!$E$6,'Sprints'!$E$7)),"")</f>
      </c>
      <c r="AT41" s="202">
        <f>IF($C41,'Backlog General'!$G41,"")</f>
      </c>
      <c r="AU41" s="202">
        <f>IF($C41,'Backlog General'!$H41,"")</f>
      </c>
      <c r="AV41" s="201">
        <f>IF($C41,IF(OR($AT41="Completo",$AU41="Cancelado",$AU41="Baja prioridad"),$AR41,IF($AU41="Pasa al siguiente",MAX($AR41+1,$AS41),MAX($AR41,$AS41))),"")</f>
      </c>
      <c r="AW41" s="201">
        <f>IF($C41,$AQ41+$AR41*$AP41-1,"")</f>
      </c>
      <c r="AX41" s="201">
        <f>IF($C41,IF(OR($AT41="Completo",$AU41="Cancelado",$AU41="Baja prioridad"),0,MAX(0,TODAY()-$AW41)),"")</f>
      </c>
      <c r="AY41" s="202">
        <f>IF($C41,IF($AT41="Completo","Completo",IF($AU41="Cancelado","Cancelado",IF($AU41="Baja prioridad","Baja prioridad",IF($AX41&gt;0,"Vencida","Pendiente")))),"")</f>
      </c>
      <c r="AZ41" s="202">
        <f>IF($C41,$AO41&amp;" · S"&amp;$AV41,"")</f>
      </c>
      <c r="BA41" s="201">
        <f>IF($C41,IF(AND(ISNUMBER('Backlog General'!$M41),'Backlog General'!$M41=$AS41),"Nuevo S"&amp;'Backlog General'!$M41,""),"")</f>
      </c>
      <c r="BB41" s="201">
        <f>IF(AND($C41,$AO41="Semanal"),$AV41*100000+ROW(),"")</f>
      </c>
      <c r="BC41" s="201">
        <f>IF(AND($C41,$AO41="Quincenal"),$AV41*100000+ROW(),"")</f>
      </c>
      <c r="BD41" s="201">
        <f>IF(AND($C41,$AO41="Mensual"),$AV41*100000+ROW(),"")</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IF($C42,$AV42,"")</f>
      </c>
      <c r="AE42" s="201">
        <f>IF($C42,$AZ42,"")</f>
      </c>
      <c r="AF42" s="201">
        <f>IF($C42,$AV42&lt;&gt;$AR42,FALSE)</f>
      </c>
      <c r="AG42" s="201">
        <f>IF($C42,IF($AV42&lt;&gt;$AR42,$AW42,""),"")</f>
      </c>
      <c r="AH42" s="202">
        <f>IF($C42,'Backlog General'!$L42,"")</f>
      </c>
      <c r="AI42" s="201">
        <f>IF($C42,$AV42*100000+ROW(),"")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c r="AO42" s="202">
        <f>IF($C42,IFERROR(VLOOKUP($D42,'Sprints'!$G$5:$H$12,2,FALSE),"Semanal"),"")</f>
      </c>
      <c r="AP42" s="201">
        <f>IF($C42,IF($AO42="Semanal",'Sprints'!$D$5,IF($AO42="Quincenal",'Sprints'!$D$6,'Sprints'!$D$7)),"")</f>
      </c>
      <c r="AQ42" s="201">
        <f>IF($C42,IF($AO42="Semanal",'Sprints'!$C$5,IF($AO42="Quincenal",'Sprints'!$C$6,'Sprints'!$C$7)),"")</f>
      </c>
      <c r="AR42" s="201">
        <f>IF($C42,MAX(1,INT(($H42-$AQ42)/$AP42)+1),"")</f>
      </c>
      <c r="AS42" s="201">
        <f>IF($C42,IF($AO42="Semanal",'Sprints'!$E$5,IF($AO42="Quincenal",'Sprints'!$E$6,'Sprints'!$E$7)),"")</f>
      </c>
      <c r="AT42" s="202">
        <f>IF($C42,'Backlog General'!$G42,"")</f>
      </c>
      <c r="AU42" s="202">
        <f>IF($C42,'Backlog General'!$H42,"")</f>
      </c>
      <c r="AV42" s="201">
        <f>IF($C42,IF(OR($AT42="Completo",$AU42="Cancelado",$AU42="Baja prioridad"),$AR42,IF($AU42="Pasa al siguiente",MAX($AR42+1,$AS42),MAX($AR42,$AS42))),"")</f>
      </c>
      <c r="AW42" s="201">
        <f>IF($C42,$AQ42+$AR42*$AP42-1,"")</f>
      </c>
      <c r="AX42" s="201">
        <f>IF($C42,IF(OR($AT42="Completo",$AU42="Cancelado",$AU42="Baja prioridad"),0,MAX(0,TODAY()-$AW42)),"")</f>
      </c>
      <c r="AY42" s="202">
        <f>IF($C42,IF($AT42="Completo","Completo",IF($AU42="Cancelado","Cancelado",IF($AU42="Baja prioridad","Baja prioridad",IF($AX42&gt;0,"Vencida","Pendiente")))),"")</f>
      </c>
      <c r="AZ42" s="202">
        <f>IF($C42,$AO42&amp;" · S"&amp;$AV42,"")</f>
      </c>
      <c r="BA42" s="201">
        <f>IF($C42,IF(AND(ISNUMBER('Backlog General'!$M42),'Backlog General'!$M42=$AS42),"Nuevo S"&amp;'Backlog General'!$M42,""),"")</f>
      </c>
      <c r="BB42" s="201">
        <f>IF(AND($C42,$AO42="Semanal"),$AV42*100000+ROW(),"")</f>
      </c>
      <c r="BC42" s="201">
        <f>IF(AND($C42,$AO42="Quincenal"),$AV42*100000+ROW(),"")</f>
      </c>
      <c r="BD42" s="201">
        <f>IF(AND($C42,$AO42="Mensual"),$AV42*100000+ROW(),"")</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IF($C43,$AV43,"")</f>
      </c>
      <c r="AE43" s="201">
        <f>IF($C43,$AZ43,"")</f>
      </c>
      <c r="AF43" s="201">
        <f>IF($C43,$AV43&lt;&gt;$AR43,FALSE)</f>
      </c>
      <c r="AG43" s="201">
        <f>IF($C43,IF($AV43&lt;&gt;$AR43,$AW43,""),"")</f>
      </c>
      <c r="AH43" s="202">
        <f>IF($C43,'Backlog General'!$L43,"")</f>
      </c>
      <c r="AI43" s="201">
        <f>IF($C43,$AV43*100000+ROW(),"")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c r="AO43" s="202">
        <f>IF($C43,IFERROR(VLOOKUP($D43,'Sprints'!$G$5:$H$12,2,FALSE),"Semanal"),"")</f>
      </c>
      <c r="AP43" s="201">
        <f>IF($C43,IF($AO43="Semanal",'Sprints'!$D$5,IF($AO43="Quincenal",'Sprints'!$D$6,'Sprints'!$D$7)),"")</f>
      </c>
      <c r="AQ43" s="201">
        <f>IF($C43,IF($AO43="Semanal",'Sprints'!$C$5,IF($AO43="Quincenal",'Sprints'!$C$6,'Sprints'!$C$7)),"")</f>
      </c>
      <c r="AR43" s="201">
        <f>IF($C43,MAX(1,INT(($H43-$AQ43)/$AP43)+1),"")</f>
      </c>
      <c r="AS43" s="201">
        <f>IF($C43,IF($AO43="Semanal",'Sprints'!$E$5,IF($AO43="Quincenal",'Sprints'!$E$6,'Sprints'!$E$7)),"")</f>
      </c>
      <c r="AT43" s="202">
        <f>IF($C43,'Backlog General'!$G43,"")</f>
      </c>
      <c r="AU43" s="202">
        <f>IF($C43,'Backlog General'!$H43,"")</f>
      </c>
      <c r="AV43" s="201">
        <f>IF($C43,IF(OR($AT43="Completo",$AU43="Cancelado",$AU43="Baja prioridad"),$AR43,IF($AU43="Pasa al siguiente",MAX($AR43+1,$AS43),MAX($AR43,$AS43))),"")</f>
      </c>
      <c r="AW43" s="201">
        <f>IF($C43,$AQ43+$AR43*$AP43-1,"")</f>
      </c>
      <c r="AX43" s="201">
        <f>IF($C43,IF(OR($AT43="Completo",$AU43="Cancelado",$AU43="Baja prioridad"),0,MAX(0,TODAY()-$AW43)),"")</f>
      </c>
      <c r="AY43" s="202">
        <f>IF($C43,IF($AT43="Completo","Completo",IF($AU43="Cancelado","Cancelado",IF($AU43="Baja prioridad","Baja prioridad",IF($AX43&gt;0,"Vencida","Pendiente")))),"")</f>
      </c>
      <c r="AZ43" s="202">
        <f>IF($C43,$AO43&amp;" · S"&amp;$AV43,"")</f>
      </c>
      <c r="BA43" s="201">
        <f>IF($C43,IF(AND(ISNUMBER('Backlog General'!$M43),'Backlog General'!$M43=$AS43),"Nuevo S"&amp;'Backlog General'!$M43,""),"")</f>
      </c>
      <c r="BB43" s="201">
        <f>IF(AND($C43,$AO43="Semanal"),$AV43*100000+ROW(),"")</f>
      </c>
      <c r="BC43" s="201">
        <f>IF(AND($C43,$AO43="Quincenal"),$AV43*100000+ROW(),"")</f>
      </c>
      <c r="BD43" s="201">
        <f>IF(AND($C43,$AO43="Mensual"),$AV43*100000+ROW(),"")</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IF($C44,$AV44,"")</f>
      </c>
      <c r="AE44" s="201">
        <f>IF($C44,$AZ44,"")</f>
      </c>
      <c r="AF44" s="201">
        <f>IF($C44,$AV44&lt;&gt;$AR44,FALSE)</f>
      </c>
      <c r="AG44" s="201">
        <f>IF($C44,IF($AV44&lt;&gt;$AR44,$AW44,""),"")</f>
      </c>
      <c r="AH44" s="202">
        <f>IF($C44,'Backlog General'!$L44,"")</f>
      </c>
      <c r="AI44" s="201">
        <f>IF($C44,$AV44*100000+ROW(),"")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c r="AO44" s="202">
        <f>IF($C44,IFERROR(VLOOKUP($D44,'Sprints'!$G$5:$H$12,2,FALSE),"Semanal"),"")</f>
      </c>
      <c r="AP44" s="201">
        <f>IF($C44,IF($AO44="Semanal",'Sprints'!$D$5,IF($AO44="Quincenal",'Sprints'!$D$6,'Sprints'!$D$7)),"")</f>
      </c>
      <c r="AQ44" s="201">
        <f>IF($C44,IF($AO44="Semanal",'Sprints'!$C$5,IF($AO44="Quincenal",'Sprints'!$C$6,'Sprints'!$C$7)),"")</f>
      </c>
      <c r="AR44" s="201">
        <f>IF($C44,MAX(1,INT(($H44-$AQ44)/$AP44)+1),"")</f>
      </c>
      <c r="AS44" s="201">
        <f>IF($C44,IF($AO44="Semanal",'Sprints'!$E$5,IF($AO44="Quincenal",'Sprints'!$E$6,'Sprints'!$E$7)),"")</f>
      </c>
      <c r="AT44" s="202">
        <f>IF($C44,'Backlog General'!$G44,"")</f>
      </c>
      <c r="AU44" s="202">
        <f>IF($C44,'Backlog General'!$H44,"")</f>
      </c>
      <c r="AV44" s="201">
        <f>IF($C44,IF(OR($AT44="Completo",$AU44="Cancelado",$AU44="Baja prioridad"),$AR44,IF($AU44="Pasa al siguiente",MAX($AR44+1,$AS44),MAX($AR44,$AS44))),"")</f>
      </c>
      <c r="AW44" s="201">
        <f>IF($C44,$AQ44+$AR44*$AP44-1,"")</f>
      </c>
      <c r="AX44" s="201">
        <f>IF($C44,IF(OR($AT44="Completo",$AU44="Cancelado",$AU44="Baja prioridad"),0,MAX(0,TODAY()-$AW44)),"")</f>
      </c>
      <c r="AY44" s="202">
        <f>IF($C44,IF($AT44="Completo","Completo",IF($AU44="Cancelado","Cancelado",IF($AU44="Baja prioridad","Baja prioridad",IF($AX44&gt;0,"Vencida","Pendiente")))),"")</f>
      </c>
      <c r="AZ44" s="202">
        <f>IF($C44,$AO44&amp;" · S"&amp;$AV44,"")</f>
      </c>
      <c r="BA44" s="201">
        <f>IF($C44,IF(AND(ISNUMBER('Backlog General'!$M44),'Backlog General'!$M44=$AS44),"Nuevo S"&amp;'Backlog General'!$M44,""),"")</f>
      </c>
      <c r="BB44" s="201">
        <f>IF(AND($C44,$AO44="Semanal"),$AV44*100000+ROW(),"")</f>
      </c>
      <c r="BC44" s="201">
        <f>IF(AND($C44,$AO44="Quincenal"),$AV44*100000+ROW(),"")</f>
      </c>
      <c r="BD44" s="201">
        <f>IF(AND($C44,$AO44="Mensual"),$AV44*100000+ROW(),"")</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IF($C45,$AV45,"")</f>
      </c>
      <c r="AE45" s="201">
        <f>IF($C45,$AZ45,"")</f>
      </c>
      <c r="AF45" s="201">
        <f>IF($C45,$AV45&lt;&gt;$AR45,FALSE)</f>
      </c>
      <c r="AG45" s="201">
        <f>IF($C45,IF($AV45&lt;&gt;$AR45,$AW45,""),"")</f>
      </c>
      <c r="AH45" s="202">
        <f>IF($C45,'Backlog General'!$L45,"")</f>
      </c>
      <c r="AI45" s="201">
        <f>IF($C45,$AV45*100000+ROW(),"")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c r="AO45" s="202">
        <f>IF($C45,IFERROR(VLOOKUP($D45,'Sprints'!$G$5:$H$12,2,FALSE),"Semanal"),"")</f>
      </c>
      <c r="AP45" s="201">
        <f>IF($C45,IF($AO45="Semanal",'Sprints'!$D$5,IF($AO45="Quincenal",'Sprints'!$D$6,'Sprints'!$D$7)),"")</f>
      </c>
      <c r="AQ45" s="201">
        <f>IF($C45,IF($AO45="Semanal",'Sprints'!$C$5,IF($AO45="Quincenal",'Sprints'!$C$6,'Sprints'!$C$7)),"")</f>
      </c>
      <c r="AR45" s="201">
        <f>IF($C45,MAX(1,INT(($H45-$AQ45)/$AP45)+1),"")</f>
      </c>
      <c r="AS45" s="201">
        <f>IF($C45,IF($AO45="Semanal",'Sprints'!$E$5,IF($AO45="Quincenal",'Sprints'!$E$6,'Sprints'!$E$7)),"")</f>
      </c>
      <c r="AT45" s="202">
        <f>IF($C45,'Backlog General'!$G45,"")</f>
      </c>
      <c r="AU45" s="202">
        <f>IF($C45,'Backlog General'!$H45,"")</f>
      </c>
      <c r="AV45" s="201">
        <f>IF($C45,IF(OR($AT45="Completo",$AU45="Cancelado",$AU45="Baja prioridad"),$AR45,IF($AU45="Pasa al siguiente",MAX($AR45+1,$AS45),MAX($AR45,$AS45))),"")</f>
      </c>
      <c r="AW45" s="201">
        <f>IF($C45,$AQ45+$AR45*$AP45-1,"")</f>
      </c>
      <c r="AX45" s="201">
        <f>IF($C45,IF(OR($AT45="Completo",$AU45="Cancelado",$AU45="Baja prioridad"),0,MAX(0,TODAY()-$AW45)),"")</f>
      </c>
      <c r="AY45" s="202">
        <f>IF($C45,IF($AT45="Completo","Completo",IF($AU45="Cancelado","Cancelado",IF($AU45="Baja prioridad","Baja prioridad",IF($AX45&gt;0,"Vencida","Pendiente")))),"")</f>
      </c>
      <c r="AZ45" s="202">
        <f>IF($C45,$AO45&amp;" · S"&amp;$AV45,"")</f>
      </c>
      <c r="BA45" s="201">
        <f>IF($C45,IF(AND(ISNUMBER('Backlog General'!$M45),'Backlog General'!$M45=$AS45),"Nuevo S"&amp;'Backlog General'!$M45,""),"")</f>
      </c>
      <c r="BB45" s="201">
        <f>IF(AND($C45,$AO45="Semanal"),$AV45*100000+ROW(),"")</f>
      </c>
      <c r="BC45" s="201">
        <f>IF(AND($C45,$AO45="Quincenal"),$AV45*100000+ROW(),"")</f>
      </c>
      <c r="BD45" s="201">
        <f>IF(AND($C45,$AO45="Mensual"),$AV45*100000+ROW(),"")</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IF($C46,$AV46,"")</f>
      </c>
      <c r="AE46" s="201">
        <f>IF($C46,$AZ46,"")</f>
      </c>
      <c r="AF46" s="201">
        <f>IF($C46,$AV46&lt;&gt;$AR46,FALSE)</f>
      </c>
      <c r="AG46" s="201">
        <f>IF($C46,IF($AV46&lt;&gt;$AR46,$AW46,""),"")</f>
      </c>
      <c r="AH46" s="202">
        <f>IF($C46,'Backlog General'!$L46,"")</f>
      </c>
      <c r="AI46" s="201">
        <f>IF($C46,$AV46*100000+ROW(),"")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c r="AO46" s="202">
        <f>IF($C46,IFERROR(VLOOKUP($D46,'Sprints'!$G$5:$H$12,2,FALSE),"Semanal"),"")</f>
      </c>
      <c r="AP46" s="201">
        <f>IF($C46,IF($AO46="Semanal",'Sprints'!$D$5,IF($AO46="Quincenal",'Sprints'!$D$6,'Sprints'!$D$7)),"")</f>
      </c>
      <c r="AQ46" s="201">
        <f>IF($C46,IF($AO46="Semanal",'Sprints'!$C$5,IF($AO46="Quincenal",'Sprints'!$C$6,'Sprints'!$C$7)),"")</f>
      </c>
      <c r="AR46" s="201">
        <f>IF($C46,MAX(1,INT(($H46-$AQ46)/$AP46)+1),"")</f>
      </c>
      <c r="AS46" s="201">
        <f>IF($C46,IF($AO46="Semanal",'Sprints'!$E$5,IF($AO46="Quincenal",'Sprints'!$E$6,'Sprints'!$E$7)),"")</f>
      </c>
      <c r="AT46" s="202">
        <f>IF($C46,'Backlog General'!$G46,"")</f>
      </c>
      <c r="AU46" s="202">
        <f>IF($C46,'Backlog General'!$H46,"")</f>
      </c>
      <c r="AV46" s="201">
        <f>IF($C46,IF(OR($AT46="Completo",$AU46="Cancelado",$AU46="Baja prioridad"),$AR46,IF($AU46="Pasa al siguiente",MAX($AR46+1,$AS46),MAX($AR46,$AS46))),"")</f>
      </c>
      <c r="AW46" s="201">
        <f>IF($C46,$AQ46+$AR46*$AP46-1,"")</f>
      </c>
      <c r="AX46" s="201">
        <f>IF($C46,IF(OR($AT46="Completo",$AU46="Cancelado",$AU46="Baja prioridad"),0,MAX(0,TODAY()-$AW46)),"")</f>
      </c>
      <c r="AY46" s="202">
        <f>IF($C46,IF($AT46="Completo","Completo",IF($AU46="Cancelado","Cancelado",IF($AU46="Baja prioridad","Baja prioridad",IF($AX46&gt;0,"Vencida","Pendiente")))),"")</f>
      </c>
      <c r="AZ46" s="202">
        <f>IF($C46,$AO46&amp;" · S"&amp;$AV46,"")</f>
      </c>
      <c r="BA46" s="201">
        <f>IF($C46,IF(AND(ISNUMBER('Backlog General'!$M46),'Backlog General'!$M46=$AS46),"Nuevo S"&amp;'Backlog General'!$M46,""),"")</f>
      </c>
      <c r="BB46" s="201">
        <f>IF(AND($C46,$AO46="Semanal"),$AV46*100000+ROW(),"")</f>
      </c>
      <c r="BC46" s="201">
        <f>IF(AND($C46,$AO46="Quincenal"),$AV46*100000+ROW(),"")</f>
      </c>
      <c r="BD46" s="201">
        <f>IF(AND($C46,$AO46="Mensual"),$AV46*100000+ROW(),"")</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IF($C47,$AV47,"")</f>
      </c>
      <c r="AE47" s="201">
        <f>IF($C47,$AZ47,"")</f>
      </c>
      <c r="AF47" s="201">
        <f>IF($C47,$AV47&lt;&gt;$AR47,FALSE)</f>
      </c>
      <c r="AG47" s="201">
        <f>IF($C47,IF($AV47&lt;&gt;$AR47,$AW47,""),"")</f>
      </c>
      <c r="AH47" s="202">
        <f>IF($C47,'Backlog General'!$L47,"")</f>
      </c>
      <c r="AI47" s="201">
        <f>IF($C47,$AV47*100000+ROW(),"")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c r="AO47" s="202">
        <f>IF($C47,IFERROR(VLOOKUP($D47,'Sprints'!$G$5:$H$12,2,FALSE),"Semanal"),"")</f>
      </c>
      <c r="AP47" s="201">
        <f>IF($C47,IF($AO47="Semanal",'Sprints'!$D$5,IF($AO47="Quincenal",'Sprints'!$D$6,'Sprints'!$D$7)),"")</f>
      </c>
      <c r="AQ47" s="201">
        <f>IF($C47,IF($AO47="Semanal",'Sprints'!$C$5,IF($AO47="Quincenal",'Sprints'!$C$6,'Sprints'!$C$7)),"")</f>
      </c>
      <c r="AR47" s="201">
        <f>IF($C47,MAX(1,INT(($H47-$AQ47)/$AP47)+1),"")</f>
      </c>
      <c r="AS47" s="201">
        <f>IF($C47,IF($AO47="Semanal",'Sprints'!$E$5,IF($AO47="Quincenal",'Sprints'!$E$6,'Sprints'!$E$7)),"")</f>
      </c>
      <c r="AT47" s="202">
        <f>IF($C47,'Backlog General'!$G47,"")</f>
      </c>
      <c r="AU47" s="202">
        <f>IF($C47,'Backlog General'!$H47,"")</f>
      </c>
      <c r="AV47" s="201">
        <f>IF($C47,IF(OR($AT47="Completo",$AU47="Cancelado",$AU47="Baja prioridad"),$AR47,IF($AU47="Pasa al siguiente",MAX($AR47+1,$AS47),MAX($AR47,$AS47))),"")</f>
      </c>
      <c r="AW47" s="201">
        <f>IF($C47,$AQ47+$AR47*$AP47-1,"")</f>
      </c>
      <c r="AX47" s="201">
        <f>IF($C47,IF(OR($AT47="Completo",$AU47="Cancelado",$AU47="Baja prioridad"),0,MAX(0,TODAY()-$AW47)),"")</f>
      </c>
      <c r="AY47" s="202">
        <f>IF($C47,IF($AT47="Completo","Completo",IF($AU47="Cancelado","Cancelado",IF($AU47="Baja prioridad","Baja prioridad",IF($AX47&gt;0,"Vencida","Pendiente")))),"")</f>
      </c>
      <c r="AZ47" s="202">
        <f>IF($C47,$AO47&amp;" · S"&amp;$AV47,"")</f>
      </c>
      <c r="BA47" s="201">
        <f>IF($C47,IF(AND(ISNUMBER('Backlog General'!$M47),'Backlog General'!$M47=$AS47),"Nuevo S"&amp;'Backlog General'!$M47,""),"")</f>
      </c>
      <c r="BB47" s="201">
        <f>IF(AND($C47,$AO47="Semanal"),$AV47*100000+ROW(),"")</f>
      </c>
      <c r="BC47" s="201">
        <f>IF(AND($C47,$AO47="Quincenal"),$AV47*100000+ROW(),"")</f>
      </c>
      <c r="BD47" s="201">
        <f>IF(AND($C47,$AO47="Mensual"),$AV47*100000+ROW(),"")</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IF($C48,$AV48,"")</f>
      </c>
      <c r="AE48" s="201">
        <f>IF($C48,$AZ48,"")</f>
      </c>
      <c r="AF48" s="201">
        <f>IF($C48,$AV48&lt;&gt;$AR48,FALSE)</f>
      </c>
      <c r="AG48" s="201">
        <f>IF($C48,IF($AV48&lt;&gt;$AR48,$AW48,""),"")</f>
      </c>
      <c r="AH48" s="202">
        <f>IF($C48,'Backlog General'!$L48,"")</f>
      </c>
      <c r="AI48" s="201">
        <f>IF($C48,$AV48*100000+ROW(),"")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c r="AO48" s="202">
        <f>IF($C48,IFERROR(VLOOKUP($D48,'Sprints'!$G$5:$H$12,2,FALSE),"Semanal"),"")</f>
      </c>
      <c r="AP48" s="201">
        <f>IF($C48,IF($AO48="Semanal",'Sprints'!$D$5,IF($AO48="Quincenal",'Sprints'!$D$6,'Sprints'!$D$7)),"")</f>
      </c>
      <c r="AQ48" s="201">
        <f>IF($C48,IF($AO48="Semanal",'Sprints'!$C$5,IF($AO48="Quincenal",'Sprints'!$C$6,'Sprints'!$C$7)),"")</f>
      </c>
      <c r="AR48" s="201">
        <f>IF($C48,MAX(1,INT(($H48-$AQ48)/$AP48)+1),"")</f>
      </c>
      <c r="AS48" s="201">
        <f>IF($C48,IF($AO48="Semanal",'Sprints'!$E$5,IF($AO48="Quincenal",'Sprints'!$E$6,'Sprints'!$E$7)),"")</f>
      </c>
      <c r="AT48" s="202">
        <f>IF($C48,'Backlog General'!$G48,"")</f>
      </c>
      <c r="AU48" s="202">
        <f>IF($C48,'Backlog General'!$H48,"")</f>
      </c>
      <c r="AV48" s="201">
        <f>IF($C48,IF(OR($AT48="Completo",$AU48="Cancelado",$AU48="Baja prioridad"),$AR48,IF($AU48="Pasa al siguiente",MAX($AR48+1,$AS48),MAX($AR48,$AS48))),"")</f>
      </c>
      <c r="AW48" s="201">
        <f>IF($C48,$AQ48+$AR48*$AP48-1,"")</f>
      </c>
      <c r="AX48" s="201">
        <f>IF($C48,IF(OR($AT48="Completo",$AU48="Cancelado",$AU48="Baja prioridad"),0,MAX(0,TODAY()-$AW48)),"")</f>
      </c>
      <c r="AY48" s="202">
        <f>IF($C48,IF($AT48="Completo","Completo",IF($AU48="Cancelado","Cancelado",IF($AU48="Baja prioridad","Baja prioridad",IF($AX48&gt;0,"Vencida","Pendiente")))),"")</f>
      </c>
      <c r="AZ48" s="202">
        <f>IF($C48,$AO48&amp;" · S"&amp;$AV48,"")</f>
      </c>
      <c r="BA48" s="201">
        <f>IF($C48,IF(AND(ISNUMBER('Backlog General'!$M48),'Backlog General'!$M48=$AS48),"Nuevo S"&amp;'Backlog General'!$M48,""),"")</f>
      </c>
      <c r="BB48" s="201">
        <f>IF(AND($C48,$AO48="Semanal"),$AV48*100000+ROW(),"")</f>
      </c>
      <c r="BC48" s="201">
        <f>IF(AND($C48,$AO48="Quincenal"),$AV48*100000+ROW(),"")</f>
      </c>
      <c r="BD48" s="201">
        <f>IF(AND($C48,$AO48="Mensual"),$AV48*100000+ROW(),"")</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IF($C49,$AV49,"")</f>
      </c>
      <c r="AE49" s="201">
        <f>IF($C49,$AZ49,"")</f>
      </c>
      <c r="AF49" s="201">
        <f>IF($C49,$AV49&lt;&gt;$AR49,FALSE)</f>
      </c>
      <c r="AG49" s="201">
        <f>IF($C49,IF($AV49&lt;&gt;$AR49,$AW49,""),"")</f>
      </c>
      <c r="AH49" s="202">
        <f>IF($C49,'Backlog General'!$L49,"")</f>
      </c>
      <c r="AI49" s="201">
        <f>IF($C49,$AV49*100000+ROW(),"")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c r="AO49" s="202">
        <f>IF($C49,IFERROR(VLOOKUP($D49,'Sprints'!$G$5:$H$12,2,FALSE),"Semanal"),"")</f>
      </c>
      <c r="AP49" s="201">
        <f>IF($C49,IF($AO49="Semanal",'Sprints'!$D$5,IF($AO49="Quincenal",'Sprints'!$D$6,'Sprints'!$D$7)),"")</f>
      </c>
      <c r="AQ49" s="201">
        <f>IF($C49,IF($AO49="Semanal",'Sprints'!$C$5,IF($AO49="Quincenal",'Sprints'!$C$6,'Sprints'!$C$7)),"")</f>
      </c>
      <c r="AR49" s="201">
        <f>IF($C49,MAX(1,INT(($H49-$AQ49)/$AP49)+1),"")</f>
      </c>
      <c r="AS49" s="201">
        <f>IF($C49,IF($AO49="Semanal",'Sprints'!$E$5,IF($AO49="Quincenal",'Sprints'!$E$6,'Sprints'!$E$7)),"")</f>
      </c>
      <c r="AT49" s="202">
        <f>IF($C49,'Backlog General'!$G49,"")</f>
      </c>
      <c r="AU49" s="202">
        <f>IF($C49,'Backlog General'!$H49,"")</f>
      </c>
      <c r="AV49" s="201">
        <f>IF($C49,IF(OR($AT49="Completo",$AU49="Cancelado",$AU49="Baja prioridad"),$AR49,IF($AU49="Pasa al siguiente",MAX($AR49+1,$AS49),MAX($AR49,$AS49))),"")</f>
      </c>
      <c r="AW49" s="201">
        <f>IF($C49,$AQ49+$AR49*$AP49-1,"")</f>
      </c>
      <c r="AX49" s="201">
        <f>IF($C49,IF(OR($AT49="Completo",$AU49="Cancelado",$AU49="Baja prioridad"),0,MAX(0,TODAY()-$AW49)),"")</f>
      </c>
      <c r="AY49" s="202">
        <f>IF($C49,IF($AT49="Completo","Completo",IF($AU49="Cancelado","Cancelado",IF($AU49="Baja prioridad","Baja prioridad",IF($AX49&gt;0,"Vencida","Pendiente")))),"")</f>
      </c>
      <c r="AZ49" s="202">
        <f>IF($C49,$AO49&amp;" · S"&amp;$AV49,"")</f>
      </c>
      <c r="BA49" s="201">
        <f>IF($C49,IF(AND(ISNUMBER('Backlog General'!$M49),'Backlog General'!$M49=$AS49),"Nuevo S"&amp;'Backlog General'!$M49,""),"")</f>
      </c>
      <c r="BB49" s="201">
        <f>IF(AND($C49,$AO49="Semanal"),$AV49*100000+ROW(),"")</f>
      </c>
      <c r="BC49" s="201">
        <f>IF(AND($C49,$AO49="Quincenal"),$AV49*100000+ROW(),"")</f>
      </c>
      <c r="BD49" s="201">
        <f>IF(AND($C49,$AO49="Mensual"),$AV49*100000+ROW(),"")</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IF($C50,$AV50,"")</f>
      </c>
      <c r="AE50" s="201">
        <f>IF($C50,$AZ50,"")</f>
      </c>
      <c r="AF50" s="201">
        <f>IF($C50,$AV50&lt;&gt;$AR50,FALSE)</f>
      </c>
      <c r="AG50" s="201">
        <f>IF($C50,IF($AV50&lt;&gt;$AR50,$AW50,""),"")</f>
      </c>
      <c r="AH50" s="202">
        <f>IF($C50,'Backlog General'!$L50,"")</f>
      </c>
      <c r="AI50" s="201">
        <f>IF($C50,$AV50*100000+ROW(),"")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c r="AO50" s="202">
        <f>IF($C50,IFERROR(VLOOKUP($D50,'Sprints'!$G$5:$H$12,2,FALSE),"Semanal"),"")</f>
      </c>
      <c r="AP50" s="201">
        <f>IF($C50,IF($AO50="Semanal",'Sprints'!$D$5,IF($AO50="Quincenal",'Sprints'!$D$6,'Sprints'!$D$7)),"")</f>
      </c>
      <c r="AQ50" s="201">
        <f>IF($C50,IF($AO50="Semanal",'Sprints'!$C$5,IF($AO50="Quincenal",'Sprints'!$C$6,'Sprints'!$C$7)),"")</f>
      </c>
      <c r="AR50" s="201">
        <f>IF($C50,MAX(1,INT(($H50-$AQ50)/$AP50)+1),"")</f>
      </c>
      <c r="AS50" s="201">
        <f>IF($C50,IF($AO50="Semanal",'Sprints'!$E$5,IF($AO50="Quincenal",'Sprints'!$E$6,'Sprints'!$E$7)),"")</f>
      </c>
      <c r="AT50" s="202">
        <f>IF($C50,'Backlog General'!$G50,"")</f>
      </c>
      <c r="AU50" s="202">
        <f>IF($C50,'Backlog General'!$H50,"")</f>
      </c>
      <c r="AV50" s="201">
        <f>IF($C50,IF(OR($AT50="Completo",$AU50="Cancelado",$AU50="Baja prioridad"),$AR50,IF($AU50="Pasa al siguiente",MAX($AR50+1,$AS50),MAX($AR50,$AS50))),"")</f>
      </c>
      <c r="AW50" s="201">
        <f>IF($C50,$AQ50+$AR50*$AP50-1,"")</f>
      </c>
      <c r="AX50" s="201">
        <f>IF($C50,IF(OR($AT50="Completo",$AU50="Cancelado",$AU50="Baja prioridad"),0,MAX(0,TODAY()-$AW50)),"")</f>
      </c>
      <c r="AY50" s="202">
        <f>IF($C50,IF($AT50="Completo","Completo",IF($AU50="Cancelado","Cancelado",IF($AU50="Baja prioridad","Baja prioridad",IF($AX50&gt;0,"Vencida","Pendiente")))),"")</f>
      </c>
      <c r="AZ50" s="202">
        <f>IF($C50,$AO50&amp;" · S"&amp;$AV50,"")</f>
      </c>
      <c r="BA50" s="201">
        <f>IF($C50,IF(AND(ISNUMBER('Backlog General'!$M50),'Backlog General'!$M50=$AS50),"Nuevo S"&amp;'Backlog General'!$M50,""),"")</f>
      </c>
      <c r="BB50" s="201">
        <f>IF(AND($C50,$AO50="Semanal"),$AV50*100000+ROW(),"")</f>
      </c>
      <c r="BC50" s="201">
        <f>IF(AND($C50,$AO50="Quincenal"),$AV50*100000+ROW(),"")</f>
      </c>
      <c r="BD50" s="201">
        <f>IF(AND($C50,$AO50="Mensual"),$AV50*100000+ROW(),"")</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IF($C51,$AV51,"")</f>
      </c>
      <c r="AE51" s="201">
        <f>IF($C51,$AZ51,"")</f>
      </c>
      <c r="AF51" s="201">
        <f>IF($C51,$AV51&lt;&gt;$AR51,FALSE)</f>
      </c>
      <c r="AG51" s="201">
        <f>IF($C51,IF($AV51&lt;&gt;$AR51,$AW51,""),"")</f>
      </c>
      <c r="AH51" s="202">
        <f>IF($C51,'Backlog General'!$L51,"")</f>
      </c>
      <c r="AI51" s="201">
        <f>IF($C51,$AV51*100000+ROW(),"")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c r="AO51" s="202">
        <f>IF($C51,IFERROR(VLOOKUP($D51,'Sprints'!$G$5:$H$12,2,FALSE),"Semanal"),"")</f>
      </c>
      <c r="AP51" s="201">
        <f>IF($C51,IF($AO51="Semanal",'Sprints'!$D$5,IF($AO51="Quincenal",'Sprints'!$D$6,'Sprints'!$D$7)),"")</f>
      </c>
      <c r="AQ51" s="201">
        <f>IF($C51,IF($AO51="Semanal",'Sprints'!$C$5,IF($AO51="Quincenal",'Sprints'!$C$6,'Sprints'!$C$7)),"")</f>
      </c>
      <c r="AR51" s="201">
        <f>IF($C51,MAX(1,INT(($H51-$AQ51)/$AP51)+1),"")</f>
      </c>
      <c r="AS51" s="201">
        <f>IF($C51,IF($AO51="Semanal",'Sprints'!$E$5,IF($AO51="Quincenal",'Sprints'!$E$6,'Sprints'!$E$7)),"")</f>
      </c>
      <c r="AT51" s="202">
        <f>IF($C51,'Backlog General'!$G51,"")</f>
      </c>
      <c r="AU51" s="202">
        <f>IF($C51,'Backlog General'!$H51,"")</f>
      </c>
      <c r="AV51" s="201">
        <f>IF($C51,IF(OR($AT51="Completo",$AU51="Cancelado",$AU51="Baja prioridad"),$AR51,IF($AU51="Pasa al siguiente",MAX($AR51+1,$AS51),MAX($AR51,$AS51))),"")</f>
      </c>
      <c r="AW51" s="201">
        <f>IF($C51,$AQ51+$AR51*$AP51-1,"")</f>
      </c>
      <c r="AX51" s="201">
        <f>IF($C51,IF(OR($AT51="Completo",$AU51="Cancelado",$AU51="Baja prioridad"),0,MAX(0,TODAY()-$AW51)),"")</f>
      </c>
      <c r="AY51" s="202">
        <f>IF($C51,IF($AT51="Completo","Completo",IF($AU51="Cancelado","Cancelado",IF($AU51="Baja prioridad","Baja prioridad",IF($AX51&gt;0,"Vencida","Pendiente")))),"")</f>
      </c>
      <c r="AZ51" s="202">
        <f>IF($C51,$AO51&amp;" · S"&amp;$AV51,"")</f>
      </c>
      <c r="BA51" s="201">
        <f>IF($C51,IF(AND(ISNUMBER('Backlog General'!$M51),'Backlog General'!$M51=$AS51),"Nuevo S"&amp;'Backlog General'!$M51,""),"")</f>
      </c>
      <c r="BB51" s="201">
        <f>IF(AND($C51,$AO51="Semanal"),$AV51*100000+ROW(),"")</f>
      </c>
      <c r="BC51" s="201">
        <f>IF(AND($C51,$AO51="Quincenal"),$AV51*100000+ROW(),"")</f>
      </c>
      <c r="BD51" s="201">
        <f>IF(AND($C51,$AO51="Mensual"),$AV51*100000+ROW(),"")</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IF($C52,$AV52,"")</f>
      </c>
      <c r="AE52" s="201">
        <f>IF($C52,$AZ52,"")</f>
      </c>
      <c r="AF52" s="201">
        <f>IF($C52,$AV52&lt;&gt;$AR52,FALSE)</f>
      </c>
      <c r="AG52" s="201">
        <f>IF($C52,IF($AV52&lt;&gt;$AR52,$AW52,""),"")</f>
      </c>
      <c r="AH52" s="202">
        <f>IF($C52,'Backlog General'!$L52,"")</f>
      </c>
      <c r="AI52" s="201">
        <f>IF($C52,$AV52*100000+ROW(),"")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c r="AO52" s="202">
        <f>IF($C52,IFERROR(VLOOKUP($D52,'Sprints'!$G$5:$H$12,2,FALSE),"Semanal"),"")</f>
      </c>
      <c r="AP52" s="201">
        <f>IF($C52,IF($AO52="Semanal",'Sprints'!$D$5,IF($AO52="Quincenal",'Sprints'!$D$6,'Sprints'!$D$7)),"")</f>
      </c>
      <c r="AQ52" s="201">
        <f>IF($C52,IF($AO52="Semanal",'Sprints'!$C$5,IF($AO52="Quincenal",'Sprints'!$C$6,'Sprints'!$C$7)),"")</f>
      </c>
      <c r="AR52" s="201">
        <f>IF($C52,MAX(1,INT(($H52-$AQ52)/$AP52)+1),"")</f>
      </c>
      <c r="AS52" s="201">
        <f>IF($C52,IF($AO52="Semanal",'Sprints'!$E$5,IF($AO52="Quincenal",'Sprints'!$E$6,'Sprints'!$E$7)),"")</f>
      </c>
      <c r="AT52" s="202">
        <f>IF($C52,'Backlog General'!$G52,"")</f>
      </c>
      <c r="AU52" s="202">
        <f>IF($C52,'Backlog General'!$H52,"")</f>
      </c>
      <c r="AV52" s="201">
        <f>IF($C52,IF(OR($AT52="Completo",$AU52="Cancelado",$AU52="Baja prioridad"),$AR52,IF($AU52="Pasa al siguiente",MAX($AR52+1,$AS52),MAX($AR52,$AS52))),"")</f>
      </c>
      <c r="AW52" s="201">
        <f>IF($C52,$AQ52+$AR52*$AP52-1,"")</f>
      </c>
      <c r="AX52" s="201">
        <f>IF($C52,IF(OR($AT52="Completo",$AU52="Cancelado",$AU52="Baja prioridad"),0,MAX(0,TODAY()-$AW52)),"")</f>
      </c>
      <c r="AY52" s="202">
        <f>IF($C52,IF($AT52="Completo","Completo",IF($AU52="Cancelado","Cancelado",IF($AU52="Baja prioridad","Baja prioridad",IF($AX52&gt;0,"Vencida","Pendiente")))),"")</f>
      </c>
      <c r="AZ52" s="202">
        <f>IF($C52,$AO52&amp;" · S"&amp;$AV52,"")</f>
      </c>
      <c r="BA52" s="201">
        <f>IF($C52,IF(AND(ISNUMBER('Backlog General'!$M52),'Backlog General'!$M52=$AS52),"Nuevo S"&amp;'Backlog General'!$M52,""),"")</f>
      </c>
      <c r="BB52" s="201">
        <f>IF(AND($C52,$AO52="Semanal"),$AV52*100000+ROW(),"")</f>
      </c>
      <c r="BC52" s="201">
        <f>IF(AND($C52,$AO52="Quincenal"),$AV52*100000+ROW(),"")</f>
      </c>
      <c r="BD52" s="201">
        <f>IF(AND($C52,$AO52="Mensual"),$AV52*100000+ROW(),"")</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IF($C53,$AV53,"")</f>
      </c>
      <c r="AE53" s="201">
        <f>IF($C53,$AZ53,"")</f>
      </c>
      <c r="AF53" s="201">
        <f>IF($C53,$AV53&lt;&gt;$AR53,FALSE)</f>
      </c>
      <c r="AG53" s="201">
        <f>IF($C53,IF($AV53&lt;&gt;$AR53,$AW53,""),"")</f>
      </c>
      <c r="AH53" s="202">
        <f>IF($C53,'Backlog General'!$L53,"")</f>
      </c>
      <c r="AI53" s="201">
        <f>IF($C53,$AV53*100000+ROW(),"")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c r="AO53" s="202">
        <f>IF($C53,IFERROR(VLOOKUP($D53,'Sprints'!$G$5:$H$12,2,FALSE),"Semanal"),"")</f>
      </c>
      <c r="AP53" s="201">
        <f>IF($C53,IF($AO53="Semanal",'Sprints'!$D$5,IF($AO53="Quincenal",'Sprints'!$D$6,'Sprints'!$D$7)),"")</f>
      </c>
      <c r="AQ53" s="201">
        <f>IF($C53,IF($AO53="Semanal",'Sprints'!$C$5,IF($AO53="Quincenal",'Sprints'!$C$6,'Sprints'!$C$7)),"")</f>
      </c>
      <c r="AR53" s="201">
        <f>IF($C53,MAX(1,INT(($H53-$AQ53)/$AP53)+1),"")</f>
      </c>
      <c r="AS53" s="201">
        <f>IF($C53,IF($AO53="Semanal",'Sprints'!$E$5,IF($AO53="Quincenal",'Sprints'!$E$6,'Sprints'!$E$7)),"")</f>
      </c>
      <c r="AT53" s="202">
        <f>IF($C53,'Backlog General'!$G53,"")</f>
      </c>
      <c r="AU53" s="202">
        <f>IF($C53,'Backlog General'!$H53,"")</f>
      </c>
      <c r="AV53" s="201">
        <f>IF($C53,IF(OR($AT53="Completo",$AU53="Cancelado",$AU53="Baja prioridad"),$AR53,IF($AU53="Pasa al siguiente",MAX($AR53+1,$AS53),MAX($AR53,$AS53))),"")</f>
      </c>
      <c r="AW53" s="201">
        <f>IF($C53,$AQ53+$AR53*$AP53-1,"")</f>
      </c>
      <c r="AX53" s="201">
        <f>IF($C53,IF(OR($AT53="Completo",$AU53="Cancelado",$AU53="Baja prioridad"),0,MAX(0,TODAY()-$AW53)),"")</f>
      </c>
      <c r="AY53" s="202">
        <f>IF($C53,IF($AT53="Completo","Completo",IF($AU53="Cancelado","Cancelado",IF($AU53="Baja prioridad","Baja prioridad",IF($AX53&gt;0,"Vencida","Pendiente")))),"")</f>
      </c>
      <c r="AZ53" s="202">
        <f>IF($C53,$AO53&amp;" · S"&amp;$AV53,"")</f>
      </c>
      <c r="BA53" s="201">
        <f>IF($C53,IF(AND(ISNUMBER('Backlog General'!$M53),'Backlog General'!$M53=$AS53),"Nuevo S"&amp;'Backlog General'!$M53,""),"")</f>
      </c>
      <c r="BB53" s="201">
        <f>IF(AND($C53,$AO53="Semanal"),$AV53*100000+ROW(),"")</f>
      </c>
      <c r="BC53" s="201">
        <f>IF(AND($C53,$AO53="Quincenal"),$AV53*100000+ROW(),"")</f>
      </c>
      <c r="BD53" s="201">
        <f>IF(AND($C53,$AO53="Mensual"),$AV53*100000+ROW(),"")</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IF($C54,$AV54,"")</f>
      </c>
      <c r="AE54" s="201">
        <f>IF($C54,$AZ54,"")</f>
      </c>
      <c r="AF54" s="201">
        <f>IF($C54,$AV54&lt;&gt;$AR54,FALSE)</f>
      </c>
      <c r="AG54" s="201">
        <f>IF($C54,IF($AV54&lt;&gt;$AR54,$AW54,""),"")</f>
      </c>
      <c r="AH54" s="202">
        <f>IF($C54,'Backlog General'!$L54,"")</f>
      </c>
      <c r="AI54" s="201">
        <f>IF($C54,$AV54*100000+ROW(),"")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c r="AO54" s="202">
        <f>IF($C54,IFERROR(VLOOKUP($D54,'Sprints'!$G$5:$H$12,2,FALSE),"Semanal"),"")</f>
      </c>
      <c r="AP54" s="201">
        <f>IF($C54,IF($AO54="Semanal",'Sprints'!$D$5,IF($AO54="Quincenal",'Sprints'!$D$6,'Sprints'!$D$7)),"")</f>
      </c>
      <c r="AQ54" s="201">
        <f>IF($C54,IF($AO54="Semanal",'Sprints'!$C$5,IF($AO54="Quincenal",'Sprints'!$C$6,'Sprints'!$C$7)),"")</f>
      </c>
      <c r="AR54" s="201">
        <f>IF($C54,MAX(1,INT(($H54-$AQ54)/$AP54)+1),"")</f>
      </c>
      <c r="AS54" s="201">
        <f>IF($C54,IF($AO54="Semanal",'Sprints'!$E$5,IF($AO54="Quincenal",'Sprints'!$E$6,'Sprints'!$E$7)),"")</f>
      </c>
      <c r="AT54" s="202">
        <f>IF($C54,'Backlog General'!$G54,"")</f>
      </c>
      <c r="AU54" s="202">
        <f>IF($C54,'Backlog General'!$H54,"")</f>
      </c>
      <c r="AV54" s="201">
        <f>IF($C54,IF(OR($AT54="Completo",$AU54="Cancelado",$AU54="Baja prioridad"),$AR54,IF($AU54="Pasa al siguiente",MAX($AR54+1,$AS54),MAX($AR54,$AS54))),"")</f>
      </c>
      <c r="AW54" s="201">
        <f>IF($C54,$AQ54+$AR54*$AP54-1,"")</f>
      </c>
      <c r="AX54" s="201">
        <f>IF($C54,IF(OR($AT54="Completo",$AU54="Cancelado",$AU54="Baja prioridad"),0,MAX(0,TODAY()-$AW54)),"")</f>
      </c>
      <c r="AY54" s="202">
        <f>IF($C54,IF($AT54="Completo","Completo",IF($AU54="Cancelado","Cancelado",IF($AU54="Baja prioridad","Baja prioridad",IF($AX54&gt;0,"Vencida","Pendiente")))),"")</f>
      </c>
      <c r="AZ54" s="202">
        <f>IF($C54,$AO54&amp;" · S"&amp;$AV54,"")</f>
      </c>
      <c r="BA54" s="201">
        <f>IF($C54,IF(AND(ISNUMBER('Backlog General'!$M54),'Backlog General'!$M54=$AS54),"Nuevo S"&amp;'Backlog General'!$M54,""),"")</f>
      </c>
      <c r="BB54" s="201">
        <f>IF(AND($C54,$AO54="Semanal"),$AV54*100000+ROW(),"")</f>
      </c>
      <c r="BC54" s="201">
        <f>IF(AND($C54,$AO54="Quincenal"),$AV54*100000+ROW(),"")</f>
      </c>
      <c r="BD54" s="201">
        <f>IF(AND($C54,$AO54="Mensual"),$AV54*100000+ROW(),"")</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IF($C55,$AV55,"")</f>
      </c>
      <c r="AE55" s="201">
        <f>IF($C55,$AZ55,"")</f>
      </c>
      <c r="AF55" s="201">
        <f>IF($C55,$AV55&lt;&gt;$AR55,FALSE)</f>
      </c>
      <c r="AG55" s="201">
        <f>IF($C55,IF($AV55&lt;&gt;$AR55,$AW55,""),"")</f>
      </c>
      <c r="AH55" s="202">
        <f>IF($C55,'Backlog General'!$L55,"")</f>
      </c>
      <c r="AI55" s="201">
        <f>IF($C55,$AV55*100000+ROW(),"")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c r="AO55" s="202">
        <f>IF($C55,IFERROR(VLOOKUP($D55,'Sprints'!$G$5:$H$12,2,FALSE),"Semanal"),"")</f>
      </c>
      <c r="AP55" s="201">
        <f>IF($C55,IF($AO55="Semanal",'Sprints'!$D$5,IF($AO55="Quincenal",'Sprints'!$D$6,'Sprints'!$D$7)),"")</f>
      </c>
      <c r="AQ55" s="201">
        <f>IF($C55,IF($AO55="Semanal",'Sprints'!$C$5,IF($AO55="Quincenal",'Sprints'!$C$6,'Sprints'!$C$7)),"")</f>
      </c>
      <c r="AR55" s="201">
        <f>IF($C55,MAX(1,INT(($H55-$AQ55)/$AP55)+1),"")</f>
      </c>
      <c r="AS55" s="201">
        <f>IF($C55,IF($AO55="Semanal",'Sprints'!$E$5,IF($AO55="Quincenal",'Sprints'!$E$6,'Sprints'!$E$7)),"")</f>
      </c>
      <c r="AT55" s="202">
        <f>IF($C55,'Backlog General'!$G55,"")</f>
      </c>
      <c r="AU55" s="202">
        <f>IF($C55,'Backlog General'!$H55,"")</f>
      </c>
      <c r="AV55" s="201">
        <f>IF($C55,IF(OR($AT55="Completo",$AU55="Cancelado",$AU55="Baja prioridad"),$AR55,IF($AU55="Pasa al siguiente",MAX($AR55+1,$AS55),MAX($AR55,$AS55))),"")</f>
      </c>
      <c r="AW55" s="201">
        <f>IF($C55,$AQ55+$AR55*$AP55-1,"")</f>
      </c>
      <c r="AX55" s="201">
        <f>IF($C55,IF(OR($AT55="Completo",$AU55="Cancelado",$AU55="Baja prioridad"),0,MAX(0,TODAY()-$AW55)),"")</f>
      </c>
      <c r="AY55" s="202">
        <f>IF($C55,IF($AT55="Completo","Completo",IF($AU55="Cancelado","Cancelado",IF($AU55="Baja prioridad","Baja prioridad",IF($AX55&gt;0,"Vencida","Pendiente")))),"")</f>
      </c>
      <c r="AZ55" s="202">
        <f>IF($C55,$AO55&amp;" · S"&amp;$AV55,"")</f>
      </c>
      <c r="BA55" s="201">
        <f>IF($C55,IF(AND(ISNUMBER('Backlog General'!$M55),'Backlog General'!$M55=$AS55),"Nuevo S"&amp;'Backlog General'!$M55,""),"")</f>
      </c>
      <c r="BB55" s="201">
        <f>IF(AND($C55,$AO55="Semanal"),$AV55*100000+ROW(),"")</f>
      </c>
      <c r="BC55" s="201">
        <f>IF(AND($C55,$AO55="Quincenal"),$AV55*100000+ROW(),"")</f>
      </c>
      <c r="BD55" s="201">
        <f>IF(AND($C55,$AO55="Mensual"),$AV55*100000+ROW(),"")</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IF($C56,$AV56,"")</f>
      </c>
      <c r="AE56" s="201">
        <f>IF($C56,$AZ56,"")</f>
      </c>
      <c r="AF56" s="201">
        <f>IF($C56,$AV56&lt;&gt;$AR56,FALSE)</f>
      </c>
      <c r="AG56" s="201">
        <f>IF($C56,IF($AV56&lt;&gt;$AR56,$AW56,""),"")</f>
      </c>
      <c r="AH56" s="202">
        <f>IF($C56,'Backlog General'!$L56,"")</f>
      </c>
      <c r="AI56" s="201">
        <f>IF($C56,$AV56*100000+ROW(),"")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c r="AO56" s="202">
        <f>IF($C56,IFERROR(VLOOKUP($D56,'Sprints'!$G$5:$H$12,2,FALSE),"Semanal"),"")</f>
      </c>
      <c r="AP56" s="201">
        <f>IF($C56,IF($AO56="Semanal",'Sprints'!$D$5,IF($AO56="Quincenal",'Sprints'!$D$6,'Sprints'!$D$7)),"")</f>
      </c>
      <c r="AQ56" s="201">
        <f>IF($C56,IF($AO56="Semanal",'Sprints'!$C$5,IF($AO56="Quincenal",'Sprints'!$C$6,'Sprints'!$C$7)),"")</f>
      </c>
      <c r="AR56" s="201">
        <f>IF($C56,MAX(1,INT(($H56-$AQ56)/$AP56)+1),"")</f>
      </c>
      <c r="AS56" s="201">
        <f>IF($C56,IF($AO56="Semanal",'Sprints'!$E$5,IF($AO56="Quincenal",'Sprints'!$E$6,'Sprints'!$E$7)),"")</f>
      </c>
      <c r="AT56" s="202">
        <f>IF($C56,'Backlog General'!$G56,"")</f>
      </c>
      <c r="AU56" s="202">
        <f>IF($C56,'Backlog General'!$H56,"")</f>
      </c>
      <c r="AV56" s="201">
        <f>IF($C56,IF(OR($AT56="Completo",$AU56="Cancelado",$AU56="Baja prioridad"),$AR56,IF($AU56="Pasa al siguiente",MAX($AR56+1,$AS56),MAX($AR56,$AS56))),"")</f>
      </c>
      <c r="AW56" s="201">
        <f>IF($C56,$AQ56+$AR56*$AP56-1,"")</f>
      </c>
      <c r="AX56" s="201">
        <f>IF($C56,IF(OR($AT56="Completo",$AU56="Cancelado",$AU56="Baja prioridad"),0,MAX(0,TODAY()-$AW56)),"")</f>
      </c>
      <c r="AY56" s="202">
        <f>IF($C56,IF($AT56="Completo","Completo",IF($AU56="Cancelado","Cancelado",IF($AU56="Baja prioridad","Baja prioridad",IF($AX56&gt;0,"Vencida","Pendiente")))),"")</f>
      </c>
      <c r="AZ56" s="202">
        <f>IF($C56,$AO56&amp;" · S"&amp;$AV56,"")</f>
      </c>
      <c r="BA56" s="201">
        <f>IF($C56,IF(AND(ISNUMBER('Backlog General'!$M56),'Backlog General'!$M56=$AS56),"Nuevo S"&amp;'Backlog General'!$M56,""),"")</f>
      </c>
      <c r="BB56" s="201">
        <f>IF(AND($C56,$AO56="Semanal"),$AV56*100000+ROW(),"")</f>
      </c>
      <c r="BC56" s="201">
        <f>IF(AND($C56,$AO56="Quincenal"),$AV56*100000+ROW(),"")</f>
      </c>
      <c r="BD56" s="201">
        <f>IF(AND($C56,$AO56="Mensual"),$AV56*100000+ROW(),"")</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IF($C57,$AV57,"")</f>
      </c>
      <c r="AE57" s="201">
        <f>IF($C57,$AZ57,"")</f>
      </c>
      <c r="AF57" s="201">
        <f>IF($C57,$AV57&lt;&gt;$AR57,FALSE)</f>
      </c>
      <c r="AG57" s="201">
        <f>IF($C57,IF($AV57&lt;&gt;$AR57,$AW57,""),"")</f>
      </c>
      <c r="AH57" s="202">
        <f>IF($C57,'Backlog General'!$L57,"")</f>
      </c>
      <c r="AI57" s="201">
        <f>IF($C57,$AV57*100000+ROW(),"")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c r="AO57" s="202">
        <f>IF($C57,IFERROR(VLOOKUP($D57,'Sprints'!$G$5:$H$12,2,FALSE),"Semanal"),"")</f>
      </c>
      <c r="AP57" s="201">
        <f>IF($C57,IF($AO57="Semanal",'Sprints'!$D$5,IF($AO57="Quincenal",'Sprints'!$D$6,'Sprints'!$D$7)),"")</f>
      </c>
      <c r="AQ57" s="201">
        <f>IF($C57,IF($AO57="Semanal",'Sprints'!$C$5,IF($AO57="Quincenal",'Sprints'!$C$6,'Sprints'!$C$7)),"")</f>
      </c>
      <c r="AR57" s="201">
        <f>IF($C57,MAX(1,INT(($H57-$AQ57)/$AP57)+1),"")</f>
      </c>
      <c r="AS57" s="201">
        <f>IF($C57,IF($AO57="Semanal",'Sprints'!$E$5,IF($AO57="Quincenal",'Sprints'!$E$6,'Sprints'!$E$7)),"")</f>
      </c>
      <c r="AT57" s="202">
        <f>IF($C57,'Backlog General'!$G57,"")</f>
      </c>
      <c r="AU57" s="202">
        <f>IF($C57,'Backlog General'!$H57,"")</f>
      </c>
      <c r="AV57" s="201">
        <f>IF($C57,IF(OR($AT57="Completo",$AU57="Cancelado",$AU57="Baja prioridad"),$AR57,IF($AU57="Pasa al siguiente",MAX($AR57+1,$AS57),MAX($AR57,$AS57))),"")</f>
      </c>
      <c r="AW57" s="201">
        <f>IF($C57,$AQ57+$AR57*$AP57-1,"")</f>
      </c>
      <c r="AX57" s="201">
        <f>IF($C57,IF(OR($AT57="Completo",$AU57="Cancelado",$AU57="Baja prioridad"),0,MAX(0,TODAY()-$AW57)),"")</f>
      </c>
      <c r="AY57" s="202">
        <f>IF($C57,IF($AT57="Completo","Completo",IF($AU57="Cancelado","Cancelado",IF($AU57="Baja prioridad","Baja prioridad",IF($AX57&gt;0,"Vencida","Pendiente")))),"")</f>
      </c>
      <c r="AZ57" s="202">
        <f>IF($C57,$AO57&amp;" · S"&amp;$AV57,"")</f>
      </c>
      <c r="BA57" s="201">
        <f>IF($C57,IF(AND(ISNUMBER('Backlog General'!$M57),'Backlog General'!$M57=$AS57),"Nuevo S"&amp;'Backlog General'!$M57,""),"")</f>
      </c>
      <c r="BB57" s="201">
        <f>IF(AND($C57,$AO57="Semanal"),$AV57*100000+ROW(),"")</f>
      </c>
      <c r="BC57" s="201">
        <f>IF(AND($C57,$AO57="Quincenal"),$AV57*100000+ROW(),"")</f>
      </c>
      <c r="BD57" s="201">
        <f>IF(AND($C57,$AO57="Mensual"),$AV57*100000+ROW(),"")</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IF($C58,$AV58,"")</f>
      </c>
      <c r="AE58" s="201">
        <f>IF($C58,$AZ58,"")</f>
      </c>
      <c r="AF58" s="201">
        <f>IF($C58,$AV58&lt;&gt;$AR58,FALSE)</f>
      </c>
      <c r="AG58" s="201">
        <f>IF($C58,IF($AV58&lt;&gt;$AR58,$AW58,""),"")</f>
      </c>
      <c r="AH58" s="202">
        <f>IF($C58,'Backlog General'!$L58,"")</f>
      </c>
      <c r="AI58" s="201">
        <f>IF($C58,$AV58*100000+ROW(),"")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c r="AO58" s="202">
        <f>IF($C58,IFERROR(VLOOKUP($D58,'Sprints'!$G$5:$H$12,2,FALSE),"Semanal"),"")</f>
      </c>
      <c r="AP58" s="201">
        <f>IF($C58,IF($AO58="Semanal",'Sprints'!$D$5,IF($AO58="Quincenal",'Sprints'!$D$6,'Sprints'!$D$7)),"")</f>
      </c>
      <c r="AQ58" s="201">
        <f>IF($C58,IF($AO58="Semanal",'Sprints'!$C$5,IF($AO58="Quincenal",'Sprints'!$C$6,'Sprints'!$C$7)),"")</f>
      </c>
      <c r="AR58" s="201">
        <f>IF($C58,MAX(1,INT(($H58-$AQ58)/$AP58)+1),"")</f>
      </c>
      <c r="AS58" s="201">
        <f>IF($C58,IF($AO58="Semanal",'Sprints'!$E$5,IF($AO58="Quincenal",'Sprints'!$E$6,'Sprints'!$E$7)),"")</f>
      </c>
      <c r="AT58" s="202">
        <f>IF($C58,'Backlog General'!$G58,"")</f>
      </c>
      <c r="AU58" s="202">
        <f>IF($C58,'Backlog General'!$H58,"")</f>
      </c>
      <c r="AV58" s="201">
        <f>IF($C58,IF(OR($AT58="Completo",$AU58="Cancelado",$AU58="Baja prioridad"),$AR58,IF($AU58="Pasa al siguiente",MAX($AR58+1,$AS58),MAX($AR58,$AS58))),"")</f>
      </c>
      <c r="AW58" s="201">
        <f>IF($C58,$AQ58+$AR58*$AP58-1,"")</f>
      </c>
      <c r="AX58" s="201">
        <f>IF($C58,IF(OR($AT58="Completo",$AU58="Cancelado",$AU58="Baja prioridad"),0,MAX(0,TODAY()-$AW58)),"")</f>
      </c>
      <c r="AY58" s="202">
        <f>IF($C58,IF($AT58="Completo","Completo",IF($AU58="Cancelado","Cancelado",IF($AU58="Baja prioridad","Baja prioridad",IF($AX58&gt;0,"Vencida","Pendiente")))),"")</f>
      </c>
      <c r="AZ58" s="202">
        <f>IF($C58,$AO58&amp;" · S"&amp;$AV58,"")</f>
      </c>
      <c r="BA58" s="201">
        <f>IF($C58,IF(AND(ISNUMBER('Backlog General'!$M58),'Backlog General'!$M58=$AS58),"Nuevo S"&amp;'Backlog General'!$M58,""),"")</f>
      </c>
      <c r="BB58" s="201">
        <f>IF(AND($C58,$AO58="Semanal"),$AV58*100000+ROW(),"")</f>
      </c>
      <c r="BC58" s="201">
        <f>IF(AND($C58,$AO58="Quincenal"),$AV58*100000+ROW(),"")</f>
      </c>
      <c r="BD58" s="201">
        <f>IF(AND($C58,$AO58="Mensual"),$AV58*100000+ROW(),"")</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IF($C59,$AV59,"")</f>
      </c>
      <c r="AE59" s="201">
        <f>IF($C59,$AZ59,"")</f>
      </c>
      <c r="AF59" s="201">
        <f>IF($C59,$AV59&lt;&gt;$AR59,FALSE)</f>
      </c>
      <c r="AG59" s="201">
        <f>IF($C59,IF($AV59&lt;&gt;$AR59,$AW59,""),"")</f>
      </c>
      <c r="AH59" s="202">
        <f>IF($C59,'Backlog General'!$L59,"")</f>
      </c>
      <c r="AI59" s="201">
        <f>IF($C59,$AV59*100000+ROW(),"")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c r="AO59" s="202">
        <f>IF($C59,IFERROR(VLOOKUP($D59,'Sprints'!$G$5:$H$12,2,FALSE),"Semanal"),"")</f>
      </c>
      <c r="AP59" s="201">
        <f>IF($C59,IF($AO59="Semanal",'Sprints'!$D$5,IF($AO59="Quincenal",'Sprints'!$D$6,'Sprints'!$D$7)),"")</f>
      </c>
      <c r="AQ59" s="201">
        <f>IF($C59,IF($AO59="Semanal",'Sprints'!$C$5,IF($AO59="Quincenal",'Sprints'!$C$6,'Sprints'!$C$7)),"")</f>
      </c>
      <c r="AR59" s="201">
        <f>IF($C59,MAX(1,INT(($H59-$AQ59)/$AP59)+1),"")</f>
      </c>
      <c r="AS59" s="201">
        <f>IF($C59,IF($AO59="Semanal",'Sprints'!$E$5,IF($AO59="Quincenal",'Sprints'!$E$6,'Sprints'!$E$7)),"")</f>
      </c>
      <c r="AT59" s="202">
        <f>IF($C59,'Backlog General'!$G59,"")</f>
      </c>
      <c r="AU59" s="202">
        <f>IF($C59,'Backlog General'!$H59,"")</f>
      </c>
      <c r="AV59" s="201">
        <f>IF($C59,IF(OR($AT59="Completo",$AU59="Cancelado",$AU59="Baja prioridad"),$AR59,IF($AU59="Pasa al siguiente",MAX($AR59+1,$AS59),MAX($AR59,$AS59))),"")</f>
      </c>
      <c r="AW59" s="201">
        <f>IF($C59,$AQ59+$AR59*$AP59-1,"")</f>
      </c>
      <c r="AX59" s="201">
        <f>IF($C59,IF(OR($AT59="Completo",$AU59="Cancelado",$AU59="Baja prioridad"),0,MAX(0,TODAY()-$AW59)),"")</f>
      </c>
      <c r="AY59" s="202">
        <f>IF($C59,IF($AT59="Completo","Completo",IF($AU59="Cancelado","Cancelado",IF($AU59="Baja prioridad","Baja prioridad",IF($AX59&gt;0,"Vencida","Pendiente")))),"")</f>
      </c>
      <c r="AZ59" s="202">
        <f>IF($C59,$AO59&amp;" · S"&amp;$AV59,"")</f>
      </c>
      <c r="BA59" s="201">
        <f>IF($C59,IF(AND(ISNUMBER('Backlog General'!$M59),'Backlog General'!$M59=$AS59),"Nuevo S"&amp;'Backlog General'!$M59,""),"")</f>
      </c>
      <c r="BB59" s="201">
        <f>IF(AND($C59,$AO59="Semanal"),$AV59*100000+ROW(),"")</f>
      </c>
      <c r="BC59" s="201">
        <f>IF(AND($C59,$AO59="Quincenal"),$AV59*100000+ROW(),"")</f>
      </c>
      <c r="BD59" s="201">
        <f>IF(AND($C59,$AO59="Mensual"),$AV59*100000+ROW(),"")</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IF($C60,$AV60,"")</f>
      </c>
      <c r="AE60" s="201">
        <f>IF($C60,$AZ60,"")</f>
      </c>
      <c r="AF60" s="201">
        <f>IF($C60,$AV60&lt;&gt;$AR60,FALSE)</f>
      </c>
      <c r="AG60" s="201">
        <f>IF($C60,IF($AV60&lt;&gt;$AR60,$AW60,""),"")</f>
      </c>
      <c r="AH60" s="202">
        <f>IF($C60,'Backlog General'!$L60,"")</f>
      </c>
      <c r="AI60" s="201">
        <f>IF($C60,$AV60*100000+ROW(),"")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c r="AO60" s="202">
        <f>IF($C60,IFERROR(VLOOKUP($D60,'Sprints'!$G$5:$H$12,2,FALSE),"Semanal"),"")</f>
      </c>
      <c r="AP60" s="201">
        <f>IF($C60,IF($AO60="Semanal",'Sprints'!$D$5,IF($AO60="Quincenal",'Sprints'!$D$6,'Sprints'!$D$7)),"")</f>
      </c>
      <c r="AQ60" s="201">
        <f>IF($C60,IF($AO60="Semanal",'Sprints'!$C$5,IF($AO60="Quincenal",'Sprints'!$C$6,'Sprints'!$C$7)),"")</f>
      </c>
      <c r="AR60" s="201">
        <f>IF($C60,MAX(1,INT(($H60-$AQ60)/$AP60)+1),"")</f>
      </c>
      <c r="AS60" s="201">
        <f>IF($C60,IF($AO60="Semanal",'Sprints'!$E$5,IF($AO60="Quincenal",'Sprints'!$E$6,'Sprints'!$E$7)),"")</f>
      </c>
      <c r="AT60" s="202">
        <f>IF($C60,'Backlog General'!$G60,"")</f>
      </c>
      <c r="AU60" s="202">
        <f>IF($C60,'Backlog General'!$H60,"")</f>
      </c>
      <c r="AV60" s="201">
        <f>IF($C60,IF(OR($AT60="Completo",$AU60="Cancelado",$AU60="Baja prioridad"),$AR60,IF($AU60="Pasa al siguiente",MAX($AR60+1,$AS60),MAX($AR60,$AS60))),"")</f>
      </c>
      <c r="AW60" s="201">
        <f>IF($C60,$AQ60+$AR60*$AP60-1,"")</f>
      </c>
      <c r="AX60" s="201">
        <f>IF($C60,IF(OR($AT60="Completo",$AU60="Cancelado",$AU60="Baja prioridad"),0,MAX(0,TODAY()-$AW60)),"")</f>
      </c>
      <c r="AY60" s="202">
        <f>IF($C60,IF($AT60="Completo","Completo",IF($AU60="Cancelado","Cancelado",IF($AU60="Baja prioridad","Baja prioridad",IF($AX60&gt;0,"Vencida","Pendiente")))),"")</f>
      </c>
      <c r="AZ60" s="202">
        <f>IF($C60,$AO60&amp;" · S"&amp;$AV60,"")</f>
      </c>
      <c r="BA60" s="201">
        <f>IF($C60,IF(AND(ISNUMBER('Backlog General'!$M60),'Backlog General'!$M60=$AS60),"Nuevo S"&amp;'Backlog General'!$M60,""),"")</f>
      </c>
      <c r="BB60" s="201">
        <f>IF(AND($C60,$AO60="Semanal"),$AV60*100000+ROW(),"")</f>
      </c>
      <c r="BC60" s="201">
        <f>IF(AND($C60,$AO60="Quincenal"),$AV60*100000+ROW(),"")</f>
      </c>
      <c r="BD60" s="201">
        <f>IF(AND($C60,$AO60="Mensual"),$AV60*100000+ROW(),"")</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IF($C61,$AV61,"")</f>
      </c>
      <c r="AE61" s="201">
        <f>IF($C61,$AZ61,"")</f>
      </c>
      <c r="AF61" s="201">
        <f>IF($C61,$AV61&lt;&gt;$AR61,FALSE)</f>
      </c>
      <c r="AG61" s="201">
        <f>IF($C61,IF($AV61&lt;&gt;$AR61,$AW61,""),"")</f>
      </c>
      <c r="AH61" s="202">
        <f>IF($C61,'Backlog General'!$L61,"")</f>
      </c>
      <c r="AI61" s="201">
        <f>IF($C61,$AV61*100000+ROW(),"")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c r="AO61" s="202">
        <f>IF($C61,IFERROR(VLOOKUP($D61,'Sprints'!$G$5:$H$12,2,FALSE),"Semanal"),"")</f>
      </c>
      <c r="AP61" s="201">
        <f>IF($C61,IF($AO61="Semanal",'Sprints'!$D$5,IF($AO61="Quincenal",'Sprints'!$D$6,'Sprints'!$D$7)),"")</f>
      </c>
      <c r="AQ61" s="201">
        <f>IF($C61,IF($AO61="Semanal",'Sprints'!$C$5,IF($AO61="Quincenal",'Sprints'!$C$6,'Sprints'!$C$7)),"")</f>
      </c>
      <c r="AR61" s="201">
        <f>IF($C61,MAX(1,INT(($H61-$AQ61)/$AP61)+1),"")</f>
      </c>
      <c r="AS61" s="201">
        <f>IF($C61,IF($AO61="Semanal",'Sprints'!$E$5,IF($AO61="Quincenal",'Sprints'!$E$6,'Sprints'!$E$7)),"")</f>
      </c>
      <c r="AT61" s="202">
        <f>IF($C61,'Backlog General'!$G61,"")</f>
      </c>
      <c r="AU61" s="202">
        <f>IF($C61,'Backlog General'!$H61,"")</f>
      </c>
      <c r="AV61" s="201">
        <f>IF($C61,IF(OR($AT61="Completo",$AU61="Cancelado",$AU61="Baja prioridad"),$AR61,IF($AU61="Pasa al siguiente",MAX($AR61+1,$AS61),MAX($AR61,$AS61))),"")</f>
      </c>
      <c r="AW61" s="201">
        <f>IF($C61,$AQ61+$AR61*$AP61-1,"")</f>
      </c>
      <c r="AX61" s="201">
        <f>IF($C61,IF(OR($AT61="Completo",$AU61="Cancelado",$AU61="Baja prioridad"),0,MAX(0,TODAY()-$AW61)),"")</f>
      </c>
      <c r="AY61" s="202">
        <f>IF($C61,IF($AT61="Completo","Completo",IF($AU61="Cancelado","Cancelado",IF($AU61="Baja prioridad","Baja prioridad",IF($AX61&gt;0,"Vencida","Pendiente")))),"")</f>
      </c>
      <c r="AZ61" s="202">
        <f>IF($C61,$AO61&amp;" · S"&amp;$AV61,"")</f>
      </c>
      <c r="BA61" s="201">
        <f>IF($C61,IF(AND(ISNUMBER('Backlog General'!$M61),'Backlog General'!$M61=$AS61),"Nuevo S"&amp;'Backlog General'!$M61,""),"")</f>
      </c>
      <c r="BB61" s="201">
        <f>IF(AND($C61,$AO61="Semanal"),$AV61*100000+ROW(),"")</f>
      </c>
      <c r="BC61" s="201">
        <f>IF(AND($C61,$AO61="Quincenal"),$AV61*100000+ROW(),"")</f>
      </c>
      <c r="BD61" s="201">
        <f>IF(AND($C61,$AO61="Mensual"),$AV61*100000+ROW(),"")</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IF($C62,$AV62,"")</f>
      </c>
      <c r="AE62" s="201">
        <f>IF($C62,$AZ62,"")</f>
      </c>
      <c r="AF62" s="201">
        <f>IF($C62,$AV62&lt;&gt;$AR62,FALSE)</f>
      </c>
      <c r="AG62" s="201">
        <f>IF($C62,IF($AV62&lt;&gt;$AR62,$AW62,""),"")</f>
      </c>
      <c r="AH62" s="202">
        <f>IF($C62,'Backlog General'!$L62,"")</f>
      </c>
      <c r="AI62" s="201">
        <f>IF($C62,$AV62*100000+ROW(),"")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c r="AO62" s="202">
        <f>IF($C62,IFERROR(VLOOKUP($D62,'Sprints'!$G$5:$H$12,2,FALSE),"Semanal"),"")</f>
      </c>
      <c r="AP62" s="201">
        <f>IF($C62,IF($AO62="Semanal",'Sprints'!$D$5,IF($AO62="Quincenal",'Sprints'!$D$6,'Sprints'!$D$7)),"")</f>
      </c>
      <c r="AQ62" s="201">
        <f>IF($C62,IF($AO62="Semanal",'Sprints'!$C$5,IF($AO62="Quincenal",'Sprints'!$C$6,'Sprints'!$C$7)),"")</f>
      </c>
      <c r="AR62" s="201">
        <f>IF($C62,MAX(1,INT(($H62-$AQ62)/$AP62)+1),"")</f>
      </c>
      <c r="AS62" s="201">
        <f>IF($C62,IF($AO62="Semanal",'Sprints'!$E$5,IF($AO62="Quincenal",'Sprints'!$E$6,'Sprints'!$E$7)),"")</f>
      </c>
      <c r="AT62" s="202">
        <f>IF($C62,'Backlog General'!$G62,"")</f>
      </c>
      <c r="AU62" s="202">
        <f>IF($C62,'Backlog General'!$H62,"")</f>
      </c>
      <c r="AV62" s="201">
        <f>IF($C62,IF(OR($AT62="Completo",$AU62="Cancelado",$AU62="Baja prioridad"),$AR62,IF($AU62="Pasa al siguiente",MAX($AR62+1,$AS62),MAX($AR62,$AS62))),"")</f>
      </c>
      <c r="AW62" s="201">
        <f>IF($C62,$AQ62+$AR62*$AP62-1,"")</f>
      </c>
      <c r="AX62" s="201">
        <f>IF($C62,IF(OR($AT62="Completo",$AU62="Cancelado",$AU62="Baja prioridad"),0,MAX(0,TODAY()-$AW62)),"")</f>
      </c>
      <c r="AY62" s="202">
        <f>IF($C62,IF($AT62="Completo","Completo",IF($AU62="Cancelado","Cancelado",IF($AU62="Baja prioridad","Baja prioridad",IF($AX62&gt;0,"Vencida","Pendiente")))),"")</f>
      </c>
      <c r="AZ62" s="202">
        <f>IF($C62,$AO62&amp;" · S"&amp;$AV62,"")</f>
      </c>
      <c r="BA62" s="201">
        <f>IF($C62,IF(AND(ISNUMBER('Backlog General'!$M62),'Backlog General'!$M62=$AS62),"Nuevo S"&amp;'Backlog General'!$M62,""),"")</f>
      </c>
      <c r="BB62" s="201">
        <f>IF(AND($C62,$AO62="Semanal"),$AV62*100000+ROW(),"")</f>
      </c>
      <c r="BC62" s="201">
        <f>IF(AND($C62,$AO62="Quincenal"),$AV62*100000+ROW(),"")</f>
      </c>
      <c r="BD62" s="201">
        <f>IF(AND($C62,$AO62="Mensual"),$AV62*100000+ROW(),"")</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IF($C63,$AV63,"")</f>
      </c>
      <c r="AE63" s="201">
        <f>IF($C63,$AZ63,"")</f>
      </c>
      <c r="AF63" s="201">
        <f>IF($C63,$AV63&lt;&gt;$AR63,FALSE)</f>
      </c>
      <c r="AG63" s="201">
        <f>IF($C63,IF($AV63&lt;&gt;$AR63,$AW63,""),"")</f>
      </c>
      <c r="AH63" s="202">
        <f>IF($C63,'Backlog General'!$L63,"")</f>
      </c>
      <c r="AI63" s="201">
        <f>IF($C63,$AV63*100000+ROW(),"")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c r="AO63" s="202">
        <f>IF($C63,IFERROR(VLOOKUP($D63,'Sprints'!$G$5:$H$12,2,FALSE),"Semanal"),"")</f>
      </c>
      <c r="AP63" s="201">
        <f>IF($C63,IF($AO63="Semanal",'Sprints'!$D$5,IF($AO63="Quincenal",'Sprints'!$D$6,'Sprints'!$D$7)),"")</f>
      </c>
      <c r="AQ63" s="201">
        <f>IF($C63,IF($AO63="Semanal",'Sprints'!$C$5,IF($AO63="Quincenal",'Sprints'!$C$6,'Sprints'!$C$7)),"")</f>
      </c>
      <c r="AR63" s="201">
        <f>IF($C63,MAX(1,INT(($H63-$AQ63)/$AP63)+1),"")</f>
      </c>
      <c r="AS63" s="201">
        <f>IF($C63,IF($AO63="Semanal",'Sprints'!$E$5,IF($AO63="Quincenal",'Sprints'!$E$6,'Sprints'!$E$7)),"")</f>
      </c>
      <c r="AT63" s="202">
        <f>IF($C63,'Backlog General'!$G63,"")</f>
      </c>
      <c r="AU63" s="202">
        <f>IF($C63,'Backlog General'!$H63,"")</f>
      </c>
      <c r="AV63" s="201">
        <f>IF($C63,IF(OR($AT63="Completo",$AU63="Cancelado",$AU63="Baja prioridad"),$AR63,IF($AU63="Pasa al siguiente",MAX($AR63+1,$AS63),MAX($AR63,$AS63))),"")</f>
      </c>
      <c r="AW63" s="201">
        <f>IF($C63,$AQ63+$AR63*$AP63-1,"")</f>
      </c>
      <c r="AX63" s="201">
        <f>IF($C63,IF(OR($AT63="Completo",$AU63="Cancelado",$AU63="Baja prioridad"),0,MAX(0,TODAY()-$AW63)),"")</f>
      </c>
      <c r="AY63" s="202">
        <f>IF($C63,IF($AT63="Completo","Completo",IF($AU63="Cancelado","Cancelado",IF($AU63="Baja prioridad","Baja prioridad",IF($AX63&gt;0,"Vencida","Pendiente")))),"")</f>
      </c>
      <c r="AZ63" s="202">
        <f>IF($C63,$AO63&amp;" · S"&amp;$AV63,"")</f>
      </c>
      <c r="BA63" s="201">
        <f>IF($C63,IF(AND(ISNUMBER('Backlog General'!$M63),'Backlog General'!$M63=$AS63),"Nuevo S"&amp;'Backlog General'!$M63,""),"")</f>
      </c>
      <c r="BB63" s="201">
        <f>IF(AND($C63,$AO63="Semanal"),$AV63*100000+ROW(),"")</f>
      </c>
      <c r="BC63" s="201">
        <f>IF(AND($C63,$AO63="Quincenal"),$AV63*100000+ROW(),"")</f>
      </c>
      <c r="BD63" s="201">
        <f>IF(AND($C63,$AO63="Mensual"),$AV63*100000+ROW(),"")</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IF($C64,$AV64,"")</f>
      </c>
      <c r="AE64" s="201">
        <f>IF($C64,$AZ64,"")</f>
      </c>
      <c r="AF64" s="201">
        <f>IF($C64,$AV64&lt;&gt;$AR64,FALSE)</f>
      </c>
      <c r="AG64" s="201">
        <f>IF($C64,IF($AV64&lt;&gt;$AR64,$AW64,""),"")</f>
      </c>
      <c r="AH64" s="202">
        <f>IF($C64,'Backlog General'!$L64,"")</f>
      </c>
      <c r="AI64" s="201">
        <f>IF($C64,$AV64*100000+ROW(),"")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c r="AO64" s="202">
        <f>IF($C64,IFERROR(VLOOKUP($D64,'Sprints'!$G$5:$H$12,2,FALSE),"Semanal"),"")</f>
      </c>
      <c r="AP64" s="201">
        <f>IF($C64,IF($AO64="Semanal",'Sprints'!$D$5,IF($AO64="Quincenal",'Sprints'!$D$6,'Sprints'!$D$7)),"")</f>
      </c>
      <c r="AQ64" s="201">
        <f>IF($C64,IF($AO64="Semanal",'Sprints'!$C$5,IF($AO64="Quincenal",'Sprints'!$C$6,'Sprints'!$C$7)),"")</f>
      </c>
      <c r="AR64" s="201">
        <f>IF($C64,MAX(1,INT(($H64-$AQ64)/$AP64)+1),"")</f>
      </c>
      <c r="AS64" s="201">
        <f>IF($C64,IF($AO64="Semanal",'Sprints'!$E$5,IF($AO64="Quincenal",'Sprints'!$E$6,'Sprints'!$E$7)),"")</f>
      </c>
      <c r="AT64" s="202">
        <f>IF($C64,'Backlog General'!$G64,"")</f>
      </c>
      <c r="AU64" s="202">
        <f>IF($C64,'Backlog General'!$H64,"")</f>
      </c>
      <c r="AV64" s="201">
        <f>IF($C64,IF(OR($AT64="Completo",$AU64="Cancelado",$AU64="Baja prioridad"),$AR64,IF($AU64="Pasa al siguiente",MAX($AR64+1,$AS64),MAX($AR64,$AS64))),"")</f>
      </c>
      <c r="AW64" s="201">
        <f>IF($C64,$AQ64+$AR64*$AP64-1,"")</f>
      </c>
      <c r="AX64" s="201">
        <f>IF($C64,IF(OR($AT64="Completo",$AU64="Cancelado",$AU64="Baja prioridad"),0,MAX(0,TODAY()-$AW64)),"")</f>
      </c>
      <c r="AY64" s="202">
        <f>IF($C64,IF($AT64="Completo","Completo",IF($AU64="Cancelado","Cancelado",IF($AU64="Baja prioridad","Baja prioridad",IF($AX64&gt;0,"Vencida","Pendiente")))),"")</f>
      </c>
      <c r="AZ64" s="202">
        <f>IF($C64,$AO64&amp;" · S"&amp;$AV64,"")</f>
      </c>
      <c r="BA64" s="201">
        <f>IF($C64,IF(AND(ISNUMBER('Backlog General'!$M64),'Backlog General'!$M64=$AS64),"Nuevo S"&amp;'Backlog General'!$M64,""),"")</f>
      </c>
      <c r="BB64" s="201">
        <f>IF(AND($C64,$AO64="Semanal"),$AV64*100000+ROW(),"")</f>
      </c>
      <c r="BC64" s="201">
        <f>IF(AND($C64,$AO64="Quincenal"),$AV64*100000+ROW(),"")</f>
      </c>
      <c r="BD64" s="201">
        <f>IF(AND($C64,$AO64="Mensual"),$AV64*100000+ROW(),"")</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IF($C65,$AV65,"")</f>
      </c>
      <c r="AE65" s="201">
        <f>IF($C65,$AZ65,"")</f>
      </c>
      <c r="AF65" s="201">
        <f>IF($C65,$AV65&lt;&gt;$AR65,FALSE)</f>
      </c>
      <c r="AG65" s="201">
        <f>IF($C65,IF($AV65&lt;&gt;$AR65,$AW65,""),"")</f>
      </c>
      <c r="AH65" s="202">
        <f>IF($C65,'Backlog General'!$L65,"")</f>
      </c>
      <c r="AI65" s="201">
        <f>IF($C65,$AV65*100000+ROW(),"")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c r="AO65" s="202">
        <f>IF($C65,IFERROR(VLOOKUP($D65,'Sprints'!$G$5:$H$12,2,FALSE),"Semanal"),"")</f>
      </c>
      <c r="AP65" s="201">
        <f>IF($C65,IF($AO65="Semanal",'Sprints'!$D$5,IF($AO65="Quincenal",'Sprints'!$D$6,'Sprints'!$D$7)),"")</f>
      </c>
      <c r="AQ65" s="201">
        <f>IF($C65,IF($AO65="Semanal",'Sprints'!$C$5,IF($AO65="Quincenal",'Sprints'!$C$6,'Sprints'!$C$7)),"")</f>
      </c>
      <c r="AR65" s="201">
        <f>IF($C65,MAX(1,INT(($H65-$AQ65)/$AP65)+1),"")</f>
      </c>
      <c r="AS65" s="201">
        <f>IF($C65,IF($AO65="Semanal",'Sprints'!$E$5,IF($AO65="Quincenal",'Sprints'!$E$6,'Sprints'!$E$7)),"")</f>
      </c>
      <c r="AT65" s="202">
        <f>IF($C65,'Backlog General'!$G65,"")</f>
      </c>
      <c r="AU65" s="202">
        <f>IF($C65,'Backlog General'!$H65,"")</f>
      </c>
      <c r="AV65" s="201">
        <f>IF($C65,IF(OR($AT65="Completo",$AU65="Cancelado",$AU65="Baja prioridad"),$AR65,IF($AU65="Pasa al siguiente",MAX($AR65+1,$AS65),MAX($AR65,$AS65))),"")</f>
      </c>
      <c r="AW65" s="201">
        <f>IF($C65,$AQ65+$AR65*$AP65-1,"")</f>
      </c>
      <c r="AX65" s="201">
        <f>IF($C65,IF(OR($AT65="Completo",$AU65="Cancelado",$AU65="Baja prioridad"),0,MAX(0,TODAY()-$AW65)),"")</f>
      </c>
      <c r="AY65" s="202">
        <f>IF($C65,IF($AT65="Completo","Completo",IF($AU65="Cancelado","Cancelado",IF($AU65="Baja prioridad","Baja prioridad",IF($AX65&gt;0,"Vencida","Pendiente")))),"")</f>
      </c>
      <c r="AZ65" s="202">
        <f>IF($C65,$AO65&amp;" · S"&amp;$AV65,"")</f>
      </c>
      <c r="BA65" s="201">
        <f>IF($C65,IF(AND(ISNUMBER('Backlog General'!$M65),'Backlog General'!$M65=$AS65),"Nuevo S"&amp;'Backlog General'!$M65,""),"")</f>
      </c>
      <c r="BB65" s="201">
        <f>IF(AND($C65,$AO65="Semanal"),$AV65*100000+ROW(),"")</f>
      </c>
      <c r="BC65" s="201">
        <f>IF(AND($C65,$AO65="Quincenal"),$AV65*100000+ROW(),"")</f>
      </c>
      <c r="BD65" s="201">
        <f>IF(AND($C65,$AO65="Mensual"),$AV65*100000+ROW(),"")</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IF($C66,$AV66,"")</f>
      </c>
      <c r="AE66" s="201">
        <f>IF($C66,$AZ66,"")</f>
      </c>
      <c r="AF66" s="201">
        <f>IF($C66,$AV66&lt;&gt;$AR66,FALSE)</f>
      </c>
      <c r="AG66" s="201">
        <f>IF($C66,IF($AV66&lt;&gt;$AR66,$AW66,""),"")</f>
      </c>
      <c r="AH66" s="202">
        <f>IF($C66,'Backlog General'!$L66,"")</f>
      </c>
      <c r="AI66" s="201">
        <f>IF($C66,$AV66*100000+ROW(),"")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c r="AO66" s="202">
        <f>IF($C66,IFERROR(VLOOKUP($D66,'Sprints'!$G$5:$H$12,2,FALSE),"Semanal"),"")</f>
      </c>
      <c r="AP66" s="201">
        <f>IF($C66,IF($AO66="Semanal",'Sprints'!$D$5,IF($AO66="Quincenal",'Sprints'!$D$6,'Sprints'!$D$7)),"")</f>
      </c>
      <c r="AQ66" s="201">
        <f>IF($C66,IF($AO66="Semanal",'Sprints'!$C$5,IF($AO66="Quincenal",'Sprints'!$C$6,'Sprints'!$C$7)),"")</f>
      </c>
      <c r="AR66" s="201">
        <f>IF($C66,MAX(1,INT(($H66-$AQ66)/$AP66)+1),"")</f>
      </c>
      <c r="AS66" s="201">
        <f>IF($C66,IF($AO66="Semanal",'Sprints'!$E$5,IF($AO66="Quincenal",'Sprints'!$E$6,'Sprints'!$E$7)),"")</f>
      </c>
      <c r="AT66" s="202">
        <f>IF($C66,'Backlog General'!$G66,"")</f>
      </c>
      <c r="AU66" s="202">
        <f>IF($C66,'Backlog General'!$H66,"")</f>
      </c>
      <c r="AV66" s="201">
        <f>IF($C66,IF(OR($AT66="Completo",$AU66="Cancelado",$AU66="Baja prioridad"),$AR66,IF($AU66="Pasa al siguiente",MAX($AR66+1,$AS66),MAX($AR66,$AS66))),"")</f>
      </c>
      <c r="AW66" s="201">
        <f>IF($C66,$AQ66+$AR66*$AP66-1,"")</f>
      </c>
      <c r="AX66" s="201">
        <f>IF($C66,IF(OR($AT66="Completo",$AU66="Cancelado",$AU66="Baja prioridad"),0,MAX(0,TODAY()-$AW66)),"")</f>
      </c>
      <c r="AY66" s="202">
        <f>IF($C66,IF($AT66="Completo","Completo",IF($AU66="Cancelado","Cancelado",IF($AU66="Baja prioridad","Baja prioridad",IF($AX66&gt;0,"Vencida","Pendiente")))),"")</f>
      </c>
      <c r="AZ66" s="202">
        <f>IF($C66,$AO66&amp;" · S"&amp;$AV66,"")</f>
      </c>
      <c r="BA66" s="201">
        <f>IF($C66,IF(AND(ISNUMBER('Backlog General'!$M66),'Backlog General'!$M66=$AS66),"Nuevo S"&amp;'Backlog General'!$M66,""),"")</f>
      </c>
      <c r="BB66" s="201">
        <f>IF(AND($C66,$AO66="Semanal"),$AV66*100000+ROW(),"")</f>
      </c>
      <c r="BC66" s="201">
        <f>IF(AND($C66,$AO66="Quincenal"),$AV66*100000+ROW(),"")</f>
      </c>
      <c r="BD66" s="201">
        <f>IF(AND($C66,$AO66="Mensual"),$AV66*100000+ROW(),"")</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IF($C67,$AV67,"")</f>
      </c>
      <c r="AE67" s="201">
        <f>IF($C67,$AZ67,"")</f>
      </c>
      <c r="AF67" s="201">
        <f>IF($C67,$AV67&lt;&gt;$AR67,FALSE)</f>
      </c>
      <c r="AG67" s="201">
        <f>IF($C67,IF($AV67&lt;&gt;$AR67,$AW67,""),"")</f>
      </c>
      <c r="AH67" s="202">
        <f>IF($C67,'Backlog General'!$L67,"")</f>
      </c>
      <c r="AI67" s="201">
        <f>IF($C67,$AV67*100000+ROW(),"")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c r="AO67" s="202">
        <f>IF($C67,IFERROR(VLOOKUP($D67,'Sprints'!$G$5:$H$12,2,FALSE),"Semanal"),"")</f>
      </c>
      <c r="AP67" s="201">
        <f>IF($C67,IF($AO67="Semanal",'Sprints'!$D$5,IF($AO67="Quincenal",'Sprints'!$D$6,'Sprints'!$D$7)),"")</f>
      </c>
      <c r="AQ67" s="201">
        <f>IF($C67,IF($AO67="Semanal",'Sprints'!$C$5,IF($AO67="Quincenal",'Sprints'!$C$6,'Sprints'!$C$7)),"")</f>
      </c>
      <c r="AR67" s="201">
        <f>IF($C67,MAX(1,INT(($H67-$AQ67)/$AP67)+1),"")</f>
      </c>
      <c r="AS67" s="201">
        <f>IF($C67,IF($AO67="Semanal",'Sprints'!$E$5,IF($AO67="Quincenal",'Sprints'!$E$6,'Sprints'!$E$7)),"")</f>
      </c>
      <c r="AT67" s="202">
        <f>IF($C67,'Backlog General'!$G67,"")</f>
      </c>
      <c r="AU67" s="202">
        <f>IF($C67,'Backlog General'!$H67,"")</f>
      </c>
      <c r="AV67" s="201">
        <f>IF($C67,IF(OR($AT67="Completo",$AU67="Cancelado",$AU67="Baja prioridad"),$AR67,IF($AU67="Pasa al siguiente",MAX($AR67+1,$AS67),MAX($AR67,$AS67))),"")</f>
      </c>
      <c r="AW67" s="201">
        <f>IF($C67,$AQ67+$AR67*$AP67-1,"")</f>
      </c>
      <c r="AX67" s="201">
        <f>IF($C67,IF(OR($AT67="Completo",$AU67="Cancelado",$AU67="Baja prioridad"),0,MAX(0,TODAY()-$AW67)),"")</f>
      </c>
      <c r="AY67" s="202">
        <f>IF($C67,IF($AT67="Completo","Completo",IF($AU67="Cancelado","Cancelado",IF($AU67="Baja prioridad","Baja prioridad",IF($AX67&gt;0,"Vencida","Pendiente")))),"")</f>
      </c>
      <c r="AZ67" s="202">
        <f>IF($C67,$AO67&amp;" · S"&amp;$AV67,"")</f>
      </c>
      <c r="BA67" s="201">
        <f>IF($C67,IF(AND(ISNUMBER('Backlog General'!$M67),'Backlog General'!$M67=$AS67),"Nuevo S"&amp;'Backlog General'!$M67,""),"")</f>
      </c>
      <c r="BB67" s="201">
        <f>IF(AND($C67,$AO67="Semanal"),$AV67*100000+ROW(),"")</f>
      </c>
      <c r="BC67" s="201">
        <f>IF(AND($C67,$AO67="Quincenal"),$AV67*100000+ROW(),"")</f>
      </c>
      <c r="BD67" s="201">
        <f>IF(AND($C67,$AO67="Mensual"),$AV67*100000+ROW(),"")</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IF($C68,$AV68,"")</f>
      </c>
      <c r="AE68" s="201">
        <f>IF($C68,$AZ68,"")</f>
      </c>
      <c r="AF68" s="201">
        <f>IF($C68,$AV68&lt;&gt;$AR68,FALSE)</f>
      </c>
      <c r="AG68" s="201">
        <f>IF($C68,IF($AV68&lt;&gt;$AR68,$AW68,""),"")</f>
      </c>
      <c r="AH68" s="202">
        <f>IF($C68,'Backlog General'!$L68,"")</f>
      </c>
      <c r="AI68" s="201">
        <f>IF($C68,$AV68*100000+ROW(),"")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c r="AO68" s="202">
        <f>IF($C68,IFERROR(VLOOKUP($D68,'Sprints'!$G$5:$H$12,2,FALSE),"Semanal"),"")</f>
      </c>
      <c r="AP68" s="201">
        <f>IF($C68,IF($AO68="Semanal",'Sprints'!$D$5,IF($AO68="Quincenal",'Sprints'!$D$6,'Sprints'!$D$7)),"")</f>
      </c>
      <c r="AQ68" s="201">
        <f>IF($C68,IF($AO68="Semanal",'Sprints'!$C$5,IF($AO68="Quincenal",'Sprints'!$C$6,'Sprints'!$C$7)),"")</f>
      </c>
      <c r="AR68" s="201">
        <f>IF($C68,MAX(1,INT(($H68-$AQ68)/$AP68)+1),"")</f>
      </c>
      <c r="AS68" s="201">
        <f>IF($C68,IF($AO68="Semanal",'Sprints'!$E$5,IF($AO68="Quincenal",'Sprints'!$E$6,'Sprints'!$E$7)),"")</f>
      </c>
      <c r="AT68" s="202">
        <f>IF($C68,'Backlog General'!$G68,"")</f>
      </c>
      <c r="AU68" s="202">
        <f>IF($C68,'Backlog General'!$H68,"")</f>
      </c>
      <c r="AV68" s="201">
        <f>IF($C68,IF(OR($AT68="Completo",$AU68="Cancelado",$AU68="Baja prioridad"),$AR68,IF($AU68="Pasa al siguiente",MAX($AR68+1,$AS68),MAX($AR68,$AS68))),"")</f>
      </c>
      <c r="AW68" s="201">
        <f>IF($C68,$AQ68+$AR68*$AP68-1,"")</f>
      </c>
      <c r="AX68" s="201">
        <f>IF($C68,IF(OR($AT68="Completo",$AU68="Cancelado",$AU68="Baja prioridad"),0,MAX(0,TODAY()-$AW68)),"")</f>
      </c>
      <c r="AY68" s="202">
        <f>IF($C68,IF($AT68="Completo","Completo",IF($AU68="Cancelado","Cancelado",IF($AU68="Baja prioridad","Baja prioridad",IF($AX68&gt;0,"Vencida","Pendiente")))),"")</f>
      </c>
      <c r="AZ68" s="202">
        <f>IF($C68,$AO68&amp;" · S"&amp;$AV68,"")</f>
      </c>
      <c r="BA68" s="201">
        <f>IF($C68,IF(AND(ISNUMBER('Backlog General'!$M68),'Backlog General'!$M68=$AS68),"Nuevo S"&amp;'Backlog General'!$M68,""),"")</f>
      </c>
      <c r="BB68" s="201">
        <f>IF(AND($C68,$AO68="Semanal"),$AV68*100000+ROW(),"")</f>
      </c>
      <c r="BC68" s="201">
        <f>IF(AND($C68,$AO68="Quincenal"),$AV68*100000+ROW(),"")</f>
      </c>
      <c r="BD68" s="201">
        <f>IF(AND($C68,$AO68="Mensual"),$AV68*100000+ROW(),"")</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IF($C69,$AV69,"")</f>
      </c>
      <c r="AE69" s="201">
        <f>IF($C69,$AZ69,"")</f>
      </c>
      <c r="AF69" s="201">
        <f>IF($C69,$AV69&lt;&gt;$AR69,FALSE)</f>
      </c>
      <c r="AG69" s="201">
        <f>IF($C69,IF($AV69&lt;&gt;$AR69,$AW69,""),"")</f>
      </c>
      <c r="AH69" s="202">
        <f>IF($C69,'Backlog General'!$L69,"")</f>
      </c>
      <c r="AI69" s="201">
        <f>IF($C69,$AV69*100000+ROW(),"")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c r="AO69" s="202">
        <f>IF($C69,IFERROR(VLOOKUP($D69,'Sprints'!$G$5:$H$12,2,FALSE),"Semanal"),"")</f>
      </c>
      <c r="AP69" s="201">
        <f>IF($C69,IF($AO69="Semanal",'Sprints'!$D$5,IF($AO69="Quincenal",'Sprints'!$D$6,'Sprints'!$D$7)),"")</f>
      </c>
      <c r="AQ69" s="201">
        <f>IF($C69,IF($AO69="Semanal",'Sprints'!$C$5,IF($AO69="Quincenal",'Sprints'!$C$6,'Sprints'!$C$7)),"")</f>
      </c>
      <c r="AR69" s="201">
        <f>IF($C69,MAX(1,INT(($H69-$AQ69)/$AP69)+1),"")</f>
      </c>
      <c r="AS69" s="201">
        <f>IF($C69,IF($AO69="Semanal",'Sprints'!$E$5,IF($AO69="Quincenal",'Sprints'!$E$6,'Sprints'!$E$7)),"")</f>
      </c>
      <c r="AT69" s="202">
        <f>IF($C69,'Backlog General'!$G69,"")</f>
      </c>
      <c r="AU69" s="202">
        <f>IF($C69,'Backlog General'!$H69,"")</f>
      </c>
      <c r="AV69" s="201">
        <f>IF($C69,IF(OR($AT69="Completo",$AU69="Cancelado",$AU69="Baja prioridad"),$AR69,IF($AU69="Pasa al siguiente",MAX($AR69+1,$AS69),MAX($AR69,$AS69))),"")</f>
      </c>
      <c r="AW69" s="201">
        <f>IF($C69,$AQ69+$AR69*$AP69-1,"")</f>
      </c>
      <c r="AX69" s="201">
        <f>IF($C69,IF(OR($AT69="Completo",$AU69="Cancelado",$AU69="Baja prioridad"),0,MAX(0,TODAY()-$AW69)),"")</f>
      </c>
      <c r="AY69" s="202">
        <f>IF($C69,IF($AT69="Completo","Completo",IF($AU69="Cancelado","Cancelado",IF($AU69="Baja prioridad","Baja prioridad",IF($AX69&gt;0,"Vencida","Pendiente")))),"")</f>
      </c>
      <c r="AZ69" s="202">
        <f>IF($C69,$AO69&amp;" · S"&amp;$AV69,"")</f>
      </c>
      <c r="BA69" s="201">
        <f>IF($C69,IF(AND(ISNUMBER('Backlog General'!$M69),'Backlog General'!$M69=$AS69),"Nuevo S"&amp;'Backlog General'!$M69,""),"")</f>
      </c>
      <c r="BB69" s="201">
        <f>IF(AND($C69,$AO69="Semanal"),$AV69*100000+ROW(),"")</f>
      </c>
      <c r="BC69" s="201">
        <f>IF(AND($C69,$AO69="Quincenal"),$AV69*100000+ROW(),"")</f>
      </c>
      <c r="BD69" s="201">
        <f>IF(AND($C69,$AO69="Mensual"),$AV69*100000+ROW(),"")</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IF($C70,$AV70,"")</f>
      </c>
      <c r="AE70" s="201">
        <f>IF($C70,$AZ70,"")</f>
      </c>
      <c r="AF70" s="201">
        <f>IF($C70,$AV70&lt;&gt;$AR70,FALSE)</f>
      </c>
      <c r="AG70" s="201">
        <f>IF($C70,IF($AV70&lt;&gt;$AR70,$AW70,""),"")</f>
      </c>
      <c r="AH70" s="202">
        <f>IF($C70,'Backlog General'!$L70,"")</f>
      </c>
      <c r="AI70" s="201">
        <f>IF($C70,$AV70*100000+ROW(),"")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c r="AO70" s="202">
        <f>IF($C70,IFERROR(VLOOKUP($D70,'Sprints'!$G$5:$H$12,2,FALSE),"Semanal"),"")</f>
      </c>
      <c r="AP70" s="201">
        <f>IF($C70,IF($AO70="Semanal",'Sprints'!$D$5,IF($AO70="Quincenal",'Sprints'!$D$6,'Sprints'!$D$7)),"")</f>
      </c>
      <c r="AQ70" s="201">
        <f>IF($C70,IF($AO70="Semanal",'Sprints'!$C$5,IF($AO70="Quincenal",'Sprints'!$C$6,'Sprints'!$C$7)),"")</f>
      </c>
      <c r="AR70" s="201">
        <f>IF($C70,MAX(1,INT(($H70-$AQ70)/$AP70)+1),"")</f>
      </c>
      <c r="AS70" s="201">
        <f>IF($C70,IF($AO70="Semanal",'Sprints'!$E$5,IF($AO70="Quincenal",'Sprints'!$E$6,'Sprints'!$E$7)),"")</f>
      </c>
      <c r="AT70" s="202">
        <f>IF($C70,'Backlog General'!$G70,"")</f>
      </c>
      <c r="AU70" s="202">
        <f>IF($C70,'Backlog General'!$H70,"")</f>
      </c>
      <c r="AV70" s="201">
        <f>IF($C70,IF(OR($AT70="Completo",$AU70="Cancelado",$AU70="Baja prioridad"),$AR70,IF($AU70="Pasa al siguiente",MAX($AR70+1,$AS70),MAX($AR70,$AS70))),"")</f>
      </c>
      <c r="AW70" s="201">
        <f>IF($C70,$AQ70+$AR70*$AP70-1,"")</f>
      </c>
      <c r="AX70" s="201">
        <f>IF($C70,IF(OR($AT70="Completo",$AU70="Cancelado",$AU70="Baja prioridad"),0,MAX(0,TODAY()-$AW70)),"")</f>
      </c>
      <c r="AY70" s="202">
        <f>IF($C70,IF($AT70="Completo","Completo",IF($AU70="Cancelado","Cancelado",IF($AU70="Baja prioridad","Baja prioridad",IF($AX70&gt;0,"Vencida","Pendiente")))),"")</f>
      </c>
      <c r="AZ70" s="202">
        <f>IF($C70,$AO70&amp;" · S"&amp;$AV70,"")</f>
      </c>
      <c r="BA70" s="201">
        <f>IF($C70,IF(AND(ISNUMBER('Backlog General'!$M70),'Backlog General'!$M70=$AS70),"Nuevo S"&amp;'Backlog General'!$M70,""),"")</f>
      </c>
      <c r="BB70" s="201">
        <f>IF(AND($C70,$AO70="Semanal"),$AV70*100000+ROW(),"")</f>
      </c>
      <c r="BC70" s="201">
        <f>IF(AND($C70,$AO70="Quincenal"),$AV70*100000+ROW(),"")</f>
      </c>
      <c r="BD70" s="201">
        <f>IF(AND($C70,$AO70="Mensual"),$AV70*100000+ROW(),"")</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IF($C71,$AV71,"")</f>
      </c>
      <c r="AE71" s="201">
        <f>IF($C71,$AZ71,"")</f>
      </c>
      <c r="AF71" s="201">
        <f>IF($C71,$AV71&lt;&gt;$AR71,FALSE)</f>
      </c>
      <c r="AG71" s="201">
        <f>IF($C71,IF($AV71&lt;&gt;$AR71,$AW71,""),"")</f>
      </c>
      <c r="AH71" s="202">
        <f>IF($C71,'Backlog General'!$L71,"")</f>
      </c>
      <c r="AI71" s="201">
        <f>IF($C71,$AV71*100000+ROW(),"")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c r="AO71" s="202">
        <f>IF($C71,IFERROR(VLOOKUP($D71,'Sprints'!$G$5:$H$12,2,FALSE),"Semanal"),"")</f>
      </c>
      <c r="AP71" s="201">
        <f>IF($C71,IF($AO71="Semanal",'Sprints'!$D$5,IF($AO71="Quincenal",'Sprints'!$D$6,'Sprints'!$D$7)),"")</f>
      </c>
      <c r="AQ71" s="201">
        <f>IF($C71,IF($AO71="Semanal",'Sprints'!$C$5,IF($AO71="Quincenal",'Sprints'!$C$6,'Sprints'!$C$7)),"")</f>
      </c>
      <c r="AR71" s="201">
        <f>IF($C71,MAX(1,INT(($H71-$AQ71)/$AP71)+1),"")</f>
      </c>
      <c r="AS71" s="201">
        <f>IF($C71,IF($AO71="Semanal",'Sprints'!$E$5,IF($AO71="Quincenal",'Sprints'!$E$6,'Sprints'!$E$7)),"")</f>
      </c>
      <c r="AT71" s="202">
        <f>IF($C71,'Backlog General'!$G71,"")</f>
      </c>
      <c r="AU71" s="202">
        <f>IF($C71,'Backlog General'!$H71,"")</f>
      </c>
      <c r="AV71" s="201">
        <f>IF($C71,IF(OR($AT71="Completo",$AU71="Cancelado",$AU71="Baja prioridad"),$AR71,IF($AU71="Pasa al siguiente",MAX($AR71+1,$AS71),MAX($AR71,$AS71))),"")</f>
      </c>
      <c r="AW71" s="201">
        <f>IF($C71,$AQ71+$AR71*$AP71-1,"")</f>
      </c>
      <c r="AX71" s="201">
        <f>IF($C71,IF(OR($AT71="Completo",$AU71="Cancelado",$AU71="Baja prioridad"),0,MAX(0,TODAY()-$AW71)),"")</f>
      </c>
      <c r="AY71" s="202">
        <f>IF($C71,IF($AT71="Completo","Completo",IF($AU71="Cancelado","Cancelado",IF($AU71="Baja prioridad","Baja prioridad",IF($AX71&gt;0,"Vencida","Pendiente")))),"")</f>
      </c>
      <c r="AZ71" s="202">
        <f>IF($C71,$AO71&amp;" · S"&amp;$AV71,"")</f>
      </c>
      <c r="BA71" s="201">
        <f>IF($C71,IF(AND(ISNUMBER('Backlog General'!$M71),'Backlog General'!$M71=$AS71),"Nuevo S"&amp;'Backlog General'!$M71,""),"")</f>
      </c>
      <c r="BB71" s="201">
        <f>IF(AND($C71,$AO71="Semanal"),$AV71*100000+ROW(),"")</f>
      </c>
      <c r="BC71" s="201">
        <f>IF(AND($C71,$AO71="Quincenal"),$AV71*100000+ROW(),"")</f>
      </c>
      <c r="BD71" s="201">
        <f>IF(AND($C71,$AO71="Mensual"),$AV71*100000+ROW(),"")</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IF($C72,$AV72,"")</f>
      </c>
      <c r="AE72" s="201">
        <f>IF($C72,$AZ72,"")</f>
      </c>
      <c r="AF72" s="201">
        <f>IF($C72,$AV72&lt;&gt;$AR72,FALSE)</f>
      </c>
      <c r="AG72" s="201">
        <f>IF($C72,IF($AV72&lt;&gt;$AR72,$AW72,""),"")</f>
      </c>
      <c r="AH72" s="202">
        <f>IF($C72,'Backlog General'!$L72,"")</f>
      </c>
      <c r="AI72" s="201">
        <f>IF($C72,$AV72*100000+ROW(),"")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c r="AO72" s="202">
        <f>IF($C72,IFERROR(VLOOKUP($D72,'Sprints'!$G$5:$H$12,2,FALSE),"Semanal"),"")</f>
      </c>
      <c r="AP72" s="201">
        <f>IF($C72,IF($AO72="Semanal",'Sprints'!$D$5,IF($AO72="Quincenal",'Sprints'!$D$6,'Sprints'!$D$7)),"")</f>
      </c>
      <c r="AQ72" s="201">
        <f>IF($C72,IF($AO72="Semanal",'Sprints'!$C$5,IF($AO72="Quincenal",'Sprints'!$C$6,'Sprints'!$C$7)),"")</f>
      </c>
      <c r="AR72" s="201">
        <f>IF($C72,MAX(1,INT(($H72-$AQ72)/$AP72)+1),"")</f>
      </c>
      <c r="AS72" s="201">
        <f>IF($C72,IF($AO72="Semanal",'Sprints'!$E$5,IF($AO72="Quincenal",'Sprints'!$E$6,'Sprints'!$E$7)),"")</f>
      </c>
      <c r="AT72" s="202">
        <f>IF($C72,'Backlog General'!$G72,"")</f>
      </c>
      <c r="AU72" s="202">
        <f>IF($C72,'Backlog General'!$H72,"")</f>
      </c>
      <c r="AV72" s="201">
        <f>IF($C72,IF(OR($AT72="Completo",$AU72="Cancelado",$AU72="Baja prioridad"),$AR72,IF($AU72="Pasa al siguiente",MAX($AR72+1,$AS72),MAX($AR72,$AS72))),"")</f>
      </c>
      <c r="AW72" s="201">
        <f>IF($C72,$AQ72+$AR72*$AP72-1,"")</f>
      </c>
      <c r="AX72" s="201">
        <f>IF($C72,IF(OR($AT72="Completo",$AU72="Cancelado",$AU72="Baja prioridad"),0,MAX(0,TODAY()-$AW72)),"")</f>
      </c>
      <c r="AY72" s="202">
        <f>IF($C72,IF($AT72="Completo","Completo",IF($AU72="Cancelado","Cancelado",IF($AU72="Baja prioridad","Baja prioridad",IF($AX72&gt;0,"Vencida","Pendiente")))),"")</f>
      </c>
      <c r="AZ72" s="202">
        <f>IF($C72,$AO72&amp;" · S"&amp;$AV72,"")</f>
      </c>
      <c r="BA72" s="201">
        <f>IF($C72,IF(AND(ISNUMBER('Backlog General'!$M72),'Backlog General'!$M72=$AS72),"Nuevo S"&amp;'Backlog General'!$M72,""),"")</f>
      </c>
      <c r="BB72" s="201">
        <f>IF(AND($C72,$AO72="Semanal"),$AV72*100000+ROW(),"")</f>
      </c>
      <c r="BC72" s="201">
        <f>IF(AND($C72,$AO72="Quincenal"),$AV72*100000+ROW(),"")</f>
      </c>
      <c r="BD72" s="201">
        <f>IF(AND($C72,$AO72="Mensual"),$AV72*100000+ROW(),"")</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IF($C73,$AV73,"")</f>
      </c>
      <c r="AE73" s="201">
        <f>IF($C73,$AZ73,"")</f>
      </c>
      <c r="AF73" s="201">
        <f>IF($C73,$AV73&lt;&gt;$AR73,FALSE)</f>
      </c>
      <c r="AG73" s="201">
        <f>IF($C73,IF($AV73&lt;&gt;$AR73,$AW73,""),"")</f>
      </c>
      <c r="AH73" s="202">
        <f>IF($C73,'Backlog General'!$L73,"")</f>
      </c>
      <c r="AI73" s="201">
        <f>IF($C73,$AV73*100000+ROW(),"")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c r="AO73" s="202">
        <f>IF($C73,IFERROR(VLOOKUP($D73,'Sprints'!$G$5:$H$12,2,FALSE),"Semanal"),"")</f>
      </c>
      <c r="AP73" s="201">
        <f>IF($C73,IF($AO73="Semanal",'Sprints'!$D$5,IF($AO73="Quincenal",'Sprints'!$D$6,'Sprints'!$D$7)),"")</f>
      </c>
      <c r="AQ73" s="201">
        <f>IF($C73,IF($AO73="Semanal",'Sprints'!$C$5,IF($AO73="Quincenal",'Sprints'!$C$6,'Sprints'!$C$7)),"")</f>
      </c>
      <c r="AR73" s="201">
        <f>IF($C73,MAX(1,INT(($H73-$AQ73)/$AP73)+1),"")</f>
      </c>
      <c r="AS73" s="201">
        <f>IF($C73,IF($AO73="Semanal",'Sprints'!$E$5,IF($AO73="Quincenal",'Sprints'!$E$6,'Sprints'!$E$7)),"")</f>
      </c>
      <c r="AT73" s="202">
        <f>IF($C73,'Backlog General'!$G73,"")</f>
      </c>
      <c r="AU73" s="202">
        <f>IF($C73,'Backlog General'!$H73,"")</f>
      </c>
      <c r="AV73" s="201">
        <f>IF($C73,IF(OR($AT73="Completo",$AU73="Cancelado",$AU73="Baja prioridad"),$AR73,IF($AU73="Pasa al siguiente",MAX($AR73+1,$AS73),MAX($AR73,$AS73))),"")</f>
      </c>
      <c r="AW73" s="201">
        <f>IF($C73,$AQ73+$AR73*$AP73-1,"")</f>
      </c>
      <c r="AX73" s="201">
        <f>IF($C73,IF(OR($AT73="Completo",$AU73="Cancelado",$AU73="Baja prioridad"),0,MAX(0,TODAY()-$AW73)),"")</f>
      </c>
      <c r="AY73" s="202">
        <f>IF($C73,IF($AT73="Completo","Completo",IF($AU73="Cancelado","Cancelado",IF($AU73="Baja prioridad","Baja prioridad",IF($AX73&gt;0,"Vencida","Pendiente")))),"")</f>
      </c>
      <c r="AZ73" s="202">
        <f>IF($C73,$AO73&amp;" · S"&amp;$AV73,"")</f>
      </c>
      <c r="BA73" s="201">
        <f>IF($C73,IF(AND(ISNUMBER('Backlog General'!$M73),'Backlog General'!$M73=$AS73),"Nuevo S"&amp;'Backlog General'!$M73,""),"")</f>
      </c>
      <c r="BB73" s="201">
        <f>IF(AND($C73,$AO73="Semanal"),$AV73*100000+ROW(),"")</f>
      </c>
      <c r="BC73" s="201">
        <f>IF(AND($C73,$AO73="Quincenal"),$AV73*100000+ROW(),"")</f>
      </c>
      <c r="BD73" s="201">
        <f>IF(AND($C73,$AO73="Mensual"),$AV73*100000+ROW(),"")</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IF($C74,$AV74,"")</f>
      </c>
      <c r="AE74" s="201">
        <f>IF($C74,$AZ74,"")</f>
      </c>
      <c r="AF74" s="201">
        <f>IF($C74,$AV74&lt;&gt;$AR74,FALSE)</f>
      </c>
      <c r="AG74" s="201">
        <f>IF($C74,IF($AV74&lt;&gt;$AR74,$AW74,""),"")</f>
      </c>
      <c r="AH74" s="202">
        <f>IF($C74,'Backlog General'!$L74,"")</f>
      </c>
      <c r="AI74" s="201">
        <f>IF($C74,$AV74*100000+ROW(),"")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c r="AO74" s="202">
        <f>IF($C74,IFERROR(VLOOKUP($D74,'Sprints'!$G$5:$H$12,2,FALSE),"Semanal"),"")</f>
      </c>
      <c r="AP74" s="201">
        <f>IF($C74,IF($AO74="Semanal",'Sprints'!$D$5,IF($AO74="Quincenal",'Sprints'!$D$6,'Sprints'!$D$7)),"")</f>
      </c>
      <c r="AQ74" s="201">
        <f>IF($C74,IF($AO74="Semanal",'Sprints'!$C$5,IF($AO74="Quincenal",'Sprints'!$C$6,'Sprints'!$C$7)),"")</f>
      </c>
      <c r="AR74" s="201">
        <f>IF($C74,MAX(1,INT(($H74-$AQ74)/$AP74)+1),"")</f>
      </c>
      <c r="AS74" s="201">
        <f>IF($C74,IF($AO74="Semanal",'Sprints'!$E$5,IF($AO74="Quincenal",'Sprints'!$E$6,'Sprints'!$E$7)),"")</f>
      </c>
      <c r="AT74" s="202">
        <f>IF($C74,'Backlog General'!$G74,"")</f>
      </c>
      <c r="AU74" s="202">
        <f>IF($C74,'Backlog General'!$H74,"")</f>
      </c>
      <c r="AV74" s="201">
        <f>IF($C74,IF(OR($AT74="Completo",$AU74="Cancelado",$AU74="Baja prioridad"),$AR74,IF($AU74="Pasa al siguiente",MAX($AR74+1,$AS74),MAX($AR74,$AS74))),"")</f>
      </c>
      <c r="AW74" s="201">
        <f>IF($C74,$AQ74+$AR74*$AP74-1,"")</f>
      </c>
      <c r="AX74" s="201">
        <f>IF($C74,IF(OR($AT74="Completo",$AU74="Cancelado",$AU74="Baja prioridad"),0,MAX(0,TODAY()-$AW74)),"")</f>
      </c>
      <c r="AY74" s="202">
        <f>IF($C74,IF($AT74="Completo","Completo",IF($AU74="Cancelado","Cancelado",IF($AU74="Baja prioridad","Baja prioridad",IF($AX74&gt;0,"Vencida","Pendiente")))),"")</f>
      </c>
      <c r="AZ74" s="202">
        <f>IF($C74,$AO74&amp;" · S"&amp;$AV74,"")</f>
      </c>
      <c r="BA74" s="201">
        <f>IF($C74,IF(AND(ISNUMBER('Backlog General'!$M74),'Backlog General'!$M74=$AS74),"Nuevo S"&amp;'Backlog General'!$M74,""),"")</f>
      </c>
      <c r="BB74" s="201">
        <f>IF(AND($C74,$AO74="Semanal"),$AV74*100000+ROW(),"")</f>
      </c>
      <c r="BC74" s="201">
        <f>IF(AND($C74,$AO74="Quincenal"),$AV74*100000+ROW(),"")</f>
      </c>
      <c r="BD74" s="201">
        <f>IF(AND($C74,$AO74="Mensual"),$AV74*100000+ROW(),"")</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IF($C75,$AV75,"")</f>
      </c>
      <c r="AE75" s="201">
        <f>IF($C75,$AZ75,"")</f>
      </c>
      <c r="AF75" s="201">
        <f>IF($C75,$AV75&lt;&gt;$AR75,FALSE)</f>
      </c>
      <c r="AG75" s="201">
        <f>IF($C75,IF($AV75&lt;&gt;$AR75,$AW75,""),"")</f>
      </c>
      <c r="AH75" s="202">
        <f>IF($C75,'Backlog General'!$L75,"")</f>
      </c>
      <c r="AI75" s="201">
        <f>IF($C75,$AV75*100000+ROW(),"")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c r="AO75" s="202">
        <f>IF($C75,IFERROR(VLOOKUP($D75,'Sprints'!$G$5:$H$12,2,FALSE),"Semanal"),"")</f>
      </c>
      <c r="AP75" s="201">
        <f>IF($C75,IF($AO75="Semanal",'Sprints'!$D$5,IF($AO75="Quincenal",'Sprints'!$D$6,'Sprints'!$D$7)),"")</f>
      </c>
      <c r="AQ75" s="201">
        <f>IF($C75,IF($AO75="Semanal",'Sprints'!$C$5,IF($AO75="Quincenal",'Sprints'!$C$6,'Sprints'!$C$7)),"")</f>
      </c>
      <c r="AR75" s="201">
        <f>IF($C75,MAX(1,INT(($H75-$AQ75)/$AP75)+1),"")</f>
      </c>
      <c r="AS75" s="201">
        <f>IF($C75,IF($AO75="Semanal",'Sprints'!$E$5,IF($AO75="Quincenal",'Sprints'!$E$6,'Sprints'!$E$7)),"")</f>
      </c>
      <c r="AT75" s="202">
        <f>IF($C75,'Backlog General'!$G75,"")</f>
      </c>
      <c r="AU75" s="202">
        <f>IF($C75,'Backlog General'!$H75,"")</f>
      </c>
      <c r="AV75" s="201">
        <f>IF($C75,IF(OR($AT75="Completo",$AU75="Cancelado",$AU75="Baja prioridad"),$AR75,IF($AU75="Pasa al siguiente",MAX($AR75+1,$AS75),MAX($AR75,$AS75))),"")</f>
      </c>
      <c r="AW75" s="201">
        <f>IF($C75,$AQ75+$AR75*$AP75-1,"")</f>
      </c>
      <c r="AX75" s="201">
        <f>IF($C75,IF(OR($AT75="Completo",$AU75="Cancelado",$AU75="Baja prioridad"),0,MAX(0,TODAY()-$AW75)),"")</f>
      </c>
      <c r="AY75" s="202">
        <f>IF($C75,IF($AT75="Completo","Completo",IF($AU75="Cancelado","Cancelado",IF($AU75="Baja prioridad","Baja prioridad",IF($AX75&gt;0,"Vencida","Pendiente")))),"")</f>
      </c>
      <c r="AZ75" s="202">
        <f>IF($C75,$AO75&amp;" · S"&amp;$AV75,"")</f>
      </c>
      <c r="BA75" s="201">
        <f>IF($C75,IF(AND(ISNUMBER('Backlog General'!$M75),'Backlog General'!$M75=$AS75),"Nuevo S"&amp;'Backlog General'!$M75,""),"")</f>
      </c>
      <c r="BB75" s="201">
        <f>IF(AND($C75,$AO75="Semanal"),$AV75*100000+ROW(),"")</f>
      </c>
      <c r="BC75" s="201">
        <f>IF(AND($C75,$AO75="Quincenal"),$AV75*100000+ROW(),"")</f>
      </c>
      <c r="BD75" s="201">
        <f>IF(AND($C75,$AO75="Mensual"),$AV75*100000+ROW(),"")</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IF($C76,$AV76,"")</f>
      </c>
      <c r="AE76" s="201">
        <f>IF($C76,$AZ76,"")</f>
      </c>
      <c r="AF76" s="201">
        <f>IF($C76,$AV76&lt;&gt;$AR76,FALSE)</f>
      </c>
      <c r="AG76" s="201">
        <f>IF($C76,IF($AV76&lt;&gt;$AR76,$AW76,""),"")</f>
      </c>
      <c r="AH76" s="202">
        <f>IF($C76,'Backlog General'!$L76,"")</f>
      </c>
      <c r="AI76" s="201">
        <f>IF($C76,$AV76*100000+ROW(),"")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c r="AO76" s="202">
        <f>IF($C76,IFERROR(VLOOKUP($D76,'Sprints'!$G$5:$H$12,2,FALSE),"Semanal"),"")</f>
      </c>
      <c r="AP76" s="201">
        <f>IF($C76,IF($AO76="Semanal",'Sprints'!$D$5,IF($AO76="Quincenal",'Sprints'!$D$6,'Sprints'!$D$7)),"")</f>
      </c>
      <c r="AQ76" s="201">
        <f>IF($C76,IF($AO76="Semanal",'Sprints'!$C$5,IF($AO76="Quincenal",'Sprints'!$C$6,'Sprints'!$C$7)),"")</f>
      </c>
      <c r="AR76" s="201">
        <f>IF($C76,MAX(1,INT(($H76-$AQ76)/$AP76)+1),"")</f>
      </c>
      <c r="AS76" s="201">
        <f>IF($C76,IF($AO76="Semanal",'Sprints'!$E$5,IF($AO76="Quincenal",'Sprints'!$E$6,'Sprints'!$E$7)),"")</f>
      </c>
      <c r="AT76" s="202">
        <f>IF($C76,'Backlog General'!$G76,"")</f>
      </c>
      <c r="AU76" s="202">
        <f>IF($C76,'Backlog General'!$H76,"")</f>
      </c>
      <c r="AV76" s="201">
        <f>IF($C76,IF(OR($AT76="Completo",$AU76="Cancelado",$AU76="Baja prioridad"),$AR76,IF($AU76="Pasa al siguiente",MAX($AR76+1,$AS76),MAX($AR76,$AS76))),"")</f>
      </c>
      <c r="AW76" s="201">
        <f>IF($C76,$AQ76+$AR76*$AP76-1,"")</f>
      </c>
      <c r="AX76" s="201">
        <f>IF($C76,IF(OR($AT76="Completo",$AU76="Cancelado",$AU76="Baja prioridad"),0,MAX(0,TODAY()-$AW76)),"")</f>
      </c>
      <c r="AY76" s="202">
        <f>IF($C76,IF($AT76="Completo","Completo",IF($AU76="Cancelado","Cancelado",IF($AU76="Baja prioridad","Baja prioridad",IF($AX76&gt;0,"Vencida","Pendiente")))),"")</f>
      </c>
      <c r="AZ76" s="202">
        <f>IF($C76,$AO76&amp;" · S"&amp;$AV76,"")</f>
      </c>
      <c r="BA76" s="201">
        <f>IF($C76,IF(AND(ISNUMBER('Backlog General'!$M76),'Backlog General'!$M76=$AS76),"Nuevo S"&amp;'Backlog General'!$M76,""),"")</f>
      </c>
      <c r="BB76" s="201">
        <f>IF(AND($C76,$AO76="Semanal"),$AV76*100000+ROW(),"")</f>
      </c>
      <c r="BC76" s="201">
        <f>IF(AND($C76,$AO76="Quincenal"),$AV76*100000+ROW(),"")</f>
      </c>
      <c r="BD76" s="201">
        <f>IF(AND($C76,$AO76="Mensual"),$AV76*100000+ROW(),"")</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IF($C77,$AV77,"")</f>
      </c>
      <c r="AE77" s="201">
        <f>IF($C77,$AZ77,"")</f>
      </c>
      <c r="AF77" s="201">
        <f>IF($C77,$AV77&lt;&gt;$AR77,FALSE)</f>
      </c>
      <c r="AG77" s="201">
        <f>IF($C77,IF($AV77&lt;&gt;$AR77,$AW77,""),"")</f>
      </c>
      <c r="AH77" s="202">
        <f>IF($C77,'Backlog General'!$L77,"")</f>
      </c>
      <c r="AI77" s="201">
        <f>IF($C77,$AV77*100000+ROW(),"")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c r="AO77" s="202">
        <f>IF($C77,IFERROR(VLOOKUP($D77,'Sprints'!$G$5:$H$12,2,FALSE),"Semanal"),"")</f>
      </c>
      <c r="AP77" s="201">
        <f>IF($C77,IF($AO77="Semanal",'Sprints'!$D$5,IF($AO77="Quincenal",'Sprints'!$D$6,'Sprints'!$D$7)),"")</f>
      </c>
      <c r="AQ77" s="201">
        <f>IF($C77,IF($AO77="Semanal",'Sprints'!$C$5,IF($AO77="Quincenal",'Sprints'!$C$6,'Sprints'!$C$7)),"")</f>
      </c>
      <c r="AR77" s="201">
        <f>IF($C77,MAX(1,INT(($H77-$AQ77)/$AP77)+1),"")</f>
      </c>
      <c r="AS77" s="201">
        <f>IF($C77,IF($AO77="Semanal",'Sprints'!$E$5,IF($AO77="Quincenal",'Sprints'!$E$6,'Sprints'!$E$7)),"")</f>
      </c>
      <c r="AT77" s="202">
        <f>IF($C77,'Backlog General'!$G77,"")</f>
      </c>
      <c r="AU77" s="202">
        <f>IF($C77,'Backlog General'!$H77,"")</f>
      </c>
      <c r="AV77" s="201">
        <f>IF($C77,IF(OR($AT77="Completo",$AU77="Cancelado",$AU77="Baja prioridad"),$AR77,IF($AU77="Pasa al siguiente",MAX($AR77+1,$AS77),MAX($AR77,$AS77))),"")</f>
      </c>
      <c r="AW77" s="201">
        <f>IF($C77,$AQ77+$AR77*$AP77-1,"")</f>
      </c>
      <c r="AX77" s="201">
        <f>IF($C77,IF(OR($AT77="Completo",$AU77="Cancelado",$AU77="Baja prioridad"),0,MAX(0,TODAY()-$AW77)),"")</f>
      </c>
      <c r="AY77" s="202">
        <f>IF($C77,IF($AT77="Completo","Completo",IF($AU77="Cancelado","Cancelado",IF($AU77="Baja prioridad","Baja prioridad",IF($AX77&gt;0,"Vencida","Pendiente")))),"")</f>
      </c>
      <c r="AZ77" s="202">
        <f>IF($C77,$AO77&amp;" · S"&amp;$AV77,"")</f>
      </c>
      <c r="BA77" s="201">
        <f>IF($C77,IF(AND(ISNUMBER('Backlog General'!$M77),'Backlog General'!$M77=$AS77),"Nuevo S"&amp;'Backlog General'!$M77,""),"")</f>
      </c>
      <c r="BB77" s="201">
        <f>IF(AND($C77,$AO77="Semanal"),$AV77*100000+ROW(),"")</f>
      </c>
      <c r="BC77" s="201">
        <f>IF(AND($C77,$AO77="Quincenal"),$AV77*100000+ROW(),"")</f>
      </c>
      <c r="BD77" s="201">
        <f>IF(AND($C77,$AO77="Mensual"),$AV77*100000+ROW(),"")</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IF($C78,$AV78,"")</f>
      </c>
      <c r="AE78" s="201">
        <f>IF($C78,$AZ78,"")</f>
      </c>
      <c r="AF78" s="201">
        <f>IF($C78,$AV78&lt;&gt;$AR78,FALSE)</f>
      </c>
      <c r="AG78" s="201">
        <f>IF($C78,IF($AV78&lt;&gt;$AR78,$AW78,""),"")</f>
      </c>
      <c r="AH78" s="202">
        <f>IF($C78,'Backlog General'!$L78,"")</f>
      </c>
      <c r="AI78" s="201">
        <f>IF($C78,$AV78*100000+ROW(),"")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c r="AO78" s="202">
        <f>IF($C78,IFERROR(VLOOKUP($D78,'Sprints'!$G$5:$H$12,2,FALSE),"Semanal"),"")</f>
      </c>
      <c r="AP78" s="201">
        <f>IF($C78,IF($AO78="Semanal",'Sprints'!$D$5,IF($AO78="Quincenal",'Sprints'!$D$6,'Sprints'!$D$7)),"")</f>
      </c>
      <c r="AQ78" s="201">
        <f>IF($C78,IF($AO78="Semanal",'Sprints'!$C$5,IF($AO78="Quincenal",'Sprints'!$C$6,'Sprints'!$C$7)),"")</f>
      </c>
      <c r="AR78" s="201">
        <f>IF($C78,MAX(1,INT(($H78-$AQ78)/$AP78)+1),"")</f>
      </c>
      <c r="AS78" s="201">
        <f>IF($C78,IF($AO78="Semanal",'Sprints'!$E$5,IF($AO78="Quincenal",'Sprints'!$E$6,'Sprints'!$E$7)),"")</f>
      </c>
      <c r="AT78" s="202">
        <f>IF($C78,'Backlog General'!$G78,"")</f>
      </c>
      <c r="AU78" s="202">
        <f>IF($C78,'Backlog General'!$H78,"")</f>
      </c>
      <c r="AV78" s="201">
        <f>IF($C78,IF(OR($AT78="Completo",$AU78="Cancelado",$AU78="Baja prioridad"),$AR78,IF($AU78="Pasa al siguiente",MAX($AR78+1,$AS78),MAX($AR78,$AS78))),"")</f>
      </c>
      <c r="AW78" s="201">
        <f>IF($C78,$AQ78+$AR78*$AP78-1,"")</f>
      </c>
      <c r="AX78" s="201">
        <f>IF($C78,IF(OR($AT78="Completo",$AU78="Cancelado",$AU78="Baja prioridad"),0,MAX(0,TODAY()-$AW78)),"")</f>
      </c>
      <c r="AY78" s="202">
        <f>IF($C78,IF($AT78="Completo","Completo",IF($AU78="Cancelado","Cancelado",IF($AU78="Baja prioridad","Baja prioridad",IF($AX78&gt;0,"Vencida","Pendiente")))),"")</f>
      </c>
      <c r="AZ78" s="202">
        <f>IF($C78,$AO78&amp;" · S"&amp;$AV78,"")</f>
      </c>
      <c r="BA78" s="201">
        <f>IF($C78,IF(AND(ISNUMBER('Backlog General'!$M78),'Backlog General'!$M78=$AS78),"Nuevo S"&amp;'Backlog General'!$M78,""),"")</f>
      </c>
      <c r="BB78" s="201">
        <f>IF(AND($C78,$AO78="Semanal"),$AV78*100000+ROW(),"")</f>
      </c>
      <c r="BC78" s="201">
        <f>IF(AND($C78,$AO78="Quincenal"),$AV78*100000+ROW(),"")</f>
      </c>
      <c r="BD78" s="201">
        <f>IF(AND($C78,$AO78="Mensual"),$AV78*100000+ROW(),"")</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IF($C79,$AV79,"")</f>
      </c>
      <c r="AE79" s="201">
        <f>IF($C79,$AZ79,"")</f>
      </c>
      <c r="AF79" s="201">
        <f>IF($C79,$AV79&lt;&gt;$AR79,FALSE)</f>
      </c>
      <c r="AG79" s="201">
        <f>IF($C79,IF($AV79&lt;&gt;$AR79,$AW79,""),"")</f>
      </c>
      <c r="AH79" s="202">
        <f>IF($C79,'Backlog General'!$L79,"")</f>
      </c>
      <c r="AI79" s="201">
        <f>IF($C79,$AV79*100000+ROW(),"")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c r="AO79" s="202">
        <f>IF($C79,IFERROR(VLOOKUP($D79,'Sprints'!$G$5:$H$12,2,FALSE),"Semanal"),"")</f>
      </c>
      <c r="AP79" s="201">
        <f>IF($C79,IF($AO79="Semanal",'Sprints'!$D$5,IF($AO79="Quincenal",'Sprints'!$D$6,'Sprints'!$D$7)),"")</f>
      </c>
      <c r="AQ79" s="201">
        <f>IF($C79,IF($AO79="Semanal",'Sprints'!$C$5,IF($AO79="Quincenal",'Sprints'!$C$6,'Sprints'!$C$7)),"")</f>
      </c>
      <c r="AR79" s="201">
        <f>IF($C79,MAX(1,INT(($H79-$AQ79)/$AP79)+1),"")</f>
      </c>
      <c r="AS79" s="201">
        <f>IF($C79,IF($AO79="Semanal",'Sprints'!$E$5,IF($AO79="Quincenal",'Sprints'!$E$6,'Sprints'!$E$7)),"")</f>
      </c>
      <c r="AT79" s="202">
        <f>IF($C79,'Backlog General'!$G79,"")</f>
      </c>
      <c r="AU79" s="202">
        <f>IF($C79,'Backlog General'!$H79,"")</f>
      </c>
      <c r="AV79" s="201">
        <f>IF($C79,IF(OR($AT79="Completo",$AU79="Cancelado",$AU79="Baja prioridad"),$AR79,IF($AU79="Pasa al siguiente",MAX($AR79+1,$AS79),MAX($AR79,$AS79))),"")</f>
      </c>
      <c r="AW79" s="201">
        <f>IF($C79,$AQ79+$AR79*$AP79-1,"")</f>
      </c>
      <c r="AX79" s="201">
        <f>IF($C79,IF(OR($AT79="Completo",$AU79="Cancelado",$AU79="Baja prioridad"),0,MAX(0,TODAY()-$AW79)),"")</f>
      </c>
      <c r="AY79" s="202">
        <f>IF($C79,IF($AT79="Completo","Completo",IF($AU79="Cancelado","Cancelado",IF($AU79="Baja prioridad","Baja prioridad",IF($AX79&gt;0,"Vencida","Pendiente")))),"")</f>
      </c>
      <c r="AZ79" s="202">
        <f>IF($C79,$AO79&amp;" · S"&amp;$AV79,"")</f>
      </c>
      <c r="BA79" s="201">
        <f>IF($C79,IF(AND(ISNUMBER('Backlog General'!$M79),'Backlog General'!$M79=$AS79),"Nuevo S"&amp;'Backlog General'!$M79,""),"")</f>
      </c>
      <c r="BB79" s="201">
        <f>IF(AND($C79,$AO79="Semanal"),$AV79*100000+ROW(),"")</f>
      </c>
      <c r="BC79" s="201">
        <f>IF(AND($C79,$AO79="Quincenal"),$AV79*100000+ROW(),"")</f>
      </c>
      <c r="BD79" s="201">
        <f>IF(AND($C79,$AO79="Mensual"),$AV79*100000+ROW(),"")</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IF($C80,$AV80,"")</f>
      </c>
      <c r="AE80" s="201">
        <f>IF($C80,$AZ80,"")</f>
      </c>
      <c r="AF80" s="201">
        <f>IF($C80,$AV80&lt;&gt;$AR80,FALSE)</f>
      </c>
      <c r="AG80" s="201">
        <f>IF($C80,IF($AV80&lt;&gt;$AR80,$AW80,""),"")</f>
      </c>
      <c r="AH80" s="202">
        <f>IF($C80,'Backlog General'!$L80,"")</f>
      </c>
      <c r="AI80" s="201">
        <f>IF($C80,$AV80*100000+ROW(),"")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c r="AO80" s="202">
        <f>IF($C80,IFERROR(VLOOKUP($D80,'Sprints'!$G$5:$H$12,2,FALSE),"Semanal"),"")</f>
      </c>
      <c r="AP80" s="201">
        <f>IF($C80,IF($AO80="Semanal",'Sprints'!$D$5,IF($AO80="Quincenal",'Sprints'!$D$6,'Sprints'!$D$7)),"")</f>
      </c>
      <c r="AQ80" s="201">
        <f>IF($C80,IF($AO80="Semanal",'Sprints'!$C$5,IF($AO80="Quincenal",'Sprints'!$C$6,'Sprints'!$C$7)),"")</f>
      </c>
      <c r="AR80" s="201">
        <f>IF($C80,MAX(1,INT(($H80-$AQ80)/$AP80)+1),"")</f>
      </c>
      <c r="AS80" s="201">
        <f>IF($C80,IF($AO80="Semanal",'Sprints'!$E$5,IF($AO80="Quincenal",'Sprints'!$E$6,'Sprints'!$E$7)),"")</f>
      </c>
      <c r="AT80" s="202">
        <f>IF($C80,'Backlog General'!$G80,"")</f>
      </c>
      <c r="AU80" s="202">
        <f>IF($C80,'Backlog General'!$H80,"")</f>
      </c>
      <c r="AV80" s="201">
        <f>IF($C80,IF(OR($AT80="Completo",$AU80="Cancelado",$AU80="Baja prioridad"),$AR80,IF($AU80="Pasa al siguiente",MAX($AR80+1,$AS80),MAX($AR80,$AS80))),"")</f>
      </c>
      <c r="AW80" s="201">
        <f>IF($C80,$AQ80+$AR80*$AP80-1,"")</f>
      </c>
      <c r="AX80" s="201">
        <f>IF($C80,IF(OR($AT80="Completo",$AU80="Cancelado",$AU80="Baja prioridad"),0,MAX(0,TODAY()-$AW80)),"")</f>
      </c>
      <c r="AY80" s="202">
        <f>IF($C80,IF($AT80="Completo","Completo",IF($AU80="Cancelado","Cancelado",IF($AU80="Baja prioridad","Baja prioridad",IF($AX80&gt;0,"Vencida","Pendiente")))),"")</f>
      </c>
      <c r="AZ80" s="202">
        <f>IF($C80,$AO80&amp;" · S"&amp;$AV80,"")</f>
      </c>
      <c r="BA80" s="201">
        <f>IF($C80,IF(AND(ISNUMBER('Backlog General'!$M80),'Backlog General'!$M80=$AS80),"Nuevo S"&amp;'Backlog General'!$M80,""),"")</f>
      </c>
      <c r="BB80" s="201">
        <f>IF(AND($C80,$AO80="Semanal"),$AV80*100000+ROW(),"")</f>
      </c>
      <c r="BC80" s="201">
        <f>IF(AND($C80,$AO80="Quincenal"),$AV80*100000+ROW(),"")</f>
      </c>
      <c r="BD80" s="201">
        <f>IF(AND($C80,$AO80="Mensual"),$AV80*100000+ROW(),"")</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IF($C81,$AV81,"")</f>
      </c>
      <c r="AE81" s="201">
        <f>IF($C81,$AZ81,"")</f>
      </c>
      <c r="AF81" s="201">
        <f>IF($C81,$AV81&lt;&gt;$AR81,FALSE)</f>
      </c>
      <c r="AG81" s="201">
        <f>IF($C81,IF($AV81&lt;&gt;$AR81,$AW81,""),"")</f>
      </c>
      <c r="AH81" s="202">
        <f>IF($C81,'Backlog General'!$L81,"")</f>
      </c>
      <c r="AI81" s="201">
        <f>IF($C81,$AV81*100000+ROW(),"")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c r="AO81" s="202">
        <f>IF($C81,IFERROR(VLOOKUP($D81,'Sprints'!$G$5:$H$12,2,FALSE),"Semanal"),"")</f>
      </c>
      <c r="AP81" s="201">
        <f>IF($C81,IF($AO81="Semanal",'Sprints'!$D$5,IF($AO81="Quincenal",'Sprints'!$D$6,'Sprints'!$D$7)),"")</f>
      </c>
      <c r="AQ81" s="201">
        <f>IF($C81,IF($AO81="Semanal",'Sprints'!$C$5,IF($AO81="Quincenal",'Sprints'!$C$6,'Sprints'!$C$7)),"")</f>
      </c>
      <c r="AR81" s="201">
        <f>IF($C81,MAX(1,INT(($H81-$AQ81)/$AP81)+1),"")</f>
      </c>
      <c r="AS81" s="201">
        <f>IF($C81,IF($AO81="Semanal",'Sprints'!$E$5,IF($AO81="Quincenal",'Sprints'!$E$6,'Sprints'!$E$7)),"")</f>
      </c>
      <c r="AT81" s="202">
        <f>IF($C81,'Backlog General'!$G81,"")</f>
      </c>
      <c r="AU81" s="202">
        <f>IF($C81,'Backlog General'!$H81,"")</f>
      </c>
      <c r="AV81" s="201">
        <f>IF($C81,IF(OR($AT81="Completo",$AU81="Cancelado",$AU81="Baja prioridad"),$AR81,IF($AU81="Pasa al siguiente",MAX($AR81+1,$AS81),MAX($AR81,$AS81))),"")</f>
      </c>
      <c r="AW81" s="201">
        <f>IF($C81,$AQ81+$AR81*$AP81-1,"")</f>
      </c>
      <c r="AX81" s="201">
        <f>IF($C81,IF(OR($AT81="Completo",$AU81="Cancelado",$AU81="Baja prioridad"),0,MAX(0,TODAY()-$AW81)),"")</f>
      </c>
      <c r="AY81" s="202">
        <f>IF($C81,IF($AT81="Completo","Completo",IF($AU81="Cancelado","Cancelado",IF($AU81="Baja prioridad","Baja prioridad",IF($AX81&gt;0,"Vencida","Pendiente")))),"")</f>
      </c>
      <c r="AZ81" s="202">
        <f>IF($C81,$AO81&amp;" · S"&amp;$AV81,"")</f>
      </c>
      <c r="BA81" s="201">
        <f>IF($C81,IF(AND(ISNUMBER('Backlog General'!$M81),'Backlog General'!$M81=$AS81),"Nuevo S"&amp;'Backlog General'!$M81,""),"")</f>
      </c>
      <c r="BB81" s="201">
        <f>IF(AND($C81,$AO81="Semanal"),$AV81*100000+ROW(),"")</f>
      </c>
      <c r="BC81" s="201">
        <f>IF(AND($C81,$AO81="Quincenal"),$AV81*100000+ROW(),"")</f>
      </c>
      <c r="BD81" s="201">
        <f>IF(AND($C81,$AO81="Mensual"),$AV81*100000+ROW(),"")</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IF($C82,$AV82,"")</f>
      </c>
      <c r="AE82" s="201">
        <f>IF($C82,$AZ82,"")</f>
      </c>
      <c r="AF82" s="201">
        <f>IF($C82,$AV82&lt;&gt;$AR82,FALSE)</f>
      </c>
      <c r="AG82" s="201">
        <f>IF($C82,IF($AV82&lt;&gt;$AR82,$AW82,""),"")</f>
      </c>
      <c r="AH82" s="202">
        <f>IF($C82,'Backlog General'!$L82,"")</f>
      </c>
      <c r="AI82" s="201">
        <f>IF($C82,$AV82*100000+ROW(),"")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c r="AO82" s="202">
        <f>IF($C82,IFERROR(VLOOKUP($D82,'Sprints'!$G$5:$H$12,2,FALSE),"Semanal"),"")</f>
      </c>
      <c r="AP82" s="201">
        <f>IF($C82,IF($AO82="Semanal",'Sprints'!$D$5,IF($AO82="Quincenal",'Sprints'!$D$6,'Sprints'!$D$7)),"")</f>
      </c>
      <c r="AQ82" s="201">
        <f>IF($C82,IF($AO82="Semanal",'Sprints'!$C$5,IF($AO82="Quincenal",'Sprints'!$C$6,'Sprints'!$C$7)),"")</f>
      </c>
      <c r="AR82" s="201">
        <f>IF($C82,MAX(1,INT(($H82-$AQ82)/$AP82)+1),"")</f>
      </c>
      <c r="AS82" s="201">
        <f>IF($C82,IF($AO82="Semanal",'Sprints'!$E$5,IF($AO82="Quincenal",'Sprints'!$E$6,'Sprints'!$E$7)),"")</f>
      </c>
      <c r="AT82" s="202">
        <f>IF($C82,'Backlog General'!$G82,"")</f>
      </c>
      <c r="AU82" s="202">
        <f>IF($C82,'Backlog General'!$H82,"")</f>
      </c>
      <c r="AV82" s="201">
        <f>IF($C82,IF(OR($AT82="Completo",$AU82="Cancelado",$AU82="Baja prioridad"),$AR82,IF($AU82="Pasa al siguiente",MAX($AR82+1,$AS82),MAX($AR82,$AS82))),"")</f>
      </c>
      <c r="AW82" s="201">
        <f>IF($C82,$AQ82+$AR82*$AP82-1,"")</f>
      </c>
      <c r="AX82" s="201">
        <f>IF($C82,IF(OR($AT82="Completo",$AU82="Cancelado",$AU82="Baja prioridad"),0,MAX(0,TODAY()-$AW82)),"")</f>
      </c>
      <c r="AY82" s="202">
        <f>IF($C82,IF($AT82="Completo","Completo",IF($AU82="Cancelado","Cancelado",IF($AU82="Baja prioridad","Baja prioridad",IF($AX82&gt;0,"Vencida","Pendiente")))),"")</f>
      </c>
      <c r="AZ82" s="202">
        <f>IF($C82,$AO82&amp;" · S"&amp;$AV82,"")</f>
      </c>
      <c r="BA82" s="201">
        <f>IF($C82,IF(AND(ISNUMBER('Backlog General'!$M82),'Backlog General'!$M82=$AS82),"Nuevo S"&amp;'Backlog General'!$M82,""),"")</f>
      </c>
      <c r="BB82" s="201">
        <f>IF(AND($C82,$AO82="Semanal"),$AV82*100000+ROW(),"")</f>
      </c>
      <c r="BC82" s="201">
        <f>IF(AND($C82,$AO82="Quincenal"),$AV82*100000+ROW(),"")</f>
      </c>
      <c r="BD82" s="201">
        <f>IF(AND($C82,$AO82="Mensual"),$AV82*100000+ROW(),"")</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IF($C83,$AV83,"")</f>
      </c>
      <c r="AE83" s="201">
        <f>IF($C83,$AZ83,"")</f>
      </c>
      <c r="AF83" s="201">
        <f>IF($C83,$AV83&lt;&gt;$AR83,FALSE)</f>
      </c>
      <c r="AG83" s="201">
        <f>IF($C83,IF($AV83&lt;&gt;$AR83,$AW83,""),"")</f>
      </c>
      <c r="AH83" s="202">
        <f>IF($C83,'Backlog General'!$L83,"")</f>
      </c>
      <c r="AI83" s="201">
        <f>IF($C83,$AV83*100000+ROW(),"")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c r="AO83" s="202">
        <f>IF($C83,IFERROR(VLOOKUP($D83,'Sprints'!$G$5:$H$12,2,FALSE),"Semanal"),"")</f>
      </c>
      <c r="AP83" s="201">
        <f>IF($C83,IF($AO83="Semanal",'Sprints'!$D$5,IF($AO83="Quincenal",'Sprints'!$D$6,'Sprints'!$D$7)),"")</f>
      </c>
      <c r="AQ83" s="201">
        <f>IF($C83,IF($AO83="Semanal",'Sprints'!$C$5,IF($AO83="Quincenal",'Sprints'!$C$6,'Sprints'!$C$7)),"")</f>
      </c>
      <c r="AR83" s="201">
        <f>IF($C83,MAX(1,INT(($H83-$AQ83)/$AP83)+1),"")</f>
      </c>
      <c r="AS83" s="201">
        <f>IF($C83,IF($AO83="Semanal",'Sprints'!$E$5,IF($AO83="Quincenal",'Sprints'!$E$6,'Sprints'!$E$7)),"")</f>
      </c>
      <c r="AT83" s="202">
        <f>IF($C83,'Backlog General'!$G83,"")</f>
      </c>
      <c r="AU83" s="202">
        <f>IF($C83,'Backlog General'!$H83,"")</f>
      </c>
      <c r="AV83" s="201">
        <f>IF($C83,IF(OR($AT83="Completo",$AU83="Cancelado",$AU83="Baja prioridad"),$AR83,IF($AU83="Pasa al siguiente",MAX($AR83+1,$AS83),MAX($AR83,$AS83))),"")</f>
      </c>
      <c r="AW83" s="201">
        <f>IF($C83,$AQ83+$AR83*$AP83-1,"")</f>
      </c>
      <c r="AX83" s="201">
        <f>IF($C83,IF(OR($AT83="Completo",$AU83="Cancelado",$AU83="Baja prioridad"),0,MAX(0,TODAY()-$AW83)),"")</f>
      </c>
      <c r="AY83" s="202">
        <f>IF($C83,IF($AT83="Completo","Completo",IF($AU83="Cancelado","Cancelado",IF($AU83="Baja prioridad","Baja prioridad",IF($AX83&gt;0,"Vencida","Pendiente")))),"")</f>
      </c>
      <c r="AZ83" s="202">
        <f>IF($C83,$AO83&amp;" · S"&amp;$AV83,"")</f>
      </c>
      <c r="BA83" s="201">
        <f>IF($C83,IF(AND(ISNUMBER('Backlog General'!$M83),'Backlog General'!$M83=$AS83),"Nuevo S"&amp;'Backlog General'!$M83,""),"")</f>
      </c>
      <c r="BB83" s="201">
        <f>IF(AND($C83,$AO83="Semanal"),$AV83*100000+ROW(),"")</f>
      </c>
      <c r="BC83" s="201">
        <f>IF(AND($C83,$AO83="Quincenal"),$AV83*100000+ROW(),"")</f>
      </c>
      <c r="BD83" s="201">
        <f>IF(AND($C83,$AO83="Mensual"),$AV83*100000+ROW(),"")</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IF($C84,$AV84,"")</f>
      </c>
      <c r="AE84" s="201">
        <f>IF($C84,$AZ84,"")</f>
      </c>
      <c r="AF84" s="201">
        <f>IF($C84,$AV84&lt;&gt;$AR84,FALSE)</f>
      </c>
      <c r="AG84" s="201">
        <f>IF($C84,IF($AV84&lt;&gt;$AR84,$AW84,""),"")</f>
      </c>
      <c r="AH84" s="202">
        <f>IF($C84,'Backlog General'!$L84,"")</f>
      </c>
      <c r="AI84" s="201">
        <f>IF($C84,$AV84*100000+ROW(),"")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c r="AO84" s="202">
        <f>IF($C84,IFERROR(VLOOKUP($D84,'Sprints'!$G$5:$H$12,2,FALSE),"Semanal"),"")</f>
      </c>
      <c r="AP84" s="201">
        <f>IF($C84,IF($AO84="Semanal",'Sprints'!$D$5,IF($AO84="Quincenal",'Sprints'!$D$6,'Sprints'!$D$7)),"")</f>
      </c>
      <c r="AQ84" s="201">
        <f>IF($C84,IF($AO84="Semanal",'Sprints'!$C$5,IF($AO84="Quincenal",'Sprints'!$C$6,'Sprints'!$C$7)),"")</f>
      </c>
      <c r="AR84" s="201">
        <f>IF($C84,MAX(1,INT(($H84-$AQ84)/$AP84)+1),"")</f>
      </c>
      <c r="AS84" s="201">
        <f>IF($C84,IF($AO84="Semanal",'Sprints'!$E$5,IF($AO84="Quincenal",'Sprints'!$E$6,'Sprints'!$E$7)),"")</f>
      </c>
      <c r="AT84" s="202">
        <f>IF($C84,'Backlog General'!$G84,"")</f>
      </c>
      <c r="AU84" s="202">
        <f>IF($C84,'Backlog General'!$H84,"")</f>
      </c>
      <c r="AV84" s="201">
        <f>IF($C84,IF(OR($AT84="Completo",$AU84="Cancelado",$AU84="Baja prioridad"),$AR84,IF($AU84="Pasa al siguiente",MAX($AR84+1,$AS84),MAX($AR84,$AS84))),"")</f>
      </c>
      <c r="AW84" s="201">
        <f>IF($C84,$AQ84+$AR84*$AP84-1,"")</f>
      </c>
      <c r="AX84" s="201">
        <f>IF($C84,IF(OR($AT84="Completo",$AU84="Cancelado",$AU84="Baja prioridad"),0,MAX(0,TODAY()-$AW84)),"")</f>
      </c>
      <c r="AY84" s="202">
        <f>IF($C84,IF($AT84="Completo","Completo",IF($AU84="Cancelado","Cancelado",IF($AU84="Baja prioridad","Baja prioridad",IF($AX84&gt;0,"Vencida","Pendiente")))),"")</f>
      </c>
      <c r="AZ84" s="202">
        <f>IF($C84,$AO84&amp;" · S"&amp;$AV84,"")</f>
      </c>
      <c r="BA84" s="201">
        <f>IF($C84,IF(AND(ISNUMBER('Backlog General'!$M84),'Backlog General'!$M84=$AS84),"Nuevo S"&amp;'Backlog General'!$M84,""),"")</f>
      </c>
      <c r="BB84" s="201">
        <f>IF(AND($C84,$AO84="Semanal"),$AV84*100000+ROW(),"")</f>
      </c>
      <c r="BC84" s="201">
        <f>IF(AND($C84,$AO84="Quincenal"),$AV84*100000+ROW(),"")</f>
      </c>
      <c r="BD84" s="201">
        <f>IF(AND($C84,$AO84="Mensual"),$AV84*100000+ROW(),"")</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IF($C85,$AV85,"")</f>
      </c>
      <c r="AE85" s="201">
        <f>IF($C85,$AZ85,"")</f>
      </c>
      <c r="AF85" s="201">
        <f>IF($C85,$AV85&lt;&gt;$AR85,FALSE)</f>
      </c>
      <c r="AG85" s="201">
        <f>IF($C85,IF($AV85&lt;&gt;$AR85,$AW85,""),"")</f>
      </c>
      <c r="AH85" s="202">
        <f>IF($C85,'Backlog General'!$L85,"")</f>
      </c>
      <c r="AI85" s="201">
        <f>IF($C85,$AV85*100000+ROW(),"")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c r="AO85" s="202">
        <f>IF($C85,IFERROR(VLOOKUP($D85,'Sprints'!$G$5:$H$12,2,FALSE),"Semanal"),"")</f>
      </c>
      <c r="AP85" s="201">
        <f>IF($C85,IF($AO85="Semanal",'Sprints'!$D$5,IF($AO85="Quincenal",'Sprints'!$D$6,'Sprints'!$D$7)),"")</f>
      </c>
      <c r="AQ85" s="201">
        <f>IF($C85,IF($AO85="Semanal",'Sprints'!$C$5,IF($AO85="Quincenal",'Sprints'!$C$6,'Sprints'!$C$7)),"")</f>
      </c>
      <c r="AR85" s="201">
        <f>IF($C85,MAX(1,INT(($H85-$AQ85)/$AP85)+1),"")</f>
      </c>
      <c r="AS85" s="201">
        <f>IF($C85,IF($AO85="Semanal",'Sprints'!$E$5,IF($AO85="Quincenal",'Sprints'!$E$6,'Sprints'!$E$7)),"")</f>
      </c>
      <c r="AT85" s="202">
        <f>IF($C85,'Backlog General'!$G85,"")</f>
      </c>
      <c r="AU85" s="202">
        <f>IF($C85,'Backlog General'!$H85,"")</f>
      </c>
      <c r="AV85" s="201">
        <f>IF($C85,IF(OR($AT85="Completo",$AU85="Cancelado",$AU85="Baja prioridad"),$AR85,IF($AU85="Pasa al siguiente",MAX($AR85+1,$AS85),MAX($AR85,$AS85))),"")</f>
      </c>
      <c r="AW85" s="201">
        <f>IF($C85,$AQ85+$AR85*$AP85-1,"")</f>
      </c>
      <c r="AX85" s="201">
        <f>IF($C85,IF(OR($AT85="Completo",$AU85="Cancelado",$AU85="Baja prioridad"),0,MAX(0,TODAY()-$AW85)),"")</f>
      </c>
      <c r="AY85" s="202">
        <f>IF($C85,IF($AT85="Completo","Completo",IF($AU85="Cancelado","Cancelado",IF($AU85="Baja prioridad","Baja prioridad",IF($AX85&gt;0,"Vencida","Pendiente")))),"")</f>
      </c>
      <c r="AZ85" s="202">
        <f>IF($C85,$AO85&amp;" · S"&amp;$AV85,"")</f>
      </c>
      <c r="BA85" s="201">
        <f>IF($C85,IF(AND(ISNUMBER('Backlog General'!$M85),'Backlog General'!$M85=$AS85),"Nuevo S"&amp;'Backlog General'!$M85,""),"")</f>
      </c>
      <c r="BB85" s="201">
        <f>IF(AND($C85,$AO85="Semanal"),$AV85*100000+ROW(),"")</f>
      </c>
      <c r="BC85" s="201">
        <f>IF(AND($C85,$AO85="Quincenal"),$AV85*100000+ROW(),"")</f>
      </c>
      <c r="BD85" s="201">
        <f>IF(AND($C85,$AO85="Mensual"),$AV85*100000+ROW(),"")</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IF($C86,$AV86,"")</f>
      </c>
      <c r="AE86" s="201">
        <f>IF($C86,$AZ86,"")</f>
      </c>
      <c r="AF86" s="201">
        <f>IF($C86,$AV86&lt;&gt;$AR86,FALSE)</f>
      </c>
      <c r="AG86" s="201">
        <f>IF($C86,IF($AV86&lt;&gt;$AR86,$AW86,""),"")</f>
      </c>
      <c r="AH86" s="202">
        <f>IF($C86,'Backlog General'!$L86,"")</f>
      </c>
      <c r="AI86" s="201">
        <f>IF($C86,$AV86*100000+ROW(),"")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c r="AO86" s="202">
        <f>IF($C86,IFERROR(VLOOKUP($D86,'Sprints'!$G$5:$H$12,2,FALSE),"Semanal"),"")</f>
      </c>
      <c r="AP86" s="201">
        <f>IF($C86,IF($AO86="Semanal",'Sprints'!$D$5,IF($AO86="Quincenal",'Sprints'!$D$6,'Sprints'!$D$7)),"")</f>
      </c>
      <c r="AQ86" s="201">
        <f>IF($C86,IF($AO86="Semanal",'Sprints'!$C$5,IF($AO86="Quincenal",'Sprints'!$C$6,'Sprints'!$C$7)),"")</f>
      </c>
      <c r="AR86" s="201">
        <f>IF($C86,MAX(1,INT(($H86-$AQ86)/$AP86)+1),"")</f>
      </c>
      <c r="AS86" s="201">
        <f>IF($C86,IF($AO86="Semanal",'Sprints'!$E$5,IF($AO86="Quincenal",'Sprints'!$E$6,'Sprints'!$E$7)),"")</f>
      </c>
      <c r="AT86" s="202">
        <f>IF($C86,'Backlog General'!$G86,"")</f>
      </c>
      <c r="AU86" s="202">
        <f>IF($C86,'Backlog General'!$H86,"")</f>
      </c>
      <c r="AV86" s="201">
        <f>IF($C86,IF(OR($AT86="Completo",$AU86="Cancelado",$AU86="Baja prioridad"),$AR86,IF($AU86="Pasa al siguiente",MAX($AR86+1,$AS86),MAX($AR86,$AS86))),"")</f>
      </c>
      <c r="AW86" s="201">
        <f>IF($C86,$AQ86+$AR86*$AP86-1,"")</f>
      </c>
      <c r="AX86" s="201">
        <f>IF($C86,IF(OR($AT86="Completo",$AU86="Cancelado",$AU86="Baja prioridad"),0,MAX(0,TODAY()-$AW86)),"")</f>
      </c>
      <c r="AY86" s="202">
        <f>IF($C86,IF($AT86="Completo","Completo",IF($AU86="Cancelado","Cancelado",IF($AU86="Baja prioridad","Baja prioridad",IF($AX86&gt;0,"Vencida","Pendiente")))),"")</f>
      </c>
      <c r="AZ86" s="202">
        <f>IF($C86,$AO86&amp;" · S"&amp;$AV86,"")</f>
      </c>
      <c r="BA86" s="201">
        <f>IF($C86,IF(AND(ISNUMBER('Backlog General'!$M86),'Backlog General'!$M86=$AS86),"Nuevo S"&amp;'Backlog General'!$M86,""),"")</f>
      </c>
      <c r="BB86" s="201">
        <f>IF(AND($C86,$AO86="Semanal"),$AV86*100000+ROW(),"")</f>
      </c>
      <c r="BC86" s="201">
        <f>IF(AND($C86,$AO86="Quincenal"),$AV86*100000+ROW(),"")</f>
      </c>
      <c r="BD86" s="201">
        <f>IF(AND($C86,$AO86="Mensual"),$AV86*100000+ROW(),"")</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IF($C87,$AV87,"")</f>
      </c>
      <c r="AE87" s="201">
        <f>IF($C87,$AZ87,"")</f>
      </c>
      <c r="AF87" s="201">
        <f>IF($C87,$AV87&lt;&gt;$AR87,FALSE)</f>
      </c>
      <c r="AG87" s="201">
        <f>IF($C87,IF($AV87&lt;&gt;$AR87,$AW87,""),"")</f>
      </c>
      <c r="AH87" s="202">
        <f>IF($C87,'Backlog General'!$L87,"")</f>
      </c>
      <c r="AI87" s="201">
        <f>IF($C87,$AV87*100000+ROW(),"")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c r="AO87" s="202">
        <f>IF($C87,IFERROR(VLOOKUP($D87,'Sprints'!$G$5:$H$12,2,FALSE),"Semanal"),"")</f>
      </c>
      <c r="AP87" s="201">
        <f>IF($C87,IF($AO87="Semanal",'Sprints'!$D$5,IF($AO87="Quincenal",'Sprints'!$D$6,'Sprints'!$D$7)),"")</f>
      </c>
      <c r="AQ87" s="201">
        <f>IF($C87,IF($AO87="Semanal",'Sprints'!$C$5,IF($AO87="Quincenal",'Sprints'!$C$6,'Sprints'!$C$7)),"")</f>
      </c>
      <c r="AR87" s="201">
        <f>IF($C87,MAX(1,INT(($H87-$AQ87)/$AP87)+1),"")</f>
      </c>
      <c r="AS87" s="201">
        <f>IF($C87,IF($AO87="Semanal",'Sprints'!$E$5,IF($AO87="Quincenal",'Sprints'!$E$6,'Sprints'!$E$7)),"")</f>
      </c>
      <c r="AT87" s="202">
        <f>IF($C87,'Backlog General'!$G87,"")</f>
      </c>
      <c r="AU87" s="202">
        <f>IF($C87,'Backlog General'!$H87,"")</f>
      </c>
      <c r="AV87" s="201">
        <f>IF($C87,IF(OR($AT87="Completo",$AU87="Cancelado",$AU87="Baja prioridad"),$AR87,IF($AU87="Pasa al siguiente",MAX($AR87+1,$AS87),MAX($AR87,$AS87))),"")</f>
      </c>
      <c r="AW87" s="201">
        <f>IF($C87,$AQ87+$AR87*$AP87-1,"")</f>
      </c>
      <c r="AX87" s="201">
        <f>IF($C87,IF(OR($AT87="Completo",$AU87="Cancelado",$AU87="Baja prioridad"),0,MAX(0,TODAY()-$AW87)),"")</f>
      </c>
      <c r="AY87" s="202">
        <f>IF($C87,IF($AT87="Completo","Completo",IF($AU87="Cancelado","Cancelado",IF($AU87="Baja prioridad","Baja prioridad",IF($AX87&gt;0,"Vencida","Pendiente")))),"")</f>
      </c>
      <c r="AZ87" s="202">
        <f>IF($C87,$AO87&amp;" · S"&amp;$AV87,"")</f>
      </c>
      <c r="BA87" s="201">
        <f>IF($C87,IF(AND(ISNUMBER('Backlog General'!$M87),'Backlog General'!$M87=$AS87),"Nuevo S"&amp;'Backlog General'!$M87,""),"")</f>
      </c>
      <c r="BB87" s="201">
        <f>IF(AND($C87,$AO87="Semanal"),$AV87*100000+ROW(),"")</f>
      </c>
      <c r="BC87" s="201">
        <f>IF(AND($C87,$AO87="Quincenal"),$AV87*100000+ROW(),"")</f>
      </c>
      <c r="BD87" s="201">
        <f>IF(AND($C87,$AO87="Mensual"),$AV87*100000+ROW(),"")</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IF($C88,$AV88,"")</f>
      </c>
      <c r="AE88" s="201">
        <f>IF($C88,$AZ88,"")</f>
      </c>
      <c r="AF88" s="201">
        <f>IF($C88,$AV88&lt;&gt;$AR88,FALSE)</f>
      </c>
      <c r="AG88" s="201">
        <f>IF($C88,IF($AV88&lt;&gt;$AR88,$AW88,""),"")</f>
      </c>
      <c r="AH88" s="202">
        <f>IF($C88,'Backlog General'!$L88,"")</f>
      </c>
      <c r="AI88" s="201">
        <f>IF($C88,$AV88*100000+ROW(),"")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c r="AO88" s="202">
        <f>IF($C88,IFERROR(VLOOKUP($D88,'Sprints'!$G$5:$H$12,2,FALSE),"Semanal"),"")</f>
      </c>
      <c r="AP88" s="201">
        <f>IF($C88,IF($AO88="Semanal",'Sprints'!$D$5,IF($AO88="Quincenal",'Sprints'!$D$6,'Sprints'!$D$7)),"")</f>
      </c>
      <c r="AQ88" s="201">
        <f>IF($C88,IF($AO88="Semanal",'Sprints'!$C$5,IF($AO88="Quincenal",'Sprints'!$C$6,'Sprints'!$C$7)),"")</f>
      </c>
      <c r="AR88" s="201">
        <f>IF($C88,MAX(1,INT(($H88-$AQ88)/$AP88)+1),"")</f>
      </c>
      <c r="AS88" s="201">
        <f>IF($C88,IF($AO88="Semanal",'Sprints'!$E$5,IF($AO88="Quincenal",'Sprints'!$E$6,'Sprints'!$E$7)),"")</f>
      </c>
      <c r="AT88" s="202">
        <f>IF($C88,'Backlog General'!$G88,"")</f>
      </c>
      <c r="AU88" s="202">
        <f>IF($C88,'Backlog General'!$H88,"")</f>
      </c>
      <c r="AV88" s="201">
        <f>IF($C88,IF(OR($AT88="Completo",$AU88="Cancelado",$AU88="Baja prioridad"),$AR88,IF($AU88="Pasa al siguiente",MAX($AR88+1,$AS88),MAX($AR88,$AS88))),"")</f>
      </c>
      <c r="AW88" s="201">
        <f>IF($C88,$AQ88+$AR88*$AP88-1,"")</f>
      </c>
      <c r="AX88" s="201">
        <f>IF($C88,IF(OR($AT88="Completo",$AU88="Cancelado",$AU88="Baja prioridad"),0,MAX(0,TODAY()-$AW88)),"")</f>
      </c>
      <c r="AY88" s="202">
        <f>IF($C88,IF($AT88="Completo","Completo",IF($AU88="Cancelado","Cancelado",IF($AU88="Baja prioridad","Baja prioridad",IF($AX88&gt;0,"Vencida","Pendiente")))),"")</f>
      </c>
      <c r="AZ88" s="202">
        <f>IF($C88,$AO88&amp;" · S"&amp;$AV88,"")</f>
      </c>
      <c r="BA88" s="201">
        <f>IF($C88,IF(AND(ISNUMBER('Backlog General'!$M88),'Backlog General'!$M88=$AS88),"Nuevo S"&amp;'Backlog General'!$M88,""),"")</f>
      </c>
      <c r="BB88" s="201">
        <f>IF(AND($C88,$AO88="Semanal"),$AV88*100000+ROW(),"")</f>
      </c>
      <c r="BC88" s="201">
        <f>IF(AND($C88,$AO88="Quincenal"),$AV88*100000+ROW(),"")</f>
      </c>
      <c r="BD88" s="201">
        <f>IF(AND($C88,$AO88="Mensual"),$AV88*100000+ROW(),"")</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IF($C89,$AV89,"")</f>
      </c>
      <c r="AE89" s="201">
        <f>IF($C89,$AZ89,"")</f>
      </c>
      <c r="AF89" s="201">
        <f>IF($C89,$AV89&lt;&gt;$AR89,FALSE)</f>
      </c>
      <c r="AG89" s="201">
        <f>IF($C89,IF($AV89&lt;&gt;$AR89,$AW89,""),"")</f>
      </c>
      <c r="AH89" s="202">
        <f>IF($C89,'Backlog General'!$L89,"")</f>
      </c>
      <c r="AI89" s="201">
        <f>IF($C89,$AV89*100000+ROW(),"")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c r="AO89" s="202">
        <f>IF($C89,IFERROR(VLOOKUP($D89,'Sprints'!$G$5:$H$12,2,FALSE),"Semanal"),"")</f>
      </c>
      <c r="AP89" s="201">
        <f>IF($C89,IF($AO89="Semanal",'Sprints'!$D$5,IF($AO89="Quincenal",'Sprints'!$D$6,'Sprints'!$D$7)),"")</f>
      </c>
      <c r="AQ89" s="201">
        <f>IF($C89,IF($AO89="Semanal",'Sprints'!$C$5,IF($AO89="Quincenal",'Sprints'!$C$6,'Sprints'!$C$7)),"")</f>
      </c>
      <c r="AR89" s="201">
        <f>IF($C89,MAX(1,INT(($H89-$AQ89)/$AP89)+1),"")</f>
      </c>
      <c r="AS89" s="201">
        <f>IF($C89,IF($AO89="Semanal",'Sprints'!$E$5,IF($AO89="Quincenal",'Sprints'!$E$6,'Sprints'!$E$7)),"")</f>
      </c>
      <c r="AT89" s="202">
        <f>IF($C89,'Backlog General'!$G89,"")</f>
      </c>
      <c r="AU89" s="202">
        <f>IF($C89,'Backlog General'!$H89,"")</f>
      </c>
      <c r="AV89" s="201">
        <f>IF($C89,IF(OR($AT89="Completo",$AU89="Cancelado",$AU89="Baja prioridad"),$AR89,IF($AU89="Pasa al siguiente",MAX($AR89+1,$AS89),MAX($AR89,$AS89))),"")</f>
      </c>
      <c r="AW89" s="201">
        <f>IF($C89,$AQ89+$AR89*$AP89-1,"")</f>
      </c>
      <c r="AX89" s="201">
        <f>IF($C89,IF(OR($AT89="Completo",$AU89="Cancelado",$AU89="Baja prioridad"),0,MAX(0,TODAY()-$AW89)),"")</f>
      </c>
      <c r="AY89" s="202">
        <f>IF($C89,IF($AT89="Completo","Completo",IF($AU89="Cancelado","Cancelado",IF($AU89="Baja prioridad","Baja prioridad",IF($AX89&gt;0,"Vencida","Pendiente")))),"")</f>
      </c>
      <c r="AZ89" s="202">
        <f>IF($C89,$AO89&amp;" · S"&amp;$AV89,"")</f>
      </c>
      <c r="BA89" s="201">
        <f>IF($C89,IF(AND(ISNUMBER('Backlog General'!$M89),'Backlog General'!$M89=$AS89),"Nuevo S"&amp;'Backlog General'!$M89,""),"")</f>
      </c>
      <c r="BB89" s="201">
        <f>IF(AND($C89,$AO89="Semanal"),$AV89*100000+ROW(),"")</f>
      </c>
      <c r="BC89" s="201">
        <f>IF(AND($C89,$AO89="Quincenal"),$AV89*100000+ROW(),"")</f>
      </c>
      <c r="BD89" s="201">
        <f>IF(AND($C89,$AO89="Mensual"),$AV89*100000+ROW(),"")</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IF($C90,$AV90,"")</f>
      </c>
      <c r="AE90" s="201">
        <f>IF($C90,$AZ90,"")</f>
      </c>
      <c r="AF90" s="201">
        <f>IF($C90,$AV90&lt;&gt;$AR90,FALSE)</f>
      </c>
      <c r="AG90" s="201">
        <f>IF($C90,IF($AV90&lt;&gt;$AR90,$AW90,""),"")</f>
      </c>
      <c r="AH90" s="202">
        <f>IF($C90,'Backlog General'!$L90,"")</f>
      </c>
      <c r="AI90" s="201">
        <f>IF($C90,$AV90*100000+ROW(),"")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c r="AO90" s="202">
        <f>IF($C90,IFERROR(VLOOKUP($D90,'Sprints'!$G$5:$H$12,2,FALSE),"Semanal"),"")</f>
      </c>
      <c r="AP90" s="201">
        <f>IF($C90,IF($AO90="Semanal",'Sprints'!$D$5,IF($AO90="Quincenal",'Sprints'!$D$6,'Sprints'!$D$7)),"")</f>
      </c>
      <c r="AQ90" s="201">
        <f>IF($C90,IF($AO90="Semanal",'Sprints'!$C$5,IF($AO90="Quincenal",'Sprints'!$C$6,'Sprints'!$C$7)),"")</f>
      </c>
      <c r="AR90" s="201">
        <f>IF($C90,MAX(1,INT(($H90-$AQ90)/$AP90)+1),"")</f>
      </c>
      <c r="AS90" s="201">
        <f>IF($C90,IF($AO90="Semanal",'Sprints'!$E$5,IF($AO90="Quincenal",'Sprints'!$E$6,'Sprints'!$E$7)),"")</f>
      </c>
      <c r="AT90" s="202">
        <f>IF($C90,'Backlog General'!$G90,"")</f>
      </c>
      <c r="AU90" s="202">
        <f>IF($C90,'Backlog General'!$H90,"")</f>
      </c>
      <c r="AV90" s="201">
        <f>IF($C90,IF(OR($AT90="Completo",$AU90="Cancelado",$AU90="Baja prioridad"),$AR90,IF($AU90="Pasa al siguiente",MAX($AR90+1,$AS90),MAX($AR90,$AS90))),"")</f>
      </c>
      <c r="AW90" s="201">
        <f>IF($C90,$AQ90+$AR90*$AP90-1,"")</f>
      </c>
      <c r="AX90" s="201">
        <f>IF($C90,IF(OR($AT90="Completo",$AU90="Cancelado",$AU90="Baja prioridad"),0,MAX(0,TODAY()-$AW90)),"")</f>
      </c>
      <c r="AY90" s="202">
        <f>IF($C90,IF($AT90="Completo","Completo",IF($AU90="Cancelado","Cancelado",IF($AU90="Baja prioridad","Baja prioridad",IF($AX90&gt;0,"Vencida","Pendiente")))),"")</f>
      </c>
      <c r="AZ90" s="202">
        <f>IF($C90,$AO90&amp;" · S"&amp;$AV90,"")</f>
      </c>
      <c r="BA90" s="201">
        <f>IF($C90,IF(AND(ISNUMBER('Backlog General'!$M90),'Backlog General'!$M90=$AS90),"Nuevo S"&amp;'Backlog General'!$M90,""),"")</f>
      </c>
      <c r="BB90" s="201">
        <f>IF(AND($C90,$AO90="Semanal"),$AV90*100000+ROW(),"")</f>
      </c>
      <c r="BC90" s="201">
        <f>IF(AND($C90,$AO90="Quincenal"),$AV90*100000+ROW(),"")</f>
      </c>
      <c r="BD90" s="201">
        <f>IF(AND($C90,$AO90="Mensual"),$AV90*100000+ROW(),"")</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IF($C91,$AV91,"")</f>
      </c>
      <c r="AE91" s="201">
        <f>IF($C91,$AZ91,"")</f>
      </c>
      <c r="AF91" s="201">
        <f>IF($C91,$AV91&lt;&gt;$AR91,FALSE)</f>
      </c>
      <c r="AG91" s="201">
        <f>IF($C91,IF($AV91&lt;&gt;$AR91,$AW91,""),"")</f>
      </c>
      <c r="AH91" s="202">
        <f>IF($C91,'Backlog General'!$L91,"")</f>
      </c>
      <c r="AI91" s="201">
        <f>IF($C91,$AV91*100000+ROW(),"")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c r="AO91" s="202">
        <f>IF($C91,IFERROR(VLOOKUP($D91,'Sprints'!$G$5:$H$12,2,FALSE),"Semanal"),"")</f>
      </c>
      <c r="AP91" s="201">
        <f>IF($C91,IF($AO91="Semanal",'Sprints'!$D$5,IF($AO91="Quincenal",'Sprints'!$D$6,'Sprints'!$D$7)),"")</f>
      </c>
      <c r="AQ91" s="201">
        <f>IF($C91,IF($AO91="Semanal",'Sprints'!$C$5,IF($AO91="Quincenal",'Sprints'!$C$6,'Sprints'!$C$7)),"")</f>
      </c>
      <c r="AR91" s="201">
        <f>IF($C91,MAX(1,INT(($H91-$AQ91)/$AP91)+1),"")</f>
      </c>
      <c r="AS91" s="201">
        <f>IF($C91,IF($AO91="Semanal",'Sprints'!$E$5,IF($AO91="Quincenal",'Sprints'!$E$6,'Sprints'!$E$7)),"")</f>
      </c>
      <c r="AT91" s="202">
        <f>IF($C91,'Backlog General'!$G91,"")</f>
      </c>
      <c r="AU91" s="202">
        <f>IF($C91,'Backlog General'!$H91,"")</f>
      </c>
      <c r="AV91" s="201">
        <f>IF($C91,IF(OR($AT91="Completo",$AU91="Cancelado",$AU91="Baja prioridad"),$AR91,IF($AU91="Pasa al siguiente",MAX($AR91+1,$AS91),MAX($AR91,$AS91))),"")</f>
      </c>
      <c r="AW91" s="201">
        <f>IF($C91,$AQ91+$AR91*$AP91-1,"")</f>
      </c>
      <c r="AX91" s="201">
        <f>IF($C91,IF(OR($AT91="Completo",$AU91="Cancelado",$AU91="Baja prioridad"),0,MAX(0,TODAY()-$AW91)),"")</f>
      </c>
      <c r="AY91" s="202">
        <f>IF($C91,IF($AT91="Completo","Completo",IF($AU91="Cancelado","Cancelado",IF($AU91="Baja prioridad","Baja prioridad",IF($AX91&gt;0,"Vencida","Pendiente")))),"")</f>
      </c>
      <c r="AZ91" s="202">
        <f>IF($C91,$AO91&amp;" · S"&amp;$AV91,"")</f>
      </c>
      <c r="BA91" s="201">
        <f>IF($C91,IF(AND(ISNUMBER('Backlog General'!$M91),'Backlog General'!$M91=$AS91),"Nuevo S"&amp;'Backlog General'!$M91,""),"")</f>
      </c>
      <c r="BB91" s="201">
        <f>IF(AND($C91,$AO91="Semanal"),$AV91*100000+ROW(),"")</f>
      </c>
      <c r="BC91" s="201">
        <f>IF(AND($C91,$AO91="Quincenal"),$AV91*100000+ROW(),"")</f>
      </c>
      <c r="BD91" s="201">
        <f>IF(AND($C91,$AO91="Mensual"),$AV91*100000+ROW(),"")</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IF($C92,$AV92,"")</f>
      </c>
      <c r="AE92" s="201">
        <f>IF($C92,$AZ92,"")</f>
      </c>
      <c r="AF92" s="201">
        <f>IF($C92,$AV92&lt;&gt;$AR92,FALSE)</f>
      </c>
      <c r="AG92" s="201">
        <f>IF($C92,IF($AV92&lt;&gt;$AR92,$AW92,""),"")</f>
      </c>
      <c r="AH92" s="202">
        <f>IF($C92,'Backlog General'!$L92,"")</f>
      </c>
      <c r="AI92" s="201">
        <f>IF($C92,$AV92*100000+ROW(),"")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c r="AO92" s="202">
        <f>IF($C92,IFERROR(VLOOKUP($D92,'Sprints'!$G$5:$H$12,2,FALSE),"Semanal"),"")</f>
      </c>
      <c r="AP92" s="201">
        <f>IF($C92,IF($AO92="Semanal",'Sprints'!$D$5,IF($AO92="Quincenal",'Sprints'!$D$6,'Sprints'!$D$7)),"")</f>
      </c>
      <c r="AQ92" s="201">
        <f>IF($C92,IF($AO92="Semanal",'Sprints'!$C$5,IF($AO92="Quincenal",'Sprints'!$C$6,'Sprints'!$C$7)),"")</f>
      </c>
      <c r="AR92" s="201">
        <f>IF($C92,MAX(1,INT(($H92-$AQ92)/$AP92)+1),"")</f>
      </c>
      <c r="AS92" s="201">
        <f>IF($C92,IF($AO92="Semanal",'Sprints'!$E$5,IF($AO92="Quincenal",'Sprints'!$E$6,'Sprints'!$E$7)),"")</f>
      </c>
      <c r="AT92" s="202">
        <f>IF($C92,'Backlog General'!$G92,"")</f>
      </c>
      <c r="AU92" s="202">
        <f>IF($C92,'Backlog General'!$H92,"")</f>
      </c>
      <c r="AV92" s="201">
        <f>IF($C92,IF(OR($AT92="Completo",$AU92="Cancelado",$AU92="Baja prioridad"),$AR92,IF($AU92="Pasa al siguiente",MAX($AR92+1,$AS92),MAX($AR92,$AS92))),"")</f>
      </c>
      <c r="AW92" s="201">
        <f>IF($C92,$AQ92+$AR92*$AP92-1,"")</f>
      </c>
      <c r="AX92" s="201">
        <f>IF($C92,IF(OR($AT92="Completo",$AU92="Cancelado",$AU92="Baja prioridad"),0,MAX(0,TODAY()-$AW92)),"")</f>
      </c>
      <c r="AY92" s="202">
        <f>IF($C92,IF($AT92="Completo","Completo",IF($AU92="Cancelado","Cancelado",IF($AU92="Baja prioridad","Baja prioridad",IF($AX92&gt;0,"Vencida","Pendiente")))),"")</f>
      </c>
      <c r="AZ92" s="202">
        <f>IF($C92,$AO92&amp;" · S"&amp;$AV92,"")</f>
      </c>
      <c r="BA92" s="201">
        <f>IF($C92,IF(AND(ISNUMBER('Backlog General'!$M92),'Backlog General'!$M92=$AS92),"Nuevo S"&amp;'Backlog General'!$M92,""),"")</f>
      </c>
      <c r="BB92" s="201">
        <f>IF(AND($C92,$AO92="Semanal"),$AV92*100000+ROW(),"")</f>
      </c>
      <c r="BC92" s="201">
        <f>IF(AND($C92,$AO92="Quincenal"),$AV92*100000+ROW(),"")</f>
      </c>
      <c r="BD92" s="201">
        <f>IF(AND($C92,$AO92="Mensual"),$AV92*100000+ROW(),"")</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IF($C93,$AV93,"")</f>
      </c>
      <c r="AE93" s="201">
        <f>IF($C93,$AZ93,"")</f>
      </c>
      <c r="AF93" s="201">
        <f>IF($C93,$AV93&lt;&gt;$AR93,FALSE)</f>
      </c>
      <c r="AG93" s="201">
        <f>IF($C93,IF($AV93&lt;&gt;$AR93,$AW93,""),"")</f>
      </c>
      <c r="AH93" s="202">
        <f>IF($C93,'Backlog General'!$L93,"")</f>
      </c>
      <c r="AI93" s="201">
        <f>IF($C93,$AV93*100000+ROW(),"")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c r="AO93" s="202">
        <f>IF($C93,IFERROR(VLOOKUP($D93,'Sprints'!$G$5:$H$12,2,FALSE),"Semanal"),"")</f>
      </c>
      <c r="AP93" s="201">
        <f>IF($C93,IF($AO93="Semanal",'Sprints'!$D$5,IF($AO93="Quincenal",'Sprints'!$D$6,'Sprints'!$D$7)),"")</f>
      </c>
      <c r="AQ93" s="201">
        <f>IF($C93,IF($AO93="Semanal",'Sprints'!$C$5,IF($AO93="Quincenal",'Sprints'!$C$6,'Sprints'!$C$7)),"")</f>
      </c>
      <c r="AR93" s="201">
        <f>IF($C93,MAX(1,INT(($H93-$AQ93)/$AP93)+1),"")</f>
      </c>
      <c r="AS93" s="201">
        <f>IF($C93,IF($AO93="Semanal",'Sprints'!$E$5,IF($AO93="Quincenal",'Sprints'!$E$6,'Sprints'!$E$7)),"")</f>
      </c>
      <c r="AT93" s="202">
        <f>IF($C93,'Backlog General'!$G93,"")</f>
      </c>
      <c r="AU93" s="202">
        <f>IF($C93,'Backlog General'!$H93,"")</f>
      </c>
      <c r="AV93" s="201">
        <f>IF($C93,IF(OR($AT93="Completo",$AU93="Cancelado",$AU93="Baja prioridad"),$AR93,IF($AU93="Pasa al siguiente",MAX($AR93+1,$AS93),MAX($AR93,$AS93))),"")</f>
      </c>
      <c r="AW93" s="201">
        <f>IF($C93,$AQ93+$AR93*$AP93-1,"")</f>
      </c>
      <c r="AX93" s="201">
        <f>IF($C93,IF(OR($AT93="Completo",$AU93="Cancelado",$AU93="Baja prioridad"),0,MAX(0,TODAY()-$AW93)),"")</f>
      </c>
      <c r="AY93" s="202">
        <f>IF($C93,IF($AT93="Completo","Completo",IF($AU93="Cancelado","Cancelado",IF($AU93="Baja prioridad","Baja prioridad",IF($AX93&gt;0,"Vencida","Pendiente")))),"")</f>
      </c>
      <c r="AZ93" s="202">
        <f>IF($C93,$AO93&amp;" · S"&amp;$AV93,"")</f>
      </c>
      <c r="BA93" s="201">
        <f>IF($C93,IF(AND(ISNUMBER('Backlog General'!$M93),'Backlog General'!$M93=$AS93),"Nuevo S"&amp;'Backlog General'!$M93,""),"")</f>
      </c>
      <c r="BB93" s="201">
        <f>IF(AND($C93,$AO93="Semanal"),$AV93*100000+ROW(),"")</f>
      </c>
      <c r="BC93" s="201">
        <f>IF(AND($C93,$AO93="Quincenal"),$AV93*100000+ROW(),"")</f>
      </c>
      <c r="BD93" s="201">
        <f>IF(AND($C93,$AO93="Mensual"),$AV93*100000+ROW(),"")</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IF($C94,$AV94,"")</f>
      </c>
      <c r="AE94" s="201">
        <f>IF($C94,$AZ94,"")</f>
      </c>
      <c r="AF94" s="201">
        <f>IF($C94,$AV94&lt;&gt;$AR94,FALSE)</f>
      </c>
      <c r="AG94" s="201">
        <f>IF($C94,IF($AV94&lt;&gt;$AR94,$AW94,""),"")</f>
      </c>
      <c r="AH94" s="202">
        <f>IF($C94,'Backlog General'!$L94,"")</f>
      </c>
      <c r="AI94" s="201">
        <f>IF($C94,$AV94*100000+ROW(),"")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c r="AO94" s="202">
        <f>IF($C94,IFERROR(VLOOKUP($D94,'Sprints'!$G$5:$H$12,2,FALSE),"Semanal"),"")</f>
      </c>
      <c r="AP94" s="201">
        <f>IF($C94,IF($AO94="Semanal",'Sprints'!$D$5,IF($AO94="Quincenal",'Sprints'!$D$6,'Sprints'!$D$7)),"")</f>
      </c>
      <c r="AQ94" s="201">
        <f>IF($C94,IF($AO94="Semanal",'Sprints'!$C$5,IF($AO94="Quincenal",'Sprints'!$C$6,'Sprints'!$C$7)),"")</f>
      </c>
      <c r="AR94" s="201">
        <f>IF($C94,MAX(1,INT(($H94-$AQ94)/$AP94)+1),"")</f>
      </c>
      <c r="AS94" s="201">
        <f>IF($C94,IF($AO94="Semanal",'Sprints'!$E$5,IF($AO94="Quincenal",'Sprints'!$E$6,'Sprints'!$E$7)),"")</f>
      </c>
      <c r="AT94" s="202">
        <f>IF($C94,'Backlog General'!$G94,"")</f>
      </c>
      <c r="AU94" s="202">
        <f>IF($C94,'Backlog General'!$H94,"")</f>
      </c>
      <c r="AV94" s="201">
        <f>IF($C94,IF(OR($AT94="Completo",$AU94="Cancelado",$AU94="Baja prioridad"),$AR94,IF($AU94="Pasa al siguiente",MAX($AR94+1,$AS94),MAX($AR94,$AS94))),"")</f>
      </c>
      <c r="AW94" s="201">
        <f>IF($C94,$AQ94+$AR94*$AP94-1,"")</f>
      </c>
      <c r="AX94" s="201">
        <f>IF($C94,IF(OR($AT94="Completo",$AU94="Cancelado",$AU94="Baja prioridad"),0,MAX(0,TODAY()-$AW94)),"")</f>
      </c>
      <c r="AY94" s="202">
        <f>IF($C94,IF($AT94="Completo","Completo",IF($AU94="Cancelado","Cancelado",IF($AU94="Baja prioridad","Baja prioridad",IF($AX94&gt;0,"Vencida","Pendiente")))),"")</f>
      </c>
      <c r="AZ94" s="202">
        <f>IF($C94,$AO94&amp;" · S"&amp;$AV94,"")</f>
      </c>
      <c r="BA94" s="201">
        <f>IF($C94,IF(AND(ISNUMBER('Backlog General'!$M94),'Backlog General'!$M94=$AS94),"Nuevo S"&amp;'Backlog General'!$M94,""),"")</f>
      </c>
      <c r="BB94" s="201">
        <f>IF(AND($C94,$AO94="Semanal"),$AV94*100000+ROW(),"")</f>
      </c>
      <c r="BC94" s="201">
        <f>IF(AND($C94,$AO94="Quincenal"),$AV94*100000+ROW(),"")</f>
      </c>
      <c r="BD94" s="201">
        <f>IF(AND($C94,$AO94="Mensual"),$AV94*100000+ROW(),"")</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IF($C95,$AV95,"")</f>
      </c>
      <c r="AE95" s="201">
        <f>IF($C95,$AZ95,"")</f>
      </c>
      <c r="AF95" s="201">
        <f>IF($C95,$AV95&lt;&gt;$AR95,FALSE)</f>
      </c>
      <c r="AG95" s="201">
        <f>IF($C95,IF($AV95&lt;&gt;$AR95,$AW95,""),"")</f>
      </c>
      <c r="AH95" s="202">
        <f>IF($C95,'Backlog General'!$L95,"")</f>
      </c>
      <c r="AI95" s="201">
        <f>IF($C95,$AV95*100000+ROW(),"")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c r="AO95" s="202">
        <f>IF($C95,IFERROR(VLOOKUP($D95,'Sprints'!$G$5:$H$12,2,FALSE),"Semanal"),"")</f>
      </c>
      <c r="AP95" s="201">
        <f>IF($C95,IF($AO95="Semanal",'Sprints'!$D$5,IF($AO95="Quincenal",'Sprints'!$D$6,'Sprints'!$D$7)),"")</f>
      </c>
      <c r="AQ95" s="201">
        <f>IF($C95,IF($AO95="Semanal",'Sprints'!$C$5,IF($AO95="Quincenal",'Sprints'!$C$6,'Sprints'!$C$7)),"")</f>
      </c>
      <c r="AR95" s="201">
        <f>IF($C95,MAX(1,INT(($H95-$AQ95)/$AP95)+1),"")</f>
      </c>
      <c r="AS95" s="201">
        <f>IF($C95,IF($AO95="Semanal",'Sprints'!$E$5,IF($AO95="Quincenal",'Sprints'!$E$6,'Sprints'!$E$7)),"")</f>
      </c>
      <c r="AT95" s="202">
        <f>IF($C95,'Backlog General'!$G95,"")</f>
      </c>
      <c r="AU95" s="202">
        <f>IF($C95,'Backlog General'!$H95,"")</f>
      </c>
      <c r="AV95" s="201">
        <f>IF($C95,IF(OR($AT95="Completo",$AU95="Cancelado",$AU95="Baja prioridad"),$AR95,IF($AU95="Pasa al siguiente",MAX($AR95+1,$AS95),MAX($AR95,$AS95))),"")</f>
      </c>
      <c r="AW95" s="201">
        <f>IF($C95,$AQ95+$AR95*$AP95-1,"")</f>
      </c>
      <c r="AX95" s="201">
        <f>IF($C95,IF(OR($AT95="Completo",$AU95="Cancelado",$AU95="Baja prioridad"),0,MAX(0,TODAY()-$AW95)),"")</f>
      </c>
      <c r="AY95" s="202">
        <f>IF($C95,IF($AT95="Completo","Completo",IF($AU95="Cancelado","Cancelado",IF($AU95="Baja prioridad","Baja prioridad",IF($AX95&gt;0,"Vencida","Pendiente")))),"")</f>
      </c>
      <c r="AZ95" s="202">
        <f>IF($C95,$AO95&amp;" · S"&amp;$AV95,"")</f>
      </c>
      <c r="BA95" s="201">
        <f>IF($C95,IF(AND(ISNUMBER('Backlog General'!$M95),'Backlog General'!$M95=$AS95),"Nuevo S"&amp;'Backlog General'!$M95,""),"")</f>
      </c>
      <c r="BB95" s="201">
        <f>IF(AND($C95,$AO95="Semanal"),$AV95*100000+ROW(),"")</f>
      </c>
      <c r="BC95" s="201">
        <f>IF(AND($C95,$AO95="Quincenal"),$AV95*100000+ROW(),"")</f>
      </c>
      <c r="BD95" s="201">
        <f>IF(AND($C95,$AO95="Mensual"),$AV95*100000+ROW(),"")</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IF($C96,$AV96,"")</f>
      </c>
      <c r="AE96" s="201">
        <f>IF($C96,$AZ96,"")</f>
      </c>
      <c r="AF96" s="201">
        <f>IF($C96,$AV96&lt;&gt;$AR96,FALSE)</f>
      </c>
      <c r="AG96" s="201">
        <f>IF($C96,IF($AV96&lt;&gt;$AR96,$AW96,""),"")</f>
      </c>
      <c r="AH96" s="202">
        <f>IF($C96,'Backlog General'!$L96,"")</f>
      </c>
      <c r="AI96" s="201">
        <f>IF($C96,$AV96*100000+ROW(),"")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c r="AO96" s="202">
        <f>IF($C96,IFERROR(VLOOKUP($D96,'Sprints'!$G$5:$H$12,2,FALSE),"Semanal"),"")</f>
      </c>
      <c r="AP96" s="201">
        <f>IF($C96,IF($AO96="Semanal",'Sprints'!$D$5,IF($AO96="Quincenal",'Sprints'!$D$6,'Sprints'!$D$7)),"")</f>
      </c>
      <c r="AQ96" s="201">
        <f>IF($C96,IF($AO96="Semanal",'Sprints'!$C$5,IF($AO96="Quincenal",'Sprints'!$C$6,'Sprints'!$C$7)),"")</f>
      </c>
      <c r="AR96" s="201">
        <f>IF($C96,MAX(1,INT(($H96-$AQ96)/$AP96)+1),"")</f>
      </c>
      <c r="AS96" s="201">
        <f>IF($C96,IF($AO96="Semanal",'Sprints'!$E$5,IF($AO96="Quincenal",'Sprints'!$E$6,'Sprints'!$E$7)),"")</f>
      </c>
      <c r="AT96" s="202">
        <f>IF($C96,'Backlog General'!$G96,"")</f>
      </c>
      <c r="AU96" s="202">
        <f>IF($C96,'Backlog General'!$H96,"")</f>
      </c>
      <c r="AV96" s="201">
        <f>IF($C96,IF(OR($AT96="Completo",$AU96="Cancelado",$AU96="Baja prioridad"),$AR96,IF($AU96="Pasa al siguiente",MAX($AR96+1,$AS96),MAX($AR96,$AS96))),"")</f>
      </c>
      <c r="AW96" s="201">
        <f>IF($C96,$AQ96+$AR96*$AP96-1,"")</f>
      </c>
      <c r="AX96" s="201">
        <f>IF($C96,IF(OR($AT96="Completo",$AU96="Cancelado",$AU96="Baja prioridad"),0,MAX(0,TODAY()-$AW96)),"")</f>
      </c>
      <c r="AY96" s="202">
        <f>IF($C96,IF($AT96="Completo","Completo",IF($AU96="Cancelado","Cancelado",IF($AU96="Baja prioridad","Baja prioridad",IF($AX96&gt;0,"Vencida","Pendiente")))),"")</f>
      </c>
      <c r="AZ96" s="202">
        <f>IF($C96,$AO96&amp;" · S"&amp;$AV96,"")</f>
      </c>
      <c r="BA96" s="201">
        <f>IF($C96,IF(AND(ISNUMBER('Backlog General'!$M96),'Backlog General'!$M96=$AS96),"Nuevo S"&amp;'Backlog General'!$M96,""),"")</f>
      </c>
      <c r="BB96" s="201">
        <f>IF(AND($C96,$AO96="Semanal"),$AV96*100000+ROW(),"")</f>
      </c>
      <c r="BC96" s="201">
        <f>IF(AND($C96,$AO96="Quincenal"),$AV96*100000+ROW(),"")</f>
      </c>
      <c r="BD96" s="201">
        <f>IF(AND($C96,$AO96="Mensual"),$AV96*100000+ROW(),"")</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IF($C97,$AV97,"")</f>
      </c>
      <c r="AE97" s="201">
        <f>IF($C97,$AZ97,"")</f>
      </c>
      <c r="AF97" s="201">
        <f>IF($C97,$AV97&lt;&gt;$AR97,FALSE)</f>
      </c>
      <c r="AG97" s="201">
        <f>IF($C97,IF($AV97&lt;&gt;$AR97,$AW97,""),"")</f>
      </c>
      <c r="AH97" s="202">
        <f>IF($C97,'Backlog General'!$L97,"")</f>
      </c>
      <c r="AI97" s="201">
        <f>IF($C97,$AV97*100000+ROW(),"")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c r="AO97" s="202">
        <f>IF($C97,IFERROR(VLOOKUP($D97,'Sprints'!$G$5:$H$12,2,FALSE),"Semanal"),"")</f>
      </c>
      <c r="AP97" s="201">
        <f>IF($C97,IF($AO97="Semanal",'Sprints'!$D$5,IF($AO97="Quincenal",'Sprints'!$D$6,'Sprints'!$D$7)),"")</f>
      </c>
      <c r="AQ97" s="201">
        <f>IF($C97,IF($AO97="Semanal",'Sprints'!$C$5,IF($AO97="Quincenal",'Sprints'!$C$6,'Sprints'!$C$7)),"")</f>
      </c>
      <c r="AR97" s="201">
        <f>IF($C97,MAX(1,INT(($H97-$AQ97)/$AP97)+1),"")</f>
      </c>
      <c r="AS97" s="201">
        <f>IF($C97,IF($AO97="Semanal",'Sprints'!$E$5,IF($AO97="Quincenal",'Sprints'!$E$6,'Sprints'!$E$7)),"")</f>
      </c>
      <c r="AT97" s="202">
        <f>IF($C97,'Backlog General'!$G97,"")</f>
      </c>
      <c r="AU97" s="202">
        <f>IF($C97,'Backlog General'!$H97,"")</f>
      </c>
      <c r="AV97" s="201">
        <f>IF($C97,IF(OR($AT97="Completo",$AU97="Cancelado",$AU97="Baja prioridad"),$AR97,IF($AU97="Pasa al siguiente",MAX($AR97+1,$AS97),MAX($AR97,$AS97))),"")</f>
      </c>
      <c r="AW97" s="201">
        <f>IF($C97,$AQ97+$AR97*$AP97-1,"")</f>
      </c>
      <c r="AX97" s="201">
        <f>IF($C97,IF(OR($AT97="Completo",$AU97="Cancelado",$AU97="Baja prioridad"),0,MAX(0,TODAY()-$AW97)),"")</f>
      </c>
      <c r="AY97" s="202">
        <f>IF($C97,IF($AT97="Completo","Completo",IF($AU97="Cancelado","Cancelado",IF($AU97="Baja prioridad","Baja prioridad",IF($AX97&gt;0,"Vencida","Pendiente")))),"")</f>
      </c>
      <c r="AZ97" s="202">
        <f>IF($C97,$AO97&amp;" · S"&amp;$AV97,"")</f>
      </c>
      <c r="BA97" s="201">
        <f>IF($C97,IF(AND(ISNUMBER('Backlog General'!$M97),'Backlog General'!$M97=$AS97),"Nuevo S"&amp;'Backlog General'!$M97,""),"")</f>
      </c>
      <c r="BB97" s="201">
        <f>IF(AND($C97,$AO97="Semanal"),$AV97*100000+ROW(),"")</f>
      </c>
      <c r="BC97" s="201">
        <f>IF(AND($C97,$AO97="Quincenal"),$AV97*100000+ROW(),"")</f>
      </c>
      <c r="BD97" s="201">
        <f>IF(AND($C97,$AO97="Mensual"),$AV97*100000+ROW(),"")</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IF($C98,$AV98,"")</f>
      </c>
      <c r="AE98" s="201">
        <f>IF($C98,$AZ98,"")</f>
      </c>
      <c r="AF98" s="201">
        <f>IF($C98,$AV98&lt;&gt;$AR98,FALSE)</f>
      </c>
      <c r="AG98" s="201">
        <f>IF($C98,IF($AV98&lt;&gt;$AR98,$AW98,""),"")</f>
      </c>
      <c r="AH98" s="202">
        <f>IF($C98,'Backlog General'!$L98,"")</f>
      </c>
      <c r="AI98" s="201">
        <f>IF($C98,$AV98*100000+ROW(),"")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c r="AO98" s="202">
        <f>IF($C98,IFERROR(VLOOKUP($D98,'Sprints'!$G$5:$H$12,2,FALSE),"Semanal"),"")</f>
      </c>
      <c r="AP98" s="201">
        <f>IF($C98,IF($AO98="Semanal",'Sprints'!$D$5,IF($AO98="Quincenal",'Sprints'!$D$6,'Sprints'!$D$7)),"")</f>
      </c>
      <c r="AQ98" s="201">
        <f>IF($C98,IF($AO98="Semanal",'Sprints'!$C$5,IF($AO98="Quincenal",'Sprints'!$C$6,'Sprints'!$C$7)),"")</f>
      </c>
      <c r="AR98" s="201">
        <f>IF($C98,MAX(1,INT(($H98-$AQ98)/$AP98)+1),"")</f>
      </c>
      <c r="AS98" s="201">
        <f>IF($C98,IF($AO98="Semanal",'Sprints'!$E$5,IF($AO98="Quincenal",'Sprints'!$E$6,'Sprints'!$E$7)),"")</f>
      </c>
      <c r="AT98" s="202">
        <f>IF($C98,'Backlog General'!$G98,"")</f>
      </c>
      <c r="AU98" s="202">
        <f>IF($C98,'Backlog General'!$H98,"")</f>
      </c>
      <c r="AV98" s="201">
        <f>IF($C98,IF(OR($AT98="Completo",$AU98="Cancelado",$AU98="Baja prioridad"),$AR98,IF($AU98="Pasa al siguiente",MAX($AR98+1,$AS98),MAX($AR98,$AS98))),"")</f>
      </c>
      <c r="AW98" s="201">
        <f>IF($C98,$AQ98+$AR98*$AP98-1,"")</f>
      </c>
      <c r="AX98" s="201">
        <f>IF($C98,IF(OR($AT98="Completo",$AU98="Cancelado",$AU98="Baja prioridad"),0,MAX(0,TODAY()-$AW98)),"")</f>
      </c>
      <c r="AY98" s="202">
        <f>IF($C98,IF($AT98="Completo","Completo",IF($AU98="Cancelado","Cancelado",IF($AU98="Baja prioridad","Baja prioridad",IF($AX98&gt;0,"Vencida","Pendiente")))),"")</f>
      </c>
      <c r="AZ98" s="202">
        <f>IF($C98,$AO98&amp;" · S"&amp;$AV98,"")</f>
      </c>
      <c r="BA98" s="201">
        <f>IF($C98,IF(AND(ISNUMBER('Backlog General'!$M98),'Backlog General'!$M98=$AS98),"Nuevo S"&amp;'Backlog General'!$M98,""),"")</f>
      </c>
      <c r="BB98" s="201">
        <f>IF(AND($C98,$AO98="Semanal"),$AV98*100000+ROW(),"")</f>
      </c>
      <c r="BC98" s="201">
        <f>IF(AND($C98,$AO98="Quincenal"),$AV98*100000+ROW(),"")</f>
      </c>
      <c r="BD98" s="201">
        <f>IF(AND($C98,$AO98="Mensual"),$AV98*100000+ROW(),"")</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IF($C99,$AV99,"")</f>
      </c>
      <c r="AE99" s="201">
        <f>IF($C99,$AZ99,"")</f>
      </c>
      <c r="AF99" s="201">
        <f>IF($C99,$AV99&lt;&gt;$AR99,FALSE)</f>
      </c>
      <c r="AG99" s="201">
        <f>IF($C99,IF($AV99&lt;&gt;$AR99,$AW99,""),"")</f>
      </c>
      <c r="AH99" s="202">
        <f>IF($C99,'Backlog General'!$L99,"")</f>
      </c>
      <c r="AI99" s="201">
        <f>IF($C99,$AV99*100000+ROW(),"")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c r="AO99" s="202">
        <f>IF($C99,IFERROR(VLOOKUP($D99,'Sprints'!$G$5:$H$12,2,FALSE),"Semanal"),"")</f>
      </c>
      <c r="AP99" s="201">
        <f>IF($C99,IF($AO99="Semanal",'Sprints'!$D$5,IF($AO99="Quincenal",'Sprints'!$D$6,'Sprints'!$D$7)),"")</f>
      </c>
      <c r="AQ99" s="201">
        <f>IF($C99,IF($AO99="Semanal",'Sprints'!$C$5,IF($AO99="Quincenal",'Sprints'!$C$6,'Sprints'!$C$7)),"")</f>
      </c>
      <c r="AR99" s="201">
        <f>IF($C99,MAX(1,INT(($H99-$AQ99)/$AP99)+1),"")</f>
      </c>
      <c r="AS99" s="201">
        <f>IF($C99,IF($AO99="Semanal",'Sprints'!$E$5,IF($AO99="Quincenal",'Sprints'!$E$6,'Sprints'!$E$7)),"")</f>
      </c>
      <c r="AT99" s="202">
        <f>IF($C99,'Backlog General'!$G99,"")</f>
      </c>
      <c r="AU99" s="202">
        <f>IF($C99,'Backlog General'!$H99,"")</f>
      </c>
      <c r="AV99" s="201">
        <f>IF($C99,IF(OR($AT99="Completo",$AU99="Cancelado",$AU99="Baja prioridad"),$AR99,IF($AU99="Pasa al siguiente",MAX($AR99+1,$AS99),MAX($AR99,$AS99))),"")</f>
      </c>
      <c r="AW99" s="201">
        <f>IF($C99,$AQ99+$AR99*$AP99-1,"")</f>
      </c>
      <c r="AX99" s="201">
        <f>IF($C99,IF(OR($AT99="Completo",$AU99="Cancelado",$AU99="Baja prioridad"),0,MAX(0,TODAY()-$AW99)),"")</f>
      </c>
      <c r="AY99" s="202">
        <f>IF($C99,IF($AT99="Completo","Completo",IF($AU99="Cancelado","Cancelado",IF($AU99="Baja prioridad","Baja prioridad",IF($AX99&gt;0,"Vencida","Pendiente")))),"")</f>
      </c>
      <c r="AZ99" s="202">
        <f>IF($C99,$AO99&amp;" · S"&amp;$AV99,"")</f>
      </c>
      <c r="BA99" s="201">
        <f>IF($C99,IF(AND(ISNUMBER('Backlog General'!$M99),'Backlog General'!$M99=$AS99),"Nuevo S"&amp;'Backlog General'!$M99,""),"")</f>
      </c>
      <c r="BB99" s="201">
        <f>IF(AND($C99,$AO99="Semanal"),$AV99*100000+ROW(),"")</f>
      </c>
      <c r="BC99" s="201">
        <f>IF(AND($C99,$AO99="Quincenal"),$AV99*100000+ROW(),"")</f>
      </c>
      <c r="BD99" s="201">
        <f>IF(AND($C99,$AO99="Mensual"),$AV99*100000+ROW(),"")</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IF($C100,$AV100,"")</f>
      </c>
      <c r="AE100" s="201">
        <f>IF($C100,$AZ100,"")</f>
      </c>
      <c r="AF100" s="201">
        <f>IF($C100,$AV100&lt;&gt;$AR100,FALSE)</f>
      </c>
      <c r="AG100" s="201">
        <f>IF($C100,IF($AV100&lt;&gt;$AR100,$AW100,""),"")</f>
      </c>
      <c r="AH100" s="202">
        <f>IF($C100,'Backlog General'!$L100,"")</f>
      </c>
      <c r="AI100" s="201">
        <f>IF($C100,$AV100*100000+ROW(),"")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c r="AO100" s="202">
        <f>IF($C100,IFERROR(VLOOKUP($D100,'Sprints'!$G$5:$H$12,2,FALSE),"Semanal"),"")</f>
      </c>
      <c r="AP100" s="201">
        <f>IF($C100,IF($AO100="Semanal",'Sprints'!$D$5,IF($AO100="Quincenal",'Sprints'!$D$6,'Sprints'!$D$7)),"")</f>
      </c>
      <c r="AQ100" s="201">
        <f>IF($C100,IF($AO100="Semanal",'Sprints'!$C$5,IF($AO100="Quincenal",'Sprints'!$C$6,'Sprints'!$C$7)),"")</f>
      </c>
      <c r="AR100" s="201">
        <f>IF($C100,MAX(1,INT(($H100-$AQ100)/$AP100)+1),"")</f>
      </c>
      <c r="AS100" s="201">
        <f>IF($C100,IF($AO100="Semanal",'Sprints'!$E$5,IF($AO100="Quincenal",'Sprints'!$E$6,'Sprints'!$E$7)),"")</f>
      </c>
      <c r="AT100" s="202">
        <f>IF($C100,'Backlog General'!$G100,"")</f>
      </c>
      <c r="AU100" s="202">
        <f>IF($C100,'Backlog General'!$H100,"")</f>
      </c>
      <c r="AV100" s="201">
        <f>IF($C100,IF(OR($AT100="Completo",$AU100="Cancelado",$AU100="Baja prioridad"),$AR100,IF($AU100="Pasa al siguiente",MAX($AR100+1,$AS100),MAX($AR100,$AS100))),"")</f>
      </c>
      <c r="AW100" s="201">
        <f>IF($C100,$AQ100+$AR100*$AP100-1,"")</f>
      </c>
      <c r="AX100" s="201">
        <f>IF($C100,IF(OR($AT100="Completo",$AU100="Cancelado",$AU100="Baja prioridad"),0,MAX(0,TODAY()-$AW100)),"")</f>
      </c>
      <c r="AY100" s="202">
        <f>IF($C100,IF($AT100="Completo","Completo",IF($AU100="Cancelado","Cancelado",IF($AU100="Baja prioridad","Baja prioridad",IF($AX100&gt;0,"Vencida","Pendiente")))),"")</f>
      </c>
      <c r="AZ100" s="202">
        <f>IF($C100,$AO100&amp;" · S"&amp;$AV100,"")</f>
      </c>
      <c r="BA100" s="201">
        <f>IF($C100,IF(AND(ISNUMBER('Backlog General'!$M100),'Backlog General'!$M100=$AS100),"Nuevo S"&amp;'Backlog General'!$M100,""),"")</f>
      </c>
      <c r="BB100" s="201">
        <f>IF(AND($C100,$AO100="Semanal"),$AV100*100000+ROW(),"")</f>
      </c>
      <c r="BC100" s="201">
        <f>IF(AND($C100,$AO100="Quincenal"),$AV100*100000+ROW(),"")</f>
      </c>
      <c r="BD100" s="201">
        <f>IF(AND($C100,$AO100="Mensual"),$AV100*100000+ROW(),"")</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IF($C101,$AV101,"")</f>
      </c>
      <c r="AE101" s="201">
        <f>IF($C101,$AZ101,"")</f>
      </c>
      <c r="AF101" s="201">
        <f>IF($C101,$AV101&lt;&gt;$AR101,FALSE)</f>
      </c>
      <c r="AG101" s="201">
        <f>IF($C101,IF($AV101&lt;&gt;$AR101,$AW101,""),"")</f>
      </c>
      <c r="AH101" s="202">
        <f>IF($C101,'Backlog General'!$L101,"")</f>
      </c>
      <c r="AI101" s="201">
        <f>IF($C101,$AV101*100000+ROW(),"")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c r="AO101" s="202">
        <f>IF($C101,IFERROR(VLOOKUP($D101,'Sprints'!$G$5:$H$12,2,FALSE),"Semanal"),"")</f>
      </c>
      <c r="AP101" s="201">
        <f>IF($C101,IF($AO101="Semanal",'Sprints'!$D$5,IF($AO101="Quincenal",'Sprints'!$D$6,'Sprints'!$D$7)),"")</f>
      </c>
      <c r="AQ101" s="201">
        <f>IF($C101,IF($AO101="Semanal",'Sprints'!$C$5,IF($AO101="Quincenal",'Sprints'!$C$6,'Sprints'!$C$7)),"")</f>
      </c>
      <c r="AR101" s="201">
        <f>IF($C101,MAX(1,INT(($H101-$AQ101)/$AP101)+1),"")</f>
      </c>
      <c r="AS101" s="201">
        <f>IF($C101,IF($AO101="Semanal",'Sprints'!$E$5,IF($AO101="Quincenal",'Sprints'!$E$6,'Sprints'!$E$7)),"")</f>
      </c>
      <c r="AT101" s="202">
        <f>IF($C101,'Backlog General'!$G101,"")</f>
      </c>
      <c r="AU101" s="202">
        <f>IF($C101,'Backlog General'!$H101,"")</f>
      </c>
      <c r="AV101" s="201">
        <f>IF($C101,IF(OR($AT101="Completo",$AU101="Cancelado",$AU101="Baja prioridad"),$AR101,IF($AU101="Pasa al siguiente",MAX($AR101+1,$AS101),MAX($AR101,$AS101))),"")</f>
      </c>
      <c r="AW101" s="201">
        <f>IF($C101,$AQ101+$AR101*$AP101-1,"")</f>
      </c>
      <c r="AX101" s="201">
        <f>IF($C101,IF(OR($AT101="Completo",$AU101="Cancelado",$AU101="Baja prioridad"),0,MAX(0,TODAY()-$AW101)),"")</f>
      </c>
      <c r="AY101" s="202">
        <f>IF($C101,IF($AT101="Completo","Completo",IF($AU101="Cancelado","Cancelado",IF($AU101="Baja prioridad","Baja prioridad",IF($AX101&gt;0,"Vencida","Pendiente")))),"")</f>
      </c>
      <c r="AZ101" s="202">
        <f>IF($C101,$AO101&amp;" · S"&amp;$AV101,"")</f>
      </c>
      <c r="BA101" s="201">
        <f>IF($C101,IF(AND(ISNUMBER('Backlog General'!$M101),'Backlog General'!$M101=$AS101),"Nuevo S"&amp;'Backlog General'!$M101,""),"")</f>
      </c>
      <c r="BB101" s="201">
        <f>IF(AND($C101,$AO101="Semanal"),$AV101*100000+ROW(),"")</f>
      </c>
      <c r="BC101" s="201">
        <f>IF(AND($C101,$AO101="Quincenal"),$AV101*100000+ROW(),"")</f>
      </c>
      <c r="BD101" s="201">
        <f>IF(AND($C101,$AO101="Mensual"),$AV101*100000+ROW(),"")</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IF($C102,$AV102,"")</f>
      </c>
      <c r="AE102" s="201">
        <f>IF($C102,$AZ102,"")</f>
      </c>
      <c r="AF102" s="201">
        <f>IF($C102,$AV102&lt;&gt;$AR102,FALSE)</f>
      </c>
      <c r="AG102" s="201">
        <f>IF($C102,IF($AV102&lt;&gt;$AR102,$AW102,""),"")</f>
      </c>
      <c r="AH102" s="202">
        <f>IF($C102,'Backlog General'!$L102,"")</f>
      </c>
      <c r="AI102" s="201">
        <f>IF($C102,$AV102*100000+ROW(),"")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c r="AO102" s="202">
        <f>IF($C102,IFERROR(VLOOKUP($D102,'Sprints'!$G$5:$H$12,2,FALSE),"Semanal"),"")</f>
      </c>
      <c r="AP102" s="201">
        <f>IF($C102,IF($AO102="Semanal",'Sprints'!$D$5,IF($AO102="Quincenal",'Sprints'!$D$6,'Sprints'!$D$7)),"")</f>
      </c>
      <c r="AQ102" s="201">
        <f>IF($C102,IF($AO102="Semanal",'Sprints'!$C$5,IF($AO102="Quincenal",'Sprints'!$C$6,'Sprints'!$C$7)),"")</f>
      </c>
      <c r="AR102" s="201">
        <f>IF($C102,MAX(1,INT(($H102-$AQ102)/$AP102)+1),"")</f>
      </c>
      <c r="AS102" s="201">
        <f>IF($C102,IF($AO102="Semanal",'Sprints'!$E$5,IF($AO102="Quincenal",'Sprints'!$E$6,'Sprints'!$E$7)),"")</f>
      </c>
      <c r="AT102" s="202">
        <f>IF($C102,'Backlog General'!$G102,"")</f>
      </c>
      <c r="AU102" s="202">
        <f>IF($C102,'Backlog General'!$H102,"")</f>
      </c>
      <c r="AV102" s="201">
        <f>IF($C102,IF(OR($AT102="Completo",$AU102="Cancelado",$AU102="Baja prioridad"),$AR102,IF($AU102="Pasa al siguiente",MAX($AR102+1,$AS102),MAX($AR102,$AS102))),"")</f>
      </c>
      <c r="AW102" s="201">
        <f>IF($C102,$AQ102+$AR102*$AP102-1,"")</f>
      </c>
      <c r="AX102" s="201">
        <f>IF($C102,IF(OR($AT102="Completo",$AU102="Cancelado",$AU102="Baja prioridad"),0,MAX(0,TODAY()-$AW102)),"")</f>
      </c>
      <c r="AY102" s="202">
        <f>IF($C102,IF($AT102="Completo","Completo",IF($AU102="Cancelado","Cancelado",IF($AU102="Baja prioridad","Baja prioridad",IF($AX102&gt;0,"Vencida","Pendiente")))),"")</f>
      </c>
      <c r="AZ102" s="202">
        <f>IF($C102,$AO102&amp;" · S"&amp;$AV102,"")</f>
      </c>
      <c r="BA102" s="201">
        <f>IF($C102,IF(AND(ISNUMBER('Backlog General'!$M102),'Backlog General'!$M102=$AS102),"Nuevo S"&amp;'Backlog General'!$M102,""),"")</f>
      </c>
      <c r="BB102" s="201">
        <f>IF(AND($C102,$AO102="Semanal"),$AV102*100000+ROW(),"")</f>
      </c>
      <c r="BC102" s="201">
        <f>IF(AND($C102,$AO102="Quincenal"),$AV102*100000+ROW(),"")</f>
      </c>
      <c r="BD102" s="201">
        <f>IF(AND($C102,$AO102="Mensual"),$AV102*100000+ROW(),"")</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IF($C103,$AV103,"")</f>
      </c>
      <c r="AE103" s="201">
        <f>IF($C103,$AZ103,"")</f>
      </c>
      <c r="AF103" s="201">
        <f>IF($C103,$AV103&lt;&gt;$AR103,FALSE)</f>
      </c>
      <c r="AG103" s="201">
        <f>IF($C103,IF($AV103&lt;&gt;$AR103,$AW103,""),"")</f>
      </c>
      <c r="AH103" s="202">
        <f>IF($C103,'Backlog General'!$L103,"")</f>
      </c>
      <c r="AI103" s="201">
        <f>IF($C103,$AV103*100000+ROW(),"")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c r="AO103" s="202">
        <f>IF($C103,IFERROR(VLOOKUP($D103,'Sprints'!$G$5:$H$12,2,FALSE),"Semanal"),"")</f>
      </c>
      <c r="AP103" s="201">
        <f>IF($C103,IF($AO103="Semanal",'Sprints'!$D$5,IF($AO103="Quincenal",'Sprints'!$D$6,'Sprints'!$D$7)),"")</f>
      </c>
      <c r="AQ103" s="201">
        <f>IF($C103,IF($AO103="Semanal",'Sprints'!$C$5,IF($AO103="Quincenal",'Sprints'!$C$6,'Sprints'!$C$7)),"")</f>
      </c>
      <c r="AR103" s="201">
        <f>IF($C103,MAX(1,INT(($H103-$AQ103)/$AP103)+1),"")</f>
      </c>
      <c r="AS103" s="201">
        <f>IF($C103,IF($AO103="Semanal",'Sprints'!$E$5,IF($AO103="Quincenal",'Sprints'!$E$6,'Sprints'!$E$7)),"")</f>
      </c>
      <c r="AT103" s="202">
        <f>IF($C103,'Backlog General'!$G103,"")</f>
      </c>
      <c r="AU103" s="202">
        <f>IF($C103,'Backlog General'!$H103,"")</f>
      </c>
      <c r="AV103" s="201">
        <f>IF($C103,IF(OR($AT103="Completo",$AU103="Cancelado",$AU103="Baja prioridad"),$AR103,IF($AU103="Pasa al siguiente",MAX($AR103+1,$AS103),MAX($AR103,$AS103))),"")</f>
      </c>
      <c r="AW103" s="201">
        <f>IF($C103,$AQ103+$AR103*$AP103-1,"")</f>
      </c>
      <c r="AX103" s="201">
        <f>IF($C103,IF(OR($AT103="Completo",$AU103="Cancelado",$AU103="Baja prioridad"),0,MAX(0,TODAY()-$AW103)),"")</f>
      </c>
      <c r="AY103" s="202">
        <f>IF($C103,IF($AT103="Completo","Completo",IF($AU103="Cancelado","Cancelado",IF($AU103="Baja prioridad","Baja prioridad",IF($AX103&gt;0,"Vencida","Pendiente")))),"")</f>
      </c>
      <c r="AZ103" s="202">
        <f>IF($C103,$AO103&amp;" · S"&amp;$AV103,"")</f>
      </c>
      <c r="BA103" s="201">
        <f>IF($C103,IF(AND(ISNUMBER('Backlog General'!$M103),'Backlog General'!$M103=$AS103),"Nuevo S"&amp;'Backlog General'!$M103,""),"")</f>
      </c>
      <c r="BB103" s="201">
        <f>IF(AND($C103,$AO103="Semanal"),$AV103*100000+ROW(),"")</f>
      </c>
      <c r="BC103" s="201">
        <f>IF(AND($C103,$AO103="Quincenal"),$AV103*100000+ROW(),"")</f>
      </c>
      <c r="BD103" s="201">
        <f>IF(AND($C103,$AO103="Mensual"),$AV103*100000+ROW(),"")</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IF($C104,$AV104,"")</f>
      </c>
      <c r="AE104" s="201">
        <f>IF($C104,$AZ104,"")</f>
      </c>
      <c r="AF104" s="201">
        <f>IF($C104,$AV104&lt;&gt;$AR104,FALSE)</f>
      </c>
      <c r="AG104" s="201">
        <f>IF($C104,IF($AV104&lt;&gt;$AR104,$AW104,""),"")</f>
      </c>
      <c r="AH104" s="202">
        <f>IF($C104,'Backlog General'!$L104,"")</f>
      </c>
      <c r="AI104" s="201">
        <f>IF($C104,$AV104*100000+ROW(),"")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c r="AO104" s="202">
        <f>IF($C104,IFERROR(VLOOKUP($D104,'Sprints'!$G$5:$H$12,2,FALSE),"Semanal"),"")</f>
      </c>
      <c r="AP104" s="201">
        <f>IF($C104,IF($AO104="Semanal",'Sprints'!$D$5,IF($AO104="Quincenal",'Sprints'!$D$6,'Sprints'!$D$7)),"")</f>
      </c>
      <c r="AQ104" s="201">
        <f>IF($C104,IF($AO104="Semanal",'Sprints'!$C$5,IF($AO104="Quincenal",'Sprints'!$C$6,'Sprints'!$C$7)),"")</f>
      </c>
      <c r="AR104" s="201">
        <f>IF($C104,MAX(1,INT(($H104-$AQ104)/$AP104)+1),"")</f>
      </c>
      <c r="AS104" s="201">
        <f>IF($C104,IF($AO104="Semanal",'Sprints'!$E$5,IF($AO104="Quincenal",'Sprints'!$E$6,'Sprints'!$E$7)),"")</f>
      </c>
      <c r="AT104" s="202">
        <f>IF($C104,'Backlog General'!$G104,"")</f>
      </c>
      <c r="AU104" s="202">
        <f>IF($C104,'Backlog General'!$H104,"")</f>
      </c>
      <c r="AV104" s="201">
        <f>IF($C104,IF(OR($AT104="Completo",$AU104="Cancelado",$AU104="Baja prioridad"),$AR104,IF($AU104="Pasa al siguiente",MAX($AR104+1,$AS104),MAX($AR104,$AS104))),"")</f>
      </c>
      <c r="AW104" s="201">
        <f>IF($C104,$AQ104+$AR104*$AP104-1,"")</f>
      </c>
      <c r="AX104" s="201">
        <f>IF($C104,IF(OR($AT104="Completo",$AU104="Cancelado",$AU104="Baja prioridad"),0,MAX(0,TODAY()-$AW104)),"")</f>
      </c>
      <c r="AY104" s="202">
        <f>IF($C104,IF($AT104="Completo","Completo",IF($AU104="Cancelado","Cancelado",IF($AU104="Baja prioridad","Baja prioridad",IF($AX104&gt;0,"Vencida","Pendiente")))),"")</f>
      </c>
      <c r="AZ104" s="202">
        <f>IF($C104,$AO104&amp;" · S"&amp;$AV104,"")</f>
      </c>
      <c r="BA104" s="201">
        <f>IF($C104,IF(AND(ISNUMBER('Backlog General'!$M104),'Backlog General'!$M104=$AS104),"Nuevo S"&amp;'Backlog General'!$M104,""),"")</f>
      </c>
      <c r="BB104" s="201">
        <f>IF(AND($C104,$AO104="Semanal"),$AV104*100000+ROW(),"")</f>
      </c>
      <c r="BC104" s="201">
        <f>IF(AND($C104,$AO104="Quincenal"),$AV104*100000+ROW(),"")</f>
      </c>
      <c r="BD104" s="201">
        <f>IF(AND($C104,$AO104="Mensual"),$AV104*100000+ROW(),"")</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IF($C105,$AV105,"")</f>
      </c>
      <c r="AE105" s="201">
        <f>IF($C105,$AZ105,"")</f>
      </c>
      <c r="AF105" s="201">
        <f>IF($C105,$AV105&lt;&gt;$AR105,FALSE)</f>
      </c>
      <c r="AG105" s="201">
        <f>IF($C105,IF($AV105&lt;&gt;$AR105,$AW105,""),"")</f>
      </c>
      <c r="AH105" s="202">
        <f>IF($C105,'Backlog General'!$L105,"")</f>
      </c>
      <c r="AI105" s="201">
        <f>IF($C105,$AV105*100000+ROW(),"")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c r="AO105" s="202">
        <f>IF($C105,IFERROR(VLOOKUP($D105,'Sprints'!$G$5:$H$12,2,FALSE),"Semanal"),"")</f>
      </c>
      <c r="AP105" s="201">
        <f>IF($C105,IF($AO105="Semanal",'Sprints'!$D$5,IF($AO105="Quincenal",'Sprints'!$D$6,'Sprints'!$D$7)),"")</f>
      </c>
      <c r="AQ105" s="201">
        <f>IF($C105,IF($AO105="Semanal",'Sprints'!$C$5,IF($AO105="Quincenal",'Sprints'!$C$6,'Sprints'!$C$7)),"")</f>
      </c>
      <c r="AR105" s="201">
        <f>IF($C105,MAX(1,INT(($H105-$AQ105)/$AP105)+1),"")</f>
      </c>
      <c r="AS105" s="201">
        <f>IF($C105,IF($AO105="Semanal",'Sprints'!$E$5,IF($AO105="Quincenal",'Sprints'!$E$6,'Sprints'!$E$7)),"")</f>
      </c>
      <c r="AT105" s="202">
        <f>IF($C105,'Backlog General'!$G105,"")</f>
      </c>
      <c r="AU105" s="202">
        <f>IF($C105,'Backlog General'!$H105,"")</f>
      </c>
      <c r="AV105" s="201">
        <f>IF($C105,IF(OR($AT105="Completo",$AU105="Cancelado",$AU105="Baja prioridad"),$AR105,IF($AU105="Pasa al siguiente",MAX($AR105+1,$AS105),MAX($AR105,$AS105))),"")</f>
      </c>
      <c r="AW105" s="201">
        <f>IF($C105,$AQ105+$AR105*$AP105-1,"")</f>
      </c>
      <c r="AX105" s="201">
        <f>IF($C105,IF(OR($AT105="Completo",$AU105="Cancelado",$AU105="Baja prioridad"),0,MAX(0,TODAY()-$AW105)),"")</f>
      </c>
      <c r="AY105" s="202">
        <f>IF($C105,IF($AT105="Completo","Completo",IF($AU105="Cancelado","Cancelado",IF($AU105="Baja prioridad","Baja prioridad",IF($AX105&gt;0,"Vencida","Pendiente")))),"")</f>
      </c>
      <c r="AZ105" s="202">
        <f>IF($C105,$AO105&amp;" · S"&amp;$AV105,"")</f>
      </c>
      <c r="BA105" s="201">
        <f>IF($C105,IF(AND(ISNUMBER('Backlog General'!$M105),'Backlog General'!$M105=$AS105),"Nuevo S"&amp;'Backlog General'!$M105,""),"")</f>
      </c>
      <c r="BB105" s="201">
        <f>IF(AND($C105,$AO105="Semanal"),$AV105*100000+ROW(),"")</f>
      </c>
      <c r="BC105" s="201">
        <f>IF(AND($C105,$AO105="Quincenal"),$AV105*100000+ROW(),"")</f>
      </c>
      <c r="BD105" s="201">
        <f>IF(AND($C105,$AO105="Mensual"),$AV105*100000+ROW(),"")</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IF($C106,$AV106,"")</f>
      </c>
      <c r="AE106" s="201">
        <f>IF($C106,$AZ106,"")</f>
      </c>
      <c r="AF106" s="201">
        <f>IF($C106,$AV106&lt;&gt;$AR106,FALSE)</f>
      </c>
      <c r="AG106" s="201">
        <f>IF($C106,IF($AV106&lt;&gt;$AR106,$AW106,""),"")</f>
      </c>
      <c r="AH106" s="202">
        <f>IF($C106,'Backlog General'!$L106,"")</f>
      </c>
      <c r="AI106" s="201">
        <f>IF($C106,$AV106*100000+ROW(),"")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c r="AO106" s="202">
        <f>IF($C106,IFERROR(VLOOKUP($D106,'Sprints'!$G$5:$H$12,2,FALSE),"Semanal"),"")</f>
      </c>
      <c r="AP106" s="201">
        <f>IF($C106,IF($AO106="Semanal",'Sprints'!$D$5,IF($AO106="Quincenal",'Sprints'!$D$6,'Sprints'!$D$7)),"")</f>
      </c>
      <c r="AQ106" s="201">
        <f>IF($C106,IF($AO106="Semanal",'Sprints'!$C$5,IF($AO106="Quincenal",'Sprints'!$C$6,'Sprints'!$C$7)),"")</f>
      </c>
      <c r="AR106" s="201">
        <f>IF($C106,MAX(1,INT(($H106-$AQ106)/$AP106)+1),"")</f>
      </c>
      <c r="AS106" s="201">
        <f>IF($C106,IF($AO106="Semanal",'Sprints'!$E$5,IF($AO106="Quincenal",'Sprints'!$E$6,'Sprints'!$E$7)),"")</f>
      </c>
      <c r="AT106" s="202">
        <f>IF($C106,'Backlog General'!$G106,"")</f>
      </c>
      <c r="AU106" s="202">
        <f>IF($C106,'Backlog General'!$H106,"")</f>
      </c>
      <c r="AV106" s="201">
        <f>IF($C106,IF(OR($AT106="Completo",$AU106="Cancelado",$AU106="Baja prioridad"),$AR106,IF($AU106="Pasa al siguiente",MAX($AR106+1,$AS106),MAX($AR106,$AS106))),"")</f>
      </c>
      <c r="AW106" s="201">
        <f>IF($C106,$AQ106+$AR106*$AP106-1,"")</f>
      </c>
      <c r="AX106" s="201">
        <f>IF($C106,IF(OR($AT106="Completo",$AU106="Cancelado",$AU106="Baja prioridad"),0,MAX(0,TODAY()-$AW106)),"")</f>
      </c>
      <c r="AY106" s="202">
        <f>IF($C106,IF($AT106="Completo","Completo",IF($AU106="Cancelado","Cancelado",IF($AU106="Baja prioridad","Baja prioridad",IF($AX106&gt;0,"Vencida","Pendiente")))),"")</f>
      </c>
      <c r="AZ106" s="202">
        <f>IF($C106,$AO106&amp;" · S"&amp;$AV106,"")</f>
      </c>
      <c r="BA106" s="201">
        <f>IF($C106,IF(AND(ISNUMBER('Backlog General'!$M106),'Backlog General'!$M106=$AS106),"Nuevo S"&amp;'Backlog General'!$M106,""),"")</f>
      </c>
      <c r="BB106" s="201">
        <f>IF(AND($C106,$AO106="Semanal"),$AV106*100000+ROW(),"")</f>
      </c>
      <c r="BC106" s="201">
        <f>IF(AND($C106,$AO106="Quincenal"),$AV106*100000+ROW(),"")</f>
      </c>
      <c r="BD106" s="201">
        <f>IF(AND($C106,$AO106="Mensual"),$AV106*100000+ROW(),"")</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IF($C107,$AV107,"")</f>
      </c>
      <c r="AE107" s="201">
        <f>IF($C107,$AZ107,"")</f>
      </c>
      <c r="AF107" s="201">
        <f>IF($C107,$AV107&lt;&gt;$AR107,FALSE)</f>
      </c>
      <c r="AG107" s="201">
        <f>IF($C107,IF($AV107&lt;&gt;$AR107,$AW107,""),"")</f>
      </c>
      <c r="AH107" s="202">
        <f>IF($C107,'Backlog General'!$L107,"")</f>
      </c>
      <c r="AI107" s="201">
        <f>IF($C107,$AV107*100000+ROW(),"")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c r="AO107" s="202">
        <f>IF($C107,IFERROR(VLOOKUP($D107,'Sprints'!$G$5:$H$12,2,FALSE),"Semanal"),"")</f>
      </c>
      <c r="AP107" s="201">
        <f>IF($C107,IF($AO107="Semanal",'Sprints'!$D$5,IF($AO107="Quincenal",'Sprints'!$D$6,'Sprints'!$D$7)),"")</f>
      </c>
      <c r="AQ107" s="201">
        <f>IF($C107,IF($AO107="Semanal",'Sprints'!$C$5,IF($AO107="Quincenal",'Sprints'!$C$6,'Sprints'!$C$7)),"")</f>
      </c>
      <c r="AR107" s="201">
        <f>IF($C107,MAX(1,INT(($H107-$AQ107)/$AP107)+1),"")</f>
      </c>
      <c r="AS107" s="201">
        <f>IF($C107,IF($AO107="Semanal",'Sprints'!$E$5,IF($AO107="Quincenal",'Sprints'!$E$6,'Sprints'!$E$7)),"")</f>
      </c>
      <c r="AT107" s="202">
        <f>IF($C107,'Backlog General'!$G107,"")</f>
      </c>
      <c r="AU107" s="202">
        <f>IF($C107,'Backlog General'!$H107,"")</f>
      </c>
      <c r="AV107" s="201">
        <f>IF($C107,IF(OR($AT107="Completo",$AU107="Cancelado",$AU107="Baja prioridad"),$AR107,IF($AU107="Pasa al siguiente",MAX($AR107+1,$AS107),MAX($AR107,$AS107))),"")</f>
      </c>
      <c r="AW107" s="201">
        <f>IF($C107,$AQ107+$AR107*$AP107-1,"")</f>
      </c>
      <c r="AX107" s="201">
        <f>IF($C107,IF(OR($AT107="Completo",$AU107="Cancelado",$AU107="Baja prioridad"),0,MAX(0,TODAY()-$AW107)),"")</f>
      </c>
      <c r="AY107" s="202">
        <f>IF($C107,IF($AT107="Completo","Completo",IF($AU107="Cancelado","Cancelado",IF($AU107="Baja prioridad","Baja prioridad",IF($AX107&gt;0,"Vencida","Pendiente")))),"")</f>
      </c>
      <c r="AZ107" s="202">
        <f>IF($C107,$AO107&amp;" · S"&amp;$AV107,"")</f>
      </c>
      <c r="BA107" s="201">
        <f>IF($C107,IF(AND(ISNUMBER('Backlog General'!$M107),'Backlog General'!$M107=$AS107),"Nuevo S"&amp;'Backlog General'!$M107,""),"")</f>
      </c>
      <c r="BB107" s="201">
        <f>IF(AND($C107,$AO107="Semanal"),$AV107*100000+ROW(),"")</f>
      </c>
      <c r="BC107" s="201">
        <f>IF(AND($C107,$AO107="Quincenal"),$AV107*100000+ROW(),"")</f>
      </c>
      <c r="BD107" s="201">
        <f>IF(AND($C107,$AO107="Mensual"),$AV107*100000+ROW(),"")</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IF($C108,$AV108,"")</f>
      </c>
      <c r="AE108" s="201">
        <f>IF($C108,$AZ108,"")</f>
      </c>
      <c r="AF108" s="201">
        <f>IF($C108,$AV108&lt;&gt;$AR108,FALSE)</f>
      </c>
      <c r="AG108" s="201">
        <f>IF($C108,IF($AV108&lt;&gt;$AR108,$AW108,""),"")</f>
      </c>
      <c r="AH108" s="202">
        <f>IF($C108,'Backlog General'!$L108,"")</f>
      </c>
      <c r="AI108" s="201">
        <f>IF($C108,$AV108*100000+ROW(),"")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c r="AO108" s="202">
        <f>IF($C108,IFERROR(VLOOKUP($D108,'Sprints'!$G$5:$H$12,2,FALSE),"Semanal"),"")</f>
      </c>
      <c r="AP108" s="201">
        <f>IF($C108,IF($AO108="Semanal",'Sprints'!$D$5,IF($AO108="Quincenal",'Sprints'!$D$6,'Sprints'!$D$7)),"")</f>
      </c>
      <c r="AQ108" s="201">
        <f>IF($C108,IF($AO108="Semanal",'Sprints'!$C$5,IF($AO108="Quincenal",'Sprints'!$C$6,'Sprints'!$C$7)),"")</f>
      </c>
      <c r="AR108" s="201">
        <f>IF($C108,MAX(1,INT(($H108-$AQ108)/$AP108)+1),"")</f>
      </c>
      <c r="AS108" s="201">
        <f>IF($C108,IF($AO108="Semanal",'Sprints'!$E$5,IF($AO108="Quincenal",'Sprints'!$E$6,'Sprints'!$E$7)),"")</f>
      </c>
      <c r="AT108" s="202">
        <f>IF($C108,'Backlog General'!$G108,"")</f>
      </c>
      <c r="AU108" s="202">
        <f>IF($C108,'Backlog General'!$H108,"")</f>
      </c>
      <c r="AV108" s="201">
        <f>IF($C108,IF(OR($AT108="Completo",$AU108="Cancelado",$AU108="Baja prioridad"),$AR108,IF($AU108="Pasa al siguiente",MAX($AR108+1,$AS108),MAX($AR108,$AS108))),"")</f>
      </c>
      <c r="AW108" s="201">
        <f>IF($C108,$AQ108+$AR108*$AP108-1,"")</f>
      </c>
      <c r="AX108" s="201">
        <f>IF($C108,IF(OR($AT108="Completo",$AU108="Cancelado",$AU108="Baja prioridad"),0,MAX(0,TODAY()-$AW108)),"")</f>
      </c>
      <c r="AY108" s="202">
        <f>IF($C108,IF($AT108="Completo","Completo",IF($AU108="Cancelado","Cancelado",IF($AU108="Baja prioridad","Baja prioridad",IF($AX108&gt;0,"Vencida","Pendiente")))),"")</f>
      </c>
      <c r="AZ108" s="202">
        <f>IF($C108,$AO108&amp;" · S"&amp;$AV108,"")</f>
      </c>
      <c r="BA108" s="201">
        <f>IF($C108,IF(AND(ISNUMBER('Backlog General'!$M108),'Backlog General'!$M108=$AS108),"Nuevo S"&amp;'Backlog General'!$M108,""),"")</f>
      </c>
      <c r="BB108" s="201">
        <f>IF(AND($C108,$AO108="Semanal"),$AV108*100000+ROW(),"")</f>
      </c>
      <c r="BC108" s="201">
        <f>IF(AND($C108,$AO108="Quincenal"),$AV108*100000+ROW(),"")</f>
      </c>
      <c r="BD108" s="201">
        <f>IF(AND($C108,$AO108="Mensual"),$AV108*100000+ROW(),"")</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IF($C109,$AV109,"")</f>
      </c>
      <c r="AE109" s="201">
        <f>IF($C109,$AZ109,"")</f>
      </c>
      <c r="AF109" s="201">
        <f>IF($C109,$AV109&lt;&gt;$AR109,FALSE)</f>
      </c>
      <c r="AG109" s="201">
        <f>IF($C109,IF($AV109&lt;&gt;$AR109,$AW109,""),"")</f>
      </c>
      <c r="AH109" s="202">
        <f>IF($C109,'Backlog General'!$L109,"")</f>
      </c>
      <c r="AI109" s="201">
        <f>IF($C109,$AV109*100000+ROW(),"")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c r="AO109" s="202">
        <f>IF($C109,IFERROR(VLOOKUP($D109,'Sprints'!$G$5:$H$12,2,FALSE),"Semanal"),"")</f>
      </c>
      <c r="AP109" s="201">
        <f>IF($C109,IF($AO109="Semanal",'Sprints'!$D$5,IF($AO109="Quincenal",'Sprints'!$D$6,'Sprints'!$D$7)),"")</f>
      </c>
      <c r="AQ109" s="201">
        <f>IF($C109,IF($AO109="Semanal",'Sprints'!$C$5,IF($AO109="Quincenal",'Sprints'!$C$6,'Sprints'!$C$7)),"")</f>
      </c>
      <c r="AR109" s="201">
        <f>IF($C109,MAX(1,INT(($H109-$AQ109)/$AP109)+1),"")</f>
      </c>
      <c r="AS109" s="201">
        <f>IF($C109,IF($AO109="Semanal",'Sprints'!$E$5,IF($AO109="Quincenal",'Sprints'!$E$6,'Sprints'!$E$7)),"")</f>
      </c>
      <c r="AT109" s="202">
        <f>IF($C109,'Backlog General'!$G109,"")</f>
      </c>
      <c r="AU109" s="202">
        <f>IF($C109,'Backlog General'!$H109,"")</f>
      </c>
      <c r="AV109" s="201">
        <f>IF($C109,IF(OR($AT109="Completo",$AU109="Cancelado",$AU109="Baja prioridad"),$AR109,IF($AU109="Pasa al siguiente",MAX($AR109+1,$AS109),MAX($AR109,$AS109))),"")</f>
      </c>
      <c r="AW109" s="201">
        <f>IF($C109,$AQ109+$AR109*$AP109-1,"")</f>
      </c>
      <c r="AX109" s="201">
        <f>IF($C109,IF(OR($AT109="Completo",$AU109="Cancelado",$AU109="Baja prioridad"),0,MAX(0,TODAY()-$AW109)),"")</f>
      </c>
      <c r="AY109" s="202">
        <f>IF($C109,IF($AT109="Completo","Completo",IF($AU109="Cancelado","Cancelado",IF($AU109="Baja prioridad","Baja prioridad",IF($AX109&gt;0,"Vencida","Pendiente")))),"")</f>
      </c>
      <c r="AZ109" s="202">
        <f>IF($C109,$AO109&amp;" · S"&amp;$AV109,"")</f>
      </c>
      <c r="BA109" s="201">
        <f>IF($C109,IF(AND(ISNUMBER('Backlog General'!$M109),'Backlog General'!$M109=$AS109),"Nuevo S"&amp;'Backlog General'!$M109,""),"")</f>
      </c>
      <c r="BB109" s="201">
        <f>IF(AND($C109,$AO109="Semanal"),$AV109*100000+ROW(),"")</f>
      </c>
      <c r="BC109" s="201">
        <f>IF(AND($C109,$AO109="Quincenal"),$AV109*100000+ROW(),"")</f>
      </c>
      <c r="BD109" s="201">
        <f>IF(AND($C109,$AO109="Mensual"),$AV109*100000+ROW(),"")</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IF($C110,$AV110,"")</f>
      </c>
      <c r="AE110" s="201">
        <f>IF($C110,$AZ110,"")</f>
      </c>
      <c r="AF110" s="201">
        <f>IF($C110,$AV110&lt;&gt;$AR110,FALSE)</f>
      </c>
      <c r="AG110" s="201">
        <f>IF($C110,IF($AV110&lt;&gt;$AR110,$AW110,""),"")</f>
      </c>
      <c r="AH110" s="202">
        <f>IF($C110,'Backlog General'!$L110,"")</f>
      </c>
      <c r="AI110" s="201">
        <f>IF($C110,$AV110*100000+ROW(),"")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c r="AO110" s="202">
        <f>IF($C110,IFERROR(VLOOKUP($D110,'Sprints'!$G$5:$H$12,2,FALSE),"Semanal"),"")</f>
      </c>
      <c r="AP110" s="201">
        <f>IF($C110,IF($AO110="Semanal",'Sprints'!$D$5,IF($AO110="Quincenal",'Sprints'!$D$6,'Sprints'!$D$7)),"")</f>
      </c>
      <c r="AQ110" s="201">
        <f>IF($C110,IF($AO110="Semanal",'Sprints'!$C$5,IF($AO110="Quincenal",'Sprints'!$C$6,'Sprints'!$C$7)),"")</f>
      </c>
      <c r="AR110" s="201">
        <f>IF($C110,MAX(1,INT(($H110-$AQ110)/$AP110)+1),"")</f>
      </c>
      <c r="AS110" s="201">
        <f>IF($C110,IF($AO110="Semanal",'Sprints'!$E$5,IF($AO110="Quincenal",'Sprints'!$E$6,'Sprints'!$E$7)),"")</f>
      </c>
      <c r="AT110" s="202">
        <f>IF($C110,'Backlog General'!$G110,"")</f>
      </c>
      <c r="AU110" s="202">
        <f>IF($C110,'Backlog General'!$H110,"")</f>
      </c>
      <c r="AV110" s="201">
        <f>IF($C110,IF(OR($AT110="Completo",$AU110="Cancelado",$AU110="Baja prioridad"),$AR110,IF($AU110="Pasa al siguiente",MAX($AR110+1,$AS110),MAX($AR110,$AS110))),"")</f>
      </c>
      <c r="AW110" s="201">
        <f>IF($C110,$AQ110+$AR110*$AP110-1,"")</f>
      </c>
      <c r="AX110" s="201">
        <f>IF($C110,IF(OR($AT110="Completo",$AU110="Cancelado",$AU110="Baja prioridad"),0,MAX(0,TODAY()-$AW110)),"")</f>
      </c>
      <c r="AY110" s="202">
        <f>IF($C110,IF($AT110="Completo","Completo",IF($AU110="Cancelado","Cancelado",IF($AU110="Baja prioridad","Baja prioridad",IF($AX110&gt;0,"Vencida","Pendiente")))),"")</f>
      </c>
      <c r="AZ110" s="202">
        <f>IF($C110,$AO110&amp;" · S"&amp;$AV110,"")</f>
      </c>
      <c r="BA110" s="201">
        <f>IF($C110,IF(AND(ISNUMBER('Backlog General'!$M110),'Backlog General'!$M110=$AS110),"Nuevo S"&amp;'Backlog General'!$M110,""),"")</f>
      </c>
      <c r="BB110" s="201">
        <f>IF(AND($C110,$AO110="Semanal"),$AV110*100000+ROW(),"")</f>
      </c>
      <c r="BC110" s="201">
        <f>IF(AND($C110,$AO110="Quincenal"),$AV110*100000+ROW(),"")</f>
      </c>
      <c r="BD110" s="201">
        <f>IF(AND($C110,$AO110="Mensual"),$AV110*100000+ROW(),"")</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IF($C111,$AV111,"")</f>
      </c>
      <c r="AE111" s="201">
        <f>IF($C111,$AZ111,"")</f>
      </c>
      <c r="AF111" s="201">
        <f>IF($C111,$AV111&lt;&gt;$AR111,FALSE)</f>
      </c>
      <c r="AG111" s="201">
        <f>IF($C111,IF($AV111&lt;&gt;$AR111,$AW111,""),"")</f>
      </c>
      <c r="AH111" s="202">
        <f>IF($C111,'Backlog General'!$L111,"")</f>
      </c>
      <c r="AI111" s="201">
        <f>IF($C111,$AV111*100000+ROW(),"")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c r="AO111" s="202">
        <f>IF($C111,IFERROR(VLOOKUP($D111,'Sprints'!$G$5:$H$12,2,FALSE),"Semanal"),"")</f>
      </c>
      <c r="AP111" s="201">
        <f>IF($C111,IF($AO111="Semanal",'Sprints'!$D$5,IF($AO111="Quincenal",'Sprints'!$D$6,'Sprints'!$D$7)),"")</f>
      </c>
      <c r="AQ111" s="201">
        <f>IF($C111,IF($AO111="Semanal",'Sprints'!$C$5,IF($AO111="Quincenal",'Sprints'!$C$6,'Sprints'!$C$7)),"")</f>
      </c>
      <c r="AR111" s="201">
        <f>IF($C111,MAX(1,INT(($H111-$AQ111)/$AP111)+1),"")</f>
      </c>
      <c r="AS111" s="201">
        <f>IF($C111,IF($AO111="Semanal",'Sprints'!$E$5,IF($AO111="Quincenal",'Sprints'!$E$6,'Sprints'!$E$7)),"")</f>
      </c>
      <c r="AT111" s="202">
        <f>IF($C111,'Backlog General'!$G111,"")</f>
      </c>
      <c r="AU111" s="202">
        <f>IF($C111,'Backlog General'!$H111,"")</f>
      </c>
      <c r="AV111" s="201">
        <f>IF($C111,IF(OR($AT111="Completo",$AU111="Cancelado",$AU111="Baja prioridad"),$AR111,IF($AU111="Pasa al siguiente",MAX($AR111+1,$AS111),MAX($AR111,$AS111))),"")</f>
      </c>
      <c r="AW111" s="201">
        <f>IF($C111,$AQ111+$AR111*$AP111-1,"")</f>
      </c>
      <c r="AX111" s="201">
        <f>IF($C111,IF(OR($AT111="Completo",$AU111="Cancelado",$AU111="Baja prioridad"),0,MAX(0,TODAY()-$AW111)),"")</f>
      </c>
      <c r="AY111" s="202">
        <f>IF($C111,IF($AT111="Completo","Completo",IF($AU111="Cancelado","Cancelado",IF($AU111="Baja prioridad","Baja prioridad",IF($AX111&gt;0,"Vencida","Pendiente")))),"")</f>
      </c>
      <c r="AZ111" s="202">
        <f>IF($C111,$AO111&amp;" · S"&amp;$AV111,"")</f>
      </c>
      <c r="BA111" s="201">
        <f>IF($C111,IF(AND(ISNUMBER('Backlog General'!$M111),'Backlog General'!$M111=$AS111),"Nuevo S"&amp;'Backlog General'!$M111,""),"")</f>
      </c>
      <c r="BB111" s="201">
        <f>IF(AND($C111,$AO111="Semanal"),$AV111*100000+ROW(),"")</f>
      </c>
      <c r="BC111" s="201">
        <f>IF(AND($C111,$AO111="Quincenal"),$AV111*100000+ROW(),"")</f>
      </c>
      <c r="BD111" s="201">
        <f>IF(AND($C111,$AO111="Mensual"),$AV111*100000+ROW(),"")</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IF($C112,$AV112,"")</f>
      </c>
      <c r="AE112" s="201">
        <f>IF($C112,$AZ112,"")</f>
      </c>
      <c r="AF112" s="201">
        <f>IF($C112,$AV112&lt;&gt;$AR112,FALSE)</f>
      </c>
      <c r="AG112" s="201">
        <f>IF($C112,IF($AV112&lt;&gt;$AR112,$AW112,""),"")</f>
      </c>
      <c r="AH112" s="202">
        <f>IF($C112,'Backlog General'!$L112,"")</f>
      </c>
      <c r="AI112" s="201">
        <f>IF($C112,$AV112*100000+ROW(),"")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c r="AO112" s="202">
        <f>IF($C112,IFERROR(VLOOKUP($D112,'Sprints'!$G$5:$H$12,2,FALSE),"Semanal"),"")</f>
      </c>
      <c r="AP112" s="201">
        <f>IF($C112,IF($AO112="Semanal",'Sprints'!$D$5,IF($AO112="Quincenal",'Sprints'!$D$6,'Sprints'!$D$7)),"")</f>
      </c>
      <c r="AQ112" s="201">
        <f>IF($C112,IF($AO112="Semanal",'Sprints'!$C$5,IF($AO112="Quincenal",'Sprints'!$C$6,'Sprints'!$C$7)),"")</f>
      </c>
      <c r="AR112" s="201">
        <f>IF($C112,MAX(1,INT(($H112-$AQ112)/$AP112)+1),"")</f>
      </c>
      <c r="AS112" s="201">
        <f>IF($C112,IF($AO112="Semanal",'Sprints'!$E$5,IF($AO112="Quincenal",'Sprints'!$E$6,'Sprints'!$E$7)),"")</f>
      </c>
      <c r="AT112" s="202">
        <f>IF($C112,'Backlog General'!$G112,"")</f>
      </c>
      <c r="AU112" s="202">
        <f>IF($C112,'Backlog General'!$H112,"")</f>
      </c>
      <c r="AV112" s="201">
        <f>IF($C112,IF(OR($AT112="Completo",$AU112="Cancelado",$AU112="Baja prioridad"),$AR112,IF($AU112="Pasa al siguiente",MAX($AR112+1,$AS112),MAX($AR112,$AS112))),"")</f>
      </c>
      <c r="AW112" s="201">
        <f>IF($C112,$AQ112+$AR112*$AP112-1,"")</f>
      </c>
      <c r="AX112" s="201">
        <f>IF($C112,IF(OR($AT112="Completo",$AU112="Cancelado",$AU112="Baja prioridad"),0,MAX(0,TODAY()-$AW112)),"")</f>
      </c>
      <c r="AY112" s="202">
        <f>IF($C112,IF($AT112="Completo","Completo",IF($AU112="Cancelado","Cancelado",IF($AU112="Baja prioridad","Baja prioridad",IF($AX112&gt;0,"Vencida","Pendiente")))),"")</f>
      </c>
      <c r="AZ112" s="202">
        <f>IF($C112,$AO112&amp;" · S"&amp;$AV112,"")</f>
      </c>
      <c r="BA112" s="201">
        <f>IF($C112,IF(AND(ISNUMBER('Backlog General'!$M112),'Backlog General'!$M112=$AS112),"Nuevo S"&amp;'Backlog General'!$M112,""),"")</f>
      </c>
      <c r="BB112" s="201">
        <f>IF(AND($C112,$AO112="Semanal"),$AV112*100000+ROW(),"")</f>
      </c>
      <c r="BC112" s="201">
        <f>IF(AND($C112,$AO112="Quincenal"),$AV112*100000+ROW(),"")</f>
      </c>
      <c r="BD112" s="201">
        <f>IF(AND($C112,$AO112="Mensual"),$AV112*100000+ROW(),"")</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IF($C113,$AV113,"")</f>
      </c>
      <c r="AE113" s="201">
        <f>IF($C113,$AZ113,"")</f>
      </c>
      <c r="AF113" s="201">
        <f>IF($C113,$AV113&lt;&gt;$AR113,FALSE)</f>
      </c>
      <c r="AG113" s="201">
        <f>IF($C113,IF($AV113&lt;&gt;$AR113,$AW113,""),"")</f>
      </c>
      <c r="AH113" s="202">
        <f>IF($C113,'Backlog General'!$L113,"")</f>
      </c>
      <c r="AI113" s="201">
        <f>IF($C113,$AV113*100000+ROW(),"")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c r="AO113" s="202">
        <f>IF($C113,IFERROR(VLOOKUP($D113,'Sprints'!$G$5:$H$12,2,FALSE),"Semanal"),"")</f>
      </c>
      <c r="AP113" s="201">
        <f>IF($C113,IF($AO113="Semanal",'Sprints'!$D$5,IF($AO113="Quincenal",'Sprints'!$D$6,'Sprints'!$D$7)),"")</f>
      </c>
      <c r="AQ113" s="201">
        <f>IF($C113,IF($AO113="Semanal",'Sprints'!$C$5,IF($AO113="Quincenal",'Sprints'!$C$6,'Sprints'!$C$7)),"")</f>
      </c>
      <c r="AR113" s="201">
        <f>IF($C113,MAX(1,INT(($H113-$AQ113)/$AP113)+1),"")</f>
      </c>
      <c r="AS113" s="201">
        <f>IF($C113,IF($AO113="Semanal",'Sprints'!$E$5,IF($AO113="Quincenal",'Sprints'!$E$6,'Sprints'!$E$7)),"")</f>
      </c>
      <c r="AT113" s="202">
        <f>IF($C113,'Backlog General'!$G113,"")</f>
      </c>
      <c r="AU113" s="202">
        <f>IF($C113,'Backlog General'!$H113,"")</f>
      </c>
      <c r="AV113" s="201">
        <f>IF($C113,IF(OR($AT113="Completo",$AU113="Cancelado",$AU113="Baja prioridad"),$AR113,IF($AU113="Pasa al siguiente",MAX($AR113+1,$AS113),MAX($AR113,$AS113))),"")</f>
      </c>
      <c r="AW113" s="201">
        <f>IF($C113,$AQ113+$AR113*$AP113-1,"")</f>
      </c>
      <c r="AX113" s="201">
        <f>IF($C113,IF(OR($AT113="Completo",$AU113="Cancelado",$AU113="Baja prioridad"),0,MAX(0,TODAY()-$AW113)),"")</f>
      </c>
      <c r="AY113" s="202">
        <f>IF($C113,IF($AT113="Completo","Completo",IF($AU113="Cancelado","Cancelado",IF($AU113="Baja prioridad","Baja prioridad",IF($AX113&gt;0,"Vencida","Pendiente")))),"")</f>
      </c>
      <c r="AZ113" s="202">
        <f>IF($C113,$AO113&amp;" · S"&amp;$AV113,"")</f>
      </c>
      <c r="BA113" s="201">
        <f>IF($C113,IF(AND(ISNUMBER('Backlog General'!$M113),'Backlog General'!$M113=$AS113),"Nuevo S"&amp;'Backlog General'!$M113,""),"")</f>
      </c>
      <c r="BB113" s="201">
        <f>IF(AND($C113,$AO113="Semanal"),$AV113*100000+ROW(),"")</f>
      </c>
      <c r="BC113" s="201">
        <f>IF(AND($C113,$AO113="Quincenal"),$AV113*100000+ROW(),"")</f>
      </c>
      <c r="BD113" s="201">
        <f>IF(AND($C113,$AO113="Mensual"),$AV113*100000+ROW(),"")</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IF($C114,$AV114,"")</f>
      </c>
      <c r="AE114" s="201">
        <f>IF($C114,$AZ114,"")</f>
      </c>
      <c r="AF114" s="201">
        <f>IF($C114,$AV114&lt;&gt;$AR114,FALSE)</f>
      </c>
      <c r="AG114" s="201">
        <f>IF($C114,IF($AV114&lt;&gt;$AR114,$AW114,""),"")</f>
      </c>
      <c r="AH114" s="202">
        <f>IF($C114,'Backlog General'!$L114,"")</f>
      </c>
      <c r="AI114" s="201">
        <f>IF($C114,$AV114*100000+ROW(),"")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c r="AO114" s="202">
        <f>IF($C114,IFERROR(VLOOKUP($D114,'Sprints'!$G$5:$H$12,2,FALSE),"Semanal"),"")</f>
      </c>
      <c r="AP114" s="201">
        <f>IF($C114,IF($AO114="Semanal",'Sprints'!$D$5,IF($AO114="Quincenal",'Sprints'!$D$6,'Sprints'!$D$7)),"")</f>
      </c>
      <c r="AQ114" s="201">
        <f>IF($C114,IF($AO114="Semanal",'Sprints'!$C$5,IF($AO114="Quincenal",'Sprints'!$C$6,'Sprints'!$C$7)),"")</f>
      </c>
      <c r="AR114" s="201">
        <f>IF($C114,MAX(1,INT(($H114-$AQ114)/$AP114)+1),"")</f>
      </c>
      <c r="AS114" s="201">
        <f>IF($C114,IF($AO114="Semanal",'Sprints'!$E$5,IF($AO114="Quincenal",'Sprints'!$E$6,'Sprints'!$E$7)),"")</f>
      </c>
      <c r="AT114" s="202">
        <f>IF($C114,'Backlog General'!$G114,"")</f>
      </c>
      <c r="AU114" s="202">
        <f>IF($C114,'Backlog General'!$H114,"")</f>
      </c>
      <c r="AV114" s="201">
        <f>IF($C114,IF(OR($AT114="Completo",$AU114="Cancelado",$AU114="Baja prioridad"),$AR114,IF($AU114="Pasa al siguiente",MAX($AR114+1,$AS114),MAX($AR114,$AS114))),"")</f>
      </c>
      <c r="AW114" s="201">
        <f>IF($C114,$AQ114+$AR114*$AP114-1,"")</f>
      </c>
      <c r="AX114" s="201">
        <f>IF($C114,IF(OR($AT114="Completo",$AU114="Cancelado",$AU114="Baja prioridad"),0,MAX(0,TODAY()-$AW114)),"")</f>
      </c>
      <c r="AY114" s="202">
        <f>IF($C114,IF($AT114="Completo","Completo",IF($AU114="Cancelado","Cancelado",IF($AU114="Baja prioridad","Baja prioridad",IF($AX114&gt;0,"Vencida","Pendiente")))),"")</f>
      </c>
      <c r="AZ114" s="202">
        <f>IF($C114,$AO114&amp;" · S"&amp;$AV114,"")</f>
      </c>
      <c r="BA114" s="201">
        <f>IF($C114,IF(AND(ISNUMBER('Backlog General'!$M114),'Backlog General'!$M114=$AS114),"Nuevo S"&amp;'Backlog General'!$M114,""),"")</f>
      </c>
      <c r="BB114" s="201">
        <f>IF(AND($C114,$AO114="Semanal"),$AV114*100000+ROW(),"")</f>
      </c>
      <c r="BC114" s="201">
        <f>IF(AND($C114,$AO114="Quincenal"),$AV114*100000+ROW(),"")</f>
      </c>
      <c r="BD114" s="201">
        <f>IF(AND($C114,$AO114="Mensual"),$AV114*100000+ROW(),"")</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IF($C115,$AV115,"")</f>
      </c>
      <c r="AE115" s="201">
        <f>IF($C115,$AZ115,"")</f>
      </c>
      <c r="AF115" s="201">
        <f>IF($C115,$AV115&lt;&gt;$AR115,FALSE)</f>
      </c>
      <c r="AG115" s="201">
        <f>IF($C115,IF($AV115&lt;&gt;$AR115,$AW115,""),"")</f>
      </c>
      <c r="AH115" s="202">
        <f>IF($C115,'Backlog General'!$L115,"")</f>
      </c>
      <c r="AI115" s="201">
        <f>IF($C115,$AV115*100000+ROW(),"")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c r="AO115" s="202">
        <f>IF($C115,IFERROR(VLOOKUP($D115,'Sprints'!$G$5:$H$12,2,FALSE),"Semanal"),"")</f>
      </c>
      <c r="AP115" s="201">
        <f>IF($C115,IF($AO115="Semanal",'Sprints'!$D$5,IF($AO115="Quincenal",'Sprints'!$D$6,'Sprints'!$D$7)),"")</f>
      </c>
      <c r="AQ115" s="201">
        <f>IF($C115,IF($AO115="Semanal",'Sprints'!$C$5,IF($AO115="Quincenal",'Sprints'!$C$6,'Sprints'!$C$7)),"")</f>
      </c>
      <c r="AR115" s="201">
        <f>IF($C115,MAX(1,INT(($H115-$AQ115)/$AP115)+1),"")</f>
      </c>
      <c r="AS115" s="201">
        <f>IF($C115,IF($AO115="Semanal",'Sprints'!$E$5,IF($AO115="Quincenal",'Sprints'!$E$6,'Sprints'!$E$7)),"")</f>
      </c>
      <c r="AT115" s="202">
        <f>IF($C115,'Backlog General'!$G115,"")</f>
      </c>
      <c r="AU115" s="202">
        <f>IF($C115,'Backlog General'!$H115,"")</f>
      </c>
      <c r="AV115" s="201">
        <f>IF($C115,IF(OR($AT115="Completo",$AU115="Cancelado",$AU115="Baja prioridad"),$AR115,IF($AU115="Pasa al siguiente",MAX($AR115+1,$AS115),MAX($AR115,$AS115))),"")</f>
      </c>
      <c r="AW115" s="201">
        <f>IF($C115,$AQ115+$AR115*$AP115-1,"")</f>
      </c>
      <c r="AX115" s="201">
        <f>IF($C115,IF(OR($AT115="Completo",$AU115="Cancelado",$AU115="Baja prioridad"),0,MAX(0,TODAY()-$AW115)),"")</f>
      </c>
      <c r="AY115" s="202">
        <f>IF($C115,IF($AT115="Completo","Completo",IF($AU115="Cancelado","Cancelado",IF($AU115="Baja prioridad","Baja prioridad",IF($AX115&gt;0,"Vencida","Pendiente")))),"")</f>
      </c>
      <c r="AZ115" s="202">
        <f>IF($C115,$AO115&amp;" · S"&amp;$AV115,"")</f>
      </c>
      <c r="BA115" s="201">
        <f>IF($C115,IF(AND(ISNUMBER('Backlog General'!$M115),'Backlog General'!$M115=$AS115),"Nuevo S"&amp;'Backlog General'!$M115,""),"")</f>
      </c>
      <c r="BB115" s="201">
        <f>IF(AND($C115,$AO115="Semanal"),$AV115*100000+ROW(),"")</f>
      </c>
      <c r="BC115" s="201">
        <f>IF(AND($C115,$AO115="Quincenal"),$AV115*100000+ROW(),"")</f>
      </c>
      <c r="BD115" s="201">
        <f>IF(AND($C115,$AO115="Mensual"),$AV115*100000+ROW(),"")</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IF($C116,$AV116,"")</f>
      </c>
      <c r="AE116" s="201">
        <f>IF($C116,$AZ116,"")</f>
      </c>
      <c r="AF116" s="201">
        <f>IF($C116,$AV116&lt;&gt;$AR116,FALSE)</f>
      </c>
      <c r="AG116" s="201">
        <f>IF($C116,IF($AV116&lt;&gt;$AR116,$AW116,""),"")</f>
      </c>
      <c r="AH116" s="202">
        <f>IF($C116,'Backlog General'!$L116,"")</f>
      </c>
      <c r="AI116" s="201">
        <f>IF($C116,$AV116*100000+ROW(),"")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c r="AO116" s="202">
        <f>IF($C116,IFERROR(VLOOKUP($D116,'Sprints'!$G$5:$H$12,2,FALSE),"Semanal"),"")</f>
      </c>
      <c r="AP116" s="201">
        <f>IF($C116,IF($AO116="Semanal",'Sprints'!$D$5,IF($AO116="Quincenal",'Sprints'!$D$6,'Sprints'!$D$7)),"")</f>
      </c>
      <c r="AQ116" s="201">
        <f>IF($C116,IF($AO116="Semanal",'Sprints'!$C$5,IF($AO116="Quincenal",'Sprints'!$C$6,'Sprints'!$C$7)),"")</f>
      </c>
      <c r="AR116" s="201">
        <f>IF($C116,MAX(1,INT(($H116-$AQ116)/$AP116)+1),"")</f>
      </c>
      <c r="AS116" s="201">
        <f>IF($C116,IF($AO116="Semanal",'Sprints'!$E$5,IF($AO116="Quincenal",'Sprints'!$E$6,'Sprints'!$E$7)),"")</f>
      </c>
      <c r="AT116" s="202">
        <f>IF($C116,'Backlog General'!$G116,"")</f>
      </c>
      <c r="AU116" s="202">
        <f>IF($C116,'Backlog General'!$H116,"")</f>
      </c>
      <c r="AV116" s="201">
        <f>IF($C116,IF(OR($AT116="Completo",$AU116="Cancelado",$AU116="Baja prioridad"),$AR116,IF($AU116="Pasa al siguiente",MAX($AR116+1,$AS116),MAX($AR116,$AS116))),"")</f>
      </c>
      <c r="AW116" s="201">
        <f>IF($C116,$AQ116+$AR116*$AP116-1,"")</f>
      </c>
      <c r="AX116" s="201">
        <f>IF($C116,IF(OR($AT116="Completo",$AU116="Cancelado",$AU116="Baja prioridad"),0,MAX(0,TODAY()-$AW116)),"")</f>
      </c>
      <c r="AY116" s="202">
        <f>IF($C116,IF($AT116="Completo","Completo",IF($AU116="Cancelado","Cancelado",IF($AU116="Baja prioridad","Baja prioridad",IF($AX116&gt;0,"Vencida","Pendiente")))),"")</f>
      </c>
      <c r="AZ116" s="202">
        <f>IF($C116,$AO116&amp;" · S"&amp;$AV116,"")</f>
      </c>
      <c r="BA116" s="201">
        <f>IF($C116,IF(AND(ISNUMBER('Backlog General'!$M116),'Backlog General'!$M116=$AS116),"Nuevo S"&amp;'Backlog General'!$M116,""),"")</f>
      </c>
      <c r="BB116" s="201">
        <f>IF(AND($C116,$AO116="Semanal"),$AV116*100000+ROW(),"")</f>
      </c>
      <c r="BC116" s="201">
        <f>IF(AND($C116,$AO116="Quincenal"),$AV116*100000+ROW(),"")</f>
      </c>
      <c r="BD116" s="201">
        <f>IF(AND($C116,$AO116="Mensual"),$AV116*100000+ROW(),"")</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IF($C117,$AV117,"")</f>
      </c>
      <c r="AE117" s="201">
        <f>IF($C117,$AZ117,"")</f>
      </c>
      <c r="AF117" s="201">
        <f>IF($C117,$AV117&lt;&gt;$AR117,FALSE)</f>
      </c>
      <c r="AG117" s="201">
        <f>IF($C117,IF($AV117&lt;&gt;$AR117,$AW117,""),"")</f>
      </c>
      <c r="AH117" s="202">
        <f>IF($C117,'Backlog General'!$L117,"")</f>
      </c>
      <c r="AI117" s="201">
        <f>IF($C117,$AV117*100000+ROW(),"")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c r="AO117" s="202">
        <f>IF($C117,IFERROR(VLOOKUP($D117,'Sprints'!$G$5:$H$12,2,FALSE),"Semanal"),"")</f>
      </c>
      <c r="AP117" s="201">
        <f>IF($C117,IF($AO117="Semanal",'Sprints'!$D$5,IF($AO117="Quincenal",'Sprints'!$D$6,'Sprints'!$D$7)),"")</f>
      </c>
      <c r="AQ117" s="201">
        <f>IF($C117,IF($AO117="Semanal",'Sprints'!$C$5,IF($AO117="Quincenal",'Sprints'!$C$6,'Sprints'!$C$7)),"")</f>
      </c>
      <c r="AR117" s="201">
        <f>IF($C117,MAX(1,INT(($H117-$AQ117)/$AP117)+1),"")</f>
      </c>
      <c r="AS117" s="201">
        <f>IF($C117,IF($AO117="Semanal",'Sprints'!$E$5,IF($AO117="Quincenal",'Sprints'!$E$6,'Sprints'!$E$7)),"")</f>
      </c>
      <c r="AT117" s="202">
        <f>IF($C117,'Backlog General'!$G117,"")</f>
      </c>
      <c r="AU117" s="202">
        <f>IF($C117,'Backlog General'!$H117,"")</f>
      </c>
      <c r="AV117" s="201">
        <f>IF($C117,IF(OR($AT117="Completo",$AU117="Cancelado",$AU117="Baja prioridad"),$AR117,IF($AU117="Pasa al siguiente",MAX($AR117+1,$AS117),MAX($AR117,$AS117))),"")</f>
      </c>
      <c r="AW117" s="201">
        <f>IF($C117,$AQ117+$AR117*$AP117-1,"")</f>
      </c>
      <c r="AX117" s="201">
        <f>IF($C117,IF(OR($AT117="Completo",$AU117="Cancelado",$AU117="Baja prioridad"),0,MAX(0,TODAY()-$AW117)),"")</f>
      </c>
      <c r="AY117" s="202">
        <f>IF($C117,IF($AT117="Completo","Completo",IF($AU117="Cancelado","Cancelado",IF($AU117="Baja prioridad","Baja prioridad",IF($AX117&gt;0,"Vencida","Pendiente")))),"")</f>
      </c>
      <c r="AZ117" s="202">
        <f>IF($C117,$AO117&amp;" · S"&amp;$AV117,"")</f>
      </c>
      <c r="BA117" s="201">
        <f>IF($C117,IF(AND(ISNUMBER('Backlog General'!$M117),'Backlog General'!$M117=$AS117),"Nuevo S"&amp;'Backlog General'!$M117,""),"")</f>
      </c>
      <c r="BB117" s="201">
        <f>IF(AND($C117,$AO117="Semanal"),$AV117*100000+ROW(),"")</f>
      </c>
      <c r="BC117" s="201">
        <f>IF(AND($C117,$AO117="Quincenal"),$AV117*100000+ROW(),"")</f>
      </c>
      <c r="BD117" s="201">
        <f>IF(AND($C117,$AO117="Mensual"),$AV117*100000+ROW(),"")</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IF($C118,$AV118,"")</f>
      </c>
      <c r="AE118" s="201">
        <f>IF($C118,$AZ118,"")</f>
      </c>
      <c r="AF118" s="201">
        <f>IF($C118,$AV118&lt;&gt;$AR118,FALSE)</f>
      </c>
      <c r="AG118" s="201">
        <f>IF($C118,IF($AV118&lt;&gt;$AR118,$AW118,""),"")</f>
      </c>
      <c r="AH118" s="202">
        <f>IF($C118,'Backlog General'!$L118,"")</f>
      </c>
      <c r="AI118" s="201">
        <f>IF($C118,$AV118*100000+ROW(),"")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c r="AO118" s="202">
        <f>IF($C118,IFERROR(VLOOKUP($D118,'Sprints'!$G$5:$H$12,2,FALSE),"Semanal"),"")</f>
      </c>
      <c r="AP118" s="201">
        <f>IF($C118,IF($AO118="Semanal",'Sprints'!$D$5,IF($AO118="Quincenal",'Sprints'!$D$6,'Sprints'!$D$7)),"")</f>
      </c>
      <c r="AQ118" s="201">
        <f>IF($C118,IF($AO118="Semanal",'Sprints'!$C$5,IF($AO118="Quincenal",'Sprints'!$C$6,'Sprints'!$C$7)),"")</f>
      </c>
      <c r="AR118" s="201">
        <f>IF($C118,MAX(1,INT(($H118-$AQ118)/$AP118)+1),"")</f>
      </c>
      <c r="AS118" s="201">
        <f>IF($C118,IF($AO118="Semanal",'Sprints'!$E$5,IF($AO118="Quincenal",'Sprints'!$E$6,'Sprints'!$E$7)),"")</f>
      </c>
      <c r="AT118" s="202">
        <f>IF($C118,'Backlog General'!$G118,"")</f>
      </c>
      <c r="AU118" s="202">
        <f>IF($C118,'Backlog General'!$H118,"")</f>
      </c>
      <c r="AV118" s="201">
        <f>IF($C118,IF(OR($AT118="Completo",$AU118="Cancelado",$AU118="Baja prioridad"),$AR118,IF($AU118="Pasa al siguiente",MAX($AR118+1,$AS118),MAX($AR118,$AS118))),"")</f>
      </c>
      <c r="AW118" s="201">
        <f>IF($C118,$AQ118+$AR118*$AP118-1,"")</f>
      </c>
      <c r="AX118" s="201">
        <f>IF($C118,IF(OR($AT118="Completo",$AU118="Cancelado",$AU118="Baja prioridad"),0,MAX(0,TODAY()-$AW118)),"")</f>
      </c>
      <c r="AY118" s="202">
        <f>IF($C118,IF($AT118="Completo","Completo",IF($AU118="Cancelado","Cancelado",IF($AU118="Baja prioridad","Baja prioridad",IF($AX118&gt;0,"Vencida","Pendiente")))),"")</f>
      </c>
      <c r="AZ118" s="202">
        <f>IF($C118,$AO118&amp;" · S"&amp;$AV118,"")</f>
      </c>
      <c r="BA118" s="201">
        <f>IF($C118,IF(AND(ISNUMBER('Backlog General'!$M118),'Backlog General'!$M118=$AS118),"Nuevo S"&amp;'Backlog General'!$M118,""),"")</f>
      </c>
      <c r="BB118" s="201">
        <f>IF(AND($C118,$AO118="Semanal"),$AV118*100000+ROW(),"")</f>
      </c>
      <c r="BC118" s="201">
        <f>IF(AND($C118,$AO118="Quincenal"),$AV118*100000+ROW(),"")</f>
      </c>
      <c r="BD118" s="201">
        <f>IF(AND($C118,$AO118="Mensual"),$AV118*100000+ROW(),"")</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IF($C119,$AV119,"")</f>
      </c>
      <c r="AE119" s="201">
        <f>IF($C119,$AZ119,"")</f>
      </c>
      <c r="AF119" s="201">
        <f>IF($C119,$AV119&lt;&gt;$AR119,FALSE)</f>
      </c>
      <c r="AG119" s="201">
        <f>IF($C119,IF($AV119&lt;&gt;$AR119,$AW119,""),"")</f>
      </c>
      <c r="AH119" s="202">
        <f>IF($C119,'Backlog General'!$L119,"")</f>
      </c>
      <c r="AI119" s="201">
        <f>IF($C119,$AV119*100000+ROW(),"")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c r="AO119" s="202">
        <f>IF($C119,IFERROR(VLOOKUP($D119,'Sprints'!$G$5:$H$12,2,FALSE),"Semanal"),"")</f>
      </c>
      <c r="AP119" s="201">
        <f>IF($C119,IF($AO119="Semanal",'Sprints'!$D$5,IF($AO119="Quincenal",'Sprints'!$D$6,'Sprints'!$D$7)),"")</f>
      </c>
      <c r="AQ119" s="201">
        <f>IF($C119,IF($AO119="Semanal",'Sprints'!$C$5,IF($AO119="Quincenal",'Sprints'!$C$6,'Sprints'!$C$7)),"")</f>
      </c>
      <c r="AR119" s="201">
        <f>IF($C119,MAX(1,INT(($H119-$AQ119)/$AP119)+1),"")</f>
      </c>
      <c r="AS119" s="201">
        <f>IF($C119,IF($AO119="Semanal",'Sprints'!$E$5,IF($AO119="Quincenal",'Sprints'!$E$6,'Sprints'!$E$7)),"")</f>
      </c>
      <c r="AT119" s="202">
        <f>IF($C119,'Backlog General'!$G119,"")</f>
      </c>
      <c r="AU119" s="202">
        <f>IF($C119,'Backlog General'!$H119,"")</f>
      </c>
      <c r="AV119" s="201">
        <f>IF($C119,IF(OR($AT119="Completo",$AU119="Cancelado",$AU119="Baja prioridad"),$AR119,IF($AU119="Pasa al siguiente",MAX($AR119+1,$AS119),MAX($AR119,$AS119))),"")</f>
      </c>
      <c r="AW119" s="201">
        <f>IF($C119,$AQ119+$AR119*$AP119-1,"")</f>
      </c>
      <c r="AX119" s="201">
        <f>IF($C119,IF(OR($AT119="Completo",$AU119="Cancelado",$AU119="Baja prioridad"),0,MAX(0,TODAY()-$AW119)),"")</f>
      </c>
      <c r="AY119" s="202">
        <f>IF($C119,IF($AT119="Completo","Completo",IF($AU119="Cancelado","Cancelado",IF($AU119="Baja prioridad","Baja prioridad",IF($AX119&gt;0,"Vencida","Pendiente")))),"")</f>
      </c>
      <c r="AZ119" s="202">
        <f>IF($C119,$AO119&amp;" · S"&amp;$AV119,"")</f>
      </c>
      <c r="BA119" s="201">
        <f>IF($C119,IF(AND(ISNUMBER('Backlog General'!$M119),'Backlog General'!$M119=$AS119),"Nuevo S"&amp;'Backlog General'!$M119,""),"")</f>
      </c>
      <c r="BB119" s="201">
        <f>IF(AND($C119,$AO119="Semanal"),$AV119*100000+ROW(),"")</f>
      </c>
      <c r="BC119" s="201">
        <f>IF(AND($C119,$AO119="Quincenal"),$AV119*100000+ROW(),"")</f>
      </c>
      <c r="BD119" s="201">
        <f>IF(AND($C119,$AO119="Mensual"),$AV119*100000+ROW(),"")</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IF($C120,$AV120,"")</f>
      </c>
      <c r="AE120" s="201">
        <f>IF($C120,$AZ120,"")</f>
      </c>
      <c r="AF120" s="201">
        <f>IF($C120,$AV120&lt;&gt;$AR120,FALSE)</f>
      </c>
      <c r="AG120" s="201">
        <f>IF($C120,IF($AV120&lt;&gt;$AR120,$AW120,""),"")</f>
      </c>
      <c r="AH120" s="202">
        <f>IF($C120,'Backlog General'!$L120,"")</f>
      </c>
      <c r="AI120" s="201">
        <f>IF($C120,$AV120*100000+ROW(),"")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c r="AO120" s="202">
        <f>IF($C120,IFERROR(VLOOKUP($D120,'Sprints'!$G$5:$H$12,2,FALSE),"Semanal"),"")</f>
      </c>
      <c r="AP120" s="201">
        <f>IF($C120,IF($AO120="Semanal",'Sprints'!$D$5,IF($AO120="Quincenal",'Sprints'!$D$6,'Sprints'!$D$7)),"")</f>
      </c>
      <c r="AQ120" s="201">
        <f>IF($C120,IF($AO120="Semanal",'Sprints'!$C$5,IF($AO120="Quincenal",'Sprints'!$C$6,'Sprints'!$C$7)),"")</f>
      </c>
      <c r="AR120" s="201">
        <f>IF($C120,MAX(1,INT(($H120-$AQ120)/$AP120)+1),"")</f>
      </c>
      <c r="AS120" s="201">
        <f>IF($C120,IF($AO120="Semanal",'Sprints'!$E$5,IF($AO120="Quincenal",'Sprints'!$E$6,'Sprints'!$E$7)),"")</f>
      </c>
      <c r="AT120" s="202">
        <f>IF($C120,'Backlog General'!$G120,"")</f>
      </c>
      <c r="AU120" s="202">
        <f>IF($C120,'Backlog General'!$H120,"")</f>
      </c>
      <c r="AV120" s="201">
        <f>IF($C120,IF(OR($AT120="Completo",$AU120="Cancelado",$AU120="Baja prioridad"),$AR120,IF($AU120="Pasa al siguiente",MAX($AR120+1,$AS120),MAX($AR120,$AS120))),"")</f>
      </c>
      <c r="AW120" s="201">
        <f>IF($C120,$AQ120+$AR120*$AP120-1,"")</f>
      </c>
      <c r="AX120" s="201">
        <f>IF($C120,IF(OR($AT120="Completo",$AU120="Cancelado",$AU120="Baja prioridad"),0,MAX(0,TODAY()-$AW120)),"")</f>
      </c>
      <c r="AY120" s="202">
        <f>IF($C120,IF($AT120="Completo","Completo",IF($AU120="Cancelado","Cancelado",IF($AU120="Baja prioridad","Baja prioridad",IF($AX120&gt;0,"Vencida","Pendiente")))),"")</f>
      </c>
      <c r="AZ120" s="202">
        <f>IF($C120,$AO120&amp;" · S"&amp;$AV120,"")</f>
      </c>
      <c r="BA120" s="201">
        <f>IF($C120,IF(AND(ISNUMBER('Backlog General'!$M120),'Backlog General'!$M120=$AS120),"Nuevo S"&amp;'Backlog General'!$M120,""),"")</f>
      </c>
      <c r="BB120" s="201">
        <f>IF(AND($C120,$AO120="Semanal"),$AV120*100000+ROW(),"")</f>
      </c>
      <c r="BC120" s="201">
        <f>IF(AND($C120,$AO120="Quincenal"),$AV120*100000+ROW(),"")</f>
      </c>
      <c r="BD120" s="201">
        <f>IF(AND($C120,$AO120="Mensual"),$AV120*100000+ROW(),"")</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IF($C121,$AV121,"")</f>
      </c>
      <c r="AE121" s="201">
        <f>IF($C121,$AZ121,"")</f>
      </c>
      <c r="AF121" s="201">
        <f>IF($C121,$AV121&lt;&gt;$AR121,FALSE)</f>
      </c>
      <c r="AG121" s="201">
        <f>IF($C121,IF($AV121&lt;&gt;$AR121,$AW121,""),"")</f>
      </c>
      <c r="AH121" s="202">
        <f>IF($C121,'Backlog General'!$L121,"")</f>
      </c>
      <c r="AI121" s="201">
        <f>IF($C121,$AV121*100000+ROW(),"")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c r="AO121" s="202">
        <f>IF($C121,IFERROR(VLOOKUP($D121,'Sprints'!$G$5:$H$12,2,FALSE),"Semanal"),"")</f>
      </c>
      <c r="AP121" s="201">
        <f>IF($C121,IF($AO121="Semanal",'Sprints'!$D$5,IF($AO121="Quincenal",'Sprints'!$D$6,'Sprints'!$D$7)),"")</f>
      </c>
      <c r="AQ121" s="201">
        <f>IF($C121,IF($AO121="Semanal",'Sprints'!$C$5,IF($AO121="Quincenal",'Sprints'!$C$6,'Sprints'!$C$7)),"")</f>
      </c>
      <c r="AR121" s="201">
        <f>IF($C121,MAX(1,INT(($H121-$AQ121)/$AP121)+1),"")</f>
      </c>
      <c r="AS121" s="201">
        <f>IF($C121,IF($AO121="Semanal",'Sprints'!$E$5,IF($AO121="Quincenal",'Sprints'!$E$6,'Sprints'!$E$7)),"")</f>
      </c>
      <c r="AT121" s="202">
        <f>IF($C121,'Backlog General'!$G121,"")</f>
      </c>
      <c r="AU121" s="202">
        <f>IF($C121,'Backlog General'!$H121,"")</f>
      </c>
      <c r="AV121" s="201">
        <f>IF($C121,IF(OR($AT121="Completo",$AU121="Cancelado",$AU121="Baja prioridad"),$AR121,IF($AU121="Pasa al siguiente",MAX($AR121+1,$AS121),MAX($AR121,$AS121))),"")</f>
      </c>
      <c r="AW121" s="201">
        <f>IF($C121,$AQ121+$AR121*$AP121-1,"")</f>
      </c>
      <c r="AX121" s="201">
        <f>IF($C121,IF(OR($AT121="Completo",$AU121="Cancelado",$AU121="Baja prioridad"),0,MAX(0,TODAY()-$AW121)),"")</f>
      </c>
      <c r="AY121" s="202">
        <f>IF($C121,IF($AT121="Completo","Completo",IF($AU121="Cancelado","Cancelado",IF($AU121="Baja prioridad","Baja prioridad",IF($AX121&gt;0,"Vencida","Pendiente")))),"")</f>
      </c>
      <c r="AZ121" s="202">
        <f>IF($C121,$AO121&amp;" · S"&amp;$AV121,"")</f>
      </c>
      <c r="BA121" s="201">
        <f>IF($C121,IF(AND(ISNUMBER('Backlog General'!$M121),'Backlog General'!$M121=$AS121),"Nuevo S"&amp;'Backlog General'!$M121,""),"")</f>
      </c>
      <c r="BB121" s="201">
        <f>IF(AND($C121,$AO121="Semanal"),$AV121*100000+ROW(),"")</f>
      </c>
      <c r="BC121" s="201">
        <f>IF(AND($C121,$AO121="Quincenal"),$AV121*100000+ROW(),"")</f>
      </c>
      <c r="BD121" s="201">
        <f>IF(AND($C121,$AO121="Mensual"),$AV121*100000+ROW(),"")</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IF($C122,$AV122,"")</f>
      </c>
      <c r="AE122" s="201">
        <f>IF($C122,$AZ122,"")</f>
      </c>
      <c r="AF122" s="201">
        <f>IF($C122,$AV122&lt;&gt;$AR122,FALSE)</f>
      </c>
      <c r="AG122" s="201">
        <f>IF($C122,IF($AV122&lt;&gt;$AR122,$AW122,""),"")</f>
      </c>
      <c r="AH122" s="202">
        <f>IF($C122,'Backlog General'!$L122,"")</f>
      </c>
      <c r="AI122" s="201">
        <f>IF($C122,$AV122*100000+ROW(),"")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c r="AO122" s="202">
        <f>IF($C122,IFERROR(VLOOKUP($D122,'Sprints'!$G$5:$H$12,2,FALSE),"Semanal"),"")</f>
      </c>
      <c r="AP122" s="201">
        <f>IF($C122,IF($AO122="Semanal",'Sprints'!$D$5,IF($AO122="Quincenal",'Sprints'!$D$6,'Sprints'!$D$7)),"")</f>
      </c>
      <c r="AQ122" s="201">
        <f>IF($C122,IF($AO122="Semanal",'Sprints'!$C$5,IF($AO122="Quincenal",'Sprints'!$C$6,'Sprints'!$C$7)),"")</f>
      </c>
      <c r="AR122" s="201">
        <f>IF($C122,MAX(1,INT(($H122-$AQ122)/$AP122)+1),"")</f>
      </c>
      <c r="AS122" s="201">
        <f>IF($C122,IF($AO122="Semanal",'Sprints'!$E$5,IF($AO122="Quincenal",'Sprints'!$E$6,'Sprints'!$E$7)),"")</f>
      </c>
      <c r="AT122" s="202">
        <f>IF($C122,'Backlog General'!$G122,"")</f>
      </c>
      <c r="AU122" s="202">
        <f>IF($C122,'Backlog General'!$H122,"")</f>
      </c>
      <c r="AV122" s="201">
        <f>IF($C122,IF(OR($AT122="Completo",$AU122="Cancelado",$AU122="Baja prioridad"),$AR122,IF($AU122="Pasa al siguiente",MAX($AR122+1,$AS122),MAX($AR122,$AS122))),"")</f>
      </c>
      <c r="AW122" s="201">
        <f>IF($C122,$AQ122+$AR122*$AP122-1,"")</f>
      </c>
      <c r="AX122" s="201">
        <f>IF($C122,IF(OR($AT122="Completo",$AU122="Cancelado",$AU122="Baja prioridad"),0,MAX(0,TODAY()-$AW122)),"")</f>
      </c>
      <c r="AY122" s="202">
        <f>IF($C122,IF($AT122="Completo","Completo",IF($AU122="Cancelado","Cancelado",IF($AU122="Baja prioridad","Baja prioridad",IF($AX122&gt;0,"Vencida","Pendiente")))),"")</f>
      </c>
      <c r="AZ122" s="202">
        <f>IF($C122,$AO122&amp;" · S"&amp;$AV122,"")</f>
      </c>
      <c r="BA122" s="201">
        <f>IF($C122,IF(AND(ISNUMBER('Backlog General'!$M122),'Backlog General'!$M122=$AS122),"Nuevo S"&amp;'Backlog General'!$M122,""),"")</f>
      </c>
      <c r="BB122" s="201">
        <f>IF(AND($C122,$AO122="Semanal"),$AV122*100000+ROW(),"")</f>
      </c>
      <c r="BC122" s="201">
        <f>IF(AND($C122,$AO122="Quincenal"),$AV122*100000+ROW(),"")</f>
      </c>
      <c r="BD122" s="201">
        <f>IF(AND($C122,$AO122="Mensual"),$AV122*100000+ROW(),"")</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IF($C123,$AV123,"")</f>
      </c>
      <c r="AE123" s="201">
        <f>IF($C123,$AZ123,"")</f>
      </c>
      <c r="AF123" s="201">
        <f>IF($C123,$AV123&lt;&gt;$AR123,FALSE)</f>
      </c>
      <c r="AG123" s="201">
        <f>IF($C123,IF($AV123&lt;&gt;$AR123,$AW123,""),"")</f>
      </c>
      <c r="AH123" s="202">
        <f>IF($C123,'Backlog General'!$L123,"")</f>
      </c>
      <c r="AI123" s="201">
        <f>IF($C123,$AV123*100000+ROW(),"")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c r="AO123" s="202">
        <f>IF($C123,IFERROR(VLOOKUP($D123,'Sprints'!$G$5:$H$12,2,FALSE),"Semanal"),"")</f>
      </c>
      <c r="AP123" s="201">
        <f>IF($C123,IF($AO123="Semanal",'Sprints'!$D$5,IF($AO123="Quincenal",'Sprints'!$D$6,'Sprints'!$D$7)),"")</f>
      </c>
      <c r="AQ123" s="201">
        <f>IF($C123,IF($AO123="Semanal",'Sprints'!$C$5,IF($AO123="Quincenal",'Sprints'!$C$6,'Sprints'!$C$7)),"")</f>
      </c>
      <c r="AR123" s="201">
        <f>IF($C123,MAX(1,INT(($H123-$AQ123)/$AP123)+1),"")</f>
      </c>
      <c r="AS123" s="201">
        <f>IF($C123,IF($AO123="Semanal",'Sprints'!$E$5,IF($AO123="Quincenal",'Sprints'!$E$6,'Sprints'!$E$7)),"")</f>
      </c>
      <c r="AT123" s="202">
        <f>IF($C123,'Backlog General'!$G123,"")</f>
      </c>
      <c r="AU123" s="202">
        <f>IF($C123,'Backlog General'!$H123,"")</f>
      </c>
      <c r="AV123" s="201">
        <f>IF($C123,IF(OR($AT123="Completo",$AU123="Cancelado",$AU123="Baja prioridad"),$AR123,IF($AU123="Pasa al siguiente",MAX($AR123+1,$AS123),MAX($AR123,$AS123))),"")</f>
      </c>
      <c r="AW123" s="201">
        <f>IF($C123,$AQ123+$AR123*$AP123-1,"")</f>
      </c>
      <c r="AX123" s="201">
        <f>IF($C123,IF(OR($AT123="Completo",$AU123="Cancelado",$AU123="Baja prioridad"),0,MAX(0,TODAY()-$AW123)),"")</f>
      </c>
      <c r="AY123" s="202">
        <f>IF($C123,IF($AT123="Completo","Completo",IF($AU123="Cancelado","Cancelado",IF($AU123="Baja prioridad","Baja prioridad",IF($AX123&gt;0,"Vencida","Pendiente")))),"")</f>
      </c>
      <c r="AZ123" s="202">
        <f>IF($C123,$AO123&amp;" · S"&amp;$AV123,"")</f>
      </c>
      <c r="BA123" s="201">
        <f>IF($C123,IF(AND(ISNUMBER('Backlog General'!$M123),'Backlog General'!$M123=$AS123),"Nuevo S"&amp;'Backlog General'!$M123,""),"")</f>
      </c>
      <c r="BB123" s="201">
        <f>IF(AND($C123,$AO123="Semanal"),$AV123*100000+ROW(),"")</f>
      </c>
      <c r="BC123" s="201">
        <f>IF(AND($C123,$AO123="Quincenal"),$AV123*100000+ROW(),"")</f>
      </c>
      <c r="BD123" s="201">
        <f>IF(AND($C123,$AO123="Mensual"),$AV123*100000+ROW(),"")</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IF($C124,$AV124,"")</f>
      </c>
      <c r="AE124" s="201">
        <f>IF($C124,$AZ124,"")</f>
      </c>
      <c r="AF124" s="201">
        <f>IF($C124,$AV124&lt;&gt;$AR124,FALSE)</f>
      </c>
      <c r="AG124" s="201">
        <f>IF($C124,IF($AV124&lt;&gt;$AR124,$AW124,""),"")</f>
      </c>
      <c r="AH124" s="202">
        <f>IF($C124,'Backlog General'!$L124,"")</f>
      </c>
      <c r="AI124" s="201">
        <f>IF($C124,$AV124*100000+ROW(),"")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c r="AO124" s="202">
        <f>IF($C124,IFERROR(VLOOKUP($D124,'Sprints'!$G$5:$H$12,2,FALSE),"Semanal"),"")</f>
      </c>
      <c r="AP124" s="201">
        <f>IF($C124,IF($AO124="Semanal",'Sprints'!$D$5,IF($AO124="Quincenal",'Sprints'!$D$6,'Sprints'!$D$7)),"")</f>
      </c>
      <c r="AQ124" s="201">
        <f>IF($C124,IF($AO124="Semanal",'Sprints'!$C$5,IF($AO124="Quincenal",'Sprints'!$C$6,'Sprints'!$C$7)),"")</f>
      </c>
      <c r="AR124" s="201">
        <f>IF($C124,MAX(1,INT(($H124-$AQ124)/$AP124)+1),"")</f>
      </c>
      <c r="AS124" s="201">
        <f>IF($C124,IF($AO124="Semanal",'Sprints'!$E$5,IF($AO124="Quincenal",'Sprints'!$E$6,'Sprints'!$E$7)),"")</f>
      </c>
      <c r="AT124" s="202">
        <f>IF($C124,'Backlog General'!$G124,"")</f>
      </c>
      <c r="AU124" s="202">
        <f>IF($C124,'Backlog General'!$H124,"")</f>
      </c>
      <c r="AV124" s="201">
        <f>IF($C124,IF(OR($AT124="Completo",$AU124="Cancelado",$AU124="Baja prioridad"),$AR124,IF($AU124="Pasa al siguiente",MAX($AR124+1,$AS124),MAX($AR124,$AS124))),"")</f>
      </c>
      <c r="AW124" s="201">
        <f>IF($C124,$AQ124+$AR124*$AP124-1,"")</f>
      </c>
      <c r="AX124" s="201">
        <f>IF($C124,IF(OR($AT124="Completo",$AU124="Cancelado",$AU124="Baja prioridad"),0,MAX(0,TODAY()-$AW124)),"")</f>
      </c>
      <c r="AY124" s="202">
        <f>IF($C124,IF($AT124="Completo","Completo",IF($AU124="Cancelado","Cancelado",IF($AU124="Baja prioridad","Baja prioridad",IF($AX124&gt;0,"Vencida","Pendiente")))),"")</f>
      </c>
      <c r="AZ124" s="202">
        <f>IF($C124,$AO124&amp;" · S"&amp;$AV124,"")</f>
      </c>
      <c r="BA124" s="201">
        <f>IF($C124,IF(AND(ISNUMBER('Backlog General'!$M124),'Backlog General'!$M124=$AS124),"Nuevo S"&amp;'Backlog General'!$M124,""),"")</f>
      </c>
      <c r="BB124" s="201">
        <f>IF(AND($C124,$AO124="Semanal"),$AV124*100000+ROW(),"")</f>
      </c>
      <c r="BC124" s="201">
        <f>IF(AND($C124,$AO124="Quincenal"),$AV124*100000+ROW(),"")</f>
      </c>
      <c r="BD124" s="201">
        <f>IF(AND($C124,$AO124="Mensual"),$AV124*100000+ROW(),"")</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IF($C125,$AV125,"")</f>
      </c>
      <c r="AE125" s="201">
        <f>IF($C125,$AZ125,"")</f>
      </c>
      <c r="AF125" s="201">
        <f>IF($C125,$AV125&lt;&gt;$AR125,FALSE)</f>
      </c>
      <c r="AG125" s="201">
        <f>IF($C125,IF($AV125&lt;&gt;$AR125,$AW125,""),"")</f>
      </c>
      <c r="AH125" s="202">
        <f>IF($C125,'Backlog General'!$L125,"")</f>
      </c>
      <c r="AI125" s="201">
        <f>IF($C125,$AV125*100000+ROW(),"")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c r="AO125" s="202">
        <f>IF($C125,IFERROR(VLOOKUP($D125,'Sprints'!$G$5:$H$12,2,FALSE),"Semanal"),"")</f>
      </c>
      <c r="AP125" s="201">
        <f>IF($C125,IF($AO125="Semanal",'Sprints'!$D$5,IF($AO125="Quincenal",'Sprints'!$D$6,'Sprints'!$D$7)),"")</f>
      </c>
      <c r="AQ125" s="201">
        <f>IF($C125,IF($AO125="Semanal",'Sprints'!$C$5,IF($AO125="Quincenal",'Sprints'!$C$6,'Sprints'!$C$7)),"")</f>
      </c>
      <c r="AR125" s="201">
        <f>IF($C125,MAX(1,INT(($H125-$AQ125)/$AP125)+1),"")</f>
      </c>
      <c r="AS125" s="201">
        <f>IF($C125,IF($AO125="Semanal",'Sprints'!$E$5,IF($AO125="Quincenal",'Sprints'!$E$6,'Sprints'!$E$7)),"")</f>
      </c>
      <c r="AT125" s="202">
        <f>IF($C125,'Backlog General'!$G125,"")</f>
      </c>
      <c r="AU125" s="202">
        <f>IF($C125,'Backlog General'!$H125,"")</f>
      </c>
      <c r="AV125" s="201">
        <f>IF($C125,IF(OR($AT125="Completo",$AU125="Cancelado",$AU125="Baja prioridad"),$AR125,IF($AU125="Pasa al siguiente",MAX($AR125+1,$AS125),MAX($AR125,$AS125))),"")</f>
      </c>
      <c r="AW125" s="201">
        <f>IF($C125,$AQ125+$AR125*$AP125-1,"")</f>
      </c>
      <c r="AX125" s="201">
        <f>IF($C125,IF(OR($AT125="Completo",$AU125="Cancelado",$AU125="Baja prioridad"),0,MAX(0,TODAY()-$AW125)),"")</f>
      </c>
      <c r="AY125" s="202">
        <f>IF($C125,IF($AT125="Completo","Completo",IF($AU125="Cancelado","Cancelado",IF($AU125="Baja prioridad","Baja prioridad",IF($AX125&gt;0,"Vencida","Pendiente")))),"")</f>
      </c>
      <c r="AZ125" s="202">
        <f>IF($C125,$AO125&amp;" · S"&amp;$AV125,"")</f>
      </c>
      <c r="BA125" s="201">
        <f>IF($C125,IF(AND(ISNUMBER('Backlog General'!$M125),'Backlog General'!$M125=$AS125),"Nuevo S"&amp;'Backlog General'!$M125,""),"")</f>
      </c>
      <c r="BB125" s="201">
        <f>IF(AND($C125,$AO125="Semanal"),$AV125*100000+ROW(),"")</f>
      </c>
      <c r="BC125" s="201">
        <f>IF(AND($C125,$AO125="Quincenal"),$AV125*100000+ROW(),"")</f>
      </c>
      <c r="BD125" s="201">
        <f>IF(AND($C125,$AO125="Mensual"),$AV125*100000+ROW(),"")</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IF($C126,$AV126,"")</f>
      </c>
      <c r="AE126" s="201">
        <f>IF($C126,$AZ126,"")</f>
      </c>
      <c r="AF126" s="201">
        <f>IF($C126,$AV126&lt;&gt;$AR126,FALSE)</f>
      </c>
      <c r="AG126" s="201">
        <f>IF($C126,IF($AV126&lt;&gt;$AR126,$AW126,""),"")</f>
      </c>
      <c r="AH126" s="202">
        <f>IF($C126,'Backlog General'!$L126,"")</f>
      </c>
      <c r="AI126" s="201">
        <f>IF($C126,$AV126*100000+ROW(),"")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c r="AO126" s="202">
        <f>IF($C126,IFERROR(VLOOKUP($D126,'Sprints'!$G$5:$H$12,2,FALSE),"Semanal"),"")</f>
      </c>
      <c r="AP126" s="201">
        <f>IF($C126,IF($AO126="Semanal",'Sprints'!$D$5,IF($AO126="Quincenal",'Sprints'!$D$6,'Sprints'!$D$7)),"")</f>
      </c>
      <c r="AQ126" s="201">
        <f>IF($C126,IF($AO126="Semanal",'Sprints'!$C$5,IF($AO126="Quincenal",'Sprints'!$C$6,'Sprints'!$C$7)),"")</f>
      </c>
      <c r="AR126" s="201">
        <f>IF($C126,MAX(1,INT(($H126-$AQ126)/$AP126)+1),"")</f>
      </c>
      <c r="AS126" s="201">
        <f>IF($C126,IF($AO126="Semanal",'Sprints'!$E$5,IF($AO126="Quincenal",'Sprints'!$E$6,'Sprints'!$E$7)),"")</f>
      </c>
      <c r="AT126" s="202">
        <f>IF($C126,'Backlog General'!$G126,"")</f>
      </c>
      <c r="AU126" s="202">
        <f>IF($C126,'Backlog General'!$H126,"")</f>
      </c>
      <c r="AV126" s="201">
        <f>IF($C126,IF(OR($AT126="Completo",$AU126="Cancelado",$AU126="Baja prioridad"),$AR126,IF($AU126="Pasa al siguiente",MAX($AR126+1,$AS126),MAX($AR126,$AS126))),"")</f>
      </c>
      <c r="AW126" s="201">
        <f>IF($C126,$AQ126+$AR126*$AP126-1,"")</f>
      </c>
      <c r="AX126" s="201">
        <f>IF($C126,IF(OR($AT126="Completo",$AU126="Cancelado",$AU126="Baja prioridad"),0,MAX(0,TODAY()-$AW126)),"")</f>
      </c>
      <c r="AY126" s="202">
        <f>IF($C126,IF($AT126="Completo","Completo",IF($AU126="Cancelado","Cancelado",IF($AU126="Baja prioridad","Baja prioridad",IF($AX126&gt;0,"Vencida","Pendiente")))),"")</f>
      </c>
      <c r="AZ126" s="202">
        <f>IF($C126,$AO126&amp;" · S"&amp;$AV126,"")</f>
      </c>
      <c r="BA126" s="201">
        <f>IF($C126,IF(AND(ISNUMBER('Backlog General'!$M126),'Backlog General'!$M126=$AS126),"Nuevo S"&amp;'Backlog General'!$M126,""),"")</f>
      </c>
      <c r="BB126" s="201">
        <f>IF(AND($C126,$AO126="Semanal"),$AV126*100000+ROW(),"")</f>
      </c>
      <c r="BC126" s="201">
        <f>IF(AND($C126,$AO126="Quincenal"),$AV126*100000+ROW(),"")</f>
      </c>
      <c r="BD126" s="201">
        <f>IF(AND($C126,$AO126="Mensual"),$AV126*100000+ROW(),"")</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IF($C127,$AV127,"")</f>
      </c>
      <c r="AE127" s="201">
        <f>IF($C127,$AZ127,"")</f>
      </c>
      <c r="AF127" s="201">
        <f>IF($C127,$AV127&lt;&gt;$AR127,FALSE)</f>
      </c>
      <c r="AG127" s="201">
        <f>IF($C127,IF($AV127&lt;&gt;$AR127,$AW127,""),"")</f>
      </c>
      <c r="AH127" s="202">
        <f>IF($C127,'Backlog General'!$L127,"")</f>
      </c>
      <c r="AI127" s="201">
        <f>IF($C127,$AV127*100000+ROW(),"")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c r="AO127" s="202">
        <f>IF($C127,IFERROR(VLOOKUP($D127,'Sprints'!$G$5:$H$12,2,FALSE),"Semanal"),"")</f>
      </c>
      <c r="AP127" s="201">
        <f>IF($C127,IF($AO127="Semanal",'Sprints'!$D$5,IF($AO127="Quincenal",'Sprints'!$D$6,'Sprints'!$D$7)),"")</f>
      </c>
      <c r="AQ127" s="201">
        <f>IF($C127,IF($AO127="Semanal",'Sprints'!$C$5,IF($AO127="Quincenal",'Sprints'!$C$6,'Sprints'!$C$7)),"")</f>
      </c>
      <c r="AR127" s="201">
        <f>IF($C127,MAX(1,INT(($H127-$AQ127)/$AP127)+1),"")</f>
      </c>
      <c r="AS127" s="201">
        <f>IF($C127,IF($AO127="Semanal",'Sprints'!$E$5,IF($AO127="Quincenal",'Sprints'!$E$6,'Sprints'!$E$7)),"")</f>
      </c>
      <c r="AT127" s="202">
        <f>IF($C127,'Backlog General'!$G127,"")</f>
      </c>
      <c r="AU127" s="202">
        <f>IF($C127,'Backlog General'!$H127,"")</f>
      </c>
      <c r="AV127" s="201">
        <f>IF($C127,IF(OR($AT127="Completo",$AU127="Cancelado",$AU127="Baja prioridad"),$AR127,IF($AU127="Pasa al siguiente",MAX($AR127+1,$AS127),MAX($AR127,$AS127))),"")</f>
      </c>
      <c r="AW127" s="201">
        <f>IF($C127,$AQ127+$AR127*$AP127-1,"")</f>
      </c>
      <c r="AX127" s="201">
        <f>IF($C127,IF(OR($AT127="Completo",$AU127="Cancelado",$AU127="Baja prioridad"),0,MAX(0,TODAY()-$AW127)),"")</f>
      </c>
      <c r="AY127" s="202">
        <f>IF($C127,IF($AT127="Completo","Completo",IF($AU127="Cancelado","Cancelado",IF($AU127="Baja prioridad","Baja prioridad",IF($AX127&gt;0,"Vencida","Pendiente")))),"")</f>
      </c>
      <c r="AZ127" s="202">
        <f>IF($C127,$AO127&amp;" · S"&amp;$AV127,"")</f>
      </c>
      <c r="BA127" s="201">
        <f>IF($C127,IF(AND(ISNUMBER('Backlog General'!$M127),'Backlog General'!$M127=$AS127),"Nuevo S"&amp;'Backlog General'!$M127,""),"")</f>
      </c>
      <c r="BB127" s="201">
        <f>IF(AND($C127,$AO127="Semanal"),$AV127*100000+ROW(),"")</f>
      </c>
      <c r="BC127" s="201">
        <f>IF(AND($C127,$AO127="Quincenal"),$AV127*100000+ROW(),"")</f>
      </c>
      <c r="BD127" s="201">
        <f>IF(AND($C127,$AO127="Mensual"),$AV127*100000+ROW(),"")</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IF($C128,$AV128,"")</f>
      </c>
      <c r="AE128" s="201">
        <f>IF($C128,$AZ128,"")</f>
      </c>
      <c r="AF128" s="201">
        <f>IF($C128,$AV128&lt;&gt;$AR128,FALSE)</f>
      </c>
      <c r="AG128" s="201">
        <f>IF($C128,IF($AV128&lt;&gt;$AR128,$AW128,""),"")</f>
      </c>
      <c r="AH128" s="202">
        <f>IF($C128,'Backlog General'!$L128,"")</f>
      </c>
      <c r="AI128" s="201">
        <f>IF($C128,$AV128*100000+ROW(),"")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c r="AO128" s="202">
        <f>IF($C128,IFERROR(VLOOKUP($D128,'Sprints'!$G$5:$H$12,2,FALSE),"Semanal"),"")</f>
      </c>
      <c r="AP128" s="201">
        <f>IF($C128,IF($AO128="Semanal",'Sprints'!$D$5,IF($AO128="Quincenal",'Sprints'!$D$6,'Sprints'!$D$7)),"")</f>
      </c>
      <c r="AQ128" s="201">
        <f>IF($C128,IF($AO128="Semanal",'Sprints'!$C$5,IF($AO128="Quincenal",'Sprints'!$C$6,'Sprints'!$C$7)),"")</f>
      </c>
      <c r="AR128" s="201">
        <f>IF($C128,MAX(1,INT(($H128-$AQ128)/$AP128)+1),"")</f>
      </c>
      <c r="AS128" s="201">
        <f>IF($C128,IF($AO128="Semanal",'Sprints'!$E$5,IF($AO128="Quincenal",'Sprints'!$E$6,'Sprints'!$E$7)),"")</f>
      </c>
      <c r="AT128" s="202">
        <f>IF($C128,'Backlog General'!$G128,"")</f>
      </c>
      <c r="AU128" s="202">
        <f>IF($C128,'Backlog General'!$H128,"")</f>
      </c>
      <c r="AV128" s="201">
        <f>IF($C128,IF(OR($AT128="Completo",$AU128="Cancelado",$AU128="Baja prioridad"),$AR128,IF($AU128="Pasa al siguiente",MAX($AR128+1,$AS128),MAX($AR128,$AS128))),"")</f>
      </c>
      <c r="AW128" s="201">
        <f>IF($C128,$AQ128+$AR128*$AP128-1,"")</f>
      </c>
      <c r="AX128" s="201">
        <f>IF($C128,IF(OR($AT128="Completo",$AU128="Cancelado",$AU128="Baja prioridad"),0,MAX(0,TODAY()-$AW128)),"")</f>
      </c>
      <c r="AY128" s="202">
        <f>IF($C128,IF($AT128="Completo","Completo",IF($AU128="Cancelado","Cancelado",IF($AU128="Baja prioridad","Baja prioridad",IF($AX128&gt;0,"Vencida","Pendiente")))),"")</f>
      </c>
      <c r="AZ128" s="202">
        <f>IF($C128,$AO128&amp;" · S"&amp;$AV128,"")</f>
      </c>
      <c r="BA128" s="201">
        <f>IF($C128,IF(AND(ISNUMBER('Backlog General'!$M128),'Backlog General'!$M128=$AS128),"Nuevo S"&amp;'Backlog General'!$M128,""),"")</f>
      </c>
      <c r="BB128" s="201">
        <f>IF(AND($C128,$AO128="Semanal"),$AV128*100000+ROW(),"")</f>
      </c>
      <c r="BC128" s="201">
        <f>IF(AND($C128,$AO128="Quincenal"),$AV128*100000+ROW(),"")</f>
      </c>
      <c r="BD128" s="201">
        <f>IF(AND($C128,$AO128="Mensual"),$AV128*100000+ROW(),"")</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IF($C129,$AV129,"")</f>
      </c>
      <c r="AE129" s="201">
        <f>IF($C129,$AZ129,"")</f>
      </c>
      <c r="AF129" s="201">
        <f>IF($C129,$AV129&lt;&gt;$AR129,FALSE)</f>
      </c>
      <c r="AG129" s="201">
        <f>IF($C129,IF($AV129&lt;&gt;$AR129,$AW129,""),"")</f>
      </c>
      <c r="AH129" s="202">
        <f>IF($C129,'Backlog General'!$L129,"")</f>
      </c>
      <c r="AI129" s="201">
        <f>IF($C129,$AV129*100000+ROW(),"")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c r="AO129" s="202">
        <f>IF($C129,IFERROR(VLOOKUP($D129,'Sprints'!$G$5:$H$12,2,FALSE),"Semanal"),"")</f>
      </c>
      <c r="AP129" s="201">
        <f>IF($C129,IF($AO129="Semanal",'Sprints'!$D$5,IF($AO129="Quincenal",'Sprints'!$D$6,'Sprints'!$D$7)),"")</f>
      </c>
      <c r="AQ129" s="201">
        <f>IF($C129,IF($AO129="Semanal",'Sprints'!$C$5,IF($AO129="Quincenal",'Sprints'!$C$6,'Sprints'!$C$7)),"")</f>
      </c>
      <c r="AR129" s="201">
        <f>IF($C129,MAX(1,INT(($H129-$AQ129)/$AP129)+1),"")</f>
      </c>
      <c r="AS129" s="201">
        <f>IF($C129,IF($AO129="Semanal",'Sprints'!$E$5,IF($AO129="Quincenal",'Sprints'!$E$6,'Sprints'!$E$7)),"")</f>
      </c>
      <c r="AT129" s="202">
        <f>IF($C129,'Backlog General'!$G129,"")</f>
      </c>
      <c r="AU129" s="202">
        <f>IF($C129,'Backlog General'!$H129,"")</f>
      </c>
      <c r="AV129" s="201">
        <f>IF($C129,IF(OR($AT129="Completo",$AU129="Cancelado",$AU129="Baja prioridad"),$AR129,IF($AU129="Pasa al siguiente",MAX($AR129+1,$AS129),MAX($AR129,$AS129))),"")</f>
      </c>
      <c r="AW129" s="201">
        <f>IF($C129,$AQ129+$AR129*$AP129-1,"")</f>
      </c>
      <c r="AX129" s="201">
        <f>IF($C129,IF(OR($AT129="Completo",$AU129="Cancelado",$AU129="Baja prioridad"),0,MAX(0,TODAY()-$AW129)),"")</f>
      </c>
      <c r="AY129" s="202">
        <f>IF($C129,IF($AT129="Completo","Completo",IF($AU129="Cancelado","Cancelado",IF($AU129="Baja prioridad","Baja prioridad",IF($AX129&gt;0,"Vencida","Pendiente")))),"")</f>
      </c>
      <c r="AZ129" s="202">
        <f>IF($C129,$AO129&amp;" · S"&amp;$AV129,"")</f>
      </c>
      <c r="BA129" s="201">
        <f>IF($C129,IF(AND(ISNUMBER('Backlog General'!$M129),'Backlog General'!$M129=$AS129),"Nuevo S"&amp;'Backlog General'!$M129,""),"")</f>
      </c>
      <c r="BB129" s="201">
        <f>IF(AND($C129,$AO129="Semanal"),$AV129*100000+ROW(),"")</f>
      </c>
      <c r="BC129" s="201">
        <f>IF(AND($C129,$AO129="Quincenal"),$AV129*100000+ROW(),"")</f>
      </c>
      <c r="BD129" s="201">
        <f>IF(AND($C129,$AO129="Mensual"),$AV129*100000+ROW(),"")</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IF($C130,$AV130,"")</f>
      </c>
      <c r="AE130" s="201">
        <f>IF($C130,$AZ130,"")</f>
      </c>
      <c r="AF130" s="201">
        <f>IF($C130,$AV130&lt;&gt;$AR130,FALSE)</f>
      </c>
      <c r="AG130" s="201">
        <f>IF($C130,IF($AV130&lt;&gt;$AR130,$AW130,""),"")</f>
      </c>
      <c r="AH130" s="202">
        <f>IF($C130,'Backlog General'!$L130,"")</f>
      </c>
      <c r="AI130" s="201">
        <f>IF($C130,$AV130*100000+ROW(),"")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c r="AO130" s="202">
        <f>IF($C130,IFERROR(VLOOKUP($D130,'Sprints'!$G$5:$H$12,2,FALSE),"Semanal"),"")</f>
      </c>
      <c r="AP130" s="201">
        <f>IF($C130,IF($AO130="Semanal",'Sprints'!$D$5,IF($AO130="Quincenal",'Sprints'!$D$6,'Sprints'!$D$7)),"")</f>
      </c>
      <c r="AQ130" s="201">
        <f>IF($C130,IF($AO130="Semanal",'Sprints'!$C$5,IF($AO130="Quincenal",'Sprints'!$C$6,'Sprints'!$C$7)),"")</f>
      </c>
      <c r="AR130" s="201">
        <f>IF($C130,MAX(1,INT(($H130-$AQ130)/$AP130)+1),"")</f>
      </c>
      <c r="AS130" s="201">
        <f>IF($C130,IF($AO130="Semanal",'Sprints'!$E$5,IF($AO130="Quincenal",'Sprints'!$E$6,'Sprints'!$E$7)),"")</f>
      </c>
      <c r="AT130" s="202">
        <f>IF($C130,'Backlog General'!$G130,"")</f>
      </c>
      <c r="AU130" s="202">
        <f>IF($C130,'Backlog General'!$H130,"")</f>
      </c>
      <c r="AV130" s="201">
        <f>IF($C130,IF(OR($AT130="Completo",$AU130="Cancelado",$AU130="Baja prioridad"),$AR130,IF($AU130="Pasa al siguiente",MAX($AR130+1,$AS130),MAX($AR130,$AS130))),"")</f>
      </c>
      <c r="AW130" s="201">
        <f>IF($C130,$AQ130+$AR130*$AP130-1,"")</f>
      </c>
      <c r="AX130" s="201">
        <f>IF($C130,IF(OR($AT130="Completo",$AU130="Cancelado",$AU130="Baja prioridad"),0,MAX(0,TODAY()-$AW130)),"")</f>
      </c>
      <c r="AY130" s="202">
        <f>IF($C130,IF($AT130="Completo","Completo",IF($AU130="Cancelado","Cancelado",IF($AU130="Baja prioridad","Baja prioridad",IF($AX130&gt;0,"Vencida","Pendiente")))),"")</f>
      </c>
      <c r="AZ130" s="202">
        <f>IF($C130,$AO130&amp;" · S"&amp;$AV130,"")</f>
      </c>
      <c r="BA130" s="201">
        <f>IF($C130,IF(AND(ISNUMBER('Backlog General'!$M130),'Backlog General'!$M130=$AS130),"Nuevo S"&amp;'Backlog General'!$M130,""),"")</f>
      </c>
      <c r="BB130" s="201">
        <f>IF(AND($C130,$AO130="Semanal"),$AV130*100000+ROW(),"")</f>
      </c>
      <c r="BC130" s="201">
        <f>IF(AND($C130,$AO130="Quincenal"),$AV130*100000+ROW(),"")</f>
      </c>
      <c r="BD130" s="201">
        <f>IF(AND($C130,$AO130="Mensual"),$AV130*100000+ROW(),"")</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IF($C131,$AV131,"")</f>
      </c>
      <c r="AE131" s="201">
        <f>IF($C131,$AZ131,"")</f>
      </c>
      <c r="AF131" s="201">
        <f>IF($C131,$AV131&lt;&gt;$AR131,FALSE)</f>
      </c>
      <c r="AG131" s="201">
        <f>IF($C131,IF($AV131&lt;&gt;$AR131,$AW131,""),"")</f>
      </c>
      <c r="AH131" s="202">
        <f>IF($C131,'Backlog General'!$L131,"")</f>
      </c>
      <c r="AI131" s="201">
        <f>IF($C131,$AV131*100000+ROW(),"")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c r="AO131" s="202">
        <f>IF($C131,IFERROR(VLOOKUP($D131,'Sprints'!$G$5:$H$12,2,FALSE),"Semanal"),"")</f>
      </c>
      <c r="AP131" s="201">
        <f>IF($C131,IF($AO131="Semanal",'Sprints'!$D$5,IF($AO131="Quincenal",'Sprints'!$D$6,'Sprints'!$D$7)),"")</f>
      </c>
      <c r="AQ131" s="201">
        <f>IF($C131,IF($AO131="Semanal",'Sprints'!$C$5,IF($AO131="Quincenal",'Sprints'!$C$6,'Sprints'!$C$7)),"")</f>
      </c>
      <c r="AR131" s="201">
        <f>IF($C131,MAX(1,INT(($H131-$AQ131)/$AP131)+1),"")</f>
      </c>
      <c r="AS131" s="201">
        <f>IF($C131,IF($AO131="Semanal",'Sprints'!$E$5,IF($AO131="Quincenal",'Sprints'!$E$6,'Sprints'!$E$7)),"")</f>
      </c>
      <c r="AT131" s="202">
        <f>IF($C131,'Backlog General'!$G131,"")</f>
      </c>
      <c r="AU131" s="202">
        <f>IF($C131,'Backlog General'!$H131,"")</f>
      </c>
      <c r="AV131" s="201">
        <f>IF($C131,IF(OR($AT131="Completo",$AU131="Cancelado",$AU131="Baja prioridad"),$AR131,IF($AU131="Pasa al siguiente",MAX($AR131+1,$AS131),MAX($AR131,$AS131))),"")</f>
      </c>
      <c r="AW131" s="201">
        <f>IF($C131,$AQ131+$AR131*$AP131-1,"")</f>
      </c>
      <c r="AX131" s="201">
        <f>IF($C131,IF(OR($AT131="Completo",$AU131="Cancelado",$AU131="Baja prioridad"),0,MAX(0,TODAY()-$AW131)),"")</f>
      </c>
      <c r="AY131" s="202">
        <f>IF($C131,IF($AT131="Completo","Completo",IF($AU131="Cancelado","Cancelado",IF($AU131="Baja prioridad","Baja prioridad",IF($AX131&gt;0,"Vencida","Pendiente")))),"")</f>
      </c>
      <c r="AZ131" s="202">
        <f>IF($C131,$AO131&amp;" · S"&amp;$AV131,"")</f>
      </c>
      <c r="BA131" s="201">
        <f>IF($C131,IF(AND(ISNUMBER('Backlog General'!$M131),'Backlog General'!$M131=$AS131),"Nuevo S"&amp;'Backlog General'!$M131,""),"")</f>
      </c>
      <c r="BB131" s="201">
        <f>IF(AND($C131,$AO131="Semanal"),$AV131*100000+ROW(),"")</f>
      </c>
      <c r="BC131" s="201">
        <f>IF(AND($C131,$AO131="Quincenal"),$AV131*100000+ROW(),"")</f>
      </c>
      <c r="BD131" s="201">
        <f>IF(AND($C131,$AO131="Mensual"),$AV131*100000+ROW(),"")</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IF($C132,$AV132,"")</f>
      </c>
      <c r="AE132" s="201">
        <f>IF($C132,$AZ132,"")</f>
      </c>
      <c r="AF132" s="201">
        <f>IF($C132,$AV132&lt;&gt;$AR132,FALSE)</f>
      </c>
      <c r="AG132" s="201">
        <f>IF($C132,IF($AV132&lt;&gt;$AR132,$AW132,""),"")</f>
      </c>
      <c r="AH132" s="202">
        <f>IF($C132,'Backlog General'!$L132,"")</f>
      </c>
      <c r="AI132" s="201">
        <f>IF($C132,$AV132*100000+ROW(),"")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c r="AO132" s="202">
        <f>IF($C132,IFERROR(VLOOKUP($D132,'Sprints'!$G$5:$H$12,2,FALSE),"Semanal"),"")</f>
      </c>
      <c r="AP132" s="201">
        <f>IF($C132,IF($AO132="Semanal",'Sprints'!$D$5,IF($AO132="Quincenal",'Sprints'!$D$6,'Sprints'!$D$7)),"")</f>
      </c>
      <c r="AQ132" s="201">
        <f>IF($C132,IF($AO132="Semanal",'Sprints'!$C$5,IF($AO132="Quincenal",'Sprints'!$C$6,'Sprints'!$C$7)),"")</f>
      </c>
      <c r="AR132" s="201">
        <f>IF($C132,MAX(1,INT(($H132-$AQ132)/$AP132)+1),"")</f>
      </c>
      <c r="AS132" s="201">
        <f>IF($C132,IF($AO132="Semanal",'Sprints'!$E$5,IF($AO132="Quincenal",'Sprints'!$E$6,'Sprints'!$E$7)),"")</f>
      </c>
      <c r="AT132" s="202">
        <f>IF($C132,'Backlog General'!$G132,"")</f>
      </c>
      <c r="AU132" s="202">
        <f>IF($C132,'Backlog General'!$H132,"")</f>
      </c>
      <c r="AV132" s="201">
        <f>IF($C132,IF(OR($AT132="Completo",$AU132="Cancelado",$AU132="Baja prioridad"),$AR132,IF($AU132="Pasa al siguiente",MAX($AR132+1,$AS132),MAX($AR132,$AS132))),"")</f>
      </c>
      <c r="AW132" s="201">
        <f>IF($C132,$AQ132+$AR132*$AP132-1,"")</f>
      </c>
      <c r="AX132" s="201">
        <f>IF($C132,IF(OR($AT132="Completo",$AU132="Cancelado",$AU132="Baja prioridad"),0,MAX(0,TODAY()-$AW132)),"")</f>
      </c>
      <c r="AY132" s="202">
        <f>IF($C132,IF($AT132="Completo","Completo",IF($AU132="Cancelado","Cancelado",IF($AU132="Baja prioridad","Baja prioridad",IF($AX132&gt;0,"Vencida","Pendiente")))),"")</f>
      </c>
      <c r="AZ132" s="202">
        <f>IF($C132,$AO132&amp;" · S"&amp;$AV132,"")</f>
      </c>
      <c r="BA132" s="201">
        <f>IF($C132,IF(AND(ISNUMBER('Backlog General'!$M132),'Backlog General'!$M132=$AS132),"Nuevo S"&amp;'Backlog General'!$M132,""),"")</f>
      </c>
      <c r="BB132" s="201">
        <f>IF(AND($C132,$AO132="Semanal"),$AV132*100000+ROW(),"")</f>
      </c>
      <c r="BC132" s="201">
        <f>IF(AND($C132,$AO132="Quincenal"),$AV132*100000+ROW(),"")</f>
      </c>
      <c r="BD132" s="201">
        <f>IF(AND($C132,$AO132="Mensual"),$AV132*100000+ROW(),"")</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IF($C133,$AV133,"")</f>
      </c>
      <c r="AE133" s="201">
        <f>IF($C133,$AZ133,"")</f>
      </c>
      <c r="AF133" s="201">
        <f>IF($C133,$AV133&lt;&gt;$AR133,FALSE)</f>
      </c>
      <c r="AG133" s="201">
        <f>IF($C133,IF($AV133&lt;&gt;$AR133,$AW133,""),"")</f>
      </c>
      <c r="AH133" s="202">
        <f>IF($C133,'Backlog General'!$L133,"")</f>
      </c>
      <c r="AI133" s="201">
        <f>IF($C133,$AV133*100000+ROW(),"")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c r="AO133" s="202">
        <f>IF($C133,IFERROR(VLOOKUP($D133,'Sprints'!$G$5:$H$12,2,FALSE),"Semanal"),"")</f>
      </c>
      <c r="AP133" s="201">
        <f>IF($C133,IF($AO133="Semanal",'Sprints'!$D$5,IF($AO133="Quincenal",'Sprints'!$D$6,'Sprints'!$D$7)),"")</f>
      </c>
      <c r="AQ133" s="201">
        <f>IF($C133,IF($AO133="Semanal",'Sprints'!$C$5,IF($AO133="Quincenal",'Sprints'!$C$6,'Sprints'!$C$7)),"")</f>
      </c>
      <c r="AR133" s="201">
        <f>IF($C133,MAX(1,INT(($H133-$AQ133)/$AP133)+1),"")</f>
      </c>
      <c r="AS133" s="201">
        <f>IF($C133,IF($AO133="Semanal",'Sprints'!$E$5,IF($AO133="Quincenal",'Sprints'!$E$6,'Sprints'!$E$7)),"")</f>
      </c>
      <c r="AT133" s="202">
        <f>IF($C133,'Backlog General'!$G133,"")</f>
      </c>
      <c r="AU133" s="202">
        <f>IF($C133,'Backlog General'!$H133,"")</f>
      </c>
      <c r="AV133" s="201">
        <f>IF($C133,IF(OR($AT133="Completo",$AU133="Cancelado",$AU133="Baja prioridad"),$AR133,IF($AU133="Pasa al siguiente",MAX($AR133+1,$AS133),MAX($AR133,$AS133))),"")</f>
      </c>
      <c r="AW133" s="201">
        <f>IF($C133,$AQ133+$AR133*$AP133-1,"")</f>
      </c>
      <c r="AX133" s="201">
        <f>IF($C133,IF(OR($AT133="Completo",$AU133="Cancelado",$AU133="Baja prioridad"),0,MAX(0,TODAY()-$AW133)),"")</f>
      </c>
      <c r="AY133" s="202">
        <f>IF($C133,IF($AT133="Completo","Completo",IF($AU133="Cancelado","Cancelado",IF($AU133="Baja prioridad","Baja prioridad",IF($AX133&gt;0,"Vencida","Pendiente")))),"")</f>
      </c>
      <c r="AZ133" s="202">
        <f>IF($C133,$AO133&amp;" · S"&amp;$AV133,"")</f>
      </c>
      <c r="BA133" s="201">
        <f>IF($C133,IF(AND(ISNUMBER('Backlog General'!$M133),'Backlog General'!$M133=$AS133),"Nuevo S"&amp;'Backlog General'!$M133,""),"")</f>
      </c>
      <c r="BB133" s="201">
        <f>IF(AND($C133,$AO133="Semanal"),$AV133*100000+ROW(),"")</f>
      </c>
      <c r="BC133" s="201">
        <f>IF(AND($C133,$AO133="Quincenal"),$AV133*100000+ROW(),"")</f>
      </c>
      <c r="BD133" s="201">
        <f>IF(AND($C133,$AO133="Mensual"),$AV133*100000+ROW(),"")</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IF($C134,$AV134,"")</f>
      </c>
      <c r="AE134" s="201">
        <f>IF($C134,$AZ134,"")</f>
      </c>
      <c r="AF134" s="201">
        <f>IF($C134,$AV134&lt;&gt;$AR134,FALSE)</f>
      </c>
      <c r="AG134" s="201">
        <f>IF($C134,IF($AV134&lt;&gt;$AR134,$AW134,""),"")</f>
      </c>
      <c r="AH134" s="202">
        <f>IF($C134,'Backlog General'!$L134,"")</f>
      </c>
      <c r="AI134" s="201">
        <f>IF($C134,$AV134*100000+ROW(),"")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c r="AO134" s="202">
        <f>IF($C134,IFERROR(VLOOKUP($D134,'Sprints'!$G$5:$H$12,2,FALSE),"Semanal"),"")</f>
      </c>
      <c r="AP134" s="201">
        <f>IF($C134,IF($AO134="Semanal",'Sprints'!$D$5,IF($AO134="Quincenal",'Sprints'!$D$6,'Sprints'!$D$7)),"")</f>
      </c>
      <c r="AQ134" s="201">
        <f>IF($C134,IF($AO134="Semanal",'Sprints'!$C$5,IF($AO134="Quincenal",'Sprints'!$C$6,'Sprints'!$C$7)),"")</f>
      </c>
      <c r="AR134" s="201">
        <f>IF($C134,MAX(1,INT(($H134-$AQ134)/$AP134)+1),"")</f>
      </c>
      <c r="AS134" s="201">
        <f>IF($C134,IF($AO134="Semanal",'Sprints'!$E$5,IF($AO134="Quincenal",'Sprints'!$E$6,'Sprints'!$E$7)),"")</f>
      </c>
      <c r="AT134" s="202">
        <f>IF($C134,'Backlog General'!$G134,"")</f>
      </c>
      <c r="AU134" s="202">
        <f>IF($C134,'Backlog General'!$H134,"")</f>
      </c>
      <c r="AV134" s="201">
        <f>IF($C134,IF(OR($AT134="Completo",$AU134="Cancelado",$AU134="Baja prioridad"),$AR134,IF($AU134="Pasa al siguiente",MAX($AR134+1,$AS134),MAX($AR134,$AS134))),"")</f>
      </c>
      <c r="AW134" s="201">
        <f>IF($C134,$AQ134+$AR134*$AP134-1,"")</f>
      </c>
      <c r="AX134" s="201">
        <f>IF($C134,IF(OR($AT134="Completo",$AU134="Cancelado",$AU134="Baja prioridad"),0,MAX(0,TODAY()-$AW134)),"")</f>
      </c>
      <c r="AY134" s="202">
        <f>IF($C134,IF($AT134="Completo","Completo",IF($AU134="Cancelado","Cancelado",IF($AU134="Baja prioridad","Baja prioridad",IF($AX134&gt;0,"Vencida","Pendiente")))),"")</f>
      </c>
      <c r="AZ134" s="202">
        <f>IF($C134,$AO134&amp;" · S"&amp;$AV134,"")</f>
      </c>
      <c r="BA134" s="201">
        <f>IF($C134,IF(AND(ISNUMBER('Backlog General'!$M134),'Backlog General'!$M134=$AS134),"Nuevo S"&amp;'Backlog General'!$M134,""),"")</f>
      </c>
      <c r="BB134" s="201">
        <f>IF(AND($C134,$AO134="Semanal"),$AV134*100000+ROW(),"")</f>
      </c>
      <c r="BC134" s="201">
        <f>IF(AND($C134,$AO134="Quincenal"),$AV134*100000+ROW(),"")</f>
      </c>
      <c r="BD134" s="201">
        <f>IF(AND($C134,$AO134="Mensual"),$AV134*100000+ROW(),"")</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IF($C135,$AV135,"")</f>
      </c>
      <c r="AE135" s="201">
        <f>IF($C135,$AZ135,"")</f>
      </c>
      <c r="AF135" s="201">
        <f>IF($C135,$AV135&lt;&gt;$AR135,FALSE)</f>
      </c>
      <c r="AG135" s="201">
        <f>IF($C135,IF($AV135&lt;&gt;$AR135,$AW135,""),"")</f>
      </c>
      <c r="AH135" s="202">
        <f>IF($C135,'Backlog General'!$L135,"")</f>
      </c>
      <c r="AI135" s="201">
        <f>IF($C135,$AV135*100000+ROW(),"")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c r="AO135" s="202">
        <f>IF($C135,IFERROR(VLOOKUP($D135,'Sprints'!$G$5:$H$12,2,FALSE),"Semanal"),"")</f>
      </c>
      <c r="AP135" s="201">
        <f>IF($C135,IF($AO135="Semanal",'Sprints'!$D$5,IF($AO135="Quincenal",'Sprints'!$D$6,'Sprints'!$D$7)),"")</f>
      </c>
      <c r="AQ135" s="201">
        <f>IF($C135,IF($AO135="Semanal",'Sprints'!$C$5,IF($AO135="Quincenal",'Sprints'!$C$6,'Sprints'!$C$7)),"")</f>
      </c>
      <c r="AR135" s="201">
        <f>IF($C135,MAX(1,INT(($H135-$AQ135)/$AP135)+1),"")</f>
      </c>
      <c r="AS135" s="201">
        <f>IF($C135,IF($AO135="Semanal",'Sprints'!$E$5,IF($AO135="Quincenal",'Sprints'!$E$6,'Sprints'!$E$7)),"")</f>
      </c>
      <c r="AT135" s="202">
        <f>IF($C135,'Backlog General'!$G135,"")</f>
      </c>
      <c r="AU135" s="202">
        <f>IF($C135,'Backlog General'!$H135,"")</f>
      </c>
      <c r="AV135" s="201">
        <f>IF($C135,IF(OR($AT135="Completo",$AU135="Cancelado",$AU135="Baja prioridad"),$AR135,IF($AU135="Pasa al siguiente",MAX($AR135+1,$AS135),MAX($AR135,$AS135))),"")</f>
      </c>
      <c r="AW135" s="201">
        <f>IF($C135,$AQ135+$AR135*$AP135-1,"")</f>
      </c>
      <c r="AX135" s="201">
        <f>IF($C135,IF(OR($AT135="Completo",$AU135="Cancelado",$AU135="Baja prioridad"),0,MAX(0,TODAY()-$AW135)),"")</f>
      </c>
      <c r="AY135" s="202">
        <f>IF($C135,IF($AT135="Completo","Completo",IF($AU135="Cancelado","Cancelado",IF($AU135="Baja prioridad","Baja prioridad",IF($AX135&gt;0,"Vencida","Pendiente")))),"")</f>
      </c>
      <c r="AZ135" s="202">
        <f>IF($C135,$AO135&amp;" · S"&amp;$AV135,"")</f>
      </c>
      <c r="BA135" s="201">
        <f>IF($C135,IF(AND(ISNUMBER('Backlog General'!$M135),'Backlog General'!$M135=$AS135),"Nuevo S"&amp;'Backlog General'!$M135,""),"")</f>
      </c>
      <c r="BB135" s="201">
        <f>IF(AND($C135,$AO135="Semanal"),$AV135*100000+ROW(),"")</f>
      </c>
      <c r="BC135" s="201">
        <f>IF(AND($C135,$AO135="Quincenal"),$AV135*100000+ROW(),"")</f>
      </c>
      <c r="BD135" s="201">
        <f>IF(AND($C135,$AO135="Mensual"),$AV135*100000+ROW(),"")</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IF($C136,$AV136,"")</f>
      </c>
      <c r="AE136" s="201">
        <f>IF($C136,$AZ136,"")</f>
      </c>
      <c r="AF136" s="201">
        <f>IF($C136,$AV136&lt;&gt;$AR136,FALSE)</f>
      </c>
      <c r="AG136" s="201">
        <f>IF($C136,IF($AV136&lt;&gt;$AR136,$AW136,""),"")</f>
      </c>
      <c r="AH136" s="202">
        <f>IF($C136,'Backlog General'!$L136,"")</f>
      </c>
      <c r="AI136" s="201">
        <f>IF($C136,$AV136*100000+ROW(),"")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c r="AO136" s="202">
        <f>IF($C136,IFERROR(VLOOKUP($D136,'Sprints'!$G$5:$H$12,2,FALSE),"Semanal"),"")</f>
      </c>
      <c r="AP136" s="201">
        <f>IF($C136,IF($AO136="Semanal",'Sprints'!$D$5,IF($AO136="Quincenal",'Sprints'!$D$6,'Sprints'!$D$7)),"")</f>
      </c>
      <c r="AQ136" s="201">
        <f>IF($C136,IF($AO136="Semanal",'Sprints'!$C$5,IF($AO136="Quincenal",'Sprints'!$C$6,'Sprints'!$C$7)),"")</f>
      </c>
      <c r="AR136" s="201">
        <f>IF($C136,MAX(1,INT(($H136-$AQ136)/$AP136)+1),"")</f>
      </c>
      <c r="AS136" s="201">
        <f>IF($C136,IF($AO136="Semanal",'Sprints'!$E$5,IF($AO136="Quincenal",'Sprints'!$E$6,'Sprints'!$E$7)),"")</f>
      </c>
      <c r="AT136" s="202">
        <f>IF($C136,'Backlog General'!$G136,"")</f>
      </c>
      <c r="AU136" s="202">
        <f>IF($C136,'Backlog General'!$H136,"")</f>
      </c>
      <c r="AV136" s="201">
        <f>IF($C136,IF(OR($AT136="Completo",$AU136="Cancelado",$AU136="Baja prioridad"),$AR136,IF($AU136="Pasa al siguiente",MAX($AR136+1,$AS136),MAX($AR136,$AS136))),"")</f>
      </c>
      <c r="AW136" s="201">
        <f>IF($C136,$AQ136+$AR136*$AP136-1,"")</f>
      </c>
      <c r="AX136" s="201">
        <f>IF($C136,IF(OR($AT136="Completo",$AU136="Cancelado",$AU136="Baja prioridad"),0,MAX(0,TODAY()-$AW136)),"")</f>
      </c>
      <c r="AY136" s="202">
        <f>IF($C136,IF($AT136="Completo","Completo",IF($AU136="Cancelado","Cancelado",IF($AU136="Baja prioridad","Baja prioridad",IF($AX136&gt;0,"Vencida","Pendiente")))),"")</f>
      </c>
      <c r="AZ136" s="202">
        <f>IF($C136,$AO136&amp;" · S"&amp;$AV136,"")</f>
      </c>
      <c r="BA136" s="201">
        <f>IF($C136,IF(AND(ISNUMBER('Backlog General'!$M136),'Backlog General'!$M136=$AS136),"Nuevo S"&amp;'Backlog General'!$M136,""),"")</f>
      </c>
      <c r="BB136" s="201">
        <f>IF(AND($C136,$AO136="Semanal"),$AV136*100000+ROW(),"")</f>
      </c>
      <c r="BC136" s="201">
        <f>IF(AND($C136,$AO136="Quincenal"),$AV136*100000+ROW(),"")</f>
      </c>
      <c r="BD136" s="201">
        <f>IF(AND($C136,$AO136="Mensual"),$AV136*100000+ROW(),"")</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IF($C137,$AV137,"")</f>
      </c>
      <c r="AE137" s="201">
        <f>IF($C137,$AZ137,"")</f>
      </c>
      <c r="AF137" s="201">
        <f>IF($C137,$AV137&lt;&gt;$AR137,FALSE)</f>
      </c>
      <c r="AG137" s="201">
        <f>IF($C137,IF($AV137&lt;&gt;$AR137,$AW137,""),"")</f>
      </c>
      <c r="AH137" s="202">
        <f>IF($C137,'Backlog General'!$L137,"")</f>
      </c>
      <c r="AI137" s="201">
        <f>IF($C137,$AV137*100000+ROW(),"")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c r="AO137" s="202">
        <f>IF($C137,IFERROR(VLOOKUP($D137,'Sprints'!$G$5:$H$12,2,FALSE),"Semanal"),"")</f>
      </c>
      <c r="AP137" s="201">
        <f>IF($C137,IF($AO137="Semanal",'Sprints'!$D$5,IF($AO137="Quincenal",'Sprints'!$D$6,'Sprints'!$D$7)),"")</f>
      </c>
      <c r="AQ137" s="201">
        <f>IF($C137,IF($AO137="Semanal",'Sprints'!$C$5,IF($AO137="Quincenal",'Sprints'!$C$6,'Sprints'!$C$7)),"")</f>
      </c>
      <c r="AR137" s="201">
        <f>IF($C137,MAX(1,INT(($H137-$AQ137)/$AP137)+1),"")</f>
      </c>
      <c r="AS137" s="201">
        <f>IF($C137,IF($AO137="Semanal",'Sprints'!$E$5,IF($AO137="Quincenal",'Sprints'!$E$6,'Sprints'!$E$7)),"")</f>
      </c>
      <c r="AT137" s="202">
        <f>IF($C137,'Backlog General'!$G137,"")</f>
      </c>
      <c r="AU137" s="202">
        <f>IF($C137,'Backlog General'!$H137,"")</f>
      </c>
      <c r="AV137" s="201">
        <f>IF($C137,IF(OR($AT137="Completo",$AU137="Cancelado",$AU137="Baja prioridad"),$AR137,IF($AU137="Pasa al siguiente",MAX($AR137+1,$AS137),MAX($AR137,$AS137))),"")</f>
      </c>
      <c r="AW137" s="201">
        <f>IF($C137,$AQ137+$AR137*$AP137-1,"")</f>
      </c>
      <c r="AX137" s="201">
        <f>IF($C137,IF(OR($AT137="Completo",$AU137="Cancelado",$AU137="Baja prioridad"),0,MAX(0,TODAY()-$AW137)),"")</f>
      </c>
      <c r="AY137" s="202">
        <f>IF($C137,IF($AT137="Completo","Completo",IF($AU137="Cancelado","Cancelado",IF($AU137="Baja prioridad","Baja prioridad",IF($AX137&gt;0,"Vencida","Pendiente")))),"")</f>
      </c>
      <c r="AZ137" s="202">
        <f>IF($C137,$AO137&amp;" · S"&amp;$AV137,"")</f>
      </c>
      <c r="BA137" s="201">
        <f>IF($C137,IF(AND(ISNUMBER('Backlog General'!$M137),'Backlog General'!$M137=$AS137),"Nuevo S"&amp;'Backlog General'!$M137,""),"")</f>
      </c>
      <c r="BB137" s="201">
        <f>IF(AND($C137,$AO137="Semanal"),$AV137*100000+ROW(),"")</f>
      </c>
      <c r="BC137" s="201">
        <f>IF(AND($C137,$AO137="Quincenal"),$AV137*100000+ROW(),"")</f>
      </c>
      <c r="BD137" s="201">
        <f>IF(AND($C137,$AO137="Mensual"),$AV137*100000+ROW(),"")</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IF($C138,$AV138,"")</f>
      </c>
      <c r="AE138" s="201">
        <f>IF($C138,$AZ138,"")</f>
      </c>
      <c r="AF138" s="201">
        <f>IF($C138,$AV138&lt;&gt;$AR138,FALSE)</f>
      </c>
      <c r="AG138" s="201">
        <f>IF($C138,IF($AV138&lt;&gt;$AR138,$AW138,""),"")</f>
      </c>
      <c r="AH138" s="202">
        <f>IF($C138,'Backlog General'!$L138,"")</f>
      </c>
      <c r="AI138" s="201">
        <f>IF($C138,$AV138*100000+ROW(),"")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c r="AO138" s="202">
        <f>IF($C138,IFERROR(VLOOKUP($D138,'Sprints'!$G$5:$H$12,2,FALSE),"Semanal"),"")</f>
      </c>
      <c r="AP138" s="201">
        <f>IF($C138,IF($AO138="Semanal",'Sprints'!$D$5,IF($AO138="Quincenal",'Sprints'!$D$6,'Sprints'!$D$7)),"")</f>
      </c>
      <c r="AQ138" s="201">
        <f>IF($C138,IF($AO138="Semanal",'Sprints'!$C$5,IF($AO138="Quincenal",'Sprints'!$C$6,'Sprints'!$C$7)),"")</f>
      </c>
      <c r="AR138" s="201">
        <f>IF($C138,MAX(1,INT(($H138-$AQ138)/$AP138)+1),"")</f>
      </c>
      <c r="AS138" s="201">
        <f>IF($C138,IF($AO138="Semanal",'Sprints'!$E$5,IF($AO138="Quincenal",'Sprints'!$E$6,'Sprints'!$E$7)),"")</f>
      </c>
      <c r="AT138" s="202">
        <f>IF($C138,'Backlog General'!$G138,"")</f>
      </c>
      <c r="AU138" s="202">
        <f>IF($C138,'Backlog General'!$H138,"")</f>
      </c>
      <c r="AV138" s="201">
        <f>IF($C138,IF(OR($AT138="Completo",$AU138="Cancelado",$AU138="Baja prioridad"),$AR138,IF($AU138="Pasa al siguiente",MAX($AR138+1,$AS138),MAX($AR138,$AS138))),"")</f>
      </c>
      <c r="AW138" s="201">
        <f>IF($C138,$AQ138+$AR138*$AP138-1,"")</f>
      </c>
      <c r="AX138" s="201">
        <f>IF($C138,IF(OR($AT138="Completo",$AU138="Cancelado",$AU138="Baja prioridad"),0,MAX(0,TODAY()-$AW138)),"")</f>
      </c>
      <c r="AY138" s="202">
        <f>IF($C138,IF($AT138="Completo","Completo",IF($AU138="Cancelado","Cancelado",IF($AU138="Baja prioridad","Baja prioridad",IF($AX138&gt;0,"Vencida","Pendiente")))),"")</f>
      </c>
      <c r="AZ138" s="202">
        <f>IF($C138,$AO138&amp;" · S"&amp;$AV138,"")</f>
      </c>
      <c r="BA138" s="201">
        <f>IF($C138,IF(AND(ISNUMBER('Backlog General'!$M138),'Backlog General'!$M138=$AS138),"Nuevo S"&amp;'Backlog General'!$M138,""),"")</f>
      </c>
      <c r="BB138" s="201">
        <f>IF(AND($C138,$AO138="Semanal"),$AV138*100000+ROW(),"")</f>
      </c>
      <c r="BC138" s="201">
        <f>IF(AND($C138,$AO138="Quincenal"),$AV138*100000+ROW(),"")</f>
      </c>
      <c r="BD138" s="201">
        <f>IF(AND($C138,$AO138="Mensual"),$AV138*100000+ROW(),"")</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IF($C139,$AV139,"")</f>
      </c>
      <c r="AE139" s="201">
        <f>IF($C139,$AZ139,"")</f>
      </c>
      <c r="AF139" s="201">
        <f>IF($C139,$AV139&lt;&gt;$AR139,FALSE)</f>
      </c>
      <c r="AG139" s="201">
        <f>IF($C139,IF($AV139&lt;&gt;$AR139,$AW139,""),"")</f>
      </c>
      <c r="AH139" s="202">
        <f>IF($C139,'Backlog General'!$L139,"")</f>
      </c>
      <c r="AI139" s="201">
        <f>IF($C139,$AV139*100000+ROW(),"")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c r="AO139" s="202">
        <f>IF($C139,IFERROR(VLOOKUP($D139,'Sprints'!$G$5:$H$12,2,FALSE),"Semanal"),"")</f>
      </c>
      <c r="AP139" s="201">
        <f>IF($C139,IF($AO139="Semanal",'Sprints'!$D$5,IF($AO139="Quincenal",'Sprints'!$D$6,'Sprints'!$D$7)),"")</f>
      </c>
      <c r="AQ139" s="201">
        <f>IF($C139,IF($AO139="Semanal",'Sprints'!$C$5,IF($AO139="Quincenal",'Sprints'!$C$6,'Sprints'!$C$7)),"")</f>
      </c>
      <c r="AR139" s="201">
        <f>IF($C139,MAX(1,INT(($H139-$AQ139)/$AP139)+1),"")</f>
      </c>
      <c r="AS139" s="201">
        <f>IF($C139,IF($AO139="Semanal",'Sprints'!$E$5,IF($AO139="Quincenal",'Sprints'!$E$6,'Sprints'!$E$7)),"")</f>
      </c>
      <c r="AT139" s="202">
        <f>IF($C139,'Backlog General'!$G139,"")</f>
      </c>
      <c r="AU139" s="202">
        <f>IF($C139,'Backlog General'!$H139,"")</f>
      </c>
      <c r="AV139" s="201">
        <f>IF($C139,IF(OR($AT139="Completo",$AU139="Cancelado",$AU139="Baja prioridad"),$AR139,IF($AU139="Pasa al siguiente",MAX($AR139+1,$AS139),MAX($AR139,$AS139))),"")</f>
      </c>
      <c r="AW139" s="201">
        <f>IF($C139,$AQ139+$AR139*$AP139-1,"")</f>
      </c>
      <c r="AX139" s="201">
        <f>IF($C139,IF(OR($AT139="Completo",$AU139="Cancelado",$AU139="Baja prioridad"),0,MAX(0,TODAY()-$AW139)),"")</f>
      </c>
      <c r="AY139" s="202">
        <f>IF($C139,IF($AT139="Completo","Completo",IF($AU139="Cancelado","Cancelado",IF($AU139="Baja prioridad","Baja prioridad",IF($AX139&gt;0,"Vencida","Pendiente")))),"")</f>
      </c>
      <c r="AZ139" s="202">
        <f>IF($C139,$AO139&amp;" · S"&amp;$AV139,"")</f>
      </c>
      <c r="BA139" s="201">
        <f>IF($C139,IF(AND(ISNUMBER('Backlog General'!$M139),'Backlog General'!$M139=$AS139),"Nuevo S"&amp;'Backlog General'!$M139,""),"")</f>
      </c>
      <c r="BB139" s="201">
        <f>IF(AND($C139,$AO139="Semanal"),$AV139*100000+ROW(),"")</f>
      </c>
      <c r="BC139" s="201">
        <f>IF(AND($C139,$AO139="Quincenal"),$AV139*100000+ROW(),"")</f>
      </c>
      <c r="BD139" s="201">
        <f>IF(AND($C139,$AO139="Mensual"),$AV139*100000+ROW(),"")</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IF($C140,$AV140,"")</f>
      </c>
      <c r="AE140" s="201">
        <f>IF($C140,$AZ140,"")</f>
      </c>
      <c r="AF140" s="201">
        <f>IF($C140,$AV140&lt;&gt;$AR140,FALSE)</f>
      </c>
      <c r="AG140" s="201">
        <f>IF($C140,IF($AV140&lt;&gt;$AR140,$AW140,""),"")</f>
      </c>
      <c r="AH140" s="202">
        <f>IF($C140,'Backlog General'!$L140,"")</f>
      </c>
      <c r="AI140" s="201">
        <f>IF($C140,$AV140*100000+ROW(),"")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c r="AO140" s="202">
        <f>IF($C140,IFERROR(VLOOKUP($D140,'Sprints'!$G$5:$H$12,2,FALSE),"Semanal"),"")</f>
      </c>
      <c r="AP140" s="201">
        <f>IF($C140,IF($AO140="Semanal",'Sprints'!$D$5,IF($AO140="Quincenal",'Sprints'!$D$6,'Sprints'!$D$7)),"")</f>
      </c>
      <c r="AQ140" s="201">
        <f>IF($C140,IF($AO140="Semanal",'Sprints'!$C$5,IF($AO140="Quincenal",'Sprints'!$C$6,'Sprints'!$C$7)),"")</f>
      </c>
      <c r="AR140" s="201">
        <f>IF($C140,MAX(1,INT(($H140-$AQ140)/$AP140)+1),"")</f>
      </c>
      <c r="AS140" s="201">
        <f>IF($C140,IF($AO140="Semanal",'Sprints'!$E$5,IF($AO140="Quincenal",'Sprints'!$E$6,'Sprints'!$E$7)),"")</f>
      </c>
      <c r="AT140" s="202">
        <f>IF($C140,'Backlog General'!$G140,"")</f>
      </c>
      <c r="AU140" s="202">
        <f>IF($C140,'Backlog General'!$H140,"")</f>
      </c>
      <c r="AV140" s="201">
        <f>IF($C140,IF(OR($AT140="Completo",$AU140="Cancelado",$AU140="Baja prioridad"),$AR140,IF($AU140="Pasa al siguiente",MAX($AR140+1,$AS140),MAX($AR140,$AS140))),"")</f>
      </c>
      <c r="AW140" s="201">
        <f>IF($C140,$AQ140+$AR140*$AP140-1,"")</f>
      </c>
      <c r="AX140" s="201">
        <f>IF($C140,IF(OR($AT140="Completo",$AU140="Cancelado",$AU140="Baja prioridad"),0,MAX(0,TODAY()-$AW140)),"")</f>
      </c>
      <c r="AY140" s="202">
        <f>IF($C140,IF($AT140="Completo","Completo",IF($AU140="Cancelado","Cancelado",IF($AU140="Baja prioridad","Baja prioridad",IF($AX140&gt;0,"Vencida","Pendiente")))),"")</f>
      </c>
      <c r="AZ140" s="202">
        <f>IF($C140,$AO140&amp;" · S"&amp;$AV140,"")</f>
      </c>
      <c r="BA140" s="201">
        <f>IF($C140,IF(AND(ISNUMBER('Backlog General'!$M140),'Backlog General'!$M140=$AS140),"Nuevo S"&amp;'Backlog General'!$M140,""),"")</f>
      </c>
      <c r="BB140" s="201">
        <f>IF(AND($C140,$AO140="Semanal"),$AV140*100000+ROW(),"")</f>
      </c>
      <c r="BC140" s="201">
        <f>IF(AND($C140,$AO140="Quincenal"),$AV140*100000+ROW(),"")</f>
      </c>
      <c r="BD140" s="201">
        <f>IF(AND($C140,$AO140="Mensual"),$AV140*100000+ROW(),"")</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IF($C141,$AV141,"")</f>
      </c>
      <c r="AE141" s="201">
        <f>IF($C141,$AZ141,"")</f>
      </c>
      <c r="AF141" s="201">
        <f>IF($C141,$AV141&lt;&gt;$AR141,FALSE)</f>
      </c>
      <c r="AG141" s="201">
        <f>IF($C141,IF($AV141&lt;&gt;$AR141,$AW141,""),"")</f>
      </c>
      <c r="AH141" s="202">
        <f>IF($C141,'Backlog General'!$L141,"")</f>
      </c>
      <c r="AI141" s="201">
        <f>IF($C141,$AV141*100000+ROW(),"")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c r="AO141" s="202">
        <f>IF($C141,IFERROR(VLOOKUP($D141,'Sprints'!$G$5:$H$12,2,FALSE),"Semanal"),"")</f>
      </c>
      <c r="AP141" s="201">
        <f>IF($C141,IF($AO141="Semanal",'Sprints'!$D$5,IF($AO141="Quincenal",'Sprints'!$D$6,'Sprints'!$D$7)),"")</f>
      </c>
      <c r="AQ141" s="201">
        <f>IF($C141,IF($AO141="Semanal",'Sprints'!$C$5,IF($AO141="Quincenal",'Sprints'!$C$6,'Sprints'!$C$7)),"")</f>
      </c>
      <c r="AR141" s="201">
        <f>IF($C141,MAX(1,INT(($H141-$AQ141)/$AP141)+1),"")</f>
      </c>
      <c r="AS141" s="201">
        <f>IF($C141,IF($AO141="Semanal",'Sprints'!$E$5,IF($AO141="Quincenal",'Sprints'!$E$6,'Sprints'!$E$7)),"")</f>
      </c>
      <c r="AT141" s="202">
        <f>IF($C141,'Backlog General'!$G141,"")</f>
      </c>
      <c r="AU141" s="202">
        <f>IF($C141,'Backlog General'!$H141,"")</f>
      </c>
      <c r="AV141" s="201">
        <f>IF($C141,IF(OR($AT141="Completo",$AU141="Cancelado",$AU141="Baja prioridad"),$AR141,IF($AU141="Pasa al siguiente",MAX($AR141+1,$AS141),MAX($AR141,$AS141))),"")</f>
      </c>
      <c r="AW141" s="201">
        <f>IF($C141,$AQ141+$AR141*$AP141-1,"")</f>
      </c>
      <c r="AX141" s="201">
        <f>IF($C141,IF(OR($AT141="Completo",$AU141="Cancelado",$AU141="Baja prioridad"),0,MAX(0,TODAY()-$AW141)),"")</f>
      </c>
      <c r="AY141" s="202">
        <f>IF($C141,IF($AT141="Completo","Completo",IF($AU141="Cancelado","Cancelado",IF($AU141="Baja prioridad","Baja prioridad",IF($AX141&gt;0,"Vencida","Pendiente")))),"")</f>
      </c>
      <c r="AZ141" s="202">
        <f>IF($C141,$AO141&amp;" · S"&amp;$AV141,"")</f>
      </c>
      <c r="BA141" s="201">
        <f>IF($C141,IF(AND(ISNUMBER('Backlog General'!$M141),'Backlog General'!$M141=$AS141),"Nuevo S"&amp;'Backlog General'!$M141,""),"")</f>
      </c>
      <c r="BB141" s="201">
        <f>IF(AND($C141,$AO141="Semanal"),$AV141*100000+ROW(),"")</f>
      </c>
      <c r="BC141" s="201">
        <f>IF(AND($C141,$AO141="Quincenal"),$AV141*100000+ROW(),"")</f>
      </c>
      <c r="BD141" s="201">
        <f>IF(AND($C141,$AO141="Mensual"),$AV141*100000+ROW(),"")</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IF($C142,$AV142,"")</f>
      </c>
      <c r="AE142" s="201">
        <f>IF($C142,$AZ142,"")</f>
      </c>
      <c r="AF142" s="201">
        <f>IF($C142,$AV142&lt;&gt;$AR142,FALSE)</f>
      </c>
      <c r="AG142" s="201">
        <f>IF($C142,IF($AV142&lt;&gt;$AR142,$AW142,""),"")</f>
      </c>
      <c r="AH142" s="202">
        <f>IF($C142,'Backlog General'!$L142,"")</f>
      </c>
      <c r="AI142" s="201">
        <f>IF($C142,$AV142*100000+ROW(),"")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c r="AO142" s="202">
        <f>IF($C142,IFERROR(VLOOKUP($D142,'Sprints'!$G$5:$H$12,2,FALSE),"Semanal"),"")</f>
      </c>
      <c r="AP142" s="201">
        <f>IF($C142,IF($AO142="Semanal",'Sprints'!$D$5,IF($AO142="Quincenal",'Sprints'!$D$6,'Sprints'!$D$7)),"")</f>
      </c>
      <c r="AQ142" s="201">
        <f>IF($C142,IF($AO142="Semanal",'Sprints'!$C$5,IF($AO142="Quincenal",'Sprints'!$C$6,'Sprints'!$C$7)),"")</f>
      </c>
      <c r="AR142" s="201">
        <f>IF($C142,MAX(1,INT(($H142-$AQ142)/$AP142)+1),"")</f>
      </c>
      <c r="AS142" s="201">
        <f>IF($C142,IF($AO142="Semanal",'Sprints'!$E$5,IF($AO142="Quincenal",'Sprints'!$E$6,'Sprints'!$E$7)),"")</f>
      </c>
      <c r="AT142" s="202">
        <f>IF($C142,'Backlog General'!$G142,"")</f>
      </c>
      <c r="AU142" s="202">
        <f>IF($C142,'Backlog General'!$H142,"")</f>
      </c>
      <c r="AV142" s="201">
        <f>IF($C142,IF(OR($AT142="Completo",$AU142="Cancelado",$AU142="Baja prioridad"),$AR142,IF($AU142="Pasa al siguiente",MAX($AR142+1,$AS142),MAX($AR142,$AS142))),"")</f>
      </c>
      <c r="AW142" s="201">
        <f>IF($C142,$AQ142+$AR142*$AP142-1,"")</f>
      </c>
      <c r="AX142" s="201">
        <f>IF($C142,IF(OR($AT142="Completo",$AU142="Cancelado",$AU142="Baja prioridad"),0,MAX(0,TODAY()-$AW142)),"")</f>
      </c>
      <c r="AY142" s="202">
        <f>IF($C142,IF($AT142="Completo","Completo",IF($AU142="Cancelado","Cancelado",IF($AU142="Baja prioridad","Baja prioridad",IF($AX142&gt;0,"Vencida","Pendiente")))),"")</f>
      </c>
      <c r="AZ142" s="202">
        <f>IF($C142,$AO142&amp;" · S"&amp;$AV142,"")</f>
      </c>
      <c r="BA142" s="201">
        <f>IF($C142,IF(AND(ISNUMBER('Backlog General'!$M142),'Backlog General'!$M142=$AS142),"Nuevo S"&amp;'Backlog General'!$M142,""),"")</f>
      </c>
      <c r="BB142" s="201">
        <f>IF(AND($C142,$AO142="Semanal"),$AV142*100000+ROW(),"")</f>
      </c>
      <c r="BC142" s="201">
        <f>IF(AND($C142,$AO142="Quincenal"),$AV142*100000+ROW(),"")</f>
      </c>
      <c r="BD142" s="201">
        <f>IF(AND($C142,$AO142="Mensual"),$AV142*100000+ROW(),"")</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IF($C143,$AV143,"")</f>
      </c>
      <c r="AE143" s="201">
        <f>IF($C143,$AZ143,"")</f>
      </c>
      <c r="AF143" s="201">
        <f>IF($C143,$AV143&lt;&gt;$AR143,FALSE)</f>
      </c>
      <c r="AG143" s="201">
        <f>IF($C143,IF($AV143&lt;&gt;$AR143,$AW143,""),"")</f>
      </c>
      <c r="AH143" s="202">
        <f>IF($C143,'Backlog General'!$L143,"")</f>
      </c>
      <c r="AI143" s="201">
        <f>IF($C143,$AV143*100000+ROW(),"")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c r="AO143" s="202">
        <f>IF($C143,IFERROR(VLOOKUP($D143,'Sprints'!$G$5:$H$12,2,FALSE),"Semanal"),"")</f>
      </c>
      <c r="AP143" s="201">
        <f>IF($C143,IF($AO143="Semanal",'Sprints'!$D$5,IF($AO143="Quincenal",'Sprints'!$D$6,'Sprints'!$D$7)),"")</f>
      </c>
      <c r="AQ143" s="201">
        <f>IF($C143,IF($AO143="Semanal",'Sprints'!$C$5,IF($AO143="Quincenal",'Sprints'!$C$6,'Sprints'!$C$7)),"")</f>
      </c>
      <c r="AR143" s="201">
        <f>IF($C143,MAX(1,INT(($H143-$AQ143)/$AP143)+1),"")</f>
      </c>
      <c r="AS143" s="201">
        <f>IF($C143,IF($AO143="Semanal",'Sprints'!$E$5,IF($AO143="Quincenal",'Sprints'!$E$6,'Sprints'!$E$7)),"")</f>
      </c>
      <c r="AT143" s="202">
        <f>IF($C143,'Backlog General'!$G143,"")</f>
      </c>
      <c r="AU143" s="202">
        <f>IF($C143,'Backlog General'!$H143,"")</f>
      </c>
      <c r="AV143" s="201">
        <f>IF($C143,IF(OR($AT143="Completo",$AU143="Cancelado",$AU143="Baja prioridad"),$AR143,IF($AU143="Pasa al siguiente",MAX($AR143+1,$AS143),MAX($AR143,$AS143))),"")</f>
      </c>
      <c r="AW143" s="201">
        <f>IF($C143,$AQ143+$AR143*$AP143-1,"")</f>
      </c>
      <c r="AX143" s="201">
        <f>IF($C143,IF(OR($AT143="Completo",$AU143="Cancelado",$AU143="Baja prioridad"),0,MAX(0,TODAY()-$AW143)),"")</f>
      </c>
      <c r="AY143" s="202">
        <f>IF($C143,IF($AT143="Completo","Completo",IF($AU143="Cancelado","Cancelado",IF($AU143="Baja prioridad","Baja prioridad",IF($AX143&gt;0,"Vencida","Pendiente")))),"")</f>
      </c>
      <c r="AZ143" s="202">
        <f>IF($C143,$AO143&amp;" · S"&amp;$AV143,"")</f>
      </c>
      <c r="BA143" s="201">
        <f>IF($C143,IF(AND(ISNUMBER('Backlog General'!$M143),'Backlog General'!$M143=$AS143),"Nuevo S"&amp;'Backlog General'!$M143,""),"")</f>
      </c>
      <c r="BB143" s="201">
        <f>IF(AND($C143,$AO143="Semanal"),$AV143*100000+ROW(),"")</f>
      </c>
      <c r="BC143" s="201">
        <f>IF(AND($C143,$AO143="Quincenal"),$AV143*100000+ROW(),"")</f>
      </c>
      <c r="BD143" s="201">
        <f>IF(AND($C143,$AO143="Mensual"),$AV143*100000+ROW(),"")</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IF($C144,$AV144,"")</f>
      </c>
      <c r="AE144" s="201">
        <f>IF($C144,$AZ144,"")</f>
      </c>
      <c r="AF144" s="201">
        <f>IF($C144,$AV144&lt;&gt;$AR144,FALSE)</f>
      </c>
      <c r="AG144" s="201">
        <f>IF($C144,IF($AV144&lt;&gt;$AR144,$AW144,""),"")</f>
      </c>
      <c r="AH144" s="202">
        <f>IF($C144,'Backlog General'!$L144,"")</f>
      </c>
      <c r="AI144" s="201">
        <f>IF($C144,$AV144*100000+ROW(),"")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c r="AO144" s="202">
        <f>IF($C144,IFERROR(VLOOKUP($D144,'Sprints'!$G$5:$H$12,2,FALSE),"Semanal"),"")</f>
      </c>
      <c r="AP144" s="201">
        <f>IF($C144,IF($AO144="Semanal",'Sprints'!$D$5,IF($AO144="Quincenal",'Sprints'!$D$6,'Sprints'!$D$7)),"")</f>
      </c>
      <c r="AQ144" s="201">
        <f>IF($C144,IF($AO144="Semanal",'Sprints'!$C$5,IF($AO144="Quincenal",'Sprints'!$C$6,'Sprints'!$C$7)),"")</f>
      </c>
      <c r="AR144" s="201">
        <f>IF($C144,MAX(1,INT(($H144-$AQ144)/$AP144)+1),"")</f>
      </c>
      <c r="AS144" s="201">
        <f>IF($C144,IF($AO144="Semanal",'Sprints'!$E$5,IF($AO144="Quincenal",'Sprints'!$E$6,'Sprints'!$E$7)),"")</f>
      </c>
      <c r="AT144" s="202">
        <f>IF($C144,'Backlog General'!$G144,"")</f>
      </c>
      <c r="AU144" s="202">
        <f>IF($C144,'Backlog General'!$H144,"")</f>
      </c>
      <c r="AV144" s="201">
        <f>IF($C144,IF(OR($AT144="Completo",$AU144="Cancelado",$AU144="Baja prioridad"),$AR144,IF($AU144="Pasa al siguiente",MAX($AR144+1,$AS144),MAX($AR144,$AS144))),"")</f>
      </c>
      <c r="AW144" s="201">
        <f>IF($C144,$AQ144+$AR144*$AP144-1,"")</f>
      </c>
      <c r="AX144" s="201">
        <f>IF($C144,IF(OR($AT144="Completo",$AU144="Cancelado",$AU144="Baja prioridad"),0,MAX(0,TODAY()-$AW144)),"")</f>
      </c>
      <c r="AY144" s="202">
        <f>IF($C144,IF($AT144="Completo","Completo",IF($AU144="Cancelado","Cancelado",IF($AU144="Baja prioridad","Baja prioridad",IF($AX144&gt;0,"Vencida","Pendiente")))),"")</f>
      </c>
      <c r="AZ144" s="202">
        <f>IF($C144,$AO144&amp;" · S"&amp;$AV144,"")</f>
      </c>
      <c r="BA144" s="201">
        <f>IF($C144,IF(AND(ISNUMBER('Backlog General'!$M144),'Backlog General'!$M144=$AS144),"Nuevo S"&amp;'Backlog General'!$M144,""),"")</f>
      </c>
      <c r="BB144" s="201">
        <f>IF(AND($C144,$AO144="Semanal"),$AV144*100000+ROW(),"")</f>
      </c>
      <c r="BC144" s="201">
        <f>IF(AND($C144,$AO144="Quincenal"),$AV144*100000+ROW(),"")</f>
      </c>
      <c r="BD144" s="201">
        <f>IF(AND($C144,$AO144="Mensual"),$AV144*100000+ROW(),"")</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IF($C145,$AV145,"")</f>
      </c>
      <c r="AE145" s="201">
        <f>IF($C145,$AZ145,"")</f>
      </c>
      <c r="AF145" s="201">
        <f>IF($C145,$AV145&lt;&gt;$AR145,FALSE)</f>
      </c>
      <c r="AG145" s="201">
        <f>IF($C145,IF($AV145&lt;&gt;$AR145,$AW145,""),"")</f>
      </c>
      <c r="AH145" s="202">
        <f>IF($C145,'Backlog General'!$L145,"")</f>
      </c>
      <c r="AI145" s="201">
        <f>IF($C145,$AV145*100000+ROW(),"")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c r="AO145" s="202">
        <f>IF($C145,IFERROR(VLOOKUP($D145,'Sprints'!$G$5:$H$12,2,FALSE),"Semanal"),"")</f>
      </c>
      <c r="AP145" s="201">
        <f>IF($C145,IF($AO145="Semanal",'Sprints'!$D$5,IF($AO145="Quincenal",'Sprints'!$D$6,'Sprints'!$D$7)),"")</f>
      </c>
      <c r="AQ145" s="201">
        <f>IF($C145,IF($AO145="Semanal",'Sprints'!$C$5,IF($AO145="Quincenal",'Sprints'!$C$6,'Sprints'!$C$7)),"")</f>
      </c>
      <c r="AR145" s="201">
        <f>IF($C145,MAX(1,INT(($H145-$AQ145)/$AP145)+1),"")</f>
      </c>
      <c r="AS145" s="201">
        <f>IF($C145,IF($AO145="Semanal",'Sprints'!$E$5,IF($AO145="Quincenal",'Sprints'!$E$6,'Sprints'!$E$7)),"")</f>
      </c>
      <c r="AT145" s="202">
        <f>IF($C145,'Backlog General'!$G145,"")</f>
      </c>
      <c r="AU145" s="202">
        <f>IF($C145,'Backlog General'!$H145,"")</f>
      </c>
      <c r="AV145" s="201">
        <f>IF($C145,IF(OR($AT145="Completo",$AU145="Cancelado",$AU145="Baja prioridad"),$AR145,IF($AU145="Pasa al siguiente",MAX($AR145+1,$AS145),MAX($AR145,$AS145))),"")</f>
      </c>
      <c r="AW145" s="201">
        <f>IF($C145,$AQ145+$AR145*$AP145-1,"")</f>
      </c>
      <c r="AX145" s="201">
        <f>IF($C145,IF(OR($AT145="Completo",$AU145="Cancelado",$AU145="Baja prioridad"),0,MAX(0,TODAY()-$AW145)),"")</f>
      </c>
      <c r="AY145" s="202">
        <f>IF($C145,IF($AT145="Completo","Completo",IF($AU145="Cancelado","Cancelado",IF($AU145="Baja prioridad","Baja prioridad",IF($AX145&gt;0,"Vencida","Pendiente")))),"")</f>
      </c>
      <c r="AZ145" s="202">
        <f>IF($C145,$AO145&amp;" · S"&amp;$AV145,"")</f>
      </c>
      <c r="BA145" s="201">
        <f>IF($C145,IF(AND(ISNUMBER('Backlog General'!$M145),'Backlog General'!$M145=$AS145),"Nuevo S"&amp;'Backlog General'!$M145,""),"")</f>
      </c>
      <c r="BB145" s="201">
        <f>IF(AND($C145,$AO145="Semanal"),$AV145*100000+ROW(),"")</f>
      </c>
      <c r="BC145" s="201">
        <f>IF(AND($C145,$AO145="Quincenal"),$AV145*100000+ROW(),"")</f>
      </c>
      <c r="BD145" s="201">
        <f>IF(AND($C145,$AO145="Mensual"),$AV145*100000+ROW(),"")</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IF($C146,$AV146,"")</f>
      </c>
      <c r="AE146" s="201">
        <f>IF($C146,$AZ146,"")</f>
      </c>
      <c r="AF146" s="201">
        <f>IF($C146,$AV146&lt;&gt;$AR146,FALSE)</f>
      </c>
      <c r="AG146" s="201">
        <f>IF($C146,IF($AV146&lt;&gt;$AR146,$AW146,""),"")</f>
      </c>
      <c r="AH146" s="202">
        <f>IF($C146,'Backlog General'!$L146,"")</f>
      </c>
      <c r="AI146" s="201">
        <f>IF($C146,$AV146*100000+ROW(),"")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c r="AO146" s="202">
        <f>IF($C146,IFERROR(VLOOKUP($D146,'Sprints'!$G$5:$H$12,2,FALSE),"Semanal"),"")</f>
      </c>
      <c r="AP146" s="201">
        <f>IF($C146,IF($AO146="Semanal",'Sprints'!$D$5,IF($AO146="Quincenal",'Sprints'!$D$6,'Sprints'!$D$7)),"")</f>
      </c>
      <c r="AQ146" s="201">
        <f>IF($C146,IF($AO146="Semanal",'Sprints'!$C$5,IF($AO146="Quincenal",'Sprints'!$C$6,'Sprints'!$C$7)),"")</f>
      </c>
      <c r="AR146" s="201">
        <f>IF($C146,MAX(1,INT(($H146-$AQ146)/$AP146)+1),"")</f>
      </c>
      <c r="AS146" s="201">
        <f>IF($C146,IF($AO146="Semanal",'Sprints'!$E$5,IF($AO146="Quincenal",'Sprints'!$E$6,'Sprints'!$E$7)),"")</f>
      </c>
      <c r="AT146" s="202">
        <f>IF($C146,'Backlog General'!$G146,"")</f>
      </c>
      <c r="AU146" s="202">
        <f>IF($C146,'Backlog General'!$H146,"")</f>
      </c>
      <c r="AV146" s="201">
        <f>IF($C146,IF(OR($AT146="Completo",$AU146="Cancelado",$AU146="Baja prioridad"),$AR146,IF($AU146="Pasa al siguiente",MAX($AR146+1,$AS146),MAX($AR146,$AS146))),"")</f>
      </c>
      <c r="AW146" s="201">
        <f>IF($C146,$AQ146+$AR146*$AP146-1,"")</f>
      </c>
      <c r="AX146" s="201">
        <f>IF($C146,IF(OR($AT146="Completo",$AU146="Cancelado",$AU146="Baja prioridad"),0,MAX(0,TODAY()-$AW146)),"")</f>
      </c>
      <c r="AY146" s="202">
        <f>IF($C146,IF($AT146="Completo","Completo",IF($AU146="Cancelado","Cancelado",IF($AU146="Baja prioridad","Baja prioridad",IF($AX146&gt;0,"Vencida","Pendiente")))),"")</f>
      </c>
      <c r="AZ146" s="202">
        <f>IF($C146,$AO146&amp;" · S"&amp;$AV146,"")</f>
      </c>
      <c r="BA146" s="201">
        <f>IF($C146,IF(AND(ISNUMBER('Backlog General'!$M146),'Backlog General'!$M146=$AS146),"Nuevo S"&amp;'Backlog General'!$M146,""),"")</f>
      </c>
      <c r="BB146" s="201">
        <f>IF(AND($C146,$AO146="Semanal"),$AV146*100000+ROW(),"")</f>
      </c>
      <c r="BC146" s="201">
        <f>IF(AND($C146,$AO146="Quincenal"),$AV146*100000+ROW(),"")</f>
      </c>
      <c r="BD146" s="201">
        <f>IF(AND($C146,$AO146="Mensual"),$AV146*100000+ROW(),"")</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IF($C147,$AV147,"")</f>
      </c>
      <c r="AE147" s="201">
        <f>IF($C147,$AZ147,"")</f>
      </c>
      <c r="AF147" s="201">
        <f>IF($C147,$AV147&lt;&gt;$AR147,FALSE)</f>
      </c>
      <c r="AG147" s="201">
        <f>IF($C147,IF($AV147&lt;&gt;$AR147,$AW147,""),"")</f>
      </c>
      <c r="AH147" s="202">
        <f>IF($C147,'Backlog General'!$L147,"")</f>
      </c>
      <c r="AI147" s="201">
        <f>IF($C147,$AV147*100000+ROW(),"")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c r="AO147" s="202">
        <f>IF($C147,IFERROR(VLOOKUP($D147,'Sprints'!$G$5:$H$12,2,FALSE),"Semanal"),"")</f>
      </c>
      <c r="AP147" s="201">
        <f>IF($C147,IF($AO147="Semanal",'Sprints'!$D$5,IF($AO147="Quincenal",'Sprints'!$D$6,'Sprints'!$D$7)),"")</f>
      </c>
      <c r="AQ147" s="201">
        <f>IF($C147,IF($AO147="Semanal",'Sprints'!$C$5,IF($AO147="Quincenal",'Sprints'!$C$6,'Sprints'!$C$7)),"")</f>
      </c>
      <c r="AR147" s="201">
        <f>IF($C147,MAX(1,INT(($H147-$AQ147)/$AP147)+1),"")</f>
      </c>
      <c r="AS147" s="201">
        <f>IF($C147,IF($AO147="Semanal",'Sprints'!$E$5,IF($AO147="Quincenal",'Sprints'!$E$6,'Sprints'!$E$7)),"")</f>
      </c>
      <c r="AT147" s="202">
        <f>IF($C147,'Backlog General'!$G147,"")</f>
      </c>
      <c r="AU147" s="202">
        <f>IF($C147,'Backlog General'!$H147,"")</f>
      </c>
      <c r="AV147" s="201">
        <f>IF($C147,IF(OR($AT147="Completo",$AU147="Cancelado",$AU147="Baja prioridad"),$AR147,IF($AU147="Pasa al siguiente",MAX($AR147+1,$AS147),MAX($AR147,$AS147))),"")</f>
      </c>
      <c r="AW147" s="201">
        <f>IF($C147,$AQ147+$AR147*$AP147-1,"")</f>
      </c>
      <c r="AX147" s="201">
        <f>IF($C147,IF(OR($AT147="Completo",$AU147="Cancelado",$AU147="Baja prioridad"),0,MAX(0,TODAY()-$AW147)),"")</f>
      </c>
      <c r="AY147" s="202">
        <f>IF($C147,IF($AT147="Completo","Completo",IF($AU147="Cancelado","Cancelado",IF($AU147="Baja prioridad","Baja prioridad",IF($AX147&gt;0,"Vencida","Pendiente")))),"")</f>
      </c>
      <c r="AZ147" s="202">
        <f>IF($C147,$AO147&amp;" · S"&amp;$AV147,"")</f>
      </c>
      <c r="BA147" s="201">
        <f>IF($C147,IF(AND(ISNUMBER('Backlog General'!$M147),'Backlog General'!$M147=$AS147),"Nuevo S"&amp;'Backlog General'!$M147,""),"")</f>
      </c>
      <c r="BB147" s="201">
        <f>IF(AND($C147,$AO147="Semanal"),$AV147*100000+ROW(),"")</f>
      </c>
      <c r="BC147" s="201">
        <f>IF(AND($C147,$AO147="Quincenal"),$AV147*100000+ROW(),"")</f>
      </c>
      <c r="BD147" s="201">
        <f>IF(AND($C147,$AO147="Mensual"),$AV147*100000+ROW(),"")</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IF($C148,$AV148,"")</f>
      </c>
      <c r="AE148" s="201">
        <f>IF($C148,$AZ148,"")</f>
      </c>
      <c r="AF148" s="201">
        <f>IF($C148,$AV148&lt;&gt;$AR148,FALSE)</f>
      </c>
      <c r="AG148" s="201">
        <f>IF($C148,IF($AV148&lt;&gt;$AR148,$AW148,""),"")</f>
      </c>
      <c r="AH148" s="202">
        <f>IF($C148,'Backlog General'!$L148,"")</f>
      </c>
      <c r="AI148" s="201">
        <f>IF($C148,$AV148*100000+ROW(),"")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c r="AO148" s="202">
        <f>IF($C148,IFERROR(VLOOKUP($D148,'Sprints'!$G$5:$H$12,2,FALSE),"Semanal"),"")</f>
      </c>
      <c r="AP148" s="201">
        <f>IF($C148,IF($AO148="Semanal",'Sprints'!$D$5,IF($AO148="Quincenal",'Sprints'!$D$6,'Sprints'!$D$7)),"")</f>
      </c>
      <c r="AQ148" s="201">
        <f>IF($C148,IF($AO148="Semanal",'Sprints'!$C$5,IF($AO148="Quincenal",'Sprints'!$C$6,'Sprints'!$C$7)),"")</f>
      </c>
      <c r="AR148" s="201">
        <f>IF($C148,MAX(1,INT(($H148-$AQ148)/$AP148)+1),"")</f>
      </c>
      <c r="AS148" s="201">
        <f>IF($C148,IF($AO148="Semanal",'Sprints'!$E$5,IF($AO148="Quincenal",'Sprints'!$E$6,'Sprints'!$E$7)),"")</f>
      </c>
      <c r="AT148" s="202">
        <f>IF($C148,'Backlog General'!$G148,"")</f>
      </c>
      <c r="AU148" s="202">
        <f>IF($C148,'Backlog General'!$H148,"")</f>
      </c>
      <c r="AV148" s="201">
        <f>IF($C148,IF(OR($AT148="Completo",$AU148="Cancelado",$AU148="Baja prioridad"),$AR148,IF($AU148="Pasa al siguiente",MAX($AR148+1,$AS148),MAX($AR148,$AS148))),"")</f>
      </c>
      <c r="AW148" s="201">
        <f>IF($C148,$AQ148+$AR148*$AP148-1,"")</f>
      </c>
      <c r="AX148" s="201">
        <f>IF($C148,IF(OR($AT148="Completo",$AU148="Cancelado",$AU148="Baja prioridad"),0,MAX(0,TODAY()-$AW148)),"")</f>
      </c>
      <c r="AY148" s="202">
        <f>IF($C148,IF($AT148="Completo","Completo",IF($AU148="Cancelado","Cancelado",IF($AU148="Baja prioridad","Baja prioridad",IF($AX148&gt;0,"Vencida","Pendiente")))),"")</f>
      </c>
      <c r="AZ148" s="202">
        <f>IF($C148,$AO148&amp;" · S"&amp;$AV148,"")</f>
      </c>
      <c r="BA148" s="201">
        <f>IF($C148,IF(AND(ISNUMBER('Backlog General'!$M148),'Backlog General'!$M148=$AS148),"Nuevo S"&amp;'Backlog General'!$M148,""),"")</f>
      </c>
      <c r="BB148" s="201">
        <f>IF(AND($C148,$AO148="Semanal"),$AV148*100000+ROW(),"")</f>
      </c>
      <c r="BC148" s="201">
        <f>IF(AND($C148,$AO148="Quincenal"),$AV148*100000+ROW(),"")</f>
      </c>
      <c r="BD148" s="201">
        <f>IF(AND($C148,$AO148="Mensual"),$AV148*100000+ROW(),"")</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IF($C149,$AV149,"")</f>
      </c>
      <c r="AE149" s="201">
        <f>IF($C149,$AZ149,"")</f>
      </c>
      <c r="AF149" s="201">
        <f>IF($C149,$AV149&lt;&gt;$AR149,FALSE)</f>
      </c>
      <c r="AG149" s="201">
        <f>IF($C149,IF($AV149&lt;&gt;$AR149,$AW149,""),"")</f>
      </c>
      <c r="AH149" s="202">
        <f>IF($C149,'Backlog General'!$L149,"")</f>
      </c>
      <c r="AI149" s="201">
        <f>IF($C149,$AV149*100000+ROW(),"")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c r="AO149" s="202">
        <f>IF($C149,IFERROR(VLOOKUP($D149,'Sprints'!$G$5:$H$12,2,FALSE),"Semanal"),"")</f>
      </c>
      <c r="AP149" s="201">
        <f>IF($C149,IF($AO149="Semanal",'Sprints'!$D$5,IF($AO149="Quincenal",'Sprints'!$D$6,'Sprints'!$D$7)),"")</f>
      </c>
      <c r="AQ149" s="201">
        <f>IF($C149,IF($AO149="Semanal",'Sprints'!$C$5,IF($AO149="Quincenal",'Sprints'!$C$6,'Sprints'!$C$7)),"")</f>
      </c>
      <c r="AR149" s="201">
        <f>IF($C149,MAX(1,INT(($H149-$AQ149)/$AP149)+1),"")</f>
      </c>
      <c r="AS149" s="201">
        <f>IF($C149,IF($AO149="Semanal",'Sprints'!$E$5,IF($AO149="Quincenal",'Sprints'!$E$6,'Sprints'!$E$7)),"")</f>
      </c>
      <c r="AT149" s="202">
        <f>IF($C149,'Backlog General'!$G149,"")</f>
      </c>
      <c r="AU149" s="202">
        <f>IF($C149,'Backlog General'!$H149,"")</f>
      </c>
      <c r="AV149" s="201">
        <f>IF($C149,IF(OR($AT149="Completo",$AU149="Cancelado",$AU149="Baja prioridad"),$AR149,IF($AU149="Pasa al siguiente",MAX($AR149+1,$AS149),MAX($AR149,$AS149))),"")</f>
      </c>
      <c r="AW149" s="201">
        <f>IF($C149,$AQ149+$AR149*$AP149-1,"")</f>
      </c>
      <c r="AX149" s="201">
        <f>IF($C149,IF(OR($AT149="Completo",$AU149="Cancelado",$AU149="Baja prioridad"),0,MAX(0,TODAY()-$AW149)),"")</f>
      </c>
      <c r="AY149" s="202">
        <f>IF($C149,IF($AT149="Completo","Completo",IF($AU149="Cancelado","Cancelado",IF($AU149="Baja prioridad","Baja prioridad",IF($AX149&gt;0,"Vencida","Pendiente")))),"")</f>
      </c>
      <c r="AZ149" s="202">
        <f>IF($C149,$AO149&amp;" · S"&amp;$AV149,"")</f>
      </c>
      <c r="BA149" s="201">
        <f>IF($C149,IF(AND(ISNUMBER('Backlog General'!$M149),'Backlog General'!$M149=$AS149),"Nuevo S"&amp;'Backlog General'!$M149,""),"")</f>
      </c>
      <c r="BB149" s="201">
        <f>IF(AND($C149,$AO149="Semanal"),$AV149*100000+ROW(),"")</f>
      </c>
      <c r="BC149" s="201">
        <f>IF(AND($C149,$AO149="Quincenal"),$AV149*100000+ROW(),"")</f>
      </c>
      <c r="BD149" s="201">
        <f>IF(AND($C149,$AO149="Mensual"),$AV149*100000+ROW(),"")</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IF($C150,$AV150,"")</f>
      </c>
      <c r="AE150" s="201">
        <f>IF($C150,$AZ150,"")</f>
      </c>
      <c r="AF150" s="201">
        <f>IF($C150,$AV150&lt;&gt;$AR150,FALSE)</f>
      </c>
      <c r="AG150" s="201">
        <f>IF($C150,IF($AV150&lt;&gt;$AR150,$AW150,""),"")</f>
      </c>
      <c r="AH150" s="202">
        <f>IF($C150,'Backlog General'!$L150,"")</f>
      </c>
      <c r="AI150" s="201">
        <f>IF($C150,$AV150*100000+ROW(),"")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c r="AO150" s="202">
        <f>IF($C150,IFERROR(VLOOKUP($D150,'Sprints'!$G$5:$H$12,2,FALSE),"Semanal"),"")</f>
      </c>
      <c r="AP150" s="201">
        <f>IF($C150,IF($AO150="Semanal",'Sprints'!$D$5,IF($AO150="Quincenal",'Sprints'!$D$6,'Sprints'!$D$7)),"")</f>
      </c>
      <c r="AQ150" s="201">
        <f>IF($C150,IF($AO150="Semanal",'Sprints'!$C$5,IF($AO150="Quincenal",'Sprints'!$C$6,'Sprints'!$C$7)),"")</f>
      </c>
      <c r="AR150" s="201">
        <f>IF($C150,MAX(1,INT(($H150-$AQ150)/$AP150)+1),"")</f>
      </c>
      <c r="AS150" s="201">
        <f>IF($C150,IF($AO150="Semanal",'Sprints'!$E$5,IF($AO150="Quincenal",'Sprints'!$E$6,'Sprints'!$E$7)),"")</f>
      </c>
      <c r="AT150" s="202">
        <f>IF($C150,'Backlog General'!$G150,"")</f>
      </c>
      <c r="AU150" s="202">
        <f>IF($C150,'Backlog General'!$H150,"")</f>
      </c>
      <c r="AV150" s="201">
        <f>IF($C150,IF(OR($AT150="Completo",$AU150="Cancelado",$AU150="Baja prioridad"),$AR150,IF($AU150="Pasa al siguiente",MAX($AR150+1,$AS150),MAX($AR150,$AS150))),"")</f>
      </c>
      <c r="AW150" s="201">
        <f>IF($C150,$AQ150+$AR150*$AP150-1,"")</f>
      </c>
      <c r="AX150" s="201">
        <f>IF($C150,IF(OR($AT150="Completo",$AU150="Cancelado",$AU150="Baja prioridad"),0,MAX(0,TODAY()-$AW150)),"")</f>
      </c>
      <c r="AY150" s="202">
        <f>IF($C150,IF($AT150="Completo","Completo",IF($AU150="Cancelado","Cancelado",IF($AU150="Baja prioridad","Baja prioridad",IF($AX150&gt;0,"Vencida","Pendiente")))),"")</f>
      </c>
      <c r="AZ150" s="202">
        <f>IF($C150,$AO150&amp;" · S"&amp;$AV150,"")</f>
      </c>
      <c r="BA150" s="201">
        <f>IF($C150,IF(AND(ISNUMBER('Backlog General'!$M150),'Backlog General'!$M150=$AS150),"Nuevo S"&amp;'Backlog General'!$M150,""),"")</f>
      </c>
      <c r="BB150" s="201">
        <f>IF(AND($C150,$AO150="Semanal"),$AV150*100000+ROW(),"")</f>
      </c>
      <c r="BC150" s="201">
        <f>IF(AND($C150,$AO150="Quincenal"),$AV150*100000+ROW(),"")</f>
      </c>
      <c r="BD150" s="201">
        <f>IF(AND($C150,$AO150="Mensual"),$AV150*100000+ROW(),"")</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IF($C151,$AV151,"")</f>
      </c>
      <c r="AE151" s="201">
        <f>IF($C151,$AZ151,"")</f>
      </c>
      <c r="AF151" s="201">
        <f>IF($C151,$AV151&lt;&gt;$AR151,FALSE)</f>
      </c>
      <c r="AG151" s="201">
        <f>IF($C151,IF($AV151&lt;&gt;$AR151,$AW151,""),"")</f>
      </c>
      <c r="AH151" s="202">
        <f>IF($C151,'Backlog General'!$L151,"")</f>
      </c>
      <c r="AI151" s="201">
        <f>IF($C151,$AV151*100000+ROW(),"")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c r="AO151" s="202">
        <f>IF($C151,IFERROR(VLOOKUP($D151,'Sprints'!$G$5:$H$12,2,FALSE),"Semanal"),"")</f>
      </c>
      <c r="AP151" s="201">
        <f>IF($C151,IF($AO151="Semanal",'Sprints'!$D$5,IF($AO151="Quincenal",'Sprints'!$D$6,'Sprints'!$D$7)),"")</f>
      </c>
      <c r="AQ151" s="201">
        <f>IF($C151,IF($AO151="Semanal",'Sprints'!$C$5,IF($AO151="Quincenal",'Sprints'!$C$6,'Sprints'!$C$7)),"")</f>
      </c>
      <c r="AR151" s="201">
        <f>IF($C151,MAX(1,INT(($H151-$AQ151)/$AP151)+1),"")</f>
      </c>
      <c r="AS151" s="201">
        <f>IF($C151,IF($AO151="Semanal",'Sprints'!$E$5,IF($AO151="Quincenal",'Sprints'!$E$6,'Sprints'!$E$7)),"")</f>
      </c>
      <c r="AT151" s="202">
        <f>IF($C151,'Backlog General'!$G151,"")</f>
      </c>
      <c r="AU151" s="202">
        <f>IF($C151,'Backlog General'!$H151,"")</f>
      </c>
      <c r="AV151" s="201">
        <f>IF($C151,IF(OR($AT151="Completo",$AU151="Cancelado",$AU151="Baja prioridad"),$AR151,IF($AU151="Pasa al siguiente",MAX($AR151+1,$AS151),MAX($AR151,$AS151))),"")</f>
      </c>
      <c r="AW151" s="201">
        <f>IF($C151,$AQ151+$AR151*$AP151-1,"")</f>
      </c>
      <c r="AX151" s="201">
        <f>IF($C151,IF(OR($AT151="Completo",$AU151="Cancelado",$AU151="Baja prioridad"),0,MAX(0,TODAY()-$AW151)),"")</f>
      </c>
      <c r="AY151" s="202">
        <f>IF($C151,IF($AT151="Completo","Completo",IF($AU151="Cancelado","Cancelado",IF($AU151="Baja prioridad","Baja prioridad",IF($AX151&gt;0,"Vencida","Pendiente")))),"")</f>
      </c>
      <c r="AZ151" s="202">
        <f>IF($C151,$AO151&amp;" · S"&amp;$AV151,"")</f>
      </c>
      <c r="BA151" s="201">
        <f>IF($C151,IF(AND(ISNUMBER('Backlog General'!$M151),'Backlog General'!$M151=$AS151),"Nuevo S"&amp;'Backlog General'!$M151,""),"")</f>
      </c>
      <c r="BB151" s="201">
        <f>IF(AND($C151,$AO151="Semanal"),$AV151*100000+ROW(),"")</f>
      </c>
      <c r="BC151" s="201">
        <f>IF(AND($C151,$AO151="Quincenal"),$AV151*100000+ROW(),"")</f>
      </c>
      <c r="BD151" s="201">
        <f>IF(AND($C151,$AO151="Mensual"),$AV151*100000+ROW(),"")</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IF($C152,$AV152,"")</f>
      </c>
      <c r="AE152" s="201">
        <f>IF($C152,$AZ152,"")</f>
      </c>
      <c r="AF152" s="201">
        <f>IF($C152,$AV152&lt;&gt;$AR152,FALSE)</f>
      </c>
      <c r="AG152" s="201">
        <f>IF($C152,IF($AV152&lt;&gt;$AR152,$AW152,""),"")</f>
      </c>
      <c r="AH152" s="202">
        <f>IF($C152,'Backlog General'!$L152,"")</f>
      </c>
      <c r="AI152" s="201">
        <f>IF($C152,$AV152*100000+ROW(),"")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c r="AO152" s="202">
        <f>IF($C152,IFERROR(VLOOKUP($D152,'Sprints'!$G$5:$H$12,2,FALSE),"Semanal"),"")</f>
      </c>
      <c r="AP152" s="201">
        <f>IF($C152,IF($AO152="Semanal",'Sprints'!$D$5,IF($AO152="Quincenal",'Sprints'!$D$6,'Sprints'!$D$7)),"")</f>
      </c>
      <c r="AQ152" s="201">
        <f>IF($C152,IF($AO152="Semanal",'Sprints'!$C$5,IF($AO152="Quincenal",'Sprints'!$C$6,'Sprints'!$C$7)),"")</f>
      </c>
      <c r="AR152" s="201">
        <f>IF($C152,MAX(1,INT(($H152-$AQ152)/$AP152)+1),"")</f>
      </c>
      <c r="AS152" s="201">
        <f>IF($C152,IF($AO152="Semanal",'Sprints'!$E$5,IF($AO152="Quincenal",'Sprints'!$E$6,'Sprints'!$E$7)),"")</f>
      </c>
      <c r="AT152" s="202">
        <f>IF($C152,'Backlog General'!$G152,"")</f>
      </c>
      <c r="AU152" s="202">
        <f>IF($C152,'Backlog General'!$H152,"")</f>
      </c>
      <c r="AV152" s="201">
        <f>IF($C152,IF(OR($AT152="Completo",$AU152="Cancelado",$AU152="Baja prioridad"),$AR152,IF($AU152="Pasa al siguiente",MAX($AR152+1,$AS152),MAX($AR152,$AS152))),"")</f>
      </c>
      <c r="AW152" s="201">
        <f>IF($C152,$AQ152+$AR152*$AP152-1,"")</f>
      </c>
      <c r="AX152" s="201">
        <f>IF($C152,IF(OR($AT152="Completo",$AU152="Cancelado",$AU152="Baja prioridad"),0,MAX(0,TODAY()-$AW152)),"")</f>
      </c>
      <c r="AY152" s="202">
        <f>IF($C152,IF($AT152="Completo","Completo",IF($AU152="Cancelado","Cancelado",IF($AU152="Baja prioridad","Baja prioridad",IF($AX152&gt;0,"Vencida","Pendiente")))),"")</f>
      </c>
      <c r="AZ152" s="202">
        <f>IF($C152,$AO152&amp;" · S"&amp;$AV152,"")</f>
      </c>
      <c r="BA152" s="201">
        <f>IF($C152,IF(AND(ISNUMBER('Backlog General'!$M152),'Backlog General'!$M152=$AS152),"Nuevo S"&amp;'Backlog General'!$M152,""),"")</f>
      </c>
      <c r="BB152" s="201">
        <f>IF(AND($C152,$AO152="Semanal"),$AV152*100000+ROW(),"")</f>
      </c>
      <c r="BC152" s="201">
        <f>IF(AND($C152,$AO152="Quincenal"),$AV152*100000+ROW(),"")</f>
      </c>
      <c r="BD152" s="201">
        <f>IF(AND($C152,$AO152="Mensual"),$AV152*100000+ROW(),"")</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IF($C153,$AV153,"")</f>
      </c>
      <c r="AE153" s="201">
        <f>IF($C153,$AZ153,"")</f>
      </c>
      <c r="AF153" s="201">
        <f>IF($C153,$AV153&lt;&gt;$AR153,FALSE)</f>
      </c>
      <c r="AG153" s="201">
        <f>IF($C153,IF($AV153&lt;&gt;$AR153,$AW153,""),"")</f>
      </c>
      <c r="AH153" s="202">
        <f>IF($C153,'Backlog General'!$L153,"")</f>
      </c>
      <c r="AI153" s="201">
        <f>IF($C153,$AV153*100000+ROW(),"")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c r="AO153" s="202">
        <f>IF($C153,IFERROR(VLOOKUP($D153,'Sprints'!$G$5:$H$12,2,FALSE),"Semanal"),"")</f>
      </c>
      <c r="AP153" s="201">
        <f>IF($C153,IF($AO153="Semanal",'Sprints'!$D$5,IF($AO153="Quincenal",'Sprints'!$D$6,'Sprints'!$D$7)),"")</f>
      </c>
      <c r="AQ153" s="201">
        <f>IF($C153,IF($AO153="Semanal",'Sprints'!$C$5,IF($AO153="Quincenal",'Sprints'!$C$6,'Sprints'!$C$7)),"")</f>
      </c>
      <c r="AR153" s="201">
        <f>IF($C153,MAX(1,INT(($H153-$AQ153)/$AP153)+1),"")</f>
      </c>
      <c r="AS153" s="201">
        <f>IF($C153,IF($AO153="Semanal",'Sprints'!$E$5,IF($AO153="Quincenal",'Sprints'!$E$6,'Sprints'!$E$7)),"")</f>
      </c>
      <c r="AT153" s="202">
        <f>IF($C153,'Backlog General'!$G153,"")</f>
      </c>
      <c r="AU153" s="202">
        <f>IF($C153,'Backlog General'!$H153,"")</f>
      </c>
      <c r="AV153" s="201">
        <f>IF($C153,IF(OR($AT153="Completo",$AU153="Cancelado",$AU153="Baja prioridad"),$AR153,IF($AU153="Pasa al siguiente",MAX($AR153+1,$AS153),MAX($AR153,$AS153))),"")</f>
      </c>
      <c r="AW153" s="201">
        <f>IF($C153,$AQ153+$AR153*$AP153-1,"")</f>
      </c>
      <c r="AX153" s="201">
        <f>IF($C153,IF(OR($AT153="Completo",$AU153="Cancelado",$AU153="Baja prioridad"),0,MAX(0,TODAY()-$AW153)),"")</f>
      </c>
      <c r="AY153" s="202">
        <f>IF($C153,IF($AT153="Completo","Completo",IF($AU153="Cancelado","Cancelado",IF($AU153="Baja prioridad","Baja prioridad",IF($AX153&gt;0,"Vencida","Pendiente")))),"")</f>
      </c>
      <c r="AZ153" s="202">
        <f>IF($C153,$AO153&amp;" · S"&amp;$AV153,"")</f>
      </c>
      <c r="BA153" s="201">
        <f>IF($C153,IF(AND(ISNUMBER('Backlog General'!$M153),'Backlog General'!$M153=$AS153),"Nuevo S"&amp;'Backlog General'!$M153,""),"")</f>
      </c>
      <c r="BB153" s="201">
        <f>IF(AND($C153,$AO153="Semanal"),$AV153*100000+ROW(),"")</f>
      </c>
      <c r="BC153" s="201">
        <f>IF(AND($C153,$AO153="Quincenal"),$AV153*100000+ROW(),"")</f>
      </c>
      <c r="BD153" s="201">
        <f>IF(AND($C153,$AO153="Mensual"),$AV153*100000+ROW(),"")</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IF($C154,$AV154,"")</f>
      </c>
      <c r="AE154" s="201">
        <f>IF($C154,$AZ154,"")</f>
      </c>
      <c r="AF154" s="201">
        <f>IF($C154,$AV154&lt;&gt;$AR154,FALSE)</f>
      </c>
      <c r="AG154" s="201">
        <f>IF($C154,IF($AV154&lt;&gt;$AR154,$AW154,""),"")</f>
      </c>
      <c r="AH154" s="202">
        <f>IF($C154,'Backlog General'!$L154,"")</f>
      </c>
      <c r="AI154" s="201">
        <f>IF($C154,$AV154*100000+ROW(),"")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c r="AO154" s="202">
        <f>IF($C154,IFERROR(VLOOKUP($D154,'Sprints'!$G$5:$H$12,2,FALSE),"Semanal"),"")</f>
      </c>
      <c r="AP154" s="201">
        <f>IF($C154,IF($AO154="Semanal",'Sprints'!$D$5,IF($AO154="Quincenal",'Sprints'!$D$6,'Sprints'!$D$7)),"")</f>
      </c>
      <c r="AQ154" s="201">
        <f>IF($C154,IF($AO154="Semanal",'Sprints'!$C$5,IF($AO154="Quincenal",'Sprints'!$C$6,'Sprints'!$C$7)),"")</f>
      </c>
      <c r="AR154" s="201">
        <f>IF($C154,MAX(1,INT(($H154-$AQ154)/$AP154)+1),"")</f>
      </c>
      <c r="AS154" s="201">
        <f>IF($C154,IF($AO154="Semanal",'Sprints'!$E$5,IF($AO154="Quincenal",'Sprints'!$E$6,'Sprints'!$E$7)),"")</f>
      </c>
      <c r="AT154" s="202">
        <f>IF($C154,'Backlog General'!$G154,"")</f>
      </c>
      <c r="AU154" s="202">
        <f>IF($C154,'Backlog General'!$H154,"")</f>
      </c>
      <c r="AV154" s="201">
        <f>IF($C154,IF(OR($AT154="Completo",$AU154="Cancelado",$AU154="Baja prioridad"),$AR154,IF($AU154="Pasa al siguiente",MAX($AR154+1,$AS154),MAX($AR154,$AS154))),"")</f>
      </c>
      <c r="AW154" s="201">
        <f>IF($C154,$AQ154+$AR154*$AP154-1,"")</f>
      </c>
      <c r="AX154" s="201">
        <f>IF($C154,IF(OR($AT154="Completo",$AU154="Cancelado",$AU154="Baja prioridad"),0,MAX(0,TODAY()-$AW154)),"")</f>
      </c>
      <c r="AY154" s="202">
        <f>IF($C154,IF($AT154="Completo","Completo",IF($AU154="Cancelado","Cancelado",IF($AU154="Baja prioridad","Baja prioridad",IF($AX154&gt;0,"Vencida","Pendiente")))),"")</f>
      </c>
      <c r="AZ154" s="202">
        <f>IF($C154,$AO154&amp;" · S"&amp;$AV154,"")</f>
      </c>
      <c r="BA154" s="201">
        <f>IF($C154,IF(AND(ISNUMBER('Backlog General'!$M154),'Backlog General'!$M154=$AS154),"Nuevo S"&amp;'Backlog General'!$M154,""),"")</f>
      </c>
      <c r="BB154" s="201">
        <f>IF(AND($C154,$AO154="Semanal"),$AV154*100000+ROW(),"")</f>
      </c>
      <c r="BC154" s="201">
        <f>IF(AND($C154,$AO154="Quincenal"),$AV154*100000+ROW(),"")</f>
      </c>
      <c r="BD154" s="201">
        <f>IF(AND($C154,$AO154="Mensual"),$AV154*100000+ROW(),"")</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IF($C155,$AV155,"")</f>
      </c>
      <c r="AE155" s="201">
        <f>IF($C155,$AZ155,"")</f>
      </c>
      <c r="AF155" s="201">
        <f>IF($C155,$AV155&lt;&gt;$AR155,FALSE)</f>
      </c>
      <c r="AG155" s="201">
        <f>IF($C155,IF($AV155&lt;&gt;$AR155,$AW155,""),"")</f>
      </c>
      <c r="AH155" s="202">
        <f>IF($C155,'Backlog General'!$L155,"")</f>
      </c>
      <c r="AI155" s="201">
        <f>IF($C155,$AV155*100000+ROW(),"")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c r="AO155" s="202">
        <f>IF($C155,IFERROR(VLOOKUP($D155,'Sprints'!$G$5:$H$12,2,FALSE),"Semanal"),"")</f>
      </c>
      <c r="AP155" s="201">
        <f>IF($C155,IF($AO155="Semanal",'Sprints'!$D$5,IF($AO155="Quincenal",'Sprints'!$D$6,'Sprints'!$D$7)),"")</f>
      </c>
      <c r="AQ155" s="201">
        <f>IF($C155,IF($AO155="Semanal",'Sprints'!$C$5,IF($AO155="Quincenal",'Sprints'!$C$6,'Sprints'!$C$7)),"")</f>
      </c>
      <c r="AR155" s="201">
        <f>IF($C155,MAX(1,INT(($H155-$AQ155)/$AP155)+1),"")</f>
      </c>
      <c r="AS155" s="201">
        <f>IF($C155,IF($AO155="Semanal",'Sprints'!$E$5,IF($AO155="Quincenal",'Sprints'!$E$6,'Sprints'!$E$7)),"")</f>
      </c>
      <c r="AT155" s="202">
        <f>IF($C155,'Backlog General'!$G155,"")</f>
      </c>
      <c r="AU155" s="202">
        <f>IF($C155,'Backlog General'!$H155,"")</f>
      </c>
      <c r="AV155" s="201">
        <f>IF($C155,IF(OR($AT155="Completo",$AU155="Cancelado",$AU155="Baja prioridad"),$AR155,IF($AU155="Pasa al siguiente",MAX($AR155+1,$AS155),MAX($AR155,$AS155))),"")</f>
      </c>
      <c r="AW155" s="201">
        <f>IF($C155,$AQ155+$AR155*$AP155-1,"")</f>
      </c>
      <c r="AX155" s="201">
        <f>IF($C155,IF(OR($AT155="Completo",$AU155="Cancelado",$AU155="Baja prioridad"),0,MAX(0,TODAY()-$AW155)),"")</f>
      </c>
      <c r="AY155" s="202">
        <f>IF($C155,IF($AT155="Completo","Completo",IF($AU155="Cancelado","Cancelado",IF($AU155="Baja prioridad","Baja prioridad",IF($AX155&gt;0,"Vencida","Pendiente")))),"")</f>
      </c>
      <c r="AZ155" s="202">
        <f>IF($C155,$AO155&amp;" · S"&amp;$AV155,"")</f>
      </c>
      <c r="BA155" s="201">
        <f>IF($C155,IF(AND(ISNUMBER('Backlog General'!$M155),'Backlog General'!$M155=$AS155),"Nuevo S"&amp;'Backlog General'!$M155,""),"")</f>
      </c>
      <c r="BB155" s="201">
        <f>IF(AND($C155,$AO155="Semanal"),$AV155*100000+ROW(),"")</f>
      </c>
      <c r="BC155" s="201">
        <f>IF(AND($C155,$AO155="Quincenal"),$AV155*100000+ROW(),"")</f>
      </c>
      <c r="BD155" s="201">
        <f>IF(AND($C155,$AO155="Mensual"),$AV155*100000+ROW(),"")</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IF($C156,$AV156,"")</f>
      </c>
      <c r="AE156" s="201">
        <f>IF($C156,$AZ156,"")</f>
      </c>
      <c r="AF156" s="201">
        <f>IF($C156,$AV156&lt;&gt;$AR156,FALSE)</f>
      </c>
      <c r="AG156" s="201">
        <f>IF($C156,IF($AV156&lt;&gt;$AR156,$AW156,""),"")</f>
      </c>
      <c r="AH156" s="202">
        <f>IF($C156,'Backlog General'!$L156,"")</f>
      </c>
      <c r="AI156" s="201">
        <f>IF($C156,$AV156*100000+ROW(),"")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c r="AO156" s="202">
        <f>IF($C156,IFERROR(VLOOKUP($D156,'Sprints'!$G$5:$H$12,2,FALSE),"Semanal"),"")</f>
      </c>
      <c r="AP156" s="201">
        <f>IF($C156,IF($AO156="Semanal",'Sprints'!$D$5,IF($AO156="Quincenal",'Sprints'!$D$6,'Sprints'!$D$7)),"")</f>
      </c>
      <c r="AQ156" s="201">
        <f>IF($C156,IF($AO156="Semanal",'Sprints'!$C$5,IF($AO156="Quincenal",'Sprints'!$C$6,'Sprints'!$C$7)),"")</f>
      </c>
      <c r="AR156" s="201">
        <f>IF($C156,MAX(1,INT(($H156-$AQ156)/$AP156)+1),"")</f>
      </c>
      <c r="AS156" s="201">
        <f>IF($C156,IF($AO156="Semanal",'Sprints'!$E$5,IF($AO156="Quincenal",'Sprints'!$E$6,'Sprints'!$E$7)),"")</f>
      </c>
      <c r="AT156" s="202">
        <f>IF($C156,'Backlog General'!$G156,"")</f>
      </c>
      <c r="AU156" s="202">
        <f>IF($C156,'Backlog General'!$H156,"")</f>
      </c>
      <c r="AV156" s="201">
        <f>IF($C156,IF(OR($AT156="Completo",$AU156="Cancelado",$AU156="Baja prioridad"),$AR156,IF($AU156="Pasa al siguiente",MAX($AR156+1,$AS156),MAX($AR156,$AS156))),"")</f>
      </c>
      <c r="AW156" s="201">
        <f>IF($C156,$AQ156+$AR156*$AP156-1,"")</f>
      </c>
      <c r="AX156" s="201">
        <f>IF($C156,IF(OR($AT156="Completo",$AU156="Cancelado",$AU156="Baja prioridad"),0,MAX(0,TODAY()-$AW156)),"")</f>
      </c>
      <c r="AY156" s="202">
        <f>IF($C156,IF($AT156="Completo","Completo",IF($AU156="Cancelado","Cancelado",IF($AU156="Baja prioridad","Baja prioridad",IF($AX156&gt;0,"Vencida","Pendiente")))),"")</f>
      </c>
      <c r="AZ156" s="202">
        <f>IF($C156,$AO156&amp;" · S"&amp;$AV156,"")</f>
      </c>
      <c r="BA156" s="201">
        <f>IF($C156,IF(AND(ISNUMBER('Backlog General'!$M156),'Backlog General'!$M156=$AS156),"Nuevo S"&amp;'Backlog General'!$M156,""),"")</f>
      </c>
      <c r="BB156" s="201">
        <f>IF(AND($C156,$AO156="Semanal"),$AV156*100000+ROW(),"")</f>
      </c>
      <c r="BC156" s="201">
        <f>IF(AND($C156,$AO156="Quincenal"),$AV156*100000+ROW(),"")</f>
      </c>
      <c r="BD156" s="201">
        <f>IF(AND($C156,$AO156="Mensual"),$AV156*100000+ROW(),"")</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IF($C157,$AV157,"")</f>
      </c>
      <c r="AE157" s="201">
        <f>IF($C157,$AZ157,"")</f>
      </c>
      <c r="AF157" s="201">
        <f>IF($C157,$AV157&lt;&gt;$AR157,FALSE)</f>
      </c>
      <c r="AG157" s="201">
        <f>IF($C157,IF($AV157&lt;&gt;$AR157,$AW157,""),"")</f>
      </c>
      <c r="AH157" s="202">
        <f>IF($C157,'Backlog General'!$L157,"")</f>
      </c>
      <c r="AI157" s="201">
        <f>IF($C157,$AV157*100000+ROW(),"")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c r="AO157" s="202">
        <f>IF($C157,IFERROR(VLOOKUP($D157,'Sprints'!$G$5:$H$12,2,FALSE),"Semanal"),"")</f>
      </c>
      <c r="AP157" s="201">
        <f>IF($C157,IF($AO157="Semanal",'Sprints'!$D$5,IF($AO157="Quincenal",'Sprints'!$D$6,'Sprints'!$D$7)),"")</f>
      </c>
      <c r="AQ157" s="201">
        <f>IF($C157,IF($AO157="Semanal",'Sprints'!$C$5,IF($AO157="Quincenal",'Sprints'!$C$6,'Sprints'!$C$7)),"")</f>
      </c>
      <c r="AR157" s="201">
        <f>IF($C157,MAX(1,INT(($H157-$AQ157)/$AP157)+1),"")</f>
      </c>
      <c r="AS157" s="201">
        <f>IF($C157,IF($AO157="Semanal",'Sprints'!$E$5,IF($AO157="Quincenal",'Sprints'!$E$6,'Sprints'!$E$7)),"")</f>
      </c>
      <c r="AT157" s="202">
        <f>IF($C157,'Backlog General'!$G157,"")</f>
      </c>
      <c r="AU157" s="202">
        <f>IF($C157,'Backlog General'!$H157,"")</f>
      </c>
      <c r="AV157" s="201">
        <f>IF($C157,IF(OR($AT157="Completo",$AU157="Cancelado",$AU157="Baja prioridad"),$AR157,IF($AU157="Pasa al siguiente",MAX($AR157+1,$AS157),MAX($AR157,$AS157))),"")</f>
      </c>
      <c r="AW157" s="201">
        <f>IF($C157,$AQ157+$AR157*$AP157-1,"")</f>
      </c>
      <c r="AX157" s="201">
        <f>IF($C157,IF(OR($AT157="Completo",$AU157="Cancelado",$AU157="Baja prioridad"),0,MAX(0,TODAY()-$AW157)),"")</f>
      </c>
      <c r="AY157" s="202">
        <f>IF($C157,IF($AT157="Completo","Completo",IF($AU157="Cancelado","Cancelado",IF($AU157="Baja prioridad","Baja prioridad",IF($AX157&gt;0,"Vencida","Pendiente")))),"")</f>
      </c>
      <c r="AZ157" s="202">
        <f>IF($C157,$AO157&amp;" · S"&amp;$AV157,"")</f>
      </c>
      <c r="BA157" s="201">
        <f>IF($C157,IF(AND(ISNUMBER('Backlog General'!$M157),'Backlog General'!$M157=$AS157),"Nuevo S"&amp;'Backlog General'!$M157,""),"")</f>
      </c>
      <c r="BB157" s="201">
        <f>IF(AND($C157,$AO157="Semanal"),$AV157*100000+ROW(),"")</f>
      </c>
      <c r="BC157" s="201">
        <f>IF(AND($C157,$AO157="Quincenal"),$AV157*100000+ROW(),"")</f>
      </c>
      <c r="BD157" s="201">
        <f>IF(AND($C157,$AO157="Mensual"),$AV157*100000+ROW(),"")</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IF($C158,$AV158,"")</f>
      </c>
      <c r="AE158" s="201">
        <f>IF($C158,$AZ158,"")</f>
      </c>
      <c r="AF158" s="201">
        <f>IF($C158,$AV158&lt;&gt;$AR158,FALSE)</f>
      </c>
      <c r="AG158" s="201">
        <f>IF($C158,IF($AV158&lt;&gt;$AR158,$AW158,""),"")</f>
      </c>
      <c r="AH158" s="202">
        <f>IF($C158,'Backlog General'!$L158,"")</f>
      </c>
      <c r="AI158" s="201">
        <f>IF($C158,$AV158*100000+ROW(),"")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c r="AO158" s="202">
        <f>IF($C158,IFERROR(VLOOKUP($D158,'Sprints'!$G$5:$H$12,2,FALSE),"Semanal"),"")</f>
      </c>
      <c r="AP158" s="201">
        <f>IF($C158,IF($AO158="Semanal",'Sprints'!$D$5,IF($AO158="Quincenal",'Sprints'!$D$6,'Sprints'!$D$7)),"")</f>
      </c>
      <c r="AQ158" s="201">
        <f>IF($C158,IF($AO158="Semanal",'Sprints'!$C$5,IF($AO158="Quincenal",'Sprints'!$C$6,'Sprints'!$C$7)),"")</f>
      </c>
      <c r="AR158" s="201">
        <f>IF($C158,MAX(1,INT(($H158-$AQ158)/$AP158)+1),"")</f>
      </c>
      <c r="AS158" s="201">
        <f>IF($C158,IF($AO158="Semanal",'Sprints'!$E$5,IF($AO158="Quincenal",'Sprints'!$E$6,'Sprints'!$E$7)),"")</f>
      </c>
      <c r="AT158" s="202">
        <f>IF($C158,'Backlog General'!$G158,"")</f>
      </c>
      <c r="AU158" s="202">
        <f>IF($C158,'Backlog General'!$H158,"")</f>
      </c>
      <c r="AV158" s="201">
        <f>IF($C158,IF(OR($AT158="Completo",$AU158="Cancelado",$AU158="Baja prioridad"),$AR158,IF($AU158="Pasa al siguiente",MAX($AR158+1,$AS158),MAX($AR158,$AS158))),"")</f>
      </c>
      <c r="AW158" s="201">
        <f>IF($C158,$AQ158+$AR158*$AP158-1,"")</f>
      </c>
      <c r="AX158" s="201">
        <f>IF($C158,IF(OR($AT158="Completo",$AU158="Cancelado",$AU158="Baja prioridad"),0,MAX(0,TODAY()-$AW158)),"")</f>
      </c>
      <c r="AY158" s="202">
        <f>IF($C158,IF($AT158="Completo","Completo",IF($AU158="Cancelado","Cancelado",IF($AU158="Baja prioridad","Baja prioridad",IF($AX158&gt;0,"Vencida","Pendiente")))),"")</f>
      </c>
      <c r="AZ158" s="202">
        <f>IF($C158,$AO158&amp;" · S"&amp;$AV158,"")</f>
      </c>
      <c r="BA158" s="201">
        <f>IF($C158,IF(AND(ISNUMBER('Backlog General'!$M158),'Backlog General'!$M158=$AS158),"Nuevo S"&amp;'Backlog General'!$M158,""),"")</f>
      </c>
      <c r="BB158" s="201">
        <f>IF(AND($C158,$AO158="Semanal"),$AV158*100000+ROW(),"")</f>
      </c>
      <c r="BC158" s="201">
        <f>IF(AND($C158,$AO158="Quincenal"),$AV158*100000+ROW(),"")</f>
      </c>
      <c r="BD158" s="201">
        <f>IF(AND($C158,$AO158="Mensual"),$AV158*100000+ROW(),"")</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IF($C159,$AV159,"")</f>
      </c>
      <c r="AE159" s="201">
        <f>IF($C159,$AZ159,"")</f>
      </c>
      <c r="AF159" s="201">
        <f>IF($C159,$AV159&lt;&gt;$AR159,FALSE)</f>
      </c>
      <c r="AG159" s="201">
        <f>IF($C159,IF($AV159&lt;&gt;$AR159,$AW159,""),"")</f>
      </c>
      <c r="AH159" s="202">
        <f>IF($C159,'Backlog General'!$L159,"")</f>
      </c>
      <c r="AI159" s="201">
        <f>IF($C159,$AV159*100000+ROW(),"")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c r="AO159" s="202">
        <f>IF($C159,IFERROR(VLOOKUP($D159,'Sprints'!$G$5:$H$12,2,FALSE),"Semanal"),"")</f>
      </c>
      <c r="AP159" s="201">
        <f>IF($C159,IF($AO159="Semanal",'Sprints'!$D$5,IF($AO159="Quincenal",'Sprints'!$D$6,'Sprints'!$D$7)),"")</f>
      </c>
      <c r="AQ159" s="201">
        <f>IF($C159,IF($AO159="Semanal",'Sprints'!$C$5,IF($AO159="Quincenal",'Sprints'!$C$6,'Sprints'!$C$7)),"")</f>
      </c>
      <c r="AR159" s="201">
        <f>IF($C159,MAX(1,INT(($H159-$AQ159)/$AP159)+1),"")</f>
      </c>
      <c r="AS159" s="201">
        <f>IF($C159,IF($AO159="Semanal",'Sprints'!$E$5,IF($AO159="Quincenal",'Sprints'!$E$6,'Sprints'!$E$7)),"")</f>
      </c>
      <c r="AT159" s="202">
        <f>IF($C159,'Backlog General'!$G159,"")</f>
      </c>
      <c r="AU159" s="202">
        <f>IF($C159,'Backlog General'!$H159,"")</f>
      </c>
      <c r="AV159" s="201">
        <f>IF($C159,IF(OR($AT159="Completo",$AU159="Cancelado",$AU159="Baja prioridad"),$AR159,IF($AU159="Pasa al siguiente",MAX($AR159+1,$AS159),MAX($AR159,$AS159))),"")</f>
      </c>
      <c r="AW159" s="201">
        <f>IF($C159,$AQ159+$AR159*$AP159-1,"")</f>
      </c>
      <c r="AX159" s="201">
        <f>IF($C159,IF(OR($AT159="Completo",$AU159="Cancelado",$AU159="Baja prioridad"),0,MAX(0,TODAY()-$AW159)),"")</f>
      </c>
      <c r="AY159" s="202">
        <f>IF($C159,IF($AT159="Completo","Completo",IF($AU159="Cancelado","Cancelado",IF($AU159="Baja prioridad","Baja prioridad",IF($AX159&gt;0,"Vencida","Pendiente")))),"")</f>
      </c>
      <c r="AZ159" s="202">
        <f>IF($C159,$AO159&amp;" · S"&amp;$AV159,"")</f>
      </c>
      <c r="BA159" s="201">
        <f>IF($C159,IF(AND(ISNUMBER('Backlog General'!$M159),'Backlog General'!$M159=$AS159),"Nuevo S"&amp;'Backlog General'!$M159,""),"")</f>
      </c>
      <c r="BB159" s="201">
        <f>IF(AND($C159,$AO159="Semanal"),$AV159*100000+ROW(),"")</f>
      </c>
      <c r="BC159" s="201">
        <f>IF(AND($C159,$AO159="Quincenal"),$AV159*100000+ROW(),"")</f>
      </c>
      <c r="BD159" s="201">
        <f>IF(AND($C159,$AO159="Mensual"),$AV159*100000+ROW(),"")</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IF($C160,$AV160,"")</f>
      </c>
      <c r="AE160" s="201">
        <f>IF($C160,$AZ160,"")</f>
      </c>
      <c r="AF160" s="201">
        <f>IF($C160,$AV160&lt;&gt;$AR160,FALSE)</f>
      </c>
      <c r="AG160" s="201">
        <f>IF($C160,IF($AV160&lt;&gt;$AR160,$AW160,""),"")</f>
      </c>
      <c r="AH160" s="202">
        <f>IF($C160,'Backlog General'!$L160,"")</f>
      </c>
      <c r="AI160" s="201">
        <f>IF($C160,$AV160*100000+ROW(),"")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c r="AO160" s="202">
        <f>IF($C160,IFERROR(VLOOKUP($D160,'Sprints'!$G$5:$H$12,2,FALSE),"Semanal"),"")</f>
      </c>
      <c r="AP160" s="201">
        <f>IF($C160,IF($AO160="Semanal",'Sprints'!$D$5,IF($AO160="Quincenal",'Sprints'!$D$6,'Sprints'!$D$7)),"")</f>
      </c>
      <c r="AQ160" s="201">
        <f>IF($C160,IF($AO160="Semanal",'Sprints'!$C$5,IF($AO160="Quincenal",'Sprints'!$C$6,'Sprints'!$C$7)),"")</f>
      </c>
      <c r="AR160" s="201">
        <f>IF($C160,MAX(1,INT(($H160-$AQ160)/$AP160)+1),"")</f>
      </c>
      <c r="AS160" s="201">
        <f>IF($C160,IF($AO160="Semanal",'Sprints'!$E$5,IF($AO160="Quincenal",'Sprints'!$E$6,'Sprints'!$E$7)),"")</f>
      </c>
      <c r="AT160" s="202">
        <f>IF($C160,'Backlog General'!$G160,"")</f>
      </c>
      <c r="AU160" s="202">
        <f>IF($C160,'Backlog General'!$H160,"")</f>
      </c>
      <c r="AV160" s="201">
        <f>IF($C160,IF(OR($AT160="Completo",$AU160="Cancelado",$AU160="Baja prioridad"),$AR160,IF($AU160="Pasa al siguiente",MAX($AR160+1,$AS160),MAX($AR160,$AS160))),"")</f>
      </c>
      <c r="AW160" s="201">
        <f>IF($C160,$AQ160+$AR160*$AP160-1,"")</f>
      </c>
      <c r="AX160" s="201">
        <f>IF($C160,IF(OR($AT160="Completo",$AU160="Cancelado",$AU160="Baja prioridad"),0,MAX(0,TODAY()-$AW160)),"")</f>
      </c>
      <c r="AY160" s="202">
        <f>IF($C160,IF($AT160="Completo","Completo",IF($AU160="Cancelado","Cancelado",IF($AU160="Baja prioridad","Baja prioridad",IF($AX160&gt;0,"Vencida","Pendiente")))),"")</f>
      </c>
      <c r="AZ160" s="202">
        <f>IF($C160,$AO160&amp;" · S"&amp;$AV160,"")</f>
      </c>
      <c r="BA160" s="201">
        <f>IF($C160,IF(AND(ISNUMBER('Backlog General'!$M160),'Backlog General'!$M160=$AS160),"Nuevo S"&amp;'Backlog General'!$M160,""),"")</f>
      </c>
      <c r="BB160" s="201">
        <f>IF(AND($C160,$AO160="Semanal"),$AV160*100000+ROW(),"")</f>
      </c>
      <c r="BC160" s="201">
        <f>IF(AND($C160,$AO160="Quincenal"),$AV160*100000+ROW(),"")</f>
      </c>
      <c r="BD160" s="201">
        <f>IF(AND($C160,$AO160="Mensual"),$AV160*100000+ROW(),"")</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IF($C161,$AV161,"")</f>
      </c>
      <c r="AE161" s="201">
        <f>IF($C161,$AZ161,"")</f>
      </c>
      <c r="AF161" s="201">
        <f>IF($C161,$AV161&lt;&gt;$AR161,FALSE)</f>
      </c>
      <c r="AG161" s="201">
        <f>IF($C161,IF($AV161&lt;&gt;$AR161,$AW161,""),"")</f>
      </c>
      <c r="AH161" s="202">
        <f>IF($C161,'Backlog General'!$L161,"")</f>
      </c>
      <c r="AI161" s="201">
        <f>IF($C161,$AV161*100000+ROW(),"")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c r="AO161" s="202">
        <f>IF($C161,IFERROR(VLOOKUP($D161,'Sprints'!$G$5:$H$12,2,FALSE),"Semanal"),"")</f>
      </c>
      <c r="AP161" s="201">
        <f>IF($C161,IF($AO161="Semanal",'Sprints'!$D$5,IF($AO161="Quincenal",'Sprints'!$D$6,'Sprints'!$D$7)),"")</f>
      </c>
      <c r="AQ161" s="201">
        <f>IF($C161,IF($AO161="Semanal",'Sprints'!$C$5,IF($AO161="Quincenal",'Sprints'!$C$6,'Sprints'!$C$7)),"")</f>
      </c>
      <c r="AR161" s="201">
        <f>IF($C161,MAX(1,INT(($H161-$AQ161)/$AP161)+1),"")</f>
      </c>
      <c r="AS161" s="201">
        <f>IF($C161,IF($AO161="Semanal",'Sprints'!$E$5,IF($AO161="Quincenal",'Sprints'!$E$6,'Sprints'!$E$7)),"")</f>
      </c>
      <c r="AT161" s="202">
        <f>IF($C161,'Backlog General'!$G161,"")</f>
      </c>
      <c r="AU161" s="202">
        <f>IF($C161,'Backlog General'!$H161,"")</f>
      </c>
      <c r="AV161" s="201">
        <f>IF($C161,IF(OR($AT161="Completo",$AU161="Cancelado",$AU161="Baja prioridad"),$AR161,IF($AU161="Pasa al siguiente",MAX($AR161+1,$AS161),MAX($AR161,$AS161))),"")</f>
      </c>
      <c r="AW161" s="201">
        <f>IF($C161,$AQ161+$AR161*$AP161-1,"")</f>
      </c>
      <c r="AX161" s="201">
        <f>IF($C161,IF(OR($AT161="Completo",$AU161="Cancelado",$AU161="Baja prioridad"),0,MAX(0,TODAY()-$AW161)),"")</f>
      </c>
      <c r="AY161" s="202">
        <f>IF($C161,IF($AT161="Completo","Completo",IF($AU161="Cancelado","Cancelado",IF($AU161="Baja prioridad","Baja prioridad",IF($AX161&gt;0,"Vencida","Pendiente")))),"")</f>
      </c>
      <c r="AZ161" s="202">
        <f>IF($C161,$AO161&amp;" · S"&amp;$AV161,"")</f>
      </c>
      <c r="BA161" s="201">
        <f>IF($C161,IF(AND(ISNUMBER('Backlog General'!$M161),'Backlog General'!$M161=$AS161),"Nuevo S"&amp;'Backlog General'!$M161,""),"")</f>
      </c>
      <c r="BB161" s="201">
        <f>IF(AND($C161,$AO161="Semanal"),$AV161*100000+ROW(),"")</f>
      </c>
      <c r="BC161" s="201">
        <f>IF(AND($C161,$AO161="Quincenal"),$AV161*100000+ROW(),"")</f>
      </c>
      <c r="BD161" s="201">
        <f>IF(AND($C161,$AO161="Mensual"),$AV161*100000+ROW(),"")</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IF($C162,$AV162,"")</f>
      </c>
      <c r="AE162" s="201">
        <f>IF($C162,$AZ162,"")</f>
      </c>
      <c r="AF162" s="201">
        <f>IF($C162,$AV162&lt;&gt;$AR162,FALSE)</f>
      </c>
      <c r="AG162" s="201">
        <f>IF($C162,IF($AV162&lt;&gt;$AR162,$AW162,""),"")</f>
      </c>
      <c r="AH162" s="202">
        <f>IF($C162,'Backlog General'!$L162,"")</f>
      </c>
      <c r="AI162" s="201">
        <f>IF($C162,$AV162*100000+ROW(),"")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c r="AO162" s="202">
        <f>IF($C162,IFERROR(VLOOKUP($D162,'Sprints'!$G$5:$H$12,2,FALSE),"Semanal"),"")</f>
      </c>
      <c r="AP162" s="201">
        <f>IF($C162,IF($AO162="Semanal",'Sprints'!$D$5,IF($AO162="Quincenal",'Sprints'!$D$6,'Sprints'!$D$7)),"")</f>
      </c>
      <c r="AQ162" s="201">
        <f>IF($C162,IF($AO162="Semanal",'Sprints'!$C$5,IF($AO162="Quincenal",'Sprints'!$C$6,'Sprints'!$C$7)),"")</f>
      </c>
      <c r="AR162" s="201">
        <f>IF($C162,MAX(1,INT(($H162-$AQ162)/$AP162)+1),"")</f>
      </c>
      <c r="AS162" s="201">
        <f>IF($C162,IF($AO162="Semanal",'Sprints'!$E$5,IF($AO162="Quincenal",'Sprints'!$E$6,'Sprints'!$E$7)),"")</f>
      </c>
      <c r="AT162" s="202">
        <f>IF($C162,'Backlog General'!$G162,"")</f>
      </c>
      <c r="AU162" s="202">
        <f>IF($C162,'Backlog General'!$H162,"")</f>
      </c>
      <c r="AV162" s="201">
        <f>IF($C162,IF(OR($AT162="Completo",$AU162="Cancelado",$AU162="Baja prioridad"),$AR162,IF($AU162="Pasa al siguiente",MAX($AR162+1,$AS162),MAX($AR162,$AS162))),"")</f>
      </c>
      <c r="AW162" s="201">
        <f>IF($C162,$AQ162+$AR162*$AP162-1,"")</f>
      </c>
      <c r="AX162" s="201">
        <f>IF($C162,IF(OR($AT162="Completo",$AU162="Cancelado",$AU162="Baja prioridad"),0,MAX(0,TODAY()-$AW162)),"")</f>
      </c>
      <c r="AY162" s="202">
        <f>IF($C162,IF($AT162="Completo","Completo",IF($AU162="Cancelado","Cancelado",IF($AU162="Baja prioridad","Baja prioridad",IF($AX162&gt;0,"Vencida","Pendiente")))),"")</f>
      </c>
      <c r="AZ162" s="202">
        <f>IF($C162,$AO162&amp;" · S"&amp;$AV162,"")</f>
      </c>
      <c r="BA162" s="201">
        <f>IF($C162,IF(AND(ISNUMBER('Backlog General'!$M162),'Backlog General'!$M162=$AS162),"Nuevo S"&amp;'Backlog General'!$M162,""),"")</f>
      </c>
      <c r="BB162" s="201">
        <f>IF(AND($C162,$AO162="Semanal"),$AV162*100000+ROW(),"")</f>
      </c>
      <c r="BC162" s="201">
        <f>IF(AND($C162,$AO162="Quincenal"),$AV162*100000+ROW(),"")</f>
      </c>
      <c r="BD162" s="201">
        <f>IF(AND($C162,$AO162="Mensual"),$AV162*100000+ROW(),"")</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IF($C163,$AV163,"")</f>
      </c>
      <c r="AE163" s="201">
        <f>IF($C163,$AZ163,"")</f>
      </c>
      <c r="AF163" s="201">
        <f>IF($C163,$AV163&lt;&gt;$AR163,FALSE)</f>
      </c>
      <c r="AG163" s="201">
        <f>IF($C163,IF($AV163&lt;&gt;$AR163,$AW163,""),"")</f>
      </c>
      <c r="AH163" s="202">
        <f>IF($C163,'Backlog General'!$L163,"")</f>
      </c>
      <c r="AI163" s="201">
        <f>IF($C163,$AV163*100000+ROW(),"")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c r="AO163" s="202">
        <f>IF($C163,IFERROR(VLOOKUP($D163,'Sprints'!$G$5:$H$12,2,FALSE),"Semanal"),"")</f>
      </c>
      <c r="AP163" s="201">
        <f>IF($C163,IF($AO163="Semanal",'Sprints'!$D$5,IF($AO163="Quincenal",'Sprints'!$D$6,'Sprints'!$D$7)),"")</f>
      </c>
      <c r="AQ163" s="201">
        <f>IF($C163,IF($AO163="Semanal",'Sprints'!$C$5,IF($AO163="Quincenal",'Sprints'!$C$6,'Sprints'!$C$7)),"")</f>
      </c>
      <c r="AR163" s="201">
        <f>IF($C163,MAX(1,INT(($H163-$AQ163)/$AP163)+1),"")</f>
      </c>
      <c r="AS163" s="201">
        <f>IF($C163,IF($AO163="Semanal",'Sprints'!$E$5,IF($AO163="Quincenal",'Sprints'!$E$6,'Sprints'!$E$7)),"")</f>
      </c>
      <c r="AT163" s="202">
        <f>IF($C163,'Backlog General'!$G163,"")</f>
      </c>
      <c r="AU163" s="202">
        <f>IF($C163,'Backlog General'!$H163,"")</f>
      </c>
      <c r="AV163" s="201">
        <f>IF($C163,IF(OR($AT163="Completo",$AU163="Cancelado",$AU163="Baja prioridad"),$AR163,IF($AU163="Pasa al siguiente",MAX($AR163+1,$AS163),MAX($AR163,$AS163))),"")</f>
      </c>
      <c r="AW163" s="201">
        <f>IF($C163,$AQ163+$AR163*$AP163-1,"")</f>
      </c>
      <c r="AX163" s="201">
        <f>IF($C163,IF(OR($AT163="Completo",$AU163="Cancelado",$AU163="Baja prioridad"),0,MAX(0,TODAY()-$AW163)),"")</f>
      </c>
      <c r="AY163" s="202">
        <f>IF($C163,IF($AT163="Completo","Completo",IF($AU163="Cancelado","Cancelado",IF($AU163="Baja prioridad","Baja prioridad",IF($AX163&gt;0,"Vencida","Pendiente")))),"")</f>
      </c>
      <c r="AZ163" s="202">
        <f>IF($C163,$AO163&amp;" · S"&amp;$AV163,"")</f>
      </c>
      <c r="BA163" s="201">
        <f>IF($C163,IF(AND(ISNUMBER('Backlog General'!$M163),'Backlog General'!$M163=$AS163),"Nuevo S"&amp;'Backlog General'!$M163,""),"")</f>
      </c>
      <c r="BB163" s="201">
        <f>IF(AND($C163,$AO163="Semanal"),$AV163*100000+ROW(),"")</f>
      </c>
      <c r="BC163" s="201">
        <f>IF(AND($C163,$AO163="Quincenal"),$AV163*100000+ROW(),"")</f>
      </c>
      <c r="BD163" s="201">
        <f>IF(AND($C163,$AO163="Mensual"),$AV163*100000+ROW(),"")</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IF($C164,$AV164,"")</f>
      </c>
      <c r="AE164" s="201">
        <f>IF($C164,$AZ164,"")</f>
      </c>
      <c r="AF164" s="201">
        <f>IF($C164,$AV164&lt;&gt;$AR164,FALSE)</f>
      </c>
      <c r="AG164" s="201">
        <f>IF($C164,IF($AV164&lt;&gt;$AR164,$AW164,""),"")</f>
      </c>
      <c r="AH164" s="202">
        <f>IF($C164,'Backlog General'!$L164,"")</f>
      </c>
      <c r="AI164" s="201">
        <f>IF($C164,$AV164*100000+ROW(),"")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c r="AO164" s="202">
        <f>IF($C164,IFERROR(VLOOKUP($D164,'Sprints'!$G$5:$H$12,2,FALSE),"Semanal"),"")</f>
      </c>
      <c r="AP164" s="201">
        <f>IF($C164,IF($AO164="Semanal",'Sprints'!$D$5,IF($AO164="Quincenal",'Sprints'!$D$6,'Sprints'!$D$7)),"")</f>
      </c>
      <c r="AQ164" s="201">
        <f>IF($C164,IF($AO164="Semanal",'Sprints'!$C$5,IF($AO164="Quincenal",'Sprints'!$C$6,'Sprints'!$C$7)),"")</f>
      </c>
      <c r="AR164" s="201">
        <f>IF($C164,MAX(1,INT(($H164-$AQ164)/$AP164)+1),"")</f>
      </c>
      <c r="AS164" s="201">
        <f>IF($C164,IF($AO164="Semanal",'Sprints'!$E$5,IF($AO164="Quincenal",'Sprints'!$E$6,'Sprints'!$E$7)),"")</f>
      </c>
      <c r="AT164" s="202">
        <f>IF($C164,'Backlog General'!$G164,"")</f>
      </c>
      <c r="AU164" s="202">
        <f>IF($C164,'Backlog General'!$H164,"")</f>
      </c>
      <c r="AV164" s="201">
        <f>IF($C164,IF(OR($AT164="Completo",$AU164="Cancelado",$AU164="Baja prioridad"),$AR164,IF($AU164="Pasa al siguiente",MAX($AR164+1,$AS164),MAX($AR164,$AS164))),"")</f>
      </c>
      <c r="AW164" s="201">
        <f>IF($C164,$AQ164+$AR164*$AP164-1,"")</f>
      </c>
      <c r="AX164" s="201">
        <f>IF($C164,IF(OR($AT164="Completo",$AU164="Cancelado",$AU164="Baja prioridad"),0,MAX(0,TODAY()-$AW164)),"")</f>
      </c>
      <c r="AY164" s="202">
        <f>IF($C164,IF($AT164="Completo","Completo",IF($AU164="Cancelado","Cancelado",IF($AU164="Baja prioridad","Baja prioridad",IF($AX164&gt;0,"Vencida","Pendiente")))),"")</f>
      </c>
      <c r="AZ164" s="202">
        <f>IF($C164,$AO164&amp;" · S"&amp;$AV164,"")</f>
      </c>
      <c r="BA164" s="201">
        <f>IF($C164,IF(AND(ISNUMBER('Backlog General'!$M164),'Backlog General'!$M164=$AS164),"Nuevo S"&amp;'Backlog General'!$M164,""),"")</f>
      </c>
      <c r="BB164" s="201">
        <f>IF(AND($C164,$AO164="Semanal"),$AV164*100000+ROW(),"")</f>
      </c>
      <c r="BC164" s="201">
        <f>IF(AND($C164,$AO164="Quincenal"),$AV164*100000+ROW(),"")</f>
      </c>
      <c r="BD164" s="201">
        <f>IF(AND($C164,$AO164="Mensual"),$AV164*100000+ROW(),"")</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IF($C165,$AV165,"")</f>
      </c>
      <c r="AE165" s="201">
        <f>IF($C165,$AZ165,"")</f>
      </c>
      <c r="AF165" s="201">
        <f>IF($C165,$AV165&lt;&gt;$AR165,FALSE)</f>
      </c>
      <c r="AG165" s="201">
        <f>IF($C165,IF($AV165&lt;&gt;$AR165,$AW165,""),"")</f>
      </c>
      <c r="AH165" s="202">
        <f>IF($C165,'Backlog General'!$L165,"")</f>
      </c>
      <c r="AI165" s="201">
        <f>IF($C165,$AV165*100000+ROW(),"")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c r="AO165" s="202">
        <f>IF($C165,IFERROR(VLOOKUP($D165,'Sprints'!$G$5:$H$12,2,FALSE),"Semanal"),"")</f>
      </c>
      <c r="AP165" s="201">
        <f>IF($C165,IF($AO165="Semanal",'Sprints'!$D$5,IF($AO165="Quincenal",'Sprints'!$D$6,'Sprints'!$D$7)),"")</f>
      </c>
      <c r="AQ165" s="201">
        <f>IF($C165,IF($AO165="Semanal",'Sprints'!$C$5,IF($AO165="Quincenal",'Sprints'!$C$6,'Sprints'!$C$7)),"")</f>
      </c>
      <c r="AR165" s="201">
        <f>IF($C165,MAX(1,INT(($H165-$AQ165)/$AP165)+1),"")</f>
      </c>
      <c r="AS165" s="201">
        <f>IF($C165,IF($AO165="Semanal",'Sprints'!$E$5,IF($AO165="Quincenal",'Sprints'!$E$6,'Sprints'!$E$7)),"")</f>
      </c>
      <c r="AT165" s="202">
        <f>IF($C165,'Backlog General'!$G165,"")</f>
      </c>
      <c r="AU165" s="202">
        <f>IF($C165,'Backlog General'!$H165,"")</f>
      </c>
      <c r="AV165" s="201">
        <f>IF($C165,IF(OR($AT165="Completo",$AU165="Cancelado",$AU165="Baja prioridad"),$AR165,IF($AU165="Pasa al siguiente",MAX($AR165+1,$AS165),MAX($AR165,$AS165))),"")</f>
      </c>
      <c r="AW165" s="201">
        <f>IF($C165,$AQ165+$AR165*$AP165-1,"")</f>
      </c>
      <c r="AX165" s="201">
        <f>IF($C165,IF(OR($AT165="Completo",$AU165="Cancelado",$AU165="Baja prioridad"),0,MAX(0,TODAY()-$AW165)),"")</f>
      </c>
      <c r="AY165" s="202">
        <f>IF($C165,IF($AT165="Completo","Completo",IF($AU165="Cancelado","Cancelado",IF($AU165="Baja prioridad","Baja prioridad",IF($AX165&gt;0,"Vencida","Pendiente")))),"")</f>
      </c>
      <c r="AZ165" s="202">
        <f>IF($C165,$AO165&amp;" · S"&amp;$AV165,"")</f>
      </c>
      <c r="BA165" s="201">
        <f>IF($C165,IF(AND(ISNUMBER('Backlog General'!$M165),'Backlog General'!$M165=$AS165),"Nuevo S"&amp;'Backlog General'!$M165,""),"")</f>
      </c>
      <c r="BB165" s="201">
        <f>IF(AND($C165,$AO165="Semanal"),$AV165*100000+ROW(),"")</f>
      </c>
      <c r="BC165" s="201">
        <f>IF(AND($C165,$AO165="Quincenal"),$AV165*100000+ROW(),"")</f>
      </c>
      <c r="BD165" s="201">
        <f>IF(AND($C165,$AO165="Mensual"),$AV165*100000+ROW(),"")</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IF($C166,$AV166,"")</f>
      </c>
      <c r="AE166" s="201">
        <f>IF($C166,$AZ166,"")</f>
      </c>
      <c r="AF166" s="201">
        <f>IF($C166,$AV166&lt;&gt;$AR166,FALSE)</f>
      </c>
      <c r="AG166" s="201">
        <f>IF($C166,IF($AV166&lt;&gt;$AR166,$AW166,""),"")</f>
      </c>
      <c r="AH166" s="202">
        <f>IF($C166,'Backlog General'!$L166,"")</f>
      </c>
      <c r="AI166" s="201">
        <f>IF($C166,$AV166*100000+ROW(),"")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c r="AO166" s="202">
        <f>IF($C166,IFERROR(VLOOKUP($D166,'Sprints'!$G$5:$H$12,2,FALSE),"Semanal"),"")</f>
      </c>
      <c r="AP166" s="201">
        <f>IF($C166,IF($AO166="Semanal",'Sprints'!$D$5,IF($AO166="Quincenal",'Sprints'!$D$6,'Sprints'!$D$7)),"")</f>
      </c>
      <c r="AQ166" s="201">
        <f>IF($C166,IF($AO166="Semanal",'Sprints'!$C$5,IF($AO166="Quincenal",'Sprints'!$C$6,'Sprints'!$C$7)),"")</f>
      </c>
      <c r="AR166" s="201">
        <f>IF($C166,MAX(1,INT(($H166-$AQ166)/$AP166)+1),"")</f>
      </c>
      <c r="AS166" s="201">
        <f>IF($C166,IF($AO166="Semanal",'Sprints'!$E$5,IF($AO166="Quincenal",'Sprints'!$E$6,'Sprints'!$E$7)),"")</f>
      </c>
      <c r="AT166" s="202">
        <f>IF($C166,'Backlog General'!$G166,"")</f>
      </c>
      <c r="AU166" s="202">
        <f>IF($C166,'Backlog General'!$H166,"")</f>
      </c>
      <c r="AV166" s="201">
        <f>IF($C166,IF(OR($AT166="Completo",$AU166="Cancelado",$AU166="Baja prioridad"),$AR166,IF($AU166="Pasa al siguiente",MAX($AR166+1,$AS166),MAX($AR166,$AS166))),"")</f>
      </c>
      <c r="AW166" s="201">
        <f>IF($C166,$AQ166+$AR166*$AP166-1,"")</f>
      </c>
      <c r="AX166" s="201">
        <f>IF($C166,IF(OR($AT166="Completo",$AU166="Cancelado",$AU166="Baja prioridad"),0,MAX(0,TODAY()-$AW166)),"")</f>
      </c>
      <c r="AY166" s="202">
        <f>IF($C166,IF($AT166="Completo","Completo",IF($AU166="Cancelado","Cancelado",IF($AU166="Baja prioridad","Baja prioridad",IF($AX166&gt;0,"Vencida","Pendiente")))),"")</f>
      </c>
      <c r="AZ166" s="202">
        <f>IF($C166,$AO166&amp;" · S"&amp;$AV166,"")</f>
      </c>
      <c r="BA166" s="201">
        <f>IF($C166,IF(AND(ISNUMBER('Backlog General'!$M166),'Backlog General'!$M166=$AS166),"Nuevo S"&amp;'Backlog General'!$M166,""),"")</f>
      </c>
      <c r="BB166" s="201">
        <f>IF(AND($C166,$AO166="Semanal"),$AV166*100000+ROW(),"")</f>
      </c>
      <c r="BC166" s="201">
        <f>IF(AND($C166,$AO166="Quincenal"),$AV166*100000+ROW(),"")</f>
      </c>
      <c r="BD166" s="201">
        <f>IF(AND($C166,$AO166="Mensual"),$AV166*100000+ROW(),"")</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IF($C167,$AV167,"")</f>
      </c>
      <c r="AE167" s="201">
        <f>IF($C167,$AZ167,"")</f>
      </c>
      <c r="AF167" s="201">
        <f>IF($C167,$AV167&lt;&gt;$AR167,FALSE)</f>
      </c>
      <c r="AG167" s="201">
        <f>IF($C167,IF($AV167&lt;&gt;$AR167,$AW167,""),"")</f>
      </c>
      <c r="AH167" s="202">
        <f>IF($C167,'Backlog General'!$L167,"")</f>
      </c>
      <c r="AI167" s="201">
        <f>IF($C167,$AV167*100000+ROW(),"")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c r="AO167" s="202">
        <f>IF($C167,IFERROR(VLOOKUP($D167,'Sprints'!$G$5:$H$12,2,FALSE),"Semanal"),"")</f>
      </c>
      <c r="AP167" s="201">
        <f>IF($C167,IF($AO167="Semanal",'Sprints'!$D$5,IF($AO167="Quincenal",'Sprints'!$D$6,'Sprints'!$D$7)),"")</f>
      </c>
      <c r="AQ167" s="201">
        <f>IF($C167,IF($AO167="Semanal",'Sprints'!$C$5,IF($AO167="Quincenal",'Sprints'!$C$6,'Sprints'!$C$7)),"")</f>
      </c>
      <c r="AR167" s="201">
        <f>IF($C167,MAX(1,INT(($H167-$AQ167)/$AP167)+1),"")</f>
      </c>
      <c r="AS167" s="201">
        <f>IF($C167,IF($AO167="Semanal",'Sprints'!$E$5,IF($AO167="Quincenal",'Sprints'!$E$6,'Sprints'!$E$7)),"")</f>
      </c>
      <c r="AT167" s="202">
        <f>IF($C167,'Backlog General'!$G167,"")</f>
      </c>
      <c r="AU167" s="202">
        <f>IF($C167,'Backlog General'!$H167,"")</f>
      </c>
      <c r="AV167" s="201">
        <f>IF($C167,IF(OR($AT167="Completo",$AU167="Cancelado",$AU167="Baja prioridad"),$AR167,IF($AU167="Pasa al siguiente",MAX($AR167+1,$AS167),MAX($AR167,$AS167))),"")</f>
      </c>
      <c r="AW167" s="201">
        <f>IF($C167,$AQ167+$AR167*$AP167-1,"")</f>
      </c>
      <c r="AX167" s="201">
        <f>IF($C167,IF(OR($AT167="Completo",$AU167="Cancelado",$AU167="Baja prioridad"),0,MAX(0,TODAY()-$AW167)),"")</f>
      </c>
      <c r="AY167" s="202">
        <f>IF($C167,IF($AT167="Completo","Completo",IF($AU167="Cancelado","Cancelado",IF($AU167="Baja prioridad","Baja prioridad",IF($AX167&gt;0,"Vencida","Pendiente")))),"")</f>
      </c>
      <c r="AZ167" s="202">
        <f>IF($C167,$AO167&amp;" · S"&amp;$AV167,"")</f>
      </c>
      <c r="BA167" s="201">
        <f>IF($C167,IF(AND(ISNUMBER('Backlog General'!$M167),'Backlog General'!$M167=$AS167),"Nuevo S"&amp;'Backlog General'!$M167,""),"")</f>
      </c>
      <c r="BB167" s="201">
        <f>IF(AND($C167,$AO167="Semanal"),$AV167*100000+ROW(),"")</f>
      </c>
      <c r="BC167" s="201">
        <f>IF(AND($C167,$AO167="Quincenal"),$AV167*100000+ROW(),"")</f>
      </c>
      <c r="BD167" s="201">
        <f>IF(AND($C167,$AO167="Mensual"),$AV167*100000+ROW(),"")</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IF($C168,$AV168,"")</f>
      </c>
      <c r="AE168" s="201">
        <f>IF($C168,$AZ168,"")</f>
      </c>
      <c r="AF168" s="201">
        <f>IF($C168,$AV168&lt;&gt;$AR168,FALSE)</f>
      </c>
      <c r="AG168" s="201">
        <f>IF($C168,IF($AV168&lt;&gt;$AR168,$AW168,""),"")</f>
      </c>
      <c r="AH168" s="202">
        <f>IF($C168,'Backlog General'!$L168,"")</f>
      </c>
      <c r="AI168" s="201">
        <f>IF($C168,$AV168*100000+ROW(),"")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c r="AO168" s="202">
        <f>IF($C168,IFERROR(VLOOKUP($D168,'Sprints'!$G$5:$H$12,2,FALSE),"Semanal"),"")</f>
      </c>
      <c r="AP168" s="201">
        <f>IF($C168,IF($AO168="Semanal",'Sprints'!$D$5,IF($AO168="Quincenal",'Sprints'!$D$6,'Sprints'!$D$7)),"")</f>
      </c>
      <c r="AQ168" s="201">
        <f>IF($C168,IF($AO168="Semanal",'Sprints'!$C$5,IF($AO168="Quincenal",'Sprints'!$C$6,'Sprints'!$C$7)),"")</f>
      </c>
      <c r="AR168" s="201">
        <f>IF($C168,MAX(1,INT(($H168-$AQ168)/$AP168)+1),"")</f>
      </c>
      <c r="AS168" s="201">
        <f>IF($C168,IF($AO168="Semanal",'Sprints'!$E$5,IF($AO168="Quincenal",'Sprints'!$E$6,'Sprints'!$E$7)),"")</f>
      </c>
      <c r="AT168" s="202">
        <f>IF($C168,'Backlog General'!$G168,"")</f>
      </c>
      <c r="AU168" s="202">
        <f>IF($C168,'Backlog General'!$H168,"")</f>
      </c>
      <c r="AV168" s="201">
        <f>IF($C168,IF(OR($AT168="Completo",$AU168="Cancelado",$AU168="Baja prioridad"),$AR168,IF($AU168="Pasa al siguiente",MAX($AR168+1,$AS168),MAX($AR168,$AS168))),"")</f>
      </c>
      <c r="AW168" s="201">
        <f>IF($C168,$AQ168+$AR168*$AP168-1,"")</f>
      </c>
      <c r="AX168" s="201">
        <f>IF($C168,IF(OR($AT168="Completo",$AU168="Cancelado",$AU168="Baja prioridad"),0,MAX(0,TODAY()-$AW168)),"")</f>
      </c>
      <c r="AY168" s="202">
        <f>IF($C168,IF($AT168="Completo","Completo",IF($AU168="Cancelado","Cancelado",IF($AU168="Baja prioridad","Baja prioridad",IF($AX168&gt;0,"Vencida","Pendiente")))),"")</f>
      </c>
      <c r="AZ168" s="202">
        <f>IF($C168,$AO168&amp;" · S"&amp;$AV168,"")</f>
      </c>
      <c r="BA168" s="201">
        <f>IF($C168,IF(AND(ISNUMBER('Backlog General'!$M168),'Backlog General'!$M168=$AS168),"Nuevo S"&amp;'Backlog General'!$M168,""),"")</f>
      </c>
      <c r="BB168" s="201">
        <f>IF(AND($C168,$AO168="Semanal"),$AV168*100000+ROW(),"")</f>
      </c>
      <c r="BC168" s="201">
        <f>IF(AND($C168,$AO168="Quincenal"),$AV168*100000+ROW(),"")</f>
      </c>
      <c r="BD168" s="201">
        <f>IF(AND($C168,$AO168="Mensual"),$AV168*100000+ROW(),"")</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IF($C169,$AV169,"")</f>
      </c>
      <c r="AE169" s="201">
        <f>IF($C169,$AZ169,"")</f>
      </c>
      <c r="AF169" s="201">
        <f>IF($C169,$AV169&lt;&gt;$AR169,FALSE)</f>
      </c>
      <c r="AG169" s="201">
        <f>IF($C169,IF($AV169&lt;&gt;$AR169,$AW169,""),"")</f>
      </c>
      <c r="AH169" s="202">
        <f>IF($C169,'Backlog General'!$L169,"")</f>
      </c>
      <c r="AI169" s="201">
        <f>IF($C169,$AV169*100000+ROW(),"")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c r="AO169" s="202">
        <f>IF($C169,IFERROR(VLOOKUP($D169,'Sprints'!$G$5:$H$12,2,FALSE),"Semanal"),"")</f>
      </c>
      <c r="AP169" s="201">
        <f>IF($C169,IF($AO169="Semanal",'Sprints'!$D$5,IF($AO169="Quincenal",'Sprints'!$D$6,'Sprints'!$D$7)),"")</f>
      </c>
      <c r="AQ169" s="201">
        <f>IF($C169,IF($AO169="Semanal",'Sprints'!$C$5,IF($AO169="Quincenal",'Sprints'!$C$6,'Sprints'!$C$7)),"")</f>
      </c>
      <c r="AR169" s="201">
        <f>IF($C169,MAX(1,INT(($H169-$AQ169)/$AP169)+1),"")</f>
      </c>
      <c r="AS169" s="201">
        <f>IF($C169,IF($AO169="Semanal",'Sprints'!$E$5,IF($AO169="Quincenal",'Sprints'!$E$6,'Sprints'!$E$7)),"")</f>
      </c>
      <c r="AT169" s="202">
        <f>IF($C169,'Backlog General'!$G169,"")</f>
      </c>
      <c r="AU169" s="202">
        <f>IF($C169,'Backlog General'!$H169,"")</f>
      </c>
      <c r="AV169" s="201">
        <f>IF($C169,IF(OR($AT169="Completo",$AU169="Cancelado",$AU169="Baja prioridad"),$AR169,IF($AU169="Pasa al siguiente",MAX($AR169+1,$AS169),MAX($AR169,$AS169))),"")</f>
      </c>
      <c r="AW169" s="201">
        <f>IF($C169,$AQ169+$AR169*$AP169-1,"")</f>
      </c>
      <c r="AX169" s="201">
        <f>IF($C169,IF(OR($AT169="Completo",$AU169="Cancelado",$AU169="Baja prioridad"),0,MAX(0,TODAY()-$AW169)),"")</f>
      </c>
      <c r="AY169" s="202">
        <f>IF($C169,IF($AT169="Completo","Completo",IF($AU169="Cancelado","Cancelado",IF($AU169="Baja prioridad","Baja prioridad",IF($AX169&gt;0,"Vencida","Pendiente")))),"")</f>
      </c>
      <c r="AZ169" s="202">
        <f>IF($C169,$AO169&amp;" · S"&amp;$AV169,"")</f>
      </c>
      <c r="BA169" s="201">
        <f>IF($C169,IF(AND(ISNUMBER('Backlog General'!$M169),'Backlog General'!$M169=$AS169),"Nuevo S"&amp;'Backlog General'!$M169,""),"")</f>
      </c>
      <c r="BB169" s="201">
        <f>IF(AND($C169,$AO169="Semanal"),$AV169*100000+ROW(),"")</f>
      </c>
      <c r="BC169" s="201">
        <f>IF(AND($C169,$AO169="Quincenal"),$AV169*100000+ROW(),"")</f>
      </c>
      <c r="BD169" s="201">
        <f>IF(AND($C169,$AO169="Mensual"),$AV169*100000+ROW(),"")</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IF($C170,$AV170,"")</f>
      </c>
      <c r="AE170" s="201">
        <f>IF($C170,$AZ170,"")</f>
      </c>
      <c r="AF170" s="201">
        <f>IF($C170,$AV170&lt;&gt;$AR170,FALSE)</f>
      </c>
      <c r="AG170" s="201">
        <f>IF($C170,IF($AV170&lt;&gt;$AR170,$AW170,""),"")</f>
      </c>
      <c r="AH170" s="202">
        <f>IF($C170,'Backlog General'!$L170,"")</f>
      </c>
      <c r="AI170" s="201">
        <f>IF($C170,$AV170*100000+ROW(),"")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c r="AO170" s="202">
        <f>IF($C170,IFERROR(VLOOKUP($D170,'Sprints'!$G$5:$H$12,2,FALSE),"Semanal"),"")</f>
      </c>
      <c r="AP170" s="201">
        <f>IF($C170,IF($AO170="Semanal",'Sprints'!$D$5,IF($AO170="Quincenal",'Sprints'!$D$6,'Sprints'!$D$7)),"")</f>
      </c>
      <c r="AQ170" s="201">
        <f>IF($C170,IF($AO170="Semanal",'Sprints'!$C$5,IF($AO170="Quincenal",'Sprints'!$C$6,'Sprints'!$C$7)),"")</f>
      </c>
      <c r="AR170" s="201">
        <f>IF($C170,MAX(1,INT(($H170-$AQ170)/$AP170)+1),"")</f>
      </c>
      <c r="AS170" s="201">
        <f>IF($C170,IF($AO170="Semanal",'Sprints'!$E$5,IF($AO170="Quincenal",'Sprints'!$E$6,'Sprints'!$E$7)),"")</f>
      </c>
      <c r="AT170" s="202">
        <f>IF($C170,'Backlog General'!$G170,"")</f>
      </c>
      <c r="AU170" s="202">
        <f>IF($C170,'Backlog General'!$H170,"")</f>
      </c>
      <c r="AV170" s="201">
        <f>IF($C170,IF(OR($AT170="Completo",$AU170="Cancelado",$AU170="Baja prioridad"),$AR170,IF($AU170="Pasa al siguiente",MAX($AR170+1,$AS170),MAX($AR170,$AS170))),"")</f>
      </c>
      <c r="AW170" s="201">
        <f>IF($C170,$AQ170+$AR170*$AP170-1,"")</f>
      </c>
      <c r="AX170" s="201">
        <f>IF($C170,IF(OR($AT170="Completo",$AU170="Cancelado",$AU170="Baja prioridad"),0,MAX(0,TODAY()-$AW170)),"")</f>
      </c>
      <c r="AY170" s="202">
        <f>IF($C170,IF($AT170="Completo","Completo",IF($AU170="Cancelado","Cancelado",IF($AU170="Baja prioridad","Baja prioridad",IF($AX170&gt;0,"Vencida","Pendiente")))),"")</f>
      </c>
      <c r="AZ170" s="202">
        <f>IF($C170,$AO170&amp;" · S"&amp;$AV170,"")</f>
      </c>
      <c r="BA170" s="201">
        <f>IF($C170,IF(AND(ISNUMBER('Backlog General'!$M170),'Backlog General'!$M170=$AS170),"Nuevo S"&amp;'Backlog General'!$M170,""),"")</f>
      </c>
      <c r="BB170" s="201">
        <f>IF(AND($C170,$AO170="Semanal"),$AV170*100000+ROW(),"")</f>
      </c>
      <c r="BC170" s="201">
        <f>IF(AND($C170,$AO170="Quincenal"),$AV170*100000+ROW(),"")</f>
      </c>
      <c r="BD170" s="201">
        <f>IF(AND($C170,$AO170="Mensual"),$AV170*100000+ROW(),"")</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IF($C171,$AV171,"")</f>
      </c>
      <c r="AE171" s="201">
        <f>IF($C171,$AZ171,"")</f>
      </c>
      <c r="AF171" s="201">
        <f>IF($C171,$AV171&lt;&gt;$AR171,FALSE)</f>
      </c>
      <c r="AG171" s="201">
        <f>IF($C171,IF($AV171&lt;&gt;$AR171,$AW171,""),"")</f>
      </c>
      <c r="AH171" s="202">
        <f>IF($C171,'Backlog General'!$L171,"")</f>
      </c>
      <c r="AI171" s="201">
        <f>IF($C171,$AV171*100000+ROW(),"")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c r="AO171" s="202">
        <f>IF($C171,IFERROR(VLOOKUP($D171,'Sprints'!$G$5:$H$12,2,FALSE),"Semanal"),"")</f>
      </c>
      <c r="AP171" s="201">
        <f>IF($C171,IF($AO171="Semanal",'Sprints'!$D$5,IF($AO171="Quincenal",'Sprints'!$D$6,'Sprints'!$D$7)),"")</f>
      </c>
      <c r="AQ171" s="201">
        <f>IF($C171,IF($AO171="Semanal",'Sprints'!$C$5,IF($AO171="Quincenal",'Sprints'!$C$6,'Sprints'!$C$7)),"")</f>
      </c>
      <c r="AR171" s="201">
        <f>IF($C171,MAX(1,INT(($H171-$AQ171)/$AP171)+1),"")</f>
      </c>
      <c r="AS171" s="201">
        <f>IF($C171,IF($AO171="Semanal",'Sprints'!$E$5,IF($AO171="Quincenal",'Sprints'!$E$6,'Sprints'!$E$7)),"")</f>
      </c>
      <c r="AT171" s="202">
        <f>IF($C171,'Backlog General'!$G171,"")</f>
      </c>
      <c r="AU171" s="202">
        <f>IF($C171,'Backlog General'!$H171,"")</f>
      </c>
      <c r="AV171" s="201">
        <f>IF($C171,IF(OR($AT171="Completo",$AU171="Cancelado",$AU171="Baja prioridad"),$AR171,IF($AU171="Pasa al siguiente",MAX($AR171+1,$AS171),MAX($AR171,$AS171))),"")</f>
      </c>
      <c r="AW171" s="201">
        <f>IF($C171,$AQ171+$AR171*$AP171-1,"")</f>
      </c>
      <c r="AX171" s="201">
        <f>IF($C171,IF(OR($AT171="Completo",$AU171="Cancelado",$AU171="Baja prioridad"),0,MAX(0,TODAY()-$AW171)),"")</f>
      </c>
      <c r="AY171" s="202">
        <f>IF($C171,IF($AT171="Completo","Completo",IF($AU171="Cancelado","Cancelado",IF($AU171="Baja prioridad","Baja prioridad",IF($AX171&gt;0,"Vencida","Pendiente")))),"")</f>
      </c>
      <c r="AZ171" s="202">
        <f>IF($C171,$AO171&amp;" · S"&amp;$AV171,"")</f>
      </c>
      <c r="BA171" s="201">
        <f>IF($C171,IF(AND(ISNUMBER('Backlog General'!$M171),'Backlog General'!$M171=$AS171),"Nuevo S"&amp;'Backlog General'!$M171,""),"")</f>
      </c>
      <c r="BB171" s="201">
        <f>IF(AND($C171,$AO171="Semanal"),$AV171*100000+ROW(),"")</f>
      </c>
      <c r="BC171" s="201">
        <f>IF(AND($C171,$AO171="Quincenal"),$AV171*100000+ROW(),"")</f>
      </c>
      <c r="BD171" s="201">
        <f>IF(AND($C171,$AO171="Mensual"),$AV171*100000+ROW(),"")</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IF($C172,$AV172,"")</f>
      </c>
      <c r="AE172" s="201">
        <f>IF($C172,$AZ172,"")</f>
      </c>
      <c r="AF172" s="201">
        <f>IF($C172,$AV172&lt;&gt;$AR172,FALSE)</f>
      </c>
      <c r="AG172" s="201">
        <f>IF($C172,IF($AV172&lt;&gt;$AR172,$AW172,""),"")</f>
      </c>
      <c r="AH172" s="202">
        <f>IF($C172,'Backlog General'!$L172,"")</f>
      </c>
      <c r="AI172" s="201">
        <f>IF($C172,$AV172*100000+ROW(),"")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c r="AO172" s="202">
        <f>IF($C172,IFERROR(VLOOKUP($D172,'Sprints'!$G$5:$H$12,2,FALSE),"Semanal"),"")</f>
      </c>
      <c r="AP172" s="201">
        <f>IF($C172,IF($AO172="Semanal",'Sprints'!$D$5,IF($AO172="Quincenal",'Sprints'!$D$6,'Sprints'!$D$7)),"")</f>
      </c>
      <c r="AQ172" s="201">
        <f>IF($C172,IF($AO172="Semanal",'Sprints'!$C$5,IF($AO172="Quincenal",'Sprints'!$C$6,'Sprints'!$C$7)),"")</f>
      </c>
      <c r="AR172" s="201">
        <f>IF($C172,MAX(1,INT(($H172-$AQ172)/$AP172)+1),"")</f>
      </c>
      <c r="AS172" s="201">
        <f>IF($C172,IF($AO172="Semanal",'Sprints'!$E$5,IF($AO172="Quincenal",'Sprints'!$E$6,'Sprints'!$E$7)),"")</f>
      </c>
      <c r="AT172" s="202">
        <f>IF($C172,'Backlog General'!$G172,"")</f>
      </c>
      <c r="AU172" s="202">
        <f>IF($C172,'Backlog General'!$H172,"")</f>
      </c>
      <c r="AV172" s="201">
        <f>IF($C172,IF(OR($AT172="Completo",$AU172="Cancelado",$AU172="Baja prioridad"),$AR172,IF($AU172="Pasa al siguiente",MAX($AR172+1,$AS172),MAX($AR172,$AS172))),"")</f>
      </c>
      <c r="AW172" s="201">
        <f>IF($C172,$AQ172+$AR172*$AP172-1,"")</f>
      </c>
      <c r="AX172" s="201">
        <f>IF($C172,IF(OR($AT172="Completo",$AU172="Cancelado",$AU172="Baja prioridad"),0,MAX(0,TODAY()-$AW172)),"")</f>
      </c>
      <c r="AY172" s="202">
        <f>IF($C172,IF($AT172="Completo","Completo",IF($AU172="Cancelado","Cancelado",IF($AU172="Baja prioridad","Baja prioridad",IF($AX172&gt;0,"Vencida","Pendiente")))),"")</f>
      </c>
      <c r="AZ172" s="202">
        <f>IF($C172,$AO172&amp;" · S"&amp;$AV172,"")</f>
      </c>
      <c r="BA172" s="201">
        <f>IF($C172,IF(AND(ISNUMBER('Backlog General'!$M172),'Backlog General'!$M172=$AS172),"Nuevo S"&amp;'Backlog General'!$M172,""),"")</f>
      </c>
      <c r="BB172" s="201">
        <f>IF(AND($C172,$AO172="Semanal"),$AV172*100000+ROW(),"")</f>
      </c>
      <c r="BC172" s="201">
        <f>IF(AND($C172,$AO172="Quincenal"),$AV172*100000+ROW(),"")</f>
      </c>
      <c r="BD172" s="201">
        <f>IF(AND($C172,$AO172="Mensual"),$AV172*100000+ROW(),"")</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IF($C173,$AV173,"")</f>
      </c>
      <c r="AE173" s="201">
        <f>IF($C173,$AZ173,"")</f>
      </c>
      <c r="AF173" s="201">
        <f>IF($C173,$AV173&lt;&gt;$AR173,FALSE)</f>
      </c>
      <c r="AG173" s="201">
        <f>IF($C173,IF($AV173&lt;&gt;$AR173,$AW173,""),"")</f>
      </c>
      <c r="AH173" s="202">
        <f>IF($C173,'Backlog General'!$L173,"")</f>
      </c>
      <c r="AI173" s="201">
        <f>IF($C173,$AV173*100000+ROW(),"")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c r="AO173" s="202">
        <f>IF($C173,IFERROR(VLOOKUP($D173,'Sprints'!$G$5:$H$12,2,FALSE),"Semanal"),"")</f>
      </c>
      <c r="AP173" s="201">
        <f>IF($C173,IF($AO173="Semanal",'Sprints'!$D$5,IF($AO173="Quincenal",'Sprints'!$D$6,'Sprints'!$D$7)),"")</f>
      </c>
      <c r="AQ173" s="201">
        <f>IF($C173,IF($AO173="Semanal",'Sprints'!$C$5,IF($AO173="Quincenal",'Sprints'!$C$6,'Sprints'!$C$7)),"")</f>
      </c>
      <c r="AR173" s="201">
        <f>IF($C173,MAX(1,INT(($H173-$AQ173)/$AP173)+1),"")</f>
      </c>
      <c r="AS173" s="201">
        <f>IF($C173,IF($AO173="Semanal",'Sprints'!$E$5,IF($AO173="Quincenal",'Sprints'!$E$6,'Sprints'!$E$7)),"")</f>
      </c>
      <c r="AT173" s="202">
        <f>IF($C173,'Backlog General'!$G173,"")</f>
      </c>
      <c r="AU173" s="202">
        <f>IF($C173,'Backlog General'!$H173,"")</f>
      </c>
      <c r="AV173" s="201">
        <f>IF($C173,IF(OR($AT173="Completo",$AU173="Cancelado",$AU173="Baja prioridad"),$AR173,IF($AU173="Pasa al siguiente",MAX($AR173+1,$AS173),MAX($AR173,$AS173))),"")</f>
      </c>
      <c r="AW173" s="201">
        <f>IF($C173,$AQ173+$AR173*$AP173-1,"")</f>
      </c>
      <c r="AX173" s="201">
        <f>IF($C173,IF(OR($AT173="Completo",$AU173="Cancelado",$AU173="Baja prioridad"),0,MAX(0,TODAY()-$AW173)),"")</f>
      </c>
      <c r="AY173" s="202">
        <f>IF($C173,IF($AT173="Completo","Completo",IF($AU173="Cancelado","Cancelado",IF($AU173="Baja prioridad","Baja prioridad",IF($AX173&gt;0,"Vencida","Pendiente")))),"")</f>
      </c>
      <c r="AZ173" s="202">
        <f>IF($C173,$AO173&amp;" · S"&amp;$AV173,"")</f>
      </c>
      <c r="BA173" s="201">
        <f>IF($C173,IF(AND(ISNUMBER('Backlog General'!$M173),'Backlog General'!$M173=$AS173),"Nuevo S"&amp;'Backlog General'!$M173,""),"")</f>
      </c>
      <c r="BB173" s="201">
        <f>IF(AND($C173,$AO173="Semanal"),$AV173*100000+ROW(),"")</f>
      </c>
      <c r="BC173" s="201">
        <f>IF(AND($C173,$AO173="Quincenal"),$AV173*100000+ROW(),"")</f>
      </c>
      <c r="BD173" s="201">
        <f>IF(AND($C173,$AO173="Mensual"),$AV173*100000+ROW(),"")</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IF($C174,$AV174,"")</f>
      </c>
      <c r="AE174" s="201">
        <f>IF($C174,$AZ174,"")</f>
      </c>
      <c r="AF174" s="201">
        <f>IF($C174,$AV174&lt;&gt;$AR174,FALSE)</f>
      </c>
      <c r="AG174" s="201">
        <f>IF($C174,IF($AV174&lt;&gt;$AR174,$AW174,""),"")</f>
      </c>
      <c r="AH174" s="202">
        <f>IF($C174,'Backlog General'!$L174,"")</f>
      </c>
      <c r="AI174" s="201">
        <f>IF($C174,$AV174*100000+ROW(),"")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c r="AO174" s="202">
        <f>IF($C174,IFERROR(VLOOKUP($D174,'Sprints'!$G$5:$H$12,2,FALSE),"Semanal"),"")</f>
      </c>
      <c r="AP174" s="201">
        <f>IF($C174,IF($AO174="Semanal",'Sprints'!$D$5,IF($AO174="Quincenal",'Sprints'!$D$6,'Sprints'!$D$7)),"")</f>
      </c>
      <c r="AQ174" s="201">
        <f>IF($C174,IF($AO174="Semanal",'Sprints'!$C$5,IF($AO174="Quincenal",'Sprints'!$C$6,'Sprints'!$C$7)),"")</f>
      </c>
      <c r="AR174" s="201">
        <f>IF($C174,MAX(1,INT(($H174-$AQ174)/$AP174)+1),"")</f>
      </c>
      <c r="AS174" s="201">
        <f>IF($C174,IF($AO174="Semanal",'Sprints'!$E$5,IF($AO174="Quincenal",'Sprints'!$E$6,'Sprints'!$E$7)),"")</f>
      </c>
      <c r="AT174" s="202">
        <f>IF($C174,'Backlog General'!$G174,"")</f>
      </c>
      <c r="AU174" s="202">
        <f>IF($C174,'Backlog General'!$H174,"")</f>
      </c>
      <c r="AV174" s="201">
        <f>IF($C174,IF(OR($AT174="Completo",$AU174="Cancelado",$AU174="Baja prioridad"),$AR174,IF($AU174="Pasa al siguiente",MAX($AR174+1,$AS174),MAX($AR174,$AS174))),"")</f>
      </c>
      <c r="AW174" s="201">
        <f>IF($C174,$AQ174+$AR174*$AP174-1,"")</f>
      </c>
      <c r="AX174" s="201">
        <f>IF($C174,IF(OR($AT174="Completo",$AU174="Cancelado",$AU174="Baja prioridad"),0,MAX(0,TODAY()-$AW174)),"")</f>
      </c>
      <c r="AY174" s="202">
        <f>IF($C174,IF($AT174="Completo","Completo",IF($AU174="Cancelado","Cancelado",IF($AU174="Baja prioridad","Baja prioridad",IF($AX174&gt;0,"Vencida","Pendiente")))),"")</f>
      </c>
      <c r="AZ174" s="202">
        <f>IF($C174,$AO174&amp;" · S"&amp;$AV174,"")</f>
      </c>
      <c r="BA174" s="201">
        <f>IF($C174,IF(AND(ISNUMBER('Backlog General'!$M174),'Backlog General'!$M174=$AS174),"Nuevo S"&amp;'Backlog General'!$M174,""),"")</f>
      </c>
      <c r="BB174" s="201">
        <f>IF(AND($C174,$AO174="Semanal"),$AV174*100000+ROW(),"")</f>
      </c>
      <c r="BC174" s="201">
        <f>IF(AND($C174,$AO174="Quincenal"),$AV174*100000+ROW(),"")</f>
      </c>
      <c r="BD174" s="201">
        <f>IF(AND($C174,$AO174="Mensual"),$AV174*100000+ROW(),"")</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IF($C175,$AV175,"")</f>
      </c>
      <c r="AE175" s="201">
        <f>IF($C175,$AZ175,"")</f>
      </c>
      <c r="AF175" s="201">
        <f>IF($C175,$AV175&lt;&gt;$AR175,FALSE)</f>
      </c>
      <c r="AG175" s="201">
        <f>IF($C175,IF($AV175&lt;&gt;$AR175,$AW175,""),"")</f>
      </c>
      <c r="AH175" s="202">
        <f>IF($C175,'Backlog General'!$L175,"")</f>
      </c>
      <c r="AI175" s="201">
        <f>IF($C175,$AV175*100000+ROW(),"")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c r="AO175" s="202">
        <f>IF($C175,IFERROR(VLOOKUP($D175,'Sprints'!$G$5:$H$12,2,FALSE),"Semanal"),"")</f>
      </c>
      <c r="AP175" s="201">
        <f>IF($C175,IF($AO175="Semanal",'Sprints'!$D$5,IF($AO175="Quincenal",'Sprints'!$D$6,'Sprints'!$D$7)),"")</f>
      </c>
      <c r="AQ175" s="201">
        <f>IF($C175,IF($AO175="Semanal",'Sprints'!$C$5,IF($AO175="Quincenal",'Sprints'!$C$6,'Sprints'!$C$7)),"")</f>
      </c>
      <c r="AR175" s="201">
        <f>IF($C175,MAX(1,INT(($H175-$AQ175)/$AP175)+1),"")</f>
      </c>
      <c r="AS175" s="201">
        <f>IF($C175,IF($AO175="Semanal",'Sprints'!$E$5,IF($AO175="Quincenal",'Sprints'!$E$6,'Sprints'!$E$7)),"")</f>
      </c>
      <c r="AT175" s="202">
        <f>IF($C175,'Backlog General'!$G175,"")</f>
      </c>
      <c r="AU175" s="202">
        <f>IF($C175,'Backlog General'!$H175,"")</f>
      </c>
      <c r="AV175" s="201">
        <f>IF($C175,IF(OR($AT175="Completo",$AU175="Cancelado",$AU175="Baja prioridad"),$AR175,IF($AU175="Pasa al siguiente",MAX($AR175+1,$AS175),MAX($AR175,$AS175))),"")</f>
      </c>
      <c r="AW175" s="201">
        <f>IF($C175,$AQ175+$AR175*$AP175-1,"")</f>
      </c>
      <c r="AX175" s="201">
        <f>IF($C175,IF(OR($AT175="Completo",$AU175="Cancelado",$AU175="Baja prioridad"),0,MAX(0,TODAY()-$AW175)),"")</f>
      </c>
      <c r="AY175" s="202">
        <f>IF($C175,IF($AT175="Completo","Completo",IF($AU175="Cancelado","Cancelado",IF($AU175="Baja prioridad","Baja prioridad",IF($AX175&gt;0,"Vencida","Pendiente")))),"")</f>
      </c>
      <c r="AZ175" s="202">
        <f>IF($C175,$AO175&amp;" · S"&amp;$AV175,"")</f>
      </c>
      <c r="BA175" s="201">
        <f>IF($C175,IF(AND(ISNUMBER('Backlog General'!$M175),'Backlog General'!$M175=$AS175),"Nuevo S"&amp;'Backlog General'!$M175,""),"")</f>
      </c>
      <c r="BB175" s="201">
        <f>IF(AND($C175,$AO175="Semanal"),$AV175*100000+ROW(),"")</f>
      </c>
      <c r="BC175" s="201">
        <f>IF(AND($C175,$AO175="Quincenal"),$AV175*100000+ROW(),"")</f>
      </c>
      <c r="BD175" s="201">
        <f>IF(AND($C175,$AO175="Mensual"),$AV175*100000+ROW(),"")</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IF($C176,$AV176,"")</f>
      </c>
      <c r="AE176" s="201">
        <f>IF($C176,$AZ176,"")</f>
      </c>
      <c r="AF176" s="201">
        <f>IF($C176,$AV176&lt;&gt;$AR176,FALSE)</f>
      </c>
      <c r="AG176" s="201">
        <f>IF($C176,IF($AV176&lt;&gt;$AR176,$AW176,""),"")</f>
      </c>
      <c r="AH176" s="202">
        <f>IF($C176,'Backlog General'!$L176,"")</f>
      </c>
      <c r="AI176" s="201">
        <f>IF($C176,$AV176*100000+ROW(),"")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c r="AO176" s="202">
        <f>IF($C176,IFERROR(VLOOKUP($D176,'Sprints'!$G$5:$H$12,2,FALSE),"Semanal"),"")</f>
      </c>
      <c r="AP176" s="201">
        <f>IF($C176,IF($AO176="Semanal",'Sprints'!$D$5,IF($AO176="Quincenal",'Sprints'!$D$6,'Sprints'!$D$7)),"")</f>
      </c>
      <c r="AQ176" s="201">
        <f>IF($C176,IF($AO176="Semanal",'Sprints'!$C$5,IF($AO176="Quincenal",'Sprints'!$C$6,'Sprints'!$C$7)),"")</f>
      </c>
      <c r="AR176" s="201">
        <f>IF($C176,MAX(1,INT(($H176-$AQ176)/$AP176)+1),"")</f>
      </c>
      <c r="AS176" s="201">
        <f>IF($C176,IF($AO176="Semanal",'Sprints'!$E$5,IF($AO176="Quincenal",'Sprints'!$E$6,'Sprints'!$E$7)),"")</f>
      </c>
      <c r="AT176" s="202">
        <f>IF($C176,'Backlog General'!$G176,"")</f>
      </c>
      <c r="AU176" s="202">
        <f>IF($C176,'Backlog General'!$H176,"")</f>
      </c>
      <c r="AV176" s="201">
        <f>IF($C176,IF(OR($AT176="Completo",$AU176="Cancelado",$AU176="Baja prioridad"),$AR176,IF($AU176="Pasa al siguiente",MAX($AR176+1,$AS176),MAX($AR176,$AS176))),"")</f>
      </c>
      <c r="AW176" s="201">
        <f>IF($C176,$AQ176+$AR176*$AP176-1,"")</f>
      </c>
      <c r="AX176" s="201">
        <f>IF($C176,IF(OR($AT176="Completo",$AU176="Cancelado",$AU176="Baja prioridad"),0,MAX(0,TODAY()-$AW176)),"")</f>
      </c>
      <c r="AY176" s="202">
        <f>IF($C176,IF($AT176="Completo","Completo",IF($AU176="Cancelado","Cancelado",IF($AU176="Baja prioridad","Baja prioridad",IF($AX176&gt;0,"Vencida","Pendiente")))),"")</f>
      </c>
      <c r="AZ176" s="202">
        <f>IF($C176,$AO176&amp;" · S"&amp;$AV176,"")</f>
      </c>
      <c r="BA176" s="201">
        <f>IF($C176,IF(AND(ISNUMBER('Backlog General'!$M176),'Backlog General'!$M176=$AS176),"Nuevo S"&amp;'Backlog General'!$M176,""),"")</f>
      </c>
      <c r="BB176" s="201">
        <f>IF(AND($C176,$AO176="Semanal"),$AV176*100000+ROW(),"")</f>
      </c>
      <c r="BC176" s="201">
        <f>IF(AND($C176,$AO176="Quincenal"),$AV176*100000+ROW(),"")</f>
      </c>
      <c r="BD176" s="201">
        <f>IF(AND($C176,$AO176="Mensual"),$AV176*100000+ROW(),"")</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IF($C177,$AV177,"")</f>
      </c>
      <c r="AE177" s="201">
        <f>IF($C177,$AZ177,"")</f>
      </c>
      <c r="AF177" s="201">
        <f>IF($C177,$AV177&lt;&gt;$AR177,FALSE)</f>
      </c>
      <c r="AG177" s="201">
        <f>IF($C177,IF($AV177&lt;&gt;$AR177,$AW177,""),"")</f>
      </c>
      <c r="AH177" s="202">
        <f>IF($C177,'Backlog General'!$L177,"")</f>
      </c>
      <c r="AI177" s="201">
        <f>IF($C177,$AV177*100000+ROW(),"")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c r="AO177" s="202">
        <f>IF($C177,IFERROR(VLOOKUP($D177,'Sprints'!$G$5:$H$12,2,FALSE),"Semanal"),"")</f>
      </c>
      <c r="AP177" s="201">
        <f>IF($C177,IF($AO177="Semanal",'Sprints'!$D$5,IF($AO177="Quincenal",'Sprints'!$D$6,'Sprints'!$D$7)),"")</f>
      </c>
      <c r="AQ177" s="201">
        <f>IF($C177,IF($AO177="Semanal",'Sprints'!$C$5,IF($AO177="Quincenal",'Sprints'!$C$6,'Sprints'!$C$7)),"")</f>
      </c>
      <c r="AR177" s="201">
        <f>IF($C177,MAX(1,INT(($H177-$AQ177)/$AP177)+1),"")</f>
      </c>
      <c r="AS177" s="201">
        <f>IF($C177,IF($AO177="Semanal",'Sprints'!$E$5,IF($AO177="Quincenal",'Sprints'!$E$6,'Sprints'!$E$7)),"")</f>
      </c>
      <c r="AT177" s="202">
        <f>IF($C177,'Backlog General'!$G177,"")</f>
      </c>
      <c r="AU177" s="202">
        <f>IF($C177,'Backlog General'!$H177,"")</f>
      </c>
      <c r="AV177" s="201">
        <f>IF($C177,IF(OR($AT177="Completo",$AU177="Cancelado",$AU177="Baja prioridad"),$AR177,IF($AU177="Pasa al siguiente",MAX($AR177+1,$AS177),MAX($AR177,$AS177))),"")</f>
      </c>
      <c r="AW177" s="201">
        <f>IF($C177,$AQ177+$AR177*$AP177-1,"")</f>
      </c>
      <c r="AX177" s="201">
        <f>IF($C177,IF(OR($AT177="Completo",$AU177="Cancelado",$AU177="Baja prioridad"),0,MAX(0,TODAY()-$AW177)),"")</f>
      </c>
      <c r="AY177" s="202">
        <f>IF($C177,IF($AT177="Completo","Completo",IF($AU177="Cancelado","Cancelado",IF($AU177="Baja prioridad","Baja prioridad",IF($AX177&gt;0,"Vencida","Pendiente")))),"")</f>
      </c>
      <c r="AZ177" s="202">
        <f>IF($C177,$AO177&amp;" · S"&amp;$AV177,"")</f>
      </c>
      <c r="BA177" s="201">
        <f>IF($C177,IF(AND(ISNUMBER('Backlog General'!$M177),'Backlog General'!$M177=$AS177),"Nuevo S"&amp;'Backlog General'!$M177,""),"")</f>
      </c>
      <c r="BB177" s="201">
        <f>IF(AND($C177,$AO177="Semanal"),$AV177*100000+ROW(),"")</f>
      </c>
      <c r="BC177" s="201">
        <f>IF(AND($C177,$AO177="Quincenal"),$AV177*100000+ROW(),"")</f>
      </c>
      <c r="BD177" s="201">
        <f>IF(AND($C177,$AO177="Mensual"),$AV177*100000+ROW(),"")</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IF($C178,$AV178,"")</f>
      </c>
      <c r="AE178" s="201">
        <f>IF($C178,$AZ178,"")</f>
      </c>
      <c r="AF178" s="201">
        <f>IF($C178,$AV178&lt;&gt;$AR178,FALSE)</f>
      </c>
      <c r="AG178" s="201">
        <f>IF($C178,IF($AV178&lt;&gt;$AR178,$AW178,""),"")</f>
      </c>
      <c r="AH178" s="202">
        <f>IF($C178,'Backlog General'!$L178,"")</f>
      </c>
      <c r="AI178" s="201">
        <f>IF($C178,$AV178*100000+ROW(),"")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c r="AO178" s="202">
        <f>IF($C178,IFERROR(VLOOKUP($D178,'Sprints'!$G$5:$H$12,2,FALSE),"Semanal"),"")</f>
      </c>
      <c r="AP178" s="201">
        <f>IF($C178,IF($AO178="Semanal",'Sprints'!$D$5,IF($AO178="Quincenal",'Sprints'!$D$6,'Sprints'!$D$7)),"")</f>
      </c>
      <c r="AQ178" s="201">
        <f>IF($C178,IF($AO178="Semanal",'Sprints'!$C$5,IF($AO178="Quincenal",'Sprints'!$C$6,'Sprints'!$C$7)),"")</f>
      </c>
      <c r="AR178" s="201">
        <f>IF($C178,MAX(1,INT(($H178-$AQ178)/$AP178)+1),"")</f>
      </c>
      <c r="AS178" s="201">
        <f>IF($C178,IF($AO178="Semanal",'Sprints'!$E$5,IF($AO178="Quincenal",'Sprints'!$E$6,'Sprints'!$E$7)),"")</f>
      </c>
      <c r="AT178" s="202">
        <f>IF($C178,'Backlog General'!$G178,"")</f>
      </c>
      <c r="AU178" s="202">
        <f>IF($C178,'Backlog General'!$H178,"")</f>
      </c>
      <c r="AV178" s="201">
        <f>IF($C178,IF(OR($AT178="Completo",$AU178="Cancelado",$AU178="Baja prioridad"),$AR178,IF($AU178="Pasa al siguiente",MAX($AR178+1,$AS178),MAX($AR178,$AS178))),"")</f>
      </c>
      <c r="AW178" s="201">
        <f>IF($C178,$AQ178+$AR178*$AP178-1,"")</f>
      </c>
      <c r="AX178" s="201">
        <f>IF($C178,IF(OR($AT178="Completo",$AU178="Cancelado",$AU178="Baja prioridad"),0,MAX(0,TODAY()-$AW178)),"")</f>
      </c>
      <c r="AY178" s="202">
        <f>IF($C178,IF($AT178="Completo","Completo",IF($AU178="Cancelado","Cancelado",IF($AU178="Baja prioridad","Baja prioridad",IF($AX178&gt;0,"Vencida","Pendiente")))),"")</f>
      </c>
      <c r="AZ178" s="202">
        <f>IF($C178,$AO178&amp;" · S"&amp;$AV178,"")</f>
      </c>
      <c r="BA178" s="201">
        <f>IF($C178,IF(AND(ISNUMBER('Backlog General'!$M178),'Backlog General'!$M178=$AS178),"Nuevo S"&amp;'Backlog General'!$M178,""),"")</f>
      </c>
      <c r="BB178" s="201">
        <f>IF(AND($C178,$AO178="Semanal"),$AV178*100000+ROW(),"")</f>
      </c>
      <c r="BC178" s="201">
        <f>IF(AND($C178,$AO178="Quincenal"),$AV178*100000+ROW(),"")</f>
      </c>
      <c r="BD178" s="201">
        <f>IF(AND($C178,$AO178="Mensual"),$AV178*100000+ROW(),"")</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IF($C179,$AV179,"")</f>
      </c>
      <c r="AE179" s="201">
        <f>IF($C179,$AZ179,"")</f>
      </c>
      <c r="AF179" s="201">
        <f>IF($C179,$AV179&lt;&gt;$AR179,FALSE)</f>
      </c>
      <c r="AG179" s="201">
        <f>IF($C179,IF($AV179&lt;&gt;$AR179,$AW179,""),"")</f>
      </c>
      <c r="AH179" s="202">
        <f>IF($C179,'Backlog General'!$L179,"")</f>
      </c>
      <c r="AI179" s="201">
        <f>IF($C179,$AV179*100000+ROW(),"")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c r="AO179" s="202">
        <f>IF($C179,IFERROR(VLOOKUP($D179,'Sprints'!$G$5:$H$12,2,FALSE),"Semanal"),"")</f>
      </c>
      <c r="AP179" s="201">
        <f>IF($C179,IF($AO179="Semanal",'Sprints'!$D$5,IF($AO179="Quincenal",'Sprints'!$D$6,'Sprints'!$D$7)),"")</f>
      </c>
      <c r="AQ179" s="201">
        <f>IF($C179,IF($AO179="Semanal",'Sprints'!$C$5,IF($AO179="Quincenal",'Sprints'!$C$6,'Sprints'!$C$7)),"")</f>
      </c>
      <c r="AR179" s="201">
        <f>IF($C179,MAX(1,INT(($H179-$AQ179)/$AP179)+1),"")</f>
      </c>
      <c r="AS179" s="201">
        <f>IF($C179,IF($AO179="Semanal",'Sprints'!$E$5,IF($AO179="Quincenal",'Sprints'!$E$6,'Sprints'!$E$7)),"")</f>
      </c>
      <c r="AT179" s="202">
        <f>IF($C179,'Backlog General'!$G179,"")</f>
      </c>
      <c r="AU179" s="202">
        <f>IF($C179,'Backlog General'!$H179,"")</f>
      </c>
      <c r="AV179" s="201">
        <f>IF($C179,IF(OR($AT179="Completo",$AU179="Cancelado",$AU179="Baja prioridad"),$AR179,IF($AU179="Pasa al siguiente",MAX($AR179+1,$AS179),MAX($AR179,$AS179))),"")</f>
      </c>
      <c r="AW179" s="201">
        <f>IF($C179,$AQ179+$AR179*$AP179-1,"")</f>
      </c>
      <c r="AX179" s="201">
        <f>IF($C179,IF(OR($AT179="Completo",$AU179="Cancelado",$AU179="Baja prioridad"),0,MAX(0,TODAY()-$AW179)),"")</f>
      </c>
      <c r="AY179" s="202">
        <f>IF($C179,IF($AT179="Completo","Completo",IF($AU179="Cancelado","Cancelado",IF($AU179="Baja prioridad","Baja prioridad",IF($AX179&gt;0,"Vencida","Pendiente")))),"")</f>
      </c>
      <c r="AZ179" s="202">
        <f>IF($C179,$AO179&amp;" · S"&amp;$AV179,"")</f>
      </c>
      <c r="BA179" s="201">
        <f>IF($C179,IF(AND(ISNUMBER('Backlog General'!$M179),'Backlog General'!$M179=$AS179),"Nuevo S"&amp;'Backlog General'!$M179,""),"")</f>
      </c>
      <c r="BB179" s="201">
        <f>IF(AND($C179,$AO179="Semanal"),$AV179*100000+ROW(),"")</f>
      </c>
      <c r="BC179" s="201">
        <f>IF(AND($C179,$AO179="Quincenal"),$AV179*100000+ROW(),"")</f>
      </c>
      <c r="BD179" s="201">
        <f>IF(AND($C179,$AO179="Mensual"),$AV179*100000+ROW(),"")</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IF($C180,$AV180,"")</f>
      </c>
      <c r="AE180" s="201">
        <f>IF($C180,$AZ180,"")</f>
      </c>
      <c r="AF180" s="201">
        <f>IF($C180,$AV180&lt;&gt;$AR180,FALSE)</f>
      </c>
      <c r="AG180" s="201">
        <f>IF($C180,IF($AV180&lt;&gt;$AR180,$AW180,""),"")</f>
      </c>
      <c r="AH180" s="202">
        <f>IF($C180,'Backlog General'!$L180,"")</f>
      </c>
      <c r="AI180" s="201">
        <f>IF($C180,$AV180*100000+ROW(),"")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c r="AO180" s="202">
        <f>IF($C180,IFERROR(VLOOKUP($D180,'Sprints'!$G$5:$H$12,2,FALSE),"Semanal"),"")</f>
      </c>
      <c r="AP180" s="201">
        <f>IF($C180,IF($AO180="Semanal",'Sprints'!$D$5,IF($AO180="Quincenal",'Sprints'!$D$6,'Sprints'!$D$7)),"")</f>
      </c>
      <c r="AQ180" s="201">
        <f>IF($C180,IF($AO180="Semanal",'Sprints'!$C$5,IF($AO180="Quincenal",'Sprints'!$C$6,'Sprints'!$C$7)),"")</f>
      </c>
      <c r="AR180" s="201">
        <f>IF($C180,MAX(1,INT(($H180-$AQ180)/$AP180)+1),"")</f>
      </c>
      <c r="AS180" s="201">
        <f>IF($C180,IF($AO180="Semanal",'Sprints'!$E$5,IF($AO180="Quincenal",'Sprints'!$E$6,'Sprints'!$E$7)),"")</f>
      </c>
      <c r="AT180" s="202">
        <f>IF($C180,'Backlog General'!$G180,"")</f>
      </c>
      <c r="AU180" s="202">
        <f>IF($C180,'Backlog General'!$H180,"")</f>
      </c>
      <c r="AV180" s="201">
        <f>IF($C180,IF(OR($AT180="Completo",$AU180="Cancelado",$AU180="Baja prioridad"),$AR180,IF($AU180="Pasa al siguiente",MAX($AR180+1,$AS180),MAX($AR180,$AS180))),"")</f>
      </c>
      <c r="AW180" s="201">
        <f>IF($C180,$AQ180+$AR180*$AP180-1,"")</f>
      </c>
      <c r="AX180" s="201">
        <f>IF($C180,IF(OR($AT180="Completo",$AU180="Cancelado",$AU180="Baja prioridad"),0,MAX(0,TODAY()-$AW180)),"")</f>
      </c>
      <c r="AY180" s="202">
        <f>IF($C180,IF($AT180="Completo","Completo",IF($AU180="Cancelado","Cancelado",IF($AU180="Baja prioridad","Baja prioridad",IF($AX180&gt;0,"Vencida","Pendiente")))),"")</f>
      </c>
      <c r="AZ180" s="202">
        <f>IF($C180,$AO180&amp;" · S"&amp;$AV180,"")</f>
      </c>
      <c r="BA180" s="201">
        <f>IF($C180,IF(AND(ISNUMBER('Backlog General'!$M180),'Backlog General'!$M180=$AS180),"Nuevo S"&amp;'Backlog General'!$M180,""),"")</f>
      </c>
      <c r="BB180" s="201">
        <f>IF(AND($C180,$AO180="Semanal"),$AV180*100000+ROW(),"")</f>
      </c>
      <c r="BC180" s="201">
        <f>IF(AND($C180,$AO180="Quincenal"),$AV180*100000+ROW(),"")</f>
      </c>
      <c r="BD180" s="201">
        <f>IF(AND($C180,$AO180="Mensual"),$AV180*100000+ROW(),"")</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IF($C181,$AV181,"")</f>
      </c>
      <c r="AE181" s="201">
        <f>IF($C181,$AZ181,"")</f>
      </c>
      <c r="AF181" s="201">
        <f>IF($C181,$AV181&lt;&gt;$AR181,FALSE)</f>
      </c>
      <c r="AG181" s="201">
        <f>IF($C181,IF($AV181&lt;&gt;$AR181,$AW181,""),"")</f>
      </c>
      <c r="AH181" s="202">
        <f>IF($C181,'Backlog General'!$L181,"")</f>
      </c>
      <c r="AI181" s="201">
        <f>IF($C181,$AV181*100000+ROW(),"")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c r="AO181" s="202">
        <f>IF($C181,IFERROR(VLOOKUP($D181,'Sprints'!$G$5:$H$12,2,FALSE),"Semanal"),"")</f>
      </c>
      <c r="AP181" s="201">
        <f>IF($C181,IF($AO181="Semanal",'Sprints'!$D$5,IF($AO181="Quincenal",'Sprints'!$D$6,'Sprints'!$D$7)),"")</f>
      </c>
      <c r="AQ181" s="201">
        <f>IF($C181,IF($AO181="Semanal",'Sprints'!$C$5,IF($AO181="Quincenal",'Sprints'!$C$6,'Sprints'!$C$7)),"")</f>
      </c>
      <c r="AR181" s="201">
        <f>IF($C181,MAX(1,INT(($H181-$AQ181)/$AP181)+1),"")</f>
      </c>
      <c r="AS181" s="201">
        <f>IF($C181,IF($AO181="Semanal",'Sprints'!$E$5,IF($AO181="Quincenal",'Sprints'!$E$6,'Sprints'!$E$7)),"")</f>
      </c>
      <c r="AT181" s="202">
        <f>IF($C181,'Backlog General'!$G181,"")</f>
      </c>
      <c r="AU181" s="202">
        <f>IF($C181,'Backlog General'!$H181,"")</f>
      </c>
      <c r="AV181" s="201">
        <f>IF($C181,IF(OR($AT181="Completo",$AU181="Cancelado",$AU181="Baja prioridad"),$AR181,IF($AU181="Pasa al siguiente",MAX($AR181+1,$AS181),MAX($AR181,$AS181))),"")</f>
      </c>
      <c r="AW181" s="201">
        <f>IF($C181,$AQ181+$AR181*$AP181-1,"")</f>
      </c>
      <c r="AX181" s="201">
        <f>IF($C181,IF(OR($AT181="Completo",$AU181="Cancelado",$AU181="Baja prioridad"),0,MAX(0,TODAY()-$AW181)),"")</f>
      </c>
      <c r="AY181" s="202">
        <f>IF($C181,IF($AT181="Completo","Completo",IF($AU181="Cancelado","Cancelado",IF($AU181="Baja prioridad","Baja prioridad",IF($AX181&gt;0,"Vencida","Pendiente")))),"")</f>
      </c>
      <c r="AZ181" s="202">
        <f>IF($C181,$AO181&amp;" · S"&amp;$AV181,"")</f>
      </c>
      <c r="BA181" s="201">
        <f>IF($C181,IF(AND(ISNUMBER('Backlog General'!$M181),'Backlog General'!$M181=$AS181),"Nuevo S"&amp;'Backlog General'!$M181,""),"")</f>
      </c>
      <c r="BB181" s="201">
        <f>IF(AND($C181,$AO181="Semanal"),$AV181*100000+ROW(),"")</f>
      </c>
      <c r="BC181" s="201">
        <f>IF(AND($C181,$AO181="Quincenal"),$AV181*100000+ROW(),"")</f>
      </c>
      <c r="BD181" s="201">
        <f>IF(AND($C181,$AO181="Mensual"),$AV181*100000+ROW(),"")</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IF($C182,$AV182,"")</f>
      </c>
      <c r="AE182" s="201">
        <f>IF($C182,$AZ182,"")</f>
      </c>
      <c r="AF182" s="201">
        <f>IF($C182,$AV182&lt;&gt;$AR182,FALSE)</f>
      </c>
      <c r="AG182" s="201">
        <f>IF($C182,IF($AV182&lt;&gt;$AR182,$AW182,""),"")</f>
      </c>
      <c r="AH182" s="202">
        <f>IF($C182,'Backlog General'!$L182,"")</f>
      </c>
      <c r="AI182" s="201">
        <f>IF($C182,$AV182*100000+ROW(),"")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c r="AO182" s="202">
        <f>IF($C182,IFERROR(VLOOKUP($D182,'Sprints'!$G$5:$H$12,2,FALSE),"Semanal"),"")</f>
      </c>
      <c r="AP182" s="201">
        <f>IF($C182,IF($AO182="Semanal",'Sprints'!$D$5,IF($AO182="Quincenal",'Sprints'!$D$6,'Sprints'!$D$7)),"")</f>
      </c>
      <c r="AQ182" s="201">
        <f>IF($C182,IF($AO182="Semanal",'Sprints'!$C$5,IF($AO182="Quincenal",'Sprints'!$C$6,'Sprints'!$C$7)),"")</f>
      </c>
      <c r="AR182" s="201">
        <f>IF($C182,MAX(1,INT(($H182-$AQ182)/$AP182)+1),"")</f>
      </c>
      <c r="AS182" s="201">
        <f>IF($C182,IF($AO182="Semanal",'Sprints'!$E$5,IF($AO182="Quincenal",'Sprints'!$E$6,'Sprints'!$E$7)),"")</f>
      </c>
      <c r="AT182" s="202">
        <f>IF($C182,'Backlog General'!$G182,"")</f>
      </c>
      <c r="AU182" s="202">
        <f>IF($C182,'Backlog General'!$H182,"")</f>
      </c>
      <c r="AV182" s="201">
        <f>IF($C182,IF(OR($AT182="Completo",$AU182="Cancelado",$AU182="Baja prioridad"),$AR182,IF($AU182="Pasa al siguiente",MAX($AR182+1,$AS182),MAX($AR182,$AS182))),"")</f>
      </c>
      <c r="AW182" s="201">
        <f>IF($C182,$AQ182+$AR182*$AP182-1,"")</f>
      </c>
      <c r="AX182" s="201">
        <f>IF($C182,IF(OR($AT182="Completo",$AU182="Cancelado",$AU182="Baja prioridad"),0,MAX(0,TODAY()-$AW182)),"")</f>
      </c>
      <c r="AY182" s="202">
        <f>IF($C182,IF($AT182="Completo","Completo",IF($AU182="Cancelado","Cancelado",IF($AU182="Baja prioridad","Baja prioridad",IF($AX182&gt;0,"Vencida","Pendiente")))),"")</f>
      </c>
      <c r="AZ182" s="202">
        <f>IF($C182,$AO182&amp;" · S"&amp;$AV182,"")</f>
      </c>
      <c r="BA182" s="201">
        <f>IF($C182,IF(AND(ISNUMBER('Backlog General'!$M182),'Backlog General'!$M182=$AS182),"Nuevo S"&amp;'Backlog General'!$M182,""),"")</f>
      </c>
      <c r="BB182" s="201">
        <f>IF(AND($C182,$AO182="Semanal"),$AV182*100000+ROW(),"")</f>
      </c>
      <c r="BC182" s="201">
        <f>IF(AND($C182,$AO182="Quincenal"),$AV182*100000+ROW(),"")</f>
      </c>
      <c r="BD182" s="201">
        <f>IF(AND($C182,$AO182="Mensual"),$AV182*100000+ROW(),"")</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IF($C183,$AV183,"")</f>
      </c>
      <c r="AE183" s="201">
        <f>IF($C183,$AZ183,"")</f>
      </c>
      <c r="AF183" s="201">
        <f>IF($C183,$AV183&lt;&gt;$AR183,FALSE)</f>
      </c>
      <c r="AG183" s="201">
        <f>IF($C183,IF($AV183&lt;&gt;$AR183,$AW183,""),"")</f>
      </c>
      <c r="AH183" s="202">
        <f>IF($C183,'Backlog General'!$L183,"")</f>
      </c>
      <c r="AI183" s="201">
        <f>IF($C183,$AV183*100000+ROW(),"")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c r="AO183" s="202">
        <f>IF($C183,IFERROR(VLOOKUP($D183,'Sprints'!$G$5:$H$12,2,FALSE),"Semanal"),"")</f>
      </c>
      <c r="AP183" s="201">
        <f>IF($C183,IF($AO183="Semanal",'Sprints'!$D$5,IF($AO183="Quincenal",'Sprints'!$D$6,'Sprints'!$D$7)),"")</f>
      </c>
      <c r="AQ183" s="201">
        <f>IF($C183,IF($AO183="Semanal",'Sprints'!$C$5,IF($AO183="Quincenal",'Sprints'!$C$6,'Sprints'!$C$7)),"")</f>
      </c>
      <c r="AR183" s="201">
        <f>IF($C183,MAX(1,INT(($H183-$AQ183)/$AP183)+1),"")</f>
      </c>
      <c r="AS183" s="201">
        <f>IF($C183,IF($AO183="Semanal",'Sprints'!$E$5,IF($AO183="Quincenal",'Sprints'!$E$6,'Sprints'!$E$7)),"")</f>
      </c>
      <c r="AT183" s="202">
        <f>IF($C183,'Backlog General'!$G183,"")</f>
      </c>
      <c r="AU183" s="202">
        <f>IF($C183,'Backlog General'!$H183,"")</f>
      </c>
      <c r="AV183" s="201">
        <f>IF($C183,IF(OR($AT183="Completo",$AU183="Cancelado",$AU183="Baja prioridad"),$AR183,IF($AU183="Pasa al siguiente",MAX($AR183+1,$AS183),MAX($AR183,$AS183))),"")</f>
      </c>
      <c r="AW183" s="201">
        <f>IF($C183,$AQ183+$AR183*$AP183-1,"")</f>
      </c>
      <c r="AX183" s="201">
        <f>IF($C183,IF(OR($AT183="Completo",$AU183="Cancelado",$AU183="Baja prioridad"),0,MAX(0,TODAY()-$AW183)),"")</f>
      </c>
      <c r="AY183" s="202">
        <f>IF($C183,IF($AT183="Completo","Completo",IF($AU183="Cancelado","Cancelado",IF($AU183="Baja prioridad","Baja prioridad",IF($AX183&gt;0,"Vencida","Pendiente")))),"")</f>
      </c>
      <c r="AZ183" s="202">
        <f>IF($C183,$AO183&amp;" · S"&amp;$AV183,"")</f>
      </c>
      <c r="BA183" s="201">
        <f>IF($C183,IF(AND(ISNUMBER('Backlog General'!$M183),'Backlog General'!$M183=$AS183),"Nuevo S"&amp;'Backlog General'!$M183,""),"")</f>
      </c>
      <c r="BB183" s="201">
        <f>IF(AND($C183,$AO183="Semanal"),$AV183*100000+ROW(),"")</f>
      </c>
      <c r="BC183" s="201">
        <f>IF(AND($C183,$AO183="Quincenal"),$AV183*100000+ROW(),"")</f>
      </c>
      <c r="BD183" s="201">
        <f>IF(AND($C183,$AO183="Mensual"),$AV183*100000+ROW(),"")</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IF($C184,$AV184,"")</f>
      </c>
      <c r="AE184" s="201">
        <f>IF($C184,$AZ184,"")</f>
      </c>
      <c r="AF184" s="201">
        <f>IF($C184,$AV184&lt;&gt;$AR184,FALSE)</f>
      </c>
      <c r="AG184" s="201">
        <f>IF($C184,IF($AV184&lt;&gt;$AR184,$AW184,""),"")</f>
      </c>
      <c r="AH184" s="202">
        <f>IF($C184,'Backlog General'!$L184,"")</f>
      </c>
      <c r="AI184" s="201">
        <f>IF($C184,$AV184*100000+ROW(),"")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c r="AO184" s="202">
        <f>IF($C184,IFERROR(VLOOKUP($D184,'Sprints'!$G$5:$H$12,2,FALSE),"Semanal"),"")</f>
      </c>
      <c r="AP184" s="201">
        <f>IF($C184,IF($AO184="Semanal",'Sprints'!$D$5,IF($AO184="Quincenal",'Sprints'!$D$6,'Sprints'!$D$7)),"")</f>
      </c>
      <c r="AQ184" s="201">
        <f>IF($C184,IF($AO184="Semanal",'Sprints'!$C$5,IF($AO184="Quincenal",'Sprints'!$C$6,'Sprints'!$C$7)),"")</f>
      </c>
      <c r="AR184" s="201">
        <f>IF($C184,MAX(1,INT(($H184-$AQ184)/$AP184)+1),"")</f>
      </c>
      <c r="AS184" s="201">
        <f>IF($C184,IF($AO184="Semanal",'Sprints'!$E$5,IF($AO184="Quincenal",'Sprints'!$E$6,'Sprints'!$E$7)),"")</f>
      </c>
      <c r="AT184" s="202">
        <f>IF($C184,'Backlog General'!$G184,"")</f>
      </c>
      <c r="AU184" s="202">
        <f>IF($C184,'Backlog General'!$H184,"")</f>
      </c>
      <c r="AV184" s="201">
        <f>IF($C184,IF(OR($AT184="Completo",$AU184="Cancelado",$AU184="Baja prioridad"),$AR184,IF($AU184="Pasa al siguiente",MAX($AR184+1,$AS184),MAX($AR184,$AS184))),"")</f>
      </c>
      <c r="AW184" s="201">
        <f>IF($C184,$AQ184+$AR184*$AP184-1,"")</f>
      </c>
      <c r="AX184" s="201">
        <f>IF($C184,IF(OR($AT184="Completo",$AU184="Cancelado",$AU184="Baja prioridad"),0,MAX(0,TODAY()-$AW184)),"")</f>
      </c>
      <c r="AY184" s="202">
        <f>IF($C184,IF($AT184="Completo","Completo",IF($AU184="Cancelado","Cancelado",IF($AU184="Baja prioridad","Baja prioridad",IF($AX184&gt;0,"Vencida","Pendiente")))),"")</f>
      </c>
      <c r="AZ184" s="202">
        <f>IF($C184,$AO184&amp;" · S"&amp;$AV184,"")</f>
      </c>
      <c r="BA184" s="201">
        <f>IF($C184,IF(AND(ISNUMBER('Backlog General'!$M184),'Backlog General'!$M184=$AS184),"Nuevo S"&amp;'Backlog General'!$M184,""),"")</f>
      </c>
      <c r="BB184" s="201">
        <f>IF(AND($C184,$AO184="Semanal"),$AV184*100000+ROW(),"")</f>
      </c>
      <c r="BC184" s="201">
        <f>IF(AND($C184,$AO184="Quincenal"),$AV184*100000+ROW(),"")</f>
      </c>
      <c r="BD184" s="201">
        <f>IF(AND($C184,$AO184="Mensual"),$AV184*100000+ROW(),"")</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IF($C185,$AV185,"")</f>
      </c>
      <c r="AE185" s="201">
        <f>IF($C185,$AZ185,"")</f>
      </c>
      <c r="AF185" s="201">
        <f>IF($C185,$AV185&lt;&gt;$AR185,FALSE)</f>
      </c>
      <c r="AG185" s="201">
        <f>IF($C185,IF($AV185&lt;&gt;$AR185,$AW185,""),"")</f>
      </c>
      <c r="AH185" s="202">
        <f>IF($C185,'Backlog General'!$L185,"")</f>
      </c>
      <c r="AI185" s="201">
        <f>IF($C185,$AV185*100000+ROW(),"")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c r="AO185" s="202">
        <f>IF($C185,IFERROR(VLOOKUP($D185,'Sprints'!$G$5:$H$12,2,FALSE),"Semanal"),"")</f>
      </c>
      <c r="AP185" s="201">
        <f>IF($C185,IF($AO185="Semanal",'Sprints'!$D$5,IF($AO185="Quincenal",'Sprints'!$D$6,'Sprints'!$D$7)),"")</f>
      </c>
      <c r="AQ185" s="201">
        <f>IF($C185,IF($AO185="Semanal",'Sprints'!$C$5,IF($AO185="Quincenal",'Sprints'!$C$6,'Sprints'!$C$7)),"")</f>
      </c>
      <c r="AR185" s="201">
        <f>IF($C185,MAX(1,INT(($H185-$AQ185)/$AP185)+1),"")</f>
      </c>
      <c r="AS185" s="201">
        <f>IF($C185,IF($AO185="Semanal",'Sprints'!$E$5,IF($AO185="Quincenal",'Sprints'!$E$6,'Sprints'!$E$7)),"")</f>
      </c>
      <c r="AT185" s="202">
        <f>IF($C185,'Backlog General'!$G185,"")</f>
      </c>
      <c r="AU185" s="202">
        <f>IF($C185,'Backlog General'!$H185,"")</f>
      </c>
      <c r="AV185" s="201">
        <f>IF($C185,IF(OR($AT185="Completo",$AU185="Cancelado",$AU185="Baja prioridad"),$AR185,IF($AU185="Pasa al siguiente",MAX($AR185+1,$AS185),MAX($AR185,$AS185))),"")</f>
      </c>
      <c r="AW185" s="201">
        <f>IF($C185,$AQ185+$AR185*$AP185-1,"")</f>
      </c>
      <c r="AX185" s="201">
        <f>IF($C185,IF(OR($AT185="Completo",$AU185="Cancelado",$AU185="Baja prioridad"),0,MAX(0,TODAY()-$AW185)),"")</f>
      </c>
      <c r="AY185" s="202">
        <f>IF($C185,IF($AT185="Completo","Completo",IF($AU185="Cancelado","Cancelado",IF($AU185="Baja prioridad","Baja prioridad",IF($AX185&gt;0,"Vencida","Pendiente")))),"")</f>
      </c>
      <c r="AZ185" s="202">
        <f>IF($C185,$AO185&amp;" · S"&amp;$AV185,"")</f>
      </c>
      <c r="BA185" s="201">
        <f>IF($C185,IF(AND(ISNUMBER('Backlog General'!$M185),'Backlog General'!$M185=$AS185),"Nuevo S"&amp;'Backlog General'!$M185,""),"")</f>
      </c>
      <c r="BB185" s="201">
        <f>IF(AND($C185,$AO185="Semanal"),$AV185*100000+ROW(),"")</f>
      </c>
      <c r="BC185" s="201">
        <f>IF(AND($C185,$AO185="Quincenal"),$AV185*100000+ROW(),"")</f>
      </c>
      <c r="BD185" s="201">
        <f>IF(AND($C185,$AO185="Mensual"),$AV185*100000+ROW(),"")</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IF($C186,$AV186,"")</f>
      </c>
      <c r="AE186" s="201">
        <f>IF($C186,$AZ186,"")</f>
      </c>
      <c r="AF186" s="201">
        <f>IF($C186,$AV186&lt;&gt;$AR186,FALSE)</f>
      </c>
      <c r="AG186" s="201">
        <f>IF($C186,IF($AV186&lt;&gt;$AR186,$AW186,""),"")</f>
      </c>
      <c r="AH186" s="202">
        <f>IF($C186,'Backlog General'!$L186,"")</f>
      </c>
      <c r="AI186" s="201">
        <f>IF($C186,$AV186*100000+ROW(),"")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c r="AO186" s="202">
        <f>IF($C186,IFERROR(VLOOKUP($D186,'Sprints'!$G$5:$H$12,2,FALSE),"Semanal"),"")</f>
      </c>
      <c r="AP186" s="201">
        <f>IF($C186,IF($AO186="Semanal",'Sprints'!$D$5,IF($AO186="Quincenal",'Sprints'!$D$6,'Sprints'!$D$7)),"")</f>
      </c>
      <c r="AQ186" s="201">
        <f>IF($C186,IF($AO186="Semanal",'Sprints'!$C$5,IF($AO186="Quincenal",'Sprints'!$C$6,'Sprints'!$C$7)),"")</f>
      </c>
      <c r="AR186" s="201">
        <f>IF($C186,MAX(1,INT(($H186-$AQ186)/$AP186)+1),"")</f>
      </c>
      <c r="AS186" s="201">
        <f>IF($C186,IF($AO186="Semanal",'Sprints'!$E$5,IF($AO186="Quincenal",'Sprints'!$E$6,'Sprints'!$E$7)),"")</f>
      </c>
      <c r="AT186" s="202">
        <f>IF($C186,'Backlog General'!$G186,"")</f>
      </c>
      <c r="AU186" s="202">
        <f>IF($C186,'Backlog General'!$H186,"")</f>
      </c>
      <c r="AV186" s="201">
        <f>IF($C186,IF(OR($AT186="Completo",$AU186="Cancelado",$AU186="Baja prioridad"),$AR186,IF($AU186="Pasa al siguiente",MAX($AR186+1,$AS186),MAX($AR186,$AS186))),"")</f>
      </c>
      <c r="AW186" s="201">
        <f>IF($C186,$AQ186+$AR186*$AP186-1,"")</f>
      </c>
      <c r="AX186" s="201">
        <f>IF($C186,IF(OR($AT186="Completo",$AU186="Cancelado",$AU186="Baja prioridad"),0,MAX(0,TODAY()-$AW186)),"")</f>
      </c>
      <c r="AY186" s="202">
        <f>IF($C186,IF($AT186="Completo","Completo",IF($AU186="Cancelado","Cancelado",IF($AU186="Baja prioridad","Baja prioridad",IF($AX186&gt;0,"Vencida","Pendiente")))),"")</f>
      </c>
      <c r="AZ186" s="202">
        <f>IF($C186,$AO186&amp;" · S"&amp;$AV186,"")</f>
      </c>
      <c r="BA186" s="201">
        <f>IF($C186,IF(AND(ISNUMBER('Backlog General'!$M186),'Backlog General'!$M186=$AS186),"Nuevo S"&amp;'Backlog General'!$M186,""),"")</f>
      </c>
      <c r="BB186" s="201">
        <f>IF(AND($C186,$AO186="Semanal"),$AV186*100000+ROW(),"")</f>
      </c>
      <c r="BC186" s="201">
        <f>IF(AND($C186,$AO186="Quincenal"),$AV186*100000+ROW(),"")</f>
      </c>
      <c r="BD186" s="201">
        <f>IF(AND($C186,$AO186="Mensual"),$AV186*100000+ROW(),"")</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IF($C187,$AV187,"")</f>
      </c>
      <c r="AE187" s="201">
        <f>IF($C187,$AZ187,"")</f>
      </c>
      <c r="AF187" s="201">
        <f>IF($C187,$AV187&lt;&gt;$AR187,FALSE)</f>
      </c>
      <c r="AG187" s="201">
        <f>IF($C187,IF($AV187&lt;&gt;$AR187,$AW187,""),"")</f>
      </c>
      <c r="AH187" s="202">
        <f>IF($C187,'Backlog General'!$L187,"")</f>
      </c>
      <c r="AI187" s="201">
        <f>IF($C187,$AV187*100000+ROW(),"")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c r="AO187" s="202">
        <f>IF($C187,IFERROR(VLOOKUP($D187,'Sprints'!$G$5:$H$12,2,FALSE),"Semanal"),"")</f>
      </c>
      <c r="AP187" s="201">
        <f>IF($C187,IF($AO187="Semanal",'Sprints'!$D$5,IF($AO187="Quincenal",'Sprints'!$D$6,'Sprints'!$D$7)),"")</f>
      </c>
      <c r="AQ187" s="201">
        <f>IF($C187,IF($AO187="Semanal",'Sprints'!$C$5,IF($AO187="Quincenal",'Sprints'!$C$6,'Sprints'!$C$7)),"")</f>
      </c>
      <c r="AR187" s="201">
        <f>IF($C187,MAX(1,INT(($H187-$AQ187)/$AP187)+1),"")</f>
      </c>
      <c r="AS187" s="201">
        <f>IF($C187,IF($AO187="Semanal",'Sprints'!$E$5,IF($AO187="Quincenal",'Sprints'!$E$6,'Sprints'!$E$7)),"")</f>
      </c>
      <c r="AT187" s="202">
        <f>IF($C187,'Backlog General'!$G187,"")</f>
      </c>
      <c r="AU187" s="202">
        <f>IF($C187,'Backlog General'!$H187,"")</f>
      </c>
      <c r="AV187" s="201">
        <f>IF($C187,IF(OR($AT187="Completo",$AU187="Cancelado",$AU187="Baja prioridad"),$AR187,IF($AU187="Pasa al siguiente",MAX($AR187+1,$AS187),MAX($AR187,$AS187))),"")</f>
      </c>
      <c r="AW187" s="201">
        <f>IF($C187,$AQ187+$AR187*$AP187-1,"")</f>
      </c>
      <c r="AX187" s="201">
        <f>IF($C187,IF(OR($AT187="Completo",$AU187="Cancelado",$AU187="Baja prioridad"),0,MAX(0,TODAY()-$AW187)),"")</f>
      </c>
      <c r="AY187" s="202">
        <f>IF($C187,IF($AT187="Completo","Completo",IF($AU187="Cancelado","Cancelado",IF($AU187="Baja prioridad","Baja prioridad",IF($AX187&gt;0,"Vencida","Pendiente")))),"")</f>
      </c>
      <c r="AZ187" s="202">
        <f>IF($C187,$AO187&amp;" · S"&amp;$AV187,"")</f>
      </c>
      <c r="BA187" s="201">
        <f>IF($C187,IF(AND(ISNUMBER('Backlog General'!$M187),'Backlog General'!$M187=$AS187),"Nuevo S"&amp;'Backlog General'!$M187,""),"")</f>
      </c>
      <c r="BB187" s="201">
        <f>IF(AND($C187,$AO187="Semanal"),$AV187*100000+ROW(),"")</f>
      </c>
      <c r="BC187" s="201">
        <f>IF(AND($C187,$AO187="Quincenal"),$AV187*100000+ROW(),"")</f>
      </c>
      <c r="BD187" s="201">
        <f>IF(AND($C187,$AO187="Mensual"),$AV187*100000+ROW(),"")</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IF($C188,$AV188,"")</f>
      </c>
      <c r="AE188" s="201">
        <f>IF($C188,$AZ188,"")</f>
      </c>
      <c r="AF188" s="201">
        <f>IF($C188,$AV188&lt;&gt;$AR188,FALSE)</f>
      </c>
      <c r="AG188" s="201">
        <f>IF($C188,IF($AV188&lt;&gt;$AR188,$AW188,""),"")</f>
      </c>
      <c r="AH188" s="202">
        <f>IF($C188,'Backlog General'!$L188,"")</f>
      </c>
      <c r="AI188" s="201">
        <f>IF($C188,$AV188*100000+ROW(),"")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c r="AO188" s="202">
        <f>IF($C188,IFERROR(VLOOKUP($D188,'Sprints'!$G$5:$H$12,2,FALSE),"Semanal"),"")</f>
      </c>
      <c r="AP188" s="201">
        <f>IF($C188,IF($AO188="Semanal",'Sprints'!$D$5,IF($AO188="Quincenal",'Sprints'!$D$6,'Sprints'!$D$7)),"")</f>
      </c>
      <c r="AQ188" s="201">
        <f>IF($C188,IF($AO188="Semanal",'Sprints'!$C$5,IF($AO188="Quincenal",'Sprints'!$C$6,'Sprints'!$C$7)),"")</f>
      </c>
      <c r="AR188" s="201">
        <f>IF($C188,MAX(1,INT(($H188-$AQ188)/$AP188)+1),"")</f>
      </c>
      <c r="AS188" s="201">
        <f>IF($C188,IF($AO188="Semanal",'Sprints'!$E$5,IF($AO188="Quincenal",'Sprints'!$E$6,'Sprints'!$E$7)),"")</f>
      </c>
      <c r="AT188" s="202">
        <f>IF($C188,'Backlog General'!$G188,"")</f>
      </c>
      <c r="AU188" s="202">
        <f>IF($C188,'Backlog General'!$H188,"")</f>
      </c>
      <c r="AV188" s="201">
        <f>IF($C188,IF(OR($AT188="Completo",$AU188="Cancelado",$AU188="Baja prioridad"),$AR188,IF($AU188="Pasa al siguiente",MAX($AR188+1,$AS188),MAX($AR188,$AS188))),"")</f>
      </c>
      <c r="AW188" s="201">
        <f>IF($C188,$AQ188+$AR188*$AP188-1,"")</f>
      </c>
      <c r="AX188" s="201">
        <f>IF($C188,IF(OR($AT188="Completo",$AU188="Cancelado",$AU188="Baja prioridad"),0,MAX(0,TODAY()-$AW188)),"")</f>
      </c>
      <c r="AY188" s="202">
        <f>IF($C188,IF($AT188="Completo","Completo",IF($AU188="Cancelado","Cancelado",IF($AU188="Baja prioridad","Baja prioridad",IF($AX188&gt;0,"Vencida","Pendiente")))),"")</f>
      </c>
      <c r="AZ188" s="202">
        <f>IF($C188,$AO188&amp;" · S"&amp;$AV188,"")</f>
      </c>
      <c r="BA188" s="201">
        <f>IF($C188,IF(AND(ISNUMBER('Backlog General'!$M188),'Backlog General'!$M188=$AS188),"Nuevo S"&amp;'Backlog General'!$M188,""),"")</f>
      </c>
      <c r="BB188" s="201">
        <f>IF(AND($C188,$AO188="Semanal"),$AV188*100000+ROW(),"")</f>
      </c>
      <c r="BC188" s="201">
        <f>IF(AND($C188,$AO188="Quincenal"),$AV188*100000+ROW(),"")</f>
      </c>
      <c r="BD188" s="201">
        <f>IF(AND($C188,$AO188="Mensual"),$AV188*100000+ROW(),"")</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IF($C189,$AV189,"")</f>
      </c>
      <c r="AE189" s="201">
        <f>IF($C189,$AZ189,"")</f>
      </c>
      <c r="AF189" s="201">
        <f>IF($C189,$AV189&lt;&gt;$AR189,FALSE)</f>
      </c>
      <c r="AG189" s="201">
        <f>IF($C189,IF($AV189&lt;&gt;$AR189,$AW189,""),"")</f>
      </c>
      <c r="AH189" s="202">
        <f>IF($C189,'Backlog General'!$L189,"")</f>
      </c>
      <c r="AI189" s="201">
        <f>IF($C189,$AV189*100000+ROW(),"")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c r="AO189" s="202">
        <f>IF($C189,IFERROR(VLOOKUP($D189,'Sprints'!$G$5:$H$12,2,FALSE),"Semanal"),"")</f>
      </c>
      <c r="AP189" s="201">
        <f>IF($C189,IF($AO189="Semanal",'Sprints'!$D$5,IF($AO189="Quincenal",'Sprints'!$D$6,'Sprints'!$D$7)),"")</f>
      </c>
      <c r="AQ189" s="201">
        <f>IF($C189,IF($AO189="Semanal",'Sprints'!$C$5,IF($AO189="Quincenal",'Sprints'!$C$6,'Sprints'!$C$7)),"")</f>
      </c>
      <c r="AR189" s="201">
        <f>IF($C189,MAX(1,INT(($H189-$AQ189)/$AP189)+1),"")</f>
      </c>
      <c r="AS189" s="201">
        <f>IF($C189,IF($AO189="Semanal",'Sprints'!$E$5,IF($AO189="Quincenal",'Sprints'!$E$6,'Sprints'!$E$7)),"")</f>
      </c>
      <c r="AT189" s="202">
        <f>IF($C189,'Backlog General'!$G189,"")</f>
      </c>
      <c r="AU189" s="202">
        <f>IF($C189,'Backlog General'!$H189,"")</f>
      </c>
      <c r="AV189" s="201">
        <f>IF($C189,IF(OR($AT189="Completo",$AU189="Cancelado",$AU189="Baja prioridad"),$AR189,IF($AU189="Pasa al siguiente",MAX($AR189+1,$AS189),MAX($AR189,$AS189))),"")</f>
      </c>
      <c r="AW189" s="201">
        <f>IF($C189,$AQ189+$AR189*$AP189-1,"")</f>
      </c>
      <c r="AX189" s="201">
        <f>IF($C189,IF(OR($AT189="Completo",$AU189="Cancelado",$AU189="Baja prioridad"),0,MAX(0,TODAY()-$AW189)),"")</f>
      </c>
      <c r="AY189" s="202">
        <f>IF($C189,IF($AT189="Completo","Completo",IF($AU189="Cancelado","Cancelado",IF($AU189="Baja prioridad","Baja prioridad",IF($AX189&gt;0,"Vencida","Pendiente")))),"")</f>
      </c>
      <c r="AZ189" s="202">
        <f>IF($C189,$AO189&amp;" · S"&amp;$AV189,"")</f>
      </c>
      <c r="BA189" s="201">
        <f>IF($C189,IF(AND(ISNUMBER('Backlog General'!$M189),'Backlog General'!$M189=$AS189),"Nuevo S"&amp;'Backlog General'!$M189,""),"")</f>
      </c>
      <c r="BB189" s="201">
        <f>IF(AND($C189,$AO189="Semanal"),$AV189*100000+ROW(),"")</f>
      </c>
      <c r="BC189" s="201">
        <f>IF(AND($C189,$AO189="Quincenal"),$AV189*100000+ROW(),"")</f>
      </c>
      <c r="BD189" s="201">
        <f>IF(AND($C189,$AO189="Mensual"),$AV189*100000+ROW(),"")</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IF($C190,$AV190,"")</f>
      </c>
      <c r="AE190" s="201">
        <f>IF($C190,$AZ190,"")</f>
      </c>
      <c r="AF190" s="201">
        <f>IF($C190,$AV190&lt;&gt;$AR190,FALSE)</f>
      </c>
      <c r="AG190" s="201">
        <f>IF($C190,IF($AV190&lt;&gt;$AR190,$AW190,""),"")</f>
      </c>
      <c r="AH190" s="202">
        <f>IF($C190,'Backlog General'!$L190,"")</f>
      </c>
      <c r="AI190" s="201">
        <f>IF($C190,$AV190*100000+ROW(),"")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c r="AO190" s="202">
        <f>IF($C190,IFERROR(VLOOKUP($D190,'Sprints'!$G$5:$H$12,2,FALSE),"Semanal"),"")</f>
      </c>
      <c r="AP190" s="201">
        <f>IF($C190,IF($AO190="Semanal",'Sprints'!$D$5,IF($AO190="Quincenal",'Sprints'!$D$6,'Sprints'!$D$7)),"")</f>
      </c>
      <c r="AQ190" s="201">
        <f>IF($C190,IF($AO190="Semanal",'Sprints'!$C$5,IF($AO190="Quincenal",'Sprints'!$C$6,'Sprints'!$C$7)),"")</f>
      </c>
      <c r="AR190" s="201">
        <f>IF($C190,MAX(1,INT(($H190-$AQ190)/$AP190)+1),"")</f>
      </c>
      <c r="AS190" s="201">
        <f>IF($C190,IF($AO190="Semanal",'Sprints'!$E$5,IF($AO190="Quincenal",'Sprints'!$E$6,'Sprints'!$E$7)),"")</f>
      </c>
      <c r="AT190" s="202">
        <f>IF($C190,'Backlog General'!$G190,"")</f>
      </c>
      <c r="AU190" s="202">
        <f>IF($C190,'Backlog General'!$H190,"")</f>
      </c>
      <c r="AV190" s="201">
        <f>IF($C190,IF(OR($AT190="Completo",$AU190="Cancelado",$AU190="Baja prioridad"),$AR190,IF($AU190="Pasa al siguiente",MAX($AR190+1,$AS190),MAX($AR190,$AS190))),"")</f>
      </c>
      <c r="AW190" s="201">
        <f>IF($C190,$AQ190+$AR190*$AP190-1,"")</f>
      </c>
      <c r="AX190" s="201">
        <f>IF($C190,IF(OR($AT190="Completo",$AU190="Cancelado",$AU190="Baja prioridad"),0,MAX(0,TODAY()-$AW190)),"")</f>
      </c>
      <c r="AY190" s="202">
        <f>IF($C190,IF($AT190="Completo","Completo",IF($AU190="Cancelado","Cancelado",IF($AU190="Baja prioridad","Baja prioridad",IF($AX190&gt;0,"Vencida","Pendiente")))),"")</f>
      </c>
      <c r="AZ190" s="202">
        <f>IF($C190,$AO190&amp;" · S"&amp;$AV190,"")</f>
      </c>
      <c r="BA190" s="201">
        <f>IF($C190,IF(AND(ISNUMBER('Backlog General'!$M190),'Backlog General'!$M190=$AS190),"Nuevo S"&amp;'Backlog General'!$M190,""),"")</f>
      </c>
      <c r="BB190" s="201">
        <f>IF(AND($C190,$AO190="Semanal"),$AV190*100000+ROW(),"")</f>
      </c>
      <c r="BC190" s="201">
        <f>IF(AND($C190,$AO190="Quincenal"),$AV190*100000+ROW(),"")</f>
      </c>
      <c r="BD190" s="201">
        <f>IF(AND($C190,$AO190="Mensual"),$AV190*100000+ROW(),"")</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IF($C191,$AV191,"")</f>
      </c>
      <c r="AE191" s="201">
        <f>IF($C191,$AZ191,"")</f>
      </c>
      <c r="AF191" s="201">
        <f>IF($C191,$AV191&lt;&gt;$AR191,FALSE)</f>
      </c>
      <c r="AG191" s="201">
        <f>IF($C191,IF($AV191&lt;&gt;$AR191,$AW191,""),"")</f>
      </c>
      <c r="AH191" s="202">
        <f>IF($C191,'Backlog General'!$L191,"")</f>
      </c>
      <c r="AI191" s="201">
        <f>IF($C191,$AV191*100000+ROW(),"")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c r="AO191" s="202">
        <f>IF($C191,IFERROR(VLOOKUP($D191,'Sprints'!$G$5:$H$12,2,FALSE),"Semanal"),"")</f>
      </c>
      <c r="AP191" s="201">
        <f>IF($C191,IF($AO191="Semanal",'Sprints'!$D$5,IF($AO191="Quincenal",'Sprints'!$D$6,'Sprints'!$D$7)),"")</f>
      </c>
      <c r="AQ191" s="201">
        <f>IF($C191,IF($AO191="Semanal",'Sprints'!$C$5,IF($AO191="Quincenal",'Sprints'!$C$6,'Sprints'!$C$7)),"")</f>
      </c>
      <c r="AR191" s="201">
        <f>IF($C191,MAX(1,INT(($H191-$AQ191)/$AP191)+1),"")</f>
      </c>
      <c r="AS191" s="201">
        <f>IF($C191,IF($AO191="Semanal",'Sprints'!$E$5,IF($AO191="Quincenal",'Sprints'!$E$6,'Sprints'!$E$7)),"")</f>
      </c>
      <c r="AT191" s="202">
        <f>IF($C191,'Backlog General'!$G191,"")</f>
      </c>
      <c r="AU191" s="202">
        <f>IF($C191,'Backlog General'!$H191,"")</f>
      </c>
      <c r="AV191" s="201">
        <f>IF($C191,IF(OR($AT191="Completo",$AU191="Cancelado",$AU191="Baja prioridad"),$AR191,IF($AU191="Pasa al siguiente",MAX($AR191+1,$AS191),MAX($AR191,$AS191))),"")</f>
      </c>
      <c r="AW191" s="201">
        <f>IF($C191,$AQ191+$AR191*$AP191-1,"")</f>
      </c>
      <c r="AX191" s="201">
        <f>IF($C191,IF(OR($AT191="Completo",$AU191="Cancelado",$AU191="Baja prioridad"),0,MAX(0,TODAY()-$AW191)),"")</f>
      </c>
      <c r="AY191" s="202">
        <f>IF($C191,IF($AT191="Completo","Completo",IF($AU191="Cancelado","Cancelado",IF($AU191="Baja prioridad","Baja prioridad",IF($AX191&gt;0,"Vencida","Pendiente")))),"")</f>
      </c>
      <c r="AZ191" s="202">
        <f>IF($C191,$AO191&amp;" · S"&amp;$AV191,"")</f>
      </c>
      <c r="BA191" s="201">
        <f>IF($C191,IF(AND(ISNUMBER('Backlog General'!$M191),'Backlog General'!$M191=$AS191),"Nuevo S"&amp;'Backlog General'!$M191,""),"")</f>
      </c>
      <c r="BB191" s="201">
        <f>IF(AND($C191,$AO191="Semanal"),$AV191*100000+ROW(),"")</f>
      </c>
      <c r="BC191" s="201">
        <f>IF(AND($C191,$AO191="Quincenal"),$AV191*100000+ROW(),"")</f>
      </c>
      <c r="BD191" s="201">
        <f>IF(AND($C191,$AO191="Mensual"),$AV191*100000+ROW(),"")</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IF($C192,$AV192,"")</f>
      </c>
      <c r="AE192" s="201">
        <f>IF($C192,$AZ192,"")</f>
      </c>
      <c r="AF192" s="201">
        <f>IF($C192,$AV192&lt;&gt;$AR192,FALSE)</f>
      </c>
      <c r="AG192" s="201">
        <f>IF($C192,IF($AV192&lt;&gt;$AR192,$AW192,""),"")</f>
      </c>
      <c r="AH192" s="202">
        <f>IF($C192,'Backlog General'!$L192,"")</f>
      </c>
      <c r="AI192" s="201">
        <f>IF($C192,$AV192*100000+ROW(),"")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c r="AO192" s="202">
        <f>IF($C192,IFERROR(VLOOKUP($D192,'Sprints'!$G$5:$H$12,2,FALSE),"Semanal"),"")</f>
      </c>
      <c r="AP192" s="201">
        <f>IF($C192,IF($AO192="Semanal",'Sprints'!$D$5,IF($AO192="Quincenal",'Sprints'!$D$6,'Sprints'!$D$7)),"")</f>
      </c>
      <c r="AQ192" s="201">
        <f>IF($C192,IF($AO192="Semanal",'Sprints'!$C$5,IF($AO192="Quincenal",'Sprints'!$C$6,'Sprints'!$C$7)),"")</f>
      </c>
      <c r="AR192" s="201">
        <f>IF($C192,MAX(1,INT(($H192-$AQ192)/$AP192)+1),"")</f>
      </c>
      <c r="AS192" s="201">
        <f>IF($C192,IF($AO192="Semanal",'Sprints'!$E$5,IF($AO192="Quincenal",'Sprints'!$E$6,'Sprints'!$E$7)),"")</f>
      </c>
      <c r="AT192" s="202">
        <f>IF($C192,'Backlog General'!$G192,"")</f>
      </c>
      <c r="AU192" s="202">
        <f>IF($C192,'Backlog General'!$H192,"")</f>
      </c>
      <c r="AV192" s="201">
        <f>IF($C192,IF(OR($AT192="Completo",$AU192="Cancelado",$AU192="Baja prioridad"),$AR192,IF($AU192="Pasa al siguiente",MAX($AR192+1,$AS192),MAX($AR192,$AS192))),"")</f>
      </c>
      <c r="AW192" s="201">
        <f>IF($C192,$AQ192+$AR192*$AP192-1,"")</f>
      </c>
      <c r="AX192" s="201">
        <f>IF($C192,IF(OR($AT192="Completo",$AU192="Cancelado",$AU192="Baja prioridad"),0,MAX(0,TODAY()-$AW192)),"")</f>
      </c>
      <c r="AY192" s="202">
        <f>IF($C192,IF($AT192="Completo","Completo",IF($AU192="Cancelado","Cancelado",IF($AU192="Baja prioridad","Baja prioridad",IF($AX192&gt;0,"Vencida","Pendiente")))),"")</f>
      </c>
      <c r="AZ192" s="202">
        <f>IF($C192,$AO192&amp;" · S"&amp;$AV192,"")</f>
      </c>
      <c r="BA192" s="201">
        <f>IF($C192,IF(AND(ISNUMBER('Backlog General'!$M192),'Backlog General'!$M192=$AS192),"Nuevo S"&amp;'Backlog General'!$M192,""),"")</f>
      </c>
      <c r="BB192" s="201">
        <f>IF(AND($C192,$AO192="Semanal"),$AV192*100000+ROW(),"")</f>
      </c>
      <c r="BC192" s="201">
        <f>IF(AND($C192,$AO192="Quincenal"),$AV192*100000+ROW(),"")</f>
      </c>
      <c r="BD192" s="201">
        <f>IF(AND($C192,$AO192="Mensual"),$AV192*100000+ROW(),"")</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IF($C193,$AV193,"")</f>
      </c>
      <c r="AE193" s="201">
        <f>IF($C193,$AZ193,"")</f>
      </c>
      <c r="AF193" s="201">
        <f>IF($C193,$AV193&lt;&gt;$AR193,FALSE)</f>
      </c>
      <c r="AG193" s="201">
        <f>IF($C193,IF($AV193&lt;&gt;$AR193,$AW193,""),"")</f>
      </c>
      <c r="AH193" s="202">
        <f>IF($C193,'Backlog General'!$L193,"")</f>
      </c>
      <c r="AI193" s="201">
        <f>IF($C193,$AV193*100000+ROW(),"")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c r="AO193" s="202">
        <f>IF($C193,IFERROR(VLOOKUP($D193,'Sprints'!$G$5:$H$12,2,FALSE),"Semanal"),"")</f>
      </c>
      <c r="AP193" s="201">
        <f>IF($C193,IF($AO193="Semanal",'Sprints'!$D$5,IF($AO193="Quincenal",'Sprints'!$D$6,'Sprints'!$D$7)),"")</f>
      </c>
      <c r="AQ193" s="201">
        <f>IF($C193,IF($AO193="Semanal",'Sprints'!$C$5,IF($AO193="Quincenal",'Sprints'!$C$6,'Sprints'!$C$7)),"")</f>
      </c>
      <c r="AR193" s="201">
        <f>IF($C193,MAX(1,INT(($H193-$AQ193)/$AP193)+1),"")</f>
      </c>
      <c r="AS193" s="201">
        <f>IF($C193,IF($AO193="Semanal",'Sprints'!$E$5,IF($AO193="Quincenal",'Sprints'!$E$6,'Sprints'!$E$7)),"")</f>
      </c>
      <c r="AT193" s="202">
        <f>IF($C193,'Backlog General'!$G193,"")</f>
      </c>
      <c r="AU193" s="202">
        <f>IF($C193,'Backlog General'!$H193,"")</f>
      </c>
      <c r="AV193" s="201">
        <f>IF($C193,IF(OR($AT193="Completo",$AU193="Cancelado",$AU193="Baja prioridad"),$AR193,IF($AU193="Pasa al siguiente",MAX($AR193+1,$AS193),MAX($AR193,$AS193))),"")</f>
      </c>
      <c r="AW193" s="201">
        <f>IF($C193,$AQ193+$AR193*$AP193-1,"")</f>
      </c>
      <c r="AX193" s="201">
        <f>IF($C193,IF(OR($AT193="Completo",$AU193="Cancelado",$AU193="Baja prioridad"),0,MAX(0,TODAY()-$AW193)),"")</f>
      </c>
      <c r="AY193" s="202">
        <f>IF($C193,IF($AT193="Completo","Completo",IF($AU193="Cancelado","Cancelado",IF($AU193="Baja prioridad","Baja prioridad",IF($AX193&gt;0,"Vencida","Pendiente")))),"")</f>
      </c>
      <c r="AZ193" s="202">
        <f>IF($C193,$AO193&amp;" · S"&amp;$AV193,"")</f>
      </c>
      <c r="BA193" s="201">
        <f>IF($C193,IF(AND(ISNUMBER('Backlog General'!$M193),'Backlog General'!$M193=$AS193),"Nuevo S"&amp;'Backlog General'!$M193,""),"")</f>
      </c>
      <c r="BB193" s="201">
        <f>IF(AND($C193,$AO193="Semanal"),$AV193*100000+ROW(),"")</f>
      </c>
      <c r="BC193" s="201">
        <f>IF(AND($C193,$AO193="Quincenal"),$AV193*100000+ROW(),"")</f>
      </c>
      <c r="BD193" s="201">
        <f>IF(AND($C193,$AO193="Mensual"),$AV193*100000+ROW(),"")</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IF($C194,$AV194,"")</f>
      </c>
      <c r="AE194" s="201">
        <f>IF($C194,$AZ194,"")</f>
      </c>
      <c r="AF194" s="201">
        <f>IF($C194,$AV194&lt;&gt;$AR194,FALSE)</f>
      </c>
      <c r="AG194" s="201">
        <f>IF($C194,IF($AV194&lt;&gt;$AR194,$AW194,""),"")</f>
      </c>
      <c r="AH194" s="202">
        <f>IF($C194,'Backlog General'!$L194,"")</f>
      </c>
      <c r="AI194" s="201">
        <f>IF($C194,$AV194*100000+ROW(),"")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c r="AO194" s="202">
        <f>IF($C194,IFERROR(VLOOKUP($D194,'Sprints'!$G$5:$H$12,2,FALSE),"Semanal"),"")</f>
      </c>
      <c r="AP194" s="201">
        <f>IF($C194,IF($AO194="Semanal",'Sprints'!$D$5,IF($AO194="Quincenal",'Sprints'!$D$6,'Sprints'!$D$7)),"")</f>
      </c>
      <c r="AQ194" s="201">
        <f>IF($C194,IF($AO194="Semanal",'Sprints'!$C$5,IF($AO194="Quincenal",'Sprints'!$C$6,'Sprints'!$C$7)),"")</f>
      </c>
      <c r="AR194" s="201">
        <f>IF($C194,MAX(1,INT(($H194-$AQ194)/$AP194)+1),"")</f>
      </c>
      <c r="AS194" s="201">
        <f>IF($C194,IF($AO194="Semanal",'Sprints'!$E$5,IF($AO194="Quincenal",'Sprints'!$E$6,'Sprints'!$E$7)),"")</f>
      </c>
      <c r="AT194" s="202">
        <f>IF($C194,'Backlog General'!$G194,"")</f>
      </c>
      <c r="AU194" s="202">
        <f>IF($C194,'Backlog General'!$H194,"")</f>
      </c>
      <c r="AV194" s="201">
        <f>IF($C194,IF(OR($AT194="Completo",$AU194="Cancelado",$AU194="Baja prioridad"),$AR194,IF($AU194="Pasa al siguiente",MAX($AR194+1,$AS194),MAX($AR194,$AS194))),"")</f>
      </c>
      <c r="AW194" s="201">
        <f>IF($C194,$AQ194+$AR194*$AP194-1,"")</f>
      </c>
      <c r="AX194" s="201">
        <f>IF($C194,IF(OR($AT194="Completo",$AU194="Cancelado",$AU194="Baja prioridad"),0,MAX(0,TODAY()-$AW194)),"")</f>
      </c>
      <c r="AY194" s="202">
        <f>IF($C194,IF($AT194="Completo","Completo",IF($AU194="Cancelado","Cancelado",IF($AU194="Baja prioridad","Baja prioridad",IF($AX194&gt;0,"Vencida","Pendiente")))),"")</f>
      </c>
      <c r="AZ194" s="202">
        <f>IF($C194,$AO194&amp;" · S"&amp;$AV194,"")</f>
      </c>
      <c r="BA194" s="201">
        <f>IF($C194,IF(AND(ISNUMBER('Backlog General'!$M194),'Backlog General'!$M194=$AS194),"Nuevo S"&amp;'Backlog General'!$M194,""),"")</f>
      </c>
      <c r="BB194" s="201">
        <f>IF(AND($C194,$AO194="Semanal"),$AV194*100000+ROW(),"")</f>
      </c>
      <c r="BC194" s="201">
        <f>IF(AND($C194,$AO194="Quincenal"),$AV194*100000+ROW(),"")</f>
      </c>
      <c r="BD194" s="201">
        <f>IF(AND($C194,$AO194="Mensual"),$AV194*100000+ROW(),"")</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IF($C195,$AV195,"")</f>
      </c>
      <c r="AE195" s="201">
        <f>IF($C195,$AZ195,"")</f>
      </c>
      <c r="AF195" s="201">
        <f>IF($C195,$AV195&lt;&gt;$AR195,FALSE)</f>
      </c>
      <c r="AG195" s="201">
        <f>IF($C195,IF($AV195&lt;&gt;$AR195,$AW195,""),"")</f>
      </c>
      <c r="AH195" s="202">
        <f>IF($C195,'Backlog General'!$L195,"")</f>
      </c>
      <c r="AI195" s="201">
        <f>IF($C195,$AV195*100000+ROW(),"")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c r="AO195" s="202">
        <f>IF($C195,IFERROR(VLOOKUP($D195,'Sprints'!$G$5:$H$12,2,FALSE),"Semanal"),"")</f>
      </c>
      <c r="AP195" s="201">
        <f>IF($C195,IF($AO195="Semanal",'Sprints'!$D$5,IF($AO195="Quincenal",'Sprints'!$D$6,'Sprints'!$D$7)),"")</f>
      </c>
      <c r="AQ195" s="201">
        <f>IF($C195,IF($AO195="Semanal",'Sprints'!$C$5,IF($AO195="Quincenal",'Sprints'!$C$6,'Sprints'!$C$7)),"")</f>
      </c>
      <c r="AR195" s="201">
        <f>IF($C195,MAX(1,INT(($H195-$AQ195)/$AP195)+1),"")</f>
      </c>
      <c r="AS195" s="201">
        <f>IF($C195,IF($AO195="Semanal",'Sprints'!$E$5,IF($AO195="Quincenal",'Sprints'!$E$6,'Sprints'!$E$7)),"")</f>
      </c>
      <c r="AT195" s="202">
        <f>IF($C195,'Backlog General'!$G195,"")</f>
      </c>
      <c r="AU195" s="202">
        <f>IF($C195,'Backlog General'!$H195,"")</f>
      </c>
      <c r="AV195" s="201">
        <f>IF($C195,IF(OR($AT195="Completo",$AU195="Cancelado",$AU195="Baja prioridad"),$AR195,IF($AU195="Pasa al siguiente",MAX($AR195+1,$AS195),MAX($AR195,$AS195))),"")</f>
      </c>
      <c r="AW195" s="201">
        <f>IF($C195,$AQ195+$AR195*$AP195-1,"")</f>
      </c>
      <c r="AX195" s="201">
        <f>IF($C195,IF(OR($AT195="Completo",$AU195="Cancelado",$AU195="Baja prioridad"),0,MAX(0,TODAY()-$AW195)),"")</f>
      </c>
      <c r="AY195" s="202">
        <f>IF($C195,IF($AT195="Completo","Completo",IF($AU195="Cancelado","Cancelado",IF($AU195="Baja prioridad","Baja prioridad",IF($AX195&gt;0,"Vencida","Pendiente")))),"")</f>
      </c>
      <c r="AZ195" s="202">
        <f>IF($C195,$AO195&amp;" · S"&amp;$AV195,"")</f>
      </c>
      <c r="BA195" s="201">
        <f>IF($C195,IF(AND(ISNUMBER('Backlog General'!$M195),'Backlog General'!$M195=$AS195),"Nuevo S"&amp;'Backlog General'!$M195,""),"")</f>
      </c>
      <c r="BB195" s="201">
        <f>IF(AND($C195,$AO195="Semanal"),$AV195*100000+ROW(),"")</f>
      </c>
      <c r="BC195" s="201">
        <f>IF(AND($C195,$AO195="Quincenal"),$AV195*100000+ROW(),"")</f>
      </c>
      <c r="BD195" s="201">
        <f>IF(AND($C195,$AO195="Mensual"),$AV195*100000+ROW(),"")</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IF($C196,$AV196,"")</f>
      </c>
      <c r="AE196" s="201">
        <f>IF($C196,$AZ196,"")</f>
      </c>
      <c r="AF196" s="201">
        <f>IF($C196,$AV196&lt;&gt;$AR196,FALSE)</f>
      </c>
      <c r="AG196" s="201">
        <f>IF($C196,IF($AV196&lt;&gt;$AR196,$AW196,""),"")</f>
      </c>
      <c r="AH196" s="202">
        <f>IF($C196,'Backlog General'!$L196,"")</f>
      </c>
      <c r="AI196" s="201">
        <f>IF($C196,$AV196*100000+ROW(),"")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c r="AO196" s="202">
        <f>IF($C196,IFERROR(VLOOKUP($D196,'Sprints'!$G$5:$H$12,2,FALSE),"Semanal"),"")</f>
      </c>
      <c r="AP196" s="201">
        <f>IF($C196,IF($AO196="Semanal",'Sprints'!$D$5,IF($AO196="Quincenal",'Sprints'!$D$6,'Sprints'!$D$7)),"")</f>
      </c>
      <c r="AQ196" s="201">
        <f>IF($C196,IF($AO196="Semanal",'Sprints'!$C$5,IF($AO196="Quincenal",'Sprints'!$C$6,'Sprints'!$C$7)),"")</f>
      </c>
      <c r="AR196" s="201">
        <f>IF($C196,MAX(1,INT(($H196-$AQ196)/$AP196)+1),"")</f>
      </c>
      <c r="AS196" s="201">
        <f>IF($C196,IF($AO196="Semanal",'Sprints'!$E$5,IF($AO196="Quincenal",'Sprints'!$E$6,'Sprints'!$E$7)),"")</f>
      </c>
      <c r="AT196" s="202">
        <f>IF($C196,'Backlog General'!$G196,"")</f>
      </c>
      <c r="AU196" s="202">
        <f>IF($C196,'Backlog General'!$H196,"")</f>
      </c>
      <c r="AV196" s="201">
        <f>IF($C196,IF(OR($AT196="Completo",$AU196="Cancelado",$AU196="Baja prioridad"),$AR196,IF($AU196="Pasa al siguiente",MAX($AR196+1,$AS196),MAX($AR196,$AS196))),"")</f>
      </c>
      <c r="AW196" s="201">
        <f>IF($C196,$AQ196+$AR196*$AP196-1,"")</f>
      </c>
      <c r="AX196" s="201">
        <f>IF($C196,IF(OR($AT196="Completo",$AU196="Cancelado",$AU196="Baja prioridad"),0,MAX(0,TODAY()-$AW196)),"")</f>
      </c>
      <c r="AY196" s="202">
        <f>IF($C196,IF($AT196="Completo","Completo",IF($AU196="Cancelado","Cancelado",IF($AU196="Baja prioridad","Baja prioridad",IF($AX196&gt;0,"Vencida","Pendiente")))),"")</f>
      </c>
      <c r="AZ196" s="202">
        <f>IF($C196,$AO196&amp;" · S"&amp;$AV196,"")</f>
      </c>
      <c r="BA196" s="201">
        <f>IF($C196,IF(AND(ISNUMBER('Backlog General'!$M196),'Backlog General'!$M196=$AS196),"Nuevo S"&amp;'Backlog General'!$M196,""),"")</f>
      </c>
      <c r="BB196" s="201">
        <f>IF(AND($C196,$AO196="Semanal"),$AV196*100000+ROW(),"")</f>
      </c>
      <c r="BC196" s="201">
        <f>IF(AND($C196,$AO196="Quincenal"),$AV196*100000+ROW(),"")</f>
      </c>
      <c r="BD196" s="201">
        <f>IF(AND($C196,$AO196="Mensual"),$AV196*100000+ROW(),"")</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IF($C197,$AV197,"")</f>
      </c>
      <c r="AE197" s="201">
        <f>IF($C197,$AZ197,"")</f>
      </c>
      <c r="AF197" s="201">
        <f>IF($C197,$AV197&lt;&gt;$AR197,FALSE)</f>
      </c>
      <c r="AG197" s="201">
        <f>IF($C197,IF($AV197&lt;&gt;$AR197,$AW197,""),"")</f>
      </c>
      <c r="AH197" s="202">
        <f>IF($C197,'Backlog General'!$L197,"")</f>
      </c>
      <c r="AI197" s="201">
        <f>IF($C197,$AV197*100000+ROW(),"")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c r="AO197" s="202">
        <f>IF($C197,IFERROR(VLOOKUP($D197,'Sprints'!$G$5:$H$12,2,FALSE),"Semanal"),"")</f>
      </c>
      <c r="AP197" s="201">
        <f>IF($C197,IF($AO197="Semanal",'Sprints'!$D$5,IF($AO197="Quincenal",'Sprints'!$D$6,'Sprints'!$D$7)),"")</f>
      </c>
      <c r="AQ197" s="201">
        <f>IF($C197,IF($AO197="Semanal",'Sprints'!$C$5,IF($AO197="Quincenal",'Sprints'!$C$6,'Sprints'!$C$7)),"")</f>
      </c>
      <c r="AR197" s="201">
        <f>IF($C197,MAX(1,INT(($H197-$AQ197)/$AP197)+1),"")</f>
      </c>
      <c r="AS197" s="201">
        <f>IF($C197,IF($AO197="Semanal",'Sprints'!$E$5,IF($AO197="Quincenal",'Sprints'!$E$6,'Sprints'!$E$7)),"")</f>
      </c>
      <c r="AT197" s="202">
        <f>IF($C197,'Backlog General'!$G197,"")</f>
      </c>
      <c r="AU197" s="202">
        <f>IF($C197,'Backlog General'!$H197,"")</f>
      </c>
      <c r="AV197" s="201">
        <f>IF($C197,IF(OR($AT197="Completo",$AU197="Cancelado",$AU197="Baja prioridad"),$AR197,IF($AU197="Pasa al siguiente",MAX($AR197+1,$AS197),MAX($AR197,$AS197))),"")</f>
      </c>
      <c r="AW197" s="201">
        <f>IF($C197,$AQ197+$AR197*$AP197-1,"")</f>
      </c>
      <c r="AX197" s="201">
        <f>IF($C197,IF(OR($AT197="Completo",$AU197="Cancelado",$AU197="Baja prioridad"),0,MAX(0,TODAY()-$AW197)),"")</f>
      </c>
      <c r="AY197" s="202">
        <f>IF($C197,IF($AT197="Completo","Completo",IF($AU197="Cancelado","Cancelado",IF($AU197="Baja prioridad","Baja prioridad",IF($AX197&gt;0,"Vencida","Pendiente")))),"")</f>
      </c>
      <c r="AZ197" s="202">
        <f>IF($C197,$AO197&amp;" · S"&amp;$AV197,"")</f>
      </c>
      <c r="BA197" s="201">
        <f>IF($C197,IF(AND(ISNUMBER('Backlog General'!$M197),'Backlog General'!$M197=$AS197),"Nuevo S"&amp;'Backlog General'!$M197,""),"")</f>
      </c>
      <c r="BB197" s="201">
        <f>IF(AND($C197,$AO197="Semanal"),$AV197*100000+ROW(),"")</f>
      </c>
      <c r="BC197" s="201">
        <f>IF(AND($C197,$AO197="Quincenal"),$AV197*100000+ROW(),"")</f>
      </c>
      <c r="BD197" s="201">
        <f>IF(AND($C197,$AO197="Mensual"),$AV197*100000+ROW(),"")</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IF($C198,$AV198,"")</f>
      </c>
      <c r="AE198" s="201">
        <f>IF($C198,$AZ198,"")</f>
      </c>
      <c r="AF198" s="201">
        <f>IF($C198,$AV198&lt;&gt;$AR198,FALSE)</f>
      </c>
      <c r="AG198" s="201">
        <f>IF($C198,IF($AV198&lt;&gt;$AR198,$AW198,""),"")</f>
      </c>
      <c r="AH198" s="202">
        <f>IF($C198,'Backlog General'!$L198,"")</f>
      </c>
      <c r="AI198" s="201">
        <f>IF($C198,$AV198*100000+ROW(),"")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c r="AO198" s="202">
        <f>IF($C198,IFERROR(VLOOKUP($D198,'Sprints'!$G$5:$H$12,2,FALSE),"Semanal"),"")</f>
      </c>
      <c r="AP198" s="201">
        <f>IF($C198,IF($AO198="Semanal",'Sprints'!$D$5,IF($AO198="Quincenal",'Sprints'!$D$6,'Sprints'!$D$7)),"")</f>
      </c>
      <c r="AQ198" s="201">
        <f>IF($C198,IF($AO198="Semanal",'Sprints'!$C$5,IF($AO198="Quincenal",'Sprints'!$C$6,'Sprints'!$C$7)),"")</f>
      </c>
      <c r="AR198" s="201">
        <f>IF($C198,MAX(1,INT(($H198-$AQ198)/$AP198)+1),"")</f>
      </c>
      <c r="AS198" s="201">
        <f>IF($C198,IF($AO198="Semanal",'Sprints'!$E$5,IF($AO198="Quincenal",'Sprints'!$E$6,'Sprints'!$E$7)),"")</f>
      </c>
      <c r="AT198" s="202">
        <f>IF($C198,'Backlog General'!$G198,"")</f>
      </c>
      <c r="AU198" s="202">
        <f>IF($C198,'Backlog General'!$H198,"")</f>
      </c>
      <c r="AV198" s="201">
        <f>IF($C198,IF(OR($AT198="Completo",$AU198="Cancelado",$AU198="Baja prioridad"),$AR198,IF($AU198="Pasa al siguiente",MAX($AR198+1,$AS198),MAX($AR198,$AS198))),"")</f>
      </c>
      <c r="AW198" s="201">
        <f>IF($C198,$AQ198+$AR198*$AP198-1,"")</f>
      </c>
      <c r="AX198" s="201">
        <f>IF($C198,IF(OR($AT198="Completo",$AU198="Cancelado",$AU198="Baja prioridad"),0,MAX(0,TODAY()-$AW198)),"")</f>
      </c>
      <c r="AY198" s="202">
        <f>IF($C198,IF($AT198="Completo","Completo",IF($AU198="Cancelado","Cancelado",IF($AU198="Baja prioridad","Baja prioridad",IF($AX198&gt;0,"Vencida","Pendiente")))),"")</f>
      </c>
      <c r="AZ198" s="202">
        <f>IF($C198,$AO198&amp;" · S"&amp;$AV198,"")</f>
      </c>
      <c r="BA198" s="201">
        <f>IF($C198,IF(AND(ISNUMBER('Backlog General'!$M198),'Backlog General'!$M198=$AS198),"Nuevo S"&amp;'Backlog General'!$M198,""),"")</f>
      </c>
      <c r="BB198" s="201">
        <f>IF(AND($C198,$AO198="Semanal"),$AV198*100000+ROW(),"")</f>
      </c>
      <c r="BC198" s="201">
        <f>IF(AND($C198,$AO198="Quincenal"),$AV198*100000+ROW(),"")</f>
      </c>
      <c r="BD198" s="201">
        <f>IF(AND($C198,$AO198="Mensual"),$AV198*100000+ROW(),"")</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IF($C199,$AV199,"")</f>
      </c>
      <c r="AE199" s="201">
        <f>IF($C199,$AZ199,"")</f>
      </c>
      <c r="AF199" s="201">
        <f>IF($C199,$AV199&lt;&gt;$AR199,FALSE)</f>
      </c>
      <c r="AG199" s="201">
        <f>IF($C199,IF($AV199&lt;&gt;$AR199,$AW199,""),"")</f>
      </c>
      <c r="AH199" s="202">
        <f>IF($C199,'Backlog General'!$L199,"")</f>
      </c>
      <c r="AI199" s="201">
        <f>IF($C199,$AV199*100000+ROW(),"")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c r="AO199" s="202">
        <f>IF($C199,IFERROR(VLOOKUP($D199,'Sprints'!$G$5:$H$12,2,FALSE),"Semanal"),"")</f>
      </c>
      <c r="AP199" s="201">
        <f>IF($C199,IF($AO199="Semanal",'Sprints'!$D$5,IF($AO199="Quincenal",'Sprints'!$D$6,'Sprints'!$D$7)),"")</f>
      </c>
      <c r="AQ199" s="201">
        <f>IF($C199,IF($AO199="Semanal",'Sprints'!$C$5,IF($AO199="Quincenal",'Sprints'!$C$6,'Sprints'!$C$7)),"")</f>
      </c>
      <c r="AR199" s="201">
        <f>IF($C199,MAX(1,INT(($H199-$AQ199)/$AP199)+1),"")</f>
      </c>
      <c r="AS199" s="201">
        <f>IF($C199,IF($AO199="Semanal",'Sprints'!$E$5,IF($AO199="Quincenal",'Sprints'!$E$6,'Sprints'!$E$7)),"")</f>
      </c>
      <c r="AT199" s="202">
        <f>IF($C199,'Backlog General'!$G199,"")</f>
      </c>
      <c r="AU199" s="202">
        <f>IF($C199,'Backlog General'!$H199,"")</f>
      </c>
      <c r="AV199" s="201">
        <f>IF($C199,IF(OR($AT199="Completo",$AU199="Cancelado",$AU199="Baja prioridad"),$AR199,IF($AU199="Pasa al siguiente",MAX($AR199+1,$AS199),MAX($AR199,$AS199))),"")</f>
      </c>
      <c r="AW199" s="201">
        <f>IF($C199,$AQ199+$AR199*$AP199-1,"")</f>
      </c>
      <c r="AX199" s="201">
        <f>IF($C199,IF(OR($AT199="Completo",$AU199="Cancelado",$AU199="Baja prioridad"),0,MAX(0,TODAY()-$AW199)),"")</f>
      </c>
      <c r="AY199" s="202">
        <f>IF($C199,IF($AT199="Completo","Completo",IF($AU199="Cancelado","Cancelado",IF($AU199="Baja prioridad","Baja prioridad",IF($AX199&gt;0,"Vencida","Pendiente")))),"")</f>
      </c>
      <c r="AZ199" s="202">
        <f>IF($C199,$AO199&amp;" · S"&amp;$AV199,"")</f>
      </c>
      <c r="BA199" s="201">
        <f>IF($C199,IF(AND(ISNUMBER('Backlog General'!$M199),'Backlog General'!$M199=$AS199),"Nuevo S"&amp;'Backlog General'!$M199,""),"")</f>
      </c>
      <c r="BB199" s="201">
        <f>IF(AND($C199,$AO199="Semanal"),$AV199*100000+ROW(),"")</f>
      </c>
      <c r="BC199" s="201">
        <f>IF(AND($C199,$AO199="Quincenal"),$AV199*100000+ROW(),"")</f>
      </c>
      <c r="BD199" s="201">
        <f>IF(AND($C199,$AO199="Mensual"),$AV199*100000+ROW(),"")</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IF($C200,$AV200,"")</f>
      </c>
      <c r="AE200" s="201">
        <f>IF($C200,$AZ200,"")</f>
      </c>
      <c r="AF200" s="201">
        <f>IF($C200,$AV200&lt;&gt;$AR200,FALSE)</f>
      </c>
      <c r="AG200" s="201">
        <f>IF($C200,IF($AV200&lt;&gt;$AR200,$AW200,""),"")</f>
      </c>
      <c r="AH200" s="202">
        <f>IF($C200,'Backlog General'!$L200,"")</f>
      </c>
      <c r="AI200" s="201">
        <f>IF($C200,$AV200*100000+ROW(),"")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c r="AO200" s="202">
        <f>IF($C200,IFERROR(VLOOKUP($D200,'Sprints'!$G$5:$H$12,2,FALSE),"Semanal"),"")</f>
      </c>
      <c r="AP200" s="201">
        <f>IF($C200,IF($AO200="Semanal",'Sprints'!$D$5,IF($AO200="Quincenal",'Sprints'!$D$6,'Sprints'!$D$7)),"")</f>
      </c>
      <c r="AQ200" s="201">
        <f>IF($C200,IF($AO200="Semanal",'Sprints'!$C$5,IF($AO200="Quincenal",'Sprints'!$C$6,'Sprints'!$C$7)),"")</f>
      </c>
      <c r="AR200" s="201">
        <f>IF($C200,MAX(1,INT(($H200-$AQ200)/$AP200)+1),"")</f>
      </c>
      <c r="AS200" s="201">
        <f>IF($C200,IF($AO200="Semanal",'Sprints'!$E$5,IF($AO200="Quincenal",'Sprints'!$E$6,'Sprints'!$E$7)),"")</f>
      </c>
      <c r="AT200" s="202">
        <f>IF($C200,'Backlog General'!$G200,"")</f>
      </c>
      <c r="AU200" s="202">
        <f>IF($C200,'Backlog General'!$H200,"")</f>
      </c>
      <c r="AV200" s="201">
        <f>IF($C200,IF(OR($AT200="Completo",$AU200="Cancelado",$AU200="Baja prioridad"),$AR200,IF($AU200="Pasa al siguiente",MAX($AR200+1,$AS200),MAX($AR200,$AS200))),"")</f>
      </c>
      <c r="AW200" s="201">
        <f>IF($C200,$AQ200+$AR200*$AP200-1,"")</f>
      </c>
      <c r="AX200" s="201">
        <f>IF($C200,IF(OR($AT200="Completo",$AU200="Cancelado",$AU200="Baja prioridad"),0,MAX(0,TODAY()-$AW200)),"")</f>
      </c>
      <c r="AY200" s="202">
        <f>IF($C200,IF($AT200="Completo","Completo",IF($AU200="Cancelado","Cancelado",IF($AU200="Baja prioridad","Baja prioridad",IF($AX200&gt;0,"Vencida","Pendiente")))),"")</f>
      </c>
      <c r="AZ200" s="202">
        <f>IF($C200,$AO200&amp;" · S"&amp;$AV200,"")</f>
      </c>
      <c r="BA200" s="201">
        <f>IF($C200,IF(AND(ISNUMBER('Backlog General'!$M200),'Backlog General'!$M200=$AS200),"Nuevo S"&amp;'Backlog General'!$M200,""),"")</f>
      </c>
      <c r="BB200" s="201">
        <f>IF(AND($C200,$AO200="Semanal"),$AV200*100000+ROW(),"")</f>
      </c>
      <c r="BC200" s="201">
        <f>IF(AND($C200,$AO200="Quincenal"),$AV200*100000+ROW(),"")</f>
      </c>
      <c r="BD200" s="201">
        <f>IF(AND($C200,$AO200="Mensual"),$AV200*100000+ROW(),"")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1"/>
  <sheetViews>
    <sheetView showGridLines="0" workbookViewId="0">
      <pane ySplit="2" topLeftCell="A3" activePane="bottomLeft" state="frozen"/>
    </sheetView>
  </sheetViews>
  <sheetFormatPr defaultRowHeight="15"/>
  <cols>
    <col min="1" max="1" width="2.5" customWidth="1"/>
    <col min="2" max="2" width="9" customWidth="1"/>
    <col min="3" max="3" width="30" customWidth="1"/>
    <col min="4" max="4" width="46" customWidth="1"/>
    <col min="5" max="5" width="16" customWidth="1"/>
    <col min="6" max="6" width="9" customWidth="1"/>
    <col min="7" max="7" width="32" customWidth="1"/>
    <col min="8" max="8" width="13" customWidth="1"/>
    <col min="10" max="10" width="9" hidden="1"/>
  </cols>
  <sheetData>
    <row r="1" ht="26" customHeight="1">
      <c r="B1" s="169" t="inlineStr">
        <is>
          <t xml:space="preserve">SPRINTS — Semanal · Quincenal · Mensual</t>
        </is>
      </c>
      <c r="C1" s="169"/>
      <c r="D1" s="169"/>
      <c r="E1" s="169"/>
      <c r="F1" s="169"/>
    </row>
    <row r="2" ht="32" customHeight="1">
      <c r="B2" s="170" t="inlineStr">
        <is>
          <t xml:space="preserve">Apertura de sprints por frecuencia. Cada tarea cae en el sprint de su frecuencia según su fecha. Las no completadas pasan SOLAS al sprint siguiente (se indica en 'Backlog General'). Edite las fechas de inicio y la frecuencia por proyecto a la derecha.</t>
        </is>
      </c>
      <c r="C2" s="170"/>
      <c r="D2" s="170"/>
      <c r="E2" s="170"/>
      <c r="F2" s="170"/>
    </row>
    <row r="3">
      <c r="B3" s="172" t="inlineStr">
        <is>
          <t xml:space="preserve">CALENDARIO POR FRECUENCIA (editable)</t>
        </is>
      </c>
      <c r="C3" s="172"/>
      <c r="D3" s="172"/>
      <c r="E3" s="172"/>
      <c r="G3" s="172" t="inlineStr">
        <is>
          <t xml:space="preserve">FRECUENCIA POR PROYECTO (editable)</t>
        </is>
      </c>
      <c r="H3" s="172"/>
    </row>
    <row r="4">
      <c r="B4" s="173" t="inlineStr">
        <is>
          <t xml:space="preserve">Frecuencia</t>
        </is>
      </c>
      <c r="C4" s="173" t="inlineStr">
        <is>
          <t xml:space="preserve">Inicio Sprint 1</t>
        </is>
      </c>
      <c r="D4" s="173" t="inlineStr">
        <is>
          <t xml:space="preserve">Duración (días)</t>
        </is>
      </c>
      <c r="E4" s="173" t="inlineStr">
        <is>
          <t xml:space="preserve">Sprint actual</t>
        </is>
      </c>
      <c r="G4" s="173" t="inlineStr">
        <is>
          <t xml:space="preserve">Proyecto (OKR)</t>
        </is>
      </c>
      <c r="H4" s="173" t="inlineStr">
        <is>
          <t xml:space="preserve">Frecuencia</t>
        </is>
      </c>
    </row>
    <row r="5">
      <c r="B5" s="203" t="inlineStr">
        <is>
          <t xml:space="preserve">Semanal</t>
        </is>
      </c>
      <c r="C5" s="192">
        <f>DATE(2026,6,1)</f>
      </c>
      <c r="D5" s="191">
        <v>7</v>
      </c>
      <c r="E5" s="187">
        <f>MAX(1,INT((TODAY()-$C5)/$D5)+1)</f>
      </c>
      <c r="G5" s="204">
        <f>'Proyecto Datos (OKR´s)'!$G$7</f>
      </c>
      <c r="H5" s="191" t="inlineStr">
        <is>
          <t xml:space="preserve">Mensual</t>
        </is>
      </c>
    </row>
    <row r="6">
      <c r="B6" s="203" t="inlineStr">
        <is>
          <t xml:space="preserve">Quincenal</t>
        </is>
      </c>
      <c r="C6" s="192">
        <f>DATE(2026,6,1)</f>
      </c>
      <c r="D6" s="191">
        <v>14</v>
      </c>
      <c r="E6" s="187">
        <f>MAX(1,INT((TODAY()-$C6)/$D6)+1)</f>
      </c>
      <c r="G6" s="204">
        <f>'Proyecto Datos (OKR´s)'!$G$9</f>
      </c>
      <c r="H6" s="191" t="inlineStr">
        <is>
          <t xml:space="preserve">Quincenal</t>
        </is>
      </c>
    </row>
    <row r="7">
      <c r="B7" s="203" t="inlineStr">
        <is>
          <t xml:space="preserve">Mensual</t>
        </is>
      </c>
      <c r="C7" s="192">
        <f>DATE(2026,6,1)</f>
      </c>
      <c r="D7" s="191">
        <v>30</v>
      </c>
      <c r="E7" s="187">
        <f>MAX(1,INT((TODAY()-$C7)/$D7)+1)</f>
      </c>
      <c r="G7" s="204">
        <f>'Proyecto Datos (OKR´s)'!$G$22</f>
      </c>
      <c r="H7" s="191" t="inlineStr">
        <is>
          <t xml:space="preserve">Semanal</t>
        </is>
      </c>
    </row>
    <row r="8">
      <c r="B8" s="172" t="inlineStr">
        <is>
          <t xml:space="preserve">TABLERO SEMANAL  (ordenado por Sprint)</t>
        </is>
      </c>
      <c r="C8" s="172"/>
      <c r="D8" s="172"/>
      <c r="E8" s="172"/>
      <c r="F8" s="172"/>
      <c r="G8" s="204">
        <f>'Proyecto Datos (OKR´s)'!$G$27</f>
      </c>
      <c r="H8" s="191" t="inlineStr">
        <is>
          <t xml:space="preserve">Semanal</t>
        </is>
      </c>
    </row>
    <row r="9">
      <c r="B9" s="173" t="inlineStr">
        <is>
          <t xml:space="preserve">Sprint</t>
        </is>
      </c>
      <c r="C9" s="173" t="inlineStr">
        <is>
          <t xml:space="preserve">Proyecto</t>
        </is>
      </c>
      <c r="D9" s="173" t="inlineStr">
        <is>
          <t xml:space="preserve">Subtarea</t>
        </is>
      </c>
      <c r="E9" s="173" t="inlineStr">
        <is>
          <t xml:space="preserve">Estado</t>
        </is>
      </c>
      <c r="F9" s="173" t="inlineStr">
        <is>
          <t xml:space="preserve">Mora (d)</t>
        </is>
      </c>
      <c r="G9" s="204">
        <f>'Proyecto Datos (OKR´s)'!$G$36</f>
      </c>
      <c r="H9" s="191" t="inlineStr">
        <is>
          <t xml:space="preserve">Semanal</t>
        </is>
      </c>
    </row>
    <row r="10">
      <c r="B10" s="203">
        <f>IF($J10="","",INDEX('_Datos'!$AV$7:$AV$200,$J10))</f>
      </c>
      <c r="C10" s="204">
        <f>IF($J10="","",INDEX('_Datos'!$D$7:$D$200,$J10))</f>
      </c>
      <c r="D10" s="204">
        <f>IF($J10="","",INDEX('_Datos'!$F$7:$F$200,$J10))</f>
      </c>
      <c r="E10" s="203">
        <f>IF($J10="","",INDEX('_Datos'!$AY$7:$AY$200,$J10))</f>
      </c>
      <c r="F10" s="207">
        <f>IF($J10="","",INDEX('_Datos'!$AX$7:$AX$200,$J10))</f>
      </c>
      <c r="G10" s="204">
        <f>'Proyecto Datos (OKR´s)'!$G$48</f>
      </c>
      <c r="H10" s="191" t="inlineStr">
        <is>
          <t xml:space="preserve">Semanal</t>
        </is>
      </c>
      <c r="J10" s="201">
        <f>IFERROR(MATCH(SMALL('_Datos'!$BB$7:$BB$200,ROW()-10+1),'_Datos'!$BB$7:$BB$200,0),"")</f>
      </c>
    </row>
    <row r="11">
      <c r="B11" s="203">
        <f>IF($J11="","",INDEX('_Datos'!$AV$7:$AV$200,$J11))</f>
      </c>
      <c r="C11" s="204">
        <f>IF($J11="","",INDEX('_Datos'!$D$7:$D$200,$J11))</f>
      </c>
      <c r="D11" s="204">
        <f>IF($J11="","",INDEX('_Datos'!$F$7:$F$200,$J11))</f>
      </c>
      <c r="E11" s="203">
        <f>IF($J11="","",INDEX('_Datos'!$AY$7:$AY$200,$J11))</f>
      </c>
      <c r="F11" s="207">
        <f>IF($J11="","",INDEX('_Datos'!$AX$7:$AX$200,$J11))</f>
      </c>
      <c r="G11" s="204">
        <f>'Proyecto Datos (OKR´s)'!$G$52</f>
      </c>
      <c r="H11" s="191" t="inlineStr">
        <is>
          <t xml:space="preserve">Mensual</t>
        </is>
      </c>
      <c r="J11" s="201">
        <f>IFERROR(MATCH(SMALL('_Datos'!$BB$7:$BB$200,ROW()-10+1),'_Datos'!$BB$7:$BB$200,0),"")</f>
      </c>
    </row>
    <row r="12">
      <c r="B12" s="203">
        <f>IF($J12="","",INDEX('_Datos'!$AV$7:$AV$200,$J12))</f>
      </c>
      <c r="C12" s="204">
        <f>IF($J12="","",INDEX('_Datos'!$D$7:$D$200,$J12))</f>
      </c>
      <c r="D12" s="204">
        <f>IF($J12="","",INDEX('_Datos'!$F$7:$F$200,$J12))</f>
      </c>
      <c r="E12" s="203">
        <f>IF($J12="","",INDEX('_Datos'!$AY$7:$AY$200,$J12))</f>
      </c>
      <c r="F12" s="207">
        <f>IF($J12="","",INDEX('_Datos'!$AX$7:$AX$200,$J12))</f>
      </c>
      <c r="G12" s="204">
        <f>'Proyecto Datos (OKR´s)'!$G$56</f>
      </c>
      <c r="H12" s="191" t="inlineStr">
        <is>
          <t xml:space="preserve">Mensual</t>
        </is>
      </c>
      <c r="J12" s="201">
        <f>IFERROR(MATCH(SMALL('_Datos'!$BB$7:$BB$200,ROW()-10+1),'_Datos'!$BB$7:$BB$200,0),"")</f>
      </c>
    </row>
    <row r="13">
      <c r="B13" s="203">
        <f>IF($J13="","",INDEX('_Datos'!$AV$7:$AV$200,$J13))</f>
      </c>
      <c r="C13" s="204">
        <f>IF($J13="","",INDEX('_Datos'!$D$7:$D$200,$J13))</f>
      </c>
      <c r="D13" s="204">
        <f>IF($J13="","",INDEX('_Datos'!$F$7:$F$200,$J13))</f>
      </c>
      <c r="E13" s="203">
        <f>IF($J13="","",INDEX('_Datos'!$AY$7:$AY$200,$J13))</f>
      </c>
      <c r="F13" s="207">
        <f>IF($J13="","",INDEX('_Datos'!$AX$7:$AX$200,$J13))</f>
      </c>
      <c r="J13" s="201">
        <f>IFERROR(MATCH(SMALL('_Datos'!$BB$7:$BB$200,ROW()-10+1),'_Datos'!$BB$7:$BB$200,0),"")</f>
      </c>
    </row>
    <row r="14">
      <c r="B14" s="203">
        <f>IF($J14="","",INDEX('_Datos'!$AV$7:$AV$200,$J14))</f>
      </c>
      <c r="C14" s="204">
        <f>IF($J14="","",INDEX('_Datos'!$D$7:$D$200,$J14))</f>
      </c>
      <c r="D14" s="204">
        <f>IF($J14="","",INDEX('_Datos'!$F$7:$F$200,$J14))</f>
      </c>
      <c r="E14" s="203">
        <f>IF($J14="","",INDEX('_Datos'!$AY$7:$AY$200,$J14))</f>
      </c>
      <c r="F14" s="207">
        <f>IF($J14="","",INDEX('_Datos'!$AX$7:$AX$200,$J14))</f>
      </c>
      <c r="J14" s="201">
        <f>IFERROR(MATCH(SMALL('_Datos'!$BB$7:$BB$200,ROW()-10+1),'_Datos'!$BB$7:$BB$200,0),"")</f>
      </c>
    </row>
    <row r="15">
      <c r="B15" s="203">
        <f>IF($J15="","",INDEX('_Datos'!$AV$7:$AV$200,$J15))</f>
      </c>
      <c r="C15" s="204">
        <f>IF($J15="","",INDEX('_Datos'!$D$7:$D$200,$J15))</f>
      </c>
      <c r="D15" s="204">
        <f>IF($J15="","",INDEX('_Datos'!$F$7:$F$200,$J15))</f>
      </c>
      <c r="E15" s="203">
        <f>IF($J15="","",INDEX('_Datos'!$AY$7:$AY$200,$J15))</f>
      </c>
      <c r="F15" s="207">
        <f>IF($J15="","",INDEX('_Datos'!$AX$7:$AX$200,$J15))</f>
      </c>
      <c r="J15" s="201">
        <f>IFERROR(MATCH(SMALL('_Datos'!$BB$7:$BB$200,ROW()-10+1),'_Datos'!$BB$7:$BB$200,0),"")</f>
      </c>
    </row>
    <row r="16">
      <c r="B16" s="203">
        <f>IF($J16="","",INDEX('_Datos'!$AV$7:$AV$200,$J16))</f>
      </c>
      <c r="C16" s="204">
        <f>IF($J16="","",INDEX('_Datos'!$D$7:$D$200,$J16))</f>
      </c>
      <c r="D16" s="204">
        <f>IF($J16="","",INDEX('_Datos'!$F$7:$F$200,$J16))</f>
      </c>
      <c r="E16" s="203">
        <f>IF($J16="","",INDEX('_Datos'!$AY$7:$AY$200,$J16))</f>
      </c>
      <c r="F16" s="207">
        <f>IF($J16="","",INDEX('_Datos'!$AX$7:$AX$200,$J16))</f>
      </c>
      <c r="J16" s="201">
        <f>IFERROR(MATCH(SMALL('_Datos'!$BB$7:$BB$200,ROW()-10+1),'_Datos'!$BB$7:$BB$200,0),"")</f>
      </c>
    </row>
    <row r="17">
      <c r="B17" s="203">
        <f>IF($J17="","",INDEX('_Datos'!$AV$7:$AV$200,$J17))</f>
      </c>
      <c r="C17" s="204">
        <f>IF($J17="","",INDEX('_Datos'!$D$7:$D$200,$J17))</f>
      </c>
      <c r="D17" s="204">
        <f>IF($J17="","",INDEX('_Datos'!$F$7:$F$200,$J17))</f>
      </c>
      <c r="E17" s="203">
        <f>IF($J17="","",INDEX('_Datos'!$AY$7:$AY$200,$J17))</f>
      </c>
      <c r="F17" s="207">
        <f>IF($J17="","",INDEX('_Datos'!$AX$7:$AX$200,$J17))</f>
      </c>
      <c r="J17" s="201">
        <f>IFERROR(MATCH(SMALL('_Datos'!$BB$7:$BB$200,ROW()-10+1),'_Datos'!$BB$7:$BB$200,0),"")</f>
      </c>
    </row>
    <row r="18">
      <c r="B18" s="203">
        <f>IF($J18="","",INDEX('_Datos'!$AV$7:$AV$200,$J18))</f>
      </c>
      <c r="C18" s="204">
        <f>IF($J18="","",INDEX('_Datos'!$D$7:$D$200,$J18))</f>
      </c>
      <c r="D18" s="204">
        <f>IF($J18="","",INDEX('_Datos'!$F$7:$F$200,$J18))</f>
      </c>
      <c r="E18" s="203">
        <f>IF($J18="","",INDEX('_Datos'!$AY$7:$AY$200,$J18))</f>
      </c>
      <c r="F18" s="207">
        <f>IF($J18="","",INDEX('_Datos'!$AX$7:$AX$200,$J18))</f>
      </c>
      <c r="J18" s="201">
        <f>IFERROR(MATCH(SMALL('_Datos'!$BB$7:$BB$200,ROW()-10+1),'_Datos'!$BB$7:$BB$200,0),"")</f>
      </c>
    </row>
    <row r="19">
      <c r="B19" s="203">
        <f>IF($J19="","",INDEX('_Datos'!$AV$7:$AV$200,$J19))</f>
      </c>
      <c r="C19" s="204">
        <f>IF($J19="","",INDEX('_Datos'!$D$7:$D$200,$J19))</f>
      </c>
      <c r="D19" s="204">
        <f>IF($J19="","",INDEX('_Datos'!$F$7:$F$200,$J19))</f>
      </c>
      <c r="E19" s="203">
        <f>IF($J19="","",INDEX('_Datos'!$AY$7:$AY$200,$J19))</f>
      </c>
      <c r="F19" s="207">
        <f>IF($J19="","",INDEX('_Datos'!$AX$7:$AX$200,$J19))</f>
      </c>
      <c r="J19" s="201">
        <f>IFERROR(MATCH(SMALL('_Datos'!$BB$7:$BB$200,ROW()-10+1),'_Datos'!$BB$7:$BB$200,0),"")</f>
      </c>
    </row>
    <row r="20">
      <c r="B20" s="203">
        <f>IF($J20="","",INDEX('_Datos'!$AV$7:$AV$200,$J20))</f>
      </c>
      <c r="C20" s="204">
        <f>IF($J20="","",INDEX('_Datos'!$D$7:$D$200,$J20))</f>
      </c>
      <c r="D20" s="204">
        <f>IF($J20="","",INDEX('_Datos'!$F$7:$F$200,$J20))</f>
      </c>
      <c r="E20" s="203">
        <f>IF($J20="","",INDEX('_Datos'!$AY$7:$AY$200,$J20))</f>
      </c>
      <c r="F20" s="207">
        <f>IF($J20="","",INDEX('_Datos'!$AX$7:$AX$200,$J20))</f>
      </c>
      <c r="J20" s="201">
        <f>IFERROR(MATCH(SMALL('_Datos'!$BB$7:$BB$200,ROW()-10+1),'_Datos'!$BB$7:$BB$200,0),"")</f>
      </c>
    </row>
    <row r="21">
      <c r="B21" s="203">
        <f>IF($J21="","",INDEX('_Datos'!$AV$7:$AV$200,$J21))</f>
      </c>
      <c r="C21" s="204">
        <f>IF($J21="","",INDEX('_Datos'!$D$7:$D$200,$J21))</f>
      </c>
      <c r="D21" s="204">
        <f>IF($J21="","",INDEX('_Datos'!$F$7:$F$200,$J21))</f>
      </c>
      <c r="E21" s="203">
        <f>IF($J21="","",INDEX('_Datos'!$AY$7:$AY$200,$J21))</f>
      </c>
      <c r="F21" s="207">
        <f>IF($J21="","",INDEX('_Datos'!$AX$7:$AX$200,$J21))</f>
      </c>
      <c r="J21" s="201">
        <f>IFERROR(MATCH(SMALL('_Datos'!$BB$7:$BB$200,ROW()-10+1),'_Datos'!$BB$7:$BB$200,0),"")</f>
      </c>
    </row>
    <row r="22">
      <c r="B22" s="203">
        <f>IF($J22="","",INDEX('_Datos'!$AV$7:$AV$200,$J22))</f>
      </c>
      <c r="C22" s="204">
        <f>IF($J22="","",INDEX('_Datos'!$D$7:$D$200,$J22))</f>
      </c>
      <c r="D22" s="204">
        <f>IF($J22="","",INDEX('_Datos'!$F$7:$F$200,$J22))</f>
      </c>
      <c r="E22" s="203">
        <f>IF($J22="","",INDEX('_Datos'!$AY$7:$AY$200,$J22))</f>
      </c>
      <c r="F22" s="207">
        <f>IF($J22="","",INDEX('_Datos'!$AX$7:$AX$200,$J22))</f>
      </c>
      <c r="J22" s="201">
        <f>IFERROR(MATCH(SMALL('_Datos'!$BB$7:$BB$200,ROW()-10+1),'_Datos'!$BB$7:$BB$200,0),"")</f>
      </c>
    </row>
    <row r="23">
      <c r="B23" s="203">
        <f>IF($J23="","",INDEX('_Datos'!$AV$7:$AV$200,$J23))</f>
      </c>
      <c r="C23" s="204">
        <f>IF($J23="","",INDEX('_Datos'!$D$7:$D$200,$J23))</f>
      </c>
      <c r="D23" s="204">
        <f>IF($J23="","",INDEX('_Datos'!$F$7:$F$200,$J23))</f>
      </c>
      <c r="E23" s="203">
        <f>IF($J23="","",INDEX('_Datos'!$AY$7:$AY$200,$J23))</f>
      </c>
      <c r="F23" s="207">
        <f>IF($J23="","",INDEX('_Datos'!$AX$7:$AX$200,$J23))</f>
      </c>
      <c r="J23" s="201">
        <f>IFERROR(MATCH(SMALL('_Datos'!$BB$7:$BB$200,ROW()-10+1),'_Datos'!$BB$7:$BB$200,0),"")</f>
      </c>
    </row>
    <row r="24">
      <c r="B24" s="203">
        <f>IF($J24="","",INDEX('_Datos'!$AV$7:$AV$200,$J24))</f>
      </c>
      <c r="C24" s="204">
        <f>IF($J24="","",INDEX('_Datos'!$D$7:$D$200,$J24))</f>
      </c>
      <c r="D24" s="204">
        <f>IF($J24="","",INDEX('_Datos'!$F$7:$F$200,$J24))</f>
      </c>
      <c r="E24" s="203">
        <f>IF($J24="","",INDEX('_Datos'!$AY$7:$AY$200,$J24))</f>
      </c>
      <c r="F24" s="207">
        <f>IF($J24="","",INDEX('_Datos'!$AX$7:$AX$200,$J24))</f>
      </c>
      <c r="J24" s="201">
        <f>IFERROR(MATCH(SMALL('_Datos'!$BB$7:$BB$200,ROW()-10+1),'_Datos'!$BB$7:$BB$200,0),"")</f>
      </c>
    </row>
    <row r="25">
      <c r="B25" s="203">
        <f>IF($J25="","",INDEX('_Datos'!$AV$7:$AV$200,$J25))</f>
      </c>
      <c r="C25" s="204">
        <f>IF($J25="","",INDEX('_Datos'!$D$7:$D$200,$J25))</f>
      </c>
      <c r="D25" s="204">
        <f>IF($J25="","",INDEX('_Datos'!$F$7:$F$200,$J25))</f>
      </c>
      <c r="E25" s="203">
        <f>IF($J25="","",INDEX('_Datos'!$AY$7:$AY$200,$J25))</f>
      </c>
      <c r="F25" s="207">
        <f>IF($J25="","",INDEX('_Datos'!$AX$7:$AX$200,$J25))</f>
      </c>
      <c r="J25" s="201">
        <f>IFERROR(MATCH(SMALL('_Datos'!$BB$7:$BB$200,ROW()-10+1),'_Datos'!$BB$7:$BB$200,0),"")</f>
      </c>
    </row>
    <row r="26">
      <c r="B26" s="203">
        <f>IF($J26="","",INDEX('_Datos'!$AV$7:$AV$200,$J26))</f>
      </c>
      <c r="C26" s="204">
        <f>IF($J26="","",INDEX('_Datos'!$D$7:$D$200,$J26))</f>
      </c>
      <c r="D26" s="204">
        <f>IF($J26="","",INDEX('_Datos'!$F$7:$F$200,$J26))</f>
      </c>
      <c r="E26" s="203">
        <f>IF($J26="","",INDEX('_Datos'!$AY$7:$AY$200,$J26))</f>
      </c>
      <c r="F26" s="207">
        <f>IF($J26="","",INDEX('_Datos'!$AX$7:$AX$200,$J26))</f>
      </c>
      <c r="J26" s="201">
        <f>IFERROR(MATCH(SMALL('_Datos'!$BB$7:$BB$200,ROW()-10+1),'_Datos'!$BB$7:$BB$200,0),"")</f>
      </c>
    </row>
    <row r="27">
      <c r="B27" s="203">
        <f>IF($J27="","",INDEX('_Datos'!$AV$7:$AV$200,$J27))</f>
      </c>
      <c r="C27" s="204">
        <f>IF($J27="","",INDEX('_Datos'!$D$7:$D$200,$J27))</f>
      </c>
      <c r="D27" s="204">
        <f>IF($J27="","",INDEX('_Datos'!$F$7:$F$200,$J27))</f>
      </c>
      <c r="E27" s="203">
        <f>IF($J27="","",INDEX('_Datos'!$AY$7:$AY$200,$J27))</f>
      </c>
      <c r="F27" s="207">
        <f>IF($J27="","",INDEX('_Datos'!$AX$7:$AX$200,$J27))</f>
      </c>
      <c r="J27" s="201">
        <f>IFERROR(MATCH(SMALL('_Datos'!$BB$7:$BB$200,ROW()-10+1),'_Datos'!$BB$7:$BB$200,0),"")</f>
      </c>
    </row>
    <row r="28">
      <c r="B28" s="203">
        <f>IF($J28="","",INDEX('_Datos'!$AV$7:$AV$200,$J28))</f>
      </c>
      <c r="C28" s="204">
        <f>IF($J28="","",INDEX('_Datos'!$D$7:$D$200,$J28))</f>
      </c>
      <c r="D28" s="204">
        <f>IF($J28="","",INDEX('_Datos'!$F$7:$F$200,$J28))</f>
      </c>
      <c r="E28" s="203">
        <f>IF($J28="","",INDEX('_Datos'!$AY$7:$AY$200,$J28))</f>
      </c>
      <c r="F28" s="207">
        <f>IF($J28="","",INDEX('_Datos'!$AX$7:$AX$200,$J28))</f>
      </c>
      <c r="J28" s="201">
        <f>IFERROR(MATCH(SMALL('_Datos'!$BB$7:$BB$200,ROW()-10+1),'_Datos'!$BB$7:$BB$200,0),"")</f>
      </c>
    </row>
    <row r="29">
      <c r="B29" s="203">
        <f>IF($J29="","",INDEX('_Datos'!$AV$7:$AV$200,$J29))</f>
      </c>
      <c r="C29" s="204">
        <f>IF($J29="","",INDEX('_Datos'!$D$7:$D$200,$J29))</f>
      </c>
      <c r="D29" s="204">
        <f>IF($J29="","",INDEX('_Datos'!$F$7:$F$200,$J29))</f>
      </c>
      <c r="E29" s="203">
        <f>IF($J29="","",INDEX('_Datos'!$AY$7:$AY$200,$J29))</f>
      </c>
      <c r="F29" s="207">
        <f>IF($J29="","",INDEX('_Datos'!$AX$7:$AX$200,$J29))</f>
      </c>
      <c r="J29" s="201">
        <f>IFERROR(MATCH(SMALL('_Datos'!$BB$7:$BB$200,ROW()-10+1),'_Datos'!$BB$7:$BB$200,0),"")</f>
      </c>
    </row>
    <row r="30">
      <c r="B30" s="203">
        <f>IF($J30="","",INDEX('_Datos'!$AV$7:$AV$200,$J30))</f>
      </c>
      <c r="C30" s="204">
        <f>IF($J30="","",INDEX('_Datos'!$D$7:$D$200,$J30))</f>
      </c>
      <c r="D30" s="204">
        <f>IF($J30="","",INDEX('_Datos'!$F$7:$F$200,$J30))</f>
      </c>
      <c r="E30" s="203">
        <f>IF($J30="","",INDEX('_Datos'!$AY$7:$AY$200,$J30))</f>
      </c>
      <c r="F30" s="207">
        <f>IF($J30="","",INDEX('_Datos'!$AX$7:$AX$200,$J30))</f>
      </c>
      <c r="J30" s="201">
        <f>IFERROR(MATCH(SMALL('_Datos'!$BB$7:$BB$200,ROW()-10+1),'_Datos'!$BB$7:$BB$200,0),"")</f>
      </c>
    </row>
    <row r="31">
      <c r="B31" s="203">
        <f>IF($J31="","",INDEX('_Datos'!$AV$7:$AV$200,$J31))</f>
      </c>
      <c r="C31" s="204">
        <f>IF($J31="","",INDEX('_Datos'!$D$7:$D$200,$J31))</f>
      </c>
      <c r="D31" s="204">
        <f>IF($J31="","",INDEX('_Datos'!$F$7:$F$200,$J31))</f>
      </c>
      <c r="E31" s="203">
        <f>IF($J31="","",INDEX('_Datos'!$AY$7:$AY$200,$J31))</f>
      </c>
      <c r="F31" s="207">
        <f>IF($J31="","",INDEX('_Datos'!$AX$7:$AX$200,$J31))</f>
      </c>
      <c r="J31" s="201">
        <f>IFERROR(MATCH(SMALL('_Datos'!$BB$7:$BB$200,ROW()-10+1),'_Datos'!$BB$7:$BB$200,0),"")</f>
      </c>
    </row>
    <row r="32">
      <c r="B32" s="203">
        <f>IF($J32="","",INDEX('_Datos'!$AV$7:$AV$200,$J32))</f>
      </c>
      <c r="C32" s="204">
        <f>IF($J32="","",INDEX('_Datos'!$D$7:$D$200,$J32))</f>
      </c>
      <c r="D32" s="204">
        <f>IF($J32="","",INDEX('_Datos'!$F$7:$F$200,$J32))</f>
      </c>
      <c r="E32" s="203">
        <f>IF($J32="","",INDEX('_Datos'!$AY$7:$AY$200,$J32))</f>
      </c>
      <c r="F32" s="207">
        <f>IF($J32="","",INDEX('_Datos'!$AX$7:$AX$200,$J32))</f>
      </c>
      <c r="J32" s="201">
        <f>IFERROR(MATCH(SMALL('_Datos'!$BB$7:$BB$200,ROW()-10+1),'_Datos'!$BB$7:$BB$200,0),"")</f>
      </c>
    </row>
    <row r="33">
      <c r="B33" s="203">
        <f>IF($J33="","",INDEX('_Datos'!$AV$7:$AV$200,$J33))</f>
      </c>
      <c r="C33" s="204">
        <f>IF($J33="","",INDEX('_Datos'!$D$7:$D$200,$J33))</f>
      </c>
      <c r="D33" s="204">
        <f>IF($J33="","",INDEX('_Datos'!$F$7:$F$200,$J33))</f>
      </c>
      <c r="E33" s="203">
        <f>IF($J33="","",INDEX('_Datos'!$AY$7:$AY$200,$J33))</f>
      </c>
      <c r="F33" s="207">
        <f>IF($J33="","",INDEX('_Datos'!$AX$7:$AX$200,$J33))</f>
      </c>
      <c r="J33" s="201">
        <f>IFERROR(MATCH(SMALL('_Datos'!$BB$7:$BB$200,ROW()-10+1),'_Datos'!$BB$7:$BB$200,0),"")</f>
      </c>
    </row>
    <row r="34">
      <c r="B34" s="203">
        <f>IF($J34="","",INDEX('_Datos'!$AV$7:$AV$200,$J34))</f>
      </c>
      <c r="C34" s="204">
        <f>IF($J34="","",INDEX('_Datos'!$D$7:$D$200,$J34))</f>
      </c>
      <c r="D34" s="204">
        <f>IF($J34="","",INDEX('_Datos'!$F$7:$F$200,$J34))</f>
      </c>
      <c r="E34" s="203">
        <f>IF($J34="","",INDEX('_Datos'!$AY$7:$AY$200,$J34))</f>
      </c>
      <c r="F34" s="207">
        <f>IF($J34="","",INDEX('_Datos'!$AX$7:$AX$200,$J34))</f>
      </c>
      <c r="J34" s="201">
        <f>IFERROR(MATCH(SMALL('_Datos'!$BB$7:$BB$200,ROW()-10+1),'_Datos'!$BB$7:$BB$200,0),"")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3">
        <f>IF($J38="","",INDEX('_Datos'!$AV$7:$AV$200,$J38))</f>
      </c>
      <c r="C38" s="204">
        <f>IF($J38="","",INDEX('_Datos'!$D$7:$D$200,$J38))</f>
      </c>
      <c r="D38" s="204">
        <f>IF($J38="","",INDEX('_Datos'!$F$7:$F$200,$J38))</f>
      </c>
      <c r="E38" s="203">
        <f>IF($J38="","",INDEX('_Datos'!$AY$7:$AY$200,$J38))</f>
      </c>
      <c r="F38" s="207">
        <f>IF($J38="","",INDEX('_Datos'!$AX$7:$AX$200,$J38))</f>
      </c>
      <c r="J38" s="201">
        <f>IFERROR(MATCH(SMALL('_Datos'!$BC$7:$BC$200,ROW()-38+1),'_Datos'!$BC$7:$BC$200,0),"")</f>
      </c>
    </row>
    <row r="39">
      <c r="B39" s="203">
        <f>IF($J39="","",INDEX('_Datos'!$AV$7:$AV$200,$J39))</f>
      </c>
      <c r="C39" s="204">
        <f>IF($J39="","",INDEX('_Datos'!$D$7:$D$200,$J39))</f>
      </c>
      <c r="D39" s="204">
        <f>IF($J39="","",INDEX('_Datos'!$F$7:$F$200,$J39))</f>
      </c>
      <c r="E39" s="203">
        <f>IF($J39="","",INDEX('_Datos'!$AY$7:$AY$200,$J39))</f>
      </c>
      <c r="F39" s="207">
        <f>IF($J39="","",INDEX('_Datos'!$AX$7:$AX$200,$J39))</f>
      </c>
      <c r="J39" s="201">
        <f>IFERROR(MATCH(SMALL('_Datos'!$BC$7:$BC$200,ROW()-38+1),'_Datos'!$BC$7:$BC$200,0),"")</f>
      </c>
    </row>
    <row r="40">
      <c r="B40" s="203">
        <f>IF($J40="","",INDEX('_Datos'!$AV$7:$AV$200,$J40))</f>
      </c>
      <c r="C40" s="204">
        <f>IF($J40="","",INDEX('_Datos'!$D$7:$D$200,$J40))</f>
      </c>
      <c r="D40" s="204">
        <f>IF($J40="","",INDEX('_Datos'!$F$7:$F$200,$J40))</f>
      </c>
      <c r="E40" s="203">
        <f>IF($J40="","",INDEX('_Datos'!$AY$7:$AY$200,$J40))</f>
      </c>
      <c r="F40" s="207">
        <f>IF($J40="","",INDEX('_Datos'!$AX$7:$AX$200,$J40))</f>
      </c>
      <c r="J40" s="201">
        <f>IFERROR(MATCH(SMALL('_Datos'!$BC$7:$BC$200,ROW()-38+1),'_Datos'!$BC$7:$BC$200,0),"")</f>
      </c>
    </row>
    <row r="41">
      <c r="B41" s="203">
        <f>IF($J41="","",INDEX('_Datos'!$AV$7:$AV$200,$J41))</f>
      </c>
      <c r="C41" s="204">
        <f>IF($J41="","",INDEX('_Datos'!$D$7:$D$200,$J41))</f>
      </c>
      <c r="D41" s="204">
        <f>IF($J41="","",INDEX('_Datos'!$F$7:$F$200,$J41))</f>
      </c>
      <c r="E41" s="203">
        <f>IF($J41="","",INDEX('_Datos'!$AY$7:$AY$200,$J41))</f>
      </c>
      <c r="F41" s="207">
        <f>IF($J41="","",INDEX('_Datos'!$AX$7:$AX$200,$J41))</f>
      </c>
      <c r="J41" s="201">
        <f>IFERROR(MATCH(SMALL('_Datos'!$BC$7:$BC$200,ROW()-38+1),'_Datos'!$BC$7:$BC$200,0),"")</f>
      </c>
    </row>
    <row r="42">
      <c r="B42" s="203">
        <f>IF($J42="","",INDEX('_Datos'!$AV$7:$AV$200,$J42))</f>
      </c>
      <c r="C42" s="204">
        <f>IF($J42="","",INDEX('_Datos'!$D$7:$D$200,$J42))</f>
      </c>
      <c r="D42" s="204">
        <f>IF($J42="","",INDEX('_Datos'!$F$7:$F$200,$J42))</f>
      </c>
      <c r="E42" s="203">
        <f>IF($J42="","",INDEX('_Datos'!$AY$7:$AY$200,$J42))</f>
      </c>
      <c r="F42" s="207">
        <f>IF($J42="","",INDEX('_Datos'!$AX$7:$AX$200,$J42))</f>
      </c>
      <c r="J42" s="201">
        <f>IFERROR(MATCH(SMALL('_Datos'!$BC$7:$BC$200,ROW()-38+1),'_Datos'!$BC$7:$BC$200,0),"")</f>
      </c>
    </row>
    <row r="43">
      <c r="B43" s="203">
        <f>IF($J43="","",INDEX('_Datos'!$AV$7:$AV$200,$J43))</f>
      </c>
      <c r="C43" s="204">
        <f>IF($J43="","",INDEX('_Datos'!$D$7:$D$200,$J43))</f>
      </c>
      <c r="D43" s="204">
        <f>IF($J43="","",INDEX('_Datos'!$F$7:$F$200,$J43))</f>
      </c>
      <c r="E43" s="203">
        <f>IF($J43="","",INDEX('_Datos'!$AY$7:$AY$200,$J43))</f>
      </c>
      <c r="F43" s="207">
        <f>IF($J43="","",INDEX('_Datos'!$AX$7:$AX$200,$J43))</f>
      </c>
      <c r="J43" s="201">
        <f>IFERROR(MATCH(SMALL('_Datos'!$BC$7:$BC$200,ROW()-38+1),'_Datos'!$BC$7:$BC$200,0),"")</f>
      </c>
    </row>
    <row r="44">
      <c r="B44" s="203">
        <f>IF($J44="","",INDEX('_Datos'!$AV$7:$AV$200,$J44))</f>
      </c>
      <c r="C44" s="204">
        <f>IF($J44="","",INDEX('_Datos'!$D$7:$D$200,$J44))</f>
      </c>
      <c r="D44" s="204">
        <f>IF($J44="","",INDEX('_Datos'!$F$7:$F$200,$J44))</f>
      </c>
      <c r="E44" s="203">
        <f>IF($J44="","",INDEX('_Datos'!$AY$7:$AY$200,$J44))</f>
      </c>
      <c r="F44" s="207">
        <f>IF($J44="","",INDEX('_Datos'!$AX$7:$AX$200,$J44))</f>
      </c>
      <c r="J44" s="201">
        <f>IFERROR(MATCH(SMALL('_Datos'!$BC$7:$BC$200,ROW()-38+1),'_Datos'!$BC$7:$BC$200,0),"")</f>
      </c>
    </row>
    <row r="45">
      <c r="B45" s="203">
        <f>IF($J45="","",INDEX('_Datos'!$AV$7:$AV$200,$J45))</f>
      </c>
      <c r="C45" s="204">
        <f>IF($J45="","",INDEX('_Datos'!$D$7:$D$200,$J45))</f>
      </c>
      <c r="D45" s="204">
        <f>IF($J45="","",INDEX('_Datos'!$F$7:$F$200,$J45))</f>
      </c>
      <c r="E45" s="203">
        <f>IF($J45="","",INDEX('_Datos'!$AY$7:$AY$200,$J45))</f>
      </c>
      <c r="F45" s="207">
        <f>IF($J45="","",INDEX('_Datos'!$AX$7:$AX$200,$J45))</f>
      </c>
      <c r="J45" s="201">
        <f>IFERROR(MATCH(SMALL('_Datos'!$BC$7:$BC$200,ROW()-38+1),'_Datos'!$BC$7:$BC$200,0),"")</f>
      </c>
    </row>
    <row r="46">
      <c r="B46" s="203">
        <f>IF($J46="","",INDEX('_Datos'!$AV$7:$AV$200,$J46))</f>
      </c>
      <c r="C46" s="204">
        <f>IF($J46="","",INDEX('_Datos'!$D$7:$D$200,$J46))</f>
      </c>
      <c r="D46" s="204">
        <f>IF($J46="","",INDEX('_Datos'!$F$7:$F$200,$J46))</f>
      </c>
      <c r="E46" s="203">
        <f>IF($J46="","",INDEX('_Datos'!$AY$7:$AY$200,$J46))</f>
      </c>
      <c r="F46" s="207">
        <f>IF($J46="","",INDEX('_Datos'!$AX$7:$AX$200,$J46))</f>
      </c>
      <c r="J46" s="201">
        <f>IFERROR(MATCH(SMALL('_Datos'!$BC$7:$BC$200,ROW()-38+1),'_Datos'!$BC$7:$BC$200,0),"")</f>
      </c>
    </row>
    <row r="47">
      <c r="B47" s="203">
        <f>IF($J47="","",INDEX('_Datos'!$AV$7:$AV$200,$J47))</f>
      </c>
      <c r="C47" s="204">
        <f>IF($J47="","",INDEX('_Datos'!$D$7:$D$200,$J47))</f>
      </c>
      <c r="D47" s="204">
        <f>IF($J47="","",INDEX('_Datos'!$F$7:$F$200,$J47))</f>
      </c>
      <c r="E47" s="203">
        <f>IF($J47="","",INDEX('_Datos'!$AY$7:$AY$200,$J47))</f>
      </c>
      <c r="F47" s="207">
        <f>IF($J47="","",INDEX('_Datos'!$AX$7:$AX$200,$J47))</f>
      </c>
      <c r="J47" s="201">
        <f>IFERROR(MATCH(SMALL('_Datos'!$BC$7:$BC$200,ROW()-38+1),'_Datos'!$BC$7:$BC$200,0),"")</f>
      </c>
    </row>
    <row r="48">
      <c r="B48" s="203">
        <f>IF($J48="","",INDEX('_Datos'!$AV$7:$AV$200,$J48))</f>
      </c>
      <c r="C48" s="204">
        <f>IF($J48="","",INDEX('_Datos'!$D$7:$D$200,$J48))</f>
      </c>
      <c r="D48" s="204">
        <f>IF($J48="","",INDEX('_Datos'!$F$7:$F$200,$J48))</f>
      </c>
      <c r="E48" s="203">
        <f>IF($J48="","",INDEX('_Datos'!$AY$7:$AY$200,$J48))</f>
      </c>
      <c r="F48" s="207">
        <f>IF($J48="","",INDEX('_Datos'!$AX$7:$AX$200,$J48))</f>
      </c>
      <c r="J48" s="201">
        <f>IFERROR(MATCH(SMALL('_Datos'!$BC$7:$BC$200,ROW()-38+1),'_Datos'!$BC$7:$BC$200,0),"")</f>
      </c>
    </row>
    <row r="49">
      <c r="B49" s="203">
        <f>IF($J49="","",INDEX('_Datos'!$AV$7:$AV$200,$J49))</f>
      </c>
      <c r="C49" s="204">
        <f>IF($J49="","",INDEX('_Datos'!$D$7:$D$200,$J49))</f>
      </c>
      <c r="D49" s="204">
        <f>IF($J49="","",INDEX('_Datos'!$F$7:$F$200,$J49))</f>
      </c>
      <c r="E49" s="203">
        <f>IF($J49="","",INDEX('_Datos'!$AY$7:$AY$200,$J49))</f>
      </c>
      <c r="F49" s="207">
        <f>IF($J49="","",INDEX('_Datos'!$AX$7:$AX$200,$J49))</f>
      </c>
      <c r="J49" s="201">
        <f>IFERROR(MATCH(SMALL('_Datos'!$BC$7:$BC$200,ROW()-38+1),'_Datos'!$BC$7:$BC$200,0),"")</f>
      </c>
    </row>
    <row r="50">
      <c r="B50" s="203">
        <f>IF($J50="","",INDEX('_Datos'!$AV$7:$AV$200,$J50))</f>
      </c>
      <c r="C50" s="204">
        <f>IF($J50="","",INDEX('_Datos'!$D$7:$D$200,$J50))</f>
      </c>
      <c r="D50" s="204">
        <f>IF($J50="","",INDEX('_Datos'!$F$7:$F$200,$J50))</f>
      </c>
      <c r="E50" s="203">
        <f>IF($J50="","",INDEX('_Datos'!$AY$7:$AY$200,$J50))</f>
      </c>
      <c r="F50" s="207">
        <f>IF($J50="","",INDEX('_Datos'!$AX$7:$AX$200,$J50))</f>
      </c>
      <c r="J50" s="201">
        <f>IFERROR(MATCH(SMALL('_Datos'!$BC$7:$BC$200,ROW()-38+1),'_Datos'!$BC$7:$BC$200,0),"")</f>
      </c>
    </row>
    <row r="51">
      <c r="B51" s="203">
        <f>IF($J51="","",INDEX('_Datos'!$AV$7:$AV$200,$J51))</f>
      </c>
      <c r="C51" s="204">
        <f>IF($J51="","",INDEX('_Datos'!$D$7:$D$200,$J51))</f>
      </c>
      <c r="D51" s="204">
        <f>IF($J51="","",INDEX('_Datos'!$F$7:$F$200,$J51))</f>
      </c>
      <c r="E51" s="203">
        <f>IF($J51="","",INDEX('_Datos'!$AY$7:$AY$200,$J51))</f>
      </c>
      <c r="F51" s="207">
        <f>IF($J51="","",INDEX('_Datos'!$AX$7:$AX$200,$J51))</f>
      </c>
      <c r="J51" s="201">
        <f>IFERROR(MATCH(SMALL('_Datos'!$BC$7:$BC$200,ROW()-38+1),'_Datos'!$BC$7:$BC$200,0),"")</f>
      </c>
    </row>
    <row r="52">
      <c r="B52" s="203">
        <f>IF($J52="","",INDEX('_Datos'!$AV$7:$AV$200,$J52))</f>
      </c>
      <c r="C52" s="204">
        <f>IF($J52="","",INDEX('_Datos'!$D$7:$D$200,$J52))</f>
      </c>
      <c r="D52" s="204">
        <f>IF($J52="","",INDEX('_Datos'!$F$7:$F$200,$J52))</f>
      </c>
      <c r="E52" s="203">
        <f>IF($J52="","",INDEX('_Datos'!$AY$7:$AY$200,$J52))</f>
      </c>
      <c r="F52" s="207">
        <f>IF($J52="","",INDEX('_Datos'!$AX$7:$AX$200,$J52))</f>
      </c>
      <c r="J52" s="201">
        <f>IFERROR(MATCH(SMALL('_Datos'!$BC$7:$BC$200,ROW()-38+1),'_Datos'!$BC$7:$BC$200,0),"")</f>
      </c>
    </row>
    <row r="53">
      <c r="B53" s="203">
        <f>IF($J53="","",INDEX('_Datos'!$AV$7:$AV$200,$J53))</f>
      </c>
      <c r="C53" s="204">
        <f>IF($J53="","",INDEX('_Datos'!$D$7:$D$200,$J53))</f>
      </c>
      <c r="D53" s="204">
        <f>IF($J53="","",INDEX('_Datos'!$F$7:$F$200,$J53))</f>
      </c>
      <c r="E53" s="203">
        <f>IF($J53="","",INDEX('_Datos'!$AY$7:$AY$200,$J53))</f>
      </c>
      <c r="F53" s="207">
        <f>IF($J53="","",INDEX('_Datos'!$AX$7:$AX$200,$J53))</f>
      </c>
      <c r="J53" s="201">
        <f>IFERROR(MATCH(SMALL('_Datos'!$BC$7:$BC$200,ROW()-38+1),'_Datos'!$BC$7:$BC$200,0),"")</f>
      </c>
    </row>
    <row r="54">
      <c r="B54" s="203">
        <f>IF($J54="","",INDEX('_Datos'!$AV$7:$AV$200,$J54))</f>
      </c>
      <c r="C54" s="204">
        <f>IF($J54="","",INDEX('_Datos'!$D$7:$D$200,$J54))</f>
      </c>
      <c r="D54" s="204">
        <f>IF($J54="","",INDEX('_Datos'!$F$7:$F$200,$J54))</f>
      </c>
      <c r="E54" s="203">
        <f>IF($J54="","",INDEX('_Datos'!$AY$7:$AY$200,$J54))</f>
      </c>
      <c r="F54" s="207">
        <f>IF($J54="","",INDEX('_Datos'!$AX$7:$AX$200,$J54))</f>
      </c>
      <c r="J54" s="201">
        <f>IFERROR(MATCH(SMALL('_Datos'!$BC$7:$BC$200,ROW()-38+1),'_Datos'!$BC$7:$BC$200,0),"")</f>
      </c>
    </row>
    <row r="55">
      <c r="B55" s="203">
        <f>IF($J55="","",INDEX('_Datos'!$AV$7:$AV$200,$J55))</f>
      </c>
      <c r="C55" s="204">
        <f>IF($J55="","",INDEX('_Datos'!$D$7:$D$200,$J55))</f>
      </c>
      <c r="D55" s="204">
        <f>IF($J55="","",INDEX('_Datos'!$F$7:$F$200,$J55))</f>
      </c>
      <c r="E55" s="203">
        <f>IF($J55="","",INDEX('_Datos'!$AY$7:$AY$200,$J55))</f>
      </c>
      <c r="F55" s="207">
        <f>IF($J55="","",INDEX('_Datos'!$AX$7:$AX$200,$J55))</f>
      </c>
      <c r="J55" s="201">
        <f>IFERROR(MATCH(SMALL('_Datos'!$BC$7:$BC$200,ROW()-38+1),'_Datos'!$BC$7:$BC$200,0),"")</f>
      </c>
    </row>
    <row r="56">
      <c r="B56" s="203">
        <f>IF($J56="","",INDEX('_Datos'!$AV$7:$AV$200,$J56))</f>
      </c>
      <c r="C56" s="204">
        <f>IF($J56="","",INDEX('_Datos'!$D$7:$D$200,$J56))</f>
      </c>
      <c r="D56" s="204">
        <f>IF($J56="","",INDEX('_Datos'!$F$7:$F$200,$J56))</f>
      </c>
      <c r="E56" s="203">
        <f>IF($J56="","",INDEX('_Datos'!$AY$7:$AY$200,$J56))</f>
      </c>
      <c r="F56" s="207">
        <f>IF($J56="","",INDEX('_Datos'!$AX$7:$AX$200,$J56))</f>
      </c>
      <c r="J56" s="201">
        <f>IFERROR(MATCH(SMALL('_Datos'!$BC$7:$BC$200,ROW()-38+1),'_Datos'!$BC$7:$BC$200,0),"")</f>
      </c>
    </row>
    <row r="57">
      <c r="B57" s="203">
        <f>IF($J57="","",INDEX('_Datos'!$AV$7:$AV$200,$J57))</f>
      </c>
      <c r="C57" s="204">
        <f>IF($J57="","",INDEX('_Datos'!$D$7:$D$200,$J57))</f>
      </c>
      <c r="D57" s="204">
        <f>IF($J57="","",INDEX('_Datos'!$F$7:$F$200,$J57))</f>
      </c>
      <c r="E57" s="203">
        <f>IF($J57="","",INDEX('_Datos'!$AY$7:$AY$200,$J57))</f>
      </c>
      <c r="F57" s="207">
        <f>IF($J57="","",INDEX('_Datos'!$AX$7:$AX$200,$J57))</f>
      </c>
      <c r="J57" s="201">
        <f>IFERROR(MATCH(SMALL('_Datos'!$BC$7:$BC$200,ROW()-38+1),'_Datos'!$BC$7:$BC$200,0),"")</f>
      </c>
    </row>
    <row r="58">
      <c r="B58" s="203">
        <f>IF($J58="","",INDEX('_Datos'!$AV$7:$AV$200,$J58))</f>
      </c>
      <c r="C58" s="204">
        <f>IF($J58="","",INDEX('_Datos'!$D$7:$D$200,$J58))</f>
      </c>
      <c r="D58" s="204">
        <f>IF($J58="","",INDEX('_Datos'!$F$7:$F$200,$J58))</f>
      </c>
      <c r="E58" s="203">
        <f>IF($J58="","",INDEX('_Datos'!$AY$7:$AY$200,$J58))</f>
      </c>
      <c r="F58" s="207">
        <f>IF($J58="","",INDEX('_Datos'!$AX$7:$AX$200,$J58))</f>
      </c>
      <c r="J58" s="201">
        <f>IFERROR(MATCH(SMALL('_Datos'!$BC$7:$BC$200,ROW()-38+1),'_Datos'!$BC$7:$BC$200,0),"")</f>
      </c>
    </row>
    <row r="59">
      <c r="B59" s="203">
        <f>IF($J59="","",INDEX('_Datos'!$AV$7:$AV$200,$J59))</f>
      </c>
      <c r="C59" s="204">
        <f>IF($J59="","",INDEX('_Datos'!$D$7:$D$200,$J59))</f>
      </c>
      <c r="D59" s="204">
        <f>IF($J59="","",INDEX('_Datos'!$F$7:$F$200,$J59))</f>
      </c>
      <c r="E59" s="203">
        <f>IF($J59="","",INDEX('_Datos'!$AY$7:$AY$200,$J59))</f>
      </c>
      <c r="F59" s="207">
        <f>IF($J59="","",INDEX('_Datos'!$AX$7:$AX$200,$J59))</f>
      </c>
      <c r="J59" s="201">
        <f>IFERROR(MATCH(SMALL('_Datos'!$BC$7:$BC$200,ROW()-38+1),'_Datos'!$BC$7:$BC$200,0),"")</f>
      </c>
    </row>
    <row r="60">
      <c r="B60" s="203">
        <f>IF($J60="","",INDEX('_Datos'!$AV$7:$AV$200,$J60))</f>
      </c>
      <c r="C60" s="204">
        <f>IF($J60="","",INDEX('_Datos'!$D$7:$D$200,$J60))</f>
      </c>
      <c r="D60" s="204">
        <f>IF($J60="","",INDEX('_Datos'!$F$7:$F$200,$J60))</f>
      </c>
      <c r="E60" s="203">
        <f>IF($J60="","",INDEX('_Datos'!$AY$7:$AY$200,$J60))</f>
      </c>
      <c r="F60" s="207">
        <f>IF($J60="","",INDEX('_Datos'!$AX$7:$AX$200,$J60))</f>
      </c>
      <c r="J60" s="201">
        <f>IFERROR(MATCH(SMALL('_Datos'!$BC$7:$BC$200,ROW()-38+1),'_Datos'!$BC$7:$BC$200,0),"")</f>
      </c>
    </row>
    <row r="61">
      <c r="B61" s="203">
        <f>IF($J61="","",INDEX('_Datos'!$AV$7:$AV$200,$J61))</f>
      </c>
      <c r="C61" s="204">
        <f>IF($J61="","",INDEX('_Datos'!$D$7:$D$200,$J61))</f>
      </c>
      <c r="D61" s="204">
        <f>IF($J61="","",INDEX('_Datos'!$F$7:$F$200,$J61))</f>
      </c>
      <c r="E61" s="203">
        <f>IF($J61="","",INDEX('_Datos'!$AY$7:$AY$200,$J61))</f>
      </c>
      <c r="F61" s="207">
        <f>IF($J61="","",INDEX('_Datos'!$AX$7:$AX$200,$J61))</f>
      </c>
      <c r="J61" s="201">
        <f>IFERROR(MATCH(SMALL('_Datos'!$BC$7:$BC$200,ROW()-38+1),'_Datos'!$BC$7:$BC$200,0),"")</f>
      </c>
    </row>
    <row r="62">
      <c r="B62" s="203">
        <f>IF($J62="","",INDEX('_Datos'!$AV$7:$AV$200,$J62))</f>
      </c>
      <c r="C62" s="204">
        <f>IF($J62="","",INDEX('_Datos'!$D$7:$D$200,$J62))</f>
      </c>
      <c r="D62" s="204">
        <f>IF($J62="","",INDEX('_Datos'!$F$7:$F$200,$J62))</f>
      </c>
      <c r="E62" s="203">
        <f>IF($J62="","",INDEX('_Datos'!$AY$7:$AY$200,$J62))</f>
      </c>
      <c r="F62" s="207">
        <f>IF($J62="","",INDEX('_Datos'!$AX$7:$AX$200,$J62))</f>
      </c>
      <c r="J62" s="201">
        <f>IFERROR(MATCH(SMALL('_Datos'!$BC$7:$BC$200,ROW()-38+1),'_Datos'!$BC$7:$BC$200,0),"")</f>
      </c>
    </row>
    <row r="64">
      <c r="B64" s="172" t="inlineStr">
        <is>
          <t xml:space="preserve">TABLERO MENSUAL  (ordenado por Sprint)</t>
        </is>
      </c>
      <c r="C64" s="172"/>
      <c r="D64" s="172"/>
      <c r="E64" s="172"/>
      <c r="F64" s="172"/>
    </row>
    <row r="65">
      <c r="B65" s="173" t="inlineStr">
        <is>
          <t xml:space="preserve">Sprint</t>
        </is>
      </c>
      <c r="C65" s="173" t="inlineStr">
        <is>
          <t xml:space="preserve">Proyecto</t>
        </is>
      </c>
      <c r="D65" s="173" t="inlineStr">
        <is>
          <t xml:space="preserve">Subtarea</t>
        </is>
      </c>
      <c r="E65" s="173" t="inlineStr">
        <is>
          <t xml:space="preserve">Estado</t>
        </is>
      </c>
      <c r="F65" s="173" t="inlineStr">
        <is>
          <t xml:space="preserve">Mora (d)</t>
        </is>
      </c>
    </row>
    <row r="66">
      <c r="B66" s="203">
        <f>IF($J66="","",INDEX('_Datos'!$AV$7:$AV$200,$J66))</f>
      </c>
      <c r="C66" s="204">
        <f>IF($J66="","",INDEX('_Datos'!$D$7:$D$200,$J66))</f>
      </c>
      <c r="D66" s="204">
        <f>IF($J66="","",INDEX('_Datos'!$F$7:$F$200,$J66))</f>
      </c>
      <c r="E66" s="203">
        <f>IF($J66="","",INDEX('_Datos'!$AY$7:$AY$200,$J66))</f>
      </c>
      <c r="F66" s="207">
        <f>IF($J66="","",INDEX('_Datos'!$AX$7:$AX$200,$J66))</f>
      </c>
      <c r="J66" s="201">
        <f>IFERROR(MATCH(SMALL('_Datos'!$BD$7:$BD$200,ROW()-66+1),'_Datos'!$BD$7:$BD$200,0),"")</f>
      </c>
    </row>
    <row r="67">
      <c r="B67" s="203">
        <f>IF($J67="","",INDEX('_Datos'!$AV$7:$AV$200,$J67))</f>
      </c>
      <c r="C67" s="204">
        <f>IF($J67="","",INDEX('_Datos'!$D$7:$D$200,$J67))</f>
      </c>
      <c r="D67" s="204">
        <f>IF($J67="","",INDEX('_Datos'!$F$7:$F$200,$J67))</f>
      </c>
      <c r="E67" s="203">
        <f>IF($J67="","",INDEX('_Datos'!$AY$7:$AY$200,$J67))</f>
      </c>
      <c r="F67" s="207">
        <f>IF($J67="","",INDEX('_Datos'!$AX$7:$AX$200,$J67))</f>
      </c>
      <c r="J67" s="201">
        <f>IFERROR(MATCH(SMALL('_Datos'!$BD$7:$BD$200,ROW()-66+1),'_Datos'!$BD$7:$BD$200,0),"")</f>
      </c>
    </row>
    <row r="68">
      <c r="B68" s="203">
        <f>IF($J68="","",INDEX('_Datos'!$AV$7:$AV$200,$J68))</f>
      </c>
      <c r="C68" s="204">
        <f>IF($J68="","",INDEX('_Datos'!$D$7:$D$200,$J68))</f>
      </c>
      <c r="D68" s="204">
        <f>IF($J68="","",INDEX('_Datos'!$F$7:$F$200,$J68))</f>
      </c>
      <c r="E68" s="203">
        <f>IF($J68="","",INDEX('_Datos'!$AY$7:$AY$200,$J68))</f>
      </c>
      <c r="F68" s="207">
        <f>IF($J68="","",INDEX('_Datos'!$AX$7:$AX$200,$J68))</f>
      </c>
      <c r="J68" s="201">
        <f>IFERROR(MATCH(SMALL('_Datos'!$BD$7:$BD$200,ROW()-66+1),'_Datos'!$BD$7:$BD$200,0),"")</f>
      </c>
    </row>
    <row r="69">
      <c r="B69" s="203">
        <f>IF($J69="","",INDEX('_Datos'!$AV$7:$AV$200,$J69))</f>
      </c>
      <c r="C69" s="204">
        <f>IF($J69="","",INDEX('_Datos'!$D$7:$D$200,$J69))</f>
      </c>
      <c r="D69" s="204">
        <f>IF($J69="","",INDEX('_Datos'!$F$7:$F$200,$J69))</f>
      </c>
      <c r="E69" s="203">
        <f>IF($J69="","",INDEX('_Datos'!$AY$7:$AY$200,$J69))</f>
      </c>
      <c r="F69" s="207">
        <f>IF($J69="","",INDEX('_Datos'!$AX$7:$AX$200,$J69))</f>
      </c>
      <c r="J69" s="201">
        <f>IFERROR(MATCH(SMALL('_Datos'!$BD$7:$BD$200,ROW()-66+1),'_Datos'!$BD$7:$BD$200,0),"")</f>
      </c>
    </row>
    <row r="70">
      <c r="B70" s="203">
        <f>IF($J70="","",INDEX('_Datos'!$AV$7:$AV$200,$J70))</f>
      </c>
      <c r="C70" s="204">
        <f>IF($J70="","",INDEX('_Datos'!$D$7:$D$200,$J70))</f>
      </c>
      <c r="D70" s="204">
        <f>IF($J70="","",INDEX('_Datos'!$F$7:$F$200,$J70))</f>
      </c>
      <c r="E70" s="203">
        <f>IF($J70="","",INDEX('_Datos'!$AY$7:$AY$200,$J70))</f>
      </c>
      <c r="F70" s="207">
        <f>IF($J70="","",INDEX('_Datos'!$AX$7:$AX$200,$J70))</f>
      </c>
      <c r="J70" s="201">
        <f>IFERROR(MATCH(SMALL('_Datos'!$BD$7:$BD$200,ROW()-66+1),'_Datos'!$BD$7:$BD$200,0),"")</f>
      </c>
    </row>
    <row r="71">
      <c r="B71" s="203">
        <f>IF($J71="","",INDEX('_Datos'!$AV$7:$AV$200,$J71))</f>
      </c>
      <c r="C71" s="204">
        <f>IF($J71="","",INDEX('_Datos'!$D$7:$D$200,$J71))</f>
      </c>
      <c r="D71" s="204">
        <f>IF($J71="","",INDEX('_Datos'!$F$7:$F$200,$J71))</f>
      </c>
      <c r="E71" s="203">
        <f>IF($J71="","",INDEX('_Datos'!$AY$7:$AY$200,$J71))</f>
      </c>
      <c r="F71" s="207">
        <f>IF($J71="","",INDEX('_Datos'!$AX$7:$AX$200,$J71))</f>
      </c>
      <c r="J71" s="201">
        <f>IFERROR(MATCH(SMALL('_Datos'!$BD$7:$BD$200,ROW()-66+1),'_Datos'!$BD$7:$BD$200,0),"")</f>
      </c>
    </row>
    <row r="72">
      <c r="B72" s="203">
        <f>IF($J72="","",INDEX('_Datos'!$AV$7:$AV$200,$J72))</f>
      </c>
      <c r="C72" s="204">
        <f>IF($J72="","",INDEX('_Datos'!$D$7:$D$200,$J72))</f>
      </c>
      <c r="D72" s="204">
        <f>IF($J72="","",INDEX('_Datos'!$F$7:$F$200,$J72))</f>
      </c>
      <c r="E72" s="203">
        <f>IF($J72="","",INDEX('_Datos'!$AY$7:$AY$200,$J72))</f>
      </c>
      <c r="F72" s="207">
        <f>IF($J72="","",INDEX('_Datos'!$AX$7:$AX$200,$J72))</f>
      </c>
      <c r="J72" s="201">
        <f>IFERROR(MATCH(SMALL('_Datos'!$BD$7:$BD$200,ROW()-66+1),'_Datos'!$BD$7:$BD$200,0),"")</f>
      </c>
    </row>
    <row r="73">
      <c r="B73" s="203">
        <f>IF($J73="","",INDEX('_Datos'!$AV$7:$AV$200,$J73))</f>
      </c>
      <c r="C73" s="204">
        <f>IF($J73="","",INDEX('_Datos'!$D$7:$D$200,$J73))</f>
      </c>
      <c r="D73" s="204">
        <f>IF($J73="","",INDEX('_Datos'!$F$7:$F$200,$J73))</f>
      </c>
      <c r="E73" s="203">
        <f>IF($J73="","",INDEX('_Datos'!$AY$7:$AY$200,$J73))</f>
      </c>
      <c r="F73" s="207">
        <f>IF($J73="","",INDEX('_Datos'!$AX$7:$AX$200,$J73))</f>
      </c>
      <c r="J73" s="201">
        <f>IFERROR(MATCH(SMALL('_Datos'!$BD$7:$BD$200,ROW()-66+1),'_Datos'!$BD$7:$BD$200,0),"")</f>
      </c>
    </row>
    <row r="74">
      <c r="B74" s="203">
        <f>IF($J74="","",INDEX('_Datos'!$AV$7:$AV$200,$J74))</f>
      </c>
      <c r="C74" s="204">
        <f>IF($J74="","",INDEX('_Datos'!$D$7:$D$200,$J74))</f>
      </c>
      <c r="D74" s="204">
        <f>IF($J74="","",INDEX('_Datos'!$F$7:$F$200,$J74))</f>
      </c>
      <c r="E74" s="203">
        <f>IF($J74="","",INDEX('_Datos'!$AY$7:$AY$200,$J74))</f>
      </c>
      <c r="F74" s="207">
        <f>IF($J74="","",INDEX('_Datos'!$AX$7:$AX$200,$J74))</f>
      </c>
      <c r="J74" s="201">
        <f>IFERROR(MATCH(SMALL('_Datos'!$BD$7:$BD$200,ROW()-66+1),'_Datos'!$BD$7:$BD$200,0),"")</f>
      </c>
    </row>
    <row r="75">
      <c r="B75" s="203">
        <f>IF($J75="","",INDEX('_Datos'!$AV$7:$AV$200,$J75))</f>
      </c>
      <c r="C75" s="204">
        <f>IF($J75="","",INDEX('_Datos'!$D$7:$D$200,$J75))</f>
      </c>
      <c r="D75" s="204">
        <f>IF($J75="","",INDEX('_Datos'!$F$7:$F$200,$J75))</f>
      </c>
      <c r="E75" s="203">
        <f>IF($J75="","",INDEX('_Datos'!$AY$7:$AY$200,$J75))</f>
      </c>
      <c r="F75" s="207">
        <f>IF($J75="","",INDEX('_Datos'!$AX$7:$AX$200,$J75))</f>
      </c>
      <c r="J75" s="201">
        <f>IFERROR(MATCH(SMALL('_Datos'!$BD$7:$BD$200,ROW()-66+1),'_Datos'!$BD$7:$BD$200,0),"")</f>
      </c>
    </row>
    <row r="76">
      <c r="B76" s="203">
        <f>IF($J76="","",INDEX('_Datos'!$AV$7:$AV$200,$J76))</f>
      </c>
      <c r="C76" s="204">
        <f>IF($J76="","",INDEX('_Datos'!$D$7:$D$200,$J76))</f>
      </c>
      <c r="D76" s="204">
        <f>IF($J76="","",INDEX('_Datos'!$F$7:$F$200,$J76))</f>
      </c>
      <c r="E76" s="203">
        <f>IF($J76="","",INDEX('_Datos'!$AY$7:$AY$200,$J76))</f>
      </c>
      <c r="F76" s="207">
        <f>IF($J76="","",INDEX('_Datos'!$AX$7:$AX$200,$J76))</f>
      </c>
      <c r="J76" s="201">
        <f>IFERROR(MATCH(SMALL('_Datos'!$BD$7:$BD$200,ROW()-66+1),'_Datos'!$BD$7:$BD$200,0),"")</f>
      </c>
    </row>
    <row r="77">
      <c r="B77" s="203">
        <f>IF($J77="","",INDEX('_Datos'!$AV$7:$AV$200,$J77))</f>
      </c>
      <c r="C77" s="204">
        <f>IF($J77="","",INDEX('_Datos'!$D$7:$D$200,$J77))</f>
      </c>
      <c r="D77" s="204">
        <f>IF($J77="","",INDEX('_Datos'!$F$7:$F$200,$J77))</f>
      </c>
      <c r="E77" s="203">
        <f>IF($J77="","",INDEX('_Datos'!$AY$7:$AY$200,$J77))</f>
      </c>
      <c r="F77" s="207">
        <f>IF($J77="","",INDEX('_Datos'!$AX$7:$AX$200,$J77))</f>
      </c>
      <c r="J77" s="201">
        <f>IFERROR(MATCH(SMALL('_Datos'!$BD$7:$BD$200,ROW()-66+1),'_Datos'!$BD$7:$BD$200,0),"")</f>
      </c>
    </row>
    <row r="78">
      <c r="B78" s="203">
        <f>IF($J78="","",INDEX('_Datos'!$AV$7:$AV$200,$J78))</f>
      </c>
      <c r="C78" s="204">
        <f>IF($J78="","",INDEX('_Datos'!$D$7:$D$200,$J78))</f>
      </c>
      <c r="D78" s="204">
        <f>IF($J78="","",INDEX('_Datos'!$F$7:$F$200,$J78))</f>
      </c>
      <c r="E78" s="203">
        <f>IF($J78="","",INDEX('_Datos'!$AY$7:$AY$200,$J78))</f>
      </c>
      <c r="F78" s="207">
        <f>IF($J78="","",INDEX('_Datos'!$AX$7:$AX$200,$J78))</f>
      </c>
      <c r="J78" s="201">
        <f>IFERROR(MATCH(SMALL('_Datos'!$BD$7:$BD$200,ROW()-66+1),'_Datos'!$BD$7:$BD$200,0),"")</f>
      </c>
    </row>
    <row r="79">
      <c r="B79" s="203">
        <f>IF($J79="","",INDEX('_Datos'!$AV$7:$AV$200,$J79))</f>
      </c>
      <c r="C79" s="204">
        <f>IF($J79="","",INDEX('_Datos'!$D$7:$D$200,$J79))</f>
      </c>
      <c r="D79" s="204">
        <f>IF($J79="","",INDEX('_Datos'!$F$7:$F$200,$J79))</f>
      </c>
      <c r="E79" s="203">
        <f>IF($J79="","",INDEX('_Datos'!$AY$7:$AY$200,$J79))</f>
      </c>
      <c r="F79" s="207">
        <f>IF($J79="","",INDEX('_Datos'!$AX$7:$AX$200,$J79))</f>
      </c>
      <c r="J79" s="201">
        <f>IFERROR(MATCH(SMALL('_Datos'!$BD$7:$BD$200,ROW()-66+1),'_Datos'!$BD$7:$BD$200,0),"")</f>
      </c>
    </row>
    <row r="80">
      <c r="B80" s="203">
        <f>IF($J80="","",INDEX('_Datos'!$AV$7:$AV$200,$J80))</f>
      </c>
      <c r="C80" s="204">
        <f>IF($J80="","",INDEX('_Datos'!$D$7:$D$200,$J80))</f>
      </c>
      <c r="D80" s="204">
        <f>IF($J80="","",INDEX('_Datos'!$F$7:$F$200,$J80))</f>
      </c>
      <c r="E80" s="203">
        <f>IF($J80="","",INDEX('_Datos'!$AY$7:$AY$200,$J80))</f>
      </c>
      <c r="F80" s="207">
        <f>IF($J80="","",INDEX('_Datos'!$AX$7:$AX$200,$J80))</f>
      </c>
      <c r="J80" s="201">
        <f>IFERROR(MATCH(SMALL('_Datos'!$BD$7:$BD$200,ROW()-66+1),'_Datos'!$BD$7:$BD$200,0),"")</f>
      </c>
    </row>
    <row r="81">
      <c r="B81" s="203">
        <f>IF($J81="","",INDEX('_Datos'!$AV$7:$AV$200,$J81))</f>
      </c>
      <c r="C81" s="204">
        <f>IF($J81="","",INDEX('_Datos'!$D$7:$D$200,$J81))</f>
      </c>
      <c r="D81" s="204">
        <f>IF($J81="","",INDEX('_Datos'!$F$7:$F$200,$J81))</f>
      </c>
      <c r="E81" s="203">
        <f>IF($J81="","",INDEX('_Datos'!$AY$7:$AY$200,$J81))</f>
      </c>
      <c r="F81" s="207">
        <f>IF($J81="","",INDEX('_Datos'!$AX$7:$AX$200,$J81))</f>
      </c>
      <c r="J81" s="201">
        <f>IFERROR(MATCH(SMALL('_Datos'!$BD$7:$BD$200,ROW()-66+1),'_Datos'!$BD$7:$BD$200,0),"")</f>
      </c>
    </row>
    <row r="82">
      <c r="B82" s="203">
        <f>IF($J82="","",INDEX('_Datos'!$AV$7:$AV$200,$J82))</f>
      </c>
      <c r="C82" s="204">
        <f>IF($J82="","",INDEX('_Datos'!$D$7:$D$200,$J82))</f>
      </c>
      <c r="D82" s="204">
        <f>IF($J82="","",INDEX('_Datos'!$F$7:$F$200,$J82))</f>
      </c>
      <c r="E82" s="203">
        <f>IF($J82="","",INDEX('_Datos'!$AY$7:$AY$200,$J82))</f>
      </c>
      <c r="F82" s="207">
        <f>IF($J82="","",INDEX('_Datos'!$AX$7:$AX$200,$J82))</f>
      </c>
      <c r="J82" s="201">
        <f>IFERROR(MATCH(SMALL('_Datos'!$BD$7:$BD$200,ROW()-66+1),'_Datos'!$BD$7:$BD$200,0),"")</f>
      </c>
    </row>
    <row r="83">
      <c r="B83" s="203">
        <f>IF($J83="","",INDEX('_Datos'!$AV$7:$AV$200,$J83))</f>
      </c>
      <c r="C83" s="204">
        <f>IF($J83="","",INDEX('_Datos'!$D$7:$D$200,$J83))</f>
      </c>
      <c r="D83" s="204">
        <f>IF($J83="","",INDEX('_Datos'!$F$7:$F$200,$J83))</f>
      </c>
      <c r="E83" s="203">
        <f>IF($J83="","",INDEX('_Datos'!$AY$7:$AY$200,$J83))</f>
      </c>
      <c r="F83" s="207">
        <f>IF($J83="","",INDEX('_Datos'!$AX$7:$AX$200,$J83))</f>
      </c>
      <c r="J83" s="201">
        <f>IFERROR(MATCH(SMALL('_Datos'!$BD$7:$BD$200,ROW()-66+1),'_Datos'!$BD$7:$BD$200,0),"")</f>
      </c>
    </row>
    <row r="84">
      <c r="B84" s="203">
        <f>IF($J84="","",INDEX('_Datos'!$AV$7:$AV$200,$J84))</f>
      </c>
      <c r="C84" s="204">
        <f>IF($J84="","",INDEX('_Datos'!$D$7:$D$200,$J84))</f>
      </c>
      <c r="D84" s="204">
        <f>IF($J84="","",INDEX('_Datos'!$F$7:$F$200,$J84))</f>
      </c>
      <c r="E84" s="203">
        <f>IF($J84="","",INDEX('_Datos'!$AY$7:$AY$200,$J84))</f>
      </c>
      <c r="F84" s="207">
        <f>IF($J84="","",INDEX('_Datos'!$AX$7:$AX$200,$J84))</f>
      </c>
      <c r="J84" s="201">
        <f>IFERROR(MATCH(SMALL('_Datos'!$BD$7:$BD$200,ROW()-66+1),'_Datos'!$BD$7:$BD$200,0),"")</f>
      </c>
    </row>
    <row r="85">
      <c r="B85" s="203">
        <f>IF($J85="","",INDEX('_Datos'!$AV$7:$AV$200,$J85))</f>
      </c>
      <c r="C85" s="204">
        <f>IF($J85="","",INDEX('_Datos'!$D$7:$D$200,$J85))</f>
      </c>
      <c r="D85" s="204">
        <f>IF($J85="","",INDEX('_Datos'!$F$7:$F$200,$J85))</f>
      </c>
      <c r="E85" s="203">
        <f>IF($J85="","",INDEX('_Datos'!$AY$7:$AY$200,$J85))</f>
      </c>
      <c r="F85" s="207">
        <f>IF($J85="","",INDEX('_Datos'!$AX$7:$AX$200,$J85))</f>
      </c>
      <c r="J85" s="201">
        <f>IFERROR(MATCH(SMALL('_Datos'!$BD$7:$BD$200,ROW()-66+1),'_Datos'!$BD$7:$BD$200,0),"")</f>
      </c>
    </row>
    <row r="86">
      <c r="B86" s="203">
        <f>IF($J86="","",INDEX('_Datos'!$AV$7:$AV$200,$J86))</f>
      </c>
      <c r="C86" s="204">
        <f>IF($J86="","",INDEX('_Datos'!$D$7:$D$200,$J86))</f>
      </c>
      <c r="D86" s="204">
        <f>IF($J86="","",INDEX('_Datos'!$F$7:$F$200,$J86))</f>
      </c>
      <c r="E86" s="203">
        <f>IF($J86="","",INDEX('_Datos'!$AY$7:$AY$200,$J86))</f>
      </c>
      <c r="F86" s="207">
        <f>IF($J86="","",INDEX('_Datos'!$AX$7:$AX$200,$J86))</f>
      </c>
      <c r="J86" s="201">
        <f>IFERROR(MATCH(SMALL('_Datos'!$BD$7:$BD$200,ROW()-66+1),'_Datos'!$BD$7:$BD$200,0),"")</f>
      </c>
    </row>
    <row r="87">
      <c r="B87" s="203">
        <f>IF($J87="","",INDEX('_Datos'!$AV$7:$AV$200,$J87))</f>
      </c>
      <c r="C87" s="204">
        <f>IF($J87="","",INDEX('_Datos'!$D$7:$D$200,$J87))</f>
      </c>
      <c r="D87" s="204">
        <f>IF($J87="","",INDEX('_Datos'!$F$7:$F$200,$J87))</f>
      </c>
      <c r="E87" s="203">
        <f>IF($J87="","",INDEX('_Datos'!$AY$7:$AY$200,$J87))</f>
      </c>
      <c r="F87" s="207">
        <f>IF($J87="","",INDEX('_Datos'!$AX$7:$AX$200,$J87))</f>
      </c>
      <c r="J87" s="201">
        <f>IFERROR(MATCH(SMALL('_Datos'!$BD$7:$BD$200,ROW()-66+1),'_Datos'!$BD$7:$BD$200,0),"")</f>
      </c>
    </row>
    <row r="88">
      <c r="B88" s="203">
        <f>IF($J88="","",INDEX('_Datos'!$AV$7:$AV$200,$J88))</f>
      </c>
      <c r="C88" s="204">
        <f>IF($J88="","",INDEX('_Datos'!$D$7:$D$200,$J88))</f>
      </c>
      <c r="D88" s="204">
        <f>IF($J88="","",INDEX('_Datos'!$F$7:$F$200,$J88))</f>
      </c>
      <c r="E88" s="203">
        <f>IF($J88="","",INDEX('_Datos'!$AY$7:$AY$200,$J88))</f>
      </c>
      <c r="F88" s="207">
        <f>IF($J88="","",INDEX('_Datos'!$AX$7:$AX$200,$J88))</f>
      </c>
      <c r="J88" s="201">
        <f>IFERROR(MATCH(SMALL('_Datos'!$BD$7:$BD$200,ROW()-66+1),'_Datos'!$BD$7:$BD$200,0),"")</f>
      </c>
    </row>
    <row r="89">
      <c r="B89" s="203">
        <f>IF($J89="","",INDEX('_Datos'!$AV$7:$AV$200,$J89))</f>
      </c>
      <c r="C89" s="204">
        <f>IF($J89="","",INDEX('_Datos'!$D$7:$D$200,$J89))</f>
      </c>
      <c r="D89" s="204">
        <f>IF($J89="","",INDEX('_Datos'!$F$7:$F$200,$J89))</f>
      </c>
      <c r="E89" s="203">
        <f>IF($J89="","",INDEX('_Datos'!$AY$7:$AY$200,$J89))</f>
      </c>
      <c r="F89" s="207">
        <f>IF($J89="","",INDEX('_Datos'!$AX$7:$AX$200,$J89))</f>
      </c>
      <c r="J89" s="201">
        <f>IFERROR(MATCH(SMALL('_Datos'!$BD$7:$BD$200,ROW()-66+1),'_Datos'!$BD$7:$BD$200,0),"")</f>
      </c>
    </row>
    <row r="90">
      <c r="B90" s="203">
        <f>IF($J90="","",INDEX('_Datos'!$AV$7:$AV$200,$J90))</f>
      </c>
      <c r="C90" s="204">
        <f>IF($J90="","",INDEX('_Datos'!$D$7:$D$200,$J90))</f>
      </c>
      <c r="D90" s="204">
        <f>IF($J90="","",INDEX('_Datos'!$F$7:$F$200,$J90))</f>
      </c>
      <c r="E90" s="203">
        <f>IF($J90="","",INDEX('_Datos'!$AY$7:$AY$200,$J90))</f>
      </c>
      <c r="F90" s="207">
        <f>IF($J90="","",INDEX('_Datos'!$AX$7:$AX$200,$J90))</f>
      </c>
      <c r="J90" s="201">
        <f>IFERROR(MATCH(SMALL('_Datos'!$BD$7:$BD$200,ROW()-66+1),'_Datos'!$BD$7:$BD$200,0),"")</f>
      </c>
    </row>
  </sheetData>
  <mergeCells count="7">
    <mergeCell ref="B1:F1"/>
    <mergeCell ref="B2:F2"/>
    <mergeCell ref="B3:E3"/>
    <mergeCell ref="G3:H3"/>
    <mergeCell ref="B8:F8"/>
    <mergeCell ref="B36:F36"/>
    <mergeCell ref="B64:F64"/>
  </mergeCells>
  <conditionalFormatting sqref="E10:E34">
    <cfRule type="expression" dxfId="26" priority="10">
      <formula>$E10="Completo"</formula>
    </cfRule>
    <cfRule type="expression" dxfId="23" priority="11">
      <formula>$E10="Vencida"</formula>
    </cfRule>
    <cfRule type="expression" dxfId="24" priority="12">
      <formula>$E10="Baja prioridad"</formula>
    </cfRule>
    <cfRule type="expression" dxfId="22" priority="13">
      <formula>$E10="Cancelado"</formula>
    </cfRule>
  </conditionalFormatting>
  <conditionalFormatting sqref="B10:F34">
    <cfRule type="expression" dxfId="21" priority="14">
      <formula>$B10&lt;&gt;""</formula>
    </cfRule>
  </conditionalFormatting>
  <conditionalFormatting sqref="E38:E62">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62">
    <cfRule type="expression" dxfId="21" priority="19">
      <formula>$B38&lt;&gt;""</formula>
    </cfRule>
  </conditionalFormatting>
  <conditionalFormatting sqref="E66:E90">
    <cfRule type="expression" dxfId="26" priority="20">
      <formula>$E66="Completo"</formula>
    </cfRule>
    <cfRule type="expression" dxfId="23" priority="21">
      <formula>$E66="Vencida"</formula>
    </cfRule>
    <cfRule type="expression" dxfId="24" priority="22">
      <formula>$E66="Baja prioridad"</formula>
    </cfRule>
    <cfRule type="expression" dxfId="22" priority="23">
      <formula>$E66="Cancelado"</formula>
    </cfRule>
  </conditionalFormatting>
  <conditionalFormatting sqref="B66:F90">
    <cfRule type="expression" dxfId="21" priority="24">
      <formula>$B66&lt;&gt;""</formula>
    </cfRule>
  </conditionalFormatting>
  <dataValidations count="1">
    <dataValidation type="list" allowBlank="1" showInputMessage="1" showErrorMessage="1" sqref="H5:H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planif.</t>
        </is>
      </c>
      <c r="G6" s="173" t="inlineStr">
        <is>
          <t xml:space="preserve">Estado</t>
        </is>
      </c>
      <c r="H6" s="173" t="inlineStr">
        <is>
          <t xml:space="preserve">Acción si no se realizó</t>
        </is>
      </c>
      <c r="I6" s="173" t="inlineStr">
        <is>
          <t xml:space="preserve">Sprint vigente</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3">
        <f>IF('_Datos'!$C7,'_Datos'!$O7,"")</f>
      </c>
      <c r="C7" s="204">
        <f>IF('_Datos'!$C7,'_Datos'!$F7,IF('_Datos'!$B7,'Proyecto Datos (OKR´s)'!$G7,""))</f>
      </c>
      <c r="D7" s="203">
        <f>IF('_Datos'!$C7,'_Datos'!$AO7,"")</f>
      </c>
      <c r="E7" s="205">
        <f>IF('_Datos'!$C7,'_Datos'!$H7,"")</f>
      </c>
      <c r="F7" s="203">
        <f>IF('_Datos'!$C7,'_Datos'!$AR7,"")</f>
      </c>
      <c r="G7" s="203"/>
      <c r="H7" s="204"/>
      <c r="I7" s="203">
        <f>IF('_Datos'!$C7,'_Datos'!$AV7,"")</f>
      </c>
      <c r="J7" s="207">
        <f>IF('_Datos'!$C7,'_Datos'!$AX7,"")</f>
      </c>
      <c r="K7" s="204">
        <f>IF('_Datos'!$C7,IF('Proyecto Datos (OKR´s)'!$C7="","",'Proyecto Datos (OKR´s)'!$C7),"")</f>
      </c>
      <c r="L7" s="204"/>
      <c r="M7" s="191"/>
      <c r="N7" s="203">
        <f>IF('_Datos'!$C7,'_Datos'!$BA7,"")</f>
      </c>
    </row>
    <row r="8">
      <c r="B8" s="203">
        <f>IF('_Datos'!$C8,'_Datos'!$O8,"")</f>
      </c>
      <c r="C8" s="204">
        <f>IF('_Datos'!$C8,'_Datos'!$F8,IF('_Datos'!$B8,'Proyecto Datos (OKR´s)'!$G8,""))</f>
      </c>
      <c r="D8" s="203">
        <f>IF('_Datos'!$C8,'_Datos'!$AO8,"")</f>
      </c>
      <c r="E8" s="205">
        <f>IF('_Datos'!$C8,'_Datos'!$H8,"")</f>
      </c>
      <c r="F8" s="203">
        <f>IF('_Datos'!$C8,'_Datos'!$AR8,"")</f>
      </c>
      <c r="G8" s="203"/>
      <c r="H8" s="204"/>
      <c r="I8" s="203">
        <f>IF('_Datos'!$C8,'_Datos'!$AV8,"")</f>
      </c>
      <c r="J8" s="207">
        <f>IF('_Datos'!$C8,'_Datos'!$AX8,"")</f>
      </c>
      <c r="K8" s="204">
        <f>IF('_Datos'!$C8,IF('Proyecto Datos (OKR´s)'!$C8="","",'Proyecto Datos (OKR´s)'!$C8),"")</f>
      </c>
      <c r="L8" s="204"/>
      <c r="M8" s="191"/>
      <c r="N8" s="203">
        <f>IF('_Datos'!$C8,'_Datos'!$BA8,"")</f>
      </c>
    </row>
    <row r="9">
      <c r="B9" s="203">
        <f>IF('_Datos'!$C9,'_Datos'!$O9,"")</f>
      </c>
      <c r="C9" s="204">
        <f>IF('_Datos'!$C9,'_Datos'!$F9,IF('_Datos'!$B9,'Proyecto Datos (OKR´s)'!$G9,""))</f>
      </c>
      <c r="D9" s="203">
        <f>IF('_Datos'!$C9,'_Datos'!$AO9,"")</f>
      </c>
      <c r="E9" s="205">
        <f>IF('_Datos'!$C9,'_Datos'!$H9,"")</f>
      </c>
      <c r="F9" s="203">
        <f>IF('_Datos'!$C9,'_Datos'!$AR9,"")</f>
      </c>
      <c r="G9" s="203"/>
      <c r="H9" s="204"/>
      <c r="I9" s="203">
        <f>IF('_Datos'!$C9,'_Datos'!$AV9,"")</f>
      </c>
      <c r="J9" s="207">
        <f>IF('_Datos'!$C9,'_Datos'!$AX9,"")</f>
      </c>
      <c r="K9" s="204">
        <f>IF('_Datos'!$C9,IF('Proyecto Datos (OKR´s)'!$C9="","",'Proyecto Datos (OKR´s)'!$C9),"")</f>
      </c>
      <c r="L9" s="204"/>
      <c r="M9" s="191"/>
      <c r="N9" s="203">
        <f>IF('_Datos'!$C9,'_Datos'!$BA9,"")</f>
      </c>
    </row>
    <row r="10">
      <c r="B10" s="203">
        <f>IF('_Datos'!$C10,'_Datos'!$O10,"")</f>
      </c>
      <c r="C10" s="204">
        <f>IF('_Datos'!$C10,'_Datos'!$F10,IF('_Datos'!$B10,'Proyecto Datos (OKR´s)'!$G10,""))</f>
      </c>
      <c r="D10" s="203">
        <f>IF('_Datos'!$C10,'_Datos'!$AO10,"")</f>
      </c>
      <c r="E10" s="205">
        <f>IF('_Datos'!$C10,'_Datos'!$H10,"")</f>
      </c>
      <c r="F10" s="203">
        <f>IF('_Datos'!$C10,'_Datos'!$AR10,"")</f>
      </c>
      <c r="G10" s="203"/>
      <c r="H10" s="204"/>
      <c r="I10" s="203">
        <f>IF('_Datos'!$C10,'_Datos'!$AV10,"")</f>
      </c>
      <c r="J10" s="207">
        <f>IF('_Datos'!$C10,'_Datos'!$AX10,"")</f>
      </c>
      <c r="K10" s="204">
        <f>IF('_Datos'!$C10,IF('Proyecto Datos (OKR´s)'!$C10="","",'Proyecto Datos (OKR´s)'!$C10),"")</f>
      </c>
      <c r="L10" s="204"/>
      <c r="M10" s="191"/>
      <c r="N10" s="203">
        <f>IF('_Datos'!$C10,'_Datos'!$BA10,"")</f>
      </c>
    </row>
    <row r="11">
      <c r="B11" s="203">
        <f>IF('_Datos'!$C11,'_Datos'!$O11,"")</f>
      </c>
      <c r="C11" s="204">
        <f>IF('_Datos'!$C11,'_Datos'!$F11,IF('_Datos'!$B11,'Proyecto Datos (OKR´s)'!$G11,""))</f>
      </c>
      <c r="D11" s="203">
        <f>IF('_Datos'!$C11,'_Datos'!$AO11,"")</f>
      </c>
      <c r="E11" s="205">
        <f>IF('_Datos'!$C11,'_Datos'!$H11,"")</f>
      </c>
      <c r="F11" s="203">
        <f>IF('_Datos'!$C11,'_Datos'!$AR11,"")</f>
      </c>
      <c r="G11" s="203"/>
      <c r="H11" s="204"/>
      <c r="I11" s="203">
        <f>IF('_Datos'!$C11,'_Datos'!$AV11,"")</f>
      </c>
      <c r="J11" s="207">
        <f>IF('_Datos'!$C11,'_Datos'!$AX11,"")</f>
      </c>
      <c r="K11" s="204">
        <f>IF('_Datos'!$C11,IF('Proyecto Datos (OKR´s)'!$C11="","",'Proyecto Datos (OKR´s)'!$C11),"")</f>
      </c>
      <c r="L11" s="204"/>
      <c r="M11" s="191"/>
      <c r="N11" s="203">
        <f>IF('_Datos'!$C11,'_Datos'!$BA11,"")</f>
      </c>
    </row>
    <row r="12">
      <c r="B12" s="203">
        <f>IF('_Datos'!$C12,'_Datos'!$O12,"")</f>
      </c>
      <c r="C12" s="204">
        <f>IF('_Datos'!$C12,'_Datos'!$F12,IF('_Datos'!$B12,'Proyecto Datos (OKR´s)'!$G12,""))</f>
      </c>
      <c r="D12" s="203">
        <f>IF('_Datos'!$C12,'_Datos'!$AO12,"")</f>
      </c>
      <c r="E12" s="205">
        <f>IF('_Datos'!$C12,'_Datos'!$H12,"")</f>
      </c>
      <c r="F12" s="203">
        <f>IF('_Datos'!$C12,'_Datos'!$AR12,"")</f>
      </c>
      <c r="G12" s="203"/>
      <c r="H12" s="204"/>
      <c r="I12" s="203">
        <f>IF('_Datos'!$C12,'_Datos'!$AV12,"")</f>
      </c>
      <c r="J12" s="207">
        <f>IF('_Datos'!$C12,'_Datos'!$AX12,"")</f>
      </c>
      <c r="K12" s="204">
        <f>IF('_Datos'!$C12,IF('Proyecto Datos (OKR´s)'!$C12="","",'Proyecto Datos (OKR´s)'!$C12),"")</f>
      </c>
      <c r="L12" s="204"/>
      <c r="M12" s="191"/>
      <c r="N12" s="203">
        <f>IF('_Datos'!$C12,'_Datos'!$BA12,"")</f>
      </c>
    </row>
    <row r="13">
      <c r="B13" s="203">
        <f>IF('_Datos'!$C13,'_Datos'!$O13,"")</f>
      </c>
      <c r="C13" s="204">
        <f>IF('_Datos'!$C13,'_Datos'!$F13,IF('_Datos'!$B13,'Proyecto Datos (OKR´s)'!$G13,""))</f>
      </c>
      <c r="D13" s="203">
        <f>IF('_Datos'!$C13,'_Datos'!$AO13,"")</f>
      </c>
      <c r="E13" s="205">
        <f>IF('_Datos'!$C13,'_Datos'!$H13,"")</f>
      </c>
      <c r="F13" s="203">
        <f>IF('_Datos'!$C13,'_Datos'!$AR13,"")</f>
      </c>
      <c r="G13" s="203"/>
      <c r="H13" s="204"/>
      <c r="I13" s="203">
        <f>IF('_Datos'!$C13,'_Datos'!$AV13,"")</f>
      </c>
      <c r="J13" s="207">
        <f>IF('_Datos'!$C13,'_Datos'!$AX13,"")</f>
      </c>
      <c r="K13" s="204">
        <f>IF('_Datos'!$C13,IF('Proyecto Datos (OKR´s)'!$C13="","",'Proyecto Datos (OKR´s)'!$C13),"")</f>
      </c>
      <c r="L13" s="204"/>
      <c r="M13" s="191"/>
      <c r="N13" s="203">
        <f>IF('_Datos'!$C13,'_Datos'!$BA13,"")</f>
      </c>
    </row>
    <row r="14">
      <c r="B14" s="203">
        <f>IF('_Datos'!$C14,'_Datos'!$O14,"")</f>
      </c>
      <c r="C14" s="204">
        <f>IF('_Datos'!$C14,'_Datos'!$F14,IF('_Datos'!$B14,'Proyecto Datos (OKR´s)'!$G14,""))</f>
      </c>
      <c r="D14" s="203">
        <f>IF('_Datos'!$C14,'_Datos'!$AO14,"")</f>
      </c>
      <c r="E14" s="205">
        <f>IF('_Datos'!$C14,'_Datos'!$H14,"")</f>
      </c>
      <c r="F14" s="203">
        <f>IF('_Datos'!$C14,'_Datos'!$AR14,"")</f>
      </c>
      <c r="G14" s="203"/>
      <c r="H14" s="204"/>
      <c r="I14" s="203">
        <f>IF('_Datos'!$C14,'_Datos'!$AV14,"")</f>
      </c>
      <c r="J14" s="207">
        <f>IF('_Datos'!$C14,'_Datos'!$AX14,"")</f>
      </c>
      <c r="K14" s="204">
        <f>IF('_Datos'!$C14,IF('Proyecto Datos (OKR´s)'!$C14="","",'Proyecto Datos (OKR´s)'!$C14),"")</f>
      </c>
      <c r="L14" s="204"/>
      <c r="M14" s="191"/>
      <c r="N14" s="203">
        <f>IF('_Datos'!$C14,'_Datos'!$BA14,"")</f>
      </c>
    </row>
    <row r="15">
      <c r="B15" s="203">
        <f>IF('_Datos'!$C15,'_Datos'!$O15,"")</f>
      </c>
      <c r="C15" s="204">
        <f>IF('_Datos'!$C15,'_Datos'!$F15,IF('_Datos'!$B15,'Proyecto Datos (OKR´s)'!$G15,""))</f>
      </c>
      <c r="D15" s="203">
        <f>IF('_Datos'!$C15,'_Datos'!$AO15,"")</f>
      </c>
      <c r="E15" s="205">
        <f>IF('_Datos'!$C15,'_Datos'!$H15,"")</f>
      </c>
      <c r="F15" s="203">
        <f>IF('_Datos'!$C15,'_Datos'!$AR15,"")</f>
      </c>
      <c r="G15" s="203"/>
      <c r="H15" s="204"/>
      <c r="I15" s="203">
        <f>IF('_Datos'!$C15,'_Datos'!$AV15,"")</f>
      </c>
      <c r="J15" s="207">
        <f>IF('_Datos'!$C15,'_Datos'!$AX15,"")</f>
      </c>
      <c r="K15" s="204">
        <f>IF('_Datos'!$C15,IF('Proyecto Datos (OKR´s)'!$C15="","",'Proyecto Datos (OKR´s)'!$C15),"")</f>
      </c>
      <c r="L15" s="204"/>
      <c r="M15" s="191"/>
      <c r="N15" s="203">
        <f>IF('_Datos'!$C15,'_Datos'!$BA15,"")</f>
      </c>
    </row>
    <row r="16">
      <c r="B16" s="203">
        <f>IF('_Datos'!$C16,'_Datos'!$O16,"")</f>
      </c>
      <c r="C16" s="204">
        <f>IF('_Datos'!$C16,'_Datos'!$F16,IF('_Datos'!$B16,'Proyecto Datos (OKR´s)'!$G16,""))</f>
      </c>
      <c r="D16" s="203">
        <f>IF('_Datos'!$C16,'_Datos'!$AO16,"")</f>
      </c>
      <c r="E16" s="205">
        <f>IF('_Datos'!$C16,'_Datos'!$H16,"")</f>
      </c>
      <c r="F16" s="203">
        <f>IF('_Datos'!$C16,'_Datos'!$AR16,"")</f>
      </c>
      <c r="G16" s="203"/>
      <c r="H16" s="204"/>
      <c r="I16" s="203">
        <f>IF('_Datos'!$C16,'_Datos'!$AV16,"")</f>
      </c>
      <c r="J16" s="207">
        <f>IF('_Datos'!$C16,'_Datos'!$AX16,"")</f>
      </c>
      <c r="K16" s="204">
        <f>IF('_Datos'!$C16,IF('Proyecto Datos (OKR´s)'!$C16="","",'Proyecto Datos (OKR´s)'!$C16),"")</f>
      </c>
      <c r="L16" s="204"/>
      <c r="M16" s="191"/>
      <c r="N16" s="203">
        <f>IF('_Datos'!$C16,'_Datos'!$BA16,"")</f>
      </c>
    </row>
    <row r="17">
      <c r="B17" s="203">
        <f>IF('_Datos'!$C17,'_Datos'!$O17,"")</f>
      </c>
      <c r="C17" s="204">
        <f>IF('_Datos'!$C17,'_Datos'!$F17,IF('_Datos'!$B17,'Proyecto Datos (OKR´s)'!$G17,""))</f>
      </c>
      <c r="D17" s="203">
        <f>IF('_Datos'!$C17,'_Datos'!$AO17,"")</f>
      </c>
      <c r="E17" s="205">
        <f>IF('_Datos'!$C17,'_Datos'!$H17,"")</f>
      </c>
      <c r="F17" s="203">
        <f>IF('_Datos'!$C17,'_Datos'!$AR17,"")</f>
      </c>
      <c r="G17" s="203"/>
      <c r="H17" s="204"/>
      <c r="I17" s="203">
        <f>IF('_Datos'!$C17,'_Datos'!$AV17,"")</f>
      </c>
      <c r="J17" s="207">
        <f>IF('_Datos'!$C17,'_Datos'!$AX17,"")</f>
      </c>
      <c r="K17" s="204">
        <f>IF('_Datos'!$C17,IF('Proyecto Datos (OKR´s)'!$C17="","",'Proyecto Datos (OKR´s)'!$C17),"")</f>
      </c>
      <c r="L17" s="204"/>
      <c r="M17" s="191"/>
      <c r="N17" s="203">
        <f>IF('_Datos'!$C17,'_Datos'!$BA17,"")</f>
      </c>
    </row>
    <row r="18">
      <c r="B18" s="203">
        <f>IF('_Datos'!$C18,'_Datos'!$O18,"")</f>
      </c>
      <c r="C18" s="204">
        <f>IF('_Datos'!$C18,'_Datos'!$F18,IF('_Datos'!$B18,'Proyecto Datos (OKR´s)'!$G18,""))</f>
      </c>
      <c r="D18" s="203">
        <f>IF('_Datos'!$C18,'_Datos'!$AO18,"")</f>
      </c>
      <c r="E18" s="205">
        <f>IF('_Datos'!$C18,'_Datos'!$H18,"")</f>
      </c>
      <c r="F18" s="203">
        <f>IF('_Datos'!$C18,'_Datos'!$AR18,"")</f>
      </c>
      <c r="G18" s="203"/>
      <c r="H18" s="204"/>
      <c r="I18" s="203">
        <f>IF('_Datos'!$C18,'_Datos'!$AV18,"")</f>
      </c>
      <c r="J18" s="207">
        <f>IF('_Datos'!$C18,'_Datos'!$AX18,"")</f>
      </c>
      <c r="K18" s="204">
        <f>IF('_Datos'!$C18,IF('Proyecto Datos (OKR´s)'!$C18="","",'Proyecto Datos (OKR´s)'!$C18),"")</f>
      </c>
      <c r="L18" s="204"/>
      <c r="M18" s="191"/>
      <c r="N18" s="203">
        <f>IF('_Datos'!$C18,'_Datos'!$BA18,"")</f>
      </c>
    </row>
    <row r="19">
      <c r="B19" s="203">
        <f>IF('_Datos'!$C19,'_Datos'!$O19,"")</f>
      </c>
      <c r="C19" s="204">
        <f>IF('_Datos'!$C19,'_Datos'!$F19,IF('_Datos'!$B19,'Proyecto Datos (OKR´s)'!$G19,""))</f>
      </c>
      <c r="D19" s="203">
        <f>IF('_Datos'!$C19,'_Datos'!$AO19,"")</f>
      </c>
      <c r="E19" s="205">
        <f>IF('_Datos'!$C19,'_Datos'!$H19,"")</f>
      </c>
      <c r="F19" s="203">
        <f>IF('_Datos'!$C19,'_Datos'!$AR19,"")</f>
      </c>
      <c r="G19" s="203"/>
      <c r="H19" s="204"/>
      <c r="I19" s="203">
        <f>IF('_Datos'!$C19,'_Datos'!$AV19,"")</f>
      </c>
      <c r="J19" s="207">
        <f>IF('_Datos'!$C19,'_Datos'!$AX19,"")</f>
      </c>
      <c r="K19" s="204">
        <f>IF('_Datos'!$C19,IF('Proyecto Datos (OKR´s)'!$C19="","",'Proyecto Datos (OKR´s)'!$C19),"")</f>
      </c>
      <c r="L19" s="204"/>
      <c r="M19" s="191"/>
      <c r="N19" s="203">
        <f>IF('_Datos'!$C19,'_Datos'!$BA19,"")</f>
      </c>
    </row>
    <row r="20">
      <c r="B20" s="203">
        <f>IF('_Datos'!$C20,'_Datos'!$O20,"")</f>
      </c>
      <c r="C20" s="204">
        <f>IF('_Datos'!$C20,'_Datos'!$F20,IF('_Datos'!$B20,'Proyecto Datos (OKR´s)'!$G20,""))</f>
      </c>
      <c r="D20" s="203">
        <f>IF('_Datos'!$C20,'_Datos'!$AO20,"")</f>
      </c>
      <c r="E20" s="205">
        <f>IF('_Datos'!$C20,'_Datos'!$H20,"")</f>
      </c>
      <c r="F20" s="203">
        <f>IF('_Datos'!$C20,'_Datos'!$AR20,"")</f>
      </c>
      <c r="G20" s="203"/>
      <c r="H20" s="204"/>
      <c r="I20" s="203">
        <f>IF('_Datos'!$C20,'_Datos'!$AV20,"")</f>
      </c>
      <c r="J20" s="207">
        <f>IF('_Datos'!$C20,'_Datos'!$AX20,"")</f>
      </c>
      <c r="K20" s="204">
        <f>IF('_Datos'!$C20,IF('Proyecto Datos (OKR´s)'!$C20="","",'Proyecto Datos (OKR´s)'!$C20),"")</f>
      </c>
      <c r="L20" s="204"/>
      <c r="M20" s="191"/>
      <c r="N20" s="203">
        <f>IF('_Datos'!$C20,'_Datos'!$BA20,"")</f>
      </c>
    </row>
    <row r="21">
      <c r="B21" s="203">
        <f>IF('_Datos'!$C21,'_Datos'!$O21,"")</f>
      </c>
      <c r="C21" s="204">
        <f>IF('_Datos'!$C21,'_Datos'!$F21,IF('_Datos'!$B21,'Proyecto Datos (OKR´s)'!$G21,""))</f>
      </c>
      <c r="D21" s="203">
        <f>IF('_Datos'!$C21,'_Datos'!$AO21,"")</f>
      </c>
      <c r="E21" s="205">
        <f>IF('_Datos'!$C21,'_Datos'!$H21,"")</f>
      </c>
      <c r="F21" s="203">
        <f>IF('_Datos'!$C21,'_Datos'!$AR21,"")</f>
      </c>
      <c r="G21" s="203"/>
      <c r="H21" s="204"/>
      <c r="I21" s="203">
        <f>IF('_Datos'!$C21,'_Datos'!$AV21,"")</f>
      </c>
      <c r="J21" s="207">
        <f>IF('_Datos'!$C21,'_Datos'!$AX21,"")</f>
      </c>
      <c r="K21" s="204">
        <f>IF('_Datos'!$C21,IF('Proyecto Datos (OKR´s)'!$C21="","",'Proyecto Datos (OKR´s)'!$C21),"")</f>
      </c>
      <c r="L21" s="204"/>
      <c r="M21" s="191"/>
      <c r="N21" s="203">
        <f>IF('_Datos'!$C21,'_Datos'!$BA21,"")</f>
      </c>
    </row>
    <row r="22">
      <c r="B22" s="203">
        <f>IF('_Datos'!$C22,'_Datos'!$O22,"")</f>
      </c>
      <c r="C22" s="204">
        <f>IF('_Datos'!$C22,'_Datos'!$F22,IF('_Datos'!$B22,'Proyecto Datos (OKR´s)'!$G22,""))</f>
      </c>
      <c r="D22" s="203">
        <f>IF('_Datos'!$C22,'_Datos'!$AO22,"")</f>
      </c>
      <c r="E22" s="205">
        <f>IF('_Datos'!$C22,'_Datos'!$H22,"")</f>
      </c>
      <c r="F22" s="203">
        <f>IF('_Datos'!$C22,'_Datos'!$AR22,"")</f>
      </c>
      <c r="G22" s="203"/>
      <c r="H22" s="204"/>
      <c r="I22" s="203">
        <f>IF('_Datos'!$C22,'_Datos'!$AV22,"")</f>
      </c>
      <c r="J22" s="207">
        <f>IF('_Datos'!$C22,'_Datos'!$AX22,"")</f>
      </c>
      <c r="K22" s="204">
        <f>IF('_Datos'!$C22,IF('Proyecto Datos (OKR´s)'!$C22="","",'Proyecto Datos (OKR´s)'!$C22),"")</f>
      </c>
      <c r="L22" s="204"/>
      <c r="M22" s="191"/>
      <c r="N22" s="203">
        <f>IF('_Datos'!$C22,'_Datos'!$BA22,"")</f>
      </c>
    </row>
    <row r="23">
      <c r="B23" s="203">
        <f>IF('_Datos'!$C23,'_Datos'!$O23,"")</f>
      </c>
      <c r="C23" s="204">
        <f>IF('_Datos'!$C23,'_Datos'!$F23,IF('_Datos'!$B23,'Proyecto Datos (OKR´s)'!$G23,""))</f>
      </c>
      <c r="D23" s="203">
        <f>IF('_Datos'!$C23,'_Datos'!$AO23,"")</f>
      </c>
      <c r="E23" s="205">
        <f>IF('_Datos'!$C23,'_Datos'!$H23,"")</f>
      </c>
      <c r="F23" s="203">
        <f>IF('_Datos'!$C23,'_Datos'!$AR23,"")</f>
      </c>
      <c r="G23" s="203"/>
      <c r="H23" s="204"/>
      <c r="I23" s="203">
        <f>IF('_Datos'!$C23,'_Datos'!$AV23,"")</f>
      </c>
      <c r="J23" s="207">
        <f>IF('_Datos'!$C23,'_Datos'!$AX23,"")</f>
      </c>
      <c r="K23" s="204">
        <f>IF('_Datos'!$C23,IF('Proyecto Datos (OKR´s)'!$C23="","",'Proyecto Datos (OKR´s)'!$C23),"")</f>
      </c>
      <c r="L23" s="204"/>
      <c r="M23" s="191"/>
      <c r="N23" s="203">
        <f>IF('_Datos'!$C23,'_Datos'!$BA23,"")</f>
      </c>
    </row>
    <row r="24">
      <c r="B24" s="203">
        <f>IF('_Datos'!$C24,'_Datos'!$O24,"")</f>
      </c>
      <c r="C24" s="204">
        <f>IF('_Datos'!$C24,'_Datos'!$F24,IF('_Datos'!$B24,'Proyecto Datos (OKR´s)'!$G24,""))</f>
      </c>
      <c r="D24" s="203">
        <f>IF('_Datos'!$C24,'_Datos'!$AO24,"")</f>
      </c>
      <c r="E24" s="205">
        <f>IF('_Datos'!$C24,'_Datos'!$H24,"")</f>
      </c>
      <c r="F24" s="203">
        <f>IF('_Datos'!$C24,'_Datos'!$AR24,"")</f>
      </c>
      <c r="G24" s="203"/>
      <c r="H24" s="204"/>
      <c r="I24" s="203">
        <f>IF('_Datos'!$C24,'_Datos'!$AV24,"")</f>
      </c>
      <c r="J24" s="207">
        <f>IF('_Datos'!$C24,'_Datos'!$AX24,"")</f>
      </c>
      <c r="K24" s="204">
        <f>IF('_Datos'!$C24,IF('Proyecto Datos (OKR´s)'!$C24="","",'Proyecto Datos (OKR´s)'!$C24),"")</f>
      </c>
      <c r="L24" s="204"/>
      <c r="M24" s="191"/>
      <c r="N24" s="203">
        <f>IF('_Datos'!$C24,'_Datos'!$BA24,"")</f>
      </c>
    </row>
    <row r="25">
      <c r="B25" s="203">
        <f>IF('_Datos'!$C25,'_Datos'!$O25,"")</f>
      </c>
      <c r="C25" s="204">
        <f>IF('_Datos'!$C25,'_Datos'!$F25,IF('_Datos'!$B25,'Proyecto Datos (OKR´s)'!$G25,""))</f>
      </c>
      <c r="D25" s="203">
        <f>IF('_Datos'!$C25,'_Datos'!$AO25,"")</f>
      </c>
      <c r="E25" s="205">
        <f>IF('_Datos'!$C25,'_Datos'!$H25,"")</f>
      </c>
      <c r="F25" s="203">
        <f>IF('_Datos'!$C25,'_Datos'!$AR25,"")</f>
      </c>
      <c r="G25" s="203"/>
      <c r="H25" s="204"/>
      <c r="I25" s="203">
        <f>IF('_Datos'!$C25,'_Datos'!$AV25,"")</f>
      </c>
      <c r="J25" s="207">
        <f>IF('_Datos'!$C25,'_Datos'!$AX25,"")</f>
      </c>
      <c r="K25" s="204">
        <f>IF('_Datos'!$C25,IF('Proyecto Datos (OKR´s)'!$C25="","",'Proyecto Datos (OKR´s)'!$C25),"")</f>
      </c>
      <c r="L25" s="204"/>
      <c r="M25" s="191"/>
      <c r="N25" s="203">
        <f>IF('_Datos'!$C25,'_Datos'!$BA25,"")</f>
      </c>
    </row>
    <row r="26">
      <c r="B26" s="203">
        <f>IF('_Datos'!$C26,'_Datos'!$O26,"")</f>
      </c>
      <c r="C26" s="204">
        <f>IF('_Datos'!$C26,'_Datos'!$F26,IF('_Datos'!$B26,'Proyecto Datos (OKR´s)'!$G26,""))</f>
      </c>
      <c r="D26" s="203">
        <f>IF('_Datos'!$C26,'_Datos'!$AO26,"")</f>
      </c>
      <c r="E26" s="205">
        <f>IF('_Datos'!$C26,'_Datos'!$H26,"")</f>
      </c>
      <c r="F26" s="203">
        <f>IF('_Datos'!$C26,'_Datos'!$AR26,"")</f>
      </c>
      <c r="G26" s="203"/>
      <c r="H26" s="204"/>
      <c r="I26" s="203">
        <f>IF('_Datos'!$C26,'_Datos'!$AV26,"")</f>
      </c>
      <c r="J26" s="207">
        <f>IF('_Datos'!$C26,'_Datos'!$AX26,"")</f>
      </c>
      <c r="K26" s="204">
        <f>IF('_Datos'!$C26,IF('Proyecto Datos (OKR´s)'!$C26="","",'Proyecto Datos (OKR´s)'!$C26),"")</f>
      </c>
      <c r="L26" s="204"/>
      <c r="M26" s="191"/>
      <c r="N26" s="203">
        <f>IF('_Datos'!$C26,'_Datos'!$BA26,"")</f>
      </c>
    </row>
    <row r="27">
      <c r="B27" s="203">
        <f>IF('_Datos'!$C27,'_Datos'!$O27,"")</f>
      </c>
      <c r="C27" s="204">
        <f>IF('_Datos'!$C27,'_Datos'!$F27,IF('_Datos'!$B27,'Proyecto Datos (OKR´s)'!$G27,""))</f>
      </c>
      <c r="D27" s="203">
        <f>IF('_Datos'!$C27,'_Datos'!$AO27,"")</f>
      </c>
      <c r="E27" s="205">
        <f>IF('_Datos'!$C27,'_Datos'!$H27,"")</f>
      </c>
      <c r="F27" s="203">
        <f>IF('_Datos'!$C27,'_Datos'!$AR27,"")</f>
      </c>
      <c r="G27" s="203"/>
      <c r="H27" s="204"/>
      <c r="I27" s="203">
        <f>IF('_Datos'!$C27,'_Datos'!$AV27,"")</f>
      </c>
      <c r="J27" s="207">
        <f>IF('_Datos'!$C27,'_Datos'!$AX27,"")</f>
      </c>
      <c r="K27" s="204">
        <f>IF('_Datos'!$C27,IF('Proyecto Datos (OKR´s)'!$C27="","",'Proyecto Datos (OKR´s)'!$C27),"")</f>
      </c>
      <c r="L27" s="204"/>
      <c r="M27" s="191"/>
      <c r="N27" s="203">
        <f>IF('_Datos'!$C27,'_Datos'!$BA27,"")</f>
      </c>
    </row>
    <row r="28">
      <c r="B28" s="203">
        <f>IF('_Datos'!$C28,'_Datos'!$O28,"")</f>
      </c>
      <c r="C28" s="204">
        <f>IF('_Datos'!$C28,'_Datos'!$F28,IF('_Datos'!$B28,'Proyecto Datos (OKR´s)'!$G28,""))</f>
      </c>
      <c r="D28" s="203">
        <f>IF('_Datos'!$C28,'_Datos'!$AO28,"")</f>
      </c>
      <c r="E28" s="205">
        <f>IF('_Datos'!$C28,'_Datos'!$H28,"")</f>
      </c>
      <c r="F28" s="203">
        <f>IF('_Datos'!$C28,'_Datos'!$AR28,"")</f>
      </c>
      <c r="G28" s="203"/>
      <c r="H28" s="204"/>
      <c r="I28" s="203">
        <f>IF('_Datos'!$C28,'_Datos'!$AV28,"")</f>
      </c>
      <c r="J28" s="207">
        <f>IF('_Datos'!$C28,'_Datos'!$AX28,"")</f>
      </c>
      <c r="K28" s="204">
        <f>IF('_Datos'!$C28,IF('Proyecto Datos (OKR´s)'!$C28="","",'Proyecto Datos (OKR´s)'!$C28),"")</f>
      </c>
      <c r="L28" s="204"/>
      <c r="M28" s="191"/>
      <c r="N28" s="203">
        <f>IF('_Datos'!$C28,'_Datos'!$BA28,"")</f>
      </c>
    </row>
    <row r="29">
      <c r="B29" s="203">
        <f>IF('_Datos'!$C29,'_Datos'!$O29,"")</f>
      </c>
      <c r="C29" s="204">
        <f>IF('_Datos'!$C29,'_Datos'!$F29,IF('_Datos'!$B29,'Proyecto Datos (OKR´s)'!$G29,""))</f>
      </c>
      <c r="D29" s="203">
        <f>IF('_Datos'!$C29,'_Datos'!$AO29,"")</f>
      </c>
      <c r="E29" s="205">
        <f>IF('_Datos'!$C29,'_Datos'!$H29,"")</f>
      </c>
      <c r="F29" s="203">
        <f>IF('_Datos'!$C29,'_Datos'!$AR29,"")</f>
      </c>
      <c r="G29" s="203"/>
      <c r="H29" s="204"/>
      <c r="I29" s="203">
        <f>IF('_Datos'!$C29,'_Datos'!$AV29,"")</f>
      </c>
      <c r="J29" s="207">
        <f>IF('_Datos'!$C29,'_Datos'!$AX29,"")</f>
      </c>
      <c r="K29" s="204">
        <f>IF('_Datos'!$C29,IF('Proyecto Datos (OKR´s)'!$C29="","",'Proyecto Datos (OKR´s)'!$C29),"")</f>
      </c>
      <c r="L29" s="204"/>
      <c r="M29" s="191"/>
      <c r="N29" s="203">
        <f>IF('_Datos'!$C29,'_Datos'!$BA29,"")</f>
      </c>
    </row>
    <row r="30">
      <c r="B30" s="203">
        <f>IF('_Datos'!$C30,'_Datos'!$O30,"")</f>
      </c>
      <c r="C30" s="204">
        <f>IF('_Datos'!$C30,'_Datos'!$F30,IF('_Datos'!$B30,'Proyecto Datos (OKR´s)'!$G30,""))</f>
      </c>
      <c r="D30" s="203">
        <f>IF('_Datos'!$C30,'_Datos'!$AO30,"")</f>
      </c>
      <c r="E30" s="205">
        <f>IF('_Datos'!$C30,'_Datos'!$H30,"")</f>
      </c>
      <c r="F30" s="203">
        <f>IF('_Datos'!$C30,'_Datos'!$AR30,"")</f>
      </c>
      <c r="G30" s="203"/>
      <c r="H30" s="204"/>
      <c r="I30" s="203">
        <f>IF('_Datos'!$C30,'_Datos'!$AV30,"")</f>
      </c>
      <c r="J30" s="207">
        <f>IF('_Datos'!$C30,'_Datos'!$AX30,"")</f>
      </c>
      <c r="K30" s="204">
        <f>IF('_Datos'!$C30,IF('Proyecto Datos (OKR´s)'!$C30="","",'Proyecto Datos (OKR´s)'!$C30),"")</f>
      </c>
      <c r="L30" s="204"/>
      <c r="M30" s="191"/>
      <c r="N30" s="203">
        <f>IF('_Datos'!$C30,'_Datos'!$BA30,"")</f>
      </c>
    </row>
    <row r="31">
      <c r="B31" s="203">
        <f>IF('_Datos'!$C31,'_Datos'!$O31,"")</f>
      </c>
      <c r="C31" s="204">
        <f>IF('_Datos'!$C31,'_Datos'!$F31,IF('_Datos'!$B31,'Proyecto Datos (OKR´s)'!$G31,""))</f>
      </c>
      <c r="D31" s="203">
        <f>IF('_Datos'!$C31,'_Datos'!$AO31,"")</f>
      </c>
      <c r="E31" s="205">
        <f>IF('_Datos'!$C31,'_Datos'!$H31,"")</f>
      </c>
      <c r="F31" s="203">
        <f>IF('_Datos'!$C31,'_Datos'!$AR31,"")</f>
      </c>
      <c r="G31" s="203"/>
      <c r="H31" s="204"/>
      <c r="I31" s="203">
        <f>IF('_Datos'!$C31,'_Datos'!$AV31,"")</f>
      </c>
      <c r="J31" s="207">
        <f>IF('_Datos'!$C31,'_Datos'!$AX31,"")</f>
      </c>
      <c r="K31" s="204">
        <f>IF('_Datos'!$C31,IF('Proyecto Datos (OKR´s)'!$C31="","",'Proyecto Datos (OKR´s)'!$C31),"")</f>
      </c>
      <c r="L31" s="204"/>
      <c r="M31" s="191"/>
      <c r="N31" s="203">
        <f>IF('_Datos'!$C31,'_Datos'!$BA31,"")</f>
      </c>
    </row>
    <row r="32">
      <c r="B32" s="203">
        <f>IF('_Datos'!$C32,'_Datos'!$O32,"")</f>
      </c>
      <c r="C32" s="204">
        <f>IF('_Datos'!$C32,'_Datos'!$F32,IF('_Datos'!$B32,'Proyecto Datos (OKR´s)'!$G32,""))</f>
      </c>
      <c r="D32" s="203">
        <f>IF('_Datos'!$C32,'_Datos'!$AO32,"")</f>
      </c>
      <c r="E32" s="205">
        <f>IF('_Datos'!$C32,'_Datos'!$H32,"")</f>
      </c>
      <c r="F32" s="203">
        <f>IF('_Datos'!$C32,'_Datos'!$AR32,"")</f>
      </c>
      <c r="G32" s="203"/>
      <c r="H32" s="204"/>
      <c r="I32" s="203">
        <f>IF('_Datos'!$C32,'_Datos'!$AV32,"")</f>
      </c>
      <c r="J32" s="207">
        <f>IF('_Datos'!$C32,'_Datos'!$AX32,"")</f>
      </c>
      <c r="K32" s="204">
        <f>IF('_Datos'!$C32,IF('Proyecto Datos (OKR´s)'!$C32="","",'Proyecto Datos (OKR´s)'!$C32),"")</f>
      </c>
      <c r="L32" s="204"/>
      <c r="M32" s="191"/>
      <c r="N32" s="203">
        <f>IF('_Datos'!$C32,'_Datos'!$BA32,"")</f>
      </c>
    </row>
    <row r="33">
      <c r="B33" s="203">
        <f>IF('_Datos'!$C33,'_Datos'!$O33,"")</f>
      </c>
      <c r="C33" s="204">
        <f>IF('_Datos'!$C33,'_Datos'!$F33,IF('_Datos'!$B33,'Proyecto Datos (OKR´s)'!$G33,""))</f>
      </c>
      <c r="D33" s="203">
        <f>IF('_Datos'!$C33,'_Datos'!$AO33,"")</f>
      </c>
      <c r="E33" s="205">
        <f>IF('_Datos'!$C33,'_Datos'!$H33,"")</f>
      </c>
      <c r="F33" s="203">
        <f>IF('_Datos'!$C33,'_Datos'!$AR33,"")</f>
      </c>
      <c r="G33" s="203"/>
      <c r="H33" s="204"/>
      <c r="I33" s="203">
        <f>IF('_Datos'!$C33,'_Datos'!$AV33,"")</f>
      </c>
      <c r="J33" s="207">
        <f>IF('_Datos'!$C33,'_Datos'!$AX33,"")</f>
      </c>
      <c r="K33" s="204">
        <f>IF('_Datos'!$C33,IF('Proyecto Datos (OKR´s)'!$C33="","",'Proyecto Datos (OKR´s)'!$C33),"")</f>
      </c>
      <c r="L33" s="204"/>
      <c r="M33" s="191"/>
      <c r="N33" s="203">
        <f>IF('_Datos'!$C33,'_Datos'!$BA33,"")</f>
      </c>
    </row>
    <row r="34">
      <c r="B34" s="203">
        <f>IF('_Datos'!$C34,'_Datos'!$O34,"")</f>
      </c>
      <c r="C34" s="204">
        <f>IF('_Datos'!$C34,'_Datos'!$F34,IF('_Datos'!$B34,'Proyecto Datos (OKR´s)'!$G34,""))</f>
      </c>
      <c r="D34" s="203">
        <f>IF('_Datos'!$C34,'_Datos'!$AO34,"")</f>
      </c>
      <c r="E34" s="205">
        <f>IF('_Datos'!$C34,'_Datos'!$H34,"")</f>
      </c>
      <c r="F34" s="203">
        <f>IF('_Datos'!$C34,'_Datos'!$AR34,"")</f>
      </c>
      <c r="G34" s="203"/>
      <c r="H34" s="204"/>
      <c r="I34" s="203">
        <f>IF('_Datos'!$C34,'_Datos'!$AV34,"")</f>
      </c>
      <c r="J34" s="207">
        <f>IF('_Datos'!$C34,'_Datos'!$AX34,"")</f>
      </c>
      <c r="K34" s="204">
        <f>IF('_Datos'!$C34,IF('Proyecto Datos (OKR´s)'!$C34="","",'Proyecto Datos (OKR´s)'!$C34),"")</f>
      </c>
      <c r="L34" s="204"/>
      <c r="M34" s="191"/>
      <c r="N34" s="203">
        <f>IF('_Datos'!$C34,'_Datos'!$BA34,"")</f>
      </c>
    </row>
    <row r="35">
      <c r="B35" s="203">
        <f>IF('_Datos'!$C35,'_Datos'!$O35,"")</f>
      </c>
      <c r="C35" s="204">
        <f>IF('_Datos'!$C35,'_Datos'!$F35,IF('_Datos'!$B35,'Proyecto Datos (OKR´s)'!$G35,""))</f>
      </c>
      <c r="D35" s="203">
        <f>IF('_Datos'!$C35,'_Datos'!$AO35,"")</f>
      </c>
      <c r="E35" s="205">
        <f>IF('_Datos'!$C35,'_Datos'!$H35,"")</f>
      </c>
      <c r="F35" s="203">
        <f>IF('_Datos'!$C35,'_Datos'!$AR35,"")</f>
      </c>
      <c r="G35" s="203"/>
      <c r="H35" s="204"/>
      <c r="I35" s="203">
        <f>IF('_Datos'!$C35,'_Datos'!$AV35,"")</f>
      </c>
      <c r="J35" s="207">
        <f>IF('_Datos'!$C35,'_Datos'!$AX35,"")</f>
      </c>
      <c r="K35" s="204">
        <f>IF('_Datos'!$C35,IF('Proyecto Datos (OKR´s)'!$C35="","",'Proyecto Datos (OKR´s)'!$C35),"")</f>
      </c>
      <c r="L35" s="204"/>
      <c r="M35" s="191"/>
      <c r="N35" s="203">
        <f>IF('_Datos'!$C35,'_Datos'!$BA35,"")</f>
      </c>
    </row>
    <row r="36">
      <c r="B36" s="203">
        <f>IF('_Datos'!$C36,'_Datos'!$O36,"")</f>
      </c>
      <c r="C36" s="204">
        <f>IF('_Datos'!$C36,'_Datos'!$F36,IF('_Datos'!$B36,'Proyecto Datos (OKR´s)'!$G36,""))</f>
      </c>
      <c r="D36" s="203">
        <f>IF('_Datos'!$C36,'_Datos'!$AO36,"")</f>
      </c>
      <c r="E36" s="205">
        <f>IF('_Datos'!$C36,'_Datos'!$H36,"")</f>
      </c>
      <c r="F36" s="203">
        <f>IF('_Datos'!$C36,'_Datos'!$AR36,"")</f>
      </c>
      <c r="G36" s="203"/>
      <c r="H36" s="204"/>
      <c r="I36" s="203">
        <f>IF('_Datos'!$C36,'_Datos'!$AV36,"")</f>
      </c>
      <c r="J36" s="207">
        <f>IF('_Datos'!$C36,'_Datos'!$AX36,"")</f>
      </c>
      <c r="K36" s="204">
        <f>IF('_Datos'!$C36,IF('Proyecto Datos (OKR´s)'!$C36="","",'Proyecto Datos (OKR´s)'!$C36),"")</f>
      </c>
      <c r="L36" s="204"/>
      <c r="M36" s="191"/>
      <c r="N36" s="203">
        <f>IF('_Datos'!$C36,'_Datos'!$BA36,"")</f>
      </c>
    </row>
    <row r="37">
      <c r="B37" s="203">
        <f>IF('_Datos'!$C37,'_Datos'!$O37,"")</f>
      </c>
      <c r="C37" s="204">
        <f>IF('_Datos'!$C37,'_Datos'!$F37,IF('_Datos'!$B37,'Proyecto Datos (OKR´s)'!$G37,""))</f>
      </c>
      <c r="D37" s="203">
        <f>IF('_Datos'!$C37,'_Datos'!$AO37,"")</f>
      </c>
      <c r="E37" s="205">
        <f>IF('_Datos'!$C37,'_Datos'!$H37,"")</f>
      </c>
      <c r="F37" s="203">
        <f>IF('_Datos'!$C37,'_Datos'!$AR37,"")</f>
      </c>
      <c r="G37" s="203"/>
      <c r="H37" s="204"/>
      <c r="I37" s="203">
        <f>IF('_Datos'!$C37,'_Datos'!$AV37,"")</f>
      </c>
      <c r="J37" s="207">
        <f>IF('_Datos'!$C37,'_Datos'!$AX37,"")</f>
      </c>
      <c r="K37" s="204">
        <f>IF('_Datos'!$C37,IF('Proyecto Datos (OKR´s)'!$C37="","",'Proyecto Datos (OKR´s)'!$C37),"")</f>
      </c>
      <c r="L37" s="204"/>
      <c r="M37" s="191"/>
      <c r="N37" s="203">
        <f>IF('_Datos'!$C37,'_Datos'!$BA37,"")</f>
      </c>
    </row>
    <row r="38">
      <c r="B38" s="203">
        <f>IF('_Datos'!$C38,'_Datos'!$O38,"")</f>
      </c>
      <c r="C38" s="204">
        <f>IF('_Datos'!$C38,'_Datos'!$F38,IF('_Datos'!$B38,'Proyecto Datos (OKR´s)'!$G38,""))</f>
      </c>
      <c r="D38" s="203">
        <f>IF('_Datos'!$C38,'_Datos'!$AO38,"")</f>
      </c>
      <c r="E38" s="205">
        <f>IF('_Datos'!$C38,'_Datos'!$H38,"")</f>
      </c>
      <c r="F38" s="203">
        <f>IF('_Datos'!$C38,'_Datos'!$AR38,"")</f>
      </c>
      <c r="G38" s="203"/>
      <c r="H38" s="204"/>
      <c r="I38" s="203">
        <f>IF('_Datos'!$C38,'_Datos'!$AV38,"")</f>
      </c>
      <c r="J38" s="207">
        <f>IF('_Datos'!$C38,'_Datos'!$AX38,"")</f>
      </c>
      <c r="K38" s="204">
        <f>IF('_Datos'!$C38,IF('Proyecto Datos (OKR´s)'!$C38="","",'Proyecto Datos (OKR´s)'!$C38),"")</f>
      </c>
      <c r="L38" s="204"/>
      <c r="M38" s="191"/>
      <c r="N38" s="203">
        <f>IF('_Datos'!$C38,'_Datos'!$BA38,"")</f>
      </c>
    </row>
    <row r="39">
      <c r="B39" s="203">
        <f>IF('_Datos'!$C39,'_Datos'!$O39,"")</f>
      </c>
      <c r="C39" s="204">
        <f>IF('_Datos'!$C39,'_Datos'!$F39,IF('_Datos'!$B39,'Proyecto Datos (OKR´s)'!$G39,""))</f>
      </c>
      <c r="D39" s="203">
        <f>IF('_Datos'!$C39,'_Datos'!$AO39,"")</f>
      </c>
      <c r="E39" s="205">
        <f>IF('_Datos'!$C39,'_Datos'!$H39,"")</f>
      </c>
      <c r="F39" s="203">
        <f>IF('_Datos'!$C39,'_Datos'!$AR39,"")</f>
      </c>
      <c r="G39" s="203"/>
      <c r="H39" s="204"/>
      <c r="I39" s="203">
        <f>IF('_Datos'!$C39,'_Datos'!$AV39,"")</f>
      </c>
      <c r="J39" s="207">
        <f>IF('_Datos'!$C39,'_Datos'!$AX39,"")</f>
      </c>
      <c r="K39" s="204">
        <f>IF('_Datos'!$C39,IF('Proyecto Datos (OKR´s)'!$C39="","",'Proyecto Datos (OKR´s)'!$C39),"")</f>
      </c>
      <c r="L39" s="204"/>
      <c r="M39" s="191"/>
      <c r="N39" s="203">
        <f>IF('_Datos'!$C39,'_Datos'!$BA39,"")</f>
      </c>
    </row>
    <row r="40">
      <c r="B40" s="203">
        <f>IF('_Datos'!$C40,'_Datos'!$O40,"")</f>
      </c>
      <c r="C40" s="204">
        <f>IF('_Datos'!$C40,'_Datos'!$F40,IF('_Datos'!$B40,'Proyecto Datos (OKR´s)'!$G40,""))</f>
      </c>
      <c r="D40" s="203">
        <f>IF('_Datos'!$C40,'_Datos'!$AO40,"")</f>
      </c>
      <c r="E40" s="205">
        <f>IF('_Datos'!$C40,'_Datos'!$H40,"")</f>
      </c>
      <c r="F40" s="203">
        <f>IF('_Datos'!$C40,'_Datos'!$AR40,"")</f>
      </c>
      <c r="G40" s="203"/>
      <c r="H40" s="204"/>
      <c r="I40" s="203">
        <f>IF('_Datos'!$C40,'_Datos'!$AV40,"")</f>
      </c>
      <c r="J40" s="207">
        <f>IF('_Datos'!$C40,'_Datos'!$AX40,"")</f>
      </c>
      <c r="K40" s="204">
        <f>IF('_Datos'!$C40,IF('Proyecto Datos (OKR´s)'!$C40="","",'Proyecto Datos (OKR´s)'!$C40),"")</f>
      </c>
      <c r="L40" s="204"/>
      <c r="M40" s="191"/>
      <c r="N40" s="203">
        <f>IF('_Datos'!$C40,'_Datos'!$BA40,"")</f>
      </c>
    </row>
    <row r="41">
      <c r="B41" s="203">
        <f>IF('_Datos'!$C41,'_Datos'!$O41,"")</f>
      </c>
      <c r="C41" s="204">
        <f>IF('_Datos'!$C41,'_Datos'!$F41,IF('_Datos'!$B41,'Proyecto Datos (OKR´s)'!$G41,""))</f>
      </c>
      <c r="D41" s="203">
        <f>IF('_Datos'!$C41,'_Datos'!$AO41,"")</f>
      </c>
      <c r="E41" s="205">
        <f>IF('_Datos'!$C41,'_Datos'!$H41,"")</f>
      </c>
      <c r="F41" s="203">
        <f>IF('_Datos'!$C41,'_Datos'!$AR41,"")</f>
      </c>
      <c r="G41" s="203"/>
      <c r="H41" s="204"/>
      <c r="I41" s="203">
        <f>IF('_Datos'!$C41,'_Datos'!$AV41,"")</f>
      </c>
      <c r="J41" s="207">
        <f>IF('_Datos'!$C41,'_Datos'!$AX41,"")</f>
      </c>
      <c r="K41" s="204">
        <f>IF('_Datos'!$C41,IF('Proyecto Datos (OKR´s)'!$C41="","",'Proyecto Datos (OKR´s)'!$C41),"")</f>
      </c>
      <c r="L41" s="204"/>
      <c r="M41" s="191"/>
      <c r="N41" s="203">
        <f>IF('_Datos'!$C41,'_Datos'!$BA41,"")</f>
      </c>
    </row>
    <row r="42">
      <c r="B42" s="203">
        <f>IF('_Datos'!$C42,'_Datos'!$O42,"")</f>
      </c>
      <c r="C42" s="204">
        <f>IF('_Datos'!$C42,'_Datos'!$F42,IF('_Datos'!$B42,'Proyecto Datos (OKR´s)'!$G42,""))</f>
      </c>
      <c r="D42" s="203">
        <f>IF('_Datos'!$C42,'_Datos'!$AO42,"")</f>
      </c>
      <c r="E42" s="205">
        <f>IF('_Datos'!$C42,'_Datos'!$H42,"")</f>
      </c>
      <c r="F42" s="203">
        <f>IF('_Datos'!$C42,'_Datos'!$AR42,"")</f>
      </c>
      <c r="G42" s="203"/>
      <c r="H42" s="204"/>
      <c r="I42" s="203">
        <f>IF('_Datos'!$C42,'_Datos'!$AV42,"")</f>
      </c>
      <c r="J42" s="207">
        <f>IF('_Datos'!$C42,'_Datos'!$AX42,"")</f>
      </c>
      <c r="K42" s="204">
        <f>IF('_Datos'!$C42,IF('Proyecto Datos (OKR´s)'!$C42="","",'Proyecto Datos (OKR´s)'!$C42),"")</f>
      </c>
      <c r="L42" s="204"/>
      <c r="M42" s="191"/>
      <c r="N42" s="203">
        <f>IF('_Datos'!$C42,'_Datos'!$BA42,"")</f>
      </c>
    </row>
    <row r="43">
      <c r="B43" s="203">
        <f>IF('_Datos'!$C43,'_Datos'!$O43,"")</f>
      </c>
      <c r="C43" s="204">
        <f>IF('_Datos'!$C43,'_Datos'!$F43,IF('_Datos'!$B43,'Proyecto Datos (OKR´s)'!$G43,""))</f>
      </c>
      <c r="D43" s="203">
        <f>IF('_Datos'!$C43,'_Datos'!$AO43,"")</f>
      </c>
      <c r="E43" s="205">
        <f>IF('_Datos'!$C43,'_Datos'!$H43,"")</f>
      </c>
      <c r="F43" s="203">
        <f>IF('_Datos'!$C43,'_Datos'!$AR43,"")</f>
      </c>
      <c r="G43" s="203"/>
      <c r="H43" s="204"/>
      <c r="I43" s="203">
        <f>IF('_Datos'!$C43,'_Datos'!$AV43,"")</f>
      </c>
      <c r="J43" s="207">
        <f>IF('_Datos'!$C43,'_Datos'!$AX43,"")</f>
      </c>
      <c r="K43" s="204">
        <f>IF('_Datos'!$C43,IF('Proyecto Datos (OKR´s)'!$C43="","",'Proyecto Datos (OKR´s)'!$C43),"")</f>
      </c>
      <c r="L43" s="204"/>
      <c r="M43" s="191"/>
      <c r="N43" s="203">
        <f>IF('_Datos'!$C43,'_Datos'!$BA43,"")</f>
      </c>
    </row>
    <row r="44">
      <c r="B44" s="203">
        <f>IF('_Datos'!$C44,'_Datos'!$O44,"")</f>
      </c>
      <c r="C44" s="204">
        <f>IF('_Datos'!$C44,'_Datos'!$F44,IF('_Datos'!$B44,'Proyecto Datos (OKR´s)'!$G44,""))</f>
      </c>
      <c r="D44" s="203">
        <f>IF('_Datos'!$C44,'_Datos'!$AO44,"")</f>
      </c>
      <c r="E44" s="205">
        <f>IF('_Datos'!$C44,'_Datos'!$H44,"")</f>
      </c>
      <c r="F44" s="203">
        <f>IF('_Datos'!$C44,'_Datos'!$AR44,"")</f>
      </c>
      <c r="G44" s="203"/>
      <c r="H44" s="204"/>
      <c r="I44" s="203">
        <f>IF('_Datos'!$C44,'_Datos'!$AV44,"")</f>
      </c>
      <c r="J44" s="207">
        <f>IF('_Datos'!$C44,'_Datos'!$AX44,"")</f>
      </c>
      <c r="K44" s="204">
        <f>IF('_Datos'!$C44,IF('Proyecto Datos (OKR´s)'!$C44="","",'Proyecto Datos (OKR´s)'!$C44),"")</f>
      </c>
      <c r="L44" s="204"/>
      <c r="M44" s="191"/>
      <c r="N44" s="203">
        <f>IF('_Datos'!$C44,'_Datos'!$BA44,"")</f>
      </c>
    </row>
    <row r="45">
      <c r="B45" s="203">
        <f>IF('_Datos'!$C45,'_Datos'!$O45,"")</f>
      </c>
      <c r="C45" s="204">
        <f>IF('_Datos'!$C45,'_Datos'!$F45,IF('_Datos'!$B45,'Proyecto Datos (OKR´s)'!$G45,""))</f>
      </c>
      <c r="D45" s="203">
        <f>IF('_Datos'!$C45,'_Datos'!$AO45,"")</f>
      </c>
      <c r="E45" s="205">
        <f>IF('_Datos'!$C45,'_Datos'!$H45,"")</f>
      </c>
      <c r="F45" s="203">
        <f>IF('_Datos'!$C45,'_Datos'!$AR45,"")</f>
      </c>
      <c r="G45" s="203"/>
      <c r="H45" s="204"/>
      <c r="I45" s="203">
        <f>IF('_Datos'!$C45,'_Datos'!$AV45,"")</f>
      </c>
      <c r="J45" s="207">
        <f>IF('_Datos'!$C45,'_Datos'!$AX45,"")</f>
      </c>
      <c r="K45" s="204">
        <f>IF('_Datos'!$C45,IF('Proyecto Datos (OKR´s)'!$C45="","",'Proyecto Datos (OKR´s)'!$C45),"")</f>
      </c>
      <c r="L45" s="204"/>
      <c r="M45" s="191"/>
      <c r="N45" s="203">
        <f>IF('_Datos'!$C45,'_Datos'!$BA45,"")</f>
      </c>
    </row>
    <row r="46">
      <c r="B46" s="203">
        <f>IF('_Datos'!$C46,'_Datos'!$O46,"")</f>
      </c>
      <c r="C46" s="204">
        <f>IF('_Datos'!$C46,'_Datos'!$F46,IF('_Datos'!$B46,'Proyecto Datos (OKR´s)'!$G46,""))</f>
      </c>
      <c r="D46" s="203">
        <f>IF('_Datos'!$C46,'_Datos'!$AO46,"")</f>
      </c>
      <c r="E46" s="205">
        <f>IF('_Datos'!$C46,'_Datos'!$H46,"")</f>
      </c>
      <c r="F46" s="203">
        <f>IF('_Datos'!$C46,'_Datos'!$AR46,"")</f>
      </c>
      <c r="G46" s="203"/>
      <c r="H46" s="204"/>
      <c r="I46" s="203">
        <f>IF('_Datos'!$C46,'_Datos'!$AV46,"")</f>
      </c>
      <c r="J46" s="207">
        <f>IF('_Datos'!$C46,'_Datos'!$AX46,"")</f>
      </c>
      <c r="K46" s="204">
        <f>IF('_Datos'!$C46,IF('Proyecto Datos (OKR´s)'!$C46="","",'Proyecto Datos (OKR´s)'!$C46),"")</f>
      </c>
      <c r="L46" s="204"/>
      <c r="M46" s="191"/>
      <c r="N46" s="203">
        <f>IF('_Datos'!$C46,'_Datos'!$BA46,"")</f>
      </c>
    </row>
    <row r="47">
      <c r="B47" s="203">
        <f>IF('_Datos'!$C47,'_Datos'!$O47,"")</f>
      </c>
      <c r="C47" s="204">
        <f>IF('_Datos'!$C47,'_Datos'!$F47,IF('_Datos'!$B47,'Proyecto Datos (OKR´s)'!$G47,""))</f>
      </c>
      <c r="D47" s="203">
        <f>IF('_Datos'!$C47,'_Datos'!$AO47,"")</f>
      </c>
      <c r="E47" s="205">
        <f>IF('_Datos'!$C47,'_Datos'!$H47,"")</f>
      </c>
      <c r="F47" s="203">
        <f>IF('_Datos'!$C47,'_Datos'!$AR47,"")</f>
      </c>
      <c r="G47" s="203"/>
      <c r="H47" s="204"/>
      <c r="I47" s="203">
        <f>IF('_Datos'!$C47,'_Datos'!$AV47,"")</f>
      </c>
      <c r="J47" s="207">
        <f>IF('_Datos'!$C47,'_Datos'!$AX47,"")</f>
      </c>
      <c r="K47" s="204">
        <f>IF('_Datos'!$C47,IF('Proyecto Datos (OKR´s)'!$C47="","",'Proyecto Datos (OKR´s)'!$C47),"")</f>
      </c>
      <c r="L47" s="204"/>
      <c r="M47" s="191"/>
      <c r="N47" s="203">
        <f>IF('_Datos'!$C47,'_Datos'!$BA47,"")</f>
      </c>
    </row>
    <row r="48">
      <c r="B48" s="203">
        <f>IF('_Datos'!$C48,'_Datos'!$O48,"")</f>
      </c>
      <c r="C48" s="204">
        <f>IF('_Datos'!$C48,'_Datos'!$F48,IF('_Datos'!$B48,'Proyecto Datos (OKR´s)'!$G48,""))</f>
      </c>
      <c r="D48" s="203">
        <f>IF('_Datos'!$C48,'_Datos'!$AO48,"")</f>
      </c>
      <c r="E48" s="205">
        <f>IF('_Datos'!$C48,'_Datos'!$H48,"")</f>
      </c>
      <c r="F48" s="203">
        <f>IF('_Datos'!$C48,'_Datos'!$AR48,"")</f>
      </c>
      <c r="G48" s="203"/>
      <c r="H48" s="204"/>
      <c r="I48" s="203">
        <f>IF('_Datos'!$C48,'_Datos'!$AV48,"")</f>
      </c>
      <c r="J48" s="207">
        <f>IF('_Datos'!$C48,'_Datos'!$AX48,"")</f>
      </c>
      <c r="K48" s="204">
        <f>IF('_Datos'!$C48,IF('Proyecto Datos (OKR´s)'!$C48="","",'Proyecto Datos (OKR´s)'!$C48),"")</f>
      </c>
      <c r="L48" s="204"/>
      <c r="M48" s="191"/>
      <c r="N48" s="203">
        <f>IF('_Datos'!$C48,'_Datos'!$BA48,"")</f>
      </c>
    </row>
    <row r="49">
      <c r="B49" s="203">
        <f>IF('_Datos'!$C49,'_Datos'!$O49,"")</f>
      </c>
      <c r="C49" s="204">
        <f>IF('_Datos'!$C49,'_Datos'!$F49,IF('_Datos'!$B49,'Proyecto Datos (OKR´s)'!$G49,""))</f>
      </c>
      <c r="D49" s="203">
        <f>IF('_Datos'!$C49,'_Datos'!$AO49,"")</f>
      </c>
      <c r="E49" s="205">
        <f>IF('_Datos'!$C49,'_Datos'!$H49,"")</f>
      </c>
      <c r="F49" s="203">
        <f>IF('_Datos'!$C49,'_Datos'!$AR49,"")</f>
      </c>
      <c r="G49" s="203"/>
      <c r="H49" s="204"/>
      <c r="I49" s="203">
        <f>IF('_Datos'!$C49,'_Datos'!$AV49,"")</f>
      </c>
      <c r="J49" s="207">
        <f>IF('_Datos'!$C49,'_Datos'!$AX49,"")</f>
      </c>
      <c r="K49" s="204">
        <f>IF('_Datos'!$C49,IF('Proyecto Datos (OKR´s)'!$C49="","",'Proyecto Datos (OKR´s)'!$C49),"")</f>
      </c>
      <c r="L49" s="204"/>
      <c r="M49" s="191">
        <v>3</v>
      </c>
      <c r="N49" s="203">
        <f>IF('_Datos'!$C49,'_Datos'!$BA49,"")</f>
      </c>
    </row>
    <row r="50">
      <c r="B50" s="203">
        <f>IF('_Datos'!$C50,'_Datos'!$O50,"")</f>
      </c>
      <c r="C50" s="204">
        <f>IF('_Datos'!$C50,'_Datos'!$F50,IF('_Datos'!$B50,'Proyecto Datos (OKR´s)'!$G50,""))</f>
      </c>
      <c r="D50" s="203">
        <f>IF('_Datos'!$C50,'_Datos'!$AO50,"")</f>
      </c>
      <c r="E50" s="205">
        <f>IF('_Datos'!$C50,'_Datos'!$H50,"")</f>
      </c>
      <c r="F50" s="203">
        <f>IF('_Datos'!$C50,'_Datos'!$AR50,"")</f>
      </c>
      <c r="G50" s="203"/>
      <c r="H50" s="204"/>
      <c r="I50" s="203">
        <f>IF('_Datos'!$C50,'_Datos'!$AV50,"")</f>
      </c>
      <c r="J50" s="207">
        <f>IF('_Datos'!$C50,'_Datos'!$AX50,"")</f>
      </c>
      <c r="K50" s="204">
        <f>IF('_Datos'!$C50,IF('Proyecto Datos (OKR´s)'!$C50="","",'Proyecto Datos (OKR´s)'!$C50),"")</f>
      </c>
      <c r="L50" s="204"/>
      <c r="M50" s="191">
        <v>3</v>
      </c>
      <c r="N50" s="203">
        <f>IF('_Datos'!$C50,'_Datos'!$BA50,"")</f>
      </c>
    </row>
    <row r="51">
      <c r="B51" s="203">
        <f>IF('_Datos'!$C51,'_Datos'!$O51,"")</f>
      </c>
      <c r="C51" s="204">
        <f>IF('_Datos'!$C51,'_Datos'!$F51,IF('_Datos'!$B51,'Proyecto Datos (OKR´s)'!$G51,""))</f>
      </c>
      <c r="D51" s="203">
        <f>IF('_Datos'!$C51,'_Datos'!$AO51,"")</f>
      </c>
      <c r="E51" s="205">
        <f>IF('_Datos'!$C51,'_Datos'!$H51,"")</f>
      </c>
      <c r="F51" s="203">
        <f>IF('_Datos'!$C51,'_Datos'!$AR51,"")</f>
      </c>
      <c r="G51" s="203"/>
      <c r="H51" s="204"/>
      <c r="I51" s="203">
        <f>IF('_Datos'!$C51,'_Datos'!$AV51,"")</f>
      </c>
      <c r="J51" s="207">
        <f>IF('_Datos'!$C51,'_Datos'!$AX51,"")</f>
      </c>
      <c r="K51" s="204">
        <f>IF('_Datos'!$C51,IF('Proyecto Datos (OKR´s)'!$C51="","",'Proyecto Datos (OKR´s)'!$C51),"")</f>
      </c>
      <c r="L51" s="204"/>
      <c r="M51" s="191">
        <v>3</v>
      </c>
      <c r="N51" s="203">
        <f>IF('_Datos'!$C51,'_Datos'!$BA51,"")</f>
      </c>
    </row>
    <row r="52">
      <c r="B52" s="203">
        <f>IF('_Datos'!$C52,'_Datos'!$O52,"")</f>
      </c>
      <c r="C52" s="204">
        <f>IF('_Datos'!$C52,'_Datos'!$F52,IF('_Datos'!$B52,'Proyecto Datos (OKR´s)'!$G52,""))</f>
      </c>
      <c r="D52" s="203">
        <f>IF('_Datos'!$C52,'_Datos'!$AO52,"")</f>
      </c>
      <c r="E52" s="205">
        <f>IF('_Datos'!$C52,'_Datos'!$H52,"")</f>
      </c>
      <c r="F52" s="203">
        <f>IF('_Datos'!$C52,'_Datos'!$AR52,"")</f>
      </c>
      <c r="G52" s="203"/>
      <c r="H52" s="204"/>
      <c r="I52" s="203">
        <f>IF('_Datos'!$C52,'_Datos'!$AV52,"")</f>
      </c>
      <c r="J52" s="207">
        <f>IF('_Datos'!$C52,'_Datos'!$AX52,"")</f>
      </c>
      <c r="K52" s="204">
        <f>IF('_Datos'!$C52,IF('Proyecto Datos (OKR´s)'!$C52="","",'Proyecto Datos (OKR´s)'!$C52),"")</f>
      </c>
      <c r="L52" s="204"/>
      <c r="M52" s="191"/>
      <c r="N52" s="203">
        <f>IF('_Datos'!$C52,'_Datos'!$BA52,"")</f>
      </c>
    </row>
    <row r="53">
      <c r="B53" s="203">
        <f>IF('_Datos'!$C53,'_Datos'!$O53,"")</f>
      </c>
      <c r="C53" s="204">
        <f>IF('_Datos'!$C53,'_Datos'!$F53,IF('_Datos'!$B53,'Proyecto Datos (OKR´s)'!$G53,""))</f>
      </c>
      <c r="D53" s="203">
        <f>IF('_Datos'!$C53,'_Datos'!$AO53,"")</f>
      </c>
      <c r="E53" s="205">
        <f>IF('_Datos'!$C53,'_Datos'!$H53,"")</f>
      </c>
      <c r="F53" s="203">
        <f>IF('_Datos'!$C53,'_Datos'!$AR53,"")</f>
      </c>
      <c r="G53" s="203"/>
      <c r="H53" s="204"/>
      <c r="I53" s="203">
        <f>IF('_Datos'!$C53,'_Datos'!$AV53,"")</f>
      </c>
      <c r="J53" s="207">
        <f>IF('_Datos'!$C53,'_Datos'!$AX53,"")</f>
      </c>
      <c r="K53" s="204">
        <f>IF('_Datos'!$C53,IF('Proyecto Datos (OKR´s)'!$C53="","",'Proyecto Datos (OKR´s)'!$C53),"")</f>
      </c>
      <c r="L53" s="204"/>
      <c r="M53" s="191"/>
      <c r="N53" s="203">
        <f>IF('_Datos'!$C53,'_Datos'!$BA53,"")</f>
      </c>
    </row>
    <row r="54">
      <c r="B54" s="203">
        <f>IF('_Datos'!$C54,'_Datos'!$O54,"")</f>
      </c>
      <c r="C54" s="204">
        <f>IF('_Datos'!$C54,'_Datos'!$F54,IF('_Datos'!$B54,'Proyecto Datos (OKR´s)'!$G54,""))</f>
      </c>
      <c r="D54" s="203">
        <f>IF('_Datos'!$C54,'_Datos'!$AO54,"")</f>
      </c>
      <c r="E54" s="205">
        <f>IF('_Datos'!$C54,'_Datos'!$H54,"")</f>
      </c>
      <c r="F54" s="203">
        <f>IF('_Datos'!$C54,'_Datos'!$AR54,"")</f>
      </c>
      <c r="G54" s="203"/>
      <c r="H54" s="204"/>
      <c r="I54" s="203">
        <f>IF('_Datos'!$C54,'_Datos'!$AV54,"")</f>
      </c>
      <c r="J54" s="207">
        <f>IF('_Datos'!$C54,'_Datos'!$AX54,"")</f>
      </c>
      <c r="K54" s="204">
        <f>IF('_Datos'!$C54,IF('Proyecto Datos (OKR´s)'!$C54="","",'Proyecto Datos (OKR´s)'!$C54),"")</f>
      </c>
      <c r="L54" s="204"/>
      <c r="M54" s="191"/>
      <c r="N54" s="203">
        <f>IF('_Datos'!$C54,'_Datos'!$BA54,"")</f>
      </c>
    </row>
    <row r="55">
      <c r="B55" s="203">
        <f>IF('_Datos'!$C55,'_Datos'!$O55,"")</f>
      </c>
      <c r="C55" s="204">
        <f>IF('_Datos'!$C55,'_Datos'!$F55,IF('_Datos'!$B55,'Proyecto Datos (OKR´s)'!$G55,""))</f>
      </c>
      <c r="D55" s="203">
        <f>IF('_Datos'!$C55,'_Datos'!$AO55,"")</f>
      </c>
      <c r="E55" s="205">
        <f>IF('_Datos'!$C55,'_Datos'!$H55,"")</f>
      </c>
      <c r="F55" s="203">
        <f>IF('_Datos'!$C55,'_Datos'!$AR55,"")</f>
      </c>
      <c r="G55" s="203"/>
      <c r="H55" s="204"/>
      <c r="I55" s="203">
        <f>IF('_Datos'!$C55,'_Datos'!$AV55,"")</f>
      </c>
      <c r="J55" s="207">
        <f>IF('_Datos'!$C55,'_Datos'!$AX55,"")</f>
      </c>
      <c r="K55" s="204">
        <f>IF('_Datos'!$C55,IF('Proyecto Datos (OKR´s)'!$C55="","",'Proyecto Datos (OKR´s)'!$C55),"")</f>
      </c>
      <c r="L55" s="204"/>
      <c r="M55" s="191"/>
      <c r="N55" s="203">
        <f>IF('_Datos'!$C55,'_Datos'!$BA55,"")</f>
      </c>
    </row>
    <row r="56">
      <c r="B56" s="203">
        <f>IF('_Datos'!$C56,'_Datos'!$O56,"")</f>
      </c>
      <c r="C56" s="204">
        <f>IF('_Datos'!$C56,'_Datos'!$F56,IF('_Datos'!$B56,'Proyecto Datos (OKR´s)'!$G56,""))</f>
      </c>
      <c r="D56" s="203">
        <f>IF('_Datos'!$C56,'_Datos'!$AO56,"")</f>
      </c>
      <c r="E56" s="205">
        <f>IF('_Datos'!$C56,'_Datos'!$H56,"")</f>
      </c>
      <c r="F56" s="203">
        <f>IF('_Datos'!$C56,'_Datos'!$AR56,"")</f>
      </c>
      <c r="G56" s="203"/>
      <c r="H56" s="204"/>
      <c r="I56" s="203">
        <f>IF('_Datos'!$C56,'_Datos'!$AV56,"")</f>
      </c>
      <c r="J56" s="207">
        <f>IF('_Datos'!$C56,'_Datos'!$AX56,"")</f>
      </c>
      <c r="K56" s="204">
        <f>IF('_Datos'!$C56,IF('Proyecto Datos (OKR´s)'!$C56="","",'Proyecto Datos (OKR´s)'!$C56),"")</f>
      </c>
      <c r="L56" s="204"/>
      <c r="M56" s="191"/>
      <c r="N56" s="203">
        <f>IF('_Datos'!$C56,'_Datos'!$BA56,"")</f>
      </c>
    </row>
    <row r="57">
      <c r="B57" s="203">
        <f>IF('_Datos'!$C57,'_Datos'!$O57,"")</f>
      </c>
      <c r="C57" s="204">
        <f>IF('_Datos'!$C57,'_Datos'!$F57,IF('_Datos'!$B57,'Proyecto Datos (OKR´s)'!$G57,""))</f>
      </c>
      <c r="D57" s="203">
        <f>IF('_Datos'!$C57,'_Datos'!$AO57,"")</f>
      </c>
      <c r="E57" s="205">
        <f>IF('_Datos'!$C57,'_Datos'!$H57,"")</f>
      </c>
      <c r="F57" s="203">
        <f>IF('_Datos'!$C57,'_Datos'!$AR57,"")</f>
      </c>
      <c r="G57" s="203"/>
      <c r="H57" s="204"/>
      <c r="I57" s="203">
        <f>IF('_Datos'!$C57,'_Datos'!$AV57,"")</f>
      </c>
      <c r="J57" s="207">
        <f>IF('_Datos'!$C57,'_Datos'!$AX57,"")</f>
      </c>
      <c r="K57" s="204">
        <f>IF('_Datos'!$C57,IF('Proyecto Datos (OKR´s)'!$C57="","",'Proyecto Datos (OKR´s)'!$C57),"")</f>
      </c>
      <c r="L57" s="204"/>
      <c r="M57" s="191"/>
      <c r="N57" s="203">
        <f>IF('_Datos'!$C57,'_Datos'!$BA57,"")</f>
      </c>
    </row>
    <row r="58">
      <c r="B58" s="203">
        <f>IF('_Datos'!$C58,'_Datos'!$O58,"")</f>
      </c>
      <c r="C58" s="204">
        <f>IF('_Datos'!$C58,'_Datos'!$F58,IF('_Datos'!$B58,'Proyecto Datos (OKR´s)'!$G58,""))</f>
      </c>
      <c r="D58" s="203">
        <f>IF('_Datos'!$C58,'_Datos'!$AO58,"")</f>
      </c>
      <c r="E58" s="205">
        <f>IF('_Datos'!$C58,'_Datos'!$H58,"")</f>
      </c>
      <c r="F58" s="203">
        <f>IF('_Datos'!$C58,'_Datos'!$AR58,"")</f>
      </c>
      <c r="G58" s="203"/>
      <c r="H58" s="204"/>
      <c r="I58" s="203">
        <f>IF('_Datos'!$C58,'_Datos'!$AV58,"")</f>
      </c>
      <c r="J58" s="207">
        <f>IF('_Datos'!$C58,'_Datos'!$AX58,"")</f>
      </c>
      <c r="K58" s="204">
        <f>IF('_Datos'!$C58,IF('Proyecto Datos (OKR´s)'!$C58="","",'Proyecto Datos (OKR´s)'!$C58),"")</f>
      </c>
      <c r="L58" s="204"/>
      <c r="M58" s="191"/>
      <c r="N58" s="203">
        <f>IF('_Datos'!$C58,'_Datos'!$BA58,"")</f>
      </c>
    </row>
    <row r="59">
      <c r="B59" s="203">
        <f>IF('_Datos'!$C59,'_Datos'!$O59,"")</f>
      </c>
      <c r="C59" s="204">
        <f>IF('_Datos'!$C59,'_Datos'!$F59,IF('_Datos'!$B59,'Proyecto Datos (OKR´s)'!$G59,""))</f>
      </c>
      <c r="D59" s="203">
        <f>IF('_Datos'!$C59,'_Datos'!$AO59,"")</f>
      </c>
      <c r="E59" s="205">
        <f>IF('_Datos'!$C59,'_Datos'!$H59,"")</f>
      </c>
      <c r="F59" s="203">
        <f>IF('_Datos'!$C59,'_Datos'!$AR59,"")</f>
      </c>
      <c r="G59" s="203"/>
      <c r="H59" s="204"/>
      <c r="I59" s="203">
        <f>IF('_Datos'!$C59,'_Datos'!$AV59,"")</f>
      </c>
      <c r="J59" s="207">
        <f>IF('_Datos'!$C59,'_Datos'!$AX59,"")</f>
      </c>
      <c r="K59" s="204">
        <f>IF('_Datos'!$C59,IF('Proyecto Datos (OKR´s)'!$C59="","",'Proyecto Datos (OKR´s)'!$C59),"")</f>
      </c>
      <c r="L59" s="204"/>
      <c r="M59" s="191"/>
      <c r="N59" s="203">
        <f>IF('_Datos'!$C59,'_Datos'!$BA59,"")</f>
      </c>
    </row>
    <row r="60">
      <c r="B60" s="203">
        <f>IF('_Datos'!$C60,'_Datos'!$O60,"")</f>
      </c>
      <c r="C60" s="204">
        <f>IF('_Datos'!$C60,'_Datos'!$F60,IF('_Datos'!$B60,'Proyecto Datos (OKR´s)'!$G60,""))</f>
      </c>
      <c r="D60" s="203">
        <f>IF('_Datos'!$C60,'_Datos'!$AO60,"")</f>
      </c>
      <c r="E60" s="205">
        <f>IF('_Datos'!$C60,'_Datos'!$H60,"")</f>
      </c>
      <c r="F60" s="203">
        <f>IF('_Datos'!$C60,'_Datos'!$AR60,"")</f>
      </c>
      <c r="G60" s="203"/>
      <c r="H60" s="204"/>
      <c r="I60" s="203">
        <f>IF('_Datos'!$C60,'_Datos'!$AV60,"")</f>
      </c>
      <c r="J60" s="207">
        <f>IF('_Datos'!$C60,'_Datos'!$AX60,"")</f>
      </c>
      <c r="K60" s="204">
        <f>IF('_Datos'!$C60,IF('Proyecto Datos (OKR´s)'!$C60="","",'Proyecto Datos (OKR´s)'!$C60),"")</f>
      </c>
      <c r="L60" s="204"/>
      <c r="M60" s="191"/>
      <c r="N60" s="203">
        <f>IF('_Datos'!$C60,'_Datos'!$BA60,"")</f>
      </c>
    </row>
    <row r="61">
      <c r="B61" s="203">
        <f>IF('_Datos'!$C61,'_Datos'!$O61,"")</f>
      </c>
      <c r="C61" s="204">
        <f>IF('_Datos'!$C61,'_Datos'!$F61,IF('_Datos'!$B61,'Proyecto Datos (OKR´s)'!$G61,""))</f>
      </c>
      <c r="D61" s="203">
        <f>IF('_Datos'!$C61,'_Datos'!$AO61,"")</f>
      </c>
      <c r="E61" s="205">
        <f>IF('_Datos'!$C61,'_Datos'!$H61,"")</f>
      </c>
      <c r="F61" s="203">
        <f>IF('_Datos'!$C61,'_Datos'!$AR61,"")</f>
      </c>
      <c r="G61" s="203"/>
      <c r="H61" s="204"/>
      <c r="I61" s="203">
        <f>IF('_Datos'!$C61,'_Datos'!$AV61,"")</f>
      </c>
      <c r="J61" s="207">
        <f>IF('_Datos'!$C61,'_Datos'!$AX61,"")</f>
      </c>
      <c r="K61" s="204">
        <f>IF('_Datos'!$C61,IF('Proyecto Datos (OKR´s)'!$C61="","",'Proyecto Datos (OKR´s)'!$C61),"")</f>
      </c>
      <c r="L61" s="204"/>
      <c r="M61" s="191"/>
      <c r="N61" s="203">
        <f>IF('_Datos'!$C61,'_Datos'!$BA61,"")</f>
      </c>
    </row>
    <row r="62">
      <c r="B62" s="203">
        <f>IF('_Datos'!$C62,'_Datos'!$O62,"")</f>
      </c>
      <c r="C62" s="204">
        <f>IF('_Datos'!$C62,'_Datos'!$F62,IF('_Datos'!$B62,'Proyecto Datos (OKR´s)'!$G62,""))</f>
      </c>
      <c r="D62" s="203">
        <f>IF('_Datos'!$C62,'_Datos'!$AO62,"")</f>
      </c>
      <c r="E62" s="205">
        <f>IF('_Datos'!$C62,'_Datos'!$H62,"")</f>
      </c>
      <c r="F62" s="203">
        <f>IF('_Datos'!$C62,'_Datos'!$AR62,"")</f>
      </c>
      <c r="G62" s="203"/>
      <c r="H62" s="204"/>
      <c r="I62" s="203">
        <f>IF('_Datos'!$C62,'_Datos'!$AV62,"")</f>
      </c>
      <c r="J62" s="207">
        <f>IF('_Datos'!$C62,'_Datos'!$AX62,"")</f>
      </c>
      <c r="K62" s="204">
        <f>IF('_Datos'!$C62,IF('Proyecto Datos (OKR´s)'!$C62="","",'Proyecto Datos (OKR´s)'!$C62),"")</f>
      </c>
      <c r="L62" s="204"/>
      <c r="M62" s="191"/>
      <c r="N62" s="203">
        <f>IF('_Datos'!$C62,'_Datos'!$BA62,"")</f>
      </c>
    </row>
    <row r="63">
      <c r="B63" s="203">
        <f>IF('_Datos'!$C63,'_Datos'!$O63,"")</f>
      </c>
      <c r="C63" s="204">
        <f>IF('_Datos'!$C63,'_Datos'!$F63,IF('_Datos'!$B63,'Proyecto Datos (OKR´s)'!$G63,""))</f>
      </c>
      <c r="D63" s="203">
        <f>IF('_Datos'!$C63,'_Datos'!$AO63,"")</f>
      </c>
      <c r="E63" s="205">
        <f>IF('_Datos'!$C63,'_Datos'!$H63,"")</f>
      </c>
      <c r="F63" s="203">
        <f>IF('_Datos'!$C63,'_Datos'!$AR63,"")</f>
      </c>
      <c r="G63" s="203"/>
      <c r="H63" s="204"/>
      <c r="I63" s="203">
        <f>IF('_Datos'!$C63,'_Datos'!$AV63,"")</f>
      </c>
      <c r="J63" s="207">
        <f>IF('_Datos'!$C63,'_Datos'!$AX63,"")</f>
      </c>
      <c r="K63" s="204">
        <f>IF('_Datos'!$C63,IF('Proyecto Datos (OKR´s)'!$C63="","",'Proyecto Datos (OKR´s)'!$C63),"")</f>
      </c>
      <c r="L63" s="204"/>
      <c r="M63" s="191"/>
      <c r="N63" s="203">
        <f>IF('_Datos'!$C63,'_Datos'!$BA63,"")</f>
      </c>
    </row>
    <row r="64">
      <c r="B64" s="203">
        <f>IF('_Datos'!$C64,'_Datos'!$O64,"")</f>
      </c>
      <c r="C64" s="204">
        <f>IF('_Datos'!$C64,'_Datos'!$F64,IF('_Datos'!$B64,'Proyecto Datos (OKR´s)'!$G64,""))</f>
      </c>
      <c r="D64" s="203">
        <f>IF('_Datos'!$C64,'_Datos'!$AO64,"")</f>
      </c>
      <c r="E64" s="205">
        <f>IF('_Datos'!$C64,'_Datos'!$H64,"")</f>
      </c>
      <c r="F64" s="203">
        <f>IF('_Datos'!$C64,'_Datos'!$AR64,"")</f>
      </c>
      <c r="G64" s="203"/>
      <c r="H64" s="204"/>
      <c r="I64" s="203">
        <f>IF('_Datos'!$C64,'_Datos'!$AV64,"")</f>
      </c>
      <c r="J64" s="207">
        <f>IF('_Datos'!$C64,'_Datos'!$AX64,"")</f>
      </c>
      <c r="K64" s="204">
        <f>IF('_Datos'!$C64,IF('Proyecto Datos (OKR´s)'!$C64="","",'Proyecto Datos (OKR´s)'!$C64),"")</f>
      </c>
      <c r="L64" s="204"/>
      <c r="M64" s="191"/>
      <c r="N64" s="203">
        <f>IF('_Datos'!$C64,'_Datos'!$BA64,"")</f>
      </c>
    </row>
    <row r="65">
      <c r="B65" s="203">
        <f>IF('_Datos'!$C65,'_Datos'!$O65,"")</f>
      </c>
      <c r="C65" s="204">
        <f>IF('_Datos'!$C65,'_Datos'!$F65,IF('_Datos'!$B65,'Proyecto Datos (OKR´s)'!$G65,""))</f>
      </c>
      <c r="D65" s="203">
        <f>IF('_Datos'!$C65,'_Datos'!$AO65,"")</f>
      </c>
      <c r="E65" s="205">
        <f>IF('_Datos'!$C65,'_Datos'!$H65,"")</f>
      </c>
      <c r="F65" s="203">
        <f>IF('_Datos'!$C65,'_Datos'!$AR65,"")</f>
      </c>
      <c r="G65" s="203"/>
      <c r="H65" s="204"/>
      <c r="I65" s="203">
        <f>IF('_Datos'!$C65,'_Datos'!$AV65,"")</f>
      </c>
      <c r="J65" s="207">
        <f>IF('_Datos'!$C65,'_Datos'!$AX65,"")</f>
      </c>
      <c r="K65" s="204">
        <f>IF('_Datos'!$C65,IF('Proyecto Datos (OKR´s)'!$C65="","",'Proyecto Datos (OKR´s)'!$C65),"")</f>
      </c>
      <c r="L65" s="204"/>
      <c r="M65" s="191"/>
      <c r="N65" s="203">
        <f>IF('_Datos'!$C65,'_Datos'!$BA65,"")</f>
      </c>
    </row>
    <row r="66">
      <c r="B66" s="203">
        <f>IF('_Datos'!$C66,'_Datos'!$O66,"")</f>
      </c>
      <c r="C66" s="204">
        <f>IF('_Datos'!$C66,'_Datos'!$F66,IF('_Datos'!$B66,'Proyecto Datos (OKR´s)'!$G66,""))</f>
      </c>
      <c r="D66" s="203">
        <f>IF('_Datos'!$C66,'_Datos'!$AO66,"")</f>
      </c>
      <c r="E66" s="205">
        <f>IF('_Datos'!$C66,'_Datos'!$H66,"")</f>
      </c>
      <c r="F66" s="203">
        <f>IF('_Datos'!$C66,'_Datos'!$AR66,"")</f>
      </c>
      <c r="G66" s="203"/>
      <c r="H66" s="204"/>
      <c r="I66" s="203">
        <f>IF('_Datos'!$C66,'_Datos'!$AV66,"")</f>
      </c>
      <c r="J66" s="207">
        <f>IF('_Datos'!$C66,'_Datos'!$AX66,"")</f>
      </c>
      <c r="K66" s="204">
        <f>IF('_Datos'!$C66,IF('Proyecto Datos (OKR´s)'!$C66="","",'Proyecto Datos (OKR´s)'!$C66),"")</f>
      </c>
      <c r="L66" s="204"/>
      <c r="M66" s="191"/>
      <c r="N66" s="203">
        <f>IF('_Datos'!$C66,'_Datos'!$BA66,"")</f>
      </c>
    </row>
    <row r="67">
      <c r="B67" s="203">
        <f>IF('_Datos'!$C67,'_Datos'!$O67,"")</f>
      </c>
      <c r="C67" s="204">
        <f>IF('_Datos'!$C67,'_Datos'!$F67,IF('_Datos'!$B67,'Proyecto Datos (OKR´s)'!$G67,""))</f>
      </c>
      <c r="D67" s="203">
        <f>IF('_Datos'!$C67,'_Datos'!$AO67,"")</f>
      </c>
      <c r="E67" s="205">
        <f>IF('_Datos'!$C67,'_Datos'!$H67,"")</f>
      </c>
      <c r="F67" s="203">
        <f>IF('_Datos'!$C67,'_Datos'!$AR67,"")</f>
      </c>
      <c r="G67" s="203"/>
      <c r="H67" s="204"/>
      <c r="I67" s="203">
        <f>IF('_Datos'!$C67,'_Datos'!$AV67,"")</f>
      </c>
      <c r="J67" s="207">
        <f>IF('_Datos'!$C67,'_Datos'!$AX67,"")</f>
      </c>
      <c r="K67" s="204">
        <f>IF('_Datos'!$C67,IF('Proyecto Datos (OKR´s)'!$C67="","",'Proyecto Datos (OKR´s)'!$C67),"")</f>
      </c>
      <c r="L67" s="204"/>
      <c r="M67" s="191"/>
      <c r="N67" s="203">
        <f>IF('_Datos'!$C67,'_Datos'!$BA67,"")</f>
      </c>
    </row>
    <row r="68">
      <c r="B68" s="203">
        <f>IF('_Datos'!$C68,'_Datos'!$O68,"")</f>
      </c>
      <c r="C68" s="204">
        <f>IF('_Datos'!$C68,'_Datos'!$F68,IF('_Datos'!$B68,'Proyecto Datos (OKR´s)'!$G68,""))</f>
      </c>
      <c r="D68" s="203">
        <f>IF('_Datos'!$C68,'_Datos'!$AO68,"")</f>
      </c>
      <c r="E68" s="205">
        <f>IF('_Datos'!$C68,'_Datos'!$H68,"")</f>
      </c>
      <c r="F68" s="203">
        <f>IF('_Datos'!$C68,'_Datos'!$AR68,"")</f>
      </c>
      <c r="G68" s="203"/>
      <c r="H68" s="204"/>
      <c r="I68" s="203">
        <f>IF('_Datos'!$C68,'_Datos'!$AV68,"")</f>
      </c>
      <c r="J68" s="207">
        <f>IF('_Datos'!$C68,'_Datos'!$AX68,"")</f>
      </c>
      <c r="K68" s="204">
        <f>IF('_Datos'!$C68,IF('Proyecto Datos (OKR´s)'!$C68="","",'Proyecto Datos (OKR´s)'!$C68),"")</f>
      </c>
      <c r="L68" s="204"/>
      <c r="M68" s="191"/>
      <c r="N68" s="203">
        <f>IF('_Datos'!$C68,'_Datos'!$BA68,"")</f>
      </c>
    </row>
    <row r="69">
      <c r="B69" s="203">
        <f>IF('_Datos'!$C69,'_Datos'!$O69,"")</f>
      </c>
      <c r="C69" s="204">
        <f>IF('_Datos'!$C69,'_Datos'!$F69,IF('_Datos'!$B69,'Proyecto Datos (OKR´s)'!$G69,""))</f>
      </c>
      <c r="D69" s="203">
        <f>IF('_Datos'!$C69,'_Datos'!$AO69,"")</f>
      </c>
      <c r="E69" s="205">
        <f>IF('_Datos'!$C69,'_Datos'!$H69,"")</f>
      </c>
      <c r="F69" s="203">
        <f>IF('_Datos'!$C69,'_Datos'!$AR69,"")</f>
      </c>
      <c r="G69" s="203"/>
      <c r="H69" s="204"/>
      <c r="I69" s="203">
        <f>IF('_Datos'!$C69,'_Datos'!$AV69,"")</f>
      </c>
      <c r="J69" s="207">
        <f>IF('_Datos'!$C69,'_Datos'!$AX69,"")</f>
      </c>
      <c r="K69" s="204">
        <f>IF('_Datos'!$C69,IF('Proyecto Datos (OKR´s)'!$C69="","",'Proyecto Datos (OKR´s)'!$C69),"")</f>
      </c>
      <c r="L69" s="204"/>
      <c r="M69" s="191"/>
      <c r="N69" s="203">
        <f>IF('_Datos'!$C69,'_Datos'!$BA69,"")</f>
      </c>
    </row>
    <row r="70">
      <c r="B70" s="203">
        <f>IF('_Datos'!$C70,'_Datos'!$O70,"")</f>
      </c>
      <c r="C70" s="204">
        <f>IF('_Datos'!$C70,'_Datos'!$F70,IF('_Datos'!$B70,'Proyecto Datos (OKR´s)'!$G70,""))</f>
      </c>
      <c r="D70" s="203">
        <f>IF('_Datos'!$C70,'_Datos'!$AO70,"")</f>
      </c>
      <c r="E70" s="205">
        <f>IF('_Datos'!$C70,'_Datos'!$H70,"")</f>
      </c>
      <c r="F70" s="203">
        <f>IF('_Datos'!$C70,'_Datos'!$AR70,"")</f>
      </c>
      <c r="G70" s="203"/>
      <c r="H70" s="204"/>
      <c r="I70" s="203">
        <f>IF('_Datos'!$C70,'_Datos'!$AV70,"")</f>
      </c>
      <c r="J70" s="207">
        <f>IF('_Datos'!$C70,'_Datos'!$AX70,"")</f>
      </c>
      <c r="K70" s="204">
        <f>IF('_Datos'!$C70,IF('Proyecto Datos (OKR´s)'!$C70="","",'Proyecto Datos (OKR´s)'!$C70),"")</f>
      </c>
      <c r="L70" s="204"/>
      <c r="M70" s="191"/>
      <c r="N70" s="203">
        <f>IF('_Datos'!$C70,'_Datos'!$BA70,"")</f>
      </c>
    </row>
    <row r="71">
      <c r="B71" s="203">
        <f>IF('_Datos'!$C71,'_Datos'!$O71,"")</f>
      </c>
      <c r="C71" s="204">
        <f>IF('_Datos'!$C71,'_Datos'!$F71,IF('_Datos'!$B71,'Proyecto Datos (OKR´s)'!$G71,""))</f>
      </c>
      <c r="D71" s="203">
        <f>IF('_Datos'!$C71,'_Datos'!$AO71,"")</f>
      </c>
      <c r="E71" s="205">
        <f>IF('_Datos'!$C71,'_Datos'!$H71,"")</f>
      </c>
      <c r="F71" s="203">
        <f>IF('_Datos'!$C71,'_Datos'!$AR71,"")</f>
      </c>
      <c r="G71" s="203"/>
      <c r="H71" s="204"/>
      <c r="I71" s="203">
        <f>IF('_Datos'!$C71,'_Datos'!$AV71,"")</f>
      </c>
      <c r="J71" s="207">
        <f>IF('_Datos'!$C71,'_Datos'!$AX71,"")</f>
      </c>
      <c r="K71" s="204">
        <f>IF('_Datos'!$C71,IF('Proyecto Datos (OKR´s)'!$C71="","",'Proyecto Datos (OKR´s)'!$C71),"")</f>
      </c>
      <c r="L71" s="204"/>
      <c r="M71" s="191"/>
      <c r="N71" s="203">
        <f>IF('_Datos'!$C71,'_Datos'!$BA71,"")</f>
      </c>
    </row>
    <row r="72">
      <c r="B72" s="203">
        <f>IF('_Datos'!$C72,'_Datos'!$O72,"")</f>
      </c>
      <c r="C72" s="204">
        <f>IF('_Datos'!$C72,'_Datos'!$F72,IF('_Datos'!$B72,'Proyecto Datos (OKR´s)'!$G72,""))</f>
      </c>
      <c r="D72" s="203">
        <f>IF('_Datos'!$C72,'_Datos'!$AO72,"")</f>
      </c>
      <c r="E72" s="205">
        <f>IF('_Datos'!$C72,'_Datos'!$H72,"")</f>
      </c>
      <c r="F72" s="203">
        <f>IF('_Datos'!$C72,'_Datos'!$AR72,"")</f>
      </c>
      <c r="G72" s="203"/>
      <c r="H72" s="204"/>
      <c r="I72" s="203">
        <f>IF('_Datos'!$C72,'_Datos'!$AV72,"")</f>
      </c>
      <c r="J72" s="207">
        <f>IF('_Datos'!$C72,'_Datos'!$AX72,"")</f>
      </c>
      <c r="K72" s="204">
        <f>IF('_Datos'!$C72,IF('Proyecto Datos (OKR´s)'!$C72="","",'Proyecto Datos (OKR´s)'!$C72),"")</f>
      </c>
      <c r="L72" s="204"/>
      <c r="M72" s="191"/>
      <c r="N72" s="203">
        <f>IF('_Datos'!$C72,'_Datos'!$BA72,"")</f>
      </c>
    </row>
    <row r="73">
      <c r="B73" s="203">
        <f>IF('_Datos'!$C73,'_Datos'!$O73,"")</f>
      </c>
      <c r="C73" s="204">
        <f>IF('_Datos'!$C73,'_Datos'!$F73,IF('_Datos'!$B73,'Proyecto Datos (OKR´s)'!$G73,""))</f>
      </c>
      <c r="D73" s="203">
        <f>IF('_Datos'!$C73,'_Datos'!$AO73,"")</f>
      </c>
      <c r="E73" s="205">
        <f>IF('_Datos'!$C73,'_Datos'!$H73,"")</f>
      </c>
      <c r="F73" s="203">
        <f>IF('_Datos'!$C73,'_Datos'!$AR73,"")</f>
      </c>
      <c r="G73" s="203"/>
      <c r="H73" s="204"/>
      <c r="I73" s="203">
        <f>IF('_Datos'!$C73,'_Datos'!$AV73,"")</f>
      </c>
      <c r="J73" s="207">
        <f>IF('_Datos'!$C73,'_Datos'!$AX73,"")</f>
      </c>
      <c r="K73" s="204">
        <f>IF('_Datos'!$C73,IF('Proyecto Datos (OKR´s)'!$C73="","",'Proyecto Datos (OKR´s)'!$C73),"")</f>
      </c>
      <c r="L73" s="204"/>
      <c r="M73" s="191"/>
      <c r="N73" s="203">
        <f>IF('_Datos'!$C73,'_Datos'!$BA73,"")</f>
      </c>
    </row>
    <row r="74">
      <c r="B74" s="203">
        <f>IF('_Datos'!$C74,'_Datos'!$O74,"")</f>
      </c>
      <c r="C74" s="204">
        <f>IF('_Datos'!$C74,'_Datos'!$F74,IF('_Datos'!$B74,'Proyecto Datos (OKR´s)'!$G74,""))</f>
      </c>
      <c r="D74" s="203">
        <f>IF('_Datos'!$C74,'_Datos'!$AO74,"")</f>
      </c>
      <c r="E74" s="205">
        <f>IF('_Datos'!$C74,'_Datos'!$H74,"")</f>
      </c>
      <c r="F74" s="203">
        <f>IF('_Datos'!$C74,'_Datos'!$AR74,"")</f>
      </c>
      <c r="G74" s="203"/>
      <c r="H74" s="204"/>
      <c r="I74" s="203">
        <f>IF('_Datos'!$C74,'_Datos'!$AV74,"")</f>
      </c>
      <c r="J74" s="207">
        <f>IF('_Datos'!$C74,'_Datos'!$AX74,"")</f>
      </c>
      <c r="K74" s="204">
        <f>IF('_Datos'!$C74,IF('Proyecto Datos (OKR´s)'!$C74="","",'Proyecto Datos (OKR´s)'!$C74),"")</f>
      </c>
      <c r="L74" s="204"/>
      <c r="M74" s="191"/>
      <c r="N74" s="203">
        <f>IF('_Datos'!$C74,'_Datos'!$BA74,"")</f>
      </c>
    </row>
    <row r="75">
      <c r="B75" s="203">
        <f>IF('_Datos'!$C75,'_Datos'!$O75,"")</f>
      </c>
      <c r="C75" s="204">
        <f>IF('_Datos'!$C75,'_Datos'!$F75,IF('_Datos'!$B75,'Proyecto Datos (OKR´s)'!$G75,""))</f>
      </c>
      <c r="D75" s="203">
        <f>IF('_Datos'!$C75,'_Datos'!$AO75,"")</f>
      </c>
      <c r="E75" s="205">
        <f>IF('_Datos'!$C75,'_Datos'!$H75,"")</f>
      </c>
      <c r="F75" s="203">
        <f>IF('_Datos'!$C75,'_Datos'!$AR75,"")</f>
      </c>
      <c r="G75" s="203"/>
      <c r="H75" s="204"/>
      <c r="I75" s="203">
        <f>IF('_Datos'!$C75,'_Datos'!$AV75,"")</f>
      </c>
      <c r="J75" s="207">
        <f>IF('_Datos'!$C75,'_Datos'!$AX75,"")</f>
      </c>
      <c r="K75" s="204">
        <f>IF('_Datos'!$C75,IF('Proyecto Datos (OKR´s)'!$C75="","",'Proyecto Datos (OKR´s)'!$C75),"")</f>
      </c>
      <c r="L75" s="204"/>
      <c r="M75" s="191"/>
      <c r="N75" s="203">
        <f>IF('_Datos'!$C75,'_Datos'!$BA75,"")</f>
      </c>
    </row>
    <row r="76">
      <c r="B76" s="203">
        <f>IF('_Datos'!$C76,'_Datos'!$O76,"")</f>
      </c>
      <c r="C76" s="204">
        <f>IF('_Datos'!$C76,'_Datos'!$F76,IF('_Datos'!$B76,'Proyecto Datos (OKR´s)'!$G76,""))</f>
      </c>
      <c r="D76" s="203">
        <f>IF('_Datos'!$C76,'_Datos'!$AO76,"")</f>
      </c>
      <c r="E76" s="205">
        <f>IF('_Datos'!$C76,'_Datos'!$H76,"")</f>
      </c>
      <c r="F76" s="203">
        <f>IF('_Datos'!$C76,'_Datos'!$AR76,"")</f>
      </c>
      <c r="G76" s="203"/>
      <c r="H76" s="204"/>
      <c r="I76" s="203">
        <f>IF('_Datos'!$C76,'_Datos'!$AV76,"")</f>
      </c>
      <c r="J76" s="207">
        <f>IF('_Datos'!$C76,'_Datos'!$AX76,"")</f>
      </c>
      <c r="K76" s="204">
        <f>IF('_Datos'!$C76,IF('Proyecto Datos (OKR´s)'!$C76="","",'Proyecto Datos (OKR´s)'!$C76),"")</f>
      </c>
      <c r="L76" s="204"/>
      <c r="M76" s="191"/>
      <c r="N76" s="203">
        <f>IF('_Datos'!$C76,'_Datos'!$BA76,"")</f>
      </c>
    </row>
    <row r="77">
      <c r="B77" s="203">
        <f>IF('_Datos'!$C77,'_Datos'!$O77,"")</f>
      </c>
      <c r="C77" s="204">
        <f>IF('_Datos'!$C77,'_Datos'!$F77,IF('_Datos'!$B77,'Proyecto Datos (OKR´s)'!$G77,""))</f>
      </c>
      <c r="D77" s="203">
        <f>IF('_Datos'!$C77,'_Datos'!$AO77,"")</f>
      </c>
      <c r="E77" s="205">
        <f>IF('_Datos'!$C77,'_Datos'!$H77,"")</f>
      </c>
      <c r="F77" s="203">
        <f>IF('_Datos'!$C77,'_Datos'!$AR77,"")</f>
      </c>
      <c r="G77" s="203"/>
      <c r="H77" s="204"/>
      <c r="I77" s="203">
        <f>IF('_Datos'!$C77,'_Datos'!$AV77,"")</f>
      </c>
      <c r="J77" s="207">
        <f>IF('_Datos'!$C77,'_Datos'!$AX77,"")</f>
      </c>
      <c r="K77" s="204">
        <f>IF('_Datos'!$C77,IF('Proyecto Datos (OKR´s)'!$C77="","",'Proyecto Datos (OKR´s)'!$C77),"")</f>
      </c>
      <c r="L77" s="204"/>
      <c r="M77" s="191"/>
      <c r="N77" s="203">
        <f>IF('_Datos'!$C77,'_Datos'!$BA77,"")</f>
      </c>
    </row>
    <row r="78">
      <c r="B78" s="203">
        <f>IF('_Datos'!$C78,'_Datos'!$O78,"")</f>
      </c>
      <c r="C78" s="204">
        <f>IF('_Datos'!$C78,'_Datos'!$F78,IF('_Datos'!$B78,'Proyecto Datos (OKR´s)'!$G78,""))</f>
      </c>
      <c r="D78" s="203">
        <f>IF('_Datos'!$C78,'_Datos'!$AO78,"")</f>
      </c>
      <c r="E78" s="205">
        <f>IF('_Datos'!$C78,'_Datos'!$H78,"")</f>
      </c>
      <c r="F78" s="203">
        <f>IF('_Datos'!$C78,'_Datos'!$AR78,"")</f>
      </c>
      <c r="G78" s="203"/>
      <c r="H78" s="204"/>
      <c r="I78" s="203">
        <f>IF('_Datos'!$C78,'_Datos'!$AV78,"")</f>
      </c>
      <c r="J78" s="207">
        <f>IF('_Datos'!$C78,'_Datos'!$AX78,"")</f>
      </c>
      <c r="K78" s="204">
        <f>IF('_Datos'!$C78,IF('Proyecto Datos (OKR´s)'!$C78="","",'Proyecto Datos (OKR´s)'!$C78),"")</f>
      </c>
      <c r="L78" s="204"/>
      <c r="M78" s="191"/>
      <c r="N78" s="203">
        <f>IF('_Datos'!$C78,'_Datos'!$BA78,"")</f>
      </c>
    </row>
    <row r="79">
      <c r="B79" s="203">
        <f>IF('_Datos'!$C79,'_Datos'!$O79,"")</f>
      </c>
      <c r="C79" s="204">
        <f>IF('_Datos'!$C79,'_Datos'!$F79,IF('_Datos'!$B79,'Proyecto Datos (OKR´s)'!$G79,""))</f>
      </c>
      <c r="D79" s="203">
        <f>IF('_Datos'!$C79,'_Datos'!$AO79,"")</f>
      </c>
      <c r="E79" s="205">
        <f>IF('_Datos'!$C79,'_Datos'!$H79,"")</f>
      </c>
      <c r="F79" s="203">
        <f>IF('_Datos'!$C79,'_Datos'!$AR79,"")</f>
      </c>
      <c r="G79" s="203"/>
      <c r="H79" s="204"/>
      <c r="I79" s="203">
        <f>IF('_Datos'!$C79,'_Datos'!$AV79,"")</f>
      </c>
      <c r="J79" s="207">
        <f>IF('_Datos'!$C79,'_Datos'!$AX79,"")</f>
      </c>
      <c r="K79" s="204">
        <f>IF('_Datos'!$C79,IF('Proyecto Datos (OKR´s)'!$C79="","",'Proyecto Datos (OKR´s)'!$C79),"")</f>
      </c>
      <c r="L79" s="204"/>
      <c r="M79" s="191"/>
      <c r="N79" s="203">
        <f>IF('_Datos'!$C79,'_Datos'!$BA79,"")</f>
      </c>
    </row>
    <row r="80">
      <c r="B80" s="203">
        <f>IF('_Datos'!$C80,'_Datos'!$O80,"")</f>
      </c>
      <c r="C80" s="204">
        <f>IF('_Datos'!$C80,'_Datos'!$F80,IF('_Datos'!$B80,'Proyecto Datos (OKR´s)'!$G80,""))</f>
      </c>
      <c r="D80" s="203">
        <f>IF('_Datos'!$C80,'_Datos'!$AO80,"")</f>
      </c>
      <c r="E80" s="205">
        <f>IF('_Datos'!$C80,'_Datos'!$H80,"")</f>
      </c>
      <c r="F80" s="203">
        <f>IF('_Datos'!$C80,'_Datos'!$AR80,"")</f>
      </c>
      <c r="G80" s="203"/>
      <c r="H80" s="204"/>
      <c r="I80" s="203">
        <f>IF('_Datos'!$C80,'_Datos'!$AV80,"")</f>
      </c>
      <c r="J80" s="207">
        <f>IF('_Datos'!$C80,'_Datos'!$AX80,"")</f>
      </c>
      <c r="K80" s="204">
        <f>IF('_Datos'!$C80,IF('Proyecto Datos (OKR´s)'!$C80="","",'Proyecto Datos (OKR´s)'!$C80),"")</f>
      </c>
      <c r="L80" s="204"/>
      <c r="M80" s="191"/>
      <c r="N80" s="203">
        <f>IF('_Datos'!$C80,'_Datos'!$BA80,"")</f>
      </c>
    </row>
    <row r="81">
      <c r="B81" s="203">
        <f>IF('_Datos'!$C81,'_Datos'!$O81,"")</f>
      </c>
      <c r="C81" s="204">
        <f>IF('_Datos'!$C81,'_Datos'!$F81,IF('_Datos'!$B81,'Proyecto Datos (OKR´s)'!$G81,""))</f>
      </c>
      <c r="D81" s="203">
        <f>IF('_Datos'!$C81,'_Datos'!$AO81,"")</f>
      </c>
      <c r="E81" s="205">
        <f>IF('_Datos'!$C81,'_Datos'!$H81,"")</f>
      </c>
      <c r="F81" s="203">
        <f>IF('_Datos'!$C81,'_Datos'!$AR81,"")</f>
      </c>
      <c r="G81" s="203"/>
      <c r="H81" s="204"/>
      <c r="I81" s="203">
        <f>IF('_Datos'!$C81,'_Datos'!$AV81,"")</f>
      </c>
      <c r="J81" s="207">
        <f>IF('_Datos'!$C81,'_Datos'!$AX81,"")</f>
      </c>
      <c r="K81" s="204">
        <f>IF('_Datos'!$C81,IF('Proyecto Datos (OKR´s)'!$C81="","",'Proyecto Datos (OKR´s)'!$C81),"")</f>
      </c>
      <c r="L81" s="204"/>
      <c r="M81" s="191"/>
      <c r="N81" s="203">
        <f>IF('_Datos'!$C81,'_Datos'!$BA81,"")</f>
      </c>
    </row>
    <row r="82">
      <c r="B82" s="203">
        <f>IF('_Datos'!$C82,'_Datos'!$O82,"")</f>
      </c>
      <c r="C82" s="204">
        <f>IF('_Datos'!$C82,'_Datos'!$F82,IF('_Datos'!$B82,'Proyecto Datos (OKR´s)'!$G82,""))</f>
      </c>
      <c r="D82" s="203">
        <f>IF('_Datos'!$C82,'_Datos'!$AO82,"")</f>
      </c>
      <c r="E82" s="205">
        <f>IF('_Datos'!$C82,'_Datos'!$H82,"")</f>
      </c>
      <c r="F82" s="203">
        <f>IF('_Datos'!$C82,'_Datos'!$AR82,"")</f>
      </c>
      <c r="G82" s="203"/>
      <c r="H82" s="204"/>
      <c r="I82" s="203">
        <f>IF('_Datos'!$C82,'_Datos'!$AV82,"")</f>
      </c>
      <c r="J82" s="207">
        <f>IF('_Datos'!$C82,'_Datos'!$AX82,"")</f>
      </c>
      <c r="K82" s="204">
        <f>IF('_Datos'!$C82,IF('Proyecto Datos (OKR´s)'!$C82="","",'Proyecto Datos (OKR´s)'!$C82),"")</f>
      </c>
      <c r="L82" s="204"/>
      <c r="M82" s="191"/>
      <c r="N82" s="203">
        <f>IF('_Datos'!$C82,'_Datos'!$BA82,"")</f>
      </c>
    </row>
    <row r="83">
      <c r="B83" s="203">
        <f>IF('_Datos'!$C83,'_Datos'!$O83,"")</f>
      </c>
      <c r="C83" s="204">
        <f>IF('_Datos'!$C83,'_Datos'!$F83,IF('_Datos'!$B83,'Proyecto Datos (OKR´s)'!$G83,""))</f>
      </c>
      <c r="D83" s="203">
        <f>IF('_Datos'!$C83,'_Datos'!$AO83,"")</f>
      </c>
      <c r="E83" s="205">
        <f>IF('_Datos'!$C83,'_Datos'!$H83,"")</f>
      </c>
      <c r="F83" s="203">
        <f>IF('_Datos'!$C83,'_Datos'!$AR83,"")</f>
      </c>
      <c r="G83" s="203"/>
      <c r="H83" s="204"/>
      <c r="I83" s="203">
        <f>IF('_Datos'!$C83,'_Datos'!$AV83,"")</f>
      </c>
      <c r="J83" s="207">
        <f>IF('_Datos'!$C83,'_Datos'!$AX83,"")</f>
      </c>
      <c r="K83" s="204">
        <f>IF('_Datos'!$C83,IF('Proyecto Datos (OKR´s)'!$C83="","",'Proyecto Datos (OKR´s)'!$C83),"")</f>
      </c>
      <c r="L83" s="204"/>
      <c r="M83" s="191"/>
      <c r="N83" s="203">
        <f>IF('_Datos'!$C83,'_Datos'!$BA83,"")</f>
      </c>
    </row>
    <row r="84">
      <c r="B84" s="203">
        <f>IF('_Datos'!$C84,'_Datos'!$O84,"")</f>
      </c>
      <c r="C84" s="204">
        <f>IF('_Datos'!$C84,'_Datos'!$F84,IF('_Datos'!$B84,'Proyecto Datos (OKR´s)'!$G84,""))</f>
      </c>
      <c r="D84" s="203">
        <f>IF('_Datos'!$C84,'_Datos'!$AO84,"")</f>
      </c>
      <c r="E84" s="205">
        <f>IF('_Datos'!$C84,'_Datos'!$H84,"")</f>
      </c>
      <c r="F84" s="203">
        <f>IF('_Datos'!$C84,'_Datos'!$AR84,"")</f>
      </c>
      <c r="G84" s="203"/>
      <c r="H84" s="204"/>
      <c r="I84" s="203">
        <f>IF('_Datos'!$C84,'_Datos'!$AV84,"")</f>
      </c>
      <c r="J84" s="207">
        <f>IF('_Datos'!$C84,'_Datos'!$AX84,"")</f>
      </c>
      <c r="K84" s="204">
        <f>IF('_Datos'!$C84,IF('Proyecto Datos (OKR´s)'!$C84="","",'Proyecto Datos (OKR´s)'!$C84),"")</f>
      </c>
      <c r="L84" s="204"/>
      <c r="M84" s="191"/>
      <c r="N84" s="203">
        <f>IF('_Datos'!$C84,'_Datos'!$BA84,"")</f>
      </c>
    </row>
    <row r="85">
      <c r="B85" s="203">
        <f>IF('_Datos'!$C85,'_Datos'!$O85,"")</f>
      </c>
      <c r="C85" s="204">
        <f>IF('_Datos'!$C85,'_Datos'!$F85,IF('_Datos'!$B85,'Proyecto Datos (OKR´s)'!$G85,""))</f>
      </c>
      <c r="D85" s="203">
        <f>IF('_Datos'!$C85,'_Datos'!$AO85,"")</f>
      </c>
      <c r="E85" s="205">
        <f>IF('_Datos'!$C85,'_Datos'!$H85,"")</f>
      </c>
      <c r="F85" s="203">
        <f>IF('_Datos'!$C85,'_Datos'!$AR85,"")</f>
      </c>
      <c r="G85" s="203"/>
      <c r="H85" s="204"/>
      <c r="I85" s="203">
        <f>IF('_Datos'!$C85,'_Datos'!$AV85,"")</f>
      </c>
      <c r="J85" s="207">
        <f>IF('_Datos'!$C85,'_Datos'!$AX85,"")</f>
      </c>
      <c r="K85" s="204">
        <f>IF('_Datos'!$C85,IF('Proyecto Datos (OKR´s)'!$C85="","",'Proyecto Datos (OKR´s)'!$C85),"")</f>
      </c>
      <c r="L85" s="204"/>
      <c r="M85" s="191"/>
      <c r="N85" s="203">
        <f>IF('_Datos'!$C85,'_Datos'!$BA85,"")</f>
      </c>
    </row>
    <row r="86">
      <c r="B86" s="203">
        <f>IF('_Datos'!$C86,'_Datos'!$O86,"")</f>
      </c>
      <c r="C86" s="204">
        <f>IF('_Datos'!$C86,'_Datos'!$F86,IF('_Datos'!$B86,'Proyecto Datos (OKR´s)'!$G86,""))</f>
      </c>
      <c r="D86" s="203">
        <f>IF('_Datos'!$C86,'_Datos'!$AO86,"")</f>
      </c>
      <c r="E86" s="205">
        <f>IF('_Datos'!$C86,'_Datos'!$H86,"")</f>
      </c>
      <c r="F86" s="203">
        <f>IF('_Datos'!$C86,'_Datos'!$AR86,"")</f>
      </c>
      <c r="G86" s="203"/>
      <c r="H86" s="204"/>
      <c r="I86" s="203">
        <f>IF('_Datos'!$C86,'_Datos'!$AV86,"")</f>
      </c>
      <c r="J86" s="207">
        <f>IF('_Datos'!$C86,'_Datos'!$AX86,"")</f>
      </c>
      <c r="K86" s="204">
        <f>IF('_Datos'!$C86,IF('Proyecto Datos (OKR´s)'!$C86="","",'Proyecto Datos (OKR´s)'!$C86),"")</f>
      </c>
      <c r="L86" s="204"/>
      <c r="M86" s="191"/>
      <c r="N86" s="203">
        <f>IF('_Datos'!$C86,'_Datos'!$BA86,"")</f>
      </c>
    </row>
    <row r="87">
      <c r="B87" s="203">
        <f>IF('_Datos'!$C87,'_Datos'!$O87,"")</f>
      </c>
      <c r="C87" s="204">
        <f>IF('_Datos'!$C87,'_Datos'!$F87,IF('_Datos'!$B87,'Proyecto Datos (OKR´s)'!$G87,""))</f>
      </c>
      <c r="D87" s="203">
        <f>IF('_Datos'!$C87,'_Datos'!$AO87,"")</f>
      </c>
      <c r="E87" s="205">
        <f>IF('_Datos'!$C87,'_Datos'!$H87,"")</f>
      </c>
      <c r="F87" s="203">
        <f>IF('_Datos'!$C87,'_Datos'!$AR87,"")</f>
      </c>
      <c r="G87" s="203"/>
      <c r="H87" s="204"/>
      <c r="I87" s="203">
        <f>IF('_Datos'!$C87,'_Datos'!$AV87,"")</f>
      </c>
      <c r="J87" s="207">
        <f>IF('_Datos'!$C87,'_Datos'!$AX87,"")</f>
      </c>
      <c r="K87" s="204">
        <f>IF('_Datos'!$C87,IF('Proyecto Datos (OKR´s)'!$C87="","",'Proyecto Datos (OKR´s)'!$C87),"")</f>
      </c>
      <c r="L87" s="204"/>
      <c r="M87" s="191"/>
      <c r="N87" s="203">
        <f>IF('_Datos'!$C87,'_Datos'!$BA87,"")</f>
      </c>
    </row>
    <row r="88">
      <c r="B88" s="203">
        <f>IF('_Datos'!$C88,'_Datos'!$O88,"")</f>
      </c>
      <c r="C88" s="204">
        <f>IF('_Datos'!$C88,'_Datos'!$F88,IF('_Datos'!$B88,'Proyecto Datos (OKR´s)'!$G88,""))</f>
      </c>
      <c r="D88" s="203">
        <f>IF('_Datos'!$C88,'_Datos'!$AO88,"")</f>
      </c>
      <c r="E88" s="205">
        <f>IF('_Datos'!$C88,'_Datos'!$H88,"")</f>
      </c>
      <c r="F88" s="203">
        <f>IF('_Datos'!$C88,'_Datos'!$AR88,"")</f>
      </c>
      <c r="G88" s="203"/>
      <c r="H88" s="204"/>
      <c r="I88" s="203">
        <f>IF('_Datos'!$C88,'_Datos'!$AV88,"")</f>
      </c>
      <c r="J88" s="207">
        <f>IF('_Datos'!$C88,'_Datos'!$AX88,"")</f>
      </c>
      <c r="K88" s="204">
        <f>IF('_Datos'!$C88,IF('Proyecto Datos (OKR´s)'!$C88="","",'Proyecto Datos (OKR´s)'!$C88),"")</f>
      </c>
      <c r="L88" s="204"/>
      <c r="M88" s="191"/>
      <c r="N88" s="203">
        <f>IF('_Datos'!$C88,'_Datos'!$BA88,"")</f>
      </c>
    </row>
    <row r="89">
      <c r="B89" s="203">
        <f>IF('_Datos'!$C89,'_Datos'!$O89,"")</f>
      </c>
      <c r="C89" s="204">
        <f>IF('_Datos'!$C89,'_Datos'!$F89,IF('_Datos'!$B89,'Proyecto Datos (OKR´s)'!$G89,""))</f>
      </c>
      <c r="D89" s="203">
        <f>IF('_Datos'!$C89,'_Datos'!$AO89,"")</f>
      </c>
      <c r="E89" s="205">
        <f>IF('_Datos'!$C89,'_Datos'!$H89,"")</f>
      </c>
      <c r="F89" s="203">
        <f>IF('_Datos'!$C89,'_Datos'!$AR89,"")</f>
      </c>
      <c r="G89" s="203"/>
      <c r="H89" s="204"/>
      <c r="I89" s="203">
        <f>IF('_Datos'!$C89,'_Datos'!$AV89,"")</f>
      </c>
      <c r="J89" s="207">
        <f>IF('_Datos'!$C89,'_Datos'!$AX89,"")</f>
      </c>
      <c r="K89" s="204">
        <f>IF('_Datos'!$C89,IF('Proyecto Datos (OKR´s)'!$C89="","",'Proyecto Datos (OKR´s)'!$C89),"")</f>
      </c>
      <c r="L89" s="204"/>
      <c r="M89" s="191"/>
      <c r="N89" s="203">
        <f>IF('_Datos'!$C89,'_Datos'!$BA89,"")</f>
      </c>
    </row>
    <row r="90">
      <c r="B90" s="203">
        <f>IF('_Datos'!$C90,'_Datos'!$O90,"")</f>
      </c>
      <c r="C90" s="204">
        <f>IF('_Datos'!$C90,'_Datos'!$F90,IF('_Datos'!$B90,'Proyecto Datos (OKR´s)'!$G90,""))</f>
      </c>
      <c r="D90" s="203">
        <f>IF('_Datos'!$C90,'_Datos'!$AO90,"")</f>
      </c>
      <c r="E90" s="205">
        <f>IF('_Datos'!$C90,'_Datos'!$H90,"")</f>
      </c>
      <c r="F90" s="203">
        <f>IF('_Datos'!$C90,'_Datos'!$AR90,"")</f>
      </c>
      <c r="G90" s="203"/>
      <c r="H90" s="204"/>
      <c r="I90" s="203">
        <f>IF('_Datos'!$C90,'_Datos'!$AV90,"")</f>
      </c>
      <c r="J90" s="207">
        <f>IF('_Datos'!$C90,'_Datos'!$AX90,"")</f>
      </c>
      <c r="K90" s="204">
        <f>IF('_Datos'!$C90,IF('Proyecto Datos (OKR´s)'!$C90="","",'Proyecto Datos (OKR´s)'!$C90),"")</f>
      </c>
      <c r="L90" s="204"/>
      <c r="M90" s="191"/>
      <c r="N90" s="203">
        <f>IF('_Datos'!$C90,'_Datos'!$BA90,"")</f>
      </c>
    </row>
    <row r="91">
      <c r="B91" s="203">
        <f>IF('_Datos'!$C91,'_Datos'!$O91,"")</f>
      </c>
      <c r="C91" s="204">
        <f>IF('_Datos'!$C91,'_Datos'!$F91,IF('_Datos'!$B91,'Proyecto Datos (OKR´s)'!$G91,""))</f>
      </c>
      <c r="D91" s="203">
        <f>IF('_Datos'!$C91,'_Datos'!$AO91,"")</f>
      </c>
      <c r="E91" s="205">
        <f>IF('_Datos'!$C91,'_Datos'!$H91,"")</f>
      </c>
      <c r="F91" s="203">
        <f>IF('_Datos'!$C91,'_Datos'!$AR91,"")</f>
      </c>
      <c r="G91" s="203"/>
      <c r="H91" s="204"/>
      <c r="I91" s="203">
        <f>IF('_Datos'!$C91,'_Datos'!$AV91,"")</f>
      </c>
      <c r="J91" s="207">
        <f>IF('_Datos'!$C91,'_Datos'!$AX91,"")</f>
      </c>
      <c r="K91" s="204">
        <f>IF('_Datos'!$C91,IF('Proyecto Datos (OKR´s)'!$C91="","",'Proyecto Datos (OKR´s)'!$C91),"")</f>
      </c>
      <c r="L91" s="204"/>
      <c r="M91" s="191"/>
      <c r="N91" s="203">
        <f>IF('_Datos'!$C91,'_Datos'!$BA91,"")</f>
      </c>
    </row>
    <row r="92">
      <c r="B92" s="203">
        <f>IF('_Datos'!$C92,'_Datos'!$O92,"")</f>
      </c>
      <c r="C92" s="204">
        <f>IF('_Datos'!$C92,'_Datos'!$F92,IF('_Datos'!$B92,'Proyecto Datos (OKR´s)'!$G92,""))</f>
      </c>
      <c r="D92" s="203">
        <f>IF('_Datos'!$C92,'_Datos'!$AO92,"")</f>
      </c>
      <c r="E92" s="205">
        <f>IF('_Datos'!$C92,'_Datos'!$H92,"")</f>
      </c>
      <c r="F92" s="203">
        <f>IF('_Datos'!$C92,'_Datos'!$AR92,"")</f>
      </c>
      <c r="G92" s="203"/>
      <c r="H92" s="204"/>
      <c r="I92" s="203">
        <f>IF('_Datos'!$C92,'_Datos'!$AV92,"")</f>
      </c>
      <c r="J92" s="207">
        <f>IF('_Datos'!$C92,'_Datos'!$AX92,"")</f>
      </c>
      <c r="K92" s="204">
        <f>IF('_Datos'!$C92,IF('Proyecto Datos (OKR´s)'!$C92="","",'Proyecto Datos (OKR´s)'!$C92),"")</f>
      </c>
      <c r="L92" s="204"/>
      <c r="M92" s="191"/>
      <c r="N92" s="203">
        <f>IF('_Datos'!$C92,'_Datos'!$BA92,"")</f>
      </c>
    </row>
    <row r="93">
      <c r="B93" s="203">
        <f>IF('_Datos'!$C93,'_Datos'!$O93,"")</f>
      </c>
      <c r="C93" s="204">
        <f>IF('_Datos'!$C93,'_Datos'!$F93,IF('_Datos'!$B93,'Proyecto Datos (OKR´s)'!$G93,""))</f>
      </c>
      <c r="D93" s="203">
        <f>IF('_Datos'!$C93,'_Datos'!$AO93,"")</f>
      </c>
      <c r="E93" s="205">
        <f>IF('_Datos'!$C93,'_Datos'!$H93,"")</f>
      </c>
      <c r="F93" s="203">
        <f>IF('_Datos'!$C93,'_Datos'!$AR93,"")</f>
      </c>
      <c r="G93" s="203"/>
      <c r="H93" s="204"/>
      <c r="I93" s="203">
        <f>IF('_Datos'!$C93,'_Datos'!$AV93,"")</f>
      </c>
      <c r="J93" s="207">
        <f>IF('_Datos'!$C93,'_Datos'!$AX93,"")</f>
      </c>
      <c r="K93" s="204">
        <f>IF('_Datos'!$C93,IF('Proyecto Datos (OKR´s)'!$C93="","",'Proyecto Datos (OKR´s)'!$C93),"")</f>
      </c>
      <c r="L93" s="204"/>
      <c r="M93" s="191"/>
      <c r="N93" s="203">
        <f>IF('_Datos'!$C93,'_Datos'!$BA93,"")</f>
      </c>
    </row>
    <row r="94">
      <c r="B94" s="203">
        <f>IF('_Datos'!$C94,'_Datos'!$O94,"")</f>
      </c>
      <c r="C94" s="204">
        <f>IF('_Datos'!$C94,'_Datos'!$F94,IF('_Datos'!$B94,'Proyecto Datos (OKR´s)'!$G94,""))</f>
      </c>
      <c r="D94" s="203">
        <f>IF('_Datos'!$C94,'_Datos'!$AO94,"")</f>
      </c>
      <c r="E94" s="205">
        <f>IF('_Datos'!$C94,'_Datos'!$H94,"")</f>
      </c>
      <c r="F94" s="203">
        <f>IF('_Datos'!$C94,'_Datos'!$AR94,"")</f>
      </c>
      <c r="G94" s="203"/>
      <c r="H94" s="204"/>
      <c r="I94" s="203">
        <f>IF('_Datos'!$C94,'_Datos'!$AV94,"")</f>
      </c>
      <c r="J94" s="207">
        <f>IF('_Datos'!$C94,'_Datos'!$AX94,"")</f>
      </c>
      <c r="K94" s="204">
        <f>IF('_Datos'!$C94,IF('Proyecto Datos (OKR´s)'!$C94="","",'Proyecto Datos (OKR´s)'!$C94),"")</f>
      </c>
      <c r="L94" s="204"/>
      <c r="M94" s="191"/>
      <c r="N94" s="203">
        <f>IF('_Datos'!$C94,'_Datos'!$BA94,"")</f>
      </c>
    </row>
    <row r="95">
      <c r="B95" s="203">
        <f>IF('_Datos'!$C95,'_Datos'!$O95,"")</f>
      </c>
      <c r="C95" s="204">
        <f>IF('_Datos'!$C95,'_Datos'!$F95,IF('_Datos'!$B95,'Proyecto Datos (OKR´s)'!$G95,""))</f>
      </c>
      <c r="D95" s="203">
        <f>IF('_Datos'!$C95,'_Datos'!$AO95,"")</f>
      </c>
      <c r="E95" s="205">
        <f>IF('_Datos'!$C95,'_Datos'!$H95,"")</f>
      </c>
      <c r="F95" s="203">
        <f>IF('_Datos'!$C95,'_Datos'!$AR95,"")</f>
      </c>
      <c r="G95" s="203"/>
      <c r="H95" s="204"/>
      <c r="I95" s="203">
        <f>IF('_Datos'!$C95,'_Datos'!$AV95,"")</f>
      </c>
      <c r="J95" s="207">
        <f>IF('_Datos'!$C95,'_Datos'!$AX95,"")</f>
      </c>
      <c r="K95" s="204">
        <f>IF('_Datos'!$C95,IF('Proyecto Datos (OKR´s)'!$C95="","",'Proyecto Datos (OKR´s)'!$C95),"")</f>
      </c>
      <c r="L95" s="204"/>
      <c r="M95" s="191"/>
      <c r="N95" s="203">
        <f>IF('_Datos'!$C95,'_Datos'!$BA95,"")</f>
      </c>
    </row>
    <row r="96">
      <c r="B96" s="203">
        <f>IF('_Datos'!$C96,'_Datos'!$O96,"")</f>
      </c>
      <c r="C96" s="204">
        <f>IF('_Datos'!$C96,'_Datos'!$F96,IF('_Datos'!$B96,'Proyecto Datos (OKR´s)'!$G96,""))</f>
      </c>
      <c r="D96" s="203">
        <f>IF('_Datos'!$C96,'_Datos'!$AO96,"")</f>
      </c>
      <c r="E96" s="205">
        <f>IF('_Datos'!$C96,'_Datos'!$H96,"")</f>
      </c>
      <c r="F96" s="203">
        <f>IF('_Datos'!$C96,'_Datos'!$AR96,"")</f>
      </c>
      <c r="G96" s="203"/>
      <c r="H96" s="204"/>
      <c r="I96" s="203">
        <f>IF('_Datos'!$C96,'_Datos'!$AV96,"")</f>
      </c>
      <c r="J96" s="207">
        <f>IF('_Datos'!$C96,'_Datos'!$AX96,"")</f>
      </c>
      <c r="K96" s="204">
        <f>IF('_Datos'!$C96,IF('Proyecto Datos (OKR´s)'!$C96="","",'Proyecto Datos (OKR´s)'!$C96),"")</f>
      </c>
      <c r="L96" s="204"/>
      <c r="M96" s="191"/>
      <c r="N96" s="203">
        <f>IF('_Datos'!$C96,'_Datos'!$BA96,"")</f>
      </c>
    </row>
    <row r="97">
      <c r="B97" s="203">
        <f>IF('_Datos'!$C97,'_Datos'!$O97,"")</f>
      </c>
      <c r="C97" s="204">
        <f>IF('_Datos'!$C97,'_Datos'!$F97,IF('_Datos'!$B97,'Proyecto Datos (OKR´s)'!$G97,""))</f>
      </c>
      <c r="D97" s="203">
        <f>IF('_Datos'!$C97,'_Datos'!$AO97,"")</f>
      </c>
      <c r="E97" s="205">
        <f>IF('_Datos'!$C97,'_Datos'!$H97,"")</f>
      </c>
      <c r="F97" s="203">
        <f>IF('_Datos'!$C97,'_Datos'!$AR97,"")</f>
      </c>
      <c r="G97" s="203"/>
      <c r="H97" s="204"/>
      <c r="I97" s="203">
        <f>IF('_Datos'!$C97,'_Datos'!$AV97,"")</f>
      </c>
      <c r="J97" s="207">
        <f>IF('_Datos'!$C97,'_Datos'!$AX97,"")</f>
      </c>
      <c r="K97" s="204">
        <f>IF('_Datos'!$C97,IF('Proyecto Datos (OKR´s)'!$C97="","",'Proyecto Datos (OKR´s)'!$C97),"")</f>
      </c>
      <c r="L97" s="204"/>
      <c r="M97" s="191"/>
      <c r="N97" s="203">
        <f>IF('_Datos'!$C97,'_Datos'!$BA97,"")</f>
      </c>
    </row>
    <row r="98">
      <c r="B98" s="203">
        <f>IF('_Datos'!$C98,'_Datos'!$O98,"")</f>
      </c>
      <c r="C98" s="204">
        <f>IF('_Datos'!$C98,'_Datos'!$F98,IF('_Datos'!$B98,'Proyecto Datos (OKR´s)'!$G98,""))</f>
      </c>
      <c r="D98" s="203">
        <f>IF('_Datos'!$C98,'_Datos'!$AO98,"")</f>
      </c>
      <c r="E98" s="205">
        <f>IF('_Datos'!$C98,'_Datos'!$H98,"")</f>
      </c>
      <c r="F98" s="203">
        <f>IF('_Datos'!$C98,'_Datos'!$AR98,"")</f>
      </c>
      <c r="G98" s="203"/>
      <c r="H98" s="204"/>
      <c r="I98" s="203">
        <f>IF('_Datos'!$C98,'_Datos'!$AV98,"")</f>
      </c>
      <c r="J98" s="207">
        <f>IF('_Datos'!$C98,'_Datos'!$AX98,"")</f>
      </c>
      <c r="K98" s="204">
        <f>IF('_Datos'!$C98,IF('Proyecto Datos (OKR´s)'!$C98="","",'Proyecto Datos (OKR´s)'!$C98),"")</f>
      </c>
      <c r="L98" s="204"/>
      <c r="M98" s="191"/>
      <c r="N98" s="203">
        <f>IF('_Datos'!$C98,'_Datos'!$BA98,"")</f>
      </c>
    </row>
    <row r="99">
      <c r="B99" s="203">
        <f>IF('_Datos'!$C99,'_Datos'!$O99,"")</f>
      </c>
      <c r="C99" s="204">
        <f>IF('_Datos'!$C99,'_Datos'!$F99,IF('_Datos'!$B99,'Proyecto Datos (OKR´s)'!$G99,""))</f>
      </c>
      <c r="D99" s="203">
        <f>IF('_Datos'!$C99,'_Datos'!$AO99,"")</f>
      </c>
      <c r="E99" s="205">
        <f>IF('_Datos'!$C99,'_Datos'!$H99,"")</f>
      </c>
      <c r="F99" s="203">
        <f>IF('_Datos'!$C99,'_Datos'!$AR99,"")</f>
      </c>
      <c r="G99" s="203"/>
      <c r="H99" s="204"/>
      <c r="I99" s="203">
        <f>IF('_Datos'!$C99,'_Datos'!$AV99,"")</f>
      </c>
      <c r="J99" s="207">
        <f>IF('_Datos'!$C99,'_Datos'!$AX99,"")</f>
      </c>
      <c r="K99" s="204">
        <f>IF('_Datos'!$C99,IF('Proyecto Datos (OKR´s)'!$C99="","",'Proyecto Datos (OKR´s)'!$C99),"")</f>
      </c>
      <c r="L99" s="204"/>
      <c r="M99" s="191"/>
      <c r="N99" s="203">
        <f>IF('_Datos'!$C99,'_Datos'!$BA99,"")</f>
      </c>
    </row>
    <row r="100">
      <c r="B100" s="203">
        <f>IF('_Datos'!$C100,'_Datos'!$O100,"")</f>
      </c>
      <c r="C100" s="204">
        <f>IF('_Datos'!$C100,'_Datos'!$F100,IF('_Datos'!$B100,'Proyecto Datos (OKR´s)'!$G100,""))</f>
      </c>
      <c r="D100" s="203">
        <f>IF('_Datos'!$C100,'_Datos'!$AO100,"")</f>
      </c>
      <c r="E100" s="205">
        <f>IF('_Datos'!$C100,'_Datos'!$H100,"")</f>
      </c>
      <c r="F100" s="203">
        <f>IF('_Datos'!$C100,'_Datos'!$AR100,"")</f>
      </c>
      <c r="G100" s="203"/>
      <c r="H100" s="204"/>
      <c r="I100" s="203">
        <f>IF('_Datos'!$C100,'_Datos'!$AV100,"")</f>
      </c>
      <c r="J100" s="207">
        <f>IF('_Datos'!$C100,'_Datos'!$AX100,"")</f>
      </c>
      <c r="K100" s="204">
        <f>IF('_Datos'!$C100,IF('Proyecto Datos (OKR´s)'!$C100="","",'Proyecto Datos (OKR´s)'!$C100),"")</f>
      </c>
      <c r="L100" s="204"/>
      <c r="M100" s="191"/>
      <c r="N100" s="203">
        <f>IF('_Datos'!$C100,'_Datos'!$BA100,"")</f>
      </c>
    </row>
    <row r="101">
      <c r="B101" s="203">
        <f>IF('_Datos'!$C101,'_Datos'!$O101,"")</f>
      </c>
      <c r="C101" s="204">
        <f>IF('_Datos'!$C101,'_Datos'!$F101,IF('_Datos'!$B101,'Proyecto Datos (OKR´s)'!$G101,""))</f>
      </c>
      <c r="D101" s="203">
        <f>IF('_Datos'!$C101,'_Datos'!$AO101,"")</f>
      </c>
      <c r="E101" s="205">
        <f>IF('_Datos'!$C101,'_Datos'!$H101,"")</f>
      </c>
      <c r="F101" s="203">
        <f>IF('_Datos'!$C101,'_Datos'!$AR101,"")</f>
      </c>
      <c r="G101" s="203"/>
      <c r="H101" s="204"/>
      <c r="I101" s="203">
        <f>IF('_Datos'!$C101,'_Datos'!$AV101,"")</f>
      </c>
      <c r="J101" s="207">
        <f>IF('_Datos'!$C101,'_Datos'!$AX101,"")</f>
      </c>
      <c r="K101" s="204">
        <f>IF('_Datos'!$C101,IF('Proyecto Datos (OKR´s)'!$C101="","",'Proyecto Datos (OKR´s)'!$C101),"")</f>
      </c>
      <c r="L101" s="204"/>
      <c r="M101" s="191"/>
      <c r="N101" s="203">
        <f>IF('_Datos'!$C101,'_Datos'!$BA101,"")</f>
      </c>
    </row>
    <row r="102">
      <c r="B102" s="203">
        <f>IF('_Datos'!$C102,'_Datos'!$O102,"")</f>
      </c>
      <c r="C102" s="204">
        <f>IF('_Datos'!$C102,'_Datos'!$F102,IF('_Datos'!$B102,'Proyecto Datos (OKR´s)'!$G102,""))</f>
      </c>
      <c r="D102" s="203">
        <f>IF('_Datos'!$C102,'_Datos'!$AO102,"")</f>
      </c>
      <c r="E102" s="205">
        <f>IF('_Datos'!$C102,'_Datos'!$H102,"")</f>
      </c>
      <c r="F102" s="203">
        <f>IF('_Datos'!$C102,'_Datos'!$AR102,"")</f>
      </c>
      <c r="G102" s="203"/>
      <c r="H102" s="204"/>
      <c r="I102" s="203">
        <f>IF('_Datos'!$C102,'_Datos'!$AV102,"")</f>
      </c>
      <c r="J102" s="207">
        <f>IF('_Datos'!$C102,'_Datos'!$AX102,"")</f>
      </c>
      <c r="K102" s="204">
        <f>IF('_Datos'!$C102,IF('Proyecto Datos (OKR´s)'!$C102="","",'Proyecto Datos (OKR´s)'!$C102),"")</f>
      </c>
      <c r="L102" s="204"/>
      <c r="M102" s="191"/>
      <c r="N102" s="203">
        <f>IF('_Datos'!$C102,'_Datos'!$BA102,"")</f>
      </c>
    </row>
    <row r="103">
      <c r="B103" s="203">
        <f>IF('_Datos'!$C103,'_Datos'!$O103,"")</f>
      </c>
      <c r="C103" s="204">
        <f>IF('_Datos'!$C103,'_Datos'!$F103,IF('_Datos'!$B103,'Proyecto Datos (OKR´s)'!$G103,""))</f>
      </c>
      <c r="D103" s="203">
        <f>IF('_Datos'!$C103,'_Datos'!$AO103,"")</f>
      </c>
      <c r="E103" s="205">
        <f>IF('_Datos'!$C103,'_Datos'!$H103,"")</f>
      </c>
      <c r="F103" s="203">
        <f>IF('_Datos'!$C103,'_Datos'!$AR103,"")</f>
      </c>
      <c r="G103" s="203"/>
      <c r="H103" s="204"/>
      <c r="I103" s="203">
        <f>IF('_Datos'!$C103,'_Datos'!$AV103,"")</f>
      </c>
      <c r="J103" s="207">
        <f>IF('_Datos'!$C103,'_Datos'!$AX103,"")</f>
      </c>
      <c r="K103" s="204">
        <f>IF('_Datos'!$C103,IF('Proyecto Datos (OKR´s)'!$C103="","",'Proyecto Datos (OKR´s)'!$C103),"")</f>
      </c>
      <c r="L103" s="204"/>
      <c r="M103" s="191"/>
      <c r="N103" s="203">
        <f>IF('_Datos'!$C103,'_Datos'!$BA103,"")</f>
      </c>
    </row>
    <row r="104">
      <c r="B104" s="203">
        <f>IF('_Datos'!$C104,'_Datos'!$O104,"")</f>
      </c>
      <c r="C104" s="204">
        <f>IF('_Datos'!$C104,'_Datos'!$F104,IF('_Datos'!$B104,'Proyecto Datos (OKR´s)'!$G104,""))</f>
      </c>
      <c r="D104" s="203">
        <f>IF('_Datos'!$C104,'_Datos'!$AO104,"")</f>
      </c>
      <c r="E104" s="205">
        <f>IF('_Datos'!$C104,'_Datos'!$H104,"")</f>
      </c>
      <c r="F104" s="203">
        <f>IF('_Datos'!$C104,'_Datos'!$AR104,"")</f>
      </c>
      <c r="G104" s="203"/>
      <c r="H104" s="204"/>
      <c r="I104" s="203">
        <f>IF('_Datos'!$C104,'_Datos'!$AV104,"")</f>
      </c>
      <c r="J104" s="207">
        <f>IF('_Datos'!$C104,'_Datos'!$AX104,"")</f>
      </c>
      <c r="K104" s="204">
        <f>IF('_Datos'!$C104,IF('Proyecto Datos (OKR´s)'!$C104="","",'Proyecto Datos (OKR´s)'!$C104),"")</f>
      </c>
      <c r="L104" s="204"/>
      <c r="M104" s="191"/>
      <c r="N104" s="203">
        <f>IF('_Datos'!$C104,'_Datos'!$BA104,"")</f>
      </c>
    </row>
    <row r="105">
      <c r="B105" s="203">
        <f>IF('_Datos'!$C105,'_Datos'!$O105,"")</f>
      </c>
      <c r="C105" s="204">
        <f>IF('_Datos'!$C105,'_Datos'!$F105,IF('_Datos'!$B105,'Proyecto Datos (OKR´s)'!$G105,""))</f>
      </c>
      <c r="D105" s="203">
        <f>IF('_Datos'!$C105,'_Datos'!$AO105,"")</f>
      </c>
      <c r="E105" s="205">
        <f>IF('_Datos'!$C105,'_Datos'!$H105,"")</f>
      </c>
      <c r="F105" s="203">
        <f>IF('_Datos'!$C105,'_Datos'!$AR105,"")</f>
      </c>
      <c r="G105" s="203"/>
      <c r="H105" s="204"/>
      <c r="I105" s="203">
        <f>IF('_Datos'!$C105,'_Datos'!$AV105,"")</f>
      </c>
      <c r="J105" s="207">
        <f>IF('_Datos'!$C105,'_Datos'!$AX105,"")</f>
      </c>
      <c r="K105" s="204">
        <f>IF('_Datos'!$C105,IF('Proyecto Datos (OKR´s)'!$C105="","",'Proyecto Datos (OKR´s)'!$C105),"")</f>
      </c>
      <c r="L105" s="204"/>
      <c r="M105" s="191"/>
      <c r="N105" s="203">
        <f>IF('_Datos'!$C105,'_Datos'!$BA105,"")</f>
      </c>
    </row>
    <row r="106">
      <c r="B106" s="203">
        <f>IF('_Datos'!$C106,'_Datos'!$O106,"")</f>
      </c>
      <c r="C106" s="204">
        <f>IF('_Datos'!$C106,'_Datos'!$F106,IF('_Datos'!$B106,'Proyecto Datos (OKR´s)'!$G106,""))</f>
      </c>
      <c r="D106" s="203">
        <f>IF('_Datos'!$C106,'_Datos'!$AO106,"")</f>
      </c>
      <c r="E106" s="205">
        <f>IF('_Datos'!$C106,'_Datos'!$H106,"")</f>
      </c>
      <c r="F106" s="203">
        <f>IF('_Datos'!$C106,'_Datos'!$AR106,"")</f>
      </c>
      <c r="G106" s="203"/>
      <c r="H106" s="204"/>
      <c r="I106" s="203">
        <f>IF('_Datos'!$C106,'_Datos'!$AV106,"")</f>
      </c>
      <c r="J106" s="207">
        <f>IF('_Datos'!$C106,'_Datos'!$AX106,"")</f>
      </c>
      <c r="K106" s="204">
        <f>IF('_Datos'!$C106,IF('Proyecto Datos (OKR´s)'!$C106="","",'Proyecto Datos (OKR´s)'!$C106),"")</f>
      </c>
      <c r="L106" s="204"/>
      <c r="M106" s="191"/>
      <c r="N106" s="203">
        <f>IF('_Datos'!$C106,'_Datos'!$BA106,"")</f>
      </c>
    </row>
    <row r="107">
      <c r="B107" s="203">
        <f>IF('_Datos'!$C107,'_Datos'!$O107,"")</f>
      </c>
      <c r="C107" s="204">
        <f>IF('_Datos'!$C107,'_Datos'!$F107,IF('_Datos'!$B107,'Proyecto Datos (OKR´s)'!$G107,""))</f>
      </c>
      <c r="D107" s="203">
        <f>IF('_Datos'!$C107,'_Datos'!$AO107,"")</f>
      </c>
      <c r="E107" s="205">
        <f>IF('_Datos'!$C107,'_Datos'!$H107,"")</f>
      </c>
      <c r="F107" s="203">
        <f>IF('_Datos'!$C107,'_Datos'!$AR107,"")</f>
      </c>
      <c r="G107" s="203"/>
      <c r="H107" s="204"/>
      <c r="I107" s="203">
        <f>IF('_Datos'!$C107,'_Datos'!$AV107,"")</f>
      </c>
      <c r="J107" s="207">
        <f>IF('_Datos'!$C107,'_Datos'!$AX107,"")</f>
      </c>
      <c r="K107" s="204">
        <f>IF('_Datos'!$C107,IF('Proyecto Datos (OKR´s)'!$C107="","",'Proyecto Datos (OKR´s)'!$C107),"")</f>
      </c>
      <c r="L107" s="204"/>
      <c r="M107" s="191"/>
      <c r="N107" s="203">
        <f>IF('_Datos'!$C107,'_Datos'!$BA107,"")</f>
      </c>
    </row>
    <row r="108">
      <c r="B108" s="203">
        <f>IF('_Datos'!$C108,'_Datos'!$O108,"")</f>
      </c>
      <c r="C108" s="204">
        <f>IF('_Datos'!$C108,'_Datos'!$F108,IF('_Datos'!$B108,'Proyecto Datos (OKR´s)'!$G108,""))</f>
      </c>
      <c r="D108" s="203">
        <f>IF('_Datos'!$C108,'_Datos'!$AO108,"")</f>
      </c>
      <c r="E108" s="205">
        <f>IF('_Datos'!$C108,'_Datos'!$H108,"")</f>
      </c>
      <c r="F108" s="203">
        <f>IF('_Datos'!$C108,'_Datos'!$AR108,"")</f>
      </c>
      <c r="G108" s="203"/>
      <c r="H108" s="204"/>
      <c r="I108" s="203">
        <f>IF('_Datos'!$C108,'_Datos'!$AV108,"")</f>
      </c>
      <c r="J108" s="207">
        <f>IF('_Datos'!$C108,'_Datos'!$AX108,"")</f>
      </c>
      <c r="K108" s="204">
        <f>IF('_Datos'!$C108,IF('Proyecto Datos (OKR´s)'!$C108="","",'Proyecto Datos (OKR´s)'!$C108),"")</f>
      </c>
      <c r="L108" s="204"/>
      <c r="M108" s="191"/>
      <c r="N108" s="203">
        <f>IF('_Datos'!$C108,'_Datos'!$BA108,"")</f>
      </c>
    </row>
    <row r="109">
      <c r="B109" s="203">
        <f>IF('_Datos'!$C109,'_Datos'!$O109,"")</f>
      </c>
      <c r="C109" s="204">
        <f>IF('_Datos'!$C109,'_Datos'!$F109,IF('_Datos'!$B109,'Proyecto Datos (OKR´s)'!$G109,""))</f>
      </c>
      <c r="D109" s="203">
        <f>IF('_Datos'!$C109,'_Datos'!$AO109,"")</f>
      </c>
      <c r="E109" s="205">
        <f>IF('_Datos'!$C109,'_Datos'!$H109,"")</f>
      </c>
      <c r="F109" s="203">
        <f>IF('_Datos'!$C109,'_Datos'!$AR109,"")</f>
      </c>
      <c r="G109" s="203"/>
      <c r="H109" s="204"/>
      <c r="I109" s="203">
        <f>IF('_Datos'!$C109,'_Datos'!$AV109,"")</f>
      </c>
      <c r="J109" s="207">
        <f>IF('_Datos'!$C109,'_Datos'!$AX109,"")</f>
      </c>
      <c r="K109" s="204">
        <f>IF('_Datos'!$C109,IF('Proyecto Datos (OKR´s)'!$C109="","",'Proyecto Datos (OKR´s)'!$C109),"")</f>
      </c>
      <c r="L109" s="204"/>
      <c r="M109" s="191"/>
      <c r="N109" s="203">
        <f>IF('_Datos'!$C109,'_Datos'!$BA109,"")</f>
      </c>
    </row>
    <row r="110">
      <c r="B110" s="203">
        <f>IF('_Datos'!$C110,'_Datos'!$O110,"")</f>
      </c>
      <c r="C110" s="204">
        <f>IF('_Datos'!$C110,'_Datos'!$F110,IF('_Datos'!$B110,'Proyecto Datos (OKR´s)'!$G110,""))</f>
      </c>
      <c r="D110" s="203">
        <f>IF('_Datos'!$C110,'_Datos'!$AO110,"")</f>
      </c>
      <c r="E110" s="205">
        <f>IF('_Datos'!$C110,'_Datos'!$H110,"")</f>
      </c>
      <c r="F110" s="203">
        <f>IF('_Datos'!$C110,'_Datos'!$AR110,"")</f>
      </c>
      <c r="G110" s="203"/>
      <c r="H110" s="204"/>
      <c r="I110" s="203">
        <f>IF('_Datos'!$C110,'_Datos'!$AV110,"")</f>
      </c>
      <c r="J110" s="207">
        <f>IF('_Datos'!$C110,'_Datos'!$AX110,"")</f>
      </c>
      <c r="K110" s="204">
        <f>IF('_Datos'!$C110,IF('Proyecto Datos (OKR´s)'!$C110="","",'Proyecto Datos (OKR´s)'!$C110),"")</f>
      </c>
      <c r="L110" s="204"/>
      <c r="M110" s="191"/>
      <c r="N110" s="203">
        <f>IF('_Datos'!$C110,'_Datos'!$BA110,"")</f>
      </c>
    </row>
    <row r="111">
      <c r="B111" s="203">
        <f>IF('_Datos'!$C111,'_Datos'!$O111,"")</f>
      </c>
      <c r="C111" s="204">
        <f>IF('_Datos'!$C111,'_Datos'!$F111,IF('_Datos'!$B111,'Proyecto Datos (OKR´s)'!$G111,""))</f>
      </c>
      <c r="D111" s="203">
        <f>IF('_Datos'!$C111,'_Datos'!$AO111,"")</f>
      </c>
      <c r="E111" s="205">
        <f>IF('_Datos'!$C111,'_Datos'!$H111,"")</f>
      </c>
      <c r="F111" s="203">
        <f>IF('_Datos'!$C111,'_Datos'!$AR111,"")</f>
      </c>
      <c r="G111" s="203"/>
      <c r="H111" s="204"/>
      <c r="I111" s="203">
        <f>IF('_Datos'!$C111,'_Datos'!$AV111,"")</f>
      </c>
      <c r="J111" s="207">
        <f>IF('_Datos'!$C111,'_Datos'!$AX111,"")</f>
      </c>
      <c r="K111" s="204">
        <f>IF('_Datos'!$C111,IF('Proyecto Datos (OKR´s)'!$C111="","",'Proyecto Datos (OKR´s)'!$C111),"")</f>
      </c>
      <c r="L111" s="204"/>
      <c r="M111" s="191"/>
      <c r="N111" s="203">
        <f>IF('_Datos'!$C111,'_Datos'!$BA111,"")</f>
      </c>
    </row>
    <row r="112">
      <c r="B112" s="203">
        <f>IF('_Datos'!$C112,'_Datos'!$O112,"")</f>
      </c>
      <c r="C112" s="204">
        <f>IF('_Datos'!$C112,'_Datos'!$F112,IF('_Datos'!$B112,'Proyecto Datos (OKR´s)'!$G112,""))</f>
      </c>
      <c r="D112" s="203">
        <f>IF('_Datos'!$C112,'_Datos'!$AO112,"")</f>
      </c>
      <c r="E112" s="205">
        <f>IF('_Datos'!$C112,'_Datos'!$H112,"")</f>
      </c>
      <c r="F112" s="203">
        <f>IF('_Datos'!$C112,'_Datos'!$AR112,"")</f>
      </c>
      <c r="G112" s="203"/>
      <c r="H112" s="204"/>
      <c r="I112" s="203">
        <f>IF('_Datos'!$C112,'_Datos'!$AV112,"")</f>
      </c>
      <c r="J112" s="207">
        <f>IF('_Datos'!$C112,'_Datos'!$AX112,"")</f>
      </c>
      <c r="K112" s="204">
        <f>IF('_Datos'!$C112,IF('Proyecto Datos (OKR´s)'!$C112="","",'Proyecto Datos (OKR´s)'!$C112),"")</f>
      </c>
      <c r="L112" s="204"/>
      <c r="M112" s="191"/>
      <c r="N112" s="203">
        <f>IF('_Datos'!$C112,'_Datos'!$BA112,"")</f>
      </c>
    </row>
    <row r="113">
      <c r="B113" s="203">
        <f>IF('_Datos'!$C113,'_Datos'!$O113,"")</f>
      </c>
      <c r="C113" s="204">
        <f>IF('_Datos'!$C113,'_Datos'!$F113,IF('_Datos'!$B113,'Proyecto Datos (OKR´s)'!$G113,""))</f>
      </c>
      <c r="D113" s="203">
        <f>IF('_Datos'!$C113,'_Datos'!$AO113,"")</f>
      </c>
      <c r="E113" s="205">
        <f>IF('_Datos'!$C113,'_Datos'!$H113,"")</f>
      </c>
      <c r="F113" s="203">
        <f>IF('_Datos'!$C113,'_Datos'!$AR113,"")</f>
      </c>
      <c r="G113" s="203"/>
      <c r="H113" s="204"/>
      <c r="I113" s="203">
        <f>IF('_Datos'!$C113,'_Datos'!$AV113,"")</f>
      </c>
      <c r="J113" s="207">
        <f>IF('_Datos'!$C113,'_Datos'!$AX113,"")</f>
      </c>
      <c r="K113" s="204">
        <f>IF('_Datos'!$C113,IF('Proyecto Datos (OKR´s)'!$C113="","",'Proyecto Datos (OKR´s)'!$C113),"")</f>
      </c>
      <c r="L113" s="204"/>
      <c r="M113" s="191"/>
      <c r="N113" s="203">
        <f>IF('_Datos'!$C113,'_Datos'!$BA113,"")</f>
      </c>
    </row>
    <row r="114">
      <c r="B114" s="203">
        <f>IF('_Datos'!$C114,'_Datos'!$O114,"")</f>
      </c>
      <c r="C114" s="204">
        <f>IF('_Datos'!$C114,'_Datos'!$F114,IF('_Datos'!$B114,'Proyecto Datos (OKR´s)'!$G114,""))</f>
      </c>
      <c r="D114" s="203">
        <f>IF('_Datos'!$C114,'_Datos'!$AO114,"")</f>
      </c>
      <c r="E114" s="205">
        <f>IF('_Datos'!$C114,'_Datos'!$H114,"")</f>
      </c>
      <c r="F114" s="203">
        <f>IF('_Datos'!$C114,'_Datos'!$AR114,"")</f>
      </c>
      <c r="G114" s="203"/>
      <c r="H114" s="204"/>
      <c r="I114" s="203">
        <f>IF('_Datos'!$C114,'_Datos'!$AV114,"")</f>
      </c>
      <c r="J114" s="207">
        <f>IF('_Datos'!$C114,'_Datos'!$AX114,"")</f>
      </c>
      <c r="K114" s="204">
        <f>IF('_Datos'!$C114,IF('Proyecto Datos (OKR´s)'!$C114="","",'Proyecto Datos (OKR´s)'!$C114),"")</f>
      </c>
      <c r="L114" s="204"/>
      <c r="M114" s="191"/>
      <c r="N114" s="203">
        <f>IF('_Datos'!$C114,'_Datos'!$BA114,"")</f>
      </c>
    </row>
    <row r="115">
      <c r="B115" s="203">
        <f>IF('_Datos'!$C115,'_Datos'!$O115,"")</f>
      </c>
      <c r="C115" s="204">
        <f>IF('_Datos'!$C115,'_Datos'!$F115,IF('_Datos'!$B115,'Proyecto Datos (OKR´s)'!$G115,""))</f>
      </c>
      <c r="D115" s="203">
        <f>IF('_Datos'!$C115,'_Datos'!$AO115,"")</f>
      </c>
      <c r="E115" s="205">
        <f>IF('_Datos'!$C115,'_Datos'!$H115,"")</f>
      </c>
      <c r="F115" s="203">
        <f>IF('_Datos'!$C115,'_Datos'!$AR115,"")</f>
      </c>
      <c r="G115" s="203"/>
      <c r="H115" s="204"/>
      <c r="I115" s="203">
        <f>IF('_Datos'!$C115,'_Datos'!$AV115,"")</f>
      </c>
      <c r="J115" s="207">
        <f>IF('_Datos'!$C115,'_Datos'!$AX115,"")</f>
      </c>
      <c r="K115" s="204">
        <f>IF('_Datos'!$C115,IF('Proyecto Datos (OKR´s)'!$C115="","",'Proyecto Datos (OKR´s)'!$C115),"")</f>
      </c>
      <c r="L115" s="204"/>
      <c r="M115" s="191"/>
      <c r="N115" s="203">
        <f>IF('_Datos'!$C115,'_Datos'!$BA115,"")</f>
      </c>
    </row>
    <row r="116">
      <c r="B116" s="203">
        <f>IF('_Datos'!$C116,'_Datos'!$O116,"")</f>
      </c>
      <c r="C116" s="204">
        <f>IF('_Datos'!$C116,'_Datos'!$F116,IF('_Datos'!$B116,'Proyecto Datos (OKR´s)'!$G116,""))</f>
      </c>
      <c r="D116" s="203">
        <f>IF('_Datos'!$C116,'_Datos'!$AO116,"")</f>
      </c>
      <c r="E116" s="205">
        <f>IF('_Datos'!$C116,'_Datos'!$H116,"")</f>
      </c>
      <c r="F116" s="203">
        <f>IF('_Datos'!$C116,'_Datos'!$AR116,"")</f>
      </c>
      <c r="G116" s="203"/>
      <c r="H116" s="204"/>
      <c r="I116" s="203">
        <f>IF('_Datos'!$C116,'_Datos'!$AV116,"")</f>
      </c>
      <c r="J116" s="207">
        <f>IF('_Datos'!$C116,'_Datos'!$AX116,"")</f>
      </c>
      <c r="K116" s="204">
        <f>IF('_Datos'!$C116,IF('Proyecto Datos (OKR´s)'!$C116="","",'Proyecto Datos (OKR´s)'!$C116),"")</f>
      </c>
      <c r="L116" s="204"/>
      <c r="M116" s="191"/>
      <c r="N116" s="203">
        <f>IF('_Datos'!$C116,'_Datos'!$BA116,"")</f>
      </c>
    </row>
    <row r="117">
      <c r="B117" s="203">
        <f>IF('_Datos'!$C117,'_Datos'!$O117,"")</f>
      </c>
      <c r="C117" s="204">
        <f>IF('_Datos'!$C117,'_Datos'!$F117,IF('_Datos'!$B117,'Proyecto Datos (OKR´s)'!$G117,""))</f>
      </c>
      <c r="D117" s="203">
        <f>IF('_Datos'!$C117,'_Datos'!$AO117,"")</f>
      </c>
      <c r="E117" s="205">
        <f>IF('_Datos'!$C117,'_Datos'!$H117,"")</f>
      </c>
      <c r="F117" s="203">
        <f>IF('_Datos'!$C117,'_Datos'!$AR117,"")</f>
      </c>
      <c r="G117" s="203"/>
      <c r="H117" s="204"/>
      <c r="I117" s="203">
        <f>IF('_Datos'!$C117,'_Datos'!$AV117,"")</f>
      </c>
      <c r="J117" s="207">
        <f>IF('_Datos'!$C117,'_Datos'!$AX117,"")</f>
      </c>
      <c r="K117" s="204">
        <f>IF('_Datos'!$C117,IF('Proyecto Datos (OKR´s)'!$C117="","",'Proyecto Datos (OKR´s)'!$C117),"")</f>
      </c>
      <c r="L117" s="204"/>
      <c r="M117" s="191"/>
      <c r="N117" s="203">
        <f>IF('_Datos'!$C117,'_Datos'!$BA117,"")</f>
      </c>
    </row>
    <row r="118">
      <c r="B118" s="203">
        <f>IF('_Datos'!$C118,'_Datos'!$O118,"")</f>
      </c>
      <c r="C118" s="204">
        <f>IF('_Datos'!$C118,'_Datos'!$F118,IF('_Datos'!$B118,'Proyecto Datos (OKR´s)'!$G118,""))</f>
      </c>
      <c r="D118" s="203">
        <f>IF('_Datos'!$C118,'_Datos'!$AO118,"")</f>
      </c>
      <c r="E118" s="205">
        <f>IF('_Datos'!$C118,'_Datos'!$H118,"")</f>
      </c>
      <c r="F118" s="203">
        <f>IF('_Datos'!$C118,'_Datos'!$AR118,"")</f>
      </c>
      <c r="G118" s="203"/>
      <c r="H118" s="204"/>
      <c r="I118" s="203">
        <f>IF('_Datos'!$C118,'_Datos'!$AV118,"")</f>
      </c>
      <c r="J118" s="207">
        <f>IF('_Datos'!$C118,'_Datos'!$AX118,"")</f>
      </c>
      <c r="K118" s="204">
        <f>IF('_Datos'!$C118,IF('Proyecto Datos (OKR´s)'!$C118="","",'Proyecto Datos (OKR´s)'!$C118),"")</f>
      </c>
      <c r="L118" s="204"/>
      <c r="M118" s="191"/>
      <c r="N118" s="203">
        <f>IF('_Datos'!$C118,'_Datos'!$BA118,"")</f>
      </c>
    </row>
    <row r="119">
      <c r="B119" s="203">
        <f>IF('_Datos'!$C119,'_Datos'!$O119,"")</f>
      </c>
      <c r="C119" s="204">
        <f>IF('_Datos'!$C119,'_Datos'!$F119,IF('_Datos'!$B119,'Proyecto Datos (OKR´s)'!$G119,""))</f>
      </c>
      <c r="D119" s="203">
        <f>IF('_Datos'!$C119,'_Datos'!$AO119,"")</f>
      </c>
      <c r="E119" s="205">
        <f>IF('_Datos'!$C119,'_Datos'!$H119,"")</f>
      </c>
      <c r="F119" s="203">
        <f>IF('_Datos'!$C119,'_Datos'!$AR119,"")</f>
      </c>
      <c r="G119" s="203"/>
      <c r="H119" s="204"/>
      <c r="I119" s="203">
        <f>IF('_Datos'!$C119,'_Datos'!$AV119,"")</f>
      </c>
      <c r="J119" s="207">
        <f>IF('_Datos'!$C119,'_Datos'!$AX119,"")</f>
      </c>
      <c r="K119" s="204">
        <f>IF('_Datos'!$C119,IF('Proyecto Datos (OKR´s)'!$C119="","",'Proyecto Datos (OKR´s)'!$C119),"")</f>
      </c>
      <c r="L119" s="204"/>
      <c r="M119" s="191"/>
      <c r="N119" s="203">
        <f>IF('_Datos'!$C119,'_Datos'!$BA119,"")</f>
      </c>
    </row>
    <row r="120">
      <c r="B120" s="203">
        <f>IF('_Datos'!$C120,'_Datos'!$O120,"")</f>
      </c>
      <c r="C120" s="204">
        <f>IF('_Datos'!$C120,'_Datos'!$F120,IF('_Datos'!$B120,'Proyecto Datos (OKR´s)'!$G120,""))</f>
      </c>
      <c r="D120" s="203">
        <f>IF('_Datos'!$C120,'_Datos'!$AO120,"")</f>
      </c>
      <c r="E120" s="205">
        <f>IF('_Datos'!$C120,'_Datos'!$H120,"")</f>
      </c>
      <c r="F120" s="203">
        <f>IF('_Datos'!$C120,'_Datos'!$AR120,"")</f>
      </c>
      <c r="G120" s="203"/>
      <c r="H120" s="204"/>
      <c r="I120" s="203">
        <f>IF('_Datos'!$C120,'_Datos'!$AV120,"")</f>
      </c>
      <c r="J120" s="207">
        <f>IF('_Datos'!$C120,'_Datos'!$AX120,"")</f>
      </c>
      <c r="K120" s="204">
        <f>IF('_Datos'!$C120,IF('Proyecto Datos (OKR´s)'!$C120="","",'Proyecto Datos (OKR´s)'!$C120),"")</f>
      </c>
      <c r="L120" s="204"/>
      <c r="M120" s="191"/>
      <c r="N120" s="203">
        <f>IF('_Datos'!$C120,'_Datos'!$BA120,"")</f>
      </c>
    </row>
    <row r="121">
      <c r="B121" s="203">
        <f>IF('_Datos'!$C121,'_Datos'!$O121,"")</f>
      </c>
      <c r="C121" s="204">
        <f>IF('_Datos'!$C121,'_Datos'!$F121,IF('_Datos'!$B121,'Proyecto Datos (OKR´s)'!$G121,""))</f>
      </c>
      <c r="D121" s="203">
        <f>IF('_Datos'!$C121,'_Datos'!$AO121,"")</f>
      </c>
      <c r="E121" s="205">
        <f>IF('_Datos'!$C121,'_Datos'!$H121,"")</f>
      </c>
      <c r="F121" s="203">
        <f>IF('_Datos'!$C121,'_Datos'!$AR121,"")</f>
      </c>
      <c r="G121" s="203"/>
      <c r="H121" s="204"/>
      <c r="I121" s="203">
        <f>IF('_Datos'!$C121,'_Datos'!$AV121,"")</f>
      </c>
      <c r="J121" s="207">
        <f>IF('_Datos'!$C121,'_Datos'!$AX121,"")</f>
      </c>
      <c r="K121" s="204">
        <f>IF('_Datos'!$C121,IF('Proyecto Datos (OKR´s)'!$C121="","",'Proyecto Datos (OKR´s)'!$C121),"")</f>
      </c>
      <c r="L121" s="204"/>
      <c r="M121" s="191"/>
      <c r="N121" s="203">
        <f>IF('_Datos'!$C121,'_Datos'!$BA121,"")</f>
      </c>
    </row>
    <row r="122">
      <c r="B122" s="203">
        <f>IF('_Datos'!$C122,'_Datos'!$O122,"")</f>
      </c>
      <c r="C122" s="204">
        <f>IF('_Datos'!$C122,'_Datos'!$F122,IF('_Datos'!$B122,'Proyecto Datos (OKR´s)'!$G122,""))</f>
      </c>
      <c r="D122" s="203">
        <f>IF('_Datos'!$C122,'_Datos'!$AO122,"")</f>
      </c>
      <c r="E122" s="205">
        <f>IF('_Datos'!$C122,'_Datos'!$H122,"")</f>
      </c>
      <c r="F122" s="203">
        <f>IF('_Datos'!$C122,'_Datos'!$AR122,"")</f>
      </c>
      <c r="G122" s="203"/>
      <c r="H122" s="204"/>
      <c r="I122" s="203">
        <f>IF('_Datos'!$C122,'_Datos'!$AV122,"")</f>
      </c>
      <c r="J122" s="207">
        <f>IF('_Datos'!$C122,'_Datos'!$AX122,"")</f>
      </c>
      <c r="K122" s="204">
        <f>IF('_Datos'!$C122,IF('Proyecto Datos (OKR´s)'!$C122="","",'Proyecto Datos (OKR´s)'!$C122),"")</f>
      </c>
      <c r="L122" s="204"/>
      <c r="M122" s="191"/>
      <c r="N122" s="203">
        <f>IF('_Datos'!$C122,'_Datos'!$BA122,"")</f>
      </c>
    </row>
    <row r="123">
      <c r="B123" s="203">
        <f>IF('_Datos'!$C123,'_Datos'!$O123,"")</f>
      </c>
      <c r="C123" s="204">
        <f>IF('_Datos'!$C123,'_Datos'!$F123,IF('_Datos'!$B123,'Proyecto Datos (OKR´s)'!$G123,""))</f>
      </c>
      <c r="D123" s="203">
        <f>IF('_Datos'!$C123,'_Datos'!$AO123,"")</f>
      </c>
      <c r="E123" s="205">
        <f>IF('_Datos'!$C123,'_Datos'!$H123,"")</f>
      </c>
      <c r="F123" s="203">
        <f>IF('_Datos'!$C123,'_Datos'!$AR123,"")</f>
      </c>
      <c r="G123" s="203"/>
      <c r="H123" s="204"/>
      <c r="I123" s="203">
        <f>IF('_Datos'!$C123,'_Datos'!$AV123,"")</f>
      </c>
      <c r="J123" s="207">
        <f>IF('_Datos'!$C123,'_Datos'!$AX123,"")</f>
      </c>
      <c r="K123" s="204">
        <f>IF('_Datos'!$C123,IF('Proyecto Datos (OKR´s)'!$C123="","",'Proyecto Datos (OKR´s)'!$C123),"")</f>
      </c>
      <c r="L123" s="204"/>
      <c r="M123" s="191"/>
      <c r="N123" s="203">
        <f>IF('_Datos'!$C123,'_Datos'!$BA123,"")</f>
      </c>
    </row>
    <row r="124">
      <c r="B124" s="203">
        <f>IF('_Datos'!$C124,'_Datos'!$O124,"")</f>
      </c>
      <c r="C124" s="204">
        <f>IF('_Datos'!$C124,'_Datos'!$F124,IF('_Datos'!$B124,'Proyecto Datos (OKR´s)'!$G124,""))</f>
      </c>
      <c r="D124" s="203">
        <f>IF('_Datos'!$C124,'_Datos'!$AO124,"")</f>
      </c>
      <c r="E124" s="205">
        <f>IF('_Datos'!$C124,'_Datos'!$H124,"")</f>
      </c>
      <c r="F124" s="203">
        <f>IF('_Datos'!$C124,'_Datos'!$AR124,"")</f>
      </c>
      <c r="G124" s="203"/>
      <c r="H124" s="204"/>
      <c r="I124" s="203">
        <f>IF('_Datos'!$C124,'_Datos'!$AV124,"")</f>
      </c>
      <c r="J124" s="207">
        <f>IF('_Datos'!$C124,'_Datos'!$AX124,"")</f>
      </c>
      <c r="K124" s="204">
        <f>IF('_Datos'!$C124,IF('Proyecto Datos (OKR´s)'!$C124="","",'Proyecto Datos (OKR´s)'!$C124),"")</f>
      </c>
      <c r="L124" s="204"/>
      <c r="M124" s="191"/>
      <c r="N124" s="203">
        <f>IF('_Datos'!$C124,'_Datos'!$BA124,"")</f>
      </c>
    </row>
    <row r="125">
      <c r="B125" s="203">
        <f>IF('_Datos'!$C125,'_Datos'!$O125,"")</f>
      </c>
      <c r="C125" s="204">
        <f>IF('_Datos'!$C125,'_Datos'!$F125,IF('_Datos'!$B125,'Proyecto Datos (OKR´s)'!$G125,""))</f>
      </c>
      <c r="D125" s="203">
        <f>IF('_Datos'!$C125,'_Datos'!$AO125,"")</f>
      </c>
      <c r="E125" s="205">
        <f>IF('_Datos'!$C125,'_Datos'!$H125,"")</f>
      </c>
      <c r="F125" s="203">
        <f>IF('_Datos'!$C125,'_Datos'!$AR125,"")</f>
      </c>
      <c r="G125" s="203"/>
      <c r="H125" s="204"/>
      <c r="I125" s="203">
        <f>IF('_Datos'!$C125,'_Datos'!$AV125,"")</f>
      </c>
      <c r="J125" s="207">
        <f>IF('_Datos'!$C125,'_Datos'!$AX125,"")</f>
      </c>
      <c r="K125" s="204">
        <f>IF('_Datos'!$C125,IF('Proyecto Datos (OKR´s)'!$C125="","",'Proyecto Datos (OKR´s)'!$C125),"")</f>
      </c>
      <c r="L125" s="204"/>
      <c r="M125" s="191"/>
      <c r="N125" s="203">
        <f>IF('_Datos'!$C125,'_Datos'!$BA125,"")</f>
      </c>
    </row>
    <row r="126">
      <c r="B126" s="203">
        <f>IF('_Datos'!$C126,'_Datos'!$O126,"")</f>
      </c>
      <c r="C126" s="204">
        <f>IF('_Datos'!$C126,'_Datos'!$F126,IF('_Datos'!$B126,'Proyecto Datos (OKR´s)'!$G126,""))</f>
      </c>
      <c r="D126" s="203">
        <f>IF('_Datos'!$C126,'_Datos'!$AO126,"")</f>
      </c>
      <c r="E126" s="205">
        <f>IF('_Datos'!$C126,'_Datos'!$H126,"")</f>
      </c>
      <c r="F126" s="203">
        <f>IF('_Datos'!$C126,'_Datos'!$AR126,"")</f>
      </c>
      <c r="G126" s="203"/>
      <c r="H126" s="204"/>
      <c r="I126" s="203">
        <f>IF('_Datos'!$C126,'_Datos'!$AV126,"")</f>
      </c>
      <c r="J126" s="207">
        <f>IF('_Datos'!$C126,'_Datos'!$AX126,"")</f>
      </c>
      <c r="K126" s="204">
        <f>IF('_Datos'!$C126,IF('Proyecto Datos (OKR´s)'!$C126="","",'Proyecto Datos (OKR´s)'!$C126),"")</f>
      </c>
      <c r="L126" s="204"/>
      <c r="M126" s="191"/>
      <c r="N126" s="203">
        <f>IF('_Datos'!$C126,'_Datos'!$BA126,"")</f>
      </c>
    </row>
    <row r="127">
      <c r="B127" s="203">
        <f>IF('_Datos'!$C127,'_Datos'!$O127,"")</f>
      </c>
      <c r="C127" s="204">
        <f>IF('_Datos'!$C127,'_Datos'!$F127,IF('_Datos'!$B127,'Proyecto Datos (OKR´s)'!$G127,""))</f>
      </c>
      <c r="D127" s="203">
        <f>IF('_Datos'!$C127,'_Datos'!$AO127,"")</f>
      </c>
      <c r="E127" s="205">
        <f>IF('_Datos'!$C127,'_Datos'!$H127,"")</f>
      </c>
      <c r="F127" s="203">
        <f>IF('_Datos'!$C127,'_Datos'!$AR127,"")</f>
      </c>
      <c r="G127" s="203"/>
      <c r="H127" s="204"/>
      <c r="I127" s="203">
        <f>IF('_Datos'!$C127,'_Datos'!$AV127,"")</f>
      </c>
      <c r="J127" s="207">
        <f>IF('_Datos'!$C127,'_Datos'!$AX127,"")</f>
      </c>
      <c r="K127" s="204">
        <f>IF('_Datos'!$C127,IF('Proyecto Datos (OKR´s)'!$C127="","",'Proyecto Datos (OKR´s)'!$C127),"")</f>
      </c>
      <c r="L127" s="204"/>
      <c r="M127" s="191"/>
      <c r="N127" s="203">
        <f>IF('_Datos'!$C127,'_Datos'!$BA127,"")</f>
      </c>
    </row>
    <row r="128">
      <c r="B128" s="203">
        <f>IF('_Datos'!$C128,'_Datos'!$O128,"")</f>
      </c>
      <c r="C128" s="204">
        <f>IF('_Datos'!$C128,'_Datos'!$F128,IF('_Datos'!$B128,'Proyecto Datos (OKR´s)'!$G128,""))</f>
      </c>
      <c r="D128" s="203">
        <f>IF('_Datos'!$C128,'_Datos'!$AO128,"")</f>
      </c>
      <c r="E128" s="205">
        <f>IF('_Datos'!$C128,'_Datos'!$H128,"")</f>
      </c>
      <c r="F128" s="203">
        <f>IF('_Datos'!$C128,'_Datos'!$AR128,"")</f>
      </c>
      <c r="G128" s="203"/>
      <c r="H128" s="204"/>
      <c r="I128" s="203">
        <f>IF('_Datos'!$C128,'_Datos'!$AV128,"")</f>
      </c>
      <c r="J128" s="207">
        <f>IF('_Datos'!$C128,'_Datos'!$AX128,"")</f>
      </c>
      <c r="K128" s="204">
        <f>IF('_Datos'!$C128,IF('Proyecto Datos (OKR´s)'!$C128="","",'Proyecto Datos (OKR´s)'!$C128),"")</f>
      </c>
      <c r="L128" s="204"/>
      <c r="M128" s="191"/>
      <c r="N128" s="203">
        <f>IF('_Datos'!$C128,'_Datos'!$BA128,"")</f>
      </c>
    </row>
    <row r="129">
      <c r="B129" s="203">
        <f>IF('_Datos'!$C129,'_Datos'!$O129,"")</f>
      </c>
      <c r="C129" s="204">
        <f>IF('_Datos'!$C129,'_Datos'!$F129,IF('_Datos'!$B129,'Proyecto Datos (OKR´s)'!$G129,""))</f>
      </c>
      <c r="D129" s="203">
        <f>IF('_Datos'!$C129,'_Datos'!$AO129,"")</f>
      </c>
      <c r="E129" s="205">
        <f>IF('_Datos'!$C129,'_Datos'!$H129,"")</f>
      </c>
      <c r="F129" s="203">
        <f>IF('_Datos'!$C129,'_Datos'!$AR129,"")</f>
      </c>
      <c r="G129" s="203"/>
      <c r="H129" s="204"/>
      <c r="I129" s="203">
        <f>IF('_Datos'!$C129,'_Datos'!$AV129,"")</f>
      </c>
      <c r="J129" s="207">
        <f>IF('_Datos'!$C129,'_Datos'!$AX129,"")</f>
      </c>
      <c r="K129" s="204">
        <f>IF('_Datos'!$C129,IF('Proyecto Datos (OKR´s)'!$C129="","",'Proyecto Datos (OKR´s)'!$C129),"")</f>
      </c>
      <c r="L129" s="204"/>
      <c r="M129" s="191"/>
      <c r="N129" s="203">
        <f>IF('_Datos'!$C129,'_Datos'!$BA129,"")</f>
      </c>
    </row>
    <row r="130">
      <c r="B130" s="203">
        <f>IF('_Datos'!$C130,'_Datos'!$O130,"")</f>
      </c>
      <c r="C130" s="204">
        <f>IF('_Datos'!$C130,'_Datos'!$F130,IF('_Datos'!$B130,'Proyecto Datos (OKR´s)'!$G130,""))</f>
      </c>
      <c r="D130" s="203">
        <f>IF('_Datos'!$C130,'_Datos'!$AO130,"")</f>
      </c>
      <c r="E130" s="205">
        <f>IF('_Datos'!$C130,'_Datos'!$H130,"")</f>
      </c>
      <c r="F130" s="203">
        <f>IF('_Datos'!$C130,'_Datos'!$AR130,"")</f>
      </c>
      <c r="G130" s="203"/>
      <c r="H130" s="204"/>
      <c r="I130" s="203">
        <f>IF('_Datos'!$C130,'_Datos'!$AV130,"")</f>
      </c>
      <c r="J130" s="207">
        <f>IF('_Datos'!$C130,'_Datos'!$AX130,"")</f>
      </c>
      <c r="K130" s="204">
        <f>IF('_Datos'!$C130,IF('Proyecto Datos (OKR´s)'!$C130="","",'Proyecto Datos (OKR´s)'!$C130),"")</f>
      </c>
      <c r="L130" s="204"/>
      <c r="M130" s="191"/>
      <c r="N130" s="203">
        <f>IF('_Datos'!$C130,'_Datos'!$BA130,"")</f>
      </c>
    </row>
    <row r="131">
      <c r="B131" s="203">
        <f>IF('_Datos'!$C131,'_Datos'!$O131,"")</f>
      </c>
      <c r="C131" s="204">
        <f>IF('_Datos'!$C131,'_Datos'!$F131,IF('_Datos'!$B131,'Proyecto Datos (OKR´s)'!$G131,""))</f>
      </c>
      <c r="D131" s="203">
        <f>IF('_Datos'!$C131,'_Datos'!$AO131,"")</f>
      </c>
      <c r="E131" s="205">
        <f>IF('_Datos'!$C131,'_Datos'!$H131,"")</f>
      </c>
      <c r="F131" s="203">
        <f>IF('_Datos'!$C131,'_Datos'!$AR131,"")</f>
      </c>
      <c r="G131" s="203"/>
      <c r="H131" s="204"/>
      <c r="I131" s="203">
        <f>IF('_Datos'!$C131,'_Datos'!$AV131,"")</f>
      </c>
      <c r="J131" s="207">
        <f>IF('_Datos'!$C131,'_Datos'!$AX131,"")</f>
      </c>
      <c r="K131" s="204">
        <f>IF('_Datos'!$C131,IF('Proyecto Datos (OKR´s)'!$C131="","",'Proyecto Datos (OKR´s)'!$C131),"")</f>
      </c>
      <c r="L131" s="204"/>
      <c r="M131" s="191"/>
      <c r="N131" s="203">
        <f>IF('_Datos'!$C131,'_Datos'!$BA131,"")</f>
      </c>
    </row>
    <row r="132">
      <c r="B132" s="203">
        <f>IF('_Datos'!$C132,'_Datos'!$O132,"")</f>
      </c>
      <c r="C132" s="204">
        <f>IF('_Datos'!$C132,'_Datos'!$F132,IF('_Datos'!$B132,'Proyecto Datos (OKR´s)'!$G132,""))</f>
      </c>
      <c r="D132" s="203">
        <f>IF('_Datos'!$C132,'_Datos'!$AO132,"")</f>
      </c>
      <c r="E132" s="205">
        <f>IF('_Datos'!$C132,'_Datos'!$H132,"")</f>
      </c>
      <c r="F132" s="203">
        <f>IF('_Datos'!$C132,'_Datos'!$AR132,"")</f>
      </c>
      <c r="G132" s="203"/>
      <c r="H132" s="204"/>
      <c r="I132" s="203">
        <f>IF('_Datos'!$C132,'_Datos'!$AV132,"")</f>
      </c>
      <c r="J132" s="207">
        <f>IF('_Datos'!$C132,'_Datos'!$AX132,"")</f>
      </c>
      <c r="K132" s="204">
        <f>IF('_Datos'!$C132,IF('Proyecto Datos (OKR´s)'!$C132="","",'Proyecto Datos (OKR´s)'!$C132),"")</f>
      </c>
      <c r="L132" s="204"/>
      <c r="M132" s="191"/>
      <c r="N132" s="203">
        <f>IF('_Datos'!$C132,'_Datos'!$BA132,"")</f>
      </c>
    </row>
    <row r="133">
      <c r="B133" s="203">
        <f>IF('_Datos'!$C133,'_Datos'!$O133,"")</f>
      </c>
      <c r="C133" s="204">
        <f>IF('_Datos'!$C133,'_Datos'!$F133,IF('_Datos'!$B133,'Proyecto Datos (OKR´s)'!$G133,""))</f>
      </c>
      <c r="D133" s="203">
        <f>IF('_Datos'!$C133,'_Datos'!$AO133,"")</f>
      </c>
      <c r="E133" s="205">
        <f>IF('_Datos'!$C133,'_Datos'!$H133,"")</f>
      </c>
      <c r="F133" s="203">
        <f>IF('_Datos'!$C133,'_Datos'!$AR133,"")</f>
      </c>
      <c r="G133" s="203"/>
      <c r="H133" s="204"/>
      <c r="I133" s="203">
        <f>IF('_Datos'!$C133,'_Datos'!$AV133,"")</f>
      </c>
      <c r="J133" s="207">
        <f>IF('_Datos'!$C133,'_Datos'!$AX133,"")</f>
      </c>
      <c r="K133" s="204">
        <f>IF('_Datos'!$C133,IF('Proyecto Datos (OKR´s)'!$C133="","",'Proyecto Datos (OKR´s)'!$C133),"")</f>
      </c>
      <c r="L133" s="204"/>
      <c r="M133" s="191"/>
      <c r="N133" s="203">
        <f>IF('_Datos'!$C133,'_Datos'!$BA133,"")</f>
      </c>
    </row>
    <row r="134">
      <c r="B134" s="203">
        <f>IF('_Datos'!$C134,'_Datos'!$O134,"")</f>
      </c>
      <c r="C134" s="204">
        <f>IF('_Datos'!$C134,'_Datos'!$F134,IF('_Datos'!$B134,'Proyecto Datos (OKR´s)'!$G134,""))</f>
      </c>
      <c r="D134" s="203">
        <f>IF('_Datos'!$C134,'_Datos'!$AO134,"")</f>
      </c>
      <c r="E134" s="205">
        <f>IF('_Datos'!$C134,'_Datos'!$H134,"")</f>
      </c>
      <c r="F134" s="203">
        <f>IF('_Datos'!$C134,'_Datos'!$AR134,"")</f>
      </c>
      <c r="G134" s="203"/>
      <c r="H134" s="204"/>
      <c r="I134" s="203">
        <f>IF('_Datos'!$C134,'_Datos'!$AV134,"")</f>
      </c>
      <c r="J134" s="207">
        <f>IF('_Datos'!$C134,'_Datos'!$AX134,"")</f>
      </c>
      <c r="K134" s="204">
        <f>IF('_Datos'!$C134,IF('Proyecto Datos (OKR´s)'!$C134="","",'Proyecto Datos (OKR´s)'!$C134),"")</f>
      </c>
      <c r="L134" s="204"/>
      <c r="M134" s="191"/>
      <c r="N134" s="203">
        <f>IF('_Datos'!$C134,'_Datos'!$BA134,"")</f>
      </c>
    </row>
    <row r="135">
      <c r="B135" s="203">
        <f>IF('_Datos'!$C135,'_Datos'!$O135,"")</f>
      </c>
      <c r="C135" s="204">
        <f>IF('_Datos'!$C135,'_Datos'!$F135,IF('_Datos'!$B135,'Proyecto Datos (OKR´s)'!$G135,""))</f>
      </c>
      <c r="D135" s="203">
        <f>IF('_Datos'!$C135,'_Datos'!$AO135,"")</f>
      </c>
      <c r="E135" s="205">
        <f>IF('_Datos'!$C135,'_Datos'!$H135,"")</f>
      </c>
      <c r="F135" s="203">
        <f>IF('_Datos'!$C135,'_Datos'!$AR135,"")</f>
      </c>
      <c r="G135" s="203"/>
      <c r="H135" s="204"/>
      <c r="I135" s="203">
        <f>IF('_Datos'!$C135,'_Datos'!$AV135,"")</f>
      </c>
      <c r="J135" s="207">
        <f>IF('_Datos'!$C135,'_Datos'!$AX135,"")</f>
      </c>
      <c r="K135" s="204">
        <f>IF('_Datos'!$C135,IF('Proyecto Datos (OKR´s)'!$C135="","",'Proyecto Datos (OKR´s)'!$C135),"")</f>
      </c>
      <c r="L135" s="204"/>
      <c r="M135" s="191"/>
      <c r="N135" s="203">
        <f>IF('_Datos'!$C135,'_Datos'!$BA135,"")</f>
      </c>
    </row>
    <row r="136">
      <c r="B136" s="203">
        <f>IF('_Datos'!$C136,'_Datos'!$O136,"")</f>
      </c>
      <c r="C136" s="204">
        <f>IF('_Datos'!$C136,'_Datos'!$F136,IF('_Datos'!$B136,'Proyecto Datos (OKR´s)'!$G136,""))</f>
      </c>
      <c r="D136" s="203">
        <f>IF('_Datos'!$C136,'_Datos'!$AO136,"")</f>
      </c>
      <c r="E136" s="205">
        <f>IF('_Datos'!$C136,'_Datos'!$H136,"")</f>
      </c>
      <c r="F136" s="203">
        <f>IF('_Datos'!$C136,'_Datos'!$AR136,"")</f>
      </c>
      <c r="G136" s="203"/>
      <c r="H136" s="204"/>
      <c r="I136" s="203">
        <f>IF('_Datos'!$C136,'_Datos'!$AV136,"")</f>
      </c>
      <c r="J136" s="207">
        <f>IF('_Datos'!$C136,'_Datos'!$AX136,"")</f>
      </c>
      <c r="K136" s="204">
        <f>IF('_Datos'!$C136,IF('Proyecto Datos (OKR´s)'!$C136="","",'Proyecto Datos (OKR´s)'!$C136),"")</f>
      </c>
      <c r="L136" s="204"/>
      <c r="M136" s="191"/>
      <c r="N136" s="203">
        <f>IF('_Datos'!$C136,'_Datos'!$BA136,"")</f>
      </c>
    </row>
    <row r="137">
      <c r="B137" s="203">
        <f>IF('_Datos'!$C137,'_Datos'!$O137,"")</f>
      </c>
      <c r="C137" s="204">
        <f>IF('_Datos'!$C137,'_Datos'!$F137,IF('_Datos'!$B137,'Proyecto Datos (OKR´s)'!$G137,""))</f>
      </c>
      <c r="D137" s="203">
        <f>IF('_Datos'!$C137,'_Datos'!$AO137,"")</f>
      </c>
      <c r="E137" s="205">
        <f>IF('_Datos'!$C137,'_Datos'!$H137,"")</f>
      </c>
      <c r="F137" s="203">
        <f>IF('_Datos'!$C137,'_Datos'!$AR137,"")</f>
      </c>
      <c r="G137" s="203"/>
      <c r="H137" s="204"/>
      <c r="I137" s="203">
        <f>IF('_Datos'!$C137,'_Datos'!$AV137,"")</f>
      </c>
      <c r="J137" s="207">
        <f>IF('_Datos'!$C137,'_Datos'!$AX137,"")</f>
      </c>
      <c r="K137" s="204">
        <f>IF('_Datos'!$C137,IF('Proyecto Datos (OKR´s)'!$C137="","",'Proyecto Datos (OKR´s)'!$C137),"")</f>
      </c>
      <c r="L137" s="204"/>
      <c r="M137" s="191"/>
      <c r="N137" s="203">
        <f>IF('_Datos'!$C137,'_Datos'!$BA137,"")</f>
      </c>
    </row>
    <row r="138">
      <c r="B138" s="203">
        <f>IF('_Datos'!$C138,'_Datos'!$O138,"")</f>
      </c>
      <c r="C138" s="204">
        <f>IF('_Datos'!$C138,'_Datos'!$F138,IF('_Datos'!$B138,'Proyecto Datos (OKR´s)'!$G138,""))</f>
      </c>
      <c r="D138" s="203">
        <f>IF('_Datos'!$C138,'_Datos'!$AO138,"")</f>
      </c>
      <c r="E138" s="205">
        <f>IF('_Datos'!$C138,'_Datos'!$H138,"")</f>
      </c>
      <c r="F138" s="203">
        <f>IF('_Datos'!$C138,'_Datos'!$AR138,"")</f>
      </c>
      <c r="G138" s="203"/>
      <c r="H138" s="204"/>
      <c r="I138" s="203">
        <f>IF('_Datos'!$C138,'_Datos'!$AV138,"")</f>
      </c>
      <c r="J138" s="207">
        <f>IF('_Datos'!$C138,'_Datos'!$AX138,"")</f>
      </c>
      <c r="K138" s="204">
        <f>IF('_Datos'!$C138,IF('Proyecto Datos (OKR´s)'!$C138="","",'Proyecto Datos (OKR´s)'!$C138),"")</f>
      </c>
      <c r="L138" s="204"/>
      <c r="M138" s="191"/>
      <c r="N138" s="203">
        <f>IF('_Datos'!$C138,'_Datos'!$BA138,"")</f>
      </c>
    </row>
    <row r="139">
      <c r="B139" s="203">
        <f>IF('_Datos'!$C139,'_Datos'!$O139,"")</f>
      </c>
      <c r="C139" s="204">
        <f>IF('_Datos'!$C139,'_Datos'!$F139,IF('_Datos'!$B139,'Proyecto Datos (OKR´s)'!$G139,""))</f>
      </c>
      <c r="D139" s="203">
        <f>IF('_Datos'!$C139,'_Datos'!$AO139,"")</f>
      </c>
      <c r="E139" s="205">
        <f>IF('_Datos'!$C139,'_Datos'!$H139,"")</f>
      </c>
      <c r="F139" s="203">
        <f>IF('_Datos'!$C139,'_Datos'!$AR139,"")</f>
      </c>
      <c r="G139" s="203"/>
      <c r="H139" s="204"/>
      <c r="I139" s="203">
        <f>IF('_Datos'!$C139,'_Datos'!$AV139,"")</f>
      </c>
      <c r="J139" s="207">
        <f>IF('_Datos'!$C139,'_Datos'!$AX139,"")</f>
      </c>
      <c r="K139" s="204">
        <f>IF('_Datos'!$C139,IF('Proyecto Datos (OKR´s)'!$C139="","",'Proyecto Datos (OKR´s)'!$C139),"")</f>
      </c>
      <c r="L139" s="204"/>
      <c r="M139" s="191"/>
      <c r="N139" s="203">
        <f>IF('_Datos'!$C139,'_Datos'!$BA139,"")</f>
      </c>
    </row>
    <row r="140">
      <c r="B140" s="203">
        <f>IF('_Datos'!$C140,'_Datos'!$O140,"")</f>
      </c>
      <c r="C140" s="204">
        <f>IF('_Datos'!$C140,'_Datos'!$F140,IF('_Datos'!$B140,'Proyecto Datos (OKR´s)'!$G140,""))</f>
      </c>
      <c r="D140" s="203">
        <f>IF('_Datos'!$C140,'_Datos'!$AO140,"")</f>
      </c>
      <c r="E140" s="205">
        <f>IF('_Datos'!$C140,'_Datos'!$H140,"")</f>
      </c>
      <c r="F140" s="203">
        <f>IF('_Datos'!$C140,'_Datos'!$AR140,"")</f>
      </c>
      <c r="G140" s="203"/>
      <c r="H140" s="204"/>
      <c r="I140" s="203">
        <f>IF('_Datos'!$C140,'_Datos'!$AV140,"")</f>
      </c>
      <c r="J140" s="207">
        <f>IF('_Datos'!$C140,'_Datos'!$AX140,"")</f>
      </c>
      <c r="K140" s="204">
        <f>IF('_Datos'!$C140,IF('Proyecto Datos (OKR´s)'!$C140="","",'Proyecto Datos (OKR´s)'!$C140),"")</f>
      </c>
      <c r="L140" s="204"/>
      <c r="M140" s="191"/>
      <c r="N140" s="203">
        <f>IF('_Datos'!$C140,'_Datos'!$BA140,"")</f>
      </c>
    </row>
    <row r="141">
      <c r="B141" s="203">
        <f>IF('_Datos'!$C141,'_Datos'!$O141,"")</f>
      </c>
      <c r="C141" s="204">
        <f>IF('_Datos'!$C141,'_Datos'!$F141,IF('_Datos'!$B141,'Proyecto Datos (OKR´s)'!$G141,""))</f>
      </c>
      <c r="D141" s="203">
        <f>IF('_Datos'!$C141,'_Datos'!$AO141,"")</f>
      </c>
      <c r="E141" s="205">
        <f>IF('_Datos'!$C141,'_Datos'!$H141,"")</f>
      </c>
      <c r="F141" s="203">
        <f>IF('_Datos'!$C141,'_Datos'!$AR141,"")</f>
      </c>
      <c r="G141" s="203"/>
      <c r="H141" s="204"/>
      <c r="I141" s="203">
        <f>IF('_Datos'!$C141,'_Datos'!$AV141,"")</f>
      </c>
      <c r="J141" s="207">
        <f>IF('_Datos'!$C141,'_Datos'!$AX141,"")</f>
      </c>
      <c r="K141" s="204">
        <f>IF('_Datos'!$C141,IF('Proyecto Datos (OKR´s)'!$C141="","",'Proyecto Datos (OKR´s)'!$C141),"")</f>
      </c>
      <c r="L141" s="204"/>
      <c r="M141" s="191"/>
      <c r="N141" s="203">
        <f>IF('_Datos'!$C141,'_Datos'!$BA141,"")</f>
      </c>
    </row>
    <row r="142">
      <c r="B142" s="203">
        <f>IF('_Datos'!$C142,'_Datos'!$O142,"")</f>
      </c>
      <c r="C142" s="204">
        <f>IF('_Datos'!$C142,'_Datos'!$F142,IF('_Datos'!$B142,'Proyecto Datos (OKR´s)'!$G142,""))</f>
      </c>
      <c r="D142" s="203">
        <f>IF('_Datos'!$C142,'_Datos'!$AO142,"")</f>
      </c>
      <c r="E142" s="205">
        <f>IF('_Datos'!$C142,'_Datos'!$H142,"")</f>
      </c>
      <c r="F142" s="203">
        <f>IF('_Datos'!$C142,'_Datos'!$AR142,"")</f>
      </c>
      <c r="G142" s="203"/>
      <c r="H142" s="204"/>
      <c r="I142" s="203">
        <f>IF('_Datos'!$C142,'_Datos'!$AV142,"")</f>
      </c>
      <c r="J142" s="207">
        <f>IF('_Datos'!$C142,'_Datos'!$AX142,"")</f>
      </c>
      <c r="K142" s="204">
        <f>IF('_Datos'!$C142,IF('Proyecto Datos (OKR´s)'!$C142="","",'Proyecto Datos (OKR´s)'!$C142),"")</f>
      </c>
      <c r="L142" s="204"/>
      <c r="M142" s="191"/>
      <c r="N142" s="203">
        <f>IF('_Datos'!$C142,'_Datos'!$BA142,"")</f>
      </c>
    </row>
    <row r="143">
      <c r="B143" s="203">
        <f>IF('_Datos'!$C143,'_Datos'!$O143,"")</f>
      </c>
      <c r="C143" s="204">
        <f>IF('_Datos'!$C143,'_Datos'!$F143,IF('_Datos'!$B143,'Proyecto Datos (OKR´s)'!$G143,""))</f>
      </c>
      <c r="D143" s="203">
        <f>IF('_Datos'!$C143,'_Datos'!$AO143,"")</f>
      </c>
      <c r="E143" s="205">
        <f>IF('_Datos'!$C143,'_Datos'!$H143,"")</f>
      </c>
      <c r="F143" s="203">
        <f>IF('_Datos'!$C143,'_Datos'!$AR143,"")</f>
      </c>
      <c r="G143" s="203"/>
      <c r="H143" s="204"/>
      <c r="I143" s="203">
        <f>IF('_Datos'!$C143,'_Datos'!$AV143,"")</f>
      </c>
      <c r="J143" s="207">
        <f>IF('_Datos'!$C143,'_Datos'!$AX143,"")</f>
      </c>
      <c r="K143" s="204">
        <f>IF('_Datos'!$C143,IF('Proyecto Datos (OKR´s)'!$C143="","",'Proyecto Datos (OKR´s)'!$C143),"")</f>
      </c>
      <c r="L143" s="204"/>
      <c r="M143" s="191"/>
      <c r="N143" s="203">
        <f>IF('_Datos'!$C143,'_Datos'!$BA143,"")</f>
      </c>
    </row>
    <row r="144">
      <c r="B144" s="203">
        <f>IF('_Datos'!$C144,'_Datos'!$O144,"")</f>
      </c>
      <c r="C144" s="204">
        <f>IF('_Datos'!$C144,'_Datos'!$F144,IF('_Datos'!$B144,'Proyecto Datos (OKR´s)'!$G144,""))</f>
      </c>
      <c r="D144" s="203">
        <f>IF('_Datos'!$C144,'_Datos'!$AO144,"")</f>
      </c>
      <c r="E144" s="205">
        <f>IF('_Datos'!$C144,'_Datos'!$H144,"")</f>
      </c>
      <c r="F144" s="203">
        <f>IF('_Datos'!$C144,'_Datos'!$AR144,"")</f>
      </c>
      <c r="G144" s="203"/>
      <c r="H144" s="204"/>
      <c r="I144" s="203">
        <f>IF('_Datos'!$C144,'_Datos'!$AV144,"")</f>
      </c>
      <c r="J144" s="207">
        <f>IF('_Datos'!$C144,'_Datos'!$AX144,"")</f>
      </c>
      <c r="K144" s="204">
        <f>IF('_Datos'!$C144,IF('Proyecto Datos (OKR´s)'!$C144="","",'Proyecto Datos (OKR´s)'!$C144),"")</f>
      </c>
      <c r="L144" s="204"/>
      <c r="M144" s="191"/>
      <c r="N144" s="203">
        <f>IF('_Datos'!$C144,'_Datos'!$BA144,"")</f>
      </c>
    </row>
    <row r="145">
      <c r="B145" s="203">
        <f>IF('_Datos'!$C145,'_Datos'!$O145,"")</f>
      </c>
      <c r="C145" s="204">
        <f>IF('_Datos'!$C145,'_Datos'!$F145,IF('_Datos'!$B145,'Proyecto Datos (OKR´s)'!$G145,""))</f>
      </c>
      <c r="D145" s="203">
        <f>IF('_Datos'!$C145,'_Datos'!$AO145,"")</f>
      </c>
      <c r="E145" s="205">
        <f>IF('_Datos'!$C145,'_Datos'!$H145,"")</f>
      </c>
      <c r="F145" s="203">
        <f>IF('_Datos'!$C145,'_Datos'!$AR145,"")</f>
      </c>
      <c r="G145" s="203"/>
      <c r="H145" s="204"/>
      <c r="I145" s="203">
        <f>IF('_Datos'!$C145,'_Datos'!$AV145,"")</f>
      </c>
      <c r="J145" s="207">
        <f>IF('_Datos'!$C145,'_Datos'!$AX145,"")</f>
      </c>
      <c r="K145" s="204">
        <f>IF('_Datos'!$C145,IF('Proyecto Datos (OKR´s)'!$C145="","",'Proyecto Datos (OKR´s)'!$C145),"")</f>
      </c>
      <c r="L145" s="204"/>
      <c r="M145" s="191"/>
      <c r="N145" s="203">
        <f>IF('_Datos'!$C145,'_Datos'!$BA145,"")</f>
      </c>
    </row>
    <row r="146">
      <c r="B146" s="203">
        <f>IF('_Datos'!$C146,'_Datos'!$O146,"")</f>
      </c>
      <c r="C146" s="204">
        <f>IF('_Datos'!$C146,'_Datos'!$F146,IF('_Datos'!$B146,'Proyecto Datos (OKR´s)'!$G146,""))</f>
      </c>
      <c r="D146" s="203">
        <f>IF('_Datos'!$C146,'_Datos'!$AO146,"")</f>
      </c>
      <c r="E146" s="205">
        <f>IF('_Datos'!$C146,'_Datos'!$H146,"")</f>
      </c>
      <c r="F146" s="203">
        <f>IF('_Datos'!$C146,'_Datos'!$AR146,"")</f>
      </c>
      <c r="G146" s="203"/>
      <c r="H146" s="204"/>
      <c r="I146" s="203">
        <f>IF('_Datos'!$C146,'_Datos'!$AV146,"")</f>
      </c>
      <c r="J146" s="207">
        <f>IF('_Datos'!$C146,'_Datos'!$AX146,"")</f>
      </c>
      <c r="K146" s="204">
        <f>IF('_Datos'!$C146,IF('Proyecto Datos (OKR´s)'!$C146="","",'Proyecto Datos (OKR´s)'!$C146),"")</f>
      </c>
      <c r="L146" s="204"/>
      <c r="M146" s="191"/>
      <c r="N146" s="203">
        <f>IF('_Datos'!$C146,'_Datos'!$BA146,"")</f>
      </c>
    </row>
    <row r="147">
      <c r="B147" s="203">
        <f>IF('_Datos'!$C147,'_Datos'!$O147,"")</f>
      </c>
      <c r="C147" s="204">
        <f>IF('_Datos'!$C147,'_Datos'!$F147,IF('_Datos'!$B147,'Proyecto Datos (OKR´s)'!$G147,""))</f>
      </c>
      <c r="D147" s="203">
        <f>IF('_Datos'!$C147,'_Datos'!$AO147,"")</f>
      </c>
      <c r="E147" s="205">
        <f>IF('_Datos'!$C147,'_Datos'!$H147,"")</f>
      </c>
      <c r="F147" s="203">
        <f>IF('_Datos'!$C147,'_Datos'!$AR147,"")</f>
      </c>
      <c r="G147" s="203"/>
      <c r="H147" s="204"/>
      <c r="I147" s="203">
        <f>IF('_Datos'!$C147,'_Datos'!$AV147,"")</f>
      </c>
      <c r="J147" s="207">
        <f>IF('_Datos'!$C147,'_Datos'!$AX147,"")</f>
      </c>
      <c r="K147" s="204">
        <f>IF('_Datos'!$C147,IF('Proyecto Datos (OKR´s)'!$C147="","",'Proyecto Datos (OKR´s)'!$C147),"")</f>
      </c>
      <c r="L147" s="204"/>
      <c r="M147" s="191"/>
      <c r="N147" s="203">
        <f>IF('_Datos'!$C147,'_Datos'!$BA147,"")</f>
      </c>
    </row>
    <row r="148">
      <c r="B148" s="203">
        <f>IF('_Datos'!$C148,'_Datos'!$O148,"")</f>
      </c>
      <c r="C148" s="204">
        <f>IF('_Datos'!$C148,'_Datos'!$F148,IF('_Datos'!$B148,'Proyecto Datos (OKR´s)'!$G148,""))</f>
      </c>
      <c r="D148" s="203">
        <f>IF('_Datos'!$C148,'_Datos'!$AO148,"")</f>
      </c>
      <c r="E148" s="205">
        <f>IF('_Datos'!$C148,'_Datos'!$H148,"")</f>
      </c>
      <c r="F148" s="203">
        <f>IF('_Datos'!$C148,'_Datos'!$AR148,"")</f>
      </c>
      <c r="G148" s="203"/>
      <c r="H148" s="204"/>
      <c r="I148" s="203">
        <f>IF('_Datos'!$C148,'_Datos'!$AV148,"")</f>
      </c>
      <c r="J148" s="207">
        <f>IF('_Datos'!$C148,'_Datos'!$AX148,"")</f>
      </c>
      <c r="K148" s="204">
        <f>IF('_Datos'!$C148,IF('Proyecto Datos (OKR´s)'!$C148="","",'Proyecto Datos (OKR´s)'!$C148),"")</f>
      </c>
      <c r="L148" s="204"/>
      <c r="M148" s="191"/>
      <c r="N148" s="203">
        <f>IF('_Datos'!$C148,'_Datos'!$BA148,"")</f>
      </c>
    </row>
    <row r="149">
      <c r="B149" s="203">
        <f>IF('_Datos'!$C149,'_Datos'!$O149,"")</f>
      </c>
      <c r="C149" s="204">
        <f>IF('_Datos'!$C149,'_Datos'!$F149,IF('_Datos'!$B149,'Proyecto Datos (OKR´s)'!$G149,""))</f>
      </c>
      <c r="D149" s="203">
        <f>IF('_Datos'!$C149,'_Datos'!$AO149,"")</f>
      </c>
      <c r="E149" s="205">
        <f>IF('_Datos'!$C149,'_Datos'!$H149,"")</f>
      </c>
      <c r="F149" s="203">
        <f>IF('_Datos'!$C149,'_Datos'!$AR149,"")</f>
      </c>
      <c r="G149" s="203"/>
      <c r="H149" s="204"/>
      <c r="I149" s="203">
        <f>IF('_Datos'!$C149,'_Datos'!$AV149,"")</f>
      </c>
      <c r="J149" s="207">
        <f>IF('_Datos'!$C149,'_Datos'!$AX149,"")</f>
      </c>
      <c r="K149" s="204">
        <f>IF('_Datos'!$C149,IF('Proyecto Datos (OKR´s)'!$C149="","",'Proyecto Datos (OKR´s)'!$C149),"")</f>
      </c>
      <c r="L149" s="204"/>
      <c r="M149" s="191"/>
      <c r="N149" s="203">
        <f>IF('_Datos'!$C149,'_Datos'!$BA149,"")</f>
      </c>
    </row>
    <row r="150">
      <c r="B150" s="203">
        <f>IF('_Datos'!$C150,'_Datos'!$O150,"")</f>
      </c>
      <c r="C150" s="204">
        <f>IF('_Datos'!$C150,'_Datos'!$F150,IF('_Datos'!$B150,'Proyecto Datos (OKR´s)'!$G150,""))</f>
      </c>
      <c r="D150" s="203">
        <f>IF('_Datos'!$C150,'_Datos'!$AO150,"")</f>
      </c>
      <c r="E150" s="205">
        <f>IF('_Datos'!$C150,'_Datos'!$H150,"")</f>
      </c>
      <c r="F150" s="203">
        <f>IF('_Datos'!$C150,'_Datos'!$AR150,"")</f>
      </c>
      <c r="G150" s="203"/>
      <c r="H150" s="204"/>
      <c r="I150" s="203">
        <f>IF('_Datos'!$C150,'_Datos'!$AV150,"")</f>
      </c>
      <c r="J150" s="207">
        <f>IF('_Datos'!$C150,'_Datos'!$AX150,"")</f>
      </c>
      <c r="K150" s="204">
        <f>IF('_Datos'!$C150,IF('Proyecto Datos (OKR´s)'!$C150="","",'Proyecto Datos (OKR´s)'!$C150),"")</f>
      </c>
      <c r="L150" s="204"/>
      <c r="M150" s="191"/>
      <c r="N150" s="203">
        <f>IF('_Datos'!$C150,'_Datos'!$BA150,"")</f>
      </c>
    </row>
    <row r="151">
      <c r="B151" s="203">
        <f>IF('_Datos'!$C151,'_Datos'!$O151,"")</f>
      </c>
      <c r="C151" s="204">
        <f>IF('_Datos'!$C151,'_Datos'!$F151,IF('_Datos'!$B151,'Proyecto Datos (OKR´s)'!$G151,""))</f>
      </c>
      <c r="D151" s="203">
        <f>IF('_Datos'!$C151,'_Datos'!$AO151,"")</f>
      </c>
      <c r="E151" s="205">
        <f>IF('_Datos'!$C151,'_Datos'!$H151,"")</f>
      </c>
      <c r="F151" s="203">
        <f>IF('_Datos'!$C151,'_Datos'!$AR151,"")</f>
      </c>
      <c r="G151" s="203"/>
      <c r="H151" s="204"/>
      <c r="I151" s="203">
        <f>IF('_Datos'!$C151,'_Datos'!$AV151,"")</f>
      </c>
      <c r="J151" s="207">
        <f>IF('_Datos'!$C151,'_Datos'!$AX151,"")</f>
      </c>
      <c r="K151" s="204">
        <f>IF('_Datos'!$C151,IF('Proyecto Datos (OKR´s)'!$C151="","",'Proyecto Datos (OKR´s)'!$C151),"")</f>
      </c>
      <c r="L151" s="204"/>
      <c r="M151" s="191"/>
      <c r="N151" s="203">
        <f>IF('_Datos'!$C151,'_Datos'!$BA151,"")</f>
      </c>
    </row>
    <row r="152">
      <c r="B152" s="203">
        <f>IF('_Datos'!$C152,'_Datos'!$O152,"")</f>
      </c>
      <c r="C152" s="204">
        <f>IF('_Datos'!$C152,'_Datos'!$F152,IF('_Datos'!$B152,'Proyecto Datos (OKR´s)'!$G152,""))</f>
      </c>
      <c r="D152" s="203">
        <f>IF('_Datos'!$C152,'_Datos'!$AO152,"")</f>
      </c>
      <c r="E152" s="205">
        <f>IF('_Datos'!$C152,'_Datos'!$H152,"")</f>
      </c>
      <c r="F152" s="203">
        <f>IF('_Datos'!$C152,'_Datos'!$AR152,"")</f>
      </c>
      <c r="G152" s="203"/>
      <c r="H152" s="204"/>
      <c r="I152" s="203">
        <f>IF('_Datos'!$C152,'_Datos'!$AV152,"")</f>
      </c>
      <c r="J152" s="207">
        <f>IF('_Datos'!$C152,'_Datos'!$AX152,"")</f>
      </c>
      <c r="K152" s="204">
        <f>IF('_Datos'!$C152,IF('Proyecto Datos (OKR´s)'!$C152="","",'Proyecto Datos (OKR´s)'!$C152),"")</f>
      </c>
      <c r="L152" s="204"/>
      <c r="M152" s="191"/>
      <c r="N152" s="203">
        <f>IF('_Datos'!$C152,'_Datos'!$BA152,"")</f>
      </c>
    </row>
    <row r="153">
      <c r="B153" s="203">
        <f>IF('_Datos'!$C153,'_Datos'!$O153,"")</f>
      </c>
      <c r="C153" s="204">
        <f>IF('_Datos'!$C153,'_Datos'!$F153,IF('_Datos'!$B153,'Proyecto Datos (OKR´s)'!$G153,""))</f>
      </c>
      <c r="D153" s="203">
        <f>IF('_Datos'!$C153,'_Datos'!$AO153,"")</f>
      </c>
      <c r="E153" s="205">
        <f>IF('_Datos'!$C153,'_Datos'!$H153,"")</f>
      </c>
      <c r="F153" s="203">
        <f>IF('_Datos'!$C153,'_Datos'!$AR153,"")</f>
      </c>
      <c r="G153" s="203"/>
      <c r="H153" s="204"/>
      <c r="I153" s="203">
        <f>IF('_Datos'!$C153,'_Datos'!$AV153,"")</f>
      </c>
      <c r="J153" s="207">
        <f>IF('_Datos'!$C153,'_Datos'!$AX153,"")</f>
      </c>
      <c r="K153" s="204">
        <f>IF('_Datos'!$C153,IF('Proyecto Datos (OKR´s)'!$C153="","",'Proyecto Datos (OKR´s)'!$C153),"")</f>
      </c>
      <c r="L153" s="204"/>
      <c r="M153" s="191"/>
      <c r="N153" s="203">
        <f>IF('_Datos'!$C153,'_Datos'!$BA153,"")</f>
      </c>
    </row>
    <row r="154">
      <c r="B154" s="203">
        <f>IF('_Datos'!$C154,'_Datos'!$O154,"")</f>
      </c>
      <c r="C154" s="204">
        <f>IF('_Datos'!$C154,'_Datos'!$F154,IF('_Datos'!$B154,'Proyecto Datos (OKR´s)'!$G154,""))</f>
      </c>
      <c r="D154" s="203">
        <f>IF('_Datos'!$C154,'_Datos'!$AO154,"")</f>
      </c>
      <c r="E154" s="205">
        <f>IF('_Datos'!$C154,'_Datos'!$H154,"")</f>
      </c>
      <c r="F154" s="203">
        <f>IF('_Datos'!$C154,'_Datos'!$AR154,"")</f>
      </c>
      <c r="G154" s="203"/>
      <c r="H154" s="204"/>
      <c r="I154" s="203">
        <f>IF('_Datos'!$C154,'_Datos'!$AV154,"")</f>
      </c>
      <c r="J154" s="207">
        <f>IF('_Datos'!$C154,'_Datos'!$AX154,"")</f>
      </c>
      <c r="K154" s="204">
        <f>IF('_Datos'!$C154,IF('Proyecto Datos (OKR´s)'!$C154="","",'Proyecto Datos (OKR´s)'!$C154),"")</f>
      </c>
      <c r="L154" s="204"/>
      <c r="M154" s="191"/>
      <c r="N154" s="203">
        <f>IF('_Datos'!$C154,'_Datos'!$BA154,"")</f>
      </c>
    </row>
    <row r="155">
      <c r="B155" s="203">
        <f>IF('_Datos'!$C155,'_Datos'!$O155,"")</f>
      </c>
      <c r="C155" s="204">
        <f>IF('_Datos'!$C155,'_Datos'!$F155,IF('_Datos'!$B155,'Proyecto Datos (OKR´s)'!$G155,""))</f>
      </c>
      <c r="D155" s="203">
        <f>IF('_Datos'!$C155,'_Datos'!$AO155,"")</f>
      </c>
      <c r="E155" s="205">
        <f>IF('_Datos'!$C155,'_Datos'!$H155,"")</f>
      </c>
      <c r="F155" s="203">
        <f>IF('_Datos'!$C155,'_Datos'!$AR155,"")</f>
      </c>
      <c r="G155" s="203"/>
      <c r="H155" s="204"/>
      <c r="I155" s="203">
        <f>IF('_Datos'!$C155,'_Datos'!$AV155,"")</f>
      </c>
      <c r="J155" s="207">
        <f>IF('_Datos'!$C155,'_Datos'!$AX155,"")</f>
      </c>
      <c r="K155" s="204">
        <f>IF('_Datos'!$C155,IF('Proyecto Datos (OKR´s)'!$C155="","",'Proyecto Datos (OKR´s)'!$C155),"")</f>
      </c>
      <c r="L155" s="204"/>
      <c r="M155" s="191"/>
      <c r="N155" s="203">
        <f>IF('_Datos'!$C155,'_Datos'!$BA155,"")</f>
      </c>
    </row>
    <row r="156">
      <c r="B156" s="203">
        <f>IF('_Datos'!$C156,'_Datos'!$O156,"")</f>
      </c>
      <c r="C156" s="204">
        <f>IF('_Datos'!$C156,'_Datos'!$F156,IF('_Datos'!$B156,'Proyecto Datos (OKR´s)'!$G156,""))</f>
      </c>
      <c r="D156" s="203">
        <f>IF('_Datos'!$C156,'_Datos'!$AO156,"")</f>
      </c>
      <c r="E156" s="205">
        <f>IF('_Datos'!$C156,'_Datos'!$H156,"")</f>
      </c>
      <c r="F156" s="203">
        <f>IF('_Datos'!$C156,'_Datos'!$AR156,"")</f>
      </c>
      <c r="G156" s="203"/>
      <c r="H156" s="204"/>
      <c r="I156" s="203">
        <f>IF('_Datos'!$C156,'_Datos'!$AV156,"")</f>
      </c>
      <c r="J156" s="207">
        <f>IF('_Datos'!$C156,'_Datos'!$AX156,"")</f>
      </c>
      <c r="K156" s="204">
        <f>IF('_Datos'!$C156,IF('Proyecto Datos (OKR´s)'!$C156="","",'Proyecto Datos (OKR´s)'!$C156),"")</f>
      </c>
      <c r="L156" s="204"/>
      <c r="M156" s="191"/>
      <c r="N156" s="203">
        <f>IF('_Datos'!$C156,'_Datos'!$BA156,"")</f>
      </c>
    </row>
    <row r="157">
      <c r="B157" s="203">
        <f>IF('_Datos'!$C157,'_Datos'!$O157,"")</f>
      </c>
      <c r="C157" s="204">
        <f>IF('_Datos'!$C157,'_Datos'!$F157,IF('_Datos'!$B157,'Proyecto Datos (OKR´s)'!$G157,""))</f>
      </c>
      <c r="D157" s="203">
        <f>IF('_Datos'!$C157,'_Datos'!$AO157,"")</f>
      </c>
      <c r="E157" s="205">
        <f>IF('_Datos'!$C157,'_Datos'!$H157,"")</f>
      </c>
      <c r="F157" s="203">
        <f>IF('_Datos'!$C157,'_Datos'!$AR157,"")</f>
      </c>
      <c r="G157" s="203"/>
      <c r="H157" s="204"/>
      <c r="I157" s="203">
        <f>IF('_Datos'!$C157,'_Datos'!$AV157,"")</f>
      </c>
      <c r="J157" s="207">
        <f>IF('_Datos'!$C157,'_Datos'!$AX157,"")</f>
      </c>
      <c r="K157" s="204">
        <f>IF('_Datos'!$C157,IF('Proyecto Datos (OKR´s)'!$C157="","",'Proyecto Datos (OKR´s)'!$C157),"")</f>
      </c>
      <c r="L157" s="204"/>
      <c r="M157" s="191"/>
      <c r="N157" s="203">
        <f>IF('_Datos'!$C157,'_Datos'!$BA157,"")</f>
      </c>
    </row>
    <row r="158">
      <c r="B158" s="203">
        <f>IF('_Datos'!$C158,'_Datos'!$O158,"")</f>
      </c>
      <c r="C158" s="204">
        <f>IF('_Datos'!$C158,'_Datos'!$F158,IF('_Datos'!$B158,'Proyecto Datos (OKR´s)'!$G158,""))</f>
      </c>
      <c r="D158" s="203">
        <f>IF('_Datos'!$C158,'_Datos'!$AO158,"")</f>
      </c>
      <c r="E158" s="205">
        <f>IF('_Datos'!$C158,'_Datos'!$H158,"")</f>
      </c>
      <c r="F158" s="203">
        <f>IF('_Datos'!$C158,'_Datos'!$AR158,"")</f>
      </c>
      <c r="G158" s="203"/>
      <c r="H158" s="204"/>
      <c r="I158" s="203">
        <f>IF('_Datos'!$C158,'_Datos'!$AV158,"")</f>
      </c>
      <c r="J158" s="207">
        <f>IF('_Datos'!$C158,'_Datos'!$AX158,"")</f>
      </c>
      <c r="K158" s="204">
        <f>IF('_Datos'!$C158,IF('Proyecto Datos (OKR´s)'!$C158="","",'Proyecto Datos (OKR´s)'!$C158),"")</f>
      </c>
      <c r="L158" s="204"/>
      <c r="M158" s="191"/>
      <c r="N158" s="203">
        <f>IF('_Datos'!$C158,'_Datos'!$BA158,"")</f>
      </c>
    </row>
    <row r="159">
      <c r="B159" s="203">
        <f>IF('_Datos'!$C159,'_Datos'!$O159,"")</f>
      </c>
      <c r="C159" s="204">
        <f>IF('_Datos'!$C159,'_Datos'!$F159,IF('_Datos'!$B159,'Proyecto Datos (OKR´s)'!$G159,""))</f>
      </c>
      <c r="D159" s="203">
        <f>IF('_Datos'!$C159,'_Datos'!$AO159,"")</f>
      </c>
      <c r="E159" s="205">
        <f>IF('_Datos'!$C159,'_Datos'!$H159,"")</f>
      </c>
      <c r="F159" s="203">
        <f>IF('_Datos'!$C159,'_Datos'!$AR159,"")</f>
      </c>
      <c r="G159" s="203"/>
      <c r="H159" s="204"/>
      <c r="I159" s="203">
        <f>IF('_Datos'!$C159,'_Datos'!$AV159,"")</f>
      </c>
      <c r="J159" s="207">
        <f>IF('_Datos'!$C159,'_Datos'!$AX159,"")</f>
      </c>
      <c r="K159" s="204">
        <f>IF('_Datos'!$C159,IF('Proyecto Datos (OKR´s)'!$C159="","",'Proyecto Datos (OKR´s)'!$C159),"")</f>
      </c>
      <c r="L159" s="204"/>
      <c r="M159" s="191"/>
      <c r="N159" s="203">
        <f>IF('_Datos'!$C159,'_Datos'!$BA159,"")</f>
      </c>
    </row>
    <row r="160">
      <c r="B160" s="203">
        <f>IF('_Datos'!$C160,'_Datos'!$O160,"")</f>
      </c>
      <c r="C160" s="204">
        <f>IF('_Datos'!$C160,'_Datos'!$F160,IF('_Datos'!$B160,'Proyecto Datos (OKR´s)'!$G160,""))</f>
      </c>
      <c r="D160" s="203">
        <f>IF('_Datos'!$C160,'_Datos'!$AO160,"")</f>
      </c>
      <c r="E160" s="205">
        <f>IF('_Datos'!$C160,'_Datos'!$H160,"")</f>
      </c>
      <c r="F160" s="203">
        <f>IF('_Datos'!$C160,'_Datos'!$AR160,"")</f>
      </c>
      <c r="G160" s="203"/>
      <c r="H160" s="204"/>
      <c r="I160" s="203">
        <f>IF('_Datos'!$C160,'_Datos'!$AV160,"")</f>
      </c>
      <c r="J160" s="207">
        <f>IF('_Datos'!$C160,'_Datos'!$AX160,"")</f>
      </c>
      <c r="K160" s="204">
        <f>IF('_Datos'!$C160,IF('Proyecto Datos (OKR´s)'!$C160="","",'Proyecto Datos (OKR´s)'!$C160),"")</f>
      </c>
      <c r="L160" s="204"/>
      <c r="M160" s="191"/>
      <c r="N160" s="203">
        <f>IF('_Datos'!$C160,'_Datos'!$BA160,"")</f>
      </c>
    </row>
    <row r="161">
      <c r="B161" s="203">
        <f>IF('_Datos'!$C161,'_Datos'!$O161,"")</f>
      </c>
      <c r="C161" s="204">
        <f>IF('_Datos'!$C161,'_Datos'!$F161,IF('_Datos'!$B161,'Proyecto Datos (OKR´s)'!$G161,""))</f>
      </c>
      <c r="D161" s="203">
        <f>IF('_Datos'!$C161,'_Datos'!$AO161,"")</f>
      </c>
      <c r="E161" s="205">
        <f>IF('_Datos'!$C161,'_Datos'!$H161,"")</f>
      </c>
      <c r="F161" s="203">
        <f>IF('_Datos'!$C161,'_Datos'!$AR161,"")</f>
      </c>
      <c r="G161" s="203"/>
      <c r="H161" s="204"/>
      <c r="I161" s="203">
        <f>IF('_Datos'!$C161,'_Datos'!$AV161,"")</f>
      </c>
      <c r="J161" s="207">
        <f>IF('_Datos'!$C161,'_Datos'!$AX161,"")</f>
      </c>
      <c r="K161" s="204">
        <f>IF('_Datos'!$C161,IF('Proyecto Datos (OKR´s)'!$C161="","",'Proyecto Datos (OKR´s)'!$C161),"")</f>
      </c>
      <c r="L161" s="204"/>
      <c r="M161" s="191"/>
      <c r="N161" s="203">
        <f>IF('_Datos'!$C161,'_Datos'!$BA161,"")</f>
      </c>
    </row>
    <row r="162">
      <c r="B162" s="203">
        <f>IF('_Datos'!$C162,'_Datos'!$O162,"")</f>
      </c>
      <c r="C162" s="204">
        <f>IF('_Datos'!$C162,'_Datos'!$F162,IF('_Datos'!$B162,'Proyecto Datos (OKR´s)'!$G162,""))</f>
      </c>
      <c r="D162" s="203">
        <f>IF('_Datos'!$C162,'_Datos'!$AO162,"")</f>
      </c>
      <c r="E162" s="205">
        <f>IF('_Datos'!$C162,'_Datos'!$H162,"")</f>
      </c>
      <c r="F162" s="203">
        <f>IF('_Datos'!$C162,'_Datos'!$AR162,"")</f>
      </c>
      <c r="G162" s="203"/>
      <c r="H162" s="204"/>
      <c r="I162" s="203">
        <f>IF('_Datos'!$C162,'_Datos'!$AV162,"")</f>
      </c>
      <c r="J162" s="207">
        <f>IF('_Datos'!$C162,'_Datos'!$AX162,"")</f>
      </c>
      <c r="K162" s="204">
        <f>IF('_Datos'!$C162,IF('Proyecto Datos (OKR´s)'!$C162="","",'Proyecto Datos (OKR´s)'!$C162),"")</f>
      </c>
      <c r="L162" s="204"/>
      <c r="M162" s="191"/>
      <c r="N162" s="203">
        <f>IF('_Datos'!$C162,'_Datos'!$BA162,"")</f>
      </c>
    </row>
    <row r="163">
      <c r="B163" s="203">
        <f>IF('_Datos'!$C163,'_Datos'!$O163,"")</f>
      </c>
      <c r="C163" s="204">
        <f>IF('_Datos'!$C163,'_Datos'!$F163,IF('_Datos'!$B163,'Proyecto Datos (OKR´s)'!$G163,""))</f>
      </c>
      <c r="D163" s="203">
        <f>IF('_Datos'!$C163,'_Datos'!$AO163,"")</f>
      </c>
      <c r="E163" s="205">
        <f>IF('_Datos'!$C163,'_Datos'!$H163,"")</f>
      </c>
      <c r="F163" s="203">
        <f>IF('_Datos'!$C163,'_Datos'!$AR163,"")</f>
      </c>
      <c r="G163" s="203"/>
      <c r="H163" s="204"/>
      <c r="I163" s="203">
        <f>IF('_Datos'!$C163,'_Datos'!$AV163,"")</f>
      </c>
      <c r="J163" s="207">
        <f>IF('_Datos'!$C163,'_Datos'!$AX163,"")</f>
      </c>
      <c r="K163" s="204">
        <f>IF('_Datos'!$C163,IF('Proyecto Datos (OKR´s)'!$C163="","",'Proyecto Datos (OKR´s)'!$C163),"")</f>
      </c>
      <c r="L163" s="204"/>
      <c r="M163" s="191"/>
      <c r="N163" s="203">
        <f>IF('_Datos'!$C163,'_Datos'!$BA163,"")</f>
      </c>
    </row>
    <row r="164">
      <c r="B164" s="203">
        <f>IF('_Datos'!$C164,'_Datos'!$O164,"")</f>
      </c>
      <c r="C164" s="204">
        <f>IF('_Datos'!$C164,'_Datos'!$F164,IF('_Datos'!$B164,'Proyecto Datos (OKR´s)'!$G164,""))</f>
      </c>
      <c r="D164" s="203">
        <f>IF('_Datos'!$C164,'_Datos'!$AO164,"")</f>
      </c>
      <c r="E164" s="205">
        <f>IF('_Datos'!$C164,'_Datos'!$H164,"")</f>
      </c>
      <c r="F164" s="203">
        <f>IF('_Datos'!$C164,'_Datos'!$AR164,"")</f>
      </c>
      <c r="G164" s="203"/>
      <c r="H164" s="204"/>
      <c r="I164" s="203">
        <f>IF('_Datos'!$C164,'_Datos'!$AV164,"")</f>
      </c>
      <c r="J164" s="207">
        <f>IF('_Datos'!$C164,'_Datos'!$AX164,"")</f>
      </c>
      <c r="K164" s="204">
        <f>IF('_Datos'!$C164,IF('Proyecto Datos (OKR´s)'!$C164="","",'Proyecto Datos (OKR´s)'!$C164),"")</f>
      </c>
      <c r="L164" s="204"/>
      <c r="M164" s="191"/>
      <c r="N164" s="203">
        <f>IF('_Datos'!$C164,'_Datos'!$BA164,"")</f>
      </c>
    </row>
    <row r="165">
      <c r="B165" s="203">
        <f>IF('_Datos'!$C165,'_Datos'!$O165,"")</f>
      </c>
      <c r="C165" s="204">
        <f>IF('_Datos'!$C165,'_Datos'!$F165,IF('_Datos'!$B165,'Proyecto Datos (OKR´s)'!$G165,""))</f>
      </c>
      <c r="D165" s="203">
        <f>IF('_Datos'!$C165,'_Datos'!$AO165,"")</f>
      </c>
      <c r="E165" s="205">
        <f>IF('_Datos'!$C165,'_Datos'!$H165,"")</f>
      </c>
      <c r="F165" s="203">
        <f>IF('_Datos'!$C165,'_Datos'!$AR165,"")</f>
      </c>
      <c r="G165" s="203"/>
      <c r="H165" s="204"/>
      <c r="I165" s="203">
        <f>IF('_Datos'!$C165,'_Datos'!$AV165,"")</f>
      </c>
      <c r="J165" s="207">
        <f>IF('_Datos'!$C165,'_Datos'!$AX165,"")</f>
      </c>
      <c r="K165" s="204">
        <f>IF('_Datos'!$C165,IF('Proyecto Datos (OKR´s)'!$C165="","",'Proyecto Datos (OKR´s)'!$C165),"")</f>
      </c>
      <c r="L165" s="204"/>
      <c r="M165" s="191"/>
      <c r="N165" s="203">
        <f>IF('_Datos'!$C165,'_Datos'!$BA165,"")</f>
      </c>
    </row>
    <row r="166">
      <c r="B166" s="203">
        <f>IF('_Datos'!$C166,'_Datos'!$O166,"")</f>
      </c>
      <c r="C166" s="204">
        <f>IF('_Datos'!$C166,'_Datos'!$F166,IF('_Datos'!$B166,'Proyecto Datos (OKR´s)'!$G166,""))</f>
      </c>
      <c r="D166" s="203">
        <f>IF('_Datos'!$C166,'_Datos'!$AO166,"")</f>
      </c>
      <c r="E166" s="205">
        <f>IF('_Datos'!$C166,'_Datos'!$H166,"")</f>
      </c>
      <c r="F166" s="203">
        <f>IF('_Datos'!$C166,'_Datos'!$AR166,"")</f>
      </c>
      <c r="G166" s="203"/>
      <c r="H166" s="204"/>
      <c r="I166" s="203">
        <f>IF('_Datos'!$C166,'_Datos'!$AV166,"")</f>
      </c>
      <c r="J166" s="207">
        <f>IF('_Datos'!$C166,'_Datos'!$AX166,"")</f>
      </c>
      <c r="K166" s="204">
        <f>IF('_Datos'!$C166,IF('Proyecto Datos (OKR´s)'!$C166="","",'Proyecto Datos (OKR´s)'!$C166),"")</f>
      </c>
      <c r="L166" s="204"/>
      <c r="M166" s="191"/>
      <c r="N166" s="203">
        <f>IF('_Datos'!$C166,'_Datos'!$BA166,"")</f>
      </c>
    </row>
    <row r="167">
      <c r="B167" s="203">
        <f>IF('_Datos'!$C167,'_Datos'!$O167,"")</f>
      </c>
      <c r="C167" s="204">
        <f>IF('_Datos'!$C167,'_Datos'!$F167,IF('_Datos'!$B167,'Proyecto Datos (OKR´s)'!$G167,""))</f>
      </c>
      <c r="D167" s="203">
        <f>IF('_Datos'!$C167,'_Datos'!$AO167,"")</f>
      </c>
      <c r="E167" s="205">
        <f>IF('_Datos'!$C167,'_Datos'!$H167,"")</f>
      </c>
      <c r="F167" s="203">
        <f>IF('_Datos'!$C167,'_Datos'!$AR167,"")</f>
      </c>
      <c r="G167" s="203"/>
      <c r="H167" s="204"/>
      <c r="I167" s="203">
        <f>IF('_Datos'!$C167,'_Datos'!$AV167,"")</f>
      </c>
      <c r="J167" s="207">
        <f>IF('_Datos'!$C167,'_Datos'!$AX167,"")</f>
      </c>
      <c r="K167" s="204">
        <f>IF('_Datos'!$C167,IF('Proyecto Datos (OKR´s)'!$C167="","",'Proyecto Datos (OKR´s)'!$C167),"")</f>
      </c>
      <c r="L167" s="204"/>
      <c r="M167" s="191"/>
      <c r="N167" s="203">
        <f>IF('_Datos'!$C167,'_Datos'!$BA167,"")</f>
      </c>
    </row>
    <row r="168">
      <c r="B168" s="203">
        <f>IF('_Datos'!$C168,'_Datos'!$O168,"")</f>
      </c>
      <c r="C168" s="204">
        <f>IF('_Datos'!$C168,'_Datos'!$F168,IF('_Datos'!$B168,'Proyecto Datos (OKR´s)'!$G168,""))</f>
      </c>
      <c r="D168" s="203">
        <f>IF('_Datos'!$C168,'_Datos'!$AO168,"")</f>
      </c>
      <c r="E168" s="205">
        <f>IF('_Datos'!$C168,'_Datos'!$H168,"")</f>
      </c>
      <c r="F168" s="203">
        <f>IF('_Datos'!$C168,'_Datos'!$AR168,"")</f>
      </c>
      <c r="G168" s="203"/>
      <c r="H168" s="204"/>
      <c r="I168" s="203">
        <f>IF('_Datos'!$C168,'_Datos'!$AV168,"")</f>
      </c>
      <c r="J168" s="207">
        <f>IF('_Datos'!$C168,'_Datos'!$AX168,"")</f>
      </c>
      <c r="K168" s="204">
        <f>IF('_Datos'!$C168,IF('Proyecto Datos (OKR´s)'!$C168="","",'Proyecto Datos (OKR´s)'!$C168),"")</f>
      </c>
      <c r="L168" s="204"/>
      <c r="M168" s="191"/>
      <c r="N168" s="203">
        <f>IF('_Datos'!$C168,'_Datos'!$BA168,"")</f>
      </c>
    </row>
    <row r="169">
      <c r="B169" s="203">
        <f>IF('_Datos'!$C169,'_Datos'!$O169,"")</f>
      </c>
      <c r="C169" s="204">
        <f>IF('_Datos'!$C169,'_Datos'!$F169,IF('_Datos'!$B169,'Proyecto Datos (OKR´s)'!$G169,""))</f>
      </c>
      <c r="D169" s="203">
        <f>IF('_Datos'!$C169,'_Datos'!$AO169,"")</f>
      </c>
      <c r="E169" s="205">
        <f>IF('_Datos'!$C169,'_Datos'!$H169,"")</f>
      </c>
      <c r="F169" s="203">
        <f>IF('_Datos'!$C169,'_Datos'!$AR169,"")</f>
      </c>
      <c r="G169" s="203"/>
      <c r="H169" s="204"/>
      <c r="I169" s="203">
        <f>IF('_Datos'!$C169,'_Datos'!$AV169,"")</f>
      </c>
      <c r="J169" s="207">
        <f>IF('_Datos'!$C169,'_Datos'!$AX169,"")</f>
      </c>
      <c r="K169" s="204">
        <f>IF('_Datos'!$C169,IF('Proyecto Datos (OKR´s)'!$C169="","",'Proyecto Datos (OKR´s)'!$C169),"")</f>
      </c>
      <c r="L169" s="204"/>
      <c r="M169" s="191"/>
      <c r="N169" s="203">
        <f>IF('_Datos'!$C169,'_Datos'!$BA169,"")</f>
      </c>
    </row>
    <row r="170">
      <c r="B170" s="203">
        <f>IF('_Datos'!$C170,'_Datos'!$O170,"")</f>
      </c>
      <c r="C170" s="204">
        <f>IF('_Datos'!$C170,'_Datos'!$F170,IF('_Datos'!$B170,'Proyecto Datos (OKR´s)'!$G170,""))</f>
      </c>
      <c r="D170" s="203">
        <f>IF('_Datos'!$C170,'_Datos'!$AO170,"")</f>
      </c>
      <c r="E170" s="205">
        <f>IF('_Datos'!$C170,'_Datos'!$H170,"")</f>
      </c>
      <c r="F170" s="203">
        <f>IF('_Datos'!$C170,'_Datos'!$AR170,"")</f>
      </c>
      <c r="G170" s="203"/>
      <c r="H170" s="204"/>
      <c r="I170" s="203">
        <f>IF('_Datos'!$C170,'_Datos'!$AV170,"")</f>
      </c>
      <c r="J170" s="207">
        <f>IF('_Datos'!$C170,'_Datos'!$AX170,"")</f>
      </c>
      <c r="K170" s="204">
        <f>IF('_Datos'!$C170,IF('Proyecto Datos (OKR´s)'!$C170="","",'Proyecto Datos (OKR´s)'!$C170),"")</f>
      </c>
      <c r="L170" s="204"/>
      <c r="M170" s="191"/>
      <c r="N170" s="203">
        <f>IF('_Datos'!$C170,'_Datos'!$BA170,"")</f>
      </c>
    </row>
    <row r="171">
      <c r="B171" s="203">
        <f>IF('_Datos'!$C171,'_Datos'!$O171,"")</f>
      </c>
      <c r="C171" s="204">
        <f>IF('_Datos'!$C171,'_Datos'!$F171,IF('_Datos'!$B171,'Proyecto Datos (OKR´s)'!$G171,""))</f>
      </c>
      <c r="D171" s="203">
        <f>IF('_Datos'!$C171,'_Datos'!$AO171,"")</f>
      </c>
      <c r="E171" s="205">
        <f>IF('_Datos'!$C171,'_Datos'!$H171,"")</f>
      </c>
      <c r="F171" s="203">
        <f>IF('_Datos'!$C171,'_Datos'!$AR171,"")</f>
      </c>
      <c r="G171" s="203"/>
      <c r="H171" s="204"/>
      <c r="I171" s="203">
        <f>IF('_Datos'!$C171,'_Datos'!$AV171,"")</f>
      </c>
      <c r="J171" s="207">
        <f>IF('_Datos'!$C171,'_Datos'!$AX171,"")</f>
      </c>
      <c r="K171" s="204">
        <f>IF('_Datos'!$C171,IF('Proyecto Datos (OKR´s)'!$C171="","",'Proyecto Datos (OKR´s)'!$C171),"")</f>
      </c>
      <c r="L171" s="204"/>
      <c r="M171" s="191"/>
      <c r="N171" s="203">
        <f>IF('_Datos'!$C171,'_Datos'!$BA171,"")</f>
      </c>
    </row>
    <row r="172">
      <c r="B172" s="203">
        <f>IF('_Datos'!$C172,'_Datos'!$O172,"")</f>
      </c>
      <c r="C172" s="204">
        <f>IF('_Datos'!$C172,'_Datos'!$F172,IF('_Datos'!$B172,'Proyecto Datos (OKR´s)'!$G172,""))</f>
      </c>
      <c r="D172" s="203">
        <f>IF('_Datos'!$C172,'_Datos'!$AO172,"")</f>
      </c>
      <c r="E172" s="205">
        <f>IF('_Datos'!$C172,'_Datos'!$H172,"")</f>
      </c>
      <c r="F172" s="203">
        <f>IF('_Datos'!$C172,'_Datos'!$AR172,"")</f>
      </c>
      <c r="G172" s="203"/>
      <c r="H172" s="204"/>
      <c r="I172" s="203">
        <f>IF('_Datos'!$C172,'_Datos'!$AV172,"")</f>
      </c>
      <c r="J172" s="207">
        <f>IF('_Datos'!$C172,'_Datos'!$AX172,"")</f>
      </c>
      <c r="K172" s="204">
        <f>IF('_Datos'!$C172,IF('Proyecto Datos (OKR´s)'!$C172="","",'Proyecto Datos (OKR´s)'!$C172),"")</f>
      </c>
      <c r="L172" s="204"/>
      <c r="M172" s="191"/>
      <c r="N172" s="203">
        <f>IF('_Datos'!$C172,'_Datos'!$BA172,"")</f>
      </c>
    </row>
    <row r="173">
      <c r="B173" s="203">
        <f>IF('_Datos'!$C173,'_Datos'!$O173,"")</f>
      </c>
      <c r="C173" s="204">
        <f>IF('_Datos'!$C173,'_Datos'!$F173,IF('_Datos'!$B173,'Proyecto Datos (OKR´s)'!$G173,""))</f>
      </c>
      <c r="D173" s="203">
        <f>IF('_Datos'!$C173,'_Datos'!$AO173,"")</f>
      </c>
      <c r="E173" s="205">
        <f>IF('_Datos'!$C173,'_Datos'!$H173,"")</f>
      </c>
      <c r="F173" s="203">
        <f>IF('_Datos'!$C173,'_Datos'!$AR173,"")</f>
      </c>
      <c r="G173" s="203"/>
      <c r="H173" s="204"/>
      <c r="I173" s="203">
        <f>IF('_Datos'!$C173,'_Datos'!$AV173,"")</f>
      </c>
      <c r="J173" s="207">
        <f>IF('_Datos'!$C173,'_Datos'!$AX173,"")</f>
      </c>
      <c r="K173" s="204">
        <f>IF('_Datos'!$C173,IF('Proyecto Datos (OKR´s)'!$C173="","",'Proyecto Datos (OKR´s)'!$C173),"")</f>
      </c>
      <c r="L173" s="204"/>
      <c r="M173" s="191"/>
      <c r="N173" s="203">
        <f>IF('_Datos'!$C173,'_Datos'!$BA173,"")</f>
      </c>
    </row>
    <row r="174">
      <c r="B174" s="203">
        <f>IF('_Datos'!$C174,'_Datos'!$O174,"")</f>
      </c>
      <c r="C174" s="204">
        <f>IF('_Datos'!$C174,'_Datos'!$F174,IF('_Datos'!$B174,'Proyecto Datos (OKR´s)'!$G174,""))</f>
      </c>
      <c r="D174" s="203">
        <f>IF('_Datos'!$C174,'_Datos'!$AO174,"")</f>
      </c>
      <c r="E174" s="205">
        <f>IF('_Datos'!$C174,'_Datos'!$H174,"")</f>
      </c>
      <c r="F174" s="203">
        <f>IF('_Datos'!$C174,'_Datos'!$AR174,"")</f>
      </c>
      <c r="G174" s="203"/>
      <c r="H174" s="204"/>
      <c r="I174" s="203">
        <f>IF('_Datos'!$C174,'_Datos'!$AV174,"")</f>
      </c>
      <c r="J174" s="207">
        <f>IF('_Datos'!$C174,'_Datos'!$AX174,"")</f>
      </c>
      <c r="K174" s="204">
        <f>IF('_Datos'!$C174,IF('Proyecto Datos (OKR´s)'!$C174="","",'Proyecto Datos (OKR´s)'!$C174),"")</f>
      </c>
      <c r="L174" s="204"/>
      <c r="M174" s="191"/>
      <c r="N174" s="203">
        <f>IF('_Datos'!$C174,'_Datos'!$BA174,"")</f>
      </c>
    </row>
    <row r="175">
      <c r="B175" s="203">
        <f>IF('_Datos'!$C175,'_Datos'!$O175,"")</f>
      </c>
      <c r="C175" s="204">
        <f>IF('_Datos'!$C175,'_Datos'!$F175,IF('_Datos'!$B175,'Proyecto Datos (OKR´s)'!$G175,""))</f>
      </c>
      <c r="D175" s="203">
        <f>IF('_Datos'!$C175,'_Datos'!$AO175,"")</f>
      </c>
      <c r="E175" s="205">
        <f>IF('_Datos'!$C175,'_Datos'!$H175,"")</f>
      </c>
      <c r="F175" s="203">
        <f>IF('_Datos'!$C175,'_Datos'!$AR175,"")</f>
      </c>
      <c r="G175" s="203"/>
      <c r="H175" s="204"/>
      <c r="I175" s="203">
        <f>IF('_Datos'!$C175,'_Datos'!$AV175,"")</f>
      </c>
      <c r="J175" s="207">
        <f>IF('_Datos'!$C175,'_Datos'!$AX175,"")</f>
      </c>
      <c r="K175" s="204">
        <f>IF('_Datos'!$C175,IF('Proyecto Datos (OKR´s)'!$C175="","",'Proyecto Datos (OKR´s)'!$C175),"")</f>
      </c>
      <c r="L175" s="204"/>
      <c r="M175" s="191"/>
      <c r="N175" s="203">
        <f>IF('_Datos'!$C175,'_Datos'!$BA175,"")</f>
      </c>
    </row>
    <row r="176">
      <c r="B176" s="203">
        <f>IF('_Datos'!$C176,'_Datos'!$O176,"")</f>
      </c>
      <c r="C176" s="204">
        <f>IF('_Datos'!$C176,'_Datos'!$F176,IF('_Datos'!$B176,'Proyecto Datos (OKR´s)'!$G176,""))</f>
      </c>
      <c r="D176" s="203">
        <f>IF('_Datos'!$C176,'_Datos'!$AO176,"")</f>
      </c>
      <c r="E176" s="205">
        <f>IF('_Datos'!$C176,'_Datos'!$H176,"")</f>
      </c>
      <c r="F176" s="203">
        <f>IF('_Datos'!$C176,'_Datos'!$AR176,"")</f>
      </c>
      <c r="G176" s="203"/>
      <c r="H176" s="204"/>
      <c r="I176" s="203">
        <f>IF('_Datos'!$C176,'_Datos'!$AV176,"")</f>
      </c>
      <c r="J176" s="207">
        <f>IF('_Datos'!$C176,'_Datos'!$AX176,"")</f>
      </c>
      <c r="K176" s="204">
        <f>IF('_Datos'!$C176,IF('Proyecto Datos (OKR´s)'!$C176="","",'Proyecto Datos (OKR´s)'!$C176),"")</f>
      </c>
      <c r="L176" s="204"/>
      <c r="M176" s="191"/>
      <c r="N176" s="203">
        <f>IF('_Datos'!$C176,'_Datos'!$BA176,"")</f>
      </c>
    </row>
    <row r="177">
      <c r="B177" s="203">
        <f>IF('_Datos'!$C177,'_Datos'!$O177,"")</f>
      </c>
      <c r="C177" s="204">
        <f>IF('_Datos'!$C177,'_Datos'!$F177,IF('_Datos'!$B177,'Proyecto Datos (OKR´s)'!$G177,""))</f>
      </c>
      <c r="D177" s="203">
        <f>IF('_Datos'!$C177,'_Datos'!$AO177,"")</f>
      </c>
      <c r="E177" s="205">
        <f>IF('_Datos'!$C177,'_Datos'!$H177,"")</f>
      </c>
      <c r="F177" s="203">
        <f>IF('_Datos'!$C177,'_Datos'!$AR177,"")</f>
      </c>
      <c r="G177" s="203"/>
      <c r="H177" s="204"/>
      <c r="I177" s="203">
        <f>IF('_Datos'!$C177,'_Datos'!$AV177,"")</f>
      </c>
      <c r="J177" s="207">
        <f>IF('_Datos'!$C177,'_Datos'!$AX177,"")</f>
      </c>
      <c r="K177" s="204">
        <f>IF('_Datos'!$C177,IF('Proyecto Datos (OKR´s)'!$C177="","",'Proyecto Datos (OKR´s)'!$C177),"")</f>
      </c>
      <c r="L177" s="204"/>
      <c r="M177" s="191"/>
      <c r="N177" s="203">
        <f>IF('_Datos'!$C177,'_Datos'!$BA177,"")</f>
      </c>
    </row>
    <row r="178">
      <c r="B178" s="203">
        <f>IF('_Datos'!$C178,'_Datos'!$O178,"")</f>
      </c>
      <c r="C178" s="204">
        <f>IF('_Datos'!$C178,'_Datos'!$F178,IF('_Datos'!$B178,'Proyecto Datos (OKR´s)'!$G178,""))</f>
      </c>
      <c r="D178" s="203">
        <f>IF('_Datos'!$C178,'_Datos'!$AO178,"")</f>
      </c>
      <c r="E178" s="205">
        <f>IF('_Datos'!$C178,'_Datos'!$H178,"")</f>
      </c>
      <c r="F178" s="203">
        <f>IF('_Datos'!$C178,'_Datos'!$AR178,"")</f>
      </c>
      <c r="G178" s="203"/>
      <c r="H178" s="204"/>
      <c r="I178" s="203">
        <f>IF('_Datos'!$C178,'_Datos'!$AV178,"")</f>
      </c>
      <c r="J178" s="207">
        <f>IF('_Datos'!$C178,'_Datos'!$AX178,"")</f>
      </c>
      <c r="K178" s="204">
        <f>IF('_Datos'!$C178,IF('Proyecto Datos (OKR´s)'!$C178="","",'Proyecto Datos (OKR´s)'!$C178),"")</f>
      </c>
      <c r="L178" s="204"/>
      <c r="M178" s="191"/>
      <c r="N178" s="203">
        <f>IF('_Datos'!$C178,'_Datos'!$BA178,"")</f>
      </c>
    </row>
    <row r="179">
      <c r="B179" s="203">
        <f>IF('_Datos'!$C179,'_Datos'!$O179,"")</f>
      </c>
      <c r="C179" s="204">
        <f>IF('_Datos'!$C179,'_Datos'!$F179,IF('_Datos'!$B179,'Proyecto Datos (OKR´s)'!$G179,""))</f>
      </c>
      <c r="D179" s="203">
        <f>IF('_Datos'!$C179,'_Datos'!$AO179,"")</f>
      </c>
      <c r="E179" s="205">
        <f>IF('_Datos'!$C179,'_Datos'!$H179,"")</f>
      </c>
      <c r="F179" s="203">
        <f>IF('_Datos'!$C179,'_Datos'!$AR179,"")</f>
      </c>
      <c r="G179" s="203"/>
      <c r="H179" s="204"/>
      <c r="I179" s="203">
        <f>IF('_Datos'!$C179,'_Datos'!$AV179,"")</f>
      </c>
      <c r="J179" s="207">
        <f>IF('_Datos'!$C179,'_Datos'!$AX179,"")</f>
      </c>
      <c r="K179" s="204">
        <f>IF('_Datos'!$C179,IF('Proyecto Datos (OKR´s)'!$C179="","",'Proyecto Datos (OKR´s)'!$C179),"")</f>
      </c>
      <c r="L179" s="204"/>
      <c r="M179" s="191"/>
      <c r="N179" s="203">
        <f>IF('_Datos'!$C179,'_Datos'!$BA179,"")</f>
      </c>
    </row>
    <row r="180">
      <c r="B180" s="203">
        <f>IF('_Datos'!$C180,'_Datos'!$O180,"")</f>
      </c>
      <c r="C180" s="204">
        <f>IF('_Datos'!$C180,'_Datos'!$F180,IF('_Datos'!$B180,'Proyecto Datos (OKR´s)'!$G180,""))</f>
      </c>
      <c r="D180" s="203">
        <f>IF('_Datos'!$C180,'_Datos'!$AO180,"")</f>
      </c>
      <c r="E180" s="205">
        <f>IF('_Datos'!$C180,'_Datos'!$H180,"")</f>
      </c>
      <c r="F180" s="203">
        <f>IF('_Datos'!$C180,'_Datos'!$AR180,"")</f>
      </c>
      <c r="G180" s="203"/>
      <c r="H180" s="204"/>
      <c r="I180" s="203">
        <f>IF('_Datos'!$C180,'_Datos'!$AV180,"")</f>
      </c>
      <c r="J180" s="207">
        <f>IF('_Datos'!$C180,'_Datos'!$AX180,"")</f>
      </c>
      <c r="K180" s="204">
        <f>IF('_Datos'!$C180,IF('Proyecto Datos (OKR´s)'!$C180="","",'Proyecto Datos (OKR´s)'!$C180),"")</f>
      </c>
      <c r="L180" s="204"/>
      <c r="M180" s="191"/>
      <c r="N180" s="203">
        <f>IF('_Datos'!$C180,'_Datos'!$BA180,"")</f>
      </c>
    </row>
    <row r="181">
      <c r="B181" s="203">
        <f>IF('_Datos'!$C181,'_Datos'!$O181,"")</f>
      </c>
      <c r="C181" s="204">
        <f>IF('_Datos'!$C181,'_Datos'!$F181,IF('_Datos'!$B181,'Proyecto Datos (OKR´s)'!$G181,""))</f>
      </c>
      <c r="D181" s="203">
        <f>IF('_Datos'!$C181,'_Datos'!$AO181,"")</f>
      </c>
      <c r="E181" s="205">
        <f>IF('_Datos'!$C181,'_Datos'!$H181,"")</f>
      </c>
      <c r="F181" s="203">
        <f>IF('_Datos'!$C181,'_Datos'!$AR181,"")</f>
      </c>
      <c r="G181" s="203"/>
      <c r="H181" s="204"/>
      <c r="I181" s="203">
        <f>IF('_Datos'!$C181,'_Datos'!$AV181,"")</f>
      </c>
      <c r="J181" s="207">
        <f>IF('_Datos'!$C181,'_Datos'!$AX181,"")</f>
      </c>
      <c r="K181" s="204">
        <f>IF('_Datos'!$C181,IF('Proyecto Datos (OKR´s)'!$C181="","",'Proyecto Datos (OKR´s)'!$C181),"")</f>
      </c>
      <c r="L181" s="204"/>
      <c r="M181" s="191"/>
      <c r="N181" s="203">
        <f>IF('_Datos'!$C181,'_Datos'!$BA181,"")</f>
      </c>
    </row>
    <row r="182">
      <c r="B182" s="203">
        <f>IF('_Datos'!$C182,'_Datos'!$O182,"")</f>
      </c>
      <c r="C182" s="204">
        <f>IF('_Datos'!$C182,'_Datos'!$F182,IF('_Datos'!$B182,'Proyecto Datos (OKR´s)'!$G182,""))</f>
      </c>
      <c r="D182" s="203">
        <f>IF('_Datos'!$C182,'_Datos'!$AO182,"")</f>
      </c>
      <c r="E182" s="205">
        <f>IF('_Datos'!$C182,'_Datos'!$H182,"")</f>
      </c>
      <c r="F182" s="203">
        <f>IF('_Datos'!$C182,'_Datos'!$AR182,"")</f>
      </c>
      <c r="G182" s="203"/>
      <c r="H182" s="204"/>
      <c r="I182" s="203">
        <f>IF('_Datos'!$C182,'_Datos'!$AV182,"")</f>
      </c>
      <c r="J182" s="207">
        <f>IF('_Datos'!$C182,'_Datos'!$AX182,"")</f>
      </c>
      <c r="K182" s="204">
        <f>IF('_Datos'!$C182,IF('Proyecto Datos (OKR´s)'!$C182="","",'Proyecto Datos (OKR´s)'!$C182),"")</f>
      </c>
      <c r="L182" s="204"/>
      <c r="M182" s="191"/>
      <c r="N182" s="203">
        <f>IF('_Datos'!$C182,'_Datos'!$BA182,"")</f>
      </c>
    </row>
    <row r="183">
      <c r="B183" s="203">
        <f>IF('_Datos'!$C183,'_Datos'!$O183,"")</f>
      </c>
      <c r="C183" s="204">
        <f>IF('_Datos'!$C183,'_Datos'!$F183,IF('_Datos'!$B183,'Proyecto Datos (OKR´s)'!$G183,""))</f>
      </c>
      <c r="D183" s="203">
        <f>IF('_Datos'!$C183,'_Datos'!$AO183,"")</f>
      </c>
      <c r="E183" s="205">
        <f>IF('_Datos'!$C183,'_Datos'!$H183,"")</f>
      </c>
      <c r="F183" s="203">
        <f>IF('_Datos'!$C183,'_Datos'!$AR183,"")</f>
      </c>
      <c r="G183" s="203"/>
      <c r="H183" s="204"/>
      <c r="I183" s="203">
        <f>IF('_Datos'!$C183,'_Datos'!$AV183,"")</f>
      </c>
      <c r="J183" s="207">
        <f>IF('_Datos'!$C183,'_Datos'!$AX183,"")</f>
      </c>
      <c r="K183" s="204">
        <f>IF('_Datos'!$C183,IF('Proyecto Datos (OKR´s)'!$C183="","",'Proyecto Datos (OKR´s)'!$C183),"")</f>
      </c>
      <c r="L183" s="204"/>
      <c r="M183" s="191"/>
      <c r="N183" s="203">
        <f>IF('_Datos'!$C183,'_Datos'!$BA183,"")</f>
      </c>
    </row>
    <row r="184">
      <c r="B184" s="203">
        <f>IF('_Datos'!$C184,'_Datos'!$O184,"")</f>
      </c>
      <c r="C184" s="204">
        <f>IF('_Datos'!$C184,'_Datos'!$F184,IF('_Datos'!$B184,'Proyecto Datos (OKR´s)'!$G184,""))</f>
      </c>
      <c r="D184" s="203">
        <f>IF('_Datos'!$C184,'_Datos'!$AO184,"")</f>
      </c>
      <c r="E184" s="205">
        <f>IF('_Datos'!$C184,'_Datos'!$H184,"")</f>
      </c>
      <c r="F184" s="203">
        <f>IF('_Datos'!$C184,'_Datos'!$AR184,"")</f>
      </c>
      <c r="G184" s="203"/>
      <c r="H184" s="204"/>
      <c r="I184" s="203">
        <f>IF('_Datos'!$C184,'_Datos'!$AV184,"")</f>
      </c>
      <c r="J184" s="207">
        <f>IF('_Datos'!$C184,'_Datos'!$AX184,"")</f>
      </c>
      <c r="K184" s="204">
        <f>IF('_Datos'!$C184,IF('Proyecto Datos (OKR´s)'!$C184="","",'Proyecto Datos (OKR´s)'!$C184),"")</f>
      </c>
      <c r="L184" s="204"/>
      <c r="M184" s="191"/>
      <c r="N184" s="203">
        <f>IF('_Datos'!$C184,'_Datos'!$BA184,"")</f>
      </c>
    </row>
    <row r="185">
      <c r="B185" s="203">
        <f>IF('_Datos'!$C185,'_Datos'!$O185,"")</f>
      </c>
      <c r="C185" s="204">
        <f>IF('_Datos'!$C185,'_Datos'!$F185,IF('_Datos'!$B185,'Proyecto Datos (OKR´s)'!$G185,""))</f>
      </c>
      <c r="D185" s="203">
        <f>IF('_Datos'!$C185,'_Datos'!$AO185,"")</f>
      </c>
      <c r="E185" s="205">
        <f>IF('_Datos'!$C185,'_Datos'!$H185,"")</f>
      </c>
      <c r="F185" s="203">
        <f>IF('_Datos'!$C185,'_Datos'!$AR185,"")</f>
      </c>
      <c r="G185" s="203"/>
      <c r="H185" s="204"/>
      <c r="I185" s="203">
        <f>IF('_Datos'!$C185,'_Datos'!$AV185,"")</f>
      </c>
      <c r="J185" s="207">
        <f>IF('_Datos'!$C185,'_Datos'!$AX185,"")</f>
      </c>
      <c r="K185" s="204">
        <f>IF('_Datos'!$C185,IF('Proyecto Datos (OKR´s)'!$C185="","",'Proyecto Datos (OKR´s)'!$C185),"")</f>
      </c>
      <c r="L185" s="204"/>
      <c r="M185" s="191"/>
      <c r="N185" s="203">
        <f>IF('_Datos'!$C185,'_Datos'!$BA185,"")</f>
      </c>
    </row>
    <row r="186">
      <c r="B186" s="203">
        <f>IF('_Datos'!$C186,'_Datos'!$O186,"")</f>
      </c>
      <c r="C186" s="204">
        <f>IF('_Datos'!$C186,'_Datos'!$F186,IF('_Datos'!$B186,'Proyecto Datos (OKR´s)'!$G186,""))</f>
      </c>
      <c r="D186" s="203">
        <f>IF('_Datos'!$C186,'_Datos'!$AO186,"")</f>
      </c>
      <c r="E186" s="205">
        <f>IF('_Datos'!$C186,'_Datos'!$H186,"")</f>
      </c>
      <c r="F186" s="203">
        <f>IF('_Datos'!$C186,'_Datos'!$AR186,"")</f>
      </c>
      <c r="G186" s="203"/>
      <c r="H186" s="204"/>
      <c r="I186" s="203">
        <f>IF('_Datos'!$C186,'_Datos'!$AV186,"")</f>
      </c>
      <c r="J186" s="207">
        <f>IF('_Datos'!$C186,'_Datos'!$AX186,"")</f>
      </c>
      <c r="K186" s="204">
        <f>IF('_Datos'!$C186,IF('Proyecto Datos (OKR´s)'!$C186="","",'Proyecto Datos (OKR´s)'!$C186),"")</f>
      </c>
      <c r="L186" s="204"/>
      <c r="M186" s="191"/>
      <c r="N186" s="203">
        <f>IF('_Datos'!$C186,'_Datos'!$BA186,"")</f>
      </c>
    </row>
    <row r="187">
      <c r="B187" s="203">
        <f>IF('_Datos'!$C187,'_Datos'!$O187,"")</f>
      </c>
      <c r="C187" s="204">
        <f>IF('_Datos'!$C187,'_Datos'!$F187,IF('_Datos'!$B187,'Proyecto Datos (OKR´s)'!$G187,""))</f>
      </c>
      <c r="D187" s="203">
        <f>IF('_Datos'!$C187,'_Datos'!$AO187,"")</f>
      </c>
      <c r="E187" s="205">
        <f>IF('_Datos'!$C187,'_Datos'!$H187,"")</f>
      </c>
      <c r="F187" s="203">
        <f>IF('_Datos'!$C187,'_Datos'!$AR187,"")</f>
      </c>
      <c r="G187" s="203"/>
      <c r="H187" s="204"/>
      <c r="I187" s="203">
        <f>IF('_Datos'!$C187,'_Datos'!$AV187,"")</f>
      </c>
      <c r="J187" s="207">
        <f>IF('_Datos'!$C187,'_Datos'!$AX187,"")</f>
      </c>
      <c r="K187" s="204">
        <f>IF('_Datos'!$C187,IF('Proyecto Datos (OKR´s)'!$C187="","",'Proyecto Datos (OKR´s)'!$C187),"")</f>
      </c>
      <c r="L187" s="204"/>
      <c r="M187" s="191"/>
      <c r="N187" s="203">
        <f>IF('_Datos'!$C187,'_Datos'!$BA187,"")</f>
      </c>
    </row>
    <row r="188">
      <c r="B188" s="203">
        <f>IF('_Datos'!$C188,'_Datos'!$O188,"")</f>
      </c>
      <c r="C188" s="204">
        <f>IF('_Datos'!$C188,'_Datos'!$F188,IF('_Datos'!$B188,'Proyecto Datos (OKR´s)'!$G188,""))</f>
      </c>
      <c r="D188" s="203">
        <f>IF('_Datos'!$C188,'_Datos'!$AO188,"")</f>
      </c>
      <c r="E188" s="205">
        <f>IF('_Datos'!$C188,'_Datos'!$H188,"")</f>
      </c>
      <c r="F188" s="203">
        <f>IF('_Datos'!$C188,'_Datos'!$AR188,"")</f>
      </c>
      <c r="G188" s="203"/>
      <c r="H188" s="204"/>
      <c r="I188" s="203">
        <f>IF('_Datos'!$C188,'_Datos'!$AV188,"")</f>
      </c>
      <c r="J188" s="207">
        <f>IF('_Datos'!$C188,'_Datos'!$AX188,"")</f>
      </c>
      <c r="K188" s="204">
        <f>IF('_Datos'!$C188,IF('Proyecto Datos (OKR´s)'!$C188="","",'Proyecto Datos (OKR´s)'!$C188),"")</f>
      </c>
      <c r="L188" s="204"/>
      <c r="M188" s="191"/>
      <c r="N188" s="203">
        <f>IF('_Datos'!$C188,'_Datos'!$BA188,"")</f>
      </c>
    </row>
    <row r="189">
      <c r="B189" s="203">
        <f>IF('_Datos'!$C189,'_Datos'!$O189,"")</f>
      </c>
      <c r="C189" s="204">
        <f>IF('_Datos'!$C189,'_Datos'!$F189,IF('_Datos'!$B189,'Proyecto Datos (OKR´s)'!$G189,""))</f>
      </c>
      <c r="D189" s="203">
        <f>IF('_Datos'!$C189,'_Datos'!$AO189,"")</f>
      </c>
      <c r="E189" s="205">
        <f>IF('_Datos'!$C189,'_Datos'!$H189,"")</f>
      </c>
      <c r="F189" s="203">
        <f>IF('_Datos'!$C189,'_Datos'!$AR189,"")</f>
      </c>
      <c r="G189" s="203"/>
      <c r="H189" s="204"/>
      <c r="I189" s="203">
        <f>IF('_Datos'!$C189,'_Datos'!$AV189,"")</f>
      </c>
      <c r="J189" s="207">
        <f>IF('_Datos'!$C189,'_Datos'!$AX189,"")</f>
      </c>
      <c r="K189" s="204">
        <f>IF('_Datos'!$C189,IF('Proyecto Datos (OKR´s)'!$C189="","",'Proyecto Datos (OKR´s)'!$C189),"")</f>
      </c>
      <c r="L189" s="204"/>
      <c r="M189" s="191"/>
      <c r="N189" s="203">
        <f>IF('_Datos'!$C189,'_Datos'!$BA189,"")</f>
      </c>
    </row>
    <row r="190">
      <c r="B190" s="203">
        <f>IF('_Datos'!$C190,'_Datos'!$O190,"")</f>
      </c>
      <c r="C190" s="204">
        <f>IF('_Datos'!$C190,'_Datos'!$F190,IF('_Datos'!$B190,'Proyecto Datos (OKR´s)'!$G190,""))</f>
      </c>
      <c r="D190" s="203">
        <f>IF('_Datos'!$C190,'_Datos'!$AO190,"")</f>
      </c>
      <c r="E190" s="205">
        <f>IF('_Datos'!$C190,'_Datos'!$H190,"")</f>
      </c>
      <c r="F190" s="203">
        <f>IF('_Datos'!$C190,'_Datos'!$AR190,"")</f>
      </c>
      <c r="G190" s="203"/>
      <c r="H190" s="204"/>
      <c r="I190" s="203">
        <f>IF('_Datos'!$C190,'_Datos'!$AV190,"")</f>
      </c>
      <c r="J190" s="207">
        <f>IF('_Datos'!$C190,'_Datos'!$AX190,"")</f>
      </c>
      <c r="K190" s="204">
        <f>IF('_Datos'!$C190,IF('Proyecto Datos (OKR´s)'!$C190="","",'Proyecto Datos (OKR´s)'!$C190),"")</f>
      </c>
      <c r="L190" s="204"/>
      <c r="M190" s="191"/>
      <c r="N190" s="203">
        <f>IF('_Datos'!$C190,'_Datos'!$BA190,"")</f>
      </c>
    </row>
    <row r="191">
      <c r="B191" s="203">
        <f>IF('_Datos'!$C191,'_Datos'!$O191,"")</f>
      </c>
      <c r="C191" s="204">
        <f>IF('_Datos'!$C191,'_Datos'!$F191,IF('_Datos'!$B191,'Proyecto Datos (OKR´s)'!$G191,""))</f>
      </c>
      <c r="D191" s="203">
        <f>IF('_Datos'!$C191,'_Datos'!$AO191,"")</f>
      </c>
      <c r="E191" s="205">
        <f>IF('_Datos'!$C191,'_Datos'!$H191,"")</f>
      </c>
      <c r="F191" s="203">
        <f>IF('_Datos'!$C191,'_Datos'!$AR191,"")</f>
      </c>
      <c r="G191" s="203"/>
      <c r="H191" s="204"/>
      <c r="I191" s="203">
        <f>IF('_Datos'!$C191,'_Datos'!$AV191,"")</f>
      </c>
      <c r="J191" s="207">
        <f>IF('_Datos'!$C191,'_Datos'!$AX191,"")</f>
      </c>
      <c r="K191" s="204">
        <f>IF('_Datos'!$C191,IF('Proyecto Datos (OKR´s)'!$C191="","",'Proyecto Datos (OKR´s)'!$C191),"")</f>
      </c>
      <c r="L191" s="204"/>
      <c r="M191" s="191"/>
      <c r="N191" s="203">
        <f>IF('_Datos'!$C191,'_Datos'!$BA191,"")</f>
      </c>
    </row>
    <row r="192">
      <c r="B192" s="203">
        <f>IF('_Datos'!$C192,'_Datos'!$O192,"")</f>
      </c>
      <c r="C192" s="204">
        <f>IF('_Datos'!$C192,'_Datos'!$F192,IF('_Datos'!$B192,'Proyecto Datos (OKR´s)'!$G192,""))</f>
      </c>
      <c r="D192" s="203">
        <f>IF('_Datos'!$C192,'_Datos'!$AO192,"")</f>
      </c>
      <c r="E192" s="205">
        <f>IF('_Datos'!$C192,'_Datos'!$H192,"")</f>
      </c>
      <c r="F192" s="203">
        <f>IF('_Datos'!$C192,'_Datos'!$AR192,"")</f>
      </c>
      <c r="G192" s="203"/>
      <c r="H192" s="204"/>
      <c r="I192" s="203">
        <f>IF('_Datos'!$C192,'_Datos'!$AV192,"")</f>
      </c>
      <c r="J192" s="207">
        <f>IF('_Datos'!$C192,'_Datos'!$AX192,"")</f>
      </c>
      <c r="K192" s="204">
        <f>IF('_Datos'!$C192,IF('Proyecto Datos (OKR´s)'!$C192="","",'Proyecto Datos (OKR´s)'!$C192),"")</f>
      </c>
      <c r="L192" s="204"/>
      <c r="M192" s="191"/>
      <c r="N192" s="203">
        <f>IF('_Datos'!$C192,'_Datos'!$BA192,"")</f>
      </c>
    </row>
    <row r="193">
      <c r="B193" s="203">
        <f>IF('_Datos'!$C193,'_Datos'!$O193,"")</f>
      </c>
      <c r="C193" s="204">
        <f>IF('_Datos'!$C193,'_Datos'!$F193,IF('_Datos'!$B193,'Proyecto Datos (OKR´s)'!$G193,""))</f>
      </c>
      <c r="D193" s="203">
        <f>IF('_Datos'!$C193,'_Datos'!$AO193,"")</f>
      </c>
      <c r="E193" s="205">
        <f>IF('_Datos'!$C193,'_Datos'!$H193,"")</f>
      </c>
      <c r="F193" s="203">
        <f>IF('_Datos'!$C193,'_Datos'!$AR193,"")</f>
      </c>
      <c r="G193" s="203"/>
      <c r="H193" s="204"/>
      <c r="I193" s="203">
        <f>IF('_Datos'!$C193,'_Datos'!$AV193,"")</f>
      </c>
      <c r="J193" s="207">
        <f>IF('_Datos'!$C193,'_Datos'!$AX193,"")</f>
      </c>
      <c r="K193" s="204">
        <f>IF('_Datos'!$C193,IF('Proyecto Datos (OKR´s)'!$C193="","",'Proyecto Datos (OKR´s)'!$C193),"")</f>
      </c>
      <c r="L193" s="204"/>
      <c r="M193" s="191"/>
      <c r="N193" s="203">
        <f>IF('_Datos'!$C193,'_Datos'!$BA193,"")</f>
      </c>
    </row>
    <row r="194">
      <c r="B194" s="203">
        <f>IF('_Datos'!$C194,'_Datos'!$O194,"")</f>
      </c>
      <c r="C194" s="204">
        <f>IF('_Datos'!$C194,'_Datos'!$F194,IF('_Datos'!$B194,'Proyecto Datos (OKR´s)'!$G194,""))</f>
      </c>
      <c r="D194" s="203">
        <f>IF('_Datos'!$C194,'_Datos'!$AO194,"")</f>
      </c>
      <c r="E194" s="205">
        <f>IF('_Datos'!$C194,'_Datos'!$H194,"")</f>
      </c>
      <c r="F194" s="203">
        <f>IF('_Datos'!$C194,'_Datos'!$AR194,"")</f>
      </c>
      <c r="G194" s="203"/>
      <c r="H194" s="204"/>
      <c r="I194" s="203">
        <f>IF('_Datos'!$C194,'_Datos'!$AV194,"")</f>
      </c>
      <c r="J194" s="207">
        <f>IF('_Datos'!$C194,'_Datos'!$AX194,"")</f>
      </c>
      <c r="K194" s="204">
        <f>IF('_Datos'!$C194,IF('Proyecto Datos (OKR´s)'!$C194="","",'Proyecto Datos (OKR´s)'!$C194),"")</f>
      </c>
      <c r="L194" s="204"/>
      <c r="M194" s="191"/>
      <c r="N194" s="203">
        <f>IF('_Datos'!$C194,'_Datos'!$BA194,"")</f>
      </c>
    </row>
    <row r="195">
      <c r="B195" s="203">
        <f>IF('_Datos'!$C195,'_Datos'!$O195,"")</f>
      </c>
      <c r="C195" s="204">
        <f>IF('_Datos'!$C195,'_Datos'!$F195,IF('_Datos'!$B195,'Proyecto Datos (OKR´s)'!$G195,""))</f>
      </c>
      <c r="D195" s="203">
        <f>IF('_Datos'!$C195,'_Datos'!$AO195,"")</f>
      </c>
      <c r="E195" s="205">
        <f>IF('_Datos'!$C195,'_Datos'!$H195,"")</f>
      </c>
      <c r="F195" s="203">
        <f>IF('_Datos'!$C195,'_Datos'!$AR195,"")</f>
      </c>
      <c r="G195" s="203"/>
      <c r="H195" s="204"/>
      <c r="I195" s="203">
        <f>IF('_Datos'!$C195,'_Datos'!$AV195,"")</f>
      </c>
      <c r="J195" s="207">
        <f>IF('_Datos'!$C195,'_Datos'!$AX195,"")</f>
      </c>
      <c r="K195" s="204">
        <f>IF('_Datos'!$C195,IF('Proyecto Datos (OKR´s)'!$C195="","",'Proyecto Datos (OKR´s)'!$C195),"")</f>
      </c>
      <c r="L195" s="204"/>
      <c r="M195" s="191"/>
      <c r="N195" s="203">
        <f>IF('_Datos'!$C195,'_Datos'!$BA195,"")</f>
      </c>
    </row>
    <row r="196">
      <c r="B196" s="203">
        <f>IF('_Datos'!$C196,'_Datos'!$O196,"")</f>
      </c>
      <c r="C196" s="204">
        <f>IF('_Datos'!$C196,'_Datos'!$F196,IF('_Datos'!$B196,'Proyecto Datos (OKR´s)'!$G196,""))</f>
      </c>
      <c r="D196" s="203">
        <f>IF('_Datos'!$C196,'_Datos'!$AO196,"")</f>
      </c>
      <c r="E196" s="205">
        <f>IF('_Datos'!$C196,'_Datos'!$H196,"")</f>
      </c>
      <c r="F196" s="203">
        <f>IF('_Datos'!$C196,'_Datos'!$AR196,"")</f>
      </c>
      <c r="G196" s="203"/>
      <c r="H196" s="204"/>
      <c r="I196" s="203">
        <f>IF('_Datos'!$C196,'_Datos'!$AV196,"")</f>
      </c>
      <c r="J196" s="207">
        <f>IF('_Datos'!$C196,'_Datos'!$AX196,"")</f>
      </c>
      <c r="K196" s="204">
        <f>IF('_Datos'!$C196,IF('Proyecto Datos (OKR´s)'!$C196="","",'Proyecto Datos (OKR´s)'!$C196),"")</f>
      </c>
      <c r="L196" s="204"/>
      <c r="M196" s="191"/>
      <c r="N196" s="203">
        <f>IF('_Datos'!$C196,'_Datos'!$BA196,"")</f>
      </c>
    </row>
    <row r="197">
      <c r="B197" s="203">
        <f>IF('_Datos'!$C197,'_Datos'!$O197,"")</f>
      </c>
      <c r="C197" s="204">
        <f>IF('_Datos'!$C197,'_Datos'!$F197,IF('_Datos'!$B197,'Proyecto Datos (OKR´s)'!$G197,""))</f>
      </c>
      <c r="D197" s="203">
        <f>IF('_Datos'!$C197,'_Datos'!$AO197,"")</f>
      </c>
      <c r="E197" s="205">
        <f>IF('_Datos'!$C197,'_Datos'!$H197,"")</f>
      </c>
      <c r="F197" s="203">
        <f>IF('_Datos'!$C197,'_Datos'!$AR197,"")</f>
      </c>
      <c r="G197" s="203"/>
      <c r="H197" s="204"/>
      <c r="I197" s="203">
        <f>IF('_Datos'!$C197,'_Datos'!$AV197,"")</f>
      </c>
      <c r="J197" s="207">
        <f>IF('_Datos'!$C197,'_Datos'!$AX197,"")</f>
      </c>
      <c r="K197" s="204">
        <f>IF('_Datos'!$C197,IF('Proyecto Datos (OKR´s)'!$C197="","",'Proyecto Datos (OKR´s)'!$C197),"")</f>
      </c>
      <c r="L197" s="204"/>
      <c r="M197" s="191"/>
      <c r="N197" s="203">
        <f>IF('_Datos'!$C197,'_Datos'!$BA197,"")</f>
      </c>
    </row>
    <row r="198">
      <c r="B198" s="203">
        <f>IF('_Datos'!$C198,'_Datos'!$O198,"")</f>
      </c>
      <c r="C198" s="204">
        <f>IF('_Datos'!$C198,'_Datos'!$F198,IF('_Datos'!$B198,'Proyecto Datos (OKR´s)'!$G198,""))</f>
      </c>
      <c r="D198" s="203">
        <f>IF('_Datos'!$C198,'_Datos'!$AO198,"")</f>
      </c>
      <c r="E198" s="205">
        <f>IF('_Datos'!$C198,'_Datos'!$H198,"")</f>
      </c>
      <c r="F198" s="203">
        <f>IF('_Datos'!$C198,'_Datos'!$AR198,"")</f>
      </c>
      <c r="G198" s="203"/>
      <c r="H198" s="204"/>
      <c r="I198" s="203">
        <f>IF('_Datos'!$C198,'_Datos'!$AV198,"")</f>
      </c>
      <c r="J198" s="207">
        <f>IF('_Datos'!$C198,'_Datos'!$AX198,"")</f>
      </c>
      <c r="K198" s="204">
        <f>IF('_Datos'!$C198,IF('Proyecto Datos (OKR´s)'!$C198="","",'Proyecto Datos (OKR´s)'!$C198),"")</f>
      </c>
      <c r="L198" s="204"/>
      <c r="M198" s="191"/>
      <c r="N198" s="203">
        <f>IF('_Datos'!$C198,'_Datos'!$BA198,"")</f>
      </c>
    </row>
    <row r="199">
      <c r="B199" s="203">
        <f>IF('_Datos'!$C199,'_Datos'!$O199,"")</f>
      </c>
      <c r="C199" s="204">
        <f>IF('_Datos'!$C199,'_Datos'!$F199,IF('_Datos'!$B199,'Proyecto Datos (OKR´s)'!$G199,""))</f>
      </c>
      <c r="D199" s="203">
        <f>IF('_Datos'!$C199,'_Datos'!$AO199,"")</f>
      </c>
      <c r="E199" s="205">
        <f>IF('_Datos'!$C199,'_Datos'!$H199,"")</f>
      </c>
      <c r="F199" s="203">
        <f>IF('_Datos'!$C199,'_Datos'!$AR199,"")</f>
      </c>
      <c r="G199" s="203"/>
      <c r="H199" s="204"/>
      <c r="I199" s="203">
        <f>IF('_Datos'!$C199,'_Datos'!$AV199,"")</f>
      </c>
      <c r="J199" s="207">
        <f>IF('_Datos'!$C199,'_Datos'!$AX199,"")</f>
      </c>
      <c r="K199" s="204">
        <f>IF('_Datos'!$C199,IF('Proyecto Datos (OKR´s)'!$C199="","",'Proyecto Datos (OKR´s)'!$C199),"")</f>
      </c>
      <c r="L199" s="204"/>
      <c r="M199" s="191"/>
      <c r="N199" s="203">
        <f>IF('_Datos'!$C199,'_Datos'!$BA199,"")</f>
      </c>
    </row>
    <row r="200">
      <c r="B200" s="203">
        <f>IF('_Datos'!$C200,'_Datos'!$O200,"")</f>
      </c>
      <c r="C200" s="204">
        <f>IF('_Datos'!$C200,'_Datos'!$F200,IF('_Datos'!$B200,'Proyecto Datos (OKR´s)'!$G200,""))</f>
      </c>
      <c r="D200" s="203">
        <f>IF('_Datos'!$C200,'_Datos'!$AO200,"")</f>
      </c>
      <c r="E200" s="205">
        <f>IF('_Datos'!$C200,'_Datos'!$H200,"")</f>
      </c>
      <c r="F200" s="203">
        <f>IF('_Datos'!$C200,'_Datos'!$AR200,"")</f>
      </c>
      <c r="G200" s="203"/>
      <c r="H200" s="204"/>
      <c r="I200" s="203">
        <f>IF('_Datos'!$C200,'_Datos'!$AV200,"")</f>
      </c>
      <c r="J200" s="207">
        <f>IF('_Datos'!$C200,'_Datos'!$AX200,"")</f>
      </c>
      <c r="K200" s="204">
        <f>IF('_Datos'!$C200,IF('Proyecto Datos (OKR´s)'!$C200="","",'Proyecto Datos (OKR´s)'!$C200),"")</f>
      </c>
      <c r="L200" s="204"/>
      <c r="M200" s="191"/>
      <c r="N200" s="203">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