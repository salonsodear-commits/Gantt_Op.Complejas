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<sst xmlns="http://schemas.openxmlformats.org/spreadsheetml/2006/main" count="363" uniqueCount="145">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</sst>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9">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f>'Proyecto Datos (OKR´s)'!$G$7</f>
      </c>
      <c r="C10" s="205"/>
      <c r="D10" s="205"/>
      <c r="E10" s="205"/>
      <c r="F10" s="205"/>
      <c r="G10" s="178">
        <f>COUNTIF('_Datos'!$D$7:$D$200,$B10)</f>
      </c>
      <c r="H10" s="180">
        <f>IFERROR(AVERAGEIF('_Datos'!$D$7:$D$200,$B10,'_Datos'!$I$7:$I$200),"")</f>
      </c>
      <c r="I10" s="180">
        <f>IFERROR(AVERAGEIF('_Datos'!$D$7:$D$200,$B10,'_Datos'!$I$7:$I$200),"")</f>
      </c>
    </row>
    <row r="11">
      <c r="B11" s="205">
        <f>'Proyecto Datos (OKR´s)'!$G$9</f>
      </c>
      <c r="C11" s="205"/>
      <c r="D11" s="205"/>
      <c r="E11" s="205"/>
      <c r="F11" s="205"/>
      <c r="G11" s="178">
        <f>COUNTIF('_Datos'!$D$7:$D$200,$B11)</f>
      </c>
      <c r="H11" s="180">
        <f>IFERROR(AVERAGEIF('_Datos'!$D$7:$D$200,$B11,'_Datos'!$I$7:$I$200),"")</f>
      </c>
      <c r="I11" s="180">
        <f>IFERROR(AVERAGEIF('_Datos'!$D$7:$D$200,$B11,'_Datos'!$I$7:$I$200),"")</f>
      </c>
    </row>
    <row r="12">
      <c r="B12" s="205">
        <f>'Proyecto Datos (OKR´s)'!$G$22</f>
      </c>
      <c r="C12" s="205"/>
      <c r="D12" s="205"/>
      <c r="E12" s="205"/>
      <c r="F12" s="205"/>
      <c r="G12" s="178">
        <f>COUNTIF('_Datos'!$D$7:$D$200,$B12)</f>
      </c>
      <c r="H12" s="180">
        <f>IFERROR(AVERAGEIF('_Datos'!$D$7:$D$200,$B12,'_Datos'!$I$7:$I$200),"")</f>
      </c>
      <c r="I12" s="180">
        <f>IFERROR(AVERAGEIF('_Datos'!$D$7:$D$200,$B12,'_Datos'!$I$7:$I$200),"")</f>
      </c>
    </row>
    <row r="13">
      <c r="B13" s="205">
        <f>'Proyecto Datos (OKR´s)'!$G$27</f>
      </c>
      <c r="C13" s="205"/>
      <c r="D13" s="205"/>
      <c r="E13" s="205"/>
      <c r="F13" s="205"/>
      <c r="G13" s="178">
        <f>COUNTIF('_Datos'!$D$7:$D$200,$B13)</f>
      </c>
      <c r="H13" s="180">
        <f>IFERROR(AVERAGEIF('_Datos'!$D$7:$D$200,$B13,'_Datos'!$I$7:$I$200),"")</f>
      </c>
      <c r="I13" s="180">
        <f>IFERROR(AVERAGEIF('_Datos'!$D$7:$D$200,$B13,'_Datos'!$I$7:$I$200),"")</f>
      </c>
    </row>
    <row r="14">
      <c r="B14" s="205">
        <f>'Proyecto Datos (OKR´s)'!$G$36</f>
      </c>
      <c r="C14" s="205"/>
      <c r="D14" s="205"/>
      <c r="E14" s="205"/>
      <c r="F14" s="205"/>
      <c r="G14" s="178">
        <f>COUNTIF('_Datos'!$D$7:$D$200,$B14)</f>
      </c>
      <c r="H14" s="180">
        <f>IFERROR(AVERAGEIF('_Datos'!$D$7:$D$200,$B14,'_Datos'!$I$7:$I$200),"")</f>
      </c>
      <c r="I14" s="180">
        <f>IFERROR(AVERAGEIF('_Datos'!$D$7:$D$200,$B14,'_Datos'!$I$7:$I$200),"")</f>
      </c>
    </row>
    <row r="15">
      <c r="B15" s="205">
        <f>'Proyecto Datos (OKR´s)'!$G$48</f>
      </c>
      <c r="C15" s="205"/>
      <c r="D15" s="205"/>
      <c r="E15" s="205"/>
      <c r="F15" s="205"/>
      <c r="G15" s="178">
        <f>COUNTIF('_Datos'!$D$7:$D$200,$B15)</f>
      </c>
      <c r="H15" s="180">
        <f>IFERROR(AVERAGEIF('_Datos'!$D$7:$D$200,$B15,'_Datos'!$I$7:$I$200),"")</f>
      </c>
      <c r="I15" s="180">
        <f>IFERROR(AVERAGEIF('_Datos'!$D$7:$D$200,$B15,'_Datos'!$I$7:$I$200),"")</f>
      </c>
    </row>
    <row r="16">
      <c r="B16" s="205">
        <f>'Proyecto Datos (OKR´s)'!$G$52</f>
      </c>
      <c r="C16" s="205"/>
      <c r="D16" s="205"/>
      <c r="E16" s="205"/>
      <c r="F16" s="205"/>
      <c r="G16" s="178">
        <f>COUNTIF('_Datos'!$D$7:$D$200,$B16)</f>
      </c>
      <c r="H16" s="180">
        <f>IFERROR(AVERAGEIF('_Datos'!$D$7:$D$200,$B16,'_Datos'!$I$7:$I$200),"")</f>
      </c>
      <c r="I16" s="180">
        <f>IFERROR(AVERAGEIF('_Datos'!$D$7:$D$200,$B16,'_Datos'!$I$7:$I$200),"")</f>
      </c>
    </row>
    <row r="17">
      <c r="B17" s="205">
        <f>'Proyecto Datos (OKR´s)'!$G$56</f>
      </c>
      <c r="C17" s="205"/>
      <c r="D17" s="205"/>
      <c r="E17" s="205"/>
      <c r="F17" s="205"/>
      <c r="G17" s="178">
        <f>COUNTIF('_Datos'!$D$7:$D$200,$B17)</f>
      </c>
      <c r="H17" s="180">
        <f>IFERROR(AVERAGEIF('_Datos'!$D$7:$D$200,$B17,'_Datos'!$I$7:$I$200),"")</f>
      </c>
      <c r="I17" s="180">
        <f>IFERROR(AVERAGEIF('_Datos'!$D$7:$D$200,$B17,'_Datos'!$I$7:$I$200),"")</f>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c>
      <c r="D21" s="204">
        <f>COUNTIFS('_Datos'!$AO$7:$AO$200,"Semanal",'_Datos'!$AY$7:$AY$200,"Completo")</f>
      </c>
      <c r="E21" s="204">
        <f>COUNTIFS('_Datos'!$AO$7:$AO$200,"Semanal",'_Datos'!$AY$7:$AY$200,"Pendiente")+COUNTIFS('_Datos'!$AO$7:$AO$200,"Semanal",'_Datos'!$AY$7:$AY$200,"Vencida")</f>
      </c>
      <c r="F21" s="204">
        <f>COUNTIFS('_Datos'!$AO$7:$AO$200,"Semanal",'_Datos'!$AY$7:$AY$200,"Vencida")</f>
      </c>
      <c r="G21" s="204">
        <f>COUNTIFS('_Datos'!$AO$7:$AO$200,"Semanal",'_Datos'!$AY$7:$AY$200,"Baja prioridad")</f>
      </c>
      <c r="H21" s="207">
        <f>IFERROR(AVERAGEIF('_Datos'!$AO$7:$AO$200,"Semanal",'_Datos'!$I$7:$I$200),"")</f>
      </c>
      <c r="I21" s="204"/>
    </row>
    <row r="22">
      <c r="B22" s="204" t="inlineStr">
        <is>
          <t xml:space="preserve">Quincenal</t>
        </is>
      </c>
      <c r="C22" s="204">
        <f>COUNTIF('_Datos'!$AO$7:$AO$200,"Quincenal")</f>
      </c>
      <c r="D22" s="204">
        <f>COUNTIFS('_Datos'!$AO$7:$AO$200,"Quincenal",'_Datos'!$AY$7:$AY$200,"Completo")</f>
      </c>
      <c r="E22" s="204">
        <f>COUNTIFS('_Datos'!$AO$7:$AO$200,"Quincenal",'_Datos'!$AY$7:$AY$200,"Pendiente")+COUNTIFS('_Datos'!$AO$7:$AO$200,"Quincenal",'_Datos'!$AY$7:$AY$200,"Vencida")</f>
      </c>
      <c r="F22" s="204">
        <f>COUNTIFS('_Datos'!$AO$7:$AO$200,"Quincenal",'_Datos'!$AY$7:$AY$200,"Vencida")</f>
      </c>
      <c r="G22" s="204">
        <f>COUNTIFS('_Datos'!$AO$7:$AO$200,"Quincenal",'_Datos'!$AY$7:$AY$200,"Baja prioridad")</f>
      </c>
      <c r="H22" s="207">
        <f>IFERROR(AVERAGEIF('_Datos'!$AO$7:$AO$200,"Quincenal",'_Datos'!$I$7:$I$200),"")</f>
      </c>
      <c r="I22" s="204"/>
    </row>
    <row r="23">
      <c r="B23" s="204" t="inlineStr">
        <is>
          <t xml:space="preserve">Mensual</t>
        </is>
      </c>
      <c r="C23" s="204">
        <f>COUNTIF('_Datos'!$AO$7:$AO$200,"Mensual")</f>
      </c>
      <c r="D23" s="204">
        <f>COUNTIFS('_Datos'!$AO$7:$AO$200,"Mensual",'_Datos'!$AY$7:$AY$200,"Completo")</f>
      </c>
      <c r="E23" s="204">
        <f>COUNTIFS('_Datos'!$AO$7:$AO$200,"Mensual",'_Datos'!$AY$7:$AY$200,"Pendiente")+COUNTIFS('_Datos'!$AO$7:$AO$200,"Mensual",'_Datos'!$AY$7:$AY$200,"Vencida")</f>
      </c>
      <c r="F23" s="204">
        <f>COUNTIFS('_Datos'!$AO$7:$AO$200,"Mensual",'_Datos'!$AY$7:$AY$200,"Vencida")</f>
      </c>
      <c r="G23" s="204">
        <f>COUNTIFS('_Datos'!$AO$7:$AO$200,"Mensual",'_Datos'!$AY$7:$AY$200,"Baja prioridad")</f>
      </c>
      <c r="H23" s="207">
        <f>IFERROR(AVERAGEIF('_Datos'!$AO$7:$AO$200,"Mensual",'_Datos'!$I$7:$I$200),"")</f>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c>
      <c r="C27" s="183">
        <f>COUNTIF('_Datos'!$Z$7:$Z$200,TRUE)</f>
      </c>
      <c r="D27" s="183">
        <f>COUNTIF('_Datos'!$W$7:$W$200,"&gt;0")</f>
      </c>
      <c r="E27" s="183">
        <f>COUNTIF('_Datos'!$AC$7:$AC$200,"*SOBRECARGA*")</f>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f>IF($P7="","",INDEX('_Datos'!$AB$7:$AB$200,$P7))</f>
      </c>
      <c r="C7" s="204">
        <f>IF($P7="","",INDEX('_Datos'!$AE$7:$AE$200,$P7))</f>
      </c>
      <c r="D7" s="205">
        <f>IF($P7="","",INDEX('_Datos'!$F$7:$F$200,$P7))</f>
      </c>
      <c r="E7" s="205">
        <f>IF($P7="","",INDEX('_Datos'!$G$7:$G$200,$P7))</f>
      </c>
      <c r="F7" s="206">
        <f>IF($P7="","",INDEX('_Datos'!$H$7:$H$200,$P7))</f>
      </c>
      <c r="G7" s="204">
        <f>IF($P7="","",INDEX('_Datos'!$J$7:$J$200,$P7))</f>
      </c>
      <c r="H7" s="208">
        <f>IF($P7="","",INDEX('_Datos'!$K$7:$K$200,$P7))</f>
      </c>
      <c r="I7" s="208">
        <f>IF($P7="","",INDEX('_Datos'!$S$7:$S$200,$P7))</f>
      </c>
      <c r="J7" s="208">
        <f>IF($P7="","",INDEX('_Datos'!$T$7:$T$200,$P7))</f>
      </c>
      <c r="K7" s="207">
        <f>IF($P7="","",INDEX('_Datos'!$V$7:$V$200,$P7))</f>
      </c>
      <c r="L7" s="208">
        <f>IF($P7="","",INDEX('_Datos'!$W$7:$W$200,$P7))</f>
      </c>
      <c r="M7" s="205">
        <f>IF($P7="","",INDEX('_Datos'!$AC$7:$AC$200,$P7))</f>
      </c>
      <c r="P7" s="202">
        <f>IFERROR(MATCH(LARGE('_Datos'!$AJ$7:$AJ$200,ROW()-7+1),'_Datos'!$AJ$7:$AJ$200,0),"")</f>
      </c>
    </row>
    <row r="8">
      <c r="B8" s="204">
        <f>IF($P8="","",INDEX('_Datos'!$AB$7:$AB$200,$P8))</f>
      </c>
      <c r="C8" s="204">
        <f>IF($P8="","",INDEX('_Datos'!$AE$7:$AE$200,$P8))</f>
      </c>
      <c r="D8" s="205">
        <f>IF($P8="","",INDEX('_Datos'!$F$7:$F$200,$P8))</f>
      </c>
      <c r="E8" s="205">
        <f>IF($P8="","",INDEX('_Datos'!$G$7:$G$200,$P8))</f>
      </c>
      <c r="F8" s="206">
        <f>IF($P8="","",INDEX('_Datos'!$H$7:$H$200,$P8))</f>
      </c>
      <c r="G8" s="204">
        <f>IF($P8="","",INDEX('_Datos'!$J$7:$J$200,$P8))</f>
      </c>
      <c r="H8" s="208">
        <f>IF($P8="","",INDEX('_Datos'!$K$7:$K$200,$P8))</f>
      </c>
      <c r="I8" s="208">
        <f>IF($P8="","",INDEX('_Datos'!$S$7:$S$200,$P8))</f>
      </c>
      <c r="J8" s="208">
        <f>IF($P8="","",INDEX('_Datos'!$T$7:$T$200,$P8))</f>
      </c>
      <c r="K8" s="207">
        <f>IF($P8="","",INDEX('_Datos'!$V$7:$V$200,$P8))</f>
      </c>
      <c r="L8" s="208">
        <f>IF($P8="","",INDEX('_Datos'!$W$7:$W$200,$P8))</f>
      </c>
      <c r="M8" s="205">
        <f>IF($P8="","",INDEX('_Datos'!$AC$7:$AC$200,$P8))</f>
      </c>
      <c r="P8" s="202">
        <f>IFERROR(MATCH(LARGE('_Datos'!$AJ$7:$AJ$200,ROW()-7+1),'_Datos'!$AJ$7:$AJ$200,0),"")</f>
      </c>
    </row>
    <row r="9">
      <c r="B9" s="204">
        <f>IF($P9="","",INDEX('_Datos'!$AB$7:$AB$200,$P9))</f>
      </c>
      <c r="C9" s="204">
        <f>IF($P9="","",INDEX('_Datos'!$AE$7:$AE$200,$P9))</f>
      </c>
      <c r="D9" s="205">
        <f>IF($P9="","",INDEX('_Datos'!$F$7:$F$200,$P9))</f>
      </c>
      <c r="E9" s="205">
        <f>IF($P9="","",INDEX('_Datos'!$G$7:$G$200,$P9))</f>
      </c>
      <c r="F9" s="206">
        <f>IF($P9="","",INDEX('_Datos'!$H$7:$H$200,$P9))</f>
      </c>
      <c r="G9" s="204">
        <f>IF($P9="","",INDEX('_Datos'!$J$7:$J$200,$P9))</f>
      </c>
      <c r="H9" s="208">
        <f>IF($P9="","",INDEX('_Datos'!$K$7:$K$200,$P9))</f>
      </c>
      <c r="I9" s="208">
        <f>IF($P9="","",INDEX('_Datos'!$S$7:$S$200,$P9))</f>
      </c>
      <c r="J9" s="208">
        <f>IF($P9="","",INDEX('_Datos'!$T$7:$T$200,$P9))</f>
      </c>
      <c r="K9" s="207">
        <f>IF($P9="","",INDEX('_Datos'!$V$7:$V$200,$P9))</f>
      </c>
      <c r="L9" s="208">
        <f>IF($P9="","",INDEX('_Datos'!$W$7:$W$200,$P9))</f>
      </c>
      <c r="M9" s="205">
        <f>IF($P9="","",INDEX('_Datos'!$AC$7:$AC$200,$P9))</f>
      </c>
      <c r="P9" s="202">
        <f>IFERROR(MATCH(LARGE('_Datos'!$AJ$7:$AJ$200,ROW()-7+1),'_Datos'!$AJ$7:$AJ$200,0),"")</f>
      </c>
    </row>
    <row r="10">
      <c r="B10" s="204">
        <f>IF($P10="","",INDEX('_Datos'!$AB$7:$AB$200,$P10))</f>
      </c>
      <c r="C10" s="204">
        <f>IF($P10="","",INDEX('_Datos'!$AE$7:$AE$200,$P10))</f>
      </c>
      <c r="D10" s="205">
        <f>IF($P10="","",INDEX('_Datos'!$F$7:$F$200,$P10))</f>
      </c>
      <c r="E10" s="205">
        <f>IF($P10="","",INDEX('_Datos'!$G$7:$G$200,$P10))</f>
      </c>
      <c r="F10" s="206">
        <f>IF($P10="","",INDEX('_Datos'!$H$7:$H$200,$P10))</f>
      </c>
      <c r="G10" s="204">
        <f>IF($P10="","",INDEX('_Datos'!$J$7:$J$200,$P10))</f>
      </c>
      <c r="H10" s="208">
        <f>IF($P10="","",INDEX('_Datos'!$K$7:$K$200,$P10))</f>
      </c>
      <c r="I10" s="208">
        <f>IF($P10="","",INDEX('_Datos'!$S$7:$S$200,$P10))</f>
      </c>
      <c r="J10" s="208">
        <f>IF($P10="","",INDEX('_Datos'!$T$7:$T$200,$P10))</f>
      </c>
      <c r="K10" s="207">
        <f>IF($P10="","",INDEX('_Datos'!$V$7:$V$200,$P10))</f>
      </c>
      <c r="L10" s="208">
        <f>IF($P10="","",INDEX('_Datos'!$W$7:$W$200,$P10))</f>
      </c>
      <c r="M10" s="205">
        <f>IF($P10="","",INDEX('_Datos'!$AC$7:$AC$200,$P10))</f>
      </c>
      <c r="P10" s="202">
        <f>IFERROR(MATCH(LARGE('_Datos'!$AJ$7:$AJ$200,ROW()-7+1),'_Datos'!$AJ$7:$AJ$200,0),"")</f>
      </c>
    </row>
    <row r="11">
      <c r="B11" s="204">
        <f>IF($P11="","",INDEX('_Datos'!$AB$7:$AB$200,$P11))</f>
      </c>
      <c r="C11" s="204">
        <f>IF($P11="","",INDEX('_Datos'!$AE$7:$AE$200,$P11))</f>
      </c>
      <c r="D11" s="205">
        <f>IF($P11="","",INDEX('_Datos'!$F$7:$F$200,$P11))</f>
      </c>
      <c r="E11" s="205">
        <f>IF($P11="","",INDEX('_Datos'!$G$7:$G$200,$P11))</f>
      </c>
      <c r="F11" s="206">
        <f>IF($P11="","",INDEX('_Datos'!$H$7:$H$200,$P11))</f>
      </c>
      <c r="G11" s="204">
        <f>IF($P11="","",INDEX('_Datos'!$J$7:$J$200,$P11))</f>
      </c>
      <c r="H11" s="208">
        <f>IF($P11="","",INDEX('_Datos'!$K$7:$K$200,$P11))</f>
      </c>
      <c r="I11" s="208">
        <f>IF($P11="","",INDEX('_Datos'!$S$7:$S$200,$P11))</f>
      </c>
      <c r="J11" s="208">
        <f>IF($P11="","",INDEX('_Datos'!$T$7:$T$200,$P11))</f>
      </c>
      <c r="K11" s="207">
        <f>IF($P11="","",INDEX('_Datos'!$V$7:$V$200,$P11))</f>
      </c>
      <c r="L11" s="208">
        <f>IF($P11="","",INDEX('_Datos'!$W$7:$W$200,$P11))</f>
      </c>
      <c r="M11" s="205">
        <f>IF($P11="","",INDEX('_Datos'!$AC$7:$AC$200,$P11))</f>
      </c>
      <c r="P11" s="202">
        <f>IFERROR(MATCH(LARGE('_Datos'!$AJ$7:$AJ$200,ROW()-7+1),'_Datos'!$AJ$7:$AJ$200,0),"")</f>
      </c>
    </row>
    <row r="12">
      <c r="B12" s="204">
        <f>IF($P12="","",INDEX('_Datos'!$AB$7:$AB$200,$P12))</f>
      </c>
      <c r="C12" s="204">
        <f>IF($P12="","",INDEX('_Datos'!$AE$7:$AE$200,$P12))</f>
      </c>
      <c r="D12" s="205">
        <f>IF($P12="","",INDEX('_Datos'!$F$7:$F$200,$P12))</f>
      </c>
      <c r="E12" s="205">
        <f>IF($P12="","",INDEX('_Datos'!$G$7:$G$200,$P12))</f>
      </c>
      <c r="F12" s="206">
        <f>IF($P12="","",INDEX('_Datos'!$H$7:$H$200,$P12))</f>
      </c>
      <c r="G12" s="204">
        <f>IF($P12="","",INDEX('_Datos'!$J$7:$J$200,$P12))</f>
      </c>
      <c r="H12" s="208">
        <f>IF($P12="","",INDEX('_Datos'!$K$7:$K$200,$P12))</f>
      </c>
      <c r="I12" s="208">
        <f>IF($P12="","",INDEX('_Datos'!$S$7:$S$200,$P12))</f>
      </c>
      <c r="J12" s="208">
        <f>IF($P12="","",INDEX('_Datos'!$T$7:$T$200,$P12))</f>
      </c>
      <c r="K12" s="207">
        <f>IF($P12="","",INDEX('_Datos'!$V$7:$V$200,$P12))</f>
      </c>
      <c r="L12" s="208">
        <f>IF($P12="","",INDEX('_Datos'!$W$7:$W$200,$P12))</f>
      </c>
      <c r="M12" s="205">
        <f>IF($P12="","",INDEX('_Datos'!$AC$7:$AC$200,$P12))</f>
      </c>
      <c r="P12" s="202">
        <f>IFERROR(MATCH(LARGE('_Datos'!$AJ$7:$AJ$200,ROW()-7+1),'_Datos'!$AJ$7:$AJ$200,0),"")</f>
      </c>
    </row>
    <row r="13">
      <c r="B13" s="204">
        <f>IF($P13="","",INDEX('_Datos'!$AB$7:$AB$200,$P13))</f>
      </c>
      <c r="C13" s="204">
        <f>IF($P13="","",INDEX('_Datos'!$AE$7:$AE$200,$P13))</f>
      </c>
      <c r="D13" s="205">
        <f>IF($P13="","",INDEX('_Datos'!$F$7:$F$200,$P13))</f>
      </c>
      <c r="E13" s="205">
        <f>IF($P13="","",INDEX('_Datos'!$G$7:$G$200,$P13))</f>
      </c>
      <c r="F13" s="206">
        <f>IF($P13="","",INDEX('_Datos'!$H$7:$H$200,$P13))</f>
      </c>
      <c r="G13" s="204">
        <f>IF($P13="","",INDEX('_Datos'!$J$7:$J$200,$P13))</f>
      </c>
      <c r="H13" s="208">
        <f>IF($P13="","",INDEX('_Datos'!$K$7:$K$200,$P13))</f>
      </c>
      <c r="I13" s="208">
        <f>IF($P13="","",INDEX('_Datos'!$S$7:$S$200,$P13))</f>
      </c>
      <c r="J13" s="208">
        <f>IF($P13="","",INDEX('_Datos'!$T$7:$T$200,$P13))</f>
      </c>
      <c r="K13" s="207">
        <f>IF($P13="","",INDEX('_Datos'!$V$7:$V$200,$P13))</f>
      </c>
      <c r="L13" s="208">
        <f>IF($P13="","",INDEX('_Datos'!$W$7:$W$200,$P13))</f>
      </c>
      <c r="M13" s="205">
        <f>IF($P13="","",INDEX('_Datos'!$AC$7:$AC$200,$P13))</f>
      </c>
      <c r="P13" s="202">
        <f>IFERROR(MATCH(LARGE('_Datos'!$AJ$7:$AJ$200,ROW()-7+1),'_Datos'!$AJ$7:$AJ$200,0),"")</f>
      </c>
    </row>
    <row r="14">
      <c r="B14" s="204">
        <f>IF($P14="","",INDEX('_Datos'!$AB$7:$AB$200,$P14))</f>
      </c>
      <c r="C14" s="204">
        <f>IF($P14="","",INDEX('_Datos'!$AE$7:$AE$200,$P14))</f>
      </c>
      <c r="D14" s="205">
        <f>IF($P14="","",INDEX('_Datos'!$F$7:$F$200,$P14))</f>
      </c>
      <c r="E14" s="205">
        <f>IF($P14="","",INDEX('_Datos'!$G$7:$G$200,$P14))</f>
      </c>
      <c r="F14" s="206">
        <f>IF($P14="","",INDEX('_Datos'!$H$7:$H$200,$P14))</f>
      </c>
      <c r="G14" s="204">
        <f>IF($P14="","",INDEX('_Datos'!$J$7:$J$200,$P14))</f>
      </c>
      <c r="H14" s="208">
        <f>IF($P14="","",INDEX('_Datos'!$K$7:$K$200,$P14))</f>
      </c>
      <c r="I14" s="208">
        <f>IF($P14="","",INDEX('_Datos'!$S$7:$S$200,$P14))</f>
      </c>
      <c r="J14" s="208">
        <f>IF($P14="","",INDEX('_Datos'!$T$7:$T$200,$P14))</f>
      </c>
      <c r="K14" s="207">
        <f>IF($P14="","",INDEX('_Datos'!$V$7:$V$200,$P14))</f>
      </c>
      <c r="L14" s="208">
        <f>IF($P14="","",INDEX('_Datos'!$W$7:$W$200,$P14))</f>
      </c>
      <c r="M14" s="205">
        <f>IF($P14="","",INDEX('_Datos'!$AC$7:$AC$200,$P14))</f>
      </c>
      <c r="P14" s="202">
        <f>IFERROR(MATCH(LARGE('_Datos'!$AJ$7:$AJ$200,ROW()-7+1),'_Datos'!$AJ$7:$AJ$200,0),"")</f>
      </c>
    </row>
    <row r="15">
      <c r="B15" s="204">
        <f>IF($P15="","",INDEX('_Datos'!$AB$7:$AB$200,$P15))</f>
      </c>
      <c r="C15" s="204">
        <f>IF($P15="","",INDEX('_Datos'!$AE$7:$AE$200,$P15))</f>
      </c>
      <c r="D15" s="205">
        <f>IF($P15="","",INDEX('_Datos'!$F$7:$F$200,$P15))</f>
      </c>
      <c r="E15" s="205">
        <f>IF($P15="","",INDEX('_Datos'!$G$7:$G$200,$P15))</f>
      </c>
      <c r="F15" s="206">
        <f>IF($P15="","",INDEX('_Datos'!$H$7:$H$200,$P15))</f>
      </c>
      <c r="G15" s="204">
        <f>IF($P15="","",INDEX('_Datos'!$J$7:$J$200,$P15))</f>
      </c>
      <c r="H15" s="208">
        <f>IF($P15="","",INDEX('_Datos'!$K$7:$K$200,$P15))</f>
      </c>
      <c r="I15" s="208">
        <f>IF($P15="","",INDEX('_Datos'!$S$7:$S$200,$P15))</f>
      </c>
      <c r="J15" s="208">
        <f>IF($P15="","",INDEX('_Datos'!$T$7:$T$200,$P15))</f>
      </c>
      <c r="K15" s="207">
        <f>IF($P15="","",INDEX('_Datos'!$V$7:$V$200,$P15))</f>
      </c>
      <c r="L15" s="208">
        <f>IF($P15="","",INDEX('_Datos'!$W$7:$W$200,$P15))</f>
      </c>
      <c r="M15" s="205">
        <f>IF($P15="","",INDEX('_Datos'!$AC$7:$AC$200,$P15))</f>
      </c>
      <c r="P15" s="202">
        <f>IFERROR(MATCH(LARGE('_Datos'!$AJ$7:$AJ$200,ROW()-7+1),'_Datos'!$AJ$7:$AJ$200,0),"")</f>
      </c>
    </row>
    <row r="16">
      <c r="B16" s="204">
        <f>IF($P16="","",INDEX('_Datos'!$AB$7:$AB$200,$P16))</f>
      </c>
      <c r="C16" s="204">
        <f>IF($P16="","",INDEX('_Datos'!$AE$7:$AE$200,$P16))</f>
      </c>
      <c r="D16" s="205">
        <f>IF($P16="","",INDEX('_Datos'!$F$7:$F$200,$P16))</f>
      </c>
      <c r="E16" s="205">
        <f>IF($P16="","",INDEX('_Datos'!$G$7:$G$200,$P16))</f>
      </c>
      <c r="F16" s="206">
        <f>IF($P16="","",INDEX('_Datos'!$H$7:$H$200,$P16))</f>
      </c>
      <c r="G16" s="204">
        <f>IF($P16="","",INDEX('_Datos'!$J$7:$J$200,$P16))</f>
      </c>
      <c r="H16" s="208">
        <f>IF($P16="","",INDEX('_Datos'!$K$7:$K$200,$P16))</f>
      </c>
      <c r="I16" s="208">
        <f>IF($P16="","",INDEX('_Datos'!$S$7:$S$200,$P16))</f>
      </c>
      <c r="J16" s="208">
        <f>IF($P16="","",INDEX('_Datos'!$T$7:$T$200,$P16))</f>
      </c>
      <c r="K16" s="207">
        <f>IF($P16="","",INDEX('_Datos'!$V$7:$V$200,$P16))</f>
      </c>
      <c r="L16" s="208">
        <f>IF($P16="","",INDEX('_Datos'!$W$7:$W$200,$P16))</f>
      </c>
      <c r="M16" s="205">
        <f>IF($P16="","",INDEX('_Datos'!$AC$7:$AC$200,$P16))</f>
      </c>
      <c r="P16" s="202">
        <f>IFERROR(MATCH(LARGE('_Datos'!$AJ$7:$AJ$200,ROW()-7+1),'_Datos'!$AJ$7:$AJ$200,0),"")</f>
      </c>
    </row>
    <row r="17">
      <c r="B17" s="204">
        <f>IF($P17="","",INDEX('_Datos'!$AB$7:$AB$200,$P17))</f>
      </c>
      <c r="C17" s="204">
        <f>IF($P17="","",INDEX('_Datos'!$AE$7:$AE$200,$P17))</f>
      </c>
      <c r="D17" s="205">
        <f>IF($P17="","",INDEX('_Datos'!$F$7:$F$200,$P17))</f>
      </c>
      <c r="E17" s="205">
        <f>IF($P17="","",INDEX('_Datos'!$G$7:$G$200,$P17))</f>
      </c>
      <c r="F17" s="206">
        <f>IF($P17="","",INDEX('_Datos'!$H$7:$H$200,$P17))</f>
      </c>
      <c r="G17" s="204">
        <f>IF($P17="","",INDEX('_Datos'!$J$7:$J$200,$P17))</f>
      </c>
      <c r="H17" s="208">
        <f>IF($P17="","",INDEX('_Datos'!$K$7:$K$200,$P17))</f>
      </c>
      <c r="I17" s="208">
        <f>IF($P17="","",INDEX('_Datos'!$S$7:$S$200,$P17))</f>
      </c>
      <c r="J17" s="208">
        <f>IF($P17="","",INDEX('_Datos'!$T$7:$T$200,$P17))</f>
      </c>
      <c r="K17" s="207">
        <f>IF($P17="","",INDEX('_Datos'!$V$7:$V$200,$P17))</f>
      </c>
      <c r="L17" s="208">
        <f>IF($P17="","",INDEX('_Datos'!$W$7:$W$200,$P17))</f>
      </c>
      <c r="M17" s="205">
        <f>IF($P17="","",INDEX('_Datos'!$AC$7:$AC$200,$P17))</f>
      </c>
      <c r="P17" s="202">
        <f>IFERROR(MATCH(LARGE('_Datos'!$AJ$7:$AJ$200,ROW()-7+1),'_Datos'!$AJ$7:$AJ$200,0),"")</f>
      </c>
    </row>
    <row r="18">
      <c r="B18" s="204">
        <f>IF($P18="","",INDEX('_Datos'!$AB$7:$AB$200,$P18))</f>
      </c>
      <c r="C18" s="204">
        <f>IF($P18="","",INDEX('_Datos'!$AE$7:$AE$200,$P18))</f>
      </c>
      <c r="D18" s="205">
        <f>IF($P18="","",INDEX('_Datos'!$F$7:$F$200,$P18))</f>
      </c>
      <c r="E18" s="205">
        <f>IF($P18="","",INDEX('_Datos'!$G$7:$G$200,$P18))</f>
      </c>
      <c r="F18" s="206">
        <f>IF($P18="","",INDEX('_Datos'!$H$7:$H$200,$P18))</f>
      </c>
      <c r="G18" s="204">
        <f>IF($P18="","",INDEX('_Datos'!$J$7:$J$200,$P18))</f>
      </c>
      <c r="H18" s="208">
        <f>IF($P18="","",INDEX('_Datos'!$K$7:$K$200,$P18))</f>
      </c>
      <c r="I18" s="208">
        <f>IF($P18="","",INDEX('_Datos'!$S$7:$S$200,$P18))</f>
      </c>
      <c r="J18" s="208">
        <f>IF($P18="","",INDEX('_Datos'!$T$7:$T$200,$P18))</f>
      </c>
      <c r="K18" s="207">
        <f>IF($P18="","",INDEX('_Datos'!$V$7:$V$200,$P18))</f>
      </c>
      <c r="L18" s="208">
        <f>IF($P18="","",INDEX('_Datos'!$W$7:$W$200,$P18))</f>
      </c>
      <c r="M18" s="205">
        <f>IF($P18="","",INDEX('_Datos'!$AC$7:$AC$200,$P18))</f>
      </c>
      <c r="P18" s="202">
        <f>IFERROR(MATCH(LARGE('_Datos'!$AJ$7:$AJ$200,ROW()-7+1),'_Datos'!$AJ$7:$AJ$200,0),"")</f>
      </c>
    </row>
    <row r="19">
      <c r="B19" s="204">
        <f>IF($P19="","",INDEX('_Datos'!$AB$7:$AB$200,$P19))</f>
      </c>
      <c r="C19" s="204">
        <f>IF($P19="","",INDEX('_Datos'!$AE$7:$AE$200,$P19))</f>
      </c>
      <c r="D19" s="205">
        <f>IF($P19="","",INDEX('_Datos'!$F$7:$F$200,$P19))</f>
      </c>
      <c r="E19" s="205">
        <f>IF($P19="","",INDEX('_Datos'!$G$7:$G$200,$P19))</f>
      </c>
      <c r="F19" s="206">
        <f>IF($P19="","",INDEX('_Datos'!$H$7:$H$200,$P19))</f>
      </c>
      <c r="G19" s="204">
        <f>IF($P19="","",INDEX('_Datos'!$J$7:$J$200,$P19))</f>
      </c>
      <c r="H19" s="208">
        <f>IF($P19="","",INDEX('_Datos'!$K$7:$K$200,$P19))</f>
      </c>
      <c r="I19" s="208">
        <f>IF($P19="","",INDEX('_Datos'!$S$7:$S$200,$P19))</f>
      </c>
      <c r="J19" s="208">
        <f>IF($P19="","",INDEX('_Datos'!$T$7:$T$200,$P19))</f>
      </c>
      <c r="K19" s="207">
        <f>IF($P19="","",INDEX('_Datos'!$V$7:$V$200,$P19))</f>
      </c>
      <c r="L19" s="208">
        <f>IF($P19="","",INDEX('_Datos'!$W$7:$W$200,$P19))</f>
      </c>
      <c r="M19" s="205">
        <f>IF($P19="","",INDEX('_Datos'!$AC$7:$AC$200,$P19))</f>
      </c>
      <c r="P19" s="202">
        <f>IFERROR(MATCH(LARGE('_Datos'!$AJ$7:$AJ$200,ROW()-7+1),'_Datos'!$AJ$7:$AJ$200,0),"")</f>
      </c>
    </row>
    <row r="20">
      <c r="B20" s="204">
        <f>IF($P20="","",INDEX('_Datos'!$AB$7:$AB$200,$P20))</f>
      </c>
      <c r="C20" s="204">
        <f>IF($P20="","",INDEX('_Datos'!$AE$7:$AE$200,$P20))</f>
      </c>
      <c r="D20" s="205">
        <f>IF($P20="","",INDEX('_Datos'!$F$7:$F$200,$P20))</f>
      </c>
      <c r="E20" s="205">
        <f>IF($P20="","",INDEX('_Datos'!$G$7:$G$200,$P20))</f>
      </c>
      <c r="F20" s="206">
        <f>IF($P20="","",INDEX('_Datos'!$H$7:$H$200,$P20))</f>
      </c>
      <c r="G20" s="204">
        <f>IF($P20="","",INDEX('_Datos'!$J$7:$J$200,$P20))</f>
      </c>
      <c r="H20" s="208">
        <f>IF($P20="","",INDEX('_Datos'!$K$7:$K$200,$P20))</f>
      </c>
      <c r="I20" s="208">
        <f>IF($P20="","",INDEX('_Datos'!$S$7:$S$200,$P20))</f>
      </c>
      <c r="J20" s="208">
        <f>IF($P20="","",INDEX('_Datos'!$T$7:$T$200,$P20))</f>
      </c>
      <c r="K20" s="207">
        <f>IF($P20="","",INDEX('_Datos'!$V$7:$V$200,$P20))</f>
      </c>
      <c r="L20" s="208">
        <f>IF($P20="","",INDEX('_Datos'!$W$7:$W$200,$P20))</f>
      </c>
      <c r="M20" s="205">
        <f>IF($P20="","",INDEX('_Datos'!$AC$7:$AC$200,$P20))</f>
      </c>
      <c r="P20" s="202">
        <f>IFERROR(MATCH(LARGE('_Datos'!$AJ$7:$AJ$200,ROW()-7+1),'_Datos'!$AJ$7:$AJ$200,0),"")</f>
      </c>
    </row>
    <row r="21">
      <c r="B21" s="204">
        <f>IF($P21="","",INDEX('_Datos'!$AB$7:$AB$200,$P21))</f>
      </c>
      <c r="C21" s="204">
        <f>IF($P21="","",INDEX('_Datos'!$AE$7:$AE$200,$P21))</f>
      </c>
      <c r="D21" s="205">
        <f>IF($P21="","",INDEX('_Datos'!$F$7:$F$200,$P21))</f>
      </c>
      <c r="E21" s="205">
        <f>IF($P21="","",INDEX('_Datos'!$G$7:$G$200,$P21))</f>
      </c>
      <c r="F21" s="206">
        <f>IF($P21="","",INDEX('_Datos'!$H$7:$H$200,$P21))</f>
      </c>
      <c r="G21" s="204">
        <f>IF($P21="","",INDEX('_Datos'!$J$7:$J$200,$P21))</f>
      </c>
      <c r="H21" s="208">
        <f>IF($P21="","",INDEX('_Datos'!$K$7:$K$200,$P21))</f>
      </c>
      <c r="I21" s="208">
        <f>IF($P21="","",INDEX('_Datos'!$S$7:$S$200,$P21))</f>
      </c>
      <c r="J21" s="208">
        <f>IF($P21="","",INDEX('_Datos'!$T$7:$T$200,$P21))</f>
      </c>
      <c r="K21" s="207">
        <f>IF($P21="","",INDEX('_Datos'!$V$7:$V$200,$P21))</f>
      </c>
      <c r="L21" s="208">
        <f>IF($P21="","",INDEX('_Datos'!$W$7:$W$200,$P21))</f>
      </c>
      <c r="M21" s="205">
        <f>IF($P21="","",INDEX('_Datos'!$AC$7:$AC$200,$P21))</f>
      </c>
      <c r="P21" s="202">
        <f>IFERROR(MATCH(LARGE('_Datos'!$AJ$7:$AJ$200,ROW()-7+1),'_Datos'!$AJ$7:$AJ$200,0),"")</f>
      </c>
    </row>
    <row r="22">
      <c r="B22" s="204">
        <f>IF($P22="","",INDEX('_Datos'!$AB$7:$AB$200,$P22))</f>
      </c>
      <c r="C22" s="204">
        <f>IF($P22="","",INDEX('_Datos'!$AE$7:$AE$200,$P22))</f>
      </c>
      <c r="D22" s="205">
        <f>IF($P22="","",INDEX('_Datos'!$F$7:$F$200,$P22))</f>
      </c>
      <c r="E22" s="205">
        <f>IF($P22="","",INDEX('_Datos'!$G$7:$G$200,$P22))</f>
      </c>
      <c r="F22" s="206">
        <f>IF($P22="","",INDEX('_Datos'!$H$7:$H$200,$P22))</f>
      </c>
      <c r="G22" s="204">
        <f>IF($P22="","",INDEX('_Datos'!$J$7:$J$200,$P22))</f>
      </c>
      <c r="H22" s="208">
        <f>IF($P22="","",INDEX('_Datos'!$K$7:$K$200,$P22))</f>
      </c>
      <c r="I22" s="208">
        <f>IF($P22="","",INDEX('_Datos'!$S$7:$S$200,$P22))</f>
      </c>
      <c r="J22" s="208">
        <f>IF($P22="","",INDEX('_Datos'!$T$7:$T$200,$P22))</f>
      </c>
      <c r="K22" s="207">
        <f>IF($P22="","",INDEX('_Datos'!$V$7:$V$200,$P22))</f>
      </c>
      <c r="L22" s="208">
        <f>IF($P22="","",INDEX('_Datos'!$W$7:$W$200,$P22))</f>
      </c>
      <c r="M22" s="205">
        <f>IF($P22="","",INDEX('_Datos'!$AC$7:$AC$200,$P22))</f>
      </c>
      <c r="P22" s="202">
        <f>IFERROR(MATCH(LARGE('_Datos'!$AJ$7:$AJ$200,ROW()-7+1),'_Datos'!$AJ$7:$AJ$200,0),"")</f>
      </c>
    </row>
    <row r="23">
      <c r="B23" s="204">
        <f>IF($P23="","",INDEX('_Datos'!$AB$7:$AB$200,$P23))</f>
      </c>
      <c r="C23" s="204">
        <f>IF($P23="","",INDEX('_Datos'!$AE$7:$AE$200,$P23))</f>
      </c>
      <c r="D23" s="205">
        <f>IF($P23="","",INDEX('_Datos'!$F$7:$F$200,$P23))</f>
      </c>
      <c r="E23" s="205">
        <f>IF($P23="","",INDEX('_Datos'!$G$7:$G$200,$P23))</f>
      </c>
      <c r="F23" s="206">
        <f>IF($P23="","",INDEX('_Datos'!$H$7:$H$200,$P23))</f>
      </c>
      <c r="G23" s="204">
        <f>IF($P23="","",INDEX('_Datos'!$J$7:$J$200,$P23))</f>
      </c>
      <c r="H23" s="208">
        <f>IF($P23="","",INDEX('_Datos'!$K$7:$K$200,$P23))</f>
      </c>
      <c r="I23" s="208">
        <f>IF($P23="","",INDEX('_Datos'!$S$7:$S$200,$P23))</f>
      </c>
      <c r="J23" s="208">
        <f>IF($P23="","",INDEX('_Datos'!$T$7:$T$200,$P23))</f>
      </c>
      <c r="K23" s="207">
        <f>IF($P23="","",INDEX('_Datos'!$V$7:$V$200,$P23))</f>
      </c>
      <c r="L23" s="208">
        <f>IF($P23="","",INDEX('_Datos'!$W$7:$W$200,$P23))</f>
      </c>
      <c r="M23" s="205">
        <f>IF($P23="","",INDEX('_Datos'!$AC$7:$AC$200,$P23))</f>
      </c>
      <c r="P23" s="202">
        <f>IFERROR(MATCH(LARGE('_Datos'!$AJ$7:$AJ$200,ROW()-7+1),'_Datos'!$AJ$7:$AJ$200,0),"")</f>
      </c>
    </row>
    <row r="24">
      <c r="B24" s="204">
        <f>IF($P24="","",INDEX('_Datos'!$AB$7:$AB$200,$P24))</f>
      </c>
      <c r="C24" s="204">
        <f>IF($P24="","",INDEX('_Datos'!$AE$7:$AE$200,$P24))</f>
      </c>
      <c r="D24" s="205">
        <f>IF($P24="","",INDEX('_Datos'!$F$7:$F$200,$P24))</f>
      </c>
      <c r="E24" s="205">
        <f>IF($P24="","",INDEX('_Datos'!$G$7:$G$200,$P24))</f>
      </c>
      <c r="F24" s="206">
        <f>IF($P24="","",INDEX('_Datos'!$H$7:$H$200,$P24))</f>
      </c>
      <c r="G24" s="204">
        <f>IF($P24="","",INDEX('_Datos'!$J$7:$J$200,$P24))</f>
      </c>
      <c r="H24" s="208">
        <f>IF($P24="","",INDEX('_Datos'!$K$7:$K$200,$P24))</f>
      </c>
      <c r="I24" s="208">
        <f>IF($P24="","",INDEX('_Datos'!$S$7:$S$200,$P24))</f>
      </c>
      <c r="J24" s="208">
        <f>IF($P24="","",INDEX('_Datos'!$T$7:$T$200,$P24))</f>
      </c>
      <c r="K24" s="207">
        <f>IF($P24="","",INDEX('_Datos'!$V$7:$V$200,$P24))</f>
      </c>
      <c r="L24" s="208">
        <f>IF($P24="","",INDEX('_Datos'!$W$7:$W$200,$P24))</f>
      </c>
      <c r="M24" s="205">
        <f>IF($P24="","",INDEX('_Datos'!$AC$7:$AC$200,$P24))</f>
      </c>
      <c r="P24" s="202">
        <f>IFERROR(MATCH(LARGE('_Datos'!$AJ$7:$AJ$200,ROW()-7+1),'_Datos'!$AJ$7:$AJ$200,0),"")</f>
      </c>
    </row>
    <row r="25">
      <c r="B25" s="204">
        <f>IF($P25="","",INDEX('_Datos'!$AB$7:$AB$200,$P25))</f>
      </c>
      <c r="C25" s="204">
        <f>IF($P25="","",INDEX('_Datos'!$AE$7:$AE$200,$P25))</f>
      </c>
      <c r="D25" s="205">
        <f>IF($P25="","",INDEX('_Datos'!$F$7:$F$200,$P25))</f>
      </c>
      <c r="E25" s="205">
        <f>IF($P25="","",INDEX('_Datos'!$G$7:$G$200,$P25))</f>
      </c>
      <c r="F25" s="206">
        <f>IF($P25="","",INDEX('_Datos'!$H$7:$H$200,$P25))</f>
      </c>
      <c r="G25" s="204">
        <f>IF($P25="","",INDEX('_Datos'!$J$7:$J$200,$P25))</f>
      </c>
      <c r="H25" s="208">
        <f>IF($P25="","",INDEX('_Datos'!$K$7:$K$200,$P25))</f>
      </c>
      <c r="I25" s="208">
        <f>IF($P25="","",INDEX('_Datos'!$S$7:$S$200,$P25))</f>
      </c>
      <c r="J25" s="208">
        <f>IF($P25="","",INDEX('_Datos'!$T$7:$T$200,$P25))</f>
      </c>
      <c r="K25" s="207">
        <f>IF($P25="","",INDEX('_Datos'!$V$7:$V$200,$P25))</f>
      </c>
      <c r="L25" s="208">
        <f>IF($P25="","",INDEX('_Datos'!$W$7:$W$200,$P25))</f>
      </c>
      <c r="M25" s="205">
        <f>IF($P25="","",INDEX('_Datos'!$AC$7:$AC$200,$P25))</f>
      </c>
      <c r="P25" s="202">
        <f>IFERROR(MATCH(LARGE('_Datos'!$AJ$7:$AJ$200,ROW()-7+1),'_Datos'!$AJ$7:$AJ$200,0),"")</f>
      </c>
    </row>
    <row r="26">
      <c r="B26" s="204">
        <f>IF($P26="","",INDEX('_Datos'!$AB$7:$AB$200,$P26))</f>
      </c>
      <c r="C26" s="204">
        <f>IF($P26="","",INDEX('_Datos'!$AE$7:$AE$200,$P26))</f>
      </c>
      <c r="D26" s="205">
        <f>IF($P26="","",INDEX('_Datos'!$F$7:$F$200,$P26))</f>
      </c>
      <c r="E26" s="205">
        <f>IF($P26="","",INDEX('_Datos'!$G$7:$G$200,$P26))</f>
      </c>
      <c r="F26" s="206">
        <f>IF($P26="","",INDEX('_Datos'!$H$7:$H$200,$P26))</f>
      </c>
      <c r="G26" s="204">
        <f>IF($P26="","",INDEX('_Datos'!$J$7:$J$200,$P26))</f>
      </c>
      <c r="H26" s="208">
        <f>IF($P26="","",INDEX('_Datos'!$K$7:$K$200,$P26))</f>
      </c>
      <c r="I26" s="208">
        <f>IF($P26="","",INDEX('_Datos'!$S$7:$S$200,$P26))</f>
      </c>
      <c r="J26" s="208">
        <f>IF($P26="","",INDEX('_Datos'!$T$7:$T$200,$P26))</f>
      </c>
      <c r="K26" s="207">
        <f>IF($P26="","",INDEX('_Datos'!$V$7:$V$200,$P26))</f>
      </c>
      <c r="L26" s="208">
        <f>IF($P26="","",INDEX('_Datos'!$W$7:$W$200,$P26))</f>
      </c>
      <c r="M26" s="205">
        <f>IF($P26="","",INDEX('_Datos'!$AC$7:$AC$200,$P26))</f>
      </c>
      <c r="P26" s="202">
        <f>IFERROR(MATCH(LARGE('_Datos'!$AJ$7:$AJ$200,ROW()-7+1),'_Datos'!$AJ$7:$AJ$200,0),"")</f>
      </c>
    </row>
    <row r="27">
      <c r="B27" s="204">
        <f>IF($P27="","",INDEX('_Datos'!$AB$7:$AB$200,$P27))</f>
      </c>
      <c r="C27" s="204">
        <f>IF($P27="","",INDEX('_Datos'!$AE$7:$AE$200,$P27))</f>
      </c>
      <c r="D27" s="205">
        <f>IF($P27="","",INDEX('_Datos'!$F$7:$F$200,$P27))</f>
      </c>
      <c r="E27" s="205">
        <f>IF($P27="","",INDEX('_Datos'!$G$7:$G$200,$P27))</f>
      </c>
      <c r="F27" s="206">
        <f>IF($P27="","",INDEX('_Datos'!$H$7:$H$200,$P27))</f>
      </c>
      <c r="G27" s="204">
        <f>IF($P27="","",INDEX('_Datos'!$J$7:$J$200,$P27))</f>
      </c>
      <c r="H27" s="208">
        <f>IF($P27="","",INDEX('_Datos'!$K$7:$K$200,$P27))</f>
      </c>
      <c r="I27" s="208">
        <f>IF($P27="","",INDEX('_Datos'!$S$7:$S$200,$P27))</f>
      </c>
      <c r="J27" s="208">
        <f>IF($P27="","",INDEX('_Datos'!$T$7:$T$200,$P27))</f>
      </c>
      <c r="K27" s="207">
        <f>IF($P27="","",INDEX('_Datos'!$V$7:$V$200,$P27))</f>
      </c>
      <c r="L27" s="208">
        <f>IF($P27="","",INDEX('_Datos'!$W$7:$W$200,$P27))</f>
      </c>
      <c r="M27" s="205">
        <f>IF($P27="","",INDEX('_Datos'!$AC$7:$AC$200,$P27))</f>
      </c>
      <c r="P27" s="202">
        <f>IFERROR(MATCH(LARGE('_Datos'!$AJ$7:$AJ$200,ROW()-7+1),'_Datos'!$AJ$7:$AJ$200,0),"")</f>
      </c>
    </row>
    <row r="28">
      <c r="B28" s="204">
        <f>IF($P28="","",INDEX('_Datos'!$AB$7:$AB$200,$P28))</f>
      </c>
      <c r="C28" s="204">
        <f>IF($P28="","",INDEX('_Datos'!$AE$7:$AE$200,$P28))</f>
      </c>
      <c r="D28" s="205">
        <f>IF($P28="","",INDEX('_Datos'!$F$7:$F$200,$P28))</f>
      </c>
      <c r="E28" s="205">
        <f>IF($P28="","",INDEX('_Datos'!$G$7:$G$200,$P28))</f>
      </c>
      <c r="F28" s="206">
        <f>IF($P28="","",INDEX('_Datos'!$H$7:$H$200,$P28))</f>
      </c>
      <c r="G28" s="204">
        <f>IF($P28="","",INDEX('_Datos'!$J$7:$J$200,$P28))</f>
      </c>
      <c r="H28" s="208">
        <f>IF($P28="","",INDEX('_Datos'!$K$7:$K$200,$P28))</f>
      </c>
      <c r="I28" s="208">
        <f>IF($P28="","",INDEX('_Datos'!$S$7:$S$200,$P28))</f>
      </c>
      <c r="J28" s="208">
        <f>IF($P28="","",INDEX('_Datos'!$T$7:$T$200,$P28))</f>
      </c>
      <c r="K28" s="207">
        <f>IF($P28="","",INDEX('_Datos'!$V$7:$V$200,$P28))</f>
      </c>
      <c r="L28" s="208">
        <f>IF($P28="","",INDEX('_Datos'!$W$7:$W$200,$P28))</f>
      </c>
      <c r="M28" s="205">
        <f>IF($P28="","",INDEX('_Datos'!$AC$7:$AC$200,$P28))</f>
      </c>
      <c r="P28" s="202">
        <f>IFERROR(MATCH(LARGE('_Datos'!$AJ$7:$AJ$200,ROW()-7+1),'_Datos'!$AJ$7:$AJ$200,0),"")</f>
      </c>
    </row>
    <row r="29">
      <c r="B29" s="204">
        <f>IF($P29="","",INDEX('_Datos'!$AB$7:$AB$200,$P29))</f>
      </c>
      <c r="C29" s="204">
        <f>IF($P29="","",INDEX('_Datos'!$AE$7:$AE$200,$P29))</f>
      </c>
      <c r="D29" s="205">
        <f>IF($P29="","",INDEX('_Datos'!$F$7:$F$200,$P29))</f>
      </c>
      <c r="E29" s="205">
        <f>IF($P29="","",INDEX('_Datos'!$G$7:$G$200,$P29))</f>
      </c>
      <c r="F29" s="206">
        <f>IF($P29="","",INDEX('_Datos'!$H$7:$H$200,$P29))</f>
      </c>
      <c r="G29" s="204">
        <f>IF($P29="","",INDEX('_Datos'!$J$7:$J$200,$P29))</f>
      </c>
      <c r="H29" s="208">
        <f>IF($P29="","",INDEX('_Datos'!$K$7:$K$200,$P29))</f>
      </c>
      <c r="I29" s="208">
        <f>IF($P29="","",INDEX('_Datos'!$S$7:$S$200,$P29))</f>
      </c>
      <c r="J29" s="208">
        <f>IF($P29="","",INDEX('_Datos'!$T$7:$T$200,$P29))</f>
      </c>
      <c r="K29" s="207">
        <f>IF($P29="","",INDEX('_Datos'!$V$7:$V$200,$P29))</f>
      </c>
      <c r="L29" s="208">
        <f>IF($P29="","",INDEX('_Datos'!$W$7:$W$200,$P29))</f>
      </c>
      <c r="M29" s="205">
        <f>IF($P29="","",INDEX('_Datos'!$AC$7:$AC$200,$P29))</f>
      </c>
      <c r="P29" s="202">
        <f>IFERROR(MATCH(LARGE('_Datos'!$AJ$7:$AJ$200,ROW()-7+1),'_Datos'!$AJ$7:$AJ$200,0),"")</f>
      </c>
    </row>
    <row r="30">
      <c r="B30" s="204">
        <f>IF($P30="","",INDEX('_Datos'!$AB$7:$AB$200,$P30))</f>
      </c>
      <c r="C30" s="204">
        <f>IF($P30="","",INDEX('_Datos'!$AE$7:$AE$200,$P30))</f>
      </c>
      <c r="D30" s="205">
        <f>IF($P30="","",INDEX('_Datos'!$F$7:$F$200,$P30))</f>
      </c>
      <c r="E30" s="205">
        <f>IF($P30="","",INDEX('_Datos'!$G$7:$G$200,$P30))</f>
      </c>
      <c r="F30" s="206">
        <f>IF($P30="","",INDEX('_Datos'!$H$7:$H$200,$P30))</f>
      </c>
      <c r="G30" s="204">
        <f>IF($P30="","",INDEX('_Datos'!$J$7:$J$200,$P30))</f>
      </c>
      <c r="H30" s="208">
        <f>IF($P30="","",INDEX('_Datos'!$K$7:$K$200,$P30))</f>
      </c>
      <c r="I30" s="208">
        <f>IF($P30="","",INDEX('_Datos'!$S$7:$S$200,$P30))</f>
      </c>
      <c r="J30" s="208">
        <f>IF($P30="","",INDEX('_Datos'!$T$7:$T$200,$P30))</f>
      </c>
      <c r="K30" s="207">
        <f>IF($P30="","",INDEX('_Datos'!$V$7:$V$200,$P30))</f>
      </c>
      <c r="L30" s="208">
        <f>IF($P30="","",INDEX('_Datos'!$W$7:$W$200,$P30))</f>
      </c>
      <c r="M30" s="205">
        <f>IF($P30="","",INDEX('_Datos'!$AC$7:$AC$200,$P30))</f>
      </c>
      <c r="P30" s="202">
        <f>IFERROR(MATCH(LARGE('_Datos'!$AJ$7:$AJ$200,ROW()-7+1),'_Datos'!$AJ$7:$AJ$200,0),"")</f>
      </c>
    </row>
    <row r="31">
      <c r="B31" s="204">
        <f>IF($P31="","",INDEX('_Datos'!$AB$7:$AB$200,$P31))</f>
      </c>
      <c r="C31" s="204">
        <f>IF($P31="","",INDEX('_Datos'!$AE$7:$AE$200,$P31))</f>
      </c>
      <c r="D31" s="205">
        <f>IF($P31="","",INDEX('_Datos'!$F$7:$F$200,$P31))</f>
      </c>
      <c r="E31" s="205">
        <f>IF($P31="","",INDEX('_Datos'!$G$7:$G$200,$P31))</f>
      </c>
      <c r="F31" s="206">
        <f>IF($P31="","",INDEX('_Datos'!$H$7:$H$200,$P31))</f>
      </c>
      <c r="G31" s="204">
        <f>IF($P31="","",INDEX('_Datos'!$J$7:$J$200,$P31))</f>
      </c>
      <c r="H31" s="208">
        <f>IF($P31="","",INDEX('_Datos'!$K$7:$K$200,$P31))</f>
      </c>
      <c r="I31" s="208">
        <f>IF($P31="","",INDEX('_Datos'!$S$7:$S$200,$P31))</f>
      </c>
      <c r="J31" s="208">
        <f>IF($P31="","",INDEX('_Datos'!$T$7:$T$200,$P31))</f>
      </c>
      <c r="K31" s="207">
        <f>IF($P31="","",INDEX('_Datos'!$V$7:$V$200,$P31))</f>
      </c>
      <c r="L31" s="208">
        <f>IF($P31="","",INDEX('_Datos'!$W$7:$W$200,$P31))</f>
      </c>
      <c r="M31" s="205">
        <f>IF($P31="","",INDEX('_Datos'!$AC$7:$AC$200,$P31))</f>
      </c>
      <c r="P31" s="202">
        <f>IFERROR(MATCH(LARGE('_Datos'!$AJ$7:$AJ$200,ROW()-7+1),'_Datos'!$AJ$7:$AJ$200,0),"")</f>
      </c>
    </row>
    <row r="32">
      <c r="B32" s="204">
        <f>IF($P32="","",INDEX('_Datos'!$AB$7:$AB$200,$P32))</f>
      </c>
      <c r="C32" s="204">
        <f>IF($P32="","",INDEX('_Datos'!$AE$7:$AE$200,$P32))</f>
      </c>
      <c r="D32" s="205">
        <f>IF($P32="","",INDEX('_Datos'!$F$7:$F$200,$P32))</f>
      </c>
      <c r="E32" s="205">
        <f>IF($P32="","",INDEX('_Datos'!$G$7:$G$200,$P32))</f>
      </c>
      <c r="F32" s="206">
        <f>IF($P32="","",INDEX('_Datos'!$H$7:$H$200,$P32))</f>
      </c>
      <c r="G32" s="204">
        <f>IF($P32="","",INDEX('_Datos'!$J$7:$J$200,$P32))</f>
      </c>
      <c r="H32" s="208">
        <f>IF($P32="","",INDEX('_Datos'!$K$7:$K$200,$P32))</f>
      </c>
      <c r="I32" s="208">
        <f>IF($P32="","",INDEX('_Datos'!$S$7:$S$200,$P32))</f>
      </c>
      <c r="J32" s="208">
        <f>IF($P32="","",INDEX('_Datos'!$T$7:$T$200,$P32))</f>
      </c>
      <c r="K32" s="207">
        <f>IF($P32="","",INDEX('_Datos'!$V$7:$V$200,$P32))</f>
      </c>
      <c r="L32" s="208">
        <f>IF($P32="","",INDEX('_Datos'!$W$7:$W$200,$P32))</f>
      </c>
      <c r="M32" s="205">
        <f>IF($P32="","",INDEX('_Datos'!$AC$7:$AC$200,$P32))</f>
      </c>
      <c r="P32" s="202">
        <f>IFERROR(MATCH(LARGE('_Datos'!$AJ$7:$AJ$200,ROW()-7+1),'_Datos'!$AJ$7:$AJ$200,0),"")</f>
      </c>
    </row>
    <row r="33">
      <c r="B33" s="204">
        <f>IF($P33="","",INDEX('_Datos'!$AB$7:$AB$200,$P33))</f>
      </c>
      <c r="C33" s="204">
        <f>IF($P33="","",INDEX('_Datos'!$AE$7:$AE$200,$P33))</f>
      </c>
      <c r="D33" s="205">
        <f>IF($P33="","",INDEX('_Datos'!$F$7:$F$200,$P33))</f>
      </c>
      <c r="E33" s="205">
        <f>IF($P33="","",INDEX('_Datos'!$G$7:$G$200,$P33))</f>
      </c>
      <c r="F33" s="206">
        <f>IF($P33="","",INDEX('_Datos'!$H$7:$H$200,$P33))</f>
      </c>
      <c r="G33" s="204">
        <f>IF($P33="","",INDEX('_Datos'!$J$7:$J$200,$P33))</f>
      </c>
      <c r="H33" s="208">
        <f>IF($P33="","",INDEX('_Datos'!$K$7:$K$200,$P33))</f>
      </c>
      <c r="I33" s="208">
        <f>IF($P33="","",INDEX('_Datos'!$S$7:$S$200,$P33))</f>
      </c>
      <c r="J33" s="208">
        <f>IF($P33="","",INDEX('_Datos'!$T$7:$T$200,$P33))</f>
      </c>
      <c r="K33" s="207">
        <f>IF($P33="","",INDEX('_Datos'!$V$7:$V$200,$P33))</f>
      </c>
      <c r="L33" s="208">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6">
        <f>IF($P34="","",INDEX('_Datos'!$H$7:$H$200,$P34))</f>
      </c>
      <c r="G34" s="204">
        <f>IF($P34="","",INDEX('_Datos'!$J$7:$J$200,$P34))</f>
      </c>
      <c r="H34" s="208">
        <f>IF($P34="","",INDEX('_Datos'!$K$7:$K$200,$P34))</f>
      </c>
      <c r="I34" s="208">
        <f>IF($P34="","",INDEX('_Datos'!$S$7:$S$200,$P34))</f>
      </c>
      <c r="J34" s="208">
        <f>IF($P34="","",INDEX('_Datos'!$T$7:$T$200,$P34))</f>
      </c>
      <c r="K34" s="207">
        <f>IF($P34="","",INDEX('_Datos'!$V$7:$V$200,$P34))</f>
      </c>
      <c r="L34" s="208">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6">
        <f>IF($P35="","",INDEX('_Datos'!$H$7:$H$200,$P35))</f>
      </c>
      <c r="G35" s="204">
        <f>IF($P35="","",INDEX('_Datos'!$J$7:$J$200,$P35))</f>
      </c>
      <c r="H35" s="208">
        <f>IF($P35="","",INDEX('_Datos'!$K$7:$K$200,$P35))</f>
      </c>
      <c r="I35" s="208">
        <f>IF($P35="","",INDEX('_Datos'!$S$7:$S$200,$P35))</f>
      </c>
      <c r="J35" s="208">
        <f>IF($P35="","",INDEX('_Datos'!$T$7:$T$200,$P35))</f>
      </c>
      <c r="K35" s="207">
        <f>IF($P35="","",INDEX('_Datos'!$V$7:$V$200,$P35))</f>
      </c>
      <c r="L35" s="208">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6">
        <f>IF($P36="","",INDEX('_Datos'!$H$7:$H$200,$P36))</f>
      </c>
      <c r="G36" s="204">
        <f>IF($P36="","",INDEX('_Datos'!$J$7:$J$200,$P36))</f>
      </c>
      <c r="H36" s="208">
        <f>IF($P36="","",INDEX('_Datos'!$K$7:$K$200,$P36))</f>
      </c>
      <c r="I36" s="208">
        <f>IF($P36="","",INDEX('_Datos'!$S$7:$S$200,$P36))</f>
      </c>
      <c r="J36" s="208">
        <f>IF($P36="","",INDEX('_Datos'!$T$7:$T$200,$P36))</f>
      </c>
      <c r="K36" s="207">
        <f>IF($P36="","",INDEX('_Datos'!$V$7:$V$200,$P36))</f>
      </c>
      <c r="L36" s="208">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6">
        <f>IF($P37="","",INDEX('_Datos'!$H$7:$H$200,$P37))</f>
      </c>
      <c r="G37" s="204">
        <f>IF($P37="","",INDEX('_Datos'!$J$7:$J$200,$P37))</f>
      </c>
      <c r="H37" s="208">
        <f>IF($P37="","",INDEX('_Datos'!$K$7:$K$200,$P37))</f>
      </c>
      <c r="I37" s="208">
        <f>IF($P37="","",INDEX('_Datos'!$S$7:$S$200,$P37))</f>
      </c>
      <c r="J37" s="208">
        <f>IF($P37="","",INDEX('_Datos'!$T$7:$T$200,$P37))</f>
      </c>
      <c r="K37" s="207">
        <f>IF($P37="","",INDEX('_Datos'!$V$7:$V$200,$P37))</f>
      </c>
      <c r="L37" s="208">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6">
        <f>IF($P38="","",INDEX('_Datos'!$H$7:$H$200,$P38))</f>
      </c>
      <c r="G38" s="204">
        <f>IF($P38="","",INDEX('_Datos'!$J$7:$J$200,$P38))</f>
      </c>
      <c r="H38" s="208">
        <f>IF($P38="","",INDEX('_Datos'!$K$7:$K$200,$P38))</f>
      </c>
      <c r="I38" s="208">
        <f>IF($P38="","",INDEX('_Datos'!$S$7:$S$200,$P38))</f>
      </c>
      <c r="J38" s="208">
        <f>IF($P38="","",INDEX('_Datos'!$T$7:$T$200,$P38))</f>
      </c>
      <c r="K38" s="207">
        <f>IF($P38="","",INDEX('_Datos'!$V$7:$V$200,$P38))</f>
      </c>
      <c r="L38" s="208">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6">
        <f>IF($P39="","",INDEX('_Datos'!$H$7:$H$200,$P39))</f>
      </c>
      <c r="G39" s="204">
        <f>IF($P39="","",INDEX('_Datos'!$J$7:$J$200,$P39))</f>
      </c>
      <c r="H39" s="208">
        <f>IF($P39="","",INDEX('_Datos'!$K$7:$K$200,$P39))</f>
      </c>
      <c r="I39" s="208">
        <f>IF($P39="","",INDEX('_Datos'!$S$7:$S$200,$P39))</f>
      </c>
      <c r="J39" s="208">
        <f>IF($P39="","",INDEX('_Datos'!$T$7:$T$200,$P39))</f>
      </c>
      <c r="K39" s="207">
        <f>IF($P39="","",INDEX('_Datos'!$V$7:$V$200,$P39))</f>
      </c>
      <c r="L39" s="208">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6">
        <f>IF($P40="","",INDEX('_Datos'!$H$7:$H$200,$P40))</f>
      </c>
      <c r="G40" s="204">
        <f>IF($P40="","",INDEX('_Datos'!$J$7:$J$200,$P40))</f>
      </c>
      <c r="H40" s="208">
        <f>IF($P40="","",INDEX('_Datos'!$K$7:$K$200,$P40))</f>
      </c>
      <c r="I40" s="208">
        <f>IF($P40="","",INDEX('_Datos'!$S$7:$S$200,$P40))</f>
      </c>
      <c r="J40" s="208">
        <f>IF($P40="","",INDEX('_Datos'!$T$7:$T$200,$P40))</f>
      </c>
      <c r="K40" s="207">
        <f>IF($P40="","",INDEX('_Datos'!$V$7:$V$200,$P40))</f>
      </c>
      <c r="L40" s="208">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6">
        <f>IF($P41="","",INDEX('_Datos'!$H$7:$H$200,$P41))</f>
      </c>
      <c r="G41" s="204">
        <f>IF($P41="","",INDEX('_Datos'!$J$7:$J$200,$P41))</f>
      </c>
      <c r="H41" s="208">
        <f>IF($P41="","",INDEX('_Datos'!$K$7:$K$200,$P41))</f>
      </c>
      <c r="I41" s="208">
        <f>IF($P41="","",INDEX('_Datos'!$S$7:$S$200,$P41))</f>
      </c>
      <c r="J41" s="208">
        <f>IF($P41="","",INDEX('_Datos'!$T$7:$T$200,$P41))</f>
      </c>
      <c r="K41" s="207">
        <f>IF($P41="","",INDEX('_Datos'!$V$7:$V$200,$P41))</f>
      </c>
      <c r="L41" s="208">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6">
        <f>IF($P42="","",INDEX('_Datos'!$H$7:$H$200,$P42))</f>
      </c>
      <c r="G42" s="204">
        <f>IF($P42="","",INDEX('_Datos'!$J$7:$J$200,$P42))</f>
      </c>
      <c r="H42" s="208">
        <f>IF($P42="","",INDEX('_Datos'!$K$7:$K$200,$P42))</f>
      </c>
      <c r="I42" s="208">
        <f>IF($P42="","",INDEX('_Datos'!$S$7:$S$200,$P42))</f>
      </c>
      <c r="J42" s="208">
        <f>IF($P42="","",INDEX('_Datos'!$T$7:$T$200,$P42))</f>
      </c>
      <c r="K42" s="207">
        <f>IF($P42="","",INDEX('_Datos'!$V$7:$V$200,$P42))</f>
      </c>
      <c r="L42" s="208">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6">
        <f>IF($P43="","",INDEX('_Datos'!$H$7:$H$200,$P43))</f>
      </c>
      <c r="G43" s="204">
        <f>IF($P43="","",INDEX('_Datos'!$J$7:$J$200,$P43))</f>
      </c>
      <c r="H43" s="208">
        <f>IF($P43="","",INDEX('_Datos'!$K$7:$K$200,$P43))</f>
      </c>
      <c r="I43" s="208">
        <f>IF($P43="","",INDEX('_Datos'!$S$7:$S$200,$P43))</f>
      </c>
      <c r="J43" s="208">
        <f>IF($P43="","",INDEX('_Datos'!$T$7:$T$200,$P43))</f>
      </c>
      <c r="K43" s="207">
        <f>IF($P43="","",INDEX('_Datos'!$V$7:$V$200,$P43))</f>
      </c>
      <c r="L43" s="208">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6">
        <f>IF($P44="","",INDEX('_Datos'!$H$7:$H$200,$P44))</f>
      </c>
      <c r="G44" s="204">
        <f>IF($P44="","",INDEX('_Datos'!$J$7:$J$200,$P44))</f>
      </c>
      <c r="H44" s="208">
        <f>IF($P44="","",INDEX('_Datos'!$K$7:$K$200,$P44))</f>
      </c>
      <c r="I44" s="208">
        <f>IF($P44="","",INDEX('_Datos'!$S$7:$S$200,$P44))</f>
      </c>
      <c r="J44" s="208">
        <f>IF($P44="","",INDEX('_Datos'!$T$7:$T$200,$P44))</f>
      </c>
      <c r="K44" s="207">
        <f>IF($P44="","",INDEX('_Datos'!$V$7:$V$200,$P44))</f>
      </c>
      <c r="L44" s="208">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6">
        <f>IF($P45="","",INDEX('_Datos'!$H$7:$H$200,$P45))</f>
      </c>
      <c r="G45" s="204">
        <f>IF($P45="","",INDEX('_Datos'!$J$7:$J$200,$P45))</f>
      </c>
      <c r="H45" s="208">
        <f>IF($P45="","",INDEX('_Datos'!$K$7:$K$200,$P45))</f>
      </c>
      <c r="I45" s="208">
        <f>IF($P45="","",INDEX('_Datos'!$S$7:$S$200,$P45))</f>
      </c>
      <c r="J45" s="208">
        <f>IF($P45="","",INDEX('_Datos'!$T$7:$T$200,$P45))</f>
      </c>
      <c r="K45" s="207">
        <f>IF($P45="","",INDEX('_Datos'!$V$7:$V$200,$P45))</f>
      </c>
      <c r="L45" s="208">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6">
        <f>IF($P46="","",INDEX('_Datos'!$H$7:$H$200,$P46))</f>
      </c>
      <c r="G46" s="204">
        <f>IF($P46="","",INDEX('_Datos'!$J$7:$J$200,$P46))</f>
      </c>
      <c r="H46" s="208">
        <f>IF($P46="","",INDEX('_Datos'!$K$7:$K$200,$P46))</f>
      </c>
      <c r="I46" s="208">
        <f>IF($P46="","",INDEX('_Datos'!$S$7:$S$200,$P46))</f>
      </c>
      <c r="J46" s="208">
        <f>IF($P46="","",INDEX('_Datos'!$T$7:$T$200,$P46))</f>
      </c>
      <c r="K46" s="207">
        <f>IF($P46="","",INDEX('_Datos'!$V$7:$V$200,$P46))</f>
      </c>
      <c r="L46" s="208">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6">
        <f>IF($P47="","",INDEX('_Datos'!$H$7:$H$200,$P47))</f>
      </c>
      <c r="G47" s="204">
        <f>IF($P47="","",INDEX('_Datos'!$J$7:$J$200,$P47))</f>
      </c>
      <c r="H47" s="208">
        <f>IF($P47="","",INDEX('_Datos'!$K$7:$K$200,$P47))</f>
      </c>
      <c r="I47" s="208">
        <f>IF($P47="","",INDEX('_Datos'!$S$7:$S$200,$P47))</f>
      </c>
      <c r="J47" s="208">
        <f>IF($P47="","",INDEX('_Datos'!$T$7:$T$200,$P47))</f>
      </c>
      <c r="K47" s="207">
        <f>IF($P47="","",INDEX('_Datos'!$V$7:$V$200,$P47))</f>
      </c>
      <c r="L47" s="208">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6">
        <f>IF($P48="","",INDEX('_Datos'!$H$7:$H$200,$P48))</f>
      </c>
      <c r="G48" s="204">
        <f>IF($P48="","",INDEX('_Datos'!$J$7:$J$200,$P48))</f>
      </c>
      <c r="H48" s="208">
        <f>IF($P48="","",INDEX('_Datos'!$K$7:$K$200,$P48))</f>
      </c>
      <c r="I48" s="208">
        <f>IF($P48="","",INDEX('_Datos'!$S$7:$S$200,$P48))</f>
      </c>
      <c r="J48" s="208">
        <f>IF($P48="","",INDEX('_Datos'!$T$7:$T$200,$P48))</f>
      </c>
      <c r="K48" s="207">
        <f>IF($P48="","",INDEX('_Datos'!$V$7:$V$200,$P48))</f>
      </c>
      <c r="L48" s="208">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6">
        <f>IF($P49="","",INDEX('_Datos'!$H$7:$H$200,$P49))</f>
      </c>
      <c r="G49" s="204">
        <f>IF($P49="","",INDEX('_Datos'!$J$7:$J$200,$P49))</f>
      </c>
      <c r="H49" s="208">
        <f>IF($P49="","",INDEX('_Datos'!$K$7:$K$200,$P49))</f>
      </c>
      <c r="I49" s="208">
        <f>IF($P49="","",INDEX('_Datos'!$S$7:$S$200,$P49))</f>
      </c>
      <c r="J49" s="208">
        <f>IF($P49="","",INDEX('_Datos'!$T$7:$T$200,$P49))</f>
      </c>
      <c r="K49" s="207">
        <f>IF($P49="","",INDEX('_Datos'!$V$7:$V$200,$P49))</f>
      </c>
      <c r="L49" s="208">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6">
        <f>IF($P50="","",INDEX('_Datos'!$H$7:$H$200,$P50))</f>
      </c>
      <c r="G50" s="204">
        <f>IF($P50="","",INDEX('_Datos'!$J$7:$J$200,$P50))</f>
      </c>
      <c r="H50" s="208">
        <f>IF($P50="","",INDEX('_Datos'!$K$7:$K$200,$P50))</f>
      </c>
      <c r="I50" s="208">
        <f>IF($P50="","",INDEX('_Datos'!$S$7:$S$200,$P50))</f>
      </c>
      <c r="J50" s="208">
        <f>IF($P50="","",INDEX('_Datos'!$T$7:$T$200,$P50))</f>
      </c>
      <c r="K50" s="207">
        <f>IF($P50="","",INDEX('_Datos'!$V$7:$V$200,$P50))</f>
      </c>
      <c r="L50" s="208">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6">
        <f>IF($P51="","",INDEX('_Datos'!$H$7:$H$200,$P51))</f>
      </c>
      <c r="G51" s="204">
        <f>IF($P51="","",INDEX('_Datos'!$J$7:$J$200,$P51))</f>
      </c>
      <c r="H51" s="208">
        <f>IF($P51="","",INDEX('_Datos'!$K$7:$K$200,$P51))</f>
      </c>
      <c r="I51" s="208">
        <f>IF($P51="","",INDEX('_Datos'!$S$7:$S$200,$P51))</f>
      </c>
      <c r="J51" s="208">
        <f>IF($P51="","",INDEX('_Datos'!$T$7:$T$200,$P51))</f>
      </c>
      <c r="K51" s="207">
        <f>IF($P51="","",INDEX('_Datos'!$V$7:$V$200,$P51))</f>
      </c>
      <c r="L51" s="208">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6">
        <f>IF($P52="","",INDEX('_Datos'!$H$7:$H$200,$P52))</f>
      </c>
      <c r="G52" s="204">
        <f>IF($P52="","",INDEX('_Datos'!$J$7:$J$200,$P52))</f>
      </c>
      <c r="H52" s="208">
        <f>IF($P52="","",INDEX('_Datos'!$K$7:$K$200,$P52))</f>
      </c>
      <c r="I52" s="208">
        <f>IF($P52="","",INDEX('_Datos'!$S$7:$S$200,$P52))</f>
      </c>
      <c r="J52" s="208">
        <f>IF($P52="","",INDEX('_Datos'!$T$7:$T$200,$P52))</f>
      </c>
      <c r="K52" s="207">
        <f>IF($P52="","",INDEX('_Datos'!$V$7:$V$200,$P52))</f>
      </c>
      <c r="L52" s="208">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6">
        <f>IF($P53="","",INDEX('_Datos'!$H$7:$H$200,$P53))</f>
      </c>
      <c r="G53" s="204">
        <f>IF($P53="","",INDEX('_Datos'!$J$7:$J$200,$P53))</f>
      </c>
      <c r="H53" s="208">
        <f>IF($P53="","",INDEX('_Datos'!$K$7:$K$200,$P53))</f>
      </c>
      <c r="I53" s="208">
        <f>IF($P53="","",INDEX('_Datos'!$S$7:$S$200,$P53))</f>
      </c>
      <c r="J53" s="208">
        <f>IF($P53="","",INDEX('_Datos'!$T$7:$T$200,$P53))</f>
      </c>
      <c r="K53" s="207">
        <f>IF($P53="","",INDEX('_Datos'!$V$7:$V$200,$P53))</f>
      </c>
      <c r="L53" s="208">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6">
        <f>IF($P54="","",INDEX('_Datos'!$H$7:$H$200,$P54))</f>
      </c>
      <c r="G54" s="204">
        <f>IF($P54="","",INDEX('_Datos'!$J$7:$J$200,$P54))</f>
      </c>
      <c r="H54" s="208">
        <f>IF($P54="","",INDEX('_Datos'!$K$7:$K$200,$P54))</f>
      </c>
      <c r="I54" s="208">
        <f>IF($P54="","",INDEX('_Datos'!$S$7:$S$200,$P54))</f>
      </c>
      <c r="J54" s="208">
        <f>IF($P54="","",INDEX('_Datos'!$T$7:$T$200,$P54))</f>
      </c>
      <c r="K54" s="207">
        <f>IF($P54="","",INDEX('_Datos'!$V$7:$V$200,$P54))</f>
      </c>
      <c r="L54" s="208">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6">
        <f>IF($P55="","",INDEX('_Datos'!$H$7:$H$200,$P55))</f>
      </c>
      <c r="G55" s="204">
        <f>IF($P55="","",INDEX('_Datos'!$J$7:$J$200,$P55))</f>
      </c>
      <c r="H55" s="208">
        <f>IF($P55="","",INDEX('_Datos'!$K$7:$K$200,$P55))</f>
      </c>
      <c r="I55" s="208">
        <f>IF($P55="","",INDEX('_Datos'!$S$7:$S$200,$P55))</f>
      </c>
      <c r="J55" s="208">
        <f>IF($P55="","",INDEX('_Datos'!$T$7:$T$200,$P55))</f>
      </c>
      <c r="K55" s="207">
        <f>IF($P55="","",INDEX('_Datos'!$V$7:$V$200,$P55))</f>
      </c>
      <c r="L55" s="208">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6">
        <f>IF($P56="","",INDEX('_Datos'!$H$7:$H$200,$P56))</f>
      </c>
      <c r="G56" s="204">
        <f>IF($P56="","",INDEX('_Datos'!$J$7:$J$200,$P56))</f>
      </c>
      <c r="H56" s="208">
        <f>IF($P56="","",INDEX('_Datos'!$K$7:$K$200,$P56))</f>
      </c>
      <c r="I56" s="208">
        <f>IF($P56="","",INDEX('_Datos'!$S$7:$S$200,$P56))</f>
      </c>
      <c r="J56" s="208">
        <f>IF($P56="","",INDEX('_Datos'!$T$7:$T$200,$P56))</f>
      </c>
      <c r="K56" s="207">
        <f>IF($P56="","",INDEX('_Datos'!$V$7:$V$200,$P56))</f>
      </c>
      <c r="L56" s="208">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6">
        <f>IF($P57="","",INDEX('_Datos'!$H$7:$H$200,$P57))</f>
      </c>
      <c r="G57" s="204">
        <f>IF($P57="","",INDEX('_Datos'!$J$7:$J$200,$P57))</f>
      </c>
      <c r="H57" s="208">
        <f>IF($P57="","",INDEX('_Datos'!$K$7:$K$200,$P57))</f>
      </c>
      <c r="I57" s="208">
        <f>IF($P57="","",INDEX('_Datos'!$S$7:$S$200,$P57))</f>
      </c>
      <c r="J57" s="208">
        <f>IF($P57="","",INDEX('_Datos'!$T$7:$T$200,$P57))</f>
      </c>
      <c r="K57" s="207">
        <f>IF($P57="","",INDEX('_Datos'!$V$7:$V$200,$P57))</f>
      </c>
      <c r="L57" s="208">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6">
        <f>IF($P58="","",INDEX('_Datos'!$H$7:$H$200,$P58))</f>
      </c>
      <c r="G58" s="204">
        <f>IF($P58="","",INDEX('_Datos'!$J$7:$J$200,$P58))</f>
      </c>
      <c r="H58" s="208">
        <f>IF($P58="","",INDEX('_Datos'!$K$7:$K$200,$P58))</f>
      </c>
      <c r="I58" s="208">
        <f>IF($P58="","",INDEX('_Datos'!$S$7:$S$200,$P58))</f>
      </c>
      <c r="J58" s="208">
        <f>IF($P58="","",INDEX('_Datos'!$T$7:$T$200,$P58))</f>
      </c>
      <c r="K58" s="207">
        <f>IF($P58="","",INDEX('_Datos'!$V$7:$V$200,$P58))</f>
      </c>
      <c r="L58" s="208">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6">
        <f>IF($P59="","",INDEX('_Datos'!$H$7:$H$200,$P59))</f>
      </c>
      <c r="G59" s="204">
        <f>IF($P59="","",INDEX('_Datos'!$J$7:$J$200,$P59))</f>
      </c>
      <c r="H59" s="208">
        <f>IF($P59="","",INDEX('_Datos'!$K$7:$K$200,$P59))</f>
      </c>
      <c r="I59" s="208">
        <f>IF($P59="","",INDEX('_Datos'!$S$7:$S$200,$P59))</f>
      </c>
      <c r="J59" s="208">
        <f>IF($P59="","",INDEX('_Datos'!$T$7:$T$200,$P59))</f>
      </c>
      <c r="K59" s="207">
        <f>IF($P59="","",INDEX('_Datos'!$V$7:$V$200,$P59))</f>
      </c>
      <c r="L59" s="208">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6">
        <f>IF($P60="","",INDEX('_Datos'!$H$7:$H$200,$P60))</f>
      </c>
      <c r="G60" s="204">
        <f>IF($P60="","",INDEX('_Datos'!$J$7:$J$200,$P60))</f>
      </c>
      <c r="H60" s="208">
        <f>IF($P60="","",INDEX('_Datos'!$K$7:$K$200,$P60))</f>
      </c>
      <c r="I60" s="208">
        <f>IF($P60="","",INDEX('_Datos'!$S$7:$S$200,$P60))</f>
      </c>
      <c r="J60" s="208">
        <f>IF($P60="","",INDEX('_Datos'!$T$7:$T$200,$P60))</f>
      </c>
      <c r="K60" s="207">
        <f>IF($P60="","",INDEX('_Datos'!$V$7:$V$200,$P60))</f>
      </c>
      <c r="L60" s="208">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6">
        <f>IF($P61="","",INDEX('_Datos'!$H$7:$H$200,$P61))</f>
      </c>
      <c r="G61" s="204">
        <f>IF($P61="","",INDEX('_Datos'!$J$7:$J$200,$P61))</f>
      </c>
      <c r="H61" s="208">
        <f>IF($P61="","",INDEX('_Datos'!$K$7:$K$200,$P61))</f>
      </c>
      <c r="I61" s="208">
        <f>IF($P61="","",INDEX('_Datos'!$S$7:$S$200,$P61))</f>
      </c>
      <c r="J61" s="208">
        <f>IF($P61="","",INDEX('_Datos'!$T$7:$T$200,$P61))</f>
      </c>
      <c r="K61" s="207">
        <f>IF($P61="","",INDEX('_Datos'!$V$7:$V$200,$P61))</f>
      </c>
      <c r="L61" s="208">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6">
        <f>IF($P62="","",INDEX('_Datos'!$H$7:$H$200,$P62))</f>
      </c>
      <c r="G62" s="204">
        <f>IF($P62="","",INDEX('_Datos'!$J$7:$J$200,$P62))</f>
      </c>
      <c r="H62" s="208">
        <f>IF($P62="","",INDEX('_Datos'!$K$7:$K$200,$P62))</f>
      </c>
      <c r="I62" s="208">
        <f>IF($P62="","",INDEX('_Datos'!$S$7:$S$200,$P62))</f>
      </c>
      <c r="J62" s="208">
        <f>IF($P62="","",INDEX('_Datos'!$T$7:$T$200,$P62))</f>
      </c>
      <c r="K62" s="207">
        <f>IF($P62="","",INDEX('_Datos'!$V$7:$V$200,$P62))</f>
      </c>
      <c r="L62" s="208">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6">
        <f>IF($P63="","",INDEX('_Datos'!$H$7:$H$200,$P63))</f>
      </c>
      <c r="G63" s="204">
        <f>IF($P63="","",INDEX('_Datos'!$J$7:$J$200,$P63))</f>
      </c>
      <c r="H63" s="208">
        <f>IF($P63="","",INDEX('_Datos'!$K$7:$K$200,$P63))</f>
      </c>
      <c r="I63" s="208">
        <f>IF($P63="","",INDEX('_Datos'!$S$7:$S$200,$P63))</f>
      </c>
      <c r="J63" s="208">
        <f>IF($P63="","",INDEX('_Datos'!$T$7:$T$200,$P63))</f>
      </c>
      <c r="K63" s="207">
        <f>IF($P63="","",INDEX('_Datos'!$V$7:$V$200,$P63))</f>
      </c>
      <c r="L63" s="208">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6">
        <f>IF($P64="","",INDEX('_Datos'!$H$7:$H$200,$P64))</f>
      </c>
      <c r="G64" s="204">
        <f>IF($P64="","",INDEX('_Datos'!$J$7:$J$200,$P64))</f>
      </c>
      <c r="H64" s="208">
        <f>IF($P64="","",INDEX('_Datos'!$K$7:$K$200,$P64))</f>
      </c>
      <c r="I64" s="208">
        <f>IF($P64="","",INDEX('_Datos'!$S$7:$S$200,$P64))</f>
      </c>
      <c r="J64" s="208">
        <f>IF($P64="","",INDEX('_Datos'!$T$7:$T$200,$P64))</f>
      </c>
      <c r="K64" s="207">
        <f>IF($P64="","",INDEX('_Datos'!$V$7:$V$200,$P64))</f>
      </c>
      <c r="L64" s="208">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6">
        <f>IF($P65="","",INDEX('_Datos'!$H$7:$H$200,$P65))</f>
      </c>
      <c r="G65" s="204">
        <f>IF($P65="","",INDEX('_Datos'!$J$7:$J$200,$P65))</f>
      </c>
      <c r="H65" s="208">
        <f>IF($P65="","",INDEX('_Datos'!$K$7:$K$200,$P65))</f>
      </c>
      <c r="I65" s="208">
        <f>IF($P65="","",INDEX('_Datos'!$S$7:$S$200,$P65))</f>
      </c>
      <c r="J65" s="208">
        <f>IF($P65="","",INDEX('_Datos'!$T$7:$T$200,$P65))</f>
      </c>
      <c r="K65" s="207">
        <f>IF($P65="","",INDEX('_Datos'!$V$7:$V$200,$P65))</f>
      </c>
      <c r="L65" s="208">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6">
        <f>IF($P66="","",INDEX('_Datos'!$H$7:$H$200,$P66))</f>
      </c>
      <c r="G66" s="204">
        <f>IF($P66="","",INDEX('_Datos'!$J$7:$J$200,$P66))</f>
      </c>
      <c r="H66" s="208">
        <f>IF($P66="","",INDEX('_Datos'!$K$7:$K$200,$P66))</f>
      </c>
      <c r="I66" s="208">
        <f>IF($P66="","",INDEX('_Datos'!$S$7:$S$200,$P66))</f>
      </c>
      <c r="J66" s="208">
        <f>IF($P66="","",INDEX('_Datos'!$T$7:$T$200,$P66))</f>
      </c>
      <c r="K66" s="207">
        <f>IF($P66="","",INDEX('_Datos'!$V$7:$V$200,$P66))</f>
      </c>
      <c r="L66" s="208">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6">
        <f>IF($P67="","",INDEX('_Datos'!$H$7:$H$200,$P67))</f>
      </c>
      <c r="G67" s="204">
        <f>IF($P67="","",INDEX('_Datos'!$J$7:$J$200,$P67))</f>
      </c>
      <c r="H67" s="208">
        <f>IF($P67="","",INDEX('_Datos'!$K$7:$K$200,$P67))</f>
      </c>
      <c r="I67" s="208">
        <f>IF($P67="","",INDEX('_Datos'!$S$7:$S$200,$P67))</f>
      </c>
      <c r="J67" s="208">
        <f>IF($P67="","",INDEX('_Datos'!$T$7:$T$200,$P67))</f>
      </c>
      <c r="K67" s="207">
        <f>IF($P67="","",INDEX('_Datos'!$V$7:$V$200,$P67))</f>
      </c>
      <c r="L67" s="208">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6">
        <f>IF($P68="","",INDEX('_Datos'!$H$7:$H$200,$P68))</f>
      </c>
      <c r="G68" s="204">
        <f>IF($P68="","",INDEX('_Datos'!$J$7:$J$200,$P68))</f>
      </c>
      <c r="H68" s="208">
        <f>IF($P68="","",INDEX('_Datos'!$K$7:$K$200,$P68))</f>
      </c>
      <c r="I68" s="208">
        <f>IF($P68="","",INDEX('_Datos'!$S$7:$S$200,$P68))</f>
      </c>
      <c r="J68" s="208">
        <f>IF($P68="","",INDEX('_Datos'!$T$7:$T$200,$P68))</f>
      </c>
      <c r="K68" s="207">
        <f>IF($P68="","",INDEX('_Datos'!$V$7:$V$200,$P68))</f>
      </c>
      <c r="L68" s="208">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6">
        <f>IF($P69="","",INDEX('_Datos'!$H$7:$H$200,$P69))</f>
      </c>
      <c r="G69" s="204">
        <f>IF($P69="","",INDEX('_Datos'!$J$7:$J$200,$P69))</f>
      </c>
      <c r="H69" s="208">
        <f>IF($P69="","",INDEX('_Datos'!$K$7:$K$200,$P69))</f>
      </c>
      <c r="I69" s="208">
        <f>IF($P69="","",INDEX('_Datos'!$S$7:$S$200,$P69))</f>
      </c>
      <c r="J69" s="208">
        <f>IF($P69="","",INDEX('_Datos'!$T$7:$T$200,$P69))</f>
      </c>
      <c r="K69" s="207">
        <f>IF($P69="","",INDEX('_Datos'!$V$7:$V$200,$P69))</f>
      </c>
      <c r="L69" s="208">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6">
        <f>IF($P70="","",INDEX('_Datos'!$H$7:$H$200,$P70))</f>
      </c>
      <c r="G70" s="204">
        <f>IF($P70="","",INDEX('_Datos'!$J$7:$J$200,$P70))</f>
      </c>
      <c r="H70" s="208">
        <f>IF($P70="","",INDEX('_Datos'!$K$7:$K$200,$P70))</f>
      </c>
      <c r="I70" s="208">
        <f>IF($P70="","",INDEX('_Datos'!$S$7:$S$200,$P70))</f>
      </c>
      <c r="J70" s="208">
        <f>IF($P70="","",INDEX('_Datos'!$T$7:$T$200,$P70))</f>
      </c>
      <c r="K70" s="207">
        <f>IF($P70="","",INDEX('_Datos'!$V$7:$V$200,$P70))</f>
      </c>
      <c r="L70" s="208">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6">
        <f>IF($P71="","",INDEX('_Datos'!$H$7:$H$200,$P71))</f>
      </c>
      <c r="G71" s="204">
        <f>IF($P71="","",INDEX('_Datos'!$J$7:$J$200,$P71))</f>
      </c>
      <c r="H71" s="208">
        <f>IF($P71="","",INDEX('_Datos'!$K$7:$K$200,$P71))</f>
      </c>
      <c r="I71" s="208">
        <f>IF($P71="","",INDEX('_Datos'!$S$7:$S$200,$P71))</f>
      </c>
      <c r="J71" s="208">
        <f>IF($P71="","",INDEX('_Datos'!$T$7:$T$200,$P71))</f>
      </c>
      <c r="K71" s="207">
        <f>IF($P71="","",INDEX('_Datos'!$V$7:$V$200,$P71))</f>
      </c>
      <c r="L71" s="208">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6">
        <f>IF($P72="","",INDEX('_Datos'!$H$7:$H$200,$P72))</f>
      </c>
      <c r="G72" s="204">
        <f>IF($P72="","",INDEX('_Datos'!$J$7:$J$200,$P72))</f>
      </c>
      <c r="H72" s="208">
        <f>IF($P72="","",INDEX('_Datos'!$K$7:$K$200,$P72))</f>
      </c>
      <c r="I72" s="208">
        <f>IF($P72="","",INDEX('_Datos'!$S$7:$S$200,$P72))</f>
      </c>
      <c r="J72" s="208">
        <f>IF($P72="","",INDEX('_Datos'!$T$7:$T$200,$P72))</f>
      </c>
      <c r="K72" s="207">
        <f>IF($P72="","",INDEX('_Datos'!$V$7:$V$200,$P72))</f>
      </c>
      <c r="L72" s="208">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6">
        <f>IF($P73="","",INDEX('_Datos'!$H$7:$H$200,$P73))</f>
      </c>
      <c r="G73" s="204">
        <f>IF($P73="","",INDEX('_Datos'!$J$7:$J$200,$P73))</f>
      </c>
      <c r="H73" s="208">
        <f>IF($P73="","",INDEX('_Datos'!$K$7:$K$200,$P73))</f>
      </c>
      <c r="I73" s="208">
        <f>IF($P73="","",INDEX('_Datos'!$S$7:$S$200,$P73))</f>
      </c>
      <c r="J73" s="208">
        <f>IF($P73="","",INDEX('_Datos'!$T$7:$T$200,$P73))</f>
      </c>
      <c r="K73" s="207">
        <f>IF($P73="","",INDEX('_Datos'!$V$7:$V$200,$P73))</f>
      </c>
      <c r="L73" s="208">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6">
        <f>IF($P74="","",INDEX('_Datos'!$H$7:$H$200,$P74))</f>
      </c>
      <c r="G74" s="204">
        <f>IF($P74="","",INDEX('_Datos'!$J$7:$J$200,$P74))</f>
      </c>
      <c r="H74" s="208">
        <f>IF($P74="","",INDEX('_Datos'!$K$7:$K$200,$P74))</f>
      </c>
      <c r="I74" s="208">
        <f>IF($P74="","",INDEX('_Datos'!$S$7:$S$200,$P74))</f>
      </c>
      <c r="J74" s="208">
        <f>IF($P74="","",INDEX('_Datos'!$T$7:$T$200,$P74))</f>
      </c>
      <c r="K74" s="207">
        <f>IF($P74="","",INDEX('_Datos'!$V$7:$V$200,$P74))</f>
      </c>
      <c r="L74" s="208">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6">
        <f>IF($P75="","",INDEX('_Datos'!$H$7:$H$200,$P75))</f>
      </c>
      <c r="G75" s="204">
        <f>IF($P75="","",INDEX('_Datos'!$J$7:$J$200,$P75))</f>
      </c>
      <c r="H75" s="208">
        <f>IF($P75="","",INDEX('_Datos'!$K$7:$K$200,$P75))</f>
      </c>
      <c r="I75" s="208">
        <f>IF($P75="","",INDEX('_Datos'!$S$7:$S$200,$P75))</f>
      </c>
      <c r="J75" s="208">
        <f>IF($P75="","",INDEX('_Datos'!$T$7:$T$200,$P75))</f>
      </c>
      <c r="K75" s="207">
        <f>IF($P75="","",INDEX('_Datos'!$V$7:$V$200,$P75))</f>
      </c>
      <c r="L75" s="208">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6">
        <f>IF($P76="","",INDEX('_Datos'!$H$7:$H$200,$P76))</f>
      </c>
      <c r="G76" s="204">
        <f>IF($P76="","",INDEX('_Datos'!$J$7:$J$200,$P76))</f>
      </c>
      <c r="H76" s="208">
        <f>IF($P76="","",INDEX('_Datos'!$K$7:$K$200,$P76))</f>
      </c>
      <c r="I76" s="208">
        <f>IF($P76="","",INDEX('_Datos'!$S$7:$S$200,$P76))</f>
      </c>
      <c r="J76" s="208">
        <f>IF($P76="","",INDEX('_Datos'!$T$7:$T$200,$P76))</f>
      </c>
      <c r="K76" s="207">
        <f>IF($P76="","",INDEX('_Datos'!$V$7:$V$200,$P76))</f>
      </c>
      <c r="L76" s="208">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6">
        <f>IF($P77="","",INDEX('_Datos'!$H$7:$H$200,$P77))</f>
      </c>
      <c r="G77" s="204">
        <f>IF($P77="","",INDEX('_Datos'!$J$7:$J$200,$P77))</f>
      </c>
      <c r="H77" s="208">
        <f>IF($P77="","",INDEX('_Datos'!$K$7:$K$200,$P77))</f>
      </c>
      <c r="I77" s="208">
        <f>IF($P77="","",INDEX('_Datos'!$S$7:$S$200,$P77))</f>
      </c>
      <c r="J77" s="208">
        <f>IF($P77="","",INDEX('_Datos'!$T$7:$T$200,$P77))</f>
      </c>
      <c r="K77" s="207">
        <f>IF($P77="","",INDEX('_Datos'!$V$7:$V$200,$P77))</f>
      </c>
      <c r="L77" s="208">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6">
        <f>IF($P78="","",INDEX('_Datos'!$H$7:$H$200,$P78))</f>
      </c>
      <c r="G78" s="204">
        <f>IF($P78="","",INDEX('_Datos'!$J$7:$J$200,$P78))</f>
      </c>
      <c r="H78" s="208">
        <f>IF($P78="","",INDEX('_Datos'!$K$7:$K$200,$P78))</f>
      </c>
      <c r="I78" s="208">
        <f>IF($P78="","",INDEX('_Datos'!$S$7:$S$200,$P78))</f>
      </c>
      <c r="J78" s="208">
        <f>IF($P78="","",INDEX('_Datos'!$T$7:$T$200,$P78))</f>
      </c>
      <c r="K78" s="207">
        <f>IF($P78="","",INDEX('_Datos'!$V$7:$V$200,$P78))</f>
      </c>
      <c r="L78" s="208">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6">
        <f>IF($P79="","",INDEX('_Datos'!$H$7:$H$200,$P79))</f>
      </c>
      <c r="G79" s="204">
        <f>IF($P79="","",INDEX('_Datos'!$J$7:$J$200,$P79))</f>
      </c>
      <c r="H79" s="208">
        <f>IF($P79="","",INDEX('_Datos'!$K$7:$K$200,$P79))</f>
      </c>
      <c r="I79" s="208">
        <f>IF($P79="","",INDEX('_Datos'!$S$7:$S$200,$P79))</f>
      </c>
      <c r="J79" s="208">
        <f>IF($P79="","",INDEX('_Datos'!$T$7:$T$200,$P79))</f>
      </c>
      <c r="K79" s="207">
        <f>IF($P79="","",INDEX('_Datos'!$V$7:$V$200,$P79))</f>
      </c>
      <c r="L79" s="208">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6">
        <f>IF($P80="","",INDEX('_Datos'!$H$7:$H$200,$P80))</f>
      </c>
      <c r="G80" s="204">
        <f>IF($P80="","",INDEX('_Datos'!$J$7:$J$200,$P80))</f>
      </c>
      <c r="H80" s="208">
        <f>IF($P80="","",INDEX('_Datos'!$K$7:$K$200,$P80))</f>
      </c>
      <c r="I80" s="208">
        <f>IF($P80="","",INDEX('_Datos'!$S$7:$S$200,$P80))</f>
      </c>
      <c r="J80" s="208">
        <f>IF($P80="","",INDEX('_Datos'!$T$7:$T$200,$P80))</f>
      </c>
      <c r="K80" s="207">
        <f>IF($P80="","",INDEX('_Datos'!$V$7:$V$200,$P80))</f>
      </c>
      <c r="L80" s="208">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6">
        <f>IF($P81="","",INDEX('_Datos'!$H$7:$H$200,$P81))</f>
      </c>
      <c r="G81" s="204">
        <f>IF($P81="","",INDEX('_Datos'!$J$7:$J$200,$P81))</f>
      </c>
      <c r="H81" s="208">
        <f>IF($P81="","",INDEX('_Datos'!$K$7:$K$200,$P81))</f>
      </c>
      <c r="I81" s="208">
        <f>IF($P81="","",INDEX('_Datos'!$S$7:$S$200,$P81))</f>
      </c>
      <c r="J81" s="208">
        <f>IF($P81="","",INDEX('_Datos'!$T$7:$T$200,$P81))</f>
      </c>
      <c r="K81" s="207">
        <f>IF($P81="","",INDEX('_Datos'!$V$7:$V$200,$P81))</f>
      </c>
      <c r="L81" s="208">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6">
        <f>IF($P82="","",INDEX('_Datos'!$H$7:$H$200,$P82))</f>
      </c>
      <c r="G82" s="204">
        <f>IF($P82="","",INDEX('_Datos'!$J$7:$J$200,$P82))</f>
      </c>
      <c r="H82" s="208">
        <f>IF($P82="","",INDEX('_Datos'!$K$7:$K$200,$P82))</f>
      </c>
      <c r="I82" s="208">
        <f>IF($P82="","",INDEX('_Datos'!$S$7:$S$200,$P82))</f>
      </c>
      <c r="J82" s="208">
        <f>IF($P82="","",INDEX('_Datos'!$T$7:$T$200,$P82))</f>
      </c>
      <c r="K82" s="207">
        <f>IF($P82="","",INDEX('_Datos'!$V$7:$V$200,$P82))</f>
      </c>
      <c r="L82" s="208">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6">
        <f>IF($P83="","",INDEX('_Datos'!$H$7:$H$200,$P83))</f>
      </c>
      <c r="G83" s="204">
        <f>IF($P83="","",INDEX('_Datos'!$J$7:$J$200,$P83))</f>
      </c>
      <c r="H83" s="208">
        <f>IF($P83="","",INDEX('_Datos'!$K$7:$K$200,$P83))</f>
      </c>
      <c r="I83" s="208">
        <f>IF($P83="","",INDEX('_Datos'!$S$7:$S$200,$P83))</f>
      </c>
      <c r="J83" s="208">
        <f>IF($P83="","",INDEX('_Datos'!$T$7:$T$200,$P83))</f>
      </c>
      <c r="K83" s="207">
        <f>IF($P83="","",INDEX('_Datos'!$V$7:$V$200,$P83))</f>
      </c>
      <c r="L83" s="208">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6">
        <f>IF($P84="","",INDEX('_Datos'!$H$7:$H$200,$P84))</f>
      </c>
      <c r="G84" s="204">
        <f>IF($P84="","",INDEX('_Datos'!$J$7:$J$200,$P84))</f>
      </c>
      <c r="H84" s="208">
        <f>IF($P84="","",INDEX('_Datos'!$K$7:$K$200,$P84))</f>
      </c>
      <c r="I84" s="208">
        <f>IF($P84="","",INDEX('_Datos'!$S$7:$S$200,$P84))</f>
      </c>
      <c r="J84" s="208">
        <f>IF($P84="","",INDEX('_Datos'!$T$7:$T$200,$P84))</f>
      </c>
      <c r="K84" s="207">
        <f>IF($P84="","",INDEX('_Datos'!$V$7:$V$200,$P84))</f>
      </c>
      <c r="L84" s="208">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6">
        <f>IF($P85="","",INDEX('_Datos'!$H$7:$H$200,$P85))</f>
      </c>
      <c r="G85" s="204">
        <f>IF($P85="","",INDEX('_Datos'!$J$7:$J$200,$P85))</f>
      </c>
      <c r="H85" s="208">
        <f>IF($P85="","",INDEX('_Datos'!$K$7:$K$200,$P85))</f>
      </c>
      <c r="I85" s="208">
        <f>IF($P85="","",INDEX('_Datos'!$S$7:$S$200,$P85))</f>
      </c>
      <c r="J85" s="208">
        <f>IF($P85="","",INDEX('_Datos'!$T$7:$T$200,$P85))</f>
      </c>
      <c r="K85" s="207">
        <f>IF($P85="","",INDEX('_Datos'!$V$7:$V$200,$P85))</f>
      </c>
      <c r="L85" s="208">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6">
        <f>IF($P86="","",INDEX('_Datos'!$H$7:$H$200,$P86))</f>
      </c>
      <c r="G86" s="204">
        <f>IF($P86="","",INDEX('_Datos'!$J$7:$J$200,$P86))</f>
      </c>
      <c r="H86" s="208">
        <f>IF($P86="","",INDEX('_Datos'!$K$7:$K$200,$P86))</f>
      </c>
      <c r="I86" s="208">
        <f>IF($P86="","",INDEX('_Datos'!$S$7:$S$200,$P86))</f>
      </c>
      <c r="J86" s="208">
        <f>IF($P86="","",INDEX('_Datos'!$T$7:$T$200,$P86))</f>
      </c>
      <c r="K86" s="207">
        <f>IF($P86="","",INDEX('_Datos'!$V$7:$V$200,$P86))</f>
      </c>
      <c r="L86" s="208">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6">
        <f>IF($P87="","",INDEX('_Datos'!$H$7:$H$200,$P87))</f>
      </c>
      <c r="G87" s="204">
        <f>IF($P87="","",INDEX('_Datos'!$J$7:$J$200,$P87))</f>
      </c>
      <c r="H87" s="208">
        <f>IF($P87="","",INDEX('_Datos'!$K$7:$K$200,$P87))</f>
      </c>
      <c r="I87" s="208">
        <f>IF($P87="","",INDEX('_Datos'!$S$7:$S$200,$P87))</f>
      </c>
      <c r="J87" s="208">
        <f>IF($P87="","",INDEX('_Datos'!$T$7:$T$200,$P87))</f>
      </c>
      <c r="K87" s="207">
        <f>IF($P87="","",INDEX('_Datos'!$V$7:$V$200,$P87))</f>
      </c>
      <c r="L87" s="208">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6">
        <f>IF($P88="","",INDEX('_Datos'!$H$7:$H$200,$P88))</f>
      </c>
      <c r="G88" s="204">
        <f>IF($P88="","",INDEX('_Datos'!$J$7:$J$200,$P88))</f>
      </c>
      <c r="H88" s="208">
        <f>IF($P88="","",INDEX('_Datos'!$K$7:$K$200,$P88))</f>
      </c>
      <c r="I88" s="208">
        <f>IF($P88="","",INDEX('_Datos'!$S$7:$S$200,$P88))</f>
      </c>
      <c r="J88" s="208">
        <f>IF($P88="","",INDEX('_Datos'!$T$7:$T$200,$P88))</f>
      </c>
      <c r="K88" s="207">
        <f>IF($P88="","",INDEX('_Datos'!$V$7:$V$200,$P88))</f>
      </c>
      <c r="L88" s="208">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6">
        <f>IF($P89="","",INDEX('_Datos'!$H$7:$H$200,$P89))</f>
      </c>
      <c r="G89" s="204">
        <f>IF($P89="","",INDEX('_Datos'!$J$7:$J$200,$P89))</f>
      </c>
      <c r="H89" s="208">
        <f>IF($P89="","",INDEX('_Datos'!$K$7:$K$200,$P89))</f>
      </c>
      <c r="I89" s="208">
        <f>IF($P89="","",INDEX('_Datos'!$S$7:$S$200,$P89))</f>
      </c>
      <c r="J89" s="208">
        <f>IF($P89="","",INDEX('_Datos'!$T$7:$T$200,$P89))</f>
      </c>
      <c r="K89" s="207">
        <f>IF($P89="","",INDEX('_Datos'!$V$7:$V$200,$P89))</f>
      </c>
      <c r="L89" s="208">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6">
        <f>IF($P90="","",INDEX('_Datos'!$H$7:$H$200,$P90))</f>
      </c>
      <c r="G90" s="204">
        <f>IF($P90="","",INDEX('_Datos'!$J$7:$J$200,$P90))</f>
      </c>
      <c r="H90" s="208">
        <f>IF($P90="","",INDEX('_Datos'!$K$7:$K$200,$P90))</f>
      </c>
      <c r="I90" s="208">
        <f>IF($P90="","",INDEX('_Datos'!$S$7:$S$200,$P90))</f>
      </c>
      <c r="J90" s="208">
        <f>IF($P90="","",INDEX('_Datos'!$T$7:$T$200,$P90))</f>
      </c>
      <c r="K90" s="207">
        <f>IF($P90="","",INDEX('_Datos'!$V$7:$V$200,$P90))</f>
      </c>
      <c r="L90" s="208">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6">
        <f>IF($P91="","",INDEX('_Datos'!$H$7:$H$200,$P91))</f>
      </c>
      <c r="G91" s="204">
        <f>IF($P91="","",INDEX('_Datos'!$J$7:$J$200,$P91))</f>
      </c>
      <c r="H91" s="208">
        <f>IF($P91="","",INDEX('_Datos'!$K$7:$K$200,$P91))</f>
      </c>
      <c r="I91" s="208">
        <f>IF($P91="","",INDEX('_Datos'!$S$7:$S$200,$P91))</f>
      </c>
      <c r="J91" s="208">
        <f>IF($P91="","",INDEX('_Datos'!$T$7:$T$200,$P91))</f>
      </c>
      <c r="K91" s="207">
        <f>IF($P91="","",INDEX('_Datos'!$V$7:$V$200,$P91))</f>
      </c>
      <c r="L91" s="208">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6">
        <f>IF($P92="","",INDEX('_Datos'!$H$7:$H$200,$P92))</f>
      </c>
      <c r="G92" s="204">
        <f>IF($P92="","",INDEX('_Datos'!$J$7:$J$200,$P92))</f>
      </c>
      <c r="H92" s="208">
        <f>IF($P92="","",INDEX('_Datos'!$K$7:$K$200,$P92))</f>
      </c>
      <c r="I92" s="208">
        <f>IF($P92="","",INDEX('_Datos'!$S$7:$S$200,$P92))</f>
      </c>
      <c r="J92" s="208">
        <f>IF($P92="","",INDEX('_Datos'!$T$7:$T$200,$P92))</f>
      </c>
      <c r="K92" s="207">
        <f>IF($P92="","",INDEX('_Datos'!$V$7:$V$200,$P92))</f>
      </c>
      <c r="L92" s="208">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6">
        <f>IF($P93="","",INDEX('_Datos'!$H$7:$H$200,$P93))</f>
      </c>
      <c r="G93" s="204">
        <f>IF($P93="","",INDEX('_Datos'!$J$7:$J$200,$P93))</f>
      </c>
      <c r="H93" s="208">
        <f>IF($P93="","",INDEX('_Datos'!$K$7:$K$200,$P93))</f>
      </c>
      <c r="I93" s="208">
        <f>IF($P93="","",INDEX('_Datos'!$S$7:$S$200,$P93))</f>
      </c>
      <c r="J93" s="208">
        <f>IF($P93="","",INDEX('_Datos'!$T$7:$T$200,$P93))</f>
      </c>
      <c r="K93" s="207">
        <f>IF($P93="","",INDEX('_Datos'!$V$7:$V$200,$P93))</f>
      </c>
      <c r="L93" s="208">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6">
        <f>IF($P94="","",INDEX('_Datos'!$H$7:$H$200,$P94))</f>
      </c>
      <c r="G94" s="204">
        <f>IF($P94="","",INDEX('_Datos'!$J$7:$J$200,$P94))</f>
      </c>
      <c r="H94" s="208">
        <f>IF($P94="","",INDEX('_Datos'!$K$7:$K$200,$P94))</f>
      </c>
      <c r="I94" s="208">
        <f>IF($P94="","",INDEX('_Datos'!$S$7:$S$200,$P94))</f>
      </c>
      <c r="J94" s="208">
        <f>IF($P94="","",INDEX('_Datos'!$T$7:$T$200,$P94))</f>
      </c>
      <c r="K94" s="207">
        <f>IF($P94="","",INDEX('_Datos'!$V$7:$V$200,$P94))</f>
      </c>
      <c r="L94" s="208">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6">
        <f>IF($P95="","",INDEX('_Datos'!$H$7:$H$200,$P95))</f>
      </c>
      <c r="G95" s="204">
        <f>IF($P95="","",INDEX('_Datos'!$J$7:$J$200,$P95))</f>
      </c>
      <c r="H95" s="208">
        <f>IF($P95="","",INDEX('_Datos'!$K$7:$K$200,$P95))</f>
      </c>
      <c r="I95" s="208">
        <f>IF($P95="","",INDEX('_Datos'!$S$7:$S$200,$P95))</f>
      </c>
      <c r="J95" s="208">
        <f>IF($P95="","",INDEX('_Datos'!$T$7:$T$200,$P95))</f>
      </c>
      <c r="K95" s="207">
        <f>IF($P95="","",INDEX('_Datos'!$V$7:$V$200,$P95))</f>
      </c>
      <c r="L95" s="208">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6">
        <f>IF($P96="","",INDEX('_Datos'!$H$7:$H$200,$P96))</f>
      </c>
      <c r="G96" s="204">
        <f>IF($P96="","",INDEX('_Datos'!$J$7:$J$200,$P96))</f>
      </c>
      <c r="H96" s="208">
        <f>IF($P96="","",INDEX('_Datos'!$K$7:$K$200,$P96))</f>
      </c>
      <c r="I96" s="208">
        <f>IF($P96="","",INDEX('_Datos'!$S$7:$S$200,$P96))</f>
      </c>
      <c r="J96" s="208">
        <f>IF($P96="","",INDEX('_Datos'!$T$7:$T$200,$P96))</f>
      </c>
      <c r="K96" s="207">
        <f>IF($P96="","",INDEX('_Datos'!$V$7:$V$200,$P96))</f>
      </c>
      <c r="L96" s="208">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6">
        <f>IF($P97="","",INDEX('_Datos'!$H$7:$H$200,$P97))</f>
      </c>
      <c r="G97" s="204">
        <f>IF($P97="","",INDEX('_Datos'!$J$7:$J$200,$P97))</f>
      </c>
      <c r="H97" s="208">
        <f>IF($P97="","",INDEX('_Datos'!$K$7:$K$200,$P97))</f>
      </c>
      <c r="I97" s="208">
        <f>IF($P97="","",INDEX('_Datos'!$S$7:$S$200,$P97))</f>
      </c>
      <c r="J97" s="208">
        <f>IF($P97="","",INDEX('_Datos'!$T$7:$T$200,$P97))</f>
      </c>
      <c r="K97" s="207">
        <f>IF($P97="","",INDEX('_Datos'!$V$7:$V$200,$P97))</f>
      </c>
      <c r="L97" s="208">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6">
        <f>IF($P98="","",INDEX('_Datos'!$H$7:$H$200,$P98))</f>
      </c>
      <c r="G98" s="204">
        <f>IF($P98="","",INDEX('_Datos'!$J$7:$J$200,$P98))</f>
      </c>
      <c r="H98" s="208">
        <f>IF($P98="","",INDEX('_Datos'!$K$7:$K$200,$P98))</f>
      </c>
      <c r="I98" s="208">
        <f>IF($P98="","",INDEX('_Datos'!$S$7:$S$200,$P98))</f>
      </c>
      <c r="J98" s="208">
        <f>IF($P98="","",INDEX('_Datos'!$T$7:$T$200,$P98))</f>
      </c>
      <c r="K98" s="207">
        <f>IF($P98="","",INDEX('_Datos'!$V$7:$V$200,$P98))</f>
      </c>
      <c r="L98" s="208">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6">
        <f>IF($P99="","",INDEX('_Datos'!$H$7:$H$200,$P99))</f>
      </c>
      <c r="G99" s="204">
        <f>IF($P99="","",INDEX('_Datos'!$J$7:$J$200,$P99))</f>
      </c>
      <c r="H99" s="208">
        <f>IF($P99="","",INDEX('_Datos'!$K$7:$K$200,$P99))</f>
      </c>
      <c r="I99" s="208">
        <f>IF($P99="","",INDEX('_Datos'!$S$7:$S$200,$P99))</f>
      </c>
      <c r="J99" s="208">
        <f>IF($P99="","",INDEX('_Datos'!$T$7:$T$200,$P99))</f>
      </c>
      <c r="K99" s="207">
        <f>IF($P99="","",INDEX('_Datos'!$V$7:$V$200,$P99))</f>
      </c>
      <c r="L99" s="208">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6">
        <f>IF($P100="","",INDEX('_Datos'!$H$7:$H$200,$P100))</f>
      </c>
      <c r="G100" s="204">
        <f>IF($P100="","",INDEX('_Datos'!$J$7:$J$200,$P100))</f>
      </c>
      <c r="H100" s="208">
        <f>IF($P100="","",INDEX('_Datos'!$K$7:$K$200,$P100))</f>
      </c>
      <c r="I100" s="208">
        <f>IF($P100="","",INDEX('_Datos'!$S$7:$S$200,$P100))</f>
      </c>
      <c r="J100" s="208">
        <f>IF($P100="","",INDEX('_Datos'!$T$7:$T$200,$P100))</f>
      </c>
      <c r="K100" s="207">
        <f>IF($P100="","",INDEX('_Datos'!$V$7:$V$200,$P100))</f>
      </c>
      <c r="L100" s="208">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6">
        <f>IF($P101="","",INDEX('_Datos'!$H$7:$H$200,$P101))</f>
      </c>
      <c r="G101" s="204">
        <f>IF($P101="","",INDEX('_Datos'!$J$7:$J$200,$P101))</f>
      </c>
      <c r="H101" s="208">
        <f>IF($P101="","",INDEX('_Datos'!$K$7:$K$200,$P101))</f>
      </c>
      <c r="I101" s="208">
        <f>IF($P101="","",INDEX('_Datos'!$S$7:$S$200,$P101))</f>
      </c>
      <c r="J101" s="208">
        <f>IF($P101="","",INDEX('_Datos'!$T$7:$T$200,$P101))</f>
      </c>
      <c r="K101" s="207">
        <f>IF($P101="","",INDEX('_Datos'!$V$7:$V$200,$P101))</f>
      </c>
      <c r="L101" s="208">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6">
        <f>IF($P102="","",INDEX('_Datos'!$H$7:$H$200,$P102))</f>
      </c>
      <c r="G102" s="204">
        <f>IF($P102="","",INDEX('_Datos'!$J$7:$J$200,$P102))</f>
      </c>
      <c r="H102" s="208">
        <f>IF($P102="","",INDEX('_Datos'!$K$7:$K$200,$P102))</f>
      </c>
      <c r="I102" s="208">
        <f>IF($P102="","",INDEX('_Datos'!$S$7:$S$200,$P102))</f>
      </c>
      <c r="J102" s="208">
        <f>IF($P102="","",INDEX('_Datos'!$T$7:$T$200,$P102))</f>
      </c>
      <c r="K102" s="207">
        <f>IF($P102="","",INDEX('_Datos'!$V$7:$V$200,$P102))</f>
      </c>
      <c r="L102" s="208">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6">
        <f>IF($P103="","",INDEX('_Datos'!$H$7:$H$200,$P103))</f>
      </c>
      <c r="G103" s="204">
        <f>IF($P103="","",INDEX('_Datos'!$J$7:$J$200,$P103))</f>
      </c>
      <c r="H103" s="208">
        <f>IF($P103="","",INDEX('_Datos'!$K$7:$K$200,$P103))</f>
      </c>
      <c r="I103" s="208">
        <f>IF($P103="","",INDEX('_Datos'!$S$7:$S$200,$P103))</f>
      </c>
      <c r="J103" s="208">
        <f>IF($P103="","",INDEX('_Datos'!$T$7:$T$200,$P103))</f>
      </c>
      <c r="K103" s="207">
        <f>IF($P103="","",INDEX('_Datos'!$V$7:$V$200,$P103))</f>
      </c>
      <c r="L103" s="208">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6">
        <f>IF($P104="","",INDEX('_Datos'!$H$7:$H$200,$P104))</f>
      </c>
      <c r="G104" s="204">
        <f>IF($P104="","",INDEX('_Datos'!$J$7:$J$200,$P104))</f>
      </c>
      <c r="H104" s="208">
        <f>IF($P104="","",INDEX('_Datos'!$K$7:$K$200,$P104))</f>
      </c>
      <c r="I104" s="208">
        <f>IF($P104="","",INDEX('_Datos'!$S$7:$S$200,$P104))</f>
      </c>
      <c r="J104" s="208">
        <f>IF($P104="","",INDEX('_Datos'!$T$7:$T$200,$P104))</f>
      </c>
      <c r="K104" s="207">
        <f>IF($P104="","",INDEX('_Datos'!$V$7:$V$200,$P104))</f>
      </c>
      <c r="L104" s="208">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6">
        <f>IF($P105="","",INDEX('_Datos'!$H$7:$H$200,$P105))</f>
      </c>
      <c r="G105" s="204">
        <f>IF($P105="","",INDEX('_Datos'!$J$7:$J$200,$P105))</f>
      </c>
      <c r="H105" s="208">
        <f>IF($P105="","",INDEX('_Datos'!$K$7:$K$200,$P105))</f>
      </c>
      <c r="I105" s="208">
        <f>IF($P105="","",INDEX('_Datos'!$S$7:$S$200,$P105))</f>
      </c>
      <c r="J105" s="208">
        <f>IF($P105="","",INDEX('_Datos'!$T$7:$T$200,$P105))</f>
      </c>
      <c r="K105" s="207">
        <f>IF($P105="","",INDEX('_Datos'!$V$7:$V$200,$P105))</f>
      </c>
      <c r="L105" s="208">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6">
        <f>IF($P106="","",INDEX('_Datos'!$H$7:$H$200,$P106))</f>
      </c>
      <c r="G106" s="204">
        <f>IF($P106="","",INDEX('_Datos'!$J$7:$J$200,$P106))</f>
      </c>
      <c r="H106" s="208">
        <f>IF($P106="","",INDEX('_Datos'!$K$7:$K$200,$P106))</f>
      </c>
      <c r="I106" s="208">
        <f>IF($P106="","",INDEX('_Datos'!$S$7:$S$200,$P106))</f>
      </c>
      <c r="J106" s="208">
        <f>IF($P106="","",INDEX('_Datos'!$T$7:$T$200,$P106))</f>
      </c>
      <c r="K106" s="207">
        <f>IF($P106="","",INDEX('_Datos'!$V$7:$V$200,$P106))</f>
      </c>
      <c r="L106" s="208">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6">
        <f>IF($P107="","",INDEX('_Datos'!$H$7:$H$200,$P107))</f>
      </c>
      <c r="G107" s="204">
        <f>IF($P107="","",INDEX('_Datos'!$J$7:$J$200,$P107))</f>
      </c>
      <c r="H107" s="208">
        <f>IF($P107="","",INDEX('_Datos'!$K$7:$K$200,$P107))</f>
      </c>
      <c r="I107" s="208">
        <f>IF($P107="","",INDEX('_Datos'!$S$7:$S$200,$P107))</f>
      </c>
      <c r="J107" s="208">
        <f>IF($P107="","",INDEX('_Datos'!$T$7:$T$200,$P107))</f>
      </c>
      <c r="K107" s="207">
        <f>IF($P107="","",INDEX('_Datos'!$V$7:$V$200,$P107))</f>
      </c>
      <c r="L107" s="208">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6">
        <f>IF($P108="","",INDEX('_Datos'!$H$7:$H$200,$P108))</f>
      </c>
      <c r="G108" s="204">
        <f>IF($P108="","",INDEX('_Datos'!$J$7:$J$200,$P108))</f>
      </c>
      <c r="H108" s="208">
        <f>IF($P108="","",INDEX('_Datos'!$K$7:$K$200,$P108))</f>
      </c>
      <c r="I108" s="208">
        <f>IF($P108="","",INDEX('_Datos'!$S$7:$S$200,$P108))</f>
      </c>
      <c r="J108" s="208">
        <f>IF($P108="","",INDEX('_Datos'!$T$7:$T$200,$P108))</f>
      </c>
      <c r="K108" s="207">
        <f>IF($P108="","",INDEX('_Datos'!$V$7:$V$200,$P108))</f>
      </c>
      <c r="L108" s="208">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6">
        <f>IF($P109="","",INDEX('_Datos'!$H$7:$H$200,$P109))</f>
      </c>
      <c r="G109" s="204">
        <f>IF($P109="","",INDEX('_Datos'!$J$7:$J$200,$P109))</f>
      </c>
      <c r="H109" s="208">
        <f>IF($P109="","",INDEX('_Datos'!$K$7:$K$200,$P109))</f>
      </c>
      <c r="I109" s="208">
        <f>IF($P109="","",INDEX('_Datos'!$S$7:$S$200,$P109))</f>
      </c>
      <c r="J109" s="208">
        <f>IF($P109="","",INDEX('_Datos'!$T$7:$T$200,$P109))</f>
      </c>
      <c r="K109" s="207">
        <f>IF($P109="","",INDEX('_Datos'!$V$7:$V$200,$P109))</f>
      </c>
      <c r="L109" s="208">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6">
        <f>IF($P110="","",INDEX('_Datos'!$H$7:$H$200,$P110))</f>
      </c>
      <c r="G110" s="204">
        <f>IF($P110="","",INDEX('_Datos'!$J$7:$J$200,$P110))</f>
      </c>
      <c r="H110" s="208">
        <f>IF($P110="","",INDEX('_Datos'!$K$7:$K$200,$P110))</f>
      </c>
      <c r="I110" s="208">
        <f>IF($P110="","",INDEX('_Datos'!$S$7:$S$200,$P110))</f>
      </c>
      <c r="J110" s="208">
        <f>IF($P110="","",INDEX('_Datos'!$T$7:$T$200,$P110))</f>
      </c>
      <c r="K110" s="207">
        <f>IF($P110="","",INDEX('_Datos'!$V$7:$V$200,$P110))</f>
      </c>
      <c r="L110" s="208">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6">
        <f>IF($P111="","",INDEX('_Datos'!$H$7:$H$200,$P111))</f>
      </c>
      <c r="G111" s="204">
        <f>IF($P111="","",INDEX('_Datos'!$J$7:$J$200,$P111))</f>
      </c>
      <c r="H111" s="208">
        <f>IF($P111="","",INDEX('_Datos'!$K$7:$K$200,$P111))</f>
      </c>
      <c r="I111" s="208">
        <f>IF($P111="","",INDEX('_Datos'!$S$7:$S$200,$P111))</f>
      </c>
      <c r="J111" s="208">
        <f>IF($P111="","",INDEX('_Datos'!$T$7:$T$200,$P111))</f>
      </c>
      <c r="K111" s="207">
        <f>IF($P111="","",INDEX('_Datos'!$V$7:$V$200,$P111))</f>
      </c>
      <c r="L111" s="208">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6">
        <f>IF($P112="","",INDEX('_Datos'!$H$7:$H$200,$P112))</f>
      </c>
      <c r="G112" s="204">
        <f>IF($P112="","",INDEX('_Datos'!$J$7:$J$200,$P112))</f>
      </c>
      <c r="H112" s="208">
        <f>IF($P112="","",INDEX('_Datos'!$K$7:$K$200,$P112))</f>
      </c>
      <c r="I112" s="208">
        <f>IF($P112="","",INDEX('_Datos'!$S$7:$S$200,$P112))</f>
      </c>
      <c r="J112" s="208">
        <f>IF($P112="","",INDEX('_Datos'!$T$7:$T$200,$P112))</f>
      </c>
      <c r="K112" s="207">
        <f>IF($P112="","",INDEX('_Datos'!$V$7:$V$200,$P112))</f>
      </c>
      <c r="L112" s="208">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6">
        <f>IF($P113="","",INDEX('_Datos'!$H$7:$H$200,$P113))</f>
      </c>
      <c r="G113" s="204">
        <f>IF($P113="","",INDEX('_Datos'!$J$7:$J$200,$P113))</f>
      </c>
      <c r="H113" s="208">
        <f>IF($P113="","",INDEX('_Datos'!$K$7:$K$200,$P113))</f>
      </c>
      <c r="I113" s="208">
        <f>IF($P113="","",INDEX('_Datos'!$S$7:$S$200,$P113))</f>
      </c>
      <c r="J113" s="208">
        <f>IF($P113="","",INDEX('_Datos'!$T$7:$T$200,$P113))</f>
      </c>
      <c r="K113" s="207">
        <f>IF($P113="","",INDEX('_Datos'!$V$7:$V$200,$P113))</f>
      </c>
      <c r="L113" s="208">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6">
        <f>IF($P114="","",INDEX('_Datos'!$H$7:$H$200,$P114))</f>
      </c>
      <c r="G114" s="204">
        <f>IF($P114="","",INDEX('_Datos'!$J$7:$J$200,$P114))</f>
      </c>
      <c r="H114" s="208">
        <f>IF($P114="","",INDEX('_Datos'!$K$7:$K$200,$P114))</f>
      </c>
      <c r="I114" s="208">
        <f>IF($P114="","",INDEX('_Datos'!$S$7:$S$200,$P114))</f>
      </c>
      <c r="J114" s="208">
        <f>IF($P114="","",INDEX('_Datos'!$T$7:$T$200,$P114))</f>
      </c>
      <c r="K114" s="207">
        <f>IF($P114="","",INDEX('_Datos'!$V$7:$V$200,$P114))</f>
      </c>
      <c r="L114" s="208">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6">
        <f>IF($P115="","",INDEX('_Datos'!$H$7:$H$200,$P115))</f>
      </c>
      <c r="G115" s="204">
        <f>IF($P115="","",INDEX('_Datos'!$J$7:$J$200,$P115))</f>
      </c>
      <c r="H115" s="208">
        <f>IF($P115="","",INDEX('_Datos'!$K$7:$K$200,$P115))</f>
      </c>
      <c r="I115" s="208">
        <f>IF($P115="","",INDEX('_Datos'!$S$7:$S$200,$P115))</f>
      </c>
      <c r="J115" s="208">
        <f>IF($P115="","",INDEX('_Datos'!$T$7:$T$200,$P115))</f>
      </c>
      <c r="K115" s="207">
        <f>IF($P115="","",INDEX('_Datos'!$V$7:$V$200,$P115))</f>
      </c>
      <c r="L115" s="208">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6">
        <f>IF($P116="","",INDEX('_Datos'!$H$7:$H$200,$P116))</f>
      </c>
      <c r="G116" s="204">
        <f>IF($P116="","",INDEX('_Datos'!$J$7:$J$200,$P116))</f>
      </c>
      <c r="H116" s="208">
        <f>IF($P116="","",INDEX('_Datos'!$K$7:$K$200,$P116))</f>
      </c>
      <c r="I116" s="208">
        <f>IF($P116="","",INDEX('_Datos'!$S$7:$S$200,$P116))</f>
      </c>
      <c r="J116" s="208">
        <f>IF($P116="","",INDEX('_Datos'!$T$7:$T$200,$P116))</f>
      </c>
      <c r="K116" s="207">
        <f>IF($P116="","",INDEX('_Datos'!$V$7:$V$200,$P116))</f>
      </c>
      <c r="L116" s="208">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6">
        <f>IF($P117="","",INDEX('_Datos'!$H$7:$H$200,$P117))</f>
      </c>
      <c r="G117" s="204">
        <f>IF($P117="","",INDEX('_Datos'!$J$7:$J$200,$P117))</f>
      </c>
      <c r="H117" s="208">
        <f>IF($P117="","",INDEX('_Datos'!$K$7:$K$200,$P117))</f>
      </c>
      <c r="I117" s="208">
        <f>IF($P117="","",INDEX('_Datos'!$S$7:$S$200,$P117))</f>
      </c>
      <c r="J117" s="208">
        <f>IF($P117="","",INDEX('_Datos'!$T$7:$T$200,$P117))</f>
      </c>
      <c r="K117" s="207">
        <f>IF($P117="","",INDEX('_Datos'!$V$7:$V$200,$P117))</f>
      </c>
      <c r="L117" s="208">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6">
        <f>IF($P118="","",INDEX('_Datos'!$H$7:$H$200,$P118))</f>
      </c>
      <c r="G118" s="204">
        <f>IF($P118="","",INDEX('_Datos'!$J$7:$J$200,$P118))</f>
      </c>
      <c r="H118" s="208">
        <f>IF($P118="","",INDEX('_Datos'!$K$7:$K$200,$P118))</f>
      </c>
      <c r="I118" s="208">
        <f>IF($P118="","",INDEX('_Datos'!$S$7:$S$200,$P118))</f>
      </c>
      <c r="J118" s="208">
        <f>IF($P118="","",INDEX('_Datos'!$T$7:$T$200,$P118))</f>
      </c>
      <c r="K118" s="207">
        <f>IF($P118="","",INDEX('_Datos'!$V$7:$V$200,$P118))</f>
      </c>
      <c r="L118" s="208">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6">
        <f>IF($P119="","",INDEX('_Datos'!$H$7:$H$200,$P119))</f>
      </c>
      <c r="G119" s="204">
        <f>IF($P119="","",INDEX('_Datos'!$J$7:$J$200,$P119))</f>
      </c>
      <c r="H119" s="208">
        <f>IF($P119="","",INDEX('_Datos'!$K$7:$K$200,$P119))</f>
      </c>
      <c r="I119" s="208">
        <f>IF($P119="","",INDEX('_Datos'!$S$7:$S$200,$P119))</f>
      </c>
      <c r="J119" s="208">
        <f>IF($P119="","",INDEX('_Datos'!$T$7:$T$200,$P119))</f>
      </c>
      <c r="K119" s="207">
        <f>IF($P119="","",INDEX('_Datos'!$V$7:$V$200,$P119))</f>
      </c>
      <c r="L119" s="208">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6">
        <f>IF($P120="","",INDEX('_Datos'!$H$7:$H$200,$P120))</f>
      </c>
      <c r="G120" s="204">
        <f>IF($P120="","",INDEX('_Datos'!$J$7:$J$200,$P120))</f>
      </c>
      <c r="H120" s="208">
        <f>IF($P120="","",INDEX('_Datos'!$K$7:$K$200,$P120))</f>
      </c>
      <c r="I120" s="208">
        <f>IF($P120="","",INDEX('_Datos'!$S$7:$S$200,$P120))</f>
      </c>
      <c r="J120" s="208">
        <f>IF($P120="","",INDEX('_Datos'!$T$7:$T$200,$P120))</f>
      </c>
      <c r="K120" s="207">
        <f>IF($P120="","",INDEX('_Datos'!$V$7:$V$200,$P120))</f>
      </c>
      <c r="L120" s="208">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6">
        <f>IF($P121="","",INDEX('_Datos'!$H$7:$H$200,$P121))</f>
      </c>
      <c r="G121" s="204">
        <f>IF($P121="","",INDEX('_Datos'!$J$7:$J$200,$P121))</f>
      </c>
      <c r="H121" s="208">
        <f>IF($P121="","",INDEX('_Datos'!$K$7:$K$200,$P121))</f>
      </c>
      <c r="I121" s="208">
        <f>IF($P121="","",INDEX('_Datos'!$S$7:$S$200,$P121))</f>
      </c>
      <c r="J121" s="208">
        <f>IF($P121="","",INDEX('_Datos'!$T$7:$T$200,$P121))</f>
      </c>
      <c r="K121" s="207">
        <f>IF($P121="","",INDEX('_Datos'!$V$7:$V$200,$P121))</f>
      </c>
      <c r="L121" s="208">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6">
        <f>IF($P122="","",INDEX('_Datos'!$H$7:$H$200,$P122))</f>
      </c>
      <c r="G122" s="204">
        <f>IF($P122="","",INDEX('_Datos'!$J$7:$J$200,$P122))</f>
      </c>
      <c r="H122" s="208">
        <f>IF($P122="","",INDEX('_Datos'!$K$7:$K$200,$P122))</f>
      </c>
      <c r="I122" s="208">
        <f>IF($P122="","",INDEX('_Datos'!$S$7:$S$200,$P122))</f>
      </c>
      <c r="J122" s="208">
        <f>IF($P122="","",INDEX('_Datos'!$T$7:$T$200,$P122))</f>
      </c>
      <c r="K122" s="207">
        <f>IF($P122="","",INDEX('_Datos'!$V$7:$V$200,$P122))</f>
      </c>
      <c r="L122" s="208">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6">
        <f>IF($P123="","",INDEX('_Datos'!$H$7:$H$200,$P123))</f>
      </c>
      <c r="G123" s="204">
        <f>IF($P123="","",INDEX('_Datos'!$J$7:$J$200,$P123))</f>
      </c>
      <c r="H123" s="208">
        <f>IF($P123="","",INDEX('_Datos'!$K$7:$K$200,$P123))</f>
      </c>
      <c r="I123" s="208">
        <f>IF($P123="","",INDEX('_Datos'!$S$7:$S$200,$P123))</f>
      </c>
      <c r="J123" s="208">
        <f>IF($P123="","",INDEX('_Datos'!$T$7:$T$200,$P123))</f>
      </c>
      <c r="K123" s="207">
        <f>IF($P123="","",INDEX('_Datos'!$V$7:$V$200,$P123))</f>
      </c>
      <c r="L123" s="208">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6">
        <f>IF($P124="","",INDEX('_Datos'!$H$7:$H$200,$P124))</f>
      </c>
      <c r="G124" s="204">
        <f>IF($P124="","",INDEX('_Datos'!$J$7:$J$200,$P124))</f>
      </c>
      <c r="H124" s="208">
        <f>IF($P124="","",INDEX('_Datos'!$K$7:$K$200,$P124))</f>
      </c>
      <c r="I124" s="208">
        <f>IF($P124="","",INDEX('_Datos'!$S$7:$S$200,$P124))</f>
      </c>
      <c r="J124" s="208">
        <f>IF($P124="","",INDEX('_Datos'!$T$7:$T$200,$P124))</f>
      </c>
      <c r="K124" s="207">
        <f>IF($P124="","",INDEX('_Datos'!$V$7:$V$200,$P124))</f>
      </c>
      <c r="L124" s="208">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6">
        <f>IF($P125="","",INDEX('_Datos'!$H$7:$H$200,$P125))</f>
      </c>
      <c r="G125" s="204">
        <f>IF($P125="","",INDEX('_Datos'!$J$7:$J$200,$P125))</f>
      </c>
      <c r="H125" s="208">
        <f>IF($P125="","",INDEX('_Datos'!$K$7:$K$200,$P125))</f>
      </c>
      <c r="I125" s="208">
        <f>IF($P125="","",INDEX('_Datos'!$S$7:$S$200,$P125))</f>
      </c>
      <c r="J125" s="208">
        <f>IF($P125="","",INDEX('_Datos'!$T$7:$T$200,$P125))</f>
      </c>
      <c r="K125" s="207">
        <f>IF($P125="","",INDEX('_Datos'!$V$7:$V$200,$P125))</f>
      </c>
      <c r="L125" s="208">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6">
        <f>IF($P126="","",INDEX('_Datos'!$H$7:$H$200,$P126))</f>
      </c>
      <c r="G126" s="204">
        <f>IF($P126="","",INDEX('_Datos'!$J$7:$J$200,$P126))</f>
      </c>
      <c r="H126" s="208">
        <f>IF($P126="","",INDEX('_Datos'!$K$7:$K$200,$P126))</f>
      </c>
      <c r="I126" s="208">
        <f>IF($P126="","",INDEX('_Datos'!$S$7:$S$200,$P126))</f>
      </c>
      <c r="J126" s="208">
        <f>IF($P126="","",INDEX('_Datos'!$T$7:$T$200,$P126))</f>
      </c>
      <c r="K126" s="207">
        <f>IF($P126="","",INDEX('_Datos'!$V$7:$V$200,$P126))</f>
      </c>
      <c r="L126" s="208">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6">
        <f>IF($P127="","",INDEX('_Datos'!$H$7:$H$200,$P127))</f>
      </c>
      <c r="G127" s="204">
        <f>IF($P127="","",INDEX('_Datos'!$J$7:$J$200,$P127))</f>
      </c>
      <c r="H127" s="208">
        <f>IF($P127="","",INDEX('_Datos'!$K$7:$K$200,$P127))</f>
      </c>
      <c r="I127" s="208">
        <f>IF($P127="","",INDEX('_Datos'!$S$7:$S$200,$P127))</f>
      </c>
      <c r="J127" s="208">
        <f>IF($P127="","",INDEX('_Datos'!$T$7:$T$200,$P127))</f>
      </c>
      <c r="K127" s="207">
        <f>IF($P127="","",INDEX('_Datos'!$V$7:$V$200,$P127))</f>
      </c>
      <c r="L127" s="208">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6">
        <f>IF($P128="","",INDEX('_Datos'!$H$7:$H$200,$P128))</f>
      </c>
      <c r="G128" s="204">
        <f>IF($P128="","",INDEX('_Datos'!$J$7:$J$200,$P128))</f>
      </c>
      <c r="H128" s="208">
        <f>IF($P128="","",INDEX('_Datos'!$K$7:$K$200,$P128))</f>
      </c>
      <c r="I128" s="208">
        <f>IF($P128="","",INDEX('_Datos'!$S$7:$S$200,$P128))</f>
      </c>
      <c r="J128" s="208">
        <f>IF($P128="","",INDEX('_Datos'!$T$7:$T$200,$P128))</f>
      </c>
      <c r="K128" s="207">
        <f>IF($P128="","",INDEX('_Datos'!$V$7:$V$200,$P128))</f>
      </c>
      <c r="L128" s="208">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6">
        <f>IF($P129="","",INDEX('_Datos'!$H$7:$H$200,$P129))</f>
      </c>
      <c r="G129" s="204">
        <f>IF($P129="","",INDEX('_Datos'!$J$7:$J$200,$P129))</f>
      </c>
      <c r="H129" s="208">
        <f>IF($P129="","",INDEX('_Datos'!$K$7:$K$200,$P129))</f>
      </c>
      <c r="I129" s="208">
        <f>IF($P129="","",INDEX('_Datos'!$S$7:$S$200,$P129))</f>
      </c>
      <c r="J129" s="208">
        <f>IF($P129="","",INDEX('_Datos'!$T$7:$T$200,$P129))</f>
      </c>
      <c r="K129" s="207">
        <f>IF($P129="","",INDEX('_Datos'!$V$7:$V$200,$P129))</f>
      </c>
      <c r="L129" s="208">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6">
        <f>IF($P130="","",INDEX('_Datos'!$H$7:$H$200,$P130))</f>
      </c>
      <c r="G130" s="204">
        <f>IF($P130="","",INDEX('_Datos'!$J$7:$J$200,$P130))</f>
      </c>
      <c r="H130" s="208">
        <f>IF($P130="","",INDEX('_Datos'!$K$7:$K$200,$P130))</f>
      </c>
      <c r="I130" s="208">
        <f>IF($P130="","",INDEX('_Datos'!$S$7:$S$200,$P130))</f>
      </c>
      <c r="J130" s="208">
        <f>IF($P130="","",INDEX('_Datos'!$T$7:$T$200,$P130))</f>
      </c>
      <c r="K130" s="207">
        <f>IF($P130="","",INDEX('_Datos'!$V$7:$V$200,$P130))</f>
      </c>
      <c r="L130" s="208">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6">
        <f>IF($P131="","",INDEX('_Datos'!$H$7:$H$200,$P131))</f>
      </c>
      <c r="G131" s="204">
        <f>IF($P131="","",INDEX('_Datos'!$J$7:$J$200,$P131))</f>
      </c>
      <c r="H131" s="208">
        <f>IF($P131="","",INDEX('_Datos'!$K$7:$K$200,$P131))</f>
      </c>
      <c r="I131" s="208">
        <f>IF($P131="","",INDEX('_Datos'!$S$7:$S$200,$P131))</f>
      </c>
      <c r="J131" s="208">
        <f>IF($P131="","",INDEX('_Datos'!$T$7:$T$200,$P131))</f>
      </c>
      <c r="K131" s="207">
        <f>IF($P131="","",INDEX('_Datos'!$V$7:$V$200,$P131))</f>
      </c>
      <c r="L131" s="208">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6">
        <f>IF($P132="","",INDEX('_Datos'!$H$7:$H$200,$P132))</f>
      </c>
      <c r="G132" s="204">
        <f>IF($P132="","",INDEX('_Datos'!$J$7:$J$200,$P132))</f>
      </c>
      <c r="H132" s="208">
        <f>IF($P132="","",INDEX('_Datos'!$K$7:$K$200,$P132))</f>
      </c>
      <c r="I132" s="208">
        <f>IF($P132="","",INDEX('_Datos'!$S$7:$S$200,$P132))</f>
      </c>
      <c r="J132" s="208">
        <f>IF($P132="","",INDEX('_Datos'!$T$7:$T$200,$P132))</f>
      </c>
      <c r="K132" s="207">
        <f>IF($P132="","",INDEX('_Datos'!$V$7:$V$200,$P132))</f>
      </c>
      <c r="L132" s="208">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6">
        <f>IF($P133="","",INDEX('_Datos'!$H$7:$H$200,$P133))</f>
      </c>
      <c r="G133" s="204">
        <f>IF($P133="","",INDEX('_Datos'!$J$7:$J$200,$P133))</f>
      </c>
      <c r="H133" s="208">
        <f>IF($P133="","",INDEX('_Datos'!$K$7:$K$200,$P133))</f>
      </c>
      <c r="I133" s="208">
        <f>IF($P133="","",INDEX('_Datos'!$S$7:$S$200,$P133))</f>
      </c>
      <c r="J133" s="208">
        <f>IF($P133="","",INDEX('_Datos'!$T$7:$T$200,$P133))</f>
      </c>
      <c r="K133" s="207">
        <f>IF($P133="","",INDEX('_Datos'!$V$7:$V$200,$P133))</f>
      </c>
      <c r="L133" s="208">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6">
        <f>IF($P134="","",INDEX('_Datos'!$H$7:$H$200,$P134))</f>
      </c>
      <c r="G134" s="204">
        <f>IF($P134="","",INDEX('_Datos'!$J$7:$J$200,$P134))</f>
      </c>
      <c r="H134" s="208">
        <f>IF($P134="","",INDEX('_Datos'!$K$7:$K$200,$P134))</f>
      </c>
      <c r="I134" s="208">
        <f>IF($P134="","",INDEX('_Datos'!$S$7:$S$200,$P134))</f>
      </c>
      <c r="J134" s="208">
        <f>IF($P134="","",INDEX('_Datos'!$T$7:$T$200,$P134))</f>
      </c>
      <c r="K134" s="207">
        <f>IF($P134="","",INDEX('_Datos'!$V$7:$V$200,$P134))</f>
      </c>
      <c r="L134" s="208">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6">
        <f>IF($P135="","",INDEX('_Datos'!$H$7:$H$200,$P135))</f>
      </c>
      <c r="G135" s="204">
        <f>IF($P135="","",INDEX('_Datos'!$J$7:$J$200,$P135))</f>
      </c>
      <c r="H135" s="208">
        <f>IF($P135="","",INDEX('_Datos'!$K$7:$K$200,$P135))</f>
      </c>
      <c r="I135" s="208">
        <f>IF($P135="","",INDEX('_Datos'!$S$7:$S$200,$P135))</f>
      </c>
      <c r="J135" s="208">
        <f>IF($P135="","",INDEX('_Datos'!$T$7:$T$200,$P135))</f>
      </c>
      <c r="K135" s="207">
        <f>IF($P135="","",INDEX('_Datos'!$V$7:$V$200,$P135))</f>
      </c>
      <c r="L135" s="208">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6">
        <f>IF($P136="","",INDEX('_Datos'!$H$7:$H$200,$P136))</f>
      </c>
      <c r="G136" s="204">
        <f>IF($P136="","",INDEX('_Datos'!$J$7:$J$200,$P136))</f>
      </c>
      <c r="H136" s="208">
        <f>IF($P136="","",INDEX('_Datos'!$K$7:$K$200,$P136))</f>
      </c>
      <c r="I136" s="208">
        <f>IF($P136="","",INDEX('_Datos'!$S$7:$S$200,$P136))</f>
      </c>
      <c r="J136" s="208">
        <f>IF($P136="","",INDEX('_Datos'!$T$7:$T$200,$P136))</f>
      </c>
      <c r="K136" s="207">
        <f>IF($P136="","",INDEX('_Datos'!$V$7:$V$200,$P136))</f>
      </c>
      <c r="L136" s="208">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6">
        <f>IF($P137="","",INDEX('_Datos'!$H$7:$H$200,$P137))</f>
      </c>
      <c r="G137" s="204">
        <f>IF($P137="","",INDEX('_Datos'!$J$7:$J$200,$P137))</f>
      </c>
      <c r="H137" s="208">
        <f>IF($P137="","",INDEX('_Datos'!$K$7:$K$200,$P137))</f>
      </c>
      <c r="I137" s="208">
        <f>IF($P137="","",INDEX('_Datos'!$S$7:$S$200,$P137))</f>
      </c>
      <c r="J137" s="208">
        <f>IF($P137="","",INDEX('_Datos'!$T$7:$T$200,$P137))</f>
      </c>
      <c r="K137" s="207">
        <f>IF($P137="","",INDEX('_Datos'!$V$7:$V$200,$P137))</f>
      </c>
      <c r="L137" s="208">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6">
        <f>IF($P138="","",INDEX('_Datos'!$H$7:$H$200,$P138))</f>
      </c>
      <c r="G138" s="204">
        <f>IF($P138="","",INDEX('_Datos'!$J$7:$J$200,$P138))</f>
      </c>
      <c r="H138" s="208">
        <f>IF($P138="","",INDEX('_Datos'!$K$7:$K$200,$P138))</f>
      </c>
      <c r="I138" s="208">
        <f>IF($P138="","",INDEX('_Datos'!$S$7:$S$200,$P138))</f>
      </c>
      <c r="J138" s="208">
        <f>IF($P138="","",INDEX('_Datos'!$T$7:$T$200,$P138))</f>
      </c>
      <c r="K138" s="207">
        <f>IF($P138="","",INDEX('_Datos'!$V$7:$V$200,$P138))</f>
      </c>
      <c r="L138" s="208">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6">
        <f>IF($P139="","",INDEX('_Datos'!$H$7:$H$200,$P139))</f>
      </c>
      <c r="G139" s="204">
        <f>IF($P139="","",INDEX('_Datos'!$J$7:$J$200,$P139))</f>
      </c>
      <c r="H139" s="208">
        <f>IF($P139="","",INDEX('_Datos'!$K$7:$K$200,$P139))</f>
      </c>
      <c r="I139" s="208">
        <f>IF($P139="","",INDEX('_Datos'!$S$7:$S$200,$P139))</f>
      </c>
      <c r="J139" s="208">
        <f>IF($P139="","",INDEX('_Datos'!$T$7:$T$200,$P139))</f>
      </c>
      <c r="K139" s="207">
        <f>IF($P139="","",INDEX('_Datos'!$V$7:$V$200,$P139))</f>
      </c>
      <c r="L139" s="208">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6">
        <f>IF($P140="","",INDEX('_Datos'!$H$7:$H$200,$P140))</f>
      </c>
      <c r="G140" s="204">
        <f>IF($P140="","",INDEX('_Datos'!$J$7:$J$200,$P140))</f>
      </c>
      <c r="H140" s="208">
        <f>IF($P140="","",INDEX('_Datos'!$K$7:$K$200,$P140))</f>
      </c>
      <c r="I140" s="208">
        <f>IF($P140="","",INDEX('_Datos'!$S$7:$S$200,$P140))</f>
      </c>
      <c r="J140" s="208">
        <f>IF($P140="","",INDEX('_Datos'!$T$7:$T$200,$P140))</f>
      </c>
      <c r="K140" s="207">
        <f>IF($P140="","",INDEX('_Datos'!$V$7:$V$200,$P140))</f>
      </c>
      <c r="L140" s="208">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6">
        <f>IF($P141="","",INDEX('_Datos'!$H$7:$H$200,$P141))</f>
      </c>
      <c r="G141" s="204">
        <f>IF($P141="","",INDEX('_Datos'!$J$7:$J$200,$P141))</f>
      </c>
      <c r="H141" s="208">
        <f>IF($P141="","",INDEX('_Datos'!$K$7:$K$200,$P141))</f>
      </c>
      <c r="I141" s="208">
        <f>IF($P141="","",INDEX('_Datos'!$S$7:$S$200,$P141))</f>
      </c>
      <c r="J141" s="208">
        <f>IF($P141="","",INDEX('_Datos'!$T$7:$T$200,$P141))</f>
      </c>
      <c r="K141" s="207">
        <f>IF($P141="","",INDEX('_Datos'!$V$7:$V$200,$P141))</f>
      </c>
      <c r="L141" s="208">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6">
        <f>IF($P142="","",INDEX('_Datos'!$H$7:$H$200,$P142))</f>
      </c>
      <c r="G142" s="204">
        <f>IF($P142="","",INDEX('_Datos'!$J$7:$J$200,$P142))</f>
      </c>
      <c r="H142" s="208">
        <f>IF($P142="","",INDEX('_Datos'!$K$7:$K$200,$P142))</f>
      </c>
      <c r="I142" s="208">
        <f>IF($P142="","",INDEX('_Datos'!$S$7:$S$200,$P142))</f>
      </c>
      <c r="J142" s="208">
        <f>IF($P142="","",INDEX('_Datos'!$T$7:$T$200,$P142))</f>
      </c>
      <c r="K142" s="207">
        <f>IF($P142="","",INDEX('_Datos'!$V$7:$V$200,$P142))</f>
      </c>
      <c r="L142" s="208">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6">
        <f>IF($P143="","",INDEX('_Datos'!$H$7:$H$200,$P143))</f>
      </c>
      <c r="G143" s="204">
        <f>IF($P143="","",INDEX('_Datos'!$J$7:$J$200,$P143))</f>
      </c>
      <c r="H143" s="208">
        <f>IF($P143="","",INDEX('_Datos'!$K$7:$K$200,$P143))</f>
      </c>
      <c r="I143" s="208">
        <f>IF($P143="","",INDEX('_Datos'!$S$7:$S$200,$P143))</f>
      </c>
      <c r="J143" s="208">
        <f>IF($P143="","",INDEX('_Datos'!$T$7:$T$200,$P143))</f>
      </c>
      <c r="K143" s="207">
        <f>IF($P143="","",INDEX('_Datos'!$V$7:$V$200,$P143))</f>
      </c>
      <c r="L143" s="208">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6">
        <f>IF($P144="","",INDEX('_Datos'!$H$7:$H$200,$P144))</f>
      </c>
      <c r="G144" s="204">
        <f>IF($P144="","",INDEX('_Datos'!$J$7:$J$200,$P144))</f>
      </c>
      <c r="H144" s="208">
        <f>IF($P144="","",INDEX('_Datos'!$K$7:$K$200,$P144))</f>
      </c>
      <c r="I144" s="208">
        <f>IF($P144="","",INDEX('_Datos'!$S$7:$S$200,$P144))</f>
      </c>
      <c r="J144" s="208">
        <f>IF($P144="","",INDEX('_Datos'!$T$7:$T$200,$P144))</f>
      </c>
      <c r="K144" s="207">
        <f>IF($P144="","",INDEX('_Datos'!$V$7:$V$200,$P144))</f>
      </c>
      <c r="L144" s="208">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6">
        <f>IF($P145="","",INDEX('_Datos'!$H$7:$H$200,$P145))</f>
      </c>
      <c r="G145" s="204">
        <f>IF($P145="","",INDEX('_Datos'!$J$7:$J$200,$P145))</f>
      </c>
      <c r="H145" s="208">
        <f>IF($P145="","",INDEX('_Datos'!$K$7:$K$200,$P145))</f>
      </c>
      <c r="I145" s="208">
        <f>IF($P145="","",INDEX('_Datos'!$S$7:$S$200,$P145))</f>
      </c>
      <c r="J145" s="208">
        <f>IF($P145="","",INDEX('_Datos'!$T$7:$T$200,$P145))</f>
      </c>
      <c r="K145" s="207">
        <f>IF($P145="","",INDEX('_Datos'!$V$7:$V$200,$P145))</f>
      </c>
      <c r="L145" s="208">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6">
        <f>IF($P146="","",INDEX('_Datos'!$H$7:$H$200,$P146))</f>
      </c>
      <c r="G146" s="204">
        <f>IF($P146="","",INDEX('_Datos'!$J$7:$J$200,$P146))</f>
      </c>
      <c r="H146" s="208">
        <f>IF($P146="","",INDEX('_Datos'!$K$7:$K$200,$P146))</f>
      </c>
      <c r="I146" s="208">
        <f>IF($P146="","",INDEX('_Datos'!$S$7:$S$200,$P146))</f>
      </c>
      <c r="J146" s="208">
        <f>IF($P146="","",INDEX('_Datos'!$T$7:$T$200,$P146))</f>
      </c>
      <c r="K146" s="207">
        <f>IF($P146="","",INDEX('_Datos'!$V$7:$V$200,$P146))</f>
      </c>
      <c r="L146" s="208">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6">
        <f>IF($P147="","",INDEX('_Datos'!$H$7:$H$200,$P147))</f>
      </c>
      <c r="G147" s="204">
        <f>IF($P147="","",INDEX('_Datos'!$J$7:$J$200,$P147))</f>
      </c>
      <c r="H147" s="208">
        <f>IF($P147="","",INDEX('_Datos'!$K$7:$K$200,$P147))</f>
      </c>
      <c r="I147" s="208">
        <f>IF($P147="","",INDEX('_Datos'!$S$7:$S$200,$P147))</f>
      </c>
      <c r="J147" s="208">
        <f>IF($P147="","",INDEX('_Datos'!$T$7:$T$200,$P147))</f>
      </c>
      <c r="K147" s="207">
        <f>IF($P147="","",INDEX('_Datos'!$V$7:$V$200,$P147))</f>
      </c>
      <c r="L147" s="208">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6">
        <f>IF($P148="","",INDEX('_Datos'!$H$7:$H$200,$P148))</f>
      </c>
      <c r="G148" s="204">
        <f>IF($P148="","",INDEX('_Datos'!$J$7:$J$200,$P148))</f>
      </c>
      <c r="H148" s="208">
        <f>IF($P148="","",INDEX('_Datos'!$K$7:$K$200,$P148))</f>
      </c>
      <c r="I148" s="208">
        <f>IF($P148="","",INDEX('_Datos'!$S$7:$S$200,$P148))</f>
      </c>
      <c r="J148" s="208">
        <f>IF($P148="","",INDEX('_Datos'!$T$7:$T$200,$P148))</f>
      </c>
      <c r="K148" s="207">
        <f>IF($P148="","",INDEX('_Datos'!$V$7:$V$200,$P148))</f>
      </c>
      <c r="L148" s="208">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6">
        <f>IF($P149="","",INDEX('_Datos'!$H$7:$H$200,$P149))</f>
      </c>
      <c r="G149" s="204">
        <f>IF($P149="","",INDEX('_Datos'!$J$7:$J$200,$P149))</f>
      </c>
      <c r="H149" s="208">
        <f>IF($P149="","",INDEX('_Datos'!$K$7:$K$200,$P149))</f>
      </c>
      <c r="I149" s="208">
        <f>IF($P149="","",INDEX('_Datos'!$S$7:$S$200,$P149))</f>
      </c>
      <c r="J149" s="208">
        <f>IF($P149="","",INDEX('_Datos'!$T$7:$T$200,$P149))</f>
      </c>
      <c r="K149" s="207">
        <f>IF($P149="","",INDEX('_Datos'!$V$7:$V$200,$P149))</f>
      </c>
      <c r="L149" s="208">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6">
        <f>IF($P150="","",INDEX('_Datos'!$H$7:$H$200,$P150))</f>
      </c>
      <c r="G150" s="204">
        <f>IF($P150="","",INDEX('_Datos'!$J$7:$J$200,$P150))</f>
      </c>
      <c r="H150" s="208">
        <f>IF($P150="","",INDEX('_Datos'!$K$7:$K$200,$P150))</f>
      </c>
      <c r="I150" s="208">
        <f>IF($P150="","",INDEX('_Datos'!$S$7:$S$200,$P150))</f>
      </c>
      <c r="J150" s="208">
        <f>IF($P150="","",INDEX('_Datos'!$T$7:$T$200,$P150))</f>
      </c>
      <c r="K150" s="207">
        <f>IF($P150="","",INDEX('_Datos'!$V$7:$V$200,$P150))</f>
      </c>
      <c r="L150" s="208">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6">
        <f>IF($P151="","",INDEX('_Datos'!$H$7:$H$200,$P151))</f>
      </c>
      <c r="G151" s="204">
        <f>IF($P151="","",INDEX('_Datos'!$J$7:$J$200,$P151))</f>
      </c>
      <c r="H151" s="208">
        <f>IF($P151="","",INDEX('_Datos'!$K$7:$K$200,$P151))</f>
      </c>
      <c r="I151" s="208">
        <f>IF($P151="","",INDEX('_Datos'!$S$7:$S$200,$P151))</f>
      </c>
      <c r="J151" s="208">
        <f>IF($P151="","",INDEX('_Datos'!$T$7:$T$200,$P151))</f>
      </c>
      <c r="K151" s="207">
        <f>IF($P151="","",INDEX('_Datos'!$V$7:$V$200,$P151))</f>
      </c>
      <c r="L151" s="208">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6">
        <f>IF($P152="","",INDEX('_Datos'!$H$7:$H$200,$P152))</f>
      </c>
      <c r="G152" s="204">
        <f>IF($P152="","",INDEX('_Datos'!$J$7:$J$200,$P152))</f>
      </c>
      <c r="H152" s="208">
        <f>IF($P152="","",INDEX('_Datos'!$K$7:$K$200,$P152))</f>
      </c>
      <c r="I152" s="208">
        <f>IF($P152="","",INDEX('_Datos'!$S$7:$S$200,$P152))</f>
      </c>
      <c r="J152" s="208">
        <f>IF($P152="","",INDEX('_Datos'!$T$7:$T$200,$P152))</f>
      </c>
      <c r="K152" s="207">
        <f>IF($P152="","",INDEX('_Datos'!$V$7:$V$200,$P152))</f>
      </c>
      <c r="L152" s="208">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6">
        <f>IF($P153="","",INDEX('_Datos'!$H$7:$H$200,$P153))</f>
      </c>
      <c r="G153" s="204">
        <f>IF($P153="","",INDEX('_Datos'!$J$7:$J$200,$P153))</f>
      </c>
      <c r="H153" s="208">
        <f>IF($P153="","",INDEX('_Datos'!$K$7:$K$200,$P153))</f>
      </c>
      <c r="I153" s="208">
        <f>IF($P153="","",INDEX('_Datos'!$S$7:$S$200,$P153))</f>
      </c>
      <c r="J153" s="208">
        <f>IF($P153="","",INDEX('_Datos'!$T$7:$T$200,$P153))</f>
      </c>
      <c r="K153" s="207">
        <f>IF($P153="","",INDEX('_Datos'!$V$7:$V$200,$P153))</f>
      </c>
      <c r="L153" s="208">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6">
        <f>IF($P154="","",INDEX('_Datos'!$H$7:$H$200,$P154))</f>
      </c>
      <c r="G154" s="204">
        <f>IF($P154="","",INDEX('_Datos'!$J$7:$J$200,$P154))</f>
      </c>
      <c r="H154" s="208">
        <f>IF($P154="","",INDEX('_Datos'!$K$7:$K$200,$P154))</f>
      </c>
      <c r="I154" s="208">
        <f>IF($P154="","",INDEX('_Datos'!$S$7:$S$200,$P154))</f>
      </c>
      <c r="J154" s="208">
        <f>IF($P154="","",INDEX('_Datos'!$T$7:$T$200,$P154))</f>
      </c>
      <c r="K154" s="207">
        <f>IF($P154="","",INDEX('_Datos'!$V$7:$V$200,$P154))</f>
      </c>
      <c r="L154" s="208">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6">
        <f>IF($P155="","",INDEX('_Datos'!$H$7:$H$200,$P155))</f>
      </c>
      <c r="G155" s="204">
        <f>IF($P155="","",INDEX('_Datos'!$J$7:$J$200,$P155))</f>
      </c>
      <c r="H155" s="208">
        <f>IF($P155="","",INDEX('_Datos'!$K$7:$K$200,$P155))</f>
      </c>
      <c r="I155" s="208">
        <f>IF($P155="","",INDEX('_Datos'!$S$7:$S$200,$P155))</f>
      </c>
      <c r="J155" s="208">
        <f>IF($P155="","",INDEX('_Datos'!$T$7:$T$200,$P155))</f>
      </c>
      <c r="K155" s="207">
        <f>IF($P155="","",INDEX('_Datos'!$V$7:$V$200,$P155))</f>
      </c>
      <c r="L155" s="208">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6">
        <f>IF($P156="","",INDEX('_Datos'!$H$7:$H$200,$P156))</f>
      </c>
      <c r="G156" s="204">
        <f>IF($P156="","",INDEX('_Datos'!$J$7:$J$200,$P156))</f>
      </c>
      <c r="H156" s="208">
        <f>IF($P156="","",INDEX('_Datos'!$K$7:$K$200,$P156))</f>
      </c>
      <c r="I156" s="208">
        <f>IF($P156="","",INDEX('_Datos'!$S$7:$S$200,$P156))</f>
      </c>
      <c r="J156" s="208">
        <f>IF($P156="","",INDEX('_Datos'!$T$7:$T$200,$P156))</f>
      </c>
      <c r="K156" s="207">
        <f>IF($P156="","",INDEX('_Datos'!$V$7:$V$200,$P156))</f>
      </c>
      <c r="L156" s="208">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2">
        <f>ROW()</f>
      </c>
      <c r="B7" s="202">
        <f>ISTEXT('Proyecto Datos (OKR´s)'!$K7)</f>
      </c>
      <c r="C7" s="202">
        <f>AND(LEN('Proyecto Datos (OKR´s)'!$G7)&gt;0,NOT($B7),OR(ISNUMBER('Proyecto Datos (OKR´s)'!$F7),ISNUMBER('Proyecto Datos (OKR´s)'!$L7)))</f>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IF($C7,'Proyecto Datos (OKR´s)'!$J7,"")</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c>
      <c r="Q7" s="202">
        <f>IF(COUNTIF($AD$7:$AD$200,$P7)&gt;0,$P7,"")</f>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f>IF($C7,$AV7&lt;&gt;$AR7,FALSE)</f>
      </c>
      <c r="AG7" s="202">
        <f>IF($C7,IF($AV7&lt;&gt;$AR7,$AW7,""),"")</f>
      </c>
      <c r="AH7" s="203">
        <f>IF($C7,'Backlog General'!$L7,"")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IF($C7,IFERROR(VLOOKUP($D7,'Sprints'!$G$5:$H$12,2,FALSE),"Semanal"),"")</f>
      </c>
      <c r="AP7" s="202">
        <f>IF($C7,IF($AO7="Semanal",'Sprints'!$D$5,IF($AO7="Quincenal",'Sprints'!$D$6,'Sprints'!$D$7)),"")</f>
      </c>
      <c r="AQ7" s="202">
        <f>IF($C7,IF($AO7="Semanal",'Sprints'!$C$5,IF($AO7="Quincenal",'Sprints'!$C$6,'Sprints'!$C$7)),"")</f>
      </c>
      <c r="AR7" s="202">
        <f>IF(AND($C7,ISNUMBER($H7)),MAX(1,INT(($H7-$AQ7)/$AP7)+1),"")</f>
      </c>
      <c r="AS7" s="202">
        <f>IF($C7,IF($AO7="Semanal",'Sprints'!$E$5,IF($AO7="Quincenal",'Sprints'!$E$6,'Sprints'!$E$7)),"")</f>
      </c>
      <c r="AT7" s="203">
        <f>IF($C7,'Backlog General'!$G7,"")</f>
      </c>
      <c r="AU7" s="203">
        <f>IF($C7,'Backlog General'!$H7,"")</f>
      </c>
      <c r="AV7" s="202">
        <f>IF(AND($C7,ISNUMBER($AR7)),IF(OR($AT7="Completo",$AU7="Cancelado",$AU7="Baja prioridad"),$AR7,IF($AU7="Pasa al siguiente",MAX($AR7+1,$AS7),MAX($AR7,$AS7))),"")</f>
      </c>
      <c r="AW7" s="202">
        <f>IF(AND($C7,ISNUMBER($AR7)),$AQ7+$AR7*$AP7-1,"")</f>
      </c>
      <c r="AX7" s="202">
        <f>IF($C7,IF(OR($AT7="Completo",$AU7="Cancelado",$AU7="Baja prioridad",NOT(ISNUMBER($AW7))),0,MAX(0,TODAY()-$AW7)),"")</f>
      </c>
      <c r="AY7" s="203">
        <f>IF($C7,IF(NOT(ISNUMBER($AR7)),"Sin fecha",IF($AT7="Completo","Completo",IF($AU7="Cancelado","Cancelado",IF($AU7="Baja prioridad","Baja prioridad",IF($AX7&gt;0,"Vencida","Pendiente"))))),"")</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row>
    <row r="8">
      <c r="A8" s="202">
        <f>ROW()</f>
      </c>
      <c r="B8" s="202">
        <f>ISTEXT('Proyecto Datos (OKR´s)'!$K8)</f>
      </c>
      <c r="C8" s="202">
        <f>AND(LEN('Proyecto Datos (OKR´s)'!$G8)&gt;0,NOT($B8),OR(ISNUMBER('Proyecto Datos (OKR´s)'!$F8),ISNUMBER('Proyecto Datos (OKR´s)'!$L8)))</f>
      </c>
      <c r="D8" s="203">
        <f>IF($C8,IFERROR(LOOKUP(2,1/((ISTEXT('Proyecto Datos (OKR´s)'!$K$7:$K8))*(LEN('Proyecto Datos (OKR´s)'!$G$7:$G8)&gt;0)),'Proyecto Datos (OKR´s)'!$G$7:$G8),""),"")</f>
      </c>
      <c r="E8" s="202">
        <f>IF($C8,'Proyecto Datos (OKR´s)'!$E8,"")</f>
      </c>
      <c r="F8" s="203">
        <f>IF($C8,'Proyecto Datos (OKR´s)'!$G8,"")</f>
      </c>
      <c r="G8" s="203">
        <f>IF($C8,IF('Proyecto Datos (OKR´s)'!$I8="","(Sin asignar)",'Proyecto Datos (OKR´s)'!$I8),"")</f>
      </c>
      <c r="H8" s="202">
        <f>IF($C8,IF(ISNUMBER('Proyecto Datos (OKR´s)'!$F8),'Proyecto Datos (OKR´s)'!$F8,""),"")</f>
      </c>
      <c r="I8" s="202">
        <f>IF($C8,'Proyecto Datos (OKR´s)'!$J8,"")</f>
      </c>
      <c r="J8" s="203">
        <f>IF($C8,IF($I8&gt;=1,"Completado",IF(NOT(ISNUMBER($H8)),"Sin fecha",IF($H8&lt;TODAY(),"Vencido",IF(($H8-TODAY())&lt;='Entregas Próximas'!$M$3,"Próximo a vencer","En curso")))),"")</f>
      </c>
      <c r="K8" s="202">
        <f>IF(AND($C8,ISNUMBER($H8)),$H8-TODAY(),"")</f>
      </c>
      <c r="L8" s="202">
        <f>IF(AND($C8,ISNUMBER($H8)),$AD8*1000000+$H8+ROW()/100000,"")</f>
      </c>
      <c r="M8" s="202">
        <f>IF($C8,IF($AD8=9999,"(Sin sprint)",$AD8),"")</f>
      </c>
      <c r="N8" s="202">
        <f>IF($C8,IF('Proyecto Datos (OKR´s)'!$E8="",9999,'Proyecto Datos (OKR´s)'!$E8),"")</f>
      </c>
      <c r="O8" s="202">
        <f>IF($C8,"T"&amp;TEXT(ROW(),"000"),"")</f>
      </c>
      <c r="P8" s="202">
        <f>ROW()-6</f>
      </c>
      <c r="Q8" s="202">
        <f>IF(COUNTIF($AD$7:$AD$200,$P8)&gt;0,$P8,"")</f>
      </c>
      <c r="R8" s="202">
        <f>IF($C8,IF(ISNUMBER('Proyecto Datos (OKR´s)'!$L8),'Proyecto Datos (OKR´s)'!$L8,$H8),"")</f>
      </c>
      <c r="S8" s="202">
        <f>IF($C8,$R8-'Proyecto Datos (OKR´s)'!$K8+1,"")</f>
      </c>
      <c r="T8" s="202">
        <f>IF($C8,MAX(0,TODAY()-'Proyecto Datos (OKR´s)'!$K8),"")</f>
      </c>
      <c r="U8" s="202">
        <f>IF($C8,MEDIAN(0,(TODAY()-'Proyecto Datos (OKR´s)'!$K8)/MAX(1,$R8-'Proyecto Datos (OKR´s)'!$K8),1),"")</f>
      </c>
      <c r="V8" s="202">
        <f>IF($C8,$I8-$U8,"")</f>
      </c>
      <c r="W8" s="202">
        <f>IF($C8,IF(OR($J8="Completado",NOT(ISNUMBER($H8))),0,MAX(0,TODAY()-$H8)),"")</f>
      </c>
      <c r="X8" s="202">
        <f>IF($C8,IF(ISNUMBER($H8),$R8-$H8,0),"")</f>
      </c>
      <c r="Y8" s="202">
        <f>IF($C8,COUNTIFS($G$7:$G$200,$G8,$J$7:$J$200,"&lt;&gt;Completado",$J$7:$J$200,"&lt;&gt;"),"")</f>
      </c>
      <c r="Z8" s="202">
        <f>IF($C8,AND($I8=0,'Proyecto Datos (OKR´s)'!$K8&lt;=TODAY(),$J8&lt;&gt;"Completado"),"")</f>
      </c>
      <c r="AA8" s="202">
        <f>IF($C8,ROUND(100*(0.35*$AK8+0.3*$AL8+0.2*$AM8+0.15*MEDIAN(0,($Y8-4)/8,1)),0),"")</f>
      </c>
      <c r="AB8" s="203">
        <f>IF($C8,IF(OR($J8="Completado",$J8="Sin fecha"),"—",IF($AA8&gt;=70,"Crítica",IF($AA8&gt;=45,"Alta",IF($AA8&gt;=25,"Media","Baja")))),"")</f>
      </c>
      <c r="AC8" s="203">
        <f>IF($C8,IF(LEN(TRIM($AN8))=0,"—",TRIM($AN8)),"")</f>
      </c>
      <c r="AD8" s="202">
        <f>IF($C8,$AV8,"")</f>
      </c>
      <c r="AE8" s="202">
        <f>IF($C8,$AZ8,"")</f>
      </c>
      <c r="AF8" s="202">
        <f>IF($C8,$AV8&lt;&gt;$AR8,FALSE)</f>
      </c>
      <c r="AG8" s="202">
        <f>IF($C8,IF($AV8&lt;&gt;$AR8,$AW8,""),"")</f>
      </c>
      <c r="AH8" s="203">
        <f>IF($C8,'Backlog General'!$L8,"")</f>
      </c>
      <c r="AI8" s="202">
        <f>IF($C8,$AV8*100000+ROW(),"")</f>
      </c>
      <c r="AJ8" s="202">
        <f>IF(AND($C8,ISNUMBER($H8)),$AA8*1000000-MEDIAN(-9999,$K8,9999)*100+(300-ROW()),"")</f>
      </c>
      <c r="AK8" s="202">
        <f>IF($C8,IF($J8="Completado",0,IF($K8&lt;0,1,IF($K8&lt;=3,0.9,IF($K8&lt;=7,0.7,IF($K8&lt;=14,0.45,0.2))))),"")</f>
      </c>
      <c r="AL8" s="202">
        <f>IF($C8,IF($J8="Completado",0,MEDIAN(0,MAX(-$V8,$W8/30),1)),"")</f>
      </c>
      <c r="AM8" s="202">
        <f>IF($C8,IF($J8="Completado",0,IF($Z8,1,IF(AND($I8&lt;0.5,$K8&lt;=7),0.7,0.3))),"")</f>
      </c>
      <c r="AN8" s="203">
        <f>IF($C8,IF(OR($V8&lt;-0.2,$W8&gt;0),"ATRASO ","")&amp;IF($Z8,"BLOQUEO ","")&amp;IF($Y8&gt;8,"SOBRECARGA ","")&amp;IF($X8&gt;0,"DESVÍO-PLAN ",""),"")</f>
      </c>
      <c r="AO8" s="203">
        <f>IF($C8,IFERROR(VLOOKUP($D8,'Sprints'!$G$5:$H$12,2,FALSE),"Semanal"),"")</f>
      </c>
      <c r="AP8" s="202">
        <f>IF($C8,IF($AO8="Semanal",'Sprints'!$D$5,IF($AO8="Quincenal",'Sprints'!$D$6,'Sprints'!$D$7)),"")</f>
      </c>
      <c r="AQ8" s="202">
        <f>IF($C8,IF($AO8="Semanal",'Sprints'!$C$5,IF($AO8="Quincenal",'Sprints'!$C$6,'Sprints'!$C$7)),"")</f>
      </c>
      <c r="AR8" s="202">
        <f>IF(AND($C8,ISNUMBER($H8)),MAX(1,INT(($H8-$AQ8)/$AP8)+1),"")</f>
      </c>
      <c r="AS8" s="202">
        <f>IF($C8,IF($AO8="Semanal",'Sprints'!$E$5,IF($AO8="Quincenal",'Sprints'!$E$6,'Sprints'!$E$7)),"")</f>
      </c>
      <c r="AT8" s="203">
        <f>IF($C8,'Backlog General'!$G8,"")</f>
      </c>
      <c r="AU8" s="203">
        <f>IF($C8,'Backlog General'!$H8,"")</f>
      </c>
      <c r="AV8" s="202">
        <f>IF(AND($C8,ISNUMBER($AR8)),IF(OR($AT8="Completo",$AU8="Cancelado",$AU8="Baja prioridad"),$AR8,IF($AU8="Pasa al siguiente",MAX($AR8+1,$AS8),MAX($AR8,$AS8))),"")</f>
      </c>
      <c r="AW8" s="202">
        <f>IF(AND($C8,ISNUMBER($AR8)),$AQ8+$AR8*$AP8-1,"")</f>
      </c>
      <c r="AX8" s="202">
        <f>IF($C8,IF(OR($AT8="Completo",$AU8="Cancelado",$AU8="Baja prioridad",NOT(ISNUMBER($AW8))),0,MAX(0,TODAY()-$AW8)),"")</f>
      </c>
      <c r="AY8" s="203">
        <f>IF($C8,IF(NOT(ISNUMBER($AR8)),"Sin fecha",IF($AT8="Completo","Completo",IF($AU8="Cancelado","Cancelado",IF($AU8="Baja prioridad","Baja prioridad",IF($AX8&gt;0,"Vencida","Pendiente"))))),"")</f>
      </c>
      <c r="AZ8" s="203">
        <f>IF($C8,IF(ISNUMBER($AV8),$AO8&amp;" · S"&amp;$AV8,"(Sin fecha)"),"")</f>
      </c>
      <c r="BA8" s="202">
        <f>IF($C8,IF(AND(ISNUMBER('Backlog General'!$M8),'Backlog General'!$M8=$AS8),"Nuevo S"&amp;'Backlog General'!$M8,""),"")</f>
      </c>
      <c r="BB8" s="202">
        <f>IF(AND($C8,$AO8="Semanal",ISNUMBER($AV8)),$AV8*100000+ROW(),"")</f>
      </c>
      <c r="BC8" s="202">
        <f>IF(AND($C8,$AO8="Quincenal",ISNUMBER($AV8)),$AV8*100000+ROW(),"")</f>
      </c>
      <c r="BD8" s="202">
        <f>IF(AND($C8,$AO8="Mensual",ISNUMBER($AV8)),$AV8*100000+ROW(),"")</f>
      </c>
    </row>
    <row r="9">
      <c r="A9" s="202">
        <f>ROW()</f>
      </c>
      <c r="B9" s="202">
        <f>ISTEXT('Proyecto Datos (OKR´s)'!$K9)</f>
      </c>
      <c r="C9" s="202">
        <f>AND(LEN('Proyecto Datos (OKR´s)'!$G9)&gt;0,NOT($B9),OR(ISNUMBER('Proyecto Datos (OKR´s)'!$F9),ISNUMBER('Proyecto Datos (OKR´s)'!$L9)))</f>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IF($C9,'Proyecto Datos (OKR´s)'!$J9,"")</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f>IF($C9,$AV9&lt;&gt;$AR9,FALSE)</f>
      </c>
      <c r="AG9" s="202">
        <f>IF($C9,IF($AV9&lt;&gt;$AR9,$AW9,""),"")</f>
      </c>
      <c r="AH9" s="203">
        <f>IF($C9,'Backlog General'!$L9,"")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IF($C9,IFERROR(VLOOKUP($D9,'Sprints'!$G$5:$H$12,2,FALSE),"Semanal"),"")</f>
      </c>
      <c r="AP9" s="202">
        <f>IF($C9,IF($AO9="Semanal",'Sprints'!$D$5,IF($AO9="Quincenal",'Sprints'!$D$6,'Sprints'!$D$7)),"")</f>
      </c>
      <c r="AQ9" s="202">
        <f>IF($C9,IF($AO9="Semanal",'Sprints'!$C$5,IF($AO9="Quincenal",'Sprints'!$C$6,'Sprints'!$C$7)),"")</f>
      </c>
      <c r="AR9" s="202">
        <f>IF(AND($C9,ISNUMBER($H9)),MAX(1,INT(($H9-$AQ9)/$AP9)+1),"")</f>
      </c>
      <c r="AS9" s="202">
        <f>IF($C9,IF($AO9="Semanal",'Sprints'!$E$5,IF($AO9="Quincenal",'Sprints'!$E$6,'Sprints'!$E$7)),"")</f>
      </c>
      <c r="AT9" s="203">
        <f>IF($C9,'Backlog General'!$G9,"")</f>
      </c>
      <c r="AU9" s="203">
        <f>IF($C9,'Backlog General'!$H9,"")</f>
      </c>
      <c r="AV9" s="202">
        <f>IF(AND($C9,ISNUMBER($AR9)),IF(OR($AT9="Completo",$AU9="Cancelado",$AU9="Baja prioridad"),$AR9,IF($AU9="Pasa al siguiente",MAX($AR9+1,$AS9),MAX($AR9,$AS9))),"")</f>
      </c>
      <c r="AW9" s="202">
        <f>IF(AND($C9,ISNUMBER($AR9)),$AQ9+$AR9*$AP9-1,"")</f>
      </c>
      <c r="AX9" s="202">
        <f>IF($C9,IF(OR($AT9="Completo",$AU9="Cancelado",$AU9="Baja prioridad",NOT(ISNUMBER($AW9))),0,MAX(0,TODAY()-$AW9)),"")</f>
      </c>
      <c r="AY9" s="203">
        <f>IF($C9,IF(NOT(ISNUMBER($AR9)),"Sin fecha",IF($AT9="Completo","Completo",IF($AU9="Cancelado","Cancelado",IF($AU9="Baja prioridad","Baja prioridad",IF($AX9&gt;0,"Vencida","Pendiente"))))),"")</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row>
    <row r="10">
      <c r="A10" s="202">
        <f>ROW()</f>
      </c>
      <c r="B10" s="202">
        <f>ISTEXT('Proyecto Datos (OKR´s)'!$K10)</f>
      </c>
      <c r="C10" s="202">
        <f>AND(LEN('Proyecto Datos (OKR´s)'!$G10)&gt;0,NOT($B10),OR(ISNUMBER('Proyecto Datos (OKR´s)'!$F10),ISNUMBER('Proyecto Datos (OKR´s)'!$L10)))</f>
      </c>
      <c r="D10" s="203">
        <f>IF($C10,IFERROR(LOOKUP(2,1/((ISTEXT('Proyecto Datos (OKR´s)'!$K$7:$K10))*(LEN('Proyecto Datos (OKR´s)'!$G$7:$G10)&gt;0)),'Proyecto Datos (OKR´s)'!$G$7:$G10),""),"")</f>
      </c>
      <c r="E10" s="202">
        <f>IF($C10,'Proyecto Datos (OKR´s)'!$E10,"")</f>
      </c>
      <c r="F10" s="203">
        <f>IF($C10,'Proyecto Datos (OKR´s)'!$G10,"")</f>
      </c>
      <c r="G10" s="203">
        <f>IF($C10,IF('Proyecto Datos (OKR´s)'!$I10="","(Sin asignar)",'Proyecto Datos (OKR´s)'!$I10),"")</f>
      </c>
      <c r="H10" s="202">
        <f>IF($C10,IF(ISNUMBER('Proyecto Datos (OKR´s)'!$F10),'Proyecto Datos (OKR´s)'!$F10,""),"")</f>
      </c>
      <c r="I10" s="202">
        <f>IF($C10,'Proyecto Datos (OKR´s)'!$J10,"")</f>
      </c>
      <c r="J10" s="203">
        <f>IF($C10,IF($I10&gt;=1,"Completado",IF(NOT(ISNUMBER($H10)),"Sin fecha",IF($H10&lt;TODAY(),"Vencido",IF(($H10-TODAY())&lt;='Entregas Próximas'!$M$3,"Próximo a vencer","En curso")))),"")</f>
      </c>
      <c r="K10" s="202">
        <f>IF(AND($C10,ISNUMBER($H10)),$H10-TODAY(),"")</f>
      </c>
      <c r="L10" s="202">
        <f>IF(AND($C10,ISNUMBER($H10)),$AD10*1000000+$H10+ROW()/100000,"")</f>
      </c>
      <c r="M10" s="202">
        <f>IF($C10,IF($AD10=9999,"(Sin sprint)",$AD10),"")</f>
      </c>
      <c r="N10" s="202">
        <f>IF($C10,IF('Proyecto Datos (OKR´s)'!$E10="",9999,'Proyecto Datos (OKR´s)'!$E10),"")</f>
      </c>
      <c r="O10" s="202">
        <f>IF($C10,"T"&amp;TEXT(ROW(),"000"),"")</f>
      </c>
      <c r="P10" s="202">
        <f>ROW()-6</f>
      </c>
      <c r="Q10" s="202">
        <f>IF(COUNTIF($AD$7:$AD$200,$P10)&gt;0,$P10,"")</f>
      </c>
      <c r="R10" s="202">
        <f>IF($C10,IF(ISNUMBER('Proyecto Datos (OKR´s)'!$L10),'Proyecto Datos (OKR´s)'!$L10,$H10),"")</f>
      </c>
      <c r="S10" s="202">
        <f>IF($C10,$R10-'Proyecto Datos (OKR´s)'!$K10+1,"")</f>
      </c>
      <c r="T10" s="202">
        <f>IF($C10,MAX(0,TODAY()-'Proyecto Datos (OKR´s)'!$K10),"")</f>
      </c>
      <c r="U10" s="202">
        <f>IF($C10,MEDIAN(0,(TODAY()-'Proyecto Datos (OKR´s)'!$K10)/MAX(1,$R10-'Proyecto Datos (OKR´s)'!$K10),1),"")</f>
      </c>
      <c r="V10" s="202">
        <f>IF($C10,$I10-$U10,"")</f>
      </c>
      <c r="W10" s="202">
        <f>IF($C10,IF(OR($J10="Completado",NOT(ISNUMBER($H10))),0,MAX(0,TODAY()-$H10)),"")</f>
      </c>
      <c r="X10" s="202">
        <f>IF($C10,IF(ISNUMBER($H10),$R10-$H10,0),"")</f>
      </c>
      <c r="Y10" s="202">
        <f>IF($C10,COUNTIFS($G$7:$G$200,$G10,$J$7:$J$200,"&lt;&gt;Completado",$J$7:$J$200,"&lt;&gt;"),"")</f>
      </c>
      <c r="Z10" s="202">
        <f>IF($C10,AND($I10=0,'Proyecto Datos (OKR´s)'!$K10&lt;=TODAY(),$J10&lt;&gt;"Completado"),"")</f>
      </c>
      <c r="AA10" s="202">
        <f>IF($C10,ROUND(100*(0.35*$AK10+0.3*$AL10+0.2*$AM10+0.15*MEDIAN(0,($Y10-4)/8,1)),0),"")</f>
      </c>
      <c r="AB10" s="203">
        <f>IF($C10,IF(OR($J10="Completado",$J10="Sin fecha"),"—",IF($AA10&gt;=70,"Crítica",IF($AA10&gt;=45,"Alta",IF($AA10&gt;=25,"Media","Baja")))),"")</f>
      </c>
      <c r="AC10" s="203">
        <f>IF($C10,IF(LEN(TRIM($AN10))=0,"—",TRIM($AN10)),"")</f>
      </c>
      <c r="AD10" s="202">
        <f>IF($C10,$AV10,"")</f>
      </c>
      <c r="AE10" s="202">
        <f>IF($C10,$AZ10,"")</f>
      </c>
      <c r="AF10" s="202">
        <f>IF($C10,$AV10&lt;&gt;$AR10,FALSE)</f>
      </c>
      <c r="AG10" s="202">
        <f>IF($C10,IF($AV10&lt;&gt;$AR10,$AW10,""),"")</f>
      </c>
      <c r="AH10" s="203">
        <f>IF($C10,'Backlog General'!$L10,"")</f>
      </c>
      <c r="AI10" s="202">
        <f>IF($C10,$AV10*100000+ROW(),"")</f>
      </c>
      <c r="AJ10" s="202">
        <f>IF(AND($C10,ISNUMBER($H10)),$AA10*1000000-MEDIAN(-9999,$K10,9999)*100+(300-ROW()),"")</f>
      </c>
      <c r="AK10" s="202">
        <f>IF($C10,IF($J10="Completado",0,IF($K10&lt;0,1,IF($K10&lt;=3,0.9,IF($K10&lt;=7,0.7,IF($K10&lt;=14,0.45,0.2))))),"")</f>
      </c>
      <c r="AL10" s="202">
        <f>IF($C10,IF($J10="Completado",0,MEDIAN(0,MAX(-$V10,$W10/30),1)),"")</f>
      </c>
      <c r="AM10" s="202">
        <f>IF($C10,IF($J10="Completado",0,IF($Z10,1,IF(AND($I10&lt;0.5,$K10&lt;=7),0.7,0.3))),"")</f>
      </c>
      <c r="AN10" s="203">
        <f>IF($C10,IF(OR($V10&lt;-0.2,$W10&gt;0),"ATRASO ","")&amp;IF($Z10,"BLOQUEO ","")&amp;IF($Y10&gt;8,"SOBRECARGA ","")&amp;IF($X10&gt;0,"DESVÍO-PLAN ",""),"")</f>
      </c>
      <c r="AO10" s="203">
        <f>IF($C10,IFERROR(VLOOKUP($D10,'Sprints'!$G$5:$H$12,2,FALSE),"Semanal"),"")</f>
      </c>
      <c r="AP10" s="202">
        <f>IF($C10,IF($AO10="Semanal",'Sprints'!$D$5,IF($AO10="Quincenal",'Sprints'!$D$6,'Sprints'!$D$7)),"")</f>
      </c>
      <c r="AQ10" s="202">
        <f>IF($C10,IF($AO10="Semanal",'Sprints'!$C$5,IF($AO10="Quincenal",'Sprints'!$C$6,'Sprints'!$C$7)),"")</f>
      </c>
      <c r="AR10" s="202">
        <f>IF(AND($C10,ISNUMBER($H10)),MAX(1,INT(($H10-$AQ10)/$AP10)+1),"")</f>
      </c>
      <c r="AS10" s="202">
        <f>IF($C10,IF($AO10="Semanal",'Sprints'!$E$5,IF($AO10="Quincenal",'Sprints'!$E$6,'Sprints'!$E$7)),"")</f>
      </c>
      <c r="AT10" s="203">
        <f>IF($C10,'Backlog General'!$G10,"")</f>
      </c>
      <c r="AU10" s="203">
        <f>IF($C10,'Backlog General'!$H10,"")</f>
      </c>
      <c r="AV10" s="202">
        <f>IF(AND($C10,ISNUMBER($AR10)),IF(OR($AT10="Completo",$AU10="Cancelado",$AU10="Baja prioridad"),$AR10,IF($AU10="Pasa al siguiente",MAX($AR10+1,$AS10),MAX($AR10,$AS10))),"")</f>
      </c>
      <c r="AW10" s="202">
        <f>IF(AND($C10,ISNUMBER($AR10)),$AQ10+$AR10*$AP10-1,"")</f>
      </c>
      <c r="AX10" s="202">
        <f>IF($C10,IF(OR($AT10="Completo",$AU10="Cancelado",$AU10="Baja prioridad",NOT(ISNUMBER($AW10))),0,MAX(0,TODAY()-$AW10)),"")</f>
      </c>
      <c r="AY10" s="203">
        <f>IF($C10,IF(NOT(ISNUMBER($AR10)),"Sin fecha",IF($AT10="Completo","Completo",IF($AU10="Cancelado","Cancelado",IF($AU10="Baja prioridad","Baja prioridad",IF($AX10&gt;0,"Vencida","Pendiente"))))),"")</f>
      </c>
      <c r="AZ10" s="203">
        <f>IF($C10,IF(ISNUMBER($AV10),$AO10&amp;" · S"&amp;$AV10,"(Sin fecha)"),"")</f>
      </c>
      <c r="BA10" s="202">
        <f>IF($C10,IF(AND(ISNUMBER('Backlog General'!$M10),'Backlog General'!$M10=$AS10),"Nuevo S"&amp;'Backlog General'!$M10,""),"")</f>
      </c>
      <c r="BB10" s="202">
        <f>IF(AND($C10,$AO10="Semanal",ISNUMBER($AV10)),$AV10*100000+ROW(),"")</f>
      </c>
      <c r="BC10" s="202">
        <f>IF(AND($C10,$AO10="Quincenal",ISNUMBER($AV10)),$AV10*100000+ROW(),"")</f>
      </c>
      <c r="BD10" s="202">
        <f>IF(AND($C10,$AO10="Mensual",ISNUMBER($AV10)),$AV10*100000+ROW(),"")</f>
      </c>
    </row>
    <row r="11">
      <c r="A11" s="202">
        <f>ROW()</f>
      </c>
      <c r="B11" s="202">
        <f>ISTEXT('Proyecto Datos (OKR´s)'!$K11)</f>
      </c>
      <c r="C11" s="202">
        <f>AND(LEN('Proyecto Datos (OKR´s)'!$G11)&gt;0,NOT($B11),OR(ISNUMBER('Proyecto Datos (OKR´s)'!$F11),ISNUMBER('Proyecto Datos (OKR´s)'!$L11)))</f>
      </c>
      <c r="D11" s="203">
        <f>IF($C11,IFERROR(LOOKUP(2,1/((ISTEXT('Proyecto Datos (OKR´s)'!$K$7:$K11))*(LEN('Proyecto Datos (OKR´s)'!$G$7:$G11)&gt;0)),'Proyecto Datos (OKR´s)'!$G$7:$G11),""),"")</f>
      </c>
      <c r="E11" s="202">
        <f>IF($C11,'Proyecto Datos (OKR´s)'!$E11,"")</f>
      </c>
      <c r="F11" s="203">
        <f>IF($C11,'Proyecto Datos (OKR´s)'!$G11,"")</f>
      </c>
      <c r="G11" s="203">
        <f>IF($C11,IF('Proyecto Datos (OKR´s)'!$I11="","(Sin asignar)",'Proyecto Datos (OKR´s)'!$I11),"")</f>
      </c>
      <c r="H11" s="202">
        <f>IF($C11,IF(ISNUMBER('Proyecto Datos (OKR´s)'!$F11),'Proyecto Datos (OKR´s)'!$F11,""),"")</f>
      </c>
      <c r="I11" s="202">
        <f>IF($C11,'Proyecto Datos (OKR´s)'!$J11,"")</f>
      </c>
      <c r="J11" s="203">
        <f>IF($C11,IF($I11&gt;=1,"Completado",IF(NOT(ISNUMBER($H11)),"Sin fecha",IF($H11&lt;TODAY(),"Vencido",IF(($H11-TODAY())&lt;='Entregas Próximas'!$M$3,"Próximo a vencer","En curso")))),"")</f>
      </c>
      <c r="K11" s="202">
        <f>IF(AND($C11,ISNUMBER($H11)),$H11-TODAY(),"")</f>
      </c>
      <c r="L11" s="202">
        <f>IF(AND($C11,ISNUMBER($H11)),$AD11*1000000+$H11+ROW()/100000,"")</f>
      </c>
      <c r="M11" s="202">
        <f>IF($C11,IF($AD11=9999,"(Sin sprint)",$AD11),"")</f>
      </c>
      <c r="N11" s="202">
        <f>IF($C11,IF('Proyecto Datos (OKR´s)'!$E11="",9999,'Proyecto Datos (OKR´s)'!$E11),"")</f>
      </c>
      <c r="O11" s="202">
        <f>IF($C11,"T"&amp;TEXT(ROW(),"000"),"")</f>
      </c>
      <c r="P11" s="202">
        <f>ROW()-6</f>
      </c>
      <c r="Q11" s="202">
        <f>IF(COUNTIF($AD$7:$AD$200,$P11)&gt;0,$P11,"")</f>
      </c>
      <c r="R11" s="202">
        <f>IF($C11,IF(ISNUMBER('Proyecto Datos (OKR´s)'!$L11),'Proyecto Datos (OKR´s)'!$L11,$H11),"")</f>
      </c>
      <c r="S11" s="202">
        <f>IF($C11,$R11-'Proyecto Datos (OKR´s)'!$K11+1,"")</f>
      </c>
      <c r="T11" s="202">
        <f>IF($C11,MAX(0,TODAY()-'Proyecto Datos (OKR´s)'!$K11),"")</f>
      </c>
      <c r="U11" s="202">
        <f>IF($C11,MEDIAN(0,(TODAY()-'Proyecto Datos (OKR´s)'!$K11)/MAX(1,$R11-'Proyecto Datos (OKR´s)'!$K11),1),"")</f>
      </c>
      <c r="V11" s="202">
        <f>IF($C11,$I11-$U11,"")</f>
      </c>
      <c r="W11" s="202">
        <f>IF($C11,IF(OR($J11="Completado",NOT(ISNUMBER($H11))),0,MAX(0,TODAY()-$H11)),"")</f>
      </c>
      <c r="X11" s="202">
        <f>IF($C11,IF(ISNUMBER($H11),$R11-$H11,0),"")</f>
      </c>
      <c r="Y11" s="202">
        <f>IF($C11,COUNTIFS($G$7:$G$200,$G11,$J$7:$J$200,"&lt;&gt;Completado",$J$7:$J$200,"&lt;&gt;"),"")</f>
      </c>
      <c r="Z11" s="202">
        <f>IF($C11,AND($I11=0,'Proyecto Datos (OKR´s)'!$K11&lt;=TODAY(),$J11&lt;&gt;"Completado"),"")</f>
      </c>
      <c r="AA11" s="202">
        <f>IF($C11,ROUND(100*(0.35*$AK11+0.3*$AL11+0.2*$AM11+0.15*MEDIAN(0,($Y11-4)/8,1)),0),"")</f>
      </c>
      <c r="AB11" s="203">
        <f>IF($C11,IF(OR($J11="Completado",$J11="Sin fecha"),"—",IF($AA11&gt;=70,"Crítica",IF($AA11&gt;=45,"Alta",IF($AA11&gt;=25,"Media","Baja")))),"")</f>
      </c>
      <c r="AC11" s="203">
        <f>IF($C11,IF(LEN(TRIM($AN11))=0,"—",TRIM($AN11)),"")</f>
      </c>
      <c r="AD11" s="202">
        <f>IF($C11,$AV11,"")</f>
      </c>
      <c r="AE11" s="202">
        <f>IF($C11,$AZ11,"")</f>
      </c>
      <c r="AF11" s="202">
        <f>IF($C11,$AV11&lt;&gt;$AR11,FALSE)</f>
      </c>
      <c r="AG11" s="202">
        <f>IF($C11,IF($AV11&lt;&gt;$AR11,$AW11,""),"")</f>
      </c>
      <c r="AH11" s="203">
        <f>IF($C11,'Backlog General'!$L11,"")</f>
      </c>
      <c r="AI11" s="202">
        <f>IF($C11,$AV11*100000+ROW(),"")</f>
      </c>
      <c r="AJ11" s="202">
        <f>IF(AND($C11,ISNUMBER($H11)),$AA11*1000000-MEDIAN(-9999,$K11,9999)*100+(300-ROW()),"")</f>
      </c>
      <c r="AK11" s="202">
        <f>IF($C11,IF($J11="Completado",0,IF($K11&lt;0,1,IF($K11&lt;=3,0.9,IF($K11&lt;=7,0.7,IF($K11&lt;=14,0.45,0.2))))),"")</f>
      </c>
      <c r="AL11" s="202">
        <f>IF($C11,IF($J11="Completado",0,MEDIAN(0,MAX(-$V11,$W11/30),1)),"")</f>
      </c>
      <c r="AM11" s="202">
        <f>IF($C11,IF($J11="Completado",0,IF($Z11,1,IF(AND($I11&lt;0.5,$K11&lt;=7),0.7,0.3))),"")</f>
      </c>
      <c r="AN11" s="203">
        <f>IF($C11,IF(OR($V11&lt;-0.2,$W11&gt;0),"ATRASO ","")&amp;IF($Z11,"BLOQUEO ","")&amp;IF($Y11&gt;8,"SOBRECARGA ","")&amp;IF($X11&gt;0,"DESVÍO-PLAN ",""),"")</f>
      </c>
      <c r="AO11" s="203">
        <f>IF($C11,IFERROR(VLOOKUP($D11,'Sprints'!$G$5:$H$12,2,FALSE),"Semanal"),"")</f>
      </c>
      <c r="AP11" s="202">
        <f>IF($C11,IF($AO11="Semanal",'Sprints'!$D$5,IF($AO11="Quincenal",'Sprints'!$D$6,'Sprints'!$D$7)),"")</f>
      </c>
      <c r="AQ11" s="202">
        <f>IF($C11,IF($AO11="Semanal",'Sprints'!$C$5,IF($AO11="Quincenal",'Sprints'!$C$6,'Sprints'!$C$7)),"")</f>
      </c>
      <c r="AR11" s="202">
        <f>IF(AND($C11,ISNUMBER($H11)),MAX(1,INT(($H11-$AQ11)/$AP11)+1),"")</f>
      </c>
      <c r="AS11" s="202">
        <f>IF($C11,IF($AO11="Semanal",'Sprints'!$E$5,IF($AO11="Quincenal",'Sprints'!$E$6,'Sprints'!$E$7)),"")</f>
      </c>
      <c r="AT11" s="203">
        <f>IF($C11,'Backlog General'!$G11,"")</f>
      </c>
      <c r="AU11" s="203">
        <f>IF($C11,'Backlog General'!$H11,"")</f>
      </c>
      <c r="AV11" s="202">
        <f>IF(AND($C11,ISNUMBER($AR11)),IF(OR($AT11="Completo",$AU11="Cancelado",$AU11="Baja prioridad"),$AR11,IF($AU11="Pasa al siguiente",MAX($AR11+1,$AS11),MAX($AR11,$AS11))),"")</f>
      </c>
      <c r="AW11" s="202">
        <f>IF(AND($C11,ISNUMBER($AR11)),$AQ11+$AR11*$AP11-1,"")</f>
      </c>
      <c r="AX11" s="202">
        <f>IF($C11,IF(OR($AT11="Completo",$AU11="Cancelado",$AU11="Baja prioridad",NOT(ISNUMBER($AW11))),0,MAX(0,TODAY()-$AW11)),"")</f>
      </c>
      <c r="AY11" s="203">
        <f>IF($C11,IF(NOT(ISNUMBER($AR11)),"Sin fecha",IF($AT11="Completo","Completo",IF($AU11="Cancelado","Cancelado",IF($AU11="Baja prioridad","Baja prioridad",IF($AX11&gt;0,"Vencida","Pendiente"))))),"")</f>
      </c>
      <c r="AZ11" s="203">
        <f>IF($C11,IF(ISNUMBER($AV11),$AO11&amp;" · S"&amp;$AV11,"(Sin fecha)"),"")</f>
      </c>
      <c r="BA11" s="202">
        <f>IF($C11,IF(AND(ISNUMBER('Backlog General'!$M11),'Backlog General'!$M11=$AS11),"Nuevo S"&amp;'Backlog General'!$M11,""),"")</f>
      </c>
      <c r="BB11" s="202">
        <f>IF(AND($C11,$AO11="Semanal",ISNUMBER($AV11)),$AV11*100000+ROW(),"")</f>
      </c>
      <c r="BC11" s="202">
        <f>IF(AND($C11,$AO11="Quincenal",ISNUMBER($AV11)),$AV11*100000+ROW(),"")</f>
      </c>
      <c r="BD11" s="202">
        <f>IF(AND($C11,$AO11="Mensual",ISNUMBER($AV11)),$AV11*100000+ROW(),"")</f>
      </c>
    </row>
    <row r="12">
      <c r="A12" s="202">
        <f>ROW()</f>
      </c>
      <c r="B12" s="202">
        <f>ISTEXT('Proyecto Datos (OKR´s)'!$K12)</f>
      </c>
      <c r="C12" s="202">
        <f>AND(LEN('Proyecto Datos (OKR´s)'!$G12)&gt;0,NOT($B12),OR(ISNUMBER('Proyecto Datos (OKR´s)'!$F12),ISNUMBER('Proyecto Datos (OKR´s)'!$L12)))</f>
      </c>
      <c r="D12" s="203">
        <f>IF($C12,IFERROR(LOOKUP(2,1/((ISTEXT('Proyecto Datos (OKR´s)'!$K$7:$K12))*(LEN('Proyecto Datos (OKR´s)'!$G$7:$G12)&gt;0)),'Proyecto Datos (OKR´s)'!$G$7:$G12),""),"")</f>
      </c>
      <c r="E12" s="202">
        <f>IF($C12,'Proyecto Datos (OKR´s)'!$E12,"")</f>
      </c>
      <c r="F12" s="203">
        <f>IF($C12,'Proyecto Datos (OKR´s)'!$G12,"")</f>
      </c>
      <c r="G12" s="203">
        <f>IF($C12,IF('Proyecto Datos (OKR´s)'!$I12="","(Sin asignar)",'Proyecto Datos (OKR´s)'!$I12),"")</f>
      </c>
      <c r="H12" s="202">
        <f>IF($C12,IF(ISNUMBER('Proyecto Datos (OKR´s)'!$F12),'Proyecto Datos (OKR´s)'!$F12,""),"")</f>
      </c>
      <c r="I12" s="202">
        <f>IF($C12,'Proyecto Datos (OKR´s)'!$J12,"")</f>
      </c>
      <c r="J12" s="203">
        <f>IF($C12,IF($I12&gt;=1,"Completado",IF(NOT(ISNUMBER($H12)),"Sin fecha",IF($H12&lt;TODAY(),"Vencido",IF(($H12-TODAY())&lt;='Entregas Próximas'!$M$3,"Próximo a vencer","En curso")))),"")</f>
      </c>
      <c r="K12" s="202">
        <f>IF(AND($C12,ISNUMBER($H12)),$H12-TODAY(),"")</f>
      </c>
      <c r="L12" s="202">
        <f>IF(AND($C12,ISNUMBER($H12)),$AD12*1000000+$H12+ROW()/100000,"")</f>
      </c>
      <c r="M12" s="202">
        <f>IF($C12,IF($AD12=9999,"(Sin sprint)",$AD12),"")</f>
      </c>
      <c r="N12" s="202">
        <f>IF($C12,IF('Proyecto Datos (OKR´s)'!$E12="",9999,'Proyecto Datos (OKR´s)'!$E12),"")</f>
      </c>
      <c r="O12" s="202">
        <f>IF($C12,"T"&amp;TEXT(ROW(),"000"),"")</f>
      </c>
      <c r="P12" s="202">
        <f>ROW()-6</f>
      </c>
      <c r="Q12" s="202">
        <f>IF(COUNTIF($AD$7:$AD$200,$P12)&gt;0,$P12,"")</f>
      </c>
      <c r="R12" s="202">
        <f>IF($C12,IF(ISNUMBER('Proyecto Datos (OKR´s)'!$L12),'Proyecto Datos (OKR´s)'!$L12,$H12),"")</f>
      </c>
      <c r="S12" s="202">
        <f>IF($C12,$R12-'Proyecto Datos (OKR´s)'!$K12+1,"")</f>
      </c>
      <c r="T12" s="202">
        <f>IF($C12,MAX(0,TODAY()-'Proyecto Datos (OKR´s)'!$K12),"")</f>
      </c>
      <c r="U12" s="202">
        <f>IF($C12,MEDIAN(0,(TODAY()-'Proyecto Datos (OKR´s)'!$K12)/MAX(1,$R12-'Proyecto Datos (OKR´s)'!$K12),1),"")</f>
      </c>
      <c r="V12" s="202">
        <f>IF($C12,$I12-$U12,"")</f>
      </c>
      <c r="W12" s="202">
        <f>IF($C12,IF(OR($J12="Completado",NOT(ISNUMBER($H12))),0,MAX(0,TODAY()-$H12)),"")</f>
      </c>
      <c r="X12" s="202">
        <f>IF($C12,IF(ISNUMBER($H12),$R12-$H12,0),"")</f>
      </c>
      <c r="Y12" s="202">
        <f>IF($C12,COUNTIFS($G$7:$G$200,$G12,$J$7:$J$200,"&lt;&gt;Completado",$J$7:$J$200,"&lt;&gt;"),"")</f>
      </c>
      <c r="Z12" s="202">
        <f>IF($C12,AND($I12=0,'Proyecto Datos (OKR´s)'!$K12&lt;=TODAY(),$J12&lt;&gt;"Completado"),"")</f>
      </c>
      <c r="AA12" s="202">
        <f>IF($C12,ROUND(100*(0.35*$AK12+0.3*$AL12+0.2*$AM12+0.15*MEDIAN(0,($Y12-4)/8,1)),0),"")</f>
      </c>
      <c r="AB12" s="203">
        <f>IF($C12,IF(OR($J12="Completado",$J12="Sin fecha"),"—",IF($AA12&gt;=70,"Crítica",IF($AA12&gt;=45,"Alta",IF($AA12&gt;=25,"Media","Baja")))),"")</f>
      </c>
      <c r="AC12" s="203">
        <f>IF($C12,IF(LEN(TRIM($AN12))=0,"—",TRIM($AN12)),"")</f>
      </c>
      <c r="AD12" s="202">
        <f>IF($C12,$AV12,"")</f>
      </c>
      <c r="AE12" s="202">
        <f>IF($C12,$AZ12,"")</f>
      </c>
      <c r="AF12" s="202">
        <f>IF($C12,$AV12&lt;&gt;$AR12,FALSE)</f>
      </c>
      <c r="AG12" s="202">
        <f>IF($C12,IF($AV12&lt;&gt;$AR12,$AW12,""),"")</f>
      </c>
      <c r="AH12" s="203">
        <f>IF($C12,'Backlog General'!$L12,"")</f>
      </c>
      <c r="AI12" s="202">
        <f>IF($C12,$AV12*100000+ROW(),"")</f>
      </c>
      <c r="AJ12" s="202">
        <f>IF(AND($C12,ISNUMBER($H12)),$AA12*1000000-MEDIAN(-9999,$K12,9999)*100+(300-ROW()),"")</f>
      </c>
      <c r="AK12" s="202">
        <f>IF($C12,IF($J12="Completado",0,IF($K12&lt;0,1,IF($K12&lt;=3,0.9,IF($K12&lt;=7,0.7,IF($K12&lt;=14,0.45,0.2))))),"")</f>
      </c>
      <c r="AL12" s="202">
        <f>IF($C12,IF($J12="Completado",0,MEDIAN(0,MAX(-$V12,$W12/30),1)),"")</f>
      </c>
      <c r="AM12" s="202">
        <f>IF($C12,IF($J12="Completado",0,IF($Z12,1,IF(AND($I12&lt;0.5,$K12&lt;=7),0.7,0.3))),"")</f>
      </c>
      <c r="AN12" s="203">
        <f>IF($C12,IF(OR($V12&lt;-0.2,$W12&gt;0),"ATRASO ","")&amp;IF($Z12,"BLOQUEO ","")&amp;IF($Y12&gt;8,"SOBRECARGA ","")&amp;IF($X12&gt;0,"DESVÍO-PLAN ",""),"")</f>
      </c>
      <c r="AO12" s="203">
        <f>IF($C12,IFERROR(VLOOKUP($D12,'Sprints'!$G$5:$H$12,2,FALSE),"Semanal"),"")</f>
      </c>
      <c r="AP12" s="202">
        <f>IF($C12,IF($AO12="Semanal",'Sprints'!$D$5,IF($AO12="Quincenal",'Sprints'!$D$6,'Sprints'!$D$7)),"")</f>
      </c>
      <c r="AQ12" s="202">
        <f>IF($C12,IF($AO12="Semanal",'Sprints'!$C$5,IF($AO12="Quincenal",'Sprints'!$C$6,'Sprints'!$C$7)),"")</f>
      </c>
      <c r="AR12" s="202">
        <f>IF(AND($C12,ISNUMBER($H12)),MAX(1,INT(($H12-$AQ12)/$AP12)+1),"")</f>
      </c>
      <c r="AS12" s="202">
        <f>IF($C12,IF($AO12="Semanal",'Sprints'!$E$5,IF($AO12="Quincenal",'Sprints'!$E$6,'Sprints'!$E$7)),"")</f>
      </c>
      <c r="AT12" s="203">
        <f>IF($C12,'Backlog General'!$G12,"")</f>
      </c>
      <c r="AU12" s="203">
        <f>IF($C12,'Backlog General'!$H12,"")</f>
      </c>
      <c r="AV12" s="202">
        <f>IF(AND($C12,ISNUMBER($AR12)),IF(OR($AT12="Completo",$AU12="Cancelado",$AU12="Baja prioridad"),$AR12,IF($AU12="Pasa al siguiente",MAX($AR12+1,$AS12),MAX($AR12,$AS12))),"")</f>
      </c>
      <c r="AW12" s="202">
        <f>IF(AND($C12,ISNUMBER($AR12)),$AQ12+$AR12*$AP12-1,"")</f>
      </c>
      <c r="AX12" s="202">
        <f>IF($C12,IF(OR($AT12="Completo",$AU12="Cancelado",$AU12="Baja prioridad",NOT(ISNUMBER($AW12))),0,MAX(0,TODAY()-$AW12)),"")</f>
      </c>
      <c r="AY12" s="203">
        <f>IF($C12,IF(NOT(ISNUMBER($AR12)),"Sin fecha",IF($AT12="Completo","Completo",IF($AU12="Cancelado","Cancelado",IF($AU12="Baja prioridad","Baja prioridad",IF($AX12&gt;0,"Vencida","Pendiente"))))),"")</f>
      </c>
      <c r="AZ12" s="203">
        <f>IF($C12,IF(ISNUMBER($AV12),$AO12&amp;" · S"&amp;$AV12,"(Sin fecha)"),"")</f>
      </c>
      <c r="BA12" s="202">
        <f>IF($C12,IF(AND(ISNUMBER('Backlog General'!$M12),'Backlog General'!$M12=$AS12),"Nuevo S"&amp;'Backlog General'!$M12,""),"")</f>
      </c>
      <c r="BB12" s="202">
        <f>IF(AND($C12,$AO12="Semanal",ISNUMBER($AV12)),$AV12*100000+ROW(),"")</f>
      </c>
      <c r="BC12" s="202">
        <f>IF(AND($C12,$AO12="Quincenal",ISNUMBER($AV12)),$AV12*100000+ROW(),"")</f>
      </c>
      <c r="BD12" s="202">
        <f>IF(AND($C12,$AO12="Mensual",ISNUMBER($AV12)),$AV12*100000+ROW(),"")</f>
      </c>
    </row>
    <row r="13">
      <c r="A13" s="202">
        <f>ROW()</f>
      </c>
      <c r="B13" s="202">
        <f>ISTEXT('Proyecto Datos (OKR´s)'!$K13)</f>
      </c>
      <c r="C13" s="202">
        <f>AND(LEN('Proyecto Datos (OKR´s)'!$G13)&gt;0,NOT($B13),OR(ISNUMBER('Proyecto Datos (OKR´s)'!$F13),ISNUMBER('Proyecto Datos (OKR´s)'!$L13)))</f>
      </c>
      <c r="D13" s="203">
        <f>IF($C13,IFERROR(LOOKUP(2,1/((ISTEXT('Proyecto Datos (OKR´s)'!$K$7:$K13))*(LEN('Proyecto Datos (OKR´s)'!$G$7:$G13)&gt;0)),'Proyecto Datos (OKR´s)'!$G$7:$G13),""),"")</f>
      </c>
      <c r="E13" s="202">
        <f>IF($C13,'Proyecto Datos (OKR´s)'!$E13,"")</f>
      </c>
      <c r="F13" s="203">
        <f>IF($C13,'Proyecto Datos (OKR´s)'!$G13,"")</f>
      </c>
      <c r="G13" s="203">
        <f>IF($C13,IF('Proyecto Datos (OKR´s)'!$I13="","(Sin asignar)",'Proyecto Datos (OKR´s)'!$I13),"")</f>
      </c>
      <c r="H13" s="202">
        <f>IF($C13,IF(ISNUMBER('Proyecto Datos (OKR´s)'!$F13),'Proyecto Datos (OKR´s)'!$F13,""),"")</f>
      </c>
      <c r="I13" s="202">
        <f>IF($C13,'Proyecto Datos (OKR´s)'!$J13,"")</f>
      </c>
      <c r="J13" s="203">
        <f>IF($C13,IF($I13&gt;=1,"Completado",IF(NOT(ISNUMBER($H13)),"Sin fecha",IF($H13&lt;TODAY(),"Vencido",IF(($H13-TODAY())&lt;='Entregas Próximas'!$M$3,"Próximo a vencer","En curso")))),"")</f>
      </c>
      <c r="K13" s="202">
        <f>IF(AND($C13,ISNUMBER($H13)),$H13-TODAY(),"")</f>
      </c>
      <c r="L13" s="202">
        <f>IF(AND($C13,ISNUMBER($H13)),$AD13*1000000+$H13+ROW()/100000,"")</f>
      </c>
      <c r="M13" s="202">
        <f>IF($C13,IF($AD13=9999,"(Sin sprint)",$AD13),"")</f>
      </c>
      <c r="N13" s="202">
        <f>IF($C13,IF('Proyecto Datos (OKR´s)'!$E13="",9999,'Proyecto Datos (OKR´s)'!$E13),"")</f>
      </c>
      <c r="O13" s="202">
        <f>IF($C13,"T"&amp;TEXT(ROW(),"000"),"")</f>
      </c>
      <c r="P13" s="202">
        <f>ROW()-6</f>
      </c>
      <c r="Q13" s="202">
        <f>IF(COUNTIF($AD$7:$AD$200,$P13)&gt;0,$P13,"")</f>
      </c>
      <c r="R13" s="202">
        <f>IF($C13,IF(ISNUMBER('Proyecto Datos (OKR´s)'!$L13),'Proyecto Datos (OKR´s)'!$L13,$H13),"")</f>
      </c>
      <c r="S13" s="202">
        <f>IF($C13,$R13-'Proyecto Datos (OKR´s)'!$K13+1,"")</f>
      </c>
      <c r="T13" s="202">
        <f>IF($C13,MAX(0,TODAY()-'Proyecto Datos (OKR´s)'!$K13),"")</f>
      </c>
      <c r="U13" s="202">
        <f>IF($C13,MEDIAN(0,(TODAY()-'Proyecto Datos (OKR´s)'!$K13)/MAX(1,$R13-'Proyecto Datos (OKR´s)'!$K13),1),"")</f>
      </c>
      <c r="V13" s="202">
        <f>IF($C13,$I13-$U13,"")</f>
      </c>
      <c r="W13" s="202">
        <f>IF($C13,IF(OR($J13="Completado",NOT(ISNUMBER($H13))),0,MAX(0,TODAY()-$H13)),"")</f>
      </c>
      <c r="X13" s="202">
        <f>IF($C13,IF(ISNUMBER($H13),$R13-$H13,0),"")</f>
      </c>
      <c r="Y13" s="202">
        <f>IF($C13,COUNTIFS($G$7:$G$200,$G13,$J$7:$J$200,"&lt;&gt;Completado",$J$7:$J$200,"&lt;&gt;"),"")</f>
      </c>
      <c r="Z13" s="202">
        <f>IF($C13,AND($I13=0,'Proyecto Datos (OKR´s)'!$K13&lt;=TODAY(),$J13&lt;&gt;"Completado"),"")</f>
      </c>
      <c r="AA13" s="202">
        <f>IF($C13,ROUND(100*(0.35*$AK13+0.3*$AL13+0.2*$AM13+0.15*MEDIAN(0,($Y13-4)/8,1)),0),"")</f>
      </c>
      <c r="AB13" s="203">
        <f>IF($C13,IF(OR($J13="Completado",$J13="Sin fecha"),"—",IF($AA13&gt;=70,"Crítica",IF($AA13&gt;=45,"Alta",IF($AA13&gt;=25,"Media","Baja")))),"")</f>
      </c>
      <c r="AC13" s="203">
        <f>IF($C13,IF(LEN(TRIM($AN13))=0,"—",TRIM($AN13)),"")</f>
      </c>
      <c r="AD13" s="202">
        <f>IF($C13,$AV13,"")</f>
      </c>
      <c r="AE13" s="202">
        <f>IF($C13,$AZ13,"")</f>
      </c>
      <c r="AF13" s="202">
        <f>IF($C13,$AV13&lt;&gt;$AR13,FALSE)</f>
      </c>
      <c r="AG13" s="202">
        <f>IF($C13,IF($AV13&lt;&gt;$AR13,$AW13,""),"")</f>
      </c>
      <c r="AH13" s="203">
        <f>IF($C13,'Backlog General'!$L13,"")</f>
      </c>
      <c r="AI13" s="202">
        <f>IF($C13,$AV13*100000+ROW(),"")</f>
      </c>
      <c r="AJ13" s="202">
        <f>IF(AND($C13,ISNUMBER($H13)),$AA13*1000000-MEDIAN(-9999,$K13,9999)*100+(300-ROW()),"")</f>
      </c>
      <c r="AK13" s="202">
        <f>IF($C13,IF($J13="Completado",0,IF($K13&lt;0,1,IF($K13&lt;=3,0.9,IF($K13&lt;=7,0.7,IF($K13&lt;=14,0.45,0.2))))),"")</f>
      </c>
      <c r="AL13" s="202">
        <f>IF($C13,IF($J13="Completado",0,MEDIAN(0,MAX(-$V13,$W13/30),1)),"")</f>
      </c>
      <c r="AM13" s="202">
        <f>IF($C13,IF($J13="Completado",0,IF($Z13,1,IF(AND($I13&lt;0.5,$K13&lt;=7),0.7,0.3))),"")</f>
      </c>
      <c r="AN13" s="203">
        <f>IF($C13,IF(OR($V13&lt;-0.2,$W13&gt;0),"ATRASO ","")&amp;IF($Z13,"BLOQUEO ","")&amp;IF($Y13&gt;8,"SOBRECARGA ","")&amp;IF($X13&gt;0,"DESVÍO-PLAN ",""),"")</f>
      </c>
      <c r="AO13" s="203">
        <f>IF($C13,IFERROR(VLOOKUP($D13,'Sprints'!$G$5:$H$12,2,FALSE),"Semanal"),"")</f>
      </c>
      <c r="AP13" s="202">
        <f>IF($C13,IF($AO13="Semanal",'Sprints'!$D$5,IF($AO13="Quincenal",'Sprints'!$D$6,'Sprints'!$D$7)),"")</f>
      </c>
      <c r="AQ13" s="202">
        <f>IF($C13,IF($AO13="Semanal",'Sprints'!$C$5,IF($AO13="Quincenal",'Sprints'!$C$6,'Sprints'!$C$7)),"")</f>
      </c>
      <c r="AR13" s="202">
        <f>IF(AND($C13,ISNUMBER($H13)),MAX(1,INT(($H13-$AQ13)/$AP13)+1),"")</f>
      </c>
      <c r="AS13" s="202">
        <f>IF($C13,IF($AO13="Semanal",'Sprints'!$E$5,IF($AO13="Quincenal",'Sprints'!$E$6,'Sprints'!$E$7)),"")</f>
      </c>
      <c r="AT13" s="203">
        <f>IF($C13,'Backlog General'!$G13,"")</f>
      </c>
      <c r="AU13" s="203">
        <f>IF($C13,'Backlog General'!$H13,"")</f>
      </c>
      <c r="AV13" s="202">
        <f>IF(AND($C13,ISNUMBER($AR13)),IF(OR($AT13="Completo",$AU13="Cancelado",$AU13="Baja prioridad"),$AR13,IF($AU13="Pasa al siguiente",MAX($AR13+1,$AS13),MAX($AR13,$AS13))),"")</f>
      </c>
      <c r="AW13" s="202">
        <f>IF(AND($C13,ISNUMBER($AR13)),$AQ13+$AR13*$AP13-1,"")</f>
      </c>
      <c r="AX13" s="202">
        <f>IF($C13,IF(OR($AT13="Completo",$AU13="Cancelado",$AU13="Baja prioridad",NOT(ISNUMBER($AW13))),0,MAX(0,TODAY()-$AW13)),"")</f>
      </c>
      <c r="AY13" s="203">
        <f>IF($C13,IF(NOT(ISNUMBER($AR13)),"Sin fecha",IF($AT13="Completo","Completo",IF($AU13="Cancelado","Cancelado",IF($AU13="Baja prioridad","Baja prioridad",IF($AX13&gt;0,"Vencida","Pendiente"))))),"")</f>
      </c>
      <c r="AZ13" s="203">
        <f>IF($C13,IF(ISNUMBER($AV13),$AO13&amp;" · S"&amp;$AV13,"(Sin fecha)"),"")</f>
      </c>
      <c r="BA13" s="202">
        <f>IF($C13,IF(AND(ISNUMBER('Backlog General'!$M13),'Backlog General'!$M13=$AS13),"Nuevo S"&amp;'Backlog General'!$M13,""),"")</f>
      </c>
      <c r="BB13" s="202">
        <f>IF(AND($C13,$AO13="Semanal",ISNUMBER($AV13)),$AV13*100000+ROW(),"")</f>
      </c>
      <c r="BC13" s="202">
        <f>IF(AND($C13,$AO13="Quincenal",ISNUMBER($AV13)),$AV13*100000+ROW(),"")</f>
      </c>
      <c r="BD13" s="202">
        <f>IF(AND($C13,$AO13="Mensual",ISNUMBER($AV13)),$AV13*100000+ROW(),"")</f>
      </c>
    </row>
    <row r="14">
      <c r="A14" s="202">
        <f>ROW()</f>
      </c>
      <c r="B14" s="202">
        <f>ISTEXT('Proyecto Datos (OKR´s)'!$K14)</f>
      </c>
      <c r="C14" s="202">
        <f>AND(LEN('Proyecto Datos (OKR´s)'!$G14)&gt;0,NOT($B14),OR(ISNUMBER('Proyecto Datos (OKR´s)'!$F14),ISNUMBER('Proyecto Datos (OKR´s)'!$L14)))</f>
      </c>
      <c r="D14" s="203">
        <f>IF($C14,IFERROR(LOOKUP(2,1/((ISTEXT('Proyecto Datos (OKR´s)'!$K$7:$K14))*(LEN('Proyecto Datos (OKR´s)'!$G$7:$G14)&gt;0)),'Proyecto Datos (OKR´s)'!$G$7:$G14),""),"")</f>
      </c>
      <c r="E14" s="202">
        <f>IF($C14,'Proyecto Datos (OKR´s)'!$E14,"")</f>
      </c>
      <c r="F14" s="203">
        <f>IF($C14,'Proyecto Datos (OKR´s)'!$G14,"")</f>
      </c>
      <c r="G14" s="203">
        <f>IF($C14,IF('Proyecto Datos (OKR´s)'!$I14="","(Sin asignar)",'Proyecto Datos (OKR´s)'!$I14),"")</f>
      </c>
      <c r="H14" s="202">
        <f>IF($C14,IF(ISNUMBER('Proyecto Datos (OKR´s)'!$F14),'Proyecto Datos (OKR´s)'!$F14,""),"")</f>
      </c>
      <c r="I14" s="202">
        <f>IF($C14,'Proyecto Datos (OKR´s)'!$J14,"")</f>
      </c>
      <c r="J14" s="203">
        <f>IF($C14,IF($I14&gt;=1,"Completado",IF(NOT(ISNUMBER($H14)),"Sin fecha",IF($H14&lt;TODAY(),"Vencido",IF(($H14-TODAY())&lt;='Entregas Próximas'!$M$3,"Próximo a vencer","En curso")))),"")</f>
      </c>
      <c r="K14" s="202">
        <f>IF(AND($C14,ISNUMBER($H14)),$H14-TODAY(),"")</f>
      </c>
      <c r="L14" s="202">
        <f>IF(AND($C14,ISNUMBER($H14)),$AD14*1000000+$H14+ROW()/100000,"")</f>
      </c>
      <c r="M14" s="202">
        <f>IF($C14,IF($AD14=9999,"(Sin sprint)",$AD14),"")</f>
      </c>
      <c r="N14" s="202">
        <f>IF($C14,IF('Proyecto Datos (OKR´s)'!$E14="",9999,'Proyecto Datos (OKR´s)'!$E14),"")</f>
      </c>
      <c r="O14" s="202">
        <f>IF($C14,"T"&amp;TEXT(ROW(),"000"),"")</f>
      </c>
      <c r="P14" s="202">
        <f>ROW()-6</f>
      </c>
      <c r="Q14" s="202">
        <f>IF(COUNTIF($AD$7:$AD$200,$P14)&gt;0,$P14,"")</f>
      </c>
      <c r="R14" s="202">
        <f>IF($C14,IF(ISNUMBER('Proyecto Datos (OKR´s)'!$L14),'Proyecto Datos (OKR´s)'!$L14,$H14),"")</f>
      </c>
      <c r="S14" s="202">
        <f>IF($C14,$R14-'Proyecto Datos (OKR´s)'!$K14+1,"")</f>
      </c>
      <c r="T14" s="202">
        <f>IF($C14,MAX(0,TODAY()-'Proyecto Datos (OKR´s)'!$K14),"")</f>
      </c>
      <c r="U14" s="202">
        <f>IF($C14,MEDIAN(0,(TODAY()-'Proyecto Datos (OKR´s)'!$K14)/MAX(1,$R14-'Proyecto Datos (OKR´s)'!$K14),1),"")</f>
      </c>
      <c r="V14" s="202">
        <f>IF($C14,$I14-$U14,"")</f>
      </c>
      <c r="W14" s="202">
        <f>IF($C14,IF(OR($J14="Completado",NOT(ISNUMBER($H14))),0,MAX(0,TODAY()-$H14)),"")</f>
      </c>
      <c r="X14" s="202">
        <f>IF($C14,IF(ISNUMBER($H14),$R14-$H14,0),"")</f>
      </c>
      <c r="Y14" s="202">
        <f>IF($C14,COUNTIFS($G$7:$G$200,$G14,$J$7:$J$200,"&lt;&gt;Completado",$J$7:$J$200,"&lt;&gt;"),"")</f>
      </c>
      <c r="Z14" s="202">
        <f>IF($C14,AND($I14=0,'Proyecto Datos (OKR´s)'!$K14&lt;=TODAY(),$J14&lt;&gt;"Completado"),"")</f>
      </c>
      <c r="AA14" s="202">
        <f>IF($C14,ROUND(100*(0.35*$AK14+0.3*$AL14+0.2*$AM14+0.15*MEDIAN(0,($Y14-4)/8,1)),0),"")</f>
      </c>
      <c r="AB14" s="203">
        <f>IF($C14,IF(OR($J14="Completado",$J14="Sin fecha"),"—",IF($AA14&gt;=70,"Crítica",IF($AA14&gt;=45,"Alta",IF($AA14&gt;=25,"Media","Baja")))),"")</f>
      </c>
      <c r="AC14" s="203">
        <f>IF($C14,IF(LEN(TRIM($AN14))=0,"—",TRIM($AN14)),"")</f>
      </c>
      <c r="AD14" s="202">
        <f>IF($C14,$AV14,"")</f>
      </c>
      <c r="AE14" s="202">
        <f>IF($C14,$AZ14,"")</f>
      </c>
      <c r="AF14" s="202">
        <f>IF($C14,$AV14&lt;&gt;$AR14,FALSE)</f>
      </c>
      <c r="AG14" s="202">
        <f>IF($C14,IF($AV14&lt;&gt;$AR14,$AW14,""),"")</f>
      </c>
      <c r="AH14" s="203">
        <f>IF($C14,'Backlog General'!$L14,"")</f>
      </c>
      <c r="AI14" s="202">
        <f>IF($C14,$AV14*100000+ROW(),"")</f>
      </c>
      <c r="AJ14" s="202">
        <f>IF(AND($C14,ISNUMBER($H14)),$AA14*1000000-MEDIAN(-9999,$K14,9999)*100+(300-ROW()),"")</f>
      </c>
      <c r="AK14" s="202">
        <f>IF($C14,IF($J14="Completado",0,IF($K14&lt;0,1,IF($K14&lt;=3,0.9,IF($K14&lt;=7,0.7,IF($K14&lt;=14,0.45,0.2))))),"")</f>
      </c>
      <c r="AL14" s="202">
        <f>IF($C14,IF($J14="Completado",0,MEDIAN(0,MAX(-$V14,$W14/30),1)),"")</f>
      </c>
      <c r="AM14" s="202">
        <f>IF($C14,IF($J14="Completado",0,IF($Z14,1,IF(AND($I14&lt;0.5,$K14&lt;=7),0.7,0.3))),"")</f>
      </c>
      <c r="AN14" s="203">
        <f>IF($C14,IF(OR($V14&lt;-0.2,$W14&gt;0),"ATRASO ","")&amp;IF($Z14,"BLOQUEO ","")&amp;IF($Y14&gt;8,"SOBRECARGA ","")&amp;IF($X14&gt;0,"DESVÍO-PLAN ",""),"")</f>
      </c>
      <c r="AO14" s="203">
        <f>IF($C14,IFERROR(VLOOKUP($D14,'Sprints'!$G$5:$H$12,2,FALSE),"Semanal"),"")</f>
      </c>
      <c r="AP14" s="202">
        <f>IF($C14,IF($AO14="Semanal",'Sprints'!$D$5,IF($AO14="Quincenal",'Sprints'!$D$6,'Sprints'!$D$7)),"")</f>
      </c>
      <c r="AQ14" s="202">
        <f>IF($C14,IF($AO14="Semanal",'Sprints'!$C$5,IF($AO14="Quincenal",'Sprints'!$C$6,'Sprints'!$C$7)),"")</f>
      </c>
      <c r="AR14" s="202">
        <f>IF(AND($C14,ISNUMBER($H14)),MAX(1,INT(($H14-$AQ14)/$AP14)+1),"")</f>
      </c>
      <c r="AS14" s="202">
        <f>IF($C14,IF($AO14="Semanal",'Sprints'!$E$5,IF($AO14="Quincenal",'Sprints'!$E$6,'Sprints'!$E$7)),"")</f>
      </c>
      <c r="AT14" s="203">
        <f>IF($C14,'Backlog General'!$G14,"")</f>
      </c>
      <c r="AU14" s="203">
        <f>IF($C14,'Backlog General'!$H14,"")</f>
      </c>
      <c r="AV14" s="202">
        <f>IF(AND($C14,ISNUMBER($AR14)),IF(OR($AT14="Completo",$AU14="Cancelado",$AU14="Baja prioridad"),$AR14,IF($AU14="Pasa al siguiente",MAX($AR14+1,$AS14),MAX($AR14,$AS14))),"")</f>
      </c>
      <c r="AW14" s="202">
        <f>IF(AND($C14,ISNUMBER($AR14)),$AQ14+$AR14*$AP14-1,"")</f>
      </c>
      <c r="AX14" s="202">
        <f>IF($C14,IF(OR($AT14="Completo",$AU14="Cancelado",$AU14="Baja prioridad",NOT(ISNUMBER($AW14))),0,MAX(0,TODAY()-$AW14)),"")</f>
      </c>
      <c r="AY14" s="203">
        <f>IF($C14,IF(NOT(ISNUMBER($AR14)),"Sin fecha",IF($AT14="Completo","Completo",IF($AU14="Cancelado","Cancelado",IF($AU14="Baja prioridad","Baja prioridad",IF($AX14&gt;0,"Vencida","Pendiente"))))),"")</f>
      </c>
      <c r="AZ14" s="203">
        <f>IF($C14,IF(ISNUMBER($AV14),$AO14&amp;" · S"&amp;$AV14,"(Sin fecha)"),"")</f>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row>
    <row r="15">
      <c r="A15" s="202">
        <f>ROW()</f>
      </c>
      <c r="B15" s="202">
        <f>ISTEXT('Proyecto Datos (OKR´s)'!$K15)</f>
      </c>
      <c r="C15" s="202">
        <f>AND(LEN('Proyecto Datos (OKR´s)'!$G15)&gt;0,NOT($B15),OR(ISNUMBER('Proyecto Datos (OKR´s)'!$F15),ISNUMBER('Proyecto Datos (OKR´s)'!$L15)))</f>
      </c>
      <c r="D15" s="203">
        <f>IF($C15,IFERROR(LOOKUP(2,1/((ISTEXT('Proyecto Datos (OKR´s)'!$K$7:$K15))*(LEN('Proyecto Datos (OKR´s)'!$G$7:$G15)&gt;0)),'Proyecto Datos (OKR´s)'!$G$7:$G15),""),"")</f>
      </c>
      <c r="E15" s="202">
        <f>IF($C15,'Proyecto Datos (OKR´s)'!$E15,"")</f>
      </c>
      <c r="F15" s="203">
        <f>IF($C15,'Proyecto Datos (OKR´s)'!$G15,"")</f>
      </c>
      <c r="G15" s="203">
        <f>IF($C15,IF('Proyecto Datos (OKR´s)'!$I15="","(Sin asignar)",'Proyecto Datos (OKR´s)'!$I15),"")</f>
      </c>
      <c r="H15" s="202">
        <f>IF($C15,IF(ISNUMBER('Proyecto Datos (OKR´s)'!$F15),'Proyecto Datos (OKR´s)'!$F15,""),"")</f>
      </c>
      <c r="I15" s="202">
        <f>IF($C15,'Proyecto Datos (OKR´s)'!$J15,"")</f>
      </c>
      <c r="J15" s="203">
        <f>IF($C15,IF($I15&gt;=1,"Completado",IF(NOT(ISNUMBER($H15)),"Sin fecha",IF($H15&lt;TODAY(),"Vencido",IF(($H15-TODAY())&lt;='Entregas Próximas'!$M$3,"Próximo a vencer","En curso")))),"")</f>
      </c>
      <c r="K15" s="202">
        <f>IF(AND($C15,ISNUMBER($H15)),$H15-TODAY(),"")</f>
      </c>
      <c r="L15" s="202">
        <f>IF(AND($C15,ISNUMBER($H15)),$AD15*1000000+$H15+ROW()/100000,"")</f>
      </c>
      <c r="M15" s="202">
        <f>IF($C15,IF($AD15=9999,"(Sin sprint)",$AD15),"")</f>
      </c>
      <c r="N15" s="202">
        <f>IF($C15,IF('Proyecto Datos (OKR´s)'!$E15="",9999,'Proyecto Datos (OKR´s)'!$E15),"")</f>
      </c>
      <c r="O15" s="202">
        <f>IF($C15,"T"&amp;TEXT(ROW(),"000"),"")</f>
      </c>
      <c r="P15" s="202">
        <f>ROW()-6</f>
      </c>
      <c r="Q15" s="202">
        <f>IF(COUNTIF($AD$7:$AD$200,$P15)&gt;0,$P15,"")</f>
      </c>
      <c r="R15" s="202">
        <f>IF($C15,IF(ISNUMBER('Proyecto Datos (OKR´s)'!$L15),'Proyecto Datos (OKR´s)'!$L15,$H15),"")</f>
      </c>
      <c r="S15" s="202">
        <f>IF($C15,$R15-'Proyecto Datos (OKR´s)'!$K15+1,"")</f>
      </c>
      <c r="T15" s="202">
        <f>IF($C15,MAX(0,TODAY()-'Proyecto Datos (OKR´s)'!$K15),"")</f>
      </c>
      <c r="U15" s="202">
        <f>IF($C15,MEDIAN(0,(TODAY()-'Proyecto Datos (OKR´s)'!$K15)/MAX(1,$R15-'Proyecto Datos (OKR´s)'!$K15),1),"")</f>
      </c>
      <c r="V15" s="202">
        <f>IF($C15,$I15-$U15,"")</f>
      </c>
      <c r="W15" s="202">
        <f>IF($C15,IF(OR($J15="Completado",NOT(ISNUMBER($H15))),0,MAX(0,TODAY()-$H15)),"")</f>
      </c>
      <c r="X15" s="202">
        <f>IF($C15,IF(ISNUMBER($H15),$R15-$H15,0),"")</f>
      </c>
      <c r="Y15" s="202">
        <f>IF($C15,COUNTIFS($G$7:$G$200,$G15,$J$7:$J$200,"&lt;&gt;Completado",$J$7:$J$200,"&lt;&gt;"),"")</f>
      </c>
      <c r="Z15" s="202">
        <f>IF($C15,AND($I15=0,'Proyecto Datos (OKR´s)'!$K15&lt;=TODAY(),$J15&lt;&gt;"Completado"),"")</f>
      </c>
      <c r="AA15" s="202">
        <f>IF($C15,ROUND(100*(0.35*$AK15+0.3*$AL15+0.2*$AM15+0.15*MEDIAN(0,($Y15-4)/8,1)),0),"")</f>
      </c>
      <c r="AB15" s="203">
        <f>IF($C15,IF(OR($J15="Completado",$J15="Sin fecha"),"—",IF($AA15&gt;=70,"Crítica",IF($AA15&gt;=45,"Alta",IF($AA15&gt;=25,"Media","Baja")))),"")</f>
      </c>
      <c r="AC15" s="203">
        <f>IF($C15,IF(LEN(TRIM($AN15))=0,"—",TRIM($AN15)),"")</f>
      </c>
      <c r="AD15" s="202">
        <f>IF($C15,$AV15,"")</f>
      </c>
      <c r="AE15" s="202">
        <f>IF($C15,$AZ15,"")</f>
      </c>
      <c r="AF15" s="202">
        <f>IF($C15,$AV15&lt;&gt;$AR15,FALSE)</f>
      </c>
      <c r="AG15" s="202">
        <f>IF($C15,IF($AV15&lt;&gt;$AR15,$AW15,""),"")</f>
      </c>
      <c r="AH15" s="203">
        <f>IF($C15,'Backlog General'!$L15,"")</f>
      </c>
      <c r="AI15" s="202">
        <f>IF($C15,$AV15*100000+ROW(),"")</f>
      </c>
      <c r="AJ15" s="202">
        <f>IF(AND($C15,ISNUMBER($H15)),$AA15*1000000-MEDIAN(-9999,$K15,9999)*100+(300-ROW()),"")</f>
      </c>
      <c r="AK15" s="202">
        <f>IF($C15,IF($J15="Completado",0,IF($K15&lt;0,1,IF($K15&lt;=3,0.9,IF($K15&lt;=7,0.7,IF($K15&lt;=14,0.45,0.2))))),"")</f>
      </c>
      <c r="AL15" s="202">
        <f>IF($C15,IF($J15="Completado",0,MEDIAN(0,MAX(-$V15,$W15/30),1)),"")</f>
      </c>
      <c r="AM15" s="202">
        <f>IF($C15,IF($J15="Completado",0,IF($Z15,1,IF(AND($I15&lt;0.5,$K15&lt;=7),0.7,0.3))),"")</f>
      </c>
      <c r="AN15" s="203">
        <f>IF($C15,IF(OR($V15&lt;-0.2,$W15&gt;0),"ATRASO ","")&amp;IF($Z15,"BLOQUEO ","")&amp;IF($Y15&gt;8,"SOBRECARGA ","")&amp;IF($X15&gt;0,"DESVÍO-PLAN ",""),"")</f>
      </c>
      <c r="AO15" s="203">
        <f>IF($C15,IFERROR(VLOOKUP($D15,'Sprints'!$G$5:$H$12,2,FALSE),"Semanal"),"")</f>
      </c>
      <c r="AP15" s="202">
        <f>IF($C15,IF($AO15="Semanal",'Sprints'!$D$5,IF($AO15="Quincenal",'Sprints'!$D$6,'Sprints'!$D$7)),"")</f>
      </c>
      <c r="AQ15" s="202">
        <f>IF($C15,IF($AO15="Semanal",'Sprints'!$C$5,IF($AO15="Quincenal",'Sprints'!$C$6,'Sprints'!$C$7)),"")</f>
      </c>
      <c r="AR15" s="202">
        <f>IF(AND($C15,ISNUMBER($H15)),MAX(1,INT(($H15-$AQ15)/$AP15)+1),"")</f>
      </c>
      <c r="AS15" s="202">
        <f>IF($C15,IF($AO15="Semanal",'Sprints'!$E$5,IF($AO15="Quincenal",'Sprints'!$E$6,'Sprints'!$E$7)),"")</f>
      </c>
      <c r="AT15" s="203">
        <f>IF($C15,'Backlog General'!$G15,"")</f>
      </c>
      <c r="AU15" s="203">
        <f>IF($C15,'Backlog General'!$H15,"")</f>
      </c>
      <c r="AV15" s="202">
        <f>IF(AND($C15,ISNUMBER($AR15)),IF(OR($AT15="Completo",$AU15="Cancelado",$AU15="Baja prioridad"),$AR15,IF($AU15="Pasa al siguiente",MAX($AR15+1,$AS15),MAX($AR15,$AS15))),"")</f>
      </c>
      <c r="AW15" s="202">
        <f>IF(AND($C15,ISNUMBER($AR15)),$AQ15+$AR15*$AP15-1,"")</f>
      </c>
      <c r="AX15" s="202">
        <f>IF($C15,IF(OR($AT15="Completo",$AU15="Cancelado",$AU15="Baja prioridad",NOT(ISNUMBER($AW15))),0,MAX(0,TODAY()-$AW15)),"")</f>
      </c>
      <c r="AY15" s="203">
        <f>IF($C15,IF(NOT(ISNUMBER($AR15)),"Sin fecha",IF($AT15="Completo","Completo",IF($AU15="Cancelado","Cancelado",IF($AU15="Baja prioridad","Baja prioridad",IF($AX15&gt;0,"Vencida","Pendiente"))))),"")</f>
      </c>
      <c r="AZ15" s="203">
        <f>IF($C15,IF(ISNUMBER($AV15),$AO15&amp;" · S"&amp;$AV15,"(Sin fecha)"),"")</f>
      </c>
      <c r="BA15" s="202">
        <f>IF($C15,IF(AND(ISNUMBER('Backlog General'!$M15),'Backlog General'!$M15=$AS15),"Nuevo S"&amp;'Backlog General'!$M15,""),"")</f>
      </c>
      <c r="BB15" s="202">
        <f>IF(AND($C15,$AO15="Semanal",ISNUMBER($AV15)),$AV15*100000+ROW(),"")</f>
      </c>
      <c r="BC15" s="202">
        <f>IF(AND($C15,$AO15="Quincenal",ISNUMBER($AV15)),$AV15*100000+ROW(),"")</f>
      </c>
      <c r="BD15" s="202">
        <f>IF(AND($C15,$AO15="Mensual",ISNUMBER($AV15)),$AV15*100000+ROW(),"")</f>
      </c>
    </row>
    <row r="16">
      <c r="A16" s="202">
        <f>ROW()</f>
      </c>
      <c r="B16" s="202">
        <f>ISTEXT('Proyecto Datos (OKR´s)'!$K16)</f>
      </c>
      <c r="C16" s="202">
        <f>AND(LEN('Proyecto Datos (OKR´s)'!$G16)&gt;0,NOT($B16),OR(ISNUMBER('Proyecto Datos (OKR´s)'!$F16),ISNUMBER('Proyecto Datos (OKR´s)'!$L16)))</f>
      </c>
      <c r="D16" s="203">
        <f>IF($C16,IFERROR(LOOKUP(2,1/((ISTEXT('Proyecto Datos (OKR´s)'!$K$7:$K16))*(LEN('Proyecto Datos (OKR´s)'!$G$7:$G16)&gt;0)),'Proyecto Datos (OKR´s)'!$G$7:$G16),""),"")</f>
      </c>
      <c r="E16" s="202">
        <f>IF($C16,'Proyecto Datos (OKR´s)'!$E16,"")</f>
      </c>
      <c r="F16" s="203">
        <f>IF($C16,'Proyecto Datos (OKR´s)'!$G16,"")</f>
      </c>
      <c r="G16" s="203">
        <f>IF($C16,IF('Proyecto Datos (OKR´s)'!$I16="","(Sin asignar)",'Proyecto Datos (OKR´s)'!$I16),"")</f>
      </c>
      <c r="H16" s="202">
        <f>IF($C16,IF(ISNUMBER('Proyecto Datos (OKR´s)'!$F16),'Proyecto Datos (OKR´s)'!$F16,""),"")</f>
      </c>
      <c r="I16" s="202">
        <f>IF($C16,'Proyecto Datos (OKR´s)'!$J16,"")</f>
      </c>
      <c r="J16" s="203">
        <f>IF($C16,IF($I16&gt;=1,"Completado",IF(NOT(ISNUMBER($H16)),"Sin fecha",IF($H16&lt;TODAY(),"Vencido",IF(($H16-TODAY())&lt;='Entregas Próximas'!$M$3,"Próximo a vencer","En curso")))),"")</f>
      </c>
      <c r="K16" s="202">
        <f>IF(AND($C16,ISNUMBER($H16)),$H16-TODAY(),"")</f>
      </c>
      <c r="L16" s="202">
        <f>IF(AND($C16,ISNUMBER($H16)),$AD16*1000000+$H16+ROW()/100000,"")</f>
      </c>
      <c r="M16" s="202">
        <f>IF($C16,IF($AD16=9999,"(Sin sprint)",$AD16),"")</f>
      </c>
      <c r="N16" s="202">
        <f>IF($C16,IF('Proyecto Datos (OKR´s)'!$E16="",9999,'Proyecto Datos (OKR´s)'!$E16),"")</f>
      </c>
      <c r="O16" s="202">
        <f>IF($C16,"T"&amp;TEXT(ROW(),"000"),"")</f>
      </c>
      <c r="P16" s="202">
        <f>ROW()-6</f>
      </c>
      <c r="Q16" s="202">
        <f>IF(COUNTIF($AD$7:$AD$200,$P16)&gt;0,$P16,"")</f>
      </c>
      <c r="R16" s="202">
        <f>IF($C16,IF(ISNUMBER('Proyecto Datos (OKR´s)'!$L16),'Proyecto Datos (OKR´s)'!$L16,$H16),"")</f>
      </c>
      <c r="S16" s="202">
        <f>IF($C16,$R16-'Proyecto Datos (OKR´s)'!$K16+1,"")</f>
      </c>
      <c r="T16" s="202">
        <f>IF($C16,MAX(0,TODAY()-'Proyecto Datos (OKR´s)'!$K16),"")</f>
      </c>
      <c r="U16" s="202">
        <f>IF($C16,MEDIAN(0,(TODAY()-'Proyecto Datos (OKR´s)'!$K16)/MAX(1,$R16-'Proyecto Datos (OKR´s)'!$K16),1),"")</f>
      </c>
      <c r="V16" s="202">
        <f>IF($C16,$I16-$U16,"")</f>
      </c>
      <c r="W16" s="202">
        <f>IF($C16,IF(OR($J16="Completado",NOT(ISNUMBER($H16))),0,MAX(0,TODAY()-$H16)),"")</f>
      </c>
      <c r="X16" s="202">
        <f>IF($C16,IF(ISNUMBER($H16),$R16-$H16,0),"")</f>
      </c>
      <c r="Y16" s="202">
        <f>IF($C16,COUNTIFS($G$7:$G$200,$G16,$J$7:$J$200,"&lt;&gt;Completado",$J$7:$J$200,"&lt;&gt;"),"")</f>
      </c>
      <c r="Z16" s="202">
        <f>IF($C16,AND($I16=0,'Proyecto Datos (OKR´s)'!$K16&lt;=TODAY(),$J16&lt;&gt;"Completado"),"")</f>
      </c>
      <c r="AA16" s="202">
        <f>IF($C16,ROUND(100*(0.35*$AK16+0.3*$AL16+0.2*$AM16+0.15*MEDIAN(0,($Y16-4)/8,1)),0),"")</f>
      </c>
      <c r="AB16" s="203">
        <f>IF($C16,IF(OR($J16="Completado",$J16="Sin fecha"),"—",IF($AA16&gt;=70,"Crítica",IF($AA16&gt;=45,"Alta",IF($AA16&gt;=25,"Media","Baja")))),"")</f>
      </c>
      <c r="AC16" s="203">
        <f>IF($C16,IF(LEN(TRIM($AN16))=0,"—",TRIM($AN16)),"")</f>
      </c>
      <c r="AD16" s="202">
        <f>IF($C16,$AV16,"")</f>
      </c>
      <c r="AE16" s="202">
        <f>IF($C16,$AZ16,"")</f>
      </c>
      <c r="AF16" s="202">
        <f>IF($C16,$AV16&lt;&gt;$AR16,FALSE)</f>
      </c>
      <c r="AG16" s="202">
        <f>IF($C16,IF($AV16&lt;&gt;$AR16,$AW16,""),"")</f>
      </c>
      <c r="AH16" s="203">
        <f>IF($C16,'Backlog General'!$L16,"")</f>
      </c>
      <c r="AI16" s="202">
        <f>IF($C16,$AV16*100000+ROW(),"")</f>
      </c>
      <c r="AJ16" s="202">
        <f>IF(AND($C16,ISNUMBER($H16)),$AA16*1000000-MEDIAN(-9999,$K16,9999)*100+(300-ROW()),"")</f>
      </c>
      <c r="AK16" s="202">
        <f>IF($C16,IF($J16="Completado",0,IF($K16&lt;0,1,IF($K16&lt;=3,0.9,IF($K16&lt;=7,0.7,IF($K16&lt;=14,0.45,0.2))))),"")</f>
      </c>
      <c r="AL16" s="202">
        <f>IF($C16,IF($J16="Completado",0,MEDIAN(0,MAX(-$V16,$W16/30),1)),"")</f>
      </c>
      <c r="AM16" s="202">
        <f>IF($C16,IF($J16="Completado",0,IF($Z16,1,IF(AND($I16&lt;0.5,$K16&lt;=7),0.7,0.3))),"")</f>
      </c>
      <c r="AN16" s="203">
        <f>IF($C16,IF(OR($V16&lt;-0.2,$W16&gt;0),"ATRASO ","")&amp;IF($Z16,"BLOQUEO ","")&amp;IF($Y16&gt;8,"SOBRECARGA ","")&amp;IF($X16&gt;0,"DESVÍO-PLAN ",""),"")</f>
      </c>
      <c r="AO16" s="203">
        <f>IF($C16,IFERROR(VLOOKUP($D16,'Sprints'!$G$5:$H$12,2,FALSE),"Semanal"),"")</f>
      </c>
      <c r="AP16" s="202">
        <f>IF($C16,IF($AO16="Semanal",'Sprints'!$D$5,IF($AO16="Quincenal",'Sprints'!$D$6,'Sprints'!$D$7)),"")</f>
      </c>
      <c r="AQ16" s="202">
        <f>IF($C16,IF($AO16="Semanal",'Sprints'!$C$5,IF($AO16="Quincenal",'Sprints'!$C$6,'Sprints'!$C$7)),"")</f>
      </c>
      <c r="AR16" s="202">
        <f>IF(AND($C16,ISNUMBER($H16)),MAX(1,INT(($H16-$AQ16)/$AP16)+1),"")</f>
      </c>
      <c r="AS16" s="202">
        <f>IF($C16,IF($AO16="Semanal",'Sprints'!$E$5,IF($AO16="Quincenal",'Sprints'!$E$6,'Sprints'!$E$7)),"")</f>
      </c>
      <c r="AT16" s="203">
        <f>IF($C16,'Backlog General'!$G16,"")</f>
      </c>
      <c r="AU16" s="203">
        <f>IF($C16,'Backlog General'!$H16,"")</f>
      </c>
      <c r="AV16" s="202">
        <f>IF(AND($C16,ISNUMBER($AR16)),IF(OR($AT16="Completo",$AU16="Cancelado",$AU16="Baja prioridad"),$AR16,IF($AU16="Pasa al siguiente",MAX($AR16+1,$AS16),MAX($AR16,$AS16))),"")</f>
      </c>
      <c r="AW16" s="202">
        <f>IF(AND($C16,ISNUMBER($AR16)),$AQ16+$AR16*$AP16-1,"")</f>
      </c>
      <c r="AX16" s="202">
        <f>IF($C16,IF(OR($AT16="Completo",$AU16="Cancelado",$AU16="Baja prioridad",NOT(ISNUMBER($AW16))),0,MAX(0,TODAY()-$AW16)),"")</f>
      </c>
      <c r="AY16" s="203">
        <f>IF($C16,IF(NOT(ISNUMBER($AR16)),"Sin fecha",IF($AT16="Completo","Completo",IF($AU16="Cancelado","Cancelado",IF($AU16="Baja prioridad","Baja prioridad",IF($AX16&gt;0,"Vencida","Pendiente"))))),"")</f>
      </c>
      <c r="AZ16" s="203">
        <f>IF($C16,IF(ISNUMBER($AV16),$AO16&amp;" · S"&amp;$AV16,"(Sin fecha)"),"")</f>
      </c>
      <c r="BA16" s="202">
        <f>IF($C16,IF(AND(ISNUMBER('Backlog General'!$M16),'Backlog General'!$M16=$AS16),"Nuevo S"&amp;'Backlog General'!$M16,""),"")</f>
      </c>
      <c r="BB16" s="202">
        <f>IF(AND($C16,$AO16="Semanal",ISNUMBER($AV16)),$AV16*100000+ROW(),"")</f>
      </c>
      <c r="BC16" s="202">
        <f>IF(AND($C16,$AO16="Quincenal",ISNUMBER($AV16)),$AV16*100000+ROW(),"")</f>
      </c>
      <c r="BD16" s="202">
        <f>IF(AND($C16,$AO16="Mensual",ISNUMBER($AV16)),$AV16*100000+ROW(),"")</f>
      </c>
    </row>
    <row r="17">
      <c r="A17" s="202">
        <f>ROW()</f>
      </c>
      <c r="B17" s="202">
        <f>ISTEXT('Proyecto Datos (OKR´s)'!$K17)</f>
      </c>
      <c r="C17" s="202">
        <f>AND(LEN('Proyecto Datos (OKR´s)'!$G17)&gt;0,NOT($B17),OR(ISNUMBER('Proyecto Datos (OKR´s)'!$F17),ISNUMBER('Proyecto Datos (OKR´s)'!$L17)))</f>
      </c>
      <c r="D17" s="203">
        <f>IF($C17,IFERROR(LOOKUP(2,1/((ISTEXT('Proyecto Datos (OKR´s)'!$K$7:$K17))*(LEN('Proyecto Datos (OKR´s)'!$G$7:$G17)&gt;0)),'Proyecto Datos (OKR´s)'!$G$7:$G17),""),"")</f>
      </c>
      <c r="E17" s="202">
        <f>IF($C17,'Proyecto Datos (OKR´s)'!$E17,"")</f>
      </c>
      <c r="F17" s="203">
        <f>IF($C17,'Proyecto Datos (OKR´s)'!$G17,"")</f>
      </c>
      <c r="G17" s="203">
        <f>IF($C17,IF('Proyecto Datos (OKR´s)'!$I17="","(Sin asignar)",'Proyecto Datos (OKR´s)'!$I17),"")</f>
      </c>
      <c r="H17" s="202">
        <f>IF($C17,IF(ISNUMBER('Proyecto Datos (OKR´s)'!$F17),'Proyecto Datos (OKR´s)'!$F17,""),"")</f>
      </c>
      <c r="I17" s="202">
        <f>IF($C17,'Proyecto Datos (OKR´s)'!$J17,"")</f>
      </c>
      <c r="J17" s="203">
        <f>IF($C17,IF($I17&gt;=1,"Completado",IF(NOT(ISNUMBER($H17)),"Sin fecha",IF($H17&lt;TODAY(),"Vencido",IF(($H17-TODAY())&lt;='Entregas Próximas'!$M$3,"Próximo a vencer","En curso")))),"")</f>
      </c>
      <c r="K17" s="202">
        <f>IF(AND($C17,ISNUMBER($H17)),$H17-TODAY(),"")</f>
      </c>
      <c r="L17" s="202">
        <f>IF(AND($C17,ISNUMBER($H17)),$AD17*1000000+$H17+ROW()/100000,"")</f>
      </c>
      <c r="M17" s="202">
        <f>IF($C17,IF($AD17=9999,"(Sin sprint)",$AD17),"")</f>
      </c>
      <c r="N17" s="202">
        <f>IF($C17,IF('Proyecto Datos (OKR´s)'!$E17="",9999,'Proyecto Datos (OKR´s)'!$E17),"")</f>
      </c>
      <c r="O17" s="202">
        <f>IF($C17,"T"&amp;TEXT(ROW(),"000"),"")</f>
      </c>
      <c r="P17" s="202">
        <f>ROW()-6</f>
      </c>
      <c r="Q17" s="202">
        <f>IF(COUNTIF($AD$7:$AD$200,$P17)&gt;0,$P17,"")</f>
      </c>
      <c r="R17" s="202">
        <f>IF($C17,IF(ISNUMBER('Proyecto Datos (OKR´s)'!$L17),'Proyecto Datos (OKR´s)'!$L17,$H17),"")</f>
      </c>
      <c r="S17" s="202">
        <f>IF($C17,$R17-'Proyecto Datos (OKR´s)'!$K17+1,"")</f>
      </c>
      <c r="T17" s="202">
        <f>IF($C17,MAX(0,TODAY()-'Proyecto Datos (OKR´s)'!$K17),"")</f>
      </c>
      <c r="U17" s="202">
        <f>IF($C17,MEDIAN(0,(TODAY()-'Proyecto Datos (OKR´s)'!$K17)/MAX(1,$R17-'Proyecto Datos (OKR´s)'!$K17),1),"")</f>
      </c>
      <c r="V17" s="202">
        <f>IF($C17,$I17-$U17,"")</f>
      </c>
      <c r="W17" s="202">
        <f>IF($C17,IF(OR($J17="Completado",NOT(ISNUMBER($H17))),0,MAX(0,TODAY()-$H17)),"")</f>
      </c>
      <c r="X17" s="202">
        <f>IF($C17,IF(ISNUMBER($H17),$R17-$H17,0),"")</f>
      </c>
      <c r="Y17" s="202">
        <f>IF($C17,COUNTIFS($G$7:$G$200,$G17,$J$7:$J$200,"&lt;&gt;Completado",$J$7:$J$200,"&lt;&gt;"),"")</f>
      </c>
      <c r="Z17" s="202">
        <f>IF($C17,AND($I17=0,'Proyecto Datos (OKR´s)'!$K17&lt;=TODAY(),$J17&lt;&gt;"Completado"),"")</f>
      </c>
      <c r="AA17" s="202">
        <f>IF($C17,ROUND(100*(0.35*$AK17+0.3*$AL17+0.2*$AM17+0.15*MEDIAN(0,($Y17-4)/8,1)),0),"")</f>
      </c>
      <c r="AB17" s="203">
        <f>IF($C17,IF(OR($J17="Completado",$J17="Sin fecha"),"—",IF($AA17&gt;=70,"Crítica",IF($AA17&gt;=45,"Alta",IF($AA17&gt;=25,"Media","Baja")))),"")</f>
      </c>
      <c r="AC17" s="203">
        <f>IF($C17,IF(LEN(TRIM($AN17))=0,"—",TRIM($AN17)),"")</f>
      </c>
      <c r="AD17" s="202">
        <f>IF($C17,$AV17,"")</f>
      </c>
      <c r="AE17" s="202">
        <f>IF($C17,$AZ17,"")</f>
      </c>
      <c r="AF17" s="202">
        <f>IF($C17,$AV17&lt;&gt;$AR17,FALSE)</f>
      </c>
      <c r="AG17" s="202">
        <f>IF($C17,IF($AV17&lt;&gt;$AR17,$AW17,""),"")</f>
      </c>
      <c r="AH17" s="203">
        <f>IF($C17,'Backlog General'!$L17,"")</f>
      </c>
      <c r="AI17" s="202">
        <f>IF($C17,$AV17*100000+ROW(),"")</f>
      </c>
      <c r="AJ17" s="202">
        <f>IF(AND($C17,ISNUMBER($H17)),$AA17*1000000-MEDIAN(-9999,$K17,9999)*100+(300-ROW()),"")</f>
      </c>
      <c r="AK17" s="202">
        <f>IF($C17,IF($J17="Completado",0,IF($K17&lt;0,1,IF($K17&lt;=3,0.9,IF($K17&lt;=7,0.7,IF($K17&lt;=14,0.45,0.2))))),"")</f>
      </c>
      <c r="AL17" s="202">
        <f>IF($C17,IF($J17="Completado",0,MEDIAN(0,MAX(-$V17,$W17/30),1)),"")</f>
      </c>
      <c r="AM17" s="202">
        <f>IF($C17,IF($J17="Completado",0,IF($Z17,1,IF(AND($I17&lt;0.5,$K17&lt;=7),0.7,0.3))),"")</f>
      </c>
      <c r="AN17" s="203">
        <f>IF($C17,IF(OR($V17&lt;-0.2,$W17&gt;0),"ATRASO ","")&amp;IF($Z17,"BLOQUEO ","")&amp;IF($Y17&gt;8,"SOBRECARGA ","")&amp;IF($X17&gt;0,"DESVÍO-PLAN ",""),"")</f>
      </c>
      <c r="AO17" s="203">
        <f>IF($C17,IFERROR(VLOOKUP($D17,'Sprints'!$G$5:$H$12,2,FALSE),"Semanal"),"")</f>
      </c>
      <c r="AP17" s="202">
        <f>IF($C17,IF($AO17="Semanal",'Sprints'!$D$5,IF($AO17="Quincenal",'Sprints'!$D$6,'Sprints'!$D$7)),"")</f>
      </c>
      <c r="AQ17" s="202">
        <f>IF($C17,IF($AO17="Semanal",'Sprints'!$C$5,IF($AO17="Quincenal",'Sprints'!$C$6,'Sprints'!$C$7)),"")</f>
      </c>
      <c r="AR17" s="202">
        <f>IF(AND($C17,ISNUMBER($H17)),MAX(1,INT(($H17-$AQ17)/$AP17)+1),"")</f>
      </c>
      <c r="AS17" s="202">
        <f>IF($C17,IF($AO17="Semanal",'Sprints'!$E$5,IF($AO17="Quincenal",'Sprints'!$E$6,'Sprints'!$E$7)),"")</f>
      </c>
      <c r="AT17" s="203">
        <f>IF($C17,'Backlog General'!$G17,"")</f>
      </c>
      <c r="AU17" s="203">
        <f>IF($C17,'Backlog General'!$H17,"")</f>
      </c>
      <c r="AV17" s="202">
        <f>IF(AND($C17,ISNUMBER($AR17)),IF(OR($AT17="Completo",$AU17="Cancelado",$AU17="Baja prioridad"),$AR17,IF($AU17="Pasa al siguiente",MAX($AR17+1,$AS17),MAX($AR17,$AS17))),"")</f>
      </c>
      <c r="AW17" s="202">
        <f>IF(AND($C17,ISNUMBER($AR17)),$AQ17+$AR17*$AP17-1,"")</f>
      </c>
      <c r="AX17" s="202">
        <f>IF($C17,IF(OR($AT17="Completo",$AU17="Cancelado",$AU17="Baja prioridad",NOT(ISNUMBER($AW17))),0,MAX(0,TODAY()-$AW17)),"")</f>
      </c>
      <c r="AY17" s="203">
        <f>IF($C17,IF(NOT(ISNUMBER($AR17)),"Sin fecha",IF($AT17="Completo","Completo",IF($AU17="Cancelado","Cancelado",IF($AU17="Baja prioridad","Baja prioridad",IF($AX17&gt;0,"Vencida","Pendiente"))))),"")</f>
      </c>
      <c r="AZ17" s="203">
        <f>IF($C17,IF(ISNUMBER($AV17),$AO17&amp;" · S"&amp;$AV17,"(Sin fecha)"),"")</f>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row>
    <row r="18">
      <c r="A18" s="202">
        <f>ROW()</f>
      </c>
      <c r="B18" s="202">
        <f>ISTEXT('Proyecto Datos (OKR´s)'!$K18)</f>
      </c>
      <c r="C18" s="202">
        <f>AND(LEN('Proyecto Datos (OKR´s)'!$G18)&gt;0,NOT($B18),OR(ISNUMBER('Proyecto Datos (OKR´s)'!$F18),ISNUMBER('Proyecto Datos (OKR´s)'!$L18)))</f>
      </c>
      <c r="D18" s="203">
        <f>IF($C18,IFERROR(LOOKUP(2,1/((ISTEXT('Proyecto Datos (OKR´s)'!$K$7:$K18))*(LEN('Proyecto Datos (OKR´s)'!$G$7:$G18)&gt;0)),'Proyecto Datos (OKR´s)'!$G$7:$G18),""),"")</f>
      </c>
      <c r="E18" s="202">
        <f>IF($C18,'Proyecto Datos (OKR´s)'!$E18,"")</f>
      </c>
      <c r="F18" s="203">
        <f>IF($C18,'Proyecto Datos (OKR´s)'!$G18,"")</f>
      </c>
      <c r="G18" s="203">
        <f>IF($C18,IF('Proyecto Datos (OKR´s)'!$I18="","(Sin asignar)",'Proyecto Datos (OKR´s)'!$I18),"")</f>
      </c>
      <c r="H18" s="202">
        <f>IF($C18,IF(ISNUMBER('Proyecto Datos (OKR´s)'!$F18),'Proyecto Datos (OKR´s)'!$F18,""),"")</f>
      </c>
      <c r="I18" s="202">
        <f>IF($C18,'Proyecto Datos (OKR´s)'!$J18,"")</f>
      </c>
      <c r="J18" s="203">
        <f>IF($C18,IF($I18&gt;=1,"Completado",IF(NOT(ISNUMBER($H18)),"Sin fecha",IF($H18&lt;TODAY(),"Vencido",IF(($H18-TODAY())&lt;='Entregas Próximas'!$M$3,"Próximo a vencer","En curso")))),"")</f>
      </c>
      <c r="K18" s="202">
        <f>IF(AND($C18,ISNUMBER($H18)),$H18-TODAY(),"")</f>
      </c>
      <c r="L18" s="202">
        <f>IF(AND($C18,ISNUMBER($H18)),$AD18*1000000+$H18+ROW()/100000,"")</f>
      </c>
      <c r="M18" s="202">
        <f>IF($C18,IF($AD18=9999,"(Sin sprint)",$AD18),"")</f>
      </c>
      <c r="N18" s="202">
        <f>IF($C18,IF('Proyecto Datos (OKR´s)'!$E18="",9999,'Proyecto Datos (OKR´s)'!$E18),"")</f>
      </c>
      <c r="O18" s="202">
        <f>IF($C18,"T"&amp;TEXT(ROW(),"000"),"")</f>
      </c>
      <c r="P18" s="202">
        <f>ROW()-6</f>
      </c>
      <c r="Q18" s="202">
        <f>IF(COUNTIF($AD$7:$AD$200,$P18)&gt;0,$P18,"")</f>
      </c>
      <c r="R18" s="202">
        <f>IF($C18,IF(ISNUMBER('Proyecto Datos (OKR´s)'!$L18),'Proyecto Datos (OKR´s)'!$L18,$H18),"")</f>
      </c>
      <c r="S18" s="202">
        <f>IF($C18,$R18-'Proyecto Datos (OKR´s)'!$K18+1,"")</f>
      </c>
      <c r="T18" s="202">
        <f>IF($C18,MAX(0,TODAY()-'Proyecto Datos (OKR´s)'!$K18),"")</f>
      </c>
      <c r="U18" s="202">
        <f>IF($C18,MEDIAN(0,(TODAY()-'Proyecto Datos (OKR´s)'!$K18)/MAX(1,$R18-'Proyecto Datos (OKR´s)'!$K18),1),"")</f>
      </c>
      <c r="V18" s="202">
        <f>IF($C18,$I18-$U18,"")</f>
      </c>
      <c r="W18" s="202">
        <f>IF($C18,IF(OR($J18="Completado",NOT(ISNUMBER($H18))),0,MAX(0,TODAY()-$H18)),"")</f>
      </c>
      <c r="X18" s="202">
        <f>IF($C18,IF(ISNUMBER($H18),$R18-$H18,0),"")</f>
      </c>
      <c r="Y18" s="202">
        <f>IF($C18,COUNTIFS($G$7:$G$200,$G18,$J$7:$J$200,"&lt;&gt;Completado",$J$7:$J$200,"&lt;&gt;"),"")</f>
      </c>
      <c r="Z18" s="202">
        <f>IF($C18,AND($I18=0,'Proyecto Datos (OKR´s)'!$K18&lt;=TODAY(),$J18&lt;&gt;"Completado"),"")</f>
      </c>
      <c r="AA18" s="202">
        <f>IF($C18,ROUND(100*(0.35*$AK18+0.3*$AL18+0.2*$AM18+0.15*MEDIAN(0,($Y18-4)/8,1)),0),"")</f>
      </c>
      <c r="AB18" s="203">
        <f>IF($C18,IF(OR($J18="Completado",$J18="Sin fecha"),"—",IF($AA18&gt;=70,"Crítica",IF($AA18&gt;=45,"Alta",IF($AA18&gt;=25,"Media","Baja")))),"")</f>
      </c>
      <c r="AC18" s="203">
        <f>IF($C18,IF(LEN(TRIM($AN18))=0,"—",TRIM($AN18)),"")</f>
      </c>
      <c r="AD18" s="202">
        <f>IF($C18,$AV18,"")</f>
      </c>
      <c r="AE18" s="202">
        <f>IF($C18,$AZ18,"")</f>
      </c>
      <c r="AF18" s="202">
        <f>IF($C18,$AV18&lt;&gt;$AR18,FALSE)</f>
      </c>
      <c r="AG18" s="202">
        <f>IF($C18,IF($AV18&lt;&gt;$AR18,$AW18,""),"")</f>
      </c>
      <c r="AH18" s="203">
        <f>IF($C18,'Backlog General'!$L18,"")</f>
      </c>
      <c r="AI18" s="202">
        <f>IF($C18,$AV18*100000+ROW(),"")</f>
      </c>
      <c r="AJ18" s="202">
        <f>IF(AND($C18,ISNUMBER($H18)),$AA18*1000000-MEDIAN(-9999,$K18,9999)*100+(300-ROW()),"")</f>
      </c>
      <c r="AK18" s="202">
        <f>IF($C18,IF($J18="Completado",0,IF($K18&lt;0,1,IF($K18&lt;=3,0.9,IF($K18&lt;=7,0.7,IF($K18&lt;=14,0.45,0.2))))),"")</f>
      </c>
      <c r="AL18" s="202">
        <f>IF($C18,IF($J18="Completado",0,MEDIAN(0,MAX(-$V18,$W18/30),1)),"")</f>
      </c>
      <c r="AM18" s="202">
        <f>IF($C18,IF($J18="Completado",0,IF($Z18,1,IF(AND($I18&lt;0.5,$K18&lt;=7),0.7,0.3))),"")</f>
      </c>
      <c r="AN18" s="203">
        <f>IF($C18,IF(OR($V18&lt;-0.2,$W18&gt;0),"ATRASO ","")&amp;IF($Z18,"BLOQUEO ","")&amp;IF($Y18&gt;8,"SOBRECARGA ","")&amp;IF($X18&gt;0,"DESVÍO-PLAN ",""),"")</f>
      </c>
      <c r="AO18" s="203">
        <f>IF($C18,IFERROR(VLOOKUP($D18,'Sprints'!$G$5:$H$12,2,FALSE),"Semanal"),"")</f>
      </c>
      <c r="AP18" s="202">
        <f>IF($C18,IF($AO18="Semanal",'Sprints'!$D$5,IF($AO18="Quincenal",'Sprints'!$D$6,'Sprints'!$D$7)),"")</f>
      </c>
      <c r="AQ18" s="202">
        <f>IF($C18,IF($AO18="Semanal",'Sprints'!$C$5,IF($AO18="Quincenal",'Sprints'!$C$6,'Sprints'!$C$7)),"")</f>
      </c>
      <c r="AR18" s="202">
        <f>IF(AND($C18,ISNUMBER($H18)),MAX(1,INT(($H18-$AQ18)/$AP18)+1),"")</f>
      </c>
      <c r="AS18" s="202">
        <f>IF($C18,IF($AO18="Semanal",'Sprints'!$E$5,IF($AO18="Quincenal",'Sprints'!$E$6,'Sprints'!$E$7)),"")</f>
      </c>
      <c r="AT18" s="203">
        <f>IF($C18,'Backlog General'!$G18,"")</f>
      </c>
      <c r="AU18" s="203">
        <f>IF($C18,'Backlog General'!$H18,"")</f>
      </c>
      <c r="AV18" s="202">
        <f>IF(AND($C18,ISNUMBER($AR18)),IF(OR($AT18="Completo",$AU18="Cancelado",$AU18="Baja prioridad"),$AR18,IF($AU18="Pasa al siguiente",MAX($AR18+1,$AS18),MAX($AR18,$AS18))),"")</f>
      </c>
      <c r="AW18" s="202">
        <f>IF(AND($C18,ISNUMBER($AR18)),$AQ18+$AR18*$AP18-1,"")</f>
      </c>
      <c r="AX18" s="202">
        <f>IF($C18,IF(OR($AT18="Completo",$AU18="Cancelado",$AU18="Baja prioridad",NOT(ISNUMBER($AW18))),0,MAX(0,TODAY()-$AW18)),"")</f>
      </c>
      <c r="AY18" s="203">
        <f>IF($C18,IF(NOT(ISNUMBER($AR18)),"Sin fecha",IF($AT18="Completo","Completo",IF($AU18="Cancelado","Cancelado",IF($AU18="Baja prioridad","Baja prioridad",IF($AX18&gt;0,"Vencida","Pendiente"))))),"")</f>
      </c>
      <c r="AZ18" s="203">
        <f>IF($C18,IF(ISNUMBER($AV18),$AO18&amp;" · S"&amp;$AV18,"(Sin fecha)"),"")</f>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row>
    <row r="19">
      <c r="A19" s="202">
        <f>ROW()</f>
      </c>
      <c r="B19" s="202">
        <f>ISTEXT('Proyecto Datos (OKR´s)'!$K19)</f>
      </c>
      <c r="C19" s="202">
        <f>AND(LEN('Proyecto Datos (OKR´s)'!$G19)&gt;0,NOT($B19),OR(ISNUMBER('Proyecto Datos (OKR´s)'!$F19),ISNUMBER('Proyecto Datos (OKR´s)'!$L19)))</f>
      </c>
      <c r="D19" s="203">
        <f>IF($C19,IFERROR(LOOKUP(2,1/((ISTEXT('Proyecto Datos (OKR´s)'!$K$7:$K19))*(LEN('Proyecto Datos (OKR´s)'!$G$7:$G19)&gt;0)),'Proyecto Datos (OKR´s)'!$G$7:$G19),""),"")</f>
      </c>
      <c r="E19" s="202">
        <f>IF($C19,'Proyecto Datos (OKR´s)'!$E19,"")</f>
      </c>
      <c r="F19" s="203">
        <f>IF($C19,'Proyecto Datos (OKR´s)'!$G19,"")</f>
      </c>
      <c r="G19" s="203">
        <f>IF($C19,IF('Proyecto Datos (OKR´s)'!$I19="","(Sin asignar)",'Proyecto Datos (OKR´s)'!$I19),"")</f>
      </c>
      <c r="H19" s="202">
        <f>IF($C19,IF(ISNUMBER('Proyecto Datos (OKR´s)'!$F19),'Proyecto Datos (OKR´s)'!$F19,""),"")</f>
      </c>
      <c r="I19" s="202">
        <f>IF($C19,'Proyecto Datos (OKR´s)'!$J19,"")</f>
      </c>
      <c r="J19" s="203">
        <f>IF($C19,IF($I19&gt;=1,"Completado",IF(NOT(ISNUMBER($H19)),"Sin fecha",IF($H19&lt;TODAY(),"Vencido",IF(($H19-TODAY())&lt;='Entregas Próximas'!$M$3,"Próximo a vencer","En curso")))),"")</f>
      </c>
      <c r="K19" s="202">
        <f>IF(AND($C19,ISNUMBER($H19)),$H19-TODAY(),"")</f>
      </c>
      <c r="L19" s="202">
        <f>IF(AND($C19,ISNUMBER($H19)),$AD19*1000000+$H19+ROW()/100000,"")</f>
      </c>
      <c r="M19" s="202">
        <f>IF($C19,IF($AD19=9999,"(Sin sprint)",$AD19),"")</f>
      </c>
      <c r="N19" s="202">
        <f>IF($C19,IF('Proyecto Datos (OKR´s)'!$E19="",9999,'Proyecto Datos (OKR´s)'!$E19),"")</f>
      </c>
      <c r="O19" s="202">
        <f>IF($C19,"T"&amp;TEXT(ROW(),"000"),"")</f>
      </c>
      <c r="P19" s="202">
        <f>ROW()-6</f>
      </c>
      <c r="Q19" s="202">
        <f>IF(COUNTIF($AD$7:$AD$200,$P19)&gt;0,$P19,"")</f>
      </c>
      <c r="R19" s="202">
        <f>IF($C19,IF(ISNUMBER('Proyecto Datos (OKR´s)'!$L19),'Proyecto Datos (OKR´s)'!$L19,$H19),"")</f>
      </c>
      <c r="S19" s="202">
        <f>IF($C19,$R19-'Proyecto Datos (OKR´s)'!$K19+1,"")</f>
      </c>
      <c r="T19" s="202">
        <f>IF($C19,MAX(0,TODAY()-'Proyecto Datos (OKR´s)'!$K19),"")</f>
      </c>
      <c r="U19" s="202">
        <f>IF($C19,MEDIAN(0,(TODAY()-'Proyecto Datos (OKR´s)'!$K19)/MAX(1,$R19-'Proyecto Datos (OKR´s)'!$K19),1),"")</f>
      </c>
      <c r="V19" s="202">
        <f>IF($C19,$I19-$U19,"")</f>
      </c>
      <c r="W19" s="202">
        <f>IF($C19,IF(OR($J19="Completado",NOT(ISNUMBER($H19))),0,MAX(0,TODAY()-$H19)),"")</f>
      </c>
      <c r="X19" s="202">
        <f>IF($C19,IF(ISNUMBER($H19),$R19-$H19,0),"")</f>
      </c>
      <c r="Y19" s="202">
        <f>IF($C19,COUNTIFS($G$7:$G$200,$G19,$J$7:$J$200,"&lt;&gt;Completado",$J$7:$J$200,"&lt;&gt;"),"")</f>
      </c>
      <c r="Z19" s="202">
        <f>IF($C19,AND($I19=0,'Proyecto Datos (OKR´s)'!$K19&lt;=TODAY(),$J19&lt;&gt;"Completado"),"")</f>
      </c>
      <c r="AA19" s="202">
        <f>IF($C19,ROUND(100*(0.35*$AK19+0.3*$AL19+0.2*$AM19+0.15*MEDIAN(0,($Y19-4)/8,1)),0),"")</f>
      </c>
      <c r="AB19" s="203">
        <f>IF($C19,IF(OR($J19="Completado",$J19="Sin fecha"),"—",IF($AA19&gt;=70,"Crítica",IF($AA19&gt;=45,"Alta",IF($AA19&gt;=25,"Media","Baja")))),"")</f>
      </c>
      <c r="AC19" s="203">
        <f>IF($C19,IF(LEN(TRIM($AN19))=0,"—",TRIM($AN19)),"")</f>
      </c>
      <c r="AD19" s="202">
        <f>IF($C19,$AV19,"")</f>
      </c>
      <c r="AE19" s="202">
        <f>IF($C19,$AZ19,"")</f>
      </c>
      <c r="AF19" s="202">
        <f>IF($C19,$AV19&lt;&gt;$AR19,FALSE)</f>
      </c>
      <c r="AG19" s="202">
        <f>IF($C19,IF($AV19&lt;&gt;$AR19,$AW19,""),"")</f>
      </c>
      <c r="AH19" s="203">
        <f>IF($C19,'Backlog General'!$L19,"")</f>
      </c>
      <c r="AI19" s="202">
        <f>IF($C19,$AV19*100000+ROW(),"")</f>
      </c>
      <c r="AJ19" s="202">
        <f>IF(AND($C19,ISNUMBER($H19)),$AA19*1000000-MEDIAN(-9999,$K19,9999)*100+(300-ROW()),"")</f>
      </c>
      <c r="AK19" s="202">
        <f>IF($C19,IF($J19="Completado",0,IF($K19&lt;0,1,IF($K19&lt;=3,0.9,IF($K19&lt;=7,0.7,IF($K19&lt;=14,0.45,0.2))))),"")</f>
      </c>
      <c r="AL19" s="202">
        <f>IF($C19,IF($J19="Completado",0,MEDIAN(0,MAX(-$V19,$W19/30),1)),"")</f>
      </c>
      <c r="AM19" s="202">
        <f>IF($C19,IF($J19="Completado",0,IF($Z19,1,IF(AND($I19&lt;0.5,$K19&lt;=7),0.7,0.3))),"")</f>
      </c>
      <c r="AN19" s="203">
        <f>IF($C19,IF(OR($V19&lt;-0.2,$W19&gt;0),"ATRASO ","")&amp;IF($Z19,"BLOQUEO ","")&amp;IF($Y19&gt;8,"SOBRECARGA ","")&amp;IF($X19&gt;0,"DESVÍO-PLAN ",""),"")</f>
      </c>
      <c r="AO19" s="203">
        <f>IF($C19,IFERROR(VLOOKUP($D19,'Sprints'!$G$5:$H$12,2,FALSE),"Semanal"),"")</f>
      </c>
      <c r="AP19" s="202">
        <f>IF($C19,IF($AO19="Semanal",'Sprints'!$D$5,IF($AO19="Quincenal",'Sprints'!$D$6,'Sprints'!$D$7)),"")</f>
      </c>
      <c r="AQ19" s="202">
        <f>IF($C19,IF($AO19="Semanal",'Sprints'!$C$5,IF($AO19="Quincenal",'Sprints'!$C$6,'Sprints'!$C$7)),"")</f>
      </c>
      <c r="AR19" s="202">
        <f>IF(AND($C19,ISNUMBER($H19)),MAX(1,INT(($H19-$AQ19)/$AP19)+1),"")</f>
      </c>
      <c r="AS19" s="202">
        <f>IF($C19,IF($AO19="Semanal",'Sprints'!$E$5,IF($AO19="Quincenal",'Sprints'!$E$6,'Sprints'!$E$7)),"")</f>
      </c>
      <c r="AT19" s="203">
        <f>IF($C19,'Backlog General'!$G19,"")</f>
      </c>
      <c r="AU19" s="203">
        <f>IF($C19,'Backlog General'!$H19,"")</f>
      </c>
      <c r="AV19" s="202">
        <f>IF(AND($C19,ISNUMBER($AR19)),IF(OR($AT19="Completo",$AU19="Cancelado",$AU19="Baja prioridad"),$AR19,IF($AU19="Pasa al siguiente",MAX($AR19+1,$AS19),MAX($AR19,$AS19))),"")</f>
      </c>
      <c r="AW19" s="202">
        <f>IF(AND($C19,ISNUMBER($AR19)),$AQ19+$AR19*$AP19-1,"")</f>
      </c>
      <c r="AX19" s="202">
        <f>IF($C19,IF(OR($AT19="Completo",$AU19="Cancelado",$AU19="Baja prioridad",NOT(ISNUMBER($AW19))),0,MAX(0,TODAY()-$AW19)),"")</f>
      </c>
      <c r="AY19" s="203">
        <f>IF($C19,IF(NOT(ISNUMBER($AR19)),"Sin fecha",IF($AT19="Completo","Completo",IF($AU19="Cancelado","Cancelado",IF($AU19="Baja prioridad","Baja prioridad",IF($AX19&gt;0,"Vencida","Pendiente"))))),"")</f>
      </c>
      <c r="AZ19" s="203">
        <f>IF($C19,IF(ISNUMBER($AV19),$AO19&amp;" · S"&amp;$AV19,"(Sin fecha)"),"")</f>
      </c>
      <c r="BA19" s="202">
        <f>IF($C19,IF(AND(ISNUMBER('Backlog General'!$M19),'Backlog General'!$M19=$AS19),"Nuevo S"&amp;'Backlog General'!$M19,""),"")</f>
      </c>
      <c r="BB19" s="202">
        <f>IF(AND($C19,$AO19="Semanal",ISNUMBER($AV19)),$AV19*100000+ROW(),"")</f>
      </c>
      <c r="BC19" s="202">
        <f>IF(AND($C19,$AO19="Quincenal",ISNUMBER($AV19)),$AV19*100000+ROW(),"")</f>
      </c>
      <c r="BD19" s="202">
        <f>IF(AND($C19,$AO19="Mensual",ISNUMBER($AV19)),$AV19*100000+ROW(),"")</f>
      </c>
    </row>
    <row r="20">
      <c r="A20" s="202">
        <f>ROW()</f>
      </c>
      <c r="B20" s="202">
        <f>ISTEXT('Proyecto Datos (OKR´s)'!$K20)</f>
      </c>
      <c r="C20" s="202">
        <f>AND(LEN('Proyecto Datos (OKR´s)'!$G20)&gt;0,NOT($B20),OR(ISNUMBER('Proyecto Datos (OKR´s)'!$F20),ISNUMBER('Proyecto Datos (OKR´s)'!$L20)))</f>
      </c>
      <c r="D20" s="203">
        <f>IF($C20,IFERROR(LOOKUP(2,1/((ISTEXT('Proyecto Datos (OKR´s)'!$K$7:$K20))*(LEN('Proyecto Datos (OKR´s)'!$G$7:$G20)&gt;0)),'Proyecto Datos (OKR´s)'!$G$7:$G20),""),"")</f>
      </c>
      <c r="E20" s="202">
        <f>IF($C20,'Proyecto Datos (OKR´s)'!$E20,"")</f>
      </c>
      <c r="F20" s="203">
        <f>IF($C20,'Proyecto Datos (OKR´s)'!$G20,"")</f>
      </c>
      <c r="G20" s="203">
        <f>IF($C20,IF('Proyecto Datos (OKR´s)'!$I20="","(Sin asignar)",'Proyecto Datos (OKR´s)'!$I20),"")</f>
      </c>
      <c r="H20" s="202">
        <f>IF($C20,IF(ISNUMBER('Proyecto Datos (OKR´s)'!$F20),'Proyecto Datos (OKR´s)'!$F20,""),"")</f>
      </c>
      <c r="I20" s="202">
        <f>IF($C20,'Proyecto Datos (OKR´s)'!$J20,"")</f>
      </c>
      <c r="J20" s="203">
        <f>IF($C20,IF($I20&gt;=1,"Completado",IF(NOT(ISNUMBER($H20)),"Sin fecha",IF($H20&lt;TODAY(),"Vencido",IF(($H20-TODAY())&lt;='Entregas Próximas'!$M$3,"Próximo a vencer","En curso")))),"")</f>
      </c>
      <c r="K20" s="202">
        <f>IF(AND($C20,ISNUMBER($H20)),$H20-TODAY(),"")</f>
      </c>
      <c r="L20" s="202">
        <f>IF(AND($C20,ISNUMBER($H20)),$AD20*1000000+$H20+ROW()/100000,"")</f>
      </c>
      <c r="M20" s="202">
        <f>IF($C20,IF($AD20=9999,"(Sin sprint)",$AD20),"")</f>
      </c>
      <c r="N20" s="202">
        <f>IF($C20,IF('Proyecto Datos (OKR´s)'!$E20="",9999,'Proyecto Datos (OKR´s)'!$E20),"")</f>
      </c>
      <c r="O20" s="202">
        <f>IF($C20,"T"&amp;TEXT(ROW(),"000"),"")</f>
      </c>
      <c r="P20" s="202">
        <f>ROW()-6</f>
      </c>
      <c r="Q20" s="202">
        <f>IF(COUNTIF($AD$7:$AD$200,$P20)&gt;0,$P20,"")</f>
      </c>
      <c r="R20" s="202">
        <f>IF($C20,IF(ISNUMBER('Proyecto Datos (OKR´s)'!$L20),'Proyecto Datos (OKR´s)'!$L20,$H20),"")</f>
      </c>
      <c r="S20" s="202">
        <f>IF($C20,$R20-'Proyecto Datos (OKR´s)'!$K20+1,"")</f>
      </c>
      <c r="T20" s="202">
        <f>IF($C20,MAX(0,TODAY()-'Proyecto Datos (OKR´s)'!$K20),"")</f>
      </c>
      <c r="U20" s="202">
        <f>IF($C20,MEDIAN(0,(TODAY()-'Proyecto Datos (OKR´s)'!$K20)/MAX(1,$R20-'Proyecto Datos (OKR´s)'!$K20),1),"")</f>
      </c>
      <c r="V20" s="202">
        <f>IF($C20,$I20-$U20,"")</f>
      </c>
      <c r="W20" s="202">
        <f>IF($C20,IF(OR($J20="Completado",NOT(ISNUMBER($H20))),0,MAX(0,TODAY()-$H20)),"")</f>
      </c>
      <c r="X20" s="202">
        <f>IF($C20,IF(ISNUMBER($H20),$R20-$H20,0),"")</f>
      </c>
      <c r="Y20" s="202">
        <f>IF($C20,COUNTIFS($G$7:$G$200,$G20,$J$7:$J$200,"&lt;&gt;Completado",$J$7:$J$200,"&lt;&gt;"),"")</f>
      </c>
      <c r="Z20" s="202">
        <f>IF($C20,AND($I20=0,'Proyecto Datos (OKR´s)'!$K20&lt;=TODAY(),$J20&lt;&gt;"Completado"),"")</f>
      </c>
      <c r="AA20" s="202">
        <f>IF($C20,ROUND(100*(0.35*$AK20+0.3*$AL20+0.2*$AM20+0.15*MEDIAN(0,($Y20-4)/8,1)),0),"")</f>
      </c>
      <c r="AB20" s="203">
        <f>IF($C20,IF(OR($J20="Completado",$J20="Sin fecha"),"—",IF($AA20&gt;=70,"Crítica",IF($AA20&gt;=45,"Alta",IF($AA20&gt;=25,"Media","Baja")))),"")</f>
      </c>
      <c r="AC20" s="203">
        <f>IF($C20,IF(LEN(TRIM($AN20))=0,"—",TRIM($AN20)),"")</f>
      </c>
      <c r="AD20" s="202">
        <f>IF($C20,$AV20,"")</f>
      </c>
      <c r="AE20" s="202">
        <f>IF($C20,$AZ20,"")</f>
      </c>
      <c r="AF20" s="202">
        <f>IF($C20,$AV20&lt;&gt;$AR20,FALSE)</f>
      </c>
      <c r="AG20" s="202">
        <f>IF($C20,IF($AV20&lt;&gt;$AR20,$AW20,""),"")</f>
      </c>
      <c r="AH20" s="203">
        <f>IF($C20,'Backlog General'!$L20,"")</f>
      </c>
      <c r="AI20" s="202">
        <f>IF($C20,$AV20*100000+ROW(),"")</f>
      </c>
      <c r="AJ20" s="202">
        <f>IF(AND($C20,ISNUMBER($H20)),$AA20*1000000-MEDIAN(-9999,$K20,9999)*100+(300-ROW()),"")</f>
      </c>
      <c r="AK20" s="202">
        <f>IF($C20,IF($J20="Completado",0,IF($K20&lt;0,1,IF($K20&lt;=3,0.9,IF($K20&lt;=7,0.7,IF($K20&lt;=14,0.45,0.2))))),"")</f>
      </c>
      <c r="AL20" s="202">
        <f>IF($C20,IF($J20="Completado",0,MEDIAN(0,MAX(-$V20,$W20/30),1)),"")</f>
      </c>
      <c r="AM20" s="202">
        <f>IF($C20,IF($J20="Completado",0,IF($Z20,1,IF(AND($I20&lt;0.5,$K20&lt;=7),0.7,0.3))),"")</f>
      </c>
      <c r="AN20" s="203">
        <f>IF($C20,IF(OR($V20&lt;-0.2,$W20&gt;0),"ATRASO ","")&amp;IF($Z20,"BLOQUEO ","")&amp;IF($Y20&gt;8,"SOBRECARGA ","")&amp;IF($X20&gt;0,"DESVÍO-PLAN ",""),"")</f>
      </c>
      <c r="AO20" s="203">
        <f>IF($C20,IFERROR(VLOOKUP($D20,'Sprints'!$G$5:$H$12,2,FALSE),"Semanal"),"")</f>
      </c>
      <c r="AP20" s="202">
        <f>IF($C20,IF($AO20="Semanal",'Sprints'!$D$5,IF($AO20="Quincenal",'Sprints'!$D$6,'Sprints'!$D$7)),"")</f>
      </c>
      <c r="AQ20" s="202">
        <f>IF($C20,IF($AO20="Semanal",'Sprints'!$C$5,IF($AO20="Quincenal",'Sprints'!$C$6,'Sprints'!$C$7)),"")</f>
      </c>
      <c r="AR20" s="202">
        <f>IF(AND($C20,ISNUMBER($H20)),MAX(1,INT(($H20-$AQ20)/$AP20)+1),"")</f>
      </c>
      <c r="AS20" s="202">
        <f>IF($C20,IF($AO20="Semanal",'Sprints'!$E$5,IF($AO20="Quincenal",'Sprints'!$E$6,'Sprints'!$E$7)),"")</f>
      </c>
      <c r="AT20" s="203">
        <f>IF($C20,'Backlog General'!$G20,"")</f>
      </c>
      <c r="AU20" s="203">
        <f>IF($C20,'Backlog General'!$H20,"")</f>
      </c>
      <c r="AV20" s="202">
        <f>IF(AND($C20,ISNUMBER($AR20)),IF(OR($AT20="Completo",$AU20="Cancelado",$AU20="Baja prioridad"),$AR20,IF($AU20="Pasa al siguiente",MAX($AR20+1,$AS20),MAX($AR20,$AS20))),"")</f>
      </c>
      <c r="AW20" s="202">
        <f>IF(AND($C20,ISNUMBER($AR20)),$AQ20+$AR20*$AP20-1,"")</f>
      </c>
      <c r="AX20" s="202">
        <f>IF($C20,IF(OR($AT20="Completo",$AU20="Cancelado",$AU20="Baja prioridad",NOT(ISNUMBER($AW20))),0,MAX(0,TODAY()-$AW20)),"")</f>
      </c>
      <c r="AY20" s="203">
        <f>IF($C20,IF(NOT(ISNUMBER($AR20)),"Sin fecha",IF($AT20="Completo","Completo",IF($AU20="Cancelado","Cancelado",IF($AU20="Baja prioridad","Baja prioridad",IF($AX20&gt;0,"Vencida","Pendiente"))))),"")</f>
      </c>
      <c r="AZ20" s="203">
        <f>IF($C20,IF(ISNUMBER($AV20),$AO20&amp;" · S"&amp;$AV20,"(Sin fecha)"),"")</f>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row>
    <row r="21">
      <c r="A21" s="202">
        <f>ROW()</f>
      </c>
      <c r="B21" s="202">
        <f>ISTEXT('Proyecto Datos (OKR´s)'!$K21)</f>
      </c>
      <c r="C21" s="202">
        <f>AND(LEN('Proyecto Datos (OKR´s)'!$G21)&gt;0,NOT($B21),OR(ISNUMBER('Proyecto Datos (OKR´s)'!$F21),ISNUMBER('Proyecto Datos (OKR´s)'!$L21)))</f>
      </c>
      <c r="D21" s="203">
        <f>IF($C21,IFERROR(LOOKUP(2,1/((ISTEXT('Proyecto Datos (OKR´s)'!$K$7:$K21))*(LEN('Proyecto Datos (OKR´s)'!$G$7:$G21)&gt;0)),'Proyecto Datos (OKR´s)'!$G$7:$G21),""),"")</f>
      </c>
      <c r="E21" s="202">
        <f>IF($C21,'Proyecto Datos (OKR´s)'!$E21,"")</f>
      </c>
      <c r="F21" s="203">
        <f>IF($C21,'Proyecto Datos (OKR´s)'!$G21,"")</f>
      </c>
      <c r="G21" s="203">
        <f>IF($C21,IF('Proyecto Datos (OKR´s)'!$I21="","(Sin asignar)",'Proyecto Datos (OKR´s)'!$I21),"")</f>
      </c>
      <c r="H21" s="202">
        <f>IF($C21,IF(ISNUMBER('Proyecto Datos (OKR´s)'!$F21),'Proyecto Datos (OKR´s)'!$F21,""),"")</f>
      </c>
      <c r="I21" s="202">
        <f>IF($C21,'Proyecto Datos (OKR´s)'!$J21,"")</f>
      </c>
      <c r="J21" s="203">
        <f>IF($C21,IF($I21&gt;=1,"Completado",IF(NOT(ISNUMBER($H21)),"Sin fecha",IF($H21&lt;TODAY(),"Vencido",IF(($H21-TODAY())&lt;='Entregas Próximas'!$M$3,"Próximo a vencer","En curso")))),"")</f>
      </c>
      <c r="K21" s="202">
        <f>IF(AND($C21,ISNUMBER($H21)),$H21-TODAY(),"")</f>
      </c>
      <c r="L21" s="202">
        <f>IF(AND($C21,ISNUMBER($H21)),$AD21*1000000+$H21+ROW()/100000,"")</f>
      </c>
      <c r="M21" s="202">
        <f>IF($C21,IF($AD21=9999,"(Sin sprint)",$AD21),"")</f>
      </c>
      <c r="N21" s="202">
        <f>IF($C21,IF('Proyecto Datos (OKR´s)'!$E21="",9999,'Proyecto Datos (OKR´s)'!$E21),"")</f>
      </c>
      <c r="O21" s="202">
        <f>IF($C21,"T"&amp;TEXT(ROW(),"000"),"")</f>
      </c>
      <c r="P21" s="202">
        <f>ROW()-6</f>
      </c>
      <c r="Q21" s="202">
        <f>IF(COUNTIF($AD$7:$AD$200,$P21)&gt;0,$P21,"")</f>
      </c>
      <c r="R21" s="202">
        <f>IF($C21,IF(ISNUMBER('Proyecto Datos (OKR´s)'!$L21),'Proyecto Datos (OKR´s)'!$L21,$H21),"")</f>
      </c>
      <c r="S21" s="202">
        <f>IF($C21,$R21-'Proyecto Datos (OKR´s)'!$K21+1,"")</f>
      </c>
      <c r="T21" s="202">
        <f>IF($C21,MAX(0,TODAY()-'Proyecto Datos (OKR´s)'!$K21),"")</f>
      </c>
      <c r="U21" s="202">
        <f>IF($C21,MEDIAN(0,(TODAY()-'Proyecto Datos (OKR´s)'!$K21)/MAX(1,$R21-'Proyecto Datos (OKR´s)'!$K21),1),"")</f>
      </c>
      <c r="V21" s="202">
        <f>IF($C21,$I21-$U21,"")</f>
      </c>
      <c r="W21" s="202">
        <f>IF($C21,IF(OR($J21="Completado",NOT(ISNUMBER($H21))),0,MAX(0,TODAY()-$H21)),"")</f>
      </c>
      <c r="X21" s="202">
        <f>IF($C21,IF(ISNUMBER($H21),$R21-$H21,0),"")</f>
      </c>
      <c r="Y21" s="202">
        <f>IF($C21,COUNTIFS($G$7:$G$200,$G21,$J$7:$J$200,"&lt;&gt;Completado",$J$7:$J$200,"&lt;&gt;"),"")</f>
      </c>
      <c r="Z21" s="202">
        <f>IF($C21,AND($I21=0,'Proyecto Datos (OKR´s)'!$K21&lt;=TODAY(),$J21&lt;&gt;"Completado"),"")</f>
      </c>
      <c r="AA21" s="202">
        <f>IF($C21,ROUND(100*(0.35*$AK21+0.3*$AL21+0.2*$AM21+0.15*MEDIAN(0,($Y21-4)/8,1)),0),"")</f>
      </c>
      <c r="AB21" s="203">
        <f>IF($C21,IF(OR($J21="Completado",$J21="Sin fecha"),"—",IF($AA21&gt;=70,"Crítica",IF($AA21&gt;=45,"Alta",IF($AA21&gt;=25,"Media","Baja")))),"")</f>
      </c>
      <c r="AC21" s="203">
        <f>IF($C21,IF(LEN(TRIM($AN21))=0,"—",TRIM($AN21)),"")</f>
      </c>
      <c r="AD21" s="202">
        <f>IF($C21,$AV21,"")</f>
      </c>
      <c r="AE21" s="202">
        <f>IF($C21,$AZ21,"")</f>
      </c>
      <c r="AF21" s="202">
        <f>IF($C21,$AV21&lt;&gt;$AR21,FALSE)</f>
      </c>
      <c r="AG21" s="202">
        <f>IF($C21,IF($AV21&lt;&gt;$AR21,$AW21,""),"")</f>
      </c>
      <c r="AH21" s="203">
        <f>IF($C21,'Backlog General'!$L21,"")</f>
      </c>
      <c r="AI21" s="202">
        <f>IF($C21,$AV21*100000+ROW(),"")</f>
      </c>
      <c r="AJ21" s="202">
        <f>IF(AND($C21,ISNUMBER($H21)),$AA21*1000000-MEDIAN(-9999,$K21,9999)*100+(300-ROW()),"")</f>
      </c>
      <c r="AK21" s="202">
        <f>IF($C21,IF($J21="Completado",0,IF($K21&lt;0,1,IF($K21&lt;=3,0.9,IF($K21&lt;=7,0.7,IF($K21&lt;=14,0.45,0.2))))),"")</f>
      </c>
      <c r="AL21" s="202">
        <f>IF($C21,IF($J21="Completado",0,MEDIAN(0,MAX(-$V21,$W21/30),1)),"")</f>
      </c>
      <c r="AM21" s="202">
        <f>IF($C21,IF($J21="Completado",0,IF($Z21,1,IF(AND($I21&lt;0.5,$K21&lt;=7),0.7,0.3))),"")</f>
      </c>
      <c r="AN21" s="203">
        <f>IF($C21,IF(OR($V21&lt;-0.2,$W21&gt;0),"ATRASO ","")&amp;IF($Z21,"BLOQUEO ","")&amp;IF($Y21&gt;8,"SOBRECARGA ","")&amp;IF($X21&gt;0,"DESVÍO-PLAN ",""),"")</f>
      </c>
      <c r="AO21" s="203">
        <f>IF($C21,IFERROR(VLOOKUP($D21,'Sprints'!$G$5:$H$12,2,FALSE),"Semanal"),"")</f>
      </c>
      <c r="AP21" s="202">
        <f>IF($C21,IF($AO21="Semanal",'Sprints'!$D$5,IF($AO21="Quincenal",'Sprints'!$D$6,'Sprints'!$D$7)),"")</f>
      </c>
      <c r="AQ21" s="202">
        <f>IF($C21,IF($AO21="Semanal",'Sprints'!$C$5,IF($AO21="Quincenal",'Sprints'!$C$6,'Sprints'!$C$7)),"")</f>
      </c>
      <c r="AR21" s="202">
        <f>IF(AND($C21,ISNUMBER($H21)),MAX(1,INT(($H21-$AQ21)/$AP21)+1),"")</f>
      </c>
      <c r="AS21" s="202">
        <f>IF($C21,IF($AO21="Semanal",'Sprints'!$E$5,IF($AO21="Quincenal",'Sprints'!$E$6,'Sprints'!$E$7)),"")</f>
      </c>
      <c r="AT21" s="203">
        <f>IF($C21,'Backlog General'!$G21,"")</f>
      </c>
      <c r="AU21" s="203">
        <f>IF($C21,'Backlog General'!$H21,"")</f>
      </c>
      <c r="AV21" s="202">
        <f>IF(AND($C21,ISNUMBER($AR21)),IF(OR($AT21="Completo",$AU21="Cancelado",$AU21="Baja prioridad"),$AR21,IF($AU21="Pasa al siguiente",MAX($AR21+1,$AS21),MAX($AR21,$AS21))),"")</f>
      </c>
      <c r="AW21" s="202">
        <f>IF(AND($C21,ISNUMBER($AR21)),$AQ21+$AR21*$AP21-1,"")</f>
      </c>
      <c r="AX21" s="202">
        <f>IF($C21,IF(OR($AT21="Completo",$AU21="Cancelado",$AU21="Baja prioridad",NOT(ISNUMBER($AW21))),0,MAX(0,TODAY()-$AW21)),"")</f>
      </c>
      <c r="AY21" s="203">
        <f>IF($C21,IF(NOT(ISNUMBER($AR21)),"Sin fecha",IF($AT21="Completo","Completo",IF($AU21="Cancelado","Cancelado",IF($AU21="Baja prioridad","Baja prioridad",IF($AX21&gt;0,"Vencida","Pendiente"))))),"")</f>
      </c>
      <c r="AZ21" s="203">
        <f>IF($C21,IF(ISNUMBER($AV21),$AO21&amp;" · S"&amp;$AV21,"(Sin fecha)"),"")</f>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row>
    <row r="22">
      <c r="A22" s="202">
        <f>ROW()</f>
      </c>
      <c r="B22" s="202">
        <f>ISTEXT('Proyecto Datos (OKR´s)'!$K22)</f>
      </c>
      <c r="C22" s="202">
        <f>AND(LEN('Proyecto Datos (OKR´s)'!$G22)&gt;0,NOT($B22),OR(ISNUMBER('Proyecto Datos (OKR´s)'!$F22),ISNUMBER('Proyecto Datos (OKR´s)'!$L22)))</f>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IF($C22,'Proyecto Datos (OKR´s)'!$J22,"")</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f>IF($C22,$AV22&lt;&gt;$AR22,FALSE)</f>
      </c>
      <c r="AG22" s="202">
        <f>IF($C22,IF($AV22&lt;&gt;$AR22,$AW22,""),"")</f>
      </c>
      <c r="AH22" s="203">
        <f>IF($C22,'Backlog General'!$L22,"")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IF($C22,IFERROR(VLOOKUP($D22,'Sprints'!$G$5:$H$12,2,FALSE),"Semanal"),"")</f>
      </c>
      <c r="AP22" s="202">
        <f>IF($C22,IF($AO22="Semanal",'Sprints'!$D$5,IF($AO22="Quincenal",'Sprints'!$D$6,'Sprints'!$D$7)),"")</f>
      </c>
      <c r="AQ22" s="202">
        <f>IF($C22,IF($AO22="Semanal",'Sprints'!$C$5,IF($AO22="Quincenal",'Sprints'!$C$6,'Sprints'!$C$7)),"")</f>
      </c>
      <c r="AR22" s="202">
        <f>IF(AND($C22,ISNUMBER($H22)),MAX(1,INT(($H22-$AQ22)/$AP22)+1),"")</f>
      </c>
      <c r="AS22" s="202">
        <f>IF($C22,IF($AO22="Semanal",'Sprints'!$E$5,IF($AO22="Quincenal",'Sprints'!$E$6,'Sprints'!$E$7)),"")</f>
      </c>
      <c r="AT22" s="203">
        <f>IF($C22,'Backlog General'!$G22,"")</f>
      </c>
      <c r="AU22" s="203">
        <f>IF($C22,'Backlog General'!$H22,"")</f>
      </c>
      <c r="AV22" s="202">
        <f>IF(AND($C22,ISNUMBER($AR22)),IF(OR($AT22="Completo",$AU22="Cancelado",$AU22="Baja prioridad"),$AR22,IF($AU22="Pasa al siguiente",MAX($AR22+1,$AS22),MAX($AR22,$AS22))),"")</f>
      </c>
      <c r="AW22" s="202">
        <f>IF(AND($C22,ISNUMBER($AR22)),$AQ22+$AR22*$AP22-1,"")</f>
      </c>
      <c r="AX22" s="202">
        <f>IF($C22,IF(OR($AT22="Completo",$AU22="Cancelado",$AU22="Baja prioridad",NOT(ISNUMBER($AW22))),0,MAX(0,TODAY()-$AW22)),"")</f>
      </c>
      <c r="AY22" s="203">
        <f>IF($C22,IF(NOT(ISNUMBER($AR22)),"Sin fecha",IF($AT22="Completo","Completo",IF($AU22="Cancelado","Cancelado",IF($AU22="Baja prioridad","Baja prioridad",IF($AX22&gt;0,"Vencida","Pendiente"))))),"")</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row>
    <row r="23">
      <c r="A23" s="202">
        <f>ROW()</f>
      </c>
      <c r="B23" s="202">
        <f>ISTEXT('Proyecto Datos (OKR´s)'!$K23)</f>
      </c>
      <c r="C23" s="202">
        <f>AND(LEN('Proyecto Datos (OKR´s)'!$G23)&gt;0,NOT($B23),OR(ISNUMBER('Proyecto Datos (OKR´s)'!$F23),ISNUMBER('Proyecto Datos (OKR´s)'!$L23)))</f>
      </c>
      <c r="D23" s="203">
        <f>IF($C23,IFERROR(LOOKUP(2,1/((ISTEXT('Proyecto Datos (OKR´s)'!$K$7:$K23))*(LEN('Proyecto Datos (OKR´s)'!$G$7:$G23)&gt;0)),'Proyecto Datos (OKR´s)'!$G$7:$G23),""),"")</f>
      </c>
      <c r="E23" s="202">
        <f>IF($C23,'Proyecto Datos (OKR´s)'!$E23,"")</f>
      </c>
      <c r="F23" s="203">
        <f>IF($C23,'Proyecto Datos (OKR´s)'!$G23,"")</f>
      </c>
      <c r="G23" s="203">
        <f>IF($C23,IF('Proyecto Datos (OKR´s)'!$I23="","(Sin asignar)",'Proyecto Datos (OKR´s)'!$I23),"")</f>
      </c>
      <c r="H23" s="202">
        <f>IF($C23,IF(ISNUMBER('Proyecto Datos (OKR´s)'!$F23),'Proyecto Datos (OKR´s)'!$F23,""),"")</f>
      </c>
      <c r="I23" s="202">
        <f>IF($C23,'Proyecto Datos (OKR´s)'!$J23,"")</f>
      </c>
      <c r="J23" s="203">
        <f>IF($C23,IF($I23&gt;=1,"Completado",IF(NOT(ISNUMBER($H23)),"Sin fecha",IF($H23&lt;TODAY(),"Vencido",IF(($H23-TODAY())&lt;='Entregas Próximas'!$M$3,"Próximo a vencer","En curso")))),"")</f>
      </c>
      <c r="K23" s="202">
        <f>IF(AND($C23,ISNUMBER($H23)),$H23-TODAY(),"")</f>
      </c>
      <c r="L23" s="202">
        <f>IF(AND($C23,ISNUMBER($H23)),$AD23*1000000+$H23+ROW()/100000,"")</f>
      </c>
      <c r="M23" s="202">
        <f>IF($C23,IF($AD23=9999,"(Sin sprint)",$AD23),"")</f>
      </c>
      <c r="N23" s="202">
        <f>IF($C23,IF('Proyecto Datos (OKR´s)'!$E23="",9999,'Proyecto Datos (OKR´s)'!$E23),"")</f>
      </c>
      <c r="O23" s="202">
        <f>IF($C23,"T"&amp;TEXT(ROW(),"000"),"")</f>
      </c>
      <c r="P23" s="202">
        <f>ROW()-6</f>
      </c>
      <c r="Q23" s="202">
        <f>IF(COUNTIF($AD$7:$AD$200,$P23)&gt;0,$P23,"")</f>
      </c>
      <c r="R23" s="202">
        <f>IF($C23,IF(ISNUMBER('Proyecto Datos (OKR´s)'!$L23),'Proyecto Datos (OKR´s)'!$L23,$H23),"")</f>
      </c>
      <c r="S23" s="202">
        <f>IF($C23,$R23-'Proyecto Datos (OKR´s)'!$K23+1,"")</f>
      </c>
      <c r="T23" s="202">
        <f>IF($C23,MAX(0,TODAY()-'Proyecto Datos (OKR´s)'!$K23),"")</f>
      </c>
      <c r="U23" s="202">
        <f>IF($C23,MEDIAN(0,(TODAY()-'Proyecto Datos (OKR´s)'!$K23)/MAX(1,$R23-'Proyecto Datos (OKR´s)'!$K23),1),"")</f>
      </c>
      <c r="V23" s="202">
        <f>IF($C23,$I23-$U23,"")</f>
      </c>
      <c r="W23" s="202">
        <f>IF($C23,IF(OR($J23="Completado",NOT(ISNUMBER($H23))),0,MAX(0,TODAY()-$H23)),"")</f>
      </c>
      <c r="X23" s="202">
        <f>IF($C23,IF(ISNUMBER($H23),$R23-$H23,0),"")</f>
      </c>
      <c r="Y23" s="202">
        <f>IF($C23,COUNTIFS($G$7:$G$200,$G23,$J$7:$J$200,"&lt;&gt;Completado",$J$7:$J$200,"&lt;&gt;"),"")</f>
      </c>
      <c r="Z23" s="202">
        <f>IF($C23,AND($I23=0,'Proyecto Datos (OKR´s)'!$K23&lt;=TODAY(),$J23&lt;&gt;"Completado"),"")</f>
      </c>
      <c r="AA23" s="202">
        <f>IF($C23,ROUND(100*(0.35*$AK23+0.3*$AL23+0.2*$AM23+0.15*MEDIAN(0,($Y23-4)/8,1)),0),"")</f>
      </c>
      <c r="AB23" s="203">
        <f>IF($C23,IF(OR($J23="Completado",$J23="Sin fecha"),"—",IF($AA23&gt;=70,"Crítica",IF($AA23&gt;=45,"Alta",IF($AA23&gt;=25,"Media","Baja")))),"")</f>
      </c>
      <c r="AC23" s="203">
        <f>IF($C23,IF(LEN(TRIM($AN23))=0,"—",TRIM($AN23)),"")</f>
      </c>
      <c r="AD23" s="202">
        <f>IF($C23,$AV23,"")</f>
      </c>
      <c r="AE23" s="202">
        <f>IF($C23,$AZ23,"")</f>
      </c>
      <c r="AF23" s="202">
        <f>IF($C23,$AV23&lt;&gt;$AR23,FALSE)</f>
      </c>
      <c r="AG23" s="202">
        <f>IF($C23,IF($AV23&lt;&gt;$AR23,$AW23,""),"")</f>
      </c>
      <c r="AH23" s="203">
        <f>IF($C23,'Backlog General'!$L23,"")</f>
      </c>
      <c r="AI23" s="202">
        <f>IF($C23,$AV23*100000+ROW(),"")</f>
      </c>
      <c r="AJ23" s="202">
        <f>IF(AND($C23,ISNUMBER($H23)),$AA23*1000000-MEDIAN(-9999,$K23,9999)*100+(300-ROW()),"")</f>
      </c>
      <c r="AK23" s="202">
        <f>IF($C23,IF($J23="Completado",0,IF($K23&lt;0,1,IF($K23&lt;=3,0.9,IF($K23&lt;=7,0.7,IF($K23&lt;=14,0.45,0.2))))),"")</f>
      </c>
      <c r="AL23" s="202">
        <f>IF($C23,IF($J23="Completado",0,MEDIAN(0,MAX(-$V23,$W23/30),1)),"")</f>
      </c>
      <c r="AM23" s="202">
        <f>IF($C23,IF($J23="Completado",0,IF($Z23,1,IF(AND($I23&lt;0.5,$K23&lt;=7),0.7,0.3))),"")</f>
      </c>
      <c r="AN23" s="203">
        <f>IF($C23,IF(OR($V23&lt;-0.2,$W23&gt;0),"ATRASO ","")&amp;IF($Z23,"BLOQUEO ","")&amp;IF($Y23&gt;8,"SOBRECARGA ","")&amp;IF($X23&gt;0,"DESVÍO-PLAN ",""),"")</f>
      </c>
      <c r="AO23" s="203">
        <f>IF($C23,IFERROR(VLOOKUP($D23,'Sprints'!$G$5:$H$12,2,FALSE),"Semanal"),"")</f>
      </c>
      <c r="AP23" s="202">
        <f>IF($C23,IF($AO23="Semanal",'Sprints'!$D$5,IF($AO23="Quincenal",'Sprints'!$D$6,'Sprints'!$D$7)),"")</f>
      </c>
      <c r="AQ23" s="202">
        <f>IF($C23,IF($AO23="Semanal",'Sprints'!$C$5,IF($AO23="Quincenal",'Sprints'!$C$6,'Sprints'!$C$7)),"")</f>
      </c>
      <c r="AR23" s="202">
        <f>IF(AND($C23,ISNUMBER($H23)),MAX(1,INT(($H23-$AQ23)/$AP23)+1),"")</f>
      </c>
      <c r="AS23" s="202">
        <f>IF($C23,IF($AO23="Semanal",'Sprints'!$E$5,IF($AO23="Quincenal",'Sprints'!$E$6,'Sprints'!$E$7)),"")</f>
      </c>
      <c r="AT23" s="203">
        <f>IF($C23,'Backlog General'!$G23,"")</f>
      </c>
      <c r="AU23" s="203">
        <f>IF($C23,'Backlog General'!$H23,"")</f>
      </c>
      <c r="AV23" s="202">
        <f>IF(AND($C23,ISNUMBER($AR23)),IF(OR($AT23="Completo",$AU23="Cancelado",$AU23="Baja prioridad"),$AR23,IF($AU23="Pasa al siguiente",MAX($AR23+1,$AS23),MAX($AR23,$AS23))),"")</f>
      </c>
      <c r="AW23" s="202">
        <f>IF(AND($C23,ISNUMBER($AR23)),$AQ23+$AR23*$AP23-1,"")</f>
      </c>
      <c r="AX23" s="202">
        <f>IF($C23,IF(OR($AT23="Completo",$AU23="Cancelado",$AU23="Baja prioridad",NOT(ISNUMBER($AW23))),0,MAX(0,TODAY()-$AW23)),"")</f>
      </c>
      <c r="AY23" s="203">
        <f>IF($C23,IF(NOT(ISNUMBER($AR23)),"Sin fecha",IF($AT23="Completo","Completo",IF($AU23="Cancelado","Cancelado",IF($AU23="Baja prioridad","Baja prioridad",IF($AX23&gt;0,"Vencida","Pendiente"))))),"")</f>
      </c>
      <c r="AZ23" s="203">
        <f>IF($C23,IF(ISNUMBER($AV23),$AO23&amp;" · S"&amp;$AV23,"(Sin fecha)"),"")</f>
      </c>
      <c r="BA23" s="202">
        <f>IF($C23,IF(AND(ISNUMBER('Backlog General'!$M23),'Backlog General'!$M23=$AS23),"Nuevo S"&amp;'Backlog General'!$M23,""),"")</f>
      </c>
      <c r="BB23" s="202">
        <f>IF(AND($C23,$AO23="Semanal",ISNUMBER($AV23)),$AV23*100000+ROW(),"")</f>
      </c>
      <c r="BC23" s="202">
        <f>IF(AND($C23,$AO23="Quincenal",ISNUMBER($AV23)),$AV23*100000+ROW(),"")</f>
      </c>
      <c r="BD23" s="202">
        <f>IF(AND($C23,$AO23="Mensual",ISNUMBER($AV23)),$AV23*100000+ROW(),"")</f>
      </c>
    </row>
    <row r="24">
      <c r="A24" s="202">
        <f>ROW()</f>
      </c>
      <c r="B24" s="202">
        <f>ISTEXT('Proyecto Datos (OKR´s)'!$K24)</f>
      </c>
      <c r="C24" s="202">
        <f>AND(LEN('Proyecto Datos (OKR´s)'!$G24)&gt;0,NOT($B24),OR(ISNUMBER('Proyecto Datos (OKR´s)'!$F24),ISNUMBER('Proyecto Datos (OKR´s)'!$L24)))</f>
      </c>
      <c r="D24" s="203">
        <f>IF($C24,IFERROR(LOOKUP(2,1/((ISTEXT('Proyecto Datos (OKR´s)'!$K$7:$K24))*(LEN('Proyecto Datos (OKR´s)'!$G$7:$G24)&gt;0)),'Proyecto Datos (OKR´s)'!$G$7:$G24),""),"")</f>
      </c>
      <c r="E24" s="202">
        <f>IF($C24,'Proyecto Datos (OKR´s)'!$E24,"")</f>
      </c>
      <c r="F24" s="203">
        <f>IF($C24,'Proyecto Datos (OKR´s)'!$G24,"")</f>
      </c>
      <c r="G24" s="203">
        <f>IF($C24,IF('Proyecto Datos (OKR´s)'!$I24="","(Sin asignar)",'Proyecto Datos (OKR´s)'!$I24),"")</f>
      </c>
      <c r="H24" s="202">
        <f>IF($C24,IF(ISNUMBER('Proyecto Datos (OKR´s)'!$F24),'Proyecto Datos (OKR´s)'!$F24,""),"")</f>
      </c>
      <c r="I24" s="202">
        <f>IF($C24,'Proyecto Datos (OKR´s)'!$J24,"")</f>
      </c>
      <c r="J24" s="203">
        <f>IF($C24,IF($I24&gt;=1,"Completado",IF(NOT(ISNUMBER($H24)),"Sin fecha",IF($H24&lt;TODAY(),"Vencido",IF(($H24-TODAY())&lt;='Entregas Próximas'!$M$3,"Próximo a vencer","En curso")))),"")</f>
      </c>
      <c r="K24" s="202">
        <f>IF(AND($C24,ISNUMBER($H24)),$H24-TODAY(),"")</f>
      </c>
      <c r="L24" s="202">
        <f>IF(AND($C24,ISNUMBER($H24)),$AD24*1000000+$H24+ROW()/100000,"")</f>
      </c>
      <c r="M24" s="202">
        <f>IF($C24,IF($AD24=9999,"(Sin sprint)",$AD24),"")</f>
      </c>
      <c r="N24" s="202">
        <f>IF($C24,IF('Proyecto Datos (OKR´s)'!$E24="",9999,'Proyecto Datos (OKR´s)'!$E24),"")</f>
      </c>
      <c r="O24" s="202">
        <f>IF($C24,"T"&amp;TEXT(ROW(),"000"),"")</f>
      </c>
      <c r="P24" s="202">
        <f>ROW()-6</f>
      </c>
      <c r="Q24" s="202">
        <f>IF(COUNTIF($AD$7:$AD$200,$P24)&gt;0,$P24,"")</f>
      </c>
      <c r="R24" s="202">
        <f>IF($C24,IF(ISNUMBER('Proyecto Datos (OKR´s)'!$L24),'Proyecto Datos (OKR´s)'!$L24,$H24),"")</f>
      </c>
      <c r="S24" s="202">
        <f>IF($C24,$R24-'Proyecto Datos (OKR´s)'!$K24+1,"")</f>
      </c>
      <c r="T24" s="202">
        <f>IF($C24,MAX(0,TODAY()-'Proyecto Datos (OKR´s)'!$K24),"")</f>
      </c>
      <c r="U24" s="202">
        <f>IF($C24,MEDIAN(0,(TODAY()-'Proyecto Datos (OKR´s)'!$K24)/MAX(1,$R24-'Proyecto Datos (OKR´s)'!$K24),1),"")</f>
      </c>
      <c r="V24" s="202">
        <f>IF($C24,$I24-$U24,"")</f>
      </c>
      <c r="W24" s="202">
        <f>IF($C24,IF(OR($J24="Completado",NOT(ISNUMBER($H24))),0,MAX(0,TODAY()-$H24)),"")</f>
      </c>
      <c r="X24" s="202">
        <f>IF($C24,IF(ISNUMBER($H24),$R24-$H24,0),"")</f>
      </c>
      <c r="Y24" s="202">
        <f>IF($C24,COUNTIFS($G$7:$G$200,$G24,$J$7:$J$200,"&lt;&gt;Completado",$J$7:$J$200,"&lt;&gt;"),"")</f>
      </c>
      <c r="Z24" s="202">
        <f>IF($C24,AND($I24=0,'Proyecto Datos (OKR´s)'!$K24&lt;=TODAY(),$J24&lt;&gt;"Completado"),"")</f>
      </c>
      <c r="AA24" s="202">
        <f>IF($C24,ROUND(100*(0.35*$AK24+0.3*$AL24+0.2*$AM24+0.15*MEDIAN(0,($Y24-4)/8,1)),0),"")</f>
      </c>
      <c r="AB24" s="203">
        <f>IF($C24,IF(OR($J24="Completado",$J24="Sin fecha"),"—",IF($AA24&gt;=70,"Crítica",IF($AA24&gt;=45,"Alta",IF($AA24&gt;=25,"Media","Baja")))),"")</f>
      </c>
      <c r="AC24" s="203">
        <f>IF($C24,IF(LEN(TRIM($AN24))=0,"—",TRIM($AN24)),"")</f>
      </c>
      <c r="AD24" s="202">
        <f>IF($C24,$AV24,"")</f>
      </c>
      <c r="AE24" s="202">
        <f>IF($C24,$AZ24,"")</f>
      </c>
      <c r="AF24" s="202">
        <f>IF($C24,$AV24&lt;&gt;$AR24,FALSE)</f>
      </c>
      <c r="AG24" s="202">
        <f>IF($C24,IF($AV24&lt;&gt;$AR24,$AW24,""),"")</f>
      </c>
      <c r="AH24" s="203">
        <f>IF($C24,'Backlog General'!$L24,"")</f>
      </c>
      <c r="AI24" s="202">
        <f>IF($C24,$AV24*100000+ROW(),"")</f>
      </c>
      <c r="AJ24" s="202">
        <f>IF(AND($C24,ISNUMBER($H24)),$AA24*1000000-MEDIAN(-9999,$K24,9999)*100+(300-ROW()),"")</f>
      </c>
      <c r="AK24" s="202">
        <f>IF($C24,IF($J24="Completado",0,IF($K24&lt;0,1,IF($K24&lt;=3,0.9,IF($K24&lt;=7,0.7,IF($K24&lt;=14,0.45,0.2))))),"")</f>
      </c>
      <c r="AL24" s="202">
        <f>IF($C24,IF($J24="Completado",0,MEDIAN(0,MAX(-$V24,$W24/30),1)),"")</f>
      </c>
      <c r="AM24" s="202">
        <f>IF($C24,IF($J24="Completado",0,IF($Z24,1,IF(AND($I24&lt;0.5,$K24&lt;=7),0.7,0.3))),"")</f>
      </c>
      <c r="AN24" s="203">
        <f>IF($C24,IF(OR($V24&lt;-0.2,$W24&gt;0),"ATRASO ","")&amp;IF($Z24,"BLOQUEO ","")&amp;IF($Y24&gt;8,"SOBRECARGA ","")&amp;IF($X24&gt;0,"DESVÍO-PLAN ",""),"")</f>
      </c>
      <c r="AO24" s="203">
        <f>IF($C24,IFERROR(VLOOKUP($D24,'Sprints'!$G$5:$H$12,2,FALSE),"Semanal"),"")</f>
      </c>
      <c r="AP24" s="202">
        <f>IF($C24,IF($AO24="Semanal",'Sprints'!$D$5,IF($AO24="Quincenal",'Sprints'!$D$6,'Sprints'!$D$7)),"")</f>
      </c>
      <c r="AQ24" s="202">
        <f>IF($C24,IF($AO24="Semanal",'Sprints'!$C$5,IF($AO24="Quincenal",'Sprints'!$C$6,'Sprints'!$C$7)),"")</f>
      </c>
      <c r="AR24" s="202">
        <f>IF(AND($C24,ISNUMBER($H24)),MAX(1,INT(($H24-$AQ24)/$AP24)+1),"")</f>
      </c>
      <c r="AS24" s="202">
        <f>IF($C24,IF($AO24="Semanal",'Sprints'!$E$5,IF($AO24="Quincenal",'Sprints'!$E$6,'Sprints'!$E$7)),"")</f>
      </c>
      <c r="AT24" s="203">
        <f>IF($C24,'Backlog General'!$G24,"")</f>
      </c>
      <c r="AU24" s="203">
        <f>IF($C24,'Backlog General'!$H24,"")</f>
      </c>
      <c r="AV24" s="202">
        <f>IF(AND($C24,ISNUMBER($AR24)),IF(OR($AT24="Completo",$AU24="Cancelado",$AU24="Baja prioridad"),$AR24,IF($AU24="Pasa al siguiente",MAX($AR24+1,$AS24),MAX($AR24,$AS24))),"")</f>
      </c>
      <c r="AW24" s="202">
        <f>IF(AND($C24,ISNUMBER($AR24)),$AQ24+$AR24*$AP24-1,"")</f>
      </c>
      <c r="AX24" s="202">
        <f>IF($C24,IF(OR($AT24="Completo",$AU24="Cancelado",$AU24="Baja prioridad",NOT(ISNUMBER($AW24))),0,MAX(0,TODAY()-$AW24)),"")</f>
      </c>
      <c r="AY24" s="203">
        <f>IF($C24,IF(NOT(ISNUMBER($AR24)),"Sin fecha",IF($AT24="Completo","Completo",IF($AU24="Cancelado","Cancelado",IF($AU24="Baja prioridad","Baja prioridad",IF($AX24&gt;0,"Vencida","Pendiente"))))),"")</f>
      </c>
      <c r="AZ24" s="203">
        <f>IF($C24,IF(ISNUMBER($AV24),$AO24&amp;" · S"&amp;$AV24,"(Sin fecha)"),"")</f>
      </c>
      <c r="BA24" s="202">
        <f>IF($C24,IF(AND(ISNUMBER('Backlog General'!$M24),'Backlog General'!$M24=$AS24),"Nuevo S"&amp;'Backlog General'!$M24,""),"")</f>
      </c>
      <c r="BB24" s="202">
        <f>IF(AND($C24,$AO24="Semanal",ISNUMBER($AV24)),$AV24*100000+ROW(),"")</f>
      </c>
      <c r="BC24" s="202">
        <f>IF(AND($C24,$AO24="Quincenal",ISNUMBER($AV24)),$AV24*100000+ROW(),"")</f>
      </c>
      <c r="BD24" s="202">
        <f>IF(AND($C24,$AO24="Mensual",ISNUMBER($AV24)),$AV24*100000+ROW(),"")</f>
      </c>
    </row>
    <row r="25">
      <c r="A25" s="202">
        <f>ROW()</f>
      </c>
      <c r="B25" s="202">
        <f>ISTEXT('Proyecto Datos (OKR´s)'!$K25)</f>
      </c>
      <c r="C25" s="202">
        <f>AND(LEN('Proyecto Datos (OKR´s)'!$G25)&gt;0,NOT($B25),OR(ISNUMBER('Proyecto Datos (OKR´s)'!$F25),ISNUMBER('Proyecto Datos (OKR´s)'!$L25)))</f>
      </c>
      <c r="D25" s="203">
        <f>IF($C25,IFERROR(LOOKUP(2,1/((ISTEXT('Proyecto Datos (OKR´s)'!$K$7:$K25))*(LEN('Proyecto Datos (OKR´s)'!$G$7:$G25)&gt;0)),'Proyecto Datos (OKR´s)'!$G$7:$G25),""),"")</f>
      </c>
      <c r="E25" s="202">
        <f>IF($C25,'Proyecto Datos (OKR´s)'!$E25,"")</f>
      </c>
      <c r="F25" s="203">
        <f>IF($C25,'Proyecto Datos (OKR´s)'!$G25,"")</f>
      </c>
      <c r="G25" s="203">
        <f>IF($C25,IF('Proyecto Datos (OKR´s)'!$I25="","(Sin asignar)",'Proyecto Datos (OKR´s)'!$I25),"")</f>
      </c>
      <c r="H25" s="202">
        <f>IF($C25,IF(ISNUMBER('Proyecto Datos (OKR´s)'!$F25),'Proyecto Datos (OKR´s)'!$F25,""),"")</f>
      </c>
      <c r="I25" s="202">
        <f>IF($C25,'Proyecto Datos (OKR´s)'!$J25,"")</f>
      </c>
      <c r="J25" s="203">
        <f>IF($C25,IF($I25&gt;=1,"Completado",IF(NOT(ISNUMBER($H25)),"Sin fecha",IF($H25&lt;TODAY(),"Vencido",IF(($H25-TODAY())&lt;='Entregas Próximas'!$M$3,"Próximo a vencer","En curso")))),"")</f>
      </c>
      <c r="K25" s="202">
        <f>IF(AND($C25,ISNUMBER($H25)),$H25-TODAY(),"")</f>
      </c>
      <c r="L25" s="202">
        <f>IF(AND($C25,ISNUMBER($H25)),$AD25*1000000+$H25+ROW()/100000,"")</f>
      </c>
      <c r="M25" s="202">
        <f>IF($C25,IF($AD25=9999,"(Sin sprint)",$AD25),"")</f>
      </c>
      <c r="N25" s="202">
        <f>IF($C25,IF('Proyecto Datos (OKR´s)'!$E25="",9999,'Proyecto Datos (OKR´s)'!$E25),"")</f>
      </c>
      <c r="O25" s="202">
        <f>IF($C25,"T"&amp;TEXT(ROW(),"000"),"")</f>
      </c>
      <c r="P25" s="202">
        <f>ROW()-6</f>
      </c>
      <c r="Q25" s="202">
        <f>IF(COUNTIF($AD$7:$AD$200,$P25)&gt;0,$P25,"")</f>
      </c>
      <c r="R25" s="202">
        <f>IF($C25,IF(ISNUMBER('Proyecto Datos (OKR´s)'!$L25),'Proyecto Datos (OKR´s)'!$L25,$H25),"")</f>
      </c>
      <c r="S25" s="202">
        <f>IF($C25,$R25-'Proyecto Datos (OKR´s)'!$K25+1,"")</f>
      </c>
      <c r="T25" s="202">
        <f>IF($C25,MAX(0,TODAY()-'Proyecto Datos (OKR´s)'!$K25),"")</f>
      </c>
      <c r="U25" s="202">
        <f>IF($C25,MEDIAN(0,(TODAY()-'Proyecto Datos (OKR´s)'!$K25)/MAX(1,$R25-'Proyecto Datos (OKR´s)'!$K25),1),"")</f>
      </c>
      <c r="V25" s="202">
        <f>IF($C25,$I25-$U25,"")</f>
      </c>
      <c r="W25" s="202">
        <f>IF($C25,IF(OR($J25="Completado",NOT(ISNUMBER($H25))),0,MAX(0,TODAY()-$H25)),"")</f>
      </c>
      <c r="X25" s="202">
        <f>IF($C25,IF(ISNUMBER($H25),$R25-$H25,0),"")</f>
      </c>
      <c r="Y25" s="202">
        <f>IF($C25,COUNTIFS($G$7:$G$200,$G25,$J$7:$J$200,"&lt;&gt;Completado",$J$7:$J$200,"&lt;&gt;"),"")</f>
      </c>
      <c r="Z25" s="202">
        <f>IF($C25,AND($I25=0,'Proyecto Datos (OKR´s)'!$K25&lt;=TODAY(),$J25&lt;&gt;"Completado"),"")</f>
      </c>
      <c r="AA25" s="202">
        <f>IF($C25,ROUND(100*(0.35*$AK25+0.3*$AL25+0.2*$AM25+0.15*MEDIAN(0,($Y25-4)/8,1)),0),"")</f>
      </c>
      <c r="AB25" s="203">
        <f>IF($C25,IF(OR($J25="Completado",$J25="Sin fecha"),"—",IF($AA25&gt;=70,"Crítica",IF($AA25&gt;=45,"Alta",IF($AA25&gt;=25,"Media","Baja")))),"")</f>
      </c>
      <c r="AC25" s="203">
        <f>IF($C25,IF(LEN(TRIM($AN25))=0,"—",TRIM($AN25)),"")</f>
      </c>
      <c r="AD25" s="202">
        <f>IF($C25,$AV25,"")</f>
      </c>
      <c r="AE25" s="202">
        <f>IF($C25,$AZ25,"")</f>
      </c>
      <c r="AF25" s="202">
        <f>IF($C25,$AV25&lt;&gt;$AR25,FALSE)</f>
      </c>
      <c r="AG25" s="202">
        <f>IF($C25,IF($AV25&lt;&gt;$AR25,$AW25,""),"")</f>
      </c>
      <c r="AH25" s="203">
        <f>IF($C25,'Backlog General'!$L25,"")</f>
      </c>
      <c r="AI25" s="202">
        <f>IF($C25,$AV25*100000+ROW(),"")</f>
      </c>
      <c r="AJ25" s="202">
        <f>IF(AND($C25,ISNUMBER($H25)),$AA25*1000000-MEDIAN(-9999,$K25,9999)*100+(300-ROW()),"")</f>
      </c>
      <c r="AK25" s="202">
        <f>IF($C25,IF($J25="Completado",0,IF($K25&lt;0,1,IF($K25&lt;=3,0.9,IF($K25&lt;=7,0.7,IF($K25&lt;=14,0.45,0.2))))),"")</f>
      </c>
      <c r="AL25" s="202">
        <f>IF($C25,IF($J25="Completado",0,MEDIAN(0,MAX(-$V25,$W25/30),1)),"")</f>
      </c>
      <c r="AM25" s="202">
        <f>IF($C25,IF($J25="Completado",0,IF($Z25,1,IF(AND($I25&lt;0.5,$K25&lt;=7),0.7,0.3))),"")</f>
      </c>
      <c r="AN25" s="203">
        <f>IF($C25,IF(OR($V25&lt;-0.2,$W25&gt;0),"ATRASO ","")&amp;IF($Z25,"BLOQUEO ","")&amp;IF($Y25&gt;8,"SOBRECARGA ","")&amp;IF($X25&gt;0,"DESVÍO-PLAN ",""),"")</f>
      </c>
      <c r="AO25" s="203">
        <f>IF($C25,IFERROR(VLOOKUP($D25,'Sprints'!$G$5:$H$12,2,FALSE),"Semanal"),"")</f>
      </c>
      <c r="AP25" s="202">
        <f>IF($C25,IF($AO25="Semanal",'Sprints'!$D$5,IF($AO25="Quincenal",'Sprints'!$D$6,'Sprints'!$D$7)),"")</f>
      </c>
      <c r="AQ25" s="202">
        <f>IF($C25,IF($AO25="Semanal",'Sprints'!$C$5,IF($AO25="Quincenal",'Sprints'!$C$6,'Sprints'!$C$7)),"")</f>
      </c>
      <c r="AR25" s="202">
        <f>IF(AND($C25,ISNUMBER($H25)),MAX(1,INT(($H25-$AQ25)/$AP25)+1),"")</f>
      </c>
      <c r="AS25" s="202">
        <f>IF($C25,IF($AO25="Semanal",'Sprints'!$E$5,IF($AO25="Quincenal",'Sprints'!$E$6,'Sprints'!$E$7)),"")</f>
      </c>
      <c r="AT25" s="203">
        <f>IF($C25,'Backlog General'!$G25,"")</f>
      </c>
      <c r="AU25" s="203">
        <f>IF($C25,'Backlog General'!$H25,"")</f>
      </c>
      <c r="AV25" s="202">
        <f>IF(AND($C25,ISNUMBER($AR25)),IF(OR($AT25="Completo",$AU25="Cancelado",$AU25="Baja prioridad"),$AR25,IF($AU25="Pasa al siguiente",MAX($AR25+1,$AS25),MAX($AR25,$AS25))),"")</f>
      </c>
      <c r="AW25" s="202">
        <f>IF(AND($C25,ISNUMBER($AR25)),$AQ25+$AR25*$AP25-1,"")</f>
      </c>
      <c r="AX25" s="202">
        <f>IF($C25,IF(OR($AT25="Completo",$AU25="Cancelado",$AU25="Baja prioridad",NOT(ISNUMBER($AW25))),0,MAX(0,TODAY()-$AW25)),"")</f>
      </c>
      <c r="AY25" s="203">
        <f>IF($C25,IF(NOT(ISNUMBER($AR25)),"Sin fecha",IF($AT25="Completo","Completo",IF($AU25="Cancelado","Cancelado",IF($AU25="Baja prioridad","Baja prioridad",IF($AX25&gt;0,"Vencida","Pendiente"))))),"")</f>
      </c>
      <c r="AZ25" s="203">
        <f>IF($C25,IF(ISNUMBER($AV25),$AO25&amp;" · S"&amp;$AV25,"(Sin fecha)"),"")</f>
      </c>
      <c r="BA25" s="202">
        <f>IF($C25,IF(AND(ISNUMBER('Backlog General'!$M25),'Backlog General'!$M25=$AS25),"Nuevo S"&amp;'Backlog General'!$M25,""),"")</f>
      </c>
      <c r="BB25" s="202">
        <f>IF(AND($C25,$AO25="Semanal",ISNUMBER($AV25)),$AV25*100000+ROW(),"")</f>
      </c>
      <c r="BC25" s="202">
        <f>IF(AND($C25,$AO25="Quincenal",ISNUMBER($AV25)),$AV25*100000+ROW(),"")</f>
      </c>
      <c r="BD25" s="202">
        <f>IF(AND($C25,$AO25="Mensual",ISNUMBER($AV25)),$AV25*100000+ROW(),"")</f>
      </c>
    </row>
    <row r="26">
      <c r="A26" s="202">
        <f>ROW()</f>
      </c>
      <c r="B26" s="202">
        <f>ISTEXT('Proyecto Datos (OKR´s)'!$K26)</f>
      </c>
      <c r="C26" s="202">
        <f>AND(LEN('Proyecto Datos (OKR´s)'!$G26)&gt;0,NOT($B26),OR(ISNUMBER('Proyecto Datos (OKR´s)'!$F26),ISNUMBER('Proyecto Datos (OKR´s)'!$L26)))</f>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IF($C26,'Proyecto Datos (OKR´s)'!$J26,"")</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f>IF($C26,$AV26&lt;&gt;$AR26,FALSE)</f>
      </c>
      <c r="AG26" s="202">
        <f>IF($C26,IF($AV26&lt;&gt;$AR26,$AW26,""),"")</f>
      </c>
      <c r="AH26" s="203">
        <f>IF($C26,'Backlog General'!$L26,"")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IF($C26,IFERROR(VLOOKUP($D26,'Sprints'!$G$5:$H$12,2,FALSE),"Semanal"),"")</f>
      </c>
      <c r="AP26" s="202">
        <f>IF($C26,IF($AO26="Semanal",'Sprints'!$D$5,IF($AO26="Quincenal",'Sprints'!$D$6,'Sprints'!$D$7)),"")</f>
      </c>
      <c r="AQ26" s="202">
        <f>IF($C26,IF($AO26="Semanal",'Sprints'!$C$5,IF($AO26="Quincenal",'Sprints'!$C$6,'Sprints'!$C$7)),"")</f>
      </c>
      <c r="AR26" s="202">
        <f>IF(AND($C26,ISNUMBER($H26)),MAX(1,INT(($H26-$AQ26)/$AP26)+1),"")</f>
      </c>
      <c r="AS26" s="202">
        <f>IF($C26,IF($AO26="Semanal",'Sprints'!$E$5,IF($AO26="Quincenal",'Sprints'!$E$6,'Sprints'!$E$7)),"")</f>
      </c>
      <c r="AT26" s="203">
        <f>IF($C26,'Backlog General'!$G26,"")</f>
      </c>
      <c r="AU26" s="203">
        <f>IF($C26,'Backlog General'!$H26,"")</f>
      </c>
      <c r="AV26" s="202">
        <f>IF(AND($C26,ISNUMBER($AR26)),IF(OR($AT26="Completo",$AU26="Cancelado",$AU26="Baja prioridad"),$AR26,IF($AU26="Pasa al siguiente",MAX($AR26+1,$AS26),MAX($AR26,$AS26))),"")</f>
      </c>
      <c r="AW26" s="202">
        <f>IF(AND($C26,ISNUMBER($AR26)),$AQ26+$AR26*$AP26-1,"")</f>
      </c>
      <c r="AX26" s="202">
        <f>IF($C26,IF(OR($AT26="Completo",$AU26="Cancelado",$AU26="Baja prioridad",NOT(ISNUMBER($AW26))),0,MAX(0,TODAY()-$AW26)),"")</f>
      </c>
      <c r="AY26" s="203">
        <f>IF($C26,IF(NOT(ISNUMBER($AR26)),"Sin fecha",IF($AT26="Completo","Completo",IF($AU26="Cancelado","Cancelado",IF($AU26="Baja prioridad","Baja prioridad",IF($AX26&gt;0,"Vencida","Pendiente"))))),"")</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row>
    <row r="27">
      <c r="A27" s="202">
        <f>ROW()</f>
      </c>
      <c r="B27" s="202">
        <f>ISTEXT('Proyecto Datos (OKR´s)'!$K27)</f>
      </c>
      <c r="C27" s="202">
        <f>AND(LEN('Proyecto Datos (OKR´s)'!$G27)&gt;0,NOT($B27),OR(ISNUMBER('Proyecto Datos (OKR´s)'!$F27),ISNUMBER('Proyecto Datos (OKR´s)'!$L27)))</f>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IF($C27,'Proyecto Datos (OKR´s)'!$J27,"")</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f>IF($C27,$AV27&lt;&gt;$AR27,FALSE)</f>
      </c>
      <c r="AG27" s="202">
        <f>IF($C27,IF($AV27&lt;&gt;$AR27,$AW27,""),"")</f>
      </c>
      <c r="AH27" s="203">
        <f>IF($C27,'Backlog General'!$L27,"")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IF($C27,IFERROR(VLOOKUP($D27,'Sprints'!$G$5:$H$12,2,FALSE),"Semanal"),"")</f>
      </c>
      <c r="AP27" s="202">
        <f>IF($C27,IF($AO27="Semanal",'Sprints'!$D$5,IF($AO27="Quincenal",'Sprints'!$D$6,'Sprints'!$D$7)),"")</f>
      </c>
      <c r="AQ27" s="202">
        <f>IF($C27,IF($AO27="Semanal",'Sprints'!$C$5,IF($AO27="Quincenal",'Sprints'!$C$6,'Sprints'!$C$7)),"")</f>
      </c>
      <c r="AR27" s="202">
        <f>IF(AND($C27,ISNUMBER($H27)),MAX(1,INT(($H27-$AQ27)/$AP27)+1),"")</f>
      </c>
      <c r="AS27" s="202">
        <f>IF($C27,IF($AO27="Semanal",'Sprints'!$E$5,IF($AO27="Quincenal",'Sprints'!$E$6,'Sprints'!$E$7)),"")</f>
      </c>
      <c r="AT27" s="203">
        <f>IF($C27,'Backlog General'!$G27,"")</f>
      </c>
      <c r="AU27" s="203">
        <f>IF($C27,'Backlog General'!$H27,"")</f>
      </c>
      <c r="AV27" s="202">
        <f>IF(AND($C27,ISNUMBER($AR27)),IF(OR($AT27="Completo",$AU27="Cancelado",$AU27="Baja prioridad"),$AR27,IF($AU27="Pasa al siguiente",MAX($AR27+1,$AS27),MAX($AR27,$AS27))),"")</f>
      </c>
      <c r="AW27" s="202">
        <f>IF(AND($C27,ISNUMBER($AR27)),$AQ27+$AR27*$AP27-1,"")</f>
      </c>
      <c r="AX27" s="202">
        <f>IF($C27,IF(OR($AT27="Completo",$AU27="Cancelado",$AU27="Baja prioridad",NOT(ISNUMBER($AW27))),0,MAX(0,TODAY()-$AW27)),"")</f>
      </c>
      <c r="AY27" s="203">
        <f>IF($C27,IF(NOT(ISNUMBER($AR27)),"Sin fecha",IF($AT27="Completo","Completo",IF($AU27="Cancelado","Cancelado",IF($AU27="Baja prioridad","Baja prioridad",IF($AX27&gt;0,"Vencida","Pendiente"))))),"")</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row>
    <row r="28">
      <c r="A28" s="202">
        <f>ROW()</f>
      </c>
      <c r="B28" s="202">
        <f>ISTEXT('Proyecto Datos (OKR´s)'!$K28)</f>
      </c>
      <c r="C28" s="202">
        <f>AND(LEN('Proyecto Datos (OKR´s)'!$G28)&gt;0,NOT($B28),OR(ISNUMBER('Proyecto Datos (OKR´s)'!$F28),ISNUMBER('Proyecto Datos (OKR´s)'!$L28)))</f>
      </c>
      <c r="D28" s="203">
        <f>IF($C28,IFERROR(LOOKUP(2,1/((ISTEXT('Proyecto Datos (OKR´s)'!$K$7:$K28))*(LEN('Proyecto Datos (OKR´s)'!$G$7:$G28)&gt;0)),'Proyecto Datos (OKR´s)'!$G$7:$G28),""),"")</f>
      </c>
      <c r="E28" s="202">
        <f>IF($C28,'Proyecto Datos (OKR´s)'!$E28,"")</f>
      </c>
      <c r="F28" s="203">
        <f>IF($C28,'Proyecto Datos (OKR´s)'!$G28,"")</f>
      </c>
      <c r="G28" s="203">
        <f>IF($C28,IF('Proyecto Datos (OKR´s)'!$I28="","(Sin asignar)",'Proyecto Datos (OKR´s)'!$I28),"")</f>
      </c>
      <c r="H28" s="202">
        <f>IF($C28,IF(ISNUMBER('Proyecto Datos (OKR´s)'!$F28),'Proyecto Datos (OKR´s)'!$F28,""),"")</f>
      </c>
      <c r="I28" s="202">
        <f>IF($C28,'Proyecto Datos (OKR´s)'!$J28,"")</f>
      </c>
      <c r="J28" s="203">
        <f>IF($C28,IF($I28&gt;=1,"Completado",IF(NOT(ISNUMBER($H28)),"Sin fecha",IF($H28&lt;TODAY(),"Vencido",IF(($H28-TODAY())&lt;='Entregas Próximas'!$M$3,"Próximo a vencer","En curso")))),"")</f>
      </c>
      <c r="K28" s="202">
        <f>IF(AND($C28,ISNUMBER($H28)),$H28-TODAY(),"")</f>
      </c>
      <c r="L28" s="202">
        <f>IF(AND($C28,ISNUMBER($H28)),$AD28*1000000+$H28+ROW()/100000,"")</f>
      </c>
      <c r="M28" s="202">
        <f>IF($C28,IF($AD28=9999,"(Sin sprint)",$AD28),"")</f>
      </c>
      <c r="N28" s="202">
        <f>IF($C28,IF('Proyecto Datos (OKR´s)'!$E28="",9999,'Proyecto Datos (OKR´s)'!$E28),"")</f>
      </c>
      <c r="O28" s="202">
        <f>IF($C28,"T"&amp;TEXT(ROW(),"000"),"")</f>
      </c>
      <c r="P28" s="202">
        <f>ROW()-6</f>
      </c>
      <c r="Q28" s="202">
        <f>IF(COUNTIF($AD$7:$AD$200,$P28)&gt;0,$P28,"")</f>
      </c>
      <c r="R28" s="202">
        <f>IF($C28,IF(ISNUMBER('Proyecto Datos (OKR´s)'!$L28),'Proyecto Datos (OKR´s)'!$L28,$H28),"")</f>
      </c>
      <c r="S28" s="202">
        <f>IF($C28,$R28-'Proyecto Datos (OKR´s)'!$K28+1,"")</f>
      </c>
      <c r="T28" s="202">
        <f>IF($C28,MAX(0,TODAY()-'Proyecto Datos (OKR´s)'!$K28),"")</f>
      </c>
      <c r="U28" s="202">
        <f>IF($C28,MEDIAN(0,(TODAY()-'Proyecto Datos (OKR´s)'!$K28)/MAX(1,$R28-'Proyecto Datos (OKR´s)'!$K28),1),"")</f>
      </c>
      <c r="V28" s="202">
        <f>IF($C28,$I28-$U28,"")</f>
      </c>
      <c r="W28" s="202">
        <f>IF($C28,IF(OR($J28="Completado",NOT(ISNUMBER($H28))),0,MAX(0,TODAY()-$H28)),"")</f>
      </c>
      <c r="X28" s="202">
        <f>IF($C28,IF(ISNUMBER($H28),$R28-$H28,0),"")</f>
      </c>
      <c r="Y28" s="202">
        <f>IF($C28,COUNTIFS($G$7:$G$200,$G28,$J$7:$J$200,"&lt;&gt;Completado",$J$7:$J$200,"&lt;&gt;"),"")</f>
      </c>
      <c r="Z28" s="202">
        <f>IF($C28,AND($I28=0,'Proyecto Datos (OKR´s)'!$K28&lt;=TODAY(),$J28&lt;&gt;"Completado"),"")</f>
      </c>
      <c r="AA28" s="202">
        <f>IF($C28,ROUND(100*(0.35*$AK28+0.3*$AL28+0.2*$AM28+0.15*MEDIAN(0,($Y28-4)/8,1)),0),"")</f>
      </c>
      <c r="AB28" s="203">
        <f>IF($C28,IF(OR($J28="Completado",$J28="Sin fecha"),"—",IF($AA28&gt;=70,"Crítica",IF($AA28&gt;=45,"Alta",IF($AA28&gt;=25,"Media","Baja")))),"")</f>
      </c>
      <c r="AC28" s="203">
        <f>IF($C28,IF(LEN(TRIM($AN28))=0,"—",TRIM($AN28)),"")</f>
      </c>
      <c r="AD28" s="202">
        <f>IF($C28,$AV28,"")</f>
      </c>
      <c r="AE28" s="202">
        <f>IF($C28,$AZ28,"")</f>
      </c>
      <c r="AF28" s="202">
        <f>IF($C28,$AV28&lt;&gt;$AR28,FALSE)</f>
      </c>
      <c r="AG28" s="202">
        <f>IF($C28,IF($AV28&lt;&gt;$AR28,$AW28,""),"")</f>
      </c>
      <c r="AH28" s="203">
        <f>IF($C28,'Backlog General'!$L28,"")</f>
      </c>
      <c r="AI28" s="202">
        <f>IF($C28,$AV28*100000+ROW(),"")</f>
      </c>
      <c r="AJ28" s="202">
        <f>IF(AND($C28,ISNUMBER($H28)),$AA28*1000000-MEDIAN(-9999,$K28,9999)*100+(300-ROW()),"")</f>
      </c>
      <c r="AK28" s="202">
        <f>IF($C28,IF($J28="Completado",0,IF($K28&lt;0,1,IF($K28&lt;=3,0.9,IF($K28&lt;=7,0.7,IF($K28&lt;=14,0.45,0.2))))),"")</f>
      </c>
      <c r="AL28" s="202">
        <f>IF($C28,IF($J28="Completado",0,MEDIAN(0,MAX(-$V28,$W28/30),1)),"")</f>
      </c>
      <c r="AM28" s="202">
        <f>IF($C28,IF($J28="Completado",0,IF($Z28,1,IF(AND($I28&lt;0.5,$K28&lt;=7),0.7,0.3))),"")</f>
      </c>
      <c r="AN28" s="203">
        <f>IF($C28,IF(OR($V28&lt;-0.2,$W28&gt;0),"ATRASO ","")&amp;IF($Z28,"BLOQUEO ","")&amp;IF($Y28&gt;8,"SOBRECARGA ","")&amp;IF($X28&gt;0,"DESVÍO-PLAN ",""),"")</f>
      </c>
      <c r="AO28" s="203">
        <f>IF($C28,IFERROR(VLOOKUP($D28,'Sprints'!$G$5:$H$12,2,FALSE),"Semanal"),"")</f>
      </c>
      <c r="AP28" s="202">
        <f>IF($C28,IF($AO28="Semanal",'Sprints'!$D$5,IF($AO28="Quincenal",'Sprints'!$D$6,'Sprints'!$D$7)),"")</f>
      </c>
      <c r="AQ28" s="202">
        <f>IF($C28,IF($AO28="Semanal",'Sprints'!$C$5,IF($AO28="Quincenal",'Sprints'!$C$6,'Sprints'!$C$7)),"")</f>
      </c>
      <c r="AR28" s="202">
        <f>IF(AND($C28,ISNUMBER($H28)),MAX(1,INT(($H28-$AQ28)/$AP28)+1),"")</f>
      </c>
      <c r="AS28" s="202">
        <f>IF($C28,IF($AO28="Semanal",'Sprints'!$E$5,IF($AO28="Quincenal",'Sprints'!$E$6,'Sprints'!$E$7)),"")</f>
      </c>
      <c r="AT28" s="203">
        <f>IF($C28,'Backlog General'!$G28,"")</f>
      </c>
      <c r="AU28" s="203">
        <f>IF($C28,'Backlog General'!$H28,"")</f>
      </c>
      <c r="AV28" s="202">
        <f>IF(AND($C28,ISNUMBER($AR28)),IF(OR($AT28="Completo",$AU28="Cancelado",$AU28="Baja prioridad"),$AR28,IF($AU28="Pasa al siguiente",MAX($AR28+1,$AS28),MAX($AR28,$AS28))),"")</f>
      </c>
      <c r="AW28" s="202">
        <f>IF(AND($C28,ISNUMBER($AR28)),$AQ28+$AR28*$AP28-1,"")</f>
      </c>
      <c r="AX28" s="202">
        <f>IF($C28,IF(OR($AT28="Completo",$AU28="Cancelado",$AU28="Baja prioridad",NOT(ISNUMBER($AW28))),0,MAX(0,TODAY()-$AW28)),"")</f>
      </c>
      <c r="AY28" s="203">
        <f>IF($C28,IF(NOT(ISNUMBER($AR28)),"Sin fecha",IF($AT28="Completo","Completo",IF($AU28="Cancelado","Cancelado",IF($AU28="Baja prioridad","Baja prioridad",IF($AX28&gt;0,"Vencida","Pendiente"))))),"")</f>
      </c>
      <c r="AZ28" s="203">
        <f>IF($C28,IF(ISNUMBER($AV28),$AO28&amp;" · S"&amp;$AV28,"(Sin fecha)"),"")</f>
      </c>
      <c r="BA28" s="202">
        <f>IF($C28,IF(AND(ISNUMBER('Backlog General'!$M28),'Backlog General'!$M28=$AS28),"Nuevo S"&amp;'Backlog General'!$M28,""),"")</f>
      </c>
      <c r="BB28" s="202">
        <f>IF(AND($C28,$AO28="Semanal",ISNUMBER($AV28)),$AV28*100000+ROW(),"")</f>
      </c>
      <c r="BC28" s="202">
        <f>IF(AND($C28,$AO28="Quincenal",ISNUMBER($AV28)),$AV28*100000+ROW(),"")</f>
      </c>
      <c r="BD28" s="202">
        <f>IF(AND($C28,$AO28="Mensual",ISNUMBER($AV28)),$AV28*100000+ROW(),"")</f>
      </c>
    </row>
    <row r="29">
      <c r="A29" s="202">
        <f>ROW()</f>
      </c>
      <c r="B29" s="202">
        <f>ISTEXT('Proyecto Datos (OKR´s)'!$K29)</f>
      </c>
      <c r="C29" s="202">
        <f>AND(LEN('Proyecto Datos (OKR´s)'!$G29)&gt;0,NOT($B29),OR(ISNUMBER('Proyecto Datos (OKR´s)'!$F29),ISNUMBER('Proyecto Datos (OKR´s)'!$L29)))</f>
      </c>
      <c r="D29" s="203">
        <f>IF($C29,IFERROR(LOOKUP(2,1/((ISTEXT('Proyecto Datos (OKR´s)'!$K$7:$K29))*(LEN('Proyecto Datos (OKR´s)'!$G$7:$G29)&gt;0)),'Proyecto Datos (OKR´s)'!$G$7:$G29),""),"")</f>
      </c>
      <c r="E29" s="202">
        <f>IF($C29,'Proyecto Datos (OKR´s)'!$E29,"")</f>
      </c>
      <c r="F29" s="203">
        <f>IF($C29,'Proyecto Datos (OKR´s)'!$G29,"")</f>
      </c>
      <c r="G29" s="203">
        <f>IF($C29,IF('Proyecto Datos (OKR´s)'!$I29="","(Sin asignar)",'Proyecto Datos (OKR´s)'!$I29),"")</f>
      </c>
      <c r="H29" s="202">
        <f>IF($C29,IF(ISNUMBER('Proyecto Datos (OKR´s)'!$F29),'Proyecto Datos (OKR´s)'!$F29,""),"")</f>
      </c>
      <c r="I29" s="202">
        <f>IF($C29,'Proyecto Datos (OKR´s)'!$J29,"")</f>
      </c>
      <c r="J29" s="203">
        <f>IF($C29,IF($I29&gt;=1,"Completado",IF(NOT(ISNUMBER($H29)),"Sin fecha",IF($H29&lt;TODAY(),"Vencido",IF(($H29-TODAY())&lt;='Entregas Próximas'!$M$3,"Próximo a vencer","En curso")))),"")</f>
      </c>
      <c r="K29" s="202">
        <f>IF(AND($C29,ISNUMBER($H29)),$H29-TODAY(),"")</f>
      </c>
      <c r="L29" s="202">
        <f>IF(AND($C29,ISNUMBER($H29)),$AD29*1000000+$H29+ROW()/100000,"")</f>
      </c>
      <c r="M29" s="202">
        <f>IF($C29,IF($AD29=9999,"(Sin sprint)",$AD29),"")</f>
      </c>
      <c r="N29" s="202">
        <f>IF($C29,IF('Proyecto Datos (OKR´s)'!$E29="",9999,'Proyecto Datos (OKR´s)'!$E29),"")</f>
      </c>
      <c r="O29" s="202">
        <f>IF($C29,"T"&amp;TEXT(ROW(),"000"),"")</f>
      </c>
      <c r="P29" s="202">
        <f>ROW()-6</f>
      </c>
      <c r="Q29" s="202">
        <f>IF(COUNTIF($AD$7:$AD$200,$P29)&gt;0,$P29,"")</f>
      </c>
      <c r="R29" s="202">
        <f>IF($C29,IF(ISNUMBER('Proyecto Datos (OKR´s)'!$L29),'Proyecto Datos (OKR´s)'!$L29,$H29),"")</f>
      </c>
      <c r="S29" s="202">
        <f>IF($C29,$R29-'Proyecto Datos (OKR´s)'!$K29+1,"")</f>
      </c>
      <c r="T29" s="202">
        <f>IF($C29,MAX(0,TODAY()-'Proyecto Datos (OKR´s)'!$K29),"")</f>
      </c>
      <c r="U29" s="202">
        <f>IF($C29,MEDIAN(0,(TODAY()-'Proyecto Datos (OKR´s)'!$K29)/MAX(1,$R29-'Proyecto Datos (OKR´s)'!$K29),1),"")</f>
      </c>
      <c r="V29" s="202">
        <f>IF($C29,$I29-$U29,"")</f>
      </c>
      <c r="W29" s="202">
        <f>IF($C29,IF(OR($J29="Completado",NOT(ISNUMBER($H29))),0,MAX(0,TODAY()-$H29)),"")</f>
      </c>
      <c r="X29" s="202">
        <f>IF($C29,IF(ISNUMBER($H29),$R29-$H29,0),"")</f>
      </c>
      <c r="Y29" s="202">
        <f>IF($C29,COUNTIFS($G$7:$G$200,$G29,$J$7:$J$200,"&lt;&gt;Completado",$J$7:$J$200,"&lt;&gt;"),"")</f>
      </c>
      <c r="Z29" s="202">
        <f>IF($C29,AND($I29=0,'Proyecto Datos (OKR´s)'!$K29&lt;=TODAY(),$J29&lt;&gt;"Completado"),"")</f>
      </c>
      <c r="AA29" s="202">
        <f>IF($C29,ROUND(100*(0.35*$AK29+0.3*$AL29+0.2*$AM29+0.15*MEDIAN(0,($Y29-4)/8,1)),0),"")</f>
      </c>
      <c r="AB29" s="203">
        <f>IF($C29,IF(OR($J29="Completado",$J29="Sin fecha"),"—",IF($AA29&gt;=70,"Crítica",IF($AA29&gt;=45,"Alta",IF($AA29&gt;=25,"Media","Baja")))),"")</f>
      </c>
      <c r="AC29" s="203">
        <f>IF($C29,IF(LEN(TRIM($AN29))=0,"—",TRIM($AN29)),"")</f>
      </c>
      <c r="AD29" s="202">
        <f>IF($C29,$AV29,"")</f>
      </c>
      <c r="AE29" s="202">
        <f>IF($C29,$AZ29,"")</f>
      </c>
      <c r="AF29" s="202">
        <f>IF($C29,$AV29&lt;&gt;$AR29,FALSE)</f>
      </c>
      <c r="AG29" s="202">
        <f>IF($C29,IF($AV29&lt;&gt;$AR29,$AW29,""),"")</f>
      </c>
      <c r="AH29" s="203">
        <f>IF($C29,'Backlog General'!$L29,"")</f>
      </c>
      <c r="AI29" s="202">
        <f>IF($C29,$AV29*100000+ROW(),"")</f>
      </c>
      <c r="AJ29" s="202">
        <f>IF(AND($C29,ISNUMBER($H29)),$AA29*1000000-MEDIAN(-9999,$K29,9999)*100+(300-ROW()),"")</f>
      </c>
      <c r="AK29" s="202">
        <f>IF($C29,IF($J29="Completado",0,IF($K29&lt;0,1,IF($K29&lt;=3,0.9,IF($K29&lt;=7,0.7,IF($K29&lt;=14,0.45,0.2))))),"")</f>
      </c>
      <c r="AL29" s="202">
        <f>IF($C29,IF($J29="Completado",0,MEDIAN(0,MAX(-$V29,$W29/30),1)),"")</f>
      </c>
      <c r="AM29" s="202">
        <f>IF($C29,IF($J29="Completado",0,IF($Z29,1,IF(AND($I29&lt;0.5,$K29&lt;=7),0.7,0.3))),"")</f>
      </c>
      <c r="AN29" s="203">
        <f>IF($C29,IF(OR($V29&lt;-0.2,$W29&gt;0),"ATRASO ","")&amp;IF($Z29,"BLOQUEO ","")&amp;IF($Y29&gt;8,"SOBRECARGA ","")&amp;IF($X29&gt;0,"DESVÍO-PLAN ",""),"")</f>
      </c>
      <c r="AO29" s="203">
        <f>IF($C29,IFERROR(VLOOKUP($D29,'Sprints'!$G$5:$H$12,2,FALSE),"Semanal"),"")</f>
      </c>
      <c r="AP29" s="202">
        <f>IF($C29,IF($AO29="Semanal",'Sprints'!$D$5,IF($AO29="Quincenal",'Sprints'!$D$6,'Sprints'!$D$7)),"")</f>
      </c>
      <c r="AQ29" s="202">
        <f>IF($C29,IF($AO29="Semanal",'Sprints'!$C$5,IF($AO29="Quincenal",'Sprints'!$C$6,'Sprints'!$C$7)),"")</f>
      </c>
      <c r="AR29" s="202">
        <f>IF(AND($C29,ISNUMBER($H29)),MAX(1,INT(($H29-$AQ29)/$AP29)+1),"")</f>
      </c>
      <c r="AS29" s="202">
        <f>IF($C29,IF($AO29="Semanal",'Sprints'!$E$5,IF($AO29="Quincenal",'Sprints'!$E$6,'Sprints'!$E$7)),"")</f>
      </c>
      <c r="AT29" s="203">
        <f>IF($C29,'Backlog General'!$G29,"")</f>
      </c>
      <c r="AU29" s="203">
        <f>IF($C29,'Backlog General'!$H29,"")</f>
      </c>
      <c r="AV29" s="202">
        <f>IF(AND($C29,ISNUMBER($AR29)),IF(OR($AT29="Completo",$AU29="Cancelado",$AU29="Baja prioridad"),$AR29,IF($AU29="Pasa al siguiente",MAX($AR29+1,$AS29),MAX($AR29,$AS29))),"")</f>
      </c>
      <c r="AW29" s="202">
        <f>IF(AND($C29,ISNUMBER($AR29)),$AQ29+$AR29*$AP29-1,"")</f>
      </c>
      <c r="AX29" s="202">
        <f>IF($C29,IF(OR($AT29="Completo",$AU29="Cancelado",$AU29="Baja prioridad",NOT(ISNUMBER($AW29))),0,MAX(0,TODAY()-$AW29)),"")</f>
      </c>
      <c r="AY29" s="203">
        <f>IF($C29,IF(NOT(ISNUMBER($AR29)),"Sin fecha",IF($AT29="Completo","Completo",IF($AU29="Cancelado","Cancelado",IF($AU29="Baja prioridad","Baja prioridad",IF($AX29&gt;0,"Vencida","Pendiente"))))),"")</f>
      </c>
      <c r="AZ29" s="203">
        <f>IF($C29,IF(ISNUMBER($AV29),$AO29&amp;" · S"&amp;$AV29,"(Sin fecha)"),"")</f>
      </c>
      <c r="BA29" s="202">
        <f>IF($C29,IF(AND(ISNUMBER('Backlog General'!$M29),'Backlog General'!$M29=$AS29),"Nuevo S"&amp;'Backlog General'!$M29,""),"")</f>
      </c>
      <c r="BB29" s="202">
        <f>IF(AND($C29,$AO29="Semanal",ISNUMBER($AV29)),$AV29*100000+ROW(),"")</f>
      </c>
      <c r="BC29" s="202">
        <f>IF(AND($C29,$AO29="Quincenal",ISNUMBER($AV29)),$AV29*100000+ROW(),"")</f>
      </c>
      <c r="BD29" s="202">
        <f>IF(AND($C29,$AO29="Mensual",ISNUMBER($AV29)),$AV29*100000+ROW(),"")</f>
      </c>
    </row>
    <row r="30">
      <c r="A30" s="202">
        <f>ROW()</f>
      </c>
      <c r="B30" s="202">
        <f>ISTEXT('Proyecto Datos (OKR´s)'!$K30)</f>
      </c>
      <c r="C30" s="202">
        <f>AND(LEN('Proyecto Datos (OKR´s)'!$G30)&gt;0,NOT($B30),OR(ISNUMBER('Proyecto Datos (OKR´s)'!$F30),ISNUMBER('Proyecto Datos (OKR´s)'!$L30)))</f>
      </c>
      <c r="D30" s="203">
        <f>IF($C30,IFERROR(LOOKUP(2,1/((ISTEXT('Proyecto Datos (OKR´s)'!$K$7:$K30))*(LEN('Proyecto Datos (OKR´s)'!$G$7:$G30)&gt;0)),'Proyecto Datos (OKR´s)'!$G$7:$G30),""),"")</f>
      </c>
      <c r="E30" s="202">
        <f>IF($C30,'Proyecto Datos (OKR´s)'!$E30,"")</f>
      </c>
      <c r="F30" s="203">
        <f>IF($C30,'Proyecto Datos (OKR´s)'!$G30,"")</f>
      </c>
      <c r="G30" s="203">
        <f>IF($C30,IF('Proyecto Datos (OKR´s)'!$I30="","(Sin asignar)",'Proyecto Datos (OKR´s)'!$I30),"")</f>
      </c>
      <c r="H30" s="202">
        <f>IF($C30,IF(ISNUMBER('Proyecto Datos (OKR´s)'!$F30),'Proyecto Datos (OKR´s)'!$F30,""),"")</f>
      </c>
      <c r="I30" s="202">
        <f>IF($C30,'Proyecto Datos (OKR´s)'!$J30,"")</f>
      </c>
      <c r="J30" s="203">
        <f>IF($C30,IF($I30&gt;=1,"Completado",IF(NOT(ISNUMBER($H30)),"Sin fecha",IF($H30&lt;TODAY(),"Vencido",IF(($H30-TODAY())&lt;='Entregas Próximas'!$M$3,"Próximo a vencer","En curso")))),"")</f>
      </c>
      <c r="K30" s="202">
        <f>IF(AND($C30,ISNUMBER($H30)),$H30-TODAY(),"")</f>
      </c>
      <c r="L30" s="202">
        <f>IF(AND($C30,ISNUMBER($H30)),$AD30*1000000+$H30+ROW()/100000,"")</f>
      </c>
      <c r="M30" s="202">
        <f>IF($C30,IF($AD30=9999,"(Sin sprint)",$AD30),"")</f>
      </c>
      <c r="N30" s="202">
        <f>IF($C30,IF('Proyecto Datos (OKR´s)'!$E30="",9999,'Proyecto Datos (OKR´s)'!$E30),"")</f>
      </c>
      <c r="O30" s="202">
        <f>IF($C30,"T"&amp;TEXT(ROW(),"000"),"")</f>
      </c>
      <c r="P30" s="202">
        <f>ROW()-6</f>
      </c>
      <c r="Q30" s="202">
        <f>IF(COUNTIF($AD$7:$AD$200,$P30)&gt;0,$P30,"")</f>
      </c>
      <c r="R30" s="202">
        <f>IF($C30,IF(ISNUMBER('Proyecto Datos (OKR´s)'!$L30),'Proyecto Datos (OKR´s)'!$L30,$H30),"")</f>
      </c>
      <c r="S30" s="202">
        <f>IF($C30,$R30-'Proyecto Datos (OKR´s)'!$K30+1,"")</f>
      </c>
      <c r="T30" s="202">
        <f>IF($C30,MAX(0,TODAY()-'Proyecto Datos (OKR´s)'!$K30),"")</f>
      </c>
      <c r="U30" s="202">
        <f>IF($C30,MEDIAN(0,(TODAY()-'Proyecto Datos (OKR´s)'!$K30)/MAX(1,$R30-'Proyecto Datos (OKR´s)'!$K30),1),"")</f>
      </c>
      <c r="V30" s="202">
        <f>IF($C30,$I30-$U30,"")</f>
      </c>
      <c r="W30" s="202">
        <f>IF($C30,IF(OR($J30="Completado",NOT(ISNUMBER($H30))),0,MAX(0,TODAY()-$H30)),"")</f>
      </c>
      <c r="X30" s="202">
        <f>IF($C30,IF(ISNUMBER($H30),$R30-$H30,0),"")</f>
      </c>
      <c r="Y30" s="202">
        <f>IF($C30,COUNTIFS($G$7:$G$200,$G30,$J$7:$J$200,"&lt;&gt;Completado",$J$7:$J$200,"&lt;&gt;"),"")</f>
      </c>
      <c r="Z30" s="202">
        <f>IF($C30,AND($I30=0,'Proyecto Datos (OKR´s)'!$K30&lt;=TODAY(),$J30&lt;&gt;"Completado"),"")</f>
      </c>
      <c r="AA30" s="202">
        <f>IF($C30,ROUND(100*(0.35*$AK30+0.3*$AL30+0.2*$AM30+0.15*MEDIAN(0,($Y30-4)/8,1)),0),"")</f>
      </c>
      <c r="AB30" s="203">
        <f>IF($C30,IF(OR($J30="Completado",$J30="Sin fecha"),"—",IF($AA30&gt;=70,"Crítica",IF($AA30&gt;=45,"Alta",IF($AA30&gt;=25,"Media","Baja")))),"")</f>
      </c>
      <c r="AC30" s="203">
        <f>IF($C30,IF(LEN(TRIM($AN30))=0,"—",TRIM($AN30)),"")</f>
      </c>
      <c r="AD30" s="202">
        <f>IF($C30,$AV30,"")</f>
      </c>
      <c r="AE30" s="202">
        <f>IF($C30,$AZ30,"")</f>
      </c>
      <c r="AF30" s="202">
        <f>IF($C30,$AV30&lt;&gt;$AR30,FALSE)</f>
      </c>
      <c r="AG30" s="202">
        <f>IF($C30,IF($AV30&lt;&gt;$AR30,$AW30,""),"")</f>
      </c>
      <c r="AH30" s="203">
        <f>IF($C30,'Backlog General'!$L30,"")</f>
      </c>
      <c r="AI30" s="202">
        <f>IF($C30,$AV30*100000+ROW(),"")</f>
      </c>
      <c r="AJ30" s="202">
        <f>IF(AND($C30,ISNUMBER($H30)),$AA30*1000000-MEDIAN(-9999,$K30,9999)*100+(300-ROW()),"")</f>
      </c>
      <c r="AK30" s="202">
        <f>IF($C30,IF($J30="Completado",0,IF($K30&lt;0,1,IF($K30&lt;=3,0.9,IF($K30&lt;=7,0.7,IF($K30&lt;=14,0.45,0.2))))),"")</f>
      </c>
      <c r="AL30" s="202">
        <f>IF($C30,IF($J30="Completado",0,MEDIAN(0,MAX(-$V30,$W30/30),1)),"")</f>
      </c>
      <c r="AM30" s="202">
        <f>IF($C30,IF($J30="Completado",0,IF($Z30,1,IF(AND($I30&lt;0.5,$K30&lt;=7),0.7,0.3))),"")</f>
      </c>
      <c r="AN30" s="203">
        <f>IF($C30,IF(OR($V30&lt;-0.2,$W30&gt;0),"ATRASO ","")&amp;IF($Z30,"BLOQUEO ","")&amp;IF($Y30&gt;8,"SOBRECARGA ","")&amp;IF($X30&gt;0,"DESVÍO-PLAN ",""),"")</f>
      </c>
      <c r="AO30" s="203">
        <f>IF($C30,IFERROR(VLOOKUP($D30,'Sprints'!$G$5:$H$12,2,FALSE),"Semanal"),"")</f>
      </c>
      <c r="AP30" s="202">
        <f>IF($C30,IF($AO30="Semanal",'Sprints'!$D$5,IF($AO30="Quincenal",'Sprints'!$D$6,'Sprints'!$D$7)),"")</f>
      </c>
      <c r="AQ30" s="202">
        <f>IF($C30,IF($AO30="Semanal",'Sprints'!$C$5,IF($AO30="Quincenal",'Sprints'!$C$6,'Sprints'!$C$7)),"")</f>
      </c>
      <c r="AR30" s="202">
        <f>IF(AND($C30,ISNUMBER($H30)),MAX(1,INT(($H30-$AQ30)/$AP30)+1),"")</f>
      </c>
      <c r="AS30" s="202">
        <f>IF($C30,IF($AO30="Semanal",'Sprints'!$E$5,IF($AO30="Quincenal",'Sprints'!$E$6,'Sprints'!$E$7)),"")</f>
      </c>
      <c r="AT30" s="203">
        <f>IF($C30,'Backlog General'!$G30,"")</f>
      </c>
      <c r="AU30" s="203">
        <f>IF($C30,'Backlog General'!$H30,"")</f>
      </c>
      <c r="AV30" s="202">
        <f>IF(AND($C30,ISNUMBER($AR30)),IF(OR($AT30="Completo",$AU30="Cancelado",$AU30="Baja prioridad"),$AR30,IF($AU30="Pasa al siguiente",MAX($AR30+1,$AS30),MAX($AR30,$AS30))),"")</f>
      </c>
      <c r="AW30" s="202">
        <f>IF(AND($C30,ISNUMBER($AR30)),$AQ30+$AR30*$AP30-1,"")</f>
      </c>
      <c r="AX30" s="202">
        <f>IF($C30,IF(OR($AT30="Completo",$AU30="Cancelado",$AU30="Baja prioridad",NOT(ISNUMBER($AW30))),0,MAX(0,TODAY()-$AW30)),"")</f>
      </c>
      <c r="AY30" s="203">
        <f>IF($C30,IF(NOT(ISNUMBER($AR30)),"Sin fecha",IF($AT30="Completo","Completo",IF($AU30="Cancelado","Cancelado",IF($AU30="Baja prioridad","Baja prioridad",IF($AX30&gt;0,"Vencida","Pendiente"))))),"")</f>
      </c>
      <c r="AZ30" s="203">
        <f>IF($C30,IF(ISNUMBER($AV30),$AO30&amp;" · S"&amp;$AV30,"(Sin fecha)"),"")</f>
      </c>
      <c r="BA30" s="202">
        <f>IF($C30,IF(AND(ISNUMBER('Backlog General'!$M30),'Backlog General'!$M30=$AS30),"Nuevo S"&amp;'Backlog General'!$M30,""),"")</f>
      </c>
      <c r="BB30" s="202">
        <f>IF(AND($C30,$AO30="Semanal",ISNUMBER($AV30)),$AV30*100000+ROW(),"")</f>
      </c>
      <c r="BC30" s="202">
        <f>IF(AND($C30,$AO30="Quincenal",ISNUMBER($AV30)),$AV30*100000+ROW(),"")</f>
      </c>
      <c r="BD30" s="202">
        <f>IF(AND($C30,$AO30="Mensual",ISNUMBER($AV30)),$AV30*100000+ROW(),"")</f>
      </c>
    </row>
    <row r="31">
      <c r="A31" s="202">
        <f>ROW()</f>
      </c>
      <c r="B31" s="202">
        <f>ISTEXT('Proyecto Datos (OKR´s)'!$K31)</f>
      </c>
      <c r="C31" s="202">
        <f>AND(LEN('Proyecto Datos (OKR´s)'!$G31)&gt;0,NOT($B31),OR(ISNUMBER('Proyecto Datos (OKR´s)'!$F31),ISNUMBER('Proyecto Datos (OKR´s)'!$L31)))</f>
      </c>
      <c r="D31" s="203">
        <f>IF($C31,IFERROR(LOOKUP(2,1/((ISTEXT('Proyecto Datos (OKR´s)'!$K$7:$K31))*(LEN('Proyecto Datos (OKR´s)'!$G$7:$G31)&gt;0)),'Proyecto Datos (OKR´s)'!$G$7:$G31),""),"")</f>
      </c>
      <c r="E31" s="202">
        <f>IF($C31,'Proyecto Datos (OKR´s)'!$E31,"")</f>
      </c>
      <c r="F31" s="203">
        <f>IF($C31,'Proyecto Datos (OKR´s)'!$G31,"")</f>
      </c>
      <c r="G31" s="203">
        <f>IF($C31,IF('Proyecto Datos (OKR´s)'!$I31="","(Sin asignar)",'Proyecto Datos (OKR´s)'!$I31),"")</f>
      </c>
      <c r="H31" s="202">
        <f>IF($C31,IF(ISNUMBER('Proyecto Datos (OKR´s)'!$F31),'Proyecto Datos (OKR´s)'!$F31,""),"")</f>
      </c>
      <c r="I31" s="202">
        <f>IF($C31,'Proyecto Datos (OKR´s)'!$J31,"")</f>
      </c>
      <c r="J31" s="203">
        <f>IF($C31,IF($I31&gt;=1,"Completado",IF(NOT(ISNUMBER($H31)),"Sin fecha",IF($H31&lt;TODAY(),"Vencido",IF(($H31-TODAY())&lt;='Entregas Próximas'!$M$3,"Próximo a vencer","En curso")))),"")</f>
      </c>
      <c r="K31" s="202">
        <f>IF(AND($C31,ISNUMBER($H31)),$H31-TODAY(),"")</f>
      </c>
      <c r="L31" s="202">
        <f>IF(AND($C31,ISNUMBER($H31)),$AD31*1000000+$H31+ROW()/100000,"")</f>
      </c>
      <c r="M31" s="202">
        <f>IF($C31,IF($AD31=9999,"(Sin sprint)",$AD31),"")</f>
      </c>
      <c r="N31" s="202">
        <f>IF($C31,IF('Proyecto Datos (OKR´s)'!$E31="",9999,'Proyecto Datos (OKR´s)'!$E31),"")</f>
      </c>
      <c r="O31" s="202">
        <f>IF($C31,"T"&amp;TEXT(ROW(),"000"),"")</f>
      </c>
      <c r="P31" s="202">
        <f>ROW()-6</f>
      </c>
      <c r="Q31" s="202">
        <f>IF(COUNTIF($AD$7:$AD$200,$P31)&gt;0,$P31,"")</f>
      </c>
      <c r="R31" s="202">
        <f>IF($C31,IF(ISNUMBER('Proyecto Datos (OKR´s)'!$L31),'Proyecto Datos (OKR´s)'!$L31,$H31),"")</f>
      </c>
      <c r="S31" s="202">
        <f>IF($C31,$R31-'Proyecto Datos (OKR´s)'!$K31+1,"")</f>
      </c>
      <c r="T31" s="202">
        <f>IF($C31,MAX(0,TODAY()-'Proyecto Datos (OKR´s)'!$K31),"")</f>
      </c>
      <c r="U31" s="202">
        <f>IF($C31,MEDIAN(0,(TODAY()-'Proyecto Datos (OKR´s)'!$K31)/MAX(1,$R31-'Proyecto Datos (OKR´s)'!$K31),1),"")</f>
      </c>
      <c r="V31" s="202">
        <f>IF($C31,$I31-$U31,"")</f>
      </c>
      <c r="W31" s="202">
        <f>IF($C31,IF(OR($J31="Completado",NOT(ISNUMBER($H31))),0,MAX(0,TODAY()-$H31)),"")</f>
      </c>
      <c r="X31" s="202">
        <f>IF($C31,IF(ISNUMBER($H31),$R31-$H31,0),"")</f>
      </c>
      <c r="Y31" s="202">
        <f>IF($C31,COUNTIFS($G$7:$G$200,$G31,$J$7:$J$200,"&lt;&gt;Completado",$J$7:$J$200,"&lt;&gt;"),"")</f>
      </c>
      <c r="Z31" s="202">
        <f>IF($C31,AND($I31=0,'Proyecto Datos (OKR´s)'!$K31&lt;=TODAY(),$J31&lt;&gt;"Completado"),"")</f>
      </c>
      <c r="AA31" s="202">
        <f>IF($C31,ROUND(100*(0.35*$AK31+0.3*$AL31+0.2*$AM31+0.15*MEDIAN(0,($Y31-4)/8,1)),0),"")</f>
      </c>
      <c r="AB31" s="203">
        <f>IF($C31,IF(OR($J31="Completado",$J31="Sin fecha"),"—",IF($AA31&gt;=70,"Crítica",IF($AA31&gt;=45,"Alta",IF($AA31&gt;=25,"Media","Baja")))),"")</f>
      </c>
      <c r="AC31" s="203">
        <f>IF($C31,IF(LEN(TRIM($AN31))=0,"—",TRIM($AN31)),"")</f>
      </c>
      <c r="AD31" s="202">
        <f>IF($C31,$AV31,"")</f>
      </c>
      <c r="AE31" s="202">
        <f>IF($C31,$AZ31,"")</f>
      </c>
      <c r="AF31" s="202">
        <f>IF($C31,$AV31&lt;&gt;$AR31,FALSE)</f>
      </c>
      <c r="AG31" s="202">
        <f>IF($C31,IF($AV31&lt;&gt;$AR31,$AW31,""),"")</f>
      </c>
      <c r="AH31" s="203">
        <f>IF($C31,'Backlog General'!$L31,"")</f>
      </c>
      <c r="AI31" s="202">
        <f>IF($C31,$AV31*100000+ROW(),"")</f>
      </c>
      <c r="AJ31" s="202">
        <f>IF(AND($C31,ISNUMBER($H31)),$AA31*1000000-MEDIAN(-9999,$K31,9999)*100+(300-ROW()),"")</f>
      </c>
      <c r="AK31" s="202">
        <f>IF($C31,IF($J31="Completado",0,IF($K31&lt;0,1,IF($K31&lt;=3,0.9,IF($K31&lt;=7,0.7,IF($K31&lt;=14,0.45,0.2))))),"")</f>
      </c>
      <c r="AL31" s="202">
        <f>IF($C31,IF($J31="Completado",0,MEDIAN(0,MAX(-$V31,$W31/30),1)),"")</f>
      </c>
      <c r="AM31" s="202">
        <f>IF($C31,IF($J31="Completado",0,IF($Z31,1,IF(AND($I31&lt;0.5,$K31&lt;=7),0.7,0.3))),"")</f>
      </c>
      <c r="AN31" s="203">
        <f>IF($C31,IF(OR($V31&lt;-0.2,$W31&gt;0),"ATRASO ","")&amp;IF($Z31,"BLOQUEO ","")&amp;IF($Y31&gt;8,"SOBRECARGA ","")&amp;IF($X31&gt;0,"DESVÍO-PLAN ",""),"")</f>
      </c>
      <c r="AO31" s="203">
        <f>IF($C31,IFERROR(VLOOKUP($D31,'Sprints'!$G$5:$H$12,2,FALSE),"Semanal"),"")</f>
      </c>
      <c r="AP31" s="202">
        <f>IF($C31,IF($AO31="Semanal",'Sprints'!$D$5,IF($AO31="Quincenal",'Sprints'!$D$6,'Sprints'!$D$7)),"")</f>
      </c>
      <c r="AQ31" s="202">
        <f>IF($C31,IF($AO31="Semanal",'Sprints'!$C$5,IF($AO31="Quincenal",'Sprints'!$C$6,'Sprints'!$C$7)),"")</f>
      </c>
      <c r="AR31" s="202">
        <f>IF(AND($C31,ISNUMBER($H31)),MAX(1,INT(($H31-$AQ31)/$AP31)+1),"")</f>
      </c>
      <c r="AS31" s="202">
        <f>IF($C31,IF($AO31="Semanal",'Sprints'!$E$5,IF($AO31="Quincenal",'Sprints'!$E$6,'Sprints'!$E$7)),"")</f>
      </c>
      <c r="AT31" s="203">
        <f>IF($C31,'Backlog General'!$G31,"")</f>
      </c>
      <c r="AU31" s="203">
        <f>IF($C31,'Backlog General'!$H31,"")</f>
      </c>
      <c r="AV31" s="202">
        <f>IF(AND($C31,ISNUMBER($AR31)),IF(OR($AT31="Completo",$AU31="Cancelado",$AU31="Baja prioridad"),$AR31,IF($AU31="Pasa al siguiente",MAX($AR31+1,$AS31),MAX($AR31,$AS31))),"")</f>
      </c>
      <c r="AW31" s="202">
        <f>IF(AND($C31,ISNUMBER($AR31)),$AQ31+$AR31*$AP31-1,"")</f>
      </c>
      <c r="AX31" s="202">
        <f>IF($C31,IF(OR($AT31="Completo",$AU31="Cancelado",$AU31="Baja prioridad",NOT(ISNUMBER($AW31))),0,MAX(0,TODAY()-$AW31)),"")</f>
      </c>
      <c r="AY31" s="203">
        <f>IF($C31,IF(NOT(ISNUMBER($AR31)),"Sin fecha",IF($AT31="Completo","Completo",IF($AU31="Cancelado","Cancelado",IF($AU31="Baja prioridad","Baja prioridad",IF($AX31&gt;0,"Vencida","Pendiente"))))),"")</f>
      </c>
      <c r="AZ31" s="203">
        <f>IF($C31,IF(ISNUMBER($AV31),$AO31&amp;" · S"&amp;$AV31,"(Sin fecha)"),"")</f>
      </c>
      <c r="BA31" s="202">
        <f>IF($C31,IF(AND(ISNUMBER('Backlog General'!$M31),'Backlog General'!$M31=$AS31),"Nuevo S"&amp;'Backlog General'!$M31,""),"")</f>
      </c>
      <c r="BB31" s="202">
        <f>IF(AND($C31,$AO31="Semanal",ISNUMBER($AV31)),$AV31*100000+ROW(),"")</f>
      </c>
      <c r="BC31" s="202">
        <f>IF(AND($C31,$AO31="Quincenal",ISNUMBER($AV31)),$AV31*100000+ROW(),"")</f>
      </c>
      <c r="BD31" s="202">
        <f>IF(AND($C31,$AO31="Mensual",ISNUMBER($AV31)),$AV31*100000+ROW(),"")</f>
      </c>
    </row>
    <row r="32">
      <c r="A32" s="202">
        <f>ROW()</f>
      </c>
      <c r="B32" s="202">
        <f>ISTEXT('Proyecto Datos (OKR´s)'!$K32)</f>
      </c>
      <c r="C32" s="202">
        <f>AND(LEN('Proyecto Datos (OKR´s)'!$G32)&gt;0,NOT($B32),OR(ISNUMBER('Proyecto Datos (OKR´s)'!$F32),ISNUMBER('Proyecto Datos (OKR´s)'!$L32)))</f>
      </c>
      <c r="D32" s="203">
        <f>IF($C32,IFERROR(LOOKUP(2,1/((ISTEXT('Proyecto Datos (OKR´s)'!$K$7:$K32))*(LEN('Proyecto Datos (OKR´s)'!$G$7:$G32)&gt;0)),'Proyecto Datos (OKR´s)'!$G$7:$G32),""),"")</f>
      </c>
      <c r="E32" s="202">
        <f>IF($C32,'Proyecto Datos (OKR´s)'!$E32,"")</f>
      </c>
      <c r="F32" s="203">
        <f>IF($C32,'Proyecto Datos (OKR´s)'!$G32,"")</f>
      </c>
      <c r="G32" s="203">
        <f>IF($C32,IF('Proyecto Datos (OKR´s)'!$I32="","(Sin asignar)",'Proyecto Datos (OKR´s)'!$I32),"")</f>
      </c>
      <c r="H32" s="202">
        <f>IF($C32,IF(ISNUMBER('Proyecto Datos (OKR´s)'!$F32),'Proyecto Datos (OKR´s)'!$F32,""),"")</f>
      </c>
      <c r="I32" s="202">
        <f>IF($C32,'Proyecto Datos (OKR´s)'!$J32,"")</f>
      </c>
      <c r="J32" s="203">
        <f>IF($C32,IF($I32&gt;=1,"Completado",IF(NOT(ISNUMBER($H32)),"Sin fecha",IF($H32&lt;TODAY(),"Vencido",IF(($H32-TODAY())&lt;='Entregas Próximas'!$M$3,"Próximo a vencer","En curso")))),"")</f>
      </c>
      <c r="K32" s="202">
        <f>IF(AND($C32,ISNUMBER($H32)),$H32-TODAY(),"")</f>
      </c>
      <c r="L32" s="202">
        <f>IF(AND($C32,ISNUMBER($H32)),$AD32*1000000+$H32+ROW()/100000,"")</f>
      </c>
      <c r="M32" s="202">
        <f>IF($C32,IF($AD32=9999,"(Sin sprint)",$AD32),"")</f>
      </c>
      <c r="N32" s="202">
        <f>IF($C32,IF('Proyecto Datos (OKR´s)'!$E32="",9999,'Proyecto Datos (OKR´s)'!$E32),"")</f>
      </c>
      <c r="O32" s="202">
        <f>IF($C32,"T"&amp;TEXT(ROW(),"000"),"")</f>
      </c>
      <c r="P32" s="202">
        <f>ROW()-6</f>
      </c>
      <c r="Q32" s="202">
        <f>IF(COUNTIF($AD$7:$AD$200,$P32)&gt;0,$P32,"")</f>
      </c>
      <c r="R32" s="202">
        <f>IF($C32,IF(ISNUMBER('Proyecto Datos (OKR´s)'!$L32),'Proyecto Datos (OKR´s)'!$L32,$H32),"")</f>
      </c>
      <c r="S32" s="202">
        <f>IF($C32,$R32-'Proyecto Datos (OKR´s)'!$K32+1,"")</f>
      </c>
      <c r="T32" s="202">
        <f>IF($C32,MAX(0,TODAY()-'Proyecto Datos (OKR´s)'!$K32),"")</f>
      </c>
      <c r="U32" s="202">
        <f>IF($C32,MEDIAN(0,(TODAY()-'Proyecto Datos (OKR´s)'!$K32)/MAX(1,$R32-'Proyecto Datos (OKR´s)'!$K32),1),"")</f>
      </c>
      <c r="V32" s="202">
        <f>IF($C32,$I32-$U32,"")</f>
      </c>
      <c r="W32" s="202">
        <f>IF($C32,IF(OR($J32="Completado",NOT(ISNUMBER($H32))),0,MAX(0,TODAY()-$H32)),"")</f>
      </c>
      <c r="X32" s="202">
        <f>IF($C32,IF(ISNUMBER($H32),$R32-$H32,0),"")</f>
      </c>
      <c r="Y32" s="202">
        <f>IF($C32,COUNTIFS($G$7:$G$200,$G32,$J$7:$J$200,"&lt;&gt;Completado",$J$7:$J$200,"&lt;&gt;"),"")</f>
      </c>
      <c r="Z32" s="202">
        <f>IF($C32,AND($I32=0,'Proyecto Datos (OKR´s)'!$K32&lt;=TODAY(),$J32&lt;&gt;"Completado"),"")</f>
      </c>
      <c r="AA32" s="202">
        <f>IF($C32,ROUND(100*(0.35*$AK32+0.3*$AL32+0.2*$AM32+0.15*MEDIAN(0,($Y32-4)/8,1)),0),"")</f>
      </c>
      <c r="AB32" s="203">
        <f>IF($C32,IF(OR($J32="Completado",$J32="Sin fecha"),"—",IF($AA32&gt;=70,"Crítica",IF($AA32&gt;=45,"Alta",IF($AA32&gt;=25,"Media","Baja")))),"")</f>
      </c>
      <c r="AC32" s="203">
        <f>IF($C32,IF(LEN(TRIM($AN32))=0,"—",TRIM($AN32)),"")</f>
      </c>
      <c r="AD32" s="202">
        <f>IF($C32,$AV32,"")</f>
      </c>
      <c r="AE32" s="202">
        <f>IF($C32,$AZ32,"")</f>
      </c>
      <c r="AF32" s="202">
        <f>IF($C32,$AV32&lt;&gt;$AR32,FALSE)</f>
      </c>
      <c r="AG32" s="202">
        <f>IF($C32,IF($AV32&lt;&gt;$AR32,$AW32,""),"")</f>
      </c>
      <c r="AH32" s="203">
        <f>IF($C32,'Backlog General'!$L32,"")</f>
      </c>
      <c r="AI32" s="202">
        <f>IF($C32,$AV32*100000+ROW(),"")</f>
      </c>
      <c r="AJ32" s="202">
        <f>IF(AND($C32,ISNUMBER($H32)),$AA32*1000000-MEDIAN(-9999,$K32,9999)*100+(300-ROW()),"")</f>
      </c>
      <c r="AK32" s="202">
        <f>IF($C32,IF($J32="Completado",0,IF($K32&lt;0,1,IF($K32&lt;=3,0.9,IF($K32&lt;=7,0.7,IF($K32&lt;=14,0.45,0.2))))),"")</f>
      </c>
      <c r="AL32" s="202">
        <f>IF($C32,IF($J32="Completado",0,MEDIAN(0,MAX(-$V32,$W32/30),1)),"")</f>
      </c>
      <c r="AM32" s="202">
        <f>IF($C32,IF($J32="Completado",0,IF($Z32,1,IF(AND($I32&lt;0.5,$K32&lt;=7),0.7,0.3))),"")</f>
      </c>
      <c r="AN32" s="203">
        <f>IF($C32,IF(OR($V32&lt;-0.2,$W32&gt;0),"ATRASO ","")&amp;IF($Z32,"BLOQUEO ","")&amp;IF($Y32&gt;8,"SOBRECARGA ","")&amp;IF($X32&gt;0,"DESVÍO-PLAN ",""),"")</f>
      </c>
      <c r="AO32" s="203">
        <f>IF($C32,IFERROR(VLOOKUP($D32,'Sprints'!$G$5:$H$12,2,FALSE),"Semanal"),"")</f>
      </c>
      <c r="AP32" s="202">
        <f>IF($C32,IF($AO32="Semanal",'Sprints'!$D$5,IF($AO32="Quincenal",'Sprints'!$D$6,'Sprints'!$D$7)),"")</f>
      </c>
      <c r="AQ32" s="202">
        <f>IF($C32,IF($AO32="Semanal",'Sprints'!$C$5,IF($AO32="Quincenal",'Sprints'!$C$6,'Sprints'!$C$7)),"")</f>
      </c>
      <c r="AR32" s="202">
        <f>IF(AND($C32,ISNUMBER($H32)),MAX(1,INT(($H32-$AQ32)/$AP32)+1),"")</f>
      </c>
      <c r="AS32" s="202">
        <f>IF($C32,IF($AO32="Semanal",'Sprints'!$E$5,IF($AO32="Quincenal",'Sprints'!$E$6,'Sprints'!$E$7)),"")</f>
      </c>
      <c r="AT32" s="203">
        <f>IF($C32,'Backlog General'!$G32,"")</f>
      </c>
      <c r="AU32" s="203">
        <f>IF($C32,'Backlog General'!$H32,"")</f>
      </c>
      <c r="AV32" s="202">
        <f>IF(AND($C32,ISNUMBER($AR32)),IF(OR($AT32="Completo",$AU32="Cancelado",$AU32="Baja prioridad"),$AR32,IF($AU32="Pasa al siguiente",MAX($AR32+1,$AS32),MAX($AR32,$AS32))),"")</f>
      </c>
      <c r="AW32" s="202">
        <f>IF(AND($C32,ISNUMBER($AR32)),$AQ32+$AR32*$AP32-1,"")</f>
      </c>
      <c r="AX32" s="202">
        <f>IF($C32,IF(OR($AT32="Completo",$AU32="Cancelado",$AU32="Baja prioridad",NOT(ISNUMBER($AW32))),0,MAX(0,TODAY()-$AW32)),"")</f>
      </c>
      <c r="AY32" s="203">
        <f>IF($C32,IF(NOT(ISNUMBER($AR32)),"Sin fecha",IF($AT32="Completo","Completo",IF($AU32="Cancelado","Cancelado",IF($AU32="Baja prioridad","Baja prioridad",IF($AX32&gt;0,"Vencida","Pendiente"))))),"")</f>
      </c>
      <c r="AZ32" s="203">
        <f>IF($C32,IF(ISNUMBER($AV32),$AO32&amp;" · S"&amp;$AV32,"(Sin fecha)"),"")</f>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row>
    <row r="33">
      <c r="A33" s="202">
        <f>ROW()</f>
      </c>
      <c r="B33" s="202">
        <f>ISTEXT('Proyecto Datos (OKR´s)'!$K33)</f>
      </c>
      <c r="C33" s="202">
        <f>AND(LEN('Proyecto Datos (OKR´s)'!$G33)&gt;0,NOT($B33),OR(ISNUMBER('Proyecto Datos (OKR´s)'!$F33),ISNUMBER('Proyecto Datos (OKR´s)'!$L33)))</f>
      </c>
      <c r="D33" s="203">
        <f>IF($C33,IFERROR(LOOKUP(2,1/((ISTEXT('Proyecto Datos (OKR´s)'!$K$7:$K33))*(LEN('Proyecto Datos (OKR´s)'!$G$7:$G33)&gt;0)),'Proyecto Datos (OKR´s)'!$G$7:$G33),""),"")</f>
      </c>
      <c r="E33" s="202">
        <f>IF($C33,'Proyecto Datos (OKR´s)'!$E33,"")</f>
      </c>
      <c r="F33" s="203">
        <f>IF($C33,'Proyecto Datos (OKR´s)'!$G33,"")</f>
      </c>
      <c r="G33" s="203">
        <f>IF($C33,IF('Proyecto Datos (OKR´s)'!$I33="","(Sin asignar)",'Proyecto Datos (OKR´s)'!$I33),"")</f>
      </c>
      <c r="H33" s="202">
        <f>IF($C33,IF(ISNUMBER('Proyecto Datos (OKR´s)'!$F33),'Proyecto Datos (OKR´s)'!$F33,""),"")</f>
      </c>
      <c r="I33" s="202">
        <f>IF($C33,'Proyecto Datos (OKR´s)'!$J33,"")</f>
      </c>
      <c r="J33" s="203">
        <f>IF($C33,IF($I33&gt;=1,"Completado",IF(NOT(ISNUMBER($H33)),"Sin fecha",IF($H33&lt;TODAY(),"Vencido",IF(($H33-TODAY())&lt;='Entregas Próximas'!$M$3,"Próximo a vencer","En curso")))),"")</f>
      </c>
      <c r="K33" s="202">
        <f>IF(AND($C33,ISNUMBER($H33)),$H33-TODAY(),"")</f>
      </c>
      <c r="L33" s="202">
        <f>IF(AND($C33,ISNUMBER($H33)),$AD33*1000000+$H33+ROW()/100000,"")</f>
      </c>
      <c r="M33" s="202">
        <f>IF($C33,IF($AD33=9999,"(Sin sprint)",$AD33),"")</f>
      </c>
      <c r="N33" s="202">
        <f>IF($C33,IF('Proyecto Datos (OKR´s)'!$E33="",9999,'Proyecto Datos (OKR´s)'!$E33),"")</f>
      </c>
      <c r="O33" s="202">
        <f>IF($C33,"T"&amp;TEXT(ROW(),"000"),"")</f>
      </c>
      <c r="P33" s="202">
        <f>ROW()-6</f>
      </c>
      <c r="Q33" s="202">
        <f>IF(COUNTIF($AD$7:$AD$200,$P33)&gt;0,$P33,"")</f>
      </c>
      <c r="R33" s="202">
        <f>IF($C33,IF(ISNUMBER('Proyecto Datos (OKR´s)'!$L33),'Proyecto Datos (OKR´s)'!$L33,$H33),"")</f>
      </c>
      <c r="S33" s="202">
        <f>IF($C33,$R33-'Proyecto Datos (OKR´s)'!$K33+1,"")</f>
      </c>
      <c r="T33" s="202">
        <f>IF($C33,MAX(0,TODAY()-'Proyecto Datos (OKR´s)'!$K33),"")</f>
      </c>
      <c r="U33" s="202">
        <f>IF($C33,MEDIAN(0,(TODAY()-'Proyecto Datos (OKR´s)'!$K33)/MAX(1,$R33-'Proyecto Datos (OKR´s)'!$K33),1),"")</f>
      </c>
      <c r="V33" s="202">
        <f>IF($C33,$I33-$U33,"")</f>
      </c>
      <c r="W33" s="202">
        <f>IF($C33,IF(OR($J33="Completado",NOT(ISNUMBER($H33))),0,MAX(0,TODAY()-$H33)),"")</f>
      </c>
      <c r="X33" s="202">
        <f>IF($C33,IF(ISNUMBER($H33),$R33-$H33,0),"")</f>
      </c>
      <c r="Y33" s="202">
        <f>IF($C33,COUNTIFS($G$7:$G$200,$G33,$J$7:$J$200,"&lt;&gt;Completado",$J$7:$J$200,"&lt;&gt;"),"")</f>
      </c>
      <c r="Z33" s="202">
        <f>IF($C33,AND($I33=0,'Proyecto Datos (OKR´s)'!$K33&lt;=TODAY(),$J33&lt;&gt;"Completado"),"")</f>
      </c>
      <c r="AA33" s="202">
        <f>IF($C33,ROUND(100*(0.35*$AK33+0.3*$AL33+0.2*$AM33+0.15*MEDIAN(0,($Y33-4)/8,1)),0),"")</f>
      </c>
      <c r="AB33" s="203">
        <f>IF($C33,IF(OR($J33="Completado",$J33="Sin fecha"),"—",IF($AA33&gt;=70,"Crítica",IF($AA33&gt;=45,"Alta",IF($AA33&gt;=25,"Media","Baja")))),"")</f>
      </c>
      <c r="AC33" s="203">
        <f>IF($C33,IF(LEN(TRIM($AN33))=0,"—",TRIM($AN33)),"")</f>
      </c>
      <c r="AD33" s="202">
        <f>IF($C33,$AV33,"")</f>
      </c>
      <c r="AE33" s="202">
        <f>IF($C33,$AZ33,"")</f>
      </c>
      <c r="AF33" s="202">
        <f>IF($C33,$AV33&lt;&gt;$AR33,FALSE)</f>
      </c>
      <c r="AG33" s="202">
        <f>IF($C33,IF($AV33&lt;&gt;$AR33,$AW33,""),"")</f>
      </c>
      <c r="AH33" s="203">
        <f>IF($C33,'Backlog General'!$L33,"")</f>
      </c>
      <c r="AI33" s="202">
        <f>IF($C33,$AV33*100000+ROW(),"")</f>
      </c>
      <c r="AJ33" s="202">
        <f>IF(AND($C33,ISNUMBER($H33)),$AA33*1000000-MEDIAN(-9999,$K33,9999)*100+(300-ROW()),"")</f>
      </c>
      <c r="AK33" s="202">
        <f>IF($C33,IF($J33="Completado",0,IF($K33&lt;0,1,IF($K33&lt;=3,0.9,IF($K33&lt;=7,0.7,IF($K33&lt;=14,0.45,0.2))))),"")</f>
      </c>
      <c r="AL33" s="202">
        <f>IF($C33,IF($J33="Completado",0,MEDIAN(0,MAX(-$V33,$W33/30),1)),"")</f>
      </c>
      <c r="AM33" s="202">
        <f>IF($C33,IF($J33="Completado",0,IF($Z33,1,IF(AND($I33&lt;0.5,$K33&lt;=7),0.7,0.3))),"")</f>
      </c>
      <c r="AN33" s="203">
        <f>IF($C33,IF(OR($V33&lt;-0.2,$W33&gt;0),"ATRASO ","")&amp;IF($Z33,"BLOQUEO ","")&amp;IF($Y33&gt;8,"SOBRECARGA ","")&amp;IF($X33&gt;0,"DESVÍO-PLAN ",""),"")</f>
      </c>
      <c r="AO33" s="203">
        <f>IF($C33,IFERROR(VLOOKUP($D33,'Sprints'!$G$5:$H$12,2,FALSE),"Semanal"),"")</f>
      </c>
      <c r="AP33" s="202">
        <f>IF($C33,IF($AO33="Semanal",'Sprints'!$D$5,IF($AO33="Quincenal",'Sprints'!$D$6,'Sprints'!$D$7)),"")</f>
      </c>
      <c r="AQ33" s="202">
        <f>IF($C33,IF($AO33="Semanal",'Sprints'!$C$5,IF($AO33="Quincenal",'Sprints'!$C$6,'Sprints'!$C$7)),"")</f>
      </c>
      <c r="AR33" s="202">
        <f>IF(AND($C33,ISNUMBER($H33)),MAX(1,INT(($H33-$AQ33)/$AP33)+1),"")</f>
      </c>
      <c r="AS33" s="202">
        <f>IF($C33,IF($AO33="Semanal",'Sprints'!$E$5,IF($AO33="Quincenal",'Sprints'!$E$6,'Sprints'!$E$7)),"")</f>
      </c>
      <c r="AT33" s="203">
        <f>IF($C33,'Backlog General'!$G33,"")</f>
      </c>
      <c r="AU33" s="203">
        <f>IF($C33,'Backlog General'!$H33,"")</f>
      </c>
      <c r="AV33" s="202">
        <f>IF(AND($C33,ISNUMBER($AR33)),IF(OR($AT33="Completo",$AU33="Cancelado",$AU33="Baja prioridad"),$AR33,IF($AU33="Pasa al siguiente",MAX($AR33+1,$AS33),MAX($AR33,$AS33))),"")</f>
      </c>
      <c r="AW33" s="202">
        <f>IF(AND($C33,ISNUMBER($AR33)),$AQ33+$AR33*$AP33-1,"")</f>
      </c>
      <c r="AX33" s="202">
        <f>IF($C33,IF(OR($AT33="Completo",$AU33="Cancelado",$AU33="Baja prioridad",NOT(ISNUMBER($AW33))),0,MAX(0,TODAY()-$AW33)),"")</f>
      </c>
      <c r="AY33" s="203">
        <f>IF($C33,IF(NOT(ISNUMBER($AR33)),"Sin fecha",IF($AT33="Completo","Completo",IF($AU33="Cancelado","Cancelado",IF($AU33="Baja prioridad","Baja prioridad",IF($AX33&gt;0,"Vencida","Pendiente"))))),"")</f>
      </c>
      <c r="AZ33" s="203">
        <f>IF($C33,IF(ISNUMBER($AV33),$AO33&amp;" · S"&amp;$AV33,"(Sin fecha)"),"")</f>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row>
    <row r="34">
      <c r="A34" s="202">
        <f>ROW()</f>
      </c>
      <c r="B34" s="202">
        <f>ISTEXT('Proyecto Datos (OKR´s)'!$K34)</f>
      </c>
      <c r="C34" s="202">
        <f>AND(LEN('Proyecto Datos (OKR´s)'!$G34)&gt;0,NOT($B34),OR(ISNUMBER('Proyecto Datos (OKR´s)'!$F34),ISNUMBER('Proyecto Datos (OKR´s)'!$L34)))</f>
      </c>
      <c r="D34" s="203">
        <f>IF($C34,IFERROR(LOOKUP(2,1/((ISTEXT('Proyecto Datos (OKR´s)'!$K$7:$K34))*(LEN('Proyecto Datos (OKR´s)'!$G$7:$G34)&gt;0)),'Proyecto Datos (OKR´s)'!$G$7:$G34),""),"")</f>
      </c>
      <c r="E34" s="202">
        <f>IF($C34,'Proyecto Datos (OKR´s)'!$E34,"")</f>
      </c>
      <c r="F34" s="203">
        <f>IF($C34,'Proyecto Datos (OKR´s)'!$G34,"")</f>
      </c>
      <c r="G34" s="203">
        <f>IF($C34,IF('Proyecto Datos (OKR´s)'!$I34="","(Sin asignar)",'Proyecto Datos (OKR´s)'!$I34),"")</f>
      </c>
      <c r="H34" s="202">
        <f>IF($C34,IF(ISNUMBER('Proyecto Datos (OKR´s)'!$F34),'Proyecto Datos (OKR´s)'!$F34,""),"")</f>
      </c>
      <c r="I34" s="202">
        <f>IF($C34,'Proyecto Datos (OKR´s)'!$J34,"")</f>
      </c>
      <c r="J34" s="203">
        <f>IF($C34,IF($I34&gt;=1,"Completado",IF(NOT(ISNUMBER($H34)),"Sin fecha",IF($H34&lt;TODAY(),"Vencido",IF(($H34-TODAY())&lt;='Entregas Próximas'!$M$3,"Próximo a vencer","En curso")))),"")</f>
      </c>
      <c r="K34" s="202">
        <f>IF(AND($C34,ISNUMBER($H34)),$H34-TODAY(),"")</f>
      </c>
      <c r="L34" s="202">
        <f>IF(AND($C34,ISNUMBER($H34)),$AD34*1000000+$H34+ROW()/100000,"")</f>
      </c>
      <c r="M34" s="202">
        <f>IF($C34,IF($AD34=9999,"(Sin sprint)",$AD34),"")</f>
      </c>
      <c r="N34" s="202">
        <f>IF($C34,IF('Proyecto Datos (OKR´s)'!$E34="",9999,'Proyecto Datos (OKR´s)'!$E34),"")</f>
      </c>
      <c r="O34" s="202">
        <f>IF($C34,"T"&amp;TEXT(ROW(),"000"),"")</f>
      </c>
      <c r="P34" s="202">
        <f>ROW()-6</f>
      </c>
      <c r="Q34" s="202">
        <f>IF(COUNTIF($AD$7:$AD$200,$P34)&gt;0,$P34,"")</f>
      </c>
      <c r="R34" s="202">
        <f>IF($C34,IF(ISNUMBER('Proyecto Datos (OKR´s)'!$L34),'Proyecto Datos (OKR´s)'!$L34,$H34),"")</f>
      </c>
      <c r="S34" s="202">
        <f>IF($C34,$R34-'Proyecto Datos (OKR´s)'!$K34+1,"")</f>
      </c>
      <c r="T34" s="202">
        <f>IF($C34,MAX(0,TODAY()-'Proyecto Datos (OKR´s)'!$K34),"")</f>
      </c>
      <c r="U34" s="202">
        <f>IF($C34,MEDIAN(0,(TODAY()-'Proyecto Datos (OKR´s)'!$K34)/MAX(1,$R34-'Proyecto Datos (OKR´s)'!$K34),1),"")</f>
      </c>
      <c r="V34" s="202">
        <f>IF($C34,$I34-$U34,"")</f>
      </c>
      <c r="W34" s="202">
        <f>IF($C34,IF(OR($J34="Completado",NOT(ISNUMBER($H34))),0,MAX(0,TODAY()-$H34)),"")</f>
      </c>
      <c r="X34" s="202">
        <f>IF($C34,IF(ISNUMBER($H34),$R34-$H34,0),"")</f>
      </c>
      <c r="Y34" s="202">
        <f>IF($C34,COUNTIFS($G$7:$G$200,$G34,$J$7:$J$200,"&lt;&gt;Completado",$J$7:$J$200,"&lt;&gt;"),"")</f>
      </c>
      <c r="Z34" s="202">
        <f>IF($C34,AND($I34=0,'Proyecto Datos (OKR´s)'!$K34&lt;=TODAY(),$J34&lt;&gt;"Completado"),"")</f>
      </c>
      <c r="AA34" s="202">
        <f>IF($C34,ROUND(100*(0.35*$AK34+0.3*$AL34+0.2*$AM34+0.15*MEDIAN(0,($Y34-4)/8,1)),0),"")</f>
      </c>
      <c r="AB34" s="203">
        <f>IF($C34,IF(OR($J34="Completado",$J34="Sin fecha"),"—",IF($AA34&gt;=70,"Crítica",IF($AA34&gt;=45,"Alta",IF($AA34&gt;=25,"Media","Baja")))),"")</f>
      </c>
      <c r="AC34" s="203">
        <f>IF($C34,IF(LEN(TRIM($AN34))=0,"—",TRIM($AN34)),"")</f>
      </c>
      <c r="AD34" s="202">
        <f>IF($C34,$AV34,"")</f>
      </c>
      <c r="AE34" s="202">
        <f>IF($C34,$AZ34,"")</f>
      </c>
      <c r="AF34" s="202">
        <f>IF($C34,$AV34&lt;&gt;$AR34,FALSE)</f>
      </c>
      <c r="AG34" s="202">
        <f>IF($C34,IF($AV34&lt;&gt;$AR34,$AW34,""),"")</f>
      </c>
      <c r="AH34" s="203">
        <f>IF($C34,'Backlog General'!$L34,"")</f>
      </c>
      <c r="AI34" s="202">
        <f>IF($C34,$AV34*100000+ROW(),"")</f>
      </c>
      <c r="AJ34" s="202">
        <f>IF(AND($C34,ISNUMBER($H34)),$AA34*1000000-MEDIAN(-9999,$K34,9999)*100+(300-ROW()),"")</f>
      </c>
      <c r="AK34" s="202">
        <f>IF($C34,IF($J34="Completado",0,IF($K34&lt;0,1,IF($K34&lt;=3,0.9,IF($K34&lt;=7,0.7,IF($K34&lt;=14,0.45,0.2))))),"")</f>
      </c>
      <c r="AL34" s="202">
        <f>IF($C34,IF($J34="Completado",0,MEDIAN(0,MAX(-$V34,$W34/30),1)),"")</f>
      </c>
      <c r="AM34" s="202">
        <f>IF($C34,IF($J34="Completado",0,IF($Z34,1,IF(AND($I34&lt;0.5,$K34&lt;=7),0.7,0.3))),"")</f>
      </c>
      <c r="AN34" s="203">
        <f>IF($C34,IF(OR($V34&lt;-0.2,$W34&gt;0),"ATRASO ","")&amp;IF($Z34,"BLOQUEO ","")&amp;IF($Y34&gt;8,"SOBRECARGA ","")&amp;IF($X34&gt;0,"DESVÍO-PLAN ",""),"")</f>
      </c>
      <c r="AO34" s="203">
        <f>IF($C34,IFERROR(VLOOKUP($D34,'Sprints'!$G$5:$H$12,2,FALSE),"Semanal"),"")</f>
      </c>
      <c r="AP34" s="202">
        <f>IF($C34,IF($AO34="Semanal",'Sprints'!$D$5,IF($AO34="Quincenal",'Sprints'!$D$6,'Sprints'!$D$7)),"")</f>
      </c>
      <c r="AQ34" s="202">
        <f>IF($C34,IF($AO34="Semanal",'Sprints'!$C$5,IF($AO34="Quincenal",'Sprints'!$C$6,'Sprints'!$C$7)),"")</f>
      </c>
      <c r="AR34" s="202">
        <f>IF(AND($C34,ISNUMBER($H34)),MAX(1,INT(($H34-$AQ34)/$AP34)+1),"")</f>
      </c>
      <c r="AS34" s="202">
        <f>IF($C34,IF($AO34="Semanal",'Sprints'!$E$5,IF($AO34="Quincenal",'Sprints'!$E$6,'Sprints'!$E$7)),"")</f>
      </c>
      <c r="AT34" s="203">
        <f>IF($C34,'Backlog General'!$G34,"")</f>
      </c>
      <c r="AU34" s="203">
        <f>IF($C34,'Backlog General'!$H34,"")</f>
      </c>
      <c r="AV34" s="202">
        <f>IF(AND($C34,ISNUMBER($AR34)),IF(OR($AT34="Completo",$AU34="Cancelado",$AU34="Baja prioridad"),$AR34,IF($AU34="Pasa al siguiente",MAX($AR34+1,$AS34),MAX($AR34,$AS34))),"")</f>
      </c>
      <c r="AW34" s="202">
        <f>IF(AND($C34,ISNUMBER($AR34)),$AQ34+$AR34*$AP34-1,"")</f>
      </c>
      <c r="AX34" s="202">
        <f>IF($C34,IF(OR($AT34="Completo",$AU34="Cancelado",$AU34="Baja prioridad",NOT(ISNUMBER($AW34))),0,MAX(0,TODAY()-$AW34)),"")</f>
      </c>
      <c r="AY34" s="203">
        <f>IF($C34,IF(NOT(ISNUMBER($AR34)),"Sin fecha",IF($AT34="Completo","Completo",IF($AU34="Cancelado","Cancelado",IF($AU34="Baja prioridad","Baja prioridad",IF($AX34&gt;0,"Vencida","Pendiente"))))),"")</f>
      </c>
      <c r="AZ34" s="203">
        <f>IF($C34,IF(ISNUMBER($AV34),$AO34&amp;" · S"&amp;$AV34,"(Sin fecha)"),"")</f>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row>
    <row r="35">
      <c r="A35" s="202">
        <f>ROW()</f>
      </c>
      <c r="B35" s="202">
        <f>ISTEXT('Proyecto Datos (OKR´s)'!$K35)</f>
      </c>
      <c r="C35" s="202">
        <f>AND(LEN('Proyecto Datos (OKR´s)'!$G35)&gt;0,NOT($B35),OR(ISNUMBER('Proyecto Datos (OKR´s)'!$F35),ISNUMBER('Proyecto Datos (OKR´s)'!$L35)))</f>
      </c>
      <c r="D35" s="203">
        <f>IF($C35,IFERROR(LOOKUP(2,1/((ISTEXT('Proyecto Datos (OKR´s)'!$K$7:$K35))*(LEN('Proyecto Datos (OKR´s)'!$G$7:$G35)&gt;0)),'Proyecto Datos (OKR´s)'!$G$7:$G35),""),"")</f>
      </c>
      <c r="E35" s="202">
        <f>IF($C35,'Proyecto Datos (OKR´s)'!$E35,"")</f>
      </c>
      <c r="F35" s="203">
        <f>IF($C35,'Proyecto Datos (OKR´s)'!$G35,"")</f>
      </c>
      <c r="G35" s="203">
        <f>IF($C35,IF('Proyecto Datos (OKR´s)'!$I35="","(Sin asignar)",'Proyecto Datos (OKR´s)'!$I35),"")</f>
      </c>
      <c r="H35" s="202">
        <f>IF($C35,IF(ISNUMBER('Proyecto Datos (OKR´s)'!$F35),'Proyecto Datos (OKR´s)'!$F35,""),"")</f>
      </c>
      <c r="I35" s="202">
        <f>IF($C35,'Proyecto Datos (OKR´s)'!$J35,"")</f>
      </c>
      <c r="J35" s="203">
        <f>IF($C35,IF($I35&gt;=1,"Completado",IF(NOT(ISNUMBER($H35)),"Sin fecha",IF($H35&lt;TODAY(),"Vencido",IF(($H35-TODAY())&lt;='Entregas Próximas'!$M$3,"Próximo a vencer","En curso")))),"")</f>
      </c>
      <c r="K35" s="202">
        <f>IF(AND($C35,ISNUMBER($H35)),$H35-TODAY(),"")</f>
      </c>
      <c r="L35" s="202">
        <f>IF(AND($C35,ISNUMBER($H35)),$AD35*1000000+$H35+ROW()/100000,"")</f>
      </c>
      <c r="M35" s="202">
        <f>IF($C35,IF($AD35=9999,"(Sin sprint)",$AD35),"")</f>
      </c>
      <c r="N35" s="202">
        <f>IF($C35,IF('Proyecto Datos (OKR´s)'!$E35="",9999,'Proyecto Datos (OKR´s)'!$E35),"")</f>
      </c>
      <c r="O35" s="202">
        <f>IF($C35,"T"&amp;TEXT(ROW(),"000"),"")</f>
      </c>
      <c r="P35" s="202">
        <f>ROW()-6</f>
      </c>
      <c r="Q35" s="202">
        <f>IF(COUNTIF($AD$7:$AD$200,$P35)&gt;0,$P35,"")</f>
      </c>
      <c r="R35" s="202">
        <f>IF($C35,IF(ISNUMBER('Proyecto Datos (OKR´s)'!$L35),'Proyecto Datos (OKR´s)'!$L35,$H35),"")</f>
      </c>
      <c r="S35" s="202">
        <f>IF($C35,$R35-'Proyecto Datos (OKR´s)'!$K35+1,"")</f>
      </c>
      <c r="T35" s="202">
        <f>IF($C35,MAX(0,TODAY()-'Proyecto Datos (OKR´s)'!$K35),"")</f>
      </c>
      <c r="U35" s="202">
        <f>IF($C35,MEDIAN(0,(TODAY()-'Proyecto Datos (OKR´s)'!$K35)/MAX(1,$R35-'Proyecto Datos (OKR´s)'!$K35),1),"")</f>
      </c>
      <c r="V35" s="202">
        <f>IF($C35,$I35-$U35,"")</f>
      </c>
      <c r="W35" s="202">
        <f>IF($C35,IF(OR($J35="Completado",NOT(ISNUMBER($H35))),0,MAX(0,TODAY()-$H35)),"")</f>
      </c>
      <c r="X35" s="202">
        <f>IF($C35,IF(ISNUMBER($H35),$R35-$H35,0),"")</f>
      </c>
      <c r="Y35" s="202">
        <f>IF($C35,COUNTIFS($G$7:$G$200,$G35,$J$7:$J$200,"&lt;&gt;Completado",$J$7:$J$200,"&lt;&gt;"),"")</f>
      </c>
      <c r="Z35" s="202">
        <f>IF($C35,AND($I35=0,'Proyecto Datos (OKR´s)'!$K35&lt;=TODAY(),$J35&lt;&gt;"Completado"),"")</f>
      </c>
      <c r="AA35" s="202">
        <f>IF($C35,ROUND(100*(0.35*$AK35+0.3*$AL35+0.2*$AM35+0.15*MEDIAN(0,($Y35-4)/8,1)),0),"")</f>
      </c>
      <c r="AB35" s="203">
        <f>IF($C35,IF(OR($J35="Completado",$J35="Sin fecha"),"—",IF($AA35&gt;=70,"Crítica",IF($AA35&gt;=45,"Alta",IF($AA35&gt;=25,"Media","Baja")))),"")</f>
      </c>
      <c r="AC35" s="203">
        <f>IF($C35,IF(LEN(TRIM($AN35))=0,"—",TRIM($AN35)),"")</f>
      </c>
      <c r="AD35" s="202">
        <f>IF($C35,$AV35,"")</f>
      </c>
      <c r="AE35" s="202">
        <f>IF($C35,$AZ35,"")</f>
      </c>
      <c r="AF35" s="202">
        <f>IF($C35,$AV35&lt;&gt;$AR35,FALSE)</f>
      </c>
      <c r="AG35" s="202">
        <f>IF($C35,IF($AV35&lt;&gt;$AR35,$AW35,""),"")</f>
      </c>
      <c r="AH35" s="203">
        <f>IF($C35,'Backlog General'!$L35,"")</f>
      </c>
      <c r="AI35" s="202">
        <f>IF($C35,$AV35*100000+ROW(),"")</f>
      </c>
      <c r="AJ35" s="202">
        <f>IF(AND($C35,ISNUMBER($H35)),$AA35*1000000-MEDIAN(-9999,$K35,9999)*100+(300-ROW()),"")</f>
      </c>
      <c r="AK35" s="202">
        <f>IF($C35,IF($J35="Completado",0,IF($K35&lt;0,1,IF($K35&lt;=3,0.9,IF($K35&lt;=7,0.7,IF($K35&lt;=14,0.45,0.2))))),"")</f>
      </c>
      <c r="AL35" s="202">
        <f>IF($C35,IF($J35="Completado",0,MEDIAN(0,MAX(-$V35,$W35/30),1)),"")</f>
      </c>
      <c r="AM35" s="202">
        <f>IF($C35,IF($J35="Completado",0,IF($Z35,1,IF(AND($I35&lt;0.5,$K35&lt;=7),0.7,0.3))),"")</f>
      </c>
      <c r="AN35" s="203">
        <f>IF($C35,IF(OR($V35&lt;-0.2,$W35&gt;0),"ATRASO ","")&amp;IF($Z35,"BLOQUEO ","")&amp;IF($Y35&gt;8,"SOBRECARGA ","")&amp;IF($X35&gt;0,"DESVÍO-PLAN ",""),"")</f>
      </c>
      <c r="AO35" s="203">
        <f>IF($C35,IFERROR(VLOOKUP($D35,'Sprints'!$G$5:$H$12,2,FALSE),"Semanal"),"")</f>
      </c>
      <c r="AP35" s="202">
        <f>IF($C35,IF($AO35="Semanal",'Sprints'!$D$5,IF($AO35="Quincenal",'Sprints'!$D$6,'Sprints'!$D$7)),"")</f>
      </c>
      <c r="AQ35" s="202">
        <f>IF($C35,IF($AO35="Semanal",'Sprints'!$C$5,IF($AO35="Quincenal",'Sprints'!$C$6,'Sprints'!$C$7)),"")</f>
      </c>
      <c r="AR35" s="202">
        <f>IF(AND($C35,ISNUMBER($H35)),MAX(1,INT(($H35-$AQ35)/$AP35)+1),"")</f>
      </c>
      <c r="AS35" s="202">
        <f>IF($C35,IF($AO35="Semanal",'Sprints'!$E$5,IF($AO35="Quincenal",'Sprints'!$E$6,'Sprints'!$E$7)),"")</f>
      </c>
      <c r="AT35" s="203">
        <f>IF($C35,'Backlog General'!$G35,"")</f>
      </c>
      <c r="AU35" s="203">
        <f>IF($C35,'Backlog General'!$H35,"")</f>
      </c>
      <c r="AV35" s="202">
        <f>IF(AND($C35,ISNUMBER($AR35)),IF(OR($AT35="Completo",$AU35="Cancelado",$AU35="Baja prioridad"),$AR35,IF($AU35="Pasa al siguiente",MAX($AR35+1,$AS35),MAX($AR35,$AS35))),"")</f>
      </c>
      <c r="AW35" s="202">
        <f>IF(AND($C35,ISNUMBER($AR35)),$AQ35+$AR35*$AP35-1,"")</f>
      </c>
      <c r="AX35" s="202">
        <f>IF($C35,IF(OR($AT35="Completo",$AU35="Cancelado",$AU35="Baja prioridad",NOT(ISNUMBER($AW35))),0,MAX(0,TODAY()-$AW35)),"")</f>
      </c>
      <c r="AY35" s="203">
        <f>IF($C35,IF(NOT(ISNUMBER($AR35)),"Sin fecha",IF($AT35="Completo","Completo",IF($AU35="Cancelado","Cancelado",IF($AU35="Baja prioridad","Baja prioridad",IF($AX35&gt;0,"Vencida","Pendiente"))))),"")</f>
      </c>
      <c r="AZ35" s="203">
        <f>IF($C35,IF(ISNUMBER($AV35),$AO35&amp;" · S"&amp;$AV35,"(Sin fecha)"),"")</f>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row>
    <row r="36">
      <c r="A36" s="202">
        <f>ROW()</f>
      </c>
      <c r="B36" s="202">
        <f>ISTEXT('Proyecto Datos (OKR´s)'!$K36)</f>
      </c>
      <c r="C36" s="202">
        <f>AND(LEN('Proyecto Datos (OKR´s)'!$G36)&gt;0,NOT($B36),OR(ISNUMBER('Proyecto Datos (OKR´s)'!$F36),ISNUMBER('Proyecto Datos (OKR´s)'!$L36)))</f>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IF($C36,'Proyecto Datos (OKR´s)'!$J36,"")</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f>IF($C36,$AV36&lt;&gt;$AR36,FALSE)</f>
      </c>
      <c r="AG36" s="202">
        <f>IF($C36,IF($AV36&lt;&gt;$AR36,$AW36,""),"")</f>
      </c>
      <c r="AH36" s="203">
        <f>IF($C36,'Backlog General'!$L36,"")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IF($C36,IFERROR(VLOOKUP($D36,'Sprints'!$G$5:$H$12,2,FALSE),"Semanal"),"")</f>
      </c>
      <c r="AP36" s="202">
        <f>IF($C36,IF($AO36="Semanal",'Sprints'!$D$5,IF($AO36="Quincenal",'Sprints'!$D$6,'Sprints'!$D$7)),"")</f>
      </c>
      <c r="AQ36" s="202">
        <f>IF($C36,IF($AO36="Semanal",'Sprints'!$C$5,IF($AO36="Quincenal",'Sprints'!$C$6,'Sprints'!$C$7)),"")</f>
      </c>
      <c r="AR36" s="202">
        <f>IF(AND($C36,ISNUMBER($H36)),MAX(1,INT(($H36-$AQ36)/$AP36)+1),"")</f>
      </c>
      <c r="AS36" s="202">
        <f>IF($C36,IF($AO36="Semanal",'Sprints'!$E$5,IF($AO36="Quincenal",'Sprints'!$E$6,'Sprints'!$E$7)),"")</f>
      </c>
      <c r="AT36" s="203">
        <f>IF($C36,'Backlog General'!$G36,"")</f>
      </c>
      <c r="AU36" s="203">
        <f>IF($C36,'Backlog General'!$H36,"")</f>
      </c>
      <c r="AV36" s="202">
        <f>IF(AND($C36,ISNUMBER($AR36)),IF(OR($AT36="Completo",$AU36="Cancelado",$AU36="Baja prioridad"),$AR36,IF($AU36="Pasa al siguiente",MAX($AR36+1,$AS36),MAX($AR36,$AS36))),"")</f>
      </c>
      <c r="AW36" s="202">
        <f>IF(AND($C36,ISNUMBER($AR36)),$AQ36+$AR36*$AP36-1,"")</f>
      </c>
      <c r="AX36" s="202">
        <f>IF($C36,IF(OR($AT36="Completo",$AU36="Cancelado",$AU36="Baja prioridad",NOT(ISNUMBER($AW36))),0,MAX(0,TODAY()-$AW36)),"")</f>
      </c>
      <c r="AY36" s="203">
        <f>IF($C36,IF(NOT(ISNUMBER($AR36)),"Sin fecha",IF($AT36="Completo","Completo",IF($AU36="Cancelado","Cancelado",IF($AU36="Baja prioridad","Baja prioridad",IF($AX36&gt;0,"Vencida","Pendiente"))))),"")</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row>
    <row r="37">
      <c r="A37" s="202">
        <f>ROW()</f>
      </c>
      <c r="B37" s="202">
        <f>ISTEXT('Proyecto Datos (OKR´s)'!$K37)</f>
      </c>
      <c r="C37" s="202">
        <f>AND(LEN('Proyecto Datos (OKR´s)'!$G37)&gt;0,NOT($B37),OR(ISNUMBER('Proyecto Datos (OKR´s)'!$F37),ISNUMBER('Proyecto Datos (OKR´s)'!$L37)))</f>
      </c>
      <c r="D37" s="203">
        <f>IF($C37,IFERROR(LOOKUP(2,1/((ISTEXT('Proyecto Datos (OKR´s)'!$K$7:$K37))*(LEN('Proyecto Datos (OKR´s)'!$G$7:$G37)&gt;0)),'Proyecto Datos (OKR´s)'!$G$7:$G37),""),"")</f>
      </c>
      <c r="E37" s="202">
        <f>IF($C37,'Proyecto Datos (OKR´s)'!$E37,"")</f>
      </c>
      <c r="F37" s="203">
        <f>IF($C37,'Proyecto Datos (OKR´s)'!$G37,"")</f>
      </c>
      <c r="G37" s="203">
        <f>IF($C37,IF('Proyecto Datos (OKR´s)'!$I37="","(Sin asignar)",'Proyecto Datos (OKR´s)'!$I37),"")</f>
      </c>
      <c r="H37" s="202">
        <f>IF($C37,IF(ISNUMBER('Proyecto Datos (OKR´s)'!$F37),'Proyecto Datos (OKR´s)'!$F37,""),"")</f>
      </c>
      <c r="I37" s="202">
        <f>IF($C37,'Proyecto Datos (OKR´s)'!$J37,"")</f>
      </c>
      <c r="J37" s="203">
        <f>IF($C37,IF($I37&gt;=1,"Completado",IF(NOT(ISNUMBER($H37)),"Sin fecha",IF($H37&lt;TODAY(),"Vencido",IF(($H37-TODAY())&lt;='Entregas Próximas'!$M$3,"Próximo a vencer","En curso")))),"")</f>
      </c>
      <c r="K37" s="202">
        <f>IF(AND($C37,ISNUMBER($H37)),$H37-TODAY(),"")</f>
      </c>
      <c r="L37" s="202">
        <f>IF(AND($C37,ISNUMBER($H37)),$AD37*1000000+$H37+ROW()/100000,"")</f>
      </c>
      <c r="M37" s="202">
        <f>IF($C37,IF($AD37=9999,"(Sin sprint)",$AD37),"")</f>
      </c>
      <c r="N37" s="202">
        <f>IF($C37,IF('Proyecto Datos (OKR´s)'!$E37="",9999,'Proyecto Datos (OKR´s)'!$E37),"")</f>
      </c>
      <c r="O37" s="202">
        <f>IF($C37,"T"&amp;TEXT(ROW(),"000"),"")</f>
      </c>
      <c r="P37" s="202">
        <v>9999</v>
      </c>
      <c r="Q37" s="202">
        <f>IF(COUNTIF($AD$7:$AD$200,9999)&gt;0,9999,"")</f>
      </c>
      <c r="R37" s="202">
        <f>IF($C37,IF(ISNUMBER('Proyecto Datos (OKR´s)'!$L37),'Proyecto Datos (OKR´s)'!$L37,$H37),"")</f>
      </c>
      <c r="S37" s="202">
        <f>IF($C37,$R37-'Proyecto Datos (OKR´s)'!$K37+1,"")</f>
      </c>
      <c r="T37" s="202">
        <f>IF($C37,MAX(0,TODAY()-'Proyecto Datos (OKR´s)'!$K37),"")</f>
      </c>
      <c r="U37" s="202">
        <f>IF($C37,MEDIAN(0,(TODAY()-'Proyecto Datos (OKR´s)'!$K37)/MAX(1,$R37-'Proyecto Datos (OKR´s)'!$K37),1),"")</f>
      </c>
      <c r="V37" s="202">
        <f>IF($C37,$I37-$U37,"")</f>
      </c>
      <c r="W37" s="202">
        <f>IF($C37,IF(OR($J37="Completado",NOT(ISNUMBER($H37))),0,MAX(0,TODAY()-$H37)),"")</f>
      </c>
      <c r="X37" s="202">
        <f>IF($C37,IF(ISNUMBER($H37),$R37-$H37,0),"")</f>
      </c>
      <c r="Y37" s="202">
        <f>IF($C37,COUNTIFS($G$7:$G$200,$G37,$J$7:$J$200,"&lt;&gt;Completado",$J$7:$J$200,"&lt;&gt;"),"")</f>
      </c>
      <c r="Z37" s="202">
        <f>IF($C37,AND($I37=0,'Proyecto Datos (OKR´s)'!$K37&lt;=TODAY(),$J37&lt;&gt;"Completado"),"")</f>
      </c>
      <c r="AA37" s="202">
        <f>IF($C37,ROUND(100*(0.35*$AK37+0.3*$AL37+0.2*$AM37+0.15*MEDIAN(0,($Y37-4)/8,1)),0),"")</f>
      </c>
      <c r="AB37" s="203">
        <f>IF($C37,IF(OR($J37="Completado",$J37="Sin fecha"),"—",IF($AA37&gt;=70,"Crítica",IF($AA37&gt;=45,"Alta",IF($AA37&gt;=25,"Media","Baja")))),"")</f>
      </c>
      <c r="AC37" s="203">
        <f>IF($C37,IF(LEN(TRIM($AN37))=0,"—",TRIM($AN37)),"")</f>
      </c>
      <c r="AD37" s="202">
        <f>IF($C37,$AV37,"")</f>
      </c>
      <c r="AE37" s="202">
        <f>IF($C37,$AZ37,"")</f>
      </c>
      <c r="AF37" s="202">
        <f>IF($C37,$AV37&lt;&gt;$AR37,FALSE)</f>
      </c>
      <c r="AG37" s="202">
        <f>IF($C37,IF($AV37&lt;&gt;$AR37,$AW37,""),"")</f>
      </c>
      <c r="AH37" s="203">
        <f>IF($C37,'Backlog General'!$L37,"")</f>
      </c>
      <c r="AI37" s="202">
        <f>IF($C37,$AV37*100000+ROW(),"")</f>
      </c>
      <c r="AJ37" s="202">
        <f>IF(AND($C37,ISNUMBER($H37)),$AA37*1000000-MEDIAN(-9999,$K37,9999)*100+(300-ROW()),"")</f>
      </c>
      <c r="AK37" s="202">
        <f>IF($C37,IF($J37="Completado",0,IF($K37&lt;0,1,IF($K37&lt;=3,0.9,IF($K37&lt;=7,0.7,IF($K37&lt;=14,0.45,0.2))))),"")</f>
      </c>
      <c r="AL37" s="202">
        <f>IF($C37,IF($J37="Completado",0,MEDIAN(0,MAX(-$V37,$W37/30),1)),"")</f>
      </c>
      <c r="AM37" s="202">
        <f>IF($C37,IF($J37="Completado",0,IF($Z37,1,IF(AND($I37&lt;0.5,$K37&lt;=7),0.7,0.3))),"")</f>
      </c>
      <c r="AN37" s="203">
        <f>IF($C37,IF(OR($V37&lt;-0.2,$W37&gt;0),"ATRASO ","")&amp;IF($Z37,"BLOQUEO ","")&amp;IF($Y37&gt;8,"SOBRECARGA ","")&amp;IF($X37&gt;0,"DESVÍO-PLAN ",""),"")</f>
      </c>
      <c r="AO37" s="203">
        <f>IF($C37,IFERROR(VLOOKUP($D37,'Sprints'!$G$5:$H$12,2,FALSE),"Semanal"),"")</f>
      </c>
      <c r="AP37" s="202">
        <f>IF($C37,IF($AO37="Semanal",'Sprints'!$D$5,IF($AO37="Quincenal",'Sprints'!$D$6,'Sprints'!$D$7)),"")</f>
      </c>
      <c r="AQ37" s="202">
        <f>IF($C37,IF($AO37="Semanal",'Sprints'!$C$5,IF($AO37="Quincenal",'Sprints'!$C$6,'Sprints'!$C$7)),"")</f>
      </c>
      <c r="AR37" s="202">
        <f>IF(AND($C37,ISNUMBER($H37)),MAX(1,INT(($H37-$AQ37)/$AP37)+1),"")</f>
      </c>
      <c r="AS37" s="202">
        <f>IF($C37,IF($AO37="Semanal",'Sprints'!$E$5,IF($AO37="Quincenal",'Sprints'!$E$6,'Sprints'!$E$7)),"")</f>
      </c>
      <c r="AT37" s="203">
        <f>IF($C37,'Backlog General'!$G37,"")</f>
      </c>
      <c r="AU37" s="203">
        <f>IF($C37,'Backlog General'!$H37,"")</f>
      </c>
      <c r="AV37" s="202">
        <f>IF(AND($C37,ISNUMBER($AR37)),IF(OR($AT37="Completo",$AU37="Cancelado",$AU37="Baja prioridad"),$AR37,IF($AU37="Pasa al siguiente",MAX($AR37+1,$AS37),MAX($AR37,$AS37))),"")</f>
      </c>
      <c r="AW37" s="202">
        <f>IF(AND($C37,ISNUMBER($AR37)),$AQ37+$AR37*$AP37-1,"")</f>
      </c>
      <c r="AX37" s="202">
        <f>IF($C37,IF(OR($AT37="Completo",$AU37="Cancelado",$AU37="Baja prioridad",NOT(ISNUMBER($AW37))),0,MAX(0,TODAY()-$AW37)),"")</f>
      </c>
      <c r="AY37" s="203">
        <f>IF($C37,IF(NOT(ISNUMBER($AR37)),"Sin fecha",IF($AT37="Completo","Completo",IF($AU37="Cancelado","Cancelado",IF($AU37="Baja prioridad","Baja prioridad",IF($AX37&gt;0,"Vencida","Pendiente"))))),"")</f>
      </c>
      <c r="AZ37" s="203">
        <f>IF($C37,IF(ISNUMBER($AV37),$AO37&amp;" · S"&amp;$AV37,"(Sin fecha)"),"")</f>
      </c>
      <c r="BA37" s="202">
        <f>IF($C37,IF(AND(ISNUMBER('Backlog General'!$M37),'Backlog General'!$M37=$AS37),"Nuevo S"&amp;'Backlog General'!$M37,""),"")</f>
      </c>
      <c r="BB37" s="202">
        <f>IF(AND($C37,$AO37="Semanal",ISNUMBER($AV37)),$AV37*100000+ROW(),"")</f>
      </c>
      <c r="BC37" s="202">
        <f>IF(AND($C37,$AO37="Quincenal",ISNUMBER($AV37)),$AV37*100000+ROW(),"")</f>
      </c>
      <c r="BD37" s="202">
        <f>IF(AND($C37,$AO37="Mensual",ISNUMBER($AV37)),$AV37*100000+ROW(),"")</f>
      </c>
    </row>
    <row r="38">
      <c r="A38" s="202">
        <f>ROW()</f>
      </c>
      <c r="B38" s="202">
        <f>ISTEXT('Proyecto Datos (OKR´s)'!$K38)</f>
      </c>
      <c r="C38" s="202">
        <f>AND(LEN('Proyecto Datos (OKR´s)'!$G38)&gt;0,NOT($B38),OR(ISNUMBER('Proyecto Datos (OKR´s)'!$F38),ISNUMBER('Proyecto Datos (OKR´s)'!$L38)))</f>
      </c>
      <c r="D38" s="203">
        <f>IF($C38,IFERROR(LOOKUP(2,1/((ISTEXT('Proyecto Datos (OKR´s)'!$K$7:$K38))*(LEN('Proyecto Datos (OKR´s)'!$G$7:$G38)&gt;0)),'Proyecto Datos (OKR´s)'!$G$7:$G38),""),"")</f>
      </c>
      <c r="E38" s="202">
        <f>IF($C38,'Proyecto Datos (OKR´s)'!$E38,"")</f>
      </c>
      <c r="F38" s="203">
        <f>IF($C38,'Proyecto Datos (OKR´s)'!$G38,"")</f>
      </c>
      <c r="G38" s="203">
        <f>IF($C38,IF('Proyecto Datos (OKR´s)'!$I38="","(Sin asignar)",'Proyecto Datos (OKR´s)'!$I38),"")</f>
      </c>
      <c r="H38" s="202">
        <f>IF($C38,IF(ISNUMBER('Proyecto Datos (OKR´s)'!$F38),'Proyecto Datos (OKR´s)'!$F38,""),"")</f>
      </c>
      <c r="I38" s="202">
        <f>IF($C38,'Proyecto Datos (OKR´s)'!$J38,"")</f>
      </c>
      <c r="J38" s="203">
        <f>IF($C38,IF($I38&gt;=1,"Completado",IF(NOT(ISNUMBER($H38)),"Sin fecha",IF($H38&lt;TODAY(),"Vencido",IF(($H38-TODAY())&lt;='Entregas Próximas'!$M$3,"Próximo a vencer","En curso")))),"")</f>
      </c>
      <c r="K38" s="202">
        <f>IF(AND($C38,ISNUMBER($H38)),$H38-TODAY(),"")</f>
      </c>
      <c r="L38" s="202">
        <f>IF(AND($C38,ISNUMBER($H38)),$AD38*1000000+$H38+ROW()/100000,"")</f>
      </c>
      <c r="M38" s="202">
        <f>IF($C38,IF($AD38=9999,"(Sin sprint)",$AD38),"")</f>
      </c>
      <c r="N38" s="202">
        <f>IF($C38,IF('Proyecto Datos (OKR´s)'!$E38="",9999,'Proyecto Datos (OKR´s)'!$E38),"")</f>
      </c>
      <c r="O38" s="202">
        <f>IF($C38,"T"&amp;TEXT(ROW(),"000"),"")</f>
      </c>
      <c r="R38" s="202">
        <f>IF($C38,IF(ISNUMBER('Proyecto Datos (OKR´s)'!$L38),'Proyecto Datos (OKR´s)'!$L38,$H38),"")</f>
      </c>
      <c r="S38" s="202">
        <f>IF($C38,$R38-'Proyecto Datos (OKR´s)'!$K38+1,"")</f>
      </c>
      <c r="T38" s="202">
        <f>IF($C38,MAX(0,TODAY()-'Proyecto Datos (OKR´s)'!$K38),"")</f>
      </c>
      <c r="U38" s="202">
        <f>IF($C38,MEDIAN(0,(TODAY()-'Proyecto Datos (OKR´s)'!$K38)/MAX(1,$R38-'Proyecto Datos (OKR´s)'!$K38),1),"")</f>
      </c>
      <c r="V38" s="202">
        <f>IF($C38,$I38-$U38,"")</f>
      </c>
      <c r="W38" s="202">
        <f>IF($C38,IF(OR($J38="Completado",NOT(ISNUMBER($H38))),0,MAX(0,TODAY()-$H38)),"")</f>
      </c>
      <c r="X38" s="202">
        <f>IF($C38,IF(ISNUMBER($H38),$R38-$H38,0),"")</f>
      </c>
      <c r="Y38" s="202">
        <f>IF($C38,COUNTIFS($G$7:$G$200,$G38,$J$7:$J$200,"&lt;&gt;Completado",$J$7:$J$200,"&lt;&gt;"),"")</f>
      </c>
      <c r="Z38" s="202">
        <f>IF($C38,AND($I38=0,'Proyecto Datos (OKR´s)'!$K38&lt;=TODAY(),$J38&lt;&gt;"Completado"),"")</f>
      </c>
      <c r="AA38" s="202">
        <f>IF($C38,ROUND(100*(0.35*$AK38+0.3*$AL38+0.2*$AM38+0.15*MEDIAN(0,($Y38-4)/8,1)),0),"")</f>
      </c>
      <c r="AB38" s="203">
        <f>IF($C38,IF(OR($J38="Completado",$J38="Sin fecha"),"—",IF($AA38&gt;=70,"Crítica",IF($AA38&gt;=45,"Alta",IF($AA38&gt;=25,"Media","Baja")))),"")</f>
      </c>
      <c r="AC38" s="203">
        <f>IF($C38,IF(LEN(TRIM($AN38))=0,"—",TRIM($AN38)),"")</f>
      </c>
      <c r="AD38" s="202">
        <f>IF($C38,$AV38,"")</f>
      </c>
      <c r="AE38" s="202">
        <f>IF($C38,$AZ38,"")</f>
      </c>
      <c r="AF38" s="202">
        <f>IF($C38,$AV38&lt;&gt;$AR38,FALSE)</f>
      </c>
      <c r="AG38" s="202">
        <f>IF($C38,IF($AV38&lt;&gt;$AR38,$AW38,""),"")</f>
      </c>
      <c r="AH38" s="203">
        <f>IF($C38,'Backlog General'!$L38,"")</f>
      </c>
      <c r="AI38" s="202">
        <f>IF($C38,$AV38*100000+ROW(),"")</f>
      </c>
      <c r="AJ38" s="202">
        <f>IF(AND($C38,ISNUMBER($H38)),$AA38*1000000-MEDIAN(-9999,$K38,9999)*100+(300-ROW()),"")</f>
      </c>
      <c r="AK38" s="202">
        <f>IF($C38,IF($J38="Completado",0,IF($K38&lt;0,1,IF($K38&lt;=3,0.9,IF($K38&lt;=7,0.7,IF($K38&lt;=14,0.45,0.2))))),"")</f>
      </c>
      <c r="AL38" s="202">
        <f>IF($C38,IF($J38="Completado",0,MEDIAN(0,MAX(-$V38,$W38/30),1)),"")</f>
      </c>
      <c r="AM38" s="202">
        <f>IF($C38,IF($J38="Completado",0,IF($Z38,1,IF(AND($I38&lt;0.5,$K38&lt;=7),0.7,0.3))),"")</f>
      </c>
      <c r="AN38" s="203">
        <f>IF($C38,IF(OR($V38&lt;-0.2,$W38&gt;0),"ATRASO ","")&amp;IF($Z38,"BLOQUEO ","")&amp;IF($Y38&gt;8,"SOBRECARGA ","")&amp;IF($X38&gt;0,"DESVÍO-PLAN ",""),"")</f>
      </c>
      <c r="AO38" s="203">
        <f>IF($C38,IFERROR(VLOOKUP($D38,'Sprints'!$G$5:$H$12,2,FALSE),"Semanal"),"")</f>
      </c>
      <c r="AP38" s="202">
        <f>IF($C38,IF($AO38="Semanal",'Sprints'!$D$5,IF($AO38="Quincenal",'Sprints'!$D$6,'Sprints'!$D$7)),"")</f>
      </c>
      <c r="AQ38" s="202">
        <f>IF($C38,IF($AO38="Semanal",'Sprints'!$C$5,IF($AO38="Quincenal",'Sprints'!$C$6,'Sprints'!$C$7)),"")</f>
      </c>
      <c r="AR38" s="202">
        <f>IF(AND($C38,ISNUMBER($H38)),MAX(1,INT(($H38-$AQ38)/$AP38)+1),"")</f>
      </c>
      <c r="AS38" s="202">
        <f>IF($C38,IF($AO38="Semanal",'Sprints'!$E$5,IF($AO38="Quincenal",'Sprints'!$E$6,'Sprints'!$E$7)),"")</f>
      </c>
      <c r="AT38" s="203">
        <f>IF($C38,'Backlog General'!$G38,"")</f>
      </c>
      <c r="AU38" s="203">
        <f>IF($C38,'Backlog General'!$H38,"")</f>
      </c>
      <c r="AV38" s="202">
        <f>IF(AND($C38,ISNUMBER($AR38)),IF(OR($AT38="Completo",$AU38="Cancelado",$AU38="Baja prioridad"),$AR38,IF($AU38="Pasa al siguiente",MAX($AR38+1,$AS38),MAX($AR38,$AS38))),"")</f>
      </c>
      <c r="AW38" s="202">
        <f>IF(AND($C38,ISNUMBER($AR38)),$AQ38+$AR38*$AP38-1,"")</f>
      </c>
      <c r="AX38" s="202">
        <f>IF($C38,IF(OR($AT38="Completo",$AU38="Cancelado",$AU38="Baja prioridad",NOT(ISNUMBER($AW38))),0,MAX(0,TODAY()-$AW38)),"")</f>
      </c>
      <c r="AY38" s="203">
        <f>IF($C38,IF(NOT(ISNUMBER($AR38)),"Sin fecha",IF($AT38="Completo","Completo",IF($AU38="Cancelado","Cancelado",IF($AU38="Baja prioridad","Baja prioridad",IF($AX38&gt;0,"Vencida","Pendiente"))))),"")</f>
      </c>
      <c r="AZ38" s="203">
        <f>IF($C38,IF(ISNUMBER($AV38),$AO38&amp;" · S"&amp;$AV38,"(Sin fecha)"),"")</f>
      </c>
      <c r="BA38" s="202">
        <f>IF($C38,IF(AND(ISNUMBER('Backlog General'!$M38),'Backlog General'!$M38=$AS38),"Nuevo S"&amp;'Backlog General'!$M38,""),"")</f>
      </c>
      <c r="BB38" s="202">
        <f>IF(AND($C38,$AO38="Semanal",ISNUMBER($AV38)),$AV38*100000+ROW(),"")</f>
      </c>
      <c r="BC38" s="202">
        <f>IF(AND($C38,$AO38="Quincenal",ISNUMBER($AV38)),$AV38*100000+ROW(),"")</f>
      </c>
      <c r="BD38" s="202">
        <f>IF(AND($C38,$AO38="Mensual",ISNUMBER($AV38)),$AV38*100000+ROW(),"")</f>
      </c>
    </row>
    <row r="39">
      <c r="A39" s="202">
        <f>ROW()</f>
      </c>
      <c r="B39" s="202">
        <f>ISTEXT('Proyecto Datos (OKR´s)'!$K39)</f>
      </c>
      <c r="C39" s="202">
        <f>AND(LEN('Proyecto Datos (OKR´s)'!$G39)&gt;0,NOT($B39),OR(ISNUMBER('Proyecto Datos (OKR´s)'!$F39),ISNUMBER('Proyecto Datos (OKR´s)'!$L39)))</f>
      </c>
      <c r="D39" s="203">
        <f>IF($C39,IFERROR(LOOKUP(2,1/((ISTEXT('Proyecto Datos (OKR´s)'!$K$7:$K39))*(LEN('Proyecto Datos (OKR´s)'!$G$7:$G39)&gt;0)),'Proyecto Datos (OKR´s)'!$G$7:$G39),""),"")</f>
      </c>
      <c r="E39" s="202">
        <f>IF($C39,'Proyecto Datos (OKR´s)'!$E39,"")</f>
      </c>
      <c r="F39" s="203">
        <f>IF($C39,'Proyecto Datos (OKR´s)'!$G39,"")</f>
      </c>
      <c r="G39" s="203">
        <f>IF($C39,IF('Proyecto Datos (OKR´s)'!$I39="","(Sin asignar)",'Proyecto Datos (OKR´s)'!$I39),"")</f>
      </c>
      <c r="H39" s="202">
        <f>IF($C39,IF(ISNUMBER('Proyecto Datos (OKR´s)'!$F39),'Proyecto Datos (OKR´s)'!$F39,""),"")</f>
      </c>
      <c r="I39" s="202">
        <f>IF($C39,'Proyecto Datos (OKR´s)'!$J39,"")</f>
      </c>
      <c r="J39" s="203">
        <f>IF($C39,IF($I39&gt;=1,"Completado",IF(NOT(ISNUMBER($H39)),"Sin fecha",IF($H39&lt;TODAY(),"Vencido",IF(($H39-TODAY())&lt;='Entregas Próximas'!$M$3,"Próximo a vencer","En curso")))),"")</f>
      </c>
      <c r="K39" s="202">
        <f>IF(AND($C39,ISNUMBER($H39)),$H39-TODAY(),"")</f>
      </c>
      <c r="L39" s="202">
        <f>IF(AND($C39,ISNUMBER($H39)),$AD39*1000000+$H39+ROW()/100000,"")</f>
      </c>
      <c r="M39" s="202">
        <f>IF($C39,IF($AD39=9999,"(Sin sprint)",$AD39),"")</f>
      </c>
      <c r="N39" s="202">
        <f>IF($C39,IF('Proyecto Datos (OKR´s)'!$E39="",9999,'Proyecto Datos (OKR´s)'!$E39),"")</f>
      </c>
      <c r="O39" s="202">
        <f>IF($C39,"T"&amp;TEXT(ROW(),"000"),"")</f>
      </c>
      <c r="R39" s="202">
        <f>IF($C39,IF(ISNUMBER('Proyecto Datos (OKR´s)'!$L39),'Proyecto Datos (OKR´s)'!$L39,$H39),"")</f>
      </c>
      <c r="S39" s="202">
        <f>IF($C39,$R39-'Proyecto Datos (OKR´s)'!$K39+1,"")</f>
      </c>
      <c r="T39" s="202">
        <f>IF($C39,MAX(0,TODAY()-'Proyecto Datos (OKR´s)'!$K39),"")</f>
      </c>
      <c r="U39" s="202">
        <f>IF($C39,MEDIAN(0,(TODAY()-'Proyecto Datos (OKR´s)'!$K39)/MAX(1,$R39-'Proyecto Datos (OKR´s)'!$K39),1),"")</f>
      </c>
      <c r="V39" s="202">
        <f>IF($C39,$I39-$U39,"")</f>
      </c>
      <c r="W39" s="202">
        <f>IF($C39,IF(OR($J39="Completado",NOT(ISNUMBER($H39))),0,MAX(0,TODAY()-$H39)),"")</f>
      </c>
      <c r="X39" s="202">
        <f>IF($C39,IF(ISNUMBER($H39),$R39-$H39,0),"")</f>
      </c>
      <c r="Y39" s="202">
        <f>IF($C39,COUNTIFS($G$7:$G$200,$G39,$J$7:$J$200,"&lt;&gt;Completado",$J$7:$J$200,"&lt;&gt;"),"")</f>
      </c>
      <c r="Z39" s="202">
        <f>IF($C39,AND($I39=0,'Proyecto Datos (OKR´s)'!$K39&lt;=TODAY(),$J39&lt;&gt;"Completado"),"")</f>
      </c>
      <c r="AA39" s="202">
        <f>IF($C39,ROUND(100*(0.35*$AK39+0.3*$AL39+0.2*$AM39+0.15*MEDIAN(0,($Y39-4)/8,1)),0),"")</f>
      </c>
      <c r="AB39" s="203">
        <f>IF($C39,IF(OR($J39="Completado",$J39="Sin fecha"),"—",IF($AA39&gt;=70,"Crítica",IF($AA39&gt;=45,"Alta",IF($AA39&gt;=25,"Media","Baja")))),"")</f>
      </c>
      <c r="AC39" s="203">
        <f>IF($C39,IF(LEN(TRIM($AN39))=0,"—",TRIM($AN39)),"")</f>
      </c>
      <c r="AD39" s="202">
        <f>IF($C39,$AV39,"")</f>
      </c>
      <c r="AE39" s="202">
        <f>IF($C39,$AZ39,"")</f>
      </c>
      <c r="AF39" s="202">
        <f>IF($C39,$AV39&lt;&gt;$AR39,FALSE)</f>
      </c>
      <c r="AG39" s="202">
        <f>IF($C39,IF($AV39&lt;&gt;$AR39,$AW39,""),"")</f>
      </c>
      <c r="AH39" s="203">
        <f>IF($C39,'Backlog General'!$L39,"")</f>
      </c>
      <c r="AI39" s="202">
        <f>IF($C39,$AV39*100000+ROW(),"")</f>
      </c>
      <c r="AJ39" s="202">
        <f>IF(AND($C39,ISNUMBER($H39)),$AA39*1000000-MEDIAN(-9999,$K39,9999)*100+(300-ROW()),"")</f>
      </c>
      <c r="AK39" s="202">
        <f>IF($C39,IF($J39="Completado",0,IF($K39&lt;0,1,IF($K39&lt;=3,0.9,IF($K39&lt;=7,0.7,IF($K39&lt;=14,0.45,0.2))))),"")</f>
      </c>
      <c r="AL39" s="202">
        <f>IF($C39,IF($J39="Completado",0,MEDIAN(0,MAX(-$V39,$W39/30),1)),"")</f>
      </c>
      <c r="AM39" s="202">
        <f>IF($C39,IF($J39="Completado",0,IF($Z39,1,IF(AND($I39&lt;0.5,$K39&lt;=7),0.7,0.3))),"")</f>
      </c>
      <c r="AN39" s="203">
        <f>IF($C39,IF(OR($V39&lt;-0.2,$W39&gt;0),"ATRASO ","")&amp;IF($Z39,"BLOQUEO ","")&amp;IF($Y39&gt;8,"SOBRECARGA ","")&amp;IF($X39&gt;0,"DESVÍO-PLAN ",""),"")</f>
      </c>
      <c r="AO39" s="203">
        <f>IF($C39,IFERROR(VLOOKUP($D39,'Sprints'!$G$5:$H$12,2,FALSE),"Semanal"),"")</f>
      </c>
      <c r="AP39" s="202">
        <f>IF($C39,IF($AO39="Semanal",'Sprints'!$D$5,IF($AO39="Quincenal",'Sprints'!$D$6,'Sprints'!$D$7)),"")</f>
      </c>
      <c r="AQ39" s="202">
        <f>IF($C39,IF($AO39="Semanal",'Sprints'!$C$5,IF($AO39="Quincenal",'Sprints'!$C$6,'Sprints'!$C$7)),"")</f>
      </c>
      <c r="AR39" s="202">
        <f>IF(AND($C39,ISNUMBER($H39)),MAX(1,INT(($H39-$AQ39)/$AP39)+1),"")</f>
      </c>
      <c r="AS39" s="202">
        <f>IF($C39,IF($AO39="Semanal",'Sprints'!$E$5,IF($AO39="Quincenal",'Sprints'!$E$6,'Sprints'!$E$7)),"")</f>
      </c>
      <c r="AT39" s="203">
        <f>IF($C39,'Backlog General'!$G39,"")</f>
      </c>
      <c r="AU39" s="203">
        <f>IF($C39,'Backlog General'!$H39,"")</f>
      </c>
      <c r="AV39" s="202">
        <f>IF(AND($C39,ISNUMBER($AR39)),IF(OR($AT39="Completo",$AU39="Cancelado",$AU39="Baja prioridad"),$AR39,IF($AU39="Pasa al siguiente",MAX($AR39+1,$AS39),MAX($AR39,$AS39))),"")</f>
      </c>
      <c r="AW39" s="202">
        <f>IF(AND($C39,ISNUMBER($AR39)),$AQ39+$AR39*$AP39-1,"")</f>
      </c>
      <c r="AX39" s="202">
        <f>IF($C39,IF(OR($AT39="Completo",$AU39="Cancelado",$AU39="Baja prioridad",NOT(ISNUMBER($AW39))),0,MAX(0,TODAY()-$AW39)),"")</f>
      </c>
      <c r="AY39" s="203">
        <f>IF($C39,IF(NOT(ISNUMBER($AR39)),"Sin fecha",IF($AT39="Completo","Completo",IF($AU39="Cancelado","Cancelado",IF($AU39="Baja prioridad","Baja prioridad",IF($AX39&gt;0,"Vencida","Pendiente"))))),"")</f>
      </c>
      <c r="AZ39" s="203">
        <f>IF($C39,IF(ISNUMBER($AV39),$AO39&amp;" · S"&amp;$AV39,"(Sin fecha)"),"")</f>
      </c>
      <c r="BA39" s="202">
        <f>IF($C39,IF(AND(ISNUMBER('Backlog General'!$M39),'Backlog General'!$M39=$AS39),"Nuevo S"&amp;'Backlog General'!$M39,""),"")</f>
      </c>
      <c r="BB39" s="202">
        <f>IF(AND($C39,$AO39="Semanal",ISNUMBER($AV39)),$AV39*100000+ROW(),"")</f>
      </c>
      <c r="BC39" s="202">
        <f>IF(AND($C39,$AO39="Quincenal",ISNUMBER($AV39)),$AV39*100000+ROW(),"")</f>
      </c>
      <c r="BD39" s="202">
        <f>IF(AND($C39,$AO39="Mensual",ISNUMBER($AV39)),$AV39*100000+ROW(),"")</f>
      </c>
    </row>
    <row r="40">
      <c r="A40" s="202">
        <f>ROW()</f>
      </c>
      <c r="B40" s="202">
        <f>ISTEXT('Proyecto Datos (OKR´s)'!$K40)</f>
      </c>
      <c r="C40" s="202">
        <f>AND(LEN('Proyecto Datos (OKR´s)'!$G40)&gt;0,NOT($B40),OR(ISNUMBER('Proyecto Datos (OKR´s)'!$F40),ISNUMBER('Proyecto Datos (OKR´s)'!$L40)))</f>
      </c>
      <c r="D40" s="203">
        <f>IF($C40,IFERROR(LOOKUP(2,1/((ISTEXT('Proyecto Datos (OKR´s)'!$K$7:$K40))*(LEN('Proyecto Datos (OKR´s)'!$G$7:$G40)&gt;0)),'Proyecto Datos (OKR´s)'!$G$7:$G40),""),"")</f>
      </c>
      <c r="E40" s="202">
        <f>IF($C40,'Proyecto Datos (OKR´s)'!$E40,"")</f>
      </c>
      <c r="F40" s="203">
        <f>IF($C40,'Proyecto Datos (OKR´s)'!$G40,"")</f>
      </c>
      <c r="G40" s="203">
        <f>IF($C40,IF('Proyecto Datos (OKR´s)'!$I40="","(Sin asignar)",'Proyecto Datos (OKR´s)'!$I40),"")</f>
      </c>
      <c r="H40" s="202">
        <f>IF($C40,IF(ISNUMBER('Proyecto Datos (OKR´s)'!$F40),'Proyecto Datos (OKR´s)'!$F40,""),"")</f>
      </c>
      <c r="I40" s="202">
        <f>IF($C40,'Proyecto Datos (OKR´s)'!$J40,"")</f>
      </c>
      <c r="J40" s="203">
        <f>IF($C40,IF($I40&gt;=1,"Completado",IF(NOT(ISNUMBER($H40)),"Sin fecha",IF($H40&lt;TODAY(),"Vencido",IF(($H40-TODAY())&lt;='Entregas Próximas'!$M$3,"Próximo a vencer","En curso")))),"")</f>
      </c>
      <c r="K40" s="202">
        <f>IF(AND($C40,ISNUMBER($H40)),$H40-TODAY(),"")</f>
      </c>
      <c r="L40" s="202">
        <f>IF(AND($C40,ISNUMBER($H40)),$AD40*1000000+$H40+ROW()/100000,"")</f>
      </c>
      <c r="M40" s="202">
        <f>IF($C40,IF($AD40=9999,"(Sin sprint)",$AD40),"")</f>
      </c>
      <c r="N40" s="202">
        <f>IF($C40,IF('Proyecto Datos (OKR´s)'!$E40="",9999,'Proyecto Datos (OKR´s)'!$E40),"")</f>
      </c>
      <c r="O40" s="202">
        <f>IF($C40,"T"&amp;TEXT(ROW(),"000"),"")</f>
      </c>
      <c r="R40" s="202">
        <f>IF($C40,IF(ISNUMBER('Proyecto Datos (OKR´s)'!$L40),'Proyecto Datos (OKR´s)'!$L40,$H40),"")</f>
      </c>
      <c r="S40" s="202">
        <f>IF($C40,$R40-'Proyecto Datos (OKR´s)'!$K40+1,"")</f>
      </c>
      <c r="T40" s="202">
        <f>IF($C40,MAX(0,TODAY()-'Proyecto Datos (OKR´s)'!$K40),"")</f>
      </c>
      <c r="U40" s="202">
        <f>IF($C40,MEDIAN(0,(TODAY()-'Proyecto Datos (OKR´s)'!$K40)/MAX(1,$R40-'Proyecto Datos (OKR´s)'!$K40),1),"")</f>
      </c>
      <c r="V40" s="202">
        <f>IF($C40,$I40-$U40,"")</f>
      </c>
      <c r="W40" s="202">
        <f>IF($C40,IF(OR($J40="Completado",NOT(ISNUMBER($H40))),0,MAX(0,TODAY()-$H40)),"")</f>
      </c>
      <c r="X40" s="202">
        <f>IF($C40,IF(ISNUMBER($H40),$R40-$H40,0),"")</f>
      </c>
      <c r="Y40" s="202">
        <f>IF($C40,COUNTIFS($G$7:$G$200,$G40,$J$7:$J$200,"&lt;&gt;Completado",$J$7:$J$200,"&lt;&gt;"),"")</f>
      </c>
      <c r="Z40" s="202">
        <f>IF($C40,AND($I40=0,'Proyecto Datos (OKR´s)'!$K40&lt;=TODAY(),$J40&lt;&gt;"Completado"),"")</f>
      </c>
      <c r="AA40" s="202">
        <f>IF($C40,ROUND(100*(0.35*$AK40+0.3*$AL40+0.2*$AM40+0.15*MEDIAN(0,($Y40-4)/8,1)),0),"")</f>
      </c>
      <c r="AB40" s="203">
        <f>IF($C40,IF(OR($J40="Completado",$J40="Sin fecha"),"—",IF($AA40&gt;=70,"Crítica",IF($AA40&gt;=45,"Alta",IF($AA40&gt;=25,"Media","Baja")))),"")</f>
      </c>
      <c r="AC40" s="203">
        <f>IF($C40,IF(LEN(TRIM($AN40))=0,"—",TRIM($AN40)),"")</f>
      </c>
      <c r="AD40" s="202">
        <f>IF($C40,$AV40,"")</f>
      </c>
      <c r="AE40" s="202">
        <f>IF($C40,$AZ40,"")</f>
      </c>
      <c r="AF40" s="202">
        <f>IF($C40,$AV40&lt;&gt;$AR40,FALSE)</f>
      </c>
      <c r="AG40" s="202">
        <f>IF($C40,IF($AV40&lt;&gt;$AR40,$AW40,""),"")</f>
      </c>
      <c r="AH40" s="203">
        <f>IF($C40,'Backlog General'!$L40,"")</f>
      </c>
      <c r="AI40" s="202">
        <f>IF($C40,$AV40*100000+ROW(),"")</f>
      </c>
      <c r="AJ40" s="202">
        <f>IF(AND($C40,ISNUMBER($H40)),$AA40*1000000-MEDIAN(-9999,$K40,9999)*100+(300-ROW()),"")</f>
      </c>
      <c r="AK40" s="202">
        <f>IF($C40,IF($J40="Completado",0,IF($K40&lt;0,1,IF($K40&lt;=3,0.9,IF($K40&lt;=7,0.7,IF($K40&lt;=14,0.45,0.2))))),"")</f>
      </c>
      <c r="AL40" s="202">
        <f>IF($C40,IF($J40="Completado",0,MEDIAN(0,MAX(-$V40,$W40/30),1)),"")</f>
      </c>
      <c r="AM40" s="202">
        <f>IF($C40,IF($J40="Completado",0,IF($Z40,1,IF(AND($I40&lt;0.5,$K40&lt;=7),0.7,0.3))),"")</f>
      </c>
      <c r="AN40" s="203">
        <f>IF($C40,IF(OR($V40&lt;-0.2,$W40&gt;0),"ATRASO ","")&amp;IF($Z40,"BLOQUEO ","")&amp;IF($Y40&gt;8,"SOBRECARGA ","")&amp;IF($X40&gt;0,"DESVÍO-PLAN ",""),"")</f>
      </c>
      <c r="AO40" s="203">
        <f>IF($C40,IFERROR(VLOOKUP($D40,'Sprints'!$G$5:$H$12,2,FALSE),"Semanal"),"")</f>
      </c>
      <c r="AP40" s="202">
        <f>IF($C40,IF($AO40="Semanal",'Sprints'!$D$5,IF($AO40="Quincenal",'Sprints'!$D$6,'Sprints'!$D$7)),"")</f>
      </c>
      <c r="AQ40" s="202">
        <f>IF($C40,IF($AO40="Semanal",'Sprints'!$C$5,IF($AO40="Quincenal",'Sprints'!$C$6,'Sprints'!$C$7)),"")</f>
      </c>
      <c r="AR40" s="202">
        <f>IF(AND($C40,ISNUMBER($H40)),MAX(1,INT(($H40-$AQ40)/$AP40)+1),"")</f>
      </c>
      <c r="AS40" s="202">
        <f>IF($C40,IF($AO40="Semanal",'Sprints'!$E$5,IF($AO40="Quincenal",'Sprints'!$E$6,'Sprints'!$E$7)),"")</f>
      </c>
      <c r="AT40" s="203">
        <f>IF($C40,'Backlog General'!$G40,"")</f>
      </c>
      <c r="AU40" s="203">
        <f>IF($C40,'Backlog General'!$H40,"")</f>
      </c>
      <c r="AV40" s="202">
        <f>IF(AND($C40,ISNUMBER($AR40)),IF(OR($AT40="Completo",$AU40="Cancelado",$AU40="Baja prioridad"),$AR40,IF($AU40="Pasa al siguiente",MAX($AR40+1,$AS40),MAX($AR40,$AS40))),"")</f>
      </c>
      <c r="AW40" s="202">
        <f>IF(AND($C40,ISNUMBER($AR40)),$AQ40+$AR40*$AP40-1,"")</f>
      </c>
      <c r="AX40" s="202">
        <f>IF($C40,IF(OR($AT40="Completo",$AU40="Cancelado",$AU40="Baja prioridad",NOT(ISNUMBER($AW40))),0,MAX(0,TODAY()-$AW40)),"")</f>
      </c>
      <c r="AY40" s="203">
        <f>IF($C40,IF(NOT(ISNUMBER($AR40)),"Sin fecha",IF($AT40="Completo","Completo",IF($AU40="Cancelado","Cancelado",IF($AU40="Baja prioridad","Baja prioridad",IF($AX40&gt;0,"Vencida","Pendiente"))))),"")</f>
      </c>
      <c r="AZ40" s="203">
        <f>IF($C40,IF(ISNUMBER($AV40),$AO40&amp;" · S"&amp;$AV40,"(Sin fecha)"),"")</f>
      </c>
      <c r="BA40" s="202">
        <f>IF($C40,IF(AND(ISNUMBER('Backlog General'!$M40),'Backlog General'!$M40=$AS40),"Nuevo S"&amp;'Backlog General'!$M40,""),"")</f>
      </c>
      <c r="BB40" s="202">
        <f>IF(AND($C40,$AO40="Semanal",ISNUMBER($AV40)),$AV40*100000+ROW(),"")</f>
      </c>
      <c r="BC40" s="202">
        <f>IF(AND($C40,$AO40="Quincenal",ISNUMBER($AV40)),$AV40*100000+ROW(),"")</f>
      </c>
      <c r="BD40" s="202">
        <f>IF(AND($C40,$AO40="Mensual",ISNUMBER($AV40)),$AV40*100000+ROW(),"")</f>
      </c>
    </row>
    <row r="41">
      <c r="A41" s="202">
        <f>ROW()</f>
      </c>
      <c r="B41" s="202">
        <f>ISTEXT('Proyecto Datos (OKR´s)'!$K41)</f>
      </c>
      <c r="C41" s="202">
        <f>AND(LEN('Proyecto Datos (OKR´s)'!$G41)&gt;0,NOT($B41),OR(ISNUMBER('Proyecto Datos (OKR´s)'!$F41),ISNUMBER('Proyecto Datos (OKR´s)'!$L41)))</f>
      </c>
      <c r="D41" s="203">
        <f>IF($C41,IFERROR(LOOKUP(2,1/((ISTEXT('Proyecto Datos (OKR´s)'!$K$7:$K41))*(LEN('Proyecto Datos (OKR´s)'!$G$7:$G41)&gt;0)),'Proyecto Datos (OKR´s)'!$G$7:$G41),""),"")</f>
      </c>
      <c r="E41" s="202">
        <f>IF($C41,'Proyecto Datos (OKR´s)'!$E41,"")</f>
      </c>
      <c r="F41" s="203">
        <f>IF($C41,'Proyecto Datos (OKR´s)'!$G41,"")</f>
      </c>
      <c r="G41" s="203">
        <f>IF($C41,IF('Proyecto Datos (OKR´s)'!$I41="","(Sin asignar)",'Proyecto Datos (OKR´s)'!$I41),"")</f>
      </c>
      <c r="H41" s="202">
        <f>IF($C41,IF(ISNUMBER('Proyecto Datos (OKR´s)'!$F41),'Proyecto Datos (OKR´s)'!$F41,""),"")</f>
      </c>
      <c r="I41" s="202">
        <f>IF($C41,'Proyecto Datos (OKR´s)'!$J41,"")</f>
      </c>
      <c r="J41" s="203">
        <f>IF($C41,IF($I41&gt;=1,"Completado",IF(NOT(ISNUMBER($H41)),"Sin fecha",IF($H41&lt;TODAY(),"Vencido",IF(($H41-TODAY())&lt;='Entregas Próximas'!$M$3,"Próximo a vencer","En curso")))),"")</f>
      </c>
      <c r="K41" s="202">
        <f>IF(AND($C41,ISNUMBER($H41)),$H41-TODAY(),"")</f>
      </c>
      <c r="L41" s="202">
        <f>IF(AND($C41,ISNUMBER($H41)),$AD41*1000000+$H41+ROW()/100000,"")</f>
      </c>
      <c r="M41" s="202">
        <f>IF($C41,IF($AD41=9999,"(Sin sprint)",$AD41),"")</f>
      </c>
      <c r="N41" s="202">
        <f>IF($C41,IF('Proyecto Datos (OKR´s)'!$E41="",9999,'Proyecto Datos (OKR´s)'!$E41),"")</f>
      </c>
      <c r="O41" s="202">
        <f>IF($C41,"T"&amp;TEXT(ROW(),"000"),"")</f>
      </c>
      <c r="R41" s="202">
        <f>IF($C41,IF(ISNUMBER('Proyecto Datos (OKR´s)'!$L41),'Proyecto Datos (OKR´s)'!$L41,$H41),"")</f>
      </c>
      <c r="S41" s="202">
        <f>IF($C41,$R41-'Proyecto Datos (OKR´s)'!$K41+1,"")</f>
      </c>
      <c r="T41" s="202">
        <f>IF($C41,MAX(0,TODAY()-'Proyecto Datos (OKR´s)'!$K41),"")</f>
      </c>
      <c r="U41" s="202">
        <f>IF($C41,MEDIAN(0,(TODAY()-'Proyecto Datos (OKR´s)'!$K41)/MAX(1,$R41-'Proyecto Datos (OKR´s)'!$K41),1),"")</f>
      </c>
      <c r="V41" s="202">
        <f>IF($C41,$I41-$U41,"")</f>
      </c>
      <c r="W41" s="202">
        <f>IF($C41,IF(OR($J41="Completado",NOT(ISNUMBER($H41))),0,MAX(0,TODAY()-$H41)),"")</f>
      </c>
      <c r="X41" s="202">
        <f>IF($C41,IF(ISNUMBER($H41),$R41-$H41,0),"")</f>
      </c>
      <c r="Y41" s="202">
        <f>IF($C41,COUNTIFS($G$7:$G$200,$G41,$J$7:$J$200,"&lt;&gt;Completado",$J$7:$J$200,"&lt;&gt;"),"")</f>
      </c>
      <c r="Z41" s="202">
        <f>IF($C41,AND($I41=0,'Proyecto Datos (OKR´s)'!$K41&lt;=TODAY(),$J41&lt;&gt;"Completado"),"")</f>
      </c>
      <c r="AA41" s="202">
        <f>IF($C41,ROUND(100*(0.35*$AK41+0.3*$AL41+0.2*$AM41+0.15*MEDIAN(0,($Y41-4)/8,1)),0),"")</f>
      </c>
      <c r="AB41" s="203">
        <f>IF($C41,IF(OR($J41="Completado",$J41="Sin fecha"),"—",IF($AA41&gt;=70,"Crítica",IF($AA41&gt;=45,"Alta",IF($AA41&gt;=25,"Media","Baja")))),"")</f>
      </c>
      <c r="AC41" s="203">
        <f>IF($C41,IF(LEN(TRIM($AN41))=0,"—",TRIM($AN41)),"")</f>
      </c>
      <c r="AD41" s="202">
        <f>IF($C41,$AV41,"")</f>
      </c>
      <c r="AE41" s="202">
        <f>IF($C41,$AZ41,"")</f>
      </c>
      <c r="AF41" s="202">
        <f>IF($C41,$AV41&lt;&gt;$AR41,FALSE)</f>
      </c>
      <c r="AG41" s="202">
        <f>IF($C41,IF($AV41&lt;&gt;$AR41,$AW41,""),"")</f>
      </c>
      <c r="AH41" s="203">
        <f>IF($C41,'Backlog General'!$L41,"")</f>
      </c>
      <c r="AI41" s="202">
        <f>IF($C41,$AV41*100000+ROW(),"")</f>
      </c>
      <c r="AJ41" s="202">
        <f>IF(AND($C41,ISNUMBER($H41)),$AA41*1000000-MEDIAN(-9999,$K41,9999)*100+(300-ROW()),"")</f>
      </c>
      <c r="AK41" s="202">
        <f>IF($C41,IF($J41="Completado",0,IF($K41&lt;0,1,IF($K41&lt;=3,0.9,IF($K41&lt;=7,0.7,IF($K41&lt;=14,0.45,0.2))))),"")</f>
      </c>
      <c r="AL41" s="202">
        <f>IF($C41,IF($J41="Completado",0,MEDIAN(0,MAX(-$V41,$W41/30),1)),"")</f>
      </c>
      <c r="AM41" s="202">
        <f>IF($C41,IF($J41="Completado",0,IF($Z41,1,IF(AND($I41&lt;0.5,$K41&lt;=7),0.7,0.3))),"")</f>
      </c>
      <c r="AN41" s="203">
        <f>IF($C41,IF(OR($V41&lt;-0.2,$W41&gt;0),"ATRASO ","")&amp;IF($Z41,"BLOQUEO ","")&amp;IF($Y41&gt;8,"SOBRECARGA ","")&amp;IF($X41&gt;0,"DESVÍO-PLAN ",""),"")</f>
      </c>
      <c r="AO41" s="203">
        <f>IF($C41,IFERROR(VLOOKUP($D41,'Sprints'!$G$5:$H$12,2,FALSE),"Semanal"),"")</f>
      </c>
      <c r="AP41" s="202">
        <f>IF($C41,IF($AO41="Semanal",'Sprints'!$D$5,IF($AO41="Quincenal",'Sprints'!$D$6,'Sprints'!$D$7)),"")</f>
      </c>
      <c r="AQ41" s="202">
        <f>IF($C41,IF($AO41="Semanal",'Sprints'!$C$5,IF($AO41="Quincenal",'Sprints'!$C$6,'Sprints'!$C$7)),"")</f>
      </c>
      <c r="AR41" s="202">
        <f>IF(AND($C41,ISNUMBER($H41)),MAX(1,INT(($H41-$AQ41)/$AP41)+1),"")</f>
      </c>
      <c r="AS41" s="202">
        <f>IF($C41,IF($AO41="Semanal",'Sprints'!$E$5,IF($AO41="Quincenal",'Sprints'!$E$6,'Sprints'!$E$7)),"")</f>
      </c>
      <c r="AT41" s="203">
        <f>IF($C41,'Backlog General'!$G41,"")</f>
      </c>
      <c r="AU41" s="203">
        <f>IF($C41,'Backlog General'!$H41,"")</f>
      </c>
      <c r="AV41" s="202">
        <f>IF(AND($C41,ISNUMBER($AR41)),IF(OR($AT41="Completo",$AU41="Cancelado",$AU41="Baja prioridad"),$AR41,IF($AU41="Pasa al siguiente",MAX($AR41+1,$AS41),MAX($AR41,$AS41))),"")</f>
      </c>
      <c r="AW41" s="202">
        <f>IF(AND($C41,ISNUMBER($AR41)),$AQ41+$AR41*$AP41-1,"")</f>
      </c>
      <c r="AX41" s="202">
        <f>IF($C41,IF(OR($AT41="Completo",$AU41="Cancelado",$AU41="Baja prioridad",NOT(ISNUMBER($AW41))),0,MAX(0,TODAY()-$AW41)),"")</f>
      </c>
      <c r="AY41" s="203">
        <f>IF($C41,IF(NOT(ISNUMBER($AR41)),"Sin fecha",IF($AT41="Completo","Completo",IF($AU41="Cancelado","Cancelado",IF($AU41="Baja prioridad","Baja prioridad",IF($AX41&gt;0,"Vencida","Pendiente"))))),"")</f>
      </c>
      <c r="AZ41" s="203">
        <f>IF($C41,IF(ISNUMBER($AV41),$AO41&amp;" · S"&amp;$AV41,"(Sin fecha)"),"")</f>
      </c>
      <c r="BA41" s="202">
        <f>IF($C41,IF(AND(ISNUMBER('Backlog General'!$M41),'Backlog General'!$M41=$AS41),"Nuevo S"&amp;'Backlog General'!$M41,""),"")</f>
      </c>
      <c r="BB41" s="202">
        <f>IF(AND($C41,$AO41="Semanal",ISNUMBER($AV41)),$AV41*100000+ROW(),"")</f>
      </c>
      <c r="BC41" s="202">
        <f>IF(AND($C41,$AO41="Quincenal",ISNUMBER($AV41)),$AV41*100000+ROW(),"")</f>
      </c>
      <c r="BD41" s="202">
        <f>IF(AND($C41,$AO41="Mensual",ISNUMBER($AV41)),$AV41*100000+ROW(),"")</f>
      </c>
    </row>
    <row r="42">
      <c r="A42" s="202">
        <f>ROW()</f>
      </c>
      <c r="B42" s="202">
        <f>ISTEXT('Proyecto Datos (OKR´s)'!$K42)</f>
      </c>
      <c r="C42" s="202">
        <f>AND(LEN('Proyecto Datos (OKR´s)'!$G42)&gt;0,NOT($B42),OR(ISNUMBER('Proyecto Datos (OKR´s)'!$F42),ISNUMBER('Proyecto Datos (OKR´s)'!$L42)))</f>
      </c>
      <c r="D42" s="203">
        <f>IF($C42,IFERROR(LOOKUP(2,1/((ISTEXT('Proyecto Datos (OKR´s)'!$K$7:$K42))*(LEN('Proyecto Datos (OKR´s)'!$G$7:$G42)&gt;0)),'Proyecto Datos (OKR´s)'!$G$7:$G42),""),"")</f>
      </c>
      <c r="E42" s="202">
        <f>IF($C42,'Proyecto Datos (OKR´s)'!$E42,"")</f>
      </c>
      <c r="F42" s="203">
        <f>IF($C42,'Proyecto Datos (OKR´s)'!$G42,"")</f>
      </c>
      <c r="G42" s="203">
        <f>IF($C42,IF('Proyecto Datos (OKR´s)'!$I42="","(Sin asignar)",'Proyecto Datos (OKR´s)'!$I42),"")</f>
      </c>
      <c r="H42" s="202">
        <f>IF($C42,IF(ISNUMBER('Proyecto Datos (OKR´s)'!$F42),'Proyecto Datos (OKR´s)'!$F42,""),"")</f>
      </c>
      <c r="I42" s="202">
        <f>IF($C42,'Proyecto Datos (OKR´s)'!$J42,"")</f>
      </c>
      <c r="J42" s="203">
        <f>IF($C42,IF($I42&gt;=1,"Completado",IF(NOT(ISNUMBER($H42)),"Sin fecha",IF($H42&lt;TODAY(),"Vencido",IF(($H42-TODAY())&lt;='Entregas Próximas'!$M$3,"Próximo a vencer","En curso")))),"")</f>
      </c>
      <c r="K42" s="202">
        <f>IF(AND($C42,ISNUMBER($H42)),$H42-TODAY(),"")</f>
      </c>
      <c r="L42" s="202">
        <f>IF(AND($C42,ISNUMBER($H42)),$AD42*1000000+$H42+ROW()/100000,"")</f>
      </c>
      <c r="M42" s="202">
        <f>IF($C42,IF($AD42=9999,"(Sin sprint)",$AD42),"")</f>
      </c>
      <c r="N42" s="202">
        <f>IF($C42,IF('Proyecto Datos (OKR´s)'!$E42="",9999,'Proyecto Datos (OKR´s)'!$E42),"")</f>
      </c>
      <c r="O42" s="202">
        <f>IF($C42,"T"&amp;TEXT(ROW(),"000"),"")</f>
      </c>
      <c r="R42" s="202">
        <f>IF($C42,IF(ISNUMBER('Proyecto Datos (OKR´s)'!$L42),'Proyecto Datos (OKR´s)'!$L42,$H42),"")</f>
      </c>
      <c r="S42" s="202">
        <f>IF($C42,$R42-'Proyecto Datos (OKR´s)'!$K42+1,"")</f>
      </c>
      <c r="T42" s="202">
        <f>IF($C42,MAX(0,TODAY()-'Proyecto Datos (OKR´s)'!$K42),"")</f>
      </c>
      <c r="U42" s="202">
        <f>IF($C42,MEDIAN(0,(TODAY()-'Proyecto Datos (OKR´s)'!$K42)/MAX(1,$R42-'Proyecto Datos (OKR´s)'!$K42),1),"")</f>
      </c>
      <c r="V42" s="202">
        <f>IF($C42,$I42-$U42,"")</f>
      </c>
      <c r="W42" s="202">
        <f>IF($C42,IF(OR($J42="Completado",NOT(ISNUMBER($H42))),0,MAX(0,TODAY()-$H42)),"")</f>
      </c>
      <c r="X42" s="202">
        <f>IF($C42,IF(ISNUMBER($H42),$R42-$H42,0),"")</f>
      </c>
      <c r="Y42" s="202">
        <f>IF($C42,COUNTIFS($G$7:$G$200,$G42,$J$7:$J$200,"&lt;&gt;Completado",$J$7:$J$200,"&lt;&gt;"),"")</f>
      </c>
      <c r="Z42" s="202">
        <f>IF($C42,AND($I42=0,'Proyecto Datos (OKR´s)'!$K42&lt;=TODAY(),$J42&lt;&gt;"Completado"),"")</f>
      </c>
      <c r="AA42" s="202">
        <f>IF($C42,ROUND(100*(0.35*$AK42+0.3*$AL42+0.2*$AM42+0.15*MEDIAN(0,($Y42-4)/8,1)),0),"")</f>
      </c>
      <c r="AB42" s="203">
        <f>IF($C42,IF(OR($J42="Completado",$J42="Sin fecha"),"—",IF($AA42&gt;=70,"Crítica",IF($AA42&gt;=45,"Alta",IF($AA42&gt;=25,"Media","Baja")))),"")</f>
      </c>
      <c r="AC42" s="203">
        <f>IF($C42,IF(LEN(TRIM($AN42))=0,"—",TRIM($AN42)),"")</f>
      </c>
      <c r="AD42" s="202">
        <f>IF($C42,$AV42,"")</f>
      </c>
      <c r="AE42" s="202">
        <f>IF($C42,$AZ42,"")</f>
      </c>
      <c r="AF42" s="202">
        <f>IF($C42,$AV42&lt;&gt;$AR42,FALSE)</f>
      </c>
      <c r="AG42" s="202">
        <f>IF($C42,IF($AV42&lt;&gt;$AR42,$AW42,""),"")</f>
      </c>
      <c r="AH42" s="203">
        <f>IF($C42,'Backlog General'!$L42,"")</f>
      </c>
      <c r="AI42" s="202">
        <f>IF($C42,$AV42*100000+ROW(),"")</f>
      </c>
      <c r="AJ42" s="202">
        <f>IF(AND($C42,ISNUMBER($H42)),$AA42*1000000-MEDIAN(-9999,$K42,9999)*100+(300-ROW()),"")</f>
      </c>
      <c r="AK42" s="202">
        <f>IF($C42,IF($J42="Completado",0,IF($K42&lt;0,1,IF($K42&lt;=3,0.9,IF($K42&lt;=7,0.7,IF($K42&lt;=14,0.45,0.2))))),"")</f>
      </c>
      <c r="AL42" s="202">
        <f>IF($C42,IF($J42="Completado",0,MEDIAN(0,MAX(-$V42,$W42/30),1)),"")</f>
      </c>
      <c r="AM42" s="202">
        <f>IF($C42,IF($J42="Completado",0,IF($Z42,1,IF(AND($I42&lt;0.5,$K42&lt;=7),0.7,0.3))),"")</f>
      </c>
      <c r="AN42" s="203">
        <f>IF($C42,IF(OR($V42&lt;-0.2,$W42&gt;0),"ATRASO ","")&amp;IF($Z42,"BLOQUEO ","")&amp;IF($Y42&gt;8,"SOBRECARGA ","")&amp;IF($X42&gt;0,"DESVÍO-PLAN ",""),"")</f>
      </c>
      <c r="AO42" s="203">
        <f>IF($C42,IFERROR(VLOOKUP($D42,'Sprints'!$G$5:$H$12,2,FALSE),"Semanal"),"")</f>
      </c>
      <c r="AP42" s="202">
        <f>IF($C42,IF($AO42="Semanal",'Sprints'!$D$5,IF($AO42="Quincenal",'Sprints'!$D$6,'Sprints'!$D$7)),"")</f>
      </c>
      <c r="AQ42" s="202">
        <f>IF($C42,IF($AO42="Semanal",'Sprints'!$C$5,IF($AO42="Quincenal",'Sprints'!$C$6,'Sprints'!$C$7)),"")</f>
      </c>
      <c r="AR42" s="202">
        <f>IF(AND($C42,ISNUMBER($H42)),MAX(1,INT(($H42-$AQ42)/$AP42)+1),"")</f>
      </c>
      <c r="AS42" s="202">
        <f>IF($C42,IF($AO42="Semanal",'Sprints'!$E$5,IF($AO42="Quincenal",'Sprints'!$E$6,'Sprints'!$E$7)),"")</f>
      </c>
      <c r="AT42" s="203">
        <f>IF($C42,'Backlog General'!$G42,"")</f>
      </c>
      <c r="AU42" s="203">
        <f>IF($C42,'Backlog General'!$H42,"")</f>
      </c>
      <c r="AV42" s="202">
        <f>IF(AND($C42,ISNUMBER($AR42)),IF(OR($AT42="Completo",$AU42="Cancelado",$AU42="Baja prioridad"),$AR42,IF($AU42="Pasa al siguiente",MAX($AR42+1,$AS42),MAX($AR42,$AS42))),"")</f>
      </c>
      <c r="AW42" s="202">
        <f>IF(AND($C42,ISNUMBER($AR42)),$AQ42+$AR42*$AP42-1,"")</f>
      </c>
      <c r="AX42" s="202">
        <f>IF($C42,IF(OR($AT42="Completo",$AU42="Cancelado",$AU42="Baja prioridad",NOT(ISNUMBER($AW42))),0,MAX(0,TODAY()-$AW42)),"")</f>
      </c>
      <c r="AY42" s="203">
        <f>IF($C42,IF(NOT(ISNUMBER($AR42)),"Sin fecha",IF($AT42="Completo","Completo",IF($AU42="Cancelado","Cancelado",IF($AU42="Baja prioridad","Baja prioridad",IF($AX42&gt;0,"Vencida","Pendiente"))))),"")</f>
      </c>
      <c r="AZ42" s="203">
        <f>IF($C42,IF(ISNUMBER($AV42),$AO42&amp;" · S"&amp;$AV42,"(Sin fecha)"),"")</f>
      </c>
      <c r="BA42" s="202">
        <f>IF($C42,IF(AND(ISNUMBER('Backlog General'!$M42),'Backlog General'!$M42=$AS42),"Nuevo S"&amp;'Backlog General'!$M42,""),"")</f>
      </c>
      <c r="BB42" s="202">
        <f>IF(AND($C42,$AO42="Semanal",ISNUMBER($AV42)),$AV42*100000+ROW(),"")</f>
      </c>
      <c r="BC42" s="202">
        <f>IF(AND($C42,$AO42="Quincenal",ISNUMBER($AV42)),$AV42*100000+ROW(),"")</f>
      </c>
      <c r="BD42" s="202">
        <f>IF(AND($C42,$AO42="Mensual",ISNUMBER($AV42)),$AV42*100000+ROW(),"")</f>
      </c>
    </row>
    <row r="43">
      <c r="A43" s="202">
        <f>ROW()</f>
      </c>
      <c r="B43" s="202">
        <f>ISTEXT('Proyecto Datos (OKR´s)'!$K43)</f>
      </c>
      <c r="C43" s="202">
        <f>AND(LEN('Proyecto Datos (OKR´s)'!$G43)&gt;0,NOT($B43),OR(ISNUMBER('Proyecto Datos (OKR´s)'!$F43),ISNUMBER('Proyecto Datos (OKR´s)'!$L43)))</f>
      </c>
      <c r="D43" s="203">
        <f>IF($C43,IFERROR(LOOKUP(2,1/((ISTEXT('Proyecto Datos (OKR´s)'!$K$7:$K43))*(LEN('Proyecto Datos (OKR´s)'!$G$7:$G43)&gt;0)),'Proyecto Datos (OKR´s)'!$G$7:$G43),""),"")</f>
      </c>
      <c r="E43" s="202">
        <f>IF($C43,'Proyecto Datos (OKR´s)'!$E43,"")</f>
      </c>
      <c r="F43" s="203">
        <f>IF($C43,'Proyecto Datos (OKR´s)'!$G43,"")</f>
      </c>
      <c r="G43" s="203">
        <f>IF($C43,IF('Proyecto Datos (OKR´s)'!$I43="","(Sin asignar)",'Proyecto Datos (OKR´s)'!$I43),"")</f>
      </c>
      <c r="H43" s="202">
        <f>IF($C43,IF(ISNUMBER('Proyecto Datos (OKR´s)'!$F43),'Proyecto Datos (OKR´s)'!$F43,""),"")</f>
      </c>
      <c r="I43" s="202">
        <f>IF($C43,'Proyecto Datos (OKR´s)'!$J43,"")</f>
      </c>
      <c r="J43" s="203">
        <f>IF($C43,IF($I43&gt;=1,"Completado",IF(NOT(ISNUMBER($H43)),"Sin fecha",IF($H43&lt;TODAY(),"Vencido",IF(($H43-TODAY())&lt;='Entregas Próximas'!$M$3,"Próximo a vencer","En curso")))),"")</f>
      </c>
      <c r="K43" s="202">
        <f>IF(AND($C43,ISNUMBER($H43)),$H43-TODAY(),"")</f>
      </c>
      <c r="L43" s="202">
        <f>IF(AND($C43,ISNUMBER($H43)),$AD43*1000000+$H43+ROW()/100000,"")</f>
      </c>
      <c r="M43" s="202">
        <f>IF($C43,IF($AD43=9999,"(Sin sprint)",$AD43),"")</f>
      </c>
      <c r="N43" s="202">
        <f>IF($C43,IF('Proyecto Datos (OKR´s)'!$E43="",9999,'Proyecto Datos (OKR´s)'!$E43),"")</f>
      </c>
      <c r="O43" s="202">
        <f>IF($C43,"T"&amp;TEXT(ROW(),"000"),"")</f>
      </c>
      <c r="R43" s="202">
        <f>IF($C43,IF(ISNUMBER('Proyecto Datos (OKR´s)'!$L43),'Proyecto Datos (OKR´s)'!$L43,$H43),"")</f>
      </c>
      <c r="S43" s="202">
        <f>IF($C43,$R43-'Proyecto Datos (OKR´s)'!$K43+1,"")</f>
      </c>
      <c r="T43" s="202">
        <f>IF($C43,MAX(0,TODAY()-'Proyecto Datos (OKR´s)'!$K43),"")</f>
      </c>
      <c r="U43" s="202">
        <f>IF($C43,MEDIAN(0,(TODAY()-'Proyecto Datos (OKR´s)'!$K43)/MAX(1,$R43-'Proyecto Datos (OKR´s)'!$K43),1),"")</f>
      </c>
      <c r="V43" s="202">
        <f>IF($C43,$I43-$U43,"")</f>
      </c>
      <c r="W43" s="202">
        <f>IF($C43,IF(OR($J43="Completado",NOT(ISNUMBER($H43))),0,MAX(0,TODAY()-$H43)),"")</f>
      </c>
      <c r="X43" s="202">
        <f>IF($C43,IF(ISNUMBER($H43),$R43-$H43,0),"")</f>
      </c>
      <c r="Y43" s="202">
        <f>IF($C43,COUNTIFS($G$7:$G$200,$G43,$J$7:$J$200,"&lt;&gt;Completado",$J$7:$J$200,"&lt;&gt;"),"")</f>
      </c>
      <c r="Z43" s="202">
        <f>IF($C43,AND($I43=0,'Proyecto Datos (OKR´s)'!$K43&lt;=TODAY(),$J43&lt;&gt;"Completado"),"")</f>
      </c>
      <c r="AA43" s="202">
        <f>IF($C43,ROUND(100*(0.35*$AK43+0.3*$AL43+0.2*$AM43+0.15*MEDIAN(0,($Y43-4)/8,1)),0),"")</f>
      </c>
      <c r="AB43" s="203">
        <f>IF($C43,IF(OR($J43="Completado",$J43="Sin fecha"),"—",IF($AA43&gt;=70,"Crítica",IF($AA43&gt;=45,"Alta",IF($AA43&gt;=25,"Media","Baja")))),"")</f>
      </c>
      <c r="AC43" s="203">
        <f>IF($C43,IF(LEN(TRIM($AN43))=0,"—",TRIM($AN43)),"")</f>
      </c>
      <c r="AD43" s="202">
        <f>IF($C43,$AV43,"")</f>
      </c>
      <c r="AE43" s="202">
        <f>IF($C43,$AZ43,"")</f>
      </c>
      <c r="AF43" s="202">
        <f>IF($C43,$AV43&lt;&gt;$AR43,FALSE)</f>
      </c>
      <c r="AG43" s="202">
        <f>IF($C43,IF($AV43&lt;&gt;$AR43,$AW43,""),"")</f>
      </c>
      <c r="AH43" s="203">
        <f>IF($C43,'Backlog General'!$L43,"")</f>
      </c>
      <c r="AI43" s="202">
        <f>IF($C43,$AV43*100000+ROW(),"")</f>
      </c>
      <c r="AJ43" s="202">
        <f>IF(AND($C43,ISNUMBER($H43)),$AA43*1000000-MEDIAN(-9999,$K43,9999)*100+(300-ROW()),"")</f>
      </c>
      <c r="AK43" s="202">
        <f>IF($C43,IF($J43="Completado",0,IF($K43&lt;0,1,IF($K43&lt;=3,0.9,IF($K43&lt;=7,0.7,IF($K43&lt;=14,0.45,0.2))))),"")</f>
      </c>
      <c r="AL43" s="202">
        <f>IF($C43,IF($J43="Completado",0,MEDIAN(0,MAX(-$V43,$W43/30),1)),"")</f>
      </c>
      <c r="AM43" s="202">
        <f>IF($C43,IF($J43="Completado",0,IF($Z43,1,IF(AND($I43&lt;0.5,$K43&lt;=7),0.7,0.3))),"")</f>
      </c>
      <c r="AN43" s="203">
        <f>IF($C43,IF(OR($V43&lt;-0.2,$W43&gt;0),"ATRASO ","")&amp;IF($Z43,"BLOQUEO ","")&amp;IF($Y43&gt;8,"SOBRECARGA ","")&amp;IF($X43&gt;0,"DESVÍO-PLAN ",""),"")</f>
      </c>
      <c r="AO43" s="203">
        <f>IF($C43,IFERROR(VLOOKUP($D43,'Sprints'!$G$5:$H$12,2,FALSE),"Semanal"),"")</f>
      </c>
      <c r="AP43" s="202">
        <f>IF($C43,IF($AO43="Semanal",'Sprints'!$D$5,IF($AO43="Quincenal",'Sprints'!$D$6,'Sprints'!$D$7)),"")</f>
      </c>
      <c r="AQ43" s="202">
        <f>IF($C43,IF($AO43="Semanal",'Sprints'!$C$5,IF($AO43="Quincenal",'Sprints'!$C$6,'Sprints'!$C$7)),"")</f>
      </c>
      <c r="AR43" s="202">
        <f>IF(AND($C43,ISNUMBER($H43)),MAX(1,INT(($H43-$AQ43)/$AP43)+1),"")</f>
      </c>
      <c r="AS43" s="202">
        <f>IF($C43,IF($AO43="Semanal",'Sprints'!$E$5,IF($AO43="Quincenal",'Sprints'!$E$6,'Sprints'!$E$7)),"")</f>
      </c>
      <c r="AT43" s="203">
        <f>IF($C43,'Backlog General'!$G43,"")</f>
      </c>
      <c r="AU43" s="203">
        <f>IF($C43,'Backlog General'!$H43,"")</f>
      </c>
      <c r="AV43" s="202">
        <f>IF(AND($C43,ISNUMBER($AR43)),IF(OR($AT43="Completo",$AU43="Cancelado",$AU43="Baja prioridad"),$AR43,IF($AU43="Pasa al siguiente",MAX($AR43+1,$AS43),MAX($AR43,$AS43))),"")</f>
      </c>
      <c r="AW43" s="202">
        <f>IF(AND($C43,ISNUMBER($AR43)),$AQ43+$AR43*$AP43-1,"")</f>
      </c>
      <c r="AX43" s="202">
        <f>IF($C43,IF(OR($AT43="Completo",$AU43="Cancelado",$AU43="Baja prioridad",NOT(ISNUMBER($AW43))),0,MAX(0,TODAY()-$AW43)),"")</f>
      </c>
      <c r="AY43" s="203">
        <f>IF($C43,IF(NOT(ISNUMBER($AR43)),"Sin fecha",IF($AT43="Completo","Completo",IF($AU43="Cancelado","Cancelado",IF($AU43="Baja prioridad","Baja prioridad",IF($AX43&gt;0,"Vencida","Pendiente"))))),"")</f>
      </c>
      <c r="AZ43" s="203">
        <f>IF($C43,IF(ISNUMBER($AV43),$AO43&amp;" · S"&amp;$AV43,"(Sin fecha)"),"")</f>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row>
    <row r="44">
      <c r="A44" s="202">
        <f>ROW()</f>
      </c>
      <c r="B44" s="202">
        <f>ISTEXT('Proyecto Datos (OKR´s)'!$K44)</f>
      </c>
      <c r="C44" s="202">
        <f>AND(LEN('Proyecto Datos (OKR´s)'!$G44)&gt;0,NOT($B44),OR(ISNUMBER('Proyecto Datos (OKR´s)'!$F44),ISNUMBER('Proyecto Datos (OKR´s)'!$L44)))</f>
      </c>
      <c r="D44" s="203">
        <f>IF($C44,IFERROR(LOOKUP(2,1/((ISTEXT('Proyecto Datos (OKR´s)'!$K$7:$K44))*(LEN('Proyecto Datos (OKR´s)'!$G$7:$G44)&gt;0)),'Proyecto Datos (OKR´s)'!$G$7:$G44),""),"")</f>
      </c>
      <c r="E44" s="202">
        <f>IF($C44,'Proyecto Datos (OKR´s)'!$E44,"")</f>
      </c>
      <c r="F44" s="203">
        <f>IF($C44,'Proyecto Datos (OKR´s)'!$G44,"")</f>
      </c>
      <c r="G44" s="203">
        <f>IF($C44,IF('Proyecto Datos (OKR´s)'!$I44="","(Sin asignar)",'Proyecto Datos (OKR´s)'!$I44),"")</f>
      </c>
      <c r="H44" s="202">
        <f>IF($C44,IF(ISNUMBER('Proyecto Datos (OKR´s)'!$F44),'Proyecto Datos (OKR´s)'!$F44,""),"")</f>
      </c>
      <c r="I44" s="202">
        <f>IF($C44,'Proyecto Datos (OKR´s)'!$J44,"")</f>
      </c>
      <c r="J44" s="203">
        <f>IF($C44,IF($I44&gt;=1,"Completado",IF(NOT(ISNUMBER($H44)),"Sin fecha",IF($H44&lt;TODAY(),"Vencido",IF(($H44-TODAY())&lt;='Entregas Próximas'!$M$3,"Próximo a vencer","En curso")))),"")</f>
      </c>
      <c r="K44" s="202">
        <f>IF(AND($C44,ISNUMBER($H44)),$H44-TODAY(),"")</f>
      </c>
      <c r="L44" s="202">
        <f>IF(AND($C44,ISNUMBER($H44)),$AD44*1000000+$H44+ROW()/100000,"")</f>
      </c>
      <c r="M44" s="202">
        <f>IF($C44,IF($AD44=9999,"(Sin sprint)",$AD44),"")</f>
      </c>
      <c r="N44" s="202">
        <f>IF($C44,IF('Proyecto Datos (OKR´s)'!$E44="",9999,'Proyecto Datos (OKR´s)'!$E44),"")</f>
      </c>
      <c r="O44" s="202">
        <f>IF($C44,"T"&amp;TEXT(ROW(),"000"),"")</f>
      </c>
      <c r="R44" s="202">
        <f>IF($C44,IF(ISNUMBER('Proyecto Datos (OKR´s)'!$L44),'Proyecto Datos (OKR´s)'!$L44,$H44),"")</f>
      </c>
      <c r="S44" s="202">
        <f>IF($C44,$R44-'Proyecto Datos (OKR´s)'!$K44+1,"")</f>
      </c>
      <c r="T44" s="202">
        <f>IF($C44,MAX(0,TODAY()-'Proyecto Datos (OKR´s)'!$K44),"")</f>
      </c>
      <c r="U44" s="202">
        <f>IF($C44,MEDIAN(0,(TODAY()-'Proyecto Datos (OKR´s)'!$K44)/MAX(1,$R44-'Proyecto Datos (OKR´s)'!$K44),1),"")</f>
      </c>
      <c r="V44" s="202">
        <f>IF($C44,$I44-$U44,"")</f>
      </c>
      <c r="W44" s="202">
        <f>IF($C44,IF(OR($J44="Completado",NOT(ISNUMBER($H44))),0,MAX(0,TODAY()-$H44)),"")</f>
      </c>
      <c r="X44" s="202">
        <f>IF($C44,IF(ISNUMBER($H44),$R44-$H44,0),"")</f>
      </c>
      <c r="Y44" s="202">
        <f>IF($C44,COUNTIFS($G$7:$G$200,$G44,$J$7:$J$200,"&lt;&gt;Completado",$J$7:$J$200,"&lt;&gt;"),"")</f>
      </c>
      <c r="Z44" s="202">
        <f>IF($C44,AND($I44=0,'Proyecto Datos (OKR´s)'!$K44&lt;=TODAY(),$J44&lt;&gt;"Completado"),"")</f>
      </c>
      <c r="AA44" s="202">
        <f>IF($C44,ROUND(100*(0.35*$AK44+0.3*$AL44+0.2*$AM44+0.15*MEDIAN(0,($Y44-4)/8,1)),0),"")</f>
      </c>
      <c r="AB44" s="203">
        <f>IF($C44,IF(OR($J44="Completado",$J44="Sin fecha"),"—",IF($AA44&gt;=70,"Crítica",IF($AA44&gt;=45,"Alta",IF($AA44&gt;=25,"Media","Baja")))),"")</f>
      </c>
      <c r="AC44" s="203">
        <f>IF($C44,IF(LEN(TRIM($AN44))=0,"—",TRIM($AN44)),"")</f>
      </c>
      <c r="AD44" s="202">
        <f>IF($C44,$AV44,"")</f>
      </c>
      <c r="AE44" s="202">
        <f>IF($C44,$AZ44,"")</f>
      </c>
      <c r="AF44" s="202">
        <f>IF($C44,$AV44&lt;&gt;$AR44,FALSE)</f>
      </c>
      <c r="AG44" s="202">
        <f>IF($C44,IF($AV44&lt;&gt;$AR44,$AW44,""),"")</f>
      </c>
      <c r="AH44" s="203">
        <f>IF($C44,'Backlog General'!$L44,"")</f>
      </c>
      <c r="AI44" s="202">
        <f>IF($C44,$AV44*100000+ROW(),"")</f>
      </c>
      <c r="AJ44" s="202">
        <f>IF(AND($C44,ISNUMBER($H44)),$AA44*1000000-MEDIAN(-9999,$K44,9999)*100+(300-ROW()),"")</f>
      </c>
      <c r="AK44" s="202">
        <f>IF($C44,IF($J44="Completado",0,IF($K44&lt;0,1,IF($K44&lt;=3,0.9,IF($K44&lt;=7,0.7,IF($K44&lt;=14,0.45,0.2))))),"")</f>
      </c>
      <c r="AL44" s="202">
        <f>IF($C44,IF($J44="Completado",0,MEDIAN(0,MAX(-$V44,$W44/30),1)),"")</f>
      </c>
      <c r="AM44" s="202">
        <f>IF($C44,IF($J44="Completado",0,IF($Z44,1,IF(AND($I44&lt;0.5,$K44&lt;=7),0.7,0.3))),"")</f>
      </c>
      <c r="AN44" s="203">
        <f>IF($C44,IF(OR($V44&lt;-0.2,$W44&gt;0),"ATRASO ","")&amp;IF($Z44,"BLOQUEO ","")&amp;IF($Y44&gt;8,"SOBRECARGA ","")&amp;IF($X44&gt;0,"DESVÍO-PLAN ",""),"")</f>
      </c>
      <c r="AO44" s="203">
        <f>IF($C44,IFERROR(VLOOKUP($D44,'Sprints'!$G$5:$H$12,2,FALSE),"Semanal"),"")</f>
      </c>
      <c r="AP44" s="202">
        <f>IF($C44,IF($AO44="Semanal",'Sprints'!$D$5,IF($AO44="Quincenal",'Sprints'!$D$6,'Sprints'!$D$7)),"")</f>
      </c>
      <c r="AQ44" s="202">
        <f>IF($C44,IF($AO44="Semanal",'Sprints'!$C$5,IF($AO44="Quincenal",'Sprints'!$C$6,'Sprints'!$C$7)),"")</f>
      </c>
      <c r="AR44" s="202">
        <f>IF(AND($C44,ISNUMBER($H44)),MAX(1,INT(($H44-$AQ44)/$AP44)+1),"")</f>
      </c>
      <c r="AS44" s="202">
        <f>IF($C44,IF($AO44="Semanal",'Sprints'!$E$5,IF($AO44="Quincenal",'Sprints'!$E$6,'Sprints'!$E$7)),"")</f>
      </c>
      <c r="AT44" s="203">
        <f>IF($C44,'Backlog General'!$G44,"")</f>
      </c>
      <c r="AU44" s="203">
        <f>IF($C44,'Backlog General'!$H44,"")</f>
      </c>
      <c r="AV44" s="202">
        <f>IF(AND($C44,ISNUMBER($AR44)),IF(OR($AT44="Completo",$AU44="Cancelado",$AU44="Baja prioridad"),$AR44,IF($AU44="Pasa al siguiente",MAX($AR44+1,$AS44),MAX($AR44,$AS44))),"")</f>
      </c>
      <c r="AW44" s="202">
        <f>IF(AND($C44,ISNUMBER($AR44)),$AQ44+$AR44*$AP44-1,"")</f>
      </c>
      <c r="AX44" s="202">
        <f>IF($C44,IF(OR($AT44="Completo",$AU44="Cancelado",$AU44="Baja prioridad",NOT(ISNUMBER($AW44))),0,MAX(0,TODAY()-$AW44)),"")</f>
      </c>
      <c r="AY44" s="203">
        <f>IF($C44,IF(NOT(ISNUMBER($AR44)),"Sin fecha",IF($AT44="Completo","Completo",IF($AU44="Cancelado","Cancelado",IF($AU44="Baja prioridad","Baja prioridad",IF($AX44&gt;0,"Vencida","Pendiente"))))),"")</f>
      </c>
      <c r="AZ44" s="203">
        <f>IF($C44,IF(ISNUMBER($AV44),$AO44&amp;" · S"&amp;$AV44,"(Sin fecha)"),"")</f>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row>
    <row r="45">
      <c r="A45" s="202">
        <f>ROW()</f>
      </c>
      <c r="B45" s="202">
        <f>ISTEXT('Proyecto Datos (OKR´s)'!$K45)</f>
      </c>
      <c r="C45" s="202">
        <f>AND(LEN('Proyecto Datos (OKR´s)'!$G45)&gt;0,NOT($B45),OR(ISNUMBER('Proyecto Datos (OKR´s)'!$F45),ISNUMBER('Proyecto Datos (OKR´s)'!$L45)))</f>
      </c>
      <c r="D45" s="203">
        <f>IF($C45,IFERROR(LOOKUP(2,1/((ISTEXT('Proyecto Datos (OKR´s)'!$K$7:$K45))*(LEN('Proyecto Datos (OKR´s)'!$G$7:$G45)&gt;0)),'Proyecto Datos (OKR´s)'!$G$7:$G45),""),"")</f>
      </c>
      <c r="E45" s="202">
        <f>IF($C45,'Proyecto Datos (OKR´s)'!$E45,"")</f>
      </c>
      <c r="F45" s="203">
        <f>IF($C45,'Proyecto Datos (OKR´s)'!$G45,"")</f>
      </c>
      <c r="G45" s="203">
        <f>IF($C45,IF('Proyecto Datos (OKR´s)'!$I45="","(Sin asignar)",'Proyecto Datos (OKR´s)'!$I45),"")</f>
      </c>
      <c r="H45" s="202">
        <f>IF($C45,IF(ISNUMBER('Proyecto Datos (OKR´s)'!$F45),'Proyecto Datos (OKR´s)'!$F45,""),"")</f>
      </c>
      <c r="I45" s="202">
        <f>IF($C45,'Proyecto Datos (OKR´s)'!$J45,"")</f>
      </c>
      <c r="J45" s="203">
        <f>IF($C45,IF($I45&gt;=1,"Completado",IF(NOT(ISNUMBER($H45)),"Sin fecha",IF($H45&lt;TODAY(),"Vencido",IF(($H45-TODAY())&lt;='Entregas Próximas'!$M$3,"Próximo a vencer","En curso")))),"")</f>
      </c>
      <c r="K45" s="202">
        <f>IF(AND($C45,ISNUMBER($H45)),$H45-TODAY(),"")</f>
      </c>
      <c r="L45" s="202">
        <f>IF(AND($C45,ISNUMBER($H45)),$AD45*1000000+$H45+ROW()/100000,"")</f>
      </c>
      <c r="M45" s="202">
        <f>IF($C45,IF($AD45=9999,"(Sin sprint)",$AD45),"")</f>
      </c>
      <c r="N45" s="202">
        <f>IF($C45,IF('Proyecto Datos (OKR´s)'!$E45="",9999,'Proyecto Datos (OKR´s)'!$E45),"")</f>
      </c>
      <c r="O45" s="202">
        <f>IF($C45,"T"&amp;TEXT(ROW(),"000"),"")</f>
      </c>
      <c r="R45" s="202">
        <f>IF($C45,IF(ISNUMBER('Proyecto Datos (OKR´s)'!$L45),'Proyecto Datos (OKR´s)'!$L45,$H45),"")</f>
      </c>
      <c r="S45" s="202">
        <f>IF($C45,$R45-'Proyecto Datos (OKR´s)'!$K45+1,"")</f>
      </c>
      <c r="T45" s="202">
        <f>IF($C45,MAX(0,TODAY()-'Proyecto Datos (OKR´s)'!$K45),"")</f>
      </c>
      <c r="U45" s="202">
        <f>IF($C45,MEDIAN(0,(TODAY()-'Proyecto Datos (OKR´s)'!$K45)/MAX(1,$R45-'Proyecto Datos (OKR´s)'!$K45),1),"")</f>
      </c>
      <c r="V45" s="202">
        <f>IF($C45,$I45-$U45,"")</f>
      </c>
      <c r="W45" s="202">
        <f>IF($C45,IF(OR($J45="Completado",NOT(ISNUMBER($H45))),0,MAX(0,TODAY()-$H45)),"")</f>
      </c>
      <c r="X45" s="202">
        <f>IF($C45,IF(ISNUMBER($H45),$R45-$H45,0),"")</f>
      </c>
      <c r="Y45" s="202">
        <f>IF($C45,COUNTIFS($G$7:$G$200,$G45,$J$7:$J$200,"&lt;&gt;Completado",$J$7:$J$200,"&lt;&gt;"),"")</f>
      </c>
      <c r="Z45" s="202">
        <f>IF($C45,AND($I45=0,'Proyecto Datos (OKR´s)'!$K45&lt;=TODAY(),$J45&lt;&gt;"Completado"),"")</f>
      </c>
      <c r="AA45" s="202">
        <f>IF($C45,ROUND(100*(0.35*$AK45+0.3*$AL45+0.2*$AM45+0.15*MEDIAN(0,($Y45-4)/8,1)),0),"")</f>
      </c>
      <c r="AB45" s="203">
        <f>IF($C45,IF(OR($J45="Completado",$J45="Sin fecha"),"—",IF($AA45&gt;=70,"Crítica",IF($AA45&gt;=45,"Alta",IF($AA45&gt;=25,"Media","Baja")))),"")</f>
      </c>
      <c r="AC45" s="203">
        <f>IF($C45,IF(LEN(TRIM($AN45))=0,"—",TRIM($AN45)),"")</f>
      </c>
      <c r="AD45" s="202">
        <f>IF($C45,$AV45,"")</f>
      </c>
      <c r="AE45" s="202">
        <f>IF($C45,$AZ45,"")</f>
      </c>
      <c r="AF45" s="202">
        <f>IF($C45,$AV45&lt;&gt;$AR45,FALSE)</f>
      </c>
      <c r="AG45" s="202">
        <f>IF($C45,IF($AV45&lt;&gt;$AR45,$AW45,""),"")</f>
      </c>
      <c r="AH45" s="203">
        <f>IF($C45,'Backlog General'!$L45,"")</f>
      </c>
      <c r="AI45" s="202">
        <f>IF($C45,$AV45*100000+ROW(),"")</f>
      </c>
      <c r="AJ45" s="202">
        <f>IF(AND($C45,ISNUMBER($H45)),$AA45*1000000-MEDIAN(-9999,$K45,9999)*100+(300-ROW()),"")</f>
      </c>
      <c r="AK45" s="202">
        <f>IF($C45,IF($J45="Completado",0,IF($K45&lt;0,1,IF($K45&lt;=3,0.9,IF($K45&lt;=7,0.7,IF($K45&lt;=14,0.45,0.2))))),"")</f>
      </c>
      <c r="AL45" s="202">
        <f>IF($C45,IF($J45="Completado",0,MEDIAN(0,MAX(-$V45,$W45/30),1)),"")</f>
      </c>
      <c r="AM45" s="202">
        <f>IF($C45,IF($J45="Completado",0,IF($Z45,1,IF(AND($I45&lt;0.5,$K45&lt;=7),0.7,0.3))),"")</f>
      </c>
      <c r="AN45" s="203">
        <f>IF($C45,IF(OR($V45&lt;-0.2,$W45&gt;0),"ATRASO ","")&amp;IF($Z45,"BLOQUEO ","")&amp;IF($Y45&gt;8,"SOBRECARGA ","")&amp;IF($X45&gt;0,"DESVÍO-PLAN ",""),"")</f>
      </c>
      <c r="AO45" s="203">
        <f>IF($C45,IFERROR(VLOOKUP($D45,'Sprints'!$G$5:$H$12,2,FALSE),"Semanal"),"")</f>
      </c>
      <c r="AP45" s="202">
        <f>IF($C45,IF($AO45="Semanal",'Sprints'!$D$5,IF($AO45="Quincenal",'Sprints'!$D$6,'Sprints'!$D$7)),"")</f>
      </c>
      <c r="AQ45" s="202">
        <f>IF($C45,IF($AO45="Semanal",'Sprints'!$C$5,IF($AO45="Quincenal",'Sprints'!$C$6,'Sprints'!$C$7)),"")</f>
      </c>
      <c r="AR45" s="202">
        <f>IF(AND($C45,ISNUMBER($H45)),MAX(1,INT(($H45-$AQ45)/$AP45)+1),"")</f>
      </c>
      <c r="AS45" s="202">
        <f>IF($C45,IF($AO45="Semanal",'Sprints'!$E$5,IF($AO45="Quincenal",'Sprints'!$E$6,'Sprints'!$E$7)),"")</f>
      </c>
      <c r="AT45" s="203">
        <f>IF($C45,'Backlog General'!$G45,"")</f>
      </c>
      <c r="AU45" s="203">
        <f>IF($C45,'Backlog General'!$H45,"")</f>
      </c>
      <c r="AV45" s="202">
        <f>IF(AND($C45,ISNUMBER($AR45)),IF(OR($AT45="Completo",$AU45="Cancelado",$AU45="Baja prioridad"),$AR45,IF($AU45="Pasa al siguiente",MAX($AR45+1,$AS45),MAX($AR45,$AS45))),"")</f>
      </c>
      <c r="AW45" s="202">
        <f>IF(AND($C45,ISNUMBER($AR45)),$AQ45+$AR45*$AP45-1,"")</f>
      </c>
      <c r="AX45" s="202">
        <f>IF($C45,IF(OR($AT45="Completo",$AU45="Cancelado",$AU45="Baja prioridad",NOT(ISNUMBER($AW45))),0,MAX(0,TODAY()-$AW45)),"")</f>
      </c>
      <c r="AY45" s="203">
        <f>IF($C45,IF(NOT(ISNUMBER($AR45)),"Sin fecha",IF($AT45="Completo","Completo",IF($AU45="Cancelado","Cancelado",IF($AU45="Baja prioridad","Baja prioridad",IF($AX45&gt;0,"Vencida","Pendiente"))))),"")</f>
      </c>
      <c r="AZ45" s="203">
        <f>IF($C45,IF(ISNUMBER($AV45),$AO45&amp;" · S"&amp;$AV45,"(Sin fecha)"),"")</f>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row>
    <row r="46">
      <c r="A46" s="202">
        <f>ROW()</f>
      </c>
      <c r="B46" s="202">
        <f>ISTEXT('Proyecto Datos (OKR´s)'!$K46)</f>
      </c>
      <c r="C46" s="202">
        <f>AND(LEN('Proyecto Datos (OKR´s)'!$G46)&gt;0,NOT($B46),OR(ISNUMBER('Proyecto Datos (OKR´s)'!$F46),ISNUMBER('Proyecto Datos (OKR´s)'!$L46)))</f>
      </c>
      <c r="D46" s="203">
        <f>IF($C46,IFERROR(LOOKUP(2,1/((ISTEXT('Proyecto Datos (OKR´s)'!$K$7:$K46))*(LEN('Proyecto Datos (OKR´s)'!$G$7:$G46)&gt;0)),'Proyecto Datos (OKR´s)'!$G$7:$G46),""),"")</f>
      </c>
      <c r="E46" s="202">
        <f>IF($C46,'Proyecto Datos (OKR´s)'!$E46,"")</f>
      </c>
      <c r="F46" s="203">
        <f>IF($C46,'Proyecto Datos (OKR´s)'!$G46,"")</f>
      </c>
      <c r="G46" s="203">
        <f>IF($C46,IF('Proyecto Datos (OKR´s)'!$I46="","(Sin asignar)",'Proyecto Datos (OKR´s)'!$I46),"")</f>
      </c>
      <c r="H46" s="202">
        <f>IF($C46,IF(ISNUMBER('Proyecto Datos (OKR´s)'!$F46),'Proyecto Datos (OKR´s)'!$F46,""),"")</f>
      </c>
      <c r="I46" s="202">
        <f>IF($C46,'Proyecto Datos (OKR´s)'!$J46,"")</f>
      </c>
      <c r="J46" s="203">
        <f>IF($C46,IF($I46&gt;=1,"Completado",IF(NOT(ISNUMBER($H46)),"Sin fecha",IF($H46&lt;TODAY(),"Vencido",IF(($H46-TODAY())&lt;='Entregas Próximas'!$M$3,"Próximo a vencer","En curso")))),"")</f>
      </c>
      <c r="K46" s="202">
        <f>IF(AND($C46,ISNUMBER($H46)),$H46-TODAY(),"")</f>
      </c>
      <c r="L46" s="202">
        <f>IF(AND($C46,ISNUMBER($H46)),$AD46*1000000+$H46+ROW()/100000,"")</f>
      </c>
      <c r="M46" s="202">
        <f>IF($C46,IF($AD46=9999,"(Sin sprint)",$AD46),"")</f>
      </c>
      <c r="N46" s="202">
        <f>IF($C46,IF('Proyecto Datos (OKR´s)'!$E46="",9999,'Proyecto Datos (OKR´s)'!$E46),"")</f>
      </c>
      <c r="O46" s="202">
        <f>IF($C46,"T"&amp;TEXT(ROW(),"000"),"")</f>
      </c>
      <c r="R46" s="202">
        <f>IF($C46,IF(ISNUMBER('Proyecto Datos (OKR´s)'!$L46),'Proyecto Datos (OKR´s)'!$L46,$H46),"")</f>
      </c>
      <c r="S46" s="202">
        <f>IF($C46,$R46-'Proyecto Datos (OKR´s)'!$K46+1,"")</f>
      </c>
      <c r="T46" s="202">
        <f>IF($C46,MAX(0,TODAY()-'Proyecto Datos (OKR´s)'!$K46),"")</f>
      </c>
      <c r="U46" s="202">
        <f>IF($C46,MEDIAN(0,(TODAY()-'Proyecto Datos (OKR´s)'!$K46)/MAX(1,$R46-'Proyecto Datos (OKR´s)'!$K46),1),"")</f>
      </c>
      <c r="V46" s="202">
        <f>IF($C46,$I46-$U46,"")</f>
      </c>
      <c r="W46" s="202">
        <f>IF($C46,IF(OR($J46="Completado",NOT(ISNUMBER($H46))),0,MAX(0,TODAY()-$H46)),"")</f>
      </c>
      <c r="X46" s="202">
        <f>IF($C46,IF(ISNUMBER($H46),$R46-$H46,0),"")</f>
      </c>
      <c r="Y46" s="202">
        <f>IF($C46,COUNTIFS($G$7:$G$200,$G46,$J$7:$J$200,"&lt;&gt;Completado",$J$7:$J$200,"&lt;&gt;"),"")</f>
      </c>
      <c r="Z46" s="202">
        <f>IF($C46,AND($I46=0,'Proyecto Datos (OKR´s)'!$K46&lt;=TODAY(),$J46&lt;&gt;"Completado"),"")</f>
      </c>
      <c r="AA46" s="202">
        <f>IF($C46,ROUND(100*(0.35*$AK46+0.3*$AL46+0.2*$AM46+0.15*MEDIAN(0,($Y46-4)/8,1)),0),"")</f>
      </c>
      <c r="AB46" s="203">
        <f>IF($C46,IF(OR($J46="Completado",$J46="Sin fecha"),"—",IF($AA46&gt;=70,"Crítica",IF($AA46&gt;=45,"Alta",IF($AA46&gt;=25,"Media","Baja")))),"")</f>
      </c>
      <c r="AC46" s="203">
        <f>IF($C46,IF(LEN(TRIM($AN46))=0,"—",TRIM($AN46)),"")</f>
      </c>
      <c r="AD46" s="202">
        <f>IF($C46,$AV46,"")</f>
      </c>
      <c r="AE46" s="202">
        <f>IF($C46,$AZ46,"")</f>
      </c>
      <c r="AF46" s="202">
        <f>IF($C46,$AV46&lt;&gt;$AR46,FALSE)</f>
      </c>
      <c r="AG46" s="202">
        <f>IF($C46,IF($AV46&lt;&gt;$AR46,$AW46,""),"")</f>
      </c>
      <c r="AH46" s="203">
        <f>IF($C46,'Backlog General'!$L46,"")</f>
      </c>
      <c r="AI46" s="202">
        <f>IF($C46,$AV46*100000+ROW(),"")</f>
      </c>
      <c r="AJ46" s="202">
        <f>IF(AND($C46,ISNUMBER($H46)),$AA46*1000000-MEDIAN(-9999,$K46,9999)*100+(300-ROW()),"")</f>
      </c>
      <c r="AK46" s="202">
        <f>IF($C46,IF($J46="Completado",0,IF($K46&lt;0,1,IF($K46&lt;=3,0.9,IF($K46&lt;=7,0.7,IF($K46&lt;=14,0.45,0.2))))),"")</f>
      </c>
      <c r="AL46" s="202">
        <f>IF($C46,IF($J46="Completado",0,MEDIAN(0,MAX(-$V46,$W46/30),1)),"")</f>
      </c>
      <c r="AM46" s="202">
        <f>IF($C46,IF($J46="Completado",0,IF($Z46,1,IF(AND($I46&lt;0.5,$K46&lt;=7),0.7,0.3))),"")</f>
      </c>
      <c r="AN46" s="203">
        <f>IF($C46,IF(OR($V46&lt;-0.2,$W46&gt;0),"ATRASO ","")&amp;IF($Z46,"BLOQUEO ","")&amp;IF($Y46&gt;8,"SOBRECARGA ","")&amp;IF($X46&gt;0,"DESVÍO-PLAN ",""),"")</f>
      </c>
      <c r="AO46" s="203">
        <f>IF($C46,IFERROR(VLOOKUP($D46,'Sprints'!$G$5:$H$12,2,FALSE),"Semanal"),"")</f>
      </c>
      <c r="AP46" s="202">
        <f>IF($C46,IF($AO46="Semanal",'Sprints'!$D$5,IF($AO46="Quincenal",'Sprints'!$D$6,'Sprints'!$D$7)),"")</f>
      </c>
      <c r="AQ46" s="202">
        <f>IF($C46,IF($AO46="Semanal",'Sprints'!$C$5,IF($AO46="Quincenal",'Sprints'!$C$6,'Sprints'!$C$7)),"")</f>
      </c>
      <c r="AR46" s="202">
        <f>IF(AND($C46,ISNUMBER($H46)),MAX(1,INT(($H46-$AQ46)/$AP46)+1),"")</f>
      </c>
      <c r="AS46" s="202">
        <f>IF($C46,IF($AO46="Semanal",'Sprints'!$E$5,IF($AO46="Quincenal",'Sprints'!$E$6,'Sprints'!$E$7)),"")</f>
      </c>
      <c r="AT46" s="203">
        <f>IF($C46,'Backlog General'!$G46,"")</f>
      </c>
      <c r="AU46" s="203">
        <f>IF($C46,'Backlog General'!$H46,"")</f>
      </c>
      <c r="AV46" s="202">
        <f>IF(AND($C46,ISNUMBER($AR46)),IF(OR($AT46="Completo",$AU46="Cancelado",$AU46="Baja prioridad"),$AR46,IF($AU46="Pasa al siguiente",MAX($AR46+1,$AS46),MAX($AR46,$AS46))),"")</f>
      </c>
      <c r="AW46" s="202">
        <f>IF(AND($C46,ISNUMBER($AR46)),$AQ46+$AR46*$AP46-1,"")</f>
      </c>
      <c r="AX46" s="202">
        <f>IF($C46,IF(OR($AT46="Completo",$AU46="Cancelado",$AU46="Baja prioridad",NOT(ISNUMBER($AW46))),0,MAX(0,TODAY()-$AW46)),"")</f>
      </c>
      <c r="AY46" s="203">
        <f>IF($C46,IF(NOT(ISNUMBER($AR46)),"Sin fecha",IF($AT46="Completo","Completo",IF($AU46="Cancelado","Cancelado",IF($AU46="Baja prioridad","Baja prioridad",IF($AX46&gt;0,"Vencida","Pendiente"))))),"")</f>
      </c>
      <c r="AZ46" s="203">
        <f>IF($C46,IF(ISNUMBER($AV46),$AO46&amp;" · S"&amp;$AV46,"(Sin fecha)"),"")</f>
      </c>
      <c r="BA46" s="202">
        <f>IF($C46,IF(AND(ISNUMBER('Backlog General'!$M46),'Backlog General'!$M46=$AS46),"Nuevo S"&amp;'Backlog General'!$M46,""),"")</f>
      </c>
      <c r="BB46" s="202">
        <f>IF(AND($C46,$AO46="Semanal",ISNUMBER($AV46)),$AV46*100000+ROW(),"")</f>
      </c>
      <c r="BC46" s="202">
        <f>IF(AND($C46,$AO46="Quincenal",ISNUMBER($AV46)),$AV46*100000+ROW(),"")</f>
      </c>
      <c r="BD46" s="202">
        <f>IF(AND($C46,$AO46="Mensual",ISNUMBER($AV46)),$AV46*100000+ROW(),"")</f>
      </c>
    </row>
    <row r="47">
      <c r="A47" s="202">
        <f>ROW()</f>
      </c>
      <c r="B47" s="202">
        <f>ISTEXT('Proyecto Datos (OKR´s)'!$K47)</f>
      </c>
      <c r="C47" s="202">
        <f>AND(LEN('Proyecto Datos (OKR´s)'!$G47)&gt;0,NOT($B47),OR(ISNUMBER('Proyecto Datos (OKR´s)'!$F47),ISNUMBER('Proyecto Datos (OKR´s)'!$L47)))</f>
      </c>
      <c r="D47" s="203">
        <f>IF($C47,IFERROR(LOOKUP(2,1/((ISTEXT('Proyecto Datos (OKR´s)'!$K$7:$K47))*(LEN('Proyecto Datos (OKR´s)'!$G$7:$G47)&gt;0)),'Proyecto Datos (OKR´s)'!$G$7:$G47),""),"")</f>
      </c>
      <c r="E47" s="202">
        <f>IF($C47,'Proyecto Datos (OKR´s)'!$E47,"")</f>
      </c>
      <c r="F47" s="203">
        <f>IF($C47,'Proyecto Datos (OKR´s)'!$G47,"")</f>
      </c>
      <c r="G47" s="203">
        <f>IF($C47,IF('Proyecto Datos (OKR´s)'!$I47="","(Sin asignar)",'Proyecto Datos (OKR´s)'!$I47),"")</f>
      </c>
      <c r="H47" s="202">
        <f>IF($C47,IF(ISNUMBER('Proyecto Datos (OKR´s)'!$F47),'Proyecto Datos (OKR´s)'!$F47,""),"")</f>
      </c>
      <c r="I47" s="202">
        <f>IF($C47,'Proyecto Datos (OKR´s)'!$J47,"")</f>
      </c>
      <c r="J47" s="203">
        <f>IF($C47,IF($I47&gt;=1,"Completado",IF(NOT(ISNUMBER($H47)),"Sin fecha",IF($H47&lt;TODAY(),"Vencido",IF(($H47-TODAY())&lt;='Entregas Próximas'!$M$3,"Próximo a vencer","En curso")))),"")</f>
      </c>
      <c r="K47" s="202">
        <f>IF(AND($C47,ISNUMBER($H47)),$H47-TODAY(),"")</f>
      </c>
      <c r="L47" s="202">
        <f>IF(AND($C47,ISNUMBER($H47)),$AD47*1000000+$H47+ROW()/100000,"")</f>
      </c>
      <c r="M47" s="202">
        <f>IF($C47,IF($AD47=9999,"(Sin sprint)",$AD47),"")</f>
      </c>
      <c r="N47" s="202">
        <f>IF($C47,IF('Proyecto Datos (OKR´s)'!$E47="",9999,'Proyecto Datos (OKR´s)'!$E47),"")</f>
      </c>
      <c r="O47" s="202">
        <f>IF($C47,"T"&amp;TEXT(ROW(),"000"),"")</f>
      </c>
      <c r="R47" s="202">
        <f>IF($C47,IF(ISNUMBER('Proyecto Datos (OKR´s)'!$L47),'Proyecto Datos (OKR´s)'!$L47,$H47),"")</f>
      </c>
      <c r="S47" s="202">
        <f>IF($C47,$R47-'Proyecto Datos (OKR´s)'!$K47+1,"")</f>
      </c>
      <c r="T47" s="202">
        <f>IF($C47,MAX(0,TODAY()-'Proyecto Datos (OKR´s)'!$K47),"")</f>
      </c>
      <c r="U47" s="202">
        <f>IF($C47,MEDIAN(0,(TODAY()-'Proyecto Datos (OKR´s)'!$K47)/MAX(1,$R47-'Proyecto Datos (OKR´s)'!$K47),1),"")</f>
      </c>
      <c r="V47" s="202">
        <f>IF($C47,$I47-$U47,"")</f>
      </c>
      <c r="W47" s="202">
        <f>IF($C47,IF(OR($J47="Completado",NOT(ISNUMBER($H47))),0,MAX(0,TODAY()-$H47)),"")</f>
      </c>
      <c r="X47" s="202">
        <f>IF($C47,IF(ISNUMBER($H47),$R47-$H47,0),"")</f>
      </c>
      <c r="Y47" s="202">
        <f>IF($C47,COUNTIFS($G$7:$G$200,$G47,$J$7:$J$200,"&lt;&gt;Completado",$J$7:$J$200,"&lt;&gt;"),"")</f>
      </c>
      <c r="Z47" s="202">
        <f>IF($C47,AND($I47=0,'Proyecto Datos (OKR´s)'!$K47&lt;=TODAY(),$J47&lt;&gt;"Completado"),"")</f>
      </c>
      <c r="AA47" s="202">
        <f>IF($C47,ROUND(100*(0.35*$AK47+0.3*$AL47+0.2*$AM47+0.15*MEDIAN(0,($Y47-4)/8,1)),0),"")</f>
      </c>
      <c r="AB47" s="203">
        <f>IF($C47,IF(OR($J47="Completado",$J47="Sin fecha"),"—",IF($AA47&gt;=70,"Crítica",IF($AA47&gt;=45,"Alta",IF($AA47&gt;=25,"Media","Baja")))),"")</f>
      </c>
      <c r="AC47" s="203">
        <f>IF($C47,IF(LEN(TRIM($AN47))=0,"—",TRIM($AN47)),"")</f>
      </c>
      <c r="AD47" s="202">
        <f>IF($C47,$AV47,"")</f>
      </c>
      <c r="AE47" s="202">
        <f>IF($C47,$AZ47,"")</f>
      </c>
      <c r="AF47" s="202">
        <f>IF($C47,$AV47&lt;&gt;$AR47,FALSE)</f>
      </c>
      <c r="AG47" s="202">
        <f>IF($C47,IF($AV47&lt;&gt;$AR47,$AW47,""),"")</f>
      </c>
      <c r="AH47" s="203">
        <f>IF($C47,'Backlog General'!$L47,"")</f>
      </c>
      <c r="AI47" s="202">
        <f>IF($C47,$AV47*100000+ROW(),"")</f>
      </c>
      <c r="AJ47" s="202">
        <f>IF(AND($C47,ISNUMBER($H47)),$AA47*1000000-MEDIAN(-9999,$K47,9999)*100+(300-ROW()),"")</f>
      </c>
      <c r="AK47" s="202">
        <f>IF($C47,IF($J47="Completado",0,IF($K47&lt;0,1,IF($K47&lt;=3,0.9,IF($K47&lt;=7,0.7,IF($K47&lt;=14,0.45,0.2))))),"")</f>
      </c>
      <c r="AL47" s="202">
        <f>IF($C47,IF($J47="Completado",0,MEDIAN(0,MAX(-$V47,$W47/30),1)),"")</f>
      </c>
      <c r="AM47" s="202">
        <f>IF($C47,IF($J47="Completado",0,IF($Z47,1,IF(AND($I47&lt;0.5,$K47&lt;=7),0.7,0.3))),"")</f>
      </c>
      <c r="AN47" s="203">
        <f>IF($C47,IF(OR($V47&lt;-0.2,$W47&gt;0),"ATRASO ","")&amp;IF($Z47,"BLOQUEO ","")&amp;IF($Y47&gt;8,"SOBRECARGA ","")&amp;IF($X47&gt;0,"DESVÍO-PLAN ",""),"")</f>
      </c>
      <c r="AO47" s="203">
        <f>IF($C47,IFERROR(VLOOKUP($D47,'Sprints'!$G$5:$H$12,2,FALSE),"Semanal"),"")</f>
      </c>
      <c r="AP47" s="202">
        <f>IF($C47,IF($AO47="Semanal",'Sprints'!$D$5,IF($AO47="Quincenal",'Sprints'!$D$6,'Sprints'!$D$7)),"")</f>
      </c>
      <c r="AQ47" s="202">
        <f>IF($C47,IF($AO47="Semanal",'Sprints'!$C$5,IF($AO47="Quincenal",'Sprints'!$C$6,'Sprints'!$C$7)),"")</f>
      </c>
      <c r="AR47" s="202">
        <f>IF(AND($C47,ISNUMBER($H47)),MAX(1,INT(($H47-$AQ47)/$AP47)+1),"")</f>
      </c>
      <c r="AS47" s="202">
        <f>IF($C47,IF($AO47="Semanal",'Sprints'!$E$5,IF($AO47="Quincenal",'Sprints'!$E$6,'Sprints'!$E$7)),"")</f>
      </c>
      <c r="AT47" s="203">
        <f>IF($C47,'Backlog General'!$G47,"")</f>
      </c>
      <c r="AU47" s="203">
        <f>IF($C47,'Backlog General'!$H47,"")</f>
      </c>
      <c r="AV47" s="202">
        <f>IF(AND($C47,ISNUMBER($AR47)),IF(OR($AT47="Completo",$AU47="Cancelado",$AU47="Baja prioridad"),$AR47,IF($AU47="Pasa al siguiente",MAX($AR47+1,$AS47),MAX($AR47,$AS47))),"")</f>
      </c>
      <c r="AW47" s="202">
        <f>IF(AND($C47,ISNUMBER($AR47)),$AQ47+$AR47*$AP47-1,"")</f>
      </c>
      <c r="AX47" s="202">
        <f>IF($C47,IF(OR($AT47="Completo",$AU47="Cancelado",$AU47="Baja prioridad",NOT(ISNUMBER($AW47))),0,MAX(0,TODAY()-$AW47)),"")</f>
      </c>
      <c r="AY47" s="203">
        <f>IF($C47,IF(NOT(ISNUMBER($AR47)),"Sin fecha",IF($AT47="Completo","Completo",IF($AU47="Cancelado","Cancelado",IF($AU47="Baja prioridad","Baja prioridad",IF($AX47&gt;0,"Vencida","Pendiente"))))),"")</f>
      </c>
      <c r="AZ47" s="203">
        <f>IF($C47,IF(ISNUMBER($AV47),$AO47&amp;" · S"&amp;$AV47,"(Sin fecha)"),"")</f>
      </c>
      <c r="BA47" s="202">
        <f>IF($C47,IF(AND(ISNUMBER('Backlog General'!$M47),'Backlog General'!$M47=$AS47),"Nuevo S"&amp;'Backlog General'!$M47,""),"")</f>
      </c>
      <c r="BB47" s="202">
        <f>IF(AND($C47,$AO47="Semanal",ISNUMBER($AV47)),$AV47*100000+ROW(),"")</f>
      </c>
      <c r="BC47" s="202">
        <f>IF(AND($C47,$AO47="Quincenal",ISNUMBER($AV47)),$AV47*100000+ROW(),"")</f>
      </c>
      <c r="BD47" s="202">
        <f>IF(AND($C47,$AO47="Mensual",ISNUMBER($AV47)),$AV47*100000+ROW(),"")</f>
      </c>
    </row>
    <row r="48">
      <c r="A48" s="202">
        <f>ROW()</f>
      </c>
      <c r="B48" s="202">
        <f>ISTEXT('Proyecto Datos (OKR´s)'!$K48)</f>
      </c>
      <c r="C48" s="202">
        <f>AND(LEN('Proyecto Datos (OKR´s)'!$G48)&gt;0,NOT($B48),OR(ISNUMBER('Proyecto Datos (OKR´s)'!$F48),ISNUMBER('Proyecto Datos (OKR´s)'!$L48)))</f>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IF($C48,'Proyecto Datos (OKR´s)'!$J48,"")</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f>IF($C48,$AV48&lt;&gt;$AR48,FALSE)</f>
      </c>
      <c r="AG48" s="202">
        <f>IF($C48,IF($AV48&lt;&gt;$AR48,$AW48,""),"")</f>
      </c>
      <c r="AH48" s="203">
        <f>IF($C48,'Backlog General'!$L48,"")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IF($C48,IFERROR(VLOOKUP($D48,'Sprints'!$G$5:$H$12,2,FALSE),"Semanal"),"")</f>
      </c>
      <c r="AP48" s="202">
        <f>IF($C48,IF($AO48="Semanal",'Sprints'!$D$5,IF($AO48="Quincenal",'Sprints'!$D$6,'Sprints'!$D$7)),"")</f>
      </c>
      <c r="AQ48" s="202">
        <f>IF($C48,IF($AO48="Semanal",'Sprints'!$C$5,IF($AO48="Quincenal",'Sprints'!$C$6,'Sprints'!$C$7)),"")</f>
      </c>
      <c r="AR48" s="202">
        <f>IF(AND($C48,ISNUMBER($H48)),MAX(1,INT(($H48-$AQ48)/$AP48)+1),"")</f>
      </c>
      <c r="AS48" s="202">
        <f>IF($C48,IF($AO48="Semanal",'Sprints'!$E$5,IF($AO48="Quincenal",'Sprints'!$E$6,'Sprints'!$E$7)),"")</f>
      </c>
      <c r="AT48" s="203">
        <f>IF($C48,'Backlog General'!$G48,"")</f>
      </c>
      <c r="AU48" s="203">
        <f>IF($C48,'Backlog General'!$H48,"")</f>
      </c>
      <c r="AV48" s="202">
        <f>IF(AND($C48,ISNUMBER($AR48)),IF(OR($AT48="Completo",$AU48="Cancelado",$AU48="Baja prioridad"),$AR48,IF($AU48="Pasa al siguiente",MAX($AR48+1,$AS48),MAX($AR48,$AS48))),"")</f>
      </c>
      <c r="AW48" s="202">
        <f>IF(AND($C48,ISNUMBER($AR48)),$AQ48+$AR48*$AP48-1,"")</f>
      </c>
      <c r="AX48" s="202">
        <f>IF($C48,IF(OR($AT48="Completo",$AU48="Cancelado",$AU48="Baja prioridad",NOT(ISNUMBER($AW48))),0,MAX(0,TODAY()-$AW48)),"")</f>
      </c>
      <c r="AY48" s="203">
        <f>IF($C48,IF(NOT(ISNUMBER($AR48)),"Sin fecha",IF($AT48="Completo","Completo",IF($AU48="Cancelado","Cancelado",IF($AU48="Baja prioridad","Baja prioridad",IF($AX48&gt;0,"Vencida","Pendiente"))))),"")</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row>
    <row r="49">
      <c r="A49" s="202">
        <f>ROW()</f>
      </c>
      <c r="B49" s="202">
        <f>ISTEXT('Proyecto Datos (OKR´s)'!$K49)</f>
      </c>
      <c r="C49" s="202">
        <f>AND(LEN('Proyecto Datos (OKR´s)'!$G49)&gt;0,NOT($B49),OR(ISNUMBER('Proyecto Datos (OKR´s)'!$F49),ISNUMBER('Proyecto Datos (OKR´s)'!$L49)))</f>
      </c>
      <c r="D49" s="203">
        <f>IF($C49,IFERROR(LOOKUP(2,1/((ISTEXT('Proyecto Datos (OKR´s)'!$K$7:$K49))*(LEN('Proyecto Datos (OKR´s)'!$G$7:$G49)&gt;0)),'Proyecto Datos (OKR´s)'!$G$7:$G49),""),"")</f>
      </c>
      <c r="E49" s="202">
        <f>IF($C49,'Proyecto Datos (OKR´s)'!$E49,"")</f>
      </c>
      <c r="F49" s="203">
        <f>IF($C49,'Proyecto Datos (OKR´s)'!$G49,"")</f>
      </c>
      <c r="G49" s="203">
        <f>IF($C49,IF('Proyecto Datos (OKR´s)'!$I49="","(Sin asignar)",'Proyecto Datos (OKR´s)'!$I49),"")</f>
      </c>
      <c r="H49" s="202">
        <f>IF($C49,IF(ISNUMBER('Proyecto Datos (OKR´s)'!$F49),'Proyecto Datos (OKR´s)'!$F49,""),"")</f>
      </c>
      <c r="I49" s="202">
        <f>IF($C49,'Proyecto Datos (OKR´s)'!$J49,"")</f>
      </c>
      <c r="J49" s="203">
        <f>IF($C49,IF($I49&gt;=1,"Completado",IF(NOT(ISNUMBER($H49)),"Sin fecha",IF($H49&lt;TODAY(),"Vencido",IF(($H49-TODAY())&lt;='Entregas Próximas'!$M$3,"Próximo a vencer","En curso")))),"")</f>
      </c>
      <c r="K49" s="202">
        <f>IF(AND($C49,ISNUMBER($H49)),$H49-TODAY(),"")</f>
      </c>
      <c r="L49" s="202">
        <f>IF(AND($C49,ISNUMBER($H49)),$AD49*1000000+$H49+ROW()/100000,"")</f>
      </c>
      <c r="M49" s="202">
        <f>IF($C49,IF($AD49=9999,"(Sin sprint)",$AD49),"")</f>
      </c>
      <c r="N49" s="202">
        <f>IF($C49,IF('Proyecto Datos (OKR´s)'!$E49="",9999,'Proyecto Datos (OKR´s)'!$E49),"")</f>
      </c>
      <c r="O49" s="202">
        <f>IF($C49,"T"&amp;TEXT(ROW(),"000"),"")</f>
      </c>
      <c r="R49" s="202">
        <f>IF($C49,IF(ISNUMBER('Proyecto Datos (OKR´s)'!$L49),'Proyecto Datos (OKR´s)'!$L49,$H49),"")</f>
      </c>
      <c r="S49" s="202">
        <f>IF($C49,$R49-'Proyecto Datos (OKR´s)'!$K49+1,"")</f>
      </c>
      <c r="T49" s="202">
        <f>IF($C49,MAX(0,TODAY()-'Proyecto Datos (OKR´s)'!$K49),"")</f>
      </c>
      <c r="U49" s="202">
        <f>IF($C49,MEDIAN(0,(TODAY()-'Proyecto Datos (OKR´s)'!$K49)/MAX(1,$R49-'Proyecto Datos (OKR´s)'!$K49),1),"")</f>
      </c>
      <c r="V49" s="202">
        <f>IF($C49,$I49-$U49,"")</f>
      </c>
      <c r="W49" s="202">
        <f>IF($C49,IF(OR($J49="Completado",NOT(ISNUMBER($H49))),0,MAX(0,TODAY()-$H49)),"")</f>
      </c>
      <c r="X49" s="202">
        <f>IF($C49,IF(ISNUMBER($H49),$R49-$H49,0),"")</f>
      </c>
      <c r="Y49" s="202">
        <f>IF($C49,COUNTIFS($G$7:$G$200,$G49,$J$7:$J$200,"&lt;&gt;Completado",$J$7:$J$200,"&lt;&gt;"),"")</f>
      </c>
      <c r="Z49" s="202">
        <f>IF($C49,AND($I49=0,'Proyecto Datos (OKR´s)'!$K49&lt;=TODAY(),$J49&lt;&gt;"Completado"),"")</f>
      </c>
      <c r="AA49" s="202">
        <f>IF($C49,ROUND(100*(0.35*$AK49+0.3*$AL49+0.2*$AM49+0.15*MEDIAN(0,($Y49-4)/8,1)),0),"")</f>
      </c>
      <c r="AB49" s="203">
        <f>IF($C49,IF(OR($J49="Completado",$J49="Sin fecha"),"—",IF($AA49&gt;=70,"Crítica",IF($AA49&gt;=45,"Alta",IF($AA49&gt;=25,"Media","Baja")))),"")</f>
      </c>
      <c r="AC49" s="203">
        <f>IF($C49,IF(LEN(TRIM($AN49))=0,"—",TRIM($AN49)),"")</f>
      </c>
      <c r="AD49" s="202">
        <f>IF($C49,$AV49,"")</f>
      </c>
      <c r="AE49" s="202">
        <f>IF($C49,$AZ49,"")</f>
      </c>
      <c r="AF49" s="202">
        <f>IF($C49,$AV49&lt;&gt;$AR49,FALSE)</f>
      </c>
      <c r="AG49" s="202">
        <f>IF($C49,IF($AV49&lt;&gt;$AR49,$AW49,""),"")</f>
      </c>
      <c r="AH49" s="203">
        <f>IF($C49,'Backlog General'!$L49,"")</f>
      </c>
      <c r="AI49" s="202">
        <f>IF($C49,$AV49*100000+ROW(),"")</f>
      </c>
      <c r="AJ49" s="202">
        <f>IF(AND($C49,ISNUMBER($H49)),$AA49*1000000-MEDIAN(-9999,$K49,9999)*100+(300-ROW()),"")</f>
      </c>
      <c r="AK49" s="202">
        <f>IF($C49,IF($J49="Completado",0,IF($K49&lt;0,1,IF($K49&lt;=3,0.9,IF($K49&lt;=7,0.7,IF($K49&lt;=14,0.45,0.2))))),"")</f>
      </c>
      <c r="AL49" s="202">
        <f>IF($C49,IF($J49="Completado",0,MEDIAN(0,MAX(-$V49,$W49/30),1)),"")</f>
      </c>
      <c r="AM49" s="202">
        <f>IF($C49,IF($J49="Completado",0,IF($Z49,1,IF(AND($I49&lt;0.5,$K49&lt;=7),0.7,0.3))),"")</f>
      </c>
      <c r="AN49" s="203">
        <f>IF($C49,IF(OR($V49&lt;-0.2,$W49&gt;0),"ATRASO ","")&amp;IF($Z49,"BLOQUEO ","")&amp;IF($Y49&gt;8,"SOBRECARGA ","")&amp;IF($X49&gt;0,"DESVÍO-PLAN ",""),"")</f>
      </c>
      <c r="AO49" s="203">
        <f>IF($C49,IFERROR(VLOOKUP($D49,'Sprints'!$G$5:$H$12,2,FALSE),"Semanal"),"")</f>
      </c>
      <c r="AP49" s="202">
        <f>IF($C49,IF($AO49="Semanal",'Sprints'!$D$5,IF($AO49="Quincenal",'Sprints'!$D$6,'Sprints'!$D$7)),"")</f>
      </c>
      <c r="AQ49" s="202">
        <f>IF($C49,IF($AO49="Semanal",'Sprints'!$C$5,IF($AO49="Quincenal",'Sprints'!$C$6,'Sprints'!$C$7)),"")</f>
      </c>
      <c r="AR49" s="202">
        <f>IF(AND($C49,ISNUMBER($H49)),MAX(1,INT(($H49-$AQ49)/$AP49)+1),"")</f>
      </c>
      <c r="AS49" s="202">
        <f>IF($C49,IF($AO49="Semanal",'Sprints'!$E$5,IF($AO49="Quincenal",'Sprints'!$E$6,'Sprints'!$E$7)),"")</f>
      </c>
      <c r="AT49" s="203">
        <f>IF($C49,'Backlog General'!$G49,"")</f>
      </c>
      <c r="AU49" s="203">
        <f>IF($C49,'Backlog General'!$H49,"")</f>
      </c>
      <c r="AV49" s="202">
        <f>IF(AND($C49,ISNUMBER($AR49)),IF(OR($AT49="Completo",$AU49="Cancelado",$AU49="Baja prioridad"),$AR49,IF($AU49="Pasa al siguiente",MAX($AR49+1,$AS49),MAX($AR49,$AS49))),"")</f>
      </c>
      <c r="AW49" s="202">
        <f>IF(AND($C49,ISNUMBER($AR49)),$AQ49+$AR49*$AP49-1,"")</f>
      </c>
      <c r="AX49" s="202">
        <f>IF($C49,IF(OR($AT49="Completo",$AU49="Cancelado",$AU49="Baja prioridad",NOT(ISNUMBER($AW49))),0,MAX(0,TODAY()-$AW49)),"")</f>
      </c>
      <c r="AY49" s="203">
        <f>IF($C49,IF(NOT(ISNUMBER($AR49)),"Sin fecha",IF($AT49="Completo","Completo",IF($AU49="Cancelado","Cancelado",IF($AU49="Baja prioridad","Baja prioridad",IF($AX49&gt;0,"Vencida","Pendiente"))))),"")</f>
      </c>
      <c r="AZ49" s="203">
        <f>IF($C49,IF(ISNUMBER($AV49),$AO49&amp;" · S"&amp;$AV49,"(Sin fecha)"),"")</f>
      </c>
      <c r="BA49" s="202">
        <f>IF($C49,IF(AND(ISNUMBER('Backlog General'!$M49),'Backlog General'!$M49=$AS49),"Nuevo S"&amp;'Backlog General'!$M49,""),"")</f>
      </c>
      <c r="BB49" s="202">
        <f>IF(AND($C49,$AO49="Semanal",ISNUMBER($AV49)),$AV49*100000+ROW(),"")</f>
      </c>
      <c r="BC49" s="202">
        <f>IF(AND($C49,$AO49="Quincenal",ISNUMBER($AV49)),$AV49*100000+ROW(),"")</f>
      </c>
      <c r="BD49" s="202">
        <f>IF(AND($C49,$AO49="Mensual",ISNUMBER($AV49)),$AV49*100000+ROW(),"")</f>
      </c>
    </row>
    <row r="50">
      <c r="A50" s="202">
        <f>ROW()</f>
      </c>
      <c r="B50" s="202">
        <f>ISTEXT('Proyecto Datos (OKR´s)'!$K50)</f>
      </c>
      <c r="C50" s="202">
        <f>AND(LEN('Proyecto Datos (OKR´s)'!$G50)&gt;0,NOT($B50),OR(ISNUMBER('Proyecto Datos (OKR´s)'!$F50),ISNUMBER('Proyecto Datos (OKR´s)'!$L50)))</f>
      </c>
      <c r="D50" s="203">
        <f>IF($C50,IFERROR(LOOKUP(2,1/((ISTEXT('Proyecto Datos (OKR´s)'!$K$7:$K50))*(LEN('Proyecto Datos (OKR´s)'!$G$7:$G50)&gt;0)),'Proyecto Datos (OKR´s)'!$G$7:$G50),""),"")</f>
      </c>
      <c r="E50" s="202">
        <f>IF($C50,'Proyecto Datos (OKR´s)'!$E50,"")</f>
      </c>
      <c r="F50" s="203">
        <f>IF($C50,'Proyecto Datos (OKR´s)'!$G50,"")</f>
      </c>
      <c r="G50" s="203">
        <f>IF($C50,IF('Proyecto Datos (OKR´s)'!$I50="","(Sin asignar)",'Proyecto Datos (OKR´s)'!$I50),"")</f>
      </c>
      <c r="H50" s="202">
        <f>IF($C50,IF(ISNUMBER('Proyecto Datos (OKR´s)'!$F50),'Proyecto Datos (OKR´s)'!$F50,""),"")</f>
      </c>
      <c r="I50" s="202">
        <f>IF($C50,'Proyecto Datos (OKR´s)'!$J50,"")</f>
      </c>
      <c r="J50" s="203">
        <f>IF($C50,IF($I50&gt;=1,"Completado",IF(NOT(ISNUMBER($H50)),"Sin fecha",IF($H50&lt;TODAY(),"Vencido",IF(($H50-TODAY())&lt;='Entregas Próximas'!$M$3,"Próximo a vencer","En curso")))),"")</f>
      </c>
      <c r="K50" s="202">
        <f>IF(AND($C50,ISNUMBER($H50)),$H50-TODAY(),"")</f>
      </c>
      <c r="L50" s="202">
        <f>IF(AND($C50,ISNUMBER($H50)),$AD50*1000000+$H50+ROW()/100000,"")</f>
      </c>
      <c r="M50" s="202">
        <f>IF($C50,IF($AD50=9999,"(Sin sprint)",$AD50),"")</f>
      </c>
      <c r="N50" s="202">
        <f>IF($C50,IF('Proyecto Datos (OKR´s)'!$E50="",9999,'Proyecto Datos (OKR´s)'!$E50),"")</f>
      </c>
      <c r="O50" s="202">
        <f>IF($C50,"T"&amp;TEXT(ROW(),"000"),"")</f>
      </c>
      <c r="R50" s="202">
        <f>IF($C50,IF(ISNUMBER('Proyecto Datos (OKR´s)'!$L50),'Proyecto Datos (OKR´s)'!$L50,$H50),"")</f>
      </c>
      <c r="S50" s="202">
        <f>IF($C50,$R50-'Proyecto Datos (OKR´s)'!$K50+1,"")</f>
      </c>
      <c r="T50" s="202">
        <f>IF($C50,MAX(0,TODAY()-'Proyecto Datos (OKR´s)'!$K50),"")</f>
      </c>
      <c r="U50" s="202">
        <f>IF($C50,MEDIAN(0,(TODAY()-'Proyecto Datos (OKR´s)'!$K50)/MAX(1,$R50-'Proyecto Datos (OKR´s)'!$K50),1),"")</f>
      </c>
      <c r="V50" s="202">
        <f>IF($C50,$I50-$U50,"")</f>
      </c>
      <c r="W50" s="202">
        <f>IF($C50,IF(OR($J50="Completado",NOT(ISNUMBER($H50))),0,MAX(0,TODAY()-$H50)),"")</f>
      </c>
      <c r="X50" s="202">
        <f>IF($C50,IF(ISNUMBER($H50),$R50-$H50,0),"")</f>
      </c>
      <c r="Y50" s="202">
        <f>IF($C50,COUNTIFS($G$7:$G$200,$G50,$J$7:$J$200,"&lt;&gt;Completado",$J$7:$J$200,"&lt;&gt;"),"")</f>
      </c>
      <c r="Z50" s="202">
        <f>IF($C50,AND($I50=0,'Proyecto Datos (OKR´s)'!$K50&lt;=TODAY(),$J50&lt;&gt;"Completado"),"")</f>
      </c>
      <c r="AA50" s="202">
        <f>IF($C50,ROUND(100*(0.35*$AK50+0.3*$AL50+0.2*$AM50+0.15*MEDIAN(0,($Y50-4)/8,1)),0),"")</f>
      </c>
      <c r="AB50" s="203">
        <f>IF($C50,IF(OR($J50="Completado",$J50="Sin fecha"),"—",IF($AA50&gt;=70,"Crítica",IF($AA50&gt;=45,"Alta",IF($AA50&gt;=25,"Media","Baja")))),"")</f>
      </c>
      <c r="AC50" s="203">
        <f>IF($C50,IF(LEN(TRIM($AN50))=0,"—",TRIM($AN50)),"")</f>
      </c>
      <c r="AD50" s="202">
        <f>IF($C50,$AV50,"")</f>
      </c>
      <c r="AE50" s="202">
        <f>IF($C50,$AZ50,"")</f>
      </c>
      <c r="AF50" s="202">
        <f>IF($C50,$AV50&lt;&gt;$AR50,FALSE)</f>
      </c>
      <c r="AG50" s="202">
        <f>IF($C50,IF($AV50&lt;&gt;$AR50,$AW50,""),"")</f>
      </c>
      <c r="AH50" s="203">
        <f>IF($C50,'Backlog General'!$L50,"")</f>
      </c>
      <c r="AI50" s="202">
        <f>IF($C50,$AV50*100000+ROW(),"")</f>
      </c>
      <c r="AJ50" s="202">
        <f>IF(AND($C50,ISNUMBER($H50)),$AA50*1000000-MEDIAN(-9999,$K50,9999)*100+(300-ROW()),"")</f>
      </c>
      <c r="AK50" s="202">
        <f>IF($C50,IF($J50="Completado",0,IF($K50&lt;0,1,IF($K50&lt;=3,0.9,IF($K50&lt;=7,0.7,IF($K50&lt;=14,0.45,0.2))))),"")</f>
      </c>
      <c r="AL50" s="202">
        <f>IF($C50,IF($J50="Completado",0,MEDIAN(0,MAX(-$V50,$W50/30),1)),"")</f>
      </c>
      <c r="AM50" s="202">
        <f>IF($C50,IF($J50="Completado",0,IF($Z50,1,IF(AND($I50&lt;0.5,$K50&lt;=7),0.7,0.3))),"")</f>
      </c>
      <c r="AN50" s="203">
        <f>IF($C50,IF(OR($V50&lt;-0.2,$W50&gt;0),"ATRASO ","")&amp;IF($Z50,"BLOQUEO ","")&amp;IF($Y50&gt;8,"SOBRECARGA ","")&amp;IF($X50&gt;0,"DESVÍO-PLAN ",""),"")</f>
      </c>
      <c r="AO50" s="203">
        <f>IF($C50,IFERROR(VLOOKUP($D50,'Sprints'!$G$5:$H$12,2,FALSE),"Semanal"),"")</f>
      </c>
      <c r="AP50" s="202">
        <f>IF($C50,IF($AO50="Semanal",'Sprints'!$D$5,IF($AO50="Quincenal",'Sprints'!$D$6,'Sprints'!$D$7)),"")</f>
      </c>
      <c r="AQ50" s="202">
        <f>IF($C50,IF($AO50="Semanal",'Sprints'!$C$5,IF($AO50="Quincenal",'Sprints'!$C$6,'Sprints'!$C$7)),"")</f>
      </c>
      <c r="AR50" s="202">
        <f>IF(AND($C50,ISNUMBER($H50)),MAX(1,INT(($H50-$AQ50)/$AP50)+1),"")</f>
      </c>
      <c r="AS50" s="202">
        <f>IF($C50,IF($AO50="Semanal",'Sprints'!$E$5,IF($AO50="Quincenal",'Sprints'!$E$6,'Sprints'!$E$7)),"")</f>
      </c>
      <c r="AT50" s="203">
        <f>IF($C50,'Backlog General'!$G50,"")</f>
      </c>
      <c r="AU50" s="203">
        <f>IF($C50,'Backlog General'!$H50,"")</f>
      </c>
      <c r="AV50" s="202">
        <f>IF(AND($C50,ISNUMBER($AR50)),IF(OR($AT50="Completo",$AU50="Cancelado",$AU50="Baja prioridad"),$AR50,IF($AU50="Pasa al siguiente",MAX($AR50+1,$AS50),MAX($AR50,$AS50))),"")</f>
      </c>
      <c r="AW50" s="202">
        <f>IF(AND($C50,ISNUMBER($AR50)),$AQ50+$AR50*$AP50-1,"")</f>
      </c>
      <c r="AX50" s="202">
        <f>IF($C50,IF(OR($AT50="Completo",$AU50="Cancelado",$AU50="Baja prioridad",NOT(ISNUMBER($AW50))),0,MAX(0,TODAY()-$AW50)),"")</f>
      </c>
      <c r="AY50" s="203">
        <f>IF($C50,IF(NOT(ISNUMBER($AR50)),"Sin fecha",IF($AT50="Completo","Completo",IF($AU50="Cancelado","Cancelado",IF($AU50="Baja prioridad","Baja prioridad",IF($AX50&gt;0,"Vencida","Pendiente"))))),"")</f>
      </c>
      <c r="AZ50" s="203">
        <f>IF($C50,IF(ISNUMBER($AV50),$AO50&amp;" · S"&amp;$AV50,"(Sin fecha)"),"")</f>
      </c>
      <c r="BA50" s="202">
        <f>IF($C50,IF(AND(ISNUMBER('Backlog General'!$M50),'Backlog General'!$M50=$AS50),"Nuevo S"&amp;'Backlog General'!$M50,""),"")</f>
      </c>
      <c r="BB50" s="202">
        <f>IF(AND($C50,$AO50="Semanal",ISNUMBER($AV50)),$AV50*100000+ROW(),"")</f>
      </c>
      <c r="BC50" s="202">
        <f>IF(AND($C50,$AO50="Quincenal",ISNUMBER($AV50)),$AV50*100000+ROW(),"")</f>
      </c>
      <c r="BD50" s="202">
        <f>IF(AND($C50,$AO50="Mensual",ISNUMBER($AV50)),$AV50*100000+ROW(),"")</f>
      </c>
    </row>
    <row r="51">
      <c r="A51" s="202">
        <f>ROW()</f>
      </c>
      <c r="B51" s="202">
        <f>ISTEXT('Proyecto Datos (OKR´s)'!$K51)</f>
      </c>
      <c r="C51" s="202">
        <f>AND(LEN('Proyecto Datos (OKR´s)'!$G51)&gt;0,NOT($B51),OR(ISNUMBER('Proyecto Datos (OKR´s)'!$F51),ISNUMBER('Proyecto Datos (OKR´s)'!$L51)))</f>
      </c>
      <c r="D51" s="203">
        <f>IF($C51,IFERROR(LOOKUP(2,1/((ISTEXT('Proyecto Datos (OKR´s)'!$K$7:$K51))*(LEN('Proyecto Datos (OKR´s)'!$G$7:$G51)&gt;0)),'Proyecto Datos (OKR´s)'!$G$7:$G51),""),"")</f>
      </c>
      <c r="E51" s="202">
        <f>IF($C51,'Proyecto Datos (OKR´s)'!$E51,"")</f>
      </c>
      <c r="F51" s="203">
        <f>IF($C51,'Proyecto Datos (OKR´s)'!$G51,"")</f>
      </c>
      <c r="G51" s="203">
        <f>IF($C51,IF('Proyecto Datos (OKR´s)'!$I51="","(Sin asignar)",'Proyecto Datos (OKR´s)'!$I51),"")</f>
      </c>
      <c r="H51" s="202">
        <f>IF($C51,IF(ISNUMBER('Proyecto Datos (OKR´s)'!$F51),'Proyecto Datos (OKR´s)'!$F51,""),"")</f>
      </c>
      <c r="I51" s="202">
        <f>IF($C51,'Proyecto Datos (OKR´s)'!$J51,"")</f>
      </c>
      <c r="J51" s="203">
        <f>IF($C51,IF($I51&gt;=1,"Completado",IF(NOT(ISNUMBER($H51)),"Sin fecha",IF($H51&lt;TODAY(),"Vencido",IF(($H51-TODAY())&lt;='Entregas Próximas'!$M$3,"Próximo a vencer","En curso")))),"")</f>
      </c>
      <c r="K51" s="202">
        <f>IF(AND($C51,ISNUMBER($H51)),$H51-TODAY(),"")</f>
      </c>
      <c r="L51" s="202">
        <f>IF(AND($C51,ISNUMBER($H51)),$AD51*1000000+$H51+ROW()/100000,"")</f>
      </c>
      <c r="M51" s="202">
        <f>IF($C51,IF($AD51=9999,"(Sin sprint)",$AD51),"")</f>
      </c>
      <c r="N51" s="202">
        <f>IF($C51,IF('Proyecto Datos (OKR´s)'!$E51="",9999,'Proyecto Datos (OKR´s)'!$E51),"")</f>
      </c>
      <c r="O51" s="202">
        <f>IF($C51,"T"&amp;TEXT(ROW(),"000"),"")</f>
      </c>
      <c r="R51" s="202">
        <f>IF($C51,IF(ISNUMBER('Proyecto Datos (OKR´s)'!$L51),'Proyecto Datos (OKR´s)'!$L51,$H51),"")</f>
      </c>
      <c r="S51" s="202">
        <f>IF($C51,$R51-'Proyecto Datos (OKR´s)'!$K51+1,"")</f>
      </c>
      <c r="T51" s="202">
        <f>IF($C51,MAX(0,TODAY()-'Proyecto Datos (OKR´s)'!$K51),"")</f>
      </c>
      <c r="U51" s="202">
        <f>IF($C51,MEDIAN(0,(TODAY()-'Proyecto Datos (OKR´s)'!$K51)/MAX(1,$R51-'Proyecto Datos (OKR´s)'!$K51),1),"")</f>
      </c>
      <c r="V51" s="202">
        <f>IF($C51,$I51-$U51,"")</f>
      </c>
      <c r="W51" s="202">
        <f>IF($C51,IF(OR($J51="Completado",NOT(ISNUMBER($H51))),0,MAX(0,TODAY()-$H51)),"")</f>
      </c>
      <c r="X51" s="202">
        <f>IF($C51,IF(ISNUMBER($H51),$R51-$H51,0),"")</f>
      </c>
      <c r="Y51" s="202">
        <f>IF($C51,COUNTIFS($G$7:$G$200,$G51,$J$7:$J$200,"&lt;&gt;Completado",$J$7:$J$200,"&lt;&gt;"),"")</f>
      </c>
      <c r="Z51" s="202">
        <f>IF($C51,AND($I51=0,'Proyecto Datos (OKR´s)'!$K51&lt;=TODAY(),$J51&lt;&gt;"Completado"),"")</f>
      </c>
      <c r="AA51" s="202">
        <f>IF($C51,ROUND(100*(0.35*$AK51+0.3*$AL51+0.2*$AM51+0.15*MEDIAN(0,($Y51-4)/8,1)),0),"")</f>
      </c>
      <c r="AB51" s="203">
        <f>IF($C51,IF(OR($J51="Completado",$J51="Sin fecha"),"—",IF($AA51&gt;=70,"Crítica",IF($AA51&gt;=45,"Alta",IF($AA51&gt;=25,"Media","Baja")))),"")</f>
      </c>
      <c r="AC51" s="203">
        <f>IF($C51,IF(LEN(TRIM($AN51))=0,"—",TRIM($AN51)),"")</f>
      </c>
      <c r="AD51" s="202">
        <f>IF($C51,$AV51,"")</f>
      </c>
      <c r="AE51" s="202">
        <f>IF($C51,$AZ51,"")</f>
      </c>
      <c r="AF51" s="202">
        <f>IF($C51,$AV51&lt;&gt;$AR51,FALSE)</f>
      </c>
      <c r="AG51" s="202">
        <f>IF($C51,IF($AV51&lt;&gt;$AR51,$AW51,""),"")</f>
      </c>
      <c r="AH51" s="203">
        <f>IF($C51,'Backlog General'!$L51,"")</f>
      </c>
      <c r="AI51" s="202">
        <f>IF($C51,$AV51*100000+ROW(),"")</f>
      </c>
      <c r="AJ51" s="202">
        <f>IF(AND($C51,ISNUMBER($H51)),$AA51*1000000-MEDIAN(-9999,$K51,9999)*100+(300-ROW()),"")</f>
      </c>
      <c r="AK51" s="202">
        <f>IF($C51,IF($J51="Completado",0,IF($K51&lt;0,1,IF($K51&lt;=3,0.9,IF($K51&lt;=7,0.7,IF($K51&lt;=14,0.45,0.2))))),"")</f>
      </c>
      <c r="AL51" s="202">
        <f>IF($C51,IF($J51="Completado",0,MEDIAN(0,MAX(-$V51,$W51/30),1)),"")</f>
      </c>
      <c r="AM51" s="202">
        <f>IF($C51,IF($J51="Completado",0,IF($Z51,1,IF(AND($I51&lt;0.5,$K51&lt;=7),0.7,0.3))),"")</f>
      </c>
      <c r="AN51" s="203">
        <f>IF($C51,IF(OR($V51&lt;-0.2,$W51&gt;0),"ATRASO ","")&amp;IF($Z51,"BLOQUEO ","")&amp;IF($Y51&gt;8,"SOBRECARGA ","")&amp;IF($X51&gt;0,"DESVÍO-PLAN ",""),"")</f>
      </c>
      <c r="AO51" s="203">
        <f>IF($C51,IFERROR(VLOOKUP($D51,'Sprints'!$G$5:$H$12,2,FALSE),"Semanal"),"")</f>
      </c>
      <c r="AP51" s="202">
        <f>IF($C51,IF($AO51="Semanal",'Sprints'!$D$5,IF($AO51="Quincenal",'Sprints'!$D$6,'Sprints'!$D$7)),"")</f>
      </c>
      <c r="AQ51" s="202">
        <f>IF($C51,IF($AO51="Semanal",'Sprints'!$C$5,IF($AO51="Quincenal",'Sprints'!$C$6,'Sprints'!$C$7)),"")</f>
      </c>
      <c r="AR51" s="202">
        <f>IF(AND($C51,ISNUMBER($H51)),MAX(1,INT(($H51-$AQ51)/$AP51)+1),"")</f>
      </c>
      <c r="AS51" s="202">
        <f>IF($C51,IF($AO51="Semanal",'Sprints'!$E$5,IF($AO51="Quincenal",'Sprints'!$E$6,'Sprints'!$E$7)),"")</f>
      </c>
      <c r="AT51" s="203">
        <f>IF($C51,'Backlog General'!$G51,"")</f>
      </c>
      <c r="AU51" s="203">
        <f>IF($C51,'Backlog General'!$H51,"")</f>
      </c>
      <c r="AV51" s="202">
        <f>IF(AND($C51,ISNUMBER($AR51)),IF(OR($AT51="Completo",$AU51="Cancelado",$AU51="Baja prioridad"),$AR51,IF($AU51="Pasa al siguiente",MAX($AR51+1,$AS51),MAX($AR51,$AS51))),"")</f>
      </c>
      <c r="AW51" s="202">
        <f>IF(AND($C51,ISNUMBER($AR51)),$AQ51+$AR51*$AP51-1,"")</f>
      </c>
      <c r="AX51" s="202">
        <f>IF($C51,IF(OR($AT51="Completo",$AU51="Cancelado",$AU51="Baja prioridad",NOT(ISNUMBER($AW51))),0,MAX(0,TODAY()-$AW51)),"")</f>
      </c>
      <c r="AY51" s="203">
        <f>IF($C51,IF(NOT(ISNUMBER($AR51)),"Sin fecha",IF($AT51="Completo","Completo",IF($AU51="Cancelado","Cancelado",IF($AU51="Baja prioridad","Baja prioridad",IF($AX51&gt;0,"Vencida","Pendiente"))))),"")</f>
      </c>
      <c r="AZ51" s="203">
        <f>IF($C51,IF(ISNUMBER($AV51),$AO51&amp;" · S"&amp;$AV51,"(Sin fecha)"),"")</f>
      </c>
      <c r="BA51" s="202">
        <f>IF($C51,IF(AND(ISNUMBER('Backlog General'!$M51),'Backlog General'!$M51=$AS51),"Nuevo S"&amp;'Backlog General'!$M51,""),"")</f>
      </c>
      <c r="BB51" s="202">
        <f>IF(AND($C51,$AO51="Semanal",ISNUMBER($AV51)),$AV51*100000+ROW(),"")</f>
      </c>
      <c r="BC51" s="202">
        <f>IF(AND($C51,$AO51="Quincenal",ISNUMBER($AV51)),$AV51*100000+ROW(),"")</f>
      </c>
      <c r="BD51" s="202">
        <f>IF(AND($C51,$AO51="Mensual",ISNUMBER($AV51)),$AV51*100000+ROW(),"")</f>
      </c>
    </row>
    <row r="52">
      <c r="A52" s="202">
        <f>ROW()</f>
      </c>
      <c r="B52" s="202">
        <f>ISTEXT('Proyecto Datos (OKR´s)'!$K52)</f>
      </c>
      <c r="C52" s="202">
        <f>AND(LEN('Proyecto Datos (OKR´s)'!$G52)&gt;0,NOT($B52),OR(ISNUMBER('Proyecto Datos (OKR´s)'!$F52),ISNUMBER('Proyecto Datos (OKR´s)'!$L52)))</f>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IF($C52,'Proyecto Datos (OKR´s)'!$J52,"")</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f>IF($C52,$AV52&lt;&gt;$AR52,FALSE)</f>
      </c>
      <c r="AG52" s="202">
        <f>IF($C52,IF($AV52&lt;&gt;$AR52,$AW52,""),"")</f>
      </c>
      <c r="AH52" s="203">
        <f>IF($C52,'Backlog General'!$L52,"")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IF($C52,IFERROR(VLOOKUP($D52,'Sprints'!$G$5:$H$12,2,FALSE),"Semanal"),"")</f>
      </c>
      <c r="AP52" s="202">
        <f>IF($C52,IF($AO52="Semanal",'Sprints'!$D$5,IF($AO52="Quincenal",'Sprints'!$D$6,'Sprints'!$D$7)),"")</f>
      </c>
      <c r="AQ52" s="202">
        <f>IF($C52,IF($AO52="Semanal",'Sprints'!$C$5,IF($AO52="Quincenal",'Sprints'!$C$6,'Sprints'!$C$7)),"")</f>
      </c>
      <c r="AR52" s="202">
        <f>IF(AND($C52,ISNUMBER($H52)),MAX(1,INT(($H52-$AQ52)/$AP52)+1),"")</f>
      </c>
      <c r="AS52" s="202">
        <f>IF($C52,IF($AO52="Semanal",'Sprints'!$E$5,IF($AO52="Quincenal",'Sprints'!$E$6,'Sprints'!$E$7)),"")</f>
      </c>
      <c r="AT52" s="203">
        <f>IF($C52,'Backlog General'!$G52,"")</f>
      </c>
      <c r="AU52" s="203">
        <f>IF($C52,'Backlog General'!$H52,"")</f>
      </c>
      <c r="AV52" s="202">
        <f>IF(AND($C52,ISNUMBER($AR52)),IF(OR($AT52="Completo",$AU52="Cancelado",$AU52="Baja prioridad"),$AR52,IF($AU52="Pasa al siguiente",MAX($AR52+1,$AS52),MAX($AR52,$AS52))),"")</f>
      </c>
      <c r="AW52" s="202">
        <f>IF(AND($C52,ISNUMBER($AR52)),$AQ52+$AR52*$AP52-1,"")</f>
      </c>
      <c r="AX52" s="202">
        <f>IF($C52,IF(OR($AT52="Completo",$AU52="Cancelado",$AU52="Baja prioridad",NOT(ISNUMBER($AW52))),0,MAX(0,TODAY()-$AW52)),"")</f>
      </c>
      <c r="AY52" s="203">
        <f>IF($C52,IF(NOT(ISNUMBER($AR52)),"Sin fecha",IF($AT52="Completo","Completo",IF($AU52="Cancelado","Cancelado",IF($AU52="Baja prioridad","Baja prioridad",IF($AX52&gt;0,"Vencida","Pendiente"))))),"")</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row>
    <row r="53">
      <c r="A53" s="202">
        <f>ROW()</f>
      </c>
      <c r="B53" s="202">
        <f>ISTEXT('Proyecto Datos (OKR´s)'!$K53)</f>
      </c>
      <c r="C53" s="202">
        <f>AND(LEN('Proyecto Datos (OKR´s)'!$G53)&gt;0,NOT($B53),OR(ISNUMBER('Proyecto Datos (OKR´s)'!$F53),ISNUMBER('Proyecto Datos (OKR´s)'!$L53)))</f>
      </c>
      <c r="D53" s="203">
        <f>IF($C53,IFERROR(LOOKUP(2,1/((ISTEXT('Proyecto Datos (OKR´s)'!$K$7:$K53))*(LEN('Proyecto Datos (OKR´s)'!$G$7:$G53)&gt;0)),'Proyecto Datos (OKR´s)'!$G$7:$G53),""),"")</f>
      </c>
      <c r="E53" s="202">
        <f>IF($C53,'Proyecto Datos (OKR´s)'!$E53,"")</f>
      </c>
      <c r="F53" s="203">
        <f>IF($C53,'Proyecto Datos (OKR´s)'!$G53,"")</f>
      </c>
      <c r="G53" s="203">
        <f>IF($C53,IF('Proyecto Datos (OKR´s)'!$I53="","(Sin asignar)",'Proyecto Datos (OKR´s)'!$I53),"")</f>
      </c>
      <c r="H53" s="202">
        <f>IF($C53,IF(ISNUMBER('Proyecto Datos (OKR´s)'!$F53),'Proyecto Datos (OKR´s)'!$F53,""),"")</f>
      </c>
      <c r="I53" s="202">
        <f>IF($C53,'Proyecto Datos (OKR´s)'!$J53,"")</f>
      </c>
      <c r="J53" s="203">
        <f>IF($C53,IF($I53&gt;=1,"Completado",IF(NOT(ISNUMBER($H53)),"Sin fecha",IF($H53&lt;TODAY(),"Vencido",IF(($H53-TODAY())&lt;='Entregas Próximas'!$M$3,"Próximo a vencer","En curso")))),"")</f>
      </c>
      <c r="K53" s="202">
        <f>IF(AND($C53,ISNUMBER($H53)),$H53-TODAY(),"")</f>
      </c>
      <c r="L53" s="202">
        <f>IF(AND($C53,ISNUMBER($H53)),$AD53*1000000+$H53+ROW()/100000,"")</f>
      </c>
      <c r="M53" s="202">
        <f>IF($C53,IF($AD53=9999,"(Sin sprint)",$AD53),"")</f>
      </c>
      <c r="N53" s="202">
        <f>IF($C53,IF('Proyecto Datos (OKR´s)'!$E53="",9999,'Proyecto Datos (OKR´s)'!$E53),"")</f>
      </c>
      <c r="O53" s="202">
        <f>IF($C53,"T"&amp;TEXT(ROW(),"000"),"")</f>
      </c>
      <c r="R53" s="202">
        <f>IF($C53,IF(ISNUMBER('Proyecto Datos (OKR´s)'!$L53),'Proyecto Datos (OKR´s)'!$L53,$H53),"")</f>
      </c>
      <c r="S53" s="202">
        <f>IF($C53,$R53-'Proyecto Datos (OKR´s)'!$K53+1,"")</f>
      </c>
      <c r="T53" s="202">
        <f>IF($C53,MAX(0,TODAY()-'Proyecto Datos (OKR´s)'!$K53),"")</f>
      </c>
      <c r="U53" s="202">
        <f>IF($C53,MEDIAN(0,(TODAY()-'Proyecto Datos (OKR´s)'!$K53)/MAX(1,$R53-'Proyecto Datos (OKR´s)'!$K53),1),"")</f>
      </c>
      <c r="V53" s="202">
        <f>IF($C53,$I53-$U53,"")</f>
      </c>
      <c r="W53" s="202">
        <f>IF($C53,IF(OR($J53="Completado",NOT(ISNUMBER($H53))),0,MAX(0,TODAY()-$H53)),"")</f>
      </c>
      <c r="X53" s="202">
        <f>IF($C53,IF(ISNUMBER($H53),$R53-$H53,0),"")</f>
      </c>
      <c r="Y53" s="202">
        <f>IF($C53,COUNTIFS($G$7:$G$200,$G53,$J$7:$J$200,"&lt;&gt;Completado",$J$7:$J$200,"&lt;&gt;"),"")</f>
      </c>
      <c r="Z53" s="202">
        <f>IF($C53,AND($I53=0,'Proyecto Datos (OKR´s)'!$K53&lt;=TODAY(),$J53&lt;&gt;"Completado"),"")</f>
      </c>
      <c r="AA53" s="202">
        <f>IF($C53,ROUND(100*(0.35*$AK53+0.3*$AL53+0.2*$AM53+0.15*MEDIAN(0,($Y53-4)/8,1)),0),"")</f>
      </c>
      <c r="AB53" s="203">
        <f>IF($C53,IF(OR($J53="Completado",$J53="Sin fecha"),"—",IF($AA53&gt;=70,"Crítica",IF($AA53&gt;=45,"Alta",IF($AA53&gt;=25,"Media","Baja")))),"")</f>
      </c>
      <c r="AC53" s="203">
        <f>IF($C53,IF(LEN(TRIM($AN53))=0,"—",TRIM($AN53)),"")</f>
      </c>
      <c r="AD53" s="202">
        <f>IF($C53,$AV53,"")</f>
      </c>
      <c r="AE53" s="202">
        <f>IF($C53,$AZ53,"")</f>
      </c>
      <c r="AF53" s="202">
        <f>IF($C53,$AV53&lt;&gt;$AR53,FALSE)</f>
      </c>
      <c r="AG53" s="202">
        <f>IF($C53,IF($AV53&lt;&gt;$AR53,$AW53,""),"")</f>
      </c>
      <c r="AH53" s="203">
        <f>IF($C53,'Backlog General'!$L53,"")</f>
      </c>
      <c r="AI53" s="202">
        <f>IF($C53,$AV53*100000+ROW(),"")</f>
      </c>
      <c r="AJ53" s="202">
        <f>IF(AND($C53,ISNUMBER($H53)),$AA53*1000000-MEDIAN(-9999,$K53,9999)*100+(300-ROW()),"")</f>
      </c>
      <c r="AK53" s="202">
        <f>IF($C53,IF($J53="Completado",0,IF($K53&lt;0,1,IF($K53&lt;=3,0.9,IF($K53&lt;=7,0.7,IF($K53&lt;=14,0.45,0.2))))),"")</f>
      </c>
      <c r="AL53" s="202">
        <f>IF($C53,IF($J53="Completado",0,MEDIAN(0,MAX(-$V53,$W53/30),1)),"")</f>
      </c>
      <c r="AM53" s="202">
        <f>IF($C53,IF($J53="Completado",0,IF($Z53,1,IF(AND($I53&lt;0.5,$K53&lt;=7),0.7,0.3))),"")</f>
      </c>
      <c r="AN53" s="203">
        <f>IF($C53,IF(OR($V53&lt;-0.2,$W53&gt;0),"ATRASO ","")&amp;IF($Z53,"BLOQUEO ","")&amp;IF($Y53&gt;8,"SOBRECARGA ","")&amp;IF($X53&gt;0,"DESVÍO-PLAN ",""),"")</f>
      </c>
      <c r="AO53" s="203">
        <f>IF($C53,IFERROR(VLOOKUP($D53,'Sprints'!$G$5:$H$12,2,FALSE),"Semanal"),"")</f>
      </c>
      <c r="AP53" s="202">
        <f>IF($C53,IF($AO53="Semanal",'Sprints'!$D$5,IF($AO53="Quincenal",'Sprints'!$D$6,'Sprints'!$D$7)),"")</f>
      </c>
      <c r="AQ53" s="202">
        <f>IF($C53,IF($AO53="Semanal",'Sprints'!$C$5,IF($AO53="Quincenal",'Sprints'!$C$6,'Sprints'!$C$7)),"")</f>
      </c>
      <c r="AR53" s="202">
        <f>IF(AND($C53,ISNUMBER($H53)),MAX(1,INT(($H53-$AQ53)/$AP53)+1),"")</f>
      </c>
      <c r="AS53" s="202">
        <f>IF($C53,IF($AO53="Semanal",'Sprints'!$E$5,IF($AO53="Quincenal",'Sprints'!$E$6,'Sprints'!$E$7)),"")</f>
      </c>
      <c r="AT53" s="203">
        <f>IF($C53,'Backlog General'!$G53,"")</f>
      </c>
      <c r="AU53" s="203">
        <f>IF($C53,'Backlog General'!$H53,"")</f>
      </c>
      <c r="AV53" s="202">
        <f>IF(AND($C53,ISNUMBER($AR53)),IF(OR($AT53="Completo",$AU53="Cancelado",$AU53="Baja prioridad"),$AR53,IF($AU53="Pasa al siguiente",MAX($AR53+1,$AS53),MAX($AR53,$AS53))),"")</f>
      </c>
      <c r="AW53" s="202">
        <f>IF(AND($C53,ISNUMBER($AR53)),$AQ53+$AR53*$AP53-1,"")</f>
      </c>
      <c r="AX53" s="202">
        <f>IF($C53,IF(OR($AT53="Completo",$AU53="Cancelado",$AU53="Baja prioridad",NOT(ISNUMBER($AW53))),0,MAX(0,TODAY()-$AW53)),"")</f>
      </c>
      <c r="AY53" s="203">
        <f>IF($C53,IF(NOT(ISNUMBER($AR53)),"Sin fecha",IF($AT53="Completo","Completo",IF($AU53="Cancelado","Cancelado",IF($AU53="Baja prioridad","Baja prioridad",IF($AX53&gt;0,"Vencida","Pendiente"))))),"")</f>
      </c>
      <c r="AZ53" s="203">
        <f>IF($C53,IF(ISNUMBER($AV53),$AO53&amp;" · S"&amp;$AV53,"(Sin fecha)"),"")</f>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row>
    <row r="54">
      <c r="A54" s="202">
        <f>ROW()</f>
      </c>
      <c r="B54" s="202">
        <f>ISTEXT('Proyecto Datos (OKR´s)'!$K54)</f>
      </c>
      <c r="C54" s="202">
        <f>AND(LEN('Proyecto Datos (OKR´s)'!$G54)&gt;0,NOT($B54),OR(ISNUMBER('Proyecto Datos (OKR´s)'!$F54),ISNUMBER('Proyecto Datos (OKR´s)'!$L54)))</f>
      </c>
      <c r="D54" s="203">
        <f>IF($C54,IFERROR(LOOKUP(2,1/((ISTEXT('Proyecto Datos (OKR´s)'!$K$7:$K54))*(LEN('Proyecto Datos (OKR´s)'!$G$7:$G54)&gt;0)),'Proyecto Datos (OKR´s)'!$G$7:$G54),""),"")</f>
      </c>
      <c r="E54" s="202">
        <f>IF($C54,'Proyecto Datos (OKR´s)'!$E54,"")</f>
      </c>
      <c r="F54" s="203">
        <f>IF($C54,'Proyecto Datos (OKR´s)'!$G54,"")</f>
      </c>
      <c r="G54" s="203">
        <f>IF($C54,IF('Proyecto Datos (OKR´s)'!$I54="","(Sin asignar)",'Proyecto Datos (OKR´s)'!$I54),"")</f>
      </c>
      <c r="H54" s="202">
        <f>IF($C54,IF(ISNUMBER('Proyecto Datos (OKR´s)'!$F54),'Proyecto Datos (OKR´s)'!$F54,""),"")</f>
      </c>
      <c r="I54" s="202">
        <f>IF($C54,'Proyecto Datos (OKR´s)'!$J54,"")</f>
      </c>
      <c r="J54" s="203">
        <f>IF($C54,IF($I54&gt;=1,"Completado",IF(NOT(ISNUMBER($H54)),"Sin fecha",IF($H54&lt;TODAY(),"Vencido",IF(($H54-TODAY())&lt;='Entregas Próximas'!$M$3,"Próximo a vencer","En curso")))),"")</f>
      </c>
      <c r="K54" s="202">
        <f>IF(AND($C54,ISNUMBER($H54)),$H54-TODAY(),"")</f>
      </c>
      <c r="L54" s="202">
        <f>IF(AND($C54,ISNUMBER($H54)),$AD54*1000000+$H54+ROW()/100000,"")</f>
      </c>
      <c r="M54" s="202">
        <f>IF($C54,IF($AD54=9999,"(Sin sprint)",$AD54),"")</f>
      </c>
      <c r="N54" s="202">
        <f>IF($C54,IF('Proyecto Datos (OKR´s)'!$E54="",9999,'Proyecto Datos (OKR´s)'!$E54),"")</f>
      </c>
      <c r="O54" s="202">
        <f>IF($C54,"T"&amp;TEXT(ROW(),"000"),"")</f>
      </c>
      <c r="R54" s="202">
        <f>IF($C54,IF(ISNUMBER('Proyecto Datos (OKR´s)'!$L54),'Proyecto Datos (OKR´s)'!$L54,$H54),"")</f>
      </c>
      <c r="S54" s="202">
        <f>IF($C54,$R54-'Proyecto Datos (OKR´s)'!$K54+1,"")</f>
      </c>
      <c r="T54" s="202">
        <f>IF($C54,MAX(0,TODAY()-'Proyecto Datos (OKR´s)'!$K54),"")</f>
      </c>
      <c r="U54" s="202">
        <f>IF($C54,MEDIAN(0,(TODAY()-'Proyecto Datos (OKR´s)'!$K54)/MAX(1,$R54-'Proyecto Datos (OKR´s)'!$K54),1),"")</f>
      </c>
      <c r="V54" s="202">
        <f>IF($C54,$I54-$U54,"")</f>
      </c>
      <c r="W54" s="202">
        <f>IF($C54,IF(OR($J54="Completado",NOT(ISNUMBER($H54))),0,MAX(0,TODAY()-$H54)),"")</f>
      </c>
      <c r="X54" s="202">
        <f>IF($C54,IF(ISNUMBER($H54),$R54-$H54,0),"")</f>
      </c>
      <c r="Y54" s="202">
        <f>IF($C54,COUNTIFS($G$7:$G$200,$G54,$J$7:$J$200,"&lt;&gt;Completado",$J$7:$J$200,"&lt;&gt;"),"")</f>
      </c>
      <c r="Z54" s="202">
        <f>IF($C54,AND($I54=0,'Proyecto Datos (OKR´s)'!$K54&lt;=TODAY(),$J54&lt;&gt;"Completado"),"")</f>
      </c>
      <c r="AA54" s="202">
        <f>IF($C54,ROUND(100*(0.35*$AK54+0.3*$AL54+0.2*$AM54+0.15*MEDIAN(0,($Y54-4)/8,1)),0),"")</f>
      </c>
      <c r="AB54" s="203">
        <f>IF($C54,IF(OR($J54="Completado",$J54="Sin fecha"),"—",IF($AA54&gt;=70,"Crítica",IF($AA54&gt;=45,"Alta",IF($AA54&gt;=25,"Media","Baja")))),"")</f>
      </c>
      <c r="AC54" s="203">
        <f>IF($C54,IF(LEN(TRIM($AN54))=0,"—",TRIM($AN54)),"")</f>
      </c>
      <c r="AD54" s="202">
        <f>IF($C54,$AV54,"")</f>
      </c>
      <c r="AE54" s="202">
        <f>IF($C54,$AZ54,"")</f>
      </c>
      <c r="AF54" s="202">
        <f>IF($C54,$AV54&lt;&gt;$AR54,FALSE)</f>
      </c>
      <c r="AG54" s="202">
        <f>IF($C54,IF($AV54&lt;&gt;$AR54,$AW54,""),"")</f>
      </c>
      <c r="AH54" s="203">
        <f>IF($C54,'Backlog General'!$L54,"")</f>
      </c>
      <c r="AI54" s="202">
        <f>IF($C54,$AV54*100000+ROW(),"")</f>
      </c>
      <c r="AJ54" s="202">
        <f>IF(AND($C54,ISNUMBER($H54)),$AA54*1000000-MEDIAN(-9999,$K54,9999)*100+(300-ROW()),"")</f>
      </c>
      <c r="AK54" s="202">
        <f>IF($C54,IF($J54="Completado",0,IF($K54&lt;0,1,IF($K54&lt;=3,0.9,IF($K54&lt;=7,0.7,IF($K54&lt;=14,0.45,0.2))))),"")</f>
      </c>
      <c r="AL54" s="202">
        <f>IF($C54,IF($J54="Completado",0,MEDIAN(0,MAX(-$V54,$W54/30),1)),"")</f>
      </c>
      <c r="AM54" s="202">
        <f>IF($C54,IF($J54="Completado",0,IF($Z54,1,IF(AND($I54&lt;0.5,$K54&lt;=7),0.7,0.3))),"")</f>
      </c>
      <c r="AN54" s="203">
        <f>IF($C54,IF(OR($V54&lt;-0.2,$W54&gt;0),"ATRASO ","")&amp;IF($Z54,"BLOQUEO ","")&amp;IF($Y54&gt;8,"SOBRECARGA ","")&amp;IF($X54&gt;0,"DESVÍO-PLAN ",""),"")</f>
      </c>
      <c r="AO54" s="203">
        <f>IF($C54,IFERROR(VLOOKUP($D54,'Sprints'!$G$5:$H$12,2,FALSE),"Semanal"),"")</f>
      </c>
      <c r="AP54" s="202">
        <f>IF($C54,IF($AO54="Semanal",'Sprints'!$D$5,IF($AO54="Quincenal",'Sprints'!$D$6,'Sprints'!$D$7)),"")</f>
      </c>
      <c r="AQ54" s="202">
        <f>IF($C54,IF($AO54="Semanal",'Sprints'!$C$5,IF($AO54="Quincenal",'Sprints'!$C$6,'Sprints'!$C$7)),"")</f>
      </c>
      <c r="AR54" s="202">
        <f>IF(AND($C54,ISNUMBER($H54)),MAX(1,INT(($H54-$AQ54)/$AP54)+1),"")</f>
      </c>
      <c r="AS54" s="202">
        <f>IF($C54,IF($AO54="Semanal",'Sprints'!$E$5,IF($AO54="Quincenal",'Sprints'!$E$6,'Sprints'!$E$7)),"")</f>
      </c>
      <c r="AT54" s="203">
        <f>IF($C54,'Backlog General'!$G54,"")</f>
      </c>
      <c r="AU54" s="203">
        <f>IF($C54,'Backlog General'!$H54,"")</f>
      </c>
      <c r="AV54" s="202">
        <f>IF(AND($C54,ISNUMBER($AR54)),IF(OR($AT54="Completo",$AU54="Cancelado",$AU54="Baja prioridad"),$AR54,IF($AU54="Pasa al siguiente",MAX($AR54+1,$AS54),MAX($AR54,$AS54))),"")</f>
      </c>
      <c r="AW54" s="202">
        <f>IF(AND($C54,ISNUMBER($AR54)),$AQ54+$AR54*$AP54-1,"")</f>
      </c>
      <c r="AX54" s="202">
        <f>IF($C54,IF(OR($AT54="Completo",$AU54="Cancelado",$AU54="Baja prioridad",NOT(ISNUMBER($AW54))),0,MAX(0,TODAY()-$AW54)),"")</f>
      </c>
      <c r="AY54" s="203">
        <f>IF($C54,IF(NOT(ISNUMBER($AR54)),"Sin fecha",IF($AT54="Completo","Completo",IF($AU54="Cancelado","Cancelado",IF($AU54="Baja prioridad","Baja prioridad",IF($AX54&gt;0,"Vencida","Pendiente"))))),"")</f>
      </c>
      <c r="AZ54" s="203">
        <f>IF($C54,IF(ISNUMBER($AV54),$AO54&amp;" · S"&amp;$AV54,"(Sin fecha)"),"")</f>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row>
    <row r="55">
      <c r="A55" s="202">
        <f>ROW()</f>
      </c>
      <c r="B55" s="202">
        <f>ISTEXT('Proyecto Datos (OKR´s)'!$K55)</f>
      </c>
      <c r="C55" s="202">
        <f>AND(LEN('Proyecto Datos (OKR´s)'!$G55)&gt;0,NOT($B55),OR(ISNUMBER('Proyecto Datos (OKR´s)'!$F55),ISNUMBER('Proyecto Datos (OKR´s)'!$L55)))</f>
      </c>
      <c r="D55" s="203">
        <f>IF($C55,IFERROR(LOOKUP(2,1/((ISTEXT('Proyecto Datos (OKR´s)'!$K$7:$K55))*(LEN('Proyecto Datos (OKR´s)'!$G$7:$G55)&gt;0)),'Proyecto Datos (OKR´s)'!$G$7:$G55),""),"")</f>
      </c>
      <c r="E55" s="202">
        <f>IF($C55,'Proyecto Datos (OKR´s)'!$E55,"")</f>
      </c>
      <c r="F55" s="203">
        <f>IF($C55,'Proyecto Datos (OKR´s)'!$G55,"")</f>
      </c>
      <c r="G55" s="203">
        <f>IF($C55,IF('Proyecto Datos (OKR´s)'!$I55="","(Sin asignar)",'Proyecto Datos (OKR´s)'!$I55),"")</f>
      </c>
      <c r="H55" s="202">
        <f>IF($C55,IF(ISNUMBER('Proyecto Datos (OKR´s)'!$F55),'Proyecto Datos (OKR´s)'!$F55,""),"")</f>
      </c>
      <c r="I55" s="202">
        <f>IF($C55,'Proyecto Datos (OKR´s)'!$J55,"")</f>
      </c>
      <c r="J55" s="203">
        <f>IF($C55,IF($I55&gt;=1,"Completado",IF(NOT(ISNUMBER($H55)),"Sin fecha",IF($H55&lt;TODAY(),"Vencido",IF(($H55-TODAY())&lt;='Entregas Próximas'!$M$3,"Próximo a vencer","En curso")))),"")</f>
      </c>
      <c r="K55" s="202">
        <f>IF(AND($C55,ISNUMBER($H55)),$H55-TODAY(),"")</f>
      </c>
      <c r="L55" s="202">
        <f>IF(AND($C55,ISNUMBER($H55)),$AD55*1000000+$H55+ROW()/100000,"")</f>
      </c>
      <c r="M55" s="202">
        <f>IF($C55,IF($AD55=9999,"(Sin sprint)",$AD55),"")</f>
      </c>
      <c r="N55" s="202">
        <f>IF($C55,IF('Proyecto Datos (OKR´s)'!$E55="",9999,'Proyecto Datos (OKR´s)'!$E55),"")</f>
      </c>
      <c r="O55" s="202">
        <f>IF($C55,"T"&amp;TEXT(ROW(),"000"),"")</f>
      </c>
      <c r="R55" s="202">
        <f>IF($C55,IF(ISNUMBER('Proyecto Datos (OKR´s)'!$L55),'Proyecto Datos (OKR´s)'!$L55,$H55),"")</f>
      </c>
      <c r="S55" s="202">
        <f>IF($C55,$R55-'Proyecto Datos (OKR´s)'!$K55+1,"")</f>
      </c>
      <c r="T55" s="202">
        <f>IF($C55,MAX(0,TODAY()-'Proyecto Datos (OKR´s)'!$K55),"")</f>
      </c>
      <c r="U55" s="202">
        <f>IF($C55,MEDIAN(0,(TODAY()-'Proyecto Datos (OKR´s)'!$K55)/MAX(1,$R55-'Proyecto Datos (OKR´s)'!$K55),1),"")</f>
      </c>
      <c r="V55" s="202">
        <f>IF($C55,$I55-$U55,"")</f>
      </c>
      <c r="W55" s="202">
        <f>IF($C55,IF(OR($J55="Completado",NOT(ISNUMBER($H55))),0,MAX(0,TODAY()-$H55)),"")</f>
      </c>
      <c r="X55" s="202">
        <f>IF($C55,IF(ISNUMBER($H55),$R55-$H55,0),"")</f>
      </c>
      <c r="Y55" s="202">
        <f>IF($C55,COUNTIFS($G$7:$G$200,$G55,$J$7:$J$200,"&lt;&gt;Completado",$J$7:$J$200,"&lt;&gt;"),"")</f>
      </c>
      <c r="Z55" s="202">
        <f>IF($C55,AND($I55=0,'Proyecto Datos (OKR´s)'!$K55&lt;=TODAY(),$J55&lt;&gt;"Completado"),"")</f>
      </c>
      <c r="AA55" s="202">
        <f>IF($C55,ROUND(100*(0.35*$AK55+0.3*$AL55+0.2*$AM55+0.15*MEDIAN(0,($Y55-4)/8,1)),0),"")</f>
      </c>
      <c r="AB55" s="203">
        <f>IF($C55,IF(OR($J55="Completado",$J55="Sin fecha"),"—",IF($AA55&gt;=70,"Crítica",IF($AA55&gt;=45,"Alta",IF($AA55&gt;=25,"Media","Baja")))),"")</f>
      </c>
      <c r="AC55" s="203">
        <f>IF($C55,IF(LEN(TRIM($AN55))=0,"—",TRIM($AN55)),"")</f>
      </c>
      <c r="AD55" s="202">
        <f>IF($C55,$AV55,"")</f>
      </c>
      <c r="AE55" s="202">
        <f>IF($C55,$AZ55,"")</f>
      </c>
      <c r="AF55" s="202">
        <f>IF($C55,$AV55&lt;&gt;$AR55,FALSE)</f>
      </c>
      <c r="AG55" s="202">
        <f>IF($C55,IF($AV55&lt;&gt;$AR55,$AW55,""),"")</f>
      </c>
      <c r="AH55" s="203">
        <f>IF($C55,'Backlog General'!$L55,"")</f>
      </c>
      <c r="AI55" s="202">
        <f>IF($C55,$AV55*100000+ROW(),"")</f>
      </c>
      <c r="AJ55" s="202">
        <f>IF(AND($C55,ISNUMBER($H55)),$AA55*1000000-MEDIAN(-9999,$K55,9999)*100+(300-ROW()),"")</f>
      </c>
      <c r="AK55" s="202">
        <f>IF($C55,IF($J55="Completado",0,IF($K55&lt;0,1,IF($K55&lt;=3,0.9,IF($K55&lt;=7,0.7,IF($K55&lt;=14,0.45,0.2))))),"")</f>
      </c>
      <c r="AL55" s="202">
        <f>IF($C55,IF($J55="Completado",0,MEDIAN(0,MAX(-$V55,$W55/30),1)),"")</f>
      </c>
      <c r="AM55" s="202">
        <f>IF($C55,IF($J55="Completado",0,IF($Z55,1,IF(AND($I55&lt;0.5,$K55&lt;=7),0.7,0.3))),"")</f>
      </c>
      <c r="AN55" s="203">
        <f>IF($C55,IF(OR($V55&lt;-0.2,$W55&gt;0),"ATRASO ","")&amp;IF($Z55,"BLOQUEO ","")&amp;IF($Y55&gt;8,"SOBRECARGA ","")&amp;IF($X55&gt;0,"DESVÍO-PLAN ",""),"")</f>
      </c>
      <c r="AO55" s="203">
        <f>IF($C55,IFERROR(VLOOKUP($D55,'Sprints'!$G$5:$H$12,2,FALSE),"Semanal"),"")</f>
      </c>
      <c r="AP55" s="202">
        <f>IF($C55,IF($AO55="Semanal",'Sprints'!$D$5,IF($AO55="Quincenal",'Sprints'!$D$6,'Sprints'!$D$7)),"")</f>
      </c>
      <c r="AQ55" s="202">
        <f>IF($C55,IF($AO55="Semanal",'Sprints'!$C$5,IF($AO55="Quincenal",'Sprints'!$C$6,'Sprints'!$C$7)),"")</f>
      </c>
      <c r="AR55" s="202">
        <f>IF(AND($C55,ISNUMBER($H55)),MAX(1,INT(($H55-$AQ55)/$AP55)+1),"")</f>
      </c>
      <c r="AS55" s="202">
        <f>IF($C55,IF($AO55="Semanal",'Sprints'!$E$5,IF($AO55="Quincenal",'Sprints'!$E$6,'Sprints'!$E$7)),"")</f>
      </c>
      <c r="AT55" s="203">
        <f>IF($C55,'Backlog General'!$G55,"")</f>
      </c>
      <c r="AU55" s="203">
        <f>IF($C55,'Backlog General'!$H55,"")</f>
      </c>
      <c r="AV55" s="202">
        <f>IF(AND($C55,ISNUMBER($AR55)),IF(OR($AT55="Completo",$AU55="Cancelado",$AU55="Baja prioridad"),$AR55,IF($AU55="Pasa al siguiente",MAX($AR55+1,$AS55),MAX($AR55,$AS55))),"")</f>
      </c>
      <c r="AW55" s="202">
        <f>IF(AND($C55,ISNUMBER($AR55)),$AQ55+$AR55*$AP55-1,"")</f>
      </c>
      <c r="AX55" s="202">
        <f>IF($C55,IF(OR($AT55="Completo",$AU55="Cancelado",$AU55="Baja prioridad",NOT(ISNUMBER($AW55))),0,MAX(0,TODAY()-$AW55)),"")</f>
      </c>
      <c r="AY55" s="203">
        <f>IF($C55,IF(NOT(ISNUMBER($AR55)),"Sin fecha",IF($AT55="Completo","Completo",IF($AU55="Cancelado","Cancelado",IF($AU55="Baja prioridad","Baja prioridad",IF($AX55&gt;0,"Vencida","Pendiente"))))),"")</f>
      </c>
      <c r="AZ55" s="203">
        <f>IF($C55,IF(ISNUMBER($AV55),$AO55&amp;" · S"&amp;$AV55,"(Sin fecha)"),"")</f>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row>
    <row r="56">
      <c r="A56" s="202">
        <f>ROW()</f>
      </c>
      <c r="B56" s="202">
        <f>ISTEXT('Proyecto Datos (OKR´s)'!$K56)</f>
      </c>
      <c r="C56" s="202">
        <f>AND(LEN('Proyecto Datos (OKR´s)'!$G56)&gt;0,NOT($B56),OR(ISNUMBER('Proyecto Datos (OKR´s)'!$F56),ISNUMBER('Proyecto Datos (OKR´s)'!$L56)))</f>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IF($C56,'Proyecto Datos (OKR´s)'!$J56,"")</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f>IF($C56,$AV56&lt;&gt;$AR56,FALSE)</f>
      </c>
      <c r="AG56" s="202">
        <f>IF($C56,IF($AV56&lt;&gt;$AR56,$AW56,""),"")</f>
      </c>
      <c r="AH56" s="203">
        <f>IF($C56,'Backlog General'!$L56,"")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IF($C56,IFERROR(VLOOKUP($D56,'Sprints'!$G$5:$H$12,2,FALSE),"Semanal"),"")</f>
      </c>
      <c r="AP56" s="202">
        <f>IF($C56,IF($AO56="Semanal",'Sprints'!$D$5,IF($AO56="Quincenal",'Sprints'!$D$6,'Sprints'!$D$7)),"")</f>
      </c>
      <c r="AQ56" s="202">
        <f>IF($C56,IF($AO56="Semanal",'Sprints'!$C$5,IF($AO56="Quincenal",'Sprints'!$C$6,'Sprints'!$C$7)),"")</f>
      </c>
      <c r="AR56" s="202">
        <f>IF(AND($C56,ISNUMBER($H56)),MAX(1,INT(($H56-$AQ56)/$AP56)+1),"")</f>
      </c>
      <c r="AS56" s="202">
        <f>IF($C56,IF($AO56="Semanal",'Sprints'!$E$5,IF($AO56="Quincenal",'Sprints'!$E$6,'Sprints'!$E$7)),"")</f>
      </c>
      <c r="AT56" s="203">
        <f>IF($C56,'Backlog General'!$G56,"")</f>
      </c>
      <c r="AU56" s="203">
        <f>IF($C56,'Backlog General'!$H56,"")</f>
      </c>
      <c r="AV56" s="202">
        <f>IF(AND($C56,ISNUMBER($AR56)),IF(OR($AT56="Completo",$AU56="Cancelado",$AU56="Baja prioridad"),$AR56,IF($AU56="Pasa al siguiente",MAX($AR56+1,$AS56),MAX($AR56,$AS56))),"")</f>
      </c>
      <c r="AW56" s="202">
        <f>IF(AND($C56,ISNUMBER($AR56)),$AQ56+$AR56*$AP56-1,"")</f>
      </c>
      <c r="AX56" s="202">
        <f>IF($C56,IF(OR($AT56="Completo",$AU56="Cancelado",$AU56="Baja prioridad",NOT(ISNUMBER($AW56))),0,MAX(0,TODAY()-$AW56)),"")</f>
      </c>
      <c r="AY56" s="203">
        <f>IF($C56,IF(NOT(ISNUMBER($AR56)),"Sin fecha",IF($AT56="Completo","Completo",IF($AU56="Cancelado","Cancelado",IF($AU56="Baja prioridad","Baja prioridad",IF($AX56&gt;0,"Vencida","Pendiente"))))),"")</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row>
    <row r="57">
      <c r="A57" s="202">
        <f>ROW()</f>
      </c>
      <c r="B57" s="202">
        <f>ISTEXT('Proyecto Datos (OKR´s)'!$K57)</f>
      </c>
      <c r="C57" s="202">
        <f>AND(LEN('Proyecto Datos (OKR´s)'!$G57)&gt;0,NOT($B57),OR(ISNUMBER('Proyecto Datos (OKR´s)'!$F57),ISNUMBER('Proyecto Datos (OKR´s)'!$L57)))</f>
      </c>
      <c r="D57" s="203">
        <f>IF($C57,IFERROR(LOOKUP(2,1/((ISTEXT('Proyecto Datos (OKR´s)'!$K$7:$K57))*(LEN('Proyecto Datos (OKR´s)'!$G$7:$G57)&gt;0)),'Proyecto Datos (OKR´s)'!$G$7:$G57),""),"")</f>
      </c>
      <c r="E57" s="202">
        <f>IF($C57,'Proyecto Datos (OKR´s)'!$E57,"")</f>
      </c>
      <c r="F57" s="203">
        <f>IF($C57,'Proyecto Datos (OKR´s)'!$G57,"")</f>
      </c>
      <c r="G57" s="203">
        <f>IF($C57,IF('Proyecto Datos (OKR´s)'!$I57="","(Sin asignar)",'Proyecto Datos (OKR´s)'!$I57),"")</f>
      </c>
      <c r="H57" s="202">
        <f>IF($C57,IF(ISNUMBER('Proyecto Datos (OKR´s)'!$F57),'Proyecto Datos (OKR´s)'!$F57,""),"")</f>
      </c>
      <c r="I57" s="202">
        <f>IF($C57,'Proyecto Datos (OKR´s)'!$J57,"")</f>
      </c>
      <c r="J57" s="203">
        <f>IF($C57,IF($I57&gt;=1,"Completado",IF(NOT(ISNUMBER($H57)),"Sin fecha",IF($H57&lt;TODAY(),"Vencido",IF(($H57-TODAY())&lt;='Entregas Próximas'!$M$3,"Próximo a vencer","En curso")))),"")</f>
      </c>
      <c r="K57" s="202">
        <f>IF(AND($C57,ISNUMBER($H57)),$H57-TODAY(),"")</f>
      </c>
      <c r="L57" s="202">
        <f>IF(AND($C57,ISNUMBER($H57)),$AD57*1000000+$H57+ROW()/100000,"")</f>
      </c>
      <c r="M57" s="202">
        <f>IF($C57,IF($AD57=9999,"(Sin sprint)",$AD57),"")</f>
      </c>
      <c r="N57" s="202">
        <f>IF($C57,IF('Proyecto Datos (OKR´s)'!$E57="",9999,'Proyecto Datos (OKR´s)'!$E57),"")</f>
      </c>
      <c r="O57" s="202">
        <f>IF($C57,"T"&amp;TEXT(ROW(),"000"),"")</f>
      </c>
      <c r="R57" s="202">
        <f>IF($C57,IF(ISNUMBER('Proyecto Datos (OKR´s)'!$L57),'Proyecto Datos (OKR´s)'!$L57,$H57),"")</f>
      </c>
      <c r="S57" s="202">
        <f>IF($C57,$R57-'Proyecto Datos (OKR´s)'!$K57+1,"")</f>
      </c>
      <c r="T57" s="202">
        <f>IF($C57,MAX(0,TODAY()-'Proyecto Datos (OKR´s)'!$K57),"")</f>
      </c>
      <c r="U57" s="202">
        <f>IF($C57,MEDIAN(0,(TODAY()-'Proyecto Datos (OKR´s)'!$K57)/MAX(1,$R57-'Proyecto Datos (OKR´s)'!$K57),1),"")</f>
      </c>
      <c r="V57" s="202">
        <f>IF($C57,$I57-$U57,"")</f>
      </c>
      <c r="W57" s="202">
        <f>IF($C57,IF(OR($J57="Completado",NOT(ISNUMBER($H57))),0,MAX(0,TODAY()-$H57)),"")</f>
      </c>
      <c r="X57" s="202">
        <f>IF($C57,IF(ISNUMBER($H57),$R57-$H57,0),"")</f>
      </c>
      <c r="Y57" s="202">
        <f>IF($C57,COUNTIFS($G$7:$G$200,$G57,$J$7:$J$200,"&lt;&gt;Completado",$J$7:$J$200,"&lt;&gt;"),"")</f>
      </c>
      <c r="Z57" s="202">
        <f>IF($C57,AND($I57=0,'Proyecto Datos (OKR´s)'!$K57&lt;=TODAY(),$J57&lt;&gt;"Completado"),"")</f>
      </c>
      <c r="AA57" s="202">
        <f>IF($C57,ROUND(100*(0.35*$AK57+0.3*$AL57+0.2*$AM57+0.15*MEDIAN(0,($Y57-4)/8,1)),0),"")</f>
      </c>
      <c r="AB57" s="203">
        <f>IF($C57,IF(OR($J57="Completado",$J57="Sin fecha"),"—",IF($AA57&gt;=70,"Crítica",IF($AA57&gt;=45,"Alta",IF($AA57&gt;=25,"Media","Baja")))),"")</f>
      </c>
      <c r="AC57" s="203">
        <f>IF($C57,IF(LEN(TRIM($AN57))=0,"—",TRIM($AN57)),"")</f>
      </c>
      <c r="AD57" s="202">
        <f>IF($C57,$AV57,"")</f>
      </c>
      <c r="AE57" s="202">
        <f>IF($C57,$AZ57,"")</f>
      </c>
      <c r="AF57" s="202">
        <f>IF($C57,$AV57&lt;&gt;$AR57,FALSE)</f>
      </c>
      <c r="AG57" s="202">
        <f>IF($C57,IF($AV57&lt;&gt;$AR57,$AW57,""),"")</f>
      </c>
      <c r="AH57" s="203">
        <f>IF($C57,'Backlog General'!$L57,"")</f>
      </c>
      <c r="AI57" s="202">
        <f>IF($C57,$AV57*100000+ROW(),"")</f>
      </c>
      <c r="AJ57" s="202">
        <f>IF(AND($C57,ISNUMBER($H57)),$AA57*1000000-MEDIAN(-9999,$K57,9999)*100+(300-ROW()),"")</f>
      </c>
      <c r="AK57" s="202">
        <f>IF($C57,IF($J57="Completado",0,IF($K57&lt;0,1,IF($K57&lt;=3,0.9,IF($K57&lt;=7,0.7,IF($K57&lt;=14,0.45,0.2))))),"")</f>
      </c>
      <c r="AL57" s="202">
        <f>IF($C57,IF($J57="Completado",0,MEDIAN(0,MAX(-$V57,$W57/30),1)),"")</f>
      </c>
      <c r="AM57" s="202">
        <f>IF($C57,IF($J57="Completado",0,IF($Z57,1,IF(AND($I57&lt;0.5,$K57&lt;=7),0.7,0.3))),"")</f>
      </c>
      <c r="AN57" s="203">
        <f>IF($C57,IF(OR($V57&lt;-0.2,$W57&gt;0),"ATRASO ","")&amp;IF($Z57,"BLOQUEO ","")&amp;IF($Y57&gt;8,"SOBRECARGA ","")&amp;IF($X57&gt;0,"DESVÍO-PLAN ",""),"")</f>
      </c>
      <c r="AO57" s="203">
        <f>IF($C57,IFERROR(VLOOKUP($D57,'Sprints'!$G$5:$H$12,2,FALSE),"Semanal"),"")</f>
      </c>
      <c r="AP57" s="202">
        <f>IF($C57,IF($AO57="Semanal",'Sprints'!$D$5,IF($AO57="Quincenal",'Sprints'!$D$6,'Sprints'!$D$7)),"")</f>
      </c>
      <c r="AQ57" s="202">
        <f>IF($C57,IF($AO57="Semanal",'Sprints'!$C$5,IF($AO57="Quincenal",'Sprints'!$C$6,'Sprints'!$C$7)),"")</f>
      </c>
      <c r="AR57" s="202">
        <f>IF(AND($C57,ISNUMBER($H57)),MAX(1,INT(($H57-$AQ57)/$AP57)+1),"")</f>
      </c>
      <c r="AS57" s="202">
        <f>IF($C57,IF($AO57="Semanal",'Sprints'!$E$5,IF($AO57="Quincenal",'Sprints'!$E$6,'Sprints'!$E$7)),"")</f>
      </c>
      <c r="AT57" s="203">
        <f>IF($C57,'Backlog General'!$G57,"")</f>
      </c>
      <c r="AU57" s="203">
        <f>IF($C57,'Backlog General'!$H57,"")</f>
      </c>
      <c r="AV57" s="202">
        <f>IF(AND($C57,ISNUMBER($AR57)),IF(OR($AT57="Completo",$AU57="Cancelado",$AU57="Baja prioridad"),$AR57,IF($AU57="Pasa al siguiente",MAX($AR57+1,$AS57),MAX($AR57,$AS57))),"")</f>
      </c>
      <c r="AW57" s="202">
        <f>IF(AND($C57,ISNUMBER($AR57)),$AQ57+$AR57*$AP57-1,"")</f>
      </c>
      <c r="AX57" s="202">
        <f>IF($C57,IF(OR($AT57="Completo",$AU57="Cancelado",$AU57="Baja prioridad",NOT(ISNUMBER($AW57))),0,MAX(0,TODAY()-$AW57)),"")</f>
      </c>
      <c r="AY57" s="203">
        <f>IF($C57,IF(NOT(ISNUMBER($AR57)),"Sin fecha",IF($AT57="Completo","Completo",IF($AU57="Cancelado","Cancelado",IF($AU57="Baja prioridad","Baja prioridad",IF($AX57&gt;0,"Vencida","Pendiente"))))),"")</f>
      </c>
      <c r="AZ57" s="203">
        <f>IF($C57,IF(ISNUMBER($AV57),$AO57&amp;" · S"&amp;$AV57,"(Sin fecha)"),"")</f>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row>
    <row r="58">
      <c r="A58" s="202">
        <f>ROW()</f>
      </c>
      <c r="B58" s="202">
        <f>ISTEXT('Proyecto Datos (OKR´s)'!$K58)</f>
      </c>
      <c r="C58" s="202">
        <f>AND(LEN('Proyecto Datos (OKR´s)'!$G58)&gt;0,NOT($B58),OR(ISNUMBER('Proyecto Datos (OKR´s)'!$F58),ISNUMBER('Proyecto Datos (OKR´s)'!$L58)))</f>
      </c>
      <c r="D58" s="203">
        <f>IF($C58,IFERROR(LOOKUP(2,1/((ISTEXT('Proyecto Datos (OKR´s)'!$K$7:$K58))*(LEN('Proyecto Datos (OKR´s)'!$G$7:$G58)&gt;0)),'Proyecto Datos (OKR´s)'!$G$7:$G58),""),"")</f>
      </c>
      <c r="E58" s="202">
        <f>IF($C58,'Proyecto Datos (OKR´s)'!$E58,"")</f>
      </c>
      <c r="F58" s="203">
        <f>IF($C58,'Proyecto Datos (OKR´s)'!$G58,"")</f>
      </c>
      <c r="G58" s="203">
        <f>IF($C58,IF('Proyecto Datos (OKR´s)'!$I58="","(Sin asignar)",'Proyecto Datos (OKR´s)'!$I58),"")</f>
      </c>
      <c r="H58" s="202">
        <f>IF($C58,IF(ISNUMBER('Proyecto Datos (OKR´s)'!$F58),'Proyecto Datos (OKR´s)'!$F58,""),"")</f>
      </c>
      <c r="I58" s="202">
        <f>IF($C58,'Proyecto Datos (OKR´s)'!$J58,"")</f>
      </c>
      <c r="J58" s="203">
        <f>IF($C58,IF($I58&gt;=1,"Completado",IF(NOT(ISNUMBER($H58)),"Sin fecha",IF($H58&lt;TODAY(),"Vencido",IF(($H58-TODAY())&lt;='Entregas Próximas'!$M$3,"Próximo a vencer","En curso")))),"")</f>
      </c>
      <c r="K58" s="202">
        <f>IF(AND($C58,ISNUMBER($H58)),$H58-TODAY(),"")</f>
      </c>
      <c r="L58" s="202">
        <f>IF(AND($C58,ISNUMBER($H58)),$AD58*1000000+$H58+ROW()/100000,"")</f>
      </c>
      <c r="M58" s="202">
        <f>IF($C58,IF($AD58=9999,"(Sin sprint)",$AD58),"")</f>
      </c>
      <c r="N58" s="202">
        <f>IF($C58,IF('Proyecto Datos (OKR´s)'!$E58="",9999,'Proyecto Datos (OKR´s)'!$E58),"")</f>
      </c>
      <c r="O58" s="202">
        <f>IF($C58,"T"&amp;TEXT(ROW(),"000"),"")</f>
      </c>
      <c r="R58" s="202">
        <f>IF($C58,IF(ISNUMBER('Proyecto Datos (OKR´s)'!$L58),'Proyecto Datos (OKR´s)'!$L58,$H58),"")</f>
      </c>
      <c r="S58" s="202">
        <f>IF($C58,$R58-'Proyecto Datos (OKR´s)'!$K58+1,"")</f>
      </c>
      <c r="T58" s="202">
        <f>IF($C58,MAX(0,TODAY()-'Proyecto Datos (OKR´s)'!$K58),"")</f>
      </c>
      <c r="U58" s="202">
        <f>IF($C58,MEDIAN(0,(TODAY()-'Proyecto Datos (OKR´s)'!$K58)/MAX(1,$R58-'Proyecto Datos (OKR´s)'!$K58),1),"")</f>
      </c>
      <c r="V58" s="202">
        <f>IF($C58,$I58-$U58,"")</f>
      </c>
      <c r="W58" s="202">
        <f>IF($C58,IF(OR($J58="Completado",NOT(ISNUMBER($H58))),0,MAX(0,TODAY()-$H58)),"")</f>
      </c>
      <c r="X58" s="202">
        <f>IF($C58,IF(ISNUMBER($H58),$R58-$H58,0),"")</f>
      </c>
      <c r="Y58" s="202">
        <f>IF($C58,COUNTIFS($G$7:$G$200,$G58,$J$7:$J$200,"&lt;&gt;Completado",$J$7:$J$200,"&lt;&gt;"),"")</f>
      </c>
      <c r="Z58" s="202">
        <f>IF($C58,AND($I58=0,'Proyecto Datos (OKR´s)'!$K58&lt;=TODAY(),$J58&lt;&gt;"Completado"),"")</f>
      </c>
      <c r="AA58" s="202">
        <f>IF($C58,ROUND(100*(0.35*$AK58+0.3*$AL58+0.2*$AM58+0.15*MEDIAN(0,($Y58-4)/8,1)),0),"")</f>
      </c>
      <c r="AB58" s="203">
        <f>IF($C58,IF(OR($J58="Completado",$J58="Sin fecha"),"—",IF($AA58&gt;=70,"Crítica",IF($AA58&gt;=45,"Alta",IF($AA58&gt;=25,"Media","Baja")))),"")</f>
      </c>
      <c r="AC58" s="203">
        <f>IF($C58,IF(LEN(TRIM($AN58))=0,"—",TRIM($AN58)),"")</f>
      </c>
      <c r="AD58" s="202">
        <f>IF($C58,$AV58,"")</f>
      </c>
      <c r="AE58" s="202">
        <f>IF($C58,$AZ58,"")</f>
      </c>
      <c r="AF58" s="202">
        <f>IF($C58,$AV58&lt;&gt;$AR58,FALSE)</f>
      </c>
      <c r="AG58" s="202">
        <f>IF($C58,IF($AV58&lt;&gt;$AR58,$AW58,""),"")</f>
      </c>
      <c r="AH58" s="203">
        <f>IF($C58,'Backlog General'!$L58,"")</f>
      </c>
      <c r="AI58" s="202">
        <f>IF($C58,$AV58*100000+ROW(),"")</f>
      </c>
      <c r="AJ58" s="202">
        <f>IF(AND($C58,ISNUMBER($H58)),$AA58*1000000-MEDIAN(-9999,$K58,9999)*100+(300-ROW()),"")</f>
      </c>
      <c r="AK58" s="202">
        <f>IF($C58,IF($J58="Completado",0,IF($K58&lt;0,1,IF($K58&lt;=3,0.9,IF($K58&lt;=7,0.7,IF($K58&lt;=14,0.45,0.2))))),"")</f>
      </c>
      <c r="AL58" s="202">
        <f>IF($C58,IF($J58="Completado",0,MEDIAN(0,MAX(-$V58,$W58/30),1)),"")</f>
      </c>
      <c r="AM58" s="202">
        <f>IF($C58,IF($J58="Completado",0,IF($Z58,1,IF(AND($I58&lt;0.5,$K58&lt;=7),0.7,0.3))),"")</f>
      </c>
      <c r="AN58" s="203">
        <f>IF($C58,IF(OR($V58&lt;-0.2,$W58&gt;0),"ATRASO ","")&amp;IF($Z58,"BLOQUEO ","")&amp;IF($Y58&gt;8,"SOBRECARGA ","")&amp;IF($X58&gt;0,"DESVÍO-PLAN ",""),"")</f>
      </c>
      <c r="AO58" s="203">
        <f>IF($C58,IFERROR(VLOOKUP($D58,'Sprints'!$G$5:$H$12,2,FALSE),"Semanal"),"")</f>
      </c>
      <c r="AP58" s="202">
        <f>IF($C58,IF($AO58="Semanal",'Sprints'!$D$5,IF($AO58="Quincenal",'Sprints'!$D$6,'Sprints'!$D$7)),"")</f>
      </c>
      <c r="AQ58" s="202">
        <f>IF($C58,IF($AO58="Semanal",'Sprints'!$C$5,IF($AO58="Quincenal",'Sprints'!$C$6,'Sprints'!$C$7)),"")</f>
      </c>
      <c r="AR58" s="202">
        <f>IF(AND($C58,ISNUMBER($H58)),MAX(1,INT(($H58-$AQ58)/$AP58)+1),"")</f>
      </c>
      <c r="AS58" s="202">
        <f>IF($C58,IF($AO58="Semanal",'Sprints'!$E$5,IF($AO58="Quincenal",'Sprints'!$E$6,'Sprints'!$E$7)),"")</f>
      </c>
      <c r="AT58" s="203">
        <f>IF($C58,'Backlog General'!$G58,"")</f>
      </c>
      <c r="AU58" s="203">
        <f>IF($C58,'Backlog General'!$H58,"")</f>
      </c>
      <c r="AV58" s="202">
        <f>IF(AND($C58,ISNUMBER($AR58)),IF(OR($AT58="Completo",$AU58="Cancelado",$AU58="Baja prioridad"),$AR58,IF($AU58="Pasa al siguiente",MAX($AR58+1,$AS58),MAX($AR58,$AS58))),"")</f>
      </c>
      <c r="AW58" s="202">
        <f>IF(AND($C58,ISNUMBER($AR58)),$AQ58+$AR58*$AP58-1,"")</f>
      </c>
      <c r="AX58" s="202">
        <f>IF($C58,IF(OR($AT58="Completo",$AU58="Cancelado",$AU58="Baja prioridad",NOT(ISNUMBER($AW58))),0,MAX(0,TODAY()-$AW58)),"")</f>
      </c>
      <c r="AY58" s="203">
        <f>IF($C58,IF(NOT(ISNUMBER($AR58)),"Sin fecha",IF($AT58="Completo","Completo",IF($AU58="Cancelado","Cancelado",IF($AU58="Baja prioridad","Baja prioridad",IF($AX58&gt;0,"Vencida","Pendiente"))))),"")</f>
      </c>
      <c r="AZ58" s="203">
        <f>IF($C58,IF(ISNUMBER($AV58),$AO58&amp;" · S"&amp;$AV58,"(Sin fecha)"),"")</f>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row>
    <row r="59">
      <c r="A59" s="202">
        <f>ROW()</f>
      </c>
      <c r="B59" s="202">
        <f>ISTEXT('Proyecto Datos (OKR´s)'!$K59)</f>
      </c>
      <c r="C59" s="202">
        <f>AND(LEN('Proyecto Datos (OKR´s)'!$G59)&gt;0,NOT($B59),OR(ISNUMBER('Proyecto Datos (OKR´s)'!$F59),ISNUMBER('Proyecto Datos (OKR´s)'!$L59)))</f>
      </c>
      <c r="D59" s="203">
        <f>IF($C59,IFERROR(LOOKUP(2,1/((ISTEXT('Proyecto Datos (OKR´s)'!$K$7:$K59))*(LEN('Proyecto Datos (OKR´s)'!$G$7:$G59)&gt;0)),'Proyecto Datos (OKR´s)'!$G$7:$G59),""),"")</f>
      </c>
      <c r="E59" s="202">
        <f>IF($C59,'Proyecto Datos (OKR´s)'!$E59,"")</f>
      </c>
      <c r="F59" s="203">
        <f>IF($C59,'Proyecto Datos (OKR´s)'!$G59,"")</f>
      </c>
      <c r="G59" s="203">
        <f>IF($C59,IF('Proyecto Datos (OKR´s)'!$I59="","(Sin asignar)",'Proyecto Datos (OKR´s)'!$I59),"")</f>
      </c>
      <c r="H59" s="202">
        <f>IF($C59,IF(ISNUMBER('Proyecto Datos (OKR´s)'!$F59),'Proyecto Datos (OKR´s)'!$F59,""),"")</f>
      </c>
      <c r="I59" s="202">
        <f>IF($C59,'Proyecto Datos (OKR´s)'!$J59,"")</f>
      </c>
      <c r="J59" s="203">
        <f>IF($C59,IF($I59&gt;=1,"Completado",IF(NOT(ISNUMBER($H59)),"Sin fecha",IF($H59&lt;TODAY(),"Vencido",IF(($H59-TODAY())&lt;='Entregas Próximas'!$M$3,"Próximo a vencer","En curso")))),"")</f>
      </c>
      <c r="K59" s="202">
        <f>IF(AND($C59,ISNUMBER($H59)),$H59-TODAY(),"")</f>
      </c>
      <c r="L59" s="202">
        <f>IF(AND($C59,ISNUMBER($H59)),$AD59*1000000+$H59+ROW()/100000,"")</f>
      </c>
      <c r="M59" s="202">
        <f>IF($C59,IF($AD59=9999,"(Sin sprint)",$AD59),"")</f>
      </c>
      <c r="N59" s="202">
        <f>IF($C59,IF('Proyecto Datos (OKR´s)'!$E59="",9999,'Proyecto Datos (OKR´s)'!$E59),"")</f>
      </c>
      <c r="O59" s="202">
        <f>IF($C59,"T"&amp;TEXT(ROW(),"000"),"")</f>
      </c>
      <c r="R59" s="202">
        <f>IF($C59,IF(ISNUMBER('Proyecto Datos (OKR´s)'!$L59),'Proyecto Datos (OKR´s)'!$L59,$H59),"")</f>
      </c>
      <c r="S59" s="202">
        <f>IF($C59,$R59-'Proyecto Datos (OKR´s)'!$K59+1,"")</f>
      </c>
      <c r="T59" s="202">
        <f>IF($C59,MAX(0,TODAY()-'Proyecto Datos (OKR´s)'!$K59),"")</f>
      </c>
      <c r="U59" s="202">
        <f>IF($C59,MEDIAN(0,(TODAY()-'Proyecto Datos (OKR´s)'!$K59)/MAX(1,$R59-'Proyecto Datos (OKR´s)'!$K59),1),"")</f>
      </c>
      <c r="V59" s="202">
        <f>IF($C59,$I59-$U59,"")</f>
      </c>
      <c r="W59" s="202">
        <f>IF($C59,IF(OR($J59="Completado",NOT(ISNUMBER($H59))),0,MAX(0,TODAY()-$H59)),"")</f>
      </c>
      <c r="X59" s="202">
        <f>IF($C59,IF(ISNUMBER($H59),$R59-$H59,0),"")</f>
      </c>
      <c r="Y59" s="202">
        <f>IF($C59,COUNTIFS($G$7:$G$200,$G59,$J$7:$J$200,"&lt;&gt;Completado",$J$7:$J$200,"&lt;&gt;"),"")</f>
      </c>
      <c r="Z59" s="202">
        <f>IF($C59,AND($I59=0,'Proyecto Datos (OKR´s)'!$K59&lt;=TODAY(),$J59&lt;&gt;"Completado"),"")</f>
      </c>
      <c r="AA59" s="202">
        <f>IF($C59,ROUND(100*(0.35*$AK59+0.3*$AL59+0.2*$AM59+0.15*MEDIAN(0,($Y59-4)/8,1)),0),"")</f>
      </c>
      <c r="AB59" s="203">
        <f>IF($C59,IF(OR($J59="Completado",$J59="Sin fecha"),"—",IF($AA59&gt;=70,"Crítica",IF($AA59&gt;=45,"Alta",IF($AA59&gt;=25,"Media","Baja")))),"")</f>
      </c>
      <c r="AC59" s="203">
        <f>IF($C59,IF(LEN(TRIM($AN59))=0,"—",TRIM($AN59)),"")</f>
      </c>
      <c r="AD59" s="202">
        <f>IF($C59,$AV59,"")</f>
      </c>
      <c r="AE59" s="202">
        <f>IF($C59,$AZ59,"")</f>
      </c>
      <c r="AF59" s="202">
        <f>IF($C59,$AV59&lt;&gt;$AR59,FALSE)</f>
      </c>
      <c r="AG59" s="202">
        <f>IF($C59,IF($AV59&lt;&gt;$AR59,$AW59,""),"")</f>
      </c>
      <c r="AH59" s="203">
        <f>IF($C59,'Backlog General'!$L59,"")</f>
      </c>
      <c r="AI59" s="202">
        <f>IF($C59,$AV59*100000+ROW(),"")</f>
      </c>
      <c r="AJ59" s="202">
        <f>IF(AND($C59,ISNUMBER($H59)),$AA59*1000000-MEDIAN(-9999,$K59,9999)*100+(300-ROW()),"")</f>
      </c>
      <c r="AK59" s="202">
        <f>IF($C59,IF($J59="Completado",0,IF($K59&lt;0,1,IF($K59&lt;=3,0.9,IF($K59&lt;=7,0.7,IF($K59&lt;=14,0.45,0.2))))),"")</f>
      </c>
      <c r="AL59" s="202">
        <f>IF($C59,IF($J59="Completado",0,MEDIAN(0,MAX(-$V59,$W59/30),1)),"")</f>
      </c>
      <c r="AM59" s="202">
        <f>IF($C59,IF($J59="Completado",0,IF($Z59,1,IF(AND($I59&lt;0.5,$K59&lt;=7),0.7,0.3))),"")</f>
      </c>
      <c r="AN59" s="203">
        <f>IF($C59,IF(OR($V59&lt;-0.2,$W59&gt;0),"ATRASO ","")&amp;IF($Z59,"BLOQUEO ","")&amp;IF($Y59&gt;8,"SOBRECARGA ","")&amp;IF($X59&gt;0,"DESVÍO-PLAN ",""),"")</f>
      </c>
      <c r="AO59" s="203">
        <f>IF($C59,IFERROR(VLOOKUP($D59,'Sprints'!$G$5:$H$12,2,FALSE),"Semanal"),"")</f>
      </c>
      <c r="AP59" s="202">
        <f>IF($C59,IF($AO59="Semanal",'Sprints'!$D$5,IF($AO59="Quincenal",'Sprints'!$D$6,'Sprints'!$D$7)),"")</f>
      </c>
      <c r="AQ59" s="202">
        <f>IF($C59,IF($AO59="Semanal",'Sprints'!$C$5,IF($AO59="Quincenal",'Sprints'!$C$6,'Sprints'!$C$7)),"")</f>
      </c>
      <c r="AR59" s="202">
        <f>IF(AND($C59,ISNUMBER($H59)),MAX(1,INT(($H59-$AQ59)/$AP59)+1),"")</f>
      </c>
      <c r="AS59" s="202">
        <f>IF($C59,IF($AO59="Semanal",'Sprints'!$E$5,IF($AO59="Quincenal",'Sprints'!$E$6,'Sprints'!$E$7)),"")</f>
      </c>
      <c r="AT59" s="203">
        <f>IF($C59,'Backlog General'!$G59,"")</f>
      </c>
      <c r="AU59" s="203">
        <f>IF($C59,'Backlog General'!$H59,"")</f>
      </c>
      <c r="AV59" s="202">
        <f>IF(AND($C59,ISNUMBER($AR59)),IF(OR($AT59="Completo",$AU59="Cancelado",$AU59="Baja prioridad"),$AR59,IF($AU59="Pasa al siguiente",MAX($AR59+1,$AS59),MAX($AR59,$AS59))),"")</f>
      </c>
      <c r="AW59" s="202">
        <f>IF(AND($C59,ISNUMBER($AR59)),$AQ59+$AR59*$AP59-1,"")</f>
      </c>
      <c r="AX59" s="202">
        <f>IF($C59,IF(OR($AT59="Completo",$AU59="Cancelado",$AU59="Baja prioridad",NOT(ISNUMBER($AW59))),0,MAX(0,TODAY()-$AW59)),"")</f>
      </c>
      <c r="AY59" s="203">
        <f>IF($C59,IF(NOT(ISNUMBER($AR59)),"Sin fecha",IF($AT59="Completo","Completo",IF($AU59="Cancelado","Cancelado",IF($AU59="Baja prioridad","Baja prioridad",IF($AX59&gt;0,"Vencida","Pendiente"))))),"")</f>
      </c>
      <c r="AZ59" s="203">
        <f>IF($C59,IF(ISNUMBER($AV59),$AO59&amp;" · S"&amp;$AV59,"(Sin fecha)"),"")</f>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row>
    <row r="60">
      <c r="A60" s="202">
        <f>ROW()</f>
      </c>
      <c r="B60" s="202">
        <f>ISTEXT('Proyecto Datos (OKR´s)'!$K60)</f>
      </c>
      <c r="C60" s="202">
        <f>AND(LEN('Proyecto Datos (OKR´s)'!$G60)&gt;0,NOT($B60),OR(ISNUMBER('Proyecto Datos (OKR´s)'!$F60),ISNUMBER('Proyecto Datos (OKR´s)'!$L60)))</f>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IF($C60,'Proyecto Datos (OKR´s)'!$J60,"")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f>IF($C60,$AV60&lt;&gt;$AR60,FALSE)</f>
      </c>
      <c r="AG60" s="202">
        <f>IF($C60,IF($AV60&lt;&gt;$AR60,$AW60,""),"")</f>
      </c>
      <c r="AH60" s="203">
        <f>IF($C60,'Backlog General'!$L60,"")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IF($C60,IFERROR(VLOOKUP($D60,'Sprints'!$G$5:$H$12,2,FALSE),"Semanal"),"")</f>
      </c>
      <c r="AP60" s="202">
        <f>IF($C60,IF($AO60="Semanal",'Sprints'!$D$5,IF($AO60="Quincenal",'Sprints'!$D$6,'Sprints'!$D$7)),"")</f>
      </c>
      <c r="AQ60" s="202">
        <f>IF($C60,IF($AO60="Semanal",'Sprints'!$C$5,IF($AO60="Quincenal",'Sprints'!$C$6,'Sprints'!$C$7)),"")</f>
      </c>
      <c r="AR60" s="202">
        <f>IF(AND($C60,ISNUMBER($H60)),MAX(1,INT(($H60-$AQ60)/$AP60)+1),"")</f>
      </c>
      <c r="AS60" s="202">
        <f>IF($C60,IF($AO60="Semanal",'Sprints'!$E$5,IF($AO60="Quincenal",'Sprints'!$E$6,'Sprints'!$E$7)),"")</f>
      </c>
      <c r="AT60" s="203">
        <f>IF($C60,'Backlog General'!$G60,"")</f>
      </c>
      <c r="AU60" s="203">
        <f>IF($C60,'Backlog General'!$H60,"")</f>
      </c>
      <c r="AV60" s="202">
        <f>IF(AND($C60,ISNUMBER($AR60)),IF(OR($AT60="Completo",$AU60="Cancelado",$AU60="Baja prioridad"),$AR60,IF($AU60="Pasa al siguiente",MAX($AR60+1,$AS60),MAX($AR60,$AS60))),"")</f>
      </c>
      <c r="AW60" s="202">
        <f>IF(AND($C60,ISNUMBER($AR60)),$AQ60+$AR60*$AP60-1,"")</f>
      </c>
      <c r="AX60" s="202">
        <f>IF($C60,IF(OR($AT60="Completo",$AU60="Cancelado",$AU60="Baja prioridad",NOT(ISNUMBER($AW60))),0,MAX(0,TODAY()-$AW60)),"")</f>
      </c>
      <c r="AY60" s="203">
        <f>IF($C60,IF(NOT(ISNUMBER($AR60)),"Sin fecha",IF($AT60="Completo","Completo",IF($AU60="Cancelado","Cancelado",IF($AU60="Baja prioridad","Baja prioridad",IF($AX60&gt;0,"Vencida","Pendiente"))))),"")</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row>
    <row r="61">
      <c r="A61" s="202">
        <f>ROW()</f>
      </c>
      <c r="B61" s="202">
        <f>ISTEXT('Proyecto Datos (OKR´s)'!$K61)</f>
      </c>
      <c r="C61" s="202">
        <f>AND(LEN('Proyecto Datos (OKR´s)'!$G61)&gt;0,NOT($B61),OR(ISNUMBER('Proyecto Datos (OKR´s)'!$F61),ISNUMBER('Proyecto Datos (OKR´s)'!$L61)))</f>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IF($C61,'Proyecto Datos (OKR´s)'!$J61,"")</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f>IF($C61,$AV61&lt;&gt;$AR61,FALSE)</f>
      </c>
      <c r="AG61" s="202">
        <f>IF($C61,IF($AV61&lt;&gt;$AR61,$AW61,""),"")</f>
      </c>
      <c r="AH61" s="203">
        <f>IF($C61,'Backlog General'!$L61,"")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IF($C61,IFERROR(VLOOKUP($D61,'Sprints'!$G$5:$H$12,2,FALSE),"Semanal"),"")</f>
      </c>
      <c r="AP61" s="202">
        <f>IF($C61,IF($AO61="Semanal",'Sprints'!$D$5,IF($AO61="Quincenal",'Sprints'!$D$6,'Sprints'!$D$7)),"")</f>
      </c>
      <c r="AQ61" s="202">
        <f>IF($C61,IF($AO61="Semanal",'Sprints'!$C$5,IF($AO61="Quincenal",'Sprints'!$C$6,'Sprints'!$C$7)),"")</f>
      </c>
      <c r="AR61" s="202">
        <f>IF(AND($C61,ISNUMBER($H61)),MAX(1,INT(($H61-$AQ61)/$AP61)+1),"")</f>
      </c>
      <c r="AS61" s="202">
        <f>IF($C61,IF($AO61="Semanal",'Sprints'!$E$5,IF($AO61="Quincenal",'Sprints'!$E$6,'Sprints'!$E$7)),"")</f>
      </c>
      <c r="AT61" s="203">
        <f>IF($C61,'Backlog General'!$G61,"")</f>
      </c>
      <c r="AU61" s="203">
        <f>IF($C61,'Backlog General'!$H61,"")</f>
      </c>
      <c r="AV61" s="202">
        <f>IF(AND($C61,ISNUMBER($AR61)),IF(OR($AT61="Completo",$AU61="Cancelado",$AU61="Baja prioridad"),$AR61,IF($AU61="Pasa al siguiente",MAX($AR61+1,$AS61),MAX($AR61,$AS61))),"")</f>
      </c>
      <c r="AW61" s="202">
        <f>IF(AND($C61,ISNUMBER($AR61)),$AQ61+$AR61*$AP61-1,"")</f>
      </c>
      <c r="AX61" s="202">
        <f>IF($C61,IF(OR($AT61="Completo",$AU61="Cancelado",$AU61="Baja prioridad",NOT(ISNUMBER($AW61))),0,MAX(0,TODAY()-$AW61)),"")</f>
      </c>
      <c r="AY61" s="203">
        <f>IF($C61,IF(NOT(ISNUMBER($AR61)),"Sin fecha",IF($AT61="Completo","Completo",IF($AU61="Cancelado","Cancelado",IF($AU61="Baja prioridad","Baja prioridad",IF($AX61&gt;0,"Vencida","Pendiente"))))),"")</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row>
    <row r="62">
      <c r="A62" s="202">
        <f>ROW()</f>
      </c>
      <c r="B62" s="202">
        <f>ISTEXT('Proyecto Datos (OKR´s)'!$K62)</f>
      </c>
      <c r="C62" s="202">
        <f>AND(LEN('Proyecto Datos (OKR´s)'!$G62)&gt;0,NOT($B62),OR(ISNUMBER('Proyecto Datos (OKR´s)'!$F62),ISNUMBER('Proyecto Datos (OKR´s)'!$L62)))</f>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IF($C62,'Proyecto Datos (OKR´s)'!$J62,"")</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f>IF($C62,$AV62&lt;&gt;$AR62,FALSE)</f>
      </c>
      <c r="AG62" s="202">
        <f>IF($C62,IF($AV62&lt;&gt;$AR62,$AW62,""),"")</f>
      </c>
      <c r="AH62" s="203">
        <f>IF($C62,'Backlog General'!$L62,"")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IF($C62,IFERROR(VLOOKUP($D62,'Sprints'!$G$5:$H$12,2,FALSE),"Semanal"),"")</f>
      </c>
      <c r="AP62" s="202">
        <f>IF($C62,IF($AO62="Semanal",'Sprints'!$D$5,IF($AO62="Quincenal",'Sprints'!$D$6,'Sprints'!$D$7)),"")</f>
      </c>
      <c r="AQ62" s="202">
        <f>IF($C62,IF($AO62="Semanal",'Sprints'!$C$5,IF($AO62="Quincenal",'Sprints'!$C$6,'Sprints'!$C$7)),"")</f>
      </c>
      <c r="AR62" s="202">
        <f>IF(AND($C62,ISNUMBER($H62)),MAX(1,INT(($H62-$AQ62)/$AP62)+1),"")</f>
      </c>
      <c r="AS62" s="202">
        <f>IF($C62,IF($AO62="Semanal",'Sprints'!$E$5,IF($AO62="Quincenal",'Sprints'!$E$6,'Sprints'!$E$7)),"")</f>
      </c>
      <c r="AT62" s="203">
        <f>IF($C62,'Backlog General'!$G62,"")</f>
      </c>
      <c r="AU62" s="203">
        <f>IF($C62,'Backlog General'!$H62,"")</f>
      </c>
      <c r="AV62" s="202">
        <f>IF(AND($C62,ISNUMBER($AR62)),IF(OR($AT62="Completo",$AU62="Cancelado",$AU62="Baja prioridad"),$AR62,IF($AU62="Pasa al siguiente",MAX($AR62+1,$AS62),MAX($AR62,$AS62))),"")</f>
      </c>
      <c r="AW62" s="202">
        <f>IF(AND($C62,ISNUMBER($AR62)),$AQ62+$AR62*$AP62-1,"")</f>
      </c>
      <c r="AX62" s="202">
        <f>IF($C62,IF(OR($AT62="Completo",$AU62="Cancelado",$AU62="Baja prioridad",NOT(ISNUMBER($AW62))),0,MAX(0,TODAY()-$AW62)),"")</f>
      </c>
      <c r="AY62" s="203">
        <f>IF($C62,IF(NOT(ISNUMBER($AR62)),"Sin fecha",IF($AT62="Completo","Completo",IF($AU62="Cancelado","Cancelado",IF($AU62="Baja prioridad","Baja prioridad",IF($AX62&gt;0,"Vencida","Pendiente"))))),"")</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row>
    <row r="63">
      <c r="A63" s="202">
        <f>ROW()</f>
      </c>
      <c r="B63" s="202">
        <f>ISTEXT('Proyecto Datos (OKR´s)'!$K63)</f>
      </c>
      <c r="C63" s="202">
        <f>AND(LEN('Proyecto Datos (OKR´s)'!$G63)&gt;0,NOT($B63),OR(ISNUMBER('Proyecto Datos (OKR´s)'!$F63),ISNUMBER('Proyecto Datos (OKR´s)'!$L63)))</f>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IF($C63,'Proyecto Datos (OKR´s)'!$J63,"")</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f>IF($C63,$AV63&lt;&gt;$AR63,FALSE)</f>
      </c>
      <c r="AG63" s="202">
        <f>IF($C63,IF($AV63&lt;&gt;$AR63,$AW63,""),"")</f>
      </c>
      <c r="AH63" s="203">
        <f>IF($C63,'Backlog General'!$L63,"")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IF($C63,IFERROR(VLOOKUP($D63,'Sprints'!$G$5:$H$12,2,FALSE),"Semanal"),"")</f>
      </c>
      <c r="AP63" s="202">
        <f>IF($C63,IF($AO63="Semanal",'Sprints'!$D$5,IF($AO63="Quincenal",'Sprints'!$D$6,'Sprints'!$D$7)),"")</f>
      </c>
      <c r="AQ63" s="202">
        <f>IF($C63,IF($AO63="Semanal",'Sprints'!$C$5,IF($AO63="Quincenal",'Sprints'!$C$6,'Sprints'!$C$7)),"")</f>
      </c>
      <c r="AR63" s="202">
        <f>IF(AND($C63,ISNUMBER($H63)),MAX(1,INT(($H63-$AQ63)/$AP63)+1),"")</f>
      </c>
      <c r="AS63" s="202">
        <f>IF($C63,IF($AO63="Semanal",'Sprints'!$E$5,IF($AO63="Quincenal",'Sprints'!$E$6,'Sprints'!$E$7)),"")</f>
      </c>
      <c r="AT63" s="203">
        <f>IF($C63,'Backlog General'!$G63,"")</f>
      </c>
      <c r="AU63" s="203">
        <f>IF($C63,'Backlog General'!$H63,"")</f>
      </c>
      <c r="AV63" s="202">
        <f>IF(AND($C63,ISNUMBER($AR63)),IF(OR($AT63="Completo",$AU63="Cancelado",$AU63="Baja prioridad"),$AR63,IF($AU63="Pasa al siguiente",MAX($AR63+1,$AS63),MAX($AR63,$AS63))),"")</f>
      </c>
      <c r="AW63" s="202">
        <f>IF(AND($C63,ISNUMBER($AR63)),$AQ63+$AR63*$AP63-1,"")</f>
      </c>
      <c r="AX63" s="202">
        <f>IF($C63,IF(OR($AT63="Completo",$AU63="Cancelado",$AU63="Baja prioridad",NOT(ISNUMBER($AW63))),0,MAX(0,TODAY()-$AW63)),"")</f>
      </c>
      <c r="AY63" s="203">
        <f>IF($C63,IF(NOT(ISNUMBER($AR63)),"Sin fecha",IF($AT63="Completo","Completo",IF($AU63="Cancelado","Cancelado",IF($AU63="Baja prioridad","Baja prioridad",IF($AX63&gt;0,"Vencida","Pendiente"))))),"")</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row>
    <row r="64">
      <c r="A64" s="202">
        <f>ROW()</f>
      </c>
      <c r="B64" s="202">
        <f>ISTEXT('Proyecto Datos (OKR´s)'!$K64)</f>
      </c>
      <c r="C64" s="202">
        <f>AND(LEN('Proyecto Datos (OKR´s)'!$G64)&gt;0,NOT($B64),OR(ISNUMBER('Proyecto Datos (OKR´s)'!$F64),ISNUMBER('Proyecto Datos (OKR´s)'!$L64)))</f>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IF($C64,'Proyecto Datos (OKR´s)'!$J64,"")</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f>IF($C64,$AV64&lt;&gt;$AR64,FALSE)</f>
      </c>
      <c r="AG64" s="202">
        <f>IF($C64,IF($AV64&lt;&gt;$AR64,$AW64,""),"")</f>
      </c>
      <c r="AH64" s="203">
        <f>IF($C64,'Backlog General'!$L64,"")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IF($C64,IFERROR(VLOOKUP($D64,'Sprints'!$G$5:$H$12,2,FALSE),"Semanal"),"")</f>
      </c>
      <c r="AP64" s="202">
        <f>IF($C64,IF($AO64="Semanal",'Sprints'!$D$5,IF($AO64="Quincenal",'Sprints'!$D$6,'Sprints'!$D$7)),"")</f>
      </c>
      <c r="AQ64" s="202">
        <f>IF($C64,IF($AO64="Semanal",'Sprints'!$C$5,IF($AO64="Quincenal",'Sprints'!$C$6,'Sprints'!$C$7)),"")</f>
      </c>
      <c r="AR64" s="202">
        <f>IF(AND($C64,ISNUMBER($H64)),MAX(1,INT(($H64-$AQ64)/$AP64)+1),"")</f>
      </c>
      <c r="AS64" s="202">
        <f>IF($C64,IF($AO64="Semanal",'Sprints'!$E$5,IF($AO64="Quincenal",'Sprints'!$E$6,'Sprints'!$E$7)),"")</f>
      </c>
      <c r="AT64" s="203">
        <f>IF($C64,'Backlog General'!$G64,"")</f>
      </c>
      <c r="AU64" s="203">
        <f>IF($C64,'Backlog General'!$H64,"")</f>
      </c>
      <c r="AV64" s="202">
        <f>IF(AND($C64,ISNUMBER($AR64)),IF(OR($AT64="Completo",$AU64="Cancelado",$AU64="Baja prioridad"),$AR64,IF($AU64="Pasa al siguiente",MAX($AR64+1,$AS64),MAX($AR64,$AS64))),"")</f>
      </c>
      <c r="AW64" s="202">
        <f>IF(AND($C64,ISNUMBER($AR64)),$AQ64+$AR64*$AP64-1,"")</f>
      </c>
      <c r="AX64" s="202">
        <f>IF($C64,IF(OR($AT64="Completo",$AU64="Cancelado",$AU64="Baja prioridad",NOT(ISNUMBER($AW64))),0,MAX(0,TODAY()-$AW64)),"")</f>
      </c>
      <c r="AY64" s="203">
        <f>IF($C64,IF(NOT(ISNUMBER($AR64)),"Sin fecha",IF($AT64="Completo","Completo",IF($AU64="Cancelado","Cancelado",IF($AU64="Baja prioridad","Baja prioridad",IF($AX64&gt;0,"Vencida","Pendiente"))))),"")</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row>
    <row r="65">
      <c r="A65" s="202">
        <f>ROW()</f>
      </c>
      <c r="B65" s="202">
        <f>ISTEXT('Proyecto Datos (OKR´s)'!$K65)</f>
      </c>
      <c r="C65" s="202">
        <f>AND(LEN('Proyecto Datos (OKR´s)'!$G65)&gt;0,NOT($B65),OR(ISNUMBER('Proyecto Datos (OKR´s)'!$F65),ISNUMBER('Proyecto Datos (OKR´s)'!$L65)))</f>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IF($C65,'Proyecto Datos (OKR´s)'!$J65,"")</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f>IF($C65,$AV65&lt;&gt;$AR65,FALSE)</f>
      </c>
      <c r="AG65" s="202">
        <f>IF($C65,IF($AV65&lt;&gt;$AR65,$AW65,""),"")</f>
      </c>
      <c r="AH65" s="203">
        <f>IF($C65,'Backlog General'!$L65,"")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IF($C65,IFERROR(VLOOKUP($D65,'Sprints'!$G$5:$H$12,2,FALSE),"Semanal"),"")</f>
      </c>
      <c r="AP65" s="202">
        <f>IF($C65,IF($AO65="Semanal",'Sprints'!$D$5,IF($AO65="Quincenal",'Sprints'!$D$6,'Sprints'!$D$7)),"")</f>
      </c>
      <c r="AQ65" s="202">
        <f>IF($C65,IF($AO65="Semanal",'Sprints'!$C$5,IF($AO65="Quincenal",'Sprints'!$C$6,'Sprints'!$C$7)),"")</f>
      </c>
      <c r="AR65" s="202">
        <f>IF(AND($C65,ISNUMBER($H65)),MAX(1,INT(($H65-$AQ65)/$AP65)+1),"")</f>
      </c>
      <c r="AS65" s="202">
        <f>IF($C65,IF($AO65="Semanal",'Sprints'!$E$5,IF($AO65="Quincenal",'Sprints'!$E$6,'Sprints'!$E$7)),"")</f>
      </c>
      <c r="AT65" s="203">
        <f>IF($C65,'Backlog General'!$G65,"")</f>
      </c>
      <c r="AU65" s="203">
        <f>IF($C65,'Backlog General'!$H65,"")</f>
      </c>
      <c r="AV65" s="202">
        <f>IF(AND($C65,ISNUMBER($AR65)),IF(OR($AT65="Completo",$AU65="Cancelado",$AU65="Baja prioridad"),$AR65,IF($AU65="Pasa al siguiente",MAX($AR65+1,$AS65),MAX($AR65,$AS65))),"")</f>
      </c>
      <c r="AW65" s="202">
        <f>IF(AND($C65,ISNUMBER($AR65)),$AQ65+$AR65*$AP65-1,"")</f>
      </c>
      <c r="AX65" s="202">
        <f>IF($C65,IF(OR($AT65="Completo",$AU65="Cancelado",$AU65="Baja prioridad",NOT(ISNUMBER($AW65))),0,MAX(0,TODAY()-$AW65)),"")</f>
      </c>
      <c r="AY65" s="203">
        <f>IF($C65,IF(NOT(ISNUMBER($AR65)),"Sin fecha",IF($AT65="Completo","Completo",IF($AU65="Cancelado","Cancelado",IF($AU65="Baja prioridad","Baja prioridad",IF($AX65&gt;0,"Vencida","Pendiente"))))),"")</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row>
    <row r="66">
      <c r="A66" s="202">
        <f>ROW()</f>
      </c>
      <c r="B66" s="202">
        <f>ISTEXT('Proyecto Datos (OKR´s)'!$K66)</f>
      </c>
      <c r="C66" s="202">
        <f>AND(LEN('Proyecto Datos (OKR´s)'!$G66)&gt;0,NOT($B66),OR(ISNUMBER('Proyecto Datos (OKR´s)'!$F66),ISNUMBER('Proyecto Datos (OKR´s)'!$L66)))</f>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IF($C66,'Proyecto Datos (OKR´s)'!$J66,"")</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f>IF($C66,$AV66&lt;&gt;$AR66,FALSE)</f>
      </c>
      <c r="AG66" s="202">
        <f>IF($C66,IF($AV66&lt;&gt;$AR66,$AW66,""),"")</f>
      </c>
      <c r="AH66" s="203">
        <f>IF($C66,'Backlog General'!$L66,"")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IF($C66,IFERROR(VLOOKUP($D66,'Sprints'!$G$5:$H$12,2,FALSE),"Semanal"),"")</f>
      </c>
      <c r="AP66" s="202">
        <f>IF($C66,IF($AO66="Semanal",'Sprints'!$D$5,IF($AO66="Quincenal",'Sprints'!$D$6,'Sprints'!$D$7)),"")</f>
      </c>
      <c r="AQ66" s="202">
        <f>IF($C66,IF($AO66="Semanal",'Sprints'!$C$5,IF($AO66="Quincenal",'Sprints'!$C$6,'Sprints'!$C$7)),"")</f>
      </c>
      <c r="AR66" s="202">
        <f>IF(AND($C66,ISNUMBER($H66)),MAX(1,INT(($H66-$AQ66)/$AP66)+1),"")</f>
      </c>
      <c r="AS66" s="202">
        <f>IF($C66,IF($AO66="Semanal",'Sprints'!$E$5,IF($AO66="Quincenal",'Sprints'!$E$6,'Sprints'!$E$7)),"")</f>
      </c>
      <c r="AT66" s="203">
        <f>IF($C66,'Backlog General'!$G66,"")</f>
      </c>
      <c r="AU66" s="203">
        <f>IF($C66,'Backlog General'!$H66,"")</f>
      </c>
      <c r="AV66" s="202">
        <f>IF(AND($C66,ISNUMBER($AR66)),IF(OR($AT66="Completo",$AU66="Cancelado",$AU66="Baja prioridad"),$AR66,IF($AU66="Pasa al siguiente",MAX($AR66+1,$AS66),MAX($AR66,$AS66))),"")</f>
      </c>
      <c r="AW66" s="202">
        <f>IF(AND($C66,ISNUMBER($AR66)),$AQ66+$AR66*$AP66-1,"")</f>
      </c>
      <c r="AX66" s="202">
        <f>IF($C66,IF(OR($AT66="Completo",$AU66="Cancelado",$AU66="Baja prioridad",NOT(ISNUMBER($AW66))),0,MAX(0,TODAY()-$AW66)),"")</f>
      </c>
      <c r="AY66" s="203">
        <f>IF($C66,IF(NOT(ISNUMBER($AR66)),"Sin fecha",IF($AT66="Completo","Completo",IF($AU66="Cancelado","Cancelado",IF($AU66="Baja prioridad","Baja prioridad",IF($AX66&gt;0,"Vencida","Pendiente"))))),"")</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row>
    <row r="67">
      <c r="A67" s="202">
        <f>ROW()</f>
      </c>
      <c r="B67" s="202">
        <f>ISTEXT('Proyecto Datos (OKR´s)'!$K67)</f>
      </c>
      <c r="C67" s="202">
        <f>AND(LEN('Proyecto Datos (OKR´s)'!$G67)&gt;0,NOT($B67),OR(ISNUMBER('Proyecto Datos (OKR´s)'!$F67),ISNUMBER('Proyecto Datos (OKR´s)'!$L67)))</f>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IF($C67,'Proyecto Datos (OKR´s)'!$J67,"")</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f>IF($C67,$AV67&lt;&gt;$AR67,FALSE)</f>
      </c>
      <c r="AG67" s="202">
        <f>IF($C67,IF($AV67&lt;&gt;$AR67,$AW67,""),"")</f>
      </c>
      <c r="AH67" s="203">
        <f>IF($C67,'Backlog General'!$L67,"")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IF($C67,IFERROR(VLOOKUP($D67,'Sprints'!$G$5:$H$12,2,FALSE),"Semanal"),"")</f>
      </c>
      <c r="AP67" s="202">
        <f>IF($C67,IF($AO67="Semanal",'Sprints'!$D$5,IF($AO67="Quincenal",'Sprints'!$D$6,'Sprints'!$D$7)),"")</f>
      </c>
      <c r="AQ67" s="202">
        <f>IF($C67,IF($AO67="Semanal",'Sprints'!$C$5,IF($AO67="Quincenal",'Sprints'!$C$6,'Sprints'!$C$7)),"")</f>
      </c>
      <c r="AR67" s="202">
        <f>IF(AND($C67,ISNUMBER($H67)),MAX(1,INT(($H67-$AQ67)/$AP67)+1),"")</f>
      </c>
      <c r="AS67" s="202">
        <f>IF($C67,IF($AO67="Semanal",'Sprints'!$E$5,IF($AO67="Quincenal",'Sprints'!$E$6,'Sprints'!$E$7)),"")</f>
      </c>
      <c r="AT67" s="203">
        <f>IF($C67,'Backlog General'!$G67,"")</f>
      </c>
      <c r="AU67" s="203">
        <f>IF($C67,'Backlog General'!$H67,"")</f>
      </c>
      <c r="AV67" s="202">
        <f>IF(AND($C67,ISNUMBER($AR67)),IF(OR($AT67="Completo",$AU67="Cancelado",$AU67="Baja prioridad"),$AR67,IF($AU67="Pasa al siguiente",MAX($AR67+1,$AS67),MAX($AR67,$AS67))),"")</f>
      </c>
      <c r="AW67" s="202">
        <f>IF(AND($C67,ISNUMBER($AR67)),$AQ67+$AR67*$AP67-1,"")</f>
      </c>
      <c r="AX67" s="202">
        <f>IF($C67,IF(OR($AT67="Completo",$AU67="Cancelado",$AU67="Baja prioridad",NOT(ISNUMBER($AW67))),0,MAX(0,TODAY()-$AW67)),"")</f>
      </c>
      <c r="AY67" s="203">
        <f>IF($C67,IF(NOT(ISNUMBER($AR67)),"Sin fecha",IF($AT67="Completo","Completo",IF($AU67="Cancelado","Cancelado",IF($AU67="Baja prioridad","Baja prioridad",IF($AX67&gt;0,"Vencida","Pendiente"))))),"")</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row>
    <row r="68">
      <c r="A68" s="202">
        <f>ROW()</f>
      </c>
      <c r="B68" s="202">
        <f>ISTEXT('Proyecto Datos (OKR´s)'!$K68)</f>
      </c>
      <c r="C68" s="202">
        <f>AND(LEN('Proyecto Datos (OKR´s)'!$G68)&gt;0,NOT($B68),OR(ISNUMBER('Proyecto Datos (OKR´s)'!$F68),ISNUMBER('Proyecto Datos (OKR´s)'!$L68)))</f>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IF($C68,'Proyecto Datos (OKR´s)'!$J68,"")</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f>IF($C68,$AV68&lt;&gt;$AR68,FALSE)</f>
      </c>
      <c r="AG68" s="202">
        <f>IF($C68,IF($AV68&lt;&gt;$AR68,$AW68,""),"")</f>
      </c>
      <c r="AH68" s="203">
        <f>IF($C68,'Backlog General'!$L68,"")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IF($C68,IFERROR(VLOOKUP($D68,'Sprints'!$G$5:$H$12,2,FALSE),"Semanal"),"")</f>
      </c>
      <c r="AP68" s="202">
        <f>IF($C68,IF($AO68="Semanal",'Sprints'!$D$5,IF($AO68="Quincenal",'Sprints'!$D$6,'Sprints'!$D$7)),"")</f>
      </c>
      <c r="AQ68" s="202">
        <f>IF($C68,IF($AO68="Semanal",'Sprints'!$C$5,IF($AO68="Quincenal",'Sprints'!$C$6,'Sprints'!$C$7)),"")</f>
      </c>
      <c r="AR68" s="202">
        <f>IF(AND($C68,ISNUMBER($H68)),MAX(1,INT(($H68-$AQ68)/$AP68)+1),"")</f>
      </c>
      <c r="AS68" s="202">
        <f>IF($C68,IF($AO68="Semanal",'Sprints'!$E$5,IF($AO68="Quincenal",'Sprints'!$E$6,'Sprints'!$E$7)),"")</f>
      </c>
      <c r="AT68" s="203">
        <f>IF($C68,'Backlog General'!$G68,"")</f>
      </c>
      <c r="AU68" s="203">
        <f>IF($C68,'Backlog General'!$H68,"")</f>
      </c>
      <c r="AV68" s="202">
        <f>IF(AND($C68,ISNUMBER($AR68)),IF(OR($AT68="Completo",$AU68="Cancelado",$AU68="Baja prioridad"),$AR68,IF($AU68="Pasa al siguiente",MAX($AR68+1,$AS68),MAX($AR68,$AS68))),"")</f>
      </c>
      <c r="AW68" s="202">
        <f>IF(AND($C68,ISNUMBER($AR68)),$AQ68+$AR68*$AP68-1,"")</f>
      </c>
      <c r="AX68" s="202">
        <f>IF($C68,IF(OR($AT68="Completo",$AU68="Cancelado",$AU68="Baja prioridad",NOT(ISNUMBER($AW68))),0,MAX(0,TODAY()-$AW68)),"")</f>
      </c>
      <c r="AY68" s="203">
        <f>IF($C68,IF(NOT(ISNUMBER($AR68)),"Sin fecha",IF($AT68="Completo","Completo",IF($AU68="Cancelado","Cancelado",IF($AU68="Baja prioridad","Baja prioridad",IF($AX68&gt;0,"Vencida","Pendiente"))))),"")</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row>
    <row r="69">
      <c r="A69" s="202">
        <f>ROW()</f>
      </c>
      <c r="B69" s="202">
        <f>ISTEXT('Proyecto Datos (OKR´s)'!$K69)</f>
      </c>
      <c r="C69" s="202">
        <f>AND(LEN('Proyecto Datos (OKR´s)'!$G69)&gt;0,NOT($B69),OR(ISNUMBER('Proyecto Datos (OKR´s)'!$F69),ISNUMBER('Proyecto Datos (OKR´s)'!$L69)))</f>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IF($C69,'Proyecto Datos (OKR´s)'!$J69,"")</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f>IF($C69,$AV69&lt;&gt;$AR69,FALSE)</f>
      </c>
      <c r="AG69" s="202">
        <f>IF($C69,IF($AV69&lt;&gt;$AR69,$AW69,""),"")</f>
      </c>
      <c r="AH69" s="203">
        <f>IF($C69,'Backlog General'!$L69,"")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IF($C69,IFERROR(VLOOKUP($D69,'Sprints'!$G$5:$H$12,2,FALSE),"Semanal"),"")</f>
      </c>
      <c r="AP69" s="202">
        <f>IF($C69,IF($AO69="Semanal",'Sprints'!$D$5,IF($AO69="Quincenal",'Sprints'!$D$6,'Sprints'!$D$7)),"")</f>
      </c>
      <c r="AQ69" s="202">
        <f>IF($C69,IF($AO69="Semanal",'Sprints'!$C$5,IF($AO69="Quincenal",'Sprints'!$C$6,'Sprints'!$C$7)),"")</f>
      </c>
      <c r="AR69" s="202">
        <f>IF(AND($C69,ISNUMBER($H69)),MAX(1,INT(($H69-$AQ69)/$AP69)+1),"")</f>
      </c>
      <c r="AS69" s="202">
        <f>IF($C69,IF($AO69="Semanal",'Sprints'!$E$5,IF($AO69="Quincenal",'Sprints'!$E$6,'Sprints'!$E$7)),"")</f>
      </c>
      <c r="AT69" s="203">
        <f>IF($C69,'Backlog General'!$G69,"")</f>
      </c>
      <c r="AU69" s="203">
        <f>IF($C69,'Backlog General'!$H69,"")</f>
      </c>
      <c r="AV69" s="202">
        <f>IF(AND($C69,ISNUMBER($AR69)),IF(OR($AT69="Completo",$AU69="Cancelado",$AU69="Baja prioridad"),$AR69,IF($AU69="Pasa al siguiente",MAX($AR69+1,$AS69),MAX($AR69,$AS69))),"")</f>
      </c>
      <c r="AW69" s="202">
        <f>IF(AND($C69,ISNUMBER($AR69)),$AQ69+$AR69*$AP69-1,"")</f>
      </c>
      <c r="AX69" s="202">
        <f>IF($C69,IF(OR($AT69="Completo",$AU69="Cancelado",$AU69="Baja prioridad",NOT(ISNUMBER($AW69))),0,MAX(0,TODAY()-$AW69)),"")</f>
      </c>
      <c r="AY69" s="203">
        <f>IF($C69,IF(NOT(ISNUMBER($AR69)),"Sin fecha",IF($AT69="Completo","Completo",IF($AU69="Cancelado","Cancelado",IF($AU69="Baja prioridad","Baja prioridad",IF($AX69&gt;0,"Vencida","Pendiente"))))),"")</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row>
    <row r="70">
      <c r="A70" s="202">
        <f>ROW()</f>
      </c>
      <c r="B70" s="202">
        <f>ISTEXT('Proyecto Datos (OKR´s)'!$K70)</f>
      </c>
      <c r="C70" s="202">
        <f>AND(LEN('Proyecto Datos (OKR´s)'!$G70)&gt;0,NOT($B70),OR(ISNUMBER('Proyecto Datos (OKR´s)'!$F70),ISNUMBER('Proyecto Datos (OKR´s)'!$L70)))</f>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IF($C70,'Proyecto Datos (OKR´s)'!$J70,"")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f>IF($C70,$AV70&lt;&gt;$AR70,FALSE)</f>
      </c>
      <c r="AG70" s="202">
        <f>IF($C70,IF($AV70&lt;&gt;$AR70,$AW70,""),"")</f>
      </c>
      <c r="AH70" s="203">
        <f>IF($C70,'Backlog General'!$L70,"")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IF($C70,IFERROR(VLOOKUP($D70,'Sprints'!$G$5:$H$12,2,FALSE),"Semanal"),"")</f>
      </c>
      <c r="AP70" s="202">
        <f>IF($C70,IF($AO70="Semanal",'Sprints'!$D$5,IF($AO70="Quincenal",'Sprints'!$D$6,'Sprints'!$D$7)),"")</f>
      </c>
      <c r="AQ70" s="202">
        <f>IF($C70,IF($AO70="Semanal",'Sprints'!$C$5,IF($AO70="Quincenal",'Sprints'!$C$6,'Sprints'!$C$7)),"")</f>
      </c>
      <c r="AR70" s="202">
        <f>IF(AND($C70,ISNUMBER($H70)),MAX(1,INT(($H70-$AQ70)/$AP70)+1),"")</f>
      </c>
      <c r="AS70" s="202">
        <f>IF($C70,IF($AO70="Semanal",'Sprints'!$E$5,IF($AO70="Quincenal",'Sprints'!$E$6,'Sprints'!$E$7)),"")</f>
      </c>
      <c r="AT70" s="203">
        <f>IF($C70,'Backlog General'!$G70,"")</f>
      </c>
      <c r="AU70" s="203">
        <f>IF($C70,'Backlog General'!$H70,"")</f>
      </c>
      <c r="AV70" s="202">
        <f>IF(AND($C70,ISNUMBER($AR70)),IF(OR($AT70="Completo",$AU70="Cancelado",$AU70="Baja prioridad"),$AR70,IF($AU70="Pasa al siguiente",MAX($AR70+1,$AS70),MAX($AR70,$AS70))),"")</f>
      </c>
      <c r="AW70" s="202">
        <f>IF(AND($C70,ISNUMBER($AR70)),$AQ70+$AR70*$AP70-1,"")</f>
      </c>
      <c r="AX70" s="202">
        <f>IF($C70,IF(OR($AT70="Completo",$AU70="Cancelado",$AU70="Baja prioridad",NOT(ISNUMBER($AW70))),0,MAX(0,TODAY()-$AW70)),"")</f>
      </c>
      <c r="AY70" s="203">
        <f>IF($C70,IF(NOT(ISNUMBER($AR70)),"Sin fecha",IF($AT70="Completo","Completo",IF($AU70="Cancelado","Cancelado",IF($AU70="Baja prioridad","Baja prioridad",IF($AX70&gt;0,"Vencida","Pendiente"))))),"")</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row>
    <row r="71">
      <c r="A71" s="202">
        <f>ROW()</f>
      </c>
      <c r="B71" s="202">
        <f>ISTEXT('Proyecto Datos (OKR´s)'!$K71)</f>
      </c>
      <c r="C71" s="202">
        <f>AND(LEN('Proyecto Datos (OKR´s)'!$G71)&gt;0,NOT($B71),OR(ISNUMBER('Proyecto Datos (OKR´s)'!$F71),ISNUMBER('Proyecto Datos (OKR´s)'!$L71)))</f>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IF($C71,'Proyecto Datos (OKR´s)'!$J71,"")</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f>IF($C71,$AV71&lt;&gt;$AR71,FALSE)</f>
      </c>
      <c r="AG71" s="202">
        <f>IF($C71,IF($AV71&lt;&gt;$AR71,$AW71,""),"")</f>
      </c>
      <c r="AH71" s="203">
        <f>IF($C71,'Backlog General'!$L71,"")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IF($C71,IFERROR(VLOOKUP($D71,'Sprints'!$G$5:$H$12,2,FALSE),"Semanal"),"")</f>
      </c>
      <c r="AP71" s="202">
        <f>IF($C71,IF($AO71="Semanal",'Sprints'!$D$5,IF($AO71="Quincenal",'Sprints'!$D$6,'Sprints'!$D$7)),"")</f>
      </c>
      <c r="AQ71" s="202">
        <f>IF($C71,IF($AO71="Semanal",'Sprints'!$C$5,IF($AO71="Quincenal",'Sprints'!$C$6,'Sprints'!$C$7)),"")</f>
      </c>
      <c r="AR71" s="202">
        <f>IF(AND($C71,ISNUMBER($H71)),MAX(1,INT(($H71-$AQ71)/$AP71)+1),"")</f>
      </c>
      <c r="AS71" s="202">
        <f>IF($C71,IF($AO71="Semanal",'Sprints'!$E$5,IF($AO71="Quincenal",'Sprints'!$E$6,'Sprints'!$E$7)),"")</f>
      </c>
      <c r="AT71" s="203">
        <f>IF($C71,'Backlog General'!$G71,"")</f>
      </c>
      <c r="AU71" s="203">
        <f>IF($C71,'Backlog General'!$H71,"")</f>
      </c>
      <c r="AV71" s="202">
        <f>IF(AND($C71,ISNUMBER($AR71)),IF(OR($AT71="Completo",$AU71="Cancelado",$AU71="Baja prioridad"),$AR71,IF($AU71="Pasa al siguiente",MAX($AR71+1,$AS71),MAX($AR71,$AS71))),"")</f>
      </c>
      <c r="AW71" s="202">
        <f>IF(AND($C71,ISNUMBER($AR71)),$AQ71+$AR71*$AP71-1,"")</f>
      </c>
      <c r="AX71" s="202">
        <f>IF($C71,IF(OR($AT71="Completo",$AU71="Cancelado",$AU71="Baja prioridad",NOT(ISNUMBER($AW71))),0,MAX(0,TODAY()-$AW71)),"")</f>
      </c>
      <c r="AY71" s="203">
        <f>IF($C71,IF(NOT(ISNUMBER($AR71)),"Sin fecha",IF($AT71="Completo","Completo",IF($AU71="Cancelado","Cancelado",IF($AU71="Baja prioridad","Baja prioridad",IF($AX71&gt;0,"Vencida","Pendiente"))))),"")</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row>
    <row r="72">
      <c r="A72" s="202">
        <f>ROW()</f>
      </c>
      <c r="B72" s="202">
        <f>ISTEXT('Proyecto Datos (OKR´s)'!$K72)</f>
      </c>
      <c r="C72" s="202">
        <f>AND(LEN('Proyecto Datos (OKR´s)'!$G72)&gt;0,NOT($B72),OR(ISNUMBER('Proyecto Datos (OKR´s)'!$F72),ISNUMBER('Proyecto Datos (OKR´s)'!$L72)))</f>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IF($C72,'Proyecto Datos (OKR´s)'!$J72,"")</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f>IF($C72,$AV72&lt;&gt;$AR72,FALSE)</f>
      </c>
      <c r="AG72" s="202">
        <f>IF($C72,IF($AV72&lt;&gt;$AR72,$AW72,""),"")</f>
      </c>
      <c r="AH72" s="203">
        <f>IF($C72,'Backlog General'!$L72,"")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IF($C72,IFERROR(VLOOKUP($D72,'Sprints'!$G$5:$H$12,2,FALSE),"Semanal"),"")</f>
      </c>
      <c r="AP72" s="202">
        <f>IF($C72,IF($AO72="Semanal",'Sprints'!$D$5,IF($AO72="Quincenal",'Sprints'!$D$6,'Sprints'!$D$7)),"")</f>
      </c>
      <c r="AQ72" s="202">
        <f>IF($C72,IF($AO72="Semanal",'Sprints'!$C$5,IF($AO72="Quincenal",'Sprints'!$C$6,'Sprints'!$C$7)),"")</f>
      </c>
      <c r="AR72" s="202">
        <f>IF(AND($C72,ISNUMBER($H72)),MAX(1,INT(($H72-$AQ72)/$AP72)+1),"")</f>
      </c>
      <c r="AS72" s="202">
        <f>IF($C72,IF($AO72="Semanal",'Sprints'!$E$5,IF($AO72="Quincenal",'Sprints'!$E$6,'Sprints'!$E$7)),"")</f>
      </c>
      <c r="AT72" s="203">
        <f>IF($C72,'Backlog General'!$G72,"")</f>
      </c>
      <c r="AU72" s="203">
        <f>IF($C72,'Backlog General'!$H72,"")</f>
      </c>
      <c r="AV72" s="202">
        <f>IF(AND($C72,ISNUMBER($AR72)),IF(OR($AT72="Completo",$AU72="Cancelado",$AU72="Baja prioridad"),$AR72,IF($AU72="Pasa al siguiente",MAX($AR72+1,$AS72),MAX($AR72,$AS72))),"")</f>
      </c>
      <c r="AW72" s="202">
        <f>IF(AND($C72,ISNUMBER($AR72)),$AQ72+$AR72*$AP72-1,"")</f>
      </c>
      <c r="AX72" s="202">
        <f>IF($C72,IF(OR($AT72="Completo",$AU72="Cancelado",$AU72="Baja prioridad",NOT(ISNUMBER($AW72))),0,MAX(0,TODAY()-$AW72)),"")</f>
      </c>
      <c r="AY72" s="203">
        <f>IF($C72,IF(NOT(ISNUMBER($AR72)),"Sin fecha",IF($AT72="Completo","Completo",IF($AU72="Cancelado","Cancelado",IF($AU72="Baja prioridad","Baja prioridad",IF($AX72&gt;0,"Vencida","Pendiente"))))),"")</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row>
    <row r="73">
      <c r="A73" s="202">
        <f>ROW()</f>
      </c>
      <c r="B73" s="202">
        <f>ISTEXT('Proyecto Datos (OKR´s)'!$K73)</f>
      </c>
      <c r="C73" s="202">
        <f>AND(LEN('Proyecto Datos (OKR´s)'!$G73)&gt;0,NOT($B73),OR(ISNUMBER('Proyecto Datos (OKR´s)'!$F73),ISNUMBER('Proyecto Datos (OKR´s)'!$L73)))</f>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IF($C73,'Proyecto Datos (OKR´s)'!$J73,"")</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f>IF($C73,$AV73&lt;&gt;$AR73,FALSE)</f>
      </c>
      <c r="AG73" s="202">
        <f>IF($C73,IF($AV73&lt;&gt;$AR73,$AW73,""),"")</f>
      </c>
      <c r="AH73" s="203">
        <f>IF($C73,'Backlog General'!$L73,"")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IF($C73,IFERROR(VLOOKUP($D73,'Sprints'!$G$5:$H$12,2,FALSE),"Semanal"),"")</f>
      </c>
      <c r="AP73" s="202">
        <f>IF($C73,IF($AO73="Semanal",'Sprints'!$D$5,IF($AO73="Quincenal",'Sprints'!$D$6,'Sprints'!$D$7)),"")</f>
      </c>
      <c r="AQ73" s="202">
        <f>IF($C73,IF($AO73="Semanal",'Sprints'!$C$5,IF($AO73="Quincenal",'Sprints'!$C$6,'Sprints'!$C$7)),"")</f>
      </c>
      <c r="AR73" s="202">
        <f>IF(AND($C73,ISNUMBER($H73)),MAX(1,INT(($H73-$AQ73)/$AP73)+1),"")</f>
      </c>
      <c r="AS73" s="202">
        <f>IF($C73,IF($AO73="Semanal",'Sprints'!$E$5,IF($AO73="Quincenal",'Sprints'!$E$6,'Sprints'!$E$7)),"")</f>
      </c>
      <c r="AT73" s="203">
        <f>IF($C73,'Backlog General'!$G73,"")</f>
      </c>
      <c r="AU73" s="203">
        <f>IF($C73,'Backlog General'!$H73,"")</f>
      </c>
      <c r="AV73" s="202">
        <f>IF(AND($C73,ISNUMBER($AR73)),IF(OR($AT73="Completo",$AU73="Cancelado",$AU73="Baja prioridad"),$AR73,IF($AU73="Pasa al siguiente",MAX($AR73+1,$AS73),MAX($AR73,$AS73))),"")</f>
      </c>
      <c r="AW73" s="202">
        <f>IF(AND($C73,ISNUMBER($AR73)),$AQ73+$AR73*$AP73-1,"")</f>
      </c>
      <c r="AX73" s="202">
        <f>IF($C73,IF(OR($AT73="Completo",$AU73="Cancelado",$AU73="Baja prioridad",NOT(ISNUMBER($AW73))),0,MAX(0,TODAY()-$AW73)),"")</f>
      </c>
      <c r="AY73" s="203">
        <f>IF($C73,IF(NOT(ISNUMBER($AR73)),"Sin fecha",IF($AT73="Completo","Completo",IF($AU73="Cancelado","Cancelado",IF($AU73="Baja prioridad","Baja prioridad",IF($AX73&gt;0,"Vencida","Pendiente"))))),"")</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row>
    <row r="74">
      <c r="A74" s="202">
        <f>ROW()</f>
      </c>
      <c r="B74" s="202">
        <f>ISTEXT('Proyecto Datos (OKR´s)'!$K74)</f>
      </c>
      <c r="C74" s="202">
        <f>AND(LEN('Proyecto Datos (OKR´s)'!$G74)&gt;0,NOT($B74),OR(ISNUMBER('Proyecto Datos (OKR´s)'!$F74),ISNUMBER('Proyecto Datos (OKR´s)'!$L74)))</f>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IF($C74,'Proyecto Datos (OKR´s)'!$J74,"")</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f>IF($C74,$AV74&lt;&gt;$AR74,FALSE)</f>
      </c>
      <c r="AG74" s="202">
        <f>IF($C74,IF($AV74&lt;&gt;$AR74,$AW74,""),"")</f>
      </c>
      <c r="AH74" s="203">
        <f>IF($C74,'Backlog General'!$L74,"")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IF($C74,IFERROR(VLOOKUP($D74,'Sprints'!$G$5:$H$12,2,FALSE),"Semanal"),"")</f>
      </c>
      <c r="AP74" s="202">
        <f>IF($C74,IF($AO74="Semanal",'Sprints'!$D$5,IF($AO74="Quincenal",'Sprints'!$D$6,'Sprints'!$D$7)),"")</f>
      </c>
      <c r="AQ74" s="202">
        <f>IF($C74,IF($AO74="Semanal",'Sprints'!$C$5,IF($AO74="Quincenal",'Sprints'!$C$6,'Sprints'!$C$7)),"")</f>
      </c>
      <c r="AR74" s="202">
        <f>IF(AND($C74,ISNUMBER($H74)),MAX(1,INT(($H74-$AQ74)/$AP74)+1),"")</f>
      </c>
      <c r="AS74" s="202">
        <f>IF($C74,IF($AO74="Semanal",'Sprints'!$E$5,IF($AO74="Quincenal",'Sprints'!$E$6,'Sprints'!$E$7)),"")</f>
      </c>
      <c r="AT74" s="203">
        <f>IF($C74,'Backlog General'!$G74,"")</f>
      </c>
      <c r="AU74" s="203">
        <f>IF($C74,'Backlog General'!$H74,"")</f>
      </c>
      <c r="AV74" s="202">
        <f>IF(AND($C74,ISNUMBER($AR74)),IF(OR($AT74="Completo",$AU74="Cancelado",$AU74="Baja prioridad"),$AR74,IF($AU74="Pasa al siguiente",MAX($AR74+1,$AS74),MAX($AR74,$AS74))),"")</f>
      </c>
      <c r="AW74" s="202">
        <f>IF(AND($C74,ISNUMBER($AR74)),$AQ74+$AR74*$AP74-1,"")</f>
      </c>
      <c r="AX74" s="202">
        <f>IF($C74,IF(OR($AT74="Completo",$AU74="Cancelado",$AU74="Baja prioridad",NOT(ISNUMBER($AW74))),0,MAX(0,TODAY()-$AW74)),"")</f>
      </c>
      <c r="AY74" s="203">
        <f>IF($C74,IF(NOT(ISNUMBER($AR74)),"Sin fecha",IF($AT74="Completo","Completo",IF($AU74="Cancelado","Cancelado",IF($AU74="Baja prioridad","Baja prioridad",IF($AX74&gt;0,"Vencida","Pendiente"))))),"")</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row>
    <row r="75">
      <c r="A75" s="202">
        <f>ROW()</f>
      </c>
      <c r="B75" s="202">
        <f>ISTEXT('Proyecto Datos (OKR´s)'!$K75)</f>
      </c>
      <c r="C75" s="202">
        <f>AND(LEN('Proyecto Datos (OKR´s)'!$G75)&gt;0,NOT($B75),OR(ISNUMBER('Proyecto Datos (OKR´s)'!$F75),ISNUMBER('Proyecto Datos (OKR´s)'!$L75)))</f>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IF($C75,'Proyecto Datos (OKR´s)'!$J75,"")</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f>IF($C75,$AV75&lt;&gt;$AR75,FALSE)</f>
      </c>
      <c r="AG75" s="202">
        <f>IF($C75,IF($AV75&lt;&gt;$AR75,$AW75,""),"")</f>
      </c>
      <c r="AH75" s="203">
        <f>IF($C75,'Backlog General'!$L75,"")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IF($C75,IFERROR(VLOOKUP($D75,'Sprints'!$G$5:$H$12,2,FALSE),"Semanal"),"")</f>
      </c>
      <c r="AP75" s="202">
        <f>IF($C75,IF($AO75="Semanal",'Sprints'!$D$5,IF($AO75="Quincenal",'Sprints'!$D$6,'Sprints'!$D$7)),"")</f>
      </c>
      <c r="AQ75" s="202">
        <f>IF($C75,IF($AO75="Semanal",'Sprints'!$C$5,IF($AO75="Quincenal",'Sprints'!$C$6,'Sprints'!$C$7)),"")</f>
      </c>
      <c r="AR75" s="202">
        <f>IF(AND($C75,ISNUMBER($H75)),MAX(1,INT(($H75-$AQ75)/$AP75)+1),"")</f>
      </c>
      <c r="AS75" s="202">
        <f>IF($C75,IF($AO75="Semanal",'Sprints'!$E$5,IF($AO75="Quincenal",'Sprints'!$E$6,'Sprints'!$E$7)),"")</f>
      </c>
      <c r="AT75" s="203">
        <f>IF($C75,'Backlog General'!$G75,"")</f>
      </c>
      <c r="AU75" s="203">
        <f>IF($C75,'Backlog General'!$H75,"")</f>
      </c>
      <c r="AV75" s="202">
        <f>IF(AND($C75,ISNUMBER($AR75)),IF(OR($AT75="Completo",$AU75="Cancelado",$AU75="Baja prioridad"),$AR75,IF($AU75="Pasa al siguiente",MAX($AR75+1,$AS75),MAX($AR75,$AS75))),"")</f>
      </c>
      <c r="AW75" s="202">
        <f>IF(AND($C75,ISNUMBER($AR75)),$AQ75+$AR75*$AP75-1,"")</f>
      </c>
      <c r="AX75" s="202">
        <f>IF($C75,IF(OR($AT75="Completo",$AU75="Cancelado",$AU75="Baja prioridad",NOT(ISNUMBER($AW75))),0,MAX(0,TODAY()-$AW75)),"")</f>
      </c>
      <c r="AY75" s="203">
        <f>IF($C75,IF(NOT(ISNUMBER($AR75)),"Sin fecha",IF($AT75="Completo","Completo",IF($AU75="Cancelado","Cancelado",IF($AU75="Baja prioridad","Baja prioridad",IF($AX75&gt;0,"Vencida","Pendiente"))))),"")</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row>
    <row r="76">
      <c r="A76" s="202">
        <f>ROW()</f>
      </c>
      <c r="B76" s="202">
        <f>ISTEXT('Proyecto Datos (OKR´s)'!$K76)</f>
      </c>
      <c r="C76" s="202">
        <f>AND(LEN('Proyecto Datos (OKR´s)'!$G76)&gt;0,NOT($B76),OR(ISNUMBER('Proyecto Datos (OKR´s)'!$F76),ISNUMBER('Proyecto Datos (OKR´s)'!$L76)))</f>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IF($C76,'Proyecto Datos (OKR´s)'!$J76,"")</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f>IF($C76,$AV76&lt;&gt;$AR76,FALSE)</f>
      </c>
      <c r="AG76" s="202">
        <f>IF($C76,IF($AV76&lt;&gt;$AR76,$AW76,""),"")</f>
      </c>
      <c r="AH76" s="203">
        <f>IF($C76,'Backlog General'!$L76,"")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IF($C76,IFERROR(VLOOKUP($D76,'Sprints'!$G$5:$H$12,2,FALSE),"Semanal"),"")</f>
      </c>
      <c r="AP76" s="202">
        <f>IF($C76,IF($AO76="Semanal",'Sprints'!$D$5,IF($AO76="Quincenal",'Sprints'!$D$6,'Sprints'!$D$7)),"")</f>
      </c>
      <c r="AQ76" s="202">
        <f>IF($C76,IF($AO76="Semanal",'Sprints'!$C$5,IF($AO76="Quincenal",'Sprints'!$C$6,'Sprints'!$C$7)),"")</f>
      </c>
      <c r="AR76" s="202">
        <f>IF(AND($C76,ISNUMBER($H76)),MAX(1,INT(($H76-$AQ76)/$AP76)+1),"")</f>
      </c>
      <c r="AS76" s="202">
        <f>IF($C76,IF($AO76="Semanal",'Sprints'!$E$5,IF($AO76="Quincenal",'Sprints'!$E$6,'Sprints'!$E$7)),"")</f>
      </c>
      <c r="AT76" s="203">
        <f>IF($C76,'Backlog General'!$G76,"")</f>
      </c>
      <c r="AU76" s="203">
        <f>IF($C76,'Backlog General'!$H76,"")</f>
      </c>
      <c r="AV76" s="202">
        <f>IF(AND($C76,ISNUMBER($AR76)),IF(OR($AT76="Completo",$AU76="Cancelado",$AU76="Baja prioridad"),$AR76,IF($AU76="Pasa al siguiente",MAX($AR76+1,$AS76),MAX($AR76,$AS76))),"")</f>
      </c>
      <c r="AW76" s="202">
        <f>IF(AND($C76,ISNUMBER($AR76)),$AQ76+$AR76*$AP76-1,"")</f>
      </c>
      <c r="AX76" s="202">
        <f>IF($C76,IF(OR($AT76="Completo",$AU76="Cancelado",$AU76="Baja prioridad",NOT(ISNUMBER($AW76))),0,MAX(0,TODAY()-$AW76)),"")</f>
      </c>
      <c r="AY76" s="203">
        <f>IF($C76,IF(NOT(ISNUMBER($AR76)),"Sin fecha",IF($AT76="Completo","Completo",IF($AU76="Cancelado","Cancelado",IF($AU76="Baja prioridad","Baja prioridad",IF($AX76&gt;0,"Vencida","Pendiente"))))),"")</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row>
    <row r="77">
      <c r="A77" s="202">
        <f>ROW()</f>
      </c>
      <c r="B77" s="202">
        <f>ISTEXT('Proyecto Datos (OKR´s)'!$K77)</f>
      </c>
      <c r="C77" s="202">
        <f>AND(LEN('Proyecto Datos (OKR´s)'!$G77)&gt;0,NOT($B77),OR(ISNUMBER('Proyecto Datos (OKR´s)'!$F77),ISNUMBER('Proyecto Datos (OKR´s)'!$L77)))</f>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IF($C77,'Proyecto Datos (OKR´s)'!$J77,"")</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f>IF($C77,$AV77&lt;&gt;$AR77,FALSE)</f>
      </c>
      <c r="AG77" s="202">
        <f>IF($C77,IF($AV77&lt;&gt;$AR77,$AW77,""),"")</f>
      </c>
      <c r="AH77" s="203">
        <f>IF($C77,'Backlog General'!$L77,"")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IF($C77,IFERROR(VLOOKUP($D77,'Sprints'!$G$5:$H$12,2,FALSE),"Semanal"),"")</f>
      </c>
      <c r="AP77" s="202">
        <f>IF($C77,IF($AO77="Semanal",'Sprints'!$D$5,IF($AO77="Quincenal",'Sprints'!$D$6,'Sprints'!$D$7)),"")</f>
      </c>
      <c r="AQ77" s="202">
        <f>IF($C77,IF($AO77="Semanal",'Sprints'!$C$5,IF($AO77="Quincenal",'Sprints'!$C$6,'Sprints'!$C$7)),"")</f>
      </c>
      <c r="AR77" s="202">
        <f>IF(AND($C77,ISNUMBER($H77)),MAX(1,INT(($H77-$AQ77)/$AP77)+1),"")</f>
      </c>
      <c r="AS77" s="202">
        <f>IF($C77,IF($AO77="Semanal",'Sprints'!$E$5,IF($AO77="Quincenal",'Sprints'!$E$6,'Sprints'!$E$7)),"")</f>
      </c>
      <c r="AT77" s="203">
        <f>IF($C77,'Backlog General'!$G77,"")</f>
      </c>
      <c r="AU77" s="203">
        <f>IF($C77,'Backlog General'!$H77,"")</f>
      </c>
      <c r="AV77" s="202">
        <f>IF(AND($C77,ISNUMBER($AR77)),IF(OR($AT77="Completo",$AU77="Cancelado",$AU77="Baja prioridad"),$AR77,IF($AU77="Pasa al siguiente",MAX($AR77+1,$AS77),MAX($AR77,$AS77))),"")</f>
      </c>
      <c r="AW77" s="202">
        <f>IF(AND($C77,ISNUMBER($AR77)),$AQ77+$AR77*$AP77-1,"")</f>
      </c>
      <c r="AX77" s="202">
        <f>IF($C77,IF(OR($AT77="Completo",$AU77="Cancelado",$AU77="Baja prioridad",NOT(ISNUMBER($AW77))),0,MAX(0,TODAY()-$AW77)),"")</f>
      </c>
      <c r="AY77" s="203">
        <f>IF($C77,IF(NOT(ISNUMBER($AR77)),"Sin fecha",IF($AT77="Completo","Completo",IF($AU77="Cancelado","Cancelado",IF($AU77="Baja prioridad","Baja prioridad",IF($AX77&gt;0,"Vencida","Pendiente"))))),"")</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row>
    <row r="78">
      <c r="A78" s="202">
        <f>ROW()</f>
      </c>
      <c r="B78" s="202">
        <f>ISTEXT('Proyecto Datos (OKR´s)'!$K78)</f>
      </c>
      <c r="C78" s="202">
        <f>AND(LEN('Proyecto Datos (OKR´s)'!$G78)&gt;0,NOT($B78),OR(ISNUMBER('Proyecto Datos (OKR´s)'!$F78),ISNUMBER('Proyecto Datos (OKR´s)'!$L78)))</f>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IF($C78,'Proyecto Datos (OKR´s)'!$J78,"")</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f>IF($C78,$AV78&lt;&gt;$AR78,FALSE)</f>
      </c>
      <c r="AG78" s="202">
        <f>IF($C78,IF($AV78&lt;&gt;$AR78,$AW78,""),"")</f>
      </c>
      <c r="AH78" s="203">
        <f>IF($C78,'Backlog General'!$L78,"")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IF($C78,IFERROR(VLOOKUP($D78,'Sprints'!$G$5:$H$12,2,FALSE),"Semanal"),"")</f>
      </c>
      <c r="AP78" s="202">
        <f>IF($C78,IF($AO78="Semanal",'Sprints'!$D$5,IF($AO78="Quincenal",'Sprints'!$D$6,'Sprints'!$D$7)),"")</f>
      </c>
      <c r="AQ78" s="202">
        <f>IF($C78,IF($AO78="Semanal",'Sprints'!$C$5,IF($AO78="Quincenal",'Sprints'!$C$6,'Sprints'!$C$7)),"")</f>
      </c>
      <c r="AR78" s="202">
        <f>IF(AND($C78,ISNUMBER($H78)),MAX(1,INT(($H78-$AQ78)/$AP78)+1),"")</f>
      </c>
      <c r="AS78" s="202">
        <f>IF($C78,IF($AO78="Semanal",'Sprints'!$E$5,IF($AO78="Quincenal",'Sprints'!$E$6,'Sprints'!$E$7)),"")</f>
      </c>
      <c r="AT78" s="203">
        <f>IF($C78,'Backlog General'!$G78,"")</f>
      </c>
      <c r="AU78" s="203">
        <f>IF($C78,'Backlog General'!$H78,"")</f>
      </c>
      <c r="AV78" s="202">
        <f>IF(AND($C78,ISNUMBER($AR78)),IF(OR($AT78="Completo",$AU78="Cancelado",$AU78="Baja prioridad"),$AR78,IF($AU78="Pasa al siguiente",MAX($AR78+1,$AS78),MAX($AR78,$AS78))),"")</f>
      </c>
      <c r="AW78" s="202">
        <f>IF(AND($C78,ISNUMBER($AR78)),$AQ78+$AR78*$AP78-1,"")</f>
      </c>
      <c r="AX78" s="202">
        <f>IF($C78,IF(OR($AT78="Completo",$AU78="Cancelado",$AU78="Baja prioridad",NOT(ISNUMBER($AW78))),0,MAX(0,TODAY()-$AW78)),"")</f>
      </c>
      <c r="AY78" s="203">
        <f>IF($C78,IF(NOT(ISNUMBER($AR78)),"Sin fecha",IF($AT78="Completo","Completo",IF($AU78="Cancelado","Cancelado",IF($AU78="Baja prioridad","Baja prioridad",IF($AX78&gt;0,"Vencida","Pendiente"))))),"")</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row>
    <row r="79">
      <c r="A79" s="202">
        <f>ROW()</f>
      </c>
      <c r="B79" s="202">
        <f>ISTEXT('Proyecto Datos (OKR´s)'!$K79)</f>
      </c>
      <c r="C79" s="202">
        <f>AND(LEN('Proyecto Datos (OKR´s)'!$G79)&gt;0,NOT($B79),OR(ISNUMBER('Proyecto Datos (OKR´s)'!$F79),ISNUMBER('Proyecto Datos (OKR´s)'!$L79)))</f>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IF($C79,'Proyecto Datos (OKR´s)'!$J79,"")</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f>IF($C79,$AV79&lt;&gt;$AR79,FALSE)</f>
      </c>
      <c r="AG79" s="202">
        <f>IF($C79,IF($AV79&lt;&gt;$AR79,$AW79,""),"")</f>
      </c>
      <c r="AH79" s="203">
        <f>IF($C79,'Backlog General'!$L79,"")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IF($C79,IFERROR(VLOOKUP($D79,'Sprints'!$G$5:$H$12,2,FALSE),"Semanal"),"")</f>
      </c>
      <c r="AP79" s="202">
        <f>IF($C79,IF($AO79="Semanal",'Sprints'!$D$5,IF($AO79="Quincenal",'Sprints'!$D$6,'Sprints'!$D$7)),"")</f>
      </c>
      <c r="AQ79" s="202">
        <f>IF($C79,IF($AO79="Semanal",'Sprints'!$C$5,IF($AO79="Quincenal",'Sprints'!$C$6,'Sprints'!$C$7)),"")</f>
      </c>
      <c r="AR79" s="202">
        <f>IF(AND($C79,ISNUMBER($H79)),MAX(1,INT(($H79-$AQ79)/$AP79)+1),"")</f>
      </c>
      <c r="AS79" s="202">
        <f>IF($C79,IF($AO79="Semanal",'Sprints'!$E$5,IF($AO79="Quincenal",'Sprints'!$E$6,'Sprints'!$E$7)),"")</f>
      </c>
      <c r="AT79" s="203">
        <f>IF($C79,'Backlog General'!$G79,"")</f>
      </c>
      <c r="AU79" s="203">
        <f>IF($C79,'Backlog General'!$H79,"")</f>
      </c>
      <c r="AV79" s="202">
        <f>IF(AND($C79,ISNUMBER($AR79)),IF(OR($AT79="Completo",$AU79="Cancelado",$AU79="Baja prioridad"),$AR79,IF($AU79="Pasa al siguiente",MAX($AR79+1,$AS79),MAX($AR79,$AS79))),"")</f>
      </c>
      <c r="AW79" s="202">
        <f>IF(AND($C79,ISNUMBER($AR79)),$AQ79+$AR79*$AP79-1,"")</f>
      </c>
      <c r="AX79" s="202">
        <f>IF($C79,IF(OR($AT79="Completo",$AU79="Cancelado",$AU79="Baja prioridad",NOT(ISNUMBER($AW79))),0,MAX(0,TODAY()-$AW79)),"")</f>
      </c>
      <c r="AY79" s="203">
        <f>IF($C79,IF(NOT(ISNUMBER($AR79)),"Sin fecha",IF($AT79="Completo","Completo",IF($AU79="Cancelado","Cancelado",IF($AU79="Baja prioridad","Baja prioridad",IF($AX79&gt;0,"Vencida","Pendiente"))))),"")</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row>
    <row r="80">
      <c r="A80" s="202">
        <f>ROW()</f>
      </c>
      <c r="B80" s="202">
        <f>ISTEXT('Proyecto Datos (OKR´s)'!$K80)</f>
      </c>
      <c r="C80" s="202">
        <f>AND(LEN('Proyecto Datos (OKR´s)'!$G80)&gt;0,NOT($B80),OR(ISNUMBER('Proyecto Datos (OKR´s)'!$F80),ISNUMBER('Proyecto Datos (OKR´s)'!$L80)))</f>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IF($C80,'Proyecto Datos (OKR´s)'!$J80,"")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f>IF($C80,$AV80&lt;&gt;$AR80,FALSE)</f>
      </c>
      <c r="AG80" s="202">
        <f>IF($C80,IF($AV80&lt;&gt;$AR80,$AW80,""),"")</f>
      </c>
      <c r="AH80" s="203">
        <f>IF($C80,'Backlog General'!$L80,"")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IF($C80,IFERROR(VLOOKUP($D80,'Sprints'!$G$5:$H$12,2,FALSE),"Semanal"),"")</f>
      </c>
      <c r="AP80" s="202">
        <f>IF($C80,IF($AO80="Semanal",'Sprints'!$D$5,IF($AO80="Quincenal",'Sprints'!$D$6,'Sprints'!$D$7)),"")</f>
      </c>
      <c r="AQ80" s="202">
        <f>IF($C80,IF($AO80="Semanal",'Sprints'!$C$5,IF($AO80="Quincenal",'Sprints'!$C$6,'Sprints'!$C$7)),"")</f>
      </c>
      <c r="AR80" s="202">
        <f>IF(AND($C80,ISNUMBER($H80)),MAX(1,INT(($H80-$AQ80)/$AP80)+1),"")</f>
      </c>
      <c r="AS80" s="202">
        <f>IF($C80,IF($AO80="Semanal",'Sprints'!$E$5,IF($AO80="Quincenal",'Sprints'!$E$6,'Sprints'!$E$7)),"")</f>
      </c>
      <c r="AT80" s="203">
        <f>IF($C80,'Backlog General'!$G80,"")</f>
      </c>
      <c r="AU80" s="203">
        <f>IF($C80,'Backlog General'!$H80,"")</f>
      </c>
      <c r="AV80" s="202">
        <f>IF(AND($C80,ISNUMBER($AR80)),IF(OR($AT80="Completo",$AU80="Cancelado",$AU80="Baja prioridad"),$AR80,IF($AU80="Pasa al siguiente",MAX($AR80+1,$AS80),MAX($AR80,$AS80))),"")</f>
      </c>
      <c r="AW80" s="202">
        <f>IF(AND($C80,ISNUMBER($AR80)),$AQ80+$AR80*$AP80-1,"")</f>
      </c>
      <c r="AX80" s="202">
        <f>IF($C80,IF(OR($AT80="Completo",$AU80="Cancelado",$AU80="Baja prioridad",NOT(ISNUMBER($AW80))),0,MAX(0,TODAY()-$AW80)),"")</f>
      </c>
      <c r="AY80" s="203">
        <f>IF($C80,IF(NOT(ISNUMBER($AR80)),"Sin fecha",IF($AT80="Completo","Completo",IF($AU80="Cancelado","Cancelado",IF($AU80="Baja prioridad","Baja prioridad",IF($AX80&gt;0,"Vencida","Pendiente"))))),"")</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row>
    <row r="81">
      <c r="A81" s="202">
        <f>ROW()</f>
      </c>
      <c r="B81" s="202">
        <f>ISTEXT('Proyecto Datos (OKR´s)'!$K81)</f>
      </c>
      <c r="C81" s="202">
        <f>AND(LEN('Proyecto Datos (OKR´s)'!$G81)&gt;0,NOT($B81),OR(ISNUMBER('Proyecto Datos (OKR´s)'!$F81),ISNUMBER('Proyecto Datos (OKR´s)'!$L81)))</f>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IF($C81,'Proyecto Datos (OKR´s)'!$J81,"")</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f>IF($C81,$AV81&lt;&gt;$AR81,FALSE)</f>
      </c>
      <c r="AG81" s="202">
        <f>IF($C81,IF($AV81&lt;&gt;$AR81,$AW81,""),"")</f>
      </c>
      <c r="AH81" s="203">
        <f>IF($C81,'Backlog General'!$L81,"")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IF($C81,IFERROR(VLOOKUP($D81,'Sprints'!$G$5:$H$12,2,FALSE),"Semanal"),"")</f>
      </c>
      <c r="AP81" s="202">
        <f>IF($C81,IF($AO81="Semanal",'Sprints'!$D$5,IF($AO81="Quincenal",'Sprints'!$D$6,'Sprints'!$D$7)),"")</f>
      </c>
      <c r="AQ81" s="202">
        <f>IF($C81,IF($AO81="Semanal",'Sprints'!$C$5,IF($AO81="Quincenal",'Sprints'!$C$6,'Sprints'!$C$7)),"")</f>
      </c>
      <c r="AR81" s="202">
        <f>IF(AND($C81,ISNUMBER($H81)),MAX(1,INT(($H81-$AQ81)/$AP81)+1),"")</f>
      </c>
      <c r="AS81" s="202">
        <f>IF($C81,IF($AO81="Semanal",'Sprints'!$E$5,IF($AO81="Quincenal",'Sprints'!$E$6,'Sprints'!$E$7)),"")</f>
      </c>
      <c r="AT81" s="203">
        <f>IF($C81,'Backlog General'!$G81,"")</f>
      </c>
      <c r="AU81" s="203">
        <f>IF($C81,'Backlog General'!$H81,"")</f>
      </c>
      <c r="AV81" s="202">
        <f>IF(AND($C81,ISNUMBER($AR81)),IF(OR($AT81="Completo",$AU81="Cancelado",$AU81="Baja prioridad"),$AR81,IF($AU81="Pasa al siguiente",MAX($AR81+1,$AS81),MAX($AR81,$AS81))),"")</f>
      </c>
      <c r="AW81" s="202">
        <f>IF(AND($C81,ISNUMBER($AR81)),$AQ81+$AR81*$AP81-1,"")</f>
      </c>
      <c r="AX81" s="202">
        <f>IF($C81,IF(OR($AT81="Completo",$AU81="Cancelado",$AU81="Baja prioridad",NOT(ISNUMBER($AW81))),0,MAX(0,TODAY()-$AW81)),"")</f>
      </c>
      <c r="AY81" s="203">
        <f>IF($C81,IF(NOT(ISNUMBER($AR81)),"Sin fecha",IF($AT81="Completo","Completo",IF($AU81="Cancelado","Cancelado",IF($AU81="Baja prioridad","Baja prioridad",IF($AX81&gt;0,"Vencida","Pendiente"))))),"")</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row>
    <row r="82">
      <c r="A82" s="202">
        <f>ROW()</f>
      </c>
      <c r="B82" s="202">
        <f>ISTEXT('Proyecto Datos (OKR´s)'!$K82)</f>
      </c>
      <c r="C82" s="202">
        <f>AND(LEN('Proyecto Datos (OKR´s)'!$G82)&gt;0,NOT($B82),OR(ISNUMBER('Proyecto Datos (OKR´s)'!$F82),ISNUMBER('Proyecto Datos (OKR´s)'!$L82)))</f>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IF($C82,'Proyecto Datos (OKR´s)'!$J82,"")</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f>IF($C82,$AV82&lt;&gt;$AR82,FALSE)</f>
      </c>
      <c r="AG82" s="202">
        <f>IF($C82,IF($AV82&lt;&gt;$AR82,$AW82,""),"")</f>
      </c>
      <c r="AH82" s="203">
        <f>IF($C82,'Backlog General'!$L82,"")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IF($C82,IFERROR(VLOOKUP($D82,'Sprints'!$G$5:$H$12,2,FALSE),"Semanal"),"")</f>
      </c>
      <c r="AP82" s="202">
        <f>IF($C82,IF($AO82="Semanal",'Sprints'!$D$5,IF($AO82="Quincenal",'Sprints'!$D$6,'Sprints'!$D$7)),"")</f>
      </c>
      <c r="AQ82" s="202">
        <f>IF($C82,IF($AO82="Semanal",'Sprints'!$C$5,IF($AO82="Quincenal",'Sprints'!$C$6,'Sprints'!$C$7)),"")</f>
      </c>
      <c r="AR82" s="202">
        <f>IF(AND($C82,ISNUMBER($H82)),MAX(1,INT(($H82-$AQ82)/$AP82)+1),"")</f>
      </c>
      <c r="AS82" s="202">
        <f>IF($C82,IF($AO82="Semanal",'Sprints'!$E$5,IF($AO82="Quincenal",'Sprints'!$E$6,'Sprints'!$E$7)),"")</f>
      </c>
      <c r="AT82" s="203">
        <f>IF($C82,'Backlog General'!$G82,"")</f>
      </c>
      <c r="AU82" s="203">
        <f>IF($C82,'Backlog General'!$H82,"")</f>
      </c>
      <c r="AV82" s="202">
        <f>IF(AND($C82,ISNUMBER($AR82)),IF(OR($AT82="Completo",$AU82="Cancelado",$AU82="Baja prioridad"),$AR82,IF($AU82="Pasa al siguiente",MAX($AR82+1,$AS82),MAX($AR82,$AS82))),"")</f>
      </c>
      <c r="AW82" s="202">
        <f>IF(AND($C82,ISNUMBER($AR82)),$AQ82+$AR82*$AP82-1,"")</f>
      </c>
      <c r="AX82" s="202">
        <f>IF($C82,IF(OR($AT82="Completo",$AU82="Cancelado",$AU82="Baja prioridad",NOT(ISNUMBER($AW82))),0,MAX(0,TODAY()-$AW82)),"")</f>
      </c>
      <c r="AY82" s="203">
        <f>IF($C82,IF(NOT(ISNUMBER($AR82)),"Sin fecha",IF($AT82="Completo","Completo",IF($AU82="Cancelado","Cancelado",IF($AU82="Baja prioridad","Baja prioridad",IF($AX82&gt;0,"Vencida","Pendiente"))))),"")</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row>
    <row r="83">
      <c r="A83" s="202">
        <f>ROW()</f>
      </c>
      <c r="B83" s="202">
        <f>ISTEXT('Proyecto Datos (OKR´s)'!$K83)</f>
      </c>
      <c r="C83" s="202">
        <f>AND(LEN('Proyecto Datos (OKR´s)'!$G83)&gt;0,NOT($B83),OR(ISNUMBER('Proyecto Datos (OKR´s)'!$F83),ISNUMBER('Proyecto Datos (OKR´s)'!$L83)))</f>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IF($C83,'Proyecto Datos (OKR´s)'!$J83,"")</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f>IF($C83,$AV83&lt;&gt;$AR83,FALSE)</f>
      </c>
      <c r="AG83" s="202">
        <f>IF($C83,IF($AV83&lt;&gt;$AR83,$AW83,""),"")</f>
      </c>
      <c r="AH83" s="203">
        <f>IF($C83,'Backlog General'!$L83,"")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IF($C83,IFERROR(VLOOKUP($D83,'Sprints'!$G$5:$H$12,2,FALSE),"Semanal"),"")</f>
      </c>
      <c r="AP83" s="202">
        <f>IF($C83,IF($AO83="Semanal",'Sprints'!$D$5,IF($AO83="Quincenal",'Sprints'!$D$6,'Sprints'!$D$7)),"")</f>
      </c>
      <c r="AQ83" s="202">
        <f>IF($C83,IF($AO83="Semanal",'Sprints'!$C$5,IF($AO83="Quincenal",'Sprints'!$C$6,'Sprints'!$C$7)),"")</f>
      </c>
      <c r="AR83" s="202">
        <f>IF(AND($C83,ISNUMBER($H83)),MAX(1,INT(($H83-$AQ83)/$AP83)+1),"")</f>
      </c>
      <c r="AS83" s="202">
        <f>IF($C83,IF($AO83="Semanal",'Sprints'!$E$5,IF($AO83="Quincenal",'Sprints'!$E$6,'Sprints'!$E$7)),"")</f>
      </c>
      <c r="AT83" s="203">
        <f>IF($C83,'Backlog General'!$G83,"")</f>
      </c>
      <c r="AU83" s="203">
        <f>IF($C83,'Backlog General'!$H83,"")</f>
      </c>
      <c r="AV83" s="202">
        <f>IF(AND($C83,ISNUMBER($AR83)),IF(OR($AT83="Completo",$AU83="Cancelado",$AU83="Baja prioridad"),$AR83,IF($AU83="Pasa al siguiente",MAX($AR83+1,$AS83),MAX($AR83,$AS83))),"")</f>
      </c>
      <c r="AW83" s="202">
        <f>IF(AND($C83,ISNUMBER($AR83)),$AQ83+$AR83*$AP83-1,"")</f>
      </c>
      <c r="AX83" s="202">
        <f>IF($C83,IF(OR($AT83="Completo",$AU83="Cancelado",$AU83="Baja prioridad",NOT(ISNUMBER($AW83))),0,MAX(0,TODAY()-$AW83)),"")</f>
      </c>
      <c r="AY83" s="203">
        <f>IF($C83,IF(NOT(ISNUMBER($AR83)),"Sin fecha",IF($AT83="Completo","Completo",IF($AU83="Cancelado","Cancelado",IF($AU83="Baja prioridad","Baja prioridad",IF($AX83&gt;0,"Vencida","Pendiente"))))),"")</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row>
    <row r="84">
      <c r="A84" s="202">
        <f>ROW()</f>
      </c>
      <c r="B84" s="202">
        <f>ISTEXT('Proyecto Datos (OKR´s)'!$K84)</f>
      </c>
      <c r="C84" s="202">
        <f>AND(LEN('Proyecto Datos (OKR´s)'!$G84)&gt;0,NOT($B84),OR(ISNUMBER('Proyecto Datos (OKR´s)'!$F84),ISNUMBER('Proyecto Datos (OKR´s)'!$L84)))</f>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IF($C84,'Proyecto Datos (OKR´s)'!$J84,"")</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f>IF($C84,$AV84&lt;&gt;$AR84,FALSE)</f>
      </c>
      <c r="AG84" s="202">
        <f>IF($C84,IF($AV84&lt;&gt;$AR84,$AW84,""),"")</f>
      </c>
      <c r="AH84" s="203">
        <f>IF($C84,'Backlog General'!$L84,"")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IF($C84,IFERROR(VLOOKUP($D84,'Sprints'!$G$5:$H$12,2,FALSE),"Semanal"),"")</f>
      </c>
      <c r="AP84" s="202">
        <f>IF($C84,IF($AO84="Semanal",'Sprints'!$D$5,IF($AO84="Quincenal",'Sprints'!$D$6,'Sprints'!$D$7)),"")</f>
      </c>
      <c r="AQ84" s="202">
        <f>IF($C84,IF($AO84="Semanal",'Sprints'!$C$5,IF($AO84="Quincenal",'Sprints'!$C$6,'Sprints'!$C$7)),"")</f>
      </c>
      <c r="AR84" s="202">
        <f>IF(AND($C84,ISNUMBER($H84)),MAX(1,INT(($H84-$AQ84)/$AP84)+1),"")</f>
      </c>
      <c r="AS84" s="202">
        <f>IF($C84,IF($AO84="Semanal",'Sprints'!$E$5,IF($AO84="Quincenal",'Sprints'!$E$6,'Sprints'!$E$7)),"")</f>
      </c>
      <c r="AT84" s="203">
        <f>IF($C84,'Backlog General'!$G84,"")</f>
      </c>
      <c r="AU84" s="203">
        <f>IF($C84,'Backlog General'!$H84,"")</f>
      </c>
      <c r="AV84" s="202">
        <f>IF(AND($C84,ISNUMBER($AR84)),IF(OR($AT84="Completo",$AU84="Cancelado",$AU84="Baja prioridad"),$AR84,IF($AU84="Pasa al siguiente",MAX($AR84+1,$AS84),MAX($AR84,$AS84))),"")</f>
      </c>
      <c r="AW84" s="202">
        <f>IF(AND($C84,ISNUMBER($AR84)),$AQ84+$AR84*$AP84-1,"")</f>
      </c>
      <c r="AX84" s="202">
        <f>IF($C84,IF(OR($AT84="Completo",$AU84="Cancelado",$AU84="Baja prioridad",NOT(ISNUMBER($AW84))),0,MAX(0,TODAY()-$AW84)),"")</f>
      </c>
      <c r="AY84" s="203">
        <f>IF($C84,IF(NOT(ISNUMBER($AR84)),"Sin fecha",IF($AT84="Completo","Completo",IF($AU84="Cancelado","Cancelado",IF($AU84="Baja prioridad","Baja prioridad",IF($AX84&gt;0,"Vencida","Pendiente"))))),"")</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row>
    <row r="85">
      <c r="A85" s="202">
        <f>ROW()</f>
      </c>
      <c r="B85" s="202">
        <f>ISTEXT('Proyecto Datos (OKR´s)'!$K85)</f>
      </c>
      <c r="C85" s="202">
        <f>AND(LEN('Proyecto Datos (OKR´s)'!$G85)&gt;0,NOT($B85),OR(ISNUMBER('Proyecto Datos (OKR´s)'!$F85),ISNUMBER('Proyecto Datos (OKR´s)'!$L85)))</f>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IF($C85,'Proyecto Datos (OKR´s)'!$J85,"")</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f>IF($C85,$AV85&lt;&gt;$AR85,FALSE)</f>
      </c>
      <c r="AG85" s="202">
        <f>IF($C85,IF($AV85&lt;&gt;$AR85,$AW85,""),"")</f>
      </c>
      <c r="AH85" s="203">
        <f>IF($C85,'Backlog General'!$L85,"")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IF($C85,IFERROR(VLOOKUP($D85,'Sprints'!$G$5:$H$12,2,FALSE),"Semanal"),"")</f>
      </c>
      <c r="AP85" s="202">
        <f>IF($C85,IF($AO85="Semanal",'Sprints'!$D$5,IF($AO85="Quincenal",'Sprints'!$D$6,'Sprints'!$D$7)),"")</f>
      </c>
      <c r="AQ85" s="202">
        <f>IF($C85,IF($AO85="Semanal",'Sprints'!$C$5,IF($AO85="Quincenal",'Sprints'!$C$6,'Sprints'!$C$7)),"")</f>
      </c>
      <c r="AR85" s="202">
        <f>IF(AND($C85,ISNUMBER($H85)),MAX(1,INT(($H85-$AQ85)/$AP85)+1),"")</f>
      </c>
      <c r="AS85" s="202">
        <f>IF($C85,IF($AO85="Semanal",'Sprints'!$E$5,IF($AO85="Quincenal",'Sprints'!$E$6,'Sprints'!$E$7)),"")</f>
      </c>
      <c r="AT85" s="203">
        <f>IF($C85,'Backlog General'!$G85,"")</f>
      </c>
      <c r="AU85" s="203">
        <f>IF($C85,'Backlog General'!$H85,"")</f>
      </c>
      <c r="AV85" s="202">
        <f>IF(AND($C85,ISNUMBER($AR85)),IF(OR($AT85="Completo",$AU85="Cancelado",$AU85="Baja prioridad"),$AR85,IF($AU85="Pasa al siguiente",MAX($AR85+1,$AS85),MAX($AR85,$AS85))),"")</f>
      </c>
      <c r="AW85" s="202">
        <f>IF(AND($C85,ISNUMBER($AR85)),$AQ85+$AR85*$AP85-1,"")</f>
      </c>
      <c r="AX85" s="202">
        <f>IF($C85,IF(OR($AT85="Completo",$AU85="Cancelado",$AU85="Baja prioridad",NOT(ISNUMBER($AW85))),0,MAX(0,TODAY()-$AW85)),"")</f>
      </c>
      <c r="AY85" s="203">
        <f>IF($C85,IF(NOT(ISNUMBER($AR85)),"Sin fecha",IF($AT85="Completo","Completo",IF($AU85="Cancelado","Cancelado",IF($AU85="Baja prioridad","Baja prioridad",IF($AX85&gt;0,"Vencida","Pendiente"))))),"")</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row>
    <row r="86">
      <c r="A86" s="202">
        <f>ROW()</f>
      </c>
      <c r="B86" s="202">
        <f>ISTEXT('Proyecto Datos (OKR´s)'!$K86)</f>
      </c>
      <c r="C86" s="202">
        <f>AND(LEN('Proyecto Datos (OKR´s)'!$G86)&gt;0,NOT($B86),OR(ISNUMBER('Proyecto Datos (OKR´s)'!$F86),ISNUMBER('Proyecto Datos (OKR´s)'!$L86)))</f>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IF($C86,'Proyecto Datos (OKR´s)'!$J86,"")</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f>IF($C86,$AV86&lt;&gt;$AR86,FALSE)</f>
      </c>
      <c r="AG86" s="202">
        <f>IF($C86,IF($AV86&lt;&gt;$AR86,$AW86,""),"")</f>
      </c>
      <c r="AH86" s="203">
        <f>IF($C86,'Backlog General'!$L86,"")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IF($C86,IFERROR(VLOOKUP($D86,'Sprints'!$G$5:$H$12,2,FALSE),"Semanal"),"")</f>
      </c>
      <c r="AP86" s="202">
        <f>IF($C86,IF($AO86="Semanal",'Sprints'!$D$5,IF($AO86="Quincenal",'Sprints'!$D$6,'Sprints'!$D$7)),"")</f>
      </c>
      <c r="AQ86" s="202">
        <f>IF($C86,IF($AO86="Semanal",'Sprints'!$C$5,IF($AO86="Quincenal",'Sprints'!$C$6,'Sprints'!$C$7)),"")</f>
      </c>
      <c r="AR86" s="202">
        <f>IF(AND($C86,ISNUMBER($H86)),MAX(1,INT(($H86-$AQ86)/$AP86)+1),"")</f>
      </c>
      <c r="AS86" s="202">
        <f>IF($C86,IF($AO86="Semanal",'Sprints'!$E$5,IF($AO86="Quincenal",'Sprints'!$E$6,'Sprints'!$E$7)),"")</f>
      </c>
      <c r="AT86" s="203">
        <f>IF($C86,'Backlog General'!$G86,"")</f>
      </c>
      <c r="AU86" s="203">
        <f>IF($C86,'Backlog General'!$H86,"")</f>
      </c>
      <c r="AV86" s="202">
        <f>IF(AND($C86,ISNUMBER($AR86)),IF(OR($AT86="Completo",$AU86="Cancelado",$AU86="Baja prioridad"),$AR86,IF($AU86="Pasa al siguiente",MAX($AR86+1,$AS86),MAX($AR86,$AS86))),"")</f>
      </c>
      <c r="AW86" s="202">
        <f>IF(AND($C86,ISNUMBER($AR86)),$AQ86+$AR86*$AP86-1,"")</f>
      </c>
      <c r="AX86" s="202">
        <f>IF($C86,IF(OR($AT86="Completo",$AU86="Cancelado",$AU86="Baja prioridad",NOT(ISNUMBER($AW86))),0,MAX(0,TODAY()-$AW86)),"")</f>
      </c>
      <c r="AY86" s="203">
        <f>IF($C86,IF(NOT(ISNUMBER($AR86)),"Sin fecha",IF($AT86="Completo","Completo",IF($AU86="Cancelado","Cancelado",IF($AU86="Baja prioridad","Baja prioridad",IF($AX86&gt;0,"Vencida","Pendiente"))))),"")</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row>
    <row r="87">
      <c r="A87" s="202">
        <f>ROW()</f>
      </c>
      <c r="B87" s="202">
        <f>ISTEXT('Proyecto Datos (OKR´s)'!$K87)</f>
      </c>
      <c r="C87" s="202">
        <f>AND(LEN('Proyecto Datos (OKR´s)'!$G87)&gt;0,NOT($B87),OR(ISNUMBER('Proyecto Datos (OKR´s)'!$F87),ISNUMBER('Proyecto Datos (OKR´s)'!$L87)))</f>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IF($C87,'Proyecto Datos (OKR´s)'!$J87,"")</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f>IF($C87,$AV87&lt;&gt;$AR87,FALSE)</f>
      </c>
      <c r="AG87" s="202">
        <f>IF($C87,IF($AV87&lt;&gt;$AR87,$AW87,""),"")</f>
      </c>
      <c r="AH87" s="203">
        <f>IF($C87,'Backlog General'!$L87,"")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IF($C87,IFERROR(VLOOKUP($D87,'Sprints'!$G$5:$H$12,2,FALSE),"Semanal"),"")</f>
      </c>
      <c r="AP87" s="202">
        <f>IF($C87,IF($AO87="Semanal",'Sprints'!$D$5,IF($AO87="Quincenal",'Sprints'!$D$6,'Sprints'!$D$7)),"")</f>
      </c>
      <c r="AQ87" s="202">
        <f>IF($C87,IF($AO87="Semanal",'Sprints'!$C$5,IF($AO87="Quincenal",'Sprints'!$C$6,'Sprints'!$C$7)),"")</f>
      </c>
      <c r="AR87" s="202">
        <f>IF(AND($C87,ISNUMBER($H87)),MAX(1,INT(($H87-$AQ87)/$AP87)+1),"")</f>
      </c>
      <c r="AS87" s="202">
        <f>IF($C87,IF($AO87="Semanal",'Sprints'!$E$5,IF($AO87="Quincenal",'Sprints'!$E$6,'Sprints'!$E$7)),"")</f>
      </c>
      <c r="AT87" s="203">
        <f>IF($C87,'Backlog General'!$G87,"")</f>
      </c>
      <c r="AU87" s="203">
        <f>IF($C87,'Backlog General'!$H87,"")</f>
      </c>
      <c r="AV87" s="202">
        <f>IF(AND($C87,ISNUMBER($AR87)),IF(OR($AT87="Completo",$AU87="Cancelado",$AU87="Baja prioridad"),$AR87,IF($AU87="Pasa al siguiente",MAX($AR87+1,$AS87),MAX($AR87,$AS87))),"")</f>
      </c>
      <c r="AW87" s="202">
        <f>IF(AND($C87,ISNUMBER($AR87)),$AQ87+$AR87*$AP87-1,"")</f>
      </c>
      <c r="AX87" s="202">
        <f>IF($C87,IF(OR($AT87="Completo",$AU87="Cancelado",$AU87="Baja prioridad",NOT(ISNUMBER($AW87))),0,MAX(0,TODAY()-$AW87)),"")</f>
      </c>
      <c r="AY87" s="203">
        <f>IF($C87,IF(NOT(ISNUMBER($AR87)),"Sin fecha",IF($AT87="Completo","Completo",IF($AU87="Cancelado","Cancelado",IF($AU87="Baja prioridad","Baja prioridad",IF($AX87&gt;0,"Vencida","Pendiente"))))),"")</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row>
    <row r="88">
      <c r="A88" s="202">
        <f>ROW()</f>
      </c>
      <c r="B88" s="202">
        <f>ISTEXT('Proyecto Datos (OKR´s)'!$K88)</f>
      </c>
      <c r="C88" s="202">
        <f>AND(LEN('Proyecto Datos (OKR´s)'!$G88)&gt;0,NOT($B88),OR(ISNUMBER('Proyecto Datos (OKR´s)'!$F88),ISNUMBER('Proyecto Datos (OKR´s)'!$L88)))</f>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IF($C88,'Proyecto Datos (OKR´s)'!$J88,"")</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f>IF($C88,$AV88&lt;&gt;$AR88,FALSE)</f>
      </c>
      <c r="AG88" s="202">
        <f>IF($C88,IF($AV88&lt;&gt;$AR88,$AW88,""),"")</f>
      </c>
      <c r="AH88" s="203">
        <f>IF($C88,'Backlog General'!$L88,"")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IF($C88,IFERROR(VLOOKUP($D88,'Sprints'!$G$5:$H$12,2,FALSE),"Semanal"),"")</f>
      </c>
      <c r="AP88" s="202">
        <f>IF($C88,IF($AO88="Semanal",'Sprints'!$D$5,IF($AO88="Quincenal",'Sprints'!$D$6,'Sprints'!$D$7)),"")</f>
      </c>
      <c r="AQ88" s="202">
        <f>IF($C88,IF($AO88="Semanal",'Sprints'!$C$5,IF($AO88="Quincenal",'Sprints'!$C$6,'Sprints'!$C$7)),"")</f>
      </c>
      <c r="AR88" s="202">
        <f>IF(AND($C88,ISNUMBER($H88)),MAX(1,INT(($H88-$AQ88)/$AP88)+1),"")</f>
      </c>
      <c r="AS88" s="202">
        <f>IF($C88,IF($AO88="Semanal",'Sprints'!$E$5,IF($AO88="Quincenal",'Sprints'!$E$6,'Sprints'!$E$7)),"")</f>
      </c>
      <c r="AT88" s="203">
        <f>IF($C88,'Backlog General'!$G88,"")</f>
      </c>
      <c r="AU88" s="203">
        <f>IF($C88,'Backlog General'!$H88,"")</f>
      </c>
      <c r="AV88" s="202">
        <f>IF(AND($C88,ISNUMBER($AR88)),IF(OR($AT88="Completo",$AU88="Cancelado",$AU88="Baja prioridad"),$AR88,IF($AU88="Pasa al siguiente",MAX($AR88+1,$AS88),MAX($AR88,$AS88))),"")</f>
      </c>
      <c r="AW88" s="202">
        <f>IF(AND($C88,ISNUMBER($AR88)),$AQ88+$AR88*$AP88-1,"")</f>
      </c>
      <c r="AX88" s="202">
        <f>IF($C88,IF(OR($AT88="Completo",$AU88="Cancelado",$AU88="Baja prioridad",NOT(ISNUMBER($AW88))),0,MAX(0,TODAY()-$AW88)),"")</f>
      </c>
      <c r="AY88" s="203">
        <f>IF($C88,IF(NOT(ISNUMBER($AR88)),"Sin fecha",IF($AT88="Completo","Completo",IF($AU88="Cancelado","Cancelado",IF($AU88="Baja prioridad","Baja prioridad",IF($AX88&gt;0,"Vencida","Pendiente"))))),"")</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row>
    <row r="89">
      <c r="A89" s="202">
        <f>ROW()</f>
      </c>
      <c r="B89" s="202">
        <f>ISTEXT('Proyecto Datos (OKR´s)'!$K89)</f>
      </c>
      <c r="C89" s="202">
        <f>AND(LEN('Proyecto Datos (OKR´s)'!$G89)&gt;0,NOT($B89),OR(ISNUMBER('Proyecto Datos (OKR´s)'!$F89),ISNUMBER('Proyecto Datos (OKR´s)'!$L89)))</f>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IF($C89,'Proyecto Datos (OKR´s)'!$J89,"")</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f>IF($C89,$AV89&lt;&gt;$AR89,FALSE)</f>
      </c>
      <c r="AG89" s="202">
        <f>IF($C89,IF($AV89&lt;&gt;$AR89,$AW89,""),"")</f>
      </c>
      <c r="AH89" s="203">
        <f>IF($C89,'Backlog General'!$L89,"")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IF($C89,IFERROR(VLOOKUP($D89,'Sprints'!$G$5:$H$12,2,FALSE),"Semanal"),"")</f>
      </c>
      <c r="AP89" s="202">
        <f>IF($C89,IF($AO89="Semanal",'Sprints'!$D$5,IF($AO89="Quincenal",'Sprints'!$D$6,'Sprints'!$D$7)),"")</f>
      </c>
      <c r="AQ89" s="202">
        <f>IF($C89,IF($AO89="Semanal",'Sprints'!$C$5,IF($AO89="Quincenal",'Sprints'!$C$6,'Sprints'!$C$7)),"")</f>
      </c>
      <c r="AR89" s="202">
        <f>IF(AND($C89,ISNUMBER($H89)),MAX(1,INT(($H89-$AQ89)/$AP89)+1),"")</f>
      </c>
      <c r="AS89" s="202">
        <f>IF($C89,IF($AO89="Semanal",'Sprints'!$E$5,IF($AO89="Quincenal",'Sprints'!$E$6,'Sprints'!$E$7)),"")</f>
      </c>
      <c r="AT89" s="203">
        <f>IF($C89,'Backlog General'!$G89,"")</f>
      </c>
      <c r="AU89" s="203">
        <f>IF($C89,'Backlog General'!$H89,"")</f>
      </c>
      <c r="AV89" s="202">
        <f>IF(AND($C89,ISNUMBER($AR89)),IF(OR($AT89="Completo",$AU89="Cancelado",$AU89="Baja prioridad"),$AR89,IF($AU89="Pasa al siguiente",MAX($AR89+1,$AS89),MAX($AR89,$AS89))),"")</f>
      </c>
      <c r="AW89" s="202">
        <f>IF(AND($C89,ISNUMBER($AR89)),$AQ89+$AR89*$AP89-1,"")</f>
      </c>
      <c r="AX89" s="202">
        <f>IF($C89,IF(OR($AT89="Completo",$AU89="Cancelado",$AU89="Baja prioridad",NOT(ISNUMBER($AW89))),0,MAX(0,TODAY()-$AW89)),"")</f>
      </c>
      <c r="AY89" s="203">
        <f>IF($C89,IF(NOT(ISNUMBER($AR89)),"Sin fecha",IF($AT89="Completo","Completo",IF($AU89="Cancelado","Cancelado",IF($AU89="Baja prioridad","Baja prioridad",IF($AX89&gt;0,"Vencida","Pendiente"))))),"")</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row>
    <row r="90">
      <c r="A90" s="202">
        <f>ROW()</f>
      </c>
      <c r="B90" s="202">
        <f>ISTEXT('Proyecto Datos (OKR´s)'!$K90)</f>
      </c>
      <c r="C90" s="202">
        <f>AND(LEN('Proyecto Datos (OKR´s)'!$G90)&gt;0,NOT($B90),OR(ISNUMBER('Proyecto Datos (OKR´s)'!$F90),ISNUMBER('Proyecto Datos (OKR´s)'!$L90)))</f>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IF($C90,'Proyecto Datos (OKR´s)'!$J90,"")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f>IF($C90,$AV90&lt;&gt;$AR90,FALSE)</f>
      </c>
      <c r="AG90" s="202">
        <f>IF($C90,IF($AV90&lt;&gt;$AR90,$AW90,""),"")</f>
      </c>
      <c r="AH90" s="203">
        <f>IF($C90,'Backlog General'!$L90,"")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IF($C90,IFERROR(VLOOKUP($D90,'Sprints'!$G$5:$H$12,2,FALSE),"Semanal"),"")</f>
      </c>
      <c r="AP90" s="202">
        <f>IF($C90,IF($AO90="Semanal",'Sprints'!$D$5,IF($AO90="Quincenal",'Sprints'!$D$6,'Sprints'!$D$7)),"")</f>
      </c>
      <c r="AQ90" s="202">
        <f>IF($C90,IF($AO90="Semanal",'Sprints'!$C$5,IF($AO90="Quincenal",'Sprints'!$C$6,'Sprints'!$C$7)),"")</f>
      </c>
      <c r="AR90" s="202">
        <f>IF(AND($C90,ISNUMBER($H90)),MAX(1,INT(($H90-$AQ90)/$AP90)+1),"")</f>
      </c>
      <c r="AS90" s="202">
        <f>IF($C90,IF($AO90="Semanal",'Sprints'!$E$5,IF($AO90="Quincenal",'Sprints'!$E$6,'Sprints'!$E$7)),"")</f>
      </c>
      <c r="AT90" s="203">
        <f>IF($C90,'Backlog General'!$G90,"")</f>
      </c>
      <c r="AU90" s="203">
        <f>IF($C90,'Backlog General'!$H90,"")</f>
      </c>
      <c r="AV90" s="202">
        <f>IF(AND($C90,ISNUMBER($AR90)),IF(OR($AT90="Completo",$AU90="Cancelado",$AU90="Baja prioridad"),$AR90,IF($AU90="Pasa al siguiente",MAX($AR90+1,$AS90),MAX($AR90,$AS90))),"")</f>
      </c>
      <c r="AW90" s="202">
        <f>IF(AND($C90,ISNUMBER($AR90)),$AQ90+$AR90*$AP90-1,"")</f>
      </c>
      <c r="AX90" s="202">
        <f>IF($C90,IF(OR($AT90="Completo",$AU90="Cancelado",$AU90="Baja prioridad",NOT(ISNUMBER($AW90))),0,MAX(0,TODAY()-$AW90)),"")</f>
      </c>
      <c r="AY90" s="203">
        <f>IF($C90,IF(NOT(ISNUMBER($AR90)),"Sin fecha",IF($AT90="Completo","Completo",IF($AU90="Cancelado","Cancelado",IF($AU90="Baja prioridad","Baja prioridad",IF($AX90&gt;0,"Vencida","Pendiente"))))),"")</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row>
    <row r="91">
      <c r="A91" s="202">
        <f>ROW()</f>
      </c>
      <c r="B91" s="202">
        <f>ISTEXT('Proyecto Datos (OKR´s)'!$K91)</f>
      </c>
      <c r="C91" s="202">
        <f>AND(LEN('Proyecto Datos (OKR´s)'!$G91)&gt;0,NOT($B91),OR(ISNUMBER('Proyecto Datos (OKR´s)'!$F91),ISNUMBER('Proyecto Datos (OKR´s)'!$L91)))</f>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IF($C91,'Proyecto Datos (OKR´s)'!$J91,"")</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f>IF($C91,$AV91&lt;&gt;$AR91,FALSE)</f>
      </c>
      <c r="AG91" s="202">
        <f>IF($C91,IF($AV91&lt;&gt;$AR91,$AW91,""),"")</f>
      </c>
      <c r="AH91" s="203">
        <f>IF($C91,'Backlog General'!$L91,"")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IF($C91,IFERROR(VLOOKUP($D91,'Sprints'!$G$5:$H$12,2,FALSE),"Semanal"),"")</f>
      </c>
      <c r="AP91" s="202">
        <f>IF($C91,IF($AO91="Semanal",'Sprints'!$D$5,IF($AO91="Quincenal",'Sprints'!$D$6,'Sprints'!$D$7)),"")</f>
      </c>
      <c r="AQ91" s="202">
        <f>IF($C91,IF($AO91="Semanal",'Sprints'!$C$5,IF($AO91="Quincenal",'Sprints'!$C$6,'Sprints'!$C$7)),"")</f>
      </c>
      <c r="AR91" s="202">
        <f>IF(AND($C91,ISNUMBER($H91)),MAX(1,INT(($H91-$AQ91)/$AP91)+1),"")</f>
      </c>
      <c r="AS91" s="202">
        <f>IF($C91,IF($AO91="Semanal",'Sprints'!$E$5,IF($AO91="Quincenal",'Sprints'!$E$6,'Sprints'!$E$7)),"")</f>
      </c>
      <c r="AT91" s="203">
        <f>IF($C91,'Backlog General'!$G91,"")</f>
      </c>
      <c r="AU91" s="203">
        <f>IF($C91,'Backlog General'!$H91,"")</f>
      </c>
      <c r="AV91" s="202">
        <f>IF(AND($C91,ISNUMBER($AR91)),IF(OR($AT91="Completo",$AU91="Cancelado",$AU91="Baja prioridad"),$AR91,IF($AU91="Pasa al siguiente",MAX($AR91+1,$AS91),MAX($AR91,$AS91))),"")</f>
      </c>
      <c r="AW91" s="202">
        <f>IF(AND($C91,ISNUMBER($AR91)),$AQ91+$AR91*$AP91-1,"")</f>
      </c>
      <c r="AX91" s="202">
        <f>IF($C91,IF(OR($AT91="Completo",$AU91="Cancelado",$AU91="Baja prioridad",NOT(ISNUMBER($AW91))),0,MAX(0,TODAY()-$AW91)),"")</f>
      </c>
      <c r="AY91" s="203">
        <f>IF($C91,IF(NOT(ISNUMBER($AR91)),"Sin fecha",IF($AT91="Completo","Completo",IF($AU91="Cancelado","Cancelado",IF($AU91="Baja prioridad","Baja prioridad",IF($AX91&gt;0,"Vencida","Pendiente"))))),"")</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row>
    <row r="92">
      <c r="A92" s="202">
        <f>ROW()</f>
      </c>
      <c r="B92" s="202">
        <f>ISTEXT('Proyecto Datos (OKR´s)'!$K92)</f>
      </c>
      <c r="C92" s="202">
        <f>AND(LEN('Proyecto Datos (OKR´s)'!$G92)&gt;0,NOT($B92),OR(ISNUMBER('Proyecto Datos (OKR´s)'!$F92),ISNUMBER('Proyecto Datos (OKR´s)'!$L92)))</f>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IF($C92,'Proyecto Datos (OKR´s)'!$J92,"")</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f>IF($C92,$AV92&lt;&gt;$AR92,FALSE)</f>
      </c>
      <c r="AG92" s="202">
        <f>IF($C92,IF($AV92&lt;&gt;$AR92,$AW92,""),"")</f>
      </c>
      <c r="AH92" s="203">
        <f>IF($C92,'Backlog General'!$L92,"")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IF($C92,IFERROR(VLOOKUP($D92,'Sprints'!$G$5:$H$12,2,FALSE),"Semanal"),"")</f>
      </c>
      <c r="AP92" s="202">
        <f>IF($C92,IF($AO92="Semanal",'Sprints'!$D$5,IF($AO92="Quincenal",'Sprints'!$D$6,'Sprints'!$D$7)),"")</f>
      </c>
      <c r="AQ92" s="202">
        <f>IF($C92,IF($AO92="Semanal",'Sprints'!$C$5,IF($AO92="Quincenal",'Sprints'!$C$6,'Sprints'!$C$7)),"")</f>
      </c>
      <c r="AR92" s="202">
        <f>IF(AND($C92,ISNUMBER($H92)),MAX(1,INT(($H92-$AQ92)/$AP92)+1),"")</f>
      </c>
      <c r="AS92" s="202">
        <f>IF($C92,IF($AO92="Semanal",'Sprints'!$E$5,IF($AO92="Quincenal",'Sprints'!$E$6,'Sprints'!$E$7)),"")</f>
      </c>
      <c r="AT92" s="203">
        <f>IF($C92,'Backlog General'!$G92,"")</f>
      </c>
      <c r="AU92" s="203">
        <f>IF($C92,'Backlog General'!$H92,"")</f>
      </c>
      <c r="AV92" s="202">
        <f>IF(AND($C92,ISNUMBER($AR92)),IF(OR($AT92="Completo",$AU92="Cancelado",$AU92="Baja prioridad"),$AR92,IF($AU92="Pasa al siguiente",MAX($AR92+1,$AS92),MAX($AR92,$AS92))),"")</f>
      </c>
      <c r="AW92" s="202">
        <f>IF(AND($C92,ISNUMBER($AR92)),$AQ92+$AR92*$AP92-1,"")</f>
      </c>
      <c r="AX92" s="202">
        <f>IF($C92,IF(OR($AT92="Completo",$AU92="Cancelado",$AU92="Baja prioridad",NOT(ISNUMBER($AW92))),0,MAX(0,TODAY()-$AW92)),"")</f>
      </c>
      <c r="AY92" s="203">
        <f>IF($C92,IF(NOT(ISNUMBER($AR92)),"Sin fecha",IF($AT92="Completo","Completo",IF($AU92="Cancelado","Cancelado",IF($AU92="Baja prioridad","Baja prioridad",IF($AX92&gt;0,"Vencida","Pendiente"))))),"")</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row>
    <row r="93">
      <c r="A93" s="202">
        <f>ROW()</f>
      </c>
      <c r="B93" s="202">
        <f>ISTEXT('Proyecto Datos (OKR´s)'!$K93)</f>
      </c>
      <c r="C93" s="202">
        <f>AND(LEN('Proyecto Datos (OKR´s)'!$G93)&gt;0,NOT($B93),OR(ISNUMBER('Proyecto Datos (OKR´s)'!$F93),ISNUMBER('Proyecto Datos (OKR´s)'!$L93)))</f>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IF($C93,'Proyecto Datos (OKR´s)'!$J93,"")</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f>IF($C93,$AV93&lt;&gt;$AR93,FALSE)</f>
      </c>
      <c r="AG93" s="202">
        <f>IF($C93,IF($AV93&lt;&gt;$AR93,$AW93,""),"")</f>
      </c>
      <c r="AH93" s="203">
        <f>IF($C93,'Backlog General'!$L93,"")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IF($C93,IFERROR(VLOOKUP($D93,'Sprints'!$G$5:$H$12,2,FALSE),"Semanal"),"")</f>
      </c>
      <c r="AP93" s="202">
        <f>IF($C93,IF($AO93="Semanal",'Sprints'!$D$5,IF($AO93="Quincenal",'Sprints'!$D$6,'Sprints'!$D$7)),"")</f>
      </c>
      <c r="AQ93" s="202">
        <f>IF($C93,IF($AO93="Semanal",'Sprints'!$C$5,IF($AO93="Quincenal",'Sprints'!$C$6,'Sprints'!$C$7)),"")</f>
      </c>
      <c r="AR93" s="202">
        <f>IF(AND($C93,ISNUMBER($H93)),MAX(1,INT(($H93-$AQ93)/$AP93)+1),"")</f>
      </c>
      <c r="AS93" s="202">
        <f>IF($C93,IF($AO93="Semanal",'Sprints'!$E$5,IF($AO93="Quincenal",'Sprints'!$E$6,'Sprints'!$E$7)),"")</f>
      </c>
      <c r="AT93" s="203">
        <f>IF($C93,'Backlog General'!$G93,"")</f>
      </c>
      <c r="AU93" s="203">
        <f>IF($C93,'Backlog General'!$H93,"")</f>
      </c>
      <c r="AV93" s="202">
        <f>IF(AND($C93,ISNUMBER($AR93)),IF(OR($AT93="Completo",$AU93="Cancelado",$AU93="Baja prioridad"),$AR93,IF($AU93="Pasa al siguiente",MAX($AR93+1,$AS93),MAX($AR93,$AS93))),"")</f>
      </c>
      <c r="AW93" s="202">
        <f>IF(AND($C93,ISNUMBER($AR93)),$AQ93+$AR93*$AP93-1,"")</f>
      </c>
      <c r="AX93" s="202">
        <f>IF($C93,IF(OR($AT93="Completo",$AU93="Cancelado",$AU93="Baja prioridad",NOT(ISNUMBER($AW93))),0,MAX(0,TODAY()-$AW93)),"")</f>
      </c>
      <c r="AY93" s="203">
        <f>IF($C93,IF(NOT(ISNUMBER($AR93)),"Sin fecha",IF($AT93="Completo","Completo",IF($AU93="Cancelado","Cancelado",IF($AU93="Baja prioridad","Baja prioridad",IF($AX93&gt;0,"Vencida","Pendiente"))))),"")</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row>
    <row r="94">
      <c r="A94" s="202">
        <f>ROW()</f>
      </c>
      <c r="B94" s="202">
        <f>ISTEXT('Proyecto Datos (OKR´s)'!$K94)</f>
      </c>
      <c r="C94" s="202">
        <f>AND(LEN('Proyecto Datos (OKR´s)'!$G94)&gt;0,NOT($B94),OR(ISNUMBER('Proyecto Datos (OKR´s)'!$F94),ISNUMBER('Proyecto Datos (OKR´s)'!$L94)))</f>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IF($C94,'Proyecto Datos (OKR´s)'!$J94,"")</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f>IF($C94,$AV94&lt;&gt;$AR94,FALSE)</f>
      </c>
      <c r="AG94" s="202">
        <f>IF($C94,IF($AV94&lt;&gt;$AR94,$AW94,""),"")</f>
      </c>
      <c r="AH94" s="203">
        <f>IF($C94,'Backlog General'!$L94,"")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IF($C94,IFERROR(VLOOKUP($D94,'Sprints'!$G$5:$H$12,2,FALSE),"Semanal"),"")</f>
      </c>
      <c r="AP94" s="202">
        <f>IF($C94,IF($AO94="Semanal",'Sprints'!$D$5,IF($AO94="Quincenal",'Sprints'!$D$6,'Sprints'!$D$7)),"")</f>
      </c>
      <c r="AQ94" s="202">
        <f>IF($C94,IF($AO94="Semanal",'Sprints'!$C$5,IF($AO94="Quincenal",'Sprints'!$C$6,'Sprints'!$C$7)),"")</f>
      </c>
      <c r="AR94" s="202">
        <f>IF(AND($C94,ISNUMBER($H94)),MAX(1,INT(($H94-$AQ94)/$AP94)+1),"")</f>
      </c>
      <c r="AS94" s="202">
        <f>IF($C94,IF($AO94="Semanal",'Sprints'!$E$5,IF($AO94="Quincenal",'Sprints'!$E$6,'Sprints'!$E$7)),"")</f>
      </c>
      <c r="AT94" s="203">
        <f>IF($C94,'Backlog General'!$G94,"")</f>
      </c>
      <c r="AU94" s="203">
        <f>IF($C94,'Backlog General'!$H94,"")</f>
      </c>
      <c r="AV94" s="202">
        <f>IF(AND($C94,ISNUMBER($AR94)),IF(OR($AT94="Completo",$AU94="Cancelado",$AU94="Baja prioridad"),$AR94,IF($AU94="Pasa al siguiente",MAX($AR94+1,$AS94),MAX($AR94,$AS94))),"")</f>
      </c>
      <c r="AW94" s="202">
        <f>IF(AND($C94,ISNUMBER($AR94)),$AQ94+$AR94*$AP94-1,"")</f>
      </c>
      <c r="AX94" s="202">
        <f>IF($C94,IF(OR($AT94="Completo",$AU94="Cancelado",$AU94="Baja prioridad",NOT(ISNUMBER($AW94))),0,MAX(0,TODAY()-$AW94)),"")</f>
      </c>
      <c r="AY94" s="203">
        <f>IF($C94,IF(NOT(ISNUMBER($AR94)),"Sin fecha",IF($AT94="Completo","Completo",IF($AU94="Cancelado","Cancelado",IF($AU94="Baja prioridad","Baja prioridad",IF($AX94&gt;0,"Vencida","Pendiente"))))),"")</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row>
    <row r="95">
      <c r="A95" s="202">
        <f>ROW()</f>
      </c>
      <c r="B95" s="202">
        <f>ISTEXT('Proyecto Datos (OKR´s)'!$K95)</f>
      </c>
      <c r="C95" s="202">
        <f>AND(LEN('Proyecto Datos (OKR´s)'!$G95)&gt;0,NOT($B95),OR(ISNUMBER('Proyecto Datos (OKR´s)'!$F95),ISNUMBER('Proyecto Datos (OKR´s)'!$L95)))</f>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IF($C95,'Proyecto Datos (OKR´s)'!$J95,"")</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f>IF($C95,$AV95&lt;&gt;$AR95,FALSE)</f>
      </c>
      <c r="AG95" s="202">
        <f>IF($C95,IF($AV95&lt;&gt;$AR95,$AW95,""),"")</f>
      </c>
      <c r="AH95" s="203">
        <f>IF($C95,'Backlog General'!$L95,"")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IF($C95,IFERROR(VLOOKUP($D95,'Sprints'!$G$5:$H$12,2,FALSE),"Semanal"),"")</f>
      </c>
      <c r="AP95" s="202">
        <f>IF($C95,IF($AO95="Semanal",'Sprints'!$D$5,IF($AO95="Quincenal",'Sprints'!$D$6,'Sprints'!$D$7)),"")</f>
      </c>
      <c r="AQ95" s="202">
        <f>IF($C95,IF($AO95="Semanal",'Sprints'!$C$5,IF($AO95="Quincenal",'Sprints'!$C$6,'Sprints'!$C$7)),"")</f>
      </c>
      <c r="AR95" s="202">
        <f>IF(AND($C95,ISNUMBER($H95)),MAX(1,INT(($H95-$AQ95)/$AP95)+1),"")</f>
      </c>
      <c r="AS95" s="202">
        <f>IF($C95,IF($AO95="Semanal",'Sprints'!$E$5,IF($AO95="Quincenal",'Sprints'!$E$6,'Sprints'!$E$7)),"")</f>
      </c>
      <c r="AT95" s="203">
        <f>IF($C95,'Backlog General'!$G95,"")</f>
      </c>
      <c r="AU95" s="203">
        <f>IF($C95,'Backlog General'!$H95,"")</f>
      </c>
      <c r="AV95" s="202">
        <f>IF(AND($C95,ISNUMBER($AR95)),IF(OR($AT95="Completo",$AU95="Cancelado",$AU95="Baja prioridad"),$AR95,IF($AU95="Pasa al siguiente",MAX($AR95+1,$AS95),MAX($AR95,$AS95))),"")</f>
      </c>
      <c r="AW95" s="202">
        <f>IF(AND($C95,ISNUMBER($AR95)),$AQ95+$AR95*$AP95-1,"")</f>
      </c>
      <c r="AX95" s="202">
        <f>IF($C95,IF(OR($AT95="Completo",$AU95="Cancelado",$AU95="Baja prioridad",NOT(ISNUMBER($AW95))),0,MAX(0,TODAY()-$AW95)),"")</f>
      </c>
      <c r="AY95" s="203">
        <f>IF($C95,IF(NOT(ISNUMBER($AR95)),"Sin fecha",IF($AT95="Completo","Completo",IF($AU95="Cancelado","Cancelado",IF($AU95="Baja prioridad","Baja prioridad",IF($AX95&gt;0,"Vencida","Pendiente"))))),"")</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row>
    <row r="96">
      <c r="A96" s="202">
        <f>ROW()</f>
      </c>
      <c r="B96" s="202">
        <f>ISTEXT('Proyecto Datos (OKR´s)'!$K96)</f>
      </c>
      <c r="C96" s="202">
        <f>AND(LEN('Proyecto Datos (OKR´s)'!$G96)&gt;0,NOT($B96),OR(ISNUMBER('Proyecto Datos (OKR´s)'!$F96),ISNUMBER('Proyecto Datos (OKR´s)'!$L96)))</f>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IF($C96,'Proyecto Datos (OKR´s)'!$J96,"")</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f>IF($C96,$AV96&lt;&gt;$AR96,FALSE)</f>
      </c>
      <c r="AG96" s="202">
        <f>IF($C96,IF($AV96&lt;&gt;$AR96,$AW96,""),"")</f>
      </c>
      <c r="AH96" s="203">
        <f>IF($C96,'Backlog General'!$L96,"")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IF($C96,IFERROR(VLOOKUP($D96,'Sprints'!$G$5:$H$12,2,FALSE),"Semanal"),"")</f>
      </c>
      <c r="AP96" s="202">
        <f>IF($C96,IF($AO96="Semanal",'Sprints'!$D$5,IF($AO96="Quincenal",'Sprints'!$D$6,'Sprints'!$D$7)),"")</f>
      </c>
      <c r="AQ96" s="202">
        <f>IF($C96,IF($AO96="Semanal",'Sprints'!$C$5,IF($AO96="Quincenal",'Sprints'!$C$6,'Sprints'!$C$7)),"")</f>
      </c>
      <c r="AR96" s="202">
        <f>IF(AND($C96,ISNUMBER($H96)),MAX(1,INT(($H96-$AQ96)/$AP96)+1),"")</f>
      </c>
      <c r="AS96" s="202">
        <f>IF($C96,IF($AO96="Semanal",'Sprints'!$E$5,IF($AO96="Quincenal",'Sprints'!$E$6,'Sprints'!$E$7)),"")</f>
      </c>
      <c r="AT96" s="203">
        <f>IF($C96,'Backlog General'!$G96,"")</f>
      </c>
      <c r="AU96" s="203">
        <f>IF($C96,'Backlog General'!$H96,"")</f>
      </c>
      <c r="AV96" s="202">
        <f>IF(AND($C96,ISNUMBER($AR96)),IF(OR($AT96="Completo",$AU96="Cancelado",$AU96="Baja prioridad"),$AR96,IF($AU96="Pasa al siguiente",MAX($AR96+1,$AS96),MAX($AR96,$AS96))),"")</f>
      </c>
      <c r="AW96" s="202">
        <f>IF(AND($C96,ISNUMBER($AR96)),$AQ96+$AR96*$AP96-1,"")</f>
      </c>
      <c r="AX96" s="202">
        <f>IF($C96,IF(OR($AT96="Completo",$AU96="Cancelado",$AU96="Baja prioridad",NOT(ISNUMBER($AW96))),0,MAX(0,TODAY()-$AW96)),"")</f>
      </c>
      <c r="AY96" s="203">
        <f>IF($C96,IF(NOT(ISNUMBER($AR96)),"Sin fecha",IF($AT96="Completo","Completo",IF($AU96="Cancelado","Cancelado",IF($AU96="Baja prioridad","Baja prioridad",IF($AX96&gt;0,"Vencida","Pendiente"))))),"")</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row>
    <row r="97">
      <c r="A97" s="202">
        <f>ROW()</f>
      </c>
      <c r="B97" s="202">
        <f>ISTEXT('Proyecto Datos (OKR´s)'!$K97)</f>
      </c>
      <c r="C97" s="202">
        <f>AND(LEN('Proyecto Datos (OKR´s)'!$G97)&gt;0,NOT($B97),OR(ISNUMBER('Proyecto Datos (OKR´s)'!$F97),ISNUMBER('Proyecto Datos (OKR´s)'!$L97)))</f>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IF($C97,'Proyecto Datos (OKR´s)'!$J97,"")</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f>IF($C97,$AV97&lt;&gt;$AR97,FALSE)</f>
      </c>
      <c r="AG97" s="202">
        <f>IF($C97,IF($AV97&lt;&gt;$AR97,$AW97,""),"")</f>
      </c>
      <c r="AH97" s="203">
        <f>IF($C97,'Backlog General'!$L97,"")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IF($C97,IFERROR(VLOOKUP($D97,'Sprints'!$G$5:$H$12,2,FALSE),"Semanal"),"")</f>
      </c>
      <c r="AP97" s="202">
        <f>IF($C97,IF($AO97="Semanal",'Sprints'!$D$5,IF($AO97="Quincenal",'Sprints'!$D$6,'Sprints'!$D$7)),"")</f>
      </c>
      <c r="AQ97" s="202">
        <f>IF($C97,IF($AO97="Semanal",'Sprints'!$C$5,IF($AO97="Quincenal",'Sprints'!$C$6,'Sprints'!$C$7)),"")</f>
      </c>
      <c r="AR97" s="202">
        <f>IF(AND($C97,ISNUMBER($H97)),MAX(1,INT(($H97-$AQ97)/$AP97)+1),"")</f>
      </c>
      <c r="AS97" s="202">
        <f>IF($C97,IF($AO97="Semanal",'Sprints'!$E$5,IF($AO97="Quincenal",'Sprints'!$E$6,'Sprints'!$E$7)),"")</f>
      </c>
      <c r="AT97" s="203">
        <f>IF($C97,'Backlog General'!$G97,"")</f>
      </c>
      <c r="AU97" s="203">
        <f>IF($C97,'Backlog General'!$H97,"")</f>
      </c>
      <c r="AV97" s="202">
        <f>IF(AND($C97,ISNUMBER($AR97)),IF(OR($AT97="Completo",$AU97="Cancelado",$AU97="Baja prioridad"),$AR97,IF($AU97="Pasa al siguiente",MAX($AR97+1,$AS97),MAX($AR97,$AS97))),"")</f>
      </c>
      <c r="AW97" s="202">
        <f>IF(AND($C97,ISNUMBER($AR97)),$AQ97+$AR97*$AP97-1,"")</f>
      </c>
      <c r="AX97" s="202">
        <f>IF($C97,IF(OR($AT97="Completo",$AU97="Cancelado",$AU97="Baja prioridad",NOT(ISNUMBER($AW97))),0,MAX(0,TODAY()-$AW97)),"")</f>
      </c>
      <c r="AY97" s="203">
        <f>IF($C97,IF(NOT(ISNUMBER($AR97)),"Sin fecha",IF($AT97="Completo","Completo",IF($AU97="Cancelado","Cancelado",IF($AU97="Baja prioridad","Baja prioridad",IF($AX97&gt;0,"Vencida","Pendiente"))))),"")</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row>
    <row r="98">
      <c r="A98" s="202">
        <f>ROW()</f>
      </c>
      <c r="B98" s="202">
        <f>ISTEXT('Proyecto Datos (OKR´s)'!$K98)</f>
      </c>
      <c r="C98" s="202">
        <f>AND(LEN('Proyecto Datos (OKR´s)'!$G98)&gt;0,NOT($B98),OR(ISNUMBER('Proyecto Datos (OKR´s)'!$F98),ISNUMBER('Proyecto Datos (OKR´s)'!$L98)))</f>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IF($C98,'Proyecto Datos (OKR´s)'!$J98,"")</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f>IF($C98,$AV98&lt;&gt;$AR98,FALSE)</f>
      </c>
      <c r="AG98" s="202">
        <f>IF($C98,IF($AV98&lt;&gt;$AR98,$AW98,""),"")</f>
      </c>
      <c r="AH98" s="203">
        <f>IF($C98,'Backlog General'!$L98,"")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IF($C98,IFERROR(VLOOKUP($D98,'Sprints'!$G$5:$H$12,2,FALSE),"Semanal"),"")</f>
      </c>
      <c r="AP98" s="202">
        <f>IF($C98,IF($AO98="Semanal",'Sprints'!$D$5,IF($AO98="Quincenal",'Sprints'!$D$6,'Sprints'!$D$7)),"")</f>
      </c>
      <c r="AQ98" s="202">
        <f>IF($C98,IF($AO98="Semanal",'Sprints'!$C$5,IF($AO98="Quincenal",'Sprints'!$C$6,'Sprints'!$C$7)),"")</f>
      </c>
      <c r="AR98" s="202">
        <f>IF(AND($C98,ISNUMBER($H98)),MAX(1,INT(($H98-$AQ98)/$AP98)+1),"")</f>
      </c>
      <c r="AS98" s="202">
        <f>IF($C98,IF($AO98="Semanal",'Sprints'!$E$5,IF($AO98="Quincenal",'Sprints'!$E$6,'Sprints'!$E$7)),"")</f>
      </c>
      <c r="AT98" s="203">
        <f>IF($C98,'Backlog General'!$G98,"")</f>
      </c>
      <c r="AU98" s="203">
        <f>IF($C98,'Backlog General'!$H98,"")</f>
      </c>
      <c r="AV98" s="202">
        <f>IF(AND($C98,ISNUMBER($AR98)),IF(OR($AT98="Completo",$AU98="Cancelado",$AU98="Baja prioridad"),$AR98,IF($AU98="Pasa al siguiente",MAX($AR98+1,$AS98),MAX($AR98,$AS98))),"")</f>
      </c>
      <c r="AW98" s="202">
        <f>IF(AND($C98,ISNUMBER($AR98)),$AQ98+$AR98*$AP98-1,"")</f>
      </c>
      <c r="AX98" s="202">
        <f>IF($C98,IF(OR($AT98="Completo",$AU98="Cancelado",$AU98="Baja prioridad",NOT(ISNUMBER($AW98))),0,MAX(0,TODAY()-$AW98)),"")</f>
      </c>
      <c r="AY98" s="203">
        <f>IF($C98,IF(NOT(ISNUMBER($AR98)),"Sin fecha",IF($AT98="Completo","Completo",IF($AU98="Cancelado","Cancelado",IF($AU98="Baja prioridad","Baja prioridad",IF($AX98&gt;0,"Vencida","Pendiente"))))),"")</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row>
    <row r="99">
      <c r="A99" s="202">
        <f>ROW()</f>
      </c>
      <c r="B99" s="202">
        <f>ISTEXT('Proyecto Datos (OKR´s)'!$K99)</f>
      </c>
      <c r="C99" s="202">
        <f>AND(LEN('Proyecto Datos (OKR´s)'!$G99)&gt;0,NOT($B99),OR(ISNUMBER('Proyecto Datos (OKR´s)'!$F99),ISNUMBER('Proyecto Datos (OKR´s)'!$L99)))</f>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IF($C99,'Proyecto Datos (OKR´s)'!$J99,"")</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f>IF($C99,$AV99&lt;&gt;$AR99,FALSE)</f>
      </c>
      <c r="AG99" s="202">
        <f>IF($C99,IF($AV99&lt;&gt;$AR99,$AW99,""),"")</f>
      </c>
      <c r="AH99" s="203">
        <f>IF($C99,'Backlog General'!$L99,"")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IF($C99,IFERROR(VLOOKUP($D99,'Sprints'!$G$5:$H$12,2,FALSE),"Semanal"),"")</f>
      </c>
      <c r="AP99" s="202">
        <f>IF($C99,IF($AO99="Semanal",'Sprints'!$D$5,IF($AO99="Quincenal",'Sprints'!$D$6,'Sprints'!$D$7)),"")</f>
      </c>
      <c r="AQ99" s="202">
        <f>IF($C99,IF($AO99="Semanal",'Sprints'!$C$5,IF($AO99="Quincenal",'Sprints'!$C$6,'Sprints'!$C$7)),"")</f>
      </c>
      <c r="AR99" s="202">
        <f>IF(AND($C99,ISNUMBER($H99)),MAX(1,INT(($H99-$AQ99)/$AP99)+1),"")</f>
      </c>
      <c r="AS99" s="202">
        <f>IF($C99,IF($AO99="Semanal",'Sprints'!$E$5,IF($AO99="Quincenal",'Sprints'!$E$6,'Sprints'!$E$7)),"")</f>
      </c>
      <c r="AT99" s="203">
        <f>IF($C99,'Backlog General'!$G99,"")</f>
      </c>
      <c r="AU99" s="203">
        <f>IF($C99,'Backlog General'!$H99,"")</f>
      </c>
      <c r="AV99" s="202">
        <f>IF(AND($C99,ISNUMBER($AR99)),IF(OR($AT99="Completo",$AU99="Cancelado",$AU99="Baja prioridad"),$AR99,IF($AU99="Pasa al siguiente",MAX($AR99+1,$AS99),MAX($AR99,$AS99))),"")</f>
      </c>
      <c r="AW99" s="202">
        <f>IF(AND($C99,ISNUMBER($AR99)),$AQ99+$AR99*$AP99-1,"")</f>
      </c>
      <c r="AX99" s="202">
        <f>IF($C99,IF(OR($AT99="Completo",$AU99="Cancelado",$AU99="Baja prioridad",NOT(ISNUMBER($AW99))),0,MAX(0,TODAY()-$AW99)),"")</f>
      </c>
      <c r="AY99" s="203">
        <f>IF($C99,IF(NOT(ISNUMBER($AR99)),"Sin fecha",IF($AT99="Completo","Completo",IF($AU99="Cancelado","Cancelado",IF($AU99="Baja prioridad","Baja prioridad",IF($AX99&gt;0,"Vencida","Pendiente"))))),"")</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row>
    <row r="100">
      <c r="A100" s="202">
        <f>ROW()</f>
      </c>
      <c r="B100" s="202">
        <f>ISTEXT('Proyecto Datos (OKR´s)'!$K100)</f>
      </c>
      <c r="C100" s="202">
        <f>AND(LEN('Proyecto Datos (OKR´s)'!$G100)&gt;0,NOT($B100),OR(ISNUMBER('Proyecto Datos (OKR´s)'!$F100),ISNUMBER('Proyecto Datos (OKR´s)'!$L100)))</f>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IF($C100,'Proyecto Datos (OKR´s)'!$J100,"")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f>IF($C100,$AV100&lt;&gt;$AR100,FALSE)</f>
      </c>
      <c r="AG100" s="202">
        <f>IF($C100,IF($AV100&lt;&gt;$AR100,$AW100,""),"")</f>
      </c>
      <c r="AH100" s="203">
        <f>IF($C100,'Backlog General'!$L100,"")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IF($C100,IFERROR(VLOOKUP($D100,'Sprints'!$G$5:$H$12,2,FALSE),"Semanal"),"")</f>
      </c>
      <c r="AP100" s="202">
        <f>IF($C100,IF($AO100="Semanal",'Sprints'!$D$5,IF($AO100="Quincenal",'Sprints'!$D$6,'Sprints'!$D$7)),"")</f>
      </c>
      <c r="AQ100" s="202">
        <f>IF($C100,IF($AO100="Semanal",'Sprints'!$C$5,IF($AO100="Quincenal",'Sprints'!$C$6,'Sprints'!$C$7)),"")</f>
      </c>
      <c r="AR100" s="202">
        <f>IF(AND($C100,ISNUMBER($H100)),MAX(1,INT(($H100-$AQ100)/$AP100)+1),"")</f>
      </c>
      <c r="AS100" s="202">
        <f>IF($C100,IF($AO100="Semanal",'Sprints'!$E$5,IF($AO100="Quincenal",'Sprints'!$E$6,'Sprints'!$E$7)),"")</f>
      </c>
      <c r="AT100" s="203">
        <f>IF($C100,'Backlog General'!$G100,"")</f>
      </c>
      <c r="AU100" s="203">
        <f>IF($C100,'Backlog General'!$H100,"")</f>
      </c>
      <c r="AV100" s="202">
        <f>IF(AND($C100,ISNUMBER($AR100)),IF(OR($AT100="Completo",$AU100="Cancelado",$AU100="Baja prioridad"),$AR100,IF($AU100="Pasa al siguiente",MAX($AR100+1,$AS100),MAX($AR100,$AS100))),"")</f>
      </c>
      <c r="AW100" s="202">
        <f>IF(AND($C100,ISNUMBER($AR100)),$AQ100+$AR100*$AP100-1,"")</f>
      </c>
      <c r="AX100" s="202">
        <f>IF($C100,IF(OR($AT100="Completo",$AU100="Cancelado",$AU100="Baja prioridad",NOT(ISNUMBER($AW100))),0,MAX(0,TODAY()-$AW100)),"")</f>
      </c>
      <c r="AY100" s="203">
        <f>IF($C100,IF(NOT(ISNUMBER($AR100)),"Sin fecha",IF($AT100="Completo","Completo",IF($AU100="Cancelado","Cancelado",IF($AU100="Baja prioridad","Baja prioridad",IF($AX100&gt;0,"Vencida","Pendiente"))))),"")</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row>
    <row r="101">
      <c r="A101" s="202">
        <f>ROW()</f>
      </c>
      <c r="B101" s="202">
        <f>ISTEXT('Proyecto Datos (OKR´s)'!$K101)</f>
      </c>
      <c r="C101" s="202">
        <f>AND(LEN('Proyecto Datos (OKR´s)'!$G101)&gt;0,NOT($B101),OR(ISNUMBER('Proyecto Datos (OKR´s)'!$F101),ISNUMBER('Proyecto Datos (OKR´s)'!$L101)))</f>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IF($C101,'Proyecto Datos (OKR´s)'!$J101,"")</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f>IF($C101,$AV101&lt;&gt;$AR101,FALSE)</f>
      </c>
      <c r="AG101" s="202">
        <f>IF($C101,IF($AV101&lt;&gt;$AR101,$AW101,""),"")</f>
      </c>
      <c r="AH101" s="203">
        <f>IF($C101,'Backlog General'!$L101,"")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IF($C101,IFERROR(VLOOKUP($D101,'Sprints'!$G$5:$H$12,2,FALSE),"Semanal"),"")</f>
      </c>
      <c r="AP101" s="202">
        <f>IF($C101,IF($AO101="Semanal",'Sprints'!$D$5,IF($AO101="Quincenal",'Sprints'!$D$6,'Sprints'!$D$7)),"")</f>
      </c>
      <c r="AQ101" s="202">
        <f>IF($C101,IF($AO101="Semanal",'Sprints'!$C$5,IF($AO101="Quincenal",'Sprints'!$C$6,'Sprints'!$C$7)),"")</f>
      </c>
      <c r="AR101" s="202">
        <f>IF(AND($C101,ISNUMBER($H101)),MAX(1,INT(($H101-$AQ101)/$AP101)+1),"")</f>
      </c>
      <c r="AS101" s="202">
        <f>IF($C101,IF($AO101="Semanal",'Sprints'!$E$5,IF($AO101="Quincenal",'Sprints'!$E$6,'Sprints'!$E$7)),"")</f>
      </c>
      <c r="AT101" s="203">
        <f>IF($C101,'Backlog General'!$G101,"")</f>
      </c>
      <c r="AU101" s="203">
        <f>IF($C101,'Backlog General'!$H101,"")</f>
      </c>
      <c r="AV101" s="202">
        <f>IF(AND($C101,ISNUMBER($AR101)),IF(OR($AT101="Completo",$AU101="Cancelado",$AU101="Baja prioridad"),$AR101,IF($AU101="Pasa al siguiente",MAX($AR101+1,$AS101),MAX($AR101,$AS101))),"")</f>
      </c>
      <c r="AW101" s="202">
        <f>IF(AND($C101,ISNUMBER($AR101)),$AQ101+$AR101*$AP101-1,"")</f>
      </c>
      <c r="AX101" s="202">
        <f>IF($C101,IF(OR($AT101="Completo",$AU101="Cancelado",$AU101="Baja prioridad",NOT(ISNUMBER($AW101))),0,MAX(0,TODAY()-$AW101)),"")</f>
      </c>
      <c r="AY101" s="203">
        <f>IF($C101,IF(NOT(ISNUMBER($AR101)),"Sin fecha",IF($AT101="Completo","Completo",IF($AU101="Cancelado","Cancelado",IF($AU101="Baja prioridad","Baja prioridad",IF($AX101&gt;0,"Vencida","Pendiente"))))),"")</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row>
    <row r="102">
      <c r="A102" s="202">
        <f>ROW()</f>
      </c>
      <c r="B102" s="202">
        <f>ISTEXT('Proyecto Datos (OKR´s)'!$K102)</f>
      </c>
      <c r="C102" s="202">
        <f>AND(LEN('Proyecto Datos (OKR´s)'!$G102)&gt;0,NOT($B102),OR(ISNUMBER('Proyecto Datos (OKR´s)'!$F102),ISNUMBER('Proyecto Datos (OKR´s)'!$L102)))</f>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IF($C102,'Proyecto Datos (OKR´s)'!$J102,"")</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f>IF($C102,$AV102&lt;&gt;$AR102,FALSE)</f>
      </c>
      <c r="AG102" s="202">
        <f>IF($C102,IF($AV102&lt;&gt;$AR102,$AW102,""),"")</f>
      </c>
      <c r="AH102" s="203">
        <f>IF($C102,'Backlog General'!$L102,"")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IF($C102,IFERROR(VLOOKUP($D102,'Sprints'!$G$5:$H$12,2,FALSE),"Semanal"),"")</f>
      </c>
      <c r="AP102" s="202">
        <f>IF($C102,IF($AO102="Semanal",'Sprints'!$D$5,IF($AO102="Quincenal",'Sprints'!$D$6,'Sprints'!$D$7)),"")</f>
      </c>
      <c r="AQ102" s="202">
        <f>IF($C102,IF($AO102="Semanal",'Sprints'!$C$5,IF($AO102="Quincenal",'Sprints'!$C$6,'Sprints'!$C$7)),"")</f>
      </c>
      <c r="AR102" s="202">
        <f>IF(AND($C102,ISNUMBER($H102)),MAX(1,INT(($H102-$AQ102)/$AP102)+1),"")</f>
      </c>
      <c r="AS102" s="202">
        <f>IF($C102,IF($AO102="Semanal",'Sprints'!$E$5,IF($AO102="Quincenal",'Sprints'!$E$6,'Sprints'!$E$7)),"")</f>
      </c>
      <c r="AT102" s="203">
        <f>IF($C102,'Backlog General'!$G102,"")</f>
      </c>
      <c r="AU102" s="203">
        <f>IF($C102,'Backlog General'!$H102,"")</f>
      </c>
      <c r="AV102" s="202">
        <f>IF(AND($C102,ISNUMBER($AR102)),IF(OR($AT102="Completo",$AU102="Cancelado",$AU102="Baja prioridad"),$AR102,IF($AU102="Pasa al siguiente",MAX($AR102+1,$AS102),MAX($AR102,$AS102))),"")</f>
      </c>
      <c r="AW102" s="202">
        <f>IF(AND($C102,ISNUMBER($AR102)),$AQ102+$AR102*$AP102-1,"")</f>
      </c>
      <c r="AX102" s="202">
        <f>IF($C102,IF(OR($AT102="Completo",$AU102="Cancelado",$AU102="Baja prioridad",NOT(ISNUMBER($AW102))),0,MAX(0,TODAY()-$AW102)),"")</f>
      </c>
      <c r="AY102" s="203">
        <f>IF($C102,IF(NOT(ISNUMBER($AR102)),"Sin fecha",IF($AT102="Completo","Completo",IF($AU102="Cancelado","Cancelado",IF($AU102="Baja prioridad","Baja prioridad",IF($AX102&gt;0,"Vencida","Pendiente"))))),"")</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row>
    <row r="103">
      <c r="A103" s="202">
        <f>ROW()</f>
      </c>
      <c r="B103" s="202">
        <f>ISTEXT('Proyecto Datos (OKR´s)'!$K103)</f>
      </c>
      <c r="C103" s="202">
        <f>AND(LEN('Proyecto Datos (OKR´s)'!$G103)&gt;0,NOT($B103),OR(ISNUMBER('Proyecto Datos (OKR´s)'!$F103),ISNUMBER('Proyecto Datos (OKR´s)'!$L103)))</f>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IF($C103,'Proyecto Datos (OKR´s)'!$J103,"")</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f>IF($C103,$AV103&lt;&gt;$AR103,FALSE)</f>
      </c>
      <c r="AG103" s="202">
        <f>IF($C103,IF($AV103&lt;&gt;$AR103,$AW103,""),"")</f>
      </c>
      <c r="AH103" s="203">
        <f>IF($C103,'Backlog General'!$L103,"")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IF($C103,IFERROR(VLOOKUP($D103,'Sprints'!$G$5:$H$12,2,FALSE),"Semanal"),"")</f>
      </c>
      <c r="AP103" s="202">
        <f>IF($C103,IF($AO103="Semanal",'Sprints'!$D$5,IF($AO103="Quincenal",'Sprints'!$D$6,'Sprints'!$D$7)),"")</f>
      </c>
      <c r="AQ103" s="202">
        <f>IF($C103,IF($AO103="Semanal",'Sprints'!$C$5,IF($AO103="Quincenal",'Sprints'!$C$6,'Sprints'!$C$7)),"")</f>
      </c>
      <c r="AR103" s="202">
        <f>IF(AND($C103,ISNUMBER($H103)),MAX(1,INT(($H103-$AQ103)/$AP103)+1),"")</f>
      </c>
      <c r="AS103" s="202">
        <f>IF($C103,IF($AO103="Semanal",'Sprints'!$E$5,IF($AO103="Quincenal",'Sprints'!$E$6,'Sprints'!$E$7)),"")</f>
      </c>
      <c r="AT103" s="203">
        <f>IF($C103,'Backlog General'!$G103,"")</f>
      </c>
      <c r="AU103" s="203">
        <f>IF($C103,'Backlog General'!$H103,"")</f>
      </c>
      <c r="AV103" s="202">
        <f>IF(AND($C103,ISNUMBER($AR103)),IF(OR($AT103="Completo",$AU103="Cancelado",$AU103="Baja prioridad"),$AR103,IF($AU103="Pasa al siguiente",MAX($AR103+1,$AS103),MAX($AR103,$AS103))),"")</f>
      </c>
      <c r="AW103" s="202">
        <f>IF(AND($C103,ISNUMBER($AR103)),$AQ103+$AR103*$AP103-1,"")</f>
      </c>
      <c r="AX103" s="202">
        <f>IF($C103,IF(OR($AT103="Completo",$AU103="Cancelado",$AU103="Baja prioridad",NOT(ISNUMBER($AW103))),0,MAX(0,TODAY()-$AW103)),"")</f>
      </c>
      <c r="AY103" s="203">
        <f>IF($C103,IF(NOT(ISNUMBER($AR103)),"Sin fecha",IF($AT103="Completo","Completo",IF($AU103="Cancelado","Cancelado",IF($AU103="Baja prioridad","Baja prioridad",IF($AX103&gt;0,"Vencida","Pendiente"))))),"")</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row>
    <row r="104">
      <c r="A104" s="202">
        <f>ROW()</f>
      </c>
      <c r="B104" s="202">
        <f>ISTEXT('Proyecto Datos (OKR´s)'!$K104)</f>
      </c>
      <c r="C104" s="202">
        <f>AND(LEN('Proyecto Datos (OKR´s)'!$G104)&gt;0,NOT($B104),OR(ISNUMBER('Proyecto Datos (OKR´s)'!$F104),ISNUMBER('Proyecto Datos (OKR´s)'!$L104)))</f>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IF($C104,'Proyecto Datos (OKR´s)'!$J104,"")</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f>IF($C104,$AV104&lt;&gt;$AR104,FALSE)</f>
      </c>
      <c r="AG104" s="202">
        <f>IF($C104,IF($AV104&lt;&gt;$AR104,$AW104,""),"")</f>
      </c>
      <c r="AH104" s="203">
        <f>IF($C104,'Backlog General'!$L104,"")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IF($C104,IFERROR(VLOOKUP($D104,'Sprints'!$G$5:$H$12,2,FALSE),"Semanal"),"")</f>
      </c>
      <c r="AP104" s="202">
        <f>IF($C104,IF($AO104="Semanal",'Sprints'!$D$5,IF($AO104="Quincenal",'Sprints'!$D$6,'Sprints'!$D$7)),"")</f>
      </c>
      <c r="AQ104" s="202">
        <f>IF($C104,IF($AO104="Semanal",'Sprints'!$C$5,IF($AO104="Quincenal",'Sprints'!$C$6,'Sprints'!$C$7)),"")</f>
      </c>
      <c r="AR104" s="202">
        <f>IF(AND($C104,ISNUMBER($H104)),MAX(1,INT(($H104-$AQ104)/$AP104)+1),"")</f>
      </c>
      <c r="AS104" s="202">
        <f>IF($C104,IF($AO104="Semanal",'Sprints'!$E$5,IF($AO104="Quincenal",'Sprints'!$E$6,'Sprints'!$E$7)),"")</f>
      </c>
      <c r="AT104" s="203">
        <f>IF($C104,'Backlog General'!$G104,"")</f>
      </c>
      <c r="AU104" s="203">
        <f>IF($C104,'Backlog General'!$H104,"")</f>
      </c>
      <c r="AV104" s="202">
        <f>IF(AND($C104,ISNUMBER($AR104)),IF(OR($AT104="Completo",$AU104="Cancelado",$AU104="Baja prioridad"),$AR104,IF($AU104="Pasa al siguiente",MAX($AR104+1,$AS104),MAX($AR104,$AS104))),"")</f>
      </c>
      <c r="AW104" s="202">
        <f>IF(AND($C104,ISNUMBER($AR104)),$AQ104+$AR104*$AP104-1,"")</f>
      </c>
      <c r="AX104" s="202">
        <f>IF($C104,IF(OR($AT104="Completo",$AU104="Cancelado",$AU104="Baja prioridad",NOT(ISNUMBER($AW104))),0,MAX(0,TODAY()-$AW104)),"")</f>
      </c>
      <c r="AY104" s="203">
        <f>IF($C104,IF(NOT(ISNUMBER($AR104)),"Sin fecha",IF($AT104="Completo","Completo",IF($AU104="Cancelado","Cancelado",IF($AU104="Baja prioridad","Baja prioridad",IF($AX104&gt;0,"Vencida","Pendiente"))))),"")</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row>
    <row r="105">
      <c r="A105" s="202">
        <f>ROW()</f>
      </c>
      <c r="B105" s="202">
        <f>ISTEXT('Proyecto Datos (OKR´s)'!$K105)</f>
      </c>
      <c r="C105" s="202">
        <f>AND(LEN('Proyecto Datos (OKR´s)'!$G105)&gt;0,NOT($B105),OR(ISNUMBER('Proyecto Datos (OKR´s)'!$F105),ISNUMBER('Proyecto Datos (OKR´s)'!$L105)))</f>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IF($C105,'Proyecto Datos (OKR´s)'!$J105,"")</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f>IF($C105,$AV105&lt;&gt;$AR105,FALSE)</f>
      </c>
      <c r="AG105" s="202">
        <f>IF($C105,IF($AV105&lt;&gt;$AR105,$AW105,""),"")</f>
      </c>
      <c r="AH105" s="203">
        <f>IF($C105,'Backlog General'!$L105,"")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IF($C105,IFERROR(VLOOKUP($D105,'Sprints'!$G$5:$H$12,2,FALSE),"Semanal"),"")</f>
      </c>
      <c r="AP105" s="202">
        <f>IF($C105,IF($AO105="Semanal",'Sprints'!$D$5,IF($AO105="Quincenal",'Sprints'!$D$6,'Sprints'!$D$7)),"")</f>
      </c>
      <c r="AQ105" s="202">
        <f>IF($C105,IF($AO105="Semanal",'Sprints'!$C$5,IF($AO105="Quincenal",'Sprints'!$C$6,'Sprints'!$C$7)),"")</f>
      </c>
      <c r="AR105" s="202">
        <f>IF(AND($C105,ISNUMBER($H105)),MAX(1,INT(($H105-$AQ105)/$AP105)+1),"")</f>
      </c>
      <c r="AS105" s="202">
        <f>IF($C105,IF($AO105="Semanal",'Sprints'!$E$5,IF($AO105="Quincenal",'Sprints'!$E$6,'Sprints'!$E$7)),"")</f>
      </c>
      <c r="AT105" s="203">
        <f>IF($C105,'Backlog General'!$G105,"")</f>
      </c>
      <c r="AU105" s="203">
        <f>IF($C105,'Backlog General'!$H105,"")</f>
      </c>
      <c r="AV105" s="202">
        <f>IF(AND($C105,ISNUMBER($AR105)),IF(OR($AT105="Completo",$AU105="Cancelado",$AU105="Baja prioridad"),$AR105,IF($AU105="Pasa al siguiente",MAX($AR105+1,$AS105),MAX($AR105,$AS105))),"")</f>
      </c>
      <c r="AW105" s="202">
        <f>IF(AND($C105,ISNUMBER($AR105)),$AQ105+$AR105*$AP105-1,"")</f>
      </c>
      <c r="AX105" s="202">
        <f>IF($C105,IF(OR($AT105="Completo",$AU105="Cancelado",$AU105="Baja prioridad",NOT(ISNUMBER($AW105))),0,MAX(0,TODAY()-$AW105)),"")</f>
      </c>
      <c r="AY105" s="203">
        <f>IF($C105,IF(NOT(ISNUMBER($AR105)),"Sin fecha",IF($AT105="Completo","Completo",IF($AU105="Cancelado","Cancelado",IF($AU105="Baja prioridad","Baja prioridad",IF($AX105&gt;0,"Vencida","Pendiente"))))),"")</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row>
    <row r="106">
      <c r="A106" s="202">
        <f>ROW()</f>
      </c>
      <c r="B106" s="202">
        <f>ISTEXT('Proyecto Datos (OKR´s)'!$K106)</f>
      </c>
      <c r="C106" s="202">
        <f>AND(LEN('Proyecto Datos (OKR´s)'!$G106)&gt;0,NOT($B106),OR(ISNUMBER('Proyecto Datos (OKR´s)'!$F106),ISNUMBER('Proyecto Datos (OKR´s)'!$L106)))</f>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IF($C106,'Proyecto Datos (OKR´s)'!$J106,"")</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f>IF($C106,$AV106&lt;&gt;$AR106,FALSE)</f>
      </c>
      <c r="AG106" s="202">
        <f>IF($C106,IF($AV106&lt;&gt;$AR106,$AW106,""),"")</f>
      </c>
      <c r="AH106" s="203">
        <f>IF($C106,'Backlog General'!$L106,"")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IF($C106,IFERROR(VLOOKUP($D106,'Sprints'!$G$5:$H$12,2,FALSE),"Semanal"),"")</f>
      </c>
      <c r="AP106" s="202">
        <f>IF($C106,IF($AO106="Semanal",'Sprints'!$D$5,IF($AO106="Quincenal",'Sprints'!$D$6,'Sprints'!$D$7)),"")</f>
      </c>
      <c r="AQ106" s="202">
        <f>IF($C106,IF($AO106="Semanal",'Sprints'!$C$5,IF($AO106="Quincenal",'Sprints'!$C$6,'Sprints'!$C$7)),"")</f>
      </c>
      <c r="AR106" s="202">
        <f>IF(AND($C106,ISNUMBER($H106)),MAX(1,INT(($H106-$AQ106)/$AP106)+1),"")</f>
      </c>
      <c r="AS106" s="202">
        <f>IF($C106,IF($AO106="Semanal",'Sprints'!$E$5,IF($AO106="Quincenal",'Sprints'!$E$6,'Sprints'!$E$7)),"")</f>
      </c>
      <c r="AT106" s="203">
        <f>IF($C106,'Backlog General'!$G106,"")</f>
      </c>
      <c r="AU106" s="203">
        <f>IF($C106,'Backlog General'!$H106,"")</f>
      </c>
      <c r="AV106" s="202">
        <f>IF(AND($C106,ISNUMBER($AR106)),IF(OR($AT106="Completo",$AU106="Cancelado",$AU106="Baja prioridad"),$AR106,IF($AU106="Pasa al siguiente",MAX($AR106+1,$AS106),MAX($AR106,$AS106))),"")</f>
      </c>
      <c r="AW106" s="202">
        <f>IF(AND($C106,ISNUMBER($AR106)),$AQ106+$AR106*$AP106-1,"")</f>
      </c>
      <c r="AX106" s="202">
        <f>IF($C106,IF(OR($AT106="Completo",$AU106="Cancelado",$AU106="Baja prioridad",NOT(ISNUMBER($AW106))),0,MAX(0,TODAY()-$AW106)),"")</f>
      </c>
      <c r="AY106" s="203">
        <f>IF($C106,IF(NOT(ISNUMBER($AR106)),"Sin fecha",IF($AT106="Completo","Completo",IF($AU106="Cancelado","Cancelado",IF($AU106="Baja prioridad","Baja prioridad",IF($AX106&gt;0,"Vencida","Pendiente"))))),"")</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row>
    <row r="107">
      <c r="A107" s="202">
        <f>ROW()</f>
      </c>
      <c r="B107" s="202">
        <f>ISTEXT('Proyecto Datos (OKR´s)'!$K107)</f>
      </c>
      <c r="C107" s="202">
        <f>AND(LEN('Proyecto Datos (OKR´s)'!$G107)&gt;0,NOT($B107),OR(ISNUMBER('Proyecto Datos (OKR´s)'!$F107),ISNUMBER('Proyecto Datos (OKR´s)'!$L107)))</f>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IF($C107,'Proyecto Datos (OKR´s)'!$J107,"")</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f>IF($C107,$AV107&lt;&gt;$AR107,FALSE)</f>
      </c>
      <c r="AG107" s="202">
        <f>IF($C107,IF($AV107&lt;&gt;$AR107,$AW107,""),"")</f>
      </c>
      <c r="AH107" s="203">
        <f>IF($C107,'Backlog General'!$L107,"")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IF($C107,IFERROR(VLOOKUP($D107,'Sprints'!$G$5:$H$12,2,FALSE),"Semanal"),"")</f>
      </c>
      <c r="AP107" s="202">
        <f>IF($C107,IF($AO107="Semanal",'Sprints'!$D$5,IF($AO107="Quincenal",'Sprints'!$D$6,'Sprints'!$D$7)),"")</f>
      </c>
      <c r="AQ107" s="202">
        <f>IF($C107,IF($AO107="Semanal",'Sprints'!$C$5,IF($AO107="Quincenal",'Sprints'!$C$6,'Sprints'!$C$7)),"")</f>
      </c>
      <c r="AR107" s="202">
        <f>IF(AND($C107,ISNUMBER($H107)),MAX(1,INT(($H107-$AQ107)/$AP107)+1),"")</f>
      </c>
      <c r="AS107" s="202">
        <f>IF($C107,IF($AO107="Semanal",'Sprints'!$E$5,IF($AO107="Quincenal",'Sprints'!$E$6,'Sprints'!$E$7)),"")</f>
      </c>
      <c r="AT107" s="203">
        <f>IF($C107,'Backlog General'!$G107,"")</f>
      </c>
      <c r="AU107" s="203">
        <f>IF($C107,'Backlog General'!$H107,"")</f>
      </c>
      <c r="AV107" s="202">
        <f>IF(AND($C107,ISNUMBER($AR107)),IF(OR($AT107="Completo",$AU107="Cancelado",$AU107="Baja prioridad"),$AR107,IF($AU107="Pasa al siguiente",MAX($AR107+1,$AS107),MAX($AR107,$AS107))),"")</f>
      </c>
      <c r="AW107" s="202">
        <f>IF(AND($C107,ISNUMBER($AR107)),$AQ107+$AR107*$AP107-1,"")</f>
      </c>
      <c r="AX107" s="202">
        <f>IF($C107,IF(OR($AT107="Completo",$AU107="Cancelado",$AU107="Baja prioridad",NOT(ISNUMBER($AW107))),0,MAX(0,TODAY()-$AW107)),"")</f>
      </c>
      <c r="AY107" s="203">
        <f>IF($C107,IF(NOT(ISNUMBER($AR107)),"Sin fecha",IF($AT107="Completo","Completo",IF($AU107="Cancelado","Cancelado",IF($AU107="Baja prioridad","Baja prioridad",IF($AX107&gt;0,"Vencida","Pendiente"))))),"")</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row>
    <row r="108">
      <c r="A108" s="202">
        <f>ROW()</f>
      </c>
      <c r="B108" s="202">
        <f>ISTEXT('Proyecto Datos (OKR´s)'!$K108)</f>
      </c>
      <c r="C108" s="202">
        <f>AND(LEN('Proyecto Datos (OKR´s)'!$G108)&gt;0,NOT($B108),OR(ISNUMBER('Proyecto Datos (OKR´s)'!$F108),ISNUMBER('Proyecto Datos (OKR´s)'!$L108)))</f>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IF($C108,'Proyecto Datos (OKR´s)'!$J108,"")</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f>IF($C108,$AV108&lt;&gt;$AR108,FALSE)</f>
      </c>
      <c r="AG108" s="202">
        <f>IF($C108,IF($AV108&lt;&gt;$AR108,$AW108,""),"")</f>
      </c>
      <c r="AH108" s="203">
        <f>IF($C108,'Backlog General'!$L108,"")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IF($C108,IFERROR(VLOOKUP($D108,'Sprints'!$G$5:$H$12,2,FALSE),"Semanal"),"")</f>
      </c>
      <c r="AP108" s="202">
        <f>IF($C108,IF($AO108="Semanal",'Sprints'!$D$5,IF($AO108="Quincenal",'Sprints'!$D$6,'Sprints'!$D$7)),"")</f>
      </c>
      <c r="AQ108" s="202">
        <f>IF($C108,IF($AO108="Semanal",'Sprints'!$C$5,IF($AO108="Quincenal",'Sprints'!$C$6,'Sprints'!$C$7)),"")</f>
      </c>
      <c r="AR108" s="202">
        <f>IF(AND($C108,ISNUMBER($H108)),MAX(1,INT(($H108-$AQ108)/$AP108)+1),"")</f>
      </c>
      <c r="AS108" s="202">
        <f>IF($C108,IF($AO108="Semanal",'Sprints'!$E$5,IF($AO108="Quincenal",'Sprints'!$E$6,'Sprints'!$E$7)),"")</f>
      </c>
      <c r="AT108" s="203">
        <f>IF($C108,'Backlog General'!$G108,"")</f>
      </c>
      <c r="AU108" s="203">
        <f>IF($C108,'Backlog General'!$H108,"")</f>
      </c>
      <c r="AV108" s="202">
        <f>IF(AND($C108,ISNUMBER($AR108)),IF(OR($AT108="Completo",$AU108="Cancelado",$AU108="Baja prioridad"),$AR108,IF($AU108="Pasa al siguiente",MAX($AR108+1,$AS108),MAX($AR108,$AS108))),"")</f>
      </c>
      <c r="AW108" s="202">
        <f>IF(AND($C108,ISNUMBER($AR108)),$AQ108+$AR108*$AP108-1,"")</f>
      </c>
      <c r="AX108" s="202">
        <f>IF($C108,IF(OR($AT108="Completo",$AU108="Cancelado",$AU108="Baja prioridad",NOT(ISNUMBER($AW108))),0,MAX(0,TODAY()-$AW108)),"")</f>
      </c>
      <c r="AY108" s="203">
        <f>IF($C108,IF(NOT(ISNUMBER($AR108)),"Sin fecha",IF($AT108="Completo","Completo",IF($AU108="Cancelado","Cancelado",IF($AU108="Baja prioridad","Baja prioridad",IF($AX108&gt;0,"Vencida","Pendiente"))))),"")</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row>
    <row r="109">
      <c r="A109" s="202">
        <f>ROW()</f>
      </c>
      <c r="B109" s="202">
        <f>ISTEXT('Proyecto Datos (OKR´s)'!$K109)</f>
      </c>
      <c r="C109" s="202">
        <f>AND(LEN('Proyecto Datos (OKR´s)'!$G109)&gt;0,NOT($B109),OR(ISNUMBER('Proyecto Datos (OKR´s)'!$F109),ISNUMBER('Proyecto Datos (OKR´s)'!$L109)))</f>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IF($C109,'Proyecto Datos (OKR´s)'!$J109,"")</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f>IF($C109,$AV109&lt;&gt;$AR109,FALSE)</f>
      </c>
      <c r="AG109" s="202">
        <f>IF($C109,IF($AV109&lt;&gt;$AR109,$AW109,""),"")</f>
      </c>
      <c r="AH109" s="203">
        <f>IF($C109,'Backlog General'!$L109,"")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IF($C109,IFERROR(VLOOKUP($D109,'Sprints'!$G$5:$H$12,2,FALSE),"Semanal"),"")</f>
      </c>
      <c r="AP109" s="202">
        <f>IF($C109,IF($AO109="Semanal",'Sprints'!$D$5,IF($AO109="Quincenal",'Sprints'!$D$6,'Sprints'!$D$7)),"")</f>
      </c>
      <c r="AQ109" s="202">
        <f>IF($C109,IF($AO109="Semanal",'Sprints'!$C$5,IF($AO109="Quincenal",'Sprints'!$C$6,'Sprints'!$C$7)),"")</f>
      </c>
      <c r="AR109" s="202">
        <f>IF(AND($C109,ISNUMBER($H109)),MAX(1,INT(($H109-$AQ109)/$AP109)+1),"")</f>
      </c>
      <c r="AS109" s="202">
        <f>IF($C109,IF($AO109="Semanal",'Sprints'!$E$5,IF($AO109="Quincenal",'Sprints'!$E$6,'Sprints'!$E$7)),"")</f>
      </c>
      <c r="AT109" s="203">
        <f>IF($C109,'Backlog General'!$G109,"")</f>
      </c>
      <c r="AU109" s="203">
        <f>IF($C109,'Backlog General'!$H109,"")</f>
      </c>
      <c r="AV109" s="202">
        <f>IF(AND($C109,ISNUMBER($AR109)),IF(OR($AT109="Completo",$AU109="Cancelado",$AU109="Baja prioridad"),$AR109,IF($AU109="Pasa al siguiente",MAX($AR109+1,$AS109),MAX($AR109,$AS109))),"")</f>
      </c>
      <c r="AW109" s="202">
        <f>IF(AND($C109,ISNUMBER($AR109)),$AQ109+$AR109*$AP109-1,"")</f>
      </c>
      <c r="AX109" s="202">
        <f>IF($C109,IF(OR($AT109="Completo",$AU109="Cancelado",$AU109="Baja prioridad",NOT(ISNUMBER($AW109))),0,MAX(0,TODAY()-$AW109)),"")</f>
      </c>
      <c r="AY109" s="203">
        <f>IF($C109,IF(NOT(ISNUMBER($AR109)),"Sin fecha",IF($AT109="Completo","Completo",IF($AU109="Cancelado","Cancelado",IF($AU109="Baja prioridad","Baja prioridad",IF($AX109&gt;0,"Vencida","Pendiente"))))),"")</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row>
    <row r="110">
      <c r="A110" s="202">
        <f>ROW()</f>
      </c>
      <c r="B110" s="202">
        <f>ISTEXT('Proyecto Datos (OKR´s)'!$K110)</f>
      </c>
      <c r="C110" s="202">
        <f>AND(LEN('Proyecto Datos (OKR´s)'!$G110)&gt;0,NOT($B110),OR(ISNUMBER('Proyecto Datos (OKR´s)'!$F110),ISNUMBER('Proyecto Datos (OKR´s)'!$L110)))</f>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IF($C110,'Proyecto Datos (OKR´s)'!$J110,"")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f>IF($C110,$AV110&lt;&gt;$AR110,FALSE)</f>
      </c>
      <c r="AG110" s="202">
        <f>IF($C110,IF($AV110&lt;&gt;$AR110,$AW110,""),"")</f>
      </c>
      <c r="AH110" s="203">
        <f>IF($C110,'Backlog General'!$L110,"")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IF($C110,IFERROR(VLOOKUP($D110,'Sprints'!$G$5:$H$12,2,FALSE),"Semanal"),"")</f>
      </c>
      <c r="AP110" s="202">
        <f>IF($C110,IF($AO110="Semanal",'Sprints'!$D$5,IF($AO110="Quincenal",'Sprints'!$D$6,'Sprints'!$D$7)),"")</f>
      </c>
      <c r="AQ110" s="202">
        <f>IF($C110,IF($AO110="Semanal",'Sprints'!$C$5,IF($AO110="Quincenal",'Sprints'!$C$6,'Sprints'!$C$7)),"")</f>
      </c>
      <c r="AR110" s="202">
        <f>IF(AND($C110,ISNUMBER($H110)),MAX(1,INT(($H110-$AQ110)/$AP110)+1),"")</f>
      </c>
      <c r="AS110" s="202">
        <f>IF($C110,IF($AO110="Semanal",'Sprints'!$E$5,IF($AO110="Quincenal",'Sprints'!$E$6,'Sprints'!$E$7)),"")</f>
      </c>
      <c r="AT110" s="203">
        <f>IF($C110,'Backlog General'!$G110,"")</f>
      </c>
      <c r="AU110" s="203">
        <f>IF($C110,'Backlog General'!$H110,"")</f>
      </c>
      <c r="AV110" s="202">
        <f>IF(AND($C110,ISNUMBER($AR110)),IF(OR($AT110="Completo",$AU110="Cancelado",$AU110="Baja prioridad"),$AR110,IF($AU110="Pasa al siguiente",MAX($AR110+1,$AS110),MAX($AR110,$AS110))),"")</f>
      </c>
      <c r="AW110" s="202">
        <f>IF(AND($C110,ISNUMBER($AR110)),$AQ110+$AR110*$AP110-1,"")</f>
      </c>
      <c r="AX110" s="202">
        <f>IF($C110,IF(OR($AT110="Completo",$AU110="Cancelado",$AU110="Baja prioridad",NOT(ISNUMBER($AW110))),0,MAX(0,TODAY()-$AW110)),"")</f>
      </c>
      <c r="AY110" s="203">
        <f>IF($C110,IF(NOT(ISNUMBER($AR110)),"Sin fecha",IF($AT110="Completo","Completo",IF($AU110="Cancelado","Cancelado",IF($AU110="Baja prioridad","Baja prioridad",IF($AX110&gt;0,"Vencida","Pendiente"))))),"")</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row>
    <row r="111">
      <c r="A111" s="202">
        <f>ROW()</f>
      </c>
      <c r="B111" s="202">
        <f>ISTEXT('Proyecto Datos (OKR´s)'!$K111)</f>
      </c>
      <c r="C111" s="202">
        <f>AND(LEN('Proyecto Datos (OKR´s)'!$G111)&gt;0,NOT($B111),OR(ISNUMBER('Proyecto Datos (OKR´s)'!$F111),ISNUMBER('Proyecto Datos (OKR´s)'!$L111)))</f>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IF($C111,'Proyecto Datos (OKR´s)'!$J111,"")</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f>IF($C111,$AV111&lt;&gt;$AR111,FALSE)</f>
      </c>
      <c r="AG111" s="202">
        <f>IF($C111,IF($AV111&lt;&gt;$AR111,$AW111,""),"")</f>
      </c>
      <c r="AH111" s="203">
        <f>IF($C111,'Backlog General'!$L111,"")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IF($C111,IFERROR(VLOOKUP($D111,'Sprints'!$G$5:$H$12,2,FALSE),"Semanal"),"")</f>
      </c>
      <c r="AP111" s="202">
        <f>IF($C111,IF($AO111="Semanal",'Sprints'!$D$5,IF($AO111="Quincenal",'Sprints'!$D$6,'Sprints'!$D$7)),"")</f>
      </c>
      <c r="AQ111" s="202">
        <f>IF($C111,IF($AO111="Semanal",'Sprints'!$C$5,IF($AO111="Quincenal",'Sprints'!$C$6,'Sprints'!$C$7)),"")</f>
      </c>
      <c r="AR111" s="202">
        <f>IF(AND($C111,ISNUMBER($H111)),MAX(1,INT(($H111-$AQ111)/$AP111)+1),"")</f>
      </c>
      <c r="AS111" s="202">
        <f>IF($C111,IF($AO111="Semanal",'Sprints'!$E$5,IF($AO111="Quincenal",'Sprints'!$E$6,'Sprints'!$E$7)),"")</f>
      </c>
      <c r="AT111" s="203">
        <f>IF($C111,'Backlog General'!$G111,"")</f>
      </c>
      <c r="AU111" s="203">
        <f>IF($C111,'Backlog General'!$H111,"")</f>
      </c>
      <c r="AV111" s="202">
        <f>IF(AND($C111,ISNUMBER($AR111)),IF(OR($AT111="Completo",$AU111="Cancelado",$AU111="Baja prioridad"),$AR111,IF($AU111="Pasa al siguiente",MAX($AR111+1,$AS111),MAX($AR111,$AS111))),"")</f>
      </c>
      <c r="AW111" s="202">
        <f>IF(AND($C111,ISNUMBER($AR111)),$AQ111+$AR111*$AP111-1,"")</f>
      </c>
      <c r="AX111" s="202">
        <f>IF($C111,IF(OR($AT111="Completo",$AU111="Cancelado",$AU111="Baja prioridad",NOT(ISNUMBER($AW111))),0,MAX(0,TODAY()-$AW111)),"")</f>
      </c>
      <c r="AY111" s="203">
        <f>IF($C111,IF(NOT(ISNUMBER($AR111)),"Sin fecha",IF($AT111="Completo","Completo",IF($AU111="Cancelado","Cancelado",IF($AU111="Baja prioridad","Baja prioridad",IF($AX111&gt;0,"Vencida","Pendiente"))))),"")</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row>
    <row r="112">
      <c r="A112" s="202">
        <f>ROW()</f>
      </c>
      <c r="B112" s="202">
        <f>ISTEXT('Proyecto Datos (OKR´s)'!$K112)</f>
      </c>
      <c r="C112" s="202">
        <f>AND(LEN('Proyecto Datos (OKR´s)'!$G112)&gt;0,NOT($B112),OR(ISNUMBER('Proyecto Datos (OKR´s)'!$F112),ISNUMBER('Proyecto Datos (OKR´s)'!$L112)))</f>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IF($C112,'Proyecto Datos (OKR´s)'!$J112,"")</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f>IF($C112,$AV112&lt;&gt;$AR112,FALSE)</f>
      </c>
      <c r="AG112" s="202">
        <f>IF($C112,IF($AV112&lt;&gt;$AR112,$AW112,""),"")</f>
      </c>
      <c r="AH112" s="203">
        <f>IF($C112,'Backlog General'!$L112,"")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IF($C112,IFERROR(VLOOKUP($D112,'Sprints'!$G$5:$H$12,2,FALSE),"Semanal"),"")</f>
      </c>
      <c r="AP112" s="202">
        <f>IF($C112,IF($AO112="Semanal",'Sprints'!$D$5,IF($AO112="Quincenal",'Sprints'!$D$6,'Sprints'!$D$7)),"")</f>
      </c>
      <c r="AQ112" s="202">
        <f>IF($C112,IF($AO112="Semanal",'Sprints'!$C$5,IF($AO112="Quincenal",'Sprints'!$C$6,'Sprints'!$C$7)),"")</f>
      </c>
      <c r="AR112" s="202">
        <f>IF(AND($C112,ISNUMBER($H112)),MAX(1,INT(($H112-$AQ112)/$AP112)+1),"")</f>
      </c>
      <c r="AS112" s="202">
        <f>IF($C112,IF($AO112="Semanal",'Sprints'!$E$5,IF($AO112="Quincenal",'Sprints'!$E$6,'Sprints'!$E$7)),"")</f>
      </c>
      <c r="AT112" s="203">
        <f>IF($C112,'Backlog General'!$G112,"")</f>
      </c>
      <c r="AU112" s="203">
        <f>IF($C112,'Backlog General'!$H112,"")</f>
      </c>
      <c r="AV112" s="202">
        <f>IF(AND($C112,ISNUMBER($AR112)),IF(OR($AT112="Completo",$AU112="Cancelado",$AU112="Baja prioridad"),$AR112,IF($AU112="Pasa al siguiente",MAX($AR112+1,$AS112),MAX($AR112,$AS112))),"")</f>
      </c>
      <c r="AW112" s="202">
        <f>IF(AND($C112,ISNUMBER($AR112)),$AQ112+$AR112*$AP112-1,"")</f>
      </c>
      <c r="AX112" s="202">
        <f>IF($C112,IF(OR($AT112="Completo",$AU112="Cancelado",$AU112="Baja prioridad",NOT(ISNUMBER($AW112))),0,MAX(0,TODAY()-$AW112)),"")</f>
      </c>
      <c r="AY112" s="203">
        <f>IF($C112,IF(NOT(ISNUMBER($AR112)),"Sin fecha",IF($AT112="Completo","Completo",IF($AU112="Cancelado","Cancelado",IF($AU112="Baja prioridad","Baja prioridad",IF($AX112&gt;0,"Vencida","Pendiente"))))),"")</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row>
    <row r="113">
      <c r="A113" s="202">
        <f>ROW()</f>
      </c>
      <c r="B113" s="202">
        <f>ISTEXT('Proyecto Datos (OKR´s)'!$K113)</f>
      </c>
      <c r="C113" s="202">
        <f>AND(LEN('Proyecto Datos (OKR´s)'!$G113)&gt;0,NOT($B113),OR(ISNUMBER('Proyecto Datos (OKR´s)'!$F113),ISNUMBER('Proyecto Datos (OKR´s)'!$L113)))</f>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IF($C113,'Proyecto Datos (OKR´s)'!$J113,"")</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f>IF($C113,$AV113&lt;&gt;$AR113,FALSE)</f>
      </c>
      <c r="AG113" s="202">
        <f>IF($C113,IF($AV113&lt;&gt;$AR113,$AW113,""),"")</f>
      </c>
      <c r="AH113" s="203">
        <f>IF($C113,'Backlog General'!$L113,"")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IF($C113,IFERROR(VLOOKUP($D113,'Sprints'!$G$5:$H$12,2,FALSE),"Semanal"),"")</f>
      </c>
      <c r="AP113" s="202">
        <f>IF($C113,IF($AO113="Semanal",'Sprints'!$D$5,IF($AO113="Quincenal",'Sprints'!$D$6,'Sprints'!$D$7)),"")</f>
      </c>
      <c r="AQ113" s="202">
        <f>IF($C113,IF($AO113="Semanal",'Sprints'!$C$5,IF($AO113="Quincenal",'Sprints'!$C$6,'Sprints'!$C$7)),"")</f>
      </c>
      <c r="AR113" s="202">
        <f>IF(AND($C113,ISNUMBER($H113)),MAX(1,INT(($H113-$AQ113)/$AP113)+1),"")</f>
      </c>
      <c r="AS113" s="202">
        <f>IF($C113,IF($AO113="Semanal",'Sprints'!$E$5,IF($AO113="Quincenal",'Sprints'!$E$6,'Sprints'!$E$7)),"")</f>
      </c>
      <c r="AT113" s="203">
        <f>IF($C113,'Backlog General'!$G113,"")</f>
      </c>
      <c r="AU113" s="203">
        <f>IF($C113,'Backlog General'!$H113,"")</f>
      </c>
      <c r="AV113" s="202">
        <f>IF(AND($C113,ISNUMBER($AR113)),IF(OR($AT113="Completo",$AU113="Cancelado",$AU113="Baja prioridad"),$AR113,IF($AU113="Pasa al siguiente",MAX($AR113+1,$AS113),MAX($AR113,$AS113))),"")</f>
      </c>
      <c r="AW113" s="202">
        <f>IF(AND($C113,ISNUMBER($AR113)),$AQ113+$AR113*$AP113-1,"")</f>
      </c>
      <c r="AX113" s="202">
        <f>IF($C113,IF(OR($AT113="Completo",$AU113="Cancelado",$AU113="Baja prioridad",NOT(ISNUMBER($AW113))),0,MAX(0,TODAY()-$AW113)),"")</f>
      </c>
      <c r="AY113" s="203">
        <f>IF($C113,IF(NOT(ISNUMBER($AR113)),"Sin fecha",IF($AT113="Completo","Completo",IF($AU113="Cancelado","Cancelado",IF($AU113="Baja prioridad","Baja prioridad",IF($AX113&gt;0,"Vencida","Pendiente"))))),"")</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row>
    <row r="114">
      <c r="A114" s="202">
        <f>ROW()</f>
      </c>
      <c r="B114" s="202">
        <f>ISTEXT('Proyecto Datos (OKR´s)'!$K114)</f>
      </c>
      <c r="C114" s="202">
        <f>AND(LEN('Proyecto Datos (OKR´s)'!$G114)&gt;0,NOT($B114),OR(ISNUMBER('Proyecto Datos (OKR´s)'!$F114),ISNUMBER('Proyecto Datos (OKR´s)'!$L114)))</f>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IF($C114,'Proyecto Datos (OKR´s)'!$J114,"")</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f>IF($C114,$AV114&lt;&gt;$AR114,FALSE)</f>
      </c>
      <c r="AG114" s="202">
        <f>IF($C114,IF($AV114&lt;&gt;$AR114,$AW114,""),"")</f>
      </c>
      <c r="AH114" s="203">
        <f>IF($C114,'Backlog General'!$L114,"")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IF($C114,IFERROR(VLOOKUP($D114,'Sprints'!$G$5:$H$12,2,FALSE),"Semanal"),"")</f>
      </c>
      <c r="AP114" s="202">
        <f>IF($C114,IF($AO114="Semanal",'Sprints'!$D$5,IF($AO114="Quincenal",'Sprints'!$D$6,'Sprints'!$D$7)),"")</f>
      </c>
      <c r="AQ114" s="202">
        <f>IF($C114,IF($AO114="Semanal",'Sprints'!$C$5,IF($AO114="Quincenal",'Sprints'!$C$6,'Sprints'!$C$7)),"")</f>
      </c>
      <c r="AR114" s="202">
        <f>IF(AND($C114,ISNUMBER($H114)),MAX(1,INT(($H114-$AQ114)/$AP114)+1),"")</f>
      </c>
      <c r="AS114" s="202">
        <f>IF($C114,IF($AO114="Semanal",'Sprints'!$E$5,IF($AO114="Quincenal",'Sprints'!$E$6,'Sprints'!$E$7)),"")</f>
      </c>
      <c r="AT114" s="203">
        <f>IF($C114,'Backlog General'!$G114,"")</f>
      </c>
      <c r="AU114" s="203">
        <f>IF($C114,'Backlog General'!$H114,"")</f>
      </c>
      <c r="AV114" s="202">
        <f>IF(AND($C114,ISNUMBER($AR114)),IF(OR($AT114="Completo",$AU114="Cancelado",$AU114="Baja prioridad"),$AR114,IF($AU114="Pasa al siguiente",MAX($AR114+1,$AS114),MAX($AR114,$AS114))),"")</f>
      </c>
      <c r="AW114" s="202">
        <f>IF(AND($C114,ISNUMBER($AR114)),$AQ114+$AR114*$AP114-1,"")</f>
      </c>
      <c r="AX114" s="202">
        <f>IF($C114,IF(OR($AT114="Completo",$AU114="Cancelado",$AU114="Baja prioridad",NOT(ISNUMBER($AW114))),0,MAX(0,TODAY()-$AW114)),"")</f>
      </c>
      <c r="AY114" s="203">
        <f>IF($C114,IF(NOT(ISNUMBER($AR114)),"Sin fecha",IF($AT114="Completo","Completo",IF($AU114="Cancelado","Cancelado",IF($AU114="Baja prioridad","Baja prioridad",IF($AX114&gt;0,"Vencida","Pendiente"))))),"")</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row>
    <row r="115">
      <c r="A115" s="202">
        <f>ROW()</f>
      </c>
      <c r="B115" s="202">
        <f>ISTEXT('Proyecto Datos (OKR´s)'!$K115)</f>
      </c>
      <c r="C115" s="202">
        <f>AND(LEN('Proyecto Datos (OKR´s)'!$G115)&gt;0,NOT($B115),OR(ISNUMBER('Proyecto Datos (OKR´s)'!$F115),ISNUMBER('Proyecto Datos (OKR´s)'!$L115)))</f>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IF($C115,'Proyecto Datos (OKR´s)'!$J115,"")</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f>IF($C115,$AV115&lt;&gt;$AR115,FALSE)</f>
      </c>
      <c r="AG115" s="202">
        <f>IF($C115,IF($AV115&lt;&gt;$AR115,$AW115,""),"")</f>
      </c>
      <c r="AH115" s="203">
        <f>IF($C115,'Backlog General'!$L115,"")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IF($C115,IFERROR(VLOOKUP($D115,'Sprints'!$G$5:$H$12,2,FALSE),"Semanal"),"")</f>
      </c>
      <c r="AP115" s="202">
        <f>IF($C115,IF($AO115="Semanal",'Sprints'!$D$5,IF($AO115="Quincenal",'Sprints'!$D$6,'Sprints'!$D$7)),"")</f>
      </c>
      <c r="AQ115" s="202">
        <f>IF($C115,IF($AO115="Semanal",'Sprints'!$C$5,IF($AO115="Quincenal",'Sprints'!$C$6,'Sprints'!$C$7)),"")</f>
      </c>
      <c r="AR115" s="202">
        <f>IF(AND($C115,ISNUMBER($H115)),MAX(1,INT(($H115-$AQ115)/$AP115)+1),"")</f>
      </c>
      <c r="AS115" s="202">
        <f>IF($C115,IF($AO115="Semanal",'Sprints'!$E$5,IF($AO115="Quincenal",'Sprints'!$E$6,'Sprints'!$E$7)),"")</f>
      </c>
      <c r="AT115" s="203">
        <f>IF($C115,'Backlog General'!$G115,"")</f>
      </c>
      <c r="AU115" s="203">
        <f>IF($C115,'Backlog General'!$H115,"")</f>
      </c>
      <c r="AV115" s="202">
        <f>IF(AND($C115,ISNUMBER($AR115)),IF(OR($AT115="Completo",$AU115="Cancelado",$AU115="Baja prioridad"),$AR115,IF($AU115="Pasa al siguiente",MAX($AR115+1,$AS115),MAX($AR115,$AS115))),"")</f>
      </c>
      <c r="AW115" s="202">
        <f>IF(AND($C115,ISNUMBER($AR115)),$AQ115+$AR115*$AP115-1,"")</f>
      </c>
      <c r="AX115" s="202">
        <f>IF($C115,IF(OR($AT115="Completo",$AU115="Cancelado",$AU115="Baja prioridad",NOT(ISNUMBER($AW115))),0,MAX(0,TODAY()-$AW115)),"")</f>
      </c>
      <c r="AY115" s="203">
        <f>IF($C115,IF(NOT(ISNUMBER($AR115)),"Sin fecha",IF($AT115="Completo","Completo",IF($AU115="Cancelado","Cancelado",IF($AU115="Baja prioridad","Baja prioridad",IF($AX115&gt;0,"Vencida","Pendiente"))))),"")</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row>
    <row r="116">
      <c r="A116" s="202">
        <f>ROW()</f>
      </c>
      <c r="B116" s="202">
        <f>ISTEXT('Proyecto Datos (OKR´s)'!$K116)</f>
      </c>
      <c r="C116" s="202">
        <f>AND(LEN('Proyecto Datos (OKR´s)'!$G116)&gt;0,NOT($B116),OR(ISNUMBER('Proyecto Datos (OKR´s)'!$F116),ISNUMBER('Proyecto Datos (OKR´s)'!$L116)))</f>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IF($C116,'Proyecto Datos (OKR´s)'!$J116,"")</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f>IF($C116,$AV116&lt;&gt;$AR116,FALSE)</f>
      </c>
      <c r="AG116" s="202">
        <f>IF($C116,IF($AV116&lt;&gt;$AR116,$AW116,""),"")</f>
      </c>
      <c r="AH116" s="203">
        <f>IF($C116,'Backlog General'!$L116,"")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IF($C116,IFERROR(VLOOKUP($D116,'Sprints'!$G$5:$H$12,2,FALSE),"Semanal"),"")</f>
      </c>
      <c r="AP116" s="202">
        <f>IF($C116,IF($AO116="Semanal",'Sprints'!$D$5,IF($AO116="Quincenal",'Sprints'!$D$6,'Sprints'!$D$7)),"")</f>
      </c>
      <c r="AQ116" s="202">
        <f>IF($C116,IF($AO116="Semanal",'Sprints'!$C$5,IF($AO116="Quincenal",'Sprints'!$C$6,'Sprints'!$C$7)),"")</f>
      </c>
      <c r="AR116" s="202">
        <f>IF(AND($C116,ISNUMBER($H116)),MAX(1,INT(($H116-$AQ116)/$AP116)+1),"")</f>
      </c>
      <c r="AS116" s="202">
        <f>IF($C116,IF($AO116="Semanal",'Sprints'!$E$5,IF($AO116="Quincenal",'Sprints'!$E$6,'Sprints'!$E$7)),"")</f>
      </c>
      <c r="AT116" s="203">
        <f>IF($C116,'Backlog General'!$G116,"")</f>
      </c>
      <c r="AU116" s="203">
        <f>IF($C116,'Backlog General'!$H116,"")</f>
      </c>
      <c r="AV116" s="202">
        <f>IF(AND($C116,ISNUMBER($AR116)),IF(OR($AT116="Completo",$AU116="Cancelado",$AU116="Baja prioridad"),$AR116,IF($AU116="Pasa al siguiente",MAX($AR116+1,$AS116),MAX($AR116,$AS116))),"")</f>
      </c>
      <c r="AW116" s="202">
        <f>IF(AND($C116,ISNUMBER($AR116)),$AQ116+$AR116*$AP116-1,"")</f>
      </c>
      <c r="AX116" s="202">
        <f>IF($C116,IF(OR($AT116="Completo",$AU116="Cancelado",$AU116="Baja prioridad",NOT(ISNUMBER($AW116))),0,MAX(0,TODAY()-$AW116)),"")</f>
      </c>
      <c r="AY116" s="203">
        <f>IF($C116,IF(NOT(ISNUMBER($AR116)),"Sin fecha",IF($AT116="Completo","Completo",IF($AU116="Cancelado","Cancelado",IF($AU116="Baja prioridad","Baja prioridad",IF($AX116&gt;0,"Vencida","Pendiente"))))),"")</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row>
    <row r="117">
      <c r="A117" s="202">
        <f>ROW()</f>
      </c>
      <c r="B117" s="202">
        <f>ISTEXT('Proyecto Datos (OKR´s)'!$K117)</f>
      </c>
      <c r="C117" s="202">
        <f>AND(LEN('Proyecto Datos (OKR´s)'!$G117)&gt;0,NOT($B117),OR(ISNUMBER('Proyecto Datos (OKR´s)'!$F117),ISNUMBER('Proyecto Datos (OKR´s)'!$L117)))</f>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IF($C117,'Proyecto Datos (OKR´s)'!$J117,"")</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f>IF($C117,$AV117&lt;&gt;$AR117,FALSE)</f>
      </c>
      <c r="AG117" s="202">
        <f>IF($C117,IF($AV117&lt;&gt;$AR117,$AW117,""),"")</f>
      </c>
      <c r="AH117" s="203">
        <f>IF($C117,'Backlog General'!$L117,"")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IF($C117,IFERROR(VLOOKUP($D117,'Sprints'!$G$5:$H$12,2,FALSE),"Semanal"),"")</f>
      </c>
      <c r="AP117" s="202">
        <f>IF($C117,IF($AO117="Semanal",'Sprints'!$D$5,IF($AO117="Quincenal",'Sprints'!$D$6,'Sprints'!$D$7)),"")</f>
      </c>
      <c r="AQ117" s="202">
        <f>IF($C117,IF($AO117="Semanal",'Sprints'!$C$5,IF($AO117="Quincenal",'Sprints'!$C$6,'Sprints'!$C$7)),"")</f>
      </c>
      <c r="AR117" s="202">
        <f>IF(AND($C117,ISNUMBER($H117)),MAX(1,INT(($H117-$AQ117)/$AP117)+1),"")</f>
      </c>
      <c r="AS117" s="202">
        <f>IF($C117,IF($AO117="Semanal",'Sprints'!$E$5,IF($AO117="Quincenal",'Sprints'!$E$6,'Sprints'!$E$7)),"")</f>
      </c>
      <c r="AT117" s="203">
        <f>IF($C117,'Backlog General'!$G117,"")</f>
      </c>
      <c r="AU117" s="203">
        <f>IF($C117,'Backlog General'!$H117,"")</f>
      </c>
      <c r="AV117" s="202">
        <f>IF(AND($C117,ISNUMBER($AR117)),IF(OR($AT117="Completo",$AU117="Cancelado",$AU117="Baja prioridad"),$AR117,IF($AU117="Pasa al siguiente",MAX($AR117+1,$AS117),MAX($AR117,$AS117))),"")</f>
      </c>
      <c r="AW117" s="202">
        <f>IF(AND($C117,ISNUMBER($AR117)),$AQ117+$AR117*$AP117-1,"")</f>
      </c>
      <c r="AX117" s="202">
        <f>IF($C117,IF(OR($AT117="Completo",$AU117="Cancelado",$AU117="Baja prioridad",NOT(ISNUMBER($AW117))),0,MAX(0,TODAY()-$AW117)),"")</f>
      </c>
      <c r="AY117" s="203">
        <f>IF($C117,IF(NOT(ISNUMBER($AR117)),"Sin fecha",IF($AT117="Completo","Completo",IF($AU117="Cancelado","Cancelado",IF($AU117="Baja prioridad","Baja prioridad",IF($AX117&gt;0,"Vencida","Pendiente"))))),"")</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row>
    <row r="118">
      <c r="A118" s="202">
        <f>ROW()</f>
      </c>
      <c r="B118" s="202">
        <f>ISTEXT('Proyecto Datos (OKR´s)'!$K118)</f>
      </c>
      <c r="C118" s="202">
        <f>AND(LEN('Proyecto Datos (OKR´s)'!$G118)&gt;0,NOT($B118),OR(ISNUMBER('Proyecto Datos (OKR´s)'!$F118),ISNUMBER('Proyecto Datos (OKR´s)'!$L118)))</f>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IF($C118,'Proyecto Datos (OKR´s)'!$J118,"")</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f>IF($C118,$AV118&lt;&gt;$AR118,FALSE)</f>
      </c>
      <c r="AG118" s="202">
        <f>IF($C118,IF($AV118&lt;&gt;$AR118,$AW118,""),"")</f>
      </c>
      <c r="AH118" s="203">
        <f>IF($C118,'Backlog General'!$L118,"")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IF($C118,IFERROR(VLOOKUP($D118,'Sprints'!$G$5:$H$12,2,FALSE),"Semanal"),"")</f>
      </c>
      <c r="AP118" s="202">
        <f>IF($C118,IF($AO118="Semanal",'Sprints'!$D$5,IF($AO118="Quincenal",'Sprints'!$D$6,'Sprints'!$D$7)),"")</f>
      </c>
      <c r="AQ118" s="202">
        <f>IF($C118,IF($AO118="Semanal",'Sprints'!$C$5,IF($AO118="Quincenal",'Sprints'!$C$6,'Sprints'!$C$7)),"")</f>
      </c>
      <c r="AR118" s="202">
        <f>IF(AND($C118,ISNUMBER($H118)),MAX(1,INT(($H118-$AQ118)/$AP118)+1),"")</f>
      </c>
      <c r="AS118" s="202">
        <f>IF($C118,IF($AO118="Semanal",'Sprints'!$E$5,IF($AO118="Quincenal",'Sprints'!$E$6,'Sprints'!$E$7)),"")</f>
      </c>
      <c r="AT118" s="203">
        <f>IF($C118,'Backlog General'!$G118,"")</f>
      </c>
      <c r="AU118" s="203">
        <f>IF($C118,'Backlog General'!$H118,"")</f>
      </c>
      <c r="AV118" s="202">
        <f>IF(AND($C118,ISNUMBER($AR118)),IF(OR($AT118="Completo",$AU118="Cancelado",$AU118="Baja prioridad"),$AR118,IF($AU118="Pasa al siguiente",MAX($AR118+1,$AS118),MAX($AR118,$AS118))),"")</f>
      </c>
      <c r="AW118" s="202">
        <f>IF(AND($C118,ISNUMBER($AR118)),$AQ118+$AR118*$AP118-1,"")</f>
      </c>
      <c r="AX118" s="202">
        <f>IF($C118,IF(OR($AT118="Completo",$AU118="Cancelado",$AU118="Baja prioridad",NOT(ISNUMBER($AW118))),0,MAX(0,TODAY()-$AW118)),"")</f>
      </c>
      <c r="AY118" s="203">
        <f>IF($C118,IF(NOT(ISNUMBER($AR118)),"Sin fecha",IF($AT118="Completo","Completo",IF($AU118="Cancelado","Cancelado",IF($AU118="Baja prioridad","Baja prioridad",IF($AX118&gt;0,"Vencida","Pendiente"))))),"")</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row>
    <row r="119">
      <c r="A119" s="202">
        <f>ROW()</f>
      </c>
      <c r="B119" s="202">
        <f>ISTEXT('Proyecto Datos (OKR´s)'!$K119)</f>
      </c>
      <c r="C119" s="202">
        <f>AND(LEN('Proyecto Datos (OKR´s)'!$G119)&gt;0,NOT($B119),OR(ISNUMBER('Proyecto Datos (OKR´s)'!$F119),ISNUMBER('Proyecto Datos (OKR´s)'!$L119)))</f>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IF($C119,'Proyecto Datos (OKR´s)'!$J119,"")</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f>IF($C119,$AV119&lt;&gt;$AR119,FALSE)</f>
      </c>
      <c r="AG119" s="202">
        <f>IF($C119,IF($AV119&lt;&gt;$AR119,$AW119,""),"")</f>
      </c>
      <c r="AH119" s="203">
        <f>IF($C119,'Backlog General'!$L119,"")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IF($C119,IFERROR(VLOOKUP($D119,'Sprints'!$G$5:$H$12,2,FALSE),"Semanal"),"")</f>
      </c>
      <c r="AP119" s="202">
        <f>IF($C119,IF($AO119="Semanal",'Sprints'!$D$5,IF($AO119="Quincenal",'Sprints'!$D$6,'Sprints'!$D$7)),"")</f>
      </c>
      <c r="AQ119" s="202">
        <f>IF($C119,IF($AO119="Semanal",'Sprints'!$C$5,IF($AO119="Quincenal",'Sprints'!$C$6,'Sprints'!$C$7)),"")</f>
      </c>
      <c r="AR119" s="202">
        <f>IF(AND($C119,ISNUMBER($H119)),MAX(1,INT(($H119-$AQ119)/$AP119)+1),"")</f>
      </c>
      <c r="AS119" s="202">
        <f>IF($C119,IF($AO119="Semanal",'Sprints'!$E$5,IF($AO119="Quincenal",'Sprints'!$E$6,'Sprints'!$E$7)),"")</f>
      </c>
      <c r="AT119" s="203">
        <f>IF($C119,'Backlog General'!$G119,"")</f>
      </c>
      <c r="AU119" s="203">
        <f>IF($C119,'Backlog General'!$H119,"")</f>
      </c>
      <c r="AV119" s="202">
        <f>IF(AND($C119,ISNUMBER($AR119)),IF(OR($AT119="Completo",$AU119="Cancelado",$AU119="Baja prioridad"),$AR119,IF($AU119="Pasa al siguiente",MAX($AR119+1,$AS119),MAX($AR119,$AS119))),"")</f>
      </c>
      <c r="AW119" s="202">
        <f>IF(AND($C119,ISNUMBER($AR119)),$AQ119+$AR119*$AP119-1,"")</f>
      </c>
      <c r="AX119" s="202">
        <f>IF($C119,IF(OR($AT119="Completo",$AU119="Cancelado",$AU119="Baja prioridad",NOT(ISNUMBER($AW119))),0,MAX(0,TODAY()-$AW119)),"")</f>
      </c>
      <c r="AY119" s="203">
        <f>IF($C119,IF(NOT(ISNUMBER($AR119)),"Sin fecha",IF($AT119="Completo","Completo",IF($AU119="Cancelado","Cancelado",IF($AU119="Baja prioridad","Baja prioridad",IF($AX119&gt;0,"Vencida","Pendiente"))))),"")</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row>
    <row r="120">
      <c r="A120" s="202">
        <f>ROW()</f>
      </c>
      <c r="B120" s="202">
        <f>ISTEXT('Proyecto Datos (OKR´s)'!$K120)</f>
      </c>
      <c r="C120" s="202">
        <f>AND(LEN('Proyecto Datos (OKR´s)'!$G120)&gt;0,NOT($B120),OR(ISNUMBER('Proyecto Datos (OKR´s)'!$F120),ISNUMBER('Proyecto Datos (OKR´s)'!$L120)))</f>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IF($C120,'Proyecto Datos (OKR´s)'!$J120,"")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f>IF($C120,$AV120&lt;&gt;$AR120,FALSE)</f>
      </c>
      <c r="AG120" s="202">
        <f>IF($C120,IF($AV120&lt;&gt;$AR120,$AW120,""),"")</f>
      </c>
      <c r="AH120" s="203">
        <f>IF($C120,'Backlog General'!$L120,"")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IF($C120,IFERROR(VLOOKUP($D120,'Sprints'!$G$5:$H$12,2,FALSE),"Semanal"),"")</f>
      </c>
      <c r="AP120" s="202">
        <f>IF($C120,IF($AO120="Semanal",'Sprints'!$D$5,IF($AO120="Quincenal",'Sprints'!$D$6,'Sprints'!$D$7)),"")</f>
      </c>
      <c r="AQ120" s="202">
        <f>IF($C120,IF($AO120="Semanal",'Sprints'!$C$5,IF($AO120="Quincenal",'Sprints'!$C$6,'Sprints'!$C$7)),"")</f>
      </c>
      <c r="AR120" s="202">
        <f>IF(AND($C120,ISNUMBER($H120)),MAX(1,INT(($H120-$AQ120)/$AP120)+1),"")</f>
      </c>
      <c r="AS120" s="202">
        <f>IF($C120,IF($AO120="Semanal",'Sprints'!$E$5,IF($AO120="Quincenal",'Sprints'!$E$6,'Sprints'!$E$7)),"")</f>
      </c>
      <c r="AT120" s="203">
        <f>IF($C120,'Backlog General'!$G120,"")</f>
      </c>
      <c r="AU120" s="203">
        <f>IF($C120,'Backlog General'!$H120,"")</f>
      </c>
      <c r="AV120" s="202">
        <f>IF(AND($C120,ISNUMBER($AR120)),IF(OR($AT120="Completo",$AU120="Cancelado",$AU120="Baja prioridad"),$AR120,IF($AU120="Pasa al siguiente",MAX($AR120+1,$AS120),MAX($AR120,$AS120))),"")</f>
      </c>
      <c r="AW120" s="202">
        <f>IF(AND($C120,ISNUMBER($AR120)),$AQ120+$AR120*$AP120-1,"")</f>
      </c>
      <c r="AX120" s="202">
        <f>IF($C120,IF(OR($AT120="Completo",$AU120="Cancelado",$AU120="Baja prioridad",NOT(ISNUMBER($AW120))),0,MAX(0,TODAY()-$AW120)),"")</f>
      </c>
      <c r="AY120" s="203">
        <f>IF($C120,IF(NOT(ISNUMBER($AR120)),"Sin fecha",IF($AT120="Completo","Completo",IF($AU120="Cancelado","Cancelado",IF($AU120="Baja prioridad","Baja prioridad",IF($AX120&gt;0,"Vencida","Pendiente"))))),"")</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row>
    <row r="121">
      <c r="A121" s="202">
        <f>ROW()</f>
      </c>
      <c r="B121" s="202">
        <f>ISTEXT('Proyecto Datos (OKR´s)'!$K121)</f>
      </c>
      <c r="C121" s="202">
        <f>AND(LEN('Proyecto Datos (OKR´s)'!$G121)&gt;0,NOT($B121),OR(ISNUMBER('Proyecto Datos (OKR´s)'!$F121),ISNUMBER('Proyecto Datos (OKR´s)'!$L121)))</f>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IF($C121,'Proyecto Datos (OKR´s)'!$J121,"")</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f>IF($C121,$AV121&lt;&gt;$AR121,FALSE)</f>
      </c>
      <c r="AG121" s="202">
        <f>IF($C121,IF($AV121&lt;&gt;$AR121,$AW121,""),"")</f>
      </c>
      <c r="AH121" s="203">
        <f>IF($C121,'Backlog General'!$L121,"")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IF($C121,IFERROR(VLOOKUP($D121,'Sprints'!$G$5:$H$12,2,FALSE),"Semanal"),"")</f>
      </c>
      <c r="AP121" s="202">
        <f>IF($C121,IF($AO121="Semanal",'Sprints'!$D$5,IF($AO121="Quincenal",'Sprints'!$D$6,'Sprints'!$D$7)),"")</f>
      </c>
      <c r="AQ121" s="202">
        <f>IF($C121,IF($AO121="Semanal",'Sprints'!$C$5,IF($AO121="Quincenal",'Sprints'!$C$6,'Sprints'!$C$7)),"")</f>
      </c>
      <c r="AR121" s="202">
        <f>IF(AND($C121,ISNUMBER($H121)),MAX(1,INT(($H121-$AQ121)/$AP121)+1),"")</f>
      </c>
      <c r="AS121" s="202">
        <f>IF($C121,IF($AO121="Semanal",'Sprints'!$E$5,IF($AO121="Quincenal",'Sprints'!$E$6,'Sprints'!$E$7)),"")</f>
      </c>
      <c r="AT121" s="203">
        <f>IF($C121,'Backlog General'!$G121,"")</f>
      </c>
      <c r="AU121" s="203">
        <f>IF($C121,'Backlog General'!$H121,"")</f>
      </c>
      <c r="AV121" s="202">
        <f>IF(AND($C121,ISNUMBER($AR121)),IF(OR($AT121="Completo",$AU121="Cancelado",$AU121="Baja prioridad"),$AR121,IF($AU121="Pasa al siguiente",MAX($AR121+1,$AS121),MAX($AR121,$AS121))),"")</f>
      </c>
      <c r="AW121" s="202">
        <f>IF(AND($C121,ISNUMBER($AR121)),$AQ121+$AR121*$AP121-1,"")</f>
      </c>
      <c r="AX121" s="202">
        <f>IF($C121,IF(OR($AT121="Completo",$AU121="Cancelado",$AU121="Baja prioridad",NOT(ISNUMBER($AW121))),0,MAX(0,TODAY()-$AW121)),"")</f>
      </c>
      <c r="AY121" s="203">
        <f>IF($C121,IF(NOT(ISNUMBER($AR121)),"Sin fecha",IF($AT121="Completo","Completo",IF($AU121="Cancelado","Cancelado",IF($AU121="Baja prioridad","Baja prioridad",IF($AX121&gt;0,"Vencida","Pendiente"))))),"")</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row>
    <row r="122">
      <c r="A122" s="202">
        <f>ROW()</f>
      </c>
      <c r="B122" s="202">
        <f>ISTEXT('Proyecto Datos (OKR´s)'!$K122)</f>
      </c>
      <c r="C122" s="202">
        <f>AND(LEN('Proyecto Datos (OKR´s)'!$G122)&gt;0,NOT($B122),OR(ISNUMBER('Proyecto Datos (OKR´s)'!$F122),ISNUMBER('Proyecto Datos (OKR´s)'!$L122)))</f>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IF($C122,'Proyecto Datos (OKR´s)'!$J122,"")</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f>IF($C122,$AV122&lt;&gt;$AR122,FALSE)</f>
      </c>
      <c r="AG122" s="202">
        <f>IF($C122,IF($AV122&lt;&gt;$AR122,$AW122,""),"")</f>
      </c>
      <c r="AH122" s="203">
        <f>IF($C122,'Backlog General'!$L122,"")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IF($C122,IFERROR(VLOOKUP($D122,'Sprints'!$G$5:$H$12,2,FALSE),"Semanal"),"")</f>
      </c>
      <c r="AP122" s="202">
        <f>IF($C122,IF($AO122="Semanal",'Sprints'!$D$5,IF($AO122="Quincenal",'Sprints'!$D$6,'Sprints'!$D$7)),"")</f>
      </c>
      <c r="AQ122" s="202">
        <f>IF($C122,IF($AO122="Semanal",'Sprints'!$C$5,IF($AO122="Quincenal",'Sprints'!$C$6,'Sprints'!$C$7)),"")</f>
      </c>
      <c r="AR122" s="202">
        <f>IF(AND($C122,ISNUMBER($H122)),MAX(1,INT(($H122-$AQ122)/$AP122)+1),"")</f>
      </c>
      <c r="AS122" s="202">
        <f>IF($C122,IF($AO122="Semanal",'Sprints'!$E$5,IF($AO122="Quincenal",'Sprints'!$E$6,'Sprints'!$E$7)),"")</f>
      </c>
      <c r="AT122" s="203">
        <f>IF($C122,'Backlog General'!$G122,"")</f>
      </c>
      <c r="AU122" s="203">
        <f>IF($C122,'Backlog General'!$H122,"")</f>
      </c>
      <c r="AV122" s="202">
        <f>IF(AND($C122,ISNUMBER($AR122)),IF(OR($AT122="Completo",$AU122="Cancelado",$AU122="Baja prioridad"),$AR122,IF($AU122="Pasa al siguiente",MAX($AR122+1,$AS122),MAX($AR122,$AS122))),"")</f>
      </c>
      <c r="AW122" s="202">
        <f>IF(AND($C122,ISNUMBER($AR122)),$AQ122+$AR122*$AP122-1,"")</f>
      </c>
      <c r="AX122" s="202">
        <f>IF($C122,IF(OR($AT122="Completo",$AU122="Cancelado",$AU122="Baja prioridad",NOT(ISNUMBER($AW122))),0,MAX(0,TODAY()-$AW122)),"")</f>
      </c>
      <c r="AY122" s="203">
        <f>IF($C122,IF(NOT(ISNUMBER($AR122)),"Sin fecha",IF($AT122="Completo","Completo",IF($AU122="Cancelado","Cancelado",IF($AU122="Baja prioridad","Baja prioridad",IF($AX122&gt;0,"Vencida","Pendiente"))))),"")</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row>
    <row r="123">
      <c r="A123" s="202">
        <f>ROW()</f>
      </c>
      <c r="B123" s="202">
        <f>ISTEXT('Proyecto Datos (OKR´s)'!$K123)</f>
      </c>
      <c r="C123" s="202">
        <f>AND(LEN('Proyecto Datos (OKR´s)'!$G123)&gt;0,NOT($B123),OR(ISNUMBER('Proyecto Datos (OKR´s)'!$F123),ISNUMBER('Proyecto Datos (OKR´s)'!$L123)))</f>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IF($C123,'Proyecto Datos (OKR´s)'!$J123,"")</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f>IF($C123,$AV123&lt;&gt;$AR123,FALSE)</f>
      </c>
      <c r="AG123" s="202">
        <f>IF($C123,IF($AV123&lt;&gt;$AR123,$AW123,""),"")</f>
      </c>
      <c r="AH123" s="203">
        <f>IF($C123,'Backlog General'!$L123,"")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IF($C123,IFERROR(VLOOKUP($D123,'Sprints'!$G$5:$H$12,2,FALSE),"Semanal"),"")</f>
      </c>
      <c r="AP123" s="202">
        <f>IF($C123,IF($AO123="Semanal",'Sprints'!$D$5,IF($AO123="Quincenal",'Sprints'!$D$6,'Sprints'!$D$7)),"")</f>
      </c>
      <c r="AQ123" s="202">
        <f>IF($C123,IF($AO123="Semanal",'Sprints'!$C$5,IF($AO123="Quincenal",'Sprints'!$C$6,'Sprints'!$C$7)),"")</f>
      </c>
      <c r="AR123" s="202">
        <f>IF(AND($C123,ISNUMBER($H123)),MAX(1,INT(($H123-$AQ123)/$AP123)+1),"")</f>
      </c>
      <c r="AS123" s="202">
        <f>IF($C123,IF($AO123="Semanal",'Sprints'!$E$5,IF($AO123="Quincenal",'Sprints'!$E$6,'Sprints'!$E$7)),"")</f>
      </c>
      <c r="AT123" s="203">
        <f>IF($C123,'Backlog General'!$G123,"")</f>
      </c>
      <c r="AU123" s="203">
        <f>IF($C123,'Backlog General'!$H123,"")</f>
      </c>
      <c r="AV123" s="202">
        <f>IF(AND($C123,ISNUMBER($AR123)),IF(OR($AT123="Completo",$AU123="Cancelado",$AU123="Baja prioridad"),$AR123,IF($AU123="Pasa al siguiente",MAX($AR123+1,$AS123),MAX($AR123,$AS123))),"")</f>
      </c>
      <c r="AW123" s="202">
        <f>IF(AND($C123,ISNUMBER($AR123)),$AQ123+$AR123*$AP123-1,"")</f>
      </c>
      <c r="AX123" s="202">
        <f>IF($C123,IF(OR($AT123="Completo",$AU123="Cancelado",$AU123="Baja prioridad",NOT(ISNUMBER($AW123))),0,MAX(0,TODAY()-$AW123)),"")</f>
      </c>
      <c r="AY123" s="203">
        <f>IF($C123,IF(NOT(ISNUMBER($AR123)),"Sin fecha",IF($AT123="Completo","Completo",IF($AU123="Cancelado","Cancelado",IF($AU123="Baja prioridad","Baja prioridad",IF($AX123&gt;0,"Vencida","Pendiente"))))),"")</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row>
    <row r="124">
      <c r="A124" s="202">
        <f>ROW()</f>
      </c>
      <c r="B124" s="202">
        <f>ISTEXT('Proyecto Datos (OKR´s)'!$K124)</f>
      </c>
      <c r="C124" s="202">
        <f>AND(LEN('Proyecto Datos (OKR´s)'!$G124)&gt;0,NOT($B124),OR(ISNUMBER('Proyecto Datos (OKR´s)'!$F124),ISNUMBER('Proyecto Datos (OKR´s)'!$L124)))</f>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IF($C124,'Proyecto Datos (OKR´s)'!$J124,"")</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f>IF($C124,$AV124&lt;&gt;$AR124,FALSE)</f>
      </c>
      <c r="AG124" s="202">
        <f>IF($C124,IF($AV124&lt;&gt;$AR124,$AW124,""),"")</f>
      </c>
      <c r="AH124" s="203">
        <f>IF($C124,'Backlog General'!$L124,"")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IF($C124,IFERROR(VLOOKUP($D124,'Sprints'!$G$5:$H$12,2,FALSE),"Semanal"),"")</f>
      </c>
      <c r="AP124" s="202">
        <f>IF($C124,IF($AO124="Semanal",'Sprints'!$D$5,IF($AO124="Quincenal",'Sprints'!$D$6,'Sprints'!$D$7)),"")</f>
      </c>
      <c r="AQ124" s="202">
        <f>IF($C124,IF($AO124="Semanal",'Sprints'!$C$5,IF($AO124="Quincenal",'Sprints'!$C$6,'Sprints'!$C$7)),"")</f>
      </c>
      <c r="AR124" s="202">
        <f>IF(AND($C124,ISNUMBER($H124)),MAX(1,INT(($H124-$AQ124)/$AP124)+1),"")</f>
      </c>
      <c r="AS124" s="202">
        <f>IF($C124,IF($AO124="Semanal",'Sprints'!$E$5,IF($AO124="Quincenal",'Sprints'!$E$6,'Sprints'!$E$7)),"")</f>
      </c>
      <c r="AT124" s="203">
        <f>IF($C124,'Backlog General'!$G124,"")</f>
      </c>
      <c r="AU124" s="203">
        <f>IF($C124,'Backlog General'!$H124,"")</f>
      </c>
      <c r="AV124" s="202">
        <f>IF(AND($C124,ISNUMBER($AR124)),IF(OR($AT124="Completo",$AU124="Cancelado",$AU124="Baja prioridad"),$AR124,IF($AU124="Pasa al siguiente",MAX($AR124+1,$AS124),MAX($AR124,$AS124))),"")</f>
      </c>
      <c r="AW124" s="202">
        <f>IF(AND($C124,ISNUMBER($AR124)),$AQ124+$AR124*$AP124-1,"")</f>
      </c>
      <c r="AX124" s="202">
        <f>IF($C124,IF(OR($AT124="Completo",$AU124="Cancelado",$AU124="Baja prioridad",NOT(ISNUMBER($AW124))),0,MAX(0,TODAY()-$AW124)),"")</f>
      </c>
      <c r="AY124" s="203">
        <f>IF($C124,IF(NOT(ISNUMBER($AR124)),"Sin fecha",IF($AT124="Completo","Completo",IF($AU124="Cancelado","Cancelado",IF($AU124="Baja prioridad","Baja prioridad",IF($AX124&gt;0,"Vencida","Pendiente"))))),"")</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row>
    <row r="125">
      <c r="A125" s="202">
        <f>ROW()</f>
      </c>
      <c r="B125" s="202">
        <f>ISTEXT('Proyecto Datos (OKR´s)'!$K125)</f>
      </c>
      <c r="C125" s="202">
        <f>AND(LEN('Proyecto Datos (OKR´s)'!$G125)&gt;0,NOT($B125),OR(ISNUMBER('Proyecto Datos (OKR´s)'!$F125),ISNUMBER('Proyecto Datos (OKR´s)'!$L125)))</f>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IF($C125,'Proyecto Datos (OKR´s)'!$J125,"")</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f>IF($C125,$AV125&lt;&gt;$AR125,FALSE)</f>
      </c>
      <c r="AG125" s="202">
        <f>IF($C125,IF($AV125&lt;&gt;$AR125,$AW125,""),"")</f>
      </c>
      <c r="AH125" s="203">
        <f>IF($C125,'Backlog General'!$L125,"")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IF($C125,IFERROR(VLOOKUP($D125,'Sprints'!$G$5:$H$12,2,FALSE),"Semanal"),"")</f>
      </c>
      <c r="AP125" s="202">
        <f>IF($C125,IF($AO125="Semanal",'Sprints'!$D$5,IF($AO125="Quincenal",'Sprints'!$D$6,'Sprints'!$D$7)),"")</f>
      </c>
      <c r="AQ125" s="202">
        <f>IF($C125,IF($AO125="Semanal",'Sprints'!$C$5,IF($AO125="Quincenal",'Sprints'!$C$6,'Sprints'!$C$7)),"")</f>
      </c>
      <c r="AR125" s="202">
        <f>IF(AND($C125,ISNUMBER($H125)),MAX(1,INT(($H125-$AQ125)/$AP125)+1),"")</f>
      </c>
      <c r="AS125" s="202">
        <f>IF($C125,IF($AO125="Semanal",'Sprints'!$E$5,IF($AO125="Quincenal",'Sprints'!$E$6,'Sprints'!$E$7)),"")</f>
      </c>
      <c r="AT125" s="203">
        <f>IF($C125,'Backlog General'!$G125,"")</f>
      </c>
      <c r="AU125" s="203">
        <f>IF($C125,'Backlog General'!$H125,"")</f>
      </c>
      <c r="AV125" s="202">
        <f>IF(AND($C125,ISNUMBER($AR125)),IF(OR($AT125="Completo",$AU125="Cancelado",$AU125="Baja prioridad"),$AR125,IF($AU125="Pasa al siguiente",MAX($AR125+1,$AS125),MAX($AR125,$AS125))),"")</f>
      </c>
      <c r="AW125" s="202">
        <f>IF(AND($C125,ISNUMBER($AR125)),$AQ125+$AR125*$AP125-1,"")</f>
      </c>
      <c r="AX125" s="202">
        <f>IF($C125,IF(OR($AT125="Completo",$AU125="Cancelado",$AU125="Baja prioridad",NOT(ISNUMBER($AW125))),0,MAX(0,TODAY()-$AW125)),"")</f>
      </c>
      <c r="AY125" s="203">
        <f>IF($C125,IF(NOT(ISNUMBER($AR125)),"Sin fecha",IF($AT125="Completo","Completo",IF($AU125="Cancelado","Cancelado",IF($AU125="Baja prioridad","Baja prioridad",IF($AX125&gt;0,"Vencida","Pendiente"))))),"")</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row>
    <row r="126">
      <c r="A126" s="202">
        <f>ROW()</f>
      </c>
      <c r="B126" s="202">
        <f>ISTEXT('Proyecto Datos (OKR´s)'!$K126)</f>
      </c>
      <c r="C126" s="202">
        <f>AND(LEN('Proyecto Datos (OKR´s)'!$G126)&gt;0,NOT($B126),OR(ISNUMBER('Proyecto Datos (OKR´s)'!$F126),ISNUMBER('Proyecto Datos (OKR´s)'!$L126)))</f>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IF($C126,'Proyecto Datos (OKR´s)'!$J126,"")</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f>IF($C126,$AV126&lt;&gt;$AR126,FALSE)</f>
      </c>
      <c r="AG126" s="202">
        <f>IF($C126,IF($AV126&lt;&gt;$AR126,$AW126,""),"")</f>
      </c>
      <c r="AH126" s="203">
        <f>IF($C126,'Backlog General'!$L126,"")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IF($C126,IFERROR(VLOOKUP($D126,'Sprints'!$G$5:$H$12,2,FALSE),"Semanal"),"")</f>
      </c>
      <c r="AP126" s="202">
        <f>IF($C126,IF($AO126="Semanal",'Sprints'!$D$5,IF($AO126="Quincenal",'Sprints'!$D$6,'Sprints'!$D$7)),"")</f>
      </c>
      <c r="AQ126" s="202">
        <f>IF($C126,IF($AO126="Semanal",'Sprints'!$C$5,IF($AO126="Quincenal",'Sprints'!$C$6,'Sprints'!$C$7)),"")</f>
      </c>
      <c r="AR126" s="202">
        <f>IF(AND($C126,ISNUMBER($H126)),MAX(1,INT(($H126-$AQ126)/$AP126)+1),"")</f>
      </c>
      <c r="AS126" s="202">
        <f>IF($C126,IF($AO126="Semanal",'Sprints'!$E$5,IF($AO126="Quincenal",'Sprints'!$E$6,'Sprints'!$E$7)),"")</f>
      </c>
      <c r="AT126" s="203">
        <f>IF($C126,'Backlog General'!$G126,"")</f>
      </c>
      <c r="AU126" s="203">
        <f>IF($C126,'Backlog General'!$H126,"")</f>
      </c>
      <c r="AV126" s="202">
        <f>IF(AND($C126,ISNUMBER($AR126)),IF(OR($AT126="Completo",$AU126="Cancelado",$AU126="Baja prioridad"),$AR126,IF($AU126="Pasa al siguiente",MAX($AR126+1,$AS126),MAX($AR126,$AS126))),"")</f>
      </c>
      <c r="AW126" s="202">
        <f>IF(AND($C126,ISNUMBER($AR126)),$AQ126+$AR126*$AP126-1,"")</f>
      </c>
      <c r="AX126" s="202">
        <f>IF($C126,IF(OR($AT126="Completo",$AU126="Cancelado",$AU126="Baja prioridad",NOT(ISNUMBER($AW126))),0,MAX(0,TODAY()-$AW126)),"")</f>
      </c>
      <c r="AY126" s="203">
        <f>IF($C126,IF(NOT(ISNUMBER($AR126)),"Sin fecha",IF($AT126="Completo","Completo",IF($AU126="Cancelado","Cancelado",IF($AU126="Baja prioridad","Baja prioridad",IF($AX126&gt;0,"Vencida","Pendiente"))))),"")</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row>
    <row r="127">
      <c r="A127" s="202">
        <f>ROW()</f>
      </c>
      <c r="B127" s="202">
        <f>ISTEXT('Proyecto Datos (OKR´s)'!$K127)</f>
      </c>
      <c r="C127" s="202">
        <f>AND(LEN('Proyecto Datos (OKR´s)'!$G127)&gt;0,NOT($B127),OR(ISNUMBER('Proyecto Datos (OKR´s)'!$F127),ISNUMBER('Proyecto Datos (OKR´s)'!$L127)))</f>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IF($C127,'Proyecto Datos (OKR´s)'!$J127,"")</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f>IF($C127,$AV127&lt;&gt;$AR127,FALSE)</f>
      </c>
      <c r="AG127" s="202">
        <f>IF($C127,IF($AV127&lt;&gt;$AR127,$AW127,""),"")</f>
      </c>
      <c r="AH127" s="203">
        <f>IF($C127,'Backlog General'!$L127,"")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IF($C127,IFERROR(VLOOKUP($D127,'Sprints'!$G$5:$H$12,2,FALSE),"Semanal"),"")</f>
      </c>
      <c r="AP127" s="202">
        <f>IF($C127,IF($AO127="Semanal",'Sprints'!$D$5,IF($AO127="Quincenal",'Sprints'!$D$6,'Sprints'!$D$7)),"")</f>
      </c>
      <c r="AQ127" s="202">
        <f>IF($C127,IF($AO127="Semanal",'Sprints'!$C$5,IF($AO127="Quincenal",'Sprints'!$C$6,'Sprints'!$C$7)),"")</f>
      </c>
      <c r="AR127" s="202">
        <f>IF(AND($C127,ISNUMBER($H127)),MAX(1,INT(($H127-$AQ127)/$AP127)+1),"")</f>
      </c>
      <c r="AS127" s="202">
        <f>IF($C127,IF($AO127="Semanal",'Sprints'!$E$5,IF($AO127="Quincenal",'Sprints'!$E$6,'Sprints'!$E$7)),"")</f>
      </c>
      <c r="AT127" s="203">
        <f>IF($C127,'Backlog General'!$G127,"")</f>
      </c>
      <c r="AU127" s="203">
        <f>IF($C127,'Backlog General'!$H127,"")</f>
      </c>
      <c r="AV127" s="202">
        <f>IF(AND($C127,ISNUMBER($AR127)),IF(OR($AT127="Completo",$AU127="Cancelado",$AU127="Baja prioridad"),$AR127,IF($AU127="Pasa al siguiente",MAX($AR127+1,$AS127),MAX($AR127,$AS127))),"")</f>
      </c>
      <c r="AW127" s="202">
        <f>IF(AND($C127,ISNUMBER($AR127)),$AQ127+$AR127*$AP127-1,"")</f>
      </c>
      <c r="AX127" s="202">
        <f>IF($C127,IF(OR($AT127="Completo",$AU127="Cancelado",$AU127="Baja prioridad",NOT(ISNUMBER($AW127))),0,MAX(0,TODAY()-$AW127)),"")</f>
      </c>
      <c r="AY127" s="203">
        <f>IF($C127,IF(NOT(ISNUMBER($AR127)),"Sin fecha",IF($AT127="Completo","Completo",IF($AU127="Cancelado","Cancelado",IF($AU127="Baja prioridad","Baja prioridad",IF($AX127&gt;0,"Vencida","Pendiente"))))),"")</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row>
    <row r="128">
      <c r="A128" s="202">
        <f>ROW()</f>
      </c>
      <c r="B128" s="202">
        <f>ISTEXT('Proyecto Datos (OKR´s)'!$K128)</f>
      </c>
      <c r="C128" s="202">
        <f>AND(LEN('Proyecto Datos (OKR´s)'!$G128)&gt;0,NOT($B128),OR(ISNUMBER('Proyecto Datos (OKR´s)'!$F128),ISNUMBER('Proyecto Datos (OKR´s)'!$L128)))</f>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IF($C128,'Proyecto Datos (OKR´s)'!$J128,"")</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f>IF($C128,$AV128&lt;&gt;$AR128,FALSE)</f>
      </c>
      <c r="AG128" s="202">
        <f>IF($C128,IF($AV128&lt;&gt;$AR128,$AW128,""),"")</f>
      </c>
      <c r="AH128" s="203">
        <f>IF($C128,'Backlog General'!$L128,"")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IF($C128,IFERROR(VLOOKUP($D128,'Sprints'!$G$5:$H$12,2,FALSE),"Semanal"),"")</f>
      </c>
      <c r="AP128" s="202">
        <f>IF($C128,IF($AO128="Semanal",'Sprints'!$D$5,IF($AO128="Quincenal",'Sprints'!$D$6,'Sprints'!$D$7)),"")</f>
      </c>
      <c r="AQ128" s="202">
        <f>IF($C128,IF($AO128="Semanal",'Sprints'!$C$5,IF($AO128="Quincenal",'Sprints'!$C$6,'Sprints'!$C$7)),"")</f>
      </c>
      <c r="AR128" s="202">
        <f>IF(AND($C128,ISNUMBER($H128)),MAX(1,INT(($H128-$AQ128)/$AP128)+1),"")</f>
      </c>
      <c r="AS128" s="202">
        <f>IF($C128,IF($AO128="Semanal",'Sprints'!$E$5,IF($AO128="Quincenal",'Sprints'!$E$6,'Sprints'!$E$7)),"")</f>
      </c>
      <c r="AT128" s="203">
        <f>IF($C128,'Backlog General'!$G128,"")</f>
      </c>
      <c r="AU128" s="203">
        <f>IF($C128,'Backlog General'!$H128,"")</f>
      </c>
      <c r="AV128" s="202">
        <f>IF(AND($C128,ISNUMBER($AR128)),IF(OR($AT128="Completo",$AU128="Cancelado",$AU128="Baja prioridad"),$AR128,IF($AU128="Pasa al siguiente",MAX($AR128+1,$AS128),MAX($AR128,$AS128))),"")</f>
      </c>
      <c r="AW128" s="202">
        <f>IF(AND($C128,ISNUMBER($AR128)),$AQ128+$AR128*$AP128-1,"")</f>
      </c>
      <c r="AX128" s="202">
        <f>IF($C128,IF(OR($AT128="Completo",$AU128="Cancelado",$AU128="Baja prioridad",NOT(ISNUMBER($AW128))),0,MAX(0,TODAY()-$AW128)),"")</f>
      </c>
      <c r="AY128" s="203">
        <f>IF($C128,IF(NOT(ISNUMBER($AR128)),"Sin fecha",IF($AT128="Completo","Completo",IF($AU128="Cancelado","Cancelado",IF($AU128="Baja prioridad","Baja prioridad",IF($AX128&gt;0,"Vencida","Pendiente"))))),"")</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row>
    <row r="129">
      <c r="A129" s="202">
        <f>ROW()</f>
      </c>
      <c r="B129" s="202">
        <f>ISTEXT('Proyecto Datos (OKR´s)'!$K129)</f>
      </c>
      <c r="C129" s="202">
        <f>AND(LEN('Proyecto Datos (OKR´s)'!$G129)&gt;0,NOT($B129),OR(ISNUMBER('Proyecto Datos (OKR´s)'!$F129),ISNUMBER('Proyecto Datos (OKR´s)'!$L129)))</f>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IF($C129,'Proyecto Datos (OKR´s)'!$J129,"")</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f>IF($C129,$AV129&lt;&gt;$AR129,FALSE)</f>
      </c>
      <c r="AG129" s="202">
        <f>IF($C129,IF($AV129&lt;&gt;$AR129,$AW129,""),"")</f>
      </c>
      <c r="AH129" s="203">
        <f>IF($C129,'Backlog General'!$L129,"")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IF($C129,IFERROR(VLOOKUP($D129,'Sprints'!$G$5:$H$12,2,FALSE),"Semanal"),"")</f>
      </c>
      <c r="AP129" s="202">
        <f>IF($C129,IF($AO129="Semanal",'Sprints'!$D$5,IF($AO129="Quincenal",'Sprints'!$D$6,'Sprints'!$D$7)),"")</f>
      </c>
      <c r="AQ129" s="202">
        <f>IF($C129,IF($AO129="Semanal",'Sprints'!$C$5,IF($AO129="Quincenal",'Sprints'!$C$6,'Sprints'!$C$7)),"")</f>
      </c>
      <c r="AR129" s="202">
        <f>IF(AND($C129,ISNUMBER($H129)),MAX(1,INT(($H129-$AQ129)/$AP129)+1),"")</f>
      </c>
      <c r="AS129" s="202">
        <f>IF($C129,IF($AO129="Semanal",'Sprints'!$E$5,IF($AO129="Quincenal",'Sprints'!$E$6,'Sprints'!$E$7)),"")</f>
      </c>
      <c r="AT129" s="203">
        <f>IF($C129,'Backlog General'!$G129,"")</f>
      </c>
      <c r="AU129" s="203">
        <f>IF($C129,'Backlog General'!$H129,"")</f>
      </c>
      <c r="AV129" s="202">
        <f>IF(AND($C129,ISNUMBER($AR129)),IF(OR($AT129="Completo",$AU129="Cancelado",$AU129="Baja prioridad"),$AR129,IF($AU129="Pasa al siguiente",MAX($AR129+1,$AS129),MAX($AR129,$AS129))),"")</f>
      </c>
      <c r="AW129" s="202">
        <f>IF(AND($C129,ISNUMBER($AR129)),$AQ129+$AR129*$AP129-1,"")</f>
      </c>
      <c r="AX129" s="202">
        <f>IF($C129,IF(OR($AT129="Completo",$AU129="Cancelado",$AU129="Baja prioridad",NOT(ISNUMBER($AW129))),0,MAX(0,TODAY()-$AW129)),"")</f>
      </c>
      <c r="AY129" s="203">
        <f>IF($C129,IF(NOT(ISNUMBER($AR129)),"Sin fecha",IF($AT129="Completo","Completo",IF($AU129="Cancelado","Cancelado",IF($AU129="Baja prioridad","Baja prioridad",IF($AX129&gt;0,"Vencida","Pendiente"))))),"")</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row>
    <row r="130">
      <c r="A130" s="202">
        <f>ROW()</f>
      </c>
      <c r="B130" s="202">
        <f>ISTEXT('Proyecto Datos (OKR´s)'!$K130)</f>
      </c>
      <c r="C130" s="202">
        <f>AND(LEN('Proyecto Datos (OKR´s)'!$G130)&gt;0,NOT($B130),OR(ISNUMBER('Proyecto Datos (OKR´s)'!$F130),ISNUMBER('Proyecto Datos (OKR´s)'!$L130)))</f>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IF($C130,'Proyecto Datos (OKR´s)'!$J130,"")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f>IF($C130,$AV130&lt;&gt;$AR130,FALSE)</f>
      </c>
      <c r="AG130" s="202">
        <f>IF($C130,IF($AV130&lt;&gt;$AR130,$AW130,""),"")</f>
      </c>
      <c r="AH130" s="203">
        <f>IF($C130,'Backlog General'!$L130,"")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IF($C130,IFERROR(VLOOKUP($D130,'Sprints'!$G$5:$H$12,2,FALSE),"Semanal"),"")</f>
      </c>
      <c r="AP130" s="202">
        <f>IF($C130,IF($AO130="Semanal",'Sprints'!$D$5,IF($AO130="Quincenal",'Sprints'!$D$6,'Sprints'!$D$7)),"")</f>
      </c>
      <c r="AQ130" s="202">
        <f>IF($C130,IF($AO130="Semanal",'Sprints'!$C$5,IF($AO130="Quincenal",'Sprints'!$C$6,'Sprints'!$C$7)),"")</f>
      </c>
      <c r="AR130" s="202">
        <f>IF(AND($C130,ISNUMBER($H130)),MAX(1,INT(($H130-$AQ130)/$AP130)+1),"")</f>
      </c>
      <c r="AS130" s="202">
        <f>IF($C130,IF($AO130="Semanal",'Sprints'!$E$5,IF($AO130="Quincenal",'Sprints'!$E$6,'Sprints'!$E$7)),"")</f>
      </c>
      <c r="AT130" s="203">
        <f>IF($C130,'Backlog General'!$G130,"")</f>
      </c>
      <c r="AU130" s="203">
        <f>IF($C130,'Backlog General'!$H130,"")</f>
      </c>
      <c r="AV130" s="202">
        <f>IF(AND($C130,ISNUMBER($AR130)),IF(OR($AT130="Completo",$AU130="Cancelado",$AU130="Baja prioridad"),$AR130,IF($AU130="Pasa al siguiente",MAX($AR130+1,$AS130),MAX($AR130,$AS130))),"")</f>
      </c>
      <c r="AW130" s="202">
        <f>IF(AND($C130,ISNUMBER($AR130)),$AQ130+$AR130*$AP130-1,"")</f>
      </c>
      <c r="AX130" s="202">
        <f>IF($C130,IF(OR($AT130="Completo",$AU130="Cancelado",$AU130="Baja prioridad",NOT(ISNUMBER($AW130))),0,MAX(0,TODAY()-$AW130)),"")</f>
      </c>
      <c r="AY130" s="203">
        <f>IF($C130,IF(NOT(ISNUMBER($AR130)),"Sin fecha",IF($AT130="Completo","Completo",IF($AU130="Cancelado","Cancelado",IF($AU130="Baja prioridad","Baja prioridad",IF($AX130&gt;0,"Vencida","Pendiente"))))),"")</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row>
    <row r="131">
      <c r="A131" s="202">
        <f>ROW()</f>
      </c>
      <c r="B131" s="202">
        <f>ISTEXT('Proyecto Datos (OKR´s)'!$K131)</f>
      </c>
      <c r="C131" s="202">
        <f>AND(LEN('Proyecto Datos (OKR´s)'!$G131)&gt;0,NOT($B131),OR(ISNUMBER('Proyecto Datos (OKR´s)'!$F131),ISNUMBER('Proyecto Datos (OKR´s)'!$L131)))</f>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IF($C131,'Proyecto Datos (OKR´s)'!$J131,"")</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f>IF($C131,$AV131&lt;&gt;$AR131,FALSE)</f>
      </c>
      <c r="AG131" s="202">
        <f>IF($C131,IF($AV131&lt;&gt;$AR131,$AW131,""),"")</f>
      </c>
      <c r="AH131" s="203">
        <f>IF($C131,'Backlog General'!$L131,"")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IF($C131,IFERROR(VLOOKUP($D131,'Sprints'!$G$5:$H$12,2,FALSE),"Semanal"),"")</f>
      </c>
      <c r="AP131" s="202">
        <f>IF($C131,IF($AO131="Semanal",'Sprints'!$D$5,IF($AO131="Quincenal",'Sprints'!$D$6,'Sprints'!$D$7)),"")</f>
      </c>
      <c r="AQ131" s="202">
        <f>IF($C131,IF($AO131="Semanal",'Sprints'!$C$5,IF($AO131="Quincenal",'Sprints'!$C$6,'Sprints'!$C$7)),"")</f>
      </c>
      <c r="AR131" s="202">
        <f>IF(AND($C131,ISNUMBER($H131)),MAX(1,INT(($H131-$AQ131)/$AP131)+1),"")</f>
      </c>
      <c r="AS131" s="202">
        <f>IF($C131,IF($AO131="Semanal",'Sprints'!$E$5,IF($AO131="Quincenal",'Sprints'!$E$6,'Sprints'!$E$7)),"")</f>
      </c>
      <c r="AT131" s="203">
        <f>IF($C131,'Backlog General'!$G131,"")</f>
      </c>
      <c r="AU131" s="203">
        <f>IF($C131,'Backlog General'!$H131,"")</f>
      </c>
      <c r="AV131" s="202">
        <f>IF(AND($C131,ISNUMBER($AR131)),IF(OR($AT131="Completo",$AU131="Cancelado",$AU131="Baja prioridad"),$AR131,IF($AU131="Pasa al siguiente",MAX($AR131+1,$AS131),MAX($AR131,$AS131))),"")</f>
      </c>
      <c r="AW131" s="202">
        <f>IF(AND($C131,ISNUMBER($AR131)),$AQ131+$AR131*$AP131-1,"")</f>
      </c>
      <c r="AX131" s="202">
        <f>IF($C131,IF(OR($AT131="Completo",$AU131="Cancelado",$AU131="Baja prioridad",NOT(ISNUMBER($AW131))),0,MAX(0,TODAY()-$AW131)),"")</f>
      </c>
      <c r="AY131" s="203">
        <f>IF($C131,IF(NOT(ISNUMBER($AR131)),"Sin fecha",IF($AT131="Completo","Completo",IF($AU131="Cancelado","Cancelado",IF($AU131="Baja prioridad","Baja prioridad",IF($AX131&gt;0,"Vencida","Pendiente"))))),"")</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row>
    <row r="132">
      <c r="A132" s="202">
        <f>ROW()</f>
      </c>
      <c r="B132" s="202">
        <f>ISTEXT('Proyecto Datos (OKR´s)'!$K132)</f>
      </c>
      <c r="C132" s="202">
        <f>AND(LEN('Proyecto Datos (OKR´s)'!$G132)&gt;0,NOT($B132),OR(ISNUMBER('Proyecto Datos (OKR´s)'!$F132),ISNUMBER('Proyecto Datos (OKR´s)'!$L132)))</f>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IF($C132,'Proyecto Datos (OKR´s)'!$J132,"")</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f>IF($C132,$AV132&lt;&gt;$AR132,FALSE)</f>
      </c>
      <c r="AG132" s="202">
        <f>IF($C132,IF($AV132&lt;&gt;$AR132,$AW132,""),"")</f>
      </c>
      <c r="AH132" s="203">
        <f>IF($C132,'Backlog General'!$L132,"")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IF($C132,IFERROR(VLOOKUP($D132,'Sprints'!$G$5:$H$12,2,FALSE),"Semanal"),"")</f>
      </c>
      <c r="AP132" s="202">
        <f>IF($C132,IF($AO132="Semanal",'Sprints'!$D$5,IF($AO132="Quincenal",'Sprints'!$D$6,'Sprints'!$D$7)),"")</f>
      </c>
      <c r="AQ132" s="202">
        <f>IF($C132,IF($AO132="Semanal",'Sprints'!$C$5,IF($AO132="Quincenal",'Sprints'!$C$6,'Sprints'!$C$7)),"")</f>
      </c>
      <c r="AR132" s="202">
        <f>IF(AND($C132,ISNUMBER($H132)),MAX(1,INT(($H132-$AQ132)/$AP132)+1),"")</f>
      </c>
      <c r="AS132" s="202">
        <f>IF($C132,IF($AO132="Semanal",'Sprints'!$E$5,IF($AO132="Quincenal",'Sprints'!$E$6,'Sprints'!$E$7)),"")</f>
      </c>
      <c r="AT132" s="203">
        <f>IF($C132,'Backlog General'!$G132,"")</f>
      </c>
      <c r="AU132" s="203">
        <f>IF($C132,'Backlog General'!$H132,"")</f>
      </c>
      <c r="AV132" s="202">
        <f>IF(AND($C132,ISNUMBER($AR132)),IF(OR($AT132="Completo",$AU132="Cancelado",$AU132="Baja prioridad"),$AR132,IF($AU132="Pasa al siguiente",MAX($AR132+1,$AS132),MAX($AR132,$AS132))),"")</f>
      </c>
      <c r="AW132" s="202">
        <f>IF(AND($C132,ISNUMBER($AR132)),$AQ132+$AR132*$AP132-1,"")</f>
      </c>
      <c r="AX132" s="202">
        <f>IF($C132,IF(OR($AT132="Completo",$AU132="Cancelado",$AU132="Baja prioridad",NOT(ISNUMBER($AW132))),0,MAX(0,TODAY()-$AW132)),"")</f>
      </c>
      <c r="AY132" s="203">
        <f>IF($C132,IF(NOT(ISNUMBER($AR132)),"Sin fecha",IF($AT132="Completo","Completo",IF($AU132="Cancelado","Cancelado",IF($AU132="Baja prioridad","Baja prioridad",IF($AX132&gt;0,"Vencida","Pendiente"))))),"")</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row>
    <row r="133">
      <c r="A133" s="202">
        <f>ROW()</f>
      </c>
      <c r="B133" s="202">
        <f>ISTEXT('Proyecto Datos (OKR´s)'!$K133)</f>
      </c>
      <c r="C133" s="202">
        <f>AND(LEN('Proyecto Datos (OKR´s)'!$G133)&gt;0,NOT($B133),OR(ISNUMBER('Proyecto Datos (OKR´s)'!$F133),ISNUMBER('Proyecto Datos (OKR´s)'!$L133)))</f>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IF($C133,'Proyecto Datos (OKR´s)'!$J133,"")</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f>IF($C133,$AV133&lt;&gt;$AR133,FALSE)</f>
      </c>
      <c r="AG133" s="202">
        <f>IF($C133,IF($AV133&lt;&gt;$AR133,$AW133,""),"")</f>
      </c>
      <c r="AH133" s="203">
        <f>IF($C133,'Backlog General'!$L133,"")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IF($C133,IFERROR(VLOOKUP($D133,'Sprints'!$G$5:$H$12,2,FALSE),"Semanal"),"")</f>
      </c>
      <c r="AP133" s="202">
        <f>IF($C133,IF($AO133="Semanal",'Sprints'!$D$5,IF($AO133="Quincenal",'Sprints'!$D$6,'Sprints'!$D$7)),"")</f>
      </c>
      <c r="AQ133" s="202">
        <f>IF($C133,IF($AO133="Semanal",'Sprints'!$C$5,IF($AO133="Quincenal",'Sprints'!$C$6,'Sprints'!$C$7)),"")</f>
      </c>
      <c r="AR133" s="202">
        <f>IF(AND($C133,ISNUMBER($H133)),MAX(1,INT(($H133-$AQ133)/$AP133)+1),"")</f>
      </c>
      <c r="AS133" s="202">
        <f>IF($C133,IF($AO133="Semanal",'Sprints'!$E$5,IF($AO133="Quincenal",'Sprints'!$E$6,'Sprints'!$E$7)),"")</f>
      </c>
      <c r="AT133" s="203">
        <f>IF($C133,'Backlog General'!$G133,"")</f>
      </c>
      <c r="AU133" s="203">
        <f>IF($C133,'Backlog General'!$H133,"")</f>
      </c>
      <c r="AV133" s="202">
        <f>IF(AND($C133,ISNUMBER($AR133)),IF(OR($AT133="Completo",$AU133="Cancelado",$AU133="Baja prioridad"),$AR133,IF($AU133="Pasa al siguiente",MAX($AR133+1,$AS133),MAX($AR133,$AS133))),"")</f>
      </c>
      <c r="AW133" s="202">
        <f>IF(AND($C133,ISNUMBER($AR133)),$AQ133+$AR133*$AP133-1,"")</f>
      </c>
      <c r="AX133" s="202">
        <f>IF($C133,IF(OR($AT133="Completo",$AU133="Cancelado",$AU133="Baja prioridad",NOT(ISNUMBER($AW133))),0,MAX(0,TODAY()-$AW133)),"")</f>
      </c>
      <c r="AY133" s="203">
        <f>IF($C133,IF(NOT(ISNUMBER($AR133)),"Sin fecha",IF($AT133="Completo","Completo",IF($AU133="Cancelado","Cancelado",IF($AU133="Baja prioridad","Baja prioridad",IF($AX133&gt;0,"Vencida","Pendiente"))))),"")</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row>
    <row r="134">
      <c r="A134" s="202">
        <f>ROW()</f>
      </c>
      <c r="B134" s="202">
        <f>ISTEXT('Proyecto Datos (OKR´s)'!$K134)</f>
      </c>
      <c r="C134" s="202">
        <f>AND(LEN('Proyecto Datos (OKR´s)'!$G134)&gt;0,NOT($B134),OR(ISNUMBER('Proyecto Datos (OKR´s)'!$F134),ISNUMBER('Proyecto Datos (OKR´s)'!$L134)))</f>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IF($C134,'Proyecto Datos (OKR´s)'!$J134,"")</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f>IF($C134,$AV134&lt;&gt;$AR134,FALSE)</f>
      </c>
      <c r="AG134" s="202">
        <f>IF($C134,IF($AV134&lt;&gt;$AR134,$AW134,""),"")</f>
      </c>
      <c r="AH134" s="203">
        <f>IF($C134,'Backlog General'!$L134,"")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IF($C134,IFERROR(VLOOKUP($D134,'Sprints'!$G$5:$H$12,2,FALSE),"Semanal"),"")</f>
      </c>
      <c r="AP134" s="202">
        <f>IF($C134,IF($AO134="Semanal",'Sprints'!$D$5,IF($AO134="Quincenal",'Sprints'!$D$6,'Sprints'!$D$7)),"")</f>
      </c>
      <c r="AQ134" s="202">
        <f>IF($C134,IF($AO134="Semanal",'Sprints'!$C$5,IF($AO134="Quincenal",'Sprints'!$C$6,'Sprints'!$C$7)),"")</f>
      </c>
      <c r="AR134" s="202">
        <f>IF(AND($C134,ISNUMBER($H134)),MAX(1,INT(($H134-$AQ134)/$AP134)+1),"")</f>
      </c>
      <c r="AS134" s="202">
        <f>IF($C134,IF($AO134="Semanal",'Sprints'!$E$5,IF($AO134="Quincenal",'Sprints'!$E$6,'Sprints'!$E$7)),"")</f>
      </c>
      <c r="AT134" s="203">
        <f>IF($C134,'Backlog General'!$G134,"")</f>
      </c>
      <c r="AU134" s="203">
        <f>IF($C134,'Backlog General'!$H134,"")</f>
      </c>
      <c r="AV134" s="202">
        <f>IF(AND($C134,ISNUMBER($AR134)),IF(OR($AT134="Completo",$AU134="Cancelado",$AU134="Baja prioridad"),$AR134,IF($AU134="Pasa al siguiente",MAX($AR134+1,$AS134),MAX($AR134,$AS134))),"")</f>
      </c>
      <c r="AW134" s="202">
        <f>IF(AND($C134,ISNUMBER($AR134)),$AQ134+$AR134*$AP134-1,"")</f>
      </c>
      <c r="AX134" s="202">
        <f>IF($C134,IF(OR($AT134="Completo",$AU134="Cancelado",$AU134="Baja prioridad",NOT(ISNUMBER($AW134))),0,MAX(0,TODAY()-$AW134)),"")</f>
      </c>
      <c r="AY134" s="203">
        <f>IF($C134,IF(NOT(ISNUMBER($AR134)),"Sin fecha",IF($AT134="Completo","Completo",IF($AU134="Cancelado","Cancelado",IF($AU134="Baja prioridad","Baja prioridad",IF($AX134&gt;0,"Vencida","Pendiente"))))),"")</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row>
    <row r="135">
      <c r="A135" s="202">
        <f>ROW()</f>
      </c>
      <c r="B135" s="202">
        <f>ISTEXT('Proyecto Datos (OKR´s)'!$K135)</f>
      </c>
      <c r="C135" s="202">
        <f>AND(LEN('Proyecto Datos (OKR´s)'!$G135)&gt;0,NOT($B135),OR(ISNUMBER('Proyecto Datos (OKR´s)'!$F135),ISNUMBER('Proyecto Datos (OKR´s)'!$L135)))</f>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IF($C135,'Proyecto Datos (OKR´s)'!$J135,"")</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f>IF($C135,$AV135&lt;&gt;$AR135,FALSE)</f>
      </c>
      <c r="AG135" s="202">
        <f>IF($C135,IF($AV135&lt;&gt;$AR135,$AW135,""),"")</f>
      </c>
      <c r="AH135" s="203">
        <f>IF($C135,'Backlog General'!$L135,"")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IF($C135,IFERROR(VLOOKUP($D135,'Sprints'!$G$5:$H$12,2,FALSE),"Semanal"),"")</f>
      </c>
      <c r="AP135" s="202">
        <f>IF($C135,IF($AO135="Semanal",'Sprints'!$D$5,IF($AO135="Quincenal",'Sprints'!$D$6,'Sprints'!$D$7)),"")</f>
      </c>
      <c r="AQ135" s="202">
        <f>IF($C135,IF($AO135="Semanal",'Sprints'!$C$5,IF($AO135="Quincenal",'Sprints'!$C$6,'Sprints'!$C$7)),"")</f>
      </c>
      <c r="AR135" s="202">
        <f>IF(AND($C135,ISNUMBER($H135)),MAX(1,INT(($H135-$AQ135)/$AP135)+1),"")</f>
      </c>
      <c r="AS135" s="202">
        <f>IF($C135,IF($AO135="Semanal",'Sprints'!$E$5,IF($AO135="Quincenal",'Sprints'!$E$6,'Sprints'!$E$7)),"")</f>
      </c>
      <c r="AT135" s="203">
        <f>IF($C135,'Backlog General'!$G135,"")</f>
      </c>
      <c r="AU135" s="203">
        <f>IF($C135,'Backlog General'!$H135,"")</f>
      </c>
      <c r="AV135" s="202">
        <f>IF(AND($C135,ISNUMBER($AR135)),IF(OR($AT135="Completo",$AU135="Cancelado",$AU135="Baja prioridad"),$AR135,IF($AU135="Pasa al siguiente",MAX($AR135+1,$AS135),MAX($AR135,$AS135))),"")</f>
      </c>
      <c r="AW135" s="202">
        <f>IF(AND($C135,ISNUMBER($AR135)),$AQ135+$AR135*$AP135-1,"")</f>
      </c>
      <c r="AX135" s="202">
        <f>IF($C135,IF(OR($AT135="Completo",$AU135="Cancelado",$AU135="Baja prioridad",NOT(ISNUMBER($AW135))),0,MAX(0,TODAY()-$AW135)),"")</f>
      </c>
      <c r="AY135" s="203">
        <f>IF($C135,IF(NOT(ISNUMBER($AR135)),"Sin fecha",IF($AT135="Completo","Completo",IF($AU135="Cancelado","Cancelado",IF($AU135="Baja prioridad","Baja prioridad",IF($AX135&gt;0,"Vencida","Pendiente"))))),"")</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row>
    <row r="136">
      <c r="A136" s="202">
        <f>ROW()</f>
      </c>
      <c r="B136" s="202">
        <f>ISTEXT('Proyecto Datos (OKR´s)'!$K136)</f>
      </c>
      <c r="C136" s="202">
        <f>AND(LEN('Proyecto Datos (OKR´s)'!$G136)&gt;0,NOT($B136),OR(ISNUMBER('Proyecto Datos (OKR´s)'!$F136),ISNUMBER('Proyecto Datos (OKR´s)'!$L136)))</f>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IF($C136,'Proyecto Datos (OKR´s)'!$J136,"")</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f>IF($C136,$AV136&lt;&gt;$AR136,FALSE)</f>
      </c>
      <c r="AG136" s="202">
        <f>IF($C136,IF($AV136&lt;&gt;$AR136,$AW136,""),"")</f>
      </c>
      <c r="AH136" s="203">
        <f>IF($C136,'Backlog General'!$L136,"")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IF($C136,IFERROR(VLOOKUP($D136,'Sprints'!$G$5:$H$12,2,FALSE),"Semanal"),"")</f>
      </c>
      <c r="AP136" s="202">
        <f>IF($C136,IF($AO136="Semanal",'Sprints'!$D$5,IF($AO136="Quincenal",'Sprints'!$D$6,'Sprints'!$D$7)),"")</f>
      </c>
      <c r="AQ136" s="202">
        <f>IF($C136,IF($AO136="Semanal",'Sprints'!$C$5,IF($AO136="Quincenal",'Sprints'!$C$6,'Sprints'!$C$7)),"")</f>
      </c>
      <c r="AR136" s="202">
        <f>IF(AND($C136,ISNUMBER($H136)),MAX(1,INT(($H136-$AQ136)/$AP136)+1),"")</f>
      </c>
      <c r="AS136" s="202">
        <f>IF($C136,IF($AO136="Semanal",'Sprints'!$E$5,IF($AO136="Quincenal",'Sprints'!$E$6,'Sprints'!$E$7)),"")</f>
      </c>
      <c r="AT136" s="203">
        <f>IF($C136,'Backlog General'!$G136,"")</f>
      </c>
      <c r="AU136" s="203">
        <f>IF($C136,'Backlog General'!$H136,"")</f>
      </c>
      <c r="AV136" s="202">
        <f>IF(AND($C136,ISNUMBER($AR136)),IF(OR($AT136="Completo",$AU136="Cancelado",$AU136="Baja prioridad"),$AR136,IF($AU136="Pasa al siguiente",MAX($AR136+1,$AS136),MAX($AR136,$AS136))),"")</f>
      </c>
      <c r="AW136" s="202">
        <f>IF(AND($C136,ISNUMBER($AR136)),$AQ136+$AR136*$AP136-1,"")</f>
      </c>
      <c r="AX136" s="202">
        <f>IF($C136,IF(OR($AT136="Completo",$AU136="Cancelado",$AU136="Baja prioridad",NOT(ISNUMBER($AW136))),0,MAX(0,TODAY()-$AW136)),"")</f>
      </c>
      <c r="AY136" s="203">
        <f>IF($C136,IF(NOT(ISNUMBER($AR136)),"Sin fecha",IF($AT136="Completo","Completo",IF($AU136="Cancelado","Cancelado",IF($AU136="Baja prioridad","Baja prioridad",IF($AX136&gt;0,"Vencida","Pendiente"))))),"")</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row>
    <row r="137">
      <c r="A137" s="202">
        <f>ROW()</f>
      </c>
      <c r="B137" s="202">
        <f>ISTEXT('Proyecto Datos (OKR´s)'!$K137)</f>
      </c>
      <c r="C137" s="202">
        <f>AND(LEN('Proyecto Datos (OKR´s)'!$G137)&gt;0,NOT($B137),OR(ISNUMBER('Proyecto Datos (OKR´s)'!$F137),ISNUMBER('Proyecto Datos (OKR´s)'!$L137)))</f>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IF($C137,'Proyecto Datos (OKR´s)'!$J137,"")</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f>IF($C137,$AV137&lt;&gt;$AR137,FALSE)</f>
      </c>
      <c r="AG137" s="202">
        <f>IF($C137,IF($AV137&lt;&gt;$AR137,$AW137,""),"")</f>
      </c>
      <c r="AH137" s="203">
        <f>IF($C137,'Backlog General'!$L137,"")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IF($C137,IFERROR(VLOOKUP($D137,'Sprints'!$G$5:$H$12,2,FALSE),"Semanal"),"")</f>
      </c>
      <c r="AP137" s="202">
        <f>IF($C137,IF($AO137="Semanal",'Sprints'!$D$5,IF($AO137="Quincenal",'Sprints'!$D$6,'Sprints'!$D$7)),"")</f>
      </c>
      <c r="AQ137" s="202">
        <f>IF($C137,IF($AO137="Semanal",'Sprints'!$C$5,IF($AO137="Quincenal",'Sprints'!$C$6,'Sprints'!$C$7)),"")</f>
      </c>
      <c r="AR137" s="202">
        <f>IF(AND($C137,ISNUMBER($H137)),MAX(1,INT(($H137-$AQ137)/$AP137)+1),"")</f>
      </c>
      <c r="AS137" s="202">
        <f>IF($C137,IF($AO137="Semanal",'Sprints'!$E$5,IF($AO137="Quincenal",'Sprints'!$E$6,'Sprints'!$E$7)),"")</f>
      </c>
      <c r="AT137" s="203">
        <f>IF($C137,'Backlog General'!$G137,"")</f>
      </c>
      <c r="AU137" s="203">
        <f>IF($C137,'Backlog General'!$H137,"")</f>
      </c>
      <c r="AV137" s="202">
        <f>IF(AND($C137,ISNUMBER($AR137)),IF(OR($AT137="Completo",$AU137="Cancelado",$AU137="Baja prioridad"),$AR137,IF($AU137="Pasa al siguiente",MAX($AR137+1,$AS137),MAX($AR137,$AS137))),"")</f>
      </c>
      <c r="AW137" s="202">
        <f>IF(AND($C137,ISNUMBER($AR137)),$AQ137+$AR137*$AP137-1,"")</f>
      </c>
      <c r="AX137" s="202">
        <f>IF($C137,IF(OR($AT137="Completo",$AU137="Cancelado",$AU137="Baja prioridad",NOT(ISNUMBER($AW137))),0,MAX(0,TODAY()-$AW137)),"")</f>
      </c>
      <c r="AY137" s="203">
        <f>IF($C137,IF(NOT(ISNUMBER($AR137)),"Sin fecha",IF($AT137="Completo","Completo",IF($AU137="Cancelado","Cancelado",IF($AU137="Baja prioridad","Baja prioridad",IF($AX137&gt;0,"Vencida","Pendiente"))))),"")</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row>
    <row r="138">
      <c r="A138" s="202">
        <f>ROW()</f>
      </c>
      <c r="B138" s="202">
        <f>ISTEXT('Proyecto Datos (OKR´s)'!$K138)</f>
      </c>
      <c r="C138" s="202">
        <f>AND(LEN('Proyecto Datos (OKR´s)'!$G138)&gt;0,NOT($B138),OR(ISNUMBER('Proyecto Datos (OKR´s)'!$F138),ISNUMBER('Proyecto Datos (OKR´s)'!$L138)))</f>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IF($C138,'Proyecto Datos (OKR´s)'!$J138,"")</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f>IF($C138,$AV138&lt;&gt;$AR138,FALSE)</f>
      </c>
      <c r="AG138" s="202">
        <f>IF($C138,IF($AV138&lt;&gt;$AR138,$AW138,""),"")</f>
      </c>
      <c r="AH138" s="203">
        <f>IF($C138,'Backlog General'!$L138,"")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IF($C138,IFERROR(VLOOKUP($D138,'Sprints'!$G$5:$H$12,2,FALSE),"Semanal"),"")</f>
      </c>
      <c r="AP138" s="202">
        <f>IF($C138,IF($AO138="Semanal",'Sprints'!$D$5,IF($AO138="Quincenal",'Sprints'!$D$6,'Sprints'!$D$7)),"")</f>
      </c>
      <c r="AQ138" s="202">
        <f>IF($C138,IF($AO138="Semanal",'Sprints'!$C$5,IF($AO138="Quincenal",'Sprints'!$C$6,'Sprints'!$C$7)),"")</f>
      </c>
      <c r="AR138" s="202">
        <f>IF(AND($C138,ISNUMBER($H138)),MAX(1,INT(($H138-$AQ138)/$AP138)+1),"")</f>
      </c>
      <c r="AS138" s="202">
        <f>IF($C138,IF($AO138="Semanal",'Sprints'!$E$5,IF($AO138="Quincenal",'Sprints'!$E$6,'Sprints'!$E$7)),"")</f>
      </c>
      <c r="AT138" s="203">
        <f>IF($C138,'Backlog General'!$G138,"")</f>
      </c>
      <c r="AU138" s="203">
        <f>IF($C138,'Backlog General'!$H138,"")</f>
      </c>
      <c r="AV138" s="202">
        <f>IF(AND($C138,ISNUMBER($AR138)),IF(OR($AT138="Completo",$AU138="Cancelado",$AU138="Baja prioridad"),$AR138,IF($AU138="Pasa al siguiente",MAX($AR138+1,$AS138),MAX($AR138,$AS138))),"")</f>
      </c>
      <c r="AW138" s="202">
        <f>IF(AND($C138,ISNUMBER($AR138)),$AQ138+$AR138*$AP138-1,"")</f>
      </c>
      <c r="AX138" s="202">
        <f>IF($C138,IF(OR($AT138="Completo",$AU138="Cancelado",$AU138="Baja prioridad",NOT(ISNUMBER($AW138))),0,MAX(0,TODAY()-$AW138)),"")</f>
      </c>
      <c r="AY138" s="203">
        <f>IF($C138,IF(NOT(ISNUMBER($AR138)),"Sin fecha",IF($AT138="Completo","Completo",IF($AU138="Cancelado","Cancelado",IF($AU138="Baja prioridad","Baja prioridad",IF($AX138&gt;0,"Vencida","Pendiente"))))),"")</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row>
    <row r="139">
      <c r="A139" s="202">
        <f>ROW()</f>
      </c>
      <c r="B139" s="202">
        <f>ISTEXT('Proyecto Datos (OKR´s)'!$K139)</f>
      </c>
      <c r="C139" s="202">
        <f>AND(LEN('Proyecto Datos (OKR´s)'!$G139)&gt;0,NOT($B139),OR(ISNUMBER('Proyecto Datos (OKR´s)'!$F139),ISNUMBER('Proyecto Datos (OKR´s)'!$L139)))</f>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IF($C139,'Proyecto Datos (OKR´s)'!$J139,"")</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f>IF($C139,$AV139&lt;&gt;$AR139,FALSE)</f>
      </c>
      <c r="AG139" s="202">
        <f>IF($C139,IF($AV139&lt;&gt;$AR139,$AW139,""),"")</f>
      </c>
      <c r="AH139" s="203">
        <f>IF($C139,'Backlog General'!$L139,"")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IF($C139,IFERROR(VLOOKUP($D139,'Sprints'!$G$5:$H$12,2,FALSE),"Semanal"),"")</f>
      </c>
      <c r="AP139" s="202">
        <f>IF($C139,IF($AO139="Semanal",'Sprints'!$D$5,IF($AO139="Quincenal",'Sprints'!$D$6,'Sprints'!$D$7)),"")</f>
      </c>
      <c r="AQ139" s="202">
        <f>IF($C139,IF($AO139="Semanal",'Sprints'!$C$5,IF($AO139="Quincenal",'Sprints'!$C$6,'Sprints'!$C$7)),"")</f>
      </c>
      <c r="AR139" s="202">
        <f>IF(AND($C139,ISNUMBER($H139)),MAX(1,INT(($H139-$AQ139)/$AP139)+1),"")</f>
      </c>
      <c r="AS139" s="202">
        <f>IF($C139,IF($AO139="Semanal",'Sprints'!$E$5,IF($AO139="Quincenal",'Sprints'!$E$6,'Sprints'!$E$7)),"")</f>
      </c>
      <c r="AT139" s="203">
        <f>IF($C139,'Backlog General'!$G139,"")</f>
      </c>
      <c r="AU139" s="203">
        <f>IF($C139,'Backlog General'!$H139,"")</f>
      </c>
      <c r="AV139" s="202">
        <f>IF(AND($C139,ISNUMBER($AR139)),IF(OR($AT139="Completo",$AU139="Cancelado",$AU139="Baja prioridad"),$AR139,IF($AU139="Pasa al siguiente",MAX($AR139+1,$AS139),MAX($AR139,$AS139))),"")</f>
      </c>
      <c r="AW139" s="202">
        <f>IF(AND($C139,ISNUMBER($AR139)),$AQ139+$AR139*$AP139-1,"")</f>
      </c>
      <c r="AX139" s="202">
        <f>IF($C139,IF(OR($AT139="Completo",$AU139="Cancelado",$AU139="Baja prioridad",NOT(ISNUMBER($AW139))),0,MAX(0,TODAY()-$AW139)),"")</f>
      </c>
      <c r="AY139" s="203">
        <f>IF($C139,IF(NOT(ISNUMBER($AR139)),"Sin fecha",IF($AT139="Completo","Completo",IF($AU139="Cancelado","Cancelado",IF($AU139="Baja prioridad","Baja prioridad",IF($AX139&gt;0,"Vencida","Pendiente"))))),"")</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row>
    <row r="140">
      <c r="A140" s="202">
        <f>ROW()</f>
      </c>
      <c r="B140" s="202">
        <f>ISTEXT('Proyecto Datos (OKR´s)'!$K140)</f>
      </c>
      <c r="C140" s="202">
        <f>AND(LEN('Proyecto Datos (OKR´s)'!$G140)&gt;0,NOT($B140),OR(ISNUMBER('Proyecto Datos (OKR´s)'!$F140),ISNUMBER('Proyecto Datos (OKR´s)'!$L140)))</f>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IF($C140,'Proyecto Datos (OKR´s)'!$J140,"")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f>IF($C140,$AV140&lt;&gt;$AR140,FALSE)</f>
      </c>
      <c r="AG140" s="202">
        <f>IF($C140,IF($AV140&lt;&gt;$AR140,$AW140,""),"")</f>
      </c>
      <c r="AH140" s="203">
        <f>IF($C140,'Backlog General'!$L140,"")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IF($C140,IFERROR(VLOOKUP($D140,'Sprints'!$G$5:$H$12,2,FALSE),"Semanal"),"")</f>
      </c>
      <c r="AP140" s="202">
        <f>IF($C140,IF($AO140="Semanal",'Sprints'!$D$5,IF($AO140="Quincenal",'Sprints'!$D$6,'Sprints'!$D$7)),"")</f>
      </c>
      <c r="AQ140" s="202">
        <f>IF($C140,IF($AO140="Semanal",'Sprints'!$C$5,IF($AO140="Quincenal",'Sprints'!$C$6,'Sprints'!$C$7)),"")</f>
      </c>
      <c r="AR140" s="202">
        <f>IF(AND($C140,ISNUMBER($H140)),MAX(1,INT(($H140-$AQ140)/$AP140)+1),"")</f>
      </c>
      <c r="AS140" s="202">
        <f>IF($C140,IF($AO140="Semanal",'Sprints'!$E$5,IF($AO140="Quincenal",'Sprints'!$E$6,'Sprints'!$E$7)),"")</f>
      </c>
      <c r="AT140" s="203">
        <f>IF($C140,'Backlog General'!$G140,"")</f>
      </c>
      <c r="AU140" s="203">
        <f>IF($C140,'Backlog General'!$H140,"")</f>
      </c>
      <c r="AV140" s="202">
        <f>IF(AND($C140,ISNUMBER($AR140)),IF(OR($AT140="Completo",$AU140="Cancelado",$AU140="Baja prioridad"),$AR140,IF($AU140="Pasa al siguiente",MAX($AR140+1,$AS140),MAX($AR140,$AS140))),"")</f>
      </c>
      <c r="AW140" s="202">
        <f>IF(AND($C140,ISNUMBER($AR140)),$AQ140+$AR140*$AP140-1,"")</f>
      </c>
      <c r="AX140" s="202">
        <f>IF($C140,IF(OR($AT140="Completo",$AU140="Cancelado",$AU140="Baja prioridad",NOT(ISNUMBER($AW140))),0,MAX(0,TODAY()-$AW140)),"")</f>
      </c>
      <c r="AY140" s="203">
        <f>IF($C140,IF(NOT(ISNUMBER($AR140)),"Sin fecha",IF($AT140="Completo","Completo",IF($AU140="Cancelado","Cancelado",IF($AU140="Baja prioridad","Baja prioridad",IF($AX140&gt;0,"Vencida","Pendiente"))))),"")</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row>
    <row r="141">
      <c r="A141" s="202">
        <f>ROW()</f>
      </c>
      <c r="B141" s="202">
        <f>ISTEXT('Proyecto Datos (OKR´s)'!$K141)</f>
      </c>
      <c r="C141" s="202">
        <f>AND(LEN('Proyecto Datos (OKR´s)'!$G141)&gt;0,NOT($B141),OR(ISNUMBER('Proyecto Datos (OKR´s)'!$F141),ISNUMBER('Proyecto Datos (OKR´s)'!$L141)))</f>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IF($C141,'Proyecto Datos (OKR´s)'!$J141,"")</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f>IF($C141,$AV141&lt;&gt;$AR141,FALSE)</f>
      </c>
      <c r="AG141" s="202">
        <f>IF($C141,IF($AV141&lt;&gt;$AR141,$AW141,""),"")</f>
      </c>
      <c r="AH141" s="203">
        <f>IF($C141,'Backlog General'!$L141,"")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IF($C141,IFERROR(VLOOKUP($D141,'Sprints'!$G$5:$H$12,2,FALSE),"Semanal"),"")</f>
      </c>
      <c r="AP141" s="202">
        <f>IF($C141,IF($AO141="Semanal",'Sprints'!$D$5,IF($AO141="Quincenal",'Sprints'!$D$6,'Sprints'!$D$7)),"")</f>
      </c>
      <c r="AQ141" s="202">
        <f>IF($C141,IF($AO141="Semanal",'Sprints'!$C$5,IF($AO141="Quincenal",'Sprints'!$C$6,'Sprints'!$C$7)),"")</f>
      </c>
      <c r="AR141" s="202">
        <f>IF(AND($C141,ISNUMBER($H141)),MAX(1,INT(($H141-$AQ141)/$AP141)+1),"")</f>
      </c>
      <c r="AS141" s="202">
        <f>IF($C141,IF($AO141="Semanal",'Sprints'!$E$5,IF($AO141="Quincenal",'Sprints'!$E$6,'Sprints'!$E$7)),"")</f>
      </c>
      <c r="AT141" s="203">
        <f>IF($C141,'Backlog General'!$G141,"")</f>
      </c>
      <c r="AU141" s="203">
        <f>IF($C141,'Backlog General'!$H141,"")</f>
      </c>
      <c r="AV141" s="202">
        <f>IF(AND($C141,ISNUMBER($AR141)),IF(OR($AT141="Completo",$AU141="Cancelado",$AU141="Baja prioridad"),$AR141,IF($AU141="Pasa al siguiente",MAX($AR141+1,$AS141),MAX($AR141,$AS141))),"")</f>
      </c>
      <c r="AW141" s="202">
        <f>IF(AND($C141,ISNUMBER($AR141)),$AQ141+$AR141*$AP141-1,"")</f>
      </c>
      <c r="AX141" s="202">
        <f>IF($C141,IF(OR($AT141="Completo",$AU141="Cancelado",$AU141="Baja prioridad",NOT(ISNUMBER($AW141))),0,MAX(0,TODAY()-$AW141)),"")</f>
      </c>
      <c r="AY141" s="203">
        <f>IF($C141,IF(NOT(ISNUMBER($AR141)),"Sin fecha",IF($AT141="Completo","Completo",IF($AU141="Cancelado","Cancelado",IF($AU141="Baja prioridad","Baja prioridad",IF($AX141&gt;0,"Vencida","Pendiente"))))),"")</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row>
    <row r="142">
      <c r="A142" s="202">
        <f>ROW()</f>
      </c>
      <c r="B142" s="202">
        <f>ISTEXT('Proyecto Datos (OKR´s)'!$K142)</f>
      </c>
      <c r="C142" s="202">
        <f>AND(LEN('Proyecto Datos (OKR´s)'!$G142)&gt;0,NOT($B142),OR(ISNUMBER('Proyecto Datos (OKR´s)'!$F142),ISNUMBER('Proyecto Datos (OKR´s)'!$L142)))</f>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IF($C142,'Proyecto Datos (OKR´s)'!$J142,"")</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f>IF($C142,$AV142&lt;&gt;$AR142,FALSE)</f>
      </c>
      <c r="AG142" s="202">
        <f>IF($C142,IF($AV142&lt;&gt;$AR142,$AW142,""),"")</f>
      </c>
      <c r="AH142" s="203">
        <f>IF($C142,'Backlog General'!$L142,"")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IF($C142,IFERROR(VLOOKUP($D142,'Sprints'!$G$5:$H$12,2,FALSE),"Semanal"),"")</f>
      </c>
      <c r="AP142" s="202">
        <f>IF($C142,IF($AO142="Semanal",'Sprints'!$D$5,IF($AO142="Quincenal",'Sprints'!$D$6,'Sprints'!$D$7)),"")</f>
      </c>
      <c r="AQ142" s="202">
        <f>IF($C142,IF($AO142="Semanal",'Sprints'!$C$5,IF($AO142="Quincenal",'Sprints'!$C$6,'Sprints'!$C$7)),"")</f>
      </c>
      <c r="AR142" s="202">
        <f>IF(AND($C142,ISNUMBER($H142)),MAX(1,INT(($H142-$AQ142)/$AP142)+1),"")</f>
      </c>
      <c r="AS142" s="202">
        <f>IF($C142,IF($AO142="Semanal",'Sprints'!$E$5,IF($AO142="Quincenal",'Sprints'!$E$6,'Sprints'!$E$7)),"")</f>
      </c>
      <c r="AT142" s="203">
        <f>IF($C142,'Backlog General'!$G142,"")</f>
      </c>
      <c r="AU142" s="203">
        <f>IF($C142,'Backlog General'!$H142,"")</f>
      </c>
      <c r="AV142" s="202">
        <f>IF(AND($C142,ISNUMBER($AR142)),IF(OR($AT142="Completo",$AU142="Cancelado",$AU142="Baja prioridad"),$AR142,IF($AU142="Pasa al siguiente",MAX($AR142+1,$AS142),MAX($AR142,$AS142))),"")</f>
      </c>
      <c r="AW142" s="202">
        <f>IF(AND($C142,ISNUMBER($AR142)),$AQ142+$AR142*$AP142-1,"")</f>
      </c>
      <c r="AX142" s="202">
        <f>IF($C142,IF(OR($AT142="Completo",$AU142="Cancelado",$AU142="Baja prioridad",NOT(ISNUMBER($AW142))),0,MAX(0,TODAY()-$AW142)),"")</f>
      </c>
      <c r="AY142" s="203">
        <f>IF($C142,IF(NOT(ISNUMBER($AR142)),"Sin fecha",IF($AT142="Completo","Completo",IF($AU142="Cancelado","Cancelado",IF($AU142="Baja prioridad","Baja prioridad",IF($AX142&gt;0,"Vencida","Pendiente"))))),"")</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row>
    <row r="143">
      <c r="A143" s="202">
        <f>ROW()</f>
      </c>
      <c r="B143" s="202">
        <f>ISTEXT('Proyecto Datos (OKR´s)'!$K143)</f>
      </c>
      <c r="C143" s="202">
        <f>AND(LEN('Proyecto Datos (OKR´s)'!$G143)&gt;0,NOT($B143),OR(ISNUMBER('Proyecto Datos (OKR´s)'!$F143),ISNUMBER('Proyecto Datos (OKR´s)'!$L143)))</f>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IF($C143,'Proyecto Datos (OKR´s)'!$J143,"")</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f>IF($C143,$AV143&lt;&gt;$AR143,FALSE)</f>
      </c>
      <c r="AG143" s="202">
        <f>IF($C143,IF($AV143&lt;&gt;$AR143,$AW143,""),"")</f>
      </c>
      <c r="AH143" s="203">
        <f>IF($C143,'Backlog General'!$L143,"")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IF($C143,IFERROR(VLOOKUP($D143,'Sprints'!$G$5:$H$12,2,FALSE),"Semanal"),"")</f>
      </c>
      <c r="AP143" s="202">
        <f>IF($C143,IF($AO143="Semanal",'Sprints'!$D$5,IF($AO143="Quincenal",'Sprints'!$D$6,'Sprints'!$D$7)),"")</f>
      </c>
      <c r="AQ143" s="202">
        <f>IF($C143,IF($AO143="Semanal",'Sprints'!$C$5,IF($AO143="Quincenal",'Sprints'!$C$6,'Sprints'!$C$7)),"")</f>
      </c>
      <c r="AR143" s="202">
        <f>IF(AND($C143,ISNUMBER($H143)),MAX(1,INT(($H143-$AQ143)/$AP143)+1),"")</f>
      </c>
      <c r="AS143" s="202">
        <f>IF($C143,IF($AO143="Semanal",'Sprints'!$E$5,IF($AO143="Quincenal",'Sprints'!$E$6,'Sprints'!$E$7)),"")</f>
      </c>
      <c r="AT143" s="203">
        <f>IF($C143,'Backlog General'!$G143,"")</f>
      </c>
      <c r="AU143" s="203">
        <f>IF($C143,'Backlog General'!$H143,"")</f>
      </c>
      <c r="AV143" s="202">
        <f>IF(AND($C143,ISNUMBER($AR143)),IF(OR($AT143="Completo",$AU143="Cancelado",$AU143="Baja prioridad"),$AR143,IF($AU143="Pasa al siguiente",MAX($AR143+1,$AS143),MAX($AR143,$AS143))),"")</f>
      </c>
      <c r="AW143" s="202">
        <f>IF(AND($C143,ISNUMBER($AR143)),$AQ143+$AR143*$AP143-1,"")</f>
      </c>
      <c r="AX143" s="202">
        <f>IF($C143,IF(OR($AT143="Completo",$AU143="Cancelado",$AU143="Baja prioridad",NOT(ISNUMBER($AW143))),0,MAX(0,TODAY()-$AW143)),"")</f>
      </c>
      <c r="AY143" s="203">
        <f>IF($C143,IF(NOT(ISNUMBER($AR143)),"Sin fecha",IF($AT143="Completo","Completo",IF($AU143="Cancelado","Cancelado",IF($AU143="Baja prioridad","Baja prioridad",IF($AX143&gt;0,"Vencida","Pendiente"))))),"")</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row>
    <row r="144">
      <c r="A144" s="202">
        <f>ROW()</f>
      </c>
      <c r="B144" s="202">
        <f>ISTEXT('Proyecto Datos (OKR´s)'!$K144)</f>
      </c>
      <c r="C144" s="202">
        <f>AND(LEN('Proyecto Datos (OKR´s)'!$G144)&gt;0,NOT($B144),OR(ISNUMBER('Proyecto Datos (OKR´s)'!$F144),ISNUMBER('Proyecto Datos (OKR´s)'!$L144)))</f>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IF($C144,'Proyecto Datos (OKR´s)'!$J144,"")</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f>IF($C144,$AV144&lt;&gt;$AR144,FALSE)</f>
      </c>
      <c r="AG144" s="202">
        <f>IF($C144,IF($AV144&lt;&gt;$AR144,$AW144,""),"")</f>
      </c>
      <c r="AH144" s="203">
        <f>IF($C144,'Backlog General'!$L144,"")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IF($C144,IFERROR(VLOOKUP($D144,'Sprints'!$G$5:$H$12,2,FALSE),"Semanal"),"")</f>
      </c>
      <c r="AP144" s="202">
        <f>IF($C144,IF($AO144="Semanal",'Sprints'!$D$5,IF($AO144="Quincenal",'Sprints'!$D$6,'Sprints'!$D$7)),"")</f>
      </c>
      <c r="AQ144" s="202">
        <f>IF($C144,IF($AO144="Semanal",'Sprints'!$C$5,IF($AO144="Quincenal",'Sprints'!$C$6,'Sprints'!$C$7)),"")</f>
      </c>
      <c r="AR144" s="202">
        <f>IF(AND($C144,ISNUMBER($H144)),MAX(1,INT(($H144-$AQ144)/$AP144)+1),"")</f>
      </c>
      <c r="AS144" s="202">
        <f>IF($C144,IF($AO144="Semanal",'Sprints'!$E$5,IF($AO144="Quincenal",'Sprints'!$E$6,'Sprints'!$E$7)),"")</f>
      </c>
      <c r="AT144" s="203">
        <f>IF($C144,'Backlog General'!$G144,"")</f>
      </c>
      <c r="AU144" s="203">
        <f>IF($C144,'Backlog General'!$H144,"")</f>
      </c>
      <c r="AV144" s="202">
        <f>IF(AND($C144,ISNUMBER($AR144)),IF(OR($AT144="Completo",$AU144="Cancelado",$AU144="Baja prioridad"),$AR144,IF($AU144="Pasa al siguiente",MAX($AR144+1,$AS144),MAX($AR144,$AS144))),"")</f>
      </c>
      <c r="AW144" s="202">
        <f>IF(AND($C144,ISNUMBER($AR144)),$AQ144+$AR144*$AP144-1,"")</f>
      </c>
      <c r="AX144" s="202">
        <f>IF($C144,IF(OR($AT144="Completo",$AU144="Cancelado",$AU144="Baja prioridad",NOT(ISNUMBER($AW144))),0,MAX(0,TODAY()-$AW144)),"")</f>
      </c>
      <c r="AY144" s="203">
        <f>IF($C144,IF(NOT(ISNUMBER($AR144)),"Sin fecha",IF($AT144="Completo","Completo",IF($AU144="Cancelado","Cancelado",IF($AU144="Baja prioridad","Baja prioridad",IF($AX144&gt;0,"Vencida","Pendiente"))))),"")</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row>
    <row r="145">
      <c r="A145" s="202">
        <f>ROW()</f>
      </c>
      <c r="B145" s="202">
        <f>ISTEXT('Proyecto Datos (OKR´s)'!$K145)</f>
      </c>
      <c r="C145" s="202">
        <f>AND(LEN('Proyecto Datos (OKR´s)'!$G145)&gt;0,NOT($B145),OR(ISNUMBER('Proyecto Datos (OKR´s)'!$F145),ISNUMBER('Proyecto Datos (OKR´s)'!$L145)))</f>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IF($C145,'Proyecto Datos (OKR´s)'!$J145,"")</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f>IF($C145,$AV145&lt;&gt;$AR145,FALSE)</f>
      </c>
      <c r="AG145" s="202">
        <f>IF($C145,IF($AV145&lt;&gt;$AR145,$AW145,""),"")</f>
      </c>
      <c r="AH145" s="203">
        <f>IF($C145,'Backlog General'!$L145,"")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IF($C145,IFERROR(VLOOKUP($D145,'Sprints'!$G$5:$H$12,2,FALSE),"Semanal"),"")</f>
      </c>
      <c r="AP145" s="202">
        <f>IF($C145,IF($AO145="Semanal",'Sprints'!$D$5,IF($AO145="Quincenal",'Sprints'!$D$6,'Sprints'!$D$7)),"")</f>
      </c>
      <c r="AQ145" s="202">
        <f>IF($C145,IF($AO145="Semanal",'Sprints'!$C$5,IF($AO145="Quincenal",'Sprints'!$C$6,'Sprints'!$C$7)),"")</f>
      </c>
      <c r="AR145" s="202">
        <f>IF(AND($C145,ISNUMBER($H145)),MAX(1,INT(($H145-$AQ145)/$AP145)+1),"")</f>
      </c>
      <c r="AS145" s="202">
        <f>IF($C145,IF($AO145="Semanal",'Sprints'!$E$5,IF($AO145="Quincenal",'Sprints'!$E$6,'Sprints'!$E$7)),"")</f>
      </c>
      <c r="AT145" s="203">
        <f>IF($C145,'Backlog General'!$G145,"")</f>
      </c>
      <c r="AU145" s="203">
        <f>IF($C145,'Backlog General'!$H145,"")</f>
      </c>
      <c r="AV145" s="202">
        <f>IF(AND($C145,ISNUMBER($AR145)),IF(OR($AT145="Completo",$AU145="Cancelado",$AU145="Baja prioridad"),$AR145,IF($AU145="Pasa al siguiente",MAX($AR145+1,$AS145),MAX($AR145,$AS145))),"")</f>
      </c>
      <c r="AW145" s="202">
        <f>IF(AND($C145,ISNUMBER($AR145)),$AQ145+$AR145*$AP145-1,"")</f>
      </c>
      <c r="AX145" s="202">
        <f>IF($C145,IF(OR($AT145="Completo",$AU145="Cancelado",$AU145="Baja prioridad",NOT(ISNUMBER($AW145))),0,MAX(0,TODAY()-$AW145)),"")</f>
      </c>
      <c r="AY145" s="203">
        <f>IF($C145,IF(NOT(ISNUMBER($AR145)),"Sin fecha",IF($AT145="Completo","Completo",IF($AU145="Cancelado","Cancelado",IF($AU145="Baja prioridad","Baja prioridad",IF($AX145&gt;0,"Vencida","Pendiente"))))),"")</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row>
    <row r="146">
      <c r="A146" s="202">
        <f>ROW()</f>
      </c>
      <c r="B146" s="202">
        <f>ISTEXT('Proyecto Datos (OKR´s)'!$K146)</f>
      </c>
      <c r="C146" s="202">
        <f>AND(LEN('Proyecto Datos (OKR´s)'!$G146)&gt;0,NOT($B146),OR(ISNUMBER('Proyecto Datos (OKR´s)'!$F146),ISNUMBER('Proyecto Datos (OKR´s)'!$L146)))</f>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IF($C146,'Proyecto Datos (OKR´s)'!$J146,"")</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f>IF($C146,$AV146&lt;&gt;$AR146,FALSE)</f>
      </c>
      <c r="AG146" s="202">
        <f>IF($C146,IF($AV146&lt;&gt;$AR146,$AW146,""),"")</f>
      </c>
      <c r="AH146" s="203">
        <f>IF($C146,'Backlog General'!$L146,"")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IF($C146,IFERROR(VLOOKUP($D146,'Sprints'!$G$5:$H$12,2,FALSE),"Semanal"),"")</f>
      </c>
      <c r="AP146" s="202">
        <f>IF($C146,IF($AO146="Semanal",'Sprints'!$D$5,IF($AO146="Quincenal",'Sprints'!$D$6,'Sprints'!$D$7)),"")</f>
      </c>
      <c r="AQ146" s="202">
        <f>IF($C146,IF($AO146="Semanal",'Sprints'!$C$5,IF($AO146="Quincenal",'Sprints'!$C$6,'Sprints'!$C$7)),"")</f>
      </c>
      <c r="AR146" s="202">
        <f>IF(AND($C146,ISNUMBER($H146)),MAX(1,INT(($H146-$AQ146)/$AP146)+1),"")</f>
      </c>
      <c r="AS146" s="202">
        <f>IF($C146,IF($AO146="Semanal",'Sprints'!$E$5,IF($AO146="Quincenal",'Sprints'!$E$6,'Sprints'!$E$7)),"")</f>
      </c>
      <c r="AT146" s="203">
        <f>IF($C146,'Backlog General'!$G146,"")</f>
      </c>
      <c r="AU146" s="203">
        <f>IF($C146,'Backlog General'!$H146,"")</f>
      </c>
      <c r="AV146" s="202">
        <f>IF(AND($C146,ISNUMBER($AR146)),IF(OR($AT146="Completo",$AU146="Cancelado",$AU146="Baja prioridad"),$AR146,IF($AU146="Pasa al siguiente",MAX($AR146+1,$AS146),MAX($AR146,$AS146))),"")</f>
      </c>
      <c r="AW146" s="202">
        <f>IF(AND($C146,ISNUMBER($AR146)),$AQ146+$AR146*$AP146-1,"")</f>
      </c>
      <c r="AX146" s="202">
        <f>IF($C146,IF(OR($AT146="Completo",$AU146="Cancelado",$AU146="Baja prioridad",NOT(ISNUMBER($AW146))),0,MAX(0,TODAY()-$AW146)),"")</f>
      </c>
      <c r="AY146" s="203">
        <f>IF($C146,IF(NOT(ISNUMBER($AR146)),"Sin fecha",IF($AT146="Completo","Completo",IF($AU146="Cancelado","Cancelado",IF($AU146="Baja prioridad","Baja prioridad",IF($AX146&gt;0,"Vencida","Pendiente"))))),"")</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row>
    <row r="147">
      <c r="A147" s="202">
        <f>ROW()</f>
      </c>
      <c r="B147" s="202">
        <f>ISTEXT('Proyecto Datos (OKR´s)'!$K147)</f>
      </c>
      <c r="C147" s="202">
        <f>AND(LEN('Proyecto Datos (OKR´s)'!$G147)&gt;0,NOT($B147),OR(ISNUMBER('Proyecto Datos (OKR´s)'!$F147),ISNUMBER('Proyecto Datos (OKR´s)'!$L147)))</f>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IF($C147,'Proyecto Datos (OKR´s)'!$J147,"")</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f>IF($C147,$AV147&lt;&gt;$AR147,FALSE)</f>
      </c>
      <c r="AG147" s="202">
        <f>IF($C147,IF($AV147&lt;&gt;$AR147,$AW147,""),"")</f>
      </c>
      <c r="AH147" s="203">
        <f>IF($C147,'Backlog General'!$L147,"")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IF($C147,IFERROR(VLOOKUP($D147,'Sprints'!$G$5:$H$12,2,FALSE),"Semanal"),"")</f>
      </c>
      <c r="AP147" s="202">
        <f>IF($C147,IF($AO147="Semanal",'Sprints'!$D$5,IF($AO147="Quincenal",'Sprints'!$D$6,'Sprints'!$D$7)),"")</f>
      </c>
      <c r="AQ147" s="202">
        <f>IF($C147,IF($AO147="Semanal",'Sprints'!$C$5,IF($AO147="Quincenal",'Sprints'!$C$6,'Sprints'!$C$7)),"")</f>
      </c>
      <c r="AR147" s="202">
        <f>IF(AND($C147,ISNUMBER($H147)),MAX(1,INT(($H147-$AQ147)/$AP147)+1),"")</f>
      </c>
      <c r="AS147" s="202">
        <f>IF($C147,IF($AO147="Semanal",'Sprints'!$E$5,IF($AO147="Quincenal",'Sprints'!$E$6,'Sprints'!$E$7)),"")</f>
      </c>
      <c r="AT147" s="203">
        <f>IF($C147,'Backlog General'!$G147,"")</f>
      </c>
      <c r="AU147" s="203">
        <f>IF($C147,'Backlog General'!$H147,"")</f>
      </c>
      <c r="AV147" s="202">
        <f>IF(AND($C147,ISNUMBER($AR147)),IF(OR($AT147="Completo",$AU147="Cancelado",$AU147="Baja prioridad"),$AR147,IF($AU147="Pasa al siguiente",MAX($AR147+1,$AS147),MAX($AR147,$AS147))),"")</f>
      </c>
      <c r="AW147" s="202">
        <f>IF(AND($C147,ISNUMBER($AR147)),$AQ147+$AR147*$AP147-1,"")</f>
      </c>
      <c r="AX147" s="202">
        <f>IF($C147,IF(OR($AT147="Completo",$AU147="Cancelado",$AU147="Baja prioridad",NOT(ISNUMBER($AW147))),0,MAX(0,TODAY()-$AW147)),"")</f>
      </c>
      <c r="AY147" s="203">
        <f>IF($C147,IF(NOT(ISNUMBER($AR147)),"Sin fecha",IF($AT147="Completo","Completo",IF($AU147="Cancelado","Cancelado",IF($AU147="Baja prioridad","Baja prioridad",IF($AX147&gt;0,"Vencida","Pendiente"))))),"")</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row>
    <row r="148">
      <c r="A148" s="202">
        <f>ROW()</f>
      </c>
      <c r="B148" s="202">
        <f>ISTEXT('Proyecto Datos (OKR´s)'!$K148)</f>
      </c>
      <c r="C148" s="202">
        <f>AND(LEN('Proyecto Datos (OKR´s)'!$G148)&gt;0,NOT($B148),OR(ISNUMBER('Proyecto Datos (OKR´s)'!$F148),ISNUMBER('Proyecto Datos (OKR´s)'!$L148)))</f>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IF($C148,'Proyecto Datos (OKR´s)'!$J148,"")</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f>IF($C148,$AV148&lt;&gt;$AR148,FALSE)</f>
      </c>
      <c r="AG148" s="202">
        <f>IF($C148,IF($AV148&lt;&gt;$AR148,$AW148,""),"")</f>
      </c>
      <c r="AH148" s="203">
        <f>IF($C148,'Backlog General'!$L148,"")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IF($C148,IFERROR(VLOOKUP($D148,'Sprints'!$G$5:$H$12,2,FALSE),"Semanal"),"")</f>
      </c>
      <c r="AP148" s="202">
        <f>IF($C148,IF($AO148="Semanal",'Sprints'!$D$5,IF($AO148="Quincenal",'Sprints'!$D$6,'Sprints'!$D$7)),"")</f>
      </c>
      <c r="AQ148" s="202">
        <f>IF($C148,IF($AO148="Semanal",'Sprints'!$C$5,IF($AO148="Quincenal",'Sprints'!$C$6,'Sprints'!$C$7)),"")</f>
      </c>
      <c r="AR148" s="202">
        <f>IF(AND($C148,ISNUMBER($H148)),MAX(1,INT(($H148-$AQ148)/$AP148)+1),"")</f>
      </c>
      <c r="AS148" s="202">
        <f>IF($C148,IF($AO148="Semanal",'Sprints'!$E$5,IF($AO148="Quincenal",'Sprints'!$E$6,'Sprints'!$E$7)),"")</f>
      </c>
      <c r="AT148" s="203">
        <f>IF($C148,'Backlog General'!$G148,"")</f>
      </c>
      <c r="AU148" s="203">
        <f>IF($C148,'Backlog General'!$H148,"")</f>
      </c>
      <c r="AV148" s="202">
        <f>IF(AND($C148,ISNUMBER($AR148)),IF(OR($AT148="Completo",$AU148="Cancelado",$AU148="Baja prioridad"),$AR148,IF($AU148="Pasa al siguiente",MAX($AR148+1,$AS148),MAX($AR148,$AS148))),"")</f>
      </c>
      <c r="AW148" s="202">
        <f>IF(AND($C148,ISNUMBER($AR148)),$AQ148+$AR148*$AP148-1,"")</f>
      </c>
      <c r="AX148" s="202">
        <f>IF($C148,IF(OR($AT148="Completo",$AU148="Cancelado",$AU148="Baja prioridad",NOT(ISNUMBER($AW148))),0,MAX(0,TODAY()-$AW148)),"")</f>
      </c>
      <c r="AY148" s="203">
        <f>IF($C148,IF(NOT(ISNUMBER($AR148)),"Sin fecha",IF($AT148="Completo","Completo",IF($AU148="Cancelado","Cancelado",IF($AU148="Baja prioridad","Baja prioridad",IF($AX148&gt;0,"Vencida","Pendiente"))))),"")</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row>
    <row r="149">
      <c r="A149" s="202">
        <f>ROW()</f>
      </c>
      <c r="B149" s="202">
        <f>ISTEXT('Proyecto Datos (OKR´s)'!$K149)</f>
      </c>
      <c r="C149" s="202">
        <f>AND(LEN('Proyecto Datos (OKR´s)'!$G149)&gt;0,NOT($B149),OR(ISNUMBER('Proyecto Datos (OKR´s)'!$F149),ISNUMBER('Proyecto Datos (OKR´s)'!$L149)))</f>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IF($C149,'Proyecto Datos (OKR´s)'!$J149,"")</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f>IF($C149,$AV149&lt;&gt;$AR149,FALSE)</f>
      </c>
      <c r="AG149" s="202">
        <f>IF($C149,IF($AV149&lt;&gt;$AR149,$AW149,""),"")</f>
      </c>
      <c r="AH149" s="203">
        <f>IF($C149,'Backlog General'!$L149,"")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IF($C149,IFERROR(VLOOKUP($D149,'Sprints'!$G$5:$H$12,2,FALSE),"Semanal"),"")</f>
      </c>
      <c r="AP149" s="202">
        <f>IF($C149,IF($AO149="Semanal",'Sprints'!$D$5,IF($AO149="Quincenal",'Sprints'!$D$6,'Sprints'!$D$7)),"")</f>
      </c>
      <c r="AQ149" s="202">
        <f>IF($C149,IF($AO149="Semanal",'Sprints'!$C$5,IF($AO149="Quincenal",'Sprints'!$C$6,'Sprints'!$C$7)),"")</f>
      </c>
      <c r="AR149" s="202">
        <f>IF(AND($C149,ISNUMBER($H149)),MAX(1,INT(($H149-$AQ149)/$AP149)+1),"")</f>
      </c>
      <c r="AS149" s="202">
        <f>IF($C149,IF($AO149="Semanal",'Sprints'!$E$5,IF($AO149="Quincenal",'Sprints'!$E$6,'Sprints'!$E$7)),"")</f>
      </c>
      <c r="AT149" s="203">
        <f>IF($C149,'Backlog General'!$G149,"")</f>
      </c>
      <c r="AU149" s="203">
        <f>IF($C149,'Backlog General'!$H149,"")</f>
      </c>
      <c r="AV149" s="202">
        <f>IF(AND($C149,ISNUMBER($AR149)),IF(OR($AT149="Completo",$AU149="Cancelado",$AU149="Baja prioridad"),$AR149,IF($AU149="Pasa al siguiente",MAX($AR149+1,$AS149),MAX($AR149,$AS149))),"")</f>
      </c>
      <c r="AW149" s="202">
        <f>IF(AND($C149,ISNUMBER($AR149)),$AQ149+$AR149*$AP149-1,"")</f>
      </c>
      <c r="AX149" s="202">
        <f>IF($C149,IF(OR($AT149="Completo",$AU149="Cancelado",$AU149="Baja prioridad",NOT(ISNUMBER($AW149))),0,MAX(0,TODAY()-$AW149)),"")</f>
      </c>
      <c r="AY149" s="203">
        <f>IF($C149,IF(NOT(ISNUMBER($AR149)),"Sin fecha",IF($AT149="Completo","Completo",IF($AU149="Cancelado","Cancelado",IF($AU149="Baja prioridad","Baja prioridad",IF($AX149&gt;0,"Vencida","Pendiente"))))),"")</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row>
    <row r="150">
      <c r="A150" s="202">
        <f>ROW()</f>
      </c>
      <c r="B150" s="202">
        <f>ISTEXT('Proyecto Datos (OKR´s)'!$K150)</f>
      </c>
      <c r="C150" s="202">
        <f>AND(LEN('Proyecto Datos (OKR´s)'!$G150)&gt;0,NOT($B150),OR(ISNUMBER('Proyecto Datos (OKR´s)'!$F150),ISNUMBER('Proyecto Datos (OKR´s)'!$L150)))</f>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IF($C150,'Proyecto Datos (OKR´s)'!$J150,"")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f>IF($C150,$AV150&lt;&gt;$AR150,FALSE)</f>
      </c>
      <c r="AG150" s="202">
        <f>IF($C150,IF($AV150&lt;&gt;$AR150,$AW150,""),"")</f>
      </c>
      <c r="AH150" s="203">
        <f>IF($C150,'Backlog General'!$L150,"")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IF($C150,IFERROR(VLOOKUP($D150,'Sprints'!$G$5:$H$12,2,FALSE),"Semanal"),"")</f>
      </c>
      <c r="AP150" s="202">
        <f>IF($C150,IF($AO150="Semanal",'Sprints'!$D$5,IF($AO150="Quincenal",'Sprints'!$D$6,'Sprints'!$D$7)),"")</f>
      </c>
      <c r="AQ150" s="202">
        <f>IF($C150,IF($AO150="Semanal",'Sprints'!$C$5,IF($AO150="Quincenal",'Sprints'!$C$6,'Sprints'!$C$7)),"")</f>
      </c>
      <c r="AR150" s="202">
        <f>IF(AND($C150,ISNUMBER($H150)),MAX(1,INT(($H150-$AQ150)/$AP150)+1),"")</f>
      </c>
      <c r="AS150" s="202">
        <f>IF($C150,IF($AO150="Semanal",'Sprints'!$E$5,IF($AO150="Quincenal",'Sprints'!$E$6,'Sprints'!$E$7)),"")</f>
      </c>
      <c r="AT150" s="203">
        <f>IF($C150,'Backlog General'!$G150,"")</f>
      </c>
      <c r="AU150" s="203">
        <f>IF($C150,'Backlog General'!$H150,"")</f>
      </c>
      <c r="AV150" s="202">
        <f>IF(AND($C150,ISNUMBER($AR150)),IF(OR($AT150="Completo",$AU150="Cancelado",$AU150="Baja prioridad"),$AR150,IF($AU150="Pasa al siguiente",MAX($AR150+1,$AS150),MAX($AR150,$AS150))),"")</f>
      </c>
      <c r="AW150" s="202">
        <f>IF(AND($C150,ISNUMBER($AR150)),$AQ150+$AR150*$AP150-1,"")</f>
      </c>
      <c r="AX150" s="202">
        <f>IF($C150,IF(OR($AT150="Completo",$AU150="Cancelado",$AU150="Baja prioridad",NOT(ISNUMBER($AW150))),0,MAX(0,TODAY()-$AW150)),"")</f>
      </c>
      <c r="AY150" s="203">
        <f>IF($C150,IF(NOT(ISNUMBER($AR150)),"Sin fecha",IF($AT150="Completo","Completo",IF($AU150="Cancelado","Cancelado",IF($AU150="Baja prioridad","Baja prioridad",IF($AX150&gt;0,"Vencida","Pendiente"))))),"")</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row>
    <row r="151">
      <c r="A151" s="202">
        <f>ROW()</f>
      </c>
      <c r="B151" s="202">
        <f>ISTEXT('Proyecto Datos (OKR´s)'!$K151)</f>
      </c>
      <c r="C151" s="202">
        <f>AND(LEN('Proyecto Datos (OKR´s)'!$G151)&gt;0,NOT($B151),OR(ISNUMBER('Proyecto Datos (OKR´s)'!$F151),ISNUMBER('Proyecto Datos (OKR´s)'!$L151)))</f>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IF($C151,'Proyecto Datos (OKR´s)'!$J151,"")</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f>IF($C151,$AV151&lt;&gt;$AR151,FALSE)</f>
      </c>
      <c r="AG151" s="202">
        <f>IF($C151,IF($AV151&lt;&gt;$AR151,$AW151,""),"")</f>
      </c>
      <c r="AH151" s="203">
        <f>IF($C151,'Backlog General'!$L151,"")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IF($C151,IFERROR(VLOOKUP($D151,'Sprints'!$G$5:$H$12,2,FALSE),"Semanal"),"")</f>
      </c>
      <c r="AP151" s="202">
        <f>IF($C151,IF($AO151="Semanal",'Sprints'!$D$5,IF($AO151="Quincenal",'Sprints'!$D$6,'Sprints'!$D$7)),"")</f>
      </c>
      <c r="AQ151" s="202">
        <f>IF($C151,IF($AO151="Semanal",'Sprints'!$C$5,IF($AO151="Quincenal",'Sprints'!$C$6,'Sprints'!$C$7)),"")</f>
      </c>
      <c r="AR151" s="202">
        <f>IF(AND($C151,ISNUMBER($H151)),MAX(1,INT(($H151-$AQ151)/$AP151)+1),"")</f>
      </c>
      <c r="AS151" s="202">
        <f>IF($C151,IF($AO151="Semanal",'Sprints'!$E$5,IF($AO151="Quincenal",'Sprints'!$E$6,'Sprints'!$E$7)),"")</f>
      </c>
      <c r="AT151" s="203">
        <f>IF($C151,'Backlog General'!$G151,"")</f>
      </c>
      <c r="AU151" s="203">
        <f>IF($C151,'Backlog General'!$H151,"")</f>
      </c>
      <c r="AV151" s="202">
        <f>IF(AND($C151,ISNUMBER($AR151)),IF(OR($AT151="Completo",$AU151="Cancelado",$AU151="Baja prioridad"),$AR151,IF($AU151="Pasa al siguiente",MAX($AR151+1,$AS151),MAX($AR151,$AS151))),"")</f>
      </c>
      <c r="AW151" s="202">
        <f>IF(AND($C151,ISNUMBER($AR151)),$AQ151+$AR151*$AP151-1,"")</f>
      </c>
      <c r="AX151" s="202">
        <f>IF($C151,IF(OR($AT151="Completo",$AU151="Cancelado",$AU151="Baja prioridad",NOT(ISNUMBER($AW151))),0,MAX(0,TODAY()-$AW151)),"")</f>
      </c>
      <c r="AY151" s="203">
        <f>IF($C151,IF(NOT(ISNUMBER($AR151)),"Sin fecha",IF($AT151="Completo","Completo",IF($AU151="Cancelado","Cancelado",IF($AU151="Baja prioridad","Baja prioridad",IF($AX151&gt;0,"Vencida","Pendiente"))))),"")</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row>
    <row r="152">
      <c r="A152" s="202">
        <f>ROW()</f>
      </c>
      <c r="B152" s="202">
        <f>ISTEXT('Proyecto Datos (OKR´s)'!$K152)</f>
      </c>
      <c r="C152" s="202">
        <f>AND(LEN('Proyecto Datos (OKR´s)'!$G152)&gt;0,NOT($B152),OR(ISNUMBER('Proyecto Datos (OKR´s)'!$F152),ISNUMBER('Proyecto Datos (OKR´s)'!$L152)))</f>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IF($C152,'Proyecto Datos (OKR´s)'!$J152,"")</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f>IF($C152,$AV152&lt;&gt;$AR152,FALSE)</f>
      </c>
      <c r="AG152" s="202">
        <f>IF($C152,IF($AV152&lt;&gt;$AR152,$AW152,""),"")</f>
      </c>
      <c r="AH152" s="203">
        <f>IF($C152,'Backlog General'!$L152,"")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IF($C152,IFERROR(VLOOKUP($D152,'Sprints'!$G$5:$H$12,2,FALSE),"Semanal"),"")</f>
      </c>
      <c r="AP152" s="202">
        <f>IF($C152,IF($AO152="Semanal",'Sprints'!$D$5,IF($AO152="Quincenal",'Sprints'!$D$6,'Sprints'!$D$7)),"")</f>
      </c>
      <c r="AQ152" s="202">
        <f>IF($C152,IF($AO152="Semanal",'Sprints'!$C$5,IF($AO152="Quincenal",'Sprints'!$C$6,'Sprints'!$C$7)),"")</f>
      </c>
      <c r="AR152" s="202">
        <f>IF(AND($C152,ISNUMBER($H152)),MAX(1,INT(($H152-$AQ152)/$AP152)+1),"")</f>
      </c>
      <c r="AS152" s="202">
        <f>IF($C152,IF($AO152="Semanal",'Sprints'!$E$5,IF($AO152="Quincenal",'Sprints'!$E$6,'Sprints'!$E$7)),"")</f>
      </c>
      <c r="AT152" s="203">
        <f>IF($C152,'Backlog General'!$G152,"")</f>
      </c>
      <c r="AU152" s="203">
        <f>IF($C152,'Backlog General'!$H152,"")</f>
      </c>
      <c r="AV152" s="202">
        <f>IF(AND($C152,ISNUMBER($AR152)),IF(OR($AT152="Completo",$AU152="Cancelado",$AU152="Baja prioridad"),$AR152,IF($AU152="Pasa al siguiente",MAX($AR152+1,$AS152),MAX($AR152,$AS152))),"")</f>
      </c>
      <c r="AW152" s="202">
        <f>IF(AND($C152,ISNUMBER($AR152)),$AQ152+$AR152*$AP152-1,"")</f>
      </c>
      <c r="AX152" s="202">
        <f>IF($C152,IF(OR($AT152="Completo",$AU152="Cancelado",$AU152="Baja prioridad",NOT(ISNUMBER($AW152))),0,MAX(0,TODAY()-$AW152)),"")</f>
      </c>
      <c r="AY152" s="203">
        <f>IF($C152,IF(NOT(ISNUMBER($AR152)),"Sin fecha",IF($AT152="Completo","Completo",IF($AU152="Cancelado","Cancelado",IF($AU152="Baja prioridad","Baja prioridad",IF($AX152&gt;0,"Vencida","Pendiente"))))),"")</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row>
    <row r="153">
      <c r="A153" s="202">
        <f>ROW()</f>
      </c>
      <c r="B153" s="202">
        <f>ISTEXT('Proyecto Datos (OKR´s)'!$K153)</f>
      </c>
      <c r="C153" s="202">
        <f>AND(LEN('Proyecto Datos (OKR´s)'!$G153)&gt;0,NOT($B153),OR(ISNUMBER('Proyecto Datos (OKR´s)'!$F153),ISNUMBER('Proyecto Datos (OKR´s)'!$L153)))</f>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IF($C153,'Proyecto Datos (OKR´s)'!$J153,"")</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f>IF($C153,$AV153&lt;&gt;$AR153,FALSE)</f>
      </c>
      <c r="AG153" s="202">
        <f>IF($C153,IF($AV153&lt;&gt;$AR153,$AW153,""),"")</f>
      </c>
      <c r="AH153" s="203">
        <f>IF($C153,'Backlog General'!$L153,"")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IF($C153,IFERROR(VLOOKUP($D153,'Sprints'!$G$5:$H$12,2,FALSE),"Semanal"),"")</f>
      </c>
      <c r="AP153" s="202">
        <f>IF($C153,IF($AO153="Semanal",'Sprints'!$D$5,IF($AO153="Quincenal",'Sprints'!$D$6,'Sprints'!$D$7)),"")</f>
      </c>
      <c r="AQ153" s="202">
        <f>IF($C153,IF($AO153="Semanal",'Sprints'!$C$5,IF($AO153="Quincenal",'Sprints'!$C$6,'Sprints'!$C$7)),"")</f>
      </c>
      <c r="AR153" s="202">
        <f>IF(AND($C153,ISNUMBER($H153)),MAX(1,INT(($H153-$AQ153)/$AP153)+1),"")</f>
      </c>
      <c r="AS153" s="202">
        <f>IF($C153,IF($AO153="Semanal",'Sprints'!$E$5,IF($AO153="Quincenal",'Sprints'!$E$6,'Sprints'!$E$7)),"")</f>
      </c>
      <c r="AT153" s="203">
        <f>IF($C153,'Backlog General'!$G153,"")</f>
      </c>
      <c r="AU153" s="203">
        <f>IF($C153,'Backlog General'!$H153,"")</f>
      </c>
      <c r="AV153" s="202">
        <f>IF(AND($C153,ISNUMBER($AR153)),IF(OR($AT153="Completo",$AU153="Cancelado",$AU153="Baja prioridad"),$AR153,IF($AU153="Pasa al siguiente",MAX($AR153+1,$AS153),MAX($AR153,$AS153))),"")</f>
      </c>
      <c r="AW153" s="202">
        <f>IF(AND($C153,ISNUMBER($AR153)),$AQ153+$AR153*$AP153-1,"")</f>
      </c>
      <c r="AX153" s="202">
        <f>IF($C153,IF(OR($AT153="Completo",$AU153="Cancelado",$AU153="Baja prioridad",NOT(ISNUMBER($AW153))),0,MAX(0,TODAY()-$AW153)),"")</f>
      </c>
      <c r="AY153" s="203">
        <f>IF($C153,IF(NOT(ISNUMBER($AR153)),"Sin fecha",IF($AT153="Completo","Completo",IF($AU153="Cancelado","Cancelado",IF($AU153="Baja prioridad","Baja prioridad",IF($AX153&gt;0,"Vencida","Pendiente"))))),"")</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row>
    <row r="154">
      <c r="A154" s="202">
        <f>ROW()</f>
      </c>
      <c r="B154" s="202">
        <f>ISTEXT('Proyecto Datos (OKR´s)'!$K154)</f>
      </c>
      <c r="C154" s="202">
        <f>AND(LEN('Proyecto Datos (OKR´s)'!$G154)&gt;0,NOT($B154),OR(ISNUMBER('Proyecto Datos (OKR´s)'!$F154),ISNUMBER('Proyecto Datos (OKR´s)'!$L154)))</f>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IF($C154,'Proyecto Datos (OKR´s)'!$J154,"")</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f>IF($C154,$AV154&lt;&gt;$AR154,FALSE)</f>
      </c>
      <c r="AG154" s="202">
        <f>IF($C154,IF($AV154&lt;&gt;$AR154,$AW154,""),"")</f>
      </c>
      <c r="AH154" s="203">
        <f>IF($C154,'Backlog General'!$L154,"")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IF($C154,IFERROR(VLOOKUP($D154,'Sprints'!$G$5:$H$12,2,FALSE),"Semanal"),"")</f>
      </c>
      <c r="AP154" s="202">
        <f>IF($C154,IF($AO154="Semanal",'Sprints'!$D$5,IF($AO154="Quincenal",'Sprints'!$D$6,'Sprints'!$D$7)),"")</f>
      </c>
      <c r="AQ154" s="202">
        <f>IF($C154,IF($AO154="Semanal",'Sprints'!$C$5,IF($AO154="Quincenal",'Sprints'!$C$6,'Sprints'!$C$7)),"")</f>
      </c>
      <c r="AR154" s="202">
        <f>IF(AND($C154,ISNUMBER($H154)),MAX(1,INT(($H154-$AQ154)/$AP154)+1),"")</f>
      </c>
      <c r="AS154" s="202">
        <f>IF($C154,IF($AO154="Semanal",'Sprints'!$E$5,IF($AO154="Quincenal",'Sprints'!$E$6,'Sprints'!$E$7)),"")</f>
      </c>
      <c r="AT154" s="203">
        <f>IF($C154,'Backlog General'!$G154,"")</f>
      </c>
      <c r="AU154" s="203">
        <f>IF($C154,'Backlog General'!$H154,"")</f>
      </c>
      <c r="AV154" s="202">
        <f>IF(AND($C154,ISNUMBER($AR154)),IF(OR($AT154="Completo",$AU154="Cancelado",$AU154="Baja prioridad"),$AR154,IF($AU154="Pasa al siguiente",MAX($AR154+1,$AS154),MAX($AR154,$AS154))),"")</f>
      </c>
      <c r="AW154" s="202">
        <f>IF(AND($C154,ISNUMBER($AR154)),$AQ154+$AR154*$AP154-1,"")</f>
      </c>
      <c r="AX154" s="202">
        <f>IF($C154,IF(OR($AT154="Completo",$AU154="Cancelado",$AU154="Baja prioridad",NOT(ISNUMBER($AW154))),0,MAX(0,TODAY()-$AW154)),"")</f>
      </c>
      <c r="AY154" s="203">
        <f>IF($C154,IF(NOT(ISNUMBER($AR154)),"Sin fecha",IF($AT154="Completo","Completo",IF($AU154="Cancelado","Cancelado",IF($AU154="Baja prioridad","Baja prioridad",IF($AX154&gt;0,"Vencida","Pendiente"))))),"")</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row>
    <row r="155">
      <c r="A155" s="202">
        <f>ROW()</f>
      </c>
      <c r="B155" s="202">
        <f>ISTEXT('Proyecto Datos (OKR´s)'!$K155)</f>
      </c>
      <c r="C155" s="202">
        <f>AND(LEN('Proyecto Datos (OKR´s)'!$G155)&gt;0,NOT($B155),OR(ISNUMBER('Proyecto Datos (OKR´s)'!$F155),ISNUMBER('Proyecto Datos (OKR´s)'!$L155)))</f>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IF($C155,'Proyecto Datos (OKR´s)'!$J155,"")</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f>IF($C155,$AV155&lt;&gt;$AR155,FALSE)</f>
      </c>
      <c r="AG155" s="202">
        <f>IF($C155,IF($AV155&lt;&gt;$AR155,$AW155,""),"")</f>
      </c>
      <c r="AH155" s="203">
        <f>IF($C155,'Backlog General'!$L155,"")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IF($C155,IFERROR(VLOOKUP($D155,'Sprints'!$G$5:$H$12,2,FALSE),"Semanal"),"")</f>
      </c>
      <c r="AP155" s="202">
        <f>IF($C155,IF($AO155="Semanal",'Sprints'!$D$5,IF($AO155="Quincenal",'Sprints'!$D$6,'Sprints'!$D$7)),"")</f>
      </c>
      <c r="AQ155" s="202">
        <f>IF($C155,IF($AO155="Semanal",'Sprints'!$C$5,IF($AO155="Quincenal",'Sprints'!$C$6,'Sprints'!$C$7)),"")</f>
      </c>
      <c r="AR155" s="202">
        <f>IF(AND($C155,ISNUMBER($H155)),MAX(1,INT(($H155-$AQ155)/$AP155)+1),"")</f>
      </c>
      <c r="AS155" s="202">
        <f>IF($C155,IF($AO155="Semanal",'Sprints'!$E$5,IF($AO155="Quincenal",'Sprints'!$E$6,'Sprints'!$E$7)),"")</f>
      </c>
      <c r="AT155" s="203">
        <f>IF($C155,'Backlog General'!$G155,"")</f>
      </c>
      <c r="AU155" s="203">
        <f>IF($C155,'Backlog General'!$H155,"")</f>
      </c>
      <c r="AV155" s="202">
        <f>IF(AND($C155,ISNUMBER($AR155)),IF(OR($AT155="Completo",$AU155="Cancelado",$AU155="Baja prioridad"),$AR155,IF($AU155="Pasa al siguiente",MAX($AR155+1,$AS155),MAX($AR155,$AS155))),"")</f>
      </c>
      <c r="AW155" s="202">
        <f>IF(AND($C155,ISNUMBER($AR155)),$AQ155+$AR155*$AP155-1,"")</f>
      </c>
      <c r="AX155" s="202">
        <f>IF($C155,IF(OR($AT155="Completo",$AU155="Cancelado",$AU155="Baja prioridad",NOT(ISNUMBER($AW155))),0,MAX(0,TODAY()-$AW155)),"")</f>
      </c>
      <c r="AY155" s="203">
        <f>IF($C155,IF(NOT(ISNUMBER($AR155)),"Sin fecha",IF($AT155="Completo","Completo",IF($AU155="Cancelado","Cancelado",IF($AU155="Baja prioridad","Baja prioridad",IF($AX155&gt;0,"Vencida","Pendiente"))))),"")</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row>
    <row r="156">
      <c r="A156" s="202">
        <f>ROW()</f>
      </c>
      <c r="B156" s="202">
        <f>ISTEXT('Proyecto Datos (OKR´s)'!$K156)</f>
      </c>
      <c r="C156" s="202">
        <f>AND(LEN('Proyecto Datos (OKR´s)'!$G156)&gt;0,NOT($B156),OR(ISNUMBER('Proyecto Datos (OKR´s)'!$F156),ISNUMBER('Proyecto Datos (OKR´s)'!$L156)))</f>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IF($C156,'Proyecto Datos (OKR´s)'!$J156,"")</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f>IF($C156,$AV156&lt;&gt;$AR156,FALSE)</f>
      </c>
      <c r="AG156" s="202">
        <f>IF($C156,IF($AV156&lt;&gt;$AR156,$AW156,""),"")</f>
      </c>
      <c r="AH156" s="203">
        <f>IF($C156,'Backlog General'!$L156,"")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IF($C156,IFERROR(VLOOKUP($D156,'Sprints'!$G$5:$H$12,2,FALSE),"Semanal"),"")</f>
      </c>
      <c r="AP156" s="202">
        <f>IF($C156,IF($AO156="Semanal",'Sprints'!$D$5,IF($AO156="Quincenal",'Sprints'!$D$6,'Sprints'!$D$7)),"")</f>
      </c>
      <c r="AQ156" s="202">
        <f>IF($C156,IF($AO156="Semanal",'Sprints'!$C$5,IF($AO156="Quincenal",'Sprints'!$C$6,'Sprints'!$C$7)),"")</f>
      </c>
      <c r="AR156" s="202">
        <f>IF(AND($C156,ISNUMBER($H156)),MAX(1,INT(($H156-$AQ156)/$AP156)+1),"")</f>
      </c>
      <c r="AS156" s="202">
        <f>IF($C156,IF($AO156="Semanal",'Sprints'!$E$5,IF($AO156="Quincenal",'Sprints'!$E$6,'Sprints'!$E$7)),"")</f>
      </c>
      <c r="AT156" s="203">
        <f>IF($C156,'Backlog General'!$G156,"")</f>
      </c>
      <c r="AU156" s="203">
        <f>IF($C156,'Backlog General'!$H156,"")</f>
      </c>
      <c r="AV156" s="202">
        <f>IF(AND($C156,ISNUMBER($AR156)),IF(OR($AT156="Completo",$AU156="Cancelado",$AU156="Baja prioridad"),$AR156,IF($AU156="Pasa al siguiente",MAX($AR156+1,$AS156),MAX($AR156,$AS156))),"")</f>
      </c>
      <c r="AW156" s="202">
        <f>IF(AND($C156,ISNUMBER($AR156)),$AQ156+$AR156*$AP156-1,"")</f>
      </c>
      <c r="AX156" s="202">
        <f>IF($C156,IF(OR($AT156="Completo",$AU156="Cancelado",$AU156="Baja prioridad",NOT(ISNUMBER($AW156))),0,MAX(0,TODAY()-$AW156)),"")</f>
      </c>
      <c r="AY156" s="203">
        <f>IF($C156,IF(NOT(ISNUMBER($AR156)),"Sin fecha",IF($AT156="Completo","Completo",IF($AU156="Cancelado","Cancelado",IF($AU156="Baja prioridad","Baja prioridad",IF($AX156&gt;0,"Vencida","Pendiente"))))),"")</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row>
    <row r="157">
      <c r="A157" s="202">
        <f>ROW()</f>
      </c>
      <c r="B157" s="202">
        <f>ISTEXT('Proyecto Datos (OKR´s)'!$K157)</f>
      </c>
      <c r="C157" s="202">
        <f>AND(LEN('Proyecto Datos (OKR´s)'!$G157)&gt;0,NOT($B157),OR(ISNUMBER('Proyecto Datos (OKR´s)'!$F157),ISNUMBER('Proyecto Datos (OKR´s)'!$L157)))</f>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IF($C157,'Proyecto Datos (OKR´s)'!$J157,"")</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f>IF($C157,$AV157&lt;&gt;$AR157,FALSE)</f>
      </c>
      <c r="AG157" s="202">
        <f>IF($C157,IF($AV157&lt;&gt;$AR157,$AW157,""),"")</f>
      </c>
      <c r="AH157" s="203">
        <f>IF($C157,'Backlog General'!$L157,"")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IF($C157,IFERROR(VLOOKUP($D157,'Sprints'!$G$5:$H$12,2,FALSE),"Semanal"),"")</f>
      </c>
      <c r="AP157" s="202">
        <f>IF($C157,IF($AO157="Semanal",'Sprints'!$D$5,IF($AO157="Quincenal",'Sprints'!$D$6,'Sprints'!$D$7)),"")</f>
      </c>
      <c r="AQ157" s="202">
        <f>IF($C157,IF($AO157="Semanal",'Sprints'!$C$5,IF($AO157="Quincenal",'Sprints'!$C$6,'Sprints'!$C$7)),"")</f>
      </c>
      <c r="AR157" s="202">
        <f>IF(AND($C157,ISNUMBER($H157)),MAX(1,INT(($H157-$AQ157)/$AP157)+1),"")</f>
      </c>
      <c r="AS157" s="202">
        <f>IF($C157,IF($AO157="Semanal",'Sprints'!$E$5,IF($AO157="Quincenal",'Sprints'!$E$6,'Sprints'!$E$7)),"")</f>
      </c>
      <c r="AT157" s="203">
        <f>IF($C157,'Backlog General'!$G157,"")</f>
      </c>
      <c r="AU157" s="203">
        <f>IF($C157,'Backlog General'!$H157,"")</f>
      </c>
      <c r="AV157" s="202">
        <f>IF(AND($C157,ISNUMBER($AR157)),IF(OR($AT157="Completo",$AU157="Cancelado",$AU157="Baja prioridad"),$AR157,IF($AU157="Pasa al siguiente",MAX($AR157+1,$AS157),MAX($AR157,$AS157))),"")</f>
      </c>
      <c r="AW157" s="202">
        <f>IF(AND($C157,ISNUMBER($AR157)),$AQ157+$AR157*$AP157-1,"")</f>
      </c>
      <c r="AX157" s="202">
        <f>IF($C157,IF(OR($AT157="Completo",$AU157="Cancelado",$AU157="Baja prioridad",NOT(ISNUMBER($AW157))),0,MAX(0,TODAY()-$AW157)),"")</f>
      </c>
      <c r="AY157" s="203">
        <f>IF($C157,IF(NOT(ISNUMBER($AR157)),"Sin fecha",IF($AT157="Completo","Completo",IF($AU157="Cancelado","Cancelado",IF($AU157="Baja prioridad","Baja prioridad",IF($AX157&gt;0,"Vencida","Pendiente"))))),"")</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row>
    <row r="158">
      <c r="A158" s="202">
        <f>ROW()</f>
      </c>
      <c r="B158" s="202">
        <f>ISTEXT('Proyecto Datos (OKR´s)'!$K158)</f>
      </c>
      <c r="C158" s="202">
        <f>AND(LEN('Proyecto Datos (OKR´s)'!$G158)&gt;0,NOT($B158),OR(ISNUMBER('Proyecto Datos (OKR´s)'!$F158),ISNUMBER('Proyecto Datos (OKR´s)'!$L158)))</f>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IF($C158,'Proyecto Datos (OKR´s)'!$J158,"")</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f>IF($C158,$AV158&lt;&gt;$AR158,FALSE)</f>
      </c>
      <c r="AG158" s="202">
        <f>IF($C158,IF($AV158&lt;&gt;$AR158,$AW158,""),"")</f>
      </c>
      <c r="AH158" s="203">
        <f>IF($C158,'Backlog General'!$L158,"")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IF($C158,IFERROR(VLOOKUP($D158,'Sprints'!$G$5:$H$12,2,FALSE),"Semanal"),"")</f>
      </c>
      <c r="AP158" s="202">
        <f>IF($C158,IF($AO158="Semanal",'Sprints'!$D$5,IF($AO158="Quincenal",'Sprints'!$D$6,'Sprints'!$D$7)),"")</f>
      </c>
      <c r="AQ158" s="202">
        <f>IF($C158,IF($AO158="Semanal",'Sprints'!$C$5,IF($AO158="Quincenal",'Sprints'!$C$6,'Sprints'!$C$7)),"")</f>
      </c>
      <c r="AR158" s="202">
        <f>IF(AND($C158,ISNUMBER($H158)),MAX(1,INT(($H158-$AQ158)/$AP158)+1),"")</f>
      </c>
      <c r="AS158" s="202">
        <f>IF($C158,IF($AO158="Semanal",'Sprints'!$E$5,IF($AO158="Quincenal",'Sprints'!$E$6,'Sprints'!$E$7)),"")</f>
      </c>
      <c r="AT158" s="203">
        <f>IF($C158,'Backlog General'!$G158,"")</f>
      </c>
      <c r="AU158" s="203">
        <f>IF($C158,'Backlog General'!$H158,"")</f>
      </c>
      <c r="AV158" s="202">
        <f>IF(AND($C158,ISNUMBER($AR158)),IF(OR($AT158="Completo",$AU158="Cancelado",$AU158="Baja prioridad"),$AR158,IF($AU158="Pasa al siguiente",MAX($AR158+1,$AS158),MAX($AR158,$AS158))),"")</f>
      </c>
      <c r="AW158" s="202">
        <f>IF(AND($C158,ISNUMBER($AR158)),$AQ158+$AR158*$AP158-1,"")</f>
      </c>
      <c r="AX158" s="202">
        <f>IF($C158,IF(OR($AT158="Completo",$AU158="Cancelado",$AU158="Baja prioridad",NOT(ISNUMBER($AW158))),0,MAX(0,TODAY()-$AW158)),"")</f>
      </c>
      <c r="AY158" s="203">
        <f>IF($C158,IF(NOT(ISNUMBER($AR158)),"Sin fecha",IF($AT158="Completo","Completo",IF($AU158="Cancelado","Cancelado",IF($AU158="Baja prioridad","Baja prioridad",IF($AX158&gt;0,"Vencida","Pendiente"))))),"")</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row>
    <row r="159">
      <c r="A159" s="202">
        <f>ROW()</f>
      </c>
      <c r="B159" s="202">
        <f>ISTEXT('Proyecto Datos (OKR´s)'!$K159)</f>
      </c>
      <c r="C159" s="202">
        <f>AND(LEN('Proyecto Datos (OKR´s)'!$G159)&gt;0,NOT($B159),OR(ISNUMBER('Proyecto Datos (OKR´s)'!$F159),ISNUMBER('Proyecto Datos (OKR´s)'!$L159)))</f>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IF($C159,'Proyecto Datos (OKR´s)'!$J159,"")</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f>IF($C159,$AV159&lt;&gt;$AR159,FALSE)</f>
      </c>
      <c r="AG159" s="202">
        <f>IF($C159,IF($AV159&lt;&gt;$AR159,$AW159,""),"")</f>
      </c>
      <c r="AH159" s="203">
        <f>IF($C159,'Backlog General'!$L159,"")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IF($C159,IFERROR(VLOOKUP($D159,'Sprints'!$G$5:$H$12,2,FALSE),"Semanal"),"")</f>
      </c>
      <c r="AP159" s="202">
        <f>IF($C159,IF($AO159="Semanal",'Sprints'!$D$5,IF($AO159="Quincenal",'Sprints'!$D$6,'Sprints'!$D$7)),"")</f>
      </c>
      <c r="AQ159" s="202">
        <f>IF($C159,IF($AO159="Semanal",'Sprints'!$C$5,IF($AO159="Quincenal",'Sprints'!$C$6,'Sprints'!$C$7)),"")</f>
      </c>
      <c r="AR159" s="202">
        <f>IF(AND($C159,ISNUMBER($H159)),MAX(1,INT(($H159-$AQ159)/$AP159)+1),"")</f>
      </c>
      <c r="AS159" s="202">
        <f>IF($C159,IF($AO159="Semanal",'Sprints'!$E$5,IF($AO159="Quincenal",'Sprints'!$E$6,'Sprints'!$E$7)),"")</f>
      </c>
      <c r="AT159" s="203">
        <f>IF($C159,'Backlog General'!$G159,"")</f>
      </c>
      <c r="AU159" s="203">
        <f>IF($C159,'Backlog General'!$H159,"")</f>
      </c>
      <c r="AV159" s="202">
        <f>IF(AND($C159,ISNUMBER($AR159)),IF(OR($AT159="Completo",$AU159="Cancelado",$AU159="Baja prioridad"),$AR159,IF($AU159="Pasa al siguiente",MAX($AR159+1,$AS159),MAX($AR159,$AS159))),"")</f>
      </c>
      <c r="AW159" s="202">
        <f>IF(AND($C159,ISNUMBER($AR159)),$AQ159+$AR159*$AP159-1,"")</f>
      </c>
      <c r="AX159" s="202">
        <f>IF($C159,IF(OR($AT159="Completo",$AU159="Cancelado",$AU159="Baja prioridad",NOT(ISNUMBER($AW159))),0,MAX(0,TODAY()-$AW159)),"")</f>
      </c>
      <c r="AY159" s="203">
        <f>IF($C159,IF(NOT(ISNUMBER($AR159)),"Sin fecha",IF($AT159="Completo","Completo",IF($AU159="Cancelado","Cancelado",IF($AU159="Baja prioridad","Baja prioridad",IF($AX159&gt;0,"Vencida","Pendiente"))))),"")</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row>
    <row r="160">
      <c r="A160" s="202">
        <f>ROW()</f>
      </c>
      <c r="B160" s="202">
        <f>ISTEXT('Proyecto Datos (OKR´s)'!$K160)</f>
      </c>
      <c r="C160" s="202">
        <f>AND(LEN('Proyecto Datos (OKR´s)'!$G160)&gt;0,NOT($B160),OR(ISNUMBER('Proyecto Datos (OKR´s)'!$F160),ISNUMBER('Proyecto Datos (OKR´s)'!$L160)))</f>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IF($C160,'Proyecto Datos (OKR´s)'!$J160,"")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f>IF($C160,$AV160&lt;&gt;$AR160,FALSE)</f>
      </c>
      <c r="AG160" s="202">
        <f>IF($C160,IF($AV160&lt;&gt;$AR160,$AW160,""),"")</f>
      </c>
      <c r="AH160" s="203">
        <f>IF($C160,'Backlog General'!$L160,"")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IF($C160,IFERROR(VLOOKUP($D160,'Sprints'!$G$5:$H$12,2,FALSE),"Semanal"),"")</f>
      </c>
      <c r="AP160" s="202">
        <f>IF($C160,IF($AO160="Semanal",'Sprints'!$D$5,IF($AO160="Quincenal",'Sprints'!$D$6,'Sprints'!$D$7)),"")</f>
      </c>
      <c r="AQ160" s="202">
        <f>IF($C160,IF($AO160="Semanal",'Sprints'!$C$5,IF($AO160="Quincenal",'Sprints'!$C$6,'Sprints'!$C$7)),"")</f>
      </c>
      <c r="AR160" s="202">
        <f>IF(AND($C160,ISNUMBER($H160)),MAX(1,INT(($H160-$AQ160)/$AP160)+1),"")</f>
      </c>
      <c r="AS160" s="202">
        <f>IF($C160,IF($AO160="Semanal",'Sprints'!$E$5,IF($AO160="Quincenal",'Sprints'!$E$6,'Sprints'!$E$7)),"")</f>
      </c>
      <c r="AT160" s="203">
        <f>IF($C160,'Backlog General'!$G160,"")</f>
      </c>
      <c r="AU160" s="203">
        <f>IF($C160,'Backlog General'!$H160,"")</f>
      </c>
      <c r="AV160" s="202">
        <f>IF(AND($C160,ISNUMBER($AR160)),IF(OR($AT160="Completo",$AU160="Cancelado",$AU160="Baja prioridad"),$AR160,IF($AU160="Pasa al siguiente",MAX($AR160+1,$AS160),MAX($AR160,$AS160))),"")</f>
      </c>
      <c r="AW160" s="202">
        <f>IF(AND($C160,ISNUMBER($AR160)),$AQ160+$AR160*$AP160-1,"")</f>
      </c>
      <c r="AX160" s="202">
        <f>IF($C160,IF(OR($AT160="Completo",$AU160="Cancelado",$AU160="Baja prioridad",NOT(ISNUMBER($AW160))),0,MAX(0,TODAY()-$AW160)),"")</f>
      </c>
      <c r="AY160" s="203">
        <f>IF($C160,IF(NOT(ISNUMBER($AR160)),"Sin fecha",IF($AT160="Completo","Completo",IF($AU160="Cancelado","Cancelado",IF($AU160="Baja prioridad","Baja prioridad",IF($AX160&gt;0,"Vencida","Pendiente"))))),"")</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row>
    <row r="161">
      <c r="A161" s="202">
        <f>ROW()</f>
      </c>
      <c r="B161" s="202">
        <f>ISTEXT('Proyecto Datos (OKR´s)'!$K161)</f>
      </c>
      <c r="C161" s="202">
        <f>AND(LEN('Proyecto Datos (OKR´s)'!$G161)&gt;0,NOT($B161),OR(ISNUMBER('Proyecto Datos (OKR´s)'!$F161),ISNUMBER('Proyecto Datos (OKR´s)'!$L161)))</f>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IF($C161,'Proyecto Datos (OKR´s)'!$J161,"")</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f>IF($C161,$AV161&lt;&gt;$AR161,FALSE)</f>
      </c>
      <c r="AG161" s="202">
        <f>IF($C161,IF($AV161&lt;&gt;$AR161,$AW161,""),"")</f>
      </c>
      <c r="AH161" s="203">
        <f>IF($C161,'Backlog General'!$L161,"")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IF($C161,IFERROR(VLOOKUP($D161,'Sprints'!$G$5:$H$12,2,FALSE),"Semanal"),"")</f>
      </c>
      <c r="AP161" s="202">
        <f>IF($C161,IF($AO161="Semanal",'Sprints'!$D$5,IF($AO161="Quincenal",'Sprints'!$D$6,'Sprints'!$D$7)),"")</f>
      </c>
      <c r="AQ161" s="202">
        <f>IF($C161,IF($AO161="Semanal",'Sprints'!$C$5,IF($AO161="Quincenal",'Sprints'!$C$6,'Sprints'!$C$7)),"")</f>
      </c>
      <c r="AR161" s="202">
        <f>IF(AND($C161,ISNUMBER($H161)),MAX(1,INT(($H161-$AQ161)/$AP161)+1),"")</f>
      </c>
      <c r="AS161" s="202">
        <f>IF($C161,IF($AO161="Semanal",'Sprints'!$E$5,IF($AO161="Quincenal",'Sprints'!$E$6,'Sprints'!$E$7)),"")</f>
      </c>
      <c r="AT161" s="203">
        <f>IF($C161,'Backlog General'!$G161,"")</f>
      </c>
      <c r="AU161" s="203">
        <f>IF($C161,'Backlog General'!$H161,"")</f>
      </c>
      <c r="AV161" s="202">
        <f>IF(AND($C161,ISNUMBER($AR161)),IF(OR($AT161="Completo",$AU161="Cancelado",$AU161="Baja prioridad"),$AR161,IF($AU161="Pasa al siguiente",MAX($AR161+1,$AS161),MAX($AR161,$AS161))),"")</f>
      </c>
      <c r="AW161" s="202">
        <f>IF(AND($C161,ISNUMBER($AR161)),$AQ161+$AR161*$AP161-1,"")</f>
      </c>
      <c r="AX161" s="202">
        <f>IF($C161,IF(OR($AT161="Completo",$AU161="Cancelado",$AU161="Baja prioridad",NOT(ISNUMBER($AW161))),0,MAX(0,TODAY()-$AW161)),"")</f>
      </c>
      <c r="AY161" s="203">
        <f>IF($C161,IF(NOT(ISNUMBER($AR161)),"Sin fecha",IF($AT161="Completo","Completo",IF($AU161="Cancelado","Cancelado",IF($AU161="Baja prioridad","Baja prioridad",IF($AX161&gt;0,"Vencida","Pendiente"))))),"")</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row>
    <row r="162">
      <c r="A162" s="202">
        <f>ROW()</f>
      </c>
      <c r="B162" s="202">
        <f>ISTEXT('Proyecto Datos (OKR´s)'!$K162)</f>
      </c>
      <c r="C162" s="202">
        <f>AND(LEN('Proyecto Datos (OKR´s)'!$G162)&gt;0,NOT($B162),OR(ISNUMBER('Proyecto Datos (OKR´s)'!$F162),ISNUMBER('Proyecto Datos (OKR´s)'!$L162)))</f>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IF($C162,'Proyecto Datos (OKR´s)'!$J162,"")</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f>IF($C162,$AV162&lt;&gt;$AR162,FALSE)</f>
      </c>
      <c r="AG162" s="202">
        <f>IF($C162,IF($AV162&lt;&gt;$AR162,$AW162,""),"")</f>
      </c>
      <c r="AH162" s="203">
        <f>IF($C162,'Backlog General'!$L162,"")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IF($C162,IFERROR(VLOOKUP($D162,'Sprints'!$G$5:$H$12,2,FALSE),"Semanal"),"")</f>
      </c>
      <c r="AP162" s="202">
        <f>IF($C162,IF($AO162="Semanal",'Sprints'!$D$5,IF($AO162="Quincenal",'Sprints'!$D$6,'Sprints'!$D$7)),"")</f>
      </c>
      <c r="AQ162" s="202">
        <f>IF($C162,IF($AO162="Semanal",'Sprints'!$C$5,IF($AO162="Quincenal",'Sprints'!$C$6,'Sprints'!$C$7)),"")</f>
      </c>
      <c r="AR162" s="202">
        <f>IF(AND($C162,ISNUMBER($H162)),MAX(1,INT(($H162-$AQ162)/$AP162)+1),"")</f>
      </c>
      <c r="AS162" s="202">
        <f>IF($C162,IF($AO162="Semanal",'Sprints'!$E$5,IF($AO162="Quincenal",'Sprints'!$E$6,'Sprints'!$E$7)),"")</f>
      </c>
      <c r="AT162" s="203">
        <f>IF($C162,'Backlog General'!$G162,"")</f>
      </c>
      <c r="AU162" s="203">
        <f>IF($C162,'Backlog General'!$H162,"")</f>
      </c>
      <c r="AV162" s="202">
        <f>IF(AND($C162,ISNUMBER($AR162)),IF(OR($AT162="Completo",$AU162="Cancelado",$AU162="Baja prioridad"),$AR162,IF($AU162="Pasa al siguiente",MAX($AR162+1,$AS162),MAX($AR162,$AS162))),"")</f>
      </c>
      <c r="AW162" s="202">
        <f>IF(AND($C162,ISNUMBER($AR162)),$AQ162+$AR162*$AP162-1,"")</f>
      </c>
      <c r="AX162" s="202">
        <f>IF($C162,IF(OR($AT162="Completo",$AU162="Cancelado",$AU162="Baja prioridad",NOT(ISNUMBER($AW162))),0,MAX(0,TODAY()-$AW162)),"")</f>
      </c>
      <c r="AY162" s="203">
        <f>IF($C162,IF(NOT(ISNUMBER($AR162)),"Sin fecha",IF($AT162="Completo","Completo",IF($AU162="Cancelado","Cancelado",IF($AU162="Baja prioridad","Baja prioridad",IF($AX162&gt;0,"Vencida","Pendiente"))))),"")</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row>
    <row r="163">
      <c r="A163" s="202">
        <f>ROW()</f>
      </c>
      <c r="B163" s="202">
        <f>ISTEXT('Proyecto Datos (OKR´s)'!$K163)</f>
      </c>
      <c r="C163" s="202">
        <f>AND(LEN('Proyecto Datos (OKR´s)'!$G163)&gt;0,NOT($B163),OR(ISNUMBER('Proyecto Datos (OKR´s)'!$F163),ISNUMBER('Proyecto Datos (OKR´s)'!$L163)))</f>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IF($C163,'Proyecto Datos (OKR´s)'!$J163,"")</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f>IF($C163,$AV163&lt;&gt;$AR163,FALSE)</f>
      </c>
      <c r="AG163" s="202">
        <f>IF($C163,IF($AV163&lt;&gt;$AR163,$AW163,""),"")</f>
      </c>
      <c r="AH163" s="203">
        <f>IF($C163,'Backlog General'!$L163,"")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IF($C163,IFERROR(VLOOKUP($D163,'Sprints'!$G$5:$H$12,2,FALSE),"Semanal"),"")</f>
      </c>
      <c r="AP163" s="202">
        <f>IF($C163,IF($AO163="Semanal",'Sprints'!$D$5,IF($AO163="Quincenal",'Sprints'!$D$6,'Sprints'!$D$7)),"")</f>
      </c>
      <c r="AQ163" s="202">
        <f>IF($C163,IF($AO163="Semanal",'Sprints'!$C$5,IF($AO163="Quincenal",'Sprints'!$C$6,'Sprints'!$C$7)),"")</f>
      </c>
      <c r="AR163" s="202">
        <f>IF(AND($C163,ISNUMBER($H163)),MAX(1,INT(($H163-$AQ163)/$AP163)+1),"")</f>
      </c>
      <c r="AS163" s="202">
        <f>IF($C163,IF($AO163="Semanal",'Sprints'!$E$5,IF($AO163="Quincenal",'Sprints'!$E$6,'Sprints'!$E$7)),"")</f>
      </c>
      <c r="AT163" s="203">
        <f>IF($C163,'Backlog General'!$G163,"")</f>
      </c>
      <c r="AU163" s="203">
        <f>IF($C163,'Backlog General'!$H163,"")</f>
      </c>
      <c r="AV163" s="202">
        <f>IF(AND($C163,ISNUMBER($AR163)),IF(OR($AT163="Completo",$AU163="Cancelado",$AU163="Baja prioridad"),$AR163,IF($AU163="Pasa al siguiente",MAX($AR163+1,$AS163),MAX($AR163,$AS163))),"")</f>
      </c>
      <c r="AW163" s="202">
        <f>IF(AND($C163,ISNUMBER($AR163)),$AQ163+$AR163*$AP163-1,"")</f>
      </c>
      <c r="AX163" s="202">
        <f>IF($C163,IF(OR($AT163="Completo",$AU163="Cancelado",$AU163="Baja prioridad",NOT(ISNUMBER($AW163))),0,MAX(0,TODAY()-$AW163)),"")</f>
      </c>
      <c r="AY163" s="203">
        <f>IF($C163,IF(NOT(ISNUMBER($AR163)),"Sin fecha",IF($AT163="Completo","Completo",IF($AU163="Cancelado","Cancelado",IF($AU163="Baja prioridad","Baja prioridad",IF($AX163&gt;0,"Vencida","Pendiente"))))),"")</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row>
    <row r="164">
      <c r="A164" s="202">
        <f>ROW()</f>
      </c>
      <c r="B164" s="202">
        <f>ISTEXT('Proyecto Datos (OKR´s)'!$K164)</f>
      </c>
      <c r="C164" s="202">
        <f>AND(LEN('Proyecto Datos (OKR´s)'!$G164)&gt;0,NOT($B164),OR(ISNUMBER('Proyecto Datos (OKR´s)'!$F164),ISNUMBER('Proyecto Datos (OKR´s)'!$L164)))</f>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IF($C164,'Proyecto Datos (OKR´s)'!$J164,"")</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f>IF($C164,$AV164&lt;&gt;$AR164,FALSE)</f>
      </c>
      <c r="AG164" s="202">
        <f>IF($C164,IF($AV164&lt;&gt;$AR164,$AW164,""),"")</f>
      </c>
      <c r="AH164" s="203">
        <f>IF($C164,'Backlog General'!$L164,"")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IF($C164,IFERROR(VLOOKUP($D164,'Sprints'!$G$5:$H$12,2,FALSE),"Semanal"),"")</f>
      </c>
      <c r="AP164" s="202">
        <f>IF($C164,IF($AO164="Semanal",'Sprints'!$D$5,IF($AO164="Quincenal",'Sprints'!$D$6,'Sprints'!$D$7)),"")</f>
      </c>
      <c r="AQ164" s="202">
        <f>IF($C164,IF($AO164="Semanal",'Sprints'!$C$5,IF($AO164="Quincenal",'Sprints'!$C$6,'Sprints'!$C$7)),"")</f>
      </c>
      <c r="AR164" s="202">
        <f>IF(AND($C164,ISNUMBER($H164)),MAX(1,INT(($H164-$AQ164)/$AP164)+1),"")</f>
      </c>
      <c r="AS164" s="202">
        <f>IF($C164,IF($AO164="Semanal",'Sprints'!$E$5,IF($AO164="Quincenal",'Sprints'!$E$6,'Sprints'!$E$7)),"")</f>
      </c>
      <c r="AT164" s="203">
        <f>IF($C164,'Backlog General'!$G164,"")</f>
      </c>
      <c r="AU164" s="203">
        <f>IF($C164,'Backlog General'!$H164,"")</f>
      </c>
      <c r="AV164" s="202">
        <f>IF(AND($C164,ISNUMBER($AR164)),IF(OR($AT164="Completo",$AU164="Cancelado",$AU164="Baja prioridad"),$AR164,IF($AU164="Pasa al siguiente",MAX($AR164+1,$AS164),MAX($AR164,$AS164))),"")</f>
      </c>
      <c r="AW164" s="202">
        <f>IF(AND($C164,ISNUMBER($AR164)),$AQ164+$AR164*$AP164-1,"")</f>
      </c>
      <c r="AX164" s="202">
        <f>IF($C164,IF(OR($AT164="Completo",$AU164="Cancelado",$AU164="Baja prioridad",NOT(ISNUMBER($AW164))),0,MAX(0,TODAY()-$AW164)),"")</f>
      </c>
      <c r="AY164" s="203">
        <f>IF($C164,IF(NOT(ISNUMBER($AR164)),"Sin fecha",IF($AT164="Completo","Completo",IF($AU164="Cancelado","Cancelado",IF($AU164="Baja prioridad","Baja prioridad",IF($AX164&gt;0,"Vencida","Pendiente"))))),"")</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row>
    <row r="165">
      <c r="A165" s="202">
        <f>ROW()</f>
      </c>
      <c r="B165" s="202">
        <f>ISTEXT('Proyecto Datos (OKR´s)'!$K165)</f>
      </c>
      <c r="C165" s="202">
        <f>AND(LEN('Proyecto Datos (OKR´s)'!$G165)&gt;0,NOT($B165),OR(ISNUMBER('Proyecto Datos (OKR´s)'!$F165),ISNUMBER('Proyecto Datos (OKR´s)'!$L165)))</f>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IF($C165,'Proyecto Datos (OKR´s)'!$J165,"")</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f>IF($C165,$AV165&lt;&gt;$AR165,FALSE)</f>
      </c>
      <c r="AG165" s="202">
        <f>IF($C165,IF($AV165&lt;&gt;$AR165,$AW165,""),"")</f>
      </c>
      <c r="AH165" s="203">
        <f>IF($C165,'Backlog General'!$L165,"")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IF($C165,IFERROR(VLOOKUP($D165,'Sprints'!$G$5:$H$12,2,FALSE),"Semanal"),"")</f>
      </c>
      <c r="AP165" s="202">
        <f>IF($C165,IF($AO165="Semanal",'Sprints'!$D$5,IF($AO165="Quincenal",'Sprints'!$D$6,'Sprints'!$D$7)),"")</f>
      </c>
      <c r="AQ165" s="202">
        <f>IF($C165,IF($AO165="Semanal",'Sprints'!$C$5,IF($AO165="Quincenal",'Sprints'!$C$6,'Sprints'!$C$7)),"")</f>
      </c>
      <c r="AR165" s="202">
        <f>IF(AND($C165,ISNUMBER($H165)),MAX(1,INT(($H165-$AQ165)/$AP165)+1),"")</f>
      </c>
      <c r="AS165" s="202">
        <f>IF($C165,IF($AO165="Semanal",'Sprints'!$E$5,IF($AO165="Quincenal",'Sprints'!$E$6,'Sprints'!$E$7)),"")</f>
      </c>
      <c r="AT165" s="203">
        <f>IF($C165,'Backlog General'!$G165,"")</f>
      </c>
      <c r="AU165" s="203">
        <f>IF($C165,'Backlog General'!$H165,"")</f>
      </c>
      <c r="AV165" s="202">
        <f>IF(AND($C165,ISNUMBER($AR165)),IF(OR($AT165="Completo",$AU165="Cancelado",$AU165="Baja prioridad"),$AR165,IF($AU165="Pasa al siguiente",MAX($AR165+1,$AS165),MAX($AR165,$AS165))),"")</f>
      </c>
      <c r="AW165" s="202">
        <f>IF(AND($C165,ISNUMBER($AR165)),$AQ165+$AR165*$AP165-1,"")</f>
      </c>
      <c r="AX165" s="202">
        <f>IF($C165,IF(OR($AT165="Completo",$AU165="Cancelado",$AU165="Baja prioridad",NOT(ISNUMBER($AW165))),0,MAX(0,TODAY()-$AW165)),"")</f>
      </c>
      <c r="AY165" s="203">
        <f>IF($C165,IF(NOT(ISNUMBER($AR165)),"Sin fecha",IF($AT165="Completo","Completo",IF($AU165="Cancelado","Cancelado",IF($AU165="Baja prioridad","Baja prioridad",IF($AX165&gt;0,"Vencida","Pendiente"))))),"")</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row>
    <row r="166">
      <c r="A166" s="202">
        <f>ROW()</f>
      </c>
      <c r="B166" s="202">
        <f>ISTEXT('Proyecto Datos (OKR´s)'!$K166)</f>
      </c>
      <c r="C166" s="202">
        <f>AND(LEN('Proyecto Datos (OKR´s)'!$G166)&gt;0,NOT($B166),OR(ISNUMBER('Proyecto Datos (OKR´s)'!$F166),ISNUMBER('Proyecto Datos (OKR´s)'!$L166)))</f>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IF($C166,'Proyecto Datos (OKR´s)'!$J166,"")</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f>IF($C166,$AV166&lt;&gt;$AR166,FALSE)</f>
      </c>
      <c r="AG166" s="202">
        <f>IF($C166,IF($AV166&lt;&gt;$AR166,$AW166,""),"")</f>
      </c>
      <c r="AH166" s="203">
        <f>IF($C166,'Backlog General'!$L166,"")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IF($C166,IFERROR(VLOOKUP($D166,'Sprints'!$G$5:$H$12,2,FALSE),"Semanal"),"")</f>
      </c>
      <c r="AP166" s="202">
        <f>IF($C166,IF($AO166="Semanal",'Sprints'!$D$5,IF($AO166="Quincenal",'Sprints'!$D$6,'Sprints'!$D$7)),"")</f>
      </c>
      <c r="AQ166" s="202">
        <f>IF($C166,IF($AO166="Semanal",'Sprints'!$C$5,IF($AO166="Quincenal",'Sprints'!$C$6,'Sprints'!$C$7)),"")</f>
      </c>
      <c r="AR166" s="202">
        <f>IF(AND($C166,ISNUMBER($H166)),MAX(1,INT(($H166-$AQ166)/$AP166)+1),"")</f>
      </c>
      <c r="AS166" s="202">
        <f>IF($C166,IF($AO166="Semanal",'Sprints'!$E$5,IF($AO166="Quincenal",'Sprints'!$E$6,'Sprints'!$E$7)),"")</f>
      </c>
      <c r="AT166" s="203">
        <f>IF($C166,'Backlog General'!$G166,"")</f>
      </c>
      <c r="AU166" s="203">
        <f>IF($C166,'Backlog General'!$H166,"")</f>
      </c>
      <c r="AV166" s="202">
        <f>IF(AND($C166,ISNUMBER($AR166)),IF(OR($AT166="Completo",$AU166="Cancelado",$AU166="Baja prioridad"),$AR166,IF($AU166="Pasa al siguiente",MAX($AR166+1,$AS166),MAX($AR166,$AS166))),"")</f>
      </c>
      <c r="AW166" s="202">
        <f>IF(AND($C166,ISNUMBER($AR166)),$AQ166+$AR166*$AP166-1,"")</f>
      </c>
      <c r="AX166" s="202">
        <f>IF($C166,IF(OR($AT166="Completo",$AU166="Cancelado",$AU166="Baja prioridad",NOT(ISNUMBER($AW166))),0,MAX(0,TODAY()-$AW166)),"")</f>
      </c>
      <c r="AY166" s="203">
        <f>IF($C166,IF(NOT(ISNUMBER($AR166)),"Sin fecha",IF($AT166="Completo","Completo",IF($AU166="Cancelado","Cancelado",IF($AU166="Baja prioridad","Baja prioridad",IF($AX166&gt;0,"Vencida","Pendiente"))))),"")</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row>
    <row r="167">
      <c r="A167" s="202">
        <f>ROW()</f>
      </c>
      <c r="B167" s="202">
        <f>ISTEXT('Proyecto Datos (OKR´s)'!$K167)</f>
      </c>
      <c r="C167" s="202">
        <f>AND(LEN('Proyecto Datos (OKR´s)'!$G167)&gt;0,NOT($B167),OR(ISNUMBER('Proyecto Datos (OKR´s)'!$F167),ISNUMBER('Proyecto Datos (OKR´s)'!$L167)))</f>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IF($C167,'Proyecto Datos (OKR´s)'!$J167,"")</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f>IF($C167,$AV167&lt;&gt;$AR167,FALSE)</f>
      </c>
      <c r="AG167" s="202">
        <f>IF($C167,IF($AV167&lt;&gt;$AR167,$AW167,""),"")</f>
      </c>
      <c r="AH167" s="203">
        <f>IF($C167,'Backlog General'!$L167,"")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IF($C167,IFERROR(VLOOKUP($D167,'Sprints'!$G$5:$H$12,2,FALSE),"Semanal"),"")</f>
      </c>
      <c r="AP167" s="202">
        <f>IF($C167,IF($AO167="Semanal",'Sprints'!$D$5,IF($AO167="Quincenal",'Sprints'!$D$6,'Sprints'!$D$7)),"")</f>
      </c>
      <c r="AQ167" s="202">
        <f>IF($C167,IF($AO167="Semanal",'Sprints'!$C$5,IF($AO167="Quincenal",'Sprints'!$C$6,'Sprints'!$C$7)),"")</f>
      </c>
      <c r="AR167" s="202">
        <f>IF(AND($C167,ISNUMBER($H167)),MAX(1,INT(($H167-$AQ167)/$AP167)+1),"")</f>
      </c>
      <c r="AS167" s="202">
        <f>IF($C167,IF($AO167="Semanal",'Sprints'!$E$5,IF($AO167="Quincenal",'Sprints'!$E$6,'Sprints'!$E$7)),"")</f>
      </c>
      <c r="AT167" s="203">
        <f>IF($C167,'Backlog General'!$G167,"")</f>
      </c>
      <c r="AU167" s="203">
        <f>IF($C167,'Backlog General'!$H167,"")</f>
      </c>
      <c r="AV167" s="202">
        <f>IF(AND($C167,ISNUMBER($AR167)),IF(OR($AT167="Completo",$AU167="Cancelado",$AU167="Baja prioridad"),$AR167,IF($AU167="Pasa al siguiente",MAX($AR167+1,$AS167),MAX($AR167,$AS167))),"")</f>
      </c>
      <c r="AW167" s="202">
        <f>IF(AND($C167,ISNUMBER($AR167)),$AQ167+$AR167*$AP167-1,"")</f>
      </c>
      <c r="AX167" s="202">
        <f>IF($C167,IF(OR($AT167="Completo",$AU167="Cancelado",$AU167="Baja prioridad",NOT(ISNUMBER($AW167))),0,MAX(0,TODAY()-$AW167)),"")</f>
      </c>
      <c r="AY167" s="203">
        <f>IF($C167,IF(NOT(ISNUMBER($AR167)),"Sin fecha",IF($AT167="Completo","Completo",IF($AU167="Cancelado","Cancelado",IF($AU167="Baja prioridad","Baja prioridad",IF($AX167&gt;0,"Vencida","Pendiente"))))),"")</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row>
    <row r="168">
      <c r="A168" s="202">
        <f>ROW()</f>
      </c>
      <c r="B168" s="202">
        <f>ISTEXT('Proyecto Datos (OKR´s)'!$K168)</f>
      </c>
      <c r="C168" s="202">
        <f>AND(LEN('Proyecto Datos (OKR´s)'!$G168)&gt;0,NOT($B168),OR(ISNUMBER('Proyecto Datos (OKR´s)'!$F168),ISNUMBER('Proyecto Datos (OKR´s)'!$L168)))</f>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IF($C168,'Proyecto Datos (OKR´s)'!$J168,"")</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f>IF($C168,$AV168&lt;&gt;$AR168,FALSE)</f>
      </c>
      <c r="AG168" s="202">
        <f>IF($C168,IF($AV168&lt;&gt;$AR168,$AW168,""),"")</f>
      </c>
      <c r="AH168" s="203">
        <f>IF($C168,'Backlog General'!$L168,"")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IF($C168,IFERROR(VLOOKUP($D168,'Sprints'!$G$5:$H$12,2,FALSE),"Semanal"),"")</f>
      </c>
      <c r="AP168" s="202">
        <f>IF($C168,IF($AO168="Semanal",'Sprints'!$D$5,IF($AO168="Quincenal",'Sprints'!$D$6,'Sprints'!$D$7)),"")</f>
      </c>
      <c r="AQ168" s="202">
        <f>IF($C168,IF($AO168="Semanal",'Sprints'!$C$5,IF($AO168="Quincenal",'Sprints'!$C$6,'Sprints'!$C$7)),"")</f>
      </c>
      <c r="AR168" s="202">
        <f>IF(AND($C168,ISNUMBER($H168)),MAX(1,INT(($H168-$AQ168)/$AP168)+1),"")</f>
      </c>
      <c r="AS168" s="202">
        <f>IF($C168,IF($AO168="Semanal",'Sprints'!$E$5,IF($AO168="Quincenal",'Sprints'!$E$6,'Sprints'!$E$7)),"")</f>
      </c>
      <c r="AT168" s="203">
        <f>IF($C168,'Backlog General'!$G168,"")</f>
      </c>
      <c r="AU168" s="203">
        <f>IF($C168,'Backlog General'!$H168,"")</f>
      </c>
      <c r="AV168" s="202">
        <f>IF(AND($C168,ISNUMBER($AR168)),IF(OR($AT168="Completo",$AU168="Cancelado",$AU168="Baja prioridad"),$AR168,IF($AU168="Pasa al siguiente",MAX($AR168+1,$AS168),MAX($AR168,$AS168))),"")</f>
      </c>
      <c r="AW168" s="202">
        <f>IF(AND($C168,ISNUMBER($AR168)),$AQ168+$AR168*$AP168-1,"")</f>
      </c>
      <c r="AX168" s="202">
        <f>IF($C168,IF(OR($AT168="Completo",$AU168="Cancelado",$AU168="Baja prioridad",NOT(ISNUMBER($AW168))),0,MAX(0,TODAY()-$AW168)),"")</f>
      </c>
      <c r="AY168" s="203">
        <f>IF($C168,IF(NOT(ISNUMBER($AR168)),"Sin fecha",IF($AT168="Completo","Completo",IF($AU168="Cancelado","Cancelado",IF($AU168="Baja prioridad","Baja prioridad",IF($AX168&gt;0,"Vencida","Pendiente"))))),"")</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row>
    <row r="169">
      <c r="A169" s="202">
        <f>ROW()</f>
      </c>
      <c r="B169" s="202">
        <f>ISTEXT('Proyecto Datos (OKR´s)'!$K169)</f>
      </c>
      <c r="C169" s="202">
        <f>AND(LEN('Proyecto Datos (OKR´s)'!$G169)&gt;0,NOT($B169),OR(ISNUMBER('Proyecto Datos (OKR´s)'!$F169),ISNUMBER('Proyecto Datos (OKR´s)'!$L169)))</f>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IF($C169,'Proyecto Datos (OKR´s)'!$J169,"")</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f>IF($C169,$AV169&lt;&gt;$AR169,FALSE)</f>
      </c>
      <c r="AG169" s="202">
        <f>IF($C169,IF($AV169&lt;&gt;$AR169,$AW169,""),"")</f>
      </c>
      <c r="AH169" s="203">
        <f>IF($C169,'Backlog General'!$L169,"")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IF($C169,IFERROR(VLOOKUP($D169,'Sprints'!$G$5:$H$12,2,FALSE),"Semanal"),"")</f>
      </c>
      <c r="AP169" s="202">
        <f>IF($C169,IF($AO169="Semanal",'Sprints'!$D$5,IF($AO169="Quincenal",'Sprints'!$D$6,'Sprints'!$D$7)),"")</f>
      </c>
      <c r="AQ169" s="202">
        <f>IF($C169,IF($AO169="Semanal",'Sprints'!$C$5,IF($AO169="Quincenal",'Sprints'!$C$6,'Sprints'!$C$7)),"")</f>
      </c>
      <c r="AR169" s="202">
        <f>IF(AND($C169,ISNUMBER($H169)),MAX(1,INT(($H169-$AQ169)/$AP169)+1),"")</f>
      </c>
      <c r="AS169" s="202">
        <f>IF($C169,IF($AO169="Semanal",'Sprints'!$E$5,IF($AO169="Quincenal",'Sprints'!$E$6,'Sprints'!$E$7)),"")</f>
      </c>
      <c r="AT169" s="203">
        <f>IF($C169,'Backlog General'!$G169,"")</f>
      </c>
      <c r="AU169" s="203">
        <f>IF($C169,'Backlog General'!$H169,"")</f>
      </c>
      <c r="AV169" s="202">
        <f>IF(AND($C169,ISNUMBER($AR169)),IF(OR($AT169="Completo",$AU169="Cancelado",$AU169="Baja prioridad"),$AR169,IF($AU169="Pasa al siguiente",MAX($AR169+1,$AS169),MAX($AR169,$AS169))),"")</f>
      </c>
      <c r="AW169" s="202">
        <f>IF(AND($C169,ISNUMBER($AR169)),$AQ169+$AR169*$AP169-1,"")</f>
      </c>
      <c r="AX169" s="202">
        <f>IF($C169,IF(OR($AT169="Completo",$AU169="Cancelado",$AU169="Baja prioridad",NOT(ISNUMBER($AW169))),0,MAX(0,TODAY()-$AW169)),"")</f>
      </c>
      <c r="AY169" s="203">
        <f>IF($C169,IF(NOT(ISNUMBER($AR169)),"Sin fecha",IF($AT169="Completo","Completo",IF($AU169="Cancelado","Cancelado",IF($AU169="Baja prioridad","Baja prioridad",IF($AX169&gt;0,"Vencida","Pendiente"))))),"")</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row>
    <row r="170">
      <c r="A170" s="202">
        <f>ROW()</f>
      </c>
      <c r="B170" s="202">
        <f>ISTEXT('Proyecto Datos (OKR´s)'!$K170)</f>
      </c>
      <c r="C170" s="202">
        <f>AND(LEN('Proyecto Datos (OKR´s)'!$G170)&gt;0,NOT($B170),OR(ISNUMBER('Proyecto Datos (OKR´s)'!$F170),ISNUMBER('Proyecto Datos (OKR´s)'!$L170)))</f>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IF($C170,'Proyecto Datos (OKR´s)'!$J170,"")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f>IF($C170,$AV170&lt;&gt;$AR170,FALSE)</f>
      </c>
      <c r="AG170" s="202">
        <f>IF($C170,IF($AV170&lt;&gt;$AR170,$AW170,""),"")</f>
      </c>
      <c r="AH170" s="203">
        <f>IF($C170,'Backlog General'!$L170,"")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IF($C170,IFERROR(VLOOKUP($D170,'Sprints'!$G$5:$H$12,2,FALSE),"Semanal"),"")</f>
      </c>
      <c r="AP170" s="202">
        <f>IF($C170,IF($AO170="Semanal",'Sprints'!$D$5,IF($AO170="Quincenal",'Sprints'!$D$6,'Sprints'!$D$7)),"")</f>
      </c>
      <c r="AQ170" s="202">
        <f>IF($C170,IF($AO170="Semanal",'Sprints'!$C$5,IF($AO170="Quincenal",'Sprints'!$C$6,'Sprints'!$C$7)),"")</f>
      </c>
      <c r="AR170" s="202">
        <f>IF(AND($C170,ISNUMBER($H170)),MAX(1,INT(($H170-$AQ170)/$AP170)+1),"")</f>
      </c>
      <c r="AS170" s="202">
        <f>IF($C170,IF($AO170="Semanal",'Sprints'!$E$5,IF($AO170="Quincenal",'Sprints'!$E$6,'Sprints'!$E$7)),"")</f>
      </c>
      <c r="AT170" s="203">
        <f>IF($C170,'Backlog General'!$G170,"")</f>
      </c>
      <c r="AU170" s="203">
        <f>IF($C170,'Backlog General'!$H170,"")</f>
      </c>
      <c r="AV170" s="202">
        <f>IF(AND($C170,ISNUMBER($AR170)),IF(OR($AT170="Completo",$AU170="Cancelado",$AU170="Baja prioridad"),$AR170,IF($AU170="Pasa al siguiente",MAX($AR170+1,$AS170),MAX($AR170,$AS170))),"")</f>
      </c>
      <c r="AW170" s="202">
        <f>IF(AND($C170,ISNUMBER($AR170)),$AQ170+$AR170*$AP170-1,"")</f>
      </c>
      <c r="AX170" s="202">
        <f>IF($C170,IF(OR($AT170="Completo",$AU170="Cancelado",$AU170="Baja prioridad",NOT(ISNUMBER($AW170))),0,MAX(0,TODAY()-$AW170)),"")</f>
      </c>
      <c r="AY170" s="203">
        <f>IF($C170,IF(NOT(ISNUMBER($AR170)),"Sin fecha",IF($AT170="Completo","Completo",IF($AU170="Cancelado","Cancelado",IF($AU170="Baja prioridad","Baja prioridad",IF($AX170&gt;0,"Vencida","Pendiente"))))),"")</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row>
    <row r="171">
      <c r="A171" s="202">
        <f>ROW()</f>
      </c>
      <c r="B171" s="202">
        <f>ISTEXT('Proyecto Datos (OKR´s)'!$K171)</f>
      </c>
      <c r="C171" s="202">
        <f>AND(LEN('Proyecto Datos (OKR´s)'!$G171)&gt;0,NOT($B171),OR(ISNUMBER('Proyecto Datos (OKR´s)'!$F171),ISNUMBER('Proyecto Datos (OKR´s)'!$L171)))</f>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IF($C171,'Proyecto Datos (OKR´s)'!$J171,"")</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f>IF($C171,$AV171&lt;&gt;$AR171,FALSE)</f>
      </c>
      <c r="AG171" s="202">
        <f>IF($C171,IF($AV171&lt;&gt;$AR171,$AW171,""),"")</f>
      </c>
      <c r="AH171" s="203">
        <f>IF($C171,'Backlog General'!$L171,"")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IF($C171,IFERROR(VLOOKUP($D171,'Sprints'!$G$5:$H$12,2,FALSE),"Semanal"),"")</f>
      </c>
      <c r="AP171" s="202">
        <f>IF($C171,IF($AO171="Semanal",'Sprints'!$D$5,IF($AO171="Quincenal",'Sprints'!$D$6,'Sprints'!$D$7)),"")</f>
      </c>
      <c r="AQ171" s="202">
        <f>IF($C171,IF($AO171="Semanal",'Sprints'!$C$5,IF($AO171="Quincenal",'Sprints'!$C$6,'Sprints'!$C$7)),"")</f>
      </c>
      <c r="AR171" s="202">
        <f>IF(AND($C171,ISNUMBER($H171)),MAX(1,INT(($H171-$AQ171)/$AP171)+1),"")</f>
      </c>
      <c r="AS171" s="202">
        <f>IF($C171,IF($AO171="Semanal",'Sprints'!$E$5,IF($AO171="Quincenal",'Sprints'!$E$6,'Sprints'!$E$7)),"")</f>
      </c>
      <c r="AT171" s="203">
        <f>IF($C171,'Backlog General'!$G171,"")</f>
      </c>
      <c r="AU171" s="203">
        <f>IF($C171,'Backlog General'!$H171,"")</f>
      </c>
      <c r="AV171" s="202">
        <f>IF(AND($C171,ISNUMBER($AR171)),IF(OR($AT171="Completo",$AU171="Cancelado",$AU171="Baja prioridad"),$AR171,IF($AU171="Pasa al siguiente",MAX($AR171+1,$AS171),MAX($AR171,$AS171))),"")</f>
      </c>
      <c r="AW171" s="202">
        <f>IF(AND($C171,ISNUMBER($AR171)),$AQ171+$AR171*$AP171-1,"")</f>
      </c>
      <c r="AX171" s="202">
        <f>IF($C171,IF(OR($AT171="Completo",$AU171="Cancelado",$AU171="Baja prioridad",NOT(ISNUMBER($AW171))),0,MAX(0,TODAY()-$AW171)),"")</f>
      </c>
      <c r="AY171" s="203">
        <f>IF($C171,IF(NOT(ISNUMBER($AR171)),"Sin fecha",IF($AT171="Completo","Completo",IF($AU171="Cancelado","Cancelado",IF($AU171="Baja prioridad","Baja prioridad",IF($AX171&gt;0,"Vencida","Pendiente"))))),"")</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row>
    <row r="172">
      <c r="A172" s="202">
        <f>ROW()</f>
      </c>
      <c r="B172" s="202">
        <f>ISTEXT('Proyecto Datos (OKR´s)'!$K172)</f>
      </c>
      <c r="C172" s="202">
        <f>AND(LEN('Proyecto Datos (OKR´s)'!$G172)&gt;0,NOT($B172),OR(ISNUMBER('Proyecto Datos (OKR´s)'!$F172),ISNUMBER('Proyecto Datos (OKR´s)'!$L172)))</f>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IF($C172,'Proyecto Datos (OKR´s)'!$J172,"")</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f>IF($C172,$AV172&lt;&gt;$AR172,FALSE)</f>
      </c>
      <c r="AG172" s="202">
        <f>IF($C172,IF($AV172&lt;&gt;$AR172,$AW172,""),"")</f>
      </c>
      <c r="AH172" s="203">
        <f>IF($C172,'Backlog General'!$L172,"")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IF($C172,IFERROR(VLOOKUP($D172,'Sprints'!$G$5:$H$12,2,FALSE),"Semanal"),"")</f>
      </c>
      <c r="AP172" s="202">
        <f>IF($C172,IF($AO172="Semanal",'Sprints'!$D$5,IF($AO172="Quincenal",'Sprints'!$D$6,'Sprints'!$D$7)),"")</f>
      </c>
      <c r="AQ172" s="202">
        <f>IF($C172,IF($AO172="Semanal",'Sprints'!$C$5,IF($AO172="Quincenal",'Sprints'!$C$6,'Sprints'!$C$7)),"")</f>
      </c>
      <c r="AR172" s="202">
        <f>IF(AND($C172,ISNUMBER($H172)),MAX(1,INT(($H172-$AQ172)/$AP172)+1),"")</f>
      </c>
      <c r="AS172" s="202">
        <f>IF($C172,IF($AO172="Semanal",'Sprints'!$E$5,IF($AO172="Quincenal",'Sprints'!$E$6,'Sprints'!$E$7)),"")</f>
      </c>
      <c r="AT172" s="203">
        <f>IF($C172,'Backlog General'!$G172,"")</f>
      </c>
      <c r="AU172" s="203">
        <f>IF($C172,'Backlog General'!$H172,"")</f>
      </c>
      <c r="AV172" s="202">
        <f>IF(AND($C172,ISNUMBER($AR172)),IF(OR($AT172="Completo",$AU172="Cancelado",$AU172="Baja prioridad"),$AR172,IF($AU172="Pasa al siguiente",MAX($AR172+1,$AS172),MAX($AR172,$AS172))),"")</f>
      </c>
      <c r="AW172" s="202">
        <f>IF(AND($C172,ISNUMBER($AR172)),$AQ172+$AR172*$AP172-1,"")</f>
      </c>
      <c r="AX172" s="202">
        <f>IF($C172,IF(OR($AT172="Completo",$AU172="Cancelado",$AU172="Baja prioridad",NOT(ISNUMBER($AW172))),0,MAX(0,TODAY()-$AW172)),"")</f>
      </c>
      <c r="AY172" s="203">
        <f>IF($C172,IF(NOT(ISNUMBER($AR172)),"Sin fecha",IF($AT172="Completo","Completo",IF($AU172="Cancelado","Cancelado",IF($AU172="Baja prioridad","Baja prioridad",IF($AX172&gt;0,"Vencida","Pendiente"))))),"")</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row>
    <row r="173">
      <c r="A173" s="202">
        <f>ROW()</f>
      </c>
      <c r="B173" s="202">
        <f>ISTEXT('Proyecto Datos (OKR´s)'!$K173)</f>
      </c>
      <c r="C173" s="202">
        <f>AND(LEN('Proyecto Datos (OKR´s)'!$G173)&gt;0,NOT($B173),OR(ISNUMBER('Proyecto Datos (OKR´s)'!$F173),ISNUMBER('Proyecto Datos (OKR´s)'!$L173)))</f>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IF($C173,'Proyecto Datos (OKR´s)'!$J173,"")</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f>IF($C173,$AV173&lt;&gt;$AR173,FALSE)</f>
      </c>
      <c r="AG173" s="202">
        <f>IF($C173,IF($AV173&lt;&gt;$AR173,$AW173,""),"")</f>
      </c>
      <c r="AH173" s="203">
        <f>IF($C173,'Backlog General'!$L173,"")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IF($C173,IFERROR(VLOOKUP($D173,'Sprints'!$G$5:$H$12,2,FALSE),"Semanal"),"")</f>
      </c>
      <c r="AP173" s="202">
        <f>IF($C173,IF($AO173="Semanal",'Sprints'!$D$5,IF($AO173="Quincenal",'Sprints'!$D$6,'Sprints'!$D$7)),"")</f>
      </c>
      <c r="AQ173" s="202">
        <f>IF($C173,IF($AO173="Semanal",'Sprints'!$C$5,IF($AO173="Quincenal",'Sprints'!$C$6,'Sprints'!$C$7)),"")</f>
      </c>
      <c r="AR173" s="202">
        <f>IF(AND($C173,ISNUMBER($H173)),MAX(1,INT(($H173-$AQ173)/$AP173)+1),"")</f>
      </c>
      <c r="AS173" s="202">
        <f>IF($C173,IF($AO173="Semanal",'Sprints'!$E$5,IF($AO173="Quincenal",'Sprints'!$E$6,'Sprints'!$E$7)),"")</f>
      </c>
      <c r="AT173" s="203">
        <f>IF($C173,'Backlog General'!$G173,"")</f>
      </c>
      <c r="AU173" s="203">
        <f>IF($C173,'Backlog General'!$H173,"")</f>
      </c>
      <c r="AV173" s="202">
        <f>IF(AND($C173,ISNUMBER($AR173)),IF(OR($AT173="Completo",$AU173="Cancelado",$AU173="Baja prioridad"),$AR173,IF($AU173="Pasa al siguiente",MAX($AR173+1,$AS173),MAX($AR173,$AS173))),"")</f>
      </c>
      <c r="AW173" s="202">
        <f>IF(AND($C173,ISNUMBER($AR173)),$AQ173+$AR173*$AP173-1,"")</f>
      </c>
      <c r="AX173" s="202">
        <f>IF($C173,IF(OR($AT173="Completo",$AU173="Cancelado",$AU173="Baja prioridad",NOT(ISNUMBER($AW173))),0,MAX(0,TODAY()-$AW173)),"")</f>
      </c>
      <c r="AY173" s="203">
        <f>IF($C173,IF(NOT(ISNUMBER($AR173)),"Sin fecha",IF($AT173="Completo","Completo",IF($AU173="Cancelado","Cancelado",IF($AU173="Baja prioridad","Baja prioridad",IF($AX173&gt;0,"Vencida","Pendiente"))))),"")</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row>
    <row r="174">
      <c r="A174" s="202">
        <f>ROW()</f>
      </c>
      <c r="B174" s="202">
        <f>ISTEXT('Proyecto Datos (OKR´s)'!$K174)</f>
      </c>
      <c r="C174" s="202">
        <f>AND(LEN('Proyecto Datos (OKR´s)'!$G174)&gt;0,NOT($B174),OR(ISNUMBER('Proyecto Datos (OKR´s)'!$F174),ISNUMBER('Proyecto Datos (OKR´s)'!$L174)))</f>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IF($C174,'Proyecto Datos (OKR´s)'!$J174,"")</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f>IF($C174,$AV174&lt;&gt;$AR174,FALSE)</f>
      </c>
      <c r="AG174" s="202">
        <f>IF($C174,IF($AV174&lt;&gt;$AR174,$AW174,""),"")</f>
      </c>
      <c r="AH174" s="203">
        <f>IF($C174,'Backlog General'!$L174,"")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IF($C174,IFERROR(VLOOKUP($D174,'Sprints'!$G$5:$H$12,2,FALSE),"Semanal"),"")</f>
      </c>
      <c r="AP174" s="202">
        <f>IF($C174,IF($AO174="Semanal",'Sprints'!$D$5,IF($AO174="Quincenal",'Sprints'!$D$6,'Sprints'!$D$7)),"")</f>
      </c>
      <c r="AQ174" s="202">
        <f>IF($C174,IF($AO174="Semanal",'Sprints'!$C$5,IF($AO174="Quincenal",'Sprints'!$C$6,'Sprints'!$C$7)),"")</f>
      </c>
      <c r="AR174" s="202">
        <f>IF(AND($C174,ISNUMBER($H174)),MAX(1,INT(($H174-$AQ174)/$AP174)+1),"")</f>
      </c>
      <c r="AS174" s="202">
        <f>IF($C174,IF($AO174="Semanal",'Sprints'!$E$5,IF($AO174="Quincenal",'Sprints'!$E$6,'Sprints'!$E$7)),"")</f>
      </c>
      <c r="AT174" s="203">
        <f>IF($C174,'Backlog General'!$G174,"")</f>
      </c>
      <c r="AU174" s="203">
        <f>IF($C174,'Backlog General'!$H174,"")</f>
      </c>
      <c r="AV174" s="202">
        <f>IF(AND($C174,ISNUMBER($AR174)),IF(OR($AT174="Completo",$AU174="Cancelado",$AU174="Baja prioridad"),$AR174,IF($AU174="Pasa al siguiente",MAX($AR174+1,$AS174),MAX($AR174,$AS174))),"")</f>
      </c>
      <c r="AW174" s="202">
        <f>IF(AND($C174,ISNUMBER($AR174)),$AQ174+$AR174*$AP174-1,"")</f>
      </c>
      <c r="AX174" s="202">
        <f>IF($C174,IF(OR($AT174="Completo",$AU174="Cancelado",$AU174="Baja prioridad",NOT(ISNUMBER($AW174))),0,MAX(0,TODAY()-$AW174)),"")</f>
      </c>
      <c r="AY174" s="203">
        <f>IF($C174,IF(NOT(ISNUMBER($AR174)),"Sin fecha",IF($AT174="Completo","Completo",IF($AU174="Cancelado","Cancelado",IF($AU174="Baja prioridad","Baja prioridad",IF($AX174&gt;0,"Vencida","Pendiente"))))),"")</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row>
    <row r="175">
      <c r="A175" s="202">
        <f>ROW()</f>
      </c>
      <c r="B175" s="202">
        <f>ISTEXT('Proyecto Datos (OKR´s)'!$K175)</f>
      </c>
      <c r="C175" s="202">
        <f>AND(LEN('Proyecto Datos (OKR´s)'!$G175)&gt;0,NOT($B175),OR(ISNUMBER('Proyecto Datos (OKR´s)'!$F175),ISNUMBER('Proyecto Datos (OKR´s)'!$L175)))</f>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IF($C175,'Proyecto Datos (OKR´s)'!$J175,"")</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f>IF($C175,$AV175&lt;&gt;$AR175,FALSE)</f>
      </c>
      <c r="AG175" s="202">
        <f>IF($C175,IF($AV175&lt;&gt;$AR175,$AW175,""),"")</f>
      </c>
      <c r="AH175" s="203">
        <f>IF($C175,'Backlog General'!$L175,"")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IF($C175,IFERROR(VLOOKUP($D175,'Sprints'!$G$5:$H$12,2,FALSE),"Semanal"),"")</f>
      </c>
      <c r="AP175" s="202">
        <f>IF($C175,IF($AO175="Semanal",'Sprints'!$D$5,IF($AO175="Quincenal",'Sprints'!$D$6,'Sprints'!$D$7)),"")</f>
      </c>
      <c r="AQ175" s="202">
        <f>IF($C175,IF($AO175="Semanal",'Sprints'!$C$5,IF($AO175="Quincenal",'Sprints'!$C$6,'Sprints'!$C$7)),"")</f>
      </c>
      <c r="AR175" s="202">
        <f>IF(AND($C175,ISNUMBER($H175)),MAX(1,INT(($H175-$AQ175)/$AP175)+1),"")</f>
      </c>
      <c r="AS175" s="202">
        <f>IF($C175,IF($AO175="Semanal",'Sprints'!$E$5,IF($AO175="Quincenal",'Sprints'!$E$6,'Sprints'!$E$7)),"")</f>
      </c>
      <c r="AT175" s="203">
        <f>IF($C175,'Backlog General'!$G175,"")</f>
      </c>
      <c r="AU175" s="203">
        <f>IF($C175,'Backlog General'!$H175,"")</f>
      </c>
      <c r="AV175" s="202">
        <f>IF(AND($C175,ISNUMBER($AR175)),IF(OR($AT175="Completo",$AU175="Cancelado",$AU175="Baja prioridad"),$AR175,IF($AU175="Pasa al siguiente",MAX($AR175+1,$AS175),MAX($AR175,$AS175))),"")</f>
      </c>
      <c r="AW175" s="202">
        <f>IF(AND($C175,ISNUMBER($AR175)),$AQ175+$AR175*$AP175-1,"")</f>
      </c>
      <c r="AX175" s="202">
        <f>IF($C175,IF(OR($AT175="Completo",$AU175="Cancelado",$AU175="Baja prioridad",NOT(ISNUMBER($AW175))),0,MAX(0,TODAY()-$AW175)),"")</f>
      </c>
      <c r="AY175" s="203">
        <f>IF($C175,IF(NOT(ISNUMBER($AR175)),"Sin fecha",IF($AT175="Completo","Completo",IF($AU175="Cancelado","Cancelado",IF($AU175="Baja prioridad","Baja prioridad",IF($AX175&gt;0,"Vencida","Pendiente"))))),"")</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row>
    <row r="176">
      <c r="A176" s="202">
        <f>ROW()</f>
      </c>
      <c r="B176" s="202">
        <f>ISTEXT('Proyecto Datos (OKR´s)'!$K176)</f>
      </c>
      <c r="C176" s="202">
        <f>AND(LEN('Proyecto Datos (OKR´s)'!$G176)&gt;0,NOT($B176),OR(ISNUMBER('Proyecto Datos (OKR´s)'!$F176),ISNUMBER('Proyecto Datos (OKR´s)'!$L176)))</f>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IF($C176,'Proyecto Datos (OKR´s)'!$J176,"")</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f>IF($C176,$AV176&lt;&gt;$AR176,FALSE)</f>
      </c>
      <c r="AG176" s="202">
        <f>IF($C176,IF($AV176&lt;&gt;$AR176,$AW176,""),"")</f>
      </c>
      <c r="AH176" s="203">
        <f>IF($C176,'Backlog General'!$L176,"")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IF($C176,IFERROR(VLOOKUP($D176,'Sprints'!$G$5:$H$12,2,FALSE),"Semanal"),"")</f>
      </c>
      <c r="AP176" s="202">
        <f>IF($C176,IF($AO176="Semanal",'Sprints'!$D$5,IF($AO176="Quincenal",'Sprints'!$D$6,'Sprints'!$D$7)),"")</f>
      </c>
      <c r="AQ176" s="202">
        <f>IF($C176,IF($AO176="Semanal",'Sprints'!$C$5,IF($AO176="Quincenal",'Sprints'!$C$6,'Sprints'!$C$7)),"")</f>
      </c>
      <c r="AR176" s="202">
        <f>IF(AND($C176,ISNUMBER($H176)),MAX(1,INT(($H176-$AQ176)/$AP176)+1),"")</f>
      </c>
      <c r="AS176" s="202">
        <f>IF($C176,IF($AO176="Semanal",'Sprints'!$E$5,IF($AO176="Quincenal",'Sprints'!$E$6,'Sprints'!$E$7)),"")</f>
      </c>
      <c r="AT176" s="203">
        <f>IF($C176,'Backlog General'!$G176,"")</f>
      </c>
      <c r="AU176" s="203">
        <f>IF($C176,'Backlog General'!$H176,"")</f>
      </c>
      <c r="AV176" s="202">
        <f>IF(AND($C176,ISNUMBER($AR176)),IF(OR($AT176="Completo",$AU176="Cancelado",$AU176="Baja prioridad"),$AR176,IF($AU176="Pasa al siguiente",MAX($AR176+1,$AS176),MAX($AR176,$AS176))),"")</f>
      </c>
      <c r="AW176" s="202">
        <f>IF(AND($C176,ISNUMBER($AR176)),$AQ176+$AR176*$AP176-1,"")</f>
      </c>
      <c r="AX176" s="202">
        <f>IF($C176,IF(OR($AT176="Completo",$AU176="Cancelado",$AU176="Baja prioridad",NOT(ISNUMBER($AW176))),0,MAX(0,TODAY()-$AW176)),"")</f>
      </c>
      <c r="AY176" s="203">
        <f>IF($C176,IF(NOT(ISNUMBER($AR176)),"Sin fecha",IF($AT176="Completo","Completo",IF($AU176="Cancelado","Cancelado",IF($AU176="Baja prioridad","Baja prioridad",IF($AX176&gt;0,"Vencida","Pendiente"))))),"")</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row>
    <row r="177">
      <c r="A177" s="202">
        <f>ROW()</f>
      </c>
      <c r="B177" s="202">
        <f>ISTEXT('Proyecto Datos (OKR´s)'!$K177)</f>
      </c>
      <c r="C177" s="202">
        <f>AND(LEN('Proyecto Datos (OKR´s)'!$G177)&gt;0,NOT($B177),OR(ISNUMBER('Proyecto Datos (OKR´s)'!$F177),ISNUMBER('Proyecto Datos (OKR´s)'!$L177)))</f>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IF($C177,'Proyecto Datos (OKR´s)'!$J177,"")</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f>IF($C177,$AV177&lt;&gt;$AR177,FALSE)</f>
      </c>
      <c r="AG177" s="202">
        <f>IF($C177,IF($AV177&lt;&gt;$AR177,$AW177,""),"")</f>
      </c>
      <c r="AH177" s="203">
        <f>IF($C177,'Backlog General'!$L177,"")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IF($C177,IFERROR(VLOOKUP($D177,'Sprints'!$G$5:$H$12,2,FALSE),"Semanal"),"")</f>
      </c>
      <c r="AP177" s="202">
        <f>IF($C177,IF($AO177="Semanal",'Sprints'!$D$5,IF($AO177="Quincenal",'Sprints'!$D$6,'Sprints'!$D$7)),"")</f>
      </c>
      <c r="AQ177" s="202">
        <f>IF($C177,IF($AO177="Semanal",'Sprints'!$C$5,IF($AO177="Quincenal",'Sprints'!$C$6,'Sprints'!$C$7)),"")</f>
      </c>
      <c r="AR177" s="202">
        <f>IF(AND($C177,ISNUMBER($H177)),MAX(1,INT(($H177-$AQ177)/$AP177)+1),"")</f>
      </c>
      <c r="AS177" s="202">
        <f>IF($C177,IF($AO177="Semanal",'Sprints'!$E$5,IF($AO177="Quincenal",'Sprints'!$E$6,'Sprints'!$E$7)),"")</f>
      </c>
      <c r="AT177" s="203">
        <f>IF($C177,'Backlog General'!$G177,"")</f>
      </c>
      <c r="AU177" s="203">
        <f>IF($C177,'Backlog General'!$H177,"")</f>
      </c>
      <c r="AV177" s="202">
        <f>IF(AND($C177,ISNUMBER($AR177)),IF(OR($AT177="Completo",$AU177="Cancelado",$AU177="Baja prioridad"),$AR177,IF($AU177="Pasa al siguiente",MAX($AR177+1,$AS177),MAX($AR177,$AS177))),"")</f>
      </c>
      <c r="AW177" s="202">
        <f>IF(AND($C177,ISNUMBER($AR177)),$AQ177+$AR177*$AP177-1,"")</f>
      </c>
      <c r="AX177" s="202">
        <f>IF($C177,IF(OR($AT177="Completo",$AU177="Cancelado",$AU177="Baja prioridad",NOT(ISNUMBER($AW177))),0,MAX(0,TODAY()-$AW177)),"")</f>
      </c>
      <c r="AY177" s="203">
        <f>IF($C177,IF(NOT(ISNUMBER($AR177)),"Sin fecha",IF($AT177="Completo","Completo",IF($AU177="Cancelado","Cancelado",IF($AU177="Baja prioridad","Baja prioridad",IF($AX177&gt;0,"Vencida","Pendiente"))))),"")</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row>
    <row r="178">
      <c r="A178" s="202">
        <f>ROW()</f>
      </c>
      <c r="B178" s="202">
        <f>ISTEXT('Proyecto Datos (OKR´s)'!$K178)</f>
      </c>
      <c r="C178" s="202">
        <f>AND(LEN('Proyecto Datos (OKR´s)'!$G178)&gt;0,NOT($B178),OR(ISNUMBER('Proyecto Datos (OKR´s)'!$F178),ISNUMBER('Proyecto Datos (OKR´s)'!$L178)))</f>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IF($C178,'Proyecto Datos (OKR´s)'!$J178,"")</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f>IF($C178,$AV178&lt;&gt;$AR178,FALSE)</f>
      </c>
      <c r="AG178" s="202">
        <f>IF($C178,IF($AV178&lt;&gt;$AR178,$AW178,""),"")</f>
      </c>
      <c r="AH178" s="203">
        <f>IF($C178,'Backlog General'!$L178,"")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IF($C178,IFERROR(VLOOKUP($D178,'Sprints'!$G$5:$H$12,2,FALSE),"Semanal"),"")</f>
      </c>
      <c r="AP178" s="202">
        <f>IF($C178,IF($AO178="Semanal",'Sprints'!$D$5,IF($AO178="Quincenal",'Sprints'!$D$6,'Sprints'!$D$7)),"")</f>
      </c>
      <c r="AQ178" s="202">
        <f>IF($C178,IF($AO178="Semanal",'Sprints'!$C$5,IF($AO178="Quincenal",'Sprints'!$C$6,'Sprints'!$C$7)),"")</f>
      </c>
      <c r="AR178" s="202">
        <f>IF(AND($C178,ISNUMBER($H178)),MAX(1,INT(($H178-$AQ178)/$AP178)+1),"")</f>
      </c>
      <c r="AS178" s="202">
        <f>IF($C178,IF($AO178="Semanal",'Sprints'!$E$5,IF($AO178="Quincenal",'Sprints'!$E$6,'Sprints'!$E$7)),"")</f>
      </c>
      <c r="AT178" s="203">
        <f>IF($C178,'Backlog General'!$G178,"")</f>
      </c>
      <c r="AU178" s="203">
        <f>IF($C178,'Backlog General'!$H178,"")</f>
      </c>
      <c r="AV178" s="202">
        <f>IF(AND($C178,ISNUMBER($AR178)),IF(OR($AT178="Completo",$AU178="Cancelado",$AU178="Baja prioridad"),$AR178,IF($AU178="Pasa al siguiente",MAX($AR178+1,$AS178),MAX($AR178,$AS178))),"")</f>
      </c>
      <c r="AW178" s="202">
        <f>IF(AND($C178,ISNUMBER($AR178)),$AQ178+$AR178*$AP178-1,"")</f>
      </c>
      <c r="AX178" s="202">
        <f>IF($C178,IF(OR($AT178="Completo",$AU178="Cancelado",$AU178="Baja prioridad",NOT(ISNUMBER($AW178))),0,MAX(0,TODAY()-$AW178)),"")</f>
      </c>
      <c r="AY178" s="203">
        <f>IF($C178,IF(NOT(ISNUMBER($AR178)),"Sin fecha",IF($AT178="Completo","Completo",IF($AU178="Cancelado","Cancelado",IF($AU178="Baja prioridad","Baja prioridad",IF($AX178&gt;0,"Vencida","Pendiente"))))),"")</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row>
    <row r="179">
      <c r="A179" s="202">
        <f>ROW()</f>
      </c>
      <c r="B179" s="202">
        <f>ISTEXT('Proyecto Datos (OKR´s)'!$K179)</f>
      </c>
      <c r="C179" s="202">
        <f>AND(LEN('Proyecto Datos (OKR´s)'!$G179)&gt;0,NOT($B179),OR(ISNUMBER('Proyecto Datos (OKR´s)'!$F179),ISNUMBER('Proyecto Datos (OKR´s)'!$L179)))</f>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IF($C179,'Proyecto Datos (OKR´s)'!$J179,"")</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f>IF($C179,$AV179&lt;&gt;$AR179,FALSE)</f>
      </c>
      <c r="AG179" s="202">
        <f>IF($C179,IF($AV179&lt;&gt;$AR179,$AW179,""),"")</f>
      </c>
      <c r="AH179" s="203">
        <f>IF($C179,'Backlog General'!$L179,"")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IF($C179,IFERROR(VLOOKUP($D179,'Sprints'!$G$5:$H$12,2,FALSE),"Semanal"),"")</f>
      </c>
      <c r="AP179" s="202">
        <f>IF($C179,IF($AO179="Semanal",'Sprints'!$D$5,IF($AO179="Quincenal",'Sprints'!$D$6,'Sprints'!$D$7)),"")</f>
      </c>
      <c r="AQ179" s="202">
        <f>IF($C179,IF($AO179="Semanal",'Sprints'!$C$5,IF($AO179="Quincenal",'Sprints'!$C$6,'Sprints'!$C$7)),"")</f>
      </c>
      <c r="AR179" s="202">
        <f>IF(AND($C179,ISNUMBER($H179)),MAX(1,INT(($H179-$AQ179)/$AP179)+1),"")</f>
      </c>
      <c r="AS179" s="202">
        <f>IF($C179,IF($AO179="Semanal",'Sprints'!$E$5,IF($AO179="Quincenal",'Sprints'!$E$6,'Sprints'!$E$7)),"")</f>
      </c>
      <c r="AT179" s="203">
        <f>IF($C179,'Backlog General'!$G179,"")</f>
      </c>
      <c r="AU179" s="203">
        <f>IF($C179,'Backlog General'!$H179,"")</f>
      </c>
      <c r="AV179" s="202">
        <f>IF(AND($C179,ISNUMBER($AR179)),IF(OR($AT179="Completo",$AU179="Cancelado",$AU179="Baja prioridad"),$AR179,IF($AU179="Pasa al siguiente",MAX($AR179+1,$AS179),MAX($AR179,$AS179))),"")</f>
      </c>
      <c r="AW179" s="202">
        <f>IF(AND($C179,ISNUMBER($AR179)),$AQ179+$AR179*$AP179-1,"")</f>
      </c>
      <c r="AX179" s="202">
        <f>IF($C179,IF(OR($AT179="Completo",$AU179="Cancelado",$AU179="Baja prioridad",NOT(ISNUMBER($AW179))),0,MAX(0,TODAY()-$AW179)),"")</f>
      </c>
      <c r="AY179" s="203">
        <f>IF($C179,IF(NOT(ISNUMBER($AR179)),"Sin fecha",IF($AT179="Completo","Completo",IF($AU179="Cancelado","Cancelado",IF($AU179="Baja prioridad","Baja prioridad",IF($AX179&gt;0,"Vencida","Pendiente"))))),"")</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row>
    <row r="180">
      <c r="A180" s="202">
        <f>ROW()</f>
      </c>
      <c r="B180" s="202">
        <f>ISTEXT('Proyecto Datos (OKR´s)'!$K180)</f>
      </c>
      <c r="C180" s="202">
        <f>AND(LEN('Proyecto Datos (OKR´s)'!$G180)&gt;0,NOT($B180),OR(ISNUMBER('Proyecto Datos (OKR´s)'!$F180),ISNUMBER('Proyecto Datos (OKR´s)'!$L180)))</f>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IF($C180,'Proyecto Datos (OKR´s)'!$J180,"")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f>IF($C180,$AV180&lt;&gt;$AR180,FALSE)</f>
      </c>
      <c r="AG180" s="202">
        <f>IF($C180,IF($AV180&lt;&gt;$AR180,$AW180,""),"")</f>
      </c>
      <c r="AH180" s="203">
        <f>IF($C180,'Backlog General'!$L180,"")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IF($C180,IFERROR(VLOOKUP($D180,'Sprints'!$G$5:$H$12,2,FALSE),"Semanal"),"")</f>
      </c>
      <c r="AP180" s="202">
        <f>IF($C180,IF($AO180="Semanal",'Sprints'!$D$5,IF($AO180="Quincenal",'Sprints'!$D$6,'Sprints'!$D$7)),"")</f>
      </c>
      <c r="AQ180" s="202">
        <f>IF($C180,IF($AO180="Semanal",'Sprints'!$C$5,IF($AO180="Quincenal",'Sprints'!$C$6,'Sprints'!$C$7)),"")</f>
      </c>
      <c r="AR180" s="202">
        <f>IF(AND($C180,ISNUMBER($H180)),MAX(1,INT(($H180-$AQ180)/$AP180)+1),"")</f>
      </c>
      <c r="AS180" s="202">
        <f>IF($C180,IF($AO180="Semanal",'Sprints'!$E$5,IF($AO180="Quincenal",'Sprints'!$E$6,'Sprints'!$E$7)),"")</f>
      </c>
      <c r="AT180" s="203">
        <f>IF($C180,'Backlog General'!$G180,"")</f>
      </c>
      <c r="AU180" s="203">
        <f>IF($C180,'Backlog General'!$H180,"")</f>
      </c>
      <c r="AV180" s="202">
        <f>IF(AND($C180,ISNUMBER($AR180)),IF(OR($AT180="Completo",$AU180="Cancelado",$AU180="Baja prioridad"),$AR180,IF($AU180="Pasa al siguiente",MAX($AR180+1,$AS180),MAX($AR180,$AS180))),"")</f>
      </c>
      <c r="AW180" s="202">
        <f>IF(AND($C180,ISNUMBER($AR180)),$AQ180+$AR180*$AP180-1,"")</f>
      </c>
      <c r="AX180" s="202">
        <f>IF($C180,IF(OR($AT180="Completo",$AU180="Cancelado",$AU180="Baja prioridad",NOT(ISNUMBER($AW180))),0,MAX(0,TODAY()-$AW180)),"")</f>
      </c>
      <c r="AY180" s="203">
        <f>IF($C180,IF(NOT(ISNUMBER($AR180)),"Sin fecha",IF($AT180="Completo","Completo",IF($AU180="Cancelado","Cancelado",IF($AU180="Baja prioridad","Baja prioridad",IF($AX180&gt;0,"Vencida","Pendiente"))))),"")</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row>
    <row r="181">
      <c r="A181" s="202">
        <f>ROW()</f>
      </c>
      <c r="B181" s="202">
        <f>ISTEXT('Proyecto Datos (OKR´s)'!$K181)</f>
      </c>
      <c r="C181" s="202">
        <f>AND(LEN('Proyecto Datos (OKR´s)'!$G181)&gt;0,NOT($B181),OR(ISNUMBER('Proyecto Datos (OKR´s)'!$F181),ISNUMBER('Proyecto Datos (OKR´s)'!$L181)))</f>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IF($C181,'Proyecto Datos (OKR´s)'!$J181,"")</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f>IF($C181,$AV181&lt;&gt;$AR181,FALSE)</f>
      </c>
      <c r="AG181" s="202">
        <f>IF($C181,IF($AV181&lt;&gt;$AR181,$AW181,""),"")</f>
      </c>
      <c r="AH181" s="203">
        <f>IF($C181,'Backlog General'!$L181,"")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IF($C181,IFERROR(VLOOKUP($D181,'Sprints'!$G$5:$H$12,2,FALSE),"Semanal"),"")</f>
      </c>
      <c r="AP181" s="202">
        <f>IF($C181,IF($AO181="Semanal",'Sprints'!$D$5,IF($AO181="Quincenal",'Sprints'!$D$6,'Sprints'!$D$7)),"")</f>
      </c>
      <c r="AQ181" s="202">
        <f>IF($C181,IF($AO181="Semanal",'Sprints'!$C$5,IF($AO181="Quincenal",'Sprints'!$C$6,'Sprints'!$C$7)),"")</f>
      </c>
      <c r="AR181" s="202">
        <f>IF(AND($C181,ISNUMBER($H181)),MAX(1,INT(($H181-$AQ181)/$AP181)+1),"")</f>
      </c>
      <c r="AS181" s="202">
        <f>IF($C181,IF($AO181="Semanal",'Sprints'!$E$5,IF($AO181="Quincenal",'Sprints'!$E$6,'Sprints'!$E$7)),"")</f>
      </c>
      <c r="AT181" s="203">
        <f>IF($C181,'Backlog General'!$G181,"")</f>
      </c>
      <c r="AU181" s="203">
        <f>IF($C181,'Backlog General'!$H181,"")</f>
      </c>
      <c r="AV181" s="202">
        <f>IF(AND($C181,ISNUMBER($AR181)),IF(OR($AT181="Completo",$AU181="Cancelado",$AU181="Baja prioridad"),$AR181,IF($AU181="Pasa al siguiente",MAX($AR181+1,$AS181),MAX($AR181,$AS181))),"")</f>
      </c>
      <c r="AW181" s="202">
        <f>IF(AND($C181,ISNUMBER($AR181)),$AQ181+$AR181*$AP181-1,"")</f>
      </c>
      <c r="AX181" s="202">
        <f>IF($C181,IF(OR($AT181="Completo",$AU181="Cancelado",$AU181="Baja prioridad",NOT(ISNUMBER($AW181))),0,MAX(0,TODAY()-$AW181)),"")</f>
      </c>
      <c r="AY181" s="203">
        <f>IF($C181,IF(NOT(ISNUMBER($AR181)),"Sin fecha",IF($AT181="Completo","Completo",IF($AU181="Cancelado","Cancelado",IF($AU181="Baja prioridad","Baja prioridad",IF($AX181&gt;0,"Vencida","Pendiente"))))),"")</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row>
    <row r="182">
      <c r="A182" s="202">
        <f>ROW()</f>
      </c>
      <c r="B182" s="202">
        <f>ISTEXT('Proyecto Datos (OKR´s)'!$K182)</f>
      </c>
      <c r="C182" s="202">
        <f>AND(LEN('Proyecto Datos (OKR´s)'!$G182)&gt;0,NOT($B182),OR(ISNUMBER('Proyecto Datos (OKR´s)'!$F182),ISNUMBER('Proyecto Datos (OKR´s)'!$L182)))</f>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IF($C182,'Proyecto Datos (OKR´s)'!$J182,"")</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f>IF($C182,$AV182&lt;&gt;$AR182,FALSE)</f>
      </c>
      <c r="AG182" s="202">
        <f>IF($C182,IF($AV182&lt;&gt;$AR182,$AW182,""),"")</f>
      </c>
      <c r="AH182" s="203">
        <f>IF($C182,'Backlog General'!$L182,"")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IF($C182,IFERROR(VLOOKUP($D182,'Sprints'!$G$5:$H$12,2,FALSE),"Semanal"),"")</f>
      </c>
      <c r="AP182" s="202">
        <f>IF($C182,IF($AO182="Semanal",'Sprints'!$D$5,IF($AO182="Quincenal",'Sprints'!$D$6,'Sprints'!$D$7)),"")</f>
      </c>
      <c r="AQ182" s="202">
        <f>IF($C182,IF($AO182="Semanal",'Sprints'!$C$5,IF($AO182="Quincenal",'Sprints'!$C$6,'Sprints'!$C$7)),"")</f>
      </c>
      <c r="AR182" s="202">
        <f>IF(AND($C182,ISNUMBER($H182)),MAX(1,INT(($H182-$AQ182)/$AP182)+1),"")</f>
      </c>
      <c r="AS182" s="202">
        <f>IF($C182,IF($AO182="Semanal",'Sprints'!$E$5,IF($AO182="Quincenal",'Sprints'!$E$6,'Sprints'!$E$7)),"")</f>
      </c>
      <c r="AT182" s="203">
        <f>IF($C182,'Backlog General'!$G182,"")</f>
      </c>
      <c r="AU182" s="203">
        <f>IF($C182,'Backlog General'!$H182,"")</f>
      </c>
      <c r="AV182" s="202">
        <f>IF(AND($C182,ISNUMBER($AR182)),IF(OR($AT182="Completo",$AU182="Cancelado",$AU182="Baja prioridad"),$AR182,IF($AU182="Pasa al siguiente",MAX($AR182+1,$AS182),MAX($AR182,$AS182))),"")</f>
      </c>
      <c r="AW182" s="202">
        <f>IF(AND($C182,ISNUMBER($AR182)),$AQ182+$AR182*$AP182-1,"")</f>
      </c>
      <c r="AX182" s="202">
        <f>IF($C182,IF(OR($AT182="Completo",$AU182="Cancelado",$AU182="Baja prioridad",NOT(ISNUMBER($AW182))),0,MAX(0,TODAY()-$AW182)),"")</f>
      </c>
      <c r="AY182" s="203">
        <f>IF($C182,IF(NOT(ISNUMBER($AR182)),"Sin fecha",IF($AT182="Completo","Completo",IF($AU182="Cancelado","Cancelado",IF($AU182="Baja prioridad","Baja prioridad",IF($AX182&gt;0,"Vencida","Pendiente"))))),"")</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row>
    <row r="183">
      <c r="A183" s="202">
        <f>ROW()</f>
      </c>
      <c r="B183" s="202">
        <f>ISTEXT('Proyecto Datos (OKR´s)'!$K183)</f>
      </c>
      <c r="C183" s="202">
        <f>AND(LEN('Proyecto Datos (OKR´s)'!$G183)&gt;0,NOT($B183),OR(ISNUMBER('Proyecto Datos (OKR´s)'!$F183),ISNUMBER('Proyecto Datos (OKR´s)'!$L183)))</f>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IF($C183,'Proyecto Datos (OKR´s)'!$J183,"")</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f>IF($C183,$AV183&lt;&gt;$AR183,FALSE)</f>
      </c>
      <c r="AG183" s="202">
        <f>IF($C183,IF($AV183&lt;&gt;$AR183,$AW183,""),"")</f>
      </c>
      <c r="AH183" s="203">
        <f>IF($C183,'Backlog General'!$L183,"")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IF($C183,IFERROR(VLOOKUP($D183,'Sprints'!$G$5:$H$12,2,FALSE),"Semanal"),"")</f>
      </c>
      <c r="AP183" s="202">
        <f>IF($C183,IF($AO183="Semanal",'Sprints'!$D$5,IF($AO183="Quincenal",'Sprints'!$D$6,'Sprints'!$D$7)),"")</f>
      </c>
      <c r="AQ183" s="202">
        <f>IF($C183,IF($AO183="Semanal",'Sprints'!$C$5,IF($AO183="Quincenal",'Sprints'!$C$6,'Sprints'!$C$7)),"")</f>
      </c>
      <c r="AR183" s="202">
        <f>IF(AND($C183,ISNUMBER($H183)),MAX(1,INT(($H183-$AQ183)/$AP183)+1),"")</f>
      </c>
      <c r="AS183" s="202">
        <f>IF($C183,IF($AO183="Semanal",'Sprints'!$E$5,IF($AO183="Quincenal",'Sprints'!$E$6,'Sprints'!$E$7)),"")</f>
      </c>
      <c r="AT183" s="203">
        <f>IF($C183,'Backlog General'!$G183,"")</f>
      </c>
      <c r="AU183" s="203">
        <f>IF($C183,'Backlog General'!$H183,"")</f>
      </c>
      <c r="AV183" s="202">
        <f>IF(AND($C183,ISNUMBER($AR183)),IF(OR($AT183="Completo",$AU183="Cancelado",$AU183="Baja prioridad"),$AR183,IF($AU183="Pasa al siguiente",MAX($AR183+1,$AS183),MAX($AR183,$AS183))),"")</f>
      </c>
      <c r="AW183" s="202">
        <f>IF(AND($C183,ISNUMBER($AR183)),$AQ183+$AR183*$AP183-1,"")</f>
      </c>
      <c r="AX183" s="202">
        <f>IF($C183,IF(OR($AT183="Completo",$AU183="Cancelado",$AU183="Baja prioridad",NOT(ISNUMBER($AW183))),0,MAX(0,TODAY()-$AW183)),"")</f>
      </c>
      <c r="AY183" s="203">
        <f>IF($C183,IF(NOT(ISNUMBER($AR183)),"Sin fecha",IF($AT183="Completo","Completo",IF($AU183="Cancelado","Cancelado",IF($AU183="Baja prioridad","Baja prioridad",IF($AX183&gt;0,"Vencida","Pendiente"))))),"")</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row>
    <row r="184">
      <c r="A184" s="202">
        <f>ROW()</f>
      </c>
      <c r="B184" s="202">
        <f>ISTEXT('Proyecto Datos (OKR´s)'!$K184)</f>
      </c>
      <c r="C184" s="202">
        <f>AND(LEN('Proyecto Datos (OKR´s)'!$G184)&gt;0,NOT($B184),OR(ISNUMBER('Proyecto Datos (OKR´s)'!$F184),ISNUMBER('Proyecto Datos (OKR´s)'!$L184)))</f>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IF($C184,'Proyecto Datos (OKR´s)'!$J184,"")</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f>IF($C184,$AV184&lt;&gt;$AR184,FALSE)</f>
      </c>
      <c r="AG184" s="202">
        <f>IF($C184,IF($AV184&lt;&gt;$AR184,$AW184,""),"")</f>
      </c>
      <c r="AH184" s="203">
        <f>IF($C184,'Backlog General'!$L184,"")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IF($C184,IFERROR(VLOOKUP($D184,'Sprints'!$G$5:$H$12,2,FALSE),"Semanal"),"")</f>
      </c>
      <c r="AP184" s="202">
        <f>IF($C184,IF($AO184="Semanal",'Sprints'!$D$5,IF($AO184="Quincenal",'Sprints'!$D$6,'Sprints'!$D$7)),"")</f>
      </c>
      <c r="AQ184" s="202">
        <f>IF($C184,IF($AO184="Semanal",'Sprints'!$C$5,IF($AO184="Quincenal",'Sprints'!$C$6,'Sprints'!$C$7)),"")</f>
      </c>
      <c r="AR184" s="202">
        <f>IF(AND($C184,ISNUMBER($H184)),MAX(1,INT(($H184-$AQ184)/$AP184)+1),"")</f>
      </c>
      <c r="AS184" s="202">
        <f>IF($C184,IF($AO184="Semanal",'Sprints'!$E$5,IF($AO184="Quincenal",'Sprints'!$E$6,'Sprints'!$E$7)),"")</f>
      </c>
      <c r="AT184" s="203">
        <f>IF($C184,'Backlog General'!$G184,"")</f>
      </c>
      <c r="AU184" s="203">
        <f>IF($C184,'Backlog General'!$H184,"")</f>
      </c>
      <c r="AV184" s="202">
        <f>IF(AND($C184,ISNUMBER($AR184)),IF(OR($AT184="Completo",$AU184="Cancelado",$AU184="Baja prioridad"),$AR184,IF($AU184="Pasa al siguiente",MAX($AR184+1,$AS184),MAX($AR184,$AS184))),"")</f>
      </c>
      <c r="AW184" s="202">
        <f>IF(AND($C184,ISNUMBER($AR184)),$AQ184+$AR184*$AP184-1,"")</f>
      </c>
      <c r="AX184" s="202">
        <f>IF($C184,IF(OR($AT184="Completo",$AU184="Cancelado",$AU184="Baja prioridad",NOT(ISNUMBER($AW184))),0,MAX(0,TODAY()-$AW184)),"")</f>
      </c>
      <c r="AY184" s="203">
        <f>IF($C184,IF(NOT(ISNUMBER($AR184)),"Sin fecha",IF($AT184="Completo","Completo",IF($AU184="Cancelado","Cancelado",IF($AU184="Baja prioridad","Baja prioridad",IF($AX184&gt;0,"Vencida","Pendiente"))))),"")</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row>
    <row r="185">
      <c r="A185" s="202">
        <f>ROW()</f>
      </c>
      <c r="B185" s="202">
        <f>ISTEXT('Proyecto Datos (OKR´s)'!$K185)</f>
      </c>
      <c r="C185" s="202">
        <f>AND(LEN('Proyecto Datos (OKR´s)'!$G185)&gt;0,NOT($B185),OR(ISNUMBER('Proyecto Datos (OKR´s)'!$F185),ISNUMBER('Proyecto Datos (OKR´s)'!$L185)))</f>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IF($C185,'Proyecto Datos (OKR´s)'!$J185,"")</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f>IF($C185,$AV185&lt;&gt;$AR185,FALSE)</f>
      </c>
      <c r="AG185" s="202">
        <f>IF($C185,IF($AV185&lt;&gt;$AR185,$AW185,""),"")</f>
      </c>
      <c r="AH185" s="203">
        <f>IF($C185,'Backlog General'!$L185,"")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IF($C185,IFERROR(VLOOKUP($D185,'Sprints'!$G$5:$H$12,2,FALSE),"Semanal"),"")</f>
      </c>
      <c r="AP185" s="202">
        <f>IF($C185,IF($AO185="Semanal",'Sprints'!$D$5,IF($AO185="Quincenal",'Sprints'!$D$6,'Sprints'!$D$7)),"")</f>
      </c>
      <c r="AQ185" s="202">
        <f>IF($C185,IF($AO185="Semanal",'Sprints'!$C$5,IF($AO185="Quincenal",'Sprints'!$C$6,'Sprints'!$C$7)),"")</f>
      </c>
      <c r="AR185" s="202">
        <f>IF(AND($C185,ISNUMBER($H185)),MAX(1,INT(($H185-$AQ185)/$AP185)+1),"")</f>
      </c>
      <c r="AS185" s="202">
        <f>IF($C185,IF($AO185="Semanal",'Sprints'!$E$5,IF($AO185="Quincenal",'Sprints'!$E$6,'Sprints'!$E$7)),"")</f>
      </c>
      <c r="AT185" s="203">
        <f>IF($C185,'Backlog General'!$G185,"")</f>
      </c>
      <c r="AU185" s="203">
        <f>IF($C185,'Backlog General'!$H185,"")</f>
      </c>
      <c r="AV185" s="202">
        <f>IF(AND($C185,ISNUMBER($AR185)),IF(OR($AT185="Completo",$AU185="Cancelado",$AU185="Baja prioridad"),$AR185,IF($AU185="Pasa al siguiente",MAX($AR185+1,$AS185),MAX($AR185,$AS185))),"")</f>
      </c>
      <c r="AW185" s="202">
        <f>IF(AND($C185,ISNUMBER($AR185)),$AQ185+$AR185*$AP185-1,"")</f>
      </c>
      <c r="AX185" s="202">
        <f>IF($C185,IF(OR($AT185="Completo",$AU185="Cancelado",$AU185="Baja prioridad",NOT(ISNUMBER($AW185))),0,MAX(0,TODAY()-$AW185)),"")</f>
      </c>
      <c r="AY185" s="203">
        <f>IF($C185,IF(NOT(ISNUMBER($AR185)),"Sin fecha",IF($AT185="Completo","Completo",IF($AU185="Cancelado","Cancelado",IF($AU185="Baja prioridad","Baja prioridad",IF($AX185&gt;0,"Vencida","Pendiente"))))),"")</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row>
    <row r="186">
      <c r="A186" s="202">
        <f>ROW()</f>
      </c>
      <c r="B186" s="202">
        <f>ISTEXT('Proyecto Datos (OKR´s)'!$K186)</f>
      </c>
      <c r="C186" s="202">
        <f>AND(LEN('Proyecto Datos (OKR´s)'!$G186)&gt;0,NOT($B186),OR(ISNUMBER('Proyecto Datos (OKR´s)'!$F186),ISNUMBER('Proyecto Datos (OKR´s)'!$L186)))</f>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IF($C186,'Proyecto Datos (OKR´s)'!$J186,"")</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f>IF($C186,$AV186&lt;&gt;$AR186,FALSE)</f>
      </c>
      <c r="AG186" s="202">
        <f>IF($C186,IF($AV186&lt;&gt;$AR186,$AW186,""),"")</f>
      </c>
      <c r="AH186" s="203">
        <f>IF($C186,'Backlog General'!$L186,"")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IF($C186,IFERROR(VLOOKUP($D186,'Sprints'!$G$5:$H$12,2,FALSE),"Semanal"),"")</f>
      </c>
      <c r="AP186" s="202">
        <f>IF($C186,IF($AO186="Semanal",'Sprints'!$D$5,IF($AO186="Quincenal",'Sprints'!$D$6,'Sprints'!$D$7)),"")</f>
      </c>
      <c r="AQ186" s="202">
        <f>IF($C186,IF($AO186="Semanal",'Sprints'!$C$5,IF($AO186="Quincenal",'Sprints'!$C$6,'Sprints'!$C$7)),"")</f>
      </c>
      <c r="AR186" s="202">
        <f>IF(AND($C186,ISNUMBER($H186)),MAX(1,INT(($H186-$AQ186)/$AP186)+1),"")</f>
      </c>
      <c r="AS186" s="202">
        <f>IF($C186,IF($AO186="Semanal",'Sprints'!$E$5,IF($AO186="Quincenal",'Sprints'!$E$6,'Sprints'!$E$7)),"")</f>
      </c>
      <c r="AT186" s="203">
        <f>IF($C186,'Backlog General'!$G186,"")</f>
      </c>
      <c r="AU186" s="203">
        <f>IF($C186,'Backlog General'!$H186,"")</f>
      </c>
      <c r="AV186" s="202">
        <f>IF(AND($C186,ISNUMBER($AR186)),IF(OR($AT186="Completo",$AU186="Cancelado",$AU186="Baja prioridad"),$AR186,IF($AU186="Pasa al siguiente",MAX($AR186+1,$AS186),MAX($AR186,$AS186))),"")</f>
      </c>
      <c r="AW186" s="202">
        <f>IF(AND($C186,ISNUMBER($AR186)),$AQ186+$AR186*$AP186-1,"")</f>
      </c>
      <c r="AX186" s="202">
        <f>IF($C186,IF(OR($AT186="Completo",$AU186="Cancelado",$AU186="Baja prioridad",NOT(ISNUMBER($AW186))),0,MAX(0,TODAY()-$AW186)),"")</f>
      </c>
      <c r="AY186" s="203">
        <f>IF($C186,IF(NOT(ISNUMBER($AR186)),"Sin fecha",IF($AT186="Completo","Completo",IF($AU186="Cancelado","Cancelado",IF($AU186="Baja prioridad","Baja prioridad",IF($AX186&gt;0,"Vencida","Pendiente"))))),"")</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row>
    <row r="187">
      <c r="A187" s="202">
        <f>ROW()</f>
      </c>
      <c r="B187" s="202">
        <f>ISTEXT('Proyecto Datos (OKR´s)'!$K187)</f>
      </c>
      <c r="C187" s="202">
        <f>AND(LEN('Proyecto Datos (OKR´s)'!$G187)&gt;0,NOT($B187),OR(ISNUMBER('Proyecto Datos (OKR´s)'!$F187),ISNUMBER('Proyecto Datos (OKR´s)'!$L187)))</f>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IF($C187,'Proyecto Datos (OKR´s)'!$J187,"")</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f>IF($C187,$AV187&lt;&gt;$AR187,FALSE)</f>
      </c>
      <c r="AG187" s="202">
        <f>IF($C187,IF($AV187&lt;&gt;$AR187,$AW187,""),"")</f>
      </c>
      <c r="AH187" s="203">
        <f>IF($C187,'Backlog General'!$L187,"")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IF($C187,IFERROR(VLOOKUP($D187,'Sprints'!$G$5:$H$12,2,FALSE),"Semanal"),"")</f>
      </c>
      <c r="AP187" s="202">
        <f>IF($C187,IF($AO187="Semanal",'Sprints'!$D$5,IF($AO187="Quincenal",'Sprints'!$D$6,'Sprints'!$D$7)),"")</f>
      </c>
      <c r="AQ187" s="202">
        <f>IF($C187,IF($AO187="Semanal",'Sprints'!$C$5,IF($AO187="Quincenal",'Sprints'!$C$6,'Sprints'!$C$7)),"")</f>
      </c>
      <c r="AR187" s="202">
        <f>IF(AND($C187,ISNUMBER($H187)),MAX(1,INT(($H187-$AQ187)/$AP187)+1),"")</f>
      </c>
      <c r="AS187" s="202">
        <f>IF($C187,IF($AO187="Semanal",'Sprints'!$E$5,IF($AO187="Quincenal",'Sprints'!$E$6,'Sprints'!$E$7)),"")</f>
      </c>
      <c r="AT187" s="203">
        <f>IF($C187,'Backlog General'!$G187,"")</f>
      </c>
      <c r="AU187" s="203">
        <f>IF($C187,'Backlog General'!$H187,"")</f>
      </c>
      <c r="AV187" s="202">
        <f>IF(AND($C187,ISNUMBER($AR187)),IF(OR($AT187="Completo",$AU187="Cancelado",$AU187="Baja prioridad"),$AR187,IF($AU187="Pasa al siguiente",MAX($AR187+1,$AS187),MAX($AR187,$AS187))),"")</f>
      </c>
      <c r="AW187" s="202">
        <f>IF(AND($C187,ISNUMBER($AR187)),$AQ187+$AR187*$AP187-1,"")</f>
      </c>
      <c r="AX187" s="202">
        <f>IF($C187,IF(OR($AT187="Completo",$AU187="Cancelado",$AU187="Baja prioridad",NOT(ISNUMBER($AW187))),0,MAX(0,TODAY()-$AW187)),"")</f>
      </c>
      <c r="AY187" s="203">
        <f>IF($C187,IF(NOT(ISNUMBER($AR187)),"Sin fecha",IF($AT187="Completo","Completo",IF($AU187="Cancelado","Cancelado",IF($AU187="Baja prioridad","Baja prioridad",IF($AX187&gt;0,"Vencida","Pendiente"))))),"")</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row>
    <row r="188">
      <c r="A188" s="202">
        <f>ROW()</f>
      </c>
      <c r="B188" s="202">
        <f>ISTEXT('Proyecto Datos (OKR´s)'!$K188)</f>
      </c>
      <c r="C188" s="202">
        <f>AND(LEN('Proyecto Datos (OKR´s)'!$G188)&gt;0,NOT($B188),OR(ISNUMBER('Proyecto Datos (OKR´s)'!$F188),ISNUMBER('Proyecto Datos (OKR´s)'!$L188)))</f>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IF($C188,'Proyecto Datos (OKR´s)'!$J188,"")</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f>IF($C188,$AV188&lt;&gt;$AR188,FALSE)</f>
      </c>
      <c r="AG188" s="202">
        <f>IF($C188,IF($AV188&lt;&gt;$AR188,$AW188,""),"")</f>
      </c>
      <c r="AH188" s="203">
        <f>IF($C188,'Backlog General'!$L188,"")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IF($C188,IFERROR(VLOOKUP($D188,'Sprints'!$G$5:$H$12,2,FALSE),"Semanal"),"")</f>
      </c>
      <c r="AP188" s="202">
        <f>IF($C188,IF($AO188="Semanal",'Sprints'!$D$5,IF($AO188="Quincenal",'Sprints'!$D$6,'Sprints'!$D$7)),"")</f>
      </c>
      <c r="AQ188" s="202">
        <f>IF($C188,IF($AO188="Semanal",'Sprints'!$C$5,IF($AO188="Quincenal",'Sprints'!$C$6,'Sprints'!$C$7)),"")</f>
      </c>
      <c r="AR188" s="202">
        <f>IF(AND($C188,ISNUMBER($H188)),MAX(1,INT(($H188-$AQ188)/$AP188)+1),"")</f>
      </c>
      <c r="AS188" s="202">
        <f>IF($C188,IF($AO188="Semanal",'Sprints'!$E$5,IF($AO188="Quincenal",'Sprints'!$E$6,'Sprints'!$E$7)),"")</f>
      </c>
      <c r="AT188" s="203">
        <f>IF($C188,'Backlog General'!$G188,"")</f>
      </c>
      <c r="AU188" s="203">
        <f>IF($C188,'Backlog General'!$H188,"")</f>
      </c>
      <c r="AV188" s="202">
        <f>IF(AND($C188,ISNUMBER($AR188)),IF(OR($AT188="Completo",$AU188="Cancelado",$AU188="Baja prioridad"),$AR188,IF($AU188="Pasa al siguiente",MAX($AR188+1,$AS188),MAX($AR188,$AS188))),"")</f>
      </c>
      <c r="AW188" s="202">
        <f>IF(AND($C188,ISNUMBER($AR188)),$AQ188+$AR188*$AP188-1,"")</f>
      </c>
      <c r="AX188" s="202">
        <f>IF($C188,IF(OR($AT188="Completo",$AU188="Cancelado",$AU188="Baja prioridad",NOT(ISNUMBER($AW188))),0,MAX(0,TODAY()-$AW188)),"")</f>
      </c>
      <c r="AY188" s="203">
        <f>IF($C188,IF(NOT(ISNUMBER($AR188)),"Sin fecha",IF($AT188="Completo","Completo",IF($AU188="Cancelado","Cancelado",IF($AU188="Baja prioridad","Baja prioridad",IF($AX188&gt;0,"Vencida","Pendiente"))))),"")</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row>
    <row r="189">
      <c r="A189" s="202">
        <f>ROW()</f>
      </c>
      <c r="B189" s="202">
        <f>ISTEXT('Proyecto Datos (OKR´s)'!$K189)</f>
      </c>
      <c r="C189" s="202">
        <f>AND(LEN('Proyecto Datos (OKR´s)'!$G189)&gt;0,NOT($B189),OR(ISNUMBER('Proyecto Datos (OKR´s)'!$F189),ISNUMBER('Proyecto Datos (OKR´s)'!$L189)))</f>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IF($C189,'Proyecto Datos (OKR´s)'!$J189,"")</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f>IF($C189,$AV189&lt;&gt;$AR189,FALSE)</f>
      </c>
      <c r="AG189" s="202">
        <f>IF($C189,IF($AV189&lt;&gt;$AR189,$AW189,""),"")</f>
      </c>
      <c r="AH189" s="203">
        <f>IF($C189,'Backlog General'!$L189,"")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IF($C189,IFERROR(VLOOKUP($D189,'Sprints'!$G$5:$H$12,2,FALSE),"Semanal"),"")</f>
      </c>
      <c r="AP189" s="202">
        <f>IF($C189,IF($AO189="Semanal",'Sprints'!$D$5,IF($AO189="Quincenal",'Sprints'!$D$6,'Sprints'!$D$7)),"")</f>
      </c>
      <c r="AQ189" s="202">
        <f>IF($C189,IF($AO189="Semanal",'Sprints'!$C$5,IF($AO189="Quincenal",'Sprints'!$C$6,'Sprints'!$C$7)),"")</f>
      </c>
      <c r="AR189" s="202">
        <f>IF(AND($C189,ISNUMBER($H189)),MAX(1,INT(($H189-$AQ189)/$AP189)+1),"")</f>
      </c>
      <c r="AS189" s="202">
        <f>IF($C189,IF($AO189="Semanal",'Sprints'!$E$5,IF($AO189="Quincenal",'Sprints'!$E$6,'Sprints'!$E$7)),"")</f>
      </c>
      <c r="AT189" s="203">
        <f>IF($C189,'Backlog General'!$G189,"")</f>
      </c>
      <c r="AU189" s="203">
        <f>IF($C189,'Backlog General'!$H189,"")</f>
      </c>
      <c r="AV189" s="202">
        <f>IF(AND($C189,ISNUMBER($AR189)),IF(OR($AT189="Completo",$AU189="Cancelado",$AU189="Baja prioridad"),$AR189,IF($AU189="Pasa al siguiente",MAX($AR189+1,$AS189),MAX($AR189,$AS189))),"")</f>
      </c>
      <c r="AW189" s="202">
        <f>IF(AND($C189,ISNUMBER($AR189)),$AQ189+$AR189*$AP189-1,"")</f>
      </c>
      <c r="AX189" s="202">
        <f>IF($C189,IF(OR($AT189="Completo",$AU189="Cancelado",$AU189="Baja prioridad",NOT(ISNUMBER($AW189))),0,MAX(0,TODAY()-$AW189)),"")</f>
      </c>
      <c r="AY189" s="203">
        <f>IF($C189,IF(NOT(ISNUMBER($AR189)),"Sin fecha",IF($AT189="Completo","Completo",IF($AU189="Cancelado","Cancelado",IF($AU189="Baja prioridad","Baja prioridad",IF($AX189&gt;0,"Vencida","Pendiente"))))),"")</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row>
    <row r="190">
      <c r="A190" s="202">
        <f>ROW()</f>
      </c>
      <c r="B190" s="202">
        <f>ISTEXT('Proyecto Datos (OKR´s)'!$K190)</f>
      </c>
      <c r="C190" s="202">
        <f>AND(LEN('Proyecto Datos (OKR´s)'!$G190)&gt;0,NOT($B190),OR(ISNUMBER('Proyecto Datos (OKR´s)'!$F190),ISNUMBER('Proyecto Datos (OKR´s)'!$L190)))</f>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IF($C190,'Proyecto Datos (OKR´s)'!$J190,"")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f>IF($C190,$AV190&lt;&gt;$AR190,FALSE)</f>
      </c>
      <c r="AG190" s="202">
        <f>IF($C190,IF($AV190&lt;&gt;$AR190,$AW190,""),"")</f>
      </c>
      <c r="AH190" s="203">
        <f>IF($C190,'Backlog General'!$L190,"")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IF($C190,IFERROR(VLOOKUP($D190,'Sprints'!$G$5:$H$12,2,FALSE),"Semanal"),"")</f>
      </c>
      <c r="AP190" s="202">
        <f>IF($C190,IF($AO190="Semanal",'Sprints'!$D$5,IF($AO190="Quincenal",'Sprints'!$D$6,'Sprints'!$D$7)),"")</f>
      </c>
      <c r="AQ190" s="202">
        <f>IF($C190,IF($AO190="Semanal",'Sprints'!$C$5,IF($AO190="Quincenal",'Sprints'!$C$6,'Sprints'!$C$7)),"")</f>
      </c>
      <c r="AR190" s="202">
        <f>IF(AND($C190,ISNUMBER($H190)),MAX(1,INT(($H190-$AQ190)/$AP190)+1),"")</f>
      </c>
      <c r="AS190" s="202">
        <f>IF($C190,IF($AO190="Semanal",'Sprints'!$E$5,IF($AO190="Quincenal",'Sprints'!$E$6,'Sprints'!$E$7)),"")</f>
      </c>
      <c r="AT190" s="203">
        <f>IF($C190,'Backlog General'!$G190,"")</f>
      </c>
      <c r="AU190" s="203">
        <f>IF($C190,'Backlog General'!$H190,"")</f>
      </c>
      <c r="AV190" s="202">
        <f>IF(AND($C190,ISNUMBER($AR190)),IF(OR($AT190="Completo",$AU190="Cancelado",$AU190="Baja prioridad"),$AR190,IF($AU190="Pasa al siguiente",MAX($AR190+1,$AS190),MAX($AR190,$AS190))),"")</f>
      </c>
      <c r="AW190" s="202">
        <f>IF(AND($C190,ISNUMBER($AR190)),$AQ190+$AR190*$AP190-1,"")</f>
      </c>
      <c r="AX190" s="202">
        <f>IF($C190,IF(OR($AT190="Completo",$AU190="Cancelado",$AU190="Baja prioridad",NOT(ISNUMBER($AW190))),0,MAX(0,TODAY()-$AW190)),"")</f>
      </c>
      <c r="AY190" s="203">
        <f>IF($C190,IF(NOT(ISNUMBER($AR190)),"Sin fecha",IF($AT190="Completo","Completo",IF($AU190="Cancelado","Cancelado",IF($AU190="Baja prioridad","Baja prioridad",IF($AX190&gt;0,"Vencida","Pendiente"))))),"")</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row>
    <row r="191">
      <c r="A191" s="202">
        <f>ROW()</f>
      </c>
      <c r="B191" s="202">
        <f>ISTEXT('Proyecto Datos (OKR´s)'!$K191)</f>
      </c>
      <c r="C191" s="202">
        <f>AND(LEN('Proyecto Datos (OKR´s)'!$G191)&gt;0,NOT($B191),OR(ISNUMBER('Proyecto Datos (OKR´s)'!$F191),ISNUMBER('Proyecto Datos (OKR´s)'!$L191)))</f>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IF($C191,'Proyecto Datos (OKR´s)'!$J191,"")</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f>IF($C191,$AV191&lt;&gt;$AR191,FALSE)</f>
      </c>
      <c r="AG191" s="202">
        <f>IF($C191,IF($AV191&lt;&gt;$AR191,$AW191,""),"")</f>
      </c>
      <c r="AH191" s="203">
        <f>IF($C191,'Backlog General'!$L191,"")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IF($C191,IFERROR(VLOOKUP($D191,'Sprints'!$G$5:$H$12,2,FALSE),"Semanal"),"")</f>
      </c>
      <c r="AP191" s="202">
        <f>IF($C191,IF($AO191="Semanal",'Sprints'!$D$5,IF($AO191="Quincenal",'Sprints'!$D$6,'Sprints'!$D$7)),"")</f>
      </c>
      <c r="AQ191" s="202">
        <f>IF($C191,IF($AO191="Semanal",'Sprints'!$C$5,IF($AO191="Quincenal",'Sprints'!$C$6,'Sprints'!$C$7)),"")</f>
      </c>
      <c r="AR191" s="202">
        <f>IF(AND($C191,ISNUMBER($H191)),MAX(1,INT(($H191-$AQ191)/$AP191)+1),"")</f>
      </c>
      <c r="AS191" s="202">
        <f>IF($C191,IF($AO191="Semanal",'Sprints'!$E$5,IF($AO191="Quincenal",'Sprints'!$E$6,'Sprints'!$E$7)),"")</f>
      </c>
      <c r="AT191" s="203">
        <f>IF($C191,'Backlog General'!$G191,"")</f>
      </c>
      <c r="AU191" s="203">
        <f>IF($C191,'Backlog General'!$H191,"")</f>
      </c>
      <c r="AV191" s="202">
        <f>IF(AND($C191,ISNUMBER($AR191)),IF(OR($AT191="Completo",$AU191="Cancelado",$AU191="Baja prioridad"),$AR191,IF($AU191="Pasa al siguiente",MAX($AR191+1,$AS191),MAX($AR191,$AS191))),"")</f>
      </c>
      <c r="AW191" s="202">
        <f>IF(AND($C191,ISNUMBER($AR191)),$AQ191+$AR191*$AP191-1,"")</f>
      </c>
      <c r="AX191" s="202">
        <f>IF($C191,IF(OR($AT191="Completo",$AU191="Cancelado",$AU191="Baja prioridad",NOT(ISNUMBER($AW191))),0,MAX(0,TODAY()-$AW191)),"")</f>
      </c>
      <c r="AY191" s="203">
        <f>IF($C191,IF(NOT(ISNUMBER($AR191)),"Sin fecha",IF($AT191="Completo","Completo",IF($AU191="Cancelado","Cancelado",IF($AU191="Baja prioridad","Baja prioridad",IF($AX191&gt;0,"Vencida","Pendiente"))))),"")</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row>
    <row r="192">
      <c r="A192" s="202">
        <f>ROW()</f>
      </c>
      <c r="B192" s="202">
        <f>ISTEXT('Proyecto Datos (OKR´s)'!$K192)</f>
      </c>
      <c r="C192" s="202">
        <f>AND(LEN('Proyecto Datos (OKR´s)'!$G192)&gt;0,NOT($B192),OR(ISNUMBER('Proyecto Datos (OKR´s)'!$F192),ISNUMBER('Proyecto Datos (OKR´s)'!$L192)))</f>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IF($C192,'Proyecto Datos (OKR´s)'!$J192,"")</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f>IF($C192,$AV192&lt;&gt;$AR192,FALSE)</f>
      </c>
      <c r="AG192" s="202">
        <f>IF($C192,IF($AV192&lt;&gt;$AR192,$AW192,""),"")</f>
      </c>
      <c r="AH192" s="203">
        <f>IF($C192,'Backlog General'!$L192,"")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IF($C192,IFERROR(VLOOKUP($D192,'Sprints'!$G$5:$H$12,2,FALSE),"Semanal"),"")</f>
      </c>
      <c r="AP192" s="202">
        <f>IF($C192,IF($AO192="Semanal",'Sprints'!$D$5,IF($AO192="Quincenal",'Sprints'!$D$6,'Sprints'!$D$7)),"")</f>
      </c>
      <c r="AQ192" s="202">
        <f>IF($C192,IF($AO192="Semanal",'Sprints'!$C$5,IF($AO192="Quincenal",'Sprints'!$C$6,'Sprints'!$C$7)),"")</f>
      </c>
      <c r="AR192" s="202">
        <f>IF(AND($C192,ISNUMBER($H192)),MAX(1,INT(($H192-$AQ192)/$AP192)+1),"")</f>
      </c>
      <c r="AS192" s="202">
        <f>IF($C192,IF($AO192="Semanal",'Sprints'!$E$5,IF($AO192="Quincenal",'Sprints'!$E$6,'Sprints'!$E$7)),"")</f>
      </c>
      <c r="AT192" s="203">
        <f>IF($C192,'Backlog General'!$G192,"")</f>
      </c>
      <c r="AU192" s="203">
        <f>IF($C192,'Backlog General'!$H192,"")</f>
      </c>
      <c r="AV192" s="202">
        <f>IF(AND($C192,ISNUMBER($AR192)),IF(OR($AT192="Completo",$AU192="Cancelado",$AU192="Baja prioridad"),$AR192,IF($AU192="Pasa al siguiente",MAX($AR192+1,$AS192),MAX($AR192,$AS192))),"")</f>
      </c>
      <c r="AW192" s="202">
        <f>IF(AND($C192,ISNUMBER($AR192)),$AQ192+$AR192*$AP192-1,"")</f>
      </c>
      <c r="AX192" s="202">
        <f>IF($C192,IF(OR($AT192="Completo",$AU192="Cancelado",$AU192="Baja prioridad",NOT(ISNUMBER($AW192))),0,MAX(0,TODAY()-$AW192)),"")</f>
      </c>
      <c r="AY192" s="203">
        <f>IF($C192,IF(NOT(ISNUMBER($AR192)),"Sin fecha",IF($AT192="Completo","Completo",IF($AU192="Cancelado","Cancelado",IF($AU192="Baja prioridad","Baja prioridad",IF($AX192&gt;0,"Vencida","Pendiente"))))),"")</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row>
    <row r="193">
      <c r="A193" s="202">
        <f>ROW()</f>
      </c>
      <c r="B193" s="202">
        <f>ISTEXT('Proyecto Datos (OKR´s)'!$K193)</f>
      </c>
      <c r="C193" s="202">
        <f>AND(LEN('Proyecto Datos (OKR´s)'!$G193)&gt;0,NOT($B193),OR(ISNUMBER('Proyecto Datos (OKR´s)'!$F193),ISNUMBER('Proyecto Datos (OKR´s)'!$L193)))</f>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IF($C193,'Proyecto Datos (OKR´s)'!$J193,"")</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f>IF($C193,$AV193&lt;&gt;$AR193,FALSE)</f>
      </c>
      <c r="AG193" s="202">
        <f>IF($C193,IF($AV193&lt;&gt;$AR193,$AW193,""),"")</f>
      </c>
      <c r="AH193" s="203">
        <f>IF($C193,'Backlog General'!$L193,"")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IF($C193,IFERROR(VLOOKUP($D193,'Sprints'!$G$5:$H$12,2,FALSE),"Semanal"),"")</f>
      </c>
      <c r="AP193" s="202">
        <f>IF($C193,IF($AO193="Semanal",'Sprints'!$D$5,IF($AO193="Quincenal",'Sprints'!$D$6,'Sprints'!$D$7)),"")</f>
      </c>
      <c r="AQ193" s="202">
        <f>IF($C193,IF($AO193="Semanal",'Sprints'!$C$5,IF($AO193="Quincenal",'Sprints'!$C$6,'Sprints'!$C$7)),"")</f>
      </c>
      <c r="AR193" s="202">
        <f>IF(AND($C193,ISNUMBER($H193)),MAX(1,INT(($H193-$AQ193)/$AP193)+1),"")</f>
      </c>
      <c r="AS193" s="202">
        <f>IF($C193,IF($AO193="Semanal",'Sprints'!$E$5,IF($AO193="Quincenal",'Sprints'!$E$6,'Sprints'!$E$7)),"")</f>
      </c>
      <c r="AT193" s="203">
        <f>IF($C193,'Backlog General'!$G193,"")</f>
      </c>
      <c r="AU193" s="203">
        <f>IF($C193,'Backlog General'!$H193,"")</f>
      </c>
      <c r="AV193" s="202">
        <f>IF(AND($C193,ISNUMBER($AR193)),IF(OR($AT193="Completo",$AU193="Cancelado",$AU193="Baja prioridad"),$AR193,IF($AU193="Pasa al siguiente",MAX($AR193+1,$AS193),MAX($AR193,$AS193))),"")</f>
      </c>
      <c r="AW193" s="202">
        <f>IF(AND($C193,ISNUMBER($AR193)),$AQ193+$AR193*$AP193-1,"")</f>
      </c>
      <c r="AX193" s="202">
        <f>IF($C193,IF(OR($AT193="Completo",$AU193="Cancelado",$AU193="Baja prioridad",NOT(ISNUMBER($AW193))),0,MAX(0,TODAY()-$AW193)),"")</f>
      </c>
      <c r="AY193" s="203">
        <f>IF($C193,IF(NOT(ISNUMBER($AR193)),"Sin fecha",IF($AT193="Completo","Completo",IF($AU193="Cancelado","Cancelado",IF($AU193="Baja prioridad","Baja prioridad",IF($AX193&gt;0,"Vencida","Pendiente"))))),"")</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row>
    <row r="194">
      <c r="A194" s="202">
        <f>ROW()</f>
      </c>
      <c r="B194" s="202">
        <f>ISTEXT('Proyecto Datos (OKR´s)'!$K194)</f>
      </c>
      <c r="C194" s="202">
        <f>AND(LEN('Proyecto Datos (OKR´s)'!$G194)&gt;0,NOT($B194),OR(ISNUMBER('Proyecto Datos (OKR´s)'!$F194),ISNUMBER('Proyecto Datos (OKR´s)'!$L194)))</f>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IF($C194,'Proyecto Datos (OKR´s)'!$J194,"")</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f>IF($C194,$AV194&lt;&gt;$AR194,FALSE)</f>
      </c>
      <c r="AG194" s="202">
        <f>IF($C194,IF($AV194&lt;&gt;$AR194,$AW194,""),"")</f>
      </c>
      <c r="AH194" s="203">
        <f>IF($C194,'Backlog General'!$L194,"")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IF($C194,IFERROR(VLOOKUP($D194,'Sprints'!$G$5:$H$12,2,FALSE),"Semanal"),"")</f>
      </c>
      <c r="AP194" s="202">
        <f>IF($C194,IF($AO194="Semanal",'Sprints'!$D$5,IF($AO194="Quincenal",'Sprints'!$D$6,'Sprints'!$D$7)),"")</f>
      </c>
      <c r="AQ194" s="202">
        <f>IF($C194,IF($AO194="Semanal",'Sprints'!$C$5,IF($AO194="Quincenal",'Sprints'!$C$6,'Sprints'!$C$7)),"")</f>
      </c>
      <c r="AR194" s="202">
        <f>IF(AND($C194,ISNUMBER($H194)),MAX(1,INT(($H194-$AQ194)/$AP194)+1),"")</f>
      </c>
      <c r="AS194" s="202">
        <f>IF($C194,IF($AO194="Semanal",'Sprints'!$E$5,IF($AO194="Quincenal",'Sprints'!$E$6,'Sprints'!$E$7)),"")</f>
      </c>
      <c r="AT194" s="203">
        <f>IF($C194,'Backlog General'!$G194,"")</f>
      </c>
      <c r="AU194" s="203">
        <f>IF($C194,'Backlog General'!$H194,"")</f>
      </c>
      <c r="AV194" s="202">
        <f>IF(AND($C194,ISNUMBER($AR194)),IF(OR($AT194="Completo",$AU194="Cancelado",$AU194="Baja prioridad"),$AR194,IF($AU194="Pasa al siguiente",MAX($AR194+1,$AS194),MAX($AR194,$AS194))),"")</f>
      </c>
      <c r="AW194" s="202">
        <f>IF(AND($C194,ISNUMBER($AR194)),$AQ194+$AR194*$AP194-1,"")</f>
      </c>
      <c r="AX194" s="202">
        <f>IF($C194,IF(OR($AT194="Completo",$AU194="Cancelado",$AU194="Baja prioridad",NOT(ISNUMBER($AW194))),0,MAX(0,TODAY()-$AW194)),"")</f>
      </c>
      <c r="AY194" s="203">
        <f>IF($C194,IF(NOT(ISNUMBER($AR194)),"Sin fecha",IF($AT194="Completo","Completo",IF($AU194="Cancelado","Cancelado",IF($AU194="Baja prioridad","Baja prioridad",IF($AX194&gt;0,"Vencida","Pendiente"))))),"")</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row>
    <row r="195">
      <c r="A195" s="202">
        <f>ROW()</f>
      </c>
      <c r="B195" s="202">
        <f>ISTEXT('Proyecto Datos (OKR´s)'!$K195)</f>
      </c>
      <c r="C195" s="202">
        <f>AND(LEN('Proyecto Datos (OKR´s)'!$G195)&gt;0,NOT($B195),OR(ISNUMBER('Proyecto Datos (OKR´s)'!$F195),ISNUMBER('Proyecto Datos (OKR´s)'!$L195)))</f>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IF($C195,'Proyecto Datos (OKR´s)'!$J195,"")</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f>IF($C195,$AV195&lt;&gt;$AR195,FALSE)</f>
      </c>
      <c r="AG195" s="202">
        <f>IF($C195,IF($AV195&lt;&gt;$AR195,$AW195,""),"")</f>
      </c>
      <c r="AH195" s="203">
        <f>IF($C195,'Backlog General'!$L195,"")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IF($C195,IFERROR(VLOOKUP($D195,'Sprints'!$G$5:$H$12,2,FALSE),"Semanal"),"")</f>
      </c>
      <c r="AP195" s="202">
        <f>IF($C195,IF($AO195="Semanal",'Sprints'!$D$5,IF($AO195="Quincenal",'Sprints'!$D$6,'Sprints'!$D$7)),"")</f>
      </c>
      <c r="AQ195" s="202">
        <f>IF($C195,IF($AO195="Semanal",'Sprints'!$C$5,IF($AO195="Quincenal",'Sprints'!$C$6,'Sprints'!$C$7)),"")</f>
      </c>
      <c r="AR195" s="202">
        <f>IF(AND($C195,ISNUMBER($H195)),MAX(1,INT(($H195-$AQ195)/$AP195)+1),"")</f>
      </c>
      <c r="AS195" s="202">
        <f>IF($C195,IF($AO195="Semanal",'Sprints'!$E$5,IF($AO195="Quincenal",'Sprints'!$E$6,'Sprints'!$E$7)),"")</f>
      </c>
      <c r="AT195" s="203">
        <f>IF($C195,'Backlog General'!$G195,"")</f>
      </c>
      <c r="AU195" s="203">
        <f>IF($C195,'Backlog General'!$H195,"")</f>
      </c>
      <c r="AV195" s="202">
        <f>IF(AND($C195,ISNUMBER($AR195)),IF(OR($AT195="Completo",$AU195="Cancelado",$AU195="Baja prioridad"),$AR195,IF($AU195="Pasa al siguiente",MAX($AR195+1,$AS195),MAX($AR195,$AS195))),"")</f>
      </c>
      <c r="AW195" s="202">
        <f>IF(AND($C195,ISNUMBER($AR195)),$AQ195+$AR195*$AP195-1,"")</f>
      </c>
      <c r="AX195" s="202">
        <f>IF($C195,IF(OR($AT195="Completo",$AU195="Cancelado",$AU195="Baja prioridad",NOT(ISNUMBER($AW195))),0,MAX(0,TODAY()-$AW195)),"")</f>
      </c>
      <c r="AY195" s="203">
        <f>IF($C195,IF(NOT(ISNUMBER($AR195)),"Sin fecha",IF($AT195="Completo","Completo",IF($AU195="Cancelado","Cancelado",IF($AU195="Baja prioridad","Baja prioridad",IF($AX195&gt;0,"Vencida","Pendiente"))))),"")</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row>
    <row r="196">
      <c r="A196" s="202">
        <f>ROW()</f>
      </c>
      <c r="B196" s="202">
        <f>ISTEXT('Proyecto Datos (OKR´s)'!$K196)</f>
      </c>
      <c r="C196" s="202">
        <f>AND(LEN('Proyecto Datos (OKR´s)'!$G196)&gt;0,NOT($B196),OR(ISNUMBER('Proyecto Datos (OKR´s)'!$F196),ISNUMBER('Proyecto Datos (OKR´s)'!$L196)))</f>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IF($C196,'Proyecto Datos (OKR´s)'!$J196,"")</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f>IF($C196,$AV196&lt;&gt;$AR196,FALSE)</f>
      </c>
      <c r="AG196" s="202">
        <f>IF($C196,IF($AV196&lt;&gt;$AR196,$AW196,""),"")</f>
      </c>
      <c r="AH196" s="203">
        <f>IF($C196,'Backlog General'!$L196,"")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IF($C196,IFERROR(VLOOKUP($D196,'Sprints'!$G$5:$H$12,2,FALSE),"Semanal"),"")</f>
      </c>
      <c r="AP196" s="202">
        <f>IF($C196,IF($AO196="Semanal",'Sprints'!$D$5,IF($AO196="Quincenal",'Sprints'!$D$6,'Sprints'!$D$7)),"")</f>
      </c>
      <c r="AQ196" s="202">
        <f>IF($C196,IF($AO196="Semanal",'Sprints'!$C$5,IF($AO196="Quincenal",'Sprints'!$C$6,'Sprints'!$C$7)),"")</f>
      </c>
      <c r="AR196" s="202">
        <f>IF(AND($C196,ISNUMBER($H196)),MAX(1,INT(($H196-$AQ196)/$AP196)+1),"")</f>
      </c>
      <c r="AS196" s="202">
        <f>IF($C196,IF($AO196="Semanal",'Sprints'!$E$5,IF($AO196="Quincenal",'Sprints'!$E$6,'Sprints'!$E$7)),"")</f>
      </c>
      <c r="AT196" s="203">
        <f>IF($C196,'Backlog General'!$G196,"")</f>
      </c>
      <c r="AU196" s="203">
        <f>IF($C196,'Backlog General'!$H196,"")</f>
      </c>
      <c r="AV196" s="202">
        <f>IF(AND($C196,ISNUMBER($AR196)),IF(OR($AT196="Completo",$AU196="Cancelado",$AU196="Baja prioridad"),$AR196,IF($AU196="Pasa al siguiente",MAX($AR196+1,$AS196),MAX($AR196,$AS196))),"")</f>
      </c>
      <c r="AW196" s="202">
        <f>IF(AND($C196,ISNUMBER($AR196)),$AQ196+$AR196*$AP196-1,"")</f>
      </c>
      <c r="AX196" s="202">
        <f>IF($C196,IF(OR($AT196="Completo",$AU196="Cancelado",$AU196="Baja prioridad",NOT(ISNUMBER($AW196))),0,MAX(0,TODAY()-$AW196)),"")</f>
      </c>
      <c r="AY196" s="203">
        <f>IF($C196,IF(NOT(ISNUMBER($AR196)),"Sin fecha",IF($AT196="Completo","Completo",IF($AU196="Cancelado","Cancelado",IF($AU196="Baja prioridad","Baja prioridad",IF($AX196&gt;0,"Vencida","Pendiente"))))),"")</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row>
    <row r="197">
      <c r="A197" s="202">
        <f>ROW()</f>
      </c>
      <c r="B197" s="202">
        <f>ISTEXT('Proyecto Datos (OKR´s)'!$K197)</f>
      </c>
      <c r="C197" s="202">
        <f>AND(LEN('Proyecto Datos (OKR´s)'!$G197)&gt;0,NOT($B197),OR(ISNUMBER('Proyecto Datos (OKR´s)'!$F197),ISNUMBER('Proyecto Datos (OKR´s)'!$L197)))</f>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IF($C197,'Proyecto Datos (OKR´s)'!$J197,"")</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f>IF($C197,$AV197&lt;&gt;$AR197,FALSE)</f>
      </c>
      <c r="AG197" s="202">
        <f>IF($C197,IF($AV197&lt;&gt;$AR197,$AW197,""),"")</f>
      </c>
      <c r="AH197" s="203">
        <f>IF($C197,'Backlog General'!$L197,"")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IF($C197,IFERROR(VLOOKUP($D197,'Sprints'!$G$5:$H$12,2,FALSE),"Semanal"),"")</f>
      </c>
      <c r="AP197" s="202">
        <f>IF($C197,IF($AO197="Semanal",'Sprints'!$D$5,IF($AO197="Quincenal",'Sprints'!$D$6,'Sprints'!$D$7)),"")</f>
      </c>
      <c r="AQ197" s="202">
        <f>IF($C197,IF($AO197="Semanal",'Sprints'!$C$5,IF($AO197="Quincenal",'Sprints'!$C$6,'Sprints'!$C$7)),"")</f>
      </c>
      <c r="AR197" s="202">
        <f>IF(AND($C197,ISNUMBER($H197)),MAX(1,INT(($H197-$AQ197)/$AP197)+1),"")</f>
      </c>
      <c r="AS197" s="202">
        <f>IF($C197,IF($AO197="Semanal",'Sprints'!$E$5,IF($AO197="Quincenal",'Sprints'!$E$6,'Sprints'!$E$7)),"")</f>
      </c>
      <c r="AT197" s="203">
        <f>IF($C197,'Backlog General'!$G197,"")</f>
      </c>
      <c r="AU197" s="203">
        <f>IF($C197,'Backlog General'!$H197,"")</f>
      </c>
      <c r="AV197" s="202">
        <f>IF(AND($C197,ISNUMBER($AR197)),IF(OR($AT197="Completo",$AU197="Cancelado",$AU197="Baja prioridad"),$AR197,IF($AU197="Pasa al siguiente",MAX($AR197+1,$AS197),MAX($AR197,$AS197))),"")</f>
      </c>
      <c r="AW197" s="202">
        <f>IF(AND($C197,ISNUMBER($AR197)),$AQ197+$AR197*$AP197-1,"")</f>
      </c>
      <c r="AX197" s="202">
        <f>IF($C197,IF(OR($AT197="Completo",$AU197="Cancelado",$AU197="Baja prioridad",NOT(ISNUMBER($AW197))),0,MAX(0,TODAY()-$AW197)),"")</f>
      </c>
      <c r="AY197" s="203">
        <f>IF($C197,IF(NOT(ISNUMBER($AR197)),"Sin fecha",IF($AT197="Completo","Completo",IF($AU197="Cancelado","Cancelado",IF($AU197="Baja prioridad","Baja prioridad",IF($AX197&gt;0,"Vencida","Pendiente"))))),"")</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row>
    <row r="198">
      <c r="A198" s="202">
        <f>ROW()</f>
      </c>
      <c r="B198" s="202">
        <f>ISTEXT('Proyecto Datos (OKR´s)'!$K198)</f>
      </c>
      <c r="C198" s="202">
        <f>AND(LEN('Proyecto Datos (OKR´s)'!$G198)&gt;0,NOT($B198),OR(ISNUMBER('Proyecto Datos (OKR´s)'!$F198),ISNUMBER('Proyecto Datos (OKR´s)'!$L198)))</f>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IF($C198,'Proyecto Datos (OKR´s)'!$J198,"")</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f>IF($C198,$AV198&lt;&gt;$AR198,FALSE)</f>
      </c>
      <c r="AG198" s="202">
        <f>IF($C198,IF($AV198&lt;&gt;$AR198,$AW198,""),"")</f>
      </c>
      <c r="AH198" s="203">
        <f>IF($C198,'Backlog General'!$L198,"")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IF($C198,IFERROR(VLOOKUP($D198,'Sprints'!$G$5:$H$12,2,FALSE),"Semanal"),"")</f>
      </c>
      <c r="AP198" s="202">
        <f>IF($C198,IF($AO198="Semanal",'Sprints'!$D$5,IF($AO198="Quincenal",'Sprints'!$D$6,'Sprints'!$D$7)),"")</f>
      </c>
      <c r="AQ198" s="202">
        <f>IF($C198,IF($AO198="Semanal",'Sprints'!$C$5,IF($AO198="Quincenal",'Sprints'!$C$6,'Sprints'!$C$7)),"")</f>
      </c>
      <c r="AR198" s="202">
        <f>IF(AND($C198,ISNUMBER($H198)),MAX(1,INT(($H198-$AQ198)/$AP198)+1),"")</f>
      </c>
      <c r="AS198" s="202">
        <f>IF($C198,IF($AO198="Semanal",'Sprints'!$E$5,IF($AO198="Quincenal",'Sprints'!$E$6,'Sprints'!$E$7)),"")</f>
      </c>
      <c r="AT198" s="203">
        <f>IF($C198,'Backlog General'!$G198,"")</f>
      </c>
      <c r="AU198" s="203">
        <f>IF($C198,'Backlog General'!$H198,"")</f>
      </c>
      <c r="AV198" s="202">
        <f>IF(AND($C198,ISNUMBER($AR198)),IF(OR($AT198="Completo",$AU198="Cancelado",$AU198="Baja prioridad"),$AR198,IF($AU198="Pasa al siguiente",MAX($AR198+1,$AS198),MAX($AR198,$AS198))),"")</f>
      </c>
      <c r="AW198" s="202">
        <f>IF(AND($C198,ISNUMBER($AR198)),$AQ198+$AR198*$AP198-1,"")</f>
      </c>
      <c r="AX198" s="202">
        <f>IF($C198,IF(OR($AT198="Completo",$AU198="Cancelado",$AU198="Baja prioridad",NOT(ISNUMBER($AW198))),0,MAX(0,TODAY()-$AW198)),"")</f>
      </c>
      <c r="AY198" s="203">
        <f>IF($C198,IF(NOT(ISNUMBER($AR198)),"Sin fecha",IF($AT198="Completo","Completo",IF($AU198="Cancelado","Cancelado",IF($AU198="Baja prioridad","Baja prioridad",IF($AX198&gt;0,"Vencida","Pendiente"))))),"")</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row>
    <row r="199">
      <c r="A199" s="202">
        <f>ROW()</f>
      </c>
      <c r="B199" s="202">
        <f>ISTEXT('Proyecto Datos (OKR´s)'!$K199)</f>
      </c>
      <c r="C199" s="202">
        <f>AND(LEN('Proyecto Datos (OKR´s)'!$G199)&gt;0,NOT($B199),OR(ISNUMBER('Proyecto Datos (OKR´s)'!$F199),ISNUMBER('Proyecto Datos (OKR´s)'!$L199)))</f>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IF($C199,'Proyecto Datos (OKR´s)'!$J199,"")</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f>IF($C199,$AV199&lt;&gt;$AR199,FALSE)</f>
      </c>
      <c r="AG199" s="202">
        <f>IF($C199,IF($AV199&lt;&gt;$AR199,$AW199,""),"")</f>
      </c>
      <c r="AH199" s="203">
        <f>IF($C199,'Backlog General'!$L199,"")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IF($C199,IFERROR(VLOOKUP($D199,'Sprints'!$G$5:$H$12,2,FALSE),"Semanal"),"")</f>
      </c>
      <c r="AP199" s="202">
        <f>IF($C199,IF($AO199="Semanal",'Sprints'!$D$5,IF($AO199="Quincenal",'Sprints'!$D$6,'Sprints'!$D$7)),"")</f>
      </c>
      <c r="AQ199" s="202">
        <f>IF($C199,IF($AO199="Semanal",'Sprints'!$C$5,IF($AO199="Quincenal",'Sprints'!$C$6,'Sprints'!$C$7)),"")</f>
      </c>
      <c r="AR199" s="202">
        <f>IF(AND($C199,ISNUMBER($H199)),MAX(1,INT(($H199-$AQ199)/$AP199)+1),"")</f>
      </c>
      <c r="AS199" s="202">
        <f>IF($C199,IF($AO199="Semanal",'Sprints'!$E$5,IF($AO199="Quincenal",'Sprints'!$E$6,'Sprints'!$E$7)),"")</f>
      </c>
      <c r="AT199" s="203">
        <f>IF($C199,'Backlog General'!$G199,"")</f>
      </c>
      <c r="AU199" s="203">
        <f>IF($C199,'Backlog General'!$H199,"")</f>
      </c>
      <c r="AV199" s="202">
        <f>IF(AND($C199,ISNUMBER($AR199)),IF(OR($AT199="Completo",$AU199="Cancelado",$AU199="Baja prioridad"),$AR199,IF($AU199="Pasa al siguiente",MAX($AR199+1,$AS199),MAX($AR199,$AS199))),"")</f>
      </c>
      <c r="AW199" s="202">
        <f>IF(AND($C199,ISNUMBER($AR199)),$AQ199+$AR199*$AP199-1,"")</f>
      </c>
      <c r="AX199" s="202">
        <f>IF($C199,IF(OR($AT199="Completo",$AU199="Cancelado",$AU199="Baja prioridad",NOT(ISNUMBER($AW199))),0,MAX(0,TODAY()-$AW199)),"")</f>
      </c>
      <c r="AY199" s="203">
        <f>IF($C199,IF(NOT(ISNUMBER($AR199)),"Sin fecha",IF($AT199="Completo","Completo",IF($AU199="Cancelado","Cancelado",IF($AU199="Baja prioridad","Baja prioridad",IF($AX199&gt;0,"Vencida","Pendiente"))))),"")</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row>
    <row r="200">
      <c r="A200" s="202">
        <f>ROW()</f>
      </c>
      <c r="B200" s="202">
        <f>ISTEXT('Proyecto Datos (OKR´s)'!$K200)</f>
      </c>
      <c r="C200" s="202">
        <f>AND(LEN('Proyecto Datos (OKR´s)'!$G200)&gt;0,NOT($B200),OR(ISNUMBER('Proyecto Datos (OKR´s)'!$F200),ISNUMBER('Proyecto Datos (OKR´s)'!$L200)))</f>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IF($C200,'Proyecto Datos (OKR´s)'!$J200,"")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f>IF($C200,$AV200&lt;&gt;$AR200,FALSE)</f>
      </c>
      <c r="AG200" s="202">
        <f>IF($C200,IF($AV200&lt;&gt;$AR200,$AW200,""),"")</f>
      </c>
      <c r="AH200" s="203">
        <f>IF($C200,'Backlog General'!$L200,"")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IF($C200,IFERROR(VLOOKUP($D200,'Sprints'!$G$5:$H$12,2,FALSE),"Semanal"),"")</f>
      </c>
      <c r="AP200" s="202">
        <f>IF($C200,IF($AO200="Semanal",'Sprints'!$D$5,IF($AO200="Quincenal",'Sprints'!$D$6,'Sprints'!$D$7)),"")</f>
      </c>
      <c r="AQ200" s="202">
        <f>IF($C200,IF($AO200="Semanal",'Sprints'!$C$5,IF($AO200="Quincenal",'Sprints'!$C$6,'Sprints'!$C$7)),"")</f>
      </c>
      <c r="AR200" s="202">
        <f>IF(AND($C200,ISNUMBER($H200)),MAX(1,INT(($H200-$AQ200)/$AP200)+1),"")</f>
      </c>
      <c r="AS200" s="202">
        <f>IF($C200,IF($AO200="Semanal",'Sprints'!$E$5,IF($AO200="Quincenal",'Sprints'!$E$6,'Sprints'!$E$7)),"")</f>
      </c>
      <c r="AT200" s="203">
        <f>IF($C200,'Backlog General'!$G200,"")</f>
      </c>
      <c r="AU200" s="203">
        <f>IF($C200,'Backlog General'!$H200,"")</f>
      </c>
      <c r="AV200" s="202">
        <f>IF(AND($C200,ISNUMBER($AR200)),IF(OR($AT200="Completo",$AU200="Cancelado",$AU200="Baja prioridad"),$AR200,IF($AU200="Pasa al siguiente",MAX($AR200+1,$AS200),MAX($AR200,$AS200))),"")</f>
      </c>
      <c r="AW200" s="202">
        <f>IF(AND($C200,ISNUMBER($AR200)),$AQ200+$AR200*$AP200-1,"")</f>
      </c>
      <c r="AX200" s="202">
        <f>IF($C200,IF(OR($AT200="Completo",$AU200="Cancelado",$AU200="Baja prioridad",NOT(ISNUMBER($AW200))),0,MAX(0,TODAY()-$AW200)),"")</f>
      </c>
      <c r="AY200" s="203">
        <f>IF($C200,IF(NOT(ISNUMBER($AR200)),"Sin fecha",IF($AT200="Completo","Completo",IF($AU200="Cancelado","Cancelado",IF($AU200="Baja prioridad","Baja prioridad",IF($AX200&gt;0,"Vencida","Pendiente"))))),"")</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1"/>
  <sheetViews>
    <sheetView showGridLines="0" workbookViewId="0">
      <pane ySplit="2" topLeftCell="A3" activePane="bottomLeft" state="frozen"/>
    </sheetView>
  </sheetViews>
  <sheetFormatPr defaultRowHeight="15"/>
  <cols>
    <col min="1" max="1" width="2.5" customWidth="1"/>
    <col min="2" max="2" width="9" customWidth="1"/>
    <col min="3" max="3" width="30" customWidth="1"/>
    <col min="4" max="4" width="46" customWidth="1"/>
    <col min="5" max="5" width="16" customWidth="1"/>
    <col min="6" max="6" width="9" customWidth="1"/>
    <col min="7" max="7" width="32" customWidth="1"/>
    <col min="8" max="8" width="13" customWidth="1"/>
    <col min="10" max="10" width="9" hidden="1"/>
  </cols>
  <sheetData>
    <row r="1" ht="26" customHeight="1">
      <c r="B1" s="169" t="inlineStr">
        <is>
          <t xml:space="preserve">SPRINTS — Semanal · Quincenal · Mensual</t>
        </is>
      </c>
      <c r="C1" s="169"/>
      <c r="D1" s="169"/>
      <c r="E1" s="169"/>
      <c r="F1" s="169"/>
    </row>
    <row r="2" ht="32" customHeight="1">
      <c r="B2" s="170" t="inlineStr">
        <is>
          <t xml:space="preserve">Cada tarea cae en el sprint de su frecuencia según su fecha. El nº de 'Sprint actual' es el MISMO que en 'Backlog General'. Si en el Backlog una tarea 'Pasa al siguiente', su Sprint actual sube y aparece en el sprint siguiente, acá y allá. Fechas reales: el Quincenal cierra 13/06, 27/06, 11/07... (editable a la derecha).</t>
        </is>
      </c>
      <c r="C2" s="170"/>
      <c r="D2" s="170"/>
      <c r="E2" s="170"/>
      <c r="F2" s="170"/>
    </row>
    <row r="3">
      <c r="B3" s="172" t="inlineStr">
        <is>
          <t xml:space="preserve">CALENDARIO POR FRECUENCIA (editable)</t>
        </is>
      </c>
      <c r="C3" s="172"/>
      <c r="D3" s="172"/>
      <c r="E3" s="172"/>
      <c r="G3" s="172" t="inlineStr">
        <is>
          <t xml:space="preserve">FRECUENCIA POR PROYECTO (editable)</t>
        </is>
      </c>
      <c r="H3" s="172"/>
    </row>
    <row r="4">
      <c r="B4" s="173" t="inlineStr">
        <is>
          <t xml:space="preserve">Frecuencia</t>
        </is>
      </c>
      <c r="C4" s="173" t="inlineStr">
        <is>
          <t xml:space="preserve">Inicio Sprint 1</t>
        </is>
      </c>
      <c r="D4" s="173" t="inlineStr">
        <is>
          <t xml:space="preserve">Duración (días)</t>
        </is>
      </c>
      <c r="E4" s="173" t="inlineStr">
        <is>
          <t xml:space="preserve">Sprint actual</t>
        </is>
      </c>
      <c r="G4" s="173" t="inlineStr">
        <is>
          <t xml:space="preserve">Proyecto (OKR)</t>
        </is>
      </c>
      <c r="H4" s="173" t="inlineStr">
        <is>
          <t xml:space="preserve">Frecuencia</t>
        </is>
      </c>
    </row>
    <row r="5">
      <c r="B5" s="204" t="inlineStr">
        <is>
          <t xml:space="preserve">Semanal</t>
        </is>
      </c>
      <c r="C5" s="192">
        <f>DATE(2026,6,15)</f>
      </c>
      <c r="D5" s="191">
        <v>7</v>
      </c>
      <c r="E5" s="187">
        <f>MAX(1,INT((TODAY()-$C5)/$D5)+1)</f>
      </c>
      <c r="G5" s="205">
        <f>'Proyecto Datos (OKR´s)'!$G$7</f>
      </c>
      <c r="H5" s="191" t="inlineStr">
        <is>
          <t xml:space="preserve">Mensual</t>
        </is>
      </c>
    </row>
    <row r="6">
      <c r="B6" s="204" t="inlineStr">
        <is>
          <t xml:space="preserve">Quincenal</t>
        </is>
      </c>
      <c r="C6" s="192">
        <f>DATE(2026,5,31)</f>
      </c>
      <c r="D6" s="191">
        <v>14</v>
      </c>
      <c r="E6" s="187">
        <f>MAX(1,INT((TODAY()-$C6)/$D6)+1)</f>
      </c>
      <c r="G6" s="205">
        <f>'Proyecto Datos (OKR´s)'!$G$9</f>
      </c>
      <c r="H6" s="191" t="inlineStr">
        <is>
          <t xml:space="preserve">Quincenal</t>
        </is>
      </c>
    </row>
    <row r="7">
      <c r="B7" s="204" t="inlineStr">
        <is>
          <t xml:space="preserve">Mensual</t>
        </is>
      </c>
      <c r="C7" s="192">
        <f>DATE(2026,6,1)</f>
      </c>
      <c r="D7" s="191">
        <v>30</v>
      </c>
      <c r="E7" s="187">
        <f>MAX(1,INT((TODAY()-$C7)/$D7)+1)</f>
      </c>
      <c r="G7" s="205">
        <f>'Proyecto Datos (OKR´s)'!$G$22</f>
      </c>
      <c r="H7" s="191" t="inlineStr">
        <is>
          <t xml:space="preserve">Semanal</t>
        </is>
      </c>
    </row>
    <row r="8">
      <c r="B8" s="172" t="inlineStr">
        <is>
          <t xml:space="preserve">TABLERO SEMANAL  (ordenado por Sprint)</t>
        </is>
      </c>
      <c r="C8" s="172"/>
      <c r="D8" s="172"/>
      <c r="E8" s="172"/>
      <c r="F8" s="172"/>
      <c r="G8" s="205">
        <f>'Proyecto Datos (OKR´s)'!$G$27</f>
      </c>
      <c r="H8" s="191" t="inlineStr">
        <is>
          <t xml:space="preserve">Semanal</t>
        </is>
      </c>
    </row>
    <row r="9">
      <c r="B9" s="173" t="inlineStr">
        <is>
          <t xml:space="preserve">Sprint actual</t>
        </is>
      </c>
      <c r="C9" s="173" t="inlineStr">
        <is>
          <t xml:space="preserve">Proyecto</t>
        </is>
      </c>
      <c r="D9" s="173" t="inlineStr">
        <is>
          <t xml:space="preserve">Subtarea</t>
        </is>
      </c>
      <c r="E9" s="173" t="inlineStr">
        <is>
          <t xml:space="preserve">Estado</t>
        </is>
      </c>
      <c r="F9" s="173" t="inlineStr">
        <is>
          <t xml:space="preserve">Mora (d)</t>
        </is>
      </c>
      <c r="G9" s="205">
        <f>'Proyecto Datos (OKR´s)'!$G$36</f>
      </c>
      <c r="H9" s="191" t="inlineStr">
        <is>
          <t xml:space="preserve">Semanal</t>
        </is>
      </c>
    </row>
    <row r="10">
      <c r="B10" s="204">
        <f>IF($J10="","",INDEX('_Datos'!$AV$7:$AV$200,$J10))</f>
      </c>
      <c r="C10" s="205">
        <f>IF($J10="","",INDEX('_Datos'!$D$7:$D$200,$J10))</f>
      </c>
      <c r="D10" s="205">
        <f>IF($J10="","",INDEX('_Datos'!$F$7:$F$200,$J10))</f>
      </c>
      <c r="E10" s="204">
        <f>IF($J10="","",INDEX('_Datos'!$AY$7:$AY$200,$J10))</f>
      </c>
      <c r="F10" s="208">
        <f>IF($J10="","",INDEX('_Datos'!$AX$7:$AX$200,$J10))</f>
      </c>
      <c r="G10" s="205">
        <f>'Proyecto Datos (OKR´s)'!$G$48</f>
      </c>
      <c r="H10" s="191" t="inlineStr">
        <is>
          <t xml:space="preserve">Semanal</t>
        </is>
      </c>
      <c r="J10" s="202">
        <f>IFERROR(MATCH(SMALL('_Datos'!$BB$7:$BB$200,ROW()-10+1),'_Datos'!$BB$7:$BB$200,0),"")</f>
      </c>
    </row>
    <row r="11">
      <c r="B11" s="204">
        <f>IF($J11="","",INDEX('_Datos'!$AV$7:$AV$200,$J11))</f>
      </c>
      <c r="C11" s="205">
        <f>IF($J11="","",INDEX('_Datos'!$D$7:$D$200,$J11))</f>
      </c>
      <c r="D11" s="205">
        <f>IF($J11="","",INDEX('_Datos'!$F$7:$F$200,$J11))</f>
      </c>
      <c r="E11" s="204">
        <f>IF($J11="","",INDEX('_Datos'!$AY$7:$AY$200,$J11))</f>
      </c>
      <c r="F11" s="208">
        <f>IF($J11="","",INDEX('_Datos'!$AX$7:$AX$200,$J11))</f>
      </c>
      <c r="G11" s="205">
        <f>'Proyecto Datos (OKR´s)'!$G$52</f>
      </c>
      <c r="H11" s="191" t="inlineStr">
        <is>
          <t xml:space="preserve">Mensual</t>
        </is>
      </c>
      <c r="J11" s="202">
        <f>IFERROR(MATCH(SMALL('_Datos'!$BB$7:$BB$200,ROW()-10+1),'_Datos'!$BB$7:$BB$200,0),"")</f>
      </c>
    </row>
    <row r="12">
      <c r="B12" s="204">
        <f>IF($J12="","",INDEX('_Datos'!$AV$7:$AV$200,$J12))</f>
      </c>
      <c r="C12" s="205">
        <f>IF($J12="","",INDEX('_Datos'!$D$7:$D$200,$J12))</f>
      </c>
      <c r="D12" s="205">
        <f>IF($J12="","",INDEX('_Datos'!$F$7:$F$200,$J12))</f>
      </c>
      <c r="E12" s="204">
        <f>IF($J12="","",INDEX('_Datos'!$AY$7:$AY$200,$J12))</f>
      </c>
      <c r="F12" s="208">
        <f>IF($J12="","",INDEX('_Datos'!$AX$7:$AX$200,$J12))</f>
      </c>
      <c r="G12" s="205">
        <f>'Proyecto Datos (OKR´s)'!$G$56</f>
      </c>
      <c r="H12" s="191" t="inlineStr">
        <is>
          <t xml:space="preserve">Mensual</t>
        </is>
      </c>
      <c r="J12" s="202">
        <f>IFERROR(MATCH(SMALL('_Datos'!$BB$7:$BB$200,ROW()-10+1),'_Datos'!$BB$7:$BB$200,0),"")</f>
      </c>
    </row>
    <row r="13">
      <c r="B13" s="204">
        <f>IF($J13="","",INDEX('_Datos'!$AV$7:$AV$200,$J13))</f>
      </c>
      <c r="C13" s="205">
        <f>IF($J13="","",INDEX('_Datos'!$D$7:$D$200,$J13))</f>
      </c>
      <c r="D13" s="205">
        <f>IF($J13="","",INDEX('_Datos'!$F$7:$F$200,$J13))</f>
      </c>
      <c r="E13" s="204">
        <f>IF($J13="","",INDEX('_Datos'!$AY$7:$AY$200,$J13))</f>
      </c>
      <c r="F13" s="208">
        <f>IF($J13="","",INDEX('_Datos'!$AX$7:$AX$200,$J13))</f>
      </c>
      <c r="J13" s="202">
        <f>IFERROR(MATCH(SMALL('_Datos'!$BB$7:$BB$200,ROW()-10+1),'_Datos'!$BB$7:$BB$200,0),"")</f>
      </c>
    </row>
    <row r="14">
      <c r="B14" s="204">
        <f>IF($J14="","",INDEX('_Datos'!$AV$7:$AV$200,$J14))</f>
      </c>
      <c r="C14" s="205">
        <f>IF($J14="","",INDEX('_Datos'!$D$7:$D$200,$J14))</f>
      </c>
      <c r="D14" s="205">
        <f>IF($J14="","",INDEX('_Datos'!$F$7:$F$200,$J14))</f>
      </c>
      <c r="E14" s="204">
        <f>IF($J14="","",INDEX('_Datos'!$AY$7:$AY$200,$J14))</f>
      </c>
      <c r="F14" s="208">
        <f>IF($J14="","",INDEX('_Datos'!$AX$7:$AX$200,$J14))</f>
      </c>
      <c r="J14" s="202">
        <f>IFERROR(MATCH(SMALL('_Datos'!$BB$7:$BB$200,ROW()-10+1),'_Datos'!$BB$7:$BB$200,0),"")</f>
      </c>
    </row>
    <row r="15">
      <c r="B15" s="204">
        <f>IF($J15="","",INDEX('_Datos'!$AV$7:$AV$200,$J15))</f>
      </c>
      <c r="C15" s="205">
        <f>IF($J15="","",INDEX('_Datos'!$D$7:$D$200,$J15))</f>
      </c>
      <c r="D15" s="205">
        <f>IF($J15="","",INDEX('_Datos'!$F$7:$F$200,$J15))</f>
      </c>
      <c r="E15" s="204">
        <f>IF($J15="","",INDEX('_Datos'!$AY$7:$AY$200,$J15))</f>
      </c>
      <c r="F15" s="208">
        <f>IF($J15="","",INDEX('_Datos'!$AX$7:$AX$200,$J15))</f>
      </c>
      <c r="J15" s="202">
        <f>IFERROR(MATCH(SMALL('_Datos'!$BB$7:$BB$200,ROW()-10+1),'_Datos'!$BB$7:$BB$200,0),"")</f>
      </c>
    </row>
    <row r="16">
      <c r="B16" s="204">
        <f>IF($J16="","",INDEX('_Datos'!$AV$7:$AV$200,$J16))</f>
      </c>
      <c r="C16" s="205">
        <f>IF($J16="","",INDEX('_Datos'!$D$7:$D$200,$J16))</f>
      </c>
      <c r="D16" s="205">
        <f>IF($J16="","",INDEX('_Datos'!$F$7:$F$200,$J16))</f>
      </c>
      <c r="E16" s="204">
        <f>IF($J16="","",INDEX('_Datos'!$AY$7:$AY$200,$J16))</f>
      </c>
      <c r="F16" s="208">
        <f>IF($J16="","",INDEX('_Datos'!$AX$7:$AX$200,$J16))</f>
      </c>
      <c r="J16" s="202">
        <f>IFERROR(MATCH(SMALL('_Datos'!$BB$7:$BB$200,ROW()-10+1),'_Datos'!$BB$7:$BB$200,0),"")</f>
      </c>
    </row>
    <row r="17">
      <c r="B17" s="204">
        <f>IF($J17="","",INDEX('_Datos'!$AV$7:$AV$200,$J17))</f>
      </c>
      <c r="C17" s="205">
        <f>IF($J17="","",INDEX('_Datos'!$D$7:$D$200,$J17))</f>
      </c>
      <c r="D17" s="205">
        <f>IF($J17="","",INDEX('_Datos'!$F$7:$F$200,$J17))</f>
      </c>
      <c r="E17" s="204">
        <f>IF($J17="","",INDEX('_Datos'!$AY$7:$AY$200,$J17))</f>
      </c>
      <c r="F17" s="208">
        <f>IF($J17="","",INDEX('_Datos'!$AX$7:$AX$200,$J17))</f>
      </c>
      <c r="J17" s="202">
        <f>IFERROR(MATCH(SMALL('_Datos'!$BB$7:$BB$200,ROW()-10+1),'_Datos'!$BB$7:$BB$200,0),"")</f>
      </c>
    </row>
    <row r="18">
      <c r="B18" s="204">
        <f>IF($J18="","",INDEX('_Datos'!$AV$7:$AV$200,$J18))</f>
      </c>
      <c r="C18" s="205">
        <f>IF($J18="","",INDEX('_Datos'!$D$7:$D$200,$J18))</f>
      </c>
      <c r="D18" s="205">
        <f>IF($J18="","",INDEX('_Datos'!$F$7:$F$200,$J18))</f>
      </c>
      <c r="E18" s="204">
        <f>IF($J18="","",INDEX('_Datos'!$AY$7:$AY$200,$J18))</f>
      </c>
      <c r="F18" s="208">
        <f>IF($J18="","",INDEX('_Datos'!$AX$7:$AX$200,$J18))</f>
      </c>
      <c r="J18" s="202">
        <f>IFERROR(MATCH(SMALL('_Datos'!$BB$7:$BB$200,ROW()-10+1),'_Datos'!$BB$7:$BB$200,0),"")</f>
      </c>
    </row>
    <row r="19">
      <c r="B19" s="204">
        <f>IF($J19="","",INDEX('_Datos'!$AV$7:$AV$200,$J19))</f>
      </c>
      <c r="C19" s="205">
        <f>IF($J19="","",INDEX('_Datos'!$D$7:$D$200,$J19))</f>
      </c>
      <c r="D19" s="205">
        <f>IF($J19="","",INDEX('_Datos'!$F$7:$F$200,$J19))</f>
      </c>
      <c r="E19" s="204">
        <f>IF($J19="","",INDEX('_Datos'!$AY$7:$AY$200,$J19))</f>
      </c>
      <c r="F19" s="208">
        <f>IF($J19="","",INDEX('_Datos'!$AX$7:$AX$200,$J19))</f>
      </c>
      <c r="J19" s="202">
        <f>IFERROR(MATCH(SMALL('_Datos'!$BB$7:$BB$200,ROW()-10+1),'_Datos'!$BB$7:$BB$200,0),"")</f>
      </c>
    </row>
    <row r="20">
      <c r="B20" s="204">
        <f>IF($J20="","",INDEX('_Datos'!$AV$7:$AV$200,$J20))</f>
      </c>
      <c r="C20" s="205">
        <f>IF($J20="","",INDEX('_Datos'!$D$7:$D$200,$J20))</f>
      </c>
      <c r="D20" s="205">
        <f>IF($J20="","",INDEX('_Datos'!$F$7:$F$200,$J20))</f>
      </c>
      <c r="E20" s="204">
        <f>IF($J20="","",INDEX('_Datos'!$AY$7:$AY$200,$J20))</f>
      </c>
      <c r="F20" s="208">
        <f>IF($J20="","",INDEX('_Datos'!$AX$7:$AX$200,$J20))</f>
      </c>
      <c r="J20" s="202">
        <f>IFERROR(MATCH(SMALL('_Datos'!$BB$7:$BB$200,ROW()-10+1),'_Datos'!$BB$7:$BB$200,0),"")</f>
      </c>
    </row>
    <row r="21">
      <c r="B21" s="204">
        <f>IF($J21="","",INDEX('_Datos'!$AV$7:$AV$200,$J21))</f>
      </c>
      <c r="C21" s="205">
        <f>IF($J21="","",INDEX('_Datos'!$D$7:$D$200,$J21))</f>
      </c>
      <c r="D21" s="205">
        <f>IF($J21="","",INDEX('_Datos'!$F$7:$F$200,$J21))</f>
      </c>
      <c r="E21" s="204">
        <f>IF($J21="","",INDEX('_Datos'!$AY$7:$AY$200,$J21))</f>
      </c>
      <c r="F21" s="208">
        <f>IF($J21="","",INDEX('_Datos'!$AX$7:$AX$200,$J21))</f>
      </c>
      <c r="J21" s="202">
        <f>IFERROR(MATCH(SMALL('_Datos'!$BB$7:$BB$200,ROW()-10+1),'_Datos'!$BB$7:$BB$200,0),"")</f>
      </c>
    </row>
    <row r="22">
      <c r="B22" s="204">
        <f>IF($J22="","",INDEX('_Datos'!$AV$7:$AV$200,$J22))</f>
      </c>
      <c r="C22" s="205">
        <f>IF($J22="","",INDEX('_Datos'!$D$7:$D$200,$J22))</f>
      </c>
      <c r="D22" s="205">
        <f>IF($J22="","",INDEX('_Datos'!$F$7:$F$200,$J22))</f>
      </c>
      <c r="E22" s="204">
        <f>IF($J22="","",INDEX('_Datos'!$AY$7:$AY$200,$J22))</f>
      </c>
      <c r="F22" s="208">
        <f>IF($J22="","",INDEX('_Datos'!$AX$7:$AX$200,$J22))</f>
      </c>
      <c r="J22" s="202">
        <f>IFERROR(MATCH(SMALL('_Datos'!$BB$7:$BB$200,ROW()-10+1),'_Datos'!$BB$7:$BB$200,0),"")</f>
      </c>
    </row>
    <row r="23">
      <c r="B23" s="204">
        <f>IF($J23="","",INDEX('_Datos'!$AV$7:$AV$200,$J23))</f>
      </c>
      <c r="C23" s="205">
        <f>IF($J23="","",INDEX('_Datos'!$D$7:$D$200,$J23))</f>
      </c>
      <c r="D23" s="205">
        <f>IF($J23="","",INDEX('_Datos'!$F$7:$F$200,$J23))</f>
      </c>
      <c r="E23" s="204">
        <f>IF($J23="","",INDEX('_Datos'!$AY$7:$AY$200,$J23))</f>
      </c>
      <c r="F23" s="208">
        <f>IF($J23="","",INDEX('_Datos'!$AX$7:$AX$200,$J23))</f>
      </c>
      <c r="J23" s="202">
        <f>IFERROR(MATCH(SMALL('_Datos'!$BB$7:$BB$200,ROW()-10+1),'_Datos'!$BB$7:$BB$200,0),"")</f>
      </c>
    </row>
    <row r="24">
      <c r="B24" s="204">
        <f>IF($J24="","",INDEX('_Datos'!$AV$7:$AV$200,$J24))</f>
      </c>
      <c r="C24" s="205">
        <f>IF($J24="","",INDEX('_Datos'!$D$7:$D$200,$J24))</f>
      </c>
      <c r="D24" s="205">
        <f>IF($J24="","",INDEX('_Datos'!$F$7:$F$200,$J24))</f>
      </c>
      <c r="E24" s="204">
        <f>IF($J24="","",INDEX('_Datos'!$AY$7:$AY$200,$J24))</f>
      </c>
      <c r="F24" s="208">
        <f>IF($J24="","",INDEX('_Datos'!$AX$7:$AX$200,$J24))</f>
      </c>
      <c r="J24" s="202">
        <f>IFERROR(MATCH(SMALL('_Datos'!$BB$7:$BB$200,ROW()-10+1),'_Datos'!$BB$7:$BB$200,0),"")</f>
      </c>
    </row>
    <row r="25">
      <c r="B25" s="204">
        <f>IF($J25="","",INDEX('_Datos'!$AV$7:$AV$200,$J25))</f>
      </c>
      <c r="C25" s="205">
        <f>IF($J25="","",INDEX('_Datos'!$D$7:$D$200,$J25))</f>
      </c>
      <c r="D25" s="205">
        <f>IF($J25="","",INDEX('_Datos'!$F$7:$F$200,$J25))</f>
      </c>
      <c r="E25" s="204">
        <f>IF($J25="","",INDEX('_Datos'!$AY$7:$AY$200,$J25))</f>
      </c>
      <c r="F25" s="208">
        <f>IF($J25="","",INDEX('_Datos'!$AX$7:$AX$200,$J25))</f>
      </c>
      <c r="J25" s="202">
        <f>IFERROR(MATCH(SMALL('_Datos'!$BB$7:$BB$200,ROW()-10+1),'_Datos'!$BB$7:$BB$200,0),"")</f>
      </c>
    </row>
    <row r="26">
      <c r="B26" s="204">
        <f>IF($J26="","",INDEX('_Datos'!$AV$7:$AV$200,$J26))</f>
      </c>
      <c r="C26" s="205">
        <f>IF($J26="","",INDEX('_Datos'!$D$7:$D$200,$J26))</f>
      </c>
      <c r="D26" s="205">
        <f>IF($J26="","",INDEX('_Datos'!$F$7:$F$200,$J26))</f>
      </c>
      <c r="E26" s="204">
        <f>IF($J26="","",INDEX('_Datos'!$AY$7:$AY$200,$J26))</f>
      </c>
      <c r="F26" s="208">
        <f>IF($J26="","",INDEX('_Datos'!$AX$7:$AX$200,$J26))</f>
      </c>
      <c r="J26" s="202">
        <f>IFERROR(MATCH(SMALL('_Datos'!$BB$7:$BB$200,ROW()-10+1),'_Datos'!$BB$7:$BB$200,0),"")</f>
      </c>
    </row>
    <row r="27">
      <c r="B27" s="204">
        <f>IF($J27="","",INDEX('_Datos'!$AV$7:$AV$200,$J27))</f>
      </c>
      <c r="C27" s="205">
        <f>IF($J27="","",INDEX('_Datos'!$D$7:$D$200,$J27))</f>
      </c>
      <c r="D27" s="205">
        <f>IF($J27="","",INDEX('_Datos'!$F$7:$F$200,$J27))</f>
      </c>
      <c r="E27" s="204">
        <f>IF($J27="","",INDEX('_Datos'!$AY$7:$AY$200,$J27))</f>
      </c>
      <c r="F27" s="208">
        <f>IF($J27="","",INDEX('_Datos'!$AX$7:$AX$200,$J27))</f>
      </c>
      <c r="J27" s="202">
        <f>IFERROR(MATCH(SMALL('_Datos'!$BB$7:$BB$200,ROW()-10+1),'_Datos'!$BB$7:$BB$200,0),"")</f>
      </c>
    </row>
    <row r="28">
      <c r="B28" s="204">
        <f>IF($J28="","",INDEX('_Datos'!$AV$7:$AV$200,$J28))</f>
      </c>
      <c r="C28" s="205">
        <f>IF($J28="","",INDEX('_Datos'!$D$7:$D$200,$J28))</f>
      </c>
      <c r="D28" s="205">
        <f>IF($J28="","",INDEX('_Datos'!$F$7:$F$200,$J28))</f>
      </c>
      <c r="E28" s="204">
        <f>IF($J28="","",INDEX('_Datos'!$AY$7:$AY$200,$J28))</f>
      </c>
      <c r="F28" s="208">
        <f>IF($J28="","",INDEX('_Datos'!$AX$7:$AX$200,$J28))</f>
      </c>
      <c r="J28" s="202">
        <f>IFERROR(MATCH(SMALL('_Datos'!$BB$7:$BB$200,ROW()-10+1),'_Datos'!$BB$7:$BB$200,0),"")</f>
      </c>
    </row>
    <row r="29">
      <c r="B29" s="204">
        <f>IF($J29="","",INDEX('_Datos'!$AV$7:$AV$200,$J29))</f>
      </c>
      <c r="C29" s="205">
        <f>IF($J29="","",INDEX('_Datos'!$D$7:$D$200,$J29))</f>
      </c>
      <c r="D29" s="205">
        <f>IF($J29="","",INDEX('_Datos'!$F$7:$F$200,$J29))</f>
      </c>
      <c r="E29" s="204">
        <f>IF($J29="","",INDEX('_Datos'!$AY$7:$AY$200,$J29))</f>
      </c>
      <c r="F29" s="208">
        <f>IF($J29="","",INDEX('_Datos'!$AX$7:$AX$200,$J29))</f>
      </c>
      <c r="J29" s="202">
        <f>IFERROR(MATCH(SMALL('_Datos'!$BB$7:$BB$200,ROW()-10+1),'_Datos'!$BB$7:$BB$200,0),"")</f>
      </c>
    </row>
    <row r="30">
      <c r="B30" s="204">
        <f>IF($J30="","",INDEX('_Datos'!$AV$7:$AV$200,$J30))</f>
      </c>
      <c r="C30" s="205">
        <f>IF($J30="","",INDEX('_Datos'!$D$7:$D$200,$J30))</f>
      </c>
      <c r="D30" s="205">
        <f>IF($J30="","",INDEX('_Datos'!$F$7:$F$200,$J30))</f>
      </c>
      <c r="E30" s="204">
        <f>IF($J30="","",INDEX('_Datos'!$AY$7:$AY$200,$J30))</f>
      </c>
      <c r="F30" s="208">
        <f>IF($J30="","",INDEX('_Datos'!$AX$7:$AX$200,$J30))</f>
      </c>
      <c r="J30" s="202">
        <f>IFERROR(MATCH(SMALL('_Datos'!$BB$7:$BB$200,ROW()-10+1),'_Datos'!$BB$7:$BB$200,0),"")</f>
      </c>
    </row>
    <row r="31">
      <c r="B31" s="204">
        <f>IF($J31="","",INDEX('_Datos'!$AV$7:$AV$200,$J31))</f>
      </c>
      <c r="C31" s="205">
        <f>IF($J31="","",INDEX('_Datos'!$D$7:$D$200,$J31))</f>
      </c>
      <c r="D31" s="205">
        <f>IF($J31="","",INDEX('_Datos'!$F$7:$F$200,$J31))</f>
      </c>
      <c r="E31" s="204">
        <f>IF($J31="","",INDEX('_Datos'!$AY$7:$AY$200,$J31))</f>
      </c>
      <c r="F31" s="208">
        <f>IF($J31="","",INDEX('_Datos'!$AX$7:$AX$200,$J31))</f>
      </c>
      <c r="J31" s="202">
        <f>IFERROR(MATCH(SMALL('_Datos'!$BB$7:$BB$200,ROW()-10+1),'_Datos'!$BB$7:$BB$200,0),"")</f>
      </c>
    </row>
    <row r="32">
      <c r="B32" s="204">
        <f>IF($J32="","",INDEX('_Datos'!$AV$7:$AV$200,$J32))</f>
      </c>
      <c r="C32" s="205">
        <f>IF($J32="","",INDEX('_Datos'!$D$7:$D$200,$J32))</f>
      </c>
      <c r="D32" s="205">
        <f>IF($J32="","",INDEX('_Datos'!$F$7:$F$200,$J32))</f>
      </c>
      <c r="E32" s="204">
        <f>IF($J32="","",INDEX('_Datos'!$AY$7:$AY$200,$J32))</f>
      </c>
      <c r="F32" s="208">
        <f>IF($J32="","",INDEX('_Datos'!$AX$7:$AX$200,$J32))</f>
      </c>
      <c r="J32" s="202">
        <f>IFERROR(MATCH(SMALL('_Datos'!$BB$7:$BB$200,ROW()-10+1),'_Datos'!$BB$7:$BB$200,0),"")</f>
      </c>
    </row>
    <row r="33">
      <c r="B33" s="204">
        <f>IF($J33="","",INDEX('_Datos'!$AV$7:$AV$200,$J33))</f>
      </c>
      <c r="C33" s="205">
        <f>IF($J33="","",INDEX('_Datos'!$D$7:$D$200,$J33))</f>
      </c>
      <c r="D33" s="205">
        <f>IF($J33="","",INDEX('_Datos'!$F$7:$F$200,$J33))</f>
      </c>
      <c r="E33" s="204">
        <f>IF($J33="","",INDEX('_Datos'!$AY$7:$AY$200,$J33))</f>
      </c>
      <c r="F33" s="208">
        <f>IF($J33="","",INDEX('_Datos'!$AX$7:$AX$200,$J33))</f>
      </c>
      <c r="J33" s="202">
        <f>IFERROR(MATCH(SMALL('_Datos'!$BB$7:$BB$200,ROW()-10+1),'_Datos'!$BB$7:$BB$200,0),"")</f>
      </c>
    </row>
    <row r="34">
      <c r="B34" s="204">
        <f>IF($J34="","",INDEX('_Datos'!$AV$7:$AV$200,$J34))</f>
      </c>
      <c r="C34" s="205">
        <f>IF($J34="","",INDEX('_Datos'!$D$7:$D$200,$J34))</f>
      </c>
      <c r="D34" s="205">
        <f>IF($J34="","",INDEX('_Datos'!$F$7:$F$200,$J34))</f>
      </c>
      <c r="E34" s="204">
        <f>IF($J34="","",INDEX('_Datos'!$AY$7:$AY$200,$J34))</f>
      </c>
      <c r="F34" s="208">
        <f>IF($J34="","",INDEX('_Datos'!$AX$7:$AX$200,$J34))</f>
      </c>
      <c r="J34" s="202">
        <f>IFERROR(MATCH(SMALL('_Datos'!$BB$7:$BB$200,ROW()-10+1),'_Datos'!$BB$7:$BB$200,0),"")</f>
      </c>
    </row>
    <row r="36">
      <c r="B36" s="172" t="inlineStr">
        <is>
          <t xml:space="preserve">TABLERO QUINCENAL  (ordenado por Sprint)</t>
        </is>
      </c>
      <c r="C36" s="172"/>
      <c r="D36" s="172"/>
      <c r="E36" s="172"/>
      <c r="F36" s="172"/>
    </row>
    <row r="37">
      <c r="B37" s="173" t="inlineStr">
        <is>
          <t xml:space="preserve">Sprint actual</t>
        </is>
      </c>
      <c r="C37" s="173" t="inlineStr">
        <is>
          <t xml:space="preserve">Proyecto</t>
        </is>
      </c>
      <c r="D37" s="173" t="inlineStr">
        <is>
          <t xml:space="preserve">Subtarea</t>
        </is>
      </c>
      <c r="E37" s="173" t="inlineStr">
        <is>
          <t xml:space="preserve">Estado</t>
        </is>
      </c>
      <c r="F37" s="173" t="inlineStr">
        <is>
          <t xml:space="preserve">Mora (d)</t>
        </is>
      </c>
    </row>
    <row r="38">
      <c r="B38" s="204">
        <f>IF($J38="","",INDEX('_Datos'!$AV$7:$AV$200,$J38))</f>
      </c>
      <c r="C38" s="205">
        <f>IF($J38="","",INDEX('_Datos'!$D$7:$D$200,$J38))</f>
      </c>
      <c r="D38" s="205">
        <f>IF($J38="","",INDEX('_Datos'!$F$7:$F$200,$J38))</f>
      </c>
      <c r="E38" s="204">
        <f>IF($J38="","",INDEX('_Datos'!$AY$7:$AY$200,$J38))</f>
      </c>
      <c r="F38" s="208">
        <f>IF($J38="","",INDEX('_Datos'!$AX$7:$AX$200,$J38))</f>
      </c>
      <c r="J38" s="202">
        <f>IFERROR(MATCH(SMALL('_Datos'!$BC$7:$BC$200,ROW()-38+1),'_Datos'!$BC$7:$BC$200,0),"")</f>
      </c>
    </row>
    <row r="39">
      <c r="B39" s="204">
        <f>IF($J39="","",INDEX('_Datos'!$AV$7:$AV$200,$J39))</f>
      </c>
      <c r="C39" s="205">
        <f>IF($J39="","",INDEX('_Datos'!$D$7:$D$200,$J39))</f>
      </c>
      <c r="D39" s="205">
        <f>IF($J39="","",INDEX('_Datos'!$F$7:$F$200,$J39))</f>
      </c>
      <c r="E39" s="204">
        <f>IF($J39="","",INDEX('_Datos'!$AY$7:$AY$200,$J39))</f>
      </c>
      <c r="F39" s="208">
        <f>IF($J39="","",INDEX('_Datos'!$AX$7:$AX$200,$J39))</f>
      </c>
      <c r="J39" s="202">
        <f>IFERROR(MATCH(SMALL('_Datos'!$BC$7:$BC$200,ROW()-38+1),'_Datos'!$BC$7:$BC$200,0),"")</f>
      </c>
    </row>
    <row r="40">
      <c r="B40" s="204">
        <f>IF($J40="","",INDEX('_Datos'!$AV$7:$AV$200,$J40))</f>
      </c>
      <c r="C40" s="205">
        <f>IF($J40="","",INDEX('_Datos'!$D$7:$D$200,$J40))</f>
      </c>
      <c r="D40" s="205">
        <f>IF($J40="","",INDEX('_Datos'!$F$7:$F$200,$J40))</f>
      </c>
      <c r="E40" s="204">
        <f>IF($J40="","",INDEX('_Datos'!$AY$7:$AY$200,$J40))</f>
      </c>
      <c r="F40" s="208">
        <f>IF($J40="","",INDEX('_Datos'!$AX$7:$AX$200,$J40))</f>
      </c>
      <c r="J40" s="202">
        <f>IFERROR(MATCH(SMALL('_Datos'!$BC$7:$BC$200,ROW()-38+1),'_Datos'!$BC$7:$BC$200,0),"")</f>
      </c>
    </row>
    <row r="41">
      <c r="B41" s="204">
        <f>IF($J41="","",INDEX('_Datos'!$AV$7:$AV$200,$J41))</f>
      </c>
      <c r="C41" s="205">
        <f>IF($J41="","",INDEX('_Datos'!$D$7:$D$200,$J41))</f>
      </c>
      <c r="D41" s="205">
        <f>IF($J41="","",INDEX('_Datos'!$F$7:$F$200,$J41))</f>
      </c>
      <c r="E41" s="204">
        <f>IF($J41="","",INDEX('_Datos'!$AY$7:$AY$200,$J41))</f>
      </c>
      <c r="F41" s="208">
        <f>IF($J41="","",INDEX('_Datos'!$AX$7:$AX$200,$J41))</f>
      </c>
      <c r="J41" s="202">
        <f>IFERROR(MATCH(SMALL('_Datos'!$BC$7:$BC$200,ROW()-38+1),'_Datos'!$BC$7:$BC$200,0),"")</f>
      </c>
    </row>
    <row r="42">
      <c r="B42" s="204">
        <f>IF($J42="","",INDEX('_Datos'!$AV$7:$AV$200,$J42))</f>
      </c>
      <c r="C42" s="205">
        <f>IF($J42="","",INDEX('_Datos'!$D$7:$D$200,$J42))</f>
      </c>
      <c r="D42" s="205">
        <f>IF($J42="","",INDEX('_Datos'!$F$7:$F$200,$J42))</f>
      </c>
      <c r="E42" s="204">
        <f>IF($J42="","",INDEX('_Datos'!$AY$7:$AY$200,$J42))</f>
      </c>
      <c r="F42" s="208">
        <f>IF($J42="","",INDEX('_Datos'!$AX$7:$AX$200,$J42))</f>
      </c>
      <c r="J42" s="202">
        <f>IFERROR(MATCH(SMALL('_Datos'!$BC$7:$BC$200,ROW()-38+1),'_Datos'!$BC$7:$BC$200,0),"")</f>
      </c>
    </row>
    <row r="43">
      <c r="B43" s="204">
        <f>IF($J43="","",INDEX('_Datos'!$AV$7:$AV$200,$J43))</f>
      </c>
      <c r="C43" s="205">
        <f>IF($J43="","",INDEX('_Datos'!$D$7:$D$200,$J43))</f>
      </c>
      <c r="D43" s="205">
        <f>IF($J43="","",INDEX('_Datos'!$F$7:$F$200,$J43))</f>
      </c>
      <c r="E43" s="204">
        <f>IF($J43="","",INDEX('_Datos'!$AY$7:$AY$200,$J43))</f>
      </c>
      <c r="F43" s="208">
        <f>IF($J43="","",INDEX('_Datos'!$AX$7:$AX$200,$J43))</f>
      </c>
      <c r="J43" s="202">
        <f>IFERROR(MATCH(SMALL('_Datos'!$BC$7:$BC$200,ROW()-38+1),'_Datos'!$BC$7:$BC$200,0),"")</f>
      </c>
    </row>
    <row r="44">
      <c r="B44" s="204">
        <f>IF($J44="","",INDEX('_Datos'!$AV$7:$AV$200,$J44))</f>
      </c>
      <c r="C44" s="205">
        <f>IF($J44="","",INDEX('_Datos'!$D$7:$D$200,$J44))</f>
      </c>
      <c r="D44" s="205">
        <f>IF($J44="","",INDEX('_Datos'!$F$7:$F$200,$J44))</f>
      </c>
      <c r="E44" s="204">
        <f>IF($J44="","",INDEX('_Datos'!$AY$7:$AY$200,$J44))</f>
      </c>
      <c r="F44" s="208">
        <f>IF($J44="","",INDEX('_Datos'!$AX$7:$AX$200,$J44))</f>
      </c>
      <c r="J44" s="202">
        <f>IFERROR(MATCH(SMALL('_Datos'!$BC$7:$BC$200,ROW()-38+1),'_Datos'!$BC$7:$BC$200,0),"")</f>
      </c>
    </row>
    <row r="45">
      <c r="B45" s="204">
        <f>IF($J45="","",INDEX('_Datos'!$AV$7:$AV$200,$J45))</f>
      </c>
      <c r="C45" s="205">
        <f>IF($J45="","",INDEX('_Datos'!$D$7:$D$200,$J45))</f>
      </c>
      <c r="D45" s="205">
        <f>IF($J45="","",INDEX('_Datos'!$F$7:$F$200,$J45))</f>
      </c>
      <c r="E45" s="204">
        <f>IF($J45="","",INDEX('_Datos'!$AY$7:$AY$200,$J45))</f>
      </c>
      <c r="F45" s="208">
        <f>IF($J45="","",INDEX('_Datos'!$AX$7:$AX$200,$J45))</f>
      </c>
      <c r="J45" s="202">
        <f>IFERROR(MATCH(SMALL('_Datos'!$BC$7:$BC$200,ROW()-38+1),'_Datos'!$BC$7:$BC$200,0),"")</f>
      </c>
    </row>
    <row r="46">
      <c r="B46" s="204">
        <f>IF($J46="","",INDEX('_Datos'!$AV$7:$AV$200,$J46))</f>
      </c>
      <c r="C46" s="205">
        <f>IF($J46="","",INDEX('_Datos'!$D$7:$D$200,$J46))</f>
      </c>
      <c r="D46" s="205">
        <f>IF($J46="","",INDEX('_Datos'!$F$7:$F$200,$J46))</f>
      </c>
      <c r="E46" s="204">
        <f>IF($J46="","",INDEX('_Datos'!$AY$7:$AY$200,$J46))</f>
      </c>
      <c r="F46" s="208">
        <f>IF($J46="","",INDEX('_Datos'!$AX$7:$AX$200,$J46))</f>
      </c>
      <c r="J46" s="202">
        <f>IFERROR(MATCH(SMALL('_Datos'!$BC$7:$BC$200,ROW()-38+1),'_Datos'!$BC$7:$BC$200,0),"")</f>
      </c>
    </row>
    <row r="47">
      <c r="B47" s="204">
        <f>IF($J47="","",INDEX('_Datos'!$AV$7:$AV$200,$J47))</f>
      </c>
      <c r="C47" s="205">
        <f>IF($J47="","",INDEX('_Datos'!$D$7:$D$200,$J47))</f>
      </c>
      <c r="D47" s="205">
        <f>IF($J47="","",INDEX('_Datos'!$F$7:$F$200,$J47))</f>
      </c>
      <c r="E47" s="204">
        <f>IF($J47="","",INDEX('_Datos'!$AY$7:$AY$200,$J47))</f>
      </c>
      <c r="F47" s="208">
        <f>IF($J47="","",INDEX('_Datos'!$AX$7:$AX$200,$J47))</f>
      </c>
      <c r="J47" s="202">
        <f>IFERROR(MATCH(SMALL('_Datos'!$BC$7:$BC$200,ROW()-38+1),'_Datos'!$BC$7:$BC$200,0),"")</f>
      </c>
    </row>
    <row r="48">
      <c r="B48" s="204">
        <f>IF($J48="","",INDEX('_Datos'!$AV$7:$AV$200,$J48))</f>
      </c>
      <c r="C48" s="205">
        <f>IF($J48="","",INDEX('_Datos'!$D$7:$D$200,$J48))</f>
      </c>
      <c r="D48" s="205">
        <f>IF($J48="","",INDEX('_Datos'!$F$7:$F$200,$J48))</f>
      </c>
      <c r="E48" s="204">
        <f>IF($J48="","",INDEX('_Datos'!$AY$7:$AY$200,$J48))</f>
      </c>
      <c r="F48" s="208">
        <f>IF($J48="","",INDEX('_Datos'!$AX$7:$AX$200,$J48))</f>
      </c>
      <c r="J48" s="202">
        <f>IFERROR(MATCH(SMALL('_Datos'!$BC$7:$BC$200,ROW()-38+1),'_Datos'!$BC$7:$BC$200,0),"")</f>
      </c>
    </row>
    <row r="49">
      <c r="B49" s="204">
        <f>IF($J49="","",INDEX('_Datos'!$AV$7:$AV$200,$J49))</f>
      </c>
      <c r="C49" s="205">
        <f>IF($J49="","",INDEX('_Datos'!$D$7:$D$200,$J49))</f>
      </c>
      <c r="D49" s="205">
        <f>IF($J49="","",INDEX('_Datos'!$F$7:$F$200,$J49))</f>
      </c>
      <c r="E49" s="204">
        <f>IF($J49="","",INDEX('_Datos'!$AY$7:$AY$200,$J49))</f>
      </c>
      <c r="F49" s="208">
        <f>IF($J49="","",INDEX('_Datos'!$AX$7:$AX$200,$J49))</f>
      </c>
      <c r="J49" s="202">
        <f>IFERROR(MATCH(SMALL('_Datos'!$BC$7:$BC$200,ROW()-38+1),'_Datos'!$BC$7:$BC$200,0),"")</f>
      </c>
    </row>
    <row r="50">
      <c r="B50" s="204">
        <f>IF($J50="","",INDEX('_Datos'!$AV$7:$AV$200,$J50))</f>
      </c>
      <c r="C50" s="205">
        <f>IF($J50="","",INDEX('_Datos'!$D$7:$D$200,$J50))</f>
      </c>
      <c r="D50" s="205">
        <f>IF($J50="","",INDEX('_Datos'!$F$7:$F$200,$J50))</f>
      </c>
      <c r="E50" s="204">
        <f>IF($J50="","",INDEX('_Datos'!$AY$7:$AY$200,$J50))</f>
      </c>
      <c r="F50" s="208">
        <f>IF($J50="","",INDEX('_Datos'!$AX$7:$AX$200,$J50))</f>
      </c>
      <c r="J50" s="202">
        <f>IFERROR(MATCH(SMALL('_Datos'!$BC$7:$BC$200,ROW()-38+1),'_Datos'!$BC$7:$BC$200,0),"")</f>
      </c>
    </row>
    <row r="51">
      <c r="B51" s="204">
        <f>IF($J51="","",INDEX('_Datos'!$AV$7:$AV$200,$J51))</f>
      </c>
      <c r="C51" s="205">
        <f>IF($J51="","",INDEX('_Datos'!$D$7:$D$200,$J51))</f>
      </c>
      <c r="D51" s="205">
        <f>IF($J51="","",INDEX('_Datos'!$F$7:$F$200,$J51))</f>
      </c>
      <c r="E51" s="204">
        <f>IF($J51="","",INDEX('_Datos'!$AY$7:$AY$200,$J51))</f>
      </c>
      <c r="F51" s="208">
        <f>IF($J51="","",INDEX('_Datos'!$AX$7:$AX$200,$J51))</f>
      </c>
      <c r="J51" s="202">
        <f>IFERROR(MATCH(SMALL('_Datos'!$BC$7:$BC$200,ROW()-38+1),'_Datos'!$BC$7:$BC$200,0),"")</f>
      </c>
    </row>
    <row r="52">
      <c r="B52" s="204">
        <f>IF($J52="","",INDEX('_Datos'!$AV$7:$AV$200,$J52))</f>
      </c>
      <c r="C52" s="205">
        <f>IF($J52="","",INDEX('_Datos'!$D$7:$D$200,$J52))</f>
      </c>
      <c r="D52" s="205">
        <f>IF($J52="","",INDEX('_Datos'!$F$7:$F$200,$J52))</f>
      </c>
      <c r="E52" s="204">
        <f>IF($J52="","",INDEX('_Datos'!$AY$7:$AY$200,$J52))</f>
      </c>
      <c r="F52" s="208">
        <f>IF($J52="","",INDEX('_Datos'!$AX$7:$AX$200,$J52))</f>
      </c>
      <c r="J52" s="202">
        <f>IFERROR(MATCH(SMALL('_Datos'!$BC$7:$BC$200,ROW()-38+1),'_Datos'!$BC$7:$BC$200,0),"")</f>
      </c>
    </row>
    <row r="53">
      <c r="B53" s="204">
        <f>IF($J53="","",INDEX('_Datos'!$AV$7:$AV$200,$J53))</f>
      </c>
      <c r="C53" s="205">
        <f>IF($J53="","",INDEX('_Datos'!$D$7:$D$200,$J53))</f>
      </c>
      <c r="D53" s="205">
        <f>IF($J53="","",INDEX('_Datos'!$F$7:$F$200,$J53))</f>
      </c>
      <c r="E53" s="204">
        <f>IF($J53="","",INDEX('_Datos'!$AY$7:$AY$200,$J53))</f>
      </c>
      <c r="F53" s="208">
        <f>IF($J53="","",INDEX('_Datos'!$AX$7:$AX$200,$J53))</f>
      </c>
      <c r="J53" s="202">
        <f>IFERROR(MATCH(SMALL('_Datos'!$BC$7:$BC$200,ROW()-38+1),'_Datos'!$BC$7:$BC$200,0),"")</f>
      </c>
    </row>
    <row r="54">
      <c r="B54" s="204">
        <f>IF($J54="","",INDEX('_Datos'!$AV$7:$AV$200,$J54))</f>
      </c>
      <c r="C54" s="205">
        <f>IF($J54="","",INDEX('_Datos'!$D$7:$D$200,$J54))</f>
      </c>
      <c r="D54" s="205">
        <f>IF($J54="","",INDEX('_Datos'!$F$7:$F$200,$J54))</f>
      </c>
      <c r="E54" s="204">
        <f>IF($J54="","",INDEX('_Datos'!$AY$7:$AY$200,$J54))</f>
      </c>
      <c r="F54" s="208">
        <f>IF($J54="","",INDEX('_Datos'!$AX$7:$AX$200,$J54))</f>
      </c>
      <c r="J54" s="202">
        <f>IFERROR(MATCH(SMALL('_Datos'!$BC$7:$BC$200,ROW()-38+1),'_Datos'!$BC$7:$BC$200,0),"")</f>
      </c>
    </row>
    <row r="55">
      <c r="B55" s="204">
        <f>IF($J55="","",INDEX('_Datos'!$AV$7:$AV$200,$J55))</f>
      </c>
      <c r="C55" s="205">
        <f>IF($J55="","",INDEX('_Datos'!$D$7:$D$200,$J55))</f>
      </c>
      <c r="D55" s="205">
        <f>IF($J55="","",INDEX('_Datos'!$F$7:$F$200,$J55))</f>
      </c>
      <c r="E55" s="204">
        <f>IF($J55="","",INDEX('_Datos'!$AY$7:$AY$200,$J55))</f>
      </c>
      <c r="F55" s="208">
        <f>IF($J55="","",INDEX('_Datos'!$AX$7:$AX$200,$J55))</f>
      </c>
      <c r="J55" s="202">
        <f>IFERROR(MATCH(SMALL('_Datos'!$BC$7:$BC$200,ROW()-38+1),'_Datos'!$BC$7:$BC$200,0),"")</f>
      </c>
    </row>
    <row r="56">
      <c r="B56" s="204">
        <f>IF($J56="","",INDEX('_Datos'!$AV$7:$AV$200,$J56))</f>
      </c>
      <c r="C56" s="205">
        <f>IF($J56="","",INDEX('_Datos'!$D$7:$D$200,$J56))</f>
      </c>
      <c r="D56" s="205">
        <f>IF($J56="","",INDEX('_Datos'!$F$7:$F$200,$J56))</f>
      </c>
      <c r="E56" s="204">
        <f>IF($J56="","",INDEX('_Datos'!$AY$7:$AY$200,$J56))</f>
      </c>
      <c r="F56" s="208">
        <f>IF($J56="","",INDEX('_Datos'!$AX$7:$AX$200,$J56))</f>
      </c>
      <c r="J56" s="202">
        <f>IFERROR(MATCH(SMALL('_Datos'!$BC$7:$BC$200,ROW()-38+1),'_Datos'!$BC$7:$BC$200,0),"")</f>
      </c>
    </row>
    <row r="57">
      <c r="B57" s="204">
        <f>IF($J57="","",INDEX('_Datos'!$AV$7:$AV$200,$J57))</f>
      </c>
      <c r="C57" s="205">
        <f>IF($J57="","",INDEX('_Datos'!$D$7:$D$200,$J57))</f>
      </c>
      <c r="D57" s="205">
        <f>IF($J57="","",INDEX('_Datos'!$F$7:$F$200,$J57))</f>
      </c>
      <c r="E57" s="204">
        <f>IF($J57="","",INDEX('_Datos'!$AY$7:$AY$200,$J57))</f>
      </c>
      <c r="F57" s="208">
        <f>IF($J57="","",INDEX('_Datos'!$AX$7:$AX$200,$J57))</f>
      </c>
      <c r="J57" s="202">
        <f>IFERROR(MATCH(SMALL('_Datos'!$BC$7:$BC$200,ROW()-38+1),'_Datos'!$BC$7:$BC$200,0),"")</f>
      </c>
    </row>
    <row r="58">
      <c r="B58" s="204">
        <f>IF($J58="","",INDEX('_Datos'!$AV$7:$AV$200,$J58))</f>
      </c>
      <c r="C58" s="205">
        <f>IF($J58="","",INDEX('_Datos'!$D$7:$D$200,$J58))</f>
      </c>
      <c r="D58" s="205">
        <f>IF($J58="","",INDEX('_Datos'!$F$7:$F$200,$J58))</f>
      </c>
      <c r="E58" s="204">
        <f>IF($J58="","",INDEX('_Datos'!$AY$7:$AY$200,$J58))</f>
      </c>
      <c r="F58" s="208">
        <f>IF($J58="","",INDEX('_Datos'!$AX$7:$AX$200,$J58))</f>
      </c>
      <c r="J58" s="202">
        <f>IFERROR(MATCH(SMALL('_Datos'!$BC$7:$BC$200,ROW()-38+1),'_Datos'!$BC$7:$BC$200,0),"")</f>
      </c>
    </row>
    <row r="59">
      <c r="B59" s="204">
        <f>IF($J59="","",INDEX('_Datos'!$AV$7:$AV$200,$J59))</f>
      </c>
      <c r="C59" s="205">
        <f>IF($J59="","",INDEX('_Datos'!$D$7:$D$200,$J59))</f>
      </c>
      <c r="D59" s="205">
        <f>IF($J59="","",INDEX('_Datos'!$F$7:$F$200,$J59))</f>
      </c>
      <c r="E59" s="204">
        <f>IF($J59="","",INDEX('_Datos'!$AY$7:$AY$200,$J59))</f>
      </c>
      <c r="F59" s="208">
        <f>IF($J59="","",INDEX('_Datos'!$AX$7:$AX$200,$J59))</f>
      </c>
      <c r="J59" s="202">
        <f>IFERROR(MATCH(SMALL('_Datos'!$BC$7:$BC$200,ROW()-38+1),'_Datos'!$BC$7:$BC$200,0),"")</f>
      </c>
    </row>
    <row r="60">
      <c r="B60" s="204">
        <f>IF($J60="","",INDEX('_Datos'!$AV$7:$AV$200,$J60))</f>
      </c>
      <c r="C60" s="205">
        <f>IF($J60="","",INDEX('_Datos'!$D$7:$D$200,$J60))</f>
      </c>
      <c r="D60" s="205">
        <f>IF($J60="","",INDEX('_Datos'!$F$7:$F$200,$J60))</f>
      </c>
      <c r="E60" s="204">
        <f>IF($J60="","",INDEX('_Datos'!$AY$7:$AY$200,$J60))</f>
      </c>
      <c r="F60" s="208">
        <f>IF($J60="","",INDEX('_Datos'!$AX$7:$AX$200,$J60))</f>
      </c>
      <c r="J60" s="202">
        <f>IFERROR(MATCH(SMALL('_Datos'!$BC$7:$BC$200,ROW()-38+1),'_Datos'!$BC$7:$BC$200,0),"")</f>
      </c>
    </row>
    <row r="61">
      <c r="B61" s="204">
        <f>IF($J61="","",INDEX('_Datos'!$AV$7:$AV$200,$J61))</f>
      </c>
      <c r="C61" s="205">
        <f>IF($J61="","",INDEX('_Datos'!$D$7:$D$200,$J61))</f>
      </c>
      <c r="D61" s="205">
        <f>IF($J61="","",INDEX('_Datos'!$F$7:$F$200,$J61))</f>
      </c>
      <c r="E61" s="204">
        <f>IF($J61="","",INDEX('_Datos'!$AY$7:$AY$200,$J61))</f>
      </c>
      <c r="F61" s="208">
        <f>IF($J61="","",INDEX('_Datos'!$AX$7:$AX$200,$J61))</f>
      </c>
      <c r="J61" s="202">
        <f>IFERROR(MATCH(SMALL('_Datos'!$BC$7:$BC$200,ROW()-38+1),'_Datos'!$BC$7:$BC$200,0),"")</f>
      </c>
    </row>
    <row r="62">
      <c r="B62" s="204">
        <f>IF($J62="","",INDEX('_Datos'!$AV$7:$AV$200,$J62))</f>
      </c>
      <c r="C62" s="205">
        <f>IF($J62="","",INDEX('_Datos'!$D$7:$D$200,$J62))</f>
      </c>
      <c r="D62" s="205">
        <f>IF($J62="","",INDEX('_Datos'!$F$7:$F$200,$J62))</f>
      </c>
      <c r="E62" s="204">
        <f>IF($J62="","",INDEX('_Datos'!$AY$7:$AY$200,$J62))</f>
      </c>
      <c r="F62" s="208">
        <f>IF($J62="","",INDEX('_Datos'!$AX$7:$AX$200,$J62))</f>
      </c>
      <c r="J62" s="202">
        <f>IFERROR(MATCH(SMALL('_Datos'!$BC$7:$BC$200,ROW()-38+1),'_Datos'!$BC$7:$BC$200,0),"")</f>
      </c>
    </row>
    <row r="64">
      <c r="B64" s="172" t="inlineStr">
        <is>
          <t xml:space="preserve">TABLERO MENSUAL  (ordenado por Sprint)</t>
        </is>
      </c>
      <c r="C64" s="172"/>
      <c r="D64" s="172"/>
      <c r="E64" s="172"/>
      <c r="F64" s="172"/>
    </row>
    <row r="65">
      <c r="B65" s="173" t="inlineStr">
        <is>
          <t xml:space="preserve">Sprint actual</t>
        </is>
      </c>
      <c r="C65" s="173" t="inlineStr">
        <is>
          <t xml:space="preserve">Proyecto</t>
        </is>
      </c>
      <c r="D65" s="173" t="inlineStr">
        <is>
          <t xml:space="preserve">Subtarea</t>
        </is>
      </c>
      <c r="E65" s="173" t="inlineStr">
        <is>
          <t xml:space="preserve">Estado</t>
        </is>
      </c>
      <c r="F65" s="173" t="inlineStr">
        <is>
          <t xml:space="preserve">Mora (d)</t>
        </is>
      </c>
    </row>
    <row r="66">
      <c r="B66" s="204">
        <f>IF($J66="","",INDEX('_Datos'!$AV$7:$AV$200,$J66))</f>
      </c>
      <c r="C66" s="205">
        <f>IF($J66="","",INDEX('_Datos'!$D$7:$D$200,$J66))</f>
      </c>
      <c r="D66" s="205">
        <f>IF($J66="","",INDEX('_Datos'!$F$7:$F$200,$J66))</f>
      </c>
      <c r="E66" s="204">
        <f>IF($J66="","",INDEX('_Datos'!$AY$7:$AY$200,$J66))</f>
      </c>
      <c r="F66" s="208">
        <f>IF($J66="","",INDEX('_Datos'!$AX$7:$AX$200,$J66))</f>
      </c>
      <c r="J66" s="202">
        <f>IFERROR(MATCH(SMALL('_Datos'!$BD$7:$BD$200,ROW()-66+1),'_Datos'!$BD$7:$BD$200,0),"")</f>
      </c>
    </row>
    <row r="67">
      <c r="B67" s="204">
        <f>IF($J67="","",INDEX('_Datos'!$AV$7:$AV$200,$J67))</f>
      </c>
      <c r="C67" s="205">
        <f>IF($J67="","",INDEX('_Datos'!$D$7:$D$200,$J67))</f>
      </c>
      <c r="D67" s="205">
        <f>IF($J67="","",INDEX('_Datos'!$F$7:$F$200,$J67))</f>
      </c>
      <c r="E67" s="204">
        <f>IF($J67="","",INDEX('_Datos'!$AY$7:$AY$200,$J67))</f>
      </c>
      <c r="F67" s="208">
        <f>IF($J67="","",INDEX('_Datos'!$AX$7:$AX$200,$J67))</f>
      </c>
      <c r="J67" s="202">
        <f>IFERROR(MATCH(SMALL('_Datos'!$BD$7:$BD$200,ROW()-66+1),'_Datos'!$BD$7:$BD$200,0),"")</f>
      </c>
    </row>
    <row r="68">
      <c r="B68" s="204">
        <f>IF($J68="","",INDEX('_Datos'!$AV$7:$AV$200,$J68))</f>
      </c>
      <c r="C68" s="205">
        <f>IF($J68="","",INDEX('_Datos'!$D$7:$D$200,$J68))</f>
      </c>
      <c r="D68" s="205">
        <f>IF($J68="","",INDEX('_Datos'!$F$7:$F$200,$J68))</f>
      </c>
      <c r="E68" s="204">
        <f>IF($J68="","",INDEX('_Datos'!$AY$7:$AY$200,$J68))</f>
      </c>
      <c r="F68" s="208">
        <f>IF($J68="","",INDEX('_Datos'!$AX$7:$AX$200,$J68))</f>
      </c>
      <c r="J68" s="202">
        <f>IFERROR(MATCH(SMALL('_Datos'!$BD$7:$BD$200,ROW()-66+1),'_Datos'!$BD$7:$BD$200,0),"")</f>
      </c>
    </row>
    <row r="69">
      <c r="B69" s="204">
        <f>IF($J69="","",INDEX('_Datos'!$AV$7:$AV$200,$J69))</f>
      </c>
      <c r="C69" s="205">
        <f>IF($J69="","",INDEX('_Datos'!$D$7:$D$200,$J69))</f>
      </c>
      <c r="D69" s="205">
        <f>IF($J69="","",INDEX('_Datos'!$F$7:$F$200,$J69))</f>
      </c>
      <c r="E69" s="204">
        <f>IF($J69="","",INDEX('_Datos'!$AY$7:$AY$200,$J69))</f>
      </c>
      <c r="F69" s="208">
        <f>IF($J69="","",INDEX('_Datos'!$AX$7:$AX$200,$J69))</f>
      </c>
      <c r="J69" s="202">
        <f>IFERROR(MATCH(SMALL('_Datos'!$BD$7:$BD$200,ROW()-66+1),'_Datos'!$BD$7:$BD$200,0),"")</f>
      </c>
    </row>
    <row r="70">
      <c r="B70" s="204">
        <f>IF($J70="","",INDEX('_Datos'!$AV$7:$AV$200,$J70))</f>
      </c>
      <c r="C70" s="205">
        <f>IF($J70="","",INDEX('_Datos'!$D$7:$D$200,$J70))</f>
      </c>
      <c r="D70" s="205">
        <f>IF($J70="","",INDEX('_Datos'!$F$7:$F$200,$J70))</f>
      </c>
      <c r="E70" s="204">
        <f>IF($J70="","",INDEX('_Datos'!$AY$7:$AY$200,$J70))</f>
      </c>
      <c r="F70" s="208">
        <f>IF($J70="","",INDEX('_Datos'!$AX$7:$AX$200,$J70))</f>
      </c>
      <c r="J70" s="202">
        <f>IFERROR(MATCH(SMALL('_Datos'!$BD$7:$BD$200,ROW()-66+1),'_Datos'!$BD$7:$BD$200,0),"")</f>
      </c>
    </row>
    <row r="71">
      <c r="B71" s="204">
        <f>IF($J71="","",INDEX('_Datos'!$AV$7:$AV$200,$J71))</f>
      </c>
      <c r="C71" s="205">
        <f>IF($J71="","",INDEX('_Datos'!$D$7:$D$200,$J71))</f>
      </c>
      <c r="D71" s="205">
        <f>IF($J71="","",INDEX('_Datos'!$F$7:$F$200,$J71))</f>
      </c>
      <c r="E71" s="204">
        <f>IF($J71="","",INDEX('_Datos'!$AY$7:$AY$200,$J71))</f>
      </c>
      <c r="F71" s="208">
        <f>IF($J71="","",INDEX('_Datos'!$AX$7:$AX$200,$J71))</f>
      </c>
      <c r="J71" s="202">
        <f>IFERROR(MATCH(SMALL('_Datos'!$BD$7:$BD$200,ROW()-66+1),'_Datos'!$BD$7:$BD$200,0),"")</f>
      </c>
    </row>
    <row r="72">
      <c r="B72" s="204">
        <f>IF($J72="","",INDEX('_Datos'!$AV$7:$AV$200,$J72))</f>
      </c>
      <c r="C72" s="205">
        <f>IF($J72="","",INDEX('_Datos'!$D$7:$D$200,$J72))</f>
      </c>
      <c r="D72" s="205">
        <f>IF($J72="","",INDEX('_Datos'!$F$7:$F$200,$J72))</f>
      </c>
      <c r="E72" s="204">
        <f>IF($J72="","",INDEX('_Datos'!$AY$7:$AY$200,$J72))</f>
      </c>
      <c r="F72" s="208">
        <f>IF($J72="","",INDEX('_Datos'!$AX$7:$AX$200,$J72))</f>
      </c>
      <c r="J72" s="202">
        <f>IFERROR(MATCH(SMALL('_Datos'!$BD$7:$BD$200,ROW()-66+1),'_Datos'!$BD$7:$BD$200,0),"")</f>
      </c>
    </row>
    <row r="73">
      <c r="B73" s="204">
        <f>IF($J73="","",INDEX('_Datos'!$AV$7:$AV$200,$J73))</f>
      </c>
      <c r="C73" s="205">
        <f>IF($J73="","",INDEX('_Datos'!$D$7:$D$200,$J73))</f>
      </c>
      <c r="D73" s="205">
        <f>IF($J73="","",INDEX('_Datos'!$F$7:$F$200,$J73))</f>
      </c>
      <c r="E73" s="204">
        <f>IF($J73="","",INDEX('_Datos'!$AY$7:$AY$200,$J73))</f>
      </c>
      <c r="F73" s="208">
        <f>IF($J73="","",INDEX('_Datos'!$AX$7:$AX$200,$J73))</f>
      </c>
      <c r="J73" s="202">
        <f>IFERROR(MATCH(SMALL('_Datos'!$BD$7:$BD$200,ROW()-66+1),'_Datos'!$BD$7:$BD$200,0),"")</f>
      </c>
    </row>
    <row r="74">
      <c r="B74" s="204">
        <f>IF($J74="","",INDEX('_Datos'!$AV$7:$AV$200,$J74))</f>
      </c>
      <c r="C74" s="205">
        <f>IF($J74="","",INDEX('_Datos'!$D$7:$D$200,$J74))</f>
      </c>
      <c r="D74" s="205">
        <f>IF($J74="","",INDEX('_Datos'!$F$7:$F$200,$J74))</f>
      </c>
      <c r="E74" s="204">
        <f>IF($J74="","",INDEX('_Datos'!$AY$7:$AY$200,$J74))</f>
      </c>
      <c r="F74" s="208">
        <f>IF($J74="","",INDEX('_Datos'!$AX$7:$AX$200,$J74))</f>
      </c>
      <c r="J74" s="202">
        <f>IFERROR(MATCH(SMALL('_Datos'!$BD$7:$BD$200,ROW()-66+1),'_Datos'!$BD$7:$BD$200,0),"")</f>
      </c>
    </row>
    <row r="75">
      <c r="B75" s="204">
        <f>IF($J75="","",INDEX('_Datos'!$AV$7:$AV$200,$J75))</f>
      </c>
      <c r="C75" s="205">
        <f>IF($J75="","",INDEX('_Datos'!$D$7:$D$200,$J75))</f>
      </c>
      <c r="D75" s="205">
        <f>IF($J75="","",INDEX('_Datos'!$F$7:$F$200,$J75))</f>
      </c>
      <c r="E75" s="204">
        <f>IF($J75="","",INDEX('_Datos'!$AY$7:$AY$200,$J75))</f>
      </c>
      <c r="F75" s="208">
        <f>IF($J75="","",INDEX('_Datos'!$AX$7:$AX$200,$J75))</f>
      </c>
      <c r="J75" s="202">
        <f>IFERROR(MATCH(SMALL('_Datos'!$BD$7:$BD$200,ROW()-66+1),'_Datos'!$BD$7:$BD$200,0),"")</f>
      </c>
    </row>
    <row r="76">
      <c r="B76" s="204">
        <f>IF($J76="","",INDEX('_Datos'!$AV$7:$AV$200,$J76))</f>
      </c>
      <c r="C76" s="205">
        <f>IF($J76="","",INDEX('_Datos'!$D$7:$D$200,$J76))</f>
      </c>
      <c r="D76" s="205">
        <f>IF($J76="","",INDEX('_Datos'!$F$7:$F$200,$J76))</f>
      </c>
      <c r="E76" s="204">
        <f>IF($J76="","",INDEX('_Datos'!$AY$7:$AY$200,$J76))</f>
      </c>
      <c r="F76" s="208">
        <f>IF($J76="","",INDEX('_Datos'!$AX$7:$AX$200,$J76))</f>
      </c>
      <c r="J76" s="202">
        <f>IFERROR(MATCH(SMALL('_Datos'!$BD$7:$BD$200,ROW()-66+1),'_Datos'!$BD$7:$BD$200,0),"")</f>
      </c>
    </row>
    <row r="77">
      <c r="B77" s="204">
        <f>IF($J77="","",INDEX('_Datos'!$AV$7:$AV$200,$J77))</f>
      </c>
      <c r="C77" s="205">
        <f>IF($J77="","",INDEX('_Datos'!$D$7:$D$200,$J77))</f>
      </c>
      <c r="D77" s="205">
        <f>IF($J77="","",INDEX('_Datos'!$F$7:$F$200,$J77))</f>
      </c>
      <c r="E77" s="204">
        <f>IF($J77="","",INDEX('_Datos'!$AY$7:$AY$200,$J77))</f>
      </c>
      <c r="F77" s="208">
        <f>IF($J77="","",INDEX('_Datos'!$AX$7:$AX$200,$J77))</f>
      </c>
      <c r="J77" s="202">
        <f>IFERROR(MATCH(SMALL('_Datos'!$BD$7:$BD$200,ROW()-66+1),'_Datos'!$BD$7:$BD$200,0),"")</f>
      </c>
    </row>
    <row r="78">
      <c r="B78" s="204">
        <f>IF($J78="","",INDEX('_Datos'!$AV$7:$AV$200,$J78))</f>
      </c>
      <c r="C78" s="205">
        <f>IF($J78="","",INDEX('_Datos'!$D$7:$D$200,$J78))</f>
      </c>
      <c r="D78" s="205">
        <f>IF($J78="","",INDEX('_Datos'!$F$7:$F$200,$J78))</f>
      </c>
      <c r="E78" s="204">
        <f>IF($J78="","",INDEX('_Datos'!$AY$7:$AY$200,$J78))</f>
      </c>
      <c r="F78" s="208">
        <f>IF($J78="","",INDEX('_Datos'!$AX$7:$AX$200,$J78))</f>
      </c>
      <c r="J78" s="202">
        <f>IFERROR(MATCH(SMALL('_Datos'!$BD$7:$BD$200,ROW()-66+1),'_Datos'!$BD$7:$BD$200,0),"")</f>
      </c>
    </row>
    <row r="79">
      <c r="B79" s="204">
        <f>IF($J79="","",INDEX('_Datos'!$AV$7:$AV$200,$J79))</f>
      </c>
      <c r="C79" s="205">
        <f>IF($J79="","",INDEX('_Datos'!$D$7:$D$200,$J79))</f>
      </c>
      <c r="D79" s="205">
        <f>IF($J79="","",INDEX('_Datos'!$F$7:$F$200,$J79))</f>
      </c>
      <c r="E79" s="204">
        <f>IF($J79="","",INDEX('_Datos'!$AY$7:$AY$200,$J79))</f>
      </c>
      <c r="F79" s="208">
        <f>IF($J79="","",INDEX('_Datos'!$AX$7:$AX$200,$J79))</f>
      </c>
      <c r="J79" s="202">
        <f>IFERROR(MATCH(SMALL('_Datos'!$BD$7:$BD$200,ROW()-66+1),'_Datos'!$BD$7:$BD$200,0),"")</f>
      </c>
    </row>
    <row r="80">
      <c r="B80" s="204">
        <f>IF($J80="","",INDEX('_Datos'!$AV$7:$AV$200,$J80))</f>
      </c>
      <c r="C80" s="205">
        <f>IF($J80="","",INDEX('_Datos'!$D$7:$D$200,$J80))</f>
      </c>
      <c r="D80" s="205">
        <f>IF($J80="","",INDEX('_Datos'!$F$7:$F$200,$J80))</f>
      </c>
      <c r="E80" s="204">
        <f>IF($J80="","",INDEX('_Datos'!$AY$7:$AY$200,$J80))</f>
      </c>
      <c r="F80" s="208">
        <f>IF($J80="","",INDEX('_Datos'!$AX$7:$AX$200,$J80))</f>
      </c>
      <c r="J80" s="202">
        <f>IFERROR(MATCH(SMALL('_Datos'!$BD$7:$BD$200,ROW()-66+1),'_Datos'!$BD$7:$BD$200,0),"")</f>
      </c>
    </row>
    <row r="81">
      <c r="B81" s="204">
        <f>IF($J81="","",INDEX('_Datos'!$AV$7:$AV$200,$J81))</f>
      </c>
      <c r="C81" s="205">
        <f>IF($J81="","",INDEX('_Datos'!$D$7:$D$200,$J81))</f>
      </c>
      <c r="D81" s="205">
        <f>IF($J81="","",INDEX('_Datos'!$F$7:$F$200,$J81))</f>
      </c>
      <c r="E81" s="204">
        <f>IF($J81="","",INDEX('_Datos'!$AY$7:$AY$200,$J81))</f>
      </c>
      <c r="F81" s="208">
        <f>IF($J81="","",INDEX('_Datos'!$AX$7:$AX$200,$J81))</f>
      </c>
      <c r="J81" s="202">
        <f>IFERROR(MATCH(SMALL('_Datos'!$BD$7:$BD$200,ROW()-66+1),'_Datos'!$BD$7:$BD$200,0),"")</f>
      </c>
    </row>
    <row r="82">
      <c r="B82" s="204">
        <f>IF($J82="","",INDEX('_Datos'!$AV$7:$AV$200,$J82))</f>
      </c>
      <c r="C82" s="205">
        <f>IF($J82="","",INDEX('_Datos'!$D$7:$D$200,$J82))</f>
      </c>
      <c r="D82" s="205">
        <f>IF($J82="","",INDEX('_Datos'!$F$7:$F$200,$J82))</f>
      </c>
      <c r="E82" s="204">
        <f>IF($J82="","",INDEX('_Datos'!$AY$7:$AY$200,$J82))</f>
      </c>
      <c r="F82" s="208">
        <f>IF($J82="","",INDEX('_Datos'!$AX$7:$AX$200,$J82))</f>
      </c>
      <c r="J82" s="202">
        <f>IFERROR(MATCH(SMALL('_Datos'!$BD$7:$BD$200,ROW()-66+1),'_Datos'!$BD$7:$BD$200,0),"")</f>
      </c>
    </row>
    <row r="83">
      <c r="B83" s="204">
        <f>IF($J83="","",INDEX('_Datos'!$AV$7:$AV$200,$J83))</f>
      </c>
      <c r="C83" s="205">
        <f>IF($J83="","",INDEX('_Datos'!$D$7:$D$200,$J83))</f>
      </c>
      <c r="D83" s="205">
        <f>IF($J83="","",INDEX('_Datos'!$F$7:$F$200,$J83))</f>
      </c>
      <c r="E83" s="204">
        <f>IF($J83="","",INDEX('_Datos'!$AY$7:$AY$200,$J83))</f>
      </c>
      <c r="F83" s="208">
        <f>IF($J83="","",INDEX('_Datos'!$AX$7:$AX$200,$J83))</f>
      </c>
      <c r="J83" s="202">
        <f>IFERROR(MATCH(SMALL('_Datos'!$BD$7:$BD$200,ROW()-66+1),'_Datos'!$BD$7:$BD$200,0),"")</f>
      </c>
    </row>
    <row r="84">
      <c r="B84" s="204">
        <f>IF($J84="","",INDEX('_Datos'!$AV$7:$AV$200,$J84))</f>
      </c>
      <c r="C84" s="205">
        <f>IF($J84="","",INDEX('_Datos'!$D$7:$D$200,$J84))</f>
      </c>
      <c r="D84" s="205">
        <f>IF($J84="","",INDEX('_Datos'!$F$7:$F$200,$J84))</f>
      </c>
      <c r="E84" s="204">
        <f>IF($J84="","",INDEX('_Datos'!$AY$7:$AY$200,$J84))</f>
      </c>
      <c r="F84" s="208">
        <f>IF($J84="","",INDEX('_Datos'!$AX$7:$AX$200,$J84))</f>
      </c>
      <c r="J84" s="202">
        <f>IFERROR(MATCH(SMALL('_Datos'!$BD$7:$BD$200,ROW()-66+1),'_Datos'!$BD$7:$BD$200,0),"")</f>
      </c>
    </row>
    <row r="85">
      <c r="B85" s="204">
        <f>IF($J85="","",INDEX('_Datos'!$AV$7:$AV$200,$J85))</f>
      </c>
      <c r="C85" s="205">
        <f>IF($J85="","",INDEX('_Datos'!$D$7:$D$200,$J85))</f>
      </c>
      <c r="D85" s="205">
        <f>IF($J85="","",INDEX('_Datos'!$F$7:$F$200,$J85))</f>
      </c>
      <c r="E85" s="204">
        <f>IF($J85="","",INDEX('_Datos'!$AY$7:$AY$200,$J85))</f>
      </c>
      <c r="F85" s="208">
        <f>IF($J85="","",INDEX('_Datos'!$AX$7:$AX$200,$J85))</f>
      </c>
      <c r="J85" s="202">
        <f>IFERROR(MATCH(SMALL('_Datos'!$BD$7:$BD$200,ROW()-66+1),'_Datos'!$BD$7:$BD$200,0),"")</f>
      </c>
    </row>
    <row r="86">
      <c r="B86" s="204">
        <f>IF($J86="","",INDEX('_Datos'!$AV$7:$AV$200,$J86))</f>
      </c>
      <c r="C86" s="205">
        <f>IF($J86="","",INDEX('_Datos'!$D$7:$D$200,$J86))</f>
      </c>
      <c r="D86" s="205">
        <f>IF($J86="","",INDEX('_Datos'!$F$7:$F$200,$J86))</f>
      </c>
      <c r="E86" s="204">
        <f>IF($J86="","",INDEX('_Datos'!$AY$7:$AY$200,$J86))</f>
      </c>
      <c r="F86" s="208">
        <f>IF($J86="","",INDEX('_Datos'!$AX$7:$AX$200,$J86))</f>
      </c>
      <c r="J86" s="202">
        <f>IFERROR(MATCH(SMALL('_Datos'!$BD$7:$BD$200,ROW()-66+1),'_Datos'!$BD$7:$BD$200,0),"")</f>
      </c>
    </row>
    <row r="87">
      <c r="B87" s="204">
        <f>IF($J87="","",INDEX('_Datos'!$AV$7:$AV$200,$J87))</f>
      </c>
      <c r="C87" s="205">
        <f>IF($J87="","",INDEX('_Datos'!$D$7:$D$200,$J87))</f>
      </c>
      <c r="D87" s="205">
        <f>IF($J87="","",INDEX('_Datos'!$F$7:$F$200,$J87))</f>
      </c>
      <c r="E87" s="204">
        <f>IF($J87="","",INDEX('_Datos'!$AY$7:$AY$200,$J87))</f>
      </c>
      <c r="F87" s="208">
        <f>IF($J87="","",INDEX('_Datos'!$AX$7:$AX$200,$J87))</f>
      </c>
      <c r="J87" s="202">
        <f>IFERROR(MATCH(SMALL('_Datos'!$BD$7:$BD$200,ROW()-66+1),'_Datos'!$BD$7:$BD$200,0),"")</f>
      </c>
    </row>
    <row r="88">
      <c r="B88" s="204">
        <f>IF($J88="","",INDEX('_Datos'!$AV$7:$AV$200,$J88))</f>
      </c>
      <c r="C88" s="205">
        <f>IF($J88="","",INDEX('_Datos'!$D$7:$D$200,$J88))</f>
      </c>
      <c r="D88" s="205">
        <f>IF($J88="","",INDEX('_Datos'!$F$7:$F$200,$J88))</f>
      </c>
      <c r="E88" s="204">
        <f>IF($J88="","",INDEX('_Datos'!$AY$7:$AY$200,$J88))</f>
      </c>
      <c r="F88" s="208">
        <f>IF($J88="","",INDEX('_Datos'!$AX$7:$AX$200,$J88))</f>
      </c>
      <c r="J88" s="202">
        <f>IFERROR(MATCH(SMALL('_Datos'!$BD$7:$BD$200,ROW()-66+1),'_Datos'!$BD$7:$BD$200,0),"")</f>
      </c>
    </row>
    <row r="89">
      <c r="B89" s="204">
        <f>IF($J89="","",INDEX('_Datos'!$AV$7:$AV$200,$J89))</f>
      </c>
      <c r="C89" s="205">
        <f>IF($J89="","",INDEX('_Datos'!$D$7:$D$200,$J89))</f>
      </c>
      <c r="D89" s="205">
        <f>IF($J89="","",INDEX('_Datos'!$F$7:$F$200,$J89))</f>
      </c>
      <c r="E89" s="204">
        <f>IF($J89="","",INDEX('_Datos'!$AY$7:$AY$200,$J89))</f>
      </c>
      <c r="F89" s="208">
        <f>IF($J89="","",INDEX('_Datos'!$AX$7:$AX$200,$J89))</f>
      </c>
      <c r="J89" s="202">
        <f>IFERROR(MATCH(SMALL('_Datos'!$BD$7:$BD$200,ROW()-66+1),'_Datos'!$BD$7:$BD$200,0),"")</f>
      </c>
    </row>
    <row r="90">
      <c r="B90" s="204">
        <f>IF($J90="","",INDEX('_Datos'!$AV$7:$AV$200,$J90))</f>
      </c>
      <c r="C90" s="205">
        <f>IF($J90="","",INDEX('_Datos'!$D$7:$D$200,$J90))</f>
      </c>
      <c r="D90" s="205">
        <f>IF($J90="","",INDEX('_Datos'!$F$7:$F$200,$J90))</f>
      </c>
      <c r="E90" s="204">
        <f>IF($J90="","",INDEX('_Datos'!$AY$7:$AY$200,$J90))</f>
      </c>
      <c r="F90" s="208">
        <f>IF($J90="","",INDEX('_Datos'!$AX$7:$AX$200,$J90))</f>
      </c>
      <c r="J90" s="202">
        <f>IFERROR(MATCH(SMALL('_Datos'!$BD$7:$BD$200,ROW()-66+1),'_Datos'!$BD$7:$BD$200,0),"")</f>
      </c>
    </row>
  </sheetData>
  <mergeCells count="7">
    <mergeCell ref="B1:F1"/>
    <mergeCell ref="B2:F2"/>
    <mergeCell ref="B3:E3"/>
    <mergeCell ref="G3:H3"/>
    <mergeCell ref="B8:F8"/>
    <mergeCell ref="B36:F36"/>
    <mergeCell ref="B64:F64"/>
  </mergeCells>
  <conditionalFormatting sqref="E10:E34">
    <cfRule type="expression" dxfId="26" priority="10">
      <formula>$E10="Completo"</formula>
    </cfRule>
    <cfRule type="expression" dxfId="23" priority="11">
      <formula>$E10="Vencida"</formula>
    </cfRule>
    <cfRule type="expression" dxfId="24" priority="12">
      <formula>$E10="Baja prioridad"</formula>
    </cfRule>
    <cfRule type="expression" dxfId="22" priority="13">
      <formula>$E10="Cancelado"</formula>
    </cfRule>
  </conditionalFormatting>
  <conditionalFormatting sqref="B10:F34">
    <cfRule type="expression" dxfId="21" priority="14">
      <formula>$B10&lt;&gt;""</formula>
    </cfRule>
  </conditionalFormatting>
  <conditionalFormatting sqref="E38:E62">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62">
    <cfRule type="expression" dxfId="21" priority="19">
      <formula>$B38&lt;&gt;""</formula>
    </cfRule>
  </conditionalFormatting>
  <conditionalFormatting sqref="E66:E90">
    <cfRule type="expression" dxfId="26" priority="20">
      <formula>$E66="Completo"</formula>
    </cfRule>
    <cfRule type="expression" dxfId="23" priority="21">
      <formula>$E66="Vencida"</formula>
    </cfRule>
    <cfRule type="expression" dxfId="24" priority="22">
      <formula>$E66="Baja prioridad"</formula>
    </cfRule>
    <cfRule type="expression" dxfId="22" priority="23">
      <formula>$E66="Cancelado"</formula>
    </cfRule>
  </conditionalFormatting>
  <conditionalFormatting sqref="B66:F90">
    <cfRule type="expression" dxfId="21" priority="24">
      <formula>$B66&lt;&gt;""</formula>
    </cfRule>
  </conditionalFormatting>
  <dataValidations count="1">
    <dataValidation type="list" allowBlank="1" showInputMessage="1" showErrorMessage="1" sqref="H5:H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2" customWidth="1"/>
    <col min="6" max="6" width="11" customWidth="1"/>
    <col min="7" max="7" width="15" customWidth="1"/>
    <col min="8" max="8" width="18" customWidth="1"/>
    <col min="9" max="9" width="12" customWidth="1"/>
    <col min="10" max="10" width="8" customWidth="1"/>
    <col min="11" max="11" width="30" customWidth="1"/>
    <col min="12" max="12" width="30" customWidth="1"/>
    <col min="13" max="13" width="12" customWidth="1"/>
    <col min="14" max="14" width="12" customWidth="1"/>
  </cols>
  <sheetData>
    <row r="1" ht="26" customHeight="1">
      <c r="B1" s="169" t="inlineStr">
        <is>
          <t xml:space="preserve">BACKLOG GENERAL — mis OKRs por proyecto</t>
        </is>
      </c>
      <c r="C1" s="169"/>
      <c r="D1" s="169"/>
      <c r="E1" s="169"/>
      <c r="F1" s="169"/>
      <c r="G1" s="169"/>
      <c r="H1" s="169"/>
      <c r="I1" s="169"/>
      <c r="J1" s="169"/>
      <c r="K1" s="169"/>
      <c r="L1" s="169"/>
      <c r="M1" s="169"/>
      <c r="N1" s="169"/>
    </row>
    <row r="2" ht="34" customHeight="1">
      <c r="B2" s="170" t="inlineStr">
        <is>
          <t xml:space="preserve">Estado = "Completo" o "No se realizó". Si NO se realizó, Acción: "Pasa al siguiente" / "Baja prioridad" (sigue pendiente y NO cuenta mora) / "Cancelado". El "Comentario (Gantt)" trae las notas de la 1ª hoja; agregue su "Justificación" libre. "Sol. en Sprint" marca en qué sprint fue solicitada (deja de ser "Nuevo" al avanzar de sprint). El "SPRINT ACTUAL" de cada tarea es el MISMO número que figura en la hoja Sprints.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Mora (d)</t>
        </is>
      </c>
      <c r="K6" s="173" t="inlineStr">
        <is>
          <t xml:space="preserve">Comentario (Gantt)</t>
        </is>
      </c>
      <c r="L6" s="173" t="inlineStr">
        <is>
          <t xml:space="preserve">Justificación / Comentario</t>
        </is>
      </c>
      <c r="M6" s="173" t="inlineStr">
        <is>
          <t xml:space="preserve">Sol. en Sprint</t>
        </is>
      </c>
      <c r="N6" s="173" t="inlineStr">
        <is>
          <t xml:space="preserve">Nuevo</t>
        </is>
      </c>
    </row>
    <row r="7">
      <c r="B7" s="204">
        <f>IF('_Datos'!$C7,'_Datos'!$O7,"")</f>
      </c>
      <c r="C7" s="205">
        <f>IF('_Datos'!$C7,'_Datos'!$F7,IF('_Datos'!$B7,'Proyecto Datos (OKR´s)'!$G7,""))</f>
      </c>
      <c r="D7" s="204">
        <f>IF('_Datos'!$C7,'_Datos'!$AO7,"")</f>
      </c>
      <c r="E7" s="206">
        <f>IF('_Datos'!$C7,'_Datos'!$H7,"")</f>
      </c>
      <c r="F7" s="204">
        <f>IF('_Datos'!$C7,IF(ISNUMBER('_Datos'!$AR7),'_Datos'!$AR7,"(Sin fecha)"),"")</f>
      </c>
      <c r="G7" s="204"/>
      <c r="H7" s="205"/>
      <c r="I7" s="204">
        <f>IF('_Datos'!$C7,IF(ISNUMBER('_Datos'!$AV7),'_Datos'!$AV7,"(Sin fecha)"),"")</f>
      </c>
      <c r="J7" s="208">
        <f>IF('_Datos'!$C7,'_Datos'!$AX7,"")</f>
      </c>
      <c r="K7" s="205">
        <f>IF('_Datos'!$C7,IF('Proyecto Datos (OKR´s)'!$C7="","",'Proyecto Datos (OKR´s)'!$C7),"")</f>
      </c>
      <c r="L7" s="205"/>
      <c r="M7" s="191"/>
      <c r="N7" s="204">
        <f>IF('_Datos'!$C7,'_Datos'!$BA7,"")</f>
      </c>
    </row>
    <row r="8">
      <c r="B8" s="204">
        <f>IF('_Datos'!$C8,'_Datos'!$O8,"")</f>
      </c>
      <c r="C8" s="205">
        <f>IF('_Datos'!$C8,'_Datos'!$F8,IF('_Datos'!$B8,'Proyecto Datos (OKR´s)'!$G8,""))</f>
      </c>
      <c r="D8" s="204">
        <f>IF('_Datos'!$C8,'_Datos'!$AO8,"")</f>
      </c>
      <c r="E8" s="206">
        <f>IF('_Datos'!$C8,'_Datos'!$H8,"")</f>
      </c>
      <c r="F8" s="204">
        <f>IF('_Datos'!$C8,IF(ISNUMBER('_Datos'!$AR8),'_Datos'!$AR8,"(Sin fecha)"),"")</f>
      </c>
      <c r="G8" s="204"/>
      <c r="H8" s="205"/>
      <c r="I8" s="204">
        <f>IF('_Datos'!$C8,IF(ISNUMBER('_Datos'!$AV8),'_Datos'!$AV8,"(Sin fecha)"),"")</f>
      </c>
      <c r="J8" s="208">
        <f>IF('_Datos'!$C8,'_Datos'!$AX8,"")</f>
      </c>
      <c r="K8" s="205">
        <f>IF('_Datos'!$C8,IF('Proyecto Datos (OKR´s)'!$C8="","",'Proyecto Datos (OKR´s)'!$C8),"")</f>
      </c>
      <c r="L8" s="205"/>
      <c r="M8" s="191"/>
      <c r="N8" s="204">
        <f>IF('_Datos'!$C8,'_Datos'!$BA8,"")</f>
      </c>
    </row>
    <row r="9">
      <c r="B9" s="204">
        <f>IF('_Datos'!$C9,'_Datos'!$O9,"")</f>
      </c>
      <c r="C9" s="205">
        <f>IF('_Datos'!$C9,'_Datos'!$F9,IF('_Datos'!$B9,'Proyecto Datos (OKR´s)'!$G9,""))</f>
      </c>
      <c r="D9" s="204">
        <f>IF('_Datos'!$C9,'_Datos'!$AO9,"")</f>
      </c>
      <c r="E9" s="206">
        <f>IF('_Datos'!$C9,'_Datos'!$H9,"")</f>
      </c>
      <c r="F9" s="204">
        <f>IF('_Datos'!$C9,IF(ISNUMBER('_Datos'!$AR9),'_Datos'!$AR9,"(Sin fecha)"),"")</f>
      </c>
      <c r="G9" s="204"/>
      <c r="H9" s="205"/>
      <c r="I9" s="204">
        <f>IF('_Datos'!$C9,IF(ISNUMBER('_Datos'!$AV9),'_Datos'!$AV9,"(Sin fecha)"),"")</f>
      </c>
      <c r="J9" s="208">
        <f>IF('_Datos'!$C9,'_Datos'!$AX9,"")</f>
      </c>
      <c r="K9" s="205">
        <f>IF('_Datos'!$C9,IF('Proyecto Datos (OKR´s)'!$C9="","",'Proyecto Datos (OKR´s)'!$C9),"")</f>
      </c>
      <c r="L9" s="205"/>
      <c r="M9" s="191"/>
      <c r="N9" s="204">
        <f>IF('_Datos'!$C9,'_Datos'!$BA9,"")</f>
      </c>
    </row>
    <row r="10">
      <c r="B10" s="204">
        <f>IF('_Datos'!$C10,'_Datos'!$O10,"")</f>
      </c>
      <c r="C10" s="205">
        <f>IF('_Datos'!$C10,'_Datos'!$F10,IF('_Datos'!$B10,'Proyecto Datos (OKR´s)'!$G10,""))</f>
      </c>
      <c r="D10" s="204">
        <f>IF('_Datos'!$C10,'_Datos'!$AO10,"")</f>
      </c>
      <c r="E10" s="206">
        <f>IF('_Datos'!$C10,'_Datos'!$H10,"")</f>
      </c>
      <c r="F10" s="204">
        <f>IF('_Datos'!$C10,IF(ISNUMBER('_Datos'!$AR10),'_Datos'!$AR10,"(Sin fecha)"),"")</f>
      </c>
      <c r="G10" s="204"/>
      <c r="H10" s="205"/>
      <c r="I10" s="204">
        <f>IF('_Datos'!$C10,IF(ISNUMBER('_Datos'!$AV10),'_Datos'!$AV10,"(Sin fecha)"),"")</f>
      </c>
      <c r="J10" s="208">
        <f>IF('_Datos'!$C10,'_Datos'!$AX10,"")</f>
      </c>
      <c r="K10" s="205">
        <f>IF('_Datos'!$C10,IF('Proyecto Datos (OKR´s)'!$C10="","",'Proyecto Datos (OKR´s)'!$C10),"")</f>
      </c>
      <c r="L10" s="205"/>
      <c r="M10" s="191"/>
      <c r="N10" s="204">
        <f>IF('_Datos'!$C10,'_Datos'!$BA10,"")</f>
      </c>
    </row>
    <row r="11">
      <c r="B11" s="204">
        <f>IF('_Datos'!$C11,'_Datos'!$O11,"")</f>
      </c>
      <c r="C11" s="205">
        <f>IF('_Datos'!$C11,'_Datos'!$F11,IF('_Datos'!$B11,'Proyecto Datos (OKR´s)'!$G11,""))</f>
      </c>
      <c r="D11" s="204">
        <f>IF('_Datos'!$C11,'_Datos'!$AO11,"")</f>
      </c>
      <c r="E11" s="206">
        <f>IF('_Datos'!$C11,'_Datos'!$H11,"")</f>
      </c>
      <c r="F11" s="204">
        <f>IF('_Datos'!$C11,IF(ISNUMBER('_Datos'!$AR11),'_Datos'!$AR11,"(Sin fecha)"),"")</f>
      </c>
      <c r="G11" s="204"/>
      <c r="H11" s="205"/>
      <c r="I11" s="204">
        <f>IF('_Datos'!$C11,IF(ISNUMBER('_Datos'!$AV11),'_Datos'!$AV11,"(Sin fecha)"),"")</f>
      </c>
      <c r="J11" s="208">
        <f>IF('_Datos'!$C11,'_Datos'!$AX11,"")</f>
      </c>
      <c r="K11" s="205">
        <f>IF('_Datos'!$C11,IF('Proyecto Datos (OKR´s)'!$C11="","",'Proyecto Datos (OKR´s)'!$C11),"")</f>
      </c>
      <c r="L11" s="205"/>
      <c r="M11" s="191"/>
      <c r="N11" s="204">
        <f>IF('_Datos'!$C11,'_Datos'!$BA11,"")</f>
      </c>
    </row>
    <row r="12">
      <c r="B12" s="204">
        <f>IF('_Datos'!$C12,'_Datos'!$O12,"")</f>
      </c>
      <c r="C12" s="205">
        <f>IF('_Datos'!$C12,'_Datos'!$F12,IF('_Datos'!$B12,'Proyecto Datos (OKR´s)'!$G12,""))</f>
      </c>
      <c r="D12" s="204">
        <f>IF('_Datos'!$C12,'_Datos'!$AO12,"")</f>
      </c>
      <c r="E12" s="206">
        <f>IF('_Datos'!$C12,'_Datos'!$H12,"")</f>
      </c>
      <c r="F12" s="204">
        <f>IF('_Datos'!$C12,IF(ISNUMBER('_Datos'!$AR12),'_Datos'!$AR12,"(Sin fecha)"),"")</f>
      </c>
      <c r="G12" s="204"/>
      <c r="H12" s="205"/>
      <c r="I12" s="204">
        <f>IF('_Datos'!$C12,IF(ISNUMBER('_Datos'!$AV12),'_Datos'!$AV12,"(Sin fecha)"),"")</f>
      </c>
      <c r="J12" s="208">
        <f>IF('_Datos'!$C12,'_Datos'!$AX12,"")</f>
      </c>
      <c r="K12" s="205">
        <f>IF('_Datos'!$C12,IF('Proyecto Datos (OKR´s)'!$C12="","",'Proyecto Datos (OKR´s)'!$C12),"")</f>
      </c>
      <c r="L12" s="205"/>
      <c r="M12" s="191"/>
      <c r="N12" s="204">
        <f>IF('_Datos'!$C12,'_Datos'!$BA12,"")</f>
      </c>
    </row>
    <row r="13">
      <c r="B13" s="204">
        <f>IF('_Datos'!$C13,'_Datos'!$O13,"")</f>
      </c>
      <c r="C13" s="205">
        <f>IF('_Datos'!$C13,'_Datos'!$F13,IF('_Datos'!$B13,'Proyecto Datos (OKR´s)'!$G13,""))</f>
      </c>
      <c r="D13" s="204">
        <f>IF('_Datos'!$C13,'_Datos'!$AO13,"")</f>
      </c>
      <c r="E13" s="206">
        <f>IF('_Datos'!$C13,'_Datos'!$H13,"")</f>
      </c>
      <c r="F13" s="204">
        <f>IF('_Datos'!$C13,IF(ISNUMBER('_Datos'!$AR13),'_Datos'!$AR13,"(Sin fecha)"),"")</f>
      </c>
      <c r="G13" s="204"/>
      <c r="H13" s="205"/>
      <c r="I13" s="204">
        <f>IF('_Datos'!$C13,IF(ISNUMBER('_Datos'!$AV13),'_Datos'!$AV13,"(Sin fecha)"),"")</f>
      </c>
      <c r="J13" s="208">
        <f>IF('_Datos'!$C13,'_Datos'!$AX13,"")</f>
      </c>
      <c r="K13" s="205">
        <f>IF('_Datos'!$C13,IF('Proyecto Datos (OKR´s)'!$C13="","",'Proyecto Datos (OKR´s)'!$C13),"")</f>
      </c>
      <c r="L13" s="205"/>
      <c r="M13" s="191"/>
      <c r="N13" s="204">
        <f>IF('_Datos'!$C13,'_Datos'!$BA13,"")</f>
      </c>
    </row>
    <row r="14">
      <c r="B14" s="204">
        <f>IF('_Datos'!$C14,'_Datos'!$O14,"")</f>
      </c>
      <c r="C14" s="205">
        <f>IF('_Datos'!$C14,'_Datos'!$F14,IF('_Datos'!$B14,'Proyecto Datos (OKR´s)'!$G14,""))</f>
      </c>
      <c r="D14" s="204">
        <f>IF('_Datos'!$C14,'_Datos'!$AO14,"")</f>
      </c>
      <c r="E14" s="206">
        <f>IF('_Datos'!$C14,'_Datos'!$H14,"")</f>
      </c>
      <c r="F14" s="204">
        <f>IF('_Datos'!$C14,IF(ISNUMBER('_Datos'!$AR14),'_Datos'!$AR14,"(Sin fecha)"),"")</f>
      </c>
      <c r="G14" s="204"/>
      <c r="H14" s="205"/>
      <c r="I14" s="204">
        <f>IF('_Datos'!$C14,IF(ISNUMBER('_Datos'!$AV14),'_Datos'!$AV14,"(Sin fecha)"),"")</f>
      </c>
      <c r="J14" s="208">
        <f>IF('_Datos'!$C14,'_Datos'!$AX14,"")</f>
      </c>
      <c r="K14" s="205">
        <f>IF('_Datos'!$C14,IF('Proyecto Datos (OKR´s)'!$C14="","",'Proyecto Datos (OKR´s)'!$C14),"")</f>
      </c>
      <c r="L14" s="205"/>
      <c r="M14" s="191"/>
      <c r="N14" s="204">
        <f>IF('_Datos'!$C14,'_Datos'!$BA14,"")</f>
      </c>
    </row>
    <row r="15">
      <c r="B15" s="204">
        <f>IF('_Datos'!$C15,'_Datos'!$O15,"")</f>
      </c>
      <c r="C15" s="205">
        <f>IF('_Datos'!$C15,'_Datos'!$F15,IF('_Datos'!$B15,'Proyecto Datos (OKR´s)'!$G15,""))</f>
      </c>
      <c r="D15" s="204">
        <f>IF('_Datos'!$C15,'_Datos'!$AO15,"")</f>
      </c>
      <c r="E15" s="206">
        <f>IF('_Datos'!$C15,'_Datos'!$H15,"")</f>
      </c>
      <c r="F15" s="204">
        <f>IF('_Datos'!$C15,IF(ISNUMBER('_Datos'!$AR15),'_Datos'!$AR15,"(Sin fecha)"),"")</f>
      </c>
      <c r="G15" s="204"/>
      <c r="H15" s="205"/>
      <c r="I15" s="204">
        <f>IF('_Datos'!$C15,IF(ISNUMBER('_Datos'!$AV15),'_Datos'!$AV15,"(Sin fecha)"),"")</f>
      </c>
      <c r="J15" s="208">
        <f>IF('_Datos'!$C15,'_Datos'!$AX15,"")</f>
      </c>
      <c r="K15" s="205">
        <f>IF('_Datos'!$C15,IF('Proyecto Datos (OKR´s)'!$C15="","",'Proyecto Datos (OKR´s)'!$C15),"")</f>
      </c>
      <c r="L15" s="205"/>
      <c r="M15" s="191"/>
      <c r="N15" s="204">
        <f>IF('_Datos'!$C15,'_Datos'!$BA15,"")</f>
      </c>
    </row>
    <row r="16">
      <c r="B16" s="204">
        <f>IF('_Datos'!$C16,'_Datos'!$O16,"")</f>
      </c>
      <c r="C16" s="205">
        <f>IF('_Datos'!$C16,'_Datos'!$F16,IF('_Datos'!$B16,'Proyecto Datos (OKR´s)'!$G16,""))</f>
      </c>
      <c r="D16" s="204">
        <f>IF('_Datos'!$C16,'_Datos'!$AO16,"")</f>
      </c>
      <c r="E16" s="206">
        <f>IF('_Datos'!$C16,'_Datos'!$H16,"")</f>
      </c>
      <c r="F16" s="204">
        <f>IF('_Datos'!$C16,IF(ISNUMBER('_Datos'!$AR16),'_Datos'!$AR16,"(Sin fecha)"),"")</f>
      </c>
      <c r="G16" s="204"/>
      <c r="H16" s="205"/>
      <c r="I16" s="204">
        <f>IF('_Datos'!$C16,IF(ISNUMBER('_Datos'!$AV16),'_Datos'!$AV16,"(Sin fecha)"),"")</f>
      </c>
      <c r="J16" s="208">
        <f>IF('_Datos'!$C16,'_Datos'!$AX16,"")</f>
      </c>
      <c r="K16" s="205">
        <f>IF('_Datos'!$C16,IF('Proyecto Datos (OKR´s)'!$C16="","",'Proyecto Datos (OKR´s)'!$C16),"")</f>
      </c>
      <c r="L16" s="205"/>
      <c r="M16" s="191"/>
      <c r="N16" s="204">
        <f>IF('_Datos'!$C16,'_Datos'!$BA16,"")</f>
      </c>
    </row>
    <row r="17">
      <c r="B17" s="204">
        <f>IF('_Datos'!$C17,'_Datos'!$O17,"")</f>
      </c>
      <c r="C17" s="205">
        <f>IF('_Datos'!$C17,'_Datos'!$F17,IF('_Datos'!$B17,'Proyecto Datos (OKR´s)'!$G17,""))</f>
      </c>
      <c r="D17" s="204">
        <f>IF('_Datos'!$C17,'_Datos'!$AO17,"")</f>
      </c>
      <c r="E17" s="206">
        <f>IF('_Datos'!$C17,'_Datos'!$H17,"")</f>
      </c>
      <c r="F17" s="204">
        <f>IF('_Datos'!$C17,IF(ISNUMBER('_Datos'!$AR17),'_Datos'!$AR17,"(Sin fecha)"),"")</f>
      </c>
      <c r="G17" s="204"/>
      <c r="H17" s="205"/>
      <c r="I17" s="204">
        <f>IF('_Datos'!$C17,IF(ISNUMBER('_Datos'!$AV17),'_Datos'!$AV17,"(Sin fecha)"),"")</f>
      </c>
      <c r="J17" s="208">
        <f>IF('_Datos'!$C17,'_Datos'!$AX17,"")</f>
      </c>
      <c r="K17" s="205">
        <f>IF('_Datos'!$C17,IF('Proyecto Datos (OKR´s)'!$C17="","",'Proyecto Datos (OKR´s)'!$C17),"")</f>
      </c>
      <c r="L17" s="205"/>
      <c r="M17" s="191"/>
      <c r="N17" s="204">
        <f>IF('_Datos'!$C17,'_Datos'!$BA17,"")</f>
      </c>
    </row>
    <row r="18">
      <c r="B18" s="204">
        <f>IF('_Datos'!$C18,'_Datos'!$O18,"")</f>
      </c>
      <c r="C18" s="205">
        <f>IF('_Datos'!$C18,'_Datos'!$F18,IF('_Datos'!$B18,'Proyecto Datos (OKR´s)'!$G18,""))</f>
      </c>
      <c r="D18" s="204">
        <f>IF('_Datos'!$C18,'_Datos'!$AO18,"")</f>
      </c>
      <c r="E18" s="206">
        <f>IF('_Datos'!$C18,'_Datos'!$H18,"")</f>
      </c>
      <c r="F18" s="204">
        <f>IF('_Datos'!$C18,IF(ISNUMBER('_Datos'!$AR18),'_Datos'!$AR18,"(Sin fecha)"),"")</f>
      </c>
      <c r="G18" s="204"/>
      <c r="H18" s="205"/>
      <c r="I18" s="204">
        <f>IF('_Datos'!$C18,IF(ISNUMBER('_Datos'!$AV18),'_Datos'!$AV18,"(Sin fecha)"),"")</f>
      </c>
      <c r="J18" s="208">
        <f>IF('_Datos'!$C18,'_Datos'!$AX18,"")</f>
      </c>
      <c r="K18" s="205">
        <f>IF('_Datos'!$C18,IF('Proyecto Datos (OKR´s)'!$C18="","",'Proyecto Datos (OKR´s)'!$C18),"")</f>
      </c>
      <c r="L18" s="205"/>
      <c r="M18" s="191"/>
      <c r="N18" s="204">
        <f>IF('_Datos'!$C18,'_Datos'!$BA18,"")</f>
      </c>
    </row>
    <row r="19">
      <c r="B19" s="204">
        <f>IF('_Datos'!$C19,'_Datos'!$O19,"")</f>
      </c>
      <c r="C19" s="205">
        <f>IF('_Datos'!$C19,'_Datos'!$F19,IF('_Datos'!$B19,'Proyecto Datos (OKR´s)'!$G19,""))</f>
      </c>
      <c r="D19" s="204">
        <f>IF('_Datos'!$C19,'_Datos'!$AO19,"")</f>
      </c>
      <c r="E19" s="206">
        <f>IF('_Datos'!$C19,'_Datos'!$H19,"")</f>
      </c>
      <c r="F19" s="204">
        <f>IF('_Datos'!$C19,IF(ISNUMBER('_Datos'!$AR19),'_Datos'!$AR19,"(Sin fecha)"),"")</f>
      </c>
      <c r="G19" s="204"/>
      <c r="H19" s="205"/>
      <c r="I19" s="204">
        <f>IF('_Datos'!$C19,IF(ISNUMBER('_Datos'!$AV19),'_Datos'!$AV19,"(Sin fecha)"),"")</f>
      </c>
      <c r="J19" s="208">
        <f>IF('_Datos'!$C19,'_Datos'!$AX19,"")</f>
      </c>
      <c r="K19" s="205">
        <f>IF('_Datos'!$C19,IF('Proyecto Datos (OKR´s)'!$C19="","",'Proyecto Datos (OKR´s)'!$C19),"")</f>
      </c>
      <c r="L19" s="205"/>
      <c r="M19" s="191"/>
      <c r="N19" s="204">
        <f>IF('_Datos'!$C19,'_Datos'!$BA19,"")</f>
      </c>
    </row>
    <row r="20">
      <c r="B20" s="204">
        <f>IF('_Datos'!$C20,'_Datos'!$O20,"")</f>
      </c>
      <c r="C20" s="205">
        <f>IF('_Datos'!$C20,'_Datos'!$F20,IF('_Datos'!$B20,'Proyecto Datos (OKR´s)'!$G20,""))</f>
      </c>
      <c r="D20" s="204">
        <f>IF('_Datos'!$C20,'_Datos'!$AO20,"")</f>
      </c>
      <c r="E20" s="206">
        <f>IF('_Datos'!$C20,'_Datos'!$H20,"")</f>
      </c>
      <c r="F20" s="204">
        <f>IF('_Datos'!$C20,IF(ISNUMBER('_Datos'!$AR20),'_Datos'!$AR20,"(Sin fecha)"),"")</f>
      </c>
      <c r="G20" s="204"/>
      <c r="H20" s="205"/>
      <c r="I20" s="204">
        <f>IF('_Datos'!$C20,IF(ISNUMBER('_Datos'!$AV20),'_Datos'!$AV20,"(Sin fecha)"),"")</f>
      </c>
      <c r="J20" s="208">
        <f>IF('_Datos'!$C20,'_Datos'!$AX20,"")</f>
      </c>
      <c r="K20" s="205">
        <f>IF('_Datos'!$C20,IF('Proyecto Datos (OKR´s)'!$C20="","",'Proyecto Datos (OKR´s)'!$C20),"")</f>
      </c>
      <c r="L20" s="205"/>
      <c r="M20" s="191"/>
      <c r="N20" s="204">
        <f>IF('_Datos'!$C20,'_Datos'!$BA20,"")</f>
      </c>
    </row>
    <row r="21">
      <c r="B21" s="204">
        <f>IF('_Datos'!$C21,'_Datos'!$O21,"")</f>
      </c>
      <c r="C21" s="205">
        <f>IF('_Datos'!$C21,'_Datos'!$F21,IF('_Datos'!$B21,'Proyecto Datos (OKR´s)'!$G21,""))</f>
      </c>
      <c r="D21" s="204">
        <f>IF('_Datos'!$C21,'_Datos'!$AO21,"")</f>
      </c>
      <c r="E21" s="206">
        <f>IF('_Datos'!$C21,'_Datos'!$H21,"")</f>
      </c>
      <c r="F21" s="204">
        <f>IF('_Datos'!$C21,IF(ISNUMBER('_Datos'!$AR21),'_Datos'!$AR21,"(Sin fecha)"),"")</f>
      </c>
      <c r="G21" s="204"/>
      <c r="H21" s="205"/>
      <c r="I21" s="204">
        <f>IF('_Datos'!$C21,IF(ISNUMBER('_Datos'!$AV21),'_Datos'!$AV21,"(Sin fecha)"),"")</f>
      </c>
      <c r="J21" s="208">
        <f>IF('_Datos'!$C21,'_Datos'!$AX21,"")</f>
      </c>
      <c r="K21" s="205">
        <f>IF('_Datos'!$C21,IF('Proyecto Datos (OKR´s)'!$C21="","",'Proyecto Datos (OKR´s)'!$C21),"")</f>
      </c>
      <c r="L21" s="205"/>
      <c r="M21" s="191"/>
      <c r="N21" s="204">
        <f>IF('_Datos'!$C21,'_Datos'!$BA21,"")</f>
      </c>
    </row>
    <row r="22">
      <c r="B22" s="204">
        <f>IF('_Datos'!$C22,'_Datos'!$O22,"")</f>
      </c>
      <c r="C22" s="205">
        <f>IF('_Datos'!$C22,'_Datos'!$F22,IF('_Datos'!$B22,'Proyecto Datos (OKR´s)'!$G22,""))</f>
      </c>
      <c r="D22" s="204">
        <f>IF('_Datos'!$C22,'_Datos'!$AO22,"")</f>
      </c>
      <c r="E22" s="206">
        <f>IF('_Datos'!$C22,'_Datos'!$H22,"")</f>
      </c>
      <c r="F22" s="204">
        <f>IF('_Datos'!$C22,IF(ISNUMBER('_Datos'!$AR22),'_Datos'!$AR22,"(Sin fecha)"),"")</f>
      </c>
      <c r="G22" s="204"/>
      <c r="H22" s="205"/>
      <c r="I22" s="204">
        <f>IF('_Datos'!$C22,IF(ISNUMBER('_Datos'!$AV22),'_Datos'!$AV22,"(Sin fecha)"),"")</f>
      </c>
      <c r="J22" s="208">
        <f>IF('_Datos'!$C22,'_Datos'!$AX22,"")</f>
      </c>
      <c r="K22" s="205">
        <f>IF('_Datos'!$C22,IF('Proyecto Datos (OKR´s)'!$C22="","",'Proyecto Datos (OKR´s)'!$C22),"")</f>
      </c>
      <c r="L22" s="205"/>
      <c r="M22" s="191"/>
      <c r="N22" s="204">
        <f>IF('_Datos'!$C22,'_Datos'!$BA22,"")</f>
      </c>
    </row>
    <row r="23">
      <c r="B23" s="204">
        <f>IF('_Datos'!$C23,'_Datos'!$O23,"")</f>
      </c>
      <c r="C23" s="205">
        <f>IF('_Datos'!$C23,'_Datos'!$F23,IF('_Datos'!$B23,'Proyecto Datos (OKR´s)'!$G23,""))</f>
      </c>
      <c r="D23" s="204">
        <f>IF('_Datos'!$C23,'_Datos'!$AO23,"")</f>
      </c>
      <c r="E23" s="206">
        <f>IF('_Datos'!$C23,'_Datos'!$H23,"")</f>
      </c>
      <c r="F23" s="204">
        <f>IF('_Datos'!$C23,IF(ISNUMBER('_Datos'!$AR23),'_Datos'!$AR23,"(Sin fecha)"),"")</f>
      </c>
      <c r="G23" s="204"/>
      <c r="H23" s="205"/>
      <c r="I23" s="204">
        <f>IF('_Datos'!$C23,IF(ISNUMBER('_Datos'!$AV23),'_Datos'!$AV23,"(Sin fecha)"),"")</f>
      </c>
      <c r="J23" s="208">
        <f>IF('_Datos'!$C23,'_Datos'!$AX23,"")</f>
      </c>
      <c r="K23" s="205">
        <f>IF('_Datos'!$C23,IF('Proyecto Datos (OKR´s)'!$C23="","",'Proyecto Datos (OKR´s)'!$C23),"")</f>
      </c>
      <c r="L23" s="205"/>
      <c r="M23" s="191"/>
      <c r="N23" s="204">
        <f>IF('_Datos'!$C23,'_Datos'!$BA23,"")</f>
      </c>
    </row>
    <row r="24">
      <c r="B24" s="204">
        <f>IF('_Datos'!$C24,'_Datos'!$O24,"")</f>
      </c>
      <c r="C24" s="205">
        <f>IF('_Datos'!$C24,'_Datos'!$F24,IF('_Datos'!$B24,'Proyecto Datos (OKR´s)'!$G24,""))</f>
      </c>
      <c r="D24" s="204">
        <f>IF('_Datos'!$C24,'_Datos'!$AO24,"")</f>
      </c>
      <c r="E24" s="206">
        <f>IF('_Datos'!$C24,'_Datos'!$H24,"")</f>
      </c>
      <c r="F24" s="204">
        <f>IF('_Datos'!$C24,IF(ISNUMBER('_Datos'!$AR24),'_Datos'!$AR24,"(Sin fecha)"),"")</f>
      </c>
      <c r="G24" s="204"/>
      <c r="H24" s="205"/>
      <c r="I24" s="204">
        <f>IF('_Datos'!$C24,IF(ISNUMBER('_Datos'!$AV24),'_Datos'!$AV24,"(Sin fecha)"),"")</f>
      </c>
      <c r="J24" s="208">
        <f>IF('_Datos'!$C24,'_Datos'!$AX24,"")</f>
      </c>
      <c r="K24" s="205">
        <f>IF('_Datos'!$C24,IF('Proyecto Datos (OKR´s)'!$C24="","",'Proyecto Datos (OKR´s)'!$C24),"")</f>
      </c>
      <c r="L24" s="205"/>
      <c r="M24" s="191"/>
      <c r="N24" s="204">
        <f>IF('_Datos'!$C24,'_Datos'!$BA24,"")</f>
      </c>
    </row>
    <row r="25">
      <c r="B25" s="204">
        <f>IF('_Datos'!$C25,'_Datos'!$O25,"")</f>
      </c>
      <c r="C25" s="205">
        <f>IF('_Datos'!$C25,'_Datos'!$F25,IF('_Datos'!$B25,'Proyecto Datos (OKR´s)'!$G25,""))</f>
      </c>
      <c r="D25" s="204">
        <f>IF('_Datos'!$C25,'_Datos'!$AO25,"")</f>
      </c>
      <c r="E25" s="206">
        <f>IF('_Datos'!$C25,'_Datos'!$H25,"")</f>
      </c>
      <c r="F25" s="204">
        <f>IF('_Datos'!$C25,IF(ISNUMBER('_Datos'!$AR25),'_Datos'!$AR25,"(Sin fecha)"),"")</f>
      </c>
      <c r="G25" s="204"/>
      <c r="H25" s="205"/>
      <c r="I25" s="204">
        <f>IF('_Datos'!$C25,IF(ISNUMBER('_Datos'!$AV25),'_Datos'!$AV25,"(Sin fecha)"),"")</f>
      </c>
      <c r="J25" s="208">
        <f>IF('_Datos'!$C25,'_Datos'!$AX25,"")</f>
      </c>
      <c r="K25" s="205">
        <f>IF('_Datos'!$C25,IF('Proyecto Datos (OKR´s)'!$C25="","",'Proyecto Datos (OKR´s)'!$C25),"")</f>
      </c>
      <c r="L25" s="205"/>
      <c r="M25" s="191"/>
      <c r="N25" s="204">
        <f>IF('_Datos'!$C25,'_Datos'!$BA25,"")</f>
      </c>
    </row>
    <row r="26">
      <c r="B26" s="204">
        <f>IF('_Datos'!$C26,'_Datos'!$O26,"")</f>
      </c>
      <c r="C26" s="205">
        <f>IF('_Datos'!$C26,'_Datos'!$F26,IF('_Datos'!$B26,'Proyecto Datos (OKR´s)'!$G26,""))</f>
      </c>
      <c r="D26" s="204">
        <f>IF('_Datos'!$C26,'_Datos'!$AO26,"")</f>
      </c>
      <c r="E26" s="206">
        <f>IF('_Datos'!$C26,'_Datos'!$H26,"")</f>
      </c>
      <c r="F26" s="204">
        <f>IF('_Datos'!$C26,IF(ISNUMBER('_Datos'!$AR26),'_Datos'!$AR26,"(Sin fecha)"),"")</f>
      </c>
      <c r="G26" s="204"/>
      <c r="H26" s="205"/>
      <c r="I26" s="204">
        <f>IF('_Datos'!$C26,IF(ISNUMBER('_Datos'!$AV26),'_Datos'!$AV26,"(Sin fecha)"),"")</f>
      </c>
      <c r="J26" s="208">
        <f>IF('_Datos'!$C26,'_Datos'!$AX26,"")</f>
      </c>
      <c r="K26" s="205">
        <f>IF('_Datos'!$C26,IF('Proyecto Datos (OKR´s)'!$C26="","",'Proyecto Datos (OKR´s)'!$C26),"")</f>
      </c>
      <c r="L26" s="205"/>
      <c r="M26" s="191"/>
      <c r="N26" s="204">
        <f>IF('_Datos'!$C26,'_Datos'!$BA26,"")</f>
      </c>
    </row>
    <row r="27">
      <c r="B27" s="204">
        <f>IF('_Datos'!$C27,'_Datos'!$O27,"")</f>
      </c>
      <c r="C27" s="205">
        <f>IF('_Datos'!$C27,'_Datos'!$F27,IF('_Datos'!$B27,'Proyecto Datos (OKR´s)'!$G27,""))</f>
      </c>
      <c r="D27" s="204">
        <f>IF('_Datos'!$C27,'_Datos'!$AO27,"")</f>
      </c>
      <c r="E27" s="206">
        <f>IF('_Datos'!$C27,'_Datos'!$H27,"")</f>
      </c>
      <c r="F27" s="204">
        <f>IF('_Datos'!$C27,IF(ISNUMBER('_Datos'!$AR27),'_Datos'!$AR27,"(Sin fecha)"),"")</f>
      </c>
      <c r="G27" s="204"/>
      <c r="H27" s="205"/>
      <c r="I27" s="204">
        <f>IF('_Datos'!$C27,IF(ISNUMBER('_Datos'!$AV27),'_Datos'!$AV27,"(Sin fecha)"),"")</f>
      </c>
      <c r="J27" s="208">
        <f>IF('_Datos'!$C27,'_Datos'!$AX27,"")</f>
      </c>
      <c r="K27" s="205">
        <f>IF('_Datos'!$C27,IF('Proyecto Datos (OKR´s)'!$C27="","",'Proyecto Datos (OKR´s)'!$C27),"")</f>
      </c>
      <c r="L27" s="205"/>
      <c r="M27" s="191"/>
      <c r="N27" s="204">
        <f>IF('_Datos'!$C27,'_Datos'!$BA27,"")</f>
      </c>
    </row>
    <row r="28">
      <c r="B28" s="204">
        <f>IF('_Datos'!$C28,'_Datos'!$O28,"")</f>
      </c>
      <c r="C28" s="205">
        <f>IF('_Datos'!$C28,'_Datos'!$F28,IF('_Datos'!$B28,'Proyecto Datos (OKR´s)'!$G28,""))</f>
      </c>
      <c r="D28" s="204">
        <f>IF('_Datos'!$C28,'_Datos'!$AO28,"")</f>
      </c>
      <c r="E28" s="206">
        <f>IF('_Datos'!$C28,'_Datos'!$H28,"")</f>
      </c>
      <c r="F28" s="204">
        <f>IF('_Datos'!$C28,IF(ISNUMBER('_Datos'!$AR28),'_Datos'!$AR28,"(Sin fecha)"),"")</f>
      </c>
      <c r="G28" s="204"/>
      <c r="H28" s="205"/>
      <c r="I28" s="204">
        <f>IF('_Datos'!$C28,IF(ISNUMBER('_Datos'!$AV28),'_Datos'!$AV28,"(Sin fecha)"),"")</f>
      </c>
      <c r="J28" s="208">
        <f>IF('_Datos'!$C28,'_Datos'!$AX28,"")</f>
      </c>
      <c r="K28" s="205">
        <f>IF('_Datos'!$C28,IF('Proyecto Datos (OKR´s)'!$C28="","",'Proyecto Datos (OKR´s)'!$C28),"")</f>
      </c>
      <c r="L28" s="205"/>
      <c r="M28" s="191"/>
      <c r="N28" s="204">
        <f>IF('_Datos'!$C28,'_Datos'!$BA28,"")</f>
      </c>
    </row>
    <row r="29">
      <c r="B29" s="204">
        <f>IF('_Datos'!$C29,'_Datos'!$O29,"")</f>
      </c>
      <c r="C29" s="205">
        <f>IF('_Datos'!$C29,'_Datos'!$F29,IF('_Datos'!$B29,'Proyecto Datos (OKR´s)'!$G29,""))</f>
      </c>
      <c r="D29" s="204">
        <f>IF('_Datos'!$C29,'_Datos'!$AO29,"")</f>
      </c>
      <c r="E29" s="206">
        <f>IF('_Datos'!$C29,'_Datos'!$H29,"")</f>
      </c>
      <c r="F29" s="204">
        <f>IF('_Datos'!$C29,IF(ISNUMBER('_Datos'!$AR29),'_Datos'!$AR29,"(Sin fecha)"),"")</f>
      </c>
      <c r="G29" s="204"/>
      <c r="H29" s="205"/>
      <c r="I29" s="204">
        <f>IF('_Datos'!$C29,IF(ISNUMBER('_Datos'!$AV29),'_Datos'!$AV29,"(Sin fecha)"),"")</f>
      </c>
      <c r="J29" s="208">
        <f>IF('_Datos'!$C29,'_Datos'!$AX29,"")</f>
      </c>
      <c r="K29" s="205">
        <f>IF('_Datos'!$C29,IF('Proyecto Datos (OKR´s)'!$C29="","",'Proyecto Datos (OKR´s)'!$C29),"")</f>
      </c>
      <c r="L29" s="205"/>
      <c r="M29" s="191"/>
      <c r="N29" s="204">
        <f>IF('_Datos'!$C29,'_Datos'!$BA29,"")</f>
      </c>
    </row>
    <row r="30">
      <c r="B30" s="204">
        <f>IF('_Datos'!$C30,'_Datos'!$O30,"")</f>
      </c>
      <c r="C30" s="205">
        <f>IF('_Datos'!$C30,'_Datos'!$F30,IF('_Datos'!$B30,'Proyecto Datos (OKR´s)'!$G30,""))</f>
      </c>
      <c r="D30" s="204">
        <f>IF('_Datos'!$C30,'_Datos'!$AO30,"")</f>
      </c>
      <c r="E30" s="206">
        <f>IF('_Datos'!$C30,'_Datos'!$H30,"")</f>
      </c>
      <c r="F30" s="204">
        <f>IF('_Datos'!$C30,IF(ISNUMBER('_Datos'!$AR30),'_Datos'!$AR30,"(Sin fecha)"),"")</f>
      </c>
      <c r="G30" s="204"/>
      <c r="H30" s="205"/>
      <c r="I30" s="204">
        <f>IF('_Datos'!$C30,IF(ISNUMBER('_Datos'!$AV30),'_Datos'!$AV30,"(Sin fecha)"),"")</f>
      </c>
      <c r="J30" s="208">
        <f>IF('_Datos'!$C30,'_Datos'!$AX30,"")</f>
      </c>
      <c r="K30" s="205">
        <f>IF('_Datos'!$C30,IF('Proyecto Datos (OKR´s)'!$C30="","",'Proyecto Datos (OKR´s)'!$C30),"")</f>
      </c>
      <c r="L30" s="205"/>
      <c r="M30" s="191"/>
      <c r="N30" s="204">
        <f>IF('_Datos'!$C30,'_Datos'!$BA30,"")</f>
      </c>
    </row>
    <row r="31">
      <c r="B31" s="204">
        <f>IF('_Datos'!$C31,'_Datos'!$O31,"")</f>
      </c>
      <c r="C31" s="205">
        <f>IF('_Datos'!$C31,'_Datos'!$F31,IF('_Datos'!$B31,'Proyecto Datos (OKR´s)'!$G31,""))</f>
      </c>
      <c r="D31" s="204">
        <f>IF('_Datos'!$C31,'_Datos'!$AO31,"")</f>
      </c>
      <c r="E31" s="206">
        <f>IF('_Datos'!$C31,'_Datos'!$H31,"")</f>
      </c>
      <c r="F31" s="204">
        <f>IF('_Datos'!$C31,IF(ISNUMBER('_Datos'!$AR31),'_Datos'!$AR31,"(Sin fecha)"),"")</f>
      </c>
      <c r="G31" s="204"/>
      <c r="H31" s="205"/>
      <c r="I31" s="204">
        <f>IF('_Datos'!$C31,IF(ISNUMBER('_Datos'!$AV31),'_Datos'!$AV31,"(Sin fecha)"),"")</f>
      </c>
      <c r="J31" s="208">
        <f>IF('_Datos'!$C31,'_Datos'!$AX31,"")</f>
      </c>
      <c r="K31" s="205">
        <f>IF('_Datos'!$C31,IF('Proyecto Datos (OKR´s)'!$C31="","",'Proyecto Datos (OKR´s)'!$C31),"")</f>
      </c>
      <c r="L31" s="205"/>
      <c r="M31" s="191"/>
      <c r="N31" s="204">
        <f>IF('_Datos'!$C31,'_Datos'!$BA31,"")</f>
      </c>
    </row>
    <row r="32">
      <c r="B32" s="204">
        <f>IF('_Datos'!$C32,'_Datos'!$O32,"")</f>
      </c>
      <c r="C32" s="205">
        <f>IF('_Datos'!$C32,'_Datos'!$F32,IF('_Datos'!$B32,'Proyecto Datos (OKR´s)'!$G32,""))</f>
      </c>
      <c r="D32" s="204">
        <f>IF('_Datos'!$C32,'_Datos'!$AO32,"")</f>
      </c>
      <c r="E32" s="206">
        <f>IF('_Datos'!$C32,'_Datos'!$H32,"")</f>
      </c>
      <c r="F32" s="204">
        <f>IF('_Datos'!$C32,IF(ISNUMBER('_Datos'!$AR32),'_Datos'!$AR32,"(Sin fecha)"),"")</f>
      </c>
      <c r="G32" s="204"/>
      <c r="H32" s="205"/>
      <c r="I32" s="204">
        <f>IF('_Datos'!$C32,IF(ISNUMBER('_Datos'!$AV32),'_Datos'!$AV32,"(Sin fecha)"),"")</f>
      </c>
      <c r="J32" s="208">
        <f>IF('_Datos'!$C32,'_Datos'!$AX32,"")</f>
      </c>
      <c r="K32" s="205">
        <f>IF('_Datos'!$C32,IF('Proyecto Datos (OKR´s)'!$C32="","",'Proyecto Datos (OKR´s)'!$C32),"")</f>
      </c>
      <c r="L32" s="205"/>
      <c r="M32" s="191"/>
      <c r="N32" s="204">
        <f>IF('_Datos'!$C32,'_Datos'!$BA32,"")</f>
      </c>
    </row>
    <row r="33">
      <c r="B33" s="204">
        <f>IF('_Datos'!$C33,'_Datos'!$O33,"")</f>
      </c>
      <c r="C33" s="205">
        <f>IF('_Datos'!$C33,'_Datos'!$F33,IF('_Datos'!$B33,'Proyecto Datos (OKR´s)'!$G33,""))</f>
      </c>
      <c r="D33" s="204">
        <f>IF('_Datos'!$C33,'_Datos'!$AO33,"")</f>
      </c>
      <c r="E33" s="206">
        <f>IF('_Datos'!$C33,'_Datos'!$H33,"")</f>
      </c>
      <c r="F33" s="204">
        <f>IF('_Datos'!$C33,IF(ISNUMBER('_Datos'!$AR33),'_Datos'!$AR33,"(Sin fecha)"),"")</f>
      </c>
      <c r="G33" s="204"/>
      <c r="H33" s="205"/>
      <c r="I33" s="204">
        <f>IF('_Datos'!$C33,IF(ISNUMBER('_Datos'!$AV33),'_Datos'!$AV33,"(Sin fecha)"),"")</f>
      </c>
      <c r="J33" s="208">
        <f>IF('_Datos'!$C33,'_Datos'!$AX33,"")</f>
      </c>
      <c r="K33" s="205">
        <f>IF('_Datos'!$C33,IF('Proyecto Datos (OKR´s)'!$C33="","",'Proyecto Datos (OKR´s)'!$C33),"")</f>
      </c>
      <c r="L33" s="205"/>
      <c r="M33" s="191"/>
      <c r="N33" s="204">
        <f>IF('_Datos'!$C33,'_Datos'!$BA33,"")</f>
      </c>
    </row>
    <row r="34">
      <c r="B34" s="204">
        <f>IF('_Datos'!$C34,'_Datos'!$O34,"")</f>
      </c>
      <c r="C34" s="205">
        <f>IF('_Datos'!$C34,'_Datos'!$F34,IF('_Datos'!$B34,'Proyecto Datos (OKR´s)'!$G34,""))</f>
      </c>
      <c r="D34" s="204">
        <f>IF('_Datos'!$C34,'_Datos'!$AO34,"")</f>
      </c>
      <c r="E34" s="206">
        <f>IF('_Datos'!$C34,'_Datos'!$H34,"")</f>
      </c>
      <c r="F34" s="204">
        <f>IF('_Datos'!$C34,IF(ISNUMBER('_Datos'!$AR34),'_Datos'!$AR34,"(Sin fecha)"),"")</f>
      </c>
      <c r="G34" s="204"/>
      <c r="H34" s="205"/>
      <c r="I34" s="204">
        <f>IF('_Datos'!$C34,IF(ISNUMBER('_Datos'!$AV34),'_Datos'!$AV34,"(Sin fecha)"),"")</f>
      </c>
      <c r="J34" s="208">
        <f>IF('_Datos'!$C34,'_Datos'!$AX34,"")</f>
      </c>
      <c r="K34" s="205">
        <f>IF('_Datos'!$C34,IF('Proyecto Datos (OKR´s)'!$C34="","",'Proyecto Datos (OKR´s)'!$C34),"")</f>
      </c>
      <c r="L34" s="205"/>
      <c r="M34" s="191"/>
      <c r="N34" s="204">
        <f>IF('_Datos'!$C34,'_Datos'!$BA34,"")</f>
      </c>
    </row>
    <row r="35">
      <c r="B35" s="204">
        <f>IF('_Datos'!$C35,'_Datos'!$O35,"")</f>
      </c>
      <c r="C35" s="205">
        <f>IF('_Datos'!$C35,'_Datos'!$F35,IF('_Datos'!$B35,'Proyecto Datos (OKR´s)'!$G35,""))</f>
      </c>
      <c r="D35" s="204">
        <f>IF('_Datos'!$C35,'_Datos'!$AO35,"")</f>
      </c>
      <c r="E35" s="206">
        <f>IF('_Datos'!$C35,'_Datos'!$H35,"")</f>
      </c>
      <c r="F35" s="204">
        <f>IF('_Datos'!$C35,IF(ISNUMBER('_Datos'!$AR35),'_Datos'!$AR35,"(Sin fecha)"),"")</f>
      </c>
      <c r="G35" s="204"/>
      <c r="H35" s="205"/>
      <c r="I35" s="204">
        <f>IF('_Datos'!$C35,IF(ISNUMBER('_Datos'!$AV35),'_Datos'!$AV35,"(Sin fecha)"),"")</f>
      </c>
      <c r="J35" s="208">
        <f>IF('_Datos'!$C35,'_Datos'!$AX35,"")</f>
      </c>
      <c r="K35" s="205">
        <f>IF('_Datos'!$C35,IF('Proyecto Datos (OKR´s)'!$C35="","",'Proyecto Datos (OKR´s)'!$C35),"")</f>
      </c>
      <c r="L35" s="205"/>
      <c r="M35" s="191"/>
      <c r="N35" s="204">
        <f>IF('_Datos'!$C35,'_Datos'!$BA35,"")</f>
      </c>
    </row>
    <row r="36">
      <c r="B36" s="204">
        <f>IF('_Datos'!$C36,'_Datos'!$O36,"")</f>
      </c>
      <c r="C36" s="205">
        <f>IF('_Datos'!$C36,'_Datos'!$F36,IF('_Datos'!$B36,'Proyecto Datos (OKR´s)'!$G36,""))</f>
      </c>
      <c r="D36" s="204">
        <f>IF('_Datos'!$C36,'_Datos'!$AO36,"")</f>
      </c>
      <c r="E36" s="206">
        <f>IF('_Datos'!$C36,'_Datos'!$H36,"")</f>
      </c>
      <c r="F36" s="204">
        <f>IF('_Datos'!$C36,IF(ISNUMBER('_Datos'!$AR36),'_Datos'!$AR36,"(Sin fecha)"),"")</f>
      </c>
      <c r="G36" s="204"/>
      <c r="H36" s="205"/>
      <c r="I36" s="204">
        <f>IF('_Datos'!$C36,IF(ISNUMBER('_Datos'!$AV36),'_Datos'!$AV36,"(Sin fecha)"),"")</f>
      </c>
      <c r="J36" s="208">
        <f>IF('_Datos'!$C36,'_Datos'!$AX36,"")</f>
      </c>
      <c r="K36" s="205">
        <f>IF('_Datos'!$C36,IF('Proyecto Datos (OKR´s)'!$C36="","",'Proyecto Datos (OKR´s)'!$C36),"")</f>
      </c>
      <c r="L36" s="205"/>
      <c r="M36" s="191"/>
      <c r="N36" s="204">
        <f>IF('_Datos'!$C36,'_Datos'!$BA36,"")</f>
      </c>
    </row>
    <row r="37">
      <c r="B37" s="204">
        <f>IF('_Datos'!$C37,'_Datos'!$O37,"")</f>
      </c>
      <c r="C37" s="205">
        <f>IF('_Datos'!$C37,'_Datos'!$F37,IF('_Datos'!$B37,'Proyecto Datos (OKR´s)'!$G37,""))</f>
      </c>
      <c r="D37" s="204">
        <f>IF('_Datos'!$C37,'_Datos'!$AO37,"")</f>
      </c>
      <c r="E37" s="206">
        <f>IF('_Datos'!$C37,'_Datos'!$H37,"")</f>
      </c>
      <c r="F37" s="204">
        <f>IF('_Datos'!$C37,IF(ISNUMBER('_Datos'!$AR37),'_Datos'!$AR37,"(Sin fecha)"),"")</f>
      </c>
      <c r="G37" s="204"/>
      <c r="H37" s="205"/>
      <c r="I37" s="204">
        <f>IF('_Datos'!$C37,IF(ISNUMBER('_Datos'!$AV37),'_Datos'!$AV37,"(Sin fecha)"),"")</f>
      </c>
      <c r="J37" s="208">
        <f>IF('_Datos'!$C37,'_Datos'!$AX37,"")</f>
      </c>
      <c r="K37" s="205">
        <f>IF('_Datos'!$C37,IF('Proyecto Datos (OKR´s)'!$C37="","",'Proyecto Datos (OKR´s)'!$C37),"")</f>
      </c>
      <c r="L37" s="205"/>
      <c r="M37" s="191"/>
      <c r="N37" s="204">
        <f>IF('_Datos'!$C37,'_Datos'!$BA37,"")</f>
      </c>
    </row>
    <row r="38">
      <c r="B38" s="204">
        <f>IF('_Datos'!$C38,'_Datos'!$O38,"")</f>
      </c>
      <c r="C38" s="205">
        <f>IF('_Datos'!$C38,'_Datos'!$F38,IF('_Datos'!$B38,'Proyecto Datos (OKR´s)'!$G38,""))</f>
      </c>
      <c r="D38" s="204">
        <f>IF('_Datos'!$C38,'_Datos'!$AO38,"")</f>
      </c>
      <c r="E38" s="206">
        <f>IF('_Datos'!$C38,'_Datos'!$H38,"")</f>
      </c>
      <c r="F38" s="204">
        <f>IF('_Datos'!$C38,IF(ISNUMBER('_Datos'!$AR38),'_Datos'!$AR38,"(Sin fecha)"),"")</f>
      </c>
      <c r="G38" s="204"/>
      <c r="H38" s="205"/>
      <c r="I38" s="204">
        <f>IF('_Datos'!$C38,IF(ISNUMBER('_Datos'!$AV38),'_Datos'!$AV38,"(Sin fecha)"),"")</f>
      </c>
      <c r="J38" s="208">
        <f>IF('_Datos'!$C38,'_Datos'!$AX38,"")</f>
      </c>
      <c r="K38" s="205">
        <f>IF('_Datos'!$C38,IF('Proyecto Datos (OKR´s)'!$C38="","",'Proyecto Datos (OKR´s)'!$C38),"")</f>
      </c>
      <c r="L38" s="205"/>
      <c r="M38" s="191"/>
      <c r="N38" s="204">
        <f>IF('_Datos'!$C38,'_Datos'!$BA38,"")</f>
      </c>
    </row>
    <row r="39">
      <c r="B39" s="204">
        <f>IF('_Datos'!$C39,'_Datos'!$O39,"")</f>
      </c>
      <c r="C39" s="205">
        <f>IF('_Datos'!$C39,'_Datos'!$F39,IF('_Datos'!$B39,'Proyecto Datos (OKR´s)'!$G39,""))</f>
      </c>
      <c r="D39" s="204">
        <f>IF('_Datos'!$C39,'_Datos'!$AO39,"")</f>
      </c>
      <c r="E39" s="206">
        <f>IF('_Datos'!$C39,'_Datos'!$H39,"")</f>
      </c>
      <c r="F39" s="204">
        <f>IF('_Datos'!$C39,IF(ISNUMBER('_Datos'!$AR39),'_Datos'!$AR39,"(Sin fecha)"),"")</f>
      </c>
      <c r="G39" s="204"/>
      <c r="H39" s="205"/>
      <c r="I39" s="204">
        <f>IF('_Datos'!$C39,IF(ISNUMBER('_Datos'!$AV39),'_Datos'!$AV39,"(Sin fecha)"),"")</f>
      </c>
      <c r="J39" s="208">
        <f>IF('_Datos'!$C39,'_Datos'!$AX39,"")</f>
      </c>
      <c r="K39" s="205">
        <f>IF('_Datos'!$C39,IF('Proyecto Datos (OKR´s)'!$C39="","",'Proyecto Datos (OKR´s)'!$C39),"")</f>
      </c>
      <c r="L39" s="205"/>
      <c r="M39" s="191"/>
      <c r="N39" s="204">
        <f>IF('_Datos'!$C39,'_Datos'!$BA39,"")</f>
      </c>
    </row>
    <row r="40">
      <c r="B40" s="204">
        <f>IF('_Datos'!$C40,'_Datos'!$O40,"")</f>
      </c>
      <c r="C40" s="205">
        <f>IF('_Datos'!$C40,'_Datos'!$F40,IF('_Datos'!$B40,'Proyecto Datos (OKR´s)'!$G40,""))</f>
      </c>
      <c r="D40" s="204">
        <f>IF('_Datos'!$C40,'_Datos'!$AO40,"")</f>
      </c>
      <c r="E40" s="206">
        <f>IF('_Datos'!$C40,'_Datos'!$H40,"")</f>
      </c>
      <c r="F40" s="204">
        <f>IF('_Datos'!$C40,IF(ISNUMBER('_Datos'!$AR40),'_Datos'!$AR40,"(Sin fecha)"),"")</f>
      </c>
      <c r="G40" s="204"/>
      <c r="H40" s="205"/>
      <c r="I40" s="204">
        <f>IF('_Datos'!$C40,IF(ISNUMBER('_Datos'!$AV40),'_Datos'!$AV40,"(Sin fecha)"),"")</f>
      </c>
      <c r="J40" s="208">
        <f>IF('_Datos'!$C40,'_Datos'!$AX40,"")</f>
      </c>
      <c r="K40" s="205">
        <f>IF('_Datos'!$C40,IF('Proyecto Datos (OKR´s)'!$C40="","",'Proyecto Datos (OKR´s)'!$C40),"")</f>
      </c>
      <c r="L40" s="205"/>
      <c r="M40" s="191"/>
      <c r="N40" s="204">
        <f>IF('_Datos'!$C40,'_Datos'!$BA40,"")</f>
      </c>
    </row>
    <row r="41">
      <c r="B41" s="204">
        <f>IF('_Datos'!$C41,'_Datos'!$O41,"")</f>
      </c>
      <c r="C41" s="205">
        <f>IF('_Datos'!$C41,'_Datos'!$F41,IF('_Datos'!$B41,'Proyecto Datos (OKR´s)'!$G41,""))</f>
      </c>
      <c r="D41" s="204">
        <f>IF('_Datos'!$C41,'_Datos'!$AO41,"")</f>
      </c>
      <c r="E41" s="206">
        <f>IF('_Datos'!$C41,'_Datos'!$H41,"")</f>
      </c>
      <c r="F41" s="204">
        <f>IF('_Datos'!$C41,IF(ISNUMBER('_Datos'!$AR41),'_Datos'!$AR41,"(Sin fecha)"),"")</f>
      </c>
      <c r="G41" s="204"/>
      <c r="H41" s="205"/>
      <c r="I41" s="204">
        <f>IF('_Datos'!$C41,IF(ISNUMBER('_Datos'!$AV41),'_Datos'!$AV41,"(Sin fecha)"),"")</f>
      </c>
      <c r="J41" s="208">
        <f>IF('_Datos'!$C41,'_Datos'!$AX41,"")</f>
      </c>
      <c r="K41" s="205">
        <f>IF('_Datos'!$C41,IF('Proyecto Datos (OKR´s)'!$C41="","",'Proyecto Datos (OKR´s)'!$C41),"")</f>
      </c>
      <c r="L41" s="205"/>
      <c r="M41" s="191"/>
      <c r="N41" s="204">
        <f>IF('_Datos'!$C41,'_Datos'!$BA41,"")</f>
      </c>
    </row>
    <row r="42">
      <c r="B42" s="204">
        <f>IF('_Datos'!$C42,'_Datos'!$O42,"")</f>
      </c>
      <c r="C42" s="205">
        <f>IF('_Datos'!$C42,'_Datos'!$F42,IF('_Datos'!$B42,'Proyecto Datos (OKR´s)'!$G42,""))</f>
      </c>
      <c r="D42" s="204">
        <f>IF('_Datos'!$C42,'_Datos'!$AO42,"")</f>
      </c>
      <c r="E42" s="206">
        <f>IF('_Datos'!$C42,'_Datos'!$H42,"")</f>
      </c>
      <c r="F42" s="204">
        <f>IF('_Datos'!$C42,IF(ISNUMBER('_Datos'!$AR42),'_Datos'!$AR42,"(Sin fecha)"),"")</f>
      </c>
      <c r="G42" s="204"/>
      <c r="H42" s="205"/>
      <c r="I42" s="204">
        <f>IF('_Datos'!$C42,IF(ISNUMBER('_Datos'!$AV42),'_Datos'!$AV42,"(Sin fecha)"),"")</f>
      </c>
      <c r="J42" s="208">
        <f>IF('_Datos'!$C42,'_Datos'!$AX42,"")</f>
      </c>
      <c r="K42" s="205">
        <f>IF('_Datos'!$C42,IF('Proyecto Datos (OKR´s)'!$C42="","",'Proyecto Datos (OKR´s)'!$C42),"")</f>
      </c>
      <c r="L42" s="205"/>
      <c r="M42" s="191"/>
      <c r="N42" s="204">
        <f>IF('_Datos'!$C42,'_Datos'!$BA42,"")</f>
      </c>
    </row>
    <row r="43">
      <c r="B43" s="204">
        <f>IF('_Datos'!$C43,'_Datos'!$O43,"")</f>
      </c>
      <c r="C43" s="205">
        <f>IF('_Datos'!$C43,'_Datos'!$F43,IF('_Datos'!$B43,'Proyecto Datos (OKR´s)'!$G43,""))</f>
      </c>
      <c r="D43" s="204">
        <f>IF('_Datos'!$C43,'_Datos'!$AO43,"")</f>
      </c>
      <c r="E43" s="206">
        <f>IF('_Datos'!$C43,'_Datos'!$H43,"")</f>
      </c>
      <c r="F43" s="204">
        <f>IF('_Datos'!$C43,IF(ISNUMBER('_Datos'!$AR43),'_Datos'!$AR43,"(Sin fecha)"),"")</f>
      </c>
      <c r="G43" s="204"/>
      <c r="H43" s="205"/>
      <c r="I43" s="204">
        <f>IF('_Datos'!$C43,IF(ISNUMBER('_Datos'!$AV43),'_Datos'!$AV43,"(Sin fecha)"),"")</f>
      </c>
      <c r="J43" s="208">
        <f>IF('_Datos'!$C43,'_Datos'!$AX43,"")</f>
      </c>
      <c r="K43" s="205">
        <f>IF('_Datos'!$C43,IF('Proyecto Datos (OKR´s)'!$C43="","",'Proyecto Datos (OKR´s)'!$C43),"")</f>
      </c>
      <c r="L43" s="205"/>
      <c r="M43" s="191"/>
      <c r="N43" s="204">
        <f>IF('_Datos'!$C43,'_Datos'!$BA43,"")</f>
      </c>
    </row>
    <row r="44">
      <c r="B44" s="204">
        <f>IF('_Datos'!$C44,'_Datos'!$O44,"")</f>
      </c>
      <c r="C44" s="205">
        <f>IF('_Datos'!$C44,'_Datos'!$F44,IF('_Datos'!$B44,'Proyecto Datos (OKR´s)'!$G44,""))</f>
      </c>
      <c r="D44" s="204">
        <f>IF('_Datos'!$C44,'_Datos'!$AO44,"")</f>
      </c>
      <c r="E44" s="206">
        <f>IF('_Datos'!$C44,'_Datos'!$H44,"")</f>
      </c>
      <c r="F44" s="204">
        <f>IF('_Datos'!$C44,IF(ISNUMBER('_Datos'!$AR44),'_Datos'!$AR44,"(Sin fecha)"),"")</f>
      </c>
      <c r="G44" s="204"/>
      <c r="H44" s="205"/>
      <c r="I44" s="204">
        <f>IF('_Datos'!$C44,IF(ISNUMBER('_Datos'!$AV44),'_Datos'!$AV44,"(Sin fecha)"),"")</f>
      </c>
      <c r="J44" s="208">
        <f>IF('_Datos'!$C44,'_Datos'!$AX44,"")</f>
      </c>
      <c r="K44" s="205">
        <f>IF('_Datos'!$C44,IF('Proyecto Datos (OKR´s)'!$C44="","",'Proyecto Datos (OKR´s)'!$C44),"")</f>
      </c>
      <c r="L44" s="205"/>
      <c r="M44" s="191"/>
      <c r="N44" s="204">
        <f>IF('_Datos'!$C44,'_Datos'!$BA44,"")</f>
      </c>
    </row>
    <row r="45">
      <c r="B45" s="204">
        <f>IF('_Datos'!$C45,'_Datos'!$O45,"")</f>
      </c>
      <c r="C45" s="205">
        <f>IF('_Datos'!$C45,'_Datos'!$F45,IF('_Datos'!$B45,'Proyecto Datos (OKR´s)'!$G45,""))</f>
      </c>
      <c r="D45" s="204">
        <f>IF('_Datos'!$C45,'_Datos'!$AO45,"")</f>
      </c>
      <c r="E45" s="206">
        <f>IF('_Datos'!$C45,'_Datos'!$H45,"")</f>
      </c>
      <c r="F45" s="204">
        <f>IF('_Datos'!$C45,IF(ISNUMBER('_Datos'!$AR45),'_Datos'!$AR45,"(Sin fecha)"),"")</f>
      </c>
      <c r="G45" s="204"/>
      <c r="H45" s="205"/>
      <c r="I45" s="204">
        <f>IF('_Datos'!$C45,IF(ISNUMBER('_Datos'!$AV45),'_Datos'!$AV45,"(Sin fecha)"),"")</f>
      </c>
      <c r="J45" s="208">
        <f>IF('_Datos'!$C45,'_Datos'!$AX45,"")</f>
      </c>
      <c r="K45" s="205">
        <f>IF('_Datos'!$C45,IF('Proyecto Datos (OKR´s)'!$C45="","",'Proyecto Datos (OKR´s)'!$C45),"")</f>
      </c>
      <c r="L45" s="205"/>
      <c r="M45" s="191"/>
      <c r="N45" s="204">
        <f>IF('_Datos'!$C45,'_Datos'!$BA45,"")</f>
      </c>
    </row>
    <row r="46">
      <c r="B46" s="204">
        <f>IF('_Datos'!$C46,'_Datos'!$O46,"")</f>
      </c>
      <c r="C46" s="205">
        <f>IF('_Datos'!$C46,'_Datos'!$F46,IF('_Datos'!$B46,'Proyecto Datos (OKR´s)'!$G46,""))</f>
      </c>
      <c r="D46" s="204">
        <f>IF('_Datos'!$C46,'_Datos'!$AO46,"")</f>
      </c>
      <c r="E46" s="206">
        <f>IF('_Datos'!$C46,'_Datos'!$H46,"")</f>
      </c>
      <c r="F46" s="204">
        <f>IF('_Datos'!$C46,IF(ISNUMBER('_Datos'!$AR46),'_Datos'!$AR46,"(Sin fecha)"),"")</f>
      </c>
      <c r="G46" s="204"/>
      <c r="H46" s="205"/>
      <c r="I46" s="204">
        <f>IF('_Datos'!$C46,IF(ISNUMBER('_Datos'!$AV46),'_Datos'!$AV46,"(Sin fecha)"),"")</f>
      </c>
      <c r="J46" s="208">
        <f>IF('_Datos'!$C46,'_Datos'!$AX46,"")</f>
      </c>
      <c r="K46" s="205">
        <f>IF('_Datos'!$C46,IF('Proyecto Datos (OKR´s)'!$C46="","",'Proyecto Datos (OKR´s)'!$C46),"")</f>
      </c>
      <c r="L46" s="205"/>
      <c r="M46" s="191"/>
      <c r="N46" s="204">
        <f>IF('_Datos'!$C46,'_Datos'!$BA46,"")</f>
      </c>
    </row>
    <row r="47">
      <c r="B47" s="204">
        <f>IF('_Datos'!$C47,'_Datos'!$O47,"")</f>
      </c>
      <c r="C47" s="205">
        <f>IF('_Datos'!$C47,'_Datos'!$F47,IF('_Datos'!$B47,'Proyecto Datos (OKR´s)'!$G47,""))</f>
      </c>
      <c r="D47" s="204">
        <f>IF('_Datos'!$C47,'_Datos'!$AO47,"")</f>
      </c>
      <c r="E47" s="206">
        <f>IF('_Datos'!$C47,'_Datos'!$H47,"")</f>
      </c>
      <c r="F47" s="204">
        <f>IF('_Datos'!$C47,IF(ISNUMBER('_Datos'!$AR47),'_Datos'!$AR47,"(Sin fecha)"),"")</f>
      </c>
      <c r="G47" s="204"/>
      <c r="H47" s="205"/>
      <c r="I47" s="204">
        <f>IF('_Datos'!$C47,IF(ISNUMBER('_Datos'!$AV47),'_Datos'!$AV47,"(Sin fecha)"),"")</f>
      </c>
      <c r="J47" s="208">
        <f>IF('_Datos'!$C47,'_Datos'!$AX47,"")</f>
      </c>
      <c r="K47" s="205">
        <f>IF('_Datos'!$C47,IF('Proyecto Datos (OKR´s)'!$C47="","",'Proyecto Datos (OKR´s)'!$C47),"")</f>
      </c>
      <c r="L47" s="205"/>
      <c r="M47" s="191"/>
      <c r="N47" s="204">
        <f>IF('_Datos'!$C47,'_Datos'!$BA47,"")</f>
      </c>
    </row>
    <row r="48">
      <c r="B48" s="204">
        <f>IF('_Datos'!$C48,'_Datos'!$O48,"")</f>
      </c>
      <c r="C48" s="205">
        <f>IF('_Datos'!$C48,'_Datos'!$F48,IF('_Datos'!$B48,'Proyecto Datos (OKR´s)'!$G48,""))</f>
      </c>
      <c r="D48" s="204">
        <f>IF('_Datos'!$C48,'_Datos'!$AO48,"")</f>
      </c>
      <c r="E48" s="206">
        <f>IF('_Datos'!$C48,'_Datos'!$H48,"")</f>
      </c>
      <c r="F48" s="204">
        <f>IF('_Datos'!$C48,IF(ISNUMBER('_Datos'!$AR48),'_Datos'!$AR48,"(Sin fecha)"),"")</f>
      </c>
      <c r="G48" s="204"/>
      <c r="H48" s="205"/>
      <c r="I48" s="204">
        <f>IF('_Datos'!$C48,IF(ISNUMBER('_Datos'!$AV48),'_Datos'!$AV48,"(Sin fecha)"),"")</f>
      </c>
      <c r="J48" s="208">
        <f>IF('_Datos'!$C48,'_Datos'!$AX48,"")</f>
      </c>
      <c r="K48" s="205">
        <f>IF('_Datos'!$C48,IF('Proyecto Datos (OKR´s)'!$C48="","",'Proyecto Datos (OKR´s)'!$C48),"")</f>
      </c>
      <c r="L48" s="205"/>
      <c r="M48" s="191"/>
      <c r="N48" s="204">
        <f>IF('_Datos'!$C48,'_Datos'!$BA48,"")</f>
      </c>
    </row>
    <row r="49">
      <c r="B49" s="204">
        <f>IF('_Datos'!$C49,'_Datos'!$O49,"")</f>
      </c>
      <c r="C49" s="205">
        <f>IF('_Datos'!$C49,'_Datos'!$F49,IF('_Datos'!$B49,'Proyecto Datos (OKR´s)'!$G49,""))</f>
      </c>
      <c r="D49" s="204">
        <f>IF('_Datos'!$C49,'_Datos'!$AO49,"")</f>
      </c>
      <c r="E49" s="206">
        <f>IF('_Datos'!$C49,'_Datos'!$H49,"")</f>
      </c>
      <c r="F49" s="204">
        <f>IF('_Datos'!$C49,IF(ISNUMBER('_Datos'!$AR49),'_Datos'!$AR49,"(Sin fecha)"),"")</f>
      </c>
      <c r="G49" s="204"/>
      <c r="H49" s="205"/>
      <c r="I49" s="204">
        <f>IF('_Datos'!$C49,IF(ISNUMBER('_Datos'!$AV49),'_Datos'!$AV49,"(Sin fecha)"),"")</f>
      </c>
      <c r="J49" s="208">
        <f>IF('_Datos'!$C49,'_Datos'!$AX49,"")</f>
      </c>
      <c r="K49" s="205">
        <f>IF('_Datos'!$C49,IF('Proyecto Datos (OKR´s)'!$C49="","",'Proyecto Datos (OKR´s)'!$C49),"")</f>
      </c>
      <c r="L49" s="205"/>
      <c r="M49" s="191">
        <v>3</v>
      </c>
      <c r="N49" s="204">
        <f>IF('_Datos'!$C49,'_Datos'!$BA49,"")</f>
      </c>
    </row>
    <row r="50">
      <c r="B50" s="204">
        <f>IF('_Datos'!$C50,'_Datos'!$O50,"")</f>
      </c>
      <c r="C50" s="205">
        <f>IF('_Datos'!$C50,'_Datos'!$F50,IF('_Datos'!$B50,'Proyecto Datos (OKR´s)'!$G50,""))</f>
      </c>
      <c r="D50" s="204">
        <f>IF('_Datos'!$C50,'_Datos'!$AO50,"")</f>
      </c>
      <c r="E50" s="206">
        <f>IF('_Datos'!$C50,'_Datos'!$H50,"")</f>
      </c>
      <c r="F50" s="204">
        <f>IF('_Datos'!$C50,IF(ISNUMBER('_Datos'!$AR50),'_Datos'!$AR50,"(Sin fecha)"),"")</f>
      </c>
      <c r="G50" s="204"/>
      <c r="H50" s="205"/>
      <c r="I50" s="204">
        <f>IF('_Datos'!$C50,IF(ISNUMBER('_Datos'!$AV50),'_Datos'!$AV50,"(Sin fecha)"),"")</f>
      </c>
      <c r="J50" s="208">
        <f>IF('_Datos'!$C50,'_Datos'!$AX50,"")</f>
      </c>
      <c r="K50" s="205">
        <f>IF('_Datos'!$C50,IF('Proyecto Datos (OKR´s)'!$C50="","",'Proyecto Datos (OKR´s)'!$C50),"")</f>
      </c>
      <c r="L50" s="205"/>
      <c r="M50" s="191">
        <v>3</v>
      </c>
      <c r="N50" s="204">
        <f>IF('_Datos'!$C50,'_Datos'!$BA50,"")</f>
      </c>
    </row>
    <row r="51">
      <c r="B51" s="204">
        <f>IF('_Datos'!$C51,'_Datos'!$O51,"")</f>
      </c>
      <c r="C51" s="205">
        <f>IF('_Datos'!$C51,'_Datos'!$F51,IF('_Datos'!$B51,'Proyecto Datos (OKR´s)'!$G51,""))</f>
      </c>
      <c r="D51" s="204">
        <f>IF('_Datos'!$C51,'_Datos'!$AO51,"")</f>
      </c>
      <c r="E51" s="206">
        <f>IF('_Datos'!$C51,'_Datos'!$H51,"")</f>
      </c>
      <c r="F51" s="204">
        <f>IF('_Datos'!$C51,IF(ISNUMBER('_Datos'!$AR51),'_Datos'!$AR51,"(Sin fecha)"),"")</f>
      </c>
      <c r="G51" s="204"/>
      <c r="H51" s="205"/>
      <c r="I51" s="204">
        <f>IF('_Datos'!$C51,IF(ISNUMBER('_Datos'!$AV51),'_Datos'!$AV51,"(Sin fecha)"),"")</f>
      </c>
      <c r="J51" s="208">
        <f>IF('_Datos'!$C51,'_Datos'!$AX51,"")</f>
      </c>
      <c r="K51" s="205">
        <f>IF('_Datos'!$C51,IF('Proyecto Datos (OKR´s)'!$C51="","",'Proyecto Datos (OKR´s)'!$C51),"")</f>
      </c>
      <c r="L51" s="205"/>
      <c r="M51" s="191">
        <v>3</v>
      </c>
      <c r="N51" s="204">
        <f>IF('_Datos'!$C51,'_Datos'!$BA51,"")</f>
      </c>
    </row>
    <row r="52">
      <c r="B52" s="204">
        <f>IF('_Datos'!$C52,'_Datos'!$O52,"")</f>
      </c>
      <c r="C52" s="205">
        <f>IF('_Datos'!$C52,'_Datos'!$F52,IF('_Datos'!$B52,'Proyecto Datos (OKR´s)'!$G52,""))</f>
      </c>
      <c r="D52" s="204">
        <f>IF('_Datos'!$C52,'_Datos'!$AO52,"")</f>
      </c>
      <c r="E52" s="206">
        <f>IF('_Datos'!$C52,'_Datos'!$H52,"")</f>
      </c>
      <c r="F52" s="204">
        <f>IF('_Datos'!$C52,IF(ISNUMBER('_Datos'!$AR52),'_Datos'!$AR52,"(Sin fecha)"),"")</f>
      </c>
      <c r="G52" s="204"/>
      <c r="H52" s="205"/>
      <c r="I52" s="204">
        <f>IF('_Datos'!$C52,IF(ISNUMBER('_Datos'!$AV52),'_Datos'!$AV52,"(Sin fecha)"),"")</f>
      </c>
      <c r="J52" s="208">
        <f>IF('_Datos'!$C52,'_Datos'!$AX52,"")</f>
      </c>
      <c r="K52" s="205">
        <f>IF('_Datos'!$C52,IF('Proyecto Datos (OKR´s)'!$C52="","",'Proyecto Datos (OKR´s)'!$C52),"")</f>
      </c>
      <c r="L52" s="205"/>
      <c r="M52" s="191"/>
      <c r="N52" s="204">
        <f>IF('_Datos'!$C52,'_Datos'!$BA52,"")</f>
      </c>
    </row>
    <row r="53">
      <c r="B53" s="204">
        <f>IF('_Datos'!$C53,'_Datos'!$O53,"")</f>
      </c>
      <c r="C53" s="205">
        <f>IF('_Datos'!$C53,'_Datos'!$F53,IF('_Datos'!$B53,'Proyecto Datos (OKR´s)'!$G53,""))</f>
      </c>
      <c r="D53" s="204">
        <f>IF('_Datos'!$C53,'_Datos'!$AO53,"")</f>
      </c>
      <c r="E53" s="206">
        <f>IF('_Datos'!$C53,'_Datos'!$H53,"")</f>
      </c>
      <c r="F53" s="204">
        <f>IF('_Datos'!$C53,IF(ISNUMBER('_Datos'!$AR53),'_Datos'!$AR53,"(Sin fecha)"),"")</f>
      </c>
      <c r="G53" s="204"/>
      <c r="H53" s="205"/>
      <c r="I53" s="204">
        <f>IF('_Datos'!$C53,IF(ISNUMBER('_Datos'!$AV53),'_Datos'!$AV53,"(Sin fecha)"),"")</f>
      </c>
      <c r="J53" s="208">
        <f>IF('_Datos'!$C53,'_Datos'!$AX53,"")</f>
      </c>
      <c r="K53" s="205">
        <f>IF('_Datos'!$C53,IF('Proyecto Datos (OKR´s)'!$C53="","",'Proyecto Datos (OKR´s)'!$C53),"")</f>
      </c>
      <c r="L53" s="205"/>
      <c r="M53" s="191"/>
      <c r="N53" s="204">
        <f>IF('_Datos'!$C53,'_Datos'!$BA53,"")</f>
      </c>
    </row>
    <row r="54">
      <c r="B54" s="204">
        <f>IF('_Datos'!$C54,'_Datos'!$O54,"")</f>
      </c>
      <c r="C54" s="205">
        <f>IF('_Datos'!$C54,'_Datos'!$F54,IF('_Datos'!$B54,'Proyecto Datos (OKR´s)'!$G54,""))</f>
      </c>
      <c r="D54" s="204">
        <f>IF('_Datos'!$C54,'_Datos'!$AO54,"")</f>
      </c>
      <c r="E54" s="206">
        <f>IF('_Datos'!$C54,'_Datos'!$H54,"")</f>
      </c>
      <c r="F54" s="204">
        <f>IF('_Datos'!$C54,IF(ISNUMBER('_Datos'!$AR54),'_Datos'!$AR54,"(Sin fecha)"),"")</f>
      </c>
      <c r="G54" s="204"/>
      <c r="H54" s="205"/>
      <c r="I54" s="204">
        <f>IF('_Datos'!$C54,IF(ISNUMBER('_Datos'!$AV54),'_Datos'!$AV54,"(Sin fecha)"),"")</f>
      </c>
      <c r="J54" s="208">
        <f>IF('_Datos'!$C54,'_Datos'!$AX54,"")</f>
      </c>
      <c r="K54" s="205">
        <f>IF('_Datos'!$C54,IF('Proyecto Datos (OKR´s)'!$C54="","",'Proyecto Datos (OKR´s)'!$C54),"")</f>
      </c>
      <c r="L54" s="205"/>
      <c r="M54" s="191"/>
      <c r="N54" s="204">
        <f>IF('_Datos'!$C54,'_Datos'!$BA54,"")</f>
      </c>
    </row>
    <row r="55">
      <c r="B55" s="204">
        <f>IF('_Datos'!$C55,'_Datos'!$O55,"")</f>
      </c>
      <c r="C55" s="205">
        <f>IF('_Datos'!$C55,'_Datos'!$F55,IF('_Datos'!$B55,'Proyecto Datos (OKR´s)'!$G55,""))</f>
      </c>
      <c r="D55" s="204">
        <f>IF('_Datos'!$C55,'_Datos'!$AO55,"")</f>
      </c>
      <c r="E55" s="206">
        <f>IF('_Datos'!$C55,'_Datos'!$H55,"")</f>
      </c>
      <c r="F55" s="204">
        <f>IF('_Datos'!$C55,IF(ISNUMBER('_Datos'!$AR55),'_Datos'!$AR55,"(Sin fecha)"),"")</f>
      </c>
      <c r="G55" s="204"/>
      <c r="H55" s="205"/>
      <c r="I55" s="204">
        <f>IF('_Datos'!$C55,IF(ISNUMBER('_Datos'!$AV55),'_Datos'!$AV55,"(Sin fecha)"),"")</f>
      </c>
      <c r="J55" s="208">
        <f>IF('_Datos'!$C55,'_Datos'!$AX55,"")</f>
      </c>
      <c r="K55" s="205">
        <f>IF('_Datos'!$C55,IF('Proyecto Datos (OKR´s)'!$C55="","",'Proyecto Datos (OKR´s)'!$C55),"")</f>
      </c>
      <c r="L55" s="205"/>
      <c r="M55" s="191"/>
      <c r="N55" s="204">
        <f>IF('_Datos'!$C55,'_Datos'!$BA55,"")</f>
      </c>
    </row>
    <row r="56">
      <c r="B56" s="204">
        <f>IF('_Datos'!$C56,'_Datos'!$O56,"")</f>
      </c>
      <c r="C56" s="205">
        <f>IF('_Datos'!$C56,'_Datos'!$F56,IF('_Datos'!$B56,'Proyecto Datos (OKR´s)'!$G56,""))</f>
      </c>
      <c r="D56" s="204">
        <f>IF('_Datos'!$C56,'_Datos'!$AO56,"")</f>
      </c>
      <c r="E56" s="206">
        <f>IF('_Datos'!$C56,'_Datos'!$H56,"")</f>
      </c>
      <c r="F56" s="204">
        <f>IF('_Datos'!$C56,IF(ISNUMBER('_Datos'!$AR56),'_Datos'!$AR56,"(Sin fecha)"),"")</f>
      </c>
      <c r="G56" s="204"/>
      <c r="H56" s="205"/>
      <c r="I56" s="204">
        <f>IF('_Datos'!$C56,IF(ISNUMBER('_Datos'!$AV56),'_Datos'!$AV56,"(Sin fecha)"),"")</f>
      </c>
      <c r="J56" s="208">
        <f>IF('_Datos'!$C56,'_Datos'!$AX56,"")</f>
      </c>
      <c r="K56" s="205">
        <f>IF('_Datos'!$C56,IF('Proyecto Datos (OKR´s)'!$C56="","",'Proyecto Datos (OKR´s)'!$C56),"")</f>
      </c>
      <c r="L56" s="205"/>
      <c r="M56" s="191"/>
      <c r="N56" s="204">
        <f>IF('_Datos'!$C56,'_Datos'!$BA56,"")</f>
      </c>
    </row>
    <row r="57">
      <c r="B57" s="204">
        <f>IF('_Datos'!$C57,'_Datos'!$O57,"")</f>
      </c>
      <c r="C57" s="205">
        <f>IF('_Datos'!$C57,'_Datos'!$F57,IF('_Datos'!$B57,'Proyecto Datos (OKR´s)'!$G57,""))</f>
      </c>
      <c r="D57" s="204">
        <f>IF('_Datos'!$C57,'_Datos'!$AO57,"")</f>
      </c>
      <c r="E57" s="206">
        <f>IF('_Datos'!$C57,'_Datos'!$H57,"")</f>
      </c>
      <c r="F57" s="204">
        <f>IF('_Datos'!$C57,IF(ISNUMBER('_Datos'!$AR57),'_Datos'!$AR57,"(Sin fecha)"),"")</f>
      </c>
      <c r="G57" s="204"/>
      <c r="H57" s="205"/>
      <c r="I57" s="204">
        <f>IF('_Datos'!$C57,IF(ISNUMBER('_Datos'!$AV57),'_Datos'!$AV57,"(Sin fecha)"),"")</f>
      </c>
      <c r="J57" s="208">
        <f>IF('_Datos'!$C57,'_Datos'!$AX57,"")</f>
      </c>
      <c r="K57" s="205">
        <f>IF('_Datos'!$C57,IF('Proyecto Datos (OKR´s)'!$C57="","",'Proyecto Datos (OKR´s)'!$C57),"")</f>
      </c>
      <c r="L57" s="205"/>
      <c r="M57" s="191"/>
      <c r="N57" s="204">
        <f>IF('_Datos'!$C57,'_Datos'!$BA57,"")</f>
      </c>
    </row>
    <row r="58">
      <c r="B58" s="204">
        <f>IF('_Datos'!$C58,'_Datos'!$O58,"")</f>
      </c>
      <c r="C58" s="205">
        <f>IF('_Datos'!$C58,'_Datos'!$F58,IF('_Datos'!$B58,'Proyecto Datos (OKR´s)'!$G58,""))</f>
      </c>
      <c r="D58" s="204">
        <f>IF('_Datos'!$C58,'_Datos'!$AO58,"")</f>
      </c>
      <c r="E58" s="206">
        <f>IF('_Datos'!$C58,'_Datos'!$H58,"")</f>
      </c>
      <c r="F58" s="204">
        <f>IF('_Datos'!$C58,IF(ISNUMBER('_Datos'!$AR58),'_Datos'!$AR58,"(Sin fecha)"),"")</f>
      </c>
      <c r="G58" s="204"/>
      <c r="H58" s="205"/>
      <c r="I58" s="204">
        <f>IF('_Datos'!$C58,IF(ISNUMBER('_Datos'!$AV58),'_Datos'!$AV58,"(Sin fecha)"),"")</f>
      </c>
      <c r="J58" s="208">
        <f>IF('_Datos'!$C58,'_Datos'!$AX58,"")</f>
      </c>
      <c r="K58" s="205">
        <f>IF('_Datos'!$C58,IF('Proyecto Datos (OKR´s)'!$C58="","",'Proyecto Datos (OKR´s)'!$C58),"")</f>
      </c>
      <c r="L58" s="205"/>
      <c r="M58" s="191"/>
      <c r="N58" s="204">
        <f>IF('_Datos'!$C58,'_Datos'!$BA58,"")</f>
      </c>
    </row>
    <row r="59">
      <c r="B59" s="204">
        <f>IF('_Datos'!$C59,'_Datos'!$O59,"")</f>
      </c>
      <c r="C59" s="205">
        <f>IF('_Datos'!$C59,'_Datos'!$F59,IF('_Datos'!$B59,'Proyecto Datos (OKR´s)'!$G59,""))</f>
      </c>
      <c r="D59" s="204">
        <f>IF('_Datos'!$C59,'_Datos'!$AO59,"")</f>
      </c>
      <c r="E59" s="206">
        <f>IF('_Datos'!$C59,'_Datos'!$H59,"")</f>
      </c>
      <c r="F59" s="204">
        <f>IF('_Datos'!$C59,IF(ISNUMBER('_Datos'!$AR59),'_Datos'!$AR59,"(Sin fecha)"),"")</f>
      </c>
      <c r="G59" s="204"/>
      <c r="H59" s="205"/>
      <c r="I59" s="204">
        <f>IF('_Datos'!$C59,IF(ISNUMBER('_Datos'!$AV59),'_Datos'!$AV59,"(Sin fecha)"),"")</f>
      </c>
      <c r="J59" s="208">
        <f>IF('_Datos'!$C59,'_Datos'!$AX59,"")</f>
      </c>
      <c r="K59" s="205">
        <f>IF('_Datos'!$C59,IF('Proyecto Datos (OKR´s)'!$C59="","",'Proyecto Datos (OKR´s)'!$C59),"")</f>
      </c>
      <c r="L59" s="205"/>
      <c r="M59" s="191"/>
      <c r="N59" s="204">
        <f>IF('_Datos'!$C59,'_Datos'!$BA59,"")</f>
      </c>
    </row>
    <row r="60">
      <c r="B60" s="204">
        <f>IF('_Datos'!$C60,'_Datos'!$O60,"")</f>
      </c>
      <c r="C60" s="205">
        <f>IF('_Datos'!$C60,'_Datos'!$F60,IF('_Datos'!$B60,'Proyecto Datos (OKR´s)'!$G60,""))</f>
      </c>
      <c r="D60" s="204">
        <f>IF('_Datos'!$C60,'_Datos'!$AO60,"")</f>
      </c>
      <c r="E60" s="206">
        <f>IF('_Datos'!$C60,'_Datos'!$H60,"")</f>
      </c>
      <c r="F60" s="204">
        <f>IF('_Datos'!$C60,IF(ISNUMBER('_Datos'!$AR60),'_Datos'!$AR60,"(Sin fecha)"),"")</f>
      </c>
      <c r="G60" s="204"/>
      <c r="H60" s="205"/>
      <c r="I60" s="204">
        <f>IF('_Datos'!$C60,IF(ISNUMBER('_Datos'!$AV60),'_Datos'!$AV60,"(Sin fecha)"),"")</f>
      </c>
      <c r="J60" s="208">
        <f>IF('_Datos'!$C60,'_Datos'!$AX60,"")</f>
      </c>
      <c r="K60" s="205">
        <f>IF('_Datos'!$C60,IF('Proyecto Datos (OKR´s)'!$C60="","",'Proyecto Datos (OKR´s)'!$C60),"")</f>
      </c>
      <c r="L60" s="205"/>
      <c r="M60" s="191"/>
      <c r="N60" s="204">
        <f>IF('_Datos'!$C60,'_Datos'!$BA60,"")</f>
      </c>
    </row>
    <row r="61">
      <c r="B61" s="204">
        <f>IF('_Datos'!$C61,'_Datos'!$O61,"")</f>
      </c>
      <c r="C61" s="205">
        <f>IF('_Datos'!$C61,'_Datos'!$F61,IF('_Datos'!$B61,'Proyecto Datos (OKR´s)'!$G61,""))</f>
      </c>
      <c r="D61" s="204">
        <f>IF('_Datos'!$C61,'_Datos'!$AO61,"")</f>
      </c>
      <c r="E61" s="206">
        <f>IF('_Datos'!$C61,'_Datos'!$H61,"")</f>
      </c>
      <c r="F61" s="204">
        <f>IF('_Datos'!$C61,IF(ISNUMBER('_Datos'!$AR61),'_Datos'!$AR61,"(Sin fecha)"),"")</f>
      </c>
      <c r="G61" s="204"/>
      <c r="H61" s="205"/>
      <c r="I61" s="204">
        <f>IF('_Datos'!$C61,IF(ISNUMBER('_Datos'!$AV61),'_Datos'!$AV61,"(Sin fecha)"),"")</f>
      </c>
      <c r="J61" s="208">
        <f>IF('_Datos'!$C61,'_Datos'!$AX61,"")</f>
      </c>
      <c r="K61" s="205">
        <f>IF('_Datos'!$C61,IF('Proyecto Datos (OKR´s)'!$C61="","",'Proyecto Datos (OKR´s)'!$C61),"")</f>
      </c>
      <c r="L61" s="205"/>
      <c r="M61" s="191"/>
      <c r="N61" s="204">
        <f>IF('_Datos'!$C61,'_Datos'!$BA61,"")</f>
      </c>
    </row>
    <row r="62">
      <c r="B62" s="204">
        <f>IF('_Datos'!$C62,'_Datos'!$O62,"")</f>
      </c>
      <c r="C62" s="205">
        <f>IF('_Datos'!$C62,'_Datos'!$F62,IF('_Datos'!$B62,'Proyecto Datos (OKR´s)'!$G62,""))</f>
      </c>
      <c r="D62" s="204">
        <f>IF('_Datos'!$C62,'_Datos'!$AO62,"")</f>
      </c>
      <c r="E62" s="206">
        <f>IF('_Datos'!$C62,'_Datos'!$H62,"")</f>
      </c>
      <c r="F62" s="204">
        <f>IF('_Datos'!$C62,IF(ISNUMBER('_Datos'!$AR62),'_Datos'!$AR62,"(Sin fecha)"),"")</f>
      </c>
      <c r="G62" s="204"/>
      <c r="H62" s="205"/>
      <c r="I62" s="204">
        <f>IF('_Datos'!$C62,IF(ISNUMBER('_Datos'!$AV62),'_Datos'!$AV62,"(Sin fecha)"),"")</f>
      </c>
      <c r="J62" s="208">
        <f>IF('_Datos'!$C62,'_Datos'!$AX62,"")</f>
      </c>
      <c r="K62" s="205">
        <f>IF('_Datos'!$C62,IF('Proyecto Datos (OKR´s)'!$C62="","",'Proyecto Datos (OKR´s)'!$C62),"")</f>
      </c>
      <c r="L62" s="205"/>
      <c r="M62" s="191"/>
      <c r="N62" s="204">
        <f>IF('_Datos'!$C62,'_Datos'!$BA62,"")</f>
      </c>
    </row>
    <row r="63">
      <c r="B63" s="204">
        <f>IF('_Datos'!$C63,'_Datos'!$O63,"")</f>
      </c>
      <c r="C63" s="205">
        <f>IF('_Datos'!$C63,'_Datos'!$F63,IF('_Datos'!$B63,'Proyecto Datos (OKR´s)'!$G63,""))</f>
      </c>
      <c r="D63" s="204">
        <f>IF('_Datos'!$C63,'_Datos'!$AO63,"")</f>
      </c>
      <c r="E63" s="206">
        <f>IF('_Datos'!$C63,'_Datos'!$H63,"")</f>
      </c>
      <c r="F63" s="204">
        <f>IF('_Datos'!$C63,IF(ISNUMBER('_Datos'!$AR63),'_Datos'!$AR63,"(Sin fecha)"),"")</f>
      </c>
      <c r="G63" s="204"/>
      <c r="H63" s="205"/>
      <c r="I63" s="204">
        <f>IF('_Datos'!$C63,IF(ISNUMBER('_Datos'!$AV63),'_Datos'!$AV63,"(Sin fecha)"),"")</f>
      </c>
      <c r="J63" s="208">
        <f>IF('_Datos'!$C63,'_Datos'!$AX63,"")</f>
      </c>
      <c r="K63" s="205">
        <f>IF('_Datos'!$C63,IF('Proyecto Datos (OKR´s)'!$C63="","",'Proyecto Datos (OKR´s)'!$C63),"")</f>
      </c>
      <c r="L63" s="205"/>
      <c r="M63" s="191"/>
      <c r="N63" s="204">
        <f>IF('_Datos'!$C63,'_Datos'!$BA63,"")</f>
      </c>
    </row>
    <row r="64">
      <c r="B64" s="204">
        <f>IF('_Datos'!$C64,'_Datos'!$O64,"")</f>
      </c>
      <c r="C64" s="205">
        <f>IF('_Datos'!$C64,'_Datos'!$F64,IF('_Datos'!$B64,'Proyecto Datos (OKR´s)'!$G64,""))</f>
      </c>
      <c r="D64" s="204">
        <f>IF('_Datos'!$C64,'_Datos'!$AO64,"")</f>
      </c>
      <c r="E64" s="206">
        <f>IF('_Datos'!$C64,'_Datos'!$H64,"")</f>
      </c>
      <c r="F64" s="204">
        <f>IF('_Datos'!$C64,IF(ISNUMBER('_Datos'!$AR64),'_Datos'!$AR64,"(Sin fecha)"),"")</f>
      </c>
      <c r="G64" s="204"/>
      <c r="H64" s="205"/>
      <c r="I64" s="204">
        <f>IF('_Datos'!$C64,IF(ISNUMBER('_Datos'!$AV64),'_Datos'!$AV64,"(Sin fecha)"),"")</f>
      </c>
      <c r="J64" s="208">
        <f>IF('_Datos'!$C64,'_Datos'!$AX64,"")</f>
      </c>
      <c r="K64" s="205">
        <f>IF('_Datos'!$C64,IF('Proyecto Datos (OKR´s)'!$C64="","",'Proyecto Datos (OKR´s)'!$C64),"")</f>
      </c>
      <c r="L64" s="205"/>
      <c r="M64" s="191"/>
      <c r="N64" s="204">
        <f>IF('_Datos'!$C64,'_Datos'!$BA64,"")</f>
      </c>
    </row>
    <row r="65">
      <c r="B65" s="204">
        <f>IF('_Datos'!$C65,'_Datos'!$O65,"")</f>
      </c>
      <c r="C65" s="205">
        <f>IF('_Datos'!$C65,'_Datos'!$F65,IF('_Datos'!$B65,'Proyecto Datos (OKR´s)'!$G65,""))</f>
      </c>
      <c r="D65" s="204">
        <f>IF('_Datos'!$C65,'_Datos'!$AO65,"")</f>
      </c>
      <c r="E65" s="206">
        <f>IF('_Datos'!$C65,'_Datos'!$H65,"")</f>
      </c>
      <c r="F65" s="204">
        <f>IF('_Datos'!$C65,IF(ISNUMBER('_Datos'!$AR65),'_Datos'!$AR65,"(Sin fecha)"),"")</f>
      </c>
      <c r="G65" s="204"/>
      <c r="H65" s="205"/>
      <c r="I65" s="204">
        <f>IF('_Datos'!$C65,IF(ISNUMBER('_Datos'!$AV65),'_Datos'!$AV65,"(Sin fecha)"),"")</f>
      </c>
      <c r="J65" s="208">
        <f>IF('_Datos'!$C65,'_Datos'!$AX65,"")</f>
      </c>
      <c r="K65" s="205">
        <f>IF('_Datos'!$C65,IF('Proyecto Datos (OKR´s)'!$C65="","",'Proyecto Datos (OKR´s)'!$C65),"")</f>
      </c>
      <c r="L65" s="205"/>
      <c r="M65" s="191"/>
      <c r="N65" s="204">
        <f>IF('_Datos'!$C65,'_Datos'!$BA65,"")</f>
      </c>
    </row>
    <row r="66">
      <c r="B66" s="204">
        <f>IF('_Datos'!$C66,'_Datos'!$O66,"")</f>
      </c>
      <c r="C66" s="205">
        <f>IF('_Datos'!$C66,'_Datos'!$F66,IF('_Datos'!$B66,'Proyecto Datos (OKR´s)'!$G66,""))</f>
      </c>
      <c r="D66" s="204">
        <f>IF('_Datos'!$C66,'_Datos'!$AO66,"")</f>
      </c>
      <c r="E66" s="206">
        <f>IF('_Datos'!$C66,'_Datos'!$H66,"")</f>
      </c>
      <c r="F66" s="204">
        <f>IF('_Datos'!$C66,IF(ISNUMBER('_Datos'!$AR66),'_Datos'!$AR66,"(Sin fecha)"),"")</f>
      </c>
      <c r="G66" s="204"/>
      <c r="H66" s="205"/>
      <c r="I66" s="204">
        <f>IF('_Datos'!$C66,IF(ISNUMBER('_Datos'!$AV66),'_Datos'!$AV66,"(Sin fecha)"),"")</f>
      </c>
      <c r="J66" s="208">
        <f>IF('_Datos'!$C66,'_Datos'!$AX66,"")</f>
      </c>
      <c r="K66" s="205">
        <f>IF('_Datos'!$C66,IF('Proyecto Datos (OKR´s)'!$C66="","",'Proyecto Datos (OKR´s)'!$C66),"")</f>
      </c>
      <c r="L66" s="205"/>
      <c r="M66" s="191"/>
      <c r="N66" s="204">
        <f>IF('_Datos'!$C66,'_Datos'!$BA66,"")</f>
      </c>
    </row>
    <row r="67">
      <c r="B67" s="204">
        <f>IF('_Datos'!$C67,'_Datos'!$O67,"")</f>
      </c>
      <c r="C67" s="205">
        <f>IF('_Datos'!$C67,'_Datos'!$F67,IF('_Datos'!$B67,'Proyecto Datos (OKR´s)'!$G67,""))</f>
      </c>
      <c r="D67" s="204">
        <f>IF('_Datos'!$C67,'_Datos'!$AO67,"")</f>
      </c>
      <c r="E67" s="206">
        <f>IF('_Datos'!$C67,'_Datos'!$H67,"")</f>
      </c>
      <c r="F67" s="204">
        <f>IF('_Datos'!$C67,IF(ISNUMBER('_Datos'!$AR67),'_Datos'!$AR67,"(Sin fecha)"),"")</f>
      </c>
      <c r="G67" s="204"/>
      <c r="H67" s="205"/>
      <c r="I67" s="204">
        <f>IF('_Datos'!$C67,IF(ISNUMBER('_Datos'!$AV67),'_Datos'!$AV67,"(Sin fecha)"),"")</f>
      </c>
      <c r="J67" s="208">
        <f>IF('_Datos'!$C67,'_Datos'!$AX67,"")</f>
      </c>
      <c r="K67" s="205">
        <f>IF('_Datos'!$C67,IF('Proyecto Datos (OKR´s)'!$C67="","",'Proyecto Datos (OKR´s)'!$C67),"")</f>
      </c>
      <c r="L67" s="205"/>
      <c r="M67" s="191"/>
      <c r="N67" s="204">
        <f>IF('_Datos'!$C67,'_Datos'!$BA67,"")</f>
      </c>
    </row>
    <row r="68">
      <c r="B68" s="204">
        <f>IF('_Datos'!$C68,'_Datos'!$O68,"")</f>
      </c>
      <c r="C68" s="205">
        <f>IF('_Datos'!$C68,'_Datos'!$F68,IF('_Datos'!$B68,'Proyecto Datos (OKR´s)'!$G68,""))</f>
      </c>
      <c r="D68" s="204">
        <f>IF('_Datos'!$C68,'_Datos'!$AO68,"")</f>
      </c>
      <c r="E68" s="206">
        <f>IF('_Datos'!$C68,'_Datos'!$H68,"")</f>
      </c>
      <c r="F68" s="204">
        <f>IF('_Datos'!$C68,IF(ISNUMBER('_Datos'!$AR68),'_Datos'!$AR68,"(Sin fecha)"),"")</f>
      </c>
      <c r="G68" s="204"/>
      <c r="H68" s="205"/>
      <c r="I68" s="204">
        <f>IF('_Datos'!$C68,IF(ISNUMBER('_Datos'!$AV68),'_Datos'!$AV68,"(Sin fecha)"),"")</f>
      </c>
      <c r="J68" s="208">
        <f>IF('_Datos'!$C68,'_Datos'!$AX68,"")</f>
      </c>
      <c r="K68" s="205">
        <f>IF('_Datos'!$C68,IF('Proyecto Datos (OKR´s)'!$C68="","",'Proyecto Datos (OKR´s)'!$C68),"")</f>
      </c>
      <c r="L68" s="205"/>
      <c r="M68" s="191"/>
      <c r="N68" s="204">
        <f>IF('_Datos'!$C68,'_Datos'!$BA68,"")</f>
      </c>
    </row>
    <row r="69">
      <c r="B69" s="204">
        <f>IF('_Datos'!$C69,'_Datos'!$O69,"")</f>
      </c>
      <c r="C69" s="205">
        <f>IF('_Datos'!$C69,'_Datos'!$F69,IF('_Datos'!$B69,'Proyecto Datos (OKR´s)'!$G69,""))</f>
      </c>
      <c r="D69" s="204">
        <f>IF('_Datos'!$C69,'_Datos'!$AO69,"")</f>
      </c>
      <c r="E69" s="206">
        <f>IF('_Datos'!$C69,'_Datos'!$H69,"")</f>
      </c>
      <c r="F69" s="204">
        <f>IF('_Datos'!$C69,IF(ISNUMBER('_Datos'!$AR69),'_Datos'!$AR69,"(Sin fecha)"),"")</f>
      </c>
      <c r="G69" s="204"/>
      <c r="H69" s="205"/>
      <c r="I69" s="204">
        <f>IF('_Datos'!$C69,IF(ISNUMBER('_Datos'!$AV69),'_Datos'!$AV69,"(Sin fecha)"),"")</f>
      </c>
      <c r="J69" s="208">
        <f>IF('_Datos'!$C69,'_Datos'!$AX69,"")</f>
      </c>
      <c r="K69" s="205">
        <f>IF('_Datos'!$C69,IF('Proyecto Datos (OKR´s)'!$C69="","",'Proyecto Datos (OKR´s)'!$C69),"")</f>
      </c>
      <c r="L69" s="205"/>
      <c r="M69" s="191"/>
      <c r="N69" s="204">
        <f>IF('_Datos'!$C69,'_Datos'!$BA69,"")</f>
      </c>
    </row>
    <row r="70">
      <c r="B70" s="204">
        <f>IF('_Datos'!$C70,'_Datos'!$O70,"")</f>
      </c>
      <c r="C70" s="205">
        <f>IF('_Datos'!$C70,'_Datos'!$F70,IF('_Datos'!$B70,'Proyecto Datos (OKR´s)'!$G70,""))</f>
      </c>
      <c r="D70" s="204">
        <f>IF('_Datos'!$C70,'_Datos'!$AO70,"")</f>
      </c>
      <c r="E70" s="206">
        <f>IF('_Datos'!$C70,'_Datos'!$H70,"")</f>
      </c>
      <c r="F70" s="204">
        <f>IF('_Datos'!$C70,IF(ISNUMBER('_Datos'!$AR70),'_Datos'!$AR70,"(Sin fecha)"),"")</f>
      </c>
      <c r="G70" s="204"/>
      <c r="H70" s="205"/>
      <c r="I70" s="204">
        <f>IF('_Datos'!$C70,IF(ISNUMBER('_Datos'!$AV70),'_Datos'!$AV70,"(Sin fecha)"),"")</f>
      </c>
      <c r="J70" s="208">
        <f>IF('_Datos'!$C70,'_Datos'!$AX70,"")</f>
      </c>
      <c r="K70" s="205">
        <f>IF('_Datos'!$C70,IF('Proyecto Datos (OKR´s)'!$C70="","",'Proyecto Datos (OKR´s)'!$C70),"")</f>
      </c>
      <c r="L70" s="205"/>
      <c r="M70" s="191"/>
      <c r="N70" s="204">
        <f>IF('_Datos'!$C70,'_Datos'!$BA70,"")</f>
      </c>
    </row>
    <row r="71">
      <c r="B71" s="204">
        <f>IF('_Datos'!$C71,'_Datos'!$O71,"")</f>
      </c>
      <c r="C71" s="205">
        <f>IF('_Datos'!$C71,'_Datos'!$F71,IF('_Datos'!$B71,'Proyecto Datos (OKR´s)'!$G71,""))</f>
      </c>
      <c r="D71" s="204">
        <f>IF('_Datos'!$C71,'_Datos'!$AO71,"")</f>
      </c>
      <c r="E71" s="206">
        <f>IF('_Datos'!$C71,'_Datos'!$H71,"")</f>
      </c>
      <c r="F71" s="204">
        <f>IF('_Datos'!$C71,IF(ISNUMBER('_Datos'!$AR71),'_Datos'!$AR71,"(Sin fecha)"),"")</f>
      </c>
      <c r="G71" s="204"/>
      <c r="H71" s="205"/>
      <c r="I71" s="204">
        <f>IF('_Datos'!$C71,IF(ISNUMBER('_Datos'!$AV71),'_Datos'!$AV71,"(Sin fecha)"),"")</f>
      </c>
      <c r="J71" s="208">
        <f>IF('_Datos'!$C71,'_Datos'!$AX71,"")</f>
      </c>
      <c r="K71" s="205">
        <f>IF('_Datos'!$C71,IF('Proyecto Datos (OKR´s)'!$C71="","",'Proyecto Datos (OKR´s)'!$C71),"")</f>
      </c>
      <c r="L71" s="205"/>
      <c r="M71" s="191"/>
      <c r="N71" s="204">
        <f>IF('_Datos'!$C71,'_Datos'!$BA71,"")</f>
      </c>
    </row>
    <row r="72">
      <c r="B72" s="204">
        <f>IF('_Datos'!$C72,'_Datos'!$O72,"")</f>
      </c>
      <c r="C72" s="205">
        <f>IF('_Datos'!$C72,'_Datos'!$F72,IF('_Datos'!$B72,'Proyecto Datos (OKR´s)'!$G72,""))</f>
      </c>
      <c r="D72" s="204">
        <f>IF('_Datos'!$C72,'_Datos'!$AO72,"")</f>
      </c>
      <c r="E72" s="206">
        <f>IF('_Datos'!$C72,'_Datos'!$H72,"")</f>
      </c>
      <c r="F72" s="204">
        <f>IF('_Datos'!$C72,IF(ISNUMBER('_Datos'!$AR72),'_Datos'!$AR72,"(Sin fecha)"),"")</f>
      </c>
      <c r="G72" s="204"/>
      <c r="H72" s="205"/>
      <c r="I72" s="204">
        <f>IF('_Datos'!$C72,IF(ISNUMBER('_Datos'!$AV72),'_Datos'!$AV72,"(Sin fecha)"),"")</f>
      </c>
      <c r="J72" s="208">
        <f>IF('_Datos'!$C72,'_Datos'!$AX72,"")</f>
      </c>
      <c r="K72" s="205">
        <f>IF('_Datos'!$C72,IF('Proyecto Datos (OKR´s)'!$C72="","",'Proyecto Datos (OKR´s)'!$C72),"")</f>
      </c>
      <c r="L72" s="205"/>
      <c r="M72" s="191"/>
      <c r="N72" s="204">
        <f>IF('_Datos'!$C72,'_Datos'!$BA72,"")</f>
      </c>
    </row>
    <row r="73">
      <c r="B73" s="204">
        <f>IF('_Datos'!$C73,'_Datos'!$O73,"")</f>
      </c>
      <c r="C73" s="205">
        <f>IF('_Datos'!$C73,'_Datos'!$F73,IF('_Datos'!$B73,'Proyecto Datos (OKR´s)'!$G73,""))</f>
      </c>
      <c r="D73" s="204">
        <f>IF('_Datos'!$C73,'_Datos'!$AO73,"")</f>
      </c>
      <c r="E73" s="206">
        <f>IF('_Datos'!$C73,'_Datos'!$H73,"")</f>
      </c>
      <c r="F73" s="204">
        <f>IF('_Datos'!$C73,IF(ISNUMBER('_Datos'!$AR73),'_Datos'!$AR73,"(Sin fecha)"),"")</f>
      </c>
      <c r="G73" s="204"/>
      <c r="H73" s="205"/>
      <c r="I73" s="204">
        <f>IF('_Datos'!$C73,IF(ISNUMBER('_Datos'!$AV73),'_Datos'!$AV73,"(Sin fecha)"),"")</f>
      </c>
      <c r="J73" s="208">
        <f>IF('_Datos'!$C73,'_Datos'!$AX73,"")</f>
      </c>
      <c r="K73" s="205">
        <f>IF('_Datos'!$C73,IF('Proyecto Datos (OKR´s)'!$C73="","",'Proyecto Datos (OKR´s)'!$C73),"")</f>
      </c>
      <c r="L73" s="205"/>
      <c r="M73" s="191"/>
      <c r="N73" s="204">
        <f>IF('_Datos'!$C73,'_Datos'!$BA73,"")</f>
      </c>
    </row>
    <row r="74">
      <c r="B74" s="204">
        <f>IF('_Datos'!$C74,'_Datos'!$O74,"")</f>
      </c>
      <c r="C74" s="205">
        <f>IF('_Datos'!$C74,'_Datos'!$F74,IF('_Datos'!$B74,'Proyecto Datos (OKR´s)'!$G74,""))</f>
      </c>
      <c r="D74" s="204">
        <f>IF('_Datos'!$C74,'_Datos'!$AO74,"")</f>
      </c>
      <c r="E74" s="206">
        <f>IF('_Datos'!$C74,'_Datos'!$H74,"")</f>
      </c>
      <c r="F74" s="204">
        <f>IF('_Datos'!$C74,IF(ISNUMBER('_Datos'!$AR74),'_Datos'!$AR74,"(Sin fecha)"),"")</f>
      </c>
      <c r="G74" s="204"/>
      <c r="H74" s="205"/>
      <c r="I74" s="204">
        <f>IF('_Datos'!$C74,IF(ISNUMBER('_Datos'!$AV74),'_Datos'!$AV74,"(Sin fecha)"),"")</f>
      </c>
      <c r="J74" s="208">
        <f>IF('_Datos'!$C74,'_Datos'!$AX74,"")</f>
      </c>
      <c r="K74" s="205">
        <f>IF('_Datos'!$C74,IF('Proyecto Datos (OKR´s)'!$C74="","",'Proyecto Datos (OKR´s)'!$C74),"")</f>
      </c>
      <c r="L74" s="205"/>
      <c r="M74" s="191"/>
      <c r="N74" s="204">
        <f>IF('_Datos'!$C74,'_Datos'!$BA74,"")</f>
      </c>
    </row>
    <row r="75">
      <c r="B75" s="204">
        <f>IF('_Datos'!$C75,'_Datos'!$O75,"")</f>
      </c>
      <c r="C75" s="205">
        <f>IF('_Datos'!$C75,'_Datos'!$F75,IF('_Datos'!$B75,'Proyecto Datos (OKR´s)'!$G75,""))</f>
      </c>
      <c r="D75" s="204">
        <f>IF('_Datos'!$C75,'_Datos'!$AO75,"")</f>
      </c>
      <c r="E75" s="206">
        <f>IF('_Datos'!$C75,'_Datos'!$H75,"")</f>
      </c>
      <c r="F75" s="204">
        <f>IF('_Datos'!$C75,IF(ISNUMBER('_Datos'!$AR75),'_Datos'!$AR75,"(Sin fecha)"),"")</f>
      </c>
      <c r="G75" s="204"/>
      <c r="H75" s="205"/>
      <c r="I75" s="204">
        <f>IF('_Datos'!$C75,IF(ISNUMBER('_Datos'!$AV75),'_Datos'!$AV75,"(Sin fecha)"),"")</f>
      </c>
      <c r="J75" s="208">
        <f>IF('_Datos'!$C75,'_Datos'!$AX75,"")</f>
      </c>
      <c r="K75" s="205">
        <f>IF('_Datos'!$C75,IF('Proyecto Datos (OKR´s)'!$C75="","",'Proyecto Datos (OKR´s)'!$C75),"")</f>
      </c>
      <c r="L75" s="205"/>
      <c r="M75" s="191"/>
      <c r="N75" s="204">
        <f>IF('_Datos'!$C75,'_Datos'!$BA75,"")</f>
      </c>
    </row>
    <row r="76">
      <c r="B76" s="204">
        <f>IF('_Datos'!$C76,'_Datos'!$O76,"")</f>
      </c>
      <c r="C76" s="205">
        <f>IF('_Datos'!$C76,'_Datos'!$F76,IF('_Datos'!$B76,'Proyecto Datos (OKR´s)'!$G76,""))</f>
      </c>
      <c r="D76" s="204">
        <f>IF('_Datos'!$C76,'_Datos'!$AO76,"")</f>
      </c>
      <c r="E76" s="206">
        <f>IF('_Datos'!$C76,'_Datos'!$H76,"")</f>
      </c>
      <c r="F76" s="204">
        <f>IF('_Datos'!$C76,IF(ISNUMBER('_Datos'!$AR76),'_Datos'!$AR76,"(Sin fecha)"),"")</f>
      </c>
      <c r="G76" s="204"/>
      <c r="H76" s="205"/>
      <c r="I76" s="204">
        <f>IF('_Datos'!$C76,IF(ISNUMBER('_Datos'!$AV76),'_Datos'!$AV76,"(Sin fecha)"),"")</f>
      </c>
      <c r="J76" s="208">
        <f>IF('_Datos'!$C76,'_Datos'!$AX76,"")</f>
      </c>
      <c r="K76" s="205">
        <f>IF('_Datos'!$C76,IF('Proyecto Datos (OKR´s)'!$C76="","",'Proyecto Datos (OKR´s)'!$C76),"")</f>
      </c>
      <c r="L76" s="205"/>
      <c r="M76" s="191"/>
      <c r="N76" s="204">
        <f>IF('_Datos'!$C76,'_Datos'!$BA76,"")</f>
      </c>
    </row>
    <row r="77">
      <c r="B77" s="204">
        <f>IF('_Datos'!$C77,'_Datos'!$O77,"")</f>
      </c>
      <c r="C77" s="205">
        <f>IF('_Datos'!$C77,'_Datos'!$F77,IF('_Datos'!$B77,'Proyecto Datos (OKR´s)'!$G77,""))</f>
      </c>
      <c r="D77" s="204">
        <f>IF('_Datos'!$C77,'_Datos'!$AO77,"")</f>
      </c>
      <c r="E77" s="206">
        <f>IF('_Datos'!$C77,'_Datos'!$H77,"")</f>
      </c>
      <c r="F77" s="204">
        <f>IF('_Datos'!$C77,IF(ISNUMBER('_Datos'!$AR77),'_Datos'!$AR77,"(Sin fecha)"),"")</f>
      </c>
      <c r="G77" s="204"/>
      <c r="H77" s="205"/>
      <c r="I77" s="204">
        <f>IF('_Datos'!$C77,IF(ISNUMBER('_Datos'!$AV77),'_Datos'!$AV77,"(Sin fecha)"),"")</f>
      </c>
      <c r="J77" s="208">
        <f>IF('_Datos'!$C77,'_Datos'!$AX77,"")</f>
      </c>
      <c r="K77" s="205">
        <f>IF('_Datos'!$C77,IF('Proyecto Datos (OKR´s)'!$C77="","",'Proyecto Datos (OKR´s)'!$C77),"")</f>
      </c>
      <c r="L77" s="205"/>
      <c r="M77" s="191"/>
      <c r="N77" s="204">
        <f>IF('_Datos'!$C77,'_Datos'!$BA77,"")</f>
      </c>
    </row>
    <row r="78">
      <c r="B78" s="204">
        <f>IF('_Datos'!$C78,'_Datos'!$O78,"")</f>
      </c>
      <c r="C78" s="205">
        <f>IF('_Datos'!$C78,'_Datos'!$F78,IF('_Datos'!$B78,'Proyecto Datos (OKR´s)'!$G78,""))</f>
      </c>
      <c r="D78" s="204">
        <f>IF('_Datos'!$C78,'_Datos'!$AO78,"")</f>
      </c>
      <c r="E78" s="206">
        <f>IF('_Datos'!$C78,'_Datos'!$H78,"")</f>
      </c>
      <c r="F78" s="204">
        <f>IF('_Datos'!$C78,IF(ISNUMBER('_Datos'!$AR78),'_Datos'!$AR78,"(Sin fecha)"),"")</f>
      </c>
      <c r="G78" s="204"/>
      <c r="H78" s="205"/>
      <c r="I78" s="204">
        <f>IF('_Datos'!$C78,IF(ISNUMBER('_Datos'!$AV78),'_Datos'!$AV78,"(Sin fecha)"),"")</f>
      </c>
      <c r="J78" s="208">
        <f>IF('_Datos'!$C78,'_Datos'!$AX78,"")</f>
      </c>
      <c r="K78" s="205">
        <f>IF('_Datos'!$C78,IF('Proyecto Datos (OKR´s)'!$C78="","",'Proyecto Datos (OKR´s)'!$C78),"")</f>
      </c>
      <c r="L78" s="205"/>
      <c r="M78" s="191"/>
      <c r="N78" s="204">
        <f>IF('_Datos'!$C78,'_Datos'!$BA78,"")</f>
      </c>
    </row>
    <row r="79">
      <c r="B79" s="204">
        <f>IF('_Datos'!$C79,'_Datos'!$O79,"")</f>
      </c>
      <c r="C79" s="205">
        <f>IF('_Datos'!$C79,'_Datos'!$F79,IF('_Datos'!$B79,'Proyecto Datos (OKR´s)'!$G79,""))</f>
      </c>
      <c r="D79" s="204">
        <f>IF('_Datos'!$C79,'_Datos'!$AO79,"")</f>
      </c>
      <c r="E79" s="206">
        <f>IF('_Datos'!$C79,'_Datos'!$H79,"")</f>
      </c>
      <c r="F79" s="204">
        <f>IF('_Datos'!$C79,IF(ISNUMBER('_Datos'!$AR79),'_Datos'!$AR79,"(Sin fecha)"),"")</f>
      </c>
      <c r="G79" s="204"/>
      <c r="H79" s="205"/>
      <c r="I79" s="204">
        <f>IF('_Datos'!$C79,IF(ISNUMBER('_Datos'!$AV79),'_Datos'!$AV79,"(Sin fecha)"),"")</f>
      </c>
      <c r="J79" s="208">
        <f>IF('_Datos'!$C79,'_Datos'!$AX79,"")</f>
      </c>
      <c r="K79" s="205">
        <f>IF('_Datos'!$C79,IF('Proyecto Datos (OKR´s)'!$C79="","",'Proyecto Datos (OKR´s)'!$C79),"")</f>
      </c>
      <c r="L79" s="205"/>
      <c r="M79" s="191"/>
      <c r="N79" s="204">
        <f>IF('_Datos'!$C79,'_Datos'!$BA79,"")</f>
      </c>
    </row>
    <row r="80">
      <c r="B80" s="204">
        <f>IF('_Datos'!$C80,'_Datos'!$O80,"")</f>
      </c>
      <c r="C80" s="205">
        <f>IF('_Datos'!$C80,'_Datos'!$F80,IF('_Datos'!$B80,'Proyecto Datos (OKR´s)'!$G80,""))</f>
      </c>
      <c r="D80" s="204">
        <f>IF('_Datos'!$C80,'_Datos'!$AO80,"")</f>
      </c>
      <c r="E80" s="206">
        <f>IF('_Datos'!$C80,'_Datos'!$H80,"")</f>
      </c>
      <c r="F80" s="204">
        <f>IF('_Datos'!$C80,IF(ISNUMBER('_Datos'!$AR80),'_Datos'!$AR80,"(Sin fecha)"),"")</f>
      </c>
      <c r="G80" s="204"/>
      <c r="H80" s="205"/>
      <c r="I80" s="204">
        <f>IF('_Datos'!$C80,IF(ISNUMBER('_Datos'!$AV80),'_Datos'!$AV80,"(Sin fecha)"),"")</f>
      </c>
      <c r="J80" s="208">
        <f>IF('_Datos'!$C80,'_Datos'!$AX80,"")</f>
      </c>
      <c r="K80" s="205">
        <f>IF('_Datos'!$C80,IF('Proyecto Datos (OKR´s)'!$C80="","",'Proyecto Datos (OKR´s)'!$C80),"")</f>
      </c>
      <c r="L80" s="205"/>
      <c r="M80" s="191"/>
      <c r="N80" s="204">
        <f>IF('_Datos'!$C80,'_Datos'!$BA80,"")</f>
      </c>
    </row>
    <row r="81">
      <c r="B81" s="204">
        <f>IF('_Datos'!$C81,'_Datos'!$O81,"")</f>
      </c>
      <c r="C81" s="205">
        <f>IF('_Datos'!$C81,'_Datos'!$F81,IF('_Datos'!$B81,'Proyecto Datos (OKR´s)'!$G81,""))</f>
      </c>
      <c r="D81" s="204">
        <f>IF('_Datos'!$C81,'_Datos'!$AO81,"")</f>
      </c>
      <c r="E81" s="206">
        <f>IF('_Datos'!$C81,'_Datos'!$H81,"")</f>
      </c>
      <c r="F81" s="204">
        <f>IF('_Datos'!$C81,IF(ISNUMBER('_Datos'!$AR81),'_Datos'!$AR81,"(Sin fecha)"),"")</f>
      </c>
      <c r="G81" s="204"/>
      <c r="H81" s="205"/>
      <c r="I81" s="204">
        <f>IF('_Datos'!$C81,IF(ISNUMBER('_Datos'!$AV81),'_Datos'!$AV81,"(Sin fecha)"),"")</f>
      </c>
      <c r="J81" s="208">
        <f>IF('_Datos'!$C81,'_Datos'!$AX81,"")</f>
      </c>
      <c r="K81" s="205">
        <f>IF('_Datos'!$C81,IF('Proyecto Datos (OKR´s)'!$C81="","",'Proyecto Datos (OKR´s)'!$C81),"")</f>
      </c>
      <c r="L81" s="205"/>
      <c r="M81" s="191"/>
      <c r="N81" s="204">
        <f>IF('_Datos'!$C81,'_Datos'!$BA81,"")</f>
      </c>
    </row>
    <row r="82">
      <c r="B82" s="204">
        <f>IF('_Datos'!$C82,'_Datos'!$O82,"")</f>
      </c>
      <c r="C82" s="205">
        <f>IF('_Datos'!$C82,'_Datos'!$F82,IF('_Datos'!$B82,'Proyecto Datos (OKR´s)'!$G82,""))</f>
      </c>
      <c r="D82" s="204">
        <f>IF('_Datos'!$C82,'_Datos'!$AO82,"")</f>
      </c>
      <c r="E82" s="206">
        <f>IF('_Datos'!$C82,'_Datos'!$H82,"")</f>
      </c>
      <c r="F82" s="204">
        <f>IF('_Datos'!$C82,IF(ISNUMBER('_Datos'!$AR82),'_Datos'!$AR82,"(Sin fecha)"),"")</f>
      </c>
      <c r="G82" s="204"/>
      <c r="H82" s="205"/>
      <c r="I82" s="204">
        <f>IF('_Datos'!$C82,IF(ISNUMBER('_Datos'!$AV82),'_Datos'!$AV82,"(Sin fecha)"),"")</f>
      </c>
      <c r="J82" s="208">
        <f>IF('_Datos'!$C82,'_Datos'!$AX82,"")</f>
      </c>
      <c r="K82" s="205">
        <f>IF('_Datos'!$C82,IF('Proyecto Datos (OKR´s)'!$C82="","",'Proyecto Datos (OKR´s)'!$C82),"")</f>
      </c>
      <c r="L82" s="205"/>
      <c r="M82" s="191"/>
      <c r="N82" s="204">
        <f>IF('_Datos'!$C82,'_Datos'!$BA82,"")</f>
      </c>
    </row>
    <row r="83">
      <c r="B83" s="204">
        <f>IF('_Datos'!$C83,'_Datos'!$O83,"")</f>
      </c>
      <c r="C83" s="205">
        <f>IF('_Datos'!$C83,'_Datos'!$F83,IF('_Datos'!$B83,'Proyecto Datos (OKR´s)'!$G83,""))</f>
      </c>
      <c r="D83" s="204">
        <f>IF('_Datos'!$C83,'_Datos'!$AO83,"")</f>
      </c>
      <c r="E83" s="206">
        <f>IF('_Datos'!$C83,'_Datos'!$H83,"")</f>
      </c>
      <c r="F83" s="204">
        <f>IF('_Datos'!$C83,IF(ISNUMBER('_Datos'!$AR83),'_Datos'!$AR83,"(Sin fecha)"),"")</f>
      </c>
      <c r="G83" s="204"/>
      <c r="H83" s="205"/>
      <c r="I83" s="204">
        <f>IF('_Datos'!$C83,IF(ISNUMBER('_Datos'!$AV83),'_Datos'!$AV83,"(Sin fecha)"),"")</f>
      </c>
      <c r="J83" s="208">
        <f>IF('_Datos'!$C83,'_Datos'!$AX83,"")</f>
      </c>
      <c r="K83" s="205">
        <f>IF('_Datos'!$C83,IF('Proyecto Datos (OKR´s)'!$C83="","",'Proyecto Datos (OKR´s)'!$C83),"")</f>
      </c>
      <c r="L83" s="205"/>
      <c r="M83" s="191"/>
      <c r="N83" s="204">
        <f>IF('_Datos'!$C83,'_Datos'!$BA83,"")</f>
      </c>
    </row>
    <row r="84">
      <c r="B84" s="204">
        <f>IF('_Datos'!$C84,'_Datos'!$O84,"")</f>
      </c>
      <c r="C84" s="205">
        <f>IF('_Datos'!$C84,'_Datos'!$F84,IF('_Datos'!$B84,'Proyecto Datos (OKR´s)'!$G84,""))</f>
      </c>
      <c r="D84" s="204">
        <f>IF('_Datos'!$C84,'_Datos'!$AO84,"")</f>
      </c>
      <c r="E84" s="206">
        <f>IF('_Datos'!$C84,'_Datos'!$H84,"")</f>
      </c>
      <c r="F84" s="204">
        <f>IF('_Datos'!$C84,IF(ISNUMBER('_Datos'!$AR84),'_Datos'!$AR84,"(Sin fecha)"),"")</f>
      </c>
      <c r="G84" s="204"/>
      <c r="H84" s="205"/>
      <c r="I84" s="204">
        <f>IF('_Datos'!$C84,IF(ISNUMBER('_Datos'!$AV84),'_Datos'!$AV84,"(Sin fecha)"),"")</f>
      </c>
      <c r="J84" s="208">
        <f>IF('_Datos'!$C84,'_Datos'!$AX84,"")</f>
      </c>
      <c r="K84" s="205">
        <f>IF('_Datos'!$C84,IF('Proyecto Datos (OKR´s)'!$C84="","",'Proyecto Datos (OKR´s)'!$C84),"")</f>
      </c>
      <c r="L84" s="205"/>
      <c r="M84" s="191"/>
      <c r="N84" s="204">
        <f>IF('_Datos'!$C84,'_Datos'!$BA84,"")</f>
      </c>
    </row>
    <row r="85">
      <c r="B85" s="204">
        <f>IF('_Datos'!$C85,'_Datos'!$O85,"")</f>
      </c>
      <c r="C85" s="205">
        <f>IF('_Datos'!$C85,'_Datos'!$F85,IF('_Datos'!$B85,'Proyecto Datos (OKR´s)'!$G85,""))</f>
      </c>
      <c r="D85" s="204">
        <f>IF('_Datos'!$C85,'_Datos'!$AO85,"")</f>
      </c>
      <c r="E85" s="206">
        <f>IF('_Datos'!$C85,'_Datos'!$H85,"")</f>
      </c>
      <c r="F85" s="204">
        <f>IF('_Datos'!$C85,IF(ISNUMBER('_Datos'!$AR85),'_Datos'!$AR85,"(Sin fecha)"),"")</f>
      </c>
      <c r="G85" s="204"/>
      <c r="H85" s="205"/>
      <c r="I85" s="204">
        <f>IF('_Datos'!$C85,IF(ISNUMBER('_Datos'!$AV85),'_Datos'!$AV85,"(Sin fecha)"),"")</f>
      </c>
      <c r="J85" s="208">
        <f>IF('_Datos'!$C85,'_Datos'!$AX85,"")</f>
      </c>
      <c r="K85" s="205">
        <f>IF('_Datos'!$C85,IF('Proyecto Datos (OKR´s)'!$C85="","",'Proyecto Datos (OKR´s)'!$C85),"")</f>
      </c>
      <c r="L85" s="205"/>
      <c r="M85" s="191"/>
      <c r="N85" s="204">
        <f>IF('_Datos'!$C85,'_Datos'!$BA85,"")</f>
      </c>
    </row>
    <row r="86">
      <c r="B86" s="204">
        <f>IF('_Datos'!$C86,'_Datos'!$O86,"")</f>
      </c>
      <c r="C86" s="205">
        <f>IF('_Datos'!$C86,'_Datos'!$F86,IF('_Datos'!$B86,'Proyecto Datos (OKR´s)'!$G86,""))</f>
      </c>
      <c r="D86" s="204">
        <f>IF('_Datos'!$C86,'_Datos'!$AO86,"")</f>
      </c>
      <c r="E86" s="206">
        <f>IF('_Datos'!$C86,'_Datos'!$H86,"")</f>
      </c>
      <c r="F86" s="204">
        <f>IF('_Datos'!$C86,IF(ISNUMBER('_Datos'!$AR86),'_Datos'!$AR86,"(Sin fecha)"),"")</f>
      </c>
      <c r="G86" s="204"/>
      <c r="H86" s="205"/>
      <c r="I86" s="204">
        <f>IF('_Datos'!$C86,IF(ISNUMBER('_Datos'!$AV86),'_Datos'!$AV86,"(Sin fecha)"),"")</f>
      </c>
      <c r="J86" s="208">
        <f>IF('_Datos'!$C86,'_Datos'!$AX86,"")</f>
      </c>
      <c r="K86" s="205">
        <f>IF('_Datos'!$C86,IF('Proyecto Datos (OKR´s)'!$C86="","",'Proyecto Datos (OKR´s)'!$C86),"")</f>
      </c>
      <c r="L86" s="205"/>
      <c r="M86" s="191"/>
      <c r="N86" s="204">
        <f>IF('_Datos'!$C86,'_Datos'!$BA86,"")</f>
      </c>
    </row>
    <row r="87">
      <c r="B87" s="204">
        <f>IF('_Datos'!$C87,'_Datos'!$O87,"")</f>
      </c>
      <c r="C87" s="205">
        <f>IF('_Datos'!$C87,'_Datos'!$F87,IF('_Datos'!$B87,'Proyecto Datos (OKR´s)'!$G87,""))</f>
      </c>
      <c r="D87" s="204">
        <f>IF('_Datos'!$C87,'_Datos'!$AO87,"")</f>
      </c>
      <c r="E87" s="206">
        <f>IF('_Datos'!$C87,'_Datos'!$H87,"")</f>
      </c>
      <c r="F87" s="204">
        <f>IF('_Datos'!$C87,IF(ISNUMBER('_Datos'!$AR87),'_Datos'!$AR87,"(Sin fecha)"),"")</f>
      </c>
      <c r="G87" s="204"/>
      <c r="H87" s="205"/>
      <c r="I87" s="204">
        <f>IF('_Datos'!$C87,IF(ISNUMBER('_Datos'!$AV87),'_Datos'!$AV87,"(Sin fecha)"),"")</f>
      </c>
      <c r="J87" s="208">
        <f>IF('_Datos'!$C87,'_Datos'!$AX87,"")</f>
      </c>
      <c r="K87" s="205">
        <f>IF('_Datos'!$C87,IF('Proyecto Datos (OKR´s)'!$C87="","",'Proyecto Datos (OKR´s)'!$C87),"")</f>
      </c>
      <c r="L87" s="205"/>
      <c r="M87" s="191"/>
      <c r="N87" s="204">
        <f>IF('_Datos'!$C87,'_Datos'!$BA87,"")</f>
      </c>
    </row>
    <row r="88">
      <c r="B88" s="204">
        <f>IF('_Datos'!$C88,'_Datos'!$O88,"")</f>
      </c>
      <c r="C88" s="205">
        <f>IF('_Datos'!$C88,'_Datos'!$F88,IF('_Datos'!$B88,'Proyecto Datos (OKR´s)'!$G88,""))</f>
      </c>
      <c r="D88" s="204">
        <f>IF('_Datos'!$C88,'_Datos'!$AO88,"")</f>
      </c>
      <c r="E88" s="206">
        <f>IF('_Datos'!$C88,'_Datos'!$H88,"")</f>
      </c>
      <c r="F88" s="204">
        <f>IF('_Datos'!$C88,IF(ISNUMBER('_Datos'!$AR88),'_Datos'!$AR88,"(Sin fecha)"),"")</f>
      </c>
      <c r="G88" s="204"/>
      <c r="H88" s="205"/>
      <c r="I88" s="204">
        <f>IF('_Datos'!$C88,IF(ISNUMBER('_Datos'!$AV88),'_Datos'!$AV88,"(Sin fecha)"),"")</f>
      </c>
      <c r="J88" s="208">
        <f>IF('_Datos'!$C88,'_Datos'!$AX88,"")</f>
      </c>
      <c r="K88" s="205">
        <f>IF('_Datos'!$C88,IF('Proyecto Datos (OKR´s)'!$C88="","",'Proyecto Datos (OKR´s)'!$C88),"")</f>
      </c>
      <c r="L88" s="205"/>
      <c r="M88" s="191"/>
      <c r="N88" s="204">
        <f>IF('_Datos'!$C88,'_Datos'!$BA88,"")</f>
      </c>
    </row>
    <row r="89">
      <c r="B89" s="204">
        <f>IF('_Datos'!$C89,'_Datos'!$O89,"")</f>
      </c>
      <c r="C89" s="205">
        <f>IF('_Datos'!$C89,'_Datos'!$F89,IF('_Datos'!$B89,'Proyecto Datos (OKR´s)'!$G89,""))</f>
      </c>
      <c r="D89" s="204">
        <f>IF('_Datos'!$C89,'_Datos'!$AO89,"")</f>
      </c>
      <c r="E89" s="206">
        <f>IF('_Datos'!$C89,'_Datos'!$H89,"")</f>
      </c>
      <c r="F89" s="204">
        <f>IF('_Datos'!$C89,IF(ISNUMBER('_Datos'!$AR89),'_Datos'!$AR89,"(Sin fecha)"),"")</f>
      </c>
      <c r="G89" s="204"/>
      <c r="H89" s="205"/>
      <c r="I89" s="204">
        <f>IF('_Datos'!$C89,IF(ISNUMBER('_Datos'!$AV89),'_Datos'!$AV89,"(Sin fecha)"),"")</f>
      </c>
      <c r="J89" s="208">
        <f>IF('_Datos'!$C89,'_Datos'!$AX89,"")</f>
      </c>
      <c r="K89" s="205">
        <f>IF('_Datos'!$C89,IF('Proyecto Datos (OKR´s)'!$C89="","",'Proyecto Datos (OKR´s)'!$C89),"")</f>
      </c>
      <c r="L89" s="205"/>
      <c r="M89" s="191"/>
      <c r="N89" s="204">
        <f>IF('_Datos'!$C89,'_Datos'!$BA89,"")</f>
      </c>
    </row>
    <row r="90">
      <c r="B90" s="204">
        <f>IF('_Datos'!$C90,'_Datos'!$O90,"")</f>
      </c>
      <c r="C90" s="205">
        <f>IF('_Datos'!$C90,'_Datos'!$F90,IF('_Datos'!$B90,'Proyecto Datos (OKR´s)'!$G90,""))</f>
      </c>
      <c r="D90" s="204">
        <f>IF('_Datos'!$C90,'_Datos'!$AO90,"")</f>
      </c>
      <c r="E90" s="206">
        <f>IF('_Datos'!$C90,'_Datos'!$H90,"")</f>
      </c>
      <c r="F90" s="204">
        <f>IF('_Datos'!$C90,IF(ISNUMBER('_Datos'!$AR90),'_Datos'!$AR90,"(Sin fecha)"),"")</f>
      </c>
      <c r="G90" s="204"/>
      <c r="H90" s="205"/>
      <c r="I90" s="204">
        <f>IF('_Datos'!$C90,IF(ISNUMBER('_Datos'!$AV90),'_Datos'!$AV90,"(Sin fecha)"),"")</f>
      </c>
      <c r="J90" s="208">
        <f>IF('_Datos'!$C90,'_Datos'!$AX90,"")</f>
      </c>
      <c r="K90" s="205">
        <f>IF('_Datos'!$C90,IF('Proyecto Datos (OKR´s)'!$C90="","",'Proyecto Datos (OKR´s)'!$C90),"")</f>
      </c>
      <c r="L90" s="205"/>
      <c r="M90" s="191"/>
      <c r="N90" s="204">
        <f>IF('_Datos'!$C90,'_Datos'!$BA90,"")</f>
      </c>
    </row>
    <row r="91">
      <c r="B91" s="204">
        <f>IF('_Datos'!$C91,'_Datos'!$O91,"")</f>
      </c>
      <c r="C91" s="205">
        <f>IF('_Datos'!$C91,'_Datos'!$F91,IF('_Datos'!$B91,'Proyecto Datos (OKR´s)'!$G91,""))</f>
      </c>
      <c r="D91" s="204">
        <f>IF('_Datos'!$C91,'_Datos'!$AO91,"")</f>
      </c>
      <c r="E91" s="206">
        <f>IF('_Datos'!$C91,'_Datos'!$H91,"")</f>
      </c>
      <c r="F91" s="204">
        <f>IF('_Datos'!$C91,IF(ISNUMBER('_Datos'!$AR91),'_Datos'!$AR91,"(Sin fecha)"),"")</f>
      </c>
      <c r="G91" s="204"/>
      <c r="H91" s="205"/>
      <c r="I91" s="204">
        <f>IF('_Datos'!$C91,IF(ISNUMBER('_Datos'!$AV91),'_Datos'!$AV91,"(Sin fecha)"),"")</f>
      </c>
      <c r="J91" s="208">
        <f>IF('_Datos'!$C91,'_Datos'!$AX91,"")</f>
      </c>
      <c r="K91" s="205">
        <f>IF('_Datos'!$C91,IF('Proyecto Datos (OKR´s)'!$C91="","",'Proyecto Datos (OKR´s)'!$C91),"")</f>
      </c>
      <c r="L91" s="205"/>
      <c r="M91" s="191"/>
      <c r="N91" s="204">
        <f>IF('_Datos'!$C91,'_Datos'!$BA91,"")</f>
      </c>
    </row>
    <row r="92">
      <c r="B92" s="204">
        <f>IF('_Datos'!$C92,'_Datos'!$O92,"")</f>
      </c>
      <c r="C92" s="205">
        <f>IF('_Datos'!$C92,'_Datos'!$F92,IF('_Datos'!$B92,'Proyecto Datos (OKR´s)'!$G92,""))</f>
      </c>
      <c r="D92" s="204">
        <f>IF('_Datos'!$C92,'_Datos'!$AO92,"")</f>
      </c>
      <c r="E92" s="206">
        <f>IF('_Datos'!$C92,'_Datos'!$H92,"")</f>
      </c>
      <c r="F92" s="204">
        <f>IF('_Datos'!$C92,IF(ISNUMBER('_Datos'!$AR92),'_Datos'!$AR92,"(Sin fecha)"),"")</f>
      </c>
      <c r="G92" s="204"/>
      <c r="H92" s="205"/>
      <c r="I92" s="204">
        <f>IF('_Datos'!$C92,IF(ISNUMBER('_Datos'!$AV92),'_Datos'!$AV92,"(Sin fecha)"),"")</f>
      </c>
      <c r="J92" s="208">
        <f>IF('_Datos'!$C92,'_Datos'!$AX92,"")</f>
      </c>
      <c r="K92" s="205">
        <f>IF('_Datos'!$C92,IF('Proyecto Datos (OKR´s)'!$C92="","",'Proyecto Datos (OKR´s)'!$C92),"")</f>
      </c>
      <c r="L92" s="205"/>
      <c r="M92" s="191"/>
      <c r="N92" s="204">
        <f>IF('_Datos'!$C92,'_Datos'!$BA92,"")</f>
      </c>
    </row>
    <row r="93">
      <c r="B93" s="204">
        <f>IF('_Datos'!$C93,'_Datos'!$O93,"")</f>
      </c>
      <c r="C93" s="205">
        <f>IF('_Datos'!$C93,'_Datos'!$F93,IF('_Datos'!$B93,'Proyecto Datos (OKR´s)'!$G93,""))</f>
      </c>
      <c r="D93" s="204">
        <f>IF('_Datos'!$C93,'_Datos'!$AO93,"")</f>
      </c>
      <c r="E93" s="206">
        <f>IF('_Datos'!$C93,'_Datos'!$H93,"")</f>
      </c>
      <c r="F93" s="204">
        <f>IF('_Datos'!$C93,IF(ISNUMBER('_Datos'!$AR93),'_Datos'!$AR93,"(Sin fecha)"),"")</f>
      </c>
      <c r="G93" s="204"/>
      <c r="H93" s="205"/>
      <c r="I93" s="204">
        <f>IF('_Datos'!$C93,IF(ISNUMBER('_Datos'!$AV93),'_Datos'!$AV93,"(Sin fecha)"),"")</f>
      </c>
      <c r="J93" s="208">
        <f>IF('_Datos'!$C93,'_Datos'!$AX93,"")</f>
      </c>
      <c r="K93" s="205">
        <f>IF('_Datos'!$C93,IF('Proyecto Datos (OKR´s)'!$C93="","",'Proyecto Datos (OKR´s)'!$C93),"")</f>
      </c>
      <c r="L93" s="205"/>
      <c r="M93" s="191"/>
      <c r="N93" s="204">
        <f>IF('_Datos'!$C93,'_Datos'!$BA93,"")</f>
      </c>
    </row>
    <row r="94">
      <c r="B94" s="204">
        <f>IF('_Datos'!$C94,'_Datos'!$O94,"")</f>
      </c>
      <c r="C94" s="205">
        <f>IF('_Datos'!$C94,'_Datos'!$F94,IF('_Datos'!$B94,'Proyecto Datos (OKR´s)'!$G94,""))</f>
      </c>
      <c r="D94" s="204">
        <f>IF('_Datos'!$C94,'_Datos'!$AO94,"")</f>
      </c>
      <c r="E94" s="206">
        <f>IF('_Datos'!$C94,'_Datos'!$H94,"")</f>
      </c>
      <c r="F94" s="204">
        <f>IF('_Datos'!$C94,IF(ISNUMBER('_Datos'!$AR94),'_Datos'!$AR94,"(Sin fecha)"),"")</f>
      </c>
      <c r="G94" s="204"/>
      <c r="H94" s="205"/>
      <c r="I94" s="204">
        <f>IF('_Datos'!$C94,IF(ISNUMBER('_Datos'!$AV94),'_Datos'!$AV94,"(Sin fecha)"),"")</f>
      </c>
      <c r="J94" s="208">
        <f>IF('_Datos'!$C94,'_Datos'!$AX94,"")</f>
      </c>
      <c r="K94" s="205">
        <f>IF('_Datos'!$C94,IF('Proyecto Datos (OKR´s)'!$C94="","",'Proyecto Datos (OKR´s)'!$C94),"")</f>
      </c>
      <c r="L94" s="205"/>
      <c r="M94" s="191"/>
      <c r="N94" s="204">
        <f>IF('_Datos'!$C94,'_Datos'!$BA94,"")</f>
      </c>
    </row>
    <row r="95">
      <c r="B95" s="204">
        <f>IF('_Datos'!$C95,'_Datos'!$O95,"")</f>
      </c>
      <c r="C95" s="205">
        <f>IF('_Datos'!$C95,'_Datos'!$F95,IF('_Datos'!$B95,'Proyecto Datos (OKR´s)'!$G95,""))</f>
      </c>
      <c r="D95" s="204">
        <f>IF('_Datos'!$C95,'_Datos'!$AO95,"")</f>
      </c>
      <c r="E95" s="206">
        <f>IF('_Datos'!$C95,'_Datos'!$H95,"")</f>
      </c>
      <c r="F95" s="204">
        <f>IF('_Datos'!$C95,IF(ISNUMBER('_Datos'!$AR95),'_Datos'!$AR95,"(Sin fecha)"),"")</f>
      </c>
      <c r="G95" s="204"/>
      <c r="H95" s="205"/>
      <c r="I95" s="204">
        <f>IF('_Datos'!$C95,IF(ISNUMBER('_Datos'!$AV95),'_Datos'!$AV95,"(Sin fecha)"),"")</f>
      </c>
      <c r="J95" s="208">
        <f>IF('_Datos'!$C95,'_Datos'!$AX95,"")</f>
      </c>
      <c r="K95" s="205">
        <f>IF('_Datos'!$C95,IF('Proyecto Datos (OKR´s)'!$C95="","",'Proyecto Datos (OKR´s)'!$C95),"")</f>
      </c>
      <c r="L95" s="205"/>
      <c r="M95" s="191"/>
      <c r="N95" s="204">
        <f>IF('_Datos'!$C95,'_Datos'!$BA95,"")</f>
      </c>
    </row>
    <row r="96">
      <c r="B96" s="204">
        <f>IF('_Datos'!$C96,'_Datos'!$O96,"")</f>
      </c>
      <c r="C96" s="205">
        <f>IF('_Datos'!$C96,'_Datos'!$F96,IF('_Datos'!$B96,'Proyecto Datos (OKR´s)'!$G96,""))</f>
      </c>
      <c r="D96" s="204">
        <f>IF('_Datos'!$C96,'_Datos'!$AO96,"")</f>
      </c>
      <c r="E96" s="206">
        <f>IF('_Datos'!$C96,'_Datos'!$H96,"")</f>
      </c>
      <c r="F96" s="204">
        <f>IF('_Datos'!$C96,IF(ISNUMBER('_Datos'!$AR96),'_Datos'!$AR96,"(Sin fecha)"),"")</f>
      </c>
      <c r="G96" s="204"/>
      <c r="H96" s="205"/>
      <c r="I96" s="204">
        <f>IF('_Datos'!$C96,IF(ISNUMBER('_Datos'!$AV96),'_Datos'!$AV96,"(Sin fecha)"),"")</f>
      </c>
      <c r="J96" s="208">
        <f>IF('_Datos'!$C96,'_Datos'!$AX96,"")</f>
      </c>
      <c r="K96" s="205">
        <f>IF('_Datos'!$C96,IF('Proyecto Datos (OKR´s)'!$C96="","",'Proyecto Datos (OKR´s)'!$C96),"")</f>
      </c>
      <c r="L96" s="205"/>
      <c r="M96" s="191"/>
      <c r="N96" s="204">
        <f>IF('_Datos'!$C96,'_Datos'!$BA96,"")</f>
      </c>
    </row>
    <row r="97">
      <c r="B97" s="204">
        <f>IF('_Datos'!$C97,'_Datos'!$O97,"")</f>
      </c>
      <c r="C97" s="205">
        <f>IF('_Datos'!$C97,'_Datos'!$F97,IF('_Datos'!$B97,'Proyecto Datos (OKR´s)'!$G97,""))</f>
      </c>
      <c r="D97" s="204">
        <f>IF('_Datos'!$C97,'_Datos'!$AO97,"")</f>
      </c>
      <c r="E97" s="206">
        <f>IF('_Datos'!$C97,'_Datos'!$H97,"")</f>
      </c>
      <c r="F97" s="204">
        <f>IF('_Datos'!$C97,IF(ISNUMBER('_Datos'!$AR97),'_Datos'!$AR97,"(Sin fecha)"),"")</f>
      </c>
      <c r="G97" s="204"/>
      <c r="H97" s="205"/>
      <c r="I97" s="204">
        <f>IF('_Datos'!$C97,IF(ISNUMBER('_Datos'!$AV97),'_Datos'!$AV97,"(Sin fecha)"),"")</f>
      </c>
      <c r="J97" s="208">
        <f>IF('_Datos'!$C97,'_Datos'!$AX97,"")</f>
      </c>
      <c r="K97" s="205">
        <f>IF('_Datos'!$C97,IF('Proyecto Datos (OKR´s)'!$C97="","",'Proyecto Datos (OKR´s)'!$C97),"")</f>
      </c>
      <c r="L97" s="205"/>
      <c r="M97" s="191"/>
      <c r="N97" s="204">
        <f>IF('_Datos'!$C97,'_Datos'!$BA97,"")</f>
      </c>
    </row>
    <row r="98">
      <c r="B98" s="204">
        <f>IF('_Datos'!$C98,'_Datos'!$O98,"")</f>
      </c>
      <c r="C98" s="205">
        <f>IF('_Datos'!$C98,'_Datos'!$F98,IF('_Datos'!$B98,'Proyecto Datos (OKR´s)'!$G98,""))</f>
      </c>
      <c r="D98" s="204">
        <f>IF('_Datos'!$C98,'_Datos'!$AO98,"")</f>
      </c>
      <c r="E98" s="206">
        <f>IF('_Datos'!$C98,'_Datos'!$H98,"")</f>
      </c>
      <c r="F98" s="204">
        <f>IF('_Datos'!$C98,IF(ISNUMBER('_Datos'!$AR98),'_Datos'!$AR98,"(Sin fecha)"),"")</f>
      </c>
      <c r="G98" s="204"/>
      <c r="H98" s="205"/>
      <c r="I98" s="204">
        <f>IF('_Datos'!$C98,IF(ISNUMBER('_Datos'!$AV98),'_Datos'!$AV98,"(Sin fecha)"),"")</f>
      </c>
      <c r="J98" s="208">
        <f>IF('_Datos'!$C98,'_Datos'!$AX98,"")</f>
      </c>
      <c r="K98" s="205">
        <f>IF('_Datos'!$C98,IF('Proyecto Datos (OKR´s)'!$C98="","",'Proyecto Datos (OKR´s)'!$C98),"")</f>
      </c>
      <c r="L98" s="205"/>
      <c r="M98" s="191"/>
      <c r="N98" s="204">
        <f>IF('_Datos'!$C98,'_Datos'!$BA98,"")</f>
      </c>
    </row>
    <row r="99">
      <c r="B99" s="204">
        <f>IF('_Datos'!$C99,'_Datos'!$O99,"")</f>
      </c>
      <c r="C99" s="205">
        <f>IF('_Datos'!$C99,'_Datos'!$F99,IF('_Datos'!$B99,'Proyecto Datos (OKR´s)'!$G99,""))</f>
      </c>
      <c r="D99" s="204">
        <f>IF('_Datos'!$C99,'_Datos'!$AO99,"")</f>
      </c>
      <c r="E99" s="206">
        <f>IF('_Datos'!$C99,'_Datos'!$H99,"")</f>
      </c>
      <c r="F99" s="204">
        <f>IF('_Datos'!$C99,IF(ISNUMBER('_Datos'!$AR99),'_Datos'!$AR99,"(Sin fecha)"),"")</f>
      </c>
      <c r="G99" s="204"/>
      <c r="H99" s="205"/>
      <c r="I99" s="204">
        <f>IF('_Datos'!$C99,IF(ISNUMBER('_Datos'!$AV99),'_Datos'!$AV99,"(Sin fecha)"),"")</f>
      </c>
      <c r="J99" s="208">
        <f>IF('_Datos'!$C99,'_Datos'!$AX99,"")</f>
      </c>
      <c r="K99" s="205">
        <f>IF('_Datos'!$C99,IF('Proyecto Datos (OKR´s)'!$C99="","",'Proyecto Datos (OKR´s)'!$C99),"")</f>
      </c>
      <c r="L99" s="205"/>
      <c r="M99" s="191"/>
      <c r="N99" s="204">
        <f>IF('_Datos'!$C99,'_Datos'!$BA99,"")</f>
      </c>
    </row>
    <row r="100">
      <c r="B100" s="204">
        <f>IF('_Datos'!$C100,'_Datos'!$O100,"")</f>
      </c>
      <c r="C100" s="205">
        <f>IF('_Datos'!$C100,'_Datos'!$F100,IF('_Datos'!$B100,'Proyecto Datos (OKR´s)'!$G100,""))</f>
      </c>
      <c r="D100" s="204">
        <f>IF('_Datos'!$C100,'_Datos'!$AO100,"")</f>
      </c>
      <c r="E100" s="206">
        <f>IF('_Datos'!$C100,'_Datos'!$H100,"")</f>
      </c>
      <c r="F100" s="204">
        <f>IF('_Datos'!$C100,IF(ISNUMBER('_Datos'!$AR100),'_Datos'!$AR100,"(Sin fecha)"),"")</f>
      </c>
      <c r="G100" s="204"/>
      <c r="H100" s="205"/>
      <c r="I100" s="204">
        <f>IF('_Datos'!$C100,IF(ISNUMBER('_Datos'!$AV100),'_Datos'!$AV100,"(Sin fecha)"),"")</f>
      </c>
      <c r="J100" s="208">
        <f>IF('_Datos'!$C100,'_Datos'!$AX100,"")</f>
      </c>
      <c r="K100" s="205">
        <f>IF('_Datos'!$C100,IF('Proyecto Datos (OKR´s)'!$C100="","",'Proyecto Datos (OKR´s)'!$C100),"")</f>
      </c>
      <c r="L100" s="205"/>
      <c r="M100" s="191"/>
      <c r="N100" s="204">
        <f>IF('_Datos'!$C100,'_Datos'!$BA100,"")</f>
      </c>
    </row>
    <row r="101">
      <c r="B101" s="204">
        <f>IF('_Datos'!$C101,'_Datos'!$O101,"")</f>
      </c>
      <c r="C101" s="205">
        <f>IF('_Datos'!$C101,'_Datos'!$F101,IF('_Datos'!$B101,'Proyecto Datos (OKR´s)'!$G101,""))</f>
      </c>
      <c r="D101" s="204">
        <f>IF('_Datos'!$C101,'_Datos'!$AO101,"")</f>
      </c>
      <c r="E101" s="206">
        <f>IF('_Datos'!$C101,'_Datos'!$H101,"")</f>
      </c>
      <c r="F101" s="204">
        <f>IF('_Datos'!$C101,IF(ISNUMBER('_Datos'!$AR101),'_Datos'!$AR101,"(Sin fecha)"),"")</f>
      </c>
      <c r="G101" s="204"/>
      <c r="H101" s="205"/>
      <c r="I101" s="204">
        <f>IF('_Datos'!$C101,IF(ISNUMBER('_Datos'!$AV101),'_Datos'!$AV101,"(Sin fecha)"),"")</f>
      </c>
      <c r="J101" s="208">
        <f>IF('_Datos'!$C101,'_Datos'!$AX101,"")</f>
      </c>
      <c r="K101" s="205">
        <f>IF('_Datos'!$C101,IF('Proyecto Datos (OKR´s)'!$C101="","",'Proyecto Datos (OKR´s)'!$C101),"")</f>
      </c>
      <c r="L101" s="205"/>
      <c r="M101" s="191"/>
      <c r="N101" s="204">
        <f>IF('_Datos'!$C101,'_Datos'!$BA101,"")</f>
      </c>
    </row>
    <row r="102">
      <c r="B102" s="204">
        <f>IF('_Datos'!$C102,'_Datos'!$O102,"")</f>
      </c>
      <c r="C102" s="205">
        <f>IF('_Datos'!$C102,'_Datos'!$F102,IF('_Datos'!$B102,'Proyecto Datos (OKR´s)'!$G102,""))</f>
      </c>
      <c r="D102" s="204">
        <f>IF('_Datos'!$C102,'_Datos'!$AO102,"")</f>
      </c>
      <c r="E102" s="206">
        <f>IF('_Datos'!$C102,'_Datos'!$H102,"")</f>
      </c>
      <c r="F102" s="204">
        <f>IF('_Datos'!$C102,IF(ISNUMBER('_Datos'!$AR102),'_Datos'!$AR102,"(Sin fecha)"),"")</f>
      </c>
      <c r="G102" s="204"/>
      <c r="H102" s="205"/>
      <c r="I102" s="204">
        <f>IF('_Datos'!$C102,IF(ISNUMBER('_Datos'!$AV102),'_Datos'!$AV102,"(Sin fecha)"),"")</f>
      </c>
      <c r="J102" s="208">
        <f>IF('_Datos'!$C102,'_Datos'!$AX102,"")</f>
      </c>
      <c r="K102" s="205">
        <f>IF('_Datos'!$C102,IF('Proyecto Datos (OKR´s)'!$C102="","",'Proyecto Datos (OKR´s)'!$C102),"")</f>
      </c>
      <c r="L102" s="205"/>
      <c r="M102" s="191"/>
      <c r="N102" s="204">
        <f>IF('_Datos'!$C102,'_Datos'!$BA102,"")</f>
      </c>
    </row>
    <row r="103">
      <c r="B103" s="204">
        <f>IF('_Datos'!$C103,'_Datos'!$O103,"")</f>
      </c>
      <c r="C103" s="205">
        <f>IF('_Datos'!$C103,'_Datos'!$F103,IF('_Datos'!$B103,'Proyecto Datos (OKR´s)'!$G103,""))</f>
      </c>
      <c r="D103" s="204">
        <f>IF('_Datos'!$C103,'_Datos'!$AO103,"")</f>
      </c>
      <c r="E103" s="206">
        <f>IF('_Datos'!$C103,'_Datos'!$H103,"")</f>
      </c>
      <c r="F103" s="204">
        <f>IF('_Datos'!$C103,IF(ISNUMBER('_Datos'!$AR103),'_Datos'!$AR103,"(Sin fecha)"),"")</f>
      </c>
      <c r="G103" s="204"/>
      <c r="H103" s="205"/>
      <c r="I103" s="204">
        <f>IF('_Datos'!$C103,IF(ISNUMBER('_Datos'!$AV103),'_Datos'!$AV103,"(Sin fecha)"),"")</f>
      </c>
      <c r="J103" s="208">
        <f>IF('_Datos'!$C103,'_Datos'!$AX103,"")</f>
      </c>
      <c r="K103" s="205">
        <f>IF('_Datos'!$C103,IF('Proyecto Datos (OKR´s)'!$C103="","",'Proyecto Datos (OKR´s)'!$C103),"")</f>
      </c>
      <c r="L103" s="205"/>
      <c r="M103" s="191"/>
      <c r="N103" s="204">
        <f>IF('_Datos'!$C103,'_Datos'!$BA103,"")</f>
      </c>
    </row>
    <row r="104">
      <c r="B104" s="204">
        <f>IF('_Datos'!$C104,'_Datos'!$O104,"")</f>
      </c>
      <c r="C104" s="205">
        <f>IF('_Datos'!$C104,'_Datos'!$F104,IF('_Datos'!$B104,'Proyecto Datos (OKR´s)'!$G104,""))</f>
      </c>
      <c r="D104" s="204">
        <f>IF('_Datos'!$C104,'_Datos'!$AO104,"")</f>
      </c>
      <c r="E104" s="206">
        <f>IF('_Datos'!$C104,'_Datos'!$H104,"")</f>
      </c>
      <c r="F104" s="204">
        <f>IF('_Datos'!$C104,IF(ISNUMBER('_Datos'!$AR104),'_Datos'!$AR104,"(Sin fecha)"),"")</f>
      </c>
      <c r="G104" s="204"/>
      <c r="H104" s="205"/>
      <c r="I104" s="204">
        <f>IF('_Datos'!$C104,IF(ISNUMBER('_Datos'!$AV104),'_Datos'!$AV104,"(Sin fecha)"),"")</f>
      </c>
      <c r="J104" s="208">
        <f>IF('_Datos'!$C104,'_Datos'!$AX104,"")</f>
      </c>
      <c r="K104" s="205">
        <f>IF('_Datos'!$C104,IF('Proyecto Datos (OKR´s)'!$C104="","",'Proyecto Datos (OKR´s)'!$C104),"")</f>
      </c>
      <c r="L104" s="205"/>
      <c r="M104" s="191"/>
      <c r="N104" s="204">
        <f>IF('_Datos'!$C104,'_Datos'!$BA104,"")</f>
      </c>
    </row>
    <row r="105">
      <c r="B105" s="204">
        <f>IF('_Datos'!$C105,'_Datos'!$O105,"")</f>
      </c>
      <c r="C105" s="205">
        <f>IF('_Datos'!$C105,'_Datos'!$F105,IF('_Datos'!$B105,'Proyecto Datos (OKR´s)'!$G105,""))</f>
      </c>
      <c r="D105" s="204">
        <f>IF('_Datos'!$C105,'_Datos'!$AO105,"")</f>
      </c>
      <c r="E105" s="206">
        <f>IF('_Datos'!$C105,'_Datos'!$H105,"")</f>
      </c>
      <c r="F105" s="204">
        <f>IF('_Datos'!$C105,IF(ISNUMBER('_Datos'!$AR105),'_Datos'!$AR105,"(Sin fecha)"),"")</f>
      </c>
      <c r="G105" s="204"/>
      <c r="H105" s="205"/>
      <c r="I105" s="204">
        <f>IF('_Datos'!$C105,IF(ISNUMBER('_Datos'!$AV105),'_Datos'!$AV105,"(Sin fecha)"),"")</f>
      </c>
      <c r="J105" s="208">
        <f>IF('_Datos'!$C105,'_Datos'!$AX105,"")</f>
      </c>
      <c r="K105" s="205">
        <f>IF('_Datos'!$C105,IF('Proyecto Datos (OKR´s)'!$C105="","",'Proyecto Datos (OKR´s)'!$C105),"")</f>
      </c>
      <c r="L105" s="205"/>
      <c r="M105" s="191"/>
      <c r="N105" s="204">
        <f>IF('_Datos'!$C105,'_Datos'!$BA105,"")</f>
      </c>
    </row>
    <row r="106">
      <c r="B106" s="204">
        <f>IF('_Datos'!$C106,'_Datos'!$O106,"")</f>
      </c>
      <c r="C106" s="205">
        <f>IF('_Datos'!$C106,'_Datos'!$F106,IF('_Datos'!$B106,'Proyecto Datos (OKR´s)'!$G106,""))</f>
      </c>
      <c r="D106" s="204">
        <f>IF('_Datos'!$C106,'_Datos'!$AO106,"")</f>
      </c>
      <c r="E106" s="206">
        <f>IF('_Datos'!$C106,'_Datos'!$H106,"")</f>
      </c>
      <c r="F106" s="204">
        <f>IF('_Datos'!$C106,IF(ISNUMBER('_Datos'!$AR106),'_Datos'!$AR106,"(Sin fecha)"),"")</f>
      </c>
      <c r="G106" s="204"/>
      <c r="H106" s="205"/>
      <c r="I106" s="204">
        <f>IF('_Datos'!$C106,IF(ISNUMBER('_Datos'!$AV106),'_Datos'!$AV106,"(Sin fecha)"),"")</f>
      </c>
      <c r="J106" s="208">
        <f>IF('_Datos'!$C106,'_Datos'!$AX106,"")</f>
      </c>
      <c r="K106" s="205">
        <f>IF('_Datos'!$C106,IF('Proyecto Datos (OKR´s)'!$C106="","",'Proyecto Datos (OKR´s)'!$C106),"")</f>
      </c>
      <c r="L106" s="205"/>
      <c r="M106" s="191"/>
      <c r="N106" s="204">
        <f>IF('_Datos'!$C106,'_Datos'!$BA106,"")</f>
      </c>
    </row>
    <row r="107">
      <c r="B107" s="204">
        <f>IF('_Datos'!$C107,'_Datos'!$O107,"")</f>
      </c>
      <c r="C107" s="205">
        <f>IF('_Datos'!$C107,'_Datos'!$F107,IF('_Datos'!$B107,'Proyecto Datos (OKR´s)'!$G107,""))</f>
      </c>
      <c r="D107" s="204">
        <f>IF('_Datos'!$C107,'_Datos'!$AO107,"")</f>
      </c>
      <c r="E107" s="206">
        <f>IF('_Datos'!$C107,'_Datos'!$H107,"")</f>
      </c>
      <c r="F107" s="204">
        <f>IF('_Datos'!$C107,IF(ISNUMBER('_Datos'!$AR107),'_Datos'!$AR107,"(Sin fecha)"),"")</f>
      </c>
      <c r="G107" s="204"/>
      <c r="H107" s="205"/>
      <c r="I107" s="204">
        <f>IF('_Datos'!$C107,IF(ISNUMBER('_Datos'!$AV107),'_Datos'!$AV107,"(Sin fecha)"),"")</f>
      </c>
      <c r="J107" s="208">
        <f>IF('_Datos'!$C107,'_Datos'!$AX107,"")</f>
      </c>
      <c r="K107" s="205">
        <f>IF('_Datos'!$C107,IF('Proyecto Datos (OKR´s)'!$C107="","",'Proyecto Datos (OKR´s)'!$C107),"")</f>
      </c>
      <c r="L107" s="205"/>
      <c r="M107" s="191"/>
      <c r="N107" s="204">
        <f>IF('_Datos'!$C107,'_Datos'!$BA107,"")</f>
      </c>
    </row>
    <row r="108">
      <c r="B108" s="204">
        <f>IF('_Datos'!$C108,'_Datos'!$O108,"")</f>
      </c>
      <c r="C108" s="205">
        <f>IF('_Datos'!$C108,'_Datos'!$F108,IF('_Datos'!$B108,'Proyecto Datos (OKR´s)'!$G108,""))</f>
      </c>
      <c r="D108" s="204">
        <f>IF('_Datos'!$C108,'_Datos'!$AO108,"")</f>
      </c>
      <c r="E108" s="206">
        <f>IF('_Datos'!$C108,'_Datos'!$H108,"")</f>
      </c>
      <c r="F108" s="204">
        <f>IF('_Datos'!$C108,IF(ISNUMBER('_Datos'!$AR108),'_Datos'!$AR108,"(Sin fecha)"),"")</f>
      </c>
      <c r="G108" s="204"/>
      <c r="H108" s="205"/>
      <c r="I108" s="204">
        <f>IF('_Datos'!$C108,IF(ISNUMBER('_Datos'!$AV108),'_Datos'!$AV108,"(Sin fecha)"),"")</f>
      </c>
      <c r="J108" s="208">
        <f>IF('_Datos'!$C108,'_Datos'!$AX108,"")</f>
      </c>
      <c r="K108" s="205">
        <f>IF('_Datos'!$C108,IF('Proyecto Datos (OKR´s)'!$C108="","",'Proyecto Datos (OKR´s)'!$C108),"")</f>
      </c>
      <c r="L108" s="205"/>
      <c r="M108" s="191"/>
      <c r="N108" s="204">
        <f>IF('_Datos'!$C108,'_Datos'!$BA108,"")</f>
      </c>
    </row>
    <row r="109">
      <c r="B109" s="204">
        <f>IF('_Datos'!$C109,'_Datos'!$O109,"")</f>
      </c>
      <c r="C109" s="205">
        <f>IF('_Datos'!$C109,'_Datos'!$F109,IF('_Datos'!$B109,'Proyecto Datos (OKR´s)'!$G109,""))</f>
      </c>
      <c r="D109" s="204">
        <f>IF('_Datos'!$C109,'_Datos'!$AO109,"")</f>
      </c>
      <c r="E109" s="206">
        <f>IF('_Datos'!$C109,'_Datos'!$H109,"")</f>
      </c>
      <c r="F109" s="204">
        <f>IF('_Datos'!$C109,IF(ISNUMBER('_Datos'!$AR109),'_Datos'!$AR109,"(Sin fecha)"),"")</f>
      </c>
      <c r="G109" s="204"/>
      <c r="H109" s="205"/>
      <c r="I109" s="204">
        <f>IF('_Datos'!$C109,IF(ISNUMBER('_Datos'!$AV109),'_Datos'!$AV109,"(Sin fecha)"),"")</f>
      </c>
      <c r="J109" s="208">
        <f>IF('_Datos'!$C109,'_Datos'!$AX109,"")</f>
      </c>
      <c r="K109" s="205">
        <f>IF('_Datos'!$C109,IF('Proyecto Datos (OKR´s)'!$C109="","",'Proyecto Datos (OKR´s)'!$C109),"")</f>
      </c>
      <c r="L109" s="205"/>
      <c r="M109" s="191"/>
      <c r="N109" s="204">
        <f>IF('_Datos'!$C109,'_Datos'!$BA109,"")</f>
      </c>
    </row>
    <row r="110">
      <c r="B110" s="204">
        <f>IF('_Datos'!$C110,'_Datos'!$O110,"")</f>
      </c>
      <c r="C110" s="205">
        <f>IF('_Datos'!$C110,'_Datos'!$F110,IF('_Datos'!$B110,'Proyecto Datos (OKR´s)'!$G110,""))</f>
      </c>
      <c r="D110" s="204">
        <f>IF('_Datos'!$C110,'_Datos'!$AO110,"")</f>
      </c>
      <c r="E110" s="206">
        <f>IF('_Datos'!$C110,'_Datos'!$H110,"")</f>
      </c>
      <c r="F110" s="204">
        <f>IF('_Datos'!$C110,IF(ISNUMBER('_Datos'!$AR110),'_Datos'!$AR110,"(Sin fecha)"),"")</f>
      </c>
      <c r="G110" s="204"/>
      <c r="H110" s="205"/>
      <c r="I110" s="204">
        <f>IF('_Datos'!$C110,IF(ISNUMBER('_Datos'!$AV110),'_Datos'!$AV110,"(Sin fecha)"),"")</f>
      </c>
      <c r="J110" s="208">
        <f>IF('_Datos'!$C110,'_Datos'!$AX110,"")</f>
      </c>
      <c r="K110" s="205">
        <f>IF('_Datos'!$C110,IF('Proyecto Datos (OKR´s)'!$C110="","",'Proyecto Datos (OKR´s)'!$C110),"")</f>
      </c>
      <c r="L110" s="205"/>
      <c r="M110" s="191"/>
      <c r="N110" s="204">
        <f>IF('_Datos'!$C110,'_Datos'!$BA110,"")</f>
      </c>
    </row>
    <row r="111">
      <c r="B111" s="204">
        <f>IF('_Datos'!$C111,'_Datos'!$O111,"")</f>
      </c>
      <c r="C111" s="205">
        <f>IF('_Datos'!$C111,'_Datos'!$F111,IF('_Datos'!$B111,'Proyecto Datos (OKR´s)'!$G111,""))</f>
      </c>
      <c r="D111" s="204">
        <f>IF('_Datos'!$C111,'_Datos'!$AO111,"")</f>
      </c>
      <c r="E111" s="206">
        <f>IF('_Datos'!$C111,'_Datos'!$H111,"")</f>
      </c>
      <c r="F111" s="204">
        <f>IF('_Datos'!$C111,IF(ISNUMBER('_Datos'!$AR111),'_Datos'!$AR111,"(Sin fecha)"),"")</f>
      </c>
      <c r="G111" s="204"/>
      <c r="H111" s="205"/>
      <c r="I111" s="204">
        <f>IF('_Datos'!$C111,IF(ISNUMBER('_Datos'!$AV111),'_Datos'!$AV111,"(Sin fecha)"),"")</f>
      </c>
      <c r="J111" s="208">
        <f>IF('_Datos'!$C111,'_Datos'!$AX111,"")</f>
      </c>
      <c r="K111" s="205">
        <f>IF('_Datos'!$C111,IF('Proyecto Datos (OKR´s)'!$C111="","",'Proyecto Datos (OKR´s)'!$C111),"")</f>
      </c>
      <c r="L111" s="205"/>
      <c r="M111" s="191"/>
      <c r="N111" s="204">
        <f>IF('_Datos'!$C111,'_Datos'!$BA111,"")</f>
      </c>
    </row>
    <row r="112">
      <c r="B112" s="204">
        <f>IF('_Datos'!$C112,'_Datos'!$O112,"")</f>
      </c>
      <c r="C112" s="205">
        <f>IF('_Datos'!$C112,'_Datos'!$F112,IF('_Datos'!$B112,'Proyecto Datos (OKR´s)'!$G112,""))</f>
      </c>
      <c r="D112" s="204">
        <f>IF('_Datos'!$C112,'_Datos'!$AO112,"")</f>
      </c>
      <c r="E112" s="206">
        <f>IF('_Datos'!$C112,'_Datos'!$H112,"")</f>
      </c>
      <c r="F112" s="204">
        <f>IF('_Datos'!$C112,IF(ISNUMBER('_Datos'!$AR112),'_Datos'!$AR112,"(Sin fecha)"),"")</f>
      </c>
      <c r="G112" s="204"/>
      <c r="H112" s="205"/>
      <c r="I112" s="204">
        <f>IF('_Datos'!$C112,IF(ISNUMBER('_Datos'!$AV112),'_Datos'!$AV112,"(Sin fecha)"),"")</f>
      </c>
      <c r="J112" s="208">
        <f>IF('_Datos'!$C112,'_Datos'!$AX112,"")</f>
      </c>
      <c r="K112" s="205">
        <f>IF('_Datos'!$C112,IF('Proyecto Datos (OKR´s)'!$C112="","",'Proyecto Datos (OKR´s)'!$C112),"")</f>
      </c>
      <c r="L112" s="205"/>
      <c r="M112" s="191"/>
      <c r="N112" s="204">
        <f>IF('_Datos'!$C112,'_Datos'!$BA112,"")</f>
      </c>
    </row>
    <row r="113">
      <c r="B113" s="204">
        <f>IF('_Datos'!$C113,'_Datos'!$O113,"")</f>
      </c>
      <c r="C113" s="205">
        <f>IF('_Datos'!$C113,'_Datos'!$F113,IF('_Datos'!$B113,'Proyecto Datos (OKR´s)'!$G113,""))</f>
      </c>
      <c r="D113" s="204">
        <f>IF('_Datos'!$C113,'_Datos'!$AO113,"")</f>
      </c>
      <c r="E113" s="206">
        <f>IF('_Datos'!$C113,'_Datos'!$H113,"")</f>
      </c>
      <c r="F113" s="204">
        <f>IF('_Datos'!$C113,IF(ISNUMBER('_Datos'!$AR113),'_Datos'!$AR113,"(Sin fecha)"),"")</f>
      </c>
      <c r="G113" s="204"/>
      <c r="H113" s="205"/>
      <c r="I113" s="204">
        <f>IF('_Datos'!$C113,IF(ISNUMBER('_Datos'!$AV113),'_Datos'!$AV113,"(Sin fecha)"),"")</f>
      </c>
      <c r="J113" s="208">
        <f>IF('_Datos'!$C113,'_Datos'!$AX113,"")</f>
      </c>
      <c r="K113" s="205">
        <f>IF('_Datos'!$C113,IF('Proyecto Datos (OKR´s)'!$C113="","",'Proyecto Datos (OKR´s)'!$C113),"")</f>
      </c>
      <c r="L113" s="205"/>
      <c r="M113" s="191"/>
      <c r="N113" s="204">
        <f>IF('_Datos'!$C113,'_Datos'!$BA113,"")</f>
      </c>
    </row>
    <row r="114">
      <c r="B114" s="204">
        <f>IF('_Datos'!$C114,'_Datos'!$O114,"")</f>
      </c>
      <c r="C114" s="205">
        <f>IF('_Datos'!$C114,'_Datos'!$F114,IF('_Datos'!$B114,'Proyecto Datos (OKR´s)'!$G114,""))</f>
      </c>
      <c r="D114" s="204">
        <f>IF('_Datos'!$C114,'_Datos'!$AO114,"")</f>
      </c>
      <c r="E114" s="206">
        <f>IF('_Datos'!$C114,'_Datos'!$H114,"")</f>
      </c>
      <c r="F114" s="204">
        <f>IF('_Datos'!$C114,IF(ISNUMBER('_Datos'!$AR114),'_Datos'!$AR114,"(Sin fecha)"),"")</f>
      </c>
      <c r="G114" s="204"/>
      <c r="H114" s="205"/>
      <c r="I114" s="204">
        <f>IF('_Datos'!$C114,IF(ISNUMBER('_Datos'!$AV114),'_Datos'!$AV114,"(Sin fecha)"),"")</f>
      </c>
      <c r="J114" s="208">
        <f>IF('_Datos'!$C114,'_Datos'!$AX114,"")</f>
      </c>
      <c r="K114" s="205">
        <f>IF('_Datos'!$C114,IF('Proyecto Datos (OKR´s)'!$C114="","",'Proyecto Datos (OKR´s)'!$C114),"")</f>
      </c>
      <c r="L114" s="205"/>
      <c r="M114" s="191"/>
      <c r="N114" s="204">
        <f>IF('_Datos'!$C114,'_Datos'!$BA114,"")</f>
      </c>
    </row>
    <row r="115">
      <c r="B115" s="204">
        <f>IF('_Datos'!$C115,'_Datos'!$O115,"")</f>
      </c>
      <c r="C115" s="205">
        <f>IF('_Datos'!$C115,'_Datos'!$F115,IF('_Datos'!$B115,'Proyecto Datos (OKR´s)'!$G115,""))</f>
      </c>
      <c r="D115" s="204">
        <f>IF('_Datos'!$C115,'_Datos'!$AO115,"")</f>
      </c>
      <c r="E115" s="206">
        <f>IF('_Datos'!$C115,'_Datos'!$H115,"")</f>
      </c>
      <c r="F115" s="204">
        <f>IF('_Datos'!$C115,IF(ISNUMBER('_Datos'!$AR115),'_Datos'!$AR115,"(Sin fecha)"),"")</f>
      </c>
      <c r="G115" s="204"/>
      <c r="H115" s="205"/>
      <c r="I115" s="204">
        <f>IF('_Datos'!$C115,IF(ISNUMBER('_Datos'!$AV115),'_Datos'!$AV115,"(Sin fecha)"),"")</f>
      </c>
      <c r="J115" s="208">
        <f>IF('_Datos'!$C115,'_Datos'!$AX115,"")</f>
      </c>
      <c r="K115" s="205">
        <f>IF('_Datos'!$C115,IF('Proyecto Datos (OKR´s)'!$C115="","",'Proyecto Datos (OKR´s)'!$C115),"")</f>
      </c>
      <c r="L115" s="205"/>
      <c r="M115" s="191"/>
      <c r="N115" s="204">
        <f>IF('_Datos'!$C115,'_Datos'!$BA115,"")</f>
      </c>
    </row>
    <row r="116">
      <c r="B116" s="204">
        <f>IF('_Datos'!$C116,'_Datos'!$O116,"")</f>
      </c>
      <c r="C116" s="205">
        <f>IF('_Datos'!$C116,'_Datos'!$F116,IF('_Datos'!$B116,'Proyecto Datos (OKR´s)'!$G116,""))</f>
      </c>
      <c r="D116" s="204">
        <f>IF('_Datos'!$C116,'_Datos'!$AO116,"")</f>
      </c>
      <c r="E116" s="206">
        <f>IF('_Datos'!$C116,'_Datos'!$H116,"")</f>
      </c>
      <c r="F116" s="204">
        <f>IF('_Datos'!$C116,IF(ISNUMBER('_Datos'!$AR116),'_Datos'!$AR116,"(Sin fecha)"),"")</f>
      </c>
      <c r="G116" s="204"/>
      <c r="H116" s="205"/>
      <c r="I116" s="204">
        <f>IF('_Datos'!$C116,IF(ISNUMBER('_Datos'!$AV116),'_Datos'!$AV116,"(Sin fecha)"),"")</f>
      </c>
      <c r="J116" s="208">
        <f>IF('_Datos'!$C116,'_Datos'!$AX116,"")</f>
      </c>
      <c r="K116" s="205">
        <f>IF('_Datos'!$C116,IF('Proyecto Datos (OKR´s)'!$C116="","",'Proyecto Datos (OKR´s)'!$C116),"")</f>
      </c>
      <c r="L116" s="205"/>
      <c r="M116" s="191"/>
      <c r="N116" s="204">
        <f>IF('_Datos'!$C116,'_Datos'!$BA116,"")</f>
      </c>
    </row>
    <row r="117">
      <c r="B117" s="204">
        <f>IF('_Datos'!$C117,'_Datos'!$O117,"")</f>
      </c>
      <c r="C117" s="205">
        <f>IF('_Datos'!$C117,'_Datos'!$F117,IF('_Datos'!$B117,'Proyecto Datos (OKR´s)'!$G117,""))</f>
      </c>
      <c r="D117" s="204">
        <f>IF('_Datos'!$C117,'_Datos'!$AO117,"")</f>
      </c>
      <c r="E117" s="206">
        <f>IF('_Datos'!$C117,'_Datos'!$H117,"")</f>
      </c>
      <c r="F117" s="204">
        <f>IF('_Datos'!$C117,IF(ISNUMBER('_Datos'!$AR117),'_Datos'!$AR117,"(Sin fecha)"),"")</f>
      </c>
      <c r="G117" s="204"/>
      <c r="H117" s="205"/>
      <c r="I117" s="204">
        <f>IF('_Datos'!$C117,IF(ISNUMBER('_Datos'!$AV117),'_Datos'!$AV117,"(Sin fecha)"),"")</f>
      </c>
      <c r="J117" s="208">
        <f>IF('_Datos'!$C117,'_Datos'!$AX117,"")</f>
      </c>
      <c r="K117" s="205">
        <f>IF('_Datos'!$C117,IF('Proyecto Datos (OKR´s)'!$C117="","",'Proyecto Datos (OKR´s)'!$C117),"")</f>
      </c>
      <c r="L117" s="205"/>
      <c r="M117" s="191"/>
      <c r="N117" s="204">
        <f>IF('_Datos'!$C117,'_Datos'!$BA117,"")</f>
      </c>
    </row>
    <row r="118">
      <c r="B118" s="204">
        <f>IF('_Datos'!$C118,'_Datos'!$O118,"")</f>
      </c>
      <c r="C118" s="205">
        <f>IF('_Datos'!$C118,'_Datos'!$F118,IF('_Datos'!$B118,'Proyecto Datos (OKR´s)'!$G118,""))</f>
      </c>
      <c r="D118" s="204">
        <f>IF('_Datos'!$C118,'_Datos'!$AO118,"")</f>
      </c>
      <c r="E118" s="206">
        <f>IF('_Datos'!$C118,'_Datos'!$H118,"")</f>
      </c>
      <c r="F118" s="204">
        <f>IF('_Datos'!$C118,IF(ISNUMBER('_Datos'!$AR118),'_Datos'!$AR118,"(Sin fecha)"),"")</f>
      </c>
      <c r="G118" s="204"/>
      <c r="H118" s="205"/>
      <c r="I118" s="204">
        <f>IF('_Datos'!$C118,IF(ISNUMBER('_Datos'!$AV118),'_Datos'!$AV118,"(Sin fecha)"),"")</f>
      </c>
      <c r="J118" s="208">
        <f>IF('_Datos'!$C118,'_Datos'!$AX118,"")</f>
      </c>
      <c r="K118" s="205">
        <f>IF('_Datos'!$C118,IF('Proyecto Datos (OKR´s)'!$C118="","",'Proyecto Datos (OKR´s)'!$C118),"")</f>
      </c>
      <c r="L118" s="205"/>
      <c r="M118" s="191"/>
      <c r="N118" s="204">
        <f>IF('_Datos'!$C118,'_Datos'!$BA118,"")</f>
      </c>
    </row>
    <row r="119">
      <c r="B119" s="204">
        <f>IF('_Datos'!$C119,'_Datos'!$O119,"")</f>
      </c>
      <c r="C119" s="205">
        <f>IF('_Datos'!$C119,'_Datos'!$F119,IF('_Datos'!$B119,'Proyecto Datos (OKR´s)'!$G119,""))</f>
      </c>
      <c r="D119" s="204">
        <f>IF('_Datos'!$C119,'_Datos'!$AO119,"")</f>
      </c>
      <c r="E119" s="206">
        <f>IF('_Datos'!$C119,'_Datos'!$H119,"")</f>
      </c>
      <c r="F119" s="204">
        <f>IF('_Datos'!$C119,IF(ISNUMBER('_Datos'!$AR119),'_Datos'!$AR119,"(Sin fecha)"),"")</f>
      </c>
      <c r="G119" s="204"/>
      <c r="H119" s="205"/>
      <c r="I119" s="204">
        <f>IF('_Datos'!$C119,IF(ISNUMBER('_Datos'!$AV119),'_Datos'!$AV119,"(Sin fecha)"),"")</f>
      </c>
      <c r="J119" s="208">
        <f>IF('_Datos'!$C119,'_Datos'!$AX119,"")</f>
      </c>
      <c r="K119" s="205">
        <f>IF('_Datos'!$C119,IF('Proyecto Datos (OKR´s)'!$C119="","",'Proyecto Datos (OKR´s)'!$C119),"")</f>
      </c>
      <c r="L119" s="205"/>
      <c r="M119" s="191"/>
      <c r="N119" s="204">
        <f>IF('_Datos'!$C119,'_Datos'!$BA119,"")</f>
      </c>
    </row>
    <row r="120">
      <c r="B120" s="204">
        <f>IF('_Datos'!$C120,'_Datos'!$O120,"")</f>
      </c>
      <c r="C120" s="205">
        <f>IF('_Datos'!$C120,'_Datos'!$F120,IF('_Datos'!$B120,'Proyecto Datos (OKR´s)'!$G120,""))</f>
      </c>
      <c r="D120" s="204">
        <f>IF('_Datos'!$C120,'_Datos'!$AO120,"")</f>
      </c>
      <c r="E120" s="206">
        <f>IF('_Datos'!$C120,'_Datos'!$H120,"")</f>
      </c>
      <c r="F120" s="204">
        <f>IF('_Datos'!$C120,IF(ISNUMBER('_Datos'!$AR120),'_Datos'!$AR120,"(Sin fecha)"),"")</f>
      </c>
      <c r="G120" s="204"/>
      <c r="H120" s="205"/>
      <c r="I120" s="204">
        <f>IF('_Datos'!$C120,IF(ISNUMBER('_Datos'!$AV120),'_Datos'!$AV120,"(Sin fecha)"),"")</f>
      </c>
      <c r="J120" s="208">
        <f>IF('_Datos'!$C120,'_Datos'!$AX120,"")</f>
      </c>
      <c r="K120" s="205">
        <f>IF('_Datos'!$C120,IF('Proyecto Datos (OKR´s)'!$C120="","",'Proyecto Datos (OKR´s)'!$C120),"")</f>
      </c>
      <c r="L120" s="205"/>
      <c r="M120" s="191"/>
      <c r="N120" s="204">
        <f>IF('_Datos'!$C120,'_Datos'!$BA120,"")</f>
      </c>
    </row>
    <row r="121">
      <c r="B121" s="204">
        <f>IF('_Datos'!$C121,'_Datos'!$O121,"")</f>
      </c>
      <c r="C121" s="205">
        <f>IF('_Datos'!$C121,'_Datos'!$F121,IF('_Datos'!$B121,'Proyecto Datos (OKR´s)'!$G121,""))</f>
      </c>
      <c r="D121" s="204">
        <f>IF('_Datos'!$C121,'_Datos'!$AO121,"")</f>
      </c>
      <c r="E121" s="206">
        <f>IF('_Datos'!$C121,'_Datos'!$H121,"")</f>
      </c>
      <c r="F121" s="204">
        <f>IF('_Datos'!$C121,IF(ISNUMBER('_Datos'!$AR121),'_Datos'!$AR121,"(Sin fecha)"),"")</f>
      </c>
      <c r="G121" s="204"/>
      <c r="H121" s="205"/>
      <c r="I121" s="204">
        <f>IF('_Datos'!$C121,IF(ISNUMBER('_Datos'!$AV121),'_Datos'!$AV121,"(Sin fecha)"),"")</f>
      </c>
      <c r="J121" s="208">
        <f>IF('_Datos'!$C121,'_Datos'!$AX121,"")</f>
      </c>
      <c r="K121" s="205">
        <f>IF('_Datos'!$C121,IF('Proyecto Datos (OKR´s)'!$C121="","",'Proyecto Datos (OKR´s)'!$C121),"")</f>
      </c>
      <c r="L121" s="205"/>
      <c r="M121" s="191"/>
      <c r="N121" s="204">
        <f>IF('_Datos'!$C121,'_Datos'!$BA121,"")</f>
      </c>
    </row>
    <row r="122">
      <c r="B122" s="204">
        <f>IF('_Datos'!$C122,'_Datos'!$O122,"")</f>
      </c>
      <c r="C122" s="205">
        <f>IF('_Datos'!$C122,'_Datos'!$F122,IF('_Datos'!$B122,'Proyecto Datos (OKR´s)'!$G122,""))</f>
      </c>
      <c r="D122" s="204">
        <f>IF('_Datos'!$C122,'_Datos'!$AO122,"")</f>
      </c>
      <c r="E122" s="206">
        <f>IF('_Datos'!$C122,'_Datos'!$H122,"")</f>
      </c>
      <c r="F122" s="204">
        <f>IF('_Datos'!$C122,IF(ISNUMBER('_Datos'!$AR122),'_Datos'!$AR122,"(Sin fecha)"),"")</f>
      </c>
      <c r="G122" s="204"/>
      <c r="H122" s="205"/>
      <c r="I122" s="204">
        <f>IF('_Datos'!$C122,IF(ISNUMBER('_Datos'!$AV122),'_Datos'!$AV122,"(Sin fecha)"),"")</f>
      </c>
      <c r="J122" s="208">
        <f>IF('_Datos'!$C122,'_Datos'!$AX122,"")</f>
      </c>
      <c r="K122" s="205">
        <f>IF('_Datos'!$C122,IF('Proyecto Datos (OKR´s)'!$C122="","",'Proyecto Datos (OKR´s)'!$C122),"")</f>
      </c>
      <c r="L122" s="205"/>
      <c r="M122" s="191"/>
      <c r="N122" s="204">
        <f>IF('_Datos'!$C122,'_Datos'!$BA122,"")</f>
      </c>
    </row>
    <row r="123">
      <c r="B123" s="204">
        <f>IF('_Datos'!$C123,'_Datos'!$O123,"")</f>
      </c>
      <c r="C123" s="205">
        <f>IF('_Datos'!$C123,'_Datos'!$F123,IF('_Datos'!$B123,'Proyecto Datos (OKR´s)'!$G123,""))</f>
      </c>
      <c r="D123" s="204">
        <f>IF('_Datos'!$C123,'_Datos'!$AO123,"")</f>
      </c>
      <c r="E123" s="206">
        <f>IF('_Datos'!$C123,'_Datos'!$H123,"")</f>
      </c>
      <c r="F123" s="204">
        <f>IF('_Datos'!$C123,IF(ISNUMBER('_Datos'!$AR123),'_Datos'!$AR123,"(Sin fecha)"),"")</f>
      </c>
      <c r="G123" s="204"/>
      <c r="H123" s="205"/>
      <c r="I123" s="204">
        <f>IF('_Datos'!$C123,IF(ISNUMBER('_Datos'!$AV123),'_Datos'!$AV123,"(Sin fecha)"),"")</f>
      </c>
      <c r="J123" s="208">
        <f>IF('_Datos'!$C123,'_Datos'!$AX123,"")</f>
      </c>
      <c r="K123" s="205">
        <f>IF('_Datos'!$C123,IF('Proyecto Datos (OKR´s)'!$C123="","",'Proyecto Datos (OKR´s)'!$C123),"")</f>
      </c>
      <c r="L123" s="205"/>
      <c r="M123" s="191"/>
      <c r="N123" s="204">
        <f>IF('_Datos'!$C123,'_Datos'!$BA123,"")</f>
      </c>
    </row>
    <row r="124">
      <c r="B124" s="204">
        <f>IF('_Datos'!$C124,'_Datos'!$O124,"")</f>
      </c>
      <c r="C124" s="205">
        <f>IF('_Datos'!$C124,'_Datos'!$F124,IF('_Datos'!$B124,'Proyecto Datos (OKR´s)'!$G124,""))</f>
      </c>
      <c r="D124" s="204">
        <f>IF('_Datos'!$C124,'_Datos'!$AO124,"")</f>
      </c>
      <c r="E124" s="206">
        <f>IF('_Datos'!$C124,'_Datos'!$H124,"")</f>
      </c>
      <c r="F124" s="204">
        <f>IF('_Datos'!$C124,IF(ISNUMBER('_Datos'!$AR124),'_Datos'!$AR124,"(Sin fecha)"),"")</f>
      </c>
      <c r="G124" s="204"/>
      <c r="H124" s="205"/>
      <c r="I124" s="204">
        <f>IF('_Datos'!$C124,IF(ISNUMBER('_Datos'!$AV124),'_Datos'!$AV124,"(Sin fecha)"),"")</f>
      </c>
      <c r="J124" s="208">
        <f>IF('_Datos'!$C124,'_Datos'!$AX124,"")</f>
      </c>
      <c r="K124" s="205">
        <f>IF('_Datos'!$C124,IF('Proyecto Datos (OKR´s)'!$C124="","",'Proyecto Datos (OKR´s)'!$C124),"")</f>
      </c>
      <c r="L124" s="205"/>
      <c r="M124" s="191"/>
      <c r="N124" s="204">
        <f>IF('_Datos'!$C124,'_Datos'!$BA124,"")</f>
      </c>
    </row>
    <row r="125">
      <c r="B125" s="204">
        <f>IF('_Datos'!$C125,'_Datos'!$O125,"")</f>
      </c>
      <c r="C125" s="205">
        <f>IF('_Datos'!$C125,'_Datos'!$F125,IF('_Datos'!$B125,'Proyecto Datos (OKR´s)'!$G125,""))</f>
      </c>
      <c r="D125" s="204">
        <f>IF('_Datos'!$C125,'_Datos'!$AO125,"")</f>
      </c>
      <c r="E125" s="206">
        <f>IF('_Datos'!$C125,'_Datos'!$H125,"")</f>
      </c>
      <c r="F125" s="204">
        <f>IF('_Datos'!$C125,IF(ISNUMBER('_Datos'!$AR125),'_Datos'!$AR125,"(Sin fecha)"),"")</f>
      </c>
      <c r="G125" s="204"/>
      <c r="H125" s="205"/>
      <c r="I125" s="204">
        <f>IF('_Datos'!$C125,IF(ISNUMBER('_Datos'!$AV125),'_Datos'!$AV125,"(Sin fecha)"),"")</f>
      </c>
      <c r="J125" s="208">
        <f>IF('_Datos'!$C125,'_Datos'!$AX125,"")</f>
      </c>
      <c r="K125" s="205">
        <f>IF('_Datos'!$C125,IF('Proyecto Datos (OKR´s)'!$C125="","",'Proyecto Datos (OKR´s)'!$C125),"")</f>
      </c>
      <c r="L125" s="205"/>
      <c r="M125" s="191"/>
      <c r="N125" s="204">
        <f>IF('_Datos'!$C125,'_Datos'!$BA125,"")</f>
      </c>
    </row>
    <row r="126">
      <c r="B126" s="204">
        <f>IF('_Datos'!$C126,'_Datos'!$O126,"")</f>
      </c>
      <c r="C126" s="205">
        <f>IF('_Datos'!$C126,'_Datos'!$F126,IF('_Datos'!$B126,'Proyecto Datos (OKR´s)'!$G126,""))</f>
      </c>
      <c r="D126" s="204">
        <f>IF('_Datos'!$C126,'_Datos'!$AO126,"")</f>
      </c>
      <c r="E126" s="206">
        <f>IF('_Datos'!$C126,'_Datos'!$H126,"")</f>
      </c>
      <c r="F126" s="204">
        <f>IF('_Datos'!$C126,IF(ISNUMBER('_Datos'!$AR126),'_Datos'!$AR126,"(Sin fecha)"),"")</f>
      </c>
      <c r="G126" s="204"/>
      <c r="H126" s="205"/>
      <c r="I126" s="204">
        <f>IF('_Datos'!$C126,IF(ISNUMBER('_Datos'!$AV126),'_Datos'!$AV126,"(Sin fecha)"),"")</f>
      </c>
      <c r="J126" s="208">
        <f>IF('_Datos'!$C126,'_Datos'!$AX126,"")</f>
      </c>
      <c r="K126" s="205">
        <f>IF('_Datos'!$C126,IF('Proyecto Datos (OKR´s)'!$C126="","",'Proyecto Datos (OKR´s)'!$C126),"")</f>
      </c>
      <c r="L126" s="205"/>
      <c r="M126" s="191"/>
      <c r="N126" s="204">
        <f>IF('_Datos'!$C126,'_Datos'!$BA126,"")</f>
      </c>
    </row>
    <row r="127">
      <c r="B127" s="204">
        <f>IF('_Datos'!$C127,'_Datos'!$O127,"")</f>
      </c>
      <c r="C127" s="205">
        <f>IF('_Datos'!$C127,'_Datos'!$F127,IF('_Datos'!$B127,'Proyecto Datos (OKR´s)'!$G127,""))</f>
      </c>
      <c r="D127" s="204">
        <f>IF('_Datos'!$C127,'_Datos'!$AO127,"")</f>
      </c>
      <c r="E127" s="206">
        <f>IF('_Datos'!$C127,'_Datos'!$H127,"")</f>
      </c>
      <c r="F127" s="204">
        <f>IF('_Datos'!$C127,IF(ISNUMBER('_Datos'!$AR127),'_Datos'!$AR127,"(Sin fecha)"),"")</f>
      </c>
      <c r="G127" s="204"/>
      <c r="H127" s="205"/>
      <c r="I127" s="204">
        <f>IF('_Datos'!$C127,IF(ISNUMBER('_Datos'!$AV127),'_Datos'!$AV127,"(Sin fecha)"),"")</f>
      </c>
      <c r="J127" s="208">
        <f>IF('_Datos'!$C127,'_Datos'!$AX127,"")</f>
      </c>
      <c r="K127" s="205">
        <f>IF('_Datos'!$C127,IF('Proyecto Datos (OKR´s)'!$C127="","",'Proyecto Datos (OKR´s)'!$C127),"")</f>
      </c>
      <c r="L127" s="205"/>
      <c r="M127" s="191"/>
      <c r="N127" s="204">
        <f>IF('_Datos'!$C127,'_Datos'!$BA127,"")</f>
      </c>
    </row>
    <row r="128">
      <c r="B128" s="204">
        <f>IF('_Datos'!$C128,'_Datos'!$O128,"")</f>
      </c>
      <c r="C128" s="205">
        <f>IF('_Datos'!$C128,'_Datos'!$F128,IF('_Datos'!$B128,'Proyecto Datos (OKR´s)'!$G128,""))</f>
      </c>
      <c r="D128" s="204">
        <f>IF('_Datos'!$C128,'_Datos'!$AO128,"")</f>
      </c>
      <c r="E128" s="206">
        <f>IF('_Datos'!$C128,'_Datos'!$H128,"")</f>
      </c>
      <c r="F128" s="204">
        <f>IF('_Datos'!$C128,IF(ISNUMBER('_Datos'!$AR128),'_Datos'!$AR128,"(Sin fecha)"),"")</f>
      </c>
      <c r="G128" s="204"/>
      <c r="H128" s="205"/>
      <c r="I128" s="204">
        <f>IF('_Datos'!$C128,IF(ISNUMBER('_Datos'!$AV128),'_Datos'!$AV128,"(Sin fecha)"),"")</f>
      </c>
      <c r="J128" s="208">
        <f>IF('_Datos'!$C128,'_Datos'!$AX128,"")</f>
      </c>
      <c r="K128" s="205">
        <f>IF('_Datos'!$C128,IF('Proyecto Datos (OKR´s)'!$C128="","",'Proyecto Datos (OKR´s)'!$C128),"")</f>
      </c>
      <c r="L128" s="205"/>
      <c r="M128" s="191"/>
      <c r="N128" s="204">
        <f>IF('_Datos'!$C128,'_Datos'!$BA128,"")</f>
      </c>
    </row>
    <row r="129">
      <c r="B129" s="204">
        <f>IF('_Datos'!$C129,'_Datos'!$O129,"")</f>
      </c>
      <c r="C129" s="205">
        <f>IF('_Datos'!$C129,'_Datos'!$F129,IF('_Datos'!$B129,'Proyecto Datos (OKR´s)'!$G129,""))</f>
      </c>
      <c r="D129" s="204">
        <f>IF('_Datos'!$C129,'_Datos'!$AO129,"")</f>
      </c>
      <c r="E129" s="206">
        <f>IF('_Datos'!$C129,'_Datos'!$H129,"")</f>
      </c>
      <c r="F129" s="204">
        <f>IF('_Datos'!$C129,IF(ISNUMBER('_Datos'!$AR129),'_Datos'!$AR129,"(Sin fecha)"),"")</f>
      </c>
      <c r="G129" s="204"/>
      <c r="H129" s="205"/>
      <c r="I129" s="204">
        <f>IF('_Datos'!$C129,IF(ISNUMBER('_Datos'!$AV129),'_Datos'!$AV129,"(Sin fecha)"),"")</f>
      </c>
      <c r="J129" s="208">
        <f>IF('_Datos'!$C129,'_Datos'!$AX129,"")</f>
      </c>
      <c r="K129" s="205">
        <f>IF('_Datos'!$C129,IF('Proyecto Datos (OKR´s)'!$C129="","",'Proyecto Datos (OKR´s)'!$C129),"")</f>
      </c>
      <c r="L129" s="205"/>
      <c r="M129" s="191"/>
      <c r="N129" s="204">
        <f>IF('_Datos'!$C129,'_Datos'!$BA129,"")</f>
      </c>
    </row>
    <row r="130">
      <c r="B130" s="204">
        <f>IF('_Datos'!$C130,'_Datos'!$O130,"")</f>
      </c>
      <c r="C130" s="205">
        <f>IF('_Datos'!$C130,'_Datos'!$F130,IF('_Datos'!$B130,'Proyecto Datos (OKR´s)'!$G130,""))</f>
      </c>
      <c r="D130" s="204">
        <f>IF('_Datos'!$C130,'_Datos'!$AO130,"")</f>
      </c>
      <c r="E130" s="206">
        <f>IF('_Datos'!$C130,'_Datos'!$H130,"")</f>
      </c>
      <c r="F130" s="204">
        <f>IF('_Datos'!$C130,IF(ISNUMBER('_Datos'!$AR130),'_Datos'!$AR130,"(Sin fecha)"),"")</f>
      </c>
      <c r="G130" s="204"/>
      <c r="H130" s="205"/>
      <c r="I130" s="204">
        <f>IF('_Datos'!$C130,IF(ISNUMBER('_Datos'!$AV130),'_Datos'!$AV130,"(Sin fecha)"),"")</f>
      </c>
      <c r="J130" s="208">
        <f>IF('_Datos'!$C130,'_Datos'!$AX130,"")</f>
      </c>
      <c r="K130" s="205">
        <f>IF('_Datos'!$C130,IF('Proyecto Datos (OKR´s)'!$C130="","",'Proyecto Datos (OKR´s)'!$C130),"")</f>
      </c>
      <c r="L130" s="205"/>
      <c r="M130" s="191"/>
      <c r="N130" s="204">
        <f>IF('_Datos'!$C130,'_Datos'!$BA130,"")</f>
      </c>
    </row>
    <row r="131">
      <c r="B131" s="204">
        <f>IF('_Datos'!$C131,'_Datos'!$O131,"")</f>
      </c>
      <c r="C131" s="205">
        <f>IF('_Datos'!$C131,'_Datos'!$F131,IF('_Datos'!$B131,'Proyecto Datos (OKR´s)'!$G131,""))</f>
      </c>
      <c r="D131" s="204">
        <f>IF('_Datos'!$C131,'_Datos'!$AO131,"")</f>
      </c>
      <c r="E131" s="206">
        <f>IF('_Datos'!$C131,'_Datos'!$H131,"")</f>
      </c>
      <c r="F131" s="204">
        <f>IF('_Datos'!$C131,IF(ISNUMBER('_Datos'!$AR131),'_Datos'!$AR131,"(Sin fecha)"),"")</f>
      </c>
      <c r="G131" s="204"/>
      <c r="H131" s="205"/>
      <c r="I131" s="204">
        <f>IF('_Datos'!$C131,IF(ISNUMBER('_Datos'!$AV131),'_Datos'!$AV131,"(Sin fecha)"),"")</f>
      </c>
      <c r="J131" s="208">
        <f>IF('_Datos'!$C131,'_Datos'!$AX131,"")</f>
      </c>
      <c r="K131" s="205">
        <f>IF('_Datos'!$C131,IF('Proyecto Datos (OKR´s)'!$C131="","",'Proyecto Datos (OKR´s)'!$C131),"")</f>
      </c>
      <c r="L131" s="205"/>
      <c r="M131" s="191"/>
      <c r="N131" s="204">
        <f>IF('_Datos'!$C131,'_Datos'!$BA131,"")</f>
      </c>
    </row>
    <row r="132">
      <c r="B132" s="204">
        <f>IF('_Datos'!$C132,'_Datos'!$O132,"")</f>
      </c>
      <c r="C132" s="205">
        <f>IF('_Datos'!$C132,'_Datos'!$F132,IF('_Datos'!$B132,'Proyecto Datos (OKR´s)'!$G132,""))</f>
      </c>
      <c r="D132" s="204">
        <f>IF('_Datos'!$C132,'_Datos'!$AO132,"")</f>
      </c>
      <c r="E132" s="206">
        <f>IF('_Datos'!$C132,'_Datos'!$H132,"")</f>
      </c>
      <c r="F132" s="204">
        <f>IF('_Datos'!$C132,IF(ISNUMBER('_Datos'!$AR132),'_Datos'!$AR132,"(Sin fecha)"),"")</f>
      </c>
      <c r="G132" s="204"/>
      <c r="H132" s="205"/>
      <c r="I132" s="204">
        <f>IF('_Datos'!$C132,IF(ISNUMBER('_Datos'!$AV132),'_Datos'!$AV132,"(Sin fecha)"),"")</f>
      </c>
      <c r="J132" s="208">
        <f>IF('_Datos'!$C132,'_Datos'!$AX132,"")</f>
      </c>
      <c r="K132" s="205">
        <f>IF('_Datos'!$C132,IF('Proyecto Datos (OKR´s)'!$C132="","",'Proyecto Datos (OKR´s)'!$C132),"")</f>
      </c>
      <c r="L132" s="205"/>
      <c r="M132" s="191"/>
      <c r="N132" s="204">
        <f>IF('_Datos'!$C132,'_Datos'!$BA132,"")</f>
      </c>
    </row>
    <row r="133">
      <c r="B133" s="204">
        <f>IF('_Datos'!$C133,'_Datos'!$O133,"")</f>
      </c>
      <c r="C133" s="205">
        <f>IF('_Datos'!$C133,'_Datos'!$F133,IF('_Datos'!$B133,'Proyecto Datos (OKR´s)'!$G133,""))</f>
      </c>
      <c r="D133" s="204">
        <f>IF('_Datos'!$C133,'_Datos'!$AO133,"")</f>
      </c>
      <c r="E133" s="206">
        <f>IF('_Datos'!$C133,'_Datos'!$H133,"")</f>
      </c>
      <c r="F133" s="204">
        <f>IF('_Datos'!$C133,IF(ISNUMBER('_Datos'!$AR133),'_Datos'!$AR133,"(Sin fecha)"),"")</f>
      </c>
      <c r="G133" s="204"/>
      <c r="H133" s="205"/>
      <c r="I133" s="204">
        <f>IF('_Datos'!$C133,IF(ISNUMBER('_Datos'!$AV133),'_Datos'!$AV133,"(Sin fecha)"),"")</f>
      </c>
      <c r="J133" s="208">
        <f>IF('_Datos'!$C133,'_Datos'!$AX133,"")</f>
      </c>
      <c r="K133" s="205">
        <f>IF('_Datos'!$C133,IF('Proyecto Datos (OKR´s)'!$C133="","",'Proyecto Datos (OKR´s)'!$C133),"")</f>
      </c>
      <c r="L133" s="205"/>
      <c r="M133" s="191"/>
      <c r="N133" s="204">
        <f>IF('_Datos'!$C133,'_Datos'!$BA133,"")</f>
      </c>
    </row>
    <row r="134">
      <c r="B134" s="204">
        <f>IF('_Datos'!$C134,'_Datos'!$O134,"")</f>
      </c>
      <c r="C134" s="205">
        <f>IF('_Datos'!$C134,'_Datos'!$F134,IF('_Datos'!$B134,'Proyecto Datos (OKR´s)'!$G134,""))</f>
      </c>
      <c r="D134" s="204">
        <f>IF('_Datos'!$C134,'_Datos'!$AO134,"")</f>
      </c>
      <c r="E134" s="206">
        <f>IF('_Datos'!$C134,'_Datos'!$H134,"")</f>
      </c>
      <c r="F134" s="204">
        <f>IF('_Datos'!$C134,IF(ISNUMBER('_Datos'!$AR134),'_Datos'!$AR134,"(Sin fecha)"),"")</f>
      </c>
      <c r="G134" s="204"/>
      <c r="H134" s="205"/>
      <c r="I134" s="204">
        <f>IF('_Datos'!$C134,IF(ISNUMBER('_Datos'!$AV134),'_Datos'!$AV134,"(Sin fecha)"),"")</f>
      </c>
      <c r="J134" s="208">
        <f>IF('_Datos'!$C134,'_Datos'!$AX134,"")</f>
      </c>
      <c r="K134" s="205">
        <f>IF('_Datos'!$C134,IF('Proyecto Datos (OKR´s)'!$C134="","",'Proyecto Datos (OKR´s)'!$C134),"")</f>
      </c>
      <c r="L134" s="205"/>
      <c r="M134" s="191"/>
      <c r="N134" s="204">
        <f>IF('_Datos'!$C134,'_Datos'!$BA134,"")</f>
      </c>
    </row>
    <row r="135">
      <c r="B135" s="204">
        <f>IF('_Datos'!$C135,'_Datos'!$O135,"")</f>
      </c>
      <c r="C135" s="205">
        <f>IF('_Datos'!$C135,'_Datos'!$F135,IF('_Datos'!$B135,'Proyecto Datos (OKR´s)'!$G135,""))</f>
      </c>
      <c r="D135" s="204">
        <f>IF('_Datos'!$C135,'_Datos'!$AO135,"")</f>
      </c>
      <c r="E135" s="206">
        <f>IF('_Datos'!$C135,'_Datos'!$H135,"")</f>
      </c>
      <c r="F135" s="204">
        <f>IF('_Datos'!$C135,IF(ISNUMBER('_Datos'!$AR135),'_Datos'!$AR135,"(Sin fecha)"),"")</f>
      </c>
      <c r="G135" s="204"/>
      <c r="H135" s="205"/>
      <c r="I135" s="204">
        <f>IF('_Datos'!$C135,IF(ISNUMBER('_Datos'!$AV135),'_Datos'!$AV135,"(Sin fecha)"),"")</f>
      </c>
      <c r="J135" s="208">
        <f>IF('_Datos'!$C135,'_Datos'!$AX135,"")</f>
      </c>
      <c r="K135" s="205">
        <f>IF('_Datos'!$C135,IF('Proyecto Datos (OKR´s)'!$C135="","",'Proyecto Datos (OKR´s)'!$C135),"")</f>
      </c>
      <c r="L135" s="205"/>
      <c r="M135" s="191"/>
      <c r="N135" s="204">
        <f>IF('_Datos'!$C135,'_Datos'!$BA135,"")</f>
      </c>
    </row>
    <row r="136">
      <c r="B136" s="204">
        <f>IF('_Datos'!$C136,'_Datos'!$O136,"")</f>
      </c>
      <c r="C136" s="205">
        <f>IF('_Datos'!$C136,'_Datos'!$F136,IF('_Datos'!$B136,'Proyecto Datos (OKR´s)'!$G136,""))</f>
      </c>
      <c r="D136" s="204">
        <f>IF('_Datos'!$C136,'_Datos'!$AO136,"")</f>
      </c>
      <c r="E136" s="206">
        <f>IF('_Datos'!$C136,'_Datos'!$H136,"")</f>
      </c>
      <c r="F136" s="204">
        <f>IF('_Datos'!$C136,IF(ISNUMBER('_Datos'!$AR136),'_Datos'!$AR136,"(Sin fecha)"),"")</f>
      </c>
      <c r="G136" s="204"/>
      <c r="H136" s="205"/>
      <c r="I136" s="204">
        <f>IF('_Datos'!$C136,IF(ISNUMBER('_Datos'!$AV136),'_Datos'!$AV136,"(Sin fecha)"),"")</f>
      </c>
      <c r="J136" s="208">
        <f>IF('_Datos'!$C136,'_Datos'!$AX136,"")</f>
      </c>
      <c r="K136" s="205">
        <f>IF('_Datos'!$C136,IF('Proyecto Datos (OKR´s)'!$C136="","",'Proyecto Datos (OKR´s)'!$C136),"")</f>
      </c>
      <c r="L136" s="205"/>
      <c r="M136" s="191"/>
      <c r="N136" s="204">
        <f>IF('_Datos'!$C136,'_Datos'!$BA136,"")</f>
      </c>
    </row>
    <row r="137">
      <c r="B137" s="204">
        <f>IF('_Datos'!$C137,'_Datos'!$O137,"")</f>
      </c>
      <c r="C137" s="205">
        <f>IF('_Datos'!$C137,'_Datos'!$F137,IF('_Datos'!$B137,'Proyecto Datos (OKR´s)'!$G137,""))</f>
      </c>
      <c r="D137" s="204">
        <f>IF('_Datos'!$C137,'_Datos'!$AO137,"")</f>
      </c>
      <c r="E137" s="206">
        <f>IF('_Datos'!$C137,'_Datos'!$H137,"")</f>
      </c>
      <c r="F137" s="204">
        <f>IF('_Datos'!$C137,IF(ISNUMBER('_Datos'!$AR137),'_Datos'!$AR137,"(Sin fecha)"),"")</f>
      </c>
      <c r="G137" s="204"/>
      <c r="H137" s="205"/>
      <c r="I137" s="204">
        <f>IF('_Datos'!$C137,IF(ISNUMBER('_Datos'!$AV137),'_Datos'!$AV137,"(Sin fecha)"),"")</f>
      </c>
      <c r="J137" s="208">
        <f>IF('_Datos'!$C137,'_Datos'!$AX137,"")</f>
      </c>
      <c r="K137" s="205">
        <f>IF('_Datos'!$C137,IF('Proyecto Datos (OKR´s)'!$C137="","",'Proyecto Datos (OKR´s)'!$C137),"")</f>
      </c>
      <c r="L137" s="205"/>
      <c r="M137" s="191"/>
      <c r="N137" s="204">
        <f>IF('_Datos'!$C137,'_Datos'!$BA137,"")</f>
      </c>
    </row>
    <row r="138">
      <c r="B138" s="204">
        <f>IF('_Datos'!$C138,'_Datos'!$O138,"")</f>
      </c>
      <c r="C138" s="205">
        <f>IF('_Datos'!$C138,'_Datos'!$F138,IF('_Datos'!$B138,'Proyecto Datos (OKR´s)'!$G138,""))</f>
      </c>
      <c r="D138" s="204">
        <f>IF('_Datos'!$C138,'_Datos'!$AO138,"")</f>
      </c>
      <c r="E138" s="206">
        <f>IF('_Datos'!$C138,'_Datos'!$H138,"")</f>
      </c>
      <c r="F138" s="204">
        <f>IF('_Datos'!$C138,IF(ISNUMBER('_Datos'!$AR138),'_Datos'!$AR138,"(Sin fecha)"),"")</f>
      </c>
      <c r="G138" s="204"/>
      <c r="H138" s="205"/>
      <c r="I138" s="204">
        <f>IF('_Datos'!$C138,IF(ISNUMBER('_Datos'!$AV138),'_Datos'!$AV138,"(Sin fecha)"),"")</f>
      </c>
      <c r="J138" s="208">
        <f>IF('_Datos'!$C138,'_Datos'!$AX138,"")</f>
      </c>
      <c r="K138" s="205">
        <f>IF('_Datos'!$C138,IF('Proyecto Datos (OKR´s)'!$C138="","",'Proyecto Datos (OKR´s)'!$C138),"")</f>
      </c>
      <c r="L138" s="205"/>
      <c r="M138" s="191"/>
      <c r="N138" s="204">
        <f>IF('_Datos'!$C138,'_Datos'!$BA138,"")</f>
      </c>
    </row>
    <row r="139">
      <c r="B139" s="204">
        <f>IF('_Datos'!$C139,'_Datos'!$O139,"")</f>
      </c>
      <c r="C139" s="205">
        <f>IF('_Datos'!$C139,'_Datos'!$F139,IF('_Datos'!$B139,'Proyecto Datos (OKR´s)'!$G139,""))</f>
      </c>
      <c r="D139" s="204">
        <f>IF('_Datos'!$C139,'_Datos'!$AO139,"")</f>
      </c>
      <c r="E139" s="206">
        <f>IF('_Datos'!$C139,'_Datos'!$H139,"")</f>
      </c>
      <c r="F139" s="204">
        <f>IF('_Datos'!$C139,IF(ISNUMBER('_Datos'!$AR139),'_Datos'!$AR139,"(Sin fecha)"),"")</f>
      </c>
      <c r="G139" s="204"/>
      <c r="H139" s="205"/>
      <c r="I139" s="204">
        <f>IF('_Datos'!$C139,IF(ISNUMBER('_Datos'!$AV139),'_Datos'!$AV139,"(Sin fecha)"),"")</f>
      </c>
      <c r="J139" s="208">
        <f>IF('_Datos'!$C139,'_Datos'!$AX139,"")</f>
      </c>
      <c r="K139" s="205">
        <f>IF('_Datos'!$C139,IF('Proyecto Datos (OKR´s)'!$C139="","",'Proyecto Datos (OKR´s)'!$C139),"")</f>
      </c>
      <c r="L139" s="205"/>
      <c r="M139" s="191"/>
      <c r="N139" s="204">
        <f>IF('_Datos'!$C139,'_Datos'!$BA139,"")</f>
      </c>
    </row>
    <row r="140">
      <c r="B140" s="204">
        <f>IF('_Datos'!$C140,'_Datos'!$O140,"")</f>
      </c>
      <c r="C140" s="205">
        <f>IF('_Datos'!$C140,'_Datos'!$F140,IF('_Datos'!$B140,'Proyecto Datos (OKR´s)'!$G140,""))</f>
      </c>
      <c r="D140" s="204">
        <f>IF('_Datos'!$C140,'_Datos'!$AO140,"")</f>
      </c>
      <c r="E140" s="206">
        <f>IF('_Datos'!$C140,'_Datos'!$H140,"")</f>
      </c>
      <c r="F140" s="204">
        <f>IF('_Datos'!$C140,IF(ISNUMBER('_Datos'!$AR140),'_Datos'!$AR140,"(Sin fecha)"),"")</f>
      </c>
      <c r="G140" s="204"/>
      <c r="H140" s="205"/>
      <c r="I140" s="204">
        <f>IF('_Datos'!$C140,IF(ISNUMBER('_Datos'!$AV140),'_Datos'!$AV140,"(Sin fecha)"),"")</f>
      </c>
      <c r="J140" s="208">
        <f>IF('_Datos'!$C140,'_Datos'!$AX140,"")</f>
      </c>
      <c r="K140" s="205">
        <f>IF('_Datos'!$C140,IF('Proyecto Datos (OKR´s)'!$C140="","",'Proyecto Datos (OKR´s)'!$C140),"")</f>
      </c>
      <c r="L140" s="205"/>
      <c r="M140" s="191"/>
      <c r="N140" s="204">
        <f>IF('_Datos'!$C140,'_Datos'!$BA140,"")</f>
      </c>
    </row>
    <row r="141">
      <c r="B141" s="204">
        <f>IF('_Datos'!$C141,'_Datos'!$O141,"")</f>
      </c>
      <c r="C141" s="205">
        <f>IF('_Datos'!$C141,'_Datos'!$F141,IF('_Datos'!$B141,'Proyecto Datos (OKR´s)'!$G141,""))</f>
      </c>
      <c r="D141" s="204">
        <f>IF('_Datos'!$C141,'_Datos'!$AO141,"")</f>
      </c>
      <c r="E141" s="206">
        <f>IF('_Datos'!$C141,'_Datos'!$H141,"")</f>
      </c>
      <c r="F141" s="204">
        <f>IF('_Datos'!$C141,IF(ISNUMBER('_Datos'!$AR141),'_Datos'!$AR141,"(Sin fecha)"),"")</f>
      </c>
      <c r="G141" s="204"/>
      <c r="H141" s="205"/>
      <c r="I141" s="204">
        <f>IF('_Datos'!$C141,IF(ISNUMBER('_Datos'!$AV141),'_Datos'!$AV141,"(Sin fecha)"),"")</f>
      </c>
      <c r="J141" s="208">
        <f>IF('_Datos'!$C141,'_Datos'!$AX141,"")</f>
      </c>
      <c r="K141" s="205">
        <f>IF('_Datos'!$C141,IF('Proyecto Datos (OKR´s)'!$C141="","",'Proyecto Datos (OKR´s)'!$C141),"")</f>
      </c>
      <c r="L141" s="205"/>
      <c r="M141" s="191"/>
      <c r="N141" s="204">
        <f>IF('_Datos'!$C141,'_Datos'!$BA141,"")</f>
      </c>
    </row>
    <row r="142">
      <c r="B142" s="204">
        <f>IF('_Datos'!$C142,'_Datos'!$O142,"")</f>
      </c>
      <c r="C142" s="205">
        <f>IF('_Datos'!$C142,'_Datos'!$F142,IF('_Datos'!$B142,'Proyecto Datos (OKR´s)'!$G142,""))</f>
      </c>
      <c r="D142" s="204">
        <f>IF('_Datos'!$C142,'_Datos'!$AO142,"")</f>
      </c>
      <c r="E142" s="206">
        <f>IF('_Datos'!$C142,'_Datos'!$H142,"")</f>
      </c>
      <c r="F142" s="204">
        <f>IF('_Datos'!$C142,IF(ISNUMBER('_Datos'!$AR142),'_Datos'!$AR142,"(Sin fecha)"),"")</f>
      </c>
      <c r="G142" s="204"/>
      <c r="H142" s="205"/>
      <c r="I142" s="204">
        <f>IF('_Datos'!$C142,IF(ISNUMBER('_Datos'!$AV142),'_Datos'!$AV142,"(Sin fecha)"),"")</f>
      </c>
      <c r="J142" s="208">
        <f>IF('_Datos'!$C142,'_Datos'!$AX142,"")</f>
      </c>
      <c r="K142" s="205">
        <f>IF('_Datos'!$C142,IF('Proyecto Datos (OKR´s)'!$C142="","",'Proyecto Datos (OKR´s)'!$C142),"")</f>
      </c>
      <c r="L142" s="205"/>
      <c r="M142" s="191"/>
      <c r="N142" s="204">
        <f>IF('_Datos'!$C142,'_Datos'!$BA142,"")</f>
      </c>
    </row>
    <row r="143">
      <c r="B143" s="204">
        <f>IF('_Datos'!$C143,'_Datos'!$O143,"")</f>
      </c>
      <c r="C143" s="205">
        <f>IF('_Datos'!$C143,'_Datos'!$F143,IF('_Datos'!$B143,'Proyecto Datos (OKR´s)'!$G143,""))</f>
      </c>
      <c r="D143" s="204">
        <f>IF('_Datos'!$C143,'_Datos'!$AO143,"")</f>
      </c>
      <c r="E143" s="206">
        <f>IF('_Datos'!$C143,'_Datos'!$H143,"")</f>
      </c>
      <c r="F143" s="204">
        <f>IF('_Datos'!$C143,IF(ISNUMBER('_Datos'!$AR143),'_Datos'!$AR143,"(Sin fecha)"),"")</f>
      </c>
      <c r="G143" s="204"/>
      <c r="H143" s="205"/>
      <c r="I143" s="204">
        <f>IF('_Datos'!$C143,IF(ISNUMBER('_Datos'!$AV143),'_Datos'!$AV143,"(Sin fecha)"),"")</f>
      </c>
      <c r="J143" s="208">
        <f>IF('_Datos'!$C143,'_Datos'!$AX143,"")</f>
      </c>
      <c r="K143" s="205">
        <f>IF('_Datos'!$C143,IF('Proyecto Datos (OKR´s)'!$C143="","",'Proyecto Datos (OKR´s)'!$C143),"")</f>
      </c>
      <c r="L143" s="205"/>
      <c r="M143" s="191"/>
      <c r="N143" s="204">
        <f>IF('_Datos'!$C143,'_Datos'!$BA143,"")</f>
      </c>
    </row>
    <row r="144">
      <c r="B144" s="204">
        <f>IF('_Datos'!$C144,'_Datos'!$O144,"")</f>
      </c>
      <c r="C144" s="205">
        <f>IF('_Datos'!$C144,'_Datos'!$F144,IF('_Datos'!$B144,'Proyecto Datos (OKR´s)'!$G144,""))</f>
      </c>
      <c r="D144" s="204">
        <f>IF('_Datos'!$C144,'_Datos'!$AO144,"")</f>
      </c>
      <c r="E144" s="206">
        <f>IF('_Datos'!$C144,'_Datos'!$H144,"")</f>
      </c>
      <c r="F144" s="204">
        <f>IF('_Datos'!$C144,IF(ISNUMBER('_Datos'!$AR144),'_Datos'!$AR144,"(Sin fecha)"),"")</f>
      </c>
      <c r="G144" s="204"/>
      <c r="H144" s="205"/>
      <c r="I144" s="204">
        <f>IF('_Datos'!$C144,IF(ISNUMBER('_Datos'!$AV144),'_Datos'!$AV144,"(Sin fecha)"),"")</f>
      </c>
      <c r="J144" s="208">
        <f>IF('_Datos'!$C144,'_Datos'!$AX144,"")</f>
      </c>
      <c r="K144" s="205">
        <f>IF('_Datos'!$C144,IF('Proyecto Datos (OKR´s)'!$C144="","",'Proyecto Datos (OKR´s)'!$C144),"")</f>
      </c>
      <c r="L144" s="205"/>
      <c r="M144" s="191"/>
      <c r="N144" s="204">
        <f>IF('_Datos'!$C144,'_Datos'!$BA144,"")</f>
      </c>
    </row>
    <row r="145">
      <c r="B145" s="204">
        <f>IF('_Datos'!$C145,'_Datos'!$O145,"")</f>
      </c>
      <c r="C145" s="205">
        <f>IF('_Datos'!$C145,'_Datos'!$F145,IF('_Datos'!$B145,'Proyecto Datos (OKR´s)'!$G145,""))</f>
      </c>
      <c r="D145" s="204">
        <f>IF('_Datos'!$C145,'_Datos'!$AO145,"")</f>
      </c>
      <c r="E145" s="206">
        <f>IF('_Datos'!$C145,'_Datos'!$H145,"")</f>
      </c>
      <c r="F145" s="204">
        <f>IF('_Datos'!$C145,IF(ISNUMBER('_Datos'!$AR145),'_Datos'!$AR145,"(Sin fecha)"),"")</f>
      </c>
      <c r="G145" s="204"/>
      <c r="H145" s="205"/>
      <c r="I145" s="204">
        <f>IF('_Datos'!$C145,IF(ISNUMBER('_Datos'!$AV145),'_Datos'!$AV145,"(Sin fecha)"),"")</f>
      </c>
      <c r="J145" s="208">
        <f>IF('_Datos'!$C145,'_Datos'!$AX145,"")</f>
      </c>
      <c r="K145" s="205">
        <f>IF('_Datos'!$C145,IF('Proyecto Datos (OKR´s)'!$C145="","",'Proyecto Datos (OKR´s)'!$C145),"")</f>
      </c>
      <c r="L145" s="205"/>
      <c r="M145" s="191"/>
      <c r="N145" s="204">
        <f>IF('_Datos'!$C145,'_Datos'!$BA145,"")</f>
      </c>
    </row>
    <row r="146">
      <c r="B146" s="204">
        <f>IF('_Datos'!$C146,'_Datos'!$O146,"")</f>
      </c>
      <c r="C146" s="205">
        <f>IF('_Datos'!$C146,'_Datos'!$F146,IF('_Datos'!$B146,'Proyecto Datos (OKR´s)'!$G146,""))</f>
      </c>
      <c r="D146" s="204">
        <f>IF('_Datos'!$C146,'_Datos'!$AO146,"")</f>
      </c>
      <c r="E146" s="206">
        <f>IF('_Datos'!$C146,'_Datos'!$H146,"")</f>
      </c>
      <c r="F146" s="204">
        <f>IF('_Datos'!$C146,IF(ISNUMBER('_Datos'!$AR146),'_Datos'!$AR146,"(Sin fecha)"),"")</f>
      </c>
      <c r="G146" s="204"/>
      <c r="H146" s="205"/>
      <c r="I146" s="204">
        <f>IF('_Datos'!$C146,IF(ISNUMBER('_Datos'!$AV146),'_Datos'!$AV146,"(Sin fecha)"),"")</f>
      </c>
      <c r="J146" s="208">
        <f>IF('_Datos'!$C146,'_Datos'!$AX146,"")</f>
      </c>
      <c r="K146" s="205">
        <f>IF('_Datos'!$C146,IF('Proyecto Datos (OKR´s)'!$C146="","",'Proyecto Datos (OKR´s)'!$C146),"")</f>
      </c>
      <c r="L146" s="205"/>
      <c r="M146" s="191"/>
      <c r="N146" s="204">
        <f>IF('_Datos'!$C146,'_Datos'!$BA146,"")</f>
      </c>
    </row>
    <row r="147">
      <c r="B147" s="204">
        <f>IF('_Datos'!$C147,'_Datos'!$O147,"")</f>
      </c>
      <c r="C147" s="205">
        <f>IF('_Datos'!$C147,'_Datos'!$F147,IF('_Datos'!$B147,'Proyecto Datos (OKR´s)'!$G147,""))</f>
      </c>
      <c r="D147" s="204">
        <f>IF('_Datos'!$C147,'_Datos'!$AO147,"")</f>
      </c>
      <c r="E147" s="206">
        <f>IF('_Datos'!$C147,'_Datos'!$H147,"")</f>
      </c>
      <c r="F147" s="204">
        <f>IF('_Datos'!$C147,IF(ISNUMBER('_Datos'!$AR147),'_Datos'!$AR147,"(Sin fecha)"),"")</f>
      </c>
      <c r="G147" s="204"/>
      <c r="H147" s="205"/>
      <c r="I147" s="204">
        <f>IF('_Datos'!$C147,IF(ISNUMBER('_Datos'!$AV147),'_Datos'!$AV147,"(Sin fecha)"),"")</f>
      </c>
      <c r="J147" s="208">
        <f>IF('_Datos'!$C147,'_Datos'!$AX147,"")</f>
      </c>
      <c r="K147" s="205">
        <f>IF('_Datos'!$C147,IF('Proyecto Datos (OKR´s)'!$C147="","",'Proyecto Datos (OKR´s)'!$C147),"")</f>
      </c>
      <c r="L147" s="205"/>
      <c r="M147" s="191"/>
      <c r="N147" s="204">
        <f>IF('_Datos'!$C147,'_Datos'!$BA147,"")</f>
      </c>
    </row>
    <row r="148">
      <c r="B148" s="204">
        <f>IF('_Datos'!$C148,'_Datos'!$O148,"")</f>
      </c>
      <c r="C148" s="205">
        <f>IF('_Datos'!$C148,'_Datos'!$F148,IF('_Datos'!$B148,'Proyecto Datos (OKR´s)'!$G148,""))</f>
      </c>
      <c r="D148" s="204">
        <f>IF('_Datos'!$C148,'_Datos'!$AO148,"")</f>
      </c>
      <c r="E148" s="206">
        <f>IF('_Datos'!$C148,'_Datos'!$H148,"")</f>
      </c>
      <c r="F148" s="204">
        <f>IF('_Datos'!$C148,IF(ISNUMBER('_Datos'!$AR148),'_Datos'!$AR148,"(Sin fecha)"),"")</f>
      </c>
      <c r="G148" s="204"/>
      <c r="H148" s="205"/>
      <c r="I148" s="204">
        <f>IF('_Datos'!$C148,IF(ISNUMBER('_Datos'!$AV148),'_Datos'!$AV148,"(Sin fecha)"),"")</f>
      </c>
      <c r="J148" s="208">
        <f>IF('_Datos'!$C148,'_Datos'!$AX148,"")</f>
      </c>
      <c r="K148" s="205">
        <f>IF('_Datos'!$C148,IF('Proyecto Datos (OKR´s)'!$C148="","",'Proyecto Datos (OKR´s)'!$C148),"")</f>
      </c>
      <c r="L148" s="205"/>
      <c r="M148" s="191"/>
      <c r="N148" s="204">
        <f>IF('_Datos'!$C148,'_Datos'!$BA148,"")</f>
      </c>
    </row>
    <row r="149">
      <c r="B149" s="204">
        <f>IF('_Datos'!$C149,'_Datos'!$O149,"")</f>
      </c>
      <c r="C149" s="205">
        <f>IF('_Datos'!$C149,'_Datos'!$F149,IF('_Datos'!$B149,'Proyecto Datos (OKR´s)'!$G149,""))</f>
      </c>
      <c r="D149" s="204">
        <f>IF('_Datos'!$C149,'_Datos'!$AO149,"")</f>
      </c>
      <c r="E149" s="206">
        <f>IF('_Datos'!$C149,'_Datos'!$H149,"")</f>
      </c>
      <c r="F149" s="204">
        <f>IF('_Datos'!$C149,IF(ISNUMBER('_Datos'!$AR149),'_Datos'!$AR149,"(Sin fecha)"),"")</f>
      </c>
      <c r="G149" s="204"/>
      <c r="H149" s="205"/>
      <c r="I149" s="204">
        <f>IF('_Datos'!$C149,IF(ISNUMBER('_Datos'!$AV149),'_Datos'!$AV149,"(Sin fecha)"),"")</f>
      </c>
      <c r="J149" s="208">
        <f>IF('_Datos'!$C149,'_Datos'!$AX149,"")</f>
      </c>
      <c r="K149" s="205">
        <f>IF('_Datos'!$C149,IF('Proyecto Datos (OKR´s)'!$C149="","",'Proyecto Datos (OKR´s)'!$C149),"")</f>
      </c>
      <c r="L149" s="205"/>
      <c r="M149" s="191"/>
      <c r="N149" s="204">
        <f>IF('_Datos'!$C149,'_Datos'!$BA149,"")</f>
      </c>
    </row>
    <row r="150">
      <c r="B150" s="204">
        <f>IF('_Datos'!$C150,'_Datos'!$O150,"")</f>
      </c>
      <c r="C150" s="205">
        <f>IF('_Datos'!$C150,'_Datos'!$F150,IF('_Datos'!$B150,'Proyecto Datos (OKR´s)'!$G150,""))</f>
      </c>
      <c r="D150" s="204">
        <f>IF('_Datos'!$C150,'_Datos'!$AO150,"")</f>
      </c>
      <c r="E150" s="206">
        <f>IF('_Datos'!$C150,'_Datos'!$H150,"")</f>
      </c>
      <c r="F150" s="204">
        <f>IF('_Datos'!$C150,IF(ISNUMBER('_Datos'!$AR150),'_Datos'!$AR150,"(Sin fecha)"),"")</f>
      </c>
      <c r="G150" s="204"/>
      <c r="H150" s="205"/>
      <c r="I150" s="204">
        <f>IF('_Datos'!$C150,IF(ISNUMBER('_Datos'!$AV150),'_Datos'!$AV150,"(Sin fecha)"),"")</f>
      </c>
      <c r="J150" s="208">
        <f>IF('_Datos'!$C150,'_Datos'!$AX150,"")</f>
      </c>
      <c r="K150" s="205">
        <f>IF('_Datos'!$C150,IF('Proyecto Datos (OKR´s)'!$C150="","",'Proyecto Datos (OKR´s)'!$C150),"")</f>
      </c>
      <c r="L150" s="205"/>
      <c r="M150" s="191"/>
      <c r="N150" s="204">
        <f>IF('_Datos'!$C150,'_Datos'!$BA150,"")</f>
      </c>
    </row>
    <row r="151">
      <c r="B151" s="204">
        <f>IF('_Datos'!$C151,'_Datos'!$O151,"")</f>
      </c>
      <c r="C151" s="205">
        <f>IF('_Datos'!$C151,'_Datos'!$F151,IF('_Datos'!$B151,'Proyecto Datos (OKR´s)'!$G151,""))</f>
      </c>
      <c r="D151" s="204">
        <f>IF('_Datos'!$C151,'_Datos'!$AO151,"")</f>
      </c>
      <c r="E151" s="206">
        <f>IF('_Datos'!$C151,'_Datos'!$H151,"")</f>
      </c>
      <c r="F151" s="204">
        <f>IF('_Datos'!$C151,IF(ISNUMBER('_Datos'!$AR151),'_Datos'!$AR151,"(Sin fecha)"),"")</f>
      </c>
      <c r="G151" s="204"/>
      <c r="H151" s="205"/>
      <c r="I151" s="204">
        <f>IF('_Datos'!$C151,IF(ISNUMBER('_Datos'!$AV151),'_Datos'!$AV151,"(Sin fecha)"),"")</f>
      </c>
      <c r="J151" s="208">
        <f>IF('_Datos'!$C151,'_Datos'!$AX151,"")</f>
      </c>
      <c r="K151" s="205">
        <f>IF('_Datos'!$C151,IF('Proyecto Datos (OKR´s)'!$C151="","",'Proyecto Datos (OKR´s)'!$C151),"")</f>
      </c>
      <c r="L151" s="205"/>
      <c r="M151" s="191"/>
      <c r="N151" s="204">
        <f>IF('_Datos'!$C151,'_Datos'!$BA151,"")</f>
      </c>
    </row>
    <row r="152">
      <c r="B152" s="204">
        <f>IF('_Datos'!$C152,'_Datos'!$O152,"")</f>
      </c>
      <c r="C152" s="205">
        <f>IF('_Datos'!$C152,'_Datos'!$F152,IF('_Datos'!$B152,'Proyecto Datos (OKR´s)'!$G152,""))</f>
      </c>
      <c r="D152" s="204">
        <f>IF('_Datos'!$C152,'_Datos'!$AO152,"")</f>
      </c>
      <c r="E152" s="206">
        <f>IF('_Datos'!$C152,'_Datos'!$H152,"")</f>
      </c>
      <c r="F152" s="204">
        <f>IF('_Datos'!$C152,IF(ISNUMBER('_Datos'!$AR152),'_Datos'!$AR152,"(Sin fecha)"),"")</f>
      </c>
      <c r="G152" s="204"/>
      <c r="H152" s="205"/>
      <c r="I152" s="204">
        <f>IF('_Datos'!$C152,IF(ISNUMBER('_Datos'!$AV152),'_Datos'!$AV152,"(Sin fecha)"),"")</f>
      </c>
      <c r="J152" s="208">
        <f>IF('_Datos'!$C152,'_Datos'!$AX152,"")</f>
      </c>
      <c r="K152" s="205">
        <f>IF('_Datos'!$C152,IF('Proyecto Datos (OKR´s)'!$C152="","",'Proyecto Datos (OKR´s)'!$C152),"")</f>
      </c>
      <c r="L152" s="205"/>
      <c r="M152" s="191"/>
      <c r="N152" s="204">
        <f>IF('_Datos'!$C152,'_Datos'!$BA152,"")</f>
      </c>
    </row>
    <row r="153">
      <c r="B153" s="204">
        <f>IF('_Datos'!$C153,'_Datos'!$O153,"")</f>
      </c>
      <c r="C153" s="205">
        <f>IF('_Datos'!$C153,'_Datos'!$F153,IF('_Datos'!$B153,'Proyecto Datos (OKR´s)'!$G153,""))</f>
      </c>
      <c r="D153" s="204">
        <f>IF('_Datos'!$C153,'_Datos'!$AO153,"")</f>
      </c>
      <c r="E153" s="206">
        <f>IF('_Datos'!$C153,'_Datos'!$H153,"")</f>
      </c>
      <c r="F153" s="204">
        <f>IF('_Datos'!$C153,IF(ISNUMBER('_Datos'!$AR153),'_Datos'!$AR153,"(Sin fecha)"),"")</f>
      </c>
      <c r="G153" s="204"/>
      <c r="H153" s="205"/>
      <c r="I153" s="204">
        <f>IF('_Datos'!$C153,IF(ISNUMBER('_Datos'!$AV153),'_Datos'!$AV153,"(Sin fecha)"),"")</f>
      </c>
      <c r="J153" s="208">
        <f>IF('_Datos'!$C153,'_Datos'!$AX153,"")</f>
      </c>
      <c r="K153" s="205">
        <f>IF('_Datos'!$C153,IF('Proyecto Datos (OKR´s)'!$C153="","",'Proyecto Datos (OKR´s)'!$C153),"")</f>
      </c>
      <c r="L153" s="205"/>
      <c r="M153" s="191"/>
      <c r="N153" s="204">
        <f>IF('_Datos'!$C153,'_Datos'!$BA153,"")</f>
      </c>
    </row>
    <row r="154">
      <c r="B154" s="204">
        <f>IF('_Datos'!$C154,'_Datos'!$O154,"")</f>
      </c>
      <c r="C154" s="205">
        <f>IF('_Datos'!$C154,'_Datos'!$F154,IF('_Datos'!$B154,'Proyecto Datos (OKR´s)'!$G154,""))</f>
      </c>
      <c r="D154" s="204">
        <f>IF('_Datos'!$C154,'_Datos'!$AO154,"")</f>
      </c>
      <c r="E154" s="206">
        <f>IF('_Datos'!$C154,'_Datos'!$H154,"")</f>
      </c>
      <c r="F154" s="204">
        <f>IF('_Datos'!$C154,IF(ISNUMBER('_Datos'!$AR154),'_Datos'!$AR154,"(Sin fecha)"),"")</f>
      </c>
      <c r="G154" s="204"/>
      <c r="H154" s="205"/>
      <c r="I154" s="204">
        <f>IF('_Datos'!$C154,IF(ISNUMBER('_Datos'!$AV154),'_Datos'!$AV154,"(Sin fecha)"),"")</f>
      </c>
      <c r="J154" s="208">
        <f>IF('_Datos'!$C154,'_Datos'!$AX154,"")</f>
      </c>
      <c r="K154" s="205">
        <f>IF('_Datos'!$C154,IF('Proyecto Datos (OKR´s)'!$C154="","",'Proyecto Datos (OKR´s)'!$C154),"")</f>
      </c>
      <c r="L154" s="205"/>
      <c r="M154" s="191"/>
      <c r="N154" s="204">
        <f>IF('_Datos'!$C154,'_Datos'!$BA154,"")</f>
      </c>
    </row>
    <row r="155">
      <c r="B155" s="204">
        <f>IF('_Datos'!$C155,'_Datos'!$O155,"")</f>
      </c>
      <c r="C155" s="205">
        <f>IF('_Datos'!$C155,'_Datos'!$F155,IF('_Datos'!$B155,'Proyecto Datos (OKR´s)'!$G155,""))</f>
      </c>
      <c r="D155" s="204">
        <f>IF('_Datos'!$C155,'_Datos'!$AO155,"")</f>
      </c>
      <c r="E155" s="206">
        <f>IF('_Datos'!$C155,'_Datos'!$H155,"")</f>
      </c>
      <c r="F155" s="204">
        <f>IF('_Datos'!$C155,IF(ISNUMBER('_Datos'!$AR155),'_Datos'!$AR155,"(Sin fecha)"),"")</f>
      </c>
      <c r="G155" s="204"/>
      <c r="H155" s="205"/>
      <c r="I155" s="204">
        <f>IF('_Datos'!$C155,IF(ISNUMBER('_Datos'!$AV155),'_Datos'!$AV155,"(Sin fecha)"),"")</f>
      </c>
      <c r="J155" s="208">
        <f>IF('_Datos'!$C155,'_Datos'!$AX155,"")</f>
      </c>
      <c r="K155" s="205">
        <f>IF('_Datos'!$C155,IF('Proyecto Datos (OKR´s)'!$C155="","",'Proyecto Datos (OKR´s)'!$C155),"")</f>
      </c>
      <c r="L155" s="205"/>
      <c r="M155" s="191"/>
      <c r="N155" s="204">
        <f>IF('_Datos'!$C155,'_Datos'!$BA155,"")</f>
      </c>
    </row>
    <row r="156">
      <c r="B156" s="204">
        <f>IF('_Datos'!$C156,'_Datos'!$O156,"")</f>
      </c>
      <c r="C156" s="205">
        <f>IF('_Datos'!$C156,'_Datos'!$F156,IF('_Datos'!$B156,'Proyecto Datos (OKR´s)'!$G156,""))</f>
      </c>
      <c r="D156" s="204">
        <f>IF('_Datos'!$C156,'_Datos'!$AO156,"")</f>
      </c>
      <c r="E156" s="206">
        <f>IF('_Datos'!$C156,'_Datos'!$H156,"")</f>
      </c>
      <c r="F156" s="204">
        <f>IF('_Datos'!$C156,IF(ISNUMBER('_Datos'!$AR156),'_Datos'!$AR156,"(Sin fecha)"),"")</f>
      </c>
      <c r="G156" s="204"/>
      <c r="H156" s="205"/>
      <c r="I156" s="204">
        <f>IF('_Datos'!$C156,IF(ISNUMBER('_Datos'!$AV156),'_Datos'!$AV156,"(Sin fecha)"),"")</f>
      </c>
      <c r="J156" s="208">
        <f>IF('_Datos'!$C156,'_Datos'!$AX156,"")</f>
      </c>
      <c r="K156" s="205">
        <f>IF('_Datos'!$C156,IF('Proyecto Datos (OKR´s)'!$C156="","",'Proyecto Datos (OKR´s)'!$C156),"")</f>
      </c>
      <c r="L156" s="205"/>
      <c r="M156" s="191"/>
      <c r="N156" s="204">
        <f>IF('_Datos'!$C156,'_Datos'!$BA156,"")</f>
      </c>
    </row>
    <row r="157">
      <c r="B157" s="204">
        <f>IF('_Datos'!$C157,'_Datos'!$O157,"")</f>
      </c>
      <c r="C157" s="205">
        <f>IF('_Datos'!$C157,'_Datos'!$F157,IF('_Datos'!$B157,'Proyecto Datos (OKR´s)'!$G157,""))</f>
      </c>
      <c r="D157" s="204">
        <f>IF('_Datos'!$C157,'_Datos'!$AO157,"")</f>
      </c>
      <c r="E157" s="206">
        <f>IF('_Datos'!$C157,'_Datos'!$H157,"")</f>
      </c>
      <c r="F157" s="204">
        <f>IF('_Datos'!$C157,IF(ISNUMBER('_Datos'!$AR157),'_Datos'!$AR157,"(Sin fecha)"),"")</f>
      </c>
      <c r="G157" s="204"/>
      <c r="H157" s="205"/>
      <c r="I157" s="204">
        <f>IF('_Datos'!$C157,IF(ISNUMBER('_Datos'!$AV157),'_Datos'!$AV157,"(Sin fecha)"),"")</f>
      </c>
      <c r="J157" s="208">
        <f>IF('_Datos'!$C157,'_Datos'!$AX157,"")</f>
      </c>
      <c r="K157" s="205">
        <f>IF('_Datos'!$C157,IF('Proyecto Datos (OKR´s)'!$C157="","",'Proyecto Datos (OKR´s)'!$C157),"")</f>
      </c>
      <c r="L157" s="205"/>
      <c r="M157" s="191"/>
      <c r="N157" s="204">
        <f>IF('_Datos'!$C157,'_Datos'!$BA157,"")</f>
      </c>
    </row>
    <row r="158">
      <c r="B158" s="204">
        <f>IF('_Datos'!$C158,'_Datos'!$O158,"")</f>
      </c>
      <c r="C158" s="205">
        <f>IF('_Datos'!$C158,'_Datos'!$F158,IF('_Datos'!$B158,'Proyecto Datos (OKR´s)'!$G158,""))</f>
      </c>
      <c r="D158" s="204">
        <f>IF('_Datos'!$C158,'_Datos'!$AO158,"")</f>
      </c>
      <c r="E158" s="206">
        <f>IF('_Datos'!$C158,'_Datos'!$H158,"")</f>
      </c>
      <c r="F158" s="204">
        <f>IF('_Datos'!$C158,IF(ISNUMBER('_Datos'!$AR158),'_Datos'!$AR158,"(Sin fecha)"),"")</f>
      </c>
      <c r="G158" s="204"/>
      <c r="H158" s="205"/>
      <c r="I158" s="204">
        <f>IF('_Datos'!$C158,IF(ISNUMBER('_Datos'!$AV158),'_Datos'!$AV158,"(Sin fecha)"),"")</f>
      </c>
      <c r="J158" s="208">
        <f>IF('_Datos'!$C158,'_Datos'!$AX158,"")</f>
      </c>
      <c r="K158" s="205">
        <f>IF('_Datos'!$C158,IF('Proyecto Datos (OKR´s)'!$C158="","",'Proyecto Datos (OKR´s)'!$C158),"")</f>
      </c>
      <c r="L158" s="205"/>
      <c r="M158" s="191"/>
      <c r="N158" s="204">
        <f>IF('_Datos'!$C158,'_Datos'!$BA158,"")</f>
      </c>
    </row>
    <row r="159">
      <c r="B159" s="204">
        <f>IF('_Datos'!$C159,'_Datos'!$O159,"")</f>
      </c>
      <c r="C159" s="205">
        <f>IF('_Datos'!$C159,'_Datos'!$F159,IF('_Datos'!$B159,'Proyecto Datos (OKR´s)'!$G159,""))</f>
      </c>
      <c r="D159" s="204">
        <f>IF('_Datos'!$C159,'_Datos'!$AO159,"")</f>
      </c>
      <c r="E159" s="206">
        <f>IF('_Datos'!$C159,'_Datos'!$H159,"")</f>
      </c>
      <c r="F159" s="204">
        <f>IF('_Datos'!$C159,IF(ISNUMBER('_Datos'!$AR159),'_Datos'!$AR159,"(Sin fecha)"),"")</f>
      </c>
      <c r="G159" s="204"/>
      <c r="H159" s="205"/>
      <c r="I159" s="204">
        <f>IF('_Datos'!$C159,IF(ISNUMBER('_Datos'!$AV159),'_Datos'!$AV159,"(Sin fecha)"),"")</f>
      </c>
      <c r="J159" s="208">
        <f>IF('_Datos'!$C159,'_Datos'!$AX159,"")</f>
      </c>
      <c r="K159" s="205">
        <f>IF('_Datos'!$C159,IF('Proyecto Datos (OKR´s)'!$C159="","",'Proyecto Datos (OKR´s)'!$C159),"")</f>
      </c>
      <c r="L159" s="205"/>
      <c r="M159" s="191"/>
      <c r="N159" s="204">
        <f>IF('_Datos'!$C159,'_Datos'!$BA159,"")</f>
      </c>
    </row>
    <row r="160">
      <c r="B160" s="204">
        <f>IF('_Datos'!$C160,'_Datos'!$O160,"")</f>
      </c>
      <c r="C160" s="205">
        <f>IF('_Datos'!$C160,'_Datos'!$F160,IF('_Datos'!$B160,'Proyecto Datos (OKR´s)'!$G160,""))</f>
      </c>
      <c r="D160" s="204">
        <f>IF('_Datos'!$C160,'_Datos'!$AO160,"")</f>
      </c>
      <c r="E160" s="206">
        <f>IF('_Datos'!$C160,'_Datos'!$H160,"")</f>
      </c>
      <c r="F160" s="204">
        <f>IF('_Datos'!$C160,IF(ISNUMBER('_Datos'!$AR160),'_Datos'!$AR160,"(Sin fecha)"),"")</f>
      </c>
      <c r="G160" s="204"/>
      <c r="H160" s="205"/>
      <c r="I160" s="204">
        <f>IF('_Datos'!$C160,IF(ISNUMBER('_Datos'!$AV160),'_Datos'!$AV160,"(Sin fecha)"),"")</f>
      </c>
      <c r="J160" s="208">
        <f>IF('_Datos'!$C160,'_Datos'!$AX160,"")</f>
      </c>
      <c r="K160" s="205">
        <f>IF('_Datos'!$C160,IF('Proyecto Datos (OKR´s)'!$C160="","",'Proyecto Datos (OKR´s)'!$C160),"")</f>
      </c>
      <c r="L160" s="205"/>
      <c r="M160" s="191"/>
      <c r="N160" s="204">
        <f>IF('_Datos'!$C160,'_Datos'!$BA160,"")</f>
      </c>
    </row>
    <row r="161">
      <c r="B161" s="204">
        <f>IF('_Datos'!$C161,'_Datos'!$O161,"")</f>
      </c>
      <c r="C161" s="205">
        <f>IF('_Datos'!$C161,'_Datos'!$F161,IF('_Datos'!$B161,'Proyecto Datos (OKR´s)'!$G161,""))</f>
      </c>
      <c r="D161" s="204">
        <f>IF('_Datos'!$C161,'_Datos'!$AO161,"")</f>
      </c>
      <c r="E161" s="206">
        <f>IF('_Datos'!$C161,'_Datos'!$H161,"")</f>
      </c>
      <c r="F161" s="204">
        <f>IF('_Datos'!$C161,IF(ISNUMBER('_Datos'!$AR161),'_Datos'!$AR161,"(Sin fecha)"),"")</f>
      </c>
      <c r="G161" s="204"/>
      <c r="H161" s="205"/>
      <c r="I161" s="204">
        <f>IF('_Datos'!$C161,IF(ISNUMBER('_Datos'!$AV161),'_Datos'!$AV161,"(Sin fecha)"),"")</f>
      </c>
      <c r="J161" s="208">
        <f>IF('_Datos'!$C161,'_Datos'!$AX161,"")</f>
      </c>
      <c r="K161" s="205">
        <f>IF('_Datos'!$C161,IF('Proyecto Datos (OKR´s)'!$C161="","",'Proyecto Datos (OKR´s)'!$C161),"")</f>
      </c>
      <c r="L161" s="205"/>
      <c r="M161" s="191"/>
      <c r="N161" s="204">
        <f>IF('_Datos'!$C161,'_Datos'!$BA161,"")</f>
      </c>
    </row>
    <row r="162">
      <c r="B162" s="204">
        <f>IF('_Datos'!$C162,'_Datos'!$O162,"")</f>
      </c>
      <c r="C162" s="205">
        <f>IF('_Datos'!$C162,'_Datos'!$F162,IF('_Datos'!$B162,'Proyecto Datos (OKR´s)'!$G162,""))</f>
      </c>
      <c r="D162" s="204">
        <f>IF('_Datos'!$C162,'_Datos'!$AO162,"")</f>
      </c>
      <c r="E162" s="206">
        <f>IF('_Datos'!$C162,'_Datos'!$H162,"")</f>
      </c>
      <c r="F162" s="204">
        <f>IF('_Datos'!$C162,IF(ISNUMBER('_Datos'!$AR162),'_Datos'!$AR162,"(Sin fecha)"),"")</f>
      </c>
      <c r="G162" s="204"/>
      <c r="H162" s="205"/>
      <c r="I162" s="204">
        <f>IF('_Datos'!$C162,IF(ISNUMBER('_Datos'!$AV162),'_Datos'!$AV162,"(Sin fecha)"),"")</f>
      </c>
      <c r="J162" s="208">
        <f>IF('_Datos'!$C162,'_Datos'!$AX162,"")</f>
      </c>
      <c r="K162" s="205">
        <f>IF('_Datos'!$C162,IF('Proyecto Datos (OKR´s)'!$C162="","",'Proyecto Datos (OKR´s)'!$C162),"")</f>
      </c>
      <c r="L162" s="205"/>
      <c r="M162" s="191"/>
      <c r="N162" s="204">
        <f>IF('_Datos'!$C162,'_Datos'!$BA162,"")</f>
      </c>
    </row>
    <row r="163">
      <c r="B163" s="204">
        <f>IF('_Datos'!$C163,'_Datos'!$O163,"")</f>
      </c>
      <c r="C163" s="205">
        <f>IF('_Datos'!$C163,'_Datos'!$F163,IF('_Datos'!$B163,'Proyecto Datos (OKR´s)'!$G163,""))</f>
      </c>
      <c r="D163" s="204">
        <f>IF('_Datos'!$C163,'_Datos'!$AO163,"")</f>
      </c>
      <c r="E163" s="206">
        <f>IF('_Datos'!$C163,'_Datos'!$H163,"")</f>
      </c>
      <c r="F163" s="204">
        <f>IF('_Datos'!$C163,IF(ISNUMBER('_Datos'!$AR163),'_Datos'!$AR163,"(Sin fecha)"),"")</f>
      </c>
      <c r="G163" s="204"/>
      <c r="H163" s="205"/>
      <c r="I163" s="204">
        <f>IF('_Datos'!$C163,IF(ISNUMBER('_Datos'!$AV163),'_Datos'!$AV163,"(Sin fecha)"),"")</f>
      </c>
      <c r="J163" s="208">
        <f>IF('_Datos'!$C163,'_Datos'!$AX163,"")</f>
      </c>
      <c r="K163" s="205">
        <f>IF('_Datos'!$C163,IF('Proyecto Datos (OKR´s)'!$C163="","",'Proyecto Datos (OKR´s)'!$C163),"")</f>
      </c>
      <c r="L163" s="205"/>
      <c r="M163" s="191"/>
      <c r="N163" s="204">
        <f>IF('_Datos'!$C163,'_Datos'!$BA163,"")</f>
      </c>
    </row>
    <row r="164">
      <c r="B164" s="204">
        <f>IF('_Datos'!$C164,'_Datos'!$O164,"")</f>
      </c>
      <c r="C164" s="205">
        <f>IF('_Datos'!$C164,'_Datos'!$F164,IF('_Datos'!$B164,'Proyecto Datos (OKR´s)'!$G164,""))</f>
      </c>
      <c r="D164" s="204">
        <f>IF('_Datos'!$C164,'_Datos'!$AO164,"")</f>
      </c>
      <c r="E164" s="206">
        <f>IF('_Datos'!$C164,'_Datos'!$H164,"")</f>
      </c>
      <c r="F164" s="204">
        <f>IF('_Datos'!$C164,IF(ISNUMBER('_Datos'!$AR164),'_Datos'!$AR164,"(Sin fecha)"),"")</f>
      </c>
      <c r="G164" s="204"/>
      <c r="H164" s="205"/>
      <c r="I164" s="204">
        <f>IF('_Datos'!$C164,IF(ISNUMBER('_Datos'!$AV164),'_Datos'!$AV164,"(Sin fecha)"),"")</f>
      </c>
      <c r="J164" s="208">
        <f>IF('_Datos'!$C164,'_Datos'!$AX164,"")</f>
      </c>
      <c r="K164" s="205">
        <f>IF('_Datos'!$C164,IF('Proyecto Datos (OKR´s)'!$C164="","",'Proyecto Datos (OKR´s)'!$C164),"")</f>
      </c>
      <c r="L164" s="205"/>
      <c r="M164" s="191"/>
      <c r="N164" s="204">
        <f>IF('_Datos'!$C164,'_Datos'!$BA164,"")</f>
      </c>
    </row>
    <row r="165">
      <c r="B165" s="204">
        <f>IF('_Datos'!$C165,'_Datos'!$O165,"")</f>
      </c>
      <c r="C165" s="205">
        <f>IF('_Datos'!$C165,'_Datos'!$F165,IF('_Datos'!$B165,'Proyecto Datos (OKR´s)'!$G165,""))</f>
      </c>
      <c r="D165" s="204">
        <f>IF('_Datos'!$C165,'_Datos'!$AO165,"")</f>
      </c>
      <c r="E165" s="206">
        <f>IF('_Datos'!$C165,'_Datos'!$H165,"")</f>
      </c>
      <c r="F165" s="204">
        <f>IF('_Datos'!$C165,IF(ISNUMBER('_Datos'!$AR165),'_Datos'!$AR165,"(Sin fecha)"),"")</f>
      </c>
      <c r="G165" s="204"/>
      <c r="H165" s="205"/>
      <c r="I165" s="204">
        <f>IF('_Datos'!$C165,IF(ISNUMBER('_Datos'!$AV165),'_Datos'!$AV165,"(Sin fecha)"),"")</f>
      </c>
      <c r="J165" s="208">
        <f>IF('_Datos'!$C165,'_Datos'!$AX165,"")</f>
      </c>
      <c r="K165" s="205">
        <f>IF('_Datos'!$C165,IF('Proyecto Datos (OKR´s)'!$C165="","",'Proyecto Datos (OKR´s)'!$C165),"")</f>
      </c>
      <c r="L165" s="205"/>
      <c r="M165" s="191"/>
      <c r="N165" s="204">
        <f>IF('_Datos'!$C165,'_Datos'!$BA165,"")</f>
      </c>
    </row>
    <row r="166">
      <c r="B166" s="204">
        <f>IF('_Datos'!$C166,'_Datos'!$O166,"")</f>
      </c>
      <c r="C166" s="205">
        <f>IF('_Datos'!$C166,'_Datos'!$F166,IF('_Datos'!$B166,'Proyecto Datos (OKR´s)'!$G166,""))</f>
      </c>
      <c r="D166" s="204">
        <f>IF('_Datos'!$C166,'_Datos'!$AO166,"")</f>
      </c>
      <c r="E166" s="206">
        <f>IF('_Datos'!$C166,'_Datos'!$H166,"")</f>
      </c>
      <c r="F166" s="204">
        <f>IF('_Datos'!$C166,IF(ISNUMBER('_Datos'!$AR166),'_Datos'!$AR166,"(Sin fecha)"),"")</f>
      </c>
      <c r="G166" s="204"/>
      <c r="H166" s="205"/>
      <c r="I166" s="204">
        <f>IF('_Datos'!$C166,IF(ISNUMBER('_Datos'!$AV166),'_Datos'!$AV166,"(Sin fecha)"),"")</f>
      </c>
      <c r="J166" s="208">
        <f>IF('_Datos'!$C166,'_Datos'!$AX166,"")</f>
      </c>
      <c r="K166" s="205">
        <f>IF('_Datos'!$C166,IF('Proyecto Datos (OKR´s)'!$C166="","",'Proyecto Datos (OKR´s)'!$C166),"")</f>
      </c>
      <c r="L166" s="205"/>
      <c r="M166" s="191"/>
      <c r="N166" s="204">
        <f>IF('_Datos'!$C166,'_Datos'!$BA166,"")</f>
      </c>
    </row>
    <row r="167">
      <c r="B167" s="204">
        <f>IF('_Datos'!$C167,'_Datos'!$O167,"")</f>
      </c>
      <c r="C167" s="205">
        <f>IF('_Datos'!$C167,'_Datos'!$F167,IF('_Datos'!$B167,'Proyecto Datos (OKR´s)'!$G167,""))</f>
      </c>
      <c r="D167" s="204">
        <f>IF('_Datos'!$C167,'_Datos'!$AO167,"")</f>
      </c>
      <c r="E167" s="206">
        <f>IF('_Datos'!$C167,'_Datos'!$H167,"")</f>
      </c>
      <c r="F167" s="204">
        <f>IF('_Datos'!$C167,IF(ISNUMBER('_Datos'!$AR167),'_Datos'!$AR167,"(Sin fecha)"),"")</f>
      </c>
      <c r="G167" s="204"/>
      <c r="H167" s="205"/>
      <c r="I167" s="204">
        <f>IF('_Datos'!$C167,IF(ISNUMBER('_Datos'!$AV167),'_Datos'!$AV167,"(Sin fecha)"),"")</f>
      </c>
      <c r="J167" s="208">
        <f>IF('_Datos'!$C167,'_Datos'!$AX167,"")</f>
      </c>
      <c r="K167" s="205">
        <f>IF('_Datos'!$C167,IF('Proyecto Datos (OKR´s)'!$C167="","",'Proyecto Datos (OKR´s)'!$C167),"")</f>
      </c>
      <c r="L167" s="205"/>
      <c r="M167" s="191"/>
      <c r="N167" s="204">
        <f>IF('_Datos'!$C167,'_Datos'!$BA167,"")</f>
      </c>
    </row>
    <row r="168">
      <c r="B168" s="204">
        <f>IF('_Datos'!$C168,'_Datos'!$O168,"")</f>
      </c>
      <c r="C168" s="205">
        <f>IF('_Datos'!$C168,'_Datos'!$F168,IF('_Datos'!$B168,'Proyecto Datos (OKR´s)'!$G168,""))</f>
      </c>
      <c r="D168" s="204">
        <f>IF('_Datos'!$C168,'_Datos'!$AO168,"")</f>
      </c>
      <c r="E168" s="206">
        <f>IF('_Datos'!$C168,'_Datos'!$H168,"")</f>
      </c>
      <c r="F168" s="204">
        <f>IF('_Datos'!$C168,IF(ISNUMBER('_Datos'!$AR168),'_Datos'!$AR168,"(Sin fecha)"),"")</f>
      </c>
      <c r="G168" s="204"/>
      <c r="H168" s="205"/>
      <c r="I168" s="204">
        <f>IF('_Datos'!$C168,IF(ISNUMBER('_Datos'!$AV168),'_Datos'!$AV168,"(Sin fecha)"),"")</f>
      </c>
      <c r="J168" s="208">
        <f>IF('_Datos'!$C168,'_Datos'!$AX168,"")</f>
      </c>
      <c r="K168" s="205">
        <f>IF('_Datos'!$C168,IF('Proyecto Datos (OKR´s)'!$C168="","",'Proyecto Datos (OKR´s)'!$C168),"")</f>
      </c>
      <c r="L168" s="205"/>
      <c r="M168" s="191"/>
      <c r="N168" s="204">
        <f>IF('_Datos'!$C168,'_Datos'!$BA168,"")</f>
      </c>
    </row>
    <row r="169">
      <c r="B169" s="204">
        <f>IF('_Datos'!$C169,'_Datos'!$O169,"")</f>
      </c>
      <c r="C169" s="205">
        <f>IF('_Datos'!$C169,'_Datos'!$F169,IF('_Datos'!$B169,'Proyecto Datos (OKR´s)'!$G169,""))</f>
      </c>
      <c r="D169" s="204">
        <f>IF('_Datos'!$C169,'_Datos'!$AO169,"")</f>
      </c>
      <c r="E169" s="206">
        <f>IF('_Datos'!$C169,'_Datos'!$H169,"")</f>
      </c>
      <c r="F169" s="204">
        <f>IF('_Datos'!$C169,IF(ISNUMBER('_Datos'!$AR169),'_Datos'!$AR169,"(Sin fecha)"),"")</f>
      </c>
      <c r="G169" s="204"/>
      <c r="H169" s="205"/>
      <c r="I169" s="204">
        <f>IF('_Datos'!$C169,IF(ISNUMBER('_Datos'!$AV169),'_Datos'!$AV169,"(Sin fecha)"),"")</f>
      </c>
      <c r="J169" s="208">
        <f>IF('_Datos'!$C169,'_Datos'!$AX169,"")</f>
      </c>
      <c r="K169" s="205">
        <f>IF('_Datos'!$C169,IF('Proyecto Datos (OKR´s)'!$C169="","",'Proyecto Datos (OKR´s)'!$C169),"")</f>
      </c>
      <c r="L169" s="205"/>
      <c r="M169" s="191"/>
      <c r="N169" s="204">
        <f>IF('_Datos'!$C169,'_Datos'!$BA169,"")</f>
      </c>
    </row>
    <row r="170">
      <c r="B170" s="204">
        <f>IF('_Datos'!$C170,'_Datos'!$O170,"")</f>
      </c>
      <c r="C170" s="205">
        <f>IF('_Datos'!$C170,'_Datos'!$F170,IF('_Datos'!$B170,'Proyecto Datos (OKR´s)'!$G170,""))</f>
      </c>
      <c r="D170" s="204">
        <f>IF('_Datos'!$C170,'_Datos'!$AO170,"")</f>
      </c>
      <c r="E170" s="206">
        <f>IF('_Datos'!$C170,'_Datos'!$H170,"")</f>
      </c>
      <c r="F170" s="204">
        <f>IF('_Datos'!$C170,IF(ISNUMBER('_Datos'!$AR170),'_Datos'!$AR170,"(Sin fecha)"),"")</f>
      </c>
      <c r="G170" s="204"/>
      <c r="H170" s="205"/>
      <c r="I170" s="204">
        <f>IF('_Datos'!$C170,IF(ISNUMBER('_Datos'!$AV170),'_Datos'!$AV170,"(Sin fecha)"),"")</f>
      </c>
      <c r="J170" s="208">
        <f>IF('_Datos'!$C170,'_Datos'!$AX170,"")</f>
      </c>
      <c r="K170" s="205">
        <f>IF('_Datos'!$C170,IF('Proyecto Datos (OKR´s)'!$C170="","",'Proyecto Datos (OKR´s)'!$C170),"")</f>
      </c>
      <c r="L170" s="205"/>
      <c r="M170" s="191"/>
      <c r="N170" s="204">
        <f>IF('_Datos'!$C170,'_Datos'!$BA170,"")</f>
      </c>
    </row>
    <row r="171">
      <c r="B171" s="204">
        <f>IF('_Datos'!$C171,'_Datos'!$O171,"")</f>
      </c>
      <c r="C171" s="205">
        <f>IF('_Datos'!$C171,'_Datos'!$F171,IF('_Datos'!$B171,'Proyecto Datos (OKR´s)'!$G171,""))</f>
      </c>
      <c r="D171" s="204">
        <f>IF('_Datos'!$C171,'_Datos'!$AO171,"")</f>
      </c>
      <c r="E171" s="206">
        <f>IF('_Datos'!$C171,'_Datos'!$H171,"")</f>
      </c>
      <c r="F171" s="204">
        <f>IF('_Datos'!$C171,IF(ISNUMBER('_Datos'!$AR171),'_Datos'!$AR171,"(Sin fecha)"),"")</f>
      </c>
      <c r="G171" s="204"/>
      <c r="H171" s="205"/>
      <c r="I171" s="204">
        <f>IF('_Datos'!$C171,IF(ISNUMBER('_Datos'!$AV171),'_Datos'!$AV171,"(Sin fecha)"),"")</f>
      </c>
      <c r="J171" s="208">
        <f>IF('_Datos'!$C171,'_Datos'!$AX171,"")</f>
      </c>
      <c r="K171" s="205">
        <f>IF('_Datos'!$C171,IF('Proyecto Datos (OKR´s)'!$C171="","",'Proyecto Datos (OKR´s)'!$C171),"")</f>
      </c>
      <c r="L171" s="205"/>
      <c r="M171" s="191"/>
      <c r="N171" s="204">
        <f>IF('_Datos'!$C171,'_Datos'!$BA171,"")</f>
      </c>
    </row>
    <row r="172">
      <c r="B172" s="204">
        <f>IF('_Datos'!$C172,'_Datos'!$O172,"")</f>
      </c>
      <c r="C172" s="205">
        <f>IF('_Datos'!$C172,'_Datos'!$F172,IF('_Datos'!$B172,'Proyecto Datos (OKR´s)'!$G172,""))</f>
      </c>
      <c r="D172" s="204">
        <f>IF('_Datos'!$C172,'_Datos'!$AO172,"")</f>
      </c>
      <c r="E172" s="206">
        <f>IF('_Datos'!$C172,'_Datos'!$H172,"")</f>
      </c>
      <c r="F172" s="204">
        <f>IF('_Datos'!$C172,IF(ISNUMBER('_Datos'!$AR172),'_Datos'!$AR172,"(Sin fecha)"),"")</f>
      </c>
      <c r="G172" s="204"/>
      <c r="H172" s="205"/>
      <c r="I172" s="204">
        <f>IF('_Datos'!$C172,IF(ISNUMBER('_Datos'!$AV172),'_Datos'!$AV172,"(Sin fecha)"),"")</f>
      </c>
      <c r="J172" s="208">
        <f>IF('_Datos'!$C172,'_Datos'!$AX172,"")</f>
      </c>
      <c r="K172" s="205">
        <f>IF('_Datos'!$C172,IF('Proyecto Datos (OKR´s)'!$C172="","",'Proyecto Datos (OKR´s)'!$C172),"")</f>
      </c>
      <c r="L172" s="205"/>
      <c r="M172" s="191"/>
      <c r="N172" s="204">
        <f>IF('_Datos'!$C172,'_Datos'!$BA172,"")</f>
      </c>
    </row>
    <row r="173">
      <c r="B173" s="204">
        <f>IF('_Datos'!$C173,'_Datos'!$O173,"")</f>
      </c>
      <c r="C173" s="205">
        <f>IF('_Datos'!$C173,'_Datos'!$F173,IF('_Datos'!$B173,'Proyecto Datos (OKR´s)'!$G173,""))</f>
      </c>
      <c r="D173" s="204">
        <f>IF('_Datos'!$C173,'_Datos'!$AO173,"")</f>
      </c>
      <c r="E173" s="206">
        <f>IF('_Datos'!$C173,'_Datos'!$H173,"")</f>
      </c>
      <c r="F173" s="204">
        <f>IF('_Datos'!$C173,IF(ISNUMBER('_Datos'!$AR173),'_Datos'!$AR173,"(Sin fecha)"),"")</f>
      </c>
      <c r="G173" s="204"/>
      <c r="H173" s="205"/>
      <c r="I173" s="204">
        <f>IF('_Datos'!$C173,IF(ISNUMBER('_Datos'!$AV173),'_Datos'!$AV173,"(Sin fecha)"),"")</f>
      </c>
      <c r="J173" s="208">
        <f>IF('_Datos'!$C173,'_Datos'!$AX173,"")</f>
      </c>
      <c r="K173" s="205">
        <f>IF('_Datos'!$C173,IF('Proyecto Datos (OKR´s)'!$C173="","",'Proyecto Datos (OKR´s)'!$C173),"")</f>
      </c>
      <c r="L173" s="205"/>
      <c r="M173" s="191"/>
      <c r="N173" s="204">
        <f>IF('_Datos'!$C173,'_Datos'!$BA173,"")</f>
      </c>
    </row>
    <row r="174">
      <c r="B174" s="204">
        <f>IF('_Datos'!$C174,'_Datos'!$O174,"")</f>
      </c>
      <c r="C174" s="205">
        <f>IF('_Datos'!$C174,'_Datos'!$F174,IF('_Datos'!$B174,'Proyecto Datos (OKR´s)'!$G174,""))</f>
      </c>
      <c r="D174" s="204">
        <f>IF('_Datos'!$C174,'_Datos'!$AO174,"")</f>
      </c>
      <c r="E174" s="206">
        <f>IF('_Datos'!$C174,'_Datos'!$H174,"")</f>
      </c>
      <c r="F174" s="204">
        <f>IF('_Datos'!$C174,IF(ISNUMBER('_Datos'!$AR174),'_Datos'!$AR174,"(Sin fecha)"),"")</f>
      </c>
      <c r="G174" s="204"/>
      <c r="H174" s="205"/>
      <c r="I174" s="204">
        <f>IF('_Datos'!$C174,IF(ISNUMBER('_Datos'!$AV174),'_Datos'!$AV174,"(Sin fecha)"),"")</f>
      </c>
      <c r="J174" s="208">
        <f>IF('_Datos'!$C174,'_Datos'!$AX174,"")</f>
      </c>
      <c r="K174" s="205">
        <f>IF('_Datos'!$C174,IF('Proyecto Datos (OKR´s)'!$C174="","",'Proyecto Datos (OKR´s)'!$C174),"")</f>
      </c>
      <c r="L174" s="205"/>
      <c r="M174" s="191"/>
      <c r="N174" s="204">
        <f>IF('_Datos'!$C174,'_Datos'!$BA174,"")</f>
      </c>
    </row>
    <row r="175">
      <c r="B175" s="204">
        <f>IF('_Datos'!$C175,'_Datos'!$O175,"")</f>
      </c>
      <c r="C175" s="205">
        <f>IF('_Datos'!$C175,'_Datos'!$F175,IF('_Datos'!$B175,'Proyecto Datos (OKR´s)'!$G175,""))</f>
      </c>
      <c r="D175" s="204">
        <f>IF('_Datos'!$C175,'_Datos'!$AO175,"")</f>
      </c>
      <c r="E175" s="206">
        <f>IF('_Datos'!$C175,'_Datos'!$H175,"")</f>
      </c>
      <c r="F175" s="204">
        <f>IF('_Datos'!$C175,IF(ISNUMBER('_Datos'!$AR175),'_Datos'!$AR175,"(Sin fecha)"),"")</f>
      </c>
      <c r="G175" s="204"/>
      <c r="H175" s="205"/>
      <c r="I175" s="204">
        <f>IF('_Datos'!$C175,IF(ISNUMBER('_Datos'!$AV175),'_Datos'!$AV175,"(Sin fecha)"),"")</f>
      </c>
      <c r="J175" s="208">
        <f>IF('_Datos'!$C175,'_Datos'!$AX175,"")</f>
      </c>
      <c r="K175" s="205">
        <f>IF('_Datos'!$C175,IF('Proyecto Datos (OKR´s)'!$C175="","",'Proyecto Datos (OKR´s)'!$C175),"")</f>
      </c>
      <c r="L175" s="205"/>
      <c r="M175" s="191"/>
      <c r="N175" s="204">
        <f>IF('_Datos'!$C175,'_Datos'!$BA175,"")</f>
      </c>
    </row>
    <row r="176">
      <c r="B176" s="204">
        <f>IF('_Datos'!$C176,'_Datos'!$O176,"")</f>
      </c>
      <c r="C176" s="205">
        <f>IF('_Datos'!$C176,'_Datos'!$F176,IF('_Datos'!$B176,'Proyecto Datos (OKR´s)'!$G176,""))</f>
      </c>
      <c r="D176" s="204">
        <f>IF('_Datos'!$C176,'_Datos'!$AO176,"")</f>
      </c>
      <c r="E176" s="206">
        <f>IF('_Datos'!$C176,'_Datos'!$H176,"")</f>
      </c>
      <c r="F176" s="204">
        <f>IF('_Datos'!$C176,IF(ISNUMBER('_Datos'!$AR176),'_Datos'!$AR176,"(Sin fecha)"),"")</f>
      </c>
      <c r="G176" s="204"/>
      <c r="H176" s="205"/>
      <c r="I176" s="204">
        <f>IF('_Datos'!$C176,IF(ISNUMBER('_Datos'!$AV176),'_Datos'!$AV176,"(Sin fecha)"),"")</f>
      </c>
      <c r="J176" s="208">
        <f>IF('_Datos'!$C176,'_Datos'!$AX176,"")</f>
      </c>
      <c r="K176" s="205">
        <f>IF('_Datos'!$C176,IF('Proyecto Datos (OKR´s)'!$C176="","",'Proyecto Datos (OKR´s)'!$C176),"")</f>
      </c>
      <c r="L176" s="205"/>
      <c r="M176" s="191"/>
      <c r="N176" s="204">
        <f>IF('_Datos'!$C176,'_Datos'!$BA176,"")</f>
      </c>
    </row>
    <row r="177">
      <c r="B177" s="204">
        <f>IF('_Datos'!$C177,'_Datos'!$O177,"")</f>
      </c>
      <c r="C177" s="205">
        <f>IF('_Datos'!$C177,'_Datos'!$F177,IF('_Datos'!$B177,'Proyecto Datos (OKR´s)'!$G177,""))</f>
      </c>
      <c r="D177" s="204">
        <f>IF('_Datos'!$C177,'_Datos'!$AO177,"")</f>
      </c>
      <c r="E177" s="206">
        <f>IF('_Datos'!$C177,'_Datos'!$H177,"")</f>
      </c>
      <c r="F177" s="204">
        <f>IF('_Datos'!$C177,IF(ISNUMBER('_Datos'!$AR177),'_Datos'!$AR177,"(Sin fecha)"),"")</f>
      </c>
      <c r="G177" s="204"/>
      <c r="H177" s="205"/>
      <c r="I177" s="204">
        <f>IF('_Datos'!$C177,IF(ISNUMBER('_Datos'!$AV177),'_Datos'!$AV177,"(Sin fecha)"),"")</f>
      </c>
      <c r="J177" s="208">
        <f>IF('_Datos'!$C177,'_Datos'!$AX177,"")</f>
      </c>
      <c r="K177" s="205">
        <f>IF('_Datos'!$C177,IF('Proyecto Datos (OKR´s)'!$C177="","",'Proyecto Datos (OKR´s)'!$C177),"")</f>
      </c>
      <c r="L177" s="205"/>
      <c r="M177" s="191"/>
      <c r="N177" s="204">
        <f>IF('_Datos'!$C177,'_Datos'!$BA177,"")</f>
      </c>
    </row>
    <row r="178">
      <c r="B178" s="204">
        <f>IF('_Datos'!$C178,'_Datos'!$O178,"")</f>
      </c>
      <c r="C178" s="205">
        <f>IF('_Datos'!$C178,'_Datos'!$F178,IF('_Datos'!$B178,'Proyecto Datos (OKR´s)'!$G178,""))</f>
      </c>
      <c r="D178" s="204">
        <f>IF('_Datos'!$C178,'_Datos'!$AO178,"")</f>
      </c>
      <c r="E178" s="206">
        <f>IF('_Datos'!$C178,'_Datos'!$H178,"")</f>
      </c>
      <c r="F178" s="204">
        <f>IF('_Datos'!$C178,IF(ISNUMBER('_Datos'!$AR178),'_Datos'!$AR178,"(Sin fecha)"),"")</f>
      </c>
      <c r="G178" s="204"/>
      <c r="H178" s="205"/>
      <c r="I178" s="204">
        <f>IF('_Datos'!$C178,IF(ISNUMBER('_Datos'!$AV178),'_Datos'!$AV178,"(Sin fecha)"),"")</f>
      </c>
      <c r="J178" s="208">
        <f>IF('_Datos'!$C178,'_Datos'!$AX178,"")</f>
      </c>
      <c r="K178" s="205">
        <f>IF('_Datos'!$C178,IF('Proyecto Datos (OKR´s)'!$C178="","",'Proyecto Datos (OKR´s)'!$C178),"")</f>
      </c>
      <c r="L178" s="205"/>
      <c r="M178" s="191"/>
      <c r="N178" s="204">
        <f>IF('_Datos'!$C178,'_Datos'!$BA178,"")</f>
      </c>
    </row>
    <row r="179">
      <c r="B179" s="204">
        <f>IF('_Datos'!$C179,'_Datos'!$O179,"")</f>
      </c>
      <c r="C179" s="205">
        <f>IF('_Datos'!$C179,'_Datos'!$F179,IF('_Datos'!$B179,'Proyecto Datos (OKR´s)'!$G179,""))</f>
      </c>
      <c r="D179" s="204">
        <f>IF('_Datos'!$C179,'_Datos'!$AO179,"")</f>
      </c>
      <c r="E179" s="206">
        <f>IF('_Datos'!$C179,'_Datos'!$H179,"")</f>
      </c>
      <c r="F179" s="204">
        <f>IF('_Datos'!$C179,IF(ISNUMBER('_Datos'!$AR179),'_Datos'!$AR179,"(Sin fecha)"),"")</f>
      </c>
      <c r="G179" s="204"/>
      <c r="H179" s="205"/>
      <c r="I179" s="204">
        <f>IF('_Datos'!$C179,IF(ISNUMBER('_Datos'!$AV179),'_Datos'!$AV179,"(Sin fecha)"),"")</f>
      </c>
      <c r="J179" s="208">
        <f>IF('_Datos'!$C179,'_Datos'!$AX179,"")</f>
      </c>
      <c r="K179" s="205">
        <f>IF('_Datos'!$C179,IF('Proyecto Datos (OKR´s)'!$C179="","",'Proyecto Datos (OKR´s)'!$C179),"")</f>
      </c>
      <c r="L179" s="205"/>
      <c r="M179" s="191"/>
      <c r="N179" s="204">
        <f>IF('_Datos'!$C179,'_Datos'!$BA179,"")</f>
      </c>
    </row>
    <row r="180">
      <c r="B180" s="204">
        <f>IF('_Datos'!$C180,'_Datos'!$O180,"")</f>
      </c>
      <c r="C180" s="205">
        <f>IF('_Datos'!$C180,'_Datos'!$F180,IF('_Datos'!$B180,'Proyecto Datos (OKR´s)'!$G180,""))</f>
      </c>
      <c r="D180" s="204">
        <f>IF('_Datos'!$C180,'_Datos'!$AO180,"")</f>
      </c>
      <c r="E180" s="206">
        <f>IF('_Datos'!$C180,'_Datos'!$H180,"")</f>
      </c>
      <c r="F180" s="204">
        <f>IF('_Datos'!$C180,IF(ISNUMBER('_Datos'!$AR180),'_Datos'!$AR180,"(Sin fecha)"),"")</f>
      </c>
      <c r="G180" s="204"/>
      <c r="H180" s="205"/>
      <c r="I180" s="204">
        <f>IF('_Datos'!$C180,IF(ISNUMBER('_Datos'!$AV180),'_Datos'!$AV180,"(Sin fecha)"),"")</f>
      </c>
      <c r="J180" s="208">
        <f>IF('_Datos'!$C180,'_Datos'!$AX180,"")</f>
      </c>
      <c r="K180" s="205">
        <f>IF('_Datos'!$C180,IF('Proyecto Datos (OKR´s)'!$C180="","",'Proyecto Datos (OKR´s)'!$C180),"")</f>
      </c>
      <c r="L180" s="205"/>
      <c r="M180" s="191"/>
      <c r="N180" s="204">
        <f>IF('_Datos'!$C180,'_Datos'!$BA180,"")</f>
      </c>
    </row>
    <row r="181">
      <c r="B181" s="204">
        <f>IF('_Datos'!$C181,'_Datos'!$O181,"")</f>
      </c>
      <c r="C181" s="205">
        <f>IF('_Datos'!$C181,'_Datos'!$F181,IF('_Datos'!$B181,'Proyecto Datos (OKR´s)'!$G181,""))</f>
      </c>
      <c r="D181" s="204">
        <f>IF('_Datos'!$C181,'_Datos'!$AO181,"")</f>
      </c>
      <c r="E181" s="206">
        <f>IF('_Datos'!$C181,'_Datos'!$H181,"")</f>
      </c>
      <c r="F181" s="204">
        <f>IF('_Datos'!$C181,IF(ISNUMBER('_Datos'!$AR181),'_Datos'!$AR181,"(Sin fecha)"),"")</f>
      </c>
      <c r="G181" s="204"/>
      <c r="H181" s="205"/>
      <c r="I181" s="204">
        <f>IF('_Datos'!$C181,IF(ISNUMBER('_Datos'!$AV181),'_Datos'!$AV181,"(Sin fecha)"),"")</f>
      </c>
      <c r="J181" s="208">
        <f>IF('_Datos'!$C181,'_Datos'!$AX181,"")</f>
      </c>
      <c r="K181" s="205">
        <f>IF('_Datos'!$C181,IF('Proyecto Datos (OKR´s)'!$C181="","",'Proyecto Datos (OKR´s)'!$C181),"")</f>
      </c>
      <c r="L181" s="205"/>
      <c r="M181" s="191"/>
      <c r="N181" s="204">
        <f>IF('_Datos'!$C181,'_Datos'!$BA181,"")</f>
      </c>
    </row>
    <row r="182">
      <c r="B182" s="204">
        <f>IF('_Datos'!$C182,'_Datos'!$O182,"")</f>
      </c>
      <c r="C182" s="205">
        <f>IF('_Datos'!$C182,'_Datos'!$F182,IF('_Datos'!$B182,'Proyecto Datos (OKR´s)'!$G182,""))</f>
      </c>
      <c r="D182" s="204">
        <f>IF('_Datos'!$C182,'_Datos'!$AO182,"")</f>
      </c>
      <c r="E182" s="206">
        <f>IF('_Datos'!$C182,'_Datos'!$H182,"")</f>
      </c>
      <c r="F182" s="204">
        <f>IF('_Datos'!$C182,IF(ISNUMBER('_Datos'!$AR182),'_Datos'!$AR182,"(Sin fecha)"),"")</f>
      </c>
      <c r="G182" s="204"/>
      <c r="H182" s="205"/>
      <c r="I182" s="204">
        <f>IF('_Datos'!$C182,IF(ISNUMBER('_Datos'!$AV182),'_Datos'!$AV182,"(Sin fecha)"),"")</f>
      </c>
      <c r="J182" s="208">
        <f>IF('_Datos'!$C182,'_Datos'!$AX182,"")</f>
      </c>
      <c r="K182" s="205">
        <f>IF('_Datos'!$C182,IF('Proyecto Datos (OKR´s)'!$C182="","",'Proyecto Datos (OKR´s)'!$C182),"")</f>
      </c>
      <c r="L182" s="205"/>
      <c r="M182" s="191"/>
      <c r="N182" s="204">
        <f>IF('_Datos'!$C182,'_Datos'!$BA182,"")</f>
      </c>
    </row>
    <row r="183">
      <c r="B183" s="204">
        <f>IF('_Datos'!$C183,'_Datos'!$O183,"")</f>
      </c>
      <c r="C183" s="205">
        <f>IF('_Datos'!$C183,'_Datos'!$F183,IF('_Datos'!$B183,'Proyecto Datos (OKR´s)'!$G183,""))</f>
      </c>
      <c r="D183" s="204">
        <f>IF('_Datos'!$C183,'_Datos'!$AO183,"")</f>
      </c>
      <c r="E183" s="206">
        <f>IF('_Datos'!$C183,'_Datos'!$H183,"")</f>
      </c>
      <c r="F183" s="204">
        <f>IF('_Datos'!$C183,IF(ISNUMBER('_Datos'!$AR183),'_Datos'!$AR183,"(Sin fecha)"),"")</f>
      </c>
      <c r="G183" s="204"/>
      <c r="H183" s="205"/>
      <c r="I183" s="204">
        <f>IF('_Datos'!$C183,IF(ISNUMBER('_Datos'!$AV183),'_Datos'!$AV183,"(Sin fecha)"),"")</f>
      </c>
      <c r="J183" s="208">
        <f>IF('_Datos'!$C183,'_Datos'!$AX183,"")</f>
      </c>
      <c r="K183" s="205">
        <f>IF('_Datos'!$C183,IF('Proyecto Datos (OKR´s)'!$C183="","",'Proyecto Datos (OKR´s)'!$C183),"")</f>
      </c>
      <c r="L183" s="205"/>
      <c r="M183" s="191"/>
      <c r="N183" s="204">
        <f>IF('_Datos'!$C183,'_Datos'!$BA183,"")</f>
      </c>
    </row>
    <row r="184">
      <c r="B184" s="204">
        <f>IF('_Datos'!$C184,'_Datos'!$O184,"")</f>
      </c>
      <c r="C184" s="205">
        <f>IF('_Datos'!$C184,'_Datos'!$F184,IF('_Datos'!$B184,'Proyecto Datos (OKR´s)'!$G184,""))</f>
      </c>
      <c r="D184" s="204">
        <f>IF('_Datos'!$C184,'_Datos'!$AO184,"")</f>
      </c>
      <c r="E184" s="206">
        <f>IF('_Datos'!$C184,'_Datos'!$H184,"")</f>
      </c>
      <c r="F184" s="204">
        <f>IF('_Datos'!$C184,IF(ISNUMBER('_Datos'!$AR184),'_Datos'!$AR184,"(Sin fecha)"),"")</f>
      </c>
      <c r="G184" s="204"/>
      <c r="H184" s="205"/>
      <c r="I184" s="204">
        <f>IF('_Datos'!$C184,IF(ISNUMBER('_Datos'!$AV184),'_Datos'!$AV184,"(Sin fecha)"),"")</f>
      </c>
      <c r="J184" s="208">
        <f>IF('_Datos'!$C184,'_Datos'!$AX184,"")</f>
      </c>
      <c r="K184" s="205">
        <f>IF('_Datos'!$C184,IF('Proyecto Datos (OKR´s)'!$C184="","",'Proyecto Datos (OKR´s)'!$C184),"")</f>
      </c>
      <c r="L184" s="205"/>
      <c r="M184" s="191"/>
      <c r="N184" s="204">
        <f>IF('_Datos'!$C184,'_Datos'!$BA184,"")</f>
      </c>
    </row>
    <row r="185">
      <c r="B185" s="204">
        <f>IF('_Datos'!$C185,'_Datos'!$O185,"")</f>
      </c>
      <c r="C185" s="205">
        <f>IF('_Datos'!$C185,'_Datos'!$F185,IF('_Datos'!$B185,'Proyecto Datos (OKR´s)'!$G185,""))</f>
      </c>
      <c r="D185" s="204">
        <f>IF('_Datos'!$C185,'_Datos'!$AO185,"")</f>
      </c>
      <c r="E185" s="206">
        <f>IF('_Datos'!$C185,'_Datos'!$H185,"")</f>
      </c>
      <c r="F185" s="204">
        <f>IF('_Datos'!$C185,IF(ISNUMBER('_Datos'!$AR185),'_Datos'!$AR185,"(Sin fecha)"),"")</f>
      </c>
      <c r="G185" s="204"/>
      <c r="H185" s="205"/>
      <c r="I185" s="204">
        <f>IF('_Datos'!$C185,IF(ISNUMBER('_Datos'!$AV185),'_Datos'!$AV185,"(Sin fecha)"),"")</f>
      </c>
      <c r="J185" s="208">
        <f>IF('_Datos'!$C185,'_Datos'!$AX185,"")</f>
      </c>
      <c r="K185" s="205">
        <f>IF('_Datos'!$C185,IF('Proyecto Datos (OKR´s)'!$C185="","",'Proyecto Datos (OKR´s)'!$C185),"")</f>
      </c>
      <c r="L185" s="205"/>
      <c r="M185" s="191"/>
      <c r="N185" s="204">
        <f>IF('_Datos'!$C185,'_Datos'!$BA185,"")</f>
      </c>
    </row>
    <row r="186">
      <c r="B186" s="204">
        <f>IF('_Datos'!$C186,'_Datos'!$O186,"")</f>
      </c>
      <c r="C186" s="205">
        <f>IF('_Datos'!$C186,'_Datos'!$F186,IF('_Datos'!$B186,'Proyecto Datos (OKR´s)'!$G186,""))</f>
      </c>
      <c r="D186" s="204">
        <f>IF('_Datos'!$C186,'_Datos'!$AO186,"")</f>
      </c>
      <c r="E186" s="206">
        <f>IF('_Datos'!$C186,'_Datos'!$H186,"")</f>
      </c>
      <c r="F186" s="204">
        <f>IF('_Datos'!$C186,IF(ISNUMBER('_Datos'!$AR186),'_Datos'!$AR186,"(Sin fecha)"),"")</f>
      </c>
      <c r="G186" s="204"/>
      <c r="H186" s="205"/>
      <c r="I186" s="204">
        <f>IF('_Datos'!$C186,IF(ISNUMBER('_Datos'!$AV186),'_Datos'!$AV186,"(Sin fecha)"),"")</f>
      </c>
      <c r="J186" s="208">
        <f>IF('_Datos'!$C186,'_Datos'!$AX186,"")</f>
      </c>
      <c r="K186" s="205">
        <f>IF('_Datos'!$C186,IF('Proyecto Datos (OKR´s)'!$C186="","",'Proyecto Datos (OKR´s)'!$C186),"")</f>
      </c>
      <c r="L186" s="205"/>
      <c r="M186" s="191"/>
      <c r="N186" s="204">
        <f>IF('_Datos'!$C186,'_Datos'!$BA186,"")</f>
      </c>
    </row>
    <row r="187">
      <c r="B187" s="204">
        <f>IF('_Datos'!$C187,'_Datos'!$O187,"")</f>
      </c>
      <c r="C187" s="205">
        <f>IF('_Datos'!$C187,'_Datos'!$F187,IF('_Datos'!$B187,'Proyecto Datos (OKR´s)'!$G187,""))</f>
      </c>
      <c r="D187" s="204">
        <f>IF('_Datos'!$C187,'_Datos'!$AO187,"")</f>
      </c>
      <c r="E187" s="206">
        <f>IF('_Datos'!$C187,'_Datos'!$H187,"")</f>
      </c>
      <c r="F187" s="204">
        <f>IF('_Datos'!$C187,IF(ISNUMBER('_Datos'!$AR187),'_Datos'!$AR187,"(Sin fecha)"),"")</f>
      </c>
      <c r="G187" s="204"/>
      <c r="H187" s="205"/>
      <c r="I187" s="204">
        <f>IF('_Datos'!$C187,IF(ISNUMBER('_Datos'!$AV187),'_Datos'!$AV187,"(Sin fecha)"),"")</f>
      </c>
      <c r="J187" s="208">
        <f>IF('_Datos'!$C187,'_Datos'!$AX187,"")</f>
      </c>
      <c r="K187" s="205">
        <f>IF('_Datos'!$C187,IF('Proyecto Datos (OKR´s)'!$C187="","",'Proyecto Datos (OKR´s)'!$C187),"")</f>
      </c>
      <c r="L187" s="205"/>
      <c r="M187" s="191"/>
      <c r="N187" s="204">
        <f>IF('_Datos'!$C187,'_Datos'!$BA187,"")</f>
      </c>
    </row>
    <row r="188">
      <c r="B188" s="204">
        <f>IF('_Datos'!$C188,'_Datos'!$O188,"")</f>
      </c>
      <c r="C188" s="205">
        <f>IF('_Datos'!$C188,'_Datos'!$F188,IF('_Datos'!$B188,'Proyecto Datos (OKR´s)'!$G188,""))</f>
      </c>
      <c r="D188" s="204">
        <f>IF('_Datos'!$C188,'_Datos'!$AO188,"")</f>
      </c>
      <c r="E188" s="206">
        <f>IF('_Datos'!$C188,'_Datos'!$H188,"")</f>
      </c>
      <c r="F188" s="204">
        <f>IF('_Datos'!$C188,IF(ISNUMBER('_Datos'!$AR188),'_Datos'!$AR188,"(Sin fecha)"),"")</f>
      </c>
      <c r="G188" s="204"/>
      <c r="H188" s="205"/>
      <c r="I188" s="204">
        <f>IF('_Datos'!$C188,IF(ISNUMBER('_Datos'!$AV188),'_Datos'!$AV188,"(Sin fecha)"),"")</f>
      </c>
      <c r="J188" s="208">
        <f>IF('_Datos'!$C188,'_Datos'!$AX188,"")</f>
      </c>
      <c r="K188" s="205">
        <f>IF('_Datos'!$C188,IF('Proyecto Datos (OKR´s)'!$C188="","",'Proyecto Datos (OKR´s)'!$C188),"")</f>
      </c>
      <c r="L188" s="205"/>
      <c r="M188" s="191"/>
      <c r="N188" s="204">
        <f>IF('_Datos'!$C188,'_Datos'!$BA188,"")</f>
      </c>
    </row>
    <row r="189">
      <c r="B189" s="204">
        <f>IF('_Datos'!$C189,'_Datos'!$O189,"")</f>
      </c>
      <c r="C189" s="205">
        <f>IF('_Datos'!$C189,'_Datos'!$F189,IF('_Datos'!$B189,'Proyecto Datos (OKR´s)'!$G189,""))</f>
      </c>
      <c r="D189" s="204">
        <f>IF('_Datos'!$C189,'_Datos'!$AO189,"")</f>
      </c>
      <c r="E189" s="206">
        <f>IF('_Datos'!$C189,'_Datos'!$H189,"")</f>
      </c>
      <c r="F189" s="204">
        <f>IF('_Datos'!$C189,IF(ISNUMBER('_Datos'!$AR189),'_Datos'!$AR189,"(Sin fecha)"),"")</f>
      </c>
      <c r="G189" s="204"/>
      <c r="H189" s="205"/>
      <c r="I189" s="204">
        <f>IF('_Datos'!$C189,IF(ISNUMBER('_Datos'!$AV189),'_Datos'!$AV189,"(Sin fecha)"),"")</f>
      </c>
      <c r="J189" s="208">
        <f>IF('_Datos'!$C189,'_Datos'!$AX189,"")</f>
      </c>
      <c r="K189" s="205">
        <f>IF('_Datos'!$C189,IF('Proyecto Datos (OKR´s)'!$C189="","",'Proyecto Datos (OKR´s)'!$C189),"")</f>
      </c>
      <c r="L189" s="205"/>
      <c r="M189" s="191"/>
      <c r="N189" s="204">
        <f>IF('_Datos'!$C189,'_Datos'!$BA189,"")</f>
      </c>
    </row>
    <row r="190">
      <c r="B190" s="204">
        <f>IF('_Datos'!$C190,'_Datos'!$O190,"")</f>
      </c>
      <c r="C190" s="205">
        <f>IF('_Datos'!$C190,'_Datos'!$F190,IF('_Datos'!$B190,'Proyecto Datos (OKR´s)'!$G190,""))</f>
      </c>
      <c r="D190" s="204">
        <f>IF('_Datos'!$C190,'_Datos'!$AO190,"")</f>
      </c>
      <c r="E190" s="206">
        <f>IF('_Datos'!$C190,'_Datos'!$H190,"")</f>
      </c>
      <c r="F190" s="204">
        <f>IF('_Datos'!$C190,IF(ISNUMBER('_Datos'!$AR190),'_Datos'!$AR190,"(Sin fecha)"),"")</f>
      </c>
      <c r="G190" s="204"/>
      <c r="H190" s="205"/>
      <c r="I190" s="204">
        <f>IF('_Datos'!$C190,IF(ISNUMBER('_Datos'!$AV190),'_Datos'!$AV190,"(Sin fecha)"),"")</f>
      </c>
      <c r="J190" s="208">
        <f>IF('_Datos'!$C190,'_Datos'!$AX190,"")</f>
      </c>
      <c r="K190" s="205">
        <f>IF('_Datos'!$C190,IF('Proyecto Datos (OKR´s)'!$C190="","",'Proyecto Datos (OKR´s)'!$C190),"")</f>
      </c>
      <c r="L190" s="205"/>
      <c r="M190" s="191"/>
      <c r="N190" s="204">
        <f>IF('_Datos'!$C190,'_Datos'!$BA190,"")</f>
      </c>
    </row>
    <row r="191">
      <c r="B191" s="204">
        <f>IF('_Datos'!$C191,'_Datos'!$O191,"")</f>
      </c>
      <c r="C191" s="205">
        <f>IF('_Datos'!$C191,'_Datos'!$F191,IF('_Datos'!$B191,'Proyecto Datos (OKR´s)'!$G191,""))</f>
      </c>
      <c r="D191" s="204">
        <f>IF('_Datos'!$C191,'_Datos'!$AO191,"")</f>
      </c>
      <c r="E191" s="206">
        <f>IF('_Datos'!$C191,'_Datos'!$H191,"")</f>
      </c>
      <c r="F191" s="204">
        <f>IF('_Datos'!$C191,IF(ISNUMBER('_Datos'!$AR191),'_Datos'!$AR191,"(Sin fecha)"),"")</f>
      </c>
      <c r="G191" s="204"/>
      <c r="H191" s="205"/>
      <c r="I191" s="204">
        <f>IF('_Datos'!$C191,IF(ISNUMBER('_Datos'!$AV191),'_Datos'!$AV191,"(Sin fecha)"),"")</f>
      </c>
      <c r="J191" s="208">
        <f>IF('_Datos'!$C191,'_Datos'!$AX191,"")</f>
      </c>
      <c r="K191" s="205">
        <f>IF('_Datos'!$C191,IF('Proyecto Datos (OKR´s)'!$C191="","",'Proyecto Datos (OKR´s)'!$C191),"")</f>
      </c>
      <c r="L191" s="205"/>
      <c r="M191" s="191"/>
      <c r="N191" s="204">
        <f>IF('_Datos'!$C191,'_Datos'!$BA191,"")</f>
      </c>
    </row>
    <row r="192">
      <c r="B192" s="204">
        <f>IF('_Datos'!$C192,'_Datos'!$O192,"")</f>
      </c>
      <c r="C192" s="205">
        <f>IF('_Datos'!$C192,'_Datos'!$F192,IF('_Datos'!$B192,'Proyecto Datos (OKR´s)'!$G192,""))</f>
      </c>
      <c r="D192" s="204">
        <f>IF('_Datos'!$C192,'_Datos'!$AO192,"")</f>
      </c>
      <c r="E192" s="206">
        <f>IF('_Datos'!$C192,'_Datos'!$H192,"")</f>
      </c>
      <c r="F192" s="204">
        <f>IF('_Datos'!$C192,IF(ISNUMBER('_Datos'!$AR192),'_Datos'!$AR192,"(Sin fecha)"),"")</f>
      </c>
      <c r="G192" s="204"/>
      <c r="H192" s="205"/>
      <c r="I192" s="204">
        <f>IF('_Datos'!$C192,IF(ISNUMBER('_Datos'!$AV192),'_Datos'!$AV192,"(Sin fecha)"),"")</f>
      </c>
      <c r="J192" s="208">
        <f>IF('_Datos'!$C192,'_Datos'!$AX192,"")</f>
      </c>
      <c r="K192" s="205">
        <f>IF('_Datos'!$C192,IF('Proyecto Datos (OKR´s)'!$C192="","",'Proyecto Datos (OKR´s)'!$C192),"")</f>
      </c>
      <c r="L192" s="205"/>
      <c r="M192" s="191"/>
      <c r="N192" s="204">
        <f>IF('_Datos'!$C192,'_Datos'!$BA192,"")</f>
      </c>
    </row>
    <row r="193">
      <c r="B193" s="204">
        <f>IF('_Datos'!$C193,'_Datos'!$O193,"")</f>
      </c>
      <c r="C193" s="205">
        <f>IF('_Datos'!$C193,'_Datos'!$F193,IF('_Datos'!$B193,'Proyecto Datos (OKR´s)'!$G193,""))</f>
      </c>
      <c r="D193" s="204">
        <f>IF('_Datos'!$C193,'_Datos'!$AO193,"")</f>
      </c>
      <c r="E193" s="206">
        <f>IF('_Datos'!$C193,'_Datos'!$H193,"")</f>
      </c>
      <c r="F193" s="204">
        <f>IF('_Datos'!$C193,IF(ISNUMBER('_Datos'!$AR193),'_Datos'!$AR193,"(Sin fecha)"),"")</f>
      </c>
      <c r="G193" s="204"/>
      <c r="H193" s="205"/>
      <c r="I193" s="204">
        <f>IF('_Datos'!$C193,IF(ISNUMBER('_Datos'!$AV193),'_Datos'!$AV193,"(Sin fecha)"),"")</f>
      </c>
      <c r="J193" s="208">
        <f>IF('_Datos'!$C193,'_Datos'!$AX193,"")</f>
      </c>
      <c r="K193" s="205">
        <f>IF('_Datos'!$C193,IF('Proyecto Datos (OKR´s)'!$C193="","",'Proyecto Datos (OKR´s)'!$C193),"")</f>
      </c>
      <c r="L193" s="205"/>
      <c r="M193" s="191"/>
      <c r="N193" s="204">
        <f>IF('_Datos'!$C193,'_Datos'!$BA193,"")</f>
      </c>
    </row>
    <row r="194">
      <c r="B194" s="204">
        <f>IF('_Datos'!$C194,'_Datos'!$O194,"")</f>
      </c>
      <c r="C194" s="205">
        <f>IF('_Datos'!$C194,'_Datos'!$F194,IF('_Datos'!$B194,'Proyecto Datos (OKR´s)'!$G194,""))</f>
      </c>
      <c r="D194" s="204">
        <f>IF('_Datos'!$C194,'_Datos'!$AO194,"")</f>
      </c>
      <c r="E194" s="206">
        <f>IF('_Datos'!$C194,'_Datos'!$H194,"")</f>
      </c>
      <c r="F194" s="204">
        <f>IF('_Datos'!$C194,IF(ISNUMBER('_Datos'!$AR194),'_Datos'!$AR194,"(Sin fecha)"),"")</f>
      </c>
      <c r="G194" s="204"/>
      <c r="H194" s="205"/>
      <c r="I194" s="204">
        <f>IF('_Datos'!$C194,IF(ISNUMBER('_Datos'!$AV194),'_Datos'!$AV194,"(Sin fecha)"),"")</f>
      </c>
      <c r="J194" s="208">
        <f>IF('_Datos'!$C194,'_Datos'!$AX194,"")</f>
      </c>
      <c r="K194" s="205">
        <f>IF('_Datos'!$C194,IF('Proyecto Datos (OKR´s)'!$C194="","",'Proyecto Datos (OKR´s)'!$C194),"")</f>
      </c>
      <c r="L194" s="205"/>
      <c r="M194" s="191"/>
      <c r="N194" s="204">
        <f>IF('_Datos'!$C194,'_Datos'!$BA194,"")</f>
      </c>
    </row>
    <row r="195">
      <c r="B195" s="204">
        <f>IF('_Datos'!$C195,'_Datos'!$O195,"")</f>
      </c>
      <c r="C195" s="205">
        <f>IF('_Datos'!$C195,'_Datos'!$F195,IF('_Datos'!$B195,'Proyecto Datos (OKR´s)'!$G195,""))</f>
      </c>
      <c r="D195" s="204">
        <f>IF('_Datos'!$C195,'_Datos'!$AO195,"")</f>
      </c>
      <c r="E195" s="206">
        <f>IF('_Datos'!$C195,'_Datos'!$H195,"")</f>
      </c>
      <c r="F195" s="204">
        <f>IF('_Datos'!$C195,IF(ISNUMBER('_Datos'!$AR195),'_Datos'!$AR195,"(Sin fecha)"),"")</f>
      </c>
      <c r="G195" s="204"/>
      <c r="H195" s="205"/>
      <c r="I195" s="204">
        <f>IF('_Datos'!$C195,IF(ISNUMBER('_Datos'!$AV195),'_Datos'!$AV195,"(Sin fecha)"),"")</f>
      </c>
      <c r="J195" s="208">
        <f>IF('_Datos'!$C195,'_Datos'!$AX195,"")</f>
      </c>
      <c r="K195" s="205">
        <f>IF('_Datos'!$C195,IF('Proyecto Datos (OKR´s)'!$C195="","",'Proyecto Datos (OKR´s)'!$C195),"")</f>
      </c>
      <c r="L195" s="205"/>
      <c r="M195" s="191"/>
      <c r="N195" s="204">
        <f>IF('_Datos'!$C195,'_Datos'!$BA195,"")</f>
      </c>
    </row>
    <row r="196">
      <c r="B196" s="204">
        <f>IF('_Datos'!$C196,'_Datos'!$O196,"")</f>
      </c>
      <c r="C196" s="205">
        <f>IF('_Datos'!$C196,'_Datos'!$F196,IF('_Datos'!$B196,'Proyecto Datos (OKR´s)'!$G196,""))</f>
      </c>
      <c r="D196" s="204">
        <f>IF('_Datos'!$C196,'_Datos'!$AO196,"")</f>
      </c>
      <c r="E196" s="206">
        <f>IF('_Datos'!$C196,'_Datos'!$H196,"")</f>
      </c>
      <c r="F196" s="204">
        <f>IF('_Datos'!$C196,IF(ISNUMBER('_Datos'!$AR196),'_Datos'!$AR196,"(Sin fecha)"),"")</f>
      </c>
      <c r="G196" s="204"/>
      <c r="H196" s="205"/>
      <c r="I196" s="204">
        <f>IF('_Datos'!$C196,IF(ISNUMBER('_Datos'!$AV196),'_Datos'!$AV196,"(Sin fecha)"),"")</f>
      </c>
      <c r="J196" s="208">
        <f>IF('_Datos'!$C196,'_Datos'!$AX196,"")</f>
      </c>
      <c r="K196" s="205">
        <f>IF('_Datos'!$C196,IF('Proyecto Datos (OKR´s)'!$C196="","",'Proyecto Datos (OKR´s)'!$C196),"")</f>
      </c>
      <c r="L196" s="205"/>
      <c r="M196" s="191"/>
      <c r="N196" s="204">
        <f>IF('_Datos'!$C196,'_Datos'!$BA196,"")</f>
      </c>
    </row>
    <row r="197">
      <c r="B197" s="204">
        <f>IF('_Datos'!$C197,'_Datos'!$O197,"")</f>
      </c>
      <c r="C197" s="205">
        <f>IF('_Datos'!$C197,'_Datos'!$F197,IF('_Datos'!$B197,'Proyecto Datos (OKR´s)'!$G197,""))</f>
      </c>
      <c r="D197" s="204">
        <f>IF('_Datos'!$C197,'_Datos'!$AO197,"")</f>
      </c>
      <c r="E197" s="206">
        <f>IF('_Datos'!$C197,'_Datos'!$H197,"")</f>
      </c>
      <c r="F197" s="204">
        <f>IF('_Datos'!$C197,IF(ISNUMBER('_Datos'!$AR197),'_Datos'!$AR197,"(Sin fecha)"),"")</f>
      </c>
      <c r="G197" s="204"/>
      <c r="H197" s="205"/>
      <c r="I197" s="204">
        <f>IF('_Datos'!$C197,IF(ISNUMBER('_Datos'!$AV197),'_Datos'!$AV197,"(Sin fecha)"),"")</f>
      </c>
      <c r="J197" s="208">
        <f>IF('_Datos'!$C197,'_Datos'!$AX197,"")</f>
      </c>
      <c r="K197" s="205">
        <f>IF('_Datos'!$C197,IF('Proyecto Datos (OKR´s)'!$C197="","",'Proyecto Datos (OKR´s)'!$C197),"")</f>
      </c>
      <c r="L197" s="205"/>
      <c r="M197" s="191"/>
      <c r="N197" s="204">
        <f>IF('_Datos'!$C197,'_Datos'!$BA197,"")</f>
      </c>
    </row>
    <row r="198">
      <c r="B198" s="204">
        <f>IF('_Datos'!$C198,'_Datos'!$O198,"")</f>
      </c>
      <c r="C198" s="205">
        <f>IF('_Datos'!$C198,'_Datos'!$F198,IF('_Datos'!$B198,'Proyecto Datos (OKR´s)'!$G198,""))</f>
      </c>
      <c r="D198" s="204">
        <f>IF('_Datos'!$C198,'_Datos'!$AO198,"")</f>
      </c>
      <c r="E198" s="206">
        <f>IF('_Datos'!$C198,'_Datos'!$H198,"")</f>
      </c>
      <c r="F198" s="204">
        <f>IF('_Datos'!$C198,IF(ISNUMBER('_Datos'!$AR198),'_Datos'!$AR198,"(Sin fecha)"),"")</f>
      </c>
      <c r="G198" s="204"/>
      <c r="H198" s="205"/>
      <c r="I198" s="204">
        <f>IF('_Datos'!$C198,IF(ISNUMBER('_Datos'!$AV198),'_Datos'!$AV198,"(Sin fecha)"),"")</f>
      </c>
      <c r="J198" s="208">
        <f>IF('_Datos'!$C198,'_Datos'!$AX198,"")</f>
      </c>
      <c r="K198" s="205">
        <f>IF('_Datos'!$C198,IF('Proyecto Datos (OKR´s)'!$C198="","",'Proyecto Datos (OKR´s)'!$C198),"")</f>
      </c>
      <c r="L198" s="205"/>
      <c r="M198" s="191"/>
      <c r="N198" s="204">
        <f>IF('_Datos'!$C198,'_Datos'!$BA198,"")</f>
      </c>
    </row>
    <row r="199">
      <c r="B199" s="204">
        <f>IF('_Datos'!$C199,'_Datos'!$O199,"")</f>
      </c>
      <c r="C199" s="205">
        <f>IF('_Datos'!$C199,'_Datos'!$F199,IF('_Datos'!$B199,'Proyecto Datos (OKR´s)'!$G199,""))</f>
      </c>
      <c r="D199" s="204">
        <f>IF('_Datos'!$C199,'_Datos'!$AO199,"")</f>
      </c>
      <c r="E199" s="206">
        <f>IF('_Datos'!$C199,'_Datos'!$H199,"")</f>
      </c>
      <c r="F199" s="204">
        <f>IF('_Datos'!$C199,IF(ISNUMBER('_Datos'!$AR199),'_Datos'!$AR199,"(Sin fecha)"),"")</f>
      </c>
      <c r="G199" s="204"/>
      <c r="H199" s="205"/>
      <c r="I199" s="204">
        <f>IF('_Datos'!$C199,IF(ISNUMBER('_Datos'!$AV199),'_Datos'!$AV199,"(Sin fecha)"),"")</f>
      </c>
      <c r="J199" s="208">
        <f>IF('_Datos'!$C199,'_Datos'!$AX199,"")</f>
      </c>
      <c r="K199" s="205">
        <f>IF('_Datos'!$C199,IF('Proyecto Datos (OKR´s)'!$C199="","",'Proyecto Datos (OKR´s)'!$C199),"")</f>
      </c>
      <c r="L199" s="205"/>
      <c r="M199" s="191"/>
      <c r="N199" s="204">
        <f>IF('_Datos'!$C199,'_Datos'!$BA199,"")</f>
      </c>
    </row>
    <row r="200">
      <c r="B200" s="204">
        <f>IF('_Datos'!$C200,'_Datos'!$O200,"")</f>
      </c>
      <c r="C200" s="205">
        <f>IF('_Datos'!$C200,'_Datos'!$F200,IF('_Datos'!$B200,'Proyecto Datos (OKR´s)'!$G200,""))</f>
      </c>
      <c r="D200" s="204">
        <f>IF('_Datos'!$C200,'_Datos'!$AO200,"")</f>
      </c>
      <c r="E200" s="206">
        <f>IF('_Datos'!$C200,'_Datos'!$H200,"")</f>
      </c>
      <c r="F200" s="204">
        <f>IF('_Datos'!$C200,IF(ISNUMBER('_Datos'!$AR200),'_Datos'!$AR200,"(Sin fecha)"),"")</f>
      </c>
      <c r="G200" s="204"/>
      <c r="H200" s="205"/>
      <c r="I200" s="204">
        <f>IF('_Datos'!$C200,IF(ISNUMBER('_Datos'!$AV200),'_Datos'!$AV200,"(Sin fecha)"),"")</f>
      </c>
      <c r="J200" s="208">
        <f>IF('_Datos'!$C200,'_Datos'!$AX200,"")</f>
      </c>
      <c r="K200" s="205">
        <f>IF('_Datos'!$C200,IF('Proyecto Datos (OKR´s)'!$C200="","",'Proyecto Datos (OKR´s)'!$C200),"")</f>
      </c>
      <c r="L200" s="205"/>
      <c r="M200" s="191"/>
      <c r="N200" s="204">
        <f>IF('_Datos'!$C200,'_Datos'!$BA200,"")</f>
      </c>
    </row>
  </sheetData>
  <mergeCells count="2">
    <mergeCell ref="B1:N1"/>
    <mergeCell ref="B2:N2"/>
  </mergeCells>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L7:M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3">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I34"/>
  <sheetViews>
    <sheetView showGridLines="0" workbookViewId="0">
      <pane ySplit="4" topLeftCell="A5" activePane="bottomLeft" state="frozen"/>
    </sheetView>
  </sheetViews>
  <sheetFormatPr defaultRowHeight="15"/>
  <cols>
    <col min="1" max="1" width="2.5" customWidth="1"/>
    <col min="2" max="2" width="12" customWidth="1"/>
    <col min="3" max="3" width="8" customWidth="1"/>
    <col min="4" max="4" width="13" customWidth="1"/>
    <col min="5" max="5" width="13" customWidth="1"/>
    <col min="6" max="6" width="20" customWidth="1"/>
    <col min="7" max="7" width="18" customWidth="1"/>
    <col min="8" max="8" width="14" customWidth="1"/>
    <col min="9" max="9" width="62" customWidth="1"/>
  </cols>
  <sheetData>
    <row r="1" ht="26" customHeight="1">
      <c r="B1" s="169" t="inlineStr">
        <is>
          <t xml:space="preserve">HISTORIAL DE SPRINTS — acumulativo y editable</t>
        </is>
      </c>
      <c r="C1" s="169"/>
      <c r="D1" s="169"/>
      <c r="E1" s="169"/>
      <c r="F1" s="169"/>
      <c r="G1" s="169"/>
      <c r="H1" s="169"/>
      <c r="I1" s="169"/>
    </row>
    <row r="2" ht="38" customHeight="1">
      <c r="B2" s="170" t="inlineStr">
        <is>
          <t xml:space="preserve">Todos los sprints con sus fechas (salen del calendario de la hoja Sprints). 'Tareas (compl./plan)' es automático. '¿Se completó?' y 'Motivo' son EDITABLES y se conservan (historial). Un sprint sin tareas se marca 'sin tareas' — no se inventan sprints; las tareas sin fecha no entran a ningún sprint.</t>
        </is>
      </c>
      <c r="C2" s="170"/>
      <c r="D2" s="170"/>
      <c r="E2" s="170"/>
      <c r="F2" s="170"/>
      <c r="G2" s="170"/>
      <c r="H2" s="170"/>
      <c r="I2" s="170"/>
    </row>
    <row r="4">
      <c r="B4" s="173" t="inlineStr">
        <is>
          <t xml:space="preserve">Frecuencia</t>
        </is>
      </c>
      <c r="C4" s="173" t="inlineStr">
        <is>
          <t xml:space="preserve">Sprint</t>
        </is>
      </c>
      <c r="D4" s="173" t="inlineStr">
        <is>
          <t xml:space="preserve">Inicio</t>
        </is>
      </c>
      <c r="E4" s="173" t="inlineStr">
        <is>
          <t xml:space="preserve">Cierre</t>
        </is>
      </c>
      <c r="F4" s="173" t="inlineStr">
        <is>
          <t xml:space="preserve">Estado</t>
        </is>
      </c>
      <c r="G4" s="173" t="inlineStr">
        <is>
          <t xml:space="preserve">Tareas (compl./plan)</t>
        </is>
      </c>
      <c r="H4" s="173" t="inlineStr">
        <is>
          <t xml:space="preserve">¿Se completó?</t>
        </is>
      </c>
      <c r="I4" s="173" t="inlineStr">
        <is>
          <t xml:space="preserve">Motivo / Comentario (por qué)</t>
        </is>
      </c>
    </row>
    <row r="5">
      <c r="B5" s="204" t="inlineStr">
        <is>
          <t xml:space="preserve">Semanal</t>
        </is>
      </c>
      <c r="C5" s="204">
        <v>1</v>
      </c>
      <c r="D5" s="206">
        <f>'Sprints'!$C$5+(1-1)*'Sprints'!$D$5</f>
      </c>
      <c r="E5" s="206">
        <f>'Sprints'!$C$5+1*'Sprints'!$D$5-1</f>
      </c>
      <c r="F5" s="204">
        <f>IF(COUNTIFS('_Datos'!$AO$7:$AO$200,"Semanal",'_Datos'!$AR$7:$AR$200,1)=0,IF($E5&lt;TODAY(),"Cerrado · sin tareas","Próximo · sin tareas"),IF($E5&lt;TODAY(),"Cerrado",IF($D5&lt;=TODAY(),"En curso","Próximo")))</f>
      </c>
      <c r="G5" s="204">
        <f>COUNTIFS('_Datos'!$AO$7:$AO$200,"Semanal",'_Datos'!$AR$7:$AR$200,1,'_Datos'!$J$7:$J$200,"Completado")&amp;" / "&amp;COUNTIFS('_Datos'!$AO$7:$AO$200,"Semanal",'_Datos'!$AR$7:$AR$200,1)</f>
      </c>
      <c r="H5" s="191"/>
      <c r="I5" s="193"/>
    </row>
    <row r="6">
      <c r="B6" s="204" t="inlineStr">
        <is>
          <t xml:space="preserve">Semanal</t>
        </is>
      </c>
      <c r="C6" s="204">
        <v>2</v>
      </c>
      <c r="D6" s="206">
        <f>'Sprints'!$C$5+(2-1)*'Sprints'!$D$5</f>
      </c>
      <c r="E6" s="206">
        <f>'Sprints'!$C$5+2*'Sprints'!$D$5-1</f>
      </c>
      <c r="F6" s="204">
        <f>IF(COUNTIFS('_Datos'!$AO$7:$AO$200,"Semanal",'_Datos'!$AR$7:$AR$200,2)=0,IF($E6&lt;TODAY(),"Cerrado · sin tareas","Próximo · sin tareas"),IF($E6&lt;TODAY(),"Cerrado",IF($D6&lt;=TODAY(),"En curso","Próximo")))</f>
      </c>
      <c r="G6" s="204">
        <f>COUNTIFS('_Datos'!$AO$7:$AO$200,"Semanal",'_Datos'!$AR$7:$AR$200,2,'_Datos'!$J$7:$J$200,"Completado")&amp;" / "&amp;COUNTIFS('_Datos'!$AO$7:$AO$200,"Semanal",'_Datos'!$AR$7:$AR$200,2)</f>
      </c>
      <c r="H6" s="191"/>
      <c r="I6" s="193"/>
    </row>
    <row r="7">
      <c r="B7" s="204" t="inlineStr">
        <is>
          <t xml:space="preserve">Semanal</t>
        </is>
      </c>
      <c r="C7" s="204">
        <v>3</v>
      </c>
      <c r="D7" s="206">
        <f>'Sprints'!$C$5+(3-1)*'Sprints'!$D$5</f>
      </c>
      <c r="E7" s="206">
        <f>'Sprints'!$C$5+3*'Sprints'!$D$5-1</f>
      </c>
      <c r="F7" s="204">
        <f>IF(COUNTIFS('_Datos'!$AO$7:$AO$200,"Semanal",'_Datos'!$AR$7:$AR$200,3)=0,IF($E7&lt;TODAY(),"Cerrado · sin tareas","Próximo · sin tareas"),IF($E7&lt;TODAY(),"Cerrado",IF($D7&lt;=TODAY(),"En curso","Próximo")))</f>
      </c>
      <c r="G7" s="204">
        <f>COUNTIFS('_Datos'!$AO$7:$AO$200,"Semanal",'_Datos'!$AR$7:$AR$200,3,'_Datos'!$J$7:$J$200,"Completado")&amp;" / "&amp;COUNTIFS('_Datos'!$AO$7:$AO$200,"Semanal",'_Datos'!$AR$7:$AR$200,3)</f>
      </c>
      <c r="H7" s="191"/>
      <c r="I7" s="193"/>
    </row>
    <row r="8">
      <c r="B8" s="204" t="inlineStr">
        <is>
          <t xml:space="preserve">Semanal</t>
        </is>
      </c>
      <c r="C8" s="204">
        <v>4</v>
      </c>
      <c r="D8" s="206">
        <f>'Sprints'!$C$5+(4-1)*'Sprints'!$D$5</f>
      </c>
      <c r="E8" s="206">
        <f>'Sprints'!$C$5+4*'Sprints'!$D$5-1</f>
      </c>
      <c r="F8" s="204">
        <f>IF(COUNTIFS('_Datos'!$AO$7:$AO$200,"Semanal",'_Datos'!$AR$7:$AR$200,4)=0,IF($E8&lt;TODAY(),"Cerrado · sin tareas","Próximo · sin tareas"),IF($E8&lt;TODAY(),"Cerrado",IF($D8&lt;=TODAY(),"En curso","Próximo")))</f>
      </c>
      <c r="G8" s="204">
        <f>COUNTIFS('_Datos'!$AO$7:$AO$200,"Semanal",'_Datos'!$AR$7:$AR$200,4,'_Datos'!$J$7:$J$200,"Completado")&amp;" / "&amp;COUNTIFS('_Datos'!$AO$7:$AO$200,"Semanal",'_Datos'!$AR$7:$AR$200,4)</f>
      </c>
      <c r="H8" s="191"/>
      <c r="I8" s="193"/>
    </row>
    <row r="9">
      <c r="B9" s="204" t="inlineStr">
        <is>
          <t xml:space="preserve">Semanal</t>
        </is>
      </c>
      <c r="C9" s="204">
        <v>5</v>
      </c>
      <c r="D9" s="206">
        <f>'Sprints'!$C$5+(5-1)*'Sprints'!$D$5</f>
      </c>
      <c r="E9" s="206">
        <f>'Sprints'!$C$5+5*'Sprints'!$D$5-1</f>
      </c>
      <c r="F9" s="204">
        <f>IF(COUNTIFS('_Datos'!$AO$7:$AO$200,"Semanal",'_Datos'!$AR$7:$AR$200,5)=0,IF($E9&lt;TODAY(),"Cerrado · sin tareas","Próximo · sin tareas"),IF($E9&lt;TODAY(),"Cerrado",IF($D9&lt;=TODAY(),"En curso","Próximo")))</f>
      </c>
      <c r="G9" s="204">
        <f>COUNTIFS('_Datos'!$AO$7:$AO$200,"Semanal",'_Datos'!$AR$7:$AR$200,5,'_Datos'!$J$7:$J$200,"Completado")&amp;" / "&amp;COUNTIFS('_Datos'!$AO$7:$AO$200,"Semanal",'_Datos'!$AR$7:$AR$200,5)</f>
      </c>
      <c r="H9" s="191"/>
      <c r="I9" s="193"/>
    </row>
    <row r="10">
      <c r="B10" s="204" t="inlineStr">
        <is>
          <t xml:space="preserve">Semanal</t>
        </is>
      </c>
      <c r="C10" s="204">
        <v>6</v>
      </c>
      <c r="D10" s="206">
        <f>'Sprints'!$C$5+(6-1)*'Sprints'!$D$5</f>
      </c>
      <c r="E10" s="206">
        <f>'Sprints'!$C$5+6*'Sprints'!$D$5-1</f>
      </c>
      <c r="F10" s="204">
        <f>IF(COUNTIFS('_Datos'!$AO$7:$AO$200,"Semanal",'_Datos'!$AR$7:$AR$200,6)=0,IF($E10&lt;TODAY(),"Cerrado · sin tareas","Próximo · sin tareas"),IF($E10&lt;TODAY(),"Cerrado",IF($D10&lt;=TODAY(),"En curso","Próximo")))</f>
      </c>
      <c r="G10" s="204">
        <f>COUNTIFS('_Datos'!$AO$7:$AO$200,"Semanal",'_Datos'!$AR$7:$AR$200,6,'_Datos'!$J$7:$J$200,"Completado")&amp;" / "&amp;COUNTIFS('_Datos'!$AO$7:$AO$200,"Semanal",'_Datos'!$AR$7:$AR$200,6)</f>
      </c>
      <c r="H10" s="191"/>
      <c r="I10" s="193"/>
    </row>
    <row r="11">
      <c r="B11" s="204" t="inlineStr">
        <is>
          <t xml:space="preserve">Semanal</t>
        </is>
      </c>
      <c r="C11" s="204">
        <v>7</v>
      </c>
      <c r="D11" s="206">
        <f>'Sprints'!$C$5+(7-1)*'Sprints'!$D$5</f>
      </c>
      <c r="E11" s="206">
        <f>'Sprints'!$C$5+7*'Sprints'!$D$5-1</f>
      </c>
      <c r="F11" s="204">
        <f>IF(COUNTIFS('_Datos'!$AO$7:$AO$200,"Semanal",'_Datos'!$AR$7:$AR$200,7)=0,IF($E11&lt;TODAY(),"Cerrado · sin tareas","Próximo · sin tareas"),IF($E11&lt;TODAY(),"Cerrado",IF($D11&lt;=TODAY(),"En curso","Próximo")))</f>
      </c>
      <c r="G11" s="204">
        <f>COUNTIFS('_Datos'!$AO$7:$AO$200,"Semanal",'_Datos'!$AR$7:$AR$200,7,'_Datos'!$J$7:$J$200,"Completado")&amp;" / "&amp;COUNTIFS('_Datos'!$AO$7:$AO$200,"Semanal",'_Datos'!$AR$7:$AR$200,7)</f>
      </c>
      <c r="H11" s="191"/>
      <c r="I11" s="193"/>
    </row>
    <row r="12">
      <c r="B12" s="204" t="inlineStr">
        <is>
          <t xml:space="preserve">Semanal</t>
        </is>
      </c>
      <c r="C12" s="204">
        <v>8</v>
      </c>
      <c r="D12" s="206">
        <f>'Sprints'!$C$5+(8-1)*'Sprints'!$D$5</f>
      </c>
      <c r="E12" s="206">
        <f>'Sprints'!$C$5+8*'Sprints'!$D$5-1</f>
      </c>
      <c r="F12" s="204">
        <f>IF(COUNTIFS('_Datos'!$AO$7:$AO$200,"Semanal",'_Datos'!$AR$7:$AR$200,8)=0,IF($E12&lt;TODAY(),"Cerrado · sin tareas","Próximo · sin tareas"),IF($E12&lt;TODAY(),"Cerrado",IF($D12&lt;=TODAY(),"En curso","Próximo")))</f>
      </c>
      <c r="G12" s="204">
        <f>COUNTIFS('_Datos'!$AO$7:$AO$200,"Semanal",'_Datos'!$AR$7:$AR$200,8,'_Datos'!$J$7:$J$200,"Completado")&amp;" / "&amp;COUNTIFS('_Datos'!$AO$7:$AO$200,"Semanal",'_Datos'!$AR$7:$AR$200,8)</f>
      </c>
      <c r="H12" s="191"/>
      <c r="I12" s="193"/>
    </row>
    <row r="13">
      <c r="B13" s="204" t="inlineStr">
        <is>
          <t xml:space="preserve">Semanal</t>
        </is>
      </c>
      <c r="C13" s="204">
        <v>9</v>
      </c>
      <c r="D13" s="206">
        <f>'Sprints'!$C$5+(9-1)*'Sprints'!$D$5</f>
      </c>
      <c r="E13" s="206">
        <f>'Sprints'!$C$5+9*'Sprints'!$D$5-1</f>
      </c>
      <c r="F13" s="204">
        <f>IF(COUNTIFS('_Datos'!$AO$7:$AO$200,"Semanal",'_Datos'!$AR$7:$AR$200,9)=0,IF($E13&lt;TODAY(),"Cerrado · sin tareas","Próximo · sin tareas"),IF($E13&lt;TODAY(),"Cerrado",IF($D13&lt;=TODAY(),"En curso","Próximo")))</f>
      </c>
      <c r="G13" s="204">
        <f>COUNTIFS('_Datos'!$AO$7:$AO$200,"Semanal",'_Datos'!$AR$7:$AR$200,9,'_Datos'!$J$7:$J$200,"Completado")&amp;" / "&amp;COUNTIFS('_Datos'!$AO$7:$AO$200,"Semanal",'_Datos'!$AR$7:$AR$200,9)</f>
      </c>
      <c r="H13" s="191"/>
      <c r="I13" s="193"/>
    </row>
    <row r="14">
      <c r="B14" s="204" t="inlineStr">
        <is>
          <t xml:space="preserve">Semanal</t>
        </is>
      </c>
      <c r="C14" s="204">
        <v>10</v>
      </c>
      <c r="D14" s="206">
        <f>'Sprints'!$C$5+(10-1)*'Sprints'!$D$5</f>
      </c>
      <c r="E14" s="206">
        <f>'Sprints'!$C$5+10*'Sprints'!$D$5-1</f>
      </c>
      <c r="F14" s="204">
        <f>IF(COUNTIFS('_Datos'!$AO$7:$AO$200,"Semanal",'_Datos'!$AR$7:$AR$200,10)=0,IF($E14&lt;TODAY(),"Cerrado · sin tareas","Próximo · sin tareas"),IF($E14&lt;TODAY(),"Cerrado",IF($D14&lt;=TODAY(),"En curso","Próximo")))</f>
      </c>
      <c r="G14" s="204">
        <f>COUNTIFS('_Datos'!$AO$7:$AO$200,"Semanal",'_Datos'!$AR$7:$AR$200,10,'_Datos'!$J$7:$J$200,"Completado")&amp;" / "&amp;COUNTIFS('_Datos'!$AO$7:$AO$200,"Semanal",'_Datos'!$AR$7:$AR$200,10)</f>
      </c>
      <c r="H14" s="191"/>
      <c r="I14" s="193"/>
    </row>
    <row r="15">
      <c r="B15" s="204" t="inlineStr">
        <is>
          <t xml:space="preserve">Quincenal</t>
        </is>
      </c>
      <c r="C15" s="204">
        <v>1</v>
      </c>
      <c r="D15" s="206">
        <f>'Sprints'!$C$6+(1-1)*'Sprints'!$D$6</f>
      </c>
      <c r="E15" s="206">
        <f>'Sprints'!$C$6+1*'Sprints'!$D$6-1</f>
      </c>
      <c r="F15" s="204">
        <f>IF(COUNTIFS('_Datos'!$AO$7:$AO$200,"Quincenal",'_Datos'!$AR$7:$AR$200,1)=0,IF($E15&lt;TODAY(),"Cerrado · sin tareas","Próximo · sin tareas"),IF($E15&lt;TODAY(),"Cerrado",IF($D15&lt;=TODAY(),"En curso","Próximo")))</f>
      </c>
      <c r="G15" s="204">
        <f>COUNTIFS('_Datos'!$AO$7:$AO$200,"Quincenal",'_Datos'!$AR$7:$AR$200,1,'_Datos'!$J$7:$J$200,"Completado")&amp;" / "&amp;COUNTIFS('_Datos'!$AO$7:$AO$200,"Quincenal",'_Datos'!$AR$7:$AR$200,1)</f>
      </c>
      <c r="H15" s="191"/>
      <c r="I15" s="193"/>
    </row>
    <row r="16">
      <c r="B16" s="204" t="inlineStr">
        <is>
          <t xml:space="preserve">Quincenal</t>
        </is>
      </c>
      <c r="C16" s="204">
        <v>2</v>
      </c>
      <c r="D16" s="206">
        <f>'Sprints'!$C$6+(2-1)*'Sprints'!$D$6</f>
      </c>
      <c r="E16" s="206">
        <f>'Sprints'!$C$6+2*'Sprints'!$D$6-1</f>
      </c>
      <c r="F16" s="204">
        <f>IF(COUNTIFS('_Datos'!$AO$7:$AO$200,"Quincenal",'_Datos'!$AR$7:$AR$200,2)=0,IF($E16&lt;TODAY(),"Cerrado · sin tareas","Próximo · sin tareas"),IF($E16&lt;TODAY(),"Cerrado",IF($D16&lt;=TODAY(),"En curso","Próximo")))</f>
      </c>
      <c r="G16" s="204">
        <f>COUNTIFS('_Datos'!$AO$7:$AO$200,"Quincenal",'_Datos'!$AR$7:$AR$200,2,'_Datos'!$J$7:$J$200,"Completado")&amp;" / "&amp;COUNTIFS('_Datos'!$AO$7:$AO$200,"Quincenal",'_Datos'!$AR$7:$AR$200,2)</f>
      </c>
      <c r="H16" s="191"/>
      <c r="I16" s="193"/>
    </row>
    <row r="17">
      <c r="B17" s="204" t="inlineStr">
        <is>
          <t xml:space="preserve">Quincenal</t>
        </is>
      </c>
      <c r="C17" s="204">
        <v>3</v>
      </c>
      <c r="D17" s="206">
        <f>'Sprints'!$C$6+(3-1)*'Sprints'!$D$6</f>
      </c>
      <c r="E17" s="206">
        <f>'Sprints'!$C$6+3*'Sprints'!$D$6-1</f>
      </c>
      <c r="F17" s="204">
        <f>IF(COUNTIFS('_Datos'!$AO$7:$AO$200,"Quincenal",'_Datos'!$AR$7:$AR$200,3)=0,IF($E17&lt;TODAY(),"Cerrado · sin tareas","Próximo · sin tareas"),IF($E17&lt;TODAY(),"Cerrado",IF($D17&lt;=TODAY(),"En curso","Próximo")))</f>
      </c>
      <c r="G17" s="204">
        <f>COUNTIFS('_Datos'!$AO$7:$AO$200,"Quincenal",'_Datos'!$AR$7:$AR$200,3,'_Datos'!$J$7:$J$200,"Completado")&amp;" / "&amp;COUNTIFS('_Datos'!$AO$7:$AO$200,"Quincenal",'_Datos'!$AR$7:$AR$200,3)</f>
      </c>
      <c r="H17" s="191"/>
      <c r="I17" s="193"/>
    </row>
    <row r="18">
      <c r="B18" s="204" t="inlineStr">
        <is>
          <t xml:space="preserve">Quincenal</t>
        </is>
      </c>
      <c r="C18" s="204">
        <v>4</v>
      </c>
      <c r="D18" s="206">
        <f>'Sprints'!$C$6+(4-1)*'Sprints'!$D$6</f>
      </c>
      <c r="E18" s="206">
        <f>'Sprints'!$C$6+4*'Sprints'!$D$6-1</f>
      </c>
      <c r="F18" s="204">
        <f>IF(COUNTIFS('_Datos'!$AO$7:$AO$200,"Quincenal",'_Datos'!$AR$7:$AR$200,4)=0,IF($E18&lt;TODAY(),"Cerrado · sin tareas","Próximo · sin tareas"),IF($E18&lt;TODAY(),"Cerrado",IF($D18&lt;=TODAY(),"En curso","Próximo")))</f>
      </c>
      <c r="G18" s="204">
        <f>COUNTIFS('_Datos'!$AO$7:$AO$200,"Quincenal",'_Datos'!$AR$7:$AR$200,4,'_Datos'!$J$7:$J$200,"Completado")&amp;" / "&amp;COUNTIFS('_Datos'!$AO$7:$AO$200,"Quincenal",'_Datos'!$AR$7:$AR$200,4)</f>
      </c>
      <c r="H18" s="191"/>
      <c r="I18" s="193"/>
    </row>
    <row r="19">
      <c r="B19" s="204" t="inlineStr">
        <is>
          <t xml:space="preserve">Quincenal</t>
        </is>
      </c>
      <c r="C19" s="204">
        <v>5</v>
      </c>
      <c r="D19" s="206">
        <f>'Sprints'!$C$6+(5-1)*'Sprints'!$D$6</f>
      </c>
      <c r="E19" s="206">
        <f>'Sprints'!$C$6+5*'Sprints'!$D$6-1</f>
      </c>
      <c r="F19" s="204">
        <f>IF(COUNTIFS('_Datos'!$AO$7:$AO$200,"Quincenal",'_Datos'!$AR$7:$AR$200,5)=0,IF($E19&lt;TODAY(),"Cerrado · sin tareas","Próximo · sin tareas"),IF($E19&lt;TODAY(),"Cerrado",IF($D19&lt;=TODAY(),"En curso","Próximo")))</f>
      </c>
      <c r="G19" s="204">
        <f>COUNTIFS('_Datos'!$AO$7:$AO$200,"Quincenal",'_Datos'!$AR$7:$AR$200,5,'_Datos'!$J$7:$J$200,"Completado")&amp;" / "&amp;COUNTIFS('_Datos'!$AO$7:$AO$200,"Quincenal",'_Datos'!$AR$7:$AR$200,5)</f>
      </c>
      <c r="H19" s="191"/>
      <c r="I19" s="193"/>
    </row>
    <row r="20">
      <c r="B20" s="204" t="inlineStr">
        <is>
          <t xml:space="preserve">Quincenal</t>
        </is>
      </c>
      <c r="C20" s="204">
        <v>6</v>
      </c>
      <c r="D20" s="206">
        <f>'Sprints'!$C$6+(6-1)*'Sprints'!$D$6</f>
      </c>
      <c r="E20" s="206">
        <f>'Sprints'!$C$6+6*'Sprints'!$D$6-1</f>
      </c>
      <c r="F20" s="204">
        <f>IF(COUNTIFS('_Datos'!$AO$7:$AO$200,"Quincenal",'_Datos'!$AR$7:$AR$200,6)=0,IF($E20&lt;TODAY(),"Cerrado · sin tareas","Próximo · sin tareas"),IF($E20&lt;TODAY(),"Cerrado",IF($D20&lt;=TODAY(),"En curso","Próximo")))</f>
      </c>
      <c r="G20" s="204">
        <f>COUNTIFS('_Datos'!$AO$7:$AO$200,"Quincenal",'_Datos'!$AR$7:$AR$200,6,'_Datos'!$J$7:$J$200,"Completado")&amp;" / "&amp;COUNTIFS('_Datos'!$AO$7:$AO$200,"Quincenal",'_Datos'!$AR$7:$AR$200,6)</f>
      </c>
      <c r="H20" s="191"/>
      <c r="I20" s="193"/>
    </row>
    <row r="21">
      <c r="B21" s="204" t="inlineStr">
        <is>
          <t xml:space="preserve">Quincenal</t>
        </is>
      </c>
      <c r="C21" s="204">
        <v>7</v>
      </c>
      <c r="D21" s="206">
        <f>'Sprints'!$C$6+(7-1)*'Sprints'!$D$6</f>
      </c>
      <c r="E21" s="206">
        <f>'Sprints'!$C$6+7*'Sprints'!$D$6-1</f>
      </c>
      <c r="F21" s="204">
        <f>IF(COUNTIFS('_Datos'!$AO$7:$AO$200,"Quincenal",'_Datos'!$AR$7:$AR$200,7)=0,IF($E21&lt;TODAY(),"Cerrado · sin tareas","Próximo · sin tareas"),IF($E21&lt;TODAY(),"Cerrado",IF($D21&lt;=TODAY(),"En curso","Próximo")))</f>
      </c>
      <c r="G21" s="204">
        <f>COUNTIFS('_Datos'!$AO$7:$AO$200,"Quincenal",'_Datos'!$AR$7:$AR$200,7,'_Datos'!$J$7:$J$200,"Completado")&amp;" / "&amp;COUNTIFS('_Datos'!$AO$7:$AO$200,"Quincenal",'_Datos'!$AR$7:$AR$200,7)</f>
      </c>
      <c r="H21" s="191"/>
      <c r="I21" s="193"/>
    </row>
    <row r="22">
      <c r="B22" s="204" t="inlineStr">
        <is>
          <t xml:space="preserve">Quincenal</t>
        </is>
      </c>
      <c r="C22" s="204">
        <v>8</v>
      </c>
      <c r="D22" s="206">
        <f>'Sprints'!$C$6+(8-1)*'Sprints'!$D$6</f>
      </c>
      <c r="E22" s="206">
        <f>'Sprints'!$C$6+8*'Sprints'!$D$6-1</f>
      </c>
      <c r="F22" s="204">
        <f>IF(COUNTIFS('_Datos'!$AO$7:$AO$200,"Quincenal",'_Datos'!$AR$7:$AR$200,8)=0,IF($E22&lt;TODAY(),"Cerrado · sin tareas","Próximo · sin tareas"),IF($E22&lt;TODAY(),"Cerrado",IF($D22&lt;=TODAY(),"En curso","Próximo")))</f>
      </c>
      <c r="G22" s="204">
        <f>COUNTIFS('_Datos'!$AO$7:$AO$200,"Quincenal",'_Datos'!$AR$7:$AR$200,8,'_Datos'!$J$7:$J$200,"Completado")&amp;" / "&amp;COUNTIFS('_Datos'!$AO$7:$AO$200,"Quincenal",'_Datos'!$AR$7:$AR$200,8)</f>
      </c>
      <c r="H22" s="191"/>
      <c r="I22" s="193"/>
    </row>
    <row r="23">
      <c r="B23" s="204" t="inlineStr">
        <is>
          <t xml:space="preserve">Quincenal</t>
        </is>
      </c>
      <c r="C23" s="204">
        <v>9</v>
      </c>
      <c r="D23" s="206">
        <f>'Sprints'!$C$6+(9-1)*'Sprints'!$D$6</f>
      </c>
      <c r="E23" s="206">
        <f>'Sprints'!$C$6+9*'Sprints'!$D$6-1</f>
      </c>
      <c r="F23" s="204">
        <f>IF(COUNTIFS('_Datos'!$AO$7:$AO$200,"Quincenal",'_Datos'!$AR$7:$AR$200,9)=0,IF($E23&lt;TODAY(),"Cerrado · sin tareas","Próximo · sin tareas"),IF($E23&lt;TODAY(),"Cerrado",IF($D23&lt;=TODAY(),"En curso","Próximo")))</f>
      </c>
      <c r="G23" s="204">
        <f>COUNTIFS('_Datos'!$AO$7:$AO$200,"Quincenal",'_Datos'!$AR$7:$AR$200,9,'_Datos'!$J$7:$J$200,"Completado")&amp;" / "&amp;COUNTIFS('_Datos'!$AO$7:$AO$200,"Quincenal",'_Datos'!$AR$7:$AR$200,9)</f>
      </c>
      <c r="H23" s="191"/>
      <c r="I23" s="193"/>
    </row>
    <row r="24">
      <c r="B24" s="204" t="inlineStr">
        <is>
          <t xml:space="preserve">Quincenal</t>
        </is>
      </c>
      <c r="C24" s="204">
        <v>10</v>
      </c>
      <c r="D24" s="206">
        <f>'Sprints'!$C$6+(10-1)*'Sprints'!$D$6</f>
      </c>
      <c r="E24" s="206">
        <f>'Sprints'!$C$6+10*'Sprints'!$D$6-1</f>
      </c>
      <c r="F24" s="204">
        <f>IF(COUNTIFS('_Datos'!$AO$7:$AO$200,"Quincenal",'_Datos'!$AR$7:$AR$200,10)=0,IF($E24&lt;TODAY(),"Cerrado · sin tareas","Próximo · sin tareas"),IF($E24&lt;TODAY(),"Cerrado",IF($D24&lt;=TODAY(),"En curso","Próximo")))</f>
      </c>
      <c r="G24" s="204">
        <f>COUNTIFS('_Datos'!$AO$7:$AO$200,"Quincenal",'_Datos'!$AR$7:$AR$200,10,'_Datos'!$J$7:$J$200,"Completado")&amp;" / "&amp;COUNTIFS('_Datos'!$AO$7:$AO$200,"Quincenal",'_Datos'!$AR$7:$AR$200,10)</f>
      </c>
      <c r="H24" s="191"/>
      <c r="I24" s="193"/>
    </row>
    <row r="25">
      <c r="B25" s="204" t="inlineStr">
        <is>
          <t xml:space="preserve">Mensual</t>
        </is>
      </c>
      <c r="C25" s="204">
        <v>1</v>
      </c>
      <c r="D25" s="206">
        <f>'Sprints'!$C$7+(1-1)*'Sprints'!$D$7</f>
      </c>
      <c r="E25" s="206">
        <f>'Sprints'!$C$7+1*'Sprints'!$D$7-1</f>
      </c>
      <c r="F25" s="204">
        <f>IF(COUNTIFS('_Datos'!$AO$7:$AO$200,"Mensual",'_Datos'!$AR$7:$AR$200,1)=0,IF($E25&lt;TODAY(),"Cerrado · sin tareas","Próximo · sin tareas"),IF($E25&lt;TODAY(),"Cerrado",IF($D25&lt;=TODAY(),"En curso","Próximo")))</f>
      </c>
      <c r="G25" s="204">
        <f>COUNTIFS('_Datos'!$AO$7:$AO$200,"Mensual",'_Datos'!$AR$7:$AR$200,1,'_Datos'!$J$7:$J$200,"Completado")&amp;" / "&amp;COUNTIFS('_Datos'!$AO$7:$AO$200,"Mensual",'_Datos'!$AR$7:$AR$200,1)</f>
      </c>
      <c r="H25" s="191"/>
      <c r="I25" s="193"/>
    </row>
    <row r="26">
      <c r="B26" s="204" t="inlineStr">
        <is>
          <t xml:space="preserve">Mensual</t>
        </is>
      </c>
      <c r="C26" s="204">
        <v>2</v>
      </c>
      <c r="D26" s="206">
        <f>'Sprints'!$C$7+(2-1)*'Sprints'!$D$7</f>
      </c>
      <c r="E26" s="206">
        <f>'Sprints'!$C$7+2*'Sprints'!$D$7-1</f>
      </c>
      <c r="F26" s="204">
        <f>IF(COUNTIFS('_Datos'!$AO$7:$AO$200,"Mensual",'_Datos'!$AR$7:$AR$200,2)=0,IF($E26&lt;TODAY(),"Cerrado · sin tareas","Próximo · sin tareas"),IF($E26&lt;TODAY(),"Cerrado",IF($D26&lt;=TODAY(),"En curso","Próximo")))</f>
      </c>
      <c r="G26" s="204">
        <f>COUNTIFS('_Datos'!$AO$7:$AO$200,"Mensual",'_Datos'!$AR$7:$AR$200,2,'_Datos'!$J$7:$J$200,"Completado")&amp;" / "&amp;COUNTIFS('_Datos'!$AO$7:$AO$200,"Mensual",'_Datos'!$AR$7:$AR$200,2)</f>
      </c>
      <c r="H26" s="191"/>
      <c r="I26" s="193"/>
    </row>
    <row r="27">
      <c r="B27" s="204" t="inlineStr">
        <is>
          <t xml:space="preserve">Mensual</t>
        </is>
      </c>
      <c r="C27" s="204">
        <v>3</v>
      </c>
      <c r="D27" s="206">
        <f>'Sprints'!$C$7+(3-1)*'Sprints'!$D$7</f>
      </c>
      <c r="E27" s="206">
        <f>'Sprints'!$C$7+3*'Sprints'!$D$7-1</f>
      </c>
      <c r="F27" s="204">
        <f>IF(COUNTIFS('_Datos'!$AO$7:$AO$200,"Mensual",'_Datos'!$AR$7:$AR$200,3)=0,IF($E27&lt;TODAY(),"Cerrado · sin tareas","Próximo · sin tareas"),IF($E27&lt;TODAY(),"Cerrado",IF($D27&lt;=TODAY(),"En curso","Próximo")))</f>
      </c>
      <c r="G27" s="204">
        <f>COUNTIFS('_Datos'!$AO$7:$AO$200,"Mensual",'_Datos'!$AR$7:$AR$200,3,'_Datos'!$J$7:$J$200,"Completado")&amp;" / "&amp;COUNTIFS('_Datos'!$AO$7:$AO$200,"Mensual",'_Datos'!$AR$7:$AR$200,3)</f>
      </c>
      <c r="H27" s="191"/>
      <c r="I27" s="193"/>
    </row>
    <row r="28">
      <c r="B28" s="204" t="inlineStr">
        <is>
          <t xml:space="preserve">Mensual</t>
        </is>
      </c>
      <c r="C28" s="204">
        <v>4</v>
      </c>
      <c r="D28" s="206">
        <f>'Sprints'!$C$7+(4-1)*'Sprints'!$D$7</f>
      </c>
      <c r="E28" s="206">
        <f>'Sprints'!$C$7+4*'Sprints'!$D$7-1</f>
      </c>
      <c r="F28" s="204">
        <f>IF(COUNTIFS('_Datos'!$AO$7:$AO$200,"Mensual",'_Datos'!$AR$7:$AR$200,4)=0,IF($E28&lt;TODAY(),"Cerrado · sin tareas","Próximo · sin tareas"),IF($E28&lt;TODAY(),"Cerrado",IF($D28&lt;=TODAY(),"En curso","Próximo")))</f>
      </c>
      <c r="G28" s="204">
        <f>COUNTIFS('_Datos'!$AO$7:$AO$200,"Mensual",'_Datos'!$AR$7:$AR$200,4,'_Datos'!$J$7:$J$200,"Completado")&amp;" / "&amp;COUNTIFS('_Datos'!$AO$7:$AO$200,"Mensual",'_Datos'!$AR$7:$AR$200,4)</f>
      </c>
      <c r="H28" s="191"/>
      <c r="I28" s="193"/>
    </row>
    <row r="29">
      <c r="B29" s="204" t="inlineStr">
        <is>
          <t xml:space="preserve">Mensual</t>
        </is>
      </c>
      <c r="C29" s="204">
        <v>5</v>
      </c>
      <c r="D29" s="206">
        <f>'Sprints'!$C$7+(5-1)*'Sprints'!$D$7</f>
      </c>
      <c r="E29" s="206">
        <f>'Sprints'!$C$7+5*'Sprints'!$D$7-1</f>
      </c>
      <c r="F29" s="204">
        <f>IF(COUNTIFS('_Datos'!$AO$7:$AO$200,"Mensual",'_Datos'!$AR$7:$AR$200,5)=0,IF($E29&lt;TODAY(),"Cerrado · sin tareas","Próximo · sin tareas"),IF($E29&lt;TODAY(),"Cerrado",IF($D29&lt;=TODAY(),"En curso","Próximo")))</f>
      </c>
      <c r="G29" s="204">
        <f>COUNTIFS('_Datos'!$AO$7:$AO$200,"Mensual",'_Datos'!$AR$7:$AR$200,5,'_Datos'!$J$7:$J$200,"Completado")&amp;" / "&amp;COUNTIFS('_Datos'!$AO$7:$AO$200,"Mensual",'_Datos'!$AR$7:$AR$200,5)</f>
      </c>
      <c r="H29" s="191"/>
      <c r="I29" s="193"/>
    </row>
    <row r="30">
      <c r="B30" s="204" t="inlineStr">
        <is>
          <t xml:space="preserve">Mensual</t>
        </is>
      </c>
      <c r="C30" s="204">
        <v>6</v>
      </c>
      <c r="D30" s="206">
        <f>'Sprints'!$C$7+(6-1)*'Sprints'!$D$7</f>
      </c>
      <c r="E30" s="206">
        <f>'Sprints'!$C$7+6*'Sprints'!$D$7-1</f>
      </c>
      <c r="F30" s="204">
        <f>IF(COUNTIFS('_Datos'!$AO$7:$AO$200,"Mensual",'_Datos'!$AR$7:$AR$200,6)=0,IF($E30&lt;TODAY(),"Cerrado · sin tareas","Próximo · sin tareas"),IF($E30&lt;TODAY(),"Cerrado",IF($D30&lt;=TODAY(),"En curso","Próximo")))</f>
      </c>
      <c r="G30" s="204">
        <f>COUNTIFS('_Datos'!$AO$7:$AO$200,"Mensual",'_Datos'!$AR$7:$AR$200,6,'_Datos'!$J$7:$J$200,"Completado")&amp;" / "&amp;COUNTIFS('_Datos'!$AO$7:$AO$200,"Mensual",'_Datos'!$AR$7:$AR$200,6)</f>
      </c>
      <c r="H30" s="191"/>
      <c r="I30" s="193"/>
    </row>
    <row r="31">
      <c r="B31" s="204" t="inlineStr">
        <is>
          <t xml:space="preserve">Mensual</t>
        </is>
      </c>
      <c r="C31" s="204">
        <v>7</v>
      </c>
      <c r="D31" s="206">
        <f>'Sprints'!$C$7+(7-1)*'Sprints'!$D$7</f>
      </c>
      <c r="E31" s="206">
        <f>'Sprints'!$C$7+7*'Sprints'!$D$7-1</f>
      </c>
      <c r="F31" s="204">
        <f>IF(COUNTIFS('_Datos'!$AO$7:$AO$200,"Mensual",'_Datos'!$AR$7:$AR$200,7)=0,IF($E31&lt;TODAY(),"Cerrado · sin tareas","Próximo · sin tareas"),IF($E31&lt;TODAY(),"Cerrado",IF($D31&lt;=TODAY(),"En curso","Próximo")))</f>
      </c>
      <c r="G31" s="204">
        <f>COUNTIFS('_Datos'!$AO$7:$AO$200,"Mensual",'_Datos'!$AR$7:$AR$200,7,'_Datos'!$J$7:$J$200,"Completado")&amp;" / "&amp;COUNTIFS('_Datos'!$AO$7:$AO$200,"Mensual",'_Datos'!$AR$7:$AR$200,7)</f>
      </c>
      <c r="H31" s="191"/>
      <c r="I31" s="193"/>
    </row>
    <row r="32">
      <c r="B32" s="204" t="inlineStr">
        <is>
          <t xml:space="preserve">Mensual</t>
        </is>
      </c>
      <c r="C32" s="204">
        <v>8</v>
      </c>
      <c r="D32" s="206">
        <f>'Sprints'!$C$7+(8-1)*'Sprints'!$D$7</f>
      </c>
      <c r="E32" s="206">
        <f>'Sprints'!$C$7+8*'Sprints'!$D$7-1</f>
      </c>
      <c r="F32" s="204">
        <f>IF(COUNTIFS('_Datos'!$AO$7:$AO$200,"Mensual",'_Datos'!$AR$7:$AR$200,8)=0,IF($E32&lt;TODAY(),"Cerrado · sin tareas","Próximo · sin tareas"),IF($E32&lt;TODAY(),"Cerrado",IF($D32&lt;=TODAY(),"En curso","Próximo")))</f>
      </c>
      <c r="G32" s="204">
        <f>COUNTIFS('_Datos'!$AO$7:$AO$200,"Mensual",'_Datos'!$AR$7:$AR$200,8,'_Datos'!$J$7:$J$200,"Completado")&amp;" / "&amp;COUNTIFS('_Datos'!$AO$7:$AO$200,"Mensual",'_Datos'!$AR$7:$AR$200,8)</f>
      </c>
      <c r="H32" s="191"/>
      <c r="I32" s="193"/>
    </row>
    <row r="33">
      <c r="B33" s="204" t="inlineStr">
        <is>
          <t xml:space="preserve">Mensual</t>
        </is>
      </c>
      <c r="C33" s="204">
        <v>9</v>
      </c>
      <c r="D33" s="206">
        <f>'Sprints'!$C$7+(9-1)*'Sprints'!$D$7</f>
      </c>
      <c r="E33" s="206">
        <f>'Sprints'!$C$7+9*'Sprints'!$D$7-1</f>
      </c>
      <c r="F33" s="204">
        <f>IF(COUNTIFS('_Datos'!$AO$7:$AO$200,"Mensual",'_Datos'!$AR$7:$AR$200,9)=0,IF($E33&lt;TODAY(),"Cerrado · sin tareas","Próximo · sin tareas"),IF($E33&lt;TODAY(),"Cerrado",IF($D33&lt;=TODAY(),"En curso","Próximo")))</f>
      </c>
      <c r="G33" s="204">
        <f>COUNTIFS('_Datos'!$AO$7:$AO$200,"Mensual",'_Datos'!$AR$7:$AR$200,9,'_Datos'!$J$7:$J$200,"Completado")&amp;" / "&amp;COUNTIFS('_Datos'!$AO$7:$AO$200,"Mensual",'_Datos'!$AR$7:$AR$200,9)</f>
      </c>
      <c r="H33" s="191"/>
      <c r="I33" s="193"/>
    </row>
    <row r="34">
      <c r="B34" s="204" t="inlineStr">
        <is>
          <t xml:space="preserve">Mensual</t>
        </is>
      </c>
      <c r="C34" s="204">
        <v>10</v>
      </c>
      <c r="D34" s="206">
        <f>'Sprints'!$C$7+(10-1)*'Sprints'!$D$7</f>
      </c>
      <c r="E34" s="206">
        <f>'Sprints'!$C$7+10*'Sprints'!$D$7-1</f>
      </c>
      <c r="F34" s="204">
        <f>IF(COUNTIFS('_Datos'!$AO$7:$AO$200,"Mensual",'_Datos'!$AR$7:$AR$200,10)=0,IF($E34&lt;TODAY(),"Cerrado · sin tareas","Próximo · sin tareas"),IF($E34&lt;TODAY(),"Cerrado",IF($D34&lt;=TODAY(),"En curso","Próximo")))</f>
      </c>
      <c r="G34" s="204">
        <f>COUNTIFS('_Datos'!$AO$7:$AO$200,"Mensual",'_Datos'!$AR$7:$AR$200,10,'_Datos'!$J$7:$J$200,"Completado")&amp;" / "&amp;COUNTIFS('_Datos'!$AO$7:$AO$200,"Mensual",'_Datos'!$AR$7:$AR$200,10)</f>
      </c>
      <c r="H34" s="191"/>
      <c r="I34" s="193"/>
    </row>
  </sheetData>
  <mergeCells count="2">
    <mergeCell ref="B1:I1"/>
    <mergeCell ref="B2:I2"/>
  </mergeCells>
  <conditionalFormatting sqref="F5:F14">
    <cfRule type="expression" dxfId="22" priority="10">
      <formula>ISNUMBER(SEARCH("Cerrado",$F5))</formula>
    </cfRule>
    <cfRule type="expression" dxfId="28" priority="11">
      <formula>$F5="En curso"</formula>
    </cfRule>
  </conditionalFormatting>
  <conditionalFormatting sqref="H5:H14">
    <cfRule type="expression" dxfId="26" priority="12">
      <formula>$H5="Sí"</formula>
    </cfRule>
    <cfRule type="expression" dxfId="23" priority="13">
      <formula>$H5="No"</formula>
    </cfRule>
    <cfRule type="expression" dxfId="24" priority="14">
      <formula>$H5="Parcial"</formula>
    </cfRule>
  </conditionalFormatting>
  <conditionalFormatting sqref="F15:F24">
    <cfRule type="expression" dxfId="22" priority="15">
      <formula>ISNUMBER(SEARCH("Cerrado",$F15))</formula>
    </cfRule>
    <cfRule type="expression" dxfId="28" priority="16">
      <formula>$F15="En curso"</formula>
    </cfRule>
  </conditionalFormatting>
  <conditionalFormatting sqref="H15:H24">
    <cfRule type="expression" dxfId="26" priority="17">
      <formula>$H15="Sí"</formula>
    </cfRule>
    <cfRule type="expression" dxfId="23" priority="18">
      <formula>$H15="No"</formula>
    </cfRule>
    <cfRule type="expression" dxfId="24" priority="19">
      <formula>$H15="Parcial"</formula>
    </cfRule>
  </conditionalFormatting>
  <conditionalFormatting sqref="F25:F34">
    <cfRule type="expression" dxfId="22" priority="20">
      <formula>ISNUMBER(SEARCH("Cerrado",$F25))</formula>
    </cfRule>
    <cfRule type="expression" dxfId="28" priority="21">
      <formula>$F25="En curso"</formula>
    </cfRule>
  </conditionalFormatting>
  <conditionalFormatting sqref="H25:H34">
    <cfRule type="expression" dxfId="26" priority="22">
      <formula>$H25="Sí"</formula>
    </cfRule>
    <cfRule type="expression" dxfId="23" priority="23">
      <formula>$H25="No"</formula>
    </cfRule>
    <cfRule type="expression" dxfId="24" priority="24">
      <formula>$H25="Parcial"</formula>
    </cfRule>
  </conditionalFormatting>
  <dataValidations count="1">
    <dataValidation type="list" allowBlank="1" showInputMessage="1" showErrorMessage="1" sqref="H5:H34">
      <formula1>"Sí,No,Parcial"</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