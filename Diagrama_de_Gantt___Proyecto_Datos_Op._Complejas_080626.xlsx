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codeName="ThisWorkbook"/>
  <xr:revisionPtr revIDLastSave="0" documentId="13_ncr:2001_{64734002-F6A4-4A00-A294-0591EFC46632}" xr6:coauthVersionLast="47" xr6:coauthVersionMax="47" xr10:uidLastSave="{00000000-0000-0000-0000-000000000000}"/>
  <bookViews>
    <workbookView xWindow="28680" yWindow="-120" windowWidth="20730" windowHeight="11040" xr2:uid="{00000000-000D-0000-FFFF-FFFF00000000}"/>
  </bookViews>
  <sheets>
    <sheet name="Proyecto Datos (OKR´s)" sheetId="14" r:id="rId1"/>
    <sheet name="Proyecto Datos (Actual)" sheetId="13" state="hidden" r:id="rId2"/>
    <sheet name="Proyecto Datos" sheetId="11" state="hidden" r:id="rId3"/>
    <sheet name="Acerca de" sheetId="12" state="hidden" r:id="rId4"/>
    <sheet name="Tablero" sheetId="15" r:id="rId12"/>
    <sheet name="Entregas Próximas" sheetId="16" r:id="rId13"/>
    <sheet name="_Datos" sheetId="18" state="hidden" r:id="rId14"/>
  </sheets>
  <definedNames>
    <definedName name="hoy" localSheetId="2">TODAY()</definedName>
    <definedName name="hoy" localSheetId="1">TODAY()</definedName>
    <definedName name="hoy" localSheetId="0">TODAY()</definedName>
    <definedName name="Inicio_del_proyecto" localSheetId="1">'Proyecto Datos (Actual)'!$E$3</definedName>
    <definedName name="Inicio_del_proyecto" localSheetId="0">'Proyecto Datos (OKR´s)'!$K$3</definedName>
    <definedName name="Inicio_del_proyecto">'Proyecto Datos'!$E$3</definedName>
    <definedName name="Semana_para_mostrar" localSheetId="1">'Proyecto Datos (Actual)'!$E$4</definedName>
    <definedName name="Semana_para_mostrar" localSheetId="0">'Proyecto Datos (OKR´s)'!$K$4</definedName>
    <definedName name="Semana_para_mostrar">'Proyecto Datos'!$E$4</definedName>
    <definedName name="task_end" localSheetId="2">'Proyecto Datos'!$F1</definedName>
    <definedName name="task_end" localSheetId="1">'Proyecto Datos (Actual)'!$F1</definedName>
    <definedName name="task_end" localSheetId="0">'Proyecto Datos (OKR´s)'!$L1</definedName>
    <definedName name="task_progress" localSheetId="2">'Proyecto Datos'!$D1</definedName>
    <definedName name="task_progress" localSheetId="1">'Proyecto Datos (Actual)'!$D1</definedName>
    <definedName name="task_progress" localSheetId="0">'Proyecto Datos (OKR´s)'!$J1</definedName>
    <definedName name="task_start" localSheetId="2">'Proyecto Datos'!$E1</definedName>
    <definedName name="task_start" localSheetId="1">'Proyecto Datos (Actual)'!$E1</definedName>
    <definedName name="task_start" localSheetId="0">'Proyecto Datos (OKR´s)'!$K1</definedName>
    <definedName name="_xlnm.Print_Titles" localSheetId="2">'Proyecto Datos'!$4:$6</definedName>
    <definedName name="_xlnm.Print_Titles" localSheetId="1">'Proyecto Datos (Actual)'!$4:$6</definedName>
    <definedName name="_xlnm.Print_Titles" localSheetId="0">'Proyecto Datos (OKR´s)'!$4:$6</definedName>
  </definedNames>
  <calcPr calcId="191029" iterate="1" fullCalcOnLoad="1"/>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G17" authorId="0" shapeId="0" xr:uid="{D846AD94-692F-47E5-B5E1-E83C2AC73A54}">
      <text>
        <r>
          <rPr>
            <sz val="8"/>
            <color indexed="81"/>
            <rFont val="Tahoma"/>
            <family val="2"/>
          </rPr>
          <t>No están vinculados a un cliente en particular, tienen un % de incidencia.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B21" authorId="0" shapeId="0" xr:uid="{2267CB23-C376-4C2A-9E6A-1AFF69443F5C}">
      <text>
        <r>
          <rPr>
            <sz val="8"/>
            <color indexed="81"/>
            <rFont val="Tahoma"/>
            <family val="2"/>
          </rPr>
          <t>No están vinculados a un cliente en particular, tienen un % de incidencia.</t>
        </r>
      </text>
    </comment>
    <comment ref="B22" authorId="0" shapeId="0" xr:uid="{228B4EF3-7575-4439-8F18-4FE6AE128B1B}">
      <text>
        <r>
          <rPr>
            <sz val="8"/>
            <color indexed="81"/>
            <rFont val="Tahoma"/>
            <family val="2"/>
          </rPr>
          <t>No están vinculados a un cliente en particular, tienen un % de incidencia.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B21" authorId="0" shapeId="0" xr:uid="{710DF7A7-BEF1-4BFB-A662-E13D634E83F1}">
      <text>
        <r>
          <rPr>
            <sz val="8"/>
            <color indexed="81"/>
            <rFont val="Tahoma"/>
            <family val="2"/>
          </rPr>
          <t>No están vinculados a un cliente en particular, tienen un % de incidencia.</t>
        </r>
      </text>
    </comment>
  </commentList>
</comments>
</file>

<file path=xl/sharedStrings.xml><?xml version="1.0" encoding="utf-8"?>
<sst xmlns="http://schemas.openxmlformats.org/spreadsheetml/2006/main" count="363" uniqueCount="145">
  <si>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</si>
  <si>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Escriba el nombre de la compañía en la celda B2.</t>
  </si>
  <si>
    <t>Escriba el nombre del responsable del proyecto en la celda B3. Escriba la fecha de comienzo del proyecto en la celda E3. Inicio del proyecto: la etiqueta se encuentra en la celda C3.</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</si>
  <si>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</si>
  <si>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</si>
  <si>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</si>
  <si>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 xml:space="preserve">No elimine esta fila. Esta fila está oculta para conservar una fórmula que se usa para resaltar el día actual dentro de la programación del proyecto. </t>
  </si>
  <si>
    <t>La celda B8 contiene el título de ejemplo de la Fase 1. 
Escriba un nuevo título en la celda B8.
Escriba un nombre para asignar la fase, si se aplica para el proyecto, en la celda C8.
Escriba el progreso de la fase completa, si se aplica para el proyecto, en la celda D8.
Escriba las fechas de inicio y finalización de la fase completa, si se aplica para el proyecto, en las celdas E8 y F8. 
El gráfico de Gantt rellena automáticamente las fechas adecuadas y aplica un sombreado según el progreso especificado.
Para eliminar la fase y trabajar solo con las tareas, elimine esta fila.</t>
  </si>
  <si>
    <t xml:space="preserve">La celda B9 contiene la tarea de ejemplo "Tarea 1". 
Escriba un nuevo nombre de tarea en la celda B9.
Escriba una persona a la que asignar la tarea en la celda C9.
Escriba el progreso de la tarea en la celda D9. Aparece una barra de progreso en la celda y se sombrea según el número de la celda. Por ejemplo, un progreso del 50 por ciento aplicaría sombreado a la mitad de la celda.
Escriba la fecha de inicio de la tarea en la celda E9.
Escriba la fecha de finalización de la tarea en la celda F9.
Aparece una barra de estado con sombreado para las fechas especificadas en bloques comenzando desde la celda I9 hasta la BL9. </t>
  </si>
  <si>
    <t>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</si>
  <si>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ha agregado nuevas filas en esta hoja de cálculo, verá que se han creado automáticamente 2 bloques de fase de ejemplo adicionales en las celdas B20 y B26. En caso contrario, desplácese por las celdas de la columna A para buscar los bloques adicionales. 
Repita las instrucciones de las celdas A8 y A9 cuando lo necesite.</t>
  </si>
  <si>
    <t>Bloque de título fase de ejemplo</t>
  </si>
  <si>
    <t>TAREA</t>
  </si>
  <si>
    <t>Inicio del proyecto:</t>
  </si>
  <si>
    <t>Semana para mostrar:</t>
  </si>
  <si>
    <t>PROGRESO</t>
  </si>
  <si>
    <t>INICIO</t>
  </si>
  <si>
    <t>FIN</t>
  </si>
  <si>
    <t>DÍAS</t>
  </si>
  <si>
    <t>GRÁFICO GANTT SIMPLE de Vertex42.com</t>
  </si>
  <si>
    <t>https://www.vertex42.com/ExcelTemplates/simple-gantt-chart.html</t>
  </si>
  <si>
    <t>Información sobre esta plantilla</t>
  </si>
  <si>
    <t>Esta plantilla proporciona una forma sencilla de crear un diagrama de Gantt para ayudarle a visualizar su proyecto y realizar un seguimiento de este. Simplemente escriba sus tareas y fechas de inicio y finalización, no necesita fórmulas. Las barras del gráfico de Gantt representan la duración de la tarea y se muestran con formato condicional. Para insertar nuevas tareas, inserte filas nuevas.</t>
  </si>
  <si>
    <t>Guía para lectores de pantalla</t>
  </si>
  <si>
    <t>Hay 2 hojas de cálculo en este libro. 
ParteDeHoras
Información
Las instrucciones de las hojas de cálculo se encuentran en la columna A de cada hoja, a partir de la celda A1. Están escritas con texto oculto. Cada paso le guiará a través de la información de esa fila. Los pasos posteriores continúan en la celda A2, A3, y así sucesivamente, a menos que se indique de forma explícita. Por ejemplo, el texto de una instrucción podría ser “Vaya a la celda A6” para continuar con el siguiente paso. 
Este texto oculto no se imprimirá.
Para quitar las instrucciones de la hoja de cálculo, es suficiente con eliminar la columna A.</t>
  </si>
  <si>
    <t>Ayuda adicional</t>
  </si>
  <si>
    <t>Haga clic en el vínculo siguiente para visitar vertex42.com y obtener más información sobre cómo usar esta plantilla, como la forma de calcular los días laborales, crear dependencias de tareas, cambiar los colores de las barras, agregar una barra de desplazamiento para que sea más fácil cambiar la semana que se muestra, ampliar el intervalo de fechas que se muestran en el gráfico, etcétera.</t>
  </si>
  <si>
    <t>Cómo usar el gráfico de Gantt simple</t>
  </si>
  <si>
    <t>Más plantillas de administración de proyectos</t>
  </si>
  <si>
    <t>Visite Vertex42.com para descargar otras plantillas de administración de proyectos, como distintas programaciones de proyectos, diagramas de Gantt, listas de tareas, etcétera.</t>
  </si>
  <si>
    <t>Plantillas de administración de proyectos</t>
  </si>
  <si>
    <t>Información sobre Vertex42</t>
  </si>
  <si>
    <t>Vertex42.com ofrece más de 300 plantillas de hojas de cálculo de diseño profesional para empresas, hogares y centros educativos (la mayoría se puede descargar de forma gratuita). Su colección incluye una amplia variedad de calendarios, planificadores y programaciones, así como hojas de cálculo para las finanzas personales: para la administración de presupuestos, la reducción de deudas y la amortización de préstamos.</t>
  </si>
  <si>
    <t>Las empresas encontrarán plantillas de facturas, partes de horas, informes financieros, planificación de proyectos y plantillas para hacer un seguimiento del inventario. Los profesores y los estudiantes encontrarán recursos como programaciones de clases, libros de calificaciones y hojas de asistencia. Organice su vida familiar con planificadores de comidas, listas y registros de ejercicio. Cada plantilla ha sido cuidadosamente diseñada, perfeccionada y mejorada a lo largo del tiempo gracias a los comentarios de miles de usuarios.</t>
  </si>
  <si>
    <t>Proyecto Datos Op. Complejas</t>
  </si>
  <si>
    <t>IHSA S.A.</t>
  </si>
  <si>
    <t>Santiago Alonso</t>
  </si>
  <si>
    <t>1- Automatización de Tareas</t>
  </si>
  <si>
    <t>3- Planilla de Control</t>
  </si>
  <si>
    <t>Planilla DTM Estandarizada</t>
  </si>
  <si>
    <t>Polinómicas + Tarifario + Ev. Parámetros Precios</t>
  </si>
  <si>
    <t>Planilla Aeroevaciaciones</t>
  </si>
  <si>
    <t>Carpeta almacenamiento en Sharepoint p/ Datalake</t>
  </si>
  <si>
    <t>Días en Calle Calculado</t>
  </si>
  <si>
    <t>Aging Calculado</t>
  </si>
  <si>
    <t>Resumen Clientes Petróleo</t>
  </si>
  <si>
    <t>Resumen Clientes Minería</t>
  </si>
  <si>
    <t>Julio Tinelli</t>
  </si>
  <si>
    <t>Importe Pendiente Fc (Provisión)</t>
  </si>
  <si>
    <t>Importe Provisionado (Datalake --&gt; Clik Sense "Venta Bruta")</t>
  </si>
  <si>
    <t>Importe Facturado (Datalake --&gt; Clik Sense "Venta Bruta")</t>
  </si>
  <si>
    <t>Días en Calle (Sharepoint --&gt; Excel)</t>
  </si>
  <si>
    <t>Aging (Sharepoint  --&gt; Excel)</t>
  </si>
  <si>
    <t>Locaciones Geográficas Minería</t>
  </si>
  <si>
    <t>Locaciones Geográficas Op. Dedicadas</t>
  </si>
  <si>
    <t>Detalle Responsables (Comerciales + Analistas)</t>
  </si>
  <si>
    <t>Obtener información detallada de DTM x Service Desk</t>
  </si>
  <si>
    <t>Armado de Dashboard</t>
  </si>
  <si>
    <t>Planilla Activos Unificados (Nico Sifuentes) - Estandarizar</t>
  </si>
  <si>
    <t>Eliminar contratos obsoletos</t>
  </si>
  <si>
    <t>Estandarizar materíales de contratos</t>
  </si>
  <si>
    <t>Crear Boom´s para materiales que hacen alusión a US</t>
  </si>
  <si>
    <t>Armado de solicitudes extra x Módulos (Ej: Med. Laboral)</t>
  </si>
  <si>
    <t>Automatización Archivo Sueldos Petro</t>
  </si>
  <si>
    <t>Automatización Archivo Sueldos FATSA</t>
  </si>
  <si>
    <t>2- Cotizador Automático (Neuquén)</t>
  </si>
  <si>
    <t>Estandarización cotizaciones COMPRAS</t>
  </si>
  <si>
    <t>Crear estructura de Cotizador en base a modelo armado</t>
  </si>
  <si>
    <t>Diseño de Dashboard</t>
  </si>
  <si>
    <t>Armado de Dashboard + Diseño</t>
  </si>
  <si>
    <t>Automatización de Provisión</t>
  </si>
  <si>
    <t>Luis Barrozo/ Santiago Alonso</t>
  </si>
  <si>
    <r>
      <t xml:space="preserve">Locaciones Geográficas Pozos Petro (ver datos </t>
    </r>
    <r>
      <rPr>
        <b/>
        <i/>
        <u/>
        <sz val="11"/>
        <color theme="1"/>
        <rFont val="Calibri"/>
        <family val="2"/>
        <scheme val="minor"/>
      </rPr>
      <t>Secretaria de Energía</t>
    </r>
    <r>
      <rPr>
        <sz val="11"/>
        <color theme="1"/>
        <rFont val="Calibri"/>
        <family val="2"/>
        <scheme val="minor"/>
      </rPr>
      <t>)</t>
    </r>
  </si>
  <si>
    <t>Resumen Clientes Op. Dedicadas</t>
  </si>
  <si>
    <t>4- Contratos Salesforce</t>
  </si>
  <si>
    <t>ASIGNADO A</t>
  </si>
  <si>
    <t>Automatización de Certificaciones Mensuales</t>
  </si>
  <si>
    <t>Asociar Gastos de Estructura (% de incidencia)</t>
  </si>
  <si>
    <t>Crear estructura de Cotizador en base a modelo armado (migra a CLAUDE)</t>
  </si>
  <si>
    <t>Automatización Archivo Sueldos FATSA (PENDIENTE REVISIÓN GENERAL)</t>
  </si>
  <si>
    <t>Automatización Archivo Sueldos Petro (PENDIENTE REVISIÓN GENERAL)</t>
  </si>
  <si>
    <t>Asociar Gastos de Estructura (% de incidencia) --&gt; Pedir a Fran</t>
  </si>
  <si>
    <t>Estandarización cotizaciones COMPRAS (costos x provincia)</t>
  </si>
  <si>
    <t>Asociar Archivo Móviles y Tráilers (Nico Sifuentes)</t>
  </si>
  <si>
    <t>1- GOC: Módulo de Datos para Procesos de Certificación (Inteligencia Comercial)</t>
  </si>
  <si>
    <t>2- Cotizador de Operaciones Complejas</t>
  </si>
  <si>
    <t>Días Transcurridos=</t>
  </si>
  <si>
    <t>Ponderación OKR</t>
  </si>
  <si>
    <t>Disponibilidad de información centralizada en GOC (aguarda desarrollo)</t>
  </si>
  <si>
    <t>Lucila Pronzato</t>
  </si>
  <si>
    <t>Relevamiento Últimos Sueldos de referencia Monotributistas</t>
  </si>
  <si>
    <t>Estandarización cotizaciones COMPRAS (costos x provincia) - aguardo información</t>
  </si>
  <si>
    <t>Polinómicas y tarifario automático</t>
  </si>
  <si>
    <t>Certificados automáticos (ver si utilizar scripts)</t>
  </si>
  <si>
    <t>Provisión Automática</t>
  </si>
  <si>
    <t>Santiago Alonso/ Julio Tinelli</t>
  </si>
  <si>
    <t>Santiago Alonso/ Danna Basso/ Lucía Paciello</t>
  </si>
  <si>
    <t>Estandarizar materíales de contratos - ver si se puede realizarmasivo (Matias Viera - SF)</t>
  </si>
  <si>
    <t>Crear Backend ETL - ver con Claude Code</t>
  </si>
  <si>
    <t>Fecha Reunón Programada</t>
  </si>
  <si>
    <t>Comentarios</t>
  </si>
  <si>
    <t>Ok registro global Personas y Móviles (Habilitado/ Inhabilitado/ Dado de baja) + Vencimientos; Próximo: Diagrama (30/6 fecha estimada)</t>
  </si>
  <si>
    <t>Avance Nico Sifuentes</t>
  </si>
  <si>
    <t>pedir últimos a Carlos Hernández</t>
  </si>
  <si>
    <t>Reunión jue 11/6 - Avance Seba Oliver</t>
  </si>
  <si>
    <t>Sprint</t>
  </si>
  <si>
    <t>Periodicidad</t>
  </si>
  <si>
    <t>Mensual</t>
  </si>
  <si>
    <t>Fecha</t>
  </si>
  <si>
    <t>Asociar Archivo Masters de Medicación (Seba Oliver) + Capacitaciones + procedimiento</t>
  </si>
  <si>
    <t>Asociar Archivo Móviles y Tráilers (Nico Sifuentes) + procedimiento</t>
  </si>
  <si>
    <t>Semanal</t>
  </si>
  <si>
    <t>Planilla DTM Estandarizada+ Procedimiento</t>
  </si>
  <si>
    <t>Planilla Aeroevaciaciones + Procedimiento</t>
  </si>
  <si>
    <t>Procedimiento</t>
  </si>
  <si>
    <t>5- Tablero Control General - Op. Complejas</t>
  </si>
  <si>
    <t>Planilla Activos Unificados - Estandarizar + Procedimiento</t>
  </si>
  <si>
    <t>ok, pero sale de sistema. Terminar de relevar los inputs. (Nico Sifuentes)</t>
  </si>
  <si>
    <t>Relevar conveniencia de creación de Boom´s para materiales que hacen alusión a US</t>
  </si>
  <si>
    <t>Revisión de Gráfico en cascada: por desvío y desagregación por categorías.</t>
  </si>
  <si>
    <t>Armado de Procedimiento</t>
  </si>
  <si>
    <t>Revisión de viabilidad de incorporación datos Redash (input ZReal con clasificaciones automaticas por CECO - Directas e Indirectas)</t>
  </si>
  <si>
    <t>Relevamiento área de IA -  Repositorio (GitHub o AWS S3) + Seguridad</t>
  </si>
  <si>
    <t>mar 9/6 Reunión Torres, Huilen (Equipo IA)  - Definir con Nico Vazquez</t>
  </si>
  <si>
    <t>Deployar (URL Web)</t>
  </si>
  <si>
    <t>Input de datos desde Provisión mensual</t>
  </si>
  <si>
    <t>Creación detalle deuda YPF (ídem Excel)</t>
  </si>
  <si>
    <t>Creación detalle deuda Vista - Replicar Excel Deuda</t>
  </si>
  <si>
    <t>Revisar con Fran</t>
  </si>
  <si>
    <t>Martes 09/06</t>
  </si>
  <si>
    <t>Jueves 11/06</t>
  </si>
  <si>
    <t>Reunión con Danna Mar 16/06</t>
  </si>
  <si>
    <t>Martes 16/06</t>
  </si>
  <si>
    <t>Automatización Archivo Sueldos FATSA + Procedimientos</t>
  </si>
  <si>
    <t>Automatización Archivo Sueldos Petro + Procedimientos</t>
  </si>
  <si>
    <t>Quincenal</t>
  </si>
  <si>
    <t>3- Tablero BI OPEX - Real vs BO</t>
  </si>
  <si>
    <t>4- Tablero BI DEUDA</t>
  </si>
  <si>
    <t>6- Automatización de procesos: certificación, provisión,polinómicas</t>
  </si>
  <si>
    <t>7- Incorporación de Operaciones Complejas en sistemas de la compañía: Salesforce, SAP, etc.</t>
  </si>
  <si>
    <t>Dias en Calle - desde SharePoint</t>
  </si>
  <si>
    <t>Aging - desde SharePoint</t>
  </si>
  <si>
    <t>Revisión y Publicación de Tablero</t>
  </si>
  <si>
    <t>Analizar viabilidad de input Redash: Importe Facturado (Datalake --&gt; Clik Sense "Venta Bruta")</t>
  </si>
  <si>
    <t>Analizar viabilidad de input Redash: Importe Provisionado (Datalake --&gt; Clik Sense)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</si>
</sst>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4" formatCode="_-&quot;$&quot;\ * #,##0.00_-;\-&quot;$&quot;\ * #,##0.00_-;_-&quot;$&quot;\ * &quot;-&quot;??_-;_-@_-"/>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ddd\,\ m/d/yyyy"/>
    <numFmt numFmtId="169" formatCode="[$-C0A]d\ &quot;de&quot;\ mmmm\ &quot;de&quot;\ yyyy;@"/>
    <numFmt numFmtId="170" formatCode="d\-m\-yy;@"/>
    <numFmt numFmtId="171" formatCode="d"/>
    <numFmt numFmtId="172" formatCode="ddd\,\ d/m/yyyy"/>
    <numFmt numFmtId="173" formatCode="dd/mm/yyyy"/>
    <numFmt numFmtId="174" formatCode="0&quot; d&quot;"/>
  </numFmts>
  <fonts count="76"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0"/>
      <color theme="0"/>
      <name val="Calibri"/>
      <family val="2"/>
      <scheme val="minor"/>
    </font>
    <font>
      <sz val="10"/>
      <color theme="1"/>
      <name val="Calibri"/>
      <family val="2"/>
      <scheme val="minor"/>
    </font>
    <font>
      <b/>
      <sz val="10"/>
      <color theme="0"/>
      <name val="Calibri"/>
      <family val="2"/>
      <scheme val="minor"/>
    </font>
    <font>
      <sz val="8"/>
      <color indexed="81"/>
      <name val="Tahoma"/>
      <family val="2"/>
    </font>
    <font>
      <b/>
      <i/>
      <u/>
      <sz val="11"/>
      <color theme="1"/>
      <name val="Calibri"/>
      <family val="2"/>
      <scheme val="minor"/>
    </font>
    <font>
      <b/>
      <sz val="12"/>
      <color rgb="FF1F3A52"/>
      <name val="Calibri"/>
      <family val="2"/>
      <scheme val="minor"/>
    </font>
    <font>
      <b/>
      <sz val="18"/>
      <color rgb="FF1F3A52"/>
      <name val="Calibri"/>
      <family val="2"/>
      <scheme val="minor"/>
    </font>
    <font>
      <sz val="10"/>
      <color rgb="FF4A7A9E"/>
      <name val="Calibri"/>
      <family val="2"/>
      <scheme val="minor"/>
    </font>
    <font>
      <b/>
      <sz val="13"/>
      <color rgb="FF1F3A52"/>
      <name val="Calibri"/>
      <family val="2"/>
      <scheme val="major"/>
    </font>
    <font>
      <sz val="11"/>
      <color rgb="FF3A3A3A"/>
      <name val="Calibri"/>
      <family val="2"/>
      <scheme val="minor"/>
    </font>
    <font>
      <u/>
      <sz val="11"/>
      <color rgb="FF2E5C7E"/>
      <name val="Calibri"/>
      <family val="2"/>
    </font>
    <font>
      <b/>
      <u/>
      <sz val="22"/>
      <color rgb="FF1F3A52"/>
      <name val="Calibri"/>
      <family val="2"/>
      <scheme val="major"/>
    </font>
    <font>
      <b/>
      <sz val="22"/>
      <color rgb="FF1F3A52"/>
      <name val="Calibri"/>
      <family val="2"/>
      <scheme val="major"/>
    </font>
    <font>
      <b/>
      <sz val="13"/>
      <color rgb="FF3A3A3A"/>
      <name val="Calibri"/>
      <family val="2"/>
      <scheme val="minor"/>
    </font>
    <font>
      <sz val="12"/>
      <color rgb="FF6B6B6B"/>
      <name val="Calibri"/>
      <family val="2"/>
      <scheme val="minor"/>
    </font>
    <font>
      <sz val="11"/>
      <color rgb="FF6B6B6B"/>
      <name val="Calibri"/>
      <family val="2"/>
      <scheme val="minor"/>
    </font>
    <font>
      <sz val="10"/>
      <color rgb="FF6B6B6B"/>
      <name val="Calibri"/>
      <family val="2"/>
      <scheme val="minor"/>
    </font>
    <font>
      <sz val="11"/>
      <color rgb="FF1F3A52"/>
      <name val="Calibri"/>
      <family val="2"/>
      <scheme val="minor"/>
    </font>
    <font>
      <b/>
      <sz val="11"/>
      <color rgb="FF1F3A52"/>
      <name val="Calibri"/>
      <family val="2"/>
      <scheme val="minor"/>
    </font>
    <font>
      <b/>
      <sz val="10"/>
      <color rgb="FFFFFFFF"/>
      <name val="Calibri"/>
      <family val="2"/>
      <scheme val="minor"/>
    </font>
    <font>
      <b/>
      <sz val="11"/>
      <color rgb="FFFFFFFF"/>
      <name val="Calibri"/>
      <family val="2"/>
      <scheme val="minor"/>
    </font>
    <font>
      <sz val="11"/>
      <color rgb="FFFFFFFF"/>
      <name val="Calibri"/>
      <family val="2"/>
      <scheme val="minor"/>
    </font>
    <font>
      <sz val="10"/>
      <color rgb="FFFFFFFF"/>
      <name val="Calibri"/>
      <family val="2"/>
      <scheme val="minor"/>
    </font>
    <font>
      <b/>
      <sz val="12"/>
      <color rgb="FFFFFFFF"/>
      <name val="Calibri"/>
      <family val="2"/>
      <scheme val="minor"/>
    </font>
    <font>
      <sz val="10"/>
      <color rgb="FF3A3A3A"/>
      <name val="Calibri"/>
      <family val="2"/>
      <scheme val="minor"/>
    </font>
    <font>
      <b/>
      <sz val="11"/>
      <color rgb="FF3A3A3A"/>
      <name val="Calibri"/>
      <family val="2"/>
      <scheme val="minor"/>
    </font>
    <font>
      <b/>
      <sz val="9"/>
      <color rgb="FF1F3A52"/>
      <name val="Calibri"/>
      <family val="2"/>
      <scheme val="minor"/>
    </font>
    <font>
      <sz val="9"/>
      <color rgb="FF6B6B6B"/>
      <name val="Calibri"/>
      <family val="2"/>
      <scheme val="minor"/>
    </font>
    <font>
      <b/>
      <sz val="9"/>
      <color rgb="FFFFFFFF"/>
      <name val="Calibri"/>
      <family val="2"/>
      <scheme val="minor"/>
    </font>
    <font>
      <strike/>
      <sz val="11"/>
      <color rgb="FF6B6B6B"/>
      <name val="Calibri"/>
      <family val="2"/>
      <scheme val="minor"/>
    </font>
    <font>
      <b/>
      <strike/>
      <sz val="11"/>
      <color rgb="FF1F3A52"/>
      <name val="Calibri"/>
      <family val="2"/>
      <scheme val="minor"/>
    </font>
    <font>
      <sz val="8"/>
      <name val="Calibri"/>
      <family val="2"/>
      <scheme val="minor"/>
    </font>
    <font>
      <b/>
      <sz val="16"/>
      <color rgb="FFFFFFFF"/>
      <name val="Calibri"/>
      <family val="2"/>
      <scheme val="minor"/>
    </font>
    <font>
      <sz val="10"/>
      <color rgb="FFD6E2F0"/>
      <name val="Calibri"/>
      <family val="2"/>
      <scheme val="minor"/>
    </font>
    <font>
      <b/>
      <sz val="10"/>
      <color rgb="FFFFFFFF"/>
      <name val="Calibri"/>
      <family val="2"/>
      <scheme val="minor"/>
    </font>
    <font>
      <b/>
      <sz val="12"/>
      <color rgb="FF1F3A52"/>
      <name val="Calibri"/>
      <family val="2"/>
      <scheme val="minor"/>
    </font>
    <font>
      <b/>
      <sz val="11"/>
      <color rgb="FF1F3A52"/>
      <name val="Calibri"/>
      <family val="2"/>
      <scheme val="minor"/>
    </font>
    <font>
      <i/>
      <sz val="9"/>
      <color rgb="FF7F7F7F"/>
      <name val="Calibri"/>
      <family val="2"/>
      <scheme val="minor"/>
    </font>
    <font>
      <b/>
      <sz val="22"/>
      <color rgb="FF1F3A52"/>
      <name val="Calibri"/>
      <family val="2"/>
      <scheme val="minor"/>
    </font>
    <font>
      <b/>
      <sz val="22"/>
      <color rgb="FFC0392B"/>
      <name val="Calibri"/>
      <family val="2"/>
      <scheme val="minor"/>
    </font>
    <font>
      <sz val="11"/>
      <color rgb="FF1F3A52"/>
      <name val="Calibri"/>
      <family val="2"/>
      <scheme val="minor"/>
    </font>
    <font>
      <sz val="10"/>
      <color rgb="FF404040"/>
      <name val="Calibri"/>
      <family val="2"/>
      <scheme val="minor"/>
    </font>
    <font>
      <sz val="9"/>
      <color rgb="FF595959"/>
      <name val="Calibri"/>
      <family val="2"/>
      <scheme val="minor"/>
    </font>
    <font>
      <b/>
      <sz val="9"/>
      <color rgb="FFFFFFFF"/>
      <name val="Calibri"/>
      <family val="2"/>
      <scheme val="minor"/>
    </font>
    <font>
      <b/>
      <sz val="14"/>
      <color rgb="FFFFFFFF"/>
      <name val="Calibri"/>
      <family val="2"/>
      <scheme val="minor"/>
    </font>
  </fonts>
  <fills count="59">
    <fill>
      <patternFill patternType="none"/>
    </fill>
    <fill>
      <patternFill patternType="gray125"/>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499984740745262"/>
        <bgColor theme="4"/>
      </patternFill>
    </fill>
    <fill>
      <patternFill patternType="solid">
        <fgColor theme="3" tint="-0.499984740745262"/>
        <bgColor indexed="64"/>
      </patternFill>
    </fill>
    <fill>
      <patternFill patternType="solid">
        <fgColor rgb="FFFFFFFF"/>
        <bgColor indexed="64"/>
      </patternFill>
    </fill>
    <fill>
      <patternFill patternType="solid">
        <fgColor rgb="FFEAF1F7"/>
        <bgColor indexed="64"/>
      </patternFill>
    </fill>
    <fill>
      <patternFill patternType="solid">
        <fgColor rgb="FF1F3A52"/>
        <bgColor indexed="64"/>
      </patternFill>
    </fill>
    <fill>
      <patternFill patternType="solid">
        <fgColor rgb="FF2E5C7E"/>
        <bgColor indexed="64"/>
      </patternFill>
    </fill>
    <fill>
      <patternFill patternType="solid">
        <fgColor rgb="FFD6E4EF"/>
        <bgColor indexed="64"/>
      </patternFill>
    </fill>
    <fill>
      <patternFill patternType="solid">
        <fgColor theme="8" tint="0.59999389629810485"/>
        <bgColor indexed="64"/>
      </patternFill>
    </fill>
    <fill>
      <patternFill patternType="solid">
        <fgColor rgb="FF1F3A52"/>
        <bgColor indexed="64"/>
      </patternFill>
    </fill>
    <fill>
      <patternFill patternType="solid">
        <fgColor rgb="FF2E5A87"/>
        <bgColor indexed="64"/>
      </patternFill>
    </fill>
    <fill>
      <patternFill patternType="solid">
        <fgColor rgb="FFEAF1F8"/>
        <bgColor indexed="64"/>
      </patternFill>
    </fill>
    <fill>
      <patternFill patternType="solid">
        <fgColor rgb="FFF4F8FC"/>
        <bgColor indexed="64"/>
      </patternFill>
    </fill>
    <fill>
      <patternFill patternType="solid">
        <fgColor rgb="FFF2F2F2"/>
        <bgColor indexed="64"/>
      </patternFill>
    </fill>
    <fill>
      <patternFill patternType="solid">
        <fgColor rgb="FFE06666"/>
        <bgColor indexed="64"/>
      </patternFill>
    </fill>
    <fill>
      <patternFill patternType="solid">
        <fgColor rgb="FFFFD966"/>
        <bgColor indexed="64"/>
      </patternFill>
    </fill>
    <fill>
      <patternFill patternType="solid">
        <fgColor rgb="FFD9EAD3"/>
        <bgColor indexed="64"/>
      </patternFill>
    </fill>
    <fill>
      <patternFill patternType="solid">
        <fgColor rgb="FF38761D"/>
        <bgColor indexed="64"/>
      </patternFill>
    </fill>
    <fill>
      <patternFill patternType="solid">
        <fgColor rgb="FFFFFFFF"/>
        <bgColor indexed="64"/>
      </patternFill>
    </fill>
    <fill>
      <patternFill patternType="solid">
        <fgColor rgb="FF2E75B6"/>
        <bgColor indexed="64"/>
      </patternFill>
    </fill>
    <fill>
      <patternFill patternType="solid">
        <fgColor rgb="FFD6E2F0"/>
        <bgColor indexed="64"/>
      </patternFill>
    </fill>
    <fill>
      <patternFill patternType="solid">
        <fgColor rgb="FFFFF2CC"/>
        <bgColor indexed="64"/>
      </patternFill>
    </fill>
  </fills>
  <borders count="41">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theme="0" tint="-0.14996795556505021"/>
      </top>
      <bottom/>
      <diagonal/>
    </border>
    <border>
      <left/>
      <right/>
      <top style="thin">
        <color indexed="64"/>
      </top>
      <bottom/>
      <diagonal/>
    </border>
    <border>
      <left style="thin">
        <color theme="0" tint="-0.14993743705557422"/>
      </left>
      <right style="thin">
        <color theme="0" tint="-0.14993743705557422"/>
      </right>
      <top style="thin">
        <color indexed="64"/>
      </top>
      <bottom style="medium">
        <color theme="0" tint="-0.14996795556505021"/>
      </bottom>
      <diagonal/>
    </border>
    <border>
      <left/>
      <right/>
      <top/>
      <bottom style="thin">
        <color indexed="64"/>
      </bottom>
      <diagonal/>
    </border>
    <border>
      <left style="thin">
        <color theme="0" tint="-0.14993743705557422"/>
      </left>
      <right style="thin">
        <color theme="0" tint="-0.14993743705557422"/>
      </right>
      <top style="medium">
        <color theme="0" tint="-0.14996795556505021"/>
      </top>
      <bottom style="thin">
        <color indexed="64"/>
      </bottom>
      <diagonal/>
    </border>
    <border>
      <left style="thin">
        <color theme="0" tint="-0.14993743705557422"/>
      </left>
      <right style="thin">
        <color theme="0" tint="-0.14993743705557422"/>
      </right>
      <top style="thin">
        <color indexed="64"/>
      </top>
      <bottom style="thin">
        <color indexed="64"/>
      </bottom>
      <diagonal/>
    </border>
    <border>
      <left style="thin">
        <color indexed="64"/>
      </left>
      <right style="thin">
        <color indexed="64"/>
      </right>
      <top/>
      <bottom/>
      <diagonal/>
    </border>
    <border>
      <left/>
      <right/>
      <top/>
      <bottom style="thin">
        <color rgb="FFD9DEE3"/>
      </bottom>
      <diagonal/>
    </border>
    <border>
      <left/>
      <right/>
      <top style="thin">
        <color rgb="FF4A7A9E"/>
      </top>
      <bottom/>
      <diagonal/>
    </border>
    <border>
      <left/>
      <right/>
      <top/>
      <bottom style="medium">
        <color rgb="FF1F3A52"/>
      </bottom>
      <diagonal/>
    </border>
    <border>
      <left/>
      <right style="thin">
        <color theme="0" tint="-0.14993743705557422"/>
      </right>
      <top style="thin">
        <color indexed="64"/>
      </top>
      <bottom style="medium">
        <color theme="0" tint="-0.14996795556505021"/>
      </bottom>
      <diagonal/>
    </border>
    <border>
      <left/>
      <right style="thin">
        <color theme="0" tint="-0.14993743705557422"/>
      </right>
      <top style="medium">
        <color theme="0" tint="-0.14996795556505021"/>
      </top>
      <bottom style="medium">
        <color theme="0" tint="-0.14996795556505021"/>
      </bottom>
      <diagonal/>
    </border>
    <border>
      <left/>
      <right style="thin">
        <color theme="0" tint="-0.14993743705557422"/>
      </right>
      <top style="medium">
        <color theme="0" tint="-0.14996795556505021"/>
      </top>
      <bottom style="thin">
        <color indexed="64"/>
      </bottom>
      <diagonal/>
    </border>
    <border>
      <left/>
      <right style="thin">
        <color theme="0" tint="-0.34998626667073579"/>
      </right>
      <top/>
      <bottom style="medium">
        <color theme="0" tint="-0.14996795556505021"/>
      </bottom>
      <diagonal/>
    </border>
    <border>
      <left/>
      <right style="thin">
        <color theme="0" tint="-0.14993743705557422"/>
      </right>
      <top style="thin">
        <color indexed="64"/>
      </top>
      <bottom style="thin">
        <color indexed="64"/>
      </bottom>
      <diagonal/>
    </border>
    <border>
      <left/>
      <right/>
      <top style="medium">
        <color rgb="FF1F3A52"/>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1F3A52"/>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rgb="FFBFBFBF"/>
      </left>
      <right style="thin">
        <color rgb="FFBFBFBF"/>
      </right>
      <top style="thin">
        <color rgb="FFBFBFBF"/>
      </top>
      <bottom style="thin">
        <color rgb="FFBFBFBF"/>
      </bottom>
      <diagonal/>
    </border>
    <border>
      <left/>
      <right/>
      <top/>
      <bottom style="medium">
        <color rgb="FF1F3A52"/>
      </bottom>
      <diagonal/>
    </border>
    <border>
      <left style="thin">
        <color rgb="FFBDD7EE"/>
      </left>
      <right style="thin">
        <color rgb="FFBDD7EE"/>
      </right>
      <top style="thin">
        <color rgb="FFBDD7EE"/>
      </top>
      <bottom style="thin">
        <color rgb="FFBDD7EE"/>
      </bottom>
      <diagonal/>
    </border>
  </borders>
  <cellStyleXfs count="56">
    <xf numFmtId="0" fontId="0" fillId="0" borderId="0"/>
    <xf numFmtId="0" fontId="3" fillId="0" borderId="0" applyNumberFormat="0" applyFill="0" applyBorder="0" applyAlignment="0" applyProtection="0">
      <alignment vertical="top"/>
      <protection locked="0"/>
    </xf>
    <xf numFmtId="9" fontId="6" fillId="0" borderId="0" applyFont="0" applyFill="0" applyBorder="0" applyAlignment="0" applyProtection="0"/>
    <xf numFmtId="0" fontId="16" fillId="0" borderId="0"/>
    <xf numFmtId="167" fontId="6" fillId="0" borderId="3" applyFont="0" applyFill="0" applyAlignment="0" applyProtection="0"/>
    <xf numFmtId="0" fontId="9" fillId="0" borderId="0" applyNumberFormat="0" applyFill="0" applyBorder="0" applyAlignment="0" applyProtection="0"/>
    <xf numFmtId="0" fontId="7" fillId="0" borderId="0" applyNumberFormat="0" applyFill="0" applyAlignment="0" applyProtection="0"/>
    <xf numFmtId="0" fontId="7" fillId="0" borderId="0" applyNumberFormat="0" applyFill="0" applyProtection="0">
      <alignment vertical="top"/>
    </xf>
    <xf numFmtId="0" fontId="6" fillId="0" borderId="0" applyNumberFormat="0" applyFill="0" applyProtection="0">
      <alignment horizontal="right" indent="1"/>
    </xf>
    <xf numFmtId="168" fontId="6" fillId="0" borderId="3">
      <alignment horizontal="center" vertical="center"/>
    </xf>
    <xf numFmtId="170" fontId="6" fillId="0" borderId="2" applyFill="0">
      <alignment horizontal="center" vertical="center"/>
    </xf>
    <xf numFmtId="0" fontId="6" fillId="0" borderId="2" applyFill="0">
      <alignment horizontal="center" vertical="center"/>
    </xf>
    <xf numFmtId="0" fontId="6" fillId="0" borderId="2" applyFill="0">
      <alignment horizontal="left" vertical="center" indent="2"/>
    </xf>
    <xf numFmtId="0" fontId="19" fillId="0" borderId="0" applyNumberFormat="0" applyFill="0" applyBorder="0" applyAlignment="0" applyProtection="0"/>
    <xf numFmtId="166" fontId="6" fillId="0" borderId="0" applyFont="0" applyFill="0" applyBorder="0" applyAlignment="0" applyProtection="0"/>
    <xf numFmtId="165" fontId="6" fillId="0" borderId="0" applyFont="0" applyFill="0" applyBorder="0" applyAlignment="0" applyProtection="0"/>
    <xf numFmtId="164" fontId="6" fillId="0" borderId="0" applyFont="0" applyFill="0" applyBorder="0" applyAlignment="0" applyProtection="0"/>
    <xf numFmtId="0" fontId="20" fillId="0" borderId="0" applyNumberFormat="0" applyFill="0" applyBorder="0" applyAlignment="0" applyProtection="0"/>
    <xf numFmtId="0" fontId="21" fillId="7" borderId="0" applyNumberFormat="0" applyBorder="0" applyAlignment="0" applyProtection="0"/>
    <xf numFmtId="0" fontId="22" fillId="8" borderId="0" applyNumberFormat="0" applyBorder="0" applyAlignment="0" applyProtection="0"/>
    <xf numFmtId="0" fontId="23" fillId="9" borderId="0" applyNumberFormat="0" applyBorder="0" applyAlignment="0" applyProtection="0"/>
    <xf numFmtId="0" fontId="24" fillId="10" borderId="10" applyNumberFormat="0" applyAlignment="0" applyProtection="0"/>
    <xf numFmtId="0" fontId="25" fillId="11" borderId="11" applyNumberFormat="0" applyAlignment="0" applyProtection="0"/>
    <xf numFmtId="0" fontId="26" fillId="11" borderId="10" applyNumberFormat="0" applyAlignment="0" applyProtection="0"/>
    <xf numFmtId="0" fontId="27" fillId="0" borderId="12" applyNumberFormat="0" applyFill="0" applyAlignment="0" applyProtection="0"/>
    <xf numFmtId="0" fontId="28" fillId="12" borderId="13" applyNumberFormat="0" applyAlignment="0" applyProtection="0"/>
    <xf numFmtId="0" fontId="29" fillId="0" borderId="0" applyNumberFormat="0" applyFill="0" applyBorder="0" applyAlignment="0" applyProtection="0"/>
    <xf numFmtId="0" fontId="6" fillId="13" borderId="14" applyNumberFormat="0" applyFont="0" applyAlignment="0" applyProtection="0"/>
    <xf numFmtId="0" fontId="30" fillId="0" borderId="0" applyNumberFormat="0" applyFill="0" applyBorder="0" applyAlignment="0" applyProtection="0"/>
    <xf numFmtId="0" fontId="5" fillId="0" borderId="15" applyNumberFormat="0" applyFill="0" applyAlignment="0" applyProtection="0"/>
    <xf numFmtId="0" fontId="1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1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1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1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29" borderId="0" applyNumberFormat="0" applyBorder="0" applyAlignment="0" applyProtection="0"/>
    <xf numFmtId="0" fontId="1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33" borderId="0" applyNumberFormat="0" applyBorder="0" applyAlignment="0" applyProtection="0"/>
    <xf numFmtId="0" fontId="16" fillId="34"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xf numFmtId="0" fontId="6" fillId="37" borderId="0" applyNumberFormat="0" applyBorder="0" applyAlignment="0" applyProtection="0"/>
    <xf numFmtId="0" fontId="6" fillId="0" borderId="0"/>
    <xf numFmtId="44" fontId="6" fillId="0" borderId="0" applyFont="0" applyFill="0" applyBorder="0" applyAlignment="0" applyProtection="0"/>
  </cellStyleXfs>
  <cellXfs count="207">
    <xf numFmtId="0" fontId="0" fillId="0" borderId="0" xfId="0"/>
    <xf numFmtId="0" fontId="2" fillId="0" borderId="0" xfId="0" applyFont="1"/>
    <xf numFmtId="0" fontId="0" fillId="0" borderId="0" xfId="0" applyAlignment="1">
      <alignment horizontal="center"/>
    </xf>
    <xf numFmtId="0" fontId="0" fillId="0" borderId="0" xfId="0" applyAlignment="1">
      <alignment horizontal="right" vertical="center"/>
    </xf>
    <xf numFmtId="0" fontId="10" fillId="0" borderId="0" xfId="0" applyFont="1"/>
    <xf numFmtId="0" fontId="11" fillId="0" borderId="0" xfId="1" applyFont="1" applyAlignment="1" applyProtection="1"/>
    <xf numFmtId="0" fontId="0" fillId="0" borderId="9" xfId="0" applyBorder="1" applyAlignment="1">
      <alignment vertical="center"/>
    </xf>
    <xf numFmtId="0" fontId="0" fillId="0" borderId="9" xfId="0" applyBorder="1" applyAlignment="1">
      <alignment horizontal="right" vertical="center"/>
    </xf>
    <xf numFmtId="0" fontId="2" fillId="0" borderId="0" xfId="0" applyFont="1" applyAlignment="1">
      <alignment vertical="top"/>
    </xf>
    <xf numFmtId="0" fontId="12" fillId="0" borderId="0" xfId="0" applyFont="1" applyAlignment="1">
      <alignment horizontal="left" vertical="center"/>
    </xf>
    <xf numFmtId="0" fontId="13" fillId="0" borderId="0" xfId="0" applyFont="1" applyAlignment="1">
      <alignment horizontal="left" vertical="center"/>
    </xf>
    <xf numFmtId="0" fontId="15" fillId="0" borderId="0" xfId="0" applyFont="1"/>
    <xf numFmtId="0" fontId="2" fillId="0" borderId="0" xfId="0" applyFont="1" applyAlignment="1">
      <alignment horizontal="left" vertical="top"/>
    </xf>
    <xf numFmtId="0" fontId="14" fillId="0" borderId="0" xfId="0" applyFont="1" applyAlignment="1">
      <alignment vertical="top"/>
    </xf>
    <xf numFmtId="0" fontId="16" fillId="0" borderId="0" xfId="3"/>
    <xf numFmtId="0" fontId="16" fillId="0" borderId="0" xfId="0" applyFont="1" applyAlignment="1">
      <alignment horizontal="center"/>
    </xf>
    <xf numFmtId="0" fontId="0" fillId="0" borderId="0" xfId="0" applyAlignment="1">
      <alignment wrapText="1"/>
    </xf>
    <xf numFmtId="0" fontId="17" fillId="0" borderId="0" xfId="0" applyFont="1"/>
    <xf numFmtId="0" fontId="18" fillId="0" borderId="0" xfId="1" applyFont="1" applyProtection="1">
      <alignment vertical="top"/>
    </xf>
    <xf numFmtId="171" fontId="8" fillId="4" borderId="7" xfId="0" applyNumberFormat="1" applyFont="1" applyFill="1" applyBorder="1" applyAlignment="1">
      <alignment horizontal="center" vertical="center"/>
    </xf>
    <xf numFmtId="0" fontId="32" fillId="0" borderId="0" xfId="0" applyFont="1"/>
    <xf numFmtId="170" fontId="4" fillId="5" borderId="16" xfId="0" applyNumberFormat="1" applyFont="1" applyFill="1" applyBorder="1" applyAlignment="1">
      <alignment horizontal="center" vertical="center"/>
    </xf>
    <xf numFmtId="0" fontId="32" fillId="0" borderId="0" xfId="0" applyFont="1" applyAlignment="1">
      <alignment horizontal="center"/>
    </xf>
    <xf numFmtId="0" fontId="0" fillId="0" borderId="18" xfId="0" applyBorder="1" applyAlignment="1">
      <alignment vertical="center"/>
    </xf>
    <xf numFmtId="0" fontId="0" fillId="0" borderId="17" xfId="0" applyBorder="1" applyAlignment="1">
      <alignment vertical="center"/>
    </xf>
    <xf numFmtId="0" fontId="0" fillId="0" borderId="0" xfId="0" applyAlignment="1">
      <alignment vertical="center"/>
    </xf>
    <xf numFmtId="0" fontId="0" fillId="0" borderId="20" xfId="0" applyBorder="1" applyAlignment="1">
      <alignment vertical="center"/>
    </xf>
    <xf numFmtId="0" fontId="0" fillId="0" borderId="19" xfId="0" applyBorder="1" applyAlignment="1">
      <alignment vertical="center"/>
    </xf>
    <xf numFmtId="170" fontId="4" fillId="3" borderId="0" xfId="0" applyNumberFormat="1" applyFont="1" applyFill="1" applyAlignment="1">
      <alignment horizontal="center" vertical="center"/>
    </xf>
    <xf numFmtId="170" fontId="4" fillId="6" borderId="0" xfId="0" applyNumberFormat="1" applyFont="1" applyFill="1" applyAlignment="1">
      <alignment horizontal="center" vertical="center"/>
    </xf>
    <xf numFmtId="170" fontId="4" fillId="2" borderId="0" xfId="0" applyNumberFormat="1" applyFont="1" applyFill="1" applyAlignment="1">
      <alignment horizontal="center" vertical="center"/>
    </xf>
    <xf numFmtId="0" fontId="0" fillId="0" borderId="21" xfId="0" applyBorder="1" applyAlignment="1">
      <alignment vertical="center"/>
    </xf>
    <xf numFmtId="0" fontId="33" fillId="39" borderId="8" xfId="0" applyFont="1" applyFill="1" applyBorder="1" applyAlignment="1">
      <alignment horizontal="center" vertical="center" shrinkToFit="1"/>
    </xf>
    <xf numFmtId="0" fontId="37" fillId="40" borderId="0" xfId="0" applyFont="1" applyFill="1" applyAlignment="1">
      <alignment horizontal="left" vertical="center"/>
    </xf>
    <xf numFmtId="0" fontId="38" fillId="40" borderId="0" xfId="0" applyFont="1" applyFill="1" applyAlignment="1">
      <alignment horizontal="left" vertical="top"/>
    </xf>
    <xf numFmtId="0" fontId="40" fillId="40" borderId="0" xfId="0" applyFont="1" applyFill="1" applyAlignment="1">
      <alignment horizontal="left" vertical="top" wrapText="1" indent="1"/>
    </xf>
    <xf numFmtId="0" fontId="40" fillId="40" borderId="0" xfId="0" applyFont="1" applyFill="1" applyAlignment="1">
      <alignment horizontal="left" vertical="top" wrapText="1"/>
    </xf>
    <xf numFmtId="0" fontId="41" fillId="40" borderId="0" xfId="1" applyFont="1" applyFill="1" applyBorder="1" applyAlignment="1" applyProtection="1">
      <alignment horizontal="left" vertical="top"/>
    </xf>
    <xf numFmtId="0" fontId="39" fillId="40" borderId="23" xfId="0" applyFont="1" applyFill="1" applyBorder="1" applyAlignment="1">
      <alignment horizontal="left" vertical="center"/>
    </xf>
    <xf numFmtId="0" fontId="33" fillId="38" borderId="0" xfId="0" applyFont="1" applyFill="1" applyAlignment="1">
      <alignment horizontal="center" vertical="center" wrapText="1"/>
    </xf>
    <xf numFmtId="0" fontId="1" fillId="0" borderId="0" xfId="0" applyFont="1" applyAlignment="1">
      <alignment horizontal="left"/>
    </xf>
    <xf numFmtId="0" fontId="2" fillId="0" borderId="0" xfId="0" applyFont="1" applyAlignment="1">
      <alignment horizontal="center"/>
    </xf>
    <xf numFmtId="0" fontId="2" fillId="0" borderId="0" xfId="0" applyFont="1" applyAlignment="1">
      <alignment horizontal="center" vertical="center"/>
    </xf>
    <xf numFmtId="0" fontId="32" fillId="0" borderId="0" xfId="0" applyFont="1" applyAlignment="1">
      <alignment wrapText="1"/>
    </xf>
    <xf numFmtId="0" fontId="42" fillId="40" borderId="0" xfId="5" applyFont="1" applyFill="1" applyBorder="1" applyAlignment="1">
      <alignment horizontal="left" wrapText="1"/>
    </xf>
    <xf numFmtId="0" fontId="43" fillId="40" borderId="0" xfId="5" applyFont="1" applyFill="1" applyBorder="1" applyAlignment="1">
      <alignment horizontal="left" wrapText="1"/>
    </xf>
    <xf numFmtId="0" fontId="44" fillId="40" borderId="0" xfId="6" applyFont="1" applyFill="1" applyAlignment="1">
      <alignment horizontal="left" wrapText="1"/>
    </xf>
    <xf numFmtId="0" fontId="45" fillId="40" borderId="0" xfId="7" applyFont="1" applyFill="1" applyAlignment="1">
      <alignment horizontal="left" vertical="top" wrapText="1"/>
    </xf>
    <xf numFmtId="0" fontId="49" fillId="41" borderId="0" xfId="0" applyFont="1" applyFill="1" applyAlignment="1">
      <alignment horizontal="center" vertical="center"/>
    </xf>
    <xf numFmtId="0" fontId="49" fillId="41" borderId="24" xfId="0" applyFont="1" applyFill="1" applyBorder="1" applyAlignment="1">
      <alignment horizontal="center" vertical="center"/>
    </xf>
    <xf numFmtId="0" fontId="50" fillId="42" borderId="0" xfId="0" applyFont="1" applyFill="1" applyAlignment="1">
      <alignment horizontal="center" vertical="center" wrapText="1"/>
    </xf>
    <xf numFmtId="0" fontId="50" fillId="42" borderId="1" xfId="0" applyFont="1" applyFill="1" applyBorder="1" applyAlignment="1">
      <alignment horizontal="center" vertical="center" wrapText="1"/>
    </xf>
    <xf numFmtId="0" fontId="51" fillId="43" borderId="0" xfId="0" applyFont="1" applyFill="1" applyAlignment="1">
      <alignment horizontal="left" vertical="center" wrapText="1"/>
    </xf>
    <xf numFmtId="0" fontId="53" fillId="43" borderId="0" xfId="11" applyFont="1" applyFill="1" applyBorder="1">
      <alignment horizontal="center" vertical="center"/>
    </xf>
    <xf numFmtId="9" fontId="54" fillId="43" borderId="0" xfId="2" applyFont="1" applyFill="1" applyBorder="1" applyAlignment="1">
      <alignment horizontal="center" vertical="center"/>
    </xf>
    <xf numFmtId="170" fontId="53" fillId="43" borderId="0" xfId="0" applyNumberFormat="1" applyFont="1" applyFill="1" applyAlignment="1">
      <alignment horizontal="center" vertical="center" wrapText="1"/>
    </xf>
    <xf numFmtId="167" fontId="53" fillId="43" borderId="0" xfId="4" applyFont="1" applyFill="1" applyBorder="1" applyAlignment="1">
      <alignment horizontal="center" vertical="center"/>
    </xf>
    <xf numFmtId="170" fontId="52" fillId="43" borderId="0" xfId="0" applyNumberFormat="1" applyFont="1" applyFill="1" applyAlignment="1">
      <alignment horizontal="center" vertical="center"/>
    </xf>
    <xf numFmtId="170" fontId="53" fillId="43" borderId="0" xfId="0" applyNumberFormat="1" applyFont="1" applyFill="1" applyAlignment="1">
      <alignment horizontal="center" vertical="center"/>
    </xf>
    <xf numFmtId="0" fontId="51" fillId="43" borderId="25" xfId="0" applyFont="1" applyFill="1" applyBorder="1" applyAlignment="1">
      <alignment horizontal="left" vertical="center" wrapText="1"/>
    </xf>
    <xf numFmtId="9" fontId="54" fillId="43" borderId="25" xfId="2" applyFont="1" applyFill="1" applyBorder="1" applyAlignment="1">
      <alignment horizontal="center" vertical="center"/>
    </xf>
    <xf numFmtId="167" fontId="53" fillId="43" borderId="25" xfId="4" applyFont="1" applyFill="1" applyBorder="1" applyAlignment="1">
      <alignment horizontal="center" vertical="center"/>
    </xf>
    <xf numFmtId="170" fontId="52" fillId="43" borderId="25" xfId="0" applyNumberFormat="1" applyFont="1" applyFill="1" applyBorder="1" applyAlignment="1">
      <alignment horizontal="center" vertical="center"/>
    </xf>
    <xf numFmtId="170" fontId="53" fillId="43" borderId="25" xfId="0" applyNumberFormat="1" applyFont="1" applyFill="1" applyBorder="1" applyAlignment="1">
      <alignment horizontal="center" vertical="center"/>
    </xf>
    <xf numFmtId="0" fontId="0" fillId="0" borderId="26" xfId="0" applyBorder="1" applyAlignment="1">
      <alignment vertical="center"/>
    </xf>
    <xf numFmtId="170" fontId="40" fillId="44" borderId="0" xfId="10" applyFont="1" applyFill="1" applyBorder="1">
      <alignment horizontal="center" vertical="center"/>
    </xf>
    <xf numFmtId="0" fontId="40" fillId="44" borderId="0" xfId="0" applyFont="1" applyFill="1" applyAlignment="1">
      <alignment horizontal="center" vertical="center"/>
    </xf>
    <xf numFmtId="0" fontId="49" fillId="44" borderId="0" xfId="0" applyFont="1" applyFill="1" applyAlignment="1">
      <alignment horizontal="center" vertical="center"/>
    </xf>
    <xf numFmtId="0" fontId="0" fillId="0" borderId="27" xfId="0" applyBorder="1" applyAlignment="1">
      <alignment vertical="center"/>
    </xf>
    <xf numFmtId="170" fontId="50" fillId="43" borderId="25" xfId="0" applyNumberFormat="1" applyFont="1" applyFill="1" applyBorder="1" applyAlignment="1">
      <alignment horizontal="center" vertical="center"/>
    </xf>
    <xf numFmtId="0" fontId="40" fillId="41" borderId="0" xfId="12" applyFont="1" applyFill="1" applyBorder="1" applyAlignment="1">
      <alignment horizontal="left" vertical="center" wrapText="1"/>
    </xf>
    <xf numFmtId="9" fontId="40" fillId="41" borderId="0" xfId="2" applyFont="1" applyFill="1" applyBorder="1" applyAlignment="1">
      <alignment horizontal="center" vertical="center"/>
    </xf>
    <xf numFmtId="170" fontId="40" fillId="41" borderId="0" xfId="10" applyFont="1" applyFill="1" applyBorder="1">
      <alignment horizontal="center" vertical="center"/>
    </xf>
    <xf numFmtId="0" fontId="40" fillId="41" borderId="0" xfId="0" applyFont="1" applyFill="1" applyAlignment="1">
      <alignment horizontal="center" vertical="center"/>
    </xf>
    <xf numFmtId="0" fontId="40" fillId="40" borderId="0" xfId="12" applyFont="1" applyFill="1" applyBorder="1" applyAlignment="1">
      <alignment horizontal="left" vertical="center" wrapText="1"/>
    </xf>
    <xf numFmtId="9" fontId="40" fillId="40" borderId="0" xfId="2" applyFont="1" applyFill="1" applyBorder="1" applyAlignment="1">
      <alignment horizontal="center" vertical="center"/>
    </xf>
    <xf numFmtId="170" fontId="40" fillId="40" borderId="0" xfId="10" applyFont="1" applyFill="1" applyBorder="1">
      <alignment horizontal="center" vertical="center"/>
    </xf>
    <xf numFmtId="0" fontId="40" fillId="40" borderId="0" xfId="0" applyFont="1" applyFill="1" applyAlignment="1">
      <alignment horizontal="center" vertical="center"/>
    </xf>
    <xf numFmtId="0" fontId="49" fillId="40" borderId="0" xfId="0" applyFont="1" applyFill="1" applyAlignment="1">
      <alignment horizontal="center" vertical="center"/>
    </xf>
    <xf numFmtId="9" fontId="40" fillId="41" borderId="23" xfId="2" applyFont="1" applyFill="1" applyBorder="1" applyAlignment="1">
      <alignment horizontal="center" vertical="center"/>
    </xf>
    <xf numFmtId="170" fontId="40" fillId="41" borderId="23" xfId="10" applyFont="1" applyFill="1" applyBorder="1">
      <alignment horizontal="center" vertical="center"/>
    </xf>
    <xf numFmtId="0" fontId="40" fillId="41" borderId="23" xfId="0" applyFont="1" applyFill="1" applyBorder="1" applyAlignment="1">
      <alignment horizontal="center" vertical="center"/>
    </xf>
    <xf numFmtId="0" fontId="49" fillId="41" borderId="23" xfId="0" applyFont="1" applyFill="1" applyBorder="1" applyAlignment="1">
      <alignment horizontal="center" vertical="center"/>
    </xf>
    <xf numFmtId="0" fontId="0" fillId="0" borderId="28" xfId="0" applyBorder="1" applyAlignment="1">
      <alignment vertical="center"/>
    </xf>
    <xf numFmtId="9" fontId="40" fillId="40" borderId="23" xfId="2" applyFont="1" applyFill="1" applyBorder="1" applyAlignment="1">
      <alignment horizontal="center" vertical="center"/>
    </xf>
    <xf numFmtId="170" fontId="40" fillId="40" borderId="23" xfId="10" applyFont="1" applyFill="1" applyBorder="1">
      <alignment horizontal="center" vertical="center"/>
    </xf>
    <xf numFmtId="0" fontId="40" fillId="40" borderId="23" xfId="0" applyFont="1" applyFill="1" applyBorder="1" applyAlignment="1">
      <alignment horizontal="center" vertical="center"/>
    </xf>
    <xf numFmtId="0" fontId="49" fillId="40" borderId="23" xfId="0" applyFont="1" applyFill="1" applyBorder="1" applyAlignment="1">
      <alignment horizontal="center" vertical="center"/>
    </xf>
    <xf numFmtId="171" fontId="58" fillId="41" borderId="6" xfId="0" applyNumberFormat="1" applyFont="1" applyFill="1" applyBorder="1" applyAlignment="1">
      <alignment horizontal="center" vertical="center"/>
    </xf>
    <xf numFmtId="171" fontId="58" fillId="41" borderId="0" xfId="0" applyNumberFormat="1" applyFont="1" applyFill="1" applyAlignment="1">
      <alignment horizontal="center" vertical="center"/>
    </xf>
    <xf numFmtId="171" fontId="58" fillId="41" borderId="7" xfId="0" applyNumberFormat="1" applyFont="1" applyFill="1" applyBorder="1" applyAlignment="1">
      <alignment horizontal="center" vertical="center"/>
    </xf>
    <xf numFmtId="0" fontId="59" fillId="42" borderId="8" xfId="0" applyFont="1" applyFill="1" applyBorder="1" applyAlignment="1">
      <alignment horizontal="center" vertical="center" shrinkToFit="1"/>
    </xf>
    <xf numFmtId="0" fontId="43" fillId="40" borderId="0" xfId="5" applyFont="1" applyFill="1" applyBorder="1" applyAlignment="1">
      <alignment horizontal="left"/>
    </xf>
    <xf numFmtId="0" fontId="44" fillId="40" borderId="0" xfId="6" applyFont="1" applyFill="1" applyAlignment="1">
      <alignment horizontal="left"/>
    </xf>
    <xf numFmtId="0" fontId="45" fillId="40" borderId="0" xfId="7" applyFont="1" applyFill="1" applyAlignment="1">
      <alignment horizontal="left" vertical="top"/>
    </xf>
    <xf numFmtId="0" fontId="50" fillId="42" borderId="0" xfId="0" applyFont="1" applyFill="1" applyAlignment="1">
      <alignment horizontal="center" vertical="center"/>
    </xf>
    <xf numFmtId="0" fontId="55" fillId="40" borderId="0" xfId="0" applyFont="1" applyFill="1" applyAlignment="1">
      <alignment horizontal="center"/>
    </xf>
    <xf numFmtId="0" fontId="55" fillId="40" borderId="0" xfId="0" applyFont="1" applyFill="1" applyAlignment="1">
      <alignment horizontal="center" wrapText="1"/>
    </xf>
    <xf numFmtId="0" fontId="0" fillId="0" borderId="30" xfId="0" applyBorder="1" applyAlignment="1">
      <alignment vertical="center"/>
    </xf>
    <xf numFmtId="0" fontId="51" fillId="43" borderId="25" xfId="0" applyFont="1" applyFill="1" applyBorder="1" applyAlignment="1">
      <alignment horizontal="left" vertical="center" indent="1"/>
    </xf>
    <xf numFmtId="0" fontId="52" fillId="43" borderId="25" xfId="11" applyFont="1" applyFill="1" applyBorder="1">
      <alignment horizontal="center" vertical="center"/>
    </xf>
    <xf numFmtId="167" fontId="52" fillId="43" borderId="25" xfId="4" applyFont="1" applyFill="1" applyBorder="1" applyAlignment="1">
      <alignment horizontal="center" vertical="center"/>
    </xf>
    <xf numFmtId="170" fontId="51" fillId="43" borderId="25" xfId="0" applyNumberFormat="1" applyFont="1" applyFill="1" applyBorder="1" applyAlignment="1">
      <alignment horizontal="center" vertical="center"/>
    </xf>
    <xf numFmtId="0" fontId="40" fillId="40" borderId="0" xfId="12" applyFont="1" applyFill="1" applyBorder="1">
      <alignment horizontal="left" vertical="center" indent="2"/>
    </xf>
    <xf numFmtId="0" fontId="40" fillId="40" borderId="0" xfId="11" applyFont="1" applyFill="1" applyBorder="1">
      <alignment horizontal="center" vertical="center"/>
    </xf>
    <xf numFmtId="0" fontId="40" fillId="41" borderId="0" xfId="12" applyFont="1" applyFill="1" applyBorder="1">
      <alignment horizontal="left" vertical="center" indent="2"/>
    </xf>
    <xf numFmtId="0" fontId="40" fillId="41" borderId="0" xfId="11" applyFont="1" applyFill="1" applyBorder="1">
      <alignment horizontal="center" vertical="center"/>
    </xf>
    <xf numFmtId="0" fontId="40" fillId="40" borderId="0" xfId="12" applyFont="1" applyFill="1" applyBorder="1" applyAlignment="1">
      <alignment horizontal="left" vertical="center" wrapText="1" indent="2"/>
    </xf>
    <xf numFmtId="0" fontId="60" fillId="41" borderId="0" xfId="12" applyFont="1" applyFill="1" applyBorder="1">
      <alignment horizontal="left" vertical="center" indent="2"/>
    </xf>
    <xf numFmtId="0" fontId="60" fillId="41" borderId="0" xfId="11" applyFont="1" applyFill="1" applyBorder="1">
      <alignment horizontal="center" vertical="center"/>
    </xf>
    <xf numFmtId="9" fontId="60" fillId="41" borderId="0" xfId="2" applyFont="1" applyFill="1" applyBorder="1" applyAlignment="1">
      <alignment horizontal="center" vertical="center"/>
    </xf>
    <xf numFmtId="170" fontId="60" fillId="41" borderId="0" xfId="10" applyFont="1" applyFill="1" applyBorder="1">
      <alignment horizontal="center" vertical="center"/>
    </xf>
    <xf numFmtId="0" fontId="60" fillId="41" borderId="0" xfId="0" applyFont="1" applyFill="1" applyAlignment="1">
      <alignment horizontal="center" vertical="center"/>
    </xf>
    <xf numFmtId="0" fontId="61" fillId="41" borderId="0" xfId="0" applyFont="1" applyFill="1" applyAlignment="1">
      <alignment horizontal="center" vertical="center"/>
    </xf>
    <xf numFmtId="0" fontId="40" fillId="40" borderId="0" xfId="11" applyFont="1" applyFill="1" applyBorder="1" applyAlignment="1">
      <alignment horizontal="center" vertical="center" wrapText="1"/>
    </xf>
    <xf numFmtId="0" fontId="40" fillId="41" borderId="0" xfId="11" applyFont="1" applyFill="1" applyBorder="1" applyAlignment="1">
      <alignment horizontal="center" vertical="center" wrapText="1"/>
    </xf>
    <xf numFmtId="0" fontId="40" fillId="40" borderId="23" xfId="12" applyFont="1" applyFill="1" applyBorder="1">
      <alignment horizontal="left" vertical="center" indent="2"/>
    </xf>
    <xf numFmtId="0" fontId="40" fillId="40" borderId="23" xfId="11" applyFont="1" applyFill="1" applyBorder="1" applyAlignment="1">
      <alignment horizontal="center" vertical="center" wrapText="1"/>
    </xf>
    <xf numFmtId="0" fontId="59" fillId="42" borderId="29" xfId="0" applyFont="1" applyFill="1" applyBorder="1" applyAlignment="1">
      <alignment horizontal="center" vertical="center" shrinkToFit="1"/>
    </xf>
    <xf numFmtId="0" fontId="40" fillId="41" borderId="23" xfId="12" applyFont="1" applyFill="1" applyBorder="1">
      <alignment horizontal="left" vertical="center" indent="2"/>
    </xf>
    <xf numFmtId="0" fontId="40" fillId="41" borderId="23" xfId="11" applyFont="1" applyFill="1" applyBorder="1" applyAlignment="1">
      <alignment horizontal="center" vertical="center" wrapText="1"/>
    </xf>
    <xf numFmtId="0" fontId="16" fillId="0" borderId="0" xfId="3" applyAlignment="1">
      <alignment wrapText="1"/>
    </xf>
    <xf numFmtId="0" fontId="31" fillId="0" borderId="0" xfId="3" applyFont="1" applyAlignment="1">
      <alignment wrapText="1"/>
    </xf>
    <xf numFmtId="0" fontId="31" fillId="0" borderId="0" xfId="3" applyFont="1" applyAlignment="1">
      <alignment horizontal="center" wrapText="1"/>
    </xf>
    <xf numFmtId="0" fontId="49" fillId="40" borderId="31" xfId="0" applyFont="1" applyFill="1" applyBorder="1" applyAlignment="1">
      <alignment horizontal="right" wrapText="1"/>
    </xf>
    <xf numFmtId="0" fontId="48" fillId="40" borderId="31" xfId="0" applyFont="1" applyFill="1" applyBorder="1" applyAlignment="1">
      <alignment horizontal="center"/>
    </xf>
    <xf numFmtId="0" fontId="48" fillId="40" borderId="31" xfId="0" applyFont="1" applyFill="1" applyBorder="1" applyAlignment="1">
      <alignment horizontal="center" vertical="center"/>
    </xf>
    <xf numFmtId="9" fontId="36" fillId="40" borderId="32" xfId="2" applyFont="1" applyFill="1" applyBorder="1" applyAlignment="1">
      <alignment horizontal="center" vertical="center" wrapText="1"/>
    </xf>
    <xf numFmtId="0" fontId="4" fillId="0" borderId="0" xfId="3" applyFont="1" applyAlignment="1">
      <alignment wrapText="1"/>
    </xf>
    <xf numFmtId="0" fontId="4" fillId="0" borderId="0" xfId="3" applyFont="1"/>
    <xf numFmtId="0" fontId="2" fillId="0" borderId="0" xfId="3" applyFont="1" applyAlignment="1">
      <alignment wrapText="1"/>
    </xf>
    <xf numFmtId="0" fontId="62" fillId="0" borderId="0" xfId="3" applyFont="1" applyAlignment="1">
      <alignment horizontal="center" vertical="center" wrapText="1"/>
    </xf>
    <xf numFmtId="0" fontId="33" fillId="0" borderId="0" xfId="3" applyFont="1" applyAlignment="1">
      <alignment horizontal="center" vertical="center" wrapText="1"/>
    </xf>
    <xf numFmtId="0" fontId="5" fillId="0" borderId="0" xfId="0" applyFont="1" applyAlignment="1">
      <alignment horizontal="center" vertical="center"/>
    </xf>
    <xf numFmtId="0" fontId="62" fillId="0" borderId="36" xfId="3" applyFont="1" applyBorder="1" applyAlignment="1">
      <alignment horizontal="center" vertical="center" wrapText="1"/>
    </xf>
    <xf numFmtId="0" fontId="62" fillId="0" borderId="36" xfId="4" applyNumberFormat="1" applyFont="1" applyBorder="1" applyAlignment="1">
      <alignment horizontal="center" vertical="center" wrapText="1"/>
    </xf>
    <xf numFmtId="16" fontId="62" fillId="0" borderId="36" xfId="3" applyNumberFormat="1" applyFont="1" applyBorder="1" applyAlignment="1">
      <alignment horizontal="center" vertical="center" wrapText="1"/>
    </xf>
    <xf numFmtId="0" fontId="62" fillId="45" borderId="0" xfId="3" applyFont="1" applyFill="1" applyAlignment="1">
      <alignment horizontal="center" vertical="center" wrapText="1"/>
    </xf>
    <xf numFmtId="9" fontId="51" fillId="43" borderId="33" xfId="0" applyNumberFormat="1" applyFont="1" applyFill="1" applyBorder="1" applyAlignment="1">
      <alignment horizontal="center" vertical="center" wrapText="1"/>
    </xf>
    <xf numFmtId="9" fontId="51" fillId="43" borderId="34" xfId="0" applyNumberFormat="1" applyFont="1" applyFill="1" applyBorder="1" applyAlignment="1">
      <alignment horizontal="center" vertical="center" wrapText="1"/>
    </xf>
    <xf numFmtId="0" fontId="56" fillId="41" borderId="34" xfId="0" applyFont="1" applyFill="1" applyBorder="1" applyAlignment="1">
      <alignment horizontal="center" vertical="center" wrapText="1"/>
    </xf>
    <xf numFmtId="0" fontId="56" fillId="40" borderId="34" xfId="0" applyFont="1" applyFill="1" applyBorder="1" applyAlignment="1">
      <alignment horizontal="center" vertical="center" wrapText="1"/>
    </xf>
    <xf numFmtId="0" fontId="56" fillId="40" borderId="35" xfId="0" applyFont="1" applyFill="1" applyBorder="1" applyAlignment="1">
      <alignment horizontal="center" vertical="center" wrapText="1"/>
    </xf>
    <xf numFmtId="9" fontId="56" fillId="40" borderId="34" xfId="0" applyNumberFormat="1" applyFont="1" applyFill="1" applyBorder="1" applyAlignment="1">
      <alignment horizontal="center" vertical="center" wrapText="1"/>
    </xf>
    <xf numFmtId="9" fontId="56" fillId="41" borderId="34" xfId="0" applyNumberFormat="1" applyFont="1" applyFill="1" applyBorder="1" applyAlignment="1">
      <alignment horizontal="center" vertical="center" wrapText="1"/>
    </xf>
    <xf numFmtId="9" fontId="56" fillId="40" borderId="35" xfId="0" applyNumberFormat="1" applyFont="1" applyFill="1" applyBorder="1" applyAlignment="1">
      <alignment horizontal="center" vertical="center" wrapText="1"/>
    </xf>
    <xf numFmtId="9" fontId="56" fillId="41" borderId="35" xfId="0" applyNumberFormat="1" applyFont="1" applyFill="1" applyBorder="1" applyAlignment="1">
      <alignment horizontal="center" vertical="center" wrapText="1"/>
    </xf>
    <xf numFmtId="169" fontId="57" fillId="41" borderId="4" xfId="0" applyNumberFormat="1" applyFont="1" applyFill="1" applyBorder="1" applyAlignment="1">
      <alignment horizontal="center" vertical="center" wrapText="1" indent="1"/>
    </xf>
    <xf numFmtId="169" fontId="57" fillId="41" borderId="1" xfId="0" applyNumberFormat="1" applyFont="1" applyFill="1" applyBorder="1" applyAlignment="1">
      <alignment horizontal="center" vertical="center" wrapText="1" indent="1"/>
    </xf>
    <xf numFmtId="169" fontId="57" fillId="41" borderId="5" xfId="0" applyNumberFormat="1" applyFont="1" applyFill="1" applyBorder="1" applyAlignment="1">
      <alignment horizontal="center" vertical="center" wrapText="1" indent="1"/>
    </xf>
    <xf numFmtId="169" fontId="32" fillId="4" borderId="5" xfId="0" applyNumberFormat="1" applyFont="1" applyFill="1" applyBorder="1" applyAlignment="1">
      <alignment horizontal="left" vertical="center" wrapText="1" indent="1"/>
    </xf>
    <xf numFmtId="9" fontId="49" fillId="44" borderId="22" xfId="0" applyNumberFormat="1" applyFont="1" applyFill="1" applyBorder="1" applyAlignment="1">
      <alignment horizontal="center" vertical="center" wrapText="1"/>
    </xf>
    <xf numFmtId="0" fontId="47" fillId="40" borderId="0" xfId="8" applyFont="1" applyFill="1">
      <alignment horizontal="right" indent="1"/>
    </xf>
    <xf numFmtId="172" fontId="49" fillId="41" borderId="0" xfId="9" applyNumberFormat="1" applyFont="1" applyFill="1" applyBorder="1">
      <alignment horizontal="center" vertical="center"/>
    </xf>
    <xf numFmtId="172" fontId="6" fillId="0" borderId="0" xfId="9" applyNumberFormat="1" applyBorder="1">
      <alignment horizontal="center" vertical="center"/>
    </xf>
    <xf numFmtId="0" fontId="62" fillId="45" borderId="0" xfId="3" applyFont="1" applyFill="1" applyAlignment="1">
      <alignment vertical="center" wrapText="1"/>
    </xf>
    <xf numFmtId="0" fontId="62" fillId="0" borderId="0" xfId="3" applyFont="1" applyFill="1" applyAlignment="1">
      <alignment vertical="center" wrapText="1"/>
    </xf>
    <xf numFmtId="0" fontId="62" fillId="45" borderId="37" xfId="3" applyFont="1" applyFill="1" applyBorder="1" applyAlignment="1">
      <alignment horizontal="center" vertical="center" wrapText="1"/>
    </xf>
    <xf numFmtId="9" fontId="51" fillId="43" borderId="22" xfId="0" applyNumberFormat="1" applyFont="1" applyFill="1" applyBorder="1" applyAlignment="1">
      <alignment horizontal="center" vertical="center" wrapText="1"/>
    </xf>
    <xf numFmtId="0" fontId="50" fillId="42" borderId="36" xfId="0" applyFont="1" applyFill="1" applyBorder="1" applyAlignment="1">
      <alignment horizontal="center" vertical="center" wrapText="1"/>
    </xf>
    <xf numFmtId="0" fontId="1" fillId="0" borderId="0" xfId="0" applyFont="1" applyAlignment="1">
      <alignment horizontal="left" wrapText="1"/>
    </xf>
    <xf numFmtId="0" fontId="53" fillId="43" borderId="0" xfId="11" applyFont="1" applyFill="1" applyBorder="1" applyAlignment="1">
      <alignment horizontal="center" vertical="center" wrapText="1"/>
    </xf>
    <xf numFmtId="0" fontId="53" fillId="43" borderId="25" xfId="11" applyFont="1" applyFill="1" applyBorder="1" applyAlignment="1">
      <alignment horizontal="center" vertical="center" wrapText="1"/>
    </xf>
    <xf numFmtId="0" fontId="46" fillId="41" borderId="0" xfId="11" applyFont="1" applyFill="1" applyBorder="1" applyAlignment="1">
      <alignment horizontal="center" vertical="center" wrapText="1"/>
    </xf>
    <xf numFmtId="0" fontId="46" fillId="40" borderId="0" xfId="11" applyFont="1" applyFill="1" applyBorder="1" applyAlignment="1">
      <alignment horizontal="center" vertical="center" wrapText="1"/>
    </xf>
    <xf numFmtId="0" fontId="48" fillId="40" borderId="31" xfId="0" applyFont="1" applyFill="1" applyBorder="1" applyAlignment="1">
      <alignment horizontal="center" wrapText="1"/>
    </xf>
    <xf numFmtId="0" fontId="10" fillId="0" borderId="0" xfId="0" applyFont="1" applyAlignment="1">
      <alignment wrapText="1"/>
    </xf>
    <xf numFmtId="0" fontId="11" fillId="0" borderId="0" xfId="1" applyFont="1" applyAlignment="1" applyProtection="1">
      <alignment wrapText="1"/>
    </xf>
    <xf numFmtId="0" fontId="40" fillId="0" borderId="0" xfId="12" applyFont="1" applyFill="1" applyBorder="1" applyAlignment="1">
      <alignment horizontal="left" vertical="center" wrapText="1"/>
    </xf>
    <xf numFmtId="0" fontId="63" fillId="46" borderId="0" xfId="0" applyFont="1" applyFill="1" applyAlignment="1">
      <alignment horizontal="left" vertical="center"/>
    </xf>
    <xf numFmtId="0" fontId="64" fillId="46" borderId="0" xfId="0" applyFont="1" applyFill="1" applyAlignment="1">
      <alignment horizontal="left" vertical="center"/>
    </xf>
    <xf numFmtId="0" fontId="0" fillId="46" borderId="0" xfId="0" applyFill="1" applyAlignment="1">
      <alignment vertical="center"/>
    </xf>
    <xf numFmtId="0" fontId="66" fillId="48" borderId="39" xfId="0" applyFont="1" applyFill="1" applyBorder="1" applyAlignment="1">
      <alignment horizontal="left" vertical="center"/>
    </xf>
    <xf numFmtId="0" fontId="65" fillId="56" borderId="38" xfId="0" applyFont="1" applyFill="1" applyBorder="1" applyAlignment="1">
      <alignment horizontal="center" vertical="center" wrapText="1"/>
    </xf>
    <xf numFmtId="0" fontId="65" fillId="56" borderId="38" xfId="0" applyFont="1" applyFill="1" applyBorder="1" applyAlignment="1">
      <alignment horizontal="left" vertical="center" wrapText="1"/>
    </xf>
    <xf numFmtId="0" fontId="67" fillId="0" borderId="0" xfId="0" applyFont="1" applyAlignment="1">
      <alignment horizontal="left" vertical="center"/>
    </xf>
    <xf numFmtId="0" fontId="68" fillId="0" borderId="0" xfId="0" applyFont="1" applyAlignment="1">
      <alignment horizontal="left" vertical="center" wrapText="1"/>
    </xf>
    <xf numFmtId="0" fontId="71" fillId="0" borderId="38" xfId="0" applyFont="1" applyBorder="1" applyAlignment="1">
      <alignment horizontal="left" vertical="center" wrapText="1"/>
    </xf>
    <xf numFmtId="0" fontId="71" fillId="0" borderId="38" xfId="0" applyFont="1" applyBorder="1" applyAlignment="1">
      <alignment horizontal="center" vertical="center"/>
    </xf>
    <xf numFmtId="173" fontId="71" fillId="0" borderId="38" xfId="0" applyNumberFormat="1" applyFont="1" applyBorder="1" applyAlignment="1">
      <alignment horizontal="center" vertical="center"/>
    </xf>
    <xf numFmtId="9" fontId="71" fillId="0" borderId="38" xfId="0" applyNumberFormat="1" applyFont="1" applyBorder="1" applyAlignment="1">
      <alignment horizontal="center" vertical="center"/>
    </xf>
    <xf numFmtId="174" fontId="71" fillId="0" borderId="38" xfId="0" applyNumberFormat="1" applyFont="1" applyBorder="1" applyAlignment="1">
      <alignment horizontal="center" vertical="center"/>
    </xf>
    <xf numFmtId="1" fontId="71" fillId="0" borderId="38" xfId="0" applyNumberFormat="1" applyFont="1" applyBorder="1" applyAlignment="1">
      <alignment horizontal="center" vertical="center"/>
    </xf>
    <xf numFmtId="0" fontId="69" fillId="50" borderId="40" xfId="0" applyFont="1" applyFill="1" applyBorder="1" applyAlignment="1">
      <alignment horizontal="center" vertical="center"/>
    </xf>
    <xf numFmtId="0" fontId="70" fillId="50" borderId="40" xfId="0" applyFont="1" applyFill="1" applyBorder="1" applyAlignment="1">
      <alignment horizontal="center" vertical="center"/>
    </xf>
    <xf numFmtId="9" fontId="69" fillId="50" borderId="40" xfId="0" applyNumberFormat="1" applyFont="1" applyFill="1" applyBorder="1" applyAlignment="1">
      <alignment horizontal="center" vertical="center"/>
    </xf>
    <xf numFmtId="0" fontId="73" fillId="50" borderId="40" xfId="0" applyFont="1" applyFill="1" applyBorder="1" applyAlignment="1">
      <alignment horizontal="center" vertical="center" wrapText="1"/>
    </xf>
    <xf numFmtId="1" fontId="67" fillId="57" borderId="38" xfId="0" applyNumberFormat="1" applyFont="1" applyFill="1" applyBorder="1" applyAlignment="1">
      <alignment horizontal="center" vertical="center"/>
    </xf>
    <xf numFmtId="0" fontId="67" fillId="57" borderId="38" xfId="0" applyFont="1" applyFill="1" applyBorder="1" applyAlignment="1">
      <alignment horizontal="left" vertical="center"/>
    </xf>
    <xf numFmtId="9" fontId="67" fillId="57" borderId="38" xfId="0" applyNumberFormat="1" applyFont="1" applyFill="1" applyBorder="1" applyAlignment="1">
      <alignment horizontal="center" vertical="center"/>
    </xf>
    <xf numFmtId="173" fontId="67" fillId="57" borderId="38" xfId="0" applyNumberFormat="1" applyFont="1" applyFill="1" applyBorder="1" applyAlignment="1">
      <alignment horizontal="center" vertical="center"/>
    </xf>
    <xf numFmtId="1" fontId="67" fillId="58" borderId="38" xfId="0" applyNumberFormat="1" applyFont="1" applyFill="1" applyBorder="1" applyAlignment="1">
      <alignment horizontal="center" vertical="center"/>
    </xf>
    <xf numFmtId="0" fontId="74" fillId="51" borderId="38" xfId="0" applyFont="1" applyFill="1" applyBorder="1" applyAlignment="1">
      <alignment horizontal="center" vertical="center"/>
    </xf>
    <xf numFmtId="0" fontId="67" fillId="52" borderId="38" xfId="0" applyFont="1" applyFill="1" applyBorder="1" applyAlignment="1">
      <alignment horizontal="center" vertical="center"/>
    </xf>
    <xf numFmtId="0" fontId="67" fillId="53" borderId="38" xfId="0" applyFont="1" applyFill="1" applyBorder="1" applyAlignment="1">
      <alignment horizontal="center" vertical="center"/>
    </xf>
    <xf numFmtId="0" fontId="74" fillId="54" borderId="38" xfId="0" applyFont="1" applyFill="1" applyBorder="1" applyAlignment="1">
      <alignment horizontal="center" vertical="center"/>
    </xf>
    <xf numFmtId="0" fontId="75" fillId="46" borderId="0" xfId="0" applyFont="1" applyFill="1" applyAlignment="1">
      <alignment horizontal="left" vertical="center"/>
    </xf>
    <xf numFmtId="0" fontId="66" fillId="0" borderId="0" xfId="0" applyFont="1" applyAlignment="1">
      <alignment horizontal="left" vertical="center"/>
    </xf>
    <xf numFmtId="0" fontId="71" fillId="0" borderId="0" xfId="0" applyFont="1" applyAlignment="1">
      <alignment horizontal="left" vertical="center" wrapText="1"/>
    </xf>
    <xf numFmtId="0" fontId="67" fillId="0" borderId="0" xfId="0" applyFont="1" applyAlignment="1">
      <alignment horizontal="left" vertical="center" wrapText="1"/>
    </xf>
    <xf numFmtId="0" fontId="72" fillId="0" borderId="0" xfId="0" applyFont="1" applyAlignment="1">
      <alignment horizontal="center" vertical="center"/>
    </xf>
    <xf numFmtId="0" fontId="72" fillId="0" borderId="0" xfId="0" applyFont="1" applyAlignment="1">
      <alignment horizontal="left" vertical="center"/>
    </xf>
    <xf numFmtId="0" fontId="71" fillId="0" borderId="0" xfId="0" applyFont="1" applyAlignment="1">
      <alignment horizontal="center" vertical="center"/>
    </xf>
    <xf numFmtId="0" fontId="71" fillId="0" borderId="0" xfId="0" applyFont="1" applyAlignment="1">
      <alignment horizontal="left" vertical="center" wrapText="1"/>
    </xf>
    <xf numFmtId="173" fontId="71" fillId="0" borderId="0" xfId="0" applyNumberFormat="1" applyFont="1" applyAlignment="1">
      <alignment horizontal="center" vertical="center"/>
    </xf>
    <xf numFmtId="9" fontId="71" fillId="0" borderId="0" xfId="0" applyNumberFormat="1" applyFont="1" applyAlignment="1">
      <alignment horizontal="center" vertical="center"/>
    </xf>
    <xf numFmtId="174" fontId="71" fillId="0" borderId="0" xfId="0" applyNumberFormat="1" applyFont="1" applyAlignment="1">
      <alignment horizontal="center" vertical="center"/>
    </xf>
  </cellXfs>
  <cellStyles count="56">
    <cellStyle name="20% - Énfasis1" xfId="31" builtinId="30" customBuiltin="1"/>
    <cellStyle name="20% - Énfasis2" xfId="35" builtinId="34" customBuiltin="1"/>
    <cellStyle name="20% - Énfasis3" xfId="39" builtinId="38" customBuiltin="1"/>
    <cellStyle name="20% - Énfasis4" xfId="43" builtinId="42" customBuiltin="1"/>
    <cellStyle name="20% - Énfasis5" xfId="47" builtinId="46" customBuiltin="1"/>
    <cellStyle name="20% - Énfasis6" xfId="51" builtinId="50" customBuiltin="1"/>
    <cellStyle name="40% - Énfasis1" xfId="32" builtinId="31" customBuiltin="1"/>
    <cellStyle name="40% - Énfasis2" xfId="36" builtinId="35" customBuiltin="1"/>
    <cellStyle name="40% - Énfasis3" xfId="40" builtinId="39" customBuiltin="1"/>
    <cellStyle name="40% - Énfasis4" xfId="44" builtinId="43" customBuiltin="1"/>
    <cellStyle name="40% - Énfasis5" xfId="48" builtinId="47" customBuiltin="1"/>
    <cellStyle name="40% - Énfasis6" xfId="52" builtinId="51" customBuiltin="1"/>
    <cellStyle name="60% - Énfasis1" xfId="33" builtinId="32" customBuiltin="1"/>
    <cellStyle name="60% - Énfasis2" xfId="37" builtinId="36" customBuiltin="1"/>
    <cellStyle name="60% - Énfasis3" xfId="41" builtinId="40" customBuiltin="1"/>
    <cellStyle name="60% - Énfasis4" xfId="45" builtinId="44" customBuiltin="1"/>
    <cellStyle name="60% - Énfasis5" xfId="49" builtinId="48" customBuiltin="1"/>
    <cellStyle name="60% - Énfasis6" xfId="53" builtinId="52" customBuiltin="1"/>
    <cellStyle name="Bueno" xfId="18" builtinId="26" customBuiltin="1"/>
    <cellStyle name="Cálculo" xfId="23" builtinId="22" customBuiltin="1"/>
    <cellStyle name="Celda de comprobación" xfId="25" builtinId="23" customBuiltin="1"/>
    <cellStyle name="Celda vinculada" xfId="24" builtinId="24" customBuiltin="1"/>
    <cellStyle name="Encabezado 1" xfId="6" builtinId="16" customBuiltin="1"/>
    <cellStyle name="Encabezado 4" xfId="17" builtinId="19" customBuiltin="1"/>
    <cellStyle name="Énfasis1" xfId="30" builtinId="29" customBuiltin="1"/>
    <cellStyle name="Énfasis2" xfId="34" builtinId="33" customBuiltin="1"/>
    <cellStyle name="Énfasis3" xfId="38" builtinId="37" customBuiltin="1"/>
    <cellStyle name="Énfasis4" xfId="42" builtinId="41" customBuiltin="1"/>
    <cellStyle name="Énfasis5" xfId="46" builtinId="45" customBuiltin="1"/>
    <cellStyle name="Énfasis6" xfId="50" builtinId="49" customBuiltin="1"/>
    <cellStyle name="Entrada" xfId="21" builtinId="20" customBuiltin="1"/>
    <cellStyle name="Fecha" xfId="10" xr:uid="{229918B6-DD13-4F5A-97B9-305F7E002AA3}"/>
    <cellStyle name="Hipervínculo" xfId="1" builtinId="8" customBuiltin="1"/>
    <cellStyle name="Hipervínculo visitado" xfId="13" builtinId="9" customBuiltin="1"/>
    <cellStyle name="Incorrecto" xfId="19" builtinId="27" customBuiltin="1"/>
    <cellStyle name="Inicio del proyecto" xfId="9" xr:uid="{8EB8A09A-C31C-40A3-B2C1-9449520178B8}"/>
    <cellStyle name="Millares" xfId="4" builtinId="3" customBuiltin="1"/>
    <cellStyle name="Millares [0]" xfId="14" builtinId="6" customBuiltin="1"/>
    <cellStyle name="Moneda" xfId="15" builtinId="4" customBuiltin="1"/>
    <cellStyle name="Moneda [0]" xfId="16" builtinId="7" customBuiltin="1"/>
    <cellStyle name="Moneda 5" xfId="55" xr:uid="{7539DEA7-AC3B-4557-8F64-10F32A80B746}"/>
    <cellStyle name="Neutral" xfId="20" builtinId="28" customBuiltin="1"/>
    <cellStyle name="Nombre" xfId="11" xr:uid="{B2D3C1EE-6B41-4801-AAFC-C2274E49E503}"/>
    <cellStyle name="Normal" xfId="0" builtinId="0" customBuiltin="1"/>
    <cellStyle name="Normal 2" xfId="54" xr:uid="{05E4BB33-962B-410C-9046-BE7798285F3A}"/>
    <cellStyle name="Notas" xfId="27" builtinId="10" customBuiltin="1"/>
    <cellStyle name="Porcentaje" xfId="2" builtinId="5" customBuiltin="1"/>
    <cellStyle name="Salida" xfId="22" builtinId="21" customBuiltin="1"/>
    <cellStyle name="Tarea" xfId="12" xr:uid="{6391D789-272B-4DD2-9BF3-2CDCF610FA41}"/>
    <cellStyle name="Texto de advertencia" xfId="26" builtinId="11" customBuiltin="1"/>
    <cellStyle name="Texto explicativo" xfId="28" builtinId="53" customBuiltin="1"/>
    <cellStyle name="Título" xfId="5" builtinId="15" customBuiltin="1"/>
    <cellStyle name="Título 2" xfId="7" builtinId="17" customBuiltin="1"/>
    <cellStyle name="Título 3" xfId="8" builtinId="18" customBuiltin="1"/>
    <cellStyle name="Total" xfId="29" builtinId="25" customBuiltin="1"/>
    <cellStyle name="zTextoOculto" xfId="3" xr:uid="{26E66EE6-E33F-4D77-BAE4-0FB4F5BBF673}"/>
  </cellStyles>
  <dxfs count="27">
    <dxf>
      <fill>
        <patternFill patternType="solid">
          <fgColor indexed="64"/>
          <bgColor rgb="FFA8C5DE"/>
        </patternFill>
      </fill>
      <border>
        <left/>
        <right/>
      </border>
    </dxf>
    <dxf>
      <fill>
        <patternFill patternType="solid">
          <fgColor indexed="64"/>
          <bgColor rgb="FF1F3A52"/>
        </patternFill>
      </fill>
    </dxf>
    <dxf>
      <border>
        <left style="thin">
          <color rgb="FFC00000"/>
        </left>
        <right style="thin">
          <color rgb="FFC00000"/>
        </right>
        <vertical/>
        <horizontal/>
      </border>
    </dxf>
    <dxf>
      <fill>
        <patternFill patternType="solid">
          <fgColor indexed="64"/>
          <bgColor rgb="FFA8C5DE"/>
        </patternFill>
      </fill>
      <border>
        <left/>
        <right/>
      </border>
    </dxf>
    <dxf>
      <fill>
        <patternFill patternType="solid">
          <fgColor indexed="64"/>
          <bgColor rgb="FF1F3A52"/>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patternType="solid">
          <fgColor indexed="64"/>
          <bgColor rgb="FFA8C5DE"/>
        </patternFill>
      </fill>
      <border>
        <left/>
        <right/>
      </border>
    </dxf>
    <dxf>
      <fill>
        <patternFill patternType="solid">
          <fgColor indexed="64"/>
          <bgColor rgb="FF1F3A52"/>
        </patternFill>
      </fill>
    </dxf>
    <dxf>
      <fill>
        <patternFill patternType="solid">
          <fgColor indexed="64"/>
          <bgColor rgb="FFA8C5DE"/>
        </patternFill>
      </fill>
      <border>
        <left/>
        <right/>
      </border>
    </dxf>
    <dxf>
      <fill>
        <patternFill patternType="solid">
          <fgColor indexed="64"/>
          <bgColor rgb="FF1F3A52"/>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
      <border>
        <left style="thin">
          <color rgb="FFBFBFBF"/>
        </left>
        <right style="thin">
          <color rgb="FFBFBFBF"/>
        </right>
        <top style="thin">
          <color rgb="FFBFBFBF"/>
        </top>
        <bottom style="thin">
          <color rgb="FFBFBFBF"/>
        </bottom>
      </border>
    </dxf>
    <dxf>
      <fill>
        <patternFill>
          <bgColor rgb="FFF4F8FC"/>
        </patternFill>
      </fill>
    </dxf>
    <dxf>
      <font>
        <b/>
        <color rgb="FFFFFFFF"/>
      </font>
      <fill>
        <patternFill>
          <bgColor rgb="FFE06666"/>
        </patternFill>
      </fill>
    </dxf>
    <dxf>
      <font>
        <b/>
        <color rgb="FF7F6000"/>
      </font>
      <fill>
        <patternFill>
          <bgColor rgb="FFFFD966"/>
        </patternFill>
      </fill>
    </dxf>
    <dxf>
      <font>
        <color rgb="FF274E13"/>
      </font>
      <fill>
        <patternFill>
          <bgColor rgb="FFD9EAD3"/>
        </patternFill>
      </fill>
    </dxf>
    <dxf>
      <font>
        <b/>
        <color rgb="FFFFFFFF"/>
      </font>
      <fill>
        <patternFill>
          <bgColor rgb="FF38761D"/>
        </patternFill>
      </fill>
    </dxf>
  </dxfs>
  <tableStyles count="1" defaultTableStyle="TableStyleMedium2" defaultPivotStyle="PivotStyleLight16">
    <tableStyle name="ListaTareasPendientes" pivot="0" count="9" xr9:uid="{00000000-0011-0000-FFFF-FFFF00000000}">
      <tableStyleElement type="wholeTable" dxfId="20"/>
      <tableStyleElement type="headerRow" dxfId="19"/>
      <tableStyleElement type="totalRow" dxfId="18"/>
      <tableStyleElement type="firstColumn" dxfId="17"/>
      <tableStyleElement type="lastColumn" dxfId="16"/>
      <tableStyleElement type="firstRowStripe" dxfId="15"/>
      <tableStyleElement type="secondRowStripe" dxfId="14"/>
      <tableStyleElement type="firstColumnStripe" dxfId="13"/>
      <tableStyleElement type="secondColumnStripe" dxfId="1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C0C0C0"/>
      <color rgb="FF000000"/>
      <color rgb="FF427FC2"/>
      <color rgb="FF215881"/>
      <color rgb="FF42648A"/>
      <color rgb="FF969696"/>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 Id="rId12" Type="http://schemas.openxmlformats.org/officeDocument/2006/relationships/worksheet" Target="worksheets/sheet5.xml"/><Relationship Id="rId13" Type="http://schemas.openxmlformats.org/officeDocument/2006/relationships/worksheet" Target="worksheets/sheet6.xml"/><Relationship Id="rId14" Type="http://schemas.openxmlformats.org/officeDocument/2006/relationships/worksheet" Target="worksheets/sheet7.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520700</xdr:rowOff>
    </xdr:to>
    <xdr:pic>
      <xdr:nvPicPr>
        <xdr:cNvPr id="2" name="Imagen 1" descr="Logotipo de Vertex42">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5E04964-845D-49EA-AE40-B3D687E90185}">
  <we:reference id="WA200009404" version="1.0.0.8" store="Omex" storeType="OMEX"/>
  <we:alternateReferences>
    <we:reference id="WA200009404" version="1.0.0.8" store="WA200009404" storeType="OMEX"/>
  </we:alternateReferences>
  <we:properties>
    <we:property name="claude.fileId" value="&quot;cab32c97-b976-452e-9260-bf258651778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4.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A0BA-5F40-481C-A416-1CA5E04363A6}">
  <sheetPr>
    <pageSetUpPr fitToPage="1"/>
  </sheetPr>
  <dimension ref="A1:BR80"/>
  <sheetViews>
    <sheetView showGridLines="0" tabSelected="1" showRuler="0" topLeftCell="C1" zoomScale="80" zoomScaleNormal="80" zoomScalePageLayoutView="70" workbookViewId="0">
      <pane ySplit="6" topLeftCell="A7" activePane="bottomLeft" state="frozen"/>
      <selection pane="bottomLeft" activeCell="C37" sqref="C37"/>
    </sheetView>
  </sheetViews>
  <sheetFormatPr baseColWidth="10" defaultColWidth="9.1796875" defaultRowHeight="30" customHeight="1" x14ac:dyDescent="0.35"/>
  <cols>
    <col min="1" max="1" width="2.7265625" style="14" hidden="1" customWidth="1"/>
    <col min="2" max="2" width="12.26953125" style="129" bestFit="1" customWidth="1"/>
    <col min="3" max="3" width="26.54296875" style="131" customWidth="1"/>
    <col min="4" max="4" width="10.90625" style="131" customWidth="1"/>
    <col min="5" max="6" width="12.54296875" style="131" customWidth="1"/>
    <col min="7" max="7" width="74" style="16" customWidth="1"/>
    <col min="8" max="8" width="14.6328125" style="16" bestFit="1" customWidth="1"/>
    <col min="9" max="9" width="20.7265625" style="16" customWidth="1"/>
    <col min="10" max="10" width="9.26953125" bestFit="1" customWidth="1"/>
    <col min="11" max="11" width="15.7265625" style="2" bestFit="1" customWidth="1"/>
    <col min="12" max="12" width="9.08984375" bestFit="1" customWidth="1"/>
    <col min="13" max="13" width="2.7265625" customWidth="1"/>
    <col min="14" max="14" width="9.453125" hidden="1" customWidth="1"/>
    <col min="15" max="20" width="3.26953125" customWidth="1"/>
    <col min="21" max="21" width="8.453125" bestFit="1" customWidth="1"/>
    <col min="22" max="29" width="3.26953125" customWidth="1"/>
    <col min="30" max="30" width="4.08984375" customWidth="1"/>
    <col min="31" max="31" width="2.54296875" bestFit="1" customWidth="1"/>
    <col min="32" max="70" width="3.26953125" customWidth="1"/>
  </cols>
  <sheetData>
    <row r="1" spans="1:70" ht="30" customHeight="1" x14ac:dyDescent="0.65">
      <c r="A1" s="121" t="s">
        <v>0</v>
      </c>
      <c r="B1" s="128"/>
      <c r="G1" s="44" t="s">
        <v>34</v>
      </c>
      <c r="H1" s="45"/>
      <c r="I1" s="160"/>
      <c r="J1" s="1"/>
      <c r="K1" s="41"/>
      <c r="L1" s="42"/>
      <c r="N1" s="1"/>
      <c r="O1" s="17"/>
    </row>
    <row r="2" spans="1:70" ht="30" customHeight="1" x14ac:dyDescent="0.4">
      <c r="A2" s="14" t="s">
        <v>1</v>
      </c>
      <c r="G2" s="46" t="s">
        <v>35</v>
      </c>
      <c r="H2" s="47"/>
      <c r="O2" s="18"/>
    </row>
    <row r="3" spans="1:70" ht="30" customHeight="1" x14ac:dyDescent="0.35">
      <c r="A3" s="14" t="s">
        <v>2</v>
      </c>
      <c r="G3" s="47" t="s">
        <v>36</v>
      </c>
      <c r="H3" s="47"/>
      <c r="I3" s="152" t="s">
        <v>13</v>
      </c>
      <c r="J3" s="152"/>
      <c r="K3" s="153">
        <v>45958</v>
      </c>
      <c r="L3" s="154"/>
    </row>
    <row r="4" spans="1:70" ht="30" customHeight="1" x14ac:dyDescent="0.35">
      <c r="A4" s="122" t="s">
        <v>3</v>
      </c>
      <c r="B4" s="130"/>
      <c r="G4" s="43"/>
      <c r="H4" s="43"/>
      <c r="I4" s="152" t="s">
        <v>14</v>
      </c>
      <c r="J4" s="152"/>
      <c r="K4" s="49">
        <v>32</v>
      </c>
      <c r="L4" s="20"/>
      <c r="M4" s="20"/>
      <c r="N4" s="20"/>
      <c r="O4" s="147">
        <f>O5</f>
        <v>46174</v>
      </c>
      <c r="P4" s="148"/>
      <c r="Q4" s="148"/>
      <c r="R4" s="148"/>
      <c r="S4" s="148"/>
      <c r="T4" s="148"/>
      <c r="U4" s="149"/>
      <c r="V4" s="147">
        <f>V5</f>
        <v>46181</v>
      </c>
      <c r="W4" s="148"/>
      <c r="X4" s="148"/>
      <c r="Y4" s="148"/>
      <c r="Z4" s="148"/>
      <c r="AA4" s="148"/>
      <c r="AB4" s="149"/>
      <c r="AC4" s="147">
        <f>AC5</f>
        <v>46188</v>
      </c>
      <c r="AD4" s="148"/>
      <c r="AE4" s="148"/>
      <c r="AF4" s="148"/>
      <c r="AG4" s="148"/>
      <c r="AH4" s="148"/>
      <c r="AI4" s="149"/>
      <c r="AJ4" s="147">
        <f>AJ5</f>
        <v>46195</v>
      </c>
      <c r="AK4" s="148"/>
      <c r="AL4" s="148"/>
      <c r="AM4" s="148"/>
      <c r="AN4" s="148"/>
      <c r="AO4" s="148"/>
      <c r="AP4" s="149"/>
      <c r="AQ4" s="147">
        <f>AQ5</f>
        <v>46202</v>
      </c>
      <c r="AR4" s="148"/>
      <c r="AS4" s="148"/>
      <c r="AT4" s="148"/>
      <c r="AU4" s="148"/>
      <c r="AV4" s="148"/>
      <c r="AW4" s="149"/>
      <c r="AX4" s="147">
        <f>AX5</f>
        <v>46209</v>
      </c>
      <c r="AY4" s="148"/>
      <c r="AZ4" s="148"/>
      <c r="BA4" s="148"/>
      <c r="BB4" s="148"/>
      <c r="BC4" s="148"/>
      <c r="BD4" s="149"/>
      <c r="BE4" s="147">
        <f>BE5</f>
        <v>46216</v>
      </c>
      <c r="BF4" s="148"/>
      <c r="BG4" s="148"/>
      <c r="BH4" s="148"/>
      <c r="BI4" s="148"/>
      <c r="BJ4" s="148"/>
      <c r="BK4" s="149"/>
      <c r="BL4" s="147">
        <f>BL5</f>
        <v>46223</v>
      </c>
      <c r="BM4" s="148"/>
      <c r="BN4" s="148"/>
      <c r="BO4" s="148"/>
      <c r="BP4" s="148"/>
      <c r="BQ4" s="148"/>
      <c r="BR4" s="150"/>
    </row>
    <row r="5" spans="1:70" ht="15" customHeight="1" x14ac:dyDescent="0.35">
      <c r="A5" s="121" t="s">
        <v>4</v>
      </c>
      <c r="B5" s="128"/>
      <c r="K5"/>
      <c r="O5" s="88">
        <f>Inicio_del_proyecto-WEEKDAY(Inicio_del_proyecto,1)+2+7*(Semana_para_mostrar-1)</f>
        <v>46174</v>
      </c>
      <c r="P5" s="89">
        <f>O5+1</f>
        <v>46175</v>
      </c>
      <c r="Q5" s="89">
        <f t="shared" ref="Q5:BD5" si="0">P5+1</f>
        <v>46176</v>
      </c>
      <c r="R5" s="89">
        <f t="shared" si="0"/>
        <v>46177</v>
      </c>
      <c r="S5" s="89">
        <f t="shared" si="0"/>
        <v>46178</v>
      </c>
      <c r="T5" s="89">
        <f t="shared" si="0"/>
        <v>46179</v>
      </c>
      <c r="U5" s="90">
        <f t="shared" si="0"/>
        <v>46180</v>
      </c>
      <c r="V5" s="88">
        <f>U5+1</f>
        <v>46181</v>
      </c>
      <c r="W5" s="89">
        <f>V5+1</f>
        <v>46182</v>
      </c>
      <c r="X5" s="89">
        <f t="shared" si="0"/>
        <v>46183</v>
      </c>
      <c r="Y5" s="89">
        <f t="shared" si="0"/>
        <v>46184</v>
      </c>
      <c r="Z5" s="89">
        <f t="shared" si="0"/>
        <v>46185</v>
      </c>
      <c r="AA5" s="89">
        <f t="shared" si="0"/>
        <v>46186</v>
      </c>
      <c r="AB5" s="90">
        <f t="shared" si="0"/>
        <v>46187</v>
      </c>
      <c r="AC5" s="88">
        <f>AB5+1</f>
        <v>46188</v>
      </c>
      <c r="AD5" s="89">
        <f>AC5+1</f>
        <v>46189</v>
      </c>
      <c r="AE5" s="89">
        <f t="shared" si="0"/>
        <v>46190</v>
      </c>
      <c r="AF5" s="89">
        <f t="shared" si="0"/>
        <v>46191</v>
      </c>
      <c r="AG5" s="89">
        <f t="shared" si="0"/>
        <v>46192</v>
      </c>
      <c r="AH5" s="89">
        <f t="shared" si="0"/>
        <v>46193</v>
      </c>
      <c r="AI5" s="90">
        <f t="shared" si="0"/>
        <v>46194</v>
      </c>
      <c r="AJ5" s="88">
        <f>AI5+1</f>
        <v>46195</v>
      </c>
      <c r="AK5" s="89">
        <f>AJ5+1</f>
        <v>46196</v>
      </c>
      <c r="AL5" s="89">
        <f t="shared" si="0"/>
        <v>46197</v>
      </c>
      <c r="AM5" s="89">
        <f t="shared" si="0"/>
        <v>46198</v>
      </c>
      <c r="AN5" s="89">
        <f t="shared" si="0"/>
        <v>46199</v>
      </c>
      <c r="AO5" s="89">
        <f t="shared" si="0"/>
        <v>46200</v>
      </c>
      <c r="AP5" s="90">
        <f t="shared" si="0"/>
        <v>46201</v>
      </c>
      <c r="AQ5" s="88">
        <f>AP5+1</f>
        <v>46202</v>
      </c>
      <c r="AR5" s="89">
        <f>AQ5+1</f>
        <v>46203</v>
      </c>
      <c r="AS5" s="89">
        <f t="shared" si="0"/>
        <v>46204</v>
      </c>
      <c r="AT5" s="89">
        <f t="shared" si="0"/>
        <v>46205</v>
      </c>
      <c r="AU5" s="89">
        <f t="shared" si="0"/>
        <v>46206</v>
      </c>
      <c r="AV5" s="89">
        <f t="shared" si="0"/>
        <v>46207</v>
      </c>
      <c r="AW5" s="90">
        <f t="shared" si="0"/>
        <v>46208</v>
      </c>
      <c r="AX5" s="88">
        <f>AW5+1</f>
        <v>46209</v>
      </c>
      <c r="AY5" s="89">
        <f>AX5+1</f>
        <v>46210</v>
      </c>
      <c r="AZ5" s="89">
        <f t="shared" si="0"/>
        <v>46211</v>
      </c>
      <c r="BA5" s="89">
        <f t="shared" si="0"/>
        <v>46212</v>
      </c>
      <c r="BB5" s="89">
        <f t="shared" si="0"/>
        <v>46213</v>
      </c>
      <c r="BC5" s="89">
        <f t="shared" si="0"/>
        <v>46214</v>
      </c>
      <c r="BD5" s="90">
        <f t="shared" si="0"/>
        <v>46215</v>
      </c>
      <c r="BE5" s="88">
        <f t="shared" ref="BE5:BR5" si="1">BD5+1</f>
        <v>46216</v>
      </c>
      <c r="BF5" s="89">
        <f t="shared" si="1"/>
        <v>46217</v>
      </c>
      <c r="BG5" s="89">
        <f t="shared" si="1"/>
        <v>46218</v>
      </c>
      <c r="BH5" s="89">
        <f t="shared" si="1"/>
        <v>46219</v>
      </c>
      <c r="BI5" s="89">
        <f t="shared" si="1"/>
        <v>46220</v>
      </c>
      <c r="BJ5" s="89">
        <f t="shared" si="1"/>
        <v>46221</v>
      </c>
      <c r="BK5" s="90">
        <f t="shared" si="1"/>
        <v>46222</v>
      </c>
      <c r="BL5" s="88">
        <f t="shared" si="1"/>
        <v>46223</v>
      </c>
      <c r="BM5" s="89">
        <f t="shared" si="1"/>
        <v>46224</v>
      </c>
      <c r="BN5" s="89">
        <f t="shared" si="1"/>
        <v>46225</v>
      </c>
      <c r="BO5" s="89">
        <f t="shared" si="1"/>
        <v>46226</v>
      </c>
      <c r="BP5" s="89">
        <f t="shared" si="1"/>
        <v>46227</v>
      </c>
      <c r="BQ5" s="89">
        <f t="shared" si="1"/>
        <v>46228</v>
      </c>
      <c r="BR5" s="19">
        <f t="shared" si="1"/>
        <v>46229</v>
      </c>
    </row>
    <row r="6" spans="1:70" s="133" customFormat="1" ht="30" customHeight="1" thickBot="1" x14ac:dyDescent="0.4">
      <c r="A6" s="132" t="s">
        <v>5</v>
      </c>
      <c r="B6" s="159" t="s">
        <v>99</v>
      </c>
      <c r="C6" s="159" t="s">
        <v>100</v>
      </c>
      <c r="D6" s="159" t="s">
        <v>106</v>
      </c>
      <c r="E6" s="159" t="s">
        <v>105</v>
      </c>
      <c r="F6" s="159" t="s">
        <v>108</v>
      </c>
      <c r="G6" s="159" t="s">
        <v>12</v>
      </c>
      <c r="H6" s="159" t="s">
        <v>87</v>
      </c>
      <c r="I6" s="159" t="s">
        <v>75</v>
      </c>
      <c r="J6" s="159" t="s">
        <v>15</v>
      </c>
      <c r="K6" s="159" t="s">
        <v>16</v>
      </c>
      <c r="L6" s="159" t="s">
        <v>17</v>
      </c>
      <c r="M6" s="39"/>
      <c r="N6" s="51" t="s">
        <v>18</v>
      </c>
      <c r="O6" s="91" t="str">
        <f t="shared" ref="O6:BR6" si="2">LEFT(TEXT(O5,"ddd"),1)</f>
        <v>l</v>
      </c>
      <c r="P6" s="91" t="str">
        <f t="shared" si="2"/>
        <v>m</v>
      </c>
      <c r="Q6" s="91" t="str">
        <f t="shared" si="2"/>
        <v>m</v>
      </c>
      <c r="R6" s="91" t="str">
        <f t="shared" si="2"/>
        <v>j</v>
      </c>
      <c r="S6" s="91" t="str">
        <f t="shared" si="2"/>
        <v>v</v>
      </c>
      <c r="T6" s="91" t="str">
        <f t="shared" si="2"/>
        <v>s</v>
      </c>
      <c r="U6" s="91" t="str">
        <f t="shared" si="2"/>
        <v>d</v>
      </c>
      <c r="V6" s="91" t="str">
        <f t="shared" si="2"/>
        <v>l</v>
      </c>
      <c r="W6" s="91" t="str">
        <f t="shared" si="2"/>
        <v>m</v>
      </c>
      <c r="X6" s="91" t="str">
        <f t="shared" si="2"/>
        <v>m</v>
      </c>
      <c r="Y6" s="91" t="str">
        <f t="shared" si="2"/>
        <v>j</v>
      </c>
      <c r="Z6" s="91" t="str">
        <f t="shared" si="2"/>
        <v>v</v>
      </c>
      <c r="AA6" s="91" t="str">
        <f t="shared" si="2"/>
        <v>s</v>
      </c>
      <c r="AB6" s="91" t="str">
        <f t="shared" si="2"/>
        <v>d</v>
      </c>
      <c r="AC6" s="91" t="str">
        <f t="shared" si="2"/>
        <v>l</v>
      </c>
      <c r="AD6" s="91" t="str">
        <f t="shared" si="2"/>
        <v>m</v>
      </c>
      <c r="AE6" s="91" t="str">
        <f t="shared" si="2"/>
        <v>m</v>
      </c>
      <c r="AF6" s="91" t="str">
        <f t="shared" si="2"/>
        <v>j</v>
      </c>
      <c r="AG6" s="91" t="str">
        <f t="shared" si="2"/>
        <v>v</v>
      </c>
      <c r="AH6" s="91" t="str">
        <f t="shared" si="2"/>
        <v>s</v>
      </c>
      <c r="AI6" s="91" t="str">
        <f t="shared" si="2"/>
        <v>d</v>
      </c>
      <c r="AJ6" s="91" t="str">
        <f t="shared" si="2"/>
        <v>l</v>
      </c>
      <c r="AK6" s="91" t="str">
        <f t="shared" si="2"/>
        <v>m</v>
      </c>
      <c r="AL6" s="91" t="str">
        <f t="shared" si="2"/>
        <v>m</v>
      </c>
      <c r="AM6" s="91" t="str">
        <f t="shared" si="2"/>
        <v>j</v>
      </c>
      <c r="AN6" s="91" t="str">
        <f t="shared" si="2"/>
        <v>v</v>
      </c>
      <c r="AO6" s="91" t="str">
        <f t="shared" si="2"/>
        <v>s</v>
      </c>
      <c r="AP6" s="91" t="str">
        <f t="shared" si="2"/>
        <v>d</v>
      </c>
      <c r="AQ6" s="91" t="str">
        <f t="shared" si="2"/>
        <v>l</v>
      </c>
      <c r="AR6" s="91" t="str">
        <f t="shared" si="2"/>
        <v>m</v>
      </c>
      <c r="AS6" s="91" t="str">
        <f t="shared" si="2"/>
        <v>m</v>
      </c>
      <c r="AT6" s="91" t="str">
        <f t="shared" si="2"/>
        <v>j</v>
      </c>
      <c r="AU6" s="91" t="str">
        <f t="shared" si="2"/>
        <v>v</v>
      </c>
      <c r="AV6" s="91" t="str">
        <f t="shared" si="2"/>
        <v>s</v>
      </c>
      <c r="AW6" s="91" t="str">
        <f t="shared" si="2"/>
        <v>d</v>
      </c>
      <c r="AX6" s="91" t="str">
        <f t="shared" si="2"/>
        <v>l</v>
      </c>
      <c r="AY6" s="91" t="str">
        <f t="shared" si="2"/>
        <v>m</v>
      </c>
      <c r="AZ6" s="91" t="str">
        <f t="shared" si="2"/>
        <v>m</v>
      </c>
      <c r="BA6" s="91" t="str">
        <f t="shared" si="2"/>
        <v>j</v>
      </c>
      <c r="BB6" s="91" t="str">
        <f t="shared" si="2"/>
        <v>v</v>
      </c>
      <c r="BC6" s="91" t="str">
        <f t="shared" si="2"/>
        <v>s</v>
      </c>
      <c r="BD6" s="91" t="str">
        <f t="shared" si="2"/>
        <v>d</v>
      </c>
      <c r="BE6" s="91" t="str">
        <f t="shared" si="2"/>
        <v>l</v>
      </c>
      <c r="BF6" s="91" t="str">
        <f t="shared" si="2"/>
        <v>m</v>
      </c>
      <c r="BG6" s="91" t="str">
        <f t="shared" si="2"/>
        <v>m</v>
      </c>
      <c r="BH6" s="91" t="str">
        <f t="shared" si="2"/>
        <v>j</v>
      </c>
      <c r="BI6" s="91" t="str">
        <f t="shared" si="2"/>
        <v>v</v>
      </c>
      <c r="BJ6" s="91" t="str">
        <f t="shared" si="2"/>
        <v>s</v>
      </c>
      <c r="BK6" s="91" t="str">
        <f t="shared" si="2"/>
        <v>d</v>
      </c>
      <c r="BL6" s="91" t="str">
        <f t="shared" si="2"/>
        <v>l</v>
      </c>
      <c r="BM6" s="91" t="str">
        <f t="shared" si="2"/>
        <v>m</v>
      </c>
      <c r="BN6" s="91" t="str">
        <f t="shared" si="2"/>
        <v>m</v>
      </c>
      <c r="BO6" s="91" t="str">
        <f t="shared" si="2"/>
        <v>j</v>
      </c>
      <c r="BP6" s="91" t="str">
        <f t="shared" si="2"/>
        <v>v</v>
      </c>
      <c r="BQ6" s="91" t="str">
        <f t="shared" si="2"/>
        <v>s</v>
      </c>
      <c r="BR6" s="32" t="str">
        <f t="shared" si="2"/>
        <v>d</v>
      </c>
    </row>
    <row r="7" spans="1:70" ht="25" customHeight="1" x14ac:dyDescent="0.35">
      <c r="A7" s="121" t="s">
        <v>7</v>
      </c>
      <c r="B7" s="128"/>
      <c r="G7" s="52" t="s">
        <v>84</v>
      </c>
      <c r="H7" s="158">
        <v>0.05</v>
      </c>
      <c r="I7" s="161"/>
      <c r="J7" s="54">
        <f>+AVERAGE(J8:J8)</f>
        <v>0.2</v>
      </c>
      <c r="K7" s="55" t="s">
        <v>86</v>
      </c>
      <c r="L7" s="56">
        <f ca="1">TODAY()-MIN(K8)-139</f>
        <v>84</v>
      </c>
      <c r="M7" s="57"/>
      <c r="N7" s="58"/>
      <c r="O7" s="53"/>
      <c r="P7" s="53"/>
      <c r="Q7" s="53"/>
      <c r="R7" s="53"/>
      <c r="S7" s="53"/>
      <c r="T7" s="53"/>
      <c r="U7" s="53"/>
      <c r="V7" s="53"/>
      <c r="W7" s="53"/>
      <c r="X7" s="53"/>
      <c r="Y7" s="53"/>
      <c r="Z7" s="53"/>
      <c r="AA7" s="53"/>
      <c r="AB7" s="53"/>
      <c r="AC7" s="53"/>
      <c r="AD7" s="53"/>
      <c r="AE7" s="53"/>
      <c r="AF7" s="53"/>
      <c r="AG7" s="53"/>
      <c r="AH7" s="53"/>
      <c r="AI7" s="53"/>
      <c r="AJ7" s="53"/>
      <c r="AK7" s="53"/>
      <c r="AL7" s="53"/>
      <c r="AM7" s="53"/>
      <c r="AN7" s="53"/>
      <c r="AO7" s="53"/>
      <c r="AP7" s="53"/>
      <c r="AQ7" s="53"/>
      <c r="AR7" s="53"/>
      <c r="AS7" s="53"/>
      <c r="AT7" s="53"/>
      <c r="AU7" s="53"/>
      <c r="AV7" s="53"/>
      <c r="AW7" s="53"/>
      <c r="AX7" s="53"/>
      <c r="AY7" s="53"/>
      <c r="AZ7" s="53"/>
      <c r="BA7" s="53"/>
      <c r="BB7" s="53"/>
      <c r="BC7" s="53"/>
      <c r="BD7" s="53"/>
      <c r="BE7" s="53"/>
      <c r="BF7" s="53"/>
      <c r="BG7" s="53"/>
      <c r="BH7" s="53"/>
      <c r="BI7" s="53"/>
      <c r="BJ7" s="53"/>
      <c r="BK7" s="53"/>
      <c r="BL7" s="53"/>
      <c r="BM7" s="53"/>
      <c r="BN7" s="53"/>
      <c r="BO7" s="53"/>
      <c r="BP7" s="53"/>
      <c r="BQ7" s="53"/>
      <c r="BR7" s="53"/>
    </row>
    <row r="8" spans="1:70" ht="50" customHeight="1" thickBot="1" x14ac:dyDescent="0.4">
      <c r="A8" s="121" t="s">
        <v>8</v>
      </c>
      <c r="B8" s="128"/>
      <c r="C8" s="131" t="s">
        <v>101</v>
      </c>
      <c r="D8" s="134" t="s">
        <v>107</v>
      </c>
      <c r="E8" s="135">
        <v>1</v>
      </c>
      <c r="F8" s="136">
        <v>46203</v>
      </c>
      <c r="G8" s="74" t="s">
        <v>88</v>
      </c>
      <c r="H8" s="151"/>
      <c r="I8" s="163" t="s">
        <v>89</v>
      </c>
      <c r="J8" s="71">
        <v>0.2</v>
      </c>
      <c r="K8" s="65">
        <f>Inicio_del_proyecto</f>
        <v>45958</v>
      </c>
      <c r="L8" s="76">
        <f>IF(F8="",WORKDAY(L7,5),F8)</f>
        <v>46203</v>
      </c>
      <c r="M8" s="66"/>
      <c r="N8" s="67">
        <f t="shared" ref="N8:N55" si="3">IF(OR(ISBLANK(task_start),ISBLANK(task_end)),"",task_end-task_start+1)</f>
        <v>246</v>
      </c>
      <c r="O8" s="64"/>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row>
    <row r="9" spans="1:70" ht="25" customHeight="1" thickBot="1" x14ac:dyDescent="0.4">
      <c r="A9" s="121" t="s">
        <v>10</v>
      </c>
      <c r="B9" s="128"/>
      <c r="G9" s="59" t="s">
        <v>85</v>
      </c>
      <c r="H9" s="138">
        <v>0.35</v>
      </c>
      <c r="I9" s="162"/>
      <c r="J9" s="60">
        <f>+AVERAGE(J10:J19)</f>
        <v>0.44000000000000006</v>
      </c>
      <c r="K9" s="63" t="str">
        <f>+$K$7</f>
        <v>Días Transcurridos=</v>
      </c>
      <c r="L9" s="56">
        <f ca="1">TODAY()-MIN(K10:K21)-139</f>
        <v>84</v>
      </c>
      <c r="M9" s="62"/>
      <c r="N9" s="69"/>
      <c r="O9" s="53"/>
      <c r="P9" s="53"/>
      <c r="Q9" s="53"/>
      <c r="R9" s="53"/>
      <c r="S9" s="53"/>
      <c r="T9" s="53"/>
      <c r="U9" s="53"/>
      <c r="V9" s="53"/>
      <c r="W9" s="53"/>
      <c r="X9" s="53"/>
      <c r="Y9" s="53"/>
      <c r="Z9" s="53"/>
      <c r="AA9" s="53"/>
      <c r="AB9" s="53"/>
      <c r="AC9" s="53"/>
      <c r="AD9" s="53"/>
      <c r="AE9" s="53"/>
      <c r="AF9" s="53"/>
      <c r="AG9" s="53"/>
      <c r="AH9" s="53"/>
      <c r="AI9" s="53"/>
      <c r="AJ9" s="53"/>
      <c r="AK9" s="53"/>
      <c r="AL9" s="53"/>
      <c r="AM9" s="53"/>
      <c r="AN9" s="53"/>
      <c r="AO9" s="53"/>
      <c r="AP9" s="53"/>
      <c r="AQ9" s="53"/>
      <c r="AR9" s="53"/>
      <c r="AS9" s="53"/>
      <c r="AT9" s="53"/>
      <c r="AU9" s="53"/>
      <c r="AV9" s="53"/>
      <c r="AW9" s="53"/>
      <c r="AX9" s="53"/>
      <c r="AY9" s="53"/>
      <c r="AZ9" s="53"/>
      <c r="BA9" s="53"/>
      <c r="BB9" s="53"/>
      <c r="BC9" s="53"/>
      <c r="BD9" s="53"/>
      <c r="BE9" s="53"/>
      <c r="BF9" s="53"/>
      <c r="BG9" s="53"/>
      <c r="BH9" s="53"/>
      <c r="BI9" s="53"/>
      <c r="BJ9" s="53"/>
      <c r="BK9" s="53"/>
      <c r="BL9" s="53"/>
      <c r="BM9" s="53"/>
      <c r="BN9" s="53"/>
      <c r="BO9" s="53"/>
      <c r="BP9" s="53"/>
      <c r="BQ9" s="53"/>
      <c r="BR9" s="53"/>
    </row>
    <row r="10" spans="1:70" ht="25" customHeight="1" thickBot="1" x14ac:dyDescent="0.4">
      <c r="A10" s="121"/>
      <c r="B10" s="128"/>
      <c r="D10" s="134" t="s">
        <v>135</v>
      </c>
      <c r="E10" s="135">
        <v>1</v>
      </c>
      <c r="F10" s="136">
        <v>46192</v>
      </c>
      <c r="G10" s="70" t="s">
        <v>78</v>
      </c>
      <c r="H10" s="144"/>
      <c r="I10" s="163" t="s">
        <v>36</v>
      </c>
      <c r="J10" s="71">
        <v>0.9</v>
      </c>
      <c r="K10" s="72">
        <v>45958</v>
      </c>
      <c r="L10" s="76">
        <f t="shared" ref="L10:L21" si="4">IF(F10="",WORKDAY(L9,5),F10)</f>
        <v>46192</v>
      </c>
      <c r="M10" s="73"/>
      <c r="N10" s="48">
        <f t="shared" si="3"/>
        <v>235</v>
      </c>
      <c r="O10" s="64"/>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row>
    <row r="11" spans="1:70" ht="25" customHeight="1" thickBot="1" x14ac:dyDescent="0.4">
      <c r="B11" s="137" t="s">
        <v>132</v>
      </c>
      <c r="C11" s="157" t="s">
        <v>131</v>
      </c>
      <c r="D11" s="134" t="str">
        <f>+$D$10</f>
        <v>Quincenal</v>
      </c>
      <c r="E11" s="135">
        <v>1</v>
      </c>
      <c r="F11" s="136">
        <v>46192</v>
      </c>
      <c r="G11" s="74" t="s">
        <v>133</v>
      </c>
      <c r="H11" s="143"/>
      <c r="I11" s="164" t="s">
        <v>36</v>
      </c>
      <c r="J11" s="75">
        <v>0.75</v>
      </c>
      <c r="K11" s="76">
        <v>45958</v>
      </c>
      <c r="L11" s="76">
        <f t="shared" si="4"/>
        <v>46192</v>
      </c>
      <c r="M11" s="77"/>
      <c r="N11" s="78">
        <f t="shared" si="3"/>
        <v>235</v>
      </c>
      <c r="O11" s="68"/>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row>
    <row r="12" spans="1:70" ht="25" customHeight="1" thickBot="1" x14ac:dyDescent="0.4">
      <c r="B12" s="137"/>
      <c r="C12" s="157"/>
      <c r="D12" s="134" t="str">
        <f t="shared" ref="D12:D21" si="5">+$D$10</f>
        <v>Quincenal</v>
      </c>
      <c r="E12" s="135">
        <v>1</v>
      </c>
      <c r="F12" s="136">
        <v>46192</v>
      </c>
      <c r="G12" s="70" t="s">
        <v>134</v>
      </c>
      <c r="H12" s="144"/>
      <c r="I12" s="163" t="s">
        <v>36</v>
      </c>
      <c r="J12" s="71">
        <v>0.75</v>
      </c>
      <c r="K12" s="72">
        <v>45978</v>
      </c>
      <c r="L12" s="76">
        <f t="shared" si="4"/>
        <v>46192</v>
      </c>
      <c r="M12" s="73"/>
      <c r="N12" s="48">
        <f t="shared" si="3"/>
        <v>215</v>
      </c>
      <c r="O12" s="68"/>
      <c r="P12" s="6"/>
      <c r="Q12" s="6"/>
      <c r="R12" s="6"/>
      <c r="S12" s="6"/>
      <c r="T12" s="6"/>
      <c r="U12" s="6"/>
      <c r="V12" s="6"/>
      <c r="W12" s="6"/>
      <c r="X12" s="6"/>
      <c r="Y12" s="6"/>
      <c r="Z12" s="6"/>
      <c r="AA12" s="6"/>
      <c r="AB12" s="6"/>
      <c r="AC12" s="6"/>
      <c r="AD12" s="6"/>
      <c r="AE12" s="7"/>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row>
    <row r="13" spans="1:70" ht="25" customHeight="1" thickBot="1" x14ac:dyDescent="0.4">
      <c r="C13" s="131" t="s">
        <v>103</v>
      </c>
      <c r="D13" s="134" t="str">
        <f t="shared" si="5"/>
        <v>Quincenal</v>
      </c>
      <c r="E13" s="135">
        <v>1</v>
      </c>
      <c r="F13" s="136">
        <v>46192</v>
      </c>
      <c r="G13" s="74" t="s">
        <v>90</v>
      </c>
      <c r="H13" s="143"/>
      <c r="I13" s="164" t="s">
        <v>36</v>
      </c>
      <c r="J13" s="75">
        <v>0.5</v>
      </c>
      <c r="K13" s="76">
        <v>46345</v>
      </c>
      <c r="L13" s="76">
        <f t="shared" si="4"/>
        <v>46192</v>
      </c>
      <c r="M13" s="77"/>
      <c r="N13" s="78"/>
      <c r="O13" s="68"/>
      <c r="P13" s="6"/>
      <c r="Q13" s="6"/>
      <c r="R13" s="6"/>
      <c r="S13" s="6"/>
      <c r="T13" s="6"/>
      <c r="U13" s="6"/>
      <c r="V13" s="6"/>
      <c r="W13" s="6"/>
      <c r="X13" s="6"/>
      <c r="Y13" s="6"/>
      <c r="Z13" s="6"/>
      <c r="AA13" s="6"/>
      <c r="AB13" s="6"/>
      <c r="AC13" s="6"/>
      <c r="AD13" s="6"/>
      <c r="AE13" s="7"/>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row>
    <row r="14" spans="1:70" ht="25" customHeight="1" thickBot="1" x14ac:dyDescent="0.4">
      <c r="D14" s="134" t="str">
        <f t="shared" si="5"/>
        <v>Quincenal</v>
      </c>
      <c r="E14" s="135"/>
      <c r="F14" s="136"/>
      <c r="G14" s="70" t="s">
        <v>91</v>
      </c>
      <c r="H14" s="144"/>
      <c r="I14" s="163" t="s">
        <v>36</v>
      </c>
      <c r="J14" s="71">
        <v>0.2</v>
      </c>
      <c r="K14" s="72">
        <v>45959</v>
      </c>
      <c r="L14" s="76">
        <f t="shared" si="4"/>
        <v>46199</v>
      </c>
      <c r="M14" s="73"/>
      <c r="N14" s="48">
        <f t="shared" si="3"/>
        <v>241</v>
      </c>
      <c r="O14" s="68"/>
      <c r="P14" s="6"/>
      <c r="Q14" s="6"/>
      <c r="R14" s="6"/>
      <c r="S14" s="6"/>
      <c r="T14" s="6"/>
      <c r="U14" s="6"/>
      <c r="V14" s="6"/>
      <c r="W14" s="6"/>
      <c r="X14" s="6"/>
      <c r="Y14" s="6"/>
      <c r="Z14" s="6"/>
      <c r="AA14" s="7"/>
      <c r="AB14" s="7"/>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row>
    <row r="15" spans="1:70" ht="25" customHeight="1" thickBot="1" x14ac:dyDescent="0.4">
      <c r="A15" s="121"/>
      <c r="B15" s="128"/>
      <c r="C15" s="131" t="s">
        <v>102</v>
      </c>
      <c r="D15" s="134" t="str">
        <f t="shared" si="5"/>
        <v>Quincenal</v>
      </c>
      <c r="E15" s="135">
        <v>1</v>
      </c>
      <c r="F15" s="136">
        <v>46192</v>
      </c>
      <c r="G15" s="74" t="s">
        <v>110</v>
      </c>
      <c r="H15" s="143"/>
      <c r="I15" s="164" t="s">
        <v>36</v>
      </c>
      <c r="J15" s="75">
        <v>0.65</v>
      </c>
      <c r="K15" s="76">
        <v>45992</v>
      </c>
      <c r="L15" s="76">
        <f t="shared" si="4"/>
        <v>46192</v>
      </c>
      <c r="M15" s="77"/>
      <c r="N15" s="78">
        <f t="shared" si="3"/>
        <v>201</v>
      </c>
      <c r="O15" s="68"/>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row>
    <row r="16" spans="1:70" ht="25" customHeight="1" thickBot="1" x14ac:dyDescent="0.4">
      <c r="A16" s="121"/>
      <c r="B16" s="155" t="s">
        <v>130</v>
      </c>
      <c r="C16" s="155" t="s">
        <v>104</v>
      </c>
      <c r="D16" s="134" t="str">
        <f t="shared" si="5"/>
        <v>Quincenal</v>
      </c>
      <c r="E16" s="135">
        <v>1</v>
      </c>
      <c r="F16" s="136">
        <v>46192</v>
      </c>
      <c r="G16" s="74" t="s">
        <v>109</v>
      </c>
      <c r="H16" s="143"/>
      <c r="I16" s="164" t="s">
        <v>36</v>
      </c>
      <c r="J16" s="75">
        <v>0.65</v>
      </c>
      <c r="K16" s="76">
        <v>45992</v>
      </c>
      <c r="L16" s="76">
        <f t="shared" si="4"/>
        <v>46192</v>
      </c>
      <c r="M16" s="77"/>
      <c r="N16" s="78">
        <f t="shared" si="3"/>
        <v>201</v>
      </c>
      <c r="O16" s="68"/>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row>
    <row r="17" spans="1:70" ht="25" customHeight="1" thickBot="1" x14ac:dyDescent="0.4">
      <c r="A17" s="121"/>
      <c r="B17" s="156"/>
      <c r="C17" s="131" t="s">
        <v>128</v>
      </c>
      <c r="D17" s="134" t="str">
        <f t="shared" si="5"/>
        <v>Quincenal</v>
      </c>
      <c r="E17" s="135"/>
      <c r="F17" s="136"/>
      <c r="G17" s="70" t="s">
        <v>77</v>
      </c>
      <c r="H17" s="144"/>
      <c r="I17" s="163" t="s">
        <v>36</v>
      </c>
      <c r="J17" s="71">
        <v>0</v>
      </c>
      <c r="K17" s="72">
        <f>+L14+1</f>
        <v>46200</v>
      </c>
      <c r="L17" s="76">
        <f>IF(F17="",WORKDAY(MAX(L10:L16),5),F17)</f>
        <v>46206</v>
      </c>
      <c r="M17" s="73"/>
      <c r="N17" s="48">
        <f t="shared" si="3"/>
        <v>7</v>
      </c>
      <c r="O17" s="68"/>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row>
    <row r="18" spans="1:70" ht="25" customHeight="1" thickBot="1" x14ac:dyDescent="0.4">
      <c r="B18" s="156"/>
      <c r="D18" s="134" t="str">
        <f t="shared" si="5"/>
        <v>Quincenal</v>
      </c>
      <c r="E18" s="135"/>
      <c r="F18" s="136"/>
      <c r="G18" s="74" t="s">
        <v>62</v>
      </c>
      <c r="H18" s="143"/>
      <c r="I18" s="164" t="s">
        <v>36</v>
      </c>
      <c r="J18" s="75">
        <v>0</v>
      </c>
      <c r="K18" s="76">
        <f>+L12+1</f>
        <v>46193</v>
      </c>
      <c r="L18" s="76">
        <f>IF(F18="",WORKDAY(MAX(L11:L17),5),F18)</f>
        <v>46213</v>
      </c>
      <c r="M18" s="77"/>
      <c r="N18" s="78">
        <f t="shared" si="3"/>
        <v>21</v>
      </c>
      <c r="O18" s="68"/>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row>
    <row r="19" spans="1:70" ht="25" customHeight="1" thickBot="1" x14ac:dyDescent="0.4">
      <c r="A19" s="121"/>
      <c r="B19" s="137" t="s">
        <v>129</v>
      </c>
      <c r="C19" s="137" t="s">
        <v>123</v>
      </c>
      <c r="D19" s="134" t="str">
        <f t="shared" si="5"/>
        <v>Quincenal</v>
      </c>
      <c r="E19" s="135">
        <v>1</v>
      </c>
      <c r="F19" s="136">
        <v>46192</v>
      </c>
      <c r="G19" s="70" t="s">
        <v>122</v>
      </c>
      <c r="H19" s="144"/>
      <c r="I19" s="163" t="s">
        <v>36</v>
      </c>
      <c r="J19" s="71">
        <v>0</v>
      </c>
      <c r="K19" s="72">
        <v>46182</v>
      </c>
      <c r="L19" s="76">
        <f>IF(F19="",WORKDAY(MAX(L10:L18),5),F19)</f>
        <v>46192</v>
      </c>
      <c r="M19" s="73"/>
      <c r="N19" s="48">
        <f t="shared" si="3"/>
        <v>11</v>
      </c>
      <c r="O19" s="68"/>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row>
    <row r="20" spans="1:70" ht="25" customHeight="1" thickBot="1" x14ac:dyDescent="0.4">
      <c r="A20" s="121"/>
      <c r="B20" s="137"/>
      <c r="C20" s="137"/>
      <c r="D20" s="134" t="str">
        <f t="shared" si="5"/>
        <v>Quincenal</v>
      </c>
      <c r="E20" s="135"/>
      <c r="F20" s="136"/>
      <c r="G20" s="74" t="s">
        <v>98</v>
      </c>
      <c r="H20" s="143"/>
      <c r="I20" s="164" t="s">
        <v>36</v>
      </c>
      <c r="J20" s="75">
        <v>0</v>
      </c>
      <c r="K20" s="76">
        <f>+L19+1</f>
        <v>46193</v>
      </c>
      <c r="L20" s="76">
        <f>IF(F20="",WORKDAY(MAX(L13:L19),5),F20)</f>
        <v>46220</v>
      </c>
      <c r="M20" s="77"/>
      <c r="N20" s="78">
        <f t="shared" si="3"/>
        <v>28</v>
      </c>
      <c r="O20" s="68"/>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row>
    <row r="21" spans="1:70" ht="25" customHeight="1" thickBot="1" x14ac:dyDescent="0.4">
      <c r="A21" s="121"/>
      <c r="B21" s="137"/>
      <c r="C21" s="137"/>
      <c r="D21" s="134" t="str">
        <f t="shared" si="5"/>
        <v>Quincenal</v>
      </c>
      <c r="E21" s="135"/>
      <c r="F21" s="136"/>
      <c r="G21" s="70" t="s">
        <v>124</v>
      </c>
      <c r="H21" s="146"/>
      <c r="I21" s="163" t="s">
        <v>36</v>
      </c>
      <c r="J21" s="71">
        <v>0</v>
      </c>
      <c r="K21" s="72">
        <f>+L20+1</f>
        <v>46221</v>
      </c>
      <c r="L21" s="76">
        <f>IF(F21="",WORKDAY(MAX(L14:L20),5),F21)</f>
        <v>46227</v>
      </c>
      <c r="M21" s="73"/>
      <c r="N21" s="48">
        <f t="shared" si="3"/>
        <v>7</v>
      </c>
      <c r="O21" s="68"/>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6"/>
      <c r="BR21" s="26"/>
    </row>
    <row r="22" spans="1:70" ht="25" customHeight="1" thickBot="1" x14ac:dyDescent="0.4">
      <c r="A22" s="14" t="s">
        <v>11</v>
      </c>
      <c r="G22" s="59" t="s">
        <v>136</v>
      </c>
      <c r="H22" s="138">
        <v>0.25</v>
      </c>
      <c r="I22" s="162"/>
      <c r="J22" s="60">
        <f>+AVERAGE(J23:J26)</f>
        <v>0.875</v>
      </c>
      <c r="K22" s="63" t="str">
        <f>+$K$7</f>
        <v>Días Transcurridos=</v>
      </c>
      <c r="L22" s="56">
        <f ca="1">TODAY()-MIN(K23:K26)</f>
        <v>4</v>
      </c>
      <c r="M22" s="62"/>
      <c r="N22" s="69"/>
      <c r="O22" s="53"/>
      <c r="P22" s="53"/>
      <c r="Q22" s="53"/>
      <c r="R22" s="53"/>
      <c r="S22" s="53"/>
      <c r="T22" s="53"/>
      <c r="U22" s="53"/>
      <c r="V22" s="53"/>
      <c r="W22" s="53"/>
      <c r="X22" s="53"/>
      <c r="Y22" s="53"/>
      <c r="Z22" s="53"/>
      <c r="AA22" s="53"/>
      <c r="AB22" s="53"/>
      <c r="AC22" s="53"/>
      <c r="AD22" s="53"/>
      <c r="AE22" s="53"/>
      <c r="AF22" s="53"/>
      <c r="AG22" s="53"/>
      <c r="AH22" s="53"/>
      <c r="AI22" s="53"/>
      <c r="AJ22" s="53"/>
      <c r="AK22" s="53"/>
      <c r="AL22" s="53"/>
      <c r="AM22" s="53"/>
      <c r="AN22" s="53"/>
      <c r="AO22" s="53"/>
      <c r="AP22" s="53"/>
      <c r="AQ22" s="53"/>
      <c r="AR22" s="53"/>
      <c r="AS22" s="53"/>
      <c r="AT22" s="53"/>
      <c r="AU22" s="53"/>
      <c r="AV22" s="53"/>
      <c r="AW22" s="53"/>
      <c r="AX22" s="53"/>
      <c r="AY22" s="53"/>
      <c r="AZ22" s="53"/>
      <c r="BA22" s="53"/>
      <c r="BB22" s="53"/>
      <c r="BC22" s="53"/>
      <c r="BD22" s="53"/>
      <c r="BE22" s="53"/>
      <c r="BF22" s="53"/>
      <c r="BG22" s="53"/>
      <c r="BH22" s="53"/>
      <c r="BI22" s="53"/>
      <c r="BJ22" s="53"/>
      <c r="BK22" s="53"/>
      <c r="BL22" s="53"/>
      <c r="BM22" s="53"/>
      <c r="BN22" s="53"/>
      <c r="BO22" s="53"/>
      <c r="BP22" s="53"/>
      <c r="BQ22" s="53"/>
      <c r="BR22" s="53"/>
    </row>
    <row r="23" spans="1:70" ht="25" customHeight="1" thickBot="1" x14ac:dyDescent="0.4">
      <c r="A23" s="121" t="s">
        <v>9</v>
      </c>
      <c r="B23" s="128"/>
      <c r="D23" s="134" t="s">
        <v>111</v>
      </c>
      <c r="E23" s="135">
        <v>1</v>
      </c>
      <c r="F23" s="136">
        <v>46185</v>
      </c>
      <c r="G23" s="74" t="s">
        <v>120</v>
      </c>
      <c r="H23" s="139"/>
      <c r="I23" s="164" t="s">
        <v>36</v>
      </c>
      <c r="J23" s="75">
        <v>0.9</v>
      </c>
      <c r="K23" s="76">
        <v>46182</v>
      </c>
      <c r="L23" s="76">
        <f>IF(F23="",WORKDAY(L22,5),F23)</f>
        <v>46185</v>
      </c>
      <c r="M23" s="77"/>
      <c r="N23" s="78">
        <f t="shared" si="3"/>
        <v>4</v>
      </c>
      <c r="O23" s="68"/>
      <c r="P23" s="6"/>
      <c r="Q23" s="6"/>
      <c r="R23" s="6"/>
      <c r="S23" s="6"/>
      <c r="T23" s="6"/>
      <c r="U23" s="6"/>
      <c r="V23" s="6"/>
      <c r="W23" s="6"/>
      <c r="X23" s="6"/>
      <c r="Y23" s="6"/>
      <c r="Z23" s="6"/>
      <c r="AA23" s="7"/>
      <c r="AB23" s="7"/>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row>
    <row r="24" spans="1:70" ht="25" customHeight="1" thickBot="1" x14ac:dyDescent="0.4">
      <c r="A24" s="121" t="s">
        <v>9</v>
      </c>
      <c r="B24" s="128"/>
      <c r="D24" s="134" t="str">
        <f>+$D$23</f>
        <v>Semanal</v>
      </c>
      <c r="E24" s="135">
        <v>1</v>
      </c>
      <c r="F24" s="136">
        <v>46185</v>
      </c>
      <c r="G24" s="74" t="s">
        <v>119</v>
      </c>
      <c r="H24" s="139"/>
      <c r="I24" s="164" t="s">
        <v>36</v>
      </c>
      <c r="J24" s="75">
        <v>0.9</v>
      </c>
      <c r="K24" s="76">
        <v>46177</v>
      </c>
      <c r="L24" s="76">
        <f>IF(F24="",WORKDAY(MAX(L23:L26),5),F24)</f>
        <v>46185</v>
      </c>
      <c r="M24" s="77"/>
      <c r="N24" s="78">
        <f t="shared" si="3"/>
        <v>9</v>
      </c>
      <c r="O24" s="68"/>
      <c r="P24" s="6"/>
      <c r="Q24" s="6"/>
      <c r="R24" s="6"/>
      <c r="S24" s="6"/>
      <c r="T24" s="6"/>
      <c r="U24" s="6"/>
      <c r="V24" s="6"/>
      <c r="W24" s="6"/>
      <c r="X24" s="6"/>
      <c r="Y24" s="6"/>
      <c r="Z24" s="6"/>
      <c r="AA24" s="7"/>
      <c r="AB24" s="7"/>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row>
    <row r="25" spans="1:70" ht="25" customHeight="1" thickBot="1" x14ac:dyDescent="0.4">
      <c r="A25" s="121" t="s">
        <v>9</v>
      </c>
      <c r="B25" s="128"/>
      <c r="D25" s="134" t="str">
        <f>+$D$23</f>
        <v>Semanal</v>
      </c>
      <c r="E25" s="135">
        <v>1</v>
      </c>
      <c r="F25" s="136">
        <v>46185</v>
      </c>
      <c r="G25" s="74" t="s">
        <v>121</v>
      </c>
      <c r="H25" s="139"/>
      <c r="I25" s="164" t="s">
        <v>36</v>
      </c>
      <c r="J25" s="75">
        <v>0.9</v>
      </c>
      <c r="K25" s="76">
        <v>46177</v>
      </c>
      <c r="L25" s="76">
        <f>IF(F25="",WORKDAY(MAX($L$23:$L$26),5),F25)</f>
        <v>46185</v>
      </c>
      <c r="M25" s="77"/>
      <c r="N25" s="78">
        <f t="shared" si="3"/>
        <v>9</v>
      </c>
      <c r="O25" s="68"/>
      <c r="P25" s="6"/>
      <c r="Q25" s="6"/>
      <c r="R25" s="6"/>
      <c r="S25" s="6"/>
      <c r="T25" s="6"/>
      <c r="U25" s="6"/>
      <c r="V25" s="6"/>
      <c r="W25" s="6"/>
      <c r="X25" s="6"/>
      <c r="Y25" s="6"/>
      <c r="Z25" s="6"/>
      <c r="AA25" s="7"/>
      <c r="AB25" s="7"/>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row>
    <row r="26" spans="1:70" ht="25" customHeight="1" thickBot="1" x14ac:dyDescent="0.4">
      <c r="A26" s="121" t="s">
        <v>9</v>
      </c>
      <c r="B26" s="128"/>
      <c r="D26" s="134"/>
      <c r="E26" s="135"/>
      <c r="F26" s="136"/>
      <c r="G26" s="74" t="s">
        <v>142</v>
      </c>
      <c r="H26" s="139"/>
      <c r="I26" s="164" t="s">
        <v>36</v>
      </c>
      <c r="J26" s="75">
        <v>0.8</v>
      </c>
      <c r="K26" s="76">
        <v>46185</v>
      </c>
      <c r="L26" s="76">
        <f>IF(F26="",WORKDAY(MAX($L$23:$L$25),5),F26)</f>
        <v>46192</v>
      </c>
      <c r="M26" s="77"/>
      <c r="N26" s="78">
        <f t="shared" si="3"/>
        <v>8</v>
      </c>
      <c r="O26" s="68"/>
      <c r="P26" s="6"/>
      <c r="Q26" s="6"/>
      <c r="R26" s="6"/>
      <c r="S26" s="6"/>
      <c r="T26" s="6"/>
      <c r="U26" s="6"/>
      <c r="V26" s="6"/>
      <c r="W26" s="6"/>
      <c r="X26" s="6"/>
      <c r="Y26" s="6"/>
      <c r="Z26" s="6"/>
      <c r="AA26" s="7"/>
      <c r="AB26" s="7"/>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row>
    <row r="27" spans="1:70" ht="25" customHeight="1" thickBot="1" x14ac:dyDescent="0.4">
      <c r="A27" s="14" t="s">
        <v>11</v>
      </c>
      <c r="G27" s="59" t="s">
        <v>137</v>
      </c>
      <c r="H27" s="139"/>
      <c r="I27" s="162"/>
      <c r="J27" s="60">
        <f>+AVERAGE(J39:J49)</f>
        <v>0.37575757575757573</v>
      </c>
      <c r="K27" s="63" t="str">
        <f>+$K$7</f>
        <v>Días Transcurridos=</v>
      </c>
      <c r="L27" s="56">
        <f ca="1">TODAY()-MIN(K28:K35)-139</f>
        <v>50</v>
      </c>
      <c r="M27" s="62"/>
      <c r="N27" s="69"/>
      <c r="O27" s="53"/>
      <c r="P27" s="53"/>
      <c r="Q27" s="53"/>
      <c r="R27" s="53"/>
      <c r="S27" s="53"/>
      <c r="T27" s="53"/>
      <c r="U27" s="53"/>
      <c r="V27" s="53"/>
      <c r="W27" s="53"/>
      <c r="X27" s="53"/>
      <c r="Y27" s="53"/>
      <c r="Z27" s="53"/>
      <c r="AA27" s="53"/>
      <c r="AB27" s="53"/>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row>
    <row r="28" spans="1:70" ht="25" customHeight="1" thickBot="1" x14ac:dyDescent="0.4">
      <c r="A28" s="121" t="s">
        <v>9</v>
      </c>
      <c r="B28" s="128"/>
      <c r="D28" s="134" t="s">
        <v>111</v>
      </c>
      <c r="E28" s="135">
        <v>1</v>
      </c>
      <c r="F28" s="136">
        <v>46185</v>
      </c>
      <c r="G28" s="74" t="s">
        <v>114</v>
      </c>
      <c r="H28" s="139"/>
      <c r="I28" s="164" t="s">
        <v>36</v>
      </c>
      <c r="J28" s="75">
        <v>0.9</v>
      </c>
      <c r="K28" s="76">
        <v>46181</v>
      </c>
      <c r="L28" s="76">
        <f t="shared" ref="L28:L33" si="6">IF(F28="",WORKDAY(L27,5),F28)</f>
        <v>46185</v>
      </c>
      <c r="M28" s="77"/>
      <c r="N28" s="78">
        <f t="shared" si="3"/>
        <v>5</v>
      </c>
      <c r="O28" s="68"/>
      <c r="P28" s="6"/>
      <c r="Q28" s="6"/>
      <c r="R28" s="6"/>
      <c r="S28" s="6"/>
      <c r="T28" s="6"/>
      <c r="U28" s="6"/>
      <c r="V28" s="6"/>
      <c r="W28" s="6"/>
      <c r="X28" s="6"/>
      <c r="Y28" s="6"/>
      <c r="Z28" s="6"/>
      <c r="AA28" s="7"/>
      <c r="AB28" s="7"/>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row>
    <row r="29" spans="1:70" ht="25" customHeight="1" thickBot="1" x14ac:dyDescent="0.4">
      <c r="A29" s="121" t="s">
        <v>9</v>
      </c>
      <c r="B29" s="128"/>
      <c r="D29" s="134" t="str">
        <f>+$D$28</f>
        <v>Semanal</v>
      </c>
      <c r="E29" s="135">
        <v>1</v>
      </c>
      <c r="F29" s="136">
        <v>46185</v>
      </c>
      <c r="G29" s="74" t="s">
        <v>141</v>
      </c>
      <c r="H29" s="139"/>
      <c r="I29" s="164" t="s">
        <v>36</v>
      </c>
      <c r="J29" s="75">
        <v>0.9</v>
      </c>
      <c r="K29" s="76">
        <v>45992</v>
      </c>
      <c r="L29" s="76">
        <f t="shared" si="6"/>
        <v>46185</v>
      </c>
      <c r="M29" s="77"/>
      <c r="N29" s="78">
        <f t="shared" si="3"/>
        <v>194</v>
      </c>
      <c r="O29" s="68"/>
      <c r="P29" s="6"/>
      <c r="Q29" s="6"/>
      <c r="R29" s="6"/>
      <c r="S29" s="6"/>
      <c r="T29" s="6"/>
      <c r="U29" s="6"/>
      <c r="V29" s="6"/>
      <c r="W29" s="6"/>
      <c r="X29" s="6"/>
      <c r="Y29" s="6"/>
      <c r="Z29" s="6"/>
      <c r="AA29" s="7"/>
      <c r="AB29" s="7"/>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row>
    <row r="30" spans="1:70" ht="25" customHeight="1" thickBot="1" x14ac:dyDescent="0.4">
      <c r="A30" s="121" t="s">
        <v>9</v>
      </c>
      <c r="B30" s="128"/>
      <c r="D30" s="134" t="str">
        <f t="shared" ref="D30:D35" si="7">+$D$28</f>
        <v>Semanal</v>
      </c>
      <c r="E30" s="135">
        <v>1</v>
      </c>
      <c r="F30" s="136">
        <v>46185</v>
      </c>
      <c r="G30" s="74" t="s">
        <v>140</v>
      </c>
      <c r="H30" s="139"/>
      <c r="I30" s="164" t="s">
        <v>36</v>
      </c>
      <c r="J30" s="75">
        <v>0.9</v>
      </c>
      <c r="K30" s="76">
        <v>45992</v>
      </c>
      <c r="L30" s="76">
        <f t="shared" si="6"/>
        <v>46185</v>
      </c>
      <c r="M30" s="77"/>
      <c r="N30" s="78">
        <f t="shared" si="3"/>
        <v>194</v>
      </c>
      <c r="O30" s="68"/>
      <c r="P30" s="6"/>
      <c r="Q30" s="6"/>
      <c r="R30" s="6"/>
      <c r="S30" s="6"/>
      <c r="T30" s="6"/>
      <c r="U30" s="6"/>
      <c r="V30" s="6"/>
      <c r="W30" s="6"/>
      <c r="X30" s="6"/>
      <c r="Y30" s="6"/>
      <c r="Z30" s="6"/>
      <c r="AA30" s="7"/>
      <c r="AB30" s="7"/>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row>
    <row r="31" spans="1:70" ht="25" customHeight="1" thickBot="1" x14ac:dyDescent="0.4">
      <c r="A31" s="121" t="s">
        <v>9</v>
      </c>
      <c r="B31" s="128"/>
      <c r="D31" s="134" t="str">
        <f t="shared" si="7"/>
        <v>Semanal</v>
      </c>
      <c r="E31" s="135">
        <v>1</v>
      </c>
      <c r="F31" s="136">
        <v>46185</v>
      </c>
      <c r="G31" s="74" t="s">
        <v>125</v>
      </c>
      <c r="H31" s="139"/>
      <c r="I31" s="164" t="s">
        <v>36</v>
      </c>
      <c r="J31" s="75">
        <v>0.9</v>
      </c>
      <c r="K31" s="76">
        <v>46023</v>
      </c>
      <c r="L31" s="76">
        <f>IF(F31="",WORKDAY(L30,5),F31)</f>
        <v>46185</v>
      </c>
      <c r="M31" s="77"/>
      <c r="N31" s="78">
        <f t="shared" si="3"/>
        <v>163</v>
      </c>
      <c r="O31" s="68"/>
      <c r="P31" s="6"/>
      <c r="Q31" s="6"/>
      <c r="R31" s="6"/>
      <c r="S31" s="6"/>
      <c r="T31" s="6"/>
      <c r="U31" s="6"/>
      <c r="V31" s="6"/>
      <c r="W31" s="6"/>
      <c r="X31" s="6"/>
      <c r="Y31" s="6"/>
      <c r="Z31" s="6"/>
      <c r="AA31" s="7"/>
      <c r="AB31" s="7"/>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row>
    <row r="32" spans="1:70" ht="25" customHeight="1" thickBot="1" x14ac:dyDescent="0.4">
      <c r="D32" s="134" t="str">
        <f t="shared" si="7"/>
        <v>Semanal</v>
      </c>
      <c r="E32" s="135"/>
      <c r="F32" s="136"/>
      <c r="G32" s="70" t="s">
        <v>144</v>
      </c>
      <c r="H32" s="139"/>
      <c r="I32" s="163" t="s">
        <v>36</v>
      </c>
      <c r="J32" s="71">
        <v>0.6</v>
      </c>
      <c r="K32" s="72">
        <v>46188</v>
      </c>
      <c r="L32" s="76">
        <f>IF(F32="",WORKDAY(L30,5),F32)</f>
        <v>46192</v>
      </c>
      <c r="M32" s="73"/>
      <c r="N32" s="48">
        <f t="shared" si="3"/>
        <v>5</v>
      </c>
      <c r="O32" s="68"/>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row>
    <row r="33" spans="1:70" ht="25" customHeight="1" thickBot="1" x14ac:dyDescent="0.4">
      <c r="D33" s="134" t="str">
        <f t="shared" si="7"/>
        <v>Semanal</v>
      </c>
      <c r="E33" s="135"/>
      <c r="F33" s="136"/>
      <c r="G33" s="74" t="s">
        <v>143</v>
      </c>
      <c r="H33" s="139"/>
      <c r="I33" s="164" t="s">
        <v>36</v>
      </c>
      <c r="J33" s="75">
        <v>0.6</v>
      </c>
      <c r="K33" s="72">
        <v>46192</v>
      </c>
      <c r="L33" s="76">
        <f t="shared" si="6"/>
        <v>46199</v>
      </c>
      <c r="M33" s="77"/>
      <c r="N33" s="78">
        <f t="shared" si="3"/>
        <v>8</v>
      </c>
      <c r="O33" s="68"/>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row>
    <row r="34" spans="1:70" ht="25" customHeight="1" thickBot="1" x14ac:dyDescent="0.4">
      <c r="D34" s="134" t="str">
        <f t="shared" si="7"/>
        <v>Semanal</v>
      </c>
      <c r="E34" s="135"/>
      <c r="F34" s="136"/>
      <c r="G34" s="70" t="s">
        <v>127</v>
      </c>
      <c r="H34" s="139"/>
      <c r="I34" s="163" t="s">
        <v>36</v>
      </c>
      <c r="J34" s="71">
        <v>0.5</v>
      </c>
      <c r="K34" s="72">
        <v>46188</v>
      </c>
      <c r="L34" s="76">
        <f>IF(F34="",WORKDAY(L32,5),F34)</f>
        <v>46199</v>
      </c>
      <c r="M34" s="73"/>
      <c r="N34" s="48">
        <f t="shared" si="3"/>
        <v>12</v>
      </c>
      <c r="O34" s="68"/>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row>
    <row r="35" spans="1:70" ht="25" customHeight="1" thickBot="1" x14ac:dyDescent="0.4">
      <c r="D35" s="134" t="str">
        <f t="shared" si="7"/>
        <v>Semanal</v>
      </c>
      <c r="E35" s="135"/>
      <c r="F35" s="136"/>
      <c r="G35" s="70" t="s">
        <v>126</v>
      </c>
      <c r="H35" s="139"/>
      <c r="I35" s="163" t="s">
        <v>36</v>
      </c>
      <c r="J35" s="71">
        <v>0.5</v>
      </c>
      <c r="K35" s="72">
        <v>46192</v>
      </c>
      <c r="L35" s="76">
        <f>IF(F35="",WORKDAY(L33,5),F35)</f>
        <v>46206</v>
      </c>
      <c r="M35" s="73"/>
      <c r="N35" s="48">
        <f t="shared" si="3"/>
        <v>15</v>
      </c>
      <c r="O35" s="68"/>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row>
    <row r="36" spans="1:70" ht="25" customHeight="1" thickBot="1" x14ac:dyDescent="0.4">
      <c r="A36" s="14" t="s">
        <v>11</v>
      </c>
      <c r="G36" s="59" t="s">
        <v>115</v>
      </c>
      <c r="H36" s="139"/>
      <c r="I36" s="162"/>
      <c r="J36" s="60">
        <f>+AVERAGE(J46:J56)</f>
        <v>0.16666666666666669</v>
      </c>
      <c r="K36" s="63" t="str">
        <f>+$K$7</f>
        <v>Días Transcurridos=</v>
      </c>
      <c r="L36" s="61">
        <f ca="1">+TODAY()-MIN($K$37:$K$47)-139</f>
        <v>50</v>
      </c>
      <c r="M36" s="62"/>
      <c r="N36" s="69"/>
      <c r="O36" s="53"/>
      <c r="P36" s="53"/>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3"/>
      <c r="BP36" s="53"/>
      <c r="BQ36" s="53"/>
      <c r="BR36" s="53"/>
    </row>
    <row r="37" spans="1:70" ht="25" customHeight="1" thickBot="1" x14ac:dyDescent="0.4">
      <c r="C37" s="131" t="s">
        <v>117</v>
      </c>
      <c r="D37" s="134" t="s">
        <v>111</v>
      </c>
      <c r="E37" s="135">
        <v>1</v>
      </c>
      <c r="F37" s="136">
        <v>46185</v>
      </c>
      <c r="G37" s="168" t="s">
        <v>116</v>
      </c>
      <c r="H37" s="140"/>
      <c r="I37" s="163" t="s">
        <v>36</v>
      </c>
      <c r="J37" s="71">
        <v>0.2</v>
      </c>
      <c r="K37" s="72">
        <v>45992</v>
      </c>
      <c r="L37" s="76">
        <f>IF(F37="",WORKDAY(L36,5),F37)</f>
        <v>46185</v>
      </c>
      <c r="M37" s="73"/>
      <c r="N37" s="48">
        <f t="shared" si="3"/>
        <v>194</v>
      </c>
      <c r="O37" s="64"/>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row>
    <row r="38" spans="1:70" ht="25" customHeight="1" thickBot="1" x14ac:dyDescent="0.4">
      <c r="A38" s="121" t="s">
        <v>9</v>
      </c>
      <c r="B38" s="128"/>
      <c r="D38" s="134" t="str">
        <f>+$D$37</f>
        <v>Semanal</v>
      </c>
      <c r="E38" s="135">
        <v>1</v>
      </c>
      <c r="F38" s="136">
        <v>46185</v>
      </c>
      <c r="G38" s="168" t="s">
        <v>112</v>
      </c>
      <c r="H38" s="141"/>
      <c r="I38" s="164" t="s">
        <v>36</v>
      </c>
      <c r="J38" s="75">
        <v>0.9</v>
      </c>
      <c r="K38" s="76">
        <v>46023</v>
      </c>
      <c r="L38" s="76">
        <f>IF(F38="",WORKDAY(L37,5),F38)</f>
        <v>46185</v>
      </c>
      <c r="M38" s="77"/>
      <c r="N38" s="78">
        <f t="shared" si="3"/>
        <v>163</v>
      </c>
      <c r="O38" s="68"/>
      <c r="P38" s="6"/>
      <c r="Q38" s="6"/>
      <c r="R38" s="6"/>
      <c r="S38" s="6"/>
      <c r="T38" s="6"/>
      <c r="U38" s="6"/>
      <c r="V38" s="6"/>
      <c r="W38" s="6"/>
      <c r="X38" s="6"/>
      <c r="Y38" s="6"/>
      <c r="Z38" s="6"/>
      <c r="AA38" s="7"/>
      <c r="AB38" s="7"/>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row>
    <row r="39" spans="1:70" ht="25" customHeight="1" thickBot="1" x14ac:dyDescent="0.4">
      <c r="D39" s="134" t="str">
        <f t="shared" ref="D39:D47" si="8">+$D$37</f>
        <v>Semanal</v>
      </c>
      <c r="E39" s="135">
        <v>1</v>
      </c>
      <c r="F39" s="136">
        <v>46185</v>
      </c>
      <c r="G39" s="168" t="s">
        <v>113</v>
      </c>
      <c r="H39" s="140"/>
      <c r="I39" s="163" t="s">
        <v>36</v>
      </c>
      <c r="J39" s="71">
        <v>0.95</v>
      </c>
      <c r="K39" s="72">
        <v>45992</v>
      </c>
      <c r="L39" s="76">
        <f>IF(F39="",WORKDAY(L38,5),F39)</f>
        <v>46185</v>
      </c>
      <c r="M39" s="73"/>
      <c r="N39" s="48">
        <f t="shared" si="3"/>
        <v>194</v>
      </c>
      <c r="O39" s="68"/>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row>
    <row r="40" spans="1:70" ht="25" customHeight="1" thickBot="1" x14ac:dyDescent="0.4">
      <c r="D40" s="134" t="str">
        <f t="shared" si="8"/>
        <v>Semanal</v>
      </c>
      <c r="E40" s="135">
        <v>1</v>
      </c>
      <c r="F40" s="136">
        <v>46185</v>
      </c>
      <c r="G40" s="74" t="s">
        <v>45</v>
      </c>
      <c r="H40" s="141"/>
      <c r="I40" s="164" t="s">
        <v>36</v>
      </c>
      <c r="J40" s="75">
        <v>0.7</v>
      </c>
      <c r="K40" s="76">
        <v>46357</v>
      </c>
      <c r="L40" s="76">
        <f t="shared" ref="L40:L47" si="9">IF(F40="",WORKDAY(L39,5),F40)</f>
        <v>46185</v>
      </c>
      <c r="M40" s="77"/>
      <c r="N40" s="78">
        <f t="shared" si="3"/>
        <v>-171</v>
      </c>
      <c r="O40" s="68"/>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row>
    <row r="41" spans="1:70" ht="25" customHeight="1" thickBot="1" x14ac:dyDescent="0.4">
      <c r="D41" s="134" t="str">
        <f t="shared" si="8"/>
        <v>Semanal</v>
      </c>
      <c r="E41" s="135">
        <v>1</v>
      </c>
      <c r="F41" s="136">
        <v>46185</v>
      </c>
      <c r="G41" s="70" t="s">
        <v>46</v>
      </c>
      <c r="H41" s="140"/>
      <c r="I41" s="163" t="s">
        <v>36</v>
      </c>
      <c r="J41" s="71">
        <v>0.5</v>
      </c>
      <c r="K41" s="72">
        <v>46188</v>
      </c>
      <c r="L41" s="76">
        <f t="shared" si="9"/>
        <v>46185</v>
      </c>
      <c r="M41" s="73"/>
      <c r="N41" s="48">
        <f t="shared" si="3"/>
        <v>-2</v>
      </c>
      <c r="O41" s="68"/>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row>
    <row r="42" spans="1:70" ht="25" customHeight="1" thickBot="1" x14ac:dyDescent="0.4">
      <c r="D42" s="134" t="str">
        <f t="shared" si="8"/>
        <v>Semanal</v>
      </c>
      <c r="E42" s="135">
        <v>1</v>
      </c>
      <c r="F42" s="136">
        <v>46185</v>
      </c>
      <c r="G42" s="74" t="s">
        <v>73</v>
      </c>
      <c r="H42" s="141"/>
      <c r="I42" s="164" t="s">
        <v>36</v>
      </c>
      <c r="J42" s="75">
        <v>0.4</v>
      </c>
      <c r="K42" s="76">
        <v>46188</v>
      </c>
      <c r="L42" s="76">
        <f t="shared" si="9"/>
        <v>46185</v>
      </c>
      <c r="M42" s="77"/>
      <c r="N42" s="78">
        <f t="shared" si="3"/>
        <v>-2</v>
      </c>
      <c r="O42" s="68"/>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row>
    <row r="43" spans="1:70" ht="25" customHeight="1" thickBot="1" x14ac:dyDescent="0.4">
      <c r="D43" s="134" t="str">
        <f t="shared" si="8"/>
        <v>Semanal</v>
      </c>
      <c r="E43" s="135"/>
      <c r="F43" s="136"/>
      <c r="G43" s="74" t="s">
        <v>72</v>
      </c>
      <c r="H43" s="141"/>
      <c r="I43" s="164" t="s">
        <v>36</v>
      </c>
      <c r="J43" s="75">
        <v>0.1</v>
      </c>
      <c r="K43" s="76">
        <v>46188</v>
      </c>
      <c r="L43" s="76">
        <f t="shared" si="9"/>
        <v>46192</v>
      </c>
      <c r="M43" s="77"/>
      <c r="N43" s="78"/>
      <c r="O43" s="68"/>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row>
    <row r="44" spans="1:70" ht="25" customHeight="1" thickBot="1" x14ac:dyDescent="0.4">
      <c r="D44" s="134" t="str">
        <f t="shared" si="8"/>
        <v>Semanal</v>
      </c>
      <c r="E44" s="135"/>
      <c r="F44" s="136"/>
      <c r="G44" s="70" t="s">
        <v>53</v>
      </c>
      <c r="H44" s="140"/>
      <c r="I44" s="163" t="s">
        <v>36</v>
      </c>
      <c r="J44" s="71">
        <v>0</v>
      </c>
      <c r="K44" s="72">
        <v>46195</v>
      </c>
      <c r="L44" s="76">
        <f t="shared" si="9"/>
        <v>46199</v>
      </c>
      <c r="M44" s="73"/>
      <c r="N44" s="48"/>
      <c r="O44" s="68"/>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row>
    <row r="45" spans="1:70" ht="25" customHeight="1" thickBot="1" x14ac:dyDescent="0.4">
      <c r="D45" s="134" t="str">
        <f t="shared" si="8"/>
        <v>Semanal</v>
      </c>
      <c r="E45" s="135"/>
      <c r="F45" s="136"/>
      <c r="G45" s="74" t="s">
        <v>54</v>
      </c>
      <c r="H45" s="141"/>
      <c r="I45" s="164" t="s">
        <v>36</v>
      </c>
      <c r="J45" s="75">
        <v>0</v>
      </c>
      <c r="K45" s="76">
        <v>46202</v>
      </c>
      <c r="L45" s="76">
        <f t="shared" si="9"/>
        <v>46206</v>
      </c>
      <c r="M45" s="77"/>
      <c r="N45" s="78"/>
      <c r="O45" s="68"/>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row>
    <row r="46" spans="1:70" ht="25" customHeight="1" thickBot="1" x14ac:dyDescent="0.4">
      <c r="D46" s="134" t="str">
        <f t="shared" si="8"/>
        <v>Semanal</v>
      </c>
      <c r="E46" s="135">
        <v>1</v>
      </c>
      <c r="F46" s="136">
        <v>46185</v>
      </c>
      <c r="G46" s="70" t="s">
        <v>55</v>
      </c>
      <c r="H46" s="140"/>
      <c r="I46" s="163" t="s">
        <v>36</v>
      </c>
      <c r="J46" s="71">
        <v>0.5</v>
      </c>
      <c r="K46" s="72">
        <f t="shared" ref="K41:K47" si="10">+L45+1</f>
        <v>46207</v>
      </c>
      <c r="L46" s="76">
        <f t="shared" si="9"/>
        <v>46185</v>
      </c>
      <c r="M46" s="73"/>
      <c r="N46" s="48"/>
      <c r="O46" s="68"/>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row>
    <row r="47" spans="1:70" ht="25" customHeight="1" x14ac:dyDescent="0.35">
      <c r="D47" s="134" t="str">
        <f t="shared" si="8"/>
        <v>Semanal</v>
      </c>
      <c r="E47" s="135">
        <v>1</v>
      </c>
      <c r="F47" s="136">
        <v>46185</v>
      </c>
      <c r="G47" s="74" t="s">
        <v>69</v>
      </c>
      <c r="H47" s="142"/>
      <c r="I47" s="164" t="s">
        <v>36</v>
      </c>
      <c r="J47" s="75">
        <v>0.5</v>
      </c>
      <c r="K47" s="76">
        <f t="shared" si="10"/>
        <v>46186</v>
      </c>
      <c r="L47" s="76">
        <f t="shared" si="9"/>
        <v>46185</v>
      </c>
      <c r="M47" s="77"/>
      <c r="N47" s="78">
        <f t="shared" si="3"/>
        <v>0</v>
      </c>
      <c r="O47" s="83"/>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6"/>
      <c r="BR47" s="26"/>
    </row>
    <row r="48" spans="1:70" ht="25" customHeight="1" thickBot="1" x14ac:dyDescent="0.4">
      <c r="A48" s="14" t="s">
        <v>11</v>
      </c>
      <c r="G48" s="59" t="s">
        <v>138</v>
      </c>
      <c r="H48" s="138">
        <v>0.25</v>
      </c>
      <c r="I48" s="162"/>
      <c r="J48" s="60">
        <f>+AVERAGE(J49:J51)</f>
        <v>0.13333333333333333</v>
      </c>
      <c r="K48" s="63" t="str">
        <f>+$K$7</f>
        <v>Días Transcurridos=</v>
      </c>
      <c r="L48" s="61">
        <f ca="1">+TODAY()-MIN($K$49:$K$51)-139</f>
        <v>84</v>
      </c>
      <c r="M48" s="62"/>
      <c r="N48" s="69"/>
      <c r="O48" s="53"/>
      <c r="P48" s="53"/>
      <c r="Q48" s="53"/>
      <c r="R48" s="53"/>
      <c r="S48" s="53"/>
      <c r="T48" s="53"/>
      <c r="U48" s="53"/>
      <c r="V48" s="53"/>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c r="BP48" s="53"/>
      <c r="BQ48" s="53"/>
      <c r="BR48" s="53"/>
    </row>
    <row r="49" spans="1:70" ht="25" customHeight="1" thickBot="1" x14ac:dyDescent="0.4">
      <c r="D49" s="134" t="s">
        <v>107</v>
      </c>
      <c r="E49" s="135"/>
      <c r="F49" s="136"/>
      <c r="G49" s="74" t="s">
        <v>92</v>
      </c>
      <c r="H49" s="143"/>
      <c r="I49" s="164" t="s">
        <v>36</v>
      </c>
      <c r="J49" s="75">
        <v>0.35</v>
      </c>
      <c r="K49" s="76">
        <v>45958</v>
      </c>
      <c r="L49" s="76">
        <v>46213</v>
      </c>
      <c r="M49" s="77"/>
      <c r="N49" s="78">
        <f t="shared" si="3"/>
        <v>256</v>
      </c>
      <c r="O49" s="64"/>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row>
    <row r="50" spans="1:70" ht="25" customHeight="1" thickBot="1" x14ac:dyDescent="0.4">
      <c r="D50" s="134" t="str">
        <f>+$D$49</f>
        <v>Mensual</v>
      </c>
      <c r="E50" s="135"/>
      <c r="F50" s="136"/>
      <c r="G50" s="70" t="s">
        <v>93</v>
      </c>
      <c r="H50" s="144"/>
      <c r="I50" s="163" t="s">
        <v>36</v>
      </c>
      <c r="J50" s="71">
        <v>0.05</v>
      </c>
      <c r="K50" s="72">
        <v>46209</v>
      </c>
      <c r="L50" s="76">
        <f>IF(F50="",WORKDAY(L49,5),F50)</f>
        <v>46220</v>
      </c>
      <c r="M50" s="73"/>
      <c r="N50" s="48">
        <f t="shared" si="3"/>
        <v>12</v>
      </c>
      <c r="O50" s="68"/>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row>
    <row r="51" spans="1:70" ht="25" customHeight="1" x14ac:dyDescent="0.35">
      <c r="D51" s="134" t="str">
        <f>+$D$49</f>
        <v>Mensual</v>
      </c>
      <c r="E51" s="135"/>
      <c r="F51" s="136"/>
      <c r="G51" s="74" t="s">
        <v>94</v>
      </c>
      <c r="H51" s="145"/>
      <c r="I51" s="164" t="s">
        <v>95</v>
      </c>
      <c r="J51" s="75">
        <v>0</v>
      </c>
      <c r="K51" s="76">
        <v>46216</v>
      </c>
      <c r="L51" s="76">
        <f>IF(F51="",WORKDAY(L50,5),F51)</f>
        <v>46227</v>
      </c>
      <c r="M51" s="77"/>
      <c r="N51" s="78">
        <f t="shared" si="3"/>
        <v>12</v>
      </c>
      <c r="O51" s="83"/>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6"/>
      <c r="BR51" s="26"/>
    </row>
    <row r="52" spans="1:70" ht="25" customHeight="1" thickBot="1" x14ac:dyDescent="0.4">
      <c r="A52" s="14" t="s">
        <v>11</v>
      </c>
      <c r="G52" s="59" t="s">
        <v>139</v>
      </c>
      <c r="H52" s="138">
        <v>0.1</v>
      </c>
      <c r="I52" s="162"/>
      <c r="J52" s="60">
        <f>+AVERAGE(J53:J55)</f>
        <v>3.3333333333333333E-2</v>
      </c>
      <c r="K52" s="63" t="str">
        <f>+$K$7</f>
        <v>Días Transcurridos=</v>
      </c>
      <c r="L52" s="61">
        <f ca="1">+TODAY()-MIN($K$53:$K$55)-139</f>
        <v>84</v>
      </c>
      <c r="M52" s="62"/>
      <c r="N52" s="69"/>
      <c r="O52" s="53"/>
      <c r="P52" s="53"/>
      <c r="Q52" s="53"/>
      <c r="R52" s="53"/>
      <c r="S52" s="53"/>
      <c r="T52" s="53"/>
      <c r="U52" s="53"/>
      <c r="V52" s="53"/>
      <c r="W52" s="53"/>
      <c r="X52" s="53"/>
      <c r="Y52" s="53"/>
      <c r="Z52" s="53"/>
      <c r="AA52" s="53"/>
      <c r="AB52" s="53"/>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c r="BK52" s="53"/>
      <c r="BL52" s="53"/>
      <c r="BM52" s="53"/>
      <c r="BN52" s="53"/>
      <c r="BO52" s="53"/>
      <c r="BP52" s="53"/>
      <c r="BQ52" s="53"/>
      <c r="BR52" s="53"/>
    </row>
    <row r="53" spans="1:70" ht="44" thickBot="1" x14ac:dyDescent="0.4">
      <c r="D53" s="134" t="s">
        <v>107</v>
      </c>
      <c r="E53" s="135"/>
      <c r="F53" s="136"/>
      <c r="G53" s="74" t="s">
        <v>59</v>
      </c>
      <c r="H53" s="141"/>
      <c r="I53" s="164" t="s">
        <v>96</v>
      </c>
      <c r="J53" s="75">
        <v>0.1</v>
      </c>
      <c r="K53" s="76">
        <v>45958</v>
      </c>
      <c r="L53" s="76">
        <v>46213</v>
      </c>
      <c r="M53" s="77"/>
      <c r="N53" s="78">
        <f t="shared" si="3"/>
        <v>256</v>
      </c>
      <c r="O53" s="64"/>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3"/>
      <c r="BR53" s="23"/>
    </row>
    <row r="54" spans="1:70" ht="44" thickBot="1" x14ac:dyDescent="0.4">
      <c r="D54" s="134" t="str">
        <f>+$D$53</f>
        <v>Mensual</v>
      </c>
      <c r="E54" s="135"/>
      <c r="F54" s="136"/>
      <c r="G54" s="70" t="s">
        <v>97</v>
      </c>
      <c r="H54" s="140"/>
      <c r="I54" s="163" t="s">
        <v>96</v>
      </c>
      <c r="J54" s="71">
        <v>0</v>
      </c>
      <c r="K54" s="72">
        <v>46216</v>
      </c>
      <c r="L54" s="76">
        <f>IF(F54="",WORKDAY(L53,5),F54)</f>
        <v>46220</v>
      </c>
      <c r="M54" s="73"/>
      <c r="N54" s="48">
        <f t="shared" si="3"/>
        <v>5</v>
      </c>
      <c r="O54" s="68"/>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row>
    <row r="55" spans="1:70" ht="44" thickBot="1" x14ac:dyDescent="0.4">
      <c r="D55" s="134" t="str">
        <f>+$D$53</f>
        <v>Mensual</v>
      </c>
      <c r="E55" s="135"/>
      <c r="F55" s="136"/>
      <c r="G55" s="74" t="s">
        <v>118</v>
      </c>
      <c r="H55" s="142"/>
      <c r="I55" s="164" t="s">
        <v>96</v>
      </c>
      <c r="J55" s="75">
        <v>0</v>
      </c>
      <c r="K55" s="76">
        <v>46223</v>
      </c>
      <c r="L55" s="76">
        <f>IF(F55="",WORKDAY(L54,5),F55)</f>
        <v>46227</v>
      </c>
      <c r="M55" s="77"/>
      <c r="N55" s="78">
        <f t="shared" si="3"/>
        <v>5</v>
      </c>
      <c r="O55" s="83"/>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6"/>
      <c r="BR55" s="26"/>
    </row>
    <row r="56" spans="1:70" ht="30" customHeight="1" x14ac:dyDescent="0.35">
      <c r="G56" s="124"/>
      <c r="H56" s="127">
        <f>+SUBTOTAL(9,H7:H55)</f>
        <v>0.99999999999999989</v>
      </c>
      <c r="I56" s="165"/>
      <c r="J56" s="125"/>
      <c r="K56" s="125"/>
      <c r="L56" s="125"/>
      <c r="M56" s="126"/>
      <c r="N56" s="125"/>
    </row>
    <row r="57" spans="1:70" ht="30" customHeight="1" x14ac:dyDescent="0.35">
      <c r="I57" s="166"/>
      <c r="L57" s="15"/>
    </row>
    <row r="58" spans="1:70" ht="30" customHeight="1" x14ac:dyDescent="0.35">
      <c r="I58" s="167"/>
    </row>
    <row r="79" spans="7:7" ht="30" customHeight="1" x14ac:dyDescent="0.35">
      <c r="G79" s="16" t="s">
        <v>73</v>
      </c>
    </row>
    <row r="80" spans="7:7" ht="30" customHeight="1" x14ac:dyDescent="0.35">
      <c r="G80" s="16" t="s">
        <v>57</v>
      </c>
    </row>
  </sheetData>
  <mergeCells count="20">
    <mergeCell ref="B19:B21"/>
    <mergeCell ref="C11:C12"/>
    <mergeCell ref="B11:B12"/>
    <mergeCell ref="H7:H8"/>
    <mergeCell ref="AC4:AI4"/>
    <mergeCell ref="I3:J3"/>
    <mergeCell ref="K3:L3"/>
    <mergeCell ref="I4:J4"/>
    <mergeCell ref="O4:U4"/>
    <mergeCell ref="V4:AB4"/>
    <mergeCell ref="AJ4:AP4"/>
    <mergeCell ref="AQ4:AW4"/>
    <mergeCell ref="AX4:BD4"/>
    <mergeCell ref="BE4:BK4"/>
    <mergeCell ref="BL4:BR4"/>
    <mergeCell ref="C19:C21"/>
    <mergeCell ref="H22:H47"/>
    <mergeCell ref="H48:H51"/>
    <mergeCell ref="H52:H55"/>
    <mergeCell ref="H9:H21"/>
  </mergeCells>
  <conditionalFormatting sqref="J7:J55">
    <cfRule type="dataBar" priority="10">
      <dataBar>
        <cfvo type="num" val="0"/>
        <cfvo type="num" val="1"/>
        <color theme="0" tint="-0.249977111117893"/>
      </dataBar>
      <extLst>
        <ext xmlns:x14="http://schemas.microsoft.com/office/spreadsheetml/2009/9/main" uri="{B025F937-C7B1-47D3-B67F-A62EFF666E3E}">
          <x14:id>{1ABDF043-8B59-48D1-8979-9A4A80F37E74}</x14:id>
        </ext>
      </extLst>
    </cfRule>
  </conditionalFormatting>
  <conditionalFormatting sqref="M8:BR8 O10:BR21 O37:BR47 O49:BR51 O53:BR55 O5:BR6 O23:BR26">
    <cfRule type="expression" dxfId="11" priority="13">
      <formula>AND(TODAY()&gt;=M$5,TODAY()&lt;N$5)</formula>
    </cfRule>
  </conditionalFormatting>
  <conditionalFormatting sqref="M8:BR8 O10:BR21 O37:BR47 O49:BR51 O53:BR55 O23:BR26">
    <cfRule type="expression" dxfId="10" priority="11">
      <formula>AND(task_start&lt;=M$5,ROUNDDOWN((task_end-task_start+1)*task_progress,0)+task_start-1&gt;=M$5)</formula>
    </cfRule>
    <cfRule type="expression" dxfId="9" priority="12" stopIfTrue="1">
      <formula>AND(task_end&gt;=M$5,task_start&lt;N$5)</formula>
    </cfRule>
  </conditionalFormatting>
  <conditionalFormatting sqref="O28:BR35">
    <cfRule type="expression" dxfId="8" priority="1">
      <formula>AND(task_start&lt;=O$5,ROUNDDOWN((task_end-task_start+1)*task_progress,0)+task_start-1&gt;=O$5)</formula>
    </cfRule>
    <cfRule type="expression" dxfId="7" priority="2" stopIfTrue="1">
      <formula>AND(task_end&gt;=O$5,task_start&lt;P$5)</formula>
    </cfRule>
    <cfRule type="expression" dxfId="6" priority="3">
      <formula>AND(TODAY()&gt;=O$5,TODAY()&lt;P$5)</formula>
    </cfRule>
  </conditionalFormatting>
  <conditionalFormatting sqref="F7:F200">
    <cfRule type="expression" dxfId="26" priority="20">
      <formula>AND(LEN($G7)&gt;0,NOT(ISTEXT($K7)),$J7&gt;=1)</formula>
    </cfRule>
    <cfRule type="expression" dxfId="23" priority="21">
      <formula>AND(LEN($G7)&gt;0,NOT(ISTEXT($K7)),ISNUMBER($F7),$F7&lt;TODAY(),$J7&lt;1)</formula>
    </cfRule>
    <cfRule type="expression" dxfId="24" priority="22">
      <formula>AND(LEN($G7)&gt;0,NOT(ISTEXT($K7)),ISNUMBER($F7),$F7-TODAY()&gt;=0,$F7-TODAY()&lt;=7,$J7&lt;1)</formula>
    </cfRule>
    <cfRule type="expression" dxfId="25" priority="23">
      <formula>AND(LEN($G7)&gt;0,NOT(ISTEXT($K7)),ISNUMBER($F7),$F7-TODAY()&gt;7,$J7&lt;1)</formula>
    </cfRule>
  </conditionalFormatting>
  <conditionalFormatting sqref="E7:E200">
    <cfRule type="colorScale" priority="24">
      <colorScale>
        <cfvo type="min"/>
        <cfvo type="max"/>
        <color rgb="FFDDEBF7"/>
        <color rgb="FF2E75B6"/>
      </colorScale>
    </cfRule>
  </conditionalFormatting>
  <dataValidations disablePrompts="1" count="1">
    <dataValidation type="whole" operator="greaterThanOrEqual" allowBlank="1" showInputMessage="1" promptTitle="Mostrar semana" prompt="Al cambiar este número, se desplazará la vista del diagrama de Gantt." sqref="K4" xr:uid="{A8CFA2FF-5A90-4731-BBE6-9585A5C78C31}">
      <formula1>1</formula1>
    </dataValidation>
  </dataValidations>
  <printOptions horizontalCentered="1"/>
  <pageMargins left="0.35" right="0.35" top="0.35" bottom="0.5" header="0.3" footer="0.3"/>
  <pageSetup paperSize="9" scale="50" fitToHeight="0" orientation="landscape" r:id="rId1"/>
  <headerFooter differentFirst="1" scaleWithDoc="0">
    <oddFooter>Page &amp;P of &amp;N</oddFooter>
  </headerFooter>
  <ignoredErrors>
    <ignoredError sqref="L32:L33" formula="1"/>
  </ignoredErrors>
  <legacyDrawing r:id="rId2"/>
  <extLst>
    <ext xmlns:x14="http://schemas.microsoft.com/office/spreadsheetml/2009/9/main" uri="{78C0D931-6437-407d-A8EE-F0AAD7539E65}">
      <x14:conditionalFormattings>
        <x14:conditionalFormatting xmlns:xm="http://schemas.microsoft.com/office/excel/2006/main">
          <x14:cfRule type="dataBar" id="{1ABDF043-8B59-48D1-8979-9A4A80F37E74}">
            <x14:dataBar minLength="0" maxLength="100" gradient="0">
              <x14:cfvo type="num">
                <xm:f>0</xm:f>
              </x14:cfvo>
              <x14:cfvo type="num">
                <xm:f>1</xm:f>
              </x14:cfvo>
              <x14:negativeFillColor rgb="FFFF0000"/>
              <x14:axisColor rgb="FF000000"/>
            </x14:dataBar>
          </x14:cfRule>
          <xm:sqref>J7:J55</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3F60-36D0-4B31-8741-D920D66702E2}">
  <sheetPr>
    <pageSetUpPr fitToPage="1"/>
  </sheetPr>
  <dimension ref="A1:BL70"/>
  <sheetViews>
    <sheetView showGridLines="0" showRuler="0" zoomScale="90" zoomScaleNormal="90" zoomScalePageLayoutView="70" workbookViewId="0">
      <pane ySplit="6" topLeftCell="A74" activePane="bottomLeft" state="frozen"/>
      <selection pane="bottomLeft" activeCell="C2" sqref="C2"/>
    </sheetView>
  </sheetViews>
  <sheetFormatPr baseColWidth="10" defaultColWidth="9.1796875" defaultRowHeight="30" customHeight="1" x14ac:dyDescent="0.35"/>
  <cols>
    <col min="1" max="1" width="2.7265625" style="14" customWidth="1"/>
    <col min="2" max="2" width="65.453125" bestFit="1" customWidth="1"/>
    <col min="3" max="3" width="26.1796875" bestFit="1" customWidth="1"/>
    <col min="4" max="4" width="10.7265625" customWidth="1"/>
    <col min="5" max="5" width="10.453125" style="2" customWidth="1"/>
    <col min="6" max="6" width="10.453125" customWidth="1"/>
    <col min="7" max="7" width="2.7265625" customWidth="1"/>
    <col min="8" max="8" width="9.453125" hidden="1" customWidth="1"/>
    <col min="9" max="23" width="3.26953125" customWidth="1"/>
    <col min="24" max="24" width="4.08984375" customWidth="1"/>
    <col min="25" max="25" width="2.54296875" bestFit="1" customWidth="1"/>
    <col min="26" max="64" width="3.26953125" customWidth="1"/>
  </cols>
  <sheetData>
    <row r="1" spans="1:64" ht="30" customHeight="1" x14ac:dyDescent="0.65">
      <c r="A1" s="121" t="s">
        <v>0</v>
      </c>
      <c r="B1" s="92" t="s">
        <v>34</v>
      </c>
      <c r="C1" s="40"/>
      <c r="D1" s="1"/>
      <c r="E1" s="41"/>
      <c r="F1" s="42"/>
      <c r="H1" s="1"/>
      <c r="I1" s="17"/>
    </row>
    <row r="2" spans="1:64" ht="30" customHeight="1" x14ac:dyDescent="0.4">
      <c r="A2" s="14" t="s">
        <v>1</v>
      </c>
      <c r="B2" s="93" t="s">
        <v>35</v>
      </c>
      <c r="I2" s="18"/>
    </row>
    <row r="3" spans="1:64" ht="30" customHeight="1" x14ac:dyDescent="0.35">
      <c r="A3" s="14" t="s">
        <v>2</v>
      </c>
      <c r="B3" s="94" t="s">
        <v>36</v>
      </c>
      <c r="C3" s="152" t="s">
        <v>13</v>
      </c>
      <c r="D3" s="152"/>
      <c r="E3" s="153">
        <v>45958</v>
      </c>
      <c r="F3" s="154"/>
    </row>
    <row r="4" spans="1:64" s="20" customFormat="1" ht="30" customHeight="1" x14ac:dyDescent="0.3">
      <c r="A4" s="122" t="s">
        <v>3</v>
      </c>
      <c r="C4" s="152" t="s">
        <v>14</v>
      </c>
      <c r="D4" s="152"/>
      <c r="E4" s="49">
        <v>25</v>
      </c>
      <c r="I4" s="148">
        <f>I5</f>
        <v>46125</v>
      </c>
      <c r="J4" s="148"/>
      <c r="K4" s="148"/>
      <c r="L4" s="148"/>
      <c r="M4" s="148"/>
      <c r="N4" s="148"/>
      <c r="O4" s="149"/>
      <c r="P4" s="147">
        <f>P5</f>
        <v>46132</v>
      </c>
      <c r="Q4" s="148"/>
      <c r="R4" s="148"/>
      <c r="S4" s="148"/>
      <c r="T4" s="148"/>
      <c r="U4" s="148"/>
      <c r="V4" s="149"/>
      <c r="W4" s="147">
        <f>W5</f>
        <v>46139</v>
      </c>
      <c r="X4" s="148"/>
      <c r="Y4" s="148"/>
      <c r="Z4" s="148"/>
      <c r="AA4" s="148"/>
      <c r="AB4" s="148"/>
      <c r="AC4" s="149"/>
      <c r="AD4" s="147">
        <f>AD5</f>
        <v>46146</v>
      </c>
      <c r="AE4" s="148"/>
      <c r="AF4" s="148"/>
      <c r="AG4" s="148"/>
      <c r="AH4" s="148"/>
      <c r="AI4" s="148"/>
      <c r="AJ4" s="149"/>
      <c r="AK4" s="147">
        <f>AK5</f>
        <v>46153</v>
      </c>
      <c r="AL4" s="148"/>
      <c r="AM4" s="148"/>
      <c r="AN4" s="148"/>
      <c r="AO4" s="148"/>
      <c r="AP4" s="148"/>
      <c r="AQ4" s="149"/>
      <c r="AR4" s="147">
        <f>AR5</f>
        <v>46160</v>
      </c>
      <c r="AS4" s="148"/>
      <c r="AT4" s="148"/>
      <c r="AU4" s="148"/>
      <c r="AV4" s="148"/>
      <c r="AW4" s="148"/>
      <c r="AX4" s="149"/>
      <c r="AY4" s="147">
        <f>AY5</f>
        <v>46167</v>
      </c>
      <c r="AZ4" s="148"/>
      <c r="BA4" s="148"/>
      <c r="BB4" s="148"/>
      <c r="BC4" s="148"/>
      <c r="BD4" s="148"/>
      <c r="BE4" s="149"/>
      <c r="BF4" s="147">
        <f>BF5</f>
        <v>46174</v>
      </c>
      <c r="BG4" s="148"/>
      <c r="BH4" s="148"/>
      <c r="BI4" s="148"/>
      <c r="BJ4" s="148"/>
      <c r="BK4" s="148"/>
      <c r="BL4" s="149"/>
    </row>
    <row r="5" spans="1:64" ht="15" customHeight="1" x14ac:dyDescent="0.35">
      <c r="A5" s="121" t="s">
        <v>4</v>
      </c>
      <c r="E5"/>
      <c r="I5" s="89">
        <f>Inicio_del_proyecto-WEEKDAY(Inicio_del_proyecto,1)+2+7*(Semana_para_mostrar-1)</f>
        <v>46125</v>
      </c>
      <c r="J5" s="89">
        <f>I5+1</f>
        <v>46126</v>
      </c>
      <c r="K5" s="89">
        <f t="shared" ref="K5:AX5" si="0">J5+1</f>
        <v>46127</v>
      </c>
      <c r="L5" s="89">
        <f t="shared" si="0"/>
        <v>46128</v>
      </c>
      <c r="M5" s="89">
        <f t="shared" si="0"/>
        <v>46129</v>
      </c>
      <c r="N5" s="89">
        <f t="shared" si="0"/>
        <v>46130</v>
      </c>
      <c r="O5" s="90">
        <f t="shared" si="0"/>
        <v>46131</v>
      </c>
      <c r="P5" s="88">
        <f>O5+1</f>
        <v>46132</v>
      </c>
      <c r="Q5" s="89">
        <f>P5+1</f>
        <v>46133</v>
      </c>
      <c r="R5" s="89">
        <f t="shared" si="0"/>
        <v>46134</v>
      </c>
      <c r="S5" s="89">
        <f t="shared" si="0"/>
        <v>46135</v>
      </c>
      <c r="T5" s="89">
        <f t="shared" si="0"/>
        <v>46136</v>
      </c>
      <c r="U5" s="89">
        <f t="shared" si="0"/>
        <v>46137</v>
      </c>
      <c r="V5" s="90">
        <f t="shared" si="0"/>
        <v>46138</v>
      </c>
      <c r="W5" s="88">
        <f>V5+1</f>
        <v>46139</v>
      </c>
      <c r="X5" s="89">
        <f>W5+1</f>
        <v>46140</v>
      </c>
      <c r="Y5" s="89">
        <f t="shared" si="0"/>
        <v>46141</v>
      </c>
      <c r="Z5" s="89">
        <f t="shared" si="0"/>
        <v>46142</v>
      </c>
      <c r="AA5" s="89">
        <f t="shared" si="0"/>
        <v>46143</v>
      </c>
      <c r="AB5" s="89">
        <f t="shared" si="0"/>
        <v>46144</v>
      </c>
      <c r="AC5" s="90">
        <f t="shared" si="0"/>
        <v>46145</v>
      </c>
      <c r="AD5" s="88">
        <f>AC5+1</f>
        <v>46146</v>
      </c>
      <c r="AE5" s="89">
        <f>AD5+1</f>
        <v>46147</v>
      </c>
      <c r="AF5" s="89">
        <f t="shared" si="0"/>
        <v>46148</v>
      </c>
      <c r="AG5" s="89">
        <f t="shared" si="0"/>
        <v>46149</v>
      </c>
      <c r="AH5" s="89">
        <f t="shared" si="0"/>
        <v>46150</v>
      </c>
      <c r="AI5" s="89">
        <f t="shared" si="0"/>
        <v>46151</v>
      </c>
      <c r="AJ5" s="90">
        <f t="shared" si="0"/>
        <v>46152</v>
      </c>
      <c r="AK5" s="88">
        <f>AJ5+1</f>
        <v>46153</v>
      </c>
      <c r="AL5" s="89">
        <f>AK5+1</f>
        <v>46154</v>
      </c>
      <c r="AM5" s="89">
        <f t="shared" si="0"/>
        <v>46155</v>
      </c>
      <c r="AN5" s="89">
        <f t="shared" si="0"/>
        <v>46156</v>
      </c>
      <c r="AO5" s="89">
        <f t="shared" si="0"/>
        <v>46157</v>
      </c>
      <c r="AP5" s="89">
        <f t="shared" si="0"/>
        <v>46158</v>
      </c>
      <c r="AQ5" s="90">
        <f t="shared" si="0"/>
        <v>46159</v>
      </c>
      <c r="AR5" s="88">
        <f>AQ5+1</f>
        <v>46160</v>
      </c>
      <c r="AS5" s="89">
        <f>AR5+1</f>
        <v>46161</v>
      </c>
      <c r="AT5" s="89">
        <f t="shared" si="0"/>
        <v>46162</v>
      </c>
      <c r="AU5" s="89">
        <f t="shared" si="0"/>
        <v>46163</v>
      </c>
      <c r="AV5" s="89">
        <f t="shared" si="0"/>
        <v>46164</v>
      </c>
      <c r="AW5" s="89">
        <f t="shared" si="0"/>
        <v>46165</v>
      </c>
      <c r="AX5" s="90">
        <f t="shared" si="0"/>
        <v>46166</v>
      </c>
      <c r="AY5" s="88">
        <f t="shared" ref="AY5:BL5" si="1">AX5+1</f>
        <v>46167</v>
      </c>
      <c r="AZ5" s="89">
        <f t="shared" si="1"/>
        <v>46168</v>
      </c>
      <c r="BA5" s="89">
        <f t="shared" si="1"/>
        <v>46169</v>
      </c>
      <c r="BB5" s="89">
        <f t="shared" si="1"/>
        <v>46170</v>
      </c>
      <c r="BC5" s="89">
        <f t="shared" si="1"/>
        <v>46171</v>
      </c>
      <c r="BD5" s="89">
        <f t="shared" si="1"/>
        <v>46172</v>
      </c>
      <c r="BE5" s="90">
        <f t="shared" si="1"/>
        <v>46173</v>
      </c>
      <c r="BF5" s="88">
        <f t="shared" si="1"/>
        <v>46174</v>
      </c>
      <c r="BG5" s="89">
        <f t="shared" si="1"/>
        <v>46175</v>
      </c>
      <c r="BH5" s="89">
        <f t="shared" si="1"/>
        <v>46176</v>
      </c>
      <c r="BI5" s="89">
        <f t="shared" si="1"/>
        <v>46177</v>
      </c>
      <c r="BJ5" s="89">
        <f t="shared" si="1"/>
        <v>46178</v>
      </c>
      <c r="BK5" s="89">
        <f t="shared" si="1"/>
        <v>46179</v>
      </c>
      <c r="BL5" s="90">
        <f t="shared" si="1"/>
        <v>46180</v>
      </c>
    </row>
    <row r="6" spans="1:64" s="22" customFormat="1" ht="30" customHeight="1" thickBot="1" x14ac:dyDescent="0.35">
      <c r="A6" s="123" t="s">
        <v>5</v>
      </c>
      <c r="B6" s="95" t="s">
        <v>12</v>
      </c>
      <c r="C6" s="50" t="s">
        <v>75</v>
      </c>
      <c r="D6" s="50" t="s">
        <v>15</v>
      </c>
      <c r="E6" s="50" t="s">
        <v>16</v>
      </c>
      <c r="F6" s="50" t="s">
        <v>17</v>
      </c>
      <c r="G6" s="50"/>
      <c r="H6" s="50" t="s">
        <v>18</v>
      </c>
      <c r="I6" s="118" t="str">
        <f t="shared" ref="I6:BL6" si="2">LEFT(TEXT(I5,"ddd"),1)</f>
        <v>l</v>
      </c>
      <c r="J6" s="91" t="str">
        <f t="shared" si="2"/>
        <v>m</v>
      </c>
      <c r="K6" s="91" t="str">
        <f t="shared" si="2"/>
        <v>m</v>
      </c>
      <c r="L6" s="91" t="str">
        <f t="shared" si="2"/>
        <v>j</v>
      </c>
      <c r="M6" s="91" t="str">
        <f t="shared" si="2"/>
        <v>v</v>
      </c>
      <c r="N6" s="91" t="str">
        <f t="shared" si="2"/>
        <v>s</v>
      </c>
      <c r="O6" s="91" t="str">
        <f t="shared" si="2"/>
        <v>d</v>
      </c>
      <c r="P6" s="91" t="str">
        <f t="shared" si="2"/>
        <v>l</v>
      </c>
      <c r="Q6" s="91" t="str">
        <f t="shared" si="2"/>
        <v>m</v>
      </c>
      <c r="R6" s="91" t="str">
        <f t="shared" si="2"/>
        <v>m</v>
      </c>
      <c r="S6" s="91" t="str">
        <f t="shared" si="2"/>
        <v>j</v>
      </c>
      <c r="T6" s="91" t="str">
        <f t="shared" si="2"/>
        <v>v</v>
      </c>
      <c r="U6" s="91" t="str">
        <f t="shared" si="2"/>
        <v>s</v>
      </c>
      <c r="V6" s="91" t="str">
        <f t="shared" si="2"/>
        <v>d</v>
      </c>
      <c r="W6" s="91" t="str">
        <f t="shared" si="2"/>
        <v>l</v>
      </c>
      <c r="X6" s="91" t="str">
        <f t="shared" si="2"/>
        <v>m</v>
      </c>
      <c r="Y6" s="91" t="str">
        <f t="shared" si="2"/>
        <v>m</v>
      </c>
      <c r="Z6" s="91" t="str">
        <f t="shared" si="2"/>
        <v>j</v>
      </c>
      <c r="AA6" s="91" t="str">
        <f t="shared" si="2"/>
        <v>v</v>
      </c>
      <c r="AB6" s="91" t="str">
        <f t="shared" si="2"/>
        <v>s</v>
      </c>
      <c r="AC6" s="91" t="str">
        <f t="shared" si="2"/>
        <v>d</v>
      </c>
      <c r="AD6" s="91" t="str">
        <f t="shared" si="2"/>
        <v>l</v>
      </c>
      <c r="AE6" s="91" t="str">
        <f t="shared" si="2"/>
        <v>m</v>
      </c>
      <c r="AF6" s="91" t="str">
        <f t="shared" si="2"/>
        <v>m</v>
      </c>
      <c r="AG6" s="91" t="str">
        <f t="shared" si="2"/>
        <v>j</v>
      </c>
      <c r="AH6" s="91" t="str">
        <f t="shared" si="2"/>
        <v>v</v>
      </c>
      <c r="AI6" s="91" t="str">
        <f t="shared" si="2"/>
        <v>s</v>
      </c>
      <c r="AJ6" s="91" t="str">
        <f t="shared" si="2"/>
        <v>d</v>
      </c>
      <c r="AK6" s="91" t="str">
        <f t="shared" si="2"/>
        <v>l</v>
      </c>
      <c r="AL6" s="91" t="str">
        <f t="shared" si="2"/>
        <v>m</v>
      </c>
      <c r="AM6" s="91" t="str">
        <f t="shared" si="2"/>
        <v>m</v>
      </c>
      <c r="AN6" s="91" t="str">
        <f t="shared" si="2"/>
        <v>j</v>
      </c>
      <c r="AO6" s="91" t="str">
        <f t="shared" si="2"/>
        <v>v</v>
      </c>
      <c r="AP6" s="91" t="str">
        <f t="shared" si="2"/>
        <v>s</v>
      </c>
      <c r="AQ6" s="91" t="str">
        <f t="shared" si="2"/>
        <v>d</v>
      </c>
      <c r="AR6" s="91" t="str">
        <f t="shared" si="2"/>
        <v>l</v>
      </c>
      <c r="AS6" s="91" t="str">
        <f t="shared" si="2"/>
        <v>m</v>
      </c>
      <c r="AT6" s="91" t="str">
        <f t="shared" si="2"/>
        <v>m</v>
      </c>
      <c r="AU6" s="91" t="str">
        <f t="shared" si="2"/>
        <v>j</v>
      </c>
      <c r="AV6" s="91" t="str">
        <f t="shared" si="2"/>
        <v>v</v>
      </c>
      <c r="AW6" s="91" t="str">
        <f t="shared" si="2"/>
        <v>s</v>
      </c>
      <c r="AX6" s="91" t="str">
        <f t="shared" si="2"/>
        <v>d</v>
      </c>
      <c r="AY6" s="91" t="str">
        <f t="shared" si="2"/>
        <v>l</v>
      </c>
      <c r="AZ6" s="91" t="str">
        <f t="shared" si="2"/>
        <v>m</v>
      </c>
      <c r="BA6" s="91" t="str">
        <f t="shared" si="2"/>
        <v>m</v>
      </c>
      <c r="BB6" s="91" t="str">
        <f t="shared" si="2"/>
        <v>j</v>
      </c>
      <c r="BC6" s="91" t="str">
        <f t="shared" si="2"/>
        <v>v</v>
      </c>
      <c r="BD6" s="91" t="str">
        <f t="shared" si="2"/>
        <v>s</v>
      </c>
      <c r="BE6" s="91" t="str">
        <f t="shared" si="2"/>
        <v>d</v>
      </c>
      <c r="BF6" s="91" t="str">
        <f t="shared" si="2"/>
        <v>l</v>
      </c>
      <c r="BG6" s="91" t="str">
        <f t="shared" si="2"/>
        <v>m</v>
      </c>
      <c r="BH6" s="91" t="str">
        <f t="shared" si="2"/>
        <v>m</v>
      </c>
      <c r="BI6" s="91" t="str">
        <f t="shared" si="2"/>
        <v>j</v>
      </c>
      <c r="BJ6" s="91" t="str">
        <f t="shared" si="2"/>
        <v>v</v>
      </c>
      <c r="BK6" s="91" t="str">
        <f t="shared" si="2"/>
        <v>s</v>
      </c>
      <c r="BL6" s="91" t="str">
        <f t="shared" si="2"/>
        <v>d</v>
      </c>
    </row>
    <row r="7" spans="1:64" ht="1.5" customHeight="1" thickBot="1" x14ac:dyDescent="0.4">
      <c r="A7" s="14" t="s">
        <v>6</v>
      </c>
      <c r="B7" s="96"/>
      <c r="C7" s="97"/>
      <c r="D7" s="96"/>
      <c r="E7" s="96"/>
      <c r="F7" s="96"/>
      <c r="G7" s="96"/>
      <c r="H7" s="96" t="str">
        <f>IF(OR(ISBLANK(task_start),ISBLANK(task_end)),"",task_end-task_start+1)</f>
        <v/>
      </c>
      <c r="I7" s="68"/>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row>
    <row r="8" spans="1:64" s="21" customFormat="1" ht="25" customHeight="1" thickBot="1" x14ac:dyDescent="0.4">
      <c r="A8" s="121" t="s">
        <v>7</v>
      </c>
      <c r="B8" s="99" t="s">
        <v>37</v>
      </c>
      <c r="C8" s="100"/>
      <c r="D8" s="60">
        <f>+AVERAGE(D9:D15)</f>
        <v>0.26428571428571429</v>
      </c>
      <c r="E8" s="62"/>
      <c r="F8" s="101">
        <f>+F15-E11+1</f>
        <v>212</v>
      </c>
      <c r="G8" s="62"/>
      <c r="H8" s="102"/>
    </row>
    <row r="9" spans="1:64" s="24" customFormat="1" ht="25" customHeight="1" thickBot="1" x14ac:dyDescent="0.4">
      <c r="A9" s="121" t="s">
        <v>8</v>
      </c>
      <c r="B9" s="103" t="s">
        <v>42</v>
      </c>
      <c r="C9" s="104" t="s">
        <v>47</v>
      </c>
      <c r="D9" s="75">
        <v>0.9</v>
      </c>
      <c r="E9" s="76">
        <f>Inicio_del_proyecto</f>
        <v>45958</v>
      </c>
      <c r="F9" s="76">
        <v>46173</v>
      </c>
      <c r="G9" s="77"/>
      <c r="H9" s="78">
        <f t="shared" ref="H9:H45" si="3">IF(OR(ISBLANK(task_start),ISBLANK(task_end)),"",task_end-task_start+1)</f>
        <v>216</v>
      </c>
      <c r="I9" s="64"/>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row>
    <row r="10" spans="1:64" s="25" customFormat="1" ht="25" customHeight="1" thickBot="1" x14ac:dyDescent="0.4">
      <c r="A10" s="121" t="s">
        <v>8</v>
      </c>
      <c r="B10" s="105" t="s">
        <v>40</v>
      </c>
      <c r="C10" s="106" t="s">
        <v>36</v>
      </c>
      <c r="D10" s="71">
        <v>0.7</v>
      </c>
      <c r="E10" s="72">
        <v>45962</v>
      </c>
      <c r="F10" s="72">
        <v>46203</v>
      </c>
      <c r="G10" s="73"/>
      <c r="H10" s="48">
        <f t="shared" si="3"/>
        <v>242</v>
      </c>
      <c r="I10" s="64"/>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row>
    <row r="11" spans="1:64" s="25" customFormat="1" ht="25" customHeight="1" thickBot="1" x14ac:dyDescent="0.4">
      <c r="A11" s="121"/>
      <c r="B11" s="103" t="s">
        <v>56</v>
      </c>
      <c r="C11" s="104" t="s">
        <v>36</v>
      </c>
      <c r="D11" s="75">
        <v>0.25</v>
      </c>
      <c r="E11" s="76">
        <v>46023</v>
      </c>
      <c r="F11" s="76">
        <v>46203</v>
      </c>
      <c r="G11" s="77"/>
      <c r="H11" s="78"/>
      <c r="I11" s="64"/>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row>
    <row r="12" spans="1:64" s="25" customFormat="1" ht="25" customHeight="1" thickBot="1" x14ac:dyDescent="0.4">
      <c r="A12" s="14"/>
      <c r="B12" s="105" t="s">
        <v>43</v>
      </c>
      <c r="C12" s="106" t="s">
        <v>36</v>
      </c>
      <c r="D12" s="71">
        <v>0</v>
      </c>
      <c r="E12" s="72">
        <f>+F11+1</f>
        <v>46204</v>
      </c>
      <c r="F12" s="72">
        <v>46295</v>
      </c>
      <c r="G12" s="73"/>
      <c r="H12" s="48">
        <f t="shared" si="3"/>
        <v>92</v>
      </c>
      <c r="I12" s="64"/>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row>
    <row r="13" spans="1:64" s="25" customFormat="1" ht="25" customHeight="1" thickBot="1" x14ac:dyDescent="0.4">
      <c r="A13" s="14"/>
      <c r="B13" s="103" t="s">
        <v>44</v>
      </c>
      <c r="C13" s="104" t="s">
        <v>36</v>
      </c>
      <c r="D13" s="75">
        <v>0</v>
      </c>
      <c r="E13" s="76">
        <f>+F12+1</f>
        <v>46296</v>
      </c>
      <c r="F13" s="76">
        <f>+WORKDAY(E13,4)</f>
        <v>46302</v>
      </c>
      <c r="G13" s="77"/>
      <c r="H13" s="78">
        <f t="shared" si="3"/>
        <v>7</v>
      </c>
      <c r="I13" s="64"/>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row>
    <row r="14" spans="1:64" s="25" customFormat="1" ht="25" customHeight="1" thickBot="1" x14ac:dyDescent="0.4">
      <c r="A14" s="14"/>
      <c r="B14" s="105" t="s">
        <v>70</v>
      </c>
      <c r="C14" s="106" t="s">
        <v>36</v>
      </c>
      <c r="D14" s="71">
        <v>0</v>
      </c>
      <c r="E14" s="72">
        <f>+F13+1</f>
        <v>46303</v>
      </c>
      <c r="F14" s="72">
        <f>+WORKDAY(E14,7)</f>
        <v>46314</v>
      </c>
      <c r="G14" s="73"/>
      <c r="H14" s="48"/>
      <c r="I14" s="64"/>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row>
    <row r="15" spans="1:64" s="27" customFormat="1" ht="25" customHeight="1" x14ac:dyDescent="0.35">
      <c r="A15" s="14"/>
      <c r="B15" s="103" t="s">
        <v>76</v>
      </c>
      <c r="C15" s="104" t="s">
        <v>36</v>
      </c>
      <c r="D15" s="75">
        <v>0</v>
      </c>
      <c r="E15" s="76">
        <v>46160</v>
      </c>
      <c r="F15" s="76">
        <v>46234</v>
      </c>
      <c r="G15" s="77"/>
      <c r="H15" s="78"/>
      <c r="I15" s="98"/>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row>
    <row r="16" spans="1:64" s="29" customFormat="1" ht="25" customHeight="1" thickBot="1" x14ac:dyDescent="0.4">
      <c r="A16" s="121" t="s">
        <v>10</v>
      </c>
      <c r="B16" s="99" t="s">
        <v>65</v>
      </c>
      <c r="C16" s="100"/>
      <c r="D16" s="60">
        <f>+AVERAGE(D17:D24)</f>
        <v>0.41875000000000001</v>
      </c>
      <c r="E16" s="62"/>
      <c r="F16" s="101">
        <f>+F24-E17+1</f>
        <v>36</v>
      </c>
      <c r="G16" s="62"/>
      <c r="H16" s="102"/>
    </row>
    <row r="17" spans="1:64" s="24" customFormat="1" ht="25" customHeight="1" thickBot="1" x14ac:dyDescent="0.4">
      <c r="A17" s="121"/>
      <c r="B17" s="107" t="s">
        <v>78</v>
      </c>
      <c r="C17" s="104" t="s">
        <v>36</v>
      </c>
      <c r="D17" s="75">
        <v>0.9</v>
      </c>
      <c r="E17" s="76">
        <v>45958</v>
      </c>
      <c r="F17" s="76">
        <v>46173</v>
      </c>
      <c r="G17" s="77"/>
      <c r="H17" s="78">
        <f t="shared" si="3"/>
        <v>216</v>
      </c>
      <c r="I17" s="64"/>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row>
    <row r="18" spans="1:64" s="25" customFormat="1" ht="25" customHeight="1" thickBot="1" x14ac:dyDescent="0.4">
      <c r="A18" s="14"/>
      <c r="B18" s="105" t="s">
        <v>79</v>
      </c>
      <c r="C18" s="106" t="s">
        <v>36</v>
      </c>
      <c r="D18" s="71">
        <v>0.85</v>
      </c>
      <c r="E18" s="72">
        <v>45958</v>
      </c>
      <c r="F18" s="72">
        <v>45991</v>
      </c>
      <c r="G18" s="73"/>
      <c r="H18" s="48">
        <f t="shared" si="3"/>
        <v>34</v>
      </c>
      <c r="I18" s="68"/>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row>
    <row r="19" spans="1:64" s="25" customFormat="1" ht="25" customHeight="1" thickBot="1" x14ac:dyDescent="0.4">
      <c r="A19" s="14"/>
      <c r="B19" s="103" t="s">
        <v>80</v>
      </c>
      <c r="C19" s="104" t="s">
        <v>36</v>
      </c>
      <c r="D19" s="75">
        <v>0.9</v>
      </c>
      <c r="E19" s="76">
        <v>45978</v>
      </c>
      <c r="F19" s="76">
        <f>+WORKDAY(E19,2)</f>
        <v>45980</v>
      </c>
      <c r="G19" s="77"/>
      <c r="H19" s="78">
        <f t="shared" si="3"/>
        <v>3</v>
      </c>
      <c r="I19" s="68"/>
      <c r="J19" s="6"/>
      <c r="K19" s="6"/>
      <c r="L19" s="6"/>
      <c r="M19" s="6"/>
      <c r="N19" s="6"/>
      <c r="O19" s="6"/>
      <c r="P19" s="6"/>
      <c r="Q19" s="6"/>
      <c r="R19" s="6"/>
      <c r="S19" s="6"/>
      <c r="T19" s="6"/>
      <c r="U19" s="6"/>
      <c r="V19" s="6"/>
      <c r="W19" s="6"/>
      <c r="X19" s="6"/>
      <c r="Y19" s="7"/>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row>
    <row r="20" spans="1:64" s="25" customFormat="1" ht="25" customHeight="1" thickBot="1" x14ac:dyDescent="0.4">
      <c r="A20" s="14"/>
      <c r="B20" s="105" t="s">
        <v>82</v>
      </c>
      <c r="C20" s="106" t="s">
        <v>36</v>
      </c>
      <c r="D20" s="71">
        <v>0.2</v>
      </c>
      <c r="E20" s="72">
        <v>45959</v>
      </c>
      <c r="F20" s="72">
        <f>+WORKDAY(E20,10)</f>
        <v>45973</v>
      </c>
      <c r="G20" s="73"/>
      <c r="H20" s="48">
        <f t="shared" si="3"/>
        <v>15</v>
      </c>
      <c r="I20" s="68"/>
      <c r="J20" s="6"/>
      <c r="K20" s="6"/>
      <c r="L20" s="6"/>
      <c r="M20" s="6"/>
      <c r="N20" s="6"/>
      <c r="O20" s="6"/>
      <c r="P20" s="6"/>
      <c r="Q20" s="6"/>
      <c r="R20" s="6"/>
      <c r="S20" s="6"/>
      <c r="T20" s="6"/>
      <c r="U20" s="7"/>
      <c r="V20" s="7"/>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row>
    <row r="21" spans="1:64" s="25" customFormat="1" ht="25" customHeight="1" thickBot="1" x14ac:dyDescent="0.4">
      <c r="A21" s="121"/>
      <c r="B21" s="103" t="s">
        <v>83</v>
      </c>
      <c r="C21" s="104" t="s">
        <v>36</v>
      </c>
      <c r="D21" s="75">
        <v>0.5</v>
      </c>
      <c r="E21" s="76">
        <v>45992</v>
      </c>
      <c r="F21" s="76">
        <v>46000</v>
      </c>
      <c r="G21" s="77"/>
      <c r="H21" s="78">
        <f t="shared" si="3"/>
        <v>9</v>
      </c>
      <c r="I21" s="68"/>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row>
    <row r="22" spans="1:64" s="25" customFormat="1" ht="25" customHeight="1" thickBot="1" x14ac:dyDescent="0.4">
      <c r="A22" s="121"/>
      <c r="B22" s="105" t="s">
        <v>81</v>
      </c>
      <c r="C22" s="106" t="s">
        <v>36</v>
      </c>
      <c r="D22" s="71">
        <v>0</v>
      </c>
      <c r="E22" s="72">
        <f>+F20+1</f>
        <v>45974</v>
      </c>
      <c r="F22" s="72">
        <f>+WORKDAY(E22,4)</f>
        <v>45980</v>
      </c>
      <c r="G22" s="73"/>
      <c r="H22" s="48">
        <f t="shared" si="3"/>
        <v>7</v>
      </c>
      <c r="I22" s="68"/>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row>
    <row r="23" spans="1:64" s="25" customFormat="1" ht="25" customHeight="1" thickBot="1" x14ac:dyDescent="0.4">
      <c r="A23" s="14"/>
      <c r="B23" s="103" t="s">
        <v>62</v>
      </c>
      <c r="C23" s="104" t="s">
        <v>36</v>
      </c>
      <c r="D23" s="75">
        <v>0</v>
      </c>
      <c r="E23" s="76">
        <f>+F19+1</f>
        <v>45981</v>
      </c>
      <c r="F23" s="76">
        <f>+WORKDAY(E23,3)</f>
        <v>45986</v>
      </c>
      <c r="G23" s="77"/>
      <c r="H23" s="78">
        <f t="shared" si="3"/>
        <v>6</v>
      </c>
      <c r="I23" s="68"/>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row>
    <row r="24" spans="1:64" s="27" customFormat="1" ht="25" customHeight="1" x14ac:dyDescent="0.35">
      <c r="A24" s="121"/>
      <c r="B24" s="108" t="s">
        <v>68</v>
      </c>
      <c r="C24" s="109" t="s">
        <v>36</v>
      </c>
      <c r="D24" s="110">
        <v>0</v>
      </c>
      <c r="E24" s="111">
        <f>+F23+1</f>
        <v>45987</v>
      </c>
      <c r="F24" s="111">
        <f>+WORKDAY(E24,4)</f>
        <v>45993</v>
      </c>
      <c r="G24" s="112"/>
      <c r="H24" s="113">
        <f t="shared" si="3"/>
        <v>7</v>
      </c>
      <c r="I24" s="83"/>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row>
    <row r="25" spans="1:64" s="28" customFormat="1" ht="25" customHeight="1" thickBot="1" x14ac:dyDescent="0.4">
      <c r="A25" s="14" t="s">
        <v>11</v>
      </c>
      <c r="B25" s="99" t="s">
        <v>38</v>
      </c>
      <c r="C25" s="100"/>
      <c r="D25" s="60">
        <f>+AVERAGE(D26:D41)</f>
        <v>0.39437499999999998</v>
      </c>
      <c r="E25" s="62"/>
      <c r="F25" s="101">
        <f>+F41-E26+1</f>
        <v>74</v>
      </c>
      <c r="G25" s="62"/>
      <c r="H25" s="102"/>
    </row>
    <row r="26" spans="1:64" s="24" customFormat="1" ht="25" customHeight="1" thickBot="1" x14ac:dyDescent="0.4">
      <c r="A26" s="14"/>
      <c r="B26" s="105" t="s">
        <v>58</v>
      </c>
      <c r="C26" s="106" t="s">
        <v>36</v>
      </c>
      <c r="D26" s="71">
        <v>0</v>
      </c>
      <c r="E26" s="72">
        <v>45962</v>
      </c>
      <c r="F26" s="72">
        <f>+WORKDAY(E26,4)</f>
        <v>45967</v>
      </c>
      <c r="G26" s="73"/>
      <c r="H26" s="48">
        <f t="shared" si="3"/>
        <v>6</v>
      </c>
      <c r="I26" s="64"/>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row>
    <row r="27" spans="1:64" s="25" customFormat="1" ht="25" customHeight="1" thickBot="1" x14ac:dyDescent="0.4">
      <c r="A27" s="121" t="s">
        <v>9</v>
      </c>
      <c r="B27" s="103" t="s">
        <v>39</v>
      </c>
      <c r="C27" s="104" t="s">
        <v>36</v>
      </c>
      <c r="D27" s="75">
        <v>0.9</v>
      </c>
      <c r="E27" s="76">
        <f>+F26</f>
        <v>45967</v>
      </c>
      <c r="F27" s="76">
        <f>+WORKDAY(E27,0)</f>
        <v>45967</v>
      </c>
      <c r="G27" s="77"/>
      <c r="H27" s="78">
        <f t="shared" si="3"/>
        <v>1</v>
      </c>
      <c r="I27" s="68"/>
      <c r="J27" s="6"/>
      <c r="K27" s="6"/>
      <c r="L27" s="6"/>
      <c r="M27" s="6"/>
      <c r="N27" s="6"/>
      <c r="O27" s="6"/>
      <c r="P27" s="6"/>
      <c r="Q27" s="6"/>
      <c r="R27" s="6"/>
      <c r="S27" s="6"/>
      <c r="T27" s="6"/>
      <c r="U27" s="7"/>
      <c r="V27" s="7"/>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row>
    <row r="28" spans="1:64" s="25" customFormat="1" ht="25" customHeight="1" thickBot="1" x14ac:dyDescent="0.4">
      <c r="A28" s="14"/>
      <c r="B28" s="105" t="s">
        <v>41</v>
      </c>
      <c r="C28" s="106" t="s">
        <v>36</v>
      </c>
      <c r="D28" s="71">
        <v>0.9</v>
      </c>
      <c r="E28" s="72">
        <f>+F27+0</f>
        <v>45967</v>
      </c>
      <c r="F28" s="72">
        <f>+WORKDAY(E28,0)</f>
        <v>45967</v>
      </c>
      <c r="G28" s="73"/>
      <c r="H28" s="48">
        <f t="shared" si="3"/>
        <v>1</v>
      </c>
      <c r="I28" s="68"/>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row>
    <row r="29" spans="1:64" s="25" customFormat="1" ht="25" customHeight="1" thickBot="1" x14ac:dyDescent="0.4">
      <c r="A29" s="14"/>
      <c r="B29" s="103" t="s">
        <v>45</v>
      </c>
      <c r="C29" s="104" t="s">
        <v>36</v>
      </c>
      <c r="D29" s="75">
        <v>0.7</v>
      </c>
      <c r="E29" s="76">
        <f>+F26+1</f>
        <v>45968</v>
      </c>
      <c r="F29" s="76">
        <f>+WORKDAY(E29,3)</f>
        <v>45973</v>
      </c>
      <c r="G29" s="77"/>
      <c r="H29" s="78">
        <f t="shared" si="3"/>
        <v>6</v>
      </c>
      <c r="I29" s="68"/>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row>
    <row r="30" spans="1:64" s="25" customFormat="1" ht="25" customHeight="1" thickBot="1" x14ac:dyDescent="0.4">
      <c r="A30" s="14"/>
      <c r="B30" s="105" t="s">
        <v>46</v>
      </c>
      <c r="C30" s="106" t="s">
        <v>36</v>
      </c>
      <c r="D30" s="71">
        <v>0.2</v>
      </c>
      <c r="E30" s="72">
        <f t="shared" ref="E30:E41" si="4">+F29+1</f>
        <v>45974</v>
      </c>
      <c r="F30" s="72">
        <f>+WORKDAY(E30,3)</f>
        <v>45979</v>
      </c>
      <c r="G30" s="73"/>
      <c r="H30" s="48">
        <f t="shared" si="3"/>
        <v>6</v>
      </c>
      <c r="I30" s="68"/>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row>
    <row r="31" spans="1:64" s="25" customFormat="1" ht="25" customHeight="1" thickBot="1" x14ac:dyDescent="0.4">
      <c r="A31" s="14"/>
      <c r="B31" s="103" t="s">
        <v>73</v>
      </c>
      <c r="C31" s="104" t="s">
        <v>36</v>
      </c>
      <c r="D31" s="75">
        <v>0.01</v>
      </c>
      <c r="E31" s="76">
        <f>+F30+1</f>
        <v>45980</v>
      </c>
      <c r="F31" s="76">
        <f>+WORKDAY(E31,1)</f>
        <v>45981</v>
      </c>
      <c r="G31" s="77"/>
      <c r="H31" s="78">
        <f t="shared" si="3"/>
        <v>2</v>
      </c>
      <c r="I31" s="68"/>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row>
    <row r="32" spans="1:64" s="25" customFormat="1" ht="25" customHeight="1" thickBot="1" x14ac:dyDescent="0.4">
      <c r="A32" s="14"/>
      <c r="B32" s="105" t="s">
        <v>51</v>
      </c>
      <c r="C32" s="106" t="s">
        <v>36</v>
      </c>
      <c r="D32" s="71">
        <v>0.5</v>
      </c>
      <c r="E32" s="72">
        <f t="shared" si="4"/>
        <v>45982</v>
      </c>
      <c r="F32" s="72">
        <f>+WORKDAY(E32,3)</f>
        <v>45987</v>
      </c>
      <c r="G32" s="73"/>
      <c r="H32" s="48">
        <f t="shared" si="3"/>
        <v>6</v>
      </c>
      <c r="I32" s="68"/>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row>
    <row r="33" spans="1:64" s="25" customFormat="1" ht="25" customHeight="1" thickBot="1" x14ac:dyDescent="0.4">
      <c r="A33" s="14"/>
      <c r="B33" s="103" t="s">
        <v>52</v>
      </c>
      <c r="C33" s="104" t="s">
        <v>36</v>
      </c>
      <c r="D33" s="75">
        <v>0.5</v>
      </c>
      <c r="E33" s="76">
        <f t="shared" si="4"/>
        <v>45988</v>
      </c>
      <c r="F33" s="76">
        <f>+WORKDAY(E33,3)</f>
        <v>45993</v>
      </c>
      <c r="G33" s="77"/>
      <c r="H33" s="78">
        <f t="shared" si="3"/>
        <v>6</v>
      </c>
      <c r="I33" s="68"/>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row>
    <row r="34" spans="1:64" s="25" customFormat="1" ht="25" customHeight="1" thickBot="1" x14ac:dyDescent="0.4">
      <c r="A34" s="14"/>
      <c r="B34" s="105" t="s">
        <v>49</v>
      </c>
      <c r="C34" s="106" t="s">
        <v>36</v>
      </c>
      <c r="D34" s="71">
        <v>0.5</v>
      </c>
      <c r="E34" s="72">
        <f t="shared" si="4"/>
        <v>45994</v>
      </c>
      <c r="F34" s="72">
        <f>+WORKDAY(E34,3)</f>
        <v>45999</v>
      </c>
      <c r="G34" s="73"/>
      <c r="H34" s="48">
        <f t="shared" si="3"/>
        <v>6</v>
      </c>
      <c r="I34" s="68"/>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row>
    <row r="35" spans="1:64" s="25" customFormat="1" ht="25" customHeight="1" thickBot="1" x14ac:dyDescent="0.4">
      <c r="A35" s="14"/>
      <c r="B35" s="103" t="s">
        <v>50</v>
      </c>
      <c r="C35" s="104" t="s">
        <v>36</v>
      </c>
      <c r="D35" s="75">
        <v>0.5</v>
      </c>
      <c r="E35" s="76">
        <f t="shared" si="4"/>
        <v>46000</v>
      </c>
      <c r="F35" s="76">
        <f>+WORKDAY(E35,3)</f>
        <v>46003</v>
      </c>
      <c r="G35" s="77"/>
      <c r="H35" s="78">
        <f t="shared" si="3"/>
        <v>4</v>
      </c>
      <c r="I35" s="68"/>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row>
    <row r="36" spans="1:64" s="25" customFormat="1" ht="25" customHeight="1" thickBot="1" x14ac:dyDescent="0.4">
      <c r="A36" s="14"/>
      <c r="B36" s="105" t="s">
        <v>48</v>
      </c>
      <c r="C36" s="106" t="s">
        <v>36</v>
      </c>
      <c r="D36" s="71">
        <v>0.8</v>
      </c>
      <c r="E36" s="72">
        <f t="shared" si="4"/>
        <v>46004</v>
      </c>
      <c r="F36" s="72">
        <f>+WORKDAY(E36,2)</f>
        <v>46007</v>
      </c>
      <c r="G36" s="73"/>
      <c r="H36" s="48">
        <f t="shared" si="3"/>
        <v>4</v>
      </c>
      <c r="I36" s="68"/>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row>
    <row r="37" spans="1:64" s="25" customFormat="1" ht="25" customHeight="1" thickBot="1" x14ac:dyDescent="0.4">
      <c r="A37" s="14"/>
      <c r="B37" s="103" t="s">
        <v>72</v>
      </c>
      <c r="C37" s="104" t="s">
        <v>36</v>
      </c>
      <c r="D37" s="75">
        <v>0.1</v>
      </c>
      <c r="E37" s="76">
        <f t="shared" si="4"/>
        <v>46008</v>
      </c>
      <c r="F37" s="76">
        <f>+WORKDAY(E37,3)</f>
        <v>46013</v>
      </c>
      <c r="G37" s="77"/>
      <c r="H37" s="78"/>
      <c r="I37" s="68"/>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row>
    <row r="38" spans="1:64" s="25" customFormat="1" ht="25" customHeight="1" thickBot="1" x14ac:dyDescent="0.4">
      <c r="A38" s="14"/>
      <c r="B38" s="105" t="s">
        <v>53</v>
      </c>
      <c r="C38" s="106" t="s">
        <v>36</v>
      </c>
      <c r="D38" s="71">
        <v>0</v>
      </c>
      <c r="E38" s="72">
        <f t="shared" si="4"/>
        <v>46014</v>
      </c>
      <c r="F38" s="72">
        <f>+WORKDAY(E38,3)</f>
        <v>46017</v>
      </c>
      <c r="G38" s="73"/>
      <c r="H38" s="48"/>
      <c r="I38" s="68"/>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row>
    <row r="39" spans="1:64" s="25" customFormat="1" ht="25" customHeight="1" thickBot="1" x14ac:dyDescent="0.4">
      <c r="A39" s="14"/>
      <c r="B39" s="103" t="s">
        <v>54</v>
      </c>
      <c r="C39" s="104" t="s">
        <v>36</v>
      </c>
      <c r="D39" s="75">
        <v>0</v>
      </c>
      <c r="E39" s="76">
        <f t="shared" si="4"/>
        <v>46018</v>
      </c>
      <c r="F39" s="76">
        <f>+WORKDAY(E39,3)</f>
        <v>46022</v>
      </c>
      <c r="G39" s="77"/>
      <c r="H39" s="78"/>
      <c r="I39" s="68"/>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row>
    <row r="40" spans="1:64" s="25" customFormat="1" ht="25" customHeight="1" thickBot="1" x14ac:dyDescent="0.4">
      <c r="A40" s="14"/>
      <c r="B40" s="105" t="s">
        <v>55</v>
      </c>
      <c r="C40" s="106" t="s">
        <v>36</v>
      </c>
      <c r="D40" s="71">
        <v>0.5</v>
      </c>
      <c r="E40" s="72">
        <f t="shared" si="4"/>
        <v>46023</v>
      </c>
      <c r="F40" s="72">
        <f>+WORKDAY(E40,1)</f>
        <v>46024</v>
      </c>
      <c r="G40" s="73"/>
      <c r="H40" s="48"/>
      <c r="I40" s="68"/>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row>
    <row r="41" spans="1:64" s="27" customFormat="1" ht="25" customHeight="1" x14ac:dyDescent="0.35">
      <c r="A41" s="14"/>
      <c r="B41" s="103" t="s">
        <v>69</v>
      </c>
      <c r="C41" s="104" t="s">
        <v>36</v>
      </c>
      <c r="D41" s="75">
        <v>0.2</v>
      </c>
      <c r="E41" s="76">
        <f t="shared" si="4"/>
        <v>46025</v>
      </c>
      <c r="F41" s="76">
        <f>+WORKDAY(E41,7)</f>
        <v>46035</v>
      </c>
      <c r="G41" s="77"/>
      <c r="H41" s="78">
        <f t="shared" si="3"/>
        <v>11</v>
      </c>
      <c r="I41" s="83"/>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row>
    <row r="42" spans="1:64" s="30" customFormat="1" ht="25" customHeight="1" thickBot="1" x14ac:dyDescent="0.4">
      <c r="A42" s="14" t="s">
        <v>11</v>
      </c>
      <c r="B42" s="99" t="s">
        <v>74</v>
      </c>
      <c r="C42" s="100"/>
      <c r="D42" s="60">
        <f>+AVERAGE(D43:D45)</f>
        <v>3.3333333333333333E-2</v>
      </c>
      <c r="E42" s="62"/>
      <c r="F42" s="101">
        <f>+F45-E43+1</f>
        <v>38</v>
      </c>
      <c r="G42" s="62"/>
      <c r="H42" s="102"/>
    </row>
    <row r="43" spans="1:64" s="24" customFormat="1" ht="25" customHeight="1" thickBot="1" x14ac:dyDescent="0.4">
      <c r="A43" s="14"/>
      <c r="B43" s="103" t="s">
        <v>59</v>
      </c>
      <c r="C43" s="114" t="s">
        <v>71</v>
      </c>
      <c r="D43" s="75">
        <v>0.1</v>
      </c>
      <c r="E43" s="76">
        <v>45958</v>
      </c>
      <c r="F43" s="76">
        <f>+WORKDAY(E43,5)</f>
        <v>45965</v>
      </c>
      <c r="G43" s="77"/>
      <c r="H43" s="78">
        <f t="shared" si="3"/>
        <v>8</v>
      </c>
      <c r="I43" s="64"/>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row>
    <row r="44" spans="1:64" s="25" customFormat="1" ht="25" customHeight="1" thickBot="1" x14ac:dyDescent="0.4">
      <c r="A44" s="14"/>
      <c r="B44" s="105" t="s">
        <v>60</v>
      </c>
      <c r="C44" s="115" t="s">
        <v>71</v>
      </c>
      <c r="D44" s="71">
        <v>0</v>
      </c>
      <c r="E44" s="72">
        <f>+F43+1</f>
        <v>45966</v>
      </c>
      <c r="F44" s="72">
        <f>+WORKDAY(E44,10)</f>
        <v>45980</v>
      </c>
      <c r="G44" s="73"/>
      <c r="H44" s="48">
        <f t="shared" si="3"/>
        <v>15</v>
      </c>
      <c r="I44" s="68"/>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row>
    <row r="45" spans="1:64" s="27" customFormat="1" ht="25" customHeight="1" x14ac:dyDescent="0.35">
      <c r="A45" s="14"/>
      <c r="B45" s="116" t="s">
        <v>61</v>
      </c>
      <c r="C45" s="117" t="s">
        <v>71</v>
      </c>
      <c r="D45" s="84">
        <v>0</v>
      </c>
      <c r="E45" s="85">
        <f>+F44+1</f>
        <v>45981</v>
      </c>
      <c r="F45" s="85">
        <f>+WORKDAY(E45,10)</f>
        <v>45995</v>
      </c>
      <c r="G45" s="86"/>
      <c r="H45" s="87">
        <f t="shared" si="3"/>
        <v>15</v>
      </c>
      <c r="I45" s="83"/>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row>
    <row r="46" spans="1:64" ht="30" customHeight="1" x14ac:dyDescent="0.35">
      <c r="G46" s="3"/>
    </row>
    <row r="47" spans="1:64" ht="30" customHeight="1" x14ac:dyDescent="0.35">
      <c r="C47" s="4"/>
      <c r="F47" s="15"/>
    </row>
    <row r="48" spans="1:64" ht="30" customHeight="1" x14ac:dyDescent="0.35">
      <c r="C48" s="5"/>
    </row>
    <row r="69" spans="2:2" ht="30" customHeight="1" x14ac:dyDescent="0.35">
      <c r="B69" t="s">
        <v>73</v>
      </c>
    </row>
    <row r="70" spans="2:2" ht="30" customHeight="1" x14ac:dyDescent="0.35">
      <c r="B70" t="s">
        <v>57</v>
      </c>
    </row>
  </sheetData>
  <mergeCells count="11">
    <mergeCell ref="AD4:AJ4"/>
    <mergeCell ref="AK4:AQ4"/>
    <mergeCell ref="AR4:AX4"/>
    <mergeCell ref="AY4:BE4"/>
    <mergeCell ref="BF4:BL4"/>
    <mergeCell ref="W4:AC4"/>
    <mergeCell ref="C3:D3"/>
    <mergeCell ref="E3:F3"/>
    <mergeCell ref="C4:D4"/>
    <mergeCell ref="I4:O4"/>
    <mergeCell ref="P4:V4"/>
  </mergeCells>
  <conditionalFormatting sqref="D7:D45">
    <cfRule type="dataBar" priority="1">
      <dataBar>
        <cfvo type="num" val="0"/>
        <cfvo type="num" val="1"/>
        <color theme="0" tint="-0.249977111117893"/>
      </dataBar>
      <extLst>
        <ext xmlns:x14="http://schemas.microsoft.com/office/spreadsheetml/2009/9/main" uri="{B025F937-C7B1-47D3-B67F-A62EFF666E3E}">
          <x14:id>{FF296BB3-51B8-4EB0-A97C-ADA584C50281}</x14:id>
        </ext>
      </extLst>
    </cfRule>
  </conditionalFormatting>
  <conditionalFormatting sqref="I5:BL7 G9:BL15 I16:BL24 I26:BL45">
    <cfRule type="expression" dxfId="5" priority="4">
      <formula>AND(TODAY()&gt;=G$5,TODAY()&lt;H$5)</formula>
    </cfRule>
  </conditionalFormatting>
  <conditionalFormatting sqref="I7:BL7 G9:BL15 I16:BL24 I26:BL45">
    <cfRule type="expression" dxfId="4" priority="2">
      <formula>AND(task_start&lt;=G$5,ROUNDDOWN((task_end-task_start+1)*task_progress,0)+task_start-1&gt;=G$5)</formula>
    </cfRule>
    <cfRule type="expression" dxfId="3" priority="3" stopIfTrue="1">
      <formula>AND(task_end&gt;=G$5,task_start&lt;H$5)</formula>
    </cfRule>
  </conditionalFormatting>
  <dataValidations count="1">
    <dataValidation type="whole" operator="greaterThanOrEqual" allowBlank="1" showInputMessage="1" promptTitle="Mostrar semana" prompt="Al cambiar este número, se desplazará la vista del diagrama de Gantt." sqref="E4" xr:uid="{FFB77F12-F107-4EC7-9D01-5842BC5525EE}">
      <formula1>1</formula1>
    </dataValidation>
  </dataValidations>
  <printOptions horizontalCentered="1"/>
  <pageMargins left="0.35" right="0.35" top="0.35" bottom="0.5" header="0.3" footer="0.3"/>
  <pageSetup paperSize="9" scale="50" fitToHeight="0" orientation="landscape" r:id="rId1"/>
  <headerFooter differentFirst="1" scaleWithDoc="0">
    <oddFooter>Page &amp;P of &amp;N</oddFooter>
  </headerFooter>
  <legacyDrawing r:id="rId2"/>
  <extLst>
    <ext xmlns:x14="http://schemas.microsoft.com/office/spreadsheetml/2009/9/main" uri="{78C0D931-6437-407d-A8EE-F0AAD7539E65}">
      <x14:conditionalFormattings>
        <x14:conditionalFormatting xmlns:xm="http://schemas.microsoft.com/office/excel/2006/main">
          <x14:cfRule type="dataBar" id="{FF296BB3-51B8-4EB0-A97C-ADA584C50281}">
            <x14:dataBar minLength="0" maxLength="100" gradient="0">
              <x14:cfvo type="num">
                <xm:f>0</xm:f>
              </x14:cfvo>
              <x14:cfvo type="num">
                <xm:f>1</xm:f>
              </x14:cfvo>
              <x14:negativeFillColor rgb="FFFF0000"/>
              <x14:axisColor rgb="FF000000"/>
            </x14:dataBar>
          </x14:cfRule>
          <xm:sqref>D7:D45</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69"/>
  <sheetViews>
    <sheetView showGridLines="0" showRuler="0" zoomScale="90" zoomScaleNormal="90" zoomScalePageLayoutView="70" workbookViewId="0">
      <pane ySplit="6" topLeftCell="A7" activePane="bottomLeft" state="frozen"/>
      <selection pane="bottomLeft" activeCell="K1" sqref="K1"/>
    </sheetView>
  </sheetViews>
  <sheetFormatPr baseColWidth="10" defaultColWidth="9.1796875" defaultRowHeight="30" customHeight="1" x14ac:dyDescent="0.35"/>
  <cols>
    <col min="1" max="1" width="2.7265625" style="14" customWidth="1"/>
    <col min="2" max="2" width="64.08984375" bestFit="1" customWidth="1"/>
    <col min="3" max="3" width="26.1796875" bestFit="1" customWidth="1"/>
    <col min="4" max="4" width="10.7265625" customWidth="1"/>
    <col min="5" max="5" width="10.453125" style="2" customWidth="1"/>
    <col min="6" max="6" width="10.453125" customWidth="1"/>
    <col min="7" max="7" width="2.7265625" customWidth="1"/>
    <col min="8" max="8" width="9.453125" hidden="1" customWidth="1"/>
    <col min="9" max="23" width="3.26953125" customWidth="1"/>
    <col min="24" max="24" width="4.08984375" customWidth="1"/>
    <col min="25" max="25" width="2.54296875" bestFit="1" customWidth="1"/>
    <col min="26" max="64" width="3.26953125" customWidth="1"/>
    <col min="69" max="70" width="10.26953125"/>
  </cols>
  <sheetData>
    <row r="1" spans="1:64" ht="30" customHeight="1" x14ac:dyDescent="0.65">
      <c r="A1" s="121" t="s">
        <v>0</v>
      </c>
      <c r="B1" s="92" t="s">
        <v>34</v>
      </c>
      <c r="C1" s="40"/>
      <c r="D1" s="1"/>
      <c r="E1" s="41"/>
      <c r="F1" s="42"/>
      <c r="H1" s="1"/>
      <c r="I1" s="17"/>
    </row>
    <row r="2" spans="1:64" ht="30" customHeight="1" x14ac:dyDescent="0.4">
      <c r="A2" s="14" t="s">
        <v>1</v>
      </c>
      <c r="B2" s="93" t="s">
        <v>35</v>
      </c>
      <c r="I2" s="18"/>
    </row>
    <row r="3" spans="1:64" ht="30" customHeight="1" x14ac:dyDescent="0.35">
      <c r="A3" s="14" t="s">
        <v>2</v>
      </c>
      <c r="B3" s="94" t="s">
        <v>36</v>
      </c>
      <c r="C3" s="152" t="s">
        <v>13</v>
      </c>
      <c r="D3" s="152"/>
      <c r="E3" s="153">
        <v>45958</v>
      </c>
      <c r="F3" s="154"/>
    </row>
    <row r="4" spans="1:64" s="20" customFormat="1" ht="30" customHeight="1" x14ac:dyDescent="0.3">
      <c r="A4" s="122" t="s">
        <v>3</v>
      </c>
      <c r="C4" s="152" t="s">
        <v>14</v>
      </c>
      <c r="D4" s="152"/>
      <c r="E4" s="49">
        <v>1</v>
      </c>
      <c r="I4" s="148">
        <f>I5</f>
        <v>45957</v>
      </c>
      <c r="J4" s="148"/>
      <c r="K4" s="148"/>
      <c r="L4" s="148"/>
      <c r="M4" s="148"/>
      <c r="N4" s="148"/>
      <c r="O4" s="149"/>
      <c r="P4" s="147">
        <f>P5</f>
        <v>45964</v>
      </c>
      <c r="Q4" s="148"/>
      <c r="R4" s="148"/>
      <c r="S4" s="148"/>
      <c r="T4" s="148"/>
      <c r="U4" s="148"/>
      <c r="V4" s="149"/>
      <c r="W4" s="147">
        <f>W5</f>
        <v>45971</v>
      </c>
      <c r="X4" s="148"/>
      <c r="Y4" s="148"/>
      <c r="Z4" s="148"/>
      <c r="AA4" s="148"/>
      <c r="AB4" s="148"/>
      <c r="AC4" s="149"/>
      <c r="AD4" s="147">
        <f>AD5</f>
        <v>45978</v>
      </c>
      <c r="AE4" s="148"/>
      <c r="AF4" s="148"/>
      <c r="AG4" s="148"/>
      <c r="AH4" s="148"/>
      <c r="AI4" s="148"/>
      <c r="AJ4" s="149"/>
      <c r="AK4" s="147">
        <f>AK5</f>
        <v>45985</v>
      </c>
      <c r="AL4" s="148"/>
      <c r="AM4" s="148"/>
      <c r="AN4" s="148"/>
      <c r="AO4" s="148"/>
      <c r="AP4" s="148"/>
      <c r="AQ4" s="149"/>
      <c r="AR4" s="147">
        <f>AR5</f>
        <v>45992</v>
      </c>
      <c r="AS4" s="148"/>
      <c r="AT4" s="148"/>
      <c r="AU4" s="148"/>
      <c r="AV4" s="148"/>
      <c r="AW4" s="148"/>
      <c r="AX4" s="149"/>
      <c r="AY4" s="147">
        <f>AY5</f>
        <v>45999</v>
      </c>
      <c r="AZ4" s="148"/>
      <c r="BA4" s="148"/>
      <c r="BB4" s="148"/>
      <c r="BC4" s="148"/>
      <c r="BD4" s="148"/>
      <c r="BE4" s="149"/>
      <c r="BF4" s="147">
        <f>BF5</f>
        <v>46006</v>
      </c>
      <c r="BG4" s="148"/>
      <c r="BH4" s="148"/>
      <c r="BI4" s="148"/>
      <c r="BJ4" s="148"/>
      <c r="BK4" s="148"/>
      <c r="BL4" s="149"/>
    </row>
    <row r="5" spans="1:64" ht="15" customHeight="1" x14ac:dyDescent="0.35">
      <c r="A5" s="121" t="s">
        <v>4</v>
      </c>
      <c r="E5"/>
      <c r="I5" s="89">
        <f>Inicio_del_proyecto-WEEKDAY(Inicio_del_proyecto,1)+2+7*(Semana_para_mostrar-1)</f>
        <v>45957</v>
      </c>
      <c r="J5" s="89">
        <f>I5+1</f>
        <v>45958</v>
      </c>
      <c r="K5" s="89">
        <f t="shared" ref="K5:AX5" si="0">J5+1</f>
        <v>45959</v>
      </c>
      <c r="L5" s="89">
        <f t="shared" si="0"/>
        <v>45960</v>
      </c>
      <c r="M5" s="89">
        <f t="shared" si="0"/>
        <v>45961</v>
      </c>
      <c r="N5" s="89">
        <f t="shared" si="0"/>
        <v>45962</v>
      </c>
      <c r="O5" s="90">
        <f t="shared" si="0"/>
        <v>45963</v>
      </c>
      <c r="P5" s="88">
        <f>O5+1</f>
        <v>45964</v>
      </c>
      <c r="Q5" s="89">
        <f>P5+1</f>
        <v>45965</v>
      </c>
      <c r="R5" s="89">
        <f t="shared" si="0"/>
        <v>45966</v>
      </c>
      <c r="S5" s="89">
        <f t="shared" si="0"/>
        <v>45967</v>
      </c>
      <c r="T5" s="89">
        <f t="shared" si="0"/>
        <v>45968</v>
      </c>
      <c r="U5" s="89">
        <f t="shared" si="0"/>
        <v>45969</v>
      </c>
      <c r="V5" s="90">
        <f t="shared" si="0"/>
        <v>45970</v>
      </c>
      <c r="W5" s="88">
        <f>V5+1</f>
        <v>45971</v>
      </c>
      <c r="X5" s="89">
        <f>W5+1</f>
        <v>45972</v>
      </c>
      <c r="Y5" s="89">
        <f t="shared" si="0"/>
        <v>45973</v>
      </c>
      <c r="Z5" s="89">
        <f t="shared" si="0"/>
        <v>45974</v>
      </c>
      <c r="AA5" s="89">
        <f t="shared" si="0"/>
        <v>45975</v>
      </c>
      <c r="AB5" s="89">
        <f t="shared" si="0"/>
        <v>45976</v>
      </c>
      <c r="AC5" s="90">
        <f t="shared" si="0"/>
        <v>45977</v>
      </c>
      <c r="AD5" s="88">
        <f>AC5+1</f>
        <v>45978</v>
      </c>
      <c r="AE5" s="89">
        <f>AD5+1</f>
        <v>45979</v>
      </c>
      <c r="AF5" s="89">
        <f t="shared" si="0"/>
        <v>45980</v>
      </c>
      <c r="AG5" s="89">
        <f t="shared" si="0"/>
        <v>45981</v>
      </c>
      <c r="AH5" s="89">
        <f t="shared" si="0"/>
        <v>45982</v>
      </c>
      <c r="AI5" s="89">
        <f t="shared" si="0"/>
        <v>45983</v>
      </c>
      <c r="AJ5" s="90">
        <f t="shared" si="0"/>
        <v>45984</v>
      </c>
      <c r="AK5" s="88">
        <f>AJ5+1</f>
        <v>45985</v>
      </c>
      <c r="AL5" s="89">
        <f>AK5+1</f>
        <v>45986</v>
      </c>
      <c r="AM5" s="89">
        <f t="shared" si="0"/>
        <v>45987</v>
      </c>
      <c r="AN5" s="89">
        <f t="shared" si="0"/>
        <v>45988</v>
      </c>
      <c r="AO5" s="89">
        <f t="shared" si="0"/>
        <v>45989</v>
      </c>
      <c r="AP5" s="89">
        <f t="shared" si="0"/>
        <v>45990</v>
      </c>
      <c r="AQ5" s="90">
        <f t="shared" si="0"/>
        <v>45991</v>
      </c>
      <c r="AR5" s="88">
        <f>AQ5+1</f>
        <v>45992</v>
      </c>
      <c r="AS5" s="89">
        <f>AR5+1</f>
        <v>45993</v>
      </c>
      <c r="AT5" s="89">
        <f t="shared" si="0"/>
        <v>45994</v>
      </c>
      <c r="AU5" s="89">
        <f t="shared" si="0"/>
        <v>45995</v>
      </c>
      <c r="AV5" s="89">
        <f t="shared" si="0"/>
        <v>45996</v>
      </c>
      <c r="AW5" s="89">
        <f t="shared" si="0"/>
        <v>45997</v>
      </c>
      <c r="AX5" s="90">
        <f t="shared" si="0"/>
        <v>45998</v>
      </c>
      <c r="AY5" s="88">
        <f t="shared" ref="AY5:BL5" si="1">AX5+1</f>
        <v>45999</v>
      </c>
      <c r="AZ5" s="89">
        <f t="shared" si="1"/>
        <v>46000</v>
      </c>
      <c r="BA5" s="89">
        <f t="shared" si="1"/>
        <v>46001</v>
      </c>
      <c r="BB5" s="89">
        <f t="shared" si="1"/>
        <v>46002</v>
      </c>
      <c r="BC5" s="89">
        <f t="shared" si="1"/>
        <v>46003</v>
      </c>
      <c r="BD5" s="89">
        <f t="shared" si="1"/>
        <v>46004</v>
      </c>
      <c r="BE5" s="90">
        <f t="shared" si="1"/>
        <v>46005</v>
      </c>
      <c r="BF5" s="88">
        <f t="shared" si="1"/>
        <v>46006</v>
      </c>
      <c r="BG5" s="89">
        <f t="shared" si="1"/>
        <v>46007</v>
      </c>
      <c r="BH5" s="89">
        <f t="shared" si="1"/>
        <v>46008</v>
      </c>
      <c r="BI5" s="89">
        <f t="shared" si="1"/>
        <v>46009</v>
      </c>
      <c r="BJ5" s="89">
        <f t="shared" si="1"/>
        <v>46010</v>
      </c>
      <c r="BK5" s="89">
        <f t="shared" si="1"/>
        <v>46011</v>
      </c>
      <c r="BL5" s="90">
        <f t="shared" si="1"/>
        <v>46012</v>
      </c>
    </row>
    <row r="6" spans="1:64" s="22" customFormat="1" ht="30" customHeight="1" thickBot="1" x14ac:dyDescent="0.35">
      <c r="A6" s="123" t="s">
        <v>5</v>
      </c>
      <c r="B6" s="95" t="s">
        <v>12</v>
      </c>
      <c r="C6" s="50" t="s">
        <v>75</v>
      </c>
      <c r="D6" s="50" t="s">
        <v>15</v>
      </c>
      <c r="E6" s="50" t="s">
        <v>16</v>
      </c>
      <c r="F6" s="50" t="s">
        <v>17</v>
      </c>
      <c r="G6" s="50"/>
      <c r="H6" s="50" t="s">
        <v>18</v>
      </c>
      <c r="I6" s="118" t="str">
        <f>LEFT(TEXT(I5,"ddd"),1)</f>
        <v>l</v>
      </c>
      <c r="J6" s="91" t="str">
        <f t="shared" ref="J6:AR6" si="2">LEFT(TEXT(J5,"ddd"),1)</f>
        <v>m</v>
      </c>
      <c r="K6" s="91" t="str">
        <f t="shared" si="2"/>
        <v>m</v>
      </c>
      <c r="L6" s="91" t="str">
        <f t="shared" si="2"/>
        <v>j</v>
      </c>
      <c r="M6" s="91" t="str">
        <f t="shared" si="2"/>
        <v>v</v>
      </c>
      <c r="N6" s="91" t="str">
        <f t="shared" si="2"/>
        <v>s</v>
      </c>
      <c r="O6" s="91" t="str">
        <f t="shared" si="2"/>
        <v>d</v>
      </c>
      <c r="P6" s="91" t="str">
        <f t="shared" si="2"/>
        <v>l</v>
      </c>
      <c r="Q6" s="91" t="str">
        <f t="shared" si="2"/>
        <v>m</v>
      </c>
      <c r="R6" s="91" t="str">
        <f t="shared" si="2"/>
        <v>m</v>
      </c>
      <c r="S6" s="91" t="str">
        <f t="shared" si="2"/>
        <v>j</v>
      </c>
      <c r="T6" s="91" t="str">
        <f t="shared" si="2"/>
        <v>v</v>
      </c>
      <c r="U6" s="91" t="str">
        <f t="shared" si="2"/>
        <v>s</v>
      </c>
      <c r="V6" s="91" t="str">
        <f t="shared" si="2"/>
        <v>d</v>
      </c>
      <c r="W6" s="91" t="str">
        <f t="shared" si="2"/>
        <v>l</v>
      </c>
      <c r="X6" s="91" t="str">
        <f t="shared" si="2"/>
        <v>m</v>
      </c>
      <c r="Y6" s="91" t="str">
        <f t="shared" si="2"/>
        <v>m</v>
      </c>
      <c r="Z6" s="91" t="str">
        <f t="shared" si="2"/>
        <v>j</v>
      </c>
      <c r="AA6" s="91" t="str">
        <f t="shared" si="2"/>
        <v>v</v>
      </c>
      <c r="AB6" s="91" t="str">
        <f t="shared" si="2"/>
        <v>s</v>
      </c>
      <c r="AC6" s="91" t="str">
        <f t="shared" si="2"/>
        <v>d</v>
      </c>
      <c r="AD6" s="91" t="str">
        <f t="shared" si="2"/>
        <v>l</v>
      </c>
      <c r="AE6" s="91" t="str">
        <f t="shared" si="2"/>
        <v>m</v>
      </c>
      <c r="AF6" s="91" t="str">
        <f t="shared" si="2"/>
        <v>m</v>
      </c>
      <c r="AG6" s="91" t="str">
        <f t="shared" si="2"/>
        <v>j</v>
      </c>
      <c r="AH6" s="91" t="str">
        <f t="shared" si="2"/>
        <v>v</v>
      </c>
      <c r="AI6" s="91" t="str">
        <f t="shared" si="2"/>
        <v>s</v>
      </c>
      <c r="AJ6" s="91" t="str">
        <f t="shared" si="2"/>
        <v>d</v>
      </c>
      <c r="AK6" s="91" t="str">
        <f t="shared" si="2"/>
        <v>l</v>
      </c>
      <c r="AL6" s="91" t="str">
        <f t="shared" si="2"/>
        <v>m</v>
      </c>
      <c r="AM6" s="91" t="str">
        <f t="shared" si="2"/>
        <v>m</v>
      </c>
      <c r="AN6" s="91" t="str">
        <f t="shared" si="2"/>
        <v>j</v>
      </c>
      <c r="AO6" s="91" t="str">
        <f t="shared" si="2"/>
        <v>v</v>
      </c>
      <c r="AP6" s="91" t="str">
        <f t="shared" si="2"/>
        <v>s</v>
      </c>
      <c r="AQ6" s="91" t="str">
        <f t="shared" si="2"/>
        <v>d</v>
      </c>
      <c r="AR6" s="91" t="str">
        <f t="shared" si="2"/>
        <v>l</v>
      </c>
      <c r="AS6" s="91" t="str">
        <f t="shared" ref="AS6:BL6" si="3">LEFT(TEXT(AS5,"ddd"),1)</f>
        <v>m</v>
      </c>
      <c r="AT6" s="91" t="str">
        <f t="shared" si="3"/>
        <v>m</v>
      </c>
      <c r="AU6" s="91" t="str">
        <f t="shared" si="3"/>
        <v>j</v>
      </c>
      <c r="AV6" s="91" t="str">
        <f t="shared" si="3"/>
        <v>v</v>
      </c>
      <c r="AW6" s="91" t="str">
        <f t="shared" si="3"/>
        <v>s</v>
      </c>
      <c r="AX6" s="91" t="str">
        <f t="shared" si="3"/>
        <v>d</v>
      </c>
      <c r="AY6" s="91" t="str">
        <f t="shared" si="3"/>
        <v>l</v>
      </c>
      <c r="AZ6" s="91" t="str">
        <f t="shared" si="3"/>
        <v>m</v>
      </c>
      <c r="BA6" s="91" t="str">
        <f t="shared" si="3"/>
        <v>m</v>
      </c>
      <c r="BB6" s="91" t="str">
        <f t="shared" si="3"/>
        <v>j</v>
      </c>
      <c r="BC6" s="91" t="str">
        <f t="shared" si="3"/>
        <v>v</v>
      </c>
      <c r="BD6" s="91" t="str">
        <f t="shared" si="3"/>
        <v>s</v>
      </c>
      <c r="BE6" s="91" t="str">
        <f t="shared" si="3"/>
        <v>d</v>
      </c>
      <c r="BF6" s="91" t="str">
        <f t="shared" si="3"/>
        <v>l</v>
      </c>
      <c r="BG6" s="91" t="str">
        <f t="shared" si="3"/>
        <v>m</v>
      </c>
      <c r="BH6" s="91" t="str">
        <f t="shared" si="3"/>
        <v>m</v>
      </c>
      <c r="BI6" s="91" t="str">
        <f t="shared" si="3"/>
        <v>j</v>
      </c>
      <c r="BJ6" s="91" t="str">
        <f t="shared" si="3"/>
        <v>v</v>
      </c>
      <c r="BK6" s="91" t="str">
        <f t="shared" si="3"/>
        <v>s</v>
      </c>
      <c r="BL6" s="91" t="str">
        <f t="shared" si="3"/>
        <v>d</v>
      </c>
    </row>
    <row r="7" spans="1:64" ht="1.5" customHeight="1" thickBot="1" x14ac:dyDescent="0.4">
      <c r="A7" s="14" t="s">
        <v>6</v>
      </c>
      <c r="B7" s="96"/>
      <c r="C7" s="97"/>
      <c r="D7" s="96"/>
      <c r="E7" s="96"/>
      <c r="F7" s="96"/>
      <c r="G7" s="96"/>
      <c r="H7" s="96" t="str">
        <f>IF(OR(ISBLANK(task_start),ISBLANK(task_end)),"",task_end-task_start+1)</f>
        <v/>
      </c>
      <c r="I7" s="68"/>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row>
    <row r="8" spans="1:64" s="21" customFormat="1" ht="25" customHeight="1" thickBot="1" x14ac:dyDescent="0.4">
      <c r="A8" s="121" t="s">
        <v>7</v>
      </c>
      <c r="B8" s="99" t="s">
        <v>37</v>
      </c>
      <c r="C8" s="100"/>
      <c r="D8" s="60">
        <f>+AVERAGE(D9:D15)</f>
        <v>0.16428571428571428</v>
      </c>
      <c r="E8" s="62"/>
      <c r="F8" s="101">
        <f>+F15-E11+1</f>
        <v>48</v>
      </c>
      <c r="G8" s="62"/>
      <c r="H8" s="102"/>
    </row>
    <row r="9" spans="1:64" s="24" customFormat="1" ht="25" customHeight="1" thickBot="1" x14ac:dyDescent="0.4">
      <c r="A9" s="121" t="s">
        <v>8</v>
      </c>
      <c r="B9" s="103" t="s">
        <v>42</v>
      </c>
      <c r="C9" s="104" t="s">
        <v>47</v>
      </c>
      <c r="D9" s="75">
        <v>0.2</v>
      </c>
      <c r="E9" s="76">
        <f>Inicio_del_proyecto</f>
        <v>45958</v>
      </c>
      <c r="F9" s="76">
        <f>+WORKDAY(E9,10)</f>
        <v>45972</v>
      </c>
      <c r="G9" s="77"/>
      <c r="H9" s="78">
        <f t="shared" ref="H9:H44" si="4">IF(OR(ISBLANK(task_start),ISBLANK(task_end)),"",task_end-task_start+1)</f>
        <v>15</v>
      </c>
      <c r="I9" s="64"/>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row>
    <row r="10" spans="1:64" s="25" customFormat="1" ht="25" customHeight="1" thickBot="1" x14ac:dyDescent="0.4">
      <c r="A10" s="121" t="s">
        <v>8</v>
      </c>
      <c r="B10" s="105" t="s">
        <v>40</v>
      </c>
      <c r="C10" s="106" t="s">
        <v>36</v>
      </c>
      <c r="D10" s="71">
        <v>0.7</v>
      </c>
      <c r="E10" s="72">
        <v>45962</v>
      </c>
      <c r="F10" s="72">
        <f>+WORKDAY(E10,2)</f>
        <v>45965</v>
      </c>
      <c r="G10" s="73"/>
      <c r="H10" s="48">
        <f t="shared" si="4"/>
        <v>4</v>
      </c>
      <c r="I10" s="64"/>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row>
    <row r="11" spans="1:64" s="25" customFormat="1" ht="25" customHeight="1" thickBot="1" x14ac:dyDescent="0.4">
      <c r="A11" s="121"/>
      <c r="B11" s="103" t="s">
        <v>56</v>
      </c>
      <c r="C11" s="104" t="s">
        <v>36</v>
      </c>
      <c r="D11" s="75">
        <v>0.25</v>
      </c>
      <c r="E11" s="76">
        <v>46023</v>
      </c>
      <c r="F11" s="76">
        <f>+WORKDAY(E11,7)</f>
        <v>46034</v>
      </c>
      <c r="G11" s="77"/>
      <c r="H11" s="78"/>
      <c r="I11" s="64"/>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row>
    <row r="12" spans="1:64" s="25" customFormat="1" ht="25" customHeight="1" thickBot="1" x14ac:dyDescent="0.4">
      <c r="A12" s="14"/>
      <c r="B12" s="105" t="s">
        <v>43</v>
      </c>
      <c r="C12" s="106" t="s">
        <v>36</v>
      </c>
      <c r="D12" s="71">
        <v>0</v>
      </c>
      <c r="E12" s="72">
        <f>+F11+1</f>
        <v>46035</v>
      </c>
      <c r="F12" s="72">
        <f>+WORKDAY(E12,4)</f>
        <v>46041</v>
      </c>
      <c r="G12" s="73"/>
      <c r="H12" s="48">
        <f t="shared" si="4"/>
        <v>7</v>
      </c>
      <c r="I12" s="64"/>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row>
    <row r="13" spans="1:64" s="25" customFormat="1" ht="25" customHeight="1" thickBot="1" x14ac:dyDescent="0.4">
      <c r="A13" s="14"/>
      <c r="B13" s="103" t="s">
        <v>44</v>
      </c>
      <c r="C13" s="104" t="s">
        <v>36</v>
      </c>
      <c r="D13" s="75">
        <v>0</v>
      </c>
      <c r="E13" s="76">
        <f>+F12+1</f>
        <v>46042</v>
      </c>
      <c r="F13" s="76">
        <f>+WORKDAY(E13,4)</f>
        <v>46048</v>
      </c>
      <c r="G13" s="77"/>
      <c r="H13" s="78">
        <f t="shared" si="4"/>
        <v>7</v>
      </c>
      <c r="I13" s="64"/>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row>
    <row r="14" spans="1:64" s="25" customFormat="1" ht="25" customHeight="1" thickBot="1" x14ac:dyDescent="0.4">
      <c r="A14" s="14"/>
      <c r="B14" s="105" t="s">
        <v>70</v>
      </c>
      <c r="C14" s="106" t="s">
        <v>36</v>
      </c>
      <c r="D14" s="71">
        <v>0</v>
      </c>
      <c r="E14" s="72">
        <f>+F13+1</f>
        <v>46049</v>
      </c>
      <c r="F14" s="72">
        <f>+WORKDAY(E14,7)</f>
        <v>46058</v>
      </c>
      <c r="G14" s="73"/>
      <c r="H14" s="48"/>
      <c r="I14" s="64"/>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row>
    <row r="15" spans="1:64" s="27" customFormat="1" ht="25" customHeight="1" x14ac:dyDescent="0.35">
      <c r="A15" s="14"/>
      <c r="B15" s="103" t="s">
        <v>76</v>
      </c>
      <c r="C15" s="104" t="s">
        <v>36</v>
      </c>
      <c r="D15" s="75">
        <v>0</v>
      </c>
      <c r="E15" s="76">
        <f>+F14+1</f>
        <v>46059</v>
      </c>
      <c r="F15" s="76">
        <f>+WORKDAY(E15,7)</f>
        <v>46070</v>
      </c>
      <c r="G15" s="77"/>
      <c r="H15" s="78"/>
      <c r="I15" s="98"/>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row>
    <row r="16" spans="1:64" s="29" customFormat="1" ht="25" customHeight="1" thickBot="1" x14ac:dyDescent="0.4">
      <c r="A16" s="121" t="s">
        <v>10</v>
      </c>
      <c r="B16" s="99" t="s">
        <v>65</v>
      </c>
      <c r="C16" s="100"/>
      <c r="D16" s="60">
        <f>+AVERAGE(D17:D23)</f>
        <v>2.8571428571428574E-2</v>
      </c>
      <c r="E16" s="62"/>
      <c r="F16" s="101">
        <f>+F23-E17+1</f>
        <v>36</v>
      </c>
      <c r="G16" s="62"/>
      <c r="H16" s="102"/>
    </row>
    <row r="17" spans="1:64" s="24" customFormat="1" ht="25" customHeight="1" thickBot="1" x14ac:dyDescent="0.4">
      <c r="A17" s="121"/>
      <c r="B17" s="103" t="s">
        <v>67</v>
      </c>
      <c r="C17" s="104" t="s">
        <v>36</v>
      </c>
      <c r="D17" s="75">
        <v>0</v>
      </c>
      <c r="E17" s="76">
        <v>45958</v>
      </c>
      <c r="F17" s="76">
        <f>+WORKDAY(E17,60)</f>
        <v>46042</v>
      </c>
      <c r="G17" s="77"/>
      <c r="H17" s="78">
        <f t="shared" si="4"/>
        <v>85</v>
      </c>
      <c r="I17" s="64"/>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row>
    <row r="18" spans="1:64" s="25" customFormat="1" ht="25" customHeight="1" thickBot="1" x14ac:dyDescent="0.4">
      <c r="A18" s="14"/>
      <c r="B18" s="105" t="s">
        <v>64</v>
      </c>
      <c r="C18" s="106" t="s">
        <v>36</v>
      </c>
      <c r="D18" s="71">
        <v>0</v>
      </c>
      <c r="E18" s="72">
        <v>45978</v>
      </c>
      <c r="F18" s="72">
        <f>+WORKDAY(E18,2)</f>
        <v>45980</v>
      </c>
      <c r="G18" s="73"/>
      <c r="H18" s="48">
        <f t="shared" si="4"/>
        <v>3</v>
      </c>
      <c r="I18" s="68"/>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row>
    <row r="19" spans="1:64" s="25" customFormat="1" ht="25" customHeight="1" thickBot="1" x14ac:dyDescent="0.4">
      <c r="A19" s="14"/>
      <c r="B19" s="103" t="s">
        <v>63</v>
      </c>
      <c r="C19" s="104" t="s">
        <v>36</v>
      </c>
      <c r="D19" s="75">
        <v>0</v>
      </c>
      <c r="E19" s="76">
        <v>45978</v>
      </c>
      <c r="F19" s="76">
        <f>+WORKDAY(E19,2)</f>
        <v>45980</v>
      </c>
      <c r="G19" s="77"/>
      <c r="H19" s="78">
        <f t="shared" si="4"/>
        <v>3</v>
      </c>
      <c r="I19" s="68"/>
      <c r="J19" s="6"/>
      <c r="K19" s="6"/>
      <c r="L19" s="6"/>
      <c r="M19" s="6"/>
      <c r="N19" s="6"/>
      <c r="O19" s="6"/>
      <c r="P19" s="6"/>
      <c r="Q19" s="6"/>
      <c r="R19" s="6"/>
      <c r="S19" s="6"/>
      <c r="T19" s="6"/>
      <c r="U19" s="6"/>
      <c r="V19" s="6"/>
      <c r="W19" s="6"/>
      <c r="X19" s="6"/>
      <c r="Y19" s="7"/>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row>
    <row r="20" spans="1:64" s="25" customFormat="1" ht="25" customHeight="1" thickBot="1" x14ac:dyDescent="0.4">
      <c r="A20" s="14"/>
      <c r="B20" s="105" t="s">
        <v>66</v>
      </c>
      <c r="C20" s="106" t="s">
        <v>36</v>
      </c>
      <c r="D20" s="71">
        <v>0.2</v>
      </c>
      <c r="E20" s="72">
        <v>45959</v>
      </c>
      <c r="F20" s="72">
        <f>+WORKDAY(E20,10)</f>
        <v>45973</v>
      </c>
      <c r="G20" s="73"/>
      <c r="H20" s="48">
        <f t="shared" si="4"/>
        <v>15</v>
      </c>
      <c r="I20" s="68"/>
      <c r="J20" s="6"/>
      <c r="K20" s="6"/>
      <c r="L20" s="6"/>
      <c r="M20" s="6"/>
      <c r="N20" s="6"/>
      <c r="O20" s="6"/>
      <c r="P20" s="6"/>
      <c r="Q20" s="6"/>
      <c r="R20" s="6"/>
      <c r="S20" s="6"/>
      <c r="T20" s="6"/>
      <c r="U20" s="7"/>
      <c r="V20" s="7"/>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row>
    <row r="21" spans="1:64" s="25" customFormat="1" ht="25" customHeight="1" thickBot="1" x14ac:dyDescent="0.4">
      <c r="A21" s="121"/>
      <c r="B21" s="103" t="s">
        <v>77</v>
      </c>
      <c r="C21" s="104" t="s">
        <v>36</v>
      </c>
      <c r="D21" s="75">
        <v>0</v>
      </c>
      <c r="E21" s="76">
        <f>+F20+1</f>
        <v>45974</v>
      </c>
      <c r="F21" s="76">
        <f>+WORKDAY(E21,4)</f>
        <v>45980</v>
      </c>
      <c r="G21" s="77"/>
      <c r="H21" s="78">
        <f t="shared" si="4"/>
        <v>7</v>
      </c>
      <c r="I21" s="68"/>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row>
    <row r="22" spans="1:64" s="25" customFormat="1" ht="25" customHeight="1" thickBot="1" x14ac:dyDescent="0.4">
      <c r="A22" s="14"/>
      <c r="B22" s="105" t="s">
        <v>62</v>
      </c>
      <c r="C22" s="106" t="s">
        <v>36</v>
      </c>
      <c r="D22" s="71">
        <v>0</v>
      </c>
      <c r="E22" s="72">
        <f>+F19+1</f>
        <v>45981</v>
      </c>
      <c r="F22" s="72">
        <f>+WORKDAY(E22,3)</f>
        <v>45986</v>
      </c>
      <c r="G22" s="73"/>
      <c r="H22" s="48">
        <f t="shared" si="4"/>
        <v>6</v>
      </c>
      <c r="I22" s="68"/>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row>
    <row r="23" spans="1:64" s="27" customFormat="1" ht="25" customHeight="1" x14ac:dyDescent="0.35">
      <c r="A23" s="121"/>
      <c r="B23" s="103" t="s">
        <v>68</v>
      </c>
      <c r="C23" s="104" t="s">
        <v>36</v>
      </c>
      <c r="D23" s="75">
        <v>0</v>
      </c>
      <c r="E23" s="76">
        <f>+F22+1</f>
        <v>45987</v>
      </c>
      <c r="F23" s="76">
        <f>+WORKDAY(E23,4)</f>
        <v>45993</v>
      </c>
      <c r="G23" s="77"/>
      <c r="H23" s="78">
        <f t="shared" si="4"/>
        <v>7</v>
      </c>
      <c r="I23" s="83"/>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row>
    <row r="24" spans="1:64" s="28" customFormat="1" ht="25" customHeight="1" thickBot="1" x14ac:dyDescent="0.4">
      <c r="A24" s="14" t="s">
        <v>11</v>
      </c>
      <c r="B24" s="99" t="s">
        <v>38</v>
      </c>
      <c r="C24" s="100"/>
      <c r="D24" s="60">
        <f>+AVERAGE(D25:D40)</f>
        <v>0.39437499999999998</v>
      </c>
      <c r="E24" s="62"/>
      <c r="F24" s="101">
        <f>+F40-E25+1</f>
        <v>74</v>
      </c>
      <c r="G24" s="62"/>
      <c r="H24" s="102"/>
    </row>
    <row r="25" spans="1:64" s="24" customFormat="1" ht="25" customHeight="1" thickBot="1" x14ac:dyDescent="0.4">
      <c r="A25" s="14"/>
      <c r="B25" s="103" t="s">
        <v>58</v>
      </c>
      <c r="C25" s="104" t="s">
        <v>36</v>
      </c>
      <c r="D25" s="75">
        <v>0</v>
      </c>
      <c r="E25" s="76">
        <v>45962</v>
      </c>
      <c r="F25" s="76">
        <f>+WORKDAY(E25,4)</f>
        <v>45967</v>
      </c>
      <c r="G25" s="77"/>
      <c r="H25" s="78">
        <f t="shared" si="4"/>
        <v>6</v>
      </c>
      <c r="I25" s="64"/>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row>
    <row r="26" spans="1:64" s="25" customFormat="1" ht="25" customHeight="1" thickBot="1" x14ac:dyDescent="0.4">
      <c r="A26" s="121" t="s">
        <v>9</v>
      </c>
      <c r="B26" s="105" t="s">
        <v>39</v>
      </c>
      <c r="C26" s="106" t="s">
        <v>36</v>
      </c>
      <c r="D26" s="71">
        <v>0.9</v>
      </c>
      <c r="E26" s="72">
        <f>+F25</f>
        <v>45967</v>
      </c>
      <c r="F26" s="72">
        <f>+WORKDAY(E26,0)</f>
        <v>45967</v>
      </c>
      <c r="G26" s="73"/>
      <c r="H26" s="48">
        <f t="shared" si="4"/>
        <v>1</v>
      </c>
      <c r="I26" s="68"/>
      <c r="J26" s="6"/>
      <c r="K26" s="6"/>
      <c r="L26" s="6"/>
      <c r="M26" s="6"/>
      <c r="N26" s="6"/>
      <c r="O26" s="6"/>
      <c r="P26" s="6"/>
      <c r="Q26" s="6"/>
      <c r="R26" s="6"/>
      <c r="S26" s="6"/>
      <c r="T26" s="6"/>
      <c r="U26" s="7"/>
      <c r="V26" s="7"/>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row>
    <row r="27" spans="1:64" s="25" customFormat="1" ht="25" customHeight="1" thickBot="1" x14ac:dyDescent="0.4">
      <c r="A27" s="14"/>
      <c r="B27" s="103" t="s">
        <v>41</v>
      </c>
      <c r="C27" s="104" t="s">
        <v>36</v>
      </c>
      <c r="D27" s="75">
        <v>0.9</v>
      </c>
      <c r="E27" s="76">
        <f>+F26+0</f>
        <v>45967</v>
      </c>
      <c r="F27" s="76">
        <f>+WORKDAY(E27,0)</f>
        <v>45967</v>
      </c>
      <c r="G27" s="77"/>
      <c r="H27" s="78">
        <f t="shared" si="4"/>
        <v>1</v>
      </c>
      <c r="I27" s="68"/>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row>
    <row r="28" spans="1:64" s="25" customFormat="1" ht="25" customHeight="1" thickBot="1" x14ac:dyDescent="0.4">
      <c r="A28" s="14"/>
      <c r="B28" s="105" t="s">
        <v>45</v>
      </c>
      <c r="C28" s="106" t="s">
        <v>36</v>
      </c>
      <c r="D28" s="71">
        <v>0.7</v>
      </c>
      <c r="E28" s="72">
        <f>+F25+1</f>
        <v>45968</v>
      </c>
      <c r="F28" s="72">
        <f>+WORKDAY(E28,3)</f>
        <v>45973</v>
      </c>
      <c r="G28" s="73"/>
      <c r="H28" s="48">
        <f t="shared" si="4"/>
        <v>6</v>
      </c>
      <c r="I28" s="68"/>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row>
    <row r="29" spans="1:64" s="25" customFormat="1" ht="25" customHeight="1" thickBot="1" x14ac:dyDescent="0.4">
      <c r="A29" s="14"/>
      <c r="B29" s="103" t="s">
        <v>46</v>
      </c>
      <c r="C29" s="104" t="s">
        <v>36</v>
      </c>
      <c r="D29" s="75">
        <v>0.2</v>
      </c>
      <c r="E29" s="76">
        <f t="shared" ref="E29:E40" si="5">+F28+1</f>
        <v>45974</v>
      </c>
      <c r="F29" s="76">
        <f>+WORKDAY(E29,3)</f>
        <v>45979</v>
      </c>
      <c r="G29" s="77"/>
      <c r="H29" s="78">
        <f t="shared" si="4"/>
        <v>6</v>
      </c>
      <c r="I29" s="68"/>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row>
    <row r="30" spans="1:64" s="25" customFormat="1" ht="25" customHeight="1" thickBot="1" x14ac:dyDescent="0.4">
      <c r="A30" s="14"/>
      <c r="B30" s="105" t="s">
        <v>73</v>
      </c>
      <c r="C30" s="106" t="s">
        <v>36</v>
      </c>
      <c r="D30" s="71">
        <v>0.01</v>
      </c>
      <c r="E30" s="72">
        <f>+F29+1</f>
        <v>45980</v>
      </c>
      <c r="F30" s="72">
        <f>+WORKDAY(E30,1)</f>
        <v>45981</v>
      </c>
      <c r="G30" s="73"/>
      <c r="H30" s="48">
        <f t="shared" si="4"/>
        <v>2</v>
      </c>
      <c r="I30" s="68"/>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row>
    <row r="31" spans="1:64" s="25" customFormat="1" ht="25" customHeight="1" thickBot="1" x14ac:dyDescent="0.4">
      <c r="A31" s="14"/>
      <c r="B31" s="103" t="s">
        <v>51</v>
      </c>
      <c r="C31" s="104" t="s">
        <v>36</v>
      </c>
      <c r="D31" s="75">
        <v>0.5</v>
      </c>
      <c r="E31" s="76">
        <f t="shared" si="5"/>
        <v>45982</v>
      </c>
      <c r="F31" s="76">
        <f>+WORKDAY(E31,3)</f>
        <v>45987</v>
      </c>
      <c r="G31" s="77"/>
      <c r="H31" s="78">
        <f t="shared" si="4"/>
        <v>6</v>
      </c>
      <c r="I31" s="68"/>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row>
    <row r="32" spans="1:64" s="25" customFormat="1" ht="25" customHeight="1" thickBot="1" x14ac:dyDescent="0.4">
      <c r="A32" s="14"/>
      <c r="B32" s="105" t="s">
        <v>52</v>
      </c>
      <c r="C32" s="106" t="s">
        <v>36</v>
      </c>
      <c r="D32" s="71">
        <v>0.5</v>
      </c>
      <c r="E32" s="72">
        <f t="shared" si="5"/>
        <v>45988</v>
      </c>
      <c r="F32" s="72">
        <f>+WORKDAY(E32,3)</f>
        <v>45993</v>
      </c>
      <c r="G32" s="73"/>
      <c r="H32" s="48">
        <f t="shared" si="4"/>
        <v>6</v>
      </c>
      <c r="I32" s="68"/>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row>
    <row r="33" spans="1:64" s="25" customFormat="1" ht="25" customHeight="1" thickBot="1" x14ac:dyDescent="0.4">
      <c r="A33" s="14"/>
      <c r="B33" s="103" t="s">
        <v>49</v>
      </c>
      <c r="C33" s="104" t="s">
        <v>36</v>
      </c>
      <c r="D33" s="75">
        <v>0.5</v>
      </c>
      <c r="E33" s="76">
        <f t="shared" si="5"/>
        <v>45994</v>
      </c>
      <c r="F33" s="76">
        <f>+WORKDAY(E33,3)</f>
        <v>45999</v>
      </c>
      <c r="G33" s="77"/>
      <c r="H33" s="78">
        <f t="shared" si="4"/>
        <v>6</v>
      </c>
      <c r="I33" s="68"/>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row>
    <row r="34" spans="1:64" s="25" customFormat="1" ht="25" customHeight="1" thickBot="1" x14ac:dyDescent="0.4">
      <c r="A34" s="14"/>
      <c r="B34" s="105" t="s">
        <v>50</v>
      </c>
      <c r="C34" s="106" t="s">
        <v>36</v>
      </c>
      <c r="D34" s="71">
        <v>0.5</v>
      </c>
      <c r="E34" s="72">
        <f t="shared" si="5"/>
        <v>46000</v>
      </c>
      <c r="F34" s="72">
        <f>+WORKDAY(E34,3)</f>
        <v>46003</v>
      </c>
      <c r="G34" s="73"/>
      <c r="H34" s="48">
        <f t="shared" si="4"/>
        <v>4</v>
      </c>
      <c r="I34" s="68"/>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row>
    <row r="35" spans="1:64" s="25" customFormat="1" ht="25" customHeight="1" thickBot="1" x14ac:dyDescent="0.4">
      <c r="A35" s="14"/>
      <c r="B35" s="103" t="s">
        <v>48</v>
      </c>
      <c r="C35" s="104" t="s">
        <v>36</v>
      </c>
      <c r="D35" s="75">
        <v>0.8</v>
      </c>
      <c r="E35" s="76">
        <f t="shared" si="5"/>
        <v>46004</v>
      </c>
      <c r="F35" s="76">
        <f>+WORKDAY(E35,2)</f>
        <v>46007</v>
      </c>
      <c r="G35" s="77"/>
      <c r="H35" s="78">
        <f t="shared" si="4"/>
        <v>4</v>
      </c>
      <c r="I35" s="68"/>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row>
    <row r="36" spans="1:64" s="25" customFormat="1" ht="25" customHeight="1" thickBot="1" x14ac:dyDescent="0.4">
      <c r="A36" s="14"/>
      <c r="B36" s="105" t="s">
        <v>72</v>
      </c>
      <c r="C36" s="106" t="s">
        <v>36</v>
      </c>
      <c r="D36" s="71">
        <v>0.1</v>
      </c>
      <c r="E36" s="72">
        <f t="shared" si="5"/>
        <v>46008</v>
      </c>
      <c r="F36" s="72">
        <f>+WORKDAY(E36,3)</f>
        <v>46013</v>
      </c>
      <c r="G36" s="73"/>
      <c r="H36" s="48"/>
      <c r="I36" s="68"/>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row>
    <row r="37" spans="1:64" s="25" customFormat="1" ht="25" customHeight="1" thickBot="1" x14ac:dyDescent="0.4">
      <c r="A37" s="14"/>
      <c r="B37" s="103" t="s">
        <v>53</v>
      </c>
      <c r="C37" s="104" t="s">
        <v>36</v>
      </c>
      <c r="D37" s="75">
        <v>0</v>
      </c>
      <c r="E37" s="76">
        <f t="shared" si="5"/>
        <v>46014</v>
      </c>
      <c r="F37" s="76">
        <f>+WORKDAY(E37,3)</f>
        <v>46017</v>
      </c>
      <c r="G37" s="77"/>
      <c r="H37" s="78"/>
      <c r="I37" s="68"/>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row>
    <row r="38" spans="1:64" s="25" customFormat="1" ht="25" customHeight="1" thickBot="1" x14ac:dyDescent="0.4">
      <c r="A38" s="14"/>
      <c r="B38" s="105" t="s">
        <v>54</v>
      </c>
      <c r="C38" s="106" t="s">
        <v>36</v>
      </c>
      <c r="D38" s="71">
        <v>0</v>
      </c>
      <c r="E38" s="72">
        <f t="shared" si="5"/>
        <v>46018</v>
      </c>
      <c r="F38" s="72">
        <f>+WORKDAY(E38,3)</f>
        <v>46022</v>
      </c>
      <c r="G38" s="73"/>
      <c r="H38" s="48"/>
      <c r="I38" s="68"/>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row>
    <row r="39" spans="1:64" s="25" customFormat="1" ht="25" customHeight="1" thickBot="1" x14ac:dyDescent="0.4">
      <c r="A39" s="14"/>
      <c r="B39" s="103" t="s">
        <v>55</v>
      </c>
      <c r="C39" s="104" t="s">
        <v>36</v>
      </c>
      <c r="D39" s="75">
        <v>0.5</v>
      </c>
      <c r="E39" s="76">
        <f t="shared" si="5"/>
        <v>46023</v>
      </c>
      <c r="F39" s="76">
        <f>+WORKDAY(E39,1)</f>
        <v>46024</v>
      </c>
      <c r="G39" s="77"/>
      <c r="H39" s="78"/>
      <c r="I39" s="68"/>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row>
    <row r="40" spans="1:64" s="27" customFormat="1" ht="25" customHeight="1" x14ac:dyDescent="0.35">
      <c r="A40" s="14"/>
      <c r="B40" s="105" t="s">
        <v>69</v>
      </c>
      <c r="C40" s="106" t="s">
        <v>36</v>
      </c>
      <c r="D40" s="71">
        <v>0.2</v>
      </c>
      <c r="E40" s="72">
        <f t="shared" si="5"/>
        <v>46025</v>
      </c>
      <c r="F40" s="72">
        <f>+WORKDAY(E40,7)</f>
        <v>46035</v>
      </c>
      <c r="G40" s="73"/>
      <c r="H40" s="48">
        <f t="shared" si="4"/>
        <v>11</v>
      </c>
      <c r="I40" s="83"/>
      <c r="J40" s="26"/>
      <c r="K40" s="26"/>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row>
    <row r="41" spans="1:64" s="30" customFormat="1" ht="25" customHeight="1" thickBot="1" x14ac:dyDescent="0.4">
      <c r="A41" s="14" t="s">
        <v>11</v>
      </c>
      <c r="B41" s="99" t="s">
        <v>74</v>
      </c>
      <c r="C41" s="100"/>
      <c r="D41" s="60">
        <f>+AVERAGE(D42:D44)</f>
        <v>3.3333333333333333E-2</v>
      </c>
      <c r="E41" s="62"/>
      <c r="F41" s="101">
        <f>+F44-E42+1</f>
        <v>38</v>
      </c>
      <c r="G41" s="62"/>
      <c r="H41" s="102"/>
    </row>
    <row r="42" spans="1:64" s="24" customFormat="1" ht="25" customHeight="1" thickBot="1" x14ac:dyDescent="0.4">
      <c r="A42" s="14"/>
      <c r="B42" s="105" t="s">
        <v>59</v>
      </c>
      <c r="C42" s="115" t="s">
        <v>71</v>
      </c>
      <c r="D42" s="71">
        <v>0.1</v>
      </c>
      <c r="E42" s="72">
        <v>45958</v>
      </c>
      <c r="F42" s="72">
        <f>+WORKDAY(E42,5)</f>
        <v>45965</v>
      </c>
      <c r="G42" s="73"/>
      <c r="H42" s="48">
        <f t="shared" si="4"/>
        <v>8</v>
      </c>
      <c r="I42" s="64"/>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row>
    <row r="43" spans="1:64" s="25" customFormat="1" ht="25" customHeight="1" thickBot="1" x14ac:dyDescent="0.4">
      <c r="A43" s="14"/>
      <c r="B43" s="103" t="s">
        <v>60</v>
      </c>
      <c r="C43" s="114" t="s">
        <v>71</v>
      </c>
      <c r="D43" s="75">
        <v>0</v>
      </c>
      <c r="E43" s="76">
        <f>+F42+1</f>
        <v>45966</v>
      </c>
      <c r="F43" s="76">
        <f>+WORKDAY(E43,10)</f>
        <v>45980</v>
      </c>
      <c r="G43" s="77"/>
      <c r="H43" s="78">
        <f t="shared" si="4"/>
        <v>15</v>
      </c>
      <c r="I43" s="68"/>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row>
    <row r="44" spans="1:64" s="27" customFormat="1" ht="25" customHeight="1" x14ac:dyDescent="0.35">
      <c r="A44" s="14"/>
      <c r="B44" s="119" t="s">
        <v>61</v>
      </c>
      <c r="C44" s="120" t="s">
        <v>71</v>
      </c>
      <c r="D44" s="79">
        <v>0</v>
      </c>
      <c r="E44" s="80">
        <f>+F43+1</f>
        <v>45981</v>
      </c>
      <c r="F44" s="80">
        <f>+WORKDAY(E44,10)</f>
        <v>45995</v>
      </c>
      <c r="G44" s="81"/>
      <c r="H44" s="82">
        <f t="shared" si="4"/>
        <v>15</v>
      </c>
      <c r="I44" s="83"/>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row>
    <row r="45" spans="1:64" ht="30" customHeight="1" x14ac:dyDescent="0.35">
      <c r="G45" s="3"/>
    </row>
    <row r="46" spans="1:64" ht="30" customHeight="1" x14ac:dyDescent="0.35">
      <c r="C46" s="4"/>
      <c r="F46" s="15"/>
    </row>
    <row r="47" spans="1:64" ht="30" customHeight="1" x14ac:dyDescent="0.35">
      <c r="C47" s="5"/>
    </row>
    <row r="68" spans="2:2" ht="30" customHeight="1" x14ac:dyDescent="0.35">
      <c r="B68" t="s">
        <v>73</v>
      </c>
    </row>
    <row r="69" spans="2:2" ht="30" customHeight="1" x14ac:dyDescent="0.35">
      <c r="B69" t="s">
        <v>57</v>
      </c>
    </row>
  </sheetData>
  <mergeCells count="11">
    <mergeCell ref="BF4:BL4"/>
    <mergeCell ref="E3:F3"/>
    <mergeCell ref="I4:O4"/>
    <mergeCell ref="P4:V4"/>
    <mergeCell ref="W4:AC4"/>
    <mergeCell ref="AD4:AJ4"/>
    <mergeCell ref="C3:D3"/>
    <mergeCell ref="C4:D4"/>
    <mergeCell ref="AK4:AQ4"/>
    <mergeCell ref="AR4:AX4"/>
    <mergeCell ref="AY4:BE4"/>
  </mergeCells>
  <conditionalFormatting sqref="D7:D44">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7 G9:BL15 I16:BL23 I25:BL44">
    <cfRule type="expression" dxfId="2" priority="33">
      <formula>AND(TODAY()&gt;=G$5,TODAY()&lt;H$5)</formula>
    </cfRule>
  </conditionalFormatting>
  <conditionalFormatting sqref="I7:BL7 G9:BL15 I16:BL23 I25:BL44">
    <cfRule type="expression" dxfId="1" priority="27">
      <formula>AND(task_start&lt;=G$5,ROUNDDOWN((task_end-task_start+1)*task_progress,0)+task_start-1&gt;=G$5)</formula>
    </cfRule>
    <cfRule type="expression" dxfId="0" priority="28" stopIfTrue="1">
      <formula>AND(task_end&gt;=G$5,task_start&lt;H$5)</formula>
    </cfRule>
  </conditionalFormatting>
  <dataValidations count="1">
    <dataValidation type="whole" operator="greaterThanOrEqual" allowBlank="1" showInputMessage="1" promptTitle="Mostrar semana" prompt="Al cambiar este número, se desplazará la vista del diagrama de Gantt." sqref="E4" xr:uid="{00000000-0002-0000-0000-000000000000}">
      <formula1>1</formula1>
    </dataValidation>
  </dataValidations>
  <printOptions horizontalCentered="1"/>
  <pageMargins left="0.35" right="0.35" top="0.35" bottom="0.5" header="0.3" footer="0.3"/>
  <pageSetup paperSize="9" scale="50" fitToHeight="0" orientation="landscape" r:id="rId1"/>
  <headerFooter differentFirst="1" scaleWithDoc="0">
    <oddFooter>Page &amp;P of &amp;N</oddFooter>
  </headerFooter>
  <ignoredErrors>
    <ignoredError sqref="F30" formula="1"/>
  </ignoredErrors>
  <legacyDrawing r:id="rId2"/>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D7:D44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topLeftCell="A12" zoomScaleNormal="100" workbookViewId="0"/>
  </sheetViews>
  <sheetFormatPr baseColWidth="10" defaultColWidth="9.1796875" defaultRowHeight="13" x14ac:dyDescent="0.3"/>
  <cols>
    <col min="1" max="1" width="87.1796875" style="8" customWidth="1"/>
    <col min="2" max="16384" width="9.1796875" style="1"/>
  </cols>
  <sheetData>
    <row r="1" spans="1:2" ht="46.5" customHeight="1" x14ac:dyDescent="0.3"/>
    <row r="2" spans="1:2" s="10" customFormat="1" ht="23.5" x14ac:dyDescent="0.35">
      <c r="A2" s="33" t="s">
        <v>19</v>
      </c>
      <c r="B2" s="9"/>
    </row>
    <row r="3" spans="1:2" s="12" customFormat="1" ht="27" customHeight="1" x14ac:dyDescent="0.35">
      <c r="A3" s="34" t="s">
        <v>20</v>
      </c>
      <c r="B3" s="13"/>
    </row>
    <row r="4" spans="1:2" s="11" customFormat="1" ht="26" x14ac:dyDescent="0.6">
      <c r="A4" s="38" t="s">
        <v>21</v>
      </c>
    </row>
    <row r="5" spans="1:2" ht="74.150000000000006" customHeight="1" x14ac:dyDescent="0.3">
      <c r="A5" s="35" t="s">
        <v>22</v>
      </c>
    </row>
    <row r="6" spans="1:2" ht="26.25" customHeight="1" x14ac:dyDescent="0.3">
      <c r="A6" s="38" t="s">
        <v>23</v>
      </c>
    </row>
    <row r="7" spans="1:2" s="8" customFormat="1" ht="215.25" customHeight="1" x14ac:dyDescent="0.35">
      <c r="A7" s="36" t="s">
        <v>24</v>
      </c>
    </row>
    <row r="8" spans="1:2" s="11" customFormat="1" ht="26" x14ac:dyDescent="0.6">
      <c r="A8" s="38" t="s">
        <v>25</v>
      </c>
    </row>
    <row r="9" spans="1:2" ht="72.5" x14ac:dyDescent="0.3">
      <c r="A9" s="35" t="s">
        <v>26</v>
      </c>
    </row>
    <row r="10" spans="1:2" s="8" customFormat="1" ht="28" customHeight="1" x14ac:dyDescent="0.35">
      <c r="A10" s="37" t="s">
        <v>27</v>
      </c>
    </row>
    <row r="11" spans="1:2" s="11" customFormat="1" ht="26" x14ac:dyDescent="0.6">
      <c r="A11" s="38" t="s">
        <v>28</v>
      </c>
    </row>
    <row r="12" spans="1:2" ht="29" x14ac:dyDescent="0.3">
      <c r="A12" s="35" t="s">
        <v>29</v>
      </c>
    </row>
    <row r="13" spans="1:2" s="8" customFormat="1" ht="28" customHeight="1" x14ac:dyDescent="0.35">
      <c r="A13" s="37" t="s">
        <v>30</v>
      </c>
    </row>
    <row r="14" spans="1:2" s="11" customFormat="1" ht="26" x14ac:dyDescent="0.6">
      <c r="A14" s="38" t="s">
        <v>31</v>
      </c>
    </row>
    <row r="15" spans="1:2" ht="96.75" customHeight="1" x14ac:dyDescent="0.3">
      <c r="A15" s="35" t="s">
        <v>32</v>
      </c>
    </row>
    <row r="16" spans="1:2" ht="87" x14ac:dyDescent="0.3">
      <c r="A16" s="35" t="s">
        <v>33</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xl/worksheets/sheet5.xml><?xml version="1.0" encoding="utf-8"?>
<worksheet xmlns="http://schemas.openxmlformats.org/spreadsheetml/2006/main" xmlns:r="http://schemas.openxmlformats.org/officeDocument/2006/relationships">
  <dimension ref="A1:K34"/>
  <sheetViews>
    <sheetView showGridLines="0" workbookViewId="0"/>
  </sheetViews>
  <sheetFormatPr defaultRowHeight="15"/>
  <cols>
    <col min="1" max="1" width="2.5" customWidth="1"/>
    <col min="2" max="2" width="22" customWidth="1"/>
    <col min="3" max="8" width="13" customWidth="1"/>
    <col min="9" max="9" width="14" customWidth="1"/>
    <col min="11" max="11" width="9" hidden="1"/>
  </cols>
  <sheetData>
    <row r="1" ht="28" customHeight="1">
      <c r="B1" s="169" t="inlineStr">
        <is>
          <t xml:space="preserve">TABLERO EJECUTIVO — PROYECTO DATOS OP. COMPLEJAS</t>
        </is>
      </c>
      <c r="C1" s="169"/>
      <c r="D1" s="169"/>
      <c r="E1" s="169"/>
      <c r="F1" s="169"/>
      <c r="G1" s="169"/>
      <c r="H1" s="169"/>
      <c r="I1" s="169"/>
    </row>
    <row r="2" ht="16" customHeight="1">
      <c r="B2" s="170">
        <f>"IHSA S.A.  ·  Responsable: "&amp;'Proyecto Datos (OKR´s)'!$G$3&amp;"  ·  Inicio: "&amp;TEXT('Proyecto Datos (OKR´s)'!$K$3,"dd/mm/yyyy")&amp;"  ·  Actualizado al "&amp;TEXT(TODAY(),"dd/mm/yyyy")</f>
      </c>
      <c r="C2" s="170"/>
      <c r="D2" s="170"/>
      <c r="E2" s="170"/>
      <c r="F2" s="170"/>
      <c r="G2" s="170"/>
      <c r="H2" s="170"/>
      <c r="I2" s="170"/>
    </row>
    <row r="4" ht="16" customHeight="1">
      <c r="B4" s="186" t="inlineStr">
        <is>
          <t xml:space="preserve">Avance Global</t>
        </is>
      </c>
      <c r="C4" s="186"/>
      <c r="D4" s="186" t="inlineStr">
        <is>
          <t xml:space="preserve">Tareas</t>
        </is>
      </c>
      <c r="E4" s="186" t="inlineStr">
        <is>
          <t xml:space="preserve">Completadas</t>
        </is>
      </c>
      <c r="F4" s="186" t="inlineStr">
        <is>
          <t xml:space="preserve">En curso</t>
        </is>
      </c>
      <c r="G4" s="186" t="inlineStr">
        <is>
          <t xml:space="preserve">Próximas (≤7d)</t>
        </is>
      </c>
      <c r="H4" s="186" t="inlineStr">
        <is>
          <t xml:space="preserve">Vencidas</t>
        </is>
      </c>
      <c r="I4" s="186"/>
    </row>
    <row r="5" ht="30" customHeight="1">
      <c r="B5" s="185">
        <f>IFERROR(AVERAGE('_Datos'!$I$7:$I$200),0)</f>
      </c>
      <c r="C5" s="183"/>
      <c r="D5" s="183">
        <f>COUNT('_Datos'!$H$7:$H$200)</f>
      </c>
      <c r="E5" s="183">
        <f>COUNTIF('_Datos'!$J$7:$J$200,"Completado")</f>
      </c>
      <c r="F5" s="183">
        <f>COUNTIF('_Datos'!$J$7:$J$200,"En curso")</f>
      </c>
      <c r="G5" s="183">
        <f>COUNTIF('_Datos'!$J$7:$J$200,"Próximo a vencer")</f>
      </c>
      <c r="H5" s="184">
        <f>COUNTIF('_Datos'!$J$7:$J$200,"Vencido")</f>
      </c>
      <c r="I5" s="183"/>
    </row>
    <row r="8">
      <c r="B8" s="172" t="inlineStr">
        <is>
          <t xml:space="preserve">AVANCE POR MÓDULO (OKR)</t>
        </is>
      </c>
      <c r="C8" s="172"/>
      <c r="D8" s="172"/>
      <c r="E8" s="172"/>
      <c r="F8" s="172"/>
      <c r="G8" s="172"/>
      <c r="H8" s="172"/>
      <c r="I8" s="172"/>
    </row>
    <row r="9">
      <c r="B9" s="174" t="inlineStr">
        <is>
          <t xml:space="preserve">Módulo / Entregable</t>
        </is>
      </c>
      <c r="C9" s="173"/>
      <c r="D9" s="173"/>
      <c r="E9" s="173"/>
      <c r="F9" s="173"/>
      <c r="G9" s="173" t="inlineStr">
        <is>
          <t xml:space="preserve">Tareas</t>
        </is>
      </c>
      <c r="H9" s="173" t="inlineStr">
        <is>
          <t xml:space="preserve">% Avance</t>
        </is>
      </c>
      <c r="I9" s="173" t="inlineStr">
        <is>
          <t xml:space="preserve">Avance</t>
        </is>
      </c>
    </row>
    <row r="10">
      <c r="B10" s="203">
        <f>'Proyecto Datos (OKR´s)'!$G$7</f>
      </c>
      <c r="C10" s="203"/>
      <c r="D10" s="203"/>
      <c r="E10" s="203"/>
      <c r="F10" s="203"/>
      <c r="G10" s="178">
        <f>COUNTIF('_Datos'!$D$7:$D$200,$B10)</f>
      </c>
      <c r="H10" s="180">
        <f>IFERROR(AVERAGEIF('_Datos'!$D$7:$D$200,$B10,'_Datos'!$I$7:$I$200),"")</f>
      </c>
      <c r="I10" s="180">
        <f>IFERROR(AVERAGEIF('_Datos'!$D$7:$D$200,$B10,'_Datos'!$I$7:$I$200),"")</f>
      </c>
    </row>
    <row r="11">
      <c r="B11" s="203">
        <f>'Proyecto Datos (OKR´s)'!$G$9</f>
      </c>
      <c r="C11" s="203"/>
      <c r="D11" s="203"/>
      <c r="E11" s="203"/>
      <c r="F11" s="203"/>
      <c r="G11" s="178">
        <f>COUNTIF('_Datos'!$D$7:$D$200,$B11)</f>
      </c>
      <c r="H11" s="180">
        <f>IFERROR(AVERAGEIF('_Datos'!$D$7:$D$200,$B11,'_Datos'!$I$7:$I$200),"")</f>
      </c>
      <c r="I11" s="180">
        <f>IFERROR(AVERAGEIF('_Datos'!$D$7:$D$200,$B11,'_Datos'!$I$7:$I$200),"")</f>
      </c>
    </row>
    <row r="12">
      <c r="B12" s="203">
        <f>'Proyecto Datos (OKR´s)'!$G$22</f>
      </c>
      <c r="C12" s="203"/>
      <c r="D12" s="203"/>
      <c r="E12" s="203"/>
      <c r="F12" s="203"/>
      <c r="G12" s="178">
        <f>COUNTIF('_Datos'!$D$7:$D$200,$B12)</f>
      </c>
      <c r="H12" s="180">
        <f>IFERROR(AVERAGEIF('_Datos'!$D$7:$D$200,$B12,'_Datos'!$I$7:$I$200),"")</f>
      </c>
      <c r="I12" s="180">
        <f>IFERROR(AVERAGEIF('_Datos'!$D$7:$D$200,$B12,'_Datos'!$I$7:$I$200),"")</f>
      </c>
    </row>
    <row r="13">
      <c r="B13" s="203">
        <f>'Proyecto Datos (OKR´s)'!$G$27</f>
      </c>
      <c r="C13" s="203"/>
      <c r="D13" s="203"/>
      <c r="E13" s="203"/>
      <c r="F13" s="203"/>
      <c r="G13" s="178">
        <f>COUNTIF('_Datos'!$D$7:$D$200,$B13)</f>
      </c>
      <c r="H13" s="180">
        <f>IFERROR(AVERAGEIF('_Datos'!$D$7:$D$200,$B13,'_Datos'!$I$7:$I$200),"")</f>
      </c>
      <c r="I13" s="180">
        <f>IFERROR(AVERAGEIF('_Datos'!$D$7:$D$200,$B13,'_Datos'!$I$7:$I$200),"")</f>
      </c>
    </row>
    <row r="14">
      <c r="B14" s="203">
        <f>'Proyecto Datos (OKR´s)'!$G$36</f>
      </c>
      <c r="C14" s="203"/>
      <c r="D14" s="203"/>
      <c r="E14" s="203"/>
      <c r="F14" s="203"/>
      <c r="G14" s="178">
        <f>COUNTIF('_Datos'!$D$7:$D$200,$B14)</f>
      </c>
      <c r="H14" s="180">
        <f>IFERROR(AVERAGEIF('_Datos'!$D$7:$D$200,$B14,'_Datos'!$I$7:$I$200),"")</f>
      </c>
      <c r="I14" s="180">
        <f>IFERROR(AVERAGEIF('_Datos'!$D$7:$D$200,$B14,'_Datos'!$I$7:$I$200),"")</f>
      </c>
    </row>
    <row r="15">
      <c r="B15" s="203">
        <f>'Proyecto Datos (OKR´s)'!$G$48</f>
      </c>
      <c r="C15" s="203"/>
      <c r="D15" s="203"/>
      <c r="E15" s="203"/>
      <c r="F15" s="203"/>
      <c r="G15" s="178">
        <f>COUNTIF('_Datos'!$D$7:$D$200,$B15)</f>
      </c>
      <c r="H15" s="180">
        <f>IFERROR(AVERAGEIF('_Datos'!$D$7:$D$200,$B15,'_Datos'!$I$7:$I$200),"")</f>
      </c>
      <c r="I15" s="180">
        <f>IFERROR(AVERAGEIF('_Datos'!$D$7:$D$200,$B15,'_Datos'!$I$7:$I$200),"")</f>
      </c>
    </row>
    <row r="16">
      <c r="B16" s="203">
        <f>'Proyecto Datos (OKR´s)'!$G$52</f>
      </c>
      <c r="C16" s="203"/>
      <c r="D16" s="203"/>
      <c r="E16" s="203"/>
      <c r="F16" s="203"/>
      <c r="G16" s="178">
        <f>COUNTIF('_Datos'!$D$7:$D$200,$B16)</f>
      </c>
      <c r="H16" s="180">
        <f>IFERROR(AVERAGEIF('_Datos'!$D$7:$D$200,$B16,'_Datos'!$I$7:$I$200),"")</f>
      </c>
      <c r="I16" s="180">
        <f>IFERROR(AVERAGEIF('_Datos'!$D$7:$D$200,$B16,'_Datos'!$I$7:$I$200),"")</f>
      </c>
    </row>
    <row r="19">
      <c r="B19" s="172" t="inlineStr">
        <is>
          <t xml:space="preserve">AVANCE POR SPRINT</t>
        </is>
      </c>
      <c r="C19" s="172"/>
      <c r="D19" s="172"/>
      <c r="E19" s="172"/>
      <c r="F19" s="172"/>
      <c r="G19" s="172"/>
      <c r="H19" s="172"/>
      <c r="I19" s="172"/>
    </row>
    <row r="20">
      <c r="B20" s="173" t="inlineStr">
        <is>
          <t xml:space="preserve">Sprint</t>
        </is>
      </c>
      <c r="C20" s="173" t="inlineStr">
        <is>
          <t xml:space="preserve">Tareas</t>
        </is>
      </c>
      <c r="D20" s="173" t="inlineStr">
        <is>
          <t xml:space="preserve">Pendientes</t>
        </is>
      </c>
      <c r="E20" s="173" t="inlineStr">
        <is>
          <t xml:space="preserve">Vencidas</t>
        </is>
      </c>
      <c r="F20" s="173" t="inlineStr">
        <is>
          <t xml:space="preserve">Próx. a vencer</t>
        </is>
      </c>
      <c r="G20" s="173" t="inlineStr">
        <is>
          <t xml:space="preserve">Próxima entrega</t>
        </is>
      </c>
      <c r="H20" s="173" t="inlineStr">
        <is>
          <t xml:space="preserve">% Avance</t>
        </is>
      </c>
    </row>
    <row r="21">
      <c r="B21" s="202">
        <f>IF($K21="","",IF($K21=9999,"(Sin sprint)",$K21))</f>
      </c>
      <c r="C21" s="202">
        <f>IF($K21="","",COUNTIF('_Datos'!$N$7:$N$200,$K21))</f>
      </c>
      <c r="D21" s="202">
        <f>IF($K21="","",COUNTIFS('_Datos'!$N$7:$N$200,$K21,'_Datos'!$J$7:$J$200,"&lt;&gt;Completado"))</f>
      </c>
      <c r="E21" s="202">
        <f>IF($K21="","",COUNTIFS('_Datos'!$N$7:$N$200,$K21,'_Datos'!$J$7:$J$200,"Vencido"))</f>
      </c>
      <c r="F21" s="202">
        <f>IF($K21="","",COUNTIFS('_Datos'!$N$7:$N$200,$K21,'_Datos'!$J$7:$J$200,"Próximo a vencer"))</f>
      </c>
      <c r="G21" s="204">
        <f>IF($K21="","",IF($D21=0,"—",_xlfn.MINIFS('_Datos'!$H$7:$H$200,'_Datos'!$N$7:$N$200,$K21,'_Datos'!$J$7:$J$200,"&lt;&gt;Completado")))</f>
      </c>
      <c r="H21" s="205">
        <f>IF($K21="","",IFERROR(AVERAGEIF('_Datos'!$N$7:$N$200,$K21,'_Datos'!$I$7:$I$200),""))</f>
      </c>
      <c r="I21" s="202"/>
      <c r="K21" s="200">
        <f>IFERROR(SMALL('_Datos'!$Q$7:$Q$37,ROW()-21+1),"")</f>
      </c>
    </row>
    <row r="22">
      <c r="B22" s="202">
        <f>IF($K22="","",IF($K22=9999,"(Sin sprint)",$K22))</f>
      </c>
      <c r="C22" s="202">
        <f>IF($K22="","",COUNTIF('_Datos'!$N$7:$N$200,$K22))</f>
      </c>
      <c r="D22" s="202">
        <f>IF($K22="","",COUNTIFS('_Datos'!$N$7:$N$200,$K22,'_Datos'!$J$7:$J$200,"&lt;&gt;Completado"))</f>
      </c>
      <c r="E22" s="202">
        <f>IF($K22="","",COUNTIFS('_Datos'!$N$7:$N$200,$K22,'_Datos'!$J$7:$J$200,"Vencido"))</f>
      </c>
      <c r="F22" s="202">
        <f>IF($K22="","",COUNTIFS('_Datos'!$N$7:$N$200,$K22,'_Datos'!$J$7:$J$200,"Próximo a vencer"))</f>
      </c>
      <c r="G22" s="204">
        <f>IF($K22="","",IF($D22=0,"—",_xlfn.MINIFS('_Datos'!$H$7:$H$200,'_Datos'!$N$7:$N$200,$K22,'_Datos'!$J$7:$J$200,"&lt;&gt;Completado")))</f>
      </c>
      <c r="H22" s="205">
        <f>IF($K22="","",IFERROR(AVERAGEIF('_Datos'!$N$7:$N$200,$K22,'_Datos'!$I$7:$I$200),""))</f>
      </c>
      <c r="I22" s="202"/>
      <c r="K22" s="200">
        <f>IFERROR(SMALL('_Datos'!$Q$7:$Q$37,ROW()-21+1),"")</f>
      </c>
    </row>
    <row r="23">
      <c r="B23" s="202">
        <f>IF($K23="","",IF($K23=9999,"(Sin sprint)",$K23))</f>
      </c>
      <c r="C23" s="202">
        <f>IF($K23="","",COUNTIF('_Datos'!$N$7:$N$200,$K23))</f>
      </c>
      <c r="D23" s="202">
        <f>IF($K23="","",COUNTIFS('_Datos'!$N$7:$N$200,$K23,'_Datos'!$J$7:$J$200,"&lt;&gt;Completado"))</f>
      </c>
      <c r="E23" s="202">
        <f>IF($K23="","",COUNTIFS('_Datos'!$N$7:$N$200,$K23,'_Datos'!$J$7:$J$200,"Vencido"))</f>
      </c>
      <c r="F23" s="202">
        <f>IF($K23="","",COUNTIFS('_Datos'!$N$7:$N$200,$K23,'_Datos'!$J$7:$J$200,"Próximo a vencer"))</f>
      </c>
      <c r="G23" s="204">
        <f>IF($K23="","",IF($D23=0,"—",_xlfn.MINIFS('_Datos'!$H$7:$H$200,'_Datos'!$N$7:$N$200,$K23,'_Datos'!$J$7:$J$200,"&lt;&gt;Completado")))</f>
      </c>
      <c r="H23" s="205">
        <f>IF($K23="","",IFERROR(AVERAGEIF('_Datos'!$N$7:$N$200,$K23,'_Datos'!$I$7:$I$200),""))</f>
      </c>
      <c r="I23" s="202"/>
      <c r="K23" s="200">
        <f>IFERROR(SMALL('_Datos'!$Q$7:$Q$37,ROW()-21+1),"")</f>
      </c>
    </row>
    <row r="24">
      <c r="B24" s="202">
        <f>IF($K24="","",IF($K24=9999,"(Sin sprint)",$K24))</f>
      </c>
      <c r="C24" s="202">
        <f>IF($K24="","",COUNTIF('_Datos'!$N$7:$N$200,$K24))</f>
      </c>
      <c r="D24" s="202">
        <f>IF($K24="","",COUNTIFS('_Datos'!$N$7:$N$200,$K24,'_Datos'!$J$7:$J$200,"&lt;&gt;Completado"))</f>
      </c>
      <c r="E24" s="202">
        <f>IF($K24="","",COUNTIFS('_Datos'!$N$7:$N$200,$K24,'_Datos'!$J$7:$J$200,"Vencido"))</f>
      </c>
      <c r="F24" s="202">
        <f>IF($K24="","",COUNTIFS('_Datos'!$N$7:$N$200,$K24,'_Datos'!$J$7:$J$200,"Próximo a vencer"))</f>
      </c>
      <c r="G24" s="204">
        <f>IF($K24="","",IF($D24=0,"—",_xlfn.MINIFS('_Datos'!$H$7:$H$200,'_Datos'!$N$7:$N$200,$K24,'_Datos'!$J$7:$J$200,"&lt;&gt;Completado")))</f>
      </c>
      <c r="H24" s="205">
        <f>IF($K24="","",IFERROR(AVERAGEIF('_Datos'!$N$7:$N$200,$K24,'_Datos'!$I$7:$I$200),""))</f>
      </c>
      <c r="I24" s="202"/>
      <c r="K24" s="200">
        <f>IFERROR(SMALL('_Datos'!$Q$7:$Q$37,ROW()-21+1),"")</f>
      </c>
    </row>
    <row r="25">
      <c r="B25" s="202">
        <f>IF($K25="","",IF($K25=9999,"(Sin sprint)",$K25))</f>
      </c>
      <c r="C25" s="202">
        <f>IF($K25="","",COUNTIF('_Datos'!$N$7:$N$200,$K25))</f>
      </c>
      <c r="D25" s="202">
        <f>IF($K25="","",COUNTIFS('_Datos'!$N$7:$N$200,$K25,'_Datos'!$J$7:$J$200,"&lt;&gt;Completado"))</f>
      </c>
      <c r="E25" s="202">
        <f>IF($K25="","",COUNTIFS('_Datos'!$N$7:$N$200,$K25,'_Datos'!$J$7:$J$200,"Vencido"))</f>
      </c>
      <c r="F25" s="202">
        <f>IF($K25="","",COUNTIFS('_Datos'!$N$7:$N$200,$K25,'_Datos'!$J$7:$J$200,"Próximo a vencer"))</f>
      </c>
      <c r="G25" s="204">
        <f>IF($K25="","",IF($D25=0,"—",_xlfn.MINIFS('_Datos'!$H$7:$H$200,'_Datos'!$N$7:$N$200,$K25,'_Datos'!$J$7:$J$200,"&lt;&gt;Completado")))</f>
      </c>
      <c r="H25" s="205">
        <f>IF($K25="","",IFERROR(AVERAGEIF('_Datos'!$N$7:$N$200,$K25,'_Datos'!$I$7:$I$200),""))</f>
      </c>
      <c r="I25" s="202"/>
      <c r="K25" s="200">
        <f>IFERROR(SMALL('_Datos'!$Q$7:$Q$37,ROW()-21+1),"")</f>
      </c>
    </row>
    <row r="26">
      <c r="B26" s="202">
        <f>IF($K26="","",IF($K26=9999,"(Sin sprint)",$K26))</f>
      </c>
      <c r="C26" s="202">
        <f>IF($K26="","",COUNTIF('_Datos'!$N$7:$N$200,$K26))</f>
      </c>
      <c r="D26" s="202">
        <f>IF($K26="","",COUNTIFS('_Datos'!$N$7:$N$200,$K26,'_Datos'!$J$7:$J$200,"&lt;&gt;Completado"))</f>
      </c>
      <c r="E26" s="202">
        <f>IF($K26="","",COUNTIFS('_Datos'!$N$7:$N$200,$K26,'_Datos'!$J$7:$J$200,"Vencido"))</f>
      </c>
      <c r="F26" s="202">
        <f>IF($K26="","",COUNTIFS('_Datos'!$N$7:$N$200,$K26,'_Datos'!$J$7:$J$200,"Próximo a vencer"))</f>
      </c>
      <c r="G26" s="204">
        <f>IF($K26="","",IF($D26=0,"—",_xlfn.MINIFS('_Datos'!$H$7:$H$200,'_Datos'!$N$7:$N$200,$K26,'_Datos'!$J$7:$J$200,"&lt;&gt;Completado")))</f>
      </c>
      <c r="H26" s="205">
        <f>IF($K26="","",IFERROR(AVERAGEIF('_Datos'!$N$7:$N$200,$K26,'_Datos'!$I$7:$I$200),""))</f>
      </c>
      <c r="I26" s="202"/>
      <c r="K26" s="200">
        <f>IFERROR(SMALL('_Datos'!$Q$7:$Q$37,ROW()-21+1),"")</f>
      </c>
    </row>
    <row r="27">
      <c r="B27" s="202">
        <f>IF($K27="","",IF($K27=9999,"(Sin sprint)",$K27))</f>
      </c>
      <c r="C27" s="202">
        <f>IF($K27="","",COUNTIF('_Datos'!$N$7:$N$200,$K27))</f>
      </c>
      <c r="D27" s="202">
        <f>IF($K27="","",COUNTIFS('_Datos'!$N$7:$N$200,$K27,'_Datos'!$J$7:$J$200,"&lt;&gt;Completado"))</f>
      </c>
      <c r="E27" s="202">
        <f>IF($K27="","",COUNTIFS('_Datos'!$N$7:$N$200,$K27,'_Datos'!$J$7:$J$200,"Vencido"))</f>
      </c>
      <c r="F27" s="202">
        <f>IF($K27="","",COUNTIFS('_Datos'!$N$7:$N$200,$K27,'_Datos'!$J$7:$J$200,"Próximo a vencer"))</f>
      </c>
      <c r="G27" s="204">
        <f>IF($K27="","",IF($D27=0,"—",_xlfn.MINIFS('_Datos'!$H$7:$H$200,'_Datos'!$N$7:$N$200,$K27,'_Datos'!$J$7:$J$200,"&lt;&gt;Completado")))</f>
      </c>
      <c r="H27" s="205">
        <f>IF($K27="","",IFERROR(AVERAGEIF('_Datos'!$N$7:$N$200,$K27,'_Datos'!$I$7:$I$200),""))</f>
      </c>
      <c r="I27" s="202"/>
      <c r="K27" s="200">
        <f>IFERROR(SMALL('_Datos'!$Q$7:$Q$37,ROW()-21+1),"")</f>
      </c>
    </row>
    <row r="28">
      <c r="B28" s="202">
        <f>IF($K28="","",IF($K28=9999,"(Sin sprint)",$K28))</f>
      </c>
      <c r="C28" s="202">
        <f>IF($K28="","",COUNTIF('_Datos'!$N$7:$N$200,$K28))</f>
      </c>
      <c r="D28" s="202">
        <f>IF($K28="","",COUNTIFS('_Datos'!$N$7:$N$200,$K28,'_Datos'!$J$7:$J$200,"&lt;&gt;Completado"))</f>
      </c>
      <c r="E28" s="202">
        <f>IF($K28="","",COUNTIFS('_Datos'!$N$7:$N$200,$K28,'_Datos'!$J$7:$J$200,"Vencido"))</f>
      </c>
      <c r="F28" s="202">
        <f>IF($K28="","",COUNTIFS('_Datos'!$N$7:$N$200,$K28,'_Datos'!$J$7:$J$200,"Próximo a vencer"))</f>
      </c>
      <c r="G28" s="204">
        <f>IF($K28="","",IF($D28=0,"—",_xlfn.MINIFS('_Datos'!$H$7:$H$200,'_Datos'!$N$7:$N$200,$K28,'_Datos'!$J$7:$J$200,"&lt;&gt;Completado")))</f>
      </c>
      <c r="H28" s="205">
        <f>IF($K28="","",IFERROR(AVERAGEIF('_Datos'!$N$7:$N$200,$K28,'_Datos'!$I$7:$I$200),""))</f>
      </c>
      <c r="I28" s="202"/>
      <c r="K28" s="200">
        <f>IFERROR(SMALL('_Datos'!$Q$7:$Q$37,ROW()-21+1),"")</f>
      </c>
    </row>
    <row r="29">
      <c r="B29" s="202">
        <f>IF($K29="","",IF($K29=9999,"(Sin sprint)",$K29))</f>
      </c>
      <c r="C29" s="202">
        <f>IF($K29="","",COUNTIF('_Datos'!$N$7:$N$200,$K29))</f>
      </c>
      <c r="D29" s="202">
        <f>IF($K29="","",COUNTIFS('_Datos'!$N$7:$N$200,$K29,'_Datos'!$J$7:$J$200,"&lt;&gt;Completado"))</f>
      </c>
      <c r="E29" s="202">
        <f>IF($K29="","",COUNTIFS('_Datos'!$N$7:$N$200,$K29,'_Datos'!$J$7:$J$200,"Vencido"))</f>
      </c>
      <c r="F29" s="202">
        <f>IF($K29="","",COUNTIFS('_Datos'!$N$7:$N$200,$K29,'_Datos'!$J$7:$J$200,"Próximo a vencer"))</f>
      </c>
      <c r="G29" s="204">
        <f>IF($K29="","",IF($D29=0,"—",_xlfn.MINIFS('_Datos'!$H$7:$H$200,'_Datos'!$N$7:$N$200,$K29,'_Datos'!$J$7:$J$200,"&lt;&gt;Completado")))</f>
      </c>
      <c r="H29" s="205">
        <f>IF($K29="","",IFERROR(AVERAGEIF('_Datos'!$N$7:$N$200,$K29,'_Datos'!$I$7:$I$200),""))</f>
      </c>
      <c r="I29" s="202"/>
      <c r="K29" s="200">
        <f>IFERROR(SMALL('_Datos'!$Q$7:$Q$37,ROW()-21+1),"")</f>
      </c>
    </row>
    <row r="30">
      <c r="B30" s="202">
        <f>IF($K30="","",IF($K30=9999,"(Sin sprint)",$K30))</f>
      </c>
      <c r="C30" s="202">
        <f>IF($K30="","",COUNTIF('_Datos'!$N$7:$N$200,$K30))</f>
      </c>
      <c r="D30" s="202">
        <f>IF($K30="","",COUNTIFS('_Datos'!$N$7:$N$200,$K30,'_Datos'!$J$7:$J$200,"&lt;&gt;Completado"))</f>
      </c>
      <c r="E30" s="202">
        <f>IF($K30="","",COUNTIFS('_Datos'!$N$7:$N$200,$K30,'_Datos'!$J$7:$J$200,"Vencido"))</f>
      </c>
      <c r="F30" s="202">
        <f>IF($K30="","",COUNTIFS('_Datos'!$N$7:$N$200,$K30,'_Datos'!$J$7:$J$200,"Próximo a vencer"))</f>
      </c>
      <c r="G30" s="204">
        <f>IF($K30="","",IF($D30=0,"—",_xlfn.MINIFS('_Datos'!$H$7:$H$200,'_Datos'!$N$7:$N$200,$K30,'_Datos'!$J$7:$J$200,"&lt;&gt;Completado")))</f>
      </c>
      <c r="H30" s="205">
        <f>IF($K30="","",IFERROR(AVERAGEIF('_Datos'!$N$7:$N$200,$K30,'_Datos'!$I$7:$I$200),""))</f>
      </c>
      <c r="I30" s="202"/>
      <c r="K30" s="200">
        <f>IFERROR(SMALL('_Datos'!$Q$7:$Q$37,ROW()-21+1),"")</f>
      </c>
    </row>
    <row r="31">
      <c r="B31" s="202">
        <f>IF($K31="","",IF($K31=9999,"(Sin sprint)",$K31))</f>
      </c>
      <c r="C31" s="202">
        <f>IF($K31="","",COUNTIF('_Datos'!$N$7:$N$200,$K31))</f>
      </c>
      <c r="D31" s="202">
        <f>IF($K31="","",COUNTIFS('_Datos'!$N$7:$N$200,$K31,'_Datos'!$J$7:$J$200,"&lt;&gt;Completado"))</f>
      </c>
      <c r="E31" s="202">
        <f>IF($K31="","",COUNTIFS('_Datos'!$N$7:$N$200,$K31,'_Datos'!$J$7:$J$200,"Vencido"))</f>
      </c>
      <c r="F31" s="202">
        <f>IF($K31="","",COUNTIFS('_Datos'!$N$7:$N$200,$K31,'_Datos'!$J$7:$J$200,"Próximo a vencer"))</f>
      </c>
      <c r="G31" s="204">
        <f>IF($K31="","",IF($D31=0,"—",_xlfn.MINIFS('_Datos'!$H$7:$H$200,'_Datos'!$N$7:$N$200,$K31,'_Datos'!$J$7:$J$200,"&lt;&gt;Completado")))</f>
      </c>
      <c r="H31" s="205">
        <f>IF($K31="","",IFERROR(AVERAGEIF('_Datos'!$N$7:$N$200,$K31,'_Datos'!$I$7:$I$200),""))</f>
      </c>
      <c r="I31" s="202"/>
      <c r="K31" s="200">
        <f>IFERROR(SMALL('_Datos'!$Q$7:$Q$37,ROW()-21+1),"")</f>
      </c>
    </row>
    <row r="32">
      <c r="B32" s="202">
        <f>IF($K32="","",IF($K32=9999,"(Sin sprint)",$K32))</f>
      </c>
      <c r="C32" s="202">
        <f>IF($K32="","",COUNTIF('_Datos'!$N$7:$N$200,$K32))</f>
      </c>
      <c r="D32" s="202">
        <f>IF($K32="","",COUNTIFS('_Datos'!$N$7:$N$200,$K32,'_Datos'!$J$7:$J$200,"&lt;&gt;Completado"))</f>
      </c>
      <c r="E32" s="202">
        <f>IF($K32="","",COUNTIFS('_Datos'!$N$7:$N$200,$K32,'_Datos'!$J$7:$J$200,"Vencido"))</f>
      </c>
      <c r="F32" s="202">
        <f>IF($K32="","",COUNTIFS('_Datos'!$N$7:$N$200,$K32,'_Datos'!$J$7:$J$200,"Próximo a vencer"))</f>
      </c>
      <c r="G32" s="204">
        <f>IF($K32="","",IF($D32=0,"—",_xlfn.MINIFS('_Datos'!$H$7:$H$200,'_Datos'!$N$7:$N$200,$K32,'_Datos'!$J$7:$J$200,"&lt;&gt;Completado")))</f>
      </c>
      <c r="H32" s="205">
        <f>IF($K32="","",IFERROR(AVERAGEIF('_Datos'!$N$7:$N$200,$K32,'_Datos'!$I$7:$I$200),""))</f>
      </c>
      <c r="I32" s="202"/>
      <c r="K32" s="200">
        <f>IFERROR(SMALL('_Datos'!$Q$7:$Q$37,ROW()-21+1),"")</f>
      </c>
    </row>
    <row r="34">
      <c r="B34" s="176" t="inlineStr">
        <is>
          <t xml:space="preserve">Las métricas se recalculan solas desde la hoja Gantt. Los sprints aparecen automáticamente al usarse (el histórico se conserva). El % por módulo se recalcula de forma independiente (no usa las celdas de promedio de las filas de fase).</t>
        </is>
      </c>
    </row>
  </sheetData>
  <mergeCells count="15">
    <mergeCell ref="B1:I1"/>
    <mergeCell ref="B2:I2"/>
    <mergeCell ref="B4:C4"/>
    <mergeCell ref="B5:C5"/>
    <mergeCell ref="B8:I8"/>
    <mergeCell ref="B9:F9"/>
    <mergeCell ref="B10:F10"/>
    <mergeCell ref="B11:F11"/>
    <mergeCell ref="B12:F12"/>
    <mergeCell ref="B13:F13"/>
    <mergeCell ref="B14:F14"/>
    <mergeCell ref="B15:F15"/>
    <mergeCell ref="B16:F16"/>
    <mergeCell ref="B19:I19"/>
    <mergeCell ref="B34:I34"/>
  </mergeCells>
  <conditionalFormatting sqref="H10:H16">
    <cfRule type="dataBar" priority="10">
      <dataBar>
        <cfvo type="num" val="0"/>
        <cfvo type="num" val="1"/>
        <color rgb="FF2E75B6"/>
      </dataBar>
    </cfRule>
  </conditionalFormatting>
  <conditionalFormatting sqref="I10:I16">
    <cfRule type="dataBar" priority="11">
      <dataBar showValue="0">
        <cfvo type="num" val="0"/>
        <cfvo type="num" val="1"/>
        <color rgb="FF9DC3E6"/>
      </dataBar>
    </cfRule>
  </conditionalFormatting>
  <conditionalFormatting sqref="H21:H32">
    <cfRule type="dataBar" priority="12">
      <dataBar>
        <cfvo type="num" val="0"/>
        <cfvo type="num" val="1"/>
        <color rgb="FF2E75B6"/>
      </dataBar>
    </cfRule>
  </conditionalFormatting>
  <conditionalFormatting sqref="B10:I16">
    <cfRule type="expression" dxfId="21" priority="13">
      <formula>$B10&lt;&gt;""</formula>
    </cfRule>
  </conditionalFormatting>
  <conditionalFormatting sqref="B21:H32">
    <cfRule type="expression" dxfId="21" priority="14">
      <formula>$B21&lt;&gt;""</formula>
    </cfRule>
  </conditionalFormatting>
  <pageMargins left="0.4" right="0.4" top="0.5" bottom="0.5" header="0.3" footer="0.3"/>
</worksheet>
</file>

<file path=xl/worksheets/sheet6.xml><?xml version="1.0" encoding="utf-8"?>
<worksheet xmlns="http://schemas.openxmlformats.org/spreadsheetml/2006/main" xmlns:r="http://schemas.openxmlformats.org/officeDocument/2006/relationships">
  <dimension ref="A1:K156"/>
  <sheetViews>
    <sheetView showGridLines="0" workbookViewId="0">
      <pane ySplit="6" topLeftCell="A7" activePane="bottomLeft" state="frozen"/>
      <selection pane="bottomLeft" activeCell="B7" sqref="B7"/>
    </sheetView>
  </sheetViews>
  <sheetFormatPr defaultRowHeight="15"/>
  <cols>
    <col min="1" max="1" width="2.5" customWidth="1"/>
    <col min="2" max="2" width="12" customWidth="1"/>
    <col min="3" max="3" width="30" customWidth="1"/>
    <col min="4" max="4" width="52" customWidth="1"/>
    <col min="5" max="5" width="24" customWidth="1"/>
    <col min="6" max="6" width="14" customWidth="1"/>
    <col min="7" max="7" width="18" customWidth="1"/>
    <col min="8" max="8" width="11" customWidth="1"/>
    <col min="9" max="9" width="11" customWidth="1"/>
    <col min="11" max="11" width="9" hidden="1"/>
  </cols>
  <sheetData>
    <row r="1" ht="26" customHeight="1">
      <c r="B1" s="169" t="inlineStr">
        <is>
          <t xml:space="preserve">ENTREGAS PRÓXIMAS POR SPRINT</t>
        </is>
      </c>
      <c r="C1" s="169"/>
      <c r="D1" s="169"/>
      <c r="E1" s="169"/>
      <c r="F1" s="169"/>
      <c r="G1" s="169"/>
      <c r="H1" s="169"/>
      <c r="I1" s="169"/>
    </row>
    <row r="2" ht="16" customHeight="1">
      <c r="B2" s="170">
        <f>"Proyecto Datos Op. Complejas · IHSA S.A. · Hoy "&amp;TEXT(TODAY(),"dd/mm/yyyy")&amp;"   |   Entregas: "&amp;COUNT('_Datos'!$H$7:$H$200)&amp;"   |   Vencidas: "&amp;COUNTIF('_Datos'!$J$7:$J$200,"Vencido")&amp;"   |   Próximas: "&amp;COUNTIF('_Datos'!$J$7:$J$200,"Próximo a vencer")&amp;"   |   Avance: "&amp;TEXT(IFERROR(AVERAGE('_Datos'!$I$7:$I$200),0),"0%")&amp;"   |   Próxima entrega: "&amp;IFERROR(TEXT(_xlfn.MINIFS('_Datos'!$H$7:$H$200,'_Datos'!$J$7:$J$200,"&lt;&gt;Completado"),"dd/mm/yyyy"),"-")&amp;"   |   Resumen por sprint → hoja Tablero"</f>
      </c>
      <c r="C2" s="170"/>
      <c r="D2" s="170"/>
      <c r="E2" s="170"/>
      <c r="F2" s="170"/>
      <c r="G2" s="170"/>
      <c r="H2" s="170"/>
      <c r="I2" s="170"/>
    </row>
    <row r="3">
      <c r="B3" s="175" t="inlineStr">
        <is>
          <t xml:space="preserve">Estados:</t>
        </is>
      </c>
      <c r="C3" s="192" t="inlineStr">
        <is>
          <t xml:space="preserve">Vencido</t>
        </is>
      </c>
      <c r="D3" s="193" t="inlineStr">
        <is>
          <t xml:space="preserve">Próximo a vencer</t>
        </is>
      </c>
      <c r="E3" s="194" t="inlineStr">
        <is>
          <t xml:space="preserve">En curso (en plazo)</t>
        </is>
      </c>
      <c r="F3" s="195" t="inlineStr">
        <is>
          <t xml:space="preserve">Completado</t>
        </is>
      </c>
      <c r="G3" s="175" t="inlineStr">
        <is>
          <t xml:space="preserve">Umbral 'Próximo' (días):</t>
        </is>
      </c>
      <c r="H3" s="175"/>
      <c r="I3" s="191">
        <v>7</v>
      </c>
    </row>
    <row r="5">
      <c r="B5" s="172" t="inlineStr">
        <is>
          <t xml:space="preserve">DETALLE DE ENTREGAS  (ordenado por Sprint y luego por Fecha de entrega)</t>
        </is>
      </c>
      <c r="C5" s="172"/>
      <c r="D5" s="172"/>
      <c r="E5" s="172"/>
      <c r="F5" s="172"/>
      <c r="G5" s="172"/>
      <c r="H5" s="172"/>
      <c r="I5" s="172"/>
    </row>
    <row r="6">
      <c r="B6" s="173" t="inlineStr">
        <is>
          <t xml:space="preserve">Sprint</t>
        </is>
      </c>
      <c r="C6" s="173" t="inlineStr">
        <is>
          <t xml:space="preserve">Entregable (Módulo)</t>
        </is>
      </c>
      <c r="D6" s="173" t="inlineStr">
        <is>
          <t xml:space="preserve">Tarea</t>
        </is>
      </c>
      <c r="E6" s="173" t="inlineStr">
        <is>
          <t xml:space="preserve">Responsable</t>
        </is>
      </c>
      <c r="F6" s="173" t="inlineStr">
        <is>
          <t xml:space="preserve">Fecha entrega</t>
        </is>
      </c>
      <c r="G6" s="173" t="inlineStr">
        <is>
          <t xml:space="preserve">Estado</t>
        </is>
      </c>
      <c r="H6" s="173" t="inlineStr">
        <is>
          <t xml:space="preserve">Días rest.</t>
        </is>
      </c>
      <c r="I6" s="173" t="inlineStr">
        <is>
          <t xml:space="preserve">Progreso</t>
        </is>
      </c>
    </row>
    <row r="7">
      <c r="B7" s="202">
        <f>IF($K7="","",INDEX('_Datos'!$M$7:$M$200,$K7))</f>
      </c>
      <c r="C7" s="203">
        <f>IF($K7="","",INDEX('_Datos'!$D$7:$D$200,$K7))</f>
      </c>
      <c r="D7" s="203">
        <f>IF($K7="","",INDEX('_Datos'!$F$7:$F$200,$K7))</f>
      </c>
      <c r="E7" s="203">
        <f>IF($K7="","",INDEX('_Datos'!$G$7:$G$200,$K7))</f>
      </c>
      <c r="F7" s="204">
        <f>IF($K7="","",INDEX('_Datos'!$H$7:$H$200,$K7))</f>
      </c>
      <c r="G7" s="202">
        <f>IF($K7="","",INDEX('_Datos'!$J$7:$J$200,$K7))</f>
      </c>
      <c r="H7" s="206">
        <f>IF($K7="","",INDEX('_Datos'!$K$7:$K$200,$K7))</f>
      </c>
      <c r="I7" s="205">
        <f>IF($K7="","",INDEX('_Datos'!$I$7:$I$200,$K7))</f>
      </c>
      <c r="K7" s="200">
        <f>IFERROR(MATCH(SMALL('_Datos'!$L$7:$L$200,ROW()-7+1),'_Datos'!$L$7:$L$200,0),"")</f>
      </c>
    </row>
    <row r="8">
      <c r="B8" s="202">
        <f>IF($K8="","",INDEX('_Datos'!$M$7:$M$200,$K8))</f>
      </c>
      <c r="C8" s="203">
        <f>IF($K8="","",INDEX('_Datos'!$D$7:$D$200,$K8))</f>
      </c>
      <c r="D8" s="203">
        <f>IF($K8="","",INDEX('_Datos'!$F$7:$F$200,$K8))</f>
      </c>
      <c r="E8" s="203">
        <f>IF($K8="","",INDEX('_Datos'!$G$7:$G$200,$K8))</f>
      </c>
      <c r="F8" s="204">
        <f>IF($K8="","",INDEX('_Datos'!$H$7:$H$200,$K8))</f>
      </c>
      <c r="G8" s="202">
        <f>IF($K8="","",INDEX('_Datos'!$J$7:$J$200,$K8))</f>
      </c>
      <c r="H8" s="206">
        <f>IF($K8="","",INDEX('_Datos'!$K$7:$K$200,$K8))</f>
      </c>
      <c r="I8" s="205">
        <f>IF($K8="","",INDEX('_Datos'!$I$7:$I$200,$K8))</f>
      </c>
      <c r="K8" s="200">
        <f>IFERROR(MATCH(SMALL('_Datos'!$L$7:$L$200,ROW()-7+1),'_Datos'!$L$7:$L$200,0),"")</f>
      </c>
    </row>
    <row r="9">
      <c r="B9" s="202">
        <f>IF($K9="","",INDEX('_Datos'!$M$7:$M$200,$K9))</f>
      </c>
      <c r="C9" s="203">
        <f>IF($K9="","",INDEX('_Datos'!$D$7:$D$200,$K9))</f>
      </c>
      <c r="D9" s="203">
        <f>IF($K9="","",INDEX('_Datos'!$F$7:$F$200,$K9))</f>
      </c>
      <c r="E9" s="203">
        <f>IF($K9="","",INDEX('_Datos'!$G$7:$G$200,$K9))</f>
      </c>
      <c r="F9" s="204">
        <f>IF($K9="","",INDEX('_Datos'!$H$7:$H$200,$K9))</f>
      </c>
      <c r="G9" s="202">
        <f>IF($K9="","",INDEX('_Datos'!$J$7:$J$200,$K9))</f>
      </c>
      <c r="H9" s="206">
        <f>IF($K9="","",INDEX('_Datos'!$K$7:$K$200,$K9))</f>
      </c>
      <c r="I9" s="205">
        <f>IF($K9="","",INDEX('_Datos'!$I$7:$I$200,$K9))</f>
      </c>
      <c r="K9" s="200">
        <f>IFERROR(MATCH(SMALL('_Datos'!$L$7:$L$200,ROW()-7+1),'_Datos'!$L$7:$L$200,0),"")</f>
      </c>
    </row>
    <row r="10">
      <c r="B10" s="202">
        <f>IF($K10="","",INDEX('_Datos'!$M$7:$M$200,$K10))</f>
      </c>
      <c r="C10" s="203">
        <f>IF($K10="","",INDEX('_Datos'!$D$7:$D$200,$K10))</f>
      </c>
      <c r="D10" s="203">
        <f>IF($K10="","",INDEX('_Datos'!$F$7:$F$200,$K10))</f>
      </c>
      <c r="E10" s="203">
        <f>IF($K10="","",INDEX('_Datos'!$G$7:$G$200,$K10))</f>
      </c>
      <c r="F10" s="204">
        <f>IF($K10="","",INDEX('_Datos'!$H$7:$H$200,$K10))</f>
      </c>
      <c r="G10" s="202">
        <f>IF($K10="","",INDEX('_Datos'!$J$7:$J$200,$K10))</f>
      </c>
      <c r="H10" s="206">
        <f>IF($K10="","",INDEX('_Datos'!$K$7:$K$200,$K10))</f>
      </c>
      <c r="I10" s="205">
        <f>IF($K10="","",INDEX('_Datos'!$I$7:$I$200,$K10))</f>
      </c>
      <c r="K10" s="200">
        <f>IFERROR(MATCH(SMALL('_Datos'!$L$7:$L$200,ROW()-7+1),'_Datos'!$L$7:$L$200,0),"")</f>
      </c>
    </row>
    <row r="11">
      <c r="B11" s="202">
        <f>IF($K11="","",INDEX('_Datos'!$M$7:$M$200,$K11))</f>
      </c>
      <c r="C11" s="203">
        <f>IF($K11="","",INDEX('_Datos'!$D$7:$D$200,$K11))</f>
      </c>
      <c r="D11" s="203">
        <f>IF($K11="","",INDEX('_Datos'!$F$7:$F$200,$K11))</f>
      </c>
      <c r="E11" s="203">
        <f>IF($K11="","",INDEX('_Datos'!$G$7:$G$200,$K11))</f>
      </c>
      <c r="F11" s="204">
        <f>IF($K11="","",INDEX('_Datos'!$H$7:$H$200,$K11))</f>
      </c>
      <c r="G11" s="202">
        <f>IF($K11="","",INDEX('_Datos'!$J$7:$J$200,$K11))</f>
      </c>
      <c r="H11" s="206">
        <f>IF($K11="","",INDEX('_Datos'!$K$7:$K$200,$K11))</f>
      </c>
      <c r="I11" s="205">
        <f>IF($K11="","",INDEX('_Datos'!$I$7:$I$200,$K11))</f>
      </c>
      <c r="K11" s="200">
        <f>IFERROR(MATCH(SMALL('_Datos'!$L$7:$L$200,ROW()-7+1),'_Datos'!$L$7:$L$200,0),"")</f>
      </c>
    </row>
    <row r="12">
      <c r="B12" s="202">
        <f>IF($K12="","",INDEX('_Datos'!$M$7:$M$200,$K12))</f>
      </c>
      <c r="C12" s="203">
        <f>IF($K12="","",INDEX('_Datos'!$D$7:$D$200,$K12))</f>
      </c>
      <c r="D12" s="203">
        <f>IF($K12="","",INDEX('_Datos'!$F$7:$F$200,$K12))</f>
      </c>
      <c r="E12" s="203">
        <f>IF($K12="","",INDEX('_Datos'!$G$7:$G$200,$K12))</f>
      </c>
      <c r="F12" s="204">
        <f>IF($K12="","",INDEX('_Datos'!$H$7:$H$200,$K12))</f>
      </c>
      <c r="G12" s="202">
        <f>IF($K12="","",INDEX('_Datos'!$J$7:$J$200,$K12))</f>
      </c>
      <c r="H12" s="206">
        <f>IF($K12="","",INDEX('_Datos'!$K$7:$K$200,$K12))</f>
      </c>
      <c r="I12" s="205">
        <f>IF($K12="","",INDEX('_Datos'!$I$7:$I$200,$K12))</f>
      </c>
      <c r="K12" s="200">
        <f>IFERROR(MATCH(SMALL('_Datos'!$L$7:$L$200,ROW()-7+1),'_Datos'!$L$7:$L$200,0),"")</f>
      </c>
    </row>
    <row r="13">
      <c r="B13" s="202">
        <f>IF($K13="","",INDEX('_Datos'!$M$7:$M$200,$K13))</f>
      </c>
      <c r="C13" s="203">
        <f>IF($K13="","",INDEX('_Datos'!$D$7:$D$200,$K13))</f>
      </c>
      <c r="D13" s="203">
        <f>IF($K13="","",INDEX('_Datos'!$F$7:$F$200,$K13))</f>
      </c>
      <c r="E13" s="203">
        <f>IF($K13="","",INDEX('_Datos'!$G$7:$G$200,$K13))</f>
      </c>
      <c r="F13" s="204">
        <f>IF($K13="","",INDEX('_Datos'!$H$7:$H$200,$K13))</f>
      </c>
      <c r="G13" s="202">
        <f>IF($K13="","",INDEX('_Datos'!$J$7:$J$200,$K13))</f>
      </c>
      <c r="H13" s="206">
        <f>IF($K13="","",INDEX('_Datos'!$K$7:$K$200,$K13))</f>
      </c>
      <c r="I13" s="205">
        <f>IF($K13="","",INDEX('_Datos'!$I$7:$I$200,$K13))</f>
      </c>
      <c r="K13" s="200">
        <f>IFERROR(MATCH(SMALL('_Datos'!$L$7:$L$200,ROW()-7+1),'_Datos'!$L$7:$L$200,0),"")</f>
      </c>
    </row>
    <row r="14">
      <c r="B14" s="202">
        <f>IF($K14="","",INDEX('_Datos'!$M$7:$M$200,$K14))</f>
      </c>
      <c r="C14" s="203">
        <f>IF($K14="","",INDEX('_Datos'!$D$7:$D$200,$K14))</f>
      </c>
      <c r="D14" s="203">
        <f>IF($K14="","",INDEX('_Datos'!$F$7:$F$200,$K14))</f>
      </c>
      <c r="E14" s="203">
        <f>IF($K14="","",INDEX('_Datos'!$G$7:$G$200,$K14))</f>
      </c>
      <c r="F14" s="204">
        <f>IF($K14="","",INDEX('_Datos'!$H$7:$H$200,$K14))</f>
      </c>
      <c r="G14" s="202">
        <f>IF($K14="","",INDEX('_Datos'!$J$7:$J$200,$K14))</f>
      </c>
      <c r="H14" s="206">
        <f>IF($K14="","",INDEX('_Datos'!$K$7:$K$200,$K14))</f>
      </c>
      <c r="I14" s="205">
        <f>IF($K14="","",INDEX('_Datos'!$I$7:$I$200,$K14))</f>
      </c>
      <c r="K14" s="200">
        <f>IFERROR(MATCH(SMALL('_Datos'!$L$7:$L$200,ROW()-7+1),'_Datos'!$L$7:$L$200,0),"")</f>
      </c>
    </row>
    <row r="15">
      <c r="B15" s="202">
        <f>IF($K15="","",INDEX('_Datos'!$M$7:$M$200,$K15))</f>
      </c>
      <c r="C15" s="203">
        <f>IF($K15="","",INDEX('_Datos'!$D$7:$D$200,$K15))</f>
      </c>
      <c r="D15" s="203">
        <f>IF($K15="","",INDEX('_Datos'!$F$7:$F$200,$K15))</f>
      </c>
      <c r="E15" s="203">
        <f>IF($K15="","",INDEX('_Datos'!$G$7:$G$200,$K15))</f>
      </c>
      <c r="F15" s="204">
        <f>IF($K15="","",INDEX('_Datos'!$H$7:$H$200,$K15))</f>
      </c>
      <c r="G15" s="202">
        <f>IF($K15="","",INDEX('_Datos'!$J$7:$J$200,$K15))</f>
      </c>
      <c r="H15" s="206">
        <f>IF($K15="","",INDEX('_Datos'!$K$7:$K$200,$K15))</f>
      </c>
      <c r="I15" s="205">
        <f>IF($K15="","",INDEX('_Datos'!$I$7:$I$200,$K15))</f>
      </c>
      <c r="K15" s="200">
        <f>IFERROR(MATCH(SMALL('_Datos'!$L$7:$L$200,ROW()-7+1),'_Datos'!$L$7:$L$200,0),"")</f>
      </c>
    </row>
    <row r="16">
      <c r="B16" s="202">
        <f>IF($K16="","",INDEX('_Datos'!$M$7:$M$200,$K16))</f>
      </c>
      <c r="C16" s="203">
        <f>IF($K16="","",INDEX('_Datos'!$D$7:$D$200,$K16))</f>
      </c>
      <c r="D16" s="203">
        <f>IF($K16="","",INDEX('_Datos'!$F$7:$F$200,$K16))</f>
      </c>
      <c r="E16" s="203">
        <f>IF($K16="","",INDEX('_Datos'!$G$7:$G$200,$K16))</f>
      </c>
      <c r="F16" s="204">
        <f>IF($K16="","",INDEX('_Datos'!$H$7:$H$200,$K16))</f>
      </c>
      <c r="G16" s="202">
        <f>IF($K16="","",INDEX('_Datos'!$J$7:$J$200,$K16))</f>
      </c>
      <c r="H16" s="206">
        <f>IF($K16="","",INDEX('_Datos'!$K$7:$K$200,$K16))</f>
      </c>
      <c r="I16" s="205">
        <f>IF($K16="","",INDEX('_Datos'!$I$7:$I$200,$K16))</f>
      </c>
      <c r="K16" s="200">
        <f>IFERROR(MATCH(SMALL('_Datos'!$L$7:$L$200,ROW()-7+1),'_Datos'!$L$7:$L$200,0),"")</f>
      </c>
    </row>
    <row r="17">
      <c r="B17" s="202">
        <f>IF($K17="","",INDEX('_Datos'!$M$7:$M$200,$K17))</f>
      </c>
      <c r="C17" s="203">
        <f>IF($K17="","",INDEX('_Datos'!$D$7:$D$200,$K17))</f>
      </c>
      <c r="D17" s="203">
        <f>IF($K17="","",INDEX('_Datos'!$F$7:$F$200,$K17))</f>
      </c>
      <c r="E17" s="203">
        <f>IF($K17="","",INDEX('_Datos'!$G$7:$G$200,$K17))</f>
      </c>
      <c r="F17" s="204">
        <f>IF($K17="","",INDEX('_Datos'!$H$7:$H$200,$K17))</f>
      </c>
      <c r="G17" s="202">
        <f>IF($K17="","",INDEX('_Datos'!$J$7:$J$200,$K17))</f>
      </c>
      <c r="H17" s="206">
        <f>IF($K17="","",INDEX('_Datos'!$K$7:$K$200,$K17))</f>
      </c>
      <c r="I17" s="205">
        <f>IF($K17="","",INDEX('_Datos'!$I$7:$I$200,$K17))</f>
      </c>
      <c r="K17" s="200">
        <f>IFERROR(MATCH(SMALL('_Datos'!$L$7:$L$200,ROW()-7+1),'_Datos'!$L$7:$L$200,0),"")</f>
      </c>
    </row>
    <row r="18">
      <c r="B18" s="202">
        <f>IF($K18="","",INDEX('_Datos'!$M$7:$M$200,$K18))</f>
      </c>
      <c r="C18" s="203">
        <f>IF($K18="","",INDEX('_Datos'!$D$7:$D$200,$K18))</f>
      </c>
      <c r="D18" s="203">
        <f>IF($K18="","",INDEX('_Datos'!$F$7:$F$200,$K18))</f>
      </c>
      <c r="E18" s="203">
        <f>IF($K18="","",INDEX('_Datos'!$G$7:$G$200,$K18))</f>
      </c>
      <c r="F18" s="204">
        <f>IF($K18="","",INDEX('_Datos'!$H$7:$H$200,$K18))</f>
      </c>
      <c r="G18" s="202">
        <f>IF($K18="","",INDEX('_Datos'!$J$7:$J$200,$K18))</f>
      </c>
      <c r="H18" s="206">
        <f>IF($K18="","",INDEX('_Datos'!$K$7:$K$200,$K18))</f>
      </c>
      <c r="I18" s="205">
        <f>IF($K18="","",INDEX('_Datos'!$I$7:$I$200,$K18))</f>
      </c>
      <c r="K18" s="200">
        <f>IFERROR(MATCH(SMALL('_Datos'!$L$7:$L$200,ROW()-7+1),'_Datos'!$L$7:$L$200,0),"")</f>
      </c>
    </row>
    <row r="19">
      <c r="B19" s="202">
        <f>IF($K19="","",INDEX('_Datos'!$M$7:$M$200,$K19))</f>
      </c>
      <c r="C19" s="203">
        <f>IF($K19="","",INDEX('_Datos'!$D$7:$D$200,$K19))</f>
      </c>
      <c r="D19" s="203">
        <f>IF($K19="","",INDEX('_Datos'!$F$7:$F$200,$K19))</f>
      </c>
      <c r="E19" s="203">
        <f>IF($K19="","",INDEX('_Datos'!$G$7:$G$200,$K19))</f>
      </c>
      <c r="F19" s="204">
        <f>IF($K19="","",INDEX('_Datos'!$H$7:$H$200,$K19))</f>
      </c>
      <c r="G19" s="202">
        <f>IF($K19="","",INDEX('_Datos'!$J$7:$J$200,$K19))</f>
      </c>
      <c r="H19" s="206">
        <f>IF($K19="","",INDEX('_Datos'!$K$7:$K$200,$K19))</f>
      </c>
      <c r="I19" s="205">
        <f>IF($K19="","",INDEX('_Datos'!$I$7:$I$200,$K19))</f>
      </c>
      <c r="K19" s="200">
        <f>IFERROR(MATCH(SMALL('_Datos'!$L$7:$L$200,ROW()-7+1),'_Datos'!$L$7:$L$200,0),"")</f>
      </c>
    </row>
    <row r="20">
      <c r="B20" s="202">
        <f>IF($K20="","",INDEX('_Datos'!$M$7:$M$200,$K20))</f>
      </c>
      <c r="C20" s="203">
        <f>IF($K20="","",INDEX('_Datos'!$D$7:$D$200,$K20))</f>
      </c>
      <c r="D20" s="203">
        <f>IF($K20="","",INDEX('_Datos'!$F$7:$F$200,$K20))</f>
      </c>
      <c r="E20" s="203">
        <f>IF($K20="","",INDEX('_Datos'!$G$7:$G$200,$K20))</f>
      </c>
      <c r="F20" s="204">
        <f>IF($K20="","",INDEX('_Datos'!$H$7:$H$200,$K20))</f>
      </c>
      <c r="G20" s="202">
        <f>IF($K20="","",INDEX('_Datos'!$J$7:$J$200,$K20))</f>
      </c>
      <c r="H20" s="206">
        <f>IF($K20="","",INDEX('_Datos'!$K$7:$K$200,$K20))</f>
      </c>
      <c r="I20" s="205">
        <f>IF($K20="","",INDEX('_Datos'!$I$7:$I$200,$K20))</f>
      </c>
      <c r="K20" s="200">
        <f>IFERROR(MATCH(SMALL('_Datos'!$L$7:$L$200,ROW()-7+1),'_Datos'!$L$7:$L$200,0),"")</f>
      </c>
    </row>
    <row r="21">
      <c r="B21" s="202">
        <f>IF($K21="","",INDEX('_Datos'!$M$7:$M$200,$K21))</f>
      </c>
      <c r="C21" s="203">
        <f>IF($K21="","",INDEX('_Datos'!$D$7:$D$200,$K21))</f>
      </c>
      <c r="D21" s="203">
        <f>IF($K21="","",INDEX('_Datos'!$F$7:$F$200,$K21))</f>
      </c>
      <c r="E21" s="203">
        <f>IF($K21="","",INDEX('_Datos'!$G$7:$G$200,$K21))</f>
      </c>
      <c r="F21" s="204">
        <f>IF($K21="","",INDEX('_Datos'!$H$7:$H$200,$K21))</f>
      </c>
      <c r="G21" s="202">
        <f>IF($K21="","",INDEX('_Datos'!$J$7:$J$200,$K21))</f>
      </c>
      <c r="H21" s="206">
        <f>IF($K21="","",INDEX('_Datos'!$K$7:$K$200,$K21))</f>
      </c>
      <c r="I21" s="205">
        <f>IF($K21="","",INDEX('_Datos'!$I$7:$I$200,$K21))</f>
      </c>
      <c r="K21" s="200">
        <f>IFERROR(MATCH(SMALL('_Datos'!$L$7:$L$200,ROW()-7+1),'_Datos'!$L$7:$L$200,0),"")</f>
      </c>
    </row>
    <row r="22">
      <c r="B22" s="202">
        <f>IF($K22="","",INDEX('_Datos'!$M$7:$M$200,$K22))</f>
      </c>
      <c r="C22" s="203">
        <f>IF($K22="","",INDEX('_Datos'!$D$7:$D$200,$K22))</f>
      </c>
      <c r="D22" s="203">
        <f>IF($K22="","",INDEX('_Datos'!$F$7:$F$200,$K22))</f>
      </c>
      <c r="E22" s="203">
        <f>IF($K22="","",INDEX('_Datos'!$G$7:$G$200,$K22))</f>
      </c>
      <c r="F22" s="204">
        <f>IF($K22="","",INDEX('_Datos'!$H$7:$H$200,$K22))</f>
      </c>
      <c r="G22" s="202">
        <f>IF($K22="","",INDEX('_Datos'!$J$7:$J$200,$K22))</f>
      </c>
      <c r="H22" s="206">
        <f>IF($K22="","",INDEX('_Datos'!$K$7:$K$200,$K22))</f>
      </c>
      <c r="I22" s="205">
        <f>IF($K22="","",INDEX('_Datos'!$I$7:$I$200,$K22))</f>
      </c>
      <c r="K22" s="200">
        <f>IFERROR(MATCH(SMALL('_Datos'!$L$7:$L$200,ROW()-7+1),'_Datos'!$L$7:$L$200,0),"")</f>
      </c>
    </row>
    <row r="23">
      <c r="B23" s="202">
        <f>IF($K23="","",INDEX('_Datos'!$M$7:$M$200,$K23))</f>
      </c>
      <c r="C23" s="203">
        <f>IF($K23="","",INDEX('_Datos'!$D$7:$D$200,$K23))</f>
      </c>
      <c r="D23" s="203">
        <f>IF($K23="","",INDEX('_Datos'!$F$7:$F$200,$K23))</f>
      </c>
      <c r="E23" s="203">
        <f>IF($K23="","",INDEX('_Datos'!$G$7:$G$200,$K23))</f>
      </c>
      <c r="F23" s="204">
        <f>IF($K23="","",INDEX('_Datos'!$H$7:$H$200,$K23))</f>
      </c>
      <c r="G23" s="202">
        <f>IF($K23="","",INDEX('_Datos'!$J$7:$J$200,$K23))</f>
      </c>
      <c r="H23" s="206">
        <f>IF($K23="","",INDEX('_Datos'!$K$7:$K$200,$K23))</f>
      </c>
      <c r="I23" s="205">
        <f>IF($K23="","",INDEX('_Datos'!$I$7:$I$200,$K23))</f>
      </c>
      <c r="K23" s="200">
        <f>IFERROR(MATCH(SMALL('_Datos'!$L$7:$L$200,ROW()-7+1),'_Datos'!$L$7:$L$200,0),"")</f>
      </c>
    </row>
    <row r="24">
      <c r="B24" s="202">
        <f>IF($K24="","",INDEX('_Datos'!$M$7:$M$200,$K24))</f>
      </c>
      <c r="C24" s="203">
        <f>IF($K24="","",INDEX('_Datos'!$D$7:$D$200,$K24))</f>
      </c>
      <c r="D24" s="203">
        <f>IF($K24="","",INDEX('_Datos'!$F$7:$F$200,$K24))</f>
      </c>
      <c r="E24" s="203">
        <f>IF($K24="","",INDEX('_Datos'!$G$7:$G$200,$K24))</f>
      </c>
      <c r="F24" s="204">
        <f>IF($K24="","",INDEX('_Datos'!$H$7:$H$200,$K24))</f>
      </c>
      <c r="G24" s="202">
        <f>IF($K24="","",INDEX('_Datos'!$J$7:$J$200,$K24))</f>
      </c>
      <c r="H24" s="206">
        <f>IF($K24="","",INDEX('_Datos'!$K$7:$K$200,$K24))</f>
      </c>
      <c r="I24" s="205">
        <f>IF($K24="","",INDEX('_Datos'!$I$7:$I$200,$K24))</f>
      </c>
      <c r="K24" s="200">
        <f>IFERROR(MATCH(SMALL('_Datos'!$L$7:$L$200,ROW()-7+1),'_Datos'!$L$7:$L$200,0),"")</f>
      </c>
    </row>
    <row r="25">
      <c r="B25" s="202">
        <f>IF($K25="","",INDEX('_Datos'!$M$7:$M$200,$K25))</f>
      </c>
      <c r="C25" s="203">
        <f>IF($K25="","",INDEX('_Datos'!$D$7:$D$200,$K25))</f>
      </c>
      <c r="D25" s="203">
        <f>IF($K25="","",INDEX('_Datos'!$F$7:$F$200,$K25))</f>
      </c>
      <c r="E25" s="203">
        <f>IF($K25="","",INDEX('_Datos'!$G$7:$G$200,$K25))</f>
      </c>
      <c r="F25" s="204">
        <f>IF($K25="","",INDEX('_Datos'!$H$7:$H$200,$K25))</f>
      </c>
      <c r="G25" s="202">
        <f>IF($K25="","",INDEX('_Datos'!$J$7:$J$200,$K25))</f>
      </c>
      <c r="H25" s="206">
        <f>IF($K25="","",INDEX('_Datos'!$K$7:$K$200,$K25))</f>
      </c>
      <c r="I25" s="205">
        <f>IF($K25="","",INDEX('_Datos'!$I$7:$I$200,$K25))</f>
      </c>
      <c r="K25" s="200">
        <f>IFERROR(MATCH(SMALL('_Datos'!$L$7:$L$200,ROW()-7+1),'_Datos'!$L$7:$L$200,0),"")</f>
      </c>
    </row>
    <row r="26">
      <c r="B26" s="202">
        <f>IF($K26="","",INDEX('_Datos'!$M$7:$M$200,$K26))</f>
      </c>
      <c r="C26" s="203">
        <f>IF($K26="","",INDEX('_Datos'!$D$7:$D$200,$K26))</f>
      </c>
      <c r="D26" s="203">
        <f>IF($K26="","",INDEX('_Datos'!$F$7:$F$200,$K26))</f>
      </c>
      <c r="E26" s="203">
        <f>IF($K26="","",INDEX('_Datos'!$G$7:$G$200,$K26))</f>
      </c>
      <c r="F26" s="204">
        <f>IF($K26="","",INDEX('_Datos'!$H$7:$H$200,$K26))</f>
      </c>
      <c r="G26" s="202">
        <f>IF($K26="","",INDEX('_Datos'!$J$7:$J$200,$K26))</f>
      </c>
      <c r="H26" s="206">
        <f>IF($K26="","",INDEX('_Datos'!$K$7:$K$200,$K26))</f>
      </c>
      <c r="I26" s="205">
        <f>IF($K26="","",INDEX('_Datos'!$I$7:$I$200,$K26))</f>
      </c>
      <c r="K26" s="200">
        <f>IFERROR(MATCH(SMALL('_Datos'!$L$7:$L$200,ROW()-7+1),'_Datos'!$L$7:$L$200,0),"")</f>
      </c>
    </row>
    <row r="27">
      <c r="B27" s="202">
        <f>IF($K27="","",INDEX('_Datos'!$M$7:$M$200,$K27))</f>
      </c>
      <c r="C27" s="203">
        <f>IF($K27="","",INDEX('_Datos'!$D$7:$D$200,$K27))</f>
      </c>
      <c r="D27" s="203">
        <f>IF($K27="","",INDEX('_Datos'!$F$7:$F$200,$K27))</f>
      </c>
      <c r="E27" s="203">
        <f>IF($K27="","",INDEX('_Datos'!$G$7:$G$200,$K27))</f>
      </c>
      <c r="F27" s="204">
        <f>IF($K27="","",INDEX('_Datos'!$H$7:$H$200,$K27))</f>
      </c>
      <c r="G27" s="202">
        <f>IF($K27="","",INDEX('_Datos'!$J$7:$J$200,$K27))</f>
      </c>
      <c r="H27" s="206">
        <f>IF($K27="","",INDEX('_Datos'!$K$7:$K$200,$K27))</f>
      </c>
      <c r="I27" s="205">
        <f>IF($K27="","",INDEX('_Datos'!$I$7:$I$200,$K27))</f>
      </c>
      <c r="K27" s="200">
        <f>IFERROR(MATCH(SMALL('_Datos'!$L$7:$L$200,ROW()-7+1),'_Datos'!$L$7:$L$200,0),"")</f>
      </c>
    </row>
    <row r="28">
      <c r="B28" s="202">
        <f>IF($K28="","",INDEX('_Datos'!$M$7:$M$200,$K28))</f>
      </c>
      <c r="C28" s="203">
        <f>IF($K28="","",INDEX('_Datos'!$D$7:$D$200,$K28))</f>
      </c>
      <c r="D28" s="203">
        <f>IF($K28="","",INDEX('_Datos'!$F$7:$F$200,$K28))</f>
      </c>
      <c r="E28" s="203">
        <f>IF($K28="","",INDEX('_Datos'!$G$7:$G$200,$K28))</f>
      </c>
      <c r="F28" s="204">
        <f>IF($K28="","",INDEX('_Datos'!$H$7:$H$200,$K28))</f>
      </c>
      <c r="G28" s="202">
        <f>IF($K28="","",INDEX('_Datos'!$J$7:$J$200,$K28))</f>
      </c>
      <c r="H28" s="206">
        <f>IF($K28="","",INDEX('_Datos'!$K$7:$K$200,$K28))</f>
      </c>
      <c r="I28" s="205">
        <f>IF($K28="","",INDEX('_Datos'!$I$7:$I$200,$K28))</f>
      </c>
      <c r="K28" s="200">
        <f>IFERROR(MATCH(SMALL('_Datos'!$L$7:$L$200,ROW()-7+1),'_Datos'!$L$7:$L$200,0),"")</f>
      </c>
    </row>
    <row r="29">
      <c r="B29" s="202">
        <f>IF($K29="","",INDEX('_Datos'!$M$7:$M$200,$K29))</f>
      </c>
      <c r="C29" s="203">
        <f>IF($K29="","",INDEX('_Datos'!$D$7:$D$200,$K29))</f>
      </c>
      <c r="D29" s="203">
        <f>IF($K29="","",INDEX('_Datos'!$F$7:$F$200,$K29))</f>
      </c>
      <c r="E29" s="203">
        <f>IF($K29="","",INDEX('_Datos'!$G$7:$G$200,$K29))</f>
      </c>
      <c r="F29" s="204">
        <f>IF($K29="","",INDEX('_Datos'!$H$7:$H$200,$K29))</f>
      </c>
      <c r="G29" s="202">
        <f>IF($K29="","",INDEX('_Datos'!$J$7:$J$200,$K29))</f>
      </c>
      <c r="H29" s="206">
        <f>IF($K29="","",INDEX('_Datos'!$K$7:$K$200,$K29))</f>
      </c>
      <c r="I29" s="205">
        <f>IF($K29="","",INDEX('_Datos'!$I$7:$I$200,$K29))</f>
      </c>
      <c r="K29" s="200">
        <f>IFERROR(MATCH(SMALL('_Datos'!$L$7:$L$200,ROW()-7+1),'_Datos'!$L$7:$L$200,0),"")</f>
      </c>
    </row>
    <row r="30">
      <c r="B30" s="202">
        <f>IF($K30="","",INDEX('_Datos'!$M$7:$M$200,$K30))</f>
      </c>
      <c r="C30" s="203">
        <f>IF($K30="","",INDEX('_Datos'!$D$7:$D$200,$K30))</f>
      </c>
      <c r="D30" s="203">
        <f>IF($K30="","",INDEX('_Datos'!$F$7:$F$200,$K30))</f>
      </c>
      <c r="E30" s="203">
        <f>IF($K30="","",INDEX('_Datos'!$G$7:$G$200,$K30))</f>
      </c>
      <c r="F30" s="204">
        <f>IF($K30="","",INDEX('_Datos'!$H$7:$H$200,$K30))</f>
      </c>
      <c r="G30" s="202">
        <f>IF($K30="","",INDEX('_Datos'!$J$7:$J$200,$K30))</f>
      </c>
      <c r="H30" s="206">
        <f>IF($K30="","",INDEX('_Datos'!$K$7:$K$200,$K30))</f>
      </c>
      <c r="I30" s="205">
        <f>IF($K30="","",INDEX('_Datos'!$I$7:$I$200,$K30))</f>
      </c>
      <c r="K30" s="200">
        <f>IFERROR(MATCH(SMALL('_Datos'!$L$7:$L$200,ROW()-7+1),'_Datos'!$L$7:$L$200,0),"")</f>
      </c>
    </row>
    <row r="31">
      <c r="B31" s="202">
        <f>IF($K31="","",INDEX('_Datos'!$M$7:$M$200,$K31))</f>
      </c>
      <c r="C31" s="203">
        <f>IF($K31="","",INDEX('_Datos'!$D$7:$D$200,$K31))</f>
      </c>
      <c r="D31" s="203">
        <f>IF($K31="","",INDEX('_Datos'!$F$7:$F$200,$K31))</f>
      </c>
      <c r="E31" s="203">
        <f>IF($K31="","",INDEX('_Datos'!$G$7:$G$200,$K31))</f>
      </c>
      <c r="F31" s="204">
        <f>IF($K31="","",INDEX('_Datos'!$H$7:$H$200,$K31))</f>
      </c>
      <c r="G31" s="202">
        <f>IF($K31="","",INDEX('_Datos'!$J$7:$J$200,$K31))</f>
      </c>
      <c r="H31" s="206">
        <f>IF($K31="","",INDEX('_Datos'!$K$7:$K$200,$K31))</f>
      </c>
      <c r="I31" s="205">
        <f>IF($K31="","",INDEX('_Datos'!$I$7:$I$200,$K31))</f>
      </c>
      <c r="K31" s="200">
        <f>IFERROR(MATCH(SMALL('_Datos'!$L$7:$L$200,ROW()-7+1),'_Datos'!$L$7:$L$200,0),"")</f>
      </c>
    </row>
    <row r="32">
      <c r="B32" s="202">
        <f>IF($K32="","",INDEX('_Datos'!$M$7:$M$200,$K32))</f>
      </c>
      <c r="C32" s="203">
        <f>IF($K32="","",INDEX('_Datos'!$D$7:$D$200,$K32))</f>
      </c>
      <c r="D32" s="203">
        <f>IF($K32="","",INDEX('_Datos'!$F$7:$F$200,$K32))</f>
      </c>
      <c r="E32" s="203">
        <f>IF($K32="","",INDEX('_Datos'!$G$7:$G$200,$K32))</f>
      </c>
      <c r="F32" s="204">
        <f>IF($K32="","",INDEX('_Datos'!$H$7:$H$200,$K32))</f>
      </c>
      <c r="G32" s="202">
        <f>IF($K32="","",INDEX('_Datos'!$J$7:$J$200,$K32))</f>
      </c>
      <c r="H32" s="206">
        <f>IF($K32="","",INDEX('_Datos'!$K$7:$K$200,$K32))</f>
      </c>
      <c r="I32" s="205">
        <f>IF($K32="","",INDEX('_Datos'!$I$7:$I$200,$K32))</f>
      </c>
      <c r="K32" s="200">
        <f>IFERROR(MATCH(SMALL('_Datos'!$L$7:$L$200,ROW()-7+1),'_Datos'!$L$7:$L$200,0),"")</f>
      </c>
    </row>
    <row r="33">
      <c r="B33" s="202">
        <f>IF($K33="","",INDEX('_Datos'!$M$7:$M$200,$K33))</f>
      </c>
      <c r="C33" s="203">
        <f>IF($K33="","",INDEX('_Datos'!$D$7:$D$200,$K33))</f>
      </c>
      <c r="D33" s="203">
        <f>IF($K33="","",INDEX('_Datos'!$F$7:$F$200,$K33))</f>
      </c>
      <c r="E33" s="203">
        <f>IF($K33="","",INDEX('_Datos'!$G$7:$G$200,$K33))</f>
      </c>
      <c r="F33" s="204">
        <f>IF($K33="","",INDEX('_Datos'!$H$7:$H$200,$K33))</f>
      </c>
      <c r="G33" s="202">
        <f>IF($K33="","",INDEX('_Datos'!$J$7:$J$200,$K33))</f>
      </c>
      <c r="H33" s="206">
        <f>IF($K33="","",INDEX('_Datos'!$K$7:$K$200,$K33))</f>
      </c>
      <c r="I33" s="205">
        <f>IF($K33="","",INDEX('_Datos'!$I$7:$I$200,$K33))</f>
      </c>
      <c r="K33" s="200">
        <f>IFERROR(MATCH(SMALL('_Datos'!$L$7:$L$200,ROW()-7+1),'_Datos'!$L$7:$L$200,0),"")</f>
      </c>
    </row>
    <row r="34">
      <c r="B34" s="202">
        <f>IF($K34="","",INDEX('_Datos'!$M$7:$M$200,$K34))</f>
      </c>
      <c r="C34" s="203">
        <f>IF($K34="","",INDEX('_Datos'!$D$7:$D$200,$K34))</f>
      </c>
      <c r="D34" s="203">
        <f>IF($K34="","",INDEX('_Datos'!$F$7:$F$200,$K34))</f>
      </c>
      <c r="E34" s="203">
        <f>IF($K34="","",INDEX('_Datos'!$G$7:$G$200,$K34))</f>
      </c>
      <c r="F34" s="204">
        <f>IF($K34="","",INDEX('_Datos'!$H$7:$H$200,$K34))</f>
      </c>
      <c r="G34" s="202">
        <f>IF($K34="","",INDEX('_Datos'!$J$7:$J$200,$K34))</f>
      </c>
      <c r="H34" s="206">
        <f>IF($K34="","",INDEX('_Datos'!$K$7:$K$200,$K34))</f>
      </c>
      <c r="I34" s="205">
        <f>IF($K34="","",INDEX('_Datos'!$I$7:$I$200,$K34))</f>
      </c>
      <c r="K34" s="200">
        <f>IFERROR(MATCH(SMALL('_Datos'!$L$7:$L$200,ROW()-7+1),'_Datos'!$L$7:$L$200,0),"")</f>
      </c>
    </row>
    <row r="35">
      <c r="B35" s="202">
        <f>IF($K35="","",INDEX('_Datos'!$M$7:$M$200,$K35))</f>
      </c>
      <c r="C35" s="203">
        <f>IF($K35="","",INDEX('_Datos'!$D$7:$D$200,$K35))</f>
      </c>
      <c r="D35" s="203">
        <f>IF($K35="","",INDEX('_Datos'!$F$7:$F$200,$K35))</f>
      </c>
      <c r="E35" s="203">
        <f>IF($K35="","",INDEX('_Datos'!$G$7:$G$200,$K35))</f>
      </c>
      <c r="F35" s="204">
        <f>IF($K35="","",INDEX('_Datos'!$H$7:$H$200,$K35))</f>
      </c>
      <c r="G35" s="202">
        <f>IF($K35="","",INDEX('_Datos'!$J$7:$J$200,$K35))</f>
      </c>
      <c r="H35" s="206">
        <f>IF($K35="","",INDEX('_Datos'!$K$7:$K$200,$K35))</f>
      </c>
      <c r="I35" s="205">
        <f>IF($K35="","",INDEX('_Datos'!$I$7:$I$200,$K35))</f>
      </c>
      <c r="K35" s="200">
        <f>IFERROR(MATCH(SMALL('_Datos'!$L$7:$L$200,ROW()-7+1),'_Datos'!$L$7:$L$200,0),"")</f>
      </c>
    </row>
    <row r="36">
      <c r="B36" s="202">
        <f>IF($K36="","",INDEX('_Datos'!$M$7:$M$200,$K36))</f>
      </c>
      <c r="C36" s="203">
        <f>IF($K36="","",INDEX('_Datos'!$D$7:$D$200,$K36))</f>
      </c>
      <c r="D36" s="203">
        <f>IF($K36="","",INDEX('_Datos'!$F$7:$F$200,$K36))</f>
      </c>
      <c r="E36" s="203">
        <f>IF($K36="","",INDEX('_Datos'!$G$7:$G$200,$K36))</f>
      </c>
      <c r="F36" s="204">
        <f>IF($K36="","",INDEX('_Datos'!$H$7:$H$200,$K36))</f>
      </c>
      <c r="G36" s="202">
        <f>IF($K36="","",INDEX('_Datos'!$J$7:$J$200,$K36))</f>
      </c>
      <c r="H36" s="206">
        <f>IF($K36="","",INDEX('_Datos'!$K$7:$K$200,$K36))</f>
      </c>
      <c r="I36" s="205">
        <f>IF($K36="","",INDEX('_Datos'!$I$7:$I$200,$K36))</f>
      </c>
      <c r="K36" s="200">
        <f>IFERROR(MATCH(SMALL('_Datos'!$L$7:$L$200,ROW()-7+1),'_Datos'!$L$7:$L$200,0),"")</f>
      </c>
    </row>
    <row r="37">
      <c r="B37" s="202">
        <f>IF($K37="","",INDEX('_Datos'!$M$7:$M$200,$K37))</f>
      </c>
      <c r="C37" s="203">
        <f>IF($K37="","",INDEX('_Datos'!$D$7:$D$200,$K37))</f>
      </c>
      <c r="D37" s="203">
        <f>IF($K37="","",INDEX('_Datos'!$F$7:$F$200,$K37))</f>
      </c>
      <c r="E37" s="203">
        <f>IF($K37="","",INDEX('_Datos'!$G$7:$G$200,$K37))</f>
      </c>
      <c r="F37" s="204">
        <f>IF($K37="","",INDEX('_Datos'!$H$7:$H$200,$K37))</f>
      </c>
      <c r="G37" s="202">
        <f>IF($K37="","",INDEX('_Datos'!$J$7:$J$200,$K37))</f>
      </c>
      <c r="H37" s="206">
        <f>IF($K37="","",INDEX('_Datos'!$K$7:$K$200,$K37))</f>
      </c>
      <c r="I37" s="205">
        <f>IF($K37="","",INDEX('_Datos'!$I$7:$I$200,$K37))</f>
      </c>
      <c r="K37" s="200">
        <f>IFERROR(MATCH(SMALL('_Datos'!$L$7:$L$200,ROW()-7+1),'_Datos'!$L$7:$L$200,0),"")</f>
      </c>
    </row>
    <row r="38">
      <c r="B38" s="202">
        <f>IF($K38="","",INDEX('_Datos'!$M$7:$M$200,$K38))</f>
      </c>
      <c r="C38" s="203">
        <f>IF($K38="","",INDEX('_Datos'!$D$7:$D$200,$K38))</f>
      </c>
      <c r="D38" s="203">
        <f>IF($K38="","",INDEX('_Datos'!$F$7:$F$200,$K38))</f>
      </c>
      <c r="E38" s="203">
        <f>IF($K38="","",INDEX('_Datos'!$G$7:$G$200,$K38))</f>
      </c>
      <c r="F38" s="204">
        <f>IF($K38="","",INDEX('_Datos'!$H$7:$H$200,$K38))</f>
      </c>
      <c r="G38" s="202">
        <f>IF($K38="","",INDEX('_Datos'!$J$7:$J$200,$K38))</f>
      </c>
      <c r="H38" s="206">
        <f>IF($K38="","",INDEX('_Datos'!$K$7:$K$200,$K38))</f>
      </c>
      <c r="I38" s="205">
        <f>IF($K38="","",INDEX('_Datos'!$I$7:$I$200,$K38))</f>
      </c>
      <c r="K38" s="200">
        <f>IFERROR(MATCH(SMALL('_Datos'!$L$7:$L$200,ROW()-7+1),'_Datos'!$L$7:$L$200,0),"")</f>
      </c>
    </row>
    <row r="39">
      <c r="B39" s="202">
        <f>IF($K39="","",INDEX('_Datos'!$M$7:$M$200,$K39))</f>
      </c>
      <c r="C39" s="203">
        <f>IF($K39="","",INDEX('_Datos'!$D$7:$D$200,$K39))</f>
      </c>
      <c r="D39" s="203">
        <f>IF($K39="","",INDEX('_Datos'!$F$7:$F$200,$K39))</f>
      </c>
      <c r="E39" s="203">
        <f>IF($K39="","",INDEX('_Datos'!$G$7:$G$200,$K39))</f>
      </c>
      <c r="F39" s="204">
        <f>IF($K39="","",INDEX('_Datos'!$H$7:$H$200,$K39))</f>
      </c>
      <c r="G39" s="202">
        <f>IF($K39="","",INDEX('_Datos'!$J$7:$J$200,$K39))</f>
      </c>
      <c r="H39" s="206">
        <f>IF($K39="","",INDEX('_Datos'!$K$7:$K$200,$K39))</f>
      </c>
      <c r="I39" s="205">
        <f>IF($K39="","",INDEX('_Datos'!$I$7:$I$200,$K39))</f>
      </c>
      <c r="K39" s="200">
        <f>IFERROR(MATCH(SMALL('_Datos'!$L$7:$L$200,ROW()-7+1),'_Datos'!$L$7:$L$200,0),"")</f>
      </c>
    </row>
    <row r="40">
      <c r="B40" s="202">
        <f>IF($K40="","",INDEX('_Datos'!$M$7:$M$200,$K40))</f>
      </c>
      <c r="C40" s="203">
        <f>IF($K40="","",INDEX('_Datos'!$D$7:$D$200,$K40))</f>
      </c>
      <c r="D40" s="203">
        <f>IF($K40="","",INDEX('_Datos'!$F$7:$F$200,$K40))</f>
      </c>
      <c r="E40" s="203">
        <f>IF($K40="","",INDEX('_Datos'!$G$7:$G$200,$K40))</f>
      </c>
      <c r="F40" s="204">
        <f>IF($K40="","",INDEX('_Datos'!$H$7:$H$200,$K40))</f>
      </c>
      <c r="G40" s="202">
        <f>IF($K40="","",INDEX('_Datos'!$J$7:$J$200,$K40))</f>
      </c>
      <c r="H40" s="206">
        <f>IF($K40="","",INDEX('_Datos'!$K$7:$K$200,$K40))</f>
      </c>
      <c r="I40" s="205">
        <f>IF($K40="","",INDEX('_Datos'!$I$7:$I$200,$K40))</f>
      </c>
      <c r="K40" s="200">
        <f>IFERROR(MATCH(SMALL('_Datos'!$L$7:$L$200,ROW()-7+1),'_Datos'!$L$7:$L$200,0),"")</f>
      </c>
    </row>
    <row r="41">
      <c r="B41" s="202">
        <f>IF($K41="","",INDEX('_Datos'!$M$7:$M$200,$K41))</f>
      </c>
      <c r="C41" s="203">
        <f>IF($K41="","",INDEX('_Datos'!$D$7:$D$200,$K41))</f>
      </c>
      <c r="D41" s="203">
        <f>IF($K41="","",INDEX('_Datos'!$F$7:$F$200,$K41))</f>
      </c>
      <c r="E41" s="203">
        <f>IF($K41="","",INDEX('_Datos'!$G$7:$G$200,$K41))</f>
      </c>
      <c r="F41" s="204">
        <f>IF($K41="","",INDEX('_Datos'!$H$7:$H$200,$K41))</f>
      </c>
      <c r="G41" s="202">
        <f>IF($K41="","",INDEX('_Datos'!$J$7:$J$200,$K41))</f>
      </c>
      <c r="H41" s="206">
        <f>IF($K41="","",INDEX('_Datos'!$K$7:$K$200,$K41))</f>
      </c>
      <c r="I41" s="205">
        <f>IF($K41="","",INDEX('_Datos'!$I$7:$I$200,$K41))</f>
      </c>
      <c r="K41" s="200">
        <f>IFERROR(MATCH(SMALL('_Datos'!$L$7:$L$200,ROW()-7+1),'_Datos'!$L$7:$L$200,0),"")</f>
      </c>
    </row>
    <row r="42">
      <c r="B42" s="202">
        <f>IF($K42="","",INDEX('_Datos'!$M$7:$M$200,$K42))</f>
      </c>
      <c r="C42" s="203">
        <f>IF($K42="","",INDEX('_Datos'!$D$7:$D$200,$K42))</f>
      </c>
      <c r="D42" s="203">
        <f>IF($K42="","",INDEX('_Datos'!$F$7:$F$200,$K42))</f>
      </c>
      <c r="E42" s="203">
        <f>IF($K42="","",INDEX('_Datos'!$G$7:$G$200,$K42))</f>
      </c>
      <c r="F42" s="204">
        <f>IF($K42="","",INDEX('_Datos'!$H$7:$H$200,$K42))</f>
      </c>
      <c r="G42" s="202">
        <f>IF($K42="","",INDEX('_Datos'!$J$7:$J$200,$K42))</f>
      </c>
      <c r="H42" s="206">
        <f>IF($K42="","",INDEX('_Datos'!$K$7:$K$200,$K42))</f>
      </c>
      <c r="I42" s="205">
        <f>IF($K42="","",INDEX('_Datos'!$I$7:$I$200,$K42))</f>
      </c>
      <c r="K42" s="200">
        <f>IFERROR(MATCH(SMALL('_Datos'!$L$7:$L$200,ROW()-7+1),'_Datos'!$L$7:$L$200,0),"")</f>
      </c>
    </row>
    <row r="43">
      <c r="B43" s="202">
        <f>IF($K43="","",INDEX('_Datos'!$M$7:$M$200,$K43))</f>
      </c>
      <c r="C43" s="203">
        <f>IF($K43="","",INDEX('_Datos'!$D$7:$D$200,$K43))</f>
      </c>
      <c r="D43" s="203">
        <f>IF($K43="","",INDEX('_Datos'!$F$7:$F$200,$K43))</f>
      </c>
      <c r="E43" s="203">
        <f>IF($K43="","",INDEX('_Datos'!$G$7:$G$200,$K43))</f>
      </c>
      <c r="F43" s="204">
        <f>IF($K43="","",INDEX('_Datos'!$H$7:$H$200,$K43))</f>
      </c>
      <c r="G43" s="202">
        <f>IF($K43="","",INDEX('_Datos'!$J$7:$J$200,$K43))</f>
      </c>
      <c r="H43" s="206">
        <f>IF($K43="","",INDEX('_Datos'!$K$7:$K$200,$K43))</f>
      </c>
      <c r="I43" s="205">
        <f>IF($K43="","",INDEX('_Datos'!$I$7:$I$200,$K43))</f>
      </c>
      <c r="K43" s="200">
        <f>IFERROR(MATCH(SMALL('_Datos'!$L$7:$L$200,ROW()-7+1),'_Datos'!$L$7:$L$200,0),"")</f>
      </c>
    </row>
    <row r="44">
      <c r="B44" s="202">
        <f>IF($K44="","",INDEX('_Datos'!$M$7:$M$200,$K44))</f>
      </c>
      <c r="C44" s="203">
        <f>IF($K44="","",INDEX('_Datos'!$D$7:$D$200,$K44))</f>
      </c>
      <c r="D44" s="203">
        <f>IF($K44="","",INDEX('_Datos'!$F$7:$F$200,$K44))</f>
      </c>
      <c r="E44" s="203">
        <f>IF($K44="","",INDEX('_Datos'!$G$7:$G$200,$K44))</f>
      </c>
      <c r="F44" s="204">
        <f>IF($K44="","",INDEX('_Datos'!$H$7:$H$200,$K44))</f>
      </c>
      <c r="G44" s="202">
        <f>IF($K44="","",INDEX('_Datos'!$J$7:$J$200,$K44))</f>
      </c>
      <c r="H44" s="206">
        <f>IF($K44="","",INDEX('_Datos'!$K$7:$K$200,$K44))</f>
      </c>
      <c r="I44" s="205">
        <f>IF($K44="","",INDEX('_Datos'!$I$7:$I$200,$K44))</f>
      </c>
      <c r="K44" s="200">
        <f>IFERROR(MATCH(SMALL('_Datos'!$L$7:$L$200,ROW()-7+1),'_Datos'!$L$7:$L$200,0),"")</f>
      </c>
    </row>
    <row r="45">
      <c r="B45" s="202">
        <f>IF($K45="","",INDEX('_Datos'!$M$7:$M$200,$K45))</f>
      </c>
      <c r="C45" s="203">
        <f>IF($K45="","",INDEX('_Datos'!$D$7:$D$200,$K45))</f>
      </c>
      <c r="D45" s="203">
        <f>IF($K45="","",INDEX('_Datos'!$F$7:$F$200,$K45))</f>
      </c>
      <c r="E45" s="203">
        <f>IF($K45="","",INDEX('_Datos'!$G$7:$G$200,$K45))</f>
      </c>
      <c r="F45" s="204">
        <f>IF($K45="","",INDEX('_Datos'!$H$7:$H$200,$K45))</f>
      </c>
      <c r="G45" s="202">
        <f>IF($K45="","",INDEX('_Datos'!$J$7:$J$200,$K45))</f>
      </c>
      <c r="H45" s="206">
        <f>IF($K45="","",INDEX('_Datos'!$K$7:$K$200,$K45))</f>
      </c>
      <c r="I45" s="205">
        <f>IF($K45="","",INDEX('_Datos'!$I$7:$I$200,$K45))</f>
      </c>
      <c r="K45" s="200">
        <f>IFERROR(MATCH(SMALL('_Datos'!$L$7:$L$200,ROW()-7+1),'_Datos'!$L$7:$L$200,0),"")</f>
      </c>
    </row>
    <row r="46">
      <c r="B46" s="202">
        <f>IF($K46="","",INDEX('_Datos'!$M$7:$M$200,$K46))</f>
      </c>
      <c r="C46" s="203">
        <f>IF($K46="","",INDEX('_Datos'!$D$7:$D$200,$K46))</f>
      </c>
      <c r="D46" s="203">
        <f>IF($K46="","",INDEX('_Datos'!$F$7:$F$200,$K46))</f>
      </c>
      <c r="E46" s="203">
        <f>IF($K46="","",INDEX('_Datos'!$G$7:$G$200,$K46))</f>
      </c>
      <c r="F46" s="204">
        <f>IF($K46="","",INDEX('_Datos'!$H$7:$H$200,$K46))</f>
      </c>
      <c r="G46" s="202">
        <f>IF($K46="","",INDEX('_Datos'!$J$7:$J$200,$K46))</f>
      </c>
      <c r="H46" s="206">
        <f>IF($K46="","",INDEX('_Datos'!$K$7:$K$200,$K46))</f>
      </c>
      <c r="I46" s="205">
        <f>IF($K46="","",INDEX('_Datos'!$I$7:$I$200,$K46))</f>
      </c>
      <c r="K46" s="200">
        <f>IFERROR(MATCH(SMALL('_Datos'!$L$7:$L$200,ROW()-7+1),'_Datos'!$L$7:$L$200,0),"")</f>
      </c>
    </row>
    <row r="47">
      <c r="B47" s="202">
        <f>IF($K47="","",INDEX('_Datos'!$M$7:$M$200,$K47))</f>
      </c>
      <c r="C47" s="203">
        <f>IF($K47="","",INDEX('_Datos'!$D$7:$D$200,$K47))</f>
      </c>
      <c r="D47" s="203">
        <f>IF($K47="","",INDEX('_Datos'!$F$7:$F$200,$K47))</f>
      </c>
      <c r="E47" s="203">
        <f>IF($K47="","",INDEX('_Datos'!$G$7:$G$200,$K47))</f>
      </c>
      <c r="F47" s="204">
        <f>IF($K47="","",INDEX('_Datos'!$H$7:$H$200,$K47))</f>
      </c>
      <c r="G47" s="202">
        <f>IF($K47="","",INDEX('_Datos'!$J$7:$J$200,$K47))</f>
      </c>
      <c r="H47" s="206">
        <f>IF($K47="","",INDEX('_Datos'!$K$7:$K$200,$K47))</f>
      </c>
      <c r="I47" s="205">
        <f>IF($K47="","",INDEX('_Datos'!$I$7:$I$200,$K47))</f>
      </c>
      <c r="K47" s="200">
        <f>IFERROR(MATCH(SMALL('_Datos'!$L$7:$L$200,ROW()-7+1),'_Datos'!$L$7:$L$200,0),"")</f>
      </c>
    </row>
    <row r="48">
      <c r="B48" s="202">
        <f>IF($K48="","",INDEX('_Datos'!$M$7:$M$200,$K48))</f>
      </c>
      <c r="C48" s="203">
        <f>IF($K48="","",INDEX('_Datos'!$D$7:$D$200,$K48))</f>
      </c>
      <c r="D48" s="203">
        <f>IF($K48="","",INDEX('_Datos'!$F$7:$F$200,$K48))</f>
      </c>
      <c r="E48" s="203">
        <f>IF($K48="","",INDEX('_Datos'!$G$7:$G$200,$K48))</f>
      </c>
      <c r="F48" s="204">
        <f>IF($K48="","",INDEX('_Datos'!$H$7:$H$200,$K48))</f>
      </c>
      <c r="G48" s="202">
        <f>IF($K48="","",INDEX('_Datos'!$J$7:$J$200,$K48))</f>
      </c>
      <c r="H48" s="206">
        <f>IF($K48="","",INDEX('_Datos'!$K$7:$K$200,$K48))</f>
      </c>
      <c r="I48" s="205">
        <f>IF($K48="","",INDEX('_Datos'!$I$7:$I$200,$K48))</f>
      </c>
      <c r="K48" s="200">
        <f>IFERROR(MATCH(SMALL('_Datos'!$L$7:$L$200,ROW()-7+1),'_Datos'!$L$7:$L$200,0),"")</f>
      </c>
    </row>
    <row r="49">
      <c r="B49" s="202">
        <f>IF($K49="","",INDEX('_Datos'!$M$7:$M$200,$K49))</f>
      </c>
      <c r="C49" s="203">
        <f>IF($K49="","",INDEX('_Datos'!$D$7:$D$200,$K49))</f>
      </c>
      <c r="D49" s="203">
        <f>IF($K49="","",INDEX('_Datos'!$F$7:$F$200,$K49))</f>
      </c>
      <c r="E49" s="203">
        <f>IF($K49="","",INDEX('_Datos'!$G$7:$G$200,$K49))</f>
      </c>
      <c r="F49" s="204">
        <f>IF($K49="","",INDEX('_Datos'!$H$7:$H$200,$K49))</f>
      </c>
      <c r="G49" s="202">
        <f>IF($K49="","",INDEX('_Datos'!$J$7:$J$200,$K49))</f>
      </c>
      <c r="H49" s="206">
        <f>IF($K49="","",INDEX('_Datos'!$K$7:$K$200,$K49))</f>
      </c>
      <c r="I49" s="205">
        <f>IF($K49="","",INDEX('_Datos'!$I$7:$I$200,$K49))</f>
      </c>
      <c r="K49" s="200">
        <f>IFERROR(MATCH(SMALL('_Datos'!$L$7:$L$200,ROW()-7+1),'_Datos'!$L$7:$L$200,0),"")</f>
      </c>
    </row>
    <row r="50">
      <c r="B50" s="202">
        <f>IF($K50="","",INDEX('_Datos'!$M$7:$M$200,$K50))</f>
      </c>
      <c r="C50" s="203">
        <f>IF($K50="","",INDEX('_Datos'!$D$7:$D$200,$K50))</f>
      </c>
      <c r="D50" s="203">
        <f>IF($K50="","",INDEX('_Datos'!$F$7:$F$200,$K50))</f>
      </c>
      <c r="E50" s="203">
        <f>IF($K50="","",INDEX('_Datos'!$G$7:$G$200,$K50))</f>
      </c>
      <c r="F50" s="204">
        <f>IF($K50="","",INDEX('_Datos'!$H$7:$H$200,$K50))</f>
      </c>
      <c r="G50" s="202">
        <f>IF($K50="","",INDEX('_Datos'!$J$7:$J$200,$K50))</f>
      </c>
      <c r="H50" s="206">
        <f>IF($K50="","",INDEX('_Datos'!$K$7:$K$200,$K50))</f>
      </c>
      <c r="I50" s="205">
        <f>IF($K50="","",INDEX('_Datos'!$I$7:$I$200,$K50))</f>
      </c>
      <c r="K50" s="200">
        <f>IFERROR(MATCH(SMALL('_Datos'!$L$7:$L$200,ROW()-7+1),'_Datos'!$L$7:$L$200,0),"")</f>
      </c>
    </row>
    <row r="51">
      <c r="B51" s="202">
        <f>IF($K51="","",INDEX('_Datos'!$M$7:$M$200,$K51))</f>
      </c>
      <c r="C51" s="203">
        <f>IF($K51="","",INDEX('_Datos'!$D$7:$D$200,$K51))</f>
      </c>
      <c r="D51" s="203">
        <f>IF($K51="","",INDEX('_Datos'!$F$7:$F$200,$K51))</f>
      </c>
      <c r="E51" s="203">
        <f>IF($K51="","",INDEX('_Datos'!$G$7:$G$200,$K51))</f>
      </c>
      <c r="F51" s="204">
        <f>IF($K51="","",INDEX('_Datos'!$H$7:$H$200,$K51))</f>
      </c>
      <c r="G51" s="202">
        <f>IF($K51="","",INDEX('_Datos'!$J$7:$J$200,$K51))</f>
      </c>
      <c r="H51" s="206">
        <f>IF($K51="","",INDEX('_Datos'!$K$7:$K$200,$K51))</f>
      </c>
      <c r="I51" s="205">
        <f>IF($K51="","",INDEX('_Datos'!$I$7:$I$200,$K51))</f>
      </c>
      <c r="K51" s="200">
        <f>IFERROR(MATCH(SMALL('_Datos'!$L$7:$L$200,ROW()-7+1),'_Datos'!$L$7:$L$200,0),"")</f>
      </c>
    </row>
    <row r="52">
      <c r="B52" s="202">
        <f>IF($K52="","",INDEX('_Datos'!$M$7:$M$200,$K52))</f>
      </c>
      <c r="C52" s="203">
        <f>IF($K52="","",INDEX('_Datos'!$D$7:$D$200,$K52))</f>
      </c>
      <c r="D52" s="203">
        <f>IF($K52="","",INDEX('_Datos'!$F$7:$F$200,$K52))</f>
      </c>
      <c r="E52" s="203">
        <f>IF($K52="","",INDEX('_Datos'!$G$7:$G$200,$K52))</f>
      </c>
      <c r="F52" s="204">
        <f>IF($K52="","",INDEX('_Datos'!$H$7:$H$200,$K52))</f>
      </c>
      <c r="G52" s="202">
        <f>IF($K52="","",INDEX('_Datos'!$J$7:$J$200,$K52))</f>
      </c>
      <c r="H52" s="206">
        <f>IF($K52="","",INDEX('_Datos'!$K$7:$K$200,$K52))</f>
      </c>
      <c r="I52" s="205">
        <f>IF($K52="","",INDEX('_Datos'!$I$7:$I$200,$K52))</f>
      </c>
      <c r="K52" s="200">
        <f>IFERROR(MATCH(SMALL('_Datos'!$L$7:$L$200,ROW()-7+1),'_Datos'!$L$7:$L$200,0),"")</f>
      </c>
    </row>
    <row r="53">
      <c r="B53" s="202">
        <f>IF($K53="","",INDEX('_Datos'!$M$7:$M$200,$K53))</f>
      </c>
      <c r="C53" s="203">
        <f>IF($K53="","",INDEX('_Datos'!$D$7:$D$200,$K53))</f>
      </c>
      <c r="D53" s="203">
        <f>IF($K53="","",INDEX('_Datos'!$F$7:$F$200,$K53))</f>
      </c>
      <c r="E53" s="203">
        <f>IF($K53="","",INDEX('_Datos'!$G$7:$G$200,$K53))</f>
      </c>
      <c r="F53" s="204">
        <f>IF($K53="","",INDEX('_Datos'!$H$7:$H$200,$K53))</f>
      </c>
      <c r="G53" s="202">
        <f>IF($K53="","",INDEX('_Datos'!$J$7:$J$200,$K53))</f>
      </c>
      <c r="H53" s="206">
        <f>IF($K53="","",INDEX('_Datos'!$K$7:$K$200,$K53))</f>
      </c>
      <c r="I53" s="205">
        <f>IF($K53="","",INDEX('_Datos'!$I$7:$I$200,$K53))</f>
      </c>
      <c r="K53" s="200">
        <f>IFERROR(MATCH(SMALL('_Datos'!$L$7:$L$200,ROW()-7+1),'_Datos'!$L$7:$L$200,0),"")</f>
      </c>
    </row>
    <row r="54">
      <c r="B54" s="202">
        <f>IF($K54="","",INDEX('_Datos'!$M$7:$M$200,$K54))</f>
      </c>
      <c r="C54" s="203">
        <f>IF($K54="","",INDEX('_Datos'!$D$7:$D$200,$K54))</f>
      </c>
      <c r="D54" s="203">
        <f>IF($K54="","",INDEX('_Datos'!$F$7:$F$200,$K54))</f>
      </c>
      <c r="E54" s="203">
        <f>IF($K54="","",INDEX('_Datos'!$G$7:$G$200,$K54))</f>
      </c>
      <c r="F54" s="204">
        <f>IF($K54="","",INDEX('_Datos'!$H$7:$H$200,$K54))</f>
      </c>
      <c r="G54" s="202">
        <f>IF($K54="","",INDEX('_Datos'!$J$7:$J$200,$K54))</f>
      </c>
      <c r="H54" s="206">
        <f>IF($K54="","",INDEX('_Datos'!$K$7:$K$200,$K54))</f>
      </c>
      <c r="I54" s="205">
        <f>IF($K54="","",INDEX('_Datos'!$I$7:$I$200,$K54))</f>
      </c>
      <c r="K54" s="200">
        <f>IFERROR(MATCH(SMALL('_Datos'!$L$7:$L$200,ROW()-7+1),'_Datos'!$L$7:$L$200,0),"")</f>
      </c>
    </row>
    <row r="55">
      <c r="B55" s="202">
        <f>IF($K55="","",INDEX('_Datos'!$M$7:$M$200,$K55))</f>
      </c>
      <c r="C55" s="203">
        <f>IF($K55="","",INDEX('_Datos'!$D$7:$D$200,$K55))</f>
      </c>
      <c r="D55" s="203">
        <f>IF($K55="","",INDEX('_Datos'!$F$7:$F$200,$K55))</f>
      </c>
      <c r="E55" s="203">
        <f>IF($K55="","",INDEX('_Datos'!$G$7:$G$200,$K55))</f>
      </c>
      <c r="F55" s="204">
        <f>IF($K55="","",INDEX('_Datos'!$H$7:$H$200,$K55))</f>
      </c>
      <c r="G55" s="202">
        <f>IF($K55="","",INDEX('_Datos'!$J$7:$J$200,$K55))</f>
      </c>
      <c r="H55" s="206">
        <f>IF($K55="","",INDEX('_Datos'!$K$7:$K$200,$K55))</f>
      </c>
      <c r="I55" s="205">
        <f>IF($K55="","",INDEX('_Datos'!$I$7:$I$200,$K55))</f>
      </c>
      <c r="K55" s="200">
        <f>IFERROR(MATCH(SMALL('_Datos'!$L$7:$L$200,ROW()-7+1),'_Datos'!$L$7:$L$200,0),"")</f>
      </c>
    </row>
    <row r="56">
      <c r="B56" s="202">
        <f>IF($K56="","",INDEX('_Datos'!$M$7:$M$200,$K56))</f>
      </c>
      <c r="C56" s="203">
        <f>IF($K56="","",INDEX('_Datos'!$D$7:$D$200,$K56))</f>
      </c>
      <c r="D56" s="203">
        <f>IF($K56="","",INDEX('_Datos'!$F$7:$F$200,$K56))</f>
      </c>
      <c r="E56" s="203">
        <f>IF($K56="","",INDEX('_Datos'!$G$7:$G$200,$K56))</f>
      </c>
      <c r="F56" s="204">
        <f>IF($K56="","",INDEX('_Datos'!$H$7:$H$200,$K56))</f>
      </c>
      <c r="G56" s="202">
        <f>IF($K56="","",INDEX('_Datos'!$J$7:$J$200,$K56))</f>
      </c>
      <c r="H56" s="206">
        <f>IF($K56="","",INDEX('_Datos'!$K$7:$K$200,$K56))</f>
      </c>
      <c r="I56" s="205">
        <f>IF($K56="","",INDEX('_Datos'!$I$7:$I$200,$K56))</f>
      </c>
      <c r="K56" s="200">
        <f>IFERROR(MATCH(SMALL('_Datos'!$L$7:$L$200,ROW()-7+1),'_Datos'!$L$7:$L$200,0),"")</f>
      </c>
    </row>
    <row r="57">
      <c r="B57" s="202">
        <f>IF($K57="","",INDEX('_Datos'!$M$7:$M$200,$K57))</f>
      </c>
      <c r="C57" s="203">
        <f>IF($K57="","",INDEX('_Datos'!$D$7:$D$200,$K57))</f>
      </c>
      <c r="D57" s="203">
        <f>IF($K57="","",INDEX('_Datos'!$F$7:$F$200,$K57))</f>
      </c>
      <c r="E57" s="203">
        <f>IF($K57="","",INDEX('_Datos'!$G$7:$G$200,$K57))</f>
      </c>
      <c r="F57" s="204">
        <f>IF($K57="","",INDEX('_Datos'!$H$7:$H$200,$K57))</f>
      </c>
      <c r="G57" s="202">
        <f>IF($K57="","",INDEX('_Datos'!$J$7:$J$200,$K57))</f>
      </c>
      <c r="H57" s="206">
        <f>IF($K57="","",INDEX('_Datos'!$K$7:$K$200,$K57))</f>
      </c>
      <c r="I57" s="205">
        <f>IF($K57="","",INDEX('_Datos'!$I$7:$I$200,$K57))</f>
      </c>
      <c r="K57" s="200">
        <f>IFERROR(MATCH(SMALL('_Datos'!$L$7:$L$200,ROW()-7+1),'_Datos'!$L$7:$L$200,0),"")</f>
      </c>
    </row>
    <row r="58">
      <c r="B58" s="202">
        <f>IF($K58="","",INDEX('_Datos'!$M$7:$M$200,$K58))</f>
      </c>
      <c r="C58" s="203">
        <f>IF($K58="","",INDEX('_Datos'!$D$7:$D$200,$K58))</f>
      </c>
      <c r="D58" s="203">
        <f>IF($K58="","",INDEX('_Datos'!$F$7:$F$200,$K58))</f>
      </c>
      <c r="E58" s="203">
        <f>IF($K58="","",INDEX('_Datos'!$G$7:$G$200,$K58))</f>
      </c>
      <c r="F58" s="204">
        <f>IF($K58="","",INDEX('_Datos'!$H$7:$H$200,$K58))</f>
      </c>
      <c r="G58" s="202">
        <f>IF($K58="","",INDEX('_Datos'!$J$7:$J$200,$K58))</f>
      </c>
      <c r="H58" s="206">
        <f>IF($K58="","",INDEX('_Datos'!$K$7:$K$200,$K58))</f>
      </c>
      <c r="I58" s="205">
        <f>IF($K58="","",INDEX('_Datos'!$I$7:$I$200,$K58))</f>
      </c>
      <c r="K58" s="200">
        <f>IFERROR(MATCH(SMALL('_Datos'!$L$7:$L$200,ROW()-7+1),'_Datos'!$L$7:$L$200,0),"")</f>
      </c>
    </row>
    <row r="59">
      <c r="B59" s="202">
        <f>IF($K59="","",INDEX('_Datos'!$M$7:$M$200,$K59))</f>
      </c>
      <c r="C59" s="203">
        <f>IF($K59="","",INDEX('_Datos'!$D$7:$D$200,$K59))</f>
      </c>
      <c r="D59" s="203">
        <f>IF($K59="","",INDEX('_Datos'!$F$7:$F$200,$K59))</f>
      </c>
      <c r="E59" s="203">
        <f>IF($K59="","",INDEX('_Datos'!$G$7:$G$200,$K59))</f>
      </c>
      <c r="F59" s="204">
        <f>IF($K59="","",INDEX('_Datos'!$H$7:$H$200,$K59))</f>
      </c>
      <c r="G59" s="202">
        <f>IF($K59="","",INDEX('_Datos'!$J$7:$J$200,$K59))</f>
      </c>
      <c r="H59" s="206">
        <f>IF($K59="","",INDEX('_Datos'!$K$7:$K$200,$K59))</f>
      </c>
      <c r="I59" s="205">
        <f>IF($K59="","",INDEX('_Datos'!$I$7:$I$200,$K59))</f>
      </c>
      <c r="K59" s="200">
        <f>IFERROR(MATCH(SMALL('_Datos'!$L$7:$L$200,ROW()-7+1),'_Datos'!$L$7:$L$200,0),"")</f>
      </c>
    </row>
    <row r="60">
      <c r="B60" s="202">
        <f>IF($K60="","",INDEX('_Datos'!$M$7:$M$200,$K60))</f>
      </c>
      <c r="C60" s="203">
        <f>IF($K60="","",INDEX('_Datos'!$D$7:$D$200,$K60))</f>
      </c>
      <c r="D60" s="203">
        <f>IF($K60="","",INDEX('_Datos'!$F$7:$F$200,$K60))</f>
      </c>
      <c r="E60" s="203">
        <f>IF($K60="","",INDEX('_Datos'!$G$7:$G$200,$K60))</f>
      </c>
      <c r="F60" s="204">
        <f>IF($K60="","",INDEX('_Datos'!$H$7:$H$200,$K60))</f>
      </c>
      <c r="G60" s="202">
        <f>IF($K60="","",INDEX('_Datos'!$J$7:$J$200,$K60))</f>
      </c>
      <c r="H60" s="206">
        <f>IF($K60="","",INDEX('_Datos'!$K$7:$K$200,$K60))</f>
      </c>
      <c r="I60" s="205">
        <f>IF($K60="","",INDEX('_Datos'!$I$7:$I$200,$K60))</f>
      </c>
      <c r="K60" s="200">
        <f>IFERROR(MATCH(SMALL('_Datos'!$L$7:$L$200,ROW()-7+1),'_Datos'!$L$7:$L$200,0),"")</f>
      </c>
    </row>
    <row r="61">
      <c r="B61" s="202">
        <f>IF($K61="","",INDEX('_Datos'!$M$7:$M$200,$K61))</f>
      </c>
      <c r="C61" s="203">
        <f>IF($K61="","",INDEX('_Datos'!$D$7:$D$200,$K61))</f>
      </c>
      <c r="D61" s="203">
        <f>IF($K61="","",INDEX('_Datos'!$F$7:$F$200,$K61))</f>
      </c>
      <c r="E61" s="203">
        <f>IF($K61="","",INDEX('_Datos'!$G$7:$G$200,$K61))</f>
      </c>
      <c r="F61" s="204">
        <f>IF($K61="","",INDEX('_Datos'!$H$7:$H$200,$K61))</f>
      </c>
      <c r="G61" s="202">
        <f>IF($K61="","",INDEX('_Datos'!$J$7:$J$200,$K61))</f>
      </c>
      <c r="H61" s="206">
        <f>IF($K61="","",INDEX('_Datos'!$K$7:$K$200,$K61))</f>
      </c>
      <c r="I61" s="205">
        <f>IF($K61="","",INDEX('_Datos'!$I$7:$I$200,$K61))</f>
      </c>
      <c r="K61" s="200">
        <f>IFERROR(MATCH(SMALL('_Datos'!$L$7:$L$200,ROW()-7+1),'_Datos'!$L$7:$L$200,0),"")</f>
      </c>
    </row>
    <row r="62">
      <c r="B62" s="202">
        <f>IF($K62="","",INDEX('_Datos'!$M$7:$M$200,$K62))</f>
      </c>
      <c r="C62" s="203">
        <f>IF($K62="","",INDEX('_Datos'!$D$7:$D$200,$K62))</f>
      </c>
      <c r="D62" s="203">
        <f>IF($K62="","",INDEX('_Datos'!$F$7:$F$200,$K62))</f>
      </c>
      <c r="E62" s="203">
        <f>IF($K62="","",INDEX('_Datos'!$G$7:$G$200,$K62))</f>
      </c>
      <c r="F62" s="204">
        <f>IF($K62="","",INDEX('_Datos'!$H$7:$H$200,$K62))</f>
      </c>
      <c r="G62" s="202">
        <f>IF($K62="","",INDEX('_Datos'!$J$7:$J$200,$K62))</f>
      </c>
      <c r="H62" s="206">
        <f>IF($K62="","",INDEX('_Datos'!$K$7:$K$200,$K62))</f>
      </c>
      <c r="I62" s="205">
        <f>IF($K62="","",INDEX('_Datos'!$I$7:$I$200,$K62))</f>
      </c>
      <c r="K62" s="200">
        <f>IFERROR(MATCH(SMALL('_Datos'!$L$7:$L$200,ROW()-7+1),'_Datos'!$L$7:$L$200,0),"")</f>
      </c>
    </row>
    <row r="63">
      <c r="B63" s="202">
        <f>IF($K63="","",INDEX('_Datos'!$M$7:$M$200,$K63))</f>
      </c>
      <c r="C63" s="203">
        <f>IF($K63="","",INDEX('_Datos'!$D$7:$D$200,$K63))</f>
      </c>
      <c r="D63" s="203">
        <f>IF($K63="","",INDEX('_Datos'!$F$7:$F$200,$K63))</f>
      </c>
      <c r="E63" s="203">
        <f>IF($K63="","",INDEX('_Datos'!$G$7:$G$200,$K63))</f>
      </c>
      <c r="F63" s="204">
        <f>IF($K63="","",INDEX('_Datos'!$H$7:$H$200,$K63))</f>
      </c>
      <c r="G63" s="202">
        <f>IF($K63="","",INDEX('_Datos'!$J$7:$J$200,$K63))</f>
      </c>
      <c r="H63" s="206">
        <f>IF($K63="","",INDEX('_Datos'!$K$7:$K$200,$K63))</f>
      </c>
      <c r="I63" s="205">
        <f>IF($K63="","",INDEX('_Datos'!$I$7:$I$200,$K63))</f>
      </c>
      <c r="K63" s="200">
        <f>IFERROR(MATCH(SMALL('_Datos'!$L$7:$L$200,ROW()-7+1),'_Datos'!$L$7:$L$200,0),"")</f>
      </c>
    </row>
    <row r="64">
      <c r="B64" s="202">
        <f>IF($K64="","",INDEX('_Datos'!$M$7:$M$200,$K64))</f>
      </c>
      <c r="C64" s="203">
        <f>IF($K64="","",INDEX('_Datos'!$D$7:$D$200,$K64))</f>
      </c>
      <c r="D64" s="203">
        <f>IF($K64="","",INDEX('_Datos'!$F$7:$F$200,$K64))</f>
      </c>
      <c r="E64" s="203">
        <f>IF($K64="","",INDEX('_Datos'!$G$7:$G$200,$K64))</f>
      </c>
      <c r="F64" s="204">
        <f>IF($K64="","",INDEX('_Datos'!$H$7:$H$200,$K64))</f>
      </c>
      <c r="G64" s="202">
        <f>IF($K64="","",INDEX('_Datos'!$J$7:$J$200,$K64))</f>
      </c>
      <c r="H64" s="206">
        <f>IF($K64="","",INDEX('_Datos'!$K$7:$K$200,$K64))</f>
      </c>
      <c r="I64" s="205">
        <f>IF($K64="","",INDEX('_Datos'!$I$7:$I$200,$K64))</f>
      </c>
      <c r="K64" s="200">
        <f>IFERROR(MATCH(SMALL('_Datos'!$L$7:$L$200,ROW()-7+1),'_Datos'!$L$7:$L$200,0),"")</f>
      </c>
    </row>
    <row r="65">
      <c r="B65" s="202">
        <f>IF($K65="","",INDEX('_Datos'!$M$7:$M$200,$K65))</f>
      </c>
      <c r="C65" s="203">
        <f>IF($K65="","",INDEX('_Datos'!$D$7:$D$200,$K65))</f>
      </c>
      <c r="D65" s="203">
        <f>IF($K65="","",INDEX('_Datos'!$F$7:$F$200,$K65))</f>
      </c>
      <c r="E65" s="203">
        <f>IF($K65="","",INDEX('_Datos'!$G$7:$G$200,$K65))</f>
      </c>
      <c r="F65" s="204">
        <f>IF($K65="","",INDEX('_Datos'!$H$7:$H$200,$K65))</f>
      </c>
      <c r="G65" s="202">
        <f>IF($K65="","",INDEX('_Datos'!$J$7:$J$200,$K65))</f>
      </c>
      <c r="H65" s="206">
        <f>IF($K65="","",INDEX('_Datos'!$K$7:$K$200,$K65))</f>
      </c>
      <c r="I65" s="205">
        <f>IF($K65="","",INDEX('_Datos'!$I$7:$I$200,$K65))</f>
      </c>
      <c r="K65" s="200">
        <f>IFERROR(MATCH(SMALL('_Datos'!$L$7:$L$200,ROW()-7+1),'_Datos'!$L$7:$L$200,0),"")</f>
      </c>
    </row>
    <row r="66">
      <c r="B66" s="202">
        <f>IF($K66="","",INDEX('_Datos'!$M$7:$M$200,$K66))</f>
      </c>
      <c r="C66" s="203">
        <f>IF($K66="","",INDEX('_Datos'!$D$7:$D$200,$K66))</f>
      </c>
      <c r="D66" s="203">
        <f>IF($K66="","",INDEX('_Datos'!$F$7:$F$200,$K66))</f>
      </c>
      <c r="E66" s="203">
        <f>IF($K66="","",INDEX('_Datos'!$G$7:$G$200,$K66))</f>
      </c>
      <c r="F66" s="204">
        <f>IF($K66="","",INDEX('_Datos'!$H$7:$H$200,$K66))</f>
      </c>
      <c r="G66" s="202">
        <f>IF($K66="","",INDEX('_Datos'!$J$7:$J$200,$K66))</f>
      </c>
      <c r="H66" s="206">
        <f>IF($K66="","",INDEX('_Datos'!$K$7:$K$200,$K66))</f>
      </c>
      <c r="I66" s="205">
        <f>IF($K66="","",INDEX('_Datos'!$I$7:$I$200,$K66))</f>
      </c>
      <c r="K66" s="200">
        <f>IFERROR(MATCH(SMALL('_Datos'!$L$7:$L$200,ROW()-7+1),'_Datos'!$L$7:$L$200,0),"")</f>
      </c>
    </row>
    <row r="67">
      <c r="B67" s="202">
        <f>IF($K67="","",INDEX('_Datos'!$M$7:$M$200,$K67))</f>
      </c>
      <c r="C67" s="203">
        <f>IF($K67="","",INDEX('_Datos'!$D$7:$D$200,$K67))</f>
      </c>
      <c r="D67" s="203">
        <f>IF($K67="","",INDEX('_Datos'!$F$7:$F$200,$K67))</f>
      </c>
      <c r="E67" s="203">
        <f>IF($K67="","",INDEX('_Datos'!$G$7:$G$200,$K67))</f>
      </c>
      <c r="F67" s="204">
        <f>IF($K67="","",INDEX('_Datos'!$H$7:$H$200,$K67))</f>
      </c>
      <c r="G67" s="202">
        <f>IF($K67="","",INDEX('_Datos'!$J$7:$J$200,$K67))</f>
      </c>
      <c r="H67" s="206">
        <f>IF($K67="","",INDEX('_Datos'!$K$7:$K$200,$K67))</f>
      </c>
      <c r="I67" s="205">
        <f>IF($K67="","",INDEX('_Datos'!$I$7:$I$200,$K67))</f>
      </c>
      <c r="K67" s="200">
        <f>IFERROR(MATCH(SMALL('_Datos'!$L$7:$L$200,ROW()-7+1),'_Datos'!$L$7:$L$200,0),"")</f>
      </c>
    </row>
    <row r="68">
      <c r="B68" s="202">
        <f>IF($K68="","",INDEX('_Datos'!$M$7:$M$200,$K68))</f>
      </c>
      <c r="C68" s="203">
        <f>IF($K68="","",INDEX('_Datos'!$D$7:$D$200,$K68))</f>
      </c>
      <c r="D68" s="203">
        <f>IF($K68="","",INDEX('_Datos'!$F$7:$F$200,$K68))</f>
      </c>
      <c r="E68" s="203">
        <f>IF($K68="","",INDEX('_Datos'!$G$7:$G$200,$K68))</f>
      </c>
      <c r="F68" s="204">
        <f>IF($K68="","",INDEX('_Datos'!$H$7:$H$200,$K68))</f>
      </c>
      <c r="G68" s="202">
        <f>IF($K68="","",INDEX('_Datos'!$J$7:$J$200,$K68))</f>
      </c>
      <c r="H68" s="206">
        <f>IF($K68="","",INDEX('_Datos'!$K$7:$K$200,$K68))</f>
      </c>
      <c r="I68" s="205">
        <f>IF($K68="","",INDEX('_Datos'!$I$7:$I$200,$K68))</f>
      </c>
      <c r="K68" s="200">
        <f>IFERROR(MATCH(SMALL('_Datos'!$L$7:$L$200,ROW()-7+1),'_Datos'!$L$7:$L$200,0),"")</f>
      </c>
    </row>
    <row r="69">
      <c r="B69" s="202">
        <f>IF($K69="","",INDEX('_Datos'!$M$7:$M$200,$K69))</f>
      </c>
      <c r="C69" s="203">
        <f>IF($K69="","",INDEX('_Datos'!$D$7:$D$200,$K69))</f>
      </c>
      <c r="D69" s="203">
        <f>IF($K69="","",INDEX('_Datos'!$F$7:$F$200,$K69))</f>
      </c>
      <c r="E69" s="203">
        <f>IF($K69="","",INDEX('_Datos'!$G$7:$G$200,$K69))</f>
      </c>
      <c r="F69" s="204">
        <f>IF($K69="","",INDEX('_Datos'!$H$7:$H$200,$K69))</f>
      </c>
      <c r="G69" s="202">
        <f>IF($K69="","",INDEX('_Datos'!$J$7:$J$200,$K69))</f>
      </c>
      <c r="H69" s="206">
        <f>IF($K69="","",INDEX('_Datos'!$K$7:$K$200,$K69))</f>
      </c>
      <c r="I69" s="205">
        <f>IF($K69="","",INDEX('_Datos'!$I$7:$I$200,$K69))</f>
      </c>
      <c r="K69" s="200">
        <f>IFERROR(MATCH(SMALL('_Datos'!$L$7:$L$200,ROW()-7+1),'_Datos'!$L$7:$L$200,0),"")</f>
      </c>
    </row>
    <row r="70">
      <c r="B70" s="202">
        <f>IF($K70="","",INDEX('_Datos'!$M$7:$M$200,$K70))</f>
      </c>
      <c r="C70" s="203">
        <f>IF($K70="","",INDEX('_Datos'!$D$7:$D$200,$K70))</f>
      </c>
      <c r="D70" s="203">
        <f>IF($K70="","",INDEX('_Datos'!$F$7:$F$200,$K70))</f>
      </c>
      <c r="E70" s="203">
        <f>IF($K70="","",INDEX('_Datos'!$G$7:$G$200,$K70))</f>
      </c>
      <c r="F70" s="204">
        <f>IF($K70="","",INDEX('_Datos'!$H$7:$H$200,$K70))</f>
      </c>
      <c r="G70" s="202">
        <f>IF($K70="","",INDEX('_Datos'!$J$7:$J$200,$K70))</f>
      </c>
      <c r="H70" s="206">
        <f>IF($K70="","",INDEX('_Datos'!$K$7:$K$200,$K70))</f>
      </c>
      <c r="I70" s="205">
        <f>IF($K70="","",INDEX('_Datos'!$I$7:$I$200,$K70))</f>
      </c>
      <c r="K70" s="200">
        <f>IFERROR(MATCH(SMALL('_Datos'!$L$7:$L$200,ROW()-7+1),'_Datos'!$L$7:$L$200,0),"")</f>
      </c>
    </row>
    <row r="71">
      <c r="B71" s="202">
        <f>IF($K71="","",INDEX('_Datos'!$M$7:$M$200,$K71))</f>
      </c>
      <c r="C71" s="203">
        <f>IF($K71="","",INDEX('_Datos'!$D$7:$D$200,$K71))</f>
      </c>
      <c r="D71" s="203">
        <f>IF($K71="","",INDEX('_Datos'!$F$7:$F$200,$K71))</f>
      </c>
      <c r="E71" s="203">
        <f>IF($K71="","",INDEX('_Datos'!$G$7:$G$200,$K71))</f>
      </c>
      <c r="F71" s="204">
        <f>IF($K71="","",INDEX('_Datos'!$H$7:$H$200,$K71))</f>
      </c>
      <c r="G71" s="202">
        <f>IF($K71="","",INDEX('_Datos'!$J$7:$J$200,$K71))</f>
      </c>
      <c r="H71" s="206">
        <f>IF($K71="","",INDEX('_Datos'!$K$7:$K$200,$K71))</f>
      </c>
      <c r="I71" s="205">
        <f>IF($K71="","",INDEX('_Datos'!$I$7:$I$200,$K71))</f>
      </c>
      <c r="K71" s="200">
        <f>IFERROR(MATCH(SMALL('_Datos'!$L$7:$L$200,ROW()-7+1),'_Datos'!$L$7:$L$200,0),"")</f>
      </c>
    </row>
    <row r="72">
      <c r="B72" s="202">
        <f>IF($K72="","",INDEX('_Datos'!$M$7:$M$200,$K72))</f>
      </c>
      <c r="C72" s="203">
        <f>IF($K72="","",INDEX('_Datos'!$D$7:$D$200,$K72))</f>
      </c>
      <c r="D72" s="203">
        <f>IF($K72="","",INDEX('_Datos'!$F$7:$F$200,$K72))</f>
      </c>
      <c r="E72" s="203">
        <f>IF($K72="","",INDEX('_Datos'!$G$7:$G$200,$K72))</f>
      </c>
      <c r="F72" s="204">
        <f>IF($K72="","",INDEX('_Datos'!$H$7:$H$200,$K72))</f>
      </c>
      <c r="G72" s="202">
        <f>IF($K72="","",INDEX('_Datos'!$J$7:$J$200,$K72))</f>
      </c>
      <c r="H72" s="206">
        <f>IF($K72="","",INDEX('_Datos'!$K$7:$K$200,$K72))</f>
      </c>
      <c r="I72" s="205">
        <f>IF($K72="","",INDEX('_Datos'!$I$7:$I$200,$K72))</f>
      </c>
      <c r="K72" s="200">
        <f>IFERROR(MATCH(SMALL('_Datos'!$L$7:$L$200,ROW()-7+1),'_Datos'!$L$7:$L$200,0),"")</f>
      </c>
    </row>
    <row r="73">
      <c r="B73" s="202">
        <f>IF($K73="","",INDEX('_Datos'!$M$7:$M$200,$K73))</f>
      </c>
      <c r="C73" s="203">
        <f>IF($K73="","",INDEX('_Datos'!$D$7:$D$200,$K73))</f>
      </c>
      <c r="D73" s="203">
        <f>IF($K73="","",INDEX('_Datos'!$F$7:$F$200,$K73))</f>
      </c>
      <c r="E73" s="203">
        <f>IF($K73="","",INDEX('_Datos'!$G$7:$G$200,$K73))</f>
      </c>
      <c r="F73" s="204">
        <f>IF($K73="","",INDEX('_Datos'!$H$7:$H$200,$K73))</f>
      </c>
      <c r="G73" s="202">
        <f>IF($K73="","",INDEX('_Datos'!$J$7:$J$200,$K73))</f>
      </c>
      <c r="H73" s="206">
        <f>IF($K73="","",INDEX('_Datos'!$K$7:$K$200,$K73))</f>
      </c>
      <c r="I73" s="205">
        <f>IF($K73="","",INDEX('_Datos'!$I$7:$I$200,$K73))</f>
      </c>
      <c r="K73" s="200">
        <f>IFERROR(MATCH(SMALL('_Datos'!$L$7:$L$200,ROW()-7+1),'_Datos'!$L$7:$L$200,0),"")</f>
      </c>
    </row>
    <row r="74">
      <c r="B74" s="202">
        <f>IF($K74="","",INDEX('_Datos'!$M$7:$M$200,$K74))</f>
      </c>
      <c r="C74" s="203">
        <f>IF($K74="","",INDEX('_Datos'!$D$7:$D$200,$K74))</f>
      </c>
      <c r="D74" s="203">
        <f>IF($K74="","",INDEX('_Datos'!$F$7:$F$200,$K74))</f>
      </c>
      <c r="E74" s="203">
        <f>IF($K74="","",INDEX('_Datos'!$G$7:$G$200,$K74))</f>
      </c>
      <c r="F74" s="204">
        <f>IF($K74="","",INDEX('_Datos'!$H$7:$H$200,$K74))</f>
      </c>
      <c r="G74" s="202">
        <f>IF($K74="","",INDEX('_Datos'!$J$7:$J$200,$K74))</f>
      </c>
      <c r="H74" s="206">
        <f>IF($K74="","",INDEX('_Datos'!$K$7:$K$200,$K74))</f>
      </c>
      <c r="I74" s="205">
        <f>IF($K74="","",INDEX('_Datos'!$I$7:$I$200,$K74))</f>
      </c>
      <c r="K74" s="200">
        <f>IFERROR(MATCH(SMALL('_Datos'!$L$7:$L$200,ROW()-7+1),'_Datos'!$L$7:$L$200,0),"")</f>
      </c>
    </row>
    <row r="75">
      <c r="B75" s="202">
        <f>IF($K75="","",INDEX('_Datos'!$M$7:$M$200,$K75))</f>
      </c>
      <c r="C75" s="203">
        <f>IF($K75="","",INDEX('_Datos'!$D$7:$D$200,$K75))</f>
      </c>
      <c r="D75" s="203">
        <f>IF($K75="","",INDEX('_Datos'!$F$7:$F$200,$K75))</f>
      </c>
      <c r="E75" s="203">
        <f>IF($K75="","",INDEX('_Datos'!$G$7:$G$200,$K75))</f>
      </c>
      <c r="F75" s="204">
        <f>IF($K75="","",INDEX('_Datos'!$H$7:$H$200,$K75))</f>
      </c>
      <c r="G75" s="202">
        <f>IF($K75="","",INDEX('_Datos'!$J$7:$J$200,$K75))</f>
      </c>
      <c r="H75" s="206">
        <f>IF($K75="","",INDEX('_Datos'!$K$7:$K$200,$K75))</f>
      </c>
      <c r="I75" s="205">
        <f>IF($K75="","",INDEX('_Datos'!$I$7:$I$200,$K75))</f>
      </c>
      <c r="K75" s="200">
        <f>IFERROR(MATCH(SMALL('_Datos'!$L$7:$L$200,ROW()-7+1),'_Datos'!$L$7:$L$200,0),"")</f>
      </c>
    </row>
    <row r="76">
      <c r="B76" s="202">
        <f>IF($K76="","",INDEX('_Datos'!$M$7:$M$200,$K76))</f>
      </c>
      <c r="C76" s="203">
        <f>IF($K76="","",INDEX('_Datos'!$D$7:$D$200,$K76))</f>
      </c>
      <c r="D76" s="203">
        <f>IF($K76="","",INDEX('_Datos'!$F$7:$F$200,$K76))</f>
      </c>
      <c r="E76" s="203">
        <f>IF($K76="","",INDEX('_Datos'!$G$7:$G$200,$K76))</f>
      </c>
      <c r="F76" s="204">
        <f>IF($K76="","",INDEX('_Datos'!$H$7:$H$200,$K76))</f>
      </c>
      <c r="G76" s="202">
        <f>IF($K76="","",INDEX('_Datos'!$J$7:$J$200,$K76))</f>
      </c>
      <c r="H76" s="206">
        <f>IF($K76="","",INDEX('_Datos'!$K$7:$K$200,$K76))</f>
      </c>
      <c r="I76" s="205">
        <f>IF($K76="","",INDEX('_Datos'!$I$7:$I$200,$K76))</f>
      </c>
      <c r="K76" s="200">
        <f>IFERROR(MATCH(SMALL('_Datos'!$L$7:$L$200,ROW()-7+1),'_Datos'!$L$7:$L$200,0),"")</f>
      </c>
    </row>
    <row r="77">
      <c r="B77" s="202">
        <f>IF($K77="","",INDEX('_Datos'!$M$7:$M$200,$K77))</f>
      </c>
      <c r="C77" s="203">
        <f>IF($K77="","",INDEX('_Datos'!$D$7:$D$200,$K77))</f>
      </c>
      <c r="D77" s="203">
        <f>IF($K77="","",INDEX('_Datos'!$F$7:$F$200,$K77))</f>
      </c>
      <c r="E77" s="203">
        <f>IF($K77="","",INDEX('_Datos'!$G$7:$G$200,$K77))</f>
      </c>
      <c r="F77" s="204">
        <f>IF($K77="","",INDEX('_Datos'!$H$7:$H$200,$K77))</f>
      </c>
      <c r="G77" s="202">
        <f>IF($K77="","",INDEX('_Datos'!$J$7:$J$200,$K77))</f>
      </c>
      <c r="H77" s="206">
        <f>IF($K77="","",INDEX('_Datos'!$K$7:$K$200,$K77))</f>
      </c>
      <c r="I77" s="205">
        <f>IF($K77="","",INDEX('_Datos'!$I$7:$I$200,$K77))</f>
      </c>
      <c r="K77" s="200">
        <f>IFERROR(MATCH(SMALL('_Datos'!$L$7:$L$200,ROW()-7+1),'_Datos'!$L$7:$L$200,0),"")</f>
      </c>
    </row>
    <row r="78">
      <c r="B78" s="202">
        <f>IF($K78="","",INDEX('_Datos'!$M$7:$M$200,$K78))</f>
      </c>
      <c r="C78" s="203">
        <f>IF($K78="","",INDEX('_Datos'!$D$7:$D$200,$K78))</f>
      </c>
      <c r="D78" s="203">
        <f>IF($K78="","",INDEX('_Datos'!$F$7:$F$200,$K78))</f>
      </c>
      <c r="E78" s="203">
        <f>IF($K78="","",INDEX('_Datos'!$G$7:$G$200,$K78))</f>
      </c>
      <c r="F78" s="204">
        <f>IF($K78="","",INDEX('_Datos'!$H$7:$H$200,$K78))</f>
      </c>
      <c r="G78" s="202">
        <f>IF($K78="","",INDEX('_Datos'!$J$7:$J$200,$K78))</f>
      </c>
      <c r="H78" s="206">
        <f>IF($K78="","",INDEX('_Datos'!$K$7:$K$200,$K78))</f>
      </c>
      <c r="I78" s="205">
        <f>IF($K78="","",INDEX('_Datos'!$I$7:$I$200,$K78))</f>
      </c>
      <c r="K78" s="200">
        <f>IFERROR(MATCH(SMALL('_Datos'!$L$7:$L$200,ROW()-7+1),'_Datos'!$L$7:$L$200,0),"")</f>
      </c>
    </row>
    <row r="79">
      <c r="B79" s="202">
        <f>IF($K79="","",INDEX('_Datos'!$M$7:$M$200,$K79))</f>
      </c>
      <c r="C79" s="203">
        <f>IF($K79="","",INDEX('_Datos'!$D$7:$D$200,$K79))</f>
      </c>
      <c r="D79" s="203">
        <f>IF($K79="","",INDEX('_Datos'!$F$7:$F$200,$K79))</f>
      </c>
      <c r="E79" s="203">
        <f>IF($K79="","",INDEX('_Datos'!$G$7:$G$200,$K79))</f>
      </c>
      <c r="F79" s="204">
        <f>IF($K79="","",INDEX('_Datos'!$H$7:$H$200,$K79))</f>
      </c>
      <c r="G79" s="202">
        <f>IF($K79="","",INDEX('_Datos'!$J$7:$J$200,$K79))</f>
      </c>
      <c r="H79" s="206">
        <f>IF($K79="","",INDEX('_Datos'!$K$7:$K$200,$K79))</f>
      </c>
      <c r="I79" s="205">
        <f>IF($K79="","",INDEX('_Datos'!$I$7:$I$200,$K79))</f>
      </c>
      <c r="K79" s="200">
        <f>IFERROR(MATCH(SMALL('_Datos'!$L$7:$L$200,ROW()-7+1),'_Datos'!$L$7:$L$200,0),"")</f>
      </c>
    </row>
    <row r="80">
      <c r="B80" s="202">
        <f>IF($K80="","",INDEX('_Datos'!$M$7:$M$200,$K80))</f>
      </c>
      <c r="C80" s="203">
        <f>IF($K80="","",INDEX('_Datos'!$D$7:$D$200,$K80))</f>
      </c>
      <c r="D80" s="203">
        <f>IF($K80="","",INDEX('_Datos'!$F$7:$F$200,$K80))</f>
      </c>
      <c r="E80" s="203">
        <f>IF($K80="","",INDEX('_Datos'!$G$7:$G$200,$K80))</f>
      </c>
      <c r="F80" s="204">
        <f>IF($K80="","",INDEX('_Datos'!$H$7:$H$200,$K80))</f>
      </c>
      <c r="G80" s="202">
        <f>IF($K80="","",INDEX('_Datos'!$J$7:$J$200,$K80))</f>
      </c>
      <c r="H80" s="206">
        <f>IF($K80="","",INDEX('_Datos'!$K$7:$K$200,$K80))</f>
      </c>
      <c r="I80" s="205">
        <f>IF($K80="","",INDEX('_Datos'!$I$7:$I$200,$K80))</f>
      </c>
      <c r="K80" s="200">
        <f>IFERROR(MATCH(SMALL('_Datos'!$L$7:$L$200,ROW()-7+1),'_Datos'!$L$7:$L$200,0),"")</f>
      </c>
    </row>
    <row r="81">
      <c r="B81" s="202">
        <f>IF($K81="","",INDEX('_Datos'!$M$7:$M$200,$K81))</f>
      </c>
      <c r="C81" s="203">
        <f>IF($K81="","",INDEX('_Datos'!$D$7:$D$200,$K81))</f>
      </c>
      <c r="D81" s="203">
        <f>IF($K81="","",INDEX('_Datos'!$F$7:$F$200,$K81))</f>
      </c>
      <c r="E81" s="203">
        <f>IF($K81="","",INDEX('_Datos'!$G$7:$G$200,$K81))</f>
      </c>
      <c r="F81" s="204">
        <f>IF($K81="","",INDEX('_Datos'!$H$7:$H$200,$K81))</f>
      </c>
      <c r="G81" s="202">
        <f>IF($K81="","",INDEX('_Datos'!$J$7:$J$200,$K81))</f>
      </c>
      <c r="H81" s="206">
        <f>IF($K81="","",INDEX('_Datos'!$K$7:$K$200,$K81))</f>
      </c>
      <c r="I81" s="205">
        <f>IF($K81="","",INDEX('_Datos'!$I$7:$I$200,$K81))</f>
      </c>
      <c r="K81" s="200">
        <f>IFERROR(MATCH(SMALL('_Datos'!$L$7:$L$200,ROW()-7+1),'_Datos'!$L$7:$L$200,0),"")</f>
      </c>
    </row>
    <row r="82">
      <c r="B82" s="202">
        <f>IF($K82="","",INDEX('_Datos'!$M$7:$M$200,$K82))</f>
      </c>
      <c r="C82" s="203">
        <f>IF($K82="","",INDEX('_Datos'!$D$7:$D$200,$K82))</f>
      </c>
      <c r="D82" s="203">
        <f>IF($K82="","",INDEX('_Datos'!$F$7:$F$200,$K82))</f>
      </c>
      <c r="E82" s="203">
        <f>IF($K82="","",INDEX('_Datos'!$G$7:$G$200,$K82))</f>
      </c>
      <c r="F82" s="204">
        <f>IF($K82="","",INDEX('_Datos'!$H$7:$H$200,$K82))</f>
      </c>
      <c r="G82" s="202">
        <f>IF($K82="","",INDEX('_Datos'!$J$7:$J$200,$K82))</f>
      </c>
      <c r="H82" s="206">
        <f>IF($K82="","",INDEX('_Datos'!$K$7:$K$200,$K82))</f>
      </c>
      <c r="I82" s="205">
        <f>IF($K82="","",INDEX('_Datos'!$I$7:$I$200,$K82))</f>
      </c>
      <c r="K82" s="200">
        <f>IFERROR(MATCH(SMALL('_Datos'!$L$7:$L$200,ROW()-7+1),'_Datos'!$L$7:$L$200,0),"")</f>
      </c>
    </row>
    <row r="83">
      <c r="B83" s="202">
        <f>IF($K83="","",INDEX('_Datos'!$M$7:$M$200,$K83))</f>
      </c>
      <c r="C83" s="203">
        <f>IF($K83="","",INDEX('_Datos'!$D$7:$D$200,$K83))</f>
      </c>
      <c r="D83" s="203">
        <f>IF($K83="","",INDEX('_Datos'!$F$7:$F$200,$K83))</f>
      </c>
      <c r="E83" s="203">
        <f>IF($K83="","",INDEX('_Datos'!$G$7:$G$200,$K83))</f>
      </c>
      <c r="F83" s="204">
        <f>IF($K83="","",INDEX('_Datos'!$H$7:$H$200,$K83))</f>
      </c>
      <c r="G83" s="202">
        <f>IF($K83="","",INDEX('_Datos'!$J$7:$J$200,$K83))</f>
      </c>
      <c r="H83" s="206">
        <f>IF($K83="","",INDEX('_Datos'!$K$7:$K$200,$K83))</f>
      </c>
      <c r="I83" s="205">
        <f>IF($K83="","",INDEX('_Datos'!$I$7:$I$200,$K83))</f>
      </c>
      <c r="K83" s="200">
        <f>IFERROR(MATCH(SMALL('_Datos'!$L$7:$L$200,ROW()-7+1),'_Datos'!$L$7:$L$200,0),"")</f>
      </c>
    </row>
    <row r="84">
      <c r="B84" s="202">
        <f>IF($K84="","",INDEX('_Datos'!$M$7:$M$200,$K84))</f>
      </c>
      <c r="C84" s="203">
        <f>IF($K84="","",INDEX('_Datos'!$D$7:$D$200,$K84))</f>
      </c>
      <c r="D84" s="203">
        <f>IF($K84="","",INDEX('_Datos'!$F$7:$F$200,$K84))</f>
      </c>
      <c r="E84" s="203">
        <f>IF($K84="","",INDEX('_Datos'!$G$7:$G$200,$K84))</f>
      </c>
      <c r="F84" s="204">
        <f>IF($K84="","",INDEX('_Datos'!$H$7:$H$200,$K84))</f>
      </c>
      <c r="G84" s="202">
        <f>IF($K84="","",INDEX('_Datos'!$J$7:$J$200,$K84))</f>
      </c>
      <c r="H84" s="206">
        <f>IF($K84="","",INDEX('_Datos'!$K$7:$K$200,$K84))</f>
      </c>
      <c r="I84" s="205">
        <f>IF($K84="","",INDEX('_Datos'!$I$7:$I$200,$K84))</f>
      </c>
      <c r="K84" s="200">
        <f>IFERROR(MATCH(SMALL('_Datos'!$L$7:$L$200,ROW()-7+1),'_Datos'!$L$7:$L$200,0),"")</f>
      </c>
    </row>
    <row r="85">
      <c r="B85" s="202">
        <f>IF($K85="","",INDEX('_Datos'!$M$7:$M$200,$K85))</f>
      </c>
      <c r="C85" s="203">
        <f>IF($K85="","",INDEX('_Datos'!$D$7:$D$200,$K85))</f>
      </c>
      <c r="D85" s="203">
        <f>IF($K85="","",INDEX('_Datos'!$F$7:$F$200,$K85))</f>
      </c>
      <c r="E85" s="203">
        <f>IF($K85="","",INDEX('_Datos'!$G$7:$G$200,$K85))</f>
      </c>
      <c r="F85" s="204">
        <f>IF($K85="","",INDEX('_Datos'!$H$7:$H$200,$K85))</f>
      </c>
      <c r="G85" s="202">
        <f>IF($K85="","",INDEX('_Datos'!$J$7:$J$200,$K85))</f>
      </c>
      <c r="H85" s="206">
        <f>IF($K85="","",INDEX('_Datos'!$K$7:$K$200,$K85))</f>
      </c>
      <c r="I85" s="205">
        <f>IF($K85="","",INDEX('_Datos'!$I$7:$I$200,$K85))</f>
      </c>
      <c r="K85" s="200">
        <f>IFERROR(MATCH(SMALL('_Datos'!$L$7:$L$200,ROW()-7+1),'_Datos'!$L$7:$L$200,0),"")</f>
      </c>
    </row>
    <row r="86">
      <c r="B86" s="202">
        <f>IF($K86="","",INDEX('_Datos'!$M$7:$M$200,$K86))</f>
      </c>
      <c r="C86" s="203">
        <f>IF($K86="","",INDEX('_Datos'!$D$7:$D$200,$K86))</f>
      </c>
      <c r="D86" s="203">
        <f>IF($K86="","",INDEX('_Datos'!$F$7:$F$200,$K86))</f>
      </c>
      <c r="E86" s="203">
        <f>IF($K86="","",INDEX('_Datos'!$G$7:$G$200,$K86))</f>
      </c>
      <c r="F86" s="204">
        <f>IF($K86="","",INDEX('_Datos'!$H$7:$H$200,$K86))</f>
      </c>
      <c r="G86" s="202">
        <f>IF($K86="","",INDEX('_Datos'!$J$7:$J$200,$K86))</f>
      </c>
      <c r="H86" s="206">
        <f>IF($K86="","",INDEX('_Datos'!$K$7:$K$200,$K86))</f>
      </c>
      <c r="I86" s="205">
        <f>IF($K86="","",INDEX('_Datos'!$I$7:$I$200,$K86))</f>
      </c>
      <c r="K86" s="200">
        <f>IFERROR(MATCH(SMALL('_Datos'!$L$7:$L$200,ROW()-7+1),'_Datos'!$L$7:$L$200,0),"")</f>
      </c>
    </row>
    <row r="87">
      <c r="B87" s="202">
        <f>IF($K87="","",INDEX('_Datos'!$M$7:$M$200,$K87))</f>
      </c>
      <c r="C87" s="203">
        <f>IF($K87="","",INDEX('_Datos'!$D$7:$D$200,$K87))</f>
      </c>
      <c r="D87" s="203">
        <f>IF($K87="","",INDEX('_Datos'!$F$7:$F$200,$K87))</f>
      </c>
      <c r="E87" s="203">
        <f>IF($K87="","",INDEX('_Datos'!$G$7:$G$200,$K87))</f>
      </c>
      <c r="F87" s="204">
        <f>IF($K87="","",INDEX('_Datos'!$H$7:$H$200,$K87))</f>
      </c>
      <c r="G87" s="202">
        <f>IF($K87="","",INDEX('_Datos'!$J$7:$J$200,$K87))</f>
      </c>
      <c r="H87" s="206">
        <f>IF($K87="","",INDEX('_Datos'!$K$7:$K$200,$K87))</f>
      </c>
      <c r="I87" s="205">
        <f>IF($K87="","",INDEX('_Datos'!$I$7:$I$200,$K87))</f>
      </c>
      <c r="K87" s="200">
        <f>IFERROR(MATCH(SMALL('_Datos'!$L$7:$L$200,ROW()-7+1),'_Datos'!$L$7:$L$200,0),"")</f>
      </c>
    </row>
    <row r="88">
      <c r="B88" s="202">
        <f>IF($K88="","",INDEX('_Datos'!$M$7:$M$200,$K88))</f>
      </c>
      <c r="C88" s="203">
        <f>IF($K88="","",INDEX('_Datos'!$D$7:$D$200,$K88))</f>
      </c>
      <c r="D88" s="203">
        <f>IF($K88="","",INDEX('_Datos'!$F$7:$F$200,$K88))</f>
      </c>
      <c r="E88" s="203">
        <f>IF($K88="","",INDEX('_Datos'!$G$7:$G$200,$K88))</f>
      </c>
      <c r="F88" s="204">
        <f>IF($K88="","",INDEX('_Datos'!$H$7:$H$200,$K88))</f>
      </c>
      <c r="G88" s="202">
        <f>IF($K88="","",INDEX('_Datos'!$J$7:$J$200,$K88))</f>
      </c>
      <c r="H88" s="206">
        <f>IF($K88="","",INDEX('_Datos'!$K$7:$K$200,$K88))</f>
      </c>
      <c r="I88" s="205">
        <f>IF($K88="","",INDEX('_Datos'!$I$7:$I$200,$K88))</f>
      </c>
      <c r="K88" s="200">
        <f>IFERROR(MATCH(SMALL('_Datos'!$L$7:$L$200,ROW()-7+1),'_Datos'!$L$7:$L$200,0),"")</f>
      </c>
    </row>
    <row r="89">
      <c r="B89" s="202">
        <f>IF($K89="","",INDEX('_Datos'!$M$7:$M$200,$K89))</f>
      </c>
      <c r="C89" s="203">
        <f>IF($K89="","",INDEX('_Datos'!$D$7:$D$200,$K89))</f>
      </c>
      <c r="D89" s="203">
        <f>IF($K89="","",INDEX('_Datos'!$F$7:$F$200,$K89))</f>
      </c>
      <c r="E89" s="203">
        <f>IF($K89="","",INDEX('_Datos'!$G$7:$G$200,$K89))</f>
      </c>
      <c r="F89" s="204">
        <f>IF($K89="","",INDEX('_Datos'!$H$7:$H$200,$K89))</f>
      </c>
      <c r="G89" s="202">
        <f>IF($K89="","",INDEX('_Datos'!$J$7:$J$200,$K89))</f>
      </c>
      <c r="H89" s="206">
        <f>IF($K89="","",INDEX('_Datos'!$K$7:$K$200,$K89))</f>
      </c>
      <c r="I89" s="205">
        <f>IF($K89="","",INDEX('_Datos'!$I$7:$I$200,$K89))</f>
      </c>
      <c r="K89" s="200">
        <f>IFERROR(MATCH(SMALL('_Datos'!$L$7:$L$200,ROW()-7+1),'_Datos'!$L$7:$L$200,0),"")</f>
      </c>
    </row>
    <row r="90">
      <c r="B90" s="202">
        <f>IF($K90="","",INDEX('_Datos'!$M$7:$M$200,$K90))</f>
      </c>
      <c r="C90" s="203">
        <f>IF($K90="","",INDEX('_Datos'!$D$7:$D$200,$K90))</f>
      </c>
      <c r="D90" s="203">
        <f>IF($K90="","",INDEX('_Datos'!$F$7:$F$200,$K90))</f>
      </c>
      <c r="E90" s="203">
        <f>IF($K90="","",INDEX('_Datos'!$G$7:$G$200,$K90))</f>
      </c>
      <c r="F90" s="204">
        <f>IF($K90="","",INDEX('_Datos'!$H$7:$H$200,$K90))</f>
      </c>
      <c r="G90" s="202">
        <f>IF($K90="","",INDEX('_Datos'!$J$7:$J$200,$K90))</f>
      </c>
      <c r="H90" s="206">
        <f>IF($K90="","",INDEX('_Datos'!$K$7:$K$200,$K90))</f>
      </c>
      <c r="I90" s="205">
        <f>IF($K90="","",INDEX('_Datos'!$I$7:$I$200,$K90))</f>
      </c>
      <c r="K90" s="200">
        <f>IFERROR(MATCH(SMALL('_Datos'!$L$7:$L$200,ROW()-7+1),'_Datos'!$L$7:$L$200,0),"")</f>
      </c>
    </row>
    <row r="91">
      <c r="B91" s="202">
        <f>IF($K91="","",INDEX('_Datos'!$M$7:$M$200,$K91))</f>
      </c>
      <c r="C91" s="203">
        <f>IF($K91="","",INDEX('_Datos'!$D$7:$D$200,$K91))</f>
      </c>
      <c r="D91" s="203">
        <f>IF($K91="","",INDEX('_Datos'!$F$7:$F$200,$K91))</f>
      </c>
      <c r="E91" s="203">
        <f>IF($K91="","",INDEX('_Datos'!$G$7:$G$200,$K91))</f>
      </c>
      <c r="F91" s="204">
        <f>IF($K91="","",INDEX('_Datos'!$H$7:$H$200,$K91))</f>
      </c>
      <c r="G91" s="202">
        <f>IF($K91="","",INDEX('_Datos'!$J$7:$J$200,$K91))</f>
      </c>
      <c r="H91" s="206">
        <f>IF($K91="","",INDEX('_Datos'!$K$7:$K$200,$K91))</f>
      </c>
      <c r="I91" s="205">
        <f>IF($K91="","",INDEX('_Datos'!$I$7:$I$200,$K91))</f>
      </c>
      <c r="K91" s="200">
        <f>IFERROR(MATCH(SMALL('_Datos'!$L$7:$L$200,ROW()-7+1),'_Datos'!$L$7:$L$200,0),"")</f>
      </c>
    </row>
    <row r="92">
      <c r="B92" s="202">
        <f>IF($K92="","",INDEX('_Datos'!$M$7:$M$200,$K92))</f>
      </c>
      <c r="C92" s="203">
        <f>IF($K92="","",INDEX('_Datos'!$D$7:$D$200,$K92))</f>
      </c>
      <c r="D92" s="203">
        <f>IF($K92="","",INDEX('_Datos'!$F$7:$F$200,$K92))</f>
      </c>
      <c r="E92" s="203">
        <f>IF($K92="","",INDEX('_Datos'!$G$7:$G$200,$K92))</f>
      </c>
      <c r="F92" s="204">
        <f>IF($K92="","",INDEX('_Datos'!$H$7:$H$200,$K92))</f>
      </c>
      <c r="G92" s="202">
        <f>IF($K92="","",INDEX('_Datos'!$J$7:$J$200,$K92))</f>
      </c>
      <c r="H92" s="206">
        <f>IF($K92="","",INDEX('_Datos'!$K$7:$K$200,$K92))</f>
      </c>
      <c r="I92" s="205">
        <f>IF($K92="","",INDEX('_Datos'!$I$7:$I$200,$K92))</f>
      </c>
      <c r="K92" s="200">
        <f>IFERROR(MATCH(SMALL('_Datos'!$L$7:$L$200,ROW()-7+1),'_Datos'!$L$7:$L$200,0),"")</f>
      </c>
    </row>
    <row r="93">
      <c r="B93" s="202">
        <f>IF($K93="","",INDEX('_Datos'!$M$7:$M$200,$K93))</f>
      </c>
      <c r="C93" s="203">
        <f>IF($K93="","",INDEX('_Datos'!$D$7:$D$200,$K93))</f>
      </c>
      <c r="D93" s="203">
        <f>IF($K93="","",INDEX('_Datos'!$F$7:$F$200,$K93))</f>
      </c>
      <c r="E93" s="203">
        <f>IF($K93="","",INDEX('_Datos'!$G$7:$G$200,$K93))</f>
      </c>
      <c r="F93" s="204">
        <f>IF($K93="","",INDEX('_Datos'!$H$7:$H$200,$K93))</f>
      </c>
      <c r="G93" s="202">
        <f>IF($K93="","",INDEX('_Datos'!$J$7:$J$200,$K93))</f>
      </c>
      <c r="H93" s="206">
        <f>IF($K93="","",INDEX('_Datos'!$K$7:$K$200,$K93))</f>
      </c>
      <c r="I93" s="205">
        <f>IF($K93="","",INDEX('_Datos'!$I$7:$I$200,$K93))</f>
      </c>
      <c r="K93" s="200">
        <f>IFERROR(MATCH(SMALL('_Datos'!$L$7:$L$200,ROW()-7+1),'_Datos'!$L$7:$L$200,0),"")</f>
      </c>
    </row>
    <row r="94">
      <c r="B94" s="202">
        <f>IF($K94="","",INDEX('_Datos'!$M$7:$M$200,$K94))</f>
      </c>
      <c r="C94" s="203">
        <f>IF($K94="","",INDEX('_Datos'!$D$7:$D$200,$K94))</f>
      </c>
      <c r="D94" s="203">
        <f>IF($K94="","",INDEX('_Datos'!$F$7:$F$200,$K94))</f>
      </c>
      <c r="E94" s="203">
        <f>IF($K94="","",INDEX('_Datos'!$G$7:$G$200,$K94))</f>
      </c>
      <c r="F94" s="204">
        <f>IF($K94="","",INDEX('_Datos'!$H$7:$H$200,$K94))</f>
      </c>
      <c r="G94" s="202">
        <f>IF($K94="","",INDEX('_Datos'!$J$7:$J$200,$K94))</f>
      </c>
      <c r="H94" s="206">
        <f>IF($K94="","",INDEX('_Datos'!$K$7:$K$200,$K94))</f>
      </c>
      <c r="I94" s="205">
        <f>IF($K94="","",INDEX('_Datos'!$I$7:$I$200,$K94))</f>
      </c>
      <c r="K94" s="200">
        <f>IFERROR(MATCH(SMALL('_Datos'!$L$7:$L$200,ROW()-7+1),'_Datos'!$L$7:$L$200,0),"")</f>
      </c>
    </row>
    <row r="95">
      <c r="B95" s="202">
        <f>IF($K95="","",INDEX('_Datos'!$M$7:$M$200,$K95))</f>
      </c>
      <c r="C95" s="203">
        <f>IF($K95="","",INDEX('_Datos'!$D$7:$D$200,$K95))</f>
      </c>
      <c r="D95" s="203">
        <f>IF($K95="","",INDEX('_Datos'!$F$7:$F$200,$K95))</f>
      </c>
      <c r="E95" s="203">
        <f>IF($K95="","",INDEX('_Datos'!$G$7:$G$200,$K95))</f>
      </c>
      <c r="F95" s="204">
        <f>IF($K95="","",INDEX('_Datos'!$H$7:$H$200,$K95))</f>
      </c>
      <c r="G95" s="202">
        <f>IF($K95="","",INDEX('_Datos'!$J$7:$J$200,$K95))</f>
      </c>
      <c r="H95" s="206">
        <f>IF($K95="","",INDEX('_Datos'!$K$7:$K$200,$K95))</f>
      </c>
      <c r="I95" s="205">
        <f>IF($K95="","",INDEX('_Datos'!$I$7:$I$200,$K95))</f>
      </c>
      <c r="K95" s="200">
        <f>IFERROR(MATCH(SMALL('_Datos'!$L$7:$L$200,ROW()-7+1),'_Datos'!$L$7:$L$200,0),"")</f>
      </c>
    </row>
    <row r="96">
      <c r="B96" s="202">
        <f>IF($K96="","",INDEX('_Datos'!$M$7:$M$200,$K96))</f>
      </c>
      <c r="C96" s="203">
        <f>IF($K96="","",INDEX('_Datos'!$D$7:$D$200,$K96))</f>
      </c>
      <c r="D96" s="203">
        <f>IF($K96="","",INDEX('_Datos'!$F$7:$F$200,$K96))</f>
      </c>
      <c r="E96" s="203">
        <f>IF($K96="","",INDEX('_Datos'!$G$7:$G$200,$K96))</f>
      </c>
      <c r="F96" s="204">
        <f>IF($K96="","",INDEX('_Datos'!$H$7:$H$200,$K96))</f>
      </c>
      <c r="G96" s="202">
        <f>IF($K96="","",INDEX('_Datos'!$J$7:$J$200,$K96))</f>
      </c>
      <c r="H96" s="206">
        <f>IF($K96="","",INDEX('_Datos'!$K$7:$K$200,$K96))</f>
      </c>
      <c r="I96" s="205">
        <f>IF($K96="","",INDEX('_Datos'!$I$7:$I$200,$K96))</f>
      </c>
      <c r="K96" s="200">
        <f>IFERROR(MATCH(SMALL('_Datos'!$L$7:$L$200,ROW()-7+1),'_Datos'!$L$7:$L$200,0),"")</f>
      </c>
    </row>
    <row r="97">
      <c r="B97" s="202">
        <f>IF($K97="","",INDEX('_Datos'!$M$7:$M$200,$K97))</f>
      </c>
      <c r="C97" s="203">
        <f>IF($K97="","",INDEX('_Datos'!$D$7:$D$200,$K97))</f>
      </c>
      <c r="D97" s="203">
        <f>IF($K97="","",INDEX('_Datos'!$F$7:$F$200,$K97))</f>
      </c>
      <c r="E97" s="203">
        <f>IF($K97="","",INDEX('_Datos'!$G$7:$G$200,$K97))</f>
      </c>
      <c r="F97" s="204">
        <f>IF($K97="","",INDEX('_Datos'!$H$7:$H$200,$K97))</f>
      </c>
      <c r="G97" s="202">
        <f>IF($K97="","",INDEX('_Datos'!$J$7:$J$200,$K97))</f>
      </c>
      <c r="H97" s="206">
        <f>IF($K97="","",INDEX('_Datos'!$K$7:$K$200,$K97))</f>
      </c>
      <c r="I97" s="205">
        <f>IF($K97="","",INDEX('_Datos'!$I$7:$I$200,$K97))</f>
      </c>
      <c r="K97" s="200">
        <f>IFERROR(MATCH(SMALL('_Datos'!$L$7:$L$200,ROW()-7+1),'_Datos'!$L$7:$L$200,0),"")</f>
      </c>
    </row>
    <row r="98">
      <c r="B98" s="202">
        <f>IF($K98="","",INDEX('_Datos'!$M$7:$M$200,$K98))</f>
      </c>
      <c r="C98" s="203">
        <f>IF($K98="","",INDEX('_Datos'!$D$7:$D$200,$K98))</f>
      </c>
      <c r="D98" s="203">
        <f>IF($K98="","",INDEX('_Datos'!$F$7:$F$200,$K98))</f>
      </c>
      <c r="E98" s="203">
        <f>IF($K98="","",INDEX('_Datos'!$G$7:$G$200,$K98))</f>
      </c>
      <c r="F98" s="204">
        <f>IF($K98="","",INDEX('_Datos'!$H$7:$H$200,$K98))</f>
      </c>
      <c r="G98" s="202">
        <f>IF($K98="","",INDEX('_Datos'!$J$7:$J$200,$K98))</f>
      </c>
      <c r="H98" s="206">
        <f>IF($K98="","",INDEX('_Datos'!$K$7:$K$200,$K98))</f>
      </c>
      <c r="I98" s="205">
        <f>IF($K98="","",INDEX('_Datos'!$I$7:$I$200,$K98))</f>
      </c>
      <c r="K98" s="200">
        <f>IFERROR(MATCH(SMALL('_Datos'!$L$7:$L$200,ROW()-7+1),'_Datos'!$L$7:$L$200,0),"")</f>
      </c>
    </row>
    <row r="99">
      <c r="B99" s="202">
        <f>IF($K99="","",INDEX('_Datos'!$M$7:$M$200,$K99))</f>
      </c>
      <c r="C99" s="203">
        <f>IF($K99="","",INDEX('_Datos'!$D$7:$D$200,$K99))</f>
      </c>
      <c r="D99" s="203">
        <f>IF($K99="","",INDEX('_Datos'!$F$7:$F$200,$K99))</f>
      </c>
      <c r="E99" s="203">
        <f>IF($K99="","",INDEX('_Datos'!$G$7:$G$200,$K99))</f>
      </c>
      <c r="F99" s="204">
        <f>IF($K99="","",INDEX('_Datos'!$H$7:$H$200,$K99))</f>
      </c>
      <c r="G99" s="202">
        <f>IF($K99="","",INDEX('_Datos'!$J$7:$J$200,$K99))</f>
      </c>
      <c r="H99" s="206">
        <f>IF($K99="","",INDEX('_Datos'!$K$7:$K$200,$K99))</f>
      </c>
      <c r="I99" s="205">
        <f>IF($K99="","",INDEX('_Datos'!$I$7:$I$200,$K99))</f>
      </c>
      <c r="K99" s="200">
        <f>IFERROR(MATCH(SMALL('_Datos'!$L$7:$L$200,ROW()-7+1),'_Datos'!$L$7:$L$200,0),"")</f>
      </c>
    </row>
    <row r="100">
      <c r="B100" s="202">
        <f>IF($K100="","",INDEX('_Datos'!$M$7:$M$200,$K100))</f>
      </c>
      <c r="C100" s="203">
        <f>IF($K100="","",INDEX('_Datos'!$D$7:$D$200,$K100))</f>
      </c>
      <c r="D100" s="203">
        <f>IF($K100="","",INDEX('_Datos'!$F$7:$F$200,$K100))</f>
      </c>
      <c r="E100" s="203">
        <f>IF($K100="","",INDEX('_Datos'!$G$7:$G$200,$K100))</f>
      </c>
      <c r="F100" s="204">
        <f>IF($K100="","",INDEX('_Datos'!$H$7:$H$200,$K100))</f>
      </c>
      <c r="G100" s="202">
        <f>IF($K100="","",INDEX('_Datos'!$J$7:$J$200,$K100))</f>
      </c>
      <c r="H100" s="206">
        <f>IF($K100="","",INDEX('_Datos'!$K$7:$K$200,$K100))</f>
      </c>
      <c r="I100" s="205">
        <f>IF($K100="","",INDEX('_Datos'!$I$7:$I$200,$K100))</f>
      </c>
      <c r="K100" s="200">
        <f>IFERROR(MATCH(SMALL('_Datos'!$L$7:$L$200,ROW()-7+1),'_Datos'!$L$7:$L$200,0),"")</f>
      </c>
    </row>
    <row r="101">
      <c r="B101" s="202">
        <f>IF($K101="","",INDEX('_Datos'!$M$7:$M$200,$K101))</f>
      </c>
      <c r="C101" s="203">
        <f>IF($K101="","",INDEX('_Datos'!$D$7:$D$200,$K101))</f>
      </c>
      <c r="D101" s="203">
        <f>IF($K101="","",INDEX('_Datos'!$F$7:$F$200,$K101))</f>
      </c>
      <c r="E101" s="203">
        <f>IF($K101="","",INDEX('_Datos'!$G$7:$G$200,$K101))</f>
      </c>
      <c r="F101" s="204">
        <f>IF($K101="","",INDEX('_Datos'!$H$7:$H$200,$K101))</f>
      </c>
      <c r="G101" s="202">
        <f>IF($K101="","",INDEX('_Datos'!$J$7:$J$200,$K101))</f>
      </c>
      <c r="H101" s="206">
        <f>IF($K101="","",INDEX('_Datos'!$K$7:$K$200,$K101))</f>
      </c>
      <c r="I101" s="205">
        <f>IF($K101="","",INDEX('_Datos'!$I$7:$I$200,$K101))</f>
      </c>
      <c r="K101" s="200">
        <f>IFERROR(MATCH(SMALL('_Datos'!$L$7:$L$200,ROW()-7+1),'_Datos'!$L$7:$L$200,0),"")</f>
      </c>
    </row>
    <row r="102">
      <c r="B102" s="202">
        <f>IF($K102="","",INDEX('_Datos'!$M$7:$M$200,$K102))</f>
      </c>
      <c r="C102" s="203">
        <f>IF($K102="","",INDEX('_Datos'!$D$7:$D$200,$K102))</f>
      </c>
      <c r="D102" s="203">
        <f>IF($K102="","",INDEX('_Datos'!$F$7:$F$200,$K102))</f>
      </c>
      <c r="E102" s="203">
        <f>IF($K102="","",INDEX('_Datos'!$G$7:$G$200,$K102))</f>
      </c>
      <c r="F102" s="204">
        <f>IF($K102="","",INDEX('_Datos'!$H$7:$H$200,$K102))</f>
      </c>
      <c r="G102" s="202">
        <f>IF($K102="","",INDEX('_Datos'!$J$7:$J$200,$K102))</f>
      </c>
      <c r="H102" s="206">
        <f>IF($K102="","",INDEX('_Datos'!$K$7:$K$200,$K102))</f>
      </c>
      <c r="I102" s="205">
        <f>IF($K102="","",INDEX('_Datos'!$I$7:$I$200,$K102))</f>
      </c>
      <c r="K102" s="200">
        <f>IFERROR(MATCH(SMALL('_Datos'!$L$7:$L$200,ROW()-7+1),'_Datos'!$L$7:$L$200,0),"")</f>
      </c>
    </row>
    <row r="103">
      <c r="B103" s="202">
        <f>IF($K103="","",INDEX('_Datos'!$M$7:$M$200,$K103))</f>
      </c>
      <c r="C103" s="203">
        <f>IF($K103="","",INDEX('_Datos'!$D$7:$D$200,$K103))</f>
      </c>
      <c r="D103" s="203">
        <f>IF($K103="","",INDEX('_Datos'!$F$7:$F$200,$K103))</f>
      </c>
      <c r="E103" s="203">
        <f>IF($K103="","",INDEX('_Datos'!$G$7:$G$200,$K103))</f>
      </c>
      <c r="F103" s="204">
        <f>IF($K103="","",INDEX('_Datos'!$H$7:$H$200,$K103))</f>
      </c>
      <c r="G103" s="202">
        <f>IF($K103="","",INDEX('_Datos'!$J$7:$J$200,$K103))</f>
      </c>
      <c r="H103" s="206">
        <f>IF($K103="","",INDEX('_Datos'!$K$7:$K$200,$K103))</f>
      </c>
      <c r="I103" s="205">
        <f>IF($K103="","",INDEX('_Datos'!$I$7:$I$200,$K103))</f>
      </c>
      <c r="K103" s="200">
        <f>IFERROR(MATCH(SMALL('_Datos'!$L$7:$L$200,ROW()-7+1),'_Datos'!$L$7:$L$200,0),"")</f>
      </c>
    </row>
    <row r="104">
      <c r="B104" s="202">
        <f>IF($K104="","",INDEX('_Datos'!$M$7:$M$200,$K104))</f>
      </c>
      <c r="C104" s="203">
        <f>IF($K104="","",INDEX('_Datos'!$D$7:$D$200,$K104))</f>
      </c>
      <c r="D104" s="203">
        <f>IF($K104="","",INDEX('_Datos'!$F$7:$F$200,$K104))</f>
      </c>
      <c r="E104" s="203">
        <f>IF($K104="","",INDEX('_Datos'!$G$7:$G$200,$K104))</f>
      </c>
      <c r="F104" s="204">
        <f>IF($K104="","",INDEX('_Datos'!$H$7:$H$200,$K104))</f>
      </c>
      <c r="G104" s="202">
        <f>IF($K104="","",INDEX('_Datos'!$J$7:$J$200,$K104))</f>
      </c>
      <c r="H104" s="206">
        <f>IF($K104="","",INDEX('_Datos'!$K$7:$K$200,$K104))</f>
      </c>
      <c r="I104" s="205">
        <f>IF($K104="","",INDEX('_Datos'!$I$7:$I$200,$K104))</f>
      </c>
      <c r="K104" s="200">
        <f>IFERROR(MATCH(SMALL('_Datos'!$L$7:$L$200,ROW()-7+1),'_Datos'!$L$7:$L$200,0),"")</f>
      </c>
    </row>
    <row r="105">
      <c r="B105" s="202">
        <f>IF($K105="","",INDEX('_Datos'!$M$7:$M$200,$K105))</f>
      </c>
      <c r="C105" s="203">
        <f>IF($K105="","",INDEX('_Datos'!$D$7:$D$200,$K105))</f>
      </c>
      <c r="D105" s="203">
        <f>IF($K105="","",INDEX('_Datos'!$F$7:$F$200,$K105))</f>
      </c>
      <c r="E105" s="203">
        <f>IF($K105="","",INDEX('_Datos'!$G$7:$G$200,$K105))</f>
      </c>
      <c r="F105" s="204">
        <f>IF($K105="","",INDEX('_Datos'!$H$7:$H$200,$K105))</f>
      </c>
      <c r="G105" s="202">
        <f>IF($K105="","",INDEX('_Datos'!$J$7:$J$200,$K105))</f>
      </c>
      <c r="H105" s="206">
        <f>IF($K105="","",INDEX('_Datos'!$K$7:$K$200,$K105))</f>
      </c>
      <c r="I105" s="205">
        <f>IF($K105="","",INDEX('_Datos'!$I$7:$I$200,$K105))</f>
      </c>
      <c r="K105" s="200">
        <f>IFERROR(MATCH(SMALL('_Datos'!$L$7:$L$200,ROW()-7+1),'_Datos'!$L$7:$L$200,0),"")</f>
      </c>
    </row>
    <row r="106">
      <c r="B106" s="202">
        <f>IF($K106="","",INDEX('_Datos'!$M$7:$M$200,$K106))</f>
      </c>
      <c r="C106" s="203">
        <f>IF($K106="","",INDEX('_Datos'!$D$7:$D$200,$K106))</f>
      </c>
      <c r="D106" s="203">
        <f>IF($K106="","",INDEX('_Datos'!$F$7:$F$200,$K106))</f>
      </c>
      <c r="E106" s="203">
        <f>IF($K106="","",INDEX('_Datos'!$G$7:$G$200,$K106))</f>
      </c>
      <c r="F106" s="204">
        <f>IF($K106="","",INDEX('_Datos'!$H$7:$H$200,$K106))</f>
      </c>
      <c r="G106" s="202">
        <f>IF($K106="","",INDEX('_Datos'!$J$7:$J$200,$K106))</f>
      </c>
      <c r="H106" s="206">
        <f>IF($K106="","",INDEX('_Datos'!$K$7:$K$200,$K106))</f>
      </c>
      <c r="I106" s="205">
        <f>IF($K106="","",INDEX('_Datos'!$I$7:$I$200,$K106))</f>
      </c>
      <c r="K106" s="200">
        <f>IFERROR(MATCH(SMALL('_Datos'!$L$7:$L$200,ROW()-7+1),'_Datos'!$L$7:$L$200,0),"")</f>
      </c>
    </row>
    <row r="107">
      <c r="B107" s="202">
        <f>IF($K107="","",INDEX('_Datos'!$M$7:$M$200,$K107))</f>
      </c>
      <c r="C107" s="203">
        <f>IF($K107="","",INDEX('_Datos'!$D$7:$D$200,$K107))</f>
      </c>
      <c r="D107" s="203">
        <f>IF($K107="","",INDEX('_Datos'!$F$7:$F$200,$K107))</f>
      </c>
      <c r="E107" s="203">
        <f>IF($K107="","",INDEX('_Datos'!$G$7:$G$200,$K107))</f>
      </c>
      <c r="F107" s="204">
        <f>IF($K107="","",INDEX('_Datos'!$H$7:$H$200,$K107))</f>
      </c>
      <c r="G107" s="202">
        <f>IF($K107="","",INDEX('_Datos'!$J$7:$J$200,$K107))</f>
      </c>
      <c r="H107" s="206">
        <f>IF($K107="","",INDEX('_Datos'!$K$7:$K$200,$K107))</f>
      </c>
      <c r="I107" s="205">
        <f>IF($K107="","",INDEX('_Datos'!$I$7:$I$200,$K107))</f>
      </c>
      <c r="K107" s="200">
        <f>IFERROR(MATCH(SMALL('_Datos'!$L$7:$L$200,ROW()-7+1),'_Datos'!$L$7:$L$200,0),"")</f>
      </c>
    </row>
    <row r="108">
      <c r="B108" s="202">
        <f>IF($K108="","",INDEX('_Datos'!$M$7:$M$200,$K108))</f>
      </c>
      <c r="C108" s="203">
        <f>IF($K108="","",INDEX('_Datos'!$D$7:$D$200,$K108))</f>
      </c>
      <c r="D108" s="203">
        <f>IF($K108="","",INDEX('_Datos'!$F$7:$F$200,$K108))</f>
      </c>
      <c r="E108" s="203">
        <f>IF($K108="","",INDEX('_Datos'!$G$7:$G$200,$K108))</f>
      </c>
      <c r="F108" s="204">
        <f>IF($K108="","",INDEX('_Datos'!$H$7:$H$200,$K108))</f>
      </c>
      <c r="G108" s="202">
        <f>IF($K108="","",INDEX('_Datos'!$J$7:$J$200,$K108))</f>
      </c>
      <c r="H108" s="206">
        <f>IF($K108="","",INDEX('_Datos'!$K$7:$K$200,$K108))</f>
      </c>
      <c r="I108" s="205">
        <f>IF($K108="","",INDEX('_Datos'!$I$7:$I$200,$K108))</f>
      </c>
      <c r="K108" s="200">
        <f>IFERROR(MATCH(SMALL('_Datos'!$L$7:$L$200,ROW()-7+1),'_Datos'!$L$7:$L$200,0),"")</f>
      </c>
    </row>
    <row r="109">
      <c r="B109" s="202">
        <f>IF($K109="","",INDEX('_Datos'!$M$7:$M$200,$K109))</f>
      </c>
      <c r="C109" s="203">
        <f>IF($K109="","",INDEX('_Datos'!$D$7:$D$200,$K109))</f>
      </c>
      <c r="D109" s="203">
        <f>IF($K109="","",INDEX('_Datos'!$F$7:$F$200,$K109))</f>
      </c>
      <c r="E109" s="203">
        <f>IF($K109="","",INDEX('_Datos'!$G$7:$G$200,$K109))</f>
      </c>
      <c r="F109" s="204">
        <f>IF($K109="","",INDEX('_Datos'!$H$7:$H$200,$K109))</f>
      </c>
      <c r="G109" s="202">
        <f>IF($K109="","",INDEX('_Datos'!$J$7:$J$200,$K109))</f>
      </c>
      <c r="H109" s="206">
        <f>IF($K109="","",INDEX('_Datos'!$K$7:$K$200,$K109))</f>
      </c>
      <c r="I109" s="205">
        <f>IF($K109="","",INDEX('_Datos'!$I$7:$I$200,$K109))</f>
      </c>
      <c r="K109" s="200">
        <f>IFERROR(MATCH(SMALL('_Datos'!$L$7:$L$200,ROW()-7+1),'_Datos'!$L$7:$L$200,0),"")</f>
      </c>
    </row>
    <row r="110">
      <c r="B110" s="202">
        <f>IF($K110="","",INDEX('_Datos'!$M$7:$M$200,$K110))</f>
      </c>
      <c r="C110" s="203">
        <f>IF($K110="","",INDEX('_Datos'!$D$7:$D$200,$K110))</f>
      </c>
      <c r="D110" s="203">
        <f>IF($K110="","",INDEX('_Datos'!$F$7:$F$200,$K110))</f>
      </c>
      <c r="E110" s="203">
        <f>IF($K110="","",INDEX('_Datos'!$G$7:$G$200,$K110))</f>
      </c>
      <c r="F110" s="204">
        <f>IF($K110="","",INDEX('_Datos'!$H$7:$H$200,$K110))</f>
      </c>
      <c r="G110" s="202">
        <f>IF($K110="","",INDEX('_Datos'!$J$7:$J$200,$K110))</f>
      </c>
      <c r="H110" s="206">
        <f>IF($K110="","",INDEX('_Datos'!$K$7:$K$200,$K110))</f>
      </c>
      <c r="I110" s="205">
        <f>IF($K110="","",INDEX('_Datos'!$I$7:$I$200,$K110))</f>
      </c>
      <c r="K110" s="200">
        <f>IFERROR(MATCH(SMALL('_Datos'!$L$7:$L$200,ROW()-7+1),'_Datos'!$L$7:$L$200,0),"")</f>
      </c>
    </row>
    <row r="111">
      <c r="B111" s="202">
        <f>IF($K111="","",INDEX('_Datos'!$M$7:$M$200,$K111))</f>
      </c>
      <c r="C111" s="203">
        <f>IF($K111="","",INDEX('_Datos'!$D$7:$D$200,$K111))</f>
      </c>
      <c r="D111" s="203">
        <f>IF($K111="","",INDEX('_Datos'!$F$7:$F$200,$K111))</f>
      </c>
      <c r="E111" s="203">
        <f>IF($K111="","",INDEX('_Datos'!$G$7:$G$200,$K111))</f>
      </c>
      <c r="F111" s="204">
        <f>IF($K111="","",INDEX('_Datos'!$H$7:$H$200,$K111))</f>
      </c>
      <c r="G111" s="202">
        <f>IF($K111="","",INDEX('_Datos'!$J$7:$J$200,$K111))</f>
      </c>
      <c r="H111" s="206">
        <f>IF($K111="","",INDEX('_Datos'!$K$7:$K$200,$K111))</f>
      </c>
      <c r="I111" s="205">
        <f>IF($K111="","",INDEX('_Datos'!$I$7:$I$200,$K111))</f>
      </c>
      <c r="K111" s="200">
        <f>IFERROR(MATCH(SMALL('_Datos'!$L$7:$L$200,ROW()-7+1),'_Datos'!$L$7:$L$200,0),"")</f>
      </c>
    </row>
    <row r="112">
      <c r="B112" s="202">
        <f>IF($K112="","",INDEX('_Datos'!$M$7:$M$200,$K112))</f>
      </c>
      <c r="C112" s="203">
        <f>IF($K112="","",INDEX('_Datos'!$D$7:$D$200,$K112))</f>
      </c>
      <c r="D112" s="203">
        <f>IF($K112="","",INDEX('_Datos'!$F$7:$F$200,$K112))</f>
      </c>
      <c r="E112" s="203">
        <f>IF($K112="","",INDEX('_Datos'!$G$7:$G$200,$K112))</f>
      </c>
      <c r="F112" s="204">
        <f>IF($K112="","",INDEX('_Datos'!$H$7:$H$200,$K112))</f>
      </c>
      <c r="G112" s="202">
        <f>IF($K112="","",INDEX('_Datos'!$J$7:$J$200,$K112))</f>
      </c>
      <c r="H112" s="206">
        <f>IF($K112="","",INDEX('_Datos'!$K$7:$K$200,$K112))</f>
      </c>
      <c r="I112" s="205">
        <f>IF($K112="","",INDEX('_Datos'!$I$7:$I$200,$K112))</f>
      </c>
      <c r="K112" s="200">
        <f>IFERROR(MATCH(SMALL('_Datos'!$L$7:$L$200,ROW()-7+1),'_Datos'!$L$7:$L$200,0),"")</f>
      </c>
    </row>
    <row r="113">
      <c r="B113" s="202">
        <f>IF($K113="","",INDEX('_Datos'!$M$7:$M$200,$K113))</f>
      </c>
      <c r="C113" s="203">
        <f>IF($K113="","",INDEX('_Datos'!$D$7:$D$200,$K113))</f>
      </c>
      <c r="D113" s="203">
        <f>IF($K113="","",INDEX('_Datos'!$F$7:$F$200,$K113))</f>
      </c>
      <c r="E113" s="203">
        <f>IF($K113="","",INDEX('_Datos'!$G$7:$G$200,$K113))</f>
      </c>
      <c r="F113" s="204">
        <f>IF($K113="","",INDEX('_Datos'!$H$7:$H$200,$K113))</f>
      </c>
      <c r="G113" s="202">
        <f>IF($K113="","",INDEX('_Datos'!$J$7:$J$200,$K113))</f>
      </c>
      <c r="H113" s="206">
        <f>IF($K113="","",INDEX('_Datos'!$K$7:$K$200,$K113))</f>
      </c>
      <c r="I113" s="205">
        <f>IF($K113="","",INDEX('_Datos'!$I$7:$I$200,$K113))</f>
      </c>
      <c r="K113" s="200">
        <f>IFERROR(MATCH(SMALL('_Datos'!$L$7:$L$200,ROW()-7+1),'_Datos'!$L$7:$L$200,0),"")</f>
      </c>
    </row>
    <row r="114">
      <c r="B114" s="202">
        <f>IF($K114="","",INDEX('_Datos'!$M$7:$M$200,$K114))</f>
      </c>
      <c r="C114" s="203">
        <f>IF($K114="","",INDEX('_Datos'!$D$7:$D$200,$K114))</f>
      </c>
      <c r="D114" s="203">
        <f>IF($K114="","",INDEX('_Datos'!$F$7:$F$200,$K114))</f>
      </c>
      <c r="E114" s="203">
        <f>IF($K114="","",INDEX('_Datos'!$G$7:$G$200,$K114))</f>
      </c>
      <c r="F114" s="204">
        <f>IF($K114="","",INDEX('_Datos'!$H$7:$H$200,$K114))</f>
      </c>
      <c r="G114" s="202">
        <f>IF($K114="","",INDEX('_Datos'!$J$7:$J$200,$K114))</f>
      </c>
      <c r="H114" s="206">
        <f>IF($K114="","",INDEX('_Datos'!$K$7:$K$200,$K114))</f>
      </c>
      <c r="I114" s="205">
        <f>IF($K114="","",INDEX('_Datos'!$I$7:$I$200,$K114))</f>
      </c>
      <c r="K114" s="200">
        <f>IFERROR(MATCH(SMALL('_Datos'!$L$7:$L$200,ROW()-7+1),'_Datos'!$L$7:$L$200,0),"")</f>
      </c>
    </row>
    <row r="115">
      <c r="B115" s="202">
        <f>IF($K115="","",INDEX('_Datos'!$M$7:$M$200,$K115))</f>
      </c>
      <c r="C115" s="203">
        <f>IF($K115="","",INDEX('_Datos'!$D$7:$D$200,$K115))</f>
      </c>
      <c r="D115" s="203">
        <f>IF($K115="","",INDEX('_Datos'!$F$7:$F$200,$K115))</f>
      </c>
      <c r="E115" s="203">
        <f>IF($K115="","",INDEX('_Datos'!$G$7:$G$200,$K115))</f>
      </c>
      <c r="F115" s="204">
        <f>IF($K115="","",INDEX('_Datos'!$H$7:$H$200,$K115))</f>
      </c>
      <c r="G115" s="202">
        <f>IF($K115="","",INDEX('_Datos'!$J$7:$J$200,$K115))</f>
      </c>
      <c r="H115" s="206">
        <f>IF($K115="","",INDEX('_Datos'!$K$7:$K$200,$K115))</f>
      </c>
      <c r="I115" s="205">
        <f>IF($K115="","",INDEX('_Datos'!$I$7:$I$200,$K115))</f>
      </c>
      <c r="K115" s="200">
        <f>IFERROR(MATCH(SMALL('_Datos'!$L$7:$L$200,ROW()-7+1),'_Datos'!$L$7:$L$200,0),"")</f>
      </c>
    </row>
    <row r="116">
      <c r="B116" s="202">
        <f>IF($K116="","",INDEX('_Datos'!$M$7:$M$200,$K116))</f>
      </c>
      <c r="C116" s="203">
        <f>IF($K116="","",INDEX('_Datos'!$D$7:$D$200,$K116))</f>
      </c>
      <c r="D116" s="203">
        <f>IF($K116="","",INDEX('_Datos'!$F$7:$F$200,$K116))</f>
      </c>
      <c r="E116" s="203">
        <f>IF($K116="","",INDEX('_Datos'!$G$7:$G$200,$K116))</f>
      </c>
      <c r="F116" s="204">
        <f>IF($K116="","",INDEX('_Datos'!$H$7:$H$200,$K116))</f>
      </c>
      <c r="G116" s="202">
        <f>IF($K116="","",INDEX('_Datos'!$J$7:$J$200,$K116))</f>
      </c>
      <c r="H116" s="206">
        <f>IF($K116="","",INDEX('_Datos'!$K$7:$K$200,$K116))</f>
      </c>
      <c r="I116" s="205">
        <f>IF($K116="","",INDEX('_Datos'!$I$7:$I$200,$K116))</f>
      </c>
      <c r="K116" s="200">
        <f>IFERROR(MATCH(SMALL('_Datos'!$L$7:$L$200,ROW()-7+1),'_Datos'!$L$7:$L$200,0),"")</f>
      </c>
    </row>
    <row r="117">
      <c r="B117" s="202">
        <f>IF($K117="","",INDEX('_Datos'!$M$7:$M$200,$K117))</f>
      </c>
      <c r="C117" s="203">
        <f>IF($K117="","",INDEX('_Datos'!$D$7:$D$200,$K117))</f>
      </c>
      <c r="D117" s="203">
        <f>IF($K117="","",INDEX('_Datos'!$F$7:$F$200,$K117))</f>
      </c>
      <c r="E117" s="203">
        <f>IF($K117="","",INDEX('_Datos'!$G$7:$G$200,$K117))</f>
      </c>
      <c r="F117" s="204">
        <f>IF($K117="","",INDEX('_Datos'!$H$7:$H$200,$K117))</f>
      </c>
      <c r="G117" s="202">
        <f>IF($K117="","",INDEX('_Datos'!$J$7:$J$200,$K117))</f>
      </c>
      <c r="H117" s="206">
        <f>IF($K117="","",INDEX('_Datos'!$K$7:$K$200,$K117))</f>
      </c>
      <c r="I117" s="205">
        <f>IF($K117="","",INDEX('_Datos'!$I$7:$I$200,$K117))</f>
      </c>
      <c r="K117" s="200">
        <f>IFERROR(MATCH(SMALL('_Datos'!$L$7:$L$200,ROW()-7+1),'_Datos'!$L$7:$L$200,0),"")</f>
      </c>
    </row>
    <row r="118">
      <c r="B118" s="202">
        <f>IF($K118="","",INDEX('_Datos'!$M$7:$M$200,$K118))</f>
      </c>
      <c r="C118" s="203">
        <f>IF($K118="","",INDEX('_Datos'!$D$7:$D$200,$K118))</f>
      </c>
      <c r="D118" s="203">
        <f>IF($K118="","",INDEX('_Datos'!$F$7:$F$200,$K118))</f>
      </c>
      <c r="E118" s="203">
        <f>IF($K118="","",INDEX('_Datos'!$G$7:$G$200,$K118))</f>
      </c>
      <c r="F118" s="204">
        <f>IF($K118="","",INDEX('_Datos'!$H$7:$H$200,$K118))</f>
      </c>
      <c r="G118" s="202">
        <f>IF($K118="","",INDEX('_Datos'!$J$7:$J$200,$K118))</f>
      </c>
      <c r="H118" s="206">
        <f>IF($K118="","",INDEX('_Datos'!$K$7:$K$200,$K118))</f>
      </c>
      <c r="I118" s="205">
        <f>IF($K118="","",INDEX('_Datos'!$I$7:$I$200,$K118))</f>
      </c>
      <c r="K118" s="200">
        <f>IFERROR(MATCH(SMALL('_Datos'!$L$7:$L$200,ROW()-7+1),'_Datos'!$L$7:$L$200,0),"")</f>
      </c>
    </row>
    <row r="119">
      <c r="B119" s="202">
        <f>IF($K119="","",INDEX('_Datos'!$M$7:$M$200,$K119))</f>
      </c>
      <c r="C119" s="203">
        <f>IF($K119="","",INDEX('_Datos'!$D$7:$D$200,$K119))</f>
      </c>
      <c r="D119" s="203">
        <f>IF($K119="","",INDEX('_Datos'!$F$7:$F$200,$K119))</f>
      </c>
      <c r="E119" s="203">
        <f>IF($K119="","",INDEX('_Datos'!$G$7:$G$200,$K119))</f>
      </c>
      <c r="F119" s="204">
        <f>IF($K119="","",INDEX('_Datos'!$H$7:$H$200,$K119))</f>
      </c>
      <c r="G119" s="202">
        <f>IF($K119="","",INDEX('_Datos'!$J$7:$J$200,$K119))</f>
      </c>
      <c r="H119" s="206">
        <f>IF($K119="","",INDEX('_Datos'!$K$7:$K$200,$K119))</f>
      </c>
      <c r="I119" s="205">
        <f>IF($K119="","",INDEX('_Datos'!$I$7:$I$200,$K119))</f>
      </c>
      <c r="K119" s="200">
        <f>IFERROR(MATCH(SMALL('_Datos'!$L$7:$L$200,ROW()-7+1),'_Datos'!$L$7:$L$200,0),"")</f>
      </c>
    </row>
    <row r="120">
      <c r="B120" s="202">
        <f>IF($K120="","",INDEX('_Datos'!$M$7:$M$200,$K120))</f>
      </c>
      <c r="C120" s="203">
        <f>IF($K120="","",INDEX('_Datos'!$D$7:$D$200,$K120))</f>
      </c>
      <c r="D120" s="203">
        <f>IF($K120="","",INDEX('_Datos'!$F$7:$F$200,$K120))</f>
      </c>
      <c r="E120" s="203">
        <f>IF($K120="","",INDEX('_Datos'!$G$7:$G$200,$K120))</f>
      </c>
      <c r="F120" s="204">
        <f>IF($K120="","",INDEX('_Datos'!$H$7:$H$200,$K120))</f>
      </c>
      <c r="G120" s="202">
        <f>IF($K120="","",INDEX('_Datos'!$J$7:$J$200,$K120))</f>
      </c>
      <c r="H120" s="206">
        <f>IF($K120="","",INDEX('_Datos'!$K$7:$K$200,$K120))</f>
      </c>
      <c r="I120" s="205">
        <f>IF($K120="","",INDEX('_Datos'!$I$7:$I$200,$K120))</f>
      </c>
      <c r="K120" s="200">
        <f>IFERROR(MATCH(SMALL('_Datos'!$L$7:$L$200,ROW()-7+1),'_Datos'!$L$7:$L$200,0),"")</f>
      </c>
    </row>
    <row r="121">
      <c r="B121" s="202">
        <f>IF($K121="","",INDEX('_Datos'!$M$7:$M$200,$K121))</f>
      </c>
      <c r="C121" s="203">
        <f>IF($K121="","",INDEX('_Datos'!$D$7:$D$200,$K121))</f>
      </c>
      <c r="D121" s="203">
        <f>IF($K121="","",INDEX('_Datos'!$F$7:$F$200,$K121))</f>
      </c>
      <c r="E121" s="203">
        <f>IF($K121="","",INDEX('_Datos'!$G$7:$G$200,$K121))</f>
      </c>
      <c r="F121" s="204">
        <f>IF($K121="","",INDEX('_Datos'!$H$7:$H$200,$K121))</f>
      </c>
      <c r="G121" s="202">
        <f>IF($K121="","",INDEX('_Datos'!$J$7:$J$200,$K121))</f>
      </c>
      <c r="H121" s="206">
        <f>IF($K121="","",INDEX('_Datos'!$K$7:$K$200,$K121))</f>
      </c>
      <c r="I121" s="205">
        <f>IF($K121="","",INDEX('_Datos'!$I$7:$I$200,$K121))</f>
      </c>
      <c r="K121" s="200">
        <f>IFERROR(MATCH(SMALL('_Datos'!$L$7:$L$200,ROW()-7+1),'_Datos'!$L$7:$L$200,0),"")</f>
      </c>
    </row>
    <row r="122">
      <c r="B122" s="202">
        <f>IF($K122="","",INDEX('_Datos'!$M$7:$M$200,$K122))</f>
      </c>
      <c r="C122" s="203">
        <f>IF($K122="","",INDEX('_Datos'!$D$7:$D$200,$K122))</f>
      </c>
      <c r="D122" s="203">
        <f>IF($K122="","",INDEX('_Datos'!$F$7:$F$200,$K122))</f>
      </c>
      <c r="E122" s="203">
        <f>IF($K122="","",INDEX('_Datos'!$G$7:$G$200,$K122))</f>
      </c>
      <c r="F122" s="204">
        <f>IF($K122="","",INDEX('_Datos'!$H$7:$H$200,$K122))</f>
      </c>
      <c r="G122" s="202">
        <f>IF($K122="","",INDEX('_Datos'!$J$7:$J$200,$K122))</f>
      </c>
      <c r="H122" s="206">
        <f>IF($K122="","",INDEX('_Datos'!$K$7:$K$200,$K122))</f>
      </c>
      <c r="I122" s="205">
        <f>IF($K122="","",INDEX('_Datos'!$I$7:$I$200,$K122))</f>
      </c>
      <c r="K122" s="200">
        <f>IFERROR(MATCH(SMALL('_Datos'!$L$7:$L$200,ROW()-7+1),'_Datos'!$L$7:$L$200,0),"")</f>
      </c>
    </row>
    <row r="123">
      <c r="B123" s="202">
        <f>IF($K123="","",INDEX('_Datos'!$M$7:$M$200,$K123))</f>
      </c>
      <c r="C123" s="203">
        <f>IF($K123="","",INDEX('_Datos'!$D$7:$D$200,$K123))</f>
      </c>
      <c r="D123" s="203">
        <f>IF($K123="","",INDEX('_Datos'!$F$7:$F$200,$K123))</f>
      </c>
      <c r="E123" s="203">
        <f>IF($K123="","",INDEX('_Datos'!$G$7:$G$200,$K123))</f>
      </c>
      <c r="F123" s="204">
        <f>IF($K123="","",INDEX('_Datos'!$H$7:$H$200,$K123))</f>
      </c>
      <c r="G123" s="202">
        <f>IF($K123="","",INDEX('_Datos'!$J$7:$J$200,$K123))</f>
      </c>
      <c r="H123" s="206">
        <f>IF($K123="","",INDEX('_Datos'!$K$7:$K$200,$K123))</f>
      </c>
      <c r="I123" s="205">
        <f>IF($K123="","",INDEX('_Datos'!$I$7:$I$200,$K123))</f>
      </c>
      <c r="K123" s="200">
        <f>IFERROR(MATCH(SMALL('_Datos'!$L$7:$L$200,ROW()-7+1),'_Datos'!$L$7:$L$200,0),"")</f>
      </c>
    </row>
    <row r="124">
      <c r="B124" s="202">
        <f>IF($K124="","",INDEX('_Datos'!$M$7:$M$200,$K124))</f>
      </c>
      <c r="C124" s="203">
        <f>IF($K124="","",INDEX('_Datos'!$D$7:$D$200,$K124))</f>
      </c>
      <c r="D124" s="203">
        <f>IF($K124="","",INDEX('_Datos'!$F$7:$F$200,$K124))</f>
      </c>
      <c r="E124" s="203">
        <f>IF($K124="","",INDEX('_Datos'!$G$7:$G$200,$K124))</f>
      </c>
      <c r="F124" s="204">
        <f>IF($K124="","",INDEX('_Datos'!$H$7:$H$200,$K124))</f>
      </c>
      <c r="G124" s="202">
        <f>IF($K124="","",INDEX('_Datos'!$J$7:$J$200,$K124))</f>
      </c>
      <c r="H124" s="206">
        <f>IF($K124="","",INDEX('_Datos'!$K$7:$K$200,$K124))</f>
      </c>
      <c r="I124" s="205">
        <f>IF($K124="","",INDEX('_Datos'!$I$7:$I$200,$K124))</f>
      </c>
      <c r="K124" s="200">
        <f>IFERROR(MATCH(SMALL('_Datos'!$L$7:$L$200,ROW()-7+1),'_Datos'!$L$7:$L$200,0),"")</f>
      </c>
    </row>
    <row r="125">
      <c r="B125" s="202">
        <f>IF($K125="","",INDEX('_Datos'!$M$7:$M$200,$K125))</f>
      </c>
      <c r="C125" s="203">
        <f>IF($K125="","",INDEX('_Datos'!$D$7:$D$200,$K125))</f>
      </c>
      <c r="D125" s="203">
        <f>IF($K125="","",INDEX('_Datos'!$F$7:$F$200,$K125))</f>
      </c>
      <c r="E125" s="203">
        <f>IF($K125="","",INDEX('_Datos'!$G$7:$G$200,$K125))</f>
      </c>
      <c r="F125" s="204">
        <f>IF($K125="","",INDEX('_Datos'!$H$7:$H$200,$K125))</f>
      </c>
      <c r="G125" s="202">
        <f>IF($K125="","",INDEX('_Datos'!$J$7:$J$200,$K125))</f>
      </c>
      <c r="H125" s="206">
        <f>IF($K125="","",INDEX('_Datos'!$K$7:$K$200,$K125))</f>
      </c>
      <c r="I125" s="205">
        <f>IF($K125="","",INDEX('_Datos'!$I$7:$I$200,$K125))</f>
      </c>
      <c r="K125" s="200">
        <f>IFERROR(MATCH(SMALL('_Datos'!$L$7:$L$200,ROW()-7+1),'_Datos'!$L$7:$L$200,0),"")</f>
      </c>
    </row>
    <row r="126">
      <c r="B126" s="202">
        <f>IF($K126="","",INDEX('_Datos'!$M$7:$M$200,$K126))</f>
      </c>
      <c r="C126" s="203">
        <f>IF($K126="","",INDEX('_Datos'!$D$7:$D$200,$K126))</f>
      </c>
      <c r="D126" s="203">
        <f>IF($K126="","",INDEX('_Datos'!$F$7:$F$200,$K126))</f>
      </c>
      <c r="E126" s="203">
        <f>IF($K126="","",INDEX('_Datos'!$G$7:$G$200,$K126))</f>
      </c>
      <c r="F126" s="204">
        <f>IF($K126="","",INDEX('_Datos'!$H$7:$H$200,$K126))</f>
      </c>
      <c r="G126" s="202">
        <f>IF($K126="","",INDEX('_Datos'!$J$7:$J$200,$K126))</f>
      </c>
      <c r="H126" s="206">
        <f>IF($K126="","",INDEX('_Datos'!$K$7:$K$200,$K126))</f>
      </c>
      <c r="I126" s="205">
        <f>IF($K126="","",INDEX('_Datos'!$I$7:$I$200,$K126))</f>
      </c>
      <c r="K126" s="200">
        <f>IFERROR(MATCH(SMALL('_Datos'!$L$7:$L$200,ROW()-7+1),'_Datos'!$L$7:$L$200,0),"")</f>
      </c>
    </row>
    <row r="127">
      <c r="B127" s="202">
        <f>IF($K127="","",INDEX('_Datos'!$M$7:$M$200,$K127))</f>
      </c>
      <c r="C127" s="203">
        <f>IF($K127="","",INDEX('_Datos'!$D$7:$D$200,$K127))</f>
      </c>
      <c r="D127" s="203">
        <f>IF($K127="","",INDEX('_Datos'!$F$7:$F$200,$K127))</f>
      </c>
      <c r="E127" s="203">
        <f>IF($K127="","",INDEX('_Datos'!$G$7:$G$200,$K127))</f>
      </c>
      <c r="F127" s="204">
        <f>IF($K127="","",INDEX('_Datos'!$H$7:$H$200,$K127))</f>
      </c>
      <c r="G127" s="202">
        <f>IF($K127="","",INDEX('_Datos'!$J$7:$J$200,$K127))</f>
      </c>
      <c r="H127" s="206">
        <f>IF($K127="","",INDEX('_Datos'!$K$7:$K$200,$K127))</f>
      </c>
      <c r="I127" s="205">
        <f>IF($K127="","",INDEX('_Datos'!$I$7:$I$200,$K127))</f>
      </c>
      <c r="K127" s="200">
        <f>IFERROR(MATCH(SMALL('_Datos'!$L$7:$L$200,ROW()-7+1),'_Datos'!$L$7:$L$200,0),"")</f>
      </c>
    </row>
    <row r="128">
      <c r="B128" s="202">
        <f>IF($K128="","",INDEX('_Datos'!$M$7:$M$200,$K128))</f>
      </c>
      <c r="C128" s="203">
        <f>IF($K128="","",INDEX('_Datos'!$D$7:$D$200,$K128))</f>
      </c>
      <c r="D128" s="203">
        <f>IF($K128="","",INDEX('_Datos'!$F$7:$F$200,$K128))</f>
      </c>
      <c r="E128" s="203">
        <f>IF($K128="","",INDEX('_Datos'!$G$7:$G$200,$K128))</f>
      </c>
      <c r="F128" s="204">
        <f>IF($K128="","",INDEX('_Datos'!$H$7:$H$200,$K128))</f>
      </c>
      <c r="G128" s="202">
        <f>IF($K128="","",INDEX('_Datos'!$J$7:$J$200,$K128))</f>
      </c>
      <c r="H128" s="206">
        <f>IF($K128="","",INDEX('_Datos'!$K$7:$K$200,$K128))</f>
      </c>
      <c r="I128" s="205">
        <f>IF($K128="","",INDEX('_Datos'!$I$7:$I$200,$K128))</f>
      </c>
      <c r="K128" s="200">
        <f>IFERROR(MATCH(SMALL('_Datos'!$L$7:$L$200,ROW()-7+1),'_Datos'!$L$7:$L$200,0),"")</f>
      </c>
    </row>
    <row r="129">
      <c r="B129" s="202">
        <f>IF($K129="","",INDEX('_Datos'!$M$7:$M$200,$K129))</f>
      </c>
      <c r="C129" s="203">
        <f>IF($K129="","",INDEX('_Datos'!$D$7:$D$200,$K129))</f>
      </c>
      <c r="D129" s="203">
        <f>IF($K129="","",INDEX('_Datos'!$F$7:$F$200,$K129))</f>
      </c>
      <c r="E129" s="203">
        <f>IF($K129="","",INDEX('_Datos'!$G$7:$G$200,$K129))</f>
      </c>
      <c r="F129" s="204">
        <f>IF($K129="","",INDEX('_Datos'!$H$7:$H$200,$K129))</f>
      </c>
      <c r="G129" s="202">
        <f>IF($K129="","",INDEX('_Datos'!$J$7:$J$200,$K129))</f>
      </c>
      <c r="H129" s="206">
        <f>IF($K129="","",INDEX('_Datos'!$K$7:$K$200,$K129))</f>
      </c>
      <c r="I129" s="205">
        <f>IF($K129="","",INDEX('_Datos'!$I$7:$I$200,$K129))</f>
      </c>
      <c r="K129" s="200">
        <f>IFERROR(MATCH(SMALL('_Datos'!$L$7:$L$200,ROW()-7+1),'_Datos'!$L$7:$L$200,0),"")</f>
      </c>
    </row>
    <row r="130">
      <c r="B130" s="202">
        <f>IF($K130="","",INDEX('_Datos'!$M$7:$M$200,$K130))</f>
      </c>
      <c r="C130" s="203">
        <f>IF($K130="","",INDEX('_Datos'!$D$7:$D$200,$K130))</f>
      </c>
      <c r="D130" s="203">
        <f>IF($K130="","",INDEX('_Datos'!$F$7:$F$200,$K130))</f>
      </c>
      <c r="E130" s="203">
        <f>IF($K130="","",INDEX('_Datos'!$G$7:$G$200,$K130))</f>
      </c>
      <c r="F130" s="204">
        <f>IF($K130="","",INDEX('_Datos'!$H$7:$H$200,$K130))</f>
      </c>
      <c r="G130" s="202">
        <f>IF($K130="","",INDEX('_Datos'!$J$7:$J$200,$K130))</f>
      </c>
      <c r="H130" s="206">
        <f>IF($K130="","",INDEX('_Datos'!$K$7:$K$200,$K130))</f>
      </c>
      <c r="I130" s="205">
        <f>IF($K130="","",INDEX('_Datos'!$I$7:$I$200,$K130))</f>
      </c>
      <c r="K130" s="200">
        <f>IFERROR(MATCH(SMALL('_Datos'!$L$7:$L$200,ROW()-7+1),'_Datos'!$L$7:$L$200,0),"")</f>
      </c>
    </row>
    <row r="131">
      <c r="B131" s="202">
        <f>IF($K131="","",INDEX('_Datos'!$M$7:$M$200,$K131))</f>
      </c>
      <c r="C131" s="203">
        <f>IF($K131="","",INDEX('_Datos'!$D$7:$D$200,$K131))</f>
      </c>
      <c r="D131" s="203">
        <f>IF($K131="","",INDEX('_Datos'!$F$7:$F$200,$K131))</f>
      </c>
      <c r="E131" s="203">
        <f>IF($K131="","",INDEX('_Datos'!$G$7:$G$200,$K131))</f>
      </c>
      <c r="F131" s="204">
        <f>IF($K131="","",INDEX('_Datos'!$H$7:$H$200,$K131))</f>
      </c>
      <c r="G131" s="202">
        <f>IF($K131="","",INDEX('_Datos'!$J$7:$J$200,$K131))</f>
      </c>
      <c r="H131" s="206">
        <f>IF($K131="","",INDEX('_Datos'!$K$7:$K$200,$K131))</f>
      </c>
      <c r="I131" s="205">
        <f>IF($K131="","",INDEX('_Datos'!$I$7:$I$200,$K131))</f>
      </c>
      <c r="K131" s="200">
        <f>IFERROR(MATCH(SMALL('_Datos'!$L$7:$L$200,ROW()-7+1),'_Datos'!$L$7:$L$200,0),"")</f>
      </c>
    </row>
    <row r="132">
      <c r="B132" s="202">
        <f>IF($K132="","",INDEX('_Datos'!$M$7:$M$200,$K132))</f>
      </c>
      <c r="C132" s="203">
        <f>IF($K132="","",INDEX('_Datos'!$D$7:$D$200,$K132))</f>
      </c>
      <c r="D132" s="203">
        <f>IF($K132="","",INDEX('_Datos'!$F$7:$F$200,$K132))</f>
      </c>
      <c r="E132" s="203">
        <f>IF($K132="","",INDEX('_Datos'!$G$7:$G$200,$K132))</f>
      </c>
      <c r="F132" s="204">
        <f>IF($K132="","",INDEX('_Datos'!$H$7:$H$200,$K132))</f>
      </c>
      <c r="G132" s="202">
        <f>IF($K132="","",INDEX('_Datos'!$J$7:$J$200,$K132))</f>
      </c>
      <c r="H132" s="206">
        <f>IF($K132="","",INDEX('_Datos'!$K$7:$K$200,$K132))</f>
      </c>
      <c r="I132" s="205">
        <f>IF($K132="","",INDEX('_Datos'!$I$7:$I$200,$K132))</f>
      </c>
      <c r="K132" s="200">
        <f>IFERROR(MATCH(SMALL('_Datos'!$L$7:$L$200,ROW()-7+1),'_Datos'!$L$7:$L$200,0),"")</f>
      </c>
    </row>
    <row r="133">
      <c r="B133" s="202">
        <f>IF($K133="","",INDEX('_Datos'!$M$7:$M$200,$K133))</f>
      </c>
      <c r="C133" s="203">
        <f>IF($K133="","",INDEX('_Datos'!$D$7:$D$200,$K133))</f>
      </c>
      <c r="D133" s="203">
        <f>IF($K133="","",INDEX('_Datos'!$F$7:$F$200,$K133))</f>
      </c>
      <c r="E133" s="203">
        <f>IF($K133="","",INDEX('_Datos'!$G$7:$G$200,$K133))</f>
      </c>
      <c r="F133" s="204">
        <f>IF($K133="","",INDEX('_Datos'!$H$7:$H$200,$K133))</f>
      </c>
      <c r="G133" s="202">
        <f>IF($K133="","",INDEX('_Datos'!$J$7:$J$200,$K133))</f>
      </c>
      <c r="H133" s="206">
        <f>IF($K133="","",INDEX('_Datos'!$K$7:$K$200,$K133))</f>
      </c>
      <c r="I133" s="205">
        <f>IF($K133="","",INDEX('_Datos'!$I$7:$I$200,$K133))</f>
      </c>
      <c r="K133" s="200">
        <f>IFERROR(MATCH(SMALL('_Datos'!$L$7:$L$200,ROW()-7+1),'_Datos'!$L$7:$L$200,0),"")</f>
      </c>
    </row>
    <row r="134">
      <c r="B134" s="202">
        <f>IF($K134="","",INDEX('_Datos'!$M$7:$M$200,$K134))</f>
      </c>
      <c r="C134" s="203">
        <f>IF($K134="","",INDEX('_Datos'!$D$7:$D$200,$K134))</f>
      </c>
      <c r="D134" s="203">
        <f>IF($K134="","",INDEX('_Datos'!$F$7:$F$200,$K134))</f>
      </c>
      <c r="E134" s="203">
        <f>IF($K134="","",INDEX('_Datos'!$G$7:$G$200,$K134))</f>
      </c>
      <c r="F134" s="204">
        <f>IF($K134="","",INDEX('_Datos'!$H$7:$H$200,$K134))</f>
      </c>
      <c r="G134" s="202">
        <f>IF($K134="","",INDEX('_Datos'!$J$7:$J$200,$K134))</f>
      </c>
      <c r="H134" s="206">
        <f>IF($K134="","",INDEX('_Datos'!$K$7:$K$200,$K134))</f>
      </c>
      <c r="I134" s="205">
        <f>IF($K134="","",INDEX('_Datos'!$I$7:$I$200,$K134))</f>
      </c>
      <c r="K134" s="200">
        <f>IFERROR(MATCH(SMALL('_Datos'!$L$7:$L$200,ROW()-7+1),'_Datos'!$L$7:$L$200,0),"")</f>
      </c>
    </row>
    <row r="135">
      <c r="B135" s="202">
        <f>IF($K135="","",INDEX('_Datos'!$M$7:$M$200,$K135))</f>
      </c>
      <c r="C135" s="203">
        <f>IF($K135="","",INDEX('_Datos'!$D$7:$D$200,$K135))</f>
      </c>
      <c r="D135" s="203">
        <f>IF($K135="","",INDEX('_Datos'!$F$7:$F$200,$K135))</f>
      </c>
      <c r="E135" s="203">
        <f>IF($K135="","",INDEX('_Datos'!$G$7:$G$200,$K135))</f>
      </c>
      <c r="F135" s="204">
        <f>IF($K135="","",INDEX('_Datos'!$H$7:$H$200,$K135))</f>
      </c>
      <c r="G135" s="202">
        <f>IF($K135="","",INDEX('_Datos'!$J$7:$J$200,$K135))</f>
      </c>
      <c r="H135" s="206">
        <f>IF($K135="","",INDEX('_Datos'!$K$7:$K$200,$K135))</f>
      </c>
      <c r="I135" s="205">
        <f>IF($K135="","",INDEX('_Datos'!$I$7:$I$200,$K135))</f>
      </c>
      <c r="K135" s="200">
        <f>IFERROR(MATCH(SMALL('_Datos'!$L$7:$L$200,ROW()-7+1),'_Datos'!$L$7:$L$200,0),"")</f>
      </c>
    </row>
    <row r="136">
      <c r="B136" s="202">
        <f>IF($K136="","",INDEX('_Datos'!$M$7:$M$200,$K136))</f>
      </c>
      <c r="C136" s="203">
        <f>IF($K136="","",INDEX('_Datos'!$D$7:$D$200,$K136))</f>
      </c>
      <c r="D136" s="203">
        <f>IF($K136="","",INDEX('_Datos'!$F$7:$F$200,$K136))</f>
      </c>
      <c r="E136" s="203">
        <f>IF($K136="","",INDEX('_Datos'!$G$7:$G$200,$K136))</f>
      </c>
      <c r="F136" s="204">
        <f>IF($K136="","",INDEX('_Datos'!$H$7:$H$200,$K136))</f>
      </c>
      <c r="G136" s="202">
        <f>IF($K136="","",INDEX('_Datos'!$J$7:$J$200,$K136))</f>
      </c>
      <c r="H136" s="206">
        <f>IF($K136="","",INDEX('_Datos'!$K$7:$K$200,$K136))</f>
      </c>
      <c r="I136" s="205">
        <f>IF($K136="","",INDEX('_Datos'!$I$7:$I$200,$K136))</f>
      </c>
      <c r="K136" s="200">
        <f>IFERROR(MATCH(SMALL('_Datos'!$L$7:$L$200,ROW()-7+1),'_Datos'!$L$7:$L$200,0),"")</f>
      </c>
    </row>
    <row r="137">
      <c r="B137" s="202">
        <f>IF($K137="","",INDEX('_Datos'!$M$7:$M$200,$K137))</f>
      </c>
      <c r="C137" s="203">
        <f>IF($K137="","",INDEX('_Datos'!$D$7:$D$200,$K137))</f>
      </c>
      <c r="D137" s="203">
        <f>IF($K137="","",INDEX('_Datos'!$F$7:$F$200,$K137))</f>
      </c>
      <c r="E137" s="203">
        <f>IF($K137="","",INDEX('_Datos'!$G$7:$G$200,$K137))</f>
      </c>
      <c r="F137" s="204">
        <f>IF($K137="","",INDEX('_Datos'!$H$7:$H$200,$K137))</f>
      </c>
      <c r="G137" s="202">
        <f>IF($K137="","",INDEX('_Datos'!$J$7:$J$200,$K137))</f>
      </c>
      <c r="H137" s="206">
        <f>IF($K137="","",INDEX('_Datos'!$K$7:$K$200,$K137))</f>
      </c>
      <c r="I137" s="205">
        <f>IF($K137="","",INDEX('_Datos'!$I$7:$I$200,$K137))</f>
      </c>
      <c r="K137" s="200">
        <f>IFERROR(MATCH(SMALL('_Datos'!$L$7:$L$200,ROW()-7+1),'_Datos'!$L$7:$L$200,0),"")</f>
      </c>
    </row>
    <row r="138">
      <c r="B138" s="202">
        <f>IF($K138="","",INDEX('_Datos'!$M$7:$M$200,$K138))</f>
      </c>
      <c r="C138" s="203">
        <f>IF($K138="","",INDEX('_Datos'!$D$7:$D$200,$K138))</f>
      </c>
      <c r="D138" s="203">
        <f>IF($K138="","",INDEX('_Datos'!$F$7:$F$200,$K138))</f>
      </c>
      <c r="E138" s="203">
        <f>IF($K138="","",INDEX('_Datos'!$G$7:$G$200,$K138))</f>
      </c>
      <c r="F138" s="204">
        <f>IF($K138="","",INDEX('_Datos'!$H$7:$H$200,$K138))</f>
      </c>
      <c r="G138" s="202">
        <f>IF($K138="","",INDEX('_Datos'!$J$7:$J$200,$K138))</f>
      </c>
      <c r="H138" s="206">
        <f>IF($K138="","",INDEX('_Datos'!$K$7:$K$200,$K138))</f>
      </c>
      <c r="I138" s="205">
        <f>IF($K138="","",INDEX('_Datos'!$I$7:$I$200,$K138))</f>
      </c>
      <c r="K138" s="200">
        <f>IFERROR(MATCH(SMALL('_Datos'!$L$7:$L$200,ROW()-7+1),'_Datos'!$L$7:$L$200,0),"")</f>
      </c>
    </row>
    <row r="139">
      <c r="B139" s="202">
        <f>IF($K139="","",INDEX('_Datos'!$M$7:$M$200,$K139))</f>
      </c>
      <c r="C139" s="203">
        <f>IF($K139="","",INDEX('_Datos'!$D$7:$D$200,$K139))</f>
      </c>
      <c r="D139" s="203">
        <f>IF($K139="","",INDEX('_Datos'!$F$7:$F$200,$K139))</f>
      </c>
      <c r="E139" s="203">
        <f>IF($K139="","",INDEX('_Datos'!$G$7:$G$200,$K139))</f>
      </c>
      <c r="F139" s="204">
        <f>IF($K139="","",INDEX('_Datos'!$H$7:$H$200,$K139))</f>
      </c>
      <c r="G139" s="202">
        <f>IF($K139="","",INDEX('_Datos'!$J$7:$J$200,$K139))</f>
      </c>
      <c r="H139" s="206">
        <f>IF($K139="","",INDEX('_Datos'!$K$7:$K$200,$K139))</f>
      </c>
      <c r="I139" s="205">
        <f>IF($K139="","",INDEX('_Datos'!$I$7:$I$200,$K139))</f>
      </c>
      <c r="K139" s="200">
        <f>IFERROR(MATCH(SMALL('_Datos'!$L$7:$L$200,ROW()-7+1),'_Datos'!$L$7:$L$200,0),"")</f>
      </c>
    </row>
    <row r="140">
      <c r="B140" s="202">
        <f>IF($K140="","",INDEX('_Datos'!$M$7:$M$200,$K140))</f>
      </c>
      <c r="C140" s="203">
        <f>IF($K140="","",INDEX('_Datos'!$D$7:$D$200,$K140))</f>
      </c>
      <c r="D140" s="203">
        <f>IF($K140="","",INDEX('_Datos'!$F$7:$F$200,$K140))</f>
      </c>
      <c r="E140" s="203">
        <f>IF($K140="","",INDEX('_Datos'!$G$7:$G$200,$K140))</f>
      </c>
      <c r="F140" s="204">
        <f>IF($K140="","",INDEX('_Datos'!$H$7:$H$200,$K140))</f>
      </c>
      <c r="G140" s="202">
        <f>IF($K140="","",INDEX('_Datos'!$J$7:$J$200,$K140))</f>
      </c>
      <c r="H140" s="206">
        <f>IF($K140="","",INDEX('_Datos'!$K$7:$K$200,$K140))</f>
      </c>
      <c r="I140" s="205">
        <f>IF($K140="","",INDEX('_Datos'!$I$7:$I$200,$K140))</f>
      </c>
      <c r="K140" s="200">
        <f>IFERROR(MATCH(SMALL('_Datos'!$L$7:$L$200,ROW()-7+1),'_Datos'!$L$7:$L$200,0),"")</f>
      </c>
    </row>
    <row r="141">
      <c r="B141" s="202">
        <f>IF($K141="","",INDEX('_Datos'!$M$7:$M$200,$K141))</f>
      </c>
      <c r="C141" s="203">
        <f>IF($K141="","",INDEX('_Datos'!$D$7:$D$200,$K141))</f>
      </c>
      <c r="D141" s="203">
        <f>IF($K141="","",INDEX('_Datos'!$F$7:$F$200,$K141))</f>
      </c>
      <c r="E141" s="203">
        <f>IF($K141="","",INDEX('_Datos'!$G$7:$G$200,$K141))</f>
      </c>
      <c r="F141" s="204">
        <f>IF($K141="","",INDEX('_Datos'!$H$7:$H$200,$K141))</f>
      </c>
      <c r="G141" s="202">
        <f>IF($K141="","",INDEX('_Datos'!$J$7:$J$200,$K141))</f>
      </c>
      <c r="H141" s="206">
        <f>IF($K141="","",INDEX('_Datos'!$K$7:$K$200,$K141))</f>
      </c>
      <c r="I141" s="205">
        <f>IF($K141="","",INDEX('_Datos'!$I$7:$I$200,$K141))</f>
      </c>
      <c r="K141" s="200">
        <f>IFERROR(MATCH(SMALL('_Datos'!$L$7:$L$200,ROW()-7+1),'_Datos'!$L$7:$L$200,0),"")</f>
      </c>
    </row>
    <row r="142">
      <c r="B142" s="202">
        <f>IF($K142="","",INDEX('_Datos'!$M$7:$M$200,$K142))</f>
      </c>
      <c r="C142" s="203">
        <f>IF($K142="","",INDEX('_Datos'!$D$7:$D$200,$K142))</f>
      </c>
      <c r="D142" s="203">
        <f>IF($K142="","",INDEX('_Datos'!$F$7:$F$200,$K142))</f>
      </c>
      <c r="E142" s="203">
        <f>IF($K142="","",INDEX('_Datos'!$G$7:$G$200,$K142))</f>
      </c>
      <c r="F142" s="204">
        <f>IF($K142="","",INDEX('_Datos'!$H$7:$H$200,$K142))</f>
      </c>
      <c r="G142" s="202">
        <f>IF($K142="","",INDEX('_Datos'!$J$7:$J$200,$K142))</f>
      </c>
      <c r="H142" s="206">
        <f>IF($K142="","",INDEX('_Datos'!$K$7:$K$200,$K142))</f>
      </c>
      <c r="I142" s="205">
        <f>IF($K142="","",INDEX('_Datos'!$I$7:$I$200,$K142))</f>
      </c>
      <c r="K142" s="200">
        <f>IFERROR(MATCH(SMALL('_Datos'!$L$7:$L$200,ROW()-7+1),'_Datos'!$L$7:$L$200,0),"")</f>
      </c>
    </row>
    <row r="143">
      <c r="B143" s="202">
        <f>IF($K143="","",INDEX('_Datos'!$M$7:$M$200,$K143))</f>
      </c>
      <c r="C143" s="203">
        <f>IF($K143="","",INDEX('_Datos'!$D$7:$D$200,$K143))</f>
      </c>
      <c r="D143" s="203">
        <f>IF($K143="","",INDEX('_Datos'!$F$7:$F$200,$K143))</f>
      </c>
      <c r="E143" s="203">
        <f>IF($K143="","",INDEX('_Datos'!$G$7:$G$200,$K143))</f>
      </c>
      <c r="F143" s="204">
        <f>IF($K143="","",INDEX('_Datos'!$H$7:$H$200,$K143))</f>
      </c>
      <c r="G143" s="202">
        <f>IF($K143="","",INDEX('_Datos'!$J$7:$J$200,$K143))</f>
      </c>
      <c r="H143" s="206">
        <f>IF($K143="","",INDEX('_Datos'!$K$7:$K$200,$K143))</f>
      </c>
      <c r="I143" s="205">
        <f>IF($K143="","",INDEX('_Datos'!$I$7:$I$200,$K143))</f>
      </c>
      <c r="K143" s="200">
        <f>IFERROR(MATCH(SMALL('_Datos'!$L$7:$L$200,ROW()-7+1),'_Datos'!$L$7:$L$200,0),"")</f>
      </c>
    </row>
    <row r="144">
      <c r="B144" s="202">
        <f>IF($K144="","",INDEX('_Datos'!$M$7:$M$200,$K144))</f>
      </c>
      <c r="C144" s="203">
        <f>IF($K144="","",INDEX('_Datos'!$D$7:$D$200,$K144))</f>
      </c>
      <c r="D144" s="203">
        <f>IF($K144="","",INDEX('_Datos'!$F$7:$F$200,$K144))</f>
      </c>
      <c r="E144" s="203">
        <f>IF($K144="","",INDEX('_Datos'!$G$7:$G$200,$K144))</f>
      </c>
      <c r="F144" s="204">
        <f>IF($K144="","",INDEX('_Datos'!$H$7:$H$200,$K144))</f>
      </c>
      <c r="G144" s="202">
        <f>IF($K144="","",INDEX('_Datos'!$J$7:$J$200,$K144))</f>
      </c>
      <c r="H144" s="206">
        <f>IF($K144="","",INDEX('_Datos'!$K$7:$K$200,$K144))</f>
      </c>
      <c r="I144" s="205">
        <f>IF($K144="","",INDEX('_Datos'!$I$7:$I$200,$K144))</f>
      </c>
      <c r="K144" s="200">
        <f>IFERROR(MATCH(SMALL('_Datos'!$L$7:$L$200,ROW()-7+1),'_Datos'!$L$7:$L$200,0),"")</f>
      </c>
    </row>
    <row r="145">
      <c r="B145" s="202">
        <f>IF($K145="","",INDEX('_Datos'!$M$7:$M$200,$K145))</f>
      </c>
      <c r="C145" s="203">
        <f>IF($K145="","",INDEX('_Datos'!$D$7:$D$200,$K145))</f>
      </c>
      <c r="D145" s="203">
        <f>IF($K145="","",INDEX('_Datos'!$F$7:$F$200,$K145))</f>
      </c>
      <c r="E145" s="203">
        <f>IF($K145="","",INDEX('_Datos'!$G$7:$G$200,$K145))</f>
      </c>
      <c r="F145" s="204">
        <f>IF($K145="","",INDEX('_Datos'!$H$7:$H$200,$K145))</f>
      </c>
      <c r="G145" s="202">
        <f>IF($K145="","",INDEX('_Datos'!$J$7:$J$200,$K145))</f>
      </c>
      <c r="H145" s="206">
        <f>IF($K145="","",INDEX('_Datos'!$K$7:$K$200,$K145))</f>
      </c>
      <c r="I145" s="205">
        <f>IF($K145="","",INDEX('_Datos'!$I$7:$I$200,$K145))</f>
      </c>
      <c r="K145" s="200">
        <f>IFERROR(MATCH(SMALL('_Datos'!$L$7:$L$200,ROW()-7+1),'_Datos'!$L$7:$L$200,0),"")</f>
      </c>
    </row>
    <row r="146">
      <c r="B146" s="202">
        <f>IF($K146="","",INDEX('_Datos'!$M$7:$M$200,$K146))</f>
      </c>
      <c r="C146" s="203">
        <f>IF($K146="","",INDEX('_Datos'!$D$7:$D$200,$K146))</f>
      </c>
      <c r="D146" s="203">
        <f>IF($K146="","",INDEX('_Datos'!$F$7:$F$200,$K146))</f>
      </c>
      <c r="E146" s="203">
        <f>IF($K146="","",INDEX('_Datos'!$G$7:$G$200,$K146))</f>
      </c>
      <c r="F146" s="204">
        <f>IF($K146="","",INDEX('_Datos'!$H$7:$H$200,$K146))</f>
      </c>
      <c r="G146" s="202">
        <f>IF($K146="","",INDEX('_Datos'!$J$7:$J$200,$K146))</f>
      </c>
      <c r="H146" s="206">
        <f>IF($K146="","",INDEX('_Datos'!$K$7:$K$200,$K146))</f>
      </c>
      <c r="I146" s="205">
        <f>IF($K146="","",INDEX('_Datos'!$I$7:$I$200,$K146))</f>
      </c>
      <c r="K146" s="200">
        <f>IFERROR(MATCH(SMALL('_Datos'!$L$7:$L$200,ROW()-7+1),'_Datos'!$L$7:$L$200,0),"")</f>
      </c>
    </row>
    <row r="147">
      <c r="B147" s="202">
        <f>IF($K147="","",INDEX('_Datos'!$M$7:$M$200,$K147))</f>
      </c>
      <c r="C147" s="203">
        <f>IF($K147="","",INDEX('_Datos'!$D$7:$D$200,$K147))</f>
      </c>
      <c r="D147" s="203">
        <f>IF($K147="","",INDEX('_Datos'!$F$7:$F$200,$K147))</f>
      </c>
      <c r="E147" s="203">
        <f>IF($K147="","",INDEX('_Datos'!$G$7:$G$200,$K147))</f>
      </c>
      <c r="F147" s="204">
        <f>IF($K147="","",INDEX('_Datos'!$H$7:$H$200,$K147))</f>
      </c>
      <c r="G147" s="202">
        <f>IF($K147="","",INDEX('_Datos'!$J$7:$J$200,$K147))</f>
      </c>
      <c r="H147" s="206">
        <f>IF($K147="","",INDEX('_Datos'!$K$7:$K$200,$K147))</f>
      </c>
      <c r="I147" s="205">
        <f>IF($K147="","",INDEX('_Datos'!$I$7:$I$200,$K147))</f>
      </c>
      <c r="K147" s="200">
        <f>IFERROR(MATCH(SMALL('_Datos'!$L$7:$L$200,ROW()-7+1),'_Datos'!$L$7:$L$200,0),"")</f>
      </c>
    </row>
    <row r="148">
      <c r="B148" s="202">
        <f>IF($K148="","",INDEX('_Datos'!$M$7:$M$200,$K148))</f>
      </c>
      <c r="C148" s="203">
        <f>IF($K148="","",INDEX('_Datos'!$D$7:$D$200,$K148))</f>
      </c>
      <c r="D148" s="203">
        <f>IF($K148="","",INDEX('_Datos'!$F$7:$F$200,$K148))</f>
      </c>
      <c r="E148" s="203">
        <f>IF($K148="","",INDEX('_Datos'!$G$7:$G$200,$K148))</f>
      </c>
      <c r="F148" s="204">
        <f>IF($K148="","",INDEX('_Datos'!$H$7:$H$200,$K148))</f>
      </c>
      <c r="G148" s="202">
        <f>IF($K148="","",INDEX('_Datos'!$J$7:$J$200,$K148))</f>
      </c>
      <c r="H148" s="206">
        <f>IF($K148="","",INDEX('_Datos'!$K$7:$K$200,$K148))</f>
      </c>
      <c r="I148" s="205">
        <f>IF($K148="","",INDEX('_Datos'!$I$7:$I$200,$K148))</f>
      </c>
      <c r="K148" s="200">
        <f>IFERROR(MATCH(SMALL('_Datos'!$L$7:$L$200,ROW()-7+1),'_Datos'!$L$7:$L$200,0),"")</f>
      </c>
    </row>
    <row r="149">
      <c r="B149" s="202">
        <f>IF($K149="","",INDEX('_Datos'!$M$7:$M$200,$K149))</f>
      </c>
      <c r="C149" s="203">
        <f>IF($K149="","",INDEX('_Datos'!$D$7:$D$200,$K149))</f>
      </c>
      <c r="D149" s="203">
        <f>IF($K149="","",INDEX('_Datos'!$F$7:$F$200,$K149))</f>
      </c>
      <c r="E149" s="203">
        <f>IF($K149="","",INDEX('_Datos'!$G$7:$G$200,$K149))</f>
      </c>
      <c r="F149" s="204">
        <f>IF($K149="","",INDEX('_Datos'!$H$7:$H$200,$K149))</f>
      </c>
      <c r="G149" s="202">
        <f>IF($K149="","",INDEX('_Datos'!$J$7:$J$200,$K149))</f>
      </c>
      <c r="H149" s="206">
        <f>IF($K149="","",INDEX('_Datos'!$K$7:$K$200,$K149))</f>
      </c>
      <c r="I149" s="205">
        <f>IF($K149="","",INDEX('_Datos'!$I$7:$I$200,$K149))</f>
      </c>
      <c r="K149" s="200">
        <f>IFERROR(MATCH(SMALL('_Datos'!$L$7:$L$200,ROW()-7+1),'_Datos'!$L$7:$L$200,0),"")</f>
      </c>
    </row>
    <row r="150">
      <c r="B150" s="202">
        <f>IF($K150="","",INDEX('_Datos'!$M$7:$M$200,$K150))</f>
      </c>
      <c r="C150" s="203">
        <f>IF($K150="","",INDEX('_Datos'!$D$7:$D$200,$K150))</f>
      </c>
      <c r="D150" s="203">
        <f>IF($K150="","",INDEX('_Datos'!$F$7:$F$200,$K150))</f>
      </c>
      <c r="E150" s="203">
        <f>IF($K150="","",INDEX('_Datos'!$G$7:$G$200,$K150))</f>
      </c>
      <c r="F150" s="204">
        <f>IF($K150="","",INDEX('_Datos'!$H$7:$H$200,$K150))</f>
      </c>
      <c r="G150" s="202">
        <f>IF($K150="","",INDEX('_Datos'!$J$7:$J$200,$K150))</f>
      </c>
      <c r="H150" s="206">
        <f>IF($K150="","",INDEX('_Datos'!$K$7:$K$200,$K150))</f>
      </c>
      <c r="I150" s="205">
        <f>IF($K150="","",INDEX('_Datos'!$I$7:$I$200,$K150))</f>
      </c>
      <c r="K150" s="200">
        <f>IFERROR(MATCH(SMALL('_Datos'!$L$7:$L$200,ROW()-7+1),'_Datos'!$L$7:$L$200,0),"")</f>
      </c>
    </row>
    <row r="151">
      <c r="B151" s="202">
        <f>IF($K151="","",INDEX('_Datos'!$M$7:$M$200,$K151))</f>
      </c>
      <c r="C151" s="203">
        <f>IF($K151="","",INDEX('_Datos'!$D$7:$D$200,$K151))</f>
      </c>
      <c r="D151" s="203">
        <f>IF($K151="","",INDEX('_Datos'!$F$7:$F$200,$K151))</f>
      </c>
      <c r="E151" s="203">
        <f>IF($K151="","",INDEX('_Datos'!$G$7:$G$200,$K151))</f>
      </c>
      <c r="F151" s="204">
        <f>IF($K151="","",INDEX('_Datos'!$H$7:$H$200,$K151))</f>
      </c>
      <c r="G151" s="202">
        <f>IF($K151="","",INDEX('_Datos'!$J$7:$J$200,$K151))</f>
      </c>
      <c r="H151" s="206">
        <f>IF($K151="","",INDEX('_Datos'!$K$7:$K$200,$K151))</f>
      </c>
      <c r="I151" s="205">
        <f>IF($K151="","",INDEX('_Datos'!$I$7:$I$200,$K151))</f>
      </c>
      <c r="K151" s="200">
        <f>IFERROR(MATCH(SMALL('_Datos'!$L$7:$L$200,ROW()-7+1),'_Datos'!$L$7:$L$200,0),"")</f>
      </c>
    </row>
    <row r="152">
      <c r="B152" s="202">
        <f>IF($K152="","",INDEX('_Datos'!$M$7:$M$200,$K152))</f>
      </c>
      <c r="C152" s="203">
        <f>IF($K152="","",INDEX('_Datos'!$D$7:$D$200,$K152))</f>
      </c>
      <c r="D152" s="203">
        <f>IF($K152="","",INDEX('_Datos'!$F$7:$F$200,$K152))</f>
      </c>
      <c r="E152" s="203">
        <f>IF($K152="","",INDEX('_Datos'!$G$7:$G$200,$K152))</f>
      </c>
      <c r="F152" s="204">
        <f>IF($K152="","",INDEX('_Datos'!$H$7:$H$200,$K152))</f>
      </c>
      <c r="G152" s="202">
        <f>IF($K152="","",INDEX('_Datos'!$J$7:$J$200,$K152))</f>
      </c>
      <c r="H152" s="206">
        <f>IF($K152="","",INDEX('_Datos'!$K$7:$K$200,$K152))</f>
      </c>
      <c r="I152" s="205">
        <f>IF($K152="","",INDEX('_Datos'!$I$7:$I$200,$K152))</f>
      </c>
      <c r="K152" s="200">
        <f>IFERROR(MATCH(SMALL('_Datos'!$L$7:$L$200,ROW()-7+1),'_Datos'!$L$7:$L$200,0),"")</f>
      </c>
    </row>
    <row r="153">
      <c r="B153" s="202">
        <f>IF($K153="","",INDEX('_Datos'!$M$7:$M$200,$K153))</f>
      </c>
      <c r="C153" s="203">
        <f>IF($K153="","",INDEX('_Datos'!$D$7:$D$200,$K153))</f>
      </c>
      <c r="D153" s="203">
        <f>IF($K153="","",INDEX('_Datos'!$F$7:$F$200,$K153))</f>
      </c>
      <c r="E153" s="203">
        <f>IF($K153="","",INDEX('_Datos'!$G$7:$G$200,$K153))</f>
      </c>
      <c r="F153" s="204">
        <f>IF($K153="","",INDEX('_Datos'!$H$7:$H$200,$K153))</f>
      </c>
      <c r="G153" s="202">
        <f>IF($K153="","",INDEX('_Datos'!$J$7:$J$200,$K153))</f>
      </c>
      <c r="H153" s="206">
        <f>IF($K153="","",INDEX('_Datos'!$K$7:$K$200,$K153))</f>
      </c>
      <c r="I153" s="205">
        <f>IF($K153="","",INDEX('_Datos'!$I$7:$I$200,$K153))</f>
      </c>
      <c r="K153" s="200">
        <f>IFERROR(MATCH(SMALL('_Datos'!$L$7:$L$200,ROW()-7+1),'_Datos'!$L$7:$L$200,0),"")</f>
      </c>
    </row>
    <row r="154">
      <c r="B154" s="202">
        <f>IF($K154="","",INDEX('_Datos'!$M$7:$M$200,$K154))</f>
      </c>
      <c r="C154" s="203">
        <f>IF($K154="","",INDEX('_Datos'!$D$7:$D$200,$K154))</f>
      </c>
      <c r="D154" s="203">
        <f>IF($K154="","",INDEX('_Datos'!$F$7:$F$200,$K154))</f>
      </c>
      <c r="E154" s="203">
        <f>IF($K154="","",INDEX('_Datos'!$G$7:$G$200,$K154))</f>
      </c>
      <c r="F154" s="204">
        <f>IF($K154="","",INDEX('_Datos'!$H$7:$H$200,$K154))</f>
      </c>
      <c r="G154" s="202">
        <f>IF($K154="","",INDEX('_Datos'!$J$7:$J$200,$K154))</f>
      </c>
      <c r="H154" s="206">
        <f>IF($K154="","",INDEX('_Datos'!$K$7:$K$200,$K154))</f>
      </c>
      <c r="I154" s="205">
        <f>IF($K154="","",INDEX('_Datos'!$I$7:$I$200,$K154))</f>
      </c>
      <c r="K154" s="200">
        <f>IFERROR(MATCH(SMALL('_Datos'!$L$7:$L$200,ROW()-7+1),'_Datos'!$L$7:$L$200,0),"")</f>
      </c>
    </row>
    <row r="155">
      <c r="B155" s="202">
        <f>IF($K155="","",INDEX('_Datos'!$M$7:$M$200,$K155))</f>
      </c>
      <c r="C155" s="203">
        <f>IF($K155="","",INDEX('_Datos'!$D$7:$D$200,$K155))</f>
      </c>
      <c r="D155" s="203">
        <f>IF($K155="","",INDEX('_Datos'!$F$7:$F$200,$K155))</f>
      </c>
      <c r="E155" s="203">
        <f>IF($K155="","",INDEX('_Datos'!$G$7:$G$200,$K155))</f>
      </c>
      <c r="F155" s="204">
        <f>IF($K155="","",INDEX('_Datos'!$H$7:$H$200,$K155))</f>
      </c>
      <c r="G155" s="202">
        <f>IF($K155="","",INDEX('_Datos'!$J$7:$J$200,$K155))</f>
      </c>
      <c r="H155" s="206">
        <f>IF($K155="","",INDEX('_Datos'!$K$7:$K$200,$K155))</f>
      </c>
      <c r="I155" s="205">
        <f>IF($K155="","",INDEX('_Datos'!$I$7:$I$200,$K155))</f>
      </c>
      <c r="K155" s="200">
        <f>IFERROR(MATCH(SMALL('_Datos'!$L$7:$L$200,ROW()-7+1),'_Datos'!$L$7:$L$200,0),"")</f>
      </c>
    </row>
    <row r="156">
      <c r="B156" s="202">
        <f>IF($K156="","",INDEX('_Datos'!$M$7:$M$200,$K156))</f>
      </c>
      <c r="C156" s="203">
        <f>IF($K156="","",INDEX('_Datos'!$D$7:$D$200,$K156))</f>
      </c>
      <c r="D156" s="203">
        <f>IF($K156="","",INDEX('_Datos'!$F$7:$F$200,$K156))</f>
      </c>
      <c r="E156" s="203">
        <f>IF($K156="","",INDEX('_Datos'!$G$7:$G$200,$K156))</f>
      </c>
      <c r="F156" s="204">
        <f>IF($K156="","",INDEX('_Datos'!$H$7:$H$200,$K156))</f>
      </c>
      <c r="G156" s="202">
        <f>IF($K156="","",INDEX('_Datos'!$J$7:$J$200,$K156))</f>
      </c>
      <c r="H156" s="206">
        <f>IF($K156="","",INDEX('_Datos'!$K$7:$K$200,$K156))</f>
      </c>
      <c r="I156" s="205">
        <f>IF($K156="","",INDEX('_Datos'!$I$7:$I$200,$K156))</f>
      </c>
      <c r="K156" s="200">
        <f>IFERROR(MATCH(SMALL('_Datos'!$L$7:$L$200,ROW()-7+1),'_Datos'!$L$7:$L$200,0),"")</f>
      </c>
    </row>
  </sheetData>
  <mergeCells count="4">
    <mergeCell ref="B1:I1"/>
    <mergeCell ref="B2:I2"/>
    <mergeCell ref="G3:H3"/>
    <mergeCell ref="B5:I5"/>
  </mergeCells>
  <conditionalFormatting sqref="B7:I156">
    <cfRule type="expression" dxfId="22" priority="31">
      <formula>AND($D7&lt;&gt;"",MOD(ROW(),2)=0)</formula>
    </cfRule>
    <cfRule type="expression" dxfId="21" priority="32">
      <formula>$D7&lt;&gt;""</formula>
    </cfRule>
  </conditionalFormatting>
  <conditionalFormatting sqref="G7:H156">
    <cfRule type="expression" dxfId="23" priority="33">
      <formula>$G7="Vencido"</formula>
    </cfRule>
    <cfRule type="expression" dxfId="24" priority="34">
      <formula>$G7="Próximo a vencer"</formula>
    </cfRule>
    <cfRule type="expression" dxfId="25" priority="35">
      <formula>$G7="En curso"</formula>
    </cfRule>
    <cfRule type="expression" dxfId="26" priority="36">
      <formula>$G7="Completado"</formula>
    </cfRule>
  </conditionalFormatting>
  <pageMargins left="0.4" right="0.4" top="0.5" bottom="0.5" header="0.3" footer="0.3"/>
</worksheet>
</file>

<file path=xl/worksheets/sheet7.xml><?xml version="1.0" encoding="utf-8"?>
<worksheet xmlns="http://schemas.openxmlformats.org/spreadsheetml/2006/main" xmlns:r="http://schemas.openxmlformats.org/officeDocument/2006/relationships">
  <dimension ref="A1:Q200"/>
  <sheetFormatPr defaultRowHeight="15"/>
  <cols>
    <col min="1" max="1" width="6" customWidth="1"/>
    <col min="2" max="3" width="9" customWidth="1"/>
    <col min="4" max="4" width="40" customWidth="1"/>
    <col min="5" max="5" width="7" customWidth="1"/>
    <col min="6" max="6" width="40" customWidth="1"/>
    <col min="7" max="7" width="20" customWidth="1"/>
    <col min="8" max="8" width="12" customWidth="1"/>
    <col min="9" max="14" width="11" customWidth="1"/>
  </cols>
  <sheetData>
    <row r="1">
      <c r="A1" s="199" t="inlineStr">
        <is>
          <t xml:space="preserve">HOJA AUXILIAR — Motor de cálculo (no editar). Alimenta 'Tablero' y 'Entregas Próximas'.</t>
        </is>
      </c>
    </row>
    <row r="6">
      <c r="A6" s="173" t="inlineStr">
        <is>
          <t xml:space="preserve">Fila</t>
        </is>
      </c>
      <c r="B6" s="173" t="inlineStr">
        <is>
          <t xml:space="preserve">EsFase</t>
        </is>
      </c>
      <c r="C6" s="173" t="inlineStr">
        <is>
          <t xml:space="preserve">EsTarea</t>
        </is>
      </c>
      <c r="D6" s="173" t="inlineStr">
        <is>
          <t xml:space="preserve">Módulo (Entregable)</t>
        </is>
      </c>
      <c r="E6" s="173" t="inlineStr">
        <is>
          <t xml:space="preserve">SprintRaw</t>
        </is>
      </c>
      <c r="F6" s="173" t="inlineStr">
        <is>
          <t xml:space="preserve">Tarea</t>
        </is>
      </c>
      <c r="G6" s="173" t="inlineStr">
        <is>
          <t xml:space="preserve">Responsable</t>
        </is>
      </c>
      <c r="H6" s="173" t="inlineStr">
        <is>
          <t xml:space="preserve">FechaEntrega</t>
        </is>
      </c>
      <c r="I6" s="173" t="inlineStr">
        <is>
          <t xml:space="preserve">Progreso</t>
        </is>
      </c>
      <c r="J6" s="173" t="inlineStr">
        <is>
          <t xml:space="preserve">Estado</t>
        </is>
      </c>
      <c r="K6" s="173" t="inlineStr">
        <is>
          <t xml:space="preserve">DíasRest</t>
        </is>
      </c>
      <c r="L6" s="173" t="inlineStr">
        <is>
          <t xml:space="preserve">ClaveOrden</t>
        </is>
      </c>
      <c r="M6" s="173" t="inlineStr">
        <is>
          <t xml:space="preserve">SprintKey</t>
        </is>
      </c>
      <c r="N6" s="173" t="inlineStr">
        <is>
          <t xml:space="preserve">SprintNum</t>
        </is>
      </c>
      <c r="P6" s="173" t="inlineStr">
        <is>
          <t xml:space="preserve">CandSprint</t>
        </is>
      </c>
      <c r="Q6" s="173" t="inlineStr">
        <is>
          <t xml:space="preserve">SprintExiste</t>
        </is>
      </c>
    </row>
    <row r="7">
      <c r="A7" s="200">
        <f>ROW()</f>
      </c>
      <c r="B7" s="200">
        <f>ISTEXT('Proyecto Datos (OKR´s)'!$K7)</f>
      </c>
      <c r="C7" s="200">
        <f>AND(LEN('Proyecto Datos (OKR´s)'!$G7)&gt;0,NOT($B7),OR(ISNUMBER('Proyecto Datos (OKR´s)'!$F7),ISNUMBER('Proyecto Datos (OKR´s)'!$L7)))</f>
      </c>
      <c r="D7" s="201">
        <f>IF($C7,IFERROR(LOOKUP(2,1/((ISTEXT('Proyecto Datos (OKR´s)'!$K$7:$K7))*(LEN('Proyecto Datos (OKR´s)'!$G$7:$G7)&gt;0)),'Proyecto Datos (OKR´s)'!$G$7:$G7),""),"")</f>
      </c>
      <c r="E7" s="200">
        <f>IF($C7,'Proyecto Datos (OKR´s)'!$E7,"")</f>
      </c>
      <c r="F7" s="201">
        <f>IF($C7,'Proyecto Datos (OKR´s)'!$G7,"")</f>
      </c>
      <c r="G7" s="201">
        <f>IF($C7,IF('Proyecto Datos (OKR´s)'!$I7="","(Sin asignar)",'Proyecto Datos (OKR´s)'!$I7),"")</f>
      </c>
      <c r="H7" s="200">
        <f>IF($C7,IF(ISNUMBER('Proyecto Datos (OKR´s)'!$F7),'Proyecto Datos (OKR´s)'!$F7,'Proyecto Datos (OKR´s)'!$L7),"")</f>
      </c>
      <c r="I7" s="200">
        <f>IF($C7,'Proyecto Datos (OKR´s)'!$J7,"")</f>
      </c>
      <c r="J7" s="201">
        <f>IF($C7,IF($I7&gt;=1,"Completado",IF($H7&lt;TODAY(),"Vencido",IF(($H7-TODAY())&lt;='Entregas Próximas'!$I$3,"Próximo a vencer","En curso"))),"")</f>
      </c>
      <c r="K7" s="200">
        <f>IF($C7,$H7-TODAY(),"")</f>
      </c>
      <c r="L7" s="200">
        <f>IF($C7,$N7*1000000+$H7+ROW()/100000,"")</f>
      </c>
      <c r="M7" s="200">
        <f>IF($C7,IF('Proyecto Datos (OKR´s)'!$E7="","(Sin sprint)",'Proyecto Datos (OKR´s)'!$E7),"")</f>
      </c>
      <c r="N7" s="200">
        <f>IF($C7,IF('Proyecto Datos (OKR´s)'!$E7="",9999,'Proyecto Datos (OKR´s)'!$E7),"")</f>
      </c>
      <c r="P7" s="200">
        <f>ROW()-6</f>
      </c>
      <c r="Q7" s="200">
        <f>IF(COUNTIF($N$7:$N$200,$P7)&gt;0,$P7,"")</f>
      </c>
    </row>
    <row r="8">
      <c r="A8" s="200">
        <f>ROW()</f>
      </c>
      <c r="B8" s="200">
        <f>ISTEXT('Proyecto Datos (OKR´s)'!$K8)</f>
      </c>
      <c r="C8" s="200">
        <f>AND(LEN('Proyecto Datos (OKR´s)'!$G8)&gt;0,NOT($B8),OR(ISNUMBER('Proyecto Datos (OKR´s)'!$F8),ISNUMBER('Proyecto Datos (OKR´s)'!$L8)))</f>
      </c>
      <c r="D8" s="201">
        <f>IF($C8,IFERROR(LOOKUP(2,1/((ISTEXT('Proyecto Datos (OKR´s)'!$K$7:$K8))*(LEN('Proyecto Datos (OKR´s)'!$G$7:$G8)&gt;0)),'Proyecto Datos (OKR´s)'!$G$7:$G8),""),"")</f>
      </c>
      <c r="E8" s="200">
        <f>IF($C8,'Proyecto Datos (OKR´s)'!$E8,"")</f>
      </c>
      <c r="F8" s="201">
        <f>IF($C8,'Proyecto Datos (OKR´s)'!$G8,"")</f>
      </c>
      <c r="G8" s="201">
        <f>IF($C8,IF('Proyecto Datos (OKR´s)'!$I8="","(Sin asignar)",'Proyecto Datos (OKR´s)'!$I8),"")</f>
      </c>
      <c r="H8" s="200">
        <f>IF($C8,IF(ISNUMBER('Proyecto Datos (OKR´s)'!$F8),'Proyecto Datos (OKR´s)'!$F8,'Proyecto Datos (OKR´s)'!$L8),"")</f>
      </c>
      <c r="I8" s="200">
        <f>IF($C8,'Proyecto Datos (OKR´s)'!$J8,"")</f>
      </c>
      <c r="J8" s="201">
        <f>IF($C8,IF($I8&gt;=1,"Completado",IF($H8&lt;TODAY(),"Vencido",IF(($H8-TODAY())&lt;='Entregas Próximas'!$I$3,"Próximo a vencer","En curso"))),"")</f>
      </c>
      <c r="K8" s="200">
        <f>IF($C8,$H8-TODAY(),"")</f>
      </c>
      <c r="L8" s="200">
        <f>IF($C8,$N8*1000000+$H8+ROW()/100000,"")</f>
      </c>
      <c r="M8" s="200">
        <f>IF($C8,IF('Proyecto Datos (OKR´s)'!$E8="","(Sin sprint)",'Proyecto Datos (OKR´s)'!$E8),"")</f>
      </c>
      <c r="N8" s="200">
        <f>IF($C8,IF('Proyecto Datos (OKR´s)'!$E8="",9999,'Proyecto Datos (OKR´s)'!$E8),"")</f>
      </c>
      <c r="P8" s="200">
        <f>ROW()-6</f>
      </c>
      <c r="Q8" s="200">
        <f>IF(COUNTIF($N$7:$N$200,$P8)&gt;0,$P8,"")</f>
      </c>
    </row>
    <row r="9">
      <c r="A9" s="200">
        <f>ROW()</f>
      </c>
      <c r="B9" s="200">
        <f>ISTEXT('Proyecto Datos (OKR´s)'!$K9)</f>
      </c>
      <c r="C9" s="200">
        <f>AND(LEN('Proyecto Datos (OKR´s)'!$G9)&gt;0,NOT($B9),OR(ISNUMBER('Proyecto Datos (OKR´s)'!$F9),ISNUMBER('Proyecto Datos (OKR´s)'!$L9)))</f>
      </c>
      <c r="D9" s="201">
        <f>IF($C9,IFERROR(LOOKUP(2,1/((ISTEXT('Proyecto Datos (OKR´s)'!$K$7:$K9))*(LEN('Proyecto Datos (OKR´s)'!$G$7:$G9)&gt;0)),'Proyecto Datos (OKR´s)'!$G$7:$G9),""),"")</f>
      </c>
      <c r="E9" s="200">
        <f>IF($C9,'Proyecto Datos (OKR´s)'!$E9,"")</f>
      </c>
      <c r="F9" s="201">
        <f>IF($C9,'Proyecto Datos (OKR´s)'!$G9,"")</f>
      </c>
      <c r="G9" s="201">
        <f>IF($C9,IF('Proyecto Datos (OKR´s)'!$I9="","(Sin asignar)",'Proyecto Datos (OKR´s)'!$I9),"")</f>
      </c>
      <c r="H9" s="200">
        <f>IF($C9,IF(ISNUMBER('Proyecto Datos (OKR´s)'!$F9),'Proyecto Datos (OKR´s)'!$F9,'Proyecto Datos (OKR´s)'!$L9),"")</f>
      </c>
      <c r="I9" s="200">
        <f>IF($C9,'Proyecto Datos (OKR´s)'!$J9,"")</f>
      </c>
      <c r="J9" s="201">
        <f>IF($C9,IF($I9&gt;=1,"Completado",IF($H9&lt;TODAY(),"Vencido",IF(($H9-TODAY())&lt;='Entregas Próximas'!$I$3,"Próximo a vencer","En curso"))),"")</f>
      </c>
      <c r="K9" s="200">
        <f>IF($C9,$H9-TODAY(),"")</f>
      </c>
      <c r="L9" s="200">
        <f>IF($C9,$N9*1000000+$H9+ROW()/100000,"")</f>
      </c>
      <c r="M9" s="200">
        <f>IF($C9,IF('Proyecto Datos (OKR´s)'!$E9="","(Sin sprint)",'Proyecto Datos (OKR´s)'!$E9),"")</f>
      </c>
      <c r="N9" s="200">
        <f>IF($C9,IF('Proyecto Datos (OKR´s)'!$E9="",9999,'Proyecto Datos (OKR´s)'!$E9),"")</f>
      </c>
      <c r="P9" s="200">
        <f>ROW()-6</f>
      </c>
      <c r="Q9" s="200">
        <f>IF(COUNTIF($N$7:$N$200,$P9)&gt;0,$P9,"")</f>
      </c>
    </row>
    <row r="10">
      <c r="A10" s="200">
        <f>ROW()</f>
      </c>
      <c r="B10" s="200">
        <f>ISTEXT('Proyecto Datos (OKR´s)'!$K10)</f>
      </c>
      <c r="C10" s="200">
        <f>AND(LEN('Proyecto Datos (OKR´s)'!$G10)&gt;0,NOT($B10),OR(ISNUMBER('Proyecto Datos (OKR´s)'!$F10),ISNUMBER('Proyecto Datos (OKR´s)'!$L10)))</f>
      </c>
      <c r="D10" s="201">
        <f>IF($C10,IFERROR(LOOKUP(2,1/((ISTEXT('Proyecto Datos (OKR´s)'!$K$7:$K10))*(LEN('Proyecto Datos (OKR´s)'!$G$7:$G10)&gt;0)),'Proyecto Datos (OKR´s)'!$G$7:$G10),""),"")</f>
      </c>
      <c r="E10" s="200">
        <f>IF($C10,'Proyecto Datos (OKR´s)'!$E10,"")</f>
      </c>
      <c r="F10" s="201">
        <f>IF($C10,'Proyecto Datos (OKR´s)'!$G10,"")</f>
      </c>
      <c r="G10" s="201">
        <f>IF($C10,IF('Proyecto Datos (OKR´s)'!$I10="","(Sin asignar)",'Proyecto Datos (OKR´s)'!$I10),"")</f>
      </c>
      <c r="H10" s="200">
        <f>IF($C10,IF(ISNUMBER('Proyecto Datos (OKR´s)'!$F10),'Proyecto Datos (OKR´s)'!$F10,'Proyecto Datos (OKR´s)'!$L10),"")</f>
      </c>
      <c r="I10" s="200">
        <f>IF($C10,'Proyecto Datos (OKR´s)'!$J10,"")</f>
      </c>
      <c r="J10" s="201">
        <f>IF($C10,IF($I10&gt;=1,"Completado",IF($H10&lt;TODAY(),"Vencido",IF(($H10-TODAY())&lt;='Entregas Próximas'!$I$3,"Próximo a vencer","En curso"))),"")</f>
      </c>
      <c r="K10" s="200">
        <f>IF($C10,$H10-TODAY(),"")</f>
      </c>
      <c r="L10" s="200">
        <f>IF($C10,$N10*1000000+$H10+ROW()/100000,"")</f>
      </c>
      <c r="M10" s="200">
        <f>IF($C10,IF('Proyecto Datos (OKR´s)'!$E10="","(Sin sprint)",'Proyecto Datos (OKR´s)'!$E10),"")</f>
      </c>
      <c r="N10" s="200">
        <f>IF($C10,IF('Proyecto Datos (OKR´s)'!$E10="",9999,'Proyecto Datos (OKR´s)'!$E10),"")</f>
      </c>
      <c r="P10" s="200">
        <f>ROW()-6</f>
      </c>
      <c r="Q10" s="200">
        <f>IF(COUNTIF($N$7:$N$200,$P10)&gt;0,$P10,"")</f>
      </c>
    </row>
    <row r="11">
      <c r="A11" s="200">
        <f>ROW()</f>
      </c>
      <c r="B11" s="200">
        <f>ISTEXT('Proyecto Datos (OKR´s)'!$K11)</f>
      </c>
      <c r="C11" s="200">
        <f>AND(LEN('Proyecto Datos (OKR´s)'!$G11)&gt;0,NOT($B11),OR(ISNUMBER('Proyecto Datos (OKR´s)'!$F11),ISNUMBER('Proyecto Datos (OKR´s)'!$L11)))</f>
      </c>
      <c r="D11" s="201">
        <f>IF($C11,IFERROR(LOOKUP(2,1/((ISTEXT('Proyecto Datos (OKR´s)'!$K$7:$K11))*(LEN('Proyecto Datos (OKR´s)'!$G$7:$G11)&gt;0)),'Proyecto Datos (OKR´s)'!$G$7:$G11),""),"")</f>
      </c>
      <c r="E11" s="200">
        <f>IF($C11,'Proyecto Datos (OKR´s)'!$E11,"")</f>
      </c>
      <c r="F11" s="201">
        <f>IF($C11,'Proyecto Datos (OKR´s)'!$G11,"")</f>
      </c>
      <c r="G11" s="201">
        <f>IF($C11,IF('Proyecto Datos (OKR´s)'!$I11="","(Sin asignar)",'Proyecto Datos (OKR´s)'!$I11),"")</f>
      </c>
      <c r="H11" s="200">
        <f>IF($C11,IF(ISNUMBER('Proyecto Datos (OKR´s)'!$F11),'Proyecto Datos (OKR´s)'!$F11,'Proyecto Datos (OKR´s)'!$L11),"")</f>
      </c>
      <c r="I11" s="200">
        <f>IF($C11,'Proyecto Datos (OKR´s)'!$J11,"")</f>
      </c>
      <c r="J11" s="201">
        <f>IF($C11,IF($I11&gt;=1,"Completado",IF($H11&lt;TODAY(),"Vencido",IF(($H11-TODAY())&lt;='Entregas Próximas'!$I$3,"Próximo a vencer","En curso"))),"")</f>
      </c>
      <c r="K11" s="200">
        <f>IF($C11,$H11-TODAY(),"")</f>
      </c>
      <c r="L11" s="200">
        <f>IF($C11,$N11*1000000+$H11+ROW()/100000,"")</f>
      </c>
      <c r="M11" s="200">
        <f>IF($C11,IF('Proyecto Datos (OKR´s)'!$E11="","(Sin sprint)",'Proyecto Datos (OKR´s)'!$E11),"")</f>
      </c>
      <c r="N11" s="200">
        <f>IF($C11,IF('Proyecto Datos (OKR´s)'!$E11="",9999,'Proyecto Datos (OKR´s)'!$E11),"")</f>
      </c>
      <c r="P11" s="200">
        <f>ROW()-6</f>
      </c>
      <c r="Q11" s="200">
        <f>IF(COUNTIF($N$7:$N$200,$P11)&gt;0,$P11,"")</f>
      </c>
    </row>
    <row r="12">
      <c r="A12" s="200">
        <f>ROW()</f>
      </c>
      <c r="B12" s="200">
        <f>ISTEXT('Proyecto Datos (OKR´s)'!$K12)</f>
      </c>
      <c r="C12" s="200">
        <f>AND(LEN('Proyecto Datos (OKR´s)'!$G12)&gt;0,NOT($B12),OR(ISNUMBER('Proyecto Datos (OKR´s)'!$F12),ISNUMBER('Proyecto Datos (OKR´s)'!$L12)))</f>
      </c>
      <c r="D12" s="201">
        <f>IF($C12,IFERROR(LOOKUP(2,1/((ISTEXT('Proyecto Datos (OKR´s)'!$K$7:$K12))*(LEN('Proyecto Datos (OKR´s)'!$G$7:$G12)&gt;0)),'Proyecto Datos (OKR´s)'!$G$7:$G12),""),"")</f>
      </c>
      <c r="E12" s="200">
        <f>IF($C12,'Proyecto Datos (OKR´s)'!$E12,"")</f>
      </c>
      <c r="F12" s="201">
        <f>IF($C12,'Proyecto Datos (OKR´s)'!$G12,"")</f>
      </c>
      <c r="G12" s="201">
        <f>IF($C12,IF('Proyecto Datos (OKR´s)'!$I12="","(Sin asignar)",'Proyecto Datos (OKR´s)'!$I12),"")</f>
      </c>
      <c r="H12" s="200">
        <f>IF($C12,IF(ISNUMBER('Proyecto Datos (OKR´s)'!$F12),'Proyecto Datos (OKR´s)'!$F12,'Proyecto Datos (OKR´s)'!$L12),"")</f>
      </c>
      <c r="I12" s="200">
        <f>IF($C12,'Proyecto Datos (OKR´s)'!$J12,"")</f>
      </c>
      <c r="J12" s="201">
        <f>IF($C12,IF($I12&gt;=1,"Completado",IF($H12&lt;TODAY(),"Vencido",IF(($H12-TODAY())&lt;='Entregas Próximas'!$I$3,"Próximo a vencer","En curso"))),"")</f>
      </c>
      <c r="K12" s="200">
        <f>IF($C12,$H12-TODAY(),"")</f>
      </c>
      <c r="L12" s="200">
        <f>IF($C12,$N12*1000000+$H12+ROW()/100000,"")</f>
      </c>
      <c r="M12" s="200">
        <f>IF($C12,IF('Proyecto Datos (OKR´s)'!$E12="","(Sin sprint)",'Proyecto Datos (OKR´s)'!$E12),"")</f>
      </c>
      <c r="N12" s="200">
        <f>IF($C12,IF('Proyecto Datos (OKR´s)'!$E12="",9999,'Proyecto Datos (OKR´s)'!$E12),"")</f>
      </c>
      <c r="P12" s="200">
        <f>ROW()-6</f>
      </c>
      <c r="Q12" s="200">
        <f>IF(COUNTIF($N$7:$N$200,$P12)&gt;0,$P12,"")</f>
      </c>
    </row>
    <row r="13">
      <c r="A13" s="200">
        <f>ROW()</f>
      </c>
      <c r="B13" s="200">
        <f>ISTEXT('Proyecto Datos (OKR´s)'!$K13)</f>
      </c>
      <c r="C13" s="200">
        <f>AND(LEN('Proyecto Datos (OKR´s)'!$G13)&gt;0,NOT($B13),OR(ISNUMBER('Proyecto Datos (OKR´s)'!$F13),ISNUMBER('Proyecto Datos (OKR´s)'!$L13)))</f>
      </c>
      <c r="D13" s="201">
        <f>IF($C13,IFERROR(LOOKUP(2,1/((ISTEXT('Proyecto Datos (OKR´s)'!$K$7:$K13))*(LEN('Proyecto Datos (OKR´s)'!$G$7:$G13)&gt;0)),'Proyecto Datos (OKR´s)'!$G$7:$G13),""),"")</f>
      </c>
      <c r="E13" s="200">
        <f>IF($C13,'Proyecto Datos (OKR´s)'!$E13,"")</f>
      </c>
      <c r="F13" s="201">
        <f>IF($C13,'Proyecto Datos (OKR´s)'!$G13,"")</f>
      </c>
      <c r="G13" s="201">
        <f>IF($C13,IF('Proyecto Datos (OKR´s)'!$I13="","(Sin asignar)",'Proyecto Datos (OKR´s)'!$I13),"")</f>
      </c>
      <c r="H13" s="200">
        <f>IF($C13,IF(ISNUMBER('Proyecto Datos (OKR´s)'!$F13),'Proyecto Datos (OKR´s)'!$F13,'Proyecto Datos (OKR´s)'!$L13),"")</f>
      </c>
      <c r="I13" s="200">
        <f>IF($C13,'Proyecto Datos (OKR´s)'!$J13,"")</f>
      </c>
      <c r="J13" s="201">
        <f>IF($C13,IF($I13&gt;=1,"Completado",IF($H13&lt;TODAY(),"Vencido",IF(($H13-TODAY())&lt;='Entregas Próximas'!$I$3,"Próximo a vencer","En curso"))),"")</f>
      </c>
      <c r="K13" s="200">
        <f>IF($C13,$H13-TODAY(),"")</f>
      </c>
      <c r="L13" s="200">
        <f>IF($C13,$N13*1000000+$H13+ROW()/100000,"")</f>
      </c>
      <c r="M13" s="200">
        <f>IF($C13,IF('Proyecto Datos (OKR´s)'!$E13="","(Sin sprint)",'Proyecto Datos (OKR´s)'!$E13),"")</f>
      </c>
      <c r="N13" s="200">
        <f>IF($C13,IF('Proyecto Datos (OKR´s)'!$E13="",9999,'Proyecto Datos (OKR´s)'!$E13),"")</f>
      </c>
      <c r="P13" s="200">
        <f>ROW()-6</f>
      </c>
      <c r="Q13" s="200">
        <f>IF(COUNTIF($N$7:$N$200,$P13)&gt;0,$P13,"")</f>
      </c>
    </row>
    <row r="14">
      <c r="A14" s="200">
        <f>ROW()</f>
      </c>
      <c r="B14" s="200">
        <f>ISTEXT('Proyecto Datos (OKR´s)'!$K14)</f>
      </c>
      <c r="C14" s="200">
        <f>AND(LEN('Proyecto Datos (OKR´s)'!$G14)&gt;0,NOT($B14),OR(ISNUMBER('Proyecto Datos (OKR´s)'!$F14),ISNUMBER('Proyecto Datos (OKR´s)'!$L14)))</f>
      </c>
      <c r="D14" s="201">
        <f>IF($C14,IFERROR(LOOKUP(2,1/((ISTEXT('Proyecto Datos (OKR´s)'!$K$7:$K14))*(LEN('Proyecto Datos (OKR´s)'!$G$7:$G14)&gt;0)),'Proyecto Datos (OKR´s)'!$G$7:$G14),""),"")</f>
      </c>
      <c r="E14" s="200">
        <f>IF($C14,'Proyecto Datos (OKR´s)'!$E14,"")</f>
      </c>
      <c r="F14" s="201">
        <f>IF($C14,'Proyecto Datos (OKR´s)'!$G14,"")</f>
      </c>
      <c r="G14" s="201">
        <f>IF($C14,IF('Proyecto Datos (OKR´s)'!$I14="","(Sin asignar)",'Proyecto Datos (OKR´s)'!$I14),"")</f>
      </c>
      <c r="H14" s="200">
        <f>IF($C14,IF(ISNUMBER('Proyecto Datos (OKR´s)'!$F14),'Proyecto Datos (OKR´s)'!$F14,'Proyecto Datos (OKR´s)'!$L14),"")</f>
      </c>
      <c r="I14" s="200">
        <f>IF($C14,'Proyecto Datos (OKR´s)'!$J14,"")</f>
      </c>
      <c r="J14" s="201">
        <f>IF($C14,IF($I14&gt;=1,"Completado",IF($H14&lt;TODAY(),"Vencido",IF(($H14-TODAY())&lt;='Entregas Próximas'!$I$3,"Próximo a vencer","En curso"))),"")</f>
      </c>
      <c r="K14" s="200">
        <f>IF($C14,$H14-TODAY(),"")</f>
      </c>
      <c r="L14" s="200">
        <f>IF($C14,$N14*1000000+$H14+ROW()/100000,"")</f>
      </c>
      <c r="M14" s="200">
        <f>IF($C14,IF('Proyecto Datos (OKR´s)'!$E14="","(Sin sprint)",'Proyecto Datos (OKR´s)'!$E14),"")</f>
      </c>
      <c r="N14" s="200">
        <f>IF($C14,IF('Proyecto Datos (OKR´s)'!$E14="",9999,'Proyecto Datos (OKR´s)'!$E14),"")</f>
      </c>
      <c r="P14" s="200">
        <f>ROW()-6</f>
      </c>
      <c r="Q14" s="200">
        <f>IF(COUNTIF($N$7:$N$200,$P14)&gt;0,$P14,"")</f>
      </c>
    </row>
    <row r="15">
      <c r="A15" s="200">
        <f>ROW()</f>
      </c>
      <c r="B15" s="200">
        <f>ISTEXT('Proyecto Datos (OKR´s)'!$K15)</f>
      </c>
      <c r="C15" s="200">
        <f>AND(LEN('Proyecto Datos (OKR´s)'!$G15)&gt;0,NOT($B15),OR(ISNUMBER('Proyecto Datos (OKR´s)'!$F15),ISNUMBER('Proyecto Datos (OKR´s)'!$L15)))</f>
      </c>
      <c r="D15" s="201">
        <f>IF($C15,IFERROR(LOOKUP(2,1/((ISTEXT('Proyecto Datos (OKR´s)'!$K$7:$K15))*(LEN('Proyecto Datos (OKR´s)'!$G$7:$G15)&gt;0)),'Proyecto Datos (OKR´s)'!$G$7:$G15),""),"")</f>
      </c>
      <c r="E15" s="200">
        <f>IF($C15,'Proyecto Datos (OKR´s)'!$E15,"")</f>
      </c>
      <c r="F15" s="201">
        <f>IF($C15,'Proyecto Datos (OKR´s)'!$G15,"")</f>
      </c>
      <c r="G15" s="201">
        <f>IF($C15,IF('Proyecto Datos (OKR´s)'!$I15="","(Sin asignar)",'Proyecto Datos (OKR´s)'!$I15),"")</f>
      </c>
      <c r="H15" s="200">
        <f>IF($C15,IF(ISNUMBER('Proyecto Datos (OKR´s)'!$F15),'Proyecto Datos (OKR´s)'!$F15,'Proyecto Datos (OKR´s)'!$L15),"")</f>
      </c>
      <c r="I15" s="200">
        <f>IF($C15,'Proyecto Datos (OKR´s)'!$J15,"")</f>
      </c>
      <c r="J15" s="201">
        <f>IF($C15,IF($I15&gt;=1,"Completado",IF($H15&lt;TODAY(),"Vencido",IF(($H15-TODAY())&lt;='Entregas Próximas'!$I$3,"Próximo a vencer","En curso"))),"")</f>
      </c>
      <c r="K15" s="200">
        <f>IF($C15,$H15-TODAY(),"")</f>
      </c>
      <c r="L15" s="200">
        <f>IF($C15,$N15*1000000+$H15+ROW()/100000,"")</f>
      </c>
      <c r="M15" s="200">
        <f>IF($C15,IF('Proyecto Datos (OKR´s)'!$E15="","(Sin sprint)",'Proyecto Datos (OKR´s)'!$E15),"")</f>
      </c>
      <c r="N15" s="200">
        <f>IF($C15,IF('Proyecto Datos (OKR´s)'!$E15="",9999,'Proyecto Datos (OKR´s)'!$E15),"")</f>
      </c>
      <c r="P15" s="200">
        <f>ROW()-6</f>
      </c>
      <c r="Q15" s="200">
        <f>IF(COUNTIF($N$7:$N$200,$P15)&gt;0,$P15,"")</f>
      </c>
    </row>
    <row r="16">
      <c r="A16" s="200">
        <f>ROW()</f>
      </c>
      <c r="B16" s="200">
        <f>ISTEXT('Proyecto Datos (OKR´s)'!$K16)</f>
      </c>
      <c r="C16" s="200">
        <f>AND(LEN('Proyecto Datos (OKR´s)'!$G16)&gt;0,NOT($B16),OR(ISNUMBER('Proyecto Datos (OKR´s)'!$F16),ISNUMBER('Proyecto Datos (OKR´s)'!$L16)))</f>
      </c>
      <c r="D16" s="201">
        <f>IF($C16,IFERROR(LOOKUP(2,1/((ISTEXT('Proyecto Datos (OKR´s)'!$K$7:$K16))*(LEN('Proyecto Datos (OKR´s)'!$G$7:$G16)&gt;0)),'Proyecto Datos (OKR´s)'!$G$7:$G16),""),"")</f>
      </c>
      <c r="E16" s="200">
        <f>IF($C16,'Proyecto Datos (OKR´s)'!$E16,"")</f>
      </c>
      <c r="F16" s="201">
        <f>IF($C16,'Proyecto Datos (OKR´s)'!$G16,"")</f>
      </c>
      <c r="G16" s="201">
        <f>IF($C16,IF('Proyecto Datos (OKR´s)'!$I16="","(Sin asignar)",'Proyecto Datos (OKR´s)'!$I16),"")</f>
      </c>
      <c r="H16" s="200">
        <f>IF($C16,IF(ISNUMBER('Proyecto Datos (OKR´s)'!$F16),'Proyecto Datos (OKR´s)'!$F16,'Proyecto Datos (OKR´s)'!$L16),"")</f>
      </c>
      <c r="I16" s="200">
        <f>IF($C16,'Proyecto Datos (OKR´s)'!$J16,"")</f>
      </c>
      <c r="J16" s="201">
        <f>IF($C16,IF($I16&gt;=1,"Completado",IF($H16&lt;TODAY(),"Vencido",IF(($H16-TODAY())&lt;='Entregas Próximas'!$I$3,"Próximo a vencer","En curso"))),"")</f>
      </c>
      <c r="K16" s="200">
        <f>IF($C16,$H16-TODAY(),"")</f>
      </c>
      <c r="L16" s="200">
        <f>IF($C16,$N16*1000000+$H16+ROW()/100000,"")</f>
      </c>
      <c r="M16" s="200">
        <f>IF($C16,IF('Proyecto Datos (OKR´s)'!$E16="","(Sin sprint)",'Proyecto Datos (OKR´s)'!$E16),"")</f>
      </c>
      <c r="N16" s="200">
        <f>IF($C16,IF('Proyecto Datos (OKR´s)'!$E16="",9999,'Proyecto Datos (OKR´s)'!$E16),"")</f>
      </c>
      <c r="P16" s="200">
        <f>ROW()-6</f>
      </c>
      <c r="Q16" s="200">
        <f>IF(COUNTIF($N$7:$N$200,$P16)&gt;0,$P16,"")</f>
      </c>
    </row>
    <row r="17">
      <c r="A17" s="200">
        <f>ROW()</f>
      </c>
      <c r="B17" s="200">
        <f>ISTEXT('Proyecto Datos (OKR´s)'!$K17)</f>
      </c>
      <c r="C17" s="200">
        <f>AND(LEN('Proyecto Datos (OKR´s)'!$G17)&gt;0,NOT($B17),OR(ISNUMBER('Proyecto Datos (OKR´s)'!$F17),ISNUMBER('Proyecto Datos (OKR´s)'!$L17)))</f>
      </c>
      <c r="D17" s="201">
        <f>IF($C17,IFERROR(LOOKUP(2,1/((ISTEXT('Proyecto Datos (OKR´s)'!$K$7:$K17))*(LEN('Proyecto Datos (OKR´s)'!$G$7:$G17)&gt;0)),'Proyecto Datos (OKR´s)'!$G$7:$G17),""),"")</f>
      </c>
      <c r="E17" s="200">
        <f>IF($C17,'Proyecto Datos (OKR´s)'!$E17,"")</f>
      </c>
      <c r="F17" s="201">
        <f>IF($C17,'Proyecto Datos (OKR´s)'!$G17,"")</f>
      </c>
      <c r="G17" s="201">
        <f>IF($C17,IF('Proyecto Datos (OKR´s)'!$I17="","(Sin asignar)",'Proyecto Datos (OKR´s)'!$I17),"")</f>
      </c>
      <c r="H17" s="200">
        <f>IF($C17,IF(ISNUMBER('Proyecto Datos (OKR´s)'!$F17),'Proyecto Datos (OKR´s)'!$F17,'Proyecto Datos (OKR´s)'!$L17),"")</f>
      </c>
      <c r="I17" s="200">
        <f>IF($C17,'Proyecto Datos (OKR´s)'!$J17,"")</f>
      </c>
      <c r="J17" s="201">
        <f>IF($C17,IF($I17&gt;=1,"Completado",IF($H17&lt;TODAY(),"Vencido",IF(($H17-TODAY())&lt;='Entregas Próximas'!$I$3,"Próximo a vencer","En curso"))),"")</f>
      </c>
      <c r="K17" s="200">
        <f>IF($C17,$H17-TODAY(),"")</f>
      </c>
      <c r="L17" s="200">
        <f>IF($C17,$N17*1000000+$H17+ROW()/100000,"")</f>
      </c>
      <c r="M17" s="200">
        <f>IF($C17,IF('Proyecto Datos (OKR´s)'!$E17="","(Sin sprint)",'Proyecto Datos (OKR´s)'!$E17),"")</f>
      </c>
      <c r="N17" s="200">
        <f>IF($C17,IF('Proyecto Datos (OKR´s)'!$E17="",9999,'Proyecto Datos (OKR´s)'!$E17),"")</f>
      </c>
      <c r="P17" s="200">
        <f>ROW()-6</f>
      </c>
      <c r="Q17" s="200">
        <f>IF(COUNTIF($N$7:$N$200,$P17)&gt;0,$P17,"")</f>
      </c>
    </row>
    <row r="18">
      <c r="A18" s="200">
        <f>ROW()</f>
      </c>
      <c r="B18" s="200">
        <f>ISTEXT('Proyecto Datos (OKR´s)'!$K18)</f>
      </c>
      <c r="C18" s="200">
        <f>AND(LEN('Proyecto Datos (OKR´s)'!$G18)&gt;0,NOT($B18),OR(ISNUMBER('Proyecto Datos (OKR´s)'!$F18),ISNUMBER('Proyecto Datos (OKR´s)'!$L18)))</f>
      </c>
      <c r="D18" s="201">
        <f>IF($C18,IFERROR(LOOKUP(2,1/((ISTEXT('Proyecto Datos (OKR´s)'!$K$7:$K18))*(LEN('Proyecto Datos (OKR´s)'!$G$7:$G18)&gt;0)),'Proyecto Datos (OKR´s)'!$G$7:$G18),""),"")</f>
      </c>
      <c r="E18" s="200">
        <f>IF($C18,'Proyecto Datos (OKR´s)'!$E18,"")</f>
      </c>
      <c r="F18" s="201">
        <f>IF($C18,'Proyecto Datos (OKR´s)'!$G18,"")</f>
      </c>
      <c r="G18" s="201">
        <f>IF($C18,IF('Proyecto Datos (OKR´s)'!$I18="","(Sin asignar)",'Proyecto Datos (OKR´s)'!$I18),"")</f>
      </c>
      <c r="H18" s="200">
        <f>IF($C18,IF(ISNUMBER('Proyecto Datos (OKR´s)'!$F18),'Proyecto Datos (OKR´s)'!$F18,'Proyecto Datos (OKR´s)'!$L18),"")</f>
      </c>
      <c r="I18" s="200">
        <f>IF($C18,'Proyecto Datos (OKR´s)'!$J18,"")</f>
      </c>
      <c r="J18" s="201">
        <f>IF($C18,IF($I18&gt;=1,"Completado",IF($H18&lt;TODAY(),"Vencido",IF(($H18-TODAY())&lt;='Entregas Próximas'!$I$3,"Próximo a vencer","En curso"))),"")</f>
      </c>
      <c r="K18" s="200">
        <f>IF($C18,$H18-TODAY(),"")</f>
      </c>
      <c r="L18" s="200">
        <f>IF($C18,$N18*1000000+$H18+ROW()/100000,"")</f>
      </c>
      <c r="M18" s="200">
        <f>IF($C18,IF('Proyecto Datos (OKR´s)'!$E18="","(Sin sprint)",'Proyecto Datos (OKR´s)'!$E18),"")</f>
      </c>
      <c r="N18" s="200">
        <f>IF($C18,IF('Proyecto Datos (OKR´s)'!$E18="",9999,'Proyecto Datos (OKR´s)'!$E18),"")</f>
      </c>
      <c r="P18" s="200">
        <f>ROW()-6</f>
      </c>
      <c r="Q18" s="200">
        <f>IF(COUNTIF($N$7:$N$200,$P18)&gt;0,$P18,"")</f>
      </c>
    </row>
    <row r="19">
      <c r="A19" s="200">
        <f>ROW()</f>
      </c>
      <c r="B19" s="200">
        <f>ISTEXT('Proyecto Datos (OKR´s)'!$K19)</f>
      </c>
      <c r="C19" s="200">
        <f>AND(LEN('Proyecto Datos (OKR´s)'!$G19)&gt;0,NOT($B19),OR(ISNUMBER('Proyecto Datos (OKR´s)'!$F19),ISNUMBER('Proyecto Datos (OKR´s)'!$L19)))</f>
      </c>
      <c r="D19" s="201">
        <f>IF($C19,IFERROR(LOOKUP(2,1/((ISTEXT('Proyecto Datos (OKR´s)'!$K$7:$K19))*(LEN('Proyecto Datos (OKR´s)'!$G$7:$G19)&gt;0)),'Proyecto Datos (OKR´s)'!$G$7:$G19),""),"")</f>
      </c>
      <c r="E19" s="200">
        <f>IF($C19,'Proyecto Datos (OKR´s)'!$E19,"")</f>
      </c>
      <c r="F19" s="201">
        <f>IF($C19,'Proyecto Datos (OKR´s)'!$G19,"")</f>
      </c>
      <c r="G19" s="201">
        <f>IF($C19,IF('Proyecto Datos (OKR´s)'!$I19="","(Sin asignar)",'Proyecto Datos (OKR´s)'!$I19),"")</f>
      </c>
      <c r="H19" s="200">
        <f>IF($C19,IF(ISNUMBER('Proyecto Datos (OKR´s)'!$F19),'Proyecto Datos (OKR´s)'!$F19,'Proyecto Datos (OKR´s)'!$L19),"")</f>
      </c>
      <c r="I19" s="200">
        <f>IF($C19,'Proyecto Datos (OKR´s)'!$J19,"")</f>
      </c>
      <c r="J19" s="201">
        <f>IF($C19,IF($I19&gt;=1,"Completado",IF($H19&lt;TODAY(),"Vencido",IF(($H19-TODAY())&lt;='Entregas Próximas'!$I$3,"Próximo a vencer","En curso"))),"")</f>
      </c>
      <c r="K19" s="200">
        <f>IF($C19,$H19-TODAY(),"")</f>
      </c>
      <c r="L19" s="200">
        <f>IF($C19,$N19*1000000+$H19+ROW()/100000,"")</f>
      </c>
      <c r="M19" s="200">
        <f>IF($C19,IF('Proyecto Datos (OKR´s)'!$E19="","(Sin sprint)",'Proyecto Datos (OKR´s)'!$E19),"")</f>
      </c>
      <c r="N19" s="200">
        <f>IF($C19,IF('Proyecto Datos (OKR´s)'!$E19="",9999,'Proyecto Datos (OKR´s)'!$E19),"")</f>
      </c>
      <c r="P19" s="200">
        <f>ROW()-6</f>
      </c>
      <c r="Q19" s="200">
        <f>IF(COUNTIF($N$7:$N$200,$P19)&gt;0,$P19,"")</f>
      </c>
    </row>
    <row r="20">
      <c r="A20" s="200">
        <f>ROW()</f>
      </c>
      <c r="B20" s="200">
        <f>ISTEXT('Proyecto Datos (OKR´s)'!$K20)</f>
      </c>
      <c r="C20" s="200">
        <f>AND(LEN('Proyecto Datos (OKR´s)'!$G20)&gt;0,NOT($B20),OR(ISNUMBER('Proyecto Datos (OKR´s)'!$F20),ISNUMBER('Proyecto Datos (OKR´s)'!$L20)))</f>
      </c>
      <c r="D20" s="201">
        <f>IF($C20,IFERROR(LOOKUP(2,1/((ISTEXT('Proyecto Datos (OKR´s)'!$K$7:$K20))*(LEN('Proyecto Datos (OKR´s)'!$G$7:$G20)&gt;0)),'Proyecto Datos (OKR´s)'!$G$7:$G20),""),"")</f>
      </c>
      <c r="E20" s="200">
        <f>IF($C20,'Proyecto Datos (OKR´s)'!$E20,"")</f>
      </c>
      <c r="F20" s="201">
        <f>IF($C20,'Proyecto Datos (OKR´s)'!$G20,"")</f>
      </c>
      <c r="G20" s="201">
        <f>IF($C20,IF('Proyecto Datos (OKR´s)'!$I20="","(Sin asignar)",'Proyecto Datos (OKR´s)'!$I20),"")</f>
      </c>
      <c r="H20" s="200">
        <f>IF($C20,IF(ISNUMBER('Proyecto Datos (OKR´s)'!$F20),'Proyecto Datos (OKR´s)'!$F20,'Proyecto Datos (OKR´s)'!$L20),"")</f>
      </c>
      <c r="I20" s="200">
        <f>IF($C20,'Proyecto Datos (OKR´s)'!$J20,"")</f>
      </c>
      <c r="J20" s="201">
        <f>IF($C20,IF($I20&gt;=1,"Completado",IF($H20&lt;TODAY(),"Vencido",IF(($H20-TODAY())&lt;='Entregas Próximas'!$I$3,"Próximo a vencer","En curso"))),"")</f>
      </c>
      <c r="K20" s="200">
        <f>IF($C20,$H20-TODAY(),"")</f>
      </c>
      <c r="L20" s="200">
        <f>IF($C20,$N20*1000000+$H20+ROW()/100000,"")</f>
      </c>
      <c r="M20" s="200">
        <f>IF($C20,IF('Proyecto Datos (OKR´s)'!$E20="","(Sin sprint)",'Proyecto Datos (OKR´s)'!$E20),"")</f>
      </c>
      <c r="N20" s="200">
        <f>IF($C20,IF('Proyecto Datos (OKR´s)'!$E20="",9999,'Proyecto Datos (OKR´s)'!$E20),"")</f>
      </c>
      <c r="P20" s="200">
        <f>ROW()-6</f>
      </c>
      <c r="Q20" s="200">
        <f>IF(COUNTIF($N$7:$N$200,$P20)&gt;0,$P20,"")</f>
      </c>
    </row>
    <row r="21">
      <c r="A21" s="200">
        <f>ROW()</f>
      </c>
      <c r="B21" s="200">
        <f>ISTEXT('Proyecto Datos (OKR´s)'!$K21)</f>
      </c>
      <c r="C21" s="200">
        <f>AND(LEN('Proyecto Datos (OKR´s)'!$G21)&gt;0,NOT($B21),OR(ISNUMBER('Proyecto Datos (OKR´s)'!$F21),ISNUMBER('Proyecto Datos (OKR´s)'!$L21)))</f>
      </c>
      <c r="D21" s="201">
        <f>IF($C21,IFERROR(LOOKUP(2,1/((ISTEXT('Proyecto Datos (OKR´s)'!$K$7:$K21))*(LEN('Proyecto Datos (OKR´s)'!$G$7:$G21)&gt;0)),'Proyecto Datos (OKR´s)'!$G$7:$G21),""),"")</f>
      </c>
      <c r="E21" s="200">
        <f>IF($C21,'Proyecto Datos (OKR´s)'!$E21,"")</f>
      </c>
      <c r="F21" s="201">
        <f>IF($C21,'Proyecto Datos (OKR´s)'!$G21,"")</f>
      </c>
      <c r="G21" s="201">
        <f>IF($C21,IF('Proyecto Datos (OKR´s)'!$I21="","(Sin asignar)",'Proyecto Datos (OKR´s)'!$I21),"")</f>
      </c>
      <c r="H21" s="200">
        <f>IF($C21,IF(ISNUMBER('Proyecto Datos (OKR´s)'!$F21),'Proyecto Datos (OKR´s)'!$F21,'Proyecto Datos (OKR´s)'!$L21),"")</f>
      </c>
      <c r="I21" s="200">
        <f>IF($C21,'Proyecto Datos (OKR´s)'!$J21,"")</f>
      </c>
      <c r="J21" s="201">
        <f>IF($C21,IF($I21&gt;=1,"Completado",IF($H21&lt;TODAY(),"Vencido",IF(($H21-TODAY())&lt;='Entregas Próximas'!$I$3,"Próximo a vencer","En curso"))),"")</f>
      </c>
      <c r="K21" s="200">
        <f>IF($C21,$H21-TODAY(),"")</f>
      </c>
      <c r="L21" s="200">
        <f>IF($C21,$N21*1000000+$H21+ROW()/100000,"")</f>
      </c>
      <c r="M21" s="200">
        <f>IF($C21,IF('Proyecto Datos (OKR´s)'!$E21="","(Sin sprint)",'Proyecto Datos (OKR´s)'!$E21),"")</f>
      </c>
      <c r="N21" s="200">
        <f>IF($C21,IF('Proyecto Datos (OKR´s)'!$E21="",9999,'Proyecto Datos (OKR´s)'!$E21),"")</f>
      </c>
      <c r="P21" s="200">
        <f>ROW()-6</f>
      </c>
      <c r="Q21" s="200">
        <f>IF(COUNTIF($N$7:$N$200,$P21)&gt;0,$P21,"")</f>
      </c>
    </row>
    <row r="22">
      <c r="A22" s="200">
        <f>ROW()</f>
      </c>
      <c r="B22" s="200">
        <f>ISTEXT('Proyecto Datos (OKR´s)'!$K22)</f>
      </c>
      <c r="C22" s="200">
        <f>AND(LEN('Proyecto Datos (OKR´s)'!$G22)&gt;0,NOT($B22),OR(ISNUMBER('Proyecto Datos (OKR´s)'!$F22),ISNUMBER('Proyecto Datos (OKR´s)'!$L22)))</f>
      </c>
      <c r="D22" s="201">
        <f>IF($C22,IFERROR(LOOKUP(2,1/((ISTEXT('Proyecto Datos (OKR´s)'!$K$7:$K22))*(LEN('Proyecto Datos (OKR´s)'!$G$7:$G22)&gt;0)),'Proyecto Datos (OKR´s)'!$G$7:$G22),""),"")</f>
      </c>
      <c r="E22" s="200">
        <f>IF($C22,'Proyecto Datos (OKR´s)'!$E22,"")</f>
      </c>
      <c r="F22" s="201">
        <f>IF($C22,'Proyecto Datos (OKR´s)'!$G22,"")</f>
      </c>
      <c r="G22" s="201">
        <f>IF($C22,IF('Proyecto Datos (OKR´s)'!$I22="","(Sin asignar)",'Proyecto Datos (OKR´s)'!$I22),"")</f>
      </c>
      <c r="H22" s="200">
        <f>IF($C22,IF(ISNUMBER('Proyecto Datos (OKR´s)'!$F22),'Proyecto Datos (OKR´s)'!$F22,'Proyecto Datos (OKR´s)'!$L22),"")</f>
      </c>
      <c r="I22" s="200">
        <f>IF($C22,'Proyecto Datos (OKR´s)'!$J22,"")</f>
      </c>
      <c r="J22" s="201">
        <f>IF($C22,IF($I22&gt;=1,"Completado",IF($H22&lt;TODAY(),"Vencido",IF(($H22-TODAY())&lt;='Entregas Próximas'!$I$3,"Próximo a vencer","En curso"))),"")</f>
      </c>
      <c r="K22" s="200">
        <f>IF($C22,$H22-TODAY(),"")</f>
      </c>
      <c r="L22" s="200">
        <f>IF($C22,$N22*1000000+$H22+ROW()/100000,"")</f>
      </c>
      <c r="M22" s="200">
        <f>IF($C22,IF('Proyecto Datos (OKR´s)'!$E22="","(Sin sprint)",'Proyecto Datos (OKR´s)'!$E22),"")</f>
      </c>
      <c r="N22" s="200">
        <f>IF($C22,IF('Proyecto Datos (OKR´s)'!$E22="",9999,'Proyecto Datos (OKR´s)'!$E22),"")</f>
      </c>
      <c r="P22" s="200">
        <f>ROW()-6</f>
      </c>
      <c r="Q22" s="200">
        <f>IF(COUNTIF($N$7:$N$200,$P22)&gt;0,$P22,"")</f>
      </c>
    </row>
    <row r="23">
      <c r="A23" s="200">
        <f>ROW()</f>
      </c>
      <c r="B23" s="200">
        <f>ISTEXT('Proyecto Datos (OKR´s)'!$K23)</f>
      </c>
      <c r="C23" s="200">
        <f>AND(LEN('Proyecto Datos (OKR´s)'!$G23)&gt;0,NOT($B23),OR(ISNUMBER('Proyecto Datos (OKR´s)'!$F23),ISNUMBER('Proyecto Datos (OKR´s)'!$L23)))</f>
      </c>
      <c r="D23" s="201">
        <f>IF($C23,IFERROR(LOOKUP(2,1/((ISTEXT('Proyecto Datos (OKR´s)'!$K$7:$K23))*(LEN('Proyecto Datos (OKR´s)'!$G$7:$G23)&gt;0)),'Proyecto Datos (OKR´s)'!$G$7:$G23),""),"")</f>
      </c>
      <c r="E23" s="200">
        <f>IF($C23,'Proyecto Datos (OKR´s)'!$E23,"")</f>
      </c>
      <c r="F23" s="201">
        <f>IF($C23,'Proyecto Datos (OKR´s)'!$G23,"")</f>
      </c>
      <c r="G23" s="201">
        <f>IF($C23,IF('Proyecto Datos (OKR´s)'!$I23="","(Sin asignar)",'Proyecto Datos (OKR´s)'!$I23),"")</f>
      </c>
      <c r="H23" s="200">
        <f>IF($C23,IF(ISNUMBER('Proyecto Datos (OKR´s)'!$F23),'Proyecto Datos (OKR´s)'!$F23,'Proyecto Datos (OKR´s)'!$L23),"")</f>
      </c>
      <c r="I23" s="200">
        <f>IF($C23,'Proyecto Datos (OKR´s)'!$J23,"")</f>
      </c>
      <c r="J23" s="201">
        <f>IF($C23,IF($I23&gt;=1,"Completado",IF($H23&lt;TODAY(),"Vencido",IF(($H23-TODAY())&lt;='Entregas Próximas'!$I$3,"Próximo a vencer","En curso"))),"")</f>
      </c>
      <c r="K23" s="200">
        <f>IF($C23,$H23-TODAY(),"")</f>
      </c>
      <c r="L23" s="200">
        <f>IF($C23,$N23*1000000+$H23+ROW()/100000,"")</f>
      </c>
      <c r="M23" s="200">
        <f>IF($C23,IF('Proyecto Datos (OKR´s)'!$E23="","(Sin sprint)",'Proyecto Datos (OKR´s)'!$E23),"")</f>
      </c>
      <c r="N23" s="200">
        <f>IF($C23,IF('Proyecto Datos (OKR´s)'!$E23="",9999,'Proyecto Datos (OKR´s)'!$E23),"")</f>
      </c>
      <c r="P23" s="200">
        <f>ROW()-6</f>
      </c>
      <c r="Q23" s="200">
        <f>IF(COUNTIF($N$7:$N$200,$P23)&gt;0,$P23,"")</f>
      </c>
    </row>
    <row r="24">
      <c r="A24" s="200">
        <f>ROW()</f>
      </c>
      <c r="B24" s="200">
        <f>ISTEXT('Proyecto Datos (OKR´s)'!$K24)</f>
      </c>
      <c r="C24" s="200">
        <f>AND(LEN('Proyecto Datos (OKR´s)'!$G24)&gt;0,NOT($B24),OR(ISNUMBER('Proyecto Datos (OKR´s)'!$F24),ISNUMBER('Proyecto Datos (OKR´s)'!$L24)))</f>
      </c>
      <c r="D24" s="201">
        <f>IF($C24,IFERROR(LOOKUP(2,1/((ISTEXT('Proyecto Datos (OKR´s)'!$K$7:$K24))*(LEN('Proyecto Datos (OKR´s)'!$G$7:$G24)&gt;0)),'Proyecto Datos (OKR´s)'!$G$7:$G24),""),"")</f>
      </c>
      <c r="E24" s="200">
        <f>IF($C24,'Proyecto Datos (OKR´s)'!$E24,"")</f>
      </c>
      <c r="F24" s="201">
        <f>IF($C24,'Proyecto Datos (OKR´s)'!$G24,"")</f>
      </c>
      <c r="G24" s="201">
        <f>IF($C24,IF('Proyecto Datos (OKR´s)'!$I24="","(Sin asignar)",'Proyecto Datos (OKR´s)'!$I24),"")</f>
      </c>
      <c r="H24" s="200">
        <f>IF($C24,IF(ISNUMBER('Proyecto Datos (OKR´s)'!$F24),'Proyecto Datos (OKR´s)'!$F24,'Proyecto Datos (OKR´s)'!$L24),"")</f>
      </c>
      <c r="I24" s="200">
        <f>IF($C24,'Proyecto Datos (OKR´s)'!$J24,"")</f>
      </c>
      <c r="J24" s="201">
        <f>IF($C24,IF($I24&gt;=1,"Completado",IF($H24&lt;TODAY(),"Vencido",IF(($H24-TODAY())&lt;='Entregas Próximas'!$I$3,"Próximo a vencer","En curso"))),"")</f>
      </c>
      <c r="K24" s="200">
        <f>IF($C24,$H24-TODAY(),"")</f>
      </c>
      <c r="L24" s="200">
        <f>IF($C24,$N24*1000000+$H24+ROW()/100000,"")</f>
      </c>
      <c r="M24" s="200">
        <f>IF($C24,IF('Proyecto Datos (OKR´s)'!$E24="","(Sin sprint)",'Proyecto Datos (OKR´s)'!$E24),"")</f>
      </c>
      <c r="N24" s="200">
        <f>IF($C24,IF('Proyecto Datos (OKR´s)'!$E24="",9999,'Proyecto Datos (OKR´s)'!$E24),"")</f>
      </c>
      <c r="P24" s="200">
        <f>ROW()-6</f>
      </c>
      <c r="Q24" s="200">
        <f>IF(COUNTIF($N$7:$N$200,$P24)&gt;0,$P24,"")</f>
      </c>
    </row>
    <row r="25">
      <c r="A25" s="200">
        <f>ROW()</f>
      </c>
      <c r="B25" s="200">
        <f>ISTEXT('Proyecto Datos (OKR´s)'!$K25)</f>
      </c>
      <c r="C25" s="200">
        <f>AND(LEN('Proyecto Datos (OKR´s)'!$G25)&gt;0,NOT($B25),OR(ISNUMBER('Proyecto Datos (OKR´s)'!$F25),ISNUMBER('Proyecto Datos (OKR´s)'!$L25)))</f>
      </c>
      <c r="D25" s="201">
        <f>IF($C25,IFERROR(LOOKUP(2,1/((ISTEXT('Proyecto Datos (OKR´s)'!$K$7:$K25))*(LEN('Proyecto Datos (OKR´s)'!$G$7:$G25)&gt;0)),'Proyecto Datos (OKR´s)'!$G$7:$G25),""),"")</f>
      </c>
      <c r="E25" s="200">
        <f>IF($C25,'Proyecto Datos (OKR´s)'!$E25,"")</f>
      </c>
      <c r="F25" s="201">
        <f>IF($C25,'Proyecto Datos (OKR´s)'!$G25,"")</f>
      </c>
      <c r="G25" s="201">
        <f>IF($C25,IF('Proyecto Datos (OKR´s)'!$I25="","(Sin asignar)",'Proyecto Datos (OKR´s)'!$I25),"")</f>
      </c>
      <c r="H25" s="200">
        <f>IF($C25,IF(ISNUMBER('Proyecto Datos (OKR´s)'!$F25),'Proyecto Datos (OKR´s)'!$F25,'Proyecto Datos (OKR´s)'!$L25),"")</f>
      </c>
      <c r="I25" s="200">
        <f>IF($C25,'Proyecto Datos (OKR´s)'!$J25,"")</f>
      </c>
      <c r="J25" s="201">
        <f>IF($C25,IF($I25&gt;=1,"Completado",IF($H25&lt;TODAY(),"Vencido",IF(($H25-TODAY())&lt;='Entregas Próximas'!$I$3,"Próximo a vencer","En curso"))),"")</f>
      </c>
      <c r="K25" s="200">
        <f>IF($C25,$H25-TODAY(),"")</f>
      </c>
      <c r="L25" s="200">
        <f>IF($C25,$N25*1000000+$H25+ROW()/100000,"")</f>
      </c>
      <c r="M25" s="200">
        <f>IF($C25,IF('Proyecto Datos (OKR´s)'!$E25="","(Sin sprint)",'Proyecto Datos (OKR´s)'!$E25),"")</f>
      </c>
      <c r="N25" s="200">
        <f>IF($C25,IF('Proyecto Datos (OKR´s)'!$E25="",9999,'Proyecto Datos (OKR´s)'!$E25),"")</f>
      </c>
      <c r="P25" s="200">
        <f>ROW()-6</f>
      </c>
      <c r="Q25" s="200">
        <f>IF(COUNTIF($N$7:$N$200,$P25)&gt;0,$P25,"")</f>
      </c>
    </row>
    <row r="26">
      <c r="A26" s="200">
        <f>ROW()</f>
      </c>
      <c r="B26" s="200">
        <f>ISTEXT('Proyecto Datos (OKR´s)'!$K26)</f>
      </c>
      <c r="C26" s="200">
        <f>AND(LEN('Proyecto Datos (OKR´s)'!$G26)&gt;0,NOT($B26),OR(ISNUMBER('Proyecto Datos (OKR´s)'!$F26),ISNUMBER('Proyecto Datos (OKR´s)'!$L26)))</f>
      </c>
      <c r="D26" s="201">
        <f>IF($C26,IFERROR(LOOKUP(2,1/((ISTEXT('Proyecto Datos (OKR´s)'!$K$7:$K26))*(LEN('Proyecto Datos (OKR´s)'!$G$7:$G26)&gt;0)),'Proyecto Datos (OKR´s)'!$G$7:$G26),""),"")</f>
      </c>
      <c r="E26" s="200">
        <f>IF($C26,'Proyecto Datos (OKR´s)'!$E26,"")</f>
      </c>
      <c r="F26" s="201">
        <f>IF($C26,'Proyecto Datos (OKR´s)'!$G26,"")</f>
      </c>
      <c r="G26" s="201">
        <f>IF($C26,IF('Proyecto Datos (OKR´s)'!$I26="","(Sin asignar)",'Proyecto Datos (OKR´s)'!$I26),"")</f>
      </c>
      <c r="H26" s="200">
        <f>IF($C26,IF(ISNUMBER('Proyecto Datos (OKR´s)'!$F26),'Proyecto Datos (OKR´s)'!$F26,'Proyecto Datos (OKR´s)'!$L26),"")</f>
      </c>
      <c r="I26" s="200">
        <f>IF($C26,'Proyecto Datos (OKR´s)'!$J26,"")</f>
      </c>
      <c r="J26" s="201">
        <f>IF($C26,IF($I26&gt;=1,"Completado",IF($H26&lt;TODAY(),"Vencido",IF(($H26-TODAY())&lt;='Entregas Próximas'!$I$3,"Próximo a vencer","En curso"))),"")</f>
      </c>
      <c r="K26" s="200">
        <f>IF($C26,$H26-TODAY(),"")</f>
      </c>
      <c r="L26" s="200">
        <f>IF($C26,$N26*1000000+$H26+ROW()/100000,"")</f>
      </c>
      <c r="M26" s="200">
        <f>IF($C26,IF('Proyecto Datos (OKR´s)'!$E26="","(Sin sprint)",'Proyecto Datos (OKR´s)'!$E26),"")</f>
      </c>
      <c r="N26" s="200">
        <f>IF($C26,IF('Proyecto Datos (OKR´s)'!$E26="",9999,'Proyecto Datos (OKR´s)'!$E26),"")</f>
      </c>
      <c r="P26" s="200">
        <f>ROW()-6</f>
      </c>
      <c r="Q26" s="200">
        <f>IF(COUNTIF($N$7:$N$200,$P26)&gt;0,$P26,"")</f>
      </c>
    </row>
    <row r="27">
      <c r="A27" s="200">
        <f>ROW()</f>
      </c>
      <c r="B27" s="200">
        <f>ISTEXT('Proyecto Datos (OKR´s)'!$K27)</f>
      </c>
      <c r="C27" s="200">
        <f>AND(LEN('Proyecto Datos (OKR´s)'!$G27)&gt;0,NOT($B27),OR(ISNUMBER('Proyecto Datos (OKR´s)'!$F27),ISNUMBER('Proyecto Datos (OKR´s)'!$L27)))</f>
      </c>
      <c r="D27" s="201">
        <f>IF($C27,IFERROR(LOOKUP(2,1/((ISTEXT('Proyecto Datos (OKR´s)'!$K$7:$K27))*(LEN('Proyecto Datos (OKR´s)'!$G$7:$G27)&gt;0)),'Proyecto Datos (OKR´s)'!$G$7:$G27),""),"")</f>
      </c>
      <c r="E27" s="200">
        <f>IF($C27,'Proyecto Datos (OKR´s)'!$E27,"")</f>
      </c>
      <c r="F27" s="201">
        <f>IF($C27,'Proyecto Datos (OKR´s)'!$G27,"")</f>
      </c>
      <c r="G27" s="201">
        <f>IF($C27,IF('Proyecto Datos (OKR´s)'!$I27="","(Sin asignar)",'Proyecto Datos (OKR´s)'!$I27),"")</f>
      </c>
      <c r="H27" s="200">
        <f>IF($C27,IF(ISNUMBER('Proyecto Datos (OKR´s)'!$F27),'Proyecto Datos (OKR´s)'!$F27,'Proyecto Datos (OKR´s)'!$L27),"")</f>
      </c>
      <c r="I27" s="200">
        <f>IF($C27,'Proyecto Datos (OKR´s)'!$J27,"")</f>
      </c>
      <c r="J27" s="201">
        <f>IF($C27,IF($I27&gt;=1,"Completado",IF($H27&lt;TODAY(),"Vencido",IF(($H27-TODAY())&lt;='Entregas Próximas'!$I$3,"Próximo a vencer","En curso"))),"")</f>
      </c>
      <c r="K27" s="200">
        <f>IF($C27,$H27-TODAY(),"")</f>
      </c>
      <c r="L27" s="200">
        <f>IF($C27,$N27*1000000+$H27+ROW()/100000,"")</f>
      </c>
      <c r="M27" s="200">
        <f>IF($C27,IF('Proyecto Datos (OKR´s)'!$E27="","(Sin sprint)",'Proyecto Datos (OKR´s)'!$E27),"")</f>
      </c>
      <c r="N27" s="200">
        <f>IF($C27,IF('Proyecto Datos (OKR´s)'!$E27="",9999,'Proyecto Datos (OKR´s)'!$E27),"")</f>
      </c>
      <c r="P27" s="200">
        <f>ROW()-6</f>
      </c>
      <c r="Q27" s="200">
        <f>IF(COUNTIF($N$7:$N$200,$P27)&gt;0,$P27,"")</f>
      </c>
    </row>
    <row r="28">
      <c r="A28" s="200">
        <f>ROW()</f>
      </c>
      <c r="B28" s="200">
        <f>ISTEXT('Proyecto Datos (OKR´s)'!$K28)</f>
      </c>
      <c r="C28" s="200">
        <f>AND(LEN('Proyecto Datos (OKR´s)'!$G28)&gt;0,NOT($B28),OR(ISNUMBER('Proyecto Datos (OKR´s)'!$F28),ISNUMBER('Proyecto Datos (OKR´s)'!$L28)))</f>
      </c>
      <c r="D28" s="201">
        <f>IF($C28,IFERROR(LOOKUP(2,1/((ISTEXT('Proyecto Datos (OKR´s)'!$K$7:$K28))*(LEN('Proyecto Datos (OKR´s)'!$G$7:$G28)&gt;0)),'Proyecto Datos (OKR´s)'!$G$7:$G28),""),"")</f>
      </c>
      <c r="E28" s="200">
        <f>IF($C28,'Proyecto Datos (OKR´s)'!$E28,"")</f>
      </c>
      <c r="F28" s="201">
        <f>IF($C28,'Proyecto Datos (OKR´s)'!$G28,"")</f>
      </c>
      <c r="G28" s="201">
        <f>IF($C28,IF('Proyecto Datos (OKR´s)'!$I28="","(Sin asignar)",'Proyecto Datos (OKR´s)'!$I28),"")</f>
      </c>
      <c r="H28" s="200">
        <f>IF($C28,IF(ISNUMBER('Proyecto Datos (OKR´s)'!$F28),'Proyecto Datos (OKR´s)'!$F28,'Proyecto Datos (OKR´s)'!$L28),"")</f>
      </c>
      <c r="I28" s="200">
        <f>IF($C28,'Proyecto Datos (OKR´s)'!$J28,"")</f>
      </c>
      <c r="J28" s="201">
        <f>IF($C28,IF($I28&gt;=1,"Completado",IF($H28&lt;TODAY(),"Vencido",IF(($H28-TODAY())&lt;='Entregas Próximas'!$I$3,"Próximo a vencer","En curso"))),"")</f>
      </c>
      <c r="K28" s="200">
        <f>IF($C28,$H28-TODAY(),"")</f>
      </c>
      <c r="L28" s="200">
        <f>IF($C28,$N28*1000000+$H28+ROW()/100000,"")</f>
      </c>
      <c r="M28" s="200">
        <f>IF($C28,IF('Proyecto Datos (OKR´s)'!$E28="","(Sin sprint)",'Proyecto Datos (OKR´s)'!$E28),"")</f>
      </c>
      <c r="N28" s="200">
        <f>IF($C28,IF('Proyecto Datos (OKR´s)'!$E28="",9999,'Proyecto Datos (OKR´s)'!$E28),"")</f>
      </c>
      <c r="P28" s="200">
        <f>ROW()-6</f>
      </c>
      <c r="Q28" s="200">
        <f>IF(COUNTIF($N$7:$N$200,$P28)&gt;0,$P28,"")</f>
      </c>
    </row>
    <row r="29">
      <c r="A29" s="200">
        <f>ROW()</f>
      </c>
      <c r="B29" s="200">
        <f>ISTEXT('Proyecto Datos (OKR´s)'!$K29)</f>
      </c>
      <c r="C29" s="200">
        <f>AND(LEN('Proyecto Datos (OKR´s)'!$G29)&gt;0,NOT($B29),OR(ISNUMBER('Proyecto Datos (OKR´s)'!$F29),ISNUMBER('Proyecto Datos (OKR´s)'!$L29)))</f>
      </c>
      <c r="D29" s="201">
        <f>IF($C29,IFERROR(LOOKUP(2,1/((ISTEXT('Proyecto Datos (OKR´s)'!$K$7:$K29))*(LEN('Proyecto Datos (OKR´s)'!$G$7:$G29)&gt;0)),'Proyecto Datos (OKR´s)'!$G$7:$G29),""),"")</f>
      </c>
      <c r="E29" s="200">
        <f>IF($C29,'Proyecto Datos (OKR´s)'!$E29,"")</f>
      </c>
      <c r="F29" s="201">
        <f>IF($C29,'Proyecto Datos (OKR´s)'!$G29,"")</f>
      </c>
      <c r="G29" s="201">
        <f>IF($C29,IF('Proyecto Datos (OKR´s)'!$I29="","(Sin asignar)",'Proyecto Datos (OKR´s)'!$I29),"")</f>
      </c>
      <c r="H29" s="200">
        <f>IF($C29,IF(ISNUMBER('Proyecto Datos (OKR´s)'!$F29),'Proyecto Datos (OKR´s)'!$F29,'Proyecto Datos (OKR´s)'!$L29),"")</f>
      </c>
      <c r="I29" s="200">
        <f>IF($C29,'Proyecto Datos (OKR´s)'!$J29,"")</f>
      </c>
      <c r="J29" s="201">
        <f>IF($C29,IF($I29&gt;=1,"Completado",IF($H29&lt;TODAY(),"Vencido",IF(($H29-TODAY())&lt;='Entregas Próximas'!$I$3,"Próximo a vencer","En curso"))),"")</f>
      </c>
      <c r="K29" s="200">
        <f>IF($C29,$H29-TODAY(),"")</f>
      </c>
      <c r="L29" s="200">
        <f>IF($C29,$N29*1000000+$H29+ROW()/100000,"")</f>
      </c>
      <c r="M29" s="200">
        <f>IF($C29,IF('Proyecto Datos (OKR´s)'!$E29="","(Sin sprint)",'Proyecto Datos (OKR´s)'!$E29),"")</f>
      </c>
      <c r="N29" s="200">
        <f>IF($C29,IF('Proyecto Datos (OKR´s)'!$E29="",9999,'Proyecto Datos (OKR´s)'!$E29),"")</f>
      </c>
      <c r="P29" s="200">
        <f>ROW()-6</f>
      </c>
      <c r="Q29" s="200">
        <f>IF(COUNTIF($N$7:$N$200,$P29)&gt;0,$P29,"")</f>
      </c>
    </row>
    <row r="30">
      <c r="A30" s="200">
        <f>ROW()</f>
      </c>
      <c r="B30" s="200">
        <f>ISTEXT('Proyecto Datos (OKR´s)'!$K30)</f>
      </c>
      <c r="C30" s="200">
        <f>AND(LEN('Proyecto Datos (OKR´s)'!$G30)&gt;0,NOT($B30),OR(ISNUMBER('Proyecto Datos (OKR´s)'!$F30),ISNUMBER('Proyecto Datos (OKR´s)'!$L30)))</f>
      </c>
      <c r="D30" s="201">
        <f>IF($C30,IFERROR(LOOKUP(2,1/((ISTEXT('Proyecto Datos (OKR´s)'!$K$7:$K30))*(LEN('Proyecto Datos (OKR´s)'!$G$7:$G30)&gt;0)),'Proyecto Datos (OKR´s)'!$G$7:$G30),""),"")</f>
      </c>
      <c r="E30" s="200">
        <f>IF($C30,'Proyecto Datos (OKR´s)'!$E30,"")</f>
      </c>
      <c r="F30" s="201">
        <f>IF($C30,'Proyecto Datos (OKR´s)'!$G30,"")</f>
      </c>
      <c r="G30" s="201">
        <f>IF($C30,IF('Proyecto Datos (OKR´s)'!$I30="","(Sin asignar)",'Proyecto Datos (OKR´s)'!$I30),"")</f>
      </c>
      <c r="H30" s="200">
        <f>IF($C30,IF(ISNUMBER('Proyecto Datos (OKR´s)'!$F30),'Proyecto Datos (OKR´s)'!$F30,'Proyecto Datos (OKR´s)'!$L30),"")</f>
      </c>
      <c r="I30" s="200">
        <f>IF($C30,'Proyecto Datos (OKR´s)'!$J30,"")</f>
      </c>
      <c r="J30" s="201">
        <f>IF($C30,IF($I30&gt;=1,"Completado",IF($H30&lt;TODAY(),"Vencido",IF(($H30-TODAY())&lt;='Entregas Próximas'!$I$3,"Próximo a vencer","En curso"))),"")</f>
      </c>
      <c r="K30" s="200">
        <f>IF($C30,$H30-TODAY(),"")</f>
      </c>
      <c r="L30" s="200">
        <f>IF($C30,$N30*1000000+$H30+ROW()/100000,"")</f>
      </c>
      <c r="M30" s="200">
        <f>IF($C30,IF('Proyecto Datos (OKR´s)'!$E30="","(Sin sprint)",'Proyecto Datos (OKR´s)'!$E30),"")</f>
      </c>
      <c r="N30" s="200">
        <f>IF($C30,IF('Proyecto Datos (OKR´s)'!$E30="",9999,'Proyecto Datos (OKR´s)'!$E30),"")</f>
      </c>
      <c r="P30" s="200">
        <f>ROW()-6</f>
      </c>
      <c r="Q30" s="200">
        <f>IF(COUNTIF($N$7:$N$200,$P30)&gt;0,$P30,"")</f>
      </c>
    </row>
    <row r="31">
      <c r="A31" s="200">
        <f>ROW()</f>
      </c>
      <c r="B31" s="200">
        <f>ISTEXT('Proyecto Datos (OKR´s)'!$K31)</f>
      </c>
      <c r="C31" s="200">
        <f>AND(LEN('Proyecto Datos (OKR´s)'!$G31)&gt;0,NOT($B31),OR(ISNUMBER('Proyecto Datos (OKR´s)'!$F31),ISNUMBER('Proyecto Datos (OKR´s)'!$L31)))</f>
      </c>
      <c r="D31" s="201">
        <f>IF($C31,IFERROR(LOOKUP(2,1/((ISTEXT('Proyecto Datos (OKR´s)'!$K$7:$K31))*(LEN('Proyecto Datos (OKR´s)'!$G$7:$G31)&gt;0)),'Proyecto Datos (OKR´s)'!$G$7:$G31),""),"")</f>
      </c>
      <c r="E31" s="200">
        <f>IF($C31,'Proyecto Datos (OKR´s)'!$E31,"")</f>
      </c>
      <c r="F31" s="201">
        <f>IF($C31,'Proyecto Datos (OKR´s)'!$G31,"")</f>
      </c>
      <c r="G31" s="201">
        <f>IF($C31,IF('Proyecto Datos (OKR´s)'!$I31="","(Sin asignar)",'Proyecto Datos (OKR´s)'!$I31),"")</f>
      </c>
      <c r="H31" s="200">
        <f>IF($C31,IF(ISNUMBER('Proyecto Datos (OKR´s)'!$F31),'Proyecto Datos (OKR´s)'!$F31,'Proyecto Datos (OKR´s)'!$L31),"")</f>
      </c>
      <c r="I31" s="200">
        <f>IF($C31,'Proyecto Datos (OKR´s)'!$J31,"")</f>
      </c>
      <c r="J31" s="201">
        <f>IF($C31,IF($I31&gt;=1,"Completado",IF($H31&lt;TODAY(),"Vencido",IF(($H31-TODAY())&lt;='Entregas Próximas'!$I$3,"Próximo a vencer","En curso"))),"")</f>
      </c>
      <c r="K31" s="200">
        <f>IF($C31,$H31-TODAY(),"")</f>
      </c>
      <c r="L31" s="200">
        <f>IF($C31,$N31*1000000+$H31+ROW()/100000,"")</f>
      </c>
      <c r="M31" s="200">
        <f>IF($C31,IF('Proyecto Datos (OKR´s)'!$E31="","(Sin sprint)",'Proyecto Datos (OKR´s)'!$E31),"")</f>
      </c>
      <c r="N31" s="200">
        <f>IF($C31,IF('Proyecto Datos (OKR´s)'!$E31="",9999,'Proyecto Datos (OKR´s)'!$E31),"")</f>
      </c>
      <c r="P31" s="200">
        <f>ROW()-6</f>
      </c>
      <c r="Q31" s="200">
        <f>IF(COUNTIF($N$7:$N$200,$P31)&gt;0,$P31,"")</f>
      </c>
    </row>
    <row r="32">
      <c r="A32" s="200">
        <f>ROW()</f>
      </c>
      <c r="B32" s="200">
        <f>ISTEXT('Proyecto Datos (OKR´s)'!$K32)</f>
      </c>
      <c r="C32" s="200">
        <f>AND(LEN('Proyecto Datos (OKR´s)'!$G32)&gt;0,NOT($B32),OR(ISNUMBER('Proyecto Datos (OKR´s)'!$F32),ISNUMBER('Proyecto Datos (OKR´s)'!$L32)))</f>
      </c>
      <c r="D32" s="201">
        <f>IF($C32,IFERROR(LOOKUP(2,1/((ISTEXT('Proyecto Datos (OKR´s)'!$K$7:$K32))*(LEN('Proyecto Datos (OKR´s)'!$G$7:$G32)&gt;0)),'Proyecto Datos (OKR´s)'!$G$7:$G32),""),"")</f>
      </c>
      <c r="E32" s="200">
        <f>IF($C32,'Proyecto Datos (OKR´s)'!$E32,"")</f>
      </c>
      <c r="F32" s="201">
        <f>IF($C32,'Proyecto Datos (OKR´s)'!$G32,"")</f>
      </c>
      <c r="G32" s="201">
        <f>IF($C32,IF('Proyecto Datos (OKR´s)'!$I32="","(Sin asignar)",'Proyecto Datos (OKR´s)'!$I32),"")</f>
      </c>
      <c r="H32" s="200">
        <f>IF($C32,IF(ISNUMBER('Proyecto Datos (OKR´s)'!$F32),'Proyecto Datos (OKR´s)'!$F32,'Proyecto Datos (OKR´s)'!$L32),"")</f>
      </c>
      <c r="I32" s="200">
        <f>IF($C32,'Proyecto Datos (OKR´s)'!$J32,"")</f>
      </c>
      <c r="J32" s="201">
        <f>IF($C32,IF($I32&gt;=1,"Completado",IF($H32&lt;TODAY(),"Vencido",IF(($H32-TODAY())&lt;='Entregas Próximas'!$I$3,"Próximo a vencer","En curso"))),"")</f>
      </c>
      <c r="K32" s="200">
        <f>IF($C32,$H32-TODAY(),"")</f>
      </c>
      <c r="L32" s="200">
        <f>IF($C32,$N32*1000000+$H32+ROW()/100000,"")</f>
      </c>
      <c r="M32" s="200">
        <f>IF($C32,IF('Proyecto Datos (OKR´s)'!$E32="","(Sin sprint)",'Proyecto Datos (OKR´s)'!$E32),"")</f>
      </c>
      <c r="N32" s="200">
        <f>IF($C32,IF('Proyecto Datos (OKR´s)'!$E32="",9999,'Proyecto Datos (OKR´s)'!$E32),"")</f>
      </c>
      <c r="P32" s="200">
        <f>ROW()-6</f>
      </c>
      <c r="Q32" s="200">
        <f>IF(COUNTIF($N$7:$N$200,$P32)&gt;0,$P32,"")</f>
      </c>
    </row>
    <row r="33">
      <c r="A33" s="200">
        <f>ROW()</f>
      </c>
      <c r="B33" s="200">
        <f>ISTEXT('Proyecto Datos (OKR´s)'!$K33)</f>
      </c>
      <c r="C33" s="200">
        <f>AND(LEN('Proyecto Datos (OKR´s)'!$G33)&gt;0,NOT($B33),OR(ISNUMBER('Proyecto Datos (OKR´s)'!$F33),ISNUMBER('Proyecto Datos (OKR´s)'!$L33)))</f>
      </c>
      <c r="D33" s="201">
        <f>IF($C33,IFERROR(LOOKUP(2,1/((ISTEXT('Proyecto Datos (OKR´s)'!$K$7:$K33))*(LEN('Proyecto Datos (OKR´s)'!$G$7:$G33)&gt;0)),'Proyecto Datos (OKR´s)'!$G$7:$G33),""),"")</f>
      </c>
      <c r="E33" s="200">
        <f>IF($C33,'Proyecto Datos (OKR´s)'!$E33,"")</f>
      </c>
      <c r="F33" s="201">
        <f>IF($C33,'Proyecto Datos (OKR´s)'!$G33,"")</f>
      </c>
      <c r="G33" s="201">
        <f>IF($C33,IF('Proyecto Datos (OKR´s)'!$I33="","(Sin asignar)",'Proyecto Datos (OKR´s)'!$I33),"")</f>
      </c>
      <c r="H33" s="200">
        <f>IF($C33,IF(ISNUMBER('Proyecto Datos (OKR´s)'!$F33),'Proyecto Datos (OKR´s)'!$F33,'Proyecto Datos (OKR´s)'!$L33),"")</f>
      </c>
      <c r="I33" s="200">
        <f>IF($C33,'Proyecto Datos (OKR´s)'!$J33,"")</f>
      </c>
      <c r="J33" s="201">
        <f>IF($C33,IF($I33&gt;=1,"Completado",IF($H33&lt;TODAY(),"Vencido",IF(($H33-TODAY())&lt;='Entregas Próximas'!$I$3,"Próximo a vencer","En curso"))),"")</f>
      </c>
      <c r="K33" s="200">
        <f>IF($C33,$H33-TODAY(),"")</f>
      </c>
      <c r="L33" s="200">
        <f>IF($C33,$N33*1000000+$H33+ROW()/100000,"")</f>
      </c>
      <c r="M33" s="200">
        <f>IF($C33,IF('Proyecto Datos (OKR´s)'!$E33="","(Sin sprint)",'Proyecto Datos (OKR´s)'!$E33),"")</f>
      </c>
      <c r="N33" s="200">
        <f>IF($C33,IF('Proyecto Datos (OKR´s)'!$E33="",9999,'Proyecto Datos (OKR´s)'!$E33),"")</f>
      </c>
      <c r="P33" s="200">
        <f>ROW()-6</f>
      </c>
      <c r="Q33" s="200">
        <f>IF(COUNTIF($N$7:$N$200,$P33)&gt;0,$P33,"")</f>
      </c>
    </row>
    <row r="34">
      <c r="A34" s="200">
        <f>ROW()</f>
      </c>
      <c r="B34" s="200">
        <f>ISTEXT('Proyecto Datos (OKR´s)'!$K34)</f>
      </c>
      <c r="C34" s="200">
        <f>AND(LEN('Proyecto Datos (OKR´s)'!$G34)&gt;0,NOT($B34),OR(ISNUMBER('Proyecto Datos (OKR´s)'!$F34),ISNUMBER('Proyecto Datos (OKR´s)'!$L34)))</f>
      </c>
      <c r="D34" s="201">
        <f>IF($C34,IFERROR(LOOKUP(2,1/((ISTEXT('Proyecto Datos (OKR´s)'!$K$7:$K34))*(LEN('Proyecto Datos (OKR´s)'!$G$7:$G34)&gt;0)),'Proyecto Datos (OKR´s)'!$G$7:$G34),""),"")</f>
      </c>
      <c r="E34" s="200">
        <f>IF($C34,'Proyecto Datos (OKR´s)'!$E34,"")</f>
      </c>
      <c r="F34" s="201">
        <f>IF($C34,'Proyecto Datos (OKR´s)'!$G34,"")</f>
      </c>
      <c r="G34" s="201">
        <f>IF($C34,IF('Proyecto Datos (OKR´s)'!$I34="","(Sin asignar)",'Proyecto Datos (OKR´s)'!$I34),"")</f>
      </c>
      <c r="H34" s="200">
        <f>IF($C34,IF(ISNUMBER('Proyecto Datos (OKR´s)'!$F34),'Proyecto Datos (OKR´s)'!$F34,'Proyecto Datos (OKR´s)'!$L34),"")</f>
      </c>
      <c r="I34" s="200">
        <f>IF($C34,'Proyecto Datos (OKR´s)'!$J34,"")</f>
      </c>
      <c r="J34" s="201">
        <f>IF($C34,IF($I34&gt;=1,"Completado",IF($H34&lt;TODAY(),"Vencido",IF(($H34-TODAY())&lt;='Entregas Próximas'!$I$3,"Próximo a vencer","En curso"))),"")</f>
      </c>
      <c r="K34" s="200">
        <f>IF($C34,$H34-TODAY(),"")</f>
      </c>
      <c r="L34" s="200">
        <f>IF($C34,$N34*1000000+$H34+ROW()/100000,"")</f>
      </c>
      <c r="M34" s="200">
        <f>IF($C34,IF('Proyecto Datos (OKR´s)'!$E34="","(Sin sprint)",'Proyecto Datos (OKR´s)'!$E34),"")</f>
      </c>
      <c r="N34" s="200">
        <f>IF($C34,IF('Proyecto Datos (OKR´s)'!$E34="",9999,'Proyecto Datos (OKR´s)'!$E34),"")</f>
      </c>
      <c r="P34" s="200">
        <f>ROW()-6</f>
      </c>
      <c r="Q34" s="200">
        <f>IF(COUNTIF($N$7:$N$200,$P34)&gt;0,$P34,"")</f>
      </c>
    </row>
    <row r="35">
      <c r="A35" s="200">
        <f>ROW()</f>
      </c>
      <c r="B35" s="200">
        <f>ISTEXT('Proyecto Datos (OKR´s)'!$K35)</f>
      </c>
      <c r="C35" s="200">
        <f>AND(LEN('Proyecto Datos (OKR´s)'!$G35)&gt;0,NOT($B35),OR(ISNUMBER('Proyecto Datos (OKR´s)'!$F35),ISNUMBER('Proyecto Datos (OKR´s)'!$L35)))</f>
      </c>
      <c r="D35" s="201">
        <f>IF($C35,IFERROR(LOOKUP(2,1/((ISTEXT('Proyecto Datos (OKR´s)'!$K$7:$K35))*(LEN('Proyecto Datos (OKR´s)'!$G$7:$G35)&gt;0)),'Proyecto Datos (OKR´s)'!$G$7:$G35),""),"")</f>
      </c>
      <c r="E35" s="200">
        <f>IF($C35,'Proyecto Datos (OKR´s)'!$E35,"")</f>
      </c>
      <c r="F35" s="201">
        <f>IF($C35,'Proyecto Datos (OKR´s)'!$G35,"")</f>
      </c>
      <c r="G35" s="201">
        <f>IF($C35,IF('Proyecto Datos (OKR´s)'!$I35="","(Sin asignar)",'Proyecto Datos (OKR´s)'!$I35),"")</f>
      </c>
      <c r="H35" s="200">
        <f>IF($C35,IF(ISNUMBER('Proyecto Datos (OKR´s)'!$F35),'Proyecto Datos (OKR´s)'!$F35,'Proyecto Datos (OKR´s)'!$L35),"")</f>
      </c>
      <c r="I35" s="200">
        <f>IF($C35,'Proyecto Datos (OKR´s)'!$J35,"")</f>
      </c>
      <c r="J35" s="201">
        <f>IF($C35,IF($I35&gt;=1,"Completado",IF($H35&lt;TODAY(),"Vencido",IF(($H35-TODAY())&lt;='Entregas Próximas'!$I$3,"Próximo a vencer","En curso"))),"")</f>
      </c>
      <c r="K35" s="200">
        <f>IF($C35,$H35-TODAY(),"")</f>
      </c>
      <c r="L35" s="200">
        <f>IF($C35,$N35*1000000+$H35+ROW()/100000,"")</f>
      </c>
      <c r="M35" s="200">
        <f>IF($C35,IF('Proyecto Datos (OKR´s)'!$E35="","(Sin sprint)",'Proyecto Datos (OKR´s)'!$E35),"")</f>
      </c>
      <c r="N35" s="200">
        <f>IF($C35,IF('Proyecto Datos (OKR´s)'!$E35="",9999,'Proyecto Datos (OKR´s)'!$E35),"")</f>
      </c>
      <c r="P35" s="200">
        <f>ROW()-6</f>
      </c>
      <c r="Q35" s="200">
        <f>IF(COUNTIF($N$7:$N$200,$P35)&gt;0,$P35,"")</f>
      </c>
    </row>
    <row r="36">
      <c r="A36" s="200">
        <f>ROW()</f>
      </c>
      <c r="B36" s="200">
        <f>ISTEXT('Proyecto Datos (OKR´s)'!$K36)</f>
      </c>
      <c r="C36" s="200">
        <f>AND(LEN('Proyecto Datos (OKR´s)'!$G36)&gt;0,NOT($B36),OR(ISNUMBER('Proyecto Datos (OKR´s)'!$F36),ISNUMBER('Proyecto Datos (OKR´s)'!$L36)))</f>
      </c>
      <c r="D36" s="201">
        <f>IF($C36,IFERROR(LOOKUP(2,1/((ISTEXT('Proyecto Datos (OKR´s)'!$K$7:$K36))*(LEN('Proyecto Datos (OKR´s)'!$G$7:$G36)&gt;0)),'Proyecto Datos (OKR´s)'!$G$7:$G36),""),"")</f>
      </c>
      <c r="E36" s="200">
        <f>IF($C36,'Proyecto Datos (OKR´s)'!$E36,"")</f>
      </c>
      <c r="F36" s="201">
        <f>IF($C36,'Proyecto Datos (OKR´s)'!$G36,"")</f>
      </c>
      <c r="G36" s="201">
        <f>IF($C36,IF('Proyecto Datos (OKR´s)'!$I36="","(Sin asignar)",'Proyecto Datos (OKR´s)'!$I36),"")</f>
      </c>
      <c r="H36" s="200">
        <f>IF($C36,IF(ISNUMBER('Proyecto Datos (OKR´s)'!$F36),'Proyecto Datos (OKR´s)'!$F36,'Proyecto Datos (OKR´s)'!$L36),"")</f>
      </c>
      <c r="I36" s="200">
        <f>IF($C36,'Proyecto Datos (OKR´s)'!$J36,"")</f>
      </c>
      <c r="J36" s="201">
        <f>IF($C36,IF($I36&gt;=1,"Completado",IF($H36&lt;TODAY(),"Vencido",IF(($H36-TODAY())&lt;='Entregas Próximas'!$I$3,"Próximo a vencer","En curso"))),"")</f>
      </c>
      <c r="K36" s="200">
        <f>IF($C36,$H36-TODAY(),"")</f>
      </c>
      <c r="L36" s="200">
        <f>IF($C36,$N36*1000000+$H36+ROW()/100000,"")</f>
      </c>
      <c r="M36" s="200">
        <f>IF($C36,IF('Proyecto Datos (OKR´s)'!$E36="","(Sin sprint)",'Proyecto Datos (OKR´s)'!$E36),"")</f>
      </c>
      <c r="N36" s="200">
        <f>IF($C36,IF('Proyecto Datos (OKR´s)'!$E36="",9999,'Proyecto Datos (OKR´s)'!$E36),"")</f>
      </c>
      <c r="P36" s="200">
        <f>ROW()-6</f>
      </c>
      <c r="Q36" s="200">
        <f>IF(COUNTIF($N$7:$N$200,$P36)&gt;0,$P36,"")</f>
      </c>
    </row>
    <row r="37">
      <c r="A37" s="200">
        <f>ROW()</f>
      </c>
      <c r="B37" s="200">
        <f>ISTEXT('Proyecto Datos (OKR´s)'!$K37)</f>
      </c>
      <c r="C37" s="200">
        <f>AND(LEN('Proyecto Datos (OKR´s)'!$G37)&gt;0,NOT($B37),OR(ISNUMBER('Proyecto Datos (OKR´s)'!$F37),ISNUMBER('Proyecto Datos (OKR´s)'!$L37)))</f>
      </c>
      <c r="D37" s="201">
        <f>IF($C37,IFERROR(LOOKUP(2,1/((ISTEXT('Proyecto Datos (OKR´s)'!$K$7:$K37))*(LEN('Proyecto Datos (OKR´s)'!$G$7:$G37)&gt;0)),'Proyecto Datos (OKR´s)'!$G$7:$G37),""),"")</f>
      </c>
      <c r="E37" s="200">
        <f>IF($C37,'Proyecto Datos (OKR´s)'!$E37,"")</f>
      </c>
      <c r="F37" s="201">
        <f>IF($C37,'Proyecto Datos (OKR´s)'!$G37,"")</f>
      </c>
      <c r="G37" s="201">
        <f>IF($C37,IF('Proyecto Datos (OKR´s)'!$I37="","(Sin asignar)",'Proyecto Datos (OKR´s)'!$I37),"")</f>
      </c>
      <c r="H37" s="200">
        <f>IF($C37,IF(ISNUMBER('Proyecto Datos (OKR´s)'!$F37),'Proyecto Datos (OKR´s)'!$F37,'Proyecto Datos (OKR´s)'!$L37),"")</f>
      </c>
      <c r="I37" s="200">
        <f>IF($C37,'Proyecto Datos (OKR´s)'!$J37,"")</f>
      </c>
      <c r="J37" s="201">
        <f>IF($C37,IF($I37&gt;=1,"Completado",IF($H37&lt;TODAY(),"Vencido",IF(($H37-TODAY())&lt;='Entregas Próximas'!$I$3,"Próximo a vencer","En curso"))),"")</f>
      </c>
      <c r="K37" s="200">
        <f>IF($C37,$H37-TODAY(),"")</f>
      </c>
      <c r="L37" s="200">
        <f>IF($C37,$N37*1000000+$H37+ROW()/100000,"")</f>
      </c>
      <c r="M37" s="200">
        <f>IF($C37,IF('Proyecto Datos (OKR´s)'!$E37="","(Sin sprint)",'Proyecto Datos (OKR´s)'!$E37),"")</f>
      </c>
      <c r="N37" s="200">
        <f>IF($C37,IF('Proyecto Datos (OKR´s)'!$E37="",9999,'Proyecto Datos (OKR´s)'!$E37),"")</f>
      </c>
      <c r="P37" s="200">
        <v>9999</v>
      </c>
      <c r="Q37" s="200">
        <f>IF(COUNTIF($N$7:$N$200,9999)&gt;0,9999,"")</f>
      </c>
    </row>
    <row r="38">
      <c r="A38" s="200">
        <f>ROW()</f>
      </c>
      <c r="B38" s="200">
        <f>ISTEXT('Proyecto Datos (OKR´s)'!$K38)</f>
      </c>
      <c r="C38" s="200">
        <f>AND(LEN('Proyecto Datos (OKR´s)'!$G38)&gt;0,NOT($B38),OR(ISNUMBER('Proyecto Datos (OKR´s)'!$F38),ISNUMBER('Proyecto Datos (OKR´s)'!$L38)))</f>
      </c>
      <c r="D38" s="201">
        <f>IF($C38,IFERROR(LOOKUP(2,1/((ISTEXT('Proyecto Datos (OKR´s)'!$K$7:$K38))*(LEN('Proyecto Datos (OKR´s)'!$G$7:$G38)&gt;0)),'Proyecto Datos (OKR´s)'!$G$7:$G38),""),"")</f>
      </c>
      <c r="E38" s="200">
        <f>IF($C38,'Proyecto Datos (OKR´s)'!$E38,"")</f>
      </c>
      <c r="F38" s="201">
        <f>IF($C38,'Proyecto Datos (OKR´s)'!$G38,"")</f>
      </c>
      <c r="G38" s="201">
        <f>IF($C38,IF('Proyecto Datos (OKR´s)'!$I38="","(Sin asignar)",'Proyecto Datos (OKR´s)'!$I38),"")</f>
      </c>
      <c r="H38" s="200">
        <f>IF($C38,IF(ISNUMBER('Proyecto Datos (OKR´s)'!$F38),'Proyecto Datos (OKR´s)'!$F38,'Proyecto Datos (OKR´s)'!$L38),"")</f>
      </c>
      <c r="I38" s="200">
        <f>IF($C38,'Proyecto Datos (OKR´s)'!$J38,"")</f>
      </c>
      <c r="J38" s="201">
        <f>IF($C38,IF($I38&gt;=1,"Completado",IF($H38&lt;TODAY(),"Vencido",IF(($H38-TODAY())&lt;='Entregas Próximas'!$I$3,"Próximo a vencer","En curso"))),"")</f>
      </c>
      <c r="K38" s="200">
        <f>IF($C38,$H38-TODAY(),"")</f>
      </c>
      <c r="L38" s="200">
        <f>IF($C38,$N38*1000000+$H38+ROW()/100000,"")</f>
      </c>
      <c r="M38" s="200">
        <f>IF($C38,IF('Proyecto Datos (OKR´s)'!$E38="","(Sin sprint)",'Proyecto Datos (OKR´s)'!$E38),"")</f>
      </c>
      <c r="N38" s="200">
        <f>IF($C38,IF('Proyecto Datos (OKR´s)'!$E38="",9999,'Proyecto Datos (OKR´s)'!$E38),"")</f>
      </c>
    </row>
    <row r="39">
      <c r="A39" s="200">
        <f>ROW()</f>
      </c>
      <c r="B39" s="200">
        <f>ISTEXT('Proyecto Datos (OKR´s)'!$K39)</f>
      </c>
      <c r="C39" s="200">
        <f>AND(LEN('Proyecto Datos (OKR´s)'!$G39)&gt;0,NOT($B39),OR(ISNUMBER('Proyecto Datos (OKR´s)'!$F39),ISNUMBER('Proyecto Datos (OKR´s)'!$L39)))</f>
      </c>
      <c r="D39" s="201">
        <f>IF($C39,IFERROR(LOOKUP(2,1/((ISTEXT('Proyecto Datos (OKR´s)'!$K$7:$K39))*(LEN('Proyecto Datos (OKR´s)'!$G$7:$G39)&gt;0)),'Proyecto Datos (OKR´s)'!$G$7:$G39),""),"")</f>
      </c>
      <c r="E39" s="200">
        <f>IF($C39,'Proyecto Datos (OKR´s)'!$E39,"")</f>
      </c>
      <c r="F39" s="201">
        <f>IF($C39,'Proyecto Datos (OKR´s)'!$G39,"")</f>
      </c>
      <c r="G39" s="201">
        <f>IF($C39,IF('Proyecto Datos (OKR´s)'!$I39="","(Sin asignar)",'Proyecto Datos (OKR´s)'!$I39),"")</f>
      </c>
      <c r="H39" s="200">
        <f>IF($C39,IF(ISNUMBER('Proyecto Datos (OKR´s)'!$F39),'Proyecto Datos (OKR´s)'!$F39,'Proyecto Datos (OKR´s)'!$L39),"")</f>
      </c>
      <c r="I39" s="200">
        <f>IF($C39,'Proyecto Datos (OKR´s)'!$J39,"")</f>
      </c>
      <c r="J39" s="201">
        <f>IF($C39,IF($I39&gt;=1,"Completado",IF($H39&lt;TODAY(),"Vencido",IF(($H39-TODAY())&lt;='Entregas Próximas'!$I$3,"Próximo a vencer","En curso"))),"")</f>
      </c>
      <c r="K39" s="200">
        <f>IF($C39,$H39-TODAY(),"")</f>
      </c>
      <c r="L39" s="200">
        <f>IF($C39,$N39*1000000+$H39+ROW()/100000,"")</f>
      </c>
      <c r="M39" s="200">
        <f>IF($C39,IF('Proyecto Datos (OKR´s)'!$E39="","(Sin sprint)",'Proyecto Datos (OKR´s)'!$E39),"")</f>
      </c>
      <c r="N39" s="200">
        <f>IF($C39,IF('Proyecto Datos (OKR´s)'!$E39="",9999,'Proyecto Datos (OKR´s)'!$E39),"")</f>
      </c>
    </row>
    <row r="40">
      <c r="A40" s="200">
        <f>ROW()</f>
      </c>
      <c r="B40" s="200">
        <f>ISTEXT('Proyecto Datos (OKR´s)'!$K40)</f>
      </c>
      <c r="C40" s="200">
        <f>AND(LEN('Proyecto Datos (OKR´s)'!$G40)&gt;0,NOT($B40),OR(ISNUMBER('Proyecto Datos (OKR´s)'!$F40),ISNUMBER('Proyecto Datos (OKR´s)'!$L40)))</f>
      </c>
      <c r="D40" s="201">
        <f>IF($C40,IFERROR(LOOKUP(2,1/((ISTEXT('Proyecto Datos (OKR´s)'!$K$7:$K40))*(LEN('Proyecto Datos (OKR´s)'!$G$7:$G40)&gt;0)),'Proyecto Datos (OKR´s)'!$G$7:$G40),""),"")</f>
      </c>
      <c r="E40" s="200">
        <f>IF($C40,'Proyecto Datos (OKR´s)'!$E40,"")</f>
      </c>
      <c r="F40" s="201">
        <f>IF($C40,'Proyecto Datos (OKR´s)'!$G40,"")</f>
      </c>
      <c r="G40" s="201">
        <f>IF($C40,IF('Proyecto Datos (OKR´s)'!$I40="","(Sin asignar)",'Proyecto Datos (OKR´s)'!$I40),"")</f>
      </c>
      <c r="H40" s="200">
        <f>IF($C40,IF(ISNUMBER('Proyecto Datos (OKR´s)'!$F40),'Proyecto Datos (OKR´s)'!$F40,'Proyecto Datos (OKR´s)'!$L40),"")</f>
      </c>
      <c r="I40" s="200">
        <f>IF($C40,'Proyecto Datos (OKR´s)'!$J40,"")</f>
      </c>
      <c r="J40" s="201">
        <f>IF($C40,IF($I40&gt;=1,"Completado",IF($H40&lt;TODAY(),"Vencido",IF(($H40-TODAY())&lt;='Entregas Próximas'!$I$3,"Próximo a vencer","En curso"))),"")</f>
      </c>
      <c r="K40" s="200">
        <f>IF($C40,$H40-TODAY(),"")</f>
      </c>
      <c r="L40" s="200">
        <f>IF($C40,$N40*1000000+$H40+ROW()/100000,"")</f>
      </c>
      <c r="M40" s="200">
        <f>IF($C40,IF('Proyecto Datos (OKR´s)'!$E40="","(Sin sprint)",'Proyecto Datos (OKR´s)'!$E40),"")</f>
      </c>
      <c r="N40" s="200">
        <f>IF($C40,IF('Proyecto Datos (OKR´s)'!$E40="",9999,'Proyecto Datos (OKR´s)'!$E40),"")</f>
      </c>
    </row>
    <row r="41">
      <c r="A41" s="200">
        <f>ROW()</f>
      </c>
      <c r="B41" s="200">
        <f>ISTEXT('Proyecto Datos (OKR´s)'!$K41)</f>
      </c>
      <c r="C41" s="200">
        <f>AND(LEN('Proyecto Datos (OKR´s)'!$G41)&gt;0,NOT($B41),OR(ISNUMBER('Proyecto Datos (OKR´s)'!$F41),ISNUMBER('Proyecto Datos (OKR´s)'!$L41)))</f>
      </c>
      <c r="D41" s="201">
        <f>IF($C41,IFERROR(LOOKUP(2,1/((ISTEXT('Proyecto Datos (OKR´s)'!$K$7:$K41))*(LEN('Proyecto Datos (OKR´s)'!$G$7:$G41)&gt;0)),'Proyecto Datos (OKR´s)'!$G$7:$G41),""),"")</f>
      </c>
      <c r="E41" s="200">
        <f>IF($C41,'Proyecto Datos (OKR´s)'!$E41,"")</f>
      </c>
      <c r="F41" s="201">
        <f>IF($C41,'Proyecto Datos (OKR´s)'!$G41,"")</f>
      </c>
      <c r="G41" s="201">
        <f>IF($C41,IF('Proyecto Datos (OKR´s)'!$I41="","(Sin asignar)",'Proyecto Datos (OKR´s)'!$I41),"")</f>
      </c>
      <c r="H41" s="200">
        <f>IF($C41,IF(ISNUMBER('Proyecto Datos (OKR´s)'!$F41),'Proyecto Datos (OKR´s)'!$F41,'Proyecto Datos (OKR´s)'!$L41),"")</f>
      </c>
      <c r="I41" s="200">
        <f>IF($C41,'Proyecto Datos (OKR´s)'!$J41,"")</f>
      </c>
      <c r="J41" s="201">
        <f>IF($C41,IF($I41&gt;=1,"Completado",IF($H41&lt;TODAY(),"Vencido",IF(($H41-TODAY())&lt;='Entregas Próximas'!$I$3,"Próximo a vencer","En curso"))),"")</f>
      </c>
      <c r="K41" s="200">
        <f>IF($C41,$H41-TODAY(),"")</f>
      </c>
      <c r="L41" s="200">
        <f>IF($C41,$N41*1000000+$H41+ROW()/100000,"")</f>
      </c>
      <c r="M41" s="200">
        <f>IF($C41,IF('Proyecto Datos (OKR´s)'!$E41="","(Sin sprint)",'Proyecto Datos (OKR´s)'!$E41),"")</f>
      </c>
      <c r="N41" s="200">
        <f>IF($C41,IF('Proyecto Datos (OKR´s)'!$E41="",9999,'Proyecto Datos (OKR´s)'!$E41),"")</f>
      </c>
    </row>
    <row r="42">
      <c r="A42" s="200">
        <f>ROW()</f>
      </c>
      <c r="B42" s="200">
        <f>ISTEXT('Proyecto Datos (OKR´s)'!$K42)</f>
      </c>
      <c r="C42" s="200">
        <f>AND(LEN('Proyecto Datos (OKR´s)'!$G42)&gt;0,NOT($B42),OR(ISNUMBER('Proyecto Datos (OKR´s)'!$F42),ISNUMBER('Proyecto Datos (OKR´s)'!$L42)))</f>
      </c>
      <c r="D42" s="201">
        <f>IF($C42,IFERROR(LOOKUP(2,1/((ISTEXT('Proyecto Datos (OKR´s)'!$K$7:$K42))*(LEN('Proyecto Datos (OKR´s)'!$G$7:$G42)&gt;0)),'Proyecto Datos (OKR´s)'!$G$7:$G42),""),"")</f>
      </c>
      <c r="E42" s="200">
        <f>IF($C42,'Proyecto Datos (OKR´s)'!$E42,"")</f>
      </c>
      <c r="F42" s="201">
        <f>IF($C42,'Proyecto Datos (OKR´s)'!$G42,"")</f>
      </c>
      <c r="G42" s="201">
        <f>IF($C42,IF('Proyecto Datos (OKR´s)'!$I42="","(Sin asignar)",'Proyecto Datos (OKR´s)'!$I42),"")</f>
      </c>
      <c r="H42" s="200">
        <f>IF($C42,IF(ISNUMBER('Proyecto Datos (OKR´s)'!$F42),'Proyecto Datos (OKR´s)'!$F42,'Proyecto Datos (OKR´s)'!$L42),"")</f>
      </c>
      <c r="I42" s="200">
        <f>IF($C42,'Proyecto Datos (OKR´s)'!$J42,"")</f>
      </c>
      <c r="J42" s="201">
        <f>IF($C42,IF($I42&gt;=1,"Completado",IF($H42&lt;TODAY(),"Vencido",IF(($H42-TODAY())&lt;='Entregas Próximas'!$I$3,"Próximo a vencer","En curso"))),"")</f>
      </c>
      <c r="K42" s="200">
        <f>IF($C42,$H42-TODAY(),"")</f>
      </c>
      <c r="L42" s="200">
        <f>IF($C42,$N42*1000000+$H42+ROW()/100000,"")</f>
      </c>
      <c r="M42" s="200">
        <f>IF($C42,IF('Proyecto Datos (OKR´s)'!$E42="","(Sin sprint)",'Proyecto Datos (OKR´s)'!$E42),"")</f>
      </c>
      <c r="N42" s="200">
        <f>IF($C42,IF('Proyecto Datos (OKR´s)'!$E42="",9999,'Proyecto Datos (OKR´s)'!$E42),"")</f>
      </c>
    </row>
    <row r="43">
      <c r="A43" s="200">
        <f>ROW()</f>
      </c>
      <c r="B43" s="200">
        <f>ISTEXT('Proyecto Datos (OKR´s)'!$K43)</f>
      </c>
      <c r="C43" s="200">
        <f>AND(LEN('Proyecto Datos (OKR´s)'!$G43)&gt;0,NOT($B43),OR(ISNUMBER('Proyecto Datos (OKR´s)'!$F43),ISNUMBER('Proyecto Datos (OKR´s)'!$L43)))</f>
      </c>
      <c r="D43" s="201">
        <f>IF($C43,IFERROR(LOOKUP(2,1/((ISTEXT('Proyecto Datos (OKR´s)'!$K$7:$K43))*(LEN('Proyecto Datos (OKR´s)'!$G$7:$G43)&gt;0)),'Proyecto Datos (OKR´s)'!$G$7:$G43),""),"")</f>
      </c>
      <c r="E43" s="200">
        <f>IF($C43,'Proyecto Datos (OKR´s)'!$E43,"")</f>
      </c>
      <c r="F43" s="201">
        <f>IF($C43,'Proyecto Datos (OKR´s)'!$G43,"")</f>
      </c>
      <c r="G43" s="201">
        <f>IF($C43,IF('Proyecto Datos (OKR´s)'!$I43="","(Sin asignar)",'Proyecto Datos (OKR´s)'!$I43),"")</f>
      </c>
      <c r="H43" s="200">
        <f>IF($C43,IF(ISNUMBER('Proyecto Datos (OKR´s)'!$F43),'Proyecto Datos (OKR´s)'!$F43,'Proyecto Datos (OKR´s)'!$L43),"")</f>
      </c>
      <c r="I43" s="200">
        <f>IF($C43,'Proyecto Datos (OKR´s)'!$J43,"")</f>
      </c>
      <c r="J43" s="201">
        <f>IF($C43,IF($I43&gt;=1,"Completado",IF($H43&lt;TODAY(),"Vencido",IF(($H43-TODAY())&lt;='Entregas Próximas'!$I$3,"Próximo a vencer","En curso"))),"")</f>
      </c>
      <c r="K43" s="200">
        <f>IF($C43,$H43-TODAY(),"")</f>
      </c>
      <c r="L43" s="200">
        <f>IF($C43,$N43*1000000+$H43+ROW()/100000,"")</f>
      </c>
      <c r="M43" s="200">
        <f>IF($C43,IF('Proyecto Datos (OKR´s)'!$E43="","(Sin sprint)",'Proyecto Datos (OKR´s)'!$E43),"")</f>
      </c>
      <c r="N43" s="200">
        <f>IF($C43,IF('Proyecto Datos (OKR´s)'!$E43="",9999,'Proyecto Datos (OKR´s)'!$E43),"")</f>
      </c>
    </row>
    <row r="44">
      <c r="A44" s="200">
        <f>ROW()</f>
      </c>
      <c r="B44" s="200">
        <f>ISTEXT('Proyecto Datos (OKR´s)'!$K44)</f>
      </c>
      <c r="C44" s="200">
        <f>AND(LEN('Proyecto Datos (OKR´s)'!$G44)&gt;0,NOT($B44),OR(ISNUMBER('Proyecto Datos (OKR´s)'!$F44),ISNUMBER('Proyecto Datos (OKR´s)'!$L44)))</f>
      </c>
      <c r="D44" s="201">
        <f>IF($C44,IFERROR(LOOKUP(2,1/((ISTEXT('Proyecto Datos (OKR´s)'!$K$7:$K44))*(LEN('Proyecto Datos (OKR´s)'!$G$7:$G44)&gt;0)),'Proyecto Datos (OKR´s)'!$G$7:$G44),""),"")</f>
      </c>
      <c r="E44" s="200">
        <f>IF($C44,'Proyecto Datos (OKR´s)'!$E44,"")</f>
      </c>
      <c r="F44" s="201">
        <f>IF($C44,'Proyecto Datos (OKR´s)'!$G44,"")</f>
      </c>
      <c r="G44" s="201">
        <f>IF($C44,IF('Proyecto Datos (OKR´s)'!$I44="","(Sin asignar)",'Proyecto Datos (OKR´s)'!$I44),"")</f>
      </c>
      <c r="H44" s="200">
        <f>IF($C44,IF(ISNUMBER('Proyecto Datos (OKR´s)'!$F44),'Proyecto Datos (OKR´s)'!$F44,'Proyecto Datos (OKR´s)'!$L44),"")</f>
      </c>
      <c r="I44" s="200">
        <f>IF($C44,'Proyecto Datos (OKR´s)'!$J44,"")</f>
      </c>
      <c r="J44" s="201">
        <f>IF($C44,IF($I44&gt;=1,"Completado",IF($H44&lt;TODAY(),"Vencido",IF(($H44-TODAY())&lt;='Entregas Próximas'!$I$3,"Próximo a vencer","En curso"))),"")</f>
      </c>
      <c r="K44" s="200">
        <f>IF($C44,$H44-TODAY(),"")</f>
      </c>
      <c r="L44" s="200">
        <f>IF($C44,$N44*1000000+$H44+ROW()/100000,"")</f>
      </c>
      <c r="M44" s="200">
        <f>IF($C44,IF('Proyecto Datos (OKR´s)'!$E44="","(Sin sprint)",'Proyecto Datos (OKR´s)'!$E44),"")</f>
      </c>
      <c r="N44" s="200">
        <f>IF($C44,IF('Proyecto Datos (OKR´s)'!$E44="",9999,'Proyecto Datos (OKR´s)'!$E44),"")</f>
      </c>
    </row>
    <row r="45">
      <c r="A45" s="200">
        <f>ROW()</f>
      </c>
      <c r="B45" s="200">
        <f>ISTEXT('Proyecto Datos (OKR´s)'!$K45)</f>
      </c>
      <c r="C45" s="200">
        <f>AND(LEN('Proyecto Datos (OKR´s)'!$G45)&gt;0,NOT($B45),OR(ISNUMBER('Proyecto Datos (OKR´s)'!$F45),ISNUMBER('Proyecto Datos (OKR´s)'!$L45)))</f>
      </c>
      <c r="D45" s="201">
        <f>IF($C45,IFERROR(LOOKUP(2,1/((ISTEXT('Proyecto Datos (OKR´s)'!$K$7:$K45))*(LEN('Proyecto Datos (OKR´s)'!$G$7:$G45)&gt;0)),'Proyecto Datos (OKR´s)'!$G$7:$G45),""),"")</f>
      </c>
      <c r="E45" s="200">
        <f>IF($C45,'Proyecto Datos (OKR´s)'!$E45,"")</f>
      </c>
      <c r="F45" s="201">
        <f>IF($C45,'Proyecto Datos (OKR´s)'!$G45,"")</f>
      </c>
      <c r="G45" s="201">
        <f>IF($C45,IF('Proyecto Datos (OKR´s)'!$I45="","(Sin asignar)",'Proyecto Datos (OKR´s)'!$I45),"")</f>
      </c>
      <c r="H45" s="200">
        <f>IF($C45,IF(ISNUMBER('Proyecto Datos (OKR´s)'!$F45),'Proyecto Datos (OKR´s)'!$F45,'Proyecto Datos (OKR´s)'!$L45),"")</f>
      </c>
      <c r="I45" s="200">
        <f>IF($C45,'Proyecto Datos (OKR´s)'!$J45,"")</f>
      </c>
      <c r="J45" s="201">
        <f>IF($C45,IF($I45&gt;=1,"Completado",IF($H45&lt;TODAY(),"Vencido",IF(($H45-TODAY())&lt;='Entregas Próximas'!$I$3,"Próximo a vencer","En curso"))),"")</f>
      </c>
      <c r="K45" s="200">
        <f>IF($C45,$H45-TODAY(),"")</f>
      </c>
      <c r="L45" s="200">
        <f>IF($C45,$N45*1000000+$H45+ROW()/100000,"")</f>
      </c>
      <c r="M45" s="200">
        <f>IF($C45,IF('Proyecto Datos (OKR´s)'!$E45="","(Sin sprint)",'Proyecto Datos (OKR´s)'!$E45),"")</f>
      </c>
      <c r="N45" s="200">
        <f>IF($C45,IF('Proyecto Datos (OKR´s)'!$E45="",9999,'Proyecto Datos (OKR´s)'!$E45),"")</f>
      </c>
    </row>
    <row r="46">
      <c r="A46" s="200">
        <f>ROW()</f>
      </c>
      <c r="B46" s="200">
        <f>ISTEXT('Proyecto Datos (OKR´s)'!$K46)</f>
      </c>
      <c r="C46" s="200">
        <f>AND(LEN('Proyecto Datos (OKR´s)'!$G46)&gt;0,NOT($B46),OR(ISNUMBER('Proyecto Datos (OKR´s)'!$F46),ISNUMBER('Proyecto Datos (OKR´s)'!$L46)))</f>
      </c>
      <c r="D46" s="201">
        <f>IF($C46,IFERROR(LOOKUP(2,1/((ISTEXT('Proyecto Datos (OKR´s)'!$K$7:$K46))*(LEN('Proyecto Datos (OKR´s)'!$G$7:$G46)&gt;0)),'Proyecto Datos (OKR´s)'!$G$7:$G46),""),"")</f>
      </c>
      <c r="E46" s="200">
        <f>IF($C46,'Proyecto Datos (OKR´s)'!$E46,"")</f>
      </c>
      <c r="F46" s="201">
        <f>IF($C46,'Proyecto Datos (OKR´s)'!$G46,"")</f>
      </c>
      <c r="G46" s="201">
        <f>IF($C46,IF('Proyecto Datos (OKR´s)'!$I46="","(Sin asignar)",'Proyecto Datos (OKR´s)'!$I46),"")</f>
      </c>
      <c r="H46" s="200">
        <f>IF($C46,IF(ISNUMBER('Proyecto Datos (OKR´s)'!$F46),'Proyecto Datos (OKR´s)'!$F46,'Proyecto Datos (OKR´s)'!$L46),"")</f>
      </c>
      <c r="I46" s="200">
        <f>IF($C46,'Proyecto Datos (OKR´s)'!$J46,"")</f>
      </c>
      <c r="J46" s="201">
        <f>IF($C46,IF($I46&gt;=1,"Completado",IF($H46&lt;TODAY(),"Vencido",IF(($H46-TODAY())&lt;='Entregas Próximas'!$I$3,"Próximo a vencer","En curso"))),"")</f>
      </c>
      <c r="K46" s="200">
        <f>IF($C46,$H46-TODAY(),"")</f>
      </c>
      <c r="L46" s="200">
        <f>IF($C46,$N46*1000000+$H46+ROW()/100000,"")</f>
      </c>
      <c r="M46" s="200">
        <f>IF($C46,IF('Proyecto Datos (OKR´s)'!$E46="","(Sin sprint)",'Proyecto Datos (OKR´s)'!$E46),"")</f>
      </c>
      <c r="N46" s="200">
        <f>IF($C46,IF('Proyecto Datos (OKR´s)'!$E46="",9999,'Proyecto Datos (OKR´s)'!$E46),"")</f>
      </c>
    </row>
    <row r="47">
      <c r="A47" s="200">
        <f>ROW()</f>
      </c>
      <c r="B47" s="200">
        <f>ISTEXT('Proyecto Datos (OKR´s)'!$K47)</f>
      </c>
      <c r="C47" s="200">
        <f>AND(LEN('Proyecto Datos (OKR´s)'!$G47)&gt;0,NOT($B47),OR(ISNUMBER('Proyecto Datos (OKR´s)'!$F47),ISNUMBER('Proyecto Datos (OKR´s)'!$L47)))</f>
      </c>
      <c r="D47" s="201">
        <f>IF($C47,IFERROR(LOOKUP(2,1/((ISTEXT('Proyecto Datos (OKR´s)'!$K$7:$K47))*(LEN('Proyecto Datos (OKR´s)'!$G$7:$G47)&gt;0)),'Proyecto Datos (OKR´s)'!$G$7:$G47),""),"")</f>
      </c>
      <c r="E47" s="200">
        <f>IF($C47,'Proyecto Datos (OKR´s)'!$E47,"")</f>
      </c>
      <c r="F47" s="201">
        <f>IF($C47,'Proyecto Datos (OKR´s)'!$G47,"")</f>
      </c>
      <c r="G47" s="201">
        <f>IF($C47,IF('Proyecto Datos (OKR´s)'!$I47="","(Sin asignar)",'Proyecto Datos (OKR´s)'!$I47),"")</f>
      </c>
      <c r="H47" s="200">
        <f>IF($C47,IF(ISNUMBER('Proyecto Datos (OKR´s)'!$F47),'Proyecto Datos (OKR´s)'!$F47,'Proyecto Datos (OKR´s)'!$L47),"")</f>
      </c>
      <c r="I47" s="200">
        <f>IF($C47,'Proyecto Datos (OKR´s)'!$J47,"")</f>
      </c>
      <c r="J47" s="201">
        <f>IF($C47,IF($I47&gt;=1,"Completado",IF($H47&lt;TODAY(),"Vencido",IF(($H47-TODAY())&lt;='Entregas Próximas'!$I$3,"Próximo a vencer","En curso"))),"")</f>
      </c>
      <c r="K47" s="200">
        <f>IF($C47,$H47-TODAY(),"")</f>
      </c>
      <c r="L47" s="200">
        <f>IF($C47,$N47*1000000+$H47+ROW()/100000,"")</f>
      </c>
      <c r="M47" s="200">
        <f>IF($C47,IF('Proyecto Datos (OKR´s)'!$E47="","(Sin sprint)",'Proyecto Datos (OKR´s)'!$E47),"")</f>
      </c>
      <c r="N47" s="200">
        <f>IF($C47,IF('Proyecto Datos (OKR´s)'!$E47="",9999,'Proyecto Datos (OKR´s)'!$E47),"")</f>
      </c>
    </row>
    <row r="48">
      <c r="A48" s="200">
        <f>ROW()</f>
      </c>
      <c r="B48" s="200">
        <f>ISTEXT('Proyecto Datos (OKR´s)'!$K48)</f>
      </c>
      <c r="C48" s="200">
        <f>AND(LEN('Proyecto Datos (OKR´s)'!$G48)&gt;0,NOT($B48),OR(ISNUMBER('Proyecto Datos (OKR´s)'!$F48),ISNUMBER('Proyecto Datos (OKR´s)'!$L48)))</f>
      </c>
      <c r="D48" s="201">
        <f>IF($C48,IFERROR(LOOKUP(2,1/((ISTEXT('Proyecto Datos (OKR´s)'!$K$7:$K48))*(LEN('Proyecto Datos (OKR´s)'!$G$7:$G48)&gt;0)),'Proyecto Datos (OKR´s)'!$G$7:$G48),""),"")</f>
      </c>
      <c r="E48" s="200">
        <f>IF($C48,'Proyecto Datos (OKR´s)'!$E48,"")</f>
      </c>
      <c r="F48" s="201">
        <f>IF($C48,'Proyecto Datos (OKR´s)'!$G48,"")</f>
      </c>
      <c r="G48" s="201">
        <f>IF($C48,IF('Proyecto Datos (OKR´s)'!$I48="","(Sin asignar)",'Proyecto Datos (OKR´s)'!$I48),"")</f>
      </c>
      <c r="H48" s="200">
        <f>IF($C48,IF(ISNUMBER('Proyecto Datos (OKR´s)'!$F48),'Proyecto Datos (OKR´s)'!$F48,'Proyecto Datos (OKR´s)'!$L48),"")</f>
      </c>
      <c r="I48" s="200">
        <f>IF($C48,'Proyecto Datos (OKR´s)'!$J48,"")</f>
      </c>
      <c r="J48" s="201">
        <f>IF($C48,IF($I48&gt;=1,"Completado",IF($H48&lt;TODAY(),"Vencido",IF(($H48-TODAY())&lt;='Entregas Próximas'!$I$3,"Próximo a vencer","En curso"))),"")</f>
      </c>
      <c r="K48" s="200">
        <f>IF($C48,$H48-TODAY(),"")</f>
      </c>
      <c r="L48" s="200">
        <f>IF($C48,$N48*1000000+$H48+ROW()/100000,"")</f>
      </c>
      <c r="M48" s="200">
        <f>IF($C48,IF('Proyecto Datos (OKR´s)'!$E48="","(Sin sprint)",'Proyecto Datos (OKR´s)'!$E48),"")</f>
      </c>
      <c r="N48" s="200">
        <f>IF($C48,IF('Proyecto Datos (OKR´s)'!$E48="",9999,'Proyecto Datos (OKR´s)'!$E48),"")</f>
      </c>
    </row>
    <row r="49">
      <c r="A49" s="200">
        <f>ROW()</f>
      </c>
      <c r="B49" s="200">
        <f>ISTEXT('Proyecto Datos (OKR´s)'!$K49)</f>
      </c>
      <c r="C49" s="200">
        <f>AND(LEN('Proyecto Datos (OKR´s)'!$G49)&gt;0,NOT($B49),OR(ISNUMBER('Proyecto Datos (OKR´s)'!$F49),ISNUMBER('Proyecto Datos (OKR´s)'!$L49)))</f>
      </c>
      <c r="D49" s="201">
        <f>IF($C49,IFERROR(LOOKUP(2,1/((ISTEXT('Proyecto Datos (OKR´s)'!$K$7:$K49))*(LEN('Proyecto Datos (OKR´s)'!$G$7:$G49)&gt;0)),'Proyecto Datos (OKR´s)'!$G$7:$G49),""),"")</f>
      </c>
      <c r="E49" s="200">
        <f>IF($C49,'Proyecto Datos (OKR´s)'!$E49,"")</f>
      </c>
      <c r="F49" s="201">
        <f>IF($C49,'Proyecto Datos (OKR´s)'!$G49,"")</f>
      </c>
      <c r="G49" s="201">
        <f>IF($C49,IF('Proyecto Datos (OKR´s)'!$I49="","(Sin asignar)",'Proyecto Datos (OKR´s)'!$I49),"")</f>
      </c>
      <c r="H49" s="200">
        <f>IF($C49,IF(ISNUMBER('Proyecto Datos (OKR´s)'!$F49),'Proyecto Datos (OKR´s)'!$F49,'Proyecto Datos (OKR´s)'!$L49),"")</f>
      </c>
      <c r="I49" s="200">
        <f>IF($C49,'Proyecto Datos (OKR´s)'!$J49,"")</f>
      </c>
      <c r="J49" s="201">
        <f>IF($C49,IF($I49&gt;=1,"Completado",IF($H49&lt;TODAY(),"Vencido",IF(($H49-TODAY())&lt;='Entregas Próximas'!$I$3,"Próximo a vencer","En curso"))),"")</f>
      </c>
      <c r="K49" s="200">
        <f>IF($C49,$H49-TODAY(),"")</f>
      </c>
      <c r="L49" s="200">
        <f>IF($C49,$N49*1000000+$H49+ROW()/100000,"")</f>
      </c>
      <c r="M49" s="200">
        <f>IF($C49,IF('Proyecto Datos (OKR´s)'!$E49="","(Sin sprint)",'Proyecto Datos (OKR´s)'!$E49),"")</f>
      </c>
      <c r="N49" s="200">
        <f>IF($C49,IF('Proyecto Datos (OKR´s)'!$E49="",9999,'Proyecto Datos (OKR´s)'!$E49),"")</f>
      </c>
    </row>
    <row r="50">
      <c r="A50" s="200">
        <f>ROW()</f>
      </c>
      <c r="B50" s="200">
        <f>ISTEXT('Proyecto Datos (OKR´s)'!$K50)</f>
      </c>
      <c r="C50" s="200">
        <f>AND(LEN('Proyecto Datos (OKR´s)'!$G50)&gt;0,NOT($B50),OR(ISNUMBER('Proyecto Datos (OKR´s)'!$F50),ISNUMBER('Proyecto Datos (OKR´s)'!$L50)))</f>
      </c>
      <c r="D50" s="201">
        <f>IF($C50,IFERROR(LOOKUP(2,1/((ISTEXT('Proyecto Datos (OKR´s)'!$K$7:$K50))*(LEN('Proyecto Datos (OKR´s)'!$G$7:$G50)&gt;0)),'Proyecto Datos (OKR´s)'!$G$7:$G50),""),"")</f>
      </c>
      <c r="E50" s="200">
        <f>IF($C50,'Proyecto Datos (OKR´s)'!$E50,"")</f>
      </c>
      <c r="F50" s="201">
        <f>IF($C50,'Proyecto Datos (OKR´s)'!$G50,"")</f>
      </c>
      <c r="G50" s="201">
        <f>IF($C50,IF('Proyecto Datos (OKR´s)'!$I50="","(Sin asignar)",'Proyecto Datos (OKR´s)'!$I50),"")</f>
      </c>
      <c r="H50" s="200">
        <f>IF($C50,IF(ISNUMBER('Proyecto Datos (OKR´s)'!$F50),'Proyecto Datos (OKR´s)'!$F50,'Proyecto Datos (OKR´s)'!$L50),"")</f>
      </c>
      <c r="I50" s="200">
        <f>IF($C50,'Proyecto Datos (OKR´s)'!$J50,"")</f>
      </c>
      <c r="J50" s="201">
        <f>IF($C50,IF($I50&gt;=1,"Completado",IF($H50&lt;TODAY(),"Vencido",IF(($H50-TODAY())&lt;='Entregas Próximas'!$I$3,"Próximo a vencer","En curso"))),"")</f>
      </c>
      <c r="K50" s="200">
        <f>IF($C50,$H50-TODAY(),"")</f>
      </c>
      <c r="L50" s="200">
        <f>IF($C50,$N50*1000000+$H50+ROW()/100000,"")</f>
      </c>
      <c r="M50" s="200">
        <f>IF($C50,IF('Proyecto Datos (OKR´s)'!$E50="","(Sin sprint)",'Proyecto Datos (OKR´s)'!$E50),"")</f>
      </c>
      <c r="N50" s="200">
        <f>IF($C50,IF('Proyecto Datos (OKR´s)'!$E50="",9999,'Proyecto Datos (OKR´s)'!$E50),"")</f>
      </c>
    </row>
    <row r="51">
      <c r="A51" s="200">
        <f>ROW()</f>
      </c>
      <c r="B51" s="200">
        <f>ISTEXT('Proyecto Datos (OKR´s)'!$K51)</f>
      </c>
      <c r="C51" s="200">
        <f>AND(LEN('Proyecto Datos (OKR´s)'!$G51)&gt;0,NOT($B51),OR(ISNUMBER('Proyecto Datos (OKR´s)'!$F51),ISNUMBER('Proyecto Datos (OKR´s)'!$L51)))</f>
      </c>
      <c r="D51" s="201">
        <f>IF($C51,IFERROR(LOOKUP(2,1/((ISTEXT('Proyecto Datos (OKR´s)'!$K$7:$K51))*(LEN('Proyecto Datos (OKR´s)'!$G$7:$G51)&gt;0)),'Proyecto Datos (OKR´s)'!$G$7:$G51),""),"")</f>
      </c>
      <c r="E51" s="200">
        <f>IF($C51,'Proyecto Datos (OKR´s)'!$E51,"")</f>
      </c>
      <c r="F51" s="201">
        <f>IF($C51,'Proyecto Datos (OKR´s)'!$G51,"")</f>
      </c>
      <c r="G51" s="201">
        <f>IF($C51,IF('Proyecto Datos (OKR´s)'!$I51="","(Sin asignar)",'Proyecto Datos (OKR´s)'!$I51),"")</f>
      </c>
      <c r="H51" s="200">
        <f>IF($C51,IF(ISNUMBER('Proyecto Datos (OKR´s)'!$F51),'Proyecto Datos (OKR´s)'!$F51,'Proyecto Datos (OKR´s)'!$L51),"")</f>
      </c>
      <c r="I51" s="200">
        <f>IF($C51,'Proyecto Datos (OKR´s)'!$J51,"")</f>
      </c>
      <c r="J51" s="201">
        <f>IF($C51,IF($I51&gt;=1,"Completado",IF($H51&lt;TODAY(),"Vencido",IF(($H51-TODAY())&lt;='Entregas Próximas'!$I$3,"Próximo a vencer","En curso"))),"")</f>
      </c>
      <c r="K51" s="200">
        <f>IF($C51,$H51-TODAY(),"")</f>
      </c>
      <c r="L51" s="200">
        <f>IF($C51,$N51*1000000+$H51+ROW()/100000,"")</f>
      </c>
      <c r="M51" s="200">
        <f>IF($C51,IF('Proyecto Datos (OKR´s)'!$E51="","(Sin sprint)",'Proyecto Datos (OKR´s)'!$E51),"")</f>
      </c>
      <c r="N51" s="200">
        <f>IF($C51,IF('Proyecto Datos (OKR´s)'!$E51="",9999,'Proyecto Datos (OKR´s)'!$E51),"")</f>
      </c>
    </row>
    <row r="52">
      <c r="A52" s="200">
        <f>ROW()</f>
      </c>
      <c r="B52" s="200">
        <f>ISTEXT('Proyecto Datos (OKR´s)'!$K52)</f>
      </c>
      <c r="C52" s="200">
        <f>AND(LEN('Proyecto Datos (OKR´s)'!$G52)&gt;0,NOT($B52),OR(ISNUMBER('Proyecto Datos (OKR´s)'!$F52),ISNUMBER('Proyecto Datos (OKR´s)'!$L52)))</f>
      </c>
      <c r="D52" s="201">
        <f>IF($C52,IFERROR(LOOKUP(2,1/((ISTEXT('Proyecto Datos (OKR´s)'!$K$7:$K52))*(LEN('Proyecto Datos (OKR´s)'!$G$7:$G52)&gt;0)),'Proyecto Datos (OKR´s)'!$G$7:$G52),""),"")</f>
      </c>
      <c r="E52" s="200">
        <f>IF($C52,'Proyecto Datos (OKR´s)'!$E52,"")</f>
      </c>
      <c r="F52" s="201">
        <f>IF($C52,'Proyecto Datos (OKR´s)'!$G52,"")</f>
      </c>
      <c r="G52" s="201">
        <f>IF($C52,IF('Proyecto Datos (OKR´s)'!$I52="","(Sin asignar)",'Proyecto Datos (OKR´s)'!$I52),"")</f>
      </c>
      <c r="H52" s="200">
        <f>IF($C52,IF(ISNUMBER('Proyecto Datos (OKR´s)'!$F52),'Proyecto Datos (OKR´s)'!$F52,'Proyecto Datos (OKR´s)'!$L52),"")</f>
      </c>
      <c r="I52" s="200">
        <f>IF($C52,'Proyecto Datos (OKR´s)'!$J52,"")</f>
      </c>
      <c r="J52" s="201">
        <f>IF($C52,IF($I52&gt;=1,"Completado",IF($H52&lt;TODAY(),"Vencido",IF(($H52-TODAY())&lt;='Entregas Próximas'!$I$3,"Próximo a vencer","En curso"))),"")</f>
      </c>
      <c r="K52" s="200">
        <f>IF($C52,$H52-TODAY(),"")</f>
      </c>
      <c r="L52" s="200">
        <f>IF($C52,$N52*1000000+$H52+ROW()/100000,"")</f>
      </c>
      <c r="M52" s="200">
        <f>IF($C52,IF('Proyecto Datos (OKR´s)'!$E52="","(Sin sprint)",'Proyecto Datos (OKR´s)'!$E52),"")</f>
      </c>
      <c r="N52" s="200">
        <f>IF($C52,IF('Proyecto Datos (OKR´s)'!$E52="",9999,'Proyecto Datos (OKR´s)'!$E52),"")</f>
      </c>
    </row>
    <row r="53">
      <c r="A53" s="200">
        <f>ROW()</f>
      </c>
      <c r="B53" s="200">
        <f>ISTEXT('Proyecto Datos (OKR´s)'!$K53)</f>
      </c>
      <c r="C53" s="200">
        <f>AND(LEN('Proyecto Datos (OKR´s)'!$G53)&gt;0,NOT($B53),OR(ISNUMBER('Proyecto Datos (OKR´s)'!$F53),ISNUMBER('Proyecto Datos (OKR´s)'!$L53)))</f>
      </c>
      <c r="D53" s="201">
        <f>IF($C53,IFERROR(LOOKUP(2,1/((ISTEXT('Proyecto Datos (OKR´s)'!$K$7:$K53))*(LEN('Proyecto Datos (OKR´s)'!$G$7:$G53)&gt;0)),'Proyecto Datos (OKR´s)'!$G$7:$G53),""),"")</f>
      </c>
      <c r="E53" s="200">
        <f>IF($C53,'Proyecto Datos (OKR´s)'!$E53,"")</f>
      </c>
      <c r="F53" s="201">
        <f>IF($C53,'Proyecto Datos (OKR´s)'!$G53,"")</f>
      </c>
      <c r="G53" s="201">
        <f>IF($C53,IF('Proyecto Datos (OKR´s)'!$I53="","(Sin asignar)",'Proyecto Datos (OKR´s)'!$I53),"")</f>
      </c>
      <c r="H53" s="200">
        <f>IF($C53,IF(ISNUMBER('Proyecto Datos (OKR´s)'!$F53),'Proyecto Datos (OKR´s)'!$F53,'Proyecto Datos (OKR´s)'!$L53),"")</f>
      </c>
      <c r="I53" s="200">
        <f>IF($C53,'Proyecto Datos (OKR´s)'!$J53,"")</f>
      </c>
      <c r="J53" s="201">
        <f>IF($C53,IF($I53&gt;=1,"Completado",IF($H53&lt;TODAY(),"Vencido",IF(($H53-TODAY())&lt;='Entregas Próximas'!$I$3,"Próximo a vencer","En curso"))),"")</f>
      </c>
      <c r="K53" s="200">
        <f>IF($C53,$H53-TODAY(),"")</f>
      </c>
      <c r="L53" s="200">
        <f>IF($C53,$N53*1000000+$H53+ROW()/100000,"")</f>
      </c>
      <c r="M53" s="200">
        <f>IF($C53,IF('Proyecto Datos (OKR´s)'!$E53="","(Sin sprint)",'Proyecto Datos (OKR´s)'!$E53),"")</f>
      </c>
      <c r="N53" s="200">
        <f>IF($C53,IF('Proyecto Datos (OKR´s)'!$E53="",9999,'Proyecto Datos (OKR´s)'!$E53),"")</f>
      </c>
    </row>
    <row r="54">
      <c r="A54" s="200">
        <f>ROW()</f>
      </c>
      <c r="B54" s="200">
        <f>ISTEXT('Proyecto Datos (OKR´s)'!$K54)</f>
      </c>
      <c r="C54" s="200">
        <f>AND(LEN('Proyecto Datos (OKR´s)'!$G54)&gt;0,NOT($B54),OR(ISNUMBER('Proyecto Datos (OKR´s)'!$F54),ISNUMBER('Proyecto Datos (OKR´s)'!$L54)))</f>
      </c>
      <c r="D54" s="201">
        <f>IF($C54,IFERROR(LOOKUP(2,1/((ISTEXT('Proyecto Datos (OKR´s)'!$K$7:$K54))*(LEN('Proyecto Datos (OKR´s)'!$G$7:$G54)&gt;0)),'Proyecto Datos (OKR´s)'!$G$7:$G54),""),"")</f>
      </c>
      <c r="E54" s="200">
        <f>IF($C54,'Proyecto Datos (OKR´s)'!$E54,"")</f>
      </c>
      <c r="F54" s="201">
        <f>IF($C54,'Proyecto Datos (OKR´s)'!$G54,"")</f>
      </c>
      <c r="G54" s="201">
        <f>IF($C54,IF('Proyecto Datos (OKR´s)'!$I54="","(Sin asignar)",'Proyecto Datos (OKR´s)'!$I54),"")</f>
      </c>
      <c r="H54" s="200">
        <f>IF($C54,IF(ISNUMBER('Proyecto Datos (OKR´s)'!$F54),'Proyecto Datos (OKR´s)'!$F54,'Proyecto Datos (OKR´s)'!$L54),"")</f>
      </c>
      <c r="I54" s="200">
        <f>IF($C54,'Proyecto Datos (OKR´s)'!$J54,"")</f>
      </c>
      <c r="J54" s="201">
        <f>IF($C54,IF($I54&gt;=1,"Completado",IF($H54&lt;TODAY(),"Vencido",IF(($H54-TODAY())&lt;='Entregas Próximas'!$I$3,"Próximo a vencer","En curso"))),"")</f>
      </c>
      <c r="K54" s="200">
        <f>IF($C54,$H54-TODAY(),"")</f>
      </c>
      <c r="L54" s="200">
        <f>IF($C54,$N54*1000000+$H54+ROW()/100000,"")</f>
      </c>
      <c r="M54" s="200">
        <f>IF($C54,IF('Proyecto Datos (OKR´s)'!$E54="","(Sin sprint)",'Proyecto Datos (OKR´s)'!$E54),"")</f>
      </c>
      <c r="N54" s="200">
        <f>IF($C54,IF('Proyecto Datos (OKR´s)'!$E54="",9999,'Proyecto Datos (OKR´s)'!$E54),"")</f>
      </c>
    </row>
    <row r="55">
      <c r="A55" s="200">
        <f>ROW()</f>
      </c>
      <c r="B55" s="200">
        <f>ISTEXT('Proyecto Datos (OKR´s)'!$K55)</f>
      </c>
      <c r="C55" s="200">
        <f>AND(LEN('Proyecto Datos (OKR´s)'!$G55)&gt;0,NOT($B55),OR(ISNUMBER('Proyecto Datos (OKR´s)'!$F55),ISNUMBER('Proyecto Datos (OKR´s)'!$L55)))</f>
      </c>
      <c r="D55" s="201">
        <f>IF($C55,IFERROR(LOOKUP(2,1/((ISTEXT('Proyecto Datos (OKR´s)'!$K$7:$K55))*(LEN('Proyecto Datos (OKR´s)'!$G$7:$G55)&gt;0)),'Proyecto Datos (OKR´s)'!$G$7:$G55),""),"")</f>
      </c>
      <c r="E55" s="200">
        <f>IF($C55,'Proyecto Datos (OKR´s)'!$E55,"")</f>
      </c>
      <c r="F55" s="201">
        <f>IF($C55,'Proyecto Datos (OKR´s)'!$G55,"")</f>
      </c>
      <c r="G55" s="201">
        <f>IF($C55,IF('Proyecto Datos (OKR´s)'!$I55="","(Sin asignar)",'Proyecto Datos (OKR´s)'!$I55),"")</f>
      </c>
      <c r="H55" s="200">
        <f>IF($C55,IF(ISNUMBER('Proyecto Datos (OKR´s)'!$F55),'Proyecto Datos (OKR´s)'!$F55,'Proyecto Datos (OKR´s)'!$L55),"")</f>
      </c>
      <c r="I55" s="200">
        <f>IF($C55,'Proyecto Datos (OKR´s)'!$J55,"")</f>
      </c>
      <c r="J55" s="201">
        <f>IF($C55,IF($I55&gt;=1,"Completado",IF($H55&lt;TODAY(),"Vencido",IF(($H55-TODAY())&lt;='Entregas Próximas'!$I$3,"Próximo a vencer","En curso"))),"")</f>
      </c>
      <c r="K55" s="200">
        <f>IF($C55,$H55-TODAY(),"")</f>
      </c>
      <c r="L55" s="200">
        <f>IF($C55,$N55*1000000+$H55+ROW()/100000,"")</f>
      </c>
      <c r="M55" s="200">
        <f>IF($C55,IF('Proyecto Datos (OKR´s)'!$E55="","(Sin sprint)",'Proyecto Datos (OKR´s)'!$E55),"")</f>
      </c>
      <c r="N55" s="200">
        <f>IF($C55,IF('Proyecto Datos (OKR´s)'!$E55="",9999,'Proyecto Datos (OKR´s)'!$E55),"")</f>
      </c>
    </row>
    <row r="56">
      <c r="A56" s="200">
        <f>ROW()</f>
      </c>
      <c r="B56" s="200">
        <f>ISTEXT('Proyecto Datos (OKR´s)'!$K56)</f>
      </c>
      <c r="C56" s="200">
        <f>AND(LEN('Proyecto Datos (OKR´s)'!$G56)&gt;0,NOT($B56),OR(ISNUMBER('Proyecto Datos (OKR´s)'!$F56),ISNUMBER('Proyecto Datos (OKR´s)'!$L56)))</f>
      </c>
      <c r="D56" s="201">
        <f>IF($C56,IFERROR(LOOKUP(2,1/((ISTEXT('Proyecto Datos (OKR´s)'!$K$7:$K56))*(LEN('Proyecto Datos (OKR´s)'!$G$7:$G56)&gt;0)),'Proyecto Datos (OKR´s)'!$G$7:$G56),""),"")</f>
      </c>
      <c r="E56" s="200">
        <f>IF($C56,'Proyecto Datos (OKR´s)'!$E56,"")</f>
      </c>
      <c r="F56" s="201">
        <f>IF($C56,'Proyecto Datos (OKR´s)'!$G56,"")</f>
      </c>
      <c r="G56" s="201">
        <f>IF($C56,IF('Proyecto Datos (OKR´s)'!$I56="","(Sin asignar)",'Proyecto Datos (OKR´s)'!$I56),"")</f>
      </c>
      <c r="H56" s="200">
        <f>IF($C56,IF(ISNUMBER('Proyecto Datos (OKR´s)'!$F56),'Proyecto Datos (OKR´s)'!$F56,'Proyecto Datos (OKR´s)'!$L56),"")</f>
      </c>
      <c r="I56" s="200">
        <f>IF($C56,'Proyecto Datos (OKR´s)'!$J56,"")</f>
      </c>
      <c r="J56" s="201">
        <f>IF($C56,IF($I56&gt;=1,"Completado",IF($H56&lt;TODAY(),"Vencido",IF(($H56-TODAY())&lt;='Entregas Próximas'!$I$3,"Próximo a vencer","En curso"))),"")</f>
      </c>
      <c r="K56" s="200">
        <f>IF($C56,$H56-TODAY(),"")</f>
      </c>
      <c r="L56" s="200">
        <f>IF($C56,$N56*1000000+$H56+ROW()/100000,"")</f>
      </c>
      <c r="M56" s="200">
        <f>IF($C56,IF('Proyecto Datos (OKR´s)'!$E56="","(Sin sprint)",'Proyecto Datos (OKR´s)'!$E56),"")</f>
      </c>
      <c r="N56" s="200">
        <f>IF($C56,IF('Proyecto Datos (OKR´s)'!$E56="",9999,'Proyecto Datos (OKR´s)'!$E56),"")</f>
      </c>
    </row>
    <row r="57">
      <c r="A57" s="200">
        <f>ROW()</f>
      </c>
      <c r="B57" s="200">
        <f>ISTEXT('Proyecto Datos (OKR´s)'!$K57)</f>
      </c>
      <c r="C57" s="200">
        <f>AND(LEN('Proyecto Datos (OKR´s)'!$G57)&gt;0,NOT($B57),OR(ISNUMBER('Proyecto Datos (OKR´s)'!$F57),ISNUMBER('Proyecto Datos (OKR´s)'!$L57)))</f>
      </c>
      <c r="D57" s="201">
        <f>IF($C57,IFERROR(LOOKUP(2,1/((ISTEXT('Proyecto Datos (OKR´s)'!$K$7:$K57))*(LEN('Proyecto Datos (OKR´s)'!$G$7:$G57)&gt;0)),'Proyecto Datos (OKR´s)'!$G$7:$G57),""),"")</f>
      </c>
      <c r="E57" s="200">
        <f>IF($C57,'Proyecto Datos (OKR´s)'!$E57,"")</f>
      </c>
      <c r="F57" s="201">
        <f>IF($C57,'Proyecto Datos (OKR´s)'!$G57,"")</f>
      </c>
      <c r="G57" s="201">
        <f>IF($C57,IF('Proyecto Datos (OKR´s)'!$I57="","(Sin asignar)",'Proyecto Datos (OKR´s)'!$I57),"")</f>
      </c>
      <c r="H57" s="200">
        <f>IF($C57,IF(ISNUMBER('Proyecto Datos (OKR´s)'!$F57),'Proyecto Datos (OKR´s)'!$F57,'Proyecto Datos (OKR´s)'!$L57),"")</f>
      </c>
      <c r="I57" s="200">
        <f>IF($C57,'Proyecto Datos (OKR´s)'!$J57,"")</f>
      </c>
      <c r="J57" s="201">
        <f>IF($C57,IF($I57&gt;=1,"Completado",IF($H57&lt;TODAY(),"Vencido",IF(($H57-TODAY())&lt;='Entregas Próximas'!$I$3,"Próximo a vencer","En curso"))),"")</f>
      </c>
      <c r="K57" s="200">
        <f>IF($C57,$H57-TODAY(),"")</f>
      </c>
      <c r="L57" s="200">
        <f>IF($C57,$N57*1000000+$H57+ROW()/100000,"")</f>
      </c>
      <c r="M57" s="200">
        <f>IF($C57,IF('Proyecto Datos (OKR´s)'!$E57="","(Sin sprint)",'Proyecto Datos (OKR´s)'!$E57),"")</f>
      </c>
      <c r="N57" s="200">
        <f>IF($C57,IF('Proyecto Datos (OKR´s)'!$E57="",9999,'Proyecto Datos (OKR´s)'!$E57),"")</f>
      </c>
    </row>
    <row r="58">
      <c r="A58" s="200">
        <f>ROW()</f>
      </c>
      <c r="B58" s="200">
        <f>ISTEXT('Proyecto Datos (OKR´s)'!$K58)</f>
      </c>
      <c r="C58" s="200">
        <f>AND(LEN('Proyecto Datos (OKR´s)'!$G58)&gt;0,NOT($B58),OR(ISNUMBER('Proyecto Datos (OKR´s)'!$F58),ISNUMBER('Proyecto Datos (OKR´s)'!$L58)))</f>
      </c>
      <c r="D58" s="201">
        <f>IF($C58,IFERROR(LOOKUP(2,1/((ISTEXT('Proyecto Datos (OKR´s)'!$K$7:$K58))*(LEN('Proyecto Datos (OKR´s)'!$G$7:$G58)&gt;0)),'Proyecto Datos (OKR´s)'!$G$7:$G58),""),"")</f>
      </c>
      <c r="E58" s="200">
        <f>IF($C58,'Proyecto Datos (OKR´s)'!$E58,"")</f>
      </c>
      <c r="F58" s="201">
        <f>IF($C58,'Proyecto Datos (OKR´s)'!$G58,"")</f>
      </c>
      <c r="G58" s="201">
        <f>IF($C58,IF('Proyecto Datos (OKR´s)'!$I58="","(Sin asignar)",'Proyecto Datos (OKR´s)'!$I58),"")</f>
      </c>
      <c r="H58" s="200">
        <f>IF($C58,IF(ISNUMBER('Proyecto Datos (OKR´s)'!$F58),'Proyecto Datos (OKR´s)'!$F58,'Proyecto Datos (OKR´s)'!$L58),"")</f>
      </c>
      <c r="I58" s="200">
        <f>IF($C58,'Proyecto Datos (OKR´s)'!$J58,"")</f>
      </c>
      <c r="J58" s="201">
        <f>IF($C58,IF($I58&gt;=1,"Completado",IF($H58&lt;TODAY(),"Vencido",IF(($H58-TODAY())&lt;='Entregas Próximas'!$I$3,"Próximo a vencer","En curso"))),"")</f>
      </c>
      <c r="K58" s="200">
        <f>IF($C58,$H58-TODAY(),"")</f>
      </c>
      <c r="L58" s="200">
        <f>IF($C58,$N58*1000000+$H58+ROW()/100000,"")</f>
      </c>
      <c r="M58" s="200">
        <f>IF($C58,IF('Proyecto Datos (OKR´s)'!$E58="","(Sin sprint)",'Proyecto Datos (OKR´s)'!$E58),"")</f>
      </c>
      <c r="N58" s="200">
        <f>IF($C58,IF('Proyecto Datos (OKR´s)'!$E58="",9999,'Proyecto Datos (OKR´s)'!$E58),"")</f>
      </c>
    </row>
    <row r="59">
      <c r="A59" s="200">
        <f>ROW()</f>
      </c>
      <c r="B59" s="200">
        <f>ISTEXT('Proyecto Datos (OKR´s)'!$K59)</f>
      </c>
      <c r="C59" s="200">
        <f>AND(LEN('Proyecto Datos (OKR´s)'!$G59)&gt;0,NOT($B59),OR(ISNUMBER('Proyecto Datos (OKR´s)'!$F59),ISNUMBER('Proyecto Datos (OKR´s)'!$L59)))</f>
      </c>
      <c r="D59" s="201">
        <f>IF($C59,IFERROR(LOOKUP(2,1/((ISTEXT('Proyecto Datos (OKR´s)'!$K$7:$K59))*(LEN('Proyecto Datos (OKR´s)'!$G$7:$G59)&gt;0)),'Proyecto Datos (OKR´s)'!$G$7:$G59),""),"")</f>
      </c>
      <c r="E59" s="200">
        <f>IF($C59,'Proyecto Datos (OKR´s)'!$E59,"")</f>
      </c>
      <c r="F59" s="201">
        <f>IF($C59,'Proyecto Datos (OKR´s)'!$G59,"")</f>
      </c>
      <c r="G59" s="201">
        <f>IF($C59,IF('Proyecto Datos (OKR´s)'!$I59="","(Sin asignar)",'Proyecto Datos (OKR´s)'!$I59),"")</f>
      </c>
      <c r="H59" s="200">
        <f>IF($C59,IF(ISNUMBER('Proyecto Datos (OKR´s)'!$F59),'Proyecto Datos (OKR´s)'!$F59,'Proyecto Datos (OKR´s)'!$L59),"")</f>
      </c>
      <c r="I59" s="200">
        <f>IF($C59,'Proyecto Datos (OKR´s)'!$J59,"")</f>
      </c>
      <c r="J59" s="201">
        <f>IF($C59,IF($I59&gt;=1,"Completado",IF($H59&lt;TODAY(),"Vencido",IF(($H59-TODAY())&lt;='Entregas Próximas'!$I$3,"Próximo a vencer","En curso"))),"")</f>
      </c>
      <c r="K59" s="200">
        <f>IF($C59,$H59-TODAY(),"")</f>
      </c>
      <c r="L59" s="200">
        <f>IF($C59,$N59*1000000+$H59+ROW()/100000,"")</f>
      </c>
      <c r="M59" s="200">
        <f>IF($C59,IF('Proyecto Datos (OKR´s)'!$E59="","(Sin sprint)",'Proyecto Datos (OKR´s)'!$E59),"")</f>
      </c>
      <c r="N59" s="200">
        <f>IF($C59,IF('Proyecto Datos (OKR´s)'!$E59="",9999,'Proyecto Datos (OKR´s)'!$E59),"")</f>
      </c>
    </row>
    <row r="60">
      <c r="A60" s="200">
        <f>ROW()</f>
      </c>
      <c r="B60" s="200">
        <f>ISTEXT('Proyecto Datos (OKR´s)'!$K60)</f>
      </c>
      <c r="C60" s="200">
        <f>AND(LEN('Proyecto Datos (OKR´s)'!$G60)&gt;0,NOT($B60),OR(ISNUMBER('Proyecto Datos (OKR´s)'!$F60),ISNUMBER('Proyecto Datos (OKR´s)'!$L60)))</f>
      </c>
      <c r="D60" s="201">
        <f>IF($C60,IFERROR(LOOKUP(2,1/((ISTEXT('Proyecto Datos (OKR´s)'!$K$7:$K60))*(LEN('Proyecto Datos (OKR´s)'!$G$7:$G60)&gt;0)),'Proyecto Datos (OKR´s)'!$G$7:$G60),""),"")</f>
      </c>
      <c r="E60" s="200">
        <f>IF($C60,'Proyecto Datos (OKR´s)'!$E60,"")</f>
      </c>
      <c r="F60" s="201">
        <f>IF($C60,'Proyecto Datos (OKR´s)'!$G60,"")</f>
      </c>
      <c r="G60" s="201">
        <f>IF($C60,IF('Proyecto Datos (OKR´s)'!$I60="","(Sin asignar)",'Proyecto Datos (OKR´s)'!$I60),"")</f>
      </c>
      <c r="H60" s="200">
        <f>IF($C60,IF(ISNUMBER('Proyecto Datos (OKR´s)'!$F60),'Proyecto Datos (OKR´s)'!$F60,'Proyecto Datos (OKR´s)'!$L60),"")</f>
      </c>
      <c r="I60" s="200">
        <f>IF($C60,'Proyecto Datos (OKR´s)'!$J60,"")</f>
      </c>
      <c r="J60" s="201">
        <f>IF($C60,IF($I60&gt;=1,"Completado",IF($H60&lt;TODAY(),"Vencido",IF(($H60-TODAY())&lt;='Entregas Próximas'!$I$3,"Próximo a vencer","En curso"))),"")</f>
      </c>
      <c r="K60" s="200">
        <f>IF($C60,$H60-TODAY(),"")</f>
      </c>
      <c r="L60" s="200">
        <f>IF($C60,$N60*1000000+$H60+ROW()/100000,"")</f>
      </c>
      <c r="M60" s="200">
        <f>IF($C60,IF('Proyecto Datos (OKR´s)'!$E60="","(Sin sprint)",'Proyecto Datos (OKR´s)'!$E60),"")</f>
      </c>
      <c r="N60" s="200">
        <f>IF($C60,IF('Proyecto Datos (OKR´s)'!$E60="",9999,'Proyecto Datos (OKR´s)'!$E60),"")</f>
      </c>
    </row>
    <row r="61">
      <c r="A61" s="200">
        <f>ROW()</f>
      </c>
      <c r="B61" s="200">
        <f>ISTEXT('Proyecto Datos (OKR´s)'!$K61)</f>
      </c>
      <c r="C61" s="200">
        <f>AND(LEN('Proyecto Datos (OKR´s)'!$G61)&gt;0,NOT($B61),OR(ISNUMBER('Proyecto Datos (OKR´s)'!$F61),ISNUMBER('Proyecto Datos (OKR´s)'!$L61)))</f>
      </c>
      <c r="D61" s="201">
        <f>IF($C61,IFERROR(LOOKUP(2,1/((ISTEXT('Proyecto Datos (OKR´s)'!$K$7:$K61))*(LEN('Proyecto Datos (OKR´s)'!$G$7:$G61)&gt;0)),'Proyecto Datos (OKR´s)'!$G$7:$G61),""),"")</f>
      </c>
      <c r="E61" s="200">
        <f>IF($C61,'Proyecto Datos (OKR´s)'!$E61,"")</f>
      </c>
      <c r="F61" s="201">
        <f>IF($C61,'Proyecto Datos (OKR´s)'!$G61,"")</f>
      </c>
      <c r="G61" s="201">
        <f>IF($C61,IF('Proyecto Datos (OKR´s)'!$I61="","(Sin asignar)",'Proyecto Datos (OKR´s)'!$I61),"")</f>
      </c>
      <c r="H61" s="200">
        <f>IF($C61,IF(ISNUMBER('Proyecto Datos (OKR´s)'!$F61),'Proyecto Datos (OKR´s)'!$F61,'Proyecto Datos (OKR´s)'!$L61),"")</f>
      </c>
      <c r="I61" s="200">
        <f>IF($C61,'Proyecto Datos (OKR´s)'!$J61,"")</f>
      </c>
      <c r="J61" s="201">
        <f>IF($C61,IF($I61&gt;=1,"Completado",IF($H61&lt;TODAY(),"Vencido",IF(($H61-TODAY())&lt;='Entregas Próximas'!$I$3,"Próximo a vencer","En curso"))),"")</f>
      </c>
      <c r="K61" s="200">
        <f>IF($C61,$H61-TODAY(),"")</f>
      </c>
      <c r="L61" s="200">
        <f>IF($C61,$N61*1000000+$H61+ROW()/100000,"")</f>
      </c>
      <c r="M61" s="200">
        <f>IF($C61,IF('Proyecto Datos (OKR´s)'!$E61="","(Sin sprint)",'Proyecto Datos (OKR´s)'!$E61),"")</f>
      </c>
      <c r="N61" s="200">
        <f>IF($C61,IF('Proyecto Datos (OKR´s)'!$E61="",9999,'Proyecto Datos (OKR´s)'!$E61),"")</f>
      </c>
    </row>
    <row r="62">
      <c r="A62" s="200">
        <f>ROW()</f>
      </c>
      <c r="B62" s="200">
        <f>ISTEXT('Proyecto Datos (OKR´s)'!$K62)</f>
      </c>
      <c r="C62" s="200">
        <f>AND(LEN('Proyecto Datos (OKR´s)'!$G62)&gt;0,NOT($B62),OR(ISNUMBER('Proyecto Datos (OKR´s)'!$F62),ISNUMBER('Proyecto Datos (OKR´s)'!$L62)))</f>
      </c>
      <c r="D62" s="201">
        <f>IF($C62,IFERROR(LOOKUP(2,1/((ISTEXT('Proyecto Datos (OKR´s)'!$K$7:$K62))*(LEN('Proyecto Datos (OKR´s)'!$G$7:$G62)&gt;0)),'Proyecto Datos (OKR´s)'!$G$7:$G62),""),"")</f>
      </c>
      <c r="E62" s="200">
        <f>IF($C62,'Proyecto Datos (OKR´s)'!$E62,"")</f>
      </c>
      <c r="F62" s="201">
        <f>IF($C62,'Proyecto Datos (OKR´s)'!$G62,"")</f>
      </c>
      <c r="G62" s="201">
        <f>IF($C62,IF('Proyecto Datos (OKR´s)'!$I62="","(Sin asignar)",'Proyecto Datos (OKR´s)'!$I62),"")</f>
      </c>
      <c r="H62" s="200">
        <f>IF($C62,IF(ISNUMBER('Proyecto Datos (OKR´s)'!$F62),'Proyecto Datos (OKR´s)'!$F62,'Proyecto Datos (OKR´s)'!$L62),"")</f>
      </c>
      <c r="I62" s="200">
        <f>IF($C62,'Proyecto Datos (OKR´s)'!$J62,"")</f>
      </c>
      <c r="J62" s="201">
        <f>IF($C62,IF($I62&gt;=1,"Completado",IF($H62&lt;TODAY(),"Vencido",IF(($H62-TODAY())&lt;='Entregas Próximas'!$I$3,"Próximo a vencer","En curso"))),"")</f>
      </c>
      <c r="K62" s="200">
        <f>IF($C62,$H62-TODAY(),"")</f>
      </c>
      <c r="L62" s="200">
        <f>IF($C62,$N62*1000000+$H62+ROW()/100000,"")</f>
      </c>
      <c r="M62" s="200">
        <f>IF($C62,IF('Proyecto Datos (OKR´s)'!$E62="","(Sin sprint)",'Proyecto Datos (OKR´s)'!$E62),"")</f>
      </c>
      <c r="N62" s="200">
        <f>IF($C62,IF('Proyecto Datos (OKR´s)'!$E62="",9999,'Proyecto Datos (OKR´s)'!$E62),"")</f>
      </c>
    </row>
    <row r="63">
      <c r="A63" s="200">
        <f>ROW()</f>
      </c>
      <c r="B63" s="200">
        <f>ISTEXT('Proyecto Datos (OKR´s)'!$K63)</f>
      </c>
      <c r="C63" s="200">
        <f>AND(LEN('Proyecto Datos (OKR´s)'!$G63)&gt;0,NOT($B63),OR(ISNUMBER('Proyecto Datos (OKR´s)'!$F63),ISNUMBER('Proyecto Datos (OKR´s)'!$L63)))</f>
      </c>
      <c r="D63" s="201">
        <f>IF($C63,IFERROR(LOOKUP(2,1/((ISTEXT('Proyecto Datos (OKR´s)'!$K$7:$K63))*(LEN('Proyecto Datos (OKR´s)'!$G$7:$G63)&gt;0)),'Proyecto Datos (OKR´s)'!$G$7:$G63),""),"")</f>
      </c>
      <c r="E63" s="200">
        <f>IF($C63,'Proyecto Datos (OKR´s)'!$E63,"")</f>
      </c>
      <c r="F63" s="201">
        <f>IF($C63,'Proyecto Datos (OKR´s)'!$G63,"")</f>
      </c>
      <c r="G63" s="201">
        <f>IF($C63,IF('Proyecto Datos (OKR´s)'!$I63="","(Sin asignar)",'Proyecto Datos (OKR´s)'!$I63),"")</f>
      </c>
      <c r="H63" s="200">
        <f>IF($C63,IF(ISNUMBER('Proyecto Datos (OKR´s)'!$F63),'Proyecto Datos (OKR´s)'!$F63,'Proyecto Datos (OKR´s)'!$L63),"")</f>
      </c>
      <c r="I63" s="200">
        <f>IF($C63,'Proyecto Datos (OKR´s)'!$J63,"")</f>
      </c>
      <c r="J63" s="201">
        <f>IF($C63,IF($I63&gt;=1,"Completado",IF($H63&lt;TODAY(),"Vencido",IF(($H63-TODAY())&lt;='Entregas Próximas'!$I$3,"Próximo a vencer","En curso"))),"")</f>
      </c>
      <c r="K63" s="200">
        <f>IF($C63,$H63-TODAY(),"")</f>
      </c>
      <c r="L63" s="200">
        <f>IF($C63,$N63*1000000+$H63+ROW()/100000,"")</f>
      </c>
      <c r="M63" s="200">
        <f>IF($C63,IF('Proyecto Datos (OKR´s)'!$E63="","(Sin sprint)",'Proyecto Datos (OKR´s)'!$E63),"")</f>
      </c>
      <c r="N63" s="200">
        <f>IF($C63,IF('Proyecto Datos (OKR´s)'!$E63="",9999,'Proyecto Datos (OKR´s)'!$E63),"")</f>
      </c>
    </row>
    <row r="64">
      <c r="A64" s="200">
        <f>ROW()</f>
      </c>
      <c r="B64" s="200">
        <f>ISTEXT('Proyecto Datos (OKR´s)'!$K64)</f>
      </c>
      <c r="C64" s="200">
        <f>AND(LEN('Proyecto Datos (OKR´s)'!$G64)&gt;0,NOT($B64),OR(ISNUMBER('Proyecto Datos (OKR´s)'!$F64),ISNUMBER('Proyecto Datos (OKR´s)'!$L64)))</f>
      </c>
      <c r="D64" s="201">
        <f>IF($C64,IFERROR(LOOKUP(2,1/((ISTEXT('Proyecto Datos (OKR´s)'!$K$7:$K64))*(LEN('Proyecto Datos (OKR´s)'!$G$7:$G64)&gt;0)),'Proyecto Datos (OKR´s)'!$G$7:$G64),""),"")</f>
      </c>
      <c r="E64" s="200">
        <f>IF($C64,'Proyecto Datos (OKR´s)'!$E64,"")</f>
      </c>
      <c r="F64" s="201">
        <f>IF($C64,'Proyecto Datos (OKR´s)'!$G64,"")</f>
      </c>
      <c r="G64" s="201">
        <f>IF($C64,IF('Proyecto Datos (OKR´s)'!$I64="","(Sin asignar)",'Proyecto Datos (OKR´s)'!$I64),"")</f>
      </c>
      <c r="H64" s="200">
        <f>IF($C64,IF(ISNUMBER('Proyecto Datos (OKR´s)'!$F64),'Proyecto Datos (OKR´s)'!$F64,'Proyecto Datos (OKR´s)'!$L64),"")</f>
      </c>
      <c r="I64" s="200">
        <f>IF($C64,'Proyecto Datos (OKR´s)'!$J64,"")</f>
      </c>
      <c r="J64" s="201">
        <f>IF($C64,IF($I64&gt;=1,"Completado",IF($H64&lt;TODAY(),"Vencido",IF(($H64-TODAY())&lt;='Entregas Próximas'!$I$3,"Próximo a vencer","En curso"))),"")</f>
      </c>
      <c r="K64" s="200">
        <f>IF($C64,$H64-TODAY(),"")</f>
      </c>
      <c r="L64" s="200">
        <f>IF($C64,$N64*1000000+$H64+ROW()/100000,"")</f>
      </c>
      <c r="M64" s="200">
        <f>IF($C64,IF('Proyecto Datos (OKR´s)'!$E64="","(Sin sprint)",'Proyecto Datos (OKR´s)'!$E64),"")</f>
      </c>
      <c r="N64" s="200">
        <f>IF($C64,IF('Proyecto Datos (OKR´s)'!$E64="",9999,'Proyecto Datos (OKR´s)'!$E64),"")</f>
      </c>
    </row>
    <row r="65">
      <c r="A65" s="200">
        <f>ROW()</f>
      </c>
      <c r="B65" s="200">
        <f>ISTEXT('Proyecto Datos (OKR´s)'!$K65)</f>
      </c>
      <c r="C65" s="200">
        <f>AND(LEN('Proyecto Datos (OKR´s)'!$G65)&gt;0,NOT($B65),OR(ISNUMBER('Proyecto Datos (OKR´s)'!$F65),ISNUMBER('Proyecto Datos (OKR´s)'!$L65)))</f>
      </c>
      <c r="D65" s="201">
        <f>IF($C65,IFERROR(LOOKUP(2,1/((ISTEXT('Proyecto Datos (OKR´s)'!$K$7:$K65))*(LEN('Proyecto Datos (OKR´s)'!$G$7:$G65)&gt;0)),'Proyecto Datos (OKR´s)'!$G$7:$G65),""),"")</f>
      </c>
      <c r="E65" s="200">
        <f>IF($C65,'Proyecto Datos (OKR´s)'!$E65,"")</f>
      </c>
      <c r="F65" s="201">
        <f>IF($C65,'Proyecto Datos (OKR´s)'!$G65,"")</f>
      </c>
      <c r="G65" s="201">
        <f>IF($C65,IF('Proyecto Datos (OKR´s)'!$I65="","(Sin asignar)",'Proyecto Datos (OKR´s)'!$I65),"")</f>
      </c>
      <c r="H65" s="200">
        <f>IF($C65,IF(ISNUMBER('Proyecto Datos (OKR´s)'!$F65),'Proyecto Datos (OKR´s)'!$F65,'Proyecto Datos (OKR´s)'!$L65),"")</f>
      </c>
      <c r="I65" s="200">
        <f>IF($C65,'Proyecto Datos (OKR´s)'!$J65,"")</f>
      </c>
      <c r="J65" s="201">
        <f>IF($C65,IF($I65&gt;=1,"Completado",IF($H65&lt;TODAY(),"Vencido",IF(($H65-TODAY())&lt;='Entregas Próximas'!$I$3,"Próximo a vencer","En curso"))),"")</f>
      </c>
      <c r="K65" s="200">
        <f>IF($C65,$H65-TODAY(),"")</f>
      </c>
      <c r="L65" s="200">
        <f>IF($C65,$N65*1000000+$H65+ROW()/100000,"")</f>
      </c>
      <c r="M65" s="200">
        <f>IF($C65,IF('Proyecto Datos (OKR´s)'!$E65="","(Sin sprint)",'Proyecto Datos (OKR´s)'!$E65),"")</f>
      </c>
      <c r="N65" s="200">
        <f>IF($C65,IF('Proyecto Datos (OKR´s)'!$E65="",9999,'Proyecto Datos (OKR´s)'!$E65),"")</f>
      </c>
    </row>
    <row r="66">
      <c r="A66" s="200">
        <f>ROW()</f>
      </c>
      <c r="B66" s="200">
        <f>ISTEXT('Proyecto Datos (OKR´s)'!$K66)</f>
      </c>
      <c r="C66" s="200">
        <f>AND(LEN('Proyecto Datos (OKR´s)'!$G66)&gt;0,NOT($B66),OR(ISNUMBER('Proyecto Datos (OKR´s)'!$F66),ISNUMBER('Proyecto Datos (OKR´s)'!$L66)))</f>
      </c>
      <c r="D66" s="201">
        <f>IF($C66,IFERROR(LOOKUP(2,1/((ISTEXT('Proyecto Datos (OKR´s)'!$K$7:$K66))*(LEN('Proyecto Datos (OKR´s)'!$G$7:$G66)&gt;0)),'Proyecto Datos (OKR´s)'!$G$7:$G66),""),"")</f>
      </c>
      <c r="E66" s="200">
        <f>IF($C66,'Proyecto Datos (OKR´s)'!$E66,"")</f>
      </c>
      <c r="F66" s="201">
        <f>IF($C66,'Proyecto Datos (OKR´s)'!$G66,"")</f>
      </c>
      <c r="G66" s="201">
        <f>IF($C66,IF('Proyecto Datos (OKR´s)'!$I66="","(Sin asignar)",'Proyecto Datos (OKR´s)'!$I66),"")</f>
      </c>
      <c r="H66" s="200">
        <f>IF($C66,IF(ISNUMBER('Proyecto Datos (OKR´s)'!$F66),'Proyecto Datos (OKR´s)'!$F66,'Proyecto Datos (OKR´s)'!$L66),"")</f>
      </c>
      <c r="I66" s="200">
        <f>IF($C66,'Proyecto Datos (OKR´s)'!$J66,"")</f>
      </c>
      <c r="J66" s="201">
        <f>IF($C66,IF($I66&gt;=1,"Completado",IF($H66&lt;TODAY(),"Vencido",IF(($H66-TODAY())&lt;='Entregas Próximas'!$I$3,"Próximo a vencer","En curso"))),"")</f>
      </c>
      <c r="K66" s="200">
        <f>IF($C66,$H66-TODAY(),"")</f>
      </c>
      <c r="L66" s="200">
        <f>IF($C66,$N66*1000000+$H66+ROW()/100000,"")</f>
      </c>
      <c r="M66" s="200">
        <f>IF($C66,IF('Proyecto Datos (OKR´s)'!$E66="","(Sin sprint)",'Proyecto Datos (OKR´s)'!$E66),"")</f>
      </c>
      <c r="N66" s="200">
        <f>IF($C66,IF('Proyecto Datos (OKR´s)'!$E66="",9999,'Proyecto Datos (OKR´s)'!$E66),"")</f>
      </c>
    </row>
    <row r="67">
      <c r="A67" s="200">
        <f>ROW()</f>
      </c>
      <c r="B67" s="200">
        <f>ISTEXT('Proyecto Datos (OKR´s)'!$K67)</f>
      </c>
      <c r="C67" s="200">
        <f>AND(LEN('Proyecto Datos (OKR´s)'!$G67)&gt;0,NOT($B67),OR(ISNUMBER('Proyecto Datos (OKR´s)'!$F67),ISNUMBER('Proyecto Datos (OKR´s)'!$L67)))</f>
      </c>
      <c r="D67" s="201">
        <f>IF($C67,IFERROR(LOOKUP(2,1/((ISTEXT('Proyecto Datos (OKR´s)'!$K$7:$K67))*(LEN('Proyecto Datos (OKR´s)'!$G$7:$G67)&gt;0)),'Proyecto Datos (OKR´s)'!$G$7:$G67),""),"")</f>
      </c>
      <c r="E67" s="200">
        <f>IF($C67,'Proyecto Datos (OKR´s)'!$E67,"")</f>
      </c>
      <c r="F67" s="201">
        <f>IF($C67,'Proyecto Datos (OKR´s)'!$G67,"")</f>
      </c>
      <c r="G67" s="201">
        <f>IF($C67,IF('Proyecto Datos (OKR´s)'!$I67="","(Sin asignar)",'Proyecto Datos (OKR´s)'!$I67),"")</f>
      </c>
      <c r="H67" s="200">
        <f>IF($C67,IF(ISNUMBER('Proyecto Datos (OKR´s)'!$F67),'Proyecto Datos (OKR´s)'!$F67,'Proyecto Datos (OKR´s)'!$L67),"")</f>
      </c>
      <c r="I67" s="200">
        <f>IF($C67,'Proyecto Datos (OKR´s)'!$J67,"")</f>
      </c>
      <c r="J67" s="201">
        <f>IF($C67,IF($I67&gt;=1,"Completado",IF($H67&lt;TODAY(),"Vencido",IF(($H67-TODAY())&lt;='Entregas Próximas'!$I$3,"Próximo a vencer","En curso"))),"")</f>
      </c>
      <c r="K67" s="200">
        <f>IF($C67,$H67-TODAY(),"")</f>
      </c>
      <c r="L67" s="200">
        <f>IF($C67,$N67*1000000+$H67+ROW()/100000,"")</f>
      </c>
      <c r="M67" s="200">
        <f>IF($C67,IF('Proyecto Datos (OKR´s)'!$E67="","(Sin sprint)",'Proyecto Datos (OKR´s)'!$E67),"")</f>
      </c>
      <c r="N67" s="200">
        <f>IF($C67,IF('Proyecto Datos (OKR´s)'!$E67="",9999,'Proyecto Datos (OKR´s)'!$E67),"")</f>
      </c>
    </row>
    <row r="68">
      <c r="A68" s="200">
        <f>ROW()</f>
      </c>
      <c r="B68" s="200">
        <f>ISTEXT('Proyecto Datos (OKR´s)'!$K68)</f>
      </c>
      <c r="C68" s="200">
        <f>AND(LEN('Proyecto Datos (OKR´s)'!$G68)&gt;0,NOT($B68),OR(ISNUMBER('Proyecto Datos (OKR´s)'!$F68),ISNUMBER('Proyecto Datos (OKR´s)'!$L68)))</f>
      </c>
      <c r="D68" s="201">
        <f>IF($C68,IFERROR(LOOKUP(2,1/((ISTEXT('Proyecto Datos (OKR´s)'!$K$7:$K68))*(LEN('Proyecto Datos (OKR´s)'!$G$7:$G68)&gt;0)),'Proyecto Datos (OKR´s)'!$G$7:$G68),""),"")</f>
      </c>
      <c r="E68" s="200">
        <f>IF($C68,'Proyecto Datos (OKR´s)'!$E68,"")</f>
      </c>
      <c r="F68" s="201">
        <f>IF($C68,'Proyecto Datos (OKR´s)'!$G68,"")</f>
      </c>
      <c r="G68" s="201">
        <f>IF($C68,IF('Proyecto Datos (OKR´s)'!$I68="","(Sin asignar)",'Proyecto Datos (OKR´s)'!$I68),"")</f>
      </c>
      <c r="H68" s="200">
        <f>IF($C68,IF(ISNUMBER('Proyecto Datos (OKR´s)'!$F68),'Proyecto Datos (OKR´s)'!$F68,'Proyecto Datos (OKR´s)'!$L68),"")</f>
      </c>
      <c r="I68" s="200">
        <f>IF($C68,'Proyecto Datos (OKR´s)'!$J68,"")</f>
      </c>
      <c r="J68" s="201">
        <f>IF($C68,IF($I68&gt;=1,"Completado",IF($H68&lt;TODAY(),"Vencido",IF(($H68-TODAY())&lt;='Entregas Próximas'!$I$3,"Próximo a vencer","En curso"))),"")</f>
      </c>
      <c r="K68" s="200">
        <f>IF($C68,$H68-TODAY(),"")</f>
      </c>
      <c r="L68" s="200">
        <f>IF($C68,$N68*1000000+$H68+ROW()/100000,"")</f>
      </c>
      <c r="M68" s="200">
        <f>IF($C68,IF('Proyecto Datos (OKR´s)'!$E68="","(Sin sprint)",'Proyecto Datos (OKR´s)'!$E68),"")</f>
      </c>
      <c r="N68" s="200">
        <f>IF($C68,IF('Proyecto Datos (OKR´s)'!$E68="",9999,'Proyecto Datos (OKR´s)'!$E68),"")</f>
      </c>
    </row>
    <row r="69">
      <c r="A69" s="200">
        <f>ROW()</f>
      </c>
      <c r="B69" s="200">
        <f>ISTEXT('Proyecto Datos (OKR´s)'!$K69)</f>
      </c>
      <c r="C69" s="200">
        <f>AND(LEN('Proyecto Datos (OKR´s)'!$G69)&gt;0,NOT($B69),OR(ISNUMBER('Proyecto Datos (OKR´s)'!$F69),ISNUMBER('Proyecto Datos (OKR´s)'!$L69)))</f>
      </c>
      <c r="D69" s="201">
        <f>IF($C69,IFERROR(LOOKUP(2,1/((ISTEXT('Proyecto Datos (OKR´s)'!$K$7:$K69))*(LEN('Proyecto Datos (OKR´s)'!$G$7:$G69)&gt;0)),'Proyecto Datos (OKR´s)'!$G$7:$G69),""),"")</f>
      </c>
      <c r="E69" s="200">
        <f>IF($C69,'Proyecto Datos (OKR´s)'!$E69,"")</f>
      </c>
      <c r="F69" s="201">
        <f>IF($C69,'Proyecto Datos (OKR´s)'!$G69,"")</f>
      </c>
      <c r="G69" s="201">
        <f>IF($C69,IF('Proyecto Datos (OKR´s)'!$I69="","(Sin asignar)",'Proyecto Datos (OKR´s)'!$I69),"")</f>
      </c>
      <c r="H69" s="200">
        <f>IF($C69,IF(ISNUMBER('Proyecto Datos (OKR´s)'!$F69),'Proyecto Datos (OKR´s)'!$F69,'Proyecto Datos (OKR´s)'!$L69),"")</f>
      </c>
      <c r="I69" s="200">
        <f>IF($C69,'Proyecto Datos (OKR´s)'!$J69,"")</f>
      </c>
      <c r="J69" s="201">
        <f>IF($C69,IF($I69&gt;=1,"Completado",IF($H69&lt;TODAY(),"Vencido",IF(($H69-TODAY())&lt;='Entregas Próximas'!$I$3,"Próximo a vencer","En curso"))),"")</f>
      </c>
      <c r="K69" s="200">
        <f>IF($C69,$H69-TODAY(),"")</f>
      </c>
      <c r="L69" s="200">
        <f>IF($C69,$N69*1000000+$H69+ROW()/100000,"")</f>
      </c>
      <c r="M69" s="200">
        <f>IF($C69,IF('Proyecto Datos (OKR´s)'!$E69="","(Sin sprint)",'Proyecto Datos (OKR´s)'!$E69),"")</f>
      </c>
      <c r="N69" s="200">
        <f>IF($C69,IF('Proyecto Datos (OKR´s)'!$E69="",9999,'Proyecto Datos (OKR´s)'!$E69),"")</f>
      </c>
    </row>
    <row r="70">
      <c r="A70" s="200">
        <f>ROW()</f>
      </c>
      <c r="B70" s="200">
        <f>ISTEXT('Proyecto Datos (OKR´s)'!$K70)</f>
      </c>
      <c r="C70" s="200">
        <f>AND(LEN('Proyecto Datos (OKR´s)'!$G70)&gt;0,NOT($B70),OR(ISNUMBER('Proyecto Datos (OKR´s)'!$F70),ISNUMBER('Proyecto Datos (OKR´s)'!$L70)))</f>
      </c>
      <c r="D70" s="201">
        <f>IF($C70,IFERROR(LOOKUP(2,1/((ISTEXT('Proyecto Datos (OKR´s)'!$K$7:$K70))*(LEN('Proyecto Datos (OKR´s)'!$G$7:$G70)&gt;0)),'Proyecto Datos (OKR´s)'!$G$7:$G70),""),"")</f>
      </c>
      <c r="E70" s="200">
        <f>IF($C70,'Proyecto Datos (OKR´s)'!$E70,"")</f>
      </c>
      <c r="F70" s="201">
        <f>IF($C70,'Proyecto Datos (OKR´s)'!$G70,"")</f>
      </c>
      <c r="G70" s="201">
        <f>IF($C70,IF('Proyecto Datos (OKR´s)'!$I70="","(Sin asignar)",'Proyecto Datos (OKR´s)'!$I70),"")</f>
      </c>
      <c r="H70" s="200">
        <f>IF($C70,IF(ISNUMBER('Proyecto Datos (OKR´s)'!$F70),'Proyecto Datos (OKR´s)'!$F70,'Proyecto Datos (OKR´s)'!$L70),"")</f>
      </c>
      <c r="I70" s="200">
        <f>IF($C70,'Proyecto Datos (OKR´s)'!$J70,"")</f>
      </c>
      <c r="J70" s="201">
        <f>IF($C70,IF($I70&gt;=1,"Completado",IF($H70&lt;TODAY(),"Vencido",IF(($H70-TODAY())&lt;='Entregas Próximas'!$I$3,"Próximo a vencer","En curso"))),"")</f>
      </c>
      <c r="K70" s="200">
        <f>IF($C70,$H70-TODAY(),"")</f>
      </c>
      <c r="L70" s="200">
        <f>IF($C70,$N70*1000000+$H70+ROW()/100000,"")</f>
      </c>
      <c r="M70" s="200">
        <f>IF($C70,IF('Proyecto Datos (OKR´s)'!$E70="","(Sin sprint)",'Proyecto Datos (OKR´s)'!$E70),"")</f>
      </c>
      <c r="N70" s="200">
        <f>IF($C70,IF('Proyecto Datos (OKR´s)'!$E70="",9999,'Proyecto Datos (OKR´s)'!$E70),"")</f>
      </c>
    </row>
    <row r="71">
      <c r="A71" s="200">
        <f>ROW()</f>
      </c>
      <c r="B71" s="200">
        <f>ISTEXT('Proyecto Datos (OKR´s)'!$K71)</f>
      </c>
      <c r="C71" s="200">
        <f>AND(LEN('Proyecto Datos (OKR´s)'!$G71)&gt;0,NOT($B71),OR(ISNUMBER('Proyecto Datos (OKR´s)'!$F71),ISNUMBER('Proyecto Datos (OKR´s)'!$L71)))</f>
      </c>
      <c r="D71" s="201">
        <f>IF($C71,IFERROR(LOOKUP(2,1/((ISTEXT('Proyecto Datos (OKR´s)'!$K$7:$K71))*(LEN('Proyecto Datos (OKR´s)'!$G$7:$G71)&gt;0)),'Proyecto Datos (OKR´s)'!$G$7:$G71),""),"")</f>
      </c>
      <c r="E71" s="200">
        <f>IF($C71,'Proyecto Datos (OKR´s)'!$E71,"")</f>
      </c>
      <c r="F71" s="201">
        <f>IF($C71,'Proyecto Datos (OKR´s)'!$G71,"")</f>
      </c>
      <c r="G71" s="201">
        <f>IF($C71,IF('Proyecto Datos (OKR´s)'!$I71="","(Sin asignar)",'Proyecto Datos (OKR´s)'!$I71),"")</f>
      </c>
      <c r="H71" s="200">
        <f>IF($C71,IF(ISNUMBER('Proyecto Datos (OKR´s)'!$F71),'Proyecto Datos (OKR´s)'!$F71,'Proyecto Datos (OKR´s)'!$L71),"")</f>
      </c>
      <c r="I71" s="200">
        <f>IF($C71,'Proyecto Datos (OKR´s)'!$J71,"")</f>
      </c>
      <c r="J71" s="201">
        <f>IF($C71,IF($I71&gt;=1,"Completado",IF($H71&lt;TODAY(),"Vencido",IF(($H71-TODAY())&lt;='Entregas Próximas'!$I$3,"Próximo a vencer","En curso"))),"")</f>
      </c>
      <c r="K71" s="200">
        <f>IF($C71,$H71-TODAY(),"")</f>
      </c>
      <c r="L71" s="200">
        <f>IF($C71,$N71*1000000+$H71+ROW()/100000,"")</f>
      </c>
      <c r="M71" s="200">
        <f>IF($C71,IF('Proyecto Datos (OKR´s)'!$E71="","(Sin sprint)",'Proyecto Datos (OKR´s)'!$E71),"")</f>
      </c>
      <c r="N71" s="200">
        <f>IF($C71,IF('Proyecto Datos (OKR´s)'!$E71="",9999,'Proyecto Datos (OKR´s)'!$E71),"")</f>
      </c>
    </row>
    <row r="72">
      <c r="A72" s="200">
        <f>ROW()</f>
      </c>
      <c r="B72" s="200">
        <f>ISTEXT('Proyecto Datos (OKR´s)'!$K72)</f>
      </c>
      <c r="C72" s="200">
        <f>AND(LEN('Proyecto Datos (OKR´s)'!$G72)&gt;0,NOT($B72),OR(ISNUMBER('Proyecto Datos (OKR´s)'!$F72),ISNUMBER('Proyecto Datos (OKR´s)'!$L72)))</f>
      </c>
      <c r="D72" s="201">
        <f>IF($C72,IFERROR(LOOKUP(2,1/((ISTEXT('Proyecto Datos (OKR´s)'!$K$7:$K72))*(LEN('Proyecto Datos (OKR´s)'!$G$7:$G72)&gt;0)),'Proyecto Datos (OKR´s)'!$G$7:$G72),""),"")</f>
      </c>
      <c r="E72" s="200">
        <f>IF($C72,'Proyecto Datos (OKR´s)'!$E72,"")</f>
      </c>
      <c r="F72" s="201">
        <f>IF($C72,'Proyecto Datos (OKR´s)'!$G72,"")</f>
      </c>
      <c r="G72" s="201">
        <f>IF($C72,IF('Proyecto Datos (OKR´s)'!$I72="","(Sin asignar)",'Proyecto Datos (OKR´s)'!$I72),"")</f>
      </c>
      <c r="H72" s="200">
        <f>IF($C72,IF(ISNUMBER('Proyecto Datos (OKR´s)'!$F72),'Proyecto Datos (OKR´s)'!$F72,'Proyecto Datos (OKR´s)'!$L72),"")</f>
      </c>
      <c r="I72" s="200">
        <f>IF($C72,'Proyecto Datos (OKR´s)'!$J72,"")</f>
      </c>
      <c r="J72" s="201">
        <f>IF($C72,IF($I72&gt;=1,"Completado",IF($H72&lt;TODAY(),"Vencido",IF(($H72-TODAY())&lt;='Entregas Próximas'!$I$3,"Próximo a vencer","En curso"))),"")</f>
      </c>
      <c r="K72" s="200">
        <f>IF($C72,$H72-TODAY(),"")</f>
      </c>
      <c r="L72" s="200">
        <f>IF($C72,$N72*1000000+$H72+ROW()/100000,"")</f>
      </c>
      <c r="M72" s="200">
        <f>IF($C72,IF('Proyecto Datos (OKR´s)'!$E72="","(Sin sprint)",'Proyecto Datos (OKR´s)'!$E72),"")</f>
      </c>
      <c r="N72" s="200">
        <f>IF($C72,IF('Proyecto Datos (OKR´s)'!$E72="",9999,'Proyecto Datos (OKR´s)'!$E72),"")</f>
      </c>
    </row>
    <row r="73">
      <c r="A73" s="200">
        <f>ROW()</f>
      </c>
      <c r="B73" s="200">
        <f>ISTEXT('Proyecto Datos (OKR´s)'!$K73)</f>
      </c>
      <c r="C73" s="200">
        <f>AND(LEN('Proyecto Datos (OKR´s)'!$G73)&gt;0,NOT($B73),OR(ISNUMBER('Proyecto Datos (OKR´s)'!$F73),ISNUMBER('Proyecto Datos (OKR´s)'!$L73)))</f>
      </c>
      <c r="D73" s="201">
        <f>IF($C73,IFERROR(LOOKUP(2,1/((ISTEXT('Proyecto Datos (OKR´s)'!$K$7:$K73))*(LEN('Proyecto Datos (OKR´s)'!$G$7:$G73)&gt;0)),'Proyecto Datos (OKR´s)'!$G$7:$G73),""),"")</f>
      </c>
      <c r="E73" s="200">
        <f>IF($C73,'Proyecto Datos (OKR´s)'!$E73,"")</f>
      </c>
      <c r="F73" s="201">
        <f>IF($C73,'Proyecto Datos (OKR´s)'!$G73,"")</f>
      </c>
      <c r="G73" s="201">
        <f>IF($C73,IF('Proyecto Datos (OKR´s)'!$I73="","(Sin asignar)",'Proyecto Datos (OKR´s)'!$I73),"")</f>
      </c>
      <c r="H73" s="200">
        <f>IF($C73,IF(ISNUMBER('Proyecto Datos (OKR´s)'!$F73),'Proyecto Datos (OKR´s)'!$F73,'Proyecto Datos (OKR´s)'!$L73),"")</f>
      </c>
      <c r="I73" s="200">
        <f>IF($C73,'Proyecto Datos (OKR´s)'!$J73,"")</f>
      </c>
      <c r="J73" s="201">
        <f>IF($C73,IF($I73&gt;=1,"Completado",IF($H73&lt;TODAY(),"Vencido",IF(($H73-TODAY())&lt;='Entregas Próximas'!$I$3,"Próximo a vencer","En curso"))),"")</f>
      </c>
      <c r="K73" s="200">
        <f>IF($C73,$H73-TODAY(),"")</f>
      </c>
      <c r="L73" s="200">
        <f>IF($C73,$N73*1000000+$H73+ROW()/100000,"")</f>
      </c>
      <c r="M73" s="200">
        <f>IF($C73,IF('Proyecto Datos (OKR´s)'!$E73="","(Sin sprint)",'Proyecto Datos (OKR´s)'!$E73),"")</f>
      </c>
      <c r="N73" s="200">
        <f>IF($C73,IF('Proyecto Datos (OKR´s)'!$E73="",9999,'Proyecto Datos (OKR´s)'!$E73),"")</f>
      </c>
    </row>
    <row r="74">
      <c r="A74" s="200">
        <f>ROW()</f>
      </c>
      <c r="B74" s="200">
        <f>ISTEXT('Proyecto Datos (OKR´s)'!$K74)</f>
      </c>
      <c r="C74" s="200">
        <f>AND(LEN('Proyecto Datos (OKR´s)'!$G74)&gt;0,NOT($B74),OR(ISNUMBER('Proyecto Datos (OKR´s)'!$F74),ISNUMBER('Proyecto Datos (OKR´s)'!$L74)))</f>
      </c>
      <c r="D74" s="201">
        <f>IF($C74,IFERROR(LOOKUP(2,1/((ISTEXT('Proyecto Datos (OKR´s)'!$K$7:$K74))*(LEN('Proyecto Datos (OKR´s)'!$G$7:$G74)&gt;0)),'Proyecto Datos (OKR´s)'!$G$7:$G74),""),"")</f>
      </c>
      <c r="E74" s="200">
        <f>IF($C74,'Proyecto Datos (OKR´s)'!$E74,"")</f>
      </c>
      <c r="F74" s="201">
        <f>IF($C74,'Proyecto Datos (OKR´s)'!$G74,"")</f>
      </c>
      <c r="G74" s="201">
        <f>IF($C74,IF('Proyecto Datos (OKR´s)'!$I74="","(Sin asignar)",'Proyecto Datos (OKR´s)'!$I74),"")</f>
      </c>
      <c r="H74" s="200">
        <f>IF($C74,IF(ISNUMBER('Proyecto Datos (OKR´s)'!$F74),'Proyecto Datos (OKR´s)'!$F74,'Proyecto Datos (OKR´s)'!$L74),"")</f>
      </c>
      <c r="I74" s="200">
        <f>IF($C74,'Proyecto Datos (OKR´s)'!$J74,"")</f>
      </c>
      <c r="J74" s="201">
        <f>IF($C74,IF($I74&gt;=1,"Completado",IF($H74&lt;TODAY(),"Vencido",IF(($H74-TODAY())&lt;='Entregas Próximas'!$I$3,"Próximo a vencer","En curso"))),"")</f>
      </c>
      <c r="K74" s="200">
        <f>IF($C74,$H74-TODAY(),"")</f>
      </c>
      <c r="L74" s="200">
        <f>IF($C74,$N74*1000000+$H74+ROW()/100000,"")</f>
      </c>
      <c r="M74" s="200">
        <f>IF($C74,IF('Proyecto Datos (OKR´s)'!$E74="","(Sin sprint)",'Proyecto Datos (OKR´s)'!$E74),"")</f>
      </c>
      <c r="N74" s="200">
        <f>IF($C74,IF('Proyecto Datos (OKR´s)'!$E74="",9999,'Proyecto Datos (OKR´s)'!$E74),"")</f>
      </c>
    </row>
    <row r="75">
      <c r="A75" s="200">
        <f>ROW()</f>
      </c>
      <c r="B75" s="200">
        <f>ISTEXT('Proyecto Datos (OKR´s)'!$K75)</f>
      </c>
      <c r="C75" s="200">
        <f>AND(LEN('Proyecto Datos (OKR´s)'!$G75)&gt;0,NOT($B75),OR(ISNUMBER('Proyecto Datos (OKR´s)'!$F75),ISNUMBER('Proyecto Datos (OKR´s)'!$L75)))</f>
      </c>
      <c r="D75" s="201">
        <f>IF($C75,IFERROR(LOOKUP(2,1/((ISTEXT('Proyecto Datos (OKR´s)'!$K$7:$K75))*(LEN('Proyecto Datos (OKR´s)'!$G$7:$G75)&gt;0)),'Proyecto Datos (OKR´s)'!$G$7:$G75),""),"")</f>
      </c>
      <c r="E75" s="200">
        <f>IF($C75,'Proyecto Datos (OKR´s)'!$E75,"")</f>
      </c>
      <c r="F75" s="201">
        <f>IF($C75,'Proyecto Datos (OKR´s)'!$G75,"")</f>
      </c>
      <c r="G75" s="201">
        <f>IF($C75,IF('Proyecto Datos (OKR´s)'!$I75="","(Sin asignar)",'Proyecto Datos (OKR´s)'!$I75),"")</f>
      </c>
      <c r="H75" s="200">
        <f>IF($C75,IF(ISNUMBER('Proyecto Datos (OKR´s)'!$F75),'Proyecto Datos (OKR´s)'!$F75,'Proyecto Datos (OKR´s)'!$L75),"")</f>
      </c>
      <c r="I75" s="200">
        <f>IF($C75,'Proyecto Datos (OKR´s)'!$J75,"")</f>
      </c>
      <c r="J75" s="201">
        <f>IF($C75,IF($I75&gt;=1,"Completado",IF($H75&lt;TODAY(),"Vencido",IF(($H75-TODAY())&lt;='Entregas Próximas'!$I$3,"Próximo a vencer","En curso"))),"")</f>
      </c>
      <c r="K75" s="200">
        <f>IF($C75,$H75-TODAY(),"")</f>
      </c>
      <c r="L75" s="200">
        <f>IF($C75,$N75*1000000+$H75+ROW()/100000,"")</f>
      </c>
      <c r="M75" s="200">
        <f>IF($C75,IF('Proyecto Datos (OKR´s)'!$E75="","(Sin sprint)",'Proyecto Datos (OKR´s)'!$E75),"")</f>
      </c>
      <c r="N75" s="200">
        <f>IF($C75,IF('Proyecto Datos (OKR´s)'!$E75="",9999,'Proyecto Datos (OKR´s)'!$E75),"")</f>
      </c>
    </row>
    <row r="76">
      <c r="A76" s="200">
        <f>ROW()</f>
      </c>
      <c r="B76" s="200">
        <f>ISTEXT('Proyecto Datos (OKR´s)'!$K76)</f>
      </c>
      <c r="C76" s="200">
        <f>AND(LEN('Proyecto Datos (OKR´s)'!$G76)&gt;0,NOT($B76),OR(ISNUMBER('Proyecto Datos (OKR´s)'!$F76),ISNUMBER('Proyecto Datos (OKR´s)'!$L76)))</f>
      </c>
      <c r="D76" s="201">
        <f>IF($C76,IFERROR(LOOKUP(2,1/((ISTEXT('Proyecto Datos (OKR´s)'!$K$7:$K76))*(LEN('Proyecto Datos (OKR´s)'!$G$7:$G76)&gt;0)),'Proyecto Datos (OKR´s)'!$G$7:$G76),""),"")</f>
      </c>
      <c r="E76" s="200">
        <f>IF($C76,'Proyecto Datos (OKR´s)'!$E76,"")</f>
      </c>
      <c r="F76" s="201">
        <f>IF($C76,'Proyecto Datos (OKR´s)'!$G76,"")</f>
      </c>
      <c r="G76" s="201">
        <f>IF($C76,IF('Proyecto Datos (OKR´s)'!$I76="","(Sin asignar)",'Proyecto Datos (OKR´s)'!$I76),"")</f>
      </c>
      <c r="H76" s="200">
        <f>IF($C76,IF(ISNUMBER('Proyecto Datos (OKR´s)'!$F76),'Proyecto Datos (OKR´s)'!$F76,'Proyecto Datos (OKR´s)'!$L76),"")</f>
      </c>
      <c r="I76" s="200">
        <f>IF($C76,'Proyecto Datos (OKR´s)'!$J76,"")</f>
      </c>
      <c r="J76" s="201">
        <f>IF($C76,IF($I76&gt;=1,"Completado",IF($H76&lt;TODAY(),"Vencido",IF(($H76-TODAY())&lt;='Entregas Próximas'!$I$3,"Próximo a vencer","En curso"))),"")</f>
      </c>
      <c r="K76" s="200">
        <f>IF($C76,$H76-TODAY(),"")</f>
      </c>
      <c r="L76" s="200">
        <f>IF($C76,$N76*1000000+$H76+ROW()/100000,"")</f>
      </c>
      <c r="M76" s="200">
        <f>IF($C76,IF('Proyecto Datos (OKR´s)'!$E76="","(Sin sprint)",'Proyecto Datos (OKR´s)'!$E76),"")</f>
      </c>
      <c r="N76" s="200">
        <f>IF($C76,IF('Proyecto Datos (OKR´s)'!$E76="",9999,'Proyecto Datos (OKR´s)'!$E76),"")</f>
      </c>
    </row>
    <row r="77">
      <c r="A77" s="200">
        <f>ROW()</f>
      </c>
      <c r="B77" s="200">
        <f>ISTEXT('Proyecto Datos (OKR´s)'!$K77)</f>
      </c>
      <c r="C77" s="200">
        <f>AND(LEN('Proyecto Datos (OKR´s)'!$G77)&gt;0,NOT($B77),OR(ISNUMBER('Proyecto Datos (OKR´s)'!$F77),ISNUMBER('Proyecto Datos (OKR´s)'!$L77)))</f>
      </c>
      <c r="D77" s="201">
        <f>IF($C77,IFERROR(LOOKUP(2,1/((ISTEXT('Proyecto Datos (OKR´s)'!$K$7:$K77))*(LEN('Proyecto Datos (OKR´s)'!$G$7:$G77)&gt;0)),'Proyecto Datos (OKR´s)'!$G$7:$G77),""),"")</f>
      </c>
      <c r="E77" s="200">
        <f>IF($C77,'Proyecto Datos (OKR´s)'!$E77,"")</f>
      </c>
      <c r="F77" s="201">
        <f>IF($C77,'Proyecto Datos (OKR´s)'!$G77,"")</f>
      </c>
      <c r="G77" s="201">
        <f>IF($C77,IF('Proyecto Datos (OKR´s)'!$I77="","(Sin asignar)",'Proyecto Datos (OKR´s)'!$I77),"")</f>
      </c>
      <c r="H77" s="200">
        <f>IF($C77,IF(ISNUMBER('Proyecto Datos (OKR´s)'!$F77),'Proyecto Datos (OKR´s)'!$F77,'Proyecto Datos (OKR´s)'!$L77),"")</f>
      </c>
      <c r="I77" s="200">
        <f>IF($C77,'Proyecto Datos (OKR´s)'!$J77,"")</f>
      </c>
      <c r="J77" s="201">
        <f>IF($C77,IF($I77&gt;=1,"Completado",IF($H77&lt;TODAY(),"Vencido",IF(($H77-TODAY())&lt;='Entregas Próximas'!$I$3,"Próximo a vencer","En curso"))),"")</f>
      </c>
      <c r="K77" s="200">
        <f>IF($C77,$H77-TODAY(),"")</f>
      </c>
      <c r="L77" s="200">
        <f>IF($C77,$N77*1000000+$H77+ROW()/100000,"")</f>
      </c>
      <c r="M77" s="200">
        <f>IF($C77,IF('Proyecto Datos (OKR´s)'!$E77="","(Sin sprint)",'Proyecto Datos (OKR´s)'!$E77),"")</f>
      </c>
      <c r="N77" s="200">
        <f>IF($C77,IF('Proyecto Datos (OKR´s)'!$E77="",9999,'Proyecto Datos (OKR´s)'!$E77),"")</f>
      </c>
    </row>
    <row r="78">
      <c r="A78" s="200">
        <f>ROW()</f>
      </c>
      <c r="B78" s="200">
        <f>ISTEXT('Proyecto Datos (OKR´s)'!$K78)</f>
      </c>
      <c r="C78" s="200">
        <f>AND(LEN('Proyecto Datos (OKR´s)'!$G78)&gt;0,NOT($B78),OR(ISNUMBER('Proyecto Datos (OKR´s)'!$F78),ISNUMBER('Proyecto Datos (OKR´s)'!$L78)))</f>
      </c>
      <c r="D78" s="201">
        <f>IF($C78,IFERROR(LOOKUP(2,1/((ISTEXT('Proyecto Datos (OKR´s)'!$K$7:$K78))*(LEN('Proyecto Datos (OKR´s)'!$G$7:$G78)&gt;0)),'Proyecto Datos (OKR´s)'!$G$7:$G78),""),"")</f>
      </c>
      <c r="E78" s="200">
        <f>IF($C78,'Proyecto Datos (OKR´s)'!$E78,"")</f>
      </c>
      <c r="F78" s="201">
        <f>IF($C78,'Proyecto Datos (OKR´s)'!$G78,"")</f>
      </c>
      <c r="G78" s="201">
        <f>IF($C78,IF('Proyecto Datos (OKR´s)'!$I78="","(Sin asignar)",'Proyecto Datos (OKR´s)'!$I78),"")</f>
      </c>
      <c r="H78" s="200">
        <f>IF($C78,IF(ISNUMBER('Proyecto Datos (OKR´s)'!$F78),'Proyecto Datos (OKR´s)'!$F78,'Proyecto Datos (OKR´s)'!$L78),"")</f>
      </c>
      <c r="I78" s="200">
        <f>IF($C78,'Proyecto Datos (OKR´s)'!$J78,"")</f>
      </c>
      <c r="J78" s="201">
        <f>IF($C78,IF($I78&gt;=1,"Completado",IF($H78&lt;TODAY(),"Vencido",IF(($H78-TODAY())&lt;='Entregas Próximas'!$I$3,"Próximo a vencer","En curso"))),"")</f>
      </c>
      <c r="K78" s="200">
        <f>IF($C78,$H78-TODAY(),"")</f>
      </c>
      <c r="L78" s="200">
        <f>IF($C78,$N78*1000000+$H78+ROW()/100000,"")</f>
      </c>
      <c r="M78" s="200">
        <f>IF($C78,IF('Proyecto Datos (OKR´s)'!$E78="","(Sin sprint)",'Proyecto Datos (OKR´s)'!$E78),"")</f>
      </c>
      <c r="N78" s="200">
        <f>IF($C78,IF('Proyecto Datos (OKR´s)'!$E78="",9999,'Proyecto Datos (OKR´s)'!$E78),"")</f>
      </c>
    </row>
    <row r="79">
      <c r="A79" s="200">
        <f>ROW()</f>
      </c>
      <c r="B79" s="200">
        <f>ISTEXT('Proyecto Datos (OKR´s)'!$K79)</f>
      </c>
      <c r="C79" s="200">
        <f>AND(LEN('Proyecto Datos (OKR´s)'!$G79)&gt;0,NOT($B79),OR(ISNUMBER('Proyecto Datos (OKR´s)'!$F79),ISNUMBER('Proyecto Datos (OKR´s)'!$L79)))</f>
      </c>
      <c r="D79" s="201">
        <f>IF($C79,IFERROR(LOOKUP(2,1/((ISTEXT('Proyecto Datos (OKR´s)'!$K$7:$K79))*(LEN('Proyecto Datos (OKR´s)'!$G$7:$G79)&gt;0)),'Proyecto Datos (OKR´s)'!$G$7:$G79),""),"")</f>
      </c>
      <c r="E79" s="200">
        <f>IF($C79,'Proyecto Datos (OKR´s)'!$E79,"")</f>
      </c>
      <c r="F79" s="201">
        <f>IF($C79,'Proyecto Datos (OKR´s)'!$G79,"")</f>
      </c>
      <c r="G79" s="201">
        <f>IF($C79,IF('Proyecto Datos (OKR´s)'!$I79="","(Sin asignar)",'Proyecto Datos (OKR´s)'!$I79),"")</f>
      </c>
      <c r="H79" s="200">
        <f>IF($C79,IF(ISNUMBER('Proyecto Datos (OKR´s)'!$F79),'Proyecto Datos (OKR´s)'!$F79,'Proyecto Datos (OKR´s)'!$L79),"")</f>
      </c>
      <c r="I79" s="200">
        <f>IF($C79,'Proyecto Datos (OKR´s)'!$J79,"")</f>
      </c>
      <c r="J79" s="201">
        <f>IF($C79,IF($I79&gt;=1,"Completado",IF($H79&lt;TODAY(),"Vencido",IF(($H79-TODAY())&lt;='Entregas Próximas'!$I$3,"Próximo a vencer","En curso"))),"")</f>
      </c>
      <c r="K79" s="200">
        <f>IF($C79,$H79-TODAY(),"")</f>
      </c>
      <c r="L79" s="200">
        <f>IF($C79,$N79*1000000+$H79+ROW()/100000,"")</f>
      </c>
      <c r="M79" s="200">
        <f>IF($C79,IF('Proyecto Datos (OKR´s)'!$E79="","(Sin sprint)",'Proyecto Datos (OKR´s)'!$E79),"")</f>
      </c>
      <c r="N79" s="200">
        <f>IF($C79,IF('Proyecto Datos (OKR´s)'!$E79="",9999,'Proyecto Datos (OKR´s)'!$E79),"")</f>
      </c>
    </row>
    <row r="80">
      <c r="A80" s="200">
        <f>ROW()</f>
      </c>
      <c r="B80" s="200">
        <f>ISTEXT('Proyecto Datos (OKR´s)'!$K80)</f>
      </c>
      <c r="C80" s="200">
        <f>AND(LEN('Proyecto Datos (OKR´s)'!$G80)&gt;0,NOT($B80),OR(ISNUMBER('Proyecto Datos (OKR´s)'!$F80),ISNUMBER('Proyecto Datos (OKR´s)'!$L80)))</f>
      </c>
      <c r="D80" s="201">
        <f>IF($C80,IFERROR(LOOKUP(2,1/((ISTEXT('Proyecto Datos (OKR´s)'!$K$7:$K80))*(LEN('Proyecto Datos (OKR´s)'!$G$7:$G80)&gt;0)),'Proyecto Datos (OKR´s)'!$G$7:$G80),""),"")</f>
      </c>
      <c r="E80" s="200">
        <f>IF($C80,'Proyecto Datos (OKR´s)'!$E80,"")</f>
      </c>
      <c r="F80" s="201">
        <f>IF($C80,'Proyecto Datos (OKR´s)'!$G80,"")</f>
      </c>
      <c r="G80" s="201">
        <f>IF($C80,IF('Proyecto Datos (OKR´s)'!$I80="","(Sin asignar)",'Proyecto Datos (OKR´s)'!$I80),"")</f>
      </c>
      <c r="H80" s="200">
        <f>IF($C80,IF(ISNUMBER('Proyecto Datos (OKR´s)'!$F80),'Proyecto Datos (OKR´s)'!$F80,'Proyecto Datos (OKR´s)'!$L80),"")</f>
      </c>
      <c r="I80" s="200">
        <f>IF($C80,'Proyecto Datos (OKR´s)'!$J80,"")</f>
      </c>
      <c r="J80" s="201">
        <f>IF($C80,IF($I80&gt;=1,"Completado",IF($H80&lt;TODAY(),"Vencido",IF(($H80-TODAY())&lt;='Entregas Próximas'!$I$3,"Próximo a vencer","En curso"))),"")</f>
      </c>
      <c r="K80" s="200">
        <f>IF($C80,$H80-TODAY(),"")</f>
      </c>
      <c r="L80" s="200">
        <f>IF($C80,$N80*1000000+$H80+ROW()/100000,"")</f>
      </c>
      <c r="M80" s="200">
        <f>IF($C80,IF('Proyecto Datos (OKR´s)'!$E80="","(Sin sprint)",'Proyecto Datos (OKR´s)'!$E80),"")</f>
      </c>
      <c r="N80" s="200">
        <f>IF($C80,IF('Proyecto Datos (OKR´s)'!$E80="",9999,'Proyecto Datos (OKR´s)'!$E80),"")</f>
      </c>
    </row>
    <row r="81">
      <c r="A81" s="200">
        <f>ROW()</f>
      </c>
      <c r="B81" s="200">
        <f>ISTEXT('Proyecto Datos (OKR´s)'!$K81)</f>
      </c>
      <c r="C81" s="200">
        <f>AND(LEN('Proyecto Datos (OKR´s)'!$G81)&gt;0,NOT($B81),OR(ISNUMBER('Proyecto Datos (OKR´s)'!$F81),ISNUMBER('Proyecto Datos (OKR´s)'!$L81)))</f>
      </c>
      <c r="D81" s="201">
        <f>IF($C81,IFERROR(LOOKUP(2,1/((ISTEXT('Proyecto Datos (OKR´s)'!$K$7:$K81))*(LEN('Proyecto Datos (OKR´s)'!$G$7:$G81)&gt;0)),'Proyecto Datos (OKR´s)'!$G$7:$G81),""),"")</f>
      </c>
      <c r="E81" s="200">
        <f>IF($C81,'Proyecto Datos (OKR´s)'!$E81,"")</f>
      </c>
      <c r="F81" s="201">
        <f>IF($C81,'Proyecto Datos (OKR´s)'!$G81,"")</f>
      </c>
      <c r="G81" s="201">
        <f>IF($C81,IF('Proyecto Datos (OKR´s)'!$I81="","(Sin asignar)",'Proyecto Datos (OKR´s)'!$I81),"")</f>
      </c>
      <c r="H81" s="200">
        <f>IF($C81,IF(ISNUMBER('Proyecto Datos (OKR´s)'!$F81),'Proyecto Datos (OKR´s)'!$F81,'Proyecto Datos (OKR´s)'!$L81),"")</f>
      </c>
      <c r="I81" s="200">
        <f>IF($C81,'Proyecto Datos (OKR´s)'!$J81,"")</f>
      </c>
      <c r="J81" s="201">
        <f>IF($C81,IF($I81&gt;=1,"Completado",IF($H81&lt;TODAY(),"Vencido",IF(($H81-TODAY())&lt;='Entregas Próximas'!$I$3,"Próximo a vencer","En curso"))),"")</f>
      </c>
      <c r="K81" s="200">
        <f>IF($C81,$H81-TODAY(),"")</f>
      </c>
      <c r="L81" s="200">
        <f>IF($C81,$N81*1000000+$H81+ROW()/100000,"")</f>
      </c>
      <c r="M81" s="200">
        <f>IF($C81,IF('Proyecto Datos (OKR´s)'!$E81="","(Sin sprint)",'Proyecto Datos (OKR´s)'!$E81),"")</f>
      </c>
      <c r="N81" s="200">
        <f>IF($C81,IF('Proyecto Datos (OKR´s)'!$E81="",9999,'Proyecto Datos (OKR´s)'!$E81),"")</f>
      </c>
    </row>
    <row r="82">
      <c r="A82" s="200">
        <f>ROW()</f>
      </c>
      <c r="B82" s="200">
        <f>ISTEXT('Proyecto Datos (OKR´s)'!$K82)</f>
      </c>
      <c r="C82" s="200">
        <f>AND(LEN('Proyecto Datos (OKR´s)'!$G82)&gt;0,NOT($B82),OR(ISNUMBER('Proyecto Datos (OKR´s)'!$F82),ISNUMBER('Proyecto Datos (OKR´s)'!$L82)))</f>
      </c>
      <c r="D82" s="201">
        <f>IF($C82,IFERROR(LOOKUP(2,1/((ISTEXT('Proyecto Datos (OKR´s)'!$K$7:$K82))*(LEN('Proyecto Datos (OKR´s)'!$G$7:$G82)&gt;0)),'Proyecto Datos (OKR´s)'!$G$7:$G82),""),"")</f>
      </c>
      <c r="E82" s="200">
        <f>IF($C82,'Proyecto Datos (OKR´s)'!$E82,"")</f>
      </c>
      <c r="F82" s="201">
        <f>IF($C82,'Proyecto Datos (OKR´s)'!$G82,"")</f>
      </c>
      <c r="G82" s="201">
        <f>IF($C82,IF('Proyecto Datos (OKR´s)'!$I82="","(Sin asignar)",'Proyecto Datos (OKR´s)'!$I82),"")</f>
      </c>
      <c r="H82" s="200">
        <f>IF($C82,IF(ISNUMBER('Proyecto Datos (OKR´s)'!$F82),'Proyecto Datos (OKR´s)'!$F82,'Proyecto Datos (OKR´s)'!$L82),"")</f>
      </c>
      <c r="I82" s="200">
        <f>IF($C82,'Proyecto Datos (OKR´s)'!$J82,"")</f>
      </c>
      <c r="J82" s="201">
        <f>IF($C82,IF($I82&gt;=1,"Completado",IF($H82&lt;TODAY(),"Vencido",IF(($H82-TODAY())&lt;='Entregas Próximas'!$I$3,"Próximo a vencer","En curso"))),"")</f>
      </c>
      <c r="K82" s="200">
        <f>IF($C82,$H82-TODAY(),"")</f>
      </c>
      <c r="L82" s="200">
        <f>IF($C82,$N82*1000000+$H82+ROW()/100000,"")</f>
      </c>
      <c r="M82" s="200">
        <f>IF($C82,IF('Proyecto Datos (OKR´s)'!$E82="","(Sin sprint)",'Proyecto Datos (OKR´s)'!$E82),"")</f>
      </c>
      <c r="N82" s="200">
        <f>IF($C82,IF('Proyecto Datos (OKR´s)'!$E82="",9999,'Proyecto Datos (OKR´s)'!$E82),"")</f>
      </c>
    </row>
    <row r="83">
      <c r="A83" s="200">
        <f>ROW()</f>
      </c>
      <c r="B83" s="200">
        <f>ISTEXT('Proyecto Datos (OKR´s)'!$K83)</f>
      </c>
      <c r="C83" s="200">
        <f>AND(LEN('Proyecto Datos (OKR´s)'!$G83)&gt;0,NOT($B83),OR(ISNUMBER('Proyecto Datos (OKR´s)'!$F83),ISNUMBER('Proyecto Datos (OKR´s)'!$L83)))</f>
      </c>
      <c r="D83" s="201">
        <f>IF($C83,IFERROR(LOOKUP(2,1/((ISTEXT('Proyecto Datos (OKR´s)'!$K$7:$K83))*(LEN('Proyecto Datos (OKR´s)'!$G$7:$G83)&gt;0)),'Proyecto Datos (OKR´s)'!$G$7:$G83),""),"")</f>
      </c>
      <c r="E83" s="200">
        <f>IF($C83,'Proyecto Datos (OKR´s)'!$E83,"")</f>
      </c>
      <c r="F83" s="201">
        <f>IF($C83,'Proyecto Datos (OKR´s)'!$G83,"")</f>
      </c>
      <c r="G83" s="201">
        <f>IF($C83,IF('Proyecto Datos (OKR´s)'!$I83="","(Sin asignar)",'Proyecto Datos (OKR´s)'!$I83),"")</f>
      </c>
      <c r="H83" s="200">
        <f>IF($C83,IF(ISNUMBER('Proyecto Datos (OKR´s)'!$F83),'Proyecto Datos (OKR´s)'!$F83,'Proyecto Datos (OKR´s)'!$L83),"")</f>
      </c>
      <c r="I83" s="200">
        <f>IF($C83,'Proyecto Datos (OKR´s)'!$J83,"")</f>
      </c>
      <c r="J83" s="201">
        <f>IF($C83,IF($I83&gt;=1,"Completado",IF($H83&lt;TODAY(),"Vencido",IF(($H83-TODAY())&lt;='Entregas Próximas'!$I$3,"Próximo a vencer","En curso"))),"")</f>
      </c>
      <c r="K83" s="200">
        <f>IF($C83,$H83-TODAY(),"")</f>
      </c>
      <c r="L83" s="200">
        <f>IF($C83,$N83*1000000+$H83+ROW()/100000,"")</f>
      </c>
      <c r="M83" s="200">
        <f>IF($C83,IF('Proyecto Datos (OKR´s)'!$E83="","(Sin sprint)",'Proyecto Datos (OKR´s)'!$E83),"")</f>
      </c>
      <c r="N83" s="200">
        <f>IF($C83,IF('Proyecto Datos (OKR´s)'!$E83="",9999,'Proyecto Datos (OKR´s)'!$E83),"")</f>
      </c>
    </row>
    <row r="84">
      <c r="A84" s="200">
        <f>ROW()</f>
      </c>
      <c r="B84" s="200">
        <f>ISTEXT('Proyecto Datos (OKR´s)'!$K84)</f>
      </c>
      <c r="C84" s="200">
        <f>AND(LEN('Proyecto Datos (OKR´s)'!$G84)&gt;0,NOT($B84),OR(ISNUMBER('Proyecto Datos (OKR´s)'!$F84),ISNUMBER('Proyecto Datos (OKR´s)'!$L84)))</f>
      </c>
      <c r="D84" s="201">
        <f>IF($C84,IFERROR(LOOKUP(2,1/((ISTEXT('Proyecto Datos (OKR´s)'!$K$7:$K84))*(LEN('Proyecto Datos (OKR´s)'!$G$7:$G84)&gt;0)),'Proyecto Datos (OKR´s)'!$G$7:$G84),""),"")</f>
      </c>
      <c r="E84" s="200">
        <f>IF($C84,'Proyecto Datos (OKR´s)'!$E84,"")</f>
      </c>
      <c r="F84" s="201">
        <f>IF($C84,'Proyecto Datos (OKR´s)'!$G84,"")</f>
      </c>
      <c r="G84" s="201">
        <f>IF($C84,IF('Proyecto Datos (OKR´s)'!$I84="","(Sin asignar)",'Proyecto Datos (OKR´s)'!$I84),"")</f>
      </c>
      <c r="H84" s="200">
        <f>IF($C84,IF(ISNUMBER('Proyecto Datos (OKR´s)'!$F84),'Proyecto Datos (OKR´s)'!$F84,'Proyecto Datos (OKR´s)'!$L84),"")</f>
      </c>
      <c r="I84" s="200">
        <f>IF($C84,'Proyecto Datos (OKR´s)'!$J84,"")</f>
      </c>
      <c r="J84" s="201">
        <f>IF($C84,IF($I84&gt;=1,"Completado",IF($H84&lt;TODAY(),"Vencido",IF(($H84-TODAY())&lt;='Entregas Próximas'!$I$3,"Próximo a vencer","En curso"))),"")</f>
      </c>
      <c r="K84" s="200">
        <f>IF($C84,$H84-TODAY(),"")</f>
      </c>
      <c r="L84" s="200">
        <f>IF($C84,$N84*1000000+$H84+ROW()/100000,"")</f>
      </c>
      <c r="M84" s="200">
        <f>IF($C84,IF('Proyecto Datos (OKR´s)'!$E84="","(Sin sprint)",'Proyecto Datos (OKR´s)'!$E84),"")</f>
      </c>
      <c r="N84" s="200">
        <f>IF($C84,IF('Proyecto Datos (OKR´s)'!$E84="",9999,'Proyecto Datos (OKR´s)'!$E84),"")</f>
      </c>
    </row>
    <row r="85">
      <c r="A85" s="200">
        <f>ROW()</f>
      </c>
      <c r="B85" s="200">
        <f>ISTEXT('Proyecto Datos (OKR´s)'!$K85)</f>
      </c>
      <c r="C85" s="200">
        <f>AND(LEN('Proyecto Datos (OKR´s)'!$G85)&gt;0,NOT($B85),OR(ISNUMBER('Proyecto Datos (OKR´s)'!$F85),ISNUMBER('Proyecto Datos (OKR´s)'!$L85)))</f>
      </c>
      <c r="D85" s="201">
        <f>IF($C85,IFERROR(LOOKUP(2,1/((ISTEXT('Proyecto Datos (OKR´s)'!$K$7:$K85))*(LEN('Proyecto Datos (OKR´s)'!$G$7:$G85)&gt;0)),'Proyecto Datos (OKR´s)'!$G$7:$G85),""),"")</f>
      </c>
      <c r="E85" s="200">
        <f>IF($C85,'Proyecto Datos (OKR´s)'!$E85,"")</f>
      </c>
      <c r="F85" s="201">
        <f>IF($C85,'Proyecto Datos (OKR´s)'!$G85,"")</f>
      </c>
      <c r="G85" s="201">
        <f>IF($C85,IF('Proyecto Datos (OKR´s)'!$I85="","(Sin asignar)",'Proyecto Datos (OKR´s)'!$I85),"")</f>
      </c>
      <c r="H85" s="200">
        <f>IF($C85,IF(ISNUMBER('Proyecto Datos (OKR´s)'!$F85),'Proyecto Datos (OKR´s)'!$F85,'Proyecto Datos (OKR´s)'!$L85),"")</f>
      </c>
      <c r="I85" s="200">
        <f>IF($C85,'Proyecto Datos (OKR´s)'!$J85,"")</f>
      </c>
      <c r="J85" s="201">
        <f>IF($C85,IF($I85&gt;=1,"Completado",IF($H85&lt;TODAY(),"Vencido",IF(($H85-TODAY())&lt;='Entregas Próximas'!$I$3,"Próximo a vencer","En curso"))),"")</f>
      </c>
      <c r="K85" s="200">
        <f>IF($C85,$H85-TODAY(),"")</f>
      </c>
      <c r="L85" s="200">
        <f>IF($C85,$N85*1000000+$H85+ROW()/100000,"")</f>
      </c>
      <c r="M85" s="200">
        <f>IF($C85,IF('Proyecto Datos (OKR´s)'!$E85="","(Sin sprint)",'Proyecto Datos (OKR´s)'!$E85),"")</f>
      </c>
      <c r="N85" s="200">
        <f>IF($C85,IF('Proyecto Datos (OKR´s)'!$E85="",9999,'Proyecto Datos (OKR´s)'!$E85),"")</f>
      </c>
    </row>
    <row r="86">
      <c r="A86" s="200">
        <f>ROW()</f>
      </c>
      <c r="B86" s="200">
        <f>ISTEXT('Proyecto Datos (OKR´s)'!$K86)</f>
      </c>
      <c r="C86" s="200">
        <f>AND(LEN('Proyecto Datos (OKR´s)'!$G86)&gt;0,NOT($B86),OR(ISNUMBER('Proyecto Datos (OKR´s)'!$F86),ISNUMBER('Proyecto Datos (OKR´s)'!$L86)))</f>
      </c>
      <c r="D86" s="201">
        <f>IF($C86,IFERROR(LOOKUP(2,1/((ISTEXT('Proyecto Datos (OKR´s)'!$K$7:$K86))*(LEN('Proyecto Datos (OKR´s)'!$G$7:$G86)&gt;0)),'Proyecto Datos (OKR´s)'!$G$7:$G86),""),"")</f>
      </c>
      <c r="E86" s="200">
        <f>IF($C86,'Proyecto Datos (OKR´s)'!$E86,"")</f>
      </c>
      <c r="F86" s="201">
        <f>IF($C86,'Proyecto Datos (OKR´s)'!$G86,"")</f>
      </c>
      <c r="G86" s="201">
        <f>IF($C86,IF('Proyecto Datos (OKR´s)'!$I86="","(Sin asignar)",'Proyecto Datos (OKR´s)'!$I86),"")</f>
      </c>
      <c r="H86" s="200">
        <f>IF($C86,IF(ISNUMBER('Proyecto Datos (OKR´s)'!$F86),'Proyecto Datos (OKR´s)'!$F86,'Proyecto Datos (OKR´s)'!$L86),"")</f>
      </c>
      <c r="I86" s="200">
        <f>IF($C86,'Proyecto Datos (OKR´s)'!$J86,"")</f>
      </c>
      <c r="J86" s="201">
        <f>IF($C86,IF($I86&gt;=1,"Completado",IF($H86&lt;TODAY(),"Vencido",IF(($H86-TODAY())&lt;='Entregas Próximas'!$I$3,"Próximo a vencer","En curso"))),"")</f>
      </c>
      <c r="K86" s="200">
        <f>IF($C86,$H86-TODAY(),"")</f>
      </c>
      <c r="L86" s="200">
        <f>IF($C86,$N86*1000000+$H86+ROW()/100000,"")</f>
      </c>
      <c r="M86" s="200">
        <f>IF($C86,IF('Proyecto Datos (OKR´s)'!$E86="","(Sin sprint)",'Proyecto Datos (OKR´s)'!$E86),"")</f>
      </c>
      <c r="N86" s="200">
        <f>IF($C86,IF('Proyecto Datos (OKR´s)'!$E86="",9999,'Proyecto Datos (OKR´s)'!$E86),"")</f>
      </c>
    </row>
    <row r="87">
      <c r="A87" s="200">
        <f>ROW()</f>
      </c>
      <c r="B87" s="200">
        <f>ISTEXT('Proyecto Datos (OKR´s)'!$K87)</f>
      </c>
      <c r="C87" s="200">
        <f>AND(LEN('Proyecto Datos (OKR´s)'!$G87)&gt;0,NOT($B87),OR(ISNUMBER('Proyecto Datos (OKR´s)'!$F87),ISNUMBER('Proyecto Datos (OKR´s)'!$L87)))</f>
      </c>
      <c r="D87" s="201">
        <f>IF($C87,IFERROR(LOOKUP(2,1/((ISTEXT('Proyecto Datos (OKR´s)'!$K$7:$K87))*(LEN('Proyecto Datos (OKR´s)'!$G$7:$G87)&gt;0)),'Proyecto Datos (OKR´s)'!$G$7:$G87),""),"")</f>
      </c>
      <c r="E87" s="200">
        <f>IF($C87,'Proyecto Datos (OKR´s)'!$E87,"")</f>
      </c>
      <c r="F87" s="201">
        <f>IF($C87,'Proyecto Datos (OKR´s)'!$G87,"")</f>
      </c>
      <c r="G87" s="201">
        <f>IF($C87,IF('Proyecto Datos (OKR´s)'!$I87="","(Sin asignar)",'Proyecto Datos (OKR´s)'!$I87),"")</f>
      </c>
      <c r="H87" s="200">
        <f>IF($C87,IF(ISNUMBER('Proyecto Datos (OKR´s)'!$F87),'Proyecto Datos (OKR´s)'!$F87,'Proyecto Datos (OKR´s)'!$L87),"")</f>
      </c>
      <c r="I87" s="200">
        <f>IF($C87,'Proyecto Datos (OKR´s)'!$J87,"")</f>
      </c>
      <c r="J87" s="201">
        <f>IF($C87,IF($I87&gt;=1,"Completado",IF($H87&lt;TODAY(),"Vencido",IF(($H87-TODAY())&lt;='Entregas Próximas'!$I$3,"Próximo a vencer","En curso"))),"")</f>
      </c>
      <c r="K87" s="200">
        <f>IF($C87,$H87-TODAY(),"")</f>
      </c>
      <c r="L87" s="200">
        <f>IF($C87,$N87*1000000+$H87+ROW()/100000,"")</f>
      </c>
      <c r="M87" s="200">
        <f>IF($C87,IF('Proyecto Datos (OKR´s)'!$E87="","(Sin sprint)",'Proyecto Datos (OKR´s)'!$E87),"")</f>
      </c>
      <c r="N87" s="200">
        <f>IF($C87,IF('Proyecto Datos (OKR´s)'!$E87="",9999,'Proyecto Datos (OKR´s)'!$E87),"")</f>
      </c>
    </row>
    <row r="88">
      <c r="A88" s="200">
        <f>ROW()</f>
      </c>
      <c r="B88" s="200">
        <f>ISTEXT('Proyecto Datos (OKR´s)'!$K88)</f>
      </c>
      <c r="C88" s="200">
        <f>AND(LEN('Proyecto Datos (OKR´s)'!$G88)&gt;0,NOT($B88),OR(ISNUMBER('Proyecto Datos (OKR´s)'!$F88),ISNUMBER('Proyecto Datos (OKR´s)'!$L88)))</f>
      </c>
      <c r="D88" s="201">
        <f>IF($C88,IFERROR(LOOKUP(2,1/((ISTEXT('Proyecto Datos (OKR´s)'!$K$7:$K88))*(LEN('Proyecto Datos (OKR´s)'!$G$7:$G88)&gt;0)),'Proyecto Datos (OKR´s)'!$G$7:$G88),""),"")</f>
      </c>
      <c r="E88" s="200">
        <f>IF($C88,'Proyecto Datos (OKR´s)'!$E88,"")</f>
      </c>
      <c r="F88" s="201">
        <f>IF($C88,'Proyecto Datos (OKR´s)'!$G88,"")</f>
      </c>
      <c r="G88" s="201">
        <f>IF($C88,IF('Proyecto Datos (OKR´s)'!$I88="","(Sin asignar)",'Proyecto Datos (OKR´s)'!$I88),"")</f>
      </c>
      <c r="H88" s="200">
        <f>IF($C88,IF(ISNUMBER('Proyecto Datos (OKR´s)'!$F88),'Proyecto Datos (OKR´s)'!$F88,'Proyecto Datos (OKR´s)'!$L88),"")</f>
      </c>
      <c r="I88" s="200">
        <f>IF($C88,'Proyecto Datos (OKR´s)'!$J88,"")</f>
      </c>
      <c r="J88" s="201">
        <f>IF($C88,IF($I88&gt;=1,"Completado",IF($H88&lt;TODAY(),"Vencido",IF(($H88-TODAY())&lt;='Entregas Próximas'!$I$3,"Próximo a vencer","En curso"))),"")</f>
      </c>
      <c r="K88" s="200">
        <f>IF($C88,$H88-TODAY(),"")</f>
      </c>
      <c r="L88" s="200">
        <f>IF($C88,$N88*1000000+$H88+ROW()/100000,"")</f>
      </c>
      <c r="M88" s="200">
        <f>IF($C88,IF('Proyecto Datos (OKR´s)'!$E88="","(Sin sprint)",'Proyecto Datos (OKR´s)'!$E88),"")</f>
      </c>
      <c r="N88" s="200">
        <f>IF($C88,IF('Proyecto Datos (OKR´s)'!$E88="",9999,'Proyecto Datos (OKR´s)'!$E88),"")</f>
      </c>
    </row>
    <row r="89">
      <c r="A89" s="200">
        <f>ROW()</f>
      </c>
      <c r="B89" s="200">
        <f>ISTEXT('Proyecto Datos (OKR´s)'!$K89)</f>
      </c>
      <c r="C89" s="200">
        <f>AND(LEN('Proyecto Datos (OKR´s)'!$G89)&gt;0,NOT($B89),OR(ISNUMBER('Proyecto Datos (OKR´s)'!$F89),ISNUMBER('Proyecto Datos (OKR´s)'!$L89)))</f>
      </c>
      <c r="D89" s="201">
        <f>IF($C89,IFERROR(LOOKUP(2,1/((ISTEXT('Proyecto Datos (OKR´s)'!$K$7:$K89))*(LEN('Proyecto Datos (OKR´s)'!$G$7:$G89)&gt;0)),'Proyecto Datos (OKR´s)'!$G$7:$G89),""),"")</f>
      </c>
      <c r="E89" s="200">
        <f>IF($C89,'Proyecto Datos (OKR´s)'!$E89,"")</f>
      </c>
      <c r="F89" s="201">
        <f>IF($C89,'Proyecto Datos (OKR´s)'!$G89,"")</f>
      </c>
      <c r="G89" s="201">
        <f>IF($C89,IF('Proyecto Datos (OKR´s)'!$I89="","(Sin asignar)",'Proyecto Datos (OKR´s)'!$I89),"")</f>
      </c>
      <c r="H89" s="200">
        <f>IF($C89,IF(ISNUMBER('Proyecto Datos (OKR´s)'!$F89),'Proyecto Datos (OKR´s)'!$F89,'Proyecto Datos (OKR´s)'!$L89),"")</f>
      </c>
      <c r="I89" s="200">
        <f>IF($C89,'Proyecto Datos (OKR´s)'!$J89,"")</f>
      </c>
      <c r="J89" s="201">
        <f>IF($C89,IF($I89&gt;=1,"Completado",IF($H89&lt;TODAY(),"Vencido",IF(($H89-TODAY())&lt;='Entregas Próximas'!$I$3,"Próximo a vencer","En curso"))),"")</f>
      </c>
      <c r="K89" s="200">
        <f>IF($C89,$H89-TODAY(),"")</f>
      </c>
      <c r="L89" s="200">
        <f>IF($C89,$N89*1000000+$H89+ROW()/100000,"")</f>
      </c>
      <c r="M89" s="200">
        <f>IF($C89,IF('Proyecto Datos (OKR´s)'!$E89="","(Sin sprint)",'Proyecto Datos (OKR´s)'!$E89),"")</f>
      </c>
      <c r="N89" s="200">
        <f>IF($C89,IF('Proyecto Datos (OKR´s)'!$E89="",9999,'Proyecto Datos (OKR´s)'!$E89),"")</f>
      </c>
    </row>
    <row r="90">
      <c r="A90" s="200">
        <f>ROW()</f>
      </c>
      <c r="B90" s="200">
        <f>ISTEXT('Proyecto Datos (OKR´s)'!$K90)</f>
      </c>
      <c r="C90" s="200">
        <f>AND(LEN('Proyecto Datos (OKR´s)'!$G90)&gt;0,NOT($B90),OR(ISNUMBER('Proyecto Datos (OKR´s)'!$F90),ISNUMBER('Proyecto Datos (OKR´s)'!$L90)))</f>
      </c>
      <c r="D90" s="201">
        <f>IF($C90,IFERROR(LOOKUP(2,1/((ISTEXT('Proyecto Datos (OKR´s)'!$K$7:$K90))*(LEN('Proyecto Datos (OKR´s)'!$G$7:$G90)&gt;0)),'Proyecto Datos (OKR´s)'!$G$7:$G90),""),"")</f>
      </c>
      <c r="E90" s="200">
        <f>IF($C90,'Proyecto Datos (OKR´s)'!$E90,"")</f>
      </c>
      <c r="F90" s="201">
        <f>IF($C90,'Proyecto Datos (OKR´s)'!$G90,"")</f>
      </c>
      <c r="G90" s="201">
        <f>IF($C90,IF('Proyecto Datos (OKR´s)'!$I90="","(Sin asignar)",'Proyecto Datos (OKR´s)'!$I90),"")</f>
      </c>
      <c r="H90" s="200">
        <f>IF($C90,IF(ISNUMBER('Proyecto Datos (OKR´s)'!$F90),'Proyecto Datos (OKR´s)'!$F90,'Proyecto Datos (OKR´s)'!$L90),"")</f>
      </c>
      <c r="I90" s="200">
        <f>IF($C90,'Proyecto Datos (OKR´s)'!$J90,"")</f>
      </c>
      <c r="J90" s="201">
        <f>IF($C90,IF($I90&gt;=1,"Completado",IF($H90&lt;TODAY(),"Vencido",IF(($H90-TODAY())&lt;='Entregas Próximas'!$I$3,"Próximo a vencer","En curso"))),"")</f>
      </c>
      <c r="K90" s="200">
        <f>IF($C90,$H90-TODAY(),"")</f>
      </c>
      <c r="L90" s="200">
        <f>IF($C90,$N90*1000000+$H90+ROW()/100000,"")</f>
      </c>
      <c r="M90" s="200">
        <f>IF($C90,IF('Proyecto Datos (OKR´s)'!$E90="","(Sin sprint)",'Proyecto Datos (OKR´s)'!$E90),"")</f>
      </c>
      <c r="N90" s="200">
        <f>IF($C90,IF('Proyecto Datos (OKR´s)'!$E90="",9999,'Proyecto Datos (OKR´s)'!$E90),"")</f>
      </c>
    </row>
    <row r="91">
      <c r="A91" s="200">
        <f>ROW()</f>
      </c>
      <c r="B91" s="200">
        <f>ISTEXT('Proyecto Datos (OKR´s)'!$K91)</f>
      </c>
      <c r="C91" s="200">
        <f>AND(LEN('Proyecto Datos (OKR´s)'!$G91)&gt;0,NOT($B91),OR(ISNUMBER('Proyecto Datos (OKR´s)'!$F91),ISNUMBER('Proyecto Datos (OKR´s)'!$L91)))</f>
      </c>
      <c r="D91" s="201">
        <f>IF($C91,IFERROR(LOOKUP(2,1/((ISTEXT('Proyecto Datos (OKR´s)'!$K$7:$K91))*(LEN('Proyecto Datos (OKR´s)'!$G$7:$G91)&gt;0)),'Proyecto Datos (OKR´s)'!$G$7:$G91),""),"")</f>
      </c>
      <c r="E91" s="200">
        <f>IF($C91,'Proyecto Datos (OKR´s)'!$E91,"")</f>
      </c>
      <c r="F91" s="201">
        <f>IF($C91,'Proyecto Datos (OKR´s)'!$G91,"")</f>
      </c>
      <c r="G91" s="201">
        <f>IF($C91,IF('Proyecto Datos (OKR´s)'!$I91="","(Sin asignar)",'Proyecto Datos (OKR´s)'!$I91),"")</f>
      </c>
      <c r="H91" s="200">
        <f>IF($C91,IF(ISNUMBER('Proyecto Datos (OKR´s)'!$F91),'Proyecto Datos (OKR´s)'!$F91,'Proyecto Datos (OKR´s)'!$L91),"")</f>
      </c>
      <c r="I91" s="200">
        <f>IF($C91,'Proyecto Datos (OKR´s)'!$J91,"")</f>
      </c>
      <c r="J91" s="201">
        <f>IF($C91,IF($I91&gt;=1,"Completado",IF($H91&lt;TODAY(),"Vencido",IF(($H91-TODAY())&lt;='Entregas Próximas'!$I$3,"Próximo a vencer","En curso"))),"")</f>
      </c>
      <c r="K91" s="200">
        <f>IF($C91,$H91-TODAY(),"")</f>
      </c>
      <c r="L91" s="200">
        <f>IF($C91,$N91*1000000+$H91+ROW()/100000,"")</f>
      </c>
      <c r="M91" s="200">
        <f>IF($C91,IF('Proyecto Datos (OKR´s)'!$E91="","(Sin sprint)",'Proyecto Datos (OKR´s)'!$E91),"")</f>
      </c>
      <c r="N91" s="200">
        <f>IF($C91,IF('Proyecto Datos (OKR´s)'!$E91="",9999,'Proyecto Datos (OKR´s)'!$E91),"")</f>
      </c>
    </row>
    <row r="92">
      <c r="A92" s="200">
        <f>ROW()</f>
      </c>
      <c r="B92" s="200">
        <f>ISTEXT('Proyecto Datos (OKR´s)'!$K92)</f>
      </c>
      <c r="C92" s="200">
        <f>AND(LEN('Proyecto Datos (OKR´s)'!$G92)&gt;0,NOT($B92),OR(ISNUMBER('Proyecto Datos (OKR´s)'!$F92),ISNUMBER('Proyecto Datos (OKR´s)'!$L92)))</f>
      </c>
      <c r="D92" s="201">
        <f>IF($C92,IFERROR(LOOKUP(2,1/((ISTEXT('Proyecto Datos (OKR´s)'!$K$7:$K92))*(LEN('Proyecto Datos (OKR´s)'!$G$7:$G92)&gt;0)),'Proyecto Datos (OKR´s)'!$G$7:$G92),""),"")</f>
      </c>
      <c r="E92" s="200">
        <f>IF($C92,'Proyecto Datos (OKR´s)'!$E92,"")</f>
      </c>
      <c r="F92" s="201">
        <f>IF($C92,'Proyecto Datos (OKR´s)'!$G92,"")</f>
      </c>
      <c r="G92" s="201">
        <f>IF($C92,IF('Proyecto Datos (OKR´s)'!$I92="","(Sin asignar)",'Proyecto Datos (OKR´s)'!$I92),"")</f>
      </c>
      <c r="H92" s="200">
        <f>IF($C92,IF(ISNUMBER('Proyecto Datos (OKR´s)'!$F92),'Proyecto Datos (OKR´s)'!$F92,'Proyecto Datos (OKR´s)'!$L92),"")</f>
      </c>
      <c r="I92" s="200">
        <f>IF($C92,'Proyecto Datos (OKR´s)'!$J92,"")</f>
      </c>
      <c r="J92" s="201">
        <f>IF($C92,IF($I92&gt;=1,"Completado",IF($H92&lt;TODAY(),"Vencido",IF(($H92-TODAY())&lt;='Entregas Próximas'!$I$3,"Próximo a vencer","En curso"))),"")</f>
      </c>
      <c r="K92" s="200">
        <f>IF($C92,$H92-TODAY(),"")</f>
      </c>
      <c r="L92" s="200">
        <f>IF($C92,$N92*1000000+$H92+ROW()/100000,"")</f>
      </c>
      <c r="M92" s="200">
        <f>IF($C92,IF('Proyecto Datos (OKR´s)'!$E92="","(Sin sprint)",'Proyecto Datos (OKR´s)'!$E92),"")</f>
      </c>
      <c r="N92" s="200">
        <f>IF($C92,IF('Proyecto Datos (OKR´s)'!$E92="",9999,'Proyecto Datos (OKR´s)'!$E92),"")</f>
      </c>
    </row>
    <row r="93">
      <c r="A93" s="200">
        <f>ROW()</f>
      </c>
      <c r="B93" s="200">
        <f>ISTEXT('Proyecto Datos (OKR´s)'!$K93)</f>
      </c>
      <c r="C93" s="200">
        <f>AND(LEN('Proyecto Datos (OKR´s)'!$G93)&gt;0,NOT($B93),OR(ISNUMBER('Proyecto Datos (OKR´s)'!$F93),ISNUMBER('Proyecto Datos (OKR´s)'!$L93)))</f>
      </c>
      <c r="D93" s="201">
        <f>IF($C93,IFERROR(LOOKUP(2,1/((ISTEXT('Proyecto Datos (OKR´s)'!$K$7:$K93))*(LEN('Proyecto Datos (OKR´s)'!$G$7:$G93)&gt;0)),'Proyecto Datos (OKR´s)'!$G$7:$G93),""),"")</f>
      </c>
      <c r="E93" s="200">
        <f>IF($C93,'Proyecto Datos (OKR´s)'!$E93,"")</f>
      </c>
      <c r="F93" s="201">
        <f>IF($C93,'Proyecto Datos (OKR´s)'!$G93,"")</f>
      </c>
      <c r="G93" s="201">
        <f>IF($C93,IF('Proyecto Datos (OKR´s)'!$I93="","(Sin asignar)",'Proyecto Datos (OKR´s)'!$I93),"")</f>
      </c>
      <c r="H93" s="200">
        <f>IF($C93,IF(ISNUMBER('Proyecto Datos (OKR´s)'!$F93),'Proyecto Datos (OKR´s)'!$F93,'Proyecto Datos (OKR´s)'!$L93),"")</f>
      </c>
      <c r="I93" s="200">
        <f>IF($C93,'Proyecto Datos (OKR´s)'!$J93,"")</f>
      </c>
      <c r="J93" s="201">
        <f>IF($C93,IF($I93&gt;=1,"Completado",IF($H93&lt;TODAY(),"Vencido",IF(($H93-TODAY())&lt;='Entregas Próximas'!$I$3,"Próximo a vencer","En curso"))),"")</f>
      </c>
      <c r="K93" s="200">
        <f>IF($C93,$H93-TODAY(),"")</f>
      </c>
      <c r="L93" s="200">
        <f>IF($C93,$N93*1000000+$H93+ROW()/100000,"")</f>
      </c>
      <c r="M93" s="200">
        <f>IF($C93,IF('Proyecto Datos (OKR´s)'!$E93="","(Sin sprint)",'Proyecto Datos (OKR´s)'!$E93),"")</f>
      </c>
      <c r="N93" s="200">
        <f>IF($C93,IF('Proyecto Datos (OKR´s)'!$E93="",9999,'Proyecto Datos (OKR´s)'!$E93),"")</f>
      </c>
    </row>
    <row r="94">
      <c r="A94" s="200">
        <f>ROW()</f>
      </c>
      <c r="B94" s="200">
        <f>ISTEXT('Proyecto Datos (OKR´s)'!$K94)</f>
      </c>
      <c r="C94" s="200">
        <f>AND(LEN('Proyecto Datos (OKR´s)'!$G94)&gt;0,NOT($B94),OR(ISNUMBER('Proyecto Datos (OKR´s)'!$F94),ISNUMBER('Proyecto Datos (OKR´s)'!$L94)))</f>
      </c>
      <c r="D94" s="201">
        <f>IF($C94,IFERROR(LOOKUP(2,1/((ISTEXT('Proyecto Datos (OKR´s)'!$K$7:$K94))*(LEN('Proyecto Datos (OKR´s)'!$G$7:$G94)&gt;0)),'Proyecto Datos (OKR´s)'!$G$7:$G94),""),"")</f>
      </c>
      <c r="E94" s="200">
        <f>IF($C94,'Proyecto Datos (OKR´s)'!$E94,"")</f>
      </c>
      <c r="F94" s="201">
        <f>IF($C94,'Proyecto Datos (OKR´s)'!$G94,"")</f>
      </c>
      <c r="G94" s="201">
        <f>IF($C94,IF('Proyecto Datos (OKR´s)'!$I94="","(Sin asignar)",'Proyecto Datos (OKR´s)'!$I94),"")</f>
      </c>
      <c r="H94" s="200">
        <f>IF($C94,IF(ISNUMBER('Proyecto Datos (OKR´s)'!$F94),'Proyecto Datos (OKR´s)'!$F94,'Proyecto Datos (OKR´s)'!$L94),"")</f>
      </c>
      <c r="I94" s="200">
        <f>IF($C94,'Proyecto Datos (OKR´s)'!$J94,"")</f>
      </c>
      <c r="J94" s="201">
        <f>IF($C94,IF($I94&gt;=1,"Completado",IF($H94&lt;TODAY(),"Vencido",IF(($H94-TODAY())&lt;='Entregas Próximas'!$I$3,"Próximo a vencer","En curso"))),"")</f>
      </c>
      <c r="K94" s="200">
        <f>IF($C94,$H94-TODAY(),"")</f>
      </c>
      <c r="L94" s="200">
        <f>IF($C94,$N94*1000000+$H94+ROW()/100000,"")</f>
      </c>
      <c r="M94" s="200">
        <f>IF($C94,IF('Proyecto Datos (OKR´s)'!$E94="","(Sin sprint)",'Proyecto Datos (OKR´s)'!$E94),"")</f>
      </c>
      <c r="N94" s="200">
        <f>IF($C94,IF('Proyecto Datos (OKR´s)'!$E94="",9999,'Proyecto Datos (OKR´s)'!$E94),"")</f>
      </c>
    </row>
    <row r="95">
      <c r="A95" s="200">
        <f>ROW()</f>
      </c>
      <c r="B95" s="200">
        <f>ISTEXT('Proyecto Datos (OKR´s)'!$K95)</f>
      </c>
      <c r="C95" s="200">
        <f>AND(LEN('Proyecto Datos (OKR´s)'!$G95)&gt;0,NOT($B95),OR(ISNUMBER('Proyecto Datos (OKR´s)'!$F95),ISNUMBER('Proyecto Datos (OKR´s)'!$L95)))</f>
      </c>
      <c r="D95" s="201">
        <f>IF($C95,IFERROR(LOOKUP(2,1/((ISTEXT('Proyecto Datos (OKR´s)'!$K$7:$K95))*(LEN('Proyecto Datos (OKR´s)'!$G$7:$G95)&gt;0)),'Proyecto Datos (OKR´s)'!$G$7:$G95),""),"")</f>
      </c>
      <c r="E95" s="200">
        <f>IF($C95,'Proyecto Datos (OKR´s)'!$E95,"")</f>
      </c>
      <c r="F95" s="201">
        <f>IF($C95,'Proyecto Datos (OKR´s)'!$G95,"")</f>
      </c>
      <c r="G95" s="201">
        <f>IF($C95,IF('Proyecto Datos (OKR´s)'!$I95="","(Sin asignar)",'Proyecto Datos (OKR´s)'!$I95),"")</f>
      </c>
      <c r="H95" s="200">
        <f>IF($C95,IF(ISNUMBER('Proyecto Datos (OKR´s)'!$F95),'Proyecto Datos (OKR´s)'!$F95,'Proyecto Datos (OKR´s)'!$L95),"")</f>
      </c>
      <c r="I95" s="200">
        <f>IF($C95,'Proyecto Datos (OKR´s)'!$J95,"")</f>
      </c>
      <c r="J95" s="201">
        <f>IF($C95,IF($I95&gt;=1,"Completado",IF($H95&lt;TODAY(),"Vencido",IF(($H95-TODAY())&lt;='Entregas Próximas'!$I$3,"Próximo a vencer","En curso"))),"")</f>
      </c>
      <c r="K95" s="200">
        <f>IF($C95,$H95-TODAY(),"")</f>
      </c>
      <c r="L95" s="200">
        <f>IF($C95,$N95*1000000+$H95+ROW()/100000,"")</f>
      </c>
      <c r="M95" s="200">
        <f>IF($C95,IF('Proyecto Datos (OKR´s)'!$E95="","(Sin sprint)",'Proyecto Datos (OKR´s)'!$E95),"")</f>
      </c>
      <c r="N95" s="200">
        <f>IF($C95,IF('Proyecto Datos (OKR´s)'!$E95="",9999,'Proyecto Datos (OKR´s)'!$E95),"")</f>
      </c>
    </row>
    <row r="96">
      <c r="A96" s="200">
        <f>ROW()</f>
      </c>
      <c r="B96" s="200">
        <f>ISTEXT('Proyecto Datos (OKR´s)'!$K96)</f>
      </c>
      <c r="C96" s="200">
        <f>AND(LEN('Proyecto Datos (OKR´s)'!$G96)&gt;0,NOT($B96),OR(ISNUMBER('Proyecto Datos (OKR´s)'!$F96),ISNUMBER('Proyecto Datos (OKR´s)'!$L96)))</f>
      </c>
      <c r="D96" s="201">
        <f>IF($C96,IFERROR(LOOKUP(2,1/((ISTEXT('Proyecto Datos (OKR´s)'!$K$7:$K96))*(LEN('Proyecto Datos (OKR´s)'!$G$7:$G96)&gt;0)),'Proyecto Datos (OKR´s)'!$G$7:$G96),""),"")</f>
      </c>
      <c r="E96" s="200">
        <f>IF($C96,'Proyecto Datos (OKR´s)'!$E96,"")</f>
      </c>
      <c r="F96" s="201">
        <f>IF($C96,'Proyecto Datos (OKR´s)'!$G96,"")</f>
      </c>
      <c r="G96" s="201">
        <f>IF($C96,IF('Proyecto Datos (OKR´s)'!$I96="","(Sin asignar)",'Proyecto Datos (OKR´s)'!$I96),"")</f>
      </c>
      <c r="H96" s="200">
        <f>IF($C96,IF(ISNUMBER('Proyecto Datos (OKR´s)'!$F96),'Proyecto Datos (OKR´s)'!$F96,'Proyecto Datos (OKR´s)'!$L96),"")</f>
      </c>
      <c r="I96" s="200">
        <f>IF($C96,'Proyecto Datos (OKR´s)'!$J96,"")</f>
      </c>
      <c r="J96" s="201">
        <f>IF($C96,IF($I96&gt;=1,"Completado",IF($H96&lt;TODAY(),"Vencido",IF(($H96-TODAY())&lt;='Entregas Próximas'!$I$3,"Próximo a vencer","En curso"))),"")</f>
      </c>
      <c r="K96" s="200">
        <f>IF($C96,$H96-TODAY(),"")</f>
      </c>
      <c r="L96" s="200">
        <f>IF($C96,$N96*1000000+$H96+ROW()/100000,"")</f>
      </c>
      <c r="M96" s="200">
        <f>IF($C96,IF('Proyecto Datos (OKR´s)'!$E96="","(Sin sprint)",'Proyecto Datos (OKR´s)'!$E96),"")</f>
      </c>
      <c r="N96" s="200">
        <f>IF($C96,IF('Proyecto Datos (OKR´s)'!$E96="",9999,'Proyecto Datos (OKR´s)'!$E96),"")</f>
      </c>
    </row>
    <row r="97">
      <c r="A97" s="200">
        <f>ROW()</f>
      </c>
      <c r="B97" s="200">
        <f>ISTEXT('Proyecto Datos (OKR´s)'!$K97)</f>
      </c>
      <c r="C97" s="200">
        <f>AND(LEN('Proyecto Datos (OKR´s)'!$G97)&gt;0,NOT($B97),OR(ISNUMBER('Proyecto Datos (OKR´s)'!$F97),ISNUMBER('Proyecto Datos (OKR´s)'!$L97)))</f>
      </c>
      <c r="D97" s="201">
        <f>IF($C97,IFERROR(LOOKUP(2,1/((ISTEXT('Proyecto Datos (OKR´s)'!$K$7:$K97))*(LEN('Proyecto Datos (OKR´s)'!$G$7:$G97)&gt;0)),'Proyecto Datos (OKR´s)'!$G$7:$G97),""),"")</f>
      </c>
      <c r="E97" s="200">
        <f>IF($C97,'Proyecto Datos (OKR´s)'!$E97,"")</f>
      </c>
      <c r="F97" s="201">
        <f>IF($C97,'Proyecto Datos (OKR´s)'!$G97,"")</f>
      </c>
      <c r="G97" s="201">
        <f>IF($C97,IF('Proyecto Datos (OKR´s)'!$I97="","(Sin asignar)",'Proyecto Datos (OKR´s)'!$I97),"")</f>
      </c>
      <c r="H97" s="200">
        <f>IF($C97,IF(ISNUMBER('Proyecto Datos (OKR´s)'!$F97),'Proyecto Datos (OKR´s)'!$F97,'Proyecto Datos (OKR´s)'!$L97),"")</f>
      </c>
      <c r="I97" s="200">
        <f>IF($C97,'Proyecto Datos (OKR´s)'!$J97,"")</f>
      </c>
      <c r="J97" s="201">
        <f>IF($C97,IF($I97&gt;=1,"Completado",IF($H97&lt;TODAY(),"Vencido",IF(($H97-TODAY())&lt;='Entregas Próximas'!$I$3,"Próximo a vencer","En curso"))),"")</f>
      </c>
      <c r="K97" s="200">
        <f>IF($C97,$H97-TODAY(),"")</f>
      </c>
      <c r="L97" s="200">
        <f>IF($C97,$N97*1000000+$H97+ROW()/100000,"")</f>
      </c>
      <c r="M97" s="200">
        <f>IF($C97,IF('Proyecto Datos (OKR´s)'!$E97="","(Sin sprint)",'Proyecto Datos (OKR´s)'!$E97),"")</f>
      </c>
      <c r="N97" s="200">
        <f>IF($C97,IF('Proyecto Datos (OKR´s)'!$E97="",9999,'Proyecto Datos (OKR´s)'!$E97),"")</f>
      </c>
    </row>
    <row r="98">
      <c r="A98" s="200">
        <f>ROW()</f>
      </c>
      <c r="B98" s="200">
        <f>ISTEXT('Proyecto Datos (OKR´s)'!$K98)</f>
      </c>
      <c r="C98" s="200">
        <f>AND(LEN('Proyecto Datos (OKR´s)'!$G98)&gt;0,NOT($B98),OR(ISNUMBER('Proyecto Datos (OKR´s)'!$F98),ISNUMBER('Proyecto Datos (OKR´s)'!$L98)))</f>
      </c>
      <c r="D98" s="201">
        <f>IF($C98,IFERROR(LOOKUP(2,1/((ISTEXT('Proyecto Datos (OKR´s)'!$K$7:$K98))*(LEN('Proyecto Datos (OKR´s)'!$G$7:$G98)&gt;0)),'Proyecto Datos (OKR´s)'!$G$7:$G98),""),"")</f>
      </c>
      <c r="E98" s="200">
        <f>IF($C98,'Proyecto Datos (OKR´s)'!$E98,"")</f>
      </c>
      <c r="F98" s="201">
        <f>IF($C98,'Proyecto Datos (OKR´s)'!$G98,"")</f>
      </c>
      <c r="G98" s="201">
        <f>IF($C98,IF('Proyecto Datos (OKR´s)'!$I98="","(Sin asignar)",'Proyecto Datos (OKR´s)'!$I98),"")</f>
      </c>
      <c r="H98" s="200">
        <f>IF($C98,IF(ISNUMBER('Proyecto Datos (OKR´s)'!$F98),'Proyecto Datos (OKR´s)'!$F98,'Proyecto Datos (OKR´s)'!$L98),"")</f>
      </c>
      <c r="I98" s="200">
        <f>IF($C98,'Proyecto Datos (OKR´s)'!$J98,"")</f>
      </c>
      <c r="J98" s="201">
        <f>IF($C98,IF($I98&gt;=1,"Completado",IF($H98&lt;TODAY(),"Vencido",IF(($H98-TODAY())&lt;='Entregas Próximas'!$I$3,"Próximo a vencer","En curso"))),"")</f>
      </c>
      <c r="K98" s="200">
        <f>IF($C98,$H98-TODAY(),"")</f>
      </c>
      <c r="L98" s="200">
        <f>IF($C98,$N98*1000000+$H98+ROW()/100000,"")</f>
      </c>
      <c r="M98" s="200">
        <f>IF($C98,IF('Proyecto Datos (OKR´s)'!$E98="","(Sin sprint)",'Proyecto Datos (OKR´s)'!$E98),"")</f>
      </c>
      <c r="N98" s="200">
        <f>IF($C98,IF('Proyecto Datos (OKR´s)'!$E98="",9999,'Proyecto Datos (OKR´s)'!$E98),"")</f>
      </c>
    </row>
    <row r="99">
      <c r="A99" s="200">
        <f>ROW()</f>
      </c>
      <c r="B99" s="200">
        <f>ISTEXT('Proyecto Datos (OKR´s)'!$K99)</f>
      </c>
      <c r="C99" s="200">
        <f>AND(LEN('Proyecto Datos (OKR´s)'!$G99)&gt;0,NOT($B99),OR(ISNUMBER('Proyecto Datos (OKR´s)'!$F99),ISNUMBER('Proyecto Datos (OKR´s)'!$L99)))</f>
      </c>
      <c r="D99" s="201">
        <f>IF($C99,IFERROR(LOOKUP(2,1/((ISTEXT('Proyecto Datos (OKR´s)'!$K$7:$K99))*(LEN('Proyecto Datos (OKR´s)'!$G$7:$G99)&gt;0)),'Proyecto Datos (OKR´s)'!$G$7:$G99),""),"")</f>
      </c>
      <c r="E99" s="200">
        <f>IF($C99,'Proyecto Datos (OKR´s)'!$E99,"")</f>
      </c>
      <c r="F99" s="201">
        <f>IF($C99,'Proyecto Datos (OKR´s)'!$G99,"")</f>
      </c>
      <c r="G99" s="201">
        <f>IF($C99,IF('Proyecto Datos (OKR´s)'!$I99="","(Sin asignar)",'Proyecto Datos (OKR´s)'!$I99),"")</f>
      </c>
      <c r="H99" s="200">
        <f>IF($C99,IF(ISNUMBER('Proyecto Datos (OKR´s)'!$F99),'Proyecto Datos (OKR´s)'!$F99,'Proyecto Datos (OKR´s)'!$L99),"")</f>
      </c>
      <c r="I99" s="200">
        <f>IF($C99,'Proyecto Datos (OKR´s)'!$J99,"")</f>
      </c>
      <c r="J99" s="201">
        <f>IF($C99,IF($I99&gt;=1,"Completado",IF($H99&lt;TODAY(),"Vencido",IF(($H99-TODAY())&lt;='Entregas Próximas'!$I$3,"Próximo a vencer","En curso"))),"")</f>
      </c>
      <c r="K99" s="200">
        <f>IF($C99,$H99-TODAY(),"")</f>
      </c>
      <c r="L99" s="200">
        <f>IF($C99,$N99*1000000+$H99+ROW()/100000,"")</f>
      </c>
      <c r="M99" s="200">
        <f>IF($C99,IF('Proyecto Datos (OKR´s)'!$E99="","(Sin sprint)",'Proyecto Datos (OKR´s)'!$E99),"")</f>
      </c>
      <c r="N99" s="200">
        <f>IF($C99,IF('Proyecto Datos (OKR´s)'!$E99="",9999,'Proyecto Datos (OKR´s)'!$E99),"")</f>
      </c>
    </row>
    <row r="100">
      <c r="A100" s="200">
        <f>ROW()</f>
      </c>
      <c r="B100" s="200">
        <f>ISTEXT('Proyecto Datos (OKR´s)'!$K100)</f>
      </c>
      <c r="C100" s="200">
        <f>AND(LEN('Proyecto Datos (OKR´s)'!$G100)&gt;0,NOT($B100),OR(ISNUMBER('Proyecto Datos (OKR´s)'!$F100),ISNUMBER('Proyecto Datos (OKR´s)'!$L100)))</f>
      </c>
      <c r="D100" s="201">
        <f>IF($C100,IFERROR(LOOKUP(2,1/((ISTEXT('Proyecto Datos (OKR´s)'!$K$7:$K100))*(LEN('Proyecto Datos (OKR´s)'!$G$7:$G100)&gt;0)),'Proyecto Datos (OKR´s)'!$G$7:$G100),""),"")</f>
      </c>
      <c r="E100" s="200">
        <f>IF($C100,'Proyecto Datos (OKR´s)'!$E100,"")</f>
      </c>
      <c r="F100" s="201">
        <f>IF($C100,'Proyecto Datos (OKR´s)'!$G100,"")</f>
      </c>
      <c r="G100" s="201">
        <f>IF($C100,IF('Proyecto Datos (OKR´s)'!$I100="","(Sin asignar)",'Proyecto Datos (OKR´s)'!$I100),"")</f>
      </c>
      <c r="H100" s="200">
        <f>IF($C100,IF(ISNUMBER('Proyecto Datos (OKR´s)'!$F100),'Proyecto Datos (OKR´s)'!$F100,'Proyecto Datos (OKR´s)'!$L100),"")</f>
      </c>
      <c r="I100" s="200">
        <f>IF($C100,'Proyecto Datos (OKR´s)'!$J100,"")</f>
      </c>
      <c r="J100" s="201">
        <f>IF($C100,IF($I100&gt;=1,"Completado",IF($H100&lt;TODAY(),"Vencido",IF(($H100-TODAY())&lt;='Entregas Próximas'!$I$3,"Próximo a vencer","En curso"))),"")</f>
      </c>
      <c r="K100" s="200">
        <f>IF($C100,$H100-TODAY(),"")</f>
      </c>
      <c r="L100" s="200">
        <f>IF($C100,$N100*1000000+$H100+ROW()/100000,"")</f>
      </c>
      <c r="M100" s="200">
        <f>IF($C100,IF('Proyecto Datos (OKR´s)'!$E100="","(Sin sprint)",'Proyecto Datos (OKR´s)'!$E100),"")</f>
      </c>
      <c r="N100" s="200">
        <f>IF($C100,IF('Proyecto Datos (OKR´s)'!$E100="",9999,'Proyecto Datos (OKR´s)'!$E100),"")</f>
      </c>
    </row>
    <row r="101">
      <c r="A101" s="200">
        <f>ROW()</f>
      </c>
      <c r="B101" s="200">
        <f>ISTEXT('Proyecto Datos (OKR´s)'!$K101)</f>
      </c>
      <c r="C101" s="200">
        <f>AND(LEN('Proyecto Datos (OKR´s)'!$G101)&gt;0,NOT($B101),OR(ISNUMBER('Proyecto Datos (OKR´s)'!$F101),ISNUMBER('Proyecto Datos (OKR´s)'!$L101)))</f>
      </c>
      <c r="D101" s="201">
        <f>IF($C101,IFERROR(LOOKUP(2,1/((ISTEXT('Proyecto Datos (OKR´s)'!$K$7:$K101))*(LEN('Proyecto Datos (OKR´s)'!$G$7:$G101)&gt;0)),'Proyecto Datos (OKR´s)'!$G$7:$G101),""),"")</f>
      </c>
      <c r="E101" s="200">
        <f>IF($C101,'Proyecto Datos (OKR´s)'!$E101,"")</f>
      </c>
      <c r="F101" s="201">
        <f>IF($C101,'Proyecto Datos (OKR´s)'!$G101,"")</f>
      </c>
      <c r="G101" s="201">
        <f>IF($C101,IF('Proyecto Datos (OKR´s)'!$I101="","(Sin asignar)",'Proyecto Datos (OKR´s)'!$I101),"")</f>
      </c>
      <c r="H101" s="200">
        <f>IF($C101,IF(ISNUMBER('Proyecto Datos (OKR´s)'!$F101),'Proyecto Datos (OKR´s)'!$F101,'Proyecto Datos (OKR´s)'!$L101),"")</f>
      </c>
      <c r="I101" s="200">
        <f>IF($C101,'Proyecto Datos (OKR´s)'!$J101,"")</f>
      </c>
      <c r="J101" s="201">
        <f>IF($C101,IF($I101&gt;=1,"Completado",IF($H101&lt;TODAY(),"Vencido",IF(($H101-TODAY())&lt;='Entregas Próximas'!$I$3,"Próximo a vencer","En curso"))),"")</f>
      </c>
      <c r="K101" s="200">
        <f>IF($C101,$H101-TODAY(),"")</f>
      </c>
      <c r="L101" s="200">
        <f>IF($C101,$N101*1000000+$H101+ROW()/100000,"")</f>
      </c>
      <c r="M101" s="200">
        <f>IF($C101,IF('Proyecto Datos (OKR´s)'!$E101="","(Sin sprint)",'Proyecto Datos (OKR´s)'!$E101),"")</f>
      </c>
      <c r="N101" s="200">
        <f>IF($C101,IF('Proyecto Datos (OKR´s)'!$E101="",9999,'Proyecto Datos (OKR´s)'!$E101),"")</f>
      </c>
    </row>
    <row r="102">
      <c r="A102" s="200">
        <f>ROW()</f>
      </c>
      <c r="B102" s="200">
        <f>ISTEXT('Proyecto Datos (OKR´s)'!$K102)</f>
      </c>
      <c r="C102" s="200">
        <f>AND(LEN('Proyecto Datos (OKR´s)'!$G102)&gt;0,NOT($B102),OR(ISNUMBER('Proyecto Datos (OKR´s)'!$F102),ISNUMBER('Proyecto Datos (OKR´s)'!$L102)))</f>
      </c>
      <c r="D102" s="201">
        <f>IF($C102,IFERROR(LOOKUP(2,1/((ISTEXT('Proyecto Datos (OKR´s)'!$K$7:$K102))*(LEN('Proyecto Datos (OKR´s)'!$G$7:$G102)&gt;0)),'Proyecto Datos (OKR´s)'!$G$7:$G102),""),"")</f>
      </c>
      <c r="E102" s="200">
        <f>IF($C102,'Proyecto Datos (OKR´s)'!$E102,"")</f>
      </c>
      <c r="F102" s="201">
        <f>IF($C102,'Proyecto Datos (OKR´s)'!$G102,"")</f>
      </c>
      <c r="G102" s="201">
        <f>IF($C102,IF('Proyecto Datos (OKR´s)'!$I102="","(Sin asignar)",'Proyecto Datos (OKR´s)'!$I102),"")</f>
      </c>
      <c r="H102" s="200">
        <f>IF($C102,IF(ISNUMBER('Proyecto Datos (OKR´s)'!$F102),'Proyecto Datos (OKR´s)'!$F102,'Proyecto Datos (OKR´s)'!$L102),"")</f>
      </c>
      <c r="I102" s="200">
        <f>IF($C102,'Proyecto Datos (OKR´s)'!$J102,"")</f>
      </c>
      <c r="J102" s="201">
        <f>IF($C102,IF($I102&gt;=1,"Completado",IF($H102&lt;TODAY(),"Vencido",IF(($H102-TODAY())&lt;='Entregas Próximas'!$I$3,"Próximo a vencer","En curso"))),"")</f>
      </c>
      <c r="K102" s="200">
        <f>IF($C102,$H102-TODAY(),"")</f>
      </c>
      <c r="L102" s="200">
        <f>IF($C102,$N102*1000000+$H102+ROW()/100000,"")</f>
      </c>
      <c r="M102" s="200">
        <f>IF($C102,IF('Proyecto Datos (OKR´s)'!$E102="","(Sin sprint)",'Proyecto Datos (OKR´s)'!$E102),"")</f>
      </c>
      <c r="N102" s="200">
        <f>IF($C102,IF('Proyecto Datos (OKR´s)'!$E102="",9999,'Proyecto Datos (OKR´s)'!$E102),"")</f>
      </c>
    </row>
    <row r="103">
      <c r="A103" s="200">
        <f>ROW()</f>
      </c>
      <c r="B103" s="200">
        <f>ISTEXT('Proyecto Datos (OKR´s)'!$K103)</f>
      </c>
      <c r="C103" s="200">
        <f>AND(LEN('Proyecto Datos (OKR´s)'!$G103)&gt;0,NOT($B103),OR(ISNUMBER('Proyecto Datos (OKR´s)'!$F103),ISNUMBER('Proyecto Datos (OKR´s)'!$L103)))</f>
      </c>
      <c r="D103" s="201">
        <f>IF($C103,IFERROR(LOOKUP(2,1/((ISTEXT('Proyecto Datos (OKR´s)'!$K$7:$K103))*(LEN('Proyecto Datos (OKR´s)'!$G$7:$G103)&gt;0)),'Proyecto Datos (OKR´s)'!$G$7:$G103),""),"")</f>
      </c>
      <c r="E103" s="200">
        <f>IF($C103,'Proyecto Datos (OKR´s)'!$E103,"")</f>
      </c>
      <c r="F103" s="201">
        <f>IF($C103,'Proyecto Datos (OKR´s)'!$G103,"")</f>
      </c>
      <c r="G103" s="201">
        <f>IF($C103,IF('Proyecto Datos (OKR´s)'!$I103="","(Sin asignar)",'Proyecto Datos (OKR´s)'!$I103),"")</f>
      </c>
      <c r="H103" s="200">
        <f>IF($C103,IF(ISNUMBER('Proyecto Datos (OKR´s)'!$F103),'Proyecto Datos (OKR´s)'!$F103,'Proyecto Datos (OKR´s)'!$L103),"")</f>
      </c>
      <c r="I103" s="200">
        <f>IF($C103,'Proyecto Datos (OKR´s)'!$J103,"")</f>
      </c>
      <c r="J103" s="201">
        <f>IF($C103,IF($I103&gt;=1,"Completado",IF($H103&lt;TODAY(),"Vencido",IF(($H103-TODAY())&lt;='Entregas Próximas'!$I$3,"Próximo a vencer","En curso"))),"")</f>
      </c>
      <c r="K103" s="200">
        <f>IF($C103,$H103-TODAY(),"")</f>
      </c>
      <c r="L103" s="200">
        <f>IF($C103,$N103*1000000+$H103+ROW()/100000,"")</f>
      </c>
      <c r="M103" s="200">
        <f>IF($C103,IF('Proyecto Datos (OKR´s)'!$E103="","(Sin sprint)",'Proyecto Datos (OKR´s)'!$E103),"")</f>
      </c>
      <c r="N103" s="200">
        <f>IF($C103,IF('Proyecto Datos (OKR´s)'!$E103="",9999,'Proyecto Datos (OKR´s)'!$E103),"")</f>
      </c>
    </row>
    <row r="104">
      <c r="A104" s="200">
        <f>ROW()</f>
      </c>
      <c r="B104" s="200">
        <f>ISTEXT('Proyecto Datos (OKR´s)'!$K104)</f>
      </c>
      <c r="C104" s="200">
        <f>AND(LEN('Proyecto Datos (OKR´s)'!$G104)&gt;0,NOT($B104),OR(ISNUMBER('Proyecto Datos (OKR´s)'!$F104),ISNUMBER('Proyecto Datos (OKR´s)'!$L104)))</f>
      </c>
      <c r="D104" s="201">
        <f>IF($C104,IFERROR(LOOKUP(2,1/((ISTEXT('Proyecto Datos (OKR´s)'!$K$7:$K104))*(LEN('Proyecto Datos (OKR´s)'!$G$7:$G104)&gt;0)),'Proyecto Datos (OKR´s)'!$G$7:$G104),""),"")</f>
      </c>
      <c r="E104" s="200">
        <f>IF($C104,'Proyecto Datos (OKR´s)'!$E104,"")</f>
      </c>
      <c r="F104" s="201">
        <f>IF($C104,'Proyecto Datos (OKR´s)'!$G104,"")</f>
      </c>
      <c r="G104" s="201">
        <f>IF($C104,IF('Proyecto Datos (OKR´s)'!$I104="","(Sin asignar)",'Proyecto Datos (OKR´s)'!$I104),"")</f>
      </c>
      <c r="H104" s="200">
        <f>IF($C104,IF(ISNUMBER('Proyecto Datos (OKR´s)'!$F104),'Proyecto Datos (OKR´s)'!$F104,'Proyecto Datos (OKR´s)'!$L104),"")</f>
      </c>
      <c r="I104" s="200">
        <f>IF($C104,'Proyecto Datos (OKR´s)'!$J104,"")</f>
      </c>
      <c r="J104" s="201">
        <f>IF($C104,IF($I104&gt;=1,"Completado",IF($H104&lt;TODAY(),"Vencido",IF(($H104-TODAY())&lt;='Entregas Próximas'!$I$3,"Próximo a vencer","En curso"))),"")</f>
      </c>
      <c r="K104" s="200">
        <f>IF($C104,$H104-TODAY(),"")</f>
      </c>
      <c r="L104" s="200">
        <f>IF($C104,$N104*1000000+$H104+ROW()/100000,"")</f>
      </c>
      <c r="M104" s="200">
        <f>IF($C104,IF('Proyecto Datos (OKR´s)'!$E104="","(Sin sprint)",'Proyecto Datos (OKR´s)'!$E104),"")</f>
      </c>
      <c r="N104" s="200">
        <f>IF($C104,IF('Proyecto Datos (OKR´s)'!$E104="",9999,'Proyecto Datos (OKR´s)'!$E104),"")</f>
      </c>
    </row>
    <row r="105">
      <c r="A105" s="200">
        <f>ROW()</f>
      </c>
      <c r="B105" s="200">
        <f>ISTEXT('Proyecto Datos (OKR´s)'!$K105)</f>
      </c>
      <c r="C105" s="200">
        <f>AND(LEN('Proyecto Datos (OKR´s)'!$G105)&gt;0,NOT($B105),OR(ISNUMBER('Proyecto Datos (OKR´s)'!$F105),ISNUMBER('Proyecto Datos (OKR´s)'!$L105)))</f>
      </c>
      <c r="D105" s="201">
        <f>IF($C105,IFERROR(LOOKUP(2,1/((ISTEXT('Proyecto Datos (OKR´s)'!$K$7:$K105))*(LEN('Proyecto Datos (OKR´s)'!$G$7:$G105)&gt;0)),'Proyecto Datos (OKR´s)'!$G$7:$G105),""),"")</f>
      </c>
      <c r="E105" s="200">
        <f>IF($C105,'Proyecto Datos (OKR´s)'!$E105,"")</f>
      </c>
      <c r="F105" s="201">
        <f>IF($C105,'Proyecto Datos (OKR´s)'!$G105,"")</f>
      </c>
      <c r="G105" s="201">
        <f>IF($C105,IF('Proyecto Datos (OKR´s)'!$I105="","(Sin asignar)",'Proyecto Datos (OKR´s)'!$I105),"")</f>
      </c>
      <c r="H105" s="200">
        <f>IF($C105,IF(ISNUMBER('Proyecto Datos (OKR´s)'!$F105),'Proyecto Datos (OKR´s)'!$F105,'Proyecto Datos (OKR´s)'!$L105),"")</f>
      </c>
      <c r="I105" s="200">
        <f>IF($C105,'Proyecto Datos (OKR´s)'!$J105,"")</f>
      </c>
      <c r="J105" s="201">
        <f>IF($C105,IF($I105&gt;=1,"Completado",IF($H105&lt;TODAY(),"Vencido",IF(($H105-TODAY())&lt;='Entregas Próximas'!$I$3,"Próximo a vencer","En curso"))),"")</f>
      </c>
      <c r="K105" s="200">
        <f>IF($C105,$H105-TODAY(),"")</f>
      </c>
      <c r="L105" s="200">
        <f>IF($C105,$N105*1000000+$H105+ROW()/100000,"")</f>
      </c>
      <c r="M105" s="200">
        <f>IF($C105,IF('Proyecto Datos (OKR´s)'!$E105="","(Sin sprint)",'Proyecto Datos (OKR´s)'!$E105),"")</f>
      </c>
      <c r="N105" s="200">
        <f>IF($C105,IF('Proyecto Datos (OKR´s)'!$E105="",9999,'Proyecto Datos (OKR´s)'!$E105),"")</f>
      </c>
    </row>
    <row r="106">
      <c r="A106" s="200">
        <f>ROW()</f>
      </c>
      <c r="B106" s="200">
        <f>ISTEXT('Proyecto Datos (OKR´s)'!$K106)</f>
      </c>
      <c r="C106" s="200">
        <f>AND(LEN('Proyecto Datos (OKR´s)'!$G106)&gt;0,NOT($B106),OR(ISNUMBER('Proyecto Datos (OKR´s)'!$F106),ISNUMBER('Proyecto Datos (OKR´s)'!$L106)))</f>
      </c>
      <c r="D106" s="201">
        <f>IF($C106,IFERROR(LOOKUP(2,1/((ISTEXT('Proyecto Datos (OKR´s)'!$K$7:$K106))*(LEN('Proyecto Datos (OKR´s)'!$G$7:$G106)&gt;0)),'Proyecto Datos (OKR´s)'!$G$7:$G106),""),"")</f>
      </c>
      <c r="E106" s="200">
        <f>IF($C106,'Proyecto Datos (OKR´s)'!$E106,"")</f>
      </c>
      <c r="F106" s="201">
        <f>IF($C106,'Proyecto Datos (OKR´s)'!$G106,"")</f>
      </c>
      <c r="G106" s="201">
        <f>IF($C106,IF('Proyecto Datos (OKR´s)'!$I106="","(Sin asignar)",'Proyecto Datos (OKR´s)'!$I106),"")</f>
      </c>
      <c r="H106" s="200">
        <f>IF($C106,IF(ISNUMBER('Proyecto Datos (OKR´s)'!$F106),'Proyecto Datos (OKR´s)'!$F106,'Proyecto Datos (OKR´s)'!$L106),"")</f>
      </c>
      <c r="I106" s="200">
        <f>IF($C106,'Proyecto Datos (OKR´s)'!$J106,"")</f>
      </c>
      <c r="J106" s="201">
        <f>IF($C106,IF($I106&gt;=1,"Completado",IF($H106&lt;TODAY(),"Vencido",IF(($H106-TODAY())&lt;='Entregas Próximas'!$I$3,"Próximo a vencer","En curso"))),"")</f>
      </c>
      <c r="K106" s="200">
        <f>IF($C106,$H106-TODAY(),"")</f>
      </c>
      <c r="L106" s="200">
        <f>IF($C106,$N106*1000000+$H106+ROW()/100000,"")</f>
      </c>
      <c r="M106" s="200">
        <f>IF($C106,IF('Proyecto Datos (OKR´s)'!$E106="","(Sin sprint)",'Proyecto Datos (OKR´s)'!$E106),"")</f>
      </c>
      <c r="N106" s="200">
        <f>IF($C106,IF('Proyecto Datos (OKR´s)'!$E106="",9999,'Proyecto Datos (OKR´s)'!$E106),"")</f>
      </c>
    </row>
    <row r="107">
      <c r="A107" s="200">
        <f>ROW()</f>
      </c>
      <c r="B107" s="200">
        <f>ISTEXT('Proyecto Datos (OKR´s)'!$K107)</f>
      </c>
      <c r="C107" s="200">
        <f>AND(LEN('Proyecto Datos (OKR´s)'!$G107)&gt;0,NOT($B107),OR(ISNUMBER('Proyecto Datos (OKR´s)'!$F107),ISNUMBER('Proyecto Datos (OKR´s)'!$L107)))</f>
      </c>
      <c r="D107" s="201">
        <f>IF($C107,IFERROR(LOOKUP(2,1/((ISTEXT('Proyecto Datos (OKR´s)'!$K$7:$K107))*(LEN('Proyecto Datos (OKR´s)'!$G$7:$G107)&gt;0)),'Proyecto Datos (OKR´s)'!$G$7:$G107),""),"")</f>
      </c>
      <c r="E107" s="200">
        <f>IF($C107,'Proyecto Datos (OKR´s)'!$E107,"")</f>
      </c>
      <c r="F107" s="201">
        <f>IF($C107,'Proyecto Datos (OKR´s)'!$G107,"")</f>
      </c>
      <c r="G107" s="201">
        <f>IF($C107,IF('Proyecto Datos (OKR´s)'!$I107="","(Sin asignar)",'Proyecto Datos (OKR´s)'!$I107),"")</f>
      </c>
      <c r="H107" s="200">
        <f>IF($C107,IF(ISNUMBER('Proyecto Datos (OKR´s)'!$F107),'Proyecto Datos (OKR´s)'!$F107,'Proyecto Datos (OKR´s)'!$L107),"")</f>
      </c>
      <c r="I107" s="200">
        <f>IF($C107,'Proyecto Datos (OKR´s)'!$J107,"")</f>
      </c>
      <c r="J107" s="201">
        <f>IF($C107,IF($I107&gt;=1,"Completado",IF($H107&lt;TODAY(),"Vencido",IF(($H107-TODAY())&lt;='Entregas Próximas'!$I$3,"Próximo a vencer","En curso"))),"")</f>
      </c>
      <c r="K107" s="200">
        <f>IF($C107,$H107-TODAY(),"")</f>
      </c>
      <c r="L107" s="200">
        <f>IF($C107,$N107*1000000+$H107+ROW()/100000,"")</f>
      </c>
      <c r="M107" s="200">
        <f>IF($C107,IF('Proyecto Datos (OKR´s)'!$E107="","(Sin sprint)",'Proyecto Datos (OKR´s)'!$E107),"")</f>
      </c>
      <c r="N107" s="200">
        <f>IF($C107,IF('Proyecto Datos (OKR´s)'!$E107="",9999,'Proyecto Datos (OKR´s)'!$E107),"")</f>
      </c>
    </row>
    <row r="108">
      <c r="A108" s="200">
        <f>ROW()</f>
      </c>
      <c r="B108" s="200">
        <f>ISTEXT('Proyecto Datos (OKR´s)'!$K108)</f>
      </c>
      <c r="C108" s="200">
        <f>AND(LEN('Proyecto Datos (OKR´s)'!$G108)&gt;0,NOT($B108),OR(ISNUMBER('Proyecto Datos (OKR´s)'!$F108),ISNUMBER('Proyecto Datos (OKR´s)'!$L108)))</f>
      </c>
      <c r="D108" s="201">
        <f>IF($C108,IFERROR(LOOKUP(2,1/((ISTEXT('Proyecto Datos (OKR´s)'!$K$7:$K108))*(LEN('Proyecto Datos (OKR´s)'!$G$7:$G108)&gt;0)),'Proyecto Datos (OKR´s)'!$G$7:$G108),""),"")</f>
      </c>
      <c r="E108" s="200">
        <f>IF($C108,'Proyecto Datos (OKR´s)'!$E108,"")</f>
      </c>
      <c r="F108" s="201">
        <f>IF($C108,'Proyecto Datos (OKR´s)'!$G108,"")</f>
      </c>
      <c r="G108" s="201">
        <f>IF($C108,IF('Proyecto Datos (OKR´s)'!$I108="","(Sin asignar)",'Proyecto Datos (OKR´s)'!$I108),"")</f>
      </c>
      <c r="H108" s="200">
        <f>IF($C108,IF(ISNUMBER('Proyecto Datos (OKR´s)'!$F108),'Proyecto Datos (OKR´s)'!$F108,'Proyecto Datos (OKR´s)'!$L108),"")</f>
      </c>
      <c r="I108" s="200">
        <f>IF($C108,'Proyecto Datos (OKR´s)'!$J108,"")</f>
      </c>
      <c r="J108" s="201">
        <f>IF($C108,IF($I108&gt;=1,"Completado",IF($H108&lt;TODAY(),"Vencido",IF(($H108-TODAY())&lt;='Entregas Próximas'!$I$3,"Próximo a vencer","En curso"))),"")</f>
      </c>
      <c r="K108" s="200">
        <f>IF($C108,$H108-TODAY(),"")</f>
      </c>
      <c r="L108" s="200">
        <f>IF($C108,$N108*1000000+$H108+ROW()/100000,"")</f>
      </c>
      <c r="M108" s="200">
        <f>IF($C108,IF('Proyecto Datos (OKR´s)'!$E108="","(Sin sprint)",'Proyecto Datos (OKR´s)'!$E108),"")</f>
      </c>
      <c r="N108" s="200">
        <f>IF($C108,IF('Proyecto Datos (OKR´s)'!$E108="",9999,'Proyecto Datos (OKR´s)'!$E108),"")</f>
      </c>
    </row>
    <row r="109">
      <c r="A109" s="200">
        <f>ROW()</f>
      </c>
      <c r="B109" s="200">
        <f>ISTEXT('Proyecto Datos (OKR´s)'!$K109)</f>
      </c>
      <c r="C109" s="200">
        <f>AND(LEN('Proyecto Datos (OKR´s)'!$G109)&gt;0,NOT($B109),OR(ISNUMBER('Proyecto Datos (OKR´s)'!$F109),ISNUMBER('Proyecto Datos (OKR´s)'!$L109)))</f>
      </c>
      <c r="D109" s="201">
        <f>IF($C109,IFERROR(LOOKUP(2,1/((ISTEXT('Proyecto Datos (OKR´s)'!$K$7:$K109))*(LEN('Proyecto Datos (OKR´s)'!$G$7:$G109)&gt;0)),'Proyecto Datos (OKR´s)'!$G$7:$G109),""),"")</f>
      </c>
      <c r="E109" s="200">
        <f>IF($C109,'Proyecto Datos (OKR´s)'!$E109,"")</f>
      </c>
      <c r="F109" s="201">
        <f>IF($C109,'Proyecto Datos (OKR´s)'!$G109,"")</f>
      </c>
      <c r="G109" s="201">
        <f>IF($C109,IF('Proyecto Datos (OKR´s)'!$I109="","(Sin asignar)",'Proyecto Datos (OKR´s)'!$I109),"")</f>
      </c>
      <c r="H109" s="200">
        <f>IF($C109,IF(ISNUMBER('Proyecto Datos (OKR´s)'!$F109),'Proyecto Datos (OKR´s)'!$F109,'Proyecto Datos (OKR´s)'!$L109),"")</f>
      </c>
      <c r="I109" s="200">
        <f>IF($C109,'Proyecto Datos (OKR´s)'!$J109,"")</f>
      </c>
      <c r="J109" s="201">
        <f>IF($C109,IF($I109&gt;=1,"Completado",IF($H109&lt;TODAY(),"Vencido",IF(($H109-TODAY())&lt;='Entregas Próximas'!$I$3,"Próximo a vencer","En curso"))),"")</f>
      </c>
      <c r="K109" s="200">
        <f>IF($C109,$H109-TODAY(),"")</f>
      </c>
      <c r="L109" s="200">
        <f>IF($C109,$N109*1000000+$H109+ROW()/100000,"")</f>
      </c>
      <c r="M109" s="200">
        <f>IF($C109,IF('Proyecto Datos (OKR´s)'!$E109="","(Sin sprint)",'Proyecto Datos (OKR´s)'!$E109),"")</f>
      </c>
      <c r="N109" s="200">
        <f>IF($C109,IF('Proyecto Datos (OKR´s)'!$E109="",9999,'Proyecto Datos (OKR´s)'!$E109),"")</f>
      </c>
    </row>
    <row r="110">
      <c r="A110" s="200">
        <f>ROW()</f>
      </c>
      <c r="B110" s="200">
        <f>ISTEXT('Proyecto Datos (OKR´s)'!$K110)</f>
      </c>
      <c r="C110" s="200">
        <f>AND(LEN('Proyecto Datos (OKR´s)'!$G110)&gt;0,NOT($B110),OR(ISNUMBER('Proyecto Datos (OKR´s)'!$F110),ISNUMBER('Proyecto Datos (OKR´s)'!$L110)))</f>
      </c>
      <c r="D110" s="201">
        <f>IF($C110,IFERROR(LOOKUP(2,1/((ISTEXT('Proyecto Datos (OKR´s)'!$K$7:$K110))*(LEN('Proyecto Datos (OKR´s)'!$G$7:$G110)&gt;0)),'Proyecto Datos (OKR´s)'!$G$7:$G110),""),"")</f>
      </c>
      <c r="E110" s="200">
        <f>IF($C110,'Proyecto Datos (OKR´s)'!$E110,"")</f>
      </c>
      <c r="F110" s="201">
        <f>IF($C110,'Proyecto Datos (OKR´s)'!$G110,"")</f>
      </c>
      <c r="G110" s="201">
        <f>IF($C110,IF('Proyecto Datos (OKR´s)'!$I110="","(Sin asignar)",'Proyecto Datos (OKR´s)'!$I110),"")</f>
      </c>
      <c r="H110" s="200">
        <f>IF($C110,IF(ISNUMBER('Proyecto Datos (OKR´s)'!$F110),'Proyecto Datos (OKR´s)'!$F110,'Proyecto Datos (OKR´s)'!$L110),"")</f>
      </c>
      <c r="I110" s="200">
        <f>IF($C110,'Proyecto Datos (OKR´s)'!$J110,"")</f>
      </c>
      <c r="J110" s="201">
        <f>IF($C110,IF($I110&gt;=1,"Completado",IF($H110&lt;TODAY(),"Vencido",IF(($H110-TODAY())&lt;='Entregas Próximas'!$I$3,"Próximo a vencer","En curso"))),"")</f>
      </c>
      <c r="K110" s="200">
        <f>IF($C110,$H110-TODAY(),"")</f>
      </c>
      <c r="L110" s="200">
        <f>IF($C110,$N110*1000000+$H110+ROW()/100000,"")</f>
      </c>
      <c r="M110" s="200">
        <f>IF($C110,IF('Proyecto Datos (OKR´s)'!$E110="","(Sin sprint)",'Proyecto Datos (OKR´s)'!$E110),"")</f>
      </c>
      <c r="N110" s="200">
        <f>IF($C110,IF('Proyecto Datos (OKR´s)'!$E110="",9999,'Proyecto Datos (OKR´s)'!$E110),"")</f>
      </c>
    </row>
    <row r="111">
      <c r="A111" s="200">
        <f>ROW()</f>
      </c>
      <c r="B111" s="200">
        <f>ISTEXT('Proyecto Datos (OKR´s)'!$K111)</f>
      </c>
      <c r="C111" s="200">
        <f>AND(LEN('Proyecto Datos (OKR´s)'!$G111)&gt;0,NOT($B111),OR(ISNUMBER('Proyecto Datos (OKR´s)'!$F111),ISNUMBER('Proyecto Datos (OKR´s)'!$L111)))</f>
      </c>
      <c r="D111" s="201">
        <f>IF($C111,IFERROR(LOOKUP(2,1/((ISTEXT('Proyecto Datos (OKR´s)'!$K$7:$K111))*(LEN('Proyecto Datos (OKR´s)'!$G$7:$G111)&gt;0)),'Proyecto Datos (OKR´s)'!$G$7:$G111),""),"")</f>
      </c>
      <c r="E111" s="200">
        <f>IF($C111,'Proyecto Datos (OKR´s)'!$E111,"")</f>
      </c>
      <c r="F111" s="201">
        <f>IF($C111,'Proyecto Datos (OKR´s)'!$G111,"")</f>
      </c>
      <c r="G111" s="201">
        <f>IF($C111,IF('Proyecto Datos (OKR´s)'!$I111="","(Sin asignar)",'Proyecto Datos (OKR´s)'!$I111),"")</f>
      </c>
      <c r="H111" s="200">
        <f>IF($C111,IF(ISNUMBER('Proyecto Datos (OKR´s)'!$F111),'Proyecto Datos (OKR´s)'!$F111,'Proyecto Datos (OKR´s)'!$L111),"")</f>
      </c>
      <c r="I111" s="200">
        <f>IF($C111,'Proyecto Datos (OKR´s)'!$J111,"")</f>
      </c>
      <c r="J111" s="201">
        <f>IF($C111,IF($I111&gt;=1,"Completado",IF($H111&lt;TODAY(),"Vencido",IF(($H111-TODAY())&lt;='Entregas Próximas'!$I$3,"Próximo a vencer","En curso"))),"")</f>
      </c>
      <c r="K111" s="200">
        <f>IF($C111,$H111-TODAY(),"")</f>
      </c>
      <c r="L111" s="200">
        <f>IF($C111,$N111*1000000+$H111+ROW()/100000,"")</f>
      </c>
      <c r="M111" s="200">
        <f>IF($C111,IF('Proyecto Datos (OKR´s)'!$E111="","(Sin sprint)",'Proyecto Datos (OKR´s)'!$E111),"")</f>
      </c>
      <c r="N111" s="200">
        <f>IF($C111,IF('Proyecto Datos (OKR´s)'!$E111="",9999,'Proyecto Datos (OKR´s)'!$E111),"")</f>
      </c>
    </row>
    <row r="112">
      <c r="A112" s="200">
        <f>ROW()</f>
      </c>
      <c r="B112" s="200">
        <f>ISTEXT('Proyecto Datos (OKR´s)'!$K112)</f>
      </c>
      <c r="C112" s="200">
        <f>AND(LEN('Proyecto Datos (OKR´s)'!$G112)&gt;0,NOT($B112),OR(ISNUMBER('Proyecto Datos (OKR´s)'!$F112),ISNUMBER('Proyecto Datos (OKR´s)'!$L112)))</f>
      </c>
      <c r="D112" s="201">
        <f>IF($C112,IFERROR(LOOKUP(2,1/((ISTEXT('Proyecto Datos (OKR´s)'!$K$7:$K112))*(LEN('Proyecto Datos (OKR´s)'!$G$7:$G112)&gt;0)),'Proyecto Datos (OKR´s)'!$G$7:$G112),""),"")</f>
      </c>
      <c r="E112" s="200">
        <f>IF($C112,'Proyecto Datos (OKR´s)'!$E112,"")</f>
      </c>
      <c r="F112" s="201">
        <f>IF($C112,'Proyecto Datos (OKR´s)'!$G112,"")</f>
      </c>
      <c r="G112" s="201">
        <f>IF($C112,IF('Proyecto Datos (OKR´s)'!$I112="","(Sin asignar)",'Proyecto Datos (OKR´s)'!$I112),"")</f>
      </c>
      <c r="H112" s="200">
        <f>IF($C112,IF(ISNUMBER('Proyecto Datos (OKR´s)'!$F112),'Proyecto Datos (OKR´s)'!$F112,'Proyecto Datos (OKR´s)'!$L112),"")</f>
      </c>
      <c r="I112" s="200">
        <f>IF($C112,'Proyecto Datos (OKR´s)'!$J112,"")</f>
      </c>
      <c r="J112" s="201">
        <f>IF($C112,IF($I112&gt;=1,"Completado",IF($H112&lt;TODAY(),"Vencido",IF(($H112-TODAY())&lt;='Entregas Próximas'!$I$3,"Próximo a vencer","En curso"))),"")</f>
      </c>
      <c r="K112" s="200">
        <f>IF($C112,$H112-TODAY(),"")</f>
      </c>
      <c r="L112" s="200">
        <f>IF($C112,$N112*1000000+$H112+ROW()/100000,"")</f>
      </c>
      <c r="M112" s="200">
        <f>IF($C112,IF('Proyecto Datos (OKR´s)'!$E112="","(Sin sprint)",'Proyecto Datos (OKR´s)'!$E112),"")</f>
      </c>
      <c r="N112" s="200">
        <f>IF($C112,IF('Proyecto Datos (OKR´s)'!$E112="",9999,'Proyecto Datos (OKR´s)'!$E112),"")</f>
      </c>
    </row>
    <row r="113">
      <c r="A113" s="200">
        <f>ROW()</f>
      </c>
      <c r="B113" s="200">
        <f>ISTEXT('Proyecto Datos (OKR´s)'!$K113)</f>
      </c>
      <c r="C113" s="200">
        <f>AND(LEN('Proyecto Datos (OKR´s)'!$G113)&gt;0,NOT($B113),OR(ISNUMBER('Proyecto Datos (OKR´s)'!$F113),ISNUMBER('Proyecto Datos (OKR´s)'!$L113)))</f>
      </c>
      <c r="D113" s="201">
        <f>IF($C113,IFERROR(LOOKUP(2,1/((ISTEXT('Proyecto Datos (OKR´s)'!$K$7:$K113))*(LEN('Proyecto Datos (OKR´s)'!$G$7:$G113)&gt;0)),'Proyecto Datos (OKR´s)'!$G$7:$G113),""),"")</f>
      </c>
      <c r="E113" s="200">
        <f>IF($C113,'Proyecto Datos (OKR´s)'!$E113,"")</f>
      </c>
      <c r="F113" s="201">
        <f>IF($C113,'Proyecto Datos (OKR´s)'!$G113,"")</f>
      </c>
      <c r="G113" s="201">
        <f>IF($C113,IF('Proyecto Datos (OKR´s)'!$I113="","(Sin asignar)",'Proyecto Datos (OKR´s)'!$I113),"")</f>
      </c>
      <c r="H113" s="200">
        <f>IF($C113,IF(ISNUMBER('Proyecto Datos (OKR´s)'!$F113),'Proyecto Datos (OKR´s)'!$F113,'Proyecto Datos (OKR´s)'!$L113),"")</f>
      </c>
      <c r="I113" s="200">
        <f>IF($C113,'Proyecto Datos (OKR´s)'!$J113,"")</f>
      </c>
      <c r="J113" s="201">
        <f>IF($C113,IF($I113&gt;=1,"Completado",IF($H113&lt;TODAY(),"Vencido",IF(($H113-TODAY())&lt;='Entregas Próximas'!$I$3,"Próximo a vencer","En curso"))),"")</f>
      </c>
      <c r="K113" s="200">
        <f>IF($C113,$H113-TODAY(),"")</f>
      </c>
      <c r="L113" s="200">
        <f>IF($C113,$N113*1000000+$H113+ROW()/100000,"")</f>
      </c>
      <c r="M113" s="200">
        <f>IF($C113,IF('Proyecto Datos (OKR´s)'!$E113="","(Sin sprint)",'Proyecto Datos (OKR´s)'!$E113),"")</f>
      </c>
      <c r="N113" s="200">
        <f>IF($C113,IF('Proyecto Datos (OKR´s)'!$E113="",9999,'Proyecto Datos (OKR´s)'!$E113),"")</f>
      </c>
    </row>
    <row r="114">
      <c r="A114" s="200">
        <f>ROW()</f>
      </c>
      <c r="B114" s="200">
        <f>ISTEXT('Proyecto Datos (OKR´s)'!$K114)</f>
      </c>
      <c r="C114" s="200">
        <f>AND(LEN('Proyecto Datos (OKR´s)'!$G114)&gt;0,NOT($B114),OR(ISNUMBER('Proyecto Datos (OKR´s)'!$F114),ISNUMBER('Proyecto Datos (OKR´s)'!$L114)))</f>
      </c>
      <c r="D114" s="201">
        <f>IF($C114,IFERROR(LOOKUP(2,1/((ISTEXT('Proyecto Datos (OKR´s)'!$K$7:$K114))*(LEN('Proyecto Datos (OKR´s)'!$G$7:$G114)&gt;0)),'Proyecto Datos (OKR´s)'!$G$7:$G114),""),"")</f>
      </c>
      <c r="E114" s="200">
        <f>IF($C114,'Proyecto Datos (OKR´s)'!$E114,"")</f>
      </c>
      <c r="F114" s="201">
        <f>IF($C114,'Proyecto Datos (OKR´s)'!$G114,"")</f>
      </c>
      <c r="G114" s="201">
        <f>IF($C114,IF('Proyecto Datos (OKR´s)'!$I114="","(Sin asignar)",'Proyecto Datos (OKR´s)'!$I114),"")</f>
      </c>
      <c r="H114" s="200">
        <f>IF($C114,IF(ISNUMBER('Proyecto Datos (OKR´s)'!$F114),'Proyecto Datos (OKR´s)'!$F114,'Proyecto Datos (OKR´s)'!$L114),"")</f>
      </c>
      <c r="I114" s="200">
        <f>IF($C114,'Proyecto Datos (OKR´s)'!$J114,"")</f>
      </c>
      <c r="J114" s="201">
        <f>IF($C114,IF($I114&gt;=1,"Completado",IF($H114&lt;TODAY(),"Vencido",IF(($H114-TODAY())&lt;='Entregas Próximas'!$I$3,"Próximo a vencer","En curso"))),"")</f>
      </c>
      <c r="K114" s="200">
        <f>IF($C114,$H114-TODAY(),"")</f>
      </c>
      <c r="L114" s="200">
        <f>IF($C114,$N114*1000000+$H114+ROW()/100000,"")</f>
      </c>
      <c r="M114" s="200">
        <f>IF($C114,IF('Proyecto Datos (OKR´s)'!$E114="","(Sin sprint)",'Proyecto Datos (OKR´s)'!$E114),"")</f>
      </c>
      <c r="N114" s="200">
        <f>IF($C114,IF('Proyecto Datos (OKR´s)'!$E114="",9999,'Proyecto Datos (OKR´s)'!$E114),"")</f>
      </c>
    </row>
    <row r="115">
      <c r="A115" s="200">
        <f>ROW()</f>
      </c>
      <c r="B115" s="200">
        <f>ISTEXT('Proyecto Datos (OKR´s)'!$K115)</f>
      </c>
      <c r="C115" s="200">
        <f>AND(LEN('Proyecto Datos (OKR´s)'!$G115)&gt;0,NOT($B115),OR(ISNUMBER('Proyecto Datos (OKR´s)'!$F115),ISNUMBER('Proyecto Datos (OKR´s)'!$L115)))</f>
      </c>
      <c r="D115" s="201">
        <f>IF($C115,IFERROR(LOOKUP(2,1/((ISTEXT('Proyecto Datos (OKR´s)'!$K$7:$K115))*(LEN('Proyecto Datos (OKR´s)'!$G$7:$G115)&gt;0)),'Proyecto Datos (OKR´s)'!$G$7:$G115),""),"")</f>
      </c>
      <c r="E115" s="200">
        <f>IF($C115,'Proyecto Datos (OKR´s)'!$E115,"")</f>
      </c>
      <c r="F115" s="201">
        <f>IF($C115,'Proyecto Datos (OKR´s)'!$G115,"")</f>
      </c>
      <c r="G115" s="201">
        <f>IF($C115,IF('Proyecto Datos (OKR´s)'!$I115="","(Sin asignar)",'Proyecto Datos (OKR´s)'!$I115),"")</f>
      </c>
      <c r="H115" s="200">
        <f>IF($C115,IF(ISNUMBER('Proyecto Datos (OKR´s)'!$F115),'Proyecto Datos (OKR´s)'!$F115,'Proyecto Datos (OKR´s)'!$L115),"")</f>
      </c>
      <c r="I115" s="200">
        <f>IF($C115,'Proyecto Datos (OKR´s)'!$J115,"")</f>
      </c>
      <c r="J115" s="201">
        <f>IF($C115,IF($I115&gt;=1,"Completado",IF($H115&lt;TODAY(),"Vencido",IF(($H115-TODAY())&lt;='Entregas Próximas'!$I$3,"Próximo a vencer","En curso"))),"")</f>
      </c>
      <c r="K115" s="200">
        <f>IF($C115,$H115-TODAY(),"")</f>
      </c>
      <c r="L115" s="200">
        <f>IF($C115,$N115*1000000+$H115+ROW()/100000,"")</f>
      </c>
      <c r="M115" s="200">
        <f>IF($C115,IF('Proyecto Datos (OKR´s)'!$E115="","(Sin sprint)",'Proyecto Datos (OKR´s)'!$E115),"")</f>
      </c>
      <c r="N115" s="200">
        <f>IF($C115,IF('Proyecto Datos (OKR´s)'!$E115="",9999,'Proyecto Datos (OKR´s)'!$E115),"")</f>
      </c>
    </row>
    <row r="116">
      <c r="A116" s="200">
        <f>ROW()</f>
      </c>
      <c r="B116" s="200">
        <f>ISTEXT('Proyecto Datos (OKR´s)'!$K116)</f>
      </c>
      <c r="C116" s="200">
        <f>AND(LEN('Proyecto Datos (OKR´s)'!$G116)&gt;0,NOT($B116),OR(ISNUMBER('Proyecto Datos (OKR´s)'!$F116),ISNUMBER('Proyecto Datos (OKR´s)'!$L116)))</f>
      </c>
      <c r="D116" s="201">
        <f>IF($C116,IFERROR(LOOKUP(2,1/((ISTEXT('Proyecto Datos (OKR´s)'!$K$7:$K116))*(LEN('Proyecto Datos (OKR´s)'!$G$7:$G116)&gt;0)),'Proyecto Datos (OKR´s)'!$G$7:$G116),""),"")</f>
      </c>
      <c r="E116" s="200">
        <f>IF($C116,'Proyecto Datos (OKR´s)'!$E116,"")</f>
      </c>
      <c r="F116" s="201">
        <f>IF($C116,'Proyecto Datos (OKR´s)'!$G116,"")</f>
      </c>
      <c r="G116" s="201">
        <f>IF($C116,IF('Proyecto Datos (OKR´s)'!$I116="","(Sin asignar)",'Proyecto Datos (OKR´s)'!$I116),"")</f>
      </c>
      <c r="H116" s="200">
        <f>IF($C116,IF(ISNUMBER('Proyecto Datos (OKR´s)'!$F116),'Proyecto Datos (OKR´s)'!$F116,'Proyecto Datos (OKR´s)'!$L116),"")</f>
      </c>
      <c r="I116" s="200">
        <f>IF($C116,'Proyecto Datos (OKR´s)'!$J116,"")</f>
      </c>
      <c r="J116" s="201">
        <f>IF($C116,IF($I116&gt;=1,"Completado",IF($H116&lt;TODAY(),"Vencido",IF(($H116-TODAY())&lt;='Entregas Próximas'!$I$3,"Próximo a vencer","En curso"))),"")</f>
      </c>
      <c r="K116" s="200">
        <f>IF($C116,$H116-TODAY(),"")</f>
      </c>
      <c r="L116" s="200">
        <f>IF($C116,$N116*1000000+$H116+ROW()/100000,"")</f>
      </c>
      <c r="M116" s="200">
        <f>IF($C116,IF('Proyecto Datos (OKR´s)'!$E116="","(Sin sprint)",'Proyecto Datos (OKR´s)'!$E116),"")</f>
      </c>
      <c r="N116" s="200">
        <f>IF($C116,IF('Proyecto Datos (OKR´s)'!$E116="",9999,'Proyecto Datos (OKR´s)'!$E116),"")</f>
      </c>
    </row>
    <row r="117">
      <c r="A117" s="200">
        <f>ROW()</f>
      </c>
      <c r="B117" s="200">
        <f>ISTEXT('Proyecto Datos (OKR´s)'!$K117)</f>
      </c>
      <c r="C117" s="200">
        <f>AND(LEN('Proyecto Datos (OKR´s)'!$G117)&gt;0,NOT($B117),OR(ISNUMBER('Proyecto Datos (OKR´s)'!$F117),ISNUMBER('Proyecto Datos (OKR´s)'!$L117)))</f>
      </c>
      <c r="D117" s="201">
        <f>IF($C117,IFERROR(LOOKUP(2,1/((ISTEXT('Proyecto Datos (OKR´s)'!$K$7:$K117))*(LEN('Proyecto Datos (OKR´s)'!$G$7:$G117)&gt;0)),'Proyecto Datos (OKR´s)'!$G$7:$G117),""),"")</f>
      </c>
      <c r="E117" s="200">
        <f>IF($C117,'Proyecto Datos (OKR´s)'!$E117,"")</f>
      </c>
      <c r="F117" s="201">
        <f>IF($C117,'Proyecto Datos (OKR´s)'!$G117,"")</f>
      </c>
      <c r="G117" s="201">
        <f>IF($C117,IF('Proyecto Datos (OKR´s)'!$I117="","(Sin asignar)",'Proyecto Datos (OKR´s)'!$I117),"")</f>
      </c>
      <c r="H117" s="200">
        <f>IF($C117,IF(ISNUMBER('Proyecto Datos (OKR´s)'!$F117),'Proyecto Datos (OKR´s)'!$F117,'Proyecto Datos (OKR´s)'!$L117),"")</f>
      </c>
      <c r="I117" s="200">
        <f>IF($C117,'Proyecto Datos (OKR´s)'!$J117,"")</f>
      </c>
      <c r="J117" s="201">
        <f>IF($C117,IF($I117&gt;=1,"Completado",IF($H117&lt;TODAY(),"Vencido",IF(($H117-TODAY())&lt;='Entregas Próximas'!$I$3,"Próximo a vencer","En curso"))),"")</f>
      </c>
      <c r="K117" s="200">
        <f>IF($C117,$H117-TODAY(),"")</f>
      </c>
      <c r="L117" s="200">
        <f>IF($C117,$N117*1000000+$H117+ROW()/100000,"")</f>
      </c>
      <c r="M117" s="200">
        <f>IF($C117,IF('Proyecto Datos (OKR´s)'!$E117="","(Sin sprint)",'Proyecto Datos (OKR´s)'!$E117),"")</f>
      </c>
      <c r="N117" s="200">
        <f>IF($C117,IF('Proyecto Datos (OKR´s)'!$E117="",9999,'Proyecto Datos (OKR´s)'!$E117),"")</f>
      </c>
    </row>
    <row r="118">
      <c r="A118" s="200">
        <f>ROW()</f>
      </c>
      <c r="B118" s="200">
        <f>ISTEXT('Proyecto Datos (OKR´s)'!$K118)</f>
      </c>
      <c r="C118" s="200">
        <f>AND(LEN('Proyecto Datos (OKR´s)'!$G118)&gt;0,NOT($B118),OR(ISNUMBER('Proyecto Datos (OKR´s)'!$F118),ISNUMBER('Proyecto Datos (OKR´s)'!$L118)))</f>
      </c>
      <c r="D118" s="201">
        <f>IF($C118,IFERROR(LOOKUP(2,1/((ISTEXT('Proyecto Datos (OKR´s)'!$K$7:$K118))*(LEN('Proyecto Datos (OKR´s)'!$G$7:$G118)&gt;0)),'Proyecto Datos (OKR´s)'!$G$7:$G118),""),"")</f>
      </c>
      <c r="E118" s="200">
        <f>IF($C118,'Proyecto Datos (OKR´s)'!$E118,"")</f>
      </c>
      <c r="F118" s="201">
        <f>IF($C118,'Proyecto Datos (OKR´s)'!$G118,"")</f>
      </c>
      <c r="G118" s="201">
        <f>IF($C118,IF('Proyecto Datos (OKR´s)'!$I118="","(Sin asignar)",'Proyecto Datos (OKR´s)'!$I118),"")</f>
      </c>
      <c r="H118" s="200">
        <f>IF($C118,IF(ISNUMBER('Proyecto Datos (OKR´s)'!$F118),'Proyecto Datos (OKR´s)'!$F118,'Proyecto Datos (OKR´s)'!$L118),"")</f>
      </c>
      <c r="I118" s="200">
        <f>IF($C118,'Proyecto Datos (OKR´s)'!$J118,"")</f>
      </c>
      <c r="J118" s="201">
        <f>IF($C118,IF($I118&gt;=1,"Completado",IF($H118&lt;TODAY(),"Vencido",IF(($H118-TODAY())&lt;='Entregas Próximas'!$I$3,"Próximo a vencer","En curso"))),"")</f>
      </c>
      <c r="K118" s="200">
        <f>IF($C118,$H118-TODAY(),"")</f>
      </c>
      <c r="L118" s="200">
        <f>IF($C118,$N118*1000000+$H118+ROW()/100000,"")</f>
      </c>
      <c r="M118" s="200">
        <f>IF($C118,IF('Proyecto Datos (OKR´s)'!$E118="","(Sin sprint)",'Proyecto Datos (OKR´s)'!$E118),"")</f>
      </c>
      <c r="N118" s="200">
        <f>IF($C118,IF('Proyecto Datos (OKR´s)'!$E118="",9999,'Proyecto Datos (OKR´s)'!$E118),"")</f>
      </c>
    </row>
    <row r="119">
      <c r="A119" s="200">
        <f>ROW()</f>
      </c>
      <c r="B119" s="200">
        <f>ISTEXT('Proyecto Datos (OKR´s)'!$K119)</f>
      </c>
      <c r="C119" s="200">
        <f>AND(LEN('Proyecto Datos (OKR´s)'!$G119)&gt;0,NOT($B119),OR(ISNUMBER('Proyecto Datos (OKR´s)'!$F119),ISNUMBER('Proyecto Datos (OKR´s)'!$L119)))</f>
      </c>
      <c r="D119" s="201">
        <f>IF($C119,IFERROR(LOOKUP(2,1/((ISTEXT('Proyecto Datos (OKR´s)'!$K$7:$K119))*(LEN('Proyecto Datos (OKR´s)'!$G$7:$G119)&gt;0)),'Proyecto Datos (OKR´s)'!$G$7:$G119),""),"")</f>
      </c>
      <c r="E119" s="200">
        <f>IF($C119,'Proyecto Datos (OKR´s)'!$E119,"")</f>
      </c>
      <c r="F119" s="201">
        <f>IF($C119,'Proyecto Datos (OKR´s)'!$G119,"")</f>
      </c>
      <c r="G119" s="201">
        <f>IF($C119,IF('Proyecto Datos (OKR´s)'!$I119="","(Sin asignar)",'Proyecto Datos (OKR´s)'!$I119),"")</f>
      </c>
      <c r="H119" s="200">
        <f>IF($C119,IF(ISNUMBER('Proyecto Datos (OKR´s)'!$F119),'Proyecto Datos (OKR´s)'!$F119,'Proyecto Datos (OKR´s)'!$L119),"")</f>
      </c>
      <c r="I119" s="200">
        <f>IF($C119,'Proyecto Datos (OKR´s)'!$J119,"")</f>
      </c>
      <c r="J119" s="201">
        <f>IF($C119,IF($I119&gt;=1,"Completado",IF($H119&lt;TODAY(),"Vencido",IF(($H119-TODAY())&lt;='Entregas Próximas'!$I$3,"Próximo a vencer","En curso"))),"")</f>
      </c>
      <c r="K119" s="200">
        <f>IF($C119,$H119-TODAY(),"")</f>
      </c>
      <c r="L119" s="200">
        <f>IF($C119,$N119*1000000+$H119+ROW()/100000,"")</f>
      </c>
      <c r="M119" s="200">
        <f>IF($C119,IF('Proyecto Datos (OKR´s)'!$E119="","(Sin sprint)",'Proyecto Datos (OKR´s)'!$E119),"")</f>
      </c>
      <c r="N119" s="200">
        <f>IF($C119,IF('Proyecto Datos (OKR´s)'!$E119="",9999,'Proyecto Datos (OKR´s)'!$E119),"")</f>
      </c>
    </row>
    <row r="120">
      <c r="A120" s="200">
        <f>ROW()</f>
      </c>
      <c r="B120" s="200">
        <f>ISTEXT('Proyecto Datos (OKR´s)'!$K120)</f>
      </c>
      <c r="C120" s="200">
        <f>AND(LEN('Proyecto Datos (OKR´s)'!$G120)&gt;0,NOT($B120),OR(ISNUMBER('Proyecto Datos (OKR´s)'!$F120),ISNUMBER('Proyecto Datos (OKR´s)'!$L120)))</f>
      </c>
      <c r="D120" s="201">
        <f>IF($C120,IFERROR(LOOKUP(2,1/((ISTEXT('Proyecto Datos (OKR´s)'!$K$7:$K120))*(LEN('Proyecto Datos (OKR´s)'!$G$7:$G120)&gt;0)),'Proyecto Datos (OKR´s)'!$G$7:$G120),""),"")</f>
      </c>
      <c r="E120" s="200">
        <f>IF($C120,'Proyecto Datos (OKR´s)'!$E120,"")</f>
      </c>
      <c r="F120" s="201">
        <f>IF($C120,'Proyecto Datos (OKR´s)'!$G120,"")</f>
      </c>
      <c r="G120" s="201">
        <f>IF($C120,IF('Proyecto Datos (OKR´s)'!$I120="","(Sin asignar)",'Proyecto Datos (OKR´s)'!$I120),"")</f>
      </c>
      <c r="H120" s="200">
        <f>IF($C120,IF(ISNUMBER('Proyecto Datos (OKR´s)'!$F120),'Proyecto Datos (OKR´s)'!$F120,'Proyecto Datos (OKR´s)'!$L120),"")</f>
      </c>
      <c r="I120" s="200">
        <f>IF($C120,'Proyecto Datos (OKR´s)'!$J120,"")</f>
      </c>
      <c r="J120" s="201">
        <f>IF($C120,IF($I120&gt;=1,"Completado",IF($H120&lt;TODAY(),"Vencido",IF(($H120-TODAY())&lt;='Entregas Próximas'!$I$3,"Próximo a vencer","En curso"))),"")</f>
      </c>
      <c r="K120" s="200">
        <f>IF($C120,$H120-TODAY(),"")</f>
      </c>
      <c r="L120" s="200">
        <f>IF($C120,$N120*1000000+$H120+ROW()/100000,"")</f>
      </c>
      <c r="M120" s="200">
        <f>IF($C120,IF('Proyecto Datos (OKR´s)'!$E120="","(Sin sprint)",'Proyecto Datos (OKR´s)'!$E120),"")</f>
      </c>
      <c r="N120" s="200">
        <f>IF($C120,IF('Proyecto Datos (OKR´s)'!$E120="",9999,'Proyecto Datos (OKR´s)'!$E120),"")</f>
      </c>
    </row>
    <row r="121">
      <c r="A121" s="200">
        <f>ROW()</f>
      </c>
      <c r="B121" s="200">
        <f>ISTEXT('Proyecto Datos (OKR´s)'!$K121)</f>
      </c>
      <c r="C121" s="200">
        <f>AND(LEN('Proyecto Datos (OKR´s)'!$G121)&gt;0,NOT($B121),OR(ISNUMBER('Proyecto Datos (OKR´s)'!$F121),ISNUMBER('Proyecto Datos (OKR´s)'!$L121)))</f>
      </c>
      <c r="D121" s="201">
        <f>IF($C121,IFERROR(LOOKUP(2,1/((ISTEXT('Proyecto Datos (OKR´s)'!$K$7:$K121))*(LEN('Proyecto Datos (OKR´s)'!$G$7:$G121)&gt;0)),'Proyecto Datos (OKR´s)'!$G$7:$G121),""),"")</f>
      </c>
      <c r="E121" s="200">
        <f>IF($C121,'Proyecto Datos (OKR´s)'!$E121,"")</f>
      </c>
      <c r="F121" s="201">
        <f>IF($C121,'Proyecto Datos (OKR´s)'!$G121,"")</f>
      </c>
      <c r="G121" s="201">
        <f>IF($C121,IF('Proyecto Datos (OKR´s)'!$I121="","(Sin asignar)",'Proyecto Datos (OKR´s)'!$I121),"")</f>
      </c>
      <c r="H121" s="200">
        <f>IF($C121,IF(ISNUMBER('Proyecto Datos (OKR´s)'!$F121),'Proyecto Datos (OKR´s)'!$F121,'Proyecto Datos (OKR´s)'!$L121),"")</f>
      </c>
      <c r="I121" s="200">
        <f>IF($C121,'Proyecto Datos (OKR´s)'!$J121,"")</f>
      </c>
      <c r="J121" s="201">
        <f>IF($C121,IF($I121&gt;=1,"Completado",IF($H121&lt;TODAY(),"Vencido",IF(($H121-TODAY())&lt;='Entregas Próximas'!$I$3,"Próximo a vencer","En curso"))),"")</f>
      </c>
      <c r="K121" s="200">
        <f>IF($C121,$H121-TODAY(),"")</f>
      </c>
      <c r="L121" s="200">
        <f>IF($C121,$N121*1000000+$H121+ROW()/100000,"")</f>
      </c>
      <c r="M121" s="200">
        <f>IF($C121,IF('Proyecto Datos (OKR´s)'!$E121="","(Sin sprint)",'Proyecto Datos (OKR´s)'!$E121),"")</f>
      </c>
      <c r="N121" s="200">
        <f>IF($C121,IF('Proyecto Datos (OKR´s)'!$E121="",9999,'Proyecto Datos (OKR´s)'!$E121),"")</f>
      </c>
    </row>
    <row r="122">
      <c r="A122" s="200">
        <f>ROW()</f>
      </c>
      <c r="B122" s="200">
        <f>ISTEXT('Proyecto Datos (OKR´s)'!$K122)</f>
      </c>
      <c r="C122" s="200">
        <f>AND(LEN('Proyecto Datos (OKR´s)'!$G122)&gt;0,NOT($B122),OR(ISNUMBER('Proyecto Datos (OKR´s)'!$F122),ISNUMBER('Proyecto Datos (OKR´s)'!$L122)))</f>
      </c>
      <c r="D122" s="201">
        <f>IF($C122,IFERROR(LOOKUP(2,1/((ISTEXT('Proyecto Datos (OKR´s)'!$K$7:$K122))*(LEN('Proyecto Datos (OKR´s)'!$G$7:$G122)&gt;0)),'Proyecto Datos (OKR´s)'!$G$7:$G122),""),"")</f>
      </c>
      <c r="E122" s="200">
        <f>IF($C122,'Proyecto Datos (OKR´s)'!$E122,"")</f>
      </c>
      <c r="F122" s="201">
        <f>IF($C122,'Proyecto Datos (OKR´s)'!$G122,"")</f>
      </c>
      <c r="G122" s="201">
        <f>IF($C122,IF('Proyecto Datos (OKR´s)'!$I122="","(Sin asignar)",'Proyecto Datos (OKR´s)'!$I122),"")</f>
      </c>
      <c r="H122" s="200">
        <f>IF($C122,IF(ISNUMBER('Proyecto Datos (OKR´s)'!$F122),'Proyecto Datos (OKR´s)'!$F122,'Proyecto Datos (OKR´s)'!$L122),"")</f>
      </c>
      <c r="I122" s="200">
        <f>IF($C122,'Proyecto Datos (OKR´s)'!$J122,"")</f>
      </c>
      <c r="J122" s="201">
        <f>IF($C122,IF($I122&gt;=1,"Completado",IF($H122&lt;TODAY(),"Vencido",IF(($H122-TODAY())&lt;='Entregas Próximas'!$I$3,"Próximo a vencer","En curso"))),"")</f>
      </c>
      <c r="K122" s="200">
        <f>IF($C122,$H122-TODAY(),"")</f>
      </c>
      <c r="L122" s="200">
        <f>IF($C122,$N122*1000000+$H122+ROW()/100000,"")</f>
      </c>
      <c r="M122" s="200">
        <f>IF($C122,IF('Proyecto Datos (OKR´s)'!$E122="","(Sin sprint)",'Proyecto Datos (OKR´s)'!$E122),"")</f>
      </c>
      <c r="N122" s="200">
        <f>IF($C122,IF('Proyecto Datos (OKR´s)'!$E122="",9999,'Proyecto Datos (OKR´s)'!$E122),"")</f>
      </c>
    </row>
    <row r="123">
      <c r="A123" s="200">
        <f>ROW()</f>
      </c>
      <c r="B123" s="200">
        <f>ISTEXT('Proyecto Datos (OKR´s)'!$K123)</f>
      </c>
      <c r="C123" s="200">
        <f>AND(LEN('Proyecto Datos (OKR´s)'!$G123)&gt;0,NOT($B123),OR(ISNUMBER('Proyecto Datos (OKR´s)'!$F123),ISNUMBER('Proyecto Datos (OKR´s)'!$L123)))</f>
      </c>
      <c r="D123" s="201">
        <f>IF($C123,IFERROR(LOOKUP(2,1/((ISTEXT('Proyecto Datos (OKR´s)'!$K$7:$K123))*(LEN('Proyecto Datos (OKR´s)'!$G$7:$G123)&gt;0)),'Proyecto Datos (OKR´s)'!$G$7:$G123),""),"")</f>
      </c>
      <c r="E123" s="200">
        <f>IF($C123,'Proyecto Datos (OKR´s)'!$E123,"")</f>
      </c>
      <c r="F123" s="201">
        <f>IF($C123,'Proyecto Datos (OKR´s)'!$G123,"")</f>
      </c>
      <c r="G123" s="201">
        <f>IF($C123,IF('Proyecto Datos (OKR´s)'!$I123="","(Sin asignar)",'Proyecto Datos (OKR´s)'!$I123),"")</f>
      </c>
      <c r="H123" s="200">
        <f>IF($C123,IF(ISNUMBER('Proyecto Datos (OKR´s)'!$F123),'Proyecto Datos (OKR´s)'!$F123,'Proyecto Datos (OKR´s)'!$L123),"")</f>
      </c>
      <c r="I123" s="200">
        <f>IF($C123,'Proyecto Datos (OKR´s)'!$J123,"")</f>
      </c>
      <c r="J123" s="201">
        <f>IF($C123,IF($I123&gt;=1,"Completado",IF($H123&lt;TODAY(),"Vencido",IF(($H123-TODAY())&lt;='Entregas Próximas'!$I$3,"Próximo a vencer","En curso"))),"")</f>
      </c>
      <c r="K123" s="200">
        <f>IF($C123,$H123-TODAY(),"")</f>
      </c>
      <c r="L123" s="200">
        <f>IF($C123,$N123*1000000+$H123+ROW()/100000,"")</f>
      </c>
      <c r="M123" s="200">
        <f>IF($C123,IF('Proyecto Datos (OKR´s)'!$E123="","(Sin sprint)",'Proyecto Datos (OKR´s)'!$E123),"")</f>
      </c>
      <c r="N123" s="200">
        <f>IF($C123,IF('Proyecto Datos (OKR´s)'!$E123="",9999,'Proyecto Datos (OKR´s)'!$E123),"")</f>
      </c>
    </row>
    <row r="124">
      <c r="A124" s="200">
        <f>ROW()</f>
      </c>
      <c r="B124" s="200">
        <f>ISTEXT('Proyecto Datos (OKR´s)'!$K124)</f>
      </c>
      <c r="C124" s="200">
        <f>AND(LEN('Proyecto Datos (OKR´s)'!$G124)&gt;0,NOT($B124),OR(ISNUMBER('Proyecto Datos (OKR´s)'!$F124),ISNUMBER('Proyecto Datos (OKR´s)'!$L124)))</f>
      </c>
      <c r="D124" s="201">
        <f>IF($C124,IFERROR(LOOKUP(2,1/((ISTEXT('Proyecto Datos (OKR´s)'!$K$7:$K124))*(LEN('Proyecto Datos (OKR´s)'!$G$7:$G124)&gt;0)),'Proyecto Datos (OKR´s)'!$G$7:$G124),""),"")</f>
      </c>
      <c r="E124" s="200">
        <f>IF($C124,'Proyecto Datos (OKR´s)'!$E124,"")</f>
      </c>
      <c r="F124" s="201">
        <f>IF($C124,'Proyecto Datos (OKR´s)'!$G124,"")</f>
      </c>
      <c r="G124" s="201">
        <f>IF($C124,IF('Proyecto Datos (OKR´s)'!$I124="","(Sin asignar)",'Proyecto Datos (OKR´s)'!$I124),"")</f>
      </c>
      <c r="H124" s="200">
        <f>IF($C124,IF(ISNUMBER('Proyecto Datos (OKR´s)'!$F124),'Proyecto Datos (OKR´s)'!$F124,'Proyecto Datos (OKR´s)'!$L124),"")</f>
      </c>
      <c r="I124" s="200">
        <f>IF($C124,'Proyecto Datos (OKR´s)'!$J124,"")</f>
      </c>
      <c r="J124" s="201">
        <f>IF($C124,IF($I124&gt;=1,"Completado",IF($H124&lt;TODAY(),"Vencido",IF(($H124-TODAY())&lt;='Entregas Próximas'!$I$3,"Próximo a vencer","En curso"))),"")</f>
      </c>
      <c r="K124" s="200">
        <f>IF($C124,$H124-TODAY(),"")</f>
      </c>
      <c r="L124" s="200">
        <f>IF($C124,$N124*1000000+$H124+ROW()/100000,"")</f>
      </c>
      <c r="M124" s="200">
        <f>IF($C124,IF('Proyecto Datos (OKR´s)'!$E124="","(Sin sprint)",'Proyecto Datos (OKR´s)'!$E124),"")</f>
      </c>
      <c r="N124" s="200">
        <f>IF($C124,IF('Proyecto Datos (OKR´s)'!$E124="",9999,'Proyecto Datos (OKR´s)'!$E124),"")</f>
      </c>
    </row>
    <row r="125">
      <c r="A125" s="200">
        <f>ROW()</f>
      </c>
      <c r="B125" s="200">
        <f>ISTEXT('Proyecto Datos (OKR´s)'!$K125)</f>
      </c>
      <c r="C125" s="200">
        <f>AND(LEN('Proyecto Datos (OKR´s)'!$G125)&gt;0,NOT($B125),OR(ISNUMBER('Proyecto Datos (OKR´s)'!$F125),ISNUMBER('Proyecto Datos (OKR´s)'!$L125)))</f>
      </c>
      <c r="D125" s="201">
        <f>IF($C125,IFERROR(LOOKUP(2,1/((ISTEXT('Proyecto Datos (OKR´s)'!$K$7:$K125))*(LEN('Proyecto Datos (OKR´s)'!$G$7:$G125)&gt;0)),'Proyecto Datos (OKR´s)'!$G$7:$G125),""),"")</f>
      </c>
      <c r="E125" s="200">
        <f>IF($C125,'Proyecto Datos (OKR´s)'!$E125,"")</f>
      </c>
      <c r="F125" s="201">
        <f>IF($C125,'Proyecto Datos (OKR´s)'!$G125,"")</f>
      </c>
      <c r="G125" s="201">
        <f>IF($C125,IF('Proyecto Datos (OKR´s)'!$I125="","(Sin asignar)",'Proyecto Datos (OKR´s)'!$I125),"")</f>
      </c>
      <c r="H125" s="200">
        <f>IF($C125,IF(ISNUMBER('Proyecto Datos (OKR´s)'!$F125),'Proyecto Datos (OKR´s)'!$F125,'Proyecto Datos (OKR´s)'!$L125),"")</f>
      </c>
      <c r="I125" s="200">
        <f>IF($C125,'Proyecto Datos (OKR´s)'!$J125,"")</f>
      </c>
      <c r="J125" s="201">
        <f>IF($C125,IF($I125&gt;=1,"Completado",IF($H125&lt;TODAY(),"Vencido",IF(($H125-TODAY())&lt;='Entregas Próximas'!$I$3,"Próximo a vencer","En curso"))),"")</f>
      </c>
      <c r="K125" s="200">
        <f>IF($C125,$H125-TODAY(),"")</f>
      </c>
      <c r="L125" s="200">
        <f>IF($C125,$N125*1000000+$H125+ROW()/100000,"")</f>
      </c>
      <c r="M125" s="200">
        <f>IF($C125,IF('Proyecto Datos (OKR´s)'!$E125="","(Sin sprint)",'Proyecto Datos (OKR´s)'!$E125),"")</f>
      </c>
      <c r="N125" s="200">
        <f>IF($C125,IF('Proyecto Datos (OKR´s)'!$E125="",9999,'Proyecto Datos (OKR´s)'!$E125),"")</f>
      </c>
    </row>
    <row r="126">
      <c r="A126" s="200">
        <f>ROW()</f>
      </c>
      <c r="B126" s="200">
        <f>ISTEXT('Proyecto Datos (OKR´s)'!$K126)</f>
      </c>
      <c r="C126" s="200">
        <f>AND(LEN('Proyecto Datos (OKR´s)'!$G126)&gt;0,NOT($B126),OR(ISNUMBER('Proyecto Datos (OKR´s)'!$F126),ISNUMBER('Proyecto Datos (OKR´s)'!$L126)))</f>
      </c>
      <c r="D126" s="201">
        <f>IF($C126,IFERROR(LOOKUP(2,1/((ISTEXT('Proyecto Datos (OKR´s)'!$K$7:$K126))*(LEN('Proyecto Datos (OKR´s)'!$G$7:$G126)&gt;0)),'Proyecto Datos (OKR´s)'!$G$7:$G126),""),"")</f>
      </c>
      <c r="E126" s="200">
        <f>IF($C126,'Proyecto Datos (OKR´s)'!$E126,"")</f>
      </c>
      <c r="F126" s="201">
        <f>IF($C126,'Proyecto Datos (OKR´s)'!$G126,"")</f>
      </c>
      <c r="G126" s="201">
        <f>IF($C126,IF('Proyecto Datos (OKR´s)'!$I126="","(Sin asignar)",'Proyecto Datos (OKR´s)'!$I126),"")</f>
      </c>
      <c r="H126" s="200">
        <f>IF($C126,IF(ISNUMBER('Proyecto Datos (OKR´s)'!$F126),'Proyecto Datos (OKR´s)'!$F126,'Proyecto Datos (OKR´s)'!$L126),"")</f>
      </c>
      <c r="I126" s="200">
        <f>IF($C126,'Proyecto Datos (OKR´s)'!$J126,"")</f>
      </c>
      <c r="J126" s="201">
        <f>IF($C126,IF($I126&gt;=1,"Completado",IF($H126&lt;TODAY(),"Vencido",IF(($H126-TODAY())&lt;='Entregas Próximas'!$I$3,"Próximo a vencer","En curso"))),"")</f>
      </c>
      <c r="K126" s="200">
        <f>IF($C126,$H126-TODAY(),"")</f>
      </c>
      <c r="L126" s="200">
        <f>IF($C126,$N126*1000000+$H126+ROW()/100000,"")</f>
      </c>
      <c r="M126" s="200">
        <f>IF($C126,IF('Proyecto Datos (OKR´s)'!$E126="","(Sin sprint)",'Proyecto Datos (OKR´s)'!$E126),"")</f>
      </c>
      <c r="N126" s="200">
        <f>IF($C126,IF('Proyecto Datos (OKR´s)'!$E126="",9999,'Proyecto Datos (OKR´s)'!$E126),"")</f>
      </c>
    </row>
    <row r="127">
      <c r="A127" s="200">
        <f>ROW()</f>
      </c>
      <c r="B127" s="200">
        <f>ISTEXT('Proyecto Datos (OKR´s)'!$K127)</f>
      </c>
      <c r="C127" s="200">
        <f>AND(LEN('Proyecto Datos (OKR´s)'!$G127)&gt;0,NOT($B127),OR(ISNUMBER('Proyecto Datos (OKR´s)'!$F127),ISNUMBER('Proyecto Datos (OKR´s)'!$L127)))</f>
      </c>
      <c r="D127" s="201">
        <f>IF($C127,IFERROR(LOOKUP(2,1/((ISTEXT('Proyecto Datos (OKR´s)'!$K$7:$K127))*(LEN('Proyecto Datos (OKR´s)'!$G$7:$G127)&gt;0)),'Proyecto Datos (OKR´s)'!$G$7:$G127),""),"")</f>
      </c>
      <c r="E127" s="200">
        <f>IF($C127,'Proyecto Datos (OKR´s)'!$E127,"")</f>
      </c>
      <c r="F127" s="201">
        <f>IF($C127,'Proyecto Datos (OKR´s)'!$G127,"")</f>
      </c>
      <c r="G127" s="201">
        <f>IF($C127,IF('Proyecto Datos (OKR´s)'!$I127="","(Sin asignar)",'Proyecto Datos (OKR´s)'!$I127),"")</f>
      </c>
      <c r="H127" s="200">
        <f>IF($C127,IF(ISNUMBER('Proyecto Datos (OKR´s)'!$F127),'Proyecto Datos (OKR´s)'!$F127,'Proyecto Datos (OKR´s)'!$L127),"")</f>
      </c>
      <c r="I127" s="200">
        <f>IF($C127,'Proyecto Datos (OKR´s)'!$J127,"")</f>
      </c>
      <c r="J127" s="201">
        <f>IF($C127,IF($I127&gt;=1,"Completado",IF($H127&lt;TODAY(),"Vencido",IF(($H127-TODAY())&lt;='Entregas Próximas'!$I$3,"Próximo a vencer","En curso"))),"")</f>
      </c>
      <c r="K127" s="200">
        <f>IF($C127,$H127-TODAY(),"")</f>
      </c>
      <c r="L127" s="200">
        <f>IF($C127,$N127*1000000+$H127+ROW()/100000,"")</f>
      </c>
      <c r="M127" s="200">
        <f>IF($C127,IF('Proyecto Datos (OKR´s)'!$E127="","(Sin sprint)",'Proyecto Datos (OKR´s)'!$E127),"")</f>
      </c>
      <c r="N127" s="200">
        <f>IF($C127,IF('Proyecto Datos (OKR´s)'!$E127="",9999,'Proyecto Datos (OKR´s)'!$E127),"")</f>
      </c>
    </row>
    <row r="128">
      <c r="A128" s="200">
        <f>ROW()</f>
      </c>
      <c r="B128" s="200">
        <f>ISTEXT('Proyecto Datos (OKR´s)'!$K128)</f>
      </c>
      <c r="C128" s="200">
        <f>AND(LEN('Proyecto Datos (OKR´s)'!$G128)&gt;0,NOT($B128),OR(ISNUMBER('Proyecto Datos (OKR´s)'!$F128),ISNUMBER('Proyecto Datos (OKR´s)'!$L128)))</f>
      </c>
      <c r="D128" s="201">
        <f>IF($C128,IFERROR(LOOKUP(2,1/((ISTEXT('Proyecto Datos (OKR´s)'!$K$7:$K128))*(LEN('Proyecto Datos (OKR´s)'!$G$7:$G128)&gt;0)),'Proyecto Datos (OKR´s)'!$G$7:$G128),""),"")</f>
      </c>
      <c r="E128" s="200">
        <f>IF($C128,'Proyecto Datos (OKR´s)'!$E128,"")</f>
      </c>
      <c r="F128" s="201">
        <f>IF($C128,'Proyecto Datos (OKR´s)'!$G128,"")</f>
      </c>
      <c r="G128" s="201">
        <f>IF($C128,IF('Proyecto Datos (OKR´s)'!$I128="","(Sin asignar)",'Proyecto Datos (OKR´s)'!$I128),"")</f>
      </c>
      <c r="H128" s="200">
        <f>IF($C128,IF(ISNUMBER('Proyecto Datos (OKR´s)'!$F128),'Proyecto Datos (OKR´s)'!$F128,'Proyecto Datos (OKR´s)'!$L128),"")</f>
      </c>
      <c r="I128" s="200">
        <f>IF($C128,'Proyecto Datos (OKR´s)'!$J128,"")</f>
      </c>
      <c r="J128" s="201">
        <f>IF($C128,IF($I128&gt;=1,"Completado",IF($H128&lt;TODAY(),"Vencido",IF(($H128-TODAY())&lt;='Entregas Próximas'!$I$3,"Próximo a vencer","En curso"))),"")</f>
      </c>
      <c r="K128" s="200">
        <f>IF($C128,$H128-TODAY(),"")</f>
      </c>
      <c r="L128" s="200">
        <f>IF($C128,$N128*1000000+$H128+ROW()/100000,"")</f>
      </c>
      <c r="M128" s="200">
        <f>IF($C128,IF('Proyecto Datos (OKR´s)'!$E128="","(Sin sprint)",'Proyecto Datos (OKR´s)'!$E128),"")</f>
      </c>
      <c r="N128" s="200">
        <f>IF($C128,IF('Proyecto Datos (OKR´s)'!$E128="",9999,'Proyecto Datos (OKR´s)'!$E128),"")</f>
      </c>
    </row>
    <row r="129">
      <c r="A129" s="200">
        <f>ROW()</f>
      </c>
      <c r="B129" s="200">
        <f>ISTEXT('Proyecto Datos (OKR´s)'!$K129)</f>
      </c>
      <c r="C129" s="200">
        <f>AND(LEN('Proyecto Datos (OKR´s)'!$G129)&gt;0,NOT($B129),OR(ISNUMBER('Proyecto Datos (OKR´s)'!$F129),ISNUMBER('Proyecto Datos (OKR´s)'!$L129)))</f>
      </c>
      <c r="D129" s="201">
        <f>IF($C129,IFERROR(LOOKUP(2,1/((ISTEXT('Proyecto Datos (OKR´s)'!$K$7:$K129))*(LEN('Proyecto Datos (OKR´s)'!$G$7:$G129)&gt;0)),'Proyecto Datos (OKR´s)'!$G$7:$G129),""),"")</f>
      </c>
      <c r="E129" s="200">
        <f>IF($C129,'Proyecto Datos (OKR´s)'!$E129,"")</f>
      </c>
      <c r="F129" s="201">
        <f>IF($C129,'Proyecto Datos (OKR´s)'!$G129,"")</f>
      </c>
      <c r="G129" s="201">
        <f>IF($C129,IF('Proyecto Datos (OKR´s)'!$I129="","(Sin asignar)",'Proyecto Datos (OKR´s)'!$I129),"")</f>
      </c>
      <c r="H129" s="200">
        <f>IF($C129,IF(ISNUMBER('Proyecto Datos (OKR´s)'!$F129),'Proyecto Datos (OKR´s)'!$F129,'Proyecto Datos (OKR´s)'!$L129),"")</f>
      </c>
      <c r="I129" s="200">
        <f>IF($C129,'Proyecto Datos (OKR´s)'!$J129,"")</f>
      </c>
      <c r="J129" s="201">
        <f>IF($C129,IF($I129&gt;=1,"Completado",IF($H129&lt;TODAY(),"Vencido",IF(($H129-TODAY())&lt;='Entregas Próximas'!$I$3,"Próximo a vencer","En curso"))),"")</f>
      </c>
      <c r="K129" s="200">
        <f>IF($C129,$H129-TODAY(),"")</f>
      </c>
      <c r="L129" s="200">
        <f>IF($C129,$N129*1000000+$H129+ROW()/100000,"")</f>
      </c>
      <c r="M129" s="200">
        <f>IF($C129,IF('Proyecto Datos (OKR´s)'!$E129="","(Sin sprint)",'Proyecto Datos (OKR´s)'!$E129),"")</f>
      </c>
      <c r="N129" s="200">
        <f>IF($C129,IF('Proyecto Datos (OKR´s)'!$E129="",9999,'Proyecto Datos (OKR´s)'!$E129),"")</f>
      </c>
    </row>
    <row r="130">
      <c r="A130" s="200">
        <f>ROW()</f>
      </c>
      <c r="B130" s="200">
        <f>ISTEXT('Proyecto Datos (OKR´s)'!$K130)</f>
      </c>
      <c r="C130" s="200">
        <f>AND(LEN('Proyecto Datos (OKR´s)'!$G130)&gt;0,NOT($B130),OR(ISNUMBER('Proyecto Datos (OKR´s)'!$F130),ISNUMBER('Proyecto Datos (OKR´s)'!$L130)))</f>
      </c>
      <c r="D130" s="201">
        <f>IF($C130,IFERROR(LOOKUP(2,1/((ISTEXT('Proyecto Datos (OKR´s)'!$K$7:$K130))*(LEN('Proyecto Datos (OKR´s)'!$G$7:$G130)&gt;0)),'Proyecto Datos (OKR´s)'!$G$7:$G130),""),"")</f>
      </c>
      <c r="E130" s="200">
        <f>IF($C130,'Proyecto Datos (OKR´s)'!$E130,"")</f>
      </c>
      <c r="F130" s="201">
        <f>IF($C130,'Proyecto Datos (OKR´s)'!$G130,"")</f>
      </c>
      <c r="G130" s="201">
        <f>IF($C130,IF('Proyecto Datos (OKR´s)'!$I130="","(Sin asignar)",'Proyecto Datos (OKR´s)'!$I130),"")</f>
      </c>
      <c r="H130" s="200">
        <f>IF($C130,IF(ISNUMBER('Proyecto Datos (OKR´s)'!$F130),'Proyecto Datos (OKR´s)'!$F130,'Proyecto Datos (OKR´s)'!$L130),"")</f>
      </c>
      <c r="I130" s="200">
        <f>IF($C130,'Proyecto Datos (OKR´s)'!$J130,"")</f>
      </c>
      <c r="J130" s="201">
        <f>IF($C130,IF($I130&gt;=1,"Completado",IF($H130&lt;TODAY(),"Vencido",IF(($H130-TODAY())&lt;='Entregas Próximas'!$I$3,"Próximo a vencer","En curso"))),"")</f>
      </c>
      <c r="K130" s="200">
        <f>IF($C130,$H130-TODAY(),"")</f>
      </c>
      <c r="L130" s="200">
        <f>IF($C130,$N130*1000000+$H130+ROW()/100000,"")</f>
      </c>
      <c r="M130" s="200">
        <f>IF($C130,IF('Proyecto Datos (OKR´s)'!$E130="","(Sin sprint)",'Proyecto Datos (OKR´s)'!$E130),"")</f>
      </c>
      <c r="N130" s="200">
        <f>IF($C130,IF('Proyecto Datos (OKR´s)'!$E130="",9999,'Proyecto Datos (OKR´s)'!$E130),"")</f>
      </c>
    </row>
    <row r="131">
      <c r="A131" s="200">
        <f>ROW()</f>
      </c>
      <c r="B131" s="200">
        <f>ISTEXT('Proyecto Datos (OKR´s)'!$K131)</f>
      </c>
      <c r="C131" s="200">
        <f>AND(LEN('Proyecto Datos (OKR´s)'!$G131)&gt;0,NOT($B131),OR(ISNUMBER('Proyecto Datos (OKR´s)'!$F131),ISNUMBER('Proyecto Datos (OKR´s)'!$L131)))</f>
      </c>
      <c r="D131" s="201">
        <f>IF($C131,IFERROR(LOOKUP(2,1/((ISTEXT('Proyecto Datos (OKR´s)'!$K$7:$K131))*(LEN('Proyecto Datos (OKR´s)'!$G$7:$G131)&gt;0)),'Proyecto Datos (OKR´s)'!$G$7:$G131),""),"")</f>
      </c>
      <c r="E131" s="200">
        <f>IF($C131,'Proyecto Datos (OKR´s)'!$E131,"")</f>
      </c>
      <c r="F131" s="201">
        <f>IF($C131,'Proyecto Datos (OKR´s)'!$G131,"")</f>
      </c>
      <c r="G131" s="201">
        <f>IF($C131,IF('Proyecto Datos (OKR´s)'!$I131="","(Sin asignar)",'Proyecto Datos (OKR´s)'!$I131),"")</f>
      </c>
      <c r="H131" s="200">
        <f>IF($C131,IF(ISNUMBER('Proyecto Datos (OKR´s)'!$F131),'Proyecto Datos (OKR´s)'!$F131,'Proyecto Datos (OKR´s)'!$L131),"")</f>
      </c>
      <c r="I131" s="200">
        <f>IF($C131,'Proyecto Datos (OKR´s)'!$J131,"")</f>
      </c>
      <c r="J131" s="201">
        <f>IF($C131,IF($I131&gt;=1,"Completado",IF($H131&lt;TODAY(),"Vencido",IF(($H131-TODAY())&lt;='Entregas Próximas'!$I$3,"Próximo a vencer","En curso"))),"")</f>
      </c>
      <c r="K131" s="200">
        <f>IF($C131,$H131-TODAY(),"")</f>
      </c>
      <c r="L131" s="200">
        <f>IF($C131,$N131*1000000+$H131+ROW()/100000,"")</f>
      </c>
      <c r="M131" s="200">
        <f>IF($C131,IF('Proyecto Datos (OKR´s)'!$E131="","(Sin sprint)",'Proyecto Datos (OKR´s)'!$E131),"")</f>
      </c>
      <c r="N131" s="200">
        <f>IF($C131,IF('Proyecto Datos (OKR´s)'!$E131="",9999,'Proyecto Datos (OKR´s)'!$E131),"")</f>
      </c>
    </row>
    <row r="132">
      <c r="A132" s="200">
        <f>ROW()</f>
      </c>
      <c r="B132" s="200">
        <f>ISTEXT('Proyecto Datos (OKR´s)'!$K132)</f>
      </c>
      <c r="C132" s="200">
        <f>AND(LEN('Proyecto Datos (OKR´s)'!$G132)&gt;0,NOT($B132),OR(ISNUMBER('Proyecto Datos (OKR´s)'!$F132),ISNUMBER('Proyecto Datos (OKR´s)'!$L132)))</f>
      </c>
      <c r="D132" s="201">
        <f>IF($C132,IFERROR(LOOKUP(2,1/((ISTEXT('Proyecto Datos (OKR´s)'!$K$7:$K132))*(LEN('Proyecto Datos (OKR´s)'!$G$7:$G132)&gt;0)),'Proyecto Datos (OKR´s)'!$G$7:$G132),""),"")</f>
      </c>
      <c r="E132" s="200">
        <f>IF($C132,'Proyecto Datos (OKR´s)'!$E132,"")</f>
      </c>
      <c r="F132" s="201">
        <f>IF($C132,'Proyecto Datos (OKR´s)'!$G132,"")</f>
      </c>
      <c r="G132" s="201">
        <f>IF($C132,IF('Proyecto Datos (OKR´s)'!$I132="","(Sin asignar)",'Proyecto Datos (OKR´s)'!$I132),"")</f>
      </c>
      <c r="H132" s="200">
        <f>IF($C132,IF(ISNUMBER('Proyecto Datos (OKR´s)'!$F132),'Proyecto Datos (OKR´s)'!$F132,'Proyecto Datos (OKR´s)'!$L132),"")</f>
      </c>
      <c r="I132" s="200">
        <f>IF($C132,'Proyecto Datos (OKR´s)'!$J132,"")</f>
      </c>
      <c r="J132" s="201">
        <f>IF($C132,IF($I132&gt;=1,"Completado",IF($H132&lt;TODAY(),"Vencido",IF(($H132-TODAY())&lt;='Entregas Próximas'!$I$3,"Próximo a vencer","En curso"))),"")</f>
      </c>
      <c r="K132" s="200">
        <f>IF($C132,$H132-TODAY(),"")</f>
      </c>
      <c r="L132" s="200">
        <f>IF($C132,$N132*1000000+$H132+ROW()/100000,"")</f>
      </c>
      <c r="M132" s="200">
        <f>IF($C132,IF('Proyecto Datos (OKR´s)'!$E132="","(Sin sprint)",'Proyecto Datos (OKR´s)'!$E132),"")</f>
      </c>
      <c r="N132" s="200">
        <f>IF($C132,IF('Proyecto Datos (OKR´s)'!$E132="",9999,'Proyecto Datos (OKR´s)'!$E132),"")</f>
      </c>
    </row>
    <row r="133">
      <c r="A133" s="200">
        <f>ROW()</f>
      </c>
      <c r="B133" s="200">
        <f>ISTEXT('Proyecto Datos (OKR´s)'!$K133)</f>
      </c>
      <c r="C133" s="200">
        <f>AND(LEN('Proyecto Datos (OKR´s)'!$G133)&gt;0,NOT($B133),OR(ISNUMBER('Proyecto Datos (OKR´s)'!$F133),ISNUMBER('Proyecto Datos (OKR´s)'!$L133)))</f>
      </c>
      <c r="D133" s="201">
        <f>IF($C133,IFERROR(LOOKUP(2,1/((ISTEXT('Proyecto Datos (OKR´s)'!$K$7:$K133))*(LEN('Proyecto Datos (OKR´s)'!$G$7:$G133)&gt;0)),'Proyecto Datos (OKR´s)'!$G$7:$G133),""),"")</f>
      </c>
      <c r="E133" s="200">
        <f>IF($C133,'Proyecto Datos (OKR´s)'!$E133,"")</f>
      </c>
      <c r="F133" s="201">
        <f>IF($C133,'Proyecto Datos (OKR´s)'!$G133,"")</f>
      </c>
      <c r="G133" s="201">
        <f>IF($C133,IF('Proyecto Datos (OKR´s)'!$I133="","(Sin asignar)",'Proyecto Datos (OKR´s)'!$I133),"")</f>
      </c>
      <c r="H133" s="200">
        <f>IF($C133,IF(ISNUMBER('Proyecto Datos (OKR´s)'!$F133),'Proyecto Datos (OKR´s)'!$F133,'Proyecto Datos (OKR´s)'!$L133),"")</f>
      </c>
      <c r="I133" s="200">
        <f>IF($C133,'Proyecto Datos (OKR´s)'!$J133,"")</f>
      </c>
      <c r="J133" s="201">
        <f>IF($C133,IF($I133&gt;=1,"Completado",IF($H133&lt;TODAY(),"Vencido",IF(($H133-TODAY())&lt;='Entregas Próximas'!$I$3,"Próximo a vencer","En curso"))),"")</f>
      </c>
      <c r="K133" s="200">
        <f>IF($C133,$H133-TODAY(),"")</f>
      </c>
      <c r="L133" s="200">
        <f>IF($C133,$N133*1000000+$H133+ROW()/100000,"")</f>
      </c>
      <c r="M133" s="200">
        <f>IF($C133,IF('Proyecto Datos (OKR´s)'!$E133="","(Sin sprint)",'Proyecto Datos (OKR´s)'!$E133),"")</f>
      </c>
      <c r="N133" s="200">
        <f>IF($C133,IF('Proyecto Datos (OKR´s)'!$E133="",9999,'Proyecto Datos (OKR´s)'!$E133),"")</f>
      </c>
    </row>
    <row r="134">
      <c r="A134" s="200">
        <f>ROW()</f>
      </c>
      <c r="B134" s="200">
        <f>ISTEXT('Proyecto Datos (OKR´s)'!$K134)</f>
      </c>
      <c r="C134" s="200">
        <f>AND(LEN('Proyecto Datos (OKR´s)'!$G134)&gt;0,NOT($B134),OR(ISNUMBER('Proyecto Datos (OKR´s)'!$F134),ISNUMBER('Proyecto Datos (OKR´s)'!$L134)))</f>
      </c>
      <c r="D134" s="201">
        <f>IF($C134,IFERROR(LOOKUP(2,1/((ISTEXT('Proyecto Datos (OKR´s)'!$K$7:$K134))*(LEN('Proyecto Datos (OKR´s)'!$G$7:$G134)&gt;0)),'Proyecto Datos (OKR´s)'!$G$7:$G134),""),"")</f>
      </c>
      <c r="E134" s="200">
        <f>IF($C134,'Proyecto Datos (OKR´s)'!$E134,"")</f>
      </c>
      <c r="F134" s="201">
        <f>IF($C134,'Proyecto Datos (OKR´s)'!$G134,"")</f>
      </c>
      <c r="G134" s="201">
        <f>IF($C134,IF('Proyecto Datos (OKR´s)'!$I134="","(Sin asignar)",'Proyecto Datos (OKR´s)'!$I134),"")</f>
      </c>
      <c r="H134" s="200">
        <f>IF($C134,IF(ISNUMBER('Proyecto Datos (OKR´s)'!$F134),'Proyecto Datos (OKR´s)'!$F134,'Proyecto Datos (OKR´s)'!$L134),"")</f>
      </c>
      <c r="I134" s="200">
        <f>IF($C134,'Proyecto Datos (OKR´s)'!$J134,"")</f>
      </c>
      <c r="J134" s="201">
        <f>IF($C134,IF($I134&gt;=1,"Completado",IF($H134&lt;TODAY(),"Vencido",IF(($H134-TODAY())&lt;='Entregas Próximas'!$I$3,"Próximo a vencer","En curso"))),"")</f>
      </c>
      <c r="K134" s="200">
        <f>IF($C134,$H134-TODAY(),"")</f>
      </c>
      <c r="L134" s="200">
        <f>IF($C134,$N134*1000000+$H134+ROW()/100000,"")</f>
      </c>
      <c r="M134" s="200">
        <f>IF($C134,IF('Proyecto Datos (OKR´s)'!$E134="","(Sin sprint)",'Proyecto Datos (OKR´s)'!$E134),"")</f>
      </c>
      <c r="N134" s="200">
        <f>IF($C134,IF('Proyecto Datos (OKR´s)'!$E134="",9999,'Proyecto Datos (OKR´s)'!$E134),"")</f>
      </c>
    </row>
    <row r="135">
      <c r="A135" s="200">
        <f>ROW()</f>
      </c>
      <c r="B135" s="200">
        <f>ISTEXT('Proyecto Datos (OKR´s)'!$K135)</f>
      </c>
      <c r="C135" s="200">
        <f>AND(LEN('Proyecto Datos (OKR´s)'!$G135)&gt;0,NOT($B135),OR(ISNUMBER('Proyecto Datos (OKR´s)'!$F135),ISNUMBER('Proyecto Datos (OKR´s)'!$L135)))</f>
      </c>
      <c r="D135" s="201">
        <f>IF($C135,IFERROR(LOOKUP(2,1/((ISTEXT('Proyecto Datos (OKR´s)'!$K$7:$K135))*(LEN('Proyecto Datos (OKR´s)'!$G$7:$G135)&gt;0)),'Proyecto Datos (OKR´s)'!$G$7:$G135),""),"")</f>
      </c>
      <c r="E135" s="200">
        <f>IF($C135,'Proyecto Datos (OKR´s)'!$E135,"")</f>
      </c>
      <c r="F135" s="201">
        <f>IF($C135,'Proyecto Datos (OKR´s)'!$G135,"")</f>
      </c>
      <c r="G135" s="201">
        <f>IF($C135,IF('Proyecto Datos (OKR´s)'!$I135="","(Sin asignar)",'Proyecto Datos (OKR´s)'!$I135),"")</f>
      </c>
      <c r="H135" s="200">
        <f>IF($C135,IF(ISNUMBER('Proyecto Datos (OKR´s)'!$F135),'Proyecto Datos (OKR´s)'!$F135,'Proyecto Datos (OKR´s)'!$L135),"")</f>
      </c>
      <c r="I135" s="200">
        <f>IF($C135,'Proyecto Datos (OKR´s)'!$J135,"")</f>
      </c>
      <c r="J135" s="201">
        <f>IF($C135,IF($I135&gt;=1,"Completado",IF($H135&lt;TODAY(),"Vencido",IF(($H135-TODAY())&lt;='Entregas Próximas'!$I$3,"Próximo a vencer","En curso"))),"")</f>
      </c>
      <c r="K135" s="200">
        <f>IF($C135,$H135-TODAY(),"")</f>
      </c>
      <c r="L135" s="200">
        <f>IF($C135,$N135*1000000+$H135+ROW()/100000,"")</f>
      </c>
      <c r="M135" s="200">
        <f>IF($C135,IF('Proyecto Datos (OKR´s)'!$E135="","(Sin sprint)",'Proyecto Datos (OKR´s)'!$E135),"")</f>
      </c>
      <c r="N135" s="200">
        <f>IF($C135,IF('Proyecto Datos (OKR´s)'!$E135="",9999,'Proyecto Datos (OKR´s)'!$E135),"")</f>
      </c>
    </row>
    <row r="136">
      <c r="A136" s="200">
        <f>ROW()</f>
      </c>
      <c r="B136" s="200">
        <f>ISTEXT('Proyecto Datos (OKR´s)'!$K136)</f>
      </c>
      <c r="C136" s="200">
        <f>AND(LEN('Proyecto Datos (OKR´s)'!$G136)&gt;0,NOT($B136),OR(ISNUMBER('Proyecto Datos (OKR´s)'!$F136),ISNUMBER('Proyecto Datos (OKR´s)'!$L136)))</f>
      </c>
      <c r="D136" s="201">
        <f>IF($C136,IFERROR(LOOKUP(2,1/((ISTEXT('Proyecto Datos (OKR´s)'!$K$7:$K136))*(LEN('Proyecto Datos (OKR´s)'!$G$7:$G136)&gt;0)),'Proyecto Datos (OKR´s)'!$G$7:$G136),""),"")</f>
      </c>
      <c r="E136" s="200">
        <f>IF($C136,'Proyecto Datos (OKR´s)'!$E136,"")</f>
      </c>
      <c r="F136" s="201">
        <f>IF($C136,'Proyecto Datos (OKR´s)'!$G136,"")</f>
      </c>
      <c r="G136" s="201">
        <f>IF($C136,IF('Proyecto Datos (OKR´s)'!$I136="","(Sin asignar)",'Proyecto Datos (OKR´s)'!$I136),"")</f>
      </c>
      <c r="H136" s="200">
        <f>IF($C136,IF(ISNUMBER('Proyecto Datos (OKR´s)'!$F136),'Proyecto Datos (OKR´s)'!$F136,'Proyecto Datos (OKR´s)'!$L136),"")</f>
      </c>
      <c r="I136" s="200">
        <f>IF($C136,'Proyecto Datos (OKR´s)'!$J136,"")</f>
      </c>
      <c r="J136" s="201">
        <f>IF($C136,IF($I136&gt;=1,"Completado",IF($H136&lt;TODAY(),"Vencido",IF(($H136-TODAY())&lt;='Entregas Próximas'!$I$3,"Próximo a vencer","En curso"))),"")</f>
      </c>
      <c r="K136" s="200">
        <f>IF($C136,$H136-TODAY(),"")</f>
      </c>
      <c r="L136" s="200">
        <f>IF($C136,$N136*1000000+$H136+ROW()/100000,"")</f>
      </c>
      <c r="M136" s="200">
        <f>IF($C136,IF('Proyecto Datos (OKR´s)'!$E136="","(Sin sprint)",'Proyecto Datos (OKR´s)'!$E136),"")</f>
      </c>
      <c r="N136" s="200">
        <f>IF($C136,IF('Proyecto Datos (OKR´s)'!$E136="",9999,'Proyecto Datos (OKR´s)'!$E136),"")</f>
      </c>
    </row>
    <row r="137">
      <c r="A137" s="200">
        <f>ROW()</f>
      </c>
      <c r="B137" s="200">
        <f>ISTEXT('Proyecto Datos (OKR´s)'!$K137)</f>
      </c>
      <c r="C137" s="200">
        <f>AND(LEN('Proyecto Datos (OKR´s)'!$G137)&gt;0,NOT($B137),OR(ISNUMBER('Proyecto Datos (OKR´s)'!$F137),ISNUMBER('Proyecto Datos (OKR´s)'!$L137)))</f>
      </c>
      <c r="D137" s="201">
        <f>IF($C137,IFERROR(LOOKUP(2,1/((ISTEXT('Proyecto Datos (OKR´s)'!$K$7:$K137))*(LEN('Proyecto Datos (OKR´s)'!$G$7:$G137)&gt;0)),'Proyecto Datos (OKR´s)'!$G$7:$G137),""),"")</f>
      </c>
      <c r="E137" s="200">
        <f>IF($C137,'Proyecto Datos (OKR´s)'!$E137,"")</f>
      </c>
      <c r="F137" s="201">
        <f>IF($C137,'Proyecto Datos (OKR´s)'!$G137,"")</f>
      </c>
      <c r="G137" s="201">
        <f>IF($C137,IF('Proyecto Datos (OKR´s)'!$I137="","(Sin asignar)",'Proyecto Datos (OKR´s)'!$I137),"")</f>
      </c>
      <c r="H137" s="200">
        <f>IF($C137,IF(ISNUMBER('Proyecto Datos (OKR´s)'!$F137),'Proyecto Datos (OKR´s)'!$F137,'Proyecto Datos (OKR´s)'!$L137),"")</f>
      </c>
      <c r="I137" s="200">
        <f>IF($C137,'Proyecto Datos (OKR´s)'!$J137,"")</f>
      </c>
      <c r="J137" s="201">
        <f>IF($C137,IF($I137&gt;=1,"Completado",IF($H137&lt;TODAY(),"Vencido",IF(($H137-TODAY())&lt;='Entregas Próximas'!$I$3,"Próximo a vencer","En curso"))),"")</f>
      </c>
      <c r="K137" s="200">
        <f>IF($C137,$H137-TODAY(),"")</f>
      </c>
      <c r="L137" s="200">
        <f>IF($C137,$N137*1000000+$H137+ROW()/100000,"")</f>
      </c>
      <c r="M137" s="200">
        <f>IF($C137,IF('Proyecto Datos (OKR´s)'!$E137="","(Sin sprint)",'Proyecto Datos (OKR´s)'!$E137),"")</f>
      </c>
      <c r="N137" s="200">
        <f>IF($C137,IF('Proyecto Datos (OKR´s)'!$E137="",9999,'Proyecto Datos (OKR´s)'!$E137),"")</f>
      </c>
    </row>
    <row r="138">
      <c r="A138" s="200">
        <f>ROW()</f>
      </c>
      <c r="B138" s="200">
        <f>ISTEXT('Proyecto Datos (OKR´s)'!$K138)</f>
      </c>
      <c r="C138" s="200">
        <f>AND(LEN('Proyecto Datos (OKR´s)'!$G138)&gt;0,NOT($B138),OR(ISNUMBER('Proyecto Datos (OKR´s)'!$F138),ISNUMBER('Proyecto Datos (OKR´s)'!$L138)))</f>
      </c>
      <c r="D138" s="201">
        <f>IF($C138,IFERROR(LOOKUP(2,1/((ISTEXT('Proyecto Datos (OKR´s)'!$K$7:$K138))*(LEN('Proyecto Datos (OKR´s)'!$G$7:$G138)&gt;0)),'Proyecto Datos (OKR´s)'!$G$7:$G138),""),"")</f>
      </c>
      <c r="E138" s="200">
        <f>IF($C138,'Proyecto Datos (OKR´s)'!$E138,"")</f>
      </c>
      <c r="F138" s="201">
        <f>IF($C138,'Proyecto Datos (OKR´s)'!$G138,"")</f>
      </c>
      <c r="G138" s="201">
        <f>IF($C138,IF('Proyecto Datos (OKR´s)'!$I138="","(Sin asignar)",'Proyecto Datos (OKR´s)'!$I138),"")</f>
      </c>
      <c r="H138" s="200">
        <f>IF($C138,IF(ISNUMBER('Proyecto Datos (OKR´s)'!$F138),'Proyecto Datos (OKR´s)'!$F138,'Proyecto Datos (OKR´s)'!$L138),"")</f>
      </c>
      <c r="I138" s="200">
        <f>IF($C138,'Proyecto Datos (OKR´s)'!$J138,"")</f>
      </c>
      <c r="J138" s="201">
        <f>IF($C138,IF($I138&gt;=1,"Completado",IF($H138&lt;TODAY(),"Vencido",IF(($H138-TODAY())&lt;='Entregas Próximas'!$I$3,"Próximo a vencer","En curso"))),"")</f>
      </c>
      <c r="K138" s="200">
        <f>IF($C138,$H138-TODAY(),"")</f>
      </c>
      <c r="L138" s="200">
        <f>IF($C138,$N138*1000000+$H138+ROW()/100000,"")</f>
      </c>
      <c r="M138" s="200">
        <f>IF($C138,IF('Proyecto Datos (OKR´s)'!$E138="","(Sin sprint)",'Proyecto Datos (OKR´s)'!$E138),"")</f>
      </c>
      <c r="N138" s="200">
        <f>IF($C138,IF('Proyecto Datos (OKR´s)'!$E138="",9999,'Proyecto Datos (OKR´s)'!$E138),"")</f>
      </c>
    </row>
    <row r="139">
      <c r="A139" s="200">
        <f>ROW()</f>
      </c>
      <c r="B139" s="200">
        <f>ISTEXT('Proyecto Datos (OKR´s)'!$K139)</f>
      </c>
      <c r="C139" s="200">
        <f>AND(LEN('Proyecto Datos (OKR´s)'!$G139)&gt;0,NOT($B139),OR(ISNUMBER('Proyecto Datos (OKR´s)'!$F139),ISNUMBER('Proyecto Datos (OKR´s)'!$L139)))</f>
      </c>
      <c r="D139" s="201">
        <f>IF($C139,IFERROR(LOOKUP(2,1/((ISTEXT('Proyecto Datos (OKR´s)'!$K$7:$K139))*(LEN('Proyecto Datos (OKR´s)'!$G$7:$G139)&gt;0)),'Proyecto Datos (OKR´s)'!$G$7:$G139),""),"")</f>
      </c>
      <c r="E139" s="200">
        <f>IF($C139,'Proyecto Datos (OKR´s)'!$E139,"")</f>
      </c>
      <c r="F139" s="201">
        <f>IF($C139,'Proyecto Datos (OKR´s)'!$G139,"")</f>
      </c>
      <c r="G139" s="201">
        <f>IF($C139,IF('Proyecto Datos (OKR´s)'!$I139="","(Sin asignar)",'Proyecto Datos (OKR´s)'!$I139),"")</f>
      </c>
      <c r="H139" s="200">
        <f>IF($C139,IF(ISNUMBER('Proyecto Datos (OKR´s)'!$F139),'Proyecto Datos (OKR´s)'!$F139,'Proyecto Datos (OKR´s)'!$L139),"")</f>
      </c>
      <c r="I139" s="200">
        <f>IF($C139,'Proyecto Datos (OKR´s)'!$J139,"")</f>
      </c>
      <c r="J139" s="201">
        <f>IF($C139,IF($I139&gt;=1,"Completado",IF($H139&lt;TODAY(),"Vencido",IF(($H139-TODAY())&lt;='Entregas Próximas'!$I$3,"Próximo a vencer","En curso"))),"")</f>
      </c>
      <c r="K139" s="200">
        <f>IF($C139,$H139-TODAY(),"")</f>
      </c>
      <c r="L139" s="200">
        <f>IF($C139,$N139*1000000+$H139+ROW()/100000,"")</f>
      </c>
      <c r="M139" s="200">
        <f>IF($C139,IF('Proyecto Datos (OKR´s)'!$E139="","(Sin sprint)",'Proyecto Datos (OKR´s)'!$E139),"")</f>
      </c>
      <c r="N139" s="200">
        <f>IF($C139,IF('Proyecto Datos (OKR´s)'!$E139="",9999,'Proyecto Datos (OKR´s)'!$E139),"")</f>
      </c>
    </row>
    <row r="140">
      <c r="A140" s="200">
        <f>ROW()</f>
      </c>
      <c r="B140" s="200">
        <f>ISTEXT('Proyecto Datos (OKR´s)'!$K140)</f>
      </c>
      <c r="C140" s="200">
        <f>AND(LEN('Proyecto Datos (OKR´s)'!$G140)&gt;0,NOT($B140),OR(ISNUMBER('Proyecto Datos (OKR´s)'!$F140),ISNUMBER('Proyecto Datos (OKR´s)'!$L140)))</f>
      </c>
      <c r="D140" s="201">
        <f>IF($C140,IFERROR(LOOKUP(2,1/((ISTEXT('Proyecto Datos (OKR´s)'!$K$7:$K140))*(LEN('Proyecto Datos (OKR´s)'!$G$7:$G140)&gt;0)),'Proyecto Datos (OKR´s)'!$G$7:$G140),""),"")</f>
      </c>
      <c r="E140" s="200">
        <f>IF($C140,'Proyecto Datos (OKR´s)'!$E140,"")</f>
      </c>
      <c r="F140" s="201">
        <f>IF($C140,'Proyecto Datos (OKR´s)'!$G140,"")</f>
      </c>
      <c r="G140" s="201">
        <f>IF($C140,IF('Proyecto Datos (OKR´s)'!$I140="","(Sin asignar)",'Proyecto Datos (OKR´s)'!$I140),"")</f>
      </c>
      <c r="H140" s="200">
        <f>IF($C140,IF(ISNUMBER('Proyecto Datos (OKR´s)'!$F140),'Proyecto Datos (OKR´s)'!$F140,'Proyecto Datos (OKR´s)'!$L140),"")</f>
      </c>
      <c r="I140" s="200">
        <f>IF($C140,'Proyecto Datos (OKR´s)'!$J140,"")</f>
      </c>
      <c r="J140" s="201">
        <f>IF($C140,IF($I140&gt;=1,"Completado",IF($H140&lt;TODAY(),"Vencido",IF(($H140-TODAY())&lt;='Entregas Próximas'!$I$3,"Próximo a vencer","En curso"))),"")</f>
      </c>
      <c r="K140" s="200">
        <f>IF($C140,$H140-TODAY(),"")</f>
      </c>
      <c r="L140" s="200">
        <f>IF($C140,$N140*1000000+$H140+ROW()/100000,"")</f>
      </c>
      <c r="M140" s="200">
        <f>IF($C140,IF('Proyecto Datos (OKR´s)'!$E140="","(Sin sprint)",'Proyecto Datos (OKR´s)'!$E140),"")</f>
      </c>
      <c r="N140" s="200">
        <f>IF($C140,IF('Proyecto Datos (OKR´s)'!$E140="",9999,'Proyecto Datos (OKR´s)'!$E140),"")</f>
      </c>
    </row>
    <row r="141">
      <c r="A141" s="200">
        <f>ROW()</f>
      </c>
      <c r="B141" s="200">
        <f>ISTEXT('Proyecto Datos (OKR´s)'!$K141)</f>
      </c>
      <c r="C141" s="200">
        <f>AND(LEN('Proyecto Datos (OKR´s)'!$G141)&gt;0,NOT($B141),OR(ISNUMBER('Proyecto Datos (OKR´s)'!$F141),ISNUMBER('Proyecto Datos (OKR´s)'!$L141)))</f>
      </c>
      <c r="D141" s="201">
        <f>IF($C141,IFERROR(LOOKUP(2,1/((ISTEXT('Proyecto Datos (OKR´s)'!$K$7:$K141))*(LEN('Proyecto Datos (OKR´s)'!$G$7:$G141)&gt;0)),'Proyecto Datos (OKR´s)'!$G$7:$G141),""),"")</f>
      </c>
      <c r="E141" s="200">
        <f>IF($C141,'Proyecto Datos (OKR´s)'!$E141,"")</f>
      </c>
      <c r="F141" s="201">
        <f>IF($C141,'Proyecto Datos (OKR´s)'!$G141,"")</f>
      </c>
      <c r="G141" s="201">
        <f>IF($C141,IF('Proyecto Datos (OKR´s)'!$I141="","(Sin asignar)",'Proyecto Datos (OKR´s)'!$I141),"")</f>
      </c>
      <c r="H141" s="200">
        <f>IF($C141,IF(ISNUMBER('Proyecto Datos (OKR´s)'!$F141),'Proyecto Datos (OKR´s)'!$F141,'Proyecto Datos (OKR´s)'!$L141),"")</f>
      </c>
      <c r="I141" s="200">
        <f>IF($C141,'Proyecto Datos (OKR´s)'!$J141,"")</f>
      </c>
      <c r="J141" s="201">
        <f>IF($C141,IF($I141&gt;=1,"Completado",IF($H141&lt;TODAY(),"Vencido",IF(($H141-TODAY())&lt;='Entregas Próximas'!$I$3,"Próximo a vencer","En curso"))),"")</f>
      </c>
      <c r="K141" s="200">
        <f>IF($C141,$H141-TODAY(),"")</f>
      </c>
      <c r="L141" s="200">
        <f>IF($C141,$N141*1000000+$H141+ROW()/100000,"")</f>
      </c>
      <c r="M141" s="200">
        <f>IF($C141,IF('Proyecto Datos (OKR´s)'!$E141="","(Sin sprint)",'Proyecto Datos (OKR´s)'!$E141),"")</f>
      </c>
      <c r="N141" s="200">
        <f>IF($C141,IF('Proyecto Datos (OKR´s)'!$E141="",9999,'Proyecto Datos (OKR´s)'!$E141),"")</f>
      </c>
    </row>
    <row r="142">
      <c r="A142" s="200">
        <f>ROW()</f>
      </c>
      <c r="B142" s="200">
        <f>ISTEXT('Proyecto Datos (OKR´s)'!$K142)</f>
      </c>
      <c r="C142" s="200">
        <f>AND(LEN('Proyecto Datos (OKR´s)'!$G142)&gt;0,NOT($B142),OR(ISNUMBER('Proyecto Datos (OKR´s)'!$F142),ISNUMBER('Proyecto Datos (OKR´s)'!$L142)))</f>
      </c>
      <c r="D142" s="201">
        <f>IF($C142,IFERROR(LOOKUP(2,1/((ISTEXT('Proyecto Datos (OKR´s)'!$K$7:$K142))*(LEN('Proyecto Datos (OKR´s)'!$G$7:$G142)&gt;0)),'Proyecto Datos (OKR´s)'!$G$7:$G142),""),"")</f>
      </c>
      <c r="E142" s="200">
        <f>IF($C142,'Proyecto Datos (OKR´s)'!$E142,"")</f>
      </c>
      <c r="F142" s="201">
        <f>IF($C142,'Proyecto Datos (OKR´s)'!$G142,"")</f>
      </c>
      <c r="G142" s="201">
        <f>IF($C142,IF('Proyecto Datos (OKR´s)'!$I142="","(Sin asignar)",'Proyecto Datos (OKR´s)'!$I142),"")</f>
      </c>
      <c r="H142" s="200">
        <f>IF($C142,IF(ISNUMBER('Proyecto Datos (OKR´s)'!$F142),'Proyecto Datos (OKR´s)'!$F142,'Proyecto Datos (OKR´s)'!$L142),"")</f>
      </c>
      <c r="I142" s="200">
        <f>IF($C142,'Proyecto Datos (OKR´s)'!$J142,"")</f>
      </c>
      <c r="J142" s="201">
        <f>IF($C142,IF($I142&gt;=1,"Completado",IF($H142&lt;TODAY(),"Vencido",IF(($H142-TODAY())&lt;='Entregas Próximas'!$I$3,"Próximo a vencer","En curso"))),"")</f>
      </c>
      <c r="K142" s="200">
        <f>IF($C142,$H142-TODAY(),"")</f>
      </c>
      <c r="L142" s="200">
        <f>IF($C142,$N142*1000000+$H142+ROW()/100000,"")</f>
      </c>
      <c r="M142" s="200">
        <f>IF($C142,IF('Proyecto Datos (OKR´s)'!$E142="","(Sin sprint)",'Proyecto Datos (OKR´s)'!$E142),"")</f>
      </c>
      <c r="N142" s="200">
        <f>IF($C142,IF('Proyecto Datos (OKR´s)'!$E142="",9999,'Proyecto Datos (OKR´s)'!$E142),"")</f>
      </c>
    </row>
    <row r="143">
      <c r="A143" s="200">
        <f>ROW()</f>
      </c>
      <c r="B143" s="200">
        <f>ISTEXT('Proyecto Datos (OKR´s)'!$K143)</f>
      </c>
      <c r="C143" s="200">
        <f>AND(LEN('Proyecto Datos (OKR´s)'!$G143)&gt;0,NOT($B143),OR(ISNUMBER('Proyecto Datos (OKR´s)'!$F143),ISNUMBER('Proyecto Datos (OKR´s)'!$L143)))</f>
      </c>
      <c r="D143" s="201">
        <f>IF($C143,IFERROR(LOOKUP(2,1/((ISTEXT('Proyecto Datos (OKR´s)'!$K$7:$K143))*(LEN('Proyecto Datos (OKR´s)'!$G$7:$G143)&gt;0)),'Proyecto Datos (OKR´s)'!$G$7:$G143),""),"")</f>
      </c>
      <c r="E143" s="200">
        <f>IF($C143,'Proyecto Datos (OKR´s)'!$E143,"")</f>
      </c>
      <c r="F143" s="201">
        <f>IF($C143,'Proyecto Datos (OKR´s)'!$G143,"")</f>
      </c>
      <c r="G143" s="201">
        <f>IF($C143,IF('Proyecto Datos (OKR´s)'!$I143="","(Sin asignar)",'Proyecto Datos (OKR´s)'!$I143),"")</f>
      </c>
      <c r="H143" s="200">
        <f>IF($C143,IF(ISNUMBER('Proyecto Datos (OKR´s)'!$F143),'Proyecto Datos (OKR´s)'!$F143,'Proyecto Datos (OKR´s)'!$L143),"")</f>
      </c>
      <c r="I143" s="200">
        <f>IF($C143,'Proyecto Datos (OKR´s)'!$J143,"")</f>
      </c>
      <c r="J143" s="201">
        <f>IF($C143,IF($I143&gt;=1,"Completado",IF($H143&lt;TODAY(),"Vencido",IF(($H143-TODAY())&lt;='Entregas Próximas'!$I$3,"Próximo a vencer","En curso"))),"")</f>
      </c>
      <c r="K143" s="200">
        <f>IF($C143,$H143-TODAY(),"")</f>
      </c>
      <c r="L143" s="200">
        <f>IF($C143,$N143*1000000+$H143+ROW()/100000,"")</f>
      </c>
      <c r="M143" s="200">
        <f>IF($C143,IF('Proyecto Datos (OKR´s)'!$E143="","(Sin sprint)",'Proyecto Datos (OKR´s)'!$E143),"")</f>
      </c>
      <c r="N143" s="200">
        <f>IF($C143,IF('Proyecto Datos (OKR´s)'!$E143="",9999,'Proyecto Datos (OKR´s)'!$E143),"")</f>
      </c>
    </row>
    <row r="144">
      <c r="A144" s="200">
        <f>ROW()</f>
      </c>
      <c r="B144" s="200">
        <f>ISTEXT('Proyecto Datos (OKR´s)'!$K144)</f>
      </c>
      <c r="C144" s="200">
        <f>AND(LEN('Proyecto Datos (OKR´s)'!$G144)&gt;0,NOT($B144),OR(ISNUMBER('Proyecto Datos (OKR´s)'!$F144),ISNUMBER('Proyecto Datos (OKR´s)'!$L144)))</f>
      </c>
      <c r="D144" s="201">
        <f>IF($C144,IFERROR(LOOKUP(2,1/((ISTEXT('Proyecto Datos (OKR´s)'!$K$7:$K144))*(LEN('Proyecto Datos (OKR´s)'!$G$7:$G144)&gt;0)),'Proyecto Datos (OKR´s)'!$G$7:$G144),""),"")</f>
      </c>
      <c r="E144" s="200">
        <f>IF($C144,'Proyecto Datos (OKR´s)'!$E144,"")</f>
      </c>
      <c r="F144" s="201">
        <f>IF($C144,'Proyecto Datos (OKR´s)'!$G144,"")</f>
      </c>
      <c r="G144" s="201">
        <f>IF($C144,IF('Proyecto Datos (OKR´s)'!$I144="","(Sin asignar)",'Proyecto Datos (OKR´s)'!$I144),"")</f>
      </c>
      <c r="H144" s="200">
        <f>IF($C144,IF(ISNUMBER('Proyecto Datos (OKR´s)'!$F144),'Proyecto Datos (OKR´s)'!$F144,'Proyecto Datos (OKR´s)'!$L144),"")</f>
      </c>
      <c r="I144" s="200">
        <f>IF($C144,'Proyecto Datos (OKR´s)'!$J144,"")</f>
      </c>
      <c r="J144" s="201">
        <f>IF($C144,IF($I144&gt;=1,"Completado",IF($H144&lt;TODAY(),"Vencido",IF(($H144-TODAY())&lt;='Entregas Próximas'!$I$3,"Próximo a vencer","En curso"))),"")</f>
      </c>
      <c r="K144" s="200">
        <f>IF($C144,$H144-TODAY(),"")</f>
      </c>
      <c r="L144" s="200">
        <f>IF($C144,$N144*1000000+$H144+ROW()/100000,"")</f>
      </c>
      <c r="M144" s="200">
        <f>IF($C144,IF('Proyecto Datos (OKR´s)'!$E144="","(Sin sprint)",'Proyecto Datos (OKR´s)'!$E144),"")</f>
      </c>
      <c r="N144" s="200">
        <f>IF($C144,IF('Proyecto Datos (OKR´s)'!$E144="",9999,'Proyecto Datos (OKR´s)'!$E144),"")</f>
      </c>
    </row>
    <row r="145">
      <c r="A145" s="200">
        <f>ROW()</f>
      </c>
      <c r="B145" s="200">
        <f>ISTEXT('Proyecto Datos (OKR´s)'!$K145)</f>
      </c>
      <c r="C145" s="200">
        <f>AND(LEN('Proyecto Datos (OKR´s)'!$G145)&gt;0,NOT($B145),OR(ISNUMBER('Proyecto Datos (OKR´s)'!$F145),ISNUMBER('Proyecto Datos (OKR´s)'!$L145)))</f>
      </c>
      <c r="D145" s="201">
        <f>IF($C145,IFERROR(LOOKUP(2,1/((ISTEXT('Proyecto Datos (OKR´s)'!$K$7:$K145))*(LEN('Proyecto Datos (OKR´s)'!$G$7:$G145)&gt;0)),'Proyecto Datos (OKR´s)'!$G$7:$G145),""),"")</f>
      </c>
      <c r="E145" s="200">
        <f>IF($C145,'Proyecto Datos (OKR´s)'!$E145,"")</f>
      </c>
      <c r="F145" s="201">
        <f>IF($C145,'Proyecto Datos (OKR´s)'!$G145,"")</f>
      </c>
      <c r="G145" s="201">
        <f>IF($C145,IF('Proyecto Datos (OKR´s)'!$I145="","(Sin asignar)",'Proyecto Datos (OKR´s)'!$I145),"")</f>
      </c>
      <c r="H145" s="200">
        <f>IF($C145,IF(ISNUMBER('Proyecto Datos (OKR´s)'!$F145),'Proyecto Datos (OKR´s)'!$F145,'Proyecto Datos (OKR´s)'!$L145),"")</f>
      </c>
      <c r="I145" s="200">
        <f>IF($C145,'Proyecto Datos (OKR´s)'!$J145,"")</f>
      </c>
      <c r="J145" s="201">
        <f>IF($C145,IF($I145&gt;=1,"Completado",IF($H145&lt;TODAY(),"Vencido",IF(($H145-TODAY())&lt;='Entregas Próximas'!$I$3,"Próximo a vencer","En curso"))),"")</f>
      </c>
      <c r="K145" s="200">
        <f>IF($C145,$H145-TODAY(),"")</f>
      </c>
      <c r="L145" s="200">
        <f>IF($C145,$N145*1000000+$H145+ROW()/100000,"")</f>
      </c>
      <c r="M145" s="200">
        <f>IF($C145,IF('Proyecto Datos (OKR´s)'!$E145="","(Sin sprint)",'Proyecto Datos (OKR´s)'!$E145),"")</f>
      </c>
      <c r="N145" s="200">
        <f>IF($C145,IF('Proyecto Datos (OKR´s)'!$E145="",9999,'Proyecto Datos (OKR´s)'!$E145),"")</f>
      </c>
    </row>
    <row r="146">
      <c r="A146" s="200">
        <f>ROW()</f>
      </c>
      <c r="B146" s="200">
        <f>ISTEXT('Proyecto Datos (OKR´s)'!$K146)</f>
      </c>
      <c r="C146" s="200">
        <f>AND(LEN('Proyecto Datos (OKR´s)'!$G146)&gt;0,NOT($B146),OR(ISNUMBER('Proyecto Datos (OKR´s)'!$F146),ISNUMBER('Proyecto Datos (OKR´s)'!$L146)))</f>
      </c>
      <c r="D146" s="201">
        <f>IF($C146,IFERROR(LOOKUP(2,1/((ISTEXT('Proyecto Datos (OKR´s)'!$K$7:$K146))*(LEN('Proyecto Datos (OKR´s)'!$G$7:$G146)&gt;0)),'Proyecto Datos (OKR´s)'!$G$7:$G146),""),"")</f>
      </c>
      <c r="E146" s="200">
        <f>IF($C146,'Proyecto Datos (OKR´s)'!$E146,"")</f>
      </c>
      <c r="F146" s="201">
        <f>IF($C146,'Proyecto Datos (OKR´s)'!$G146,"")</f>
      </c>
      <c r="G146" s="201">
        <f>IF($C146,IF('Proyecto Datos (OKR´s)'!$I146="","(Sin asignar)",'Proyecto Datos (OKR´s)'!$I146),"")</f>
      </c>
      <c r="H146" s="200">
        <f>IF($C146,IF(ISNUMBER('Proyecto Datos (OKR´s)'!$F146),'Proyecto Datos (OKR´s)'!$F146,'Proyecto Datos (OKR´s)'!$L146),"")</f>
      </c>
      <c r="I146" s="200">
        <f>IF($C146,'Proyecto Datos (OKR´s)'!$J146,"")</f>
      </c>
      <c r="J146" s="201">
        <f>IF($C146,IF($I146&gt;=1,"Completado",IF($H146&lt;TODAY(),"Vencido",IF(($H146-TODAY())&lt;='Entregas Próximas'!$I$3,"Próximo a vencer","En curso"))),"")</f>
      </c>
      <c r="K146" s="200">
        <f>IF($C146,$H146-TODAY(),"")</f>
      </c>
      <c r="L146" s="200">
        <f>IF($C146,$N146*1000000+$H146+ROW()/100000,"")</f>
      </c>
      <c r="M146" s="200">
        <f>IF($C146,IF('Proyecto Datos (OKR´s)'!$E146="","(Sin sprint)",'Proyecto Datos (OKR´s)'!$E146),"")</f>
      </c>
      <c r="N146" s="200">
        <f>IF($C146,IF('Proyecto Datos (OKR´s)'!$E146="",9999,'Proyecto Datos (OKR´s)'!$E146),"")</f>
      </c>
    </row>
    <row r="147">
      <c r="A147" s="200">
        <f>ROW()</f>
      </c>
      <c r="B147" s="200">
        <f>ISTEXT('Proyecto Datos (OKR´s)'!$K147)</f>
      </c>
      <c r="C147" s="200">
        <f>AND(LEN('Proyecto Datos (OKR´s)'!$G147)&gt;0,NOT($B147),OR(ISNUMBER('Proyecto Datos (OKR´s)'!$F147),ISNUMBER('Proyecto Datos (OKR´s)'!$L147)))</f>
      </c>
      <c r="D147" s="201">
        <f>IF($C147,IFERROR(LOOKUP(2,1/((ISTEXT('Proyecto Datos (OKR´s)'!$K$7:$K147))*(LEN('Proyecto Datos (OKR´s)'!$G$7:$G147)&gt;0)),'Proyecto Datos (OKR´s)'!$G$7:$G147),""),"")</f>
      </c>
      <c r="E147" s="200">
        <f>IF($C147,'Proyecto Datos (OKR´s)'!$E147,"")</f>
      </c>
      <c r="F147" s="201">
        <f>IF($C147,'Proyecto Datos (OKR´s)'!$G147,"")</f>
      </c>
      <c r="G147" s="201">
        <f>IF($C147,IF('Proyecto Datos (OKR´s)'!$I147="","(Sin asignar)",'Proyecto Datos (OKR´s)'!$I147),"")</f>
      </c>
      <c r="H147" s="200">
        <f>IF($C147,IF(ISNUMBER('Proyecto Datos (OKR´s)'!$F147),'Proyecto Datos (OKR´s)'!$F147,'Proyecto Datos (OKR´s)'!$L147),"")</f>
      </c>
      <c r="I147" s="200">
        <f>IF($C147,'Proyecto Datos (OKR´s)'!$J147,"")</f>
      </c>
      <c r="J147" s="201">
        <f>IF($C147,IF($I147&gt;=1,"Completado",IF($H147&lt;TODAY(),"Vencido",IF(($H147-TODAY())&lt;='Entregas Próximas'!$I$3,"Próximo a vencer","En curso"))),"")</f>
      </c>
      <c r="K147" s="200">
        <f>IF($C147,$H147-TODAY(),"")</f>
      </c>
      <c r="L147" s="200">
        <f>IF($C147,$N147*1000000+$H147+ROW()/100000,"")</f>
      </c>
      <c r="M147" s="200">
        <f>IF($C147,IF('Proyecto Datos (OKR´s)'!$E147="","(Sin sprint)",'Proyecto Datos (OKR´s)'!$E147),"")</f>
      </c>
      <c r="N147" s="200">
        <f>IF($C147,IF('Proyecto Datos (OKR´s)'!$E147="",9999,'Proyecto Datos (OKR´s)'!$E147),"")</f>
      </c>
    </row>
    <row r="148">
      <c r="A148" s="200">
        <f>ROW()</f>
      </c>
      <c r="B148" s="200">
        <f>ISTEXT('Proyecto Datos (OKR´s)'!$K148)</f>
      </c>
      <c r="C148" s="200">
        <f>AND(LEN('Proyecto Datos (OKR´s)'!$G148)&gt;0,NOT($B148),OR(ISNUMBER('Proyecto Datos (OKR´s)'!$F148),ISNUMBER('Proyecto Datos (OKR´s)'!$L148)))</f>
      </c>
      <c r="D148" s="201">
        <f>IF($C148,IFERROR(LOOKUP(2,1/((ISTEXT('Proyecto Datos (OKR´s)'!$K$7:$K148))*(LEN('Proyecto Datos (OKR´s)'!$G$7:$G148)&gt;0)),'Proyecto Datos (OKR´s)'!$G$7:$G148),""),"")</f>
      </c>
      <c r="E148" s="200">
        <f>IF($C148,'Proyecto Datos (OKR´s)'!$E148,"")</f>
      </c>
      <c r="F148" s="201">
        <f>IF($C148,'Proyecto Datos (OKR´s)'!$G148,"")</f>
      </c>
      <c r="G148" s="201">
        <f>IF($C148,IF('Proyecto Datos (OKR´s)'!$I148="","(Sin asignar)",'Proyecto Datos (OKR´s)'!$I148),"")</f>
      </c>
      <c r="H148" s="200">
        <f>IF($C148,IF(ISNUMBER('Proyecto Datos (OKR´s)'!$F148),'Proyecto Datos (OKR´s)'!$F148,'Proyecto Datos (OKR´s)'!$L148),"")</f>
      </c>
      <c r="I148" s="200">
        <f>IF($C148,'Proyecto Datos (OKR´s)'!$J148,"")</f>
      </c>
      <c r="J148" s="201">
        <f>IF($C148,IF($I148&gt;=1,"Completado",IF($H148&lt;TODAY(),"Vencido",IF(($H148-TODAY())&lt;='Entregas Próximas'!$I$3,"Próximo a vencer","En curso"))),"")</f>
      </c>
      <c r="K148" s="200">
        <f>IF($C148,$H148-TODAY(),"")</f>
      </c>
      <c r="L148" s="200">
        <f>IF($C148,$N148*1000000+$H148+ROW()/100000,"")</f>
      </c>
      <c r="M148" s="200">
        <f>IF($C148,IF('Proyecto Datos (OKR´s)'!$E148="","(Sin sprint)",'Proyecto Datos (OKR´s)'!$E148),"")</f>
      </c>
      <c r="N148" s="200">
        <f>IF($C148,IF('Proyecto Datos (OKR´s)'!$E148="",9999,'Proyecto Datos (OKR´s)'!$E148),"")</f>
      </c>
    </row>
    <row r="149">
      <c r="A149" s="200">
        <f>ROW()</f>
      </c>
      <c r="B149" s="200">
        <f>ISTEXT('Proyecto Datos (OKR´s)'!$K149)</f>
      </c>
      <c r="C149" s="200">
        <f>AND(LEN('Proyecto Datos (OKR´s)'!$G149)&gt;0,NOT($B149),OR(ISNUMBER('Proyecto Datos (OKR´s)'!$F149),ISNUMBER('Proyecto Datos (OKR´s)'!$L149)))</f>
      </c>
      <c r="D149" s="201">
        <f>IF($C149,IFERROR(LOOKUP(2,1/((ISTEXT('Proyecto Datos (OKR´s)'!$K$7:$K149))*(LEN('Proyecto Datos (OKR´s)'!$G$7:$G149)&gt;0)),'Proyecto Datos (OKR´s)'!$G$7:$G149),""),"")</f>
      </c>
      <c r="E149" s="200">
        <f>IF($C149,'Proyecto Datos (OKR´s)'!$E149,"")</f>
      </c>
      <c r="F149" s="201">
        <f>IF($C149,'Proyecto Datos (OKR´s)'!$G149,"")</f>
      </c>
      <c r="G149" s="201">
        <f>IF($C149,IF('Proyecto Datos (OKR´s)'!$I149="","(Sin asignar)",'Proyecto Datos (OKR´s)'!$I149),"")</f>
      </c>
      <c r="H149" s="200">
        <f>IF($C149,IF(ISNUMBER('Proyecto Datos (OKR´s)'!$F149),'Proyecto Datos (OKR´s)'!$F149,'Proyecto Datos (OKR´s)'!$L149),"")</f>
      </c>
      <c r="I149" s="200">
        <f>IF($C149,'Proyecto Datos (OKR´s)'!$J149,"")</f>
      </c>
      <c r="J149" s="201">
        <f>IF($C149,IF($I149&gt;=1,"Completado",IF($H149&lt;TODAY(),"Vencido",IF(($H149-TODAY())&lt;='Entregas Próximas'!$I$3,"Próximo a vencer","En curso"))),"")</f>
      </c>
      <c r="K149" s="200">
        <f>IF($C149,$H149-TODAY(),"")</f>
      </c>
      <c r="L149" s="200">
        <f>IF($C149,$N149*1000000+$H149+ROW()/100000,"")</f>
      </c>
      <c r="M149" s="200">
        <f>IF($C149,IF('Proyecto Datos (OKR´s)'!$E149="","(Sin sprint)",'Proyecto Datos (OKR´s)'!$E149),"")</f>
      </c>
      <c r="N149" s="200">
        <f>IF($C149,IF('Proyecto Datos (OKR´s)'!$E149="",9999,'Proyecto Datos (OKR´s)'!$E149),"")</f>
      </c>
    </row>
    <row r="150">
      <c r="A150" s="200">
        <f>ROW()</f>
      </c>
      <c r="B150" s="200">
        <f>ISTEXT('Proyecto Datos (OKR´s)'!$K150)</f>
      </c>
      <c r="C150" s="200">
        <f>AND(LEN('Proyecto Datos (OKR´s)'!$G150)&gt;0,NOT($B150),OR(ISNUMBER('Proyecto Datos (OKR´s)'!$F150),ISNUMBER('Proyecto Datos (OKR´s)'!$L150)))</f>
      </c>
      <c r="D150" s="201">
        <f>IF($C150,IFERROR(LOOKUP(2,1/((ISTEXT('Proyecto Datos (OKR´s)'!$K$7:$K150))*(LEN('Proyecto Datos (OKR´s)'!$G$7:$G150)&gt;0)),'Proyecto Datos (OKR´s)'!$G$7:$G150),""),"")</f>
      </c>
      <c r="E150" s="200">
        <f>IF($C150,'Proyecto Datos (OKR´s)'!$E150,"")</f>
      </c>
      <c r="F150" s="201">
        <f>IF($C150,'Proyecto Datos (OKR´s)'!$G150,"")</f>
      </c>
      <c r="G150" s="201">
        <f>IF($C150,IF('Proyecto Datos (OKR´s)'!$I150="","(Sin asignar)",'Proyecto Datos (OKR´s)'!$I150),"")</f>
      </c>
      <c r="H150" s="200">
        <f>IF($C150,IF(ISNUMBER('Proyecto Datos (OKR´s)'!$F150),'Proyecto Datos (OKR´s)'!$F150,'Proyecto Datos (OKR´s)'!$L150),"")</f>
      </c>
      <c r="I150" s="200">
        <f>IF($C150,'Proyecto Datos (OKR´s)'!$J150,"")</f>
      </c>
      <c r="J150" s="201">
        <f>IF($C150,IF($I150&gt;=1,"Completado",IF($H150&lt;TODAY(),"Vencido",IF(($H150-TODAY())&lt;='Entregas Próximas'!$I$3,"Próximo a vencer","En curso"))),"")</f>
      </c>
      <c r="K150" s="200">
        <f>IF($C150,$H150-TODAY(),"")</f>
      </c>
      <c r="L150" s="200">
        <f>IF($C150,$N150*1000000+$H150+ROW()/100000,"")</f>
      </c>
      <c r="M150" s="200">
        <f>IF($C150,IF('Proyecto Datos (OKR´s)'!$E150="","(Sin sprint)",'Proyecto Datos (OKR´s)'!$E150),"")</f>
      </c>
      <c r="N150" s="200">
        <f>IF($C150,IF('Proyecto Datos (OKR´s)'!$E150="",9999,'Proyecto Datos (OKR´s)'!$E150),"")</f>
      </c>
    </row>
    <row r="151">
      <c r="A151" s="200">
        <f>ROW()</f>
      </c>
      <c r="B151" s="200">
        <f>ISTEXT('Proyecto Datos (OKR´s)'!$K151)</f>
      </c>
      <c r="C151" s="200">
        <f>AND(LEN('Proyecto Datos (OKR´s)'!$G151)&gt;0,NOT($B151),OR(ISNUMBER('Proyecto Datos (OKR´s)'!$F151),ISNUMBER('Proyecto Datos (OKR´s)'!$L151)))</f>
      </c>
      <c r="D151" s="201">
        <f>IF($C151,IFERROR(LOOKUP(2,1/((ISTEXT('Proyecto Datos (OKR´s)'!$K$7:$K151))*(LEN('Proyecto Datos (OKR´s)'!$G$7:$G151)&gt;0)),'Proyecto Datos (OKR´s)'!$G$7:$G151),""),"")</f>
      </c>
      <c r="E151" s="200">
        <f>IF($C151,'Proyecto Datos (OKR´s)'!$E151,"")</f>
      </c>
      <c r="F151" s="201">
        <f>IF($C151,'Proyecto Datos (OKR´s)'!$G151,"")</f>
      </c>
      <c r="G151" s="201">
        <f>IF($C151,IF('Proyecto Datos (OKR´s)'!$I151="","(Sin asignar)",'Proyecto Datos (OKR´s)'!$I151),"")</f>
      </c>
      <c r="H151" s="200">
        <f>IF($C151,IF(ISNUMBER('Proyecto Datos (OKR´s)'!$F151),'Proyecto Datos (OKR´s)'!$F151,'Proyecto Datos (OKR´s)'!$L151),"")</f>
      </c>
      <c r="I151" s="200">
        <f>IF($C151,'Proyecto Datos (OKR´s)'!$J151,"")</f>
      </c>
      <c r="J151" s="201">
        <f>IF($C151,IF($I151&gt;=1,"Completado",IF($H151&lt;TODAY(),"Vencido",IF(($H151-TODAY())&lt;='Entregas Próximas'!$I$3,"Próximo a vencer","En curso"))),"")</f>
      </c>
      <c r="K151" s="200">
        <f>IF($C151,$H151-TODAY(),"")</f>
      </c>
      <c r="L151" s="200">
        <f>IF($C151,$N151*1000000+$H151+ROW()/100000,"")</f>
      </c>
      <c r="M151" s="200">
        <f>IF($C151,IF('Proyecto Datos (OKR´s)'!$E151="","(Sin sprint)",'Proyecto Datos (OKR´s)'!$E151),"")</f>
      </c>
      <c r="N151" s="200">
        <f>IF($C151,IF('Proyecto Datos (OKR´s)'!$E151="",9999,'Proyecto Datos (OKR´s)'!$E151),"")</f>
      </c>
    </row>
    <row r="152">
      <c r="A152" s="200">
        <f>ROW()</f>
      </c>
      <c r="B152" s="200">
        <f>ISTEXT('Proyecto Datos (OKR´s)'!$K152)</f>
      </c>
      <c r="C152" s="200">
        <f>AND(LEN('Proyecto Datos (OKR´s)'!$G152)&gt;0,NOT($B152),OR(ISNUMBER('Proyecto Datos (OKR´s)'!$F152),ISNUMBER('Proyecto Datos (OKR´s)'!$L152)))</f>
      </c>
      <c r="D152" s="201">
        <f>IF($C152,IFERROR(LOOKUP(2,1/((ISTEXT('Proyecto Datos (OKR´s)'!$K$7:$K152))*(LEN('Proyecto Datos (OKR´s)'!$G$7:$G152)&gt;0)),'Proyecto Datos (OKR´s)'!$G$7:$G152),""),"")</f>
      </c>
      <c r="E152" s="200">
        <f>IF($C152,'Proyecto Datos (OKR´s)'!$E152,"")</f>
      </c>
      <c r="F152" s="201">
        <f>IF($C152,'Proyecto Datos (OKR´s)'!$G152,"")</f>
      </c>
      <c r="G152" s="201">
        <f>IF($C152,IF('Proyecto Datos (OKR´s)'!$I152="","(Sin asignar)",'Proyecto Datos (OKR´s)'!$I152),"")</f>
      </c>
      <c r="H152" s="200">
        <f>IF($C152,IF(ISNUMBER('Proyecto Datos (OKR´s)'!$F152),'Proyecto Datos (OKR´s)'!$F152,'Proyecto Datos (OKR´s)'!$L152),"")</f>
      </c>
      <c r="I152" s="200">
        <f>IF($C152,'Proyecto Datos (OKR´s)'!$J152,"")</f>
      </c>
      <c r="J152" s="201">
        <f>IF($C152,IF($I152&gt;=1,"Completado",IF($H152&lt;TODAY(),"Vencido",IF(($H152-TODAY())&lt;='Entregas Próximas'!$I$3,"Próximo a vencer","En curso"))),"")</f>
      </c>
      <c r="K152" s="200">
        <f>IF($C152,$H152-TODAY(),"")</f>
      </c>
      <c r="L152" s="200">
        <f>IF($C152,$N152*1000000+$H152+ROW()/100000,"")</f>
      </c>
      <c r="M152" s="200">
        <f>IF($C152,IF('Proyecto Datos (OKR´s)'!$E152="","(Sin sprint)",'Proyecto Datos (OKR´s)'!$E152),"")</f>
      </c>
      <c r="N152" s="200">
        <f>IF($C152,IF('Proyecto Datos (OKR´s)'!$E152="",9999,'Proyecto Datos (OKR´s)'!$E152),"")</f>
      </c>
    </row>
    <row r="153">
      <c r="A153" s="200">
        <f>ROW()</f>
      </c>
      <c r="B153" s="200">
        <f>ISTEXT('Proyecto Datos (OKR´s)'!$K153)</f>
      </c>
      <c r="C153" s="200">
        <f>AND(LEN('Proyecto Datos (OKR´s)'!$G153)&gt;0,NOT($B153),OR(ISNUMBER('Proyecto Datos (OKR´s)'!$F153),ISNUMBER('Proyecto Datos (OKR´s)'!$L153)))</f>
      </c>
      <c r="D153" s="201">
        <f>IF($C153,IFERROR(LOOKUP(2,1/((ISTEXT('Proyecto Datos (OKR´s)'!$K$7:$K153))*(LEN('Proyecto Datos (OKR´s)'!$G$7:$G153)&gt;0)),'Proyecto Datos (OKR´s)'!$G$7:$G153),""),"")</f>
      </c>
      <c r="E153" s="200">
        <f>IF($C153,'Proyecto Datos (OKR´s)'!$E153,"")</f>
      </c>
      <c r="F153" s="201">
        <f>IF($C153,'Proyecto Datos (OKR´s)'!$G153,"")</f>
      </c>
      <c r="G153" s="201">
        <f>IF($C153,IF('Proyecto Datos (OKR´s)'!$I153="","(Sin asignar)",'Proyecto Datos (OKR´s)'!$I153),"")</f>
      </c>
      <c r="H153" s="200">
        <f>IF($C153,IF(ISNUMBER('Proyecto Datos (OKR´s)'!$F153),'Proyecto Datos (OKR´s)'!$F153,'Proyecto Datos (OKR´s)'!$L153),"")</f>
      </c>
      <c r="I153" s="200">
        <f>IF($C153,'Proyecto Datos (OKR´s)'!$J153,"")</f>
      </c>
      <c r="J153" s="201">
        <f>IF($C153,IF($I153&gt;=1,"Completado",IF($H153&lt;TODAY(),"Vencido",IF(($H153-TODAY())&lt;='Entregas Próximas'!$I$3,"Próximo a vencer","En curso"))),"")</f>
      </c>
      <c r="K153" s="200">
        <f>IF($C153,$H153-TODAY(),"")</f>
      </c>
      <c r="L153" s="200">
        <f>IF($C153,$N153*1000000+$H153+ROW()/100000,"")</f>
      </c>
      <c r="M153" s="200">
        <f>IF($C153,IF('Proyecto Datos (OKR´s)'!$E153="","(Sin sprint)",'Proyecto Datos (OKR´s)'!$E153),"")</f>
      </c>
      <c r="N153" s="200">
        <f>IF($C153,IF('Proyecto Datos (OKR´s)'!$E153="",9999,'Proyecto Datos (OKR´s)'!$E153),"")</f>
      </c>
    </row>
    <row r="154">
      <c r="A154" s="200">
        <f>ROW()</f>
      </c>
      <c r="B154" s="200">
        <f>ISTEXT('Proyecto Datos (OKR´s)'!$K154)</f>
      </c>
      <c r="C154" s="200">
        <f>AND(LEN('Proyecto Datos (OKR´s)'!$G154)&gt;0,NOT($B154),OR(ISNUMBER('Proyecto Datos (OKR´s)'!$F154),ISNUMBER('Proyecto Datos (OKR´s)'!$L154)))</f>
      </c>
      <c r="D154" s="201">
        <f>IF($C154,IFERROR(LOOKUP(2,1/((ISTEXT('Proyecto Datos (OKR´s)'!$K$7:$K154))*(LEN('Proyecto Datos (OKR´s)'!$G$7:$G154)&gt;0)),'Proyecto Datos (OKR´s)'!$G$7:$G154),""),"")</f>
      </c>
      <c r="E154" s="200">
        <f>IF($C154,'Proyecto Datos (OKR´s)'!$E154,"")</f>
      </c>
      <c r="F154" s="201">
        <f>IF($C154,'Proyecto Datos (OKR´s)'!$G154,"")</f>
      </c>
      <c r="G154" s="201">
        <f>IF($C154,IF('Proyecto Datos (OKR´s)'!$I154="","(Sin asignar)",'Proyecto Datos (OKR´s)'!$I154),"")</f>
      </c>
      <c r="H154" s="200">
        <f>IF($C154,IF(ISNUMBER('Proyecto Datos (OKR´s)'!$F154),'Proyecto Datos (OKR´s)'!$F154,'Proyecto Datos (OKR´s)'!$L154),"")</f>
      </c>
      <c r="I154" s="200">
        <f>IF($C154,'Proyecto Datos (OKR´s)'!$J154,"")</f>
      </c>
      <c r="J154" s="201">
        <f>IF($C154,IF($I154&gt;=1,"Completado",IF($H154&lt;TODAY(),"Vencido",IF(($H154-TODAY())&lt;='Entregas Próximas'!$I$3,"Próximo a vencer","En curso"))),"")</f>
      </c>
      <c r="K154" s="200">
        <f>IF($C154,$H154-TODAY(),"")</f>
      </c>
      <c r="L154" s="200">
        <f>IF($C154,$N154*1000000+$H154+ROW()/100000,"")</f>
      </c>
      <c r="M154" s="200">
        <f>IF($C154,IF('Proyecto Datos (OKR´s)'!$E154="","(Sin sprint)",'Proyecto Datos (OKR´s)'!$E154),"")</f>
      </c>
      <c r="N154" s="200">
        <f>IF($C154,IF('Proyecto Datos (OKR´s)'!$E154="",9999,'Proyecto Datos (OKR´s)'!$E154),"")</f>
      </c>
    </row>
    <row r="155">
      <c r="A155" s="200">
        <f>ROW()</f>
      </c>
      <c r="B155" s="200">
        <f>ISTEXT('Proyecto Datos (OKR´s)'!$K155)</f>
      </c>
      <c r="C155" s="200">
        <f>AND(LEN('Proyecto Datos (OKR´s)'!$G155)&gt;0,NOT($B155),OR(ISNUMBER('Proyecto Datos (OKR´s)'!$F155),ISNUMBER('Proyecto Datos (OKR´s)'!$L155)))</f>
      </c>
      <c r="D155" s="201">
        <f>IF($C155,IFERROR(LOOKUP(2,1/((ISTEXT('Proyecto Datos (OKR´s)'!$K$7:$K155))*(LEN('Proyecto Datos (OKR´s)'!$G$7:$G155)&gt;0)),'Proyecto Datos (OKR´s)'!$G$7:$G155),""),"")</f>
      </c>
      <c r="E155" s="200">
        <f>IF($C155,'Proyecto Datos (OKR´s)'!$E155,"")</f>
      </c>
      <c r="F155" s="201">
        <f>IF($C155,'Proyecto Datos (OKR´s)'!$G155,"")</f>
      </c>
      <c r="G155" s="201">
        <f>IF($C155,IF('Proyecto Datos (OKR´s)'!$I155="","(Sin asignar)",'Proyecto Datos (OKR´s)'!$I155),"")</f>
      </c>
      <c r="H155" s="200">
        <f>IF($C155,IF(ISNUMBER('Proyecto Datos (OKR´s)'!$F155),'Proyecto Datos (OKR´s)'!$F155,'Proyecto Datos (OKR´s)'!$L155),"")</f>
      </c>
      <c r="I155" s="200">
        <f>IF($C155,'Proyecto Datos (OKR´s)'!$J155,"")</f>
      </c>
      <c r="J155" s="201">
        <f>IF($C155,IF($I155&gt;=1,"Completado",IF($H155&lt;TODAY(),"Vencido",IF(($H155-TODAY())&lt;='Entregas Próximas'!$I$3,"Próximo a vencer","En curso"))),"")</f>
      </c>
      <c r="K155" s="200">
        <f>IF($C155,$H155-TODAY(),"")</f>
      </c>
      <c r="L155" s="200">
        <f>IF($C155,$N155*1000000+$H155+ROW()/100000,"")</f>
      </c>
      <c r="M155" s="200">
        <f>IF($C155,IF('Proyecto Datos (OKR´s)'!$E155="","(Sin sprint)",'Proyecto Datos (OKR´s)'!$E155),"")</f>
      </c>
      <c r="N155" s="200">
        <f>IF($C155,IF('Proyecto Datos (OKR´s)'!$E155="",9999,'Proyecto Datos (OKR´s)'!$E155),"")</f>
      </c>
    </row>
    <row r="156">
      <c r="A156" s="200">
        <f>ROW()</f>
      </c>
      <c r="B156" s="200">
        <f>ISTEXT('Proyecto Datos (OKR´s)'!$K156)</f>
      </c>
      <c r="C156" s="200">
        <f>AND(LEN('Proyecto Datos (OKR´s)'!$G156)&gt;0,NOT($B156),OR(ISNUMBER('Proyecto Datos (OKR´s)'!$F156),ISNUMBER('Proyecto Datos (OKR´s)'!$L156)))</f>
      </c>
      <c r="D156" s="201">
        <f>IF($C156,IFERROR(LOOKUP(2,1/((ISTEXT('Proyecto Datos (OKR´s)'!$K$7:$K156))*(LEN('Proyecto Datos (OKR´s)'!$G$7:$G156)&gt;0)),'Proyecto Datos (OKR´s)'!$G$7:$G156),""),"")</f>
      </c>
      <c r="E156" s="200">
        <f>IF($C156,'Proyecto Datos (OKR´s)'!$E156,"")</f>
      </c>
      <c r="F156" s="201">
        <f>IF($C156,'Proyecto Datos (OKR´s)'!$G156,"")</f>
      </c>
      <c r="G156" s="201">
        <f>IF($C156,IF('Proyecto Datos (OKR´s)'!$I156="","(Sin asignar)",'Proyecto Datos (OKR´s)'!$I156),"")</f>
      </c>
      <c r="H156" s="200">
        <f>IF($C156,IF(ISNUMBER('Proyecto Datos (OKR´s)'!$F156),'Proyecto Datos (OKR´s)'!$F156,'Proyecto Datos (OKR´s)'!$L156),"")</f>
      </c>
      <c r="I156" s="200">
        <f>IF($C156,'Proyecto Datos (OKR´s)'!$J156,"")</f>
      </c>
      <c r="J156" s="201">
        <f>IF($C156,IF($I156&gt;=1,"Completado",IF($H156&lt;TODAY(),"Vencido",IF(($H156-TODAY())&lt;='Entregas Próximas'!$I$3,"Próximo a vencer","En curso"))),"")</f>
      </c>
      <c r="K156" s="200">
        <f>IF($C156,$H156-TODAY(),"")</f>
      </c>
      <c r="L156" s="200">
        <f>IF($C156,$N156*1000000+$H156+ROW()/100000,"")</f>
      </c>
      <c r="M156" s="200">
        <f>IF($C156,IF('Proyecto Datos (OKR´s)'!$E156="","(Sin sprint)",'Proyecto Datos (OKR´s)'!$E156),"")</f>
      </c>
      <c r="N156" s="200">
        <f>IF($C156,IF('Proyecto Datos (OKR´s)'!$E156="",9999,'Proyecto Datos (OKR´s)'!$E156),"")</f>
      </c>
    </row>
    <row r="157">
      <c r="A157" s="200">
        <f>ROW()</f>
      </c>
      <c r="B157" s="200">
        <f>ISTEXT('Proyecto Datos (OKR´s)'!$K157)</f>
      </c>
      <c r="C157" s="200">
        <f>AND(LEN('Proyecto Datos (OKR´s)'!$G157)&gt;0,NOT($B157),OR(ISNUMBER('Proyecto Datos (OKR´s)'!$F157),ISNUMBER('Proyecto Datos (OKR´s)'!$L157)))</f>
      </c>
      <c r="D157" s="201">
        <f>IF($C157,IFERROR(LOOKUP(2,1/((ISTEXT('Proyecto Datos (OKR´s)'!$K$7:$K157))*(LEN('Proyecto Datos (OKR´s)'!$G$7:$G157)&gt;0)),'Proyecto Datos (OKR´s)'!$G$7:$G157),""),"")</f>
      </c>
      <c r="E157" s="200">
        <f>IF($C157,'Proyecto Datos (OKR´s)'!$E157,"")</f>
      </c>
      <c r="F157" s="201">
        <f>IF($C157,'Proyecto Datos (OKR´s)'!$G157,"")</f>
      </c>
      <c r="G157" s="201">
        <f>IF($C157,IF('Proyecto Datos (OKR´s)'!$I157="","(Sin asignar)",'Proyecto Datos (OKR´s)'!$I157),"")</f>
      </c>
      <c r="H157" s="200">
        <f>IF($C157,IF(ISNUMBER('Proyecto Datos (OKR´s)'!$F157),'Proyecto Datos (OKR´s)'!$F157,'Proyecto Datos (OKR´s)'!$L157),"")</f>
      </c>
      <c r="I157" s="200">
        <f>IF($C157,'Proyecto Datos (OKR´s)'!$J157,"")</f>
      </c>
      <c r="J157" s="201">
        <f>IF($C157,IF($I157&gt;=1,"Completado",IF($H157&lt;TODAY(),"Vencido",IF(($H157-TODAY())&lt;='Entregas Próximas'!$I$3,"Próximo a vencer","En curso"))),"")</f>
      </c>
      <c r="K157" s="200">
        <f>IF($C157,$H157-TODAY(),"")</f>
      </c>
      <c r="L157" s="200">
        <f>IF($C157,$N157*1000000+$H157+ROW()/100000,"")</f>
      </c>
      <c r="M157" s="200">
        <f>IF($C157,IF('Proyecto Datos (OKR´s)'!$E157="","(Sin sprint)",'Proyecto Datos (OKR´s)'!$E157),"")</f>
      </c>
      <c r="N157" s="200">
        <f>IF($C157,IF('Proyecto Datos (OKR´s)'!$E157="",9999,'Proyecto Datos (OKR´s)'!$E157),"")</f>
      </c>
    </row>
    <row r="158">
      <c r="A158" s="200">
        <f>ROW()</f>
      </c>
      <c r="B158" s="200">
        <f>ISTEXT('Proyecto Datos (OKR´s)'!$K158)</f>
      </c>
      <c r="C158" s="200">
        <f>AND(LEN('Proyecto Datos (OKR´s)'!$G158)&gt;0,NOT($B158),OR(ISNUMBER('Proyecto Datos (OKR´s)'!$F158),ISNUMBER('Proyecto Datos (OKR´s)'!$L158)))</f>
      </c>
      <c r="D158" s="201">
        <f>IF($C158,IFERROR(LOOKUP(2,1/((ISTEXT('Proyecto Datos (OKR´s)'!$K$7:$K158))*(LEN('Proyecto Datos (OKR´s)'!$G$7:$G158)&gt;0)),'Proyecto Datos (OKR´s)'!$G$7:$G158),""),"")</f>
      </c>
      <c r="E158" s="200">
        <f>IF($C158,'Proyecto Datos (OKR´s)'!$E158,"")</f>
      </c>
      <c r="F158" s="201">
        <f>IF($C158,'Proyecto Datos (OKR´s)'!$G158,"")</f>
      </c>
      <c r="G158" s="201">
        <f>IF($C158,IF('Proyecto Datos (OKR´s)'!$I158="","(Sin asignar)",'Proyecto Datos (OKR´s)'!$I158),"")</f>
      </c>
      <c r="H158" s="200">
        <f>IF($C158,IF(ISNUMBER('Proyecto Datos (OKR´s)'!$F158),'Proyecto Datos (OKR´s)'!$F158,'Proyecto Datos (OKR´s)'!$L158),"")</f>
      </c>
      <c r="I158" s="200">
        <f>IF($C158,'Proyecto Datos (OKR´s)'!$J158,"")</f>
      </c>
      <c r="J158" s="201">
        <f>IF($C158,IF($I158&gt;=1,"Completado",IF($H158&lt;TODAY(),"Vencido",IF(($H158-TODAY())&lt;='Entregas Próximas'!$I$3,"Próximo a vencer","En curso"))),"")</f>
      </c>
      <c r="K158" s="200">
        <f>IF($C158,$H158-TODAY(),"")</f>
      </c>
      <c r="L158" s="200">
        <f>IF($C158,$N158*1000000+$H158+ROW()/100000,"")</f>
      </c>
      <c r="M158" s="200">
        <f>IF($C158,IF('Proyecto Datos (OKR´s)'!$E158="","(Sin sprint)",'Proyecto Datos (OKR´s)'!$E158),"")</f>
      </c>
      <c r="N158" s="200">
        <f>IF($C158,IF('Proyecto Datos (OKR´s)'!$E158="",9999,'Proyecto Datos (OKR´s)'!$E158),"")</f>
      </c>
    </row>
    <row r="159">
      <c r="A159" s="200">
        <f>ROW()</f>
      </c>
      <c r="B159" s="200">
        <f>ISTEXT('Proyecto Datos (OKR´s)'!$K159)</f>
      </c>
      <c r="C159" s="200">
        <f>AND(LEN('Proyecto Datos (OKR´s)'!$G159)&gt;0,NOT($B159),OR(ISNUMBER('Proyecto Datos (OKR´s)'!$F159),ISNUMBER('Proyecto Datos (OKR´s)'!$L159)))</f>
      </c>
      <c r="D159" s="201">
        <f>IF($C159,IFERROR(LOOKUP(2,1/((ISTEXT('Proyecto Datos (OKR´s)'!$K$7:$K159))*(LEN('Proyecto Datos (OKR´s)'!$G$7:$G159)&gt;0)),'Proyecto Datos (OKR´s)'!$G$7:$G159),""),"")</f>
      </c>
      <c r="E159" s="200">
        <f>IF($C159,'Proyecto Datos (OKR´s)'!$E159,"")</f>
      </c>
      <c r="F159" s="201">
        <f>IF($C159,'Proyecto Datos (OKR´s)'!$G159,"")</f>
      </c>
      <c r="G159" s="201">
        <f>IF($C159,IF('Proyecto Datos (OKR´s)'!$I159="","(Sin asignar)",'Proyecto Datos (OKR´s)'!$I159),"")</f>
      </c>
      <c r="H159" s="200">
        <f>IF($C159,IF(ISNUMBER('Proyecto Datos (OKR´s)'!$F159),'Proyecto Datos (OKR´s)'!$F159,'Proyecto Datos (OKR´s)'!$L159),"")</f>
      </c>
      <c r="I159" s="200">
        <f>IF($C159,'Proyecto Datos (OKR´s)'!$J159,"")</f>
      </c>
      <c r="J159" s="201">
        <f>IF($C159,IF($I159&gt;=1,"Completado",IF($H159&lt;TODAY(),"Vencido",IF(($H159-TODAY())&lt;='Entregas Próximas'!$I$3,"Próximo a vencer","En curso"))),"")</f>
      </c>
      <c r="K159" s="200">
        <f>IF($C159,$H159-TODAY(),"")</f>
      </c>
      <c r="L159" s="200">
        <f>IF($C159,$N159*1000000+$H159+ROW()/100000,"")</f>
      </c>
      <c r="M159" s="200">
        <f>IF($C159,IF('Proyecto Datos (OKR´s)'!$E159="","(Sin sprint)",'Proyecto Datos (OKR´s)'!$E159),"")</f>
      </c>
      <c r="N159" s="200">
        <f>IF($C159,IF('Proyecto Datos (OKR´s)'!$E159="",9999,'Proyecto Datos (OKR´s)'!$E159),"")</f>
      </c>
    </row>
    <row r="160">
      <c r="A160" s="200">
        <f>ROW()</f>
      </c>
      <c r="B160" s="200">
        <f>ISTEXT('Proyecto Datos (OKR´s)'!$K160)</f>
      </c>
      <c r="C160" s="200">
        <f>AND(LEN('Proyecto Datos (OKR´s)'!$G160)&gt;0,NOT($B160),OR(ISNUMBER('Proyecto Datos (OKR´s)'!$F160),ISNUMBER('Proyecto Datos (OKR´s)'!$L160)))</f>
      </c>
      <c r="D160" s="201">
        <f>IF($C160,IFERROR(LOOKUP(2,1/((ISTEXT('Proyecto Datos (OKR´s)'!$K$7:$K160))*(LEN('Proyecto Datos (OKR´s)'!$G$7:$G160)&gt;0)),'Proyecto Datos (OKR´s)'!$G$7:$G160),""),"")</f>
      </c>
      <c r="E160" s="200">
        <f>IF($C160,'Proyecto Datos (OKR´s)'!$E160,"")</f>
      </c>
      <c r="F160" s="201">
        <f>IF($C160,'Proyecto Datos (OKR´s)'!$G160,"")</f>
      </c>
      <c r="G160" s="201">
        <f>IF($C160,IF('Proyecto Datos (OKR´s)'!$I160="","(Sin asignar)",'Proyecto Datos (OKR´s)'!$I160),"")</f>
      </c>
      <c r="H160" s="200">
        <f>IF($C160,IF(ISNUMBER('Proyecto Datos (OKR´s)'!$F160),'Proyecto Datos (OKR´s)'!$F160,'Proyecto Datos (OKR´s)'!$L160),"")</f>
      </c>
      <c r="I160" s="200">
        <f>IF($C160,'Proyecto Datos (OKR´s)'!$J160,"")</f>
      </c>
      <c r="J160" s="201">
        <f>IF($C160,IF($I160&gt;=1,"Completado",IF($H160&lt;TODAY(),"Vencido",IF(($H160-TODAY())&lt;='Entregas Próximas'!$I$3,"Próximo a vencer","En curso"))),"")</f>
      </c>
      <c r="K160" s="200">
        <f>IF($C160,$H160-TODAY(),"")</f>
      </c>
      <c r="L160" s="200">
        <f>IF($C160,$N160*1000000+$H160+ROW()/100000,"")</f>
      </c>
      <c r="M160" s="200">
        <f>IF($C160,IF('Proyecto Datos (OKR´s)'!$E160="","(Sin sprint)",'Proyecto Datos (OKR´s)'!$E160),"")</f>
      </c>
      <c r="N160" s="200">
        <f>IF($C160,IF('Proyecto Datos (OKR´s)'!$E160="",9999,'Proyecto Datos (OKR´s)'!$E160),"")</f>
      </c>
    </row>
    <row r="161">
      <c r="A161" s="200">
        <f>ROW()</f>
      </c>
      <c r="B161" s="200">
        <f>ISTEXT('Proyecto Datos (OKR´s)'!$K161)</f>
      </c>
      <c r="C161" s="200">
        <f>AND(LEN('Proyecto Datos (OKR´s)'!$G161)&gt;0,NOT($B161),OR(ISNUMBER('Proyecto Datos (OKR´s)'!$F161),ISNUMBER('Proyecto Datos (OKR´s)'!$L161)))</f>
      </c>
      <c r="D161" s="201">
        <f>IF($C161,IFERROR(LOOKUP(2,1/((ISTEXT('Proyecto Datos (OKR´s)'!$K$7:$K161))*(LEN('Proyecto Datos (OKR´s)'!$G$7:$G161)&gt;0)),'Proyecto Datos (OKR´s)'!$G$7:$G161),""),"")</f>
      </c>
      <c r="E161" s="200">
        <f>IF($C161,'Proyecto Datos (OKR´s)'!$E161,"")</f>
      </c>
      <c r="F161" s="201">
        <f>IF($C161,'Proyecto Datos (OKR´s)'!$G161,"")</f>
      </c>
      <c r="G161" s="201">
        <f>IF($C161,IF('Proyecto Datos (OKR´s)'!$I161="","(Sin asignar)",'Proyecto Datos (OKR´s)'!$I161),"")</f>
      </c>
      <c r="H161" s="200">
        <f>IF($C161,IF(ISNUMBER('Proyecto Datos (OKR´s)'!$F161),'Proyecto Datos (OKR´s)'!$F161,'Proyecto Datos (OKR´s)'!$L161),"")</f>
      </c>
      <c r="I161" s="200">
        <f>IF($C161,'Proyecto Datos (OKR´s)'!$J161,"")</f>
      </c>
      <c r="J161" s="201">
        <f>IF($C161,IF($I161&gt;=1,"Completado",IF($H161&lt;TODAY(),"Vencido",IF(($H161-TODAY())&lt;='Entregas Próximas'!$I$3,"Próximo a vencer","En curso"))),"")</f>
      </c>
      <c r="K161" s="200">
        <f>IF($C161,$H161-TODAY(),"")</f>
      </c>
      <c r="L161" s="200">
        <f>IF($C161,$N161*1000000+$H161+ROW()/100000,"")</f>
      </c>
      <c r="M161" s="200">
        <f>IF($C161,IF('Proyecto Datos (OKR´s)'!$E161="","(Sin sprint)",'Proyecto Datos (OKR´s)'!$E161),"")</f>
      </c>
      <c r="N161" s="200">
        <f>IF($C161,IF('Proyecto Datos (OKR´s)'!$E161="",9999,'Proyecto Datos (OKR´s)'!$E161),"")</f>
      </c>
    </row>
    <row r="162">
      <c r="A162" s="200">
        <f>ROW()</f>
      </c>
      <c r="B162" s="200">
        <f>ISTEXT('Proyecto Datos (OKR´s)'!$K162)</f>
      </c>
      <c r="C162" s="200">
        <f>AND(LEN('Proyecto Datos (OKR´s)'!$G162)&gt;0,NOT($B162),OR(ISNUMBER('Proyecto Datos (OKR´s)'!$F162),ISNUMBER('Proyecto Datos (OKR´s)'!$L162)))</f>
      </c>
      <c r="D162" s="201">
        <f>IF($C162,IFERROR(LOOKUP(2,1/((ISTEXT('Proyecto Datos (OKR´s)'!$K$7:$K162))*(LEN('Proyecto Datos (OKR´s)'!$G$7:$G162)&gt;0)),'Proyecto Datos (OKR´s)'!$G$7:$G162),""),"")</f>
      </c>
      <c r="E162" s="200">
        <f>IF($C162,'Proyecto Datos (OKR´s)'!$E162,"")</f>
      </c>
      <c r="F162" s="201">
        <f>IF($C162,'Proyecto Datos (OKR´s)'!$G162,"")</f>
      </c>
      <c r="G162" s="201">
        <f>IF($C162,IF('Proyecto Datos (OKR´s)'!$I162="","(Sin asignar)",'Proyecto Datos (OKR´s)'!$I162),"")</f>
      </c>
      <c r="H162" s="200">
        <f>IF($C162,IF(ISNUMBER('Proyecto Datos (OKR´s)'!$F162),'Proyecto Datos (OKR´s)'!$F162,'Proyecto Datos (OKR´s)'!$L162),"")</f>
      </c>
      <c r="I162" s="200">
        <f>IF($C162,'Proyecto Datos (OKR´s)'!$J162,"")</f>
      </c>
      <c r="J162" s="201">
        <f>IF($C162,IF($I162&gt;=1,"Completado",IF($H162&lt;TODAY(),"Vencido",IF(($H162-TODAY())&lt;='Entregas Próximas'!$I$3,"Próximo a vencer","En curso"))),"")</f>
      </c>
      <c r="K162" s="200">
        <f>IF($C162,$H162-TODAY(),"")</f>
      </c>
      <c r="L162" s="200">
        <f>IF($C162,$N162*1000000+$H162+ROW()/100000,"")</f>
      </c>
      <c r="M162" s="200">
        <f>IF($C162,IF('Proyecto Datos (OKR´s)'!$E162="","(Sin sprint)",'Proyecto Datos (OKR´s)'!$E162),"")</f>
      </c>
      <c r="N162" s="200">
        <f>IF($C162,IF('Proyecto Datos (OKR´s)'!$E162="",9999,'Proyecto Datos (OKR´s)'!$E162),"")</f>
      </c>
    </row>
    <row r="163">
      <c r="A163" s="200">
        <f>ROW()</f>
      </c>
      <c r="B163" s="200">
        <f>ISTEXT('Proyecto Datos (OKR´s)'!$K163)</f>
      </c>
      <c r="C163" s="200">
        <f>AND(LEN('Proyecto Datos (OKR´s)'!$G163)&gt;0,NOT($B163),OR(ISNUMBER('Proyecto Datos (OKR´s)'!$F163),ISNUMBER('Proyecto Datos (OKR´s)'!$L163)))</f>
      </c>
      <c r="D163" s="201">
        <f>IF($C163,IFERROR(LOOKUP(2,1/((ISTEXT('Proyecto Datos (OKR´s)'!$K$7:$K163))*(LEN('Proyecto Datos (OKR´s)'!$G$7:$G163)&gt;0)),'Proyecto Datos (OKR´s)'!$G$7:$G163),""),"")</f>
      </c>
      <c r="E163" s="200">
        <f>IF($C163,'Proyecto Datos (OKR´s)'!$E163,"")</f>
      </c>
      <c r="F163" s="201">
        <f>IF($C163,'Proyecto Datos (OKR´s)'!$G163,"")</f>
      </c>
      <c r="G163" s="201">
        <f>IF($C163,IF('Proyecto Datos (OKR´s)'!$I163="","(Sin asignar)",'Proyecto Datos (OKR´s)'!$I163),"")</f>
      </c>
      <c r="H163" s="200">
        <f>IF($C163,IF(ISNUMBER('Proyecto Datos (OKR´s)'!$F163),'Proyecto Datos (OKR´s)'!$F163,'Proyecto Datos (OKR´s)'!$L163),"")</f>
      </c>
      <c r="I163" s="200">
        <f>IF($C163,'Proyecto Datos (OKR´s)'!$J163,"")</f>
      </c>
      <c r="J163" s="201">
        <f>IF($C163,IF($I163&gt;=1,"Completado",IF($H163&lt;TODAY(),"Vencido",IF(($H163-TODAY())&lt;='Entregas Próximas'!$I$3,"Próximo a vencer","En curso"))),"")</f>
      </c>
      <c r="K163" s="200">
        <f>IF($C163,$H163-TODAY(),"")</f>
      </c>
      <c r="L163" s="200">
        <f>IF($C163,$N163*1000000+$H163+ROW()/100000,"")</f>
      </c>
      <c r="M163" s="200">
        <f>IF($C163,IF('Proyecto Datos (OKR´s)'!$E163="","(Sin sprint)",'Proyecto Datos (OKR´s)'!$E163),"")</f>
      </c>
      <c r="N163" s="200">
        <f>IF($C163,IF('Proyecto Datos (OKR´s)'!$E163="",9999,'Proyecto Datos (OKR´s)'!$E163),"")</f>
      </c>
    </row>
    <row r="164">
      <c r="A164" s="200">
        <f>ROW()</f>
      </c>
      <c r="B164" s="200">
        <f>ISTEXT('Proyecto Datos (OKR´s)'!$K164)</f>
      </c>
      <c r="C164" s="200">
        <f>AND(LEN('Proyecto Datos (OKR´s)'!$G164)&gt;0,NOT($B164),OR(ISNUMBER('Proyecto Datos (OKR´s)'!$F164),ISNUMBER('Proyecto Datos (OKR´s)'!$L164)))</f>
      </c>
      <c r="D164" s="201">
        <f>IF($C164,IFERROR(LOOKUP(2,1/((ISTEXT('Proyecto Datos (OKR´s)'!$K$7:$K164))*(LEN('Proyecto Datos (OKR´s)'!$G$7:$G164)&gt;0)),'Proyecto Datos (OKR´s)'!$G$7:$G164),""),"")</f>
      </c>
      <c r="E164" s="200">
        <f>IF($C164,'Proyecto Datos (OKR´s)'!$E164,"")</f>
      </c>
      <c r="F164" s="201">
        <f>IF($C164,'Proyecto Datos (OKR´s)'!$G164,"")</f>
      </c>
      <c r="G164" s="201">
        <f>IF($C164,IF('Proyecto Datos (OKR´s)'!$I164="","(Sin asignar)",'Proyecto Datos (OKR´s)'!$I164),"")</f>
      </c>
      <c r="H164" s="200">
        <f>IF($C164,IF(ISNUMBER('Proyecto Datos (OKR´s)'!$F164),'Proyecto Datos (OKR´s)'!$F164,'Proyecto Datos (OKR´s)'!$L164),"")</f>
      </c>
      <c r="I164" s="200">
        <f>IF($C164,'Proyecto Datos (OKR´s)'!$J164,"")</f>
      </c>
      <c r="J164" s="201">
        <f>IF($C164,IF($I164&gt;=1,"Completado",IF($H164&lt;TODAY(),"Vencido",IF(($H164-TODAY())&lt;='Entregas Próximas'!$I$3,"Próximo a vencer","En curso"))),"")</f>
      </c>
      <c r="K164" s="200">
        <f>IF($C164,$H164-TODAY(),"")</f>
      </c>
      <c r="L164" s="200">
        <f>IF($C164,$N164*1000000+$H164+ROW()/100000,"")</f>
      </c>
      <c r="M164" s="200">
        <f>IF($C164,IF('Proyecto Datos (OKR´s)'!$E164="","(Sin sprint)",'Proyecto Datos (OKR´s)'!$E164),"")</f>
      </c>
      <c r="N164" s="200">
        <f>IF($C164,IF('Proyecto Datos (OKR´s)'!$E164="",9999,'Proyecto Datos (OKR´s)'!$E164),"")</f>
      </c>
    </row>
    <row r="165">
      <c r="A165" s="200">
        <f>ROW()</f>
      </c>
      <c r="B165" s="200">
        <f>ISTEXT('Proyecto Datos (OKR´s)'!$K165)</f>
      </c>
      <c r="C165" s="200">
        <f>AND(LEN('Proyecto Datos (OKR´s)'!$G165)&gt;0,NOT($B165),OR(ISNUMBER('Proyecto Datos (OKR´s)'!$F165),ISNUMBER('Proyecto Datos (OKR´s)'!$L165)))</f>
      </c>
      <c r="D165" s="201">
        <f>IF($C165,IFERROR(LOOKUP(2,1/((ISTEXT('Proyecto Datos (OKR´s)'!$K$7:$K165))*(LEN('Proyecto Datos (OKR´s)'!$G$7:$G165)&gt;0)),'Proyecto Datos (OKR´s)'!$G$7:$G165),""),"")</f>
      </c>
      <c r="E165" s="200">
        <f>IF($C165,'Proyecto Datos (OKR´s)'!$E165,"")</f>
      </c>
      <c r="F165" s="201">
        <f>IF($C165,'Proyecto Datos (OKR´s)'!$G165,"")</f>
      </c>
      <c r="G165" s="201">
        <f>IF($C165,IF('Proyecto Datos (OKR´s)'!$I165="","(Sin asignar)",'Proyecto Datos (OKR´s)'!$I165),"")</f>
      </c>
      <c r="H165" s="200">
        <f>IF($C165,IF(ISNUMBER('Proyecto Datos (OKR´s)'!$F165),'Proyecto Datos (OKR´s)'!$F165,'Proyecto Datos (OKR´s)'!$L165),"")</f>
      </c>
      <c r="I165" s="200">
        <f>IF($C165,'Proyecto Datos (OKR´s)'!$J165,"")</f>
      </c>
      <c r="J165" s="201">
        <f>IF($C165,IF($I165&gt;=1,"Completado",IF($H165&lt;TODAY(),"Vencido",IF(($H165-TODAY())&lt;='Entregas Próximas'!$I$3,"Próximo a vencer","En curso"))),"")</f>
      </c>
      <c r="K165" s="200">
        <f>IF($C165,$H165-TODAY(),"")</f>
      </c>
      <c r="L165" s="200">
        <f>IF($C165,$N165*1000000+$H165+ROW()/100000,"")</f>
      </c>
      <c r="M165" s="200">
        <f>IF($C165,IF('Proyecto Datos (OKR´s)'!$E165="","(Sin sprint)",'Proyecto Datos (OKR´s)'!$E165),"")</f>
      </c>
      <c r="N165" s="200">
        <f>IF($C165,IF('Proyecto Datos (OKR´s)'!$E165="",9999,'Proyecto Datos (OKR´s)'!$E165),"")</f>
      </c>
    </row>
    <row r="166">
      <c r="A166" s="200">
        <f>ROW()</f>
      </c>
      <c r="B166" s="200">
        <f>ISTEXT('Proyecto Datos (OKR´s)'!$K166)</f>
      </c>
      <c r="C166" s="200">
        <f>AND(LEN('Proyecto Datos (OKR´s)'!$G166)&gt;0,NOT($B166),OR(ISNUMBER('Proyecto Datos (OKR´s)'!$F166),ISNUMBER('Proyecto Datos (OKR´s)'!$L166)))</f>
      </c>
      <c r="D166" s="201">
        <f>IF($C166,IFERROR(LOOKUP(2,1/((ISTEXT('Proyecto Datos (OKR´s)'!$K$7:$K166))*(LEN('Proyecto Datos (OKR´s)'!$G$7:$G166)&gt;0)),'Proyecto Datos (OKR´s)'!$G$7:$G166),""),"")</f>
      </c>
      <c r="E166" s="200">
        <f>IF($C166,'Proyecto Datos (OKR´s)'!$E166,"")</f>
      </c>
      <c r="F166" s="201">
        <f>IF($C166,'Proyecto Datos (OKR´s)'!$G166,"")</f>
      </c>
      <c r="G166" s="201">
        <f>IF($C166,IF('Proyecto Datos (OKR´s)'!$I166="","(Sin asignar)",'Proyecto Datos (OKR´s)'!$I166),"")</f>
      </c>
      <c r="H166" s="200">
        <f>IF($C166,IF(ISNUMBER('Proyecto Datos (OKR´s)'!$F166),'Proyecto Datos (OKR´s)'!$F166,'Proyecto Datos (OKR´s)'!$L166),"")</f>
      </c>
      <c r="I166" s="200">
        <f>IF($C166,'Proyecto Datos (OKR´s)'!$J166,"")</f>
      </c>
      <c r="J166" s="201">
        <f>IF($C166,IF($I166&gt;=1,"Completado",IF($H166&lt;TODAY(),"Vencido",IF(($H166-TODAY())&lt;='Entregas Próximas'!$I$3,"Próximo a vencer","En curso"))),"")</f>
      </c>
      <c r="K166" s="200">
        <f>IF($C166,$H166-TODAY(),"")</f>
      </c>
      <c r="L166" s="200">
        <f>IF($C166,$N166*1000000+$H166+ROW()/100000,"")</f>
      </c>
      <c r="M166" s="200">
        <f>IF($C166,IF('Proyecto Datos (OKR´s)'!$E166="","(Sin sprint)",'Proyecto Datos (OKR´s)'!$E166),"")</f>
      </c>
      <c r="N166" s="200">
        <f>IF($C166,IF('Proyecto Datos (OKR´s)'!$E166="",9999,'Proyecto Datos (OKR´s)'!$E166),"")</f>
      </c>
    </row>
    <row r="167">
      <c r="A167" s="200">
        <f>ROW()</f>
      </c>
      <c r="B167" s="200">
        <f>ISTEXT('Proyecto Datos (OKR´s)'!$K167)</f>
      </c>
      <c r="C167" s="200">
        <f>AND(LEN('Proyecto Datos (OKR´s)'!$G167)&gt;0,NOT($B167),OR(ISNUMBER('Proyecto Datos (OKR´s)'!$F167),ISNUMBER('Proyecto Datos (OKR´s)'!$L167)))</f>
      </c>
      <c r="D167" s="201">
        <f>IF($C167,IFERROR(LOOKUP(2,1/((ISTEXT('Proyecto Datos (OKR´s)'!$K$7:$K167))*(LEN('Proyecto Datos (OKR´s)'!$G$7:$G167)&gt;0)),'Proyecto Datos (OKR´s)'!$G$7:$G167),""),"")</f>
      </c>
      <c r="E167" s="200">
        <f>IF($C167,'Proyecto Datos (OKR´s)'!$E167,"")</f>
      </c>
      <c r="F167" s="201">
        <f>IF($C167,'Proyecto Datos (OKR´s)'!$G167,"")</f>
      </c>
      <c r="G167" s="201">
        <f>IF($C167,IF('Proyecto Datos (OKR´s)'!$I167="","(Sin asignar)",'Proyecto Datos (OKR´s)'!$I167),"")</f>
      </c>
      <c r="H167" s="200">
        <f>IF($C167,IF(ISNUMBER('Proyecto Datos (OKR´s)'!$F167),'Proyecto Datos (OKR´s)'!$F167,'Proyecto Datos (OKR´s)'!$L167),"")</f>
      </c>
      <c r="I167" s="200">
        <f>IF($C167,'Proyecto Datos (OKR´s)'!$J167,"")</f>
      </c>
      <c r="J167" s="201">
        <f>IF($C167,IF($I167&gt;=1,"Completado",IF($H167&lt;TODAY(),"Vencido",IF(($H167-TODAY())&lt;='Entregas Próximas'!$I$3,"Próximo a vencer","En curso"))),"")</f>
      </c>
      <c r="K167" s="200">
        <f>IF($C167,$H167-TODAY(),"")</f>
      </c>
      <c r="L167" s="200">
        <f>IF($C167,$N167*1000000+$H167+ROW()/100000,"")</f>
      </c>
      <c r="M167" s="200">
        <f>IF($C167,IF('Proyecto Datos (OKR´s)'!$E167="","(Sin sprint)",'Proyecto Datos (OKR´s)'!$E167),"")</f>
      </c>
      <c r="N167" s="200">
        <f>IF($C167,IF('Proyecto Datos (OKR´s)'!$E167="",9999,'Proyecto Datos (OKR´s)'!$E167),"")</f>
      </c>
    </row>
    <row r="168">
      <c r="A168" s="200">
        <f>ROW()</f>
      </c>
      <c r="B168" s="200">
        <f>ISTEXT('Proyecto Datos (OKR´s)'!$K168)</f>
      </c>
      <c r="C168" s="200">
        <f>AND(LEN('Proyecto Datos (OKR´s)'!$G168)&gt;0,NOT($B168),OR(ISNUMBER('Proyecto Datos (OKR´s)'!$F168),ISNUMBER('Proyecto Datos (OKR´s)'!$L168)))</f>
      </c>
      <c r="D168" s="201">
        <f>IF($C168,IFERROR(LOOKUP(2,1/((ISTEXT('Proyecto Datos (OKR´s)'!$K$7:$K168))*(LEN('Proyecto Datos (OKR´s)'!$G$7:$G168)&gt;0)),'Proyecto Datos (OKR´s)'!$G$7:$G168),""),"")</f>
      </c>
      <c r="E168" s="200">
        <f>IF($C168,'Proyecto Datos (OKR´s)'!$E168,"")</f>
      </c>
      <c r="F168" s="201">
        <f>IF($C168,'Proyecto Datos (OKR´s)'!$G168,"")</f>
      </c>
      <c r="G168" s="201">
        <f>IF($C168,IF('Proyecto Datos (OKR´s)'!$I168="","(Sin asignar)",'Proyecto Datos (OKR´s)'!$I168),"")</f>
      </c>
      <c r="H168" s="200">
        <f>IF($C168,IF(ISNUMBER('Proyecto Datos (OKR´s)'!$F168),'Proyecto Datos (OKR´s)'!$F168,'Proyecto Datos (OKR´s)'!$L168),"")</f>
      </c>
      <c r="I168" s="200">
        <f>IF($C168,'Proyecto Datos (OKR´s)'!$J168,"")</f>
      </c>
      <c r="J168" s="201">
        <f>IF($C168,IF($I168&gt;=1,"Completado",IF($H168&lt;TODAY(),"Vencido",IF(($H168-TODAY())&lt;='Entregas Próximas'!$I$3,"Próximo a vencer","En curso"))),"")</f>
      </c>
      <c r="K168" s="200">
        <f>IF($C168,$H168-TODAY(),"")</f>
      </c>
      <c r="L168" s="200">
        <f>IF($C168,$N168*1000000+$H168+ROW()/100000,"")</f>
      </c>
      <c r="M168" s="200">
        <f>IF($C168,IF('Proyecto Datos (OKR´s)'!$E168="","(Sin sprint)",'Proyecto Datos (OKR´s)'!$E168),"")</f>
      </c>
      <c r="N168" s="200">
        <f>IF($C168,IF('Proyecto Datos (OKR´s)'!$E168="",9999,'Proyecto Datos (OKR´s)'!$E168),"")</f>
      </c>
    </row>
    <row r="169">
      <c r="A169" s="200">
        <f>ROW()</f>
      </c>
      <c r="B169" s="200">
        <f>ISTEXT('Proyecto Datos (OKR´s)'!$K169)</f>
      </c>
      <c r="C169" s="200">
        <f>AND(LEN('Proyecto Datos (OKR´s)'!$G169)&gt;0,NOT($B169),OR(ISNUMBER('Proyecto Datos (OKR´s)'!$F169),ISNUMBER('Proyecto Datos (OKR´s)'!$L169)))</f>
      </c>
      <c r="D169" s="201">
        <f>IF($C169,IFERROR(LOOKUP(2,1/((ISTEXT('Proyecto Datos (OKR´s)'!$K$7:$K169))*(LEN('Proyecto Datos (OKR´s)'!$G$7:$G169)&gt;0)),'Proyecto Datos (OKR´s)'!$G$7:$G169),""),"")</f>
      </c>
      <c r="E169" s="200">
        <f>IF($C169,'Proyecto Datos (OKR´s)'!$E169,"")</f>
      </c>
      <c r="F169" s="201">
        <f>IF($C169,'Proyecto Datos (OKR´s)'!$G169,"")</f>
      </c>
      <c r="G169" s="201">
        <f>IF($C169,IF('Proyecto Datos (OKR´s)'!$I169="","(Sin asignar)",'Proyecto Datos (OKR´s)'!$I169),"")</f>
      </c>
      <c r="H169" s="200">
        <f>IF($C169,IF(ISNUMBER('Proyecto Datos (OKR´s)'!$F169),'Proyecto Datos (OKR´s)'!$F169,'Proyecto Datos (OKR´s)'!$L169),"")</f>
      </c>
      <c r="I169" s="200">
        <f>IF($C169,'Proyecto Datos (OKR´s)'!$J169,"")</f>
      </c>
      <c r="J169" s="201">
        <f>IF($C169,IF($I169&gt;=1,"Completado",IF($H169&lt;TODAY(),"Vencido",IF(($H169-TODAY())&lt;='Entregas Próximas'!$I$3,"Próximo a vencer","En curso"))),"")</f>
      </c>
      <c r="K169" s="200">
        <f>IF($C169,$H169-TODAY(),"")</f>
      </c>
      <c r="L169" s="200">
        <f>IF($C169,$N169*1000000+$H169+ROW()/100000,"")</f>
      </c>
      <c r="M169" s="200">
        <f>IF($C169,IF('Proyecto Datos (OKR´s)'!$E169="","(Sin sprint)",'Proyecto Datos (OKR´s)'!$E169),"")</f>
      </c>
      <c r="N169" s="200">
        <f>IF($C169,IF('Proyecto Datos (OKR´s)'!$E169="",9999,'Proyecto Datos (OKR´s)'!$E169),"")</f>
      </c>
    </row>
    <row r="170">
      <c r="A170" s="200">
        <f>ROW()</f>
      </c>
      <c r="B170" s="200">
        <f>ISTEXT('Proyecto Datos (OKR´s)'!$K170)</f>
      </c>
      <c r="C170" s="200">
        <f>AND(LEN('Proyecto Datos (OKR´s)'!$G170)&gt;0,NOT($B170),OR(ISNUMBER('Proyecto Datos (OKR´s)'!$F170),ISNUMBER('Proyecto Datos (OKR´s)'!$L170)))</f>
      </c>
      <c r="D170" s="201">
        <f>IF($C170,IFERROR(LOOKUP(2,1/((ISTEXT('Proyecto Datos (OKR´s)'!$K$7:$K170))*(LEN('Proyecto Datos (OKR´s)'!$G$7:$G170)&gt;0)),'Proyecto Datos (OKR´s)'!$G$7:$G170),""),"")</f>
      </c>
      <c r="E170" s="200">
        <f>IF($C170,'Proyecto Datos (OKR´s)'!$E170,"")</f>
      </c>
      <c r="F170" s="201">
        <f>IF($C170,'Proyecto Datos (OKR´s)'!$G170,"")</f>
      </c>
      <c r="G170" s="201">
        <f>IF($C170,IF('Proyecto Datos (OKR´s)'!$I170="","(Sin asignar)",'Proyecto Datos (OKR´s)'!$I170),"")</f>
      </c>
      <c r="H170" s="200">
        <f>IF($C170,IF(ISNUMBER('Proyecto Datos (OKR´s)'!$F170),'Proyecto Datos (OKR´s)'!$F170,'Proyecto Datos (OKR´s)'!$L170),"")</f>
      </c>
      <c r="I170" s="200">
        <f>IF($C170,'Proyecto Datos (OKR´s)'!$J170,"")</f>
      </c>
      <c r="J170" s="201">
        <f>IF($C170,IF($I170&gt;=1,"Completado",IF($H170&lt;TODAY(),"Vencido",IF(($H170-TODAY())&lt;='Entregas Próximas'!$I$3,"Próximo a vencer","En curso"))),"")</f>
      </c>
      <c r="K170" s="200">
        <f>IF($C170,$H170-TODAY(),"")</f>
      </c>
      <c r="L170" s="200">
        <f>IF($C170,$N170*1000000+$H170+ROW()/100000,"")</f>
      </c>
      <c r="M170" s="200">
        <f>IF($C170,IF('Proyecto Datos (OKR´s)'!$E170="","(Sin sprint)",'Proyecto Datos (OKR´s)'!$E170),"")</f>
      </c>
      <c r="N170" s="200">
        <f>IF($C170,IF('Proyecto Datos (OKR´s)'!$E170="",9999,'Proyecto Datos (OKR´s)'!$E170),"")</f>
      </c>
    </row>
    <row r="171">
      <c r="A171" s="200">
        <f>ROW()</f>
      </c>
      <c r="B171" s="200">
        <f>ISTEXT('Proyecto Datos (OKR´s)'!$K171)</f>
      </c>
      <c r="C171" s="200">
        <f>AND(LEN('Proyecto Datos (OKR´s)'!$G171)&gt;0,NOT($B171),OR(ISNUMBER('Proyecto Datos (OKR´s)'!$F171),ISNUMBER('Proyecto Datos (OKR´s)'!$L171)))</f>
      </c>
      <c r="D171" s="201">
        <f>IF($C171,IFERROR(LOOKUP(2,1/((ISTEXT('Proyecto Datos (OKR´s)'!$K$7:$K171))*(LEN('Proyecto Datos (OKR´s)'!$G$7:$G171)&gt;0)),'Proyecto Datos (OKR´s)'!$G$7:$G171),""),"")</f>
      </c>
      <c r="E171" s="200">
        <f>IF($C171,'Proyecto Datos (OKR´s)'!$E171,"")</f>
      </c>
      <c r="F171" s="201">
        <f>IF($C171,'Proyecto Datos (OKR´s)'!$G171,"")</f>
      </c>
      <c r="G171" s="201">
        <f>IF($C171,IF('Proyecto Datos (OKR´s)'!$I171="","(Sin asignar)",'Proyecto Datos (OKR´s)'!$I171),"")</f>
      </c>
      <c r="H171" s="200">
        <f>IF($C171,IF(ISNUMBER('Proyecto Datos (OKR´s)'!$F171),'Proyecto Datos (OKR´s)'!$F171,'Proyecto Datos (OKR´s)'!$L171),"")</f>
      </c>
      <c r="I171" s="200">
        <f>IF($C171,'Proyecto Datos (OKR´s)'!$J171,"")</f>
      </c>
      <c r="J171" s="201">
        <f>IF($C171,IF($I171&gt;=1,"Completado",IF($H171&lt;TODAY(),"Vencido",IF(($H171-TODAY())&lt;='Entregas Próximas'!$I$3,"Próximo a vencer","En curso"))),"")</f>
      </c>
      <c r="K171" s="200">
        <f>IF($C171,$H171-TODAY(),"")</f>
      </c>
      <c r="L171" s="200">
        <f>IF($C171,$N171*1000000+$H171+ROW()/100000,"")</f>
      </c>
      <c r="M171" s="200">
        <f>IF($C171,IF('Proyecto Datos (OKR´s)'!$E171="","(Sin sprint)",'Proyecto Datos (OKR´s)'!$E171),"")</f>
      </c>
      <c r="N171" s="200">
        <f>IF($C171,IF('Proyecto Datos (OKR´s)'!$E171="",9999,'Proyecto Datos (OKR´s)'!$E171),"")</f>
      </c>
    </row>
    <row r="172">
      <c r="A172" s="200">
        <f>ROW()</f>
      </c>
      <c r="B172" s="200">
        <f>ISTEXT('Proyecto Datos (OKR´s)'!$K172)</f>
      </c>
      <c r="C172" s="200">
        <f>AND(LEN('Proyecto Datos (OKR´s)'!$G172)&gt;0,NOT($B172),OR(ISNUMBER('Proyecto Datos (OKR´s)'!$F172),ISNUMBER('Proyecto Datos (OKR´s)'!$L172)))</f>
      </c>
      <c r="D172" s="201">
        <f>IF($C172,IFERROR(LOOKUP(2,1/((ISTEXT('Proyecto Datos (OKR´s)'!$K$7:$K172))*(LEN('Proyecto Datos (OKR´s)'!$G$7:$G172)&gt;0)),'Proyecto Datos (OKR´s)'!$G$7:$G172),""),"")</f>
      </c>
      <c r="E172" s="200">
        <f>IF($C172,'Proyecto Datos (OKR´s)'!$E172,"")</f>
      </c>
      <c r="F172" s="201">
        <f>IF($C172,'Proyecto Datos (OKR´s)'!$G172,"")</f>
      </c>
      <c r="G172" s="201">
        <f>IF($C172,IF('Proyecto Datos (OKR´s)'!$I172="","(Sin asignar)",'Proyecto Datos (OKR´s)'!$I172),"")</f>
      </c>
      <c r="H172" s="200">
        <f>IF($C172,IF(ISNUMBER('Proyecto Datos (OKR´s)'!$F172),'Proyecto Datos (OKR´s)'!$F172,'Proyecto Datos (OKR´s)'!$L172),"")</f>
      </c>
      <c r="I172" s="200">
        <f>IF($C172,'Proyecto Datos (OKR´s)'!$J172,"")</f>
      </c>
      <c r="J172" s="201">
        <f>IF($C172,IF($I172&gt;=1,"Completado",IF($H172&lt;TODAY(),"Vencido",IF(($H172-TODAY())&lt;='Entregas Próximas'!$I$3,"Próximo a vencer","En curso"))),"")</f>
      </c>
      <c r="K172" s="200">
        <f>IF($C172,$H172-TODAY(),"")</f>
      </c>
      <c r="L172" s="200">
        <f>IF($C172,$N172*1000000+$H172+ROW()/100000,"")</f>
      </c>
      <c r="M172" s="200">
        <f>IF($C172,IF('Proyecto Datos (OKR´s)'!$E172="","(Sin sprint)",'Proyecto Datos (OKR´s)'!$E172),"")</f>
      </c>
      <c r="N172" s="200">
        <f>IF($C172,IF('Proyecto Datos (OKR´s)'!$E172="",9999,'Proyecto Datos (OKR´s)'!$E172),"")</f>
      </c>
    </row>
    <row r="173">
      <c r="A173" s="200">
        <f>ROW()</f>
      </c>
      <c r="B173" s="200">
        <f>ISTEXT('Proyecto Datos (OKR´s)'!$K173)</f>
      </c>
      <c r="C173" s="200">
        <f>AND(LEN('Proyecto Datos (OKR´s)'!$G173)&gt;0,NOT($B173),OR(ISNUMBER('Proyecto Datos (OKR´s)'!$F173),ISNUMBER('Proyecto Datos (OKR´s)'!$L173)))</f>
      </c>
      <c r="D173" s="201">
        <f>IF($C173,IFERROR(LOOKUP(2,1/((ISTEXT('Proyecto Datos (OKR´s)'!$K$7:$K173))*(LEN('Proyecto Datos (OKR´s)'!$G$7:$G173)&gt;0)),'Proyecto Datos (OKR´s)'!$G$7:$G173),""),"")</f>
      </c>
      <c r="E173" s="200">
        <f>IF($C173,'Proyecto Datos (OKR´s)'!$E173,"")</f>
      </c>
      <c r="F173" s="201">
        <f>IF($C173,'Proyecto Datos (OKR´s)'!$G173,"")</f>
      </c>
      <c r="G173" s="201">
        <f>IF($C173,IF('Proyecto Datos (OKR´s)'!$I173="","(Sin asignar)",'Proyecto Datos (OKR´s)'!$I173),"")</f>
      </c>
      <c r="H173" s="200">
        <f>IF($C173,IF(ISNUMBER('Proyecto Datos (OKR´s)'!$F173),'Proyecto Datos (OKR´s)'!$F173,'Proyecto Datos (OKR´s)'!$L173),"")</f>
      </c>
      <c r="I173" s="200">
        <f>IF($C173,'Proyecto Datos (OKR´s)'!$J173,"")</f>
      </c>
      <c r="J173" s="201">
        <f>IF($C173,IF($I173&gt;=1,"Completado",IF($H173&lt;TODAY(),"Vencido",IF(($H173-TODAY())&lt;='Entregas Próximas'!$I$3,"Próximo a vencer","En curso"))),"")</f>
      </c>
      <c r="K173" s="200">
        <f>IF($C173,$H173-TODAY(),"")</f>
      </c>
      <c r="L173" s="200">
        <f>IF($C173,$N173*1000000+$H173+ROW()/100000,"")</f>
      </c>
      <c r="M173" s="200">
        <f>IF($C173,IF('Proyecto Datos (OKR´s)'!$E173="","(Sin sprint)",'Proyecto Datos (OKR´s)'!$E173),"")</f>
      </c>
      <c r="N173" s="200">
        <f>IF($C173,IF('Proyecto Datos (OKR´s)'!$E173="",9999,'Proyecto Datos (OKR´s)'!$E173),"")</f>
      </c>
    </row>
    <row r="174">
      <c r="A174" s="200">
        <f>ROW()</f>
      </c>
      <c r="B174" s="200">
        <f>ISTEXT('Proyecto Datos (OKR´s)'!$K174)</f>
      </c>
      <c r="C174" s="200">
        <f>AND(LEN('Proyecto Datos (OKR´s)'!$G174)&gt;0,NOT($B174),OR(ISNUMBER('Proyecto Datos (OKR´s)'!$F174),ISNUMBER('Proyecto Datos (OKR´s)'!$L174)))</f>
      </c>
      <c r="D174" s="201">
        <f>IF($C174,IFERROR(LOOKUP(2,1/((ISTEXT('Proyecto Datos (OKR´s)'!$K$7:$K174))*(LEN('Proyecto Datos (OKR´s)'!$G$7:$G174)&gt;0)),'Proyecto Datos (OKR´s)'!$G$7:$G174),""),"")</f>
      </c>
      <c r="E174" s="200">
        <f>IF($C174,'Proyecto Datos (OKR´s)'!$E174,"")</f>
      </c>
      <c r="F174" s="201">
        <f>IF($C174,'Proyecto Datos (OKR´s)'!$G174,"")</f>
      </c>
      <c r="G174" s="201">
        <f>IF($C174,IF('Proyecto Datos (OKR´s)'!$I174="","(Sin asignar)",'Proyecto Datos (OKR´s)'!$I174),"")</f>
      </c>
      <c r="H174" s="200">
        <f>IF($C174,IF(ISNUMBER('Proyecto Datos (OKR´s)'!$F174),'Proyecto Datos (OKR´s)'!$F174,'Proyecto Datos (OKR´s)'!$L174),"")</f>
      </c>
      <c r="I174" s="200">
        <f>IF($C174,'Proyecto Datos (OKR´s)'!$J174,"")</f>
      </c>
      <c r="J174" s="201">
        <f>IF($C174,IF($I174&gt;=1,"Completado",IF($H174&lt;TODAY(),"Vencido",IF(($H174-TODAY())&lt;='Entregas Próximas'!$I$3,"Próximo a vencer","En curso"))),"")</f>
      </c>
      <c r="K174" s="200">
        <f>IF($C174,$H174-TODAY(),"")</f>
      </c>
      <c r="L174" s="200">
        <f>IF($C174,$N174*1000000+$H174+ROW()/100000,"")</f>
      </c>
      <c r="M174" s="200">
        <f>IF($C174,IF('Proyecto Datos (OKR´s)'!$E174="","(Sin sprint)",'Proyecto Datos (OKR´s)'!$E174),"")</f>
      </c>
      <c r="N174" s="200">
        <f>IF($C174,IF('Proyecto Datos (OKR´s)'!$E174="",9999,'Proyecto Datos (OKR´s)'!$E174),"")</f>
      </c>
    </row>
    <row r="175">
      <c r="A175" s="200">
        <f>ROW()</f>
      </c>
      <c r="B175" s="200">
        <f>ISTEXT('Proyecto Datos (OKR´s)'!$K175)</f>
      </c>
      <c r="C175" s="200">
        <f>AND(LEN('Proyecto Datos (OKR´s)'!$G175)&gt;0,NOT($B175),OR(ISNUMBER('Proyecto Datos (OKR´s)'!$F175),ISNUMBER('Proyecto Datos (OKR´s)'!$L175)))</f>
      </c>
      <c r="D175" s="201">
        <f>IF($C175,IFERROR(LOOKUP(2,1/((ISTEXT('Proyecto Datos (OKR´s)'!$K$7:$K175))*(LEN('Proyecto Datos (OKR´s)'!$G$7:$G175)&gt;0)),'Proyecto Datos (OKR´s)'!$G$7:$G175),""),"")</f>
      </c>
      <c r="E175" s="200">
        <f>IF($C175,'Proyecto Datos (OKR´s)'!$E175,"")</f>
      </c>
      <c r="F175" s="201">
        <f>IF($C175,'Proyecto Datos (OKR´s)'!$G175,"")</f>
      </c>
      <c r="G175" s="201">
        <f>IF($C175,IF('Proyecto Datos (OKR´s)'!$I175="","(Sin asignar)",'Proyecto Datos (OKR´s)'!$I175),"")</f>
      </c>
      <c r="H175" s="200">
        <f>IF($C175,IF(ISNUMBER('Proyecto Datos (OKR´s)'!$F175),'Proyecto Datos (OKR´s)'!$F175,'Proyecto Datos (OKR´s)'!$L175),"")</f>
      </c>
      <c r="I175" s="200">
        <f>IF($C175,'Proyecto Datos (OKR´s)'!$J175,"")</f>
      </c>
      <c r="J175" s="201">
        <f>IF($C175,IF($I175&gt;=1,"Completado",IF($H175&lt;TODAY(),"Vencido",IF(($H175-TODAY())&lt;='Entregas Próximas'!$I$3,"Próximo a vencer","En curso"))),"")</f>
      </c>
      <c r="K175" s="200">
        <f>IF($C175,$H175-TODAY(),"")</f>
      </c>
      <c r="L175" s="200">
        <f>IF($C175,$N175*1000000+$H175+ROW()/100000,"")</f>
      </c>
      <c r="M175" s="200">
        <f>IF($C175,IF('Proyecto Datos (OKR´s)'!$E175="","(Sin sprint)",'Proyecto Datos (OKR´s)'!$E175),"")</f>
      </c>
      <c r="N175" s="200">
        <f>IF($C175,IF('Proyecto Datos (OKR´s)'!$E175="",9999,'Proyecto Datos (OKR´s)'!$E175),"")</f>
      </c>
    </row>
    <row r="176">
      <c r="A176" s="200">
        <f>ROW()</f>
      </c>
      <c r="B176" s="200">
        <f>ISTEXT('Proyecto Datos (OKR´s)'!$K176)</f>
      </c>
      <c r="C176" s="200">
        <f>AND(LEN('Proyecto Datos (OKR´s)'!$G176)&gt;0,NOT($B176),OR(ISNUMBER('Proyecto Datos (OKR´s)'!$F176),ISNUMBER('Proyecto Datos (OKR´s)'!$L176)))</f>
      </c>
      <c r="D176" s="201">
        <f>IF($C176,IFERROR(LOOKUP(2,1/((ISTEXT('Proyecto Datos (OKR´s)'!$K$7:$K176))*(LEN('Proyecto Datos (OKR´s)'!$G$7:$G176)&gt;0)),'Proyecto Datos (OKR´s)'!$G$7:$G176),""),"")</f>
      </c>
      <c r="E176" s="200">
        <f>IF($C176,'Proyecto Datos (OKR´s)'!$E176,"")</f>
      </c>
      <c r="F176" s="201">
        <f>IF($C176,'Proyecto Datos (OKR´s)'!$G176,"")</f>
      </c>
      <c r="G176" s="201">
        <f>IF($C176,IF('Proyecto Datos (OKR´s)'!$I176="","(Sin asignar)",'Proyecto Datos (OKR´s)'!$I176),"")</f>
      </c>
      <c r="H176" s="200">
        <f>IF($C176,IF(ISNUMBER('Proyecto Datos (OKR´s)'!$F176),'Proyecto Datos (OKR´s)'!$F176,'Proyecto Datos (OKR´s)'!$L176),"")</f>
      </c>
      <c r="I176" s="200">
        <f>IF($C176,'Proyecto Datos (OKR´s)'!$J176,"")</f>
      </c>
      <c r="J176" s="201">
        <f>IF($C176,IF($I176&gt;=1,"Completado",IF($H176&lt;TODAY(),"Vencido",IF(($H176-TODAY())&lt;='Entregas Próximas'!$I$3,"Próximo a vencer","En curso"))),"")</f>
      </c>
      <c r="K176" s="200">
        <f>IF($C176,$H176-TODAY(),"")</f>
      </c>
      <c r="L176" s="200">
        <f>IF($C176,$N176*1000000+$H176+ROW()/100000,"")</f>
      </c>
      <c r="M176" s="200">
        <f>IF($C176,IF('Proyecto Datos (OKR´s)'!$E176="","(Sin sprint)",'Proyecto Datos (OKR´s)'!$E176),"")</f>
      </c>
      <c r="N176" s="200">
        <f>IF($C176,IF('Proyecto Datos (OKR´s)'!$E176="",9999,'Proyecto Datos (OKR´s)'!$E176),"")</f>
      </c>
    </row>
    <row r="177">
      <c r="A177" s="200">
        <f>ROW()</f>
      </c>
      <c r="B177" s="200">
        <f>ISTEXT('Proyecto Datos (OKR´s)'!$K177)</f>
      </c>
      <c r="C177" s="200">
        <f>AND(LEN('Proyecto Datos (OKR´s)'!$G177)&gt;0,NOT($B177),OR(ISNUMBER('Proyecto Datos (OKR´s)'!$F177),ISNUMBER('Proyecto Datos (OKR´s)'!$L177)))</f>
      </c>
      <c r="D177" s="201">
        <f>IF($C177,IFERROR(LOOKUP(2,1/((ISTEXT('Proyecto Datos (OKR´s)'!$K$7:$K177))*(LEN('Proyecto Datos (OKR´s)'!$G$7:$G177)&gt;0)),'Proyecto Datos (OKR´s)'!$G$7:$G177),""),"")</f>
      </c>
      <c r="E177" s="200">
        <f>IF($C177,'Proyecto Datos (OKR´s)'!$E177,"")</f>
      </c>
      <c r="F177" s="201">
        <f>IF($C177,'Proyecto Datos (OKR´s)'!$G177,"")</f>
      </c>
      <c r="G177" s="201">
        <f>IF($C177,IF('Proyecto Datos (OKR´s)'!$I177="","(Sin asignar)",'Proyecto Datos (OKR´s)'!$I177),"")</f>
      </c>
      <c r="H177" s="200">
        <f>IF($C177,IF(ISNUMBER('Proyecto Datos (OKR´s)'!$F177),'Proyecto Datos (OKR´s)'!$F177,'Proyecto Datos (OKR´s)'!$L177),"")</f>
      </c>
      <c r="I177" s="200">
        <f>IF($C177,'Proyecto Datos (OKR´s)'!$J177,"")</f>
      </c>
      <c r="J177" s="201">
        <f>IF($C177,IF($I177&gt;=1,"Completado",IF($H177&lt;TODAY(),"Vencido",IF(($H177-TODAY())&lt;='Entregas Próximas'!$I$3,"Próximo a vencer","En curso"))),"")</f>
      </c>
      <c r="K177" s="200">
        <f>IF($C177,$H177-TODAY(),"")</f>
      </c>
      <c r="L177" s="200">
        <f>IF($C177,$N177*1000000+$H177+ROW()/100000,"")</f>
      </c>
      <c r="M177" s="200">
        <f>IF($C177,IF('Proyecto Datos (OKR´s)'!$E177="","(Sin sprint)",'Proyecto Datos (OKR´s)'!$E177),"")</f>
      </c>
      <c r="N177" s="200">
        <f>IF($C177,IF('Proyecto Datos (OKR´s)'!$E177="",9999,'Proyecto Datos (OKR´s)'!$E177),"")</f>
      </c>
    </row>
    <row r="178">
      <c r="A178" s="200">
        <f>ROW()</f>
      </c>
      <c r="B178" s="200">
        <f>ISTEXT('Proyecto Datos (OKR´s)'!$K178)</f>
      </c>
      <c r="C178" s="200">
        <f>AND(LEN('Proyecto Datos (OKR´s)'!$G178)&gt;0,NOT($B178),OR(ISNUMBER('Proyecto Datos (OKR´s)'!$F178),ISNUMBER('Proyecto Datos (OKR´s)'!$L178)))</f>
      </c>
      <c r="D178" s="201">
        <f>IF($C178,IFERROR(LOOKUP(2,1/((ISTEXT('Proyecto Datos (OKR´s)'!$K$7:$K178))*(LEN('Proyecto Datos (OKR´s)'!$G$7:$G178)&gt;0)),'Proyecto Datos (OKR´s)'!$G$7:$G178),""),"")</f>
      </c>
      <c r="E178" s="200">
        <f>IF($C178,'Proyecto Datos (OKR´s)'!$E178,"")</f>
      </c>
      <c r="F178" s="201">
        <f>IF($C178,'Proyecto Datos (OKR´s)'!$G178,"")</f>
      </c>
      <c r="G178" s="201">
        <f>IF($C178,IF('Proyecto Datos (OKR´s)'!$I178="","(Sin asignar)",'Proyecto Datos (OKR´s)'!$I178),"")</f>
      </c>
      <c r="H178" s="200">
        <f>IF($C178,IF(ISNUMBER('Proyecto Datos (OKR´s)'!$F178),'Proyecto Datos (OKR´s)'!$F178,'Proyecto Datos (OKR´s)'!$L178),"")</f>
      </c>
      <c r="I178" s="200">
        <f>IF($C178,'Proyecto Datos (OKR´s)'!$J178,"")</f>
      </c>
      <c r="J178" s="201">
        <f>IF($C178,IF($I178&gt;=1,"Completado",IF($H178&lt;TODAY(),"Vencido",IF(($H178-TODAY())&lt;='Entregas Próximas'!$I$3,"Próximo a vencer","En curso"))),"")</f>
      </c>
      <c r="K178" s="200">
        <f>IF($C178,$H178-TODAY(),"")</f>
      </c>
      <c r="L178" s="200">
        <f>IF($C178,$N178*1000000+$H178+ROW()/100000,"")</f>
      </c>
      <c r="M178" s="200">
        <f>IF($C178,IF('Proyecto Datos (OKR´s)'!$E178="","(Sin sprint)",'Proyecto Datos (OKR´s)'!$E178),"")</f>
      </c>
      <c r="N178" s="200">
        <f>IF($C178,IF('Proyecto Datos (OKR´s)'!$E178="",9999,'Proyecto Datos (OKR´s)'!$E178),"")</f>
      </c>
    </row>
    <row r="179">
      <c r="A179" s="200">
        <f>ROW()</f>
      </c>
      <c r="B179" s="200">
        <f>ISTEXT('Proyecto Datos (OKR´s)'!$K179)</f>
      </c>
      <c r="C179" s="200">
        <f>AND(LEN('Proyecto Datos (OKR´s)'!$G179)&gt;0,NOT($B179),OR(ISNUMBER('Proyecto Datos (OKR´s)'!$F179),ISNUMBER('Proyecto Datos (OKR´s)'!$L179)))</f>
      </c>
      <c r="D179" s="201">
        <f>IF($C179,IFERROR(LOOKUP(2,1/((ISTEXT('Proyecto Datos (OKR´s)'!$K$7:$K179))*(LEN('Proyecto Datos (OKR´s)'!$G$7:$G179)&gt;0)),'Proyecto Datos (OKR´s)'!$G$7:$G179),""),"")</f>
      </c>
      <c r="E179" s="200">
        <f>IF($C179,'Proyecto Datos (OKR´s)'!$E179,"")</f>
      </c>
      <c r="F179" s="201">
        <f>IF($C179,'Proyecto Datos (OKR´s)'!$G179,"")</f>
      </c>
      <c r="G179" s="201">
        <f>IF($C179,IF('Proyecto Datos (OKR´s)'!$I179="","(Sin asignar)",'Proyecto Datos (OKR´s)'!$I179),"")</f>
      </c>
      <c r="H179" s="200">
        <f>IF($C179,IF(ISNUMBER('Proyecto Datos (OKR´s)'!$F179),'Proyecto Datos (OKR´s)'!$F179,'Proyecto Datos (OKR´s)'!$L179),"")</f>
      </c>
      <c r="I179" s="200">
        <f>IF($C179,'Proyecto Datos (OKR´s)'!$J179,"")</f>
      </c>
      <c r="J179" s="201">
        <f>IF($C179,IF($I179&gt;=1,"Completado",IF($H179&lt;TODAY(),"Vencido",IF(($H179-TODAY())&lt;='Entregas Próximas'!$I$3,"Próximo a vencer","En curso"))),"")</f>
      </c>
      <c r="K179" s="200">
        <f>IF($C179,$H179-TODAY(),"")</f>
      </c>
      <c r="L179" s="200">
        <f>IF($C179,$N179*1000000+$H179+ROW()/100000,"")</f>
      </c>
      <c r="M179" s="200">
        <f>IF($C179,IF('Proyecto Datos (OKR´s)'!$E179="","(Sin sprint)",'Proyecto Datos (OKR´s)'!$E179),"")</f>
      </c>
      <c r="N179" s="200">
        <f>IF($C179,IF('Proyecto Datos (OKR´s)'!$E179="",9999,'Proyecto Datos (OKR´s)'!$E179),"")</f>
      </c>
    </row>
    <row r="180">
      <c r="A180" s="200">
        <f>ROW()</f>
      </c>
      <c r="B180" s="200">
        <f>ISTEXT('Proyecto Datos (OKR´s)'!$K180)</f>
      </c>
      <c r="C180" s="200">
        <f>AND(LEN('Proyecto Datos (OKR´s)'!$G180)&gt;0,NOT($B180),OR(ISNUMBER('Proyecto Datos (OKR´s)'!$F180),ISNUMBER('Proyecto Datos (OKR´s)'!$L180)))</f>
      </c>
      <c r="D180" s="201">
        <f>IF($C180,IFERROR(LOOKUP(2,1/((ISTEXT('Proyecto Datos (OKR´s)'!$K$7:$K180))*(LEN('Proyecto Datos (OKR´s)'!$G$7:$G180)&gt;0)),'Proyecto Datos (OKR´s)'!$G$7:$G180),""),"")</f>
      </c>
      <c r="E180" s="200">
        <f>IF($C180,'Proyecto Datos (OKR´s)'!$E180,"")</f>
      </c>
      <c r="F180" s="201">
        <f>IF($C180,'Proyecto Datos (OKR´s)'!$G180,"")</f>
      </c>
      <c r="G180" s="201">
        <f>IF($C180,IF('Proyecto Datos (OKR´s)'!$I180="","(Sin asignar)",'Proyecto Datos (OKR´s)'!$I180),"")</f>
      </c>
      <c r="H180" s="200">
        <f>IF($C180,IF(ISNUMBER('Proyecto Datos (OKR´s)'!$F180),'Proyecto Datos (OKR´s)'!$F180,'Proyecto Datos (OKR´s)'!$L180),"")</f>
      </c>
      <c r="I180" s="200">
        <f>IF($C180,'Proyecto Datos (OKR´s)'!$J180,"")</f>
      </c>
      <c r="J180" s="201">
        <f>IF($C180,IF($I180&gt;=1,"Completado",IF($H180&lt;TODAY(),"Vencido",IF(($H180-TODAY())&lt;='Entregas Próximas'!$I$3,"Próximo a vencer","En curso"))),"")</f>
      </c>
      <c r="K180" s="200">
        <f>IF($C180,$H180-TODAY(),"")</f>
      </c>
      <c r="L180" s="200">
        <f>IF($C180,$N180*1000000+$H180+ROW()/100000,"")</f>
      </c>
      <c r="M180" s="200">
        <f>IF($C180,IF('Proyecto Datos (OKR´s)'!$E180="","(Sin sprint)",'Proyecto Datos (OKR´s)'!$E180),"")</f>
      </c>
      <c r="N180" s="200">
        <f>IF($C180,IF('Proyecto Datos (OKR´s)'!$E180="",9999,'Proyecto Datos (OKR´s)'!$E180),"")</f>
      </c>
    </row>
    <row r="181">
      <c r="A181" s="200">
        <f>ROW()</f>
      </c>
      <c r="B181" s="200">
        <f>ISTEXT('Proyecto Datos (OKR´s)'!$K181)</f>
      </c>
      <c r="C181" s="200">
        <f>AND(LEN('Proyecto Datos (OKR´s)'!$G181)&gt;0,NOT($B181),OR(ISNUMBER('Proyecto Datos (OKR´s)'!$F181),ISNUMBER('Proyecto Datos (OKR´s)'!$L181)))</f>
      </c>
      <c r="D181" s="201">
        <f>IF($C181,IFERROR(LOOKUP(2,1/((ISTEXT('Proyecto Datos (OKR´s)'!$K$7:$K181))*(LEN('Proyecto Datos (OKR´s)'!$G$7:$G181)&gt;0)),'Proyecto Datos (OKR´s)'!$G$7:$G181),""),"")</f>
      </c>
      <c r="E181" s="200">
        <f>IF($C181,'Proyecto Datos (OKR´s)'!$E181,"")</f>
      </c>
      <c r="F181" s="201">
        <f>IF($C181,'Proyecto Datos (OKR´s)'!$G181,"")</f>
      </c>
      <c r="G181" s="201">
        <f>IF($C181,IF('Proyecto Datos (OKR´s)'!$I181="","(Sin asignar)",'Proyecto Datos (OKR´s)'!$I181),"")</f>
      </c>
      <c r="H181" s="200">
        <f>IF($C181,IF(ISNUMBER('Proyecto Datos (OKR´s)'!$F181),'Proyecto Datos (OKR´s)'!$F181,'Proyecto Datos (OKR´s)'!$L181),"")</f>
      </c>
      <c r="I181" s="200">
        <f>IF($C181,'Proyecto Datos (OKR´s)'!$J181,"")</f>
      </c>
      <c r="J181" s="201">
        <f>IF($C181,IF($I181&gt;=1,"Completado",IF($H181&lt;TODAY(),"Vencido",IF(($H181-TODAY())&lt;='Entregas Próximas'!$I$3,"Próximo a vencer","En curso"))),"")</f>
      </c>
      <c r="K181" s="200">
        <f>IF($C181,$H181-TODAY(),"")</f>
      </c>
      <c r="L181" s="200">
        <f>IF($C181,$N181*1000000+$H181+ROW()/100000,"")</f>
      </c>
      <c r="M181" s="200">
        <f>IF($C181,IF('Proyecto Datos (OKR´s)'!$E181="","(Sin sprint)",'Proyecto Datos (OKR´s)'!$E181),"")</f>
      </c>
      <c r="N181" s="200">
        <f>IF($C181,IF('Proyecto Datos (OKR´s)'!$E181="",9999,'Proyecto Datos (OKR´s)'!$E181),"")</f>
      </c>
    </row>
    <row r="182">
      <c r="A182" s="200">
        <f>ROW()</f>
      </c>
      <c r="B182" s="200">
        <f>ISTEXT('Proyecto Datos (OKR´s)'!$K182)</f>
      </c>
      <c r="C182" s="200">
        <f>AND(LEN('Proyecto Datos (OKR´s)'!$G182)&gt;0,NOT($B182),OR(ISNUMBER('Proyecto Datos (OKR´s)'!$F182),ISNUMBER('Proyecto Datos (OKR´s)'!$L182)))</f>
      </c>
      <c r="D182" s="201">
        <f>IF($C182,IFERROR(LOOKUP(2,1/((ISTEXT('Proyecto Datos (OKR´s)'!$K$7:$K182))*(LEN('Proyecto Datos (OKR´s)'!$G$7:$G182)&gt;0)),'Proyecto Datos (OKR´s)'!$G$7:$G182),""),"")</f>
      </c>
      <c r="E182" s="200">
        <f>IF($C182,'Proyecto Datos (OKR´s)'!$E182,"")</f>
      </c>
      <c r="F182" s="201">
        <f>IF($C182,'Proyecto Datos (OKR´s)'!$G182,"")</f>
      </c>
      <c r="G182" s="201">
        <f>IF($C182,IF('Proyecto Datos (OKR´s)'!$I182="","(Sin asignar)",'Proyecto Datos (OKR´s)'!$I182),"")</f>
      </c>
      <c r="H182" s="200">
        <f>IF($C182,IF(ISNUMBER('Proyecto Datos (OKR´s)'!$F182),'Proyecto Datos (OKR´s)'!$F182,'Proyecto Datos (OKR´s)'!$L182),"")</f>
      </c>
      <c r="I182" s="200">
        <f>IF($C182,'Proyecto Datos (OKR´s)'!$J182,"")</f>
      </c>
      <c r="J182" s="201">
        <f>IF($C182,IF($I182&gt;=1,"Completado",IF($H182&lt;TODAY(),"Vencido",IF(($H182-TODAY())&lt;='Entregas Próximas'!$I$3,"Próximo a vencer","En curso"))),"")</f>
      </c>
      <c r="K182" s="200">
        <f>IF($C182,$H182-TODAY(),"")</f>
      </c>
      <c r="L182" s="200">
        <f>IF($C182,$N182*1000000+$H182+ROW()/100000,"")</f>
      </c>
      <c r="M182" s="200">
        <f>IF($C182,IF('Proyecto Datos (OKR´s)'!$E182="","(Sin sprint)",'Proyecto Datos (OKR´s)'!$E182),"")</f>
      </c>
      <c r="N182" s="200">
        <f>IF($C182,IF('Proyecto Datos (OKR´s)'!$E182="",9999,'Proyecto Datos (OKR´s)'!$E182),"")</f>
      </c>
    </row>
    <row r="183">
      <c r="A183" s="200">
        <f>ROW()</f>
      </c>
      <c r="B183" s="200">
        <f>ISTEXT('Proyecto Datos (OKR´s)'!$K183)</f>
      </c>
      <c r="C183" s="200">
        <f>AND(LEN('Proyecto Datos (OKR´s)'!$G183)&gt;0,NOT($B183),OR(ISNUMBER('Proyecto Datos (OKR´s)'!$F183),ISNUMBER('Proyecto Datos (OKR´s)'!$L183)))</f>
      </c>
      <c r="D183" s="201">
        <f>IF($C183,IFERROR(LOOKUP(2,1/((ISTEXT('Proyecto Datos (OKR´s)'!$K$7:$K183))*(LEN('Proyecto Datos (OKR´s)'!$G$7:$G183)&gt;0)),'Proyecto Datos (OKR´s)'!$G$7:$G183),""),"")</f>
      </c>
      <c r="E183" s="200">
        <f>IF($C183,'Proyecto Datos (OKR´s)'!$E183,"")</f>
      </c>
      <c r="F183" s="201">
        <f>IF($C183,'Proyecto Datos (OKR´s)'!$G183,"")</f>
      </c>
      <c r="G183" s="201">
        <f>IF($C183,IF('Proyecto Datos (OKR´s)'!$I183="","(Sin asignar)",'Proyecto Datos (OKR´s)'!$I183),"")</f>
      </c>
      <c r="H183" s="200">
        <f>IF($C183,IF(ISNUMBER('Proyecto Datos (OKR´s)'!$F183),'Proyecto Datos (OKR´s)'!$F183,'Proyecto Datos (OKR´s)'!$L183),"")</f>
      </c>
      <c r="I183" s="200">
        <f>IF($C183,'Proyecto Datos (OKR´s)'!$J183,"")</f>
      </c>
      <c r="J183" s="201">
        <f>IF($C183,IF($I183&gt;=1,"Completado",IF($H183&lt;TODAY(),"Vencido",IF(($H183-TODAY())&lt;='Entregas Próximas'!$I$3,"Próximo a vencer","En curso"))),"")</f>
      </c>
      <c r="K183" s="200">
        <f>IF($C183,$H183-TODAY(),"")</f>
      </c>
      <c r="L183" s="200">
        <f>IF($C183,$N183*1000000+$H183+ROW()/100000,"")</f>
      </c>
      <c r="M183" s="200">
        <f>IF($C183,IF('Proyecto Datos (OKR´s)'!$E183="","(Sin sprint)",'Proyecto Datos (OKR´s)'!$E183),"")</f>
      </c>
      <c r="N183" s="200">
        <f>IF($C183,IF('Proyecto Datos (OKR´s)'!$E183="",9999,'Proyecto Datos (OKR´s)'!$E183),"")</f>
      </c>
    </row>
    <row r="184">
      <c r="A184" s="200">
        <f>ROW()</f>
      </c>
      <c r="B184" s="200">
        <f>ISTEXT('Proyecto Datos (OKR´s)'!$K184)</f>
      </c>
      <c r="C184" s="200">
        <f>AND(LEN('Proyecto Datos (OKR´s)'!$G184)&gt;0,NOT($B184),OR(ISNUMBER('Proyecto Datos (OKR´s)'!$F184),ISNUMBER('Proyecto Datos (OKR´s)'!$L184)))</f>
      </c>
      <c r="D184" s="201">
        <f>IF($C184,IFERROR(LOOKUP(2,1/((ISTEXT('Proyecto Datos (OKR´s)'!$K$7:$K184))*(LEN('Proyecto Datos (OKR´s)'!$G$7:$G184)&gt;0)),'Proyecto Datos (OKR´s)'!$G$7:$G184),""),"")</f>
      </c>
      <c r="E184" s="200">
        <f>IF($C184,'Proyecto Datos (OKR´s)'!$E184,"")</f>
      </c>
      <c r="F184" s="201">
        <f>IF($C184,'Proyecto Datos (OKR´s)'!$G184,"")</f>
      </c>
      <c r="G184" s="201">
        <f>IF($C184,IF('Proyecto Datos (OKR´s)'!$I184="","(Sin asignar)",'Proyecto Datos (OKR´s)'!$I184),"")</f>
      </c>
      <c r="H184" s="200">
        <f>IF($C184,IF(ISNUMBER('Proyecto Datos (OKR´s)'!$F184),'Proyecto Datos (OKR´s)'!$F184,'Proyecto Datos (OKR´s)'!$L184),"")</f>
      </c>
      <c r="I184" s="200">
        <f>IF($C184,'Proyecto Datos (OKR´s)'!$J184,"")</f>
      </c>
      <c r="J184" s="201">
        <f>IF($C184,IF($I184&gt;=1,"Completado",IF($H184&lt;TODAY(),"Vencido",IF(($H184-TODAY())&lt;='Entregas Próximas'!$I$3,"Próximo a vencer","En curso"))),"")</f>
      </c>
      <c r="K184" s="200">
        <f>IF($C184,$H184-TODAY(),"")</f>
      </c>
      <c r="L184" s="200">
        <f>IF($C184,$N184*1000000+$H184+ROW()/100000,"")</f>
      </c>
      <c r="M184" s="200">
        <f>IF($C184,IF('Proyecto Datos (OKR´s)'!$E184="","(Sin sprint)",'Proyecto Datos (OKR´s)'!$E184),"")</f>
      </c>
      <c r="N184" s="200">
        <f>IF($C184,IF('Proyecto Datos (OKR´s)'!$E184="",9999,'Proyecto Datos (OKR´s)'!$E184),"")</f>
      </c>
    </row>
    <row r="185">
      <c r="A185" s="200">
        <f>ROW()</f>
      </c>
      <c r="B185" s="200">
        <f>ISTEXT('Proyecto Datos (OKR´s)'!$K185)</f>
      </c>
      <c r="C185" s="200">
        <f>AND(LEN('Proyecto Datos (OKR´s)'!$G185)&gt;0,NOT($B185),OR(ISNUMBER('Proyecto Datos (OKR´s)'!$F185),ISNUMBER('Proyecto Datos (OKR´s)'!$L185)))</f>
      </c>
      <c r="D185" s="201">
        <f>IF($C185,IFERROR(LOOKUP(2,1/((ISTEXT('Proyecto Datos (OKR´s)'!$K$7:$K185))*(LEN('Proyecto Datos (OKR´s)'!$G$7:$G185)&gt;0)),'Proyecto Datos (OKR´s)'!$G$7:$G185),""),"")</f>
      </c>
      <c r="E185" s="200">
        <f>IF($C185,'Proyecto Datos (OKR´s)'!$E185,"")</f>
      </c>
      <c r="F185" s="201">
        <f>IF($C185,'Proyecto Datos (OKR´s)'!$G185,"")</f>
      </c>
      <c r="G185" s="201">
        <f>IF($C185,IF('Proyecto Datos (OKR´s)'!$I185="","(Sin asignar)",'Proyecto Datos (OKR´s)'!$I185),"")</f>
      </c>
      <c r="H185" s="200">
        <f>IF($C185,IF(ISNUMBER('Proyecto Datos (OKR´s)'!$F185),'Proyecto Datos (OKR´s)'!$F185,'Proyecto Datos (OKR´s)'!$L185),"")</f>
      </c>
      <c r="I185" s="200">
        <f>IF($C185,'Proyecto Datos (OKR´s)'!$J185,"")</f>
      </c>
      <c r="J185" s="201">
        <f>IF($C185,IF($I185&gt;=1,"Completado",IF($H185&lt;TODAY(),"Vencido",IF(($H185-TODAY())&lt;='Entregas Próximas'!$I$3,"Próximo a vencer","En curso"))),"")</f>
      </c>
      <c r="K185" s="200">
        <f>IF($C185,$H185-TODAY(),"")</f>
      </c>
      <c r="L185" s="200">
        <f>IF($C185,$N185*1000000+$H185+ROW()/100000,"")</f>
      </c>
      <c r="M185" s="200">
        <f>IF($C185,IF('Proyecto Datos (OKR´s)'!$E185="","(Sin sprint)",'Proyecto Datos (OKR´s)'!$E185),"")</f>
      </c>
      <c r="N185" s="200">
        <f>IF($C185,IF('Proyecto Datos (OKR´s)'!$E185="",9999,'Proyecto Datos (OKR´s)'!$E185),"")</f>
      </c>
    </row>
    <row r="186">
      <c r="A186" s="200">
        <f>ROW()</f>
      </c>
      <c r="B186" s="200">
        <f>ISTEXT('Proyecto Datos (OKR´s)'!$K186)</f>
      </c>
      <c r="C186" s="200">
        <f>AND(LEN('Proyecto Datos (OKR´s)'!$G186)&gt;0,NOT($B186),OR(ISNUMBER('Proyecto Datos (OKR´s)'!$F186),ISNUMBER('Proyecto Datos (OKR´s)'!$L186)))</f>
      </c>
      <c r="D186" s="201">
        <f>IF($C186,IFERROR(LOOKUP(2,1/((ISTEXT('Proyecto Datos (OKR´s)'!$K$7:$K186))*(LEN('Proyecto Datos (OKR´s)'!$G$7:$G186)&gt;0)),'Proyecto Datos (OKR´s)'!$G$7:$G186),""),"")</f>
      </c>
      <c r="E186" s="200">
        <f>IF($C186,'Proyecto Datos (OKR´s)'!$E186,"")</f>
      </c>
      <c r="F186" s="201">
        <f>IF($C186,'Proyecto Datos (OKR´s)'!$G186,"")</f>
      </c>
      <c r="G186" s="201">
        <f>IF($C186,IF('Proyecto Datos (OKR´s)'!$I186="","(Sin asignar)",'Proyecto Datos (OKR´s)'!$I186),"")</f>
      </c>
      <c r="H186" s="200">
        <f>IF($C186,IF(ISNUMBER('Proyecto Datos (OKR´s)'!$F186),'Proyecto Datos (OKR´s)'!$F186,'Proyecto Datos (OKR´s)'!$L186),"")</f>
      </c>
      <c r="I186" s="200">
        <f>IF($C186,'Proyecto Datos (OKR´s)'!$J186,"")</f>
      </c>
      <c r="J186" s="201">
        <f>IF($C186,IF($I186&gt;=1,"Completado",IF($H186&lt;TODAY(),"Vencido",IF(($H186-TODAY())&lt;='Entregas Próximas'!$I$3,"Próximo a vencer","En curso"))),"")</f>
      </c>
      <c r="K186" s="200">
        <f>IF($C186,$H186-TODAY(),"")</f>
      </c>
      <c r="L186" s="200">
        <f>IF($C186,$N186*1000000+$H186+ROW()/100000,"")</f>
      </c>
      <c r="M186" s="200">
        <f>IF($C186,IF('Proyecto Datos (OKR´s)'!$E186="","(Sin sprint)",'Proyecto Datos (OKR´s)'!$E186),"")</f>
      </c>
      <c r="N186" s="200">
        <f>IF($C186,IF('Proyecto Datos (OKR´s)'!$E186="",9999,'Proyecto Datos (OKR´s)'!$E186),"")</f>
      </c>
    </row>
    <row r="187">
      <c r="A187" s="200">
        <f>ROW()</f>
      </c>
      <c r="B187" s="200">
        <f>ISTEXT('Proyecto Datos (OKR´s)'!$K187)</f>
      </c>
      <c r="C187" s="200">
        <f>AND(LEN('Proyecto Datos (OKR´s)'!$G187)&gt;0,NOT($B187),OR(ISNUMBER('Proyecto Datos (OKR´s)'!$F187),ISNUMBER('Proyecto Datos (OKR´s)'!$L187)))</f>
      </c>
      <c r="D187" s="201">
        <f>IF($C187,IFERROR(LOOKUP(2,1/((ISTEXT('Proyecto Datos (OKR´s)'!$K$7:$K187))*(LEN('Proyecto Datos (OKR´s)'!$G$7:$G187)&gt;0)),'Proyecto Datos (OKR´s)'!$G$7:$G187),""),"")</f>
      </c>
      <c r="E187" s="200">
        <f>IF($C187,'Proyecto Datos (OKR´s)'!$E187,"")</f>
      </c>
      <c r="F187" s="201">
        <f>IF($C187,'Proyecto Datos (OKR´s)'!$G187,"")</f>
      </c>
      <c r="G187" s="201">
        <f>IF($C187,IF('Proyecto Datos (OKR´s)'!$I187="","(Sin asignar)",'Proyecto Datos (OKR´s)'!$I187),"")</f>
      </c>
      <c r="H187" s="200">
        <f>IF($C187,IF(ISNUMBER('Proyecto Datos (OKR´s)'!$F187),'Proyecto Datos (OKR´s)'!$F187,'Proyecto Datos (OKR´s)'!$L187),"")</f>
      </c>
      <c r="I187" s="200">
        <f>IF($C187,'Proyecto Datos (OKR´s)'!$J187,"")</f>
      </c>
      <c r="J187" s="201">
        <f>IF($C187,IF($I187&gt;=1,"Completado",IF($H187&lt;TODAY(),"Vencido",IF(($H187-TODAY())&lt;='Entregas Próximas'!$I$3,"Próximo a vencer","En curso"))),"")</f>
      </c>
      <c r="K187" s="200">
        <f>IF($C187,$H187-TODAY(),"")</f>
      </c>
      <c r="L187" s="200">
        <f>IF($C187,$N187*1000000+$H187+ROW()/100000,"")</f>
      </c>
      <c r="M187" s="200">
        <f>IF($C187,IF('Proyecto Datos (OKR´s)'!$E187="","(Sin sprint)",'Proyecto Datos (OKR´s)'!$E187),"")</f>
      </c>
      <c r="N187" s="200">
        <f>IF($C187,IF('Proyecto Datos (OKR´s)'!$E187="",9999,'Proyecto Datos (OKR´s)'!$E187),"")</f>
      </c>
    </row>
    <row r="188">
      <c r="A188" s="200">
        <f>ROW()</f>
      </c>
      <c r="B188" s="200">
        <f>ISTEXT('Proyecto Datos (OKR´s)'!$K188)</f>
      </c>
      <c r="C188" s="200">
        <f>AND(LEN('Proyecto Datos (OKR´s)'!$G188)&gt;0,NOT($B188),OR(ISNUMBER('Proyecto Datos (OKR´s)'!$F188),ISNUMBER('Proyecto Datos (OKR´s)'!$L188)))</f>
      </c>
      <c r="D188" s="201">
        <f>IF($C188,IFERROR(LOOKUP(2,1/((ISTEXT('Proyecto Datos (OKR´s)'!$K$7:$K188))*(LEN('Proyecto Datos (OKR´s)'!$G$7:$G188)&gt;0)),'Proyecto Datos (OKR´s)'!$G$7:$G188),""),"")</f>
      </c>
      <c r="E188" s="200">
        <f>IF($C188,'Proyecto Datos (OKR´s)'!$E188,"")</f>
      </c>
      <c r="F188" s="201">
        <f>IF($C188,'Proyecto Datos (OKR´s)'!$G188,"")</f>
      </c>
      <c r="G188" s="201">
        <f>IF($C188,IF('Proyecto Datos (OKR´s)'!$I188="","(Sin asignar)",'Proyecto Datos (OKR´s)'!$I188),"")</f>
      </c>
      <c r="H188" s="200">
        <f>IF($C188,IF(ISNUMBER('Proyecto Datos (OKR´s)'!$F188),'Proyecto Datos (OKR´s)'!$F188,'Proyecto Datos (OKR´s)'!$L188),"")</f>
      </c>
      <c r="I188" s="200">
        <f>IF($C188,'Proyecto Datos (OKR´s)'!$J188,"")</f>
      </c>
      <c r="J188" s="201">
        <f>IF($C188,IF($I188&gt;=1,"Completado",IF($H188&lt;TODAY(),"Vencido",IF(($H188-TODAY())&lt;='Entregas Próximas'!$I$3,"Próximo a vencer","En curso"))),"")</f>
      </c>
      <c r="K188" s="200">
        <f>IF($C188,$H188-TODAY(),"")</f>
      </c>
      <c r="L188" s="200">
        <f>IF($C188,$N188*1000000+$H188+ROW()/100000,"")</f>
      </c>
      <c r="M188" s="200">
        <f>IF($C188,IF('Proyecto Datos (OKR´s)'!$E188="","(Sin sprint)",'Proyecto Datos (OKR´s)'!$E188),"")</f>
      </c>
      <c r="N188" s="200">
        <f>IF($C188,IF('Proyecto Datos (OKR´s)'!$E188="",9999,'Proyecto Datos (OKR´s)'!$E188),"")</f>
      </c>
    </row>
    <row r="189">
      <c r="A189" s="200">
        <f>ROW()</f>
      </c>
      <c r="B189" s="200">
        <f>ISTEXT('Proyecto Datos (OKR´s)'!$K189)</f>
      </c>
      <c r="C189" s="200">
        <f>AND(LEN('Proyecto Datos (OKR´s)'!$G189)&gt;0,NOT($B189),OR(ISNUMBER('Proyecto Datos (OKR´s)'!$F189),ISNUMBER('Proyecto Datos (OKR´s)'!$L189)))</f>
      </c>
      <c r="D189" s="201">
        <f>IF($C189,IFERROR(LOOKUP(2,1/((ISTEXT('Proyecto Datos (OKR´s)'!$K$7:$K189))*(LEN('Proyecto Datos (OKR´s)'!$G$7:$G189)&gt;0)),'Proyecto Datos (OKR´s)'!$G$7:$G189),""),"")</f>
      </c>
      <c r="E189" s="200">
        <f>IF($C189,'Proyecto Datos (OKR´s)'!$E189,"")</f>
      </c>
      <c r="F189" s="201">
        <f>IF($C189,'Proyecto Datos (OKR´s)'!$G189,"")</f>
      </c>
      <c r="G189" s="201">
        <f>IF($C189,IF('Proyecto Datos (OKR´s)'!$I189="","(Sin asignar)",'Proyecto Datos (OKR´s)'!$I189),"")</f>
      </c>
      <c r="H189" s="200">
        <f>IF($C189,IF(ISNUMBER('Proyecto Datos (OKR´s)'!$F189),'Proyecto Datos (OKR´s)'!$F189,'Proyecto Datos (OKR´s)'!$L189),"")</f>
      </c>
      <c r="I189" s="200">
        <f>IF($C189,'Proyecto Datos (OKR´s)'!$J189,"")</f>
      </c>
      <c r="J189" s="201">
        <f>IF($C189,IF($I189&gt;=1,"Completado",IF($H189&lt;TODAY(),"Vencido",IF(($H189-TODAY())&lt;='Entregas Próximas'!$I$3,"Próximo a vencer","En curso"))),"")</f>
      </c>
      <c r="K189" s="200">
        <f>IF($C189,$H189-TODAY(),"")</f>
      </c>
      <c r="L189" s="200">
        <f>IF($C189,$N189*1000000+$H189+ROW()/100000,"")</f>
      </c>
      <c r="M189" s="200">
        <f>IF($C189,IF('Proyecto Datos (OKR´s)'!$E189="","(Sin sprint)",'Proyecto Datos (OKR´s)'!$E189),"")</f>
      </c>
      <c r="N189" s="200">
        <f>IF($C189,IF('Proyecto Datos (OKR´s)'!$E189="",9999,'Proyecto Datos (OKR´s)'!$E189),"")</f>
      </c>
    </row>
    <row r="190">
      <c r="A190" s="200">
        <f>ROW()</f>
      </c>
      <c r="B190" s="200">
        <f>ISTEXT('Proyecto Datos (OKR´s)'!$K190)</f>
      </c>
      <c r="C190" s="200">
        <f>AND(LEN('Proyecto Datos (OKR´s)'!$G190)&gt;0,NOT($B190),OR(ISNUMBER('Proyecto Datos (OKR´s)'!$F190),ISNUMBER('Proyecto Datos (OKR´s)'!$L190)))</f>
      </c>
      <c r="D190" s="201">
        <f>IF($C190,IFERROR(LOOKUP(2,1/((ISTEXT('Proyecto Datos (OKR´s)'!$K$7:$K190))*(LEN('Proyecto Datos (OKR´s)'!$G$7:$G190)&gt;0)),'Proyecto Datos (OKR´s)'!$G$7:$G190),""),"")</f>
      </c>
      <c r="E190" s="200">
        <f>IF($C190,'Proyecto Datos (OKR´s)'!$E190,"")</f>
      </c>
      <c r="F190" s="201">
        <f>IF($C190,'Proyecto Datos (OKR´s)'!$G190,"")</f>
      </c>
      <c r="G190" s="201">
        <f>IF($C190,IF('Proyecto Datos (OKR´s)'!$I190="","(Sin asignar)",'Proyecto Datos (OKR´s)'!$I190),"")</f>
      </c>
      <c r="H190" s="200">
        <f>IF($C190,IF(ISNUMBER('Proyecto Datos (OKR´s)'!$F190),'Proyecto Datos (OKR´s)'!$F190,'Proyecto Datos (OKR´s)'!$L190),"")</f>
      </c>
      <c r="I190" s="200">
        <f>IF($C190,'Proyecto Datos (OKR´s)'!$J190,"")</f>
      </c>
      <c r="J190" s="201">
        <f>IF($C190,IF($I190&gt;=1,"Completado",IF($H190&lt;TODAY(),"Vencido",IF(($H190-TODAY())&lt;='Entregas Próximas'!$I$3,"Próximo a vencer","En curso"))),"")</f>
      </c>
      <c r="K190" s="200">
        <f>IF($C190,$H190-TODAY(),"")</f>
      </c>
      <c r="L190" s="200">
        <f>IF($C190,$N190*1000000+$H190+ROW()/100000,"")</f>
      </c>
      <c r="M190" s="200">
        <f>IF($C190,IF('Proyecto Datos (OKR´s)'!$E190="","(Sin sprint)",'Proyecto Datos (OKR´s)'!$E190),"")</f>
      </c>
      <c r="N190" s="200">
        <f>IF($C190,IF('Proyecto Datos (OKR´s)'!$E190="",9999,'Proyecto Datos (OKR´s)'!$E190),"")</f>
      </c>
    </row>
    <row r="191">
      <c r="A191" s="200">
        <f>ROW()</f>
      </c>
      <c r="B191" s="200">
        <f>ISTEXT('Proyecto Datos (OKR´s)'!$K191)</f>
      </c>
      <c r="C191" s="200">
        <f>AND(LEN('Proyecto Datos (OKR´s)'!$G191)&gt;0,NOT($B191),OR(ISNUMBER('Proyecto Datos (OKR´s)'!$F191),ISNUMBER('Proyecto Datos (OKR´s)'!$L191)))</f>
      </c>
      <c r="D191" s="201">
        <f>IF($C191,IFERROR(LOOKUP(2,1/((ISTEXT('Proyecto Datos (OKR´s)'!$K$7:$K191))*(LEN('Proyecto Datos (OKR´s)'!$G$7:$G191)&gt;0)),'Proyecto Datos (OKR´s)'!$G$7:$G191),""),"")</f>
      </c>
      <c r="E191" s="200">
        <f>IF($C191,'Proyecto Datos (OKR´s)'!$E191,"")</f>
      </c>
      <c r="F191" s="201">
        <f>IF($C191,'Proyecto Datos (OKR´s)'!$G191,"")</f>
      </c>
      <c r="G191" s="201">
        <f>IF($C191,IF('Proyecto Datos (OKR´s)'!$I191="","(Sin asignar)",'Proyecto Datos (OKR´s)'!$I191),"")</f>
      </c>
      <c r="H191" s="200">
        <f>IF($C191,IF(ISNUMBER('Proyecto Datos (OKR´s)'!$F191),'Proyecto Datos (OKR´s)'!$F191,'Proyecto Datos (OKR´s)'!$L191),"")</f>
      </c>
      <c r="I191" s="200">
        <f>IF($C191,'Proyecto Datos (OKR´s)'!$J191,"")</f>
      </c>
      <c r="J191" s="201">
        <f>IF($C191,IF($I191&gt;=1,"Completado",IF($H191&lt;TODAY(),"Vencido",IF(($H191-TODAY())&lt;='Entregas Próximas'!$I$3,"Próximo a vencer","En curso"))),"")</f>
      </c>
      <c r="K191" s="200">
        <f>IF($C191,$H191-TODAY(),"")</f>
      </c>
      <c r="L191" s="200">
        <f>IF($C191,$N191*1000000+$H191+ROW()/100000,"")</f>
      </c>
      <c r="M191" s="200">
        <f>IF($C191,IF('Proyecto Datos (OKR´s)'!$E191="","(Sin sprint)",'Proyecto Datos (OKR´s)'!$E191),"")</f>
      </c>
      <c r="N191" s="200">
        <f>IF($C191,IF('Proyecto Datos (OKR´s)'!$E191="",9999,'Proyecto Datos (OKR´s)'!$E191),"")</f>
      </c>
    </row>
    <row r="192">
      <c r="A192" s="200">
        <f>ROW()</f>
      </c>
      <c r="B192" s="200">
        <f>ISTEXT('Proyecto Datos (OKR´s)'!$K192)</f>
      </c>
      <c r="C192" s="200">
        <f>AND(LEN('Proyecto Datos (OKR´s)'!$G192)&gt;0,NOT($B192),OR(ISNUMBER('Proyecto Datos (OKR´s)'!$F192),ISNUMBER('Proyecto Datos (OKR´s)'!$L192)))</f>
      </c>
      <c r="D192" s="201">
        <f>IF($C192,IFERROR(LOOKUP(2,1/((ISTEXT('Proyecto Datos (OKR´s)'!$K$7:$K192))*(LEN('Proyecto Datos (OKR´s)'!$G$7:$G192)&gt;0)),'Proyecto Datos (OKR´s)'!$G$7:$G192),""),"")</f>
      </c>
      <c r="E192" s="200">
        <f>IF($C192,'Proyecto Datos (OKR´s)'!$E192,"")</f>
      </c>
      <c r="F192" s="201">
        <f>IF($C192,'Proyecto Datos (OKR´s)'!$G192,"")</f>
      </c>
      <c r="G192" s="201">
        <f>IF($C192,IF('Proyecto Datos (OKR´s)'!$I192="","(Sin asignar)",'Proyecto Datos (OKR´s)'!$I192),"")</f>
      </c>
      <c r="H192" s="200">
        <f>IF($C192,IF(ISNUMBER('Proyecto Datos (OKR´s)'!$F192),'Proyecto Datos (OKR´s)'!$F192,'Proyecto Datos (OKR´s)'!$L192),"")</f>
      </c>
      <c r="I192" s="200">
        <f>IF($C192,'Proyecto Datos (OKR´s)'!$J192,"")</f>
      </c>
      <c r="J192" s="201">
        <f>IF($C192,IF($I192&gt;=1,"Completado",IF($H192&lt;TODAY(),"Vencido",IF(($H192-TODAY())&lt;='Entregas Próximas'!$I$3,"Próximo a vencer","En curso"))),"")</f>
      </c>
      <c r="K192" s="200">
        <f>IF($C192,$H192-TODAY(),"")</f>
      </c>
      <c r="L192" s="200">
        <f>IF($C192,$N192*1000000+$H192+ROW()/100000,"")</f>
      </c>
      <c r="M192" s="200">
        <f>IF($C192,IF('Proyecto Datos (OKR´s)'!$E192="","(Sin sprint)",'Proyecto Datos (OKR´s)'!$E192),"")</f>
      </c>
      <c r="N192" s="200">
        <f>IF($C192,IF('Proyecto Datos (OKR´s)'!$E192="",9999,'Proyecto Datos (OKR´s)'!$E192),"")</f>
      </c>
    </row>
    <row r="193">
      <c r="A193" s="200">
        <f>ROW()</f>
      </c>
      <c r="B193" s="200">
        <f>ISTEXT('Proyecto Datos (OKR´s)'!$K193)</f>
      </c>
      <c r="C193" s="200">
        <f>AND(LEN('Proyecto Datos (OKR´s)'!$G193)&gt;0,NOT($B193),OR(ISNUMBER('Proyecto Datos (OKR´s)'!$F193),ISNUMBER('Proyecto Datos (OKR´s)'!$L193)))</f>
      </c>
      <c r="D193" s="201">
        <f>IF($C193,IFERROR(LOOKUP(2,1/((ISTEXT('Proyecto Datos (OKR´s)'!$K$7:$K193))*(LEN('Proyecto Datos (OKR´s)'!$G$7:$G193)&gt;0)),'Proyecto Datos (OKR´s)'!$G$7:$G193),""),"")</f>
      </c>
      <c r="E193" s="200">
        <f>IF($C193,'Proyecto Datos (OKR´s)'!$E193,"")</f>
      </c>
      <c r="F193" s="201">
        <f>IF($C193,'Proyecto Datos (OKR´s)'!$G193,"")</f>
      </c>
      <c r="G193" s="201">
        <f>IF($C193,IF('Proyecto Datos (OKR´s)'!$I193="","(Sin asignar)",'Proyecto Datos (OKR´s)'!$I193),"")</f>
      </c>
      <c r="H193" s="200">
        <f>IF($C193,IF(ISNUMBER('Proyecto Datos (OKR´s)'!$F193),'Proyecto Datos (OKR´s)'!$F193,'Proyecto Datos (OKR´s)'!$L193),"")</f>
      </c>
      <c r="I193" s="200">
        <f>IF($C193,'Proyecto Datos (OKR´s)'!$J193,"")</f>
      </c>
      <c r="J193" s="201">
        <f>IF($C193,IF($I193&gt;=1,"Completado",IF($H193&lt;TODAY(),"Vencido",IF(($H193-TODAY())&lt;='Entregas Próximas'!$I$3,"Próximo a vencer","En curso"))),"")</f>
      </c>
      <c r="K193" s="200">
        <f>IF($C193,$H193-TODAY(),"")</f>
      </c>
      <c r="L193" s="200">
        <f>IF($C193,$N193*1000000+$H193+ROW()/100000,"")</f>
      </c>
      <c r="M193" s="200">
        <f>IF($C193,IF('Proyecto Datos (OKR´s)'!$E193="","(Sin sprint)",'Proyecto Datos (OKR´s)'!$E193),"")</f>
      </c>
      <c r="N193" s="200">
        <f>IF($C193,IF('Proyecto Datos (OKR´s)'!$E193="",9999,'Proyecto Datos (OKR´s)'!$E193),"")</f>
      </c>
    </row>
    <row r="194">
      <c r="A194" s="200">
        <f>ROW()</f>
      </c>
      <c r="B194" s="200">
        <f>ISTEXT('Proyecto Datos (OKR´s)'!$K194)</f>
      </c>
      <c r="C194" s="200">
        <f>AND(LEN('Proyecto Datos (OKR´s)'!$G194)&gt;0,NOT($B194),OR(ISNUMBER('Proyecto Datos (OKR´s)'!$F194),ISNUMBER('Proyecto Datos (OKR´s)'!$L194)))</f>
      </c>
      <c r="D194" s="201">
        <f>IF($C194,IFERROR(LOOKUP(2,1/((ISTEXT('Proyecto Datos (OKR´s)'!$K$7:$K194))*(LEN('Proyecto Datos (OKR´s)'!$G$7:$G194)&gt;0)),'Proyecto Datos (OKR´s)'!$G$7:$G194),""),"")</f>
      </c>
      <c r="E194" s="200">
        <f>IF($C194,'Proyecto Datos (OKR´s)'!$E194,"")</f>
      </c>
      <c r="F194" s="201">
        <f>IF($C194,'Proyecto Datos (OKR´s)'!$G194,"")</f>
      </c>
      <c r="G194" s="201">
        <f>IF($C194,IF('Proyecto Datos (OKR´s)'!$I194="","(Sin asignar)",'Proyecto Datos (OKR´s)'!$I194),"")</f>
      </c>
      <c r="H194" s="200">
        <f>IF($C194,IF(ISNUMBER('Proyecto Datos (OKR´s)'!$F194),'Proyecto Datos (OKR´s)'!$F194,'Proyecto Datos (OKR´s)'!$L194),"")</f>
      </c>
      <c r="I194" s="200">
        <f>IF($C194,'Proyecto Datos (OKR´s)'!$J194,"")</f>
      </c>
      <c r="J194" s="201">
        <f>IF($C194,IF($I194&gt;=1,"Completado",IF($H194&lt;TODAY(),"Vencido",IF(($H194-TODAY())&lt;='Entregas Próximas'!$I$3,"Próximo a vencer","En curso"))),"")</f>
      </c>
      <c r="K194" s="200">
        <f>IF($C194,$H194-TODAY(),"")</f>
      </c>
      <c r="L194" s="200">
        <f>IF($C194,$N194*1000000+$H194+ROW()/100000,"")</f>
      </c>
      <c r="M194" s="200">
        <f>IF($C194,IF('Proyecto Datos (OKR´s)'!$E194="","(Sin sprint)",'Proyecto Datos (OKR´s)'!$E194),"")</f>
      </c>
      <c r="N194" s="200">
        <f>IF($C194,IF('Proyecto Datos (OKR´s)'!$E194="",9999,'Proyecto Datos (OKR´s)'!$E194),"")</f>
      </c>
    </row>
    <row r="195">
      <c r="A195" s="200">
        <f>ROW()</f>
      </c>
      <c r="B195" s="200">
        <f>ISTEXT('Proyecto Datos (OKR´s)'!$K195)</f>
      </c>
      <c r="C195" s="200">
        <f>AND(LEN('Proyecto Datos (OKR´s)'!$G195)&gt;0,NOT($B195),OR(ISNUMBER('Proyecto Datos (OKR´s)'!$F195),ISNUMBER('Proyecto Datos (OKR´s)'!$L195)))</f>
      </c>
      <c r="D195" s="201">
        <f>IF($C195,IFERROR(LOOKUP(2,1/((ISTEXT('Proyecto Datos (OKR´s)'!$K$7:$K195))*(LEN('Proyecto Datos (OKR´s)'!$G$7:$G195)&gt;0)),'Proyecto Datos (OKR´s)'!$G$7:$G195),""),"")</f>
      </c>
      <c r="E195" s="200">
        <f>IF($C195,'Proyecto Datos (OKR´s)'!$E195,"")</f>
      </c>
      <c r="F195" s="201">
        <f>IF($C195,'Proyecto Datos (OKR´s)'!$G195,"")</f>
      </c>
      <c r="G195" s="201">
        <f>IF($C195,IF('Proyecto Datos (OKR´s)'!$I195="","(Sin asignar)",'Proyecto Datos (OKR´s)'!$I195),"")</f>
      </c>
      <c r="H195" s="200">
        <f>IF($C195,IF(ISNUMBER('Proyecto Datos (OKR´s)'!$F195),'Proyecto Datos (OKR´s)'!$F195,'Proyecto Datos (OKR´s)'!$L195),"")</f>
      </c>
      <c r="I195" s="200">
        <f>IF($C195,'Proyecto Datos (OKR´s)'!$J195,"")</f>
      </c>
      <c r="J195" s="201">
        <f>IF($C195,IF($I195&gt;=1,"Completado",IF($H195&lt;TODAY(),"Vencido",IF(($H195-TODAY())&lt;='Entregas Próximas'!$I$3,"Próximo a vencer","En curso"))),"")</f>
      </c>
      <c r="K195" s="200">
        <f>IF($C195,$H195-TODAY(),"")</f>
      </c>
      <c r="L195" s="200">
        <f>IF($C195,$N195*1000000+$H195+ROW()/100000,"")</f>
      </c>
      <c r="M195" s="200">
        <f>IF($C195,IF('Proyecto Datos (OKR´s)'!$E195="","(Sin sprint)",'Proyecto Datos (OKR´s)'!$E195),"")</f>
      </c>
      <c r="N195" s="200">
        <f>IF($C195,IF('Proyecto Datos (OKR´s)'!$E195="",9999,'Proyecto Datos (OKR´s)'!$E195),"")</f>
      </c>
    </row>
    <row r="196">
      <c r="A196" s="200">
        <f>ROW()</f>
      </c>
      <c r="B196" s="200">
        <f>ISTEXT('Proyecto Datos (OKR´s)'!$K196)</f>
      </c>
      <c r="C196" s="200">
        <f>AND(LEN('Proyecto Datos (OKR´s)'!$G196)&gt;0,NOT($B196),OR(ISNUMBER('Proyecto Datos (OKR´s)'!$F196),ISNUMBER('Proyecto Datos (OKR´s)'!$L196)))</f>
      </c>
      <c r="D196" s="201">
        <f>IF($C196,IFERROR(LOOKUP(2,1/((ISTEXT('Proyecto Datos (OKR´s)'!$K$7:$K196))*(LEN('Proyecto Datos (OKR´s)'!$G$7:$G196)&gt;0)),'Proyecto Datos (OKR´s)'!$G$7:$G196),""),"")</f>
      </c>
      <c r="E196" s="200">
        <f>IF($C196,'Proyecto Datos (OKR´s)'!$E196,"")</f>
      </c>
      <c r="F196" s="201">
        <f>IF($C196,'Proyecto Datos (OKR´s)'!$G196,"")</f>
      </c>
      <c r="G196" s="201">
        <f>IF($C196,IF('Proyecto Datos (OKR´s)'!$I196="","(Sin asignar)",'Proyecto Datos (OKR´s)'!$I196),"")</f>
      </c>
      <c r="H196" s="200">
        <f>IF($C196,IF(ISNUMBER('Proyecto Datos (OKR´s)'!$F196),'Proyecto Datos (OKR´s)'!$F196,'Proyecto Datos (OKR´s)'!$L196),"")</f>
      </c>
      <c r="I196" s="200">
        <f>IF($C196,'Proyecto Datos (OKR´s)'!$J196,"")</f>
      </c>
      <c r="J196" s="201">
        <f>IF($C196,IF($I196&gt;=1,"Completado",IF($H196&lt;TODAY(),"Vencido",IF(($H196-TODAY())&lt;='Entregas Próximas'!$I$3,"Próximo a vencer","En curso"))),"")</f>
      </c>
      <c r="K196" s="200">
        <f>IF($C196,$H196-TODAY(),"")</f>
      </c>
      <c r="L196" s="200">
        <f>IF($C196,$N196*1000000+$H196+ROW()/100000,"")</f>
      </c>
      <c r="M196" s="200">
        <f>IF($C196,IF('Proyecto Datos (OKR´s)'!$E196="","(Sin sprint)",'Proyecto Datos (OKR´s)'!$E196),"")</f>
      </c>
      <c r="N196" s="200">
        <f>IF($C196,IF('Proyecto Datos (OKR´s)'!$E196="",9999,'Proyecto Datos (OKR´s)'!$E196),"")</f>
      </c>
    </row>
    <row r="197">
      <c r="A197" s="200">
        <f>ROW()</f>
      </c>
      <c r="B197" s="200">
        <f>ISTEXT('Proyecto Datos (OKR´s)'!$K197)</f>
      </c>
      <c r="C197" s="200">
        <f>AND(LEN('Proyecto Datos (OKR´s)'!$G197)&gt;0,NOT($B197),OR(ISNUMBER('Proyecto Datos (OKR´s)'!$F197),ISNUMBER('Proyecto Datos (OKR´s)'!$L197)))</f>
      </c>
      <c r="D197" s="201">
        <f>IF($C197,IFERROR(LOOKUP(2,1/((ISTEXT('Proyecto Datos (OKR´s)'!$K$7:$K197))*(LEN('Proyecto Datos (OKR´s)'!$G$7:$G197)&gt;0)),'Proyecto Datos (OKR´s)'!$G$7:$G197),""),"")</f>
      </c>
      <c r="E197" s="200">
        <f>IF($C197,'Proyecto Datos (OKR´s)'!$E197,"")</f>
      </c>
      <c r="F197" s="201">
        <f>IF($C197,'Proyecto Datos (OKR´s)'!$G197,"")</f>
      </c>
      <c r="G197" s="201">
        <f>IF($C197,IF('Proyecto Datos (OKR´s)'!$I197="","(Sin asignar)",'Proyecto Datos (OKR´s)'!$I197),"")</f>
      </c>
      <c r="H197" s="200">
        <f>IF($C197,IF(ISNUMBER('Proyecto Datos (OKR´s)'!$F197),'Proyecto Datos (OKR´s)'!$F197,'Proyecto Datos (OKR´s)'!$L197),"")</f>
      </c>
      <c r="I197" s="200">
        <f>IF($C197,'Proyecto Datos (OKR´s)'!$J197,"")</f>
      </c>
      <c r="J197" s="201">
        <f>IF($C197,IF($I197&gt;=1,"Completado",IF($H197&lt;TODAY(),"Vencido",IF(($H197-TODAY())&lt;='Entregas Próximas'!$I$3,"Próximo a vencer","En curso"))),"")</f>
      </c>
      <c r="K197" s="200">
        <f>IF($C197,$H197-TODAY(),"")</f>
      </c>
      <c r="L197" s="200">
        <f>IF($C197,$N197*1000000+$H197+ROW()/100000,"")</f>
      </c>
      <c r="M197" s="200">
        <f>IF($C197,IF('Proyecto Datos (OKR´s)'!$E197="","(Sin sprint)",'Proyecto Datos (OKR´s)'!$E197),"")</f>
      </c>
      <c r="N197" s="200">
        <f>IF($C197,IF('Proyecto Datos (OKR´s)'!$E197="",9999,'Proyecto Datos (OKR´s)'!$E197),"")</f>
      </c>
    </row>
    <row r="198">
      <c r="A198" s="200">
        <f>ROW()</f>
      </c>
      <c r="B198" s="200">
        <f>ISTEXT('Proyecto Datos (OKR´s)'!$K198)</f>
      </c>
      <c r="C198" s="200">
        <f>AND(LEN('Proyecto Datos (OKR´s)'!$G198)&gt;0,NOT($B198),OR(ISNUMBER('Proyecto Datos (OKR´s)'!$F198),ISNUMBER('Proyecto Datos (OKR´s)'!$L198)))</f>
      </c>
      <c r="D198" s="201">
        <f>IF($C198,IFERROR(LOOKUP(2,1/((ISTEXT('Proyecto Datos (OKR´s)'!$K$7:$K198))*(LEN('Proyecto Datos (OKR´s)'!$G$7:$G198)&gt;0)),'Proyecto Datos (OKR´s)'!$G$7:$G198),""),"")</f>
      </c>
      <c r="E198" s="200">
        <f>IF($C198,'Proyecto Datos (OKR´s)'!$E198,"")</f>
      </c>
      <c r="F198" s="201">
        <f>IF($C198,'Proyecto Datos (OKR´s)'!$G198,"")</f>
      </c>
      <c r="G198" s="201">
        <f>IF($C198,IF('Proyecto Datos (OKR´s)'!$I198="","(Sin asignar)",'Proyecto Datos (OKR´s)'!$I198),"")</f>
      </c>
      <c r="H198" s="200">
        <f>IF($C198,IF(ISNUMBER('Proyecto Datos (OKR´s)'!$F198),'Proyecto Datos (OKR´s)'!$F198,'Proyecto Datos (OKR´s)'!$L198),"")</f>
      </c>
      <c r="I198" s="200">
        <f>IF($C198,'Proyecto Datos (OKR´s)'!$J198,"")</f>
      </c>
      <c r="J198" s="201">
        <f>IF($C198,IF($I198&gt;=1,"Completado",IF($H198&lt;TODAY(),"Vencido",IF(($H198-TODAY())&lt;='Entregas Próximas'!$I$3,"Próximo a vencer","En curso"))),"")</f>
      </c>
      <c r="K198" s="200">
        <f>IF($C198,$H198-TODAY(),"")</f>
      </c>
      <c r="L198" s="200">
        <f>IF($C198,$N198*1000000+$H198+ROW()/100000,"")</f>
      </c>
      <c r="M198" s="200">
        <f>IF($C198,IF('Proyecto Datos (OKR´s)'!$E198="","(Sin sprint)",'Proyecto Datos (OKR´s)'!$E198),"")</f>
      </c>
      <c r="N198" s="200">
        <f>IF($C198,IF('Proyecto Datos (OKR´s)'!$E198="",9999,'Proyecto Datos (OKR´s)'!$E198),"")</f>
      </c>
    </row>
    <row r="199">
      <c r="A199" s="200">
        <f>ROW()</f>
      </c>
      <c r="B199" s="200">
        <f>ISTEXT('Proyecto Datos (OKR´s)'!$K199)</f>
      </c>
      <c r="C199" s="200">
        <f>AND(LEN('Proyecto Datos (OKR´s)'!$G199)&gt;0,NOT($B199),OR(ISNUMBER('Proyecto Datos (OKR´s)'!$F199),ISNUMBER('Proyecto Datos (OKR´s)'!$L199)))</f>
      </c>
      <c r="D199" s="201">
        <f>IF($C199,IFERROR(LOOKUP(2,1/((ISTEXT('Proyecto Datos (OKR´s)'!$K$7:$K199))*(LEN('Proyecto Datos (OKR´s)'!$G$7:$G199)&gt;0)),'Proyecto Datos (OKR´s)'!$G$7:$G199),""),"")</f>
      </c>
      <c r="E199" s="200">
        <f>IF($C199,'Proyecto Datos (OKR´s)'!$E199,"")</f>
      </c>
      <c r="F199" s="201">
        <f>IF($C199,'Proyecto Datos (OKR´s)'!$G199,"")</f>
      </c>
      <c r="G199" s="201">
        <f>IF($C199,IF('Proyecto Datos (OKR´s)'!$I199="","(Sin asignar)",'Proyecto Datos (OKR´s)'!$I199),"")</f>
      </c>
      <c r="H199" s="200">
        <f>IF($C199,IF(ISNUMBER('Proyecto Datos (OKR´s)'!$F199),'Proyecto Datos (OKR´s)'!$F199,'Proyecto Datos (OKR´s)'!$L199),"")</f>
      </c>
      <c r="I199" s="200">
        <f>IF($C199,'Proyecto Datos (OKR´s)'!$J199,"")</f>
      </c>
      <c r="J199" s="201">
        <f>IF($C199,IF($I199&gt;=1,"Completado",IF($H199&lt;TODAY(),"Vencido",IF(($H199-TODAY())&lt;='Entregas Próximas'!$I$3,"Próximo a vencer","En curso"))),"")</f>
      </c>
      <c r="K199" s="200">
        <f>IF($C199,$H199-TODAY(),"")</f>
      </c>
      <c r="L199" s="200">
        <f>IF($C199,$N199*1000000+$H199+ROW()/100000,"")</f>
      </c>
      <c r="M199" s="200">
        <f>IF($C199,IF('Proyecto Datos (OKR´s)'!$E199="","(Sin sprint)",'Proyecto Datos (OKR´s)'!$E199),"")</f>
      </c>
      <c r="N199" s="200">
        <f>IF($C199,IF('Proyecto Datos (OKR´s)'!$E199="",9999,'Proyecto Datos (OKR´s)'!$E199),"")</f>
      </c>
    </row>
    <row r="200">
      <c r="A200" s="200">
        <f>ROW()</f>
      </c>
      <c r="B200" s="200">
        <f>ISTEXT('Proyecto Datos (OKR´s)'!$K200)</f>
      </c>
      <c r="C200" s="200">
        <f>AND(LEN('Proyecto Datos (OKR´s)'!$G200)&gt;0,NOT($B200),OR(ISNUMBER('Proyecto Datos (OKR´s)'!$F200),ISNUMBER('Proyecto Datos (OKR´s)'!$L200)))</f>
      </c>
      <c r="D200" s="201">
        <f>IF($C200,IFERROR(LOOKUP(2,1/((ISTEXT('Proyecto Datos (OKR´s)'!$K$7:$K200))*(LEN('Proyecto Datos (OKR´s)'!$G$7:$G200)&gt;0)),'Proyecto Datos (OKR´s)'!$G$7:$G200),""),"")</f>
      </c>
      <c r="E200" s="200">
        <f>IF($C200,'Proyecto Datos (OKR´s)'!$E200,"")</f>
      </c>
      <c r="F200" s="201">
        <f>IF($C200,'Proyecto Datos (OKR´s)'!$G200,"")</f>
      </c>
      <c r="G200" s="201">
        <f>IF($C200,IF('Proyecto Datos (OKR´s)'!$I200="","(Sin asignar)",'Proyecto Datos (OKR´s)'!$I200),"")</f>
      </c>
      <c r="H200" s="200">
        <f>IF($C200,IF(ISNUMBER('Proyecto Datos (OKR´s)'!$F200),'Proyecto Datos (OKR´s)'!$F200,'Proyecto Datos (OKR´s)'!$L200),"")</f>
      </c>
      <c r="I200" s="200">
        <f>IF($C200,'Proyecto Datos (OKR´s)'!$J200,"")</f>
      </c>
      <c r="J200" s="201">
        <f>IF($C200,IF($I200&gt;=1,"Completado",IF($H200&lt;TODAY(),"Vencido",IF(($H200-TODAY())&lt;='Entregas Próximas'!$I$3,"Próximo a vencer","En curso"))),"")</f>
      </c>
      <c r="K200" s="200">
        <f>IF($C200,$H200-TODAY(),"")</f>
      </c>
      <c r="L200" s="200">
        <f>IF($C200,$N200*1000000+$H200+ROW()/100000,"")</f>
      </c>
      <c r="M200" s="200">
        <f>IF($C200,IF('Proyecto Datos (OKR´s)'!$E200="","(Sin sprint)",'Proyecto Datos (OKR´s)'!$E200),"")</f>
      </c>
      <c r="N200" s="200">
        <f>IF($C200,IF('Proyecto Datos (OKR´s)'!$E200="",9999,'Proyecto Datos (OKR´s)'!$E200),"")</f>
      </c>
    </row>
  </sheetData>
  <mergeCells count="1">
    <mergeCell ref="A1:N1"/>
  </mergeCells>
  <pageMargins left="0.4" right="0.4" top="0.5" bottom="0.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3.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Hojas de cálculo</vt:lpstr>
      </vt:variant>
      <vt:variant>
        <vt:i4>4</vt:i4>
      </vt:variant>
      <vt:variant>
        <vt:lpstr>Rangos con nombre</vt:lpstr>
      </vt:variant>
      <vt:variant>
        <vt:i4>18</vt:i4>
      </vt:variant>
    </vt:vector>
  </HeadingPairs>
  <TitlesOfParts>
    <vt:vector size="22" baseType="lpstr">
      <vt:lpstr>Proyecto Datos (OKR´s)</vt:lpstr>
      <vt:lpstr>Proyecto Datos (Actual)</vt:lpstr>
      <vt:lpstr>Proyecto Datos</vt:lpstr>
      <vt:lpstr>Acerca de</vt:lpstr>
      <vt:lpstr>'Proyecto Datos (Actual)'!Inicio_del_proyecto</vt:lpstr>
      <vt:lpstr>'Proyecto Datos (OKR´s)'!Inicio_del_proyecto</vt:lpstr>
      <vt:lpstr>Inicio_del_proyecto</vt:lpstr>
      <vt:lpstr>'Proyecto Datos (Actual)'!Semana_para_mostrar</vt:lpstr>
      <vt:lpstr>'Proyecto Datos (OKR´s)'!Semana_para_mostrar</vt:lpstr>
      <vt:lpstr>Semana_para_mostrar</vt:lpstr>
      <vt:lpstr>'Proyecto Datos'!task_end</vt:lpstr>
      <vt:lpstr>'Proyecto Datos (Actual)'!task_end</vt:lpstr>
      <vt:lpstr>'Proyecto Datos (OKR´s)'!task_end</vt:lpstr>
      <vt:lpstr>'Proyecto Datos'!task_progress</vt:lpstr>
      <vt:lpstr>'Proyecto Datos (Actual)'!task_progress</vt:lpstr>
      <vt:lpstr>'Proyecto Datos (OKR´s)'!task_progress</vt:lpstr>
      <vt:lpstr>'Proyecto Datos'!task_start</vt:lpstr>
      <vt:lpstr>'Proyecto Datos (Actual)'!task_start</vt:lpstr>
      <vt:lpstr>'Proyecto Datos (OKR´s)'!task_start</vt:lpstr>
      <vt:lpstr>'Proyecto Datos'!Títulos_a_imprimir</vt:lpstr>
      <vt:lpstr>'Proyecto Datos (Actual)'!Títulos_a_imprimir</vt:lpstr>
      <vt:lpstr>'Proyecto Datos (OKR´s)'!Títulos_a_imprimir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2026-06-08T19:37:03Z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