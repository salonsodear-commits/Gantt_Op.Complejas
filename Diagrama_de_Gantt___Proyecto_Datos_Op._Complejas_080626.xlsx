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<sst xmlns="http://schemas.openxmlformats.org/spreadsheetml/2006/main" count="363" uniqueCount="145">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</sst>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9">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23/06/2026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0.44886363636363635</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0.2</v>
      </c>
      <c r="I10" s="180">
        <f>IFERROR(AVERAGEIF('_Datos'!$D$7:$D$200,$B10,'_Datos'!$I$7:$I$200),"")</f>
        <v>0.2</v>
      </c>
    </row>
    <row r="11">
      <c r="B11" s="205" t="str">
        <f>'Proyecto Datos (OKR´s)'!$G$9</f>
        <v>2- Cotizador de Operaciones Complejas</v>
      </c>
      <c r="C11" s="205"/>
      <c r="D11" s="205"/>
      <c r="E11" s="205"/>
      <c r="F11" s="205"/>
      <c r="G11" s="178">
        <f>COUNTIF('_Datos'!$D$7:$D$200,$B11)</f>
        <v>12</v>
      </c>
      <c r="H11" s="180">
        <f>IFERROR(AVERAGEIF('_Datos'!$D$7:$D$200,$B11,'_Datos'!$I$7:$I$200),"")</f>
        <v>0.48333333333333334</v>
      </c>
      <c r="I11" s="180">
        <f>IFERROR(AVERAGEIF('_Datos'!$D$7:$D$200,$B11,'_Datos'!$I$7:$I$200),"")</f>
        <v>0.48333333333333334</v>
      </c>
    </row>
    <row r="12">
      <c r="B12" s="205" t="str">
        <f>'Proyecto Datos (OKR´s)'!$G$22</f>
        <v>3- Tablero BI OPEX - Real vs BO</v>
      </c>
      <c r="C12" s="205"/>
      <c r="D12" s="205"/>
      <c r="E12" s="205"/>
      <c r="F12" s="205"/>
      <c r="G12" s="178">
        <f>COUNTIF('_Datos'!$D$7:$D$200,$B12)</f>
        <v>3</v>
      </c>
      <c r="H12" s="180">
        <f>IFERROR(AVERAGEIF('_Datos'!$D$7:$D$200,$B12,'_Datos'!$I$7:$I$200),"")</f>
        <v>0.9</v>
      </c>
      <c r="I12" s="180">
        <f>IFERROR(AVERAGEIF('_Datos'!$D$7:$D$200,$B12,'_Datos'!$I$7:$I$200),"")</f>
        <v>0.9</v>
      </c>
    </row>
    <row r="13">
      <c r="B13" s="205" t="str">
        <f>'Proyecto Datos (OKR´s)'!$G$27</f>
        <v>4- Tablero BI DEUDA</v>
      </c>
      <c r="C13" s="205"/>
      <c r="D13" s="205"/>
      <c r="E13" s="205"/>
      <c r="F13" s="205"/>
      <c r="G13" s="178">
        <f>COUNTIF('_Datos'!$D$7:$D$200,$B13)</f>
        <v>8</v>
      </c>
      <c r="H13" s="180">
        <f>IFERROR(AVERAGEIF('_Datos'!$D$7:$D$200,$B13,'_Datos'!$I$7:$I$200),"")</f>
        <v>0.7250000000000001</v>
      </c>
      <c r="I13" s="180">
        <f>IFERROR(AVERAGEIF('_Datos'!$D$7:$D$200,$B13,'_Datos'!$I$7:$I$200),"")</f>
        <v>0.7250000000000001</v>
      </c>
    </row>
    <row r="14">
      <c r="B14" s="205" t="str">
        <f>'Proyecto Datos (OKR´s)'!$G$36</f>
        <v>5- Tablero Control General - Op. Complejas</v>
      </c>
      <c r="C14" s="205"/>
      <c r="D14" s="205"/>
      <c r="E14" s="205"/>
      <c r="F14" s="205"/>
      <c r="G14" s="178">
        <f>COUNTIF('_Datos'!$D$7:$D$200,$B14)</f>
        <v>11</v>
      </c>
      <c r="H14" s="180">
        <f>IFERROR(AVERAGEIF('_Datos'!$D$7:$D$200,$B14,'_Datos'!$I$7:$I$200),"")</f>
        <v>0.4318181818181818</v>
      </c>
      <c r="I14" s="180">
        <f>IFERROR(AVERAGEIF('_Datos'!$D$7:$D$200,$B14,'_Datos'!$I$7:$I$200),"")</f>
        <v>0.4318181818181818</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0.13333333333333333</v>
      </c>
      <c r="I16" s="180">
        <f>IFERROR(AVERAGEIF('_Datos'!$D$7:$D$200,$B16,'_Datos'!$I$7:$I$200),"")</f>
        <v>0.13333333333333333</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0.03333333333333333</v>
      </c>
      <c r="I17" s="180">
        <f>IFERROR(AVERAGEIF('_Datos'!$D$7:$D$200,$B17,'_Datos'!$I$7:$I$200),"")</f>
        <v>0.03333333333333333</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7">
        <f>IFERROR(AVERAGEIF('_Datos'!$AO$7:$AO$200,"Semanal",'_Datos'!$I$7:$I$200),"")</f>
        <v>0.53</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7</v>
      </c>
      <c r="F22" s="204">
        <f>COUNTIFS('_Datos'!$AO$7:$AO$200,"Quincenal",'_Datos'!$AY$7:$AY$200,"Vencida")</f>
        <v>0</v>
      </c>
      <c r="G22" s="204">
        <f>COUNTIFS('_Datos'!$AO$7:$AO$200,"Quincenal",'_Datos'!$AY$7:$AY$200,"Baja prioridad")</f>
        <v>0</v>
      </c>
      <c r="H22" s="207">
        <f>IFERROR(AVERAGEIF('_Datos'!$AO$7:$AO$200,"Quincenal",'_Datos'!$I$7:$I$200),"")</f>
        <v>0.48333333333333334</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1</v>
      </c>
      <c r="F23" s="204">
        <f>COUNTIFS('_Datos'!$AO$7:$AO$200,"Mensual",'_Datos'!$AY$7:$AY$200,"Vencida")</f>
        <v>0</v>
      </c>
      <c r="G23" s="204">
        <f>COUNTIFS('_Datos'!$AO$7:$AO$200,"Mensual",'_Datos'!$AY$7:$AY$200,"Baja prioridad")</f>
        <v>0</v>
      </c>
      <c r="H23" s="207">
        <f>IFERROR(AVERAGEIF('_Datos'!$AO$7:$AO$200,"Mensual",'_Datos'!$I$7:$I$200),"")</f>
        <v>0.1</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4</v>
      </c>
      <c r="C27" s="183">
        <f>COUNTIF('_Datos'!$Z$7:$Z$200,TRUE)</f>
        <v>6</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23/06/2026   |   Entregas: 26   |   Críticas: 4   |   Vencidas: 23   |   Próximas: 1   |   Bloqueadas: 6   |   Avance: 45%</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S2</v>
      </c>
      <c r="D7" s="205" t="str">
        <f>IF($P7="","",INDEX('_Datos'!$F$7:$F$200,$P7))</f>
        <v>Armado de Procedimiento</v>
      </c>
      <c r="E7" s="205" t="str">
        <f>IF($P7="","",INDEX('_Datos'!$G$7:$G$200,$P7))</f>
        <v>Santiago Alonso</v>
      </c>
      <c r="F7" s="206">
        <f>IF($P7="","",INDEX('_Datos'!$H$7:$H$200,$P7))</f>
        <v>46192</v>
      </c>
      <c r="G7" s="204" t="str">
        <f>IF($P7="","",INDEX('_Datos'!$J$7:$J$200,$P7))</f>
        <v>Vencido</v>
      </c>
      <c r="H7" s="208">
        <f>IF($P7="","",INDEX('_Datos'!$K$7:$K$200,$P7))</f>
        <v>-4</v>
      </c>
      <c r="I7" s="208">
        <f>IF($P7="","",INDEX('_Datos'!$S$7:$S$200,$P7))</f>
        <v>4</v>
      </c>
      <c r="J7" s="208">
        <f>IF($P7="","",INDEX('_Datos'!$T$7:$T$200,$P7))</f>
        <v>7</v>
      </c>
      <c r="K7" s="207">
        <f>IF($P7="","",INDEX('_Datos'!$V$7:$V$200,$P7))</f>
        <v>-1</v>
      </c>
      <c r="L7" s="208">
        <f>IF($P7="","",INDEX('_Datos'!$W$7:$W$200,$P7))</f>
        <v>4</v>
      </c>
      <c r="M7" s="205" t="str">
        <f>IF($P7="","",INDEX('_Datos'!$AC$7:$AC$200,$P7))</f>
        <v>ATRASO BLOQUEO</v>
      </c>
      <c r="P7" s="202">
        <f>IFERROR(MATCH(LARGE('_Datos'!$AJ$7:$AJ$200,ROW()-7+1),'_Datos'!$AJ$7:$AJ$200,0),"")</f>
        <v>43</v>
      </c>
    </row>
    <row r="8">
      <c r="B8" s="204" t="str">
        <f>IF($P8="","",INDEX('_Datos'!$AB$7:$AB$200,$P8))</f>
        <v>Crítica</v>
      </c>
      <c r="C8" s="204" t="str">
        <f>IF($P8="","",INDEX('_Datos'!$AE$7:$AE$200,$P8))</f>
        <v>Semanal · S2</v>
      </c>
      <c r="D8" s="205" t="str">
        <f>IF($P8="","",INDEX('_Datos'!$F$7:$F$200,$P8))</f>
        <v>Slicer funcional con % de incremento sobre venta con base en % definido en factores</v>
      </c>
      <c r="E8" s="205" t="str">
        <f>IF($P8="","",INDEX('_Datos'!$G$7:$G$200,$P8))</f>
        <v>Santiago Alonso</v>
      </c>
      <c r="F8" s="206">
        <f>IF($P8="","",INDEX('_Datos'!$H$7:$H$200,$P8))</f>
        <v>46192</v>
      </c>
      <c r="G8" s="204" t="str">
        <f>IF($P8="","",INDEX('_Datos'!$J$7:$J$200,$P8))</f>
        <v>Vencido</v>
      </c>
      <c r="H8" s="208">
        <f>IF($P8="","",INDEX('_Datos'!$K$7:$K$200,$P8))</f>
        <v>-4</v>
      </c>
      <c r="I8" s="208">
        <f>IF($P8="","",INDEX('_Datos'!$S$7:$S$200,$P8))</f>
        <v>4</v>
      </c>
      <c r="J8" s="208">
        <f>IF($P8="","",INDEX('_Datos'!$T$7:$T$200,$P8))</f>
        <v>7</v>
      </c>
      <c r="K8" s="207">
        <f>IF($P8="","",INDEX('_Datos'!$V$7:$V$200,$P8))</f>
        <v>-1</v>
      </c>
      <c r="L8" s="208">
        <f>IF($P8="","",INDEX('_Datos'!$W$7:$W$200,$P8))</f>
        <v>4</v>
      </c>
      <c r="M8" s="205" t="str">
        <f>IF($P8="","",INDEX('_Datos'!$AC$7:$AC$200,$P8))</f>
        <v>ATRASO BLOQUEO</v>
      </c>
      <c r="P8" s="202">
        <f>IFERROR(MATCH(LARGE('_Datos'!$AJ$7:$AJ$200,ROW()-7+1),'_Datos'!$AJ$7:$AJ$200,0),"")</f>
        <v>44</v>
      </c>
    </row>
    <row r="9">
      <c r="B9" s="204" t="str">
        <f>IF($P9="","",INDEX('_Datos'!$AB$7:$AB$200,$P9))</f>
        <v>Crítica</v>
      </c>
      <c r="C9" s="204" t="str">
        <f>IF($P9="","",INDEX('_Datos'!$AE$7:$AE$200,$P9))</f>
        <v>Semanal · S2</v>
      </c>
      <c r="D9" s="205" t="str">
        <f>IF($P9="","",INDEX('_Datos'!$F$7:$F$200,$P9))</f>
        <v>Factores de clientes con % de incremento sobre venta</v>
      </c>
      <c r="E9" s="205" t="str">
        <f>IF($P9="","",INDEX('_Datos'!$G$7:$G$200,$P9))</f>
        <v>Santiago Alonso</v>
      </c>
      <c r="F9" s="206">
        <f>IF($P9="","",INDEX('_Datos'!$H$7:$H$200,$P9))</f>
        <v>46192</v>
      </c>
      <c r="G9" s="204" t="str">
        <f>IF($P9="","",INDEX('_Datos'!$J$7:$J$200,$P9))</f>
        <v>Vencido</v>
      </c>
      <c r="H9" s="208">
        <f>IF($P9="","",INDEX('_Datos'!$K$7:$K$200,$P9))</f>
        <v>-4</v>
      </c>
      <c r="I9" s="208">
        <f>IF($P9="","",INDEX('_Datos'!$S$7:$S$200,$P9))</f>
        <v>4</v>
      </c>
      <c r="J9" s="208">
        <f>IF($P9="","",INDEX('_Datos'!$T$7:$T$200,$P9))</f>
        <v>7</v>
      </c>
      <c r="K9" s="207">
        <f>IF($P9="","",INDEX('_Datos'!$V$7:$V$200,$P9))</f>
        <v>-1</v>
      </c>
      <c r="L9" s="208">
        <f>IF($P9="","",INDEX('_Datos'!$W$7:$W$200,$P9))</f>
        <v>4</v>
      </c>
      <c r="M9" s="205" t="str">
        <f>IF($P9="","",INDEX('_Datos'!$AC$7:$AC$200,$P9))</f>
        <v>ATRASO BLOQUEO</v>
      </c>
      <c r="P9" s="202">
        <f>IFERROR(MATCH(LARGE('_Datos'!$AJ$7:$AJ$200,ROW()-7+1),'_Datos'!$AJ$7:$AJ$200,0),"")</f>
        <v>45</v>
      </c>
    </row>
    <row r="10">
      <c r="B10" s="204" t="str">
        <f>IF($P10="","",INDEX('_Datos'!$AB$7:$AB$200,$P10))</f>
        <v>Crítica</v>
      </c>
      <c r="C10" s="204" t="str">
        <f>IF($P10="","",INDEX('_Datos'!$AE$7:$AE$200,$P10))</f>
        <v>Semanal · S2</v>
      </c>
      <c r="D10" s="205" t="str">
        <f>IF($P10="","",INDEX('_Datos'!$F$7:$F$200,$P10))</f>
        <v>Planilla Activos Unificados - Estandarizar + Procedimiento</v>
      </c>
      <c r="E10" s="205" t="str">
        <f>IF($P10="","",INDEX('_Datos'!$G$7:$G$200,$P10))</f>
        <v>Santiago Alonso</v>
      </c>
      <c r="F10" s="206">
        <f>IF($P10="","",INDEX('_Datos'!$H$7:$H$200,$P10))</f>
        <v>46188</v>
      </c>
      <c r="G10" s="204" t="str">
        <f>IF($P10="","",INDEX('_Datos'!$J$7:$J$200,$P10))</f>
        <v>Vencido</v>
      </c>
      <c r="H10" s="208">
        <f>IF($P10="","",INDEX('_Datos'!$K$7:$K$200,$P10))</f>
        <v>-8</v>
      </c>
      <c r="I10" s="208">
        <f>IF($P10="","",INDEX('_Datos'!$S$7:$S$200,$P10))</f>
        <v>197</v>
      </c>
      <c r="J10" s="208">
        <f>IF($P10="","",INDEX('_Datos'!$T$7:$T$200,$P10))</f>
        <v>204</v>
      </c>
      <c r="K10" s="207">
        <f>IF($P10="","",INDEX('_Datos'!$V$7:$V$200,$P10))</f>
        <v>-0.8</v>
      </c>
      <c r="L10" s="208">
        <f>IF($P10="","",INDEX('_Datos'!$W$7:$W$200,$P10))</f>
        <v>8</v>
      </c>
      <c r="M10" s="205" t="str">
        <f>IF($P10="","",INDEX('_Datos'!$AC$7:$AC$200,$P10))</f>
        <v>ATRASO</v>
      </c>
      <c r="P10" s="202">
        <f>IFERROR(MATCH(LARGE('_Datos'!$AJ$7:$AJ$200,ROW()-7+1),'_Datos'!$AJ$7:$AJ$200,0),"")</f>
        <v>31</v>
      </c>
    </row>
    <row r="11">
      <c r="B11" s="204" t="str">
        <f>IF($P11="","",INDEX('_Datos'!$AB$7:$AB$200,$P11))</f>
        <v>Alta</v>
      </c>
      <c r="C11" s="204" t="str">
        <f>IF($P11="","",INDEX('_Datos'!$AE$7:$AE$200,$P11))</f>
        <v>Semanal · S2</v>
      </c>
      <c r="D11" s="205" t="str">
        <f>IF($P11="","",INDEX('_Datos'!$F$7:$F$200,$P11))</f>
        <v>Resumen Clientes Op. Dedicadas</v>
      </c>
      <c r="E11" s="205" t="str">
        <f>IF($P11="","",INDEX('_Datos'!$G$7:$G$200,$P11))</f>
        <v>Santiago Alonso</v>
      </c>
      <c r="F11" s="206">
        <f>IF($P11="","",INDEX('_Datos'!$H$7:$H$200,$P11))</f>
        <v>46188</v>
      </c>
      <c r="G11" s="204" t="str">
        <f>IF($P11="","",INDEX('_Datos'!$J$7:$J$200,$P11))</f>
        <v>Vencido</v>
      </c>
      <c r="H11" s="208">
        <f>IF($P11="","",INDEX('_Datos'!$K$7:$K$200,$P11))</f>
        <v>-8</v>
      </c>
      <c r="I11" s="208">
        <f>IF($P11="","",INDEX('_Datos'!$S$7:$S$200,$P11))</f>
        <v>1</v>
      </c>
      <c r="J11" s="208">
        <f>IF($P11="","",INDEX('_Datos'!$T$7:$T$200,$P11))</f>
        <v>8</v>
      </c>
      <c r="K11" s="207">
        <f>IF($P11="","",INDEX('_Datos'!$V$7:$V$200,$P11))</f>
        <v>-0.6</v>
      </c>
      <c r="L11" s="208">
        <f>IF($P11="","",INDEX('_Datos'!$W$7:$W$200,$P11))</f>
        <v>8</v>
      </c>
      <c r="M11" s="205" t="str">
        <f>IF($P11="","",INDEX('_Datos'!$AC$7:$AC$200,$P11))</f>
        <v>ATRASO</v>
      </c>
      <c r="P11" s="202">
        <f>IFERROR(MATCH(LARGE('_Datos'!$AJ$7:$AJ$200,ROW()-7+1),'_Datos'!$AJ$7:$AJ$200,0),"")</f>
        <v>36</v>
      </c>
    </row>
    <row r="12">
      <c r="B12" s="204" t="str">
        <f>IF($P12="","",INDEX('_Datos'!$AB$7:$AB$200,$P12))</f>
        <v>Alta</v>
      </c>
      <c r="C12" s="204" t="str">
        <f>IF($P12="","",INDEX('_Datos'!$AE$7:$AE$200,$P12))</f>
        <v>Mensual · S1</v>
      </c>
      <c r="D12" s="205" t="str">
        <f>IF($P12="","",INDEX('_Datos'!$F$7:$F$200,$P12))</f>
        <v>Disponibilidad de información centralizada en GOC (aguarda desarrollo)</v>
      </c>
      <c r="E12" s="205" t="str">
        <f>IF($P12="","",INDEX('_Datos'!$G$7:$G$200,$P12))</f>
        <v>Lucila Pronzato</v>
      </c>
      <c r="F12" s="206">
        <f>IF($P12="","",INDEX('_Datos'!$H$7:$H$200,$P12))</f>
        <v>46203</v>
      </c>
      <c r="G12" s="204" t="str">
        <f>IF($P12="","",INDEX('_Datos'!$J$7:$J$200,$P12))</f>
        <v>Próximo a vencer</v>
      </c>
      <c r="H12" s="208">
        <f>IF($P12="","",INDEX('_Datos'!$K$7:$K$200,$P12))</f>
        <v>7</v>
      </c>
      <c r="I12" s="208">
        <f>IF($P12="","",INDEX('_Datos'!$S$7:$S$200,$P12))</f>
        <v>246</v>
      </c>
      <c r="J12" s="208">
        <f>IF($P12="","",INDEX('_Datos'!$T$7:$T$200,$P12))</f>
        <v>238</v>
      </c>
      <c r="K12" s="207">
        <f>IF($P12="","",INDEX('_Datos'!$V$7:$V$200,$P12))</f>
        <v>-0.7714285714285714</v>
      </c>
      <c r="L12" s="208">
        <f>IF($P12="","",INDEX('_Datos'!$W$7:$W$200,$P12))</f>
        <v>0</v>
      </c>
      <c r="M12" s="205" t="str">
        <f>IF($P12="","",INDEX('_Datos'!$AC$7:$AC$200,$P12))</f>
        <v>ATRASO</v>
      </c>
      <c r="P12" s="202">
        <f>IFERROR(MATCH(LARGE('_Datos'!$AJ$7:$AJ$200,ROW()-7+1),'_Datos'!$AJ$7:$AJ$200,0),"")</f>
        <v>2</v>
      </c>
    </row>
    <row r="13">
      <c r="B13" s="204" t="str">
        <f>IF($P13="","",INDEX('_Datos'!$AB$7:$AB$200,$P13))</f>
        <v>Alta</v>
      </c>
      <c r="C13" s="204" t="str">
        <f>IF($P13="","",INDEX('_Datos'!$AE$7:$AE$200,$P13))</f>
        <v>Semanal · S2</v>
      </c>
      <c r="D13" s="205" t="str">
        <f>IF($P13="","",INDEX('_Datos'!$F$7:$F$200,$P13))</f>
        <v>Resumen Clientes Minería</v>
      </c>
      <c r="E13" s="205" t="str">
        <f>IF($P13="","",INDEX('_Datos'!$G$7:$G$200,$P13))</f>
        <v>Santiago Alonso</v>
      </c>
      <c r="F13" s="206">
        <f>IF($P13="","",INDEX('_Datos'!$H$7:$H$200,$P13))</f>
        <v>46188</v>
      </c>
      <c r="G13" s="204" t="str">
        <f>IF($P13="","",INDEX('_Datos'!$J$7:$J$200,$P13))</f>
        <v>Vencido</v>
      </c>
      <c r="H13" s="208">
        <f>IF($P13="","",INDEX('_Datos'!$K$7:$K$200,$P13))</f>
        <v>-8</v>
      </c>
      <c r="I13" s="208">
        <f>IF($P13="","",INDEX('_Datos'!$S$7:$S$200,$P13))</f>
        <v>1</v>
      </c>
      <c r="J13" s="208">
        <f>IF($P13="","",INDEX('_Datos'!$T$7:$T$200,$P13))</f>
        <v>8</v>
      </c>
      <c r="K13" s="207">
        <f>IF($P13="","",INDEX('_Datos'!$V$7:$V$200,$P13))</f>
        <v>-0.5</v>
      </c>
      <c r="L13" s="208">
        <f>IF($P13="","",INDEX('_Datos'!$W$7:$W$200,$P13))</f>
        <v>8</v>
      </c>
      <c r="M13" s="205" t="str">
        <f>IF($P13="","",INDEX('_Datos'!$AC$7:$AC$200,$P13))</f>
        <v>ATRASO</v>
      </c>
      <c r="P13" s="202">
        <f>IFERROR(MATCH(LARGE('_Datos'!$AJ$7:$AJ$200,ROW()-7+1),'_Datos'!$AJ$7:$AJ$200,0),"")</f>
        <v>35</v>
      </c>
    </row>
    <row r="14">
      <c r="B14" s="204" t="str">
        <f>IF($P14="","",INDEX('_Datos'!$AB$7:$AB$200,$P14))</f>
        <v>Alta</v>
      </c>
      <c r="C14" s="204" t="str">
        <f>IF($P14="","",INDEX('_Datos'!$AE$7:$AE$200,$P14))</f>
        <v>Semanal · S2</v>
      </c>
      <c r="D14" s="205" t="str">
        <f>IF($P14="","",INDEX('_Datos'!$F$7:$F$200,$P14))</f>
        <v>Armado de Dashboard + Diseño</v>
      </c>
      <c r="E14" s="205" t="str">
        <f>IF($P14="","",INDEX('_Datos'!$G$7:$G$200,$P14))</f>
        <v>Santiago Alonso</v>
      </c>
      <c r="F14" s="206">
        <f>IF($P14="","",INDEX('_Datos'!$H$7:$H$200,$P14))</f>
        <v>46188</v>
      </c>
      <c r="G14" s="204" t="str">
        <f>IF($P14="","",INDEX('_Datos'!$J$7:$J$200,$P14))</f>
        <v>Vencido</v>
      </c>
      <c r="H14" s="208">
        <f>IF($P14="","",INDEX('_Datos'!$K$7:$K$200,$P14))</f>
        <v>-8</v>
      </c>
      <c r="I14" s="208">
        <f>IF($P14="","",INDEX('_Datos'!$S$7:$S$200,$P14))</f>
        <v>0</v>
      </c>
      <c r="J14" s="208">
        <f>IF($P14="","",INDEX('_Datos'!$T$7:$T$200,$P14))</f>
        <v>7</v>
      </c>
      <c r="K14" s="207">
        <f>IF($P14="","",INDEX('_Datos'!$V$7:$V$200,$P14))</f>
        <v>-0.5</v>
      </c>
      <c r="L14" s="208">
        <f>IF($P14="","",INDEX('_Datos'!$W$7:$W$200,$P14))</f>
        <v>8</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6">
        <f>IF($P15="","",INDEX('_Datos'!$H$7:$H$200,$P15))</f>
        <v>46192</v>
      </c>
      <c r="G15" s="204" t="str">
        <f>IF($P15="","",INDEX('_Datos'!$J$7:$J$200,$P15))</f>
        <v>Vencido</v>
      </c>
      <c r="H15" s="208">
        <f>IF($P15="","",INDEX('_Datos'!$K$7:$K$200,$P15))</f>
        <v>-4</v>
      </c>
      <c r="I15" s="208">
        <f>IF($P15="","",INDEX('_Datos'!$S$7:$S$200,$P15))</f>
        <v>201</v>
      </c>
      <c r="J15" s="208">
        <f>IF($P15="","",INDEX('_Datos'!$T$7:$T$200,$P15))</f>
        <v>204</v>
      </c>
      <c r="K15" s="207">
        <f>IF($P15="","",INDEX('_Datos'!$V$7:$V$200,$P15))</f>
        <v>-0.35</v>
      </c>
      <c r="L15" s="208">
        <f>IF($P15="","",INDEX('_Datos'!$W$7:$W$200,$P15))</f>
        <v>4</v>
      </c>
      <c r="M15" s="205" t="str">
        <f>IF($P15="","",INDEX('_Datos'!$AC$7:$AC$200,$P15))</f>
        <v>ATRASO</v>
      </c>
      <c r="P15" s="202">
        <f>IFERROR(MATCH(LARGE('_Datos'!$AJ$7:$AJ$200,ROW()-7+1),'_Datos'!$AJ$7:$AJ$200,0),"")</f>
        <v>10</v>
      </c>
    </row>
    <row r="16">
      <c r="B16" s="204" t="str">
        <f>IF($P16="","",INDEX('_Datos'!$AB$7:$AB$200,$P16))</f>
        <v>Alta</v>
      </c>
      <c r="C16" s="204" t="str">
        <f>IF($P16="","",INDEX('_Datos'!$AE$7:$AE$200,$P16))</f>
        <v>Semanal · S2</v>
      </c>
      <c r="D16" s="205" t="str">
        <f>IF($P16="","",INDEX('_Datos'!$F$7:$F$200,$P16))</f>
        <v>Revisión de viabilidad de incorporación datos Redash (input ZReal con clasificaciones automaticas por CECO - Directas e Indirectas)</v>
      </c>
      <c r="E16" s="205" t="str">
        <f>IF($P16="","",INDEX('_Datos'!$G$7:$G$200,$P16))</f>
        <v>Santiago Alonso</v>
      </c>
      <c r="F16" s="206">
        <f>IF($P16="","",INDEX('_Datos'!$H$7:$H$200,$P16))</f>
        <v>46188</v>
      </c>
      <c r="G16" s="204" t="str">
        <f>IF($P16="","",INDEX('_Datos'!$J$7:$J$200,$P16))</f>
        <v>Vencido</v>
      </c>
      <c r="H16" s="208">
        <f>IF($P16="","",INDEX('_Datos'!$K$7:$K$200,$P16))</f>
        <v>-8</v>
      </c>
      <c r="I16" s="208">
        <f>IF($P16="","",INDEX('_Datos'!$S$7:$S$200,$P16))</f>
        <v>12</v>
      </c>
      <c r="J16" s="208">
        <f>IF($P16="","",INDEX('_Datos'!$T$7:$T$200,$P16))</f>
        <v>19</v>
      </c>
      <c r="K16" s="207">
        <f>IF($P16="","",INDEX('_Datos'!$V$7:$V$200,$P16))</f>
        <v>-0.09999999999999998</v>
      </c>
      <c r="L16" s="208">
        <f>IF($P16="","",INDEX('_Datos'!$W$7:$W$200,$P16))</f>
        <v>8</v>
      </c>
      <c r="M16" s="205" t="str">
        <f>IF($P16="","",INDEX('_Datos'!$AC$7:$AC$200,$P16))</f>
        <v>ATRASO</v>
      </c>
      <c r="P16" s="202">
        <f>IFERROR(MATCH(LARGE('_Datos'!$AJ$7:$AJ$200,ROW()-7+1),'_Datos'!$AJ$7:$AJ$200,0),"")</f>
        <v>19</v>
      </c>
    </row>
    <row r="17">
      <c r="B17" s="204" t="str">
        <f>IF($P17="","",INDEX('_Datos'!$AB$7:$AB$200,$P17))</f>
        <v>Alta</v>
      </c>
      <c r="C17" s="204" t="str">
        <f>IF($P17="","",INDEX('_Datos'!$AE$7:$AE$200,$P17))</f>
        <v>Semanal · S2</v>
      </c>
      <c r="D17" s="205" t="str">
        <f>IF($P17="","",INDEX('_Datos'!$F$7:$F$200,$P17))</f>
        <v>Procedimiento</v>
      </c>
      <c r="E17" s="205" t="str">
        <f>IF($P17="","",INDEX('_Datos'!$G$7:$G$200,$P17))</f>
        <v>Santiago Alonso</v>
      </c>
      <c r="F17" s="206">
        <f>IF($P17="","",INDEX('_Datos'!$H$7:$H$200,$P17))</f>
        <v>46188</v>
      </c>
      <c r="G17" s="204" t="str">
        <f>IF($P17="","",INDEX('_Datos'!$J$7:$J$200,$P17))</f>
        <v>Vencido</v>
      </c>
      <c r="H17" s="208">
        <f>IF($P17="","",INDEX('_Datos'!$K$7:$K$200,$P17))</f>
        <v>-8</v>
      </c>
      <c r="I17" s="208">
        <f>IF($P17="","",INDEX('_Datos'!$S$7:$S$200,$P17))</f>
        <v>8</v>
      </c>
      <c r="J17" s="208">
        <f>IF($P17="","",INDEX('_Datos'!$T$7:$T$200,$P17))</f>
        <v>15</v>
      </c>
      <c r="K17" s="207">
        <f>IF($P17="","",INDEX('_Datos'!$V$7:$V$200,$P17))</f>
        <v>-0.09999999999999998</v>
      </c>
      <c r="L17" s="208">
        <f>IF($P17="","",INDEX('_Datos'!$W$7:$W$200,$P17))</f>
        <v>8</v>
      </c>
      <c r="M17" s="205" t="str">
        <f>IF($P17="","",INDEX('_Datos'!$AC$7:$AC$200,$P17))</f>
        <v>ATRASO</v>
      </c>
      <c r="P17" s="202">
        <f>IFERROR(MATCH(LARGE('_Datos'!$AJ$7:$AJ$200,ROW()-7+1),'_Datos'!$AJ$7:$AJ$200,0),"")</f>
        <v>22</v>
      </c>
    </row>
    <row r="18">
      <c r="B18" s="204" t="str">
        <f>IF($P18="","",INDEX('_Datos'!$AB$7:$AB$200,$P18))</f>
        <v>Alta</v>
      </c>
      <c r="C18" s="204" t="str">
        <f>IF($P18="","",INDEX('_Datos'!$AE$7:$AE$200,$P18))</f>
        <v>Semanal · S2</v>
      </c>
      <c r="D18" s="205" t="str">
        <f>IF($P18="","",INDEX('_Datos'!$F$7:$F$200,$P18))</f>
        <v>Aging - desde SharePoint</v>
      </c>
      <c r="E18" s="205" t="str">
        <f>IF($P18="","",INDEX('_Datos'!$G$7:$G$200,$P18))</f>
        <v>Santiago Alonso</v>
      </c>
      <c r="F18" s="206">
        <f>IF($P18="","",INDEX('_Datos'!$H$7:$H$200,$P18))</f>
        <v>46188</v>
      </c>
      <c r="G18" s="204" t="str">
        <f>IF($P18="","",INDEX('_Datos'!$J$7:$J$200,$P18))</f>
        <v>Vencido</v>
      </c>
      <c r="H18" s="208">
        <f>IF($P18="","",INDEX('_Datos'!$K$7:$K$200,$P18))</f>
        <v>-8</v>
      </c>
      <c r="I18" s="208">
        <f>IF($P18="","",INDEX('_Datos'!$S$7:$S$200,$P18))</f>
        <v>197</v>
      </c>
      <c r="J18" s="208">
        <f>IF($P18="","",INDEX('_Datos'!$T$7:$T$200,$P18))</f>
        <v>204</v>
      </c>
      <c r="K18" s="207">
        <f>IF($P18="","",INDEX('_Datos'!$V$7:$V$200,$P18))</f>
        <v>-0.09999999999999998</v>
      </c>
      <c r="L18" s="208">
        <f>IF($P18="","",INDEX('_Datos'!$W$7:$W$200,$P18))</f>
        <v>8</v>
      </c>
      <c r="M18" s="205" t="str">
        <f>IF($P18="","",INDEX('_Datos'!$AC$7:$AC$200,$P18))</f>
        <v>ATRASO</v>
      </c>
      <c r="P18" s="202">
        <f>IFERROR(MATCH(LARGE('_Datos'!$AJ$7:$AJ$200,ROW()-7+1),'_Datos'!$AJ$7:$AJ$200,0),"")</f>
        <v>23</v>
      </c>
    </row>
    <row r="19">
      <c r="B19" s="204" t="str">
        <f>IF($P19="","",INDEX('_Datos'!$AB$7:$AB$200,$P19))</f>
        <v>Alta</v>
      </c>
      <c r="C19" s="204" t="str">
        <f>IF($P19="","",INDEX('_Datos'!$AE$7:$AE$200,$P19))</f>
        <v>Semanal · S2</v>
      </c>
      <c r="D19" s="205" t="str">
        <f>IF($P19="","",INDEX('_Datos'!$F$7:$F$200,$P19))</f>
        <v>Dias en Calle - desde SharePoint</v>
      </c>
      <c r="E19" s="205" t="str">
        <f>IF($P19="","",INDEX('_Datos'!$G$7:$G$200,$P19))</f>
        <v>Santiago Alonso</v>
      </c>
      <c r="F19" s="206">
        <f>IF($P19="","",INDEX('_Datos'!$H$7:$H$200,$P19))</f>
        <v>46188</v>
      </c>
      <c r="G19" s="204" t="str">
        <f>IF($P19="","",INDEX('_Datos'!$J$7:$J$200,$P19))</f>
        <v>Vencido</v>
      </c>
      <c r="H19" s="208">
        <f>IF($P19="","",INDEX('_Datos'!$K$7:$K$200,$P19))</f>
        <v>-8</v>
      </c>
      <c r="I19" s="208">
        <f>IF($P19="","",INDEX('_Datos'!$S$7:$S$200,$P19))</f>
        <v>197</v>
      </c>
      <c r="J19" s="208">
        <f>IF($P19="","",INDEX('_Datos'!$T$7:$T$200,$P19))</f>
        <v>204</v>
      </c>
      <c r="K19" s="207">
        <f>IF($P19="","",INDEX('_Datos'!$V$7:$V$200,$P19))</f>
        <v>-0.09999999999999998</v>
      </c>
      <c r="L19" s="208">
        <f>IF($P19="","",INDEX('_Datos'!$W$7:$W$200,$P19))</f>
        <v>8</v>
      </c>
      <c r="M19" s="205" t="str">
        <f>IF($P19="","",INDEX('_Datos'!$AC$7:$AC$200,$P19))</f>
        <v>ATRASO</v>
      </c>
      <c r="P19" s="202">
        <f>IFERROR(MATCH(LARGE('_Datos'!$AJ$7:$AJ$200,ROW()-7+1),'_Datos'!$AJ$7:$AJ$200,0),"")</f>
        <v>24</v>
      </c>
    </row>
    <row r="20">
      <c r="B20" s="204" t="str">
        <f>IF($P20="","",INDEX('_Datos'!$AB$7:$AB$200,$P20))</f>
        <v>Alta</v>
      </c>
      <c r="C20" s="204" t="str">
        <f>IF($P20="","",INDEX('_Datos'!$AE$7:$AE$200,$P20))</f>
        <v>Semanal · S2</v>
      </c>
      <c r="D20" s="205" t="str">
        <f>IF($P20="","",INDEX('_Datos'!$F$7:$F$200,$P20))</f>
        <v>Input de datos desde Provisión mensual</v>
      </c>
      <c r="E20" s="205" t="str">
        <f>IF($P20="","",INDEX('_Datos'!$G$7:$G$200,$P20))</f>
        <v>Santiago Alonso</v>
      </c>
      <c r="F20" s="206">
        <f>IF($P20="","",INDEX('_Datos'!$H$7:$H$200,$P20))</f>
        <v>46188</v>
      </c>
      <c r="G20" s="204" t="str">
        <f>IF($P20="","",INDEX('_Datos'!$J$7:$J$200,$P20))</f>
        <v>Vencido</v>
      </c>
      <c r="H20" s="208">
        <f>IF($P20="","",INDEX('_Datos'!$K$7:$K$200,$P20))</f>
        <v>-8</v>
      </c>
      <c r="I20" s="208">
        <f>IF($P20="","",INDEX('_Datos'!$S$7:$S$200,$P20))</f>
        <v>166</v>
      </c>
      <c r="J20" s="208">
        <f>IF($P20="","",INDEX('_Datos'!$T$7:$T$200,$P20))</f>
        <v>173</v>
      </c>
      <c r="K20" s="207">
        <f>IF($P20="","",INDEX('_Datos'!$V$7:$V$200,$P20))</f>
        <v>-0.09999999999999998</v>
      </c>
      <c r="L20" s="208">
        <f>IF($P20="","",INDEX('_Datos'!$W$7:$W$200,$P20))</f>
        <v>8</v>
      </c>
      <c r="M20" s="205" t="str">
        <f>IF($P20="","",INDEX('_Datos'!$AC$7:$AC$200,$P20))</f>
        <v>ATRASO</v>
      </c>
      <c r="P20" s="202">
        <f>IFERROR(MATCH(LARGE('_Datos'!$AJ$7:$AJ$200,ROW()-7+1),'_Datos'!$AJ$7:$AJ$200,0),"")</f>
        <v>25</v>
      </c>
    </row>
    <row r="21">
      <c r="B21" s="204" t="str">
        <f>IF($P21="","",INDEX('_Datos'!$AB$7:$AB$200,$P21))</f>
        <v>Alta</v>
      </c>
      <c r="C21" s="204" t="str">
        <f>IF($P21="","",INDEX('_Datos'!$AE$7:$AE$200,$P21))</f>
        <v>Semanal · S2</v>
      </c>
      <c r="D21" s="205" t="str">
        <f>IF($P21="","",INDEX('_Datos'!$F$7:$F$200,$P21))</f>
        <v>Planilla DTM Estandarizada+ Procedimiento</v>
      </c>
      <c r="E21" s="205" t="str">
        <f>IF($P21="","",INDEX('_Datos'!$G$7:$G$200,$P21))</f>
        <v>Santiago Alonso</v>
      </c>
      <c r="F21" s="206">
        <f>IF($P21="","",INDEX('_Datos'!$H$7:$H$200,$P21))</f>
        <v>46188</v>
      </c>
      <c r="G21" s="204" t="str">
        <f>IF($P21="","",INDEX('_Datos'!$J$7:$J$200,$P21))</f>
        <v>Vencido</v>
      </c>
      <c r="H21" s="208">
        <f>IF($P21="","",INDEX('_Datos'!$K$7:$K$200,$P21))</f>
        <v>-8</v>
      </c>
      <c r="I21" s="208">
        <f>IF($P21="","",INDEX('_Datos'!$S$7:$S$200,$P21))</f>
        <v>166</v>
      </c>
      <c r="J21" s="208">
        <f>IF($P21="","",INDEX('_Datos'!$T$7:$T$200,$P21))</f>
        <v>173</v>
      </c>
      <c r="K21" s="207">
        <f>IF($P21="","",INDEX('_Datos'!$V$7:$V$200,$P21))</f>
        <v>-0.09999999999999998</v>
      </c>
      <c r="L21" s="208">
        <f>IF($P21="","",INDEX('_Datos'!$W$7:$W$200,$P21))</f>
        <v>8</v>
      </c>
      <c r="M21" s="205" t="str">
        <f>IF($P21="","",INDEX('_Datos'!$AC$7:$AC$200,$P21))</f>
        <v>ATRASO</v>
      </c>
      <c r="P21" s="202">
        <f>IFERROR(MATCH(LARGE('_Datos'!$AJ$7:$AJ$200,ROW()-7+1),'_Datos'!$AJ$7:$AJ$200,0),"")</f>
        <v>32</v>
      </c>
    </row>
    <row r="22">
      <c r="B22" s="204" t="str">
        <f>IF($P22="","",INDEX('_Datos'!$AB$7:$AB$200,$P22))</f>
        <v>Alta</v>
      </c>
      <c r="C22" s="204" t="str">
        <f>IF($P22="","",INDEX('_Datos'!$AE$7:$AE$200,$P22))</f>
        <v>Semanal · S2</v>
      </c>
      <c r="D22" s="205" t="str">
        <f>IF($P22="","",INDEX('_Datos'!$F$7:$F$200,$P22))</f>
        <v>Planilla Aeroevaciaciones + Procedimiento</v>
      </c>
      <c r="E22" s="205" t="str">
        <f>IF($P22="","",INDEX('_Datos'!$G$7:$G$200,$P22))</f>
        <v>Santiago Alonso</v>
      </c>
      <c r="F22" s="206">
        <f>IF($P22="","",INDEX('_Datos'!$H$7:$H$200,$P22))</f>
        <v>46188</v>
      </c>
      <c r="G22" s="204" t="str">
        <f>IF($P22="","",INDEX('_Datos'!$J$7:$J$200,$P22))</f>
        <v>Vencido</v>
      </c>
      <c r="H22" s="208">
        <f>IF($P22="","",INDEX('_Datos'!$K$7:$K$200,$P22))</f>
        <v>-8</v>
      </c>
      <c r="I22" s="208">
        <f>IF($P22="","",INDEX('_Datos'!$S$7:$S$200,$P22))</f>
        <v>197</v>
      </c>
      <c r="J22" s="208">
        <f>IF($P22="","",INDEX('_Datos'!$T$7:$T$200,$P22))</f>
        <v>204</v>
      </c>
      <c r="K22" s="207">
        <f>IF($P22="","",INDEX('_Datos'!$V$7:$V$200,$P22))</f>
        <v>-0.050000000000000044</v>
      </c>
      <c r="L22" s="208">
        <f>IF($P22="","",INDEX('_Datos'!$W$7:$W$200,$P22))</f>
        <v>8</v>
      </c>
      <c r="M22" s="205" t="str">
        <f>IF($P22="","",INDEX('_Datos'!$AC$7:$AC$200,$P22))</f>
        <v>ATRASO</v>
      </c>
      <c r="P22" s="202">
        <f>IFERROR(MATCH(LARGE('_Datos'!$AJ$7:$AJ$200,ROW()-7+1),'_Datos'!$AJ$7:$AJ$200,0),"")</f>
        <v>33</v>
      </c>
    </row>
    <row r="23">
      <c r="B23" s="204" t="str">
        <f>IF($P23="","",INDEX('_Datos'!$AB$7:$AB$200,$P23))</f>
        <v>Alta</v>
      </c>
      <c r="C23" s="204" t="str">
        <f>IF($P23="","",INDEX('_Datos'!$AE$7:$AE$200,$P23))</f>
        <v>Semanal · S2</v>
      </c>
      <c r="D23" s="205" t="str">
        <f>IF($P23="","",INDEX('_Datos'!$F$7:$F$200,$P23))</f>
        <v>Resumen Clientes Petróleo</v>
      </c>
      <c r="E23" s="205" t="str">
        <f>IF($P23="","",INDEX('_Datos'!$G$7:$G$200,$P23))</f>
        <v>Santiago Alonso</v>
      </c>
      <c r="F23" s="206">
        <f>IF($P23="","",INDEX('_Datos'!$H$7:$H$200,$P23))</f>
        <v>46188</v>
      </c>
      <c r="G23" s="204" t="str">
        <f>IF($P23="","",INDEX('_Datos'!$J$7:$J$200,$P23))</f>
        <v>Vencido</v>
      </c>
      <c r="H23" s="208">
        <f>IF($P23="","",INDEX('_Datos'!$K$7:$K$200,$P23))</f>
        <v>-8</v>
      </c>
      <c r="I23" s="208">
        <f>IF($P23="","",INDEX('_Datos'!$S$7:$S$200,$P23))</f>
        <v>-168</v>
      </c>
      <c r="J23" s="208">
        <f>IF($P23="","",INDEX('_Datos'!$T$7:$T$200,$P23))</f>
        <v>0</v>
      </c>
      <c r="K23" s="207">
        <f>IF($P23="","",INDEX('_Datos'!$V$7:$V$200,$P23))</f>
        <v>0.7</v>
      </c>
      <c r="L23" s="208">
        <f>IF($P23="","",INDEX('_Datos'!$W$7:$W$200,$P23))</f>
        <v>8</v>
      </c>
      <c r="M23" s="205" t="str">
        <f>IF($P23="","",INDEX('_Datos'!$AC$7:$AC$200,$P23))</f>
        <v>ATRASO</v>
      </c>
      <c r="P23" s="202">
        <f>IFERROR(MATCH(LARGE('_Datos'!$AJ$7:$AJ$200,ROW()-7+1),'_Datos'!$AJ$7:$AJ$200,0),"")</f>
        <v>34</v>
      </c>
    </row>
    <row r="24">
      <c r="B24" s="204" t="str">
        <f>IF($P24="","",INDEX('_Datos'!$AB$7:$AB$200,$P24))</f>
        <v>Alta</v>
      </c>
      <c r="C24" s="204" t="str">
        <f>IF($P24="","",INDEX('_Datos'!$AE$7:$AE$200,$P24))</f>
        <v>Semanal · S2</v>
      </c>
      <c r="D24" s="205" t="str">
        <f>IF($P24="","",INDEX('_Datos'!$F$7:$F$200,$P24))</f>
        <v>Detalle Responsables (Comerciales + Analistas)</v>
      </c>
      <c r="E24" s="205" t="str">
        <f>IF($P24="","",INDEX('_Datos'!$G$7:$G$200,$P24))</f>
        <v>Santiago Alonso</v>
      </c>
      <c r="F24" s="206">
        <f>IF($P24="","",INDEX('_Datos'!$H$7:$H$200,$P24))</f>
        <v>46188</v>
      </c>
      <c r="G24" s="204" t="str">
        <f>IF($P24="","",INDEX('_Datos'!$J$7:$J$200,$P24))</f>
        <v>Vencido</v>
      </c>
      <c r="H24" s="208">
        <f>IF($P24="","",INDEX('_Datos'!$K$7:$K$200,$P24))</f>
        <v>-8</v>
      </c>
      <c r="I24" s="208">
        <f>IF($P24="","",INDEX('_Datos'!$S$7:$S$200,$P24))</f>
        <v>-21</v>
      </c>
      <c r="J24" s="208">
        <f>IF($P24="","",INDEX('_Datos'!$T$7:$T$200,$P24))</f>
        <v>0</v>
      </c>
      <c r="K24" s="207">
        <f>IF($P24="","",INDEX('_Datos'!$V$7:$V$200,$P24))</f>
        <v>0.5</v>
      </c>
      <c r="L24" s="208">
        <f>IF($P24="","",INDEX('_Datos'!$W$7:$W$200,$P24))</f>
        <v>8</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6">
        <f>IF($P25="","",INDEX('_Datos'!$H$7:$H$200,$P25))</f>
        <v>46192</v>
      </c>
      <c r="G25" s="204" t="str">
        <f>IF($P25="","",INDEX('_Datos'!$J$7:$J$200,$P25))</f>
        <v>Vencido</v>
      </c>
      <c r="H25" s="208">
        <f>IF($P25="","",INDEX('_Datos'!$K$7:$K$200,$P25))</f>
        <v>-4</v>
      </c>
      <c r="I25" s="208">
        <f>IF($P25="","",INDEX('_Datos'!$S$7:$S$200,$P25))</f>
        <v>235</v>
      </c>
      <c r="J25" s="208">
        <f>IF($P25="","",INDEX('_Datos'!$T$7:$T$200,$P25))</f>
        <v>238</v>
      </c>
      <c r="K25" s="207">
        <f>IF($P25="","",INDEX('_Datos'!$V$7:$V$200,$P25))</f>
        <v>-0.25</v>
      </c>
      <c r="L25" s="208">
        <f>IF($P25="","",INDEX('_Datos'!$W$7:$W$200,$P25))</f>
        <v>4</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6">
        <f>IF($P26="","",INDEX('_Datos'!$H$7:$H$200,$P26))</f>
        <v>46192</v>
      </c>
      <c r="G26" s="204" t="str">
        <f>IF($P26="","",INDEX('_Datos'!$J$7:$J$200,$P26))</f>
        <v>Vencido</v>
      </c>
      <c r="H26" s="208">
        <f>IF($P26="","",INDEX('_Datos'!$K$7:$K$200,$P26))</f>
        <v>-4</v>
      </c>
      <c r="I26" s="208">
        <f>IF($P26="","",INDEX('_Datos'!$S$7:$S$200,$P26))</f>
        <v>215</v>
      </c>
      <c r="J26" s="208">
        <f>IF($P26="","",INDEX('_Datos'!$T$7:$T$200,$P26))</f>
        <v>218</v>
      </c>
      <c r="K26" s="207">
        <f>IF($P26="","",INDEX('_Datos'!$V$7:$V$200,$P26))</f>
        <v>-0.25</v>
      </c>
      <c r="L26" s="208">
        <f>IF($P26="","",INDEX('_Datos'!$W$7:$W$200,$P26))</f>
        <v>4</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Relevamiento Últimos Sueldos de referencia Monotributistas</v>
      </c>
      <c r="E27" s="205" t="str">
        <f>IF($P27="","",INDEX('_Datos'!$G$7:$G$200,$P27))</f>
        <v>Santiago Alonso</v>
      </c>
      <c r="F27" s="206">
        <f>IF($P27="","",INDEX('_Datos'!$H$7:$H$200,$P27))</f>
        <v>46192</v>
      </c>
      <c r="G27" s="204" t="str">
        <f>IF($P27="","",INDEX('_Datos'!$J$7:$J$200,$P27))</f>
        <v>Vencido</v>
      </c>
      <c r="H27" s="208">
        <f>IF($P27="","",INDEX('_Datos'!$K$7:$K$200,$P27))</f>
        <v>-4</v>
      </c>
      <c r="I27" s="208">
        <f>IF($P27="","",INDEX('_Datos'!$S$7:$S$200,$P27))</f>
        <v>-152</v>
      </c>
      <c r="J27" s="208">
        <f>IF($P27="","",INDEX('_Datos'!$T$7:$T$200,$P27))</f>
        <v>0</v>
      </c>
      <c r="K27" s="207">
        <f>IF($P27="","",INDEX('_Datos'!$V$7:$V$200,$P27))</f>
        <v>0.5</v>
      </c>
      <c r="L27" s="208">
        <f>IF($P27="","",INDEX('_Datos'!$W$7:$W$200,$P27))</f>
        <v>4</v>
      </c>
      <c r="M27" s="205" t="str">
        <f>IF($P27="","",INDEX('_Datos'!$AC$7:$AC$200,$P27))</f>
        <v>ATRASO</v>
      </c>
      <c r="P27" s="202">
        <f>IFERROR(MATCH(LARGE('_Datos'!$AJ$7:$AJ$200,ROW()-7+1),'_Datos'!$AJ$7:$AJ$200,0),"")</f>
        <v>7</v>
      </c>
    </row>
    <row r="28">
      <c r="B28" s="204" t="str">
        <f>IF($P28="","",INDEX('_Datos'!$AB$7:$AB$200,$P28))</f>
        <v>Alta</v>
      </c>
      <c r="C28" s="204" t="str">
        <f>IF($P28="","",INDEX('_Datos'!$AE$7:$AE$200,$P28))</f>
        <v>Quincenal · S1</v>
      </c>
      <c r="D28" s="205" t="str">
        <f>IF($P28="","",INDEX('_Datos'!$F$7:$F$200,$P28))</f>
        <v>Asociar Archivo Móviles y Tráilers (Nico Sifuentes) + procedimiento</v>
      </c>
      <c r="E28" s="205" t="str">
        <f>IF($P28="","",INDEX('_Datos'!$G$7:$G$200,$P28))</f>
        <v>Santiago Alonso</v>
      </c>
      <c r="F28" s="206">
        <f>IF($P28="","",INDEX('_Datos'!$H$7:$H$200,$P28))</f>
        <v>46192</v>
      </c>
      <c r="G28" s="204" t="str">
        <f>IF($P28="","",INDEX('_Datos'!$J$7:$J$200,$P28))</f>
        <v>Vencido</v>
      </c>
      <c r="H28" s="208">
        <f>IF($P28="","",INDEX('_Datos'!$K$7:$K$200,$P28))</f>
        <v>-4</v>
      </c>
      <c r="I28" s="208">
        <f>IF($P28="","",INDEX('_Datos'!$S$7:$S$200,$P28))</f>
        <v>201</v>
      </c>
      <c r="J28" s="208">
        <f>IF($P28="","",INDEX('_Datos'!$T$7:$T$200,$P28))</f>
        <v>204</v>
      </c>
      <c r="K28" s="207">
        <f>IF($P28="","",INDEX('_Datos'!$V$7:$V$200,$P28))</f>
        <v>-0.050000000000000044</v>
      </c>
      <c r="L28" s="208">
        <f>IF($P28="","",INDEX('_Datos'!$W$7:$W$200,$P28))</f>
        <v>4</v>
      </c>
      <c r="M28" s="205" t="str">
        <f>IF($P28="","",INDEX('_Datos'!$AC$7:$AC$200,$P28))</f>
        <v>ATRASO</v>
      </c>
      <c r="P28" s="202">
        <f>IFERROR(MATCH(LARGE('_Datos'!$AJ$7:$AJ$200,ROW()-7+1),'_Datos'!$AJ$7:$AJ$200,0),"")</f>
        <v>9</v>
      </c>
    </row>
    <row r="29">
      <c r="B29" s="204" t="str">
        <f>IF($P29="","",INDEX('_Datos'!$AB$7:$AB$200,$P29))</f>
        <v>Alta</v>
      </c>
      <c r="C29" s="204" t="str">
        <f>IF($P29="","",INDEX('_Datos'!$AE$7:$AE$200,$P29))</f>
        <v>Semanal · S2</v>
      </c>
      <c r="D29" s="205" t="str">
        <f>IF($P29="","",INDEX('_Datos'!$F$7:$F$200,$P29))</f>
        <v>Armado de Procedimiento</v>
      </c>
      <c r="E29" s="205" t="str">
        <f>IF($P29="","",INDEX('_Datos'!$G$7:$G$200,$P29))</f>
        <v>Santiago Alonso</v>
      </c>
      <c r="F29" s="206">
        <f>IF($P29="","",INDEX('_Datos'!$H$7:$H$200,$P29))</f>
        <v>46192</v>
      </c>
      <c r="G29" s="204" t="str">
        <f>IF($P29="","",INDEX('_Datos'!$J$7:$J$200,$P29))</f>
        <v>Vencido</v>
      </c>
      <c r="H29" s="208">
        <f>IF($P29="","",INDEX('_Datos'!$K$7:$K$200,$P29))</f>
        <v>-4</v>
      </c>
      <c r="I29" s="208">
        <f>IF($P29="","",INDEX('_Datos'!$S$7:$S$200,$P29))</f>
        <v>11</v>
      </c>
      <c r="J29" s="208">
        <f>IF($P29="","",INDEX('_Datos'!$T$7:$T$200,$P29))</f>
        <v>14</v>
      </c>
      <c r="K29" s="207">
        <f>IF($P29="","",INDEX('_Datos'!$V$7:$V$200,$P29))</f>
        <v>-0.09999999999999998</v>
      </c>
      <c r="L29" s="208">
        <f>IF($P29="","",INDEX('_Datos'!$W$7:$W$200,$P29))</f>
        <v>4</v>
      </c>
      <c r="M29" s="205" t="str">
        <f>IF($P29="","",INDEX('_Datos'!$AC$7:$AC$200,$P29))</f>
        <v>ATRASO</v>
      </c>
      <c r="P29" s="202">
        <f>IFERROR(MATCH(LARGE('_Datos'!$AJ$7:$AJ$200,ROW()-7+1),'_Datos'!$AJ$7:$AJ$200,0),"")</f>
        <v>17</v>
      </c>
    </row>
    <row r="30">
      <c r="B30" s="204" t="str">
        <f>IF($P30="","",INDEX('_Datos'!$AB$7:$AB$200,$P30))</f>
        <v>Alta</v>
      </c>
      <c r="C30" s="204" t="str">
        <f>IF($P30="","",INDEX('_Datos'!$AE$7:$AE$200,$P30))</f>
        <v>Semanal · S2</v>
      </c>
      <c r="D30" s="205" t="str">
        <f>IF($P30="","",INDEX('_Datos'!$F$7:$F$200,$P30))</f>
        <v>Revisión de Gráfico en cascada: por desvío y desagregación por categorías.</v>
      </c>
      <c r="E30" s="205" t="str">
        <f>IF($P30="","",INDEX('_Datos'!$G$7:$G$200,$P30))</f>
        <v>Santiago Alonso</v>
      </c>
      <c r="F30" s="206">
        <f>IF($P30="","",INDEX('_Datos'!$H$7:$H$200,$P30))</f>
        <v>46192</v>
      </c>
      <c r="G30" s="204" t="str">
        <f>IF($P30="","",INDEX('_Datos'!$J$7:$J$200,$P30))</f>
        <v>Vencido</v>
      </c>
      <c r="H30" s="208">
        <f>IF($P30="","",INDEX('_Datos'!$K$7:$K$200,$P30))</f>
        <v>-4</v>
      </c>
      <c r="I30" s="208">
        <f>IF($P30="","",INDEX('_Datos'!$S$7:$S$200,$P30))</f>
        <v>16</v>
      </c>
      <c r="J30" s="208">
        <f>IF($P30="","",INDEX('_Datos'!$T$7:$T$200,$P30))</f>
        <v>19</v>
      </c>
      <c r="K30" s="207">
        <f>IF($P30="","",INDEX('_Datos'!$V$7:$V$200,$P30))</f>
        <v>-0.09999999999999998</v>
      </c>
      <c r="L30" s="208">
        <f>IF($P30="","",INDEX('_Datos'!$W$7:$W$200,$P30))</f>
        <v>4</v>
      </c>
      <c r="M30" s="205" t="str">
        <f>IF($P30="","",INDEX('_Datos'!$AC$7:$AC$200,$P30))</f>
        <v>ATRASO</v>
      </c>
      <c r="P30" s="202">
        <f>IFERROR(MATCH(LARGE('_Datos'!$AJ$7:$AJ$200,ROW()-7+1),'_Datos'!$AJ$7:$AJ$200,0),"")</f>
        <v>18</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6">
        <f>IF($P31="","",INDEX('_Datos'!$H$7:$H$200,$P31))</f>
        <v>46192</v>
      </c>
      <c r="G31" s="204" t="str">
        <f>IF($P31="","",INDEX('_Datos'!$J$7:$J$200,$P31))</f>
        <v>Completado</v>
      </c>
      <c r="H31" s="208">
        <f>IF($P31="","",INDEX('_Datos'!$K$7:$K$200,$P31))</f>
        <v>-4</v>
      </c>
      <c r="I31" s="208">
        <f>IF($P31="","",INDEX('_Datos'!$S$7:$S$200,$P31))</f>
        <v>235</v>
      </c>
      <c r="J31" s="208">
        <f>IF($P31="","",INDEX('_Datos'!$T$7:$T$200,$P31))</f>
        <v>238</v>
      </c>
      <c r="K31" s="207">
        <f>IF($P31="","",INDEX('_Datos'!$V$7:$V$200,$P31))</f>
        <v>0</v>
      </c>
      <c r="L31" s="208">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6">
        <f>IF($P32="","",INDEX('_Datos'!$H$7:$H$200,$P32))</f>
        <v>46192</v>
      </c>
      <c r="G32" s="204" t="str">
        <f>IF($P32="","",INDEX('_Datos'!$J$7:$J$200,$P32))</f>
        <v>Completado</v>
      </c>
      <c r="H32" s="208">
        <f>IF($P32="","",INDEX('_Datos'!$K$7:$K$200,$P32))</f>
        <v>-4</v>
      </c>
      <c r="I32" s="208">
        <f>IF($P32="","",INDEX('_Datos'!$S$7:$S$200,$P32))</f>
        <v>11</v>
      </c>
      <c r="J32" s="208">
        <f>IF($P32="","",INDEX('_Datos'!$T$7:$T$200,$P32))</f>
        <v>14</v>
      </c>
      <c r="K32" s="207">
        <f>IF($P32="","",INDEX('_Datos'!$V$7:$V$200,$P32))</f>
        <v>0</v>
      </c>
      <c r="L32" s="208">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6">
        <f>IF($P33="","",INDEX('_Datos'!$H$7:$H$200,$P33))</f>
      </c>
      <c r="G33" s="204">
        <f>IF($P33="","",INDEX('_Datos'!$J$7:$J$200,$P33))</f>
      </c>
      <c r="H33" s="208">
        <f>IF($P33="","",INDEX('_Datos'!$K$7:$K$200,$P33))</f>
      </c>
      <c r="I33" s="208">
        <f>IF($P33="","",INDEX('_Datos'!$S$7:$S$200,$P33))</f>
      </c>
      <c r="J33" s="208">
        <f>IF($P33="","",INDEX('_Datos'!$T$7:$T$200,$P33))</f>
      </c>
      <c r="K33" s="207">
        <f>IF($P33="","",INDEX('_Datos'!$V$7:$V$200,$P33))</f>
      </c>
      <c r="L33" s="208">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6">
        <f>IF($P34="","",INDEX('_Datos'!$H$7:$H$200,$P34))</f>
      </c>
      <c r="G34" s="204">
        <f>IF($P34="","",INDEX('_Datos'!$J$7:$J$200,$P34))</f>
      </c>
      <c r="H34" s="208">
        <f>IF($P34="","",INDEX('_Datos'!$K$7:$K$200,$P34))</f>
      </c>
      <c r="I34" s="208">
        <f>IF($P34="","",INDEX('_Datos'!$S$7:$S$200,$P34))</f>
      </c>
      <c r="J34" s="208">
        <f>IF($P34="","",INDEX('_Datos'!$T$7:$T$200,$P34))</f>
      </c>
      <c r="K34" s="207">
        <f>IF($P34="","",INDEX('_Datos'!$V$7:$V$200,$P34))</f>
      </c>
      <c r="L34" s="208">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6">
        <f>IF($P35="","",INDEX('_Datos'!$H$7:$H$200,$P35))</f>
      </c>
      <c r="G35" s="204">
        <f>IF($P35="","",INDEX('_Datos'!$J$7:$J$200,$P35))</f>
      </c>
      <c r="H35" s="208">
        <f>IF($P35="","",INDEX('_Datos'!$K$7:$K$200,$P35))</f>
      </c>
      <c r="I35" s="208">
        <f>IF($P35="","",INDEX('_Datos'!$S$7:$S$200,$P35))</f>
      </c>
      <c r="J35" s="208">
        <f>IF($P35="","",INDEX('_Datos'!$T$7:$T$200,$P35))</f>
      </c>
      <c r="K35" s="207">
        <f>IF($P35="","",INDEX('_Datos'!$V$7:$V$200,$P35))</f>
      </c>
      <c r="L35" s="208">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6">
        <f>IF($P36="","",INDEX('_Datos'!$H$7:$H$200,$P36))</f>
      </c>
      <c r="G36" s="204">
        <f>IF($P36="","",INDEX('_Datos'!$J$7:$J$200,$P36))</f>
      </c>
      <c r="H36" s="208">
        <f>IF($P36="","",INDEX('_Datos'!$K$7:$K$200,$P36))</f>
      </c>
      <c r="I36" s="208">
        <f>IF($P36="","",INDEX('_Datos'!$S$7:$S$200,$P36))</f>
      </c>
      <c r="J36" s="208">
        <f>IF($P36="","",INDEX('_Datos'!$T$7:$T$200,$P36))</f>
      </c>
      <c r="K36" s="207">
        <f>IF($P36="","",INDEX('_Datos'!$V$7:$V$200,$P36))</f>
      </c>
      <c r="L36" s="208">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6">
        <f>IF($P37="","",INDEX('_Datos'!$H$7:$H$200,$P37))</f>
      </c>
      <c r="G37" s="204">
        <f>IF($P37="","",INDEX('_Datos'!$J$7:$J$200,$P37))</f>
      </c>
      <c r="H37" s="208">
        <f>IF($P37="","",INDEX('_Datos'!$K$7:$K$200,$P37))</f>
      </c>
      <c r="I37" s="208">
        <f>IF($P37="","",INDEX('_Datos'!$S$7:$S$200,$P37))</f>
      </c>
      <c r="J37" s="208">
        <f>IF($P37="","",INDEX('_Datos'!$T$7:$T$200,$P37))</f>
      </c>
      <c r="K37" s="207">
        <f>IF($P37="","",INDEX('_Datos'!$V$7:$V$200,$P37))</f>
      </c>
      <c r="L37" s="208">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6">
        <f>IF($P38="","",INDEX('_Datos'!$H$7:$H$200,$P38))</f>
      </c>
      <c r="G38" s="204">
        <f>IF($P38="","",INDEX('_Datos'!$J$7:$J$200,$P38))</f>
      </c>
      <c r="H38" s="208">
        <f>IF($P38="","",INDEX('_Datos'!$K$7:$K$200,$P38))</f>
      </c>
      <c r="I38" s="208">
        <f>IF($P38="","",INDEX('_Datos'!$S$7:$S$200,$P38))</f>
      </c>
      <c r="J38" s="208">
        <f>IF($P38="","",INDEX('_Datos'!$T$7:$T$200,$P38))</f>
      </c>
      <c r="K38" s="207">
        <f>IF($P38="","",INDEX('_Datos'!$V$7:$V$200,$P38))</f>
      </c>
      <c r="L38" s="208">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6">
        <f>IF($P39="","",INDEX('_Datos'!$H$7:$H$200,$P39))</f>
      </c>
      <c r="G39" s="204">
        <f>IF($P39="","",INDEX('_Datos'!$J$7:$J$200,$P39))</f>
      </c>
      <c r="H39" s="208">
        <f>IF($P39="","",INDEX('_Datos'!$K$7:$K$200,$P39))</f>
      </c>
      <c r="I39" s="208">
        <f>IF($P39="","",INDEX('_Datos'!$S$7:$S$200,$P39))</f>
      </c>
      <c r="J39" s="208">
        <f>IF($P39="","",INDEX('_Datos'!$T$7:$T$200,$P39))</f>
      </c>
      <c r="K39" s="207">
        <f>IF($P39="","",INDEX('_Datos'!$V$7:$V$200,$P39))</f>
      </c>
      <c r="L39" s="208">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6">
        <f>IF($P40="","",INDEX('_Datos'!$H$7:$H$200,$P40))</f>
      </c>
      <c r="G40" s="204">
        <f>IF($P40="","",INDEX('_Datos'!$J$7:$J$200,$P40))</f>
      </c>
      <c r="H40" s="208">
        <f>IF($P40="","",INDEX('_Datos'!$K$7:$K$200,$P40))</f>
      </c>
      <c r="I40" s="208">
        <f>IF($P40="","",INDEX('_Datos'!$S$7:$S$200,$P40))</f>
      </c>
      <c r="J40" s="208">
        <f>IF($P40="","",INDEX('_Datos'!$T$7:$T$200,$P40))</f>
      </c>
      <c r="K40" s="207">
        <f>IF($P40="","",INDEX('_Datos'!$V$7:$V$200,$P40))</f>
      </c>
      <c r="L40" s="208">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6">
        <f>IF($P41="","",INDEX('_Datos'!$H$7:$H$200,$P41))</f>
      </c>
      <c r="G41" s="204">
        <f>IF($P41="","",INDEX('_Datos'!$J$7:$J$200,$P41))</f>
      </c>
      <c r="H41" s="208">
        <f>IF($P41="","",INDEX('_Datos'!$K$7:$K$200,$P41))</f>
      </c>
      <c r="I41" s="208">
        <f>IF($P41="","",INDEX('_Datos'!$S$7:$S$200,$P41))</f>
      </c>
      <c r="J41" s="208">
        <f>IF($P41="","",INDEX('_Datos'!$T$7:$T$200,$P41))</f>
      </c>
      <c r="K41" s="207">
        <f>IF($P41="","",INDEX('_Datos'!$V$7:$V$200,$P41))</f>
      </c>
      <c r="L41" s="208">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6">
        <f>IF($P42="","",INDEX('_Datos'!$H$7:$H$200,$P42))</f>
      </c>
      <c r="G42" s="204">
        <f>IF($P42="","",INDEX('_Datos'!$J$7:$J$200,$P42))</f>
      </c>
      <c r="H42" s="208">
        <f>IF($P42="","",INDEX('_Datos'!$K$7:$K$200,$P42))</f>
      </c>
      <c r="I42" s="208">
        <f>IF($P42="","",INDEX('_Datos'!$S$7:$S$200,$P42))</f>
      </c>
      <c r="J42" s="208">
        <f>IF($P42="","",INDEX('_Datos'!$T$7:$T$200,$P42))</f>
      </c>
      <c r="K42" s="207">
        <f>IF($P42="","",INDEX('_Datos'!$V$7:$V$200,$P42))</f>
      </c>
      <c r="L42" s="208">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6">
        <f>IF($P43="","",INDEX('_Datos'!$H$7:$H$200,$P43))</f>
      </c>
      <c r="G43" s="204">
        <f>IF($P43="","",INDEX('_Datos'!$J$7:$J$200,$P43))</f>
      </c>
      <c r="H43" s="208">
        <f>IF($P43="","",INDEX('_Datos'!$K$7:$K$200,$P43))</f>
      </c>
      <c r="I43" s="208">
        <f>IF($P43="","",INDEX('_Datos'!$S$7:$S$200,$P43))</f>
      </c>
      <c r="J43" s="208">
        <f>IF($P43="","",INDEX('_Datos'!$T$7:$T$200,$P43))</f>
      </c>
      <c r="K43" s="207">
        <f>IF($P43="","",INDEX('_Datos'!$V$7:$V$200,$P43))</f>
      </c>
      <c r="L43" s="208">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6">
        <f>IF($P44="","",INDEX('_Datos'!$H$7:$H$200,$P44))</f>
      </c>
      <c r="G44" s="204">
        <f>IF($P44="","",INDEX('_Datos'!$J$7:$J$200,$P44))</f>
      </c>
      <c r="H44" s="208">
        <f>IF($P44="","",INDEX('_Datos'!$K$7:$K$200,$P44))</f>
      </c>
      <c r="I44" s="208">
        <f>IF($P44="","",INDEX('_Datos'!$S$7:$S$200,$P44))</f>
      </c>
      <c r="J44" s="208">
        <f>IF($P44="","",INDEX('_Datos'!$T$7:$T$200,$P44))</f>
      </c>
      <c r="K44" s="207">
        <f>IF($P44="","",INDEX('_Datos'!$V$7:$V$200,$P44))</f>
      </c>
      <c r="L44" s="208">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6">
        <f>IF($P45="","",INDEX('_Datos'!$H$7:$H$200,$P45))</f>
      </c>
      <c r="G45" s="204">
        <f>IF($P45="","",INDEX('_Datos'!$J$7:$J$200,$P45))</f>
      </c>
      <c r="H45" s="208">
        <f>IF($P45="","",INDEX('_Datos'!$K$7:$K$200,$P45))</f>
      </c>
      <c r="I45" s="208">
        <f>IF($P45="","",INDEX('_Datos'!$S$7:$S$200,$P45))</f>
      </c>
      <c r="J45" s="208">
        <f>IF($P45="","",INDEX('_Datos'!$T$7:$T$200,$P45))</f>
      </c>
      <c r="K45" s="207">
        <f>IF($P45="","",INDEX('_Datos'!$V$7:$V$200,$P45))</f>
      </c>
      <c r="L45" s="208">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6">
        <f>IF($P46="","",INDEX('_Datos'!$H$7:$H$200,$P46))</f>
      </c>
      <c r="G46" s="204">
        <f>IF($P46="","",INDEX('_Datos'!$J$7:$J$200,$P46))</f>
      </c>
      <c r="H46" s="208">
        <f>IF($P46="","",INDEX('_Datos'!$K$7:$K$200,$P46))</f>
      </c>
      <c r="I46" s="208">
        <f>IF($P46="","",INDEX('_Datos'!$S$7:$S$200,$P46))</f>
      </c>
      <c r="J46" s="208">
        <f>IF($P46="","",INDEX('_Datos'!$T$7:$T$200,$P46))</f>
      </c>
      <c r="K46" s="207">
        <f>IF($P46="","",INDEX('_Datos'!$V$7:$V$200,$P46))</f>
      </c>
      <c r="L46" s="208">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6">
        <f>IF($P47="","",INDEX('_Datos'!$H$7:$H$200,$P47))</f>
      </c>
      <c r="G47" s="204">
        <f>IF($P47="","",INDEX('_Datos'!$J$7:$J$200,$P47))</f>
      </c>
      <c r="H47" s="208">
        <f>IF($P47="","",INDEX('_Datos'!$K$7:$K$200,$P47))</f>
      </c>
      <c r="I47" s="208">
        <f>IF($P47="","",INDEX('_Datos'!$S$7:$S$200,$P47))</f>
      </c>
      <c r="J47" s="208">
        <f>IF($P47="","",INDEX('_Datos'!$T$7:$T$200,$P47))</f>
      </c>
      <c r="K47" s="207">
        <f>IF($P47="","",INDEX('_Datos'!$V$7:$V$200,$P47))</f>
      </c>
      <c r="L47" s="208">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6">
        <f>IF($P48="","",INDEX('_Datos'!$H$7:$H$200,$P48))</f>
      </c>
      <c r="G48" s="204">
        <f>IF($P48="","",INDEX('_Datos'!$J$7:$J$200,$P48))</f>
      </c>
      <c r="H48" s="208">
        <f>IF($P48="","",INDEX('_Datos'!$K$7:$K$200,$P48))</f>
      </c>
      <c r="I48" s="208">
        <f>IF($P48="","",INDEX('_Datos'!$S$7:$S$200,$P48))</f>
      </c>
      <c r="J48" s="208">
        <f>IF($P48="","",INDEX('_Datos'!$T$7:$T$200,$P48))</f>
      </c>
      <c r="K48" s="207">
        <f>IF($P48="","",INDEX('_Datos'!$V$7:$V$200,$P48))</f>
      </c>
      <c r="L48" s="208">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6">
        <f>IF($P49="","",INDEX('_Datos'!$H$7:$H$200,$P49))</f>
      </c>
      <c r="G49" s="204">
        <f>IF($P49="","",INDEX('_Datos'!$J$7:$J$200,$P49))</f>
      </c>
      <c r="H49" s="208">
        <f>IF($P49="","",INDEX('_Datos'!$K$7:$K$200,$P49))</f>
      </c>
      <c r="I49" s="208">
        <f>IF($P49="","",INDEX('_Datos'!$S$7:$S$200,$P49))</f>
      </c>
      <c r="J49" s="208">
        <f>IF($P49="","",INDEX('_Datos'!$T$7:$T$200,$P49))</f>
      </c>
      <c r="K49" s="207">
        <f>IF($P49="","",INDEX('_Datos'!$V$7:$V$200,$P49))</f>
      </c>
      <c r="L49" s="208">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6">
        <f>IF($P50="","",INDEX('_Datos'!$H$7:$H$200,$P50))</f>
      </c>
      <c r="G50" s="204">
        <f>IF($P50="","",INDEX('_Datos'!$J$7:$J$200,$P50))</f>
      </c>
      <c r="H50" s="208">
        <f>IF($P50="","",INDEX('_Datos'!$K$7:$K$200,$P50))</f>
      </c>
      <c r="I50" s="208">
        <f>IF($P50="","",INDEX('_Datos'!$S$7:$S$200,$P50))</f>
      </c>
      <c r="J50" s="208">
        <f>IF($P50="","",INDEX('_Datos'!$T$7:$T$200,$P50))</f>
      </c>
      <c r="K50" s="207">
        <f>IF($P50="","",INDEX('_Datos'!$V$7:$V$200,$P50))</f>
      </c>
      <c r="L50" s="208">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6">
        <f>IF($P51="","",INDEX('_Datos'!$H$7:$H$200,$P51))</f>
      </c>
      <c r="G51" s="204">
        <f>IF($P51="","",INDEX('_Datos'!$J$7:$J$200,$P51))</f>
      </c>
      <c r="H51" s="208">
        <f>IF($P51="","",INDEX('_Datos'!$K$7:$K$200,$P51))</f>
      </c>
      <c r="I51" s="208">
        <f>IF($P51="","",INDEX('_Datos'!$S$7:$S$200,$P51))</f>
      </c>
      <c r="J51" s="208">
        <f>IF($P51="","",INDEX('_Datos'!$T$7:$T$200,$P51))</f>
      </c>
      <c r="K51" s="207">
        <f>IF($P51="","",INDEX('_Datos'!$V$7:$V$200,$P51))</f>
      </c>
      <c r="L51" s="208">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6">
        <f>IF($P52="","",INDEX('_Datos'!$H$7:$H$200,$P52))</f>
      </c>
      <c r="G52" s="204">
        <f>IF($P52="","",INDEX('_Datos'!$J$7:$J$200,$P52))</f>
      </c>
      <c r="H52" s="208">
        <f>IF($P52="","",INDEX('_Datos'!$K$7:$K$200,$P52))</f>
      </c>
      <c r="I52" s="208">
        <f>IF($P52="","",INDEX('_Datos'!$S$7:$S$200,$P52))</f>
      </c>
      <c r="J52" s="208">
        <f>IF($P52="","",INDEX('_Datos'!$T$7:$T$200,$P52))</f>
      </c>
      <c r="K52" s="207">
        <f>IF($P52="","",INDEX('_Datos'!$V$7:$V$200,$P52))</f>
      </c>
      <c r="L52" s="208">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6">
        <f>IF($P53="","",INDEX('_Datos'!$H$7:$H$200,$P53))</f>
      </c>
      <c r="G53" s="204">
        <f>IF($P53="","",INDEX('_Datos'!$J$7:$J$200,$P53))</f>
      </c>
      <c r="H53" s="208">
        <f>IF($P53="","",INDEX('_Datos'!$K$7:$K$200,$P53))</f>
      </c>
      <c r="I53" s="208">
        <f>IF($P53="","",INDEX('_Datos'!$S$7:$S$200,$P53))</f>
      </c>
      <c r="J53" s="208">
        <f>IF($P53="","",INDEX('_Datos'!$T$7:$T$200,$P53))</f>
      </c>
      <c r="K53" s="207">
        <f>IF($P53="","",INDEX('_Datos'!$V$7:$V$200,$P53))</f>
      </c>
      <c r="L53" s="208">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6">
        <f>IF($P54="","",INDEX('_Datos'!$H$7:$H$200,$P54))</f>
      </c>
      <c r="G54" s="204">
        <f>IF($P54="","",INDEX('_Datos'!$J$7:$J$200,$P54))</f>
      </c>
      <c r="H54" s="208">
        <f>IF($P54="","",INDEX('_Datos'!$K$7:$K$200,$P54))</f>
      </c>
      <c r="I54" s="208">
        <f>IF($P54="","",INDEX('_Datos'!$S$7:$S$200,$P54))</f>
      </c>
      <c r="J54" s="208">
        <f>IF($P54="","",INDEX('_Datos'!$T$7:$T$200,$P54))</f>
      </c>
      <c r="K54" s="207">
        <f>IF($P54="","",INDEX('_Datos'!$V$7:$V$200,$P54))</f>
      </c>
      <c r="L54" s="208">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6">
        <f>IF($P55="","",INDEX('_Datos'!$H$7:$H$200,$P55))</f>
      </c>
      <c r="G55" s="204">
        <f>IF($P55="","",INDEX('_Datos'!$J$7:$J$200,$P55))</f>
      </c>
      <c r="H55" s="208">
        <f>IF($P55="","",INDEX('_Datos'!$K$7:$K$200,$P55))</f>
      </c>
      <c r="I55" s="208">
        <f>IF($P55="","",INDEX('_Datos'!$S$7:$S$200,$P55))</f>
      </c>
      <c r="J55" s="208">
        <f>IF($P55="","",INDEX('_Datos'!$T$7:$T$200,$P55))</f>
      </c>
      <c r="K55" s="207">
        <f>IF($P55="","",INDEX('_Datos'!$V$7:$V$200,$P55))</f>
      </c>
      <c r="L55" s="208">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6">
        <f>IF($P56="","",INDEX('_Datos'!$H$7:$H$200,$P56))</f>
      </c>
      <c r="G56" s="204">
        <f>IF($P56="","",INDEX('_Datos'!$J$7:$J$200,$P56))</f>
      </c>
      <c r="H56" s="208">
        <f>IF($P56="","",INDEX('_Datos'!$K$7:$K$200,$P56))</f>
      </c>
      <c r="I56" s="208">
        <f>IF($P56="","",INDEX('_Datos'!$S$7:$S$200,$P56))</f>
      </c>
      <c r="J56" s="208">
        <f>IF($P56="","",INDEX('_Datos'!$T$7:$T$200,$P56))</f>
      </c>
      <c r="K56" s="207">
        <f>IF($P56="","",INDEX('_Datos'!$V$7:$V$200,$P56))</f>
      </c>
      <c r="L56" s="208">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6">
        <f>IF($P57="","",INDEX('_Datos'!$H$7:$H$200,$P57))</f>
      </c>
      <c r="G57" s="204">
        <f>IF($P57="","",INDEX('_Datos'!$J$7:$J$200,$P57))</f>
      </c>
      <c r="H57" s="208">
        <f>IF($P57="","",INDEX('_Datos'!$K$7:$K$200,$P57))</f>
      </c>
      <c r="I57" s="208">
        <f>IF($P57="","",INDEX('_Datos'!$S$7:$S$200,$P57))</f>
      </c>
      <c r="J57" s="208">
        <f>IF($P57="","",INDEX('_Datos'!$T$7:$T$200,$P57))</f>
      </c>
      <c r="K57" s="207">
        <f>IF($P57="","",INDEX('_Datos'!$V$7:$V$200,$P57))</f>
      </c>
      <c r="L57" s="208">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6">
        <f>IF($P58="","",INDEX('_Datos'!$H$7:$H$200,$P58))</f>
      </c>
      <c r="G58" s="204">
        <f>IF($P58="","",INDEX('_Datos'!$J$7:$J$200,$P58))</f>
      </c>
      <c r="H58" s="208">
        <f>IF($P58="","",INDEX('_Datos'!$K$7:$K$200,$P58))</f>
      </c>
      <c r="I58" s="208">
        <f>IF($P58="","",INDEX('_Datos'!$S$7:$S$200,$P58))</f>
      </c>
      <c r="J58" s="208">
        <f>IF($P58="","",INDEX('_Datos'!$T$7:$T$200,$P58))</f>
      </c>
      <c r="K58" s="207">
        <f>IF($P58="","",INDEX('_Datos'!$V$7:$V$200,$P58))</f>
      </c>
      <c r="L58" s="208">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6">
        <f>IF($P59="","",INDEX('_Datos'!$H$7:$H$200,$P59))</f>
      </c>
      <c r="G59" s="204">
        <f>IF($P59="","",INDEX('_Datos'!$J$7:$J$200,$P59))</f>
      </c>
      <c r="H59" s="208">
        <f>IF($P59="","",INDEX('_Datos'!$K$7:$K$200,$P59))</f>
      </c>
      <c r="I59" s="208">
        <f>IF($P59="","",INDEX('_Datos'!$S$7:$S$200,$P59))</f>
      </c>
      <c r="J59" s="208">
        <f>IF($P59="","",INDEX('_Datos'!$T$7:$T$200,$P59))</f>
      </c>
      <c r="K59" s="207">
        <f>IF($P59="","",INDEX('_Datos'!$V$7:$V$200,$P59))</f>
      </c>
      <c r="L59" s="208">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6">
        <f>IF($P60="","",INDEX('_Datos'!$H$7:$H$200,$P60))</f>
      </c>
      <c r="G60" s="204">
        <f>IF($P60="","",INDEX('_Datos'!$J$7:$J$200,$P60))</f>
      </c>
      <c r="H60" s="208">
        <f>IF($P60="","",INDEX('_Datos'!$K$7:$K$200,$P60))</f>
      </c>
      <c r="I60" s="208">
        <f>IF($P60="","",INDEX('_Datos'!$S$7:$S$200,$P60))</f>
      </c>
      <c r="J60" s="208">
        <f>IF($P60="","",INDEX('_Datos'!$T$7:$T$200,$P60))</f>
      </c>
      <c r="K60" s="207">
        <f>IF($P60="","",INDEX('_Datos'!$V$7:$V$200,$P60))</f>
      </c>
      <c r="L60" s="208">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6">
        <f>IF($P61="","",INDEX('_Datos'!$H$7:$H$200,$P61))</f>
      </c>
      <c r="G61" s="204">
        <f>IF($P61="","",INDEX('_Datos'!$J$7:$J$200,$P61))</f>
      </c>
      <c r="H61" s="208">
        <f>IF($P61="","",INDEX('_Datos'!$K$7:$K$200,$P61))</f>
      </c>
      <c r="I61" s="208">
        <f>IF($P61="","",INDEX('_Datos'!$S$7:$S$200,$P61))</f>
      </c>
      <c r="J61" s="208">
        <f>IF($P61="","",INDEX('_Datos'!$T$7:$T$200,$P61))</f>
      </c>
      <c r="K61" s="207">
        <f>IF($P61="","",INDEX('_Datos'!$V$7:$V$200,$P61))</f>
      </c>
      <c r="L61" s="208">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6">
        <f>IF($P62="","",INDEX('_Datos'!$H$7:$H$200,$P62))</f>
      </c>
      <c r="G62" s="204">
        <f>IF($P62="","",INDEX('_Datos'!$J$7:$J$200,$P62))</f>
      </c>
      <c r="H62" s="208">
        <f>IF($P62="","",INDEX('_Datos'!$K$7:$K$200,$P62))</f>
      </c>
      <c r="I62" s="208">
        <f>IF($P62="","",INDEX('_Datos'!$S$7:$S$200,$P62))</f>
      </c>
      <c r="J62" s="208">
        <f>IF($P62="","",INDEX('_Datos'!$T$7:$T$200,$P62))</f>
      </c>
      <c r="K62" s="207">
        <f>IF($P62="","",INDEX('_Datos'!$V$7:$V$200,$P62))</f>
      </c>
      <c r="L62" s="208">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6">
        <f>IF($P63="","",INDEX('_Datos'!$H$7:$H$200,$P63))</f>
      </c>
      <c r="G63" s="204">
        <f>IF($P63="","",INDEX('_Datos'!$J$7:$J$200,$P63))</f>
      </c>
      <c r="H63" s="208">
        <f>IF($P63="","",INDEX('_Datos'!$K$7:$K$200,$P63))</f>
      </c>
      <c r="I63" s="208">
        <f>IF($P63="","",INDEX('_Datos'!$S$7:$S$200,$P63))</f>
      </c>
      <c r="J63" s="208">
        <f>IF($P63="","",INDEX('_Datos'!$T$7:$T$200,$P63))</f>
      </c>
      <c r="K63" s="207">
        <f>IF($P63="","",INDEX('_Datos'!$V$7:$V$200,$P63))</f>
      </c>
      <c r="L63" s="208">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6">
        <f>IF($P64="","",INDEX('_Datos'!$H$7:$H$200,$P64))</f>
      </c>
      <c r="G64" s="204">
        <f>IF($P64="","",INDEX('_Datos'!$J$7:$J$200,$P64))</f>
      </c>
      <c r="H64" s="208">
        <f>IF($P64="","",INDEX('_Datos'!$K$7:$K$200,$P64))</f>
      </c>
      <c r="I64" s="208">
        <f>IF($P64="","",INDEX('_Datos'!$S$7:$S$200,$P64))</f>
      </c>
      <c r="J64" s="208">
        <f>IF($P64="","",INDEX('_Datos'!$T$7:$T$200,$P64))</f>
      </c>
      <c r="K64" s="207">
        <f>IF($P64="","",INDEX('_Datos'!$V$7:$V$200,$P64))</f>
      </c>
      <c r="L64" s="208">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6">
        <f>IF($P65="","",INDEX('_Datos'!$H$7:$H$200,$P65))</f>
      </c>
      <c r="G65" s="204">
        <f>IF($P65="","",INDEX('_Datos'!$J$7:$J$200,$P65))</f>
      </c>
      <c r="H65" s="208">
        <f>IF($P65="","",INDEX('_Datos'!$K$7:$K$200,$P65))</f>
      </c>
      <c r="I65" s="208">
        <f>IF($P65="","",INDEX('_Datos'!$S$7:$S$200,$P65))</f>
      </c>
      <c r="J65" s="208">
        <f>IF($P65="","",INDEX('_Datos'!$T$7:$T$200,$P65))</f>
      </c>
      <c r="K65" s="207">
        <f>IF($P65="","",INDEX('_Datos'!$V$7:$V$200,$P65))</f>
      </c>
      <c r="L65" s="208">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6">
        <f>IF($P66="","",INDEX('_Datos'!$H$7:$H$200,$P66))</f>
      </c>
      <c r="G66" s="204">
        <f>IF($P66="","",INDEX('_Datos'!$J$7:$J$200,$P66))</f>
      </c>
      <c r="H66" s="208">
        <f>IF($P66="","",INDEX('_Datos'!$K$7:$K$200,$P66))</f>
      </c>
      <c r="I66" s="208">
        <f>IF($P66="","",INDEX('_Datos'!$S$7:$S$200,$P66))</f>
      </c>
      <c r="J66" s="208">
        <f>IF($P66="","",INDEX('_Datos'!$T$7:$T$200,$P66))</f>
      </c>
      <c r="K66" s="207">
        <f>IF($P66="","",INDEX('_Datos'!$V$7:$V$200,$P66))</f>
      </c>
      <c r="L66" s="208">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6">
        <f>IF($P67="","",INDEX('_Datos'!$H$7:$H$200,$P67))</f>
      </c>
      <c r="G67" s="204">
        <f>IF($P67="","",INDEX('_Datos'!$J$7:$J$200,$P67))</f>
      </c>
      <c r="H67" s="208">
        <f>IF($P67="","",INDEX('_Datos'!$K$7:$K$200,$P67))</f>
      </c>
      <c r="I67" s="208">
        <f>IF($P67="","",INDEX('_Datos'!$S$7:$S$200,$P67))</f>
      </c>
      <c r="J67" s="208">
        <f>IF($P67="","",INDEX('_Datos'!$T$7:$T$200,$P67))</f>
      </c>
      <c r="K67" s="207">
        <f>IF($P67="","",INDEX('_Datos'!$V$7:$V$200,$P67))</f>
      </c>
      <c r="L67" s="208">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6">
        <f>IF($P68="","",INDEX('_Datos'!$H$7:$H$200,$P68))</f>
      </c>
      <c r="G68" s="204">
        <f>IF($P68="","",INDEX('_Datos'!$J$7:$J$200,$P68))</f>
      </c>
      <c r="H68" s="208">
        <f>IF($P68="","",INDEX('_Datos'!$K$7:$K$200,$P68))</f>
      </c>
      <c r="I68" s="208">
        <f>IF($P68="","",INDEX('_Datos'!$S$7:$S$200,$P68))</f>
      </c>
      <c r="J68" s="208">
        <f>IF($P68="","",INDEX('_Datos'!$T$7:$T$200,$P68))</f>
      </c>
      <c r="K68" s="207">
        <f>IF($P68="","",INDEX('_Datos'!$V$7:$V$200,$P68))</f>
      </c>
      <c r="L68" s="208">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6">
        <f>IF($P69="","",INDEX('_Datos'!$H$7:$H$200,$P69))</f>
      </c>
      <c r="G69" s="204">
        <f>IF($P69="","",INDEX('_Datos'!$J$7:$J$200,$P69))</f>
      </c>
      <c r="H69" s="208">
        <f>IF($P69="","",INDEX('_Datos'!$K$7:$K$200,$P69))</f>
      </c>
      <c r="I69" s="208">
        <f>IF($P69="","",INDEX('_Datos'!$S$7:$S$200,$P69))</f>
      </c>
      <c r="J69" s="208">
        <f>IF($P69="","",INDEX('_Datos'!$T$7:$T$200,$P69))</f>
      </c>
      <c r="K69" s="207">
        <f>IF($P69="","",INDEX('_Datos'!$V$7:$V$200,$P69))</f>
      </c>
      <c r="L69" s="208">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6">
        <f>IF($P70="","",INDEX('_Datos'!$H$7:$H$200,$P70))</f>
      </c>
      <c r="G70" s="204">
        <f>IF($P70="","",INDEX('_Datos'!$J$7:$J$200,$P70))</f>
      </c>
      <c r="H70" s="208">
        <f>IF($P70="","",INDEX('_Datos'!$K$7:$K$200,$P70))</f>
      </c>
      <c r="I70" s="208">
        <f>IF($P70="","",INDEX('_Datos'!$S$7:$S$200,$P70))</f>
      </c>
      <c r="J70" s="208">
        <f>IF($P70="","",INDEX('_Datos'!$T$7:$T$200,$P70))</f>
      </c>
      <c r="K70" s="207">
        <f>IF($P70="","",INDEX('_Datos'!$V$7:$V$200,$P70))</f>
      </c>
      <c r="L70" s="208">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6">
        <f>IF($P71="","",INDEX('_Datos'!$H$7:$H$200,$P71))</f>
      </c>
      <c r="G71" s="204">
        <f>IF($P71="","",INDEX('_Datos'!$J$7:$J$200,$P71))</f>
      </c>
      <c r="H71" s="208">
        <f>IF($P71="","",INDEX('_Datos'!$K$7:$K$200,$P71))</f>
      </c>
      <c r="I71" s="208">
        <f>IF($P71="","",INDEX('_Datos'!$S$7:$S$200,$P71))</f>
      </c>
      <c r="J71" s="208">
        <f>IF($P71="","",INDEX('_Datos'!$T$7:$T$200,$P71))</f>
      </c>
      <c r="K71" s="207">
        <f>IF($P71="","",INDEX('_Datos'!$V$7:$V$200,$P71))</f>
      </c>
      <c r="L71" s="208">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6">
        <f>IF($P72="","",INDEX('_Datos'!$H$7:$H$200,$P72))</f>
      </c>
      <c r="G72" s="204">
        <f>IF($P72="","",INDEX('_Datos'!$J$7:$J$200,$P72))</f>
      </c>
      <c r="H72" s="208">
        <f>IF($P72="","",INDEX('_Datos'!$K$7:$K$200,$P72))</f>
      </c>
      <c r="I72" s="208">
        <f>IF($P72="","",INDEX('_Datos'!$S$7:$S$200,$P72))</f>
      </c>
      <c r="J72" s="208">
        <f>IF($P72="","",INDEX('_Datos'!$T$7:$T$200,$P72))</f>
      </c>
      <c r="K72" s="207">
        <f>IF($P72="","",INDEX('_Datos'!$V$7:$V$200,$P72))</f>
      </c>
      <c r="L72" s="208">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6">
        <f>IF($P73="","",INDEX('_Datos'!$H$7:$H$200,$P73))</f>
      </c>
      <c r="G73" s="204">
        <f>IF($P73="","",INDEX('_Datos'!$J$7:$J$200,$P73))</f>
      </c>
      <c r="H73" s="208">
        <f>IF($P73="","",INDEX('_Datos'!$K$7:$K$200,$P73))</f>
      </c>
      <c r="I73" s="208">
        <f>IF($P73="","",INDEX('_Datos'!$S$7:$S$200,$P73))</f>
      </c>
      <c r="J73" s="208">
        <f>IF($P73="","",INDEX('_Datos'!$T$7:$T$200,$P73))</f>
      </c>
      <c r="K73" s="207">
        <f>IF($P73="","",INDEX('_Datos'!$V$7:$V$200,$P73))</f>
      </c>
      <c r="L73" s="208">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6">
        <f>IF($P74="","",INDEX('_Datos'!$H$7:$H$200,$P74))</f>
      </c>
      <c r="G74" s="204">
        <f>IF($P74="","",INDEX('_Datos'!$J$7:$J$200,$P74))</f>
      </c>
      <c r="H74" s="208">
        <f>IF($P74="","",INDEX('_Datos'!$K$7:$K$200,$P74))</f>
      </c>
      <c r="I74" s="208">
        <f>IF($P74="","",INDEX('_Datos'!$S$7:$S$200,$P74))</f>
      </c>
      <c r="J74" s="208">
        <f>IF($P74="","",INDEX('_Datos'!$T$7:$T$200,$P74))</f>
      </c>
      <c r="K74" s="207">
        <f>IF($P74="","",INDEX('_Datos'!$V$7:$V$200,$P74))</f>
      </c>
      <c r="L74" s="208">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6">
        <f>IF($P75="","",INDEX('_Datos'!$H$7:$H$200,$P75))</f>
      </c>
      <c r="G75" s="204">
        <f>IF($P75="","",INDEX('_Datos'!$J$7:$J$200,$P75))</f>
      </c>
      <c r="H75" s="208">
        <f>IF($P75="","",INDEX('_Datos'!$K$7:$K$200,$P75))</f>
      </c>
      <c r="I75" s="208">
        <f>IF($P75="","",INDEX('_Datos'!$S$7:$S$200,$P75))</f>
      </c>
      <c r="J75" s="208">
        <f>IF($P75="","",INDEX('_Datos'!$T$7:$T$200,$P75))</f>
      </c>
      <c r="K75" s="207">
        <f>IF($P75="","",INDEX('_Datos'!$V$7:$V$200,$P75))</f>
      </c>
      <c r="L75" s="208">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6">
        <f>IF($P76="","",INDEX('_Datos'!$H$7:$H$200,$P76))</f>
      </c>
      <c r="G76" s="204">
        <f>IF($P76="","",INDEX('_Datos'!$J$7:$J$200,$P76))</f>
      </c>
      <c r="H76" s="208">
        <f>IF($P76="","",INDEX('_Datos'!$K$7:$K$200,$P76))</f>
      </c>
      <c r="I76" s="208">
        <f>IF($P76="","",INDEX('_Datos'!$S$7:$S$200,$P76))</f>
      </c>
      <c r="J76" s="208">
        <f>IF($P76="","",INDEX('_Datos'!$T$7:$T$200,$P76))</f>
      </c>
      <c r="K76" s="207">
        <f>IF($P76="","",INDEX('_Datos'!$V$7:$V$200,$P76))</f>
      </c>
      <c r="L76" s="208">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6">
        <f>IF($P77="","",INDEX('_Datos'!$H$7:$H$200,$P77))</f>
      </c>
      <c r="G77" s="204">
        <f>IF($P77="","",INDEX('_Datos'!$J$7:$J$200,$P77))</f>
      </c>
      <c r="H77" s="208">
        <f>IF($P77="","",INDEX('_Datos'!$K$7:$K$200,$P77))</f>
      </c>
      <c r="I77" s="208">
        <f>IF($P77="","",INDEX('_Datos'!$S$7:$S$200,$P77))</f>
      </c>
      <c r="J77" s="208">
        <f>IF($P77="","",INDEX('_Datos'!$T$7:$T$200,$P77))</f>
      </c>
      <c r="K77" s="207">
        <f>IF($P77="","",INDEX('_Datos'!$V$7:$V$200,$P77))</f>
      </c>
      <c r="L77" s="208">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6">
        <f>IF($P78="","",INDEX('_Datos'!$H$7:$H$200,$P78))</f>
      </c>
      <c r="G78" s="204">
        <f>IF($P78="","",INDEX('_Datos'!$J$7:$J$200,$P78))</f>
      </c>
      <c r="H78" s="208">
        <f>IF($P78="","",INDEX('_Datos'!$K$7:$K$200,$P78))</f>
      </c>
      <c r="I78" s="208">
        <f>IF($P78="","",INDEX('_Datos'!$S$7:$S$200,$P78))</f>
      </c>
      <c r="J78" s="208">
        <f>IF($P78="","",INDEX('_Datos'!$T$7:$T$200,$P78))</f>
      </c>
      <c r="K78" s="207">
        <f>IF($P78="","",INDEX('_Datos'!$V$7:$V$200,$P78))</f>
      </c>
      <c r="L78" s="208">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6">
        <f>IF($P79="","",INDEX('_Datos'!$H$7:$H$200,$P79))</f>
      </c>
      <c r="G79" s="204">
        <f>IF($P79="","",INDEX('_Datos'!$J$7:$J$200,$P79))</f>
      </c>
      <c r="H79" s="208">
        <f>IF($P79="","",INDEX('_Datos'!$K$7:$K$200,$P79))</f>
      </c>
      <c r="I79" s="208">
        <f>IF($P79="","",INDEX('_Datos'!$S$7:$S$200,$P79))</f>
      </c>
      <c r="J79" s="208">
        <f>IF($P79="","",INDEX('_Datos'!$T$7:$T$200,$P79))</f>
      </c>
      <c r="K79" s="207">
        <f>IF($P79="","",INDEX('_Datos'!$V$7:$V$200,$P79))</f>
      </c>
      <c r="L79" s="208">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6">
        <f>IF($P80="","",INDEX('_Datos'!$H$7:$H$200,$P80))</f>
      </c>
      <c r="G80" s="204">
        <f>IF($P80="","",INDEX('_Datos'!$J$7:$J$200,$P80))</f>
      </c>
      <c r="H80" s="208">
        <f>IF($P80="","",INDEX('_Datos'!$K$7:$K$200,$P80))</f>
      </c>
      <c r="I80" s="208">
        <f>IF($P80="","",INDEX('_Datos'!$S$7:$S$200,$P80))</f>
      </c>
      <c r="J80" s="208">
        <f>IF($P80="","",INDEX('_Datos'!$T$7:$T$200,$P80))</f>
      </c>
      <c r="K80" s="207">
        <f>IF($P80="","",INDEX('_Datos'!$V$7:$V$200,$P80))</f>
      </c>
      <c r="L80" s="208">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6">
        <f>IF($P81="","",INDEX('_Datos'!$H$7:$H$200,$P81))</f>
      </c>
      <c r="G81" s="204">
        <f>IF($P81="","",INDEX('_Datos'!$J$7:$J$200,$P81))</f>
      </c>
      <c r="H81" s="208">
        <f>IF($P81="","",INDEX('_Datos'!$K$7:$K$200,$P81))</f>
      </c>
      <c r="I81" s="208">
        <f>IF($P81="","",INDEX('_Datos'!$S$7:$S$200,$P81))</f>
      </c>
      <c r="J81" s="208">
        <f>IF($P81="","",INDEX('_Datos'!$T$7:$T$200,$P81))</f>
      </c>
      <c r="K81" s="207">
        <f>IF($P81="","",INDEX('_Datos'!$V$7:$V$200,$P81))</f>
      </c>
      <c r="L81" s="208">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6">
        <f>IF($P82="","",INDEX('_Datos'!$H$7:$H$200,$P82))</f>
      </c>
      <c r="G82" s="204">
        <f>IF($P82="","",INDEX('_Datos'!$J$7:$J$200,$P82))</f>
      </c>
      <c r="H82" s="208">
        <f>IF($P82="","",INDEX('_Datos'!$K$7:$K$200,$P82))</f>
      </c>
      <c r="I82" s="208">
        <f>IF($P82="","",INDEX('_Datos'!$S$7:$S$200,$P82))</f>
      </c>
      <c r="J82" s="208">
        <f>IF($P82="","",INDEX('_Datos'!$T$7:$T$200,$P82))</f>
      </c>
      <c r="K82" s="207">
        <f>IF($P82="","",INDEX('_Datos'!$V$7:$V$200,$P82))</f>
      </c>
      <c r="L82" s="208">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6">
        <f>IF($P83="","",INDEX('_Datos'!$H$7:$H$200,$P83))</f>
      </c>
      <c r="G83" s="204">
        <f>IF($P83="","",INDEX('_Datos'!$J$7:$J$200,$P83))</f>
      </c>
      <c r="H83" s="208">
        <f>IF($P83="","",INDEX('_Datos'!$K$7:$K$200,$P83))</f>
      </c>
      <c r="I83" s="208">
        <f>IF($P83="","",INDEX('_Datos'!$S$7:$S$200,$P83))</f>
      </c>
      <c r="J83" s="208">
        <f>IF($P83="","",INDEX('_Datos'!$T$7:$T$200,$P83))</f>
      </c>
      <c r="K83" s="207">
        <f>IF($P83="","",INDEX('_Datos'!$V$7:$V$200,$P83))</f>
      </c>
      <c r="L83" s="208">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6">
        <f>IF($P84="","",INDEX('_Datos'!$H$7:$H$200,$P84))</f>
      </c>
      <c r="G84" s="204">
        <f>IF($P84="","",INDEX('_Datos'!$J$7:$J$200,$P84))</f>
      </c>
      <c r="H84" s="208">
        <f>IF($P84="","",INDEX('_Datos'!$K$7:$K$200,$P84))</f>
      </c>
      <c r="I84" s="208">
        <f>IF($P84="","",INDEX('_Datos'!$S$7:$S$200,$P84))</f>
      </c>
      <c r="J84" s="208">
        <f>IF($P84="","",INDEX('_Datos'!$T$7:$T$200,$P84))</f>
      </c>
      <c r="K84" s="207">
        <f>IF($P84="","",INDEX('_Datos'!$V$7:$V$200,$P84))</f>
      </c>
      <c r="L84" s="208">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6">
        <f>IF($P85="","",INDEX('_Datos'!$H$7:$H$200,$P85))</f>
      </c>
      <c r="G85" s="204">
        <f>IF($P85="","",INDEX('_Datos'!$J$7:$J$200,$P85))</f>
      </c>
      <c r="H85" s="208">
        <f>IF($P85="","",INDEX('_Datos'!$K$7:$K$200,$P85))</f>
      </c>
      <c r="I85" s="208">
        <f>IF($P85="","",INDEX('_Datos'!$S$7:$S$200,$P85))</f>
      </c>
      <c r="J85" s="208">
        <f>IF($P85="","",INDEX('_Datos'!$T$7:$T$200,$P85))</f>
      </c>
      <c r="K85" s="207">
        <f>IF($P85="","",INDEX('_Datos'!$V$7:$V$200,$P85))</f>
      </c>
      <c r="L85" s="208">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6">
        <f>IF($P86="","",INDEX('_Datos'!$H$7:$H$200,$P86))</f>
      </c>
      <c r="G86" s="204">
        <f>IF($P86="","",INDEX('_Datos'!$J$7:$J$200,$P86))</f>
      </c>
      <c r="H86" s="208">
        <f>IF($P86="","",INDEX('_Datos'!$K$7:$K$200,$P86))</f>
      </c>
      <c r="I86" s="208">
        <f>IF($P86="","",INDEX('_Datos'!$S$7:$S$200,$P86))</f>
      </c>
      <c r="J86" s="208">
        <f>IF($P86="","",INDEX('_Datos'!$T$7:$T$200,$P86))</f>
      </c>
      <c r="K86" s="207">
        <f>IF($P86="","",INDEX('_Datos'!$V$7:$V$200,$P86))</f>
      </c>
      <c r="L86" s="208">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6">
        <f>IF($P87="","",INDEX('_Datos'!$H$7:$H$200,$P87))</f>
      </c>
      <c r="G87" s="204">
        <f>IF($P87="","",INDEX('_Datos'!$J$7:$J$200,$P87))</f>
      </c>
      <c r="H87" s="208">
        <f>IF($P87="","",INDEX('_Datos'!$K$7:$K$200,$P87))</f>
      </c>
      <c r="I87" s="208">
        <f>IF($P87="","",INDEX('_Datos'!$S$7:$S$200,$P87))</f>
      </c>
      <c r="J87" s="208">
        <f>IF($P87="","",INDEX('_Datos'!$T$7:$T$200,$P87))</f>
      </c>
      <c r="K87" s="207">
        <f>IF($P87="","",INDEX('_Datos'!$V$7:$V$200,$P87))</f>
      </c>
      <c r="L87" s="208">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6">
        <f>IF($P88="","",INDEX('_Datos'!$H$7:$H$200,$P88))</f>
      </c>
      <c r="G88" s="204">
        <f>IF($P88="","",INDEX('_Datos'!$J$7:$J$200,$P88))</f>
      </c>
      <c r="H88" s="208">
        <f>IF($P88="","",INDEX('_Datos'!$K$7:$K$200,$P88))</f>
      </c>
      <c r="I88" s="208">
        <f>IF($P88="","",INDEX('_Datos'!$S$7:$S$200,$P88))</f>
      </c>
      <c r="J88" s="208">
        <f>IF($P88="","",INDEX('_Datos'!$T$7:$T$200,$P88))</f>
      </c>
      <c r="K88" s="207">
        <f>IF($P88="","",INDEX('_Datos'!$V$7:$V$200,$P88))</f>
      </c>
      <c r="L88" s="208">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6">
        <f>IF($P89="","",INDEX('_Datos'!$H$7:$H$200,$P89))</f>
      </c>
      <c r="G89" s="204">
        <f>IF($P89="","",INDEX('_Datos'!$J$7:$J$200,$P89))</f>
      </c>
      <c r="H89" s="208">
        <f>IF($P89="","",INDEX('_Datos'!$K$7:$K$200,$P89))</f>
      </c>
      <c r="I89" s="208">
        <f>IF($P89="","",INDEX('_Datos'!$S$7:$S$200,$P89))</f>
      </c>
      <c r="J89" s="208">
        <f>IF($P89="","",INDEX('_Datos'!$T$7:$T$200,$P89))</f>
      </c>
      <c r="K89" s="207">
        <f>IF($P89="","",INDEX('_Datos'!$V$7:$V$200,$P89))</f>
      </c>
      <c r="L89" s="208">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6">
        <f>IF($P90="","",INDEX('_Datos'!$H$7:$H$200,$P90))</f>
      </c>
      <c r="G90" s="204">
        <f>IF($P90="","",INDEX('_Datos'!$J$7:$J$200,$P90))</f>
      </c>
      <c r="H90" s="208">
        <f>IF($P90="","",INDEX('_Datos'!$K$7:$K$200,$P90))</f>
      </c>
      <c r="I90" s="208">
        <f>IF($P90="","",INDEX('_Datos'!$S$7:$S$200,$P90))</f>
      </c>
      <c r="J90" s="208">
        <f>IF($P90="","",INDEX('_Datos'!$T$7:$T$200,$P90))</f>
      </c>
      <c r="K90" s="207">
        <f>IF($P90="","",INDEX('_Datos'!$V$7:$V$200,$P90))</f>
      </c>
      <c r="L90" s="208">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6">
        <f>IF($P91="","",INDEX('_Datos'!$H$7:$H$200,$P91))</f>
      </c>
      <c r="G91" s="204">
        <f>IF($P91="","",INDEX('_Datos'!$J$7:$J$200,$P91))</f>
      </c>
      <c r="H91" s="208">
        <f>IF($P91="","",INDEX('_Datos'!$K$7:$K$200,$P91))</f>
      </c>
      <c r="I91" s="208">
        <f>IF($P91="","",INDEX('_Datos'!$S$7:$S$200,$P91))</f>
      </c>
      <c r="J91" s="208">
        <f>IF($P91="","",INDEX('_Datos'!$T$7:$T$200,$P91))</f>
      </c>
      <c r="K91" s="207">
        <f>IF($P91="","",INDEX('_Datos'!$V$7:$V$200,$P91))</f>
      </c>
      <c r="L91" s="208">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6">
        <f>IF($P92="","",INDEX('_Datos'!$H$7:$H$200,$P92))</f>
      </c>
      <c r="G92" s="204">
        <f>IF($P92="","",INDEX('_Datos'!$J$7:$J$200,$P92))</f>
      </c>
      <c r="H92" s="208">
        <f>IF($P92="","",INDEX('_Datos'!$K$7:$K$200,$P92))</f>
      </c>
      <c r="I92" s="208">
        <f>IF($P92="","",INDEX('_Datos'!$S$7:$S$200,$P92))</f>
      </c>
      <c r="J92" s="208">
        <f>IF($P92="","",INDEX('_Datos'!$T$7:$T$200,$P92))</f>
      </c>
      <c r="K92" s="207">
        <f>IF($P92="","",INDEX('_Datos'!$V$7:$V$200,$P92))</f>
      </c>
      <c r="L92" s="208">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6">
        <f>IF($P93="","",INDEX('_Datos'!$H$7:$H$200,$P93))</f>
      </c>
      <c r="G93" s="204">
        <f>IF($P93="","",INDEX('_Datos'!$J$7:$J$200,$P93))</f>
      </c>
      <c r="H93" s="208">
        <f>IF($P93="","",INDEX('_Datos'!$K$7:$K$200,$P93))</f>
      </c>
      <c r="I93" s="208">
        <f>IF($P93="","",INDEX('_Datos'!$S$7:$S$200,$P93))</f>
      </c>
      <c r="J93" s="208">
        <f>IF($P93="","",INDEX('_Datos'!$T$7:$T$200,$P93))</f>
      </c>
      <c r="K93" s="207">
        <f>IF($P93="","",INDEX('_Datos'!$V$7:$V$200,$P93))</f>
      </c>
      <c r="L93" s="208">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6">
        <f>IF($P94="","",INDEX('_Datos'!$H$7:$H$200,$P94))</f>
      </c>
      <c r="G94" s="204">
        <f>IF($P94="","",INDEX('_Datos'!$J$7:$J$200,$P94))</f>
      </c>
      <c r="H94" s="208">
        <f>IF($P94="","",INDEX('_Datos'!$K$7:$K$200,$P94))</f>
      </c>
      <c r="I94" s="208">
        <f>IF($P94="","",INDEX('_Datos'!$S$7:$S$200,$P94))</f>
      </c>
      <c r="J94" s="208">
        <f>IF($P94="","",INDEX('_Datos'!$T$7:$T$200,$P94))</f>
      </c>
      <c r="K94" s="207">
        <f>IF($P94="","",INDEX('_Datos'!$V$7:$V$200,$P94))</f>
      </c>
      <c r="L94" s="208">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6">
        <f>IF($P95="","",INDEX('_Datos'!$H$7:$H$200,$P95))</f>
      </c>
      <c r="G95" s="204">
        <f>IF($P95="","",INDEX('_Datos'!$J$7:$J$200,$P95))</f>
      </c>
      <c r="H95" s="208">
        <f>IF($P95="","",INDEX('_Datos'!$K$7:$K$200,$P95))</f>
      </c>
      <c r="I95" s="208">
        <f>IF($P95="","",INDEX('_Datos'!$S$7:$S$200,$P95))</f>
      </c>
      <c r="J95" s="208">
        <f>IF($P95="","",INDEX('_Datos'!$T$7:$T$200,$P95))</f>
      </c>
      <c r="K95" s="207">
        <f>IF($P95="","",INDEX('_Datos'!$V$7:$V$200,$P95))</f>
      </c>
      <c r="L95" s="208">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6">
        <f>IF($P96="","",INDEX('_Datos'!$H$7:$H$200,$P96))</f>
      </c>
      <c r="G96" s="204">
        <f>IF($P96="","",INDEX('_Datos'!$J$7:$J$200,$P96))</f>
      </c>
      <c r="H96" s="208">
        <f>IF($P96="","",INDEX('_Datos'!$K$7:$K$200,$P96))</f>
      </c>
      <c r="I96" s="208">
        <f>IF($P96="","",INDEX('_Datos'!$S$7:$S$200,$P96))</f>
      </c>
      <c r="J96" s="208">
        <f>IF($P96="","",INDEX('_Datos'!$T$7:$T$200,$P96))</f>
      </c>
      <c r="K96" s="207">
        <f>IF($P96="","",INDEX('_Datos'!$V$7:$V$200,$P96))</f>
      </c>
      <c r="L96" s="208">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6">
        <f>IF($P97="","",INDEX('_Datos'!$H$7:$H$200,$P97))</f>
      </c>
      <c r="G97" s="204">
        <f>IF($P97="","",INDEX('_Datos'!$J$7:$J$200,$P97))</f>
      </c>
      <c r="H97" s="208">
        <f>IF($P97="","",INDEX('_Datos'!$K$7:$K$200,$P97))</f>
      </c>
      <c r="I97" s="208">
        <f>IF($P97="","",INDEX('_Datos'!$S$7:$S$200,$P97))</f>
      </c>
      <c r="J97" s="208">
        <f>IF($P97="","",INDEX('_Datos'!$T$7:$T$200,$P97))</f>
      </c>
      <c r="K97" s="207">
        <f>IF($P97="","",INDEX('_Datos'!$V$7:$V$200,$P97))</f>
      </c>
      <c r="L97" s="208">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6">
        <f>IF($P98="","",INDEX('_Datos'!$H$7:$H$200,$P98))</f>
      </c>
      <c r="G98" s="204">
        <f>IF($P98="","",INDEX('_Datos'!$J$7:$J$200,$P98))</f>
      </c>
      <c r="H98" s="208">
        <f>IF($P98="","",INDEX('_Datos'!$K$7:$K$200,$P98))</f>
      </c>
      <c r="I98" s="208">
        <f>IF($P98="","",INDEX('_Datos'!$S$7:$S$200,$P98))</f>
      </c>
      <c r="J98" s="208">
        <f>IF($P98="","",INDEX('_Datos'!$T$7:$T$200,$P98))</f>
      </c>
      <c r="K98" s="207">
        <f>IF($P98="","",INDEX('_Datos'!$V$7:$V$200,$P98))</f>
      </c>
      <c r="L98" s="208">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6">
        <f>IF($P99="","",INDEX('_Datos'!$H$7:$H$200,$P99))</f>
      </c>
      <c r="G99" s="204">
        <f>IF($P99="","",INDEX('_Datos'!$J$7:$J$200,$P99))</f>
      </c>
      <c r="H99" s="208">
        <f>IF($P99="","",INDEX('_Datos'!$K$7:$K$200,$P99))</f>
      </c>
      <c r="I99" s="208">
        <f>IF($P99="","",INDEX('_Datos'!$S$7:$S$200,$P99))</f>
      </c>
      <c r="J99" s="208">
        <f>IF($P99="","",INDEX('_Datos'!$T$7:$T$200,$P99))</f>
      </c>
      <c r="K99" s="207">
        <f>IF($P99="","",INDEX('_Datos'!$V$7:$V$200,$P99))</f>
      </c>
      <c r="L99" s="208">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6">
        <f>IF($P100="","",INDEX('_Datos'!$H$7:$H$200,$P100))</f>
      </c>
      <c r="G100" s="204">
        <f>IF($P100="","",INDEX('_Datos'!$J$7:$J$200,$P100))</f>
      </c>
      <c r="H100" s="208">
        <f>IF($P100="","",INDEX('_Datos'!$K$7:$K$200,$P100))</f>
      </c>
      <c r="I100" s="208">
        <f>IF($P100="","",INDEX('_Datos'!$S$7:$S$200,$P100))</f>
      </c>
      <c r="J100" s="208">
        <f>IF($P100="","",INDEX('_Datos'!$T$7:$T$200,$P100))</f>
      </c>
      <c r="K100" s="207">
        <f>IF($P100="","",INDEX('_Datos'!$V$7:$V$200,$P100))</f>
      </c>
      <c r="L100" s="208">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6">
        <f>IF($P101="","",INDEX('_Datos'!$H$7:$H$200,$P101))</f>
      </c>
      <c r="G101" s="204">
        <f>IF($P101="","",INDEX('_Datos'!$J$7:$J$200,$P101))</f>
      </c>
      <c r="H101" s="208">
        <f>IF($P101="","",INDEX('_Datos'!$K$7:$K$200,$P101))</f>
      </c>
      <c r="I101" s="208">
        <f>IF($P101="","",INDEX('_Datos'!$S$7:$S$200,$P101))</f>
      </c>
      <c r="J101" s="208">
        <f>IF($P101="","",INDEX('_Datos'!$T$7:$T$200,$P101))</f>
      </c>
      <c r="K101" s="207">
        <f>IF($P101="","",INDEX('_Datos'!$V$7:$V$200,$P101))</f>
      </c>
      <c r="L101" s="208">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6">
        <f>IF($P102="","",INDEX('_Datos'!$H$7:$H$200,$P102))</f>
      </c>
      <c r="G102" s="204">
        <f>IF($P102="","",INDEX('_Datos'!$J$7:$J$200,$P102))</f>
      </c>
      <c r="H102" s="208">
        <f>IF($P102="","",INDEX('_Datos'!$K$7:$K$200,$P102))</f>
      </c>
      <c r="I102" s="208">
        <f>IF($P102="","",INDEX('_Datos'!$S$7:$S$200,$P102))</f>
      </c>
      <c r="J102" s="208">
        <f>IF($P102="","",INDEX('_Datos'!$T$7:$T$200,$P102))</f>
      </c>
      <c r="K102" s="207">
        <f>IF($P102="","",INDEX('_Datos'!$V$7:$V$200,$P102))</f>
      </c>
      <c r="L102" s="208">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6">
        <f>IF($P103="","",INDEX('_Datos'!$H$7:$H$200,$P103))</f>
      </c>
      <c r="G103" s="204">
        <f>IF($P103="","",INDEX('_Datos'!$J$7:$J$200,$P103))</f>
      </c>
      <c r="H103" s="208">
        <f>IF($P103="","",INDEX('_Datos'!$K$7:$K$200,$P103))</f>
      </c>
      <c r="I103" s="208">
        <f>IF($P103="","",INDEX('_Datos'!$S$7:$S$200,$P103))</f>
      </c>
      <c r="J103" s="208">
        <f>IF($P103="","",INDEX('_Datos'!$T$7:$T$200,$P103))</f>
      </c>
      <c r="K103" s="207">
        <f>IF($P103="","",INDEX('_Datos'!$V$7:$V$200,$P103))</f>
      </c>
      <c r="L103" s="208">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6">
        <f>IF($P104="","",INDEX('_Datos'!$H$7:$H$200,$P104))</f>
      </c>
      <c r="G104" s="204">
        <f>IF($P104="","",INDEX('_Datos'!$J$7:$J$200,$P104))</f>
      </c>
      <c r="H104" s="208">
        <f>IF($P104="","",INDEX('_Datos'!$K$7:$K$200,$P104))</f>
      </c>
      <c r="I104" s="208">
        <f>IF($P104="","",INDEX('_Datos'!$S$7:$S$200,$P104))</f>
      </c>
      <c r="J104" s="208">
        <f>IF($P104="","",INDEX('_Datos'!$T$7:$T$200,$P104))</f>
      </c>
      <c r="K104" s="207">
        <f>IF($P104="","",INDEX('_Datos'!$V$7:$V$200,$P104))</f>
      </c>
      <c r="L104" s="208">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6">
        <f>IF($P105="","",INDEX('_Datos'!$H$7:$H$200,$P105))</f>
      </c>
      <c r="G105" s="204">
        <f>IF($P105="","",INDEX('_Datos'!$J$7:$J$200,$P105))</f>
      </c>
      <c r="H105" s="208">
        <f>IF($P105="","",INDEX('_Datos'!$K$7:$K$200,$P105))</f>
      </c>
      <c r="I105" s="208">
        <f>IF($P105="","",INDEX('_Datos'!$S$7:$S$200,$P105))</f>
      </c>
      <c r="J105" s="208">
        <f>IF($P105="","",INDEX('_Datos'!$T$7:$T$200,$P105))</f>
      </c>
      <c r="K105" s="207">
        <f>IF($P105="","",INDEX('_Datos'!$V$7:$V$200,$P105))</f>
      </c>
      <c r="L105" s="208">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6">
        <f>IF($P106="","",INDEX('_Datos'!$H$7:$H$200,$P106))</f>
      </c>
      <c r="G106" s="204">
        <f>IF($P106="","",INDEX('_Datos'!$J$7:$J$200,$P106))</f>
      </c>
      <c r="H106" s="208">
        <f>IF($P106="","",INDEX('_Datos'!$K$7:$K$200,$P106))</f>
      </c>
      <c r="I106" s="208">
        <f>IF($P106="","",INDEX('_Datos'!$S$7:$S$200,$P106))</f>
      </c>
      <c r="J106" s="208">
        <f>IF($P106="","",INDEX('_Datos'!$T$7:$T$200,$P106))</f>
      </c>
      <c r="K106" s="207">
        <f>IF($P106="","",INDEX('_Datos'!$V$7:$V$200,$P106))</f>
      </c>
      <c r="L106" s="208">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6">
        <f>IF($P107="","",INDEX('_Datos'!$H$7:$H$200,$P107))</f>
      </c>
      <c r="G107" s="204">
        <f>IF($P107="","",INDEX('_Datos'!$J$7:$J$200,$P107))</f>
      </c>
      <c r="H107" s="208">
        <f>IF($P107="","",INDEX('_Datos'!$K$7:$K$200,$P107))</f>
      </c>
      <c r="I107" s="208">
        <f>IF($P107="","",INDEX('_Datos'!$S$7:$S$200,$P107))</f>
      </c>
      <c r="J107" s="208">
        <f>IF($P107="","",INDEX('_Datos'!$T$7:$T$200,$P107))</f>
      </c>
      <c r="K107" s="207">
        <f>IF($P107="","",INDEX('_Datos'!$V$7:$V$200,$P107))</f>
      </c>
      <c r="L107" s="208">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6">
        <f>IF($P108="","",INDEX('_Datos'!$H$7:$H$200,$P108))</f>
      </c>
      <c r="G108" s="204">
        <f>IF($P108="","",INDEX('_Datos'!$J$7:$J$200,$P108))</f>
      </c>
      <c r="H108" s="208">
        <f>IF($P108="","",INDEX('_Datos'!$K$7:$K$200,$P108))</f>
      </c>
      <c r="I108" s="208">
        <f>IF($P108="","",INDEX('_Datos'!$S$7:$S$200,$P108))</f>
      </c>
      <c r="J108" s="208">
        <f>IF($P108="","",INDEX('_Datos'!$T$7:$T$200,$P108))</f>
      </c>
      <c r="K108" s="207">
        <f>IF($P108="","",INDEX('_Datos'!$V$7:$V$200,$P108))</f>
      </c>
      <c r="L108" s="208">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6">
        <f>IF($P109="","",INDEX('_Datos'!$H$7:$H$200,$P109))</f>
      </c>
      <c r="G109" s="204">
        <f>IF($P109="","",INDEX('_Datos'!$J$7:$J$200,$P109))</f>
      </c>
      <c r="H109" s="208">
        <f>IF($P109="","",INDEX('_Datos'!$K$7:$K$200,$P109))</f>
      </c>
      <c r="I109" s="208">
        <f>IF($P109="","",INDEX('_Datos'!$S$7:$S$200,$P109))</f>
      </c>
      <c r="J109" s="208">
        <f>IF($P109="","",INDEX('_Datos'!$T$7:$T$200,$P109))</f>
      </c>
      <c r="K109" s="207">
        <f>IF($P109="","",INDEX('_Datos'!$V$7:$V$200,$P109))</f>
      </c>
      <c r="L109" s="208">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6">
        <f>IF($P110="","",INDEX('_Datos'!$H$7:$H$200,$P110))</f>
      </c>
      <c r="G110" s="204">
        <f>IF($P110="","",INDEX('_Datos'!$J$7:$J$200,$P110))</f>
      </c>
      <c r="H110" s="208">
        <f>IF($P110="","",INDEX('_Datos'!$K$7:$K$200,$P110))</f>
      </c>
      <c r="I110" s="208">
        <f>IF($P110="","",INDEX('_Datos'!$S$7:$S$200,$P110))</f>
      </c>
      <c r="J110" s="208">
        <f>IF($P110="","",INDEX('_Datos'!$T$7:$T$200,$P110))</f>
      </c>
      <c r="K110" s="207">
        <f>IF($P110="","",INDEX('_Datos'!$V$7:$V$200,$P110))</f>
      </c>
      <c r="L110" s="208">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6">
        <f>IF($P111="","",INDEX('_Datos'!$H$7:$H$200,$P111))</f>
      </c>
      <c r="G111" s="204">
        <f>IF($P111="","",INDEX('_Datos'!$J$7:$J$200,$P111))</f>
      </c>
      <c r="H111" s="208">
        <f>IF($P111="","",INDEX('_Datos'!$K$7:$K$200,$P111))</f>
      </c>
      <c r="I111" s="208">
        <f>IF($P111="","",INDEX('_Datos'!$S$7:$S$200,$P111))</f>
      </c>
      <c r="J111" s="208">
        <f>IF($P111="","",INDEX('_Datos'!$T$7:$T$200,$P111))</f>
      </c>
      <c r="K111" s="207">
        <f>IF($P111="","",INDEX('_Datos'!$V$7:$V$200,$P111))</f>
      </c>
      <c r="L111" s="208">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6">
        <f>IF($P112="","",INDEX('_Datos'!$H$7:$H$200,$P112))</f>
      </c>
      <c r="G112" s="204">
        <f>IF($P112="","",INDEX('_Datos'!$J$7:$J$200,$P112))</f>
      </c>
      <c r="H112" s="208">
        <f>IF($P112="","",INDEX('_Datos'!$K$7:$K$200,$P112))</f>
      </c>
      <c r="I112" s="208">
        <f>IF($P112="","",INDEX('_Datos'!$S$7:$S$200,$P112))</f>
      </c>
      <c r="J112" s="208">
        <f>IF($P112="","",INDEX('_Datos'!$T$7:$T$200,$P112))</f>
      </c>
      <c r="K112" s="207">
        <f>IF($P112="","",INDEX('_Datos'!$V$7:$V$200,$P112))</f>
      </c>
      <c r="L112" s="208">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6">
        <f>IF($P113="","",INDEX('_Datos'!$H$7:$H$200,$P113))</f>
      </c>
      <c r="G113" s="204">
        <f>IF($P113="","",INDEX('_Datos'!$J$7:$J$200,$P113))</f>
      </c>
      <c r="H113" s="208">
        <f>IF($P113="","",INDEX('_Datos'!$K$7:$K$200,$P113))</f>
      </c>
      <c r="I113" s="208">
        <f>IF($P113="","",INDEX('_Datos'!$S$7:$S$200,$P113))</f>
      </c>
      <c r="J113" s="208">
        <f>IF($P113="","",INDEX('_Datos'!$T$7:$T$200,$P113))</f>
      </c>
      <c r="K113" s="207">
        <f>IF($P113="","",INDEX('_Datos'!$V$7:$V$200,$P113))</f>
      </c>
      <c r="L113" s="208">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6">
        <f>IF($P114="","",INDEX('_Datos'!$H$7:$H$200,$P114))</f>
      </c>
      <c r="G114" s="204">
        <f>IF($P114="","",INDEX('_Datos'!$J$7:$J$200,$P114))</f>
      </c>
      <c r="H114" s="208">
        <f>IF($P114="","",INDEX('_Datos'!$K$7:$K$200,$P114))</f>
      </c>
      <c r="I114" s="208">
        <f>IF($P114="","",INDEX('_Datos'!$S$7:$S$200,$P114))</f>
      </c>
      <c r="J114" s="208">
        <f>IF($P114="","",INDEX('_Datos'!$T$7:$T$200,$P114))</f>
      </c>
      <c r="K114" s="207">
        <f>IF($P114="","",INDEX('_Datos'!$V$7:$V$200,$P114))</f>
      </c>
      <c r="L114" s="208">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6">
        <f>IF($P115="","",INDEX('_Datos'!$H$7:$H$200,$P115))</f>
      </c>
      <c r="G115" s="204">
        <f>IF($P115="","",INDEX('_Datos'!$J$7:$J$200,$P115))</f>
      </c>
      <c r="H115" s="208">
        <f>IF($P115="","",INDEX('_Datos'!$K$7:$K$200,$P115))</f>
      </c>
      <c r="I115" s="208">
        <f>IF($P115="","",INDEX('_Datos'!$S$7:$S$200,$P115))</f>
      </c>
      <c r="J115" s="208">
        <f>IF($P115="","",INDEX('_Datos'!$T$7:$T$200,$P115))</f>
      </c>
      <c r="K115" s="207">
        <f>IF($P115="","",INDEX('_Datos'!$V$7:$V$200,$P115))</f>
      </c>
      <c r="L115" s="208">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6">
        <f>IF($P116="","",INDEX('_Datos'!$H$7:$H$200,$P116))</f>
      </c>
      <c r="G116" s="204">
        <f>IF($P116="","",INDEX('_Datos'!$J$7:$J$200,$P116))</f>
      </c>
      <c r="H116" s="208">
        <f>IF($P116="","",INDEX('_Datos'!$K$7:$K$200,$P116))</f>
      </c>
      <c r="I116" s="208">
        <f>IF($P116="","",INDEX('_Datos'!$S$7:$S$200,$P116))</f>
      </c>
      <c r="J116" s="208">
        <f>IF($P116="","",INDEX('_Datos'!$T$7:$T$200,$P116))</f>
      </c>
      <c r="K116" s="207">
        <f>IF($P116="","",INDEX('_Datos'!$V$7:$V$200,$P116))</f>
      </c>
      <c r="L116" s="208">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6">
        <f>IF($P117="","",INDEX('_Datos'!$H$7:$H$200,$P117))</f>
      </c>
      <c r="G117" s="204">
        <f>IF($P117="","",INDEX('_Datos'!$J$7:$J$200,$P117))</f>
      </c>
      <c r="H117" s="208">
        <f>IF($P117="","",INDEX('_Datos'!$K$7:$K$200,$P117))</f>
      </c>
      <c r="I117" s="208">
        <f>IF($P117="","",INDEX('_Datos'!$S$7:$S$200,$P117))</f>
      </c>
      <c r="J117" s="208">
        <f>IF($P117="","",INDEX('_Datos'!$T$7:$T$200,$P117))</f>
      </c>
      <c r="K117" s="207">
        <f>IF($P117="","",INDEX('_Datos'!$V$7:$V$200,$P117))</f>
      </c>
      <c r="L117" s="208">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6">
        <f>IF($P118="","",INDEX('_Datos'!$H$7:$H$200,$P118))</f>
      </c>
      <c r="G118" s="204">
        <f>IF($P118="","",INDEX('_Datos'!$J$7:$J$200,$P118))</f>
      </c>
      <c r="H118" s="208">
        <f>IF($P118="","",INDEX('_Datos'!$K$7:$K$200,$P118))</f>
      </c>
      <c r="I118" s="208">
        <f>IF($P118="","",INDEX('_Datos'!$S$7:$S$200,$P118))</f>
      </c>
      <c r="J118" s="208">
        <f>IF($P118="","",INDEX('_Datos'!$T$7:$T$200,$P118))</f>
      </c>
      <c r="K118" s="207">
        <f>IF($P118="","",INDEX('_Datos'!$V$7:$V$200,$P118))</f>
      </c>
      <c r="L118" s="208">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6">
        <f>IF($P119="","",INDEX('_Datos'!$H$7:$H$200,$P119))</f>
      </c>
      <c r="G119" s="204">
        <f>IF($P119="","",INDEX('_Datos'!$J$7:$J$200,$P119))</f>
      </c>
      <c r="H119" s="208">
        <f>IF($P119="","",INDEX('_Datos'!$K$7:$K$200,$P119))</f>
      </c>
      <c r="I119" s="208">
        <f>IF($P119="","",INDEX('_Datos'!$S$7:$S$200,$P119))</f>
      </c>
      <c r="J119" s="208">
        <f>IF($P119="","",INDEX('_Datos'!$T$7:$T$200,$P119))</f>
      </c>
      <c r="K119" s="207">
        <f>IF($P119="","",INDEX('_Datos'!$V$7:$V$200,$P119))</f>
      </c>
      <c r="L119" s="208">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6">
        <f>IF($P120="","",INDEX('_Datos'!$H$7:$H$200,$P120))</f>
      </c>
      <c r="G120" s="204">
        <f>IF($P120="","",INDEX('_Datos'!$J$7:$J$200,$P120))</f>
      </c>
      <c r="H120" s="208">
        <f>IF($P120="","",INDEX('_Datos'!$K$7:$K$200,$P120))</f>
      </c>
      <c r="I120" s="208">
        <f>IF($P120="","",INDEX('_Datos'!$S$7:$S$200,$P120))</f>
      </c>
      <c r="J120" s="208">
        <f>IF($P120="","",INDEX('_Datos'!$T$7:$T$200,$P120))</f>
      </c>
      <c r="K120" s="207">
        <f>IF($P120="","",INDEX('_Datos'!$V$7:$V$200,$P120))</f>
      </c>
      <c r="L120" s="208">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6">
        <f>IF($P121="","",INDEX('_Datos'!$H$7:$H$200,$P121))</f>
      </c>
      <c r="G121" s="204">
        <f>IF($P121="","",INDEX('_Datos'!$J$7:$J$200,$P121))</f>
      </c>
      <c r="H121" s="208">
        <f>IF($P121="","",INDEX('_Datos'!$K$7:$K$200,$P121))</f>
      </c>
      <c r="I121" s="208">
        <f>IF($P121="","",INDEX('_Datos'!$S$7:$S$200,$P121))</f>
      </c>
      <c r="J121" s="208">
        <f>IF($P121="","",INDEX('_Datos'!$T$7:$T$200,$P121))</f>
      </c>
      <c r="K121" s="207">
        <f>IF($P121="","",INDEX('_Datos'!$V$7:$V$200,$P121))</f>
      </c>
      <c r="L121" s="208">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6">
        <f>IF($P122="","",INDEX('_Datos'!$H$7:$H$200,$P122))</f>
      </c>
      <c r="G122" s="204">
        <f>IF($P122="","",INDEX('_Datos'!$J$7:$J$200,$P122))</f>
      </c>
      <c r="H122" s="208">
        <f>IF($P122="","",INDEX('_Datos'!$K$7:$K$200,$P122))</f>
      </c>
      <c r="I122" s="208">
        <f>IF($P122="","",INDEX('_Datos'!$S$7:$S$200,$P122))</f>
      </c>
      <c r="J122" s="208">
        <f>IF($P122="","",INDEX('_Datos'!$T$7:$T$200,$P122))</f>
      </c>
      <c r="K122" s="207">
        <f>IF($P122="","",INDEX('_Datos'!$V$7:$V$200,$P122))</f>
      </c>
      <c r="L122" s="208">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6">
        <f>IF($P123="","",INDEX('_Datos'!$H$7:$H$200,$P123))</f>
      </c>
      <c r="G123" s="204">
        <f>IF($P123="","",INDEX('_Datos'!$J$7:$J$200,$P123))</f>
      </c>
      <c r="H123" s="208">
        <f>IF($P123="","",INDEX('_Datos'!$K$7:$K$200,$P123))</f>
      </c>
      <c r="I123" s="208">
        <f>IF($P123="","",INDEX('_Datos'!$S$7:$S$200,$P123))</f>
      </c>
      <c r="J123" s="208">
        <f>IF($P123="","",INDEX('_Datos'!$T$7:$T$200,$P123))</f>
      </c>
      <c r="K123" s="207">
        <f>IF($P123="","",INDEX('_Datos'!$V$7:$V$200,$P123))</f>
      </c>
      <c r="L123" s="208">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6">
        <f>IF($P124="","",INDEX('_Datos'!$H$7:$H$200,$P124))</f>
      </c>
      <c r="G124" s="204">
        <f>IF($P124="","",INDEX('_Datos'!$J$7:$J$200,$P124))</f>
      </c>
      <c r="H124" s="208">
        <f>IF($P124="","",INDEX('_Datos'!$K$7:$K$200,$P124))</f>
      </c>
      <c r="I124" s="208">
        <f>IF($P124="","",INDEX('_Datos'!$S$7:$S$200,$P124))</f>
      </c>
      <c r="J124" s="208">
        <f>IF($P124="","",INDEX('_Datos'!$T$7:$T$200,$P124))</f>
      </c>
      <c r="K124" s="207">
        <f>IF($P124="","",INDEX('_Datos'!$V$7:$V$200,$P124))</f>
      </c>
      <c r="L124" s="208">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6">
        <f>IF($P125="","",INDEX('_Datos'!$H$7:$H$200,$P125))</f>
      </c>
      <c r="G125" s="204">
        <f>IF($P125="","",INDEX('_Datos'!$J$7:$J$200,$P125))</f>
      </c>
      <c r="H125" s="208">
        <f>IF($P125="","",INDEX('_Datos'!$K$7:$K$200,$P125))</f>
      </c>
      <c r="I125" s="208">
        <f>IF($P125="","",INDEX('_Datos'!$S$7:$S$200,$P125))</f>
      </c>
      <c r="J125" s="208">
        <f>IF($P125="","",INDEX('_Datos'!$T$7:$T$200,$P125))</f>
      </c>
      <c r="K125" s="207">
        <f>IF($P125="","",INDEX('_Datos'!$V$7:$V$200,$P125))</f>
      </c>
      <c r="L125" s="208">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6">
        <f>IF($P126="","",INDEX('_Datos'!$H$7:$H$200,$P126))</f>
      </c>
      <c r="G126" s="204">
        <f>IF($P126="","",INDEX('_Datos'!$J$7:$J$200,$P126))</f>
      </c>
      <c r="H126" s="208">
        <f>IF($P126="","",INDEX('_Datos'!$K$7:$K$200,$P126))</f>
      </c>
      <c r="I126" s="208">
        <f>IF($P126="","",INDEX('_Datos'!$S$7:$S$200,$P126))</f>
      </c>
      <c r="J126" s="208">
        <f>IF($P126="","",INDEX('_Datos'!$T$7:$T$200,$P126))</f>
      </c>
      <c r="K126" s="207">
        <f>IF($P126="","",INDEX('_Datos'!$V$7:$V$200,$P126))</f>
      </c>
      <c r="L126" s="208">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6">
        <f>IF($P127="","",INDEX('_Datos'!$H$7:$H$200,$P127))</f>
      </c>
      <c r="G127" s="204">
        <f>IF($P127="","",INDEX('_Datos'!$J$7:$J$200,$P127))</f>
      </c>
      <c r="H127" s="208">
        <f>IF($P127="","",INDEX('_Datos'!$K$7:$K$200,$P127))</f>
      </c>
      <c r="I127" s="208">
        <f>IF($P127="","",INDEX('_Datos'!$S$7:$S$200,$P127))</f>
      </c>
      <c r="J127" s="208">
        <f>IF($P127="","",INDEX('_Datos'!$T$7:$T$200,$P127))</f>
      </c>
      <c r="K127" s="207">
        <f>IF($P127="","",INDEX('_Datos'!$V$7:$V$200,$P127))</f>
      </c>
      <c r="L127" s="208">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6">
        <f>IF($P128="","",INDEX('_Datos'!$H$7:$H$200,$P128))</f>
      </c>
      <c r="G128" s="204">
        <f>IF($P128="","",INDEX('_Datos'!$J$7:$J$200,$P128))</f>
      </c>
      <c r="H128" s="208">
        <f>IF($P128="","",INDEX('_Datos'!$K$7:$K$200,$P128))</f>
      </c>
      <c r="I128" s="208">
        <f>IF($P128="","",INDEX('_Datos'!$S$7:$S$200,$P128))</f>
      </c>
      <c r="J128" s="208">
        <f>IF($P128="","",INDEX('_Datos'!$T$7:$T$200,$P128))</f>
      </c>
      <c r="K128" s="207">
        <f>IF($P128="","",INDEX('_Datos'!$V$7:$V$200,$P128))</f>
      </c>
      <c r="L128" s="208">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6">
        <f>IF($P129="","",INDEX('_Datos'!$H$7:$H$200,$P129))</f>
      </c>
      <c r="G129" s="204">
        <f>IF($P129="","",INDEX('_Datos'!$J$7:$J$200,$P129))</f>
      </c>
      <c r="H129" s="208">
        <f>IF($P129="","",INDEX('_Datos'!$K$7:$K$200,$P129))</f>
      </c>
      <c r="I129" s="208">
        <f>IF($P129="","",INDEX('_Datos'!$S$7:$S$200,$P129))</f>
      </c>
      <c r="J129" s="208">
        <f>IF($P129="","",INDEX('_Datos'!$T$7:$T$200,$P129))</f>
      </c>
      <c r="K129" s="207">
        <f>IF($P129="","",INDEX('_Datos'!$V$7:$V$200,$P129))</f>
      </c>
      <c r="L129" s="208">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6">
        <f>IF($P130="","",INDEX('_Datos'!$H$7:$H$200,$P130))</f>
      </c>
      <c r="G130" s="204">
        <f>IF($P130="","",INDEX('_Datos'!$J$7:$J$200,$P130))</f>
      </c>
      <c r="H130" s="208">
        <f>IF($P130="","",INDEX('_Datos'!$K$7:$K$200,$P130))</f>
      </c>
      <c r="I130" s="208">
        <f>IF($P130="","",INDEX('_Datos'!$S$7:$S$200,$P130))</f>
      </c>
      <c r="J130" s="208">
        <f>IF($P130="","",INDEX('_Datos'!$T$7:$T$200,$P130))</f>
      </c>
      <c r="K130" s="207">
        <f>IF($P130="","",INDEX('_Datos'!$V$7:$V$200,$P130))</f>
      </c>
      <c r="L130" s="208">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6">
        <f>IF($P131="","",INDEX('_Datos'!$H$7:$H$200,$P131))</f>
      </c>
      <c r="G131" s="204">
        <f>IF($P131="","",INDEX('_Datos'!$J$7:$J$200,$P131))</f>
      </c>
      <c r="H131" s="208">
        <f>IF($P131="","",INDEX('_Datos'!$K$7:$K$200,$P131))</f>
      </c>
      <c r="I131" s="208">
        <f>IF($P131="","",INDEX('_Datos'!$S$7:$S$200,$P131))</f>
      </c>
      <c r="J131" s="208">
        <f>IF($P131="","",INDEX('_Datos'!$T$7:$T$200,$P131))</f>
      </c>
      <c r="K131" s="207">
        <f>IF($P131="","",INDEX('_Datos'!$V$7:$V$200,$P131))</f>
      </c>
      <c r="L131" s="208">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6">
        <f>IF($P132="","",INDEX('_Datos'!$H$7:$H$200,$P132))</f>
      </c>
      <c r="G132" s="204">
        <f>IF($P132="","",INDEX('_Datos'!$J$7:$J$200,$P132))</f>
      </c>
      <c r="H132" s="208">
        <f>IF($P132="","",INDEX('_Datos'!$K$7:$K$200,$P132))</f>
      </c>
      <c r="I132" s="208">
        <f>IF($P132="","",INDEX('_Datos'!$S$7:$S$200,$P132))</f>
      </c>
      <c r="J132" s="208">
        <f>IF($P132="","",INDEX('_Datos'!$T$7:$T$200,$P132))</f>
      </c>
      <c r="K132" s="207">
        <f>IF($P132="","",INDEX('_Datos'!$V$7:$V$200,$P132))</f>
      </c>
      <c r="L132" s="208">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6">
        <f>IF($P133="","",INDEX('_Datos'!$H$7:$H$200,$P133))</f>
      </c>
      <c r="G133" s="204">
        <f>IF($P133="","",INDEX('_Datos'!$J$7:$J$200,$P133))</f>
      </c>
      <c r="H133" s="208">
        <f>IF($P133="","",INDEX('_Datos'!$K$7:$K$200,$P133))</f>
      </c>
      <c r="I133" s="208">
        <f>IF($P133="","",INDEX('_Datos'!$S$7:$S$200,$P133))</f>
      </c>
      <c r="J133" s="208">
        <f>IF($P133="","",INDEX('_Datos'!$T$7:$T$200,$P133))</f>
      </c>
      <c r="K133" s="207">
        <f>IF($P133="","",INDEX('_Datos'!$V$7:$V$200,$P133))</f>
      </c>
      <c r="L133" s="208">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6">
        <f>IF($P134="","",INDEX('_Datos'!$H$7:$H$200,$P134))</f>
      </c>
      <c r="G134" s="204">
        <f>IF($P134="","",INDEX('_Datos'!$J$7:$J$200,$P134))</f>
      </c>
      <c r="H134" s="208">
        <f>IF($P134="","",INDEX('_Datos'!$K$7:$K$200,$P134))</f>
      </c>
      <c r="I134" s="208">
        <f>IF($P134="","",INDEX('_Datos'!$S$7:$S$200,$P134))</f>
      </c>
      <c r="J134" s="208">
        <f>IF($P134="","",INDEX('_Datos'!$T$7:$T$200,$P134))</f>
      </c>
      <c r="K134" s="207">
        <f>IF($P134="","",INDEX('_Datos'!$V$7:$V$200,$P134))</f>
      </c>
      <c r="L134" s="208">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6">
        <f>IF($P135="","",INDEX('_Datos'!$H$7:$H$200,$P135))</f>
      </c>
      <c r="G135" s="204">
        <f>IF($P135="","",INDEX('_Datos'!$J$7:$J$200,$P135))</f>
      </c>
      <c r="H135" s="208">
        <f>IF($P135="","",INDEX('_Datos'!$K$7:$K$200,$P135))</f>
      </c>
      <c r="I135" s="208">
        <f>IF($P135="","",INDEX('_Datos'!$S$7:$S$200,$P135))</f>
      </c>
      <c r="J135" s="208">
        <f>IF($P135="","",INDEX('_Datos'!$T$7:$T$200,$P135))</f>
      </c>
      <c r="K135" s="207">
        <f>IF($P135="","",INDEX('_Datos'!$V$7:$V$200,$P135))</f>
      </c>
      <c r="L135" s="208">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6">
        <f>IF($P136="","",INDEX('_Datos'!$H$7:$H$200,$P136))</f>
      </c>
      <c r="G136" s="204">
        <f>IF($P136="","",INDEX('_Datos'!$J$7:$J$200,$P136))</f>
      </c>
      <c r="H136" s="208">
        <f>IF($P136="","",INDEX('_Datos'!$K$7:$K$200,$P136))</f>
      </c>
      <c r="I136" s="208">
        <f>IF($P136="","",INDEX('_Datos'!$S$7:$S$200,$P136))</f>
      </c>
      <c r="J136" s="208">
        <f>IF($P136="","",INDEX('_Datos'!$T$7:$T$200,$P136))</f>
      </c>
      <c r="K136" s="207">
        <f>IF($P136="","",INDEX('_Datos'!$V$7:$V$200,$P136))</f>
      </c>
      <c r="L136" s="208">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6">
        <f>IF($P137="","",INDEX('_Datos'!$H$7:$H$200,$P137))</f>
      </c>
      <c r="G137" s="204">
        <f>IF($P137="","",INDEX('_Datos'!$J$7:$J$200,$P137))</f>
      </c>
      <c r="H137" s="208">
        <f>IF($P137="","",INDEX('_Datos'!$K$7:$K$200,$P137))</f>
      </c>
      <c r="I137" s="208">
        <f>IF($P137="","",INDEX('_Datos'!$S$7:$S$200,$P137))</f>
      </c>
      <c r="J137" s="208">
        <f>IF($P137="","",INDEX('_Datos'!$T$7:$T$200,$P137))</f>
      </c>
      <c r="K137" s="207">
        <f>IF($P137="","",INDEX('_Datos'!$V$7:$V$200,$P137))</f>
      </c>
      <c r="L137" s="208">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6">
        <f>IF($P138="","",INDEX('_Datos'!$H$7:$H$200,$P138))</f>
      </c>
      <c r="G138" s="204">
        <f>IF($P138="","",INDEX('_Datos'!$J$7:$J$200,$P138))</f>
      </c>
      <c r="H138" s="208">
        <f>IF($P138="","",INDEX('_Datos'!$K$7:$K$200,$P138))</f>
      </c>
      <c r="I138" s="208">
        <f>IF($P138="","",INDEX('_Datos'!$S$7:$S$200,$P138))</f>
      </c>
      <c r="J138" s="208">
        <f>IF($P138="","",INDEX('_Datos'!$T$7:$T$200,$P138))</f>
      </c>
      <c r="K138" s="207">
        <f>IF($P138="","",INDEX('_Datos'!$V$7:$V$200,$P138))</f>
      </c>
      <c r="L138" s="208">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6">
        <f>IF($P139="","",INDEX('_Datos'!$H$7:$H$200,$P139))</f>
      </c>
      <c r="G139" s="204">
        <f>IF($P139="","",INDEX('_Datos'!$J$7:$J$200,$P139))</f>
      </c>
      <c r="H139" s="208">
        <f>IF($P139="","",INDEX('_Datos'!$K$7:$K$200,$P139))</f>
      </c>
      <c r="I139" s="208">
        <f>IF($P139="","",INDEX('_Datos'!$S$7:$S$200,$P139))</f>
      </c>
      <c r="J139" s="208">
        <f>IF($P139="","",INDEX('_Datos'!$T$7:$T$200,$P139))</f>
      </c>
      <c r="K139" s="207">
        <f>IF($P139="","",INDEX('_Datos'!$V$7:$V$200,$P139))</f>
      </c>
      <c r="L139" s="208">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6">
        <f>IF($P140="","",INDEX('_Datos'!$H$7:$H$200,$P140))</f>
      </c>
      <c r="G140" s="204">
        <f>IF($P140="","",INDEX('_Datos'!$J$7:$J$200,$P140))</f>
      </c>
      <c r="H140" s="208">
        <f>IF($P140="","",INDEX('_Datos'!$K$7:$K$200,$P140))</f>
      </c>
      <c r="I140" s="208">
        <f>IF($P140="","",INDEX('_Datos'!$S$7:$S$200,$P140))</f>
      </c>
      <c r="J140" s="208">
        <f>IF($P140="","",INDEX('_Datos'!$T$7:$T$200,$P140))</f>
      </c>
      <c r="K140" s="207">
        <f>IF($P140="","",INDEX('_Datos'!$V$7:$V$200,$P140))</f>
      </c>
      <c r="L140" s="208">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6">
        <f>IF($P141="","",INDEX('_Datos'!$H$7:$H$200,$P141))</f>
      </c>
      <c r="G141" s="204">
        <f>IF($P141="","",INDEX('_Datos'!$J$7:$J$200,$P141))</f>
      </c>
      <c r="H141" s="208">
        <f>IF($P141="","",INDEX('_Datos'!$K$7:$K$200,$P141))</f>
      </c>
      <c r="I141" s="208">
        <f>IF($P141="","",INDEX('_Datos'!$S$7:$S$200,$P141))</f>
      </c>
      <c r="J141" s="208">
        <f>IF($P141="","",INDEX('_Datos'!$T$7:$T$200,$P141))</f>
      </c>
      <c r="K141" s="207">
        <f>IF($P141="","",INDEX('_Datos'!$V$7:$V$200,$P141))</f>
      </c>
      <c r="L141" s="208">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6">
        <f>IF($P142="","",INDEX('_Datos'!$H$7:$H$200,$P142))</f>
      </c>
      <c r="G142" s="204">
        <f>IF($P142="","",INDEX('_Datos'!$J$7:$J$200,$P142))</f>
      </c>
      <c r="H142" s="208">
        <f>IF($P142="","",INDEX('_Datos'!$K$7:$K$200,$P142))</f>
      </c>
      <c r="I142" s="208">
        <f>IF($P142="","",INDEX('_Datos'!$S$7:$S$200,$P142))</f>
      </c>
      <c r="J142" s="208">
        <f>IF($P142="","",INDEX('_Datos'!$T$7:$T$200,$P142))</f>
      </c>
      <c r="K142" s="207">
        <f>IF($P142="","",INDEX('_Datos'!$V$7:$V$200,$P142))</f>
      </c>
      <c r="L142" s="208">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6">
        <f>IF($P143="","",INDEX('_Datos'!$H$7:$H$200,$P143))</f>
      </c>
      <c r="G143" s="204">
        <f>IF($P143="","",INDEX('_Datos'!$J$7:$J$200,$P143))</f>
      </c>
      <c r="H143" s="208">
        <f>IF($P143="","",INDEX('_Datos'!$K$7:$K$200,$P143))</f>
      </c>
      <c r="I143" s="208">
        <f>IF($P143="","",INDEX('_Datos'!$S$7:$S$200,$P143))</f>
      </c>
      <c r="J143" s="208">
        <f>IF($P143="","",INDEX('_Datos'!$T$7:$T$200,$P143))</f>
      </c>
      <c r="K143" s="207">
        <f>IF($P143="","",INDEX('_Datos'!$V$7:$V$200,$P143))</f>
      </c>
      <c r="L143" s="208">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6">
        <f>IF($P144="","",INDEX('_Datos'!$H$7:$H$200,$P144))</f>
      </c>
      <c r="G144" s="204">
        <f>IF($P144="","",INDEX('_Datos'!$J$7:$J$200,$P144))</f>
      </c>
      <c r="H144" s="208">
        <f>IF($P144="","",INDEX('_Datos'!$K$7:$K$200,$P144))</f>
      </c>
      <c r="I144" s="208">
        <f>IF($P144="","",INDEX('_Datos'!$S$7:$S$200,$P144))</f>
      </c>
      <c r="J144" s="208">
        <f>IF($P144="","",INDEX('_Datos'!$T$7:$T$200,$P144))</f>
      </c>
      <c r="K144" s="207">
        <f>IF($P144="","",INDEX('_Datos'!$V$7:$V$200,$P144))</f>
      </c>
      <c r="L144" s="208">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6">
        <f>IF($P145="","",INDEX('_Datos'!$H$7:$H$200,$P145))</f>
      </c>
      <c r="G145" s="204">
        <f>IF($P145="","",INDEX('_Datos'!$J$7:$J$200,$P145))</f>
      </c>
      <c r="H145" s="208">
        <f>IF($P145="","",INDEX('_Datos'!$K$7:$K$200,$P145))</f>
      </c>
      <c r="I145" s="208">
        <f>IF($P145="","",INDEX('_Datos'!$S$7:$S$200,$P145))</f>
      </c>
      <c r="J145" s="208">
        <f>IF($P145="","",INDEX('_Datos'!$T$7:$T$200,$P145))</f>
      </c>
      <c r="K145" s="207">
        <f>IF($P145="","",INDEX('_Datos'!$V$7:$V$200,$P145))</f>
      </c>
      <c r="L145" s="208">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6">
        <f>IF($P146="","",INDEX('_Datos'!$H$7:$H$200,$P146))</f>
      </c>
      <c r="G146" s="204">
        <f>IF($P146="","",INDEX('_Datos'!$J$7:$J$200,$P146))</f>
      </c>
      <c r="H146" s="208">
        <f>IF($P146="","",INDEX('_Datos'!$K$7:$K$200,$P146))</f>
      </c>
      <c r="I146" s="208">
        <f>IF($P146="","",INDEX('_Datos'!$S$7:$S$200,$P146))</f>
      </c>
      <c r="J146" s="208">
        <f>IF($P146="","",INDEX('_Datos'!$T$7:$T$200,$P146))</f>
      </c>
      <c r="K146" s="207">
        <f>IF($P146="","",INDEX('_Datos'!$V$7:$V$200,$P146))</f>
      </c>
      <c r="L146" s="208">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6">
        <f>IF($P147="","",INDEX('_Datos'!$H$7:$H$200,$P147))</f>
      </c>
      <c r="G147" s="204">
        <f>IF($P147="","",INDEX('_Datos'!$J$7:$J$200,$P147))</f>
      </c>
      <c r="H147" s="208">
        <f>IF($P147="","",INDEX('_Datos'!$K$7:$K$200,$P147))</f>
      </c>
      <c r="I147" s="208">
        <f>IF($P147="","",INDEX('_Datos'!$S$7:$S$200,$P147))</f>
      </c>
      <c r="J147" s="208">
        <f>IF($P147="","",INDEX('_Datos'!$T$7:$T$200,$P147))</f>
      </c>
      <c r="K147" s="207">
        <f>IF($P147="","",INDEX('_Datos'!$V$7:$V$200,$P147))</f>
      </c>
      <c r="L147" s="208">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6">
        <f>IF($P148="","",INDEX('_Datos'!$H$7:$H$200,$P148))</f>
      </c>
      <c r="G148" s="204">
        <f>IF($P148="","",INDEX('_Datos'!$J$7:$J$200,$P148))</f>
      </c>
      <c r="H148" s="208">
        <f>IF($P148="","",INDEX('_Datos'!$K$7:$K$200,$P148))</f>
      </c>
      <c r="I148" s="208">
        <f>IF($P148="","",INDEX('_Datos'!$S$7:$S$200,$P148))</f>
      </c>
      <c r="J148" s="208">
        <f>IF($P148="","",INDEX('_Datos'!$T$7:$T$200,$P148))</f>
      </c>
      <c r="K148" s="207">
        <f>IF($P148="","",INDEX('_Datos'!$V$7:$V$200,$P148))</f>
      </c>
      <c r="L148" s="208">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6">
        <f>IF($P149="","",INDEX('_Datos'!$H$7:$H$200,$P149))</f>
      </c>
      <c r="G149" s="204">
        <f>IF($P149="","",INDEX('_Datos'!$J$7:$J$200,$P149))</f>
      </c>
      <c r="H149" s="208">
        <f>IF($P149="","",INDEX('_Datos'!$K$7:$K$200,$P149))</f>
      </c>
      <c r="I149" s="208">
        <f>IF($P149="","",INDEX('_Datos'!$S$7:$S$200,$P149))</f>
      </c>
      <c r="J149" s="208">
        <f>IF($P149="","",INDEX('_Datos'!$T$7:$T$200,$P149))</f>
      </c>
      <c r="K149" s="207">
        <f>IF($P149="","",INDEX('_Datos'!$V$7:$V$200,$P149))</f>
      </c>
      <c r="L149" s="208">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6">
        <f>IF($P150="","",INDEX('_Datos'!$H$7:$H$200,$P150))</f>
      </c>
      <c r="G150" s="204">
        <f>IF($P150="","",INDEX('_Datos'!$J$7:$J$200,$P150))</f>
      </c>
      <c r="H150" s="208">
        <f>IF($P150="","",INDEX('_Datos'!$K$7:$K$200,$P150))</f>
      </c>
      <c r="I150" s="208">
        <f>IF($P150="","",INDEX('_Datos'!$S$7:$S$200,$P150))</f>
      </c>
      <c r="J150" s="208">
        <f>IF($P150="","",INDEX('_Datos'!$T$7:$T$200,$P150))</f>
      </c>
      <c r="K150" s="207">
        <f>IF($P150="","",INDEX('_Datos'!$V$7:$V$200,$P150))</f>
      </c>
      <c r="L150" s="208">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6">
        <f>IF($P151="","",INDEX('_Datos'!$H$7:$H$200,$P151))</f>
      </c>
      <c r="G151" s="204">
        <f>IF($P151="","",INDEX('_Datos'!$J$7:$J$200,$P151))</f>
      </c>
      <c r="H151" s="208">
        <f>IF($P151="","",INDEX('_Datos'!$K$7:$K$200,$P151))</f>
      </c>
      <c r="I151" s="208">
        <f>IF($P151="","",INDEX('_Datos'!$S$7:$S$200,$P151))</f>
      </c>
      <c r="J151" s="208">
        <f>IF($P151="","",INDEX('_Datos'!$T$7:$T$200,$P151))</f>
      </c>
      <c r="K151" s="207">
        <f>IF($P151="","",INDEX('_Datos'!$V$7:$V$200,$P151))</f>
      </c>
      <c r="L151" s="208">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6">
        <f>IF($P152="","",INDEX('_Datos'!$H$7:$H$200,$P152))</f>
      </c>
      <c r="G152" s="204">
        <f>IF($P152="","",INDEX('_Datos'!$J$7:$J$200,$P152))</f>
      </c>
      <c r="H152" s="208">
        <f>IF($P152="","",INDEX('_Datos'!$K$7:$K$200,$P152))</f>
      </c>
      <c r="I152" s="208">
        <f>IF($P152="","",INDEX('_Datos'!$S$7:$S$200,$P152))</f>
      </c>
      <c r="J152" s="208">
        <f>IF($P152="","",INDEX('_Datos'!$T$7:$T$200,$P152))</f>
      </c>
      <c r="K152" s="207">
        <f>IF($P152="","",INDEX('_Datos'!$V$7:$V$200,$P152))</f>
      </c>
      <c r="L152" s="208">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6">
        <f>IF($P153="","",INDEX('_Datos'!$H$7:$H$200,$P153))</f>
      </c>
      <c r="G153" s="204">
        <f>IF($P153="","",INDEX('_Datos'!$J$7:$J$200,$P153))</f>
      </c>
      <c r="H153" s="208">
        <f>IF($P153="","",INDEX('_Datos'!$K$7:$K$200,$P153))</f>
      </c>
      <c r="I153" s="208">
        <f>IF($P153="","",INDEX('_Datos'!$S$7:$S$200,$P153))</f>
      </c>
      <c r="J153" s="208">
        <f>IF($P153="","",INDEX('_Datos'!$T$7:$T$200,$P153))</f>
      </c>
      <c r="K153" s="207">
        <f>IF($P153="","",INDEX('_Datos'!$V$7:$V$200,$P153))</f>
      </c>
      <c r="L153" s="208">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6">
        <f>IF($P154="","",INDEX('_Datos'!$H$7:$H$200,$P154))</f>
      </c>
      <c r="G154" s="204">
        <f>IF($P154="","",INDEX('_Datos'!$J$7:$J$200,$P154))</f>
      </c>
      <c r="H154" s="208">
        <f>IF($P154="","",INDEX('_Datos'!$K$7:$K$200,$P154))</f>
      </c>
      <c r="I154" s="208">
        <f>IF($P154="","",INDEX('_Datos'!$S$7:$S$200,$P154))</f>
      </c>
      <c r="J154" s="208">
        <f>IF($P154="","",INDEX('_Datos'!$T$7:$T$200,$P154))</f>
      </c>
      <c r="K154" s="207">
        <f>IF($P154="","",INDEX('_Datos'!$V$7:$V$200,$P154))</f>
      </c>
      <c r="L154" s="208">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6">
        <f>IF($P155="","",INDEX('_Datos'!$H$7:$H$200,$P155))</f>
      </c>
      <c r="G155" s="204">
        <f>IF($P155="","",INDEX('_Datos'!$J$7:$J$200,$P155))</f>
      </c>
      <c r="H155" s="208">
        <f>IF($P155="","",INDEX('_Datos'!$K$7:$K$200,$P155))</f>
      </c>
      <c r="I155" s="208">
        <f>IF($P155="","",INDEX('_Datos'!$S$7:$S$200,$P155))</f>
      </c>
      <c r="J155" s="208">
        <f>IF($P155="","",INDEX('_Datos'!$T$7:$T$200,$P155))</f>
      </c>
      <c r="K155" s="207">
        <f>IF($P155="","",INDEX('_Datos'!$V$7:$V$200,$P155))</f>
      </c>
      <c r="L155" s="208">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6">
        <f>IF($P156="","",INDEX('_Datos'!$H$7:$H$200,$P156))</f>
      </c>
      <c r="G156" s="204">
        <f>IF($P156="","",INDEX('_Datos'!$J$7:$J$200,$P156))</f>
      </c>
      <c r="H156" s="208">
        <f>IF($P156="","",INDEX('_Datos'!$K$7:$K$200,$P156))</f>
      </c>
      <c r="I156" s="208">
        <f>IF($P156="","",INDEX('_Datos'!$S$7:$S$200,$P156))</f>
      </c>
      <c r="J156" s="208">
        <f>IF($P156="","",INDEX('_Datos'!$T$7:$T$200,$P156))</f>
      </c>
      <c r="K156" s="207">
        <f>IF($P156="","",INDEX('_Datos'!$V$7:$V$200,$P156))</f>
      </c>
      <c r="L156" s="208">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IF($C7,'Proyecto Datos (OKR´s)'!$J7,"")</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IF($C7,'Backlog General'!$L7,"")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IF(AND($C7,ISNUMBER($AR7)),IF(OR($AT7="Completo",$AU7="Cancelado",$AU7="Baja prioridad"),$AR7,IF($AU7="Pasa al siguiente",MAX($AR7+1,$AS7),MAX($AR7,$AS7))),"")</f>
      </c>
      <c r="AW7" s="202">
        <f>IF(AND($C7,ISNUMBER($AR7)),$AQ7+$AR7*$AP7*'Sprints'!$D$5-'Sprints'!$D$5,"")</f>
      </c>
      <c r="AX7" s="202">
        <f>IF($C7,IF(OR($AT7="Completo",$AU7="Cancelado",$AU7="Baja prioridad",NOT(ISNUMBER($AW7))),0,MAX(0,TODAY()-$AW7)),"")</f>
      </c>
      <c r="AY7" s="203">
        <f>IF($C7,IF(NOT(ISNUMBER($AR7)),"Sin fecha",IF($AT7="Completo","Completo",IF($AU7="Cancelado","Cancelado",IF($AU7="Baja prioridad","Baja prioridad",IF($AX7&gt;0,"Vencida","Pendiente"))))),"")</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IF($C8,'Proyecto Datos (OKR´s)'!$J8,"")</f>
        <v>0.2</v>
      </c>
      <c r="J8" s="203" t="str">
        <f>IF($C8,IF($I8&gt;=1,"Completado",IF(NOT(ISNUMBER($H8)),"Sin fecha",IF($H8&lt;TODAY(),"Vencido",IF(($H8-TODAY())&lt;='Entregas Próximas'!$M$3,"Próximo a vencer","En curso")))),"")</f>
        <v>Próximo a vencer</v>
      </c>
      <c r="K8" s="202">
        <f>IF(AND($C8,ISNUMBER($H8)),$H8-TODAY(),"")</f>
        <v>7</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v>2</v>
      </c>
      <c r="R8" s="202">
        <f>IF($C8,IF(ISNUMBER('Proyecto Datos (OKR´s)'!$L8),'Proyecto Datos (OKR´s)'!$L8,$H8),"")</f>
        <v>46203</v>
      </c>
      <c r="S8" s="202">
        <f>IF($C8,$R8-'Proyecto Datos (OKR´s)'!$K8+1,"")</f>
        <v>246</v>
      </c>
      <c r="T8" s="202">
        <f>IF($C8,MAX(0,TODAY()-'Proyecto Datos (OKR´s)'!$K8),"")</f>
        <v>238</v>
      </c>
      <c r="U8" s="202">
        <f>IF($C8,MEDIAN(0,(TODAY()-'Proyecto Datos (OKR´s)'!$K8)/MAX(1,$R8-'Proyecto Datos (OKR´s)'!$K8),1),"")</f>
        <v>0.9714285714285714</v>
      </c>
      <c r="V8" s="202">
        <f>IF($C8,$I8-$U8,"")</f>
        <v>-0.7714285714285714</v>
      </c>
      <c r="W8" s="202">
        <f>IF($C8,IF(OR($J8="Completado",NOT(ISNUMBER($H8))),0,MAX(0,TODAY()-$H8)),"")</f>
        <v>0</v>
      </c>
      <c r="X8" s="202">
        <f>IF($C8,IF(ISNUMBER($H8),$R8-$H8,0),"")</f>
        <v>0</v>
      </c>
      <c r="Y8" s="202">
        <f>IF($C8,COUNTIFS($G$7:$G$200,$G8,$J$7:$J$200,"&lt;&gt;Completado",$J$7:$J$200,"&lt;&gt;"),"")</f>
        <v>0</v>
      </c>
      <c r="Z8" s="202" t="b">
        <f>IF($C8,AND($I8=0,'Proyecto Datos (OKR´s)'!$K8&lt;=TODAY(),$J8&lt;&gt;"Completado"),"")</f>
        <v>0</v>
      </c>
      <c r="AA8" s="202">
        <f>IF($C8,ROUND(100*(0.35*$AK8+0.3*$AL8+0.2*$AM8+0.15*MEDIAN(0,($Y8-4)/8,1)),0),"")</f>
        <v>62</v>
      </c>
      <c r="AB8" s="203" t="str">
        <f>IF($C8,IF(OR($J8="Completado",$J8="Sin fecha"),"—",IF($AA8&gt;=70,"Crítica",IF($AA8&gt;=45,"Alta",IF($AA8&gt;=25,"Media","Baja")))),"")</f>
        <v>Alta</v>
      </c>
      <c r="AC8" s="203" t="str">
        <f>IF($C8,IF(LEN(TRIM($AN8))=0,"—",TRIM($AN8)),"")</f>
        <v>ATRASO</v>
      </c>
      <c r="AD8" s="202">
        <f>IF($C8,$AV8,"")</f>
        <v>1</v>
      </c>
      <c r="AE8" s="202" t="str">
        <f>IF($C8,$AZ8,"")</f>
        <v>Mensual · S1</v>
      </c>
      <c r="AF8" s="202" t="b">
        <f>IF($C8,$AV8&lt;&gt;$AR8,FALSE)</f>
        <v>0</v>
      </c>
      <c r="AG8" s="202">
        <f>IF($C8,IF($AV8&lt;&gt;$AR8,$AW8,""),"")</f>
      </c>
      <c r="AH8" s="203">
        <f>IF($C8,'Backlog General'!$L8,"")</f>
        <v>0</v>
      </c>
      <c r="AI8" s="202">
        <f>IF($C8,$AV8*100000+ROW(),"")</f>
        <v>100008</v>
      </c>
      <c r="AJ8" s="202">
        <f>IF(AND($C8,ISNUMBER($H8)),$AA8*1000000-MEDIAN(-9999,$K8,9999)*100+(300-ROW()),"")</f>
        <v>61999592</v>
      </c>
      <c r="AK8" s="202">
        <f>IF($C8,IF($J8="Completado",0,IF($K8&lt;0,1,IF($K8&lt;=3,0.9,IF($K8&lt;=7,0.7,IF($K8&lt;=14,0.45,0.2))))),"")</f>
        <v>0.7</v>
      </c>
      <c r="AL8" s="202">
        <f>IF($C8,IF($J8="Completado",0,MEDIAN(0,MAX(-$V8,$W8/30),1)),"")</f>
        <v>0.7714285714285714</v>
      </c>
      <c r="AM8" s="202">
        <f>IF($C8,IF($J8="Completado",0,IF($Z8,1,IF(AND($I8&lt;0.5,$K8&lt;=7),0.7,0.3))),"")</f>
        <v>0.7</v>
      </c>
      <c r="AN8" s="203" t="str">
        <f>IF($C8,IF(OR($V8&lt;-0.2,$W8&gt;0),"ATRASO ","")&amp;IF($Z8,"BLOQUEO ","")&amp;IF($Y8&gt;8,"SOBRECARGA ","")&amp;IF($X8&gt;0,"DESVÍO-PLAN ",""),"")</f>
        <v>ATRASO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f>IF($C8,'Backlog General'!$G8,"")</f>
        <v>0</v>
      </c>
      <c r="AU8" s="203">
        <f>IF($C8,'Backlog General'!$H8,"")</f>
        <v>0</v>
      </c>
      <c r="AV8" s="202">
        <f>IF(AND($C8,ISNUMBER($AR8)),IF(OR($AT8="Completo",$AU8="Cancelado",$AU8="Baja prioridad"),$AR8,IF($AU8="Pasa al siguiente",MAX($AR8+1,$AS8),MAX($AR8,$AS8))),"")</f>
        <v>1</v>
      </c>
      <c r="AW8" s="202">
        <f>IF(AND($C8,ISNUMBER($AR8)),$AQ8+$AR8*$AP8*'Sprints'!$D$5-'Sprints'!$D$5,"")</f>
        <v>46213</v>
      </c>
      <c r="AX8" s="202">
        <f>IF($C8,IF(OR($AT8="Completo",$AU8="Cancelado",$AU8="Baja prioridad",NOT(ISNUMBER($AW8))),0,MAX(0,TODAY()-$AW8)),"")</f>
        <v>0</v>
      </c>
      <c r="AY8" s="203" t="str">
        <f>IF($C8,IF(NOT(ISNUMBER($AR8)),"Sin fecha",IF($AT8="Completo","Completo",IF($AU8="Cancelado","Cancelado",IF($AU8="Baja prioridad","Baja prioridad",IF($AX8&gt;0,"Vencida","Pendiente"))))),"")</f>
        <v>Pendiente</v>
      </c>
      <c r="AZ8" s="203" t="str">
        <f>IF($C8,IF(ISNUMBER($AV8),$AO8&amp;" · S"&amp;$AV8,"(Sin fecha)"),"")</f>
        <v>Mensual · S1</v>
      </c>
      <c r="BA8" s="202">
        <f>IF($C8,IF(AND(ISNUMBER('Backlog General'!$M8),'Backlog General'!$M8=$AS8),"Nuevo S"&amp;'Backlog General'!$M8,""),"")</f>
      </c>
      <c r="BB8" s="202">
        <f>IF(AND($C8,$AO8="Semanal",ISNUMBER($AV8)),$AV8*100000+ROW(),"")</f>
      </c>
      <c r="BC8" s="202">
        <f>IF(AND($C8,$AO8="Quincenal",ISNUMBER($AV8)),$AV8*100000+ROW(),"")</f>
      </c>
      <c r="BD8" s="202">
        <f>IF(AND($C8,$AO8="Mensual",ISNUMBER($AV8)),$AV8*100000+ROW(),"")</f>
        <v>100008</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IF($C9,'Proyecto Datos (OKR´s)'!$J9,"")</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IF($C9,'Backlog General'!$L9,"")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IF(AND($C9,ISNUMBER($AR9)),IF(OR($AT9="Completo",$AU9="Cancelado",$AU9="Baja prioridad"),$AR9,IF($AU9="Pasa al siguiente",MAX($AR9+1,$AS9),MAX($AR9,$AS9))),"")</f>
      </c>
      <c r="AW9" s="202">
        <f>IF(AND($C9,ISNUMBER($AR9)),$AQ9+$AR9*$AP9*'Sprints'!$D$5-'Sprints'!$D$5,"")</f>
      </c>
      <c r="AX9" s="202">
        <f>IF($C9,IF(OR($AT9="Completo",$AU9="Cancelado",$AU9="Baja prioridad",NOT(ISNUMBER($AW9))),0,MAX(0,TODAY()-$AW9)),"")</f>
      </c>
      <c r="AY9" s="203">
        <f>IF($C9,IF(NOT(ISNUMBER($AR9)),"Sin fecha",IF($AT9="Completo","Completo",IF($AU9="Cancelado","Cancelado",IF($AU9="Baja prioridad","Baja prioridad",IF($AX9&gt;0,"Vencida","Pendiente"))))),"")</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IF($C10,'Proyecto Datos (OKR´s)'!$J10,"")</f>
        <v>1</v>
      </c>
      <c r="J10" s="203" t="str">
        <f>IF($C10,IF($I10&gt;=1,"Completado",IF(NOT(ISNUMBER($H10)),"Sin fecha",IF($H10&lt;TODAY(),"Vencido",IF(($H10-TODAY())&lt;='Entregas Próximas'!$M$3,"Próximo a vencer","En curso")))),"")</f>
        <v>Completado</v>
      </c>
      <c r="K10" s="202">
        <f>IF(AND($C10,ISNUMBER($H10)),$H10-TODAY(),"")</f>
        <v>-4</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238</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IF($C10,'Backlog General'!$L10,"")</f>
        <v>0</v>
      </c>
      <c r="AI10" s="202">
        <f>IF($C10,$AV10*100000+ROW(),"")</f>
        <v>100010</v>
      </c>
      <c r="AJ10" s="202">
        <f>IF(AND($C10,ISNUMBER($H10)),$AA10*1000000-MEDIAN(-9999,$K10,9999)*100+(300-ROW()),"")</f>
        <v>690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f>IF($C10,'Backlog General'!$G10,"")</f>
        <v>0</v>
      </c>
      <c r="AU10" s="203">
        <f>IF($C10,'Backlog General'!$H10,"")</f>
        <v>0</v>
      </c>
      <c r="AV10" s="202">
        <f>IF(AND($C10,ISNUMBER($AR10)),IF(OR($AT10="Completo",$AU10="Cancelado",$AU10="Baja prioridad"),$AR10,IF($AU10="Pasa al siguiente",MAX($AR10+1,$AS10),MAX($AR10,$AS10))),"")</f>
        <v>1</v>
      </c>
      <c r="AW10" s="202">
        <f>IF(AND($C10,ISNUMBER($AR10)),$AQ10+$AR10*$AP10*'Sprints'!$D$5-'Sprints'!$D$5,"")</f>
        <v>46199</v>
      </c>
      <c r="AX10" s="202">
        <f>IF($C10,IF(OR($AT10="Completo",$AU10="Cancelado",$AU10="Baja prioridad",NOT(ISNUMBER($AW10))),0,MAX(0,TODAY()-$AW10)),"")</f>
        <v>0</v>
      </c>
      <c r="AY10" s="203" t="str">
        <f>IF($C10,IF(NOT(ISNUMBER($AR10)),"Sin fecha",IF($AT10="Completo","Completo",IF($AU10="Cancelado","Cancelado",IF($AU10="Baja prioridad","Baja prioridad",IF($AX10&gt;0,"Vencida","Pendiente"))))),"")</f>
        <v>Pendiente</v>
      </c>
      <c r="AZ10" s="203" t="str">
        <f>IF($C10,IF(ISNUMBER($AV10),$AO10&amp;" · S"&amp;$AV10,"(Sin fecha)"),"")</f>
        <v>Quincenal · S1</v>
      </c>
      <c r="BA10" s="202">
        <f>IF($C10,IF(AND(ISNUMBER('Backlog General'!$M10),'Backlog General'!$M10=$AS10),"Nuevo S"&amp;'Backlog General'!$M10,""),"")</f>
      </c>
      <c r="BB10" s="202">
        <f>IF(AND($C10,$AO10="Semanal",ISNUMBER($AV10)),$AV10*100000+ROW(),"")</f>
      </c>
      <c r="BC10" s="202">
        <f>IF(AND($C10,$AO10="Quincenal",ISNUMBER($AV10)),$AV10*100000+ROW(),"")</f>
        <v>100010</v>
      </c>
      <c r="BD10" s="202">
        <f>IF(AND($C10,$AO10="Mensual",ISNUMBER($AV10)),$AV10*100000+ROW(),"")</f>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IF($C11,'Proyecto Datos (OKR´s)'!$J11,"")</f>
        <v>0.75</v>
      </c>
      <c r="J11" s="203" t="str">
        <f>IF($C11,IF($I11&gt;=1,"Completado",IF(NOT(ISNUMBER($H11)),"Sin fecha",IF($H11&lt;TODAY(),"Vencido",IF(($H11-TODAY())&lt;='Entregas Próximas'!$M$3,"Próximo a vencer","En curso")))),"")</f>
        <v>Vencido</v>
      </c>
      <c r="K11" s="202">
        <f>IF(AND($C11,ISNUMBER($H11)),$H11-TODAY(),"")</f>
        <v>-4</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238</v>
      </c>
      <c r="U11" s="202">
        <f>IF($C11,MEDIAN(0,(TODAY()-'Proyecto Datos (OKR´s)'!$K11)/MAX(1,$R11-'Proyecto Datos (OKR´s)'!$K11),1),"")</f>
        <v>1</v>
      </c>
      <c r="V11" s="202">
        <f>IF($C11,$I11-$U11,"")</f>
        <v>-0.25</v>
      </c>
      <c r="W11" s="202">
        <f>IF($C11,IF(OR($J11="Completado",NOT(ISNUMBER($H11))),0,MAX(0,TODAY()-$H11)),"")</f>
        <v>4</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IF($C11,'Backlog General'!$L11,"")</f>
        <v>0</v>
      </c>
      <c r="AI11" s="202">
        <f>IF($C11,$AV11*100000+ROW(),"")</f>
        <v>100011</v>
      </c>
      <c r="AJ11" s="202">
        <f>IF(AND($C11,ISNUMBER($H11)),$AA11*1000000-MEDIAN(-9999,$K11,9999)*100+(300-ROW()),"")</f>
        <v>49000689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f>IF($C11,'Backlog General'!$G11,"")</f>
        <v>0</v>
      </c>
      <c r="AU11" s="203">
        <f>IF($C11,'Backlog General'!$H11,"")</f>
        <v>0</v>
      </c>
      <c r="AV11" s="202">
        <f>IF(AND($C11,ISNUMBER($AR11)),IF(OR($AT11="Completo",$AU11="Cancelado",$AU11="Baja prioridad"),$AR11,IF($AU11="Pasa al siguiente",MAX($AR11+1,$AS11),MAX($AR11,$AS11))),"")</f>
        <v>1</v>
      </c>
      <c r="AW11" s="202">
        <f>IF(AND($C11,ISNUMBER($AR11)),$AQ11+$AR11*$AP11*'Sprints'!$D$5-'Sprints'!$D$5,"")</f>
        <v>46199</v>
      </c>
      <c r="AX11" s="202">
        <f>IF($C11,IF(OR($AT11="Completo",$AU11="Cancelado",$AU11="Baja prioridad",NOT(ISNUMBER($AW11))),0,MAX(0,TODAY()-$AW11)),"")</f>
        <v>0</v>
      </c>
      <c r="AY11" s="203" t="str">
        <f>IF($C11,IF(NOT(ISNUMBER($AR11)),"Sin fecha",IF($AT11="Completo","Completo",IF($AU11="Cancelado","Cancelado",IF($AU11="Baja prioridad","Baja prioridad",IF($AX11&gt;0,"Vencida","Pendiente"))))),"")</f>
        <v>Pendiente</v>
      </c>
      <c r="AZ11" s="203" t="str">
        <f>IF($C11,IF(ISNUMBER($AV11),$AO11&amp;" · S"&amp;$AV11,"(Sin fecha)"),"")</f>
        <v>Quincenal · S1</v>
      </c>
      <c r="BA11" s="202">
        <f>IF($C11,IF(AND(ISNUMBER('Backlog General'!$M11),'Backlog General'!$M11=$AS11),"Nuevo S"&amp;'Backlog General'!$M11,""),"")</f>
      </c>
      <c r="BB11" s="202">
        <f>IF(AND($C11,$AO11="Semanal",ISNUMBER($AV11)),$AV11*100000+ROW(),"")</f>
      </c>
      <c r="BC11" s="202">
        <f>IF(AND($C11,$AO11="Quincenal",ISNUMBER($AV11)),$AV11*100000+ROW(),"")</f>
        <v>100011</v>
      </c>
      <c r="BD11" s="202">
        <f>IF(AND($C11,$AO11="Mensual",ISNUMBER($AV11)),$AV11*100000+ROW(),"")</f>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IF($C12,'Proyecto Datos (OKR´s)'!$J12,"")</f>
        <v>0.75</v>
      </c>
      <c r="J12" s="203" t="str">
        <f>IF($C12,IF($I12&gt;=1,"Completado",IF(NOT(ISNUMBER($H12)),"Sin fecha",IF($H12&lt;TODAY(),"Vencido",IF(($H12-TODAY())&lt;='Entregas Próximas'!$M$3,"Próximo a vencer","En curso")))),"")</f>
        <v>Vencido</v>
      </c>
      <c r="K12" s="202">
        <f>IF(AND($C12,ISNUMBER($H12)),$H12-TODAY(),"")</f>
        <v>-4</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218</v>
      </c>
      <c r="U12" s="202">
        <f>IF($C12,MEDIAN(0,(TODAY()-'Proyecto Datos (OKR´s)'!$K12)/MAX(1,$R12-'Proyecto Datos (OKR´s)'!$K12),1),"")</f>
        <v>1</v>
      </c>
      <c r="V12" s="202">
        <f>IF($C12,$I12-$U12,"")</f>
        <v>-0.25</v>
      </c>
      <c r="W12" s="202">
        <f>IF($C12,IF(OR($J12="Completado",NOT(ISNUMBER($H12))),0,MAX(0,TODAY()-$H12)),"")</f>
        <v>4</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IF($C12,'Backlog General'!$L12,"")</f>
        <v>0</v>
      </c>
      <c r="AI12" s="202">
        <f>IF($C12,$AV12*100000+ROW(),"")</f>
        <v>100012</v>
      </c>
      <c r="AJ12" s="202">
        <f>IF(AND($C12,ISNUMBER($H12)),$AA12*1000000-MEDIAN(-9999,$K12,9999)*100+(300-ROW()),"")</f>
        <v>49000688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f>IF($C12,'Backlog General'!$G12,"")</f>
        <v>0</v>
      </c>
      <c r="AU12" s="203">
        <f>IF($C12,'Backlog General'!$H12,"")</f>
        <v>0</v>
      </c>
      <c r="AV12" s="202">
        <f>IF(AND($C12,ISNUMBER($AR12)),IF(OR($AT12="Completo",$AU12="Cancelado",$AU12="Baja prioridad"),$AR12,IF($AU12="Pasa al siguiente",MAX($AR12+1,$AS12),MAX($AR12,$AS12))),"")</f>
        <v>1</v>
      </c>
      <c r="AW12" s="202">
        <f>IF(AND($C12,ISNUMBER($AR12)),$AQ12+$AR12*$AP12*'Sprints'!$D$5-'Sprints'!$D$5,"")</f>
        <v>46199</v>
      </c>
      <c r="AX12" s="202">
        <f>IF($C12,IF(OR($AT12="Completo",$AU12="Cancelado",$AU12="Baja prioridad",NOT(ISNUMBER($AW12))),0,MAX(0,TODAY()-$AW12)),"")</f>
        <v>0</v>
      </c>
      <c r="AY12" s="203" t="str">
        <f>IF($C12,IF(NOT(ISNUMBER($AR12)),"Sin fecha",IF($AT12="Completo","Completo",IF($AU12="Cancelado","Cancelado",IF($AU12="Baja prioridad","Baja prioridad",IF($AX12&gt;0,"Vencida","Pendiente"))))),"")</f>
        <v>Pendiente</v>
      </c>
      <c r="AZ12" s="203" t="str">
        <f>IF($C12,IF(ISNUMBER($AV12),$AO12&amp;" · S"&amp;$AV12,"(Sin fecha)"),"")</f>
        <v>Quincenal · S1</v>
      </c>
      <c r="BA12" s="202">
        <f>IF($C12,IF(AND(ISNUMBER('Backlog General'!$M12),'Backlog General'!$M12=$AS12),"Nuevo S"&amp;'Backlog General'!$M12,""),"")</f>
      </c>
      <c r="BB12" s="202">
        <f>IF(AND($C12,$AO12="Semanal",ISNUMBER($AV12)),$AV12*100000+ROW(),"")</f>
      </c>
      <c r="BC12" s="202">
        <f>IF(AND($C12,$AO12="Quincenal",ISNUMBER($AV12)),$AV12*100000+ROW(),"")</f>
        <v>100012</v>
      </c>
      <c r="BD12" s="202">
        <f>IF(AND($C12,$AO12="Mensual",ISNUMBER($AV12)),$AV12*100000+ROW(),"")</f>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IF($C13,'Proyecto Datos (OKR´s)'!$J13,"")</f>
        <v>0.5</v>
      </c>
      <c r="J13" s="203" t="str">
        <f>IF($C13,IF($I13&gt;=1,"Completado",IF(NOT(ISNUMBER($H13)),"Sin fecha",IF($H13&lt;TODAY(),"Vencido",IF(($H13-TODAY())&lt;='Entregas Próximas'!$M$3,"Próximo a vencer","En curso")))),"")</f>
        <v>Vencido</v>
      </c>
      <c r="K13" s="202">
        <f>IF(AND($C13,ISNUMBER($H13)),$H13-TODAY(),"")</f>
        <v>-4</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4</v>
      </c>
      <c r="X13" s="202">
        <f>IF($C13,IF(ISNUMBER($H13),$R13-$H13,0),"")</f>
        <v>0</v>
      </c>
      <c r="Y13" s="202">
        <f>IF($C13,COUNTIFS($G$7:$G$200,$G13,$J$7:$J$200,"&lt;&gt;Completado",$J$7:$J$200,"&lt;&gt;"),"")</f>
        <v>0</v>
      </c>
      <c r="Z13" s="202" t="b">
        <f>IF($C13,AND($I13=0,'Proyecto Datos (OKR´s)'!$K13&lt;=TODAY(),$J13&lt;&gt;"Completado"),"")</f>
        <v>0</v>
      </c>
      <c r="AA13" s="202">
        <f>IF($C13,ROUND(100*(0.35*$AK13+0.3*$AL13+0.2*$AM13+0.15*MEDIAN(0,($Y13-4)/8,1)),0),"")</f>
        <v>45</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IF($C13,'Backlog General'!$L13,"")</f>
        <v>0</v>
      </c>
      <c r="AI13" s="202">
        <f>IF($C13,$AV13*100000+ROW(),"")</f>
        <v>100013</v>
      </c>
      <c r="AJ13" s="202">
        <f>IF(AND($C13,ISNUMBER($H13)),$AA13*1000000-MEDIAN(-9999,$K13,9999)*100+(300-ROW()),"")</f>
        <v>45000687</v>
      </c>
      <c r="AK13" s="202">
        <f>IF($C13,IF($J13="Completado",0,IF($K13&lt;0,1,IF($K13&lt;=3,0.9,IF($K13&lt;=7,0.7,IF($K13&lt;=14,0.45,0.2))))),"")</f>
        <v>1</v>
      </c>
      <c r="AL13" s="202">
        <f>IF($C13,IF($J13="Completado",0,MEDIAN(0,MAX(-$V13,$W13/30),1)),"")</f>
        <v>0.13333333333333333</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f>IF($C13,'Backlog General'!$G13,"")</f>
        <v>0</v>
      </c>
      <c r="AU13" s="203">
        <f>IF($C13,'Backlog General'!$H13,"")</f>
        <v>0</v>
      </c>
      <c r="AV13" s="202">
        <f>IF(AND($C13,ISNUMBER($AR13)),IF(OR($AT13="Completo",$AU13="Cancelado",$AU13="Baja prioridad"),$AR13,IF($AU13="Pasa al siguiente",MAX($AR13+1,$AS13),MAX($AR13,$AS13))),"")</f>
        <v>1</v>
      </c>
      <c r="AW13" s="202">
        <f>IF(AND($C13,ISNUMBER($AR13)),$AQ13+$AR13*$AP13*'Sprints'!$D$5-'Sprints'!$D$5,"")</f>
        <v>46199</v>
      </c>
      <c r="AX13" s="202">
        <f>IF($C13,IF(OR($AT13="Completo",$AU13="Cancelado",$AU13="Baja prioridad",NOT(ISNUMBER($AW13))),0,MAX(0,TODAY()-$AW13)),"")</f>
        <v>0</v>
      </c>
      <c r="AY13" s="203" t="str">
        <f>IF($C13,IF(NOT(ISNUMBER($AR13)),"Sin fecha",IF($AT13="Completo","Completo",IF($AU13="Cancelado","Cancelado",IF($AU13="Baja prioridad","Baja prioridad",IF($AX13&gt;0,"Vencida","Pendiente"))))),"")</f>
        <v>Pendiente</v>
      </c>
      <c r="AZ13" s="203" t="str">
        <f>IF($C13,IF(ISNUMBER($AV13),$AO13&amp;" · S"&amp;$AV13,"(Sin fecha)"),"")</f>
        <v>Quincenal · S1</v>
      </c>
      <c r="BA13" s="202">
        <f>IF($C13,IF(AND(ISNUMBER('Backlog General'!$M13),'Backlog General'!$M13=$AS13),"Nuevo S"&amp;'Backlog General'!$M13,""),"")</f>
      </c>
      <c r="BB13" s="202">
        <f>IF(AND($C13,$AO13="Semanal",ISNUMBER($AV13)),$AV13*100000+ROW(),"")</f>
      </c>
      <c r="BC13" s="202">
        <f>IF(AND($C13,$AO13="Quincenal",ISNUMBER($AV13)),$AV13*100000+ROW(),"")</f>
        <v>100013</v>
      </c>
      <c r="BD13" s="202">
        <f>IF(AND($C13,$AO13="Mensual",ISNUMBER($AV13)),$AV13*100000+ROW(),"")</f>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IF($C14,'Proyecto Datos (OKR´s)'!$J14,"")</f>
        <v>0.2</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237</v>
      </c>
      <c r="U14" s="202">
        <f>IF($C14,MEDIAN(0,(TODAY()-'Proyecto Datos (OKR´s)'!$K14)/MAX(1,$R14-'Proyecto Datos (OKR´s)'!$K14),1),"")</f>
        <v>0.9875</v>
      </c>
      <c r="V14" s="202">
        <f>IF($C14,$I14-$U14,"")</f>
        <v>-0.7875000000000001</v>
      </c>
      <c r="W14" s="202">
        <f>IF($C14,IF(OR($J14="Completado",NOT(ISNUMBER($H14))),0,MAX(0,TODAY()-$H14)),"")</f>
        <v>0</v>
      </c>
      <c r="X14" s="202">
        <f>IF($C14,IF(ISNUMBER($H14),$R14-$H14,0),"")</f>
        <v>0</v>
      </c>
      <c r="Y14" s="202">
        <f>IF($C14,COUNTIFS($G$7:$G$200,$G14,$J$7:$J$200,"&lt;&gt;Completado",$J$7:$J$200,"&lt;&gt;"),"")</f>
        <v>0</v>
      </c>
      <c r="Z14" s="202" t="b">
        <f>IF($C14,AND($I14=0,'Proyecto Datos (OKR´s)'!$K14&lt;=TODAY(),$J14&lt;&gt;"Completado"),"")</f>
        <v>0</v>
      </c>
      <c r="AA14" s="202">
        <f>IF($C14,ROUND(100*(0.35*$AK14+0.3*$AL14+0.2*$AM14+0.15*MEDIAN(0,($Y14-4)/8,1)),0),"")</f>
        <v>37</v>
      </c>
      <c r="AB14" s="203" t="str">
        <f>IF($C14,IF(OR($J14="Completado",$J14="Sin fecha"),"—",IF($AA14&gt;=70,"Crítica",IF($AA14&gt;=45,"Alta",IF($AA14&gt;=25,"Media","Baja")))),"")</f>
        <v>—</v>
      </c>
      <c r="AC14" s="203" t="str">
        <f>IF($C14,IF(LEN(TRIM($AN14))=0,"—",TRIM($AN14)),"")</f>
        <v>ATRASO</v>
      </c>
      <c r="AD14" s="202">
        <f>IF($C14,$AV14,"")</f>
      </c>
      <c r="AE14" s="202" t="str">
        <f>IF($C14,$AZ14,"")</f>
        <v>(Sin fecha)</v>
      </c>
      <c r="AF14" s="202" t="b">
        <f>IF($C14,$AV14&lt;&gt;$AR14,FALSE)</f>
        <v>0</v>
      </c>
      <c r="AG14" s="202">
        <f>IF($C14,IF($AV14&lt;&gt;$AR14,$AW14,""),"")</f>
      </c>
      <c r="AH14" s="203">
        <f>IF($C14,'Backlog General'!$L14,"")</f>
        <v>0</v>
      </c>
      <c r="AI14" s="202">
        <f>IF($C14,$AV14*100000+ROW(),"")</f>
      </c>
      <c r="AJ14" s="202">
        <f>IF(AND($C14,ISNUMBER($H14)),$AA14*1000000-MEDIAN(-9999,$K14,9999)*100+(300-ROW()),"")</f>
      </c>
      <c r="AK14" s="202">
        <f>IF($C14,IF($J14="Completado",0,IF($K14&lt;0,1,IF($K14&lt;=3,0.9,IF($K14&lt;=7,0.7,IF($K14&lt;=14,0.45,0.2))))),"")</f>
        <v>0.2</v>
      </c>
      <c r="AL14" s="202">
        <f>IF($C14,IF($J14="Completado",0,MEDIAN(0,MAX(-$V14,$W14/30),1)),"")</f>
        <v>0.7875000000000001</v>
      </c>
      <c r="AM14" s="202">
        <f>IF($C14,IF($J14="Completado",0,IF($Z14,1,IF(AND($I14&lt;0.5,$K14&lt;=7),0.7,0.3))),"")</f>
        <v>0.3</v>
      </c>
      <c r="AN14" s="203" t="str">
        <f>IF($C14,IF(OR($V14&lt;-0.2,$W14&gt;0),"ATRASO ","")&amp;IF($Z14,"BLOQUEO ","")&amp;IF($Y14&gt;8,"SOBRECARGA ","")&amp;IF($X14&gt;0,"DESVÍO-PLAN ",""),"")</f>
        <v>ATRASO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f>IF($C14,'Backlog General'!$G14,"")</f>
        <v>0</v>
      </c>
      <c r="AU14" s="203">
        <f>IF($C14,'Backlog General'!$H14,"")</f>
        <v>0</v>
      </c>
      <c r="AV14" s="202">
        <f>IF(AND($C14,ISNUMBER($AR14)),IF(OR($AT14="Completo",$AU14="Cancelado",$AU14="Baja prioridad"),$AR14,IF($AU14="Pasa al siguiente",MAX($AR14+1,$AS14),MAX($AR14,$AS14))),"")</f>
      </c>
      <c r="AW14" s="202">
        <f>IF(AND($C14,ISNUMBER($AR14)),$AQ14+$AR14*$AP14*'Sprints'!$D$5-'Sprints'!$D$5,"")</f>
      </c>
      <c r="AX14" s="202">
        <f>IF($C14,IF(OR($AT14="Completo",$AU14="Cancelado",$AU14="Baja prioridad",NOT(ISNUMBER($AW14))),0,MAX(0,TODAY()-$AW14)),"")</f>
        <v>0</v>
      </c>
      <c r="AY14" s="203" t="str">
        <f>IF($C14,IF(NOT(ISNUMBER($AR14)),"Sin fecha",IF($AT14="Completo","Completo",IF($AU14="Cancelado","Cancelado",IF($AU14="Baja prioridad","Baja prioridad",IF($AX14&gt;0,"Vencida","Pendiente"))))),"")</f>
        <v>Sin fecha</v>
      </c>
      <c r="AZ14" s="203" t="str">
        <f>IF($C14,IF(ISNUMBER($AV14),$AO14&amp;" · S"&amp;$AV14,"(Sin fecha)"),"")</f>
        <v>(Sin fecha)</v>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IF($C15,'Proyecto Datos (OKR´s)'!$J15,"")</f>
        <v>0.95</v>
      </c>
      <c r="J15" s="203" t="str">
        <f>IF($C15,IF($I15&gt;=1,"Completado",IF(NOT(ISNUMBER($H15)),"Sin fecha",IF($H15&lt;TODAY(),"Vencido",IF(($H15-TODAY())&lt;='Entregas Próximas'!$M$3,"Próximo a vencer","En curso")))),"")</f>
        <v>Vencido</v>
      </c>
      <c r="K15" s="202">
        <f>IF(AND($C15,ISNUMBER($H15)),$H15-TODAY(),"")</f>
        <v>-4</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204</v>
      </c>
      <c r="U15" s="202">
        <f>IF($C15,MEDIAN(0,(TODAY()-'Proyecto Datos (OKR´s)'!$K15)/MAX(1,$R15-'Proyecto Datos (OKR´s)'!$K15),1),"")</f>
        <v>1</v>
      </c>
      <c r="V15" s="202">
        <f>IF($C15,$I15-$U15,"")</f>
        <v>-0.050000000000000044</v>
      </c>
      <c r="W15" s="202">
        <f>IF($C15,IF(OR($J15="Completado",NOT(ISNUMBER($H15))),0,MAX(0,TODAY()-$H15)),"")</f>
        <v>4</v>
      </c>
      <c r="X15" s="202">
        <f>IF($C15,IF(ISNUMBER($H15),$R15-$H15,0),"")</f>
        <v>0</v>
      </c>
      <c r="Y15" s="202">
        <f>IF($C15,COUNTIFS($G$7:$G$200,$G15,$J$7:$J$200,"&lt;&gt;Completado",$J$7:$J$200,"&lt;&gt;"),"")</f>
        <v>0</v>
      </c>
      <c r="Z15" s="202" t="b">
        <f>IF($C15,AND($I15=0,'Proyecto Datos (OKR´s)'!$K15&lt;=TODAY(),$J15&lt;&gt;"Completado"),"")</f>
        <v>0</v>
      </c>
      <c r="AA15" s="202">
        <f>IF($C15,ROUND(100*(0.35*$AK15+0.3*$AL15+0.2*$AM15+0.15*MEDIAN(0,($Y15-4)/8,1)),0),"")</f>
        <v>45</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IF($C15,'Backlog General'!$L15,"")</f>
        <v>0</v>
      </c>
      <c r="AI15" s="202">
        <f>IF($C15,$AV15*100000+ROW(),"")</f>
        <v>100015</v>
      </c>
      <c r="AJ15" s="202">
        <f>IF(AND($C15,ISNUMBER($H15)),$AA15*1000000-MEDIAN(-9999,$K15,9999)*100+(300-ROW()),"")</f>
        <v>45000685</v>
      </c>
      <c r="AK15" s="202">
        <f>IF($C15,IF($J15="Completado",0,IF($K15&lt;0,1,IF($K15&lt;=3,0.9,IF($K15&lt;=7,0.7,IF($K15&lt;=14,0.45,0.2))))),"")</f>
        <v>1</v>
      </c>
      <c r="AL15" s="202">
        <f>IF($C15,IF($J15="Completado",0,MEDIAN(0,MAX(-$V15,$W15/30),1)),"")</f>
        <v>0.13333333333333333</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f>IF($C15,'Backlog General'!$G15,"")</f>
        <v>0</v>
      </c>
      <c r="AU15" s="203">
        <f>IF($C15,'Backlog General'!$H15,"")</f>
        <v>0</v>
      </c>
      <c r="AV15" s="202">
        <f>IF(AND($C15,ISNUMBER($AR15)),IF(OR($AT15="Completo",$AU15="Cancelado",$AU15="Baja prioridad"),$AR15,IF($AU15="Pasa al siguiente",MAX($AR15+1,$AS15),MAX($AR15,$AS15))),"")</f>
        <v>1</v>
      </c>
      <c r="AW15" s="202">
        <f>IF(AND($C15,ISNUMBER($AR15)),$AQ15+$AR15*$AP15*'Sprints'!$D$5-'Sprints'!$D$5,"")</f>
        <v>46199</v>
      </c>
      <c r="AX15" s="202">
        <f>IF($C15,IF(OR($AT15="Completo",$AU15="Cancelado",$AU15="Baja prioridad",NOT(ISNUMBER($AW15))),0,MAX(0,TODAY()-$AW15)),"")</f>
        <v>0</v>
      </c>
      <c r="AY15" s="203" t="str">
        <f>IF($C15,IF(NOT(ISNUMBER($AR15)),"Sin fecha",IF($AT15="Completo","Completo",IF($AU15="Cancelado","Cancelado",IF($AU15="Baja prioridad","Baja prioridad",IF($AX15&gt;0,"Vencida","Pendiente"))))),"")</f>
        <v>Pendiente</v>
      </c>
      <c r="AZ15" s="203" t="str">
        <f>IF($C15,IF(ISNUMBER($AV15),$AO15&amp;" · S"&amp;$AV15,"(Sin fecha)"),"")</f>
        <v>Quincenal · S1</v>
      </c>
      <c r="BA15" s="202">
        <f>IF($C15,IF(AND(ISNUMBER('Backlog General'!$M15),'Backlog General'!$M15=$AS15),"Nuevo S"&amp;'Backlog General'!$M15,""),"")</f>
      </c>
      <c r="BB15" s="202">
        <f>IF(AND($C15,$AO15="Semanal",ISNUMBER($AV15)),$AV15*100000+ROW(),"")</f>
      </c>
      <c r="BC15" s="202">
        <f>IF(AND($C15,$AO15="Quincenal",ISNUMBER($AV15)),$AV15*100000+ROW(),"")</f>
        <v>100015</v>
      </c>
      <c r="BD15" s="202">
        <f>IF(AND($C15,$AO15="Mensual",ISNUMBER($AV15)),$AV15*100000+ROW(),"")</f>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IF($C16,'Proyecto Datos (OKR´s)'!$J16,"")</f>
        <v>0.65</v>
      </c>
      <c r="J16" s="203" t="str">
        <f>IF($C16,IF($I16&gt;=1,"Completado",IF(NOT(ISNUMBER($H16)),"Sin fecha",IF($H16&lt;TODAY(),"Vencido",IF(($H16-TODAY())&lt;='Entregas Próximas'!$M$3,"Próximo a vencer","En curso")))),"")</f>
        <v>Vencido</v>
      </c>
      <c r="K16" s="202">
        <f>IF(AND($C16,ISNUMBER($H16)),$H16-TODAY(),"")</f>
        <v>-4</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204</v>
      </c>
      <c r="U16" s="202">
        <f>IF($C16,MEDIAN(0,(TODAY()-'Proyecto Datos (OKR´s)'!$K16)/MAX(1,$R16-'Proyecto Datos (OKR´s)'!$K16),1),"")</f>
        <v>1</v>
      </c>
      <c r="V16" s="202">
        <f>IF($C16,$I16-$U16,"")</f>
        <v>-0.35</v>
      </c>
      <c r="W16" s="202">
        <f>IF($C16,IF(OR($J16="Completado",NOT(ISNUMBER($H16))),0,MAX(0,TODAY()-$H16)),"")</f>
        <v>4</v>
      </c>
      <c r="X16" s="202">
        <f>IF($C16,IF(ISNUMBER($H16),$R16-$H16,0),"")</f>
        <v>0</v>
      </c>
      <c r="Y16" s="202">
        <f>IF($C16,COUNTIFS($G$7:$G$200,$G16,$J$7:$J$200,"&lt;&gt;Completado",$J$7:$J$200,"&lt;&gt;"),"")</f>
        <v>0</v>
      </c>
      <c r="Z16" s="202" t="b">
        <f>IF($C16,AND($I16=0,'Proyecto Datos (OKR´s)'!$K16&lt;=TODAY(),$J16&lt;&gt;"Completado"),"")</f>
        <v>0</v>
      </c>
      <c r="AA16" s="202">
        <f>IF($C16,ROUND(100*(0.35*$AK16+0.3*$AL16+0.2*$AM16+0.15*MEDIAN(0,($Y16-4)/8,1)),0),"")</f>
        <v>51</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IF($C16,'Backlog General'!$L16,"")</f>
        <v>0</v>
      </c>
      <c r="AI16" s="202">
        <f>IF($C16,$AV16*100000+ROW(),"")</f>
        <v>100016</v>
      </c>
      <c r="AJ16" s="202">
        <f>IF(AND($C16,ISNUMBER($H16)),$AA16*1000000-MEDIAN(-9999,$K16,9999)*100+(300-ROW()),"")</f>
        <v>51000684</v>
      </c>
      <c r="AK16" s="202">
        <f>IF($C16,IF($J16="Completado",0,IF($K16&lt;0,1,IF($K16&lt;=3,0.9,IF($K16&lt;=7,0.7,IF($K16&lt;=14,0.45,0.2))))),"")</f>
        <v>1</v>
      </c>
      <c r="AL16" s="202">
        <f>IF($C16,IF($J16="Completado",0,MEDIAN(0,MAX(-$V16,$W16/30),1)),"")</f>
        <v>0.35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f>IF($C16,'Backlog General'!$G16,"")</f>
        <v>0</v>
      </c>
      <c r="AU16" s="203">
        <f>IF($C16,'Backlog General'!$H16,"")</f>
        <v>0</v>
      </c>
      <c r="AV16" s="202">
        <f>IF(AND($C16,ISNUMBER($AR16)),IF(OR($AT16="Completo",$AU16="Cancelado",$AU16="Baja prioridad"),$AR16,IF($AU16="Pasa al siguiente",MAX($AR16+1,$AS16),MAX($AR16,$AS16))),"")</f>
        <v>1</v>
      </c>
      <c r="AW16" s="202">
        <f>IF(AND($C16,ISNUMBER($AR16)),$AQ16+$AR16*$AP16*'Sprints'!$D$5-'Sprints'!$D$5,"")</f>
        <v>46199</v>
      </c>
      <c r="AX16" s="202">
        <f>IF($C16,IF(OR($AT16="Completo",$AU16="Cancelado",$AU16="Baja prioridad",NOT(ISNUMBER($AW16))),0,MAX(0,TODAY()-$AW16)),"")</f>
        <v>0</v>
      </c>
      <c r="AY16" s="203" t="str">
        <f>IF($C16,IF(NOT(ISNUMBER($AR16)),"Sin fecha",IF($AT16="Completo","Completo",IF($AU16="Cancelado","Cancelado",IF($AU16="Baja prioridad","Baja prioridad",IF($AX16&gt;0,"Vencida","Pendiente"))))),"")</f>
        <v>Pendiente</v>
      </c>
      <c r="AZ16" s="203" t="str">
        <f>IF($C16,IF(ISNUMBER($AV16),$AO16&amp;" · S"&amp;$AV16,"(Sin fecha)"),"")</f>
        <v>Quincenal · S1</v>
      </c>
      <c r="BA16" s="202">
        <f>IF($C16,IF(AND(ISNUMBER('Backlog General'!$M16),'Backlog General'!$M16=$AS16),"Nuevo S"&amp;'Backlog General'!$M16,""),"")</f>
      </c>
      <c r="BB16" s="202">
        <f>IF(AND($C16,$AO16="Semanal",ISNUMBER($AV16)),$AV16*100000+ROW(),"")</f>
      </c>
      <c r="BC16" s="202">
        <f>IF(AND($C16,$AO16="Quincenal",ISNUMBER($AV16)),$AV16*100000+ROW(),"")</f>
        <v>100016</v>
      </c>
      <c r="BD16" s="202">
        <f>IF(AND($C16,$AO16="Mensual",ISNUMBER($AV16)),$AV16*100000+ROW(),"")</f>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IF($C17,'Proyecto Datos (OKR´s)'!$J17,"")</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IF($C17,'Backlog General'!$L17,"")</f>
        <v>0</v>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f>IF($C17,'Backlog General'!$G17,"")</f>
        <v>0</v>
      </c>
      <c r="AU17" s="203">
        <f>IF($C17,'Backlog General'!$H17,"")</f>
        <v>0</v>
      </c>
      <c r="AV17" s="202">
        <f>IF(AND($C17,ISNUMBER($AR17)),IF(OR($AT17="Completo",$AU17="Cancelado",$AU17="Baja prioridad"),$AR17,IF($AU17="Pasa al siguiente",MAX($AR17+1,$AS17),MAX($AR17,$AS17))),"")</f>
      </c>
      <c r="AW17" s="202">
        <f>IF(AND($C17,ISNUMBER($AR17)),$AQ17+$AR17*$AP17*'Sprints'!$D$5-'Sprints'!$D$5,"")</f>
      </c>
      <c r="AX17" s="202">
        <f>IF($C17,IF(OR($AT17="Completo",$AU17="Cancelado",$AU17="Baja prioridad",NOT(ISNUMBER($AW17))),0,MAX(0,TODAY()-$AW17)),"")</f>
        <v>0</v>
      </c>
      <c r="AY17" s="203" t="str">
        <f>IF($C17,IF(NOT(ISNUMBER($AR17)),"Sin fecha",IF($AT17="Completo","Completo",IF($AU17="Cancelado","Cancelado",IF($AU17="Baja prioridad","Baja prioridad",IF($AX17&gt;0,"Vencida","Pendiente"))))),"")</f>
        <v>Sin fecha</v>
      </c>
      <c r="AZ17" s="203" t="str">
        <f>IF($C17,IF(ISNUMBER($AV17),$AO17&amp;" · S"&amp;$AV17,"(Sin fecha)"),"")</f>
        <v>(Sin fecha)</v>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IF($C18,'Proyecto Datos (OKR´s)'!$J18,"")</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3</v>
      </c>
      <c r="U18" s="202">
        <f>IF($C18,MEDIAN(0,(TODAY()-'Proyecto Datos (OKR´s)'!$K18)/MAX(1,$R18-'Proyecto Datos (OKR´s)'!$K18),1),"")</f>
        <v>0.15</v>
      </c>
      <c r="V18" s="202">
        <f>IF($C18,$I18-$U18,"")</f>
        <v>-0.15</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32</v>
      </c>
      <c r="AB18" s="203" t="str">
        <f>IF($C18,IF(OR($J18="Completado",$J18="Sin fecha"),"—",IF($AA18&gt;=70,"Crítica",IF($AA18&gt;=45,"Alta",IF($AA18&gt;=25,"Media","Baja")))),"")</f>
        <v>—</v>
      </c>
      <c r="AC18" s="203" t="str">
        <f>IF($C18,IF(LEN(TRIM($AN18))=0,"—",TRIM($AN18)),"")</f>
        <v>BLOQUEO</v>
      </c>
      <c r="AD18" s="202">
        <f>IF($C18,$AV18,"")</f>
      </c>
      <c r="AE18" s="202" t="str">
        <f>IF($C18,$AZ18,"")</f>
        <v>(Sin fecha)</v>
      </c>
      <c r="AF18" s="202" t="b">
        <f>IF($C18,$AV18&lt;&gt;$AR18,FALSE)</f>
        <v>0</v>
      </c>
      <c r="AG18" s="202">
        <f>IF($C18,IF($AV18&lt;&gt;$AR18,$AW18,""),"")</f>
      </c>
      <c r="AH18" s="203">
        <f>IF($C18,'Backlog General'!$L18,"")</f>
        <v>0</v>
      </c>
      <c r="AI18" s="202">
        <f>IF($C18,$AV18*100000+ROW(),"")</f>
      </c>
      <c r="AJ18" s="202">
        <f>IF(AND($C18,ISNUMBER($H18)),$AA18*1000000-MEDIAN(-9999,$K18,9999)*100+(300-ROW()),"")</f>
      </c>
      <c r="AK18" s="202">
        <f>IF($C18,IF($J18="Completado",0,IF($K18&lt;0,1,IF($K18&lt;=3,0.9,IF($K18&lt;=7,0.7,IF($K18&lt;=14,0.45,0.2))))),"")</f>
        <v>0.2</v>
      </c>
      <c r="AL18" s="202">
        <f>IF($C18,IF($J18="Completado",0,MEDIAN(0,MAX(-$V18,$W18/30),1)),"")</f>
        <v>0.15</v>
      </c>
      <c r="AM18" s="202">
        <f>IF($C18,IF($J18="Completado",0,IF($Z18,1,IF(AND($I18&lt;0.5,$K18&lt;=7),0.7,0.3))),"")</f>
        <v>1</v>
      </c>
      <c r="AN18" s="203" t="str">
        <f>IF($C18,IF(OR($V18&lt;-0.2,$W18&gt;0),"ATRASO ","")&amp;IF($Z18,"BLOQUEO ","")&amp;IF($Y18&gt;8,"SOBRECARGA ","")&amp;IF($X18&gt;0,"DESVÍO-PLAN ",""),"")</f>
        <v>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f>IF($C18,'Backlog General'!$G18,"")</f>
        <v>0</v>
      </c>
      <c r="AU18" s="203">
        <f>IF($C18,'Backlog General'!$H18,"")</f>
        <v>0</v>
      </c>
      <c r="AV18" s="202">
        <f>IF(AND($C18,ISNUMBER($AR18)),IF(OR($AT18="Completo",$AU18="Cancelado",$AU18="Baja prioridad"),$AR18,IF($AU18="Pasa al siguiente",MAX($AR18+1,$AS18),MAX($AR18,$AS18))),"")</f>
      </c>
      <c r="AW18" s="202">
        <f>IF(AND($C18,ISNUMBER($AR18)),$AQ18+$AR18*$AP18*'Sprints'!$D$5-'Sprints'!$D$5,"")</f>
      </c>
      <c r="AX18" s="202">
        <f>IF($C18,IF(OR($AT18="Completo",$AU18="Cancelado",$AU18="Baja prioridad",NOT(ISNUMBER($AW18))),0,MAX(0,TODAY()-$AW18)),"")</f>
        <v>0</v>
      </c>
      <c r="AY18" s="203" t="str">
        <f>IF($C18,IF(NOT(ISNUMBER($AR18)),"Sin fecha",IF($AT18="Completo","Completo",IF($AU18="Cancelado","Cancelado",IF($AU18="Baja prioridad","Baja prioridad",IF($AX18&gt;0,"Vencida","Pendiente"))))),"")</f>
        <v>Sin fecha</v>
      </c>
      <c r="AZ18" s="203" t="str">
        <f>IF($C18,IF(ISNUMBER($AV18),$AO18&amp;" · S"&amp;$AV18,"(Sin fecha)"),"")</f>
        <v>(Sin fecha)</v>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IF($C19,'Proyecto Datos (OKR´s)'!$J19,"")</f>
        <v>1</v>
      </c>
      <c r="J19" s="203" t="str">
        <f>IF($C19,IF($I19&gt;=1,"Completado",IF(NOT(ISNUMBER($H19)),"Sin fecha",IF($H19&lt;TODAY(),"Vencido",IF(($H19-TODAY())&lt;='Entregas Próximas'!$M$3,"Próximo a vencer","En curso")))),"")</f>
        <v>Completado</v>
      </c>
      <c r="K19" s="202">
        <f>IF(AND($C19,ISNUMBER($H19)),$H19-TODAY(),"")</f>
        <v>-4</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14</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IF($C19,'Backlog General'!$L19,"")</f>
        <v>0</v>
      </c>
      <c r="AI19" s="202">
        <f>IF($C19,$AV19*100000+ROW(),"")</f>
        <v>100019</v>
      </c>
      <c r="AJ19" s="202">
        <f>IF(AND($C19,ISNUMBER($H19)),$AA19*1000000-MEDIAN(-9999,$K19,9999)*100+(300-ROW()),"")</f>
        <v>681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f>IF($C19,'Backlog General'!$G19,"")</f>
        <v>0</v>
      </c>
      <c r="AU19" s="203">
        <f>IF($C19,'Backlog General'!$H19,"")</f>
        <v>0</v>
      </c>
      <c r="AV19" s="202">
        <f>IF(AND($C19,ISNUMBER($AR19)),IF(OR($AT19="Completo",$AU19="Cancelado",$AU19="Baja prioridad"),$AR19,IF($AU19="Pasa al siguiente",MAX($AR19+1,$AS19),MAX($AR19,$AS19))),"")</f>
        <v>1</v>
      </c>
      <c r="AW19" s="202">
        <f>IF(AND($C19,ISNUMBER($AR19)),$AQ19+$AR19*$AP19*'Sprints'!$D$5-'Sprints'!$D$5,"")</f>
        <v>46199</v>
      </c>
      <c r="AX19" s="202">
        <f>IF($C19,IF(OR($AT19="Completo",$AU19="Cancelado",$AU19="Baja prioridad",NOT(ISNUMBER($AW19))),0,MAX(0,TODAY()-$AW19)),"")</f>
        <v>0</v>
      </c>
      <c r="AY19" s="203" t="str">
        <f>IF($C19,IF(NOT(ISNUMBER($AR19)),"Sin fecha",IF($AT19="Completo","Completo",IF($AU19="Cancelado","Cancelado",IF($AU19="Baja prioridad","Baja prioridad",IF($AX19&gt;0,"Vencida","Pendiente"))))),"")</f>
        <v>Pendiente</v>
      </c>
      <c r="AZ19" s="203" t="str">
        <f>IF($C19,IF(ISNUMBER($AV19),$AO19&amp;" · S"&amp;$AV19,"(Sin fecha)"),"")</f>
        <v>Quincenal · S1</v>
      </c>
      <c r="BA19" s="202">
        <f>IF($C19,IF(AND(ISNUMBER('Backlog General'!$M19),'Backlog General'!$M19=$AS19),"Nuevo S"&amp;'Backlog General'!$M19,""),"")</f>
      </c>
      <c r="BB19" s="202">
        <f>IF(AND($C19,$AO19="Semanal",ISNUMBER($AV19)),$AV19*100000+ROW(),"")</f>
      </c>
      <c r="BC19" s="202">
        <f>IF(AND($C19,$AO19="Quincenal",ISNUMBER($AV19)),$AV19*100000+ROW(),"")</f>
        <v>100019</v>
      </c>
      <c r="BD19" s="202">
        <f>IF(AND($C19,$AO19="Mensual",ISNUMBER($AV19)),$AV19*100000+ROW(),"")</f>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IF($C20,'Proyecto Datos (OKR´s)'!$J20,"")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3</v>
      </c>
      <c r="U20" s="202">
        <f>IF($C20,MEDIAN(0,(TODAY()-'Proyecto Datos (OKR´s)'!$K20)/MAX(1,$R20-'Proyecto Datos (OKR´s)'!$K20),1),"")</f>
        <v>0.1111111111111111</v>
      </c>
      <c r="V20" s="202">
        <f>IF($C20,$I20-$U20,"")</f>
        <v>-0.1111111111111111</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30</v>
      </c>
      <c r="AB20" s="203" t="str">
        <f>IF($C20,IF(OR($J20="Completado",$J20="Sin fecha"),"—",IF($AA20&gt;=70,"Crítica",IF($AA20&gt;=45,"Alta",IF($AA20&gt;=25,"Media","Baja")))),"")</f>
        <v>—</v>
      </c>
      <c r="AC20" s="203" t="str">
        <f>IF($C20,IF(LEN(TRIM($AN20))=0,"—",TRIM($AN20)),"")</f>
        <v>BLOQUEO</v>
      </c>
      <c r="AD20" s="202">
        <f>IF($C20,$AV20,"")</f>
      </c>
      <c r="AE20" s="202" t="str">
        <f>IF($C20,$AZ20,"")</f>
        <v>(Sin fecha)</v>
      </c>
      <c r="AF20" s="202" t="b">
        <f>IF($C20,$AV20&lt;&gt;$AR20,FALSE)</f>
        <v>0</v>
      </c>
      <c r="AG20" s="202">
        <f>IF($C20,IF($AV20&lt;&gt;$AR20,$AW20,""),"")</f>
      </c>
      <c r="AH20" s="203">
        <f>IF($C20,'Backlog General'!$L20,"")</f>
        <v>0</v>
      </c>
      <c r="AI20" s="202">
        <f>IF($C20,$AV20*100000+ROW(),"")</f>
      </c>
      <c r="AJ20" s="202">
        <f>IF(AND($C20,ISNUMBER($H20)),$AA20*1000000-MEDIAN(-9999,$K20,9999)*100+(300-ROW()),"")</f>
      </c>
      <c r="AK20" s="202">
        <f>IF($C20,IF($J20="Completado",0,IF($K20&lt;0,1,IF($K20&lt;=3,0.9,IF($K20&lt;=7,0.7,IF($K20&lt;=14,0.45,0.2))))),"")</f>
        <v>0.2</v>
      </c>
      <c r="AL20" s="202">
        <f>IF($C20,IF($J20="Completado",0,MEDIAN(0,MAX(-$V20,$W20/30),1)),"")</f>
        <v>0.1111111111111111</v>
      </c>
      <c r="AM20" s="202">
        <f>IF($C20,IF($J20="Completado",0,IF($Z20,1,IF(AND($I20&lt;0.5,$K20&lt;=7),0.7,0.3))),"")</f>
        <v>1</v>
      </c>
      <c r="AN20" s="203" t="str">
        <f>IF($C20,IF(OR($V20&lt;-0.2,$W20&gt;0),"ATRASO ","")&amp;IF($Z20,"BLOQUEO ","")&amp;IF($Y20&gt;8,"SOBRECARGA ","")&amp;IF($X20&gt;0,"DESVÍO-PLAN ",""),"")</f>
        <v>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f>IF($C20,'Backlog General'!$G20,"")</f>
        <v>0</v>
      </c>
      <c r="AU20" s="203">
        <f>IF($C20,'Backlog General'!$H20,"")</f>
        <v>0</v>
      </c>
      <c r="AV20" s="202">
        <f>IF(AND($C20,ISNUMBER($AR20)),IF(OR($AT20="Completo",$AU20="Cancelado",$AU20="Baja prioridad"),$AR20,IF($AU20="Pasa al siguiente",MAX($AR20+1,$AS20),MAX($AR20,$AS20))),"")</f>
      </c>
      <c r="AW20" s="202">
        <f>IF(AND($C20,ISNUMBER($AR20)),$AQ20+$AR20*$AP20*'Sprints'!$D$5-'Sprints'!$D$5,"")</f>
      </c>
      <c r="AX20" s="202">
        <f>IF($C20,IF(OR($AT20="Completo",$AU20="Cancelado",$AU20="Baja prioridad",NOT(ISNUMBER($AW20))),0,MAX(0,TODAY()-$AW20)),"")</f>
        <v>0</v>
      </c>
      <c r="AY20" s="203" t="str">
        <f>IF($C20,IF(NOT(ISNUMBER($AR20)),"Sin fecha",IF($AT20="Completo","Completo",IF($AU20="Cancelado","Cancelado",IF($AU20="Baja prioridad","Baja prioridad",IF($AX20&gt;0,"Vencida","Pendiente"))))),"")</f>
        <v>Sin fecha</v>
      </c>
      <c r="AZ20" s="203" t="str">
        <f>IF($C20,IF(ISNUMBER($AV20),$AO20&amp;" · S"&amp;$AV20,"(Sin fecha)"),"")</f>
        <v>(Sin fecha)</v>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IF($C21,'Proyecto Datos (OKR´s)'!$J21,"")</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IF($C21,'Backlog General'!$L21,"")</f>
        <v>0</v>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f>IF($C21,'Backlog General'!$G21,"")</f>
        <v>0</v>
      </c>
      <c r="AU21" s="203">
        <f>IF($C21,'Backlog General'!$H21,"")</f>
        <v>0</v>
      </c>
      <c r="AV21" s="202">
        <f>IF(AND($C21,ISNUMBER($AR21)),IF(OR($AT21="Completo",$AU21="Cancelado",$AU21="Baja prioridad"),$AR21,IF($AU21="Pasa al siguiente",MAX($AR21+1,$AS21),MAX($AR21,$AS21))),"")</f>
      </c>
      <c r="AW21" s="202">
        <f>IF(AND($C21,ISNUMBER($AR21)),$AQ21+$AR21*$AP21*'Sprints'!$D$5-'Sprints'!$D$5,"")</f>
      </c>
      <c r="AX21" s="202">
        <f>IF($C21,IF(OR($AT21="Completo",$AU21="Cancelado",$AU21="Baja prioridad",NOT(ISNUMBER($AW21))),0,MAX(0,TODAY()-$AW21)),"")</f>
        <v>0</v>
      </c>
      <c r="AY21" s="203" t="str">
        <f>IF($C21,IF(NOT(ISNUMBER($AR21)),"Sin fecha",IF($AT21="Completo","Completo",IF($AU21="Cancelado","Cancelado",IF($AU21="Baja prioridad","Baja prioridad",IF($AX21&gt;0,"Vencida","Pendiente"))))),"")</f>
        <v>Sin fecha</v>
      </c>
      <c r="AZ21" s="203" t="str">
        <f>IF($C21,IF(ISNUMBER($AV21),$AO21&amp;" · S"&amp;$AV21,"(Sin fecha)"),"")</f>
        <v>(Sin fecha)</v>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IF($C22,'Proyecto Datos (OKR´s)'!$J22,"")</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IF($C22,'Backlog General'!$L22,"")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IF(AND($C22,ISNUMBER($AR22)),IF(OR($AT22="Completo",$AU22="Cancelado",$AU22="Baja prioridad"),$AR22,IF($AU22="Pasa al siguiente",MAX($AR22+1,$AS22),MAX($AR22,$AS22))),"")</f>
      </c>
      <c r="AW22" s="202">
        <f>IF(AND($C22,ISNUMBER($AR22)),$AQ22+$AR22*$AP22*'Sprints'!$D$5-'Sprints'!$D$5,"")</f>
      </c>
      <c r="AX22" s="202">
        <f>IF($C22,IF(OR($AT22="Completo",$AU22="Cancelado",$AU22="Baja prioridad",NOT(ISNUMBER($AW22))),0,MAX(0,TODAY()-$AW22)),"")</f>
      </c>
      <c r="AY22" s="203">
        <f>IF($C22,IF(NOT(ISNUMBER($AR22)),"Sin fecha",IF($AT22="Completo","Completo",IF($AU22="Cancelado","Cancelado",IF($AU22="Baja prioridad","Baja prioridad",IF($AX22&gt;0,"Vencida","Pendiente"))))),"")</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IF($C23,'Proyecto Datos (OKR´s)'!$J23,"")</f>
        <v>0.9</v>
      </c>
      <c r="J23" s="203" t="str">
        <f>IF($C23,IF($I23&gt;=1,"Completado",IF(NOT(ISNUMBER($H23)),"Sin fecha",IF($H23&lt;TODAY(),"Vencido",IF(($H23-TODAY())&lt;='Entregas Próximas'!$M$3,"Próximo a vencer","En curso")))),"")</f>
        <v>Vencido</v>
      </c>
      <c r="K23" s="202">
        <f>IF(AND($C23,ISNUMBER($H23)),$H23-TODAY(),"")</f>
        <v>-4</v>
      </c>
      <c r="L23" s="202">
        <f>IF(AND($C23,ISNUMBER($H23)),$AD23*1000000+$H23+ROW()/100000,"")</f>
        <v>2046192.00023</v>
      </c>
      <c r="M23" s="202">
        <f>IF($C23,IF($AD23=9999,"(Sin sprint)",$AD23),"")</f>
        <v>2</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14</v>
      </c>
      <c r="U23" s="202">
        <f>IF($C23,MEDIAN(0,(TODAY()-'Proyecto Datos (OKR´s)'!$K23)/MAX(1,$R23-'Proyecto Datos (OKR´s)'!$K23),1),"")</f>
        <v>1</v>
      </c>
      <c r="V23" s="202">
        <f>IF($C23,$I23-$U23,"")</f>
        <v>-0.09999999999999998</v>
      </c>
      <c r="W23" s="202">
        <f>IF($C23,IF(OR($J23="Completado",NOT(ISNUMBER($H23))),0,MAX(0,TODAY()-$H23)),"")</f>
        <v>4</v>
      </c>
      <c r="X23" s="202">
        <f>IF($C23,IF(ISNUMBER($H23),$R23-$H23,0),"")</f>
        <v>0</v>
      </c>
      <c r="Y23" s="202">
        <f>IF($C23,COUNTIFS($G$7:$G$200,$G23,$J$7:$J$200,"&lt;&gt;Completado",$J$7:$J$200,"&lt;&gt;"),"")</f>
        <v>0</v>
      </c>
      <c r="Z23" s="202" t="b">
        <f>IF($C23,AND($I23=0,'Proyecto Datos (OKR´s)'!$K23&lt;=TODAY(),$J23&lt;&gt;"Completado"),"")</f>
        <v>0</v>
      </c>
      <c r="AA23" s="202">
        <f>IF($C23,ROUND(100*(0.35*$AK23+0.3*$AL23+0.2*$AM23+0.15*MEDIAN(0,($Y23-4)/8,1)),0),"")</f>
        <v>45</v>
      </c>
      <c r="AB23" s="203" t="str">
        <f>IF($C23,IF(OR($J23="Completado",$J23="Sin fecha"),"—",IF($AA23&gt;=70,"Crítica",IF($AA23&gt;=45,"Alta",IF($AA23&gt;=25,"Media","Baja")))),"")</f>
        <v>Alta</v>
      </c>
      <c r="AC23" s="203" t="str">
        <f>IF($C23,IF(LEN(TRIM($AN23))=0,"—",TRIM($AN23)),"")</f>
        <v>ATRASO</v>
      </c>
      <c r="AD23" s="202">
        <f>IF($C23,$AV23,"")</f>
        <v>2</v>
      </c>
      <c r="AE23" s="202" t="str">
        <f>IF($C23,$AZ23,"")</f>
        <v>Semanal · S2</v>
      </c>
      <c r="AF23" s="202" t="b">
        <f>IF($C23,$AV23&lt;&gt;$AR23,FALSE)</f>
        <v>1</v>
      </c>
      <c r="AG23" s="202">
        <f>IF($C23,IF($AV23&lt;&gt;$AR23,$AW23,""),"")</f>
        <v>46192</v>
      </c>
      <c r="AH23" s="203">
        <f>IF($C23,'Backlog General'!$L23,"")</f>
        <v>0</v>
      </c>
      <c r="AI23" s="202">
        <f>IF($C23,$AV23*100000+ROW(),"")</f>
        <v>200023</v>
      </c>
      <c r="AJ23" s="202">
        <f>IF(AND($C23,ISNUMBER($H23)),$AA23*1000000-MEDIAN(-9999,$K23,9999)*100+(300-ROW()),"")</f>
        <v>45000677</v>
      </c>
      <c r="AK23" s="202">
        <f>IF($C23,IF($J23="Completado",0,IF($K23&lt;0,1,IF($K23&lt;=3,0.9,IF($K23&lt;=7,0.7,IF($K23&lt;=14,0.45,0.2))))),"")</f>
        <v>1</v>
      </c>
      <c r="AL23" s="202">
        <f>IF($C23,IF($J23="Completado",0,MEDIAN(0,MAX(-$V23,$W23/30),1)),"")</f>
        <v>0.13333333333333333</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f>IF($C23,'Backlog General'!$G23,"")</f>
        <v>0</v>
      </c>
      <c r="AU23" s="203">
        <f>IF($C23,'Backlog General'!$H23,"")</f>
        <v>0</v>
      </c>
      <c r="AV23" s="202">
        <f>IF(AND($C23,ISNUMBER($AR23)),IF(OR($AT23="Completo",$AU23="Cancelado",$AU23="Baja prioridad"),$AR23,IF($AU23="Pasa al siguiente",MAX($AR23+1,$AS23),MAX($AR23,$AS23))),"")</f>
        <v>2</v>
      </c>
      <c r="AW23" s="202">
        <f>IF(AND($C23,ISNUMBER($AR23)),$AQ23+$AR23*$AP23*'Sprints'!$D$5-'Sprints'!$D$5,"")</f>
        <v>46192</v>
      </c>
      <c r="AX23" s="202">
        <f>IF($C23,IF(OR($AT23="Completo",$AU23="Cancelado",$AU23="Baja prioridad",NOT(ISNUMBER($AW23))),0,MAX(0,TODAY()-$AW23)),"")</f>
        <v>4</v>
      </c>
      <c r="AY23" s="203" t="str">
        <f>IF($C23,IF(NOT(ISNUMBER($AR23)),"Sin fecha",IF($AT23="Completo","Completo",IF($AU23="Cancelado","Cancelado",IF($AU23="Baja prioridad","Baja prioridad",IF($AX23&gt;0,"Vencida","Pendiente"))))),"")</f>
        <v>Vencida</v>
      </c>
      <c r="AZ23" s="203" t="str">
        <f>IF($C23,IF(ISNUMBER($AV23),$AO23&amp;" · S"&amp;$AV23,"(Sin fecha)"),"")</f>
        <v>Semanal · S2</v>
      </c>
      <c r="BA23" s="202">
        <f>IF($C23,IF(AND(ISNUMBER('Backlog General'!$M23),'Backlog General'!$M23=$AS23),"Nuevo S"&amp;'Backlog General'!$M23,""),"")</f>
      </c>
      <c r="BB23" s="202">
        <f>IF(AND($C23,$AO23="Semanal",ISNUMBER($AV23)),$AV23*100000+ROW(),"")</f>
        <v>200023</v>
      </c>
      <c r="BC23" s="202">
        <f>IF(AND($C23,$AO23="Quincenal",ISNUMBER($AV23)),$AV23*100000+ROW(),"")</f>
      </c>
      <c r="BD23" s="202">
        <f>IF(AND($C23,$AO23="Mensual",ISNUMBER($AV23)),$AV23*100000+ROW(),"")</f>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IF($C24,'Proyecto Datos (OKR´s)'!$J24,"")</f>
        <v>0.9</v>
      </c>
      <c r="J24" s="203" t="str">
        <f>IF($C24,IF($I24&gt;=1,"Completado",IF(NOT(ISNUMBER($H24)),"Sin fecha",IF($H24&lt;TODAY(),"Vencido",IF(($H24-TODAY())&lt;='Entregas Próximas'!$M$3,"Próximo a vencer","En curso")))),"")</f>
        <v>Vencido</v>
      </c>
      <c r="K24" s="202">
        <f>IF(AND($C24,ISNUMBER($H24)),$H24-TODAY(),"")</f>
        <v>-4</v>
      </c>
      <c r="L24" s="202">
        <f>IF(AND($C24,ISNUMBER($H24)),$AD24*1000000+$H24+ROW()/100000,"")</f>
        <v>2046192.00024</v>
      </c>
      <c r="M24" s="202">
        <f>IF($C24,IF($AD24=9999,"(Sin sprint)",$AD24),"")</f>
        <v>2</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19</v>
      </c>
      <c r="U24" s="202">
        <f>IF($C24,MEDIAN(0,(TODAY()-'Proyecto Datos (OKR´s)'!$K24)/MAX(1,$R24-'Proyecto Datos (OKR´s)'!$K24),1),"")</f>
        <v>1</v>
      </c>
      <c r="V24" s="202">
        <f>IF($C24,$I24-$U24,"")</f>
        <v>-0.09999999999999998</v>
      </c>
      <c r="W24" s="202">
        <f>IF($C24,IF(OR($J24="Completado",NOT(ISNUMBER($H24))),0,MAX(0,TODAY()-$H24)),"")</f>
        <v>4</v>
      </c>
      <c r="X24" s="202">
        <f>IF($C24,IF(ISNUMBER($H24),$R24-$H24,0),"")</f>
        <v>0</v>
      </c>
      <c r="Y24" s="202">
        <f>IF($C24,COUNTIFS($G$7:$G$200,$G24,$J$7:$J$200,"&lt;&gt;Completado",$J$7:$J$200,"&lt;&gt;"),"")</f>
        <v>0</v>
      </c>
      <c r="Z24" s="202" t="b">
        <f>IF($C24,AND($I24=0,'Proyecto Datos (OKR´s)'!$K24&lt;=TODAY(),$J24&lt;&gt;"Completado"),"")</f>
        <v>0</v>
      </c>
      <c r="AA24" s="202">
        <f>IF($C24,ROUND(100*(0.35*$AK24+0.3*$AL24+0.2*$AM24+0.15*MEDIAN(0,($Y24-4)/8,1)),0),"")</f>
        <v>45</v>
      </c>
      <c r="AB24" s="203" t="str">
        <f>IF($C24,IF(OR($J24="Completado",$J24="Sin fecha"),"—",IF($AA24&gt;=70,"Crítica",IF($AA24&gt;=45,"Alta",IF($AA24&gt;=25,"Media","Baja")))),"")</f>
        <v>Alta</v>
      </c>
      <c r="AC24" s="203" t="str">
        <f>IF($C24,IF(LEN(TRIM($AN24))=0,"—",TRIM($AN24)),"")</f>
        <v>ATRASO</v>
      </c>
      <c r="AD24" s="202">
        <f>IF($C24,$AV24,"")</f>
        <v>2</v>
      </c>
      <c r="AE24" s="202" t="str">
        <f>IF($C24,$AZ24,"")</f>
        <v>Semanal · S2</v>
      </c>
      <c r="AF24" s="202" t="b">
        <f>IF($C24,$AV24&lt;&gt;$AR24,FALSE)</f>
        <v>1</v>
      </c>
      <c r="AG24" s="202">
        <f>IF($C24,IF($AV24&lt;&gt;$AR24,$AW24,""),"")</f>
        <v>46192</v>
      </c>
      <c r="AH24" s="203">
        <f>IF($C24,'Backlog General'!$L24,"")</f>
        <v>0</v>
      </c>
      <c r="AI24" s="202">
        <f>IF($C24,$AV24*100000+ROW(),"")</f>
        <v>200024</v>
      </c>
      <c r="AJ24" s="202">
        <f>IF(AND($C24,ISNUMBER($H24)),$AA24*1000000-MEDIAN(-9999,$K24,9999)*100+(300-ROW()),"")</f>
        <v>45000676</v>
      </c>
      <c r="AK24" s="202">
        <f>IF($C24,IF($J24="Completado",0,IF($K24&lt;0,1,IF($K24&lt;=3,0.9,IF($K24&lt;=7,0.7,IF($K24&lt;=14,0.45,0.2))))),"")</f>
        <v>1</v>
      </c>
      <c r="AL24" s="202">
        <f>IF($C24,IF($J24="Completado",0,MEDIAN(0,MAX(-$V24,$W24/30),1)),"")</f>
        <v>0.13333333333333333</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f>IF($C24,'Backlog General'!$G24,"")</f>
        <v>0</v>
      </c>
      <c r="AU24" s="203">
        <f>IF($C24,'Backlog General'!$H24,"")</f>
        <v>0</v>
      </c>
      <c r="AV24" s="202">
        <f>IF(AND($C24,ISNUMBER($AR24)),IF(OR($AT24="Completo",$AU24="Cancelado",$AU24="Baja prioridad"),$AR24,IF($AU24="Pasa al siguiente",MAX($AR24+1,$AS24),MAX($AR24,$AS24))),"")</f>
        <v>2</v>
      </c>
      <c r="AW24" s="202">
        <f>IF(AND($C24,ISNUMBER($AR24)),$AQ24+$AR24*$AP24*'Sprints'!$D$5-'Sprints'!$D$5,"")</f>
        <v>46192</v>
      </c>
      <c r="AX24" s="202">
        <f>IF($C24,IF(OR($AT24="Completo",$AU24="Cancelado",$AU24="Baja prioridad",NOT(ISNUMBER($AW24))),0,MAX(0,TODAY()-$AW24)),"")</f>
        <v>4</v>
      </c>
      <c r="AY24" s="203" t="str">
        <f>IF($C24,IF(NOT(ISNUMBER($AR24)),"Sin fecha",IF($AT24="Completo","Completo",IF($AU24="Cancelado","Cancelado",IF($AU24="Baja prioridad","Baja prioridad",IF($AX24&gt;0,"Vencida","Pendiente"))))),"")</f>
        <v>Vencida</v>
      </c>
      <c r="AZ24" s="203" t="str">
        <f>IF($C24,IF(ISNUMBER($AV24),$AO24&amp;" · S"&amp;$AV24,"(Sin fecha)"),"")</f>
        <v>Semanal · S2</v>
      </c>
      <c r="BA24" s="202">
        <f>IF($C24,IF(AND(ISNUMBER('Backlog General'!$M24),'Backlog General'!$M24=$AS24),"Nuevo S"&amp;'Backlog General'!$M24,""),"")</f>
      </c>
      <c r="BB24" s="202">
        <f>IF(AND($C24,$AO24="Semanal",ISNUMBER($AV24)),$AV24*100000+ROW(),"")</f>
        <v>200024</v>
      </c>
      <c r="BC24" s="202">
        <f>IF(AND($C24,$AO24="Quincenal",ISNUMBER($AV24)),$AV24*100000+ROW(),"")</f>
      </c>
      <c r="BD24" s="202">
        <f>IF(AND($C24,$AO24="Mensual",ISNUMBER($AV24)),$AV24*100000+ROW(),"")</f>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IF($C25,'Proyecto Datos (OKR´s)'!$J25,"")</f>
        <v>0.9</v>
      </c>
      <c r="J25" s="203" t="str">
        <f>IF($C25,IF($I25&gt;=1,"Completado",IF(NOT(ISNUMBER($H25)),"Sin fecha",IF($H25&lt;TODAY(),"Vencido",IF(($H25-TODAY())&lt;='Entregas Próximas'!$M$3,"Próximo a vencer","En curso")))),"")</f>
        <v>Vencido</v>
      </c>
      <c r="K25" s="202">
        <f>IF(AND($C25,ISNUMBER($H25)),$H25-TODAY(),"")</f>
        <v>-8</v>
      </c>
      <c r="L25" s="202">
        <f>IF(AND($C25,ISNUMBER($H25)),$AD25*1000000+$H25+ROW()/100000,"")</f>
        <v>2046188.00025</v>
      </c>
      <c r="M25" s="202">
        <f>IF($C25,IF($AD25=9999,"(Sin sprint)",$AD25),"")</f>
        <v>2</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19</v>
      </c>
      <c r="U25" s="202">
        <f>IF($C25,MEDIAN(0,(TODAY()-'Proyecto Datos (OKR´s)'!$K25)/MAX(1,$R25-'Proyecto Datos (OKR´s)'!$K25),1),"")</f>
        <v>1</v>
      </c>
      <c r="V25" s="202">
        <f>IF($C25,$I25-$U25,"")</f>
        <v>-0.09999999999999998</v>
      </c>
      <c r="W25" s="202">
        <f>IF($C25,IF(OR($J25="Completado",NOT(ISNUMBER($H25))),0,MAX(0,TODAY()-$H25)),"")</f>
        <v>8</v>
      </c>
      <c r="X25" s="202">
        <f>IF($C25,IF(ISNUMBER($H25),$R25-$H25,0),"")</f>
        <v>0</v>
      </c>
      <c r="Y25" s="202">
        <f>IF($C25,COUNTIFS($G$7:$G$200,$G25,$J$7:$J$200,"&lt;&gt;Completado",$J$7:$J$200,"&lt;&gt;"),"")</f>
        <v>0</v>
      </c>
      <c r="Z25" s="202" t="b">
        <f>IF($C25,AND($I25=0,'Proyecto Datos (OKR´s)'!$K25&lt;=TODAY(),$J25&lt;&gt;"Completado"),"")</f>
        <v>0</v>
      </c>
      <c r="AA25" s="202">
        <f>IF($C25,ROUND(100*(0.35*$AK25+0.3*$AL25+0.2*$AM25+0.15*MEDIAN(0,($Y25-4)/8,1)),0),"")</f>
        <v>49</v>
      </c>
      <c r="AB25" s="203" t="str">
        <f>IF($C25,IF(OR($J25="Completado",$J25="Sin fecha"),"—",IF($AA25&gt;=70,"Crítica",IF($AA25&gt;=45,"Alta",IF($AA25&gt;=25,"Media","Baja")))),"")</f>
        <v>Alta</v>
      </c>
      <c r="AC25" s="203" t="str">
        <f>IF($C25,IF(LEN(TRIM($AN25))=0,"—",TRIM($AN25)),"")</f>
        <v>ATRASO</v>
      </c>
      <c r="AD25" s="202">
        <f>IF($C25,$AV25,"")</f>
        <v>2</v>
      </c>
      <c r="AE25" s="202" t="str">
        <f>IF($C25,$AZ25,"")</f>
        <v>Semanal · S2</v>
      </c>
      <c r="AF25" s="202" t="b">
        <f>IF($C25,$AV25&lt;&gt;$AR25,FALSE)</f>
        <v>1</v>
      </c>
      <c r="AG25" s="202">
        <f>IF($C25,IF($AV25&lt;&gt;$AR25,$AW25,""),"")</f>
        <v>46192</v>
      </c>
      <c r="AH25" s="203">
        <f>IF($C25,'Backlog General'!$L25,"")</f>
        <v>0</v>
      </c>
      <c r="AI25" s="202">
        <f>IF($C25,$AV25*100000+ROW(),"")</f>
        <v>200025</v>
      </c>
      <c r="AJ25" s="202">
        <f>IF(AND($C25,ISNUMBER($H25)),$AA25*1000000-MEDIAN(-9999,$K25,9999)*100+(300-ROW()),"")</f>
        <v>49001075</v>
      </c>
      <c r="AK25" s="202">
        <f>IF($C25,IF($J25="Completado",0,IF($K25&lt;0,1,IF($K25&lt;=3,0.9,IF($K25&lt;=7,0.7,IF($K25&lt;=14,0.45,0.2))))),"")</f>
        <v>1</v>
      </c>
      <c r="AL25" s="202">
        <f>IF($C25,IF($J25="Completado",0,MEDIAN(0,MAX(-$V25,$W25/30),1)),"")</f>
        <v>0.26666666666666666</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f>IF($C25,'Backlog General'!$G25,"")</f>
        <v>0</v>
      </c>
      <c r="AU25" s="203">
        <f>IF($C25,'Backlog General'!$H25,"")</f>
        <v>0</v>
      </c>
      <c r="AV25" s="202">
        <f>IF(AND($C25,ISNUMBER($AR25)),IF(OR($AT25="Completo",$AU25="Cancelado",$AU25="Baja prioridad"),$AR25,IF($AU25="Pasa al siguiente",MAX($AR25+1,$AS25),MAX($AR25,$AS25))),"")</f>
        <v>2</v>
      </c>
      <c r="AW25" s="202">
        <f>IF(AND($C25,ISNUMBER($AR25)),$AQ25+$AR25*$AP25*'Sprints'!$D$5-'Sprints'!$D$5,"")</f>
        <v>46192</v>
      </c>
      <c r="AX25" s="202">
        <f>IF($C25,IF(OR($AT25="Completo",$AU25="Cancelado",$AU25="Baja prioridad",NOT(ISNUMBER($AW25))),0,MAX(0,TODAY()-$AW25)),"")</f>
        <v>4</v>
      </c>
      <c r="AY25" s="203" t="str">
        <f>IF($C25,IF(NOT(ISNUMBER($AR25)),"Sin fecha",IF($AT25="Completo","Completo",IF($AU25="Cancelado","Cancelado",IF($AU25="Baja prioridad","Baja prioridad",IF($AX25&gt;0,"Vencida","Pendiente"))))),"")</f>
        <v>Vencida</v>
      </c>
      <c r="AZ25" s="203" t="str">
        <f>IF($C25,IF(ISNUMBER($AV25),$AO25&amp;" · S"&amp;$AV25,"(Sin fecha)"),"")</f>
        <v>Semanal · S2</v>
      </c>
      <c r="BA25" s="202">
        <f>IF($C25,IF(AND(ISNUMBER('Backlog General'!$M25),'Backlog General'!$M25=$AS25),"Nuevo S"&amp;'Backlog General'!$M25,""),"")</f>
      </c>
      <c r="BB25" s="202">
        <f>IF(AND($C25,$AO25="Semanal",ISNUMBER($AV25)),$AV25*100000+ROW(),"")</f>
        <v>200025</v>
      </c>
      <c r="BC25" s="202">
        <f>IF(AND($C25,$AO25="Quincenal",ISNUMBER($AV25)),$AV25*100000+ROW(),"")</f>
      </c>
      <c r="BD25" s="202">
        <f>IF(AND($C25,$AO25="Mensual",ISNUMBER($AV25)),$AV25*100000+ROW(),"")</f>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IF($C26,'Proyecto Datos (OKR´s)'!$J26,"")</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IF($C26,'Backlog General'!$L26,"")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IF(AND($C26,ISNUMBER($AR26)),IF(OR($AT26="Completo",$AU26="Cancelado",$AU26="Baja prioridad"),$AR26,IF($AU26="Pasa al siguiente",MAX($AR26+1,$AS26),MAX($AR26,$AS26))),"")</f>
      </c>
      <c r="AW26" s="202">
        <f>IF(AND($C26,ISNUMBER($AR26)),$AQ26+$AR26*$AP26*'Sprints'!$D$5-'Sprints'!$D$5,"")</f>
      </c>
      <c r="AX26" s="202">
        <f>IF($C26,IF(OR($AT26="Completo",$AU26="Cancelado",$AU26="Baja prioridad",NOT(ISNUMBER($AW26))),0,MAX(0,TODAY()-$AW26)),"")</f>
      </c>
      <c r="AY26" s="203">
        <f>IF($C26,IF(NOT(ISNUMBER($AR26)),"Sin fecha",IF($AT26="Completo","Completo",IF($AU26="Cancelado","Cancelado",IF($AU26="Baja prioridad","Baja prioridad",IF($AX26&gt;0,"Vencida","Pendiente"))))),"")</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IF($C27,'Proyecto Datos (OKR´s)'!$J27,"")</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IF($C27,'Backlog General'!$L27,"")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IF(AND($C27,ISNUMBER($AR27)),IF(OR($AT27="Completo",$AU27="Cancelado",$AU27="Baja prioridad"),$AR27,IF($AU27="Pasa al siguiente",MAX($AR27+1,$AS27),MAX($AR27,$AS27))),"")</f>
      </c>
      <c r="AW27" s="202">
        <f>IF(AND($C27,ISNUMBER($AR27)),$AQ27+$AR27*$AP27*'Sprints'!$D$5-'Sprints'!$D$5,"")</f>
      </c>
      <c r="AX27" s="202">
        <f>IF($C27,IF(OR($AT27="Completo",$AU27="Cancelado",$AU27="Baja prioridad",NOT(ISNUMBER($AW27))),0,MAX(0,TODAY()-$AW27)),"")</f>
      </c>
      <c r="AY27" s="203">
        <f>IF($C27,IF(NOT(ISNUMBER($AR27)),"Sin fecha",IF($AT27="Completo","Completo",IF($AU27="Cancelado","Cancelado",IF($AU27="Baja prioridad","Baja prioridad",IF($AX27&gt;0,"Vencida","Pendiente"))))),"")</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IF($C28,'Proyecto Datos (OKR´s)'!$J28,"")</f>
        <v>0.9</v>
      </c>
      <c r="J28" s="203" t="str">
        <f>IF($C28,IF($I28&gt;=1,"Completado",IF(NOT(ISNUMBER($H28)),"Sin fecha",IF($H28&lt;TODAY(),"Vencido",IF(($H28-TODAY())&lt;='Entregas Próximas'!$M$3,"Próximo a vencer","En curso")))),"")</f>
        <v>Vencido</v>
      </c>
      <c r="K28" s="202">
        <f>IF(AND($C28,ISNUMBER($H28)),$H28-TODAY(),"")</f>
        <v>-8</v>
      </c>
      <c r="L28" s="202">
        <f>IF(AND($C28,ISNUMBER($H28)),$AD28*1000000+$H28+ROW()/100000,"")</f>
        <v>2046188.00028</v>
      </c>
      <c r="M28" s="202">
        <f>IF($C28,IF($AD28=9999,"(Sin sprint)",$AD28),"")</f>
        <v>2</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15</v>
      </c>
      <c r="U28" s="202">
        <f>IF($C28,MEDIAN(0,(TODAY()-'Proyecto Datos (OKR´s)'!$K28)/MAX(1,$R28-'Proyecto Datos (OKR´s)'!$K28),1),"")</f>
        <v>1</v>
      </c>
      <c r="V28" s="202">
        <f>IF($C28,$I28-$U28,"")</f>
        <v>-0.09999999999999998</v>
      </c>
      <c r="W28" s="202">
        <f>IF($C28,IF(OR($J28="Completado",NOT(ISNUMBER($H28))),0,MAX(0,TODAY()-$H28)),"")</f>
        <v>8</v>
      </c>
      <c r="X28" s="202">
        <f>IF($C28,IF(ISNUMBER($H28),$R28-$H28,0),"")</f>
        <v>0</v>
      </c>
      <c r="Y28" s="202">
        <f>IF($C28,COUNTIFS($G$7:$G$200,$G28,$J$7:$J$200,"&lt;&gt;Completado",$J$7:$J$200,"&lt;&gt;"),"")</f>
        <v>0</v>
      </c>
      <c r="Z28" s="202" t="b">
        <f>IF($C28,AND($I28=0,'Proyecto Datos (OKR´s)'!$K28&lt;=TODAY(),$J28&lt;&gt;"Completado"),"")</f>
        <v>0</v>
      </c>
      <c r="AA28" s="202">
        <f>IF($C28,ROUND(100*(0.35*$AK28+0.3*$AL28+0.2*$AM28+0.15*MEDIAN(0,($Y28-4)/8,1)),0),"")</f>
        <v>49</v>
      </c>
      <c r="AB28" s="203" t="str">
        <f>IF($C28,IF(OR($J28="Completado",$J28="Sin fecha"),"—",IF($AA28&gt;=70,"Crítica",IF($AA28&gt;=45,"Alta",IF($AA28&gt;=25,"Media","Baja")))),"")</f>
        <v>Alta</v>
      </c>
      <c r="AC28" s="203" t="str">
        <f>IF($C28,IF(LEN(TRIM($AN28))=0,"—",TRIM($AN28)),"")</f>
        <v>ATRASO</v>
      </c>
      <c r="AD28" s="202">
        <f>IF($C28,$AV28,"")</f>
        <v>2</v>
      </c>
      <c r="AE28" s="202" t="str">
        <f>IF($C28,$AZ28,"")</f>
        <v>Semanal · S2</v>
      </c>
      <c r="AF28" s="202" t="b">
        <f>IF($C28,$AV28&lt;&gt;$AR28,FALSE)</f>
        <v>1</v>
      </c>
      <c r="AG28" s="202">
        <f>IF($C28,IF($AV28&lt;&gt;$AR28,$AW28,""),"")</f>
        <v>46192</v>
      </c>
      <c r="AH28" s="203">
        <f>IF($C28,'Backlog General'!$L28,"")</f>
        <v>0</v>
      </c>
      <c r="AI28" s="202">
        <f>IF($C28,$AV28*100000+ROW(),"")</f>
        <v>200028</v>
      </c>
      <c r="AJ28" s="202">
        <f>IF(AND($C28,ISNUMBER($H28)),$AA28*1000000-MEDIAN(-9999,$K28,9999)*100+(300-ROW()),"")</f>
        <v>49001072</v>
      </c>
      <c r="AK28" s="202">
        <f>IF($C28,IF($J28="Completado",0,IF($K28&lt;0,1,IF($K28&lt;=3,0.9,IF($K28&lt;=7,0.7,IF($K28&lt;=14,0.45,0.2))))),"")</f>
        <v>1</v>
      </c>
      <c r="AL28" s="202">
        <f>IF($C28,IF($J28="Completado",0,MEDIAN(0,MAX(-$V28,$W28/30),1)),"")</f>
        <v>0.26666666666666666</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f>IF($C28,'Backlog General'!$G28,"")</f>
        <v>0</v>
      </c>
      <c r="AU28" s="203">
        <f>IF($C28,'Backlog General'!$H28,"")</f>
        <v>0</v>
      </c>
      <c r="AV28" s="202">
        <f>IF(AND($C28,ISNUMBER($AR28)),IF(OR($AT28="Completo",$AU28="Cancelado",$AU28="Baja prioridad"),$AR28,IF($AU28="Pasa al siguiente",MAX($AR28+1,$AS28),MAX($AR28,$AS28))),"")</f>
        <v>2</v>
      </c>
      <c r="AW28" s="202">
        <f>IF(AND($C28,ISNUMBER($AR28)),$AQ28+$AR28*$AP28*'Sprints'!$D$5-'Sprints'!$D$5,"")</f>
        <v>46192</v>
      </c>
      <c r="AX28" s="202">
        <f>IF($C28,IF(OR($AT28="Completo",$AU28="Cancelado",$AU28="Baja prioridad",NOT(ISNUMBER($AW28))),0,MAX(0,TODAY()-$AW28)),"")</f>
        <v>4</v>
      </c>
      <c r="AY28" s="203" t="str">
        <f>IF($C28,IF(NOT(ISNUMBER($AR28)),"Sin fecha",IF($AT28="Completo","Completo",IF($AU28="Cancelado","Cancelado",IF($AU28="Baja prioridad","Baja prioridad",IF($AX28&gt;0,"Vencida","Pendiente"))))),"")</f>
        <v>Vencida</v>
      </c>
      <c r="AZ28" s="203" t="str">
        <f>IF($C28,IF(ISNUMBER($AV28),$AO28&amp;" · S"&amp;$AV28,"(Sin fecha)"),"")</f>
        <v>Semanal · S2</v>
      </c>
      <c r="BA28" s="202">
        <f>IF($C28,IF(AND(ISNUMBER('Backlog General'!$M28),'Backlog General'!$M28=$AS28),"Nuevo S"&amp;'Backlog General'!$M28,""),"")</f>
      </c>
      <c r="BB28" s="202">
        <f>IF(AND($C28,$AO28="Semanal",ISNUMBER($AV28)),$AV28*100000+ROW(),"")</f>
        <v>200028</v>
      </c>
      <c r="BC28" s="202">
        <f>IF(AND($C28,$AO28="Quincenal",ISNUMBER($AV28)),$AV28*100000+ROW(),"")</f>
      </c>
      <c r="BD28" s="202">
        <f>IF(AND($C28,$AO28="Mensual",ISNUMBER($AV28)),$AV28*100000+ROW(),"")</f>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IF($C29,'Proyecto Datos (OKR´s)'!$J29,"")</f>
        <v>0.9</v>
      </c>
      <c r="J29" s="203" t="str">
        <f>IF($C29,IF($I29&gt;=1,"Completado",IF(NOT(ISNUMBER($H29)),"Sin fecha",IF($H29&lt;TODAY(),"Vencido",IF(($H29-TODAY())&lt;='Entregas Próximas'!$M$3,"Próximo a vencer","En curso")))),"")</f>
        <v>Vencido</v>
      </c>
      <c r="K29" s="202">
        <f>IF(AND($C29,ISNUMBER($H29)),$H29-TODAY(),"")</f>
        <v>-8</v>
      </c>
      <c r="L29" s="202">
        <f>IF(AND($C29,ISNUMBER($H29)),$AD29*1000000+$H29+ROW()/100000,"")</f>
        <v>2046188.00029</v>
      </c>
      <c r="M29" s="202">
        <f>IF($C29,IF($AD29=9999,"(Sin sprint)",$AD29),"")</f>
        <v>2</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204</v>
      </c>
      <c r="U29" s="202">
        <f>IF($C29,MEDIAN(0,(TODAY()-'Proyecto Datos (OKR´s)'!$K29)/MAX(1,$R29-'Proyecto Datos (OKR´s)'!$K29),1),"")</f>
        <v>1</v>
      </c>
      <c r="V29" s="202">
        <f>IF($C29,$I29-$U29,"")</f>
        <v>-0.09999999999999998</v>
      </c>
      <c r="W29" s="202">
        <f>IF($C29,IF(OR($J29="Completado",NOT(ISNUMBER($H29))),0,MAX(0,TODAY()-$H29)),"")</f>
        <v>8</v>
      </c>
      <c r="X29" s="202">
        <f>IF($C29,IF(ISNUMBER($H29),$R29-$H29,0),"")</f>
        <v>0</v>
      </c>
      <c r="Y29" s="202">
        <f>IF($C29,COUNTIFS($G$7:$G$200,$G29,$J$7:$J$200,"&lt;&gt;Completado",$J$7:$J$200,"&lt;&gt;"),"")</f>
        <v>0</v>
      </c>
      <c r="Z29" s="202" t="b">
        <f>IF($C29,AND($I29=0,'Proyecto Datos (OKR´s)'!$K29&lt;=TODAY(),$J29&lt;&gt;"Completado"),"")</f>
        <v>0</v>
      </c>
      <c r="AA29" s="202">
        <f>IF($C29,ROUND(100*(0.35*$AK29+0.3*$AL29+0.2*$AM29+0.15*MEDIAN(0,($Y29-4)/8,1)),0),"")</f>
        <v>49</v>
      </c>
      <c r="AB29" s="203" t="str">
        <f>IF($C29,IF(OR($J29="Completado",$J29="Sin fecha"),"—",IF($AA29&gt;=70,"Crítica",IF($AA29&gt;=45,"Alta",IF($AA29&gt;=25,"Media","Baja")))),"")</f>
        <v>Alta</v>
      </c>
      <c r="AC29" s="203" t="str">
        <f>IF($C29,IF(LEN(TRIM($AN29))=0,"—",TRIM($AN29)),"")</f>
        <v>ATRASO</v>
      </c>
      <c r="AD29" s="202">
        <f>IF($C29,$AV29,"")</f>
        <v>2</v>
      </c>
      <c r="AE29" s="202" t="str">
        <f>IF($C29,$AZ29,"")</f>
        <v>Semanal · S2</v>
      </c>
      <c r="AF29" s="202" t="b">
        <f>IF($C29,$AV29&lt;&gt;$AR29,FALSE)</f>
        <v>1</v>
      </c>
      <c r="AG29" s="202">
        <f>IF($C29,IF($AV29&lt;&gt;$AR29,$AW29,""),"")</f>
        <v>46192</v>
      </c>
      <c r="AH29" s="203">
        <f>IF($C29,'Backlog General'!$L29,"")</f>
        <v>0</v>
      </c>
      <c r="AI29" s="202">
        <f>IF($C29,$AV29*100000+ROW(),"")</f>
        <v>200029</v>
      </c>
      <c r="AJ29" s="202">
        <f>IF(AND($C29,ISNUMBER($H29)),$AA29*1000000-MEDIAN(-9999,$K29,9999)*100+(300-ROW()),"")</f>
        <v>49001071</v>
      </c>
      <c r="AK29" s="202">
        <f>IF($C29,IF($J29="Completado",0,IF($K29&lt;0,1,IF($K29&lt;=3,0.9,IF($K29&lt;=7,0.7,IF($K29&lt;=14,0.45,0.2))))),"")</f>
        <v>1</v>
      </c>
      <c r="AL29" s="202">
        <f>IF($C29,IF($J29="Completado",0,MEDIAN(0,MAX(-$V29,$W29/30),1)),"")</f>
        <v>0.26666666666666666</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f>IF($C29,'Backlog General'!$G29,"")</f>
        <v>0</v>
      </c>
      <c r="AU29" s="203">
        <f>IF($C29,'Backlog General'!$H29,"")</f>
        <v>0</v>
      </c>
      <c r="AV29" s="202">
        <f>IF(AND($C29,ISNUMBER($AR29)),IF(OR($AT29="Completo",$AU29="Cancelado",$AU29="Baja prioridad"),$AR29,IF($AU29="Pasa al siguiente",MAX($AR29+1,$AS29),MAX($AR29,$AS29))),"")</f>
        <v>2</v>
      </c>
      <c r="AW29" s="202">
        <f>IF(AND($C29,ISNUMBER($AR29)),$AQ29+$AR29*$AP29*'Sprints'!$D$5-'Sprints'!$D$5,"")</f>
        <v>46192</v>
      </c>
      <c r="AX29" s="202">
        <f>IF($C29,IF(OR($AT29="Completo",$AU29="Cancelado",$AU29="Baja prioridad",NOT(ISNUMBER($AW29))),0,MAX(0,TODAY()-$AW29)),"")</f>
        <v>4</v>
      </c>
      <c r="AY29" s="203" t="str">
        <f>IF($C29,IF(NOT(ISNUMBER($AR29)),"Sin fecha",IF($AT29="Completo","Completo",IF($AU29="Cancelado","Cancelado",IF($AU29="Baja prioridad","Baja prioridad",IF($AX29&gt;0,"Vencida","Pendiente"))))),"")</f>
        <v>Vencida</v>
      </c>
      <c r="AZ29" s="203" t="str">
        <f>IF($C29,IF(ISNUMBER($AV29),$AO29&amp;" · S"&amp;$AV29,"(Sin fecha)"),"")</f>
        <v>Semanal · S2</v>
      </c>
      <c r="BA29" s="202">
        <f>IF($C29,IF(AND(ISNUMBER('Backlog General'!$M29),'Backlog General'!$M29=$AS29),"Nuevo S"&amp;'Backlog General'!$M29,""),"")</f>
      </c>
      <c r="BB29" s="202">
        <f>IF(AND($C29,$AO29="Semanal",ISNUMBER($AV29)),$AV29*100000+ROW(),"")</f>
        <v>200029</v>
      </c>
      <c r="BC29" s="202">
        <f>IF(AND($C29,$AO29="Quincenal",ISNUMBER($AV29)),$AV29*100000+ROW(),"")</f>
      </c>
      <c r="BD29" s="202">
        <f>IF(AND($C29,$AO29="Mensual",ISNUMBER($AV29)),$AV29*100000+ROW(),"")</f>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IF($C30,'Proyecto Datos (OKR´s)'!$J30,"")</f>
        <v>0.9</v>
      </c>
      <c r="J30" s="203" t="str">
        <f>IF($C30,IF($I30&gt;=1,"Completado",IF(NOT(ISNUMBER($H30)),"Sin fecha",IF($H30&lt;TODAY(),"Vencido",IF(($H30-TODAY())&lt;='Entregas Próximas'!$M$3,"Próximo a vencer","En curso")))),"")</f>
        <v>Vencido</v>
      </c>
      <c r="K30" s="202">
        <f>IF(AND($C30,ISNUMBER($H30)),$H30-TODAY(),"")</f>
        <v>-8</v>
      </c>
      <c r="L30" s="202">
        <f>IF(AND($C30,ISNUMBER($H30)),$AD30*1000000+$H30+ROW()/100000,"")</f>
        <v>2046188.0003</v>
      </c>
      <c r="M30" s="202">
        <f>IF($C30,IF($AD30=9999,"(Sin sprint)",$AD30),"")</f>
        <v>2</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204</v>
      </c>
      <c r="U30" s="202">
        <f>IF($C30,MEDIAN(0,(TODAY()-'Proyecto Datos (OKR´s)'!$K30)/MAX(1,$R30-'Proyecto Datos (OKR´s)'!$K30),1),"")</f>
        <v>1</v>
      </c>
      <c r="V30" s="202">
        <f>IF($C30,$I30-$U30,"")</f>
        <v>-0.09999999999999998</v>
      </c>
      <c r="W30" s="202">
        <f>IF($C30,IF(OR($J30="Completado",NOT(ISNUMBER($H30))),0,MAX(0,TODAY()-$H30)),"")</f>
        <v>8</v>
      </c>
      <c r="X30" s="202">
        <f>IF($C30,IF(ISNUMBER($H30),$R30-$H30,0),"")</f>
        <v>0</v>
      </c>
      <c r="Y30" s="202">
        <f>IF($C30,COUNTIFS($G$7:$G$200,$G30,$J$7:$J$200,"&lt;&gt;Completado",$J$7:$J$200,"&lt;&gt;"),"")</f>
        <v>0</v>
      </c>
      <c r="Z30" s="202" t="b">
        <f>IF($C30,AND($I30=0,'Proyecto Datos (OKR´s)'!$K30&lt;=TODAY(),$J30&lt;&gt;"Completado"),"")</f>
        <v>0</v>
      </c>
      <c r="AA30" s="202">
        <f>IF($C30,ROUND(100*(0.35*$AK30+0.3*$AL30+0.2*$AM30+0.15*MEDIAN(0,($Y30-4)/8,1)),0),"")</f>
        <v>49</v>
      </c>
      <c r="AB30" s="203" t="str">
        <f>IF($C30,IF(OR($J30="Completado",$J30="Sin fecha"),"—",IF($AA30&gt;=70,"Crítica",IF($AA30&gt;=45,"Alta",IF($AA30&gt;=25,"Media","Baja")))),"")</f>
        <v>Alta</v>
      </c>
      <c r="AC30" s="203" t="str">
        <f>IF($C30,IF(LEN(TRIM($AN30))=0,"—",TRIM($AN30)),"")</f>
        <v>ATRASO</v>
      </c>
      <c r="AD30" s="202">
        <f>IF($C30,$AV30,"")</f>
        <v>2</v>
      </c>
      <c r="AE30" s="202" t="str">
        <f>IF($C30,$AZ30,"")</f>
        <v>Semanal · S2</v>
      </c>
      <c r="AF30" s="202" t="b">
        <f>IF($C30,$AV30&lt;&gt;$AR30,FALSE)</f>
        <v>1</v>
      </c>
      <c r="AG30" s="202">
        <f>IF($C30,IF($AV30&lt;&gt;$AR30,$AW30,""),"")</f>
        <v>46192</v>
      </c>
      <c r="AH30" s="203">
        <f>IF($C30,'Backlog General'!$L30,"")</f>
        <v>0</v>
      </c>
      <c r="AI30" s="202">
        <f>IF($C30,$AV30*100000+ROW(),"")</f>
        <v>200030</v>
      </c>
      <c r="AJ30" s="202">
        <f>IF(AND($C30,ISNUMBER($H30)),$AA30*1000000-MEDIAN(-9999,$K30,9999)*100+(300-ROW()),"")</f>
        <v>49001070</v>
      </c>
      <c r="AK30" s="202">
        <f>IF($C30,IF($J30="Completado",0,IF($K30&lt;0,1,IF($K30&lt;=3,0.9,IF($K30&lt;=7,0.7,IF($K30&lt;=14,0.45,0.2))))),"")</f>
        <v>1</v>
      </c>
      <c r="AL30" s="202">
        <f>IF($C30,IF($J30="Completado",0,MEDIAN(0,MAX(-$V30,$W30/30),1)),"")</f>
        <v>0.26666666666666666</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f>IF($C30,'Backlog General'!$G30,"")</f>
        <v>0</v>
      </c>
      <c r="AU30" s="203">
        <f>IF($C30,'Backlog General'!$H30,"")</f>
        <v>0</v>
      </c>
      <c r="AV30" s="202">
        <f>IF(AND($C30,ISNUMBER($AR30)),IF(OR($AT30="Completo",$AU30="Cancelado",$AU30="Baja prioridad"),$AR30,IF($AU30="Pasa al siguiente",MAX($AR30+1,$AS30),MAX($AR30,$AS30))),"")</f>
        <v>2</v>
      </c>
      <c r="AW30" s="202">
        <f>IF(AND($C30,ISNUMBER($AR30)),$AQ30+$AR30*$AP30*'Sprints'!$D$5-'Sprints'!$D$5,"")</f>
        <v>46192</v>
      </c>
      <c r="AX30" s="202">
        <f>IF($C30,IF(OR($AT30="Completo",$AU30="Cancelado",$AU30="Baja prioridad",NOT(ISNUMBER($AW30))),0,MAX(0,TODAY()-$AW30)),"")</f>
        <v>4</v>
      </c>
      <c r="AY30" s="203" t="str">
        <f>IF($C30,IF(NOT(ISNUMBER($AR30)),"Sin fecha",IF($AT30="Completo","Completo",IF($AU30="Cancelado","Cancelado",IF($AU30="Baja prioridad","Baja prioridad",IF($AX30&gt;0,"Vencida","Pendiente"))))),"")</f>
        <v>Vencida</v>
      </c>
      <c r="AZ30" s="203" t="str">
        <f>IF($C30,IF(ISNUMBER($AV30),$AO30&amp;" · S"&amp;$AV30,"(Sin fecha)"),"")</f>
        <v>Semanal · S2</v>
      </c>
      <c r="BA30" s="202">
        <f>IF($C30,IF(AND(ISNUMBER('Backlog General'!$M30),'Backlog General'!$M30=$AS30),"Nuevo S"&amp;'Backlog General'!$M30,""),"")</f>
      </c>
      <c r="BB30" s="202">
        <f>IF(AND($C30,$AO30="Semanal",ISNUMBER($AV30)),$AV30*100000+ROW(),"")</f>
        <v>200030</v>
      </c>
      <c r="BC30" s="202">
        <f>IF(AND($C30,$AO30="Quincenal",ISNUMBER($AV30)),$AV30*100000+ROW(),"")</f>
      </c>
      <c r="BD30" s="202">
        <f>IF(AND($C30,$AO30="Mensual",ISNUMBER($AV30)),$AV30*100000+ROW(),"")</f>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IF($C31,'Proyecto Datos (OKR´s)'!$J31,"")</f>
        <v>0.9</v>
      </c>
      <c r="J31" s="203" t="str">
        <f>IF($C31,IF($I31&gt;=1,"Completado",IF(NOT(ISNUMBER($H31)),"Sin fecha",IF($H31&lt;TODAY(),"Vencido",IF(($H31-TODAY())&lt;='Entregas Próximas'!$M$3,"Próximo a vencer","En curso")))),"")</f>
        <v>Vencido</v>
      </c>
      <c r="K31" s="202">
        <f>IF(AND($C31,ISNUMBER($H31)),$H31-TODAY(),"")</f>
        <v>-8</v>
      </c>
      <c r="L31" s="202">
        <f>IF(AND($C31,ISNUMBER($H31)),$AD31*1000000+$H31+ROW()/100000,"")</f>
        <v>2046188.00031</v>
      </c>
      <c r="M31" s="202">
        <f>IF($C31,IF($AD31=9999,"(Sin sprint)",$AD31),"")</f>
        <v>2</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173</v>
      </c>
      <c r="U31" s="202">
        <f>IF($C31,MEDIAN(0,(TODAY()-'Proyecto Datos (OKR´s)'!$K31)/MAX(1,$R31-'Proyecto Datos (OKR´s)'!$K31),1),"")</f>
        <v>1</v>
      </c>
      <c r="V31" s="202">
        <f>IF($C31,$I31-$U31,"")</f>
        <v>-0.09999999999999998</v>
      </c>
      <c r="W31" s="202">
        <f>IF($C31,IF(OR($J31="Completado",NOT(ISNUMBER($H31))),0,MAX(0,TODAY()-$H31)),"")</f>
        <v>8</v>
      </c>
      <c r="X31" s="202">
        <f>IF($C31,IF(ISNUMBER($H31),$R31-$H31,0),"")</f>
        <v>0</v>
      </c>
      <c r="Y31" s="202">
        <f>IF($C31,COUNTIFS($G$7:$G$200,$G31,$J$7:$J$200,"&lt;&gt;Completado",$J$7:$J$200,"&lt;&gt;"),"")</f>
        <v>0</v>
      </c>
      <c r="Z31" s="202" t="b">
        <f>IF($C31,AND($I31=0,'Proyecto Datos (OKR´s)'!$K31&lt;=TODAY(),$J31&lt;&gt;"Completado"),"")</f>
        <v>0</v>
      </c>
      <c r="AA31" s="202">
        <f>IF($C31,ROUND(100*(0.35*$AK31+0.3*$AL31+0.2*$AM31+0.15*MEDIAN(0,($Y31-4)/8,1)),0),"")</f>
        <v>49</v>
      </c>
      <c r="AB31" s="203" t="str">
        <f>IF($C31,IF(OR($J31="Completado",$J31="Sin fecha"),"—",IF($AA31&gt;=70,"Crítica",IF($AA31&gt;=45,"Alta",IF($AA31&gt;=25,"Media","Baja")))),"")</f>
        <v>Alta</v>
      </c>
      <c r="AC31" s="203" t="str">
        <f>IF($C31,IF(LEN(TRIM($AN31))=0,"—",TRIM($AN31)),"")</f>
        <v>ATRASO</v>
      </c>
      <c r="AD31" s="202">
        <f>IF($C31,$AV31,"")</f>
        <v>2</v>
      </c>
      <c r="AE31" s="202" t="str">
        <f>IF($C31,$AZ31,"")</f>
        <v>Semanal · S2</v>
      </c>
      <c r="AF31" s="202" t="b">
        <f>IF($C31,$AV31&lt;&gt;$AR31,FALSE)</f>
        <v>1</v>
      </c>
      <c r="AG31" s="202">
        <f>IF($C31,IF($AV31&lt;&gt;$AR31,$AW31,""),"")</f>
        <v>46192</v>
      </c>
      <c r="AH31" s="203">
        <f>IF($C31,'Backlog General'!$L31,"")</f>
        <v>0</v>
      </c>
      <c r="AI31" s="202">
        <f>IF($C31,$AV31*100000+ROW(),"")</f>
        <v>200031</v>
      </c>
      <c r="AJ31" s="202">
        <f>IF(AND($C31,ISNUMBER($H31)),$AA31*1000000-MEDIAN(-9999,$K31,9999)*100+(300-ROW()),"")</f>
        <v>49001069</v>
      </c>
      <c r="AK31" s="202">
        <f>IF($C31,IF($J31="Completado",0,IF($K31&lt;0,1,IF($K31&lt;=3,0.9,IF($K31&lt;=7,0.7,IF($K31&lt;=14,0.45,0.2))))),"")</f>
        <v>1</v>
      </c>
      <c r="AL31" s="202">
        <f>IF($C31,IF($J31="Completado",0,MEDIAN(0,MAX(-$V31,$W31/30),1)),"")</f>
        <v>0.26666666666666666</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f>IF($C31,'Backlog General'!$G31,"")</f>
        <v>0</v>
      </c>
      <c r="AU31" s="203">
        <f>IF($C31,'Backlog General'!$H31,"")</f>
        <v>0</v>
      </c>
      <c r="AV31" s="202">
        <f>IF(AND($C31,ISNUMBER($AR31)),IF(OR($AT31="Completo",$AU31="Cancelado",$AU31="Baja prioridad"),$AR31,IF($AU31="Pasa al siguiente",MAX($AR31+1,$AS31),MAX($AR31,$AS31))),"")</f>
        <v>2</v>
      </c>
      <c r="AW31" s="202">
        <f>IF(AND($C31,ISNUMBER($AR31)),$AQ31+$AR31*$AP31*'Sprints'!$D$5-'Sprints'!$D$5,"")</f>
        <v>46192</v>
      </c>
      <c r="AX31" s="202">
        <f>IF($C31,IF(OR($AT31="Completo",$AU31="Cancelado",$AU31="Baja prioridad",NOT(ISNUMBER($AW31))),0,MAX(0,TODAY()-$AW31)),"")</f>
        <v>4</v>
      </c>
      <c r="AY31" s="203" t="str">
        <f>IF($C31,IF(NOT(ISNUMBER($AR31)),"Sin fecha",IF($AT31="Completo","Completo",IF($AU31="Cancelado","Cancelado",IF($AU31="Baja prioridad","Baja prioridad",IF($AX31&gt;0,"Vencida","Pendiente"))))),"")</f>
        <v>Vencida</v>
      </c>
      <c r="AZ31" s="203" t="str">
        <f>IF($C31,IF(ISNUMBER($AV31),$AO31&amp;" · S"&amp;$AV31,"(Sin fecha)"),"")</f>
        <v>Semanal · S2</v>
      </c>
      <c r="BA31" s="202">
        <f>IF($C31,IF(AND(ISNUMBER('Backlog General'!$M31),'Backlog General'!$M31=$AS31),"Nuevo S"&amp;'Backlog General'!$M31,""),"")</f>
      </c>
      <c r="BB31" s="202">
        <f>IF(AND($C31,$AO31="Semanal",ISNUMBER($AV31)),$AV31*100000+ROW(),"")</f>
        <v>200031</v>
      </c>
      <c r="BC31" s="202">
        <f>IF(AND($C31,$AO31="Quincenal",ISNUMBER($AV31)),$AV31*100000+ROW(),"")</f>
      </c>
      <c r="BD31" s="202">
        <f>IF(AND($C31,$AO31="Mensual",ISNUMBER($AV31)),$AV31*100000+ROW(),"")</f>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IF($C32,'Proyecto Datos (OKR´s)'!$J32,"")</f>
        <v>0.6</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8</v>
      </c>
      <c r="U32" s="202">
        <f>IF($C32,MEDIAN(0,(TODAY()-'Proyecto Datos (OKR´s)'!$K32)/MAX(1,$R32-'Proyecto Datos (OKR´s)'!$K32),1),"")</f>
        <v>1</v>
      </c>
      <c r="V32" s="202">
        <f>IF($C32,$I32-$U32,"")</f>
        <v>-0.4</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25</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IF($C32,'Backlog General'!$L32,"")</f>
        <v>0</v>
      </c>
      <c r="AI32" s="202">
        <f>IF($C32,$AV32*100000+ROW(),"")</f>
      </c>
      <c r="AJ32" s="202">
        <f>IF(AND($C32,ISNUMBER($H32)),$AA32*1000000-MEDIAN(-9999,$K32,9999)*100+(300-ROW()),"")</f>
      </c>
      <c r="AK32" s="202">
        <f>IF($C32,IF($J32="Completado",0,IF($K32&lt;0,1,IF($K32&lt;=3,0.9,IF($K32&lt;=7,0.7,IF($K32&lt;=14,0.45,0.2))))),"")</f>
        <v>0.2</v>
      </c>
      <c r="AL32" s="202">
        <f>IF($C32,IF($J32="Completado",0,MEDIAN(0,MAX(-$V32,$W32/30),1)),"")</f>
        <v>0.4</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f>IF($C32,'Backlog General'!$G32,"")</f>
        <v>0</v>
      </c>
      <c r="AU32" s="203">
        <f>IF($C32,'Backlog General'!$H32,"")</f>
        <v>0</v>
      </c>
      <c r="AV32" s="202">
        <f>IF(AND($C32,ISNUMBER($AR32)),IF(OR($AT32="Completo",$AU32="Cancelado",$AU32="Baja prioridad"),$AR32,IF($AU32="Pasa al siguiente",MAX($AR32+1,$AS32),MAX($AR32,$AS32))),"")</f>
      </c>
      <c r="AW32" s="202">
        <f>IF(AND($C32,ISNUMBER($AR32)),$AQ32+$AR32*$AP32*'Sprints'!$D$5-'Sprints'!$D$5,"")</f>
      </c>
      <c r="AX32" s="202">
        <f>IF($C32,IF(OR($AT32="Completo",$AU32="Cancelado",$AU32="Baja prioridad",NOT(ISNUMBER($AW32))),0,MAX(0,TODAY()-$AW32)),"")</f>
        <v>0</v>
      </c>
      <c r="AY32" s="203" t="str">
        <f>IF($C32,IF(NOT(ISNUMBER($AR32)),"Sin fecha",IF($AT32="Completo","Completo",IF($AU32="Cancelado","Cancelado",IF($AU32="Baja prioridad","Baja prioridad",IF($AX32&gt;0,"Vencida","Pendiente"))))),"")</f>
        <v>Sin fecha</v>
      </c>
      <c r="AZ32" s="203" t="str">
        <f>IF($C32,IF(ISNUMBER($AV32),$AO32&amp;" · S"&amp;$AV32,"(Sin fecha)"),"")</f>
        <v>(Sin fecha)</v>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IF($C33,'Proyecto Datos (OKR´s)'!$J33,"")</f>
        <v>0.6</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4</v>
      </c>
      <c r="U33" s="202">
        <f>IF($C33,MEDIAN(0,(TODAY()-'Proyecto Datos (OKR´s)'!$K33)/MAX(1,$R33-'Proyecto Datos (OKR´s)'!$K33),1),"")</f>
        <v>0.4</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13</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IF($C33,'Backlog General'!$L33,"")</f>
        <v>0</v>
      </c>
      <c r="AI33" s="202">
        <f>IF($C33,$AV33*100000+ROW(),"")</f>
      </c>
      <c r="AJ33" s="202">
        <f>IF(AND($C33,ISNUMBER($H33)),$AA33*1000000-MEDIAN(-9999,$K33,9999)*100+(300-ROW()),"")</f>
      </c>
      <c r="AK33" s="202">
        <f>IF($C33,IF($J33="Completado",0,IF($K33&lt;0,1,IF($K33&lt;=3,0.9,IF($K33&lt;=7,0.7,IF($K33&lt;=14,0.45,0.2))))),"")</f>
        <v>0.2</v>
      </c>
      <c r="AL33" s="202">
        <f>IF($C33,IF($J33="Completado",0,MEDIAN(0,MAX(-$V33,$W33/30),1)),"")</f>
        <v>0</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f>IF($C33,'Backlog General'!$G33,"")</f>
        <v>0</v>
      </c>
      <c r="AU33" s="203">
        <f>IF($C33,'Backlog General'!$H33,"")</f>
        <v>0</v>
      </c>
      <c r="AV33" s="202">
        <f>IF(AND($C33,ISNUMBER($AR33)),IF(OR($AT33="Completo",$AU33="Cancelado",$AU33="Baja prioridad"),$AR33,IF($AU33="Pasa al siguiente",MAX($AR33+1,$AS33),MAX($AR33,$AS33))),"")</f>
      </c>
      <c r="AW33" s="202">
        <f>IF(AND($C33,ISNUMBER($AR33)),$AQ33+$AR33*$AP33*'Sprints'!$D$5-'Sprints'!$D$5,"")</f>
      </c>
      <c r="AX33" s="202">
        <f>IF($C33,IF(OR($AT33="Completo",$AU33="Cancelado",$AU33="Baja prioridad",NOT(ISNUMBER($AW33))),0,MAX(0,TODAY()-$AW33)),"")</f>
        <v>0</v>
      </c>
      <c r="AY33" s="203" t="str">
        <f>IF($C33,IF(NOT(ISNUMBER($AR33)),"Sin fecha",IF($AT33="Completo","Completo",IF($AU33="Cancelado","Cancelado",IF($AU33="Baja prioridad","Baja prioridad",IF($AX33&gt;0,"Vencida","Pendiente"))))),"")</f>
        <v>Sin fecha</v>
      </c>
      <c r="AZ33" s="203" t="str">
        <f>IF($C33,IF(ISNUMBER($AV33),$AO33&amp;" · S"&amp;$AV33,"(Sin fecha)"),"")</f>
        <v>(Sin fecha)</v>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IF($C34,'Proyecto Datos (OKR´s)'!$J34,"")</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8</v>
      </c>
      <c r="U34" s="202">
        <f>IF($C34,MEDIAN(0,(TODAY()-'Proyecto Datos (OKR´s)'!$K34)/MAX(1,$R34-'Proyecto Datos (OKR´s)'!$K34),1),"")</f>
        <v>0.5714285714285714</v>
      </c>
      <c r="V34" s="202">
        <f>IF($C34,$I34-$U34,"")</f>
        <v>-0.0714285714285714</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15</v>
      </c>
      <c r="AB34" s="203" t="str">
        <f>IF($C34,IF(OR($J34="Completado",$J34="Sin fecha"),"—",IF($AA34&gt;=70,"Crítica",IF($AA34&gt;=45,"Alta",IF($AA34&gt;=25,"Media","Baja")))),"")</f>
        <v>—</v>
      </c>
      <c r="AC34" s="203" t="str">
        <f>IF($C34,IF(LEN(TRIM($AN34))=0,"—",TRIM($AN34)),"")</f>
        <v>—</v>
      </c>
      <c r="AD34" s="202">
        <f>IF($C34,$AV34,"")</f>
      </c>
      <c r="AE34" s="202" t="str">
        <f>IF($C34,$AZ34,"")</f>
        <v>(Sin fecha)</v>
      </c>
      <c r="AF34" s="202" t="b">
        <f>IF($C34,$AV34&lt;&gt;$AR34,FALSE)</f>
        <v>0</v>
      </c>
      <c r="AG34" s="202">
        <f>IF($C34,IF($AV34&lt;&gt;$AR34,$AW34,""),"")</f>
      </c>
      <c r="AH34" s="203">
        <f>IF($C34,'Backlog General'!$L34,"")</f>
        <v>0</v>
      </c>
      <c r="AI34" s="202">
        <f>IF($C34,$AV34*100000+ROW(),"")</f>
      </c>
      <c r="AJ34" s="202">
        <f>IF(AND($C34,ISNUMBER($H34)),$AA34*1000000-MEDIAN(-9999,$K34,9999)*100+(300-ROW()),"")</f>
      </c>
      <c r="AK34" s="202">
        <f>IF($C34,IF($J34="Completado",0,IF($K34&lt;0,1,IF($K34&lt;=3,0.9,IF($K34&lt;=7,0.7,IF($K34&lt;=14,0.45,0.2))))),"")</f>
        <v>0.2</v>
      </c>
      <c r="AL34" s="202">
        <f>IF($C34,IF($J34="Completado",0,MEDIAN(0,MAX(-$V34,$W34/30),1)),"")</f>
        <v>0.0714285714285714</v>
      </c>
      <c r="AM34" s="202">
        <f>IF($C34,IF($J34="Completado",0,IF($Z34,1,IF(AND($I34&lt;0.5,$K34&lt;=7),0.7,0.3))),"")</f>
        <v>0.3</v>
      </c>
      <c r="AN34" s="203">
        <f>IF($C34,IF(OR($V34&lt;-0.2,$W34&gt;0),"ATRASO ","")&amp;IF($Z34,"BLOQUEO ","")&amp;IF($Y34&gt;8,"SOBRECARGA ","")&amp;IF($X34&gt;0,"DESVÍO-PLAN ",""),"")</f>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f>IF($C34,'Backlog General'!$G34,"")</f>
        <v>0</v>
      </c>
      <c r="AU34" s="203">
        <f>IF($C34,'Backlog General'!$H34,"")</f>
        <v>0</v>
      </c>
      <c r="AV34" s="202">
        <f>IF(AND($C34,ISNUMBER($AR34)),IF(OR($AT34="Completo",$AU34="Cancelado",$AU34="Baja prioridad"),$AR34,IF($AU34="Pasa al siguiente",MAX($AR34+1,$AS34),MAX($AR34,$AS34))),"")</f>
      </c>
      <c r="AW34" s="202">
        <f>IF(AND($C34,ISNUMBER($AR34)),$AQ34+$AR34*$AP34*'Sprints'!$D$5-'Sprints'!$D$5,"")</f>
      </c>
      <c r="AX34" s="202">
        <f>IF($C34,IF(OR($AT34="Completo",$AU34="Cancelado",$AU34="Baja prioridad",NOT(ISNUMBER($AW34))),0,MAX(0,TODAY()-$AW34)),"")</f>
        <v>0</v>
      </c>
      <c r="AY34" s="203" t="str">
        <f>IF($C34,IF(NOT(ISNUMBER($AR34)),"Sin fecha",IF($AT34="Completo","Completo",IF($AU34="Cancelado","Cancelado",IF($AU34="Baja prioridad","Baja prioridad",IF($AX34&gt;0,"Vencida","Pendiente"))))),"")</f>
        <v>Sin fecha</v>
      </c>
      <c r="AZ34" s="203" t="str">
        <f>IF($C34,IF(ISNUMBER($AV34),$AO34&amp;" · S"&amp;$AV34,"(Sin fecha)"),"")</f>
        <v>(Sin fecha)</v>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IF($C35,'Proyecto Datos (OKR´s)'!$J35,"")</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4</v>
      </c>
      <c r="U35" s="202">
        <f>IF($C35,MEDIAN(0,(TODAY()-'Proyecto Datos (OKR´s)'!$K35)/MAX(1,$R35-'Proyecto Datos (OKR´s)'!$K35),1),"")</f>
        <v>0.23529411764705882</v>
      </c>
      <c r="V35" s="202">
        <f>IF($C35,$I35-$U35,"")</f>
        <v>0.2647058823529412</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IF($C35,'Backlog General'!$L35,"")</f>
        <v>0</v>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f>IF($C35,'Backlog General'!$G35,"")</f>
        <v>0</v>
      </c>
      <c r="AU35" s="203">
        <f>IF($C35,'Backlog General'!$H35,"")</f>
        <v>0</v>
      </c>
      <c r="AV35" s="202">
        <f>IF(AND($C35,ISNUMBER($AR35)),IF(OR($AT35="Completo",$AU35="Cancelado",$AU35="Baja prioridad"),$AR35,IF($AU35="Pasa al siguiente",MAX($AR35+1,$AS35),MAX($AR35,$AS35))),"")</f>
      </c>
      <c r="AW35" s="202">
        <f>IF(AND($C35,ISNUMBER($AR35)),$AQ35+$AR35*$AP35*'Sprints'!$D$5-'Sprints'!$D$5,"")</f>
      </c>
      <c r="AX35" s="202">
        <f>IF($C35,IF(OR($AT35="Completo",$AU35="Cancelado",$AU35="Baja prioridad",NOT(ISNUMBER($AW35))),0,MAX(0,TODAY()-$AW35)),"")</f>
        <v>0</v>
      </c>
      <c r="AY35" s="203" t="str">
        <f>IF($C35,IF(NOT(ISNUMBER($AR35)),"Sin fecha",IF($AT35="Completo","Completo",IF($AU35="Cancelado","Cancelado",IF($AU35="Baja prioridad","Baja prioridad",IF($AX35&gt;0,"Vencida","Pendiente"))))),"")</f>
        <v>Sin fecha</v>
      </c>
      <c r="AZ35" s="203" t="str">
        <f>IF($C35,IF(ISNUMBER($AV35),$AO35&amp;" · S"&amp;$AV35,"(Sin fecha)"),"")</f>
        <v>(Sin fecha)</v>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IF($C36,'Proyecto Datos (OKR´s)'!$J36,"")</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IF($C36,'Backlog General'!$L36,"")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IF(AND($C36,ISNUMBER($AR36)),IF(OR($AT36="Completo",$AU36="Cancelado",$AU36="Baja prioridad"),$AR36,IF($AU36="Pasa al siguiente",MAX($AR36+1,$AS36),MAX($AR36,$AS36))),"")</f>
      </c>
      <c r="AW36" s="202">
        <f>IF(AND($C36,ISNUMBER($AR36)),$AQ36+$AR36*$AP36*'Sprints'!$D$5-'Sprints'!$D$5,"")</f>
      </c>
      <c r="AX36" s="202">
        <f>IF($C36,IF(OR($AT36="Completo",$AU36="Cancelado",$AU36="Baja prioridad",NOT(ISNUMBER($AW36))),0,MAX(0,TODAY()-$AW36)),"")</f>
      </c>
      <c r="AY36" s="203">
        <f>IF($C36,IF(NOT(ISNUMBER($AR36)),"Sin fecha",IF($AT36="Completo","Completo",IF($AU36="Cancelado","Cancelado",IF($AU36="Baja prioridad","Baja prioridad",IF($AX36&gt;0,"Vencida","Pendiente"))))),"")</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IF($C37,'Proyecto Datos (OKR´s)'!$J37,"")</f>
        <v>0.2</v>
      </c>
      <c r="J37" s="203" t="str">
        <f>IF($C37,IF($I37&gt;=1,"Completado",IF(NOT(ISNUMBER($H37)),"Sin fecha",IF($H37&lt;TODAY(),"Vencido",IF(($H37-TODAY())&lt;='Entregas Próximas'!$M$3,"Próximo a vencer","En curso")))),"")</f>
        <v>Vencido</v>
      </c>
      <c r="K37" s="202">
        <f>IF(AND($C37,ISNUMBER($H37)),$H37-TODAY(),"")</f>
        <v>-8</v>
      </c>
      <c r="L37" s="202">
        <f>IF(AND($C37,ISNUMBER($H37)),$AD37*1000000+$H37+ROW()/100000,"")</f>
        <v>2046188.00037</v>
      </c>
      <c r="M37" s="202">
        <f>IF($C37,IF($AD37=9999,"(Sin sprint)",$AD37),"")</f>
        <v>2</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204</v>
      </c>
      <c r="U37" s="202">
        <f>IF($C37,MEDIAN(0,(TODAY()-'Proyecto Datos (OKR´s)'!$K37)/MAX(1,$R37-'Proyecto Datos (OKR´s)'!$K37),1),"")</f>
        <v>1</v>
      </c>
      <c r="V37" s="202">
        <f>IF($C37,$I37-$U37,"")</f>
        <v>-0.8</v>
      </c>
      <c r="W37" s="202">
        <f>IF($C37,IF(OR($J37="Completado",NOT(ISNUMBER($H37))),0,MAX(0,TODAY()-$H37)),"")</f>
        <v>8</v>
      </c>
      <c r="X37" s="202">
        <f>IF($C37,IF(ISNUMBER($H37),$R37-$H37,0),"")</f>
        <v>0</v>
      </c>
      <c r="Y37" s="202">
        <f>IF($C37,COUNTIFS($G$7:$G$200,$G37,$J$7:$J$200,"&lt;&gt;Completado",$J$7:$J$200,"&lt;&gt;"),"")</f>
        <v>0</v>
      </c>
      <c r="Z37" s="202" t="b">
        <f>IF($C37,AND($I37=0,'Proyecto Datos (OKR´s)'!$K37&lt;=TODAY(),$J37&lt;&gt;"Completado"),"")</f>
        <v>0</v>
      </c>
      <c r="AA37" s="202">
        <f>IF($C37,ROUND(100*(0.35*$AK37+0.3*$AL37+0.2*$AM37+0.15*MEDIAN(0,($Y37-4)/8,1)),0),"")</f>
        <v>73</v>
      </c>
      <c r="AB37" s="203" t="str">
        <f>IF($C37,IF(OR($J37="Completado",$J37="Sin fecha"),"—",IF($AA37&gt;=70,"Crítica",IF($AA37&gt;=45,"Alta",IF($AA37&gt;=25,"Media","Baja")))),"")</f>
        <v>Crítica</v>
      </c>
      <c r="AC37" s="203" t="str">
        <f>IF($C37,IF(LEN(TRIM($AN37))=0,"—",TRIM($AN37)),"")</f>
        <v>ATRASO</v>
      </c>
      <c r="AD37" s="202">
        <f>IF($C37,$AV37,"")</f>
        <v>2</v>
      </c>
      <c r="AE37" s="202" t="str">
        <f>IF($C37,$AZ37,"")</f>
        <v>Semanal · S2</v>
      </c>
      <c r="AF37" s="202" t="b">
        <f>IF($C37,$AV37&lt;&gt;$AR37,FALSE)</f>
        <v>1</v>
      </c>
      <c r="AG37" s="202">
        <f>IF($C37,IF($AV37&lt;&gt;$AR37,$AW37,""),"")</f>
        <v>46192</v>
      </c>
      <c r="AH37" s="203">
        <f>IF($C37,'Backlog General'!$L37,"")</f>
        <v>0</v>
      </c>
      <c r="AI37" s="202">
        <f>IF($C37,$AV37*100000+ROW(),"")</f>
        <v>200037</v>
      </c>
      <c r="AJ37" s="202">
        <f>IF(AND($C37,ISNUMBER($H37)),$AA37*1000000-MEDIAN(-9999,$K37,9999)*100+(300-ROW()),"")</f>
        <v>73001063</v>
      </c>
      <c r="AK37" s="202">
        <f>IF($C37,IF($J37="Completado",0,IF($K37&lt;0,1,IF($K37&lt;=3,0.9,IF($K37&lt;=7,0.7,IF($K37&lt;=14,0.45,0.2))))),"")</f>
        <v>1</v>
      </c>
      <c r="AL37" s="202">
        <f>IF($C37,IF($J37="Completado",0,MEDIAN(0,MAX(-$V37,$W37/30),1)),"")</f>
        <v>0.8</v>
      </c>
      <c r="AM37" s="202">
        <f>IF($C37,IF($J37="Completado",0,IF($Z37,1,IF(AND($I37&lt;0.5,$K37&lt;=7),0.7,0.3))),"")</f>
        <v>0.7</v>
      </c>
      <c r="AN37" s="203" t="str">
        <f>IF($C37,IF(OR($V37&lt;-0.2,$W37&gt;0),"ATRASO ","")&amp;IF($Z37,"BLOQUEO ","")&amp;IF($Y37&gt;8,"SOBRECARGA ","")&amp;IF($X37&gt;0,"DESVÍO-PLAN ",""),"")</f>
        <v>ATRASO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f>IF($C37,'Backlog General'!$G37,"")</f>
        <v>0</v>
      </c>
      <c r="AU37" s="203">
        <f>IF($C37,'Backlog General'!$H37,"")</f>
        <v>0</v>
      </c>
      <c r="AV37" s="202">
        <f>IF(AND($C37,ISNUMBER($AR37)),IF(OR($AT37="Completo",$AU37="Cancelado",$AU37="Baja prioridad"),$AR37,IF($AU37="Pasa al siguiente",MAX($AR37+1,$AS37),MAX($AR37,$AS37))),"")</f>
        <v>2</v>
      </c>
      <c r="AW37" s="202">
        <f>IF(AND($C37,ISNUMBER($AR37)),$AQ37+$AR37*$AP37*'Sprints'!$D$5-'Sprints'!$D$5,"")</f>
        <v>46192</v>
      </c>
      <c r="AX37" s="202">
        <f>IF($C37,IF(OR($AT37="Completo",$AU37="Cancelado",$AU37="Baja prioridad",NOT(ISNUMBER($AW37))),0,MAX(0,TODAY()-$AW37)),"")</f>
        <v>4</v>
      </c>
      <c r="AY37" s="203" t="str">
        <f>IF($C37,IF(NOT(ISNUMBER($AR37)),"Sin fecha",IF($AT37="Completo","Completo",IF($AU37="Cancelado","Cancelado",IF($AU37="Baja prioridad","Baja prioridad",IF($AX37&gt;0,"Vencida","Pendiente"))))),"")</f>
        <v>Vencida</v>
      </c>
      <c r="AZ37" s="203" t="str">
        <f>IF($C37,IF(ISNUMBER($AV37),$AO37&amp;" · S"&amp;$AV37,"(Sin fecha)"),"")</f>
        <v>Semanal · S2</v>
      </c>
      <c r="BA37" s="202">
        <f>IF($C37,IF(AND(ISNUMBER('Backlog General'!$M37),'Backlog General'!$M37=$AS37),"Nuevo S"&amp;'Backlog General'!$M37,""),"")</f>
      </c>
      <c r="BB37" s="202">
        <f>IF(AND($C37,$AO37="Semanal",ISNUMBER($AV37)),$AV37*100000+ROW(),"")</f>
        <v>200037</v>
      </c>
      <c r="BC37" s="202">
        <f>IF(AND($C37,$AO37="Quincenal",ISNUMBER($AV37)),$AV37*100000+ROW(),"")</f>
      </c>
      <c r="BD37" s="202">
        <f>IF(AND($C37,$AO37="Mensual",ISNUMBER($AV37)),$AV37*100000+ROW(),"")</f>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IF($C38,'Proyecto Datos (OKR´s)'!$J38,"")</f>
        <v>0.9</v>
      </c>
      <c r="J38" s="203" t="str">
        <f>IF($C38,IF($I38&gt;=1,"Completado",IF(NOT(ISNUMBER($H38)),"Sin fecha",IF($H38&lt;TODAY(),"Vencido",IF(($H38-TODAY())&lt;='Entregas Próximas'!$M$3,"Próximo a vencer","En curso")))),"")</f>
        <v>Vencido</v>
      </c>
      <c r="K38" s="202">
        <f>IF(AND($C38,ISNUMBER($H38)),$H38-TODAY(),"")</f>
        <v>-8</v>
      </c>
      <c r="L38" s="202">
        <f>IF(AND($C38,ISNUMBER($H38)),$AD38*1000000+$H38+ROW()/100000,"")</f>
        <v>2046188.00038</v>
      </c>
      <c r="M38" s="202">
        <f>IF($C38,IF($AD38=9999,"(Sin sprint)",$AD38),"")</f>
        <v>2</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173</v>
      </c>
      <c r="U38" s="202">
        <f>IF($C38,MEDIAN(0,(TODAY()-'Proyecto Datos (OKR´s)'!$K38)/MAX(1,$R38-'Proyecto Datos (OKR´s)'!$K38),1),"")</f>
        <v>1</v>
      </c>
      <c r="V38" s="202">
        <f>IF($C38,$I38-$U38,"")</f>
        <v>-0.09999999999999998</v>
      </c>
      <c r="W38" s="202">
        <f>IF($C38,IF(OR($J38="Completado",NOT(ISNUMBER($H38))),0,MAX(0,TODAY()-$H38)),"")</f>
        <v>8</v>
      </c>
      <c r="X38" s="202">
        <f>IF($C38,IF(ISNUMBER($H38),$R38-$H38,0),"")</f>
        <v>0</v>
      </c>
      <c r="Y38" s="202">
        <f>IF($C38,COUNTIFS($G$7:$G$200,$G38,$J$7:$J$200,"&lt;&gt;Completado",$J$7:$J$200,"&lt;&gt;"),"")</f>
        <v>0</v>
      </c>
      <c r="Z38" s="202" t="b">
        <f>IF($C38,AND($I38=0,'Proyecto Datos (OKR´s)'!$K38&lt;=TODAY(),$J38&lt;&gt;"Completado"),"")</f>
        <v>0</v>
      </c>
      <c r="AA38" s="202">
        <f>IF($C38,ROUND(100*(0.35*$AK38+0.3*$AL38+0.2*$AM38+0.15*MEDIAN(0,($Y38-4)/8,1)),0),"")</f>
        <v>49</v>
      </c>
      <c r="AB38" s="203" t="str">
        <f>IF($C38,IF(OR($J38="Completado",$J38="Sin fecha"),"—",IF($AA38&gt;=70,"Crítica",IF($AA38&gt;=45,"Alta",IF($AA38&gt;=25,"Media","Baja")))),"")</f>
        <v>Alta</v>
      </c>
      <c r="AC38" s="203" t="str">
        <f>IF($C38,IF(LEN(TRIM($AN38))=0,"—",TRIM($AN38)),"")</f>
        <v>ATRASO</v>
      </c>
      <c r="AD38" s="202">
        <f>IF($C38,$AV38,"")</f>
        <v>2</v>
      </c>
      <c r="AE38" s="202" t="str">
        <f>IF($C38,$AZ38,"")</f>
        <v>Semanal · S2</v>
      </c>
      <c r="AF38" s="202" t="b">
        <f>IF($C38,$AV38&lt;&gt;$AR38,FALSE)</f>
        <v>1</v>
      </c>
      <c r="AG38" s="202">
        <f>IF($C38,IF($AV38&lt;&gt;$AR38,$AW38,""),"")</f>
        <v>46192</v>
      </c>
      <c r="AH38" s="203">
        <f>IF($C38,'Backlog General'!$L38,"")</f>
        <v>0</v>
      </c>
      <c r="AI38" s="202">
        <f>IF($C38,$AV38*100000+ROW(),"")</f>
        <v>200038</v>
      </c>
      <c r="AJ38" s="202">
        <f>IF(AND($C38,ISNUMBER($H38)),$AA38*1000000-MEDIAN(-9999,$K38,9999)*100+(300-ROW()),"")</f>
        <v>49001062</v>
      </c>
      <c r="AK38" s="202">
        <f>IF($C38,IF($J38="Completado",0,IF($K38&lt;0,1,IF($K38&lt;=3,0.9,IF($K38&lt;=7,0.7,IF($K38&lt;=14,0.45,0.2))))),"")</f>
        <v>1</v>
      </c>
      <c r="AL38" s="202">
        <f>IF($C38,IF($J38="Completado",0,MEDIAN(0,MAX(-$V38,$W38/30),1)),"")</f>
        <v>0.26666666666666666</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f>IF($C38,'Backlog General'!$G38,"")</f>
        <v>0</v>
      </c>
      <c r="AU38" s="203">
        <f>IF($C38,'Backlog General'!$H38,"")</f>
        <v>0</v>
      </c>
      <c r="AV38" s="202">
        <f>IF(AND($C38,ISNUMBER($AR38)),IF(OR($AT38="Completo",$AU38="Cancelado",$AU38="Baja prioridad"),$AR38,IF($AU38="Pasa al siguiente",MAX($AR38+1,$AS38),MAX($AR38,$AS38))),"")</f>
        <v>2</v>
      </c>
      <c r="AW38" s="202">
        <f>IF(AND($C38,ISNUMBER($AR38)),$AQ38+$AR38*$AP38*'Sprints'!$D$5-'Sprints'!$D$5,"")</f>
        <v>46192</v>
      </c>
      <c r="AX38" s="202">
        <f>IF($C38,IF(OR($AT38="Completo",$AU38="Cancelado",$AU38="Baja prioridad",NOT(ISNUMBER($AW38))),0,MAX(0,TODAY()-$AW38)),"")</f>
        <v>4</v>
      </c>
      <c r="AY38" s="203" t="str">
        <f>IF($C38,IF(NOT(ISNUMBER($AR38)),"Sin fecha",IF($AT38="Completo","Completo",IF($AU38="Cancelado","Cancelado",IF($AU38="Baja prioridad","Baja prioridad",IF($AX38&gt;0,"Vencida","Pendiente"))))),"")</f>
        <v>Vencida</v>
      </c>
      <c r="AZ38" s="203" t="str">
        <f>IF($C38,IF(ISNUMBER($AV38),$AO38&amp;" · S"&amp;$AV38,"(Sin fecha)"),"")</f>
        <v>Semanal · S2</v>
      </c>
      <c r="BA38" s="202">
        <f>IF($C38,IF(AND(ISNUMBER('Backlog General'!$M38),'Backlog General'!$M38=$AS38),"Nuevo S"&amp;'Backlog General'!$M38,""),"")</f>
      </c>
      <c r="BB38" s="202">
        <f>IF(AND($C38,$AO38="Semanal",ISNUMBER($AV38)),$AV38*100000+ROW(),"")</f>
        <v>200038</v>
      </c>
      <c r="BC38" s="202">
        <f>IF(AND($C38,$AO38="Quincenal",ISNUMBER($AV38)),$AV38*100000+ROW(),"")</f>
      </c>
      <c r="BD38" s="202">
        <f>IF(AND($C38,$AO38="Mensual",ISNUMBER($AV38)),$AV38*100000+ROW(),"")</f>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IF($C39,'Proyecto Datos (OKR´s)'!$J39,"")</f>
        <v>0.95</v>
      </c>
      <c r="J39" s="203" t="str">
        <f>IF($C39,IF($I39&gt;=1,"Completado",IF(NOT(ISNUMBER($H39)),"Sin fecha",IF($H39&lt;TODAY(),"Vencido",IF(($H39-TODAY())&lt;='Entregas Próximas'!$M$3,"Próximo a vencer","En curso")))),"")</f>
        <v>Vencido</v>
      </c>
      <c r="K39" s="202">
        <f>IF(AND($C39,ISNUMBER($H39)),$H39-TODAY(),"")</f>
        <v>-8</v>
      </c>
      <c r="L39" s="202">
        <f>IF(AND($C39,ISNUMBER($H39)),$AD39*1000000+$H39+ROW()/100000,"")</f>
        <v>2046188.00039</v>
      </c>
      <c r="M39" s="202">
        <f>IF($C39,IF($AD39=9999,"(Sin sprint)",$AD39),"")</f>
        <v>2</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204</v>
      </c>
      <c r="U39" s="202">
        <f>IF($C39,MEDIAN(0,(TODAY()-'Proyecto Datos (OKR´s)'!$K39)/MAX(1,$R39-'Proyecto Datos (OKR´s)'!$K39),1),"")</f>
        <v>1</v>
      </c>
      <c r="V39" s="202">
        <f>IF($C39,$I39-$U39,"")</f>
        <v>-0.050000000000000044</v>
      </c>
      <c r="W39" s="202">
        <f>IF($C39,IF(OR($J39="Completado",NOT(ISNUMBER($H39))),0,MAX(0,TODAY()-$H39)),"")</f>
        <v>8</v>
      </c>
      <c r="X39" s="202">
        <f>IF($C39,IF(ISNUMBER($H39),$R39-$H39,0),"")</f>
        <v>0</v>
      </c>
      <c r="Y39" s="202">
        <f>IF($C39,COUNTIFS($G$7:$G$200,$G39,$J$7:$J$200,"&lt;&gt;Completado",$J$7:$J$200,"&lt;&gt;"),"")</f>
        <v>0</v>
      </c>
      <c r="Z39" s="202" t="b">
        <f>IF($C39,AND($I39=0,'Proyecto Datos (OKR´s)'!$K39&lt;=TODAY(),$J39&lt;&gt;"Completado"),"")</f>
        <v>0</v>
      </c>
      <c r="AA39" s="202">
        <f>IF($C39,ROUND(100*(0.35*$AK39+0.3*$AL39+0.2*$AM39+0.15*MEDIAN(0,($Y39-4)/8,1)),0),"")</f>
        <v>49</v>
      </c>
      <c r="AB39" s="203" t="str">
        <f>IF($C39,IF(OR($J39="Completado",$J39="Sin fecha"),"—",IF($AA39&gt;=70,"Crítica",IF($AA39&gt;=45,"Alta",IF($AA39&gt;=25,"Media","Baja")))),"")</f>
        <v>Alta</v>
      </c>
      <c r="AC39" s="203" t="str">
        <f>IF($C39,IF(LEN(TRIM($AN39))=0,"—",TRIM($AN39)),"")</f>
        <v>ATRASO</v>
      </c>
      <c r="AD39" s="202">
        <f>IF($C39,$AV39,"")</f>
        <v>2</v>
      </c>
      <c r="AE39" s="202" t="str">
        <f>IF($C39,$AZ39,"")</f>
        <v>Semanal · S2</v>
      </c>
      <c r="AF39" s="202" t="b">
        <f>IF($C39,$AV39&lt;&gt;$AR39,FALSE)</f>
        <v>1</v>
      </c>
      <c r="AG39" s="202">
        <f>IF($C39,IF($AV39&lt;&gt;$AR39,$AW39,""),"")</f>
        <v>46192</v>
      </c>
      <c r="AH39" s="203">
        <f>IF($C39,'Backlog General'!$L39,"")</f>
        <v>0</v>
      </c>
      <c r="AI39" s="202">
        <f>IF($C39,$AV39*100000+ROW(),"")</f>
        <v>200039</v>
      </c>
      <c r="AJ39" s="202">
        <f>IF(AND($C39,ISNUMBER($H39)),$AA39*1000000-MEDIAN(-9999,$K39,9999)*100+(300-ROW()),"")</f>
        <v>49001061</v>
      </c>
      <c r="AK39" s="202">
        <f>IF($C39,IF($J39="Completado",0,IF($K39&lt;0,1,IF($K39&lt;=3,0.9,IF($K39&lt;=7,0.7,IF($K39&lt;=14,0.45,0.2))))),"")</f>
        <v>1</v>
      </c>
      <c r="AL39" s="202">
        <f>IF($C39,IF($J39="Completado",0,MEDIAN(0,MAX(-$V39,$W39/30),1)),"")</f>
        <v>0.26666666666666666</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f>IF($C39,'Backlog General'!$G39,"")</f>
        <v>0</v>
      </c>
      <c r="AU39" s="203">
        <f>IF($C39,'Backlog General'!$H39,"")</f>
        <v>0</v>
      </c>
      <c r="AV39" s="202">
        <f>IF(AND($C39,ISNUMBER($AR39)),IF(OR($AT39="Completo",$AU39="Cancelado",$AU39="Baja prioridad"),$AR39,IF($AU39="Pasa al siguiente",MAX($AR39+1,$AS39),MAX($AR39,$AS39))),"")</f>
        <v>2</v>
      </c>
      <c r="AW39" s="202">
        <f>IF(AND($C39,ISNUMBER($AR39)),$AQ39+$AR39*$AP39*'Sprints'!$D$5-'Sprints'!$D$5,"")</f>
        <v>46192</v>
      </c>
      <c r="AX39" s="202">
        <f>IF($C39,IF(OR($AT39="Completo",$AU39="Cancelado",$AU39="Baja prioridad",NOT(ISNUMBER($AW39))),0,MAX(0,TODAY()-$AW39)),"")</f>
        <v>4</v>
      </c>
      <c r="AY39" s="203" t="str">
        <f>IF($C39,IF(NOT(ISNUMBER($AR39)),"Sin fecha",IF($AT39="Completo","Completo",IF($AU39="Cancelado","Cancelado",IF($AU39="Baja prioridad","Baja prioridad",IF($AX39&gt;0,"Vencida","Pendiente"))))),"")</f>
        <v>Vencida</v>
      </c>
      <c r="AZ39" s="203" t="str">
        <f>IF($C39,IF(ISNUMBER($AV39),$AO39&amp;" · S"&amp;$AV39,"(Sin fecha)"),"")</f>
        <v>Semanal · S2</v>
      </c>
      <c r="BA39" s="202">
        <f>IF($C39,IF(AND(ISNUMBER('Backlog General'!$M39),'Backlog General'!$M39=$AS39),"Nuevo S"&amp;'Backlog General'!$M39,""),"")</f>
      </c>
      <c r="BB39" s="202">
        <f>IF(AND($C39,$AO39="Semanal",ISNUMBER($AV39)),$AV39*100000+ROW(),"")</f>
        <v>200039</v>
      </c>
      <c r="BC39" s="202">
        <f>IF(AND($C39,$AO39="Quincenal",ISNUMBER($AV39)),$AV39*100000+ROW(),"")</f>
      </c>
      <c r="BD39" s="202">
        <f>IF(AND($C39,$AO39="Mensual",ISNUMBER($AV39)),$AV39*100000+ROW(),"")</f>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IF($C40,'Proyecto Datos (OKR´s)'!$J40,"")</f>
        <v>0.7</v>
      </c>
      <c r="J40" s="203" t="str">
        <f>IF($C40,IF($I40&gt;=1,"Completado",IF(NOT(ISNUMBER($H40)),"Sin fecha",IF($H40&lt;TODAY(),"Vencido",IF(($H40-TODAY())&lt;='Entregas Próximas'!$M$3,"Próximo a vencer","En curso")))),"")</f>
        <v>Vencido</v>
      </c>
      <c r="K40" s="202">
        <f>IF(AND($C40,ISNUMBER($H40)),$H40-TODAY(),"")</f>
        <v>-8</v>
      </c>
      <c r="L40" s="202">
        <f>IF(AND($C40,ISNUMBER($H40)),$AD40*1000000+$H40+ROW()/100000,"")</f>
        <v>2046188.0004</v>
      </c>
      <c r="M40" s="202">
        <f>IF($C40,IF($AD40=9999,"(Sin sprint)",$AD40),"")</f>
        <v>2</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0.7</v>
      </c>
      <c r="W40" s="202">
        <f>IF($C40,IF(OR($J40="Completado",NOT(ISNUMBER($H40))),0,MAX(0,TODAY()-$H40)),"")</f>
        <v>8</v>
      </c>
      <c r="X40" s="202">
        <f>IF($C40,IF(ISNUMBER($H40),$R40-$H40,0),"")</f>
        <v>0</v>
      </c>
      <c r="Y40" s="202">
        <f>IF($C40,COUNTIFS($G$7:$G$200,$G40,$J$7:$J$200,"&lt;&gt;Completado",$J$7:$J$200,"&lt;&gt;"),"")</f>
        <v>0</v>
      </c>
      <c r="Z40" s="202" t="b">
        <f>IF($C40,AND($I40=0,'Proyecto Datos (OKR´s)'!$K40&lt;=TODAY(),$J40&lt;&gt;"Completado"),"")</f>
        <v>0</v>
      </c>
      <c r="AA40" s="202">
        <f>IF($C40,ROUND(100*(0.35*$AK40+0.3*$AL40+0.2*$AM40+0.15*MEDIAN(0,($Y40-4)/8,1)),0),"")</f>
        <v>49</v>
      </c>
      <c r="AB40" s="203" t="str">
        <f>IF($C40,IF(OR($J40="Completado",$J40="Sin fecha"),"—",IF($AA40&gt;=70,"Crítica",IF($AA40&gt;=45,"Alta",IF($AA40&gt;=25,"Media","Baja")))),"")</f>
        <v>Alta</v>
      </c>
      <c r="AC40" s="203" t="str">
        <f>IF($C40,IF(LEN(TRIM($AN40))=0,"—",TRIM($AN40)),"")</f>
        <v>ATRASO</v>
      </c>
      <c r="AD40" s="202">
        <f>IF($C40,$AV40,"")</f>
        <v>2</v>
      </c>
      <c r="AE40" s="202" t="str">
        <f>IF($C40,$AZ40,"")</f>
        <v>Semanal · S2</v>
      </c>
      <c r="AF40" s="202" t="b">
        <f>IF($C40,$AV40&lt;&gt;$AR40,FALSE)</f>
        <v>1</v>
      </c>
      <c r="AG40" s="202">
        <f>IF($C40,IF($AV40&lt;&gt;$AR40,$AW40,""),"")</f>
        <v>46192</v>
      </c>
      <c r="AH40" s="203">
        <f>IF($C40,'Backlog General'!$L40,"")</f>
        <v>0</v>
      </c>
      <c r="AI40" s="202">
        <f>IF($C40,$AV40*100000+ROW(),"")</f>
        <v>200040</v>
      </c>
      <c r="AJ40" s="202">
        <f>IF(AND($C40,ISNUMBER($H40)),$AA40*1000000-MEDIAN(-9999,$K40,9999)*100+(300-ROW()),"")</f>
        <v>49001060</v>
      </c>
      <c r="AK40" s="202">
        <f>IF($C40,IF($J40="Completado",0,IF($K40&lt;0,1,IF($K40&lt;=3,0.9,IF($K40&lt;=7,0.7,IF($K40&lt;=14,0.45,0.2))))),"")</f>
        <v>1</v>
      </c>
      <c r="AL40" s="202">
        <f>IF($C40,IF($J40="Completado",0,MEDIAN(0,MAX(-$V40,$W40/30),1)),"")</f>
        <v>0.26666666666666666</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f>IF($C40,'Backlog General'!$G40,"")</f>
        <v>0</v>
      </c>
      <c r="AU40" s="203">
        <f>IF($C40,'Backlog General'!$H40,"")</f>
        <v>0</v>
      </c>
      <c r="AV40" s="202">
        <f>IF(AND($C40,ISNUMBER($AR40)),IF(OR($AT40="Completo",$AU40="Cancelado",$AU40="Baja prioridad"),$AR40,IF($AU40="Pasa al siguiente",MAX($AR40+1,$AS40),MAX($AR40,$AS40))),"")</f>
        <v>2</v>
      </c>
      <c r="AW40" s="202">
        <f>IF(AND($C40,ISNUMBER($AR40)),$AQ40+$AR40*$AP40*'Sprints'!$D$5-'Sprints'!$D$5,"")</f>
        <v>46192</v>
      </c>
      <c r="AX40" s="202">
        <f>IF($C40,IF(OR($AT40="Completo",$AU40="Cancelado",$AU40="Baja prioridad",NOT(ISNUMBER($AW40))),0,MAX(0,TODAY()-$AW40)),"")</f>
        <v>4</v>
      </c>
      <c r="AY40" s="203" t="str">
        <f>IF($C40,IF(NOT(ISNUMBER($AR40)),"Sin fecha",IF($AT40="Completo","Completo",IF($AU40="Cancelado","Cancelado",IF($AU40="Baja prioridad","Baja prioridad",IF($AX40&gt;0,"Vencida","Pendiente"))))),"")</f>
        <v>Vencida</v>
      </c>
      <c r="AZ40" s="203" t="str">
        <f>IF($C40,IF(ISNUMBER($AV40),$AO40&amp;" · S"&amp;$AV40,"(Sin fecha)"),"")</f>
        <v>Semanal · S2</v>
      </c>
      <c r="BA40" s="202">
        <f>IF($C40,IF(AND(ISNUMBER('Backlog General'!$M40),'Backlog General'!$M40=$AS40),"Nuevo S"&amp;'Backlog General'!$M40,""),"")</f>
      </c>
      <c r="BB40" s="202">
        <f>IF(AND($C40,$AO40="Semanal",ISNUMBER($AV40)),$AV40*100000+ROW(),"")</f>
        <v>200040</v>
      </c>
      <c r="BC40" s="202">
        <f>IF(AND($C40,$AO40="Quincenal",ISNUMBER($AV40)),$AV40*100000+ROW(),"")</f>
      </c>
      <c r="BD40" s="202">
        <f>IF(AND($C40,$AO40="Mensual",ISNUMBER($AV40)),$AV40*100000+ROW(),"")</f>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IF($C41,'Proyecto Datos (OKR´s)'!$J41,"")</f>
        <v>0.5</v>
      </c>
      <c r="J41" s="203" t="str">
        <f>IF($C41,IF($I41&gt;=1,"Completado",IF(NOT(ISNUMBER($H41)),"Sin fecha",IF($H41&lt;TODAY(),"Vencido",IF(($H41-TODAY())&lt;='Entregas Próximas'!$M$3,"Próximo a vencer","En curso")))),"")</f>
        <v>Vencido</v>
      </c>
      <c r="K41" s="202">
        <f>IF(AND($C41,ISNUMBER($H41)),$H41-TODAY(),"")</f>
        <v>-8</v>
      </c>
      <c r="L41" s="202">
        <f>IF(AND($C41,ISNUMBER($H41)),$AD41*1000000+$H41+ROW()/100000,"")</f>
        <v>2046188.00041</v>
      </c>
      <c r="M41" s="202">
        <f>IF($C41,IF($AD41=9999,"(Sin sprint)",$AD41),"")</f>
        <v>2</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8</v>
      </c>
      <c r="U41" s="202">
        <f>IF($C41,MEDIAN(0,(TODAY()-'Proyecto Datos (OKR´s)'!$K41)/MAX(1,$R41-'Proyecto Datos (OKR´s)'!$K41),1),"")</f>
        <v>1</v>
      </c>
      <c r="V41" s="202">
        <f>IF($C41,$I41-$U41,"")</f>
        <v>-0.5</v>
      </c>
      <c r="W41" s="202">
        <f>IF($C41,IF(OR($J41="Completado",NOT(ISNUMBER($H41))),0,MAX(0,TODAY()-$H41)),"")</f>
        <v>8</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2</v>
      </c>
      <c r="AE41" s="202" t="str">
        <f>IF($C41,$AZ41,"")</f>
        <v>Semanal · S2</v>
      </c>
      <c r="AF41" s="202" t="b">
        <f>IF($C41,$AV41&lt;&gt;$AR41,FALSE)</f>
        <v>1</v>
      </c>
      <c r="AG41" s="202">
        <f>IF($C41,IF($AV41&lt;&gt;$AR41,$AW41,""),"")</f>
        <v>46192</v>
      </c>
      <c r="AH41" s="203">
        <f>IF($C41,'Backlog General'!$L41,"")</f>
        <v>0</v>
      </c>
      <c r="AI41" s="202">
        <f>IF($C41,$AV41*100000+ROW(),"")</f>
        <v>200041</v>
      </c>
      <c r="AJ41" s="202">
        <f>IF(AND($C41,ISNUMBER($H41)),$AA41*1000000-MEDIAN(-9999,$K41,9999)*100+(300-ROW()),"")</f>
        <v>56001059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f>IF($C41,'Backlog General'!$G41,"")</f>
        <v>0</v>
      </c>
      <c r="AU41" s="203">
        <f>IF($C41,'Backlog General'!$H41,"")</f>
        <v>0</v>
      </c>
      <c r="AV41" s="202">
        <f>IF(AND($C41,ISNUMBER($AR41)),IF(OR($AT41="Completo",$AU41="Cancelado",$AU41="Baja prioridad"),$AR41,IF($AU41="Pasa al siguiente",MAX($AR41+1,$AS41),MAX($AR41,$AS41))),"")</f>
        <v>2</v>
      </c>
      <c r="AW41" s="202">
        <f>IF(AND($C41,ISNUMBER($AR41)),$AQ41+$AR41*$AP41*'Sprints'!$D$5-'Sprints'!$D$5,"")</f>
        <v>46192</v>
      </c>
      <c r="AX41" s="202">
        <f>IF($C41,IF(OR($AT41="Completo",$AU41="Cancelado",$AU41="Baja prioridad",NOT(ISNUMBER($AW41))),0,MAX(0,TODAY()-$AW41)),"")</f>
        <v>4</v>
      </c>
      <c r="AY41" s="203" t="str">
        <f>IF($C41,IF(NOT(ISNUMBER($AR41)),"Sin fecha",IF($AT41="Completo","Completo",IF($AU41="Cancelado","Cancelado",IF($AU41="Baja prioridad","Baja prioridad",IF($AX41&gt;0,"Vencida","Pendiente"))))),"")</f>
        <v>Vencida</v>
      </c>
      <c r="AZ41" s="203" t="str">
        <f>IF($C41,IF(ISNUMBER($AV41),$AO41&amp;" · S"&amp;$AV41,"(Sin fecha)"),"")</f>
        <v>Semanal · S2</v>
      </c>
      <c r="BA41" s="202">
        <f>IF($C41,IF(AND(ISNUMBER('Backlog General'!$M41),'Backlog General'!$M41=$AS41),"Nuevo S"&amp;'Backlog General'!$M41,""),"")</f>
      </c>
      <c r="BB41" s="202">
        <f>IF(AND($C41,$AO41="Semanal",ISNUMBER($AV41)),$AV41*100000+ROW(),"")</f>
        <v>200041</v>
      </c>
      <c r="BC41" s="202">
        <f>IF(AND($C41,$AO41="Quincenal",ISNUMBER($AV41)),$AV41*100000+ROW(),"")</f>
      </c>
      <c r="BD41" s="202">
        <f>IF(AND($C41,$AO41="Mensual",ISNUMBER($AV41)),$AV41*100000+ROW(),"")</f>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IF($C42,'Proyecto Datos (OKR´s)'!$J42,"")</f>
        <v>0.4</v>
      </c>
      <c r="J42" s="203" t="str">
        <f>IF($C42,IF($I42&gt;=1,"Completado",IF(NOT(ISNUMBER($H42)),"Sin fecha",IF($H42&lt;TODAY(),"Vencido",IF(($H42-TODAY())&lt;='Entregas Próximas'!$M$3,"Próximo a vencer","En curso")))),"")</f>
        <v>Vencido</v>
      </c>
      <c r="K42" s="202">
        <f>IF(AND($C42,ISNUMBER($H42)),$H42-TODAY(),"")</f>
        <v>-8</v>
      </c>
      <c r="L42" s="202">
        <f>IF(AND($C42,ISNUMBER($H42)),$AD42*1000000+$H42+ROW()/100000,"")</f>
        <v>2046188.00042</v>
      </c>
      <c r="M42" s="202">
        <f>IF($C42,IF($AD42=9999,"(Sin sprint)",$AD42),"")</f>
        <v>2</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8</v>
      </c>
      <c r="U42" s="202">
        <f>IF($C42,MEDIAN(0,(TODAY()-'Proyecto Datos (OKR´s)'!$K42)/MAX(1,$R42-'Proyecto Datos (OKR´s)'!$K42),1),"")</f>
        <v>1</v>
      </c>
      <c r="V42" s="202">
        <f>IF($C42,$I42-$U42,"")</f>
        <v>-0.6</v>
      </c>
      <c r="W42" s="202">
        <f>IF($C42,IF(OR($J42="Completado",NOT(ISNUMBER($H42))),0,MAX(0,TODAY()-$H42)),"")</f>
        <v>8</v>
      </c>
      <c r="X42" s="202">
        <f>IF($C42,IF(ISNUMBER($H42),$R42-$H42,0),"")</f>
        <v>0</v>
      </c>
      <c r="Y42" s="202">
        <f>IF($C42,COUNTIFS($G$7:$G$200,$G42,$J$7:$J$200,"&lt;&gt;Completado",$J$7:$J$200,"&lt;&gt;"),"")</f>
        <v>0</v>
      </c>
      <c r="Z42" s="202" t="b">
        <f>IF($C42,AND($I42=0,'Proyecto Datos (OKR´s)'!$K42&lt;=TODAY(),$J42&lt;&gt;"Completado"),"")</f>
        <v>0</v>
      </c>
      <c r="AA42" s="202">
        <f>IF($C42,ROUND(100*(0.35*$AK42+0.3*$AL42+0.2*$AM42+0.15*MEDIAN(0,($Y42-4)/8,1)),0),"")</f>
        <v>67</v>
      </c>
      <c r="AB42" s="203" t="str">
        <f>IF($C42,IF(OR($J42="Completado",$J42="Sin fecha"),"—",IF($AA42&gt;=70,"Crítica",IF($AA42&gt;=45,"Alta",IF($AA42&gt;=25,"Media","Baja")))),"")</f>
        <v>Alta</v>
      </c>
      <c r="AC42" s="203" t="str">
        <f>IF($C42,IF(LEN(TRIM($AN42))=0,"—",TRIM($AN42)),"")</f>
        <v>ATRASO</v>
      </c>
      <c r="AD42" s="202">
        <f>IF($C42,$AV42,"")</f>
        <v>2</v>
      </c>
      <c r="AE42" s="202" t="str">
        <f>IF($C42,$AZ42,"")</f>
        <v>Semanal · S2</v>
      </c>
      <c r="AF42" s="202" t="b">
        <f>IF($C42,$AV42&lt;&gt;$AR42,FALSE)</f>
        <v>1</v>
      </c>
      <c r="AG42" s="202">
        <f>IF($C42,IF($AV42&lt;&gt;$AR42,$AW42,""),"")</f>
        <v>46192</v>
      </c>
      <c r="AH42" s="203">
        <f>IF($C42,'Backlog General'!$L42,"")</f>
        <v>0</v>
      </c>
      <c r="AI42" s="202">
        <f>IF($C42,$AV42*100000+ROW(),"")</f>
        <v>200042</v>
      </c>
      <c r="AJ42" s="202">
        <f>IF(AND($C42,ISNUMBER($H42)),$AA42*1000000-MEDIAN(-9999,$K42,9999)*100+(300-ROW()),"")</f>
        <v>67001058</v>
      </c>
      <c r="AK42" s="202">
        <f>IF($C42,IF($J42="Completado",0,IF($K42&lt;0,1,IF($K42&lt;=3,0.9,IF($K42&lt;=7,0.7,IF($K42&lt;=14,0.45,0.2))))),"")</f>
        <v>1</v>
      </c>
      <c r="AL42" s="202">
        <f>IF($C42,IF($J42="Completado",0,MEDIAN(0,MAX(-$V42,$W42/30),1)),"")</f>
        <v>0.6</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f>IF($C42,'Backlog General'!$G42,"")</f>
        <v>0</v>
      </c>
      <c r="AU42" s="203">
        <f>IF($C42,'Backlog General'!$H42,"")</f>
        <v>0</v>
      </c>
      <c r="AV42" s="202">
        <f>IF(AND($C42,ISNUMBER($AR42)),IF(OR($AT42="Completo",$AU42="Cancelado",$AU42="Baja prioridad"),$AR42,IF($AU42="Pasa al siguiente",MAX($AR42+1,$AS42),MAX($AR42,$AS42))),"")</f>
        <v>2</v>
      </c>
      <c r="AW42" s="202">
        <f>IF(AND($C42,ISNUMBER($AR42)),$AQ42+$AR42*$AP42*'Sprints'!$D$5-'Sprints'!$D$5,"")</f>
        <v>46192</v>
      </c>
      <c r="AX42" s="202">
        <f>IF($C42,IF(OR($AT42="Completo",$AU42="Cancelado",$AU42="Baja prioridad",NOT(ISNUMBER($AW42))),0,MAX(0,TODAY()-$AW42)),"")</f>
        <v>4</v>
      </c>
      <c r="AY42" s="203" t="str">
        <f>IF($C42,IF(NOT(ISNUMBER($AR42)),"Sin fecha",IF($AT42="Completo","Completo",IF($AU42="Cancelado","Cancelado",IF($AU42="Baja prioridad","Baja prioridad",IF($AX42&gt;0,"Vencida","Pendiente"))))),"")</f>
        <v>Vencida</v>
      </c>
      <c r="AZ42" s="203" t="str">
        <f>IF($C42,IF(ISNUMBER($AV42),$AO42&amp;" · S"&amp;$AV42,"(Sin fecha)"),"")</f>
        <v>Semanal · S2</v>
      </c>
      <c r="BA42" s="202">
        <f>IF($C42,IF(AND(ISNUMBER('Backlog General'!$M42),'Backlog General'!$M42=$AS42),"Nuevo S"&amp;'Backlog General'!$M42,""),"")</f>
      </c>
      <c r="BB42" s="202">
        <f>IF(AND($C42,$AO42="Semanal",ISNUMBER($AV42)),$AV42*100000+ROW(),"")</f>
        <v>200042</v>
      </c>
      <c r="BC42" s="202">
        <f>IF(AND($C42,$AO42="Quincenal",ISNUMBER($AV42)),$AV42*100000+ROW(),"")</f>
      </c>
      <c r="BD42" s="202">
        <f>IF(AND($C42,$AO42="Mensual",ISNUMBER($AV42)),$AV42*100000+ROW(),"")</f>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IF($C43,'Proyecto Datos (OKR´s)'!$J43,"")</f>
        <v>0.1</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8</v>
      </c>
      <c r="U43" s="202">
        <f>IF($C43,MEDIAN(0,(TODAY()-'Proyecto Datos (OKR´s)'!$K43)/MAX(1,$R43-'Proyecto Datos (OKR´s)'!$K43),1),"")</f>
        <v>1</v>
      </c>
      <c r="V43" s="202">
        <f>IF($C43,$I43-$U43,"")</f>
        <v>-0.9</v>
      </c>
      <c r="W43" s="202">
        <f>IF($C43,IF(OR($J43="Completado",NOT(ISNUMBER($H43))),0,MAX(0,TODAY()-$H43)),"")</f>
        <v>0</v>
      </c>
      <c r="X43" s="202">
        <f>IF($C43,IF(ISNUMBER($H43),$R43-$H43,0),"")</f>
        <v>0</v>
      </c>
      <c r="Y43" s="202">
        <f>IF($C43,COUNTIFS($G$7:$G$200,$G43,$J$7:$J$200,"&lt;&gt;Completado",$J$7:$J$200,"&lt;&gt;"),"")</f>
        <v>0</v>
      </c>
      <c r="Z43" s="202" t="b">
        <f>IF($C43,AND($I43=0,'Proyecto Datos (OKR´s)'!$K43&lt;=TODAY(),$J43&lt;&gt;"Completado"),"")</f>
        <v>0</v>
      </c>
      <c r="AA43" s="202">
        <f>IF($C43,ROUND(100*(0.35*$AK43+0.3*$AL43+0.2*$AM43+0.15*MEDIAN(0,($Y43-4)/8,1)),0),"")</f>
        <v>40</v>
      </c>
      <c r="AB43" s="203" t="str">
        <f>IF($C43,IF(OR($J43="Completado",$J43="Sin fecha"),"—",IF($AA43&gt;=70,"Crítica",IF($AA43&gt;=45,"Alta",IF($AA43&gt;=25,"Media","Baja")))),"")</f>
        <v>—</v>
      </c>
      <c r="AC43" s="203" t="str">
        <f>IF($C43,IF(LEN(TRIM($AN43))=0,"—",TRIM($AN43)),"")</f>
        <v>ATRASO</v>
      </c>
      <c r="AD43" s="202">
        <f>IF($C43,$AV43,"")</f>
      </c>
      <c r="AE43" s="202" t="str">
        <f>IF($C43,$AZ43,"")</f>
        <v>(Sin fecha)</v>
      </c>
      <c r="AF43" s="202" t="b">
        <f>IF($C43,$AV43&lt;&gt;$AR43,FALSE)</f>
        <v>0</v>
      </c>
      <c r="AG43" s="202">
        <f>IF($C43,IF($AV43&lt;&gt;$AR43,$AW43,""),"")</f>
      </c>
      <c r="AH43" s="203">
        <f>IF($C43,'Backlog General'!$L43,"")</f>
        <v>0</v>
      </c>
      <c r="AI43" s="202">
        <f>IF($C43,$AV43*100000+ROW(),"")</f>
      </c>
      <c r="AJ43" s="202">
        <f>IF(AND($C43,ISNUMBER($H43)),$AA43*1000000-MEDIAN(-9999,$K43,9999)*100+(300-ROW()),"")</f>
      </c>
      <c r="AK43" s="202">
        <f>IF($C43,IF($J43="Completado",0,IF($K43&lt;0,1,IF($K43&lt;=3,0.9,IF($K43&lt;=7,0.7,IF($K43&lt;=14,0.45,0.2))))),"")</f>
        <v>0.2</v>
      </c>
      <c r="AL43" s="202">
        <f>IF($C43,IF($J43="Completado",0,MEDIAN(0,MAX(-$V43,$W43/30),1)),"")</f>
        <v>0.9</v>
      </c>
      <c r="AM43" s="202">
        <f>IF($C43,IF($J43="Completado",0,IF($Z43,1,IF(AND($I43&lt;0.5,$K43&lt;=7),0.7,0.3))),"")</f>
        <v>0.3</v>
      </c>
      <c r="AN43" s="203" t="str">
        <f>IF($C43,IF(OR($V43&lt;-0.2,$W43&gt;0),"ATRASO ","")&amp;IF($Z43,"BLOQUEO ","")&amp;IF($Y43&gt;8,"SOBRECARGA ","")&amp;IF($X43&gt;0,"DESVÍO-PLAN ",""),"")</f>
        <v>ATRASO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f>IF($C43,'Backlog General'!$G43,"")</f>
        <v>0</v>
      </c>
      <c r="AU43" s="203">
        <f>IF($C43,'Backlog General'!$H43,"")</f>
        <v>0</v>
      </c>
      <c r="AV43" s="202">
        <f>IF(AND($C43,ISNUMBER($AR43)),IF(OR($AT43="Completo",$AU43="Cancelado",$AU43="Baja prioridad"),$AR43,IF($AU43="Pasa al siguiente",MAX($AR43+1,$AS43),MAX($AR43,$AS43))),"")</f>
      </c>
      <c r="AW43" s="202">
        <f>IF(AND($C43,ISNUMBER($AR43)),$AQ43+$AR43*$AP43*'Sprints'!$D$5-'Sprints'!$D$5,"")</f>
      </c>
      <c r="AX43" s="202">
        <f>IF($C43,IF(OR($AT43="Completo",$AU43="Cancelado",$AU43="Baja prioridad",NOT(ISNUMBER($AW43))),0,MAX(0,TODAY()-$AW43)),"")</f>
        <v>0</v>
      </c>
      <c r="AY43" s="203" t="str">
        <f>IF($C43,IF(NOT(ISNUMBER($AR43)),"Sin fecha",IF($AT43="Completo","Completo",IF($AU43="Cancelado","Cancelado",IF($AU43="Baja prioridad","Baja prioridad",IF($AX43&gt;0,"Vencida","Pendiente"))))),"")</f>
        <v>Sin fecha</v>
      </c>
      <c r="AZ43" s="203" t="str">
        <f>IF($C43,IF(ISNUMBER($AV43),$AO43&amp;" · S"&amp;$AV43,"(Sin fecha)"),"")</f>
        <v>(Sin fecha)</v>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IF($C44,'Proyecto Datos (OKR´s)'!$J44,"")</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1</v>
      </c>
      <c r="U44" s="202">
        <f>IF($C44,MEDIAN(0,(TODAY()-'Proyecto Datos (OKR´s)'!$K44)/MAX(1,$R44-'Proyecto Datos (OKR´s)'!$K44),1),"")</f>
        <v>0.14285714285714285</v>
      </c>
      <c r="V44" s="202">
        <f>IF($C44,$I44-$U44,"")</f>
        <v>-0.14285714285714285</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31</v>
      </c>
      <c r="AB44" s="203" t="str">
        <f>IF($C44,IF(OR($J44="Completado",$J44="Sin fecha"),"—",IF($AA44&gt;=70,"Crítica",IF($AA44&gt;=45,"Alta",IF($AA44&gt;=25,"Media","Baja")))),"")</f>
        <v>—</v>
      </c>
      <c r="AC44" s="203" t="str">
        <f>IF($C44,IF(LEN(TRIM($AN44))=0,"—",TRIM($AN44)),"")</f>
        <v>BLOQUEO</v>
      </c>
      <c r="AD44" s="202">
        <f>IF($C44,$AV44,"")</f>
      </c>
      <c r="AE44" s="202" t="str">
        <f>IF($C44,$AZ44,"")</f>
        <v>(Sin fecha)</v>
      </c>
      <c r="AF44" s="202" t="b">
        <f>IF($C44,$AV44&lt;&gt;$AR44,FALSE)</f>
        <v>0</v>
      </c>
      <c r="AG44" s="202">
        <f>IF($C44,IF($AV44&lt;&gt;$AR44,$AW44,""),"")</f>
      </c>
      <c r="AH44" s="203">
        <f>IF($C44,'Backlog General'!$L44,"")</f>
        <v>0</v>
      </c>
      <c r="AI44" s="202">
        <f>IF($C44,$AV44*100000+ROW(),"")</f>
      </c>
      <c r="AJ44" s="202">
        <f>IF(AND($C44,ISNUMBER($H44)),$AA44*1000000-MEDIAN(-9999,$K44,9999)*100+(300-ROW()),"")</f>
      </c>
      <c r="AK44" s="202">
        <f>IF($C44,IF($J44="Completado",0,IF($K44&lt;0,1,IF($K44&lt;=3,0.9,IF($K44&lt;=7,0.7,IF($K44&lt;=14,0.45,0.2))))),"")</f>
        <v>0.2</v>
      </c>
      <c r="AL44" s="202">
        <f>IF($C44,IF($J44="Completado",0,MEDIAN(0,MAX(-$V44,$W44/30),1)),"")</f>
        <v>0.14285714285714285</v>
      </c>
      <c r="AM44" s="202">
        <f>IF($C44,IF($J44="Completado",0,IF($Z44,1,IF(AND($I44&lt;0.5,$K44&lt;=7),0.7,0.3))),"")</f>
        <v>1</v>
      </c>
      <c r="AN44" s="203" t="str">
        <f>IF($C44,IF(OR($V44&lt;-0.2,$W44&gt;0),"ATRASO ","")&amp;IF($Z44,"BLOQUEO ","")&amp;IF($Y44&gt;8,"SOBRECARGA ","")&amp;IF($X44&gt;0,"DESVÍO-PLAN ",""),"")</f>
        <v>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f>IF($C44,'Backlog General'!$G44,"")</f>
        <v>0</v>
      </c>
      <c r="AU44" s="203">
        <f>IF($C44,'Backlog General'!$H44,"")</f>
        <v>0</v>
      </c>
      <c r="AV44" s="202">
        <f>IF(AND($C44,ISNUMBER($AR44)),IF(OR($AT44="Completo",$AU44="Cancelado",$AU44="Baja prioridad"),$AR44,IF($AU44="Pasa al siguiente",MAX($AR44+1,$AS44),MAX($AR44,$AS44))),"")</f>
      </c>
      <c r="AW44" s="202">
        <f>IF(AND($C44,ISNUMBER($AR44)),$AQ44+$AR44*$AP44*'Sprints'!$D$5-'Sprints'!$D$5,"")</f>
      </c>
      <c r="AX44" s="202">
        <f>IF($C44,IF(OR($AT44="Completo",$AU44="Cancelado",$AU44="Baja prioridad",NOT(ISNUMBER($AW44))),0,MAX(0,TODAY()-$AW44)),"")</f>
        <v>0</v>
      </c>
      <c r="AY44" s="203" t="str">
        <f>IF($C44,IF(NOT(ISNUMBER($AR44)),"Sin fecha",IF($AT44="Completo","Completo",IF($AU44="Cancelado","Cancelado",IF($AU44="Baja prioridad","Baja prioridad",IF($AX44&gt;0,"Vencida","Pendiente"))))),"")</f>
        <v>Sin fecha</v>
      </c>
      <c r="AZ44" s="203" t="str">
        <f>IF($C44,IF(ISNUMBER($AV44),$AO44&amp;" · S"&amp;$AV44,"(Sin fecha)"),"")</f>
        <v>(Sin fecha)</v>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IF($C45,'Proyecto Datos (OKR´s)'!$J45,"")</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IF($C45,'Backlog General'!$L45,"")</f>
        <v>0</v>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f>IF($C45,'Backlog General'!$G45,"")</f>
        <v>0</v>
      </c>
      <c r="AU45" s="203">
        <f>IF($C45,'Backlog General'!$H45,"")</f>
        <v>0</v>
      </c>
      <c r="AV45" s="202">
        <f>IF(AND($C45,ISNUMBER($AR45)),IF(OR($AT45="Completo",$AU45="Cancelado",$AU45="Baja prioridad"),$AR45,IF($AU45="Pasa al siguiente",MAX($AR45+1,$AS45),MAX($AR45,$AS45))),"")</f>
      </c>
      <c r="AW45" s="202">
        <f>IF(AND($C45,ISNUMBER($AR45)),$AQ45+$AR45*$AP45*'Sprints'!$D$5-'Sprints'!$D$5,"")</f>
      </c>
      <c r="AX45" s="202">
        <f>IF($C45,IF(OR($AT45="Completo",$AU45="Cancelado",$AU45="Baja prioridad",NOT(ISNUMBER($AW45))),0,MAX(0,TODAY()-$AW45)),"")</f>
        <v>0</v>
      </c>
      <c r="AY45" s="203" t="str">
        <f>IF($C45,IF(NOT(ISNUMBER($AR45)),"Sin fecha",IF($AT45="Completo","Completo",IF($AU45="Cancelado","Cancelado",IF($AU45="Baja prioridad","Baja prioridad",IF($AX45&gt;0,"Vencida","Pendiente"))))),"")</f>
        <v>Sin fecha</v>
      </c>
      <c r="AZ45" s="203" t="str">
        <f>IF($C45,IF(ISNUMBER($AV45),$AO45&amp;" · S"&amp;$AV45,"(Sin fecha)"),"")</f>
        <v>(Sin fecha)</v>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IF($C46,'Proyecto Datos (OKR´s)'!$J46,"")</f>
        <v>0.5</v>
      </c>
      <c r="J46" s="203" t="str">
        <f>IF($C46,IF($I46&gt;=1,"Completado",IF(NOT(ISNUMBER($H46)),"Sin fecha",IF($H46&lt;TODAY(),"Vencido",IF(($H46-TODAY())&lt;='Entregas Próximas'!$M$3,"Próximo a vencer","En curso")))),"")</f>
        <v>Vencido</v>
      </c>
      <c r="K46" s="202">
        <f>IF(AND($C46,ISNUMBER($H46)),$H46-TODAY(),"")</f>
        <v>-8</v>
      </c>
      <c r="L46" s="202">
        <f>IF(AND($C46,ISNUMBER($H46)),$AD46*1000000+$H46+ROW()/100000,"")</f>
        <v>2046188.00046</v>
      </c>
      <c r="M46" s="202">
        <f>IF($C46,IF($AD46=9999,"(Sin sprint)",$AD46),"")</f>
        <v>2</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8</v>
      </c>
      <c r="X46" s="202">
        <f>IF($C46,IF(ISNUMBER($H46),$R46-$H46,0),"")</f>
        <v>0</v>
      </c>
      <c r="Y46" s="202">
        <f>IF($C46,COUNTIFS($G$7:$G$200,$G46,$J$7:$J$200,"&lt;&gt;Completado",$J$7:$J$200,"&lt;&gt;"),"")</f>
        <v>0</v>
      </c>
      <c r="Z46" s="202" t="b">
        <f>IF($C46,AND($I46=0,'Proyecto Datos (OKR´s)'!$K46&lt;=TODAY(),$J46&lt;&gt;"Completado"),"")</f>
        <v>0</v>
      </c>
      <c r="AA46" s="202">
        <f>IF($C46,ROUND(100*(0.35*$AK46+0.3*$AL46+0.2*$AM46+0.15*MEDIAN(0,($Y46-4)/8,1)),0),"")</f>
        <v>49</v>
      </c>
      <c r="AB46" s="203" t="str">
        <f>IF($C46,IF(OR($J46="Completado",$J46="Sin fecha"),"—",IF($AA46&gt;=70,"Crítica",IF($AA46&gt;=45,"Alta",IF($AA46&gt;=25,"Media","Baja")))),"")</f>
        <v>Alta</v>
      </c>
      <c r="AC46" s="203" t="str">
        <f>IF($C46,IF(LEN(TRIM($AN46))=0,"—",TRIM($AN46)),"")</f>
        <v>ATRASO</v>
      </c>
      <c r="AD46" s="202">
        <f>IF($C46,$AV46,"")</f>
        <v>2</v>
      </c>
      <c r="AE46" s="202" t="str">
        <f>IF($C46,$AZ46,"")</f>
        <v>Semanal · S2</v>
      </c>
      <c r="AF46" s="202" t="b">
        <f>IF($C46,$AV46&lt;&gt;$AR46,FALSE)</f>
        <v>1</v>
      </c>
      <c r="AG46" s="202">
        <f>IF($C46,IF($AV46&lt;&gt;$AR46,$AW46,""),"")</f>
        <v>46192</v>
      </c>
      <c r="AH46" s="203">
        <f>IF($C46,'Backlog General'!$L46,"")</f>
        <v>0</v>
      </c>
      <c r="AI46" s="202">
        <f>IF($C46,$AV46*100000+ROW(),"")</f>
        <v>200046</v>
      </c>
      <c r="AJ46" s="202">
        <f>IF(AND($C46,ISNUMBER($H46)),$AA46*1000000-MEDIAN(-9999,$K46,9999)*100+(300-ROW()),"")</f>
        <v>49001054</v>
      </c>
      <c r="AK46" s="202">
        <f>IF($C46,IF($J46="Completado",0,IF($K46&lt;0,1,IF($K46&lt;=3,0.9,IF($K46&lt;=7,0.7,IF($K46&lt;=14,0.45,0.2))))),"")</f>
        <v>1</v>
      </c>
      <c r="AL46" s="202">
        <f>IF($C46,IF($J46="Completado",0,MEDIAN(0,MAX(-$V46,$W46/30),1)),"")</f>
        <v>0.26666666666666666</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f>IF($C46,'Backlog General'!$G46,"")</f>
        <v>0</v>
      </c>
      <c r="AU46" s="203">
        <f>IF($C46,'Backlog General'!$H46,"")</f>
        <v>0</v>
      </c>
      <c r="AV46" s="202">
        <f>IF(AND($C46,ISNUMBER($AR46)),IF(OR($AT46="Completo",$AU46="Cancelado",$AU46="Baja prioridad"),$AR46,IF($AU46="Pasa al siguiente",MAX($AR46+1,$AS46),MAX($AR46,$AS46))),"")</f>
        <v>2</v>
      </c>
      <c r="AW46" s="202">
        <f>IF(AND($C46,ISNUMBER($AR46)),$AQ46+$AR46*$AP46*'Sprints'!$D$5-'Sprints'!$D$5,"")</f>
        <v>46192</v>
      </c>
      <c r="AX46" s="202">
        <f>IF($C46,IF(OR($AT46="Completo",$AU46="Cancelado",$AU46="Baja prioridad",NOT(ISNUMBER($AW46))),0,MAX(0,TODAY()-$AW46)),"")</f>
        <v>4</v>
      </c>
      <c r="AY46" s="203" t="str">
        <f>IF($C46,IF(NOT(ISNUMBER($AR46)),"Sin fecha",IF($AT46="Completo","Completo",IF($AU46="Cancelado","Cancelado",IF($AU46="Baja prioridad","Baja prioridad",IF($AX46&gt;0,"Vencida","Pendiente"))))),"")</f>
        <v>Vencida</v>
      </c>
      <c r="AZ46" s="203" t="str">
        <f>IF($C46,IF(ISNUMBER($AV46),$AO46&amp;" · S"&amp;$AV46,"(Sin fecha)"),"")</f>
        <v>Semanal · S2</v>
      </c>
      <c r="BA46" s="202">
        <f>IF($C46,IF(AND(ISNUMBER('Backlog General'!$M46),'Backlog General'!$M46=$AS46),"Nuevo S"&amp;'Backlog General'!$M46,""),"")</f>
      </c>
      <c r="BB46" s="202">
        <f>IF(AND($C46,$AO46="Semanal",ISNUMBER($AV46)),$AV46*100000+ROW(),"")</f>
        <v>200046</v>
      </c>
      <c r="BC46" s="202">
        <f>IF(AND($C46,$AO46="Quincenal",ISNUMBER($AV46)),$AV46*100000+ROW(),"")</f>
      </c>
      <c r="BD46" s="202">
        <f>IF(AND($C46,$AO46="Mensual",ISNUMBER($AV46)),$AV46*100000+ROW(),"")</f>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IF($C47,'Proyecto Datos (OKR´s)'!$J47,"")</f>
        <v>0.5</v>
      </c>
      <c r="J47" s="203" t="str">
        <f>IF($C47,IF($I47&gt;=1,"Completado",IF(NOT(ISNUMBER($H47)),"Sin fecha",IF($H47&lt;TODAY(),"Vencido",IF(($H47-TODAY())&lt;='Entregas Próximas'!$M$3,"Próximo a vencer","En curso")))),"")</f>
        <v>Vencido</v>
      </c>
      <c r="K47" s="202">
        <f>IF(AND($C47,ISNUMBER($H47)),$H47-TODAY(),"")</f>
        <v>-8</v>
      </c>
      <c r="L47" s="202">
        <f>IF(AND($C47,ISNUMBER($H47)),$AD47*1000000+$H47+ROW()/100000,"")</f>
        <v>2046188.00047</v>
      </c>
      <c r="M47" s="202">
        <f>IF($C47,IF($AD47=9999,"(Sin sprint)",$AD47),"")</f>
        <v>2</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7</v>
      </c>
      <c r="U47" s="202">
        <f>IF($C47,MEDIAN(0,(TODAY()-'Proyecto Datos (OKR´s)'!$K47)/MAX(1,$R47-'Proyecto Datos (OKR´s)'!$K47),1),"")</f>
        <v>1</v>
      </c>
      <c r="V47" s="202">
        <f>IF($C47,$I47-$U47,"")</f>
        <v>-0.5</v>
      </c>
      <c r="W47" s="202">
        <f>IF($C47,IF(OR($J47="Completado",NOT(ISNUMBER($H47))),0,MAX(0,TODAY()-$H47)),"")</f>
        <v>8</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2</v>
      </c>
      <c r="AE47" s="202" t="str">
        <f>IF($C47,$AZ47,"")</f>
        <v>Semanal · S2</v>
      </c>
      <c r="AF47" s="202" t="b">
        <f>IF($C47,$AV47&lt;&gt;$AR47,FALSE)</f>
        <v>1</v>
      </c>
      <c r="AG47" s="202">
        <f>IF($C47,IF($AV47&lt;&gt;$AR47,$AW47,""),"")</f>
        <v>46192</v>
      </c>
      <c r="AH47" s="203">
        <f>IF($C47,'Backlog General'!$L47,"")</f>
        <v>0</v>
      </c>
      <c r="AI47" s="202">
        <f>IF($C47,$AV47*100000+ROW(),"")</f>
        <v>200047</v>
      </c>
      <c r="AJ47" s="202">
        <f>IF(AND($C47,ISNUMBER($H47)),$AA47*1000000-MEDIAN(-9999,$K47,9999)*100+(300-ROW()),"")</f>
        <v>56001053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f>IF($C47,'Backlog General'!$G47,"")</f>
        <v>0</v>
      </c>
      <c r="AU47" s="203">
        <f>IF($C47,'Backlog General'!$H47,"")</f>
        <v>0</v>
      </c>
      <c r="AV47" s="202">
        <f>IF(AND($C47,ISNUMBER($AR47)),IF(OR($AT47="Completo",$AU47="Cancelado",$AU47="Baja prioridad"),$AR47,IF($AU47="Pasa al siguiente",MAX($AR47+1,$AS47),MAX($AR47,$AS47))),"")</f>
        <v>2</v>
      </c>
      <c r="AW47" s="202">
        <f>IF(AND($C47,ISNUMBER($AR47)),$AQ47+$AR47*$AP47*'Sprints'!$D$5-'Sprints'!$D$5,"")</f>
        <v>46192</v>
      </c>
      <c r="AX47" s="202">
        <f>IF($C47,IF(OR($AT47="Completo",$AU47="Cancelado",$AU47="Baja prioridad",NOT(ISNUMBER($AW47))),0,MAX(0,TODAY()-$AW47)),"")</f>
        <v>4</v>
      </c>
      <c r="AY47" s="203" t="str">
        <f>IF($C47,IF(NOT(ISNUMBER($AR47)),"Sin fecha",IF($AT47="Completo","Completo",IF($AU47="Cancelado","Cancelado",IF($AU47="Baja prioridad","Baja prioridad",IF($AX47&gt;0,"Vencida","Pendiente"))))),"")</f>
        <v>Vencida</v>
      </c>
      <c r="AZ47" s="203" t="str">
        <f>IF($C47,IF(ISNUMBER($AV47),$AO47&amp;" · S"&amp;$AV47,"(Sin fecha)"),"")</f>
        <v>Semanal · S2</v>
      </c>
      <c r="BA47" s="202">
        <f>IF($C47,IF(AND(ISNUMBER('Backlog General'!$M47),'Backlog General'!$M47=$AS47),"Nuevo S"&amp;'Backlog General'!$M47,""),"")</f>
      </c>
      <c r="BB47" s="202">
        <f>IF(AND($C47,$AO47="Semanal",ISNUMBER($AV47)),$AV47*100000+ROW(),"")</f>
        <v>200047</v>
      </c>
      <c r="BC47" s="202">
        <f>IF(AND($C47,$AO47="Quincenal",ISNUMBER($AV47)),$AV47*100000+ROW(),"")</f>
      </c>
      <c r="BD47" s="202">
        <f>IF(AND($C47,$AO47="Mensual",ISNUMBER($AV47)),$AV47*100000+ROW(),"")</f>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IF($C48,'Proyecto Datos (OKR´s)'!$J48,"")</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IF($C48,'Backlog General'!$L48,"")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IF(AND($C48,ISNUMBER($AR48)),IF(OR($AT48="Completo",$AU48="Cancelado",$AU48="Baja prioridad"),$AR48,IF($AU48="Pasa al siguiente",MAX($AR48+1,$AS48),MAX($AR48,$AS48))),"")</f>
      </c>
      <c r="AW48" s="202">
        <f>IF(AND($C48,ISNUMBER($AR48)),$AQ48+$AR48*$AP48*'Sprints'!$D$5-'Sprints'!$D$5,"")</f>
      </c>
      <c r="AX48" s="202">
        <f>IF($C48,IF(OR($AT48="Completo",$AU48="Cancelado",$AU48="Baja prioridad",NOT(ISNUMBER($AW48))),0,MAX(0,TODAY()-$AW48)),"")</f>
      </c>
      <c r="AY48" s="203">
        <f>IF($C48,IF(NOT(ISNUMBER($AR48)),"Sin fecha",IF($AT48="Completo","Completo",IF($AU48="Cancelado","Cancelado",IF($AU48="Baja prioridad","Baja prioridad",IF($AX48&gt;0,"Vencida","Pendiente"))))),"")</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IF($C49,'Proyecto Datos (OKR´s)'!$J49,"")</f>
        <v>0</v>
      </c>
      <c r="J49" s="203" t="str">
        <f>IF($C49,IF($I49&gt;=1,"Completado",IF(NOT(ISNUMBER($H49)),"Sin fecha",IF($H49&lt;TODAY(),"Vencido",IF(($H49-TODAY())&lt;='Entregas Próximas'!$M$3,"Próximo a vencer","En curso")))),"")</f>
        <v>Vencido</v>
      </c>
      <c r="K49" s="202">
        <f>IF(AND($C49,ISNUMBER($H49)),$H49-TODAY(),"")</f>
        <v>-4</v>
      </c>
      <c r="L49" s="202">
        <f>IF(AND($C49,ISNUMBER($H49)),$AD49*1000000+$H49+ROW()/100000,"")</f>
        <v>2046192.00049</v>
      </c>
      <c r="M49" s="202">
        <f>IF($C49,IF($AD49=9999,"(Sin sprint)",$AD49),"")</f>
        <v>2</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7</v>
      </c>
      <c r="U49" s="202">
        <f>IF($C49,MEDIAN(0,(TODAY()-'Proyecto Datos (OKR´s)'!$K49)/MAX(1,$R49-'Proyecto Datos (OKR´s)'!$K49),1),"")</f>
        <v>1</v>
      </c>
      <c r="V49" s="202">
        <f>IF($C49,$I49-$U49,"")</f>
        <v>-1</v>
      </c>
      <c r="W49" s="202">
        <f>IF($C49,IF(OR($J49="Completado",NOT(ISNUMBER($H49))),0,MAX(0,TODAY()-$H49)),"")</f>
        <v>4</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2</v>
      </c>
      <c r="AE49" s="202" t="str">
        <f>IF($C49,$AZ49,"")</f>
        <v>Semanal · S2</v>
      </c>
      <c r="AF49" s="202" t="b">
        <f>IF($C49,$AV49&lt;&gt;$AR49,FALSE)</f>
        <v>1</v>
      </c>
      <c r="AG49" s="202">
        <f>IF($C49,IF($AV49&lt;&gt;$AR49,$AW49,""),"")</f>
        <v>46192</v>
      </c>
      <c r="AH49" s="203">
        <f>IF($C49,'Backlog General'!$L49,"")</f>
        <v>0</v>
      </c>
      <c r="AI49" s="202">
        <f>IF($C49,$AV49*100000+ROW(),"")</f>
        <v>200049</v>
      </c>
      <c r="AJ49" s="202">
        <f>IF(AND($C49,ISNUMBER($H49)),$AA49*1000000-MEDIAN(-9999,$K49,9999)*100+(300-ROW()),"")</f>
        <v>85000651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f>IF($C49,'Backlog General'!$G49,"")</f>
        <v>0</v>
      </c>
      <c r="AU49" s="203">
        <f>IF($C49,'Backlog General'!$H49,"")</f>
        <v>0</v>
      </c>
      <c r="AV49" s="202">
        <f>IF(AND($C49,ISNUMBER($AR49)),IF(OR($AT49="Completo",$AU49="Cancelado",$AU49="Baja prioridad"),$AR49,IF($AU49="Pasa al siguiente",MAX($AR49+1,$AS49),MAX($AR49,$AS49))),"")</f>
        <v>2</v>
      </c>
      <c r="AW49" s="202">
        <f>IF(AND($C49,ISNUMBER($AR49)),$AQ49+$AR49*$AP49*'Sprints'!$D$5-'Sprints'!$D$5,"")</f>
        <v>46192</v>
      </c>
      <c r="AX49" s="202">
        <f>IF($C49,IF(OR($AT49="Completo",$AU49="Cancelado",$AU49="Baja prioridad",NOT(ISNUMBER($AW49))),0,MAX(0,TODAY()-$AW49)),"")</f>
        <v>4</v>
      </c>
      <c r="AY49" s="203" t="str">
        <f>IF($C49,IF(NOT(ISNUMBER($AR49)),"Sin fecha",IF($AT49="Completo","Completo",IF($AU49="Cancelado","Cancelado",IF($AU49="Baja prioridad","Baja prioridad",IF($AX49&gt;0,"Vencida","Pendiente"))))),"")</f>
        <v>Vencida</v>
      </c>
      <c r="AZ49" s="203" t="str">
        <f>IF($C49,IF(ISNUMBER($AV49),$AO49&amp;" · S"&amp;$AV49,"(Sin fecha)"),"")</f>
        <v>Semanal · S2</v>
      </c>
      <c r="BA49" s="202">
        <f>IF($C49,IF(AND(ISNUMBER('Backlog General'!$M49),'Backlog General'!$M49=$AS49),"Nuevo S"&amp;'Backlog General'!$M49,""),"")</f>
      </c>
      <c r="BB49" s="202">
        <f>IF(AND($C49,$AO49="Semanal",ISNUMBER($AV49)),$AV49*100000+ROW(),"")</f>
        <v>200049</v>
      </c>
      <c r="BC49" s="202">
        <f>IF(AND($C49,$AO49="Quincenal",ISNUMBER($AV49)),$AV49*100000+ROW(),"")</f>
      </c>
      <c r="BD49" s="202">
        <f>IF(AND($C49,$AO49="Mensual",ISNUMBER($AV49)),$AV49*100000+ROW(),"")</f>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IF($C50,'Proyecto Datos (OKR´s)'!$J50,"")</f>
        <v>0</v>
      </c>
      <c r="J50" s="203" t="str">
        <f>IF($C50,IF($I50&gt;=1,"Completado",IF(NOT(ISNUMBER($H50)),"Sin fecha",IF($H50&lt;TODAY(),"Vencido",IF(($H50-TODAY())&lt;='Entregas Próximas'!$M$3,"Próximo a vencer","En curso")))),"")</f>
        <v>Vencido</v>
      </c>
      <c r="K50" s="202">
        <f>IF(AND($C50,ISNUMBER($H50)),$H50-TODAY(),"")</f>
        <v>-4</v>
      </c>
      <c r="L50" s="202">
        <f>IF(AND($C50,ISNUMBER($H50)),$AD50*1000000+$H50+ROW()/100000,"")</f>
        <v>2046192.0005</v>
      </c>
      <c r="M50" s="202">
        <f>IF($C50,IF($AD50=9999,"(Sin sprint)",$AD50),"")</f>
        <v>2</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7</v>
      </c>
      <c r="U50" s="202">
        <f>IF($C50,MEDIAN(0,(TODAY()-'Proyecto Datos (OKR´s)'!$K50)/MAX(1,$R50-'Proyecto Datos (OKR´s)'!$K50),1),"")</f>
        <v>1</v>
      </c>
      <c r="V50" s="202">
        <f>IF($C50,$I50-$U50,"")</f>
        <v>-1</v>
      </c>
      <c r="W50" s="202">
        <f>IF($C50,IF(OR($J50="Completado",NOT(ISNUMBER($H50))),0,MAX(0,TODAY()-$H50)),"")</f>
        <v>4</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2</v>
      </c>
      <c r="AE50" s="202" t="str">
        <f>IF($C50,$AZ50,"")</f>
        <v>Semanal · S2</v>
      </c>
      <c r="AF50" s="202" t="b">
        <f>IF($C50,$AV50&lt;&gt;$AR50,FALSE)</f>
        <v>1</v>
      </c>
      <c r="AG50" s="202">
        <f>IF($C50,IF($AV50&lt;&gt;$AR50,$AW50,""),"")</f>
        <v>46192</v>
      </c>
      <c r="AH50" s="203">
        <f>IF($C50,'Backlog General'!$L50,"")</f>
        <v>0</v>
      </c>
      <c r="AI50" s="202">
        <f>IF($C50,$AV50*100000+ROW(),"")</f>
        <v>200050</v>
      </c>
      <c r="AJ50" s="202">
        <f>IF(AND($C50,ISNUMBER($H50)),$AA50*1000000-MEDIAN(-9999,$K50,9999)*100+(300-ROW()),"")</f>
        <v>85000650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f>IF($C50,'Backlog General'!$G50,"")</f>
        <v>0</v>
      </c>
      <c r="AU50" s="203">
        <f>IF($C50,'Backlog General'!$H50,"")</f>
        <v>0</v>
      </c>
      <c r="AV50" s="202">
        <f>IF(AND($C50,ISNUMBER($AR50)),IF(OR($AT50="Completo",$AU50="Cancelado",$AU50="Baja prioridad"),$AR50,IF($AU50="Pasa al siguiente",MAX($AR50+1,$AS50),MAX($AR50,$AS50))),"")</f>
        <v>2</v>
      </c>
      <c r="AW50" s="202">
        <f>IF(AND($C50,ISNUMBER($AR50)),$AQ50+$AR50*$AP50*'Sprints'!$D$5-'Sprints'!$D$5,"")</f>
        <v>46192</v>
      </c>
      <c r="AX50" s="202">
        <f>IF($C50,IF(OR($AT50="Completo",$AU50="Cancelado",$AU50="Baja prioridad",NOT(ISNUMBER($AW50))),0,MAX(0,TODAY()-$AW50)),"")</f>
        <v>4</v>
      </c>
      <c r="AY50" s="203" t="str">
        <f>IF($C50,IF(NOT(ISNUMBER($AR50)),"Sin fecha",IF($AT50="Completo","Completo",IF($AU50="Cancelado","Cancelado",IF($AU50="Baja prioridad","Baja prioridad",IF($AX50&gt;0,"Vencida","Pendiente"))))),"")</f>
        <v>Vencida</v>
      </c>
      <c r="AZ50" s="203" t="str">
        <f>IF($C50,IF(ISNUMBER($AV50),$AO50&amp;" · S"&amp;$AV50,"(Sin fecha)"),"")</f>
        <v>Semanal · S2</v>
      </c>
      <c r="BA50" s="202">
        <f>IF($C50,IF(AND(ISNUMBER('Backlog General'!$M50),'Backlog General'!$M50=$AS50),"Nuevo S"&amp;'Backlog General'!$M50,""),"")</f>
      </c>
      <c r="BB50" s="202">
        <f>IF(AND($C50,$AO50="Semanal",ISNUMBER($AV50)),$AV50*100000+ROW(),"")</f>
        <v>200050</v>
      </c>
      <c r="BC50" s="202">
        <f>IF(AND($C50,$AO50="Quincenal",ISNUMBER($AV50)),$AV50*100000+ROW(),"")</f>
      </c>
      <c r="BD50" s="202">
        <f>IF(AND($C50,$AO50="Mensual",ISNUMBER($AV50)),$AV50*100000+ROW(),"")</f>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IF($C51,'Proyecto Datos (OKR´s)'!$J51,"")</f>
        <v>0</v>
      </c>
      <c r="J51" s="203" t="str">
        <f>IF($C51,IF($I51&gt;=1,"Completado",IF(NOT(ISNUMBER($H51)),"Sin fecha",IF($H51&lt;TODAY(),"Vencido",IF(($H51-TODAY())&lt;='Entregas Próximas'!$M$3,"Próximo a vencer","En curso")))),"")</f>
        <v>Vencido</v>
      </c>
      <c r="K51" s="202">
        <f>IF(AND($C51,ISNUMBER($H51)),$H51-TODAY(),"")</f>
        <v>-4</v>
      </c>
      <c r="L51" s="202">
        <f>IF(AND($C51,ISNUMBER($H51)),$AD51*1000000+$H51+ROW()/100000,"")</f>
        <v>2046192.00051</v>
      </c>
      <c r="M51" s="202">
        <f>IF($C51,IF($AD51=9999,"(Sin sprint)",$AD51),"")</f>
        <v>2</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7</v>
      </c>
      <c r="U51" s="202">
        <f>IF($C51,MEDIAN(0,(TODAY()-'Proyecto Datos (OKR´s)'!$K51)/MAX(1,$R51-'Proyecto Datos (OKR´s)'!$K51),1),"")</f>
        <v>1</v>
      </c>
      <c r="V51" s="202">
        <f>IF($C51,$I51-$U51,"")</f>
        <v>-1</v>
      </c>
      <c r="W51" s="202">
        <f>IF($C51,IF(OR($J51="Completado",NOT(ISNUMBER($H51))),0,MAX(0,TODAY()-$H51)),"")</f>
        <v>4</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2</v>
      </c>
      <c r="AE51" s="202" t="str">
        <f>IF($C51,$AZ51,"")</f>
        <v>Semanal · S2</v>
      </c>
      <c r="AF51" s="202" t="b">
        <f>IF($C51,$AV51&lt;&gt;$AR51,FALSE)</f>
        <v>1</v>
      </c>
      <c r="AG51" s="202">
        <f>IF($C51,IF($AV51&lt;&gt;$AR51,$AW51,""),"")</f>
        <v>46192</v>
      </c>
      <c r="AH51" s="203">
        <f>IF($C51,'Backlog General'!$L51,"")</f>
        <v>0</v>
      </c>
      <c r="AI51" s="202">
        <f>IF($C51,$AV51*100000+ROW(),"")</f>
        <v>200051</v>
      </c>
      <c r="AJ51" s="202">
        <f>IF(AND($C51,ISNUMBER($H51)),$AA51*1000000-MEDIAN(-9999,$K51,9999)*100+(300-ROW()),"")</f>
        <v>85000649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f>IF($C51,'Backlog General'!$G51,"")</f>
        <v>0</v>
      </c>
      <c r="AU51" s="203">
        <f>IF($C51,'Backlog General'!$H51,"")</f>
        <v>0</v>
      </c>
      <c r="AV51" s="202">
        <f>IF(AND($C51,ISNUMBER($AR51)),IF(OR($AT51="Completo",$AU51="Cancelado",$AU51="Baja prioridad"),$AR51,IF($AU51="Pasa al siguiente",MAX($AR51+1,$AS51),MAX($AR51,$AS51))),"")</f>
        <v>2</v>
      </c>
      <c r="AW51" s="202">
        <f>IF(AND($C51,ISNUMBER($AR51)),$AQ51+$AR51*$AP51*'Sprints'!$D$5-'Sprints'!$D$5,"")</f>
        <v>46192</v>
      </c>
      <c r="AX51" s="202">
        <f>IF($C51,IF(OR($AT51="Completo",$AU51="Cancelado",$AU51="Baja prioridad",NOT(ISNUMBER($AW51))),0,MAX(0,TODAY()-$AW51)),"")</f>
        <v>4</v>
      </c>
      <c r="AY51" s="203" t="str">
        <f>IF($C51,IF(NOT(ISNUMBER($AR51)),"Sin fecha",IF($AT51="Completo","Completo",IF($AU51="Cancelado","Cancelado",IF($AU51="Baja prioridad","Baja prioridad",IF($AX51&gt;0,"Vencida","Pendiente"))))),"")</f>
        <v>Vencida</v>
      </c>
      <c r="AZ51" s="203" t="str">
        <f>IF($C51,IF(ISNUMBER($AV51),$AO51&amp;" · S"&amp;$AV51,"(Sin fecha)"),"")</f>
        <v>Semanal · S2</v>
      </c>
      <c r="BA51" s="202">
        <f>IF($C51,IF(AND(ISNUMBER('Backlog General'!$M51),'Backlog General'!$M51=$AS51),"Nuevo S"&amp;'Backlog General'!$M51,""),"")</f>
      </c>
      <c r="BB51" s="202">
        <f>IF(AND($C51,$AO51="Semanal",ISNUMBER($AV51)),$AV51*100000+ROW(),"")</f>
        <v>200051</v>
      </c>
      <c r="BC51" s="202">
        <f>IF(AND($C51,$AO51="Quincenal",ISNUMBER($AV51)),$AV51*100000+ROW(),"")</f>
      </c>
      <c r="BD51" s="202">
        <f>IF(AND($C51,$AO51="Mensual",ISNUMBER($AV51)),$AV51*100000+ROW(),"")</f>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IF($C52,'Proyecto Datos (OKR´s)'!$J52,"")</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IF($C52,'Backlog General'!$L52,"")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IF(AND($C52,ISNUMBER($AR52)),IF(OR($AT52="Completo",$AU52="Cancelado",$AU52="Baja prioridad"),$AR52,IF($AU52="Pasa al siguiente",MAX($AR52+1,$AS52),MAX($AR52,$AS52))),"")</f>
      </c>
      <c r="AW52" s="202">
        <f>IF(AND($C52,ISNUMBER($AR52)),$AQ52+$AR52*$AP52*'Sprints'!$D$5-'Sprints'!$D$5,"")</f>
      </c>
      <c r="AX52" s="202">
        <f>IF($C52,IF(OR($AT52="Completo",$AU52="Cancelado",$AU52="Baja prioridad",NOT(ISNUMBER($AW52))),0,MAX(0,TODAY()-$AW52)),"")</f>
      </c>
      <c r="AY52" s="203">
        <f>IF($C52,IF(NOT(ISNUMBER($AR52)),"Sin fecha",IF($AT52="Completo","Completo",IF($AU52="Cancelado","Cancelado",IF($AU52="Baja prioridad","Baja prioridad",IF($AX52&gt;0,"Vencida","Pendiente"))))),"")</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IF($C53,'Proyecto Datos (OKR´s)'!$J53,"")</f>
        <v>0.35</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238</v>
      </c>
      <c r="U53" s="202">
        <f>IF($C53,MEDIAN(0,(TODAY()-'Proyecto Datos (OKR´s)'!$K53)/MAX(1,$R53-'Proyecto Datos (OKR´s)'!$K53),1),"")</f>
        <v>0.9333333333333333</v>
      </c>
      <c r="V53" s="202">
        <f>IF($C53,$I53-$U53,"")</f>
        <v>-0.5833333333333334</v>
      </c>
      <c r="W53" s="202">
        <f>IF($C53,IF(OR($J53="Completado",NOT(ISNUMBER($H53))),0,MAX(0,TODAY()-$H53)),"")</f>
        <v>0</v>
      </c>
      <c r="X53" s="202">
        <f>IF($C53,IF(ISNUMBER($H53),$R53-$H53,0),"")</f>
        <v>0</v>
      </c>
      <c r="Y53" s="202">
        <f>IF($C53,COUNTIFS($G$7:$G$200,$G53,$J$7:$J$200,"&lt;&gt;Completado",$J$7:$J$200,"&lt;&gt;"),"")</f>
        <v>0</v>
      </c>
      <c r="Z53" s="202" t="b">
        <f>IF($C53,AND($I53=0,'Proyecto Datos (OKR´s)'!$K53&lt;=TODAY(),$J53&lt;&gt;"Completado"),"")</f>
        <v>0</v>
      </c>
      <c r="AA53" s="202">
        <f>IF($C53,ROUND(100*(0.35*$AK53+0.3*$AL53+0.2*$AM53+0.15*MEDIAN(0,($Y53-4)/8,1)),0),"")</f>
        <v>31</v>
      </c>
      <c r="AB53" s="203" t="str">
        <f>IF($C53,IF(OR($J53="Completado",$J53="Sin fecha"),"—",IF($AA53&gt;=70,"Crítica",IF($AA53&gt;=45,"Alta",IF($AA53&gt;=25,"Media","Baja")))),"")</f>
        <v>—</v>
      </c>
      <c r="AC53" s="203" t="str">
        <f>IF($C53,IF(LEN(TRIM($AN53))=0,"—",TRIM($AN53)),"")</f>
        <v>ATRASO</v>
      </c>
      <c r="AD53" s="202">
        <f>IF($C53,$AV53,"")</f>
      </c>
      <c r="AE53" s="202" t="str">
        <f>IF($C53,$AZ53,"")</f>
        <v>(Sin fecha)</v>
      </c>
      <c r="AF53" s="202" t="b">
        <f>IF($C53,$AV53&lt;&gt;$AR53,FALSE)</f>
        <v>0</v>
      </c>
      <c r="AG53" s="202">
        <f>IF($C53,IF($AV53&lt;&gt;$AR53,$AW53,""),"")</f>
      </c>
      <c r="AH53" s="203">
        <f>IF($C53,'Backlog General'!$L53,"")</f>
        <v>0</v>
      </c>
      <c r="AI53" s="202">
        <f>IF($C53,$AV53*100000+ROW(),"")</f>
      </c>
      <c r="AJ53" s="202">
        <f>IF(AND($C53,ISNUMBER($H53)),$AA53*1000000-MEDIAN(-9999,$K53,9999)*100+(300-ROW()),"")</f>
      </c>
      <c r="AK53" s="202">
        <f>IF($C53,IF($J53="Completado",0,IF($K53&lt;0,1,IF($K53&lt;=3,0.9,IF($K53&lt;=7,0.7,IF($K53&lt;=14,0.45,0.2))))),"")</f>
        <v>0.2</v>
      </c>
      <c r="AL53" s="202">
        <f>IF($C53,IF($J53="Completado",0,MEDIAN(0,MAX(-$V53,$W53/30),1)),"")</f>
        <v>0.5833333333333334</v>
      </c>
      <c r="AM53" s="202">
        <f>IF($C53,IF($J53="Completado",0,IF($Z53,1,IF(AND($I53&lt;0.5,$K53&lt;=7),0.7,0.3))),"")</f>
        <v>0.3</v>
      </c>
      <c r="AN53" s="203" t="str">
        <f>IF($C53,IF(OR($V53&lt;-0.2,$W53&gt;0),"ATRASO ","")&amp;IF($Z53,"BLOQUEO ","")&amp;IF($Y53&gt;8,"SOBRECARGA ","")&amp;IF($X53&gt;0,"DESVÍO-PLAN ",""),"")</f>
        <v>ATRASO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IF(AND($C53,ISNUMBER($AR53)),IF(OR($AT53="Completo",$AU53="Cancelado",$AU53="Baja prioridad"),$AR53,IF($AU53="Pasa al siguiente",MAX($AR53+1,$AS53),MAX($AR53,$AS53))),"")</f>
      </c>
      <c r="AW53" s="202">
        <f>IF(AND($C53,ISNUMBER($AR53)),$AQ53+$AR53*$AP53*'Sprints'!$D$5-'Sprints'!$D$5,"")</f>
      </c>
      <c r="AX53" s="202">
        <f>IF($C53,IF(OR($AT53="Completo",$AU53="Cancelado",$AU53="Baja prioridad",NOT(ISNUMBER($AW53))),0,MAX(0,TODAY()-$AW53)),"")</f>
        <v>0</v>
      </c>
      <c r="AY53" s="203" t="str">
        <f>IF($C53,IF(NOT(ISNUMBER($AR53)),"Sin fecha",IF($AT53="Completo","Completo",IF($AU53="Cancelado","Cancelado",IF($AU53="Baja prioridad","Baja prioridad",IF($AX53&gt;0,"Vencida","Pendiente"))))),"")</f>
        <v>Sin fecha</v>
      </c>
      <c r="AZ53" s="203" t="str">
        <f>IF($C53,IF(ISNUMBER($AV53),$AO53&amp;" · S"&amp;$AV53,"(Sin fecha)"),"")</f>
        <v>(Sin fecha)</v>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IF($C54,'Proyecto Datos (OKR´s)'!$J54,"")</f>
        <v>0.05</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0.05</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IF($C54,'Backlog General'!$L54,"")</f>
        <v>0</v>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IF(AND($C54,ISNUMBER($AR54)),IF(OR($AT54="Completo",$AU54="Cancelado",$AU54="Baja prioridad"),$AR54,IF($AU54="Pasa al siguiente",MAX($AR54+1,$AS54),MAX($AR54,$AS54))),"")</f>
      </c>
      <c r="AW54" s="202">
        <f>IF(AND($C54,ISNUMBER($AR54)),$AQ54+$AR54*$AP54*'Sprints'!$D$5-'Sprints'!$D$5,"")</f>
      </c>
      <c r="AX54" s="202">
        <f>IF($C54,IF(OR($AT54="Completo",$AU54="Cancelado",$AU54="Baja prioridad",NOT(ISNUMBER($AW54))),0,MAX(0,TODAY()-$AW54)),"")</f>
        <v>0</v>
      </c>
      <c r="AY54" s="203" t="str">
        <f>IF($C54,IF(NOT(ISNUMBER($AR54)),"Sin fecha",IF($AT54="Completo","Completo",IF($AU54="Cancelado","Cancelado",IF($AU54="Baja prioridad","Baja prioridad",IF($AX54&gt;0,"Vencida","Pendiente"))))),"")</f>
        <v>Sin fecha</v>
      </c>
      <c r="AZ54" s="203" t="str">
        <f>IF($C54,IF(ISNUMBER($AV54),$AO54&amp;" · S"&amp;$AV54,"(Sin fecha)"),"")</f>
        <v>(Sin fecha)</v>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IF($C55,'Proyecto Datos (OKR´s)'!$J55,"")</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IF($C55,'Backlog General'!$L55,"")</f>
        <v>0</v>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IF(AND($C55,ISNUMBER($AR55)),IF(OR($AT55="Completo",$AU55="Cancelado",$AU55="Baja prioridad"),$AR55,IF($AU55="Pasa al siguiente",MAX($AR55+1,$AS55),MAX($AR55,$AS55))),"")</f>
      </c>
      <c r="AW55" s="202">
        <f>IF(AND($C55,ISNUMBER($AR55)),$AQ55+$AR55*$AP55*'Sprints'!$D$5-'Sprints'!$D$5,"")</f>
      </c>
      <c r="AX55" s="202">
        <f>IF($C55,IF(OR($AT55="Completo",$AU55="Cancelado",$AU55="Baja prioridad",NOT(ISNUMBER($AW55))),0,MAX(0,TODAY()-$AW55)),"")</f>
        <v>0</v>
      </c>
      <c r="AY55" s="203" t="str">
        <f>IF($C55,IF(NOT(ISNUMBER($AR55)),"Sin fecha",IF($AT55="Completo","Completo",IF($AU55="Cancelado","Cancelado",IF($AU55="Baja prioridad","Baja prioridad",IF($AX55&gt;0,"Vencida","Pendiente"))))),"")</f>
        <v>Sin fecha</v>
      </c>
      <c r="AZ55" s="203" t="str">
        <f>IF($C55,IF(ISNUMBER($AV55),$AO55&amp;" · S"&amp;$AV55,"(Sin fecha)"),"")</f>
        <v>(Sin fecha)</v>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IF($C56,'Proyecto Datos (OKR´s)'!$J56,"")</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IF($C56,'Backlog General'!$L56,"")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IF(AND($C56,ISNUMBER($AR56)),IF(OR($AT56="Completo",$AU56="Cancelado",$AU56="Baja prioridad"),$AR56,IF($AU56="Pasa al siguiente",MAX($AR56+1,$AS56),MAX($AR56,$AS56))),"")</f>
      </c>
      <c r="AW56" s="202">
        <f>IF(AND($C56,ISNUMBER($AR56)),$AQ56+$AR56*$AP56*'Sprints'!$D$5-'Sprints'!$D$5,"")</f>
      </c>
      <c r="AX56" s="202">
        <f>IF($C56,IF(OR($AT56="Completo",$AU56="Cancelado",$AU56="Baja prioridad",NOT(ISNUMBER($AW56))),0,MAX(0,TODAY()-$AW56)),"")</f>
      </c>
      <c r="AY56" s="203">
        <f>IF($C56,IF(NOT(ISNUMBER($AR56)),"Sin fecha",IF($AT56="Completo","Completo",IF($AU56="Cancelado","Cancelado",IF($AU56="Baja prioridad","Baja prioridad",IF($AX56&gt;0,"Vencida","Pendiente"))))),"")</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IF($C57,'Proyecto Datos (OKR´s)'!$J57,"")</f>
        <v>0.1</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238</v>
      </c>
      <c r="U57" s="202">
        <f>IF($C57,MEDIAN(0,(TODAY()-'Proyecto Datos (OKR´s)'!$K57)/MAX(1,$R57-'Proyecto Datos (OKR´s)'!$K57),1),"")</f>
        <v>0.9333333333333333</v>
      </c>
      <c r="V57" s="202">
        <f>IF($C57,$I57-$U57,"")</f>
        <v>-0.8333333333333334</v>
      </c>
      <c r="W57" s="202">
        <f>IF($C57,IF(OR($J57="Completado",NOT(ISNUMBER($H57))),0,MAX(0,TODAY()-$H57)),"")</f>
        <v>0</v>
      </c>
      <c r="X57" s="202">
        <f>IF($C57,IF(ISNUMBER($H57),$R57-$H57,0),"")</f>
        <v>0</v>
      </c>
      <c r="Y57" s="202">
        <f>IF($C57,COUNTIFS($G$7:$G$200,$G57,$J$7:$J$200,"&lt;&gt;Completado",$J$7:$J$200,"&lt;&gt;"),"")</f>
        <v>0</v>
      </c>
      <c r="Z57" s="202" t="b">
        <f>IF($C57,AND($I57=0,'Proyecto Datos (OKR´s)'!$K57&lt;=TODAY(),$J57&lt;&gt;"Completado"),"")</f>
        <v>0</v>
      </c>
      <c r="AA57" s="202">
        <f>IF($C57,ROUND(100*(0.35*$AK57+0.3*$AL57+0.2*$AM57+0.15*MEDIAN(0,($Y57-4)/8,1)),0),"")</f>
        <v>38</v>
      </c>
      <c r="AB57" s="203" t="str">
        <f>IF($C57,IF(OR($J57="Completado",$J57="Sin fecha"),"—",IF($AA57&gt;=70,"Crítica",IF($AA57&gt;=45,"Alta",IF($AA57&gt;=25,"Media","Baja")))),"")</f>
        <v>—</v>
      </c>
      <c r="AC57" s="203" t="str">
        <f>IF($C57,IF(LEN(TRIM($AN57))=0,"—",TRIM($AN57)),"")</f>
        <v>ATRASO</v>
      </c>
      <c r="AD57" s="202">
        <f>IF($C57,$AV57,"")</f>
      </c>
      <c r="AE57" s="202" t="str">
        <f>IF($C57,$AZ57,"")</f>
        <v>(Sin fecha)</v>
      </c>
      <c r="AF57" s="202" t="b">
        <f>IF($C57,$AV57&lt;&gt;$AR57,FALSE)</f>
        <v>0</v>
      </c>
      <c r="AG57" s="202">
        <f>IF($C57,IF($AV57&lt;&gt;$AR57,$AW57,""),"")</f>
      </c>
      <c r="AH57" s="203">
        <f>IF($C57,'Backlog General'!$L57,"")</f>
        <v>0</v>
      </c>
      <c r="AI57" s="202">
        <f>IF($C57,$AV57*100000+ROW(),"")</f>
      </c>
      <c r="AJ57" s="202">
        <f>IF(AND($C57,ISNUMBER($H57)),$AA57*1000000-MEDIAN(-9999,$K57,9999)*100+(300-ROW()),"")</f>
      </c>
      <c r="AK57" s="202">
        <f>IF($C57,IF($J57="Completado",0,IF($K57&lt;0,1,IF($K57&lt;=3,0.9,IF($K57&lt;=7,0.7,IF($K57&lt;=14,0.45,0.2))))),"")</f>
        <v>0.2</v>
      </c>
      <c r="AL57" s="202">
        <f>IF($C57,IF($J57="Completado",0,MEDIAN(0,MAX(-$V57,$W57/30),1)),"")</f>
        <v>0.8333333333333334</v>
      </c>
      <c r="AM57" s="202">
        <f>IF($C57,IF($J57="Completado",0,IF($Z57,1,IF(AND($I57&lt;0.5,$K57&lt;=7),0.7,0.3))),"")</f>
        <v>0.3</v>
      </c>
      <c r="AN57" s="203" t="str">
        <f>IF($C57,IF(OR($V57&lt;-0.2,$W57&gt;0),"ATRASO ","")&amp;IF($Z57,"BLOQUEO ","")&amp;IF($Y57&gt;8,"SOBRECARGA ","")&amp;IF($X57&gt;0,"DESVÍO-PLAN ",""),"")</f>
        <v>ATRASO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IF(AND($C57,ISNUMBER($AR57)),IF(OR($AT57="Completo",$AU57="Cancelado",$AU57="Baja prioridad"),$AR57,IF($AU57="Pasa al siguiente",MAX($AR57+1,$AS57),MAX($AR57,$AS57))),"")</f>
      </c>
      <c r="AW57" s="202">
        <f>IF(AND($C57,ISNUMBER($AR57)),$AQ57+$AR57*$AP57*'Sprints'!$D$5-'Sprints'!$D$5,"")</f>
      </c>
      <c r="AX57" s="202">
        <f>IF($C57,IF(OR($AT57="Completo",$AU57="Cancelado",$AU57="Baja prioridad",NOT(ISNUMBER($AW57))),0,MAX(0,TODAY()-$AW57)),"")</f>
        <v>0</v>
      </c>
      <c r="AY57" s="203" t="str">
        <f>IF($C57,IF(NOT(ISNUMBER($AR57)),"Sin fecha",IF($AT57="Completo","Completo",IF($AU57="Cancelado","Cancelado",IF($AU57="Baja prioridad","Baja prioridad",IF($AX57&gt;0,"Vencida","Pendiente"))))),"")</f>
        <v>Sin fecha</v>
      </c>
      <c r="AZ57" s="203" t="str">
        <f>IF($C57,IF(ISNUMBER($AV57),$AO57&amp;" · S"&amp;$AV57,"(Sin fecha)"),"")</f>
        <v>(Sin fecha)</v>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IF($C58,'Proyecto Datos (OKR´s)'!$J58,"")</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IF($C58,'Backlog General'!$L58,"")</f>
        <v>0</v>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IF(AND($C58,ISNUMBER($AR58)),IF(OR($AT58="Completo",$AU58="Cancelado",$AU58="Baja prioridad"),$AR58,IF($AU58="Pasa al siguiente",MAX($AR58+1,$AS58),MAX($AR58,$AS58))),"")</f>
      </c>
      <c r="AW58" s="202">
        <f>IF(AND($C58,ISNUMBER($AR58)),$AQ58+$AR58*$AP58*'Sprints'!$D$5-'Sprints'!$D$5,"")</f>
      </c>
      <c r="AX58" s="202">
        <f>IF($C58,IF(OR($AT58="Completo",$AU58="Cancelado",$AU58="Baja prioridad",NOT(ISNUMBER($AW58))),0,MAX(0,TODAY()-$AW58)),"")</f>
        <v>0</v>
      </c>
      <c r="AY58" s="203" t="str">
        <f>IF($C58,IF(NOT(ISNUMBER($AR58)),"Sin fecha",IF($AT58="Completo","Completo",IF($AU58="Cancelado","Cancelado",IF($AU58="Baja prioridad","Baja prioridad",IF($AX58&gt;0,"Vencida","Pendiente"))))),"")</f>
        <v>Sin fecha</v>
      </c>
      <c r="AZ58" s="203" t="str">
        <f>IF($C58,IF(ISNUMBER($AV58),$AO58&amp;" · S"&amp;$AV58,"(Sin fecha)"),"")</f>
        <v>(Sin fecha)</v>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IF($C59,'Proyecto Datos (OKR´s)'!$J59,"")</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IF($C59,'Backlog General'!$L59,"")</f>
        <v>0</v>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IF(AND($C59,ISNUMBER($AR59)),IF(OR($AT59="Completo",$AU59="Cancelado",$AU59="Baja prioridad"),$AR59,IF($AU59="Pasa al siguiente",MAX($AR59+1,$AS59),MAX($AR59,$AS59))),"")</f>
      </c>
      <c r="AW59" s="202">
        <f>IF(AND($C59,ISNUMBER($AR59)),$AQ59+$AR59*$AP59*'Sprints'!$D$5-'Sprints'!$D$5,"")</f>
      </c>
      <c r="AX59" s="202">
        <f>IF($C59,IF(OR($AT59="Completo",$AU59="Cancelado",$AU59="Baja prioridad",NOT(ISNUMBER($AW59))),0,MAX(0,TODAY()-$AW59)),"")</f>
        <v>0</v>
      </c>
      <c r="AY59" s="203" t="str">
        <f>IF($C59,IF(NOT(ISNUMBER($AR59)),"Sin fecha",IF($AT59="Completo","Completo",IF($AU59="Cancelado","Cancelado",IF($AU59="Baja prioridad","Baja prioridad",IF($AX59&gt;0,"Vencida","Pendiente"))))),"")</f>
        <v>Sin fecha</v>
      </c>
      <c r="AZ59" s="203" t="str">
        <f>IF($C59,IF(ISNUMBER($AV59),$AO59&amp;" · S"&amp;$AV59,"(Sin fecha)"),"")</f>
        <v>(Sin fecha)</v>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IF($C60,'Proyecto Datos (OKR´s)'!$J60,"")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IF($C60,'Backlog General'!$L60,"")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IF(AND($C60,ISNUMBER($AR60)),IF(OR($AT60="Completo",$AU60="Cancelado",$AU60="Baja prioridad"),$AR60,IF($AU60="Pasa al siguiente",MAX($AR60+1,$AS60),MAX($AR60,$AS60))),"")</f>
      </c>
      <c r="AW60" s="202">
        <f>IF(AND($C60,ISNUMBER($AR60)),$AQ60+$AR60*$AP60*'Sprints'!$D$5-'Sprints'!$D$5,"")</f>
      </c>
      <c r="AX60" s="202">
        <f>IF($C60,IF(OR($AT60="Completo",$AU60="Cancelado",$AU60="Baja prioridad",NOT(ISNUMBER($AW60))),0,MAX(0,TODAY()-$AW60)),"")</f>
      </c>
      <c r="AY60" s="203">
        <f>IF($C60,IF(NOT(ISNUMBER($AR60)),"Sin fecha",IF($AT60="Completo","Completo",IF($AU60="Cancelado","Cancelado",IF($AU60="Baja prioridad","Baja prioridad",IF($AX60&gt;0,"Vencida","Pendiente"))))),"")</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IF($C61,'Proyecto Datos (OKR´s)'!$J61,"")</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IF($C61,'Backlog General'!$L61,"")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IF(AND($C61,ISNUMBER($AR61)),IF(OR($AT61="Completo",$AU61="Cancelado",$AU61="Baja prioridad"),$AR61,IF($AU61="Pasa al siguiente",MAX($AR61+1,$AS61),MAX($AR61,$AS61))),"")</f>
      </c>
      <c r="AW61" s="202">
        <f>IF(AND($C61,ISNUMBER($AR61)),$AQ61+$AR61*$AP61*'Sprints'!$D$5-'Sprints'!$D$5,"")</f>
      </c>
      <c r="AX61" s="202">
        <f>IF($C61,IF(OR($AT61="Completo",$AU61="Cancelado",$AU61="Baja prioridad",NOT(ISNUMBER($AW61))),0,MAX(0,TODAY()-$AW61)),"")</f>
      </c>
      <c r="AY61" s="203">
        <f>IF($C61,IF(NOT(ISNUMBER($AR61)),"Sin fecha",IF($AT61="Completo","Completo",IF($AU61="Cancelado","Cancelado",IF($AU61="Baja prioridad","Baja prioridad",IF($AX61&gt;0,"Vencida","Pendiente"))))),"")</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IF($C62,'Proyecto Datos (OKR´s)'!$J62,"")</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IF($C62,'Backlog General'!$L62,"")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IF(AND($C62,ISNUMBER($AR62)),IF(OR($AT62="Completo",$AU62="Cancelado",$AU62="Baja prioridad"),$AR62,IF($AU62="Pasa al siguiente",MAX($AR62+1,$AS62),MAX($AR62,$AS62))),"")</f>
      </c>
      <c r="AW62" s="202">
        <f>IF(AND($C62,ISNUMBER($AR62)),$AQ62+$AR62*$AP62*'Sprints'!$D$5-'Sprints'!$D$5,"")</f>
      </c>
      <c r="AX62" s="202">
        <f>IF($C62,IF(OR($AT62="Completo",$AU62="Cancelado",$AU62="Baja prioridad",NOT(ISNUMBER($AW62))),0,MAX(0,TODAY()-$AW62)),"")</f>
      </c>
      <c r="AY62" s="203">
        <f>IF($C62,IF(NOT(ISNUMBER($AR62)),"Sin fecha",IF($AT62="Completo","Completo",IF($AU62="Cancelado","Cancelado",IF($AU62="Baja prioridad","Baja prioridad",IF($AX62&gt;0,"Vencida","Pendiente"))))),"")</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IF($C63,'Proyecto Datos (OKR´s)'!$J63,"")</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IF($C63,'Backlog General'!$L63,"")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IF(AND($C63,ISNUMBER($AR63)),IF(OR($AT63="Completo",$AU63="Cancelado",$AU63="Baja prioridad"),$AR63,IF($AU63="Pasa al siguiente",MAX($AR63+1,$AS63),MAX($AR63,$AS63))),"")</f>
      </c>
      <c r="AW63" s="202">
        <f>IF(AND($C63,ISNUMBER($AR63)),$AQ63+$AR63*$AP63*'Sprints'!$D$5-'Sprints'!$D$5,"")</f>
      </c>
      <c r="AX63" s="202">
        <f>IF($C63,IF(OR($AT63="Completo",$AU63="Cancelado",$AU63="Baja prioridad",NOT(ISNUMBER($AW63))),0,MAX(0,TODAY()-$AW63)),"")</f>
      </c>
      <c r="AY63" s="203">
        <f>IF($C63,IF(NOT(ISNUMBER($AR63)),"Sin fecha",IF($AT63="Completo","Completo",IF($AU63="Cancelado","Cancelado",IF($AU63="Baja prioridad","Baja prioridad",IF($AX63&gt;0,"Vencida","Pendiente"))))),"")</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IF($C64,'Proyecto Datos (OKR´s)'!$J64,"")</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IF($C64,'Backlog General'!$L64,"")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IF(AND($C64,ISNUMBER($AR64)),IF(OR($AT64="Completo",$AU64="Cancelado",$AU64="Baja prioridad"),$AR64,IF($AU64="Pasa al siguiente",MAX($AR64+1,$AS64),MAX($AR64,$AS64))),"")</f>
      </c>
      <c r="AW64" s="202">
        <f>IF(AND($C64,ISNUMBER($AR64)),$AQ64+$AR64*$AP64*'Sprints'!$D$5-'Sprints'!$D$5,"")</f>
      </c>
      <c r="AX64" s="202">
        <f>IF($C64,IF(OR($AT64="Completo",$AU64="Cancelado",$AU64="Baja prioridad",NOT(ISNUMBER($AW64))),0,MAX(0,TODAY()-$AW64)),"")</f>
      </c>
      <c r="AY64" s="203">
        <f>IF($C64,IF(NOT(ISNUMBER($AR64)),"Sin fecha",IF($AT64="Completo","Completo",IF($AU64="Cancelado","Cancelado",IF($AU64="Baja prioridad","Baja prioridad",IF($AX64&gt;0,"Vencida","Pendiente"))))),"")</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IF($C65,'Proyecto Datos (OKR´s)'!$J65,"")</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IF($C65,'Backlog General'!$L65,"")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IF(AND($C65,ISNUMBER($AR65)),IF(OR($AT65="Completo",$AU65="Cancelado",$AU65="Baja prioridad"),$AR65,IF($AU65="Pasa al siguiente",MAX($AR65+1,$AS65),MAX($AR65,$AS65))),"")</f>
      </c>
      <c r="AW65" s="202">
        <f>IF(AND($C65,ISNUMBER($AR65)),$AQ65+$AR65*$AP65*'Sprints'!$D$5-'Sprints'!$D$5,"")</f>
      </c>
      <c r="AX65" s="202">
        <f>IF($C65,IF(OR($AT65="Completo",$AU65="Cancelado",$AU65="Baja prioridad",NOT(ISNUMBER($AW65))),0,MAX(0,TODAY()-$AW65)),"")</f>
      </c>
      <c r="AY65" s="203">
        <f>IF($C65,IF(NOT(ISNUMBER($AR65)),"Sin fecha",IF($AT65="Completo","Completo",IF($AU65="Cancelado","Cancelado",IF($AU65="Baja prioridad","Baja prioridad",IF($AX65&gt;0,"Vencida","Pendiente"))))),"")</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IF($C66,'Proyecto Datos (OKR´s)'!$J66,"")</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IF($C66,'Backlog General'!$L66,"")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IF(AND($C66,ISNUMBER($AR66)),IF(OR($AT66="Completo",$AU66="Cancelado",$AU66="Baja prioridad"),$AR66,IF($AU66="Pasa al siguiente",MAX($AR66+1,$AS66),MAX($AR66,$AS66))),"")</f>
      </c>
      <c r="AW66" s="202">
        <f>IF(AND($C66,ISNUMBER($AR66)),$AQ66+$AR66*$AP66*'Sprints'!$D$5-'Sprints'!$D$5,"")</f>
      </c>
      <c r="AX66" s="202">
        <f>IF($C66,IF(OR($AT66="Completo",$AU66="Cancelado",$AU66="Baja prioridad",NOT(ISNUMBER($AW66))),0,MAX(0,TODAY()-$AW66)),"")</f>
      </c>
      <c r="AY66" s="203">
        <f>IF($C66,IF(NOT(ISNUMBER($AR66)),"Sin fecha",IF($AT66="Completo","Completo",IF($AU66="Cancelado","Cancelado",IF($AU66="Baja prioridad","Baja prioridad",IF($AX66&gt;0,"Vencida","Pendiente"))))),"")</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IF($C67,'Proyecto Datos (OKR´s)'!$J67,"")</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IF($C67,'Backlog General'!$L67,"")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IF(AND($C67,ISNUMBER($AR67)),IF(OR($AT67="Completo",$AU67="Cancelado",$AU67="Baja prioridad"),$AR67,IF($AU67="Pasa al siguiente",MAX($AR67+1,$AS67),MAX($AR67,$AS67))),"")</f>
      </c>
      <c r="AW67" s="202">
        <f>IF(AND($C67,ISNUMBER($AR67)),$AQ67+$AR67*$AP67*'Sprints'!$D$5-'Sprints'!$D$5,"")</f>
      </c>
      <c r="AX67" s="202">
        <f>IF($C67,IF(OR($AT67="Completo",$AU67="Cancelado",$AU67="Baja prioridad",NOT(ISNUMBER($AW67))),0,MAX(0,TODAY()-$AW67)),"")</f>
      </c>
      <c r="AY67" s="203">
        <f>IF($C67,IF(NOT(ISNUMBER($AR67)),"Sin fecha",IF($AT67="Completo","Completo",IF($AU67="Cancelado","Cancelado",IF($AU67="Baja prioridad","Baja prioridad",IF($AX67&gt;0,"Vencida","Pendiente"))))),"")</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IF($C68,'Proyecto Datos (OKR´s)'!$J68,"")</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IF($C68,'Backlog General'!$L68,"")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IF(AND($C68,ISNUMBER($AR68)),IF(OR($AT68="Completo",$AU68="Cancelado",$AU68="Baja prioridad"),$AR68,IF($AU68="Pasa al siguiente",MAX($AR68+1,$AS68),MAX($AR68,$AS68))),"")</f>
      </c>
      <c r="AW68" s="202">
        <f>IF(AND($C68,ISNUMBER($AR68)),$AQ68+$AR68*$AP68*'Sprints'!$D$5-'Sprints'!$D$5,"")</f>
      </c>
      <c r="AX68" s="202">
        <f>IF($C68,IF(OR($AT68="Completo",$AU68="Cancelado",$AU68="Baja prioridad",NOT(ISNUMBER($AW68))),0,MAX(0,TODAY()-$AW68)),"")</f>
      </c>
      <c r="AY68" s="203">
        <f>IF($C68,IF(NOT(ISNUMBER($AR68)),"Sin fecha",IF($AT68="Completo","Completo",IF($AU68="Cancelado","Cancelado",IF($AU68="Baja prioridad","Baja prioridad",IF($AX68&gt;0,"Vencida","Pendiente"))))),"")</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IF($C69,'Proyecto Datos (OKR´s)'!$J69,"")</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IF($C69,'Backlog General'!$L69,"")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IF(AND($C69,ISNUMBER($AR69)),IF(OR($AT69="Completo",$AU69="Cancelado",$AU69="Baja prioridad"),$AR69,IF($AU69="Pasa al siguiente",MAX($AR69+1,$AS69),MAX($AR69,$AS69))),"")</f>
      </c>
      <c r="AW69" s="202">
        <f>IF(AND($C69,ISNUMBER($AR69)),$AQ69+$AR69*$AP69*'Sprints'!$D$5-'Sprints'!$D$5,"")</f>
      </c>
      <c r="AX69" s="202">
        <f>IF($C69,IF(OR($AT69="Completo",$AU69="Cancelado",$AU69="Baja prioridad",NOT(ISNUMBER($AW69))),0,MAX(0,TODAY()-$AW69)),"")</f>
      </c>
      <c r="AY69" s="203">
        <f>IF($C69,IF(NOT(ISNUMBER($AR69)),"Sin fecha",IF($AT69="Completo","Completo",IF($AU69="Cancelado","Cancelado",IF($AU69="Baja prioridad","Baja prioridad",IF($AX69&gt;0,"Vencida","Pendiente"))))),"")</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IF($C70,'Proyecto Datos (OKR´s)'!$J70,"")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IF($C70,'Backlog General'!$L70,"")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IF(AND($C70,ISNUMBER($AR70)),IF(OR($AT70="Completo",$AU70="Cancelado",$AU70="Baja prioridad"),$AR70,IF($AU70="Pasa al siguiente",MAX($AR70+1,$AS70),MAX($AR70,$AS70))),"")</f>
      </c>
      <c r="AW70" s="202">
        <f>IF(AND($C70,ISNUMBER($AR70)),$AQ70+$AR70*$AP70*'Sprints'!$D$5-'Sprints'!$D$5,"")</f>
      </c>
      <c r="AX70" s="202">
        <f>IF($C70,IF(OR($AT70="Completo",$AU70="Cancelado",$AU70="Baja prioridad",NOT(ISNUMBER($AW70))),0,MAX(0,TODAY()-$AW70)),"")</f>
      </c>
      <c r="AY70" s="203">
        <f>IF($C70,IF(NOT(ISNUMBER($AR70)),"Sin fecha",IF($AT70="Completo","Completo",IF($AU70="Cancelado","Cancelado",IF($AU70="Baja prioridad","Baja prioridad",IF($AX70&gt;0,"Vencida","Pendiente"))))),"")</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IF($C71,'Proyecto Datos (OKR´s)'!$J71,"")</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IF($C71,'Backlog General'!$L71,"")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IF(AND($C71,ISNUMBER($AR71)),IF(OR($AT71="Completo",$AU71="Cancelado",$AU71="Baja prioridad"),$AR71,IF($AU71="Pasa al siguiente",MAX($AR71+1,$AS71),MAX($AR71,$AS71))),"")</f>
      </c>
      <c r="AW71" s="202">
        <f>IF(AND($C71,ISNUMBER($AR71)),$AQ71+$AR71*$AP71*'Sprints'!$D$5-'Sprints'!$D$5,"")</f>
      </c>
      <c r="AX71" s="202">
        <f>IF($C71,IF(OR($AT71="Completo",$AU71="Cancelado",$AU71="Baja prioridad",NOT(ISNUMBER($AW71))),0,MAX(0,TODAY()-$AW71)),"")</f>
      </c>
      <c r="AY71" s="203">
        <f>IF($C71,IF(NOT(ISNUMBER($AR71)),"Sin fecha",IF($AT71="Completo","Completo",IF($AU71="Cancelado","Cancelado",IF($AU71="Baja prioridad","Baja prioridad",IF($AX71&gt;0,"Vencida","Pendiente"))))),"")</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IF($C72,'Proyecto Datos (OKR´s)'!$J72,"")</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IF($C72,'Backlog General'!$L72,"")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IF(AND($C72,ISNUMBER($AR72)),IF(OR($AT72="Completo",$AU72="Cancelado",$AU72="Baja prioridad"),$AR72,IF($AU72="Pasa al siguiente",MAX($AR72+1,$AS72),MAX($AR72,$AS72))),"")</f>
      </c>
      <c r="AW72" s="202">
        <f>IF(AND($C72,ISNUMBER($AR72)),$AQ72+$AR72*$AP72*'Sprints'!$D$5-'Sprints'!$D$5,"")</f>
      </c>
      <c r="AX72" s="202">
        <f>IF($C72,IF(OR($AT72="Completo",$AU72="Cancelado",$AU72="Baja prioridad",NOT(ISNUMBER($AW72))),0,MAX(0,TODAY()-$AW72)),"")</f>
      </c>
      <c r="AY72" s="203">
        <f>IF($C72,IF(NOT(ISNUMBER($AR72)),"Sin fecha",IF($AT72="Completo","Completo",IF($AU72="Cancelado","Cancelado",IF($AU72="Baja prioridad","Baja prioridad",IF($AX72&gt;0,"Vencida","Pendiente"))))),"")</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IF($C73,'Proyecto Datos (OKR´s)'!$J73,"")</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IF($C73,'Backlog General'!$L73,"")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IF(AND($C73,ISNUMBER($AR73)),IF(OR($AT73="Completo",$AU73="Cancelado",$AU73="Baja prioridad"),$AR73,IF($AU73="Pasa al siguiente",MAX($AR73+1,$AS73),MAX($AR73,$AS73))),"")</f>
      </c>
      <c r="AW73" s="202">
        <f>IF(AND($C73,ISNUMBER($AR73)),$AQ73+$AR73*$AP73*'Sprints'!$D$5-'Sprints'!$D$5,"")</f>
      </c>
      <c r="AX73" s="202">
        <f>IF($C73,IF(OR($AT73="Completo",$AU73="Cancelado",$AU73="Baja prioridad",NOT(ISNUMBER($AW73))),0,MAX(0,TODAY()-$AW73)),"")</f>
      </c>
      <c r="AY73" s="203">
        <f>IF($C73,IF(NOT(ISNUMBER($AR73)),"Sin fecha",IF($AT73="Completo","Completo",IF($AU73="Cancelado","Cancelado",IF($AU73="Baja prioridad","Baja prioridad",IF($AX73&gt;0,"Vencida","Pendiente"))))),"")</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IF($C74,'Proyecto Datos (OKR´s)'!$J74,"")</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IF($C74,'Backlog General'!$L74,"")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IF(AND($C74,ISNUMBER($AR74)),IF(OR($AT74="Completo",$AU74="Cancelado",$AU74="Baja prioridad"),$AR74,IF($AU74="Pasa al siguiente",MAX($AR74+1,$AS74),MAX($AR74,$AS74))),"")</f>
      </c>
      <c r="AW74" s="202">
        <f>IF(AND($C74,ISNUMBER($AR74)),$AQ74+$AR74*$AP74*'Sprints'!$D$5-'Sprints'!$D$5,"")</f>
      </c>
      <c r="AX74" s="202">
        <f>IF($C74,IF(OR($AT74="Completo",$AU74="Cancelado",$AU74="Baja prioridad",NOT(ISNUMBER($AW74))),0,MAX(0,TODAY()-$AW74)),"")</f>
      </c>
      <c r="AY74" s="203">
        <f>IF($C74,IF(NOT(ISNUMBER($AR74)),"Sin fecha",IF($AT74="Completo","Completo",IF($AU74="Cancelado","Cancelado",IF($AU74="Baja prioridad","Baja prioridad",IF($AX74&gt;0,"Vencida","Pendiente"))))),"")</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IF($C75,'Proyecto Datos (OKR´s)'!$J75,"")</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IF($C75,'Backlog General'!$L75,"")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IF(AND($C75,ISNUMBER($AR75)),IF(OR($AT75="Completo",$AU75="Cancelado",$AU75="Baja prioridad"),$AR75,IF($AU75="Pasa al siguiente",MAX($AR75+1,$AS75),MAX($AR75,$AS75))),"")</f>
      </c>
      <c r="AW75" s="202">
        <f>IF(AND($C75,ISNUMBER($AR75)),$AQ75+$AR75*$AP75*'Sprints'!$D$5-'Sprints'!$D$5,"")</f>
      </c>
      <c r="AX75" s="202">
        <f>IF($C75,IF(OR($AT75="Completo",$AU75="Cancelado",$AU75="Baja prioridad",NOT(ISNUMBER($AW75))),0,MAX(0,TODAY()-$AW75)),"")</f>
      </c>
      <c r="AY75" s="203">
        <f>IF($C75,IF(NOT(ISNUMBER($AR75)),"Sin fecha",IF($AT75="Completo","Completo",IF($AU75="Cancelado","Cancelado",IF($AU75="Baja prioridad","Baja prioridad",IF($AX75&gt;0,"Vencida","Pendiente"))))),"")</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IF($C76,'Proyecto Datos (OKR´s)'!$J76,"")</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IF($C76,'Backlog General'!$L76,"")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IF(AND($C76,ISNUMBER($AR76)),IF(OR($AT76="Completo",$AU76="Cancelado",$AU76="Baja prioridad"),$AR76,IF($AU76="Pasa al siguiente",MAX($AR76+1,$AS76),MAX($AR76,$AS76))),"")</f>
      </c>
      <c r="AW76" s="202">
        <f>IF(AND($C76,ISNUMBER($AR76)),$AQ76+$AR76*$AP76*'Sprints'!$D$5-'Sprints'!$D$5,"")</f>
      </c>
      <c r="AX76" s="202">
        <f>IF($C76,IF(OR($AT76="Completo",$AU76="Cancelado",$AU76="Baja prioridad",NOT(ISNUMBER($AW76))),0,MAX(0,TODAY()-$AW76)),"")</f>
      </c>
      <c r="AY76" s="203">
        <f>IF($C76,IF(NOT(ISNUMBER($AR76)),"Sin fecha",IF($AT76="Completo","Completo",IF($AU76="Cancelado","Cancelado",IF($AU76="Baja prioridad","Baja prioridad",IF($AX76&gt;0,"Vencida","Pendiente"))))),"")</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IF($C77,'Proyecto Datos (OKR´s)'!$J77,"")</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IF($C77,'Backlog General'!$L77,"")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IF(AND($C77,ISNUMBER($AR77)),IF(OR($AT77="Completo",$AU77="Cancelado",$AU77="Baja prioridad"),$AR77,IF($AU77="Pasa al siguiente",MAX($AR77+1,$AS77),MAX($AR77,$AS77))),"")</f>
      </c>
      <c r="AW77" s="202">
        <f>IF(AND($C77,ISNUMBER($AR77)),$AQ77+$AR77*$AP77*'Sprints'!$D$5-'Sprints'!$D$5,"")</f>
      </c>
      <c r="AX77" s="202">
        <f>IF($C77,IF(OR($AT77="Completo",$AU77="Cancelado",$AU77="Baja prioridad",NOT(ISNUMBER($AW77))),0,MAX(0,TODAY()-$AW77)),"")</f>
      </c>
      <c r="AY77" s="203">
        <f>IF($C77,IF(NOT(ISNUMBER($AR77)),"Sin fecha",IF($AT77="Completo","Completo",IF($AU77="Cancelado","Cancelado",IF($AU77="Baja prioridad","Baja prioridad",IF($AX77&gt;0,"Vencida","Pendiente"))))),"")</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IF($C78,'Proyecto Datos (OKR´s)'!$J78,"")</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IF($C78,'Backlog General'!$L78,"")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IF(AND($C78,ISNUMBER($AR78)),IF(OR($AT78="Completo",$AU78="Cancelado",$AU78="Baja prioridad"),$AR78,IF($AU78="Pasa al siguiente",MAX($AR78+1,$AS78),MAX($AR78,$AS78))),"")</f>
      </c>
      <c r="AW78" s="202">
        <f>IF(AND($C78,ISNUMBER($AR78)),$AQ78+$AR78*$AP78*'Sprints'!$D$5-'Sprints'!$D$5,"")</f>
      </c>
      <c r="AX78" s="202">
        <f>IF($C78,IF(OR($AT78="Completo",$AU78="Cancelado",$AU78="Baja prioridad",NOT(ISNUMBER($AW78))),0,MAX(0,TODAY()-$AW78)),"")</f>
      </c>
      <c r="AY78" s="203">
        <f>IF($C78,IF(NOT(ISNUMBER($AR78)),"Sin fecha",IF($AT78="Completo","Completo",IF($AU78="Cancelado","Cancelado",IF($AU78="Baja prioridad","Baja prioridad",IF($AX78&gt;0,"Vencida","Pendiente"))))),"")</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IF($C79,'Proyecto Datos (OKR´s)'!$J79,"")</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IF($C79,'Backlog General'!$L79,"")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IF(AND($C79,ISNUMBER($AR79)),IF(OR($AT79="Completo",$AU79="Cancelado",$AU79="Baja prioridad"),$AR79,IF($AU79="Pasa al siguiente",MAX($AR79+1,$AS79),MAX($AR79,$AS79))),"")</f>
      </c>
      <c r="AW79" s="202">
        <f>IF(AND($C79,ISNUMBER($AR79)),$AQ79+$AR79*$AP79*'Sprints'!$D$5-'Sprints'!$D$5,"")</f>
      </c>
      <c r="AX79" s="202">
        <f>IF($C79,IF(OR($AT79="Completo",$AU79="Cancelado",$AU79="Baja prioridad",NOT(ISNUMBER($AW79))),0,MAX(0,TODAY()-$AW79)),"")</f>
      </c>
      <c r="AY79" s="203">
        <f>IF($C79,IF(NOT(ISNUMBER($AR79)),"Sin fecha",IF($AT79="Completo","Completo",IF($AU79="Cancelado","Cancelado",IF($AU79="Baja prioridad","Baja prioridad",IF($AX79&gt;0,"Vencida","Pendiente"))))),"")</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IF($C80,'Proyecto Datos (OKR´s)'!$J80,"")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IF($C80,'Backlog General'!$L80,"")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IF(AND($C80,ISNUMBER($AR80)),IF(OR($AT80="Completo",$AU80="Cancelado",$AU80="Baja prioridad"),$AR80,IF($AU80="Pasa al siguiente",MAX($AR80+1,$AS80),MAX($AR80,$AS80))),"")</f>
      </c>
      <c r="AW80" s="202">
        <f>IF(AND($C80,ISNUMBER($AR80)),$AQ80+$AR80*$AP80*'Sprints'!$D$5-'Sprints'!$D$5,"")</f>
      </c>
      <c r="AX80" s="202">
        <f>IF($C80,IF(OR($AT80="Completo",$AU80="Cancelado",$AU80="Baja prioridad",NOT(ISNUMBER($AW80))),0,MAX(0,TODAY()-$AW80)),"")</f>
      </c>
      <c r="AY80" s="203">
        <f>IF($C80,IF(NOT(ISNUMBER($AR80)),"Sin fecha",IF($AT80="Completo","Completo",IF($AU80="Cancelado","Cancelado",IF($AU80="Baja prioridad","Baja prioridad",IF($AX80&gt;0,"Vencida","Pendiente"))))),"")</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IF($C81,'Proyecto Datos (OKR´s)'!$J81,"")</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IF($C81,'Backlog General'!$L81,"")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IF(AND($C81,ISNUMBER($AR81)),IF(OR($AT81="Completo",$AU81="Cancelado",$AU81="Baja prioridad"),$AR81,IF($AU81="Pasa al siguiente",MAX($AR81+1,$AS81),MAX($AR81,$AS81))),"")</f>
      </c>
      <c r="AW81" s="202">
        <f>IF(AND($C81,ISNUMBER($AR81)),$AQ81+$AR81*$AP81*'Sprints'!$D$5-'Sprints'!$D$5,"")</f>
      </c>
      <c r="AX81" s="202">
        <f>IF($C81,IF(OR($AT81="Completo",$AU81="Cancelado",$AU81="Baja prioridad",NOT(ISNUMBER($AW81))),0,MAX(0,TODAY()-$AW81)),"")</f>
      </c>
      <c r="AY81" s="203">
        <f>IF($C81,IF(NOT(ISNUMBER($AR81)),"Sin fecha",IF($AT81="Completo","Completo",IF($AU81="Cancelado","Cancelado",IF($AU81="Baja prioridad","Baja prioridad",IF($AX81&gt;0,"Vencida","Pendiente"))))),"")</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IF($C82,'Proyecto Datos (OKR´s)'!$J82,"")</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IF($C82,'Backlog General'!$L82,"")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IF(AND($C82,ISNUMBER($AR82)),IF(OR($AT82="Completo",$AU82="Cancelado",$AU82="Baja prioridad"),$AR82,IF($AU82="Pasa al siguiente",MAX($AR82+1,$AS82),MAX($AR82,$AS82))),"")</f>
      </c>
      <c r="AW82" s="202">
        <f>IF(AND($C82,ISNUMBER($AR82)),$AQ82+$AR82*$AP82*'Sprints'!$D$5-'Sprints'!$D$5,"")</f>
      </c>
      <c r="AX82" s="202">
        <f>IF($C82,IF(OR($AT82="Completo",$AU82="Cancelado",$AU82="Baja prioridad",NOT(ISNUMBER($AW82))),0,MAX(0,TODAY()-$AW82)),"")</f>
      </c>
      <c r="AY82" s="203">
        <f>IF($C82,IF(NOT(ISNUMBER($AR82)),"Sin fecha",IF($AT82="Completo","Completo",IF($AU82="Cancelado","Cancelado",IF($AU82="Baja prioridad","Baja prioridad",IF($AX82&gt;0,"Vencida","Pendiente"))))),"")</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IF($C83,'Proyecto Datos (OKR´s)'!$J83,"")</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IF($C83,'Backlog General'!$L83,"")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IF(AND($C83,ISNUMBER($AR83)),IF(OR($AT83="Completo",$AU83="Cancelado",$AU83="Baja prioridad"),$AR83,IF($AU83="Pasa al siguiente",MAX($AR83+1,$AS83),MAX($AR83,$AS83))),"")</f>
      </c>
      <c r="AW83" s="202">
        <f>IF(AND($C83,ISNUMBER($AR83)),$AQ83+$AR83*$AP83*'Sprints'!$D$5-'Sprints'!$D$5,"")</f>
      </c>
      <c r="AX83" s="202">
        <f>IF($C83,IF(OR($AT83="Completo",$AU83="Cancelado",$AU83="Baja prioridad",NOT(ISNUMBER($AW83))),0,MAX(0,TODAY()-$AW83)),"")</f>
      </c>
      <c r="AY83" s="203">
        <f>IF($C83,IF(NOT(ISNUMBER($AR83)),"Sin fecha",IF($AT83="Completo","Completo",IF($AU83="Cancelado","Cancelado",IF($AU83="Baja prioridad","Baja prioridad",IF($AX83&gt;0,"Vencida","Pendiente"))))),"")</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IF($C84,'Proyecto Datos (OKR´s)'!$J84,"")</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IF($C84,'Backlog General'!$L84,"")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IF(AND($C84,ISNUMBER($AR84)),IF(OR($AT84="Completo",$AU84="Cancelado",$AU84="Baja prioridad"),$AR84,IF($AU84="Pasa al siguiente",MAX($AR84+1,$AS84),MAX($AR84,$AS84))),"")</f>
      </c>
      <c r="AW84" s="202">
        <f>IF(AND($C84,ISNUMBER($AR84)),$AQ84+$AR84*$AP84*'Sprints'!$D$5-'Sprints'!$D$5,"")</f>
      </c>
      <c r="AX84" s="202">
        <f>IF($C84,IF(OR($AT84="Completo",$AU84="Cancelado",$AU84="Baja prioridad",NOT(ISNUMBER($AW84))),0,MAX(0,TODAY()-$AW84)),"")</f>
      </c>
      <c r="AY84" s="203">
        <f>IF($C84,IF(NOT(ISNUMBER($AR84)),"Sin fecha",IF($AT84="Completo","Completo",IF($AU84="Cancelado","Cancelado",IF($AU84="Baja prioridad","Baja prioridad",IF($AX84&gt;0,"Vencida","Pendiente"))))),"")</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IF($C85,'Proyecto Datos (OKR´s)'!$J85,"")</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IF($C85,'Backlog General'!$L85,"")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IF(AND($C85,ISNUMBER($AR85)),IF(OR($AT85="Completo",$AU85="Cancelado",$AU85="Baja prioridad"),$AR85,IF($AU85="Pasa al siguiente",MAX($AR85+1,$AS85),MAX($AR85,$AS85))),"")</f>
      </c>
      <c r="AW85" s="202">
        <f>IF(AND($C85,ISNUMBER($AR85)),$AQ85+$AR85*$AP85*'Sprints'!$D$5-'Sprints'!$D$5,"")</f>
      </c>
      <c r="AX85" s="202">
        <f>IF($C85,IF(OR($AT85="Completo",$AU85="Cancelado",$AU85="Baja prioridad",NOT(ISNUMBER($AW85))),0,MAX(0,TODAY()-$AW85)),"")</f>
      </c>
      <c r="AY85" s="203">
        <f>IF($C85,IF(NOT(ISNUMBER($AR85)),"Sin fecha",IF($AT85="Completo","Completo",IF($AU85="Cancelado","Cancelado",IF($AU85="Baja prioridad","Baja prioridad",IF($AX85&gt;0,"Vencida","Pendiente"))))),"")</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IF($C86,'Proyecto Datos (OKR´s)'!$J86,"")</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IF($C86,'Backlog General'!$L86,"")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IF(AND($C86,ISNUMBER($AR86)),IF(OR($AT86="Completo",$AU86="Cancelado",$AU86="Baja prioridad"),$AR86,IF($AU86="Pasa al siguiente",MAX($AR86+1,$AS86),MAX($AR86,$AS86))),"")</f>
      </c>
      <c r="AW86" s="202">
        <f>IF(AND($C86,ISNUMBER($AR86)),$AQ86+$AR86*$AP86*'Sprints'!$D$5-'Sprints'!$D$5,"")</f>
      </c>
      <c r="AX86" s="202">
        <f>IF($C86,IF(OR($AT86="Completo",$AU86="Cancelado",$AU86="Baja prioridad",NOT(ISNUMBER($AW86))),0,MAX(0,TODAY()-$AW86)),"")</f>
      </c>
      <c r="AY86" s="203">
        <f>IF($C86,IF(NOT(ISNUMBER($AR86)),"Sin fecha",IF($AT86="Completo","Completo",IF($AU86="Cancelado","Cancelado",IF($AU86="Baja prioridad","Baja prioridad",IF($AX86&gt;0,"Vencida","Pendiente"))))),"")</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IF($C87,'Proyecto Datos (OKR´s)'!$J87,"")</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IF($C87,'Backlog General'!$L87,"")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IF(AND($C87,ISNUMBER($AR87)),IF(OR($AT87="Completo",$AU87="Cancelado",$AU87="Baja prioridad"),$AR87,IF($AU87="Pasa al siguiente",MAX($AR87+1,$AS87),MAX($AR87,$AS87))),"")</f>
      </c>
      <c r="AW87" s="202">
        <f>IF(AND($C87,ISNUMBER($AR87)),$AQ87+$AR87*$AP87*'Sprints'!$D$5-'Sprints'!$D$5,"")</f>
      </c>
      <c r="AX87" s="202">
        <f>IF($C87,IF(OR($AT87="Completo",$AU87="Cancelado",$AU87="Baja prioridad",NOT(ISNUMBER($AW87))),0,MAX(0,TODAY()-$AW87)),"")</f>
      </c>
      <c r="AY87" s="203">
        <f>IF($C87,IF(NOT(ISNUMBER($AR87)),"Sin fecha",IF($AT87="Completo","Completo",IF($AU87="Cancelado","Cancelado",IF($AU87="Baja prioridad","Baja prioridad",IF($AX87&gt;0,"Vencida","Pendiente"))))),"")</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IF($C88,'Proyecto Datos (OKR´s)'!$J88,"")</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IF($C88,'Backlog General'!$L88,"")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IF(AND($C88,ISNUMBER($AR88)),IF(OR($AT88="Completo",$AU88="Cancelado",$AU88="Baja prioridad"),$AR88,IF($AU88="Pasa al siguiente",MAX($AR88+1,$AS88),MAX($AR88,$AS88))),"")</f>
      </c>
      <c r="AW88" s="202">
        <f>IF(AND($C88,ISNUMBER($AR88)),$AQ88+$AR88*$AP88*'Sprints'!$D$5-'Sprints'!$D$5,"")</f>
      </c>
      <c r="AX88" s="202">
        <f>IF($C88,IF(OR($AT88="Completo",$AU88="Cancelado",$AU88="Baja prioridad",NOT(ISNUMBER($AW88))),0,MAX(0,TODAY()-$AW88)),"")</f>
      </c>
      <c r="AY88" s="203">
        <f>IF($C88,IF(NOT(ISNUMBER($AR88)),"Sin fecha",IF($AT88="Completo","Completo",IF($AU88="Cancelado","Cancelado",IF($AU88="Baja prioridad","Baja prioridad",IF($AX88&gt;0,"Vencida","Pendiente"))))),"")</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IF($C89,'Proyecto Datos (OKR´s)'!$J89,"")</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IF($C89,'Backlog General'!$L89,"")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IF(AND($C89,ISNUMBER($AR89)),IF(OR($AT89="Completo",$AU89="Cancelado",$AU89="Baja prioridad"),$AR89,IF($AU89="Pasa al siguiente",MAX($AR89+1,$AS89),MAX($AR89,$AS89))),"")</f>
      </c>
      <c r="AW89" s="202">
        <f>IF(AND($C89,ISNUMBER($AR89)),$AQ89+$AR89*$AP89*'Sprints'!$D$5-'Sprints'!$D$5,"")</f>
      </c>
      <c r="AX89" s="202">
        <f>IF($C89,IF(OR($AT89="Completo",$AU89="Cancelado",$AU89="Baja prioridad",NOT(ISNUMBER($AW89))),0,MAX(0,TODAY()-$AW89)),"")</f>
      </c>
      <c r="AY89" s="203">
        <f>IF($C89,IF(NOT(ISNUMBER($AR89)),"Sin fecha",IF($AT89="Completo","Completo",IF($AU89="Cancelado","Cancelado",IF($AU89="Baja prioridad","Baja prioridad",IF($AX89&gt;0,"Vencida","Pendiente"))))),"")</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IF($C90,'Proyecto Datos (OKR´s)'!$J90,"")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IF($C90,'Backlog General'!$L90,"")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IF(AND($C90,ISNUMBER($AR90)),IF(OR($AT90="Completo",$AU90="Cancelado",$AU90="Baja prioridad"),$AR90,IF($AU90="Pasa al siguiente",MAX($AR90+1,$AS90),MAX($AR90,$AS90))),"")</f>
      </c>
      <c r="AW90" s="202">
        <f>IF(AND($C90,ISNUMBER($AR90)),$AQ90+$AR90*$AP90*'Sprints'!$D$5-'Sprints'!$D$5,"")</f>
      </c>
      <c r="AX90" s="202">
        <f>IF($C90,IF(OR($AT90="Completo",$AU90="Cancelado",$AU90="Baja prioridad",NOT(ISNUMBER($AW90))),0,MAX(0,TODAY()-$AW90)),"")</f>
      </c>
      <c r="AY90" s="203">
        <f>IF($C90,IF(NOT(ISNUMBER($AR90)),"Sin fecha",IF($AT90="Completo","Completo",IF($AU90="Cancelado","Cancelado",IF($AU90="Baja prioridad","Baja prioridad",IF($AX90&gt;0,"Vencida","Pendiente"))))),"")</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IF($C91,'Proyecto Datos (OKR´s)'!$J91,"")</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IF($C91,'Backlog General'!$L91,"")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IF(AND($C91,ISNUMBER($AR91)),IF(OR($AT91="Completo",$AU91="Cancelado",$AU91="Baja prioridad"),$AR91,IF($AU91="Pasa al siguiente",MAX($AR91+1,$AS91),MAX($AR91,$AS91))),"")</f>
      </c>
      <c r="AW91" s="202">
        <f>IF(AND($C91,ISNUMBER($AR91)),$AQ91+$AR91*$AP91*'Sprints'!$D$5-'Sprints'!$D$5,"")</f>
      </c>
      <c r="AX91" s="202">
        <f>IF($C91,IF(OR($AT91="Completo",$AU91="Cancelado",$AU91="Baja prioridad",NOT(ISNUMBER($AW91))),0,MAX(0,TODAY()-$AW91)),"")</f>
      </c>
      <c r="AY91" s="203">
        <f>IF($C91,IF(NOT(ISNUMBER($AR91)),"Sin fecha",IF($AT91="Completo","Completo",IF($AU91="Cancelado","Cancelado",IF($AU91="Baja prioridad","Baja prioridad",IF($AX91&gt;0,"Vencida","Pendiente"))))),"")</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IF($C92,'Proyecto Datos (OKR´s)'!$J92,"")</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IF($C92,'Backlog General'!$L92,"")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IF(AND($C92,ISNUMBER($AR92)),IF(OR($AT92="Completo",$AU92="Cancelado",$AU92="Baja prioridad"),$AR92,IF($AU92="Pasa al siguiente",MAX($AR92+1,$AS92),MAX($AR92,$AS92))),"")</f>
      </c>
      <c r="AW92" s="202">
        <f>IF(AND($C92,ISNUMBER($AR92)),$AQ92+$AR92*$AP92*'Sprints'!$D$5-'Sprints'!$D$5,"")</f>
      </c>
      <c r="AX92" s="202">
        <f>IF($C92,IF(OR($AT92="Completo",$AU92="Cancelado",$AU92="Baja prioridad",NOT(ISNUMBER($AW92))),0,MAX(0,TODAY()-$AW92)),"")</f>
      </c>
      <c r="AY92" s="203">
        <f>IF($C92,IF(NOT(ISNUMBER($AR92)),"Sin fecha",IF($AT92="Completo","Completo",IF($AU92="Cancelado","Cancelado",IF($AU92="Baja prioridad","Baja prioridad",IF($AX92&gt;0,"Vencida","Pendiente"))))),"")</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IF($C93,'Proyecto Datos (OKR´s)'!$J93,"")</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IF($C93,'Backlog General'!$L93,"")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IF(AND($C93,ISNUMBER($AR93)),IF(OR($AT93="Completo",$AU93="Cancelado",$AU93="Baja prioridad"),$AR93,IF($AU93="Pasa al siguiente",MAX($AR93+1,$AS93),MAX($AR93,$AS93))),"")</f>
      </c>
      <c r="AW93" s="202">
        <f>IF(AND($C93,ISNUMBER($AR93)),$AQ93+$AR93*$AP93*'Sprints'!$D$5-'Sprints'!$D$5,"")</f>
      </c>
      <c r="AX93" s="202">
        <f>IF($C93,IF(OR($AT93="Completo",$AU93="Cancelado",$AU93="Baja prioridad",NOT(ISNUMBER($AW93))),0,MAX(0,TODAY()-$AW93)),"")</f>
      </c>
      <c r="AY93" s="203">
        <f>IF($C93,IF(NOT(ISNUMBER($AR93)),"Sin fecha",IF($AT93="Completo","Completo",IF($AU93="Cancelado","Cancelado",IF($AU93="Baja prioridad","Baja prioridad",IF($AX93&gt;0,"Vencida","Pendiente"))))),"")</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IF($C94,'Proyecto Datos (OKR´s)'!$J94,"")</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IF($C94,'Backlog General'!$L94,"")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IF(AND($C94,ISNUMBER($AR94)),IF(OR($AT94="Completo",$AU94="Cancelado",$AU94="Baja prioridad"),$AR94,IF($AU94="Pasa al siguiente",MAX($AR94+1,$AS94),MAX($AR94,$AS94))),"")</f>
      </c>
      <c r="AW94" s="202">
        <f>IF(AND($C94,ISNUMBER($AR94)),$AQ94+$AR94*$AP94*'Sprints'!$D$5-'Sprints'!$D$5,"")</f>
      </c>
      <c r="AX94" s="202">
        <f>IF($C94,IF(OR($AT94="Completo",$AU94="Cancelado",$AU94="Baja prioridad",NOT(ISNUMBER($AW94))),0,MAX(0,TODAY()-$AW94)),"")</f>
      </c>
      <c r="AY94" s="203">
        <f>IF($C94,IF(NOT(ISNUMBER($AR94)),"Sin fecha",IF($AT94="Completo","Completo",IF($AU94="Cancelado","Cancelado",IF($AU94="Baja prioridad","Baja prioridad",IF($AX94&gt;0,"Vencida","Pendiente"))))),"")</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IF($C95,'Proyecto Datos (OKR´s)'!$J95,"")</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IF($C95,'Backlog General'!$L95,"")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IF(AND($C95,ISNUMBER($AR95)),IF(OR($AT95="Completo",$AU95="Cancelado",$AU95="Baja prioridad"),$AR95,IF($AU95="Pasa al siguiente",MAX($AR95+1,$AS95),MAX($AR95,$AS95))),"")</f>
      </c>
      <c r="AW95" s="202">
        <f>IF(AND($C95,ISNUMBER($AR95)),$AQ95+$AR95*$AP95*'Sprints'!$D$5-'Sprints'!$D$5,"")</f>
      </c>
      <c r="AX95" s="202">
        <f>IF($C95,IF(OR($AT95="Completo",$AU95="Cancelado",$AU95="Baja prioridad",NOT(ISNUMBER($AW95))),0,MAX(0,TODAY()-$AW95)),"")</f>
      </c>
      <c r="AY95" s="203">
        <f>IF($C95,IF(NOT(ISNUMBER($AR95)),"Sin fecha",IF($AT95="Completo","Completo",IF($AU95="Cancelado","Cancelado",IF($AU95="Baja prioridad","Baja prioridad",IF($AX95&gt;0,"Vencida","Pendiente"))))),"")</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IF($C96,'Proyecto Datos (OKR´s)'!$J96,"")</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IF($C96,'Backlog General'!$L96,"")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IF(AND($C96,ISNUMBER($AR96)),IF(OR($AT96="Completo",$AU96="Cancelado",$AU96="Baja prioridad"),$AR96,IF($AU96="Pasa al siguiente",MAX($AR96+1,$AS96),MAX($AR96,$AS96))),"")</f>
      </c>
      <c r="AW96" s="202">
        <f>IF(AND($C96,ISNUMBER($AR96)),$AQ96+$AR96*$AP96*'Sprints'!$D$5-'Sprints'!$D$5,"")</f>
      </c>
      <c r="AX96" s="202">
        <f>IF($C96,IF(OR($AT96="Completo",$AU96="Cancelado",$AU96="Baja prioridad",NOT(ISNUMBER($AW96))),0,MAX(0,TODAY()-$AW96)),"")</f>
      </c>
      <c r="AY96" s="203">
        <f>IF($C96,IF(NOT(ISNUMBER($AR96)),"Sin fecha",IF($AT96="Completo","Completo",IF($AU96="Cancelado","Cancelado",IF($AU96="Baja prioridad","Baja prioridad",IF($AX96&gt;0,"Vencida","Pendiente"))))),"")</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IF($C97,'Proyecto Datos (OKR´s)'!$J97,"")</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IF($C97,'Backlog General'!$L97,"")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IF(AND($C97,ISNUMBER($AR97)),IF(OR($AT97="Completo",$AU97="Cancelado",$AU97="Baja prioridad"),$AR97,IF($AU97="Pasa al siguiente",MAX($AR97+1,$AS97),MAX($AR97,$AS97))),"")</f>
      </c>
      <c r="AW97" s="202">
        <f>IF(AND($C97,ISNUMBER($AR97)),$AQ97+$AR97*$AP97*'Sprints'!$D$5-'Sprints'!$D$5,"")</f>
      </c>
      <c r="AX97" s="202">
        <f>IF($C97,IF(OR($AT97="Completo",$AU97="Cancelado",$AU97="Baja prioridad",NOT(ISNUMBER($AW97))),0,MAX(0,TODAY()-$AW97)),"")</f>
      </c>
      <c r="AY97" s="203">
        <f>IF($C97,IF(NOT(ISNUMBER($AR97)),"Sin fecha",IF($AT97="Completo","Completo",IF($AU97="Cancelado","Cancelado",IF($AU97="Baja prioridad","Baja prioridad",IF($AX97&gt;0,"Vencida","Pendiente"))))),"")</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IF($C98,'Proyecto Datos (OKR´s)'!$J98,"")</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IF($C98,'Backlog General'!$L98,"")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IF(AND($C98,ISNUMBER($AR98)),IF(OR($AT98="Completo",$AU98="Cancelado",$AU98="Baja prioridad"),$AR98,IF($AU98="Pasa al siguiente",MAX($AR98+1,$AS98),MAX($AR98,$AS98))),"")</f>
      </c>
      <c r="AW98" s="202">
        <f>IF(AND($C98,ISNUMBER($AR98)),$AQ98+$AR98*$AP98*'Sprints'!$D$5-'Sprints'!$D$5,"")</f>
      </c>
      <c r="AX98" s="202">
        <f>IF($C98,IF(OR($AT98="Completo",$AU98="Cancelado",$AU98="Baja prioridad",NOT(ISNUMBER($AW98))),0,MAX(0,TODAY()-$AW98)),"")</f>
      </c>
      <c r="AY98" s="203">
        <f>IF($C98,IF(NOT(ISNUMBER($AR98)),"Sin fecha",IF($AT98="Completo","Completo",IF($AU98="Cancelado","Cancelado",IF($AU98="Baja prioridad","Baja prioridad",IF($AX98&gt;0,"Vencida","Pendiente"))))),"")</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IF($C99,'Proyecto Datos (OKR´s)'!$J99,"")</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IF($C99,'Backlog General'!$L99,"")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IF(AND($C99,ISNUMBER($AR99)),IF(OR($AT99="Completo",$AU99="Cancelado",$AU99="Baja prioridad"),$AR99,IF($AU99="Pasa al siguiente",MAX($AR99+1,$AS99),MAX($AR99,$AS99))),"")</f>
      </c>
      <c r="AW99" s="202">
        <f>IF(AND($C99,ISNUMBER($AR99)),$AQ99+$AR99*$AP99*'Sprints'!$D$5-'Sprints'!$D$5,"")</f>
      </c>
      <c r="AX99" s="202">
        <f>IF($C99,IF(OR($AT99="Completo",$AU99="Cancelado",$AU99="Baja prioridad",NOT(ISNUMBER($AW99))),0,MAX(0,TODAY()-$AW99)),"")</f>
      </c>
      <c r="AY99" s="203">
        <f>IF($C99,IF(NOT(ISNUMBER($AR99)),"Sin fecha",IF($AT99="Completo","Completo",IF($AU99="Cancelado","Cancelado",IF($AU99="Baja prioridad","Baja prioridad",IF($AX99&gt;0,"Vencida","Pendiente"))))),"")</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IF($C100,'Proyecto Datos (OKR´s)'!$J100,"")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IF($C100,'Backlog General'!$L100,"")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IF(AND($C100,ISNUMBER($AR100)),IF(OR($AT100="Completo",$AU100="Cancelado",$AU100="Baja prioridad"),$AR100,IF($AU100="Pasa al siguiente",MAX($AR100+1,$AS100),MAX($AR100,$AS100))),"")</f>
      </c>
      <c r="AW100" s="202">
        <f>IF(AND($C100,ISNUMBER($AR100)),$AQ100+$AR100*$AP100*'Sprints'!$D$5-'Sprints'!$D$5,"")</f>
      </c>
      <c r="AX100" s="202">
        <f>IF($C100,IF(OR($AT100="Completo",$AU100="Cancelado",$AU100="Baja prioridad",NOT(ISNUMBER($AW100))),0,MAX(0,TODAY()-$AW100)),"")</f>
      </c>
      <c r="AY100" s="203">
        <f>IF($C100,IF(NOT(ISNUMBER($AR100)),"Sin fecha",IF($AT100="Completo","Completo",IF($AU100="Cancelado","Cancelado",IF($AU100="Baja prioridad","Baja prioridad",IF($AX100&gt;0,"Vencida","Pendiente"))))),"")</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IF($C101,'Proyecto Datos (OKR´s)'!$J101,"")</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IF($C101,'Backlog General'!$L101,"")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IF(AND($C101,ISNUMBER($AR101)),IF(OR($AT101="Completo",$AU101="Cancelado",$AU101="Baja prioridad"),$AR101,IF($AU101="Pasa al siguiente",MAX($AR101+1,$AS101),MAX($AR101,$AS101))),"")</f>
      </c>
      <c r="AW101" s="202">
        <f>IF(AND($C101,ISNUMBER($AR101)),$AQ101+$AR101*$AP101*'Sprints'!$D$5-'Sprints'!$D$5,"")</f>
      </c>
      <c r="AX101" s="202">
        <f>IF($C101,IF(OR($AT101="Completo",$AU101="Cancelado",$AU101="Baja prioridad",NOT(ISNUMBER($AW101))),0,MAX(0,TODAY()-$AW101)),"")</f>
      </c>
      <c r="AY101" s="203">
        <f>IF($C101,IF(NOT(ISNUMBER($AR101)),"Sin fecha",IF($AT101="Completo","Completo",IF($AU101="Cancelado","Cancelado",IF($AU101="Baja prioridad","Baja prioridad",IF($AX101&gt;0,"Vencida","Pendiente"))))),"")</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IF($C102,'Proyecto Datos (OKR´s)'!$J102,"")</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IF($C102,'Backlog General'!$L102,"")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IF(AND($C102,ISNUMBER($AR102)),IF(OR($AT102="Completo",$AU102="Cancelado",$AU102="Baja prioridad"),$AR102,IF($AU102="Pasa al siguiente",MAX($AR102+1,$AS102),MAX($AR102,$AS102))),"")</f>
      </c>
      <c r="AW102" s="202">
        <f>IF(AND($C102,ISNUMBER($AR102)),$AQ102+$AR102*$AP102*'Sprints'!$D$5-'Sprints'!$D$5,"")</f>
      </c>
      <c r="AX102" s="202">
        <f>IF($C102,IF(OR($AT102="Completo",$AU102="Cancelado",$AU102="Baja prioridad",NOT(ISNUMBER($AW102))),0,MAX(0,TODAY()-$AW102)),"")</f>
      </c>
      <c r="AY102" s="203">
        <f>IF($C102,IF(NOT(ISNUMBER($AR102)),"Sin fecha",IF($AT102="Completo","Completo",IF($AU102="Cancelado","Cancelado",IF($AU102="Baja prioridad","Baja prioridad",IF($AX102&gt;0,"Vencida","Pendiente"))))),"")</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IF($C103,'Proyecto Datos (OKR´s)'!$J103,"")</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IF($C103,'Backlog General'!$L103,"")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IF(AND($C103,ISNUMBER($AR103)),IF(OR($AT103="Completo",$AU103="Cancelado",$AU103="Baja prioridad"),$AR103,IF($AU103="Pasa al siguiente",MAX($AR103+1,$AS103),MAX($AR103,$AS103))),"")</f>
      </c>
      <c r="AW103" s="202">
        <f>IF(AND($C103,ISNUMBER($AR103)),$AQ103+$AR103*$AP103*'Sprints'!$D$5-'Sprints'!$D$5,"")</f>
      </c>
      <c r="AX103" s="202">
        <f>IF($C103,IF(OR($AT103="Completo",$AU103="Cancelado",$AU103="Baja prioridad",NOT(ISNUMBER($AW103))),0,MAX(0,TODAY()-$AW103)),"")</f>
      </c>
      <c r="AY103" s="203">
        <f>IF($C103,IF(NOT(ISNUMBER($AR103)),"Sin fecha",IF($AT103="Completo","Completo",IF($AU103="Cancelado","Cancelado",IF($AU103="Baja prioridad","Baja prioridad",IF($AX103&gt;0,"Vencida","Pendiente"))))),"")</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IF($C104,'Proyecto Datos (OKR´s)'!$J104,"")</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IF($C104,'Backlog General'!$L104,"")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IF(AND($C104,ISNUMBER($AR104)),IF(OR($AT104="Completo",$AU104="Cancelado",$AU104="Baja prioridad"),$AR104,IF($AU104="Pasa al siguiente",MAX($AR104+1,$AS104),MAX($AR104,$AS104))),"")</f>
      </c>
      <c r="AW104" s="202">
        <f>IF(AND($C104,ISNUMBER($AR104)),$AQ104+$AR104*$AP104*'Sprints'!$D$5-'Sprints'!$D$5,"")</f>
      </c>
      <c r="AX104" s="202">
        <f>IF($C104,IF(OR($AT104="Completo",$AU104="Cancelado",$AU104="Baja prioridad",NOT(ISNUMBER($AW104))),0,MAX(0,TODAY()-$AW104)),"")</f>
      </c>
      <c r="AY104" s="203">
        <f>IF($C104,IF(NOT(ISNUMBER($AR104)),"Sin fecha",IF($AT104="Completo","Completo",IF($AU104="Cancelado","Cancelado",IF($AU104="Baja prioridad","Baja prioridad",IF($AX104&gt;0,"Vencida","Pendiente"))))),"")</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IF($C105,'Proyecto Datos (OKR´s)'!$J105,"")</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IF($C105,'Backlog General'!$L105,"")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IF(AND($C105,ISNUMBER($AR105)),IF(OR($AT105="Completo",$AU105="Cancelado",$AU105="Baja prioridad"),$AR105,IF($AU105="Pasa al siguiente",MAX($AR105+1,$AS105),MAX($AR105,$AS105))),"")</f>
      </c>
      <c r="AW105" s="202">
        <f>IF(AND($C105,ISNUMBER($AR105)),$AQ105+$AR105*$AP105*'Sprints'!$D$5-'Sprints'!$D$5,"")</f>
      </c>
      <c r="AX105" s="202">
        <f>IF($C105,IF(OR($AT105="Completo",$AU105="Cancelado",$AU105="Baja prioridad",NOT(ISNUMBER($AW105))),0,MAX(0,TODAY()-$AW105)),"")</f>
      </c>
      <c r="AY105" s="203">
        <f>IF($C105,IF(NOT(ISNUMBER($AR105)),"Sin fecha",IF($AT105="Completo","Completo",IF($AU105="Cancelado","Cancelado",IF($AU105="Baja prioridad","Baja prioridad",IF($AX105&gt;0,"Vencida","Pendiente"))))),"")</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IF($C106,'Proyecto Datos (OKR´s)'!$J106,"")</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IF($C106,'Backlog General'!$L106,"")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IF(AND($C106,ISNUMBER($AR106)),IF(OR($AT106="Completo",$AU106="Cancelado",$AU106="Baja prioridad"),$AR106,IF($AU106="Pasa al siguiente",MAX($AR106+1,$AS106),MAX($AR106,$AS106))),"")</f>
      </c>
      <c r="AW106" s="202">
        <f>IF(AND($C106,ISNUMBER($AR106)),$AQ106+$AR106*$AP106*'Sprints'!$D$5-'Sprints'!$D$5,"")</f>
      </c>
      <c r="AX106" s="202">
        <f>IF($C106,IF(OR($AT106="Completo",$AU106="Cancelado",$AU106="Baja prioridad",NOT(ISNUMBER($AW106))),0,MAX(0,TODAY()-$AW106)),"")</f>
      </c>
      <c r="AY106" s="203">
        <f>IF($C106,IF(NOT(ISNUMBER($AR106)),"Sin fecha",IF($AT106="Completo","Completo",IF($AU106="Cancelado","Cancelado",IF($AU106="Baja prioridad","Baja prioridad",IF($AX106&gt;0,"Vencida","Pendiente"))))),"")</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IF($C107,'Proyecto Datos (OKR´s)'!$J107,"")</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IF($C107,'Backlog General'!$L107,"")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IF(AND($C107,ISNUMBER($AR107)),IF(OR($AT107="Completo",$AU107="Cancelado",$AU107="Baja prioridad"),$AR107,IF($AU107="Pasa al siguiente",MAX($AR107+1,$AS107),MAX($AR107,$AS107))),"")</f>
      </c>
      <c r="AW107" s="202">
        <f>IF(AND($C107,ISNUMBER($AR107)),$AQ107+$AR107*$AP107*'Sprints'!$D$5-'Sprints'!$D$5,"")</f>
      </c>
      <c r="AX107" s="202">
        <f>IF($C107,IF(OR($AT107="Completo",$AU107="Cancelado",$AU107="Baja prioridad",NOT(ISNUMBER($AW107))),0,MAX(0,TODAY()-$AW107)),"")</f>
      </c>
      <c r="AY107" s="203">
        <f>IF($C107,IF(NOT(ISNUMBER($AR107)),"Sin fecha",IF($AT107="Completo","Completo",IF($AU107="Cancelado","Cancelado",IF($AU107="Baja prioridad","Baja prioridad",IF($AX107&gt;0,"Vencida","Pendiente"))))),"")</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IF($C108,'Proyecto Datos (OKR´s)'!$J108,"")</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IF($C108,'Backlog General'!$L108,"")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IF(AND($C108,ISNUMBER($AR108)),IF(OR($AT108="Completo",$AU108="Cancelado",$AU108="Baja prioridad"),$AR108,IF($AU108="Pasa al siguiente",MAX($AR108+1,$AS108),MAX($AR108,$AS108))),"")</f>
      </c>
      <c r="AW108" s="202">
        <f>IF(AND($C108,ISNUMBER($AR108)),$AQ108+$AR108*$AP108*'Sprints'!$D$5-'Sprints'!$D$5,"")</f>
      </c>
      <c r="AX108" s="202">
        <f>IF($C108,IF(OR($AT108="Completo",$AU108="Cancelado",$AU108="Baja prioridad",NOT(ISNUMBER($AW108))),0,MAX(0,TODAY()-$AW108)),"")</f>
      </c>
      <c r="AY108" s="203">
        <f>IF($C108,IF(NOT(ISNUMBER($AR108)),"Sin fecha",IF($AT108="Completo","Completo",IF($AU108="Cancelado","Cancelado",IF($AU108="Baja prioridad","Baja prioridad",IF($AX108&gt;0,"Vencida","Pendiente"))))),"")</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IF($C109,'Proyecto Datos (OKR´s)'!$J109,"")</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IF($C109,'Backlog General'!$L109,"")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IF(AND($C109,ISNUMBER($AR109)),IF(OR($AT109="Completo",$AU109="Cancelado",$AU109="Baja prioridad"),$AR109,IF($AU109="Pasa al siguiente",MAX($AR109+1,$AS109),MAX($AR109,$AS109))),"")</f>
      </c>
      <c r="AW109" s="202">
        <f>IF(AND($C109,ISNUMBER($AR109)),$AQ109+$AR109*$AP109*'Sprints'!$D$5-'Sprints'!$D$5,"")</f>
      </c>
      <c r="AX109" s="202">
        <f>IF($C109,IF(OR($AT109="Completo",$AU109="Cancelado",$AU109="Baja prioridad",NOT(ISNUMBER($AW109))),0,MAX(0,TODAY()-$AW109)),"")</f>
      </c>
      <c r="AY109" s="203">
        <f>IF($C109,IF(NOT(ISNUMBER($AR109)),"Sin fecha",IF($AT109="Completo","Completo",IF($AU109="Cancelado","Cancelado",IF($AU109="Baja prioridad","Baja prioridad",IF($AX109&gt;0,"Vencida","Pendiente"))))),"")</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IF($C110,'Proyecto Datos (OKR´s)'!$J110,"")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IF($C110,'Backlog General'!$L110,"")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IF(AND($C110,ISNUMBER($AR110)),IF(OR($AT110="Completo",$AU110="Cancelado",$AU110="Baja prioridad"),$AR110,IF($AU110="Pasa al siguiente",MAX($AR110+1,$AS110),MAX($AR110,$AS110))),"")</f>
      </c>
      <c r="AW110" s="202">
        <f>IF(AND($C110,ISNUMBER($AR110)),$AQ110+$AR110*$AP110*'Sprints'!$D$5-'Sprints'!$D$5,"")</f>
      </c>
      <c r="AX110" s="202">
        <f>IF($C110,IF(OR($AT110="Completo",$AU110="Cancelado",$AU110="Baja prioridad",NOT(ISNUMBER($AW110))),0,MAX(0,TODAY()-$AW110)),"")</f>
      </c>
      <c r="AY110" s="203">
        <f>IF($C110,IF(NOT(ISNUMBER($AR110)),"Sin fecha",IF($AT110="Completo","Completo",IF($AU110="Cancelado","Cancelado",IF($AU110="Baja prioridad","Baja prioridad",IF($AX110&gt;0,"Vencida","Pendiente"))))),"")</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IF($C111,'Proyecto Datos (OKR´s)'!$J111,"")</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IF($C111,'Backlog General'!$L111,"")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IF(AND($C111,ISNUMBER($AR111)),IF(OR($AT111="Completo",$AU111="Cancelado",$AU111="Baja prioridad"),$AR111,IF($AU111="Pasa al siguiente",MAX($AR111+1,$AS111),MAX($AR111,$AS111))),"")</f>
      </c>
      <c r="AW111" s="202">
        <f>IF(AND($C111,ISNUMBER($AR111)),$AQ111+$AR111*$AP111*'Sprints'!$D$5-'Sprints'!$D$5,"")</f>
      </c>
      <c r="AX111" s="202">
        <f>IF($C111,IF(OR($AT111="Completo",$AU111="Cancelado",$AU111="Baja prioridad",NOT(ISNUMBER($AW111))),0,MAX(0,TODAY()-$AW111)),"")</f>
      </c>
      <c r="AY111" s="203">
        <f>IF($C111,IF(NOT(ISNUMBER($AR111)),"Sin fecha",IF($AT111="Completo","Completo",IF($AU111="Cancelado","Cancelado",IF($AU111="Baja prioridad","Baja prioridad",IF($AX111&gt;0,"Vencida","Pendiente"))))),"")</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IF($C112,'Proyecto Datos (OKR´s)'!$J112,"")</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IF($C112,'Backlog General'!$L112,"")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IF(AND($C112,ISNUMBER($AR112)),IF(OR($AT112="Completo",$AU112="Cancelado",$AU112="Baja prioridad"),$AR112,IF($AU112="Pasa al siguiente",MAX($AR112+1,$AS112),MAX($AR112,$AS112))),"")</f>
      </c>
      <c r="AW112" s="202">
        <f>IF(AND($C112,ISNUMBER($AR112)),$AQ112+$AR112*$AP112*'Sprints'!$D$5-'Sprints'!$D$5,"")</f>
      </c>
      <c r="AX112" s="202">
        <f>IF($C112,IF(OR($AT112="Completo",$AU112="Cancelado",$AU112="Baja prioridad",NOT(ISNUMBER($AW112))),0,MAX(0,TODAY()-$AW112)),"")</f>
      </c>
      <c r="AY112" s="203">
        <f>IF($C112,IF(NOT(ISNUMBER($AR112)),"Sin fecha",IF($AT112="Completo","Completo",IF($AU112="Cancelado","Cancelado",IF($AU112="Baja prioridad","Baja prioridad",IF($AX112&gt;0,"Vencida","Pendiente"))))),"")</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IF($C113,'Proyecto Datos (OKR´s)'!$J113,"")</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IF($C113,'Backlog General'!$L113,"")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IF(AND($C113,ISNUMBER($AR113)),IF(OR($AT113="Completo",$AU113="Cancelado",$AU113="Baja prioridad"),$AR113,IF($AU113="Pasa al siguiente",MAX($AR113+1,$AS113),MAX($AR113,$AS113))),"")</f>
      </c>
      <c r="AW113" s="202">
        <f>IF(AND($C113,ISNUMBER($AR113)),$AQ113+$AR113*$AP113*'Sprints'!$D$5-'Sprints'!$D$5,"")</f>
      </c>
      <c r="AX113" s="202">
        <f>IF($C113,IF(OR($AT113="Completo",$AU113="Cancelado",$AU113="Baja prioridad",NOT(ISNUMBER($AW113))),0,MAX(0,TODAY()-$AW113)),"")</f>
      </c>
      <c r="AY113" s="203">
        <f>IF($C113,IF(NOT(ISNUMBER($AR113)),"Sin fecha",IF($AT113="Completo","Completo",IF($AU113="Cancelado","Cancelado",IF($AU113="Baja prioridad","Baja prioridad",IF($AX113&gt;0,"Vencida","Pendiente"))))),"")</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IF($C114,'Proyecto Datos (OKR´s)'!$J114,"")</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IF($C114,'Backlog General'!$L114,"")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IF(AND($C114,ISNUMBER($AR114)),IF(OR($AT114="Completo",$AU114="Cancelado",$AU114="Baja prioridad"),$AR114,IF($AU114="Pasa al siguiente",MAX($AR114+1,$AS114),MAX($AR114,$AS114))),"")</f>
      </c>
      <c r="AW114" s="202">
        <f>IF(AND($C114,ISNUMBER($AR114)),$AQ114+$AR114*$AP114*'Sprints'!$D$5-'Sprints'!$D$5,"")</f>
      </c>
      <c r="AX114" s="202">
        <f>IF($C114,IF(OR($AT114="Completo",$AU114="Cancelado",$AU114="Baja prioridad",NOT(ISNUMBER($AW114))),0,MAX(0,TODAY()-$AW114)),"")</f>
      </c>
      <c r="AY114" s="203">
        <f>IF($C114,IF(NOT(ISNUMBER($AR114)),"Sin fecha",IF($AT114="Completo","Completo",IF($AU114="Cancelado","Cancelado",IF($AU114="Baja prioridad","Baja prioridad",IF($AX114&gt;0,"Vencida","Pendiente"))))),"")</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IF($C115,'Proyecto Datos (OKR´s)'!$J115,"")</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IF($C115,'Backlog General'!$L115,"")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IF(AND($C115,ISNUMBER($AR115)),IF(OR($AT115="Completo",$AU115="Cancelado",$AU115="Baja prioridad"),$AR115,IF($AU115="Pasa al siguiente",MAX($AR115+1,$AS115),MAX($AR115,$AS115))),"")</f>
      </c>
      <c r="AW115" s="202">
        <f>IF(AND($C115,ISNUMBER($AR115)),$AQ115+$AR115*$AP115*'Sprints'!$D$5-'Sprints'!$D$5,"")</f>
      </c>
      <c r="AX115" s="202">
        <f>IF($C115,IF(OR($AT115="Completo",$AU115="Cancelado",$AU115="Baja prioridad",NOT(ISNUMBER($AW115))),0,MAX(0,TODAY()-$AW115)),"")</f>
      </c>
      <c r="AY115" s="203">
        <f>IF($C115,IF(NOT(ISNUMBER($AR115)),"Sin fecha",IF($AT115="Completo","Completo",IF($AU115="Cancelado","Cancelado",IF($AU115="Baja prioridad","Baja prioridad",IF($AX115&gt;0,"Vencida","Pendiente"))))),"")</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IF($C116,'Proyecto Datos (OKR´s)'!$J116,"")</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IF($C116,'Backlog General'!$L116,"")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IF(AND($C116,ISNUMBER($AR116)),IF(OR($AT116="Completo",$AU116="Cancelado",$AU116="Baja prioridad"),$AR116,IF($AU116="Pasa al siguiente",MAX($AR116+1,$AS116),MAX($AR116,$AS116))),"")</f>
      </c>
      <c r="AW116" s="202">
        <f>IF(AND($C116,ISNUMBER($AR116)),$AQ116+$AR116*$AP116*'Sprints'!$D$5-'Sprints'!$D$5,"")</f>
      </c>
      <c r="AX116" s="202">
        <f>IF($C116,IF(OR($AT116="Completo",$AU116="Cancelado",$AU116="Baja prioridad",NOT(ISNUMBER($AW116))),0,MAX(0,TODAY()-$AW116)),"")</f>
      </c>
      <c r="AY116" s="203">
        <f>IF($C116,IF(NOT(ISNUMBER($AR116)),"Sin fecha",IF($AT116="Completo","Completo",IF($AU116="Cancelado","Cancelado",IF($AU116="Baja prioridad","Baja prioridad",IF($AX116&gt;0,"Vencida","Pendiente"))))),"")</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IF($C117,'Proyecto Datos (OKR´s)'!$J117,"")</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IF($C117,'Backlog General'!$L117,"")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IF(AND($C117,ISNUMBER($AR117)),IF(OR($AT117="Completo",$AU117="Cancelado",$AU117="Baja prioridad"),$AR117,IF($AU117="Pasa al siguiente",MAX($AR117+1,$AS117),MAX($AR117,$AS117))),"")</f>
      </c>
      <c r="AW117" s="202">
        <f>IF(AND($C117,ISNUMBER($AR117)),$AQ117+$AR117*$AP117*'Sprints'!$D$5-'Sprints'!$D$5,"")</f>
      </c>
      <c r="AX117" s="202">
        <f>IF($C117,IF(OR($AT117="Completo",$AU117="Cancelado",$AU117="Baja prioridad",NOT(ISNUMBER($AW117))),0,MAX(0,TODAY()-$AW117)),"")</f>
      </c>
      <c r="AY117" s="203">
        <f>IF($C117,IF(NOT(ISNUMBER($AR117)),"Sin fecha",IF($AT117="Completo","Completo",IF($AU117="Cancelado","Cancelado",IF($AU117="Baja prioridad","Baja prioridad",IF($AX117&gt;0,"Vencida","Pendiente"))))),"")</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IF($C118,'Proyecto Datos (OKR´s)'!$J118,"")</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IF($C118,'Backlog General'!$L118,"")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IF(AND($C118,ISNUMBER($AR118)),IF(OR($AT118="Completo",$AU118="Cancelado",$AU118="Baja prioridad"),$AR118,IF($AU118="Pasa al siguiente",MAX($AR118+1,$AS118),MAX($AR118,$AS118))),"")</f>
      </c>
      <c r="AW118" s="202">
        <f>IF(AND($C118,ISNUMBER($AR118)),$AQ118+$AR118*$AP118*'Sprints'!$D$5-'Sprints'!$D$5,"")</f>
      </c>
      <c r="AX118" s="202">
        <f>IF($C118,IF(OR($AT118="Completo",$AU118="Cancelado",$AU118="Baja prioridad",NOT(ISNUMBER($AW118))),0,MAX(0,TODAY()-$AW118)),"")</f>
      </c>
      <c r="AY118" s="203">
        <f>IF($C118,IF(NOT(ISNUMBER($AR118)),"Sin fecha",IF($AT118="Completo","Completo",IF($AU118="Cancelado","Cancelado",IF($AU118="Baja prioridad","Baja prioridad",IF($AX118&gt;0,"Vencida","Pendiente"))))),"")</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IF($C119,'Proyecto Datos (OKR´s)'!$J119,"")</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IF($C119,'Backlog General'!$L119,"")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IF(AND($C119,ISNUMBER($AR119)),IF(OR($AT119="Completo",$AU119="Cancelado",$AU119="Baja prioridad"),$AR119,IF($AU119="Pasa al siguiente",MAX($AR119+1,$AS119),MAX($AR119,$AS119))),"")</f>
      </c>
      <c r="AW119" s="202">
        <f>IF(AND($C119,ISNUMBER($AR119)),$AQ119+$AR119*$AP119*'Sprints'!$D$5-'Sprints'!$D$5,"")</f>
      </c>
      <c r="AX119" s="202">
        <f>IF($C119,IF(OR($AT119="Completo",$AU119="Cancelado",$AU119="Baja prioridad",NOT(ISNUMBER($AW119))),0,MAX(0,TODAY()-$AW119)),"")</f>
      </c>
      <c r="AY119" s="203">
        <f>IF($C119,IF(NOT(ISNUMBER($AR119)),"Sin fecha",IF($AT119="Completo","Completo",IF($AU119="Cancelado","Cancelado",IF($AU119="Baja prioridad","Baja prioridad",IF($AX119&gt;0,"Vencida","Pendiente"))))),"")</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IF($C120,'Proyecto Datos (OKR´s)'!$J120,"")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IF($C120,'Backlog General'!$L120,"")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IF(AND($C120,ISNUMBER($AR120)),IF(OR($AT120="Completo",$AU120="Cancelado",$AU120="Baja prioridad"),$AR120,IF($AU120="Pasa al siguiente",MAX($AR120+1,$AS120),MAX($AR120,$AS120))),"")</f>
      </c>
      <c r="AW120" s="202">
        <f>IF(AND($C120,ISNUMBER($AR120)),$AQ120+$AR120*$AP120*'Sprints'!$D$5-'Sprints'!$D$5,"")</f>
      </c>
      <c r="AX120" s="202">
        <f>IF($C120,IF(OR($AT120="Completo",$AU120="Cancelado",$AU120="Baja prioridad",NOT(ISNUMBER($AW120))),0,MAX(0,TODAY()-$AW120)),"")</f>
      </c>
      <c r="AY120" s="203">
        <f>IF($C120,IF(NOT(ISNUMBER($AR120)),"Sin fecha",IF($AT120="Completo","Completo",IF($AU120="Cancelado","Cancelado",IF($AU120="Baja prioridad","Baja prioridad",IF($AX120&gt;0,"Vencida","Pendiente"))))),"")</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IF($C121,'Proyecto Datos (OKR´s)'!$J121,"")</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IF($C121,'Backlog General'!$L121,"")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IF(AND($C121,ISNUMBER($AR121)),IF(OR($AT121="Completo",$AU121="Cancelado",$AU121="Baja prioridad"),$AR121,IF($AU121="Pasa al siguiente",MAX($AR121+1,$AS121),MAX($AR121,$AS121))),"")</f>
      </c>
      <c r="AW121" s="202">
        <f>IF(AND($C121,ISNUMBER($AR121)),$AQ121+$AR121*$AP121*'Sprints'!$D$5-'Sprints'!$D$5,"")</f>
      </c>
      <c r="AX121" s="202">
        <f>IF($C121,IF(OR($AT121="Completo",$AU121="Cancelado",$AU121="Baja prioridad",NOT(ISNUMBER($AW121))),0,MAX(0,TODAY()-$AW121)),"")</f>
      </c>
      <c r="AY121" s="203">
        <f>IF($C121,IF(NOT(ISNUMBER($AR121)),"Sin fecha",IF($AT121="Completo","Completo",IF($AU121="Cancelado","Cancelado",IF($AU121="Baja prioridad","Baja prioridad",IF($AX121&gt;0,"Vencida","Pendiente"))))),"")</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IF($C122,'Proyecto Datos (OKR´s)'!$J122,"")</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IF($C122,'Backlog General'!$L122,"")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IF(AND($C122,ISNUMBER($AR122)),IF(OR($AT122="Completo",$AU122="Cancelado",$AU122="Baja prioridad"),$AR122,IF($AU122="Pasa al siguiente",MAX($AR122+1,$AS122),MAX($AR122,$AS122))),"")</f>
      </c>
      <c r="AW122" s="202">
        <f>IF(AND($C122,ISNUMBER($AR122)),$AQ122+$AR122*$AP122*'Sprints'!$D$5-'Sprints'!$D$5,"")</f>
      </c>
      <c r="AX122" s="202">
        <f>IF($C122,IF(OR($AT122="Completo",$AU122="Cancelado",$AU122="Baja prioridad",NOT(ISNUMBER($AW122))),0,MAX(0,TODAY()-$AW122)),"")</f>
      </c>
      <c r="AY122" s="203">
        <f>IF($C122,IF(NOT(ISNUMBER($AR122)),"Sin fecha",IF($AT122="Completo","Completo",IF($AU122="Cancelado","Cancelado",IF($AU122="Baja prioridad","Baja prioridad",IF($AX122&gt;0,"Vencida","Pendiente"))))),"")</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IF($C123,'Proyecto Datos (OKR´s)'!$J123,"")</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IF($C123,'Backlog General'!$L123,"")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IF(AND($C123,ISNUMBER($AR123)),IF(OR($AT123="Completo",$AU123="Cancelado",$AU123="Baja prioridad"),$AR123,IF($AU123="Pasa al siguiente",MAX($AR123+1,$AS123),MAX($AR123,$AS123))),"")</f>
      </c>
      <c r="AW123" s="202">
        <f>IF(AND($C123,ISNUMBER($AR123)),$AQ123+$AR123*$AP123*'Sprints'!$D$5-'Sprints'!$D$5,"")</f>
      </c>
      <c r="AX123" s="202">
        <f>IF($C123,IF(OR($AT123="Completo",$AU123="Cancelado",$AU123="Baja prioridad",NOT(ISNUMBER($AW123))),0,MAX(0,TODAY()-$AW123)),"")</f>
      </c>
      <c r="AY123" s="203">
        <f>IF($C123,IF(NOT(ISNUMBER($AR123)),"Sin fecha",IF($AT123="Completo","Completo",IF($AU123="Cancelado","Cancelado",IF($AU123="Baja prioridad","Baja prioridad",IF($AX123&gt;0,"Vencida","Pendiente"))))),"")</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IF($C124,'Proyecto Datos (OKR´s)'!$J124,"")</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IF($C124,'Backlog General'!$L124,"")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IF(AND($C124,ISNUMBER($AR124)),IF(OR($AT124="Completo",$AU124="Cancelado",$AU124="Baja prioridad"),$AR124,IF($AU124="Pasa al siguiente",MAX($AR124+1,$AS124),MAX($AR124,$AS124))),"")</f>
      </c>
      <c r="AW124" s="202">
        <f>IF(AND($C124,ISNUMBER($AR124)),$AQ124+$AR124*$AP124*'Sprints'!$D$5-'Sprints'!$D$5,"")</f>
      </c>
      <c r="AX124" s="202">
        <f>IF($C124,IF(OR($AT124="Completo",$AU124="Cancelado",$AU124="Baja prioridad",NOT(ISNUMBER($AW124))),0,MAX(0,TODAY()-$AW124)),"")</f>
      </c>
      <c r="AY124" s="203">
        <f>IF($C124,IF(NOT(ISNUMBER($AR124)),"Sin fecha",IF($AT124="Completo","Completo",IF($AU124="Cancelado","Cancelado",IF($AU124="Baja prioridad","Baja prioridad",IF($AX124&gt;0,"Vencida","Pendiente"))))),"")</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IF($C125,'Proyecto Datos (OKR´s)'!$J125,"")</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IF($C125,'Backlog General'!$L125,"")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IF(AND($C125,ISNUMBER($AR125)),IF(OR($AT125="Completo",$AU125="Cancelado",$AU125="Baja prioridad"),$AR125,IF($AU125="Pasa al siguiente",MAX($AR125+1,$AS125),MAX($AR125,$AS125))),"")</f>
      </c>
      <c r="AW125" s="202">
        <f>IF(AND($C125,ISNUMBER($AR125)),$AQ125+$AR125*$AP125*'Sprints'!$D$5-'Sprints'!$D$5,"")</f>
      </c>
      <c r="AX125" s="202">
        <f>IF($C125,IF(OR($AT125="Completo",$AU125="Cancelado",$AU125="Baja prioridad",NOT(ISNUMBER($AW125))),0,MAX(0,TODAY()-$AW125)),"")</f>
      </c>
      <c r="AY125" s="203">
        <f>IF($C125,IF(NOT(ISNUMBER($AR125)),"Sin fecha",IF($AT125="Completo","Completo",IF($AU125="Cancelado","Cancelado",IF($AU125="Baja prioridad","Baja prioridad",IF($AX125&gt;0,"Vencida","Pendiente"))))),"")</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IF($C126,'Proyecto Datos (OKR´s)'!$J126,"")</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IF($C126,'Backlog General'!$L126,"")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IF(AND($C126,ISNUMBER($AR126)),IF(OR($AT126="Completo",$AU126="Cancelado",$AU126="Baja prioridad"),$AR126,IF($AU126="Pasa al siguiente",MAX($AR126+1,$AS126),MAX($AR126,$AS126))),"")</f>
      </c>
      <c r="AW126" s="202">
        <f>IF(AND($C126,ISNUMBER($AR126)),$AQ126+$AR126*$AP126*'Sprints'!$D$5-'Sprints'!$D$5,"")</f>
      </c>
      <c r="AX126" s="202">
        <f>IF($C126,IF(OR($AT126="Completo",$AU126="Cancelado",$AU126="Baja prioridad",NOT(ISNUMBER($AW126))),0,MAX(0,TODAY()-$AW126)),"")</f>
      </c>
      <c r="AY126" s="203">
        <f>IF($C126,IF(NOT(ISNUMBER($AR126)),"Sin fecha",IF($AT126="Completo","Completo",IF($AU126="Cancelado","Cancelado",IF($AU126="Baja prioridad","Baja prioridad",IF($AX126&gt;0,"Vencida","Pendiente"))))),"")</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IF($C127,'Proyecto Datos (OKR´s)'!$J127,"")</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IF($C127,'Backlog General'!$L127,"")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IF(AND($C127,ISNUMBER($AR127)),IF(OR($AT127="Completo",$AU127="Cancelado",$AU127="Baja prioridad"),$AR127,IF($AU127="Pasa al siguiente",MAX($AR127+1,$AS127),MAX($AR127,$AS127))),"")</f>
      </c>
      <c r="AW127" s="202">
        <f>IF(AND($C127,ISNUMBER($AR127)),$AQ127+$AR127*$AP127*'Sprints'!$D$5-'Sprints'!$D$5,"")</f>
      </c>
      <c r="AX127" s="202">
        <f>IF($C127,IF(OR($AT127="Completo",$AU127="Cancelado",$AU127="Baja prioridad",NOT(ISNUMBER($AW127))),0,MAX(0,TODAY()-$AW127)),"")</f>
      </c>
      <c r="AY127" s="203">
        <f>IF($C127,IF(NOT(ISNUMBER($AR127)),"Sin fecha",IF($AT127="Completo","Completo",IF($AU127="Cancelado","Cancelado",IF($AU127="Baja prioridad","Baja prioridad",IF($AX127&gt;0,"Vencida","Pendiente"))))),"")</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IF($C128,'Proyecto Datos (OKR´s)'!$J128,"")</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IF($C128,'Backlog General'!$L128,"")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IF(AND($C128,ISNUMBER($AR128)),IF(OR($AT128="Completo",$AU128="Cancelado",$AU128="Baja prioridad"),$AR128,IF($AU128="Pasa al siguiente",MAX($AR128+1,$AS128),MAX($AR128,$AS128))),"")</f>
      </c>
      <c r="AW128" s="202">
        <f>IF(AND($C128,ISNUMBER($AR128)),$AQ128+$AR128*$AP128*'Sprints'!$D$5-'Sprints'!$D$5,"")</f>
      </c>
      <c r="AX128" s="202">
        <f>IF($C128,IF(OR($AT128="Completo",$AU128="Cancelado",$AU128="Baja prioridad",NOT(ISNUMBER($AW128))),0,MAX(0,TODAY()-$AW128)),"")</f>
      </c>
      <c r="AY128" s="203">
        <f>IF($C128,IF(NOT(ISNUMBER($AR128)),"Sin fecha",IF($AT128="Completo","Completo",IF($AU128="Cancelado","Cancelado",IF($AU128="Baja prioridad","Baja prioridad",IF($AX128&gt;0,"Vencida","Pendiente"))))),"")</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IF($C129,'Proyecto Datos (OKR´s)'!$J129,"")</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IF($C129,'Backlog General'!$L129,"")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IF(AND($C129,ISNUMBER($AR129)),IF(OR($AT129="Completo",$AU129="Cancelado",$AU129="Baja prioridad"),$AR129,IF($AU129="Pasa al siguiente",MAX($AR129+1,$AS129),MAX($AR129,$AS129))),"")</f>
      </c>
      <c r="AW129" s="202">
        <f>IF(AND($C129,ISNUMBER($AR129)),$AQ129+$AR129*$AP129*'Sprints'!$D$5-'Sprints'!$D$5,"")</f>
      </c>
      <c r="AX129" s="202">
        <f>IF($C129,IF(OR($AT129="Completo",$AU129="Cancelado",$AU129="Baja prioridad",NOT(ISNUMBER($AW129))),0,MAX(0,TODAY()-$AW129)),"")</f>
      </c>
      <c r="AY129" s="203">
        <f>IF($C129,IF(NOT(ISNUMBER($AR129)),"Sin fecha",IF($AT129="Completo","Completo",IF($AU129="Cancelado","Cancelado",IF($AU129="Baja prioridad","Baja prioridad",IF($AX129&gt;0,"Vencida","Pendiente"))))),"")</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IF($C130,'Proyecto Datos (OKR´s)'!$J130,"")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IF($C130,'Backlog General'!$L130,"")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IF(AND($C130,ISNUMBER($AR130)),IF(OR($AT130="Completo",$AU130="Cancelado",$AU130="Baja prioridad"),$AR130,IF($AU130="Pasa al siguiente",MAX($AR130+1,$AS130),MAX($AR130,$AS130))),"")</f>
      </c>
      <c r="AW130" s="202">
        <f>IF(AND($C130,ISNUMBER($AR130)),$AQ130+$AR130*$AP130*'Sprints'!$D$5-'Sprints'!$D$5,"")</f>
      </c>
      <c r="AX130" s="202">
        <f>IF($C130,IF(OR($AT130="Completo",$AU130="Cancelado",$AU130="Baja prioridad",NOT(ISNUMBER($AW130))),0,MAX(0,TODAY()-$AW130)),"")</f>
      </c>
      <c r="AY130" s="203">
        <f>IF($C130,IF(NOT(ISNUMBER($AR130)),"Sin fecha",IF($AT130="Completo","Completo",IF($AU130="Cancelado","Cancelado",IF($AU130="Baja prioridad","Baja prioridad",IF($AX130&gt;0,"Vencida","Pendiente"))))),"")</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IF($C131,'Proyecto Datos (OKR´s)'!$J131,"")</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IF($C131,'Backlog General'!$L131,"")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IF(AND($C131,ISNUMBER($AR131)),IF(OR($AT131="Completo",$AU131="Cancelado",$AU131="Baja prioridad"),$AR131,IF($AU131="Pasa al siguiente",MAX($AR131+1,$AS131),MAX($AR131,$AS131))),"")</f>
      </c>
      <c r="AW131" s="202">
        <f>IF(AND($C131,ISNUMBER($AR131)),$AQ131+$AR131*$AP131*'Sprints'!$D$5-'Sprints'!$D$5,"")</f>
      </c>
      <c r="AX131" s="202">
        <f>IF($C131,IF(OR($AT131="Completo",$AU131="Cancelado",$AU131="Baja prioridad",NOT(ISNUMBER($AW131))),0,MAX(0,TODAY()-$AW131)),"")</f>
      </c>
      <c r="AY131" s="203">
        <f>IF($C131,IF(NOT(ISNUMBER($AR131)),"Sin fecha",IF($AT131="Completo","Completo",IF($AU131="Cancelado","Cancelado",IF($AU131="Baja prioridad","Baja prioridad",IF($AX131&gt;0,"Vencida","Pendiente"))))),"")</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IF($C132,'Proyecto Datos (OKR´s)'!$J132,"")</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IF($C132,'Backlog General'!$L132,"")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IF(AND($C132,ISNUMBER($AR132)),IF(OR($AT132="Completo",$AU132="Cancelado",$AU132="Baja prioridad"),$AR132,IF($AU132="Pasa al siguiente",MAX($AR132+1,$AS132),MAX($AR132,$AS132))),"")</f>
      </c>
      <c r="AW132" s="202">
        <f>IF(AND($C132,ISNUMBER($AR132)),$AQ132+$AR132*$AP132*'Sprints'!$D$5-'Sprints'!$D$5,"")</f>
      </c>
      <c r="AX132" s="202">
        <f>IF($C132,IF(OR($AT132="Completo",$AU132="Cancelado",$AU132="Baja prioridad",NOT(ISNUMBER($AW132))),0,MAX(0,TODAY()-$AW132)),"")</f>
      </c>
      <c r="AY132" s="203">
        <f>IF($C132,IF(NOT(ISNUMBER($AR132)),"Sin fecha",IF($AT132="Completo","Completo",IF($AU132="Cancelado","Cancelado",IF($AU132="Baja prioridad","Baja prioridad",IF($AX132&gt;0,"Vencida","Pendiente"))))),"")</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IF($C133,'Proyecto Datos (OKR´s)'!$J133,"")</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IF($C133,'Backlog General'!$L133,"")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IF(AND($C133,ISNUMBER($AR133)),IF(OR($AT133="Completo",$AU133="Cancelado",$AU133="Baja prioridad"),$AR133,IF($AU133="Pasa al siguiente",MAX($AR133+1,$AS133),MAX($AR133,$AS133))),"")</f>
      </c>
      <c r="AW133" s="202">
        <f>IF(AND($C133,ISNUMBER($AR133)),$AQ133+$AR133*$AP133*'Sprints'!$D$5-'Sprints'!$D$5,"")</f>
      </c>
      <c r="AX133" s="202">
        <f>IF($C133,IF(OR($AT133="Completo",$AU133="Cancelado",$AU133="Baja prioridad",NOT(ISNUMBER($AW133))),0,MAX(0,TODAY()-$AW133)),"")</f>
      </c>
      <c r="AY133" s="203">
        <f>IF($C133,IF(NOT(ISNUMBER($AR133)),"Sin fecha",IF($AT133="Completo","Completo",IF($AU133="Cancelado","Cancelado",IF($AU133="Baja prioridad","Baja prioridad",IF($AX133&gt;0,"Vencida","Pendiente"))))),"")</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IF($C134,'Proyecto Datos (OKR´s)'!$J134,"")</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IF($C134,'Backlog General'!$L134,"")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IF(AND($C134,ISNUMBER($AR134)),IF(OR($AT134="Completo",$AU134="Cancelado",$AU134="Baja prioridad"),$AR134,IF($AU134="Pasa al siguiente",MAX($AR134+1,$AS134),MAX($AR134,$AS134))),"")</f>
      </c>
      <c r="AW134" s="202">
        <f>IF(AND($C134,ISNUMBER($AR134)),$AQ134+$AR134*$AP134*'Sprints'!$D$5-'Sprints'!$D$5,"")</f>
      </c>
      <c r="AX134" s="202">
        <f>IF($C134,IF(OR($AT134="Completo",$AU134="Cancelado",$AU134="Baja prioridad",NOT(ISNUMBER($AW134))),0,MAX(0,TODAY()-$AW134)),"")</f>
      </c>
      <c r="AY134" s="203">
        <f>IF($C134,IF(NOT(ISNUMBER($AR134)),"Sin fecha",IF($AT134="Completo","Completo",IF($AU134="Cancelado","Cancelado",IF($AU134="Baja prioridad","Baja prioridad",IF($AX134&gt;0,"Vencida","Pendiente"))))),"")</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IF($C135,'Proyecto Datos (OKR´s)'!$J135,"")</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IF($C135,'Backlog General'!$L135,"")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IF(AND($C135,ISNUMBER($AR135)),IF(OR($AT135="Completo",$AU135="Cancelado",$AU135="Baja prioridad"),$AR135,IF($AU135="Pasa al siguiente",MAX($AR135+1,$AS135),MAX($AR135,$AS135))),"")</f>
      </c>
      <c r="AW135" s="202">
        <f>IF(AND($C135,ISNUMBER($AR135)),$AQ135+$AR135*$AP135*'Sprints'!$D$5-'Sprints'!$D$5,"")</f>
      </c>
      <c r="AX135" s="202">
        <f>IF($C135,IF(OR($AT135="Completo",$AU135="Cancelado",$AU135="Baja prioridad",NOT(ISNUMBER($AW135))),0,MAX(0,TODAY()-$AW135)),"")</f>
      </c>
      <c r="AY135" s="203">
        <f>IF($C135,IF(NOT(ISNUMBER($AR135)),"Sin fecha",IF($AT135="Completo","Completo",IF($AU135="Cancelado","Cancelado",IF($AU135="Baja prioridad","Baja prioridad",IF($AX135&gt;0,"Vencida","Pendiente"))))),"")</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IF($C136,'Proyecto Datos (OKR´s)'!$J136,"")</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IF($C136,'Backlog General'!$L136,"")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IF(AND($C136,ISNUMBER($AR136)),IF(OR($AT136="Completo",$AU136="Cancelado",$AU136="Baja prioridad"),$AR136,IF($AU136="Pasa al siguiente",MAX($AR136+1,$AS136),MAX($AR136,$AS136))),"")</f>
      </c>
      <c r="AW136" s="202">
        <f>IF(AND($C136,ISNUMBER($AR136)),$AQ136+$AR136*$AP136*'Sprints'!$D$5-'Sprints'!$D$5,"")</f>
      </c>
      <c r="AX136" s="202">
        <f>IF($C136,IF(OR($AT136="Completo",$AU136="Cancelado",$AU136="Baja prioridad",NOT(ISNUMBER($AW136))),0,MAX(0,TODAY()-$AW136)),"")</f>
      </c>
      <c r="AY136" s="203">
        <f>IF($C136,IF(NOT(ISNUMBER($AR136)),"Sin fecha",IF($AT136="Completo","Completo",IF($AU136="Cancelado","Cancelado",IF($AU136="Baja prioridad","Baja prioridad",IF($AX136&gt;0,"Vencida","Pendiente"))))),"")</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IF($C137,'Proyecto Datos (OKR´s)'!$J137,"")</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IF($C137,'Backlog General'!$L137,"")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IF(AND($C137,ISNUMBER($AR137)),IF(OR($AT137="Completo",$AU137="Cancelado",$AU137="Baja prioridad"),$AR137,IF($AU137="Pasa al siguiente",MAX($AR137+1,$AS137),MAX($AR137,$AS137))),"")</f>
      </c>
      <c r="AW137" s="202">
        <f>IF(AND($C137,ISNUMBER($AR137)),$AQ137+$AR137*$AP137*'Sprints'!$D$5-'Sprints'!$D$5,"")</f>
      </c>
      <c r="AX137" s="202">
        <f>IF($C137,IF(OR($AT137="Completo",$AU137="Cancelado",$AU137="Baja prioridad",NOT(ISNUMBER($AW137))),0,MAX(0,TODAY()-$AW137)),"")</f>
      </c>
      <c r="AY137" s="203">
        <f>IF($C137,IF(NOT(ISNUMBER($AR137)),"Sin fecha",IF($AT137="Completo","Completo",IF($AU137="Cancelado","Cancelado",IF($AU137="Baja prioridad","Baja prioridad",IF($AX137&gt;0,"Vencida","Pendiente"))))),"")</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IF($C138,'Proyecto Datos (OKR´s)'!$J138,"")</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IF($C138,'Backlog General'!$L138,"")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IF(AND($C138,ISNUMBER($AR138)),IF(OR($AT138="Completo",$AU138="Cancelado",$AU138="Baja prioridad"),$AR138,IF($AU138="Pasa al siguiente",MAX($AR138+1,$AS138),MAX($AR138,$AS138))),"")</f>
      </c>
      <c r="AW138" s="202">
        <f>IF(AND($C138,ISNUMBER($AR138)),$AQ138+$AR138*$AP138*'Sprints'!$D$5-'Sprints'!$D$5,"")</f>
      </c>
      <c r="AX138" s="202">
        <f>IF($C138,IF(OR($AT138="Completo",$AU138="Cancelado",$AU138="Baja prioridad",NOT(ISNUMBER($AW138))),0,MAX(0,TODAY()-$AW138)),"")</f>
      </c>
      <c r="AY138" s="203">
        <f>IF($C138,IF(NOT(ISNUMBER($AR138)),"Sin fecha",IF($AT138="Completo","Completo",IF($AU138="Cancelado","Cancelado",IF($AU138="Baja prioridad","Baja prioridad",IF($AX138&gt;0,"Vencida","Pendiente"))))),"")</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IF($C139,'Proyecto Datos (OKR´s)'!$J139,"")</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IF($C139,'Backlog General'!$L139,"")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IF(AND($C139,ISNUMBER($AR139)),IF(OR($AT139="Completo",$AU139="Cancelado",$AU139="Baja prioridad"),$AR139,IF($AU139="Pasa al siguiente",MAX($AR139+1,$AS139),MAX($AR139,$AS139))),"")</f>
      </c>
      <c r="AW139" s="202">
        <f>IF(AND($C139,ISNUMBER($AR139)),$AQ139+$AR139*$AP139*'Sprints'!$D$5-'Sprints'!$D$5,"")</f>
      </c>
      <c r="AX139" s="202">
        <f>IF($C139,IF(OR($AT139="Completo",$AU139="Cancelado",$AU139="Baja prioridad",NOT(ISNUMBER($AW139))),0,MAX(0,TODAY()-$AW139)),"")</f>
      </c>
      <c r="AY139" s="203">
        <f>IF($C139,IF(NOT(ISNUMBER($AR139)),"Sin fecha",IF($AT139="Completo","Completo",IF($AU139="Cancelado","Cancelado",IF($AU139="Baja prioridad","Baja prioridad",IF($AX139&gt;0,"Vencida","Pendiente"))))),"")</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IF($C140,'Proyecto Datos (OKR´s)'!$J140,"")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IF($C140,'Backlog General'!$L140,"")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IF(AND($C140,ISNUMBER($AR140)),IF(OR($AT140="Completo",$AU140="Cancelado",$AU140="Baja prioridad"),$AR140,IF($AU140="Pasa al siguiente",MAX($AR140+1,$AS140),MAX($AR140,$AS140))),"")</f>
      </c>
      <c r="AW140" s="202">
        <f>IF(AND($C140,ISNUMBER($AR140)),$AQ140+$AR140*$AP140*'Sprints'!$D$5-'Sprints'!$D$5,"")</f>
      </c>
      <c r="AX140" s="202">
        <f>IF($C140,IF(OR($AT140="Completo",$AU140="Cancelado",$AU140="Baja prioridad",NOT(ISNUMBER($AW140))),0,MAX(0,TODAY()-$AW140)),"")</f>
      </c>
      <c r="AY140" s="203">
        <f>IF($C140,IF(NOT(ISNUMBER($AR140)),"Sin fecha",IF($AT140="Completo","Completo",IF($AU140="Cancelado","Cancelado",IF($AU140="Baja prioridad","Baja prioridad",IF($AX140&gt;0,"Vencida","Pendiente"))))),"")</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IF($C141,'Proyecto Datos (OKR´s)'!$J141,"")</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IF($C141,'Backlog General'!$L141,"")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IF(AND($C141,ISNUMBER($AR141)),IF(OR($AT141="Completo",$AU141="Cancelado",$AU141="Baja prioridad"),$AR141,IF($AU141="Pasa al siguiente",MAX($AR141+1,$AS141),MAX($AR141,$AS141))),"")</f>
      </c>
      <c r="AW141" s="202">
        <f>IF(AND($C141,ISNUMBER($AR141)),$AQ141+$AR141*$AP141*'Sprints'!$D$5-'Sprints'!$D$5,"")</f>
      </c>
      <c r="AX141" s="202">
        <f>IF($C141,IF(OR($AT141="Completo",$AU141="Cancelado",$AU141="Baja prioridad",NOT(ISNUMBER($AW141))),0,MAX(0,TODAY()-$AW141)),"")</f>
      </c>
      <c r="AY141" s="203">
        <f>IF($C141,IF(NOT(ISNUMBER($AR141)),"Sin fecha",IF($AT141="Completo","Completo",IF($AU141="Cancelado","Cancelado",IF($AU141="Baja prioridad","Baja prioridad",IF($AX141&gt;0,"Vencida","Pendiente"))))),"")</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IF($C142,'Proyecto Datos (OKR´s)'!$J142,"")</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IF($C142,'Backlog General'!$L142,"")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IF(AND($C142,ISNUMBER($AR142)),IF(OR($AT142="Completo",$AU142="Cancelado",$AU142="Baja prioridad"),$AR142,IF($AU142="Pasa al siguiente",MAX($AR142+1,$AS142),MAX($AR142,$AS142))),"")</f>
      </c>
      <c r="AW142" s="202">
        <f>IF(AND($C142,ISNUMBER($AR142)),$AQ142+$AR142*$AP142*'Sprints'!$D$5-'Sprints'!$D$5,"")</f>
      </c>
      <c r="AX142" s="202">
        <f>IF($C142,IF(OR($AT142="Completo",$AU142="Cancelado",$AU142="Baja prioridad",NOT(ISNUMBER($AW142))),0,MAX(0,TODAY()-$AW142)),"")</f>
      </c>
      <c r="AY142" s="203">
        <f>IF($C142,IF(NOT(ISNUMBER($AR142)),"Sin fecha",IF($AT142="Completo","Completo",IF($AU142="Cancelado","Cancelado",IF($AU142="Baja prioridad","Baja prioridad",IF($AX142&gt;0,"Vencida","Pendiente"))))),"")</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IF($C143,'Proyecto Datos (OKR´s)'!$J143,"")</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IF($C143,'Backlog General'!$L143,"")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IF(AND($C143,ISNUMBER($AR143)),IF(OR($AT143="Completo",$AU143="Cancelado",$AU143="Baja prioridad"),$AR143,IF($AU143="Pasa al siguiente",MAX($AR143+1,$AS143),MAX($AR143,$AS143))),"")</f>
      </c>
      <c r="AW143" s="202">
        <f>IF(AND($C143,ISNUMBER($AR143)),$AQ143+$AR143*$AP143*'Sprints'!$D$5-'Sprints'!$D$5,"")</f>
      </c>
      <c r="AX143" s="202">
        <f>IF($C143,IF(OR($AT143="Completo",$AU143="Cancelado",$AU143="Baja prioridad",NOT(ISNUMBER($AW143))),0,MAX(0,TODAY()-$AW143)),"")</f>
      </c>
      <c r="AY143" s="203">
        <f>IF($C143,IF(NOT(ISNUMBER($AR143)),"Sin fecha",IF($AT143="Completo","Completo",IF($AU143="Cancelado","Cancelado",IF($AU143="Baja prioridad","Baja prioridad",IF($AX143&gt;0,"Vencida","Pendiente"))))),"")</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IF($C144,'Proyecto Datos (OKR´s)'!$J144,"")</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IF($C144,'Backlog General'!$L144,"")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IF(AND($C144,ISNUMBER($AR144)),IF(OR($AT144="Completo",$AU144="Cancelado",$AU144="Baja prioridad"),$AR144,IF($AU144="Pasa al siguiente",MAX($AR144+1,$AS144),MAX($AR144,$AS144))),"")</f>
      </c>
      <c r="AW144" s="202">
        <f>IF(AND($C144,ISNUMBER($AR144)),$AQ144+$AR144*$AP144*'Sprints'!$D$5-'Sprints'!$D$5,"")</f>
      </c>
      <c r="AX144" s="202">
        <f>IF($C144,IF(OR($AT144="Completo",$AU144="Cancelado",$AU144="Baja prioridad",NOT(ISNUMBER($AW144))),0,MAX(0,TODAY()-$AW144)),"")</f>
      </c>
      <c r="AY144" s="203">
        <f>IF($C144,IF(NOT(ISNUMBER($AR144)),"Sin fecha",IF($AT144="Completo","Completo",IF($AU144="Cancelado","Cancelado",IF($AU144="Baja prioridad","Baja prioridad",IF($AX144&gt;0,"Vencida","Pendiente"))))),"")</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IF($C145,'Proyecto Datos (OKR´s)'!$J145,"")</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IF($C145,'Backlog General'!$L145,"")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IF(AND($C145,ISNUMBER($AR145)),IF(OR($AT145="Completo",$AU145="Cancelado",$AU145="Baja prioridad"),$AR145,IF($AU145="Pasa al siguiente",MAX($AR145+1,$AS145),MAX($AR145,$AS145))),"")</f>
      </c>
      <c r="AW145" s="202">
        <f>IF(AND($C145,ISNUMBER($AR145)),$AQ145+$AR145*$AP145*'Sprints'!$D$5-'Sprints'!$D$5,"")</f>
      </c>
      <c r="AX145" s="202">
        <f>IF($C145,IF(OR($AT145="Completo",$AU145="Cancelado",$AU145="Baja prioridad",NOT(ISNUMBER($AW145))),0,MAX(0,TODAY()-$AW145)),"")</f>
      </c>
      <c r="AY145" s="203">
        <f>IF($C145,IF(NOT(ISNUMBER($AR145)),"Sin fecha",IF($AT145="Completo","Completo",IF($AU145="Cancelado","Cancelado",IF($AU145="Baja prioridad","Baja prioridad",IF($AX145&gt;0,"Vencida","Pendiente"))))),"")</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IF($C146,'Proyecto Datos (OKR´s)'!$J146,"")</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IF($C146,'Backlog General'!$L146,"")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IF(AND($C146,ISNUMBER($AR146)),IF(OR($AT146="Completo",$AU146="Cancelado",$AU146="Baja prioridad"),$AR146,IF($AU146="Pasa al siguiente",MAX($AR146+1,$AS146),MAX($AR146,$AS146))),"")</f>
      </c>
      <c r="AW146" s="202">
        <f>IF(AND($C146,ISNUMBER($AR146)),$AQ146+$AR146*$AP146*'Sprints'!$D$5-'Sprints'!$D$5,"")</f>
      </c>
      <c r="AX146" s="202">
        <f>IF($C146,IF(OR($AT146="Completo",$AU146="Cancelado",$AU146="Baja prioridad",NOT(ISNUMBER($AW146))),0,MAX(0,TODAY()-$AW146)),"")</f>
      </c>
      <c r="AY146" s="203">
        <f>IF($C146,IF(NOT(ISNUMBER($AR146)),"Sin fecha",IF($AT146="Completo","Completo",IF($AU146="Cancelado","Cancelado",IF($AU146="Baja prioridad","Baja prioridad",IF($AX146&gt;0,"Vencida","Pendiente"))))),"")</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IF($C147,'Proyecto Datos (OKR´s)'!$J147,"")</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IF($C147,'Backlog General'!$L147,"")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IF(AND($C147,ISNUMBER($AR147)),IF(OR($AT147="Completo",$AU147="Cancelado",$AU147="Baja prioridad"),$AR147,IF($AU147="Pasa al siguiente",MAX($AR147+1,$AS147),MAX($AR147,$AS147))),"")</f>
      </c>
      <c r="AW147" s="202">
        <f>IF(AND($C147,ISNUMBER($AR147)),$AQ147+$AR147*$AP147*'Sprints'!$D$5-'Sprints'!$D$5,"")</f>
      </c>
      <c r="AX147" s="202">
        <f>IF($C147,IF(OR($AT147="Completo",$AU147="Cancelado",$AU147="Baja prioridad",NOT(ISNUMBER($AW147))),0,MAX(0,TODAY()-$AW147)),"")</f>
      </c>
      <c r="AY147" s="203">
        <f>IF($C147,IF(NOT(ISNUMBER($AR147)),"Sin fecha",IF($AT147="Completo","Completo",IF($AU147="Cancelado","Cancelado",IF($AU147="Baja prioridad","Baja prioridad",IF($AX147&gt;0,"Vencida","Pendiente"))))),"")</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IF($C148,'Proyecto Datos (OKR´s)'!$J148,"")</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IF($C148,'Backlog General'!$L148,"")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IF(AND($C148,ISNUMBER($AR148)),IF(OR($AT148="Completo",$AU148="Cancelado",$AU148="Baja prioridad"),$AR148,IF($AU148="Pasa al siguiente",MAX($AR148+1,$AS148),MAX($AR148,$AS148))),"")</f>
      </c>
      <c r="AW148" s="202">
        <f>IF(AND($C148,ISNUMBER($AR148)),$AQ148+$AR148*$AP148*'Sprints'!$D$5-'Sprints'!$D$5,"")</f>
      </c>
      <c r="AX148" s="202">
        <f>IF($C148,IF(OR($AT148="Completo",$AU148="Cancelado",$AU148="Baja prioridad",NOT(ISNUMBER($AW148))),0,MAX(0,TODAY()-$AW148)),"")</f>
      </c>
      <c r="AY148" s="203">
        <f>IF($C148,IF(NOT(ISNUMBER($AR148)),"Sin fecha",IF($AT148="Completo","Completo",IF($AU148="Cancelado","Cancelado",IF($AU148="Baja prioridad","Baja prioridad",IF($AX148&gt;0,"Vencida","Pendiente"))))),"")</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IF($C149,'Proyecto Datos (OKR´s)'!$J149,"")</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IF($C149,'Backlog General'!$L149,"")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IF(AND($C149,ISNUMBER($AR149)),IF(OR($AT149="Completo",$AU149="Cancelado",$AU149="Baja prioridad"),$AR149,IF($AU149="Pasa al siguiente",MAX($AR149+1,$AS149),MAX($AR149,$AS149))),"")</f>
      </c>
      <c r="AW149" s="202">
        <f>IF(AND($C149,ISNUMBER($AR149)),$AQ149+$AR149*$AP149*'Sprints'!$D$5-'Sprints'!$D$5,"")</f>
      </c>
      <c r="AX149" s="202">
        <f>IF($C149,IF(OR($AT149="Completo",$AU149="Cancelado",$AU149="Baja prioridad",NOT(ISNUMBER($AW149))),0,MAX(0,TODAY()-$AW149)),"")</f>
      </c>
      <c r="AY149" s="203">
        <f>IF($C149,IF(NOT(ISNUMBER($AR149)),"Sin fecha",IF($AT149="Completo","Completo",IF($AU149="Cancelado","Cancelado",IF($AU149="Baja prioridad","Baja prioridad",IF($AX149&gt;0,"Vencida","Pendiente"))))),"")</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IF($C150,'Proyecto Datos (OKR´s)'!$J150,"")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IF($C150,'Backlog General'!$L150,"")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IF(AND($C150,ISNUMBER($AR150)),IF(OR($AT150="Completo",$AU150="Cancelado",$AU150="Baja prioridad"),$AR150,IF($AU150="Pasa al siguiente",MAX($AR150+1,$AS150),MAX($AR150,$AS150))),"")</f>
      </c>
      <c r="AW150" s="202">
        <f>IF(AND($C150,ISNUMBER($AR150)),$AQ150+$AR150*$AP150*'Sprints'!$D$5-'Sprints'!$D$5,"")</f>
      </c>
      <c r="AX150" s="202">
        <f>IF($C150,IF(OR($AT150="Completo",$AU150="Cancelado",$AU150="Baja prioridad",NOT(ISNUMBER($AW150))),0,MAX(0,TODAY()-$AW150)),"")</f>
      </c>
      <c r="AY150" s="203">
        <f>IF($C150,IF(NOT(ISNUMBER($AR150)),"Sin fecha",IF($AT150="Completo","Completo",IF($AU150="Cancelado","Cancelado",IF($AU150="Baja prioridad","Baja prioridad",IF($AX150&gt;0,"Vencida","Pendiente"))))),"")</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IF($C151,'Proyecto Datos (OKR´s)'!$J151,"")</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IF($C151,'Backlog General'!$L151,"")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IF(AND($C151,ISNUMBER($AR151)),IF(OR($AT151="Completo",$AU151="Cancelado",$AU151="Baja prioridad"),$AR151,IF($AU151="Pasa al siguiente",MAX($AR151+1,$AS151),MAX($AR151,$AS151))),"")</f>
      </c>
      <c r="AW151" s="202">
        <f>IF(AND($C151,ISNUMBER($AR151)),$AQ151+$AR151*$AP151*'Sprints'!$D$5-'Sprints'!$D$5,"")</f>
      </c>
      <c r="AX151" s="202">
        <f>IF($C151,IF(OR($AT151="Completo",$AU151="Cancelado",$AU151="Baja prioridad",NOT(ISNUMBER($AW151))),0,MAX(0,TODAY()-$AW151)),"")</f>
      </c>
      <c r="AY151" s="203">
        <f>IF($C151,IF(NOT(ISNUMBER($AR151)),"Sin fecha",IF($AT151="Completo","Completo",IF($AU151="Cancelado","Cancelado",IF($AU151="Baja prioridad","Baja prioridad",IF($AX151&gt;0,"Vencida","Pendiente"))))),"")</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IF($C152,'Proyecto Datos (OKR´s)'!$J152,"")</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IF($C152,'Backlog General'!$L152,"")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IF(AND($C152,ISNUMBER($AR152)),IF(OR($AT152="Completo",$AU152="Cancelado",$AU152="Baja prioridad"),$AR152,IF($AU152="Pasa al siguiente",MAX($AR152+1,$AS152),MAX($AR152,$AS152))),"")</f>
      </c>
      <c r="AW152" s="202">
        <f>IF(AND($C152,ISNUMBER($AR152)),$AQ152+$AR152*$AP152*'Sprints'!$D$5-'Sprints'!$D$5,"")</f>
      </c>
      <c r="AX152" s="202">
        <f>IF($C152,IF(OR($AT152="Completo",$AU152="Cancelado",$AU152="Baja prioridad",NOT(ISNUMBER($AW152))),0,MAX(0,TODAY()-$AW152)),"")</f>
      </c>
      <c r="AY152" s="203">
        <f>IF($C152,IF(NOT(ISNUMBER($AR152)),"Sin fecha",IF($AT152="Completo","Completo",IF($AU152="Cancelado","Cancelado",IF($AU152="Baja prioridad","Baja prioridad",IF($AX152&gt;0,"Vencida","Pendiente"))))),"")</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IF($C153,'Proyecto Datos (OKR´s)'!$J153,"")</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IF($C153,'Backlog General'!$L153,"")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IF(AND($C153,ISNUMBER($AR153)),IF(OR($AT153="Completo",$AU153="Cancelado",$AU153="Baja prioridad"),$AR153,IF($AU153="Pasa al siguiente",MAX($AR153+1,$AS153),MAX($AR153,$AS153))),"")</f>
      </c>
      <c r="AW153" s="202">
        <f>IF(AND($C153,ISNUMBER($AR153)),$AQ153+$AR153*$AP153*'Sprints'!$D$5-'Sprints'!$D$5,"")</f>
      </c>
      <c r="AX153" s="202">
        <f>IF($C153,IF(OR($AT153="Completo",$AU153="Cancelado",$AU153="Baja prioridad",NOT(ISNUMBER($AW153))),0,MAX(0,TODAY()-$AW153)),"")</f>
      </c>
      <c r="AY153" s="203">
        <f>IF($C153,IF(NOT(ISNUMBER($AR153)),"Sin fecha",IF($AT153="Completo","Completo",IF($AU153="Cancelado","Cancelado",IF($AU153="Baja prioridad","Baja prioridad",IF($AX153&gt;0,"Vencida","Pendiente"))))),"")</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IF($C154,'Proyecto Datos (OKR´s)'!$J154,"")</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IF($C154,'Backlog General'!$L154,"")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IF(AND($C154,ISNUMBER($AR154)),IF(OR($AT154="Completo",$AU154="Cancelado",$AU154="Baja prioridad"),$AR154,IF($AU154="Pasa al siguiente",MAX($AR154+1,$AS154),MAX($AR154,$AS154))),"")</f>
      </c>
      <c r="AW154" s="202">
        <f>IF(AND($C154,ISNUMBER($AR154)),$AQ154+$AR154*$AP154*'Sprints'!$D$5-'Sprints'!$D$5,"")</f>
      </c>
      <c r="AX154" s="202">
        <f>IF($C154,IF(OR($AT154="Completo",$AU154="Cancelado",$AU154="Baja prioridad",NOT(ISNUMBER($AW154))),0,MAX(0,TODAY()-$AW154)),"")</f>
      </c>
      <c r="AY154" s="203">
        <f>IF($C154,IF(NOT(ISNUMBER($AR154)),"Sin fecha",IF($AT154="Completo","Completo",IF($AU154="Cancelado","Cancelado",IF($AU154="Baja prioridad","Baja prioridad",IF($AX154&gt;0,"Vencida","Pendiente"))))),"")</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IF($C155,'Proyecto Datos (OKR´s)'!$J155,"")</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IF($C155,'Backlog General'!$L155,"")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IF(AND($C155,ISNUMBER($AR155)),IF(OR($AT155="Completo",$AU155="Cancelado",$AU155="Baja prioridad"),$AR155,IF($AU155="Pasa al siguiente",MAX($AR155+1,$AS155),MAX($AR155,$AS155))),"")</f>
      </c>
      <c r="AW155" s="202">
        <f>IF(AND($C155,ISNUMBER($AR155)),$AQ155+$AR155*$AP155*'Sprints'!$D$5-'Sprints'!$D$5,"")</f>
      </c>
      <c r="AX155" s="202">
        <f>IF($C155,IF(OR($AT155="Completo",$AU155="Cancelado",$AU155="Baja prioridad",NOT(ISNUMBER($AW155))),0,MAX(0,TODAY()-$AW155)),"")</f>
      </c>
      <c r="AY155" s="203">
        <f>IF($C155,IF(NOT(ISNUMBER($AR155)),"Sin fecha",IF($AT155="Completo","Completo",IF($AU155="Cancelado","Cancelado",IF($AU155="Baja prioridad","Baja prioridad",IF($AX155&gt;0,"Vencida","Pendiente"))))),"")</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IF($C156,'Proyecto Datos (OKR´s)'!$J156,"")</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IF($C156,'Backlog General'!$L156,"")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IF(AND($C156,ISNUMBER($AR156)),IF(OR($AT156="Completo",$AU156="Cancelado",$AU156="Baja prioridad"),$AR156,IF($AU156="Pasa al siguiente",MAX($AR156+1,$AS156),MAX($AR156,$AS156))),"")</f>
      </c>
      <c r="AW156" s="202">
        <f>IF(AND($C156,ISNUMBER($AR156)),$AQ156+$AR156*$AP156*'Sprints'!$D$5-'Sprints'!$D$5,"")</f>
      </c>
      <c r="AX156" s="202">
        <f>IF($C156,IF(OR($AT156="Completo",$AU156="Cancelado",$AU156="Baja prioridad",NOT(ISNUMBER($AW156))),0,MAX(0,TODAY()-$AW156)),"")</f>
      </c>
      <c r="AY156" s="203">
        <f>IF($C156,IF(NOT(ISNUMBER($AR156)),"Sin fecha",IF($AT156="Completo","Completo",IF($AU156="Cancelado","Cancelado",IF($AU156="Baja prioridad","Baja prioridad",IF($AX156&gt;0,"Vencida","Pendiente"))))),"")</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IF($C157,'Proyecto Datos (OKR´s)'!$J157,"")</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IF($C157,'Backlog General'!$L157,"")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IF(AND($C157,ISNUMBER($AR157)),IF(OR($AT157="Completo",$AU157="Cancelado",$AU157="Baja prioridad"),$AR157,IF($AU157="Pasa al siguiente",MAX($AR157+1,$AS157),MAX($AR157,$AS157))),"")</f>
      </c>
      <c r="AW157" s="202">
        <f>IF(AND($C157,ISNUMBER($AR157)),$AQ157+$AR157*$AP157*'Sprints'!$D$5-'Sprints'!$D$5,"")</f>
      </c>
      <c r="AX157" s="202">
        <f>IF($C157,IF(OR($AT157="Completo",$AU157="Cancelado",$AU157="Baja prioridad",NOT(ISNUMBER($AW157))),0,MAX(0,TODAY()-$AW157)),"")</f>
      </c>
      <c r="AY157" s="203">
        <f>IF($C157,IF(NOT(ISNUMBER($AR157)),"Sin fecha",IF($AT157="Completo","Completo",IF($AU157="Cancelado","Cancelado",IF($AU157="Baja prioridad","Baja prioridad",IF($AX157&gt;0,"Vencida","Pendiente"))))),"")</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IF($C158,'Proyecto Datos (OKR´s)'!$J158,"")</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IF($C158,'Backlog General'!$L158,"")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IF(AND($C158,ISNUMBER($AR158)),IF(OR($AT158="Completo",$AU158="Cancelado",$AU158="Baja prioridad"),$AR158,IF($AU158="Pasa al siguiente",MAX($AR158+1,$AS158),MAX($AR158,$AS158))),"")</f>
      </c>
      <c r="AW158" s="202">
        <f>IF(AND($C158,ISNUMBER($AR158)),$AQ158+$AR158*$AP158*'Sprints'!$D$5-'Sprints'!$D$5,"")</f>
      </c>
      <c r="AX158" s="202">
        <f>IF($C158,IF(OR($AT158="Completo",$AU158="Cancelado",$AU158="Baja prioridad",NOT(ISNUMBER($AW158))),0,MAX(0,TODAY()-$AW158)),"")</f>
      </c>
      <c r="AY158" s="203">
        <f>IF($C158,IF(NOT(ISNUMBER($AR158)),"Sin fecha",IF($AT158="Completo","Completo",IF($AU158="Cancelado","Cancelado",IF($AU158="Baja prioridad","Baja prioridad",IF($AX158&gt;0,"Vencida","Pendiente"))))),"")</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IF($C159,'Proyecto Datos (OKR´s)'!$J159,"")</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IF($C159,'Backlog General'!$L159,"")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IF(AND($C159,ISNUMBER($AR159)),IF(OR($AT159="Completo",$AU159="Cancelado",$AU159="Baja prioridad"),$AR159,IF($AU159="Pasa al siguiente",MAX($AR159+1,$AS159),MAX($AR159,$AS159))),"")</f>
      </c>
      <c r="AW159" s="202">
        <f>IF(AND($C159,ISNUMBER($AR159)),$AQ159+$AR159*$AP159*'Sprints'!$D$5-'Sprints'!$D$5,"")</f>
      </c>
      <c r="AX159" s="202">
        <f>IF($C159,IF(OR($AT159="Completo",$AU159="Cancelado",$AU159="Baja prioridad",NOT(ISNUMBER($AW159))),0,MAX(0,TODAY()-$AW159)),"")</f>
      </c>
      <c r="AY159" s="203">
        <f>IF($C159,IF(NOT(ISNUMBER($AR159)),"Sin fecha",IF($AT159="Completo","Completo",IF($AU159="Cancelado","Cancelado",IF($AU159="Baja prioridad","Baja prioridad",IF($AX159&gt;0,"Vencida","Pendiente"))))),"")</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IF($C160,'Proyecto Datos (OKR´s)'!$J160,"")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IF($C160,'Backlog General'!$L160,"")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IF(AND($C160,ISNUMBER($AR160)),IF(OR($AT160="Completo",$AU160="Cancelado",$AU160="Baja prioridad"),$AR160,IF($AU160="Pasa al siguiente",MAX($AR160+1,$AS160),MAX($AR160,$AS160))),"")</f>
      </c>
      <c r="AW160" s="202">
        <f>IF(AND($C160,ISNUMBER($AR160)),$AQ160+$AR160*$AP160*'Sprints'!$D$5-'Sprints'!$D$5,"")</f>
      </c>
      <c r="AX160" s="202">
        <f>IF($C160,IF(OR($AT160="Completo",$AU160="Cancelado",$AU160="Baja prioridad",NOT(ISNUMBER($AW160))),0,MAX(0,TODAY()-$AW160)),"")</f>
      </c>
      <c r="AY160" s="203">
        <f>IF($C160,IF(NOT(ISNUMBER($AR160)),"Sin fecha",IF($AT160="Completo","Completo",IF($AU160="Cancelado","Cancelado",IF($AU160="Baja prioridad","Baja prioridad",IF($AX160&gt;0,"Vencida","Pendiente"))))),"")</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IF($C161,'Proyecto Datos (OKR´s)'!$J161,"")</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IF($C161,'Backlog General'!$L161,"")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IF(AND($C161,ISNUMBER($AR161)),IF(OR($AT161="Completo",$AU161="Cancelado",$AU161="Baja prioridad"),$AR161,IF($AU161="Pasa al siguiente",MAX($AR161+1,$AS161),MAX($AR161,$AS161))),"")</f>
      </c>
      <c r="AW161" s="202">
        <f>IF(AND($C161,ISNUMBER($AR161)),$AQ161+$AR161*$AP161*'Sprints'!$D$5-'Sprints'!$D$5,"")</f>
      </c>
      <c r="AX161" s="202">
        <f>IF($C161,IF(OR($AT161="Completo",$AU161="Cancelado",$AU161="Baja prioridad",NOT(ISNUMBER($AW161))),0,MAX(0,TODAY()-$AW161)),"")</f>
      </c>
      <c r="AY161" s="203">
        <f>IF($C161,IF(NOT(ISNUMBER($AR161)),"Sin fecha",IF($AT161="Completo","Completo",IF($AU161="Cancelado","Cancelado",IF($AU161="Baja prioridad","Baja prioridad",IF($AX161&gt;0,"Vencida","Pendiente"))))),"")</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IF($C162,'Proyecto Datos (OKR´s)'!$J162,"")</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IF($C162,'Backlog General'!$L162,"")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IF(AND($C162,ISNUMBER($AR162)),IF(OR($AT162="Completo",$AU162="Cancelado",$AU162="Baja prioridad"),$AR162,IF($AU162="Pasa al siguiente",MAX($AR162+1,$AS162),MAX($AR162,$AS162))),"")</f>
      </c>
      <c r="AW162" s="202">
        <f>IF(AND($C162,ISNUMBER($AR162)),$AQ162+$AR162*$AP162*'Sprints'!$D$5-'Sprints'!$D$5,"")</f>
      </c>
      <c r="AX162" s="202">
        <f>IF($C162,IF(OR($AT162="Completo",$AU162="Cancelado",$AU162="Baja prioridad",NOT(ISNUMBER($AW162))),0,MAX(0,TODAY()-$AW162)),"")</f>
      </c>
      <c r="AY162" s="203">
        <f>IF($C162,IF(NOT(ISNUMBER($AR162)),"Sin fecha",IF($AT162="Completo","Completo",IF($AU162="Cancelado","Cancelado",IF($AU162="Baja prioridad","Baja prioridad",IF($AX162&gt;0,"Vencida","Pendiente"))))),"")</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IF($C163,'Proyecto Datos (OKR´s)'!$J163,"")</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IF($C163,'Backlog General'!$L163,"")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IF(AND($C163,ISNUMBER($AR163)),IF(OR($AT163="Completo",$AU163="Cancelado",$AU163="Baja prioridad"),$AR163,IF($AU163="Pasa al siguiente",MAX($AR163+1,$AS163),MAX($AR163,$AS163))),"")</f>
      </c>
      <c r="AW163" s="202">
        <f>IF(AND($C163,ISNUMBER($AR163)),$AQ163+$AR163*$AP163*'Sprints'!$D$5-'Sprints'!$D$5,"")</f>
      </c>
      <c r="AX163" s="202">
        <f>IF($C163,IF(OR($AT163="Completo",$AU163="Cancelado",$AU163="Baja prioridad",NOT(ISNUMBER($AW163))),0,MAX(0,TODAY()-$AW163)),"")</f>
      </c>
      <c r="AY163" s="203">
        <f>IF($C163,IF(NOT(ISNUMBER($AR163)),"Sin fecha",IF($AT163="Completo","Completo",IF($AU163="Cancelado","Cancelado",IF($AU163="Baja prioridad","Baja prioridad",IF($AX163&gt;0,"Vencida","Pendiente"))))),"")</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IF($C164,'Proyecto Datos (OKR´s)'!$J164,"")</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IF($C164,'Backlog General'!$L164,"")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IF(AND($C164,ISNUMBER($AR164)),IF(OR($AT164="Completo",$AU164="Cancelado",$AU164="Baja prioridad"),$AR164,IF($AU164="Pasa al siguiente",MAX($AR164+1,$AS164),MAX($AR164,$AS164))),"")</f>
      </c>
      <c r="AW164" s="202">
        <f>IF(AND($C164,ISNUMBER($AR164)),$AQ164+$AR164*$AP164*'Sprints'!$D$5-'Sprints'!$D$5,"")</f>
      </c>
      <c r="AX164" s="202">
        <f>IF($C164,IF(OR($AT164="Completo",$AU164="Cancelado",$AU164="Baja prioridad",NOT(ISNUMBER($AW164))),0,MAX(0,TODAY()-$AW164)),"")</f>
      </c>
      <c r="AY164" s="203">
        <f>IF($C164,IF(NOT(ISNUMBER($AR164)),"Sin fecha",IF($AT164="Completo","Completo",IF($AU164="Cancelado","Cancelado",IF($AU164="Baja prioridad","Baja prioridad",IF($AX164&gt;0,"Vencida","Pendiente"))))),"")</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IF($C165,'Proyecto Datos (OKR´s)'!$J165,"")</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IF($C165,'Backlog General'!$L165,"")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IF(AND($C165,ISNUMBER($AR165)),IF(OR($AT165="Completo",$AU165="Cancelado",$AU165="Baja prioridad"),$AR165,IF($AU165="Pasa al siguiente",MAX($AR165+1,$AS165),MAX($AR165,$AS165))),"")</f>
      </c>
      <c r="AW165" s="202">
        <f>IF(AND($C165,ISNUMBER($AR165)),$AQ165+$AR165*$AP165*'Sprints'!$D$5-'Sprints'!$D$5,"")</f>
      </c>
      <c r="AX165" s="202">
        <f>IF($C165,IF(OR($AT165="Completo",$AU165="Cancelado",$AU165="Baja prioridad",NOT(ISNUMBER($AW165))),0,MAX(0,TODAY()-$AW165)),"")</f>
      </c>
      <c r="AY165" s="203">
        <f>IF($C165,IF(NOT(ISNUMBER($AR165)),"Sin fecha",IF($AT165="Completo","Completo",IF($AU165="Cancelado","Cancelado",IF($AU165="Baja prioridad","Baja prioridad",IF($AX165&gt;0,"Vencida","Pendiente"))))),"")</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IF($C166,'Proyecto Datos (OKR´s)'!$J166,"")</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IF($C166,'Backlog General'!$L166,"")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IF(AND($C166,ISNUMBER($AR166)),IF(OR($AT166="Completo",$AU166="Cancelado",$AU166="Baja prioridad"),$AR166,IF($AU166="Pasa al siguiente",MAX($AR166+1,$AS166),MAX($AR166,$AS166))),"")</f>
      </c>
      <c r="AW166" s="202">
        <f>IF(AND($C166,ISNUMBER($AR166)),$AQ166+$AR166*$AP166*'Sprints'!$D$5-'Sprints'!$D$5,"")</f>
      </c>
      <c r="AX166" s="202">
        <f>IF($C166,IF(OR($AT166="Completo",$AU166="Cancelado",$AU166="Baja prioridad",NOT(ISNUMBER($AW166))),0,MAX(0,TODAY()-$AW166)),"")</f>
      </c>
      <c r="AY166" s="203">
        <f>IF($C166,IF(NOT(ISNUMBER($AR166)),"Sin fecha",IF($AT166="Completo","Completo",IF($AU166="Cancelado","Cancelado",IF($AU166="Baja prioridad","Baja prioridad",IF($AX166&gt;0,"Vencida","Pendiente"))))),"")</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IF($C167,'Proyecto Datos (OKR´s)'!$J167,"")</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IF($C167,'Backlog General'!$L167,"")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IF(AND($C167,ISNUMBER($AR167)),IF(OR($AT167="Completo",$AU167="Cancelado",$AU167="Baja prioridad"),$AR167,IF($AU167="Pasa al siguiente",MAX($AR167+1,$AS167),MAX($AR167,$AS167))),"")</f>
      </c>
      <c r="AW167" s="202">
        <f>IF(AND($C167,ISNUMBER($AR167)),$AQ167+$AR167*$AP167*'Sprints'!$D$5-'Sprints'!$D$5,"")</f>
      </c>
      <c r="AX167" s="202">
        <f>IF($C167,IF(OR($AT167="Completo",$AU167="Cancelado",$AU167="Baja prioridad",NOT(ISNUMBER($AW167))),0,MAX(0,TODAY()-$AW167)),"")</f>
      </c>
      <c r="AY167" s="203">
        <f>IF($C167,IF(NOT(ISNUMBER($AR167)),"Sin fecha",IF($AT167="Completo","Completo",IF($AU167="Cancelado","Cancelado",IF($AU167="Baja prioridad","Baja prioridad",IF($AX167&gt;0,"Vencida","Pendiente"))))),"")</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IF($C168,'Proyecto Datos (OKR´s)'!$J168,"")</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IF($C168,'Backlog General'!$L168,"")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IF(AND($C168,ISNUMBER($AR168)),IF(OR($AT168="Completo",$AU168="Cancelado",$AU168="Baja prioridad"),$AR168,IF($AU168="Pasa al siguiente",MAX($AR168+1,$AS168),MAX($AR168,$AS168))),"")</f>
      </c>
      <c r="AW168" s="202">
        <f>IF(AND($C168,ISNUMBER($AR168)),$AQ168+$AR168*$AP168*'Sprints'!$D$5-'Sprints'!$D$5,"")</f>
      </c>
      <c r="AX168" s="202">
        <f>IF($C168,IF(OR($AT168="Completo",$AU168="Cancelado",$AU168="Baja prioridad",NOT(ISNUMBER($AW168))),0,MAX(0,TODAY()-$AW168)),"")</f>
      </c>
      <c r="AY168" s="203">
        <f>IF($C168,IF(NOT(ISNUMBER($AR168)),"Sin fecha",IF($AT168="Completo","Completo",IF($AU168="Cancelado","Cancelado",IF($AU168="Baja prioridad","Baja prioridad",IF($AX168&gt;0,"Vencida","Pendiente"))))),"")</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IF($C169,'Proyecto Datos (OKR´s)'!$J169,"")</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IF($C169,'Backlog General'!$L169,"")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IF(AND($C169,ISNUMBER($AR169)),IF(OR($AT169="Completo",$AU169="Cancelado",$AU169="Baja prioridad"),$AR169,IF($AU169="Pasa al siguiente",MAX($AR169+1,$AS169),MAX($AR169,$AS169))),"")</f>
      </c>
      <c r="AW169" s="202">
        <f>IF(AND($C169,ISNUMBER($AR169)),$AQ169+$AR169*$AP169*'Sprints'!$D$5-'Sprints'!$D$5,"")</f>
      </c>
      <c r="AX169" s="202">
        <f>IF($C169,IF(OR($AT169="Completo",$AU169="Cancelado",$AU169="Baja prioridad",NOT(ISNUMBER($AW169))),0,MAX(0,TODAY()-$AW169)),"")</f>
      </c>
      <c r="AY169" s="203">
        <f>IF($C169,IF(NOT(ISNUMBER($AR169)),"Sin fecha",IF($AT169="Completo","Completo",IF($AU169="Cancelado","Cancelado",IF($AU169="Baja prioridad","Baja prioridad",IF($AX169&gt;0,"Vencida","Pendiente"))))),"")</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IF($C170,'Proyecto Datos (OKR´s)'!$J170,"")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IF($C170,'Backlog General'!$L170,"")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IF(AND($C170,ISNUMBER($AR170)),IF(OR($AT170="Completo",$AU170="Cancelado",$AU170="Baja prioridad"),$AR170,IF($AU170="Pasa al siguiente",MAX($AR170+1,$AS170),MAX($AR170,$AS170))),"")</f>
      </c>
      <c r="AW170" s="202">
        <f>IF(AND($C170,ISNUMBER($AR170)),$AQ170+$AR170*$AP170*'Sprints'!$D$5-'Sprints'!$D$5,"")</f>
      </c>
      <c r="AX170" s="202">
        <f>IF($C170,IF(OR($AT170="Completo",$AU170="Cancelado",$AU170="Baja prioridad",NOT(ISNUMBER($AW170))),0,MAX(0,TODAY()-$AW170)),"")</f>
      </c>
      <c r="AY170" s="203">
        <f>IF($C170,IF(NOT(ISNUMBER($AR170)),"Sin fecha",IF($AT170="Completo","Completo",IF($AU170="Cancelado","Cancelado",IF($AU170="Baja prioridad","Baja prioridad",IF($AX170&gt;0,"Vencida","Pendiente"))))),"")</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IF($C171,'Proyecto Datos (OKR´s)'!$J171,"")</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IF($C171,'Backlog General'!$L171,"")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IF(AND($C171,ISNUMBER($AR171)),IF(OR($AT171="Completo",$AU171="Cancelado",$AU171="Baja prioridad"),$AR171,IF($AU171="Pasa al siguiente",MAX($AR171+1,$AS171),MAX($AR171,$AS171))),"")</f>
      </c>
      <c r="AW171" s="202">
        <f>IF(AND($C171,ISNUMBER($AR171)),$AQ171+$AR171*$AP171*'Sprints'!$D$5-'Sprints'!$D$5,"")</f>
      </c>
      <c r="AX171" s="202">
        <f>IF($C171,IF(OR($AT171="Completo",$AU171="Cancelado",$AU171="Baja prioridad",NOT(ISNUMBER($AW171))),0,MAX(0,TODAY()-$AW171)),"")</f>
      </c>
      <c r="AY171" s="203">
        <f>IF($C171,IF(NOT(ISNUMBER($AR171)),"Sin fecha",IF($AT171="Completo","Completo",IF($AU171="Cancelado","Cancelado",IF($AU171="Baja prioridad","Baja prioridad",IF($AX171&gt;0,"Vencida","Pendiente"))))),"")</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IF($C172,'Proyecto Datos (OKR´s)'!$J172,"")</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IF($C172,'Backlog General'!$L172,"")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IF(AND($C172,ISNUMBER($AR172)),IF(OR($AT172="Completo",$AU172="Cancelado",$AU172="Baja prioridad"),$AR172,IF($AU172="Pasa al siguiente",MAX($AR172+1,$AS172),MAX($AR172,$AS172))),"")</f>
      </c>
      <c r="AW172" s="202">
        <f>IF(AND($C172,ISNUMBER($AR172)),$AQ172+$AR172*$AP172*'Sprints'!$D$5-'Sprints'!$D$5,"")</f>
      </c>
      <c r="AX172" s="202">
        <f>IF($C172,IF(OR($AT172="Completo",$AU172="Cancelado",$AU172="Baja prioridad",NOT(ISNUMBER($AW172))),0,MAX(0,TODAY()-$AW172)),"")</f>
      </c>
      <c r="AY172" s="203">
        <f>IF($C172,IF(NOT(ISNUMBER($AR172)),"Sin fecha",IF($AT172="Completo","Completo",IF($AU172="Cancelado","Cancelado",IF($AU172="Baja prioridad","Baja prioridad",IF($AX172&gt;0,"Vencida","Pendiente"))))),"")</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IF($C173,'Proyecto Datos (OKR´s)'!$J173,"")</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IF($C173,'Backlog General'!$L173,"")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IF(AND($C173,ISNUMBER($AR173)),IF(OR($AT173="Completo",$AU173="Cancelado",$AU173="Baja prioridad"),$AR173,IF($AU173="Pasa al siguiente",MAX($AR173+1,$AS173),MAX($AR173,$AS173))),"")</f>
      </c>
      <c r="AW173" s="202">
        <f>IF(AND($C173,ISNUMBER($AR173)),$AQ173+$AR173*$AP173*'Sprints'!$D$5-'Sprints'!$D$5,"")</f>
      </c>
      <c r="AX173" s="202">
        <f>IF($C173,IF(OR($AT173="Completo",$AU173="Cancelado",$AU173="Baja prioridad",NOT(ISNUMBER($AW173))),0,MAX(0,TODAY()-$AW173)),"")</f>
      </c>
      <c r="AY173" s="203">
        <f>IF($C173,IF(NOT(ISNUMBER($AR173)),"Sin fecha",IF($AT173="Completo","Completo",IF($AU173="Cancelado","Cancelado",IF($AU173="Baja prioridad","Baja prioridad",IF($AX173&gt;0,"Vencida","Pendiente"))))),"")</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IF($C174,'Proyecto Datos (OKR´s)'!$J174,"")</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IF($C174,'Backlog General'!$L174,"")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IF(AND($C174,ISNUMBER($AR174)),IF(OR($AT174="Completo",$AU174="Cancelado",$AU174="Baja prioridad"),$AR174,IF($AU174="Pasa al siguiente",MAX($AR174+1,$AS174),MAX($AR174,$AS174))),"")</f>
      </c>
      <c r="AW174" s="202">
        <f>IF(AND($C174,ISNUMBER($AR174)),$AQ174+$AR174*$AP174*'Sprints'!$D$5-'Sprints'!$D$5,"")</f>
      </c>
      <c r="AX174" s="202">
        <f>IF($C174,IF(OR($AT174="Completo",$AU174="Cancelado",$AU174="Baja prioridad",NOT(ISNUMBER($AW174))),0,MAX(0,TODAY()-$AW174)),"")</f>
      </c>
      <c r="AY174" s="203">
        <f>IF($C174,IF(NOT(ISNUMBER($AR174)),"Sin fecha",IF($AT174="Completo","Completo",IF($AU174="Cancelado","Cancelado",IF($AU174="Baja prioridad","Baja prioridad",IF($AX174&gt;0,"Vencida","Pendiente"))))),"")</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IF($C175,'Proyecto Datos (OKR´s)'!$J175,"")</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IF($C175,'Backlog General'!$L175,"")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IF(AND($C175,ISNUMBER($AR175)),IF(OR($AT175="Completo",$AU175="Cancelado",$AU175="Baja prioridad"),$AR175,IF($AU175="Pasa al siguiente",MAX($AR175+1,$AS175),MAX($AR175,$AS175))),"")</f>
      </c>
      <c r="AW175" s="202">
        <f>IF(AND($C175,ISNUMBER($AR175)),$AQ175+$AR175*$AP175*'Sprints'!$D$5-'Sprints'!$D$5,"")</f>
      </c>
      <c r="AX175" s="202">
        <f>IF($C175,IF(OR($AT175="Completo",$AU175="Cancelado",$AU175="Baja prioridad",NOT(ISNUMBER($AW175))),0,MAX(0,TODAY()-$AW175)),"")</f>
      </c>
      <c r="AY175" s="203">
        <f>IF($C175,IF(NOT(ISNUMBER($AR175)),"Sin fecha",IF($AT175="Completo","Completo",IF($AU175="Cancelado","Cancelado",IF($AU175="Baja prioridad","Baja prioridad",IF($AX175&gt;0,"Vencida","Pendiente"))))),"")</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IF($C176,'Proyecto Datos (OKR´s)'!$J176,"")</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IF($C176,'Backlog General'!$L176,"")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IF(AND($C176,ISNUMBER($AR176)),IF(OR($AT176="Completo",$AU176="Cancelado",$AU176="Baja prioridad"),$AR176,IF($AU176="Pasa al siguiente",MAX($AR176+1,$AS176),MAX($AR176,$AS176))),"")</f>
      </c>
      <c r="AW176" s="202">
        <f>IF(AND($C176,ISNUMBER($AR176)),$AQ176+$AR176*$AP176*'Sprints'!$D$5-'Sprints'!$D$5,"")</f>
      </c>
      <c r="AX176" s="202">
        <f>IF($C176,IF(OR($AT176="Completo",$AU176="Cancelado",$AU176="Baja prioridad",NOT(ISNUMBER($AW176))),0,MAX(0,TODAY()-$AW176)),"")</f>
      </c>
      <c r="AY176" s="203">
        <f>IF($C176,IF(NOT(ISNUMBER($AR176)),"Sin fecha",IF($AT176="Completo","Completo",IF($AU176="Cancelado","Cancelado",IF($AU176="Baja prioridad","Baja prioridad",IF($AX176&gt;0,"Vencida","Pendiente"))))),"")</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IF($C177,'Proyecto Datos (OKR´s)'!$J177,"")</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IF($C177,'Backlog General'!$L177,"")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IF(AND($C177,ISNUMBER($AR177)),IF(OR($AT177="Completo",$AU177="Cancelado",$AU177="Baja prioridad"),$AR177,IF($AU177="Pasa al siguiente",MAX($AR177+1,$AS177),MAX($AR177,$AS177))),"")</f>
      </c>
      <c r="AW177" s="202">
        <f>IF(AND($C177,ISNUMBER($AR177)),$AQ177+$AR177*$AP177*'Sprints'!$D$5-'Sprints'!$D$5,"")</f>
      </c>
      <c r="AX177" s="202">
        <f>IF($C177,IF(OR($AT177="Completo",$AU177="Cancelado",$AU177="Baja prioridad",NOT(ISNUMBER($AW177))),0,MAX(0,TODAY()-$AW177)),"")</f>
      </c>
      <c r="AY177" s="203">
        <f>IF($C177,IF(NOT(ISNUMBER($AR177)),"Sin fecha",IF($AT177="Completo","Completo",IF($AU177="Cancelado","Cancelado",IF($AU177="Baja prioridad","Baja prioridad",IF($AX177&gt;0,"Vencida","Pendiente"))))),"")</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IF($C178,'Proyecto Datos (OKR´s)'!$J178,"")</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IF($C178,'Backlog General'!$L178,"")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IF(AND($C178,ISNUMBER($AR178)),IF(OR($AT178="Completo",$AU178="Cancelado",$AU178="Baja prioridad"),$AR178,IF($AU178="Pasa al siguiente",MAX($AR178+1,$AS178),MAX($AR178,$AS178))),"")</f>
      </c>
      <c r="AW178" s="202">
        <f>IF(AND($C178,ISNUMBER($AR178)),$AQ178+$AR178*$AP178*'Sprints'!$D$5-'Sprints'!$D$5,"")</f>
      </c>
      <c r="AX178" s="202">
        <f>IF($C178,IF(OR($AT178="Completo",$AU178="Cancelado",$AU178="Baja prioridad",NOT(ISNUMBER($AW178))),0,MAX(0,TODAY()-$AW178)),"")</f>
      </c>
      <c r="AY178" s="203">
        <f>IF($C178,IF(NOT(ISNUMBER($AR178)),"Sin fecha",IF($AT178="Completo","Completo",IF($AU178="Cancelado","Cancelado",IF($AU178="Baja prioridad","Baja prioridad",IF($AX178&gt;0,"Vencida","Pendiente"))))),"")</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IF($C179,'Proyecto Datos (OKR´s)'!$J179,"")</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IF($C179,'Backlog General'!$L179,"")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IF(AND($C179,ISNUMBER($AR179)),IF(OR($AT179="Completo",$AU179="Cancelado",$AU179="Baja prioridad"),$AR179,IF($AU179="Pasa al siguiente",MAX($AR179+1,$AS179),MAX($AR179,$AS179))),"")</f>
      </c>
      <c r="AW179" s="202">
        <f>IF(AND($C179,ISNUMBER($AR179)),$AQ179+$AR179*$AP179*'Sprints'!$D$5-'Sprints'!$D$5,"")</f>
      </c>
      <c r="AX179" s="202">
        <f>IF($C179,IF(OR($AT179="Completo",$AU179="Cancelado",$AU179="Baja prioridad",NOT(ISNUMBER($AW179))),0,MAX(0,TODAY()-$AW179)),"")</f>
      </c>
      <c r="AY179" s="203">
        <f>IF($C179,IF(NOT(ISNUMBER($AR179)),"Sin fecha",IF($AT179="Completo","Completo",IF($AU179="Cancelado","Cancelado",IF($AU179="Baja prioridad","Baja prioridad",IF($AX179&gt;0,"Vencida","Pendiente"))))),"")</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IF($C180,'Proyecto Datos (OKR´s)'!$J180,"")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IF($C180,'Backlog General'!$L180,"")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IF(AND($C180,ISNUMBER($AR180)),IF(OR($AT180="Completo",$AU180="Cancelado",$AU180="Baja prioridad"),$AR180,IF($AU180="Pasa al siguiente",MAX($AR180+1,$AS180),MAX($AR180,$AS180))),"")</f>
      </c>
      <c r="AW180" s="202">
        <f>IF(AND($C180,ISNUMBER($AR180)),$AQ180+$AR180*$AP180*'Sprints'!$D$5-'Sprints'!$D$5,"")</f>
      </c>
      <c r="AX180" s="202">
        <f>IF($C180,IF(OR($AT180="Completo",$AU180="Cancelado",$AU180="Baja prioridad",NOT(ISNUMBER($AW180))),0,MAX(0,TODAY()-$AW180)),"")</f>
      </c>
      <c r="AY180" s="203">
        <f>IF($C180,IF(NOT(ISNUMBER($AR180)),"Sin fecha",IF($AT180="Completo","Completo",IF($AU180="Cancelado","Cancelado",IF($AU180="Baja prioridad","Baja prioridad",IF($AX180&gt;0,"Vencida","Pendiente"))))),"")</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IF($C181,'Proyecto Datos (OKR´s)'!$J181,"")</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IF($C181,'Backlog General'!$L181,"")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IF(AND($C181,ISNUMBER($AR181)),IF(OR($AT181="Completo",$AU181="Cancelado",$AU181="Baja prioridad"),$AR181,IF($AU181="Pasa al siguiente",MAX($AR181+1,$AS181),MAX($AR181,$AS181))),"")</f>
      </c>
      <c r="AW181" s="202">
        <f>IF(AND($C181,ISNUMBER($AR181)),$AQ181+$AR181*$AP181*'Sprints'!$D$5-'Sprints'!$D$5,"")</f>
      </c>
      <c r="AX181" s="202">
        <f>IF($C181,IF(OR($AT181="Completo",$AU181="Cancelado",$AU181="Baja prioridad",NOT(ISNUMBER($AW181))),0,MAX(0,TODAY()-$AW181)),"")</f>
      </c>
      <c r="AY181" s="203">
        <f>IF($C181,IF(NOT(ISNUMBER($AR181)),"Sin fecha",IF($AT181="Completo","Completo",IF($AU181="Cancelado","Cancelado",IF($AU181="Baja prioridad","Baja prioridad",IF($AX181&gt;0,"Vencida","Pendiente"))))),"")</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IF($C182,'Proyecto Datos (OKR´s)'!$J182,"")</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IF($C182,'Backlog General'!$L182,"")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IF(AND($C182,ISNUMBER($AR182)),IF(OR($AT182="Completo",$AU182="Cancelado",$AU182="Baja prioridad"),$AR182,IF($AU182="Pasa al siguiente",MAX($AR182+1,$AS182),MAX($AR182,$AS182))),"")</f>
      </c>
      <c r="AW182" s="202">
        <f>IF(AND($C182,ISNUMBER($AR182)),$AQ182+$AR182*$AP182*'Sprints'!$D$5-'Sprints'!$D$5,"")</f>
      </c>
      <c r="AX182" s="202">
        <f>IF($C182,IF(OR($AT182="Completo",$AU182="Cancelado",$AU182="Baja prioridad",NOT(ISNUMBER($AW182))),0,MAX(0,TODAY()-$AW182)),"")</f>
      </c>
      <c r="AY182" s="203">
        <f>IF($C182,IF(NOT(ISNUMBER($AR182)),"Sin fecha",IF($AT182="Completo","Completo",IF($AU182="Cancelado","Cancelado",IF($AU182="Baja prioridad","Baja prioridad",IF($AX182&gt;0,"Vencida","Pendiente"))))),"")</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IF($C183,'Proyecto Datos (OKR´s)'!$J183,"")</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IF($C183,'Backlog General'!$L183,"")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IF(AND($C183,ISNUMBER($AR183)),IF(OR($AT183="Completo",$AU183="Cancelado",$AU183="Baja prioridad"),$AR183,IF($AU183="Pasa al siguiente",MAX($AR183+1,$AS183),MAX($AR183,$AS183))),"")</f>
      </c>
      <c r="AW183" s="202">
        <f>IF(AND($C183,ISNUMBER($AR183)),$AQ183+$AR183*$AP183*'Sprints'!$D$5-'Sprints'!$D$5,"")</f>
      </c>
      <c r="AX183" s="202">
        <f>IF($C183,IF(OR($AT183="Completo",$AU183="Cancelado",$AU183="Baja prioridad",NOT(ISNUMBER($AW183))),0,MAX(0,TODAY()-$AW183)),"")</f>
      </c>
      <c r="AY183" s="203">
        <f>IF($C183,IF(NOT(ISNUMBER($AR183)),"Sin fecha",IF($AT183="Completo","Completo",IF($AU183="Cancelado","Cancelado",IF($AU183="Baja prioridad","Baja prioridad",IF($AX183&gt;0,"Vencida","Pendiente"))))),"")</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IF($C184,'Proyecto Datos (OKR´s)'!$J184,"")</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IF($C184,'Backlog General'!$L184,"")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IF(AND($C184,ISNUMBER($AR184)),IF(OR($AT184="Completo",$AU184="Cancelado",$AU184="Baja prioridad"),$AR184,IF($AU184="Pasa al siguiente",MAX($AR184+1,$AS184),MAX($AR184,$AS184))),"")</f>
      </c>
      <c r="AW184" s="202">
        <f>IF(AND($C184,ISNUMBER($AR184)),$AQ184+$AR184*$AP184*'Sprints'!$D$5-'Sprints'!$D$5,"")</f>
      </c>
      <c r="AX184" s="202">
        <f>IF($C184,IF(OR($AT184="Completo",$AU184="Cancelado",$AU184="Baja prioridad",NOT(ISNUMBER($AW184))),0,MAX(0,TODAY()-$AW184)),"")</f>
      </c>
      <c r="AY184" s="203">
        <f>IF($C184,IF(NOT(ISNUMBER($AR184)),"Sin fecha",IF($AT184="Completo","Completo",IF($AU184="Cancelado","Cancelado",IF($AU184="Baja prioridad","Baja prioridad",IF($AX184&gt;0,"Vencida","Pendiente"))))),"")</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IF($C185,'Proyecto Datos (OKR´s)'!$J185,"")</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IF($C185,'Backlog General'!$L185,"")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IF(AND($C185,ISNUMBER($AR185)),IF(OR($AT185="Completo",$AU185="Cancelado",$AU185="Baja prioridad"),$AR185,IF($AU185="Pasa al siguiente",MAX($AR185+1,$AS185),MAX($AR185,$AS185))),"")</f>
      </c>
      <c r="AW185" s="202">
        <f>IF(AND($C185,ISNUMBER($AR185)),$AQ185+$AR185*$AP185*'Sprints'!$D$5-'Sprints'!$D$5,"")</f>
      </c>
      <c r="AX185" s="202">
        <f>IF($C185,IF(OR($AT185="Completo",$AU185="Cancelado",$AU185="Baja prioridad",NOT(ISNUMBER($AW185))),0,MAX(0,TODAY()-$AW185)),"")</f>
      </c>
      <c r="AY185" s="203">
        <f>IF($C185,IF(NOT(ISNUMBER($AR185)),"Sin fecha",IF($AT185="Completo","Completo",IF($AU185="Cancelado","Cancelado",IF($AU185="Baja prioridad","Baja prioridad",IF($AX185&gt;0,"Vencida","Pendiente"))))),"")</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IF($C186,'Proyecto Datos (OKR´s)'!$J186,"")</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IF($C186,'Backlog General'!$L186,"")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IF(AND($C186,ISNUMBER($AR186)),IF(OR($AT186="Completo",$AU186="Cancelado",$AU186="Baja prioridad"),$AR186,IF($AU186="Pasa al siguiente",MAX($AR186+1,$AS186),MAX($AR186,$AS186))),"")</f>
      </c>
      <c r="AW186" s="202">
        <f>IF(AND($C186,ISNUMBER($AR186)),$AQ186+$AR186*$AP186*'Sprints'!$D$5-'Sprints'!$D$5,"")</f>
      </c>
      <c r="AX186" s="202">
        <f>IF($C186,IF(OR($AT186="Completo",$AU186="Cancelado",$AU186="Baja prioridad",NOT(ISNUMBER($AW186))),0,MAX(0,TODAY()-$AW186)),"")</f>
      </c>
      <c r="AY186" s="203">
        <f>IF($C186,IF(NOT(ISNUMBER($AR186)),"Sin fecha",IF($AT186="Completo","Completo",IF($AU186="Cancelado","Cancelado",IF($AU186="Baja prioridad","Baja prioridad",IF($AX186&gt;0,"Vencida","Pendiente"))))),"")</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IF($C187,'Proyecto Datos (OKR´s)'!$J187,"")</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IF($C187,'Backlog General'!$L187,"")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IF(AND($C187,ISNUMBER($AR187)),IF(OR($AT187="Completo",$AU187="Cancelado",$AU187="Baja prioridad"),$AR187,IF($AU187="Pasa al siguiente",MAX($AR187+1,$AS187),MAX($AR187,$AS187))),"")</f>
      </c>
      <c r="AW187" s="202">
        <f>IF(AND($C187,ISNUMBER($AR187)),$AQ187+$AR187*$AP187*'Sprints'!$D$5-'Sprints'!$D$5,"")</f>
      </c>
      <c r="AX187" s="202">
        <f>IF($C187,IF(OR($AT187="Completo",$AU187="Cancelado",$AU187="Baja prioridad",NOT(ISNUMBER($AW187))),0,MAX(0,TODAY()-$AW187)),"")</f>
      </c>
      <c r="AY187" s="203">
        <f>IF($C187,IF(NOT(ISNUMBER($AR187)),"Sin fecha",IF($AT187="Completo","Completo",IF($AU187="Cancelado","Cancelado",IF($AU187="Baja prioridad","Baja prioridad",IF($AX187&gt;0,"Vencida","Pendiente"))))),"")</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IF($C188,'Proyecto Datos (OKR´s)'!$J188,"")</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IF($C188,'Backlog General'!$L188,"")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IF(AND($C188,ISNUMBER($AR188)),IF(OR($AT188="Completo",$AU188="Cancelado",$AU188="Baja prioridad"),$AR188,IF($AU188="Pasa al siguiente",MAX($AR188+1,$AS188),MAX($AR188,$AS188))),"")</f>
      </c>
      <c r="AW188" s="202">
        <f>IF(AND($C188,ISNUMBER($AR188)),$AQ188+$AR188*$AP188*'Sprints'!$D$5-'Sprints'!$D$5,"")</f>
      </c>
      <c r="AX188" s="202">
        <f>IF($C188,IF(OR($AT188="Completo",$AU188="Cancelado",$AU188="Baja prioridad",NOT(ISNUMBER($AW188))),0,MAX(0,TODAY()-$AW188)),"")</f>
      </c>
      <c r="AY188" s="203">
        <f>IF($C188,IF(NOT(ISNUMBER($AR188)),"Sin fecha",IF($AT188="Completo","Completo",IF($AU188="Cancelado","Cancelado",IF($AU188="Baja prioridad","Baja prioridad",IF($AX188&gt;0,"Vencida","Pendiente"))))),"")</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IF($C189,'Proyecto Datos (OKR´s)'!$J189,"")</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IF($C189,'Backlog General'!$L189,"")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IF(AND($C189,ISNUMBER($AR189)),IF(OR($AT189="Completo",$AU189="Cancelado",$AU189="Baja prioridad"),$AR189,IF($AU189="Pasa al siguiente",MAX($AR189+1,$AS189),MAX($AR189,$AS189))),"")</f>
      </c>
      <c r="AW189" s="202">
        <f>IF(AND($C189,ISNUMBER($AR189)),$AQ189+$AR189*$AP189*'Sprints'!$D$5-'Sprints'!$D$5,"")</f>
      </c>
      <c r="AX189" s="202">
        <f>IF($C189,IF(OR($AT189="Completo",$AU189="Cancelado",$AU189="Baja prioridad",NOT(ISNUMBER($AW189))),0,MAX(0,TODAY()-$AW189)),"")</f>
      </c>
      <c r="AY189" s="203">
        <f>IF($C189,IF(NOT(ISNUMBER($AR189)),"Sin fecha",IF($AT189="Completo","Completo",IF($AU189="Cancelado","Cancelado",IF($AU189="Baja prioridad","Baja prioridad",IF($AX189&gt;0,"Vencida","Pendiente"))))),"")</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IF($C190,'Proyecto Datos (OKR´s)'!$J190,"")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IF($C190,'Backlog General'!$L190,"")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IF(AND($C190,ISNUMBER($AR190)),IF(OR($AT190="Completo",$AU190="Cancelado",$AU190="Baja prioridad"),$AR190,IF($AU190="Pasa al siguiente",MAX($AR190+1,$AS190),MAX($AR190,$AS190))),"")</f>
      </c>
      <c r="AW190" s="202">
        <f>IF(AND($C190,ISNUMBER($AR190)),$AQ190+$AR190*$AP190*'Sprints'!$D$5-'Sprints'!$D$5,"")</f>
      </c>
      <c r="AX190" s="202">
        <f>IF($C190,IF(OR($AT190="Completo",$AU190="Cancelado",$AU190="Baja prioridad",NOT(ISNUMBER($AW190))),0,MAX(0,TODAY()-$AW190)),"")</f>
      </c>
      <c r="AY190" s="203">
        <f>IF($C190,IF(NOT(ISNUMBER($AR190)),"Sin fecha",IF($AT190="Completo","Completo",IF($AU190="Cancelado","Cancelado",IF($AU190="Baja prioridad","Baja prioridad",IF($AX190&gt;0,"Vencida","Pendiente"))))),"")</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IF($C191,'Proyecto Datos (OKR´s)'!$J191,"")</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IF($C191,'Backlog General'!$L191,"")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IF(AND($C191,ISNUMBER($AR191)),IF(OR($AT191="Completo",$AU191="Cancelado",$AU191="Baja prioridad"),$AR191,IF($AU191="Pasa al siguiente",MAX($AR191+1,$AS191),MAX($AR191,$AS191))),"")</f>
      </c>
      <c r="AW191" s="202">
        <f>IF(AND($C191,ISNUMBER($AR191)),$AQ191+$AR191*$AP191*'Sprints'!$D$5-'Sprints'!$D$5,"")</f>
      </c>
      <c r="AX191" s="202">
        <f>IF($C191,IF(OR($AT191="Completo",$AU191="Cancelado",$AU191="Baja prioridad",NOT(ISNUMBER($AW191))),0,MAX(0,TODAY()-$AW191)),"")</f>
      </c>
      <c r="AY191" s="203">
        <f>IF($C191,IF(NOT(ISNUMBER($AR191)),"Sin fecha",IF($AT191="Completo","Completo",IF($AU191="Cancelado","Cancelado",IF($AU191="Baja prioridad","Baja prioridad",IF($AX191&gt;0,"Vencida","Pendiente"))))),"")</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IF($C192,'Proyecto Datos (OKR´s)'!$J192,"")</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IF($C192,'Backlog General'!$L192,"")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IF(AND($C192,ISNUMBER($AR192)),IF(OR($AT192="Completo",$AU192="Cancelado",$AU192="Baja prioridad"),$AR192,IF($AU192="Pasa al siguiente",MAX($AR192+1,$AS192),MAX($AR192,$AS192))),"")</f>
      </c>
      <c r="AW192" s="202">
        <f>IF(AND($C192,ISNUMBER($AR192)),$AQ192+$AR192*$AP192*'Sprints'!$D$5-'Sprints'!$D$5,"")</f>
      </c>
      <c r="AX192" s="202">
        <f>IF($C192,IF(OR($AT192="Completo",$AU192="Cancelado",$AU192="Baja prioridad",NOT(ISNUMBER($AW192))),0,MAX(0,TODAY()-$AW192)),"")</f>
      </c>
      <c r="AY192" s="203">
        <f>IF($C192,IF(NOT(ISNUMBER($AR192)),"Sin fecha",IF($AT192="Completo","Completo",IF($AU192="Cancelado","Cancelado",IF($AU192="Baja prioridad","Baja prioridad",IF($AX192&gt;0,"Vencida","Pendiente"))))),"")</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IF($C193,'Proyecto Datos (OKR´s)'!$J193,"")</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IF($C193,'Backlog General'!$L193,"")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IF(AND($C193,ISNUMBER($AR193)),IF(OR($AT193="Completo",$AU193="Cancelado",$AU193="Baja prioridad"),$AR193,IF($AU193="Pasa al siguiente",MAX($AR193+1,$AS193),MAX($AR193,$AS193))),"")</f>
      </c>
      <c r="AW193" s="202">
        <f>IF(AND($C193,ISNUMBER($AR193)),$AQ193+$AR193*$AP193*'Sprints'!$D$5-'Sprints'!$D$5,"")</f>
      </c>
      <c r="AX193" s="202">
        <f>IF($C193,IF(OR($AT193="Completo",$AU193="Cancelado",$AU193="Baja prioridad",NOT(ISNUMBER($AW193))),0,MAX(0,TODAY()-$AW193)),"")</f>
      </c>
      <c r="AY193" s="203">
        <f>IF($C193,IF(NOT(ISNUMBER($AR193)),"Sin fecha",IF($AT193="Completo","Completo",IF($AU193="Cancelado","Cancelado",IF($AU193="Baja prioridad","Baja prioridad",IF($AX193&gt;0,"Vencida","Pendiente"))))),"")</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IF($C194,'Proyecto Datos (OKR´s)'!$J194,"")</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IF($C194,'Backlog General'!$L194,"")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IF(AND($C194,ISNUMBER($AR194)),IF(OR($AT194="Completo",$AU194="Cancelado",$AU194="Baja prioridad"),$AR194,IF($AU194="Pasa al siguiente",MAX($AR194+1,$AS194),MAX($AR194,$AS194))),"")</f>
      </c>
      <c r="AW194" s="202">
        <f>IF(AND($C194,ISNUMBER($AR194)),$AQ194+$AR194*$AP194*'Sprints'!$D$5-'Sprints'!$D$5,"")</f>
      </c>
      <c r="AX194" s="202">
        <f>IF($C194,IF(OR($AT194="Completo",$AU194="Cancelado",$AU194="Baja prioridad",NOT(ISNUMBER($AW194))),0,MAX(0,TODAY()-$AW194)),"")</f>
      </c>
      <c r="AY194" s="203">
        <f>IF($C194,IF(NOT(ISNUMBER($AR194)),"Sin fecha",IF($AT194="Completo","Completo",IF($AU194="Cancelado","Cancelado",IF($AU194="Baja prioridad","Baja prioridad",IF($AX194&gt;0,"Vencida","Pendiente"))))),"")</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IF($C195,'Proyecto Datos (OKR´s)'!$J195,"")</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IF($C195,'Backlog General'!$L195,"")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IF(AND($C195,ISNUMBER($AR195)),IF(OR($AT195="Completo",$AU195="Cancelado",$AU195="Baja prioridad"),$AR195,IF($AU195="Pasa al siguiente",MAX($AR195+1,$AS195),MAX($AR195,$AS195))),"")</f>
      </c>
      <c r="AW195" s="202">
        <f>IF(AND($C195,ISNUMBER($AR195)),$AQ195+$AR195*$AP195*'Sprints'!$D$5-'Sprints'!$D$5,"")</f>
      </c>
      <c r="AX195" s="202">
        <f>IF($C195,IF(OR($AT195="Completo",$AU195="Cancelado",$AU195="Baja prioridad",NOT(ISNUMBER($AW195))),0,MAX(0,TODAY()-$AW195)),"")</f>
      </c>
      <c r="AY195" s="203">
        <f>IF($C195,IF(NOT(ISNUMBER($AR195)),"Sin fecha",IF($AT195="Completo","Completo",IF($AU195="Cancelado","Cancelado",IF($AU195="Baja prioridad","Baja prioridad",IF($AX195&gt;0,"Vencida","Pendiente"))))),"")</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IF($C196,'Proyecto Datos (OKR´s)'!$J196,"")</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IF($C196,'Backlog General'!$L196,"")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IF(AND($C196,ISNUMBER($AR196)),IF(OR($AT196="Completo",$AU196="Cancelado",$AU196="Baja prioridad"),$AR196,IF($AU196="Pasa al siguiente",MAX($AR196+1,$AS196),MAX($AR196,$AS196))),"")</f>
      </c>
      <c r="AW196" s="202">
        <f>IF(AND($C196,ISNUMBER($AR196)),$AQ196+$AR196*$AP196*'Sprints'!$D$5-'Sprints'!$D$5,"")</f>
      </c>
      <c r="AX196" s="202">
        <f>IF($C196,IF(OR($AT196="Completo",$AU196="Cancelado",$AU196="Baja prioridad",NOT(ISNUMBER($AW196))),0,MAX(0,TODAY()-$AW196)),"")</f>
      </c>
      <c r="AY196" s="203">
        <f>IF($C196,IF(NOT(ISNUMBER($AR196)),"Sin fecha",IF($AT196="Completo","Completo",IF($AU196="Cancelado","Cancelado",IF($AU196="Baja prioridad","Baja prioridad",IF($AX196&gt;0,"Vencida","Pendiente"))))),"")</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IF($C197,'Proyecto Datos (OKR´s)'!$J197,"")</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IF($C197,'Backlog General'!$L197,"")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IF(AND($C197,ISNUMBER($AR197)),IF(OR($AT197="Completo",$AU197="Cancelado",$AU197="Baja prioridad"),$AR197,IF($AU197="Pasa al siguiente",MAX($AR197+1,$AS197),MAX($AR197,$AS197))),"")</f>
      </c>
      <c r="AW197" s="202">
        <f>IF(AND($C197,ISNUMBER($AR197)),$AQ197+$AR197*$AP197*'Sprints'!$D$5-'Sprints'!$D$5,"")</f>
      </c>
      <c r="AX197" s="202">
        <f>IF($C197,IF(OR($AT197="Completo",$AU197="Cancelado",$AU197="Baja prioridad",NOT(ISNUMBER($AW197))),0,MAX(0,TODAY()-$AW197)),"")</f>
      </c>
      <c r="AY197" s="203">
        <f>IF($C197,IF(NOT(ISNUMBER($AR197)),"Sin fecha",IF($AT197="Completo","Completo",IF($AU197="Cancelado","Cancelado",IF($AU197="Baja prioridad","Baja prioridad",IF($AX197&gt;0,"Vencida","Pendiente"))))),"")</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IF($C198,'Proyecto Datos (OKR´s)'!$J198,"")</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IF($C198,'Backlog General'!$L198,"")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IF(AND($C198,ISNUMBER($AR198)),IF(OR($AT198="Completo",$AU198="Cancelado",$AU198="Baja prioridad"),$AR198,IF($AU198="Pasa al siguiente",MAX($AR198+1,$AS198),MAX($AR198,$AS198))),"")</f>
      </c>
      <c r="AW198" s="202">
        <f>IF(AND($C198,ISNUMBER($AR198)),$AQ198+$AR198*$AP198*'Sprints'!$D$5-'Sprints'!$D$5,"")</f>
      </c>
      <c r="AX198" s="202">
        <f>IF($C198,IF(OR($AT198="Completo",$AU198="Cancelado",$AU198="Baja prioridad",NOT(ISNUMBER($AW198))),0,MAX(0,TODAY()-$AW198)),"")</f>
      </c>
      <c r="AY198" s="203">
        <f>IF($C198,IF(NOT(ISNUMBER($AR198)),"Sin fecha",IF($AT198="Completo","Completo",IF($AU198="Cancelado","Cancelado",IF($AU198="Baja prioridad","Baja prioridad",IF($AX198&gt;0,"Vencida","Pendiente"))))),"")</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IF($C199,'Proyecto Datos (OKR´s)'!$J199,"")</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IF($C199,'Backlog General'!$L199,"")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IF(AND($C199,ISNUMBER($AR199)),IF(OR($AT199="Completo",$AU199="Cancelado",$AU199="Baja prioridad"),$AR199,IF($AU199="Pasa al siguiente",MAX($AR199+1,$AS199),MAX($AR199,$AS199))),"")</f>
      </c>
      <c r="AW199" s="202">
        <f>IF(AND($C199,ISNUMBER($AR199)),$AQ199+$AR199*$AP199*'Sprints'!$D$5-'Sprints'!$D$5,"")</f>
      </c>
      <c r="AX199" s="202">
        <f>IF($C199,IF(OR($AT199="Completo",$AU199="Cancelado",$AU199="Baja prioridad",NOT(ISNUMBER($AW199))),0,MAX(0,TODAY()-$AW199)),"")</f>
      </c>
      <c r="AY199" s="203">
        <f>IF($C199,IF(NOT(ISNUMBER($AR199)),"Sin fecha",IF($AT199="Completo","Completo",IF($AU199="Cancelado","Cancelado",IF($AU199="Baja prioridad","Baja prioridad",IF($AX199&gt;0,"Vencida","Pendiente"))))),"")</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IF($C200,'Proyecto Datos (OKR´s)'!$J200,"")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IF($C200,'Backlog General'!$L200,"")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IF(AND($C200,ISNUMBER($AR200)),IF(OR($AT200="Completo",$AU200="Cancelado",$AU200="Baja prioridad"),$AR200,IF($AU200="Pasa al siguiente",MAX($AR200+1,$AS200),MAX($AR200,$AS200))),"")</f>
      </c>
      <c r="AW200" s="202">
        <f>IF(AND($C200,ISNUMBER($AR200)),$AQ200+$AR200*$AP200*'Sprints'!$D$5-'Sprints'!$D$5,"")</f>
      </c>
      <c r="AX200" s="202">
        <f>IF($C200,IF(OR($AT200="Completo",$AU200="Cancelado",$AU200="Baja prioridad",NOT(ISNUMBER($AW200))),0,MAX(0,TODAY()-$AW200)),"")</f>
      </c>
      <c r="AY200" s="203">
        <f>IF($C200,IF(NOT(ISNUMBER($AR200)),"Sin fecha",IF($AT200="Completo","Completo",IF($AU200="Cancelado","Cancelado",IF($AU200="Baja prioridad","Baja prioridad",IF($AX200&gt;0,"Vencida","Pendiente"))))),"")</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56"/>
  <sheetViews>
    <sheetView showGridLines="0" workbookViewId="0">
      <pane ySplit="2" topLeftCell="A3" activePane="bottomLeft" state="frozen"/>
    </sheetView>
  </sheetViews>
  <sheetFormatPr defaultRowHeight="15"/>
  <cols>
    <col min="1" max="1" width="2.5" customWidth="1"/>
    <col min="2" max="2" width="11" customWidth="1"/>
    <col min="3" max="3" width="32" customWidth="1"/>
    <col min="4" max="4" width="46" customWidth="1"/>
    <col min="5" max="5" width="18" customWidth="1"/>
    <col min="6" max="6" width="10" customWidth="1"/>
    <col min="7" max="7" width="9" hidden="1"/>
    <col min="9" max="9" width="32" customWidth="1"/>
    <col min="10" max="10" width="13" customWidth="1"/>
  </cols>
  <sheetData>
    <row r="1" ht="26" customHeight="1">
      <c r="B1" s="169" t="inlineStr">
        <is>
          <t xml:space="preserve">SPRINTS — por frecuencia, alineados a una grilla semanal común</t>
        </is>
      </c>
      <c r="C1" s="169"/>
      <c r="D1" s="169"/>
      <c r="E1" s="169"/>
      <c r="F1" s="169"/>
    </row>
    <row r="2" ht="46" customHeight="1">
      <c r="B2" s="170" t="inlineStr">
        <is>
          <t xml:space="preserve">Cada frecuencia tiene SUS sprints (Semanal S1,S2…; Quincenal S1,S2…; Mensual S1,S2…), pero todos cierran sobre los MISMOS viernes. Base: Sprint semanal 1 presenta el 19/06. Así Quincenal S1 cierra el mismo viernes que Semanal S2 (26/06); Quincenal S2 = Semanal S4 (10/07); Mensual S1 = Semanal S4. Cada tarea cae en el sprint de SU frecuencia según su fecha.</t>
        </is>
      </c>
      <c r="C2" s="170"/>
      <c r="D2" s="170"/>
      <c r="E2" s="170"/>
      <c r="F2" s="170"/>
    </row>
    <row r="3">
      <c r="B3" s="172" t="inlineStr">
        <is>
          <t xml:space="preserve">CALENDARIO BASE SEMANAL (editable)</t>
        </is>
      </c>
      <c r="C3" s="172"/>
      <c r="D3" s="172"/>
      <c r="E3" s="172"/>
      <c r="I3" s="172" t="inlineStr">
        <is>
          <t xml:space="preserve">FRECUENCIA POR PROYECTO (editable)</t>
        </is>
      </c>
      <c r="J3" s="172"/>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row>
    <row r="6">
      <c r="I6" s="205" t="str">
        <f>'Proyecto Datos (OKR´s)'!$G$9</f>
        <v>2- Cotizador de Operaciones Complejas</v>
      </c>
      <c r="J6" s="191" t="inlineStr">
        <is>
          <t xml:space="preserve">Quincenal</t>
        </is>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SEMANAL  (ordenado por Sprint)</t>
        </is>
      </c>
      <c r="C13" s="172"/>
      <c r="D13" s="172"/>
      <c r="E13" s="172"/>
      <c r="F13" s="172"/>
    </row>
    <row r="14">
      <c r="B14" s="173" t="inlineStr">
        <is>
          <t xml:space="preserve">Sprint</t>
        </is>
      </c>
      <c r="C14" s="173" t="inlineStr">
        <is>
          <t xml:space="preserve">Proyecto</t>
        </is>
      </c>
      <c r="D14" s="173" t="inlineStr">
        <is>
          <t xml:space="preserve">Subtarea</t>
        </is>
      </c>
      <c r="E14" s="173" t="inlineStr">
        <is>
          <t xml:space="preserve">Estado</t>
        </is>
      </c>
      <c r="F14" s="173" t="inlineStr">
        <is>
          <t xml:space="preserve">Mora (d)</t>
        </is>
      </c>
    </row>
    <row r="15">
      <c r="B15" s="204" t="str">
        <f>IF($G15="","",INDEX('_Datos'!$AZ$7:$AZ$200,$G15))</f>
        <v>Semanal · S2</v>
      </c>
      <c r="C15" s="205" t="str">
        <f>IF($G15="","",INDEX('_Datos'!$D$7:$D$200,$G15))</f>
        <v>3- Tablero BI OPEX - Real vs BO</v>
      </c>
      <c r="D15" s="205" t="str">
        <f>IF($G15="","",INDEX('_Datos'!$F$7:$F$200,$G15))</f>
        <v>Armado de Procedimiento</v>
      </c>
      <c r="E15" s="204" t="str">
        <f>IF($G15="","",INDEX('_Datos'!$AY$7:$AY$200,$G15))</f>
        <v>Vencida</v>
      </c>
      <c r="F15" s="208">
        <f>IF($G15="","",INDEX('_Datos'!$AX$7:$AX$200,$G15))</f>
        <v>4</v>
      </c>
      <c r="G15" s="202">
        <f>IFERROR(MATCH(SMALL('_Datos'!$BB$7:$BB$200,ROW()-14),'_Datos'!$BB$7:$BB$200,0),"")</f>
        <v>17</v>
      </c>
    </row>
    <row r="16">
      <c r="B16" s="204" t="str">
        <f>IF($G16="","",INDEX('_Datos'!$AZ$7:$AZ$200,$G16))</f>
        <v>Semanal · S2</v>
      </c>
      <c r="C16" s="205" t="str">
        <f>IF($G16="","",INDEX('_Datos'!$D$7:$D$200,$G16))</f>
        <v>3- Tablero BI OPEX - Real vs BO</v>
      </c>
      <c r="D16" s="205" t="str">
        <f>IF($G16="","",INDEX('_Datos'!$F$7:$F$200,$G16))</f>
        <v>Revisión de Gráfico en cascada: por desvío y desagregación por categorías.</v>
      </c>
      <c r="E16" s="204" t="str">
        <f>IF($G16="","",INDEX('_Datos'!$AY$7:$AY$200,$G16))</f>
        <v>Vencida</v>
      </c>
      <c r="F16" s="208">
        <f>IF($G16="","",INDEX('_Datos'!$AX$7:$AX$200,$G16))</f>
        <v>4</v>
      </c>
      <c r="G16" s="202">
        <f>IFERROR(MATCH(SMALL('_Datos'!$BB$7:$BB$200,ROW()-14),'_Datos'!$BB$7:$BB$200,0),"")</f>
        <v>18</v>
      </c>
    </row>
    <row r="17">
      <c r="B17" s="204" t="str">
        <f>IF($G17="","",INDEX('_Datos'!$AZ$7:$AZ$200,$G17))</f>
        <v>Semanal · S2</v>
      </c>
      <c r="C17" s="205" t="str">
        <f>IF($G17="","",INDEX('_Datos'!$D$7:$D$200,$G17))</f>
        <v>3- Tablero BI OPEX - Real vs BO</v>
      </c>
      <c r="D17" s="205" t="str">
        <f>IF($G17="","",INDEX('_Datos'!$F$7:$F$200,$G17))</f>
        <v>Revisión de viabilidad de incorporación datos Redash (input ZReal con clasificaciones automaticas por CECO - Directas e Indirectas)</v>
      </c>
      <c r="E17" s="204" t="str">
        <f>IF($G17="","",INDEX('_Datos'!$AY$7:$AY$200,$G17))</f>
        <v>Vencida</v>
      </c>
      <c r="F17" s="208">
        <f>IF($G17="","",INDEX('_Datos'!$AX$7:$AX$200,$G17))</f>
        <v>4</v>
      </c>
      <c r="G17" s="202">
        <f>IFERROR(MATCH(SMALL('_Datos'!$BB$7:$BB$200,ROW()-14),'_Datos'!$BB$7:$BB$200,0),"")</f>
        <v>19</v>
      </c>
    </row>
    <row r="18">
      <c r="B18" s="204" t="str">
        <f>IF($G18="","",INDEX('_Datos'!$AZ$7:$AZ$200,$G18))</f>
        <v>Semanal · S2</v>
      </c>
      <c r="C18" s="205" t="str">
        <f>IF($G18="","",INDEX('_Datos'!$D$7:$D$200,$G18))</f>
        <v>4- Tablero BI DEUDA</v>
      </c>
      <c r="D18" s="205" t="str">
        <f>IF($G18="","",INDEX('_Datos'!$F$7:$F$200,$G18))</f>
        <v>Procedimiento</v>
      </c>
      <c r="E18" s="204" t="str">
        <f>IF($G18="","",INDEX('_Datos'!$AY$7:$AY$200,$G18))</f>
        <v>Vencida</v>
      </c>
      <c r="F18" s="208">
        <f>IF($G18="","",INDEX('_Datos'!$AX$7:$AX$200,$G18))</f>
        <v>4</v>
      </c>
      <c r="G18" s="202">
        <f>IFERROR(MATCH(SMALL('_Datos'!$BB$7:$BB$200,ROW()-14),'_Datos'!$BB$7:$BB$200,0),"")</f>
        <v>22</v>
      </c>
    </row>
    <row r="19">
      <c r="B19" s="204" t="str">
        <f>IF($G19="","",INDEX('_Datos'!$AZ$7:$AZ$200,$G19))</f>
        <v>Semanal · S2</v>
      </c>
      <c r="C19" s="205" t="str">
        <f>IF($G19="","",INDEX('_Datos'!$D$7:$D$200,$G19))</f>
        <v>4- Tablero BI DEUDA</v>
      </c>
      <c r="D19" s="205" t="str">
        <f>IF($G19="","",INDEX('_Datos'!$F$7:$F$200,$G19))</f>
        <v>Aging - desde SharePoint</v>
      </c>
      <c r="E19" s="204" t="str">
        <f>IF($G19="","",INDEX('_Datos'!$AY$7:$AY$200,$G19))</f>
        <v>Vencida</v>
      </c>
      <c r="F19" s="208">
        <f>IF($G19="","",INDEX('_Datos'!$AX$7:$AX$200,$G19))</f>
        <v>4</v>
      </c>
      <c r="G19" s="202">
        <f>IFERROR(MATCH(SMALL('_Datos'!$BB$7:$BB$200,ROW()-14),'_Datos'!$BB$7:$BB$200,0),"")</f>
        <v>23</v>
      </c>
    </row>
    <row r="20">
      <c r="B20" s="204" t="str">
        <f>IF($G20="","",INDEX('_Datos'!$AZ$7:$AZ$200,$G20))</f>
        <v>Semanal · S2</v>
      </c>
      <c r="C20" s="205" t="str">
        <f>IF($G20="","",INDEX('_Datos'!$D$7:$D$200,$G20))</f>
        <v>4- Tablero BI DEUDA</v>
      </c>
      <c r="D20" s="205" t="str">
        <f>IF($G20="","",INDEX('_Datos'!$F$7:$F$200,$G20))</f>
        <v>Dias en Calle - desde SharePoint</v>
      </c>
      <c r="E20" s="204" t="str">
        <f>IF($G20="","",INDEX('_Datos'!$AY$7:$AY$200,$G20))</f>
        <v>Vencida</v>
      </c>
      <c r="F20" s="208">
        <f>IF($G20="","",INDEX('_Datos'!$AX$7:$AX$200,$G20))</f>
        <v>4</v>
      </c>
      <c r="G20" s="202">
        <f>IFERROR(MATCH(SMALL('_Datos'!$BB$7:$BB$200,ROW()-14),'_Datos'!$BB$7:$BB$200,0),"")</f>
        <v>24</v>
      </c>
    </row>
    <row r="21">
      <c r="B21" s="204" t="str">
        <f>IF($G21="","",INDEX('_Datos'!$AZ$7:$AZ$200,$G21))</f>
        <v>Semanal · S2</v>
      </c>
      <c r="C21" s="205" t="str">
        <f>IF($G21="","",INDEX('_Datos'!$D$7:$D$200,$G21))</f>
        <v>4- Tablero BI DEUDA</v>
      </c>
      <c r="D21" s="205" t="str">
        <f>IF($G21="","",INDEX('_Datos'!$F$7:$F$200,$G21))</f>
        <v>Input de datos desde Provisión mensual</v>
      </c>
      <c r="E21" s="204" t="str">
        <f>IF($G21="","",INDEX('_Datos'!$AY$7:$AY$200,$G21))</f>
        <v>Vencida</v>
      </c>
      <c r="F21" s="208">
        <f>IF($G21="","",INDEX('_Datos'!$AX$7:$AX$200,$G21))</f>
        <v>4</v>
      </c>
      <c r="G21" s="202">
        <f>IFERROR(MATCH(SMALL('_Datos'!$BB$7:$BB$200,ROW()-14),'_Datos'!$BB$7:$BB$200,0),"")</f>
        <v>25</v>
      </c>
    </row>
    <row r="22">
      <c r="B22" s="204" t="str">
        <f>IF($G22="","",INDEX('_Datos'!$AZ$7:$AZ$200,$G22))</f>
        <v>Semanal · S2</v>
      </c>
      <c r="C22" s="205" t="str">
        <f>IF($G22="","",INDEX('_Datos'!$D$7:$D$200,$G22))</f>
        <v>5- Tablero Control General - Op. Complejas</v>
      </c>
      <c r="D22" s="205" t="str">
        <f>IF($G22="","",INDEX('_Datos'!$F$7:$F$200,$G22))</f>
        <v>Planilla Activos Unificados - Estandarizar + Procedimiento</v>
      </c>
      <c r="E22" s="204" t="str">
        <f>IF($G22="","",INDEX('_Datos'!$AY$7:$AY$200,$G22))</f>
        <v>Vencida</v>
      </c>
      <c r="F22" s="208">
        <f>IF($G22="","",INDEX('_Datos'!$AX$7:$AX$200,$G22))</f>
        <v>4</v>
      </c>
      <c r="G22" s="202">
        <f>IFERROR(MATCH(SMALL('_Datos'!$BB$7:$BB$200,ROW()-14),'_Datos'!$BB$7:$BB$200,0),"")</f>
        <v>31</v>
      </c>
    </row>
    <row r="23">
      <c r="B23" s="204" t="str">
        <f>IF($G23="","",INDEX('_Datos'!$AZ$7:$AZ$200,$G23))</f>
        <v>Semanal · S2</v>
      </c>
      <c r="C23" s="205" t="str">
        <f>IF($G23="","",INDEX('_Datos'!$D$7:$D$200,$G23))</f>
        <v>5- Tablero Control General - Op. Complejas</v>
      </c>
      <c r="D23" s="205" t="str">
        <f>IF($G23="","",INDEX('_Datos'!$F$7:$F$200,$G23))</f>
        <v>Planilla DTM Estandarizada+ Procedimiento</v>
      </c>
      <c r="E23" s="204" t="str">
        <f>IF($G23="","",INDEX('_Datos'!$AY$7:$AY$200,$G23))</f>
        <v>Vencida</v>
      </c>
      <c r="F23" s="208">
        <f>IF($G23="","",INDEX('_Datos'!$AX$7:$AX$200,$G23))</f>
        <v>4</v>
      </c>
      <c r="G23" s="202">
        <f>IFERROR(MATCH(SMALL('_Datos'!$BB$7:$BB$200,ROW()-14),'_Datos'!$BB$7:$BB$200,0),"")</f>
        <v>32</v>
      </c>
    </row>
    <row r="24">
      <c r="B24" s="204" t="str">
        <f>IF($G24="","",INDEX('_Datos'!$AZ$7:$AZ$200,$G24))</f>
        <v>Semanal · S2</v>
      </c>
      <c r="C24" s="205" t="str">
        <f>IF($G24="","",INDEX('_Datos'!$D$7:$D$200,$G24))</f>
        <v>5- Tablero Control General - Op. Complejas</v>
      </c>
      <c r="D24" s="205" t="str">
        <f>IF($G24="","",INDEX('_Datos'!$F$7:$F$200,$G24))</f>
        <v>Planilla Aeroevaciaciones + Procedimiento</v>
      </c>
      <c r="E24" s="204" t="str">
        <f>IF($G24="","",INDEX('_Datos'!$AY$7:$AY$200,$G24))</f>
        <v>Vencida</v>
      </c>
      <c r="F24" s="208">
        <f>IF($G24="","",INDEX('_Datos'!$AX$7:$AX$200,$G24))</f>
        <v>4</v>
      </c>
      <c r="G24" s="202">
        <f>IFERROR(MATCH(SMALL('_Datos'!$BB$7:$BB$200,ROW()-14),'_Datos'!$BB$7:$BB$200,0),"")</f>
        <v>33</v>
      </c>
    </row>
    <row r="25">
      <c r="B25" s="204" t="str">
        <f>IF($G25="","",INDEX('_Datos'!$AZ$7:$AZ$200,$G25))</f>
        <v>Semanal · S2</v>
      </c>
      <c r="C25" s="205" t="str">
        <f>IF($G25="","",INDEX('_Datos'!$D$7:$D$200,$G25))</f>
        <v>5- Tablero Control General - Op. Complejas</v>
      </c>
      <c r="D25" s="205" t="str">
        <f>IF($G25="","",INDEX('_Datos'!$F$7:$F$200,$G25))</f>
        <v>Resumen Clientes Petróleo</v>
      </c>
      <c r="E25" s="204" t="str">
        <f>IF($G25="","",INDEX('_Datos'!$AY$7:$AY$200,$G25))</f>
        <v>Vencida</v>
      </c>
      <c r="F25" s="208">
        <f>IF($G25="","",INDEX('_Datos'!$AX$7:$AX$200,$G25))</f>
        <v>4</v>
      </c>
      <c r="G25" s="202">
        <f>IFERROR(MATCH(SMALL('_Datos'!$BB$7:$BB$200,ROW()-14),'_Datos'!$BB$7:$BB$200,0),"")</f>
        <v>34</v>
      </c>
    </row>
    <row r="26">
      <c r="B26" s="204" t="str">
        <f>IF($G26="","",INDEX('_Datos'!$AZ$7:$AZ$200,$G26))</f>
        <v>Semanal · S2</v>
      </c>
      <c r="C26" s="205" t="str">
        <f>IF($G26="","",INDEX('_Datos'!$D$7:$D$200,$G26))</f>
        <v>5- Tablero Control General - Op. Complejas</v>
      </c>
      <c r="D26" s="205" t="str">
        <f>IF($G26="","",INDEX('_Datos'!$F$7:$F$200,$G26))</f>
        <v>Resumen Clientes Minería</v>
      </c>
      <c r="E26" s="204" t="str">
        <f>IF($G26="","",INDEX('_Datos'!$AY$7:$AY$200,$G26))</f>
        <v>Vencida</v>
      </c>
      <c r="F26" s="208">
        <f>IF($G26="","",INDEX('_Datos'!$AX$7:$AX$200,$G26))</f>
        <v>4</v>
      </c>
      <c r="G26" s="202">
        <f>IFERROR(MATCH(SMALL('_Datos'!$BB$7:$BB$200,ROW()-14),'_Datos'!$BB$7:$BB$200,0),"")</f>
        <v>35</v>
      </c>
    </row>
    <row r="27">
      <c r="B27" s="204" t="str">
        <f>IF($G27="","",INDEX('_Datos'!$AZ$7:$AZ$200,$G27))</f>
        <v>Semanal · S2</v>
      </c>
      <c r="C27" s="205" t="str">
        <f>IF($G27="","",INDEX('_Datos'!$D$7:$D$200,$G27))</f>
        <v>5- Tablero Control General - Op. Complejas</v>
      </c>
      <c r="D27" s="205" t="str">
        <f>IF($G27="","",INDEX('_Datos'!$F$7:$F$200,$G27))</f>
        <v>Resumen Clientes Op. Dedicadas</v>
      </c>
      <c r="E27" s="204" t="str">
        <f>IF($G27="","",INDEX('_Datos'!$AY$7:$AY$200,$G27))</f>
        <v>Vencida</v>
      </c>
      <c r="F27" s="208">
        <f>IF($G27="","",INDEX('_Datos'!$AX$7:$AX$200,$G27))</f>
        <v>4</v>
      </c>
      <c r="G27" s="202">
        <f>IFERROR(MATCH(SMALL('_Datos'!$BB$7:$BB$200,ROW()-14),'_Datos'!$BB$7:$BB$200,0),"")</f>
        <v>36</v>
      </c>
    </row>
    <row r="28">
      <c r="B28" s="204" t="str">
        <f>IF($G28="","",INDEX('_Datos'!$AZ$7:$AZ$200,$G28))</f>
        <v>Semanal · S2</v>
      </c>
      <c r="C28" s="205" t="str">
        <f>IF($G28="","",INDEX('_Datos'!$D$7:$D$200,$G28))</f>
        <v>5- Tablero Control General - Op. Complejas</v>
      </c>
      <c r="D28" s="205" t="str">
        <f>IF($G28="","",INDEX('_Datos'!$F$7:$F$200,$G28))</f>
        <v>Detalle Responsables (Comerciales + Analistas)</v>
      </c>
      <c r="E28" s="204" t="str">
        <f>IF($G28="","",INDEX('_Datos'!$AY$7:$AY$200,$G28))</f>
        <v>Vencida</v>
      </c>
      <c r="F28" s="208">
        <f>IF($G28="","",INDEX('_Datos'!$AX$7:$AX$200,$G28))</f>
        <v>4</v>
      </c>
      <c r="G28" s="202">
        <f>IFERROR(MATCH(SMALL('_Datos'!$BB$7:$BB$200,ROW()-14),'_Datos'!$BB$7:$BB$200,0),"")</f>
        <v>40</v>
      </c>
    </row>
    <row r="29">
      <c r="B29" s="204" t="str">
        <f>IF($G29="","",INDEX('_Datos'!$AZ$7:$AZ$200,$G29))</f>
        <v>Semanal · S2</v>
      </c>
      <c r="C29" s="205" t="str">
        <f>IF($G29="","",INDEX('_Datos'!$D$7:$D$200,$G29))</f>
        <v>5- Tablero Control General - Op. Complejas</v>
      </c>
      <c r="D29" s="205" t="str">
        <f>IF($G29="","",INDEX('_Datos'!$F$7:$F$200,$G29))</f>
        <v>Armado de Dashboard + Diseño</v>
      </c>
      <c r="E29" s="204" t="str">
        <f>IF($G29="","",INDEX('_Datos'!$AY$7:$AY$200,$G29))</f>
        <v>Vencida</v>
      </c>
      <c r="F29" s="208">
        <f>IF($G29="","",INDEX('_Datos'!$AX$7:$AX$200,$G29))</f>
        <v>4</v>
      </c>
      <c r="G29" s="202">
        <f>IFERROR(MATCH(SMALL('_Datos'!$BB$7:$BB$200,ROW()-14),'_Datos'!$BB$7:$BB$200,0),"")</f>
        <v>41</v>
      </c>
    </row>
    <row r="30">
      <c r="B30" s="204" t="str">
        <f>IF($G30="","",INDEX('_Datos'!$AZ$7:$AZ$200,$G30))</f>
        <v>Semanal · S2</v>
      </c>
      <c r="C30" s="205" t="str">
        <f>IF($G30="","",INDEX('_Datos'!$D$7:$D$200,$G30))</f>
        <v>Tablero Forecast</v>
      </c>
      <c r="D30" s="205" t="str">
        <f>IF($G30="","",INDEX('_Datos'!$F$7:$F$200,$G30))</f>
        <v>Armado de Procedimiento</v>
      </c>
      <c r="E30" s="204" t="str">
        <f>IF($G30="","",INDEX('_Datos'!$AY$7:$AY$200,$G30))</f>
        <v>Vencida</v>
      </c>
      <c r="F30" s="208">
        <f>IF($G30="","",INDEX('_Datos'!$AX$7:$AX$200,$G30))</f>
        <v>4</v>
      </c>
      <c r="G30" s="202">
        <f>IFERROR(MATCH(SMALL('_Datos'!$BB$7:$BB$200,ROW()-14),'_Datos'!$BB$7:$BB$200,0),"")</f>
        <v>43</v>
      </c>
    </row>
    <row r="31">
      <c r="B31" s="204" t="str">
        <f>IF($G31="","",INDEX('_Datos'!$AZ$7:$AZ$200,$G31))</f>
        <v>Semanal · S2</v>
      </c>
      <c r="C31" s="205" t="str">
        <f>IF($G31="","",INDEX('_Datos'!$D$7:$D$200,$G31))</f>
        <v>Tablero Forecast</v>
      </c>
      <c r="D31" s="205" t="str">
        <f>IF($G31="","",INDEX('_Datos'!$F$7:$F$200,$G31))</f>
        <v>Slicer funcional con % de incremento sobre venta con base en % definido en factores</v>
      </c>
      <c r="E31" s="204" t="str">
        <f>IF($G31="","",INDEX('_Datos'!$AY$7:$AY$200,$G31))</f>
        <v>Vencida</v>
      </c>
      <c r="F31" s="208">
        <f>IF($G31="","",INDEX('_Datos'!$AX$7:$AX$200,$G31))</f>
        <v>4</v>
      </c>
      <c r="G31" s="202">
        <f>IFERROR(MATCH(SMALL('_Datos'!$BB$7:$BB$200,ROW()-14),'_Datos'!$BB$7:$BB$200,0),"")</f>
        <v>44</v>
      </c>
    </row>
    <row r="32">
      <c r="B32" s="204" t="str">
        <f>IF($G32="","",INDEX('_Datos'!$AZ$7:$AZ$200,$G32))</f>
        <v>Semanal · S2</v>
      </c>
      <c r="C32" s="205" t="str">
        <f>IF($G32="","",INDEX('_Datos'!$D$7:$D$200,$G32))</f>
        <v>Tablero Forecast</v>
      </c>
      <c r="D32" s="205" t="str">
        <f>IF($G32="","",INDEX('_Datos'!$F$7:$F$200,$G32))</f>
        <v>Factores de clientes con % de incremento sobre venta</v>
      </c>
      <c r="E32" s="204" t="str">
        <f>IF($G32="","",INDEX('_Datos'!$AY$7:$AY$200,$G32))</f>
        <v>Vencida</v>
      </c>
      <c r="F32" s="208">
        <f>IF($G32="","",INDEX('_Datos'!$AX$7:$AX$200,$G32))</f>
        <v>4</v>
      </c>
      <c r="G32" s="202">
        <f>IFERROR(MATCH(SMALL('_Datos'!$BB$7:$BB$200,ROW()-14),'_Datos'!$BB$7:$BB$200,0),"")</f>
        <v>45</v>
      </c>
    </row>
    <row r="33">
      <c r="B33" s="204">
        <f>IF($G33="","",INDEX('_Datos'!$AZ$7:$AZ$200,$G33))</f>
      </c>
      <c r="C33" s="205">
        <f>IF($G33="","",INDEX('_Datos'!$D$7:$D$200,$G33))</f>
      </c>
      <c r="D33" s="205">
        <f>IF($G33="","",INDEX('_Datos'!$F$7:$F$200,$G33))</f>
      </c>
      <c r="E33" s="204">
        <f>IF($G33="","",INDEX('_Datos'!$AY$7:$AY$200,$G33))</f>
      </c>
      <c r="F33" s="208">
        <f>IF($G33="","",INDEX('_Datos'!$AX$7:$AX$200,$G33))</f>
      </c>
      <c r="G33" s="202">
        <f>IFERROR(MATCH(SMALL('_Datos'!$BB$7:$BB$200,ROW()-14),'_Datos'!$BB$7:$BB$200,0),"")</f>
      </c>
    </row>
    <row r="34">
      <c r="B34" s="204">
        <f>IF($G34="","",INDEX('_Datos'!$AZ$7:$AZ$200,$G34))</f>
      </c>
      <c r="C34" s="205">
        <f>IF($G34="","",INDEX('_Datos'!$D$7:$D$200,$G34))</f>
      </c>
      <c r="D34" s="205">
        <f>IF($G34="","",INDEX('_Datos'!$F$7:$F$200,$G34))</f>
      </c>
      <c r="E34" s="204">
        <f>IF($G34="","",INDEX('_Datos'!$AY$7:$AY$200,$G34))</f>
      </c>
      <c r="F34" s="208">
        <f>IF($G34="","",INDEX('_Datos'!$AX$7:$AX$200,$G34))</f>
      </c>
      <c r="G34" s="202">
        <f>IFERROR(MATCH(SMALL('_Datos'!$BB$7:$BB$200,ROW()-14),'_Datos'!$BB$7:$BB$200,0),"")</f>
      </c>
    </row>
    <row r="36">
      <c r="B36" s="172" t="inlineStr">
        <is>
          <t xml:space="preserve">TABLERO QUINCENAL  (ordenado por Sprint)</t>
        </is>
      </c>
      <c r="C36" s="172"/>
      <c r="D36" s="172"/>
      <c r="E36" s="172"/>
      <c r="F36" s="172"/>
    </row>
    <row r="37">
      <c r="B37" s="173" t="inlineStr">
        <is>
          <t xml:space="preserve">Sprint</t>
        </is>
      </c>
      <c r="C37" s="173" t="inlineStr">
        <is>
          <t xml:space="preserve">Proyecto</t>
        </is>
      </c>
      <c r="D37" s="173" t="inlineStr">
        <is>
          <t xml:space="preserve">Subtarea</t>
        </is>
      </c>
      <c r="E37" s="173" t="inlineStr">
        <is>
          <t xml:space="preserve">Estado</t>
        </is>
      </c>
      <c r="F37" s="173" t="inlineStr">
        <is>
          <t xml:space="preserve">Mora (d)</t>
        </is>
      </c>
    </row>
    <row r="38">
      <c r="B38" s="204" t="str">
        <f>IF($G38="","",INDEX('_Datos'!$AZ$7:$AZ$200,$G38))</f>
        <v>Quincenal · S1</v>
      </c>
      <c r="C38" s="205" t="str">
        <f>IF($G38="","",INDEX('_Datos'!$D$7:$D$200,$G38))</f>
        <v>2- Cotizador de Operaciones Complejas</v>
      </c>
      <c r="D38" s="205" t="str">
        <f>IF($G38="","",INDEX('_Datos'!$F$7:$F$200,$G38))</f>
        <v>Crear estructura de Cotizador en base a modelo armado (migra a CLAUDE)</v>
      </c>
      <c r="E38" s="204" t="str">
        <f>IF($G38="","",INDEX('_Datos'!$AY$7:$AY$200,$G38))</f>
        <v>Pendiente</v>
      </c>
      <c r="F38" s="208">
        <f>IF($G38="","",INDEX('_Datos'!$AX$7:$AX$200,$G38))</f>
        <v>0</v>
      </c>
      <c r="G38" s="202">
        <f>IFERROR(MATCH(SMALL('_Datos'!$BC$7:$BC$200,ROW()-37),'_Datos'!$BC$7:$BC$200,0),"")</f>
        <v>4</v>
      </c>
    </row>
    <row r="39">
      <c r="B39" s="204" t="str">
        <f>IF($G39="","",INDEX('_Datos'!$AZ$7:$AZ$200,$G39))</f>
        <v>Quincenal · S1</v>
      </c>
      <c r="C39" s="205" t="str">
        <f>IF($G39="","",INDEX('_Datos'!$D$7:$D$200,$G39))</f>
        <v>2- Cotizador de Operaciones Complejas</v>
      </c>
      <c r="D39" s="205" t="str">
        <f>IF($G39="","",INDEX('_Datos'!$F$7:$F$200,$G39))</f>
        <v>Automatización Archivo Sueldos FATSA + Procedimientos</v>
      </c>
      <c r="E39" s="204" t="str">
        <f>IF($G39="","",INDEX('_Datos'!$AY$7:$AY$200,$G39))</f>
        <v>Pendiente</v>
      </c>
      <c r="F39" s="208">
        <f>IF($G39="","",INDEX('_Datos'!$AX$7:$AX$200,$G39))</f>
        <v>0</v>
      </c>
      <c r="G39" s="202">
        <f>IFERROR(MATCH(SMALL('_Datos'!$BC$7:$BC$200,ROW()-37),'_Datos'!$BC$7:$BC$200,0),"")</f>
        <v>5</v>
      </c>
    </row>
    <row r="40">
      <c r="B40" s="204" t="str">
        <f>IF($G40="","",INDEX('_Datos'!$AZ$7:$AZ$200,$G40))</f>
        <v>Quincenal · S1</v>
      </c>
      <c r="C40" s="205" t="str">
        <f>IF($G40="","",INDEX('_Datos'!$D$7:$D$200,$G40))</f>
        <v>2- Cotizador de Operaciones Complejas</v>
      </c>
      <c r="D40" s="205" t="str">
        <f>IF($G40="","",INDEX('_Datos'!$F$7:$F$200,$G40))</f>
        <v>Automatización Archivo Sueldos Petro + Procedimientos</v>
      </c>
      <c r="E40" s="204" t="str">
        <f>IF($G40="","",INDEX('_Datos'!$AY$7:$AY$200,$G40))</f>
        <v>Pendiente</v>
      </c>
      <c r="F40" s="208">
        <f>IF($G40="","",INDEX('_Datos'!$AX$7:$AX$200,$G40))</f>
        <v>0</v>
      </c>
      <c r="G40" s="202">
        <f>IFERROR(MATCH(SMALL('_Datos'!$BC$7:$BC$200,ROW()-37),'_Datos'!$BC$7:$BC$200,0),"")</f>
        <v>6</v>
      </c>
    </row>
    <row r="41">
      <c r="B41" s="204" t="str">
        <f>IF($G41="","",INDEX('_Datos'!$AZ$7:$AZ$200,$G41))</f>
        <v>Quincenal · S1</v>
      </c>
      <c r="C41" s="205" t="str">
        <f>IF($G41="","",INDEX('_Datos'!$D$7:$D$200,$G41))</f>
        <v>2- Cotizador de Operaciones Complejas</v>
      </c>
      <c r="D41" s="205" t="str">
        <f>IF($G41="","",INDEX('_Datos'!$F$7:$F$200,$G41))</f>
        <v>Relevamiento Últimos Sueldos de referencia Monotributistas</v>
      </c>
      <c r="E41" s="204" t="str">
        <f>IF($G41="","",INDEX('_Datos'!$AY$7:$AY$200,$G41))</f>
        <v>Pendiente</v>
      </c>
      <c r="F41" s="208">
        <f>IF($G41="","",INDEX('_Datos'!$AX$7:$AX$200,$G41))</f>
        <v>0</v>
      </c>
      <c r="G41" s="202">
        <f>IFERROR(MATCH(SMALL('_Datos'!$BC$7:$BC$200,ROW()-37),'_Datos'!$BC$7:$BC$200,0),"")</f>
        <v>7</v>
      </c>
    </row>
    <row r="42">
      <c r="B42" s="204" t="str">
        <f>IF($G42="","",INDEX('_Datos'!$AZ$7:$AZ$200,$G42))</f>
        <v>Quincenal · S1</v>
      </c>
      <c r="C42" s="205" t="str">
        <f>IF($G42="","",INDEX('_Datos'!$D$7:$D$200,$G42))</f>
        <v>2- Cotizador de Operaciones Complejas</v>
      </c>
      <c r="D42" s="205" t="str">
        <f>IF($G42="","",INDEX('_Datos'!$F$7:$F$200,$G42))</f>
        <v>Asociar Archivo Móviles y Tráilers (Nico Sifuentes) + procedimiento</v>
      </c>
      <c r="E42" s="204" t="str">
        <f>IF($G42="","",INDEX('_Datos'!$AY$7:$AY$200,$G42))</f>
        <v>Pendiente</v>
      </c>
      <c r="F42" s="208">
        <f>IF($G42="","",INDEX('_Datos'!$AX$7:$AX$200,$G42))</f>
        <v>0</v>
      </c>
      <c r="G42" s="202">
        <f>IFERROR(MATCH(SMALL('_Datos'!$BC$7:$BC$200,ROW()-37),'_Datos'!$BC$7:$BC$200,0),"")</f>
        <v>9</v>
      </c>
    </row>
    <row r="43">
      <c r="B43" s="204" t="str">
        <f>IF($G43="","",INDEX('_Datos'!$AZ$7:$AZ$200,$G43))</f>
        <v>Quincenal · S1</v>
      </c>
      <c r="C43" s="205" t="str">
        <f>IF($G43="","",INDEX('_Datos'!$D$7:$D$200,$G43))</f>
        <v>2- Cotizador de Operaciones Complejas</v>
      </c>
      <c r="D43" s="205" t="str">
        <f>IF($G43="","",INDEX('_Datos'!$F$7:$F$200,$G43))</f>
        <v>Asociar Archivo Masters de Medicación (Seba Oliver) + Capacitaciones + procedimiento</v>
      </c>
      <c r="E43" s="204" t="str">
        <f>IF($G43="","",INDEX('_Datos'!$AY$7:$AY$200,$G43))</f>
        <v>Pendiente</v>
      </c>
      <c r="F43" s="208">
        <f>IF($G43="","",INDEX('_Datos'!$AX$7:$AX$200,$G43))</f>
        <v>0</v>
      </c>
      <c r="G43" s="202">
        <f>IFERROR(MATCH(SMALL('_Datos'!$BC$7:$BC$200,ROW()-37),'_Datos'!$BC$7:$BC$200,0),"")</f>
        <v>10</v>
      </c>
    </row>
    <row r="44">
      <c r="B44" s="204" t="str">
        <f>IF($G44="","",INDEX('_Datos'!$AZ$7:$AZ$200,$G44))</f>
        <v>Quincenal · S1</v>
      </c>
      <c r="C44" s="205" t="str">
        <f>IF($G44="","",INDEX('_Datos'!$D$7:$D$200,$G44))</f>
        <v>2- Cotizador de Operaciones Complejas</v>
      </c>
      <c r="D44" s="205" t="str">
        <f>IF($G44="","",INDEX('_Datos'!$F$7:$F$200,$G44))</f>
        <v>Relevamiento área de IA -  Repositorio (GitHub o AWS S3) + Seguridad</v>
      </c>
      <c r="E44" s="204" t="str">
        <f>IF($G44="","",INDEX('_Datos'!$AY$7:$AY$200,$G44))</f>
        <v>Pendiente</v>
      </c>
      <c r="F44" s="208">
        <f>IF($G44="","",INDEX('_Datos'!$AX$7:$AX$200,$G44))</f>
        <v>0</v>
      </c>
      <c r="G44" s="202">
        <f>IFERROR(MATCH(SMALL('_Datos'!$BC$7:$BC$200,ROW()-37),'_Datos'!$BC$7:$BC$200,0),"")</f>
        <v>13</v>
      </c>
    </row>
    <row r="45">
      <c r="B45" s="204">
        <f>IF($G45="","",INDEX('_Datos'!$AZ$7:$AZ$200,$G45))</f>
      </c>
      <c r="C45" s="205">
        <f>IF($G45="","",INDEX('_Datos'!$D$7:$D$200,$G45))</f>
      </c>
      <c r="D45" s="205">
        <f>IF($G45="","",INDEX('_Datos'!$F$7:$F$200,$G45))</f>
      </c>
      <c r="E45" s="204">
        <f>IF($G45="","",INDEX('_Datos'!$AY$7:$AY$200,$G45))</f>
      </c>
      <c r="F45" s="208">
        <f>IF($G45="","",INDEX('_Datos'!$AX$7:$AX$200,$G45))</f>
      </c>
      <c r="G45" s="202">
        <f>IFERROR(MATCH(SMALL('_Datos'!$BC$7:$BC$200,ROW()-37),'_Datos'!$BC$7:$BC$200,0),"")</f>
      </c>
    </row>
    <row r="46">
      <c r="B46" s="204">
        <f>IF($G46="","",INDEX('_Datos'!$AZ$7:$AZ$200,$G46))</f>
      </c>
      <c r="C46" s="205">
        <f>IF($G46="","",INDEX('_Datos'!$D$7:$D$200,$G46))</f>
      </c>
      <c r="D46" s="205">
        <f>IF($G46="","",INDEX('_Datos'!$F$7:$F$200,$G46))</f>
      </c>
      <c r="E46" s="204">
        <f>IF($G46="","",INDEX('_Datos'!$AY$7:$AY$200,$G46))</f>
      </c>
      <c r="F46" s="208">
        <f>IF($G46="","",INDEX('_Datos'!$AX$7:$AX$200,$G46))</f>
      </c>
      <c r="G46" s="202">
        <f>IFERROR(MATCH(SMALL('_Datos'!$BC$7:$BC$200,ROW()-37),'_Datos'!$BC$7:$BC$200,0),"")</f>
      </c>
    </row>
    <row r="47">
      <c r="B47" s="204">
        <f>IF($G47="","",INDEX('_Datos'!$AZ$7:$AZ$200,$G47))</f>
      </c>
      <c r="C47" s="205">
        <f>IF($G47="","",INDEX('_Datos'!$D$7:$D$200,$G47))</f>
      </c>
      <c r="D47" s="205">
        <f>IF($G47="","",INDEX('_Datos'!$F$7:$F$200,$G47))</f>
      </c>
      <c r="E47" s="204">
        <f>IF($G47="","",INDEX('_Datos'!$AY$7:$AY$200,$G47))</f>
      </c>
      <c r="F47" s="208">
        <f>IF($G47="","",INDEX('_Datos'!$AX$7:$AX$200,$G47))</f>
      </c>
      <c r="G47" s="202">
        <f>IFERROR(MATCH(SMALL('_Datos'!$BC$7:$BC$200,ROW()-37),'_Datos'!$BC$7:$BC$200,0),"")</f>
      </c>
    </row>
    <row r="49">
      <c r="B49" s="172" t="inlineStr">
        <is>
          <t xml:space="preserve">TABLERO MENSUAL  (ordenado por Sprint)</t>
        </is>
      </c>
      <c r="C49" s="172"/>
      <c r="D49" s="172"/>
      <c r="E49" s="172"/>
      <c r="F49" s="172"/>
    </row>
    <row r="50">
      <c r="B50" s="173" t="inlineStr">
        <is>
          <t xml:space="preserve">Sprint</t>
        </is>
      </c>
      <c r="C50" s="173" t="inlineStr">
        <is>
          <t xml:space="preserve">Proyecto</t>
        </is>
      </c>
      <c r="D50" s="173" t="inlineStr">
        <is>
          <t xml:space="preserve">Subtarea</t>
        </is>
      </c>
      <c r="E50" s="173" t="inlineStr">
        <is>
          <t xml:space="preserve">Estado</t>
        </is>
      </c>
      <c r="F50" s="173" t="inlineStr">
        <is>
          <t xml:space="preserve">Mora (d)</t>
        </is>
      </c>
    </row>
    <row r="51">
      <c r="B51" s="204" t="str">
        <f>IF($G51="","",INDEX('_Datos'!$AZ$7:$AZ$200,$G51))</f>
        <v>Mensual · S1</v>
      </c>
      <c r="C51" s="205" t="str">
        <f>IF($G51="","",INDEX('_Datos'!$D$7:$D$200,$G51))</f>
        <v>1- GOC: Módulo de Datos para Procesos de Certificación (Inteligencia Comercial)</v>
      </c>
      <c r="D51" s="205" t="str">
        <f>IF($G51="","",INDEX('_Datos'!$F$7:$F$200,$G51))</f>
        <v>Disponibilidad de información centralizada en GOC (aguarda desarrollo)</v>
      </c>
      <c r="E51" s="204" t="str">
        <f>IF($G51="","",INDEX('_Datos'!$AY$7:$AY$200,$G51))</f>
        <v>Pendiente</v>
      </c>
      <c r="F51" s="208">
        <f>IF($G51="","",INDEX('_Datos'!$AX$7:$AX$200,$G51))</f>
        <v>0</v>
      </c>
      <c r="G51" s="202">
        <f>IFERROR(MATCH(SMALL('_Datos'!$BD$7:$BD$200,ROW()-50),'_Datos'!$BD$7:$BD$200,0),"")</f>
        <v>2</v>
      </c>
    </row>
    <row r="52">
      <c r="B52" s="204">
        <f>IF($G52="","",INDEX('_Datos'!$AZ$7:$AZ$200,$G52))</f>
      </c>
      <c r="C52" s="205">
        <f>IF($G52="","",INDEX('_Datos'!$D$7:$D$200,$G52))</f>
      </c>
      <c r="D52" s="205">
        <f>IF($G52="","",INDEX('_Datos'!$F$7:$F$200,$G52))</f>
      </c>
      <c r="E52" s="204">
        <f>IF($G52="","",INDEX('_Datos'!$AY$7:$AY$200,$G52))</f>
      </c>
      <c r="F52" s="208">
        <f>IF($G52="","",INDEX('_Datos'!$AX$7:$AX$200,$G52))</f>
      </c>
      <c r="G52" s="202">
        <f>IFERROR(MATCH(SMALL('_Datos'!$BD$7:$BD$200,ROW()-50),'_Datos'!$BD$7:$BD$200,0),"")</f>
      </c>
    </row>
    <row r="53">
      <c r="B53" s="204">
        <f>IF($G53="","",INDEX('_Datos'!$AZ$7:$AZ$200,$G53))</f>
      </c>
      <c r="C53" s="205">
        <f>IF($G53="","",INDEX('_Datos'!$D$7:$D$200,$G53))</f>
      </c>
      <c r="D53" s="205">
        <f>IF($G53="","",INDEX('_Datos'!$F$7:$F$200,$G53))</f>
      </c>
      <c r="E53" s="204">
        <f>IF($G53="","",INDEX('_Datos'!$AY$7:$AY$200,$G53))</f>
      </c>
      <c r="F53" s="208">
        <f>IF($G53="","",INDEX('_Datos'!$AX$7:$AX$200,$G53))</f>
      </c>
      <c r="G53" s="202">
        <f>IFERROR(MATCH(SMALL('_Datos'!$BD$7:$BD$200,ROW()-50),'_Datos'!$BD$7:$BD$200,0),"")</f>
      </c>
    </row>
    <row r="54">
      <c r="B54" s="204">
        <f>IF($G54="","",INDEX('_Datos'!$AZ$7:$AZ$200,$G54))</f>
      </c>
      <c r="C54" s="205">
        <f>IF($G54="","",INDEX('_Datos'!$D$7:$D$200,$G54))</f>
      </c>
      <c r="D54" s="205">
        <f>IF($G54="","",INDEX('_Datos'!$F$7:$F$200,$G54))</f>
      </c>
      <c r="E54" s="204">
        <f>IF($G54="","",INDEX('_Datos'!$AY$7:$AY$200,$G54))</f>
      </c>
      <c r="F54" s="208">
        <f>IF($G54="","",INDEX('_Datos'!$AX$7:$AX$200,$G54))</f>
      </c>
      <c r="G54" s="202">
        <f>IFERROR(MATCH(SMALL('_Datos'!$BD$7:$BD$200,ROW()-50),'_Datos'!$BD$7:$BD$200,0),"")</f>
      </c>
    </row>
    <row r="55">
      <c r="B55" s="204">
        <f>IF($G55="","",INDEX('_Datos'!$AZ$7:$AZ$200,$G55))</f>
      </c>
      <c r="C55" s="205">
        <f>IF($G55="","",INDEX('_Datos'!$D$7:$D$200,$G55))</f>
      </c>
      <c r="D55" s="205">
        <f>IF($G55="","",INDEX('_Datos'!$F$7:$F$200,$G55))</f>
      </c>
      <c r="E55" s="204">
        <f>IF($G55="","",INDEX('_Datos'!$AY$7:$AY$200,$G55))</f>
      </c>
      <c r="F55" s="208">
        <f>IF($G55="","",INDEX('_Datos'!$AX$7:$AX$200,$G55))</f>
      </c>
      <c r="G55" s="202">
        <f>IFERROR(MATCH(SMALL('_Datos'!$BD$7:$BD$200,ROW()-50),'_Datos'!$BD$7:$BD$200,0),"")</f>
      </c>
    </row>
    <row r="56">
      <c r="B56" s="204">
        <f>IF($G56="","",INDEX('_Datos'!$AZ$7:$AZ$200,$G56))</f>
      </c>
      <c r="C56" s="205">
        <f>IF($G56="","",INDEX('_Datos'!$D$7:$D$200,$G56))</f>
      </c>
      <c r="D56" s="205">
        <f>IF($G56="","",INDEX('_Datos'!$F$7:$F$200,$G56))</f>
      </c>
      <c r="E56" s="204">
        <f>IF($G56="","",INDEX('_Datos'!$AY$7:$AY$200,$G56))</f>
      </c>
      <c r="F56" s="208">
        <f>IF($G56="","",INDEX('_Datos'!$AX$7:$AX$200,$G56))</f>
      </c>
      <c r="G56" s="202">
        <f>IFERROR(MATCH(SMALL('_Datos'!$BD$7:$BD$200,ROW()-50),'_Datos'!$BD$7:$BD$200,0),"")</f>
      </c>
    </row>
  </sheetData>
  <mergeCells count="8">
    <mergeCell ref="B1:F1"/>
    <mergeCell ref="B2:F2"/>
    <mergeCell ref="B3:E3"/>
    <mergeCell ref="B7:E7"/>
    <mergeCell ref="I3:J3"/>
    <mergeCell ref="B13:F13"/>
    <mergeCell ref="B36:F36"/>
    <mergeCell ref="B49:F49"/>
  </mergeCells>
  <conditionalFormatting sqref="E15:E34">
    <cfRule type="expression" dxfId="26" priority="10">
      <formula>$E15="Completo"</formula>
    </cfRule>
    <cfRule type="expression" dxfId="23" priority="11">
      <formula>$E15="Vencida"</formula>
    </cfRule>
    <cfRule type="expression" dxfId="24" priority="12">
      <formula>$E15="Baja prioridad"</formula>
    </cfRule>
    <cfRule type="expression" dxfId="22" priority="13">
      <formula>$E15="Cancelado"</formula>
    </cfRule>
  </conditionalFormatting>
  <conditionalFormatting sqref="B15:F34">
    <cfRule type="expression" dxfId="21" priority="14">
      <formula>$B15&lt;&gt;""</formula>
    </cfRule>
  </conditionalFormatting>
  <conditionalFormatting sqref="E38:E47">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47">
    <cfRule type="expression" dxfId="21" priority="19">
      <formula>$B38&lt;&gt;""</formula>
    </cfRule>
  </conditionalFormatting>
  <conditionalFormatting sqref="E51:E56">
    <cfRule type="expression" dxfId="26" priority="20">
      <formula>$E51="Completo"</formula>
    </cfRule>
    <cfRule type="expression" dxfId="23" priority="21">
      <formula>$E51="Vencida"</formula>
    </cfRule>
    <cfRule type="expression" dxfId="24" priority="22">
      <formula>$E51="Baja prioridad"</formula>
    </cfRule>
    <cfRule type="expression" dxfId="22" priority="23">
      <formula>$E51="Cancelado"</formula>
    </cfRule>
  </conditionalFormatting>
  <conditionalFormatting sqref="B51:F56">
    <cfRule type="expression" dxfId="21" priority="24">
      <formula>$B51&lt;&gt;""</formula>
    </cfRule>
  </conditionalFormatting>
  <dataValidations count="1">
    <dataValidation type="list" allowBlank="1" showInputMessage="1" showErrorMessage="1" sqref="J5:J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2" customWidth="1"/>
    <col min="6" max="6" width="11" customWidth="1"/>
    <col min="7" max="7" width="15" customWidth="1"/>
    <col min="8" max="8" width="18" customWidth="1"/>
    <col min="9" max="9" width="12" customWidth="1"/>
    <col min="10" max="10" width="8" customWidth="1"/>
    <col min="11" max="11" width="30" customWidth="1"/>
    <col min="12" max="12" width="30" customWidth="1"/>
    <col min="13" max="13" width="12" customWidth="1"/>
    <col min="14" max="14" width="12" customWidth="1"/>
  </cols>
  <sheetData>
    <row r="1" ht="26" customHeight="1">
      <c r="B1" s="169" t="inlineStr">
        <is>
          <t xml:space="preserve">BACKLOG GENERAL — mis OKRs por proyecto</t>
        </is>
      </c>
      <c r="C1" s="169"/>
      <c r="D1" s="169"/>
      <c r="E1" s="169"/>
      <c r="F1" s="169"/>
      <c r="G1" s="169"/>
      <c r="H1" s="169"/>
      <c r="I1" s="169"/>
      <c r="J1" s="169"/>
      <c r="K1" s="169"/>
      <c r="L1" s="169"/>
      <c r="M1" s="169"/>
      <c r="N1" s="169"/>
    </row>
    <row r="2" ht="34" customHeight="1">
      <c r="B2" s="170" t="inlineStr">
        <is>
          <t xml:space="preserve">Estado = "Completo" o "No se realizó". Si NO se realizó, Acción: "Pasa al siguiente" / "Baja prioridad" (sigue pendiente y NO cuenta mora) / "Cancelado". El "Comentario (Gantt)" trae las notas de la 1ª hoja; agregue su "Justificación" libre. "Sol. en Sprint" marca en qué sprint fue solicitada (deja de ser "Nuevo" al avanzar de sprint). El "SPRINT ACTUAL" de cada tarea es el MISMO número que figura en la hoja Sprints.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Mora (d)</t>
        </is>
      </c>
      <c r="K6" s="173" t="inlineStr">
        <is>
          <t xml:space="preserve">Comentario (Gantt)</t>
        </is>
      </c>
      <c r="L6" s="173" t="inlineStr">
        <is>
          <t xml:space="preserve">Justificación / Comentario</t>
        </is>
      </c>
      <c r="M6" s="173" t="inlineStr">
        <is>
          <t xml:space="preserve">Sol. en Sprint</t>
        </is>
      </c>
      <c r="N6" s="173" t="inlineStr">
        <is>
          <t xml:space="preserve">Nuevo</t>
        </is>
      </c>
    </row>
    <row r="7">
      <c r="B7" s="204">
        <f>IF('_Datos'!$C7,'_Datos'!$O7,"")</f>
      </c>
      <c r="C7" s="205" t="str">
        <f>IF('_Datos'!$C7,'_Datos'!$F7,IF('_Datos'!$B7,'Proyecto Datos (OKR´s)'!$G7,""))</f>
        <v>1- GOC: Módulo de Datos para Procesos de Certificación (Inteligencia Comercial)</v>
      </c>
      <c r="D7" s="204">
        <f>IF('_Datos'!$C7,'_Datos'!$AO7,"")</f>
      </c>
      <c r="E7" s="206">
        <f>IF('_Datos'!$C7,'_Datos'!$H7,"")</f>
      </c>
      <c r="F7" s="204">
        <f>IF('_Datos'!$C7,IF(ISNUMBER('_Datos'!$AR7),'_Datos'!$AR7,"(Sin fecha)"),"")</f>
      </c>
      <c r="G7" s="204"/>
      <c r="H7" s="205"/>
      <c r="I7" s="204">
        <f>IF('_Datos'!$C7,IF(ISNUMBER('_Datos'!$AV7),'_Datos'!$AZ7,"(Sin fecha)"),"")</f>
      </c>
      <c r="J7" s="208">
        <f>IF('_Datos'!$C7,'_Datos'!$AX7,"")</f>
      </c>
      <c r="K7" s="205">
        <f>IF('_Datos'!$C7,IF('Proyecto Datos (OKR´s)'!$C7="","",'Proyecto Datos (OKR´s)'!$C7),"")</f>
      </c>
      <c r="L7" s="205"/>
      <c r="M7" s="191"/>
      <c r="N7" s="204">
        <f>IF('_Datos'!$C7,'_Datos'!$BA7,"")</f>
      </c>
    </row>
    <row r="8">
      <c r="B8" s="204" t="str">
        <f>IF('_Datos'!$C8,'_Datos'!$O8,"")</f>
        <v>T008</v>
      </c>
      <c r="C8" s="205" t="str">
        <f>IF('_Datos'!$C8,'_Datos'!$F8,IF('_Datos'!$B8,'Proyecto Datos (OKR´s)'!$G8,""))</f>
        <v>Disponibilidad de información centralizada en GOC (aguarda desarrollo)</v>
      </c>
      <c r="D8" s="204" t="str">
        <f>IF('_Datos'!$C8,'_Datos'!$AO8,"")</f>
        <v>Mensual</v>
      </c>
      <c r="E8" s="206">
        <f>IF('_Datos'!$C8,'_Datos'!$H8,"")</f>
        <v>46203</v>
      </c>
      <c r="F8" s="204">
        <f>IF('_Datos'!$C8,IF(ISNUMBER('_Datos'!$AR8),'_Datos'!$AR8,"(Sin fecha)"),"")</f>
        <v>1</v>
      </c>
      <c r="G8" s="204"/>
      <c r="H8" s="205"/>
      <c r="I8" s="204" t="str">
        <f>IF('_Datos'!$C8,IF(ISNUMBER('_Datos'!$AV8),'_Datos'!$AZ8,"(Sin fecha)"),"")</f>
        <v>Mensual · S1</v>
      </c>
      <c r="J8" s="208">
        <f>IF('_Datos'!$C8,'_Datos'!$AX8,"")</f>
        <v>0</v>
      </c>
      <c r="K8" s="205" t="str">
        <f>IF('_Datos'!$C8,IF('Proyecto Datos (OKR´s)'!$C8="","",'Proyecto Datos (OKR´s)'!$C8),"")</f>
        <v>Ok registro global Personas y Móviles (Habilitado/ Inhabilitado/ Dado de baja) + Vencimientos; Próximo: Diagrama (30/6 fecha estimada); Se avanzó con módulo diagrama.</v>
      </c>
      <c r="L8" s="205"/>
      <c r="M8" s="191"/>
      <c r="N8" s="204">
        <f>IF('_Datos'!$C8,'_Datos'!$BA8,"")</f>
      </c>
    </row>
    <row r="9">
      <c r="B9" s="204">
        <f>IF('_Datos'!$C9,'_Datos'!$O9,"")</f>
      </c>
      <c r="C9" s="205" t="str">
        <f>IF('_Datos'!$C9,'_Datos'!$F9,IF('_Datos'!$B9,'Proyecto Datos (OKR´s)'!$G9,""))</f>
        <v>2- Cotizador de Operaciones Complejas</v>
      </c>
      <c r="D9" s="204">
        <f>IF('_Datos'!$C9,'_Datos'!$AO9,"")</f>
      </c>
      <c r="E9" s="206">
        <f>IF('_Datos'!$C9,'_Datos'!$H9,"")</f>
      </c>
      <c r="F9" s="204">
        <f>IF('_Datos'!$C9,IF(ISNUMBER('_Datos'!$AR9),'_Datos'!$AR9,"(Sin fecha)"),"")</f>
      </c>
      <c r="G9" s="204"/>
      <c r="H9" s="205"/>
      <c r="I9" s="204">
        <f>IF('_Datos'!$C9,IF(ISNUMBER('_Datos'!$AV9),'_Datos'!$AZ9,"(Sin fecha)"),"")</f>
      </c>
      <c r="J9" s="208">
        <f>IF('_Datos'!$C9,'_Datos'!$AX9,"")</f>
      </c>
      <c r="K9" s="205">
        <f>IF('_Datos'!$C9,IF('Proyecto Datos (OKR´s)'!$C9="","",'Proyecto Datos (OKR´s)'!$C9),"")</f>
      </c>
      <c r="L9" s="205"/>
      <c r="M9" s="191"/>
      <c r="N9" s="204">
        <f>IF('_Datos'!$C9,'_Datos'!$BA9,"")</f>
      </c>
    </row>
    <row r="10">
      <c r="B10" s="204" t="str">
        <f>IF('_Datos'!$C10,'_Datos'!$O10,"")</f>
        <v>T010</v>
      </c>
      <c r="C10" s="205" t="str">
        <f>IF('_Datos'!$C10,'_Datos'!$F10,IF('_Datos'!$B10,'Proyecto Datos (OKR´s)'!$G10,""))</f>
        <v>Crear estructura de Cotizador en base a modelo armado (migra a CLAUDE)</v>
      </c>
      <c r="D10" s="204" t="str">
        <f>IF('_Datos'!$C10,'_Datos'!$AO10,"")</f>
        <v>Quincenal</v>
      </c>
      <c r="E10" s="206">
        <f>IF('_Datos'!$C10,'_Datos'!$H10,"")</f>
        <v>46192</v>
      </c>
      <c r="F10" s="204">
        <f>IF('_Datos'!$C10,IF(ISNUMBER('_Datos'!$AR10),'_Datos'!$AR10,"(Sin fecha)"),"")</f>
        <v>1</v>
      </c>
      <c r="G10" s="204"/>
      <c r="H10" s="205"/>
      <c r="I10" s="204" t="str">
        <f>IF('_Datos'!$C10,IF(ISNUMBER('_Datos'!$AV10),'_Datos'!$AZ10,"(Sin fecha)"),"")</f>
        <v>Quincenal · S1</v>
      </c>
      <c r="J10" s="208">
        <f>IF('_Datos'!$C10,'_Datos'!$AX10,"")</f>
        <v>0</v>
      </c>
      <c r="K10" s="205">
        <f>IF('_Datos'!$C10,IF('Proyecto Datos (OKR´s)'!$C10="","",'Proyecto Datos (OKR´s)'!$C10),"")</f>
      </c>
      <c r="L10" s="205"/>
      <c r="M10" s="191"/>
      <c r="N10" s="204">
        <f>IF('_Datos'!$C10,'_Datos'!$BA10,"")</f>
      </c>
    </row>
    <row r="11">
      <c r="B11" s="204" t="str">
        <f>IF('_Datos'!$C11,'_Datos'!$O11,"")</f>
        <v>T011</v>
      </c>
      <c r="C11" s="205" t="str">
        <f>IF('_Datos'!$C11,'_Datos'!$F11,IF('_Datos'!$B11,'Proyecto Datos (OKR´s)'!$G11,""))</f>
        <v>Automatización Archivo Sueldos FATSA + Procedimientos</v>
      </c>
      <c r="D11" s="204" t="str">
        <f>IF('_Datos'!$C11,'_Datos'!$AO11,"")</f>
        <v>Quincenal</v>
      </c>
      <c r="E11" s="206">
        <f>IF('_Datos'!$C11,'_Datos'!$H11,"")</f>
        <v>46192</v>
      </c>
      <c r="F11" s="204">
        <f>IF('_Datos'!$C11,IF(ISNUMBER('_Datos'!$AR11),'_Datos'!$AR11,"(Sin fecha)"),"")</f>
        <v>1</v>
      </c>
      <c r="G11" s="204"/>
      <c r="H11" s="205"/>
      <c r="I11" s="204" t="str">
        <f>IF('_Datos'!$C11,IF(ISNUMBER('_Datos'!$AV11),'_Datos'!$AZ11,"(Sin fecha)"),"")</f>
        <v>Quincenal · S1</v>
      </c>
      <c r="J11" s="208">
        <f>IF('_Datos'!$C11,'_Datos'!$AX11,"")</f>
        <v>0</v>
      </c>
      <c r="K11" s="205" t="str">
        <f>IF('_Datos'!$C11,IF('Proyecto Datos (OKR´s)'!$C11="","",'Proyecto Datos (OKR´s)'!$C11),"")</f>
        <v>Reunión con Danna Mar 16/06; dependo de tiempos de Danna. Se avanzó pero falta ya que estamos realizando una automatización linea por linea.</v>
      </c>
      <c r="L11" s="205"/>
      <c r="M11" s="191"/>
      <c r="N11" s="204">
        <f>IF('_Datos'!$C11,'_Datos'!$BA11,"")</f>
      </c>
    </row>
    <row r="12">
      <c r="B12" s="204" t="str">
        <f>IF('_Datos'!$C12,'_Datos'!$O12,"")</f>
        <v>T012</v>
      </c>
      <c r="C12" s="205" t="str">
        <f>IF('_Datos'!$C12,'_Datos'!$F12,IF('_Datos'!$B12,'Proyecto Datos (OKR´s)'!$G12,""))</f>
        <v>Automatización Archivo Sueldos Petro + Procedimientos</v>
      </c>
      <c r="D12" s="204" t="str">
        <f>IF('_Datos'!$C12,'_Datos'!$AO12,"")</f>
        <v>Quincenal</v>
      </c>
      <c r="E12" s="206">
        <f>IF('_Datos'!$C12,'_Datos'!$H12,"")</f>
        <v>46192</v>
      </c>
      <c r="F12" s="204">
        <f>IF('_Datos'!$C12,IF(ISNUMBER('_Datos'!$AR12),'_Datos'!$AR12,"(Sin fecha)"),"")</f>
        <v>1</v>
      </c>
      <c r="G12" s="204"/>
      <c r="H12" s="205"/>
      <c r="I12" s="204" t="str">
        <f>IF('_Datos'!$C12,IF(ISNUMBER('_Datos'!$AV12),'_Datos'!$AZ12,"(Sin fecha)"),"")</f>
        <v>Quincenal · S1</v>
      </c>
      <c r="J12" s="208">
        <f>IF('_Datos'!$C12,'_Datos'!$AX12,"")</f>
        <v>0</v>
      </c>
      <c r="K12" s="205">
        <f>IF('_Datos'!$C12,IF('Proyecto Datos (OKR´s)'!$C12="","",'Proyecto Datos (OKR´s)'!$C12),"")</f>
      </c>
      <c r="L12" s="205"/>
      <c r="M12" s="191"/>
      <c r="N12" s="204">
        <f>IF('_Datos'!$C12,'_Datos'!$BA12,"")</f>
      </c>
    </row>
    <row r="13">
      <c r="B13" s="204" t="str">
        <f>IF('_Datos'!$C13,'_Datos'!$O13,"")</f>
        <v>T013</v>
      </c>
      <c r="C13" s="205" t="str">
        <f>IF('_Datos'!$C13,'_Datos'!$F13,IF('_Datos'!$B13,'Proyecto Datos (OKR´s)'!$G13,""))</f>
        <v>Relevamiento Últimos Sueldos de referencia Monotributistas</v>
      </c>
      <c r="D13" s="204" t="str">
        <f>IF('_Datos'!$C13,'_Datos'!$AO13,"")</f>
        <v>Quincenal</v>
      </c>
      <c r="E13" s="206">
        <f>IF('_Datos'!$C13,'_Datos'!$H13,"")</f>
        <v>46192</v>
      </c>
      <c r="F13" s="204">
        <f>IF('_Datos'!$C13,IF(ISNUMBER('_Datos'!$AR13),'_Datos'!$AR13,"(Sin fecha)"),"")</f>
        <v>1</v>
      </c>
      <c r="G13" s="204"/>
      <c r="H13" s="205"/>
      <c r="I13" s="204" t="str">
        <f>IF('_Datos'!$C13,IF(ISNUMBER('_Datos'!$AV13),'_Datos'!$AZ13,"(Sin fecha)"),"")</f>
        <v>Quincenal · S1</v>
      </c>
      <c r="J13" s="208">
        <f>IF('_Datos'!$C13,'_Datos'!$AX13,"")</f>
        <v>0</v>
      </c>
      <c r="K13" s="205" t="str">
        <f>IF('_Datos'!$C13,IF('Proyecto Datos (OKR´s)'!$C13="","",'Proyecto Datos (OKR´s)'!$C13),"")</f>
        <v>pedir últimos a Carlos Hernández; no llegué</v>
      </c>
      <c r="L13" s="205"/>
      <c r="M13" s="191"/>
      <c r="N13" s="204">
        <f>IF('_Datos'!$C13,'_Datos'!$BA13,"")</f>
      </c>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6">
        <f>IF('_Datos'!$C14,'_Datos'!$H14,"")</f>
      </c>
      <c r="F14" s="204" t="str">
        <f>IF('_Datos'!$C14,IF(ISNUMBER('_Datos'!$AR14),'_Datos'!$AR14,"(Sin fecha)"),"")</f>
        <v>(Sin fecha)</v>
      </c>
      <c r="G14" s="204"/>
      <c r="H14" s="205"/>
      <c r="I14" s="204" t="str">
        <f>IF('_Datos'!$C14,IF(ISNUMBER('_Datos'!$AV14),'_Datos'!$AZ14,"(Sin fecha)"),"")</f>
        <v>(Sin fecha)</v>
      </c>
      <c r="J14" s="208">
        <f>IF('_Datos'!$C14,'_Datos'!$AX14,"")</f>
        <v>0</v>
      </c>
      <c r="K14" s="205">
        <f>IF('_Datos'!$C14,IF('Proyecto Datos (OKR´s)'!$C14="","",'Proyecto Datos (OKR´s)'!$C14),"")</f>
      </c>
      <c r="L14" s="205"/>
      <c r="M14" s="191"/>
      <c r="N14" s="204">
        <f>IF('_Datos'!$C14,'_Datos'!$BA14,"")</f>
      </c>
    </row>
    <row r="15">
      <c r="B15" s="204" t="str">
        <f>IF('_Datos'!$C15,'_Datos'!$O15,"")</f>
        <v>T015</v>
      </c>
      <c r="C15" s="205" t="str">
        <f>IF('_Datos'!$C15,'_Datos'!$F15,IF('_Datos'!$B15,'Proyecto Datos (OKR´s)'!$G15,""))</f>
        <v>Asociar Archivo Móviles y Tráilers (Nico Sifuentes) + procedimiento</v>
      </c>
      <c r="D15" s="204" t="str">
        <f>IF('_Datos'!$C15,'_Datos'!$AO15,"")</f>
        <v>Quincenal</v>
      </c>
      <c r="E15" s="206">
        <f>IF('_Datos'!$C15,'_Datos'!$H15,"")</f>
        <v>46192</v>
      </c>
      <c r="F15" s="204">
        <f>IF('_Datos'!$C15,IF(ISNUMBER('_Datos'!$AR15),'_Datos'!$AR15,"(Sin fecha)"),"")</f>
        <v>1</v>
      </c>
      <c r="G15" s="204"/>
      <c r="H15" s="205"/>
      <c r="I15" s="204" t="str">
        <f>IF('_Datos'!$C15,IF(ISNUMBER('_Datos'!$AV15),'_Datos'!$AZ15,"(Sin fecha)"),"")</f>
        <v>Quincenal · S1</v>
      </c>
      <c r="J15" s="208">
        <f>IF('_Datos'!$C15,'_Datos'!$AX15,"")</f>
        <v>0</v>
      </c>
      <c r="K15" s="205" t="str">
        <f>IF('_Datos'!$C15,IF('Proyecto Datos (OKR´s)'!$C15="","",'Proyecto Datos (OKR´s)'!$C15),"")</f>
        <v>Avance Nico Sifuentes; sólo pendiente procedimiento.</v>
      </c>
      <c r="L15" s="205"/>
      <c r="M15" s="191"/>
      <c r="N15" s="204">
        <f>IF('_Datos'!$C15,'_Datos'!$BA15,"")</f>
      </c>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6">
        <f>IF('_Datos'!$C16,'_Datos'!$H16,"")</f>
        <v>46192</v>
      </c>
      <c r="F16" s="204">
        <f>IF('_Datos'!$C16,IF(ISNUMBER('_Datos'!$AR16),'_Datos'!$AR16,"(Sin fecha)"),"")</f>
        <v>1</v>
      </c>
      <c r="G16" s="204"/>
      <c r="H16" s="205"/>
      <c r="I16" s="204" t="str">
        <f>IF('_Datos'!$C16,IF(ISNUMBER('_Datos'!$AV16),'_Datos'!$AZ16,"(Sin fecha)"),"")</f>
        <v>Quincenal · S1</v>
      </c>
      <c r="J16" s="208">
        <f>IF('_Datos'!$C16,'_Datos'!$AX16,"")</f>
        <v>0</v>
      </c>
      <c r="K16" s="205" t="str">
        <f>IF('_Datos'!$C16,IF('Proyecto Datos (OKR´s)'!$C16="","",'Proyecto Datos (OKR´s)'!$C16),"")</f>
        <v>Reunión jue 11/6 - Avance Seba Oliver; sólo pendiente procedimiento.</v>
      </c>
      <c r="L16" s="205"/>
      <c r="M16" s="191"/>
      <c r="N16" s="204">
        <f>IF('_Datos'!$C16,'_Datos'!$BA16,"")</f>
      </c>
    </row>
    <row r="17">
      <c r="B17" s="204" t="str">
        <f>IF('_Datos'!$C17,'_Datos'!$O17,"")</f>
        <v>T017</v>
      </c>
      <c r="C17" s="205" t="str">
        <f>IF('_Datos'!$C17,'_Datos'!$F17,IF('_Datos'!$B17,'Proyecto Datos (OKR´s)'!$G17,""))</f>
        <v>Asociar Gastos de Estructura (% de incidencia)</v>
      </c>
      <c r="D17" s="204" t="str">
        <f>IF('_Datos'!$C17,'_Datos'!$AO17,"")</f>
        <v>Quincenal</v>
      </c>
      <c r="E17" s="206">
        <f>IF('_Datos'!$C17,'_Datos'!$H17,"")</f>
      </c>
      <c r="F17" s="204" t="str">
        <f>IF('_Datos'!$C17,IF(ISNUMBER('_Datos'!$AR17),'_Datos'!$AR17,"(Sin fecha)"),"")</f>
        <v>(Sin fecha)</v>
      </c>
      <c r="G17" s="204"/>
      <c r="H17" s="205"/>
      <c r="I17" s="204" t="str">
        <f>IF('_Datos'!$C17,IF(ISNUMBER('_Datos'!$AV17),'_Datos'!$AZ17,"(Sin fecha)"),"")</f>
        <v>(Sin fecha)</v>
      </c>
      <c r="J17" s="208">
        <f>IF('_Datos'!$C17,'_Datos'!$AX17,"")</f>
        <v>0</v>
      </c>
      <c r="K17" s="205" t="str">
        <f>IF('_Datos'!$C17,IF('Proyecto Datos (OKR´s)'!$C17="","",'Proyecto Datos (OKR´s)'!$C17),"")</f>
        <v>Revisar con Fran</v>
      </c>
      <c r="L17" s="205"/>
      <c r="M17" s="191"/>
      <c r="N17" s="204">
        <f>IF('_Datos'!$C17,'_Datos'!$BA17,"")</f>
      </c>
    </row>
    <row r="18">
      <c r="B18" s="204" t="str">
        <f>IF('_Datos'!$C18,'_Datos'!$O18,"")</f>
        <v>T018</v>
      </c>
      <c r="C18" s="205" t="str">
        <f>IF('_Datos'!$C18,'_Datos'!$F18,IF('_Datos'!$B18,'Proyecto Datos (OKR´s)'!$G18,""))</f>
        <v>Armado de solicitudes extra x Módulos (Ej: Med. Laboral)</v>
      </c>
      <c r="D18" s="204" t="str">
        <f>IF('_Datos'!$C18,'_Datos'!$AO18,"")</f>
        <v>Quincenal</v>
      </c>
      <c r="E18" s="206">
        <f>IF('_Datos'!$C18,'_Datos'!$H18,"")</f>
      </c>
      <c r="F18" s="204" t="str">
        <f>IF('_Datos'!$C18,IF(ISNUMBER('_Datos'!$AR18),'_Datos'!$AR18,"(Sin fecha)"),"")</f>
        <v>(Sin fecha)</v>
      </c>
      <c r="G18" s="204"/>
      <c r="H18" s="205"/>
      <c r="I18" s="204" t="str">
        <f>IF('_Datos'!$C18,IF(ISNUMBER('_Datos'!$AV18),'_Datos'!$AZ18,"(Sin fecha)"),"")</f>
        <v>(Sin fecha)</v>
      </c>
      <c r="J18" s="208">
        <f>IF('_Datos'!$C18,'_Datos'!$AX18,"")</f>
        <v>0</v>
      </c>
      <c r="K18" s="205">
        <f>IF('_Datos'!$C18,IF('Proyecto Datos (OKR´s)'!$C18="","",'Proyecto Datos (OKR´s)'!$C18),"")</f>
      </c>
      <c r="L18" s="205"/>
      <c r="M18" s="191"/>
      <c r="N18" s="204">
        <f>IF('_Datos'!$C18,'_Datos'!$BA18,"")</f>
      </c>
    </row>
    <row r="19">
      <c r="B19" s="204" t="str">
        <f>IF('_Datos'!$C19,'_Datos'!$O19,"")</f>
        <v>T019</v>
      </c>
      <c r="C19" s="205" t="str">
        <f>IF('_Datos'!$C19,'_Datos'!$F19,IF('_Datos'!$B19,'Proyecto Datos (OKR´s)'!$G19,""))</f>
        <v>Relevamiento área de IA -  Repositorio (GitHub o AWS S3) + Seguridad</v>
      </c>
      <c r="D19" s="204" t="str">
        <f>IF('_Datos'!$C19,'_Datos'!$AO19,"")</f>
        <v>Quincenal</v>
      </c>
      <c r="E19" s="206">
        <f>IF('_Datos'!$C19,'_Datos'!$H19,"")</f>
        <v>46192</v>
      </c>
      <c r="F19" s="204">
        <f>IF('_Datos'!$C19,IF(ISNUMBER('_Datos'!$AR19),'_Datos'!$AR19,"(Sin fecha)"),"")</f>
        <v>1</v>
      </c>
      <c r="G19" s="204"/>
      <c r="H19" s="205"/>
      <c r="I19" s="204" t="str">
        <f>IF('_Datos'!$C19,IF(ISNUMBER('_Datos'!$AV19),'_Datos'!$AZ19,"(Sin fecha)"),"")</f>
        <v>Quincenal · S1</v>
      </c>
      <c r="J19" s="208">
        <f>IF('_Datos'!$C19,'_Datos'!$AX19,"")</f>
        <v>0</v>
      </c>
      <c r="K19" s="205" t="str">
        <f>IF('_Datos'!$C19,IF('Proyecto Datos (OKR´s)'!$C19="","",'Proyecto Datos (OKR´s)'!$C19),"")</f>
        <v>mar 9/6 Reunión Torres, Huilen (Equipo IA)  - Definir con Nico Vazquez. En reunión se definió que una vez finalizado el proyecto, el backend, seguridad y deploy lo continúan en IT.</v>
      </c>
      <c r="L19" s="205"/>
      <c r="M19" s="191"/>
      <c r="N19" s="204">
        <f>IF('_Datos'!$C19,'_Datos'!$BA19,"")</f>
      </c>
    </row>
    <row r="20">
      <c r="B20" s="204" t="str">
        <f>IF('_Datos'!$C20,'_Datos'!$O20,"")</f>
        <v>T020</v>
      </c>
      <c r="C20" s="205" t="str">
        <f>IF('_Datos'!$C20,'_Datos'!$F20,IF('_Datos'!$B20,'Proyecto Datos (OKR´s)'!$G20,""))</f>
        <v>Crear Backend ETL - ver con Claude Code</v>
      </c>
      <c r="D20" s="204" t="str">
        <f>IF('_Datos'!$C20,'_Datos'!$AO20,"")</f>
        <v>Quincenal</v>
      </c>
      <c r="E20" s="206">
        <f>IF('_Datos'!$C20,'_Datos'!$H20,"")</f>
      </c>
      <c r="F20" s="204" t="str">
        <f>IF('_Datos'!$C20,IF(ISNUMBER('_Datos'!$AR20),'_Datos'!$AR20,"(Sin fecha)"),"")</f>
        <v>(Sin fecha)</v>
      </c>
      <c r="G20" s="204"/>
      <c r="H20" s="205"/>
      <c r="I20" s="204" t="str">
        <f>IF('_Datos'!$C20,IF(ISNUMBER('_Datos'!$AV20),'_Datos'!$AZ20,"(Sin fecha)"),"")</f>
        <v>(Sin fecha)</v>
      </c>
      <c r="J20" s="208">
        <f>IF('_Datos'!$C20,'_Datos'!$AX20,"")</f>
        <v>0</v>
      </c>
      <c r="K20" s="205">
        <f>IF('_Datos'!$C20,IF('Proyecto Datos (OKR´s)'!$C20="","",'Proyecto Datos (OKR´s)'!$C20),"")</f>
      </c>
      <c r="L20" s="205"/>
      <c r="M20" s="191"/>
      <c r="N20" s="204">
        <f>IF('_Datos'!$C20,'_Datos'!$BA20,"")</f>
      </c>
    </row>
    <row r="21">
      <c r="B21" s="204" t="str">
        <f>IF('_Datos'!$C21,'_Datos'!$O21,"")</f>
        <v>T021</v>
      </c>
      <c r="C21" s="205" t="str">
        <f>IF('_Datos'!$C21,'_Datos'!$F21,IF('_Datos'!$B21,'Proyecto Datos (OKR´s)'!$G21,""))</f>
        <v>Deployar (URL Web)</v>
      </c>
      <c r="D21" s="204" t="str">
        <f>IF('_Datos'!$C21,'_Datos'!$AO21,"")</f>
        <v>Quincenal</v>
      </c>
      <c r="E21" s="206">
        <f>IF('_Datos'!$C21,'_Datos'!$H21,"")</f>
      </c>
      <c r="F21" s="204" t="str">
        <f>IF('_Datos'!$C21,IF(ISNUMBER('_Datos'!$AR21),'_Datos'!$AR21,"(Sin fecha)"),"")</f>
        <v>(Sin fecha)</v>
      </c>
      <c r="G21" s="204"/>
      <c r="H21" s="205"/>
      <c r="I21" s="204" t="str">
        <f>IF('_Datos'!$C21,IF(ISNUMBER('_Datos'!$AV21),'_Datos'!$AZ21,"(Sin fecha)"),"")</f>
        <v>(Sin fecha)</v>
      </c>
      <c r="J21" s="208">
        <f>IF('_Datos'!$C21,'_Datos'!$AX21,"")</f>
        <v>0</v>
      </c>
      <c r="K21" s="205">
        <f>IF('_Datos'!$C21,IF('Proyecto Datos (OKR´s)'!$C21="","",'Proyecto Datos (OKR´s)'!$C21),"")</f>
      </c>
      <c r="L21" s="205"/>
      <c r="M21" s="191"/>
      <c r="N21" s="204">
        <f>IF('_Datos'!$C21,'_Datos'!$BA21,"")</f>
      </c>
    </row>
    <row r="22">
      <c r="B22" s="204">
        <f>IF('_Datos'!$C22,'_Datos'!$O22,"")</f>
      </c>
      <c r="C22" s="205" t="str">
        <f>IF('_Datos'!$C22,'_Datos'!$F22,IF('_Datos'!$B22,'Proyecto Datos (OKR´s)'!$G22,""))</f>
        <v>3- Tablero BI OPEX - Real vs BO</v>
      </c>
      <c r="D22" s="204">
        <f>IF('_Datos'!$C22,'_Datos'!$AO22,"")</f>
      </c>
      <c r="E22" s="206">
        <f>IF('_Datos'!$C22,'_Datos'!$H22,"")</f>
      </c>
      <c r="F22" s="204">
        <f>IF('_Datos'!$C22,IF(ISNUMBER('_Datos'!$AR22),'_Datos'!$AR22,"(Sin fecha)"),"")</f>
      </c>
      <c r="G22" s="204"/>
      <c r="H22" s="205"/>
      <c r="I22" s="204">
        <f>IF('_Datos'!$C22,IF(ISNUMBER('_Datos'!$AV22),'_Datos'!$AZ22,"(Sin fecha)"),"")</f>
      </c>
      <c r="J22" s="208">
        <f>IF('_Datos'!$C22,'_Datos'!$AX22,"")</f>
      </c>
      <c r="K22" s="205">
        <f>IF('_Datos'!$C22,IF('Proyecto Datos (OKR´s)'!$C22="","",'Proyecto Datos (OKR´s)'!$C22),"")</f>
      </c>
      <c r="L22" s="205"/>
      <c r="M22" s="191"/>
      <c r="N22" s="204">
        <f>IF('_Datos'!$C22,'_Datos'!$BA22,"")</f>
      </c>
    </row>
    <row r="23">
      <c r="B23" s="204" t="str">
        <f>IF('_Datos'!$C23,'_Datos'!$O23,"")</f>
        <v>T023</v>
      </c>
      <c r="C23" s="205" t="str">
        <f>IF('_Datos'!$C23,'_Datos'!$F23,IF('_Datos'!$B23,'Proyecto Datos (OKR´s)'!$G23,""))</f>
        <v>Armado de Procedimiento</v>
      </c>
      <c r="D23" s="204" t="str">
        <f>IF('_Datos'!$C23,'_Datos'!$AO23,"")</f>
        <v>Semanal</v>
      </c>
      <c r="E23" s="206">
        <f>IF('_Datos'!$C23,'_Datos'!$H23,"")</f>
        <v>46192</v>
      </c>
      <c r="F23" s="204">
        <f>IF('_Datos'!$C23,IF(ISNUMBER('_Datos'!$AR23),'_Datos'!$AR23,"(Sin fecha)"),"")</f>
        <v>1</v>
      </c>
      <c r="G23" s="204"/>
      <c r="H23" s="205"/>
      <c r="I23" s="204" t="str">
        <f>IF('_Datos'!$C23,IF(ISNUMBER('_Datos'!$AV23),'_Datos'!$AZ23,"(Sin fecha)"),"")</f>
        <v>Semanal · S2</v>
      </c>
      <c r="J23" s="208">
        <f>IF('_Datos'!$C23,'_Datos'!$AX23,"")</f>
        <v>4</v>
      </c>
      <c r="K23" s="205">
        <f>IF('_Datos'!$C23,IF('Proyecto Datos (OKR´s)'!$C23="","",'Proyecto Datos (OKR´s)'!$C23),"")</f>
      </c>
      <c r="L23" s="205"/>
      <c r="M23" s="191"/>
      <c r="N23" s="204">
        <f>IF('_Datos'!$C23,'_Datos'!$BA23,"")</f>
      </c>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6">
        <f>IF('_Datos'!$C24,'_Datos'!$H24,"")</f>
        <v>46192</v>
      </c>
      <c r="F24" s="204">
        <f>IF('_Datos'!$C24,IF(ISNUMBER('_Datos'!$AR24),'_Datos'!$AR24,"(Sin fecha)"),"")</f>
        <v>1</v>
      </c>
      <c r="G24" s="204"/>
      <c r="H24" s="205"/>
      <c r="I24" s="204" t="str">
        <f>IF('_Datos'!$C24,IF(ISNUMBER('_Datos'!$AV24),'_Datos'!$AZ24,"(Sin fecha)"),"")</f>
        <v>Semanal · S2</v>
      </c>
      <c r="J24" s="208">
        <f>IF('_Datos'!$C24,'_Datos'!$AX24,"")</f>
        <v>4</v>
      </c>
      <c r="K24" s="205">
        <f>IF('_Datos'!$C24,IF('Proyecto Datos (OKR´s)'!$C24="","",'Proyecto Datos (OKR´s)'!$C24),"")</f>
      </c>
      <c r="L24" s="205"/>
      <c r="M24" s="191"/>
      <c r="N24" s="204">
        <f>IF('_Datos'!$C24,'_Datos'!$BA24,"")</f>
      </c>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6">
        <f>IF('_Datos'!$C25,'_Datos'!$H25,"")</f>
        <v>46188</v>
      </c>
      <c r="F25" s="204">
        <f>IF('_Datos'!$C25,IF(ISNUMBER('_Datos'!$AR25),'_Datos'!$AR25,"(Sin fecha)"),"")</f>
        <v>1</v>
      </c>
      <c r="G25" s="204"/>
      <c r="H25" s="205"/>
      <c r="I25" s="204" t="str">
        <f>IF('_Datos'!$C25,IF(ISNUMBER('_Datos'!$AV25),'_Datos'!$AZ25,"(Sin fecha)"),"")</f>
        <v>Semanal · S2</v>
      </c>
      <c r="J25" s="208">
        <f>IF('_Datos'!$C25,'_Datos'!$AX25,"")</f>
        <v>4</v>
      </c>
      <c r="K25" s="205">
        <f>IF('_Datos'!$C25,IF('Proyecto Datos (OKR´s)'!$C25="","",'Proyecto Datos (OKR´s)'!$C25),"")</f>
      </c>
      <c r="L25" s="205"/>
      <c r="M25" s="191"/>
      <c r="N25" s="204">
        <f>IF('_Datos'!$C25,'_Datos'!$BA25,"")</f>
      </c>
    </row>
    <row r="26">
      <c r="B26" s="204">
        <f>IF('_Datos'!$C26,'_Datos'!$O26,"")</f>
      </c>
      <c r="C26" s="205">
        <f>IF('_Datos'!$C26,'_Datos'!$F26,IF('_Datos'!$B26,'Proyecto Datos (OKR´s)'!$G26,""))</f>
      </c>
      <c r="D26" s="204">
        <f>IF('_Datos'!$C26,'_Datos'!$AO26,"")</f>
      </c>
      <c r="E26" s="206">
        <f>IF('_Datos'!$C26,'_Datos'!$H26,"")</f>
      </c>
      <c r="F26" s="204">
        <f>IF('_Datos'!$C26,IF(ISNUMBER('_Datos'!$AR26),'_Datos'!$AR26,"(Sin fecha)"),"")</f>
      </c>
      <c r="G26" s="204"/>
      <c r="H26" s="205"/>
      <c r="I26" s="204">
        <f>IF('_Datos'!$C26,IF(ISNUMBER('_Datos'!$AV26),'_Datos'!$AZ26,"(Sin fecha)"),"")</f>
      </c>
      <c r="J26" s="208">
        <f>IF('_Datos'!$C26,'_Datos'!$AX26,"")</f>
      </c>
      <c r="K26" s="205">
        <f>IF('_Datos'!$C26,IF('Proyecto Datos (OKR´s)'!$C26="","",'Proyecto Datos (OKR´s)'!$C26),"")</f>
      </c>
      <c r="L26" s="205"/>
      <c r="M26" s="191"/>
      <c r="N26" s="204">
        <f>IF('_Datos'!$C26,'_Datos'!$BA26,"")</f>
      </c>
    </row>
    <row r="27">
      <c r="B27" s="204">
        <f>IF('_Datos'!$C27,'_Datos'!$O27,"")</f>
      </c>
      <c r="C27" s="205" t="str">
        <f>IF('_Datos'!$C27,'_Datos'!$F27,IF('_Datos'!$B27,'Proyecto Datos (OKR´s)'!$G27,""))</f>
        <v>4- Tablero BI DEUDA</v>
      </c>
      <c r="D27" s="204">
        <f>IF('_Datos'!$C27,'_Datos'!$AO27,"")</f>
      </c>
      <c r="E27" s="206">
        <f>IF('_Datos'!$C27,'_Datos'!$H27,"")</f>
      </c>
      <c r="F27" s="204">
        <f>IF('_Datos'!$C27,IF(ISNUMBER('_Datos'!$AR27),'_Datos'!$AR27,"(Sin fecha)"),"")</f>
      </c>
      <c r="G27" s="204"/>
      <c r="H27" s="205"/>
      <c r="I27" s="204">
        <f>IF('_Datos'!$C27,IF(ISNUMBER('_Datos'!$AV27),'_Datos'!$AZ27,"(Sin fecha)"),"")</f>
      </c>
      <c r="J27" s="208">
        <f>IF('_Datos'!$C27,'_Datos'!$AX27,"")</f>
      </c>
      <c r="K27" s="205">
        <f>IF('_Datos'!$C27,IF('Proyecto Datos (OKR´s)'!$C27="","",'Proyecto Datos (OKR´s)'!$C27),"")</f>
      </c>
      <c r="L27" s="205"/>
      <c r="M27" s="191"/>
      <c r="N27" s="204">
        <f>IF('_Datos'!$C27,'_Datos'!$BA27,"")</f>
      </c>
    </row>
    <row r="28">
      <c r="B28" s="204" t="str">
        <f>IF('_Datos'!$C28,'_Datos'!$O28,"")</f>
        <v>T028</v>
      </c>
      <c r="C28" s="205" t="str">
        <f>IF('_Datos'!$C28,'_Datos'!$F28,IF('_Datos'!$B28,'Proyecto Datos (OKR´s)'!$G28,""))</f>
        <v>Procedimiento</v>
      </c>
      <c r="D28" s="204" t="str">
        <f>IF('_Datos'!$C28,'_Datos'!$AO28,"")</f>
        <v>Semanal</v>
      </c>
      <c r="E28" s="206">
        <f>IF('_Datos'!$C28,'_Datos'!$H28,"")</f>
        <v>46188</v>
      </c>
      <c r="F28" s="204">
        <f>IF('_Datos'!$C28,IF(ISNUMBER('_Datos'!$AR28),'_Datos'!$AR28,"(Sin fecha)"),"")</f>
        <v>1</v>
      </c>
      <c r="G28" s="204"/>
      <c r="H28" s="205"/>
      <c r="I28" s="204" t="str">
        <f>IF('_Datos'!$C28,IF(ISNUMBER('_Datos'!$AV28),'_Datos'!$AZ28,"(Sin fecha)"),"")</f>
        <v>Semanal · S2</v>
      </c>
      <c r="J28" s="208">
        <f>IF('_Datos'!$C28,'_Datos'!$AX28,"")</f>
        <v>4</v>
      </c>
      <c r="K28" s="205">
        <f>IF('_Datos'!$C28,IF('Proyecto Datos (OKR´s)'!$C28="","",'Proyecto Datos (OKR´s)'!$C28),"")</f>
      </c>
      <c r="L28" s="205"/>
      <c r="M28" s="191"/>
      <c r="N28" s="204">
        <f>IF('_Datos'!$C28,'_Datos'!$BA28,"")</f>
      </c>
    </row>
    <row r="29">
      <c r="B29" s="204" t="str">
        <f>IF('_Datos'!$C29,'_Datos'!$O29,"")</f>
        <v>T029</v>
      </c>
      <c r="C29" s="205" t="str">
        <f>IF('_Datos'!$C29,'_Datos'!$F29,IF('_Datos'!$B29,'Proyecto Datos (OKR´s)'!$G29,""))</f>
        <v>Aging - desde SharePoint</v>
      </c>
      <c r="D29" s="204" t="str">
        <f>IF('_Datos'!$C29,'_Datos'!$AO29,"")</f>
        <v>Semanal</v>
      </c>
      <c r="E29" s="206">
        <f>IF('_Datos'!$C29,'_Datos'!$H29,"")</f>
        <v>46188</v>
      </c>
      <c r="F29" s="204">
        <f>IF('_Datos'!$C29,IF(ISNUMBER('_Datos'!$AR29),'_Datos'!$AR29,"(Sin fecha)"),"")</f>
        <v>1</v>
      </c>
      <c r="G29" s="204"/>
      <c r="H29" s="205"/>
      <c r="I29" s="204" t="str">
        <f>IF('_Datos'!$C29,IF(ISNUMBER('_Datos'!$AV29),'_Datos'!$AZ29,"(Sin fecha)"),"")</f>
        <v>Semanal · S2</v>
      </c>
      <c r="J29" s="208">
        <f>IF('_Datos'!$C29,'_Datos'!$AX29,"")</f>
        <v>4</v>
      </c>
      <c r="K29" s="205">
        <f>IF('_Datos'!$C29,IF('Proyecto Datos (OKR´s)'!$C29="","",'Proyecto Datos (OKR´s)'!$C29),"")</f>
      </c>
      <c r="L29" s="205"/>
      <c r="M29" s="191"/>
      <c r="N29" s="204">
        <f>IF('_Datos'!$C29,'_Datos'!$BA29,"")</f>
      </c>
    </row>
    <row r="30">
      <c r="B30" s="204" t="str">
        <f>IF('_Datos'!$C30,'_Datos'!$O30,"")</f>
        <v>T030</v>
      </c>
      <c r="C30" s="205" t="str">
        <f>IF('_Datos'!$C30,'_Datos'!$F30,IF('_Datos'!$B30,'Proyecto Datos (OKR´s)'!$G30,""))</f>
        <v>Dias en Calle - desde SharePoint</v>
      </c>
      <c r="D30" s="204" t="str">
        <f>IF('_Datos'!$C30,'_Datos'!$AO30,"")</f>
        <v>Semanal</v>
      </c>
      <c r="E30" s="206">
        <f>IF('_Datos'!$C30,'_Datos'!$H30,"")</f>
        <v>46188</v>
      </c>
      <c r="F30" s="204">
        <f>IF('_Datos'!$C30,IF(ISNUMBER('_Datos'!$AR30),'_Datos'!$AR30,"(Sin fecha)"),"")</f>
        <v>1</v>
      </c>
      <c r="G30" s="204"/>
      <c r="H30" s="205"/>
      <c r="I30" s="204" t="str">
        <f>IF('_Datos'!$C30,IF(ISNUMBER('_Datos'!$AV30),'_Datos'!$AZ30,"(Sin fecha)"),"")</f>
        <v>Semanal · S2</v>
      </c>
      <c r="J30" s="208">
        <f>IF('_Datos'!$C30,'_Datos'!$AX30,"")</f>
        <v>4</v>
      </c>
      <c r="K30" s="205">
        <f>IF('_Datos'!$C30,IF('Proyecto Datos (OKR´s)'!$C30="","",'Proyecto Datos (OKR´s)'!$C30),"")</f>
      </c>
      <c r="L30" s="205"/>
      <c r="M30" s="191"/>
      <c r="N30" s="204">
        <f>IF('_Datos'!$C30,'_Datos'!$BA30,"")</f>
      </c>
    </row>
    <row r="31">
      <c r="B31" s="204" t="str">
        <f>IF('_Datos'!$C31,'_Datos'!$O31,"")</f>
        <v>T031</v>
      </c>
      <c r="C31" s="205" t="str">
        <f>IF('_Datos'!$C31,'_Datos'!$F31,IF('_Datos'!$B31,'Proyecto Datos (OKR´s)'!$G31,""))</f>
        <v>Input de datos desde Provisión mensual</v>
      </c>
      <c r="D31" s="204" t="str">
        <f>IF('_Datos'!$C31,'_Datos'!$AO31,"")</f>
        <v>Semanal</v>
      </c>
      <c r="E31" s="206">
        <f>IF('_Datos'!$C31,'_Datos'!$H31,"")</f>
        <v>46188</v>
      </c>
      <c r="F31" s="204">
        <f>IF('_Datos'!$C31,IF(ISNUMBER('_Datos'!$AR31),'_Datos'!$AR31,"(Sin fecha)"),"")</f>
        <v>1</v>
      </c>
      <c r="G31" s="204"/>
      <c r="H31" s="205"/>
      <c r="I31" s="204" t="str">
        <f>IF('_Datos'!$C31,IF(ISNUMBER('_Datos'!$AV31),'_Datos'!$AZ31,"(Sin fecha)"),"")</f>
        <v>Semanal · S2</v>
      </c>
      <c r="J31" s="208">
        <f>IF('_Datos'!$C31,'_Datos'!$AX31,"")</f>
        <v>4</v>
      </c>
      <c r="K31" s="205">
        <f>IF('_Datos'!$C31,IF('Proyecto Datos (OKR´s)'!$C31="","",'Proyecto Datos (OKR´s)'!$C31),"")</f>
      </c>
      <c r="L31" s="205"/>
      <c r="M31" s="191"/>
      <c r="N31" s="204">
        <f>IF('_Datos'!$C31,'_Datos'!$BA31,"")</f>
      </c>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6">
        <f>IF('_Datos'!$C32,'_Datos'!$H32,"")</f>
      </c>
      <c r="F32" s="204" t="str">
        <f>IF('_Datos'!$C32,IF(ISNUMBER('_Datos'!$AR32),'_Datos'!$AR32,"(Sin fecha)"),"")</f>
        <v>(Sin fecha)</v>
      </c>
      <c r="G32" s="204"/>
      <c r="H32" s="205"/>
      <c r="I32" s="204" t="str">
        <f>IF('_Datos'!$C32,IF(ISNUMBER('_Datos'!$AV32),'_Datos'!$AZ32,"(Sin fecha)"),"")</f>
        <v>(Sin fecha)</v>
      </c>
      <c r="J32" s="208">
        <f>IF('_Datos'!$C32,'_Datos'!$AX32,"")</f>
        <v>0</v>
      </c>
      <c r="K32" s="205">
        <f>IF('_Datos'!$C32,IF('Proyecto Datos (OKR´s)'!$C32="","",'Proyecto Datos (OKR´s)'!$C32),"")</f>
      </c>
      <c r="L32" s="205"/>
      <c r="M32" s="191"/>
      <c r="N32" s="204">
        <f>IF('_Datos'!$C32,'_Datos'!$BA32,"")</f>
      </c>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6">
        <f>IF('_Datos'!$C33,'_Datos'!$H33,"")</f>
      </c>
      <c r="F33" s="204" t="str">
        <f>IF('_Datos'!$C33,IF(ISNUMBER('_Datos'!$AR33),'_Datos'!$AR33,"(Sin fecha)"),"")</f>
        <v>(Sin fecha)</v>
      </c>
      <c r="G33" s="204"/>
      <c r="H33" s="205"/>
      <c r="I33" s="204" t="str">
        <f>IF('_Datos'!$C33,IF(ISNUMBER('_Datos'!$AV33),'_Datos'!$AZ33,"(Sin fecha)"),"")</f>
        <v>(Sin fecha)</v>
      </c>
      <c r="J33" s="208">
        <f>IF('_Datos'!$C33,'_Datos'!$AX33,"")</f>
        <v>0</v>
      </c>
      <c r="K33" s="205">
        <f>IF('_Datos'!$C33,IF('Proyecto Datos (OKR´s)'!$C33="","",'Proyecto Datos (OKR´s)'!$C33),"")</f>
      </c>
      <c r="L33" s="205"/>
      <c r="M33" s="191"/>
      <c r="N33" s="204">
        <f>IF('_Datos'!$C33,'_Datos'!$BA33,"")</f>
      </c>
    </row>
    <row r="34">
      <c r="B34" s="204" t="str">
        <f>IF('_Datos'!$C34,'_Datos'!$O34,"")</f>
        <v>T034</v>
      </c>
      <c r="C34" s="205" t="str">
        <f>IF('_Datos'!$C34,'_Datos'!$F34,IF('_Datos'!$B34,'Proyecto Datos (OKR´s)'!$G34,""))</f>
        <v>Creación detalle deuda Vista - Replicar Excel Deuda</v>
      </c>
      <c r="D34" s="204" t="str">
        <f>IF('_Datos'!$C34,'_Datos'!$AO34,"")</f>
        <v>Semanal</v>
      </c>
      <c r="E34" s="206">
        <f>IF('_Datos'!$C34,'_Datos'!$H34,"")</f>
      </c>
      <c r="F34" s="204" t="str">
        <f>IF('_Datos'!$C34,IF(ISNUMBER('_Datos'!$AR34),'_Datos'!$AR34,"(Sin fecha)"),"")</f>
        <v>(Sin fecha)</v>
      </c>
      <c r="G34" s="204"/>
      <c r="H34" s="205"/>
      <c r="I34" s="204" t="str">
        <f>IF('_Datos'!$C34,IF(ISNUMBER('_Datos'!$AV34),'_Datos'!$AZ34,"(Sin fecha)"),"")</f>
        <v>(Sin fecha)</v>
      </c>
      <c r="J34" s="208">
        <f>IF('_Datos'!$C34,'_Datos'!$AX34,"")</f>
        <v>0</v>
      </c>
      <c r="K34" s="205">
        <f>IF('_Datos'!$C34,IF('Proyecto Datos (OKR´s)'!$C34="","",'Proyecto Datos (OKR´s)'!$C34),"")</f>
      </c>
      <c r="L34" s="205"/>
      <c r="M34" s="191"/>
      <c r="N34" s="204">
        <f>IF('_Datos'!$C34,'_Datos'!$BA34,"")</f>
      </c>
    </row>
    <row r="35">
      <c r="B35" s="204" t="str">
        <f>IF('_Datos'!$C35,'_Datos'!$O35,"")</f>
        <v>T035</v>
      </c>
      <c r="C35" s="205" t="str">
        <f>IF('_Datos'!$C35,'_Datos'!$F35,IF('_Datos'!$B35,'Proyecto Datos (OKR´s)'!$G35,""))</f>
        <v>Creación detalle deuda YPF (ídem Excel)</v>
      </c>
      <c r="D35" s="204" t="str">
        <f>IF('_Datos'!$C35,'_Datos'!$AO35,"")</f>
        <v>Semanal</v>
      </c>
      <c r="E35" s="206">
        <f>IF('_Datos'!$C35,'_Datos'!$H35,"")</f>
      </c>
      <c r="F35" s="204" t="str">
        <f>IF('_Datos'!$C35,IF(ISNUMBER('_Datos'!$AR35),'_Datos'!$AR35,"(Sin fecha)"),"")</f>
        <v>(Sin fecha)</v>
      </c>
      <c r="G35" s="204"/>
      <c r="H35" s="205"/>
      <c r="I35" s="204" t="str">
        <f>IF('_Datos'!$C35,IF(ISNUMBER('_Datos'!$AV35),'_Datos'!$AZ35,"(Sin fecha)"),"")</f>
        <v>(Sin fecha)</v>
      </c>
      <c r="J35" s="208">
        <f>IF('_Datos'!$C35,'_Datos'!$AX35,"")</f>
        <v>0</v>
      </c>
      <c r="K35" s="205">
        <f>IF('_Datos'!$C35,IF('Proyecto Datos (OKR´s)'!$C35="","",'Proyecto Datos (OKR´s)'!$C35),"")</f>
      </c>
      <c r="L35" s="205"/>
      <c r="M35" s="191"/>
      <c r="N35" s="204">
        <f>IF('_Datos'!$C35,'_Datos'!$BA35,"")</f>
      </c>
    </row>
    <row r="36">
      <c r="B36" s="204">
        <f>IF('_Datos'!$C36,'_Datos'!$O36,"")</f>
      </c>
      <c r="C36" s="205" t="str">
        <f>IF('_Datos'!$C36,'_Datos'!$F36,IF('_Datos'!$B36,'Proyecto Datos (OKR´s)'!$G36,""))</f>
        <v>5- Tablero Control General - Op. Complejas</v>
      </c>
      <c r="D36" s="204">
        <f>IF('_Datos'!$C36,'_Datos'!$AO36,"")</f>
      </c>
      <c r="E36" s="206">
        <f>IF('_Datos'!$C36,'_Datos'!$H36,"")</f>
      </c>
      <c r="F36" s="204">
        <f>IF('_Datos'!$C36,IF(ISNUMBER('_Datos'!$AR36),'_Datos'!$AR36,"(Sin fecha)"),"")</f>
      </c>
      <c r="G36" s="204"/>
      <c r="H36" s="205"/>
      <c r="I36" s="204">
        <f>IF('_Datos'!$C36,IF(ISNUMBER('_Datos'!$AV36),'_Datos'!$AZ36,"(Sin fecha)"),"")</f>
      </c>
      <c r="J36" s="208">
        <f>IF('_Datos'!$C36,'_Datos'!$AX36,"")</f>
      </c>
      <c r="K36" s="205">
        <f>IF('_Datos'!$C36,IF('Proyecto Datos (OKR´s)'!$C36="","",'Proyecto Datos (OKR´s)'!$C36),"")</f>
      </c>
      <c r="L36" s="205"/>
      <c r="M36" s="191"/>
      <c r="N36" s="204">
        <f>IF('_Datos'!$C36,'_Datos'!$BA36,"")</f>
      </c>
    </row>
    <row r="37">
      <c r="B37" s="204" t="str">
        <f>IF('_Datos'!$C37,'_Datos'!$O37,"")</f>
        <v>T037</v>
      </c>
      <c r="C37" s="205" t="str">
        <f>IF('_Datos'!$C37,'_Datos'!$F37,IF('_Datos'!$B37,'Proyecto Datos (OKR´s)'!$G37,""))</f>
        <v>Planilla Activos Unificados - Estandarizar + Procedimiento</v>
      </c>
      <c r="D37" s="204" t="str">
        <f>IF('_Datos'!$C37,'_Datos'!$AO37,"")</f>
        <v>Semanal</v>
      </c>
      <c r="E37" s="206">
        <f>IF('_Datos'!$C37,'_Datos'!$H37,"")</f>
        <v>46188</v>
      </c>
      <c r="F37" s="204">
        <f>IF('_Datos'!$C37,IF(ISNUMBER('_Datos'!$AR37),'_Datos'!$AR37,"(Sin fecha)"),"")</f>
        <v>1</v>
      </c>
      <c r="G37" s="204"/>
      <c r="H37" s="205"/>
      <c r="I37" s="204" t="str">
        <f>IF('_Datos'!$C37,IF(ISNUMBER('_Datos'!$AV37),'_Datos'!$AZ37,"(Sin fecha)"),"")</f>
        <v>Semanal · S2</v>
      </c>
      <c r="J37" s="208">
        <f>IF('_Datos'!$C37,'_Datos'!$AX37,"")</f>
        <v>4</v>
      </c>
      <c r="K37" s="205" t="str">
        <f>IF('_Datos'!$C37,IF('Proyecto Datos (OKR´s)'!$C37="","",'Proyecto Datos (OKR´s)'!$C37),"")</f>
        <v>No llegué por nuevas solicitudes: Tablero Forecast + Reuniones por tarifas YPF + Contratos SF</v>
      </c>
      <c r="L37" s="205"/>
      <c r="M37" s="191"/>
      <c r="N37" s="204">
        <f>IF('_Datos'!$C37,'_Datos'!$BA37,"")</f>
      </c>
    </row>
    <row r="38">
      <c r="B38" s="204" t="str">
        <f>IF('_Datos'!$C38,'_Datos'!$O38,"")</f>
        <v>T038</v>
      </c>
      <c r="C38" s="205" t="str">
        <f>IF('_Datos'!$C38,'_Datos'!$F38,IF('_Datos'!$B38,'Proyecto Datos (OKR´s)'!$G38,""))</f>
        <v>Planilla DTM Estandarizada+ Procedimiento</v>
      </c>
      <c r="D38" s="204" t="str">
        <f>IF('_Datos'!$C38,'_Datos'!$AO38,"")</f>
        <v>Semanal</v>
      </c>
      <c r="E38" s="206">
        <f>IF('_Datos'!$C38,'_Datos'!$H38,"")</f>
        <v>46188</v>
      </c>
      <c r="F38" s="204">
        <f>IF('_Datos'!$C38,IF(ISNUMBER('_Datos'!$AR38),'_Datos'!$AR38,"(Sin fecha)"),"")</f>
        <v>1</v>
      </c>
      <c r="G38" s="204"/>
      <c r="H38" s="205"/>
      <c r="I38" s="204" t="str">
        <f>IF('_Datos'!$C38,IF(ISNUMBER('_Datos'!$AV38),'_Datos'!$AZ38,"(Sin fecha)"),"")</f>
        <v>Semanal · S2</v>
      </c>
      <c r="J38" s="208">
        <f>IF('_Datos'!$C38,'_Datos'!$AX38,"")</f>
        <v>4</v>
      </c>
      <c r="K38" s="205">
        <f>IF('_Datos'!$C38,IF('Proyecto Datos (OKR´s)'!$C38="","",'Proyecto Datos (OKR´s)'!$C38),"")</f>
      </c>
      <c r="L38" s="205"/>
      <c r="M38" s="191"/>
      <c r="N38" s="204">
        <f>IF('_Datos'!$C38,'_Datos'!$BA38,"")</f>
      </c>
    </row>
    <row r="39">
      <c r="B39" s="204" t="str">
        <f>IF('_Datos'!$C39,'_Datos'!$O39,"")</f>
        <v>T039</v>
      </c>
      <c r="C39" s="205" t="str">
        <f>IF('_Datos'!$C39,'_Datos'!$F39,IF('_Datos'!$B39,'Proyecto Datos (OKR´s)'!$G39,""))</f>
        <v>Planilla Aeroevaciaciones + Procedimiento</v>
      </c>
      <c r="D39" s="204" t="str">
        <f>IF('_Datos'!$C39,'_Datos'!$AO39,"")</f>
        <v>Semanal</v>
      </c>
      <c r="E39" s="206">
        <f>IF('_Datos'!$C39,'_Datos'!$H39,"")</f>
        <v>46188</v>
      </c>
      <c r="F39" s="204">
        <f>IF('_Datos'!$C39,IF(ISNUMBER('_Datos'!$AR39),'_Datos'!$AR39,"(Sin fecha)"),"")</f>
        <v>1</v>
      </c>
      <c r="G39" s="204"/>
      <c r="H39" s="205"/>
      <c r="I39" s="204" t="str">
        <f>IF('_Datos'!$C39,IF(ISNUMBER('_Datos'!$AV39),'_Datos'!$AZ39,"(Sin fecha)"),"")</f>
        <v>Semanal · S2</v>
      </c>
      <c r="J39" s="208">
        <f>IF('_Datos'!$C39,'_Datos'!$AX39,"")</f>
        <v>4</v>
      </c>
      <c r="K39" s="205">
        <f>IF('_Datos'!$C39,IF('Proyecto Datos (OKR´s)'!$C39="","",'Proyecto Datos (OKR´s)'!$C39),"")</f>
      </c>
      <c r="L39" s="205"/>
      <c r="M39" s="191"/>
      <c r="N39" s="204">
        <f>IF('_Datos'!$C39,'_Datos'!$BA39,"")</f>
      </c>
    </row>
    <row r="40">
      <c r="B40" s="204" t="str">
        <f>IF('_Datos'!$C40,'_Datos'!$O40,"")</f>
        <v>T040</v>
      </c>
      <c r="C40" s="205" t="str">
        <f>IF('_Datos'!$C40,'_Datos'!$F40,IF('_Datos'!$B40,'Proyecto Datos (OKR´s)'!$G40,""))</f>
        <v>Resumen Clientes Petróleo</v>
      </c>
      <c r="D40" s="204" t="str">
        <f>IF('_Datos'!$C40,'_Datos'!$AO40,"")</f>
        <v>Semanal</v>
      </c>
      <c r="E40" s="206">
        <f>IF('_Datos'!$C40,'_Datos'!$H40,"")</f>
        <v>46188</v>
      </c>
      <c r="F40" s="204">
        <f>IF('_Datos'!$C40,IF(ISNUMBER('_Datos'!$AR40),'_Datos'!$AR40,"(Sin fecha)"),"")</f>
        <v>1</v>
      </c>
      <c r="G40" s="204"/>
      <c r="H40" s="205"/>
      <c r="I40" s="204" t="str">
        <f>IF('_Datos'!$C40,IF(ISNUMBER('_Datos'!$AV40),'_Datos'!$AZ40,"(Sin fecha)"),"")</f>
        <v>Semanal · S2</v>
      </c>
      <c r="J40" s="208">
        <f>IF('_Datos'!$C40,'_Datos'!$AX40,"")</f>
        <v>4</v>
      </c>
      <c r="K40" s="205">
        <f>IF('_Datos'!$C40,IF('Proyecto Datos (OKR´s)'!$C40="","",'Proyecto Datos (OKR´s)'!$C40),"")</f>
      </c>
      <c r="L40" s="205"/>
      <c r="M40" s="191"/>
      <c r="N40" s="204">
        <f>IF('_Datos'!$C40,'_Datos'!$BA40,"")</f>
      </c>
    </row>
    <row r="41">
      <c r="B41" s="204" t="str">
        <f>IF('_Datos'!$C41,'_Datos'!$O41,"")</f>
        <v>T041</v>
      </c>
      <c r="C41" s="205" t="str">
        <f>IF('_Datos'!$C41,'_Datos'!$F41,IF('_Datos'!$B41,'Proyecto Datos (OKR´s)'!$G41,""))</f>
        <v>Resumen Clientes Minería</v>
      </c>
      <c r="D41" s="204" t="str">
        <f>IF('_Datos'!$C41,'_Datos'!$AO41,"")</f>
        <v>Semanal</v>
      </c>
      <c r="E41" s="206">
        <f>IF('_Datos'!$C41,'_Datos'!$H41,"")</f>
        <v>46188</v>
      </c>
      <c r="F41" s="204">
        <f>IF('_Datos'!$C41,IF(ISNUMBER('_Datos'!$AR41),'_Datos'!$AR41,"(Sin fecha)"),"")</f>
        <v>1</v>
      </c>
      <c r="G41" s="204"/>
      <c r="H41" s="205"/>
      <c r="I41" s="204" t="str">
        <f>IF('_Datos'!$C41,IF(ISNUMBER('_Datos'!$AV41),'_Datos'!$AZ41,"(Sin fecha)"),"")</f>
        <v>Semanal · S2</v>
      </c>
      <c r="J41" s="208">
        <f>IF('_Datos'!$C41,'_Datos'!$AX41,"")</f>
        <v>4</v>
      </c>
      <c r="K41" s="205">
        <f>IF('_Datos'!$C41,IF('Proyecto Datos (OKR´s)'!$C41="","",'Proyecto Datos (OKR´s)'!$C41),"")</f>
      </c>
      <c r="L41" s="205"/>
      <c r="M41" s="191"/>
      <c r="N41" s="204">
        <f>IF('_Datos'!$C41,'_Datos'!$BA41,"")</f>
      </c>
    </row>
    <row r="42">
      <c r="B42" s="204" t="str">
        <f>IF('_Datos'!$C42,'_Datos'!$O42,"")</f>
        <v>T042</v>
      </c>
      <c r="C42" s="205" t="str">
        <f>IF('_Datos'!$C42,'_Datos'!$F42,IF('_Datos'!$B42,'Proyecto Datos (OKR´s)'!$G42,""))</f>
        <v>Resumen Clientes Op. Dedicadas</v>
      </c>
      <c r="D42" s="204" t="str">
        <f>IF('_Datos'!$C42,'_Datos'!$AO42,"")</f>
        <v>Semanal</v>
      </c>
      <c r="E42" s="206">
        <f>IF('_Datos'!$C42,'_Datos'!$H42,"")</f>
        <v>46188</v>
      </c>
      <c r="F42" s="204">
        <f>IF('_Datos'!$C42,IF(ISNUMBER('_Datos'!$AR42),'_Datos'!$AR42,"(Sin fecha)"),"")</f>
        <v>1</v>
      </c>
      <c r="G42" s="204"/>
      <c r="H42" s="205"/>
      <c r="I42" s="204" t="str">
        <f>IF('_Datos'!$C42,IF(ISNUMBER('_Datos'!$AV42),'_Datos'!$AZ42,"(Sin fecha)"),"")</f>
        <v>Semanal · S2</v>
      </c>
      <c r="J42" s="208">
        <f>IF('_Datos'!$C42,'_Datos'!$AX42,"")</f>
        <v>4</v>
      </c>
      <c r="K42" s="205">
        <f>IF('_Datos'!$C42,IF('Proyecto Datos (OKR´s)'!$C42="","",'Proyecto Datos (OKR´s)'!$C42),"")</f>
      </c>
      <c r="L42" s="205"/>
      <c r="M42" s="191"/>
      <c r="N42" s="204">
        <f>IF('_Datos'!$C42,'_Datos'!$BA42,"")</f>
      </c>
    </row>
    <row r="43">
      <c r="B43" s="204" t="str">
        <f>IF('_Datos'!$C43,'_Datos'!$O43,"")</f>
        <v>T043</v>
      </c>
      <c r="C43" s="205" t="str">
        <f>IF('_Datos'!$C43,'_Datos'!$F43,IF('_Datos'!$B43,'Proyecto Datos (OKR´s)'!$G43,""))</f>
        <v>Locaciones Geográficas Pozos Petro (ver datos Secretaria de Energía)</v>
      </c>
      <c r="D43" s="204" t="str">
        <f>IF('_Datos'!$C43,'_Datos'!$AO43,"")</f>
        <v>Semanal</v>
      </c>
      <c r="E43" s="206">
        <f>IF('_Datos'!$C43,'_Datos'!$H43,"")</f>
      </c>
      <c r="F43" s="204" t="str">
        <f>IF('_Datos'!$C43,IF(ISNUMBER('_Datos'!$AR43),'_Datos'!$AR43,"(Sin fecha)"),"")</f>
        <v>(Sin fecha)</v>
      </c>
      <c r="G43" s="204"/>
      <c r="H43" s="205"/>
      <c r="I43" s="204" t="str">
        <f>IF('_Datos'!$C43,IF(ISNUMBER('_Datos'!$AV43),'_Datos'!$AZ43,"(Sin fecha)"),"")</f>
        <v>(Sin fecha)</v>
      </c>
      <c r="J43" s="208">
        <f>IF('_Datos'!$C43,'_Datos'!$AX43,"")</f>
        <v>0</v>
      </c>
      <c r="K43" s="205">
        <f>IF('_Datos'!$C43,IF('Proyecto Datos (OKR´s)'!$C43="","",'Proyecto Datos (OKR´s)'!$C43),"")</f>
      </c>
      <c r="L43" s="205"/>
      <c r="M43" s="191"/>
      <c r="N43" s="204">
        <f>IF('_Datos'!$C43,'_Datos'!$BA43,"")</f>
      </c>
    </row>
    <row r="44">
      <c r="B44" s="204" t="str">
        <f>IF('_Datos'!$C44,'_Datos'!$O44,"")</f>
        <v>T044</v>
      </c>
      <c r="C44" s="205" t="str">
        <f>IF('_Datos'!$C44,'_Datos'!$F44,IF('_Datos'!$B44,'Proyecto Datos (OKR´s)'!$G44,""))</f>
        <v>Locaciones Geográficas Minería</v>
      </c>
      <c r="D44" s="204" t="str">
        <f>IF('_Datos'!$C44,'_Datos'!$AO44,"")</f>
        <v>Semanal</v>
      </c>
      <c r="E44" s="206">
        <f>IF('_Datos'!$C44,'_Datos'!$H44,"")</f>
      </c>
      <c r="F44" s="204" t="str">
        <f>IF('_Datos'!$C44,IF(ISNUMBER('_Datos'!$AR44),'_Datos'!$AR44,"(Sin fecha)"),"")</f>
        <v>(Sin fecha)</v>
      </c>
      <c r="G44" s="204"/>
      <c r="H44" s="205"/>
      <c r="I44" s="204" t="str">
        <f>IF('_Datos'!$C44,IF(ISNUMBER('_Datos'!$AV44),'_Datos'!$AZ44,"(Sin fecha)"),"")</f>
        <v>(Sin fecha)</v>
      </c>
      <c r="J44" s="208">
        <f>IF('_Datos'!$C44,'_Datos'!$AX44,"")</f>
        <v>0</v>
      </c>
      <c r="K44" s="205">
        <f>IF('_Datos'!$C44,IF('Proyecto Datos (OKR´s)'!$C44="","",'Proyecto Datos (OKR´s)'!$C44),"")</f>
      </c>
      <c r="L44" s="205"/>
      <c r="M44" s="191"/>
      <c r="N44" s="204">
        <f>IF('_Datos'!$C44,'_Datos'!$BA44,"")</f>
      </c>
    </row>
    <row r="45">
      <c r="B45" s="204" t="str">
        <f>IF('_Datos'!$C45,'_Datos'!$O45,"")</f>
        <v>T045</v>
      </c>
      <c r="C45" s="205" t="str">
        <f>IF('_Datos'!$C45,'_Datos'!$F45,IF('_Datos'!$B45,'Proyecto Datos (OKR´s)'!$G45,""))</f>
        <v>Locaciones Geográficas Op. Dedicadas</v>
      </c>
      <c r="D45" s="204" t="str">
        <f>IF('_Datos'!$C45,'_Datos'!$AO45,"")</f>
        <v>Semanal</v>
      </c>
      <c r="E45" s="206">
        <f>IF('_Datos'!$C45,'_Datos'!$H45,"")</f>
      </c>
      <c r="F45" s="204" t="str">
        <f>IF('_Datos'!$C45,IF(ISNUMBER('_Datos'!$AR45),'_Datos'!$AR45,"(Sin fecha)"),"")</f>
        <v>(Sin fecha)</v>
      </c>
      <c r="G45" s="204"/>
      <c r="H45" s="205"/>
      <c r="I45" s="204" t="str">
        <f>IF('_Datos'!$C45,IF(ISNUMBER('_Datos'!$AV45),'_Datos'!$AZ45,"(Sin fecha)"),"")</f>
        <v>(Sin fecha)</v>
      </c>
      <c r="J45" s="208">
        <f>IF('_Datos'!$C45,'_Datos'!$AX45,"")</f>
        <v>0</v>
      </c>
      <c r="K45" s="205">
        <f>IF('_Datos'!$C45,IF('Proyecto Datos (OKR´s)'!$C45="","",'Proyecto Datos (OKR´s)'!$C45),"")</f>
      </c>
      <c r="L45" s="205"/>
      <c r="M45" s="191"/>
      <c r="N45" s="204">
        <f>IF('_Datos'!$C45,'_Datos'!$BA45,"")</f>
      </c>
    </row>
    <row r="46">
      <c r="B46" s="204" t="str">
        <f>IF('_Datos'!$C46,'_Datos'!$O46,"")</f>
        <v>T046</v>
      </c>
      <c r="C46" s="205" t="str">
        <f>IF('_Datos'!$C46,'_Datos'!$F46,IF('_Datos'!$B46,'Proyecto Datos (OKR´s)'!$G46,""))</f>
        <v>Detalle Responsables (Comerciales + Analistas)</v>
      </c>
      <c r="D46" s="204" t="str">
        <f>IF('_Datos'!$C46,'_Datos'!$AO46,"")</f>
        <v>Semanal</v>
      </c>
      <c r="E46" s="206">
        <f>IF('_Datos'!$C46,'_Datos'!$H46,"")</f>
        <v>46188</v>
      </c>
      <c r="F46" s="204">
        <f>IF('_Datos'!$C46,IF(ISNUMBER('_Datos'!$AR46),'_Datos'!$AR46,"(Sin fecha)"),"")</f>
        <v>1</v>
      </c>
      <c r="G46" s="204"/>
      <c r="H46" s="205"/>
      <c r="I46" s="204" t="str">
        <f>IF('_Datos'!$C46,IF(ISNUMBER('_Datos'!$AV46),'_Datos'!$AZ46,"(Sin fecha)"),"")</f>
        <v>Semanal · S2</v>
      </c>
      <c r="J46" s="208">
        <f>IF('_Datos'!$C46,'_Datos'!$AX46,"")</f>
        <v>4</v>
      </c>
      <c r="K46" s="205">
        <f>IF('_Datos'!$C46,IF('Proyecto Datos (OKR´s)'!$C46="","",'Proyecto Datos (OKR´s)'!$C46),"")</f>
      </c>
      <c r="L46" s="205"/>
      <c r="M46" s="191"/>
      <c r="N46" s="204">
        <f>IF('_Datos'!$C46,'_Datos'!$BA46,"")</f>
      </c>
    </row>
    <row r="47">
      <c r="B47" s="204" t="str">
        <f>IF('_Datos'!$C47,'_Datos'!$O47,"")</f>
        <v>T047</v>
      </c>
      <c r="C47" s="205" t="str">
        <f>IF('_Datos'!$C47,'_Datos'!$F47,IF('_Datos'!$B47,'Proyecto Datos (OKR´s)'!$G47,""))</f>
        <v>Armado de Dashboard + Diseño</v>
      </c>
      <c r="D47" s="204" t="str">
        <f>IF('_Datos'!$C47,'_Datos'!$AO47,"")</f>
        <v>Semanal</v>
      </c>
      <c r="E47" s="206">
        <f>IF('_Datos'!$C47,'_Datos'!$H47,"")</f>
        <v>46188</v>
      </c>
      <c r="F47" s="204">
        <f>IF('_Datos'!$C47,IF(ISNUMBER('_Datos'!$AR47),'_Datos'!$AR47,"(Sin fecha)"),"")</f>
        <v>1</v>
      </c>
      <c r="G47" s="204"/>
      <c r="H47" s="205"/>
      <c r="I47" s="204" t="str">
        <f>IF('_Datos'!$C47,IF(ISNUMBER('_Datos'!$AV47),'_Datos'!$AZ47,"(Sin fecha)"),"")</f>
        <v>Semanal · S2</v>
      </c>
      <c r="J47" s="208">
        <f>IF('_Datos'!$C47,'_Datos'!$AX47,"")</f>
        <v>4</v>
      </c>
      <c r="K47" s="205">
        <f>IF('_Datos'!$C47,IF('Proyecto Datos (OKR´s)'!$C47="","",'Proyecto Datos (OKR´s)'!$C47),"")</f>
      </c>
      <c r="L47" s="205"/>
      <c r="M47" s="191"/>
      <c r="N47" s="204">
        <f>IF('_Datos'!$C47,'_Datos'!$BA47,"")</f>
      </c>
    </row>
    <row r="48">
      <c r="B48" s="204">
        <f>IF('_Datos'!$C48,'_Datos'!$O48,"")</f>
      </c>
      <c r="C48" s="205" t="str">
        <f>IF('_Datos'!$C48,'_Datos'!$F48,IF('_Datos'!$B48,'Proyecto Datos (OKR´s)'!$G48,""))</f>
        <v>Tablero Forecast</v>
      </c>
      <c r="D48" s="204">
        <f>IF('_Datos'!$C48,'_Datos'!$AO48,"")</f>
      </c>
      <c r="E48" s="206">
        <f>IF('_Datos'!$C48,'_Datos'!$H48,"")</f>
      </c>
      <c r="F48" s="204">
        <f>IF('_Datos'!$C48,IF(ISNUMBER('_Datos'!$AR48),'_Datos'!$AR48,"(Sin fecha)"),"")</f>
      </c>
      <c r="G48" s="204"/>
      <c r="H48" s="205"/>
      <c r="I48" s="204">
        <f>IF('_Datos'!$C48,IF(ISNUMBER('_Datos'!$AV48),'_Datos'!$AZ48,"(Sin fecha)"),"")</f>
      </c>
      <c r="J48" s="208">
        <f>IF('_Datos'!$C48,'_Datos'!$AX48,"")</f>
      </c>
      <c r="K48" s="205">
        <f>IF('_Datos'!$C48,IF('Proyecto Datos (OKR´s)'!$C48="","",'Proyecto Datos (OKR´s)'!$C48),"")</f>
      </c>
      <c r="L48" s="205"/>
      <c r="M48" s="191"/>
      <c r="N48" s="204">
        <f>IF('_Datos'!$C48,'_Datos'!$BA48,"")</f>
      </c>
    </row>
    <row r="49">
      <c r="B49" s="204" t="str">
        <f>IF('_Datos'!$C49,'_Datos'!$O49,"")</f>
        <v>T049</v>
      </c>
      <c r="C49" s="205" t="str">
        <f>IF('_Datos'!$C49,'_Datos'!$F49,IF('_Datos'!$B49,'Proyecto Datos (OKR´s)'!$G49,""))</f>
        <v>Armado de Procedimiento</v>
      </c>
      <c r="D49" s="204" t="str">
        <f>IF('_Datos'!$C49,'_Datos'!$AO49,"")</f>
        <v>Semanal</v>
      </c>
      <c r="E49" s="206">
        <f>IF('_Datos'!$C49,'_Datos'!$H49,"")</f>
        <v>46192</v>
      </c>
      <c r="F49" s="204">
        <f>IF('_Datos'!$C49,IF(ISNUMBER('_Datos'!$AR49),'_Datos'!$AR49,"(Sin fecha)"),"")</f>
        <v>1</v>
      </c>
      <c r="G49" s="204"/>
      <c r="H49" s="205"/>
      <c r="I49" s="204" t="str">
        <f>IF('_Datos'!$C49,IF(ISNUMBER('_Datos'!$AV49),'_Datos'!$AZ49,"(Sin fecha)"),"")</f>
        <v>Semanal · S2</v>
      </c>
      <c r="J49" s="208">
        <f>IF('_Datos'!$C49,'_Datos'!$AX49,"")</f>
        <v>4</v>
      </c>
      <c r="K49" s="205" t="str">
        <f>IF('_Datos'!$C49,IF('Proyecto Datos (OKR´s)'!$C49="","",'Proyecto Datos (OKR´s)'!$C49),"")</f>
        <v>Solicitud nueva de esta semana</v>
      </c>
      <c r="L49" s="205"/>
      <c r="M49" s="191">
        <v>3</v>
      </c>
      <c r="N49" s="204">
        <f>IF('_Datos'!$C49,'_Datos'!$BA49,"")</f>
      </c>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6">
        <f>IF('_Datos'!$C50,'_Datos'!$H50,"")</f>
        <v>46192</v>
      </c>
      <c r="F50" s="204">
        <f>IF('_Datos'!$C50,IF(ISNUMBER('_Datos'!$AR50),'_Datos'!$AR50,"(Sin fecha)"),"")</f>
        <v>1</v>
      </c>
      <c r="G50" s="204"/>
      <c r="H50" s="205"/>
      <c r="I50" s="204" t="str">
        <f>IF('_Datos'!$C50,IF(ISNUMBER('_Datos'!$AV50),'_Datos'!$AZ50,"(Sin fecha)"),"")</f>
        <v>Semanal · S2</v>
      </c>
      <c r="J50" s="208">
        <f>IF('_Datos'!$C50,'_Datos'!$AX50,"")</f>
        <v>4</v>
      </c>
      <c r="K50" s="205" t="str">
        <f>IF('_Datos'!$C50,IF('Proyecto Datos (OKR´s)'!$C50="","",'Proyecto Datos (OKR´s)'!$C50),"")</f>
        <v>Solicitud nueva de esta semana</v>
      </c>
      <c r="L50" s="205"/>
      <c r="M50" s="191">
        <v>3</v>
      </c>
      <c r="N50" s="204">
        <f>IF('_Datos'!$C50,'_Datos'!$BA50,"")</f>
      </c>
    </row>
    <row r="51">
      <c r="B51" s="204" t="str">
        <f>IF('_Datos'!$C51,'_Datos'!$O51,"")</f>
        <v>T051</v>
      </c>
      <c r="C51" s="205" t="str">
        <f>IF('_Datos'!$C51,'_Datos'!$F51,IF('_Datos'!$B51,'Proyecto Datos (OKR´s)'!$G51,""))</f>
        <v>Factores de clientes con % de incremento sobre venta</v>
      </c>
      <c r="D51" s="204" t="str">
        <f>IF('_Datos'!$C51,'_Datos'!$AO51,"")</f>
        <v>Semanal</v>
      </c>
      <c r="E51" s="206">
        <f>IF('_Datos'!$C51,'_Datos'!$H51,"")</f>
        <v>46192</v>
      </c>
      <c r="F51" s="204">
        <f>IF('_Datos'!$C51,IF(ISNUMBER('_Datos'!$AR51),'_Datos'!$AR51,"(Sin fecha)"),"")</f>
        <v>1</v>
      </c>
      <c r="G51" s="204"/>
      <c r="H51" s="205"/>
      <c r="I51" s="204" t="str">
        <f>IF('_Datos'!$C51,IF(ISNUMBER('_Datos'!$AV51),'_Datos'!$AZ51,"(Sin fecha)"),"")</f>
        <v>Semanal · S2</v>
      </c>
      <c r="J51" s="208">
        <f>IF('_Datos'!$C51,'_Datos'!$AX51,"")</f>
        <v>4</v>
      </c>
      <c r="K51" s="205" t="str">
        <f>IF('_Datos'!$C51,IF('Proyecto Datos (OKR´s)'!$C51="","",'Proyecto Datos (OKR´s)'!$C51),"")</f>
        <v>Solicitud nueva de esta semana</v>
      </c>
      <c r="L51" s="205"/>
      <c r="M51" s="191">
        <v>3</v>
      </c>
      <c r="N51" s="204">
        <f>IF('_Datos'!$C51,'_Datos'!$BA51,"")</f>
      </c>
    </row>
    <row r="52">
      <c r="B52" s="204">
        <f>IF('_Datos'!$C52,'_Datos'!$O52,"")</f>
      </c>
      <c r="C52" s="205" t="str">
        <f>IF('_Datos'!$C52,'_Datos'!$F52,IF('_Datos'!$B52,'Proyecto Datos (OKR´s)'!$G52,""))</f>
        <v>6- Automatización de procesos: certificación, provisión,polinómicas</v>
      </c>
      <c r="D52" s="204">
        <f>IF('_Datos'!$C52,'_Datos'!$AO52,"")</f>
      </c>
      <c r="E52" s="206">
        <f>IF('_Datos'!$C52,'_Datos'!$H52,"")</f>
      </c>
      <c r="F52" s="204">
        <f>IF('_Datos'!$C52,IF(ISNUMBER('_Datos'!$AR52),'_Datos'!$AR52,"(Sin fecha)"),"")</f>
      </c>
      <c r="G52" s="204"/>
      <c r="H52" s="205"/>
      <c r="I52" s="204">
        <f>IF('_Datos'!$C52,IF(ISNUMBER('_Datos'!$AV52),'_Datos'!$AZ52,"(Sin fecha)"),"")</f>
      </c>
      <c r="J52" s="208">
        <f>IF('_Datos'!$C52,'_Datos'!$AX52,"")</f>
      </c>
      <c r="K52" s="205">
        <f>IF('_Datos'!$C52,IF('Proyecto Datos (OKR´s)'!$C52="","",'Proyecto Datos (OKR´s)'!$C52),"")</f>
      </c>
      <c r="L52" s="205"/>
      <c r="M52" s="191"/>
      <c r="N52" s="204">
        <f>IF('_Datos'!$C52,'_Datos'!$BA52,"")</f>
      </c>
    </row>
    <row r="53">
      <c r="B53" s="204" t="str">
        <f>IF('_Datos'!$C53,'_Datos'!$O53,"")</f>
        <v>T053</v>
      </c>
      <c r="C53" s="205" t="str">
        <f>IF('_Datos'!$C53,'_Datos'!$F53,IF('_Datos'!$B53,'Proyecto Datos (OKR´s)'!$G53,""))</f>
        <v>Polinómicas y tarifario automático</v>
      </c>
      <c r="D53" s="204" t="str">
        <f>IF('_Datos'!$C53,'_Datos'!$AO53,"")</f>
        <v>Mensual</v>
      </c>
      <c r="E53" s="206">
        <f>IF('_Datos'!$C53,'_Datos'!$H53,"")</f>
      </c>
      <c r="F53" s="204" t="str">
        <f>IF('_Datos'!$C53,IF(ISNUMBER('_Datos'!$AR53),'_Datos'!$AR53,"(Sin fecha)"),"")</f>
        <v>(Sin fecha)</v>
      </c>
      <c r="G53" s="204"/>
      <c r="H53" s="205"/>
      <c r="I53" s="204" t="str">
        <f>IF('_Datos'!$C53,IF(ISNUMBER('_Datos'!$AV53),'_Datos'!$AZ53,"(Sin fecha)"),"")</f>
        <v>(Sin fecha)</v>
      </c>
      <c r="J53" s="208">
        <f>IF('_Datos'!$C53,'_Datos'!$AX53,"")</f>
        <v>0</v>
      </c>
      <c r="K53" s="205">
        <f>IF('_Datos'!$C53,IF('Proyecto Datos (OKR´s)'!$C53="","",'Proyecto Datos (OKR´s)'!$C53),"")</f>
      </c>
      <c r="L53" s="205"/>
      <c r="M53" s="191"/>
      <c r="N53" s="204">
        <f>IF('_Datos'!$C53,'_Datos'!$BA53,"")</f>
      </c>
    </row>
    <row r="54">
      <c r="B54" s="204" t="str">
        <f>IF('_Datos'!$C54,'_Datos'!$O54,"")</f>
        <v>T054</v>
      </c>
      <c r="C54" s="205" t="str">
        <f>IF('_Datos'!$C54,'_Datos'!$F54,IF('_Datos'!$B54,'Proyecto Datos (OKR´s)'!$G54,""))</f>
        <v>Certificados automáticos (ver si utilizar scripts)</v>
      </c>
      <c r="D54" s="204" t="str">
        <f>IF('_Datos'!$C54,'_Datos'!$AO54,"")</f>
        <v>Mensual</v>
      </c>
      <c r="E54" s="206">
        <f>IF('_Datos'!$C54,'_Datos'!$H54,"")</f>
      </c>
      <c r="F54" s="204" t="str">
        <f>IF('_Datos'!$C54,IF(ISNUMBER('_Datos'!$AR54),'_Datos'!$AR54,"(Sin fecha)"),"")</f>
        <v>(Sin fecha)</v>
      </c>
      <c r="G54" s="204"/>
      <c r="H54" s="205"/>
      <c r="I54" s="204" t="str">
        <f>IF('_Datos'!$C54,IF(ISNUMBER('_Datos'!$AV54),'_Datos'!$AZ54,"(Sin fecha)"),"")</f>
        <v>(Sin fecha)</v>
      </c>
      <c r="J54" s="208">
        <f>IF('_Datos'!$C54,'_Datos'!$AX54,"")</f>
        <v>0</v>
      </c>
      <c r="K54" s="205">
        <f>IF('_Datos'!$C54,IF('Proyecto Datos (OKR´s)'!$C54="","",'Proyecto Datos (OKR´s)'!$C54),"")</f>
      </c>
      <c r="L54" s="205"/>
      <c r="M54" s="191"/>
      <c r="N54" s="204">
        <f>IF('_Datos'!$C54,'_Datos'!$BA54,"")</f>
      </c>
    </row>
    <row r="55">
      <c r="B55" s="204" t="str">
        <f>IF('_Datos'!$C55,'_Datos'!$O55,"")</f>
        <v>T055</v>
      </c>
      <c r="C55" s="205" t="str">
        <f>IF('_Datos'!$C55,'_Datos'!$F55,IF('_Datos'!$B55,'Proyecto Datos (OKR´s)'!$G55,""))</f>
        <v>Provisión Automática</v>
      </c>
      <c r="D55" s="204" t="str">
        <f>IF('_Datos'!$C55,'_Datos'!$AO55,"")</f>
        <v>Mensual</v>
      </c>
      <c r="E55" s="206">
        <f>IF('_Datos'!$C55,'_Datos'!$H55,"")</f>
      </c>
      <c r="F55" s="204" t="str">
        <f>IF('_Datos'!$C55,IF(ISNUMBER('_Datos'!$AR55),'_Datos'!$AR55,"(Sin fecha)"),"")</f>
        <v>(Sin fecha)</v>
      </c>
      <c r="G55" s="204"/>
      <c r="H55" s="205"/>
      <c r="I55" s="204" t="str">
        <f>IF('_Datos'!$C55,IF(ISNUMBER('_Datos'!$AV55),'_Datos'!$AZ55,"(Sin fecha)"),"")</f>
        <v>(Sin fecha)</v>
      </c>
      <c r="J55" s="208">
        <f>IF('_Datos'!$C55,'_Datos'!$AX55,"")</f>
        <v>0</v>
      </c>
      <c r="K55" s="205">
        <f>IF('_Datos'!$C55,IF('Proyecto Datos (OKR´s)'!$C55="","",'Proyecto Datos (OKR´s)'!$C55),"")</f>
      </c>
      <c r="L55" s="205"/>
      <c r="M55" s="191"/>
      <c r="N55" s="204">
        <f>IF('_Datos'!$C55,'_Datos'!$BA55,"")</f>
      </c>
    </row>
    <row r="56">
      <c r="B56" s="204">
        <f>IF('_Datos'!$C56,'_Datos'!$O56,"")</f>
      </c>
      <c r="C56" s="205" t="str">
        <f>IF('_Datos'!$C56,'_Datos'!$F56,IF('_Datos'!$B56,'Proyecto Datos (OKR´s)'!$G56,""))</f>
        <v>7- Incorporación de Operaciones Complejas en sistemas de la compañía: Salesforce, SAP, etc.</v>
      </c>
      <c r="D56" s="204">
        <f>IF('_Datos'!$C56,'_Datos'!$AO56,"")</f>
      </c>
      <c r="E56" s="206">
        <f>IF('_Datos'!$C56,'_Datos'!$H56,"")</f>
      </c>
      <c r="F56" s="204">
        <f>IF('_Datos'!$C56,IF(ISNUMBER('_Datos'!$AR56),'_Datos'!$AR56,"(Sin fecha)"),"")</f>
      </c>
      <c r="G56" s="204"/>
      <c r="H56" s="205"/>
      <c r="I56" s="204">
        <f>IF('_Datos'!$C56,IF(ISNUMBER('_Datos'!$AV56),'_Datos'!$AZ56,"(Sin fecha)"),"")</f>
      </c>
      <c r="J56" s="208">
        <f>IF('_Datos'!$C56,'_Datos'!$AX56,"")</f>
      </c>
      <c r="K56" s="205">
        <f>IF('_Datos'!$C56,IF('Proyecto Datos (OKR´s)'!$C56="","",'Proyecto Datos (OKR´s)'!$C56),"")</f>
      </c>
      <c r="L56" s="205"/>
      <c r="M56" s="191"/>
      <c r="N56" s="204">
        <f>IF('_Datos'!$C56,'_Datos'!$BA56,"")</f>
      </c>
    </row>
    <row r="57">
      <c r="B57" s="204" t="str">
        <f>IF('_Datos'!$C57,'_Datos'!$O57,"")</f>
        <v>T057</v>
      </c>
      <c r="C57" s="205" t="str">
        <f>IF('_Datos'!$C57,'_Datos'!$F57,IF('_Datos'!$B57,'Proyecto Datos (OKR´s)'!$G57,""))</f>
        <v>Eliminar contratos obsoletos</v>
      </c>
      <c r="D57" s="204" t="str">
        <f>IF('_Datos'!$C57,'_Datos'!$AO57,"")</f>
        <v>Mensual</v>
      </c>
      <c r="E57" s="206">
        <f>IF('_Datos'!$C57,'_Datos'!$H57,"")</f>
      </c>
      <c r="F57" s="204" t="str">
        <f>IF('_Datos'!$C57,IF(ISNUMBER('_Datos'!$AR57),'_Datos'!$AR57,"(Sin fecha)"),"")</f>
        <v>(Sin fecha)</v>
      </c>
      <c r="G57" s="204"/>
      <c r="H57" s="205"/>
      <c r="I57" s="204" t="str">
        <f>IF('_Datos'!$C57,IF(ISNUMBER('_Datos'!$AV57),'_Datos'!$AZ57,"(Sin fecha)"),"")</f>
        <v>(Sin fecha)</v>
      </c>
      <c r="J57" s="208">
        <f>IF('_Datos'!$C57,'_Datos'!$AX57,"")</f>
        <v>0</v>
      </c>
      <c r="K57" s="205">
        <f>IF('_Datos'!$C57,IF('Proyecto Datos (OKR´s)'!$C57="","",'Proyecto Datos (OKR´s)'!$C57),"")</f>
      </c>
      <c r="L57" s="205"/>
      <c r="M57" s="191"/>
      <c r="N57" s="204">
        <f>IF('_Datos'!$C57,'_Datos'!$BA57,"")</f>
      </c>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6">
        <f>IF('_Datos'!$C58,'_Datos'!$H58,"")</f>
      </c>
      <c r="F58" s="204" t="str">
        <f>IF('_Datos'!$C58,IF(ISNUMBER('_Datos'!$AR58),'_Datos'!$AR58,"(Sin fecha)"),"")</f>
        <v>(Sin fecha)</v>
      </c>
      <c r="G58" s="204"/>
      <c r="H58" s="205"/>
      <c r="I58" s="204" t="str">
        <f>IF('_Datos'!$C58,IF(ISNUMBER('_Datos'!$AV58),'_Datos'!$AZ58,"(Sin fecha)"),"")</f>
        <v>(Sin fecha)</v>
      </c>
      <c r="J58" s="208">
        <f>IF('_Datos'!$C58,'_Datos'!$AX58,"")</f>
        <v>0</v>
      </c>
      <c r="K58" s="205">
        <f>IF('_Datos'!$C58,IF('Proyecto Datos (OKR´s)'!$C58="","",'Proyecto Datos (OKR´s)'!$C58),"")</f>
      </c>
      <c r="L58" s="205"/>
      <c r="M58" s="191"/>
      <c r="N58" s="204">
        <f>IF('_Datos'!$C58,'_Datos'!$BA58,"")</f>
      </c>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6">
        <f>IF('_Datos'!$C59,'_Datos'!$H59,"")</f>
      </c>
      <c r="F59" s="204" t="str">
        <f>IF('_Datos'!$C59,IF(ISNUMBER('_Datos'!$AR59),'_Datos'!$AR59,"(Sin fecha)"),"")</f>
        <v>(Sin fecha)</v>
      </c>
      <c r="G59" s="204"/>
      <c r="H59" s="205"/>
      <c r="I59" s="204" t="str">
        <f>IF('_Datos'!$C59,IF(ISNUMBER('_Datos'!$AV59),'_Datos'!$AZ59,"(Sin fecha)"),"")</f>
        <v>(Sin fecha)</v>
      </c>
      <c r="J59" s="208">
        <f>IF('_Datos'!$C59,'_Datos'!$AX59,"")</f>
        <v>0</v>
      </c>
      <c r="K59" s="205">
        <f>IF('_Datos'!$C59,IF('Proyecto Datos (OKR´s)'!$C59="","",'Proyecto Datos (OKR´s)'!$C59),"")</f>
      </c>
      <c r="L59" s="205"/>
      <c r="M59" s="191"/>
      <c r="N59" s="204">
        <f>IF('_Datos'!$C59,'_Datos'!$BA59,"")</f>
      </c>
    </row>
    <row r="60">
      <c r="B60" s="204">
        <f>IF('_Datos'!$C60,'_Datos'!$O60,"")</f>
      </c>
      <c r="C60" s="205">
        <f>IF('_Datos'!$C60,'_Datos'!$F60,IF('_Datos'!$B60,'Proyecto Datos (OKR´s)'!$G60,""))</f>
      </c>
      <c r="D60" s="204">
        <f>IF('_Datos'!$C60,'_Datos'!$AO60,"")</f>
      </c>
      <c r="E60" s="206">
        <f>IF('_Datos'!$C60,'_Datos'!$H60,"")</f>
      </c>
      <c r="F60" s="204">
        <f>IF('_Datos'!$C60,IF(ISNUMBER('_Datos'!$AR60),'_Datos'!$AR60,"(Sin fecha)"),"")</f>
      </c>
      <c r="G60" s="204"/>
      <c r="H60" s="205"/>
      <c r="I60" s="204">
        <f>IF('_Datos'!$C60,IF(ISNUMBER('_Datos'!$AV60),'_Datos'!$AZ60,"(Sin fecha)"),"")</f>
      </c>
      <c r="J60" s="208">
        <f>IF('_Datos'!$C60,'_Datos'!$AX60,"")</f>
      </c>
      <c r="K60" s="205">
        <f>IF('_Datos'!$C60,IF('Proyecto Datos (OKR´s)'!$C60="","",'Proyecto Datos (OKR´s)'!$C60),"")</f>
      </c>
      <c r="L60" s="205"/>
      <c r="M60" s="191"/>
      <c r="N60" s="204">
        <f>IF('_Datos'!$C60,'_Datos'!$BA60,"")</f>
      </c>
    </row>
    <row r="61">
      <c r="B61" s="204">
        <f>IF('_Datos'!$C61,'_Datos'!$O61,"")</f>
      </c>
      <c r="C61" s="205">
        <f>IF('_Datos'!$C61,'_Datos'!$F61,IF('_Datos'!$B61,'Proyecto Datos (OKR´s)'!$G61,""))</f>
      </c>
      <c r="D61" s="204">
        <f>IF('_Datos'!$C61,'_Datos'!$AO61,"")</f>
      </c>
      <c r="E61" s="206">
        <f>IF('_Datos'!$C61,'_Datos'!$H61,"")</f>
      </c>
      <c r="F61" s="204">
        <f>IF('_Datos'!$C61,IF(ISNUMBER('_Datos'!$AR61),'_Datos'!$AR61,"(Sin fecha)"),"")</f>
      </c>
      <c r="G61" s="204"/>
      <c r="H61" s="205"/>
      <c r="I61" s="204">
        <f>IF('_Datos'!$C61,IF(ISNUMBER('_Datos'!$AV61),'_Datos'!$AZ61,"(Sin fecha)"),"")</f>
      </c>
      <c r="J61" s="208">
        <f>IF('_Datos'!$C61,'_Datos'!$AX61,"")</f>
      </c>
      <c r="K61" s="205">
        <f>IF('_Datos'!$C61,IF('Proyecto Datos (OKR´s)'!$C61="","",'Proyecto Datos (OKR´s)'!$C61),"")</f>
      </c>
      <c r="L61" s="205"/>
      <c r="M61" s="191"/>
      <c r="N61" s="204">
        <f>IF('_Datos'!$C61,'_Datos'!$BA61,"")</f>
      </c>
    </row>
    <row r="62">
      <c r="B62" s="204">
        <f>IF('_Datos'!$C62,'_Datos'!$O62,"")</f>
      </c>
      <c r="C62" s="205">
        <f>IF('_Datos'!$C62,'_Datos'!$F62,IF('_Datos'!$B62,'Proyecto Datos (OKR´s)'!$G62,""))</f>
      </c>
      <c r="D62" s="204">
        <f>IF('_Datos'!$C62,'_Datos'!$AO62,"")</f>
      </c>
      <c r="E62" s="206">
        <f>IF('_Datos'!$C62,'_Datos'!$H62,"")</f>
      </c>
      <c r="F62" s="204">
        <f>IF('_Datos'!$C62,IF(ISNUMBER('_Datos'!$AR62),'_Datos'!$AR62,"(Sin fecha)"),"")</f>
      </c>
      <c r="G62" s="204"/>
      <c r="H62" s="205"/>
      <c r="I62" s="204">
        <f>IF('_Datos'!$C62,IF(ISNUMBER('_Datos'!$AV62),'_Datos'!$AZ62,"(Sin fecha)"),"")</f>
      </c>
      <c r="J62" s="208">
        <f>IF('_Datos'!$C62,'_Datos'!$AX62,"")</f>
      </c>
      <c r="K62" s="205">
        <f>IF('_Datos'!$C62,IF('Proyecto Datos (OKR´s)'!$C62="","",'Proyecto Datos (OKR´s)'!$C62),"")</f>
      </c>
      <c r="L62" s="205"/>
      <c r="M62" s="191"/>
      <c r="N62" s="204">
        <f>IF('_Datos'!$C62,'_Datos'!$BA62,"")</f>
      </c>
    </row>
    <row r="63">
      <c r="B63" s="204">
        <f>IF('_Datos'!$C63,'_Datos'!$O63,"")</f>
      </c>
      <c r="C63" s="205">
        <f>IF('_Datos'!$C63,'_Datos'!$F63,IF('_Datos'!$B63,'Proyecto Datos (OKR´s)'!$G63,""))</f>
      </c>
      <c r="D63" s="204">
        <f>IF('_Datos'!$C63,'_Datos'!$AO63,"")</f>
      </c>
      <c r="E63" s="206">
        <f>IF('_Datos'!$C63,'_Datos'!$H63,"")</f>
      </c>
      <c r="F63" s="204">
        <f>IF('_Datos'!$C63,IF(ISNUMBER('_Datos'!$AR63),'_Datos'!$AR63,"(Sin fecha)"),"")</f>
      </c>
      <c r="G63" s="204"/>
      <c r="H63" s="205"/>
      <c r="I63" s="204">
        <f>IF('_Datos'!$C63,IF(ISNUMBER('_Datos'!$AV63),'_Datos'!$AZ63,"(Sin fecha)"),"")</f>
      </c>
      <c r="J63" s="208">
        <f>IF('_Datos'!$C63,'_Datos'!$AX63,"")</f>
      </c>
      <c r="K63" s="205">
        <f>IF('_Datos'!$C63,IF('Proyecto Datos (OKR´s)'!$C63="","",'Proyecto Datos (OKR´s)'!$C63),"")</f>
      </c>
      <c r="L63" s="205"/>
      <c r="M63" s="191"/>
      <c r="N63" s="204">
        <f>IF('_Datos'!$C63,'_Datos'!$BA63,"")</f>
      </c>
    </row>
    <row r="64">
      <c r="B64" s="204">
        <f>IF('_Datos'!$C64,'_Datos'!$O64,"")</f>
      </c>
      <c r="C64" s="205">
        <f>IF('_Datos'!$C64,'_Datos'!$F64,IF('_Datos'!$B64,'Proyecto Datos (OKR´s)'!$G64,""))</f>
      </c>
      <c r="D64" s="204">
        <f>IF('_Datos'!$C64,'_Datos'!$AO64,"")</f>
      </c>
      <c r="E64" s="206">
        <f>IF('_Datos'!$C64,'_Datos'!$H64,"")</f>
      </c>
      <c r="F64" s="204">
        <f>IF('_Datos'!$C64,IF(ISNUMBER('_Datos'!$AR64),'_Datos'!$AR64,"(Sin fecha)"),"")</f>
      </c>
      <c r="G64" s="204"/>
      <c r="H64" s="205"/>
      <c r="I64" s="204">
        <f>IF('_Datos'!$C64,IF(ISNUMBER('_Datos'!$AV64),'_Datos'!$AZ64,"(Sin fecha)"),"")</f>
      </c>
      <c r="J64" s="208">
        <f>IF('_Datos'!$C64,'_Datos'!$AX64,"")</f>
      </c>
      <c r="K64" s="205">
        <f>IF('_Datos'!$C64,IF('Proyecto Datos (OKR´s)'!$C64="","",'Proyecto Datos (OKR´s)'!$C64),"")</f>
      </c>
      <c r="L64" s="205"/>
      <c r="M64" s="191"/>
      <c r="N64" s="204">
        <f>IF('_Datos'!$C64,'_Datos'!$BA64,"")</f>
      </c>
    </row>
    <row r="65">
      <c r="B65" s="204">
        <f>IF('_Datos'!$C65,'_Datos'!$O65,"")</f>
      </c>
      <c r="C65" s="205">
        <f>IF('_Datos'!$C65,'_Datos'!$F65,IF('_Datos'!$B65,'Proyecto Datos (OKR´s)'!$G65,""))</f>
      </c>
      <c r="D65" s="204">
        <f>IF('_Datos'!$C65,'_Datos'!$AO65,"")</f>
      </c>
      <c r="E65" s="206">
        <f>IF('_Datos'!$C65,'_Datos'!$H65,"")</f>
      </c>
      <c r="F65" s="204">
        <f>IF('_Datos'!$C65,IF(ISNUMBER('_Datos'!$AR65),'_Datos'!$AR65,"(Sin fecha)"),"")</f>
      </c>
      <c r="G65" s="204"/>
      <c r="H65" s="205"/>
      <c r="I65" s="204">
        <f>IF('_Datos'!$C65,IF(ISNUMBER('_Datos'!$AV65),'_Datos'!$AZ65,"(Sin fecha)"),"")</f>
      </c>
      <c r="J65" s="208">
        <f>IF('_Datos'!$C65,'_Datos'!$AX65,"")</f>
      </c>
      <c r="K65" s="205">
        <f>IF('_Datos'!$C65,IF('Proyecto Datos (OKR´s)'!$C65="","",'Proyecto Datos (OKR´s)'!$C65),"")</f>
      </c>
      <c r="L65" s="205"/>
      <c r="M65" s="191"/>
      <c r="N65" s="204">
        <f>IF('_Datos'!$C65,'_Datos'!$BA65,"")</f>
      </c>
    </row>
    <row r="66">
      <c r="B66" s="204">
        <f>IF('_Datos'!$C66,'_Datos'!$O66,"")</f>
      </c>
      <c r="C66" s="205">
        <f>IF('_Datos'!$C66,'_Datos'!$F66,IF('_Datos'!$B66,'Proyecto Datos (OKR´s)'!$G66,""))</f>
      </c>
      <c r="D66" s="204">
        <f>IF('_Datos'!$C66,'_Datos'!$AO66,"")</f>
      </c>
      <c r="E66" s="206">
        <f>IF('_Datos'!$C66,'_Datos'!$H66,"")</f>
      </c>
      <c r="F66" s="204">
        <f>IF('_Datos'!$C66,IF(ISNUMBER('_Datos'!$AR66),'_Datos'!$AR66,"(Sin fecha)"),"")</f>
      </c>
      <c r="G66" s="204"/>
      <c r="H66" s="205"/>
      <c r="I66" s="204">
        <f>IF('_Datos'!$C66,IF(ISNUMBER('_Datos'!$AV66),'_Datos'!$AZ66,"(Sin fecha)"),"")</f>
      </c>
      <c r="J66" s="208">
        <f>IF('_Datos'!$C66,'_Datos'!$AX66,"")</f>
      </c>
      <c r="K66" s="205">
        <f>IF('_Datos'!$C66,IF('Proyecto Datos (OKR´s)'!$C66="","",'Proyecto Datos (OKR´s)'!$C66),"")</f>
      </c>
      <c r="L66" s="205"/>
      <c r="M66" s="191"/>
      <c r="N66" s="204">
        <f>IF('_Datos'!$C66,'_Datos'!$BA66,"")</f>
      </c>
    </row>
    <row r="67">
      <c r="B67" s="204">
        <f>IF('_Datos'!$C67,'_Datos'!$O67,"")</f>
      </c>
      <c r="C67" s="205">
        <f>IF('_Datos'!$C67,'_Datos'!$F67,IF('_Datos'!$B67,'Proyecto Datos (OKR´s)'!$G67,""))</f>
      </c>
      <c r="D67" s="204">
        <f>IF('_Datos'!$C67,'_Datos'!$AO67,"")</f>
      </c>
      <c r="E67" s="206">
        <f>IF('_Datos'!$C67,'_Datos'!$H67,"")</f>
      </c>
      <c r="F67" s="204">
        <f>IF('_Datos'!$C67,IF(ISNUMBER('_Datos'!$AR67),'_Datos'!$AR67,"(Sin fecha)"),"")</f>
      </c>
      <c r="G67" s="204"/>
      <c r="H67" s="205"/>
      <c r="I67" s="204">
        <f>IF('_Datos'!$C67,IF(ISNUMBER('_Datos'!$AV67),'_Datos'!$AZ67,"(Sin fecha)"),"")</f>
      </c>
      <c r="J67" s="208">
        <f>IF('_Datos'!$C67,'_Datos'!$AX67,"")</f>
      </c>
      <c r="K67" s="205">
        <f>IF('_Datos'!$C67,IF('Proyecto Datos (OKR´s)'!$C67="","",'Proyecto Datos (OKR´s)'!$C67),"")</f>
      </c>
      <c r="L67" s="205"/>
      <c r="M67" s="191"/>
      <c r="N67" s="204">
        <f>IF('_Datos'!$C67,'_Datos'!$BA67,"")</f>
      </c>
    </row>
    <row r="68">
      <c r="B68" s="204">
        <f>IF('_Datos'!$C68,'_Datos'!$O68,"")</f>
      </c>
      <c r="C68" s="205">
        <f>IF('_Datos'!$C68,'_Datos'!$F68,IF('_Datos'!$B68,'Proyecto Datos (OKR´s)'!$G68,""))</f>
      </c>
      <c r="D68" s="204">
        <f>IF('_Datos'!$C68,'_Datos'!$AO68,"")</f>
      </c>
      <c r="E68" s="206">
        <f>IF('_Datos'!$C68,'_Datos'!$H68,"")</f>
      </c>
      <c r="F68" s="204">
        <f>IF('_Datos'!$C68,IF(ISNUMBER('_Datos'!$AR68),'_Datos'!$AR68,"(Sin fecha)"),"")</f>
      </c>
      <c r="G68" s="204"/>
      <c r="H68" s="205"/>
      <c r="I68" s="204">
        <f>IF('_Datos'!$C68,IF(ISNUMBER('_Datos'!$AV68),'_Datos'!$AZ68,"(Sin fecha)"),"")</f>
      </c>
      <c r="J68" s="208">
        <f>IF('_Datos'!$C68,'_Datos'!$AX68,"")</f>
      </c>
      <c r="K68" s="205">
        <f>IF('_Datos'!$C68,IF('Proyecto Datos (OKR´s)'!$C68="","",'Proyecto Datos (OKR´s)'!$C68),"")</f>
      </c>
      <c r="L68" s="205"/>
      <c r="M68" s="191"/>
      <c r="N68" s="204">
        <f>IF('_Datos'!$C68,'_Datos'!$BA68,"")</f>
      </c>
    </row>
    <row r="69">
      <c r="B69" s="204">
        <f>IF('_Datos'!$C69,'_Datos'!$O69,"")</f>
      </c>
      <c r="C69" s="205">
        <f>IF('_Datos'!$C69,'_Datos'!$F69,IF('_Datos'!$B69,'Proyecto Datos (OKR´s)'!$G69,""))</f>
      </c>
      <c r="D69" s="204">
        <f>IF('_Datos'!$C69,'_Datos'!$AO69,"")</f>
      </c>
      <c r="E69" s="206">
        <f>IF('_Datos'!$C69,'_Datos'!$H69,"")</f>
      </c>
      <c r="F69" s="204">
        <f>IF('_Datos'!$C69,IF(ISNUMBER('_Datos'!$AR69),'_Datos'!$AR69,"(Sin fecha)"),"")</f>
      </c>
      <c r="G69" s="204"/>
      <c r="H69" s="205"/>
      <c r="I69" s="204">
        <f>IF('_Datos'!$C69,IF(ISNUMBER('_Datos'!$AV69),'_Datos'!$AZ69,"(Sin fecha)"),"")</f>
      </c>
      <c r="J69" s="208">
        <f>IF('_Datos'!$C69,'_Datos'!$AX69,"")</f>
      </c>
      <c r="K69" s="205">
        <f>IF('_Datos'!$C69,IF('Proyecto Datos (OKR´s)'!$C69="","",'Proyecto Datos (OKR´s)'!$C69),"")</f>
      </c>
      <c r="L69" s="205"/>
      <c r="M69" s="191"/>
      <c r="N69" s="204">
        <f>IF('_Datos'!$C69,'_Datos'!$BA69,"")</f>
      </c>
    </row>
    <row r="70">
      <c r="B70" s="204">
        <f>IF('_Datos'!$C70,'_Datos'!$O70,"")</f>
      </c>
      <c r="C70" s="205">
        <f>IF('_Datos'!$C70,'_Datos'!$F70,IF('_Datos'!$B70,'Proyecto Datos (OKR´s)'!$G70,""))</f>
      </c>
      <c r="D70" s="204">
        <f>IF('_Datos'!$C70,'_Datos'!$AO70,"")</f>
      </c>
      <c r="E70" s="206">
        <f>IF('_Datos'!$C70,'_Datos'!$H70,"")</f>
      </c>
      <c r="F70" s="204">
        <f>IF('_Datos'!$C70,IF(ISNUMBER('_Datos'!$AR70),'_Datos'!$AR70,"(Sin fecha)"),"")</f>
      </c>
      <c r="G70" s="204"/>
      <c r="H70" s="205"/>
      <c r="I70" s="204">
        <f>IF('_Datos'!$C70,IF(ISNUMBER('_Datos'!$AV70),'_Datos'!$AZ70,"(Sin fecha)"),"")</f>
      </c>
      <c r="J70" s="208">
        <f>IF('_Datos'!$C70,'_Datos'!$AX70,"")</f>
      </c>
      <c r="K70" s="205">
        <f>IF('_Datos'!$C70,IF('Proyecto Datos (OKR´s)'!$C70="","",'Proyecto Datos (OKR´s)'!$C70),"")</f>
      </c>
      <c r="L70" s="205"/>
      <c r="M70" s="191"/>
      <c r="N70" s="204">
        <f>IF('_Datos'!$C70,'_Datos'!$BA70,"")</f>
      </c>
    </row>
    <row r="71">
      <c r="B71" s="204">
        <f>IF('_Datos'!$C71,'_Datos'!$O71,"")</f>
      </c>
      <c r="C71" s="205">
        <f>IF('_Datos'!$C71,'_Datos'!$F71,IF('_Datos'!$B71,'Proyecto Datos (OKR´s)'!$G71,""))</f>
      </c>
      <c r="D71" s="204">
        <f>IF('_Datos'!$C71,'_Datos'!$AO71,"")</f>
      </c>
      <c r="E71" s="206">
        <f>IF('_Datos'!$C71,'_Datos'!$H71,"")</f>
      </c>
      <c r="F71" s="204">
        <f>IF('_Datos'!$C71,IF(ISNUMBER('_Datos'!$AR71),'_Datos'!$AR71,"(Sin fecha)"),"")</f>
      </c>
      <c r="G71" s="204"/>
      <c r="H71" s="205"/>
      <c r="I71" s="204">
        <f>IF('_Datos'!$C71,IF(ISNUMBER('_Datos'!$AV71),'_Datos'!$AZ71,"(Sin fecha)"),"")</f>
      </c>
      <c r="J71" s="208">
        <f>IF('_Datos'!$C71,'_Datos'!$AX71,"")</f>
      </c>
      <c r="K71" s="205">
        <f>IF('_Datos'!$C71,IF('Proyecto Datos (OKR´s)'!$C71="","",'Proyecto Datos (OKR´s)'!$C71),"")</f>
      </c>
      <c r="L71" s="205"/>
      <c r="M71" s="191"/>
      <c r="N71" s="204">
        <f>IF('_Datos'!$C71,'_Datos'!$BA71,"")</f>
      </c>
    </row>
    <row r="72">
      <c r="B72" s="204">
        <f>IF('_Datos'!$C72,'_Datos'!$O72,"")</f>
      </c>
      <c r="C72" s="205">
        <f>IF('_Datos'!$C72,'_Datos'!$F72,IF('_Datos'!$B72,'Proyecto Datos (OKR´s)'!$G72,""))</f>
      </c>
      <c r="D72" s="204">
        <f>IF('_Datos'!$C72,'_Datos'!$AO72,"")</f>
      </c>
      <c r="E72" s="206">
        <f>IF('_Datos'!$C72,'_Datos'!$H72,"")</f>
      </c>
      <c r="F72" s="204">
        <f>IF('_Datos'!$C72,IF(ISNUMBER('_Datos'!$AR72),'_Datos'!$AR72,"(Sin fecha)"),"")</f>
      </c>
      <c r="G72" s="204"/>
      <c r="H72" s="205"/>
      <c r="I72" s="204">
        <f>IF('_Datos'!$C72,IF(ISNUMBER('_Datos'!$AV72),'_Datos'!$AZ72,"(Sin fecha)"),"")</f>
      </c>
      <c r="J72" s="208">
        <f>IF('_Datos'!$C72,'_Datos'!$AX72,"")</f>
      </c>
      <c r="K72" s="205">
        <f>IF('_Datos'!$C72,IF('Proyecto Datos (OKR´s)'!$C72="","",'Proyecto Datos (OKR´s)'!$C72),"")</f>
      </c>
      <c r="L72" s="205"/>
      <c r="M72" s="191"/>
      <c r="N72" s="204">
        <f>IF('_Datos'!$C72,'_Datos'!$BA72,"")</f>
      </c>
    </row>
    <row r="73">
      <c r="B73" s="204">
        <f>IF('_Datos'!$C73,'_Datos'!$O73,"")</f>
      </c>
      <c r="C73" s="205">
        <f>IF('_Datos'!$C73,'_Datos'!$F73,IF('_Datos'!$B73,'Proyecto Datos (OKR´s)'!$G73,""))</f>
      </c>
      <c r="D73" s="204">
        <f>IF('_Datos'!$C73,'_Datos'!$AO73,"")</f>
      </c>
      <c r="E73" s="206">
        <f>IF('_Datos'!$C73,'_Datos'!$H73,"")</f>
      </c>
      <c r="F73" s="204">
        <f>IF('_Datos'!$C73,IF(ISNUMBER('_Datos'!$AR73),'_Datos'!$AR73,"(Sin fecha)"),"")</f>
      </c>
      <c r="G73" s="204"/>
      <c r="H73" s="205"/>
      <c r="I73" s="204">
        <f>IF('_Datos'!$C73,IF(ISNUMBER('_Datos'!$AV73),'_Datos'!$AZ73,"(Sin fecha)"),"")</f>
      </c>
      <c r="J73" s="208">
        <f>IF('_Datos'!$C73,'_Datos'!$AX73,"")</f>
      </c>
      <c r="K73" s="205">
        <f>IF('_Datos'!$C73,IF('Proyecto Datos (OKR´s)'!$C73="","",'Proyecto Datos (OKR´s)'!$C73),"")</f>
      </c>
      <c r="L73" s="205"/>
      <c r="M73" s="191"/>
      <c r="N73" s="204">
        <f>IF('_Datos'!$C73,'_Datos'!$BA73,"")</f>
      </c>
    </row>
    <row r="74">
      <c r="B74" s="204">
        <f>IF('_Datos'!$C74,'_Datos'!$O74,"")</f>
      </c>
      <c r="C74" s="205">
        <f>IF('_Datos'!$C74,'_Datos'!$F74,IF('_Datos'!$B74,'Proyecto Datos (OKR´s)'!$G74,""))</f>
      </c>
      <c r="D74" s="204">
        <f>IF('_Datos'!$C74,'_Datos'!$AO74,"")</f>
      </c>
      <c r="E74" s="206">
        <f>IF('_Datos'!$C74,'_Datos'!$H74,"")</f>
      </c>
      <c r="F74" s="204">
        <f>IF('_Datos'!$C74,IF(ISNUMBER('_Datos'!$AR74),'_Datos'!$AR74,"(Sin fecha)"),"")</f>
      </c>
      <c r="G74" s="204"/>
      <c r="H74" s="205"/>
      <c r="I74" s="204">
        <f>IF('_Datos'!$C74,IF(ISNUMBER('_Datos'!$AV74),'_Datos'!$AZ74,"(Sin fecha)"),"")</f>
      </c>
      <c r="J74" s="208">
        <f>IF('_Datos'!$C74,'_Datos'!$AX74,"")</f>
      </c>
      <c r="K74" s="205">
        <f>IF('_Datos'!$C74,IF('Proyecto Datos (OKR´s)'!$C74="","",'Proyecto Datos (OKR´s)'!$C74),"")</f>
      </c>
      <c r="L74" s="205"/>
      <c r="M74" s="191"/>
      <c r="N74" s="204">
        <f>IF('_Datos'!$C74,'_Datos'!$BA74,"")</f>
      </c>
    </row>
    <row r="75">
      <c r="B75" s="204">
        <f>IF('_Datos'!$C75,'_Datos'!$O75,"")</f>
      </c>
      <c r="C75" s="205">
        <f>IF('_Datos'!$C75,'_Datos'!$F75,IF('_Datos'!$B75,'Proyecto Datos (OKR´s)'!$G75,""))</f>
      </c>
      <c r="D75" s="204">
        <f>IF('_Datos'!$C75,'_Datos'!$AO75,"")</f>
      </c>
      <c r="E75" s="206">
        <f>IF('_Datos'!$C75,'_Datos'!$H75,"")</f>
      </c>
      <c r="F75" s="204">
        <f>IF('_Datos'!$C75,IF(ISNUMBER('_Datos'!$AR75),'_Datos'!$AR75,"(Sin fecha)"),"")</f>
      </c>
      <c r="G75" s="204"/>
      <c r="H75" s="205"/>
      <c r="I75" s="204">
        <f>IF('_Datos'!$C75,IF(ISNUMBER('_Datos'!$AV75),'_Datos'!$AZ75,"(Sin fecha)"),"")</f>
      </c>
      <c r="J75" s="208">
        <f>IF('_Datos'!$C75,'_Datos'!$AX75,"")</f>
      </c>
      <c r="K75" s="205">
        <f>IF('_Datos'!$C75,IF('Proyecto Datos (OKR´s)'!$C75="","",'Proyecto Datos (OKR´s)'!$C75),"")</f>
      </c>
      <c r="L75" s="205"/>
      <c r="M75" s="191"/>
      <c r="N75" s="204">
        <f>IF('_Datos'!$C75,'_Datos'!$BA75,"")</f>
      </c>
    </row>
    <row r="76">
      <c r="B76" s="204">
        <f>IF('_Datos'!$C76,'_Datos'!$O76,"")</f>
      </c>
      <c r="C76" s="205">
        <f>IF('_Datos'!$C76,'_Datos'!$F76,IF('_Datos'!$B76,'Proyecto Datos (OKR´s)'!$G76,""))</f>
      </c>
      <c r="D76" s="204">
        <f>IF('_Datos'!$C76,'_Datos'!$AO76,"")</f>
      </c>
      <c r="E76" s="206">
        <f>IF('_Datos'!$C76,'_Datos'!$H76,"")</f>
      </c>
      <c r="F76" s="204">
        <f>IF('_Datos'!$C76,IF(ISNUMBER('_Datos'!$AR76),'_Datos'!$AR76,"(Sin fecha)"),"")</f>
      </c>
      <c r="G76" s="204"/>
      <c r="H76" s="205"/>
      <c r="I76" s="204">
        <f>IF('_Datos'!$C76,IF(ISNUMBER('_Datos'!$AV76),'_Datos'!$AZ76,"(Sin fecha)"),"")</f>
      </c>
      <c r="J76" s="208">
        <f>IF('_Datos'!$C76,'_Datos'!$AX76,"")</f>
      </c>
      <c r="K76" s="205">
        <f>IF('_Datos'!$C76,IF('Proyecto Datos (OKR´s)'!$C76="","",'Proyecto Datos (OKR´s)'!$C76),"")</f>
      </c>
      <c r="L76" s="205"/>
      <c r="M76" s="191"/>
      <c r="N76" s="204">
        <f>IF('_Datos'!$C76,'_Datos'!$BA76,"")</f>
      </c>
    </row>
    <row r="77">
      <c r="B77" s="204">
        <f>IF('_Datos'!$C77,'_Datos'!$O77,"")</f>
      </c>
      <c r="C77" s="205">
        <f>IF('_Datos'!$C77,'_Datos'!$F77,IF('_Datos'!$B77,'Proyecto Datos (OKR´s)'!$G77,""))</f>
      </c>
      <c r="D77" s="204">
        <f>IF('_Datos'!$C77,'_Datos'!$AO77,"")</f>
      </c>
      <c r="E77" s="206">
        <f>IF('_Datos'!$C77,'_Datos'!$H77,"")</f>
      </c>
      <c r="F77" s="204">
        <f>IF('_Datos'!$C77,IF(ISNUMBER('_Datos'!$AR77),'_Datos'!$AR77,"(Sin fecha)"),"")</f>
      </c>
      <c r="G77" s="204"/>
      <c r="H77" s="205"/>
      <c r="I77" s="204">
        <f>IF('_Datos'!$C77,IF(ISNUMBER('_Datos'!$AV77),'_Datos'!$AZ77,"(Sin fecha)"),"")</f>
      </c>
      <c r="J77" s="208">
        <f>IF('_Datos'!$C77,'_Datos'!$AX77,"")</f>
      </c>
      <c r="K77" s="205">
        <f>IF('_Datos'!$C77,IF('Proyecto Datos (OKR´s)'!$C77="","",'Proyecto Datos (OKR´s)'!$C77),"")</f>
      </c>
      <c r="L77" s="205"/>
      <c r="M77" s="191"/>
      <c r="N77" s="204">
        <f>IF('_Datos'!$C77,'_Datos'!$BA77,"")</f>
      </c>
    </row>
    <row r="78">
      <c r="B78" s="204">
        <f>IF('_Datos'!$C78,'_Datos'!$O78,"")</f>
      </c>
      <c r="C78" s="205">
        <f>IF('_Datos'!$C78,'_Datos'!$F78,IF('_Datos'!$B78,'Proyecto Datos (OKR´s)'!$G78,""))</f>
      </c>
      <c r="D78" s="204">
        <f>IF('_Datos'!$C78,'_Datos'!$AO78,"")</f>
      </c>
      <c r="E78" s="206">
        <f>IF('_Datos'!$C78,'_Datos'!$H78,"")</f>
      </c>
      <c r="F78" s="204">
        <f>IF('_Datos'!$C78,IF(ISNUMBER('_Datos'!$AR78),'_Datos'!$AR78,"(Sin fecha)"),"")</f>
      </c>
      <c r="G78" s="204"/>
      <c r="H78" s="205"/>
      <c r="I78" s="204">
        <f>IF('_Datos'!$C78,IF(ISNUMBER('_Datos'!$AV78),'_Datos'!$AZ78,"(Sin fecha)"),"")</f>
      </c>
      <c r="J78" s="208">
        <f>IF('_Datos'!$C78,'_Datos'!$AX78,"")</f>
      </c>
      <c r="K78" s="205">
        <f>IF('_Datos'!$C78,IF('Proyecto Datos (OKR´s)'!$C78="","",'Proyecto Datos (OKR´s)'!$C78),"")</f>
      </c>
      <c r="L78" s="205"/>
      <c r="M78" s="191"/>
      <c r="N78" s="204">
        <f>IF('_Datos'!$C78,'_Datos'!$BA78,"")</f>
      </c>
    </row>
    <row r="79">
      <c r="B79" s="204">
        <f>IF('_Datos'!$C79,'_Datos'!$O79,"")</f>
      </c>
      <c r="C79" s="205">
        <f>IF('_Datos'!$C79,'_Datos'!$F79,IF('_Datos'!$B79,'Proyecto Datos (OKR´s)'!$G79,""))</f>
      </c>
      <c r="D79" s="204">
        <f>IF('_Datos'!$C79,'_Datos'!$AO79,"")</f>
      </c>
      <c r="E79" s="206">
        <f>IF('_Datos'!$C79,'_Datos'!$H79,"")</f>
      </c>
      <c r="F79" s="204">
        <f>IF('_Datos'!$C79,IF(ISNUMBER('_Datos'!$AR79),'_Datos'!$AR79,"(Sin fecha)"),"")</f>
      </c>
      <c r="G79" s="204"/>
      <c r="H79" s="205"/>
      <c r="I79" s="204">
        <f>IF('_Datos'!$C79,IF(ISNUMBER('_Datos'!$AV79),'_Datos'!$AZ79,"(Sin fecha)"),"")</f>
      </c>
      <c r="J79" s="208">
        <f>IF('_Datos'!$C79,'_Datos'!$AX79,"")</f>
      </c>
      <c r="K79" s="205">
        <f>IF('_Datos'!$C79,IF('Proyecto Datos (OKR´s)'!$C79="","",'Proyecto Datos (OKR´s)'!$C79),"")</f>
      </c>
      <c r="L79" s="205"/>
      <c r="M79" s="191"/>
      <c r="N79" s="204">
        <f>IF('_Datos'!$C79,'_Datos'!$BA79,"")</f>
      </c>
    </row>
    <row r="80">
      <c r="B80" s="204">
        <f>IF('_Datos'!$C80,'_Datos'!$O80,"")</f>
      </c>
      <c r="C80" s="205">
        <f>IF('_Datos'!$C80,'_Datos'!$F80,IF('_Datos'!$B80,'Proyecto Datos (OKR´s)'!$G80,""))</f>
      </c>
      <c r="D80" s="204">
        <f>IF('_Datos'!$C80,'_Datos'!$AO80,"")</f>
      </c>
      <c r="E80" s="206">
        <f>IF('_Datos'!$C80,'_Datos'!$H80,"")</f>
      </c>
      <c r="F80" s="204">
        <f>IF('_Datos'!$C80,IF(ISNUMBER('_Datos'!$AR80),'_Datos'!$AR80,"(Sin fecha)"),"")</f>
      </c>
      <c r="G80" s="204"/>
      <c r="H80" s="205"/>
      <c r="I80" s="204">
        <f>IF('_Datos'!$C80,IF(ISNUMBER('_Datos'!$AV80),'_Datos'!$AZ80,"(Sin fecha)"),"")</f>
      </c>
      <c r="J80" s="208">
        <f>IF('_Datos'!$C80,'_Datos'!$AX80,"")</f>
      </c>
      <c r="K80" s="205">
        <f>IF('_Datos'!$C80,IF('Proyecto Datos (OKR´s)'!$C80="","",'Proyecto Datos (OKR´s)'!$C80),"")</f>
      </c>
      <c r="L80" s="205"/>
      <c r="M80" s="191"/>
      <c r="N80" s="204">
        <f>IF('_Datos'!$C80,'_Datos'!$BA80,"")</f>
      </c>
    </row>
    <row r="81">
      <c r="B81" s="204">
        <f>IF('_Datos'!$C81,'_Datos'!$O81,"")</f>
      </c>
      <c r="C81" s="205">
        <f>IF('_Datos'!$C81,'_Datos'!$F81,IF('_Datos'!$B81,'Proyecto Datos (OKR´s)'!$G81,""))</f>
      </c>
      <c r="D81" s="204">
        <f>IF('_Datos'!$C81,'_Datos'!$AO81,"")</f>
      </c>
      <c r="E81" s="206">
        <f>IF('_Datos'!$C81,'_Datos'!$H81,"")</f>
      </c>
      <c r="F81" s="204">
        <f>IF('_Datos'!$C81,IF(ISNUMBER('_Datos'!$AR81),'_Datos'!$AR81,"(Sin fecha)"),"")</f>
      </c>
      <c r="G81" s="204"/>
      <c r="H81" s="205"/>
      <c r="I81" s="204">
        <f>IF('_Datos'!$C81,IF(ISNUMBER('_Datos'!$AV81),'_Datos'!$AZ81,"(Sin fecha)"),"")</f>
      </c>
      <c r="J81" s="208">
        <f>IF('_Datos'!$C81,'_Datos'!$AX81,"")</f>
      </c>
      <c r="K81" s="205">
        <f>IF('_Datos'!$C81,IF('Proyecto Datos (OKR´s)'!$C81="","",'Proyecto Datos (OKR´s)'!$C81),"")</f>
      </c>
      <c r="L81" s="205"/>
      <c r="M81" s="191"/>
      <c r="N81" s="204">
        <f>IF('_Datos'!$C81,'_Datos'!$BA81,"")</f>
      </c>
    </row>
    <row r="82">
      <c r="B82" s="204">
        <f>IF('_Datos'!$C82,'_Datos'!$O82,"")</f>
      </c>
      <c r="C82" s="205">
        <f>IF('_Datos'!$C82,'_Datos'!$F82,IF('_Datos'!$B82,'Proyecto Datos (OKR´s)'!$G82,""))</f>
      </c>
      <c r="D82" s="204">
        <f>IF('_Datos'!$C82,'_Datos'!$AO82,"")</f>
      </c>
      <c r="E82" s="206">
        <f>IF('_Datos'!$C82,'_Datos'!$H82,"")</f>
      </c>
      <c r="F82" s="204">
        <f>IF('_Datos'!$C82,IF(ISNUMBER('_Datos'!$AR82),'_Datos'!$AR82,"(Sin fecha)"),"")</f>
      </c>
      <c r="G82" s="204"/>
      <c r="H82" s="205"/>
      <c r="I82" s="204">
        <f>IF('_Datos'!$C82,IF(ISNUMBER('_Datos'!$AV82),'_Datos'!$AZ82,"(Sin fecha)"),"")</f>
      </c>
      <c r="J82" s="208">
        <f>IF('_Datos'!$C82,'_Datos'!$AX82,"")</f>
      </c>
      <c r="K82" s="205">
        <f>IF('_Datos'!$C82,IF('Proyecto Datos (OKR´s)'!$C82="","",'Proyecto Datos (OKR´s)'!$C82),"")</f>
      </c>
      <c r="L82" s="205"/>
      <c r="M82" s="191"/>
      <c r="N82" s="204">
        <f>IF('_Datos'!$C82,'_Datos'!$BA82,"")</f>
      </c>
    </row>
    <row r="83">
      <c r="B83" s="204">
        <f>IF('_Datos'!$C83,'_Datos'!$O83,"")</f>
      </c>
      <c r="C83" s="205">
        <f>IF('_Datos'!$C83,'_Datos'!$F83,IF('_Datos'!$B83,'Proyecto Datos (OKR´s)'!$G83,""))</f>
      </c>
      <c r="D83" s="204">
        <f>IF('_Datos'!$C83,'_Datos'!$AO83,"")</f>
      </c>
      <c r="E83" s="206">
        <f>IF('_Datos'!$C83,'_Datos'!$H83,"")</f>
      </c>
      <c r="F83" s="204">
        <f>IF('_Datos'!$C83,IF(ISNUMBER('_Datos'!$AR83),'_Datos'!$AR83,"(Sin fecha)"),"")</f>
      </c>
      <c r="G83" s="204"/>
      <c r="H83" s="205"/>
      <c r="I83" s="204">
        <f>IF('_Datos'!$C83,IF(ISNUMBER('_Datos'!$AV83),'_Datos'!$AZ83,"(Sin fecha)"),"")</f>
      </c>
      <c r="J83" s="208">
        <f>IF('_Datos'!$C83,'_Datos'!$AX83,"")</f>
      </c>
      <c r="K83" s="205">
        <f>IF('_Datos'!$C83,IF('Proyecto Datos (OKR´s)'!$C83="","",'Proyecto Datos (OKR´s)'!$C83),"")</f>
      </c>
      <c r="L83" s="205"/>
      <c r="M83" s="191"/>
      <c r="N83" s="204">
        <f>IF('_Datos'!$C83,'_Datos'!$BA83,"")</f>
      </c>
    </row>
    <row r="84">
      <c r="B84" s="204">
        <f>IF('_Datos'!$C84,'_Datos'!$O84,"")</f>
      </c>
      <c r="C84" s="205">
        <f>IF('_Datos'!$C84,'_Datos'!$F84,IF('_Datos'!$B84,'Proyecto Datos (OKR´s)'!$G84,""))</f>
      </c>
      <c r="D84" s="204">
        <f>IF('_Datos'!$C84,'_Datos'!$AO84,"")</f>
      </c>
      <c r="E84" s="206">
        <f>IF('_Datos'!$C84,'_Datos'!$H84,"")</f>
      </c>
      <c r="F84" s="204">
        <f>IF('_Datos'!$C84,IF(ISNUMBER('_Datos'!$AR84),'_Datos'!$AR84,"(Sin fecha)"),"")</f>
      </c>
      <c r="G84" s="204"/>
      <c r="H84" s="205"/>
      <c r="I84" s="204">
        <f>IF('_Datos'!$C84,IF(ISNUMBER('_Datos'!$AV84),'_Datos'!$AZ84,"(Sin fecha)"),"")</f>
      </c>
      <c r="J84" s="208">
        <f>IF('_Datos'!$C84,'_Datos'!$AX84,"")</f>
      </c>
      <c r="K84" s="205">
        <f>IF('_Datos'!$C84,IF('Proyecto Datos (OKR´s)'!$C84="","",'Proyecto Datos (OKR´s)'!$C84),"")</f>
      </c>
      <c r="L84" s="205"/>
      <c r="M84" s="191"/>
      <c r="N84" s="204">
        <f>IF('_Datos'!$C84,'_Datos'!$BA84,"")</f>
      </c>
    </row>
    <row r="85">
      <c r="B85" s="204">
        <f>IF('_Datos'!$C85,'_Datos'!$O85,"")</f>
      </c>
      <c r="C85" s="205">
        <f>IF('_Datos'!$C85,'_Datos'!$F85,IF('_Datos'!$B85,'Proyecto Datos (OKR´s)'!$G85,""))</f>
      </c>
      <c r="D85" s="204">
        <f>IF('_Datos'!$C85,'_Datos'!$AO85,"")</f>
      </c>
      <c r="E85" s="206">
        <f>IF('_Datos'!$C85,'_Datos'!$H85,"")</f>
      </c>
      <c r="F85" s="204">
        <f>IF('_Datos'!$C85,IF(ISNUMBER('_Datos'!$AR85),'_Datos'!$AR85,"(Sin fecha)"),"")</f>
      </c>
      <c r="G85" s="204"/>
      <c r="H85" s="205"/>
      <c r="I85" s="204">
        <f>IF('_Datos'!$C85,IF(ISNUMBER('_Datos'!$AV85),'_Datos'!$AZ85,"(Sin fecha)"),"")</f>
      </c>
      <c r="J85" s="208">
        <f>IF('_Datos'!$C85,'_Datos'!$AX85,"")</f>
      </c>
      <c r="K85" s="205">
        <f>IF('_Datos'!$C85,IF('Proyecto Datos (OKR´s)'!$C85="","",'Proyecto Datos (OKR´s)'!$C85),"")</f>
      </c>
      <c r="L85" s="205"/>
      <c r="M85" s="191"/>
      <c r="N85" s="204">
        <f>IF('_Datos'!$C85,'_Datos'!$BA85,"")</f>
      </c>
    </row>
    <row r="86">
      <c r="B86" s="204">
        <f>IF('_Datos'!$C86,'_Datos'!$O86,"")</f>
      </c>
      <c r="C86" s="205">
        <f>IF('_Datos'!$C86,'_Datos'!$F86,IF('_Datos'!$B86,'Proyecto Datos (OKR´s)'!$G86,""))</f>
      </c>
      <c r="D86" s="204">
        <f>IF('_Datos'!$C86,'_Datos'!$AO86,"")</f>
      </c>
      <c r="E86" s="206">
        <f>IF('_Datos'!$C86,'_Datos'!$H86,"")</f>
      </c>
      <c r="F86" s="204">
        <f>IF('_Datos'!$C86,IF(ISNUMBER('_Datos'!$AR86),'_Datos'!$AR86,"(Sin fecha)"),"")</f>
      </c>
      <c r="G86" s="204"/>
      <c r="H86" s="205"/>
      <c r="I86" s="204">
        <f>IF('_Datos'!$C86,IF(ISNUMBER('_Datos'!$AV86),'_Datos'!$AZ86,"(Sin fecha)"),"")</f>
      </c>
      <c r="J86" s="208">
        <f>IF('_Datos'!$C86,'_Datos'!$AX86,"")</f>
      </c>
      <c r="K86" s="205">
        <f>IF('_Datos'!$C86,IF('Proyecto Datos (OKR´s)'!$C86="","",'Proyecto Datos (OKR´s)'!$C86),"")</f>
      </c>
      <c r="L86" s="205"/>
      <c r="M86" s="191"/>
      <c r="N86" s="204">
        <f>IF('_Datos'!$C86,'_Datos'!$BA86,"")</f>
      </c>
    </row>
    <row r="87">
      <c r="B87" s="204">
        <f>IF('_Datos'!$C87,'_Datos'!$O87,"")</f>
      </c>
      <c r="C87" s="205">
        <f>IF('_Datos'!$C87,'_Datos'!$F87,IF('_Datos'!$B87,'Proyecto Datos (OKR´s)'!$G87,""))</f>
      </c>
      <c r="D87" s="204">
        <f>IF('_Datos'!$C87,'_Datos'!$AO87,"")</f>
      </c>
      <c r="E87" s="206">
        <f>IF('_Datos'!$C87,'_Datos'!$H87,"")</f>
      </c>
      <c r="F87" s="204">
        <f>IF('_Datos'!$C87,IF(ISNUMBER('_Datos'!$AR87),'_Datos'!$AR87,"(Sin fecha)"),"")</f>
      </c>
      <c r="G87" s="204"/>
      <c r="H87" s="205"/>
      <c r="I87" s="204">
        <f>IF('_Datos'!$C87,IF(ISNUMBER('_Datos'!$AV87),'_Datos'!$AZ87,"(Sin fecha)"),"")</f>
      </c>
      <c r="J87" s="208">
        <f>IF('_Datos'!$C87,'_Datos'!$AX87,"")</f>
      </c>
      <c r="K87" s="205">
        <f>IF('_Datos'!$C87,IF('Proyecto Datos (OKR´s)'!$C87="","",'Proyecto Datos (OKR´s)'!$C87),"")</f>
      </c>
      <c r="L87" s="205"/>
      <c r="M87" s="191"/>
      <c r="N87" s="204">
        <f>IF('_Datos'!$C87,'_Datos'!$BA87,"")</f>
      </c>
    </row>
    <row r="88">
      <c r="B88" s="204">
        <f>IF('_Datos'!$C88,'_Datos'!$O88,"")</f>
      </c>
      <c r="C88" s="205">
        <f>IF('_Datos'!$C88,'_Datos'!$F88,IF('_Datos'!$B88,'Proyecto Datos (OKR´s)'!$G88,""))</f>
      </c>
      <c r="D88" s="204">
        <f>IF('_Datos'!$C88,'_Datos'!$AO88,"")</f>
      </c>
      <c r="E88" s="206">
        <f>IF('_Datos'!$C88,'_Datos'!$H88,"")</f>
      </c>
      <c r="F88" s="204">
        <f>IF('_Datos'!$C88,IF(ISNUMBER('_Datos'!$AR88),'_Datos'!$AR88,"(Sin fecha)"),"")</f>
      </c>
      <c r="G88" s="204"/>
      <c r="H88" s="205"/>
      <c r="I88" s="204">
        <f>IF('_Datos'!$C88,IF(ISNUMBER('_Datos'!$AV88),'_Datos'!$AZ88,"(Sin fecha)"),"")</f>
      </c>
      <c r="J88" s="208">
        <f>IF('_Datos'!$C88,'_Datos'!$AX88,"")</f>
      </c>
      <c r="K88" s="205">
        <f>IF('_Datos'!$C88,IF('Proyecto Datos (OKR´s)'!$C88="","",'Proyecto Datos (OKR´s)'!$C88),"")</f>
      </c>
      <c r="L88" s="205"/>
      <c r="M88" s="191"/>
      <c r="N88" s="204">
        <f>IF('_Datos'!$C88,'_Datos'!$BA88,"")</f>
      </c>
    </row>
    <row r="89">
      <c r="B89" s="204">
        <f>IF('_Datos'!$C89,'_Datos'!$O89,"")</f>
      </c>
      <c r="C89" s="205">
        <f>IF('_Datos'!$C89,'_Datos'!$F89,IF('_Datos'!$B89,'Proyecto Datos (OKR´s)'!$G89,""))</f>
      </c>
      <c r="D89" s="204">
        <f>IF('_Datos'!$C89,'_Datos'!$AO89,"")</f>
      </c>
      <c r="E89" s="206">
        <f>IF('_Datos'!$C89,'_Datos'!$H89,"")</f>
      </c>
      <c r="F89" s="204">
        <f>IF('_Datos'!$C89,IF(ISNUMBER('_Datos'!$AR89),'_Datos'!$AR89,"(Sin fecha)"),"")</f>
      </c>
      <c r="G89" s="204"/>
      <c r="H89" s="205"/>
      <c r="I89" s="204">
        <f>IF('_Datos'!$C89,IF(ISNUMBER('_Datos'!$AV89),'_Datos'!$AZ89,"(Sin fecha)"),"")</f>
      </c>
      <c r="J89" s="208">
        <f>IF('_Datos'!$C89,'_Datos'!$AX89,"")</f>
      </c>
      <c r="K89" s="205">
        <f>IF('_Datos'!$C89,IF('Proyecto Datos (OKR´s)'!$C89="","",'Proyecto Datos (OKR´s)'!$C89),"")</f>
      </c>
      <c r="L89" s="205"/>
      <c r="M89" s="191"/>
      <c r="N89" s="204">
        <f>IF('_Datos'!$C89,'_Datos'!$BA89,"")</f>
      </c>
    </row>
    <row r="90">
      <c r="B90" s="204">
        <f>IF('_Datos'!$C90,'_Datos'!$O90,"")</f>
      </c>
      <c r="C90" s="205">
        <f>IF('_Datos'!$C90,'_Datos'!$F90,IF('_Datos'!$B90,'Proyecto Datos (OKR´s)'!$G90,""))</f>
      </c>
      <c r="D90" s="204">
        <f>IF('_Datos'!$C90,'_Datos'!$AO90,"")</f>
      </c>
      <c r="E90" s="206">
        <f>IF('_Datos'!$C90,'_Datos'!$H90,"")</f>
      </c>
      <c r="F90" s="204">
        <f>IF('_Datos'!$C90,IF(ISNUMBER('_Datos'!$AR90),'_Datos'!$AR90,"(Sin fecha)"),"")</f>
      </c>
      <c r="G90" s="204"/>
      <c r="H90" s="205"/>
      <c r="I90" s="204">
        <f>IF('_Datos'!$C90,IF(ISNUMBER('_Datos'!$AV90),'_Datos'!$AZ90,"(Sin fecha)"),"")</f>
      </c>
      <c r="J90" s="208">
        <f>IF('_Datos'!$C90,'_Datos'!$AX90,"")</f>
      </c>
      <c r="K90" s="205">
        <f>IF('_Datos'!$C90,IF('Proyecto Datos (OKR´s)'!$C90="","",'Proyecto Datos (OKR´s)'!$C90),"")</f>
      </c>
      <c r="L90" s="205"/>
      <c r="M90" s="191"/>
      <c r="N90" s="204">
        <f>IF('_Datos'!$C90,'_Datos'!$BA90,"")</f>
      </c>
    </row>
    <row r="91">
      <c r="B91" s="204">
        <f>IF('_Datos'!$C91,'_Datos'!$O91,"")</f>
      </c>
      <c r="C91" s="205">
        <f>IF('_Datos'!$C91,'_Datos'!$F91,IF('_Datos'!$B91,'Proyecto Datos (OKR´s)'!$G91,""))</f>
      </c>
      <c r="D91" s="204">
        <f>IF('_Datos'!$C91,'_Datos'!$AO91,"")</f>
      </c>
      <c r="E91" s="206">
        <f>IF('_Datos'!$C91,'_Datos'!$H91,"")</f>
      </c>
      <c r="F91" s="204">
        <f>IF('_Datos'!$C91,IF(ISNUMBER('_Datos'!$AR91),'_Datos'!$AR91,"(Sin fecha)"),"")</f>
      </c>
      <c r="G91" s="204"/>
      <c r="H91" s="205"/>
      <c r="I91" s="204">
        <f>IF('_Datos'!$C91,IF(ISNUMBER('_Datos'!$AV91),'_Datos'!$AZ91,"(Sin fecha)"),"")</f>
      </c>
      <c r="J91" s="208">
        <f>IF('_Datos'!$C91,'_Datos'!$AX91,"")</f>
      </c>
      <c r="K91" s="205">
        <f>IF('_Datos'!$C91,IF('Proyecto Datos (OKR´s)'!$C91="","",'Proyecto Datos (OKR´s)'!$C91),"")</f>
      </c>
      <c r="L91" s="205"/>
      <c r="M91" s="191"/>
      <c r="N91" s="204">
        <f>IF('_Datos'!$C91,'_Datos'!$BA91,"")</f>
      </c>
    </row>
    <row r="92">
      <c r="B92" s="204">
        <f>IF('_Datos'!$C92,'_Datos'!$O92,"")</f>
      </c>
      <c r="C92" s="205">
        <f>IF('_Datos'!$C92,'_Datos'!$F92,IF('_Datos'!$B92,'Proyecto Datos (OKR´s)'!$G92,""))</f>
      </c>
      <c r="D92" s="204">
        <f>IF('_Datos'!$C92,'_Datos'!$AO92,"")</f>
      </c>
      <c r="E92" s="206">
        <f>IF('_Datos'!$C92,'_Datos'!$H92,"")</f>
      </c>
      <c r="F92" s="204">
        <f>IF('_Datos'!$C92,IF(ISNUMBER('_Datos'!$AR92),'_Datos'!$AR92,"(Sin fecha)"),"")</f>
      </c>
      <c r="G92" s="204"/>
      <c r="H92" s="205"/>
      <c r="I92" s="204">
        <f>IF('_Datos'!$C92,IF(ISNUMBER('_Datos'!$AV92),'_Datos'!$AZ92,"(Sin fecha)"),"")</f>
      </c>
      <c r="J92" s="208">
        <f>IF('_Datos'!$C92,'_Datos'!$AX92,"")</f>
      </c>
      <c r="K92" s="205">
        <f>IF('_Datos'!$C92,IF('Proyecto Datos (OKR´s)'!$C92="","",'Proyecto Datos (OKR´s)'!$C92),"")</f>
      </c>
      <c r="L92" s="205"/>
      <c r="M92" s="191"/>
      <c r="N92" s="204">
        <f>IF('_Datos'!$C92,'_Datos'!$BA92,"")</f>
      </c>
    </row>
    <row r="93">
      <c r="B93" s="204">
        <f>IF('_Datos'!$C93,'_Datos'!$O93,"")</f>
      </c>
      <c r="C93" s="205">
        <f>IF('_Datos'!$C93,'_Datos'!$F93,IF('_Datos'!$B93,'Proyecto Datos (OKR´s)'!$G93,""))</f>
      </c>
      <c r="D93" s="204">
        <f>IF('_Datos'!$C93,'_Datos'!$AO93,"")</f>
      </c>
      <c r="E93" s="206">
        <f>IF('_Datos'!$C93,'_Datos'!$H93,"")</f>
      </c>
      <c r="F93" s="204">
        <f>IF('_Datos'!$C93,IF(ISNUMBER('_Datos'!$AR93),'_Datos'!$AR93,"(Sin fecha)"),"")</f>
      </c>
      <c r="G93" s="204"/>
      <c r="H93" s="205"/>
      <c r="I93" s="204">
        <f>IF('_Datos'!$C93,IF(ISNUMBER('_Datos'!$AV93),'_Datos'!$AZ93,"(Sin fecha)"),"")</f>
      </c>
      <c r="J93" s="208">
        <f>IF('_Datos'!$C93,'_Datos'!$AX93,"")</f>
      </c>
      <c r="K93" s="205">
        <f>IF('_Datos'!$C93,IF('Proyecto Datos (OKR´s)'!$C93="","",'Proyecto Datos (OKR´s)'!$C93),"")</f>
      </c>
      <c r="L93" s="205"/>
      <c r="M93" s="191"/>
      <c r="N93" s="204">
        <f>IF('_Datos'!$C93,'_Datos'!$BA93,"")</f>
      </c>
    </row>
    <row r="94">
      <c r="B94" s="204">
        <f>IF('_Datos'!$C94,'_Datos'!$O94,"")</f>
      </c>
      <c r="C94" s="205">
        <f>IF('_Datos'!$C94,'_Datos'!$F94,IF('_Datos'!$B94,'Proyecto Datos (OKR´s)'!$G94,""))</f>
      </c>
      <c r="D94" s="204">
        <f>IF('_Datos'!$C94,'_Datos'!$AO94,"")</f>
      </c>
      <c r="E94" s="206">
        <f>IF('_Datos'!$C94,'_Datos'!$H94,"")</f>
      </c>
      <c r="F94" s="204">
        <f>IF('_Datos'!$C94,IF(ISNUMBER('_Datos'!$AR94),'_Datos'!$AR94,"(Sin fecha)"),"")</f>
      </c>
      <c r="G94" s="204"/>
      <c r="H94" s="205"/>
      <c r="I94" s="204">
        <f>IF('_Datos'!$C94,IF(ISNUMBER('_Datos'!$AV94),'_Datos'!$AZ94,"(Sin fecha)"),"")</f>
      </c>
      <c r="J94" s="208">
        <f>IF('_Datos'!$C94,'_Datos'!$AX94,"")</f>
      </c>
      <c r="K94" s="205">
        <f>IF('_Datos'!$C94,IF('Proyecto Datos (OKR´s)'!$C94="","",'Proyecto Datos (OKR´s)'!$C94),"")</f>
      </c>
      <c r="L94" s="205"/>
      <c r="M94" s="191"/>
      <c r="N94" s="204">
        <f>IF('_Datos'!$C94,'_Datos'!$BA94,"")</f>
      </c>
    </row>
    <row r="95">
      <c r="B95" s="204">
        <f>IF('_Datos'!$C95,'_Datos'!$O95,"")</f>
      </c>
      <c r="C95" s="205">
        <f>IF('_Datos'!$C95,'_Datos'!$F95,IF('_Datos'!$B95,'Proyecto Datos (OKR´s)'!$G95,""))</f>
      </c>
      <c r="D95" s="204">
        <f>IF('_Datos'!$C95,'_Datos'!$AO95,"")</f>
      </c>
      <c r="E95" s="206">
        <f>IF('_Datos'!$C95,'_Datos'!$H95,"")</f>
      </c>
      <c r="F95" s="204">
        <f>IF('_Datos'!$C95,IF(ISNUMBER('_Datos'!$AR95),'_Datos'!$AR95,"(Sin fecha)"),"")</f>
      </c>
      <c r="G95" s="204"/>
      <c r="H95" s="205"/>
      <c r="I95" s="204">
        <f>IF('_Datos'!$C95,IF(ISNUMBER('_Datos'!$AV95),'_Datos'!$AZ95,"(Sin fecha)"),"")</f>
      </c>
      <c r="J95" s="208">
        <f>IF('_Datos'!$C95,'_Datos'!$AX95,"")</f>
      </c>
      <c r="K95" s="205">
        <f>IF('_Datos'!$C95,IF('Proyecto Datos (OKR´s)'!$C95="","",'Proyecto Datos (OKR´s)'!$C95),"")</f>
      </c>
      <c r="L95" s="205"/>
      <c r="M95" s="191"/>
      <c r="N95" s="204">
        <f>IF('_Datos'!$C95,'_Datos'!$BA95,"")</f>
      </c>
    </row>
    <row r="96">
      <c r="B96" s="204">
        <f>IF('_Datos'!$C96,'_Datos'!$O96,"")</f>
      </c>
      <c r="C96" s="205">
        <f>IF('_Datos'!$C96,'_Datos'!$F96,IF('_Datos'!$B96,'Proyecto Datos (OKR´s)'!$G96,""))</f>
      </c>
      <c r="D96" s="204">
        <f>IF('_Datos'!$C96,'_Datos'!$AO96,"")</f>
      </c>
      <c r="E96" s="206">
        <f>IF('_Datos'!$C96,'_Datos'!$H96,"")</f>
      </c>
      <c r="F96" s="204">
        <f>IF('_Datos'!$C96,IF(ISNUMBER('_Datos'!$AR96),'_Datos'!$AR96,"(Sin fecha)"),"")</f>
      </c>
      <c r="G96" s="204"/>
      <c r="H96" s="205"/>
      <c r="I96" s="204">
        <f>IF('_Datos'!$C96,IF(ISNUMBER('_Datos'!$AV96),'_Datos'!$AZ96,"(Sin fecha)"),"")</f>
      </c>
      <c r="J96" s="208">
        <f>IF('_Datos'!$C96,'_Datos'!$AX96,"")</f>
      </c>
      <c r="K96" s="205">
        <f>IF('_Datos'!$C96,IF('Proyecto Datos (OKR´s)'!$C96="","",'Proyecto Datos (OKR´s)'!$C96),"")</f>
      </c>
      <c r="L96" s="205"/>
      <c r="M96" s="191"/>
      <c r="N96" s="204">
        <f>IF('_Datos'!$C96,'_Datos'!$BA96,"")</f>
      </c>
    </row>
    <row r="97">
      <c r="B97" s="204">
        <f>IF('_Datos'!$C97,'_Datos'!$O97,"")</f>
      </c>
      <c r="C97" s="205">
        <f>IF('_Datos'!$C97,'_Datos'!$F97,IF('_Datos'!$B97,'Proyecto Datos (OKR´s)'!$G97,""))</f>
      </c>
      <c r="D97" s="204">
        <f>IF('_Datos'!$C97,'_Datos'!$AO97,"")</f>
      </c>
      <c r="E97" s="206">
        <f>IF('_Datos'!$C97,'_Datos'!$H97,"")</f>
      </c>
      <c r="F97" s="204">
        <f>IF('_Datos'!$C97,IF(ISNUMBER('_Datos'!$AR97),'_Datos'!$AR97,"(Sin fecha)"),"")</f>
      </c>
      <c r="G97" s="204"/>
      <c r="H97" s="205"/>
      <c r="I97" s="204">
        <f>IF('_Datos'!$C97,IF(ISNUMBER('_Datos'!$AV97),'_Datos'!$AZ97,"(Sin fecha)"),"")</f>
      </c>
      <c r="J97" s="208">
        <f>IF('_Datos'!$C97,'_Datos'!$AX97,"")</f>
      </c>
      <c r="K97" s="205">
        <f>IF('_Datos'!$C97,IF('Proyecto Datos (OKR´s)'!$C97="","",'Proyecto Datos (OKR´s)'!$C97),"")</f>
      </c>
      <c r="L97" s="205"/>
      <c r="M97" s="191"/>
      <c r="N97" s="204">
        <f>IF('_Datos'!$C97,'_Datos'!$BA97,"")</f>
      </c>
    </row>
    <row r="98">
      <c r="B98" s="204">
        <f>IF('_Datos'!$C98,'_Datos'!$O98,"")</f>
      </c>
      <c r="C98" s="205">
        <f>IF('_Datos'!$C98,'_Datos'!$F98,IF('_Datos'!$B98,'Proyecto Datos (OKR´s)'!$G98,""))</f>
      </c>
      <c r="D98" s="204">
        <f>IF('_Datos'!$C98,'_Datos'!$AO98,"")</f>
      </c>
      <c r="E98" s="206">
        <f>IF('_Datos'!$C98,'_Datos'!$H98,"")</f>
      </c>
      <c r="F98" s="204">
        <f>IF('_Datos'!$C98,IF(ISNUMBER('_Datos'!$AR98),'_Datos'!$AR98,"(Sin fecha)"),"")</f>
      </c>
      <c r="G98" s="204"/>
      <c r="H98" s="205"/>
      <c r="I98" s="204">
        <f>IF('_Datos'!$C98,IF(ISNUMBER('_Datos'!$AV98),'_Datos'!$AZ98,"(Sin fecha)"),"")</f>
      </c>
      <c r="J98" s="208">
        <f>IF('_Datos'!$C98,'_Datos'!$AX98,"")</f>
      </c>
      <c r="K98" s="205">
        <f>IF('_Datos'!$C98,IF('Proyecto Datos (OKR´s)'!$C98="","",'Proyecto Datos (OKR´s)'!$C98),"")</f>
      </c>
      <c r="L98" s="205"/>
      <c r="M98" s="191"/>
      <c r="N98" s="204">
        <f>IF('_Datos'!$C98,'_Datos'!$BA98,"")</f>
      </c>
    </row>
    <row r="99">
      <c r="B99" s="204">
        <f>IF('_Datos'!$C99,'_Datos'!$O99,"")</f>
      </c>
      <c r="C99" s="205">
        <f>IF('_Datos'!$C99,'_Datos'!$F99,IF('_Datos'!$B99,'Proyecto Datos (OKR´s)'!$G99,""))</f>
      </c>
      <c r="D99" s="204">
        <f>IF('_Datos'!$C99,'_Datos'!$AO99,"")</f>
      </c>
      <c r="E99" s="206">
        <f>IF('_Datos'!$C99,'_Datos'!$H99,"")</f>
      </c>
      <c r="F99" s="204">
        <f>IF('_Datos'!$C99,IF(ISNUMBER('_Datos'!$AR99),'_Datos'!$AR99,"(Sin fecha)"),"")</f>
      </c>
      <c r="G99" s="204"/>
      <c r="H99" s="205"/>
      <c r="I99" s="204">
        <f>IF('_Datos'!$C99,IF(ISNUMBER('_Datos'!$AV99),'_Datos'!$AZ99,"(Sin fecha)"),"")</f>
      </c>
      <c r="J99" s="208">
        <f>IF('_Datos'!$C99,'_Datos'!$AX99,"")</f>
      </c>
      <c r="K99" s="205">
        <f>IF('_Datos'!$C99,IF('Proyecto Datos (OKR´s)'!$C99="","",'Proyecto Datos (OKR´s)'!$C99),"")</f>
      </c>
      <c r="L99" s="205"/>
      <c r="M99" s="191"/>
      <c r="N99" s="204">
        <f>IF('_Datos'!$C99,'_Datos'!$BA99,"")</f>
      </c>
    </row>
    <row r="100">
      <c r="B100" s="204">
        <f>IF('_Datos'!$C100,'_Datos'!$O100,"")</f>
      </c>
      <c r="C100" s="205">
        <f>IF('_Datos'!$C100,'_Datos'!$F100,IF('_Datos'!$B100,'Proyecto Datos (OKR´s)'!$G100,""))</f>
      </c>
      <c r="D100" s="204">
        <f>IF('_Datos'!$C100,'_Datos'!$AO100,"")</f>
      </c>
      <c r="E100" s="206">
        <f>IF('_Datos'!$C100,'_Datos'!$H100,"")</f>
      </c>
      <c r="F100" s="204">
        <f>IF('_Datos'!$C100,IF(ISNUMBER('_Datos'!$AR100),'_Datos'!$AR100,"(Sin fecha)"),"")</f>
      </c>
      <c r="G100" s="204"/>
      <c r="H100" s="205"/>
      <c r="I100" s="204">
        <f>IF('_Datos'!$C100,IF(ISNUMBER('_Datos'!$AV100),'_Datos'!$AZ100,"(Sin fecha)"),"")</f>
      </c>
      <c r="J100" s="208">
        <f>IF('_Datos'!$C100,'_Datos'!$AX100,"")</f>
      </c>
      <c r="K100" s="205">
        <f>IF('_Datos'!$C100,IF('Proyecto Datos (OKR´s)'!$C100="","",'Proyecto Datos (OKR´s)'!$C100),"")</f>
      </c>
      <c r="L100" s="205"/>
      <c r="M100" s="191"/>
      <c r="N100" s="204">
        <f>IF('_Datos'!$C100,'_Datos'!$BA100,"")</f>
      </c>
    </row>
    <row r="101">
      <c r="B101" s="204">
        <f>IF('_Datos'!$C101,'_Datos'!$O101,"")</f>
      </c>
      <c r="C101" s="205">
        <f>IF('_Datos'!$C101,'_Datos'!$F101,IF('_Datos'!$B101,'Proyecto Datos (OKR´s)'!$G101,""))</f>
      </c>
      <c r="D101" s="204">
        <f>IF('_Datos'!$C101,'_Datos'!$AO101,"")</f>
      </c>
      <c r="E101" s="206">
        <f>IF('_Datos'!$C101,'_Datos'!$H101,"")</f>
      </c>
      <c r="F101" s="204">
        <f>IF('_Datos'!$C101,IF(ISNUMBER('_Datos'!$AR101),'_Datos'!$AR101,"(Sin fecha)"),"")</f>
      </c>
      <c r="G101" s="204"/>
      <c r="H101" s="205"/>
      <c r="I101" s="204">
        <f>IF('_Datos'!$C101,IF(ISNUMBER('_Datos'!$AV101),'_Datos'!$AZ101,"(Sin fecha)"),"")</f>
      </c>
      <c r="J101" s="208">
        <f>IF('_Datos'!$C101,'_Datos'!$AX101,"")</f>
      </c>
      <c r="K101" s="205">
        <f>IF('_Datos'!$C101,IF('Proyecto Datos (OKR´s)'!$C101="","",'Proyecto Datos (OKR´s)'!$C101),"")</f>
      </c>
      <c r="L101" s="205"/>
      <c r="M101" s="191"/>
      <c r="N101" s="204">
        <f>IF('_Datos'!$C101,'_Datos'!$BA101,"")</f>
      </c>
    </row>
    <row r="102">
      <c r="B102" s="204">
        <f>IF('_Datos'!$C102,'_Datos'!$O102,"")</f>
      </c>
      <c r="C102" s="205">
        <f>IF('_Datos'!$C102,'_Datos'!$F102,IF('_Datos'!$B102,'Proyecto Datos (OKR´s)'!$G102,""))</f>
      </c>
      <c r="D102" s="204">
        <f>IF('_Datos'!$C102,'_Datos'!$AO102,"")</f>
      </c>
      <c r="E102" s="206">
        <f>IF('_Datos'!$C102,'_Datos'!$H102,"")</f>
      </c>
      <c r="F102" s="204">
        <f>IF('_Datos'!$C102,IF(ISNUMBER('_Datos'!$AR102),'_Datos'!$AR102,"(Sin fecha)"),"")</f>
      </c>
      <c r="G102" s="204"/>
      <c r="H102" s="205"/>
      <c r="I102" s="204">
        <f>IF('_Datos'!$C102,IF(ISNUMBER('_Datos'!$AV102),'_Datos'!$AZ102,"(Sin fecha)"),"")</f>
      </c>
      <c r="J102" s="208">
        <f>IF('_Datos'!$C102,'_Datos'!$AX102,"")</f>
      </c>
      <c r="K102" s="205">
        <f>IF('_Datos'!$C102,IF('Proyecto Datos (OKR´s)'!$C102="","",'Proyecto Datos (OKR´s)'!$C102),"")</f>
      </c>
      <c r="L102" s="205"/>
      <c r="M102" s="191"/>
      <c r="N102" s="204">
        <f>IF('_Datos'!$C102,'_Datos'!$BA102,"")</f>
      </c>
    </row>
    <row r="103">
      <c r="B103" s="204">
        <f>IF('_Datos'!$C103,'_Datos'!$O103,"")</f>
      </c>
      <c r="C103" s="205">
        <f>IF('_Datos'!$C103,'_Datos'!$F103,IF('_Datos'!$B103,'Proyecto Datos (OKR´s)'!$G103,""))</f>
      </c>
      <c r="D103" s="204">
        <f>IF('_Datos'!$C103,'_Datos'!$AO103,"")</f>
      </c>
      <c r="E103" s="206">
        <f>IF('_Datos'!$C103,'_Datos'!$H103,"")</f>
      </c>
      <c r="F103" s="204">
        <f>IF('_Datos'!$C103,IF(ISNUMBER('_Datos'!$AR103),'_Datos'!$AR103,"(Sin fecha)"),"")</f>
      </c>
      <c r="G103" s="204"/>
      <c r="H103" s="205"/>
      <c r="I103" s="204">
        <f>IF('_Datos'!$C103,IF(ISNUMBER('_Datos'!$AV103),'_Datos'!$AZ103,"(Sin fecha)"),"")</f>
      </c>
      <c r="J103" s="208">
        <f>IF('_Datos'!$C103,'_Datos'!$AX103,"")</f>
      </c>
      <c r="K103" s="205">
        <f>IF('_Datos'!$C103,IF('Proyecto Datos (OKR´s)'!$C103="","",'Proyecto Datos (OKR´s)'!$C103),"")</f>
      </c>
      <c r="L103" s="205"/>
      <c r="M103" s="191"/>
      <c r="N103" s="204">
        <f>IF('_Datos'!$C103,'_Datos'!$BA103,"")</f>
      </c>
    </row>
    <row r="104">
      <c r="B104" s="204">
        <f>IF('_Datos'!$C104,'_Datos'!$O104,"")</f>
      </c>
      <c r="C104" s="205">
        <f>IF('_Datos'!$C104,'_Datos'!$F104,IF('_Datos'!$B104,'Proyecto Datos (OKR´s)'!$G104,""))</f>
      </c>
      <c r="D104" s="204">
        <f>IF('_Datos'!$C104,'_Datos'!$AO104,"")</f>
      </c>
      <c r="E104" s="206">
        <f>IF('_Datos'!$C104,'_Datos'!$H104,"")</f>
      </c>
      <c r="F104" s="204">
        <f>IF('_Datos'!$C104,IF(ISNUMBER('_Datos'!$AR104),'_Datos'!$AR104,"(Sin fecha)"),"")</f>
      </c>
      <c r="G104" s="204"/>
      <c r="H104" s="205"/>
      <c r="I104" s="204">
        <f>IF('_Datos'!$C104,IF(ISNUMBER('_Datos'!$AV104),'_Datos'!$AZ104,"(Sin fecha)"),"")</f>
      </c>
      <c r="J104" s="208">
        <f>IF('_Datos'!$C104,'_Datos'!$AX104,"")</f>
      </c>
      <c r="K104" s="205">
        <f>IF('_Datos'!$C104,IF('Proyecto Datos (OKR´s)'!$C104="","",'Proyecto Datos (OKR´s)'!$C104),"")</f>
      </c>
      <c r="L104" s="205"/>
      <c r="M104" s="191"/>
      <c r="N104" s="204">
        <f>IF('_Datos'!$C104,'_Datos'!$BA104,"")</f>
      </c>
    </row>
    <row r="105">
      <c r="B105" s="204">
        <f>IF('_Datos'!$C105,'_Datos'!$O105,"")</f>
      </c>
      <c r="C105" s="205">
        <f>IF('_Datos'!$C105,'_Datos'!$F105,IF('_Datos'!$B105,'Proyecto Datos (OKR´s)'!$G105,""))</f>
      </c>
      <c r="D105" s="204">
        <f>IF('_Datos'!$C105,'_Datos'!$AO105,"")</f>
      </c>
      <c r="E105" s="206">
        <f>IF('_Datos'!$C105,'_Datos'!$H105,"")</f>
      </c>
      <c r="F105" s="204">
        <f>IF('_Datos'!$C105,IF(ISNUMBER('_Datos'!$AR105),'_Datos'!$AR105,"(Sin fecha)"),"")</f>
      </c>
      <c r="G105" s="204"/>
      <c r="H105" s="205"/>
      <c r="I105" s="204">
        <f>IF('_Datos'!$C105,IF(ISNUMBER('_Datos'!$AV105),'_Datos'!$AZ105,"(Sin fecha)"),"")</f>
      </c>
      <c r="J105" s="208">
        <f>IF('_Datos'!$C105,'_Datos'!$AX105,"")</f>
      </c>
      <c r="K105" s="205">
        <f>IF('_Datos'!$C105,IF('Proyecto Datos (OKR´s)'!$C105="","",'Proyecto Datos (OKR´s)'!$C105),"")</f>
      </c>
      <c r="L105" s="205"/>
      <c r="M105" s="191"/>
      <c r="N105" s="204">
        <f>IF('_Datos'!$C105,'_Datos'!$BA105,"")</f>
      </c>
    </row>
    <row r="106">
      <c r="B106" s="204">
        <f>IF('_Datos'!$C106,'_Datos'!$O106,"")</f>
      </c>
      <c r="C106" s="205">
        <f>IF('_Datos'!$C106,'_Datos'!$F106,IF('_Datos'!$B106,'Proyecto Datos (OKR´s)'!$G106,""))</f>
      </c>
      <c r="D106" s="204">
        <f>IF('_Datos'!$C106,'_Datos'!$AO106,"")</f>
      </c>
      <c r="E106" s="206">
        <f>IF('_Datos'!$C106,'_Datos'!$H106,"")</f>
      </c>
      <c r="F106" s="204">
        <f>IF('_Datos'!$C106,IF(ISNUMBER('_Datos'!$AR106),'_Datos'!$AR106,"(Sin fecha)"),"")</f>
      </c>
      <c r="G106" s="204"/>
      <c r="H106" s="205"/>
      <c r="I106" s="204">
        <f>IF('_Datos'!$C106,IF(ISNUMBER('_Datos'!$AV106),'_Datos'!$AZ106,"(Sin fecha)"),"")</f>
      </c>
      <c r="J106" s="208">
        <f>IF('_Datos'!$C106,'_Datos'!$AX106,"")</f>
      </c>
      <c r="K106" s="205">
        <f>IF('_Datos'!$C106,IF('Proyecto Datos (OKR´s)'!$C106="","",'Proyecto Datos (OKR´s)'!$C106),"")</f>
      </c>
      <c r="L106" s="205"/>
      <c r="M106" s="191"/>
      <c r="N106" s="204">
        <f>IF('_Datos'!$C106,'_Datos'!$BA106,"")</f>
      </c>
    </row>
    <row r="107">
      <c r="B107" s="204">
        <f>IF('_Datos'!$C107,'_Datos'!$O107,"")</f>
      </c>
      <c r="C107" s="205">
        <f>IF('_Datos'!$C107,'_Datos'!$F107,IF('_Datos'!$B107,'Proyecto Datos (OKR´s)'!$G107,""))</f>
      </c>
      <c r="D107" s="204">
        <f>IF('_Datos'!$C107,'_Datos'!$AO107,"")</f>
      </c>
      <c r="E107" s="206">
        <f>IF('_Datos'!$C107,'_Datos'!$H107,"")</f>
      </c>
      <c r="F107" s="204">
        <f>IF('_Datos'!$C107,IF(ISNUMBER('_Datos'!$AR107),'_Datos'!$AR107,"(Sin fecha)"),"")</f>
      </c>
      <c r="G107" s="204"/>
      <c r="H107" s="205"/>
      <c r="I107" s="204">
        <f>IF('_Datos'!$C107,IF(ISNUMBER('_Datos'!$AV107),'_Datos'!$AZ107,"(Sin fecha)"),"")</f>
      </c>
      <c r="J107" s="208">
        <f>IF('_Datos'!$C107,'_Datos'!$AX107,"")</f>
      </c>
      <c r="K107" s="205">
        <f>IF('_Datos'!$C107,IF('Proyecto Datos (OKR´s)'!$C107="","",'Proyecto Datos (OKR´s)'!$C107),"")</f>
      </c>
      <c r="L107" s="205"/>
      <c r="M107" s="191"/>
      <c r="N107" s="204">
        <f>IF('_Datos'!$C107,'_Datos'!$BA107,"")</f>
      </c>
    </row>
    <row r="108">
      <c r="B108" s="204">
        <f>IF('_Datos'!$C108,'_Datos'!$O108,"")</f>
      </c>
      <c r="C108" s="205">
        <f>IF('_Datos'!$C108,'_Datos'!$F108,IF('_Datos'!$B108,'Proyecto Datos (OKR´s)'!$G108,""))</f>
      </c>
      <c r="D108" s="204">
        <f>IF('_Datos'!$C108,'_Datos'!$AO108,"")</f>
      </c>
      <c r="E108" s="206">
        <f>IF('_Datos'!$C108,'_Datos'!$H108,"")</f>
      </c>
      <c r="F108" s="204">
        <f>IF('_Datos'!$C108,IF(ISNUMBER('_Datos'!$AR108),'_Datos'!$AR108,"(Sin fecha)"),"")</f>
      </c>
      <c r="G108" s="204"/>
      <c r="H108" s="205"/>
      <c r="I108" s="204">
        <f>IF('_Datos'!$C108,IF(ISNUMBER('_Datos'!$AV108),'_Datos'!$AZ108,"(Sin fecha)"),"")</f>
      </c>
      <c r="J108" s="208">
        <f>IF('_Datos'!$C108,'_Datos'!$AX108,"")</f>
      </c>
      <c r="K108" s="205">
        <f>IF('_Datos'!$C108,IF('Proyecto Datos (OKR´s)'!$C108="","",'Proyecto Datos (OKR´s)'!$C108),"")</f>
      </c>
      <c r="L108" s="205"/>
      <c r="M108" s="191"/>
      <c r="N108" s="204">
        <f>IF('_Datos'!$C108,'_Datos'!$BA108,"")</f>
      </c>
    </row>
    <row r="109">
      <c r="B109" s="204">
        <f>IF('_Datos'!$C109,'_Datos'!$O109,"")</f>
      </c>
      <c r="C109" s="205">
        <f>IF('_Datos'!$C109,'_Datos'!$F109,IF('_Datos'!$B109,'Proyecto Datos (OKR´s)'!$G109,""))</f>
      </c>
      <c r="D109" s="204">
        <f>IF('_Datos'!$C109,'_Datos'!$AO109,"")</f>
      </c>
      <c r="E109" s="206">
        <f>IF('_Datos'!$C109,'_Datos'!$H109,"")</f>
      </c>
      <c r="F109" s="204">
        <f>IF('_Datos'!$C109,IF(ISNUMBER('_Datos'!$AR109),'_Datos'!$AR109,"(Sin fecha)"),"")</f>
      </c>
      <c r="G109" s="204"/>
      <c r="H109" s="205"/>
      <c r="I109" s="204">
        <f>IF('_Datos'!$C109,IF(ISNUMBER('_Datos'!$AV109),'_Datos'!$AZ109,"(Sin fecha)"),"")</f>
      </c>
      <c r="J109" s="208">
        <f>IF('_Datos'!$C109,'_Datos'!$AX109,"")</f>
      </c>
      <c r="K109" s="205">
        <f>IF('_Datos'!$C109,IF('Proyecto Datos (OKR´s)'!$C109="","",'Proyecto Datos (OKR´s)'!$C109),"")</f>
      </c>
      <c r="L109" s="205"/>
      <c r="M109" s="191"/>
      <c r="N109" s="204">
        <f>IF('_Datos'!$C109,'_Datos'!$BA109,"")</f>
      </c>
    </row>
    <row r="110">
      <c r="B110" s="204">
        <f>IF('_Datos'!$C110,'_Datos'!$O110,"")</f>
      </c>
      <c r="C110" s="205">
        <f>IF('_Datos'!$C110,'_Datos'!$F110,IF('_Datos'!$B110,'Proyecto Datos (OKR´s)'!$G110,""))</f>
      </c>
      <c r="D110" s="204">
        <f>IF('_Datos'!$C110,'_Datos'!$AO110,"")</f>
      </c>
      <c r="E110" s="206">
        <f>IF('_Datos'!$C110,'_Datos'!$H110,"")</f>
      </c>
      <c r="F110" s="204">
        <f>IF('_Datos'!$C110,IF(ISNUMBER('_Datos'!$AR110),'_Datos'!$AR110,"(Sin fecha)"),"")</f>
      </c>
      <c r="G110" s="204"/>
      <c r="H110" s="205"/>
      <c r="I110" s="204">
        <f>IF('_Datos'!$C110,IF(ISNUMBER('_Datos'!$AV110),'_Datos'!$AZ110,"(Sin fecha)"),"")</f>
      </c>
      <c r="J110" s="208">
        <f>IF('_Datos'!$C110,'_Datos'!$AX110,"")</f>
      </c>
      <c r="K110" s="205">
        <f>IF('_Datos'!$C110,IF('Proyecto Datos (OKR´s)'!$C110="","",'Proyecto Datos (OKR´s)'!$C110),"")</f>
      </c>
      <c r="L110" s="205"/>
      <c r="M110" s="191"/>
      <c r="N110" s="204">
        <f>IF('_Datos'!$C110,'_Datos'!$BA110,"")</f>
      </c>
    </row>
    <row r="111">
      <c r="B111" s="204">
        <f>IF('_Datos'!$C111,'_Datos'!$O111,"")</f>
      </c>
      <c r="C111" s="205">
        <f>IF('_Datos'!$C111,'_Datos'!$F111,IF('_Datos'!$B111,'Proyecto Datos (OKR´s)'!$G111,""))</f>
      </c>
      <c r="D111" s="204">
        <f>IF('_Datos'!$C111,'_Datos'!$AO111,"")</f>
      </c>
      <c r="E111" s="206">
        <f>IF('_Datos'!$C111,'_Datos'!$H111,"")</f>
      </c>
      <c r="F111" s="204">
        <f>IF('_Datos'!$C111,IF(ISNUMBER('_Datos'!$AR111),'_Datos'!$AR111,"(Sin fecha)"),"")</f>
      </c>
      <c r="G111" s="204"/>
      <c r="H111" s="205"/>
      <c r="I111" s="204">
        <f>IF('_Datos'!$C111,IF(ISNUMBER('_Datos'!$AV111),'_Datos'!$AZ111,"(Sin fecha)"),"")</f>
      </c>
      <c r="J111" s="208">
        <f>IF('_Datos'!$C111,'_Datos'!$AX111,"")</f>
      </c>
      <c r="K111" s="205">
        <f>IF('_Datos'!$C111,IF('Proyecto Datos (OKR´s)'!$C111="","",'Proyecto Datos (OKR´s)'!$C111),"")</f>
      </c>
      <c r="L111" s="205"/>
      <c r="M111" s="191"/>
      <c r="N111" s="204">
        <f>IF('_Datos'!$C111,'_Datos'!$BA111,"")</f>
      </c>
    </row>
    <row r="112">
      <c r="B112" s="204">
        <f>IF('_Datos'!$C112,'_Datos'!$O112,"")</f>
      </c>
      <c r="C112" s="205">
        <f>IF('_Datos'!$C112,'_Datos'!$F112,IF('_Datos'!$B112,'Proyecto Datos (OKR´s)'!$G112,""))</f>
      </c>
      <c r="D112" s="204">
        <f>IF('_Datos'!$C112,'_Datos'!$AO112,"")</f>
      </c>
      <c r="E112" s="206">
        <f>IF('_Datos'!$C112,'_Datos'!$H112,"")</f>
      </c>
      <c r="F112" s="204">
        <f>IF('_Datos'!$C112,IF(ISNUMBER('_Datos'!$AR112),'_Datos'!$AR112,"(Sin fecha)"),"")</f>
      </c>
      <c r="G112" s="204"/>
      <c r="H112" s="205"/>
      <c r="I112" s="204">
        <f>IF('_Datos'!$C112,IF(ISNUMBER('_Datos'!$AV112),'_Datos'!$AZ112,"(Sin fecha)"),"")</f>
      </c>
      <c r="J112" s="208">
        <f>IF('_Datos'!$C112,'_Datos'!$AX112,"")</f>
      </c>
      <c r="K112" s="205">
        <f>IF('_Datos'!$C112,IF('Proyecto Datos (OKR´s)'!$C112="","",'Proyecto Datos (OKR´s)'!$C112),"")</f>
      </c>
      <c r="L112" s="205"/>
      <c r="M112" s="191"/>
      <c r="N112" s="204">
        <f>IF('_Datos'!$C112,'_Datos'!$BA112,"")</f>
      </c>
    </row>
    <row r="113">
      <c r="B113" s="204">
        <f>IF('_Datos'!$C113,'_Datos'!$O113,"")</f>
      </c>
      <c r="C113" s="205">
        <f>IF('_Datos'!$C113,'_Datos'!$F113,IF('_Datos'!$B113,'Proyecto Datos (OKR´s)'!$G113,""))</f>
      </c>
      <c r="D113" s="204">
        <f>IF('_Datos'!$C113,'_Datos'!$AO113,"")</f>
      </c>
      <c r="E113" s="206">
        <f>IF('_Datos'!$C113,'_Datos'!$H113,"")</f>
      </c>
      <c r="F113" s="204">
        <f>IF('_Datos'!$C113,IF(ISNUMBER('_Datos'!$AR113),'_Datos'!$AR113,"(Sin fecha)"),"")</f>
      </c>
      <c r="G113" s="204"/>
      <c r="H113" s="205"/>
      <c r="I113" s="204">
        <f>IF('_Datos'!$C113,IF(ISNUMBER('_Datos'!$AV113),'_Datos'!$AZ113,"(Sin fecha)"),"")</f>
      </c>
      <c r="J113" s="208">
        <f>IF('_Datos'!$C113,'_Datos'!$AX113,"")</f>
      </c>
      <c r="K113" s="205">
        <f>IF('_Datos'!$C113,IF('Proyecto Datos (OKR´s)'!$C113="","",'Proyecto Datos (OKR´s)'!$C113),"")</f>
      </c>
      <c r="L113" s="205"/>
      <c r="M113" s="191"/>
      <c r="N113" s="204">
        <f>IF('_Datos'!$C113,'_Datos'!$BA113,"")</f>
      </c>
    </row>
    <row r="114">
      <c r="B114" s="204">
        <f>IF('_Datos'!$C114,'_Datos'!$O114,"")</f>
      </c>
      <c r="C114" s="205">
        <f>IF('_Datos'!$C114,'_Datos'!$F114,IF('_Datos'!$B114,'Proyecto Datos (OKR´s)'!$G114,""))</f>
      </c>
      <c r="D114" s="204">
        <f>IF('_Datos'!$C114,'_Datos'!$AO114,"")</f>
      </c>
      <c r="E114" s="206">
        <f>IF('_Datos'!$C114,'_Datos'!$H114,"")</f>
      </c>
      <c r="F114" s="204">
        <f>IF('_Datos'!$C114,IF(ISNUMBER('_Datos'!$AR114),'_Datos'!$AR114,"(Sin fecha)"),"")</f>
      </c>
      <c r="G114" s="204"/>
      <c r="H114" s="205"/>
      <c r="I114" s="204">
        <f>IF('_Datos'!$C114,IF(ISNUMBER('_Datos'!$AV114),'_Datos'!$AZ114,"(Sin fecha)"),"")</f>
      </c>
      <c r="J114" s="208">
        <f>IF('_Datos'!$C114,'_Datos'!$AX114,"")</f>
      </c>
      <c r="K114" s="205">
        <f>IF('_Datos'!$C114,IF('Proyecto Datos (OKR´s)'!$C114="","",'Proyecto Datos (OKR´s)'!$C114),"")</f>
      </c>
      <c r="L114" s="205"/>
      <c r="M114" s="191"/>
      <c r="N114" s="204">
        <f>IF('_Datos'!$C114,'_Datos'!$BA114,"")</f>
      </c>
    </row>
    <row r="115">
      <c r="B115" s="204">
        <f>IF('_Datos'!$C115,'_Datos'!$O115,"")</f>
      </c>
      <c r="C115" s="205">
        <f>IF('_Datos'!$C115,'_Datos'!$F115,IF('_Datos'!$B115,'Proyecto Datos (OKR´s)'!$G115,""))</f>
      </c>
      <c r="D115" s="204">
        <f>IF('_Datos'!$C115,'_Datos'!$AO115,"")</f>
      </c>
      <c r="E115" s="206">
        <f>IF('_Datos'!$C115,'_Datos'!$H115,"")</f>
      </c>
      <c r="F115" s="204">
        <f>IF('_Datos'!$C115,IF(ISNUMBER('_Datos'!$AR115),'_Datos'!$AR115,"(Sin fecha)"),"")</f>
      </c>
      <c r="G115" s="204"/>
      <c r="H115" s="205"/>
      <c r="I115" s="204">
        <f>IF('_Datos'!$C115,IF(ISNUMBER('_Datos'!$AV115),'_Datos'!$AZ115,"(Sin fecha)"),"")</f>
      </c>
      <c r="J115" s="208">
        <f>IF('_Datos'!$C115,'_Datos'!$AX115,"")</f>
      </c>
      <c r="K115" s="205">
        <f>IF('_Datos'!$C115,IF('Proyecto Datos (OKR´s)'!$C115="","",'Proyecto Datos (OKR´s)'!$C115),"")</f>
      </c>
      <c r="L115" s="205"/>
      <c r="M115" s="191"/>
      <c r="N115" s="204">
        <f>IF('_Datos'!$C115,'_Datos'!$BA115,"")</f>
      </c>
    </row>
    <row r="116">
      <c r="B116" s="204">
        <f>IF('_Datos'!$C116,'_Datos'!$O116,"")</f>
      </c>
      <c r="C116" s="205">
        <f>IF('_Datos'!$C116,'_Datos'!$F116,IF('_Datos'!$B116,'Proyecto Datos (OKR´s)'!$G116,""))</f>
      </c>
      <c r="D116" s="204">
        <f>IF('_Datos'!$C116,'_Datos'!$AO116,"")</f>
      </c>
      <c r="E116" s="206">
        <f>IF('_Datos'!$C116,'_Datos'!$H116,"")</f>
      </c>
      <c r="F116" s="204">
        <f>IF('_Datos'!$C116,IF(ISNUMBER('_Datos'!$AR116),'_Datos'!$AR116,"(Sin fecha)"),"")</f>
      </c>
      <c r="G116" s="204"/>
      <c r="H116" s="205"/>
      <c r="I116" s="204">
        <f>IF('_Datos'!$C116,IF(ISNUMBER('_Datos'!$AV116),'_Datos'!$AZ116,"(Sin fecha)"),"")</f>
      </c>
      <c r="J116" s="208">
        <f>IF('_Datos'!$C116,'_Datos'!$AX116,"")</f>
      </c>
      <c r="K116" s="205">
        <f>IF('_Datos'!$C116,IF('Proyecto Datos (OKR´s)'!$C116="","",'Proyecto Datos (OKR´s)'!$C116),"")</f>
      </c>
      <c r="L116" s="205"/>
      <c r="M116" s="191"/>
      <c r="N116" s="204">
        <f>IF('_Datos'!$C116,'_Datos'!$BA116,"")</f>
      </c>
    </row>
    <row r="117">
      <c r="B117" s="204">
        <f>IF('_Datos'!$C117,'_Datos'!$O117,"")</f>
      </c>
      <c r="C117" s="205">
        <f>IF('_Datos'!$C117,'_Datos'!$F117,IF('_Datos'!$B117,'Proyecto Datos (OKR´s)'!$G117,""))</f>
      </c>
      <c r="D117" s="204">
        <f>IF('_Datos'!$C117,'_Datos'!$AO117,"")</f>
      </c>
      <c r="E117" s="206">
        <f>IF('_Datos'!$C117,'_Datos'!$H117,"")</f>
      </c>
      <c r="F117" s="204">
        <f>IF('_Datos'!$C117,IF(ISNUMBER('_Datos'!$AR117),'_Datos'!$AR117,"(Sin fecha)"),"")</f>
      </c>
      <c r="G117" s="204"/>
      <c r="H117" s="205"/>
      <c r="I117" s="204">
        <f>IF('_Datos'!$C117,IF(ISNUMBER('_Datos'!$AV117),'_Datos'!$AZ117,"(Sin fecha)"),"")</f>
      </c>
      <c r="J117" s="208">
        <f>IF('_Datos'!$C117,'_Datos'!$AX117,"")</f>
      </c>
      <c r="K117" s="205">
        <f>IF('_Datos'!$C117,IF('Proyecto Datos (OKR´s)'!$C117="","",'Proyecto Datos (OKR´s)'!$C117),"")</f>
      </c>
      <c r="L117" s="205"/>
      <c r="M117" s="191"/>
      <c r="N117" s="204">
        <f>IF('_Datos'!$C117,'_Datos'!$BA117,"")</f>
      </c>
    </row>
    <row r="118">
      <c r="B118" s="204">
        <f>IF('_Datos'!$C118,'_Datos'!$O118,"")</f>
      </c>
      <c r="C118" s="205">
        <f>IF('_Datos'!$C118,'_Datos'!$F118,IF('_Datos'!$B118,'Proyecto Datos (OKR´s)'!$G118,""))</f>
      </c>
      <c r="D118" s="204">
        <f>IF('_Datos'!$C118,'_Datos'!$AO118,"")</f>
      </c>
      <c r="E118" s="206">
        <f>IF('_Datos'!$C118,'_Datos'!$H118,"")</f>
      </c>
      <c r="F118" s="204">
        <f>IF('_Datos'!$C118,IF(ISNUMBER('_Datos'!$AR118),'_Datos'!$AR118,"(Sin fecha)"),"")</f>
      </c>
      <c r="G118" s="204"/>
      <c r="H118" s="205"/>
      <c r="I118" s="204">
        <f>IF('_Datos'!$C118,IF(ISNUMBER('_Datos'!$AV118),'_Datos'!$AZ118,"(Sin fecha)"),"")</f>
      </c>
      <c r="J118" s="208">
        <f>IF('_Datos'!$C118,'_Datos'!$AX118,"")</f>
      </c>
      <c r="K118" s="205">
        <f>IF('_Datos'!$C118,IF('Proyecto Datos (OKR´s)'!$C118="","",'Proyecto Datos (OKR´s)'!$C118),"")</f>
      </c>
      <c r="L118" s="205"/>
      <c r="M118" s="191"/>
      <c r="N118" s="204">
        <f>IF('_Datos'!$C118,'_Datos'!$BA118,"")</f>
      </c>
    </row>
    <row r="119">
      <c r="B119" s="204">
        <f>IF('_Datos'!$C119,'_Datos'!$O119,"")</f>
      </c>
      <c r="C119" s="205">
        <f>IF('_Datos'!$C119,'_Datos'!$F119,IF('_Datos'!$B119,'Proyecto Datos (OKR´s)'!$G119,""))</f>
      </c>
      <c r="D119" s="204">
        <f>IF('_Datos'!$C119,'_Datos'!$AO119,"")</f>
      </c>
      <c r="E119" s="206">
        <f>IF('_Datos'!$C119,'_Datos'!$H119,"")</f>
      </c>
      <c r="F119" s="204">
        <f>IF('_Datos'!$C119,IF(ISNUMBER('_Datos'!$AR119),'_Datos'!$AR119,"(Sin fecha)"),"")</f>
      </c>
      <c r="G119" s="204"/>
      <c r="H119" s="205"/>
      <c r="I119" s="204">
        <f>IF('_Datos'!$C119,IF(ISNUMBER('_Datos'!$AV119),'_Datos'!$AZ119,"(Sin fecha)"),"")</f>
      </c>
      <c r="J119" s="208">
        <f>IF('_Datos'!$C119,'_Datos'!$AX119,"")</f>
      </c>
      <c r="K119" s="205">
        <f>IF('_Datos'!$C119,IF('Proyecto Datos (OKR´s)'!$C119="","",'Proyecto Datos (OKR´s)'!$C119),"")</f>
      </c>
      <c r="L119" s="205"/>
      <c r="M119" s="191"/>
      <c r="N119" s="204">
        <f>IF('_Datos'!$C119,'_Datos'!$BA119,"")</f>
      </c>
    </row>
    <row r="120">
      <c r="B120" s="204">
        <f>IF('_Datos'!$C120,'_Datos'!$O120,"")</f>
      </c>
      <c r="C120" s="205">
        <f>IF('_Datos'!$C120,'_Datos'!$F120,IF('_Datos'!$B120,'Proyecto Datos (OKR´s)'!$G120,""))</f>
      </c>
      <c r="D120" s="204">
        <f>IF('_Datos'!$C120,'_Datos'!$AO120,"")</f>
      </c>
      <c r="E120" s="206">
        <f>IF('_Datos'!$C120,'_Datos'!$H120,"")</f>
      </c>
      <c r="F120" s="204">
        <f>IF('_Datos'!$C120,IF(ISNUMBER('_Datos'!$AR120),'_Datos'!$AR120,"(Sin fecha)"),"")</f>
      </c>
      <c r="G120" s="204"/>
      <c r="H120" s="205"/>
      <c r="I120" s="204">
        <f>IF('_Datos'!$C120,IF(ISNUMBER('_Datos'!$AV120),'_Datos'!$AZ120,"(Sin fecha)"),"")</f>
      </c>
      <c r="J120" s="208">
        <f>IF('_Datos'!$C120,'_Datos'!$AX120,"")</f>
      </c>
      <c r="K120" s="205">
        <f>IF('_Datos'!$C120,IF('Proyecto Datos (OKR´s)'!$C120="","",'Proyecto Datos (OKR´s)'!$C120),"")</f>
      </c>
      <c r="L120" s="205"/>
      <c r="M120" s="191"/>
      <c r="N120" s="204">
        <f>IF('_Datos'!$C120,'_Datos'!$BA120,"")</f>
      </c>
    </row>
    <row r="121">
      <c r="B121" s="204">
        <f>IF('_Datos'!$C121,'_Datos'!$O121,"")</f>
      </c>
      <c r="C121" s="205">
        <f>IF('_Datos'!$C121,'_Datos'!$F121,IF('_Datos'!$B121,'Proyecto Datos (OKR´s)'!$G121,""))</f>
      </c>
      <c r="D121" s="204">
        <f>IF('_Datos'!$C121,'_Datos'!$AO121,"")</f>
      </c>
      <c r="E121" s="206">
        <f>IF('_Datos'!$C121,'_Datos'!$H121,"")</f>
      </c>
      <c r="F121" s="204">
        <f>IF('_Datos'!$C121,IF(ISNUMBER('_Datos'!$AR121),'_Datos'!$AR121,"(Sin fecha)"),"")</f>
      </c>
      <c r="G121" s="204"/>
      <c r="H121" s="205"/>
      <c r="I121" s="204">
        <f>IF('_Datos'!$C121,IF(ISNUMBER('_Datos'!$AV121),'_Datos'!$AZ121,"(Sin fecha)"),"")</f>
      </c>
      <c r="J121" s="208">
        <f>IF('_Datos'!$C121,'_Datos'!$AX121,"")</f>
      </c>
      <c r="K121" s="205">
        <f>IF('_Datos'!$C121,IF('Proyecto Datos (OKR´s)'!$C121="","",'Proyecto Datos (OKR´s)'!$C121),"")</f>
      </c>
      <c r="L121" s="205"/>
      <c r="M121" s="191"/>
      <c r="N121" s="204">
        <f>IF('_Datos'!$C121,'_Datos'!$BA121,"")</f>
      </c>
    </row>
    <row r="122">
      <c r="B122" s="204">
        <f>IF('_Datos'!$C122,'_Datos'!$O122,"")</f>
      </c>
      <c r="C122" s="205">
        <f>IF('_Datos'!$C122,'_Datos'!$F122,IF('_Datos'!$B122,'Proyecto Datos (OKR´s)'!$G122,""))</f>
      </c>
      <c r="D122" s="204">
        <f>IF('_Datos'!$C122,'_Datos'!$AO122,"")</f>
      </c>
      <c r="E122" s="206">
        <f>IF('_Datos'!$C122,'_Datos'!$H122,"")</f>
      </c>
      <c r="F122" s="204">
        <f>IF('_Datos'!$C122,IF(ISNUMBER('_Datos'!$AR122),'_Datos'!$AR122,"(Sin fecha)"),"")</f>
      </c>
      <c r="G122" s="204"/>
      <c r="H122" s="205"/>
      <c r="I122" s="204">
        <f>IF('_Datos'!$C122,IF(ISNUMBER('_Datos'!$AV122),'_Datos'!$AZ122,"(Sin fecha)"),"")</f>
      </c>
      <c r="J122" s="208">
        <f>IF('_Datos'!$C122,'_Datos'!$AX122,"")</f>
      </c>
      <c r="K122" s="205">
        <f>IF('_Datos'!$C122,IF('Proyecto Datos (OKR´s)'!$C122="","",'Proyecto Datos (OKR´s)'!$C122),"")</f>
      </c>
      <c r="L122" s="205"/>
      <c r="M122" s="191"/>
      <c r="N122" s="204">
        <f>IF('_Datos'!$C122,'_Datos'!$BA122,"")</f>
      </c>
    </row>
    <row r="123">
      <c r="B123" s="204">
        <f>IF('_Datos'!$C123,'_Datos'!$O123,"")</f>
      </c>
      <c r="C123" s="205">
        <f>IF('_Datos'!$C123,'_Datos'!$F123,IF('_Datos'!$B123,'Proyecto Datos (OKR´s)'!$G123,""))</f>
      </c>
      <c r="D123" s="204">
        <f>IF('_Datos'!$C123,'_Datos'!$AO123,"")</f>
      </c>
      <c r="E123" s="206">
        <f>IF('_Datos'!$C123,'_Datos'!$H123,"")</f>
      </c>
      <c r="F123" s="204">
        <f>IF('_Datos'!$C123,IF(ISNUMBER('_Datos'!$AR123),'_Datos'!$AR123,"(Sin fecha)"),"")</f>
      </c>
      <c r="G123" s="204"/>
      <c r="H123" s="205"/>
      <c r="I123" s="204">
        <f>IF('_Datos'!$C123,IF(ISNUMBER('_Datos'!$AV123),'_Datos'!$AZ123,"(Sin fecha)"),"")</f>
      </c>
      <c r="J123" s="208">
        <f>IF('_Datos'!$C123,'_Datos'!$AX123,"")</f>
      </c>
      <c r="K123" s="205">
        <f>IF('_Datos'!$C123,IF('Proyecto Datos (OKR´s)'!$C123="","",'Proyecto Datos (OKR´s)'!$C123),"")</f>
      </c>
      <c r="L123" s="205"/>
      <c r="M123" s="191"/>
      <c r="N123" s="204">
        <f>IF('_Datos'!$C123,'_Datos'!$BA123,"")</f>
      </c>
    </row>
    <row r="124">
      <c r="B124" s="204">
        <f>IF('_Datos'!$C124,'_Datos'!$O124,"")</f>
      </c>
      <c r="C124" s="205">
        <f>IF('_Datos'!$C124,'_Datos'!$F124,IF('_Datos'!$B124,'Proyecto Datos (OKR´s)'!$G124,""))</f>
      </c>
      <c r="D124" s="204">
        <f>IF('_Datos'!$C124,'_Datos'!$AO124,"")</f>
      </c>
      <c r="E124" s="206">
        <f>IF('_Datos'!$C124,'_Datos'!$H124,"")</f>
      </c>
      <c r="F124" s="204">
        <f>IF('_Datos'!$C124,IF(ISNUMBER('_Datos'!$AR124),'_Datos'!$AR124,"(Sin fecha)"),"")</f>
      </c>
      <c r="G124" s="204"/>
      <c r="H124" s="205"/>
      <c r="I124" s="204">
        <f>IF('_Datos'!$C124,IF(ISNUMBER('_Datos'!$AV124),'_Datos'!$AZ124,"(Sin fecha)"),"")</f>
      </c>
      <c r="J124" s="208">
        <f>IF('_Datos'!$C124,'_Datos'!$AX124,"")</f>
      </c>
      <c r="K124" s="205">
        <f>IF('_Datos'!$C124,IF('Proyecto Datos (OKR´s)'!$C124="","",'Proyecto Datos (OKR´s)'!$C124),"")</f>
      </c>
      <c r="L124" s="205"/>
      <c r="M124" s="191"/>
      <c r="N124" s="204">
        <f>IF('_Datos'!$C124,'_Datos'!$BA124,"")</f>
      </c>
    </row>
    <row r="125">
      <c r="B125" s="204">
        <f>IF('_Datos'!$C125,'_Datos'!$O125,"")</f>
      </c>
      <c r="C125" s="205">
        <f>IF('_Datos'!$C125,'_Datos'!$F125,IF('_Datos'!$B125,'Proyecto Datos (OKR´s)'!$G125,""))</f>
      </c>
      <c r="D125" s="204">
        <f>IF('_Datos'!$C125,'_Datos'!$AO125,"")</f>
      </c>
      <c r="E125" s="206">
        <f>IF('_Datos'!$C125,'_Datos'!$H125,"")</f>
      </c>
      <c r="F125" s="204">
        <f>IF('_Datos'!$C125,IF(ISNUMBER('_Datos'!$AR125),'_Datos'!$AR125,"(Sin fecha)"),"")</f>
      </c>
      <c r="G125" s="204"/>
      <c r="H125" s="205"/>
      <c r="I125" s="204">
        <f>IF('_Datos'!$C125,IF(ISNUMBER('_Datos'!$AV125),'_Datos'!$AZ125,"(Sin fecha)"),"")</f>
      </c>
      <c r="J125" s="208">
        <f>IF('_Datos'!$C125,'_Datos'!$AX125,"")</f>
      </c>
      <c r="K125" s="205">
        <f>IF('_Datos'!$C125,IF('Proyecto Datos (OKR´s)'!$C125="","",'Proyecto Datos (OKR´s)'!$C125),"")</f>
      </c>
      <c r="L125" s="205"/>
      <c r="M125" s="191"/>
      <c r="N125" s="204">
        <f>IF('_Datos'!$C125,'_Datos'!$BA125,"")</f>
      </c>
    </row>
    <row r="126">
      <c r="B126" s="204">
        <f>IF('_Datos'!$C126,'_Datos'!$O126,"")</f>
      </c>
      <c r="C126" s="205">
        <f>IF('_Datos'!$C126,'_Datos'!$F126,IF('_Datos'!$B126,'Proyecto Datos (OKR´s)'!$G126,""))</f>
      </c>
      <c r="D126" s="204">
        <f>IF('_Datos'!$C126,'_Datos'!$AO126,"")</f>
      </c>
      <c r="E126" s="206">
        <f>IF('_Datos'!$C126,'_Datos'!$H126,"")</f>
      </c>
      <c r="F126" s="204">
        <f>IF('_Datos'!$C126,IF(ISNUMBER('_Datos'!$AR126),'_Datos'!$AR126,"(Sin fecha)"),"")</f>
      </c>
      <c r="G126" s="204"/>
      <c r="H126" s="205"/>
      <c r="I126" s="204">
        <f>IF('_Datos'!$C126,IF(ISNUMBER('_Datos'!$AV126),'_Datos'!$AZ126,"(Sin fecha)"),"")</f>
      </c>
      <c r="J126" s="208">
        <f>IF('_Datos'!$C126,'_Datos'!$AX126,"")</f>
      </c>
      <c r="K126" s="205">
        <f>IF('_Datos'!$C126,IF('Proyecto Datos (OKR´s)'!$C126="","",'Proyecto Datos (OKR´s)'!$C126),"")</f>
      </c>
      <c r="L126" s="205"/>
      <c r="M126" s="191"/>
      <c r="N126" s="204">
        <f>IF('_Datos'!$C126,'_Datos'!$BA126,"")</f>
      </c>
    </row>
    <row r="127">
      <c r="B127" s="204">
        <f>IF('_Datos'!$C127,'_Datos'!$O127,"")</f>
      </c>
      <c r="C127" s="205">
        <f>IF('_Datos'!$C127,'_Datos'!$F127,IF('_Datos'!$B127,'Proyecto Datos (OKR´s)'!$G127,""))</f>
      </c>
      <c r="D127" s="204">
        <f>IF('_Datos'!$C127,'_Datos'!$AO127,"")</f>
      </c>
      <c r="E127" s="206">
        <f>IF('_Datos'!$C127,'_Datos'!$H127,"")</f>
      </c>
      <c r="F127" s="204">
        <f>IF('_Datos'!$C127,IF(ISNUMBER('_Datos'!$AR127),'_Datos'!$AR127,"(Sin fecha)"),"")</f>
      </c>
      <c r="G127" s="204"/>
      <c r="H127" s="205"/>
      <c r="I127" s="204">
        <f>IF('_Datos'!$C127,IF(ISNUMBER('_Datos'!$AV127),'_Datos'!$AZ127,"(Sin fecha)"),"")</f>
      </c>
      <c r="J127" s="208">
        <f>IF('_Datos'!$C127,'_Datos'!$AX127,"")</f>
      </c>
      <c r="K127" s="205">
        <f>IF('_Datos'!$C127,IF('Proyecto Datos (OKR´s)'!$C127="","",'Proyecto Datos (OKR´s)'!$C127),"")</f>
      </c>
      <c r="L127" s="205"/>
      <c r="M127" s="191"/>
      <c r="N127" s="204">
        <f>IF('_Datos'!$C127,'_Datos'!$BA127,"")</f>
      </c>
    </row>
    <row r="128">
      <c r="B128" s="204">
        <f>IF('_Datos'!$C128,'_Datos'!$O128,"")</f>
      </c>
      <c r="C128" s="205">
        <f>IF('_Datos'!$C128,'_Datos'!$F128,IF('_Datos'!$B128,'Proyecto Datos (OKR´s)'!$G128,""))</f>
      </c>
      <c r="D128" s="204">
        <f>IF('_Datos'!$C128,'_Datos'!$AO128,"")</f>
      </c>
      <c r="E128" s="206">
        <f>IF('_Datos'!$C128,'_Datos'!$H128,"")</f>
      </c>
      <c r="F128" s="204">
        <f>IF('_Datos'!$C128,IF(ISNUMBER('_Datos'!$AR128),'_Datos'!$AR128,"(Sin fecha)"),"")</f>
      </c>
      <c r="G128" s="204"/>
      <c r="H128" s="205"/>
      <c r="I128" s="204">
        <f>IF('_Datos'!$C128,IF(ISNUMBER('_Datos'!$AV128),'_Datos'!$AZ128,"(Sin fecha)"),"")</f>
      </c>
      <c r="J128" s="208">
        <f>IF('_Datos'!$C128,'_Datos'!$AX128,"")</f>
      </c>
      <c r="K128" s="205">
        <f>IF('_Datos'!$C128,IF('Proyecto Datos (OKR´s)'!$C128="","",'Proyecto Datos (OKR´s)'!$C128),"")</f>
      </c>
      <c r="L128" s="205"/>
      <c r="M128" s="191"/>
      <c r="N128" s="204">
        <f>IF('_Datos'!$C128,'_Datos'!$BA128,"")</f>
      </c>
    </row>
    <row r="129">
      <c r="B129" s="204">
        <f>IF('_Datos'!$C129,'_Datos'!$O129,"")</f>
      </c>
      <c r="C129" s="205">
        <f>IF('_Datos'!$C129,'_Datos'!$F129,IF('_Datos'!$B129,'Proyecto Datos (OKR´s)'!$G129,""))</f>
      </c>
      <c r="D129" s="204">
        <f>IF('_Datos'!$C129,'_Datos'!$AO129,"")</f>
      </c>
      <c r="E129" s="206">
        <f>IF('_Datos'!$C129,'_Datos'!$H129,"")</f>
      </c>
      <c r="F129" s="204">
        <f>IF('_Datos'!$C129,IF(ISNUMBER('_Datos'!$AR129),'_Datos'!$AR129,"(Sin fecha)"),"")</f>
      </c>
      <c r="G129" s="204"/>
      <c r="H129" s="205"/>
      <c r="I129" s="204">
        <f>IF('_Datos'!$C129,IF(ISNUMBER('_Datos'!$AV129),'_Datos'!$AZ129,"(Sin fecha)"),"")</f>
      </c>
      <c r="J129" s="208">
        <f>IF('_Datos'!$C129,'_Datos'!$AX129,"")</f>
      </c>
      <c r="K129" s="205">
        <f>IF('_Datos'!$C129,IF('Proyecto Datos (OKR´s)'!$C129="","",'Proyecto Datos (OKR´s)'!$C129),"")</f>
      </c>
      <c r="L129" s="205"/>
      <c r="M129" s="191"/>
      <c r="N129" s="204">
        <f>IF('_Datos'!$C129,'_Datos'!$BA129,"")</f>
      </c>
    </row>
    <row r="130">
      <c r="B130" s="204">
        <f>IF('_Datos'!$C130,'_Datos'!$O130,"")</f>
      </c>
      <c r="C130" s="205">
        <f>IF('_Datos'!$C130,'_Datos'!$F130,IF('_Datos'!$B130,'Proyecto Datos (OKR´s)'!$G130,""))</f>
      </c>
      <c r="D130" s="204">
        <f>IF('_Datos'!$C130,'_Datos'!$AO130,"")</f>
      </c>
      <c r="E130" s="206">
        <f>IF('_Datos'!$C130,'_Datos'!$H130,"")</f>
      </c>
      <c r="F130" s="204">
        <f>IF('_Datos'!$C130,IF(ISNUMBER('_Datos'!$AR130),'_Datos'!$AR130,"(Sin fecha)"),"")</f>
      </c>
      <c r="G130" s="204"/>
      <c r="H130" s="205"/>
      <c r="I130" s="204">
        <f>IF('_Datos'!$C130,IF(ISNUMBER('_Datos'!$AV130),'_Datos'!$AZ130,"(Sin fecha)"),"")</f>
      </c>
      <c r="J130" s="208">
        <f>IF('_Datos'!$C130,'_Datos'!$AX130,"")</f>
      </c>
      <c r="K130" s="205">
        <f>IF('_Datos'!$C130,IF('Proyecto Datos (OKR´s)'!$C130="","",'Proyecto Datos (OKR´s)'!$C130),"")</f>
      </c>
      <c r="L130" s="205"/>
      <c r="M130" s="191"/>
      <c r="N130" s="204">
        <f>IF('_Datos'!$C130,'_Datos'!$BA130,"")</f>
      </c>
    </row>
    <row r="131">
      <c r="B131" s="204">
        <f>IF('_Datos'!$C131,'_Datos'!$O131,"")</f>
      </c>
      <c r="C131" s="205">
        <f>IF('_Datos'!$C131,'_Datos'!$F131,IF('_Datos'!$B131,'Proyecto Datos (OKR´s)'!$G131,""))</f>
      </c>
      <c r="D131" s="204">
        <f>IF('_Datos'!$C131,'_Datos'!$AO131,"")</f>
      </c>
      <c r="E131" s="206">
        <f>IF('_Datos'!$C131,'_Datos'!$H131,"")</f>
      </c>
      <c r="F131" s="204">
        <f>IF('_Datos'!$C131,IF(ISNUMBER('_Datos'!$AR131),'_Datos'!$AR131,"(Sin fecha)"),"")</f>
      </c>
      <c r="G131" s="204"/>
      <c r="H131" s="205"/>
      <c r="I131" s="204">
        <f>IF('_Datos'!$C131,IF(ISNUMBER('_Datos'!$AV131),'_Datos'!$AZ131,"(Sin fecha)"),"")</f>
      </c>
      <c r="J131" s="208">
        <f>IF('_Datos'!$C131,'_Datos'!$AX131,"")</f>
      </c>
      <c r="K131" s="205">
        <f>IF('_Datos'!$C131,IF('Proyecto Datos (OKR´s)'!$C131="","",'Proyecto Datos (OKR´s)'!$C131),"")</f>
      </c>
      <c r="L131" s="205"/>
      <c r="M131" s="191"/>
      <c r="N131" s="204">
        <f>IF('_Datos'!$C131,'_Datos'!$BA131,"")</f>
      </c>
    </row>
    <row r="132">
      <c r="B132" s="204">
        <f>IF('_Datos'!$C132,'_Datos'!$O132,"")</f>
      </c>
      <c r="C132" s="205">
        <f>IF('_Datos'!$C132,'_Datos'!$F132,IF('_Datos'!$B132,'Proyecto Datos (OKR´s)'!$G132,""))</f>
      </c>
      <c r="D132" s="204">
        <f>IF('_Datos'!$C132,'_Datos'!$AO132,"")</f>
      </c>
      <c r="E132" s="206">
        <f>IF('_Datos'!$C132,'_Datos'!$H132,"")</f>
      </c>
      <c r="F132" s="204">
        <f>IF('_Datos'!$C132,IF(ISNUMBER('_Datos'!$AR132),'_Datos'!$AR132,"(Sin fecha)"),"")</f>
      </c>
      <c r="G132" s="204"/>
      <c r="H132" s="205"/>
      <c r="I132" s="204">
        <f>IF('_Datos'!$C132,IF(ISNUMBER('_Datos'!$AV132),'_Datos'!$AZ132,"(Sin fecha)"),"")</f>
      </c>
      <c r="J132" s="208">
        <f>IF('_Datos'!$C132,'_Datos'!$AX132,"")</f>
      </c>
      <c r="K132" s="205">
        <f>IF('_Datos'!$C132,IF('Proyecto Datos (OKR´s)'!$C132="","",'Proyecto Datos (OKR´s)'!$C132),"")</f>
      </c>
      <c r="L132" s="205"/>
      <c r="M132" s="191"/>
      <c r="N132" s="204">
        <f>IF('_Datos'!$C132,'_Datos'!$BA132,"")</f>
      </c>
    </row>
    <row r="133">
      <c r="B133" s="204">
        <f>IF('_Datos'!$C133,'_Datos'!$O133,"")</f>
      </c>
      <c r="C133" s="205">
        <f>IF('_Datos'!$C133,'_Datos'!$F133,IF('_Datos'!$B133,'Proyecto Datos (OKR´s)'!$G133,""))</f>
      </c>
      <c r="D133" s="204">
        <f>IF('_Datos'!$C133,'_Datos'!$AO133,"")</f>
      </c>
      <c r="E133" s="206">
        <f>IF('_Datos'!$C133,'_Datos'!$H133,"")</f>
      </c>
      <c r="F133" s="204">
        <f>IF('_Datos'!$C133,IF(ISNUMBER('_Datos'!$AR133),'_Datos'!$AR133,"(Sin fecha)"),"")</f>
      </c>
      <c r="G133" s="204"/>
      <c r="H133" s="205"/>
      <c r="I133" s="204">
        <f>IF('_Datos'!$C133,IF(ISNUMBER('_Datos'!$AV133),'_Datos'!$AZ133,"(Sin fecha)"),"")</f>
      </c>
      <c r="J133" s="208">
        <f>IF('_Datos'!$C133,'_Datos'!$AX133,"")</f>
      </c>
      <c r="K133" s="205">
        <f>IF('_Datos'!$C133,IF('Proyecto Datos (OKR´s)'!$C133="","",'Proyecto Datos (OKR´s)'!$C133),"")</f>
      </c>
      <c r="L133" s="205"/>
      <c r="M133" s="191"/>
      <c r="N133" s="204">
        <f>IF('_Datos'!$C133,'_Datos'!$BA133,"")</f>
      </c>
    </row>
    <row r="134">
      <c r="B134" s="204">
        <f>IF('_Datos'!$C134,'_Datos'!$O134,"")</f>
      </c>
      <c r="C134" s="205">
        <f>IF('_Datos'!$C134,'_Datos'!$F134,IF('_Datos'!$B134,'Proyecto Datos (OKR´s)'!$G134,""))</f>
      </c>
      <c r="D134" s="204">
        <f>IF('_Datos'!$C134,'_Datos'!$AO134,"")</f>
      </c>
      <c r="E134" s="206">
        <f>IF('_Datos'!$C134,'_Datos'!$H134,"")</f>
      </c>
      <c r="F134" s="204">
        <f>IF('_Datos'!$C134,IF(ISNUMBER('_Datos'!$AR134),'_Datos'!$AR134,"(Sin fecha)"),"")</f>
      </c>
      <c r="G134" s="204"/>
      <c r="H134" s="205"/>
      <c r="I134" s="204">
        <f>IF('_Datos'!$C134,IF(ISNUMBER('_Datos'!$AV134),'_Datos'!$AZ134,"(Sin fecha)"),"")</f>
      </c>
      <c r="J134" s="208">
        <f>IF('_Datos'!$C134,'_Datos'!$AX134,"")</f>
      </c>
      <c r="K134" s="205">
        <f>IF('_Datos'!$C134,IF('Proyecto Datos (OKR´s)'!$C134="","",'Proyecto Datos (OKR´s)'!$C134),"")</f>
      </c>
      <c r="L134" s="205"/>
      <c r="M134" s="191"/>
      <c r="N134" s="204">
        <f>IF('_Datos'!$C134,'_Datos'!$BA134,"")</f>
      </c>
    </row>
    <row r="135">
      <c r="B135" s="204">
        <f>IF('_Datos'!$C135,'_Datos'!$O135,"")</f>
      </c>
      <c r="C135" s="205">
        <f>IF('_Datos'!$C135,'_Datos'!$F135,IF('_Datos'!$B135,'Proyecto Datos (OKR´s)'!$G135,""))</f>
      </c>
      <c r="D135" s="204">
        <f>IF('_Datos'!$C135,'_Datos'!$AO135,"")</f>
      </c>
      <c r="E135" s="206">
        <f>IF('_Datos'!$C135,'_Datos'!$H135,"")</f>
      </c>
      <c r="F135" s="204">
        <f>IF('_Datos'!$C135,IF(ISNUMBER('_Datos'!$AR135),'_Datos'!$AR135,"(Sin fecha)"),"")</f>
      </c>
      <c r="G135" s="204"/>
      <c r="H135" s="205"/>
      <c r="I135" s="204">
        <f>IF('_Datos'!$C135,IF(ISNUMBER('_Datos'!$AV135),'_Datos'!$AZ135,"(Sin fecha)"),"")</f>
      </c>
      <c r="J135" s="208">
        <f>IF('_Datos'!$C135,'_Datos'!$AX135,"")</f>
      </c>
      <c r="K135" s="205">
        <f>IF('_Datos'!$C135,IF('Proyecto Datos (OKR´s)'!$C135="","",'Proyecto Datos (OKR´s)'!$C135),"")</f>
      </c>
      <c r="L135" s="205"/>
      <c r="M135" s="191"/>
      <c r="N135" s="204">
        <f>IF('_Datos'!$C135,'_Datos'!$BA135,"")</f>
      </c>
    </row>
    <row r="136">
      <c r="B136" s="204">
        <f>IF('_Datos'!$C136,'_Datos'!$O136,"")</f>
      </c>
      <c r="C136" s="205">
        <f>IF('_Datos'!$C136,'_Datos'!$F136,IF('_Datos'!$B136,'Proyecto Datos (OKR´s)'!$G136,""))</f>
      </c>
      <c r="D136" s="204">
        <f>IF('_Datos'!$C136,'_Datos'!$AO136,"")</f>
      </c>
      <c r="E136" s="206">
        <f>IF('_Datos'!$C136,'_Datos'!$H136,"")</f>
      </c>
      <c r="F136" s="204">
        <f>IF('_Datos'!$C136,IF(ISNUMBER('_Datos'!$AR136),'_Datos'!$AR136,"(Sin fecha)"),"")</f>
      </c>
      <c r="G136" s="204"/>
      <c r="H136" s="205"/>
      <c r="I136" s="204">
        <f>IF('_Datos'!$C136,IF(ISNUMBER('_Datos'!$AV136),'_Datos'!$AZ136,"(Sin fecha)"),"")</f>
      </c>
      <c r="J136" s="208">
        <f>IF('_Datos'!$C136,'_Datos'!$AX136,"")</f>
      </c>
      <c r="K136" s="205">
        <f>IF('_Datos'!$C136,IF('Proyecto Datos (OKR´s)'!$C136="","",'Proyecto Datos (OKR´s)'!$C136),"")</f>
      </c>
      <c r="L136" s="205"/>
      <c r="M136" s="191"/>
      <c r="N136" s="204">
        <f>IF('_Datos'!$C136,'_Datos'!$BA136,"")</f>
      </c>
    </row>
    <row r="137">
      <c r="B137" s="204">
        <f>IF('_Datos'!$C137,'_Datos'!$O137,"")</f>
      </c>
      <c r="C137" s="205">
        <f>IF('_Datos'!$C137,'_Datos'!$F137,IF('_Datos'!$B137,'Proyecto Datos (OKR´s)'!$G137,""))</f>
      </c>
      <c r="D137" s="204">
        <f>IF('_Datos'!$C137,'_Datos'!$AO137,"")</f>
      </c>
      <c r="E137" s="206">
        <f>IF('_Datos'!$C137,'_Datos'!$H137,"")</f>
      </c>
      <c r="F137" s="204">
        <f>IF('_Datos'!$C137,IF(ISNUMBER('_Datos'!$AR137),'_Datos'!$AR137,"(Sin fecha)"),"")</f>
      </c>
      <c r="G137" s="204"/>
      <c r="H137" s="205"/>
      <c r="I137" s="204">
        <f>IF('_Datos'!$C137,IF(ISNUMBER('_Datos'!$AV137),'_Datos'!$AZ137,"(Sin fecha)"),"")</f>
      </c>
      <c r="J137" s="208">
        <f>IF('_Datos'!$C137,'_Datos'!$AX137,"")</f>
      </c>
      <c r="K137" s="205">
        <f>IF('_Datos'!$C137,IF('Proyecto Datos (OKR´s)'!$C137="","",'Proyecto Datos (OKR´s)'!$C137),"")</f>
      </c>
      <c r="L137" s="205"/>
      <c r="M137" s="191"/>
      <c r="N137" s="204">
        <f>IF('_Datos'!$C137,'_Datos'!$BA137,"")</f>
      </c>
    </row>
    <row r="138">
      <c r="B138" s="204">
        <f>IF('_Datos'!$C138,'_Datos'!$O138,"")</f>
      </c>
      <c r="C138" s="205">
        <f>IF('_Datos'!$C138,'_Datos'!$F138,IF('_Datos'!$B138,'Proyecto Datos (OKR´s)'!$G138,""))</f>
      </c>
      <c r="D138" s="204">
        <f>IF('_Datos'!$C138,'_Datos'!$AO138,"")</f>
      </c>
      <c r="E138" s="206">
        <f>IF('_Datos'!$C138,'_Datos'!$H138,"")</f>
      </c>
      <c r="F138" s="204">
        <f>IF('_Datos'!$C138,IF(ISNUMBER('_Datos'!$AR138),'_Datos'!$AR138,"(Sin fecha)"),"")</f>
      </c>
      <c r="G138" s="204"/>
      <c r="H138" s="205"/>
      <c r="I138" s="204">
        <f>IF('_Datos'!$C138,IF(ISNUMBER('_Datos'!$AV138),'_Datos'!$AZ138,"(Sin fecha)"),"")</f>
      </c>
      <c r="J138" s="208">
        <f>IF('_Datos'!$C138,'_Datos'!$AX138,"")</f>
      </c>
      <c r="K138" s="205">
        <f>IF('_Datos'!$C138,IF('Proyecto Datos (OKR´s)'!$C138="","",'Proyecto Datos (OKR´s)'!$C138),"")</f>
      </c>
      <c r="L138" s="205"/>
      <c r="M138" s="191"/>
      <c r="N138" s="204">
        <f>IF('_Datos'!$C138,'_Datos'!$BA138,"")</f>
      </c>
    </row>
    <row r="139">
      <c r="B139" s="204">
        <f>IF('_Datos'!$C139,'_Datos'!$O139,"")</f>
      </c>
      <c r="C139" s="205">
        <f>IF('_Datos'!$C139,'_Datos'!$F139,IF('_Datos'!$B139,'Proyecto Datos (OKR´s)'!$G139,""))</f>
      </c>
      <c r="D139" s="204">
        <f>IF('_Datos'!$C139,'_Datos'!$AO139,"")</f>
      </c>
      <c r="E139" s="206">
        <f>IF('_Datos'!$C139,'_Datos'!$H139,"")</f>
      </c>
      <c r="F139" s="204">
        <f>IF('_Datos'!$C139,IF(ISNUMBER('_Datos'!$AR139),'_Datos'!$AR139,"(Sin fecha)"),"")</f>
      </c>
      <c r="G139" s="204"/>
      <c r="H139" s="205"/>
      <c r="I139" s="204">
        <f>IF('_Datos'!$C139,IF(ISNUMBER('_Datos'!$AV139),'_Datos'!$AZ139,"(Sin fecha)"),"")</f>
      </c>
      <c r="J139" s="208">
        <f>IF('_Datos'!$C139,'_Datos'!$AX139,"")</f>
      </c>
      <c r="K139" s="205">
        <f>IF('_Datos'!$C139,IF('Proyecto Datos (OKR´s)'!$C139="","",'Proyecto Datos (OKR´s)'!$C139),"")</f>
      </c>
      <c r="L139" s="205"/>
      <c r="M139" s="191"/>
      <c r="N139" s="204">
        <f>IF('_Datos'!$C139,'_Datos'!$BA139,"")</f>
      </c>
    </row>
    <row r="140">
      <c r="B140" s="204">
        <f>IF('_Datos'!$C140,'_Datos'!$O140,"")</f>
      </c>
      <c r="C140" s="205">
        <f>IF('_Datos'!$C140,'_Datos'!$F140,IF('_Datos'!$B140,'Proyecto Datos (OKR´s)'!$G140,""))</f>
      </c>
      <c r="D140" s="204">
        <f>IF('_Datos'!$C140,'_Datos'!$AO140,"")</f>
      </c>
      <c r="E140" s="206">
        <f>IF('_Datos'!$C140,'_Datos'!$H140,"")</f>
      </c>
      <c r="F140" s="204">
        <f>IF('_Datos'!$C140,IF(ISNUMBER('_Datos'!$AR140),'_Datos'!$AR140,"(Sin fecha)"),"")</f>
      </c>
      <c r="G140" s="204"/>
      <c r="H140" s="205"/>
      <c r="I140" s="204">
        <f>IF('_Datos'!$C140,IF(ISNUMBER('_Datos'!$AV140),'_Datos'!$AZ140,"(Sin fecha)"),"")</f>
      </c>
      <c r="J140" s="208">
        <f>IF('_Datos'!$C140,'_Datos'!$AX140,"")</f>
      </c>
      <c r="K140" s="205">
        <f>IF('_Datos'!$C140,IF('Proyecto Datos (OKR´s)'!$C140="","",'Proyecto Datos (OKR´s)'!$C140),"")</f>
      </c>
      <c r="L140" s="205"/>
      <c r="M140" s="191"/>
      <c r="N140" s="204">
        <f>IF('_Datos'!$C140,'_Datos'!$BA140,"")</f>
      </c>
    </row>
    <row r="141">
      <c r="B141" s="204">
        <f>IF('_Datos'!$C141,'_Datos'!$O141,"")</f>
      </c>
      <c r="C141" s="205">
        <f>IF('_Datos'!$C141,'_Datos'!$F141,IF('_Datos'!$B141,'Proyecto Datos (OKR´s)'!$G141,""))</f>
      </c>
      <c r="D141" s="204">
        <f>IF('_Datos'!$C141,'_Datos'!$AO141,"")</f>
      </c>
      <c r="E141" s="206">
        <f>IF('_Datos'!$C141,'_Datos'!$H141,"")</f>
      </c>
      <c r="F141" s="204">
        <f>IF('_Datos'!$C141,IF(ISNUMBER('_Datos'!$AR141),'_Datos'!$AR141,"(Sin fecha)"),"")</f>
      </c>
      <c r="G141" s="204"/>
      <c r="H141" s="205"/>
      <c r="I141" s="204">
        <f>IF('_Datos'!$C141,IF(ISNUMBER('_Datos'!$AV141),'_Datos'!$AZ141,"(Sin fecha)"),"")</f>
      </c>
      <c r="J141" s="208">
        <f>IF('_Datos'!$C141,'_Datos'!$AX141,"")</f>
      </c>
      <c r="K141" s="205">
        <f>IF('_Datos'!$C141,IF('Proyecto Datos (OKR´s)'!$C141="","",'Proyecto Datos (OKR´s)'!$C141),"")</f>
      </c>
      <c r="L141" s="205"/>
      <c r="M141" s="191"/>
      <c r="N141" s="204">
        <f>IF('_Datos'!$C141,'_Datos'!$BA141,"")</f>
      </c>
    </row>
    <row r="142">
      <c r="B142" s="204">
        <f>IF('_Datos'!$C142,'_Datos'!$O142,"")</f>
      </c>
      <c r="C142" s="205">
        <f>IF('_Datos'!$C142,'_Datos'!$F142,IF('_Datos'!$B142,'Proyecto Datos (OKR´s)'!$G142,""))</f>
      </c>
      <c r="D142" s="204">
        <f>IF('_Datos'!$C142,'_Datos'!$AO142,"")</f>
      </c>
      <c r="E142" s="206">
        <f>IF('_Datos'!$C142,'_Datos'!$H142,"")</f>
      </c>
      <c r="F142" s="204">
        <f>IF('_Datos'!$C142,IF(ISNUMBER('_Datos'!$AR142),'_Datos'!$AR142,"(Sin fecha)"),"")</f>
      </c>
      <c r="G142" s="204"/>
      <c r="H142" s="205"/>
      <c r="I142" s="204">
        <f>IF('_Datos'!$C142,IF(ISNUMBER('_Datos'!$AV142),'_Datos'!$AZ142,"(Sin fecha)"),"")</f>
      </c>
      <c r="J142" s="208">
        <f>IF('_Datos'!$C142,'_Datos'!$AX142,"")</f>
      </c>
      <c r="K142" s="205">
        <f>IF('_Datos'!$C142,IF('Proyecto Datos (OKR´s)'!$C142="","",'Proyecto Datos (OKR´s)'!$C142),"")</f>
      </c>
      <c r="L142" s="205"/>
      <c r="M142" s="191"/>
      <c r="N142" s="204">
        <f>IF('_Datos'!$C142,'_Datos'!$BA142,"")</f>
      </c>
    </row>
    <row r="143">
      <c r="B143" s="204">
        <f>IF('_Datos'!$C143,'_Datos'!$O143,"")</f>
      </c>
      <c r="C143" s="205">
        <f>IF('_Datos'!$C143,'_Datos'!$F143,IF('_Datos'!$B143,'Proyecto Datos (OKR´s)'!$G143,""))</f>
      </c>
      <c r="D143" s="204">
        <f>IF('_Datos'!$C143,'_Datos'!$AO143,"")</f>
      </c>
      <c r="E143" s="206">
        <f>IF('_Datos'!$C143,'_Datos'!$H143,"")</f>
      </c>
      <c r="F143" s="204">
        <f>IF('_Datos'!$C143,IF(ISNUMBER('_Datos'!$AR143),'_Datos'!$AR143,"(Sin fecha)"),"")</f>
      </c>
      <c r="G143" s="204"/>
      <c r="H143" s="205"/>
      <c r="I143" s="204">
        <f>IF('_Datos'!$C143,IF(ISNUMBER('_Datos'!$AV143),'_Datos'!$AZ143,"(Sin fecha)"),"")</f>
      </c>
      <c r="J143" s="208">
        <f>IF('_Datos'!$C143,'_Datos'!$AX143,"")</f>
      </c>
      <c r="K143" s="205">
        <f>IF('_Datos'!$C143,IF('Proyecto Datos (OKR´s)'!$C143="","",'Proyecto Datos (OKR´s)'!$C143),"")</f>
      </c>
      <c r="L143" s="205"/>
      <c r="M143" s="191"/>
      <c r="N143" s="204">
        <f>IF('_Datos'!$C143,'_Datos'!$BA143,"")</f>
      </c>
    </row>
    <row r="144">
      <c r="B144" s="204">
        <f>IF('_Datos'!$C144,'_Datos'!$O144,"")</f>
      </c>
      <c r="C144" s="205">
        <f>IF('_Datos'!$C144,'_Datos'!$F144,IF('_Datos'!$B144,'Proyecto Datos (OKR´s)'!$G144,""))</f>
      </c>
      <c r="D144" s="204">
        <f>IF('_Datos'!$C144,'_Datos'!$AO144,"")</f>
      </c>
      <c r="E144" s="206">
        <f>IF('_Datos'!$C144,'_Datos'!$H144,"")</f>
      </c>
      <c r="F144" s="204">
        <f>IF('_Datos'!$C144,IF(ISNUMBER('_Datos'!$AR144),'_Datos'!$AR144,"(Sin fecha)"),"")</f>
      </c>
      <c r="G144" s="204"/>
      <c r="H144" s="205"/>
      <c r="I144" s="204">
        <f>IF('_Datos'!$C144,IF(ISNUMBER('_Datos'!$AV144),'_Datos'!$AZ144,"(Sin fecha)"),"")</f>
      </c>
      <c r="J144" s="208">
        <f>IF('_Datos'!$C144,'_Datos'!$AX144,"")</f>
      </c>
      <c r="K144" s="205">
        <f>IF('_Datos'!$C144,IF('Proyecto Datos (OKR´s)'!$C144="","",'Proyecto Datos (OKR´s)'!$C144),"")</f>
      </c>
      <c r="L144" s="205"/>
      <c r="M144" s="191"/>
      <c r="N144" s="204">
        <f>IF('_Datos'!$C144,'_Datos'!$BA144,"")</f>
      </c>
    </row>
    <row r="145">
      <c r="B145" s="204">
        <f>IF('_Datos'!$C145,'_Datos'!$O145,"")</f>
      </c>
      <c r="C145" s="205">
        <f>IF('_Datos'!$C145,'_Datos'!$F145,IF('_Datos'!$B145,'Proyecto Datos (OKR´s)'!$G145,""))</f>
      </c>
      <c r="D145" s="204">
        <f>IF('_Datos'!$C145,'_Datos'!$AO145,"")</f>
      </c>
      <c r="E145" s="206">
        <f>IF('_Datos'!$C145,'_Datos'!$H145,"")</f>
      </c>
      <c r="F145" s="204">
        <f>IF('_Datos'!$C145,IF(ISNUMBER('_Datos'!$AR145),'_Datos'!$AR145,"(Sin fecha)"),"")</f>
      </c>
      <c r="G145" s="204"/>
      <c r="H145" s="205"/>
      <c r="I145" s="204">
        <f>IF('_Datos'!$C145,IF(ISNUMBER('_Datos'!$AV145),'_Datos'!$AZ145,"(Sin fecha)"),"")</f>
      </c>
      <c r="J145" s="208">
        <f>IF('_Datos'!$C145,'_Datos'!$AX145,"")</f>
      </c>
      <c r="K145" s="205">
        <f>IF('_Datos'!$C145,IF('Proyecto Datos (OKR´s)'!$C145="","",'Proyecto Datos (OKR´s)'!$C145),"")</f>
      </c>
      <c r="L145" s="205"/>
      <c r="M145" s="191"/>
      <c r="N145" s="204">
        <f>IF('_Datos'!$C145,'_Datos'!$BA145,"")</f>
      </c>
    </row>
    <row r="146">
      <c r="B146" s="204">
        <f>IF('_Datos'!$C146,'_Datos'!$O146,"")</f>
      </c>
      <c r="C146" s="205">
        <f>IF('_Datos'!$C146,'_Datos'!$F146,IF('_Datos'!$B146,'Proyecto Datos (OKR´s)'!$G146,""))</f>
      </c>
      <c r="D146" s="204">
        <f>IF('_Datos'!$C146,'_Datos'!$AO146,"")</f>
      </c>
      <c r="E146" s="206">
        <f>IF('_Datos'!$C146,'_Datos'!$H146,"")</f>
      </c>
      <c r="F146" s="204">
        <f>IF('_Datos'!$C146,IF(ISNUMBER('_Datos'!$AR146),'_Datos'!$AR146,"(Sin fecha)"),"")</f>
      </c>
      <c r="G146" s="204"/>
      <c r="H146" s="205"/>
      <c r="I146" s="204">
        <f>IF('_Datos'!$C146,IF(ISNUMBER('_Datos'!$AV146),'_Datos'!$AZ146,"(Sin fecha)"),"")</f>
      </c>
      <c r="J146" s="208">
        <f>IF('_Datos'!$C146,'_Datos'!$AX146,"")</f>
      </c>
      <c r="K146" s="205">
        <f>IF('_Datos'!$C146,IF('Proyecto Datos (OKR´s)'!$C146="","",'Proyecto Datos (OKR´s)'!$C146),"")</f>
      </c>
      <c r="L146" s="205"/>
      <c r="M146" s="191"/>
      <c r="N146" s="204">
        <f>IF('_Datos'!$C146,'_Datos'!$BA146,"")</f>
      </c>
    </row>
    <row r="147">
      <c r="B147" s="204">
        <f>IF('_Datos'!$C147,'_Datos'!$O147,"")</f>
      </c>
      <c r="C147" s="205">
        <f>IF('_Datos'!$C147,'_Datos'!$F147,IF('_Datos'!$B147,'Proyecto Datos (OKR´s)'!$G147,""))</f>
      </c>
      <c r="D147" s="204">
        <f>IF('_Datos'!$C147,'_Datos'!$AO147,"")</f>
      </c>
      <c r="E147" s="206">
        <f>IF('_Datos'!$C147,'_Datos'!$H147,"")</f>
      </c>
      <c r="F147" s="204">
        <f>IF('_Datos'!$C147,IF(ISNUMBER('_Datos'!$AR147),'_Datos'!$AR147,"(Sin fecha)"),"")</f>
      </c>
      <c r="G147" s="204"/>
      <c r="H147" s="205"/>
      <c r="I147" s="204">
        <f>IF('_Datos'!$C147,IF(ISNUMBER('_Datos'!$AV147),'_Datos'!$AZ147,"(Sin fecha)"),"")</f>
      </c>
      <c r="J147" s="208">
        <f>IF('_Datos'!$C147,'_Datos'!$AX147,"")</f>
      </c>
      <c r="K147" s="205">
        <f>IF('_Datos'!$C147,IF('Proyecto Datos (OKR´s)'!$C147="","",'Proyecto Datos (OKR´s)'!$C147),"")</f>
      </c>
      <c r="L147" s="205"/>
      <c r="M147" s="191"/>
      <c r="N147" s="204">
        <f>IF('_Datos'!$C147,'_Datos'!$BA147,"")</f>
      </c>
    </row>
    <row r="148">
      <c r="B148" s="204">
        <f>IF('_Datos'!$C148,'_Datos'!$O148,"")</f>
      </c>
      <c r="C148" s="205">
        <f>IF('_Datos'!$C148,'_Datos'!$F148,IF('_Datos'!$B148,'Proyecto Datos (OKR´s)'!$G148,""))</f>
      </c>
      <c r="D148" s="204">
        <f>IF('_Datos'!$C148,'_Datos'!$AO148,"")</f>
      </c>
      <c r="E148" s="206">
        <f>IF('_Datos'!$C148,'_Datos'!$H148,"")</f>
      </c>
      <c r="F148" s="204">
        <f>IF('_Datos'!$C148,IF(ISNUMBER('_Datos'!$AR148),'_Datos'!$AR148,"(Sin fecha)"),"")</f>
      </c>
      <c r="G148" s="204"/>
      <c r="H148" s="205"/>
      <c r="I148" s="204">
        <f>IF('_Datos'!$C148,IF(ISNUMBER('_Datos'!$AV148),'_Datos'!$AZ148,"(Sin fecha)"),"")</f>
      </c>
      <c r="J148" s="208">
        <f>IF('_Datos'!$C148,'_Datos'!$AX148,"")</f>
      </c>
      <c r="K148" s="205">
        <f>IF('_Datos'!$C148,IF('Proyecto Datos (OKR´s)'!$C148="","",'Proyecto Datos (OKR´s)'!$C148),"")</f>
      </c>
      <c r="L148" s="205"/>
      <c r="M148" s="191"/>
      <c r="N148" s="204">
        <f>IF('_Datos'!$C148,'_Datos'!$BA148,"")</f>
      </c>
    </row>
    <row r="149">
      <c r="B149" s="204">
        <f>IF('_Datos'!$C149,'_Datos'!$O149,"")</f>
      </c>
      <c r="C149" s="205">
        <f>IF('_Datos'!$C149,'_Datos'!$F149,IF('_Datos'!$B149,'Proyecto Datos (OKR´s)'!$G149,""))</f>
      </c>
      <c r="D149" s="204">
        <f>IF('_Datos'!$C149,'_Datos'!$AO149,"")</f>
      </c>
      <c r="E149" s="206">
        <f>IF('_Datos'!$C149,'_Datos'!$H149,"")</f>
      </c>
      <c r="F149" s="204">
        <f>IF('_Datos'!$C149,IF(ISNUMBER('_Datos'!$AR149),'_Datos'!$AR149,"(Sin fecha)"),"")</f>
      </c>
      <c r="G149" s="204"/>
      <c r="H149" s="205"/>
      <c r="I149" s="204">
        <f>IF('_Datos'!$C149,IF(ISNUMBER('_Datos'!$AV149),'_Datos'!$AZ149,"(Sin fecha)"),"")</f>
      </c>
      <c r="J149" s="208">
        <f>IF('_Datos'!$C149,'_Datos'!$AX149,"")</f>
      </c>
      <c r="K149" s="205">
        <f>IF('_Datos'!$C149,IF('Proyecto Datos (OKR´s)'!$C149="","",'Proyecto Datos (OKR´s)'!$C149),"")</f>
      </c>
      <c r="L149" s="205"/>
      <c r="M149" s="191"/>
      <c r="N149" s="204">
        <f>IF('_Datos'!$C149,'_Datos'!$BA149,"")</f>
      </c>
    </row>
    <row r="150">
      <c r="B150" s="204">
        <f>IF('_Datos'!$C150,'_Datos'!$O150,"")</f>
      </c>
      <c r="C150" s="205">
        <f>IF('_Datos'!$C150,'_Datos'!$F150,IF('_Datos'!$B150,'Proyecto Datos (OKR´s)'!$G150,""))</f>
      </c>
      <c r="D150" s="204">
        <f>IF('_Datos'!$C150,'_Datos'!$AO150,"")</f>
      </c>
      <c r="E150" s="206">
        <f>IF('_Datos'!$C150,'_Datos'!$H150,"")</f>
      </c>
      <c r="F150" s="204">
        <f>IF('_Datos'!$C150,IF(ISNUMBER('_Datos'!$AR150),'_Datos'!$AR150,"(Sin fecha)"),"")</f>
      </c>
      <c r="G150" s="204"/>
      <c r="H150" s="205"/>
      <c r="I150" s="204">
        <f>IF('_Datos'!$C150,IF(ISNUMBER('_Datos'!$AV150),'_Datos'!$AZ150,"(Sin fecha)"),"")</f>
      </c>
      <c r="J150" s="208">
        <f>IF('_Datos'!$C150,'_Datos'!$AX150,"")</f>
      </c>
      <c r="K150" s="205">
        <f>IF('_Datos'!$C150,IF('Proyecto Datos (OKR´s)'!$C150="","",'Proyecto Datos (OKR´s)'!$C150),"")</f>
      </c>
      <c r="L150" s="205"/>
      <c r="M150" s="191"/>
      <c r="N150" s="204">
        <f>IF('_Datos'!$C150,'_Datos'!$BA150,"")</f>
      </c>
    </row>
    <row r="151">
      <c r="B151" s="204">
        <f>IF('_Datos'!$C151,'_Datos'!$O151,"")</f>
      </c>
      <c r="C151" s="205">
        <f>IF('_Datos'!$C151,'_Datos'!$F151,IF('_Datos'!$B151,'Proyecto Datos (OKR´s)'!$G151,""))</f>
      </c>
      <c r="D151" s="204">
        <f>IF('_Datos'!$C151,'_Datos'!$AO151,"")</f>
      </c>
      <c r="E151" s="206">
        <f>IF('_Datos'!$C151,'_Datos'!$H151,"")</f>
      </c>
      <c r="F151" s="204">
        <f>IF('_Datos'!$C151,IF(ISNUMBER('_Datos'!$AR151),'_Datos'!$AR151,"(Sin fecha)"),"")</f>
      </c>
      <c r="G151" s="204"/>
      <c r="H151" s="205"/>
      <c r="I151" s="204">
        <f>IF('_Datos'!$C151,IF(ISNUMBER('_Datos'!$AV151),'_Datos'!$AZ151,"(Sin fecha)"),"")</f>
      </c>
      <c r="J151" s="208">
        <f>IF('_Datos'!$C151,'_Datos'!$AX151,"")</f>
      </c>
      <c r="K151" s="205">
        <f>IF('_Datos'!$C151,IF('Proyecto Datos (OKR´s)'!$C151="","",'Proyecto Datos (OKR´s)'!$C151),"")</f>
      </c>
      <c r="L151" s="205"/>
      <c r="M151" s="191"/>
      <c r="N151" s="204">
        <f>IF('_Datos'!$C151,'_Datos'!$BA151,"")</f>
      </c>
    </row>
    <row r="152">
      <c r="B152" s="204">
        <f>IF('_Datos'!$C152,'_Datos'!$O152,"")</f>
      </c>
      <c r="C152" s="205">
        <f>IF('_Datos'!$C152,'_Datos'!$F152,IF('_Datos'!$B152,'Proyecto Datos (OKR´s)'!$G152,""))</f>
      </c>
      <c r="D152" s="204">
        <f>IF('_Datos'!$C152,'_Datos'!$AO152,"")</f>
      </c>
      <c r="E152" s="206">
        <f>IF('_Datos'!$C152,'_Datos'!$H152,"")</f>
      </c>
      <c r="F152" s="204">
        <f>IF('_Datos'!$C152,IF(ISNUMBER('_Datos'!$AR152),'_Datos'!$AR152,"(Sin fecha)"),"")</f>
      </c>
      <c r="G152" s="204"/>
      <c r="H152" s="205"/>
      <c r="I152" s="204">
        <f>IF('_Datos'!$C152,IF(ISNUMBER('_Datos'!$AV152),'_Datos'!$AZ152,"(Sin fecha)"),"")</f>
      </c>
      <c r="J152" s="208">
        <f>IF('_Datos'!$C152,'_Datos'!$AX152,"")</f>
      </c>
      <c r="K152" s="205">
        <f>IF('_Datos'!$C152,IF('Proyecto Datos (OKR´s)'!$C152="","",'Proyecto Datos (OKR´s)'!$C152),"")</f>
      </c>
      <c r="L152" s="205"/>
      <c r="M152" s="191"/>
      <c r="N152" s="204">
        <f>IF('_Datos'!$C152,'_Datos'!$BA152,"")</f>
      </c>
    </row>
    <row r="153">
      <c r="B153" s="204">
        <f>IF('_Datos'!$C153,'_Datos'!$O153,"")</f>
      </c>
      <c r="C153" s="205">
        <f>IF('_Datos'!$C153,'_Datos'!$F153,IF('_Datos'!$B153,'Proyecto Datos (OKR´s)'!$G153,""))</f>
      </c>
      <c r="D153" s="204">
        <f>IF('_Datos'!$C153,'_Datos'!$AO153,"")</f>
      </c>
      <c r="E153" s="206">
        <f>IF('_Datos'!$C153,'_Datos'!$H153,"")</f>
      </c>
      <c r="F153" s="204">
        <f>IF('_Datos'!$C153,IF(ISNUMBER('_Datos'!$AR153),'_Datos'!$AR153,"(Sin fecha)"),"")</f>
      </c>
      <c r="G153" s="204"/>
      <c r="H153" s="205"/>
      <c r="I153" s="204">
        <f>IF('_Datos'!$C153,IF(ISNUMBER('_Datos'!$AV153),'_Datos'!$AZ153,"(Sin fecha)"),"")</f>
      </c>
      <c r="J153" s="208">
        <f>IF('_Datos'!$C153,'_Datos'!$AX153,"")</f>
      </c>
      <c r="K153" s="205">
        <f>IF('_Datos'!$C153,IF('Proyecto Datos (OKR´s)'!$C153="","",'Proyecto Datos (OKR´s)'!$C153),"")</f>
      </c>
      <c r="L153" s="205"/>
      <c r="M153" s="191"/>
      <c r="N153" s="204">
        <f>IF('_Datos'!$C153,'_Datos'!$BA153,"")</f>
      </c>
    </row>
    <row r="154">
      <c r="B154" s="204">
        <f>IF('_Datos'!$C154,'_Datos'!$O154,"")</f>
      </c>
      <c r="C154" s="205">
        <f>IF('_Datos'!$C154,'_Datos'!$F154,IF('_Datos'!$B154,'Proyecto Datos (OKR´s)'!$G154,""))</f>
      </c>
      <c r="D154" s="204">
        <f>IF('_Datos'!$C154,'_Datos'!$AO154,"")</f>
      </c>
      <c r="E154" s="206">
        <f>IF('_Datos'!$C154,'_Datos'!$H154,"")</f>
      </c>
      <c r="F154" s="204">
        <f>IF('_Datos'!$C154,IF(ISNUMBER('_Datos'!$AR154),'_Datos'!$AR154,"(Sin fecha)"),"")</f>
      </c>
      <c r="G154" s="204"/>
      <c r="H154" s="205"/>
      <c r="I154" s="204">
        <f>IF('_Datos'!$C154,IF(ISNUMBER('_Datos'!$AV154),'_Datos'!$AZ154,"(Sin fecha)"),"")</f>
      </c>
      <c r="J154" s="208">
        <f>IF('_Datos'!$C154,'_Datos'!$AX154,"")</f>
      </c>
      <c r="K154" s="205">
        <f>IF('_Datos'!$C154,IF('Proyecto Datos (OKR´s)'!$C154="","",'Proyecto Datos (OKR´s)'!$C154),"")</f>
      </c>
      <c r="L154" s="205"/>
      <c r="M154" s="191"/>
      <c r="N154" s="204">
        <f>IF('_Datos'!$C154,'_Datos'!$BA154,"")</f>
      </c>
    </row>
    <row r="155">
      <c r="B155" s="204">
        <f>IF('_Datos'!$C155,'_Datos'!$O155,"")</f>
      </c>
      <c r="C155" s="205">
        <f>IF('_Datos'!$C155,'_Datos'!$F155,IF('_Datos'!$B155,'Proyecto Datos (OKR´s)'!$G155,""))</f>
      </c>
      <c r="D155" s="204">
        <f>IF('_Datos'!$C155,'_Datos'!$AO155,"")</f>
      </c>
      <c r="E155" s="206">
        <f>IF('_Datos'!$C155,'_Datos'!$H155,"")</f>
      </c>
      <c r="F155" s="204">
        <f>IF('_Datos'!$C155,IF(ISNUMBER('_Datos'!$AR155),'_Datos'!$AR155,"(Sin fecha)"),"")</f>
      </c>
      <c r="G155" s="204"/>
      <c r="H155" s="205"/>
      <c r="I155" s="204">
        <f>IF('_Datos'!$C155,IF(ISNUMBER('_Datos'!$AV155),'_Datos'!$AZ155,"(Sin fecha)"),"")</f>
      </c>
      <c r="J155" s="208">
        <f>IF('_Datos'!$C155,'_Datos'!$AX155,"")</f>
      </c>
      <c r="K155" s="205">
        <f>IF('_Datos'!$C155,IF('Proyecto Datos (OKR´s)'!$C155="","",'Proyecto Datos (OKR´s)'!$C155),"")</f>
      </c>
      <c r="L155" s="205"/>
      <c r="M155" s="191"/>
      <c r="N155" s="204">
        <f>IF('_Datos'!$C155,'_Datos'!$BA155,"")</f>
      </c>
    </row>
    <row r="156">
      <c r="B156" s="204">
        <f>IF('_Datos'!$C156,'_Datos'!$O156,"")</f>
      </c>
      <c r="C156" s="205">
        <f>IF('_Datos'!$C156,'_Datos'!$F156,IF('_Datos'!$B156,'Proyecto Datos (OKR´s)'!$G156,""))</f>
      </c>
      <c r="D156" s="204">
        <f>IF('_Datos'!$C156,'_Datos'!$AO156,"")</f>
      </c>
      <c r="E156" s="206">
        <f>IF('_Datos'!$C156,'_Datos'!$H156,"")</f>
      </c>
      <c r="F156" s="204">
        <f>IF('_Datos'!$C156,IF(ISNUMBER('_Datos'!$AR156),'_Datos'!$AR156,"(Sin fecha)"),"")</f>
      </c>
      <c r="G156" s="204"/>
      <c r="H156" s="205"/>
      <c r="I156" s="204">
        <f>IF('_Datos'!$C156,IF(ISNUMBER('_Datos'!$AV156),'_Datos'!$AZ156,"(Sin fecha)"),"")</f>
      </c>
      <c r="J156" s="208">
        <f>IF('_Datos'!$C156,'_Datos'!$AX156,"")</f>
      </c>
      <c r="K156" s="205">
        <f>IF('_Datos'!$C156,IF('Proyecto Datos (OKR´s)'!$C156="","",'Proyecto Datos (OKR´s)'!$C156),"")</f>
      </c>
      <c r="L156" s="205"/>
      <c r="M156" s="191"/>
      <c r="N156" s="204">
        <f>IF('_Datos'!$C156,'_Datos'!$BA156,"")</f>
      </c>
    </row>
    <row r="157">
      <c r="B157" s="204">
        <f>IF('_Datos'!$C157,'_Datos'!$O157,"")</f>
      </c>
      <c r="C157" s="205">
        <f>IF('_Datos'!$C157,'_Datos'!$F157,IF('_Datos'!$B157,'Proyecto Datos (OKR´s)'!$G157,""))</f>
      </c>
      <c r="D157" s="204">
        <f>IF('_Datos'!$C157,'_Datos'!$AO157,"")</f>
      </c>
      <c r="E157" s="206">
        <f>IF('_Datos'!$C157,'_Datos'!$H157,"")</f>
      </c>
      <c r="F157" s="204">
        <f>IF('_Datos'!$C157,IF(ISNUMBER('_Datos'!$AR157),'_Datos'!$AR157,"(Sin fecha)"),"")</f>
      </c>
      <c r="G157" s="204"/>
      <c r="H157" s="205"/>
      <c r="I157" s="204">
        <f>IF('_Datos'!$C157,IF(ISNUMBER('_Datos'!$AV157),'_Datos'!$AZ157,"(Sin fecha)"),"")</f>
      </c>
      <c r="J157" s="208">
        <f>IF('_Datos'!$C157,'_Datos'!$AX157,"")</f>
      </c>
      <c r="K157" s="205">
        <f>IF('_Datos'!$C157,IF('Proyecto Datos (OKR´s)'!$C157="","",'Proyecto Datos (OKR´s)'!$C157),"")</f>
      </c>
      <c r="L157" s="205"/>
      <c r="M157" s="191"/>
      <c r="N157" s="204">
        <f>IF('_Datos'!$C157,'_Datos'!$BA157,"")</f>
      </c>
    </row>
    <row r="158">
      <c r="B158" s="204">
        <f>IF('_Datos'!$C158,'_Datos'!$O158,"")</f>
      </c>
      <c r="C158" s="205">
        <f>IF('_Datos'!$C158,'_Datos'!$F158,IF('_Datos'!$B158,'Proyecto Datos (OKR´s)'!$G158,""))</f>
      </c>
      <c r="D158" s="204">
        <f>IF('_Datos'!$C158,'_Datos'!$AO158,"")</f>
      </c>
      <c r="E158" s="206">
        <f>IF('_Datos'!$C158,'_Datos'!$H158,"")</f>
      </c>
      <c r="F158" s="204">
        <f>IF('_Datos'!$C158,IF(ISNUMBER('_Datos'!$AR158),'_Datos'!$AR158,"(Sin fecha)"),"")</f>
      </c>
      <c r="G158" s="204"/>
      <c r="H158" s="205"/>
      <c r="I158" s="204">
        <f>IF('_Datos'!$C158,IF(ISNUMBER('_Datos'!$AV158),'_Datos'!$AZ158,"(Sin fecha)"),"")</f>
      </c>
      <c r="J158" s="208">
        <f>IF('_Datos'!$C158,'_Datos'!$AX158,"")</f>
      </c>
      <c r="K158" s="205">
        <f>IF('_Datos'!$C158,IF('Proyecto Datos (OKR´s)'!$C158="","",'Proyecto Datos (OKR´s)'!$C158),"")</f>
      </c>
      <c r="L158" s="205"/>
      <c r="M158" s="191"/>
      <c r="N158" s="204">
        <f>IF('_Datos'!$C158,'_Datos'!$BA158,"")</f>
      </c>
    </row>
    <row r="159">
      <c r="B159" s="204">
        <f>IF('_Datos'!$C159,'_Datos'!$O159,"")</f>
      </c>
      <c r="C159" s="205">
        <f>IF('_Datos'!$C159,'_Datos'!$F159,IF('_Datos'!$B159,'Proyecto Datos (OKR´s)'!$G159,""))</f>
      </c>
      <c r="D159" s="204">
        <f>IF('_Datos'!$C159,'_Datos'!$AO159,"")</f>
      </c>
      <c r="E159" s="206">
        <f>IF('_Datos'!$C159,'_Datos'!$H159,"")</f>
      </c>
      <c r="F159" s="204">
        <f>IF('_Datos'!$C159,IF(ISNUMBER('_Datos'!$AR159),'_Datos'!$AR159,"(Sin fecha)"),"")</f>
      </c>
      <c r="G159" s="204"/>
      <c r="H159" s="205"/>
      <c r="I159" s="204">
        <f>IF('_Datos'!$C159,IF(ISNUMBER('_Datos'!$AV159),'_Datos'!$AZ159,"(Sin fecha)"),"")</f>
      </c>
      <c r="J159" s="208">
        <f>IF('_Datos'!$C159,'_Datos'!$AX159,"")</f>
      </c>
      <c r="K159" s="205">
        <f>IF('_Datos'!$C159,IF('Proyecto Datos (OKR´s)'!$C159="","",'Proyecto Datos (OKR´s)'!$C159),"")</f>
      </c>
      <c r="L159" s="205"/>
      <c r="M159" s="191"/>
      <c r="N159" s="204">
        <f>IF('_Datos'!$C159,'_Datos'!$BA159,"")</f>
      </c>
    </row>
    <row r="160">
      <c r="B160" s="204">
        <f>IF('_Datos'!$C160,'_Datos'!$O160,"")</f>
      </c>
      <c r="C160" s="205">
        <f>IF('_Datos'!$C160,'_Datos'!$F160,IF('_Datos'!$B160,'Proyecto Datos (OKR´s)'!$G160,""))</f>
      </c>
      <c r="D160" s="204">
        <f>IF('_Datos'!$C160,'_Datos'!$AO160,"")</f>
      </c>
      <c r="E160" s="206">
        <f>IF('_Datos'!$C160,'_Datos'!$H160,"")</f>
      </c>
      <c r="F160" s="204">
        <f>IF('_Datos'!$C160,IF(ISNUMBER('_Datos'!$AR160),'_Datos'!$AR160,"(Sin fecha)"),"")</f>
      </c>
      <c r="G160" s="204"/>
      <c r="H160" s="205"/>
      <c r="I160" s="204">
        <f>IF('_Datos'!$C160,IF(ISNUMBER('_Datos'!$AV160),'_Datos'!$AZ160,"(Sin fecha)"),"")</f>
      </c>
      <c r="J160" s="208">
        <f>IF('_Datos'!$C160,'_Datos'!$AX160,"")</f>
      </c>
      <c r="K160" s="205">
        <f>IF('_Datos'!$C160,IF('Proyecto Datos (OKR´s)'!$C160="","",'Proyecto Datos (OKR´s)'!$C160),"")</f>
      </c>
      <c r="L160" s="205"/>
      <c r="M160" s="191"/>
      <c r="N160" s="204">
        <f>IF('_Datos'!$C160,'_Datos'!$BA160,"")</f>
      </c>
    </row>
    <row r="161">
      <c r="B161" s="204">
        <f>IF('_Datos'!$C161,'_Datos'!$O161,"")</f>
      </c>
      <c r="C161" s="205">
        <f>IF('_Datos'!$C161,'_Datos'!$F161,IF('_Datos'!$B161,'Proyecto Datos (OKR´s)'!$G161,""))</f>
      </c>
      <c r="D161" s="204">
        <f>IF('_Datos'!$C161,'_Datos'!$AO161,"")</f>
      </c>
      <c r="E161" s="206">
        <f>IF('_Datos'!$C161,'_Datos'!$H161,"")</f>
      </c>
      <c r="F161" s="204">
        <f>IF('_Datos'!$C161,IF(ISNUMBER('_Datos'!$AR161),'_Datos'!$AR161,"(Sin fecha)"),"")</f>
      </c>
      <c r="G161" s="204"/>
      <c r="H161" s="205"/>
      <c r="I161" s="204">
        <f>IF('_Datos'!$C161,IF(ISNUMBER('_Datos'!$AV161),'_Datos'!$AZ161,"(Sin fecha)"),"")</f>
      </c>
      <c r="J161" s="208">
        <f>IF('_Datos'!$C161,'_Datos'!$AX161,"")</f>
      </c>
      <c r="K161" s="205">
        <f>IF('_Datos'!$C161,IF('Proyecto Datos (OKR´s)'!$C161="","",'Proyecto Datos (OKR´s)'!$C161),"")</f>
      </c>
      <c r="L161" s="205"/>
      <c r="M161" s="191"/>
      <c r="N161" s="204">
        <f>IF('_Datos'!$C161,'_Datos'!$BA161,"")</f>
      </c>
    </row>
    <row r="162">
      <c r="B162" s="204">
        <f>IF('_Datos'!$C162,'_Datos'!$O162,"")</f>
      </c>
      <c r="C162" s="205">
        <f>IF('_Datos'!$C162,'_Datos'!$F162,IF('_Datos'!$B162,'Proyecto Datos (OKR´s)'!$G162,""))</f>
      </c>
      <c r="D162" s="204">
        <f>IF('_Datos'!$C162,'_Datos'!$AO162,"")</f>
      </c>
      <c r="E162" s="206">
        <f>IF('_Datos'!$C162,'_Datos'!$H162,"")</f>
      </c>
      <c r="F162" s="204">
        <f>IF('_Datos'!$C162,IF(ISNUMBER('_Datos'!$AR162),'_Datos'!$AR162,"(Sin fecha)"),"")</f>
      </c>
      <c r="G162" s="204"/>
      <c r="H162" s="205"/>
      <c r="I162" s="204">
        <f>IF('_Datos'!$C162,IF(ISNUMBER('_Datos'!$AV162),'_Datos'!$AZ162,"(Sin fecha)"),"")</f>
      </c>
      <c r="J162" s="208">
        <f>IF('_Datos'!$C162,'_Datos'!$AX162,"")</f>
      </c>
      <c r="K162" s="205">
        <f>IF('_Datos'!$C162,IF('Proyecto Datos (OKR´s)'!$C162="","",'Proyecto Datos (OKR´s)'!$C162),"")</f>
      </c>
      <c r="L162" s="205"/>
      <c r="M162" s="191"/>
      <c r="N162" s="204">
        <f>IF('_Datos'!$C162,'_Datos'!$BA162,"")</f>
      </c>
    </row>
    <row r="163">
      <c r="B163" s="204">
        <f>IF('_Datos'!$C163,'_Datos'!$O163,"")</f>
      </c>
      <c r="C163" s="205">
        <f>IF('_Datos'!$C163,'_Datos'!$F163,IF('_Datos'!$B163,'Proyecto Datos (OKR´s)'!$G163,""))</f>
      </c>
      <c r="D163" s="204">
        <f>IF('_Datos'!$C163,'_Datos'!$AO163,"")</f>
      </c>
      <c r="E163" s="206">
        <f>IF('_Datos'!$C163,'_Datos'!$H163,"")</f>
      </c>
      <c r="F163" s="204">
        <f>IF('_Datos'!$C163,IF(ISNUMBER('_Datos'!$AR163),'_Datos'!$AR163,"(Sin fecha)"),"")</f>
      </c>
      <c r="G163" s="204"/>
      <c r="H163" s="205"/>
      <c r="I163" s="204">
        <f>IF('_Datos'!$C163,IF(ISNUMBER('_Datos'!$AV163),'_Datos'!$AZ163,"(Sin fecha)"),"")</f>
      </c>
      <c r="J163" s="208">
        <f>IF('_Datos'!$C163,'_Datos'!$AX163,"")</f>
      </c>
      <c r="K163" s="205">
        <f>IF('_Datos'!$C163,IF('Proyecto Datos (OKR´s)'!$C163="","",'Proyecto Datos (OKR´s)'!$C163),"")</f>
      </c>
      <c r="L163" s="205"/>
      <c r="M163" s="191"/>
      <c r="N163" s="204">
        <f>IF('_Datos'!$C163,'_Datos'!$BA163,"")</f>
      </c>
    </row>
    <row r="164">
      <c r="B164" s="204">
        <f>IF('_Datos'!$C164,'_Datos'!$O164,"")</f>
      </c>
      <c r="C164" s="205">
        <f>IF('_Datos'!$C164,'_Datos'!$F164,IF('_Datos'!$B164,'Proyecto Datos (OKR´s)'!$G164,""))</f>
      </c>
      <c r="D164" s="204">
        <f>IF('_Datos'!$C164,'_Datos'!$AO164,"")</f>
      </c>
      <c r="E164" s="206">
        <f>IF('_Datos'!$C164,'_Datos'!$H164,"")</f>
      </c>
      <c r="F164" s="204">
        <f>IF('_Datos'!$C164,IF(ISNUMBER('_Datos'!$AR164),'_Datos'!$AR164,"(Sin fecha)"),"")</f>
      </c>
      <c r="G164" s="204"/>
      <c r="H164" s="205"/>
      <c r="I164" s="204">
        <f>IF('_Datos'!$C164,IF(ISNUMBER('_Datos'!$AV164),'_Datos'!$AZ164,"(Sin fecha)"),"")</f>
      </c>
      <c r="J164" s="208">
        <f>IF('_Datos'!$C164,'_Datos'!$AX164,"")</f>
      </c>
      <c r="K164" s="205">
        <f>IF('_Datos'!$C164,IF('Proyecto Datos (OKR´s)'!$C164="","",'Proyecto Datos (OKR´s)'!$C164),"")</f>
      </c>
      <c r="L164" s="205"/>
      <c r="M164" s="191"/>
      <c r="N164" s="204">
        <f>IF('_Datos'!$C164,'_Datos'!$BA164,"")</f>
      </c>
    </row>
    <row r="165">
      <c r="B165" s="204">
        <f>IF('_Datos'!$C165,'_Datos'!$O165,"")</f>
      </c>
      <c r="C165" s="205">
        <f>IF('_Datos'!$C165,'_Datos'!$F165,IF('_Datos'!$B165,'Proyecto Datos (OKR´s)'!$G165,""))</f>
      </c>
      <c r="D165" s="204">
        <f>IF('_Datos'!$C165,'_Datos'!$AO165,"")</f>
      </c>
      <c r="E165" s="206">
        <f>IF('_Datos'!$C165,'_Datos'!$H165,"")</f>
      </c>
      <c r="F165" s="204">
        <f>IF('_Datos'!$C165,IF(ISNUMBER('_Datos'!$AR165),'_Datos'!$AR165,"(Sin fecha)"),"")</f>
      </c>
      <c r="G165" s="204"/>
      <c r="H165" s="205"/>
      <c r="I165" s="204">
        <f>IF('_Datos'!$C165,IF(ISNUMBER('_Datos'!$AV165),'_Datos'!$AZ165,"(Sin fecha)"),"")</f>
      </c>
      <c r="J165" s="208">
        <f>IF('_Datos'!$C165,'_Datos'!$AX165,"")</f>
      </c>
      <c r="K165" s="205">
        <f>IF('_Datos'!$C165,IF('Proyecto Datos (OKR´s)'!$C165="","",'Proyecto Datos (OKR´s)'!$C165),"")</f>
      </c>
      <c r="L165" s="205"/>
      <c r="M165" s="191"/>
      <c r="N165" s="204">
        <f>IF('_Datos'!$C165,'_Datos'!$BA165,"")</f>
      </c>
    </row>
    <row r="166">
      <c r="B166" s="204">
        <f>IF('_Datos'!$C166,'_Datos'!$O166,"")</f>
      </c>
      <c r="C166" s="205">
        <f>IF('_Datos'!$C166,'_Datos'!$F166,IF('_Datos'!$B166,'Proyecto Datos (OKR´s)'!$G166,""))</f>
      </c>
      <c r="D166" s="204">
        <f>IF('_Datos'!$C166,'_Datos'!$AO166,"")</f>
      </c>
      <c r="E166" s="206">
        <f>IF('_Datos'!$C166,'_Datos'!$H166,"")</f>
      </c>
      <c r="F166" s="204">
        <f>IF('_Datos'!$C166,IF(ISNUMBER('_Datos'!$AR166),'_Datos'!$AR166,"(Sin fecha)"),"")</f>
      </c>
      <c r="G166" s="204"/>
      <c r="H166" s="205"/>
      <c r="I166" s="204">
        <f>IF('_Datos'!$C166,IF(ISNUMBER('_Datos'!$AV166),'_Datos'!$AZ166,"(Sin fecha)"),"")</f>
      </c>
      <c r="J166" s="208">
        <f>IF('_Datos'!$C166,'_Datos'!$AX166,"")</f>
      </c>
      <c r="K166" s="205">
        <f>IF('_Datos'!$C166,IF('Proyecto Datos (OKR´s)'!$C166="","",'Proyecto Datos (OKR´s)'!$C166),"")</f>
      </c>
      <c r="L166" s="205"/>
      <c r="M166" s="191"/>
      <c r="N166" s="204">
        <f>IF('_Datos'!$C166,'_Datos'!$BA166,"")</f>
      </c>
    </row>
    <row r="167">
      <c r="B167" s="204">
        <f>IF('_Datos'!$C167,'_Datos'!$O167,"")</f>
      </c>
      <c r="C167" s="205">
        <f>IF('_Datos'!$C167,'_Datos'!$F167,IF('_Datos'!$B167,'Proyecto Datos (OKR´s)'!$G167,""))</f>
      </c>
      <c r="D167" s="204">
        <f>IF('_Datos'!$C167,'_Datos'!$AO167,"")</f>
      </c>
      <c r="E167" s="206">
        <f>IF('_Datos'!$C167,'_Datos'!$H167,"")</f>
      </c>
      <c r="F167" s="204">
        <f>IF('_Datos'!$C167,IF(ISNUMBER('_Datos'!$AR167),'_Datos'!$AR167,"(Sin fecha)"),"")</f>
      </c>
      <c r="G167" s="204"/>
      <c r="H167" s="205"/>
      <c r="I167" s="204">
        <f>IF('_Datos'!$C167,IF(ISNUMBER('_Datos'!$AV167),'_Datos'!$AZ167,"(Sin fecha)"),"")</f>
      </c>
      <c r="J167" s="208">
        <f>IF('_Datos'!$C167,'_Datos'!$AX167,"")</f>
      </c>
      <c r="K167" s="205">
        <f>IF('_Datos'!$C167,IF('Proyecto Datos (OKR´s)'!$C167="","",'Proyecto Datos (OKR´s)'!$C167),"")</f>
      </c>
      <c r="L167" s="205"/>
      <c r="M167" s="191"/>
      <c r="N167" s="204">
        <f>IF('_Datos'!$C167,'_Datos'!$BA167,"")</f>
      </c>
    </row>
    <row r="168">
      <c r="B168" s="204">
        <f>IF('_Datos'!$C168,'_Datos'!$O168,"")</f>
      </c>
      <c r="C168" s="205">
        <f>IF('_Datos'!$C168,'_Datos'!$F168,IF('_Datos'!$B168,'Proyecto Datos (OKR´s)'!$G168,""))</f>
      </c>
      <c r="D168" s="204">
        <f>IF('_Datos'!$C168,'_Datos'!$AO168,"")</f>
      </c>
      <c r="E168" s="206">
        <f>IF('_Datos'!$C168,'_Datos'!$H168,"")</f>
      </c>
      <c r="F168" s="204">
        <f>IF('_Datos'!$C168,IF(ISNUMBER('_Datos'!$AR168),'_Datos'!$AR168,"(Sin fecha)"),"")</f>
      </c>
      <c r="G168" s="204"/>
      <c r="H168" s="205"/>
      <c r="I168" s="204">
        <f>IF('_Datos'!$C168,IF(ISNUMBER('_Datos'!$AV168),'_Datos'!$AZ168,"(Sin fecha)"),"")</f>
      </c>
      <c r="J168" s="208">
        <f>IF('_Datos'!$C168,'_Datos'!$AX168,"")</f>
      </c>
      <c r="K168" s="205">
        <f>IF('_Datos'!$C168,IF('Proyecto Datos (OKR´s)'!$C168="","",'Proyecto Datos (OKR´s)'!$C168),"")</f>
      </c>
      <c r="L168" s="205"/>
      <c r="M168" s="191"/>
      <c r="N168" s="204">
        <f>IF('_Datos'!$C168,'_Datos'!$BA168,"")</f>
      </c>
    </row>
    <row r="169">
      <c r="B169" s="204">
        <f>IF('_Datos'!$C169,'_Datos'!$O169,"")</f>
      </c>
      <c r="C169" s="205">
        <f>IF('_Datos'!$C169,'_Datos'!$F169,IF('_Datos'!$B169,'Proyecto Datos (OKR´s)'!$G169,""))</f>
      </c>
      <c r="D169" s="204">
        <f>IF('_Datos'!$C169,'_Datos'!$AO169,"")</f>
      </c>
      <c r="E169" s="206">
        <f>IF('_Datos'!$C169,'_Datos'!$H169,"")</f>
      </c>
      <c r="F169" s="204">
        <f>IF('_Datos'!$C169,IF(ISNUMBER('_Datos'!$AR169),'_Datos'!$AR169,"(Sin fecha)"),"")</f>
      </c>
      <c r="G169" s="204"/>
      <c r="H169" s="205"/>
      <c r="I169" s="204">
        <f>IF('_Datos'!$C169,IF(ISNUMBER('_Datos'!$AV169),'_Datos'!$AZ169,"(Sin fecha)"),"")</f>
      </c>
      <c r="J169" s="208">
        <f>IF('_Datos'!$C169,'_Datos'!$AX169,"")</f>
      </c>
      <c r="K169" s="205">
        <f>IF('_Datos'!$C169,IF('Proyecto Datos (OKR´s)'!$C169="","",'Proyecto Datos (OKR´s)'!$C169),"")</f>
      </c>
      <c r="L169" s="205"/>
      <c r="M169" s="191"/>
      <c r="N169" s="204">
        <f>IF('_Datos'!$C169,'_Datos'!$BA169,"")</f>
      </c>
    </row>
    <row r="170">
      <c r="B170" s="204">
        <f>IF('_Datos'!$C170,'_Datos'!$O170,"")</f>
      </c>
      <c r="C170" s="205">
        <f>IF('_Datos'!$C170,'_Datos'!$F170,IF('_Datos'!$B170,'Proyecto Datos (OKR´s)'!$G170,""))</f>
      </c>
      <c r="D170" s="204">
        <f>IF('_Datos'!$C170,'_Datos'!$AO170,"")</f>
      </c>
      <c r="E170" s="206">
        <f>IF('_Datos'!$C170,'_Datos'!$H170,"")</f>
      </c>
      <c r="F170" s="204">
        <f>IF('_Datos'!$C170,IF(ISNUMBER('_Datos'!$AR170),'_Datos'!$AR170,"(Sin fecha)"),"")</f>
      </c>
      <c r="G170" s="204"/>
      <c r="H170" s="205"/>
      <c r="I170" s="204">
        <f>IF('_Datos'!$C170,IF(ISNUMBER('_Datos'!$AV170),'_Datos'!$AZ170,"(Sin fecha)"),"")</f>
      </c>
      <c r="J170" s="208">
        <f>IF('_Datos'!$C170,'_Datos'!$AX170,"")</f>
      </c>
      <c r="K170" s="205">
        <f>IF('_Datos'!$C170,IF('Proyecto Datos (OKR´s)'!$C170="","",'Proyecto Datos (OKR´s)'!$C170),"")</f>
      </c>
      <c r="L170" s="205"/>
      <c r="M170" s="191"/>
      <c r="N170" s="204">
        <f>IF('_Datos'!$C170,'_Datos'!$BA170,"")</f>
      </c>
    </row>
    <row r="171">
      <c r="B171" s="204">
        <f>IF('_Datos'!$C171,'_Datos'!$O171,"")</f>
      </c>
      <c r="C171" s="205">
        <f>IF('_Datos'!$C171,'_Datos'!$F171,IF('_Datos'!$B171,'Proyecto Datos (OKR´s)'!$G171,""))</f>
      </c>
      <c r="D171" s="204">
        <f>IF('_Datos'!$C171,'_Datos'!$AO171,"")</f>
      </c>
      <c r="E171" s="206">
        <f>IF('_Datos'!$C171,'_Datos'!$H171,"")</f>
      </c>
      <c r="F171" s="204">
        <f>IF('_Datos'!$C171,IF(ISNUMBER('_Datos'!$AR171),'_Datos'!$AR171,"(Sin fecha)"),"")</f>
      </c>
      <c r="G171" s="204"/>
      <c r="H171" s="205"/>
      <c r="I171" s="204">
        <f>IF('_Datos'!$C171,IF(ISNUMBER('_Datos'!$AV171),'_Datos'!$AZ171,"(Sin fecha)"),"")</f>
      </c>
      <c r="J171" s="208">
        <f>IF('_Datos'!$C171,'_Datos'!$AX171,"")</f>
      </c>
      <c r="K171" s="205">
        <f>IF('_Datos'!$C171,IF('Proyecto Datos (OKR´s)'!$C171="","",'Proyecto Datos (OKR´s)'!$C171),"")</f>
      </c>
      <c r="L171" s="205"/>
      <c r="M171" s="191"/>
      <c r="N171" s="204">
        <f>IF('_Datos'!$C171,'_Datos'!$BA171,"")</f>
      </c>
    </row>
    <row r="172">
      <c r="B172" s="204">
        <f>IF('_Datos'!$C172,'_Datos'!$O172,"")</f>
      </c>
      <c r="C172" s="205">
        <f>IF('_Datos'!$C172,'_Datos'!$F172,IF('_Datos'!$B172,'Proyecto Datos (OKR´s)'!$G172,""))</f>
      </c>
      <c r="D172" s="204">
        <f>IF('_Datos'!$C172,'_Datos'!$AO172,"")</f>
      </c>
      <c r="E172" s="206">
        <f>IF('_Datos'!$C172,'_Datos'!$H172,"")</f>
      </c>
      <c r="F172" s="204">
        <f>IF('_Datos'!$C172,IF(ISNUMBER('_Datos'!$AR172),'_Datos'!$AR172,"(Sin fecha)"),"")</f>
      </c>
      <c r="G172" s="204"/>
      <c r="H172" s="205"/>
      <c r="I172" s="204">
        <f>IF('_Datos'!$C172,IF(ISNUMBER('_Datos'!$AV172),'_Datos'!$AZ172,"(Sin fecha)"),"")</f>
      </c>
      <c r="J172" s="208">
        <f>IF('_Datos'!$C172,'_Datos'!$AX172,"")</f>
      </c>
      <c r="K172" s="205">
        <f>IF('_Datos'!$C172,IF('Proyecto Datos (OKR´s)'!$C172="","",'Proyecto Datos (OKR´s)'!$C172),"")</f>
      </c>
      <c r="L172" s="205"/>
      <c r="M172" s="191"/>
      <c r="N172" s="204">
        <f>IF('_Datos'!$C172,'_Datos'!$BA172,"")</f>
      </c>
    </row>
    <row r="173">
      <c r="B173" s="204">
        <f>IF('_Datos'!$C173,'_Datos'!$O173,"")</f>
      </c>
      <c r="C173" s="205">
        <f>IF('_Datos'!$C173,'_Datos'!$F173,IF('_Datos'!$B173,'Proyecto Datos (OKR´s)'!$G173,""))</f>
      </c>
      <c r="D173" s="204">
        <f>IF('_Datos'!$C173,'_Datos'!$AO173,"")</f>
      </c>
      <c r="E173" s="206">
        <f>IF('_Datos'!$C173,'_Datos'!$H173,"")</f>
      </c>
      <c r="F173" s="204">
        <f>IF('_Datos'!$C173,IF(ISNUMBER('_Datos'!$AR173),'_Datos'!$AR173,"(Sin fecha)"),"")</f>
      </c>
      <c r="G173" s="204"/>
      <c r="H173" s="205"/>
      <c r="I173" s="204">
        <f>IF('_Datos'!$C173,IF(ISNUMBER('_Datos'!$AV173),'_Datos'!$AZ173,"(Sin fecha)"),"")</f>
      </c>
      <c r="J173" s="208">
        <f>IF('_Datos'!$C173,'_Datos'!$AX173,"")</f>
      </c>
      <c r="K173" s="205">
        <f>IF('_Datos'!$C173,IF('Proyecto Datos (OKR´s)'!$C173="","",'Proyecto Datos (OKR´s)'!$C173),"")</f>
      </c>
      <c r="L173" s="205"/>
      <c r="M173" s="191"/>
      <c r="N173" s="204">
        <f>IF('_Datos'!$C173,'_Datos'!$BA173,"")</f>
      </c>
    </row>
    <row r="174">
      <c r="B174" s="204">
        <f>IF('_Datos'!$C174,'_Datos'!$O174,"")</f>
      </c>
      <c r="C174" s="205">
        <f>IF('_Datos'!$C174,'_Datos'!$F174,IF('_Datos'!$B174,'Proyecto Datos (OKR´s)'!$G174,""))</f>
      </c>
      <c r="D174" s="204">
        <f>IF('_Datos'!$C174,'_Datos'!$AO174,"")</f>
      </c>
      <c r="E174" s="206">
        <f>IF('_Datos'!$C174,'_Datos'!$H174,"")</f>
      </c>
      <c r="F174" s="204">
        <f>IF('_Datos'!$C174,IF(ISNUMBER('_Datos'!$AR174),'_Datos'!$AR174,"(Sin fecha)"),"")</f>
      </c>
      <c r="G174" s="204"/>
      <c r="H174" s="205"/>
      <c r="I174" s="204">
        <f>IF('_Datos'!$C174,IF(ISNUMBER('_Datos'!$AV174),'_Datos'!$AZ174,"(Sin fecha)"),"")</f>
      </c>
      <c r="J174" s="208">
        <f>IF('_Datos'!$C174,'_Datos'!$AX174,"")</f>
      </c>
      <c r="K174" s="205">
        <f>IF('_Datos'!$C174,IF('Proyecto Datos (OKR´s)'!$C174="","",'Proyecto Datos (OKR´s)'!$C174),"")</f>
      </c>
      <c r="L174" s="205"/>
      <c r="M174" s="191"/>
      <c r="N174" s="204">
        <f>IF('_Datos'!$C174,'_Datos'!$BA174,"")</f>
      </c>
    </row>
    <row r="175">
      <c r="B175" s="204">
        <f>IF('_Datos'!$C175,'_Datos'!$O175,"")</f>
      </c>
      <c r="C175" s="205">
        <f>IF('_Datos'!$C175,'_Datos'!$F175,IF('_Datos'!$B175,'Proyecto Datos (OKR´s)'!$G175,""))</f>
      </c>
      <c r="D175" s="204">
        <f>IF('_Datos'!$C175,'_Datos'!$AO175,"")</f>
      </c>
      <c r="E175" s="206">
        <f>IF('_Datos'!$C175,'_Datos'!$H175,"")</f>
      </c>
      <c r="F175" s="204">
        <f>IF('_Datos'!$C175,IF(ISNUMBER('_Datos'!$AR175),'_Datos'!$AR175,"(Sin fecha)"),"")</f>
      </c>
      <c r="G175" s="204"/>
      <c r="H175" s="205"/>
      <c r="I175" s="204">
        <f>IF('_Datos'!$C175,IF(ISNUMBER('_Datos'!$AV175),'_Datos'!$AZ175,"(Sin fecha)"),"")</f>
      </c>
      <c r="J175" s="208">
        <f>IF('_Datos'!$C175,'_Datos'!$AX175,"")</f>
      </c>
      <c r="K175" s="205">
        <f>IF('_Datos'!$C175,IF('Proyecto Datos (OKR´s)'!$C175="","",'Proyecto Datos (OKR´s)'!$C175),"")</f>
      </c>
      <c r="L175" s="205"/>
      <c r="M175" s="191"/>
      <c r="N175" s="204">
        <f>IF('_Datos'!$C175,'_Datos'!$BA175,"")</f>
      </c>
    </row>
    <row r="176">
      <c r="B176" s="204">
        <f>IF('_Datos'!$C176,'_Datos'!$O176,"")</f>
      </c>
      <c r="C176" s="205">
        <f>IF('_Datos'!$C176,'_Datos'!$F176,IF('_Datos'!$B176,'Proyecto Datos (OKR´s)'!$G176,""))</f>
      </c>
      <c r="D176" s="204">
        <f>IF('_Datos'!$C176,'_Datos'!$AO176,"")</f>
      </c>
      <c r="E176" s="206">
        <f>IF('_Datos'!$C176,'_Datos'!$H176,"")</f>
      </c>
      <c r="F176" s="204">
        <f>IF('_Datos'!$C176,IF(ISNUMBER('_Datos'!$AR176),'_Datos'!$AR176,"(Sin fecha)"),"")</f>
      </c>
      <c r="G176" s="204"/>
      <c r="H176" s="205"/>
      <c r="I176" s="204">
        <f>IF('_Datos'!$C176,IF(ISNUMBER('_Datos'!$AV176),'_Datos'!$AZ176,"(Sin fecha)"),"")</f>
      </c>
      <c r="J176" s="208">
        <f>IF('_Datos'!$C176,'_Datos'!$AX176,"")</f>
      </c>
      <c r="K176" s="205">
        <f>IF('_Datos'!$C176,IF('Proyecto Datos (OKR´s)'!$C176="","",'Proyecto Datos (OKR´s)'!$C176),"")</f>
      </c>
      <c r="L176" s="205"/>
      <c r="M176" s="191"/>
      <c r="N176" s="204">
        <f>IF('_Datos'!$C176,'_Datos'!$BA176,"")</f>
      </c>
    </row>
    <row r="177">
      <c r="B177" s="204">
        <f>IF('_Datos'!$C177,'_Datos'!$O177,"")</f>
      </c>
      <c r="C177" s="205">
        <f>IF('_Datos'!$C177,'_Datos'!$F177,IF('_Datos'!$B177,'Proyecto Datos (OKR´s)'!$G177,""))</f>
      </c>
      <c r="D177" s="204">
        <f>IF('_Datos'!$C177,'_Datos'!$AO177,"")</f>
      </c>
      <c r="E177" s="206">
        <f>IF('_Datos'!$C177,'_Datos'!$H177,"")</f>
      </c>
      <c r="F177" s="204">
        <f>IF('_Datos'!$C177,IF(ISNUMBER('_Datos'!$AR177),'_Datos'!$AR177,"(Sin fecha)"),"")</f>
      </c>
      <c r="G177" s="204"/>
      <c r="H177" s="205"/>
      <c r="I177" s="204">
        <f>IF('_Datos'!$C177,IF(ISNUMBER('_Datos'!$AV177),'_Datos'!$AZ177,"(Sin fecha)"),"")</f>
      </c>
      <c r="J177" s="208">
        <f>IF('_Datos'!$C177,'_Datos'!$AX177,"")</f>
      </c>
      <c r="K177" s="205">
        <f>IF('_Datos'!$C177,IF('Proyecto Datos (OKR´s)'!$C177="","",'Proyecto Datos (OKR´s)'!$C177),"")</f>
      </c>
      <c r="L177" s="205"/>
      <c r="M177" s="191"/>
      <c r="N177" s="204">
        <f>IF('_Datos'!$C177,'_Datos'!$BA177,"")</f>
      </c>
    </row>
    <row r="178">
      <c r="B178" s="204">
        <f>IF('_Datos'!$C178,'_Datos'!$O178,"")</f>
      </c>
      <c r="C178" s="205">
        <f>IF('_Datos'!$C178,'_Datos'!$F178,IF('_Datos'!$B178,'Proyecto Datos (OKR´s)'!$G178,""))</f>
      </c>
      <c r="D178" s="204">
        <f>IF('_Datos'!$C178,'_Datos'!$AO178,"")</f>
      </c>
      <c r="E178" s="206">
        <f>IF('_Datos'!$C178,'_Datos'!$H178,"")</f>
      </c>
      <c r="F178" s="204">
        <f>IF('_Datos'!$C178,IF(ISNUMBER('_Datos'!$AR178),'_Datos'!$AR178,"(Sin fecha)"),"")</f>
      </c>
      <c r="G178" s="204"/>
      <c r="H178" s="205"/>
      <c r="I178" s="204">
        <f>IF('_Datos'!$C178,IF(ISNUMBER('_Datos'!$AV178),'_Datos'!$AZ178,"(Sin fecha)"),"")</f>
      </c>
      <c r="J178" s="208">
        <f>IF('_Datos'!$C178,'_Datos'!$AX178,"")</f>
      </c>
      <c r="K178" s="205">
        <f>IF('_Datos'!$C178,IF('Proyecto Datos (OKR´s)'!$C178="","",'Proyecto Datos (OKR´s)'!$C178),"")</f>
      </c>
      <c r="L178" s="205"/>
      <c r="M178" s="191"/>
      <c r="N178" s="204">
        <f>IF('_Datos'!$C178,'_Datos'!$BA178,"")</f>
      </c>
    </row>
    <row r="179">
      <c r="B179" s="204">
        <f>IF('_Datos'!$C179,'_Datos'!$O179,"")</f>
      </c>
      <c r="C179" s="205">
        <f>IF('_Datos'!$C179,'_Datos'!$F179,IF('_Datos'!$B179,'Proyecto Datos (OKR´s)'!$G179,""))</f>
      </c>
      <c r="D179" s="204">
        <f>IF('_Datos'!$C179,'_Datos'!$AO179,"")</f>
      </c>
      <c r="E179" s="206">
        <f>IF('_Datos'!$C179,'_Datos'!$H179,"")</f>
      </c>
      <c r="F179" s="204">
        <f>IF('_Datos'!$C179,IF(ISNUMBER('_Datos'!$AR179),'_Datos'!$AR179,"(Sin fecha)"),"")</f>
      </c>
      <c r="G179" s="204"/>
      <c r="H179" s="205"/>
      <c r="I179" s="204">
        <f>IF('_Datos'!$C179,IF(ISNUMBER('_Datos'!$AV179),'_Datos'!$AZ179,"(Sin fecha)"),"")</f>
      </c>
      <c r="J179" s="208">
        <f>IF('_Datos'!$C179,'_Datos'!$AX179,"")</f>
      </c>
      <c r="K179" s="205">
        <f>IF('_Datos'!$C179,IF('Proyecto Datos (OKR´s)'!$C179="","",'Proyecto Datos (OKR´s)'!$C179),"")</f>
      </c>
      <c r="L179" s="205"/>
      <c r="M179" s="191"/>
      <c r="N179" s="204">
        <f>IF('_Datos'!$C179,'_Datos'!$BA179,"")</f>
      </c>
    </row>
    <row r="180">
      <c r="B180" s="204">
        <f>IF('_Datos'!$C180,'_Datos'!$O180,"")</f>
      </c>
      <c r="C180" s="205">
        <f>IF('_Datos'!$C180,'_Datos'!$F180,IF('_Datos'!$B180,'Proyecto Datos (OKR´s)'!$G180,""))</f>
      </c>
      <c r="D180" s="204">
        <f>IF('_Datos'!$C180,'_Datos'!$AO180,"")</f>
      </c>
      <c r="E180" s="206">
        <f>IF('_Datos'!$C180,'_Datos'!$H180,"")</f>
      </c>
      <c r="F180" s="204">
        <f>IF('_Datos'!$C180,IF(ISNUMBER('_Datos'!$AR180),'_Datos'!$AR180,"(Sin fecha)"),"")</f>
      </c>
      <c r="G180" s="204"/>
      <c r="H180" s="205"/>
      <c r="I180" s="204">
        <f>IF('_Datos'!$C180,IF(ISNUMBER('_Datos'!$AV180),'_Datos'!$AZ180,"(Sin fecha)"),"")</f>
      </c>
      <c r="J180" s="208">
        <f>IF('_Datos'!$C180,'_Datos'!$AX180,"")</f>
      </c>
      <c r="K180" s="205">
        <f>IF('_Datos'!$C180,IF('Proyecto Datos (OKR´s)'!$C180="","",'Proyecto Datos (OKR´s)'!$C180),"")</f>
      </c>
      <c r="L180" s="205"/>
      <c r="M180" s="191"/>
      <c r="N180" s="204">
        <f>IF('_Datos'!$C180,'_Datos'!$BA180,"")</f>
      </c>
    </row>
    <row r="181">
      <c r="B181" s="204">
        <f>IF('_Datos'!$C181,'_Datos'!$O181,"")</f>
      </c>
      <c r="C181" s="205">
        <f>IF('_Datos'!$C181,'_Datos'!$F181,IF('_Datos'!$B181,'Proyecto Datos (OKR´s)'!$G181,""))</f>
      </c>
      <c r="D181" s="204">
        <f>IF('_Datos'!$C181,'_Datos'!$AO181,"")</f>
      </c>
      <c r="E181" s="206">
        <f>IF('_Datos'!$C181,'_Datos'!$H181,"")</f>
      </c>
      <c r="F181" s="204">
        <f>IF('_Datos'!$C181,IF(ISNUMBER('_Datos'!$AR181),'_Datos'!$AR181,"(Sin fecha)"),"")</f>
      </c>
      <c r="G181" s="204"/>
      <c r="H181" s="205"/>
      <c r="I181" s="204">
        <f>IF('_Datos'!$C181,IF(ISNUMBER('_Datos'!$AV181),'_Datos'!$AZ181,"(Sin fecha)"),"")</f>
      </c>
      <c r="J181" s="208">
        <f>IF('_Datos'!$C181,'_Datos'!$AX181,"")</f>
      </c>
      <c r="K181" s="205">
        <f>IF('_Datos'!$C181,IF('Proyecto Datos (OKR´s)'!$C181="","",'Proyecto Datos (OKR´s)'!$C181),"")</f>
      </c>
      <c r="L181" s="205"/>
      <c r="M181" s="191"/>
      <c r="N181" s="204">
        <f>IF('_Datos'!$C181,'_Datos'!$BA181,"")</f>
      </c>
    </row>
    <row r="182">
      <c r="B182" s="204">
        <f>IF('_Datos'!$C182,'_Datos'!$O182,"")</f>
      </c>
      <c r="C182" s="205">
        <f>IF('_Datos'!$C182,'_Datos'!$F182,IF('_Datos'!$B182,'Proyecto Datos (OKR´s)'!$G182,""))</f>
      </c>
      <c r="D182" s="204">
        <f>IF('_Datos'!$C182,'_Datos'!$AO182,"")</f>
      </c>
      <c r="E182" s="206">
        <f>IF('_Datos'!$C182,'_Datos'!$H182,"")</f>
      </c>
      <c r="F182" s="204">
        <f>IF('_Datos'!$C182,IF(ISNUMBER('_Datos'!$AR182),'_Datos'!$AR182,"(Sin fecha)"),"")</f>
      </c>
      <c r="G182" s="204"/>
      <c r="H182" s="205"/>
      <c r="I182" s="204">
        <f>IF('_Datos'!$C182,IF(ISNUMBER('_Datos'!$AV182),'_Datos'!$AZ182,"(Sin fecha)"),"")</f>
      </c>
      <c r="J182" s="208">
        <f>IF('_Datos'!$C182,'_Datos'!$AX182,"")</f>
      </c>
      <c r="K182" s="205">
        <f>IF('_Datos'!$C182,IF('Proyecto Datos (OKR´s)'!$C182="","",'Proyecto Datos (OKR´s)'!$C182),"")</f>
      </c>
      <c r="L182" s="205"/>
      <c r="M182" s="191"/>
      <c r="N182" s="204">
        <f>IF('_Datos'!$C182,'_Datos'!$BA182,"")</f>
      </c>
    </row>
    <row r="183">
      <c r="B183" s="204">
        <f>IF('_Datos'!$C183,'_Datos'!$O183,"")</f>
      </c>
      <c r="C183" s="205">
        <f>IF('_Datos'!$C183,'_Datos'!$F183,IF('_Datos'!$B183,'Proyecto Datos (OKR´s)'!$G183,""))</f>
      </c>
      <c r="D183" s="204">
        <f>IF('_Datos'!$C183,'_Datos'!$AO183,"")</f>
      </c>
      <c r="E183" s="206">
        <f>IF('_Datos'!$C183,'_Datos'!$H183,"")</f>
      </c>
      <c r="F183" s="204">
        <f>IF('_Datos'!$C183,IF(ISNUMBER('_Datos'!$AR183),'_Datos'!$AR183,"(Sin fecha)"),"")</f>
      </c>
      <c r="G183" s="204"/>
      <c r="H183" s="205"/>
      <c r="I183" s="204">
        <f>IF('_Datos'!$C183,IF(ISNUMBER('_Datos'!$AV183),'_Datos'!$AZ183,"(Sin fecha)"),"")</f>
      </c>
      <c r="J183" s="208">
        <f>IF('_Datos'!$C183,'_Datos'!$AX183,"")</f>
      </c>
      <c r="K183" s="205">
        <f>IF('_Datos'!$C183,IF('Proyecto Datos (OKR´s)'!$C183="","",'Proyecto Datos (OKR´s)'!$C183),"")</f>
      </c>
      <c r="L183" s="205"/>
      <c r="M183" s="191"/>
      <c r="N183" s="204">
        <f>IF('_Datos'!$C183,'_Datos'!$BA183,"")</f>
      </c>
    </row>
    <row r="184">
      <c r="B184" s="204">
        <f>IF('_Datos'!$C184,'_Datos'!$O184,"")</f>
      </c>
      <c r="C184" s="205">
        <f>IF('_Datos'!$C184,'_Datos'!$F184,IF('_Datos'!$B184,'Proyecto Datos (OKR´s)'!$G184,""))</f>
      </c>
      <c r="D184" s="204">
        <f>IF('_Datos'!$C184,'_Datos'!$AO184,"")</f>
      </c>
      <c r="E184" s="206">
        <f>IF('_Datos'!$C184,'_Datos'!$H184,"")</f>
      </c>
      <c r="F184" s="204">
        <f>IF('_Datos'!$C184,IF(ISNUMBER('_Datos'!$AR184),'_Datos'!$AR184,"(Sin fecha)"),"")</f>
      </c>
      <c r="G184" s="204"/>
      <c r="H184" s="205"/>
      <c r="I184" s="204">
        <f>IF('_Datos'!$C184,IF(ISNUMBER('_Datos'!$AV184),'_Datos'!$AZ184,"(Sin fecha)"),"")</f>
      </c>
      <c r="J184" s="208">
        <f>IF('_Datos'!$C184,'_Datos'!$AX184,"")</f>
      </c>
      <c r="K184" s="205">
        <f>IF('_Datos'!$C184,IF('Proyecto Datos (OKR´s)'!$C184="","",'Proyecto Datos (OKR´s)'!$C184),"")</f>
      </c>
      <c r="L184" s="205"/>
      <c r="M184" s="191"/>
      <c r="N184" s="204">
        <f>IF('_Datos'!$C184,'_Datos'!$BA184,"")</f>
      </c>
    </row>
    <row r="185">
      <c r="B185" s="204">
        <f>IF('_Datos'!$C185,'_Datos'!$O185,"")</f>
      </c>
      <c r="C185" s="205">
        <f>IF('_Datos'!$C185,'_Datos'!$F185,IF('_Datos'!$B185,'Proyecto Datos (OKR´s)'!$G185,""))</f>
      </c>
      <c r="D185" s="204">
        <f>IF('_Datos'!$C185,'_Datos'!$AO185,"")</f>
      </c>
      <c r="E185" s="206">
        <f>IF('_Datos'!$C185,'_Datos'!$H185,"")</f>
      </c>
      <c r="F185" s="204">
        <f>IF('_Datos'!$C185,IF(ISNUMBER('_Datos'!$AR185),'_Datos'!$AR185,"(Sin fecha)"),"")</f>
      </c>
      <c r="G185" s="204"/>
      <c r="H185" s="205"/>
      <c r="I185" s="204">
        <f>IF('_Datos'!$C185,IF(ISNUMBER('_Datos'!$AV185),'_Datos'!$AZ185,"(Sin fecha)"),"")</f>
      </c>
      <c r="J185" s="208">
        <f>IF('_Datos'!$C185,'_Datos'!$AX185,"")</f>
      </c>
      <c r="K185" s="205">
        <f>IF('_Datos'!$C185,IF('Proyecto Datos (OKR´s)'!$C185="","",'Proyecto Datos (OKR´s)'!$C185),"")</f>
      </c>
      <c r="L185" s="205"/>
      <c r="M185" s="191"/>
      <c r="N185" s="204">
        <f>IF('_Datos'!$C185,'_Datos'!$BA185,"")</f>
      </c>
    </row>
    <row r="186">
      <c r="B186" s="204">
        <f>IF('_Datos'!$C186,'_Datos'!$O186,"")</f>
      </c>
      <c r="C186" s="205">
        <f>IF('_Datos'!$C186,'_Datos'!$F186,IF('_Datos'!$B186,'Proyecto Datos (OKR´s)'!$G186,""))</f>
      </c>
      <c r="D186" s="204">
        <f>IF('_Datos'!$C186,'_Datos'!$AO186,"")</f>
      </c>
      <c r="E186" s="206">
        <f>IF('_Datos'!$C186,'_Datos'!$H186,"")</f>
      </c>
      <c r="F186" s="204">
        <f>IF('_Datos'!$C186,IF(ISNUMBER('_Datos'!$AR186),'_Datos'!$AR186,"(Sin fecha)"),"")</f>
      </c>
      <c r="G186" s="204"/>
      <c r="H186" s="205"/>
      <c r="I186" s="204">
        <f>IF('_Datos'!$C186,IF(ISNUMBER('_Datos'!$AV186),'_Datos'!$AZ186,"(Sin fecha)"),"")</f>
      </c>
      <c r="J186" s="208">
        <f>IF('_Datos'!$C186,'_Datos'!$AX186,"")</f>
      </c>
      <c r="K186" s="205">
        <f>IF('_Datos'!$C186,IF('Proyecto Datos (OKR´s)'!$C186="","",'Proyecto Datos (OKR´s)'!$C186),"")</f>
      </c>
      <c r="L186" s="205"/>
      <c r="M186" s="191"/>
      <c r="N186" s="204">
        <f>IF('_Datos'!$C186,'_Datos'!$BA186,"")</f>
      </c>
    </row>
    <row r="187">
      <c r="B187" s="204">
        <f>IF('_Datos'!$C187,'_Datos'!$O187,"")</f>
      </c>
      <c r="C187" s="205">
        <f>IF('_Datos'!$C187,'_Datos'!$F187,IF('_Datos'!$B187,'Proyecto Datos (OKR´s)'!$G187,""))</f>
      </c>
      <c r="D187" s="204">
        <f>IF('_Datos'!$C187,'_Datos'!$AO187,"")</f>
      </c>
      <c r="E187" s="206">
        <f>IF('_Datos'!$C187,'_Datos'!$H187,"")</f>
      </c>
      <c r="F187" s="204">
        <f>IF('_Datos'!$C187,IF(ISNUMBER('_Datos'!$AR187),'_Datos'!$AR187,"(Sin fecha)"),"")</f>
      </c>
      <c r="G187" s="204"/>
      <c r="H187" s="205"/>
      <c r="I187" s="204">
        <f>IF('_Datos'!$C187,IF(ISNUMBER('_Datos'!$AV187),'_Datos'!$AZ187,"(Sin fecha)"),"")</f>
      </c>
      <c r="J187" s="208">
        <f>IF('_Datos'!$C187,'_Datos'!$AX187,"")</f>
      </c>
      <c r="K187" s="205">
        <f>IF('_Datos'!$C187,IF('Proyecto Datos (OKR´s)'!$C187="","",'Proyecto Datos (OKR´s)'!$C187),"")</f>
      </c>
      <c r="L187" s="205"/>
      <c r="M187" s="191"/>
      <c r="N187" s="204">
        <f>IF('_Datos'!$C187,'_Datos'!$BA187,"")</f>
      </c>
    </row>
    <row r="188">
      <c r="B188" s="204">
        <f>IF('_Datos'!$C188,'_Datos'!$O188,"")</f>
      </c>
      <c r="C188" s="205">
        <f>IF('_Datos'!$C188,'_Datos'!$F188,IF('_Datos'!$B188,'Proyecto Datos (OKR´s)'!$G188,""))</f>
      </c>
      <c r="D188" s="204">
        <f>IF('_Datos'!$C188,'_Datos'!$AO188,"")</f>
      </c>
      <c r="E188" s="206">
        <f>IF('_Datos'!$C188,'_Datos'!$H188,"")</f>
      </c>
      <c r="F188" s="204">
        <f>IF('_Datos'!$C188,IF(ISNUMBER('_Datos'!$AR188),'_Datos'!$AR188,"(Sin fecha)"),"")</f>
      </c>
      <c r="G188" s="204"/>
      <c r="H188" s="205"/>
      <c r="I188" s="204">
        <f>IF('_Datos'!$C188,IF(ISNUMBER('_Datos'!$AV188),'_Datos'!$AZ188,"(Sin fecha)"),"")</f>
      </c>
      <c r="J188" s="208">
        <f>IF('_Datos'!$C188,'_Datos'!$AX188,"")</f>
      </c>
      <c r="K188" s="205">
        <f>IF('_Datos'!$C188,IF('Proyecto Datos (OKR´s)'!$C188="","",'Proyecto Datos (OKR´s)'!$C188),"")</f>
      </c>
      <c r="L188" s="205"/>
      <c r="M188" s="191"/>
      <c r="N188" s="204">
        <f>IF('_Datos'!$C188,'_Datos'!$BA188,"")</f>
      </c>
    </row>
    <row r="189">
      <c r="B189" s="204">
        <f>IF('_Datos'!$C189,'_Datos'!$O189,"")</f>
      </c>
      <c r="C189" s="205">
        <f>IF('_Datos'!$C189,'_Datos'!$F189,IF('_Datos'!$B189,'Proyecto Datos (OKR´s)'!$G189,""))</f>
      </c>
      <c r="D189" s="204">
        <f>IF('_Datos'!$C189,'_Datos'!$AO189,"")</f>
      </c>
      <c r="E189" s="206">
        <f>IF('_Datos'!$C189,'_Datos'!$H189,"")</f>
      </c>
      <c r="F189" s="204">
        <f>IF('_Datos'!$C189,IF(ISNUMBER('_Datos'!$AR189),'_Datos'!$AR189,"(Sin fecha)"),"")</f>
      </c>
      <c r="G189" s="204"/>
      <c r="H189" s="205"/>
      <c r="I189" s="204">
        <f>IF('_Datos'!$C189,IF(ISNUMBER('_Datos'!$AV189),'_Datos'!$AZ189,"(Sin fecha)"),"")</f>
      </c>
      <c r="J189" s="208">
        <f>IF('_Datos'!$C189,'_Datos'!$AX189,"")</f>
      </c>
      <c r="K189" s="205">
        <f>IF('_Datos'!$C189,IF('Proyecto Datos (OKR´s)'!$C189="","",'Proyecto Datos (OKR´s)'!$C189),"")</f>
      </c>
      <c r="L189" s="205"/>
      <c r="M189" s="191"/>
      <c r="N189" s="204">
        <f>IF('_Datos'!$C189,'_Datos'!$BA189,"")</f>
      </c>
    </row>
    <row r="190">
      <c r="B190" s="204">
        <f>IF('_Datos'!$C190,'_Datos'!$O190,"")</f>
      </c>
      <c r="C190" s="205">
        <f>IF('_Datos'!$C190,'_Datos'!$F190,IF('_Datos'!$B190,'Proyecto Datos (OKR´s)'!$G190,""))</f>
      </c>
      <c r="D190" s="204">
        <f>IF('_Datos'!$C190,'_Datos'!$AO190,"")</f>
      </c>
      <c r="E190" s="206">
        <f>IF('_Datos'!$C190,'_Datos'!$H190,"")</f>
      </c>
      <c r="F190" s="204">
        <f>IF('_Datos'!$C190,IF(ISNUMBER('_Datos'!$AR190),'_Datos'!$AR190,"(Sin fecha)"),"")</f>
      </c>
      <c r="G190" s="204"/>
      <c r="H190" s="205"/>
      <c r="I190" s="204">
        <f>IF('_Datos'!$C190,IF(ISNUMBER('_Datos'!$AV190),'_Datos'!$AZ190,"(Sin fecha)"),"")</f>
      </c>
      <c r="J190" s="208">
        <f>IF('_Datos'!$C190,'_Datos'!$AX190,"")</f>
      </c>
      <c r="K190" s="205">
        <f>IF('_Datos'!$C190,IF('Proyecto Datos (OKR´s)'!$C190="","",'Proyecto Datos (OKR´s)'!$C190),"")</f>
      </c>
      <c r="L190" s="205"/>
      <c r="M190" s="191"/>
      <c r="N190" s="204">
        <f>IF('_Datos'!$C190,'_Datos'!$BA190,"")</f>
      </c>
    </row>
    <row r="191">
      <c r="B191" s="204">
        <f>IF('_Datos'!$C191,'_Datos'!$O191,"")</f>
      </c>
      <c r="C191" s="205">
        <f>IF('_Datos'!$C191,'_Datos'!$F191,IF('_Datos'!$B191,'Proyecto Datos (OKR´s)'!$G191,""))</f>
      </c>
      <c r="D191" s="204">
        <f>IF('_Datos'!$C191,'_Datos'!$AO191,"")</f>
      </c>
      <c r="E191" s="206">
        <f>IF('_Datos'!$C191,'_Datos'!$H191,"")</f>
      </c>
      <c r="F191" s="204">
        <f>IF('_Datos'!$C191,IF(ISNUMBER('_Datos'!$AR191),'_Datos'!$AR191,"(Sin fecha)"),"")</f>
      </c>
      <c r="G191" s="204"/>
      <c r="H191" s="205"/>
      <c r="I191" s="204">
        <f>IF('_Datos'!$C191,IF(ISNUMBER('_Datos'!$AV191),'_Datos'!$AZ191,"(Sin fecha)"),"")</f>
      </c>
      <c r="J191" s="208">
        <f>IF('_Datos'!$C191,'_Datos'!$AX191,"")</f>
      </c>
      <c r="K191" s="205">
        <f>IF('_Datos'!$C191,IF('Proyecto Datos (OKR´s)'!$C191="","",'Proyecto Datos (OKR´s)'!$C191),"")</f>
      </c>
      <c r="L191" s="205"/>
      <c r="M191" s="191"/>
      <c r="N191" s="204">
        <f>IF('_Datos'!$C191,'_Datos'!$BA191,"")</f>
      </c>
    </row>
    <row r="192">
      <c r="B192" s="204">
        <f>IF('_Datos'!$C192,'_Datos'!$O192,"")</f>
      </c>
      <c r="C192" s="205">
        <f>IF('_Datos'!$C192,'_Datos'!$F192,IF('_Datos'!$B192,'Proyecto Datos (OKR´s)'!$G192,""))</f>
      </c>
      <c r="D192" s="204">
        <f>IF('_Datos'!$C192,'_Datos'!$AO192,"")</f>
      </c>
      <c r="E192" s="206">
        <f>IF('_Datos'!$C192,'_Datos'!$H192,"")</f>
      </c>
      <c r="F192" s="204">
        <f>IF('_Datos'!$C192,IF(ISNUMBER('_Datos'!$AR192),'_Datos'!$AR192,"(Sin fecha)"),"")</f>
      </c>
      <c r="G192" s="204"/>
      <c r="H192" s="205"/>
      <c r="I192" s="204">
        <f>IF('_Datos'!$C192,IF(ISNUMBER('_Datos'!$AV192),'_Datos'!$AZ192,"(Sin fecha)"),"")</f>
      </c>
      <c r="J192" s="208">
        <f>IF('_Datos'!$C192,'_Datos'!$AX192,"")</f>
      </c>
      <c r="K192" s="205">
        <f>IF('_Datos'!$C192,IF('Proyecto Datos (OKR´s)'!$C192="","",'Proyecto Datos (OKR´s)'!$C192),"")</f>
      </c>
      <c r="L192" s="205"/>
      <c r="M192" s="191"/>
      <c r="N192" s="204">
        <f>IF('_Datos'!$C192,'_Datos'!$BA192,"")</f>
      </c>
    </row>
    <row r="193">
      <c r="B193" s="204">
        <f>IF('_Datos'!$C193,'_Datos'!$O193,"")</f>
      </c>
      <c r="C193" s="205">
        <f>IF('_Datos'!$C193,'_Datos'!$F193,IF('_Datos'!$B193,'Proyecto Datos (OKR´s)'!$G193,""))</f>
      </c>
      <c r="D193" s="204">
        <f>IF('_Datos'!$C193,'_Datos'!$AO193,"")</f>
      </c>
      <c r="E193" s="206">
        <f>IF('_Datos'!$C193,'_Datos'!$H193,"")</f>
      </c>
      <c r="F193" s="204">
        <f>IF('_Datos'!$C193,IF(ISNUMBER('_Datos'!$AR193),'_Datos'!$AR193,"(Sin fecha)"),"")</f>
      </c>
      <c r="G193" s="204"/>
      <c r="H193" s="205"/>
      <c r="I193" s="204">
        <f>IF('_Datos'!$C193,IF(ISNUMBER('_Datos'!$AV193),'_Datos'!$AZ193,"(Sin fecha)"),"")</f>
      </c>
      <c r="J193" s="208">
        <f>IF('_Datos'!$C193,'_Datos'!$AX193,"")</f>
      </c>
      <c r="K193" s="205">
        <f>IF('_Datos'!$C193,IF('Proyecto Datos (OKR´s)'!$C193="","",'Proyecto Datos (OKR´s)'!$C193),"")</f>
      </c>
      <c r="L193" s="205"/>
      <c r="M193" s="191"/>
      <c r="N193" s="204">
        <f>IF('_Datos'!$C193,'_Datos'!$BA193,"")</f>
      </c>
    </row>
    <row r="194">
      <c r="B194" s="204">
        <f>IF('_Datos'!$C194,'_Datos'!$O194,"")</f>
      </c>
      <c r="C194" s="205">
        <f>IF('_Datos'!$C194,'_Datos'!$F194,IF('_Datos'!$B194,'Proyecto Datos (OKR´s)'!$G194,""))</f>
      </c>
      <c r="D194" s="204">
        <f>IF('_Datos'!$C194,'_Datos'!$AO194,"")</f>
      </c>
      <c r="E194" s="206">
        <f>IF('_Datos'!$C194,'_Datos'!$H194,"")</f>
      </c>
      <c r="F194" s="204">
        <f>IF('_Datos'!$C194,IF(ISNUMBER('_Datos'!$AR194),'_Datos'!$AR194,"(Sin fecha)"),"")</f>
      </c>
      <c r="G194" s="204"/>
      <c r="H194" s="205"/>
      <c r="I194" s="204">
        <f>IF('_Datos'!$C194,IF(ISNUMBER('_Datos'!$AV194),'_Datos'!$AZ194,"(Sin fecha)"),"")</f>
      </c>
      <c r="J194" s="208">
        <f>IF('_Datos'!$C194,'_Datos'!$AX194,"")</f>
      </c>
      <c r="K194" s="205">
        <f>IF('_Datos'!$C194,IF('Proyecto Datos (OKR´s)'!$C194="","",'Proyecto Datos (OKR´s)'!$C194),"")</f>
      </c>
      <c r="L194" s="205"/>
      <c r="M194" s="191"/>
      <c r="N194" s="204">
        <f>IF('_Datos'!$C194,'_Datos'!$BA194,"")</f>
      </c>
    </row>
    <row r="195">
      <c r="B195" s="204">
        <f>IF('_Datos'!$C195,'_Datos'!$O195,"")</f>
      </c>
      <c r="C195" s="205">
        <f>IF('_Datos'!$C195,'_Datos'!$F195,IF('_Datos'!$B195,'Proyecto Datos (OKR´s)'!$G195,""))</f>
      </c>
      <c r="D195" s="204">
        <f>IF('_Datos'!$C195,'_Datos'!$AO195,"")</f>
      </c>
      <c r="E195" s="206">
        <f>IF('_Datos'!$C195,'_Datos'!$H195,"")</f>
      </c>
      <c r="F195" s="204">
        <f>IF('_Datos'!$C195,IF(ISNUMBER('_Datos'!$AR195),'_Datos'!$AR195,"(Sin fecha)"),"")</f>
      </c>
      <c r="G195" s="204"/>
      <c r="H195" s="205"/>
      <c r="I195" s="204">
        <f>IF('_Datos'!$C195,IF(ISNUMBER('_Datos'!$AV195),'_Datos'!$AZ195,"(Sin fecha)"),"")</f>
      </c>
      <c r="J195" s="208">
        <f>IF('_Datos'!$C195,'_Datos'!$AX195,"")</f>
      </c>
      <c r="K195" s="205">
        <f>IF('_Datos'!$C195,IF('Proyecto Datos (OKR´s)'!$C195="","",'Proyecto Datos (OKR´s)'!$C195),"")</f>
      </c>
      <c r="L195" s="205"/>
      <c r="M195" s="191"/>
      <c r="N195" s="204">
        <f>IF('_Datos'!$C195,'_Datos'!$BA195,"")</f>
      </c>
    </row>
    <row r="196">
      <c r="B196" s="204">
        <f>IF('_Datos'!$C196,'_Datos'!$O196,"")</f>
      </c>
      <c r="C196" s="205">
        <f>IF('_Datos'!$C196,'_Datos'!$F196,IF('_Datos'!$B196,'Proyecto Datos (OKR´s)'!$G196,""))</f>
      </c>
      <c r="D196" s="204">
        <f>IF('_Datos'!$C196,'_Datos'!$AO196,"")</f>
      </c>
      <c r="E196" s="206">
        <f>IF('_Datos'!$C196,'_Datos'!$H196,"")</f>
      </c>
      <c r="F196" s="204">
        <f>IF('_Datos'!$C196,IF(ISNUMBER('_Datos'!$AR196),'_Datos'!$AR196,"(Sin fecha)"),"")</f>
      </c>
      <c r="G196" s="204"/>
      <c r="H196" s="205"/>
      <c r="I196" s="204">
        <f>IF('_Datos'!$C196,IF(ISNUMBER('_Datos'!$AV196),'_Datos'!$AZ196,"(Sin fecha)"),"")</f>
      </c>
      <c r="J196" s="208">
        <f>IF('_Datos'!$C196,'_Datos'!$AX196,"")</f>
      </c>
      <c r="K196" s="205">
        <f>IF('_Datos'!$C196,IF('Proyecto Datos (OKR´s)'!$C196="","",'Proyecto Datos (OKR´s)'!$C196),"")</f>
      </c>
      <c r="L196" s="205"/>
      <c r="M196" s="191"/>
      <c r="N196" s="204">
        <f>IF('_Datos'!$C196,'_Datos'!$BA196,"")</f>
      </c>
    </row>
    <row r="197">
      <c r="B197" s="204">
        <f>IF('_Datos'!$C197,'_Datos'!$O197,"")</f>
      </c>
      <c r="C197" s="205">
        <f>IF('_Datos'!$C197,'_Datos'!$F197,IF('_Datos'!$B197,'Proyecto Datos (OKR´s)'!$G197,""))</f>
      </c>
      <c r="D197" s="204">
        <f>IF('_Datos'!$C197,'_Datos'!$AO197,"")</f>
      </c>
      <c r="E197" s="206">
        <f>IF('_Datos'!$C197,'_Datos'!$H197,"")</f>
      </c>
      <c r="F197" s="204">
        <f>IF('_Datos'!$C197,IF(ISNUMBER('_Datos'!$AR197),'_Datos'!$AR197,"(Sin fecha)"),"")</f>
      </c>
      <c r="G197" s="204"/>
      <c r="H197" s="205"/>
      <c r="I197" s="204">
        <f>IF('_Datos'!$C197,IF(ISNUMBER('_Datos'!$AV197),'_Datos'!$AZ197,"(Sin fecha)"),"")</f>
      </c>
      <c r="J197" s="208">
        <f>IF('_Datos'!$C197,'_Datos'!$AX197,"")</f>
      </c>
      <c r="K197" s="205">
        <f>IF('_Datos'!$C197,IF('Proyecto Datos (OKR´s)'!$C197="","",'Proyecto Datos (OKR´s)'!$C197),"")</f>
      </c>
      <c r="L197" s="205"/>
      <c r="M197" s="191"/>
      <c r="N197" s="204">
        <f>IF('_Datos'!$C197,'_Datos'!$BA197,"")</f>
      </c>
    </row>
    <row r="198">
      <c r="B198" s="204">
        <f>IF('_Datos'!$C198,'_Datos'!$O198,"")</f>
      </c>
      <c r="C198" s="205">
        <f>IF('_Datos'!$C198,'_Datos'!$F198,IF('_Datos'!$B198,'Proyecto Datos (OKR´s)'!$G198,""))</f>
      </c>
      <c r="D198" s="204">
        <f>IF('_Datos'!$C198,'_Datos'!$AO198,"")</f>
      </c>
      <c r="E198" s="206">
        <f>IF('_Datos'!$C198,'_Datos'!$H198,"")</f>
      </c>
      <c r="F198" s="204">
        <f>IF('_Datos'!$C198,IF(ISNUMBER('_Datos'!$AR198),'_Datos'!$AR198,"(Sin fecha)"),"")</f>
      </c>
      <c r="G198" s="204"/>
      <c r="H198" s="205"/>
      <c r="I198" s="204">
        <f>IF('_Datos'!$C198,IF(ISNUMBER('_Datos'!$AV198),'_Datos'!$AZ198,"(Sin fecha)"),"")</f>
      </c>
      <c r="J198" s="208">
        <f>IF('_Datos'!$C198,'_Datos'!$AX198,"")</f>
      </c>
      <c r="K198" s="205">
        <f>IF('_Datos'!$C198,IF('Proyecto Datos (OKR´s)'!$C198="","",'Proyecto Datos (OKR´s)'!$C198),"")</f>
      </c>
      <c r="L198" s="205"/>
      <c r="M198" s="191"/>
      <c r="N198" s="204">
        <f>IF('_Datos'!$C198,'_Datos'!$BA198,"")</f>
      </c>
    </row>
    <row r="199">
      <c r="B199" s="204">
        <f>IF('_Datos'!$C199,'_Datos'!$O199,"")</f>
      </c>
      <c r="C199" s="205">
        <f>IF('_Datos'!$C199,'_Datos'!$F199,IF('_Datos'!$B199,'Proyecto Datos (OKR´s)'!$G199,""))</f>
      </c>
      <c r="D199" s="204">
        <f>IF('_Datos'!$C199,'_Datos'!$AO199,"")</f>
      </c>
      <c r="E199" s="206">
        <f>IF('_Datos'!$C199,'_Datos'!$H199,"")</f>
      </c>
      <c r="F199" s="204">
        <f>IF('_Datos'!$C199,IF(ISNUMBER('_Datos'!$AR199),'_Datos'!$AR199,"(Sin fecha)"),"")</f>
      </c>
      <c r="G199" s="204"/>
      <c r="H199" s="205"/>
      <c r="I199" s="204">
        <f>IF('_Datos'!$C199,IF(ISNUMBER('_Datos'!$AV199),'_Datos'!$AZ199,"(Sin fecha)"),"")</f>
      </c>
      <c r="J199" s="208">
        <f>IF('_Datos'!$C199,'_Datos'!$AX199,"")</f>
      </c>
      <c r="K199" s="205">
        <f>IF('_Datos'!$C199,IF('Proyecto Datos (OKR´s)'!$C199="","",'Proyecto Datos (OKR´s)'!$C199),"")</f>
      </c>
      <c r="L199" s="205"/>
      <c r="M199" s="191"/>
      <c r="N199" s="204">
        <f>IF('_Datos'!$C199,'_Datos'!$BA199,"")</f>
      </c>
    </row>
    <row r="200">
      <c r="B200" s="204">
        <f>IF('_Datos'!$C200,'_Datos'!$O200,"")</f>
      </c>
      <c r="C200" s="205">
        <f>IF('_Datos'!$C200,'_Datos'!$F200,IF('_Datos'!$B200,'Proyecto Datos (OKR´s)'!$G200,""))</f>
      </c>
      <c r="D200" s="204">
        <f>IF('_Datos'!$C200,'_Datos'!$AO200,"")</f>
      </c>
      <c r="E200" s="206">
        <f>IF('_Datos'!$C200,'_Datos'!$H200,"")</f>
      </c>
      <c r="F200" s="204">
        <f>IF('_Datos'!$C200,IF(ISNUMBER('_Datos'!$AR200),'_Datos'!$AR200,"(Sin fecha)"),"")</f>
      </c>
      <c r="G200" s="204"/>
      <c r="H200" s="205"/>
      <c r="I200" s="204">
        <f>IF('_Datos'!$C200,IF(ISNUMBER('_Datos'!$AV200),'_Datos'!$AZ200,"(Sin fecha)"),"")</f>
      </c>
      <c r="J200" s="208">
        <f>IF('_Datos'!$C200,'_Datos'!$AX200,"")</f>
      </c>
      <c r="K200" s="205">
        <f>IF('_Datos'!$C200,IF('Proyecto Datos (OKR´s)'!$C200="","",'Proyecto Datos (OKR´s)'!$C200),"")</f>
      </c>
      <c r="L200" s="205"/>
      <c r="M200" s="191"/>
      <c r="N200" s="204">
        <f>IF('_Datos'!$C200,'_Datos'!$BA200,"")</f>
      </c>
    </row>
  </sheetData>
  <mergeCells count="2">
    <mergeCell ref="B1:N1"/>
    <mergeCell ref="B2:N2"/>
  </mergeCells>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L7:M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3">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I25"/>
  <sheetViews>
    <sheetView showGridLines="0" workbookViewId="0">
      <pane ySplit="4" topLeftCell="A5" activePane="bottomLeft" state="frozen"/>
    </sheetView>
  </sheetViews>
  <sheetFormatPr defaultRowHeight="15"/>
  <cols>
    <col min="1" max="1" width="2.5" customWidth="1"/>
    <col min="2" max="2" width="12" customWidth="1"/>
    <col min="3" max="3" width="8" customWidth="1"/>
    <col min="4" max="4" width="14" customWidth="1"/>
    <col min="5" max="5" width="16" customWidth="1"/>
    <col min="6" max="6" width="20" customWidth="1"/>
    <col min="7" max="7" width="18" customWidth="1"/>
    <col min="8" max="8" width="14" customWidth="1"/>
    <col min="9" max="9" width="60" customWidth="1"/>
  </cols>
  <sheetData>
    <row r="1" ht="26" customHeight="1">
      <c r="B1" s="169" t="inlineStr">
        <is>
          <t xml:space="preserve">HISTORIAL DE SPRINTS — por frecuencia, acumulativo y editable</t>
        </is>
      </c>
      <c r="C1" s="169"/>
      <c r="D1" s="169"/>
      <c r="E1" s="169"/>
      <c r="F1" s="169"/>
      <c r="G1" s="169"/>
      <c r="H1" s="169"/>
      <c r="I1" s="169"/>
    </row>
    <row r="2" ht="46" customHeight="1">
      <c r="B2" s="170" t="inlineStr">
        <is>
          <t xml:space="preserve">Cada frecuencia con SUS sprints, pero todos cierran sobre los mismos viernes (Quincenal S1 = Semanal S2 = 26/06; Mensual S1 = Semanal S4 = 10/07). Fechas del calendario (hoja Sprints). 'Tareas (compl./plan)' automático. '¿Se completó?' y 'Motivo' EDITABLES y se conservan. Un sprint sin tareas se marca 'sin tareas' — no se inventan.</t>
        </is>
      </c>
      <c r="C2" s="170"/>
      <c r="D2" s="170"/>
      <c r="E2" s="170"/>
      <c r="F2" s="170"/>
      <c r="G2" s="170"/>
      <c r="H2" s="170"/>
      <c r="I2" s="170"/>
    </row>
    <row r="4">
      <c r="B4" s="173" t="inlineStr">
        <is>
          <t xml:space="preserve">Frecuencia</t>
        </is>
      </c>
      <c r="C4" s="173" t="inlineStr">
        <is>
          <t xml:space="preserve">Sprint</t>
        </is>
      </c>
      <c r="D4" s="173" t="inlineStr">
        <is>
          <t xml:space="preserve">Inicio (lun)</t>
        </is>
      </c>
      <c r="E4" s="173" t="inlineStr">
        <is>
          <t xml:space="preserve">Presentación (vie)</t>
        </is>
      </c>
      <c r="F4" s="173" t="inlineStr">
        <is>
          <t xml:space="preserve">Estado</t>
        </is>
      </c>
      <c r="G4" s="173" t="inlineStr">
        <is>
          <t xml:space="preserve">Tareas (compl./plan)</t>
        </is>
      </c>
      <c r="H4" s="173" t="inlineStr">
        <is>
          <t xml:space="preserve">¿Se completó?</t>
        </is>
      </c>
      <c r="I4" s="173" t="inlineStr">
        <is>
          <t xml:space="preserve">Motivo / Comentario (por qué)</t>
        </is>
      </c>
    </row>
    <row r="5">
      <c r="B5" s="204" t="inlineStr">
        <is>
          <t xml:space="preserve">Semanal</t>
        </is>
      </c>
      <c r="C5" s="204">
        <v>1</v>
      </c>
      <c r="D5" s="206">
        <f>'Sprints'!$C$5+(1*'Sprints'!$C$9-1)*'Sprints'!$D$5-4</f>
        <v>46188</v>
      </c>
      <c r="E5" s="206">
        <f>'Sprints'!$C$5+(1*'Sprints'!$C$9-1)*'Sprints'!$D$5</f>
        <v>46192</v>
      </c>
      <c r="F5" s="204" t="str">
        <f>IF(COUNTIFS('_Datos'!$AO$7:$AO$200,"Semanal",'_Datos'!$AR$7:$AR$200,1)=0,IF($E5&lt;TODAY(),"Cerrado · sin tareas","Próximo · sin tareas"),IF($E5&lt;TODAY(),"Cerrado",IF($D5&lt;=TODAY(),"En curso","Próximo")))</f>
        <v>Cerrado</v>
      </c>
      <c r="G5" s="204" t="str">
        <f>COUNTIFS('_Datos'!$AO$7:$AO$200,"Semanal",'_Datos'!$AR$7:$AR$200,1,'_Datos'!$J$7:$J$200,"Completado")&amp;" / "&amp;COUNTIFS('_Datos'!$AO$7:$AO$200,"Semanal",'_Datos'!$AR$7:$AR$200,1)</f>
        <v>0 / 18</v>
      </c>
      <c r="H5" s="191"/>
      <c r="I5" s="193"/>
    </row>
    <row r="6">
      <c r="B6" s="204" t="inlineStr">
        <is>
          <t xml:space="preserve">Semanal</t>
        </is>
      </c>
      <c r="C6" s="204">
        <v>2</v>
      </c>
      <c r="D6" s="206">
        <f>'Sprints'!$C$5+(2*'Sprints'!$C$9-1)*'Sprints'!$D$5-4</f>
        <v>46195</v>
      </c>
      <c r="E6" s="206">
        <f>'Sprints'!$C$5+(2*'Sprints'!$C$9-1)*'Sprints'!$D$5</f>
        <v>46199</v>
      </c>
      <c r="F6" s="204" t="str">
        <f>IF(COUNTIFS('_Datos'!$AO$7:$AO$200,"Semanal",'_Datos'!$AR$7:$AR$200,2)=0,IF($E6&lt;TODAY(),"Cerrado · sin tareas","Próximo · sin tareas"),IF($E6&lt;TODAY(),"Cerrado",IF($D6&lt;=TODAY(),"En curso","Próximo")))</f>
        <v>Próximo · sin tareas</v>
      </c>
      <c r="G6" s="204" t="str">
        <f>COUNTIFS('_Datos'!$AO$7:$AO$200,"Semanal",'_Datos'!$AR$7:$AR$200,2,'_Datos'!$J$7:$J$200,"Completado")&amp;" / "&amp;COUNTIFS('_Datos'!$AO$7:$AO$200,"Semanal",'_Datos'!$AR$7:$AR$200,2)</f>
        <v>0 / 0</v>
      </c>
      <c r="H6" s="191"/>
      <c r="I6" s="193"/>
    </row>
    <row r="7">
      <c r="B7" s="204" t="inlineStr">
        <is>
          <t xml:space="preserve">Semanal</t>
        </is>
      </c>
      <c r="C7" s="204">
        <v>3</v>
      </c>
      <c r="D7" s="206">
        <f>'Sprints'!$C$5+(3*'Sprints'!$C$9-1)*'Sprints'!$D$5-4</f>
        <v>46202</v>
      </c>
      <c r="E7" s="206">
        <f>'Sprints'!$C$5+(3*'Sprints'!$C$9-1)*'Sprints'!$D$5</f>
        <v>46206</v>
      </c>
      <c r="F7" s="204" t="str">
        <f>IF(COUNTIFS('_Datos'!$AO$7:$AO$200,"Semanal",'_Datos'!$AR$7:$AR$200,3)=0,IF($E7&lt;TODAY(),"Cerrado · sin tareas","Próximo · sin tareas"),IF($E7&lt;TODAY(),"Cerrado",IF($D7&lt;=TODAY(),"En curso","Próximo")))</f>
        <v>Próximo · sin tareas</v>
      </c>
      <c r="G7" s="204" t="str">
        <f>COUNTIFS('_Datos'!$AO$7:$AO$200,"Semanal",'_Datos'!$AR$7:$AR$200,3,'_Datos'!$J$7:$J$200,"Completado")&amp;" / "&amp;COUNTIFS('_Datos'!$AO$7:$AO$200,"Semanal",'_Datos'!$AR$7:$AR$200,3)</f>
        <v>0 / 0</v>
      </c>
      <c r="H7" s="191"/>
      <c r="I7" s="193"/>
    </row>
    <row r="8">
      <c r="B8" s="204" t="inlineStr">
        <is>
          <t xml:space="preserve">Semanal</t>
        </is>
      </c>
      <c r="C8" s="204">
        <v>4</v>
      </c>
      <c r="D8" s="206">
        <f>'Sprints'!$C$5+(4*'Sprints'!$C$9-1)*'Sprints'!$D$5-4</f>
        <v>46209</v>
      </c>
      <c r="E8" s="206">
        <f>'Sprints'!$C$5+(4*'Sprints'!$C$9-1)*'Sprints'!$D$5</f>
        <v>46213</v>
      </c>
      <c r="F8" s="204" t="str">
        <f>IF(COUNTIFS('_Datos'!$AO$7:$AO$200,"Semanal",'_Datos'!$AR$7:$AR$200,4)=0,IF($E8&lt;TODAY(),"Cerrado · sin tareas","Próximo · sin tareas"),IF($E8&lt;TODAY(),"Cerrado",IF($D8&lt;=TODAY(),"En curso","Próximo")))</f>
        <v>Próximo · sin tareas</v>
      </c>
      <c r="G8" s="204" t="str">
        <f>COUNTIFS('_Datos'!$AO$7:$AO$200,"Semanal",'_Datos'!$AR$7:$AR$200,4,'_Datos'!$J$7:$J$200,"Completado")&amp;" / "&amp;COUNTIFS('_Datos'!$AO$7:$AO$200,"Semanal",'_Datos'!$AR$7:$AR$200,4)</f>
        <v>0 / 0</v>
      </c>
      <c r="H8" s="191"/>
      <c r="I8" s="193"/>
    </row>
    <row r="9">
      <c r="B9" s="204" t="inlineStr">
        <is>
          <t xml:space="preserve">Semanal</t>
        </is>
      </c>
      <c r="C9" s="204">
        <v>5</v>
      </c>
      <c r="D9" s="206">
        <f>'Sprints'!$C$5+(5*'Sprints'!$C$9-1)*'Sprints'!$D$5-4</f>
        <v>46216</v>
      </c>
      <c r="E9" s="206">
        <f>'Sprints'!$C$5+(5*'Sprints'!$C$9-1)*'Sprints'!$D$5</f>
        <v>46220</v>
      </c>
      <c r="F9" s="204" t="str">
        <f>IF(COUNTIFS('_Datos'!$AO$7:$AO$200,"Semanal",'_Datos'!$AR$7:$AR$200,5)=0,IF($E9&lt;TODAY(),"Cerrado · sin tareas","Próximo · sin tareas"),IF($E9&lt;TODAY(),"Cerrado",IF($D9&lt;=TODAY(),"En curso","Próximo")))</f>
        <v>Próximo · sin tareas</v>
      </c>
      <c r="G9" s="204" t="str">
        <f>COUNTIFS('_Datos'!$AO$7:$AO$200,"Semanal",'_Datos'!$AR$7:$AR$200,5,'_Datos'!$J$7:$J$200,"Completado")&amp;" / "&amp;COUNTIFS('_Datos'!$AO$7:$AO$200,"Semanal",'_Datos'!$AR$7:$AR$200,5)</f>
        <v>0 / 0</v>
      </c>
      <c r="H9" s="191"/>
      <c r="I9" s="193"/>
    </row>
    <row r="10">
      <c r="B10" s="204" t="inlineStr">
        <is>
          <t xml:space="preserve">Semanal</t>
        </is>
      </c>
      <c r="C10" s="204">
        <v>6</v>
      </c>
      <c r="D10" s="206">
        <f>'Sprints'!$C$5+(6*'Sprints'!$C$9-1)*'Sprints'!$D$5-4</f>
        <v>46223</v>
      </c>
      <c r="E10" s="206">
        <f>'Sprints'!$C$5+(6*'Sprints'!$C$9-1)*'Sprints'!$D$5</f>
        <v>46227</v>
      </c>
      <c r="F10" s="204" t="str">
        <f>IF(COUNTIFS('_Datos'!$AO$7:$AO$200,"Semanal",'_Datos'!$AR$7:$AR$200,6)=0,IF($E10&lt;TODAY(),"Cerrado · sin tareas","Próximo · sin tareas"),IF($E10&lt;TODAY(),"Cerrado",IF($D10&lt;=TODAY(),"En curso","Próximo")))</f>
        <v>Próximo · sin tareas</v>
      </c>
      <c r="G10" s="204" t="str">
        <f>COUNTIFS('_Datos'!$AO$7:$AO$200,"Semanal",'_Datos'!$AR$7:$AR$200,6,'_Datos'!$J$7:$J$200,"Completado")&amp;" / "&amp;COUNTIFS('_Datos'!$AO$7:$AO$200,"Semanal",'_Datos'!$AR$7:$AR$200,6)</f>
        <v>0 / 0</v>
      </c>
      <c r="H10" s="191"/>
      <c r="I10" s="193"/>
    </row>
    <row r="11">
      <c r="B11" s="204" t="inlineStr">
        <is>
          <t xml:space="preserve">Semanal</t>
        </is>
      </c>
      <c r="C11" s="204">
        <v>7</v>
      </c>
      <c r="D11" s="206">
        <f>'Sprints'!$C$5+(7*'Sprints'!$C$9-1)*'Sprints'!$D$5-4</f>
        <v>46230</v>
      </c>
      <c r="E11" s="206">
        <f>'Sprints'!$C$5+(7*'Sprints'!$C$9-1)*'Sprints'!$D$5</f>
        <v>46234</v>
      </c>
      <c r="F11" s="204" t="str">
        <f>IF(COUNTIFS('_Datos'!$AO$7:$AO$200,"Semanal",'_Datos'!$AR$7:$AR$200,7)=0,IF($E11&lt;TODAY(),"Cerrado · sin tareas","Próximo · sin tareas"),IF($E11&lt;TODAY(),"Cerrado",IF($D11&lt;=TODAY(),"En curso","Próximo")))</f>
        <v>Próximo · sin tareas</v>
      </c>
      <c r="G11" s="204" t="str">
        <f>COUNTIFS('_Datos'!$AO$7:$AO$200,"Semanal",'_Datos'!$AR$7:$AR$200,7,'_Datos'!$J$7:$J$200,"Completado")&amp;" / "&amp;COUNTIFS('_Datos'!$AO$7:$AO$200,"Semanal",'_Datos'!$AR$7:$AR$200,7)</f>
        <v>0 / 0</v>
      </c>
      <c r="H11" s="191"/>
      <c r="I11" s="193"/>
    </row>
    <row r="12">
      <c r="B12" s="204" t="inlineStr">
        <is>
          <t xml:space="preserve">Semanal</t>
        </is>
      </c>
      <c r="C12" s="204">
        <v>8</v>
      </c>
      <c r="D12" s="206">
        <f>'Sprints'!$C$5+(8*'Sprints'!$C$9-1)*'Sprints'!$D$5-4</f>
        <v>46237</v>
      </c>
      <c r="E12" s="206">
        <f>'Sprints'!$C$5+(8*'Sprints'!$C$9-1)*'Sprints'!$D$5</f>
        <v>46241</v>
      </c>
      <c r="F12" s="204" t="str">
        <f>IF(COUNTIFS('_Datos'!$AO$7:$AO$200,"Semanal",'_Datos'!$AR$7:$AR$200,8)=0,IF($E12&lt;TODAY(),"Cerrado · sin tareas","Próximo · sin tareas"),IF($E12&lt;TODAY(),"Cerrado",IF($D12&lt;=TODAY(),"En curso","Próximo")))</f>
        <v>Próximo · sin tareas</v>
      </c>
      <c r="G12" s="204" t="str">
        <f>COUNTIFS('_Datos'!$AO$7:$AO$200,"Semanal",'_Datos'!$AR$7:$AR$200,8,'_Datos'!$J$7:$J$200,"Completado")&amp;" / "&amp;COUNTIFS('_Datos'!$AO$7:$AO$200,"Semanal",'_Datos'!$AR$7:$AR$200,8)</f>
        <v>0 / 0</v>
      </c>
      <c r="H12" s="191"/>
      <c r="I12" s="193"/>
    </row>
    <row r="13">
      <c r="B13" s="204" t="inlineStr">
        <is>
          <t xml:space="preserve">Semanal</t>
        </is>
      </c>
      <c r="C13" s="204">
        <v>9</v>
      </c>
      <c r="D13" s="206">
        <f>'Sprints'!$C$5+(9*'Sprints'!$C$9-1)*'Sprints'!$D$5-4</f>
        <v>46244</v>
      </c>
      <c r="E13" s="206">
        <f>'Sprints'!$C$5+(9*'Sprints'!$C$9-1)*'Sprints'!$D$5</f>
        <v>46248</v>
      </c>
      <c r="F13" s="204" t="str">
        <f>IF(COUNTIFS('_Datos'!$AO$7:$AO$200,"Semanal",'_Datos'!$AR$7:$AR$200,9)=0,IF($E13&lt;TODAY(),"Cerrado · sin tareas","Próximo · sin tareas"),IF($E13&lt;TODAY(),"Cerrado",IF($D13&lt;=TODAY(),"En curso","Próximo")))</f>
        <v>Próximo · sin tareas</v>
      </c>
      <c r="G13" s="204" t="str">
        <f>COUNTIFS('_Datos'!$AO$7:$AO$200,"Semanal",'_Datos'!$AR$7:$AR$200,9,'_Datos'!$J$7:$J$200,"Completado")&amp;" / "&amp;COUNTIFS('_Datos'!$AO$7:$AO$200,"Semanal",'_Datos'!$AR$7:$AR$200,9)</f>
        <v>0 / 0</v>
      </c>
      <c r="H13" s="191"/>
      <c r="I13" s="193"/>
    </row>
    <row r="14">
      <c r="B14" s="204" t="inlineStr">
        <is>
          <t xml:space="preserve">Semanal</t>
        </is>
      </c>
      <c r="C14" s="204">
        <v>10</v>
      </c>
      <c r="D14" s="206">
        <f>'Sprints'!$C$5+(10*'Sprints'!$C$9-1)*'Sprints'!$D$5-4</f>
        <v>46251</v>
      </c>
      <c r="E14" s="206">
        <f>'Sprints'!$C$5+(10*'Sprints'!$C$9-1)*'Sprints'!$D$5</f>
        <v>46255</v>
      </c>
      <c r="F14" s="204" t="str">
        <f>IF(COUNTIFS('_Datos'!$AO$7:$AO$200,"Semanal",'_Datos'!$AR$7:$AR$200,10)=0,IF($E14&lt;TODAY(),"Cerrado · sin tareas","Próximo · sin tareas"),IF($E14&lt;TODAY(),"Cerrado",IF($D14&lt;=TODAY(),"En curso","Próximo")))</f>
        <v>Próximo · sin tareas</v>
      </c>
      <c r="G14" s="204" t="str">
        <f>COUNTIFS('_Datos'!$AO$7:$AO$200,"Semanal",'_Datos'!$AR$7:$AR$200,10,'_Datos'!$J$7:$J$200,"Completado")&amp;" / "&amp;COUNTIFS('_Datos'!$AO$7:$AO$200,"Semanal",'_Datos'!$AR$7:$AR$200,10)</f>
        <v>0 / 0</v>
      </c>
      <c r="H14" s="191"/>
      <c r="I14" s="193"/>
    </row>
    <row r="15">
      <c r="B15" s="204" t="inlineStr">
        <is>
          <t xml:space="preserve">Semanal</t>
        </is>
      </c>
      <c r="C15" s="204">
        <v>11</v>
      </c>
      <c r="D15" s="206">
        <f>'Sprints'!$C$5+(11*'Sprints'!$C$9-1)*'Sprints'!$D$5-4</f>
        <v>46258</v>
      </c>
      <c r="E15" s="206">
        <f>'Sprints'!$C$5+(11*'Sprints'!$C$9-1)*'Sprints'!$D$5</f>
        <v>46262</v>
      </c>
      <c r="F15" s="204" t="str">
        <f>IF(COUNTIFS('_Datos'!$AO$7:$AO$200,"Semanal",'_Datos'!$AR$7:$AR$200,11)=0,IF($E15&lt;TODAY(),"Cerrado · sin tareas","Próximo · sin tareas"),IF($E15&lt;TODAY(),"Cerrado",IF($D15&lt;=TODAY(),"En curso","Próximo")))</f>
        <v>Próximo · sin tareas</v>
      </c>
      <c r="G15" s="204" t="str">
        <f>COUNTIFS('_Datos'!$AO$7:$AO$200,"Semanal",'_Datos'!$AR$7:$AR$200,11,'_Datos'!$J$7:$J$200,"Completado")&amp;" / "&amp;COUNTIFS('_Datos'!$AO$7:$AO$200,"Semanal",'_Datos'!$AR$7:$AR$200,11)</f>
        <v>0 / 0</v>
      </c>
      <c r="H15" s="191"/>
      <c r="I15" s="193"/>
    </row>
    <row r="16">
      <c r="B16" s="204" t="inlineStr">
        <is>
          <t xml:space="preserve">Semanal</t>
        </is>
      </c>
      <c r="C16" s="204">
        <v>12</v>
      </c>
      <c r="D16" s="206">
        <f>'Sprints'!$C$5+(12*'Sprints'!$C$9-1)*'Sprints'!$D$5-4</f>
        <v>46265</v>
      </c>
      <c r="E16" s="206">
        <f>'Sprints'!$C$5+(12*'Sprints'!$C$9-1)*'Sprints'!$D$5</f>
        <v>46269</v>
      </c>
      <c r="F16" s="204" t="str">
        <f>IF(COUNTIFS('_Datos'!$AO$7:$AO$200,"Semanal",'_Datos'!$AR$7:$AR$200,12)=0,IF($E16&lt;TODAY(),"Cerrado · sin tareas","Próximo · sin tareas"),IF($E16&lt;TODAY(),"Cerrado",IF($D16&lt;=TODAY(),"En curso","Próximo")))</f>
        <v>Próximo · sin tareas</v>
      </c>
      <c r="G16" s="204" t="str">
        <f>COUNTIFS('_Datos'!$AO$7:$AO$200,"Semanal",'_Datos'!$AR$7:$AR$200,12,'_Datos'!$J$7:$J$200,"Completado")&amp;" / "&amp;COUNTIFS('_Datos'!$AO$7:$AO$200,"Semanal",'_Datos'!$AR$7:$AR$200,12)</f>
        <v>0 / 0</v>
      </c>
      <c r="H16" s="191"/>
      <c r="I16" s="193"/>
    </row>
    <row r="17">
      <c r="B17" s="204" t="inlineStr">
        <is>
          <t xml:space="preserve">Quincenal</t>
        </is>
      </c>
      <c r="C17" s="204">
        <v>1</v>
      </c>
      <c r="D17" s="206">
        <f>'Sprints'!$C$5+(1*'Sprints'!$C$10-1)*'Sprints'!$D$5-4</f>
        <v>46195</v>
      </c>
      <c r="E17" s="206">
        <f>'Sprints'!$C$5+(1*'Sprints'!$C$10-1)*'Sprints'!$D$5</f>
        <v>46199</v>
      </c>
      <c r="F17" s="204" t="str">
        <f>IF(COUNTIFS('_Datos'!$AO$7:$AO$200,"Quincenal",'_Datos'!$AR$7:$AR$200,1)=0,IF($E17&lt;TODAY(),"Cerrado · sin tareas","Próximo · sin tareas"),IF($E17&lt;TODAY(),"Cerrado",IF($D17&lt;=TODAY(),"En curso","Próximo")))</f>
        <v>En curso</v>
      </c>
      <c r="G17" s="204" t="str">
        <f>COUNTIFS('_Datos'!$AO$7:$AO$200,"Quincenal",'_Datos'!$AR$7:$AR$200,1,'_Datos'!$J$7:$J$200,"Completado")&amp;" / "&amp;COUNTIFS('_Datos'!$AO$7:$AO$200,"Quincenal",'_Datos'!$AR$7:$AR$200,1)</f>
        <v>2 / 7</v>
      </c>
      <c r="H17" s="191"/>
      <c r="I17" s="193"/>
    </row>
    <row r="18">
      <c r="B18" s="204" t="inlineStr">
        <is>
          <t xml:space="preserve">Quincenal</t>
        </is>
      </c>
      <c r="C18" s="204">
        <v>2</v>
      </c>
      <c r="D18" s="206">
        <f>'Sprints'!$C$5+(2*'Sprints'!$C$10-1)*'Sprints'!$D$5-4</f>
        <v>46209</v>
      </c>
      <c r="E18" s="206">
        <f>'Sprints'!$C$5+(2*'Sprints'!$C$10-1)*'Sprints'!$D$5</f>
        <v>46213</v>
      </c>
      <c r="F18" s="204" t="str">
        <f>IF(COUNTIFS('_Datos'!$AO$7:$AO$200,"Quincenal",'_Datos'!$AR$7:$AR$200,2)=0,IF($E18&lt;TODAY(),"Cerrado · sin tareas","Próximo · sin tareas"),IF($E18&lt;TODAY(),"Cerrado",IF($D18&lt;=TODAY(),"En curso","Próximo")))</f>
        <v>Próximo · sin tareas</v>
      </c>
      <c r="G18" s="204" t="str">
        <f>COUNTIFS('_Datos'!$AO$7:$AO$200,"Quincenal",'_Datos'!$AR$7:$AR$200,2,'_Datos'!$J$7:$J$200,"Completado")&amp;" / "&amp;COUNTIFS('_Datos'!$AO$7:$AO$200,"Quincenal",'_Datos'!$AR$7:$AR$200,2)</f>
        <v>0 / 0</v>
      </c>
      <c r="H18" s="191"/>
      <c r="I18" s="193"/>
    </row>
    <row r="19">
      <c r="B19" s="204" t="inlineStr">
        <is>
          <t xml:space="preserve">Quincenal</t>
        </is>
      </c>
      <c r="C19" s="204">
        <v>3</v>
      </c>
      <c r="D19" s="206">
        <f>'Sprints'!$C$5+(3*'Sprints'!$C$10-1)*'Sprints'!$D$5-4</f>
        <v>46223</v>
      </c>
      <c r="E19" s="206">
        <f>'Sprints'!$C$5+(3*'Sprints'!$C$10-1)*'Sprints'!$D$5</f>
        <v>46227</v>
      </c>
      <c r="F19" s="204" t="str">
        <f>IF(COUNTIFS('_Datos'!$AO$7:$AO$200,"Quincenal",'_Datos'!$AR$7:$AR$200,3)=0,IF($E19&lt;TODAY(),"Cerrado · sin tareas","Próximo · sin tareas"),IF($E19&lt;TODAY(),"Cerrado",IF($D19&lt;=TODAY(),"En curso","Próximo")))</f>
        <v>Próximo · sin tareas</v>
      </c>
      <c r="G19" s="204" t="str">
        <f>COUNTIFS('_Datos'!$AO$7:$AO$200,"Quincenal",'_Datos'!$AR$7:$AR$200,3,'_Datos'!$J$7:$J$200,"Completado")&amp;" / "&amp;COUNTIFS('_Datos'!$AO$7:$AO$200,"Quincenal",'_Datos'!$AR$7:$AR$200,3)</f>
        <v>0 / 0</v>
      </c>
      <c r="H19" s="191"/>
      <c r="I19" s="193"/>
    </row>
    <row r="20">
      <c r="B20" s="204" t="inlineStr">
        <is>
          <t xml:space="preserve">Quincenal</t>
        </is>
      </c>
      <c r="C20" s="204">
        <v>4</v>
      </c>
      <c r="D20" s="206">
        <f>'Sprints'!$C$5+(4*'Sprints'!$C$10-1)*'Sprints'!$D$5-4</f>
        <v>46237</v>
      </c>
      <c r="E20" s="206">
        <f>'Sprints'!$C$5+(4*'Sprints'!$C$10-1)*'Sprints'!$D$5</f>
        <v>46241</v>
      </c>
      <c r="F20" s="204" t="str">
        <f>IF(COUNTIFS('_Datos'!$AO$7:$AO$200,"Quincenal",'_Datos'!$AR$7:$AR$200,4)=0,IF($E20&lt;TODAY(),"Cerrado · sin tareas","Próximo · sin tareas"),IF($E20&lt;TODAY(),"Cerrado",IF($D20&lt;=TODAY(),"En curso","Próximo")))</f>
        <v>Próximo · sin tareas</v>
      </c>
      <c r="G20" s="204" t="str">
        <f>COUNTIFS('_Datos'!$AO$7:$AO$200,"Quincenal",'_Datos'!$AR$7:$AR$200,4,'_Datos'!$J$7:$J$200,"Completado")&amp;" / "&amp;COUNTIFS('_Datos'!$AO$7:$AO$200,"Quincenal",'_Datos'!$AR$7:$AR$200,4)</f>
        <v>0 / 0</v>
      </c>
      <c r="H20" s="191"/>
      <c r="I20" s="193"/>
    </row>
    <row r="21">
      <c r="B21" s="204" t="inlineStr">
        <is>
          <t xml:space="preserve">Quincenal</t>
        </is>
      </c>
      <c r="C21" s="204">
        <v>5</v>
      </c>
      <c r="D21" s="206">
        <f>'Sprints'!$C$5+(5*'Sprints'!$C$10-1)*'Sprints'!$D$5-4</f>
        <v>46251</v>
      </c>
      <c r="E21" s="206">
        <f>'Sprints'!$C$5+(5*'Sprints'!$C$10-1)*'Sprints'!$D$5</f>
        <v>46255</v>
      </c>
      <c r="F21" s="204" t="str">
        <f>IF(COUNTIFS('_Datos'!$AO$7:$AO$200,"Quincenal",'_Datos'!$AR$7:$AR$200,5)=0,IF($E21&lt;TODAY(),"Cerrado · sin tareas","Próximo · sin tareas"),IF($E21&lt;TODAY(),"Cerrado",IF($D21&lt;=TODAY(),"En curso","Próximo")))</f>
        <v>Próximo · sin tareas</v>
      </c>
      <c r="G21" s="204" t="str">
        <f>COUNTIFS('_Datos'!$AO$7:$AO$200,"Quincenal",'_Datos'!$AR$7:$AR$200,5,'_Datos'!$J$7:$J$200,"Completado")&amp;" / "&amp;COUNTIFS('_Datos'!$AO$7:$AO$200,"Quincenal",'_Datos'!$AR$7:$AR$200,5)</f>
        <v>0 / 0</v>
      </c>
      <c r="H21" s="191"/>
      <c r="I21" s="193"/>
    </row>
    <row r="22">
      <c r="B22" s="204" t="inlineStr">
        <is>
          <t xml:space="preserve">Quincenal</t>
        </is>
      </c>
      <c r="C22" s="204">
        <v>6</v>
      </c>
      <c r="D22" s="206">
        <f>'Sprints'!$C$5+(6*'Sprints'!$C$10-1)*'Sprints'!$D$5-4</f>
        <v>46265</v>
      </c>
      <c r="E22" s="206">
        <f>'Sprints'!$C$5+(6*'Sprints'!$C$10-1)*'Sprints'!$D$5</f>
        <v>46269</v>
      </c>
      <c r="F22" s="204" t="str">
        <f>IF(COUNTIFS('_Datos'!$AO$7:$AO$200,"Quincenal",'_Datos'!$AR$7:$AR$200,6)=0,IF($E22&lt;TODAY(),"Cerrado · sin tareas","Próximo · sin tareas"),IF($E22&lt;TODAY(),"Cerrado",IF($D22&lt;=TODAY(),"En curso","Próximo")))</f>
        <v>Próximo · sin tareas</v>
      </c>
      <c r="G22" s="204" t="str">
        <f>COUNTIFS('_Datos'!$AO$7:$AO$200,"Quincenal",'_Datos'!$AR$7:$AR$200,6,'_Datos'!$J$7:$J$200,"Completado")&amp;" / "&amp;COUNTIFS('_Datos'!$AO$7:$AO$200,"Quincenal",'_Datos'!$AR$7:$AR$200,6)</f>
        <v>0 / 0</v>
      </c>
      <c r="H22" s="191"/>
      <c r="I22" s="193"/>
    </row>
    <row r="23">
      <c r="B23" s="204" t="inlineStr">
        <is>
          <t xml:space="preserve">Mensual</t>
        </is>
      </c>
      <c r="C23" s="204">
        <v>1</v>
      </c>
      <c r="D23" s="206">
        <f>'Sprints'!$C$5+(1*'Sprints'!$C$11-1)*'Sprints'!$D$5-4</f>
        <v>46209</v>
      </c>
      <c r="E23" s="206">
        <f>'Sprints'!$C$5+(1*'Sprints'!$C$11-1)*'Sprints'!$D$5</f>
        <v>46213</v>
      </c>
      <c r="F23" s="204" t="str">
        <f>IF(COUNTIFS('_Datos'!$AO$7:$AO$200,"Mensual",'_Datos'!$AR$7:$AR$200,1)=0,IF($E23&lt;TODAY(),"Cerrado · sin tareas","Próximo · sin tareas"),IF($E23&lt;TODAY(),"Cerrado",IF($D23&lt;=TODAY(),"En curso","Próximo")))</f>
        <v>Próximo</v>
      </c>
      <c r="G23" s="204" t="str">
        <f>COUNTIFS('_Datos'!$AO$7:$AO$200,"Mensual",'_Datos'!$AR$7:$AR$200,1,'_Datos'!$J$7:$J$200,"Completado")&amp;" / "&amp;COUNTIFS('_Datos'!$AO$7:$AO$200,"Mensual",'_Datos'!$AR$7:$AR$200,1)</f>
        <v>0 / 1</v>
      </c>
      <c r="H23" s="191"/>
      <c r="I23" s="193"/>
    </row>
    <row r="24">
      <c r="B24" s="204" t="inlineStr">
        <is>
          <t xml:space="preserve">Mensual</t>
        </is>
      </c>
      <c r="C24" s="204">
        <v>2</v>
      </c>
      <c r="D24" s="206">
        <f>'Sprints'!$C$5+(2*'Sprints'!$C$11-1)*'Sprints'!$D$5-4</f>
        <v>46237</v>
      </c>
      <c r="E24" s="206">
        <f>'Sprints'!$C$5+(2*'Sprints'!$C$11-1)*'Sprints'!$D$5</f>
        <v>46241</v>
      </c>
      <c r="F24" s="204" t="str">
        <f>IF(COUNTIFS('_Datos'!$AO$7:$AO$200,"Mensual",'_Datos'!$AR$7:$AR$200,2)=0,IF($E24&lt;TODAY(),"Cerrado · sin tareas","Próximo · sin tareas"),IF($E24&lt;TODAY(),"Cerrado",IF($D24&lt;=TODAY(),"En curso","Próximo")))</f>
        <v>Próximo · sin tareas</v>
      </c>
      <c r="G24" s="204" t="str">
        <f>COUNTIFS('_Datos'!$AO$7:$AO$200,"Mensual",'_Datos'!$AR$7:$AR$200,2,'_Datos'!$J$7:$J$200,"Completado")&amp;" / "&amp;COUNTIFS('_Datos'!$AO$7:$AO$200,"Mensual",'_Datos'!$AR$7:$AR$200,2)</f>
        <v>0 / 0</v>
      </c>
      <c r="H24" s="191"/>
      <c r="I24" s="193"/>
    </row>
    <row r="25">
      <c r="B25" s="204" t="inlineStr">
        <is>
          <t xml:space="preserve">Mensual</t>
        </is>
      </c>
      <c r="C25" s="204">
        <v>3</v>
      </c>
      <c r="D25" s="206">
        <f>'Sprints'!$C$5+(3*'Sprints'!$C$11-1)*'Sprints'!$D$5-4</f>
        <v>46265</v>
      </c>
      <c r="E25" s="206">
        <f>'Sprints'!$C$5+(3*'Sprints'!$C$11-1)*'Sprints'!$D$5</f>
        <v>46269</v>
      </c>
      <c r="F25" s="204" t="str">
        <f>IF(COUNTIFS('_Datos'!$AO$7:$AO$200,"Mensual",'_Datos'!$AR$7:$AR$200,3)=0,IF($E25&lt;TODAY(),"Cerrado · sin tareas","Próximo · sin tareas"),IF($E25&lt;TODAY(),"Cerrado",IF($D25&lt;=TODAY(),"En curso","Próximo")))</f>
        <v>Próximo · sin tareas</v>
      </c>
      <c r="G25" s="204" t="str">
        <f>COUNTIFS('_Datos'!$AO$7:$AO$200,"Mensual",'_Datos'!$AR$7:$AR$200,3,'_Datos'!$J$7:$J$200,"Completado")&amp;" / "&amp;COUNTIFS('_Datos'!$AO$7:$AO$200,"Mensual",'_Datos'!$AR$7:$AR$200,3)</f>
        <v>0 / 0</v>
      </c>
      <c r="H25" s="191"/>
      <c r="I25" s="193"/>
    </row>
  </sheetData>
  <mergeCells count="2">
    <mergeCell ref="B1:I1"/>
    <mergeCell ref="B2:I2"/>
  </mergeCells>
  <conditionalFormatting sqref="F5:F25">
    <cfRule type="expression" dxfId="22" priority="10">
      <formula>ISNUMBER(SEARCH("Cerrado",$F5))</formula>
    </cfRule>
    <cfRule type="expression" dxfId="28" priority="11">
      <formula>$F5="En curso"</formula>
    </cfRule>
  </conditionalFormatting>
  <conditionalFormatting sqref="H5:H25">
    <cfRule type="expression" dxfId="26" priority="12">
      <formula>$H5="Sí"</formula>
    </cfRule>
    <cfRule type="expression" dxfId="23" priority="13">
      <formula>$H5="No"</formula>
    </cfRule>
    <cfRule type="expression" dxfId="24" priority="14">
      <formula>$H5="Parcial"</formula>
    </cfRule>
  </conditionalFormatting>
  <dataValidations count="1">
    <dataValidation type="list" allowBlank="1" showInputMessage="1" showErrorMessage="1" sqref="H5:H25">
      <formula1>"Sí,No,Parcial"</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