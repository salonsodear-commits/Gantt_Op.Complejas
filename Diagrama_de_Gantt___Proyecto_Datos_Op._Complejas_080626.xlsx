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<sst xmlns="http://schemas.openxmlformats.org/spreadsheetml/2006/main" count="363" uniqueCount="145">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</sst>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10">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9" fontId="71" fillId="0" borderId="0" xfId="0" applyNumberFormat="1" applyFont="1" applyAlignment="1">
      <alignment horizontal="center" vertical="center"/>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32">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
      <font>
        <color rgb="FF1F3A52"/>
      </font>
      <fill>
        <patternFill>
          <bgColor rgb="FFDDEBF7"/>
        </patternFill>
      </fill>
    </dxf>
    <dxf>
      <font>
        <color rgb="FF808080"/>
      </font>
      <fill>
        <patternFill>
          <bgColor rgb="FFF2F2F2"/>
        </patternFill>
      </fill>
    </dxf>
    <dxf>
      <border>
        <top style="medium">
          <color rgb="FF2E75B6"/>
        </top>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inlineStr">
        <is>
          <t xml:space="preserve">El avance ya NO se edita en el Gantt: se calcula automáticamente desde el Backlog (estado de cada subtarea) y se ve en Sprints. El Gantt sólo planifica fechas, duraciones y dependencias.</t>
        </is>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inlineStr">
        <is>
          <t xml:space="preserve">Avance → Backlog</t>
        </is>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9" priority="12" stopIfTrue="1">
      <formula>AND(task_end&gt;=M$5,task_start&lt;N$5)</formula>
    </cfRule>
  </conditionalFormatting>
  <conditionalFormatting sqref="O28:BR35">
    <cfRule type="expression" dxfId="7" priority="2" stopIfTrue="1">
      <formula>AND(task_end&gt;=O$5,task_start&lt;P$5)</formula>
    </cfRule>
    <cfRule type="expression" dxfId="6" priority="3">
      <formula>AND(TODAY()&gt;=O$5,TODAY()&lt;P$5)</formula>
    </cfRule>
  </conditionalFormatting>
  <conditionalFormatting sqref="F7:F200">
    <cfRule type="expression" dxfId="23" priority="21">
      <formula>AND(LEN($G7)&gt;0,NOT(ISTEXT($K7)),ISNUMBER($F7),$F7&lt;TODAY())</formula>
    </cfRule>
    <cfRule type="expression" dxfId="24" priority="22">
      <formula>AND(LEN($G7)&gt;0,NOT(ISTEXT($K7)),ISNUMBER($F7),$F7-TODAY()&gt;=0,$F7-TODAY()&lt;=7)</formula>
    </cfRule>
    <cfRule type="expression" dxfId="25" priority="23">
      <formula>AND(LEN($G7)&gt;0,NOT(ISTEXT($K7)),ISNUMBER($F7),$F7-TODAY()&gt;7)</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26/06/2026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0.3693181818181818</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v>
      </c>
      <c r="I10" s="180">
        <f>IFERROR(AVERAGEIF('_Datos'!$D$7:$D$200,$B10,'_Datos'!$I$7:$I$200),"")</f>
        <v>0</v>
      </c>
    </row>
    <row r="11">
      <c r="B11" s="205" t="str">
        <f>'Proyecto Datos (OKR´s)'!$G$9</f>
        <v>2- Cotizador de Operaciones Complejas</v>
      </c>
      <c r="C11" s="205"/>
      <c r="D11" s="205"/>
      <c r="E11" s="205"/>
      <c r="F11" s="205"/>
      <c r="G11" s="178">
        <f>COUNTIF('_Datos'!$D$7:$D$200,$B11)</f>
        <v>12</v>
      </c>
      <c r="H11" s="180">
        <f>IFERROR(AVERAGEIF('_Datos'!$D$7:$D$200,$B11,'_Datos'!$I$7:$I$200),"")</f>
        <v>0.4375</v>
      </c>
      <c r="I11" s="180">
        <f>IFERROR(AVERAGEIF('_Datos'!$D$7:$D$200,$B11,'_Datos'!$I$7:$I$200),"")</f>
        <v>0.4375</v>
      </c>
    </row>
    <row r="12">
      <c r="B12" s="205" t="str">
        <f>'Proyecto Datos (OKR´s)'!$G$22</f>
        <v>3- Tablero BI OPEX - Real vs BO</v>
      </c>
      <c r="C12" s="205"/>
      <c r="D12" s="205"/>
      <c r="E12" s="205"/>
      <c r="F12" s="205"/>
      <c r="G12" s="178">
        <f>COUNTIF('_Datos'!$D$7:$D$200,$B12)</f>
        <v>3</v>
      </c>
      <c r="H12" s="180">
        <f>IFERROR(AVERAGEIF('_Datos'!$D$7:$D$200,$B12,'_Datos'!$I$7:$I$200),"")</f>
        <v>0.75</v>
      </c>
      <c r="I12" s="180">
        <f>IFERROR(AVERAGEIF('_Datos'!$D$7:$D$200,$B12,'_Datos'!$I$7:$I$200),"")</f>
        <v>0.75</v>
      </c>
    </row>
    <row r="13">
      <c r="B13" s="205" t="str">
        <f>'Proyecto Datos (OKR´s)'!$G$27</f>
        <v>4- Tablero BI DEUDA</v>
      </c>
      <c r="C13" s="205"/>
      <c r="D13" s="205"/>
      <c r="E13" s="205"/>
      <c r="F13" s="205"/>
      <c r="G13" s="178">
        <f>COUNTIF('_Datos'!$D$7:$D$200,$B13)</f>
        <v>8</v>
      </c>
      <c r="H13" s="180">
        <f>IFERROR(AVERAGEIF('_Datos'!$D$7:$D$200,$B13,'_Datos'!$I$7:$I$200),"")</f>
        <v>0.625</v>
      </c>
      <c r="I13" s="180">
        <f>IFERROR(AVERAGEIF('_Datos'!$D$7:$D$200,$B13,'_Datos'!$I$7:$I$200),"")</f>
        <v>0.625</v>
      </c>
    </row>
    <row r="14">
      <c r="B14" s="205" t="str">
        <f>'Proyecto Datos (OKR´s)'!$G$36</f>
        <v>5- Tablero Control General - Op. Complejas</v>
      </c>
      <c r="C14" s="205"/>
      <c r="D14" s="205"/>
      <c r="E14" s="205"/>
      <c r="F14" s="205"/>
      <c r="G14" s="178">
        <f>COUNTIF('_Datos'!$D$7:$D$200,$B14)</f>
        <v>11</v>
      </c>
      <c r="H14" s="180">
        <f>IFERROR(AVERAGEIF('_Datos'!$D$7:$D$200,$B14,'_Datos'!$I$7:$I$200),"")</f>
        <v>0.3409090909090909</v>
      </c>
      <c r="I14" s="180">
        <f>IFERROR(AVERAGEIF('_Datos'!$D$7:$D$200,$B14,'_Datos'!$I$7:$I$200),"")</f>
        <v>0.3409090909090909</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v>
      </c>
      <c r="I16" s="180">
        <f>IFERROR(AVERAGEIF('_Datos'!$D$7:$D$200,$B16,'_Datos'!$I$7:$I$200),"")</f>
        <v>0</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v>
      </c>
      <c r="I17" s="180">
        <f>IFERROR(AVERAGEIF('_Datos'!$D$7:$D$200,$B17,'_Datos'!$I$7:$I$200),"")</f>
        <v>0</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8">
        <f>IFERROR(AVERAGEIF('_Datos'!$AO$7:$AO$200,"Semanal",'_Datos'!$I$7:$I$200),"")</f>
        <v>0.44</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0</v>
      </c>
      <c r="F22" s="204">
        <f>COUNTIFS('_Datos'!$AO$7:$AO$200,"Quincenal",'_Datos'!$AY$7:$AY$200,"Vencida")</f>
        <v>0</v>
      </c>
      <c r="G22" s="204">
        <f>COUNTIFS('_Datos'!$AO$7:$AO$200,"Quincenal",'_Datos'!$AY$7:$AY$200,"Baja prioridad")</f>
        <v>0</v>
      </c>
      <c r="H22" s="208">
        <f>IFERROR(AVERAGEIF('_Datos'!$AO$7:$AO$200,"Quincenal",'_Datos'!$I$7:$I$200),"")</f>
        <v>0.4375</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0</v>
      </c>
      <c r="F23" s="204">
        <f>COUNTIFS('_Datos'!$AO$7:$AO$200,"Mensual",'_Datos'!$AY$7:$AY$200,"Vencida")</f>
        <v>0</v>
      </c>
      <c r="G23" s="204">
        <f>COUNTIFS('_Datos'!$AO$7:$AO$200,"Mensual",'_Datos'!$AY$7:$AY$200,"Baja prioridad")</f>
        <v>0</v>
      </c>
      <c r="H23" s="208">
        <f>IFERROR(AVERAGEIF('_Datos'!$AO$7:$AO$200,"Mensual",'_Datos'!$I$7:$I$200),"")</f>
        <v>0</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6</v>
      </c>
      <c r="C27" s="183">
        <f>COUNTIF('_Datos'!$Z$7:$Z$200,TRUE)</f>
        <v>12</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26/06/2026   |   Entregas: 26   |   Críticas: 6   |   Vencidas: 23   |   Próximas: 1   |   Bloqueadas: 12   |   Avance: 37%</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S1</v>
      </c>
      <c r="D7" s="205" t="str">
        <f>IF($P7="","",INDEX('_Datos'!$F$7:$F$200,$P7))</f>
        <v>Planilla Activos Unificados - Estandarizar + Procedimiento</v>
      </c>
      <c r="E7" s="205" t="str">
        <f>IF($P7="","",INDEX('_Datos'!$G$7:$G$200,$P7))</f>
        <v>Santiago Alonso</v>
      </c>
      <c r="F7" s="207">
        <f>IF($P7="","",INDEX('_Datos'!$H$7:$H$200,$P7))</f>
        <v>46188</v>
      </c>
      <c r="G7" s="204" t="str">
        <f>IF($P7="","",INDEX('_Datos'!$J$7:$J$200,$P7))</f>
        <v>Vencido</v>
      </c>
      <c r="H7" s="209">
        <f>IF($P7="","",INDEX('_Datos'!$K$7:$K$200,$P7))</f>
        <v>-11</v>
      </c>
      <c r="I7" s="209">
        <f>IF($P7="","",INDEX('_Datos'!$S$7:$S$200,$P7))</f>
        <v>197</v>
      </c>
      <c r="J7" s="209">
        <f>IF($P7="","",INDEX('_Datos'!$T$7:$T$200,$P7))</f>
        <v>207</v>
      </c>
      <c r="K7" s="208">
        <f>IF($P7="","",INDEX('_Datos'!$V$7:$V$200,$P7))</f>
        <v>-1</v>
      </c>
      <c r="L7" s="209">
        <f>IF($P7="","",INDEX('_Datos'!$W$7:$W$200,$P7))</f>
        <v>11</v>
      </c>
      <c r="M7" s="205" t="str">
        <f>IF($P7="","",INDEX('_Datos'!$AC$7:$AC$200,$P7))</f>
        <v>ATRASO BLOQUEO</v>
      </c>
      <c r="P7" s="202">
        <f>IFERROR(MATCH(LARGE('_Datos'!$AJ$7:$AJ$200,ROW()-7+1),'_Datos'!$AJ$7:$AJ$200,0),"")</f>
        <v>31</v>
      </c>
    </row>
    <row r="8">
      <c r="B8" s="204" t="str">
        <f>IF($P8="","",INDEX('_Datos'!$AB$7:$AB$200,$P8))</f>
        <v>Crítica</v>
      </c>
      <c r="C8" s="204" t="str">
        <f>IF($P8="","",INDEX('_Datos'!$AE$7:$AE$200,$P8))</f>
        <v>Semanal · S1</v>
      </c>
      <c r="D8" s="205" t="str">
        <f>IF($P8="","",INDEX('_Datos'!$F$7:$F$200,$P8))</f>
        <v>Armado de Procedimiento</v>
      </c>
      <c r="E8" s="205" t="str">
        <f>IF($P8="","",INDEX('_Datos'!$G$7:$G$200,$P8))</f>
        <v>Santiago Alonso</v>
      </c>
      <c r="F8" s="207">
        <f>IF($P8="","",INDEX('_Datos'!$H$7:$H$200,$P8))</f>
        <v>46192</v>
      </c>
      <c r="G8" s="204" t="str">
        <f>IF($P8="","",INDEX('_Datos'!$J$7:$J$200,$P8))</f>
        <v>Vencido</v>
      </c>
      <c r="H8" s="209">
        <f>IF($P8="","",INDEX('_Datos'!$K$7:$K$200,$P8))</f>
        <v>-7</v>
      </c>
      <c r="I8" s="209">
        <f>IF($P8="","",INDEX('_Datos'!$S$7:$S$200,$P8))</f>
        <v>4</v>
      </c>
      <c r="J8" s="209">
        <f>IF($P8="","",INDEX('_Datos'!$T$7:$T$200,$P8))</f>
        <v>10</v>
      </c>
      <c r="K8" s="208">
        <f>IF($P8="","",INDEX('_Datos'!$V$7:$V$200,$P8))</f>
        <v>-1</v>
      </c>
      <c r="L8" s="209">
        <f>IF($P8="","",INDEX('_Datos'!$W$7:$W$200,$P8))</f>
        <v>7</v>
      </c>
      <c r="M8" s="205" t="str">
        <f>IF($P8="","",INDEX('_Datos'!$AC$7:$AC$200,$P8))</f>
        <v>ATRASO BLOQUEO</v>
      </c>
      <c r="P8" s="202">
        <f>IFERROR(MATCH(LARGE('_Datos'!$AJ$7:$AJ$200,ROW()-7+1),'_Datos'!$AJ$7:$AJ$200,0),"")</f>
        <v>43</v>
      </c>
    </row>
    <row r="9">
      <c r="B9" s="204" t="str">
        <f>IF($P9="","",INDEX('_Datos'!$AB$7:$AB$200,$P9))</f>
        <v>Crítica</v>
      </c>
      <c r="C9" s="204" t="str">
        <f>IF($P9="","",INDEX('_Datos'!$AE$7:$AE$200,$P9))</f>
        <v>Semanal · S1</v>
      </c>
      <c r="D9" s="205" t="str">
        <f>IF($P9="","",INDEX('_Datos'!$F$7:$F$200,$P9))</f>
        <v>Slicer funcional con % de incremento sobre venta con base en % definido en factores</v>
      </c>
      <c r="E9" s="205" t="str">
        <f>IF($P9="","",INDEX('_Datos'!$G$7:$G$200,$P9))</f>
        <v>Santiago Alonso</v>
      </c>
      <c r="F9" s="207">
        <f>IF($P9="","",INDEX('_Datos'!$H$7:$H$200,$P9))</f>
        <v>46192</v>
      </c>
      <c r="G9" s="204" t="str">
        <f>IF($P9="","",INDEX('_Datos'!$J$7:$J$200,$P9))</f>
        <v>Vencido</v>
      </c>
      <c r="H9" s="209">
        <f>IF($P9="","",INDEX('_Datos'!$K$7:$K$200,$P9))</f>
        <v>-7</v>
      </c>
      <c r="I9" s="209">
        <f>IF($P9="","",INDEX('_Datos'!$S$7:$S$200,$P9))</f>
        <v>4</v>
      </c>
      <c r="J9" s="209">
        <f>IF($P9="","",INDEX('_Datos'!$T$7:$T$200,$P9))</f>
        <v>10</v>
      </c>
      <c r="K9" s="208">
        <f>IF($P9="","",INDEX('_Datos'!$V$7:$V$200,$P9))</f>
        <v>-1</v>
      </c>
      <c r="L9" s="209">
        <f>IF($P9="","",INDEX('_Datos'!$W$7:$W$200,$P9))</f>
        <v>7</v>
      </c>
      <c r="M9" s="205" t="str">
        <f>IF($P9="","",INDEX('_Datos'!$AC$7:$AC$200,$P9))</f>
        <v>ATRASO BLOQUEO</v>
      </c>
      <c r="P9" s="202">
        <f>IFERROR(MATCH(LARGE('_Datos'!$AJ$7:$AJ$200,ROW()-7+1),'_Datos'!$AJ$7:$AJ$200,0),"")</f>
        <v>44</v>
      </c>
    </row>
    <row r="10">
      <c r="B10" s="204" t="str">
        <f>IF($P10="","",INDEX('_Datos'!$AB$7:$AB$200,$P10))</f>
        <v>Crítica</v>
      </c>
      <c r="C10" s="204" t="str">
        <f>IF($P10="","",INDEX('_Datos'!$AE$7:$AE$200,$P10))</f>
        <v>Semanal · S1</v>
      </c>
      <c r="D10" s="205" t="str">
        <f>IF($P10="","",INDEX('_Datos'!$F$7:$F$200,$P10))</f>
        <v>Factores de clientes con % de incremento sobre venta</v>
      </c>
      <c r="E10" s="205" t="str">
        <f>IF($P10="","",INDEX('_Datos'!$G$7:$G$200,$P10))</f>
        <v>Santiago Alonso</v>
      </c>
      <c r="F10" s="207">
        <f>IF($P10="","",INDEX('_Datos'!$H$7:$H$200,$P10))</f>
        <v>46192</v>
      </c>
      <c r="G10" s="204" t="str">
        <f>IF($P10="","",INDEX('_Datos'!$J$7:$J$200,$P10))</f>
        <v>Vencido</v>
      </c>
      <c r="H10" s="209">
        <f>IF($P10="","",INDEX('_Datos'!$K$7:$K$200,$P10))</f>
        <v>-7</v>
      </c>
      <c r="I10" s="209">
        <f>IF($P10="","",INDEX('_Datos'!$S$7:$S$200,$P10))</f>
        <v>4</v>
      </c>
      <c r="J10" s="209">
        <f>IF($P10="","",INDEX('_Datos'!$T$7:$T$200,$P10))</f>
        <v>10</v>
      </c>
      <c r="K10" s="208">
        <f>IF($P10="","",INDEX('_Datos'!$V$7:$V$200,$P10))</f>
        <v>-1</v>
      </c>
      <c r="L10" s="209">
        <f>IF($P10="","",INDEX('_Datos'!$W$7:$W$200,$P10))</f>
        <v>7</v>
      </c>
      <c r="M10" s="205" t="str">
        <f>IF($P10="","",INDEX('_Datos'!$AC$7:$AC$200,$P10))</f>
        <v>ATRASO BLOQUEO</v>
      </c>
      <c r="P10" s="202">
        <f>IFERROR(MATCH(LARGE('_Datos'!$AJ$7:$AJ$200,ROW()-7+1),'_Datos'!$AJ$7:$AJ$200,0),"")</f>
        <v>45</v>
      </c>
    </row>
    <row r="11">
      <c r="B11" s="204" t="str">
        <f>IF($P11="","",INDEX('_Datos'!$AB$7:$AB$200,$P11))</f>
        <v>Crítica</v>
      </c>
      <c r="C11" s="204" t="str">
        <f>IF($P11="","",INDEX('_Datos'!$AE$7:$AE$200,$P11))</f>
        <v>Mensual · S1</v>
      </c>
      <c r="D11" s="205" t="str">
        <f>IF($P11="","",INDEX('_Datos'!$F$7:$F$200,$P11))</f>
        <v>Disponibilidad de información centralizada en GOC (aguarda desarrollo)</v>
      </c>
      <c r="E11" s="205" t="str">
        <f>IF($P11="","",INDEX('_Datos'!$G$7:$G$200,$P11))</f>
        <v>Lucila Pronzato</v>
      </c>
      <c r="F11" s="207">
        <f>IF($P11="","",INDEX('_Datos'!$H$7:$H$200,$P11))</f>
        <v>46203</v>
      </c>
      <c r="G11" s="204" t="str">
        <f>IF($P11="","",INDEX('_Datos'!$J$7:$J$200,$P11))</f>
        <v>Próximo a vencer</v>
      </c>
      <c r="H11" s="209">
        <f>IF($P11="","",INDEX('_Datos'!$K$7:$K$200,$P11))</f>
        <v>4</v>
      </c>
      <c r="I11" s="209">
        <f>IF($P11="","",INDEX('_Datos'!$S$7:$S$200,$P11))</f>
        <v>246</v>
      </c>
      <c r="J11" s="209">
        <f>IF($P11="","",INDEX('_Datos'!$T$7:$T$200,$P11))</f>
        <v>241</v>
      </c>
      <c r="K11" s="208">
        <f>IF($P11="","",INDEX('_Datos'!$V$7:$V$200,$P11))</f>
        <v>-0.9836734693877551</v>
      </c>
      <c r="L11" s="209">
        <f>IF($P11="","",INDEX('_Datos'!$W$7:$W$200,$P11))</f>
        <v>0</v>
      </c>
      <c r="M11" s="205" t="str">
        <f>IF($P11="","",INDEX('_Datos'!$AC$7:$AC$200,$P11))</f>
        <v>ATRASO BLOQUEO</v>
      </c>
      <c r="P11" s="202">
        <f>IFERROR(MATCH(LARGE('_Datos'!$AJ$7:$AJ$200,ROW()-7+1),'_Datos'!$AJ$7:$AJ$200,0),"")</f>
        <v>2</v>
      </c>
    </row>
    <row r="12">
      <c r="B12" s="204" t="str">
        <f>IF($P12="","",INDEX('_Datos'!$AB$7:$AB$200,$P12))</f>
        <v>Crítica</v>
      </c>
      <c r="C12" s="204" t="str">
        <f>IF($P12="","",INDEX('_Datos'!$AE$7:$AE$200,$P12))</f>
        <v>Semanal · S1</v>
      </c>
      <c r="D12" s="205" t="str">
        <f>IF($P12="","",INDEX('_Datos'!$F$7:$F$200,$P12))</f>
        <v>Resumen Clientes Op. Dedicadas</v>
      </c>
      <c r="E12" s="205" t="str">
        <f>IF($P12="","",INDEX('_Datos'!$G$7:$G$200,$P12))</f>
        <v>Santiago Alonso</v>
      </c>
      <c r="F12" s="207">
        <f>IF($P12="","",INDEX('_Datos'!$H$7:$H$200,$P12))</f>
        <v>46188</v>
      </c>
      <c r="G12" s="204" t="str">
        <f>IF($P12="","",INDEX('_Datos'!$J$7:$J$200,$P12))</f>
        <v>Vencido</v>
      </c>
      <c r="H12" s="209">
        <f>IF($P12="","",INDEX('_Datos'!$K$7:$K$200,$P12))</f>
        <v>-11</v>
      </c>
      <c r="I12" s="209">
        <f>IF($P12="","",INDEX('_Datos'!$S$7:$S$200,$P12))</f>
        <v>1</v>
      </c>
      <c r="J12" s="209">
        <f>IF($P12="","",INDEX('_Datos'!$T$7:$T$200,$P12))</f>
        <v>11</v>
      </c>
      <c r="K12" s="208">
        <f>IF($P12="","",INDEX('_Datos'!$V$7:$V$200,$P12))</f>
        <v>-0.75</v>
      </c>
      <c r="L12" s="209">
        <f>IF($P12="","",INDEX('_Datos'!$W$7:$W$200,$P12))</f>
        <v>11</v>
      </c>
      <c r="M12" s="205" t="str">
        <f>IF($P12="","",INDEX('_Datos'!$AC$7:$AC$200,$P12))</f>
        <v>ATRASO</v>
      </c>
      <c r="P12" s="202">
        <f>IFERROR(MATCH(LARGE('_Datos'!$AJ$7:$AJ$200,ROW()-7+1),'_Datos'!$AJ$7:$AJ$200,0),"")</f>
        <v>36</v>
      </c>
    </row>
    <row r="13">
      <c r="B13" s="204" t="str">
        <f>IF($P13="","",INDEX('_Datos'!$AB$7:$AB$200,$P13))</f>
        <v>Alta</v>
      </c>
      <c r="C13" s="204" t="str">
        <f>IF($P13="","",INDEX('_Datos'!$AE$7:$AE$200,$P13))</f>
        <v>Semanal · S1</v>
      </c>
      <c r="D13" s="205" t="str">
        <f>IF($P13="","",INDEX('_Datos'!$F$7:$F$200,$P13))</f>
        <v>Resumen Clientes Minería</v>
      </c>
      <c r="E13" s="205" t="str">
        <f>IF($P13="","",INDEX('_Datos'!$G$7:$G$200,$P13))</f>
        <v>Santiago Alonso</v>
      </c>
      <c r="F13" s="207">
        <f>IF($P13="","",INDEX('_Datos'!$H$7:$H$200,$P13))</f>
        <v>46188</v>
      </c>
      <c r="G13" s="204" t="str">
        <f>IF($P13="","",INDEX('_Datos'!$J$7:$J$200,$P13))</f>
        <v>Vencido</v>
      </c>
      <c r="H13" s="209">
        <f>IF($P13="","",INDEX('_Datos'!$K$7:$K$200,$P13))</f>
        <v>-11</v>
      </c>
      <c r="I13" s="209">
        <f>IF($P13="","",INDEX('_Datos'!$S$7:$S$200,$P13))</f>
        <v>1</v>
      </c>
      <c r="J13" s="209">
        <f>IF($P13="","",INDEX('_Datos'!$T$7:$T$200,$P13))</f>
        <v>11</v>
      </c>
      <c r="K13" s="208">
        <f>IF($P13="","",INDEX('_Datos'!$V$7:$V$200,$P13))</f>
        <v>-0.5</v>
      </c>
      <c r="L13" s="209">
        <f>IF($P13="","",INDEX('_Datos'!$W$7:$W$200,$P13))</f>
        <v>11</v>
      </c>
      <c r="M13" s="205" t="str">
        <f>IF($P13="","",INDEX('_Datos'!$AC$7:$AC$200,$P13))</f>
        <v>ATRASO</v>
      </c>
      <c r="P13" s="202">
        <f>IFERROR(MATCH(LARGE('_Datos'!$AJ$7:$AJ$200,ROW()-7+1),'_Datos'!$AJ$7:$AJ$200,0),"")</f>
        <v>35</v>
      </c>
    </row>
    <row r="14">
      <c r="B14" s="204" t="str">
        <f>IF($P14="","",INDEX('_Datos'!$AB$7:$AB$200,$P14))</f>
        <v>Alta</v>
      </c>
      <c r="C14" s="204" t="str">
        <f>IF($P14="","",INDEX('_Datos'!$AE$7:$AE$200,$P14))</f>
        <v>Semanal · S1</v>
      </c>
      <c r="D14" s="205" t="str">
        <f>IF($P14="","",INDEX('_Datos'!$F$7:$F$200,$P14))</f>
        <v>Armado de Dashboard + Diseño</v>
      </c>
      <c r="E14" s="205" t="str">
        <f>IF($P14="","",INDEX('_Datos'!$G$7:$G$200,$P14))</f>
        <v>Santiago Alonso</v>
      </c>
      <c r="F14" s="207">
        <f>IF($P14="","",INDEX('_Datos'!$H$7:$H$200,$P14))</f>
        <v>46188</v>
      </c>
      <c r="G14" s="204" t="str">
        <f>IF($P14="","",INDEX('_Datos'!$J$7:$J$200,$P14))</f>
        <v>Vencido</v>
      </c>
      <c r="H14" s="209">
        <f>IF($P14="","",INDEX('_Datos'!$K$7:$K$200,$P14))</f>
        <v>-11</v>
      </c>
      <c r="I14" s="209">
        <f>IF($P14="","",INDEX('_Datos'!$S$7:$S$200,$P14))</f>
        <v>0</v>
      </c>
      <c r="J14" s="209">
        <f>IF($P14="","",INDEX('_Datos'!$T$7:$T$200,$P14))</f>
        <v>10</v>
      </c>
      <c r="K14" s="208">
        <f>IF($P14="","",INDEX('_Datos'!$V$7:$V$200,$P14))</f>
        <v>-0.5</v>
      </c>
      <c r="L14" s="209">
        <f>IF($P14="","",INDEX('_Datos'!$W$7:$W$200,$P14))</f>
        <v>11</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7">
        <f>IF($P15="","",INDEX('_Datos'!$H$7:$H$200,$P15))</f>
        <v>46192</v>
      </c>
      <c r="G15" s="204" t="str">
        <f>IF($P15="","",INDEX('_Datos'!$J$7:$J$200,$P15))</f>
        <v>Vencido</v>
      </c>
      <c r="H15" s="209">
        <f>IF($P15="","",INDEX('_Datos'!$K$7:$K$200,$P15))</f>
        <v>-7</v>
      </c>
      <c r="I15" s="209">
        <f>IF($P15="","",INDEX('_Datos'!$S$7:$S$200,$P15))</f>
        <v>201</v>
      </c>
      <c r="J15" s="209">
        <f>IF($P15="","",INDEX('_Datos'!$T$7:$T$200,$P15))</f>
        <v>207</v>
      </c>
      <c r="K15" s="208">
        <f>IF($P15="","",INDEX('_Datos'!$V$7:$V$200,$P15))</f>
        <v>-0.5</v>
      </c>
      <c r="L15" s="209">
        <f>IF($P15="","",INDEX('_Datos'!$W$7:$W$200,$P15))</f>
        <v>7</v>
      </c>
      <c r="M15" s="205" t="str">
        <f>IF($P15="","",INDEX('_Datos'!$AC$7:$AC$200,$P15))</f>
        <v>ATRASO</v>
      </c>
      <c r="P15" s="202">
        <f>IFERROR(MATCH(LARGE('_Datos'!$AJ$7:$AJ$200,ROW()-7+1),'_Datos'!$AJ$7:$AJ$200,0),"")</f>
        <v>10</v>
      </c>
    </row>
    <row r="16">
      <c r="B16" s="204" t="str">
        <f>IF($P16="","",INDEX('_Datos'!$AB$7:$AB$200,$P16))</f>
        <v>Alta</v>
      </c>
      <c r="C16" s="204" t="str">
        <f>IF($P16="","",INDEX('_Datos'!$AE$7:$AE$200,$P16))</f>
        <v>Semanal · S1</v>
      </c>
      <c r="D16" s="205" t="str">
        <f>IF($P16="","",INDEX('_Datos'!$F$7:$F$200,$P16))</f>
        <v>Revisión de viabilidad de incorporación datos Redash (input ZReal con clasificaciones automaticas por CECO - Directas e Indirectas)</v>
      </c>
      <c r="E16" s="205" t="str">
        <f>IF($P16="","",INDEX('_Datos'!$G$7:$G$200,$P16))</f>
        <v>Santiago Alonso</v>
      </c>
      <c r="F16" s="207">
        <f>IF($P16="","",INDEX('_Datos'!$H$7:$H$200,$P16))</f>
        <v>46188</v>
      </c>
      <c r="G16" s="204" t="str">
        <f>IF($P16="","",INDEX('_Datos'!$J$7:$J$200,$P16))</f>
        <v>Vencido</v>
      </c>
      <c r="H16" s="209">
        <f>IF($P16="","",INDEX('_Datos'!$K$7:$K$200,$P16))</f>
        <v>-11</v>
      </c>
      <c r="I16" s="209">
        <f>IF($P16="","",INDEX('_Datos'!$S$7:$S$200,$P16))</f>
        <v>12</v>
      </c>
      <c r="J16" s="209">
        <f>IF($P16="","",INDEX('_Datos'!$T$7:$T$200,$P16))</f>
        <v>22</v>
      </c>
      <c r="K16" s="208">
        <f>IF($P16="","",INDEX('_Datos'!$V$7:$V$200,$P16))</f>
        <v>-0.25</v>
      </c>
      <c r="L16" s="209">
        <f>IF($P16="","",INDEX('_Datos'!$W$7:$W$200,$P16))</f>
        <v>11</v>
      </c>
      <c r="M16" s="205" t="str">
        <f>IF($P16="","",INDEX('_Datos'!$AC$7:$AC$200,$P16))</f>
        <v>ATRASO</v>
      </c>
      <c r="P16" s="202">
        <f>IFERROR(MATCH(LARGE('_Datos'!$AJ$7:$AJ$200,ROW()-7+1),'_Datos'!$AJ$7:$AJ$200,0),"")</f>
        <v>19</v>
      </c>
    </row>
    <row r="17">
      <c r="B17" s="204" t="str">
        <f>IF($P17="","",INDEX('_Datos'!$AB$7:$AB$200,$P17))</f>
        <v>Alta</v>
      </c>
      <c r="C17" s="204" t="str">
        <f>IF($P17="","",INDEX('_Datos'!$AE$7:$AE$200,$P17))</f>
        <v>Semanal · S1</v>
      </c>
      <c r="D17" s="205" t="str">
        <f>IF($P17="","",INDEX('_Datos'!$F$7:$F$200,$P17))</f>
        <v>Procedimiento</v>
      </c>
      <c r="E17" s="205" t="str">
        <f>IF($P17="","",INDEX('_Datos'!$G$7:$G$200,$P17))</f>
        <v>Santiago Alonso</v>
      </c>
      <c r="F17" s="207">
        <f>IF($P17="","",INDEX('_Datos'!$H$7:$H$200,$P17))</f>
        <v>46188</v>
      </c>
      <c r="G17" s="204" t="str">
        <f>IF($P17="","",INDEX('_Datos'!$J$7:$J$200,$P17))</f>
        <v>Vencido</v>
      </c>
      <c r="H17" s="209">
        <f>IF($P17="","",INDEX('_Datos'!$K$7:$K$200,$P17))</f>
        <v>-11</v>
      </c>
      <c r="I17" s="209">
        <f>IF($P17="","",INDEX('_Datos'!$S$7:$S$200,$P17))</f>
        <v>8</v>
      </c>
      <c r="J17" s="209">
        <f>IF($P17="","",INDEX('_Datos'!$T$7:$T$200,$P17))</f>
        <v>18</v>
      </c>
      <c r="K17" s="208">
        <f>IF($P17="","",INDEX('_Datos'!$V$7:$V$200,$P17))</f>
        <v>-0.25</v>
      </c>
      <c r="L17" s="209">
        <f>IF($P17="","",INDEX('_Datos'!$W$7:$W$200,$P17))</f>
        <v>11</v>
      </c>
      <c r="M17" s="205" t="str">
        <f>IF($P17="","",INDEX('_Datos'!$AC$7:$AC$200,$P17))</f>
        <v>ATRASO</v>
      </c>
      <c r="P17" s="202">
        <f>IFERROR(MATCH(LARGE('_Datos'!$AJ$7:$AJ$200,ROW()-7+1),'_Datos'!$AJ$7:$AJ$200,0),"")</f>
        <v>22</v>
      </c>
    </row>
    <row r="18">
      <c r="B18" s="204" t="str">
        <f>IF($P18="","",INDEX('_Datos'!$AB$7:$AB$200,$P18))</f>
        <v>Alta</v>
      </c>
      <c r="C18" s="204" t="str">
        <f>IF($P18="","",INDEX('_Datos'!$AE$7:$AE$200,$P18))</f>
        <v>Semanal · S1</v>
      </c>
      <c r="D18" s="205" t="str">
        <f>IF($P18="","",INDEX('_Datos'!$F$7:$F$200,$P18))</f>
        <v>Aging - desde SharePoint</v>
      </c>
      <c r="E18" s="205" t="str">
        <f>IF($P18="","",INDEX('_Datos'!$G$7:$G$200,$P18))</f>
        <v>Santiago Alonso</v>
      </c>
      <c r="F18" s="207">
        <f>IF($P18="","",INDEX('_Datos'!$H$7:$H$200,$P18))</f>
        <v>46188</v>
      </c>
      <c r="G18" s="204" t="str">
        <f>IF($P18="","",INDEX('_Datos'!$J$7:$J$200,$P18))</f>
        <v>Vencido</v>
      </c>
      <c r="H18" s="209">
        <f>IF($P18="","",INDEX('_Datos'!$K$7:$K$200,$P18))</f>
        <v>-11</v>
      </c>
      <c r="I18" s="209">
        <f>IF($P18="","",INDEX('_Datos'!$S$7:$S$200,$P18))</f>
        <v>197</v>
      </c>
      <c r="J18" s="209">
        <f>IF($P18="","",INDEX('_Datos'!$T$7:$T$200,$P18))</f>
        <v>207</v>
      </c>
      <c r="K18" s="208">
        <f>IF($P18="","",INDEX('_Datos'!$V$7:$V$200,$P18))</f>
        <v>-0.25</v>
      </c>
      <c r="L18" s="209">
        <f>IF($P18="","",INDEX('_Datos'!$W$7:$W$200,$P18))</f>
        <v>11</v>
      </c>
      <c r="M18" s="205" t="str">
        <f>IF($P18="","",INDEX('_Datos'!$AC$7:$AC$200,$P18))</f>
        <v>ATRASO</v>
      </c>
      <c r="P18" s="202">
        <f>IFERROR(MATCH(LARGE('_Datos'!$AJ$7:$AJ$200,ROW()-7+1),'_Datos'!$AJ$7:$AJ$200,0),"")</f>
        <v>23</v>
      </c>
    </row>
    <row r="19">
      <c r="B19" s="204" t="str">
        <f>IF($P19="","",INDEX('_Datos'!$AB$7:$AB$200,$P19))</f>
        <v>Alta</v>
      </c>
      <c r="C19" s="204" t="str">
        <f>IF($P19="","",INDEX('_Datos'!$AE$7:$AE$200,$P19))</f>
        <v>Semanal · S1</v>
      </c>
      <c r="D19" s="205" t="str">
        <f>IF($P19="","",INDEX('_Datos'!$F$7:$F$200,$P19))</f>
        <v>Dias en Calle - desde SharePoint</v>
      </c>
      <c r="E19" s="205" t="str">
        <f>IF($P19="","",INDEX('_Datos'!$G$7:$G$200,$P19))</f>
        <v>Santiago Alonso</v>
      </c>
      <c r="F19" s="207">
        <f>IF($P19="","",INDEX('_Datos'!$H$7:$H$200,$P19))</f>
        <v>46188</v>
      </c>
      <c r="G19" s="204" t="str">
        <f>IF($P19="","",INDEX('_Datos'!$J$7:$J$200,$P19))</f>
        <v>Vencido</v>
      </c>
      <c r="H19" s="209">
        <f>IF($P19="","",INDEX('_Datos'!$K$7:$K$200,$P19))</f>
        <v>-11</v>
      </c>
      <c r="I19" s="209">
        <f>IF($P19="","",INDEX('_Datos'!$S$7:$S$200,$P19))</f>
        <v>197</v>
      </c>
      <c r="J19" s="209">
        <f>IF($P19="","",INDEX('_Datos'!$T$7:$T$200,$P19))</f>
        <v>207</v>
      </c>
      <c r="K19" s="208">
        <f>IF($P19="","",INDEX('_Datos'!$V$7:$V$200,$P19))</f>
        <v>-0.25</v>
      </c>
      <c r="L19" s="209">
        <f>IF($P19="","",INDEX('_Datos'!$W$7:$W$200,$P19))</f>
        <v>11</v>
      </c>
      <c r="M19" s="205" t="str">
        <f>IF($P19="","",INDEX('_Datos'!$AC$7:$AC$200,$P19))</f>
        <v>ATRASO</v>
      </c>
      <c r="P19" s="202">
        <f>IFERROR(MATCH(LARGE('_Datos'!$AJ$7:$AJ$200,ROW()-7+1),'_Datos'!$AJ$7:$AJ$200,0),"")</f>
        <v>24</v>
      </c>
    </row>
    <row r="20">
      <c r="B20" s="204" t="str">
        <f>IF($P20="","",INDEX('_Datos'!$AB$7:$AB$200,$P20))</f>
        <v>Alta</v>
      </c>
      <c r="C20" s="204" t="str">
        <f>IF($P20="","",INDEX('_Datos'!$AE$7:$AE$200,$P20))</f>
        <v>Semanal · S1</v>
      </c>
      <c r="D20" s="205" t="str">
        <f>IF($P20="","",INDEX('_Datos'!$F$7:$F$200,$P20))</f>
        <v>Input de datos desde Provisión mensual</v>
      </c>
      <c r="E20" s="205" t="str">
        <f>IF($P20="","",INDEX('_Datos'!$G$7:$G$200,$P20))</f>
        <v>Santiago Alonso</v>
      </c>
      <c r="F20" s="207">
        <f>IF($P20="","",INDEX('_Datos'!$H$7:$H$200,$P20))</f>
        <v>46188</v>
      </c>
      <c r="G20" s="204" t="str">
        <f>IF($P20="","",INDEX('_Datos'!$J$7:$J$200,$P20))</f>
        <v>Vencido</v>
      </c>
      <c r="H20" s="209">
        <f>IF($P20="","",INDEX('_Datos'!$K$7:$K$200,$P20))</f>
        <v>-11</v>
      </c>
      <c r="I20" s="209">
        <f>IF($P20="","",INDEX('_Datos'!$S$7:$S$200,$P20))</f>
        <v>166</v>
      </c>
      <c r="J20" s="209">
        <f>IF($P20="","",INDEX('_Datos'!$T$7:$T$200,$P20))</f>
        <v>176</v>
      </c>
      <c r="K20" s="208">
        <f>IF($P20="","",INDEX('_Datos'!$V$7:$V$200,$P20))</f>
        <v>-0.25</v>
      </c>
      <c r="L20" s="209">
        <f>IF($P20="","",INDEX('_Datos'!$W$7:$W$200,$P20))</f>
        <v>11</v>
      </c>
      <c r="M20" s="205" t="str">
        <f>IF($P20="","",INDEX('_Datos'!$AC$7:$AC$200,$P20))</f>
        <v>ATRASO</v>
      </c>
      <c r="P20" s="202">
        <f>IFERROR(MATCH(LARGE('_Datos'!$AJ$7:$AJ$200,ROW()-7+1),'_Datos'!$AJ$7:$AJ$200,0),"")</f>
        <v>25</v>
      </c>
    </row>
    <row r="21">
      <c r="B21" s="204" t="str">
        <f>IF($P21="","",INDEX('_Datos'!$AB$7:$AB$200,$P21))</f>
        <v>Alta</v>
      </c>
      <c r="C21" s="204" t="str">
        <f>IF($P21="","",INDEX('_Datos'!$AE$7:$AE$200,$P21))</f>
        <v>Semanal · S1</v>
      </c>
      <c r="D21" s="205" t="str">
        <f>IF($P21="","",INDEX('_Datos'!$F$7:$F$200,$P21))</f>
        <v>Planilla DTM Estandarizada+ Procedimiento</v>
      </c>
      <c r="E21" s="205" t="str">
        <f>IF($P21="","",INDEX('_Datos'!$G$7:$G$200,$P21))</f>
        <v>Santiago Alonso</v>
      </c>
      <c r="F21" s="207">
        <f>IF($P21="","",INDEX('_Datos'!$H$7:$H$200,$P21))</f>
        <v>46188</v>
      </c>
      <c r="G21" s="204" t="str">
        <f>IF($P21="","",INDEX('_Datos'!$J$7:$J$200,$P21))</f>
        <v>Vencido</v>
      </c>
      <c r="H21" s="209">
        <f>IF($P21="","",INDEX('_Datos'!$K$7:$K$200,$P21))</f>
        <v>-11</v>
      </c>
      <c r="I21" s="209">
        <f>IF($P21="","",INDEX('_Datos'!$S$7:$S$200,$P21))</f>
        <v>166</v>
      </c>
      <c r="J21" s="209">
        <f>IF($P21="","",INDEX('_Datos'!$T$7:$T$200,$P21))</f>
        <v>176</v>
      </c>
      <c r="K21" s="208">
        <f>IF($P21="","",INDEX('_Datos'!$V$7:$V$200,$P21))</f>
        <v>-0.25</v>
      </c>
      <c r="L21" s="209">
        <f>IF($P21="","",INDEX('_Datos'!$W$7:$W$200,$P21))</f>
        <v>11</v>
      </c>
      <c r="M21" s="205" t="str">
        <f>IF($P21="","",INDEX('_Datos'!$AC$7:$AC$200,$P21))</f>
        <v>ATRASO</v>
      </c>
      <c r="P21" s="202">
        <f>IFERROR(MATCH(LARGE('_Datos'!$AJ$7:$AJ$200,ROW()-7+1),'_Datos'!$AJ$7:$AJ$200,0),"")</f>
        <v>32</v>
      </c>
    </row>
    <row r="22">
      <c r="B22" s="204" t="str">
        <f>IF($P22="","",INDEX('_Datos'!$AB$7:$AB$200,$P22))</f>
        <v>Alta</v>
      </c>
      <c r="C22" s="204" t="str">
        <f>IF($P22="","",INDEX('_Datos'!$AE$7:$AE$200,$P22))</f>
        <v>Semanal · S1</v>
      </c>
      <c r="D22" s="205" t="str">
        <f>IF($P22="","",INDEX('_Datos'!$F$7:$F$200,$P22))</f>
        <v>Planilla Aeroevaciaciones + Procedimiento</v>
      </c>
      <c r="E22" s="205" t="str">
        <f>IF($P22="","",INDEX('_Datos'!$G$7:$G$200,$P22))</f>
        <v>Santiago Alonso</v>
      </c>
      <c r="F22" s="207">
        <f>IF($P22="","",INDEX('_Datos'!$H$7:$H$200,$P22))</f>
        <v>46188</v>
      </c>
      <c r="G22" s="204" t="str">
        <f>IF($P22="","",INDEX('_Datos'!$J$7:$J$200,$P22))</f>
        <v>Vencido</v>
      </c>
      <c r="H22" s="209">
        <f>IF($P22="","",INDEX('_Datos'!$K$7:$K$200,$P22))</f>
        <v>-11</v>
      </c>
      <c r="I22" s="209">
        <f>IF($P22="","",INDEX('_Datos'!$S$7:$S$200,$P22))</f>
        <v>197</v>
      </c>
      <c r="J22" s="209">
        <f>IF($P22="","",INDEX('_Datos'!$T$7:$T$200,$P22))</f>
        <v>207</v>
      </c>
      <c r="K22" s="208">
        <f>IF($P22="","",INDEX('_Datos'!$V$7:$V$200,$P22))</f>
        <v>-0.25</v>
      </c>
      <c r="L22" s="209">
        <f>IF($P22="","",INDEX('_Datos'!$W$7:$W$200,$P22))</f>
        <v>11</v>
      </c>
      <c r="M22" s="205" t="str">
        <f>IF($P22="","",INDEX('_Datos'!$AC$7:$AC$200,$P22))</f>
        <v>ATRASO</v>
      </c>
      <c r="P22" s="202">
        <f>IFERROR(MATCH(LARGE('_Datos'!$AJ$7:$AJ$200,ROW()-7+1),'_Datos'!$AJ$7:$AJ$200,0),"")</f>
        <v>33</v>
      </c>
    </row>
    <row r="23">
      <c r="B23" s="204" t="str">
        <f>IF($P23="","",INDEX('_Datos'!$AB$7:$AB$200,$P23))</f>
        <v>Alta</v>
      </c>
      <c r="C23" s="204" t="str">
        <f>IF($P23="","",INDEX('_Datos'!$AE$7:$AE$200,$P23))</f>
        <v>Semanal · S1</v>
      </c>
      <c r="D23" s="205" t="str">
        <f>IF($P23="","",INDEX('_Datos'!$F$7:$F$200,$P23))</f>
        <v>Resumen Clientes Petróleo</v>
      </c>
      <c r="E23" s="205" t="str">
        <f>IF($P23="","",INDEX('_Datos'!$G$7:$G$200,$P23))</f>
        <v>Santiago Alonso</v>
      </c>
      <c r="F23" s="207">
        <f>IF($P23="","",INDEX('_Datos'!$H$7:$H$200,$P23))</f>
        <v>46188</v>
      </c>
      <c r="G23" s="204" t="str">
        <f>IF($P23="","",INDEX('_Datos'!$J$7:$J$200,$P23))</f>
        <v>Vencido</v>
      </c>
      <c r="H23" s="209">
        <f>IF($P23="","",INDEX('_Datos'!$K$7:$K$200,$P23))</f>
        <v>-11</v>
      </c>
      <c r="I23" s="209">
        <f>IF($P23="","",INDEX('_Datos'!$S$7:$S$200,$P23))</f>
        <v>-168</v>
      </c>
      <c r="J23" s="209">
        <f>IF($P23="","",INDEX('_Datos'!$T$7:$T$200,$P23))</f>
        <v>0</v>
      </c>
      <c r="K23" s="208">
        <f>IF($P23="","",INDEX('_Datos'!$V$7:$V$200,$P23))</f>
        <v>0.5</v>
      </c>
      <c r="L23" s="209">
        <f>IF($P23="","",INDEX('_Datos'!$W$7:$W$200,$P23))</f>
        <v>11</v>
      </c>
      <c r="M23" s="205" t="str">
        <f>IF($P23="","",INDEX('_Datos'!$AC$7:$AC$200,$P23))</f>
        <v>ATRASO</v>
      </c>
      <c r="P23" s="202">
        <f>IFERROR(MATCH(LARGE('_Datos'!$AJ$7:$AJ$200,ROW()-7+1),'_Datos'!$AJ$7:$AJ$200,0),"")</f>
        <v>34</v>
      </c>
    </row>
    <row r="24">
      <c r="B24" s="204" t="str">
        <f>IF($P24="","",INDEX('_Datos'!$AB$7:$AB$200,$P24))</f>
        <v>Alta</v>
      </c>
      <c r="C24" s="204" t="str">
        <f>IF($P24="","",INDEX('_Datos'!$AE$7:$AE$200,$P24))</f>
        <v>Semanal · S1</v>
      </c>
      <c r="D24" s="205" t="str">
        <f>IF($P24="","",INDEX('_Datos'!$F$7:$F$200,$P24))</f>
        <v>Detalle Responsables (Comerciales + Analistas)</v>
      </c>
      <c r="E24" s="205" t="str">
        <f>IF($P24="","",INDEX('_Datos'!$G$7:$G$200,$P24))</f>
        <v>Santiago Alonso</v>
      </c>
      <c r="F24" s="207">
        <f>IF($P24="","",INDEX('_Datos'!$H$7:$H$200,$P24))</f>
        <v>46188</v>
      </c>
      <c r="G24" s="204" t="str">
        <f>IF($P24="","",INDEX('_Datos'!$J$7:$J$200,$P24))</f>
        <v>Vencido</v>
      </c>
      <c r="H24" s="209">
        <f>IF($P24="","",INDEX('_Datos'!$K$7:$K$200,$P24))</f>
        <v>-11</v>
      </c>
      <c r="I24" s="209">
        <f>IF($P24="","",INDEX('_Datos'!$S$7:$S$200,$P24))</f>
        <v>-21</v>
      </c>
      <c r="J24" s="209">
        <f>IF($P24="","",INDEX('_Datos'!$T$7:$T$200,$P24))</f>
        <v>0</v>
      </c>
      <c r="K24" s="208">
        <f>IF($P24="","",INDEX('_Datos'!$V$7:$V$200,$P24))</f>
        <v>0.5</v>
      </c>
      <c r="L24" s="209">
        <f>IF($P24="","",INDEX('_Datos'!$W$7:$W$200,$P24))</f>
        <v>11</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7">
        <f>IF($P25="","",INDEX('_Datos'!$H$7:$H$200,$P25))</f>
        <v>46192</v>
      </c>
      <c r="G25" s="204" t="str">
        <f>IF($P25="","",INDEX('_Datos'!$J$7:$J$200,$P25))</f>
        <v>Vencido</v>
      </c>
      <c r="H25" s="209">
        <f>IF($P25="","",INDEX('_Datos'!$K$7:$K$200,$P25))</f>
        <v>-7</v>
      </c>
      <c r="I25" s="209">
        <f>IF($P25="","",INDEX('_Datos'!$S$7:$S$200,$P25))</f>
        <v>235</v>
      </c>
      <c r="J25" s="209">
        <f>IF($P25="","",INDEX('_Datos'!$T$7:$T$200,$P25))</f>
        <v>241</v>
      </c>
      <c r="K25" s="208">
        <f>IF($P25="","",INDEX('_Datos'!$V$7:$V$200,$P25))</f>
        <v>-0.25</v>
      </c>
      <c r="L25" s="209">
        <f>IF($P25="","",INDEX('_Datos'!$W$7:$W$200,$P25))</f>
        <v>7</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7">
        <f>IF($P26="","",INDEX('_Datos'!$H$7:$H$200,$P26))</f>
        <v>46192</v>
      </c>
      <c r="G26" s="204" t="str">
        <f>IF($P26="","",INDEX('_Datos'!$J$7:$J$200,$P26))</f>
        <v>Vencido</v>
      </c>
      <c r="H26" s="209">
        <f>IF($P26="","",INDEX('_Datos'!$K$7:$K$200,$P26))</f>
        <v>-7</v>
      </c>
      <c r="I26" s="209">
        <f>IF($P26="","",INDEX('_Datos'!$S$7:$S$200,$P26))</f>
        <v>215</v>
      </c>
      <c r="J26" s="209">
        <f>IF($P26="","",INDEX('_Datos'!$T$7:$T$200,$P26))</f>
        <v>221</v>
      </c>
      <c r="K26" s="208">
        <f>IF($P26="","",INDEX('_Datos'!$V$7:$V$200,$P26))</f>
        <v>-0.25</v>
      </c>
      <c r="L26" s="209">
        <f>IF($P26="","",INDEX('_Datos'!$W$7:$W$200,$P26))</f>
        <v>7</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Asociar Archivo Móviles y Tráilers (Nico Sifuentes) + procedimiento</v>
      </c>
      <c r="E27" s="205" t="str">
        <f>IF($P27="","",INDEX('_Datos'!$G$7:$G$200,$P27))</f>
        <v>Santiago Alonso</v>
      </c>
      <c r="F27" s="207">
        <f>IF($P27="","",INDEX('_Datos'!$H$7:$H$200,$P27))</f>
        <v>46192</v>
      </c>
      <c r="G27" s="204" t="str">
        <f>IF($P27="","",INDEX('_Datos'!$J$7:$J$200,$P27))</f>
        <v>Vencido</v>
      </c>
      <c r="H27" s="209">
        <f>IF($P27="","",INDEX('_Datos'!$K$7:$K$200,$P27))</f>
        <v>-7</v>
      </c>
      <c r="I27" s="209">
        <f>IF($P27="","",INDEX('_Datos'!$S$7:$S$200,$P27))</f>
        <v>201</v>
      </c>
      <c r="J27" s="209">
        <f>IF($P27="","",INDEX('_Datos'!$T$7:$T$200,$P27))</f>
        <v>207</v>
      </c>
      <c r="K27" s="208">
        <f>IF($P27="","",INDEX('_Datos'!$V$7:$V$200,$P27))</f>
        <v>-0.25</v>
      </c>
      <c r="L27" s="209">
        <f>IF($P27="","",INDEX('_Datos'!$W$7:$W$200,$P27))</f>
        <v>7</v>
      </c>
      <c r="M27" s="205" t="str">
        <f>IF($P27="","",INDEX('_Datos'!$AC$7:$AC$200,$P27))</f>
        <v>ATRASO</v>
      </c>
      <c r="P27" s="202">
        <f>IFERROR(MATCH(LARGE('_Datos'!$AJ$7:$AJ$200,ROW()-7+1),'_Datos'!$AJ$7:$AJ$200,0),"")</f>
        <v>9</v>
      </c>
    </row>
    <row r="28">
      <c r="B28" s="204" t="str">
        <f>IF($P28="","",INDEX('_Datos'!$AB$7:$AB$200,$P28))</f>
        <v>Alta</v>
      </c>
      <c r="C28" s="204" t="str">
        <f>IF($P28="","",INDEX('_Datos'!$AE$7:$AE$200,$P28))</f>
        <v>Semanal · S1</v>
      </c>
      <c r="D28" s="205" t="str">
        <f>IF($P28="","",INDEX('_Datos'!$F$7:$F$200,$P28))</f>
        <v>Armado de Procedimiento</v>
      </c>
      <c r="E28" s="205" t="str">
        <f>IF($P28="","",INDEX('_Datos'!$G$7:$G$200,$P28))</f>
        <v>Santiago Alonso</v>
      </c>
      <c r="F28" s="207">
        <f>IF($P28="","",INDEX('_Datos'!$H$7:$H$200,$P28))</f>
        <v>46192</v>
      </c>
      <c r="G28" s="204" t="str">
        <f>IF($P28="","",INDEX('_Datos'!$J$7:$J$200,$P28))</f>
        <v>Vencido</v>
      </c>
      <c r="H28" s="209">
        <f>IF($P28="","",INDEX('_Datos'!$K$7:$K$200,$P28))</f>
        <v>-7</v>
      </c>
      <c r="I28" s="209">
        <f>IF($P28="","",INDEX('_Datos'!$S$7:$S$200,$P28))</f>
        <v>11</v>
      </c>
      <c r="J28" s="209">
        <f>IF($P28="","",INDEX('_Datos'!$T$7:$T$200,$P28))</f>
        <v>17</v>
      </c>
      <c r="K28" s="208">
        <f>IF($P28="","",INDEX('_Datos'!$V$7:$V$200,$P28))</f>
        <v>-0.25</v>
      </c>
      <c r="L28" s="209">
        <f>IF($P28="","",INDEX('_Datos'!$W$7:$W$200,$P28))</f>
        <v>7</v>
      </c>
      <c r="M28" s="205" t="str">
        <f>IF($P28="","",INDEX('_Datos'!$AC$7:$AC$200,$P28))</f>
        <v>ATRASO</v>
      </c>
      <c r="P28" s="202">
        <f>IFERROR(MATCH(LARGE('_Datos'!$AJ$7:$AJ$200,ROW()-7+1),'_Datos'!$AJ$7:$AJ$200,0),"")</f>
        <v>17</v>
      </c>
    </row>
    <row r="29">
      <c r="B29" s="204" t="str">
        <f>IF($P29="","",INDEX('_Datos'!$AB$7:$AB$200,$P29))</f>
        <v>Alta</v>
      </c>
      <c r="C29" s="204" t="str">
        <f>IF($P29="","",INDEX('_Datos'!$AE$7:$AE$200,$P29))</f>
        <v>Semanal · S1</v>
      </c>
      <c r="D29" s="205" t="str">
        <f>IF($P29="","",INDEX('_Datos'!$F$7:$F$200,$P29))</f>
        <v>Revisión de Gráfico en cascada: por desvío y desagregación por categorías.</v>
      </c>
      <c r="E29" s="205" t="str">
        <f>IF($P29="","",INDEX('_Datos'!$G$7:$G$200,$P29))</f>
        <v>Santiago Alonso</v>
      </c>
      <c r="F29" s="207">
        <f>IF($P29="","",INDEX('_Datos'!$H$7:$H$200,$P29))</f>
        <v>46192</v>
      </c>
      <c r="G29" s="204" t="str">
        <f>IF($P29="","",INDEX('_Datos'!$J$7:$J$200,$P29))</f>
        <v>Vencido</v>
      </c>
      <c r="H29" s="209">
        <f>IF($P29="","",INDEX('_Datos'!$K$7:$K$200,$P29))</f>
        <v>-7</v>
      </c>
      <c r="I29" s="209">
        <f>IF($P29="","",INDEX('_Datos'!$S$7:$S$200,$P29))</f>
        <v>16</v>
      </c>
      <c r="J29" s="209">
        <f>IF($P29="","",INDEX('_Datos'!$T$7:$T$200,$P29))</f>
        <v>22</v>
      </c>
      <c r="K29" s="208">
        <f>IF($P29="","",INDEX('_Datos'!$V$7:$V$200,$P29))</f>
        <v>-0.25</v>
      </c>
      <c r="L29" s="209">
        <f>IF($P29="","",INDEX('_Datos'!$W$7:$W$200,$P29))</f>
        <v>7</v>
      </c>
      <c r="M29" s="205" t="str">
        <f>IF($P29="","",INDEX('_Datos'!$AC$7:$AC$200,$P29))</f>
        <v>ATRASO</v>
      </c>
      <c r="P29" s="202">
        <f>IFERROR(MATCH(LARGE('_Datos'!$AJ$7:$AJ$200,ROW()-7+1),'_Datos'!$AJ$7:$AJ$200,0),"")</f>
        <v>18</v>
      </c>
    </row>
    <row r="30">
      <c r="B30" s="204" t="str">
        <f>IF($P30="","",INDEX('_Datos'!$AB$7:$AB$200,$P30))</f>
        <v>Alta</v>
      </c>
      <c r="C30" s="204" t="str">
        <f>IF($P30="","",INDEX('_Datos'!$AE$7:$AE$200,$P30))</f>
        <v>Quincenal · S1</v>
      </c>
      <c r="D30" s="205" t="str">
        <f>IF($P30="","",INDEX('_Datos'!$F$7:$F$200,$P30))</f>
        <v>Relevamiento Últimos Sueldos de referencia Monotributistas</v>
      </c>
      <c r="E30" s="205" t="str">
        <f>IF($P30="","",INDEX('_Datos'!$G$7:$G$200,$P30))</f>
        <v>Santiago Alonso</v>
      </c>
      <c r="F30" s="207">
        <f>IF($P30="","",INDEX('_Datos'!$H$7:$H$200,$P30))</f>
        <v>46192</v>
      </c>
      <c r="G30" s="204" t="str">
        <f>IF($P30="","",INDEX('_Datos'!$J$7:$J$200,$P30))</f>
        <v>Vencido</v>
      </c>
      <c r="H30" s="209">
        <f>IF($P30="","",INDEX('_Datos'!$K$7:$K$200,$P30))</f>
        <v>-7</v>
      </c>
      <c r="I30" s="209">
        <f>IF($P30="","",INDEX('_Datos'!$S$7:$S$200,$P30))</f>
        <v>-152</v>
      </c>
      <c r="J30" s="209">
        <f>IF($P30="","",INDEX('_Datos'!$T$7:$T$200,$P30))</f>
        <v>0</v>
      </c>
      <c r="K30" s="208">
        <f>IF($P30="","",INDEX('_Datos'!$V$7:$V$200,$P30))</f>
        <v>0.5</v>
      </c>
      <c r="L30" s="209">
        <f>IF($P30="","",INDEX('_Datos'!$W$7:$W$200,$P30))</f>
        <v>7</v>
      </c>
      <c r="M30" s="205" t="str">
        <f>IF($P30="","",INDEX('_Datos'!$AC$7:$AC$200,$P30))</f>
        <v>ATRASO</v>
      </c>
      <c r="P30" s="202">
        <f>IFERROR(MATCH(LARGE('_Datos'!$AJ$7:$AJ$200,ROW()-7+1),'_Datos'!$AJ$7:$AJ$200,0),"")</f>
        <v>7</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7">
        <f>IF($P31="","",INDEX('_Datos'!$H$7:$H$200,$P31))</f>
        <v>46192</v>
      </c>
      <c r="G31" s="204" t="str">
        <f>IF($P31="","",INDEX('_Datos'!$J$7:$J$200,$P31))</f>
        <v>Completado</v>
      </c>
      <c r="H31" s="209">
        <f>IF($P31="","",INDEX('_Datos'!$K$7:$K$200,$P31))</f>
        <v>-7</v>
      </c>
      <c r="I31" s="209">
        <f>IF($P31="","",INDEX('_Datos'!$S$7:$S$200,$P31))</f>
        <v>235</v>
      </c>
      <c r="J31" s="209">
        <f>IF($P31="","",INDEX('_Datos'!$T$7:$T$200,$P31))</f>
        <v>241</v>
      </c>
      <c r="K31" s="208">
        <f>IF($P31="","",INDEX('_Datos'!$V$7:$V$200,$P31))</f>
        <v>0</v>
      </c>
      <c r="L31" s="209">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7">
        <f>IF($P32="","",INDEX('_Datos'!$H$7:$H$200,$P32))</f>
        <v>46192</v>
      </c>
      <c r="G32" s="204" t="str">
        <f>IF($P32="","",INDEX('_Datos'!$J$7:$J$200,$P32))</f>
        <v>Completado</v>
      </c>
      <c r="H32" s="209">
        <f>IF($P32="","",INDEX('_Datos'!$K$7:$K$200,$P32))</f>
        <v>-7</v>
      </c>
      <c r="I32" s="209">
        <f>IF($P32="","",INDEX('_Datos'!$S$7:$S$200,$P32))</f>
        <v>11</v>
      </c>
      <c r="J32" s="209">
        <f>IF($P32="","",INDEX('_Datos'!$T$7:$T$200,$P32))</f>
        <v>17</v>
      </c>
      <c r="K32" s="208">
        <f>IF($P32="","",INDEX('_Datos'!$V$7:$V$200,$P32))</f>
        <v>0</v>
      </c>
      <c r="L32" s="209">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7">
        <f>IF($P33="","",INDEX('_Datos'!$H$7:$H$200,$P33))</f>
      </c>
      <c r="G33" s="204">
        <f>IF($P33="","",INDEX('_Datos'!$J$7:$J$200,$P33))</f>
      </c>
      <c r="H33" s="209">
        <f>IF($P33="","",INDEX('_Datos'!$K$7:$K$200,$P33))</f>
      </c>
      <c r="I33" s="209">
        <f>IF($P33="","",INDEX('_Datos'!$S$7:$S$200,$P33))</f>
      </c>
      <c r="J33" s="209">
        <f>IF($P33="","",INDEX('_Datos'!$T$7:$T$200,$P33))</f>
      </c>
      <c r="K33" s="208">
        <f>IF($P33="","",INDEX('_Datos'!$V$7:$V$200,$P33))</f>
      </c>
      <c r="L33" s="209">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7">
        <f>IF($P34="","",INDEX('_Datos'!$H$7:$H$200,$P34))</f>
      </c>
      <c r="G34" s="204">
        <f>IF($P34="","",INDEX('_Datos'!$J$7:$J$200,$P34))</f>
      </c>
      <c r="H34" s="209">
        <f>IF($P34="","",INDEX('_Datos'!$K$7:$K$200,$P34))</f>
      </c>
      <c r="I34" s="209">
        <f>IF($P34="","",INDEX('_Datos'!$S$7:$S$200,$P34))</f>
      </c>
      <c r="J34" s="209">
        <f>IF($P34="","",INDEX('_Datos'!$T$7:$T$200,$P34))</f>
      </c>
      <c r="K34" s="208">
        <f>IF($P34="","",INDEX('_Datos'!$V$7:$V$200,$P34))</f>
      </c>
      <c r="L34" s="209">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7">
        <f>IF($P35="","",INDEX('_Datos'!$H$7:$H$200,$P35))</f>
      </c>
      <c r="G35" s="204">
        <f>IF($P35="","",INDEX('_Datos'!$J$7:$J$200,$P35))</f>
      </c>
      <c r="H35" s="209">
        <f>IF($P35="","",INDEX('_Datos'!$K$7:$K$200,$P35))</f>
      </c>
      <c r="I35" s="209">
        <f>IF($P35="","",INDEX('_Datos'!$S$7:$S$200,$P35))</f>
      </c>
      <c r="J35" s="209">
        <f>IF($P35="","",INDEX('_Datos'!$T$7:$T$200,$P35))</f>
      </c>
      <c r="K35" s="208">
        <f>IF($P35="","",INDEX('_Datos'!$V$7:$V$200,$P35))</f>
      </c>
      <c r="L35" s="209">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7">
        <f>IF($P36="","",INDEX('_Datos'!$H$7:$H$200,$P36))</f>
      </c>
      <c r="G36" s="204">
        <f>IF($P36="","",INDEX('_Datos'!$J$7:$J$200,$P36))</f>
      </c>
      <c r="H36" s="209">
        <f>IF($P36="","",INDEX('_Datos'!$K$7:$K$200,$P36))</f>
      </c>
      <c r="I36" s="209">
        <f>IF($P36="","",INDEX('_Datos'!$S$7:$S$200,$P36))</f>
      </c>
      <c r="J36" s="209">
        <f>IF($P36="","",INDEX('_Datos'!$T$7:$T$200,$P36))</f>
      </c>
      <c r="K36" s="208">
        <f>IF($P36="","",INDEX('_Datos'!$V$7:$V$200,$P36))</f>
      </c>
      <c r="L36" s="209">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7">
        <f>IF($P37="","",INDEX('_Datos'!$H$7:$H$200,$P37))</f>
      </c>
      <c r="G37" s="204">
        <f>IF($P37="","",INDEX('_Datos'!$J$7:$J$200,$P37))</f>
      </c>
      <c r="H37" s="209">
        <f>IF($P37="","",INDEX('_Datos'!$K$7:$K$200,$P37))</f>
      </c>
      <c r="I37" s="209">
        <f>IF($P37="","",INDEX('_Datos'!$S$7:$S$200,$P37))</f>
      </c>
      <c r="J37" s="209">
        <f>IF($P37="","",INDEX('_Datos'!$T$7:$T$200,$P37))</f>
      </c>
      <c r="K37" s="208">
        <f>IF($P37="","",INDEX('_Datos'!$V$7:$V$200,$P37))</f>
      </c>
      <c r="L37" s="209">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7">
        <f>IF($P38="","",INDEX('_Datos'!$H$7:$H$200,$P38))</f>
      </c>
      <c r="G38" s="204">
        <f>IF($P38="","",INDEX('_Datos'!$J$7:$J$200,$P38))</f>
      </c>
      <c r="H38" s="209">
        <f>IF($P38="","",INDEX('_Datos'!$K$7:$K$200,$P38))</f>
      </c>
      <c r="I38" s="209">
        <f>IF($P38="","",INDEX('_Datos'!$S$7:$S$200,$P38))</f>
      </c>
      <c r="J38" s="209">
        <f>IF($P38="","",INDEX('_Datos'!$T$7:$T$200,$P38))</f>
      </c>
      <c r="K38" s="208">
        <f>IF($P38="","",INDEX('_Datos'!$V$7:$V$200,$P38))</f>
      </c>
      <c r="L38" s="209">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7">
        <f>IF($P39="","",INDEX('_Datos'!$H$7:$H$200,$P39))</f>
      </c>
      <c r="G39" s="204">
        <f>IF($P39="","",INDEX('_Datos'!$J$7:$J$200,$P39))</f>
      </c>
      <c r="H39" s="209">
        <f>IF($P39="","",INDEX('_Datos'!$K$7:$K$200,$P39))</f>
      </c>
      <c r="I39" s="209">
        <f>IF($P39="","",INDEX('_Datos'!$S$7:$S$200,$P39))</f>
      </c>
      <c r="J39" s="209">
        <f>IF($P39="","",INDEX('_Datos'!$T$7:$T$200,$P39))</f>
      </c>
      <c r="K39" s="208">
        <f>IF($P39="","",INDEX('_Datos'!$V$7:$V$200,$P39))</f>
      </c>
      <c r="L39" s="209">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7">
        <f>IF($P40="","",INDEX('_Datos'!$H$7:$H$200,$P40))</f>
      </c>
      <c r="G40" s="204">
        <f>IF($P40="","",INDEX('_Datos'!$J$7:$J$200,$P40))</f>
      </c>
      <c r="H40" s="209">
        <f>IF($P40="","",INDEX('_Datos'!$K$7:$K$200,$P40))</f>
      </c>
      <c r="I40" s="209">
        <f>IF($P40="","",INDEX('_Datos'!$S$7:$S$200,$P40))</f>
      </c>
      <c r="J40" s="209">
        <f>IF($P40="","",INDEX('_Datos'!$T$7:$T$200,$P40))</f>
      </c>
      <c r="K40" s="208">
        <f>IF($P40="","",INDEX('_Datos'!$V$7:$V$200,$P40))</f>
      </c>
      <c r="L40" s="209">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7">
        <f>IF($P41="","",INDEX('_Datos'!$H$7:$H$200,$P41))</f>
      </c>
      <c r="G41" s="204">
        <f>IF($P41="","",INDEX('_Datos'!$J$7:$J$200,$P41))</f>
      </c>
      <c r="H41" s="209">
        <f>IF($P41="","",INDEX('_Datos'!$K$7:$K$200,$P41))</f>
      </c>
      <c r="I41" s="209">
        <f>IF($P41="","",INDEX('_Datos'!$S$7:$S$200,$P41))</f>
      </c>
      <c r="J41" s="209">
        <f>IF($P41="","",INDEX('_Datos'!$T$7:$T$200,$P41))</f>
      </c>
      <c r="K41" s="208">
        <f>IF($P41="","",INDEX('_Datos'!$V$7:$V$200,$P41))</f>
      </c>
      <c r="L41" s="209">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7">
        <f>IF($P42="","",INDEX('_Datos'!$H$7:$H$200,$P42))</f>
      </c>
      <c r="G42" s="204">
        <f>IF($P42="","",INDEX('_Datos'!$J$7:$J$200,$P42))</f>
      </c>
      <c r="H42" s="209">
        <f>IF($P42="","",INDEX('_Datos'!$K$7:$K$200,$P42))</f>
      </c>
      <c r="I42" s="209">
        <f>IF($P42="","",INDEX('_Datos'!$S$7:$S$200,$P42))</f>
      </c>
      <c r="J42" s="209">
        <f>IF($P42="","",INDEX('_Datos'!$T$7:$T$200,$P42))</f>
      </c>
      <c r="K42" s="208">
        <f>IF($P42="","",INDEX('_Datos'!$V$7:$V$200,$P42))</f>
      </c>
      <c r="L42" s="209">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7">
        <f>IF($P43="","",INDEX('_Datos'!$H$7:$H$200,$P43))</f>
      </c>
      <c r="G43" s="204">
        <f>IF($P43="","",INDEX('_Datos'!$J$7:$J$200,$P43))</f>
      </c>
      <c r="H43" s="209">
        <f>IF($P43="","",INDEX('_Datos'!$K$7:$K$200,$P43))</f>
      </c>
      <c r="I43" s="209">
        <f>IF($P43="","",INDEX('_Datos'!$S$7:$S$200,$P43))</f>
      </c>
      <c r="J43" s="209">
        <f>IF($P43="","",INDEX('_Datos'!$T$7:$T$200,$P43))</f>
      </c>
      <c r="K43" s="208">
        <f>IF($P43="","",INDEX('_Datos'!$V$7:$V$200,$P43))</f>
      </c>
      <c r="L43" s="209">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7">
        <f>IF($P44="","",INDEX('_Datos'!$H$7:$H$200,$P44))</f>
      </c>
      <c r="G44" s="204">
        <f>IF($P44="","",INDEX('_Datos'!$J$7:$J$200,$P44))</f>
      </c>
      <c r="H44" s="209">
        <f>IF($P44="","",INDEX('_Datos'!$K$7:$K$200,$P44))</f>
      </c>
      <c r="I44" s="209">
        <f>IF($P44="","",INDEX('_Datos'!$S$7:$S$200,$P44))</f>
      </c>
      <c r="J44" s="209">
        <f>IF($P44="","",INDEX('_Datos'!$T$7:$T$200,$P44))</f>
      </c>
      <c r="K44" s="208">
        <f>IF($P44="","",INDEX('_Datos'!$V$7:$V$200,$P44))</f>
      </c>
      <c r="L44" s="209">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7">
        <f>IF($P45="","",INDEX('_Datos'!$H$7:$H$200,$P45))</f>
      </c>
      <c r="G45" s="204">
        <f>IF($P45="","",INDEX('_Datos'!$J$7:$J$200,$P45))</f>
      </c>
      <c r="H45" s="209">
        <f>IF($P45="","",INDEX('_Datos'!$K$7:$K$200,$P45))</f>
      </c>
      <c r="I45" s="209">
        <f>IF($P45="","",INDEX('_Datos'!$S$7:$S$200,$P45))</f>
      </c>
      <c r="J45" s="209">
        <f>IF($P45="","",INDEX('_Datos'!$T$7:$T$200,$P45))</f>
      </c>
      <c r="K45" s="208">
        <f>IF($P45="","",INDEX('_Datos'!$V$7:$V$200,$P45))</f>
      </c>
      <c r="L45" s="209">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7">
        <f>IF($P46="","",INDEX('_Datos'!$H$7:$H$200,$P46))</f>
      </c>
      <c r="G46" s="204">
        <f>IF($P46="","",INDEX('_Datos'!$J$7:$J$200,$P46))</f>
      </c>
      <c r="H46" s="209">
        <f>IF($P46="","",INDEX('_Datos'!$K$7:$K$200,$P46))</f>
      </c>
      <c r="I46" s="209">
        <f>IF($P46="","",INDEX('_Datos'!$S$7:$S$200,$P46))</f>
      </c>
      <c r="J46" s="209">
        <f>IF($P46="","",INDEX('_Datos'!$T$7:$T$200,$P46))</f>
      </c>
      <c r="K46" s="208">
        <f>IF($P46="","",INDEX('_Datos'!$V$7:$V$200,$P46))</f>
      </c>
      <c r="L46" s="209">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7">
        <f>IF($P47="","",INDEX('_Datos'!$H$7:$H$200,$P47))</f>
      </c>
      <c r="G47" s="204">
        <f>IF($P47="","",INDEX('_Datos'!$J$7:$J$200,$P47))</f>
      </c>
      <c r="H47" s="209">
        <f>IF($P47="","",INDEX('_Datos'!$K$7:$K$200,$P47))</f>
      </c>
      <c r="I47" s="209">
        <f>IF($P47="","",INDEX('_Datos'!$S$7:$S$200,$P47))</f>
      </c>
      <c r="J47" s="209">
        <f>IF($P47="","",INDEX('_Datos'!$T$7:$T$200,$P47))</f>
      </c>
      <c r="K47" s="208">
        <f>IF($P47="","",INDEX('_Datos'!$V$7:$V$200,$P47))</f>
      </c>
      <c r="L47" s="209">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7">
        <f>IF($P48="","",INDEX('_Datos'!$H$7:$H$200,$P48))</f>
      </c>
      <c r="G48" s="204">
        <f>IF($P48="","",INDEX('_Datos'!$J$7:$J$200,$P48))</f>
      </c>
      <c r="H48" s="209">
        <f>IF($P48="","",INDEX('_Datos'!$K$7:$K$200,$P48))</f>
      </c>
      <c r="I48" s="209">
        <f>IF($P48="","",INDEX('_Datos'!$S$7:$S$200,$P48))</f>
      </c>
      <c r="J48" s="209">
        <f>IF($P48="","",INDEX('_Datos'!$T$7:$T$200,$P48))</f>
      </c>
      <c r="K48" s="208">
        <f>IF($P48="","",INDEX('_Datos'!$V$7:$V$200,$P48))</f>
      </c>
      <c r="L48" s="209">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7">
        <f>IF($P49="","",INDEX('_Datos'!$H$7:$H$200,$P49))</f>
      </c>
      <c r="G49" s="204">
        <f>IF($P49="","",INDEX('_Datos'!$J$7:$J$200,$P49))</f>
      </c>
      <c r="H49" s="209">
        <f>IF($P49="","",INDEX('_Datos'!$K$7:$K$200,$P49))</f>
      </c>
      <c r="I49" s="209">
        <f>IF($P49="","",INDEX('_Datos'!$S$7:$S$200,$P49))</f>
      </c>
      <c r="J49" s="209">
        <f>IF($P49="","",INDEX('_Datos'!$T$7:$T$200,$P49))</f>
      </c>
      <c r="K49" s="208">
        <f>IF($P49="","",INDEX('_Datos'!$V$7:$V$200,$P49))</f>
      </c>
      <c r="L49" s="209">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7">
        <f>IF($P50="","",INDEX('_Datos'!$H$7:$H$200,$P50))</f>
      </c>
      <c r="G50" s="204">
        <f>IF($P50="","",INDEX('_Datos'!$J$7:$J$200,$P50))</f>
      </c>
      <c r="H50" s="209">
        <f>IF($P50="","",INDEX('_Datos'!$K$7:$K$200,$P50))</f>
      </c>
      <c r="I50" s="209">
        <f>IF($P50="","",INDEX('_Datos'!$S$7:$S$200,$P50))</f>
      </c>
      <c r="J50" s="209">
        <f>IF($P50="","",INDEX('_Datos'!$T$7:$T$200,$P50))</f>
      </c>
      <c r="K50" s="208">
        <f>IF($P50="","",INDEX('_Datos'!$V$7:$V$200,$P50))</f>
      </c>
      <c r="L50" s="209">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7">
        <f>IF($P51="","",INDEX('_Datos'!$H$7:$H$200,$P51))</f>
      </c>
      <c r="G51" s="204">
        <f>IF($P51="","",INDEX('_Datos'!$J$7:$J$200,$P51))</f>
      </c>
      <c r="H51" s="209">
        <f>IF($P51="","",INDEX('_Datos'!$K$7:$K$200,$P51))</f>
      </c>
      <c r="I51" s="209">
        <f>IF($P51="","",INDEX('_Datos'!$S$7:$S$200,$P51))</f>
      </c>
      <c r="J51" s="209">
        <f>IF($P51="","",INDEX('_Datos'!$T$7:$T$200,$P51))</f>
      </c>
      <c r="K51" s="208">
        <f>IF($P51="","",INDEX('_Datos'!$V$7:$V$200,$P51))</f>
      </c>
      <c r="L51" s="209">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7">
        <f>IF($P52="","",INDEX('_Datos'!$H$7:$H$200,$P52))</f>
      </c>
      <c r="G52" s="204">
        <f>IF($P52="","",INDEX('_Datos'!$J$7:$J$200,$P52))</f>
      </c>
      <c r="H52" s="209">
        <f>IF($P52="","",INDEX('_Datos'!$K$7:$K$200,$P52))</f>
      </c>
      <c r="I52" s="209">
        <f>IF($P52="","",INDEX('_Datos'!$S$7:$S$200,$P52))</f>
      </c>
      <c r="J52" s="209">
        <f>IF($P52="","",INDEX('_Datos'!$T$7:$T$200,$P52))</f>
      </c>
      <c r="K52" s="208">
        <f>IF($P52="","",INDEX('_Datos'!$V$7:$V$200,$P52))</f>
      </c>
      <c r="L52" s="209">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7">
        <f>IF($P53="","",INDEX('_Datos'!$H$7:$H$200,$P53))</f>
      </c>
      <c r="G53" s="204">
        <f>IF($P53="","",INDEX('_Datos'!$J$7:$J$200,$P53))</f>
      </c>
      <c r="H53" s="209">
        <f>IF($P53="","",INDEX('_Datos'!$K$7:$K$200,$P53))</f>
      </c>
      <c r="I53" s="209">
        <f>IF($P53="","",INDEX('_Datos'!$S$7:$S$200,$P53))</f>
      </c>
      <c r="J53" s="209">
        <f>IF($P53="","",INDEX('_Datos'!$T$7:$T$200,$P53))</f>
      </c>
      <c r="K53" s="208">
        <f>IF($P53="","",INDEX('_Datos'!$V$7:$V$200,$P53))</f>
      </c>
      <c r="L53" s="209">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7">
        <f>IF($P54="","",INDEX('_Datos'!$H$7:$H$200,$P54))</f>
      </c>
      <c r="G54" s="204">
        <f>IF($P54="","",INDEX('_Datos'!$J$7:$J$200,$P54))</f>
      </c>
      <c r="H54" s="209">
        <f>IF($P54="","",INDEX('_Datos'!$K$7:$K$200,$P54))</f>
      </c>
      <c r="I54" s="209">
        <f>IF($P54="","",INDEX('_Datos'!$S$7:$S$200,$P54))</f>
      </c>
      <c r="J54" s="209">
        <f>IF($P54="","",INDEX('_Datos'!$T$7:$T$200,$P54))</f>
      </c>
      <c r="K54" s="208">
        <f>IF($P54="","",INDEX('_Datos'!$V$7:$V$200,$P54))</f>
      </c>
      <c r="L54" s="209">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7">
        <f>IF($P55="","",INDEX('_Datos'!$H$7:$H$200,$P55))</f>
      </c>
      <c r="G55" s="204">
        <f>IF($P55="","",INDEX('_Datos'!$J$7:$J$200,$P55))</f>
      </c>
      <c r="H55" s="209">
        <f>IF($P55="","",INDEX('_Datos'!$K$7:$K$200,$P55))</f>
      </c>
      <c r="I55" s="209">
        <f>IF($P55="","",INDEX('_Datos'!$S$7:$S$200,$P55))</f>
      </c>
      <c r="J55" s="209">
        <f>IF($P55="","",INDEX('_Datos'!$T$7:$T$200,$P55))</f>
      </c>
      <c r="K55" s="208">
        <f>IF($P55="","",INDEX('_Datos'!$V$7:$V$200,$P55))</f>
      </c>
      <c r="L55" s="209">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7">
        <f>IF($P56="","",INDEX('_Datos'!$H$7:$H$200,$P56))</f>
      </c>
      <c r="G56" s="204">
        <f>IF($P56="","",INDEX('_Datos'!$J$7:$J$200,$P56))</f>
      </c>
      <c r="H56" s="209">
        <f>IF($P56="","",INDEX('_Datos'!$K$7:$K$200,$P56))</f>
      </c>
      <c r="I56" s="209">
        <f>IF($P56="","",INDEX('_Datos'!$S$7:$S$200,$P56))</f>
      </c>
      <c r="J56" s="209">
        <f>IF($P56="","",INDEX('_Datos'!$T$7:$T$200,$P56))</f>
      </c>
      <c r="K56" s="208">
        <f>IF($P56="","",INDEX('_Datos'!$V$7:$V$200,$P56))</f>
      </c>
      <c r="L56" s="209">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7">
        <f>IF($P57="","",INDEX('_Datos'!$H$7:$H$200,$P57))</f>
      </c>
      <c r="G57" s="204">
        <f>IF($P57="","",INDEX('_Datos'!$J$7:$J$200,$P57))</f>
      </c>
      <c r="H57" s="209">
        <f>IF($P57="","",INDEX('_Datos'!$K$7:$K$200,$P57))</f>
      </c>
      <c r="I57" s="209">
        <f>IF($P57="","",INDEX('_Datos'!$S$7:$S$200,$P57))</f>
      </c>
      <c r="J57" s="209">
        <f>IF($P57="","",INDEX('_Datos'!$T$7:$T$200,$P57))</f>
      </c>
      <c r="K57" s="208">
        <f>IF($P57="","",INDEX('_Datos'!$V$7:$V$200,$P57))</f>
      </c>
      <c r="L57" s="209">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7">
        <f>IF($P58="","",INDEX('_Datos'!$H$7:$H$200,$P58))</f>
      </c>
      <c r="G58" s="204">
        <f>IF($P58="","",INDEX('_Datos'!$J$7:$J$200,$P58))</f>
      </c>
      <c r="H58" s="209">
        <f>IF($P58="","",INDEX('_Datos'!$K$7:$K$200,$P58))</f>
      </c>
      <c r="I58" s="209">
        <f>IF($P58="","",INDEX('_Datos'!$S$7:$S$200,$P58))</f>
      </c>
      <c r="J58" s="209">
        <f>IF($P58="","",INDEX('_Datos'!$T$7:$T$200,$P58))</f>
      </c>
      <c r="K58" s="208">
        <f>IF($P58="","",INDEX('_Datos'!$V$7:$V$200,$P58))</f>
      </c>
      <c r="L58" s="209">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7">
        <f>IF($P59="","",INDEX('_Datos'!$H$7:$H$200,$P59))</f>
      </c>
      <c r="G59" s="204">
        <f>IF($P59="","",INDEX('_Datos'!$J$7:$J$200,$P59))</f>
      </c>
      <c r="H59" s="209">
        <f>IF($P59="","",INDEX('_Datos'!$K$7:$K$200,$P59))</f>
      </c>
      <c r="I59" s="209">
        <f>IF($P59="","",INDEX('_Datos'!$S$7:$S$200,$P59))</f>
      </c>
      <c r="J59" s="209">
        <f>IF($P59="","",INDEX('_Datos'!$T$7:$T$200,$P59))</f>
      </c>
      <c r="K59" s="208">
        <f>IF($P59="","",INDEX('_Datos'!$V$7:$V$200,$P59))</f>
      </c>
      <c r="L59" s="209">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7">
        <f>IF($P60="","",INDEX('_Datos'!$H$7:$H$200,$P60))</f>
      </c>
      <c r="G60" s="204">
        <f>IF($P60="","",INDEX('_Datos'!$J$7:$J$200,$P60))</f>
      </c>
      <c r="H60" s="209">
        <f>IF($P60="","",INDEX('_Datos'!$K$7:$K$200,$P60))</f>
      </c>
      <c r="I60" s="209">
        <f>IF($P60="","",INDEX('_Datos'!$S$7:$S$200,$P60))</f>
      </c>
      <c r="J60" s="209">
        <f>IF($P60="","",INDEX('_Datos'!$T$7:$T$200,$P60))</f>
      </c>
      <c r="K60" s="208">
        <f>IF($P60="","",INDEX('_Datos'!$V$7:$V$200,$P60))</f>
      </c>
      <c r="L60" s="209">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7">
        <f>IF($P61="","",INDEX('_Datos'!$H$7:$H$200,$P61))</f>
      </c>
      <c r="G61" s="204">
        <f>IF($P61="","",INDEX('_Datos'!$J$7:$J$200,$P61))</f>
      </c>
      <c r="H61" s="209">
        <f>IF($P61="","",INDEX('_Datos'!$K$7:$K$200,$P61))</f>
      </c>
      <c r="I61" s="209">
        <f>IF($P61="","",INDEX('_Datos'!$S$7:$S$200,$P61))</f>
      </c>
      <c r="J61" s="209">
        <f>IF($P61="","",INDEX('_Datos'!$T$7:$T$200,$P61))</f>
      </c>
      <c r="K61" s="208">
        <f>IF($P61="","",INDEX('_Datos'!$V$7:$V$200,$P61))</f>
      </c>
      <c r="L61" s="209">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7">
        <f>IF($P62="","",INDEX('_Datos'!$H$7:$H$200,$P62))</f>
      </c>
      <c r="G62" s="204">
        <f>IF($P62="","",INDEX('_Datos'!$J$7:$J$200,$P62))</f>
      </c>
      <c r="H62" s="209">
        <f>IF($P62="","",INDEX('_Datos'!$K$7:$K$200,$P62))</f>
      </c>
      <c r="I62" s="209">
        <f>IF($P62="","",INDEX('_Datos'!$S$7:$S$200,$P62))</f>
      </c>
      <c r="J62" s="209">
        <f>IF($P62="","",INDEX('_Datos'!$T$7:$T$200,$P62))</f>
      </c>
      <c r="K62" s="208">
        <f>IF($P62="","",INDEX('_Datos'!$V$7:$V$200,$P62))</f>
      </c>
      <c r="L62" s="209">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7">
        <f>IF($P63="","",INDEX('_Datos'!$H$7:$H$200,$P63))</f>
      </c>
      <c r="G63" s="204">
        <f>IF($P63="","",INDEX('_Datos'!$J$7:$J$200,$P63))</f>
      </c>
      <c r="H63" s="209">
        <f>IF($P63="","",INDEX('_Datos'!$K$7:$K$200,$P63))</f>
      </c>
      <c r="I63" s="209">
        <f>IF($P63="","",INDEX('_Datos'!$S$7:$S$200,$P63))</f>
      </c>
      <c r="J63" s="209">
        <f>IF($P63="","",INDEX('_Datos'!$T$7:$T$200,$P63))</f>
      </c>
      <c r="K63" s="208">
        <f>IF($P63="","",INDEX('_Datos'!$V$7:$V$200,$P63))</f>
      </c>
      <c r="L63" s="209">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7">
        <f>IF($P64="","",INDEX('_Datos'!$H$7:$H$200,$P64))</f>
      </c>
      <c r="G64" s="204">
        <f>IF($P64="","",INDEX('_Datos'!$J$7:$J$200,$P64))</f>
      </c>
      <c r="H64" s="209">
        <f>IF($P64="","",INDEX('_Datos'!$K$7:$K$200,$P64))</f>
      </c>
      <c r="I64" s="209">
        <f>IF($P64="","",INDEX('_Datos'!$S$7:$S$200,$P64))</f>
      </c>
      <c r="J64" s="209">
        <f>IF($P64="","",INDEX('_Datos'!$T$7:$T$200,$P64))</f>
      </c>
      <c r="K64" s="208">
        <f>IF($P64="","",INDEX('_Datos'!$V$7:$V$200,$P64))</f>
      </c>
      <c r="L64" s="209">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7">
        <f>IF($P65="","",INDEX('_Datos'!$H$7:$H$200,$P65))</f>
      </c>
      <c r="G65" s="204">
        <f>IF($P65="","",INDEX('_Datos'!$J$7:$J$200,$P65))</f>
      </c>
      <c r="H65" s="209">
        <f>IF($P65="","",INDEX('_Datos'!$K$7:$K$200,$P65))</f>
      </c>
      <c r="I65" s="209">
        <f>IF($P65="","",INDEX('_Datos'!$S$7:$S$200,$P65))</f>
      </c>
      <c r="J65" s="209">
        <f>IF($P65="","",INDEX('_Datos'!$T$7:$T$200,$P65))</f>
      </c>
      <c r="K65" s="208">
        <f>IF($P65="","",INDEX('_Datos'!$V$7:$V$200,$P65))</f>
      </c>
      <c r="L65" s="209">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7">
        <f>IF($P66="","",INDEX('_Datos'!$H$7:$H$200,$P66))</f>
      </c>
      <c r="G66" s="204">
        <f>IF($P66="","",INDEX('_Datos'!$J$7:$J$200,$P66))</f>
      </c>
      <c r="H66" s="209">
        <f>IF($P66="","",INDEX('_Datos'!$K$7:$K$200,$P66))</f>
      </c>
      <c r="I66" s="209">
        <f>IF($P66="","",INDEX('_Datos'!$S$7:$S$200,$P66))</f>
      </c>
      <c r="J66" s="209">
        <f>IF($P66="","",INDEX('_Datos'!$T$7:$T$200,$P66))</f>
      </c>
      <c r="K66" s="208">
        <f>IF($P66="","",INDEX('_Datos'!$V$7:$V$200,$P66))</f>
      </c>
      <c r="L66" s="209">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7">
        <f>IF($P67="","",INDEX('_Datos'!$H$7:$H$200,$P67))</f>
      </c>
      <c r="G67" s="204">
        <f>IF($P67="","",INDEX('_Datos'!$J$7:$J$200,$P67))</f>
      </c>
      <c r="H67" s="209">
        <f>IF($P67="","",INDEX('_Datos'!$K$7:$K$200,$P67))</f>
      </c>
      <c r="I67" s="209">
        <f>IF($P67="","",INDEX('_Datos'!$S$7:$S$200,$P67))</f>
      </c>
      <c r="J67" s="209">
        <f>IF($P67="","",INDEX('_Datos'!$T$7:$T$200,$P67))</f>
      </c>
      <c r="K67" s="208">
        <f>IF($P67="","",INDEX('_Datos'!$V$7:$V$200,$P67))</f>
      </c>
      <c r="L67" s="209">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7">
        <f>IF($P68="","",INDEX('_Datos'!$H$7:$H$200,$P68))</f>
      </c>
      <c r="G68" s="204">
        <f>IF($P68="","",INDEX('_Datos'!$J$7:$J$200,$P68))</f>
      </c>
      <c r="H68" s="209">
        <f>IF($P68="","",INDEX('_Datos'!$K$7:$K$200,$P68))</f>
      </c>
      <c r="I68" s="209">
        <f>IF($P68="","",INDEX('_Datos'!$S$7:$S$200,$P68))</f>
      </c>
      <c r="J68" s="209">
        <f>IF($P68="","",INDEX('_Datos'!$T$7:$T$200,$P68))</f>
      </c>
      <c r="K68" s="208">
        <f>IF($P68="","",INDEX('_Datos'!$V$7:$V$200,$P68))</f>
      </c>
      <c r="L68" s="209">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7">
        <f>IF($P69="","",INDEX('_Datos'!$H$7:$H$200,$P69))</f>
      </c>
      <c r="G69" s="204">
        <f>IF($P69="","",INDEX('_Datos'!$J$7:$J$200,$P69))</f>
      </c>
      <c r="H69" s="209">
        <f>IF($P69="","",INDEX('_Datos'!$K$7:$K$200,$P69))</f>
      </c>
      <c r="I69" s="209">
        <f>IF($P69="","",INDEX('_Datos'!$S$7:$S$200,$P69))</f>
      </c>
      <c r="J69" s="209">
        <f>IF($P69="","",INDEX('_Datos'!$T$7:$T$200,$P69))</f>
      </c>
      <c r="K69" s="208">
        <f>IF($P69="","",INDEX('_Datos'!$V$7:$V$200,$P69))</f>
      </c>
      <c r="L69" s="209">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7">
        <f>IF($P70="","",INDEX('_Datos'!$H$7:$H$200,$P70))</f>
      </c>
      <c r="G70" s="204">
        <f>IF($P70="","",INDEX('_Datos'!$J$7:$J$200,$P70))</f>
      </c>
      <c r="H70" s="209">
        <f>IF($P70="","",INDEX('_Datos'!$K$7:$K$200,$P70))</f>
      </c>
      <c r="I70" s="209">
        <f>IF($P70="","",INDEX('_Datos'!$S$7:$S$200,$P70))</f>
      </c>
      <c r="J70" s="209">
        <f>IF($P70="","",INDEX('_Datos'!$T$7:$T$200,$P70))</f>
      </c>
      <c r="K70" s="208">
        <f>IF($P70="","",INDEX('_Datos'!$V$7:$V$200,$P70))</f>
      </c>
      <c r="L70" s="209">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7">
        <f>IF($P71="","",INDEX('_Datos'!$H$7:$H$200,$P71))</f>
      </c>
      <c r="G71" s="204">
        <f>IF($P71="","",INDEX('_Datos'!$J$7:$J$200,$P71))</f>
      </c>
      <c r="H71" s="209">
        <f>IF($P71="","",INDEX('_Datos'!$K$7:$K$200,$P71))</f>
      </c>
      <c r="I71" s="209">
        <f>IF($P71="","",INDEX('_Datos'!$S$7:$S$200,$P71))</f>
      </c>
      <c r="J71" s="209">
        <f>IF($P71="","",INDEX('_Datos'!$T$7:$T$200,$P71))</f>
      </c>
      <c r="K71" s="208">
        <f>IF($P71="","",INDEX('_Datos'!$V$7:$V$200,$P71))</f>
      </c>
      <c r="L71" s="209">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7">
        <f>IF($P72="","",INDEX('_Datos'!$H$7:$H$200,$P72))</f>
      </c>
      <c r="G72" s="204">
        <f>IF($P72="","",INDEX('_Datos'!$J$7:$J$200,$P72))</f>
      </c>
      <c r="H72" s="209">
        <f>IF($P72="","",INDEX('_Datos'!$K$7:$K$200,$P72))</f>
      </c>
      <c r="I72" s="209">
        <f>IF($P72="","",INDEX('_Datos'!$S$7:$S$200,$P72))</f>
      </c>
      <c r="J72" s="209">
        <f>IF($P72="","",INDEX('_Datos'!$T$7:$T$200,$P72))</f>
      </c>
      <c r="K72" s="208">
        <f>IF($P72="","",INDEX('_Datos'!$V$7:$V$200,$P72))</f>
      </c>
      <c r="L72" s="209">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7">
        <f>IF($P73="","",INDEX('_Datos'!$H$7:$H$200,$P73))</f>
      </c>
      <c r="G73" s="204">
        <f>IF($P73="","",INDEX('_Datos'!$J$7:$J$200,$P73))</f>
      </c>
      <c r="H73" s="209">
        <f>IF($P73="","",INDEX('_Datos'!$K$7:$K$200,$P73))</f>
      </c>
      <c r="I73" s="209">
        <f>IF($P73="","",INDEX('_Datos'!$S$7:$S$200,$P73))</f>
      </c>
      <c r="J73" s="209">
        <f>IF($P73="","",INDEX('_Datos'!$T$7:$T$200,$P73))</f>
      </c>
      <c r="K73" s="208">
        <f>IF($P73="","",INDEX('_Datos'!$V$7:$V$200,$P73))</f>
      </c>
      <c r="L73" s="209">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7">
        <f>IF($P74="","",INDEX('_Datos'!$H$7:$H$200,$P74))</f>
      </c>
      <c r="G74" s="204">
        <f>IF($P74="","",INDEX('_Datos'!$J$7:$J$200,$P74))</f>
      </c>
      <c r="H74" s="209">
        <f>IF($P74="","",INDEX('_Datos'!$K$7:$K$200,$P74))</f>
      </c>
      <c r="I74" s="209">
        <f>IF($P74="","",INDEX('_Datos'!$S$7:$S$200,$P74))</f>
      </c>
      <c r="J74" s="209">
        <f>IF($P74="","",INDEX('_Datos'!$T$7:$T$200,$P74))</f>
      </c>
      <c r="K74" s="208">
        <f>IF($P74="","",INDEX('_Datos'!$V$7:$V$200,$P74))</f>
      </c>
      <c r="L74" s="209">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7">
        <f>IF($P75="","",INDEX('_Datos'!$H$7:$H$200,$P75))</f>
      </c>
      <c r="G75" s="204">
        <f>IF($P75="","",INDEX('_Datos'!$J$7:$J$200,$P75))</f>
      </c>
      <c r="H75" s="209">
        <f>IF($P75="","",INDEX('_Datos'!$K$7:$K$200,$P75))</f>
      </c>
      <c r="I75" s="209">
        <f>IF($P75="","",INDEX('_Datos'!$S$7:$S$200,$P75))</f>
      </c>
      <c r="J75" s="209">
        <f>IF($P75="","",INDEX('_Datos'!$T$7:$T$200,$P75))</f>
      </c>
      <c r="K75" s="208">
        <f>IF($P75="","",INDEX('_Datos'!$V$7:$V$200,$P75))</f>
      </c>
      <c r="L75" s="209">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7">
        <f>IF($P76="","",INDEX('_Datos'!$H$7:$H$200,$P76))</f>
      </c>
      <c r="G76" s="204">
        <f>IF($P76="","",INDEX('_Datos'!$J$7:$J$200,$P76))</f>
      </c>
      <c r="H76" s="209">
        <f>IF($P76="","",INDEX('_Datos'!$K$7:$K$200,$P76))</f>
      </c>
      <c r="I76" s="209">
        <f>IF($P76="","",INDEX('_Datos'!$S$7:$S$200,$P76))</f>
      </c>
      <c r="J76" s="209">
        <f>IF($P76="","",INDEX('_Datos'!$T$7:$T$200,$P76))</f>
      </c>
      <c r="K76" s="208">
        <f>IF($P76="","",INDEX('_Datos'!$V$7:$V$200,$P76))</f>
      </c>
      <c r="L76" s="209">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7">
        <f>IF($P77="","",INDEX('_Datos'!$H$7:$H$200,$P77))</f>
      </c>
      <c r="G77" s="204">
        <f>IF($P77="","",INDEX('_Datos'!$J$7:$J$200,$P77))</f>
      </c>
      <c r="H77" s="209">
        <f>IF($P77="","",INDEX('_Datos'!$K$7:$K$200,$P77))</f>
      </c>
      <c r="I77" s="209">
        <f>IF($P77="","",INDEX('_Datos'!$S$7:$S$200,$P77))</f>
      </c>
      <c r="J77" s="209">
        <f>IF($P77="","",INDEX('_Datos'!$T$7:$T$200,$P77))</f>
      </c>
      <c r="K77" s="208">
        <f>IF($P77="","",INDEX('_Datos'!$V$7:$V$200,$P77))</f>
      </c>
      <c r="L77" s="209">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7">
        <f>IF($P78="","",INDEX('_Datos'!$H$7:$H$200,$P78))</f>
      </c>
      <c r="G78" s="204">
        <f>IF($P78="","",INDEX('_Datos'!$J$7:$J$200,$P78))</f>
      </c>
      <c r="H78" s="209">
        <f>IF($P78="","",INDEX('_Datos'!$K$7:$K$200,$P78))</f>
      </c>
      <c r="I78" s="209">
        <f>IF($P78="","",INDEX('_Datos'!$S$7:$S$200,$P78))</f>
      </c>
      <c r="J78" s="209">
        <f>IF($P78="","",INDEX('_Datos'!$T$7:$T$200,$P78))</f>
      </c>
      <c r="K78" s="208">
        <f>IF($P78="","",INDEX('_Datos'!$V$7:$V$200,$P78))</f>
      </c>
      <c r="L78" s="209">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7">
        <f>IF($P79="","",INDEX('_Datos'!$H$7:$H$200,$P79))</f>
      </c>
      <c r="G79" s="204">
        <f>IF($P79="","",INDEX('_Datos'!$J$7:$J$200,$P79))</f>
      </c>
      <c r="H79" s="209">
        <f>IF($P79="","",INDEX('_Datos'!$K$7:$K$200,$P79))</f>
      </c>
      <c r="I79" s="209">
        <f>IF($P79="","",INDEX('_Datos'!$S$7:$S$200,$P79))</f>
      </c>
      <c r="J79" s="209">
        <f>IF($P79="","",INDEX('_Datos'!$T$7:$T$200,$P79))</f>
      </c>
      <c r="K79" s="208">
        <f>IF($P79="","",INDEX('_Datos'!$V$7:$V$200,$P79))</f>
      </c>
      <c r="L79" s="209">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7">
        <f>IF($P80="","",INDEX('_Datos'!$H$7:$H$200,$P80))</f>
      </c>
      <c r="G80" s="204">
        <f>IF($P80="","",INDEX('_Datos'!$J$7:$J$200,$P80))</f>
      </c>
      <c r="H80" s="209">
        <f>IF($P80="","",INDEX('_Datos'!$K$7:$K$200,$P80))</f>
      </c>
      <c r="I80" s="209">
        <f>IF($P80="","",INDEX('_Datos'!$S$7:$S$200,$P80))</f>
      </c>
      <c r="J80" s="209">
        <f>IF($P80="","",INDEX('_Datos'!$T$7:$T$200,$P80))</f>
      </c>
      <c r="K80" s="208">
        <f>IF($P80="","",INDEX('_Datos'!$V$7:$V$200,$P80))</f>
      </c>
      <c r="L80" s="209">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7">
        <f>IF($P81="","",INDEX('_Datos'!$H$7:$H$200,$P81))</f>
      </c>
      <c r="G81" s="204">
        <f>IF($P81="","",INDEX('_Datos'!$J$7:$J$200,$P81))</f>
      </c>
      <c r="H81" s="209">
        <f>IF($P81="","",INDEX('_Datos'!$K$7:$K$200,$P81))</f>
      </c>
      <c r="I81" s="209">
        <f>IF($P81="","",INDEX('_Datos'!$S$7:$S$200,$P81))</f>
      </c>
      <c r="J81" s="209">
        <f>IF($P81="","",INDEX('_Datos'!$T$7:$T$200,$P81))</f>
      </c>
      <c r="K81" s="208">
        <f>IF($P81="","",INDEX('_Datos'!$V$7:$V$200,$P81))</f>
      </c>
      <c r="L81" s="209">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7">
        <f>IF($P82="","",INDEX('_Datos'!$H$7:$H$200,$P82))</f>
      </c>
      <c r="G82" s="204">
        <f>IF($P82="","",INDEX('_Datos'!$J$7:$J$200,$P82))</f>
      </c>
      <c r="H82" s="209">
        <f>IF($P82="","",INDEX('_Datos'!$K$7:$K$200,$P82))</f>
      </c>
      <c r="I82" s="209">
        <f>IF($P82="","",INDEX('_Datos'!$S$7:$S$200,$P82))</f>
      </c>
      <c r="J82" s="209">
        <f>IF($P82="","",INDEX('_Datos'!$T$7:$T$200,$P82))</f>
      </c>
      <c r="K82" s="208">
        <f>IF($P82="","",INDEX('_Datos'!$V$7:$V$200,$P82))</f>
      </c>
      <c r="L82" s="209">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7">
        <f>IF($P83="","",INDEX('_Datos'!$H$7:$H$200,$P83))</f>
      </c>
      <c r="G83" s="204">
        <f>IF($P83="","",INDEX('_Datos'!$J$7:$J$200,$P83))</f>
      </c>
      <c r="H83" s="209">
        <f>IF($P83="","",INDEX('_Datos'!$K$7:$K$200,$P83))</f>
      </c>
      <c r="I83" s="209">
        <f>IF($P83="","",INDEX('_Datos'!$S$7:$S$200,$P83))</f>
      </c>
      <c r="J83" s="209">
        <f>IF($P83="","",INDEX('_Datos'!$T$7:$T$200,$P83))</f>
      </c>
      <c r="K83" s="208">
        <f>IF($P83="","",INDEX('_Datos'!$V$7:$V$200,$P83))</f>
      </c>
      <c r="L83" s="209">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7">
        <f>IF($P84="","",INDEX('_Datos'!$H$7:$H$200,$P84))</f>
      </c>
      <c r="G84" s="204">
        <f>IF($P84="","",INDEX('_Datos'!$J$7:$J$200,$P84))</f>
      </c>
      <c r="H84" s="209">
        <f>IF($P84="","",INDEX('_Datos'!$K$7:$K$200,$P84))</f>
      </c>
      <c r="I84" s="209">
        <f>IF($P84="","",INDEX('_Datos'!$S$7:$S$200,$P84))</f>
      </c>
      <c r="J84" s="209">
        <f>IF($P84="","",INDEX('_Datos'!$T$7:$T$200,$P84))</f>
      </c>
      <c r="K84" s="208">
        <f>IF($P84="","",INDEX('_Datos'!$V$7:$V$200,$P84))</f>
      </c>
      <c r="L84" s="209">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7">
        <f>IF($P85="","",INDEX('_Datos'!$H$7:$H$200,$P85))</f>
      </c>
      <c r="G85" s="204">
        <f>IF($P85="","",INDEX('_Datos'!$J$7:$J$200,$P85))</f>
      </c>
      <c r="H85" s="209">
        <f>IF($P85="","",INDEX('_Datos'!$K$7:$K$200,$P85))</f>
      </c>
      <c r="I85" s="209">
        <f>IF($P85="","",INDEX('_Datos'!$S$7:$S$200,$P85))</f>
      </c>
      <c r="J85" s="209">
        <f>IF($P85="","",INDEX('_Datos'!$T$7:$T$200,$P85))</f>
      </c>
      <c r="K85" s="208">
        <f>IF($P85="","",INDEX('_Datos'!$V$7:$V$200,$P85))</f>
      </c>
      <c r="L85" s="209">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7">
        <f>IF($P86="","",INDEX('_Datos'!$H$7:$H$200,$P86))</f>
      </c>
      <c r="G86" s="204">
        <f>IF($P86="","",INDEX('_Datos'!$J$7:$J$200,$P86))</f>
      </c>
      <c r="H86" s="209">
        <f>IF($P86="","",INDEX('_Datos'!$K$7:$K$200,$P86))</f>
      </c>
      <c r="I86" s="209">
        <f>IF($P86="","",INDEX('_Datos'!$S$7:$S$200,$P86))</f>
      </c>
      <c r="J86" s="209">
        <f>IF($P86="","",INDEX('_Datos'!$T$7:$T$200,$P86))</f>
      </c>
      <c r="K86" s="208">
        <f>IF($P86="","",INDEX('_Datos'!$V$7:$V$200,$P86))</f>
      </c>
      <c r="L86" s="209">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7">
        <f>IF($P87="","",INDEX('_Datos'!$H$7:$H$200,$P87))</f>
      </c>
      <c r="G87" s="204">
        <f>IF($P87="","",INDEX('_Datos'!$J$7:$J$200,$P87))</f>
      </c>
      <c r="H87" s="209">
        <f>IF($P87="","",INDEX('_Datos'!$K$7:$K$200,$P87))</f>
      </c>
      <c r="I87" s="209">
        <f>IF($P87="","",INDEX('_Datos'!$S$7:$S$200,$P87))</f>
      </c>
      <c r="J87" s="209">
        <f>IF($P87="","",INDEX('_Datos'!$T$7:$T$200,$P87))</f>
      </c>
      <c r="K87" s="208">
        <f>IF($P87="","",INDEX('_Datos'!$V$7:$V$200,$P87))</f>
      </c>
      <c r="L87" s="209">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7">
        <f>IF($P88="","",INDEX('_Datos'!$H$7:$H$200,$P88))</f>
      </c>
      <c r="G88" s="204">
        <f>IF($P88="","",INDEX('_Datos'!$J$7:$J$200,$P88))</f>
      </c>
      <c r="H88" s="209">
        <f>IF($P88="","",INDEX('_Datos'!$K$7:$K$200,$P88))</f>
      </c>
      <c r="I88" s="209">
        <f>IF($P88="","",INDEX('_Datos'!$S$7:$S$200,$P88))</f>
      </c>
      <c r="J88" s="209">
        <f>IF($P88="","",INDEX('_Datos'!$T$7:$T$200,$P88))</f>
      </c>
      <c r="K88" s="208">
        <f>IF($P88="","",INDEX('_Datos'!$V$7:$V$200,$P88))</f>
      </c>
      <c r="L88" s="209">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7">
        <f>IF($P89="","",INDEX('_Datos'!$H$7:$H$200,$P89))</f>
      </c>
      <c r="G89" s="204">
        <f>IF($P89="","",INDEX('_Datos'!$J$7:$J$200,$P89))</f>
      </c>
      <c r="H89" s="209">
        <f>IF($P89="","",INDEX('_Datos'!$K$7:$K$200,$P89))</f>
      </c>
      <c r="I89" s="209">
        <f>IF($P89="","",INDEX('_Datos'!$S$7:$S$200,$P89))</f>
      </c>
      <c r="J89" s="209">
        <f>IF($P89="","",INDEX('_Datos'!$T$7:$T$200,$P89))</f>
      </c>
      <c r="K89" s="208">
        <f>IF($P89="","",INDEX('_Datos'!$V$7:$V$200,$P89))</f>
      </c>
      <c r="L89" s="209">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7">
        <f>IF($P90="","",INDEX('_Datos'!$H$7:$H$200,$P90))</f>
      </c>
      <c r="G90" s="204">
        <f>IF($P90="","",INDEX('_Datos'!$J$7:$J$200,$P90))</f>
      </c>
      <c r="H90" s="209">
        <f>IF($P90="","",INDEX('_Datos'!$K$7:$K$200,$P90))</f>
      </c>
      <c r="I90" s="209">
        <f>IF($P90="","",INDEX('_Datos'!$S$7:$S$200,$P90))</f>
      </c>
      <c r="J90" s="209">
        <f>IF($P90="","",INDEX('_Datos'!$T$7:$T$200,$P90))</f>
      </c>
      <c r="K90" s="208">
        <f>IF($P90="","",INDEX('_Datos'!$V$7:$V$200,$P90))</f>
      </c>
      <c r="L90" s="209">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7">
        <f>IF($P91="","",INDEX('_Datos'!$H$7:$H$200,$P91))</f>
      </c>
      <c r="G91" s="204">
        <f>IF($P91="","",INDEX('_Datos'!$J$7:$J$200,$P91))</f>
      </c>
      <c r="H91" s="209">
        <f>IF($P91="","",INDEX('_Datos'!$K$7:$K$200,$P91))</f>
      </c>
      <c r="I91" s="209">
        <f>IF($P91="","",INDEX('_Datos'!$S$7:$S$200,$P91))</f>
      </c>
      <c r="J91" s="209">
        <f>IF($P91="","",INDEX('_Datos'!$T$7:$T$200,$P91))</f>
      </c>
      <c r="K91" s="208">
        <f>IF($P91="","",INDEX('_Datos'!$V$7:$V$200,$P91))</f>
      </c>
      <c r="L91" s="209">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7">
        <f>IF($P92="","",INDEX('_Datos'!$H$7:$H$200,$P92))</f>
      </c>
      <c r="G92" s="204">
        <f>IF($P92="","",INDEX('_Datos'!$J$7:$J$200,$P92))</f>
      </c>
      <c r="H92" s="209">
        <f>IF($P92="","",INDEX('_Datos'!$K$7:$K$200,$P92))</f>
      </c>
      <c r="I92" s="209">
        <f>IF($P92="","",INDEX('_Datos'!$S$7:$S$200,$P92))</f>
      </c>
      <c r="J92" s="209">
        <f>IF($P92="","",INDEX('_Datos'!$T$7:$T$200,$P92))</f>
      </c>
      <c r="K92" s="208">
        <f>IF($P92="","",INDEX('_Datos'!$V$7:$V$200,$P92))</f>
      </c>
      <c r="L92" s="209">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7">
        <f>IF($P93="","",INDEX('_Datos'!$H$7:$H$200,$P93))</f>
      </c>
      <c r="G93" s="204">
        <f>IF($P93="","",INDEX('_Datos'!$J$7:$J$200,$P93))</f>
      </c>
      <c r="H93" s="209">
        <f>IF($P93="","",INDEX('_Datos'!$K$7:$K$200,$P93))</f>
      </c>
      <c r="I93" s="209">
        <f>IF($P93="","",INDEX('_Datos'!$S$7:$S$200,$P93))</f>
      </c>
      <c r="J93" s="209">
        <f>IF($P93="","",INDEX('_Datos'!$T$7:$T$200,$P93))</f>
      </c>
      <c r="K93" s="208">
        <f>IF($P93="","",INDEX('_Datos'!$V$7:$V$200,$P93))</f>
      </c>
      <c r="L93" s="209">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7">
        <f>IF($P94="","",INDEX('_Datos'!$H$7:$H$200,$P94))</f>
      </c>
      <c r="G94" s="204">
        <f>IF($P94="","",INDEX('_Datos'!$J$7:$J$200,$P94))</f>
      </c>
      <c r="H94" s="209">
        <f>IF($P94="","",INDEX('_Datos'!$K$7:$K$200,$P94))</f>
      </c>
      <c r="I94" s="209">
        <f>IF($P94="","",INDEX('_Datos'!$S$7:$S$200,$P94))</f>
      </c>
      <c r="J94" s="209">
        <f>IF($P94="","",INDEX('_Datos'!$T$7:$T$200,$P94))</f>
      </c>
      <c r="K94" s="208">
        <f>IF($P94="","",INDEX('_Datos'!$V$7:$V$200,$P94))</f>
      </c>
      <c r="L94" s="209">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7">
        <f>IF($P95="","",INDEX('_Datos'!$H$7:$H$200,$P95))</f>
      </c>
      <c r="G95" s="204">
        <f>IF($P95="","",INDEX('_Datos'!$J$7:$J$200,$P95))</f>
      </c>
      <c r="H95" s="209">
        <f>IF($P95="","",INDEX('_Datos'!$K$7:$K$200,$P95))</f>
      </c>
      <c r="I95" s="209">
        <f>IF($P95="","",INDEX('_Datos'!$S$7:$S$200,$P95))</f>
      </c>
      <c r="J95" s="209">
        <f>IF($P95="","",INDEX('_Datos'!$T$7:$T$200,$P95))</f>
      </c>
      <c r="K95" s="208">
        <f>IF($P95="","",INDEX('_Datos'!$V$7:$V$200,$P95))</f>
      </c>
      <c r="L95" s="209">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7">
        <f>IF($P96="","",INDEX('_Datos'!$H$7:$H$200,$P96))</f>
      </c>
      <c r="G96" s="204">
        <f>IF($P96="","",INDEX('_Datos'!$J$7:$J$200,$P96))</f>
      </c>
      <c r="H96" s="209">
        <f>IF($P96="","",INDEX('_Datos'!$K$7:$K$200,$P96))</f>
      </c>
      <c r="I96" s="209">
        <f>IF($P96="","",INDEX('_Datos'!$S$7:$S$200,$P96))</f>
      </c>
      <c r="J96" s="209">
        <f>IF($P96="","",INDEX('_Datos'!$T$7:$T$200,$P96))</f>
      </c>
      <c r="K96" s="208">
        <f>IF($P96="","",INDEX('_Datos'!$V$7:$V$200,$P96))</f>
      </c>
      <c r="L96" s="209">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7">
        <f>IF($P97="","",INDEX('_Datos'!$H$7:$H$200,$P97))</f>
      </c>
      <c r="G97" s="204">
        <f>IF($P97="","",INDEX('_Datos'!$J$7:$J$200,$P97))</f>
      </c>
      <c r="H97" s="209">
        <f>IF($P97="","",INDEX('_Datos'!$K$7:$K$200,$P97))</f>
      </c>
      <c r="I97" s="209">
        <f>IF($P97="","",INDEX('_Datos'!$S$7:$S$200,$P97))</f>
      </c>
      <c r="J97" s="209">
        <f>IF($P97="","",INDEX('_Datos'!$T$7:$T$200,$P97))</f>
      </c>
      <c r="K97" s="208">
        <f>IF($P97="","",INDEX('_Datos'!$V$7:$V$200,$P97))</f>
      </c>
      <c r="L97" s="209">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7">
        <f>IF($P98="","",INDEX('_Datos'!$H$7:$H$200,$P98))</f>
      </c>
      <c r="G98" s="204">
        <f>IF($P98="","",INDEX('_Datos'!$J$7:$J$200,$P98))</f>
      </c>
      <c r="H98" s="209">
        <f>IF($P98="","",INDEX('_Datos'!$K$7:$K$200,$P98))</f>
      </c>
      <c r="I98" s="209">
        <f>IF($P98="","",INDEX('_Datos'!$S$7:$S$200,$P98))</f>
      </c>
      <c r="J98" s="209">
        <f>IF($P98="","",INDEX('_Datos'!$T$7:$T$200,$P98))</f>
      </c>
      <c r="K98" s="208">
        <f>IF($P98="","",INDEX('_Datos'!$V$7:$V$200,$P98))</f>
      </c>
      <c r="L98" s="209">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7">
        <f>IF($P99="","",INDEX('_Datos'!$H$7:$H$200,$P99))</f>
      </c>
      <c r="G99" s="204">
        <f>IF($P99="","",INDEX('_Datos'!$J$7:$J$200,$P99))</f>
      </c>
      <c r="H99" s="209">
        <f>IF($P99="","",INDEX('_Datos'!$K$7:$K$200,$P99))</f>
      </c>
      <c r="I99" s="209">
        <f>IF($P99="","",INDEX('_Datos'!$S$7:$S$200,$P99))</f>
      </c>
      <c r="J99" s="209">
        <f>IF($P99="","",INDEX('_Datos'!$T$7:$T$200,$P99))</f>
      </c>
      <c r="K99" s="208">
        <f>IF($P99="","",INDEX('_Datos'!$V$7:$V$200,$P99))</f>
      </c>
      <c r="L99" s="209">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7">
        <f>IF($P100="","",INDEX('_Datos'!$H$7:$H$200,$P100))</f>
      </c>
      <c r="G100" s="204">
        <f>IF($P100="","",INDEX('_Datos'!$J$7:$J$200,$P100))</f>
      </c>
      <c r="H100" s="209">
        <f>IF($P100="","",INDEX('_Datos'!$K$7:$K$200,$P100))</f>
      </c>
      <c r="I100" s="209">
        <f>IF($P100="","",INDEX('_Datos'!$S$7:$S$200,$P100))</f>
      </c>
      <c r="J100" s="209">
        <f>IF($P100="","",INDEX('_Datos'!$T$7:$T$200,$P100))</f>
      </c>
      <c r="K100" s="208">
        <f>IF($P100="","",INDEX('_Datos'!$V$7:$V$200,$P100))</f>
      </c>
      <c r="L100" s="209">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7">
        <f>IF($P101="","",INDEX('_Datos'!$H$7:$H$200,$P101))</f>
      </c>
      <c r="G101" s="204">
        <f>IF($P101="","",INDEX('_Datos'!$J$7:$J$200,$P101))</f>
      </c>
      <c r="H101" s="209">
        <f>IF($P101="","",INDEX('_Datos'!$K$7:$K$200,$P101))</f>
      </c>
      <c r="I101" s="209">
        <f>IF($P101="","",INDEX('_Datos'!$S$7:$S$200,$P101))</f>
      </c>
      <c r="J101" s="209">
        <f>IF($P101="","",INDEX('_Datos'!$T$7:$T$200,$P101))</f>
      </c>
      <c r="K101" s="208">
        <f>IF($P101="","",INDEX('_Datos'!$V$7:$V$200,$P101))</f>
      </c>
      <c r="L101" s="209">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7">
        <f>IF($P102="","",INDEX('_Datos'!$H$7:$H$200,$P102))</f>
      </c>
      <c r="G102" s="204">
        <f>IF($P102="","",INDEX('_Datos'!$J$7:$J$200,$P102))</f>
      </c>
      <c r="H102" s="209">
        <f>IF($P102="","",INDEX('_Datos'!$K$7:$K$200,$P102))</f>
      </c>
      <c r="I102" s="209">
        <f>IF($P102="","",INDEX('_Datos'!$S$7:$S$200,$P102))</f>
      </c>
      <c r="J102" s="209">
        <f>IF($P102="","",INDEX('_Datos'!$T$7:$T$200,$P102))</f>
      </c>
      <c r="K102" s="208">
        <f>IF($P102="","",INDEX('_Datos'!$V$7:$V$200,$P102))</f>
      </c>
      <c r="L102" s="209">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7">
        <f>IF($P103="","",INDEX('_Datos'!$H$7:$H$200,$P103))</f>
      </c>
      <c r="G103" s="204">
        <f>IF($P103="","",INDEX('_Datos'!$J$7:$J$200,$P103))</f>
      </c>
      <c r="H103" s="209">
        <f>IF($P103="","",INDEX('_Datos'!$K$7:$K$200,$P103))</f>
      </c>
      <c r="I103" s="209">
        <f>IF($P103="","",INDEX('_Datos'!$S$7:$S$200,$P103))</f>
      </c>
      <c r="J103" s="209">
        <f>IF($P103="","",INDEX('_Datos'!$T$7:$T$200,$P103))</f>
      </c>
      <c r="K103" s="208">
        <f>IF($P103="","",INDEX('_Datos'!$V$7:$V$200,$P103))</f>
      </c>
      <c r="L103" s="209">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7">
        <f>IF($P104="","",INDEX('_Datos'!$H$7:$H$200,$P104))</f>
      </c>
      <c r="G104" s="204">
        <f>IF($P104="","",INDEX('_Datos'!$J$7:$J$200,$P104))</f>
      </c>
      <c r="H104" s="209">
        <f>IF($P104="","",INDEX('_Datos'!$K$7:$K$200,$P104))</f>
      </c>
      <c r="I104" s="209">
        <f>IF($P104="","",INDEX('_Datos'!$S$7:$S$200,$P104))</f>
      </c>
      <c r="J104" s="209">
        <f>IF($P104="","",INDEX('_Datos'!$T$7:$T$200,$P104))</f>
      </c>
      <c r="K104" s="208">
        <f>IF($P104="","",INDEX('_Datos'!$V$7:$V$200,$P104))</f>
      </c>
      <c r="L104" s="209">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7">
        <f>IF($P105="","",INDEX('_Datos'!$H$7:$H$200,$P105))</f>
      </c>
      <c r="G105" s="204">
        <f>IF($P105="","",INDEX('_Datos'!$J$7:$J$200,$P105))</f>
      </c>
      <c r="H105" s="209">
        <f>IF($P105="","",INDEX('_Datos'!$K$7:$K$200,$P105))</f>
      </c>
      <c r="I105" s="209">
        <f>IF($P105="","",INDEX('_Datos'!$S$7:$S$200,$P105))</f>
      </c>
      <c r="J105" s="209">
        <f>IF($P105="","",INDEX('_Datos'!$T$7:$T$200,$P105))</f>
      </c>
      <c r="K105" s="208">
        <f>IF($P105="","",INDEX('_Datos'!$V$7:$V$200,$P105))</f>
      </c>
      <c r="L105" s="209">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7">
        <f>IF($P106="","",INDEX('_Datos'!$H$7:$H$200,$P106))</f>
      </c>
      <c r="G106" s="204">
        <f>IF($P106="","",INDEX('_Datos'!$J$7:$J$200,$P106))</f>
      </c>
      <c r="H106" s="209">
        <f>IF($P106="","",INDEX('_Datos'!$K$7:$K$200,$P106))</f>
      </c>
      <c r="I106" s="209">
        <f>IF($P106="","",INDEX('_Datos'!$S$7:$S$200,$P106))</f>
      </c>
      <c r="J106" s="209">
        <f>IF($P106="","",INDEX('_Datos'!$T$7:$T$200,$P106))</f>
      </c>
      <c r="K106" s="208">
        <f>IF($P106="","",INDEX('_Datos'!$V$7:$V$200,$P106))</f>
      </c>
      <c r="L106" s="209">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7">
        <f>IF($P107="","",INDEX('_Datos'!$H$7:$H$200,$P107))</f>
      </c>
      <c r="G107" s="204">
        <f>IF($P107="","",INDEX('_Datos'!$J$7:$J$200,$P107))</f>
      </c>
      <c r="H107" s="209">
        <f>IF($P107="","",INDEX('_Datos'!$K$7:$K$200,$P107))</f>
      </c>
      <c r="I107" s="209">
        <f>IF($P107="","",INDEX('_Datos'!$S$7:$S$200,$P107))</f>
      </c>
      <c r="J107" s="209">
        <f>IF($P107="","",INDEX('_Datos'!$T$7:$T$200,$P107))</f>
      </c>
      <c r="K107" s="208">
        <f>IF($P107="","",INDEX('_Datos'!$V$7:$V$200,$P107))</f>
      </c>
      <c r="L107" s="209">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7">
        <f>IF($P108="","",INDEX('_Datos'!$H$7:$H$200,$P108))</f>
      </c>
      <c r="G108" s="204">
        <f>IF($P108="","",INDEX('_Datos'!$J$7:$J$200,$P108))</f>
      </c>
      <c r="H108" s="209">
        <f>IF($P108="","",INDEX('_Datos'!$K$7:$K$200,$P108))</f>
      </c>
      <c r="I108" s="209">
        <f>IF($P108="","",INDEX('_Datos'!$S$7:$S$200,$P108))</f>
      </c>
      <c r="J108" s="209">
        <f>IF($P108="","",INDEX('_Datos'!$T$7:$T$200,$P108))</f>
      </c>
      <c r="K108" s="208">
        <f>IF($P108="","",INDEX('_Datos'!$V$7:$V$200,$P108))</f>
      </c>
      <c r="L108" s="209">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7">
        <f>IF($P109="","",INDEX('_Datos'!$H$7:$H$200,$P109))</f>
      </c>
      <c r="G109" s="204">
        <f>IF($P109="","",INDEX('_Datos'!$J$7:$J$200,$P109))</f>
      </c>
      <c r="H109" s="209">
        <f>IF($P109="","",INDEX('_Datos'!$K$7:$K$200,$P109))</f>
      </c>
      <c r="I109" s="209">
        <f>IF($P109="","",INDEX('_Datos'!$S$7:$S$200,$P109))</f>
      </c>
      <c r="J109" s="209">
        <f>IF($P109="","",INDEX('_Datos'!$T$7:$T$200,$P109))</f>
      </c>
      <c r="K109" s="208">
        <f>IF($P109="","",INDEX('_Datos'!$V$7:$V$200,$P109))</f>
      </c>
      <c r="L109" s="209">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7">
        <f>IF($P110="","",INDEX('_Datos'!$H$7:$H$200,$P110))</f>
      </c>
      <c r="G110" s="204">
        <f>IF($P110="","",INDEX('_Datos'!$J$7:$J$200,$P110))</f>
      </c>
      <c r="H110" s="209">
        <f>IF($P110="","",INDEX('_Datos'!$K$7:$K$200,$P110))</f>
      </c>
      <c r="I110" s="209">
        <f>IF($P110="","",INDEX('_Datos'!$S$7:$S$200,$P110))</f>
      </c>
      <c r="J110" s="209">
        <f>IF($P110="","",INDEX('_Datos'!$T$7:$T$200,$P110))</f>
      </c>
      <c r="K110" s="208">
        <f>IF($P110="","",INDEX('_Datos'!$V$7:$V$200,$P110))</f>
      </c>
      <c r="L110" s="209">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7">
        <f>IF($P111="","",INDEX('_Datos'!$H$7:$H$200,$P111))</f>
      </c>
      <c r="G111" s="204">
        <f>IF($P111="","",INDEX('_Datos'!$J$7:$J$200,$P111))</f>
      </c>
      <c r="H111" s="209">
        <f>IF($P111="","",INDEX('_Datos'!$K$7:$K$200,$P111))</f>
      </c>
      <c r="I111" s="209">
        <f>IF($P111="","",INDEX('_Datos'!$S$7:$S$200,$P111))</f>
      </c>
      <c r="J111" s="209">
        <f>IF($P111="","",INDEX('_Datos'!$T$7:$T$200,$P111))</f>
      </c>
      <c r="K111" s="208">
        <f>IF($P111="","",INDEX('_Datos'!$V$7:$V$200,$P111))</f>
      </c>
      <c r="L111" s="209">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7">
        <f>IF($P112="","",INDEX('_Datos'!$H$7:$H$200,$P112))</f>
      </c>
      <c r="G112" s="204">
        <f>IF($P112="","",INDEX('_Datos'!$J$7:$J$200,$P112))</f>
      </c>
      <c r="H112" s="209">
        <f>IF($P112="","",INDEX('_Datos'!$K$7:$K$200,$P112))</f>
      </c>
      <c r="I112" s="209">
        <f>IF($P112="","",INDEX('_Datos'!$S$7:$S$200,$P112))</f>
      </c>
      <c r="J112" s="209">
        <f>IF($P112="","",INDEX('_Datos'!$T$7:$T$200,$P112))</f>
      </c>
      <c r="K112" s="208">
        <f>IF($P112="","",INDEX('_Datos'!$V$7:$V$200,$P112))</f>
      </c>
      <c r="L112" s="209">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7">
        <f>IF($P113="","",INDEX('_Datos'!$H$7:$H$200,$P113))</f>
      </c>
      <c r="G113" s="204">
        <f>IF($P113="","",INDEX('_Datos'!$J$7:$J$200,$P113))</f>
      </c>
      <c r="H113" s="209">
        <f>IF($P113="","",INDEX('_Datos'!$K$7:$K$200,$P113))</f>
      </c>
      <c r="I113" s="209">
        <f>IF($P113="","",INDEX('_Datos'!$S$7:$S$200,$P113))</f>
      </c>
      <c r="J113" s="209">
        <f>IF($P113="","",INDEX('_Datos'!$T$7:$T$200,$P113))</f>
      </c>
      <c r="K113" s="208">
        <f>IF($P113="","",INDEX('_Datos'!$V$7:$V$200,$P113))</f>
      </c>
      <c r="L113" s="209">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7">
        <f>IF($P114="","",INDEX('_Datos'!$H$7:$H$200,$P114))</f>
      </c>
      <c r="G114" s="204">
        <f>IF($P114="","",INDEX('_Datos'!$J$7:$J$200,$P114))</f>
      </c>
      <c r="H114" s="209">
        <f>IF($P114="","",INDEX('_Datos'!$K$7:$K$200,$P114))</f>
      </c>
      <c r="I114" s="209">
        <f>IF($P114="","",INDEX('_Datos'!$S$7:$S$200,$P114))</f>
      </c>
      <c r="J114" s="209">
        <f>IF($P114="","",INDEX('_Datos'!$T$7:$T$200,$P114))</f>
      </c>
      <c r="K114" s="208">
        <f>IF($P114="","",INDEX('_Datos'!$V$7:$V$200,$P114))</f>
      </c>
      <c r="L114" s="209">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7">
        <f>IF($P115="","",INDEX('_Datos'!$H$7:$H$200,$P115))</f>
      </c>
      <c r="G115" s="204">
        <f>IF($P115="","",INDEX('_Datos'!$J$7:$J$200,$P115))</f>
      </c>
      <c r="H115" s="209">
        <f>IF($P115="","",INDEX('_Datos'!$K$7:$K$200,$P115))</f>
      </c>
      <c r="I115" s="209">
        <f>IF($P115="","",INDEX('_Datos'!$S$7:$S$200,$P115))</f>
      </c>
      <c r="J115" s="209">
        <f>IF($P115="","",INDEX('_Datos'!$T$7:$T$200,$P115))</f>
      </c>
      <c r="K115" s="208">
        <f>IF($P115="","",INDEX('_Datos'!$V$7:$V$200,$P115))</f>
      </c>
      <c r="L115" s="209">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7">
        <f>IF($P116="","",INDEX('_Datos'!$H$7:$H$200,$P116))</f>
      </c>
      <c r="G116" s="204">
        <f>IF($P116="","",INDEX('_Datos'!$J$7:$J$200,$P116))</f>
      </c>
      <c r="H116" s="209">
        <f>IF($P116="","",INDEX('_Datos'!$K$7:$K$200,$P116))</f>
      </c>
      <c r="I116" s="209">
        <f>IF($P116="","",INDEX('_Datos'!$S$7:$S$200,$P116))</f>
      </c>
      <c r="J116" s="209">
        <f>IF($P116="","",INDEX('_Datos'!$T$7:$T$200,$P116))</f>
      </c>
      <c r="K116" s="208">
        <f>IF($P116="","",INDEX('_Datos'!$V$7:$V$200,$P116))</f>
      </c>
      <c r="L116" s="209">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7">
        <f>IF($P117="","",INDEX('_Datos'!$H$7:$H$200,$P117))</f>
      </c>
      <c r="G117" s="204">
        <f>IF($P117="","",INDEX('_Datos'!$J$7:$J$200,$P117))</f>
      </c>
      <c r="H117" s="209">
        <f>IF($P117="","",INDEX('_Datos'!$K$7:$K$200,$P117))</f>
      </c>
      <c r="I117" s="209">
        <f>IF($P117="","",INDEX('_Datos'!$S$7:$S$200,$P117))</f>
      </c>
      <c r="J117" s="209">
        <f>IF($P117="","",INDEX('_Datos'!$T$7:$T$200,$P117))</f>
      </c>
      <c r="K117" s="208">
        <f>IF($P117="","",INDEX('_Datos'!$V$7:$V$200,$P117))</f>
      </c>
      <c r="L117" s="209">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7">
        <f>IF($P118="","",INDEX('_Datos'!$H$7:$H$200,$P118))</f>
      </c>
      <c r="G118" s="204">
        <f>IF($P118="","",INDEX('_Datos'!$J$7:$J$200,$P118))</f>
      </c>
      <c r="H118" s="209">
        <f>IF($P118="","",INDEX('_Datos'!$K$7:$K$200,$P118))</f>
      </c>
      <c r="I118" s="209">
        <f>IF($P118="","",INDEX('_Datos'!$S$7:$S$200,$P118))</f>
      </c>
      <c r="J118" s="209">
        <f>IF($P118="","",INDEX('_Datos'!$T$7:$T$200,$P118))</f>
      </c>
      <c r="K118" s="208">
        <f>IF($P118="","",INDEX('_Datos'!$V$7:$V$200,$P118))</f>
      </c>
      <c r="L118" s="209">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7">
        <f>IF($P119="","",INDEX('_Datos'!$H$7:$H$200,$P119))</f>
      </c>
      <c r="G119" s="204">
        <f>IF($P119="","",INDEX('_Datos'!$J$7:$J$200,$P119))</f>
      </c>
      <c r="H119" s="209">
        <f>IF($P119="","",INDEX('_Datos'!$K$7:$K$200,$P119))</f>
      </c>
      <c r="I119" s="209">
        <f>IF($P119="","",INDEX('_Datos'!$S$7:$S$200,$P119))</f>
      </c>
      <c r="J119" s="209">
        <f>IF($P119="","",INDEX('_Datos'!$T$7:$T$200,$P119))</f>
      </c>
      <c r="K119" s="208">
        <f>IF($P119="","",INDEX('_Datos'!$V$7:$V$200,$P119))</f>
      </c>
      <c r="L119" s="209">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7">
        <f>IF($P120="","",INDEX('_Datos'!$H$7:$H$200,$P120))</f>
      </c>
      <c r="G120" s="204">
        <f>IF($P120="","",INDEX('_Datos'!$J$7:$J$200,$P120))</f>
      </c>
      <c r="H120" s="209">
        <f>IF($P120="","",INDEX('_Datos'!$K$7:$K$200,$P120))</f>
      </c>
      <c r="I120" s="209">
        <f>IF($P120="","",INDEX('_Datos'!$S$7:$S$200,$P120))</f>
      </c>
      <c r="J120" s="209">
        <f>IF($P120="","",INDEX('_Datos'!$T$7:$T$200,$P120))</f>
      </c>
      <c r="K120" s="208">
        <f>IF($P120="","",INDEX('_Datos'!$V$7:$V$200,$P120))</f>
      </c>
      <c r="L120" s="209">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7">
        <f>IF($P121="","",INDEX('_Datos'!$H$7:$H$200,$P121))</f>
      </c>
      <c r="G121" s="204">
        <f>IF($P121="","",INDEX('_Datos'!$J$7:$J$200,$P121))</f>
      </c>
      <c r="H121" s="209">
        <f>IF($P121="","",INDEX('_Datos'!$K$7:$K$200,$P121))</f>
      </c>
      <c r="I121" s="209">
        <f>IF($P121="","",INDEX('_Datos'!$S$7:$S$200,$P121))</f>
      </c>
      <c r="J121" s="209">
        <f>IF($P121="","",INDEX('_Datos'!$T$7:$T$200,$P121))</f>
      </c>
      <c r="K121" s="208">
        <f>IF($P121="","",INDEX('_Datos'!$V$7:$V$200,$P121))</f>
      </c>
      <c r="L121" s="209">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7">
        <f>IF($P122="","",INDEX('_Datos'!$H$7:$H$200,$P122))</f>
      </c>
      <c r="G122" s="204">
        <f>IF($P122="","",INDEX('_Datos'!$J$7:$J$200,$P122))</f>
      </c>
      <c r="H122" s="209">
        <f>IF($P122="","",INDEX('_Datos'!$K$7:$K$200,$P122))</f>
      </c>
      <c r="I122" s="209">
        <f>IF($P122="","",INDEX('_Datos'!$S$7:$S$200,$P122))</f>
      </c>
      <c r="J122" s="209">
        <f>IF($P122="","",INDEX('_Datos'!$T$7:$T$200,$P122))</f>
      </c>
      <c r="K122" s="208">
        <f>IF($P122="","",INDEX('_Datos'!$V$7:$V$200,$P122))</f>
      </c>
      <c r="L122" s="209">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7">
        <f>IF($P123="","",INDEX('_Datos'!$H$7:$H$200,$P123))</f>
      </c>
      <c r="G123" s="204">
        <f>IF($P123="","",INDEX('_Datos'!$J$7:$J$200,$P123))</f>
      </c>
      <c r="H123" s="209">
        <f>IF($P123="","",INDEX('_Datos'!$K$7:$K$200,$P123))</f>
      </c>
      <c r="I123" s="209">
        <f>IF($P123="","",INDEX('_Datos'!$S$7:$S$200,$P123))</f>
      </c>
      <c r="J123" s="209">
        <f>IF($P123="","",INDEX('_Datos'!$T$7:$T$200,$P123))</f>
      </c>
      <c r="K123" s="208">
        <f>IF($P123="","",INDEX('_Datos'!$V$7:$V$200,$P123))</f>
      </c>
      <c r="L123" s="209">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7">
        <f>IF($P124="","",INDEX('_Datos'!$H$7:$H$200,$P124))</f>
      </c>
      <c r="G124" s="204">
        <f>IF($P124="","",INDEX('_Datos'!$J$7:$J$200,$P124))</f>
      </c>
      <c r="H124" s="209">
        <f>IF($P124="","",INDEX('_Datos'!$K$7:$K$200,$P124))</f>
      </c>
      <c r="I124" s="209">
        <f>IF($P124="","",INDEX('_Datos'!$S$7:$S$200,$P124))</f>
      </c>
      <c r="J124" s="209">
        <f>IF($P124="","",INDEX('_Datos'!$T$7:$T$200,$P124))</f>
      </c>
      <c r="K124" s="208">
        <f>IF($P124="","",INDEX('_Datos'!$V$7:$V$200,$P124))</f>
      </c>
      <c r="L124" s="209">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7">
        <f>IF($P125="","",INDEX('_Datos'!$H$7:$H$200,$P125))</f>
      </c>
      <c r="G125" s="204">
        <f>IF($P125="","",INDEX('_Datos'!$J$7:$J$200,$P125))</f>
      </c>
      <c r="H125" s="209">
        <f>IF($P125="","",INDEX('_Datos'!$K$7:$K$200,$P125))</f>
      </c>
      <c r="I125" s="209">
        <f>IF($P125="","",INDEX('_Datos'!$S$7:$S$200,$P125))</f>
      </c>
      <c r="J125" s="209">
        <f>IF($P125="","",INDEX('_Datos'!$T$7:$T$200,$P125))</f>
      </c>
      <c r="K125" s="208">
        <f>IF($P125="","",INDEX('_Datos'!$V$7:$V$200,$P125))</f>
      </c>
      <c r="L125" s="209">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7">
        <f>IF($P126="","",INDEX('_Datos'!$H$7:$H$200,$P126))</f>
      </c>
      <c r="G126" s="204">
        <f>IF($P126="","",INDEX('_Datos'!$J$7:$J$200,$P126))</f>
      </c>
      <c r="H126" s="209">
        <f>IF($P126="","",INDEX('_Datos'!$K$7:$K$200,$P126))</f>
      </c>
      <c r="I126" s="209">
        <f>IF($P126="","",INDEX('_Datos'!$S$7:$S$200,$P126))</f>
      </c>
      <c r="J126" s="209">
        <f>IF($P126="","",INDEX('_Datos'!$T$7:$T$200,$P126))</f>
      </c>
      <c r="K126" s="208">
        <f>IF($P126="","",INDEX('_Datos'!$V$7:$V$200,$P126))</f>
      </c>
      <c r="L126" s="209">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7">
        <f>IF($P127="","",INDEX('_Datos'!$H$7:$H$200,$P127))</f>
      </c>
      <c r="G127" s="204">
        <f>IF($P127="","",INDEX('_Datos'!$J$7:$J$200,$P127))</f>
      </c>
      <c r="H127" s="209">
        <f>IF($P127="","",INDEX('_Datos'!$K$7:$K$200,$P127))</f>
      </c>
      <c r="I127" s="209">
        <f>IF($P127="","",INDEX('_Datos'!$S$7:$S$200,$P127))</f>
      </c>
      <c r="J127" s="209">
        <f>IF($P127="","",INDEX('_Datos'!$T$7:$T$200,$P127))</f>
      </c>
      <c r="K127" s="208">
        <f>IF($P127="","",INDEX('_Datos'!$V$7:$V$200,$P127))</f>
      </c>
      <c r="L127" s="209">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7">
        <f>IF($P128="","",INDEX('_Datos'!$H$7:$H$200,$P128))</f>
      </c>
      <c r="G128" s="204">
        <f>IF($P128="","",INDEX('_Datos'!$J$7:$J$200,$P128))</f>
      </c>
      <c r="H128" s="209">
        <f>IF($P128="","",INDEX('_Datos'!$K$7:$K$200,$P128))</f>
      </c>
      <c r="I128" s="209">
        <f>IF($P128="","",INDEX('_Datos'!$S$7:$S$200,$P128))</f>
      </c>
      <c r="J128" s="209">
        <f>IF($P128="","",INDEX('_Datos'!$T$7:$T$200,$P128))</f>
      </c>
      <c r="K128" s="208">
        <f>IF($P128="","",INDEX('_Datos'!$V$7:$V$200,$P128))</f>
      </c>
      <c r="L128" s="209">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7">
        <f>IF($P129="","",INDEX('_Datos'!$H$7:$H$200,$P129))</f>
      </c>
      <c r="G129" s="204">
        <f>IF($P129="","",INDEX('_Datos'!$J$7:$J$200,$P129))</f>
      </c>
      <c r="H129" s="209">
        <f>IF($P129="","",INDEX('_Datos'!$K$7:$K$200,$P129))</f>
      </c>
      <c r="I129" s="209">
        <f>IF($P129="","",INDEX('_Datos'!$S$7:$S$200,$P129))</f>
      </c>
      <c r="J129" s="209">
        <f>IF($P129="","",INDEX('_Datos'!$T$7:$T$200,$P129))</f>
      </c>
      <c r="K129" s="208">
        <f>IF($P129="","",INDEX('_Datos'!$V$7:$V$200,$P129))</f>
      </c>
      <c r="L129" s="209">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7">
        <f>IF($P130="","",INDEX('_Datos'!$H$7:$H$200,$P130))</f>
      </c>
      <c r="G130" s="204">
        <f>IF($P130="","",INDEX('_Datos'!$J$7:$J$200,$P130))</f>
      </c>
      <c r="H130" s="209">
        <f>IF($P130="","",INDEX('_Datos'!$K$7:$K$200,$P130))</f>
      </c>
      <c r="I130" s="209">
        <f>IF($P130="","",INDEX('_Datos'!$S$7:$S$200,$P130))</f>
      </c>
      <c r="J130" s="209">
        <f>IF($P130="","",INDEX('_Datos'!$T$7:$T$200,$P130))</f>
      </c>
      <c r="K130" s="208">
        <f>IF($P130="","",INDEX('_Datos'!$V$7:$V$200,$P130))</f>
      </c>
      <c r="L130" s="209">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7">
        <f>IF($P131="","",INDEX('_Datos'!$H$7:$H$200,$P131))</f>
      </c>
      <c r="G131" s="204">
        <f>IF($P131="","",INDEX('_Datos'!$J$7:$J$200,$P131))</f>
      </c>
      <c r="H131" s="209">
        <f>IF($P131="","",INDEX('_Datos'!$K$7:$K$200,$P131))</f>
      </c>
      <c r="I131" s="209">
        <f>IF($P131="","",INDEX('_Datos'!$S$7:$S$200,$P131))</f>
      </c>
      <c r="J131" s="209">
        <f>IF($P131="","",INDEX('_Datos'!$T$7:$T$200,$P131))</f>
      </c>
      <c r="K131" s="208">
        <f>IF($P131="","",INDEX('_Datos'!$V$7:$V$200,$P131))</f>
      </c>
      <c r="L131" s="209">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7">
        <f>IF($P132="","",INDEX('_Datos'!$H$7:$H$200,$P132))</f>
      </c>
      <c r="G132" s="204">
        <f>IF($P132="","",INDEX('_Datos'!$J$7:$J$200,$P132))</f>
      </c>
      <c r="H132" s="209">
        <f>IF($P132="","",INDEX('_Datos'!$K$7:$K$200,$P132))</f>
      </c>
      <c r="I132" s="209">
        <f>IF($P132="","",INDEX('_Datos'!$S$7:$S$200,$P132))</f>
      </c>
      <c r="J132" s="209">
        <f>IF($P132="","",INDEX('_Datos'!$T$7:$T$200,$P132))</f>
      </c>
      <c r="K132" s="208">
        <f>IF($P132="","",INDEX('_Datos'!$V$7:$V$200,$P132))</f>
      </c>
      <c r="L132" s="209">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7">
        <f>IF($P133="","",INDEX('_Datos'!$H$7:$H$200,$P133))</f>
      </c>
      <c r="G133" s="204">
        <f>IF($P133="","",INDEX('_Datos'!$J$7:$J$200,$P133))</f>
      </c>
      <c r="H133" s="209">
        <f>IF($P133="","",INDEX('_Datos'!$K$7:$K$200,$P133))</f>
      </c>
      <c r="I133" s="209">
        <f>IF($P133="","",INDEX('_Datos'!$S$7:$S$200,$P133))</f>
      </c>
      <c r="J133" s="209">
        <f>IF($P133="","",INDEX('_Datos'!$T$7:$T$200,$P133))</f>
      </c>
      <c r="K133" s="208">
        <f>IF($P133="","",INDEX('_Datos'!$V$7:$V$200,$P133))</f>
      </c>
      <c r="L133" s="209">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7">
        <f>IF($P134="","",INDEX('_Datos'!$H$7:$H$200,$P134))</f>
      </c>
      <c r="G134" s="204">
        <f>IF($P134="","",INDEX('_Datos'!$J$7:$J$200,$P134))</f>
      </c>
      <c r="H134" s="209">
        <f>IF($P134="","",INDEX('_Datos'!$K$7:$K$200,$P134))</f>
      </c>
      <c r="I134" s="209">
        <f>IF($P134="","",INDEX('_Datos'!$S$7:$S$200,$P134))</f>
      </c>
      <c r="J134" s="209">
        <f>IF($P134="","",INDEX('_Datos'!$T$7:$T$200,$P134))</f>
      </c>
      <c r="K134" s="208">
        <f>IF($P134="","",INDEX('_Datos'!$V$7:$V$200,$P134))</f>
      </c>
      <c r="L134" s="209">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7">
        <f>IF($P135="","",INDEX('_Datos'!$H$7:$H$200,$P135))</f>
      </c>
      <c r="G135" s="204">
        <f>IF($P135="","",INDEX('_Datos'!$J$7:$J$200,$P135))</f>
      </c>
      <c r="H135" s="209">
        <f>IF($P135="","",INDEX('_Datos'!$K$7:$K$200,$P135))</f>
      </c>
      <c r="I135" s="209">
        <f>IF($P135="","",INDEX('_Datos'!$S$7:$S$200,$P135))</f>
      </c>
      <c r="J135" s="209">
        <f>IF($P135="","",INDEX('_Datos'!$T$7:$T$200,$P135))</f>
      </c>
      <c r="K135" s="208">
        <f>IF($P135="","",INDEX('_Datos'!$V$7:$V$200,$P135))</f>
      </c>
      <c r="L135" s="209">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7">
        <f>IF($P136="","",INDEX('_Datos'!$H$7:$H$200,$P136))</f>
      </c>
      <c r="G136" s="204">
        <f>IF($P136="","",INDEX('_Datos'!$J$7:$J$200,$P136))</f>
      </c>
      <c r="H136" s="209">
        <f>IF($P136="","",INDEX('_Datos'!$K$7:$K$200,$P136))</f>
      </c>
      <c r="I136" s="209">
        <f>IF($P136="","",INDEX('_Datos'!$S$7:$S$200,$P136))</f>
      </c>
      <c r="J136" s="209">
        <f>IF($P136="","",INDEX('_Datos'!$T$7:$T$200,$P136))</f>
      </c>
      <c r="K136" s="208">
        <f>IF($P136="","",INDEX('_Datos'!$V$7:$V$200,$P136))</f>
      </c>
      <c r="L136" s="209">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7">
        <f>IF($P137="","",INDEX('_Datos'!$H$7:$H$200,$P137))</f>
      </c>
      <c r="G137" s="204">
        <f>IF($P137="","",INDEX('_Datos'!$J$7:$J$200,$P137))</f>
      </c>
      <c r="H137" s="209">
        <f>IF($P137="","",INDEX('_Datos'!$K$7:$K$200,$P137))</f>
      </c>
      <c r="I137" s="209">
        <f>IF($P137="","",INDEX('_Datos'!$S$7:$S$200,$P137))</f>
      </c>
      <c r="J137" s="209">
        <f>IF($P137="","",INDEX('_Datos'!$T$7:$T$200,$P137))</f>
      </c>
      <c r="K137" s="208">
        <f>IF($P137="","",INDEX('_Datos'!$V$7:$V$200,$P137))</f>
      </c>
      <c r="L137" s="209">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7">
        <f>IF($P138="","",INDEX('_Datos'!$H$7:$H$200,$P138))</f>
      </c>
      <c r="G138" s="204">
        <f>IF($P138="","",INDEX('_Datos'!$J$7:$J$200,$P138))</f>
      </c>
      <c r="H138" s="209">
        <f>IF($P138="","",INDEX('_Datos'!$K$7:$K$200,$P138))</f>
      </c>
      <c r="I138" s="209">
        <f>IF($P138="","",INDEX('_Datos'!$S$7:$S$200,$P138))</f>
      </c>
      <c r="J138" s="209">
        <f>IF($P138="","",INDEX('_Datos'!$T$7:$T$200,$P138))</f>
      </c>
      <c r="K138" s="208">
        <f>IF($P138="","",INDEX('_Datos'!$V$7:$V$200,$P138))</f>
      </c>
      <c r="L138" s="209">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7">
        <f>IF($P139="","",INDEX('_Datos'!$H$7:$H$200,$P139))</f>
      </c>
      <c r="G139" s="204">
        <f>IF($P139="","",INDEX('_Datos'!$J$7:$J$200,$P139))</f>
      </c>
      <c r="H139" s="209">
        <f>IF($P139="","",INDEX('_Datos'!$K$7:$K$200,$P139))</f>
      </c>
      <c r="I139" s="209">
        <f>IF($P139="","",INDEX('_Datos'!$S$7:$S$200,$P139))</f>
      </c>
      <c r="J139" s="209">
        <f>IF($P139="","",INDEX('_Datos'!$T$7:$T$200,$P139))</f>
      </c>
      <c r="K139" s="208">
        <f>IF($P139="","",INDEX('_Datos'!$V$7:$V$200,$P139))</f>
      </c>
      <c r="L139" s="209">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7">
        <f>IF($P140="","",INDEX('_Datos'!$H$7:$H$200,$P140))</f>
      </c>
      <c r="G140" s="204">
        <f>IF($P140="","",INDEX('_Datos'!$J$7:$J$200,$P140))</f>
      </c>
      <c r="H140" s="209">
        <f>IF($P140="","",INDEX('_Datos'!$K$7:$K$200,$P140))</f>
      </c>
      <c r="I140" s="209">
        <f>IF($P140="","",INDEX('_Datos'!$S$7:$S$200,$P140))</f>
      </c>
      <c r="J140" s="209">
        <f>IF($P140="","",INDEX('_Datos'!$T$7:$T$200,$P140))</f>
      </c>
      <c r="K140" s="208">
        <f>IF($P140="","",INDEX('_Datos'!$V$7:$V$200,$P140))</f>
      </c>
      <c r="L140" s="209">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7">
        <f>IF($P141="","",INDEX('_Datos'!$H$7:$H$200,$P141))</f>
      </c>
      <c r="G141" s="204">
        <f>IF($P141="","",INDEX('_Datos'!$J$7:$J$200,$P141))</f>
      </c>
      <c r="H141" s="209">
        <f>IF($P141="","",INDEX('_Datos'!$K$7:$K$200,$P141))</f>
      </c>
      <c r="I141" s="209">
        <f>IF($P141="","",INDEX('_Datos'!$S$7:$S$200,$P141))</f>
      </c>
      <c r="J141" s="209">
        <f>IF($P141="","",INDEX('_Datos'!$T$7:$T$200,$P141))</f>
      </c>
      <c r="K141" s="208">
        <f>IF($P141="","",INDEX('_Datos'!$V$7:$V$200,$P141))</f>
      </c>
      <c r="L141" s="209">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7">
        <f>IF($P142="","",INDEX('_Datos'!$H$7:$H$200,$P142))</f>
      </c>
      <c r="G142" s="204">
        <f>IF($P142="","",INDEX('_Datos'!$J$7:$J$200,$P142))</f>
      </c>
      <c r="H142" s="209">
        <f>IF($P142="","",INDEX('_Datos'!$K$7:$K$200,$P142))</f>
      </c>
      <c r="I142" s="209">
        <f>IF($P142="","",INDEX('_Datos'!$S$7:$S$200,$P142))</f>
      </c>
      <c r="J142" s="209">
        <f>IF($P142="","",INDEX('_Datos'!$T$7:$T$200,$P142))</f>
      </c>
      <c r="K142" s="208">
        <f>IF($P142="","",INDEX('_Datos'!$V$7:$V$200,$P142))</f>
      </c>
      <c r="L142" s="209">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7">
        <f>IF($P143="","",INDEX('_Datos'!$H$7:$H$200,$P143))</f>
      </c>
      <c r="G143" s="204">
        <f>IF($P143="","",INDEX('_Datos'!$J$7:$J$200,$P143))</f>
      </c>
      <c r="H143" s="209">
        <f>IF($P143="","",INDEX('_Datos'!$K$7:$K$200,$P143))</f>
      </c>
      <c r="I143" s="209">
        <f>IF($P143="","",INDEX('_Datos'!$S$7:$S$200,$P143))</f>
      </c>
      <c r="J143" s="209">
        <f>IF($P143="","",INDEX('_Datos'!$T$7:$T$200,$P143))</f>
      </c>
      <c r="K143" s="208">
        <f>IF($P143="","",INDEX('_Datos'!$V$7:$V$200,$P143))</f>
      </c>
      <c r="L143" s="209">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7">
        <f>IF($P144="","",INDEX('_Datos'!$H$7:$H$200,$P144))</f>
      </c>
      <c r="G144" s="204">
        <f>IF($P144="","",INDEX('_Datos'!$J$7:$J$200,$P144))</f>
      </c>
      <c r="H144" s="209">
        <f>IF($P144="","",INDEX('_Datos'!$K$7:$K$200,$P144))</f>
      </c>
      <c r="I144" s="209">
        <f>IF($P144="","",INDEX('_Datos'!$S$7:$S$200,$P144))</f>
      </c>
      <c r="J144" s="209">
        <f>IF($P144="","",INDEX('_Datos'!$T$7:$T$200,$P144))</f>
      </c>
      <c r="K144" s="208">
        <f>IF($P144="","",INDEX('_Datos'!$V$7:$V$200,$P144))</f>
      </c>
      <c r="L144" s="209">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7">
        <f>IF($P145="","",INDEX('_Datos'!$H$7:$H$200,$P145))</f>
      </c>
      <c r="G145" s="204">
        <f>IF($P145="","",INDEX('_Datos'!$J$7:$J$200,$P145))</f>
      </c>
      <c r="H145" s="209">
        <f>IF($P145="","",INDEX('_Datos'!$K$7:$K$200,$P145))</f>
      </c>
      <c r="I145" s="209">
        <f>IF($P145="","",INDEX('_Datos'!$S$7:$S$200,$P145))</f>
      </c>
      <c r="J145" s="209">
        <f>IF($P145="","",INDEX('_Datos'!$T$7:$T$200,$P145))</f>
      </c>
      <c r="K145" s="208">
        <f>IF($P145="","",INDEX('_Datos'!$V$7:$V$200,$P145))</f>
      </c>
      <c r="L145" s="209">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7">
        <f>IF($P146="","",INDEX('_Datos'!$H$7:$H$200,$P146))</f>
      </c>
      <c r="G146" s="204">
        <f>IF($P146="","",INDEX('_Datos'!$J$7:$J$200,$P146))</f>
      </c>
      <c r="H146" s="209">
        <f>IF($P146="","",INDEX('_Datos'!$K$7:$K$200,$P146))</f>
      </c>
      <c r="I146" s="209">
        <f>IF($P146="","",INDEX('_Datos'!$S$7:$S$200,$P146))</f>
      </c>
      <c r="J146" s="209">
        <f>IF($P146="","",INDEX('_Datos'!$T$7:$T$200,$P146))</f>
      </c>
      <c r="K146" s="208">
        <f>IF($P146="","",INDEX('_Datos'!$V$7:$V$200,$P146))</f>
      </c>
      <c r="L146" s="209">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7">
        <f>IF($P147="","",INDEX('_Datos'!$H$7:$H$200,$P147))</f>
      </c>
      <c r="G147" s="204">
        <f>IF($P147="","",INDEX('_Datos'!$J$7:$J$200,$P147))</f>
      </c>
      <c r="H147" s="209">
        <f>IF($P147="","",INDEX('_Datos'!$K$7:$K$200,$P147))</f>
      </c>
      <c r="I147" s="209">
        <f>IF($P147="","",INDEX('_Datos'!$S$7:$S$200,$P147))</f>
      </c>
      <c r="J147" s="209">
        <f>IF($P147="","",INDEX('_Datos'!$T$7:$T$200,$P147))</f>
      </c>
      <c r="K147" s="208">
        <f>IF($P147="","",INDEX('_Datos'!$V$7:$V$200,$P147))</f>
      </c>
      <c r="L147" s="209">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7">
        <f>IF($P148="","",INDEX('_Datos'!$H$7:$H$200,$P148))</f>
      </c>
      <c r="G148" s="204">
        <f>IF($P148="","",INDEX('_Datos'!$J$7:$J$200,$P148))</f>
      </c>
      <c r="H148" s="209">
        <f>IF($P148="","",INDEX('_Datos'!$K$7:$K$200,$P148))</f>
      </c>
      <c r="I148" s="209">
        <f>IF($P148="","",INDEX('_Datos'!$S$7:$S$200,$P148))</f>
      </c>
      <c r="J148" s="209">
        <f>IF($P148="","",INDEX('_Datos'!$T$7:$T$200,$P148))</f>
      </c>
      <c r="K148" s="208">
        <f>IF($P148="","",INDEX('_Datos'!$V$7:$V$200,$P148))</f>
      </c>
      <c r="L148" s="209">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7">
        <f>IF($P149="","",INDEX('_Datos'!$H$7:$H$200,$P149))</f>
      </c>
      <c r="G149" s="204">
        <f>IF($P149="","",INDEX('_Datos'!$J$7:$J$200,$P149))</f>
      </c>
      <c r="H149" s="209">
        <f>IF($P149="","",INDEX('_Datos'!$K$7:$K$200,$P149))</f>
      </c>
      <c r="I149" s="209">
        <f>IF($P149="","",INDEX('_Datos'!$S$7:$S$200,$P149))</f>
      </c>
      <c r="J149" s="209">
        <f>IF($P149="","",INDEX('_Datos'!$T$7:$T$200,$P149))</f>
      </c>
      <c r="K149" s="208">
        <f>IF($P149="","",INDEX('_Datos'!$V$7:$V$200,$P149))</f>
      </c>
      <c r="L149" s="209">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7">
        <f>IF($P150="","",INDEX('_Datos'!$H$7:$H$200,$P150))</f>
      </c>
      <c r="G150" s="204">
        <f>IF($P150="","",INDEX('_Datos'!$J$7:$J$200,$P150))</f>
      </c>
      <c r="H150" s="209">
        <f>IF($P150="","",INDEX('_Datos'!$K$7:$K$200,$P150))</f>
      </c>
      <c r="I150" s="209">
        <f>IF($P150="","",INDEX('_Datos'!$S$7:$S$200,$P150))</f>
      </c>
      <c r="J150" s="209">
        <f>IF($P150="","",INDEX('_Datos'!$T$7:$T$200,$P150))</f>
      </c>
      <c r="K150" s="208">
        <f>IF($P150="","",INDEX('_Datos'!$V$7:$V$200,$P150))</f>
      </c>
      <c r="L150" s="209">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7">
        <f>IF($P151="","",INDEX('_Datos'!$H$7:$H$200,$P151))</f>
      </c>
      <c r="G151" s="204">
        <f>IF($P151="","",INDEX('_Datos'!$J$7:$J$200,$P151))</f>
      </c>
      <c r="H151" s="209">
        <f>IF($P151="","",INDEX('_Datos'!$K$7:$K$200,$P151))</f>
      </c>
      <c r="I151" s="209">
        <f>IF($P151="","",INDEX('_Datos'!$S$7:$S$200,$P151))</f>
      </c>
      <c r="J151" s="209">
        <f>IF($P151="","",INDEX('_Datos'!$T$7:$T$200,$P151))</f>
      </c>
      <c r="K151" s="208">
        <f>IF($P151="","",INDEX('_Datos'!$V$7:$V$200,$P151))</f>
      </c>
      <c r="L151" s="209">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7">
        <f>IF($P152="","",INDEX('_Datos'!$H$7:$H$200,$P152))</f>
      </c>
      <c r="G152" s="204">
        <f>IF($P152="","",INDEX('_Datos'!$J$7:$J$200,$P152))</f>
      </c>
      <c r="H152" s="209">
        <f>IF($P152="","",INDEX('_Datos'!$K$7:$K$200,$P152))</f>
      </c>
      <c r="I152" s="209">
        <f>IF($P152="","",INDEX('_Datos'!$S$7:$S$200,$P152))</f>
      </c>
      <c r="J152" s="209">
        <f>IF($P152="","",INDEX('_Datos'!$T$7:$T$200,$P152))</f>
      </c>
      <c r="K152" s="208">
        <f>IF($P152="","",INDEX('_Datos'!$V$7:$V$200,$P152))</f>
      </c>
      <c r="L152" s="209">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7">
        <f>IF($P153="","",INDEX('_Datos'!$H$7:$H$200,$P153))</f>
      </c>
      <c r="G153" s="204">
        <f>IF($P153="","",INDEX('_Datos'!$J$7:$J$200,$P153))</f>
      </c>
      <c r="H153" s="209">
        <f>IF($P153="","",INDEX('_Datos'!$K$7:$K$200,$P153))</f>
      </c>
      <c r="I153" s="209">
        <f>IF($P153="","",INDEX('_Datos'!$S$7:$S$200,$P153))</f>
      </c>
      <c r="J153" s="209">
        <f>IF($P153="","",INDEX('_Datos'!$T$7:$T$200,$P153))</f>
      </c>
      <c r="K153" s="208">
        <f>IF($P153="","",INDEX('_Datos'!$V$7:$V$200,$P153))</f>
      </c>
      <c r="L153" s="209">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7">
        <f>IF($P154="","",INDEX('_Datos'!$H$7:$H$200,$P154))</f>
      </c>
      <c r="G154" s="204">
        <f>IF($P154="","",INDEX('_Datos'!$J$7:$J$200,$P154))</f>
      </c>
      <c r="H154" s="209">
        <f>IF($P154="","",INDEX('_Datos'!$K$7:$K$200,$P154))</f>
      </c>
      <c r="I154" s="209">
        <f>IF($P154="","",INDEX('_Datos'!$S$7:$S$200,$P154))</f>
      </c>
      <c r="J154" s="209">
        <f>IF($P154="","",INDEX('_Datos'!$T$7:$T$200,$P154))</f>
      </c>
      <c r="K154" s="208">
        <f>IF($P154="","",INDEX('_Datos'!$V$7:$V$200,$P154))</f>
      </c>
      <c r="L154" s="209">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7">
        <f>IF($P155="","",INDEX('_Datos'!$H$7:$H$200,$P155))</f>
      </c>
      <c r="G155" s="204">
        <f>IF($P155="","",INDEX('_Datos'!$J$7:$J$200,$P155))</f>
      </c>
      <c r="H155" s="209">
        <f>IF($P155="","",INDEX('_Datos'!$K$7:$K$200,$P155))</f>
      </c>
      <c r="I155" s="209">
        <f>IF($P155="","",INDEX('_Datos'!$S$7:$S$200,$P155))</f>
      </c>
      <c r="J155" s="209">
        <f>IF($P155="","",INDEX('_Datos'!$T$7:$T$200,$P155))</f>
      </c>
      <c r="K155" s="208">
        <f>IF($P155="","",INDEX('_Datos'!$V$7:$V$200,$P155))</f>
      </c>
      <c r="L155" s="209">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7">
        <f>IF($P156="","",INDEX('_Datos'!$H$7:$H$200,$P156))</f>
      </c>
      <c r="G156" s="204">
        <f>IF($P156="","",INDEX('_Datos'!$J$7:$J$200,$P156))</f>
      </c>
      <c r="H156" s="209">
        <f>IF($P156="","",INDEX('_Datos'!$K$7:$K$200,$P156))</f>
      </c>
      <c r="I156" s="209">
        <f>IF($P156="","",INDEX('_Datos'!$S$7:$S$200,$P156))</f>
      </c>
      <c r="J156" s="209">
        <f>IF($P156="","",INDEX('_Datos'!$T$7:$T$200,$P156))</f>
      </c>
      <c r="K156" s="208">
        <f>IF($P156="","",INDEX('_Datos'!$V$7:$V$200,$P156))</f>
      </c>
      <c r="L156" s="209">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Q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c r="BE6" s="173" t="inlineStr">
        <is>
          <t xml:space="preserve">MotivoVal</t>
        </is>
      </c>
      <c r="BF6" s="173" t="inlineStr">
        <is>
          <t xml:space="preserve">MotivoFull</t>
        </is>
      </c>
      <c r="BG6" s="173" t="inlineStr">
        <is>
          <t xml:space="preserve">Completada</t>
        </is>
      </c>
      <c r="BH6" s="173" t="inlineStr">
        <is>
          <t xml:space="preserve">keyHist</t>
        </is>
      </c>
      <c r="BI6" s="173" t="inlineStr">
        <is>
          <t xml:space="preserve">AvanceSprint</t>
        </is>
      </c>
      <c r="BJ6" s="173" t="inlineStr">
        <is>
          <t xml:space="preserve">ModFirstRow</t>
        </is>
      </c>
      <c r="BK6" s="173" t="inlineStr">
        <is>
          <t xml:space="preserve">keyTGS</t>
        </is>
      </c>
      <c r="BL6" s="173" t="inlineStr">
        <is>
          <t xml:space="preserve">SemanaRel</t>
        </is>
      </c>
      <c r="BM6" s="173" t="inlineStr">
        <is>
          <t xml:space="preserve">SemanaLabel</t>
        </is>
      </c>
      <c r="BN6" s="173" t="inlineStr">
        <is>
          <t xml:space="preserve">instCount</t>
        </is>
      </c>
      <c r="BO6" s="173" t="inlineStr">
        <is>
          <t xml:space="preserve">cumStart</t>
        </is>
      </c>
      <c r="BP6" s="173" t="inlineStr">
        <is>
          <t xml:space="preserve">AVDate</t>
        </is>
      </c>
      <c r="BQ6" s="173" t="inlineStr">
        <is>
          <t xml:space="preserve">keyVigDate</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IF($C7,IF('Backlog General'!$G7="Completada",1,IF('Backlog General'!$G7="Casi lista",0.75,IF('Backlog General'!$G7="En progreso",0.5,IF('Backlog General'!$G7="Iniciada",0.25,0)))),"")</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IF($C7,IF(ISBLANK('Backlog General'!$K7),"",'Backlog General'!$K7),"")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IF(AND($C7,ISNUMBER($AR7)),IF(AND(ISNUMBER('Backlog General'!$M7),'Backlog General'!$M7&gt;=$AR7),'Backlog General'!$M7,IF(AND($AU7="Pasa al siguiente",$AT7&lt;&gt;"Completada"),$AR7+1,$AR7)),"")</f>
      </c>
      <c r="AW7" s="202">
        <f>IF(AND($C7,ISNUMBER($AR7)),$AQ7+$AR7*$AP7*'Sprints'!$D$5-'Sprints'!$D$5,"")</f>
      </c>
      <c r="AX7" s="202">
        <f>IF($C7,IF(OR($AT7="Completada",$AU7="Cancelado",$AU7="Baja prioridad",NOT(ISNUMBER($AW7))),0,IF(TODAY()&gt;$AW7,NETWORKDAYS($AW7,TODAY(),'Sprints'!$L$5:$L$40)-1,0)),"")</f>
      </c>
      <c r="AY7" s="203">
        <f>IF($C7,IF(NOT(ISNUMBER($AR7)),"Sin fecha",IF($AT7="Completada","Completada",IF($AU7="Cancelado","Cancelado",IF($AU7="Baja prioridad","Baja prioridad",IF($AX7&gt;0,"Vencida","En curso"))))),"")</f>
      </c>
      <c r="AZ7" s="203">
        <f>IF($C7,IF(ISNUMBER($AV7),$AO7&amp;" · S"&amp;$AV7,"(Sin fecha)"),"")</f>
      </c>
      <c r="BA7" s="202">
        <f>IF(AND($C7,ISNUMBER($AR7),$AR7=$AS7),"Nuevo","")</f>
      </c>
      <c r="BB7" s="202">
        <f>IF(AND($C7,$AO7="Semanal",ISNUMBER($AV7)),$AV7*100000+ROW(),"")</f>
      </c>
      <c r="BC7" s="202">
        <f>IF(AND($C7,$AO7="Quincenal",ISNUMBER($AV7)),$AV7*100000+ROW(),"")</f>
      </c>
      <c r="BD7" s="202">
        <f>IF(AND($C7,$AO7="Mensual",ISNUMBER($AV7)),$AV7*100000+ROW(),"")</f>
      </c>
      <c r="BE7" s="203">
        <f>IF($C7,IF(ISBLANK('Backlog General'!$J7),"",'Backlog General'!$J7),"")</f>
      </c>
      <c r="BF7" s="203">
        <f>IF($C7,IF($BE7="","",$BE7)&amp;IF(AND($BE7&lt;&gt;"",$AH7&lt;&gt;"")," · ","")&amp;IF($AH7="","",$AH7),"")</f>
      </c>
      <c r="BG7" s="203">
        <f>IF($C7,IF($J7="Completado","Sí","No"),"")</f>
      </c>
      <c r="BH7" s="202">
        <f>IF(AND($C7,ISNUMBER($AR7)),IF($AO7="Semanal",1,IF($AO7="Quincenal",2,3))*1000000000+$AR7*100000+ROW(),"")</f>
      </c>
      <c r="BI7" s="202">
        <f>IF($C7,IF($AU7="Cancelado","",$I7),"")</f>
      </c>
      <c r="BJ7" s="202">
        <f>IF($C7,IFERROR(MATCH($D7,$D$7:$D$200,0)+6,ROW()),"")</f>
      </c>
      <c r="BK7" s="202">
        <f>IF(AND($C7,ISNUMBER($AV7)),$BJ7*1000000+$AV7*1000+ROW(),"")</f>
      </c>
      <c r="BL7" s="202">
        <f>IF(AND($C7,ISNUMBER($AW7)),ROUND(($AW7-('Sprints'!$C$5+('Sprints'!$E$5-1)*'Sprints'!$D$5))/'Sprints'!$D$5,0),"")</f>
      </c>
      <c r="BM7" s="203">
        <f>IF($C7,IF(NOT(ISNUMBER($BL7)),"",IF($BL7&lt;0,"Pasada",IF($BL7=0,"Actual",IF($BL7=1,"Siguiente",IF($BL7=2,"+2 sem",IF($BL7=3,"+3 sem","Posterior")))))),"")</f>
      </c>
      <c r="BN7" s="202">
        <f>IF(AND($C7,ISNUMBER($AR7),ISNUMBER($AV7)),MAX(1,$AV7-$AR7+1),0)</f>
        <v>0</v>
      </c>
      <c r="BO7" s="202">
        <f>SUM($BN$7:$BN7)-$BN7</f>
        <v>0</v>
      </c>
      <c r="BP7" s="202">
        <f>IF(AND($C7,ISNUMBER($AV7)),$AQ7+$AV7*$AP7*'Sprints'!$D$5-'Sprints'!$D$5,"")</f>
      </c>
      <c r="BQ7" s="202">
        <f>IF(AND($C7,ISNUMBER($BP7)),$BP7*1000+ROW(),"")</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IF($C8,IF('Backlog General'!$G8="Completada",1,IF('Backlog General'!$G8="Casi lista",0.75,IF('Backlog General'!$G8="En progreso",0.5,IF('Backlog General'!$G8="Iniciada",0.25,0)))),"")</f>
        <v>0</v>
      </c>
      <c r="J8" s="203" t="str">
        <f>IF($C8,IF($I8&gt;=1,"Completado",IF(NOT(ISNUMBER($H8)),"Sin fecha",IF($H8&lt;TODAY(),"Vencido",IF(($H8-TODAY())&lt;='Entregas Próximas'!$M$3,"Próximo a vencer","En curso")))),"")</f>
        <v>Próximo a vencer</v>
      </c>
      <c r="K8" s="202">
        <f>IF(AND($C8,ISNUMBER($H8)),$H8-TODAY(),"")</f>
        <v>4</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c>
      <c r="R8" s="202">
        <f>IF($C8,IF(ISNUMBER('Proyecto Datos (OKR´s)'!$L8),'Proyecto Datos (OKR´s)'!$L8,$H8),"")</f>
        <v>46203</v>
      </c>
      <c r="S8" s="202">
        <f>IF($C8,$R8-'Proyecto Datos (OKR´s)'!$K8+1,"")</f>
        <v>246</v>
      </c>
      <c r="T8" s="202">
        <f>IF($C8,MAX(0,TODAY()-'Proyecto Datos (OKR´s)'!$K8),"")</f>
        <v>241</v>
      </c>
      <c r="U8" s="202">
        <f>IF($C8,MEDIAN(0,(TODAY()-'Proyecto Datos (OKR´s)'!$K8)/MAX(1,$R8-'Proyecto Datos (OKR´s)'!$K8),1),"")</f>
        <v>0.9836734693877551</v>
      </c>
      <c r="V8" s="202">
        <f>IF($C8,$I8-$U8,"")</f>
        <v>-0.9836734693877551</v>
      </c>
      <c r="W8" s="202">
        <f>IF($C8,IF(OR($J8="Completado",NOT(ISNUMBER($H8))),0,MAX(0,TODAY()-$H8)),"")</f>
        <v>0</v>
      </c>
      <c r="X8" s="202">
        <f>IF($C8,IF(ISNUMBER($H8),$R8-$H8,0),"")</f>
        <v>0</v>
      </c>
      <c r="Y8" s="202">
        <f>IF($C8,COUNTIFS($G$7:$G$200,$G8,$J$7:$J$200,"&lt;&gt;Completado",$J$7:$J$200,"&lt;&gt;"),"")</f>
        <v>0</v>
      </c>
      <c r="Z8" s="202" t="b">
        <f>IF($C8,AND($I8=0,'Proyecto Datos (OKR´s)'!$K8&lt;=TODAY(),$J8&lt;&gt;"Completado"),"")</f>
        <v>1</v>
      </c>
      <c r="AA8" s="202">
        <f>IF($C8,ROUND(100*(0.35*$AK8+0.3*$AL8+0.2*$AM8+0.15*MEDIAN(0,($Y8-4)/8,1)),0),"")</f>
        <v>74</v>
      </c>
      <c r="AB8" s="203" t="str">
        <f>IF($C8,IF(OR($J8="Completado",$J8="Sin fecha"),"—",IF($AA8&gt;=70,"Crítica",IF($AA8&gt;=45,"Alta",IF($AA8&gt;=25,"Media","Baja")))),"")</f>
        <v>Crítica</v>
      </c>
      <c r="AC8" s="203" t="str">
        <f>IF($C8,IF(LEN(TRIM($AN8))=0,"—",TRIM($AN8)),"")</f>
        <v>ATRASO BLOQUEO</v>
      </c>
      <c r="AD8" s="202">
        <f>IF($C8,$AV8,"")</f>
        <v>1</v>
      </c>
      <c r="AE8" s="202" t="str">
        <f>IF($C8,$AZ8,"")</f>
        <v>Mensual · S1</v>
      </c>
      <c r="AF8" s="202" t="b">
        <f>IF($C8,$AV8&lt;&gt;$AR8,FALSE)</f>
        <v>0</v>
      </c>
      <c r="AG8" s="202">
        <f>IF($C8,IF($AV8&lt;&gt;$AR8,$AW8,""),"")</f>
      </c>
      <c r="AH8" s="203">
        <f>IF($C8,IF(ISBLANK('Backlog General'!$K8),"",'Backlog General'!$K8),"")</f>
      </c>
      <c r="AI8" s="202">
        <f>IF($C8,$AV8*100000+ROW(),"")</f>
        <v>100008</v>
      </c>
      <c r="AJ8" s="202">
        <f>IF(AND($C8,ISNUMBER($H8)),$AA8*1000000-MEDIAN(-9999,$K8,9999)*100+(300-ROW()),"")</f>
        <v>73999892</v>
      </c>
      <c r="AK8" s="202">
        <f>IF($C8,IF($J8="Completado",0,IF($K8&lt;0,1,IF($K8&lt;=3,0.9,IF($K8&lt;=7,0.7,IF($K8&lt;=14,0.45,0.2))))),"")</f>
        <v>0.7</v>
      </c>
      <c r="AL8" s="202">
        <f>IF($C8,IF($J8="Completado",0,MEDIAN(0,MAX(-$V8,$W8/30),1)),"")</f>
        <v>0.9836734693877551</v>
      </c>
      <c r="AM8" s="202">
        <f>IF($C8,IF($J8="Completado",0,IF($Z8,1,IF(AND($I8&lt;0.5,$K8&lt;=7),0.7,0.3))),"")</f>
        <v>1</v>
      </c>
      <c r="AN8" s="203" t="str">
        <f>IF($C8,IF(OR($V8&lt;-0.2,$W8&gt;0),"ATRASO ","")&amp;IF($Z8,"BLOQUEO ","")&amp;IF($Y8&gt;8,"SOBRECARGA ","")&amp;IF($X8&gt;0,"DESVÍO-PLAN ",""),"")</f>
        <v>ATRASO BLOQUEO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t="str">
        <f>IF($C8,'Backlog General'!$G8,"")</f>
        <v>Pendiente</v>
      </c>
      <c r="AU8" s="203">
        <f>IF($C8,'Backlog General'!$H8,"")</f>
        <v>0</v>
      </c>
      <c r="AV8" s="202">
        <f>IF(AND($C8,ISNUMBER($AR8)),IF(AND(ISNUMBER('Backlog General'!$M8),'Backlog General'!$M8&gt;=$AR8),'Backlog General'!$M8,IF(AND($AU8="Pasa al siguiente",$AT8&lt;&gt;"Completada"),$AR8+1,$AR8)),"")</f>
        <v>1</v>
      </c>
      <c r="AW8" s="202">
        <f>IF(AND($C8,ISNUMBER($AR8)),$AQ8+$AR8*$AP8*'Sprints'!$D$5-'Sprints'!$D$5,"")</f>
        <v>46213</v>
      </c>
      <c r="AX8" s="202">
        <f>IF($C8,IF(OR($AT8="Completada",$AU8="Cancelado",$AU8="Baja prioridad",NOT(ISNUMBER($AW8))),0,IF(TODAY()&gt;$AW8,NETWORKDAYS($AW8,TODAY(),'Sprints'!$L$5:$L$40)-1,0)),"")</f>
        <v>0</v>
      </c>
      <c r="AY8" s="203" t="str">
        <f>IF($C8,IF(NOT(ISNUMBER($AR8)),"Sin fecha",IF($AT8="Completada","Completada",IF($AU8="Cancelado","Cancelado",IF($AU8="Baja prioridad","Baja prioridad",IF($AX8&gt;0,"Vencida","En curso"))))),"")</f>
        <v>En curso</v>
      </c>
      <c r="AZ8" s="203" t="str">
        <f>IF($C8,IF(ISNUMBER($AV8),$AO8&amp;" · S"&amp;$AV8,"(Sin fecha)"),"")</f>
        <v>Mensual · S1</v>
      </c>
      <c r="BA8" s="202" t="str">
        <f>IF(AND($C8,ISNUMBER($AR8),$AR8=$AS8),"Nuevo","")</f>
        <v>Nuevo</v>
      </c>
      <c r="BB8" s="202">
        <f>IF(AND($C8,$AO8="Semanal",ISNUMBER($AV8)),$AV8*100000+ROW(),"")</f>
      </c>
      <c r="BC8" s="202">
        <f>IF(AND($C8,$AO8="Quincenal",ISNUMBER($AV8)),$AV8*100000+ROW(),"")</f>
      </c>
      <c r="BD8" s="202">
        <f>IF(AND($C8,$AO8="Mensual",ISNUMBER($AV8)),$AV8*100000+ROW(),"")</f>
        <v>100008</v>
      </c>
      <c r="BE8" s="203">
        <f>IF($C8,IF(ISBLANK('Backlog General'!$J8),"",'Backlog General'!$J8),"")</f>
      </c>
      <c r="BF8" s="203">
        <f>IF($C8,IF($BE8="","",$BE8)&amp;IF(AND($BE8&lt;&gt;"",$AH8&lt;&gt;"")," · ","")&amp;IF($AH8="","",$AH8),"")</f>
      </c>
      <c r="BG8" s="203" t="str">
        <f>IF($C8,IF($J8="Completado","Sí","No"),"")</f>
        <v>No</v>
      </c>
      <c r="BH8" s="202">
        <f>IF(AND($C8,ISNUMBER($AR8)),IF($AO8="Semanal",1,IF($AO8="Quincenal",2,3))*1000000000+$AR8*100000+ROW(),"")</f>
        <v>3000100008</v>
      </c>
      <c r="BI8" s="202">
        <f>IF($C8,IF($AU8="Cancelado","",$I8),"")</f>
        <v>0</v>
      </c>
      <c r="BJ8" s="202">
        <f>IF($C8,IFERROR(MATCH($D8,$D$7:$D$200,0)+6,ROW()),"")</f>
        <v>8</v>
      </c>
      <c r="BK8" s="202">
        <f>IF(AND($C8,ISNUMBER($AV8)),$BJ8*1000000+$AV8*1000+ROW(),"")</f>
        <v>8001008</v>
      </c>
      <c r="BL8" s="202">
        <f>IF(AND($C8,ISNUMBER($AW8)),ROUND(($AW8-('Sprints'!$C$5+('Sprints'!$E$5-1)*'Sprints'!$D$5))/'Sprints'!$D$5,0),"")</f>
        <v>2</v>
      </c>
      <c r="BM8" s="203" t="str">
        <f>IF($C8,IF(NOT(ISNUMBER($BL8)),"",IF($BL8&lt;0,"Pasada",IF($BL8=0,"Actual",IF($BL8=1,"Siguiente",IF($BL8=2,"+2 sem",IF($BL8=3,"+3 sem","Posterior")))))),"")</f>
        <v>+2 sem</v>
      </c>
      <c r="BN8" s="202">
        <f>IF(AND($C8,ISNUMBER($AR8),ISNUMBER($AV8)),MAX(1,$AV8-$AR8+1),0)</f>
        <v>1</v>
      </c>
      <c r="BO8" s="202">
        <f>SUM($BN$7:$BN8)-$BN8</f>
        <v>0</v>
      </c>
      <c r="BP8" s="202">
        <f>IF(AND($C8,ISNUMBER($AV8)),$AQ8+$AV8*$AP8*'Sprints'!$D$5-'Sprints'!$D$5,"")</f>
        <v>46213</v>
      </c>
      <c r="BQ8" s="202">
        <f>IF(AND($C8,ISNUMBER($BP8)),$BP8*1000+ROW(),"")</f>
        <v>46213008</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IF($C9,IF('Backlog General'!$G9="Completada",1,IF('Backlog General'!$G9="Casi lista",0.75,IF('Backlog General'!$G9="En progreso",0.5,IF('Backlog General'!$G9="Iniciada",0.25,0)))),"")</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IF($C9,IF(ISBLANK('Backlog General'!$K9),"",'Backlog General'!$K9),"")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IF(AND($C9,ISNUMBER($AR9)),IF(AND(ISNUMBER('Backlog General'!$M9),'Backlog General'!$M9&gt;=$AR9),'Backlog General'!$M9,IF(AND($AU9="Pasa al siguiente",$AT9&lt;&gt;"Completada"),$AR9+1,$AR9)),"")</f>
      </c>
      <c r="AW9" s="202">
        <f>IF(AND($C9,ISNUMBER($AR9)),$AQ9+$AR9*$AP9*'Sprints'!$D$5-'Sprints'!$D$5,"")</f>
      </c>
      <c r="AX9" s="202">
        <f>IF($C9,IF(OR($AT9="Completada",$AU9="Cancelado",$AU9="Baja prioridad",NOT(ISNUMBER($AW9))),0,IF(TODAY()&gt;$AW9,NETWORKDAYS($AW9,TODAY(),'Sprints'!$L$5:$L$40)-1,0)),"")</f>
      </c>
      <c r="AY9" s="203">
        <f>IF($C9,IF(NOT(ISNUMBER($AR9)),"Sin fecha",IF($AT9="Completada","Completada",IF($AU9="Cancelado","Cancelado",IF($AU9="Baja prioridad","Baja prioridad",IF($AX9&gt;0,"Vencida","En curso"))))),"")</f>
      </c>
      <c r="AZ9" s="203">
        <f>IF($C9,IF(ISNUMBER($AV9),$AO9&amp;" · S"&amp;$AV9,"(Sin fecha)"),"")</f>
      </c>
      <c r="BA9" s="202">
        <f>IF(AND($C9,ISNUMBER($AR9),$AR9=$AS9),"Nuevo","")</f>
      </c>
      <c r="BB9" s="202">
        <f>IF(AND($C9,$AO9="Semanal",ISNUMBER($AV9)),$AV9*100000+ROW(),"")</f>
      </c>
      <c r="BC9" s="202">
        <f>IF(AND($C9,$AO9="Quincenal",ISNUMBER($AV9)),$AV9*100000+ROW(),"")</f>
      </c>
      <c r="BD9" s="202">
        <f>IF(AND($C9,$AO9="Mensual",ISNUMBER($AV9)),$AV9*100000+ROW(),"")</f>
      </c>
      <c r="BE9" s="203">
        <f>IF($C9,IF(ISBLANK('Backlog General'!$J9),"",'Backlog General'!$J9),"")</f>
      </c>
      <c r="BF9" s="203">
        <f>IF($C9,IF($BE9="","",$BE9)&amp;IF(AND($BE9&lt;&gt;"",$AH9&lt;&gt;"")," · ","")&amp;IF($AH9="","",$AH9),"")</f>
      </c>
      <c r="BG9" s="203">
        <f>IF($C9,IF($J9="Completado","Sí","No"),"")</f>
      </c>
      <c r="BH9" s="202">
        <f>IF(AND($C9,ISNUMBER($AR9)),IF($AO9="Semanal",1,IF($AO9="Quincenal",2,3))*1000000000+$AR9*100000+ROW(),"")</f>
      </c>
      <c r="BI9" s="202">
        <f>IF($C9,IF($AU9="Cancelado","",$I9),"")</f>
      </c>
      <c r="BJ9" s="202">
        <f>IF($C9,IFERROR(MATCH($D9,$D$7:$D$200,0)+6,ROW()),"")</f>
      </c>
      <c r="BK9" s="202">
        <f>IF(AND($C9,ISNUMBER($AV9)),$BJ9*1000000+$AV9*1000+ROW(),"")</f>
      </c>
      <c r="BL9" s="202">
        <f>IF(AND($C9,ISNUMBER($AW9)),ROUND(($AW9-('Sprints'!$C$5+('Sprints'!$E$5-1)*'Sprints'!$D$5))/'Sprints'!$D$5,0),"")</f>
      </c>
      <c r="BM9" s="203">
        <f>IF($C9,IF(NOT(ISNUMBER($BL9)),"",IF($BL9&lt;0,"Pasada",IF($BL9=0,"Actual",IF($BL9=1,"Siguiente",IF($BL9=2,"+2 sem",IF($BL9=3,"+3 sem","Posterior")))))),"")</f>
      </c>
      <c r="BN9" s="202">
        <f>IF(AND($C9,ISNUMBER($AR9),ISNUMBER($AV9)),MAX(1,$AV9-$AR9+1),0)</f>
        <v>0</v>
      </c>
      <c r="BO9" s="202">
        <f>SUM($BN$7:$BN9)-$BN9</f>
        <v>1</v>
      </c>
      <c r="BP9" s="202">
        <f>IF(AND($C9,ISNUMBER($AV9)),$AQ9+$AV9*$AP9*'Sprints'!$D$5-'Sprints'!$D$5,"")</f>
      </c>
      <c r="BQ9" s="202">
        <f>IF(AND($C9,ISNUMBER($BP9)),$BP9*1000+ROW(),"")</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IF($C10,IF('Backlog General'!$G10="Completada",1,IF('Backlog General'!$G10="Casi lista",0.75,IF('Backlog General'!$G10="En progreso",0.5,IF('Backlog General'!$G10="Iniciada",0.25,0)))),"")</f>
        <v>1</v>
      </c>
      <c r="J10" s="203" t="str">
        <f>IF($C10,IF($I10&gt;=1,"Completado",IF(NOT(ISNUMBER($H10)),"Sin fecha",IF($H10&lt;TODAY(),"Vencido",IF(($H10-TODAY())&lt;='Entregas Próximas'!$M$3,"Próximo a vencer","En curso")))),"")</f>
        <v>Completado</v>
      </c>
      <c r="K10" s="202">
        <f>IF(AND($C10,ISNUMBER($H10)),$H10-TODAY(),"")</f>
        <v>-7</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241</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IF($C10,IF(ISBLANK('Backlog General'!$K10),"",'Backlog General'!$K10),"")</f>
      </c>
      <c r="AI10" s="202">
        <f>IF($C10,$AV10*100000+ROW(),"")</f>
        <v>100010</v>
      </c>
      <c r="AJ10" s="202">
        <f>IF(AND($C10,ISNUMBER($H10)),$AA10*1000000-MEDIAN(-9999,$K10,9999)*100+(300-ROW()),"")</f>
        <v>990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t="str">
        <f>IF($C10,'Backlog General'!$G10,"")</f>
        <v>Completada</v>
      </c>
      <c r="AU10" s="203">
        <f>IF($C10,'Backlog General'!$H10,"")</f>
        <v>0</v>
      </c>
      <c r="AV10" s="202">
        <f>IF(AND($C10,ISNUMBER($AR10)),IF(AND(ISNUMBER('Backlog General'!$M10),'Backlog General'!$M10&gt;=$AR10),'Backlog General'!$M10,IF(AND($AU10="Pasa al siguiente",$AT10&lt;&gt;"Completada"),$AR10+1,$AR10)),"")</f>
        <v>1</v>
      </c>
      <c r="AW10" s="202">
        <f>IF(AND($C10,ISNUMBER($AR10)),$AQ10+$AR10*$AP10*'Sprints'!$D$5-'Sprints'!$D$5,"")</f>
        <v>46199</v>
      </c>
      <c r="AX10" s="202">
        <f>IF($C10,IF(OR($AT10="Completada",$AU10="Cancelado",$AU10="Baja prioridad",NOT(ISNUMBER($AW10))),0,IF(TODAY()&gt;$AW10,NETWORKDAYS($AW10,TODAY(),'Sprints'!$L$5:$L$40)-1,0)),"")</f>
        <v>0</v>
      </c>
      <c r="AY10" s="203" t="str">
        <f>IF($C10,IF(NOT(ISNUMBER($AR10)),"Sin fecha",IF($AT10="Completada","Completada",IF($AU10="Cancelado","Cancelado",IF($AU10="Baja prioridad","Baja prioridad",IF($AX10&gt;0,"Vencida","En curso"))))),"")</f>
        <v>Completada</v>
      </c>
      <c r="AZ10" s="203" t="str">
        <f>IF($C10,IF(ISNUMBER($AV10),$AO10&amp;" · S"&amp;$AV10,"(Sin fecha)"),"")</f>
        <v>Quincenal · S1</v>
      </c>
      <c r="BA10" s="202" t="str">
        <f>IF(AND($C10,ISNUMBER($AR10),$AR10=$AS10),"Nuevo","")</f>
        <v>Nuevo</v>
      </c>
      <c r="BB10" s="202">
        <f>IF(AND($C10,$AO10="Semanal",ISNUMBER($AV10)),$AV10*100000+ROW(),"")</f>
      </c>
      <c r="BC10" s="202">
        <f>IF(AND($C10,$AO10="Quincenal",ISNUMBER($AV10)),$AV10*100000+ROW(),"")</f>
        <v>100010</v>
      </c>
      <c r="BD10" s="202">
        <f>IF(AND($C10,$AO10="Mensual",ISNUMBER($AV10)),$AV10*100000+ROW(),"")</f>
      </c>
      <c r="BE10" s="203">
        <f>IF($C10,IF(ISBLANK('Backlog General'!$J10),"",'Backlog General'!$J10),"")</f>
      </c>
      <c r="BF10" s="203">
        <f>IF($C10,IF($BE10="","",$BE10)&amp;IF(AND($BE10&lt;&gt;"",$AH10&lt;&gt;"")," · ","")&amp;IF($AH10="","",$AH10),"")</f>
      </c>
      <c r="BG10" s="203" t="str">
        <f>IF($C10,IF($J10="Completado","Sí","No"),"")</f>
        <v>Sí</v>
      </c>
      <c r="BH10" s="202">
        <f>IF(AND($C10,ISNUMBER($AR10)),IF($AO10="Semanal",1,IF($AO10="Quincenal",2,3))*1000000000+$AR10*100000+ROW(),"")</f>
        <v>2000100010</v>
      </c>
      <c r="BI10" s="202">
        <f>IF($C10,IF($AU10="Cancelado","",$I10),"")</f>
        <v>1</v>
      </c>
      <c r="BJ10" s="202">
        <f>IF($C10,IFERROR(MATCH($D10,$D$7:$D$200,0)+6,ROW()),"")</f>
        <v>10</v>
      </c>
      <c r="BK10" s="202">
        <f>IF(AND($C10,ISNUMBER($AV10)),$BJ10*1000000+$AV10*1000+ROW(),"")</f>
        <v>10001010</v>
      </c>
      <c r="BL10" s="202">
        <f>IF(AND($C10,ISNUMBER($AW10)),ROUND(($AW10-('Sprints'!$C$5+('Sprints'!$E$5-1)*'Sprints'!$D$5))/'Sprints'!$D$5,0),"")</f>
        <v>0</v>
      </c>
      <c r="BM10" s="203" t="str">
        <f>IF($C10,IF(NOT(ISNUMBER($BL10)),"",IF($BL10&lt;0,"Pasada",IF($BL10=0,"Actual",IF($BL10=1,"Siguiente",IF($BL10=2,"+2 sem",IF($BL10=3,"+3 sem","Posterior")))))),"")</f>
        <v>Actual</v>
      </c>
      <c r="BN10" s="202">
        <f>IF(AND($C10,ISNUMBER($AR10),ISNUMBER($AV10)),MAX(1,$AV10-$AR10+1),0)</f>
        <v>1</v>
      </c>
      <c r="BO10" s="202">
        <f>SUM($BN$7:$BN10)-$BN10</f>
        <v>1</v>
      </c>
      <c r="BP10" s="202">
        <f>IF(AND($C10,ISNUMBER($AV10)),$AQ10+$AV10*$AP10*'Sprints'!$D$5-'Sprints'!$D$5,"")</f>
        <v>46199</v>
      </c>
      <c r="BQ10" s="202">
        <f>IF(AND($C10,ISNUMBER($BP10)),$BP10*1000+ROW(),"")</f>
        <v>46199010</v>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IF($C11,IF('Backlog General'!$G11="Completada",1,IF('Backlog General'!$G11="Casi lista",0.75,IF('Backlog General'!$G11="En progreso",0.5,IF('Backlog General'!$G11="Iniciada",0.25,0)))),"")</f>
        <v>0.75</v>
      </c>
      <c r="J11" s="203" t="str">
        <f>IF($C11,IF($I11&gt;=1,"Completado",IF(NOT(ISNUMBER($H11)),"Sin fecha",IF($H11&lt;TODAY(),"Vencido",IF(($H11-TODAY())&lt;='Entregas Próximas'!$M$3,"Próximo a vencer","En curso")))),"")</f>
        <v>Vencido</v>
      </c>
      <c r="K11" s="202">
        <f>IF(AND($C11,ISNUMBER($H11)),$H11-TODAY(),"")</f>
        <v>-7</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241</v>
      </c>
      <c r="U11" s="202">
        <f>IF($C11,MEDIAN(0,(TODAY()-'Proyecto Datos (OKR´s)'!$K11)/MAX(1,$R11-'Proyecto Datos (OKR´s)'!$K11),1),"")</f>
        <v>1</v>
      </c>
      <c r="V11" s="202">
        <f>IF($C11,$I11-$U11,"")</f>
        <v>-0.25</v>
      </c>
      <c r="W11" s="202">
        <f>IF($C11,IF(OR($J11="Completado",NOT(ISNUMBER($H11))),0,MAX(0,TODAY()-$H11)),"")</f>
        <v>7</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IF($C11,IF(ISBLANK('Backlog General'!$K11),"",'Backlog General'!$K11),"")</f>
      </c>
      <c r="AI11" s="202">
        <f>IF($C11,$AV11*100000+ROW(),"")</f>
        <v>100011</v>
      </c>
      <c r="AJ11" s="202">
        <f>IF(AND($C11,ISNUMBER($H11)),$AA11*1000000-MEDIAN(-9999,$K11,9999)*100+(300-ROW()),"")</f>
        <v>49000989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t="str">
        <f>IF($C11,'Backlog General'!$G11,"")</f>
        <v>Casi lista</v>
      </c>
      <c r="AU11" s="203">
        <f>IF($C11,'Backlog General'!$H11,"")</f>
        <v>0</v>
      </c>
      <c r="AV11" s="202">
        <f>IF(AND($C11,ISNUMBER($AR11)),IF(AND(ISNUMBER('Backlog General'!$M11),'Backlog General'!$M11&gt;=$AR11),'Backlog General'!$M11,IF(AND($AU11="Pasa al siguiente",$AT11&lt;&gt;"Completada"),$AR11+1,$AR11)),"")</f>
        <v>1</v>
      </c>
      <c r="AW11" s="202">
        <f>IF(AND($C11,ISNUMBER($AR11)),$AQ11+$AR11*$AP11*'Sprints'!$D$5-'Sprints'!$D$5,"")</f>
        <v>46199</v>
      </c>
      <c r="AX11" s="202">
        <f>IF($C11,IF(OR($AT11="Completada",$AU11="Cancelado",$AU11="Baja prioridad",NOT(ISNUMBER($AW11))),0,IF(TODAY()&gt;$AW11,NETWORKDAYS($AW11,TODAY(),'Sprints'!$L$5:$L$40)-1,0)),"")</f>
        <v>0</v>
      </c>
      <c r="AY11" s="203" t="str">
        <f>IF($C11,IF(NOT(ISNUMBER($AR11)),"Sin fecha",IF($AT11="Completada","Completada",IF($AU11="Cancelado","Cancelado",IF($AU11="Baja prioridad","Baja prioridad",IF($AX11&gt;0,"Vencida","En curso"))))),"")</f>
        <v>En curso</v>
      </c>
      <c r="AZ11" s="203" t="str">
        <f>IF($C11,IF(ISNUMBER($AV11),$AO11&amp;" · S"&amp;$AV11,"(Sin fecha)"),"")</f>
        <v>Quincenal · S1</v>
      </c>
      <c r="BA11" s="202" t="str">
        <f>IF(AND($C11,ISNUMBER($AR11),$AR11=$AS11),"Nuevo","")</f>
        <v>Nuevo</v>
      </c>
      <c r="BB11" s="202">
        <f>IF(AND($C11,$AO11="Semanal",ISNUMBER($AV11)),$AV11*100000+ROW(),"")</f>
      </c>
      <c r="BC11" s="202">
        <f>IF(AND($C11,$AO11="Quincenal",ISNUMBER($AV11)),$AV11*100000+ROW(),"")</f>
        <v>100011</v>
      </c>
      <c r="BD11" s="202">
        <f>IF(AND($C11,$AO11="Mensual",ISNUMBER($AV11)),$AV11*100000+ROW(),"")</f>
      </c>
      <c r="BE11" s="203">
        <f>IF($C11,IF(ISBLANK('Backlog General'!$J11),"",'Backlog General'!$J11),"")</f>
      </c>
      <c r="BF11" s="203">
        <f>IF($C11,IF($BE11="","",$BE11)&amp;IF(AND($BE11&lt;&gt;"",$AH11&lt;&gt;"")," · ","")&amp;IF($AH11="","",$AH11),"")</f>
      </c>
      <c r="BG11" s="203" t="str">
        <f>IF($C11,IF($J11="Completado","Sí","No"),"")</f>
        <v>No</v>
      </c>
      <c r="BH11" s="202">
        <f>IF(AND($C11,ISNUMBER($AR11)),IF($AO11="Semanal",1,IF($AO11="Quincenal",2,3))*1000000000+$AR11*100000+ROW(),"")</f>
        <v>2000100011</v>
      </c>
      <c r="BI11" s="202">
        <f>IF($C11,IF($AU11="Cancelado","",$I11),"")</f>
        <v>0.75</v>
      </c>
      <c r="BJ11" s="202">
        <f>IF($C11,IFERROR(MATCH($D11,$D$7:$D$200,0)+6,ROW()),"")</f>
        <v>10</v>
      </c>
      <c r="BK11" s="202">
        <f>IF(AND($C11,ISNUMBER($AV11)),$BJ11*1000000+$AV11*1000+ROW(),"")</f>
        <v>10001011</v>
      </c>
      <c r="BL11" s="202">
        <f>IF(AND($C11,ISNUMBER($AW11)),ROUND(($AW11-('Sprints'!$C$5+('Sprints'!$E$5-1)*'Sprints'!$D$5))/'Sprints'!$D$5,0),"")</f>
        <v>0</v>
      </c>
      <c r="BM11" s="203" t="str">
        <f>IF($C11,IF(NOT(ISNUMBER($BL11)),"",IF($BL11&lt;0,"Pasada",IF($BL11=0,"Actual",IF($BL11=1,"Siguiente",IF($BL11=2,"+2 sem",IF($BL11=3,"+3 sem","Posterior")))))),"")</f>
        <v>Actual</v>
      </c>
      <c r="BN11" s="202">
        <f>IF(AND($C11,ISNUMBER($AR11),ISNUMBER($AV11)),MAX(1,$AV11-$AR11+1),0)</f>
        <v>1</v>
      </c>
      <c r="BO11" s="202">
        <f>SUM($BN$7:$BN11)-$BN11</f>
        <v>2</v>
      </c>
      <c r="BP11" s="202">
        <f>IF(AND($C11,ISNUMBER($AV11)),$AQ11+$AV11*$AP11*'Sprints'!$D$5-'Sprints'!$D$5,"")</f>
        <v>46199</v>
      </c>
      <c r="BQ11" s="202">
        <f>IF(AND($C11,ISNUMBER($BP11)),$BP11*1000+ROW(),"")</f>
        <v>46199011</v>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IF($C12,IF('Backlog General'!$G12="Completada",1,IF('Backlog General'!$G12="Casi lista",0.75,IF('Backlog General'!$G12="En progreso",0.5,IF('Backlog General'!$G12="Iniciada",0.25,0)))),"")</f>
        <v>0.75</v>
      </c>
      <c r="J12" s="203" t="str">
        <f>IF($C12,IF($I12&gt;=1,"Completado",IF(NOT(ISNUMBER($H12)),"Sin fecha",IF($H12&lt;TODAY(),"Vencido",IF(($H12-TODAY())&lt;='Entregas Próximas'!$M$3,"Próximo a vencer","En curso")))),"")</f>
        <v>Vencido</v>
      </c>
      <c r="K12" s="202">
        <f>IF(AND($C12,ISNUMBER($H12)),$H12-TODAY(),"")</f>
        <v>-7</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221</v>
      </c>
      <c r="U12" s="202">
        <f>IF($C12,MEDIAN(0,(TODAY()-'Proyecto Datos (OKR´s)'!$K12)/MAX(1,$R12-'Proyecto Datos (OKR´s)'!$K12),1),"")</f>
        <v>1</v>
      </c>
      <c r="V12" s="202">
        <f>IF($C12,$I12-$U12,"")</f>
        <v>-0.25</v>
      </c>
      <c r="W12" s="202">
        <f>IF($C12,IF(OR($J12="Completado",NOT(ISNUMBER($H12))),0,MAX(0,TODAY()-$H12)),"")</f>
        <v>7</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IF($C12,IF(ISBLANK('Backlog General'!$K12),"",'Backlog General'!$K12),"")</f>
      </c>
      <c r="AI12" s="202">
        <f>IF($C12,$AV12*100000+ROW(),"")</f>
        <v>100012</v>
      </c>
      <c r="AJ12" s="202">
        <f>IF(AND($C12,ISNUMBER($H12)),$AA12*1000000-MEDIAN(-9999,$K12,9999)*100+(300-ROW()),"")</f>
        <v>49000988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t="str">
        <f>IF($C12,'Backlog General'!$G12,"")</f>
        <v>Casi lista</v>
      </c>
      <c r="AU12" s="203">
        <f>IF($C12,'Backlog General'!$H12,"")</f>
        <v>0</v>
      </c>
      <c r="AV12" s="202">
        <f>IF(AND($C12,ISNUMBER($AR12)),IF(AND(ISNUMBER('Backlog General'!$M12),'Backlog General'!$M12&gt;=$AR12),'Backlog General'!$M12,IF(AND($AU12="Pasa al siguiente",$AT12&lt;&gt;"Completada"),$AR12+1,$AR12)),"")</f>
        <v>1</v>
      </c>
      <c r="AW12" s="202">
        <f>IF(AND($C12,ISNUMBER($AR12)),$AQ12+$AR12*$AP12*'Sprints'!$D$5-'Sprints'!$D$5,"")</f>
        <v>46199</v>
      </c>
      <c r="AX12" s="202">
        <f>IF($C12,IF(OR($AT12="Completada",$AU12="Cancelado",$AU12="Baja prioridad",NOT(ISNUMBER($AW12))),0,IF(TODAY()&gt;$AW12,NETWORKDAYS($AW12,TODAY(),'Sprints'!$L$5:$L$40)-1,0)),"")</f>
        <v>0</v>
      </c>
      <c r="AY12" s="203" t="str">
        <f>IF($C12,IF(NOT(ISNUMBER($AR12)),"Sin fecha",IF($AT12="Completada","Completada",IF($AU12="Cancelado","Cancelado",IF($AU12="Baja prioridad","Baja prioridad",IF($AX12&gt;0,"Vencida","En curso"))))),"")</f>
        <v>En curso</v>
      </c>
      <c r="AZ12" s="203" t="str">
        <f>IF($C12,IF(ISNUMBER($AV12),$AO12&amp;" · S"&amp;$AV12,"(Sin fecha)"),"")</f>
        <v>Quincenal · S1</v>
      </c>
      <c r="BA12" s="202" t="str">
        <f>IF(AND($C12,ISNUMBER($AR12),$AR12=$AS12),"Nuevo","")</f>
        <v>Nuevo</v>
      </c>
      <c r="BB12" s="202">
        <f>IF(AND($C12,$AO12="Semanal",ISNUMBER($AV12)),$AV12*100000+ROW(),"")</f>
      </c>
      <c r="BC12" s="202">
        <f>IF(AND($C12,$AO12="Quincenal",ISNUMBER($AV12)),$AV12*100000+ROW(),"")</f>
        <v>100012</v>
      </c>
      <c r="BD12" s="202">
        <f>IF(AND($C12,$AO12="Mensual",ISNUMBER($AV12)),$AV12*100000+ROW(),"")</f>
      </c>
      <c r="BE12" s="203">
        <f>IF($C12,IF(ISBLANK('Backlog General'!$J12),"",'Backlog General'!$J12),"")</f>
      </c>
      <c r="BF12" s="203">
        <f>IF($C12,IF($BE12="","",$BE12)&amp;IF(AND($BE12&lt;&gt;"",$AH12&lt;&gt;"")," · ","")&amp;IF($AH12="","",$AH12),"")</f>
      </c>
      <c r="BG12" s="203" t="str">
        <f>IF($C12,IF($J12="Completado","Sí","No"),"")</f>
        <v>No</v>
      </c>
      <c r="BH12" s="202">
        <f>IF(AND($C12,ISNUMBER($AR12)),IF($AO12="Semanal",1,IF($AO12="Quincenal",2,3))*1000000000+$AR12*100000+ROW(),"")</f>
        <v>2000100012</v>
      </c>
      <c r="BI12" s="202">
        <f>IF($C12,IF($AU12="Cancelado","",$I12),"")</f>
        <v>0.75</v>
      </c>
      <c r="BJ12" s="202">
        <f>IF($C12,IFERROR(MATCH($D12,$D$7:$D$200,0)+6,ROW()),"")</f>
        <v>10</v>
      </c>
      <c r="BK12" s="202">
        <f>IF(AND($C12,ISNUMBER($AV12)),$BJ12*1000000+$AV12*1000+ROW(),"")</f>
        <v>10001012</v>
      </c>
      <c r="BL12" s="202">
        <f>IF(AND($C12,ISNUMBER($AW12)),ROUND(($AW12-('Sprints'!$C$5+('Sprints'!$E$5-1)*'Sprints'!$D$5))/'Sprints'!$D$5,0),"")</f>
        <v>0</v>
      </c>
      <c r="BM12" s="203" t="str">
        <f>IF($C12,IF(NOT(ISNUMBER($BL12)),"",IF($BL12&lt;0,"Pasada",IF($BL12=0,"Actual",IF($BL12=1,"Siguiente",IF($BL12=2,"+2 sem",IF($BL12=3,"+3 sem","Posterior")))))),"")</f>
        <v>Actual</v>
      </c>
      <c r="BN12" s="202">
        <f>IF(AND($C12,ISNUMBER($AR12),ISNUMBER($AV12)),MAX(1,$AV12-$AR12+1),0)</f>
        <v>1</v>
      </c>
      <c r="BO12" s="202">
        <f>SUM($BN$7:$BN12)-$BN12</f>
        <v>3</v>
      </c>
      <c r="BP12" s="202">
        <f>IF(AND($C12,ISNUMBER($AV12)),$AQ12+$AV12*$AP12*'Sprints'!$D$5-'Sprints'!$D$5,"")</f>
        <v>46199</v>
      </c>
      <c r="BQ12" s="202">
        <f>IF(AND($C12,ISNUMBER($BP12)),$BP12*1000+ROW(),"")</f>
        <v>46199012</v>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IF($C13,IF('Backlog General'!$G13="Completada",1,IF('Backlog General'!$G13="Casi lista",0.75,IF('Backlog General'!$G13="En progreso",0.5,IF('Backlog General'!$G13="Iniciada",0.25,0)))),"")</f>
        <v>0.5</v>
      </c>
      <c r="J13" s="203" t="str">
        <f>IF($C13,IF($I13&gt;=1,"Completado",IF(NOT(ISNUMBER($H13)),"Sin fecha",IF($H13&lt;TODAY(),"Vencido",IF(($H13-TODAY())&lt;='Entregas Próximas'!$M$3,"Próximo a vencer","En curso")))),"")</f>
        <v>Vencido</v>
      </c>
      <c r="K13" s="202">
        <f>IF(AND($C13,ISNUMBER($H13)),$H13-TODAY(),"")</f>
        <v>-7</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7</v>
      </c>
      <c r="X13" s="202">
        <f>IF($C13,IF(ISNUMBER($H13),$R13-$H13,0),"")</f>
        <v>0</v>
      </c>
      <c r="Y13" s="202">
        <f>IF($C13,COUNTIFS($G$7:$G$200,$G13,$J$7:$J$200,"&lt;&gt;Completado",$J$7:$J$200,"&lt;&gt;"),"")</f>
        <v>0</v>
      </c>
      <c r="Z13" s="202" t="b">
        <f>IF($C13,AND($I13=0,'Proyecto Datos (OKR´s)'!$K13&lt;=TODAY(),$J13&lt;&gt;"Completado"),"")</f>
        <v>0</v>
      </c>
      <c r="AA13" s="202">
        <f>IF($C13,ROUND(100*(0.35*$AK13+0.3*$AL13+0.2*$AM13+0.15*MEDIAN(0,($Y13-4)/8,1)),0),"")</f>
        <v>48</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IF($C13,IF(ISBLANK('Backlog General'!$K13),"",'Backlog General'!$K13),"")</f>
      </c>
      <c r="AI13" s="202">
        <f>IF($C13,$AV13*100000+ROW(),"")</f>
        <v>100013</v>
      </c>
      <c r="AJ13" s="202">
        <f>IF(AND($C13,ISNUMBER($H13)),$AA13*1000000-MEDIAN(-9999,$K13,9999)*100+(300-ROW()),"")</f>
        <v>48000987</v>
      </c>
      <c r="AK13" s="202">
        <f>IF($C13,IF($J13="Completado",0,IF($K13&lt;0,1,IF($K13&lt;=3,0.9,IF($K13&lt;=7,0.7,IF($K13&lt;=14,0.45,0.2))))),"")</f>
        <v>1</v>
      </c>
      <c r="AL13" s="202">
        <f>IF($C13,IF($J13="Completado",0,MEDIAN(0,MAX(-$V13,$W13/30),1)),"")</f>
        <v>0.23333333333333334</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t="str">
        <f>IF($C13,'Backlog General'!$G13,"")</f>
        <v>En progreso</v>
      </c>
      <c r="AU13" s="203">
        <f>IF($C13,'Backlog General'!$H13,"")</f>
        <v>0</v>
      </c>
      <c r="AV13" s="202">
        <f>IF(AND($C13,ISNUMBER($AR13)),IF(AND(ISNUMBER('Backlog General'!$M13),'Backlog General'!$M13&gt;=$AR13),'Backlog General'!$M13,IF(AND($AU13="Pasa al siguiente",$AT13&lt;&gt;"Completada"),$AR13+1,$AR13)),"")</f>
        <v>1</v>
      </c>
      <c r="AW13" s="202">
        <f>IF(AND($C13,ISNUMBER($AR13)),$AQ13+$AR13*$AP13*'Sprints'!$D$5-'Sprints'!$D$5,"")</f>
        <v>46199</v>
      </c>
      <c r="AX13" s="202">
        <f>IF($C13,IF(OR($AT13="Completada",$AU13="Cancelado",$AU13="Baja prioridad",NOT(ISNUMBER($AW13))),0,IF(TODAY()&gt;$AW13,NETWORKDAYS($AW13,TODAY(),'Sprints'!$L$5:$L$40)-1,0)),"")</f>
        <v>0</v>
      </c>
      <c r="AY13" s="203" t="str">
        <f>IF($C13,IF(NOT(ISNUMBER($AR13)),"Sin fecha",IF($AT13="Completada","Completada",IF($AU13="Cancelado","Cancelado",IF($AU13="Baja prioridad","Baja prioridad",IF($AX13&gt;0,"Vencida","En curso"))))),"")</f>
        <v>En curso</v>
      </c>
      <c r="AZ13" s="203" t="str">
        <f>IF($C13,IF(ISNUMBER($AV13),$AO13&amp;" · S"&amp;$AV13,"(Sin fecha)"),"")</f>
        <v>Quincenal · S1</v>
      </c>
      <c r="BA13" s="202" t="str">
        <f>IF(AND($C13,ISNUMBER($AR13),$AR13=$AS13),"Nuevo","")</f>
        <v>Nuevo</v>
      </c>
      <c r="BB13" s="202">
        <f>IF(AND($C13,$AO13="Semanal",ISNUMBER($AV13)),$AV13*100000+ROW(),"")</f>
      </c>
      <c r="BC13" s="202">
        <f>IF(AND($C13,$AO13="Quincenal",ISNUMBER($AV13)),$AV13*100000+ROW(),"")</f>
        <v>100013</v>
      </c>
      <c r="BD13" s="202">
        <f>IF(AND($C13,$AO13="Mensual",ISNUMBER($AV13)),$AV13*100000+ROW(),"")</f>
      </c>
      <c r="BE13" s="203">
        <f>IF($C13,IF(ISBLANK('Backlog General'!$J13),"",'Backlog General'!$J13),"")</f>
      </c>
      <c r="BF13" s="203">
        <f>IF($C13,IF($BE13="","",$BE13)&amp;IF(AND($BE13&lt;&gt;"",$AH13&lt;&gt;"")," · ","")&amp;IF($AH13="","",$AH13),"")</f>
      </c>
      <c r="BG13" s="203" t="str">
        <f>IF($C13,IF($J13="Completado","Sí","No"),"")</f>
        <v>No</v>
      </c>
      <c r="BH13" s="202">
        <f>IF(AND($C13,ISNUMBER($AR13)),IF($AO13="Semanal",1,IF($AO13="Quincenal",2,3))*1000000000+$AR13*100000+ROW(),"")</f>
        <v>2000100013</v>
      </c>
      <c r="BI13" s="202">
        <f>IF($C13,IF($AU13="Cancelado","",$I13),"")</f>
        <v>0.5</v>
      </c>
      <c r="BJ13" s="202">
        <f>IF($C13,IFERROR(MATCH($D13,$D$7:$D$200,0)+6,ROW()),"")</f>
        <v>10</v>
      </c>
      <c r="BK13" s="202">
        <f>IF(AND($C13,ISNUMBER($AV13)),$BJ13*1000000+$AV13*1000+ROW(),"")</f>
        <v>10001013</v>
      </c>
      <c r="BL13" s="202">
        <f>IF(AND($C13,ISNUMBER($AW13)),ROUND(($AW13-('Sprints'!$C$5+('Sprints'!$E$5-1)*'Sprints'!$D$5))/'Sprints'!$D$5,0),"")</f>
        <v>0</v>
      </c>
      <c r="BM13" s="203" t="str">
        <f>IF($C13,IF(NOT(ISNUMBER($BL13)),"",IF($BL13&lt;0,"Pasada",IF($BL13=0,"Actual",IF($BL13=1,"Siguiente",IF($BL13=2,"+2 sem",IF($BL13=3,"+3 sem","Posterior")))))),"")</f>
        <v>Actual</v>
      </c>
      <c r="BN13" s="202">
        <f>IF(AND($C13,ISNUMBER($AR13),ISNUMBER($AV13)),MAX(1,$AV13-$AR13+1),0)</f>
        <v>1</v>
      </c>
      <c r="BO13" s="202">
        <f>SUM($BN$7:$BN13)-$BN13</f>
        <v>4</v>
      </c>
      <c r="BP13" s="202">
        <f>IF(AND($C13,ISNUMBER($AV13)),$AQ13+$AV13*$AP13*'Sprints'!$D$5-'Sprints'!$D$5,"")</f>
        <v>46199</v>
      </c>
      <c r="BQ13" s="202">
        <f>IF(AND($C13,ISNUMBER($BP13)),$BP13*1000+ROW(),"")</f>
        <v>46199013</v>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IF($C14,IF('Backlog General'!$G14="Completada",1,IF('Backlog General'!$G14="Casi lista",0.75,IF('Backlog General'!$G14="En progreso",0.5,IF('Backlog General'!$G14="Iniciada",0.25,0)))),"")</f>
        <v>0</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240</v>
      </c>
      <c r="U14" s="202">
        <f>IF($C14,MEDIAN(0,(TODAY()-'Proyecto Datos (OKR´s)'!$K14)/MAX(1,$R14-'Proyecto Datos (OKR´s)'!$K14),1),"")</f>
        <v>1</v>
      </c>
      <c r="V14" s="202">
        <f>IF($C14,$I14-$U14,"")</f>
        <v>-1</v>
      </c>
      <c r="W14" s="202">
        <f>IF($C14,IF(OR($J14="Completado",NOT(ISNUMBER($H14))),0,MAX(0,TODAY()-$H14)),"")</f>
        <v>0</v>
      </c>
      <c r="X14" s="202">
        <f>IF($C14,IF(ISNUMBER($H14),$R14-$H14,0),"")</f>
        <v>0</v>
      </c>
      <c r="Y14" s="202">
        <f>IF($C14,COUNTIFS($G$7:$G$200,$G14,$J$7:$J$200,"&lt;&gt;Completado",$J$7:$J$200,"&lt;&gt;"),"")</f>
        <v>0</v>
      </c>
      <c r="Z14" s="202" t="b">
        <f>IF($C14,AND($I14=0,'Proyecto Datos (OKR´s)'!$K14&lt;=TODAY(),$J14&lt;&gt;"Completado"),"")</f>
        <v>1</v>
      </c>
      <c r="AA14" s="202">
        <f>IF($C14,ROUND(100*(0.35*$AK14+0.3*$AL14+0.2*$AM14+0.15*MEDIAN(0,($Y14-4)/8,1)),0),"")</f>
        <v>57</v>
      </c>
      <c r="AB14" s="203" t="str">
        <f>IF($C14,IF(OR($J14="Completado",$J14="Sin fecha"),"—",IF($AA14&gt;=70,"Crítica",IF($AA14&gt;=45,"Alta",IF($AA14&gt;=25,"Media","Baja")))),"")</f>
        <v>—</v>
      </c>
      <c r="AC14" s="203" t="str">
        <f>IF($C14,IF(LEN(TRIM($AN14))=0,"—",TRIM($AN14)),"")</f>
        <v>ATRASO BLOQUEO</v>
      </c>
      <c r="AD14" s="202">
        <f>IF($C14,$AV14,"")</f>
      </c>
      <c r="AE14" s="202" t="str">
        <f>IF($C14,$AZ14,"")</f>
        <v>(Sin fecha)</v>
      </c>
      <c r="AF14" s="202" t="b">
        <f>IF($C14,$AV14&lt;&gt;$AR14,FALSE)</f>
        <v>0</v>
      </c>
      <c r="AG14" s="202">
        <f>IF($C14,IF($AV14&lt;&gt;$AR14,$AW14,""),"")</f>
      </c>
      <c r="AH14" s="203">
        <f>IF($C14,IF(ISBLANK('Backlog General'!$K14),"",'Backlog General'!$K14),"")</f>
      </c>
      <c r="AI14" s="202">
        <f>IF($C14,$AV14*100000+ROW(),"")</f>
      </c>
      <c r="AJ14" s="202">
        <f>IF(AND($C14,ISNUMBER($H14)),$AA14*1000000-MEDIAN(-9999,$K14,9999)*100+(300-ROW()),"")</f>
      </c>
      <c r="AK14" s="202">
        <f>IF($C14,IF($J14="Completado",0,IF($K14&lt;0,1,IF($K14&lt;=3,0.9,IF($K14&lt;=7,0.7,IF($K14&lt;=14,0.45,0.2))))),"")</f>
        <v>0.2</v>
      </c>
      <c r="AL14" s="202">
        <f>IF($C14,IF($J14="Completado",0,MEDIAN(0,MAX(-$V14,$W14/30),1)),"")</f>
        <v>1</v>
      </c>
      <c r="AM14" s="202">
        <f>IF($C14,IF($J14="Completado",0,IF($Z14,1,IF(AND($I14&lt;0.5,$K14&lt;=7),0.7,0.3))),"")</f>
        <v>1</v>
      </c>
      <c r="AN14" s="203" t="str">
        <f>IF($C14,IF(OR($V14&lt;-0.2,$W14&gt;0),"ATRASO ","")&amp;IF($Z14,"BLOQUEO ","")&amp;IF($Y14&gt;8,"SOBRECARGA ","")&amp;IF($X14&gt;0,"DESVÍO-PLAN ",""),"")</f>
        <v>ATRASO BLOQUEO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t="str">
        <f>IF($C14,'Backlog General'!$G14,"")</f>
        <v>Pendiente</v>
      </c>
      <c r="AU14" s="203">
        <f>IF($C14,'Backlog General'!$H14,"")</f>
        <v>0</v>
      </c>
      <c r="AV14" s="202">
        <f>IF(AND($C14,ISNUMBER($AR14)),IF(AND(ISNUMBER('Backlog General'!$M14),'Backlog General'!$M14&gt;=$AR14),'Backlog General'!$M14,IF(AND($AU14="Pasa al siguiente",$AT14&lt;&gt;"Completada"),$AR14+1,$AR14)),"")</f>
      </c>
      <c r="AW14" s="202">
        <f>IF(AND($C14,ISNUMBER($AR14)),$AQ14+$AR14*$AP14*'Sprints'!$D$5-'Sprints'!$D$5,"")</f>
      </c>
      <c r="AX14" s="202">
        <f>IF($C14,IF(OR($AT14="Completada",$AU14="Cancelado",$AU14="Baja prioridad",NOT(ISNUMBER($AW14))),0,IF(TODAY()&gt;$AW14,NETWORKDAYS($AW14,TODAY(),'Sprints'!$L$5:$L$40)-1,0)),"")</f>
        <v>0</v>
      </c>
      <c r="AY14" s="203" t="str">
        <f>IF($C14,IF(NOT(ISNUMBER($AR14)),"Sin fecha",IF($AT14="Completada","Completada",IF($AU14="Cancelado","Cancelado",IF($AU14="Baja prioridad","Baja prioridad",IF($AX14&gt;0,"Vencida","En curso"))))),"")</f>
        <v>Sin fecha</v>
      </c>
      <c r="AZ14" s="203" t="str">
        <f>IF($C14,IF(ISNUMBER($AV14),$AO14&amp;" · S"&amp;$AV14,"(Sin fecha)"),"")</f>
        <v>(Sin fecha)</v>
      </c>
      <c r="BA14" s="202">
        <f>IF(AND($C14,ISNUMBER($AR14),$AR14=$AS14),"Nuevo","")</f>
      </c>
      <c r="BB14" s="202">
        <f>IF(AND($C14,$AO14="Semanal",ISNUMBER($AV14)),$AV14*100000+ROW(),"")</f>
      </c>
      <c r="BC14" s="202">
        <f>IF(AND($C14,$AO14="Quincenal",ISNUMBER($AV14)),$AV14*100000+ROW(),"")</f>
      </c>
      <c r="BD14" s="202">
        <f>IF(AND($C14,$AO14="Mensual",ISNUMBER($AV14)),$AV14*100000+ROW(),"")</f>
      </c>
      <c r="BE14" s="203">
        <f>IF($C14,IF(ISBLANK('Backlog General'!$J14),"",'Backlog General'!$J14),"")</f>
      </c>
      <c r="BF14" s="203">
        <f>IF($C14,IF($BE14="","",$BE14)&amp;IF(AND($BE14&lt;&gt;"",$AH14&lt;&gt;"")," · ","")&amp;IF($AH14="","",$AH14),"")</f>
      </c>
      <c r="BG14" s="203" t="str">
        <f>IF($C14,IF($J14="Completado","Sí","No"),"")</f>
        <v>No</v>
      </c>
      <c r="BH14" s="202">
        <f>IF(AND($C14,ISNUMBER($AR14)),IF($AO14="Semanal",1,IF($AO14="Quincenal",2,3))*1000000000+$AR14*100000+ROW(),"")</f>
      </c>
      <c r="BI14" s="202">
        <f>IF($C14,IF($AU14="Cancelado","",$I14),"")</f>
        <v>0</v>
      </c>
      <c r="BJ14" s="202">
        <f>IF($C14,IFERROR(MATCH($D14,$D$7:$D$200,0)+6,ROW()),"")</f>
        <v>10</v>
      </c>
      <c r="BK14" s="202">
        <f>IF(AND($C14,ISNUMBER($AV14)),$BJ14*1000000+$AV14*1000+ROW(),"")</f>
      </c>
      <c r="BL14" s="202">
        <f>IF(AND($C14,ISNUMBER($AW14)),ROUND(($AW14-('Sprints'!$C$5+('Sprints'!$E$5-1)*'Sprints'!$D$5))/'Sprints'!$D$5,0),"")</f>
      </c>
      <c r="BM14" s="203">
        <f>IF($C14,IF(NOT(ISNUMBER($BL14)),"",IF($BL14&lt;0,"Pasada",IF($BL14=0,"Actual",IF($BL14=1,"Siguiente",IF($BL14=2,"+2 sem",IF($BL14=3,"+3 sem","Posterior")))))),"")</f>
      </c>
      <c r="BN14" s="202">
        <f>IF(AND($C14,ISNUMBER($AR14),ISNUMBER($AV14)),MAX(1,$AV14-$AR14+1),0)</f>
        <v>0</v>
      </c>
      <c r="BO14" s="202">
        <f>SUM($BN$7:$BN14)-$BN14</f>
        <v>5</v>
      </c>
      <c r="BP14" s="202">
        <f>IF(AND($C14,ISNUMBER($AV14)),$AQ14+$AV14*$AP14*'Sprints'!$D$5-'Sprints'!$D$5,"")</f>
      </c>
      <c r="BQ14" s="202">
        <f>IF(AND($C14,ISNUMBER($BP14)),$BP14*1000+ROW(),"")</f>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IF($C15,IF('Backlog General'!$G15="Completada",1,IF('Backlog General'!$G15="Casi lista",0.75,IF('Backlog General'!$G15="En progreso",0.5,IF('Backlog General'!$G15="Iniciada",0.25,0)))),"")</f>
        <v>0.75</v>
      </c>
      <c r="J15" s="203" t="str">
        <f>IF($C15,IF($I15&gt;=1,"Completado",IF(NOT(ISNUMBER($H15)),"Sin fecha",IF($H15&lt;TODAY(),"Vencido",IF(($H15-TODAY())&lt;='Entregas Próximas'!$M$3,"Próximo a vencer","En curso")))),"")</f>
        <v>Vencido</v>
      </c>
      <c r="K15" s="202">
        <f>IF(AND($C15,ISNUMBER($H15)),$H15-TODAY(),"")</f>
        <v>-7</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207</v>
      </c>
      <c r="U15" s="202">
        <f>IF($C15,MEDIAN(0,(TODAY()-'Proyecto Datos (OKR´s)'!$K15)/MAX(1,$R15-'Proyecto Datos (OKR´s)'!$K15),1),"")</f>
        <v>1</v>
      </c>
      <c r="V15" s="202">
        <f>IF($C15,$I15-$U15,"")</f>
        <v>-0.25</v>
      </c>
      <c r="W15" s="202">
        <f>IF($C15,IF(OR($J15="Completado",NOT(ISNUMBER($H15))),0,MAX(0,TODAY()-$H15)),"")</f>
        <v>7</v>
      </c>
      <c r="X15" s="202">
        <f>IF($C15,IF(ISNUMBER($H15),$R15-$H15,0),"")</f>
        <v>0</v>
      </c>
      <c r="Y15" s="202">
        <f>IF($C15,COUNTIFS($G$7:$G$200,$G15,$J$7:$J$200,"&lt;&gt;Completado",$J$7:$J$200,"&lt;&gt;"),"")</f>
        <v>0</v>
      </c>
      <c r="Z15" s="202" t="b">
        <f>IF($C15,AND($I15=0,'Proyecto Datos (OKR´s)'!$K15&lt;=TODAY(),$J15&lt;&gt;"Completado"),"")</f>
        <v>0</v>
      </c>
      <c r="AA15" s="202">
        <f>IF($C15,ROUND(100*(0.35*$AK15+0.3*$AL15+0.2*$AM15+0.15*MEDIAN(0,($Y15-4)/8,1)),0),"")</f>
        <v>49</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IF($C15,IF(ISBLANK('Backlog General'!$K15),"",'Backlog General'!$K15),"")</f>
      </c>
      <c r="AI15" s="202">
        <f>IF($C15,$AV15*100000+ROW(),"")</f>
        <v>100015</v>
      </c>
      <c r="AJ15" s="202">
        <f>IF(AND($C15,ISNUMBER($H15)),$AA15*1000000-MEDIAN(-9999,$K15,9999)*100+(300-ROW()),"")</f>
        <v>49000985</v>
      </c>
      <c r="AK15" s="202">
        <f>IF($C15,IF($J15="Completado",0,IF($K15&lt;0,1,IF($K15&lt;=3,0.9,IF($K15&lt;=7,0.7,IF($K15&lt;=14,0.45,0.2))))),"")</f>
        <v>1</v>
      </c>
      <c r="AL15" s="202">
        <f>IF($C15,IF($J15="Completado",0,MEDIAN(0,MAX(-$V15,$W15/30),1)),"")</f>
        <v>0.25</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t="str">
        <f>IF($C15,'Backlog General'!$G15,"")</f>
        <v>Casi lista</v>
      </c>
      <c r="AU15" s="203">
        <f>IF($C15,'Backlog General'!$H15,"")</f>
        <v>0</v>
      </c>
      <c r="AV15" s="202">
        <f>IF(AND($C15,ISNUMBER($AR15)),IF(AND(ISNUMBER('Backlog General'!$M15),'Backlog General'!$M15&gt;=$AR15),'Backlog General'!$M15,IF(AND($AU15="Pasa al siguiente",$AT15&lt;&gt;"Completada"),$AR15+1,$AR15)),"")</f>
        <v>1</v>
      </c>
      <c r="AW15" s="202">
        <f>IF(AND($C15,ISNUMBER($AR15)),$AQ15+$AR15*$AP15*'Sprints'!$D$5-'Sprints'!$D$5,"")</f>
        <v>46199</v>
      </c>
      <c r="AX15" s="202">
        <f>IF($C15,IF(OR($AT15="Completada",$AU15="Cancelado",$AU15="Baja prioridad",NOT(ISNUMBER($AW15))),0,IF(TODAY()&gt;$AW15,NETWORKDAYS($AW15,TODAY(),'Sprints'!$L$5:$L$40)-1,0)),"")</f>
        <v>0</v>
      </c>
      <c r="AY15" s="203" t="str">
        <f>IF($C15,IF(NOT(ISNUMBER($AR15)),"Sin fecha",IF($AT15="Completada","Completada",IF($AU15="Cancelado","Cancelado",IF($AU15="Baja prioridad","Baja prioridad",IF($AX15&gt;0,"Vencida","En curso"))))),"")</f>
        <v>En curso</v>
      </c>
      <c r="AZ15" s="203" t="str">
        <f>IF($C15,IF(ISNUMBER($AV15),$AO15&amp;" · S"&amp;$AV15,"(Sin fecha)"),"")</f>
        <v>Quincenal · S1</v>
      </c>
      <c r="BA15" s="202" t="str">
        <f>IF(AND($C15,ISNUMBER($AR15),$AR15=$AS15),"Nuevo","")</f>
        <v>Nuevo</v>
      </c>
      <c r="BB15" s="202">
        <f>IF(AND($C15,$AO15="Semanal",ISNUMBER($AV15)),$AV15*100000+ROW(),"")</f>
      </c>
      <c r="BC15" s="202">
        <f>IF(AND($C15,$AO15="Quincenal",ISNUMBER($AV15)),$AV15*100000+ROW(),"")</f>
        <v>100015</v>
      </c>
      <c r="BD15" s="202">
        <f>IF(AND($C15,$AO15="Mensual",ISNUMBER($AV15)),$AV15*100000+ROW(),"")</f>
      </c>
      <c r="BE15" s="203">
        <f>IF($C15,IF(ISBLANK('Backlog General'!$J15),"",'Backlog General'!$J15),"")</f>
      </c>
      <c r="BF15" s="203">
        <f>IF($C15,IF($BE15="","",$BE15)&amp;IF(AND($BE15&lt;&gt;"",$AH15&lt;&gt;"")," · ","")&amp;IF($AH15="","",$AH15),"")</f>
      </c>
      <c r="BG15" s="203" t="str">
        <f>IF($C15,IF($J15="Completado","Sí","No"),"")</f>
        <v>No</v>
      </c>
      <c r="BH15" s="202">
        <f>IF(AND($C15,ISNUMBER($AR15)),IF($AO15="Semanal",1,IF($AO15="Quincenal",2,3))*1000000000+$AR15*100000+ROW(),"")</f>
        <v>2000100015</v>
      </c>
      <c r="BI15" s="202">
        <f>IF($C15,IF($AU15="Cancelado","",$I15),"")</f>
        <v>0.75</v>
      </c>
      <c r="BJ15" s="202">
        <f>IF($C15,IFERROR(MATCH($D15,$D$7:$D$200,0)+6,ROW()),"")</f>
        <v>10</v>
      </c>
      <c r="BK15" s="202">
        <f>IF(AND($C15,ISNUMBER($AV15)),$BJ15*1000000+$AV15*1000+ROW(),"")</f>
        <v>10001015</v>
      </c>
      <c r="BL15" s="202">
        <f>IF(AND($C15,ISNUMBER($AW15)),ROUND(($AW15-('Sprints'!$C$5+('Sprints'!$E$5-1)*'Sprints'!$D$5))/'Sprints'!$D$5,0),"")</f>
        <v>0</v>
      </c>
      <c r="BM15" s="203" t="str">
        <f>IF($C15,IF(NOT(ISNUMBER($BL15)),"",IF($BL15&lt;0,"Pasada",IF($BL15=0,"Actual",IF($BL15=1,"Siguiente",IF($BL15=2,"+2 sem",IF($BL15=3,"+3 sem","Posterior")))))),"")</f>
        <v>Actual</v>
      </c>
      <c r="BN15" s="202">
        <f>IF(AND($C15,ISNUMBER($AR15),ISNUMBER($AV15)),MAX(1,$AV15-$AR15+1),0)</f>
        <v>1</v>
      </c>
      <c r="BO15" s="202">
        <f>SUM($BN$7:$BN15)-$BN15</f>
        <v>5</v>
      </c>
      <c r="BP15" s="202">
        <f>IF(AND($C15,ISNUMBER($AV15)),$AQ15+$AV15*$AP15*'Sprints'!$D$5-'Sprints'!$D$5,"")</f>
        <v>46199</v>
      </c>
      <c r="BQ15" s="202">
        <f>IF(AND($C15,ISNUMBER($BP15)),$BP15*1000+ROW(),"")</f>
        <v>46199015</v>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IF($C16,IF('Backlog General'!$G16="Completada",1,IF('Backlog General'!$G16="Casi lista",0.75,IF('Backlog General'!$G16="En progreso",0.5,IF('Backlog General'!$G16="Iniciada",0.25,0)))),"")</f>
        <v>0.5</v>
      </c>
      <c r="J16" s="203" t="str">
        <f>IF($C16,IF($I16&gt;=1,"Completado",IF(NOT(ISNUMBER($H16)),"Sin fecha",IF($H16&lt;TODAY(),"Vencido",IF(($H16-TODAY())&lt;='Entregas Próximas'!$M$3,"Próximo a vencer","En curso")))),"")</f>
        <v>Vencido</v>
      </c>
      <c r="K16" s="202">
        <f>IF(AND($C16,ISNUMBER($H16)),$H16-TODAY(),"")</f>
        <v>-7</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207</v>
      </c>
      <c r="U16" s="202">
        <f>IF($C16,MEDIAN(0,(TODAY()-'Proyecto Datos (OKR´s)'!$K16)/MAX(1,$R16-'Proyecto Datos (OKR´s)'!$K16),1),"")</f>
        <v>1</v>
      </c>
      <c r="V16" s="202">
        <f>IF($C16,$I16-$U16,"")</f>
        <v>-0.5</v>
      </c>
      <c r="W16" s="202">
        <f>IF($C16,IF(OR($J16="Completado",NOT(ISNUMBER($H16))),0,MAX(0,TODAY()-$H16)),"")</f>
        <v>7</v>
      </c>
      <c r="X16" s="202">
        <f>IF($C16,IF(ISNUMBER($H16),$R16-$H16,0),"")</f>
        <v>0</v>
      </c>
      <c r="Y16" s="202">
        <f>IF($C16,COUNTIFS($G$7:$G$200,$G16,$J$7:$J$200,"&lt;&gt;Completado",$J$7:$J$200,"&lt;&gt;"),"")</f>
        <v>0</v>
      </c>
      <c r="Z16" s="202" t="b">
        <f>IF($C16,AND($I16=0,'Proyecto Datos (OKR´s)'!$K16&lt;=TODAY(),$J16&lt;&gt;"Completado"),"")</f>
        <v>0</v>
      </c>
      <c r="AA16" s="202">
        <f>IF($C16,ROUND(100*(0.35*$AK16+0.3*$AL16+0.2*$AM16+0.15*MEDIAN(0,($Y16-4)/8,1)),0),"")</f>
        <v>56</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IF($C16,IF(ISBLANK('Backlog General'!$K16),"",'Backlog General'!$K16),"")</f>
      </c>
      <c r="AI16" s="202">
        <f>IF($C16,$AV16*100000+ROW(),"")</f>
        <v>100016</v>
      </c>
      <c r="AJ16" s="202">
        <f>IF(AND($C16,ISNUMBER($H16)),$AA16*1000000-MEDIAN(-9999,$K16,9999)*100+(300-ROW()),"")</f>
        <v>56000984</v>
      </c>
      <c r="AK16" s="202">
        <f>IF($C16,IF($J16="Completado",0,IF($K16&lt;0,1,IF($K16&lt;=3,0.9,IF($K16&lt;=7,0.7,IF($K16&lt;=14,0.45,0.2))))),"")</f>
        <v>1</v>
      </c>
      <c r="AL16" s="202">
        <f>IF($C16,IF($J16="Completado",0,MEDIAN(0,MAX(-$V16,$W16/30),1)),"")</f>
        <v>0.5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t="str">
        <f>IF($C16,'Backlog General'!$G16,"")</f>
        <v>En progreso</v>
      </c>
      <c r="AU16" s="203">
        <f>IF($C16,'Backlog General'!$H16,"")</f>
        <v>0</v>
      </c>
      <c r="AV16" s="202">
        <f>IF(AND($C16,ISNUMBER($AR16)),IF(AND(ISNUMBER('Backlog General'!$M16),'Backlog General'!$M16&gt;=$AR16),'Backlog General'!$M16,IF(AND($AU16="Pasa al siguiente",$AT16&lt;&gt;"Completada"),$AR16+1,$AR16)),"")</f>
        <v>1</v>
      </c>
      <c r="AW16" s="202">
        <f>IF(AND($C16,ISNUMBER($AR16)),$AQ16+$AR16*$AP16*'Sprints'!$D$5-'Sprints'!$D$5,"")</f>
        <v>46199</v>
      </c>
      <c r="AX16" s="202">
        <f>IF($C16,IF(OR($AT16="Completada",$AU16="Cancelado",$AU16="Baja prioridad",NOT(ISNUMBER($AW16))),0,IF(TODAY()&gt;$AW16,NETWORKDAYS($AW16,TODAY(),'Sprints'!$L$5:$L$40)-1,0)),"")</f>
        <v>0</v>
      </c>
      <c r="AY16" s="203" t="str">
        <f>IF($C16,IF(NOT(ISNUMBER($AR16)),"Sin fecha",IF($AT16="Completada","Completada",IF($AU16="Cancelado","Cancelado",IF($AU16="Baja prioridad","Baja prioridad",IF($AX16&gt;0,"Vencida","En curso"))))),"")</f>
        <v>En curso</v>
      </c>
      <c r="AZ16" s="203" t="str">
        <f>IF($C16,IF(ISNUMBER($AV16),$AO16&amp;" · S"&amp;$AV16,"(Sin fecha)"),"")</f>
        <v>Quincenal · S1</v>
      </c>
      <c r="BA16" s="202" t="str">
        <f>IF(AND($C16,ISNUMBER($AR16),$AR16=$AS16),"Nuevo","")</f>
        <v>Nuevo</v>
      </c>
      <c r="BB16" s="202">
        <f>IF(AND($C16,$AO16="Semanal",ISNUMBER($AV16)),$AV16*100000+ROW(),"")</f>
      </c>
      <c r="BC16" s="202">
        <f>IF(AND($C16,$AO16="Quincenal",ISNUMBER($AV16)),$AV16*100000+ROW(),"")</f>
        <v>100016</v>
      </c>
      <c r="BD16" s="202">
        <f>IF(AND($C16,$AO16="Mensual",ISNUMBER($AV16)),$AV16*100000+ROW(),"")</f>
      </c>
      <c r="BE16" s="203">
        <f>IF($C16,IF(ISBLANK('Backlog General'!$J16),"",'Backlog General'!$J16),"")</f>
      </c>
      <c r="BF16" s="203">
        <f>IF($C16,IF($BE16="","",$BE16)&amp;IF(AND($BE16&lt;&gt;"",$AH16&lt;&gt;"")," · ","")&amp;IF($AH16="","",$AH16),"")</f>
      </c>
      <c r="BG16" s="203" t="str">
        <f>IF($C16,IF($J16="Completado","Sí","No"),"")</f>
        <v>No</v>
      </c>
      <c r="BH16" s="202">
        <f>IF(AND($C16,ISNUMBER($AR16)),IF($AO16="Semanal",1,IF($AO16="Quincenal",2,3))*1000000000+$AR16*100000+ROW(),"")</f>
        <v>2000100016</v>
      </c>
      <c r="BI16" s="202">
        <f>IF($C16,IF($AU16="Cancelado","",$I16),"")</f>
        <v>0.5</v>
      </c>
      <c r="BJ16" s="202">
        <f>IF($C16,IFERROR(MATCH($D16,$D$7:$D$200,0)+6,ROW()),"")</f>
        <v>10</v>
      </c>
      <c r="BK16" s="202">
        <f>IF(AND($C16,ISNUMBER($AV16)),$BJ16*1000000+$AV16*1000+ROW(),"")</f>
        <v>10001016</v>
      </c>
      <c r="BL16" s="202">
        <f>IF(AND($C16,ISNUMBER($AW16)),ROUND(($AW16-('Sprints'!$C$5+('Sprints'!$E$5-1)*'Sprints'!$D$5))/'Sprints'!$D$5,0),"")</f>
        <v>0</v>
      </c>
      <c r="BM16" s="203" t="str">
        <f>IF($C16,IF(NOT(ISNUMBER($BL16)),"",IF($BL16&lt;0,"Pasada",IF($BL16=0,"Actual",IF($BL16=1,"Siguiente",IF($BL16=2,"+2 sem",IF($BL16=3,"+3 sem","Posterior")))))),"")</f>
        <v>Actual</v>
      </c>
      <c r="BN16" s="202">
        <f>IF(AND($C16,ISNUMBER($AR16),ISNUMBER($AV16)),MAX(1,$AV16-$AR16+1),0)</f>
        <v>1</v>
      </c>
      <c r="BO16" s="202">
        <f>SUM($BN$7:$BN16)-$BN16</f>
        <v>6</v>
      </c>
      <c r="BP16" s="202">
        <f>IF(AND($C16,ISNUMBER($AV16)),$AQ16+$AV16*$AP16*'Sprints'!$D$5-'Sprints'!$D$5,"")</f>
        <v>46199</v>
      </c>
      <c r="BQ16" s="202">
        <f>IF(AND($C16,ISNUMBER($BP16)),$BP16*1000+ROW(),"")</f>
        <v>46199016</v>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IF($C17,IF('Backlog General'!$G17="Completada",1,IF('Backlog General'!$G17="Casi lista",0.75,IF('Backlog General'!$G17="En progreso",0.5,IF('Backlog General'!$G17="Iniciada",0.25,0)))),"")</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IF($C17,IF(ISBLANK('Backlog General'!$K17),"",'Backlog General'!$K17),"")</f>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t="str">
        <f>IF($C17,'Backlog General'!$G17,"")</f>
        <v>Pendiente</v>
      </c>
      <c r="AU17" s="203">
        <f>IF($C17,'Backlog General'!$H17,"")</f>
        <v>0</v>
      </c>
      <c r="AV17" s="202">
        <f>IF(AND($C17,ISNUMBER($AR17)),IF(AND(ISNUMBER('Backlog General'!$M17),'Backlog General'!$M17&gt;=$AR17),'Backlog General'!$M17,IF(AND($AU17="Pasa al siguiente",$AT17&lt;&gt;"Completada"),$AR17+1,$AR17)),"")</f>
      </c>
      <c r="AW17" s="202">
        <f>IF(AND($C17,ISNUMBER($AR17)),$AQ17+$AR17*$AP17*'Sprints'!$D$5-'Sprints'!$D$5,"")</f>
      </c>
      <c r="AX17" s="202">
        <f>IF($C17,IF(OR($AT17="Completada",$AU17="Cancelado",$AU17="Baja prioridad",NOT(ISNUMBER($AW17))),0,IF(TODAY()&gt;$AW17,NETWORKDAYS($AW17,TODAY(),'Sprints'!$L$5:$L$40)-1,0)),"")</f>
        <v>0</v>
      </c>
      <c r="AY17" s="203" t="str">
        <f>IF($C17,IF(NOT(ISNUMBER($AR17)),"Sin fecha",IF($AT17="Completada","Completada",IF($AU17="Cancelado","Cancelado",IF($AU17="Baja prioridad","Baja prioridad",IF($AX17&gt;0,"Vencida","En curso"))))),"")</f>
        <v>Sin fecha</v>
      </c>
      <c r="AZ17" s="203" t="str">
        <f>IF($C17,IF(ISNUMBER($AV17),$AO17&amp;" · S"&amp;$AV17,"(Sin fecha)"),"")</f>
        <v>(Sin fecha)</v>
      </c>
      <c r="BA17" s="202">
        <f>IF(AND($C17,ISNUMBER($AR17),$AR17=$AS17),"Nuevo","")</f>
      </c>
      <c r="BB17" s="202">
        <f>IF(AND($C17,$AO17="Semanal",ISNUMBER($AV17)),$AV17*100000+ROW(),"")</f>
      </c>
      <c r="BC17" s="202">
        <f>IF(AND($C17,$AO17="Quincenal",ISNUMBER($AV17)),$AV17*100000+ROW(),"")</f>
      </c>
      <c r="BD17" s="202">
        <f>IF(AND($C17,$AO17="Mensual",ISNUMBER($AV17)),$AV17*100000+ROW(),"")</f>
      </c>
      <c r="BE17" s="203">
        <f>IF($C17,IF(ISBLANK('Backlog General'!$J17),"",'Backlog General'!$J17),"")</f>
      </c>
      <c r="BF17" s="203">
        <f>IF($C17,IF($BE17="","",$BE17)&amp;IF(AND($BE17&lt;&gt;"",$AH17&lt;&gt;"")," · ","")&amp;IF($AH17="","",$AH17),"")</f>
      </c>
      <c r="BG17" s="203" t="str">
        <f>IF($C17,IF($J17="Completado","Sí","No"),"")</f>
        <v>No</v>
      </c>
      <c r="BH17" s="202">
        <f>IF(AND($C17,ISNUMBER($AR17)),IF($AO17="Semanal",1,IF($AO17="Quincenal",2,3))*1000000000+$AR17*100000+ROW(),"")</f>
      </c>
      <c r="BI17" s="202">
        <f>IF($C17,IF($AU17="Cancelado","",$I17),"")</f>
        <v>0</v>
      </c>
      <c r="BJ17" s="202">
        <f>IF($C17,IFERROR(MATCH($D17,$D$7:$D$200,0)+6,ROW()),"")</f>
        <v>10</v>
      </c>
      <c r="BK17" s="202">
        <f>IF(AND($C17,ISNUMBER($AV17)),$BJ17*1000000+$AV17*1000+ROW(),"")</f>
      </c>
      <c r="BL17" s="202">
        <f>IF(AND($C17,ISNUMBER($AW17)),ROUND(($AW17-('Sprints'!$C$5+('Sprints'!$E$5-1)*'Sprints'!$D$5))/'Sprints'!$D$5,0),"")</f>
      </c>
      <c r="BM17" s="203">
        <f>IF($C17,IF(NOT(ISNUMBER($BL17)),"",IF($BL17&lt;0,"Pasada",IF($BL17=0,"Actual",IF($BL17=1,"Siguiente",IF($BL17=2,"+2 sem",IF($BL17=3,"+3 sem","Posterior")))))),"")</f>
      </c>
      <c r="BN17" s="202">
        <f>IF(AND($C17,ISNUMBER($AR17),ISNUMBER($AV17)),MAX(1,$AV17-$AR17+1),0)</f>
        <v>0</v>
      </c>
      <c r="BO17" s="202">
        <f>SUM($BN$7:$BN17)-$BN17</f>
        <v>7</v>
      </c>
      <c r="BP17" s="202">
        <f>IF(AND($C17,ISNUMBER($AV17)),$AQ17+$AV17*$AP17*'Sprints'!$D$5-'Sprints'!$D$5,"")</f>
      </c>
      <c r="BQ17" s="202">
        <f>IF(AND($C17,ISNUMBER($BP17)),$BP17*1000+ROW(),"")</f>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IF($C18,IF('Backlog General'!$G18="Completada",1,IF('Backlog General'!$G18="Casi lista",0.75,IF('Backlog General'!$G18="En progreso",0.5,IF('Backlog General'!$G18="Iniciada",0.25,0)))),"")</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6</v>
      </c>
      <c r="U18" s="202">
        <f>IF($C18,MEDIAN(0,(TODAY()-'Proyecto Datos (OKR´s)'!$K18)/MAX(1,$R18-'Proyecto Datos (OKR´s)'!$K18),1),"")</f>
        <v>0.3</v>
      </c>
      <c r="V18" s="202">
        <f>IF($C18,$I18-$U18,"")</f>
        <v>-0.3</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36</v>
      </c>
      <c r="AB18" s="203" t="str">
        <f>IF($C18,IF(OR($J18="Completado",$J18="Sin fecha"),"—",IF($AA18&gt;=70,"Crítica",IF($AA18&gt;=45,"Alta",IF($AA18&gt;=25,"Media","Baja")))),"")</f>
        <v>—</v>
      </c>
      <c r="AC18" s="203" t="str">
        <f>IF($C18,IF(LEN(TRIM($AN18))=0,"—",TRIM($AN18)),"")</f>
        <v>ATRASO BLOQUEO</v>
      </c>
      <c r="AD18" s="202">
        <f>IF($C18,$AV18,"")</f>
      </c>
      <c r="AE18" s="202" t="str">
        <f>IF($C18,$AZ18,"")</f>
        <v>(Sin fecha)</v>
      </c>
      <c r="AF18" s="202" t="b">
        <f>IF($C18,$AV18&lt;&gt;$AR18,FALSE)</f>
        <v>0</v>
      </c>
      <c r="AG18" s="202">
        <f>IF($C18,IF($AV18&lt;&gt;$AR18,$AW18,""),"")</f>
      </c>
      <c r="AH18" s="203">
        <f>IF($C18,IF(ISBLANK('Backlog General'!$K18),"",'Backlog General'!$K18),"")</f>
      </c>
      <c r="AI18" s="202">
        <f>IF($C18,$AV18*100000+ROW(),"")</f>
      </c>
      <c r="AJ18" s="202">
        <f>IF(AND($C18,ISNUMBER($H18)),$AA18*1000000-MEDIAN(-9999,$K18,9999)*100+(300-ROW()),"")</f>
      </c>
      <c r="AK18" s="202">
        <f>IF($C18,IF($J18="Completado",0,IF($K18&lt;0,1,IF($K18&lt;=3,0.9,IF($K18&lt;=7,0.7,IF($K18&lt;=14,0.45,0.2))))),"")</f>
        <v>0.2</v>
      </c>
      <c r="AL18" s="202">
        <f>IF($C18,IF($J18="Completado",0,MEDIAN(0,MAX(-$V18,$W18/30),1)),"")</f>
        <v>0.3</v>
      </c>
      <c r="AM18" s="202">
        <f>IF($C18,IF($J18="Completado",0,IF($Z18,1,IF(AND($I18&lt;0.5,$K18&lt;=7),0.7,0.3))),"")</f>
        <v>1</v>
      </c>
      <c r="AN18" s="203" t="str">
        <f>IF($C18,IF(OR($V18&lt;-0.2,$W18&gt;0),"ATRASO ","")&amp;IF($Z18,"BLOQUEO ","")&amp;IF($Y18&gt;8,"SOBRECARGA ","")&amp;IF($X18&gt;0,"DESVÍO-PLAN ",""),"")</f>
        <v>ATRASO 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t="str">
        <f>IF($C18,'Backlog General'!$G18,"")</f>
        <v>Pendiente</v>
      </c>
      <c r="AU18" s="203">
        <f>IF($C18,'Backlog General'!$H18,"")</f>
        <v>0</v>
      </c>
      <c r="AV18" s="202">
        <f>IF(AND($C18,ISNUMBER($AR18)),IF(AND(ISNUMBER('Backlog General'!$M18),'Backlog General'!$M18&gt;=$AR18),'Backlog General'!$M18,IF(AND($AU18="Pasa al siguiente",$AT18&lt;&gt;"Completada"),$AR18+1,$AR18)),"")</f>
      </c>
      <c r="AW18" s="202">
        <f>IF(AND($C18,ISNUMBER($AR18)),$AQ18+$AR18*$AP18*'Sprints'!$D$5-'Sprints'!$D$5,"")</f>
      </c>
      <c r="AX18" s="202">
        <f>IF($C18,IF(OR($AT18="Completada",$AU18="Cancelado",$AU18="Baja prioridad",NOT(ISNUMBER($AW18))),0,IF(TODAY()&gt;$AW18,NETWORKDAYS($AW18,TODAY(),'Sprints'!$L$5:$L$40)-1,0)),"")</f>
        <v>0</v>
      </c>
      <c r="AY18" s="203" t="str">
        <f>IF($C18,IF(NOT(ISNUMBER($AR18)),"Sin fecha",IF($AT18="Completada","Completada",IF($AU18="Cancelado","Cancelado",IF($AU18="Baja prioridad","Baja prioridad",IF($AX18&gt;0,"Vencida","En curso"))))),"")</f>
        <v>Sin fecha</v>
      </c>
      <c r="AZ18" s="203" t="str">
        <f>IF($C18,IF(ISNUMBER($AV18),$AO18&amp;" · S"&amp;$AV18,"(Sin fecha)"),"")</f>
        <v>(Sin fecha)</v>
      </c>
      <c r="BA18" s="202">
        <f>IF(AND($C18,ISNUMBER($AR18),$AR18=$AS18),"Nuevo","")</f>
      </c>
      <c r="BB18" s="202">
        <f>IF(AND($C18,$AO18="Semanal",ISNUMBER($AV18)),$AV18*100000+ROW(),"")</f>
      </c>
      <c r="BC18" s="202">
        <f>IF(AND($C18,$AO18="Quincenal",ISNUMBER($AV18)),$AV18*100000+ROW(),"")</f>
      </c>
      <c r="BD18" s="202">
        <f>IF(AND($C18,$AO18="Mensual",ISNUMBER($AV18)),$AV18*100000+ROW(),"")</f>
      </c>
      <c r="BE18" s="203">
        <f>IF($C18,IF(ISBLANK('Backlog General'!$J18),"",'Backlog General'!$J18),"")</f>
      </c>
      <c r="BF18" s="203">
        <f>IF($C18,IF($BE18="","",$BE18)&amp;IF(AND($BE18&lt;&gt;"",$AH18&lt;&gt;"")," · ","")&amp;IF($AH18="","",$AH18),"")</f>
      </c>
      <c r="BG18" s="203" t="str">
        <f>IF($C18,IF($J18="Completado","Sí","No"),"")</f>
        <v>No</v>
      </c>
      <c r="BH18" s="202">
        <f>IF(AND($C18,ISNUMBER($AR18)),IF($AO18="Semanal",1,IF($AO18="Quincenal",2,3))*1000000000+$AR18*100000+ROW(),"")</f>
      </c>
      <c r="BI18" s="202">
        <f>IF($C18,IF($AU18="Cancelado","",$I18),"")</f>
        <v>0</v>
      </c>
      <c r="BJ18" s="202">
        <f>IF($C18,IFERROR(MATCH($D18,$D$7:$D$200,0)+6,ROW()),"")</f>
        <v>10</v>
      </c>
      <c r="BK18" s="202">
        <f>IF(AND($C18,ISNUMBER($AV18)),$BJ18*1000000+$AV18*1000+ROW(),"")</f>
      </c>
      <c r="BL18" s="202">
        <f>IF(AND($C18,ISNUMBER($AW18)),ROUND(($AW18-('Sprints'!$C$5+('Sprints'!$E$5-1)*'Sprints'!$D$5))/'Sprints'!$D$5,0),"")</f>
      </c>
      <c r="BM18" s="203">
        <f>IF($C18,IF(NOT(ISNUMBER($BL18)),"",IF($BL18&lt;0,"Pasada",IF($BL18=0,"Actual",IF($BL18=1,"Siguiente",IF($BL18=2,"+2 sem",IF($BL18=3,"+3 sem","Posterior")))))),"")</f>
      </c>
      <c r="BN18" s="202">
        <f>IF(AND($C18,ISNUMBER($AR18),ISNUMBER($AV18)),MAX(1,$AV18-$AR18+1),0)</f>
        <v>0</v>
      </c>
      <c r="BO18" s="202">
        <f>SUM($BN$7:$BN18)-$BN18</f>
        <v>7</v>
      </c>
      <c r="BP18" s="202">
        <f>IF(AND($C18,ISNUMBER($AV18)),$AQ18+$AV18*$AP18*'Sprints'!$D$5-'Sprints'!$D$5,"")</f>
      </c>
      <c r="BQ18" s="202">
        <f>IF(AND($C18,ISNUMBER($BP18)),$BP18*1000+ROW(),"")</f>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IF($C19,IF('Backlog General'!$G19="Completada",1,IF('Backlog General'!$G19="Casi lista",0.75,IF('Backlog General'!$G19="En progreso",0.5,IF('Backlog General'!$G19="Iniciada",0.25,0)))),"")</f>
        <v>1</v>
      </c>
      <c r="J19" s="203" t="str">
        <f>IF($C19,IF($I19&gt;=1,"Completado",IF(NOT(ISNUMBER($H19)),"Sin fecha",IF($H19&lt;TODAY(),"Vencido",IF(($H19-TODAY())&lt;='Entregas Próximas'!$M$3,"Próximo a vencer","En curso")))),"")</f>
        <v>Completado</v>
      </c>
      <c r="K19" s="202">
        <f>IF(AND($C19,ISNUMBER($H19)),$H19-TODAY(),"")</f>
        <v>-7</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17</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IF($C19,IF(ISBLANK('Backlog General'!$K19),"",'Backlog General'!$K19),"")</f>
      </c>
      <c r="AI19" s="202">
        <f>IF($C19,$AV19*100000+ROW(),"")</f>
        <v>100019</v>
      </c>
      <c r="AJ19" s="202">
        <f>IF(AND($C19,ISNUMBER($H19)),$AA19*1000000-MEDIAN(-9999,$K19,9999)*100+(300-ROW()),"")</f>
        <v>981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t="str">
        <f>IF($C19,'Backlog General'!$G19,"")</f>
        <v>Completada</v>
      </c>
      <c r="AU19" s="203">
        <f>IF($C19,'Backlog General'!$H19,"")</f>
        <v>0</v>
      </c>
      <c r="AV19" s="202">
        <f>IF(AND($C19,ISNUMBER($AR19)),IF(AND(ISNUMBER('Backlog General'!$M19),'Backlog General'!$M19&gt;=$AR19),'Backlog General'!$M19,IF(AND($AU19="Pasa al siguiente",$AT19&lt;&gt;"Completada"),$AR19+1,$AR19)),"")</f>
        <v>1</v>
      </c>
      <c r="AW19" s="202">
        <f>IF(AND($C19,ISNUMBER($AR19)),$AQ19+$AR19*$AP19*'Sprints'!$D$5-'Sprints'!$D$5,"")</f>
        <v>46199</v>
      </c>
      <c r="AX19" s="202">
        <f>IF($C19,IF(OR($AT19="Completada",$AU19="Cancelado",$AU19="Baja prioridad",NOT(ISNUMBER($AW19))),0,IF(TODAY()&gt;$AW19,NETWORKDAYS($AW19,TODAY(),'Sprints'!$L$5:$L$40)-1,0)),"")</f>
        <v>0</v>
      </c>
      <c r="AY19" s="203" t="str">
        <f>IF($C19,IF(NOT(ISNUMBER($AR19)),"Sin fecha",IF($AT19="Completada","Completada",IF($AU19="Cancelado","Cancelado",IF($AU19="Baja prioridad","Baja prioridad",IF($AX19&gt;0,"Vencida","En curso"))))),"")</f>
        <v>Completada</v>
      </c>
      <c r="AZ19" s="203" t="str">
        <f>IF($C19,IF(ISNUMBER($AV19),$AO19&amp;" · S"&amp;$AV19,"(Sin fecha)"),"")</f>
        <v>Quincenal · S1</v>
      </c>
      <c r="BA19" s="202" t="str">
        <f>IF(AND($C19,ISNUMBER($AR19),$AR19=$AS19),"Nuevo","")</f>
        <v>Nuevo</v>
      </c>
      <c r="BB19" s="202">
        <f>IF(AND($C19,$AO19="Semanal",ISNUMBER($AV19)),$AV19*100000+ROW(),"")</f>
      </c>
      <c r="BC19" s="202">
        <f>IF(AND($C19,$AO19="Quincenal",ISNUMBER($AV19)),$AV19*100000+ROW(),"")</f>
        <v>100019</v>
      </c>
      <c r="BD19" s="202">
        <f>IF(AND($C19,$AO19="Mensual",ISNUMBER($AV19)),$AV19*100000+ROW(),"")</f>
      </c>
      <c r="BE19" s="203">
        <f>IF($C19,IF(ISBLANK('Backlog General'!$J19),"",'Backlog General'!$J19),"")</f>
      </c>
      <c r="BF19" s="203">
        <f>IF($C19,IF($BE19="","",$BE19)&amp;IF(AND($BE19&lt;&gt;"",$AH19&lt;&gt;"")," · ","")&amp;IF($AH19="","",$AH19),"")</f>
      </c>
      <c r="BG19" s="203" t="str">
        <f>IF($C19,IF($J19="Completado","Sí","No"),"")</f>
        <v>Sí</v>
      </c>
      <c r="BH19" s="202">
        <f>IF(AND($C19,ISNUMBER($AR19)),IF($AO19="Semanal",1,IF($AO19="Quincenal",2,3))*1000000000+$AR19*100000+ROW(),"")</f>
        <v>2000100019</v>
      </c>
      <c r="BI19" s="202">
        <f>IF($C19,IF($AU19="Cancelado","",$I19),"")</f>
        <v>1</v>
      </c>
      <c r="BJ19" s="202">
        <f>IF($C19,IFERROR(MATCH($D19,$D$7:$D$200,0)+6,ROW()),"")</f>
        <v>10</v>
      </c>
      <c r="BK19" s="202">
        <f>IF(AND($C19,ISNUMBER($AV19)),$BJ19*1000000+$AV19*1000+ROW(),"")</f>
        <v>10001019</v>
      </c>
      <c r="BL19" s="202">
        <f>IF(AND($C19,ISNUMBER($AW19)),ROUND(($AW19-('Sprints'!$C$5+('Sprints'!$E$5-1)*'Sprints'!$D$5))/'Sprints'!$D$5,0),"")</f>
        <v>0</v>
      </c>
      <c r="BM19" s="203" t="str">
        <f>IF($C19,IF(NOT(ISNUMBER($BL19)),"",IF($BL19&lt;0,"Pasada",IF($BL19=0,"Actual",IF($BL19=1,"Siguiente",IF($BL19=2,"+2 sem",IF($BL19=3,"+3 sem","Posterior")))))),"")</f>
        <v>Actual</v>
      </c>
      <c r="BN19" s="202">
        <f>IF(AND($C19,ISNUMBER($AR19),ISNUMBER($AV19)),MAX(1,$AV19-$AR19+1),0)</f>
        <v>1</v>
      </c>
      <c r="BO19" s="202">
        <f>SUM($BN$7:$BN19)-$BN19</f>
        <v>7</v>
      </c>
      <c r="BP19" s="202">
        <f>IF(AND($C19,ISNUMBER($AV19)),$AQ19+$AV19*$AP19*'Sprints'!$D$5-'Sprints'!$D$5,"")</f>
        <v>46199</v>
      </c>
      <c r="BQ19" s="202">
        <f>IF(AND($C19,ISNUMBER($BP19)),$BP19*1000+ROW(),"")</f>
        <v>46199019</v>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IF($C20,IF('Backlog General'!$G20="Completada",1,IF('Backlog General'!$G20="Casi lista",0.75,IF('Backlog General'!$G20="En progreso",0.5,IF('Backlog General'!$G20="Iniciada",0.25,0)))),"")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6</v>
      </c>
      <c r="U20" s="202">
        <f>IF($C20,MEDIAN(0,(TODAY()-'Proyecto Datos (OKR´s)'!$K20)/MAX(1,$R20-'Proyecto Datos (OKR´s)'!$K20),1),"")</f>
        <v>0.2222222222222222</v>
      </c>
      <c r="V20" s="202">
        <f>IF($C20,$I20-$U20,"")</f>
        <v>-0.2222222222222222</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34</v>
      </c>
      <c r="AB20" s="203" t="str">
        <f>IF($C20,IF(OR($J20="Completado",$J20="Sin fecha"),"—",IF($AA20&gt;=70,"Crítica",IF($AA20&gt;=45,"Alta",IF($AA20&gt;=25,"Media","Baja")))),"")</f>
        <v>—</v>
      </c>
      <c r="AC20" s="203" t="str">
        <f>IF($C20,IF(LEN(TRIM($AN20))=0,"—",TRIM($AN20)),"")</f>
        <v>ATRASO BLOQUEO</v>
      </c>
      <c r="AD20" s="202">
        <f>IF($C20,$AV20,"")</f>
      </c>
      <c r="AE20" s="202" t="str">
        <f>IF($C20,$AZ20,"")</f>
        <v>(Sin fecha)</v>
      </c>
      <c r="AF20" s="202" t="b">
        <f>IF($C20,$AV20&lt;&gt;$AR20,FALSE)</f>
        <v>0</v>
      </c>
      <c r="AG20" s="202">
        <f>IF($C20,IF($AV20&lt;&gt;$AR20,$AW20,""),"")</f>
      </c>
      <c r="AH20" s="203">
        <f>IF($C20,IF(ISBLANK('Backlog General'!$K20),"",'Backlog General'!$K20),"")</f>
      </c>
      <c r="AI20" s="202">
        <f>IF($C20,$AV20*100000+ROW(),"")</f>
      </c>
      <c r="AJ20" s="202">
        <f>IF(AND($C20,ISNUMBER($H20)),$AA20*1000000-MEDIAN(-9999,$K20,9999)*100+(300-ROW()),"")</f>
      </c>
      <c r="AK20" s="202">
        <f>IF($C20,IF($J20="Completado",0,IF($K20&lt;0,1,IF($K20&lt;=3,0.9,IF($K20&lt;=7,0.7,IF($K20&lt;=14,0.45,0.2))))),"")</f>
        <v>0.2</v>
      </c>
      <c r="AL20" s="202">
        <f>IF($C20,IF($J20="Completado",0,MEDIAN(0,MAX(-$V20,$W20/30),1)),"")</f>
        <v>0.2222222222222222</v>
      </c>
      <c r="AM20" s="202">
        <f>IF($C20,IF($J20="Completado",0,IF($Z20,1,IF(AND($I20&lt;0.5,$K20&lt;=7),0.7,0.3))),"")</f>
        <v>1</v>
      </c>
      <c r="AN20" s="203" t="str">
        <f>IF($C20,IF(OR($V20&lt;-0.2,$W20&gt;0),"ATRASO ","")&amp;IF($Z20,"BLOQUEO ","")&amp;IF($Y20&gt;8,"SOBRECARGA ","")&amp;IF($X20&gt;0,"DESVÍO-PLAN ",""),"")</f>
        <v>ATRASO 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t="str">
        <f>IF($C20,'Backlog General'!$G20,"")</f>
        <v>Pendiente</v>
      </c>
      <c r="AU20" s="203">
        <f>IF($C20,'Backlog General'!$H20,"")</f>
        <v>0</v>
      </c>
      <c r="AV20" s="202">
        <f>IF(AND($C20,ISNUMBER($AR20)),IF(AND(ISNUMBER('Backlog General'!$M20),'Backlog General'!$M20&gt;=$AR20),'Backlog General'!$M20,IF(AND($AU20="Pasa al siguiente",$AT20&lt;&gt;"Completada"),$AR20+1,$AR20)),"")</f>
      </c>
      <c r="AW20" s="202">
        <f>IF(AND($C20,ISNUMBER($AR20)),$AQ20+$AR20*$AP20*'Sprints'!$D$5-'Sprints'!$D$5,"")</f>
      </c>
      <c r="AX20" s="202">
        <f>IF($C20,IF(OR($AT20="Completada",$AU20="Cancelado",$AU20="Baja prioridad",NOT(ISNUMBER($AW20))),0,IF(TODAY()&gt;$AW20,NETWORKDAYS($AW20,TODAY(),'Sprints'!$L$5:$L$40)-1,0)),"")</f>
        <v>0</v>
      </c>
      <c r="AY20" s="203" t="str">
        <f>IF($C20,IF(NOT(ISNUMBER($AR20)),"Sin fecha",IF($AT20="Completada","Completada",IF($AU20="Cancelado","Cancelado",IF($AU20="Baja prioridad","Baja prioridad",IF($AX20&gt;0,"Vencida","En curso"))))),"")</f>
        <v>Sin fecha</v>
      </c>
      <c r="AZ20" s="203" t="str">
        <f>IF($C20,IF(ISNUMBER($AV20),$AO20&amp;" · S"&amp;$AV20,"(Sin fecha)"),"")</f>
        <v>(Sin fecha)</v>
      </c>
      <c r="BA20" s="202">
        <f>IF(AND($C20,ISNUMBER($AR20),$AR20=$AS20),"Nuevo","")</f>
      </c>
      <c r="BB20" s="202">
        <f>IF(AND($C20,$AO20="Semanal",ISNUMBER($AV20)),$AV20*100000+ROW(),"")</f>
      </c>
      <c r="BC20" s="202">
        <f>IF(AND($C20,$AO20="Quincenal",ISNUMBER($AV20)),$AV20*100000+ROW(),"")</f>
      </c>
      <c r="BD20" s="202">
        <f>IF(AND($C20,$AO20="Mensual",ISNUMBER($AV20)),$AV20*100000+ROW(),"")</f>
      </c>
      <c r="BE20" s="203">
        <f>IF($C20,IF(ISBLANK('Backlog General'!$J20),"",'Backlog General'!$J20),"")</f>
      </c>
      <c r="BF20" s="203">
        <f>IF($C20,IF($BE20="","",$BE20)&amp;IF(AND($BE20&lt;&gt;"",$AH20&lt;&gt;"")," · ","")&amp;IF($AH20="","",$AH20),"")</f>
      </c>
      <c r="BG20" s="203" t="str">
        <f>IF($C20,IF($J20="Completado","Sí","No"),"")</f>
        <v>No</v>
      </c>
      <c r="BH20" s="202">
        <f>IF(AND($C20,ISNUMBER($AR20)),IF($AO20="Semanal",1,IF($AO20="Quincenal",2,3))*1000000000+$AR20*100000+ROW(),"")</f>
      </c>
      <c r="BI20" s="202">
        <f>IF($C20,IF($AU20="Cancelado","",$I20),"")</f>
        <v>0</v>
      </c>
      <c r="BJ20" s="202">
        <f>IF($C20,IFERROR(MATCH($D20,$D$7:$D$200,0)+6,ROW()),"")</f>
        <v>10</v>
      </c>
      <c r="BK20" s="202">
        <f>IF(AND($C20,ISNUMBER($AV20)),$BJ20*1000000+$AV20*1000+ROW(),"")</f>
      </c>
      <c r="BL20" s="202">
        <f>IF(AND($C20,ISNUMBER($AW20)),ROUND(($AW20-('Sprints'!$C$5+('Sprints'!$E$5-1)*'Sprints'!$D$5))/'Sprints'!$D$5,0),"")</f>
      </c>
      <c r="BM20" s="203">
        <f>IF($C20,IF(NOT(ISNUMBER($BL20)),"",IF($BL20&lt;0,"Pasada",IF($BL20=0,"Actual",IF($BL20=1,"Siguiente",IF($BL20=2,"+2 sem",IF($BL20=3,"+3 sem","Posterior")))))),"")</f>
      </c>
      <c r="BN20" s="202">
        <f>IF(AND($C20,ISNUMBER($AR20),ISNUMBER($AV20)),MAX(1,$AV20-$AR20+1),0)</f>
        <v>0</v>
      </c>
      <c r="BO20" s="202">
        <f>SUM($BN$7:$BN20)-$BN20</f>
        <v>8</v>
      </c>
      <c r="BP20" s="202">
        <f>IF(AND($C20,ISNUMBER($AV20)),$AQ20+$AV20*$AP20*'Sprints'!$D$5-'Sprints'!$D$5,"")</f>
      </c>
      <c r="BQ20" s="202">
        <f>IF(AND($C20,ISNUMBER($BP20)),$BP20*1000+ROW(),"")</f>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IF($C21,IF('Backlog General'!$G21="Completada",1,IF('Backlog General'!$G21="Casi lista",0.75,IF('Backlog General'!$G21="En progreso",0.5,IF('Backlog General'!$G21="Iniciada",0.25,0)))),"")</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IF($C21,IF(ISBLANK('Backlog General'!$K21),"",'Backlog General'!$K21),"")</f>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t="str">
        <f>IF($C21,'Backlog General'!$G21,"")</f>
        <v>Pendiente</v>
      </c>
      <c r="AU21" s="203">
        <f>IF($C21,'Backlog General'!$H21,"")</f>
        <v>0</v>
      </c>
      <c r="AV21" s="202">
        <f>IF(AND($C21,ISNUMBER($AR21)),IF(AND(ISNUMBER('Backlog General'!$M21),'Backlog General'!$M21&gt;=$AR21),'Backlog General'!$M21,IF(AND($AU21="Pasa al siguiente",$AT21&lt;&gt;"Completada"),$AR21+1,$AR21)),"")</f>
      </c>
      <c r="AW21" s="202">
        <f>IF(AND($C21,ISNUMBER($AR21)),$AQ21+$AR21*$AP21*'Sprints'!$D$5-'Sprints'!$D$5,"")</f>
      </c>
      <c r="AX21" s="202">
        <f>IF($C21,IF(OR($AT21="Completada",$AU21="Cancelado",$AU21="Baja prioridad",NOT(ISNUMBER($AW21))),0,IF(TODAY()&gt;$AW21,NETWORKDAYS($AW21,TODAY(),'Sprints'!$L$5:$L$40)-1,0)),"")</f>
        <v>0</v>
      </c>
      <c r="AY21" s="203" t="str">
        <f>IF($C21,IF(NOT(ISNUMBER($AR21)),"Sin fecha",IF($AT21="Completada","Completada",IF($AU21="Cancelado","Cancelado",IF($AU21="Baja prioridad","Baja prioridad",IF($AX21&gt;0,"Vencida","En curso"))))),"")</f>
        <v>Sin fecha</v>
      </c>
      <c r="AZ21" s="203" t="str">
        <f>IF($C21,IF(ISNUMBER($AV21),$AO21&amp;" · S"&amp;$AV21,"(Sin fecha)"),"")</f>
        <v>(Sin fecha)</v>
      </c>
      <c r="BA21" s="202">
        <f>IF(AND($C21,ISNUMBER($AR21),$AR21=$AS21),"Nuevo","")</f>
      </c>
      <c r="BB21" s="202">
        <f>IF(AND($C21,$AO21="Semanal",ISNUMBER($AV21)),$AV21*100000+ROW(),"")</f>
      </c>
      <c r="BC21" s="202">
        <f>IF(AND($C21,$AO21="Quincenal",ISNUMBER($AV21)),$AV21*100000+ROW(),"")</f>
      </c>
      <c r="BD21" s="202">
        <f>IF(AND($C21,$AO21="Mensual",ISNUMBER($AV21)),$AV21*100000+ROW(),"")</f>
      </c>
      <c r="BE21" s="203">
        <f>IF($C21,IF(ISBLANK('Backlog General'!$J21),"",'Backlog General'!$J21),"")</f>
      </c>
      <c r="BF21" s="203">
        <f>IF($C21,IF($BE21="","",$BE21)&amp;IF(AND($BE21&lt;&gt;"",$AH21&lt;&gt;"")," · ","")&amp;IF($AH21="","",$AH21),"")</f>
      </c>
      <c r="BG21" s="203" t="str">
        <f>IF($C21,IF($J21="Completado","Sí","No"),"")</f>
        <v>No</v>
      </c>
      <c r="BH21" s="202">
        <f>IF(AND($C21,ISNUMBER($AR21)),IF($AO21="Semanal",1,IF($AO21="Quincenal",2,3))*1000000000+$AR21*100000+ROW(),"")</f>
      </c>
      <c r="BI21" s="202">
        <f>IF($C21,IF($AU21="Cancelado","",$I21),"")</f>
        <v>0</v>
      </c>
      <c r="BJ21" s="202">
        <f>IF($C21,IFERROR(MATCH($D21,$D$7:$D$200,0)+6,ROW()),"")</f>
        <v>10</v>
      </c>
      <c r="BK21" s="202">
        <f>IF(AND($C21,ISNUMBER($AV21)),$BJ21*1000000+$AV21*1000+ROW(),"")</f>
      </c>
      <c r="BL21" s="202">
        <f>IF(AND($C21,ISNUMBER($AW21)),ROUND(($AW21-('Sprints'!$C$5+('Sprints'!$E$5-1)*'Sprints'!$D$5))/'Sprints'!$D$5,0),"")</f>
      </c>
      <c r="BM21" s="203">
        <f>IF($C21,IF(NOT(ISNUMBER($BL21)),"",IF($BL21&lt;0,"Pasada",IF($BL21=0,"Actual",IF($BL21=1,"Siguiente",IF($BL21=2,"+2 sem",IF($BL21=3,"+3 sem","Posterior")))))),"")</f>
      </c>
      <c r="BN21" s="202">
        <f>IF(AND($C21,ISNUMBER($AR21),ISNUMBER($AV21)),MAX(1,$AV21-$AR21+1),0)</f>
        <v>0</v>
      </c>
      <c r="BO21" s="202">
        <f>SUM($BN$7:$BN21)-$BN21</f>
        <v>8</v>
      </c>
      <c r="BP21" s="202">
        <f>IF(AND($C21,ISNUMBER($AV21)),$AQ21+$AV21*$AP21*'Sprints'!$D$5-'Sprints'!$D$5,"")</f>
      </c>
      <c r="BQ21" s="202">
        <f>IF(AND($C21,ISNUMBER($BP21)),$BP21*1000+ROW(),"")</f>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IF($C22,IF('Backlog General'!$G22="Completada",1,IF('Backlog General'!$G22="Casi lista",0.75,IF('Backlog General'!$G22="En progreso",0.5,IF('Backlog General'!$G22="Iniciada",0.25,0)))),"")</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IF($C22,IF(ISBLANK('Backlog General'!$K22),"",'Backlog General'!$K22),"")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IF(AND($C22,ISNUMBER($AR22)),IF(AND(ISNUMBER('Backlog General'!$M22),'Backlog General'!$M22&gt;=$AR22),'Backlog General'!$M22,IF(AND($AU22="Pasa al siguiente",$AT22&lt;&gt;"Completada"),$AR22+1,$AR22)),"")</f>
      </c>
      <c r="AW22" s="202">
        <f>IF(AND($C22,ISNUMBER($AR22)),$AQ22+$AR22*$AP22*'Sprints'!$D$5-'Sprints'!$D$5,"")</f>
      </c>
      <c r="AX22" s="202">
        <f>IF($C22,IF(OR($AT22="Completada",$AU22="Cancelado",$AU22="Baja prioridad",NOT(ISNUMBER($AW22))),0,IF(TODAY()&gt;$AW22,NETWORKDAYS($AW22,TODAY(),'Sprints'!$L$5:$L$40)-1,0)),"")</f>
      </c>
      <c r="AY22" s="203">
        <f>IF($C22,IF(NOT(ISNUMBER($AR22)),"Sin fecha",IF($AT22="Completada","Completada",IF($AU22="Cancelado","Cancelado",IF($AU22="Baja prioridad","Baja prioridad",IF($AX22&gt;0,"Vencida","En curso"))))),"")</f>
      </c>
      <c r="AZ22" s="203">
        <f>IF($C22,IF(ISNUMBER($AV22),$AO22&amp;" · S"&amp;$AV22,"(Sin fecha)"),"")</f>
      </c>
      <c r="BA22" s="202">
        <f>IF(AND($C22,ISNUMBER($AR22),$AR22=$AS22),"Nuevo","")</f>
      </c>
      <c r="BB22" s="202">
        <f>IF(AND($C22,$AO22="Semanal",ISNUMBER($AV22)),$AV22*100000+ROW(),"")</f>
      </c>
      <c r="BC22" s="202">
        <f>IF(AND($C22,$AO22="Quincenal",ISNUMBER($AV22)),$AV22*100000+ROW(),"")</f>
      </c>
      <c r="BD22" s="202">
        <f>IF(AND($C22,$AO22="Mensual",ISNUMBER($AV22)),$AV22*100000+ROW(),"")</f>
      </c>
      <c r="BE22" s="203">
        <f>IF($C22,IF(ISBLANK('Backlog General'!$J22),"",'Backlog General'!$J22),"")</f>
      </c>
      <c r="BF22" s="203">
        <f>IF($C22,IF($BE22="","",$BE22)&amp;IF(AND($BE22&lt;&gt;"",$AH22&lt;&gt;"")," · ","")&amp;IF($AH22="","",$AH22),"")</f>
      </c>
      <c r="BG22" s="203">
        <f>IF($C22,IF($J22="Completado","Sí","No"),"")</f>
      </c>
      <c r="BH22" s="202">
        <f>IF(AND($C22,ISNUMBER($AR22)),IF($AO22="Semanal",1,IF($AO22="Quincenal",2,3))*1000000000+$AR22*100000+ROW(),"")</f>
      </c>
      <c r="BI22" s="202">
        <f>IF($C22,IF($AU22="Cancelado","",$I22),"")</f>
      </c>
      <c r="BJ22" s="202">
        <f>IF($C22,IFERROR(MATCH($D22,$D$7:$D$200,0)+6,ROW()),"")</f>
      </c>
      <c r="BK22" s="202">
        <f>IF(AND($C22,ISNUMBER($AV22)),$BJ22*1000000+$AV22*1000+ROW(),"")</f>
      </c>
      <c r="BL22" s="202">
        <f>IF(AND($C22,ISNUMBER($AW22)),ROUND(($AW22-('Sprints'!$C$5+('Sprints'!$E$5-1)*'Sprints'!$D$5))/'Sprints'!$D$5,0),"")</f>
      </c>
      <c r="BM22" s="203">
        <f>IF($C22,IF(NOT(ISNUMBER($BL22)),"",IF($BL22&lt;0,"Pasada",IF($BL22=0,"Actual",IF($BL22=1,"Siguiente",IF($BL22=2,"+2 sem",IF($BL22=3,"+3 sem","Posterior")))))),"")</f>
      </c>
      <c r="BN22" s="202">
        <f>IF(AND($C22,ISNUMBER($AR22),ISNUMBER($AV22)),MAX(1,$AV22-$AR22+1),0)</f>
        <v>0</v>
      </c>
      <c r="BO22" s="202">
        <f>SUM($BN$7:$BN22)-$BN22</f>
        <v>8</v>
      </c>
      <c r="BP22" s="202">
        <f>IF(AND($C22,ISNUMBER($AV22)),$AQ22+$AV22*$AP22*'Sprints'!$D$5-'Sprints'!$D$5,"")</f>
      </c>
      <c r="BQ22" s="202">
        <f>IF(AND($C22,ISNUMBER($BP22)),$BP22*1000+ROW(),"")</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IF($C23,IF('Backlog General'!$G23="Completada",1,IF('Backlog General'!$G23="Casi lista",0.75,IF('Backlog General'!$G23="En progreso",0.5,IF('Backlog General'!$G23="Iniciada",0.25,0)))),"")</f>
        <v>0.75</v>
      </c>
      <c r="J23" s="203" t="str">
        <f>IF($C23,IF($I23&gt;=1,"Completado",IF(NOT(ISNUMBER($H23)),"Sin fecha",IF($H23&lt;TODAY(),"Vencido",IF(($H23-TODAY())&lt;='Entregas Próximas'!$M$3,"Próximo a vencer","En curso")))),"")</f>
        <v>Vencido</v>
      </c>
      <c r="K23" s="202">
        <f>IF(AND($C23,ISNUMBER($H23)),$H23-TODAY(),"")</f>
        <v>-7</v>
      </c>
      <c r="L23" s="202">
        <f>IF(AND($C23,ISNUMBER($H23)),$AD23*1000000+$H23+ROW()/100000,"")</f>
        <v>1046192.00023</v>
      </c>
      <c r="M23" s="202">
        <f>IF($C23,IF($AD23=9999,"(Sin sprint)",$AD23),"")</f>
        <v>1</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17</v>
      </c>
      <c r="U23" s="202">
        <f>IF($C23,MEDIAN(0,(TODAY()-'Proyecto Datos (OKR´s)'!$K23)/MAX(1,$R23-'Proyecto Datos (OKR´s)'!$K23),1),"")</f>
        <v>1</v>
      </c>
      <c r="V23" s="202">
        <f>IF($C23,$I23-$U23,"")</f>
        <v>-0.25</v>
      </c>
      <c r="W23" s="202">
        <f>IF($C23,IF(OR($J23="Completado",NOT(ISNUMBER($H23))),0,MAX(0,TODAY()-$H23)),"")</f>
        <v>7</v>
      </c>
      <c r="X23" s="202">
        <f>IF($C23,IF(ISNUMBER($H23),$R23-$H23,0),"")</f>
        <v>0</v>
      </c>
      <c r="Y23" s="202">
        <f>IF($C23,COUNTIFS($G$7:$G$200,$G23,$J$7:$J$200,"&lt;&gt;Completado",$J$7:$J$200,"&lt;&gt;"),"")</f>
        <v>0</v>
      </c>
      <c r="Z23" s="202" t="b">
        <f>IF($C23,AND($I23=0,'Proyecto Datos (OKR´s)'!$K23&lt;=TODAY(),$J23&lt;&gt;"Completado"),"")</f>
        <v>0</v>
      </c>
      <c r="AA23" s="202">
        <f>IF($C23,ROUND(100*(0.35*$AK23+0.3*$AL23+0.2*$AM23+0.15*MEDIAN(0,($Y23-4)/8,1)),0),"")</f>
        <v>49</v>
      </c>
      <c r="AB23" s="203" t="str">
        <f>IF($C23,IF(OR($J23="Completado",$J23="Sin fecha"),"—",IF($AA23&gt;=70,"Crítica",IF($AA23&gt;=45,"Alta",IF($AA23&gt;=25,"Media","Baja")))),"")</f>
        <v>Alta</v>
      </c>
      <c r="AC23" s="203" t="str">
        <f>IF($C23,IF(LEN(TRIM($AN23))=0,"—",TRIM($AN23)),"")</f>
        <v>ATRASO</v>
      </c>
      <c r="AD23" s="202">
        <f>IF($C23,$AV23,"")</f>
        <v>1</v>
      </c>
      <c r="AE23" s="202" t="str">
        <f>IF($C23,$AZ23,"")</f>
        <v>Semanal · S1</v>
      </c>
      <c r="AF23" s="202" t="b">
        <f>IF($C23,$AV23&lt;&gt;$AR23,FALSE)</f>
        <v>0</v>
      </c>
      <c r="AG23" s="202">
        <f>IF($C23,IF($AV23&lt;&gt;$AR23,$AW23,""),"")</f>
      </c>
      <c r="AH23" s="203">
        <f>IF($C23,IF(ISBLANK('Backlog General'!$K23),"",'Backlog General'!$K23),"")</f>
      </c>
      <c r="AI23" s="202">
        <f>IF($C23,$AV23*100000+ROW(),"")</f>
        <v>100023</v>
      </c>
      <c r="AJ23" s="202">
        <f>IF(AND($C23,ISNUMBER($H23)),$AA23*1000000-MEDIAN(-9999,$K23,9999)*100+(300-ROW()),"")</f>
        <v>49000977</v>
      </c>
      <c r="AK23" s="202">
        <f>IF($C23,IF($J23="Completado",0,IF($K23&lt;0,1,IF($K23&lt;=3,0.9,IF($K23&lt;=7,0.7,IF($K23&lt;=14,0.45,0.2))))),"")</f>
        <v>1</v>
      </c>
      <c r="AL23" s="202">
        <f>IF($C23,IF($J23="Completado",0,MEDIAN(0,MAX(-$V23,$W23/30),1)),"")</f>
        <v>0.25</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t="str">
        <f>IF($C23,'Backlog General'!$G23,"")</f>
        <v>Casi lista</v>
      </c>
      <c r="AU23" s="203">
        <f>IF($C23,'Backlog General'!$H23,"")</f>
        <v>0</v>
      </c>
      <c r="AV23" s="202">
        <f>IF(AND($C23,ISNUMBER($AR23)),IF(AND(ISNUMBER('Backlog General'!$M23),'Backlog General'!$M23&gt;=$AR23),'Backlog General'!$M23,IF(AND($AU23="Pasa al siguiente",$AT23&lt;&gt;"Completada"),$AR23+1,$AR23)),"")</f>
        <v>1</v>
      </c>
      <c r="AW23" s="202">
        <f>IF(AND($C23,ISNUMBER($AR23)),$AQ23+$AR23*$AP23*'Sprints'!$D$5-'Sprints'!$D$5,"")</f>
        <v>46192</v>
      </c>
      <c r="AX23" s="202">
        <f>IF($C23,IF(OR($AT23="Completada",$AU23="Cancelado",$AU23="Baja prioridad",NOT(ISNUMBER($AW23))),0,IF(TODAY()&gt;$AW23,NETWORKDAYS($AW23,TODAY(),'Sprints'!$L$5:$L$40)-1,0)),"")</f>
        <v>5</v>
      </c>
      <c r="AY23" s="203" t="str">
        <f>IF($C23,IF(NOT(ISNUMBER($AR23)),"Sin fecha",IF($AT23="Completada","Completada",IF($AU23="Cancelado","Cancelado",IF($AU23="Baja prioridad","Baja prioridad",IF($AX23&gt;0,"Vencida","En curso"))))),"")</f>
        <v>Vencida</v>
      </c>
      <c r="AZ23" s="203" t="str">
        <f>IF($C23,IF(ISNUMBER($AV23),$AO23&amp;" · S"&amp;$AV23,"(Sin fecha)"),"")</f>
        <v>Semanal · S1</v>
      </c>
      <c r="BA23" s="202">
        <f>IF(AND($C23,ISNUMBER($AR23),$AR23=$AS23),"Nuevo","")</f>
      </c>
      <c r="BB23" s="202">
        <f>IF(AND($C23,$AO23="Semanal",ISNUMBER($AV23)),$AV23*100000+ROW(),"")</f>
        <v>100023</v>
      </c>
      <c r="BC23" s="202">
        <f>IF(AND($C23,$AO23="Quincenal",ISNUMBER($AV23)),$AV23*100000+ROW(),"")</f>
      </c>
      <c r="BD23" s="202">
        <f>IF(AND($C23,$AO23="Mensual",ISNUMBER($AV23)),$AV23*100000+ROW(),"")</f>
      </c>
      <c r="BE23" s="203">
        <f>IF($C23,IF(ISBLANK('Backlog General'!$J23),"",'Backlog General'!$J23),"")</f>
      </c>
      <c r="BF23" s="203">
        <f>IF($C23,IF($BE23="","",$BE23)&amp;IF(AND($BE23&lt;&gt;"",$AH23&lt;&gt;"")," · ","")&amp;IF($AH23="","",$AH23),"")</f>
      </c>
      <c r="BG23" s="203" t="str">
        <f>IF($C23,IF($J23="Completado","Sí","No"),"")</f>
        <v>No</v>
      </c>
      <c r="BH23" s="202">
        <f>IF(AND($C23,ISNUMBER($AR23)),IF($AO23="Semanal",1,IF($AO23="Quincenal",2,3))*1000000000+$AR23*100000+ROW(),"")</f>
        <v>1000100023</v>
      </c>
      <c r="BI23" s="202">
        <f>IF($C23,IF($AU23="Cancelado","",$I23),"")</f>
        <v>0.75</v>
      </c>
      <c r="BJ23" s="202">
        <f>IF($C23,IFERROR(MATCH($D23,$D$7:$D$200,0)+6,ROW()),"")</f>
        <v>23</v>
      </c>
      <c r="BK23" s="202">
        <f>IF(AND($C23,ISNUMBER($AV23)),$BJ23*1000000+$AV23*1000+ROW(),"")</f>
        <v>23001023</v>
      </c>
      <c r="BL23" s="202">
        <f>IF(AND($C23,ISNUMBER($AW23)),ROUND(($AW23-('Sprints'!$C$5+('Sprints'!$E$5-1)*'Sprints'!$D$5))/'Sprints'!$D$5,0),"")</f>
        <v>-1</v>
      </c>
      <c r="BM23" s="203" t="str">
        <f>IF($C23,IF(NOT(ISNUMBER($BL23)),"",IF($BL23&lt;0,"Pasada",IF($BL23=0,"Actual",IF($BL23=1,"Siguiente",IF($BL23=2,"+2 sem",IF($BL23=3,"+3 sem","Posterior")))))),"")</f>
        <v>Pasada</v>
      </c>
      <c r="BN23" s="202">
        <f>IF(AND($C23,ISNUMBER($AR23),ISNUMBER($AV23)),MAX(1,$AV23-$AR23+1),0)</f>
        <v>1</v>
      </c>
      <c r="BO23" s="202">
        <f>SUM($BN$7:$BN23)-$BN23</f>
        <v>8</v>
      </c>
      <c r="BP23" s="202">
        <f>IF(AND($C23,ISNUMBER($AV23)),$AQ23+$AV23*$AP23*'Sprints'!$D$5-'Sprints'!$D$5,"")</f>
        <v>46192</v>
      </c>
      <c r="BQ23" s="202">
        <f>IF(AND($C23,ISNUMBER($BP23)),$BP23*1000+ROW(),"")</f>
        <v>46192023</v>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IF($C24,IF('Backlog General'!$G24="Completada",1,IF('Backlog General'!$G24="Casi lista",0.75,IF('Backlog General'!$G24="En progreso",0.5,IF('Backlog General'!$G24="Iniciada",0.25,0)))),"")</f>
        <v>0.75</v>
      </c>
      <c r="J24" s="203" t="str">
        <f>IF($C24,IF($I24&gt;=1,"Completado",IF(NOT(ISNUMBER($H24)),"Sin fecha",IF($H24&lt;TODAY(),"Vencido",IF(($H24-TODAY())&lt;='Entregas Próximas'!$M$3,"Próximo a vencer","En curso")))),"")</f>
        <v>Vencido</v>
      </c>
      <c r="K24" s="202">
        <f>IF(AND($C24,ISNUMBER($H24)),$H24-TODAY(),"")</f>
        <v>-7</v>
      </c>
      <c r="L24" s="202">
        <f>IF(AND($C24,ISNUMBER($H24)),$AD24*1000000+$H24+ROW()/100000,"")</f>
        <v>1046192.00024</v>
      </c>
      <c r="M24" s="202">
        <f>IF($C24,IF($AD24=9999,"(Sin sprint)",$AD24),"")</f>
        <v>1</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22</v>
      </c>
      <c r="U24" s="202">
        <f>IF($C24,MEDIAN(0,(TODAY()-'Proyecto Datos (OKR´s)'!$K24)/MAX(1,$R24-'Proyecto Datos (OKR´s)'!$K24),1),"")</f>
        <v>1</v>
      </c>
      <c r="V24" s="202">
        <f>IF($C24,$I24-$U24,"")</f>
        <v>-0.25</v>
      </c>
      <c r="W24" s="202">
        <f>IF($C24,IF(OR($J24="Completado",NOT(ISNUMBER($H24))),0,MAX(0,TODAY()-$H24)),"")</f>
        <v>7</v>
      </c>
      <c r="X24" s="202">
        <f>IF($C24,IF(ISNUMBER($H24),$R24-$H24,0),"")</f>
        <v>0</v>
      </c>
      <c r="Y24" s="202">
        <f>IF($C24,COUNTIFS($G$7:$G$200,$G24,$J$7:$J$200,"&lt;&gt;Completado",$J$7:$J$200,"&lt;&gt;"),"")</f>
        <v>0</v>
      </c>
      <c r="Z24" s="202" t="b">
        <f>IF($C24,AND($I24=0,'Proyecto Datos (OKR´s)'!$K24&lt;=TODAY(),$J24&lt;&gt;"Completado"),"")</f>
        <v>0</v>
      </c>
      <c r="AA24" s="202">
        <f>IF($C24,ROUND(100*(0.35*$AK24+0.3*$AL24+0.2*$AM24+0.15*MEDIAN(0,($Y24-4)/8,1)),0),"")</f>
        <v>49</v>
      </c>
      <c r="AB24" s="203" t="str">
        <f>IF($C24,IF(OR($J24="Completado",$J24="Sin fecha"),"—",IF($AA24&gt;=70,"Crítica",IF($AA24&gt;=45,"Alta",IF($AA24&gt;=25,"Media","Baja")))),"")</f>
        <v>Alta</v>
      </c>
      <c r="AC24" s="203" t="str">
        <f>IF($C24,IF(LEN(TRIM($AN24))=0,"—",TRIM($AN24)),"")</f>
        <v>ATRASO</v>
      </c>
      <c r="AD24" s="202">
        <f>IF($C24,$AV24,"")</f>
        <v>1</v>
      </c>
      <c r="AE24" s="202" t="str">
        <f>IF($C24,$AZ24,"")</f>
        <v>Semanal · S1</v>
      </c>
      <c r="AF24" s="202" t="b">
        <f>IF($C24,$AV24&lt;&gt;$AR24,FALSE)</f>
        <v>0</v>
      </c>
      <c r="AG24" s="202">
        <f>IF($C24,IF($AV24&lt;&gt;$AR24,$AW24,""),"")</f>
      </c>
      <c r="AH24" s="203">
        <f>IF($C24,IF(ISBLANK('Backlog General'!$K24),"",'Backlog General'!$K24),"")</f>
      </c>
      <c r="AI24" s="202">
        <f>IF($C24,$AV24*100000+ROW(),"")</f>
        <v>100024</v>
      </c>
      <c r="AJ24" s="202">
        <f>IF(AND($C24,ISNUMBER($H24)),$AA24*1000000-MEDIAN(-9999,$K24,9999)*100+(300-ROW()),"")</f>
        <v>49000976</v>
      </c>
      <c r="AK24" s="202">
        <f>IF($C24,IF($J24="Completado",0,IF($K24&lt;0,1,IF($K24&lt;=3,0.9,IF($K24&lt;=7,0.7,IF($K24&lt;=14,0.45,0.2))))),"")</f>
        <v>1</v>
      </c>
      <c r="AL24" s="202">
        <f>IF($C24,IF($J24="Completado",0,MEDIAN(0,MAX(-$V24,$W24/30),1)),"")</f>
        <v>0.25</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t="str">
        <f>IF($C24,'Backlog General'!$G24,"")</f>
        <v>Casi lista</v>
      </c>
      <c r="AU24" s="203">
        <f>IF($C24,'Backlog General'!$H24,"")</f>
        <v>0</v>
      </c>
      <c r="AV24" s="202">
        <f>IF(AND($C24,ISNUMBER($AR24)),IF(AND(ISNUMBER('Backlog General'!$M24),'Backlog General'!$M24&gt;=$AR24),'Backlog General'!$M24,IF(AND($AU24="Pasa al siguiente",$AT24&lt;&gt;"Completada"),$AR24+1,$AR24)),"")</f>
        <v>1</v>
      </c>
      <c r="AW24" s="202">
        <f>IF(AND($C24,ISNUMBER($AR24)),$AQ24+$AR24*$AP24*'Sprints'!$D$5-'Sprints'!$D$5,"")</f>
        <v>46192</v>
      </c>
      <c r="AX24" s="202">
        <f>IF($C24,IF(OR($AT24="Completada",$AU24="Cancelado",$AU24="Baja prioridad",NOT(ISNUMBER($AW24))),0,IF(TODAY()&gt;$AW24,NETWORKDAYS($AW24,TODAY(),'Sprints'!$L$5:$L$40)-1,0)),"")</f>
        <v>5</v>
      </c>
      <c r="AY24" s="203" t="str">
        <f>IF($C24,IF(NOT(ISNUMBER($AR24)),"Sin fecha",IF($AT24="Completada","Completada",IF($AU24="Cancelado","Cancelado",IF($AU24="Baja prioridad","Baja prioridad",IF($AX24&gt;0,"Vencida","En curso"))))),"")</f>
        <v>Vencida</v>
      </c>
      <c r="AZ24" s="203" t="str">
        <f>IF($C24,IF(ISNUMBER($AV24),$AO24&amp;" · S"&amp;$AV24,"(Sin fecha)"),"")</f>
        <v>Semanal · S1</v>
      </c>
      <c r="BA24" s="202">
        <f>IF(AND($C24,ISNUMBER($AR24),$AR24=$AS24),"Nuevo","")</f>
      </c>
      <c r="BB24" s="202">
        <f>IF(AND($C24,$AO24="Semanal",ISNUMBER($AV24)),$AV24*100000+ROW(),"")</f>
        <v>100024</v>
      </c>
      <c r="BC24" s="202">
        <f>IF(AND($C24,$AO24="Quincenal",ISNUMBER($AV24)),$AV24*100000+ROW(),"")</f>
      </c>
      <c r="BD24" s="202">
        <f>IF(AND($C24,$AO24="Mensual",ISNUMBER($AV24)),$AV24*100000+ROW(),"")</f>
      </c>
      <c r="BE24" s="203">
        <f>IF($C24,IF(ISBLANK('Backlog General'!$J24),"",'Backlog General'!$J24),"")</f>
      </c>
      <c r="BF24" s="203">
        <f>IF($C24,IF($BE24="","",$BE24)&amp;IF(AND($BE24&lt;&gt;"",$AH24&lt;&gt;"")," · ","")&amp;IF($AH24="","",$AH24),"")</f>
      </c>
      <c r="BG24" s="203" t="str">
        <f>IF($C24,IF($J24="Completado","Sí","No"),"")</f>
        <v>No</v>
      </c>
      <c r="BH24" s="202">
        <f>IF(AND($C24,ISNUMBER($AR24)),IF($AO24="Semanal",1,IF($AO24="Quincenal",2,3))*1000000000+$AR24*100000+ROW(),"")</f>
        <v>1000100024</v>
      </c>
      <c r="BI24" s="202">
        <f>IF($C24,IF($AU24="Cancelado","",$I24),"")</f>
        <v>0.75</v>
      </c>
      <c r="BJ24" s="202">
        <f>IF($C24,IFERROR(MATCH($D24,$D$7:$D$200,0)+6,ROW()),"")</f>
        <v>23</v>
      </c>
      <c r="BK24" s="202">
        <f>IF(AND($C24,ISNUMBER($AV24)),$BJ24*1000000+$AV24*1000+ROW(),"")</f>
        <v>23001024</v>
      </c>
      <c r="BL24" s="202">
        <f>IF(AND($C24,ISNUMBER($AW24)),ROUND(($AW24-('Sprints'!$C$5+('Sprints'!$E$5-1)*'Sprints'!$D$5))/'Sprints'!$D$5,0),"")</f>
        <v>-1</v>
      </c>
      <c r="BM24" s="203" t="str">
        <f>IF($C24,IF(NOT(ISNUMBER($BL24)),"",IF($BL24&lt;0,"Pasada",IF($BL24=0,"Actual",IF($BL24=1,"Siguiente",IF($BL24=2,"+2 sem",IF($BL24=3,"+3 sem","Posterior")))))),"")</f>
        <v>Pasada</v>
      </c>
      <c r="BN24" s="202">
        <f>IF(AND($C24,ISNUMBER($AR24),ISNUMBER($AV24)),MAX(1,$AV24-$AR24+1),0)</f>
        <v>1</v>
      </c>
      <c r="BO24" s="202">
        <f>SUM($BN$7:$BN24)-$BN24</f>
        <v>9</v>
      </c>
      <c r="BP24" s="202">
        <f>IF(AND($C24,ISNUMBER($AV24)),$AQ24+$AV24*$AP24*'Sprints'!$D$5-'Sprints'!$D$5,"")</f>
        <v>46192</v>
      </c>
      <c r="BQ24" s="202">
        <f>IF(AND($C24,ISNUMBER($BP24)),$BP24*1000+ROW(),"")</f>
        <v>46192024</v>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IF($C25,IF('Backlog General'!$G25="Completada",1,IF('Backlog General'!$G25="Casi lista",0.75,IF('Backlog General'!$G25="En progreso",0.5,IF('Backlog General'!$G25="Iniciada",0.25,0)))),"")</f>
        <v>0.75</v>
      </c>
      <c r="J25" s="203" t="str">
        <f>IF($C25,IF($I25&gt;=1,"Completado",IF(NOT(ISNUMBER($H25)),"Sin fecha",IF($H25&lt;TODAY(),"Vencido",IF(($H25-TODAY())&lt;='Entregas Próximas'!$M$3,"Próximo a vencer","En curso")))),"")</f>
        <v>Vencido</v>
      </c>
      <c r="K25" s="202">
        <f>IF(AND($C25,ISNUMBER($H25)),$H25-TODAY(),"")</f>
        <v>-11</v>
      </c>
      <c r="L25" s="202">
        <f>IF(AND($C25,ISNUMBER($H25)),$AD25*1000000+$H25+ROW()/100000,"")</f>
        <v>1046188.00025</v>
      </c>
      <c r="M25" s="202">
        <f>IF($C25,IF($AD25=9999,"(Sin sprint)",$AD25),"")</f>
        <v>1</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22</v>
      </c>
      <c r="U25" s="202">
        <f>IF($C25,MEDIAN(0,(TODAY()-'Proyecto Datos (OKR´s)'!$K25)/MAX(1,$R25-'Proyecto Datos (OKR´s)'!$K25),1),"")</f>
        <v>1</v>
      </c>
      <c r="V25" s="202">
        <f>IF($C25,$I25-$U25,"")</f>
        <v>-0.25</v>
      </c>
      <c r="W25" s="202">
        <f>IF($C25,IF(OR($J25="Completado",NOT(ISNUMBER($H25))),0,MAX(0,TODAY()-$H25)),"")</f>
        <v>11</v>
      </c>
      <c r="X25" s="202">
        <f>IF($C25,IF(ISNUMBER($H25),$R25-$H25,0),"")</f>
        <v>0</v>
      </c>
      <c r="Y25" s="202">
        <f>IF($C25,COUNTIFS($G$7:$G$200,$G25,$J$7:$J$200,"&lt;&gt;Completado",$J$7:$J$200,"&lt;&gt;"),"")</f>
        <v>0</v>
      </c>
      <c r="Z25" s="202" t="b">
        <f>IF($C25,AND($I25=0,'Proyecto Datos (OKR´s)'!$K25&lt;=TODAY(),$J25&lt;&gt;"Completado"),"")</f>
        <v>0</v>
      </c>
      <c r="AA25" s="202">
        <f>IF($C25,ROUND(100*(0.35*$AK25+0.3*$AL25+0.2*$AM25+0.15*MEDIAN(0,($Y25-4)/8,1)),0),"")</f>
        <v>52</v>
      </c>
      <c r="AB25" s="203" t="str">
        <f>IF($C25,IF(OR($J25="Completado",$J25="Sin fecha"),"—",IF($AA25&gt;=70,"Crítica",IF($AA25&gt;=45,"Alta",IF($AA25&gt;=25,"Media","Baja")))),"")</f>
        <v>Alta</v>
      </c>
      <c r="AC25" s="203" t="str">
        <f>IF($C25,IF(LEN(TRIM($AN25))=0,"—",TRIM($AN25)),"")</f>
        <v>ATRASO</v>
      </c>
      <c r="AD25" s="202">
        <f>IF($C25,$AV25,"")</f>
        <v>1</v>
      </c>
      <c r="AE25" s="202" t="str">
        <f>IF($C25,$AZ25,"")</f>
        <v>Semanal · S1</v>
      </c>
      <c r="AF25" s="202" t="b">
        <f>IF($C25,$AV25&lt;&gt;$AR25,FALSE)</f>
        <v>0</v>
      </c>
      <c r="AG25" s="202">
        <f>IF($C25,IF($AV25&lt;&gt;$AR25,$AW25,""),"")</f>
      </c>
      <c r="AH25" s="203">
        <f>IF($C25,IF(ISBLANK('Backlog General'!$K25),"",'Backlog General'!$K25),"")</f>
      </c>
      <c r="AI25" s="202">
        <f>IF($C25,$AV25*100000+ROW(),"")</f>
        <v>100025</v>
      </c>
      <c r="AJ25" s="202">
        <f>IF(AND($C25,ISNUMBER($H25)),$AA25*1000000-MEDIAN(-9999,$K25,9999)*100+(300-ROW()),"")</f>
        <v>52001375</v>
      </c>
      <c r="AK25" s="202">
        <f>IF($C25,IF($J25="Completado",0,IF($K25&lt;0,1,IF($K25&lt;=3,0.9,IF($K25&lt;=7,0.7,IF($K25&lt;=14,0.45,0.2))))),"")</f>
        <v>1</v>
      </c>
      <c r="AL25" s="202">
        <f>IF($C25,IF($J25="Completado",0,MEDIAN(0,MAX(-$V25,$W25/30),1)),"")</f>
        <v>0.36666666666666664</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t="str">
        <f>IF($C25,'Backlog General'!$G25,"")</f>
        <v>Casi lista</v>
      </c>
      <c r="AU25" s="203">
        <f>IF($C25,'Backlog General'!$H25,"")</f>
        <v>0</v>
      </c>
      <c r="AV25" s="202">
        <f>IF(AND($C25,ISNUMBER($AR25)),IF(AND(ISNUMBER('Backlog General'!$M25),'Backlog General'!$M25&gt;=$AR25),'Backlog General'!$M25,IF(AND($AU25="Pasa al siguiente",$AT25&lt;&gt;"Completada"),$AR25+1,$AR25)),"")</f>
        <v>1</v>
      </c>
      <c r="AW25" s="202">
        <f>IF(AND($C25,ISNUMBER($AR25)),$AQ25+$AR25*$AP25*'Sprints'!$D$5-'Sprints'!$D$5,"")</f>
        <v>46192</v>
      </c>
      <c r="AX25" s="202">
        <f>IF($C25,IF(OR($AT25="Completada",$AU25="Cancelado",$AU25="Baja prioridad",NOT(ISNUMBER($AW25))),0,IF(TODAY()&gt;$AW25,NETWORKDAYS($AW25,TODAY(),'Sprints'!$L$5:$L$40)-1,0)),"")</f>
        <v>5</v>
      </c>
      <c r="AY25" s="203" t="str">
        <f>IF($C25,IF(NOT(ISNUMBER($AR25)),"Sin fecha",IF($AT25="Completada","Completada",IF($AU25="Cancelado","Cancelado",IF($AU25="Baja prioridad","Baja prioridad",IF($AX25&gt;0,"Vencida","En curso"))))),"")</f>
        <v>Vencida</v>
      </c>
      <c r="AZ25" s="203" t="str">
        <f>IF($C25,IF(ISNUMBER($AV25),$AO25&amp;" · S"&amp;$AV25,"(Sin fecha)"),"")</f>
        <v>Semanal · S1</v>
      </c>
      <c r="BA25" s="202">
        <f>IF(AND($C25,ISNUMBER($AR25),$AR25=$AS25),"Nuevo","")</f>
      </c>
      <c r="BB25" s="202">
        <f>IF(AND($C25,$AO25="Semanal",ISNUMBER($AV25)),$AV25*100000+ROW(),"")</f>
        <v>100025</v>
      </c>
      <c r="BC25" s="202">
        <f>IF(AND($C25,$AO25="Quincenal",ISNUMBER($AV25)),$AV25*100000+ROW(),"")</f>
      </c>
      <c r="BD25" s="202">
        <f>IF(AND($C25,$AO25="Mensual",ISNUMBER($AV25)),$AV25*100000+ROW(),"")</f>
      </c>
      <c r="BE25" s="203">
        <f>IF($C25,IF(ISBLANK('Backlog General'!$J25),"",'Backlog General'!$J25),"")</f>
      </c>
      <c r="BF25" s="203">
        <f>IF($C25,IF($BE25="","",$BE25)&amp;IF(AND($BE25&lt;&gt;"",$AH25&lt;&gt;"")," · ","")&amp;IF($AH25="","",$AH25),"")</f>
      </c>
      <c r="BG25" s="203" t="str">
        <f>IF($C25,IF($J25="Completado","Sí","No"),"")</f>
        <v>No</v>
      </c>
      <c r="BH25" s="202">
        <f>IF(AND($C25,ISNUMBER($AR25)),IF($AO25="Semanal",1,IF($AO25="Quincenal",2,3))*1000000000+$AR25*100000+ROW(),"")</f>
        <v>1000100025</v>
      </c>
      <c r="BI25" s="202">
        <f>IF($C25,IF($AU25="Cancelado","",$I25),"")</f>
        <v>0.75</v>
      </c>
      <c r="BJ25" s="202">
        <f>IF($C25,IFERROR(MATCH($D25,$D$7:$D$200,0)+6,ROW()),"")</f>
        <v>23</v>
      </c>
      <c r="BK25" s="202">
        <f>IF(AND($C25,ISNUMBER($AV25)),$BJ25*1000000+$AV25*1000+ROW(),"")</f>
        <v>23001025</v>
      </c>
      <c r="BL25" s="202">
        <f>IF(AND($C25,ISNUMBER($AW25)),ROUND(($AW25-('Sprints'!$C$5+('Sprints'!$E$5-1)*'Sprints'!$D$5))/'Sprints'!$D$5,0),"")</f>
        <v>-1</v>
      </c>
      <c r="BM25" s="203" t="str">
        <f>IF($C25,IF(NOT(ISNUMBER($BL25)),"",IF($BL25&lt;0,"Pasada",IF($BL25=0,"Actual",IF($BL25=1,"Siguiente",IF($BL25=2,"+2 sem",IF($BL25=3,"+3 sem","Posterior")))))),"")</f>
        <v>Pasada</v>
      </c>
      <c r="BN25" s="202">
        <f>IF(AND($C25,ISNUMBER($AR25),ISNUMBER($AV25)),MAX(1,$AV25-$AR25+1),0)</f>
        <v>1</v>
      </c>
      <c r="BO25" s="202">
        <f>SUM($BN$7:$BN25)-$BN25</f>
        <v>10</v>
      </c>
      <c r="BP25" s="202">
        <f>IF(AND($C25,ISNUMBER($AV25)),$AQ25+$AV25*$AP25*'Sprints'!$D$5-'Sprints'!$D$5,"")</f>
        <v>46192</v>
      </c>
      <c r="BQ25" s="202">
        <f>IF(AND($C25,ISNUMBER($BP25)),$BP25*1000+ROW(),"")</f>
        <v>46192025</v>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IF($C26,IF('Backlog General'!$G26="Completada",1,IF('Backlog General'!$G26="Casi lista",0.75,IF('Backlog General'!$G26="En progreso",0.5,IF('Backlog General'!$G26="Iniciada",0.25,0)))),"")</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IF($C26,IF(ISBLANK('Backlog General'!$K26),"",'Backlog General'!$K26),"")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IF(AND($C26,ISNUMBER($AR26)),IF(AND(ISNUMBER('Backlog General'!$M26),'Backlog General'!$M26&gt;=$AR26),'Backlog General'!$M26,IF(AND($AU26="Pasa al siguiente",$AT26&lt;&gt;"Completada"),$AR26+1,$AR26)),"")</f>
      </c>
      <c r="AW26" s="202">
        <f>IF(AND($C26,ISNUMBER($AR26)),$AQ26+$AR26*$AP26*'Sprints'!$D$5-'Sprints'!$D$5,"")</f>
      </c>
      <c r="AX26" s="202">
        <f>IF($C26,IF(OR($AT26="Completada",$AU26="Cancelado",$AU26="Baja prioridad",NOT(ISNUMBER($AW26))),0,IF(TODAY()&gt;$AW26,NETWORKDAYS($AW26,TODAY(),'Sprints'!$L$5:$L$40)-1,0)),"")</f>
      </c>
      <c r="AY26" s="203">
        <f>IF($C26,IF(NOT(ISNUMBER($AR26)),"Sin fecha",IF($AT26="Completada","Completada",IF($AU26="Cancelado","Cancelado",IF($AU26="Baja prioridad","Baja prioridad",IF($AX26&gt;0,"Vencida","En curso"))))),"")</f>
      </c>
      <c r="AZ26" s="203">
        <f>IF($C26,IF(ISNUMBER($AV26),$AO26&amp;" · S"&amp;$AV26,"(Sin fecha)"),"")</f>
      </c>
      <c r="BA26" s="202">
        <f>IF(AND($C26,ISNUMBER($AR26),$AR26=$AS26),"Nuevo","")</f>
      </c>
      <c r="BB26" s="202">
        <f>IF(AND($C26,$AO26="Semanal",ISNUMBER($AV26)),$AV26*100000+ROW(),"")</f>
      </c>
      <c r="BC26" s="202">
        <f>IF(AND($C26,$AO26="Quincenal",ISNUMBER($AV26)),$AV26*100000+ROW(),"")</f>
      </c>
      <c r="BD26" s="202">
        <f>IF(AND($C26,$AO26="Mensual",ISNUMBER($AV26)),$AV26*100000+ROW(),"")</f>
      </c>
      <c r="BE26" s="203">
        <f>IF($C26,IF(ISBLANK('Backlog General'!$J26),"",'Backlog General'!$J26),"")</f>
      </c>
      <c r="BF26" s="203">
        <f>IF($C26,IF($BE26="","",$BE26)&amp;IF(AND($BE26&lt;&gt;"",$AH26&lt;&gt;"")," · ","")&amp;IF($AH26="","",$AH26),"")</f>
      </c>
      <c r="BG26" s="203">
        <f>IF($C26,IF($J26="Completado","Sí","No"),"")</f>
      </c>
      <c r="BH26" s="202">
        <f>IF(AND($C26,ISNUMBER($AR26)),IF($AO26="Semanal",1,IF($AO26="Quincenal",2,3))*1000000000+$AR26*100000+ROW(),"")</f>
      </c>
      <c r="BI26" s="202">
        <f>IF($C26,IF($AU26="Cancelado","",$I26),"")</f>
      </c>
      <c r="BJ26" s="202">
        <f>IF($C26,IFERROR(MATCH($D26,$D$7:$D$200,0)+6,ROW()),"")</f>
      </c>
      <c r="BK26" s="202">
        <f>IF(AND($C26,ISNUMBER($AV26)),$BJ26*1000000+$AV26*1000+ROW(),"")</f>
      </c>
      <c r="BL26" s="202">
        <f>IF(AND($C26,ISNUMBER($AW26)),ROUND(($AW26-('Sprints'!$C$5+('Sprints'!$E$5-1)*'Sprints'!$D$5))/'Sprints'!$D$5,0),"")</f>
      </c>
      <c r="BM26" s="203">
        <f>IF($C26,IF(NOT(ISNUMBER($BL26)),"",IF($BL26&lt;0,"Pasada",IF($BL26=0,"Actual",IF($BL26=1,"Siguiente",IF($BL26=2,"+2 sem",IF($BL26=3,"+3 sem","Posterior")))))),"")</f>
      </c>
      <c r="BN26" s="202">
        <f>IF(AND($C26,ISNUMBER($AR26),ISNUMBER($AV26)),MAX(1,$AV26-$AR26+1),0)</f>
        <v>0</v>
      </c>
      <c r="BO26" s="202">
        <f>SUM($BN$7:$BN26)-$BN26</f>
        <v>11</v>
      </c>
      <c r="BP26" s="202">
        <f>IF(AND($C26,ISNUMBER($AV26)),$AQ26+$AV26*$AP26*'Sprints'!$D$5-'Sprints'!$D$5,"")</f>
      </c>
      <c r="BQ26" s="202">
        <f>IF(AND($C26,ISNUMBER($BP26)),$BP26*1000+ROW(),"")</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IF($C27,IF('Backlog General'!$G27="Completada",1,IF('Backlog General'!$G27="Casi lista",0.75,IF('Backlog General'!$G27="En progreso",0.5,IF('Backlog General'!$G27="Iniciada",0.25,0)))),"")</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IF($C27,IF(ISBLANK('Backlog General'!$K27),"",'Backlog General'!$K27),"")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IF(AND($C27,ISNUMBER($AR27)),IF(AND(ISNUMBER('Backlog General'!$M27),'Backlog General'!$M27&gt;=$AR27),'Backlog General'!$M27,IF(AND($AU27="Pasa al siguiente",$AT27&lt;&gt;"Completada"),$AR27+1,$AR27)),"")</f>
      </c>
      <c r="AW27" s="202">
        <f>IF(AND($C27,ISNUMBER($AR27)),$AQ27+$AR27*$AP27*'Sprints'!$D$5-'Sprints'!$D$5,"")</f>
      </c>
      <c r="AX27" s="202">
        <f>IF($C27,IF(OR($AT27="Completada",$AU27="Cancelado",$AU27="Baja prioridad",NOT(ISNUMBER($AW27))),0,IF(TODAY()&gt;$AW27,NETWORKDAYS($AW27,TODAY(),'Sprints'!$L$5:$L$40)-1,0)),"")</f>
      </c>
      <c r="AY27" s="203">
        <f>IF($C27,IF(NOT(ISNUMBER($AR27)),"Sin fecha",IF($AT27="Completada","Completada",IF($AU27="Cancelado","Cancelado",IF($AU27="Baja prioridad","Baja prioridad",IF($AX27&gt;0,"Vencida","En curso"))))),"")</f>
      </c>
      <c r="AZ27" s="203">
        <f>IF($C27,IF(ISNUMBER($AV27),$AO27&amp;" · S"&amp;$AV27,"(Sin fecha)"),"")</f>
      </c>
      <c r="BA27" s="202">
        <f>IF(AND($C27,ISNUMBER($AR27),$AR27=$AS27),"Nuevo","")</f>
      </c>
      <c r="BB27" s="202">
        <f>IF(AND($C27,$AO27="Semanal",ISNUMBER($AV27)),$AV27*100000+ROW(),"")</f>
      </c>
      <c r="BC27" s="202">
        <f>IF(AND($C27,$AO27="Quincenal",ISNUMBER($AV27)),$AV27*100000+ROW(),"")</f>
      </c>
      <c r="BD27" s="202">
        <f>IF(AND($C27,$AO27="Mensual",ISNUMBER($AV27)),$AV27*100000+ROW(),"")</f>
      </c>
      <c r="BE27" s="203">
        <f>IF($C27,IF(ISBLANK('Backlog General'!$J27),"",'Backlog General'!$J27),"")</f>
      </c>
      <c r="BF27" s="203">
        <f>IF($C27,IF($BE27="","",$BE27)&amp;IF(AND($BE27&lt;&gt;"",$AH27&lt;&gt;"")," · ","")&amp;IF($AH27="","",$AH27),"")</f>
      </c>
      <c r="BG27" s="203">
        <f>IF($C27,IF($J27="Completado","Sí","No"),"")</f>
      </c>
      <c r="BH27" s="202">
        <f>IF(AND($C27,ISNUMBER($AR27)),IF($AO27="Semanal",1,IF($AO27="Quincenal",2,3))*1000000000+$AR27*100000+ROW(),"")</f>
      </c>
      <c r="BI27" s="202">
        <f>IF($C27,IF($AU27="Cancelado","",$I27),"")</f>
      </c>
      <c r="BJ27" s="202">
        <f>IF($C27,IFERROR(MATCH($D27,$D$7:$D$200,0)+6,ROW()),"")</f>
      </c>
      <c r="BK27" s="202">
        <f>IF(AND($C27,ISNUMBER($AV27)),$BJ27*1000000+$AV27*1000+ROW(),"")</f>
      </c>
      <c r="BL27" s="202">
        <f>IF(AND($C27,ISNUMBER($AW27)),ROUND(($AW27-('Sprints'!$C$5+('Sprints'!$E$5-1)*'Sprints'!$D$5))/'Sprints'!$D$5,0),"")</f>
      </c>
      <c r="BM27" s="203">
        <f>IF($C27,IF(NOT(ISNUMBER($BL27)),"",IF($BL27&lt;0,"Pasada",IF($BL27=0,"Actual",IF($BL27=1,"Siguiente",IF($BL27=2,"+2 sem",IF($BL27=3,"+3 sem","Posterior")))))),"")</f>
      </c>
      <c r="BN27" s="202">
        <f>IF(AND($C27,ISNUMBER($AR27),ISNUMBER($AV27)),MAX(1,$AV27-$AR27+1),0)</f>
        <v>0</v>
      </c>
      <c r="BO27" s="202">
        <f>SUM($BN$7:$BN27)-$BN27</f>
        <v>11</v>
      </c>
      <c r="BP27" s="202">
        <f>IF(AND($C27,ISNUMBER($AV27)),$AQ27+$AV27*$AP27*'Sprints'!$D$5-'Sprints'!$D$5,"")</f>
      </c>
      <c r="BQ27" s="202">
        <f>IF(AND($C27,ISNUMBER($BP27)),$BP27*1000+ROW(),"")</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IF($C28,IF('Backlog General'!$G28="Completada",1,IF('Backlog General'!$G28="Casi lista",0.75,IF('Backlog General'!$G28="En progreso",0.5,IF('Backlog General'!$G28="Iniciada",0.25,0)))),"")</f>
        <v>0.75</v>
      </c>
      <c r="J28" s="203" t="str">
        <f>IF($C28,IF($I28&gt;=1,"Completado",IF(NOT(ISNUMBER($H28)),"Sin fecha",IF($H28&lt;TODAY(),"Vencido",IF(($H28-TODAY())&lt;='Entregas Próximas'!$M$3,"Próximo a vencer","En curso")))),"")</f>
        <v>Vencido</v>
      </c>
      <c r="K28" s="202">
        <f>IF(AND($C28,ISNUMBER($H28)),$H28-TODAY(),"")</f>
        <v>-11</v>
      </c>
      <c r="L28" s="202">
        <f>IF(AND($C28,ISNUMBER($H28)),$AD28*1000000+$H28+ROW()/100000,"")</f>
        <v>1046188.00028</v>
      </c>
      <c r="M28" s="202">
        <f>IF($C28,IF($AD28=9999,"(Sin sprint)",$AD28),"")</f>
        <v>1</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18</v>
      </c>
      <c r="U28" s="202">
        <f>IF($C28,MEDIAN(0,(TODAY()-'Proyecto Datos (OKR´s)'!$K28)/MAX(1,$R28-'Proyecto Datos (OKR´s)'!$K28),1),"")</f>
        <v>1</v>
      </c>
      <c r="V28" s="202">
        <f>IF($C28,$I28-$U28,"")</f>
        <v>-0.25</v>
      </c>
      <c r="W28" s="202">
        <f>IF($C28,IF(OR($J28="Completado",NOT(ISNUMBER($H28))),0,MAX(0,TODAY()-$H28)),"")</f>
        <v>11</v>
      </c>
      <c r="X28" s="202">
        <f>IF($C28,IF(ISNUMBER($H28),$R28-$H28,0),"")</f>
        <v>0</v>
      </c>
      <c r="Y28" s="202">
        <f>IF($C28,COUNTIFS($G$7:$G$200,$G28,$J$7:$J$200,"&lt;&gt;Completado",$J$7:$J$200,"&lt;&gt;"),"")</f>
        <v>0</v>
      </c>
      <c r="Z28" s="202" t="b">
        <f>IF($C28,AND($I28=0,'Proyecto Datos (OKR´s)'!$K28&lt;=TODAY(),$J28&lt;&gt;"Completado"),"")</f>
        <v>0</v>
      </c>
      <c r="AA28" s="202">
        <f>IF($C28,ROUND(100*(0.35*$AK28+0.3*$AL28+0.2*$AM28+0.15*MEDIAN(0,($Y28-4)/8,1)),0),"")</f>
        <v>52</v>
      </c>
      <c r="AB28" s="203" t="str">
        <f>IF($C28,IF(OR($J28="Completado",$J28="Sin fecha"),"—",IF($AA28&gt;=70,"Crítica",IF($AA28&gt;=45,"Alta",IF($AA28&gt;=25,"Media","Baja")))),"")</f>
        <v>Alta</v>
      </c>
      <c r="AC28" s="203" t="str">
        <f>IF($C28,IF(LEN(TRIM($AN28))=0,"—",TRIM($AN28)),"")</f>
        <v>ATRASO</v>
      </c>
      <c r="AD28" s="202">
        <f>IF($C28,$AV28,"")</f>
        <v>1</v>
      </c>
      <c r="AE28" s="202" t="str">
        <f>IF($C28,$AZ28,"")</f>
        <v>Semanal · S1</v>
      </c>
      <c r="AF28" s="202" t="b">
        <f>IF($C28,$AV28&lt;&gt;$AR28,FALSE)</f>
        <v>0</v>
      </c>
      <c r="AG28" s="202">
        <f>IF($C28,IF($AV28&lt;&gt;$AR28,$AW28,""),"")</f>
      </c>
      <c r="AH28" s="203">
        <f>IF($C28,IF(ISBLANK('Backlog General'!$K28),"",'Backlog General'!$K28),"")</f>
      </c>
      <c r="AI28" s="202">
        <f>IF($C28,$AV28*100000+ROW(),"")</f>
        <v>100028</v>
      </c>
      <c r="AJ28" s="202">
        <f>IF(AND($C28,ISNUMBER($H28)),$AA28*1000000-MEDIAN(-9999,$K28,9999)*100+(300-ROW()),"")</f>
        <v>52001372</v>
      </c>
      <c r="AK28" s="202">
        <f>IF($C28,IF($J28="Completado",0,IF($K28&lt;0,1,IF($K28&lt;=3,0.9,IF($K28&lt;=7,0.7,IF($K28&lt;=14,0.45,0.2))))),"")</f>
        <v>1</v>
      </c>
      <c r="AL28" s="202">
        <f>IF($C28,IF($J28="Completado",0,MEDIAN(0,MAX(-$V28,$W28/30),1)),"")</f>
        <v>0.36666666666666664</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t="str">
        <f>IF($C28,'Backlog General'!$G28,"")</f>
        <v>Casi lista</v>
      </c>
      <c r="AU28" s="203">
        <f>IF($C28,'Backlog General'!$H28,"")</f>
        <v>0</v>
      </c>
      <c r="AV28" s="202">
        <f>IF(AND($C28,ISNUMBER($AR28)),IF(AND(ISNUMBER('Backlog General'!$M28),'Backlog General'!$M28&gt;=$AR28),'Backlog General'!$M28,IF(AND($AU28="Pasa al siguiente",$AT28&lt;&gt;"Completada"),$AR28+1,$AR28)),"")</f>
        <v>1</v>
      </c>
      <c r="AW28" s="202">
        <f>IF(AND($C28,ISNUMBER($AR28)),$AQ28+$AR28*$AP28*'Sprints'!$D$5-'Sprints'!$D$5,"")</f>
        <v>46192</v>
      </c>
      <c r="AX28" s="202">
        <f>IF($C28,IF(OR($AT28="Completada",$AU28="Cancelado",$AU28="Baja prioridad",NOT(ISNUMBER($AW28))),0,IF(TODAY()&gt;$AW28,NETWORKDAYS($AW28,TODAY(),'Sprints'!$L$5:$L$40)-1,0)),"")</f>
        <v>5</v>
      </c>
      <c r="AY28" s="203" t="str">
        <f>IF($C28,IF(NOT(ISNUMBER($AR28)),"Sin fecha",IF($AT28="Completada","Completada",IF($AU28="Cancelado","Cancelado",IF($AU28="Baja prioridad","Baja prioridad",IF($AX28&gt;0,"Vencida","En curso"))))),"")</f>
        <v>Vencida</v>
      </c>
      <c r="AZ28" s="203" t="str">
        <f>IF($C28,IF(ISNUMBER($AV28),$AO28&amp;" · S"&amp;$AV28,"(Sin fecha)"),"")</f>
        <v>Semanal · S1</v>
      </c>
      <c r="BA28" s="202">
        <f>IF(AND($C28,ISNUMBER($AR28),$AR28=$AS28),"Nuevo","")</f>
      </c>
      <c r="BB28" s="202">
        <f>IF(AND($C28,$AO28="Semanal",ISNUMBER($AV28)),$AV28*100000+ROW(),"")</f>
        <v>100028</v>
      </c>
      <c r="BC28" s="202">
        <f>IF(AND($C28,$AO28="Quincenal",ISNUMBER($AV28)),$AV28*100000+ROW(),"")</f>
      </c>
      <c r="BD28" s="202">
        <f>IF(AND($C28,$AO28="Mensual",ISNUMBER($AV28)),$AV28*100000+ROW(),"")</f>
      </c>
      <c r="BE28" s="203">
        <f>IF($C28,IF(ISBLANK('Backlog General'!$J28),"",'Backlog General'!$J28),"")</f>
      </c>
      <c r="BF28" s="203">
        <f>IF($C28,IF($BE28="","",$BE28)&amp;IF(AND($BE28&lt;&gt;"",$AH28&lt;&gt;"")," · ","")&amp;IF($AH28="","",$AH28),"")</f>
      </c>
      <c r="BG28" s="203" t="str">
        <f>IF($C28,IF($J28="Completado","Sí","No"),"")</f>
        <v>No</v>
      </c>
      <c r="BH28" s="202">
        <f>IF(AND($C28,ISNUMBER($AR28)),IF($AO28="Semanal",1,IF($AO28="Quincenal",2,3))*1000000000+$AR28*100000+ROW(),"")</f>
        <v>1000100028</v>
      </c>
      <c r="BI28" s="202">
        <f>IF($C28,IF($AU28="Cancelado","",$I28),"")</f>
        <v>0.75</v>
      </c>
      <c r="BJ28" s="202">
        <f>IF($C28,IFERROR(MATCH($D28,$D$7:$D$200,0)+6,ROW()),"")</f>
        <v>28</v>
      </c>
      <c r="BK28" s="202">
        <f>IF(AND($C28,ISNUMBER($AV28)),$BJ28*1000000+$AV28*1000+ROW(),"")</f>
        <v>28001028</v>
      </c>
      <c r="BL28" s="202">
        <f>IF(AND($C28,ISNUMBER($AW28)),ROUND(($AW28-('Sprints'!$C$5+('Sprints'!$E$5-1)*'Sprints'!$D$5))/'Sprints'!$D$5,0),"")</f>
        <v>-1</v>
      </c>
      <c r="BM28" s="203" t="str">
        <f>IF($C28,IF(NOT(ISNUMBER($BL28)),"",IF($BL28&lt;0,"Pasada",IF($BL28=0,"Actual",IF($BL28=1,"Siguiente",IF($BL28=2,"+2 sem",IF($BL28=3,"+3 sem","Posterior")))))),"")</f>
        <v>Pasada</v>
      </c>
      <c r="BN28" s="202">
        <f>IF(AND($C28,ISNUMBER($AR28),ISNUMBER($AV28)),MAX(1,$AV28-$AR28+1),0)</f>
        <v>1</v>
      </c>
      <c r="BO28" s="202">
        <f>SUM($BN$7:$BN28)-$BN28</f>
        <v>11</v>
      </c>
      <c r="BP28" s="202">
        <f>IF(AND($C28,ISNUMBER($AV28)),$AQ28+$AV28*$AP28*'Sprints'!$D$5-'Sprints'!$D$5,"")</f>
        <v>46192</v>
      </c>
      <c r="BQ28" s="202">
        <f>IF(AND($C28,ISNUMBER($BP28)),$BP28*1000+ROW(),"")</f>
        <v>46192028</v>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IF($C29,IF('Backlog General'!$G29="Completada",1,IF('Backlog General'!$G29="Casi lista",0.75,IF('Backlog General'!$G29="En progreso",0.5,IF('Backlog General'!$G29="Iniciada",0.25,0)))),"")</f>
        <v>0.75</v>
      </c>
      <c r="J29" s="203" t="str">
        <f>IF($C29,IF($I29&gt;=1,"Completado",IF(NOT(ISNUMBER($H29)),"Sin fecha",IF($H29&lt;TODAY(),"Vencido",IF(($H29-TODAY())&lt;='Entregas Próximas'!$M$3,"Próximo a vencer","En curso")))),"")</f>
        <v>Vencido</v>
      </c>
      <c r="K29" s="202">
        <f>IF(AND($C29,ISNUMBER($H29)),$H29-TODAY(),"")</f>
        <v>-11</v>
      </c>
      <c r="L29" s="202">
        <f>IF(AND($C29,ISNUMBER($H29)),$AD29*1000000+$H29+ROW()/100000,"")</f>
        <v>1046188.00029</v>
      </c>
      <c r="M29" s="202">
        <f>IF($C29,IF($AD29=9999,"(Sin sprint)",$AD29),"")</f>
        <v>1</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207</v>
      </c>
      <c r="U29" s="202">
        <f>IF($C29,MEDIAN(0,(TODAY()-'Proyecto Datos (OKR´s)'!$K29)/MAX(1,$R29-'Proyecto Datos (OKR´s)'!$K29),1),"")</f>
        <v>1</v>
      </c>
      <c r="V29" s="202">
        <f>IF($C29,$I29-$U29,"")</f>
        <v>-0.25</v>
      </c>
      <c r="W29" s="202">
        <f>IF($C29,IF(OR($J29="Completado",NOT(ISNUMBER($H29))),0,MAX(0,TODAY()-$H29)),"")</f>
        <v>11</v>
      </c>
      <c r="X29" s="202">
        <f>IF($C29,IF(ISNUMBER($H29),$R29-$H29,0),"")</f>
        <v>0</v>
      </c>
      <c r="Y29" s="202">
        <f>IF($C29,COUNTIFS($G$7:$G$200,$G29,$J$7:$J$200,"&lt;&gt;Completado",$J$7:$J$200,"&lt;&gt;"),"")</f>
        <v>0</v>
      </c>
      <c r="Z29" s="202" t="b">
        <f>IF($C29,AND($I29=0,'Proyecto Datos (OKR´s)'!$K29&lt;=TODAY(),$J29&lt;&gt;"Completado"),"")</f>
        <v>0</v>
      </c>
      <c r="AA29" s="202">
        <f>IF($C29,ROUND(100*(0.35*$AK29+0.3*$AL29+0.2*$AM29+0.15*MEDIAN(0,($Y29-4)/8,1)),0),"")</f>
        <v>52</v>
      </c>
      <c r="AB29" s="203" t="str">
        <f>IF($C29,IF(OR($J29="Completado",$J29="Sin fecha"),"—",IF($AA29&gt;=70,"Crítica",IF($AA29&gt;=45,"Alta",IF($AA29&gt;=25,"Media","Baja")))),"")</f>
        <v>Alta</v>
      </c>
      <c r="AC29" s="203" t="str">
        <f>IF($C29,IF(LEN(TRIM($AN29))=0,"—",TRIM($AN29)),"")</f>
        <v>ATRASO</v>
      </c>
      <c r="AD29" s="202">
        <f>IF($C29,$AV29,"")</f>
        <v>1</v>
      </c>
      <c r="AE29" s="202" t="str">
        <f>IF($C29,$AZ29,"")</f>
        <v>Semanal · S1</v>
      </c>
      <c r="AF29" s="202" t="b">
        <f>IF($C29,$AV29&lt;&gt;$AR29,FALSE)</f>
        <v>0</v>
      </c>
      <c r="AG29" s="202">
        <f>IF($C29,IF($AV29&lt;&gt;$AR29,$AW29,""),"")</f>
      </c>
      <c r="AH29" s="203">
        <f>IF($C29,IF(ISBLANK('Backlog General'!$K29),"",'Backlog General'!$K29),"")</f>
      </c>
      <c r="AI29" s="202">
        <f>IF($C29,$AV29*100000+ROW(),"")</f>
        <v>100029</v>
      </c>
      <c r="AJ29" s="202">
        <f>IF(AND($C29,ISNUMBER($H29)),$AA29*1000000-MEDIAN(-9999,$K29,9999)*100+(300-ROW()),"")</f>
        <v>52001371</v>
      </c>
      <c r="AK29" s="202">
        <f>IF($C29,IF($J29="Completado",0,IF($K29&lt;0,1,IF($K29&lt;=3,0.9,IF($K29&lt;=7,0.7,IF($K29&lt;=14,0.45,0.2))))),"")</f>
        <v>1</v>
      </c>
      <c r="AL29" s="202">
        <f>IF($C29,IF($J29="Completado",0,MEDIAN(0,MAX(-$V29,$W29/30),1)),"")</f>
        <v>0.36666666666666664</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t="str">
        <f>IF($C29,'Backlog General'!$G29,"")</f>
        <v>Casi lista</v>
      </c>
      <c r="AU29" s="203">
        <f>IF($C29,'Backlog General'!$H29,"")</f>
        <v>0</v>
      </c>
      <c r="AV29" s="202">
        <f>IF(AND($C29,ISNUMBER($AR29)),IF(AND(ISNUMBER('Backlog General'!$M29),'Backlog General'!$M29&gt;=$AR29),'Backlog General'!$M29,IF(AND($AU29="Pasa al siguiente",$AT29&lt;&gt;"Completada"),$AR29+1,$AR29)),"")</f>
        <v>1</v>
      </c>
      <c r="AW29" s="202">
        <f>IF(AND($C29,ISNUMBER($AR29)),$AQ29+$AR29*$AP29*'Sprints'!$D$5-'Sprints'!$D$5,"")</f>
        <v>46192</v>
      </c>
      <c r="AX29" s="202">
        <f>IF($C29,IF(OR($AT29="Completada",$AU29="Cancelado",$AU29="Baja prioridad",NOT(ISNUMBER($AW29))),0,IF(TODAY()&gt;$AW29,NETWORKDAYS($AW29,TODAY(),'Sprints'!$L$5:$L$40)-1,0)),"")</f>
        <v>5</v>
      </c>
      <c r="AY29" s="203" t="str">
        <f>IF($C29,IF(NOT(ISNUMBER($AR29)),"Sin fecha",IF($AT29="Completada","Completada",IF($AU29="Cancelado","Cancelado",IF($AU29="Baja prioridad","Baja prioridad",IF($AX29&gt;0,"Vencida","En curso"))))),"")</f>
        <v>Vencida</v>
      </c>
      <c r="AZ29" s="203" t="str">
        <f>IF($C29,IF(ISNUMBER($AV29),$AO29&amp;" · S"&amp;$AV29,"(Sin fecha)"),"")</f>
        <v>Semanal · S1</v>
      </c>
      <c r="BA29" s="202">
        <f>IF(AND($C29,ISNUMBER($AR29),$AR29=$AS29),"Nuevo","")</f>
      </c>
      <c r="BB29" s="202">
        <f>IF(AND($C29,$AO29="Semanal",ISNUMBER($AV29)),$AV29*100000+ROW(),"")</f>
        <v>100029</v>
      </c>
      <c r="BC29" s="202">
        <f>IF(AND($C29,$AO29="Quincenal",ISNUMBER($AV29)),$AV29*100000+ROW(),"")</f>
      </c>
      <c r="BD29" s="202">
        <f>IF(AND($C29,$AO29="Mensual",ISNUMBER($AV29)),$AV29*100000+ROW(),"")</f>
      </c>
      <c r="BE29" s="203">
        <f>IF($C29,IF(ISBLANK('Backlog General'!$J29),"",'Backlog General'!$J29),"")</f>
      </c>
      <c r="BF29" s="203">
        <f>IF($C29,IF($BE29="","",$BE29)&amp;IF(AND($BE29&lt;&gt;"",$AH29&lt;&gt;"")," · ","")&amp;IF($AH29="","",$AH29),"")</f>
      </c>
      <c r="BG29" s="203" t="str">
        <f>IF($C29,IF($J29="Completado","Sí","No"),"")</f>
        <v>No</v>
      </c>
      <c r="BH29" s="202">
        <f>IF(AND($C29,ISNUMBER($AR29)),IF($AO29="Semanal",1,IF($AO29="Quincenal",2,3))*1000000000+$AR29*100000+ROW(),"")</f>
        <v>1000100029</v>
      </c>
      <c r="BI29" s="202">
        <f>IF($C29,IF($AU29="Cancelado","",$I29),"")</f>
        <v>0.75</v>
      </c>
      <c r="BJ29" s="202">
        <f>IF($C29,IFERROR(MATCH($D29,$D$7:$D$200,0)+6,ROW()),"")</f>
        <v>28</v>
      </c>
      <c r="BK29" s="202">
        <f>IF(AND($C29,ISNUMBER($AV29)),$BJ29*1000000+$AV29*1000+ROW(),"")</f>
        <v>28001029</v>
      </c>
      <c r="BL29" s="202">
        <f>IF(AND($C29,ISNUMBER($AW29)),ROUND(($AW29-('Sprints'!$C$5+('Sprints'!$E$5-1)*'Sprints'!$D$5))/'Sprints'!$D$5,0),"")</f>
        <v>-1</v>
      </c>
      <c r="BM29" s="203" t="str">
        <f>IF($C29,IF(NOT(ISNUMBER($BL29)),"",IF($BL29&lt;0,"Pasada",IF($BL29=0,"Actual",IF($BL29=1,"Siguiente",IF($BL29=2,"+2 sem",IF($BL29=3,"+3 sem","Posterior")))))),"")</f>
        <v>Pasada</v>
      </c>
      <c r="BN29" s="202">
        <f>IF(AND($C29,ISNUMBER($AR29),ISNUMBER($AV29)),MAX(1,$AV29-$AR29+1),0)</f>
        <v>1</v>
      </c>
      <c r="BO29" s="202">
        <f>SUM($BN$7:$BN29)-$BN29</f>
        <v>12</v>
      </c>
      <c r="BP29" s="202">
        <f>IF(AND($C29,ISNUMBER($AV29)),$AQ29+$AV29*$AP29*'Sprints'!$D$5-'Sprints'!$D$5,"")</f>
        <v>46192</v>
      </c>
      <c r="BQ29" s="202">
        <f>IF(AND($C29,ISNUMBER($BP29)),$BP29*1000+ROW(),"")</f>
        <v>46192029</v>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IF($C30,IF('Backlog General'!$G30="Completada",1,IF('Backlog General'!$G30="Casi lista",0.75,IF('Backlog General'!$G30="En progreso",0.5,IF('Backlog General'!$G30="Iniciada",0.25,0)))),"")</f>
        <v>0.75</v>
      </c>
      <c r="J30" s="203" t="str">
        <f>IF($C30,IF($I30&gt;=1,"Completado",IF(NOT(ISNUMBER($H30)),"Sin fecha",IF($H30&lt;TODAY(),"Vencido",IF(($H30-TODAY())&lt;='Entregas Próximas'!$M$3,"Próximo a vencer","En curso")))),"")</f>
        <v>Vencido</v>
      </c>
      <c r="K30" s="202">
        <f>IF(AND($C30,ISNUMBER($H30)),$H30-TODAY(),"")</f>
        <v>-11</v>
      </c>
      <c r="L30" s="202">
        <f>IF(AND($C30,ISNUMBER($H30)),$AD30*1000000+$H30+ROW()/100000,"")</f>
        <v>1046188.0003</v>
      </c>
      <c r="M30" s="202">
        <f>IF($C30,IF($AD30=9999,"(Sin sprint)",$AD30),"")</f>
        <v>1</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207</v>
      </c>
      <c r="U30" s="202">
        <f>IF($C30,MEDIAN(0,(TODAY()-'Proyecto Datos (OKR´s)'!$K30)/MAX(1,$R30-'Proyecto Datos (OKR´s)'!$K30),1),"")</f>
        <v>1</v>
      </c>
      <c r="V30" s="202">
        <f>IF($C30,$I30-$U30,"")</f>
        <v>-0.25</v>
      </c>
      <c r="W30" s="202">
        <f>IF($C30,IF(OR($J30="Completado",NOT(ISNUMBER($H30))),0,MAX(0,TODAY()-$H30)),"")</f>
        <v>11</v>
      </c>
      <c r="X30" s="202">
        <f>IF($C30,IF(ISNUMBER($H30),$R30-$H30,0),"")</f>
        <v>0</v>
      </c>
      <c r="Y30" s="202">
        <f>IF($C30,COUNTIFS($G$7:$G$200,$G30,$J$7:$J$200,"&lt;&gt;Completado",$J$7:$J$200,"&lt;&gt;"),"")</f>
        <v>0</v>
      </c>
      <c r="Z30" s="202" t="b">
        <f>IF($C30,AND($I30=0,'Proyecto Datos (OKR´s)'!$K30&lt;=TODAY(),$J30&lt;&gt;"Completado"),"")</f>
        <v>0</v>
      </c>
      <c r="AA30" s="202">
        <f>IF($C30,ROUND(100*(0.35*$AK30+0.3*$AL30+0.2*$AM30+0.15*MEDIAN(0,($Y30-4)/8,1)),0),"")</f>
        <v>52</v>
      </c>
      <c r="AB30" s="203" t="str">
        <f>IF($C30,IF(OR($J30="Completado",$J30="Sin fecha"),"—",IF($AA30&gt;=70,"Crítica",IF($AA30&gt;=45,"Alta",IF($AA30&gt;=25,"Media","Baja")))),"")</f>
        <v>Alta</v>
      </c>
      <c r="AC30" s="203" t="str">
        <f>IF($C30,IF(LEN(TRIM($AN30))=0,"—",TRIM($AN30)),"")</f>
        <v>ATRASO</v>
      </c>
      <c r="AD30" s="202">
        <f>IF($C30,$AV30,"")</f>
        <v>1</v>
      </c>
      <c r="AE30" s="202" t="str">
        <f>IF($C30,$AZ30,"")</f>
        <v>Semanal · S1</v>
      </c>
      <c r="AF30" s="202" t="b">
        <f>IF($C30,$AV30&lt;&gt;$AR30,FALSE)</f>
        <v>0</v>
      </c>
      <c r="AG30" s="202">
        <f>IF($C30,IF($AV30&lt;&gt;$AR30,$AW30,""),"")</f>
      </c>
      <c r="AH30" s="203">
        <f>IF($C30,IF(ISBLANK('Backlog General'!$K30),"",'Backlog General'!$K30),"")</f>
      </c>
      <c r="AI30" s="202">
        <f>IF($C30,$AV30*100000+ROW(),"")</f>
        <v>100030</v>
      </c>
      <c r="AJ30" s="202">
        <f>IF(AND($C30,ISNUMBER($H30)),$AA30*1000000-MEDIAN(-9999,$K30,9999)*100+(300-ROW()),"")</f>
        <v>52001370</v>
      </c>
      <c r="AK30" s="202">
        <f>IF($C30,IF($J30="Completado",0,IF($K30&lt;0,1,IF($K30&lt;=3,0.9,IF($K30&lt;=7,0.7,IF($K30&lt;=14,0.45,0.2))))),"")</f>
        <v>1</v>
      </c>
      <c r="AL30" s="202">
        <f>IF($C30,IF($J30="Completado",0,MEDIAN(0,MAX(-$V30,$W30/30),1)),"")</f>
        <v>0.36666666666666664</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t="str">
        <f>IF($C30,'Backlog General'!$G30,"")</f>
        <v>Casi lista</v>
      </c>
      <c r="AU30" s="203">
        <f>IF($C30,'Backlog General'!$H30,"")</f>
        <v>0</v>
      </c>
      <c r="AV30" s="202">
        <f>IF(AND($C30,ISNUMBER($AR30)),IF(AND(ISNUMBER('Backlog General'!$M30),'Backlog General'!$M30&gt;=$AR30),'Backlog General'!$M30,IF(AND($AU30="Pasa al siguiente",$AT30&lt;&gt;"Completada"),$AR30+1,$AR30)),"")</f>
        <v>1</v>
      </c>
      <c r="AW30" s="202">
        <f>IF(AND($C30,ISNUMBER($AR30)),$AQ30+$AR30*$AP30*'Sprints'!$D$5-'Sprints'!$D$5,"")</f>
        <v>46192</v>
      </c>
      <c r="AX30" s="202">
        <f>IF($C30,IF(OR($AT30="Completada",$AU30="Cancelado",$AU30="Baja prioridad",NOT(ISNUMBER($AW30))),0,IF(TODAY()&gt;$AW30,NETWORKDAYS($AW30,TODAY(),'Sprints'!$L$5:$L$40)-1,0)),"")</f>
        <v>5</v>
      </c>
      <c r="AY30" s="203" t="str">
        <f>IF($C30,IF(NOT(ISNUMBER($AR30)),"Sin fecha",IF($AT30="Completada","Completada",IF($AU30="Cancelado","Cancelado",IF($AU30="Baja prioridad","Baja prioridad",IF($AX30&gt;0,"Vencida","En curso"))))),"")</f>
        <v>Vencida</v>
      </c>
      <c r="AZ30" s="203" t="str">
        <f>IF($C30,IF(ISNUMBER($AV30),$AO30&amp;" · S"&amp;$AV30,"(Sin fecha)"),"")</f>
        <v>Semanal · S1</v>
      </c>
      <c r="BA30" s="202">
        <f>IF(AND($C30,ISNUMBER($AR30),$AR30=$AS30),"Nuevo","")</f>
      </c>
      <c r="BB30" s="202">
        <f>IF(AND($C30,$AO30="Semanal",ISNUMBER($AV30)),$AV30*100000+ROW(),"")</f>
        <v>100030</v>
      </c>
      <c r="BC30" s="202">
        <f>IF(AND($C30,$AO30="Quincenal",ISNUMBER($AV30)),$AV30*100000+ROW(),"")</f>
      </c>
      <c r="BD30" s="202">
        <f>IF(AND($C30,$AO30="Mensual",ISNUMBER($AV30)),$AV30*100000+ROW(),"")</f>
      </c>
      <c r="BE30" s="203">
        <f>IF($C30,IF(ISBLANK('Backlog General'!$J30),"",'Backlog General'!$J30),"")</f>
      </c>
      <c r="BF30" s="203">
        <f>IF($C30,IF($BE30="","",$BE30)&amp;IF(AND($BE30&lt;&gt;"",$AH30&lt;&gt;"")," · ","")&amp;IF($AH30="","",$AH30),"")</f>
      </c>
      <c r="BG30" s="203" t="str">
        <f>IF($C30,IF($J30="Completado","Sí","No"),"")</f>
        <v>No</v>
      </c>
      <c r="BH30" s="202">
        <f>IF(AND($C30,ISNUMBER($AR30)),IF($AO30="Semanal",1,IF($AO30="Quincenal",2,3))*1000000000+$AR30*100000+ROW(),"")</f>
        <v>1000100030</v>
      </c>
      <c r="BI30" s="202">
        <f>IF($C30,IF($AU30="Cancelado","",$I30),"")</f>
        <v>0.75</v>
      </c>
      <c r="BJ30" s="202">
        <f>IF($C30,IFERROR(MATCH($D30,$D$7:$D$200,0)+6,ROW()),"")</f>
        <v>28</v>
      </c>
      <c r="BK30" s="202">
        <f>IF(AND($C30,ISNUMBER($AV30)),$BJ30*1000000+$AV30*1000+ROW(),"")</f>
        <v>28001030</v>
      </c>
      <c r="BL30" s="202">
        <f>IF(AND($C30,ISNUMBER($AW30)),ROUND(($AW30-('Sprints'!$C$5+('Sprints'!$E$5-1)*'Sprints'!$D$5))/'Sprints'!$D$5,0),"")</f>
        <v>-1</v>
      </c>
      <c r="BM30" s="203" t="str">
        <f>IF($C30,IF(NOT(ISNUMBER($BL30)),"",IF($BL30&lt;0,"Pasada",IF($BL30=0,"Actual",IF($BL30=1,"Siguiente",IF($BL30=2,"+2 sem",IF($BL30=3,"+3 sem","Posterior")))))),"")</f>
        <v>Pasada</v>
      </c>
      <c r="BN30" s="202">
        <f>IF(AND($C30,ISNUMBER($AR30),ISNUMBER($AV30)),MAX(1,$AV30-$AR30+1),0)</f>
        <v>1</v>
      </c>
      <c r="BO30" s="202">
        <f>SUM($BN$7:$BN30)-$BN30</f>
        <v>13</v>
      </c>
      <c r="BP30" s="202">
        <f>IF(AND($C30,ISNUMBER($AV30)),$AQ30+$AV30*$AP30*'Sprints'!$D$5-'Sprints'!$D$5,"")</f>
        <v>46192</v>
      </c>
      <c r="BQ30" s="202">
        <f>IF(AND($C30,ISNUMBER($BP30)),$BP30*1000+ROW(),"")</f>
        <v>46192030</v>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IF($C31,IF('Backlog General'!$G31="Completada",1,IF('Backlog General'!$G31="Casi lista",0.75,IF('Backlog General'!$G31="En progreso",0.5,IF('Backlog General'!$G31="Iniciada",0.25,0)))),"")</f>
        <v>0.75</v>
      </c>
      <c r="J31" s="203" t="str">
        <f>IF($C31,IF($I31&gt;=1,"Completado",IF(NOT(ISNUMBER($H31)),"Sin fecha",IF($H31&lt;TODAY(),"Vencido",IF(($H31-TODAY())&lt;='Entregas Próximas'!$M$3,"Próximo a vencer","En curso")))),"")</f>
        <v>Vencido</v>
      </c>
      <c r="K31" s="202">
        <f>IF(AND($C31,ISNUMBER($H31)),$H31-TODAY(),"")</f>
        <v>-11</v>
      </c>
      <c r="L31" s="202">
        <f>IF(AND($C31,ISNUMBER($H31)),$AD31*1000000+$H31+ROW()/100000,"")</f>
        <v>1046188.00031</v>
      </c>
      <c r="M31" s="202">
        <f>IF($C31,IF($AD31=9999,"(Sin sprint)",$AD31),"")</f>
        <v>1</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176</v>
      </c>
      <c r="U31" s="202">
        <f>IF($C31,MEDIAN(0,(TODAY()-'Proyecto Datos (OKR´s)'!$K31)/MAX(1,$R31-'Proyecto Datos (OKR´s)'!$K31),1),"")</f>
        <v>1</v>
      </c>
      <c r="V31" s="202">
        <f>IF($C31,$I31-$U31,"")</f>
        <v>-0.25</v>
      </c>
      <c r="W31" s="202">
        <f>IF($C31,IF(OR($J31="Completado",NOT(ISNUMBER($H31))),0,MAX(0,TODAY()-$H31)),"")</f>
        <v>11</v>
      </c>
      <c r="X31" s="202">
        <f>IF($C31,IF(ISNUMBER($H31),$R31-$H31,0),"")</f>
        <v>0</v>
      </c>
      <c r="Y31" s="202">
        <f>IF($C31,COUNTIFS($G$7:$G$200,$G31,$J$7:$J$200,"&lt;&gt;Completado",$J$7:$J$200,"&lt;&gt;"),"")</f>
        <v>0</v>
      </c>
      <c r="Z31" s="202" t="b">
        <f>IF($C31,AND($I31=0,'Proyecto Datos (OKR´s)'!$K31&lt;=TODAY(),$J31&lt;&gt;"Completado"),"")</f>
        <v>0</v>
      </c>
      <c r="AA31" s="202">
        <f>IF($C31,ROUND(100*(0.35*$AK31+0.3*$AL31+0.2*$AM31+0.15*MEDIAN(0,($Y31-4)/8,1)),0),"")</f>
        <v>52</v>
      </c>
      <c r="AB31" s="203" t="str">
        <f>IF($C31,IF(OR($J31="Completado",$J31="Sin fecha"),"—",IF($AA31&gt;=70,"Crítica",IF($AA31&gt;=45,"Alta",IF($AA31&gt;=25,"Media","Baja")))),"")</f>
        <v>Alta</v>
      </c>
      <c r="AC31" s="203" t="str">
        <f>IF($C31,IF(LEN(TRIM($AN31))=0,"—",TRIM($AN31)),"")</f>
        <v>ATRASO</v>
      </c>
      <c r="AD31" s="202">
        <f>IF($C31,$AV31,"")</f>
        <v>1</v>
      </c>
      <c r="AE31" s="202" t="str">
        <f>IF($C31,$AZ31,"")</f>
        <v>Semanal · S1</v>
      </c>
      <c r="AF31" s="202" t="b">
        <f>IF($C31,$AV31&lt;&gt;$AR31,FALSE)</f>
        <v>0</v>
      </c>
      <c r="AG31" s="202">
        <f>IF($C31,IF($AV31&lt;&gt;$AR31,$AW31,""),"")</f>
      </c>
      <c r="AH31" s="203">
        <f>IF($C31,IF(ISBLANK('Backlog General'!$K31),"",'Backlog General'!$K31),"")</f>
      </c>
      <c r="AI31" s="202">
        <f>IF($C31,$AV31*100000+ROW(),"")</f>
        <v>100031</v>
      </c>
      <c r="AJ31" s="202">
        <f>IF(AND($C31,ISNUMBER($H31)),$AA31*1000000-MEDIAN(-9999,$K31,9999)*100+(300-ROW()),"")</f>
        <v>52001369</v>
      </c>
      <c r="AK31" s="202">
        <f>IF($C31,IF($J31="Completado",0,IF($K31&lt;0,1,IF($K31&lt;=3,0.9,IF($K31&lt;=7,0.7,IF($K31&lt;=14,0.45,0.2))))),"")</f>
        <v>1</v>
      </c>
      <c r="AL31" s="202">
        <f>IF($C31,IF($J31="Completado",0,MEDIAN(0,MAX(-$V31,$W31/30),1)),"")</f>
        <v>0.36666666666666664</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t="str">
        <f>IF($C31,'Backlog General'!$G31,"")</f>
        <v>Casi lista</v>
      </c>
      <c r="AU31" s="203">
        <f>IF($C31,'Backlog General'!$H31,"")</f>
        <v>0</v>
      </c>
      <c r="AV31" s="202">
        <f>IF(AND($C31,ISNUMBER($AR31)),IF(AND(ISNUMBER('Backlog General'!$M31),'Backlog General'!$M31&gt;=$AR31),'Backlog General'!$M31,IF(AND($AU31="Pasa al siguiente",$AT31&lt;&gt;"Completada"),$AR31+1,$AR31)),"")</f>
        <v>1</v>
      </c>
      <c r="AW31" s="202">
        <f>IF(AND($C31,ISNUMBER($AR31)),$AQ31+$AR31*$AP31*'Sprints'!$D$5-'Sprints'!$D$5,"")</f>
        <v>46192</v>
      </c>
      <c r="AX31" s="202">
        <f>IF($C31,IF(OR($AT31="Completada",$AU31="Cancelado",$AU31="Baja prioridad",NOT(ISNUMBER($AW31))),0,IF(TODAY()&gt;$AW31,NETWORKDAYS($AW31,TODAY(),'Sprints'!$L$5:$L$40)-1,0)),"")</f>
        <v>5</v>
      </c>
      <c r="AY31" s="203" t="str">
        <f>IF($C31,IF(NOT(ISNUMBER($AR31)),"Sin fecha",IF($AT31="Completada","Completada",IF($AU31="Cancelado","Cancelado",IF($AU31="Baja prioridad","Baja prioridad",IF($AX31&gt;0,"Vencida","En curso"))))),"")</f>
        <v>Vencida</v>
      </c>
      <c r="AZ31" s="203" t="str">
        <f>IF($C31,IF(ISNUMBER($AV31),$AO31&amp;" · S"&amp;$AV31,"(Sin fecha)"),"")</f>
        <v>Semanal · S1</v>
      </c>
      <c r="BA31" s="202">
        <f>IF(AND($C31,ISNUMBER($AR31),$AR31=$AS31),"Nuevo","")</f>
      </c>
      <c r="BB31" s="202">
        <f>IF(AND($C31,$AO31="Semanal",ISNUMBER($AV31)),$AV31*100000+ROW(),"")</f>
        <v>100031</v>
      </c>
      <c r="BC31" s="202">
        <f>IF(AND($C31,$AO31="Quincenal",ISNUMBER($AV31)),$AV31*100000+ROW(),"")</f>
      </c>
      <c r="BD31" s="202">
        <f>IF(AND($C31,$AO31="Mensual",ISNUMBER($AV31)),$AV31*100000+ROW(),"")</f>
      </c>
      <c r="BE31" s="203">
        <f>IF($C31,IF(ISBLANK('Backlog General'!$J31),"",'Backlog General'!$J31),"")</f>
      </c>
      <c r="BF31" s="203">
        <f>IF($C31,IF($BE31="","",$BE31)&amp;IF(AND($BE31&lt;&gt;"",$AH31&lt;&gt;"")," · ","")&amp;IF($AH31="","",$AH31),"")</f>
      </c>
      <c r="BG31" s="203" t="str">
        <f>IF($C31,IF($J31="Completado","Sí","No"),"")</f>
        <v>No</v>
      </c>
      <c r="BH31" s="202">
        <f>IF(AND($C31,ISNUMBER($AR31)),IF($AO31="Semanal",1,IF($AO31="Quincenal",2,3))*1000000000+$AR31*100000+ROW(),"")</f>
        <v>1000100031</v>
      </c>
      <c r="BI31" s="202">
        <f>IF($C31,IF($AU31="Cancelado","",$I31),"")</f>
        <v>0.75</v>
      </c>
      <c r="BJ31" s="202">
        <f>IF($C31,IFERROR(MATCH($D31,$D$7:$D$200,0)+6,ROW()),"")</f>
        <v>28</v>
      </c>
      <c r="BK31" s="202">
        <f>IF(AND($C31,ISNUMBER($AV31)),$BJ31*1000000+$AV31*1000+ROW(),"")</f>
        <v>28001031</v>
      </c>
      <c r="BL31" s="202">
        <f>IF(AND($C31,ISNUMBER($AW31)),ROUND(($AW31-('Sprints'!$C$5+('Sprints'!$E$5-1)*'Sprints'!$D$5))/'Sprints'!$D$5,0),"")</f>
        <v>-1</v>
      </c>
      <c r="BM31" s="203" t="str">
        <f>IF($C31,IF(NOT(ISNUMBER($BL31)),"",IF($BL31&lt;0,"Pasada",IF($BL31=0,"Actual",IF($BL31=1,"Siguiente",IF($BL31=2,"+2 sem",IF($BL31=3,"+3 sem","Posterior")))))),"")</f>
        <v>Pasada</v>
      </c>
      <c r="BN31" s="202">
        <f>IF(AND($C31,ISNUMBER($AR31),ISNUMBER($AV31)),MAX(1,$AV31-$AR31+1),0)</f>
        <v>1</v>
      </c>
      <c r="BO31" s="202">
        <f>SUM($BN$7:$BN31)-$BN31</f>
        <v>14</v>
      </c>
      <c r="BP31" s="202">
        <f>IF(AND($C31,ISNUMBER($AV31)),$AQ31+$AV31*$AP31*'Sprints'!$D$5-'Sprints'!$D$5,"")</f>
        <v>46192</v>
      </c>
      <c r="BQ31" s="202">
        <f>IF(AND($C31,ISNUMBER($BP31)),$BP31*1000+ROW(),"")</f>
        <v>46192031</v>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IF($C32,IF('Backlog General'!$G32="Completada",1,IF('Backlog General'!$G32="Casi lista",0.75,IF('Backlog General'!$G32="En progreso",0.5,IF('Backlog General'!$G32="Iniciada",0.25,0)))),"")</f>
        <v>0.5</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11</v>
      </c>
      <c r="U32" s="202">
        <f>IF($C32,MEDIAN(0,(TODAY()-'Proyecto Datos (OKR´s)'!$K32)/MAX(1,$R32-'Proyecto Datos (OKR´s)'!$K32),1),"")</f>
        <v>1</v>
      </c>
      <c r="V32" s="202">
        <f>IF($C32,$I32-$U32,"")</f>
        <v>-0.5</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28</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IF($C32,IF(ISBLANK('Backlog General'!$K32),"",'Backlog General'!$K32),"")</f>
      </c>
      <c r="AI32" s="202">
        <f>IF($C32,$AV32*100000+ROW(),"")</f>
      </c>
      <c r="AJ32" s="202">
        <f>IF(AND($C32,ISNUMBER($H32)),$AA32*1000000-MEDIAN(-9999,$K32,9999)*100+(300-ROW()),"")</f>
      </c>
      <c r="AK32" s="202">
        <f>IF($C32,IF($J32="Completado",0,IF($K32&lt;0,1,IF($K32&lt;=3,0.9,IF($K32&lt;=7,0.7,IF($K32&lt;=14,0.45,0.2))))),"")</f>
        <v>0.2</v>
      </c>
      <c r="AL32" s="202">
        <f>IF($C32,IF($J32="Completado",0,MEDIAN(0,MAX(-$V32,$W32/30),1)),"")</f>
        <v>0.5</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t="str">
        <f>IF($C32,'Backlog General'!$G32,"")</f>
        <v>En progreso</v>
      </c>
      <c r="AU32" s="203">
        <f>IF($C32,'Backlog General'!$H32,"")</f>
        <v>0</v>
      </c>
      <c r="AV32" s="202">
        <f>IF(AND($C32,ISNUMBER($AR32)),IF(AND(ISNUMBER('Backlog General'!$M32),'Backlog General'!$M32&gt;=$AR32),'Backlog General'!$M32,IF(AND($AU32="Pasa al siguiente",$AT32&lt;&gt;"Completada"),$AR32+1,$AR32)),"")</f>
      </c>
      <c r="AW32" s="202">
        <f>IF(AND($C32,ISNUMBER($AR32)),$AQ32+$AR32*$AP32*'Sprints'!$D$5-'Sprints'!$D$5,"")</f>
      </c>
      <c r="AX32" s="202">
        <f>IF($C32,IF(OR($AT32="Completada",$AU32="Cancelado",$AU32="Baja prioridad",NOT(ISNUMBER($AW32))),0,IF(TODAY()&gt;$AW32,NETWORKDAYS($AW32,TODAY(),'Sprints'!$L$5:$L$40)-1,0)),"")</f>
        <v>0</v>
      </c>
      <c r="AY32" s="203" t="str">
        <f>IF($C32,IF(NOT(ISNUMBER($AR32)),"Sin fecha",IF($AT32="Completada","Completada",IF($AU32="Cancelado","Cancelado",IF($AU32="Baja prioridad","Baja prioridad",IF($AX32&gt;0,"Vencida","En curso"))))),"")</f>
        <v>Sin fecha</v>
      </c>
      <c r="AZ32" s="203" t="str">
        <f>IF($C32,IF(ISNUMBER($AV32),$AO32&amp;" · S"&amp;$AV32,"(Sin fecha)"),"")</f>
        <v>(Sin fecha)</v>
      </c>
      <c r="BA32" s="202">
        <f>IF(AND($C32,ISNUMBER($AR32),$AR32=$AS32),"Nuevo","")</f>
      </c>
      <c r="BB32" s="202">
        <f>IF(AND($C32,$AO32="Semanal",ISNUMBER($AV32)),$AV32*100000+ROW(),"")</f>
      </c>
      <c r="BC32" s="202">
        <f>IF(AND($C32,$AO32="Quincenal",ISNUMBER($AV32)),$AV32*100000+ROW(),"")</f>
      </c>
      <c r="BD32" s="202">
        <f>IF(AND($C32,$AO32="Mensual",ISNUMBER($AV32)),$AV32*100000+ROW(),"")</f>
      </c>
      <c r="BE32" s="203">
        <f>IF($C32,IF(ISBLANK('Backlog General'!$J32),"",'Backlog General'!$J32),"")</f>
      </c>
      <c r="BF32" s="203">
        <f>IF($C32,IF($BE32="","",$BE32)&amp;IF(AND($BE32&lt;&gt;"",$AH32&lt;&gt;"")," · ","")&amp;IF($AH32="","",$AH32),"")</f>
      </c>
      <c r="BG32" s="203" t="str">
        <f>IF($C32,IF($J32="Completado","Sí","No"),"")</f>
        <v>No</v>
      </c>
      <c r="BH32" s="202">
        <f>IF(AND($C32,ISNUMBER($AR32)),IF($AO32="Semanal",1,IF($AO32="Quincenal",2,3))*1000000000+$AR32*100000+ROW(),"")</f>
      </c>
      <c r="BI32" s="202">
        <f>IF($C32,IF($AU32="Cancelado","",$I32),"")</f>
        <v>0.5</v>
      </c>
      <c r="BJ32" s="202">
        <f>IF($C32,IFERROR(MATCH($D32,$D$7:$D$200,0)+6,ROW()),"")</f>
        <v>28</v>
      </c>
      <c r="BK32" s="202">
        <f>IF(AND($C32,ISNUMBER($AV32)),$BJ32*1000000+$AV32*1000+ROW(),"")</f>
      </c>
      <c r="BL32" s="202">
        <f>IF(AND($C32,ISNUMBER($AW32)),ROUND(($AW32-('Sprints'!$C$5+('Sprints'!$E$5-1)*'Sprints'!$D$5))/'Sprints'!$D$5,0),"")</f>
      </c>
      <c r="BM32" s="203">
        <f>IF($C32,IF(NOT(ISNUMBER($BL32)),"",IF($BL32&lt;0,"Pasada",IF($BL32=0,"Actual",IF($BL32=1,"Siguiente",IF($BL32=2,"+2 sem",IF($BL32=3,"+3 sem","Posterior")))))),"")</f>
      </c>
      <c r="BN32" s="202">
        <f>IF(AND($C32,ISNUMBER($AR32),ISNUMBER($AV32)),MAX(1,$AV32-$AR32+1),0)</f>
        <v>0</v>
      </c>
      <c r="BO32" s="202">
        <f>SUM($BN$7:$BN32)-$BN32</f>
        <v>15</v>
      </c>
      <c r="BP32" s="202">
        <f>IF(AND($C32,ISNUMBER($AV32)),$AQ32+$AV32*$AP32*'Sprints'!$D$5-'Sprints'!$D$5,"")</f>
      </c>
      <c r="BQ32" s="202">
        <f>IF(AND($C32,ISNUMBER($BP32)),$BP32*1000+ROW(),"")</f>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IF($C33,IF('Backlog General'!$G33="Completada",1,IF('Backlog General'!$G33="Casi lista",0.75,IF('Backlog General'!$G33="En progreso",0.5,IF('Backlog General'!$G33="Iniciada",0.25,0)))),"")</f>
        <v>0.5</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7</v>
      </c>
      <c r="U33" s="202">
        <f>IF($C33,MEDIAN(0,(TODAY()-'Proyecto Datos (OKR´s)'!$K33)/MAX(1,$R33-'Proyecto Datos (OKR´s)'!$K33),1),"")</f>
        <v>0.7</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19</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IF($C33,IF(ISBLANK('Backlog General'!$K33),"",'Backlog General'!$K33),"")</f>
      </c>
      <c r="AI33" s="202">
        <f>IF($C33,$AV33*100000+ROW(),"")</f>
      </c>
      <c r="AJ33" s="202">
        <f>IF(AND($C33,ISNUMBER($H33)),$AA33*1000000-MEDIAN(-9999,$K33,9999)*100+(300-ROW()),"")</f>
      </c>
      <c r="AK33" s="202">
        <f>IF($C33,IF($J33="Completado",0,IF($K33&lt;0,1,IF($K33&lt;=3,0.9,IF($K33&lt;=7,0.7,IF($K33&lt;=14,0.45,0.2))))),"")</f>
        <v>0.2</v>
      </c>
      <c r="AL33" s="202">
        <f>IF($C33,IF($J33="Completado",0,MEDIAN(0,MAX(-$V33,$W33/30),1)),"")</f>
        <v>0.19999999999999996</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t="str">
        <f>IF($C33,'Backlog General'!$G33,"")</f>
        <v>En progreso</v>
      </c>
      <c r="AU33" s="203">
        <f>IF($C33,'Backlog General'!$H33,"")</f>
        <v>0</v>
      </c>
      <c r="AV33" s="202">
        <f>IF(AND($C33,ISNUMBER($AR33)),IF(AND(ISNUMBER('Backlog General'!$M33),'Backlog General'!$M33&gt;=$AR33),'Backlog General'!$M33,IF(AND($AU33="Pasa al siguiente",$AT33&lt;&gt;"Completada"),$AR33+1,$AR33)),"")</f>
      </c>
      <c r="AW33" s="202">
        <f>IF(AND($C33,ISNUMBER($AR33)),$AQ33+$AR33*$AP33*'Sprints'!$D$5-'Sprints'!$D$5,"")</f>
      </c>
      <c r="AX33" s="202">
        <f>IF($C33,IF(OR($AT33="Completada",$AU33="Cancelado",$AU33="Baja prioridad",NOT(ISNUMBER($AW33))),0,IF(TODAY()&gt;$AW33,NETWORKDAYS($AW33,TODAY(),'Sprints'!$L$5:$L$40)-1,0)),"")</f>
        <v>0</v>
      </c>
      <c r="AY33" s="203" t="str">
        <f>IF($C33,IF(NOT(ISNUMBER($AR33)),"Sin fecha",IF($AT33="Completada","Completada",IF($AU33="Cancelado","Cancelado",IF($AU33="Baja prioridad","Baja prioridad",IF($AX33&gt;0,"Vencida","En curso"))))),"")</f>
        <v>Sin fecha</v>
      </c>
      <c r="AZ33" s="203" t="str">
        <f>IF($C33,IF(ISNUMBER($AV33),$AO33&amp;" · S"&amp;$AV33,"(Sin fecha)"),"")</f>
        <v>(Sin fecha)</v>
      </c>
      <c r="BA33" s="202">
        <f>IF(AND($C33,ISNUMBER($AR33),$AR33=$AS33),"Nuevo","")</f>
      </c>
      <c r="BB33" s="202">
        <f>IF(AND($C33,$AO33="Semanal",ISNUMBER($AV33)),$AV33*100000+ROW(),"")</f>
      </c>
      <c r="BC33" s="202">
        <f>IF(AND($C33,$AO33="Quincenal",ISNUMBER($AV33)),$AV33*100000+ROW(),"")</f>
      </c>
      <c r="BD33" s="202">
        <f>IF(AND($C33,$AO33="Mensual",ISNUMBER($AV33)),$AV33*100000+ROW(),"")</f>
      </c>
      <c r="BE33" s="203">
        <f>IF($C33,IF(ISBLANK('Backlog General'!$J33),"",'Backlog General'!$J33),"")</f>
      </c>
      <c r="BF33" s="203">
        <f>IF($C33,IF($BE33="","",$BE33)&amp;IF(AND($BE33&lt;&gt;"",$AH33&lt;&gt;"")," · ","")&amp;IF($AH33="","",$AH33),"")</f>
      </c>
      <c r="BG33" s="203" t="str">
        <f>IF($C33,IF($J33="Completado","Sí","No"),"")</f>
        <v>No</v>
      </c>
      <c r="BH33" s="202">
        <f>IF(AND($C33,ISNUMBER($AR33)),IF($AO33="Semanal",1,IF($AO33="Quincenal",2,3))*1000000000+$AR33*100000+ROW(),"")</f>
      </c>
      <c r="BI33" s="202">
        <f>IF($C33,IF($AU33="Cancelado","",$I33),"")</f>
        <v>0.5</v>
      </c>
      <c r="BJ33" s="202">
        <f>IF($C33,IFERROR(MATCH($D33,$D$7:$D$200,0)+6,ROW()),"")</f>
        <v>28</v>
      </c>
      <c r="BK33" s="202">
        <f>IF(AND($C33,ISNUMBER($AV33)),$BJ33*1000000+$AV33*1000+ROW(),"")</f>
      </c>
      <c r="BL33" s="202">
        <f>IF(AND($C33,ISNUMBER($AW33)),ROUND(($AW33-('Sprints'!$C$5+('Sprints'!$E$5-1)*'Sprints'!$D$5))/'Sprints'!$D$5,0),"")</f>
      </c>
      <c r="BM33" s="203">
        <f>IF($C33,IF(NOT(ISNUMBER($BL33)),"",IF($BL33&lt;0,"Pasada",IF($BL33=0,"Actual",IF($BL33=1,"Siguiente",IF($BL33=2,"+2 sem",IF($BL33=3,"+3 sem","Posterior")))))),"")</f>
      </c>
      <c r="BN33" s="202">
        <f>IF(AND($C33,ISNUMBER($AR33),ISNUMBER($AV33)),MAX(1,$AV33-$AR33+1),0)</f>
        <v>0</v>
      </c>
      <c r="BO33" s="202">
        <f>SUM($BN$7:$BN33)-$BN33</f>
        <v>15</v>
      </c>
      <c r="BP33" s="202">
        <f>IF(AND($C33,ISNUMBER($AV33)),$AQ33+$AV33*$AP33*'Sprints'!$D$5-'Sprints'!$D$5,"")</f>
      </c>
      <c r="BQ33" s="202">
        <f>IF(AND($C33,ISNUMBER($BP33)),$BP33*1000+ROW(),"")</f>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IF($C34,IF('Backlog General'!$G34="Completada",1,IF('Backlog General'!$G34="Casi lista",0.75,IF('Backlog General'!$G34="En progreso",0.5,IF('Backlog General'!$G34="Iniciada",0.25,0)))),"")</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11</v>
      </c>
      <c r="U34" s="202">
        <f>IF($C34,MEDIAN(0,(TODAY()-'Proyecto Datos (OKR´s)'!$K34)/MAX(1,$R34-'Proyecto Datos (OKR´s)'!$K34),1),"")</f>
        <v>0.7857142857142857</v>
      </c>
      <c r="V34" s="202">
        <f>IF($C34,$I34-$U34,"")</f>
        <v>-0.2857142857142857</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22</v>
      </c>
      <c r="AB34" s="203" t="str">
        <f>IF($C34,IF(OR($J34="Completado",$J34="Sin fecha"),"—",IF($AA34&gt;=70,"Crítica",IF($AA34&gt;=45,"Alta",IF($AA34&gt;=25,"Media","Baja")))),"")</f>
        <v>—</v>
      </c>
      <c r="AC34" s="203" t="str">
        <f>IF($C34,IF(LEN(TRIM($AN34))=0,"—",TRIM($AN34)),"")</f>
        <v>ATRASO</v>
      </c>
      <c r="AD34" s="202">
        <f>IF($C34,$AV34,"")</f>
      </c>
      <c r="AE34" s="202" t="str">
        <f>IF($C34,$AZ34,"")</f>
        <v>(Sin fecha)</v>
      </c>
      <c r="AF34" s="202" t="b">
        <f>IF($C34,$AV34&lt;&gt;$AR34,FALSE)</f>
        <v>0</v>
      </c>
      <c r="AG34" s="202">
        <f>IF($C34,IF($AV34&lt;&gt;$AR34,$AW34,""),"")</f>
      </c>
      <c r="AH34" s="203">
        <f>IF($C34,IF(ISBLANK('Backlog General'!$K34),"",'Backlog General'!$K34),"")</f>
      </c>
      <c r="AI34" s="202">
        <f>IF($C34,$AV34*100000+ROW(),"")</f>
      </c>
      <c r="AJ34" s="202">
        <f>IF(AND($C34,ISNUMBER($H34)),$AA34*1000000-MEDIAN(-9999,$K34,9999)*100+(300-ROW()),"")</f>
      </c>
      <c r="AK34" s="202">
        <f>IF($C34,IF($J34="Completado",0,IF($K34&lt;0,1,IF($K34&lt;=3,0.9,IF($K34&lt;=7,0.7,IF($K34&lt;=14,0.45,0.2))))),"")</f>
        <v>0.2</v>
      </c>
      <c r="AL34" s="202">
        <f>IF($C34,IF($J34="Completado",0,MEDIAN(0,MAX(-$V34,$W34/30),1)),"")</f>
        <v>0.2857142857142857</v>
      </c>
      <c r="AM34" s="202">
        <f>IF($C34,IF($J34="Completado",0,IF($Z34,1,IF(AND($I34&lt;0.5,$K34&lt;=7),0.7,0.3))),"")</f>
        <v>0.3</v>
      </c>
      <c r="AN34" s="203" t="str">
        <f>IF($C34,IF(OR($V34&lt;-0.2,$W34&gt;0),"ATRASO ","")&amp;IF($Z34,"BLOQUEO ","")&amp;IF($Y34&gt;8,"SOBRECARGA ","")&amp;IF($X34&gt;0,"DESVÍO-PLAN ",""),"")</f>
        <v>ATRASO </v>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t="str">
        <f>IF($C34,'Backlog General'!$G34,"")</f>
        <v>En progreso</v>
      </c>
      <c r="AU34" s="203">
        <f>IF($C34,'Backlog General'!$H34,"")</f>
        <v>0</v>
      </c>
      <c r="AV34" s="202">
        <f>IF(AND($C34,ISNUMBER($AR34)),IF(AND(ISNUMBER('Backlog General'!$M34),'Backlog General'!$M34&gt;=$AR34),'Backlog General'!$M34,IF(AND($AU34="Pasa al siguiente",$AT34&lt;&gt;"Completada"),$AR34+1,$AR34)),"")</f>
      </c>
      <c r="AW34" s="202">
        <f>IF(AND($C34,ISNUMBER($AR34)),$AQ34+$AR34*$AP34*'Sprints'!$D$5-'Sprints'!$D$5,"")</f>
      </c>
      <c r="AX34" s="202">
        <f>IF($C34,IF(OR($AT34="Completada",$AU34="Cancelado",$AU34="Baja prioridad",NOT(ISNUMBER($AW34))),0,IF(TODAY()&gt;$AW34,NETWORKDAYS($AW34,TODAY(),'Sprints'!$L$5:$L$40)-1,0)),"")</f>
        <v>0</v>
      </c>
      <c r="AY34" s="203" t="str">
        <f>IF($C34,IF(NOT(ISNUMBER($AR34)),"Sin fecha",IF($AT34="Completada","Completada",IF($AU34="Cancelado","Cancelado",IF($AU34="Baja prioridad","Baja prioridad",IF($AX34&gt;0,"Vencida","En curso"))))),"")</f>
        <v>Sin fecha</v>
      </c>
      <c r="AZ34" s="203" t="str">
        <f>IF($C34,IF(ISNUMBER($AV34),$AO34&amp;" · S"&amp;$AV34,"(Sin fecha)"),"")</f>
        <v>(Sin fecha)</v>
      </c>
      <c r="BA34" s="202">
        <f>IF(AND($C34,ISNUMBER($AR34),$AR34=$AS34),"Nuevo","")</f>
      </c>
      <c r="BB34" s="202">
        <f>IF(AND($C34,$AO34="Semanal",ISNUMBER($AV34)),$AV34*100000+ROW(),"")</f>
      </c>
      <c r="BC34" s="202">
        <f>IF(AND($C34,$AO34="Quincenal",ISNUMBER($AV34)),$AV34*100000+ROW(),"")</f>
      </c>
      <c r="BD34" s="202">
        <f>IF(AND($C34,$AO34="Mensual",ISNUMBER($AV34)),$AV34*100000+ROW(),"")</f>
      </c>
      <c r="BE34" s="203">
        <f>IF($C34,IF(ISBLANK('Backlog General'!$J34),"",'Backlog General'!$J34),"")</f>
      </c>
      <c r="BF34" s="203">
        <f>IF($C34,IF($BE34="","",$BE34)&amp;IF(AND($BE34&lt;&gt;"",$AH34&lt;&gt;"")," · ","")&amp;IF($AH34="","",$AH34),"")</f>
      </c>
      <c r="BG34" s="203" t="str">
        <f>IF($C34,IF($J34="Completado","Sí","No"),"")</f>
        <v>No</v>
      </c>
      <c r="BH34" s="202">
        <f>IF(AND($C34,ISNUMBER($AR34)),IF($AO34="Semanal",1,IF($AO34="Quincenal",2,3))*1000000000+$AR34*100000+ROW(),"")</f>
      </c>
      <c r="BI34" s="202">
        <f>IF($C34,IF($AU34="Cancelado","",$I34),"")</f>
        <v>0.5</v>
      </c>
      <c r="BJ34" s="202">
        <f>IF($C34,IFERROR(MATCH($D34,$D$7:$D$200,0)+6,ROW()),"")</f>
        <v>28</v>
      </c>
      <c r="BK34" s="202">
        <f>IF(AND($C34,ISNUMBER($AV34)),$BJ34*1000000+$AV34*1000+ROW(),"")</f>
      </c>
      <c r="BL34" s="202">
        <f>IF(AND($C34,ISNUMBER($AW34)),ROUND(($AW34-('Sprints'!$C$5+('Sprints'!$E$5-1)*'Sprints'!$D$5))/'Sprints'!$D$5,0),"")</f>
      </c>
      <c r="BM34" s="203">
        <f>IF($C34,IF(NOT(ISNUMBER($BL34)),"",IF($BL34&lt;0,"Pasada",IF($BL34=0,"Actual",IF($BL34=1,"Siguiente",IF($BL34=2,"+2 sem",IF($BL34=3,"+3 sem","Posterior")))))),"")</f>
      </c>
      <c r="BN34" s="202">
        <f>IF(AND($C34,ISNUMBER($AR34),ISNUMBER($AV34)),MAX(1,$AV34-$AR34+1),0)</f>
        <v>0</v>
      </c>
      <c r="BO34" s="202">
        <f>SUM($BN$7:$BN34)-$BN34</f>
        <v>15</v>
      </c>
      <c r="BP34" s="202">
        <f>IF(AND($C34,ISNUMBER($AV34)),$AQ34+$AV34*$AP34*'Sprints'!$D$5-'Sprints'!$D$5,"")</f>
      </c>
      <c r="BQ34" s="202">
        <f>IF(AND($C34,ISNUMBER($BP34)),$BP34*1000+ROW(),"")</f>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IF($C35,IF('Backlog General'!$G35="Completada",1,IF('Backlog General'!$G35="Casi lista",0.75,IF('Backlog General'!$G35="En progreso",0.5,IF('Backlog General'!$G35="Iniciada",0.25,0)))),"")</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7</v>
      </c>
      <c r="U35" s="202">
        <f>IF($C35,MEDIAN(0,(TODAY()-'Proyecto Datos (OKR´s)'!$K35)/MAX(1,$R35-'Proyecto Datos (OKR´s)'!$K35),1),"")</f>
        <v>0.4117647058823529</v>
      </c>
      <c r="V35" s="202">
        <f>IF($C35,$I35-$U35,"")</f>
        <v>0.08823529411764708</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IF($C35,IF(ISBLANK('Backlog General'!$K35),"",'Backlog General'!$K35),"")</f>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t="str">
        <f>IF($C35,'Backlog General'!$G35,"")</f>
        <v>En progreso</v>
      </c>
      <c r="AU35" s="203">
        <f>IF($C35,'Backlog General'!$H35,"")</f>
        <v>0</v>
      </c>
      <c r="AV35" s="202">
        <f>IF(AND($C35,ISNUMBER($AR35)),IF(AND(ISNUMBER('Backlog General'!$M35),'Backlog General'!$M35&gt;=$AR35),'Backlog General'!$M35,IF(AND($AU35="Pasa al siguiente",$AT35&lt;&gt;"Completada"),$AR35+1,$AR35)),"")</f>
      </c>
      <c r="AW35" s="202">
        <f>IF(AND($C35,ISNUMBER($AR35)),$AQ35+$AR35*$AP35*'Sprints'!$D$5-'Sprints'!$D$5,"")</f>
      </c>
      <c r="AX35" s="202">
        <f>IF($C35,IF(OR($AT35="Completada",$AU35="Cancelado",$AU35="Baja prioridad",NOT(ISNUMBER($AW35))),0,IF(TODAY()&gt;$AW35,NETWORKDAYS($AW35,TODAY(),'Sprints'!$L$5:$L$40)-1,0)),"")</f>
        <v>0</v>
      </c>
      <c r="AY35" s="203" t="str">
        <f>IF($C35,IF(NOT(ISNUMBER($AR35)),"Sin fecha",IF($AT35="Completada","Completada",IF($AU35="Cancelado","Cancelado",IF($AU35="Baja prioridad","Baja prioridad",IF($AX35&gt;0,"Vencida","En curso"))))),"")</f>
        <v>Sin fecha</v>
      </c>
      <c r="AZ35" s="203" t="str">
        <f>IF($C35,IF(ISNUMBER($AV35),$AO35&amp;" · S"&amp;$AV35,"(Sin fecha)"),"")</f>
        <v>(Sin fecha)</v>
      </c>
      <c r="BA35" s="202">
        <f>IF(AND($C35,ISNUMBER($AR35),$AR35=$AS35),"Nuevo","")</f>
      </c>
      <c r="BB35" s="202">
        <f>IF(AND($C35,$AO35="Semanal",ISNUMBER($AV35)),$AV35*100000+ROW(),"")</f>
      </c>
      <c r="BC35" s="202">
        <f>IF(AND($C35,$AO35="Quincenal",ISNUMBER($AV35)),$AV35*100000+ROW(),"")</f>
      </c>
      <c r="BD35" s="202">
        <f>IF(AND($C35,$AO35="Mensual",ISNUMBER($AV35)),$AV35*100000+ROW(),"")</f>
      </c>
      <c r="BE35" s="203">
        <f>IF($C35,IF(ISBLANK('Backlog General'!$J35),"",'Backlog General'!$J35),"")</f>
      </c>
      <c r="BF35" s="203">
        <f>IF($C35,IF($BE35="","",$BE35)&amp;IF(AND($BE35&lt;&gt;"",$AH35&lt;&gt;"")," · ","")&amp;IF($AH35="","",$AH35),"")</f>
      </c>
      <c r="BG35" s="203" t="str">
        <f>IF($C35,IF($J35="Completado","Sí","No"),"")</f>
        <v>No</v>
      </c>
      <c r="BH35" s="202">
        <f>IF(AND($C35,ISNUMBER($AR35)),IF($AO35="Semanal",1,IF($AO35="Quincenal",2,3))*1000000000+$AR35*100000+ROW(),"")</f>
      </c>
      <c r="BI35" s="202">
        <f>IF($C35,IF($AU35="Cancelado","",$I35),"")</f>
        <v>0.5</v>
      </c>
      <c r="BJ35" s="202">
        <f>IF($C35,IFERROR(MATCH($D35,$D$7:$D$200,0)+6,ROW()),"")</f>
        <v>28</v>
      </c>
      <c r="BK35" s="202">
        <f>IF(AND($C35,ISNUMBER($AV35)),$BJ35*1000000+$AV35*1000+ROW(),"")</f>
      </c>
      <c r="BL35" s="202">
        <f>IF(AND($C35,ISNUMBER($AW35)),ROUND(($AW35-('Sprints'!$C$5+('Sprints'!$E$5-1)*'Sprints'!$D$5))/'Sprints'!$D$5,0),"")</f>
      </c>
      <c r="BM35" s="203">
        <f>IF($C35,IF(NOT(ISNUMBER($BL35)),"",IF($BL35&lt;0,"Pasada",IF($BL35=0,"Actual",IF($BL35=1,"Siguiente",IF($BL35=2,"+2 sem",IF($BL35=3,"+3 sem","Posterior")))))),"")</f>
      </c>
      <c r="BN35" s="202">
        <f>IF(AND($C35,ISNUMBER($AR35),ISNUMBER($AV35)),MAX(1,$AV35-$AR35+1),0)</f>
        <v>0</v>
      </c>
      <c r="BO35" s="202">
        <f>SUM($BN$7:$BN35)-$BN35</f>
        <v>15</v>
      </c>
      <c r="BP35" s="202">
        <f>IF(AND($C35,ISNUMBER($AV35)),$AQ35+$AV35*$AP35*'Sprints'!$D$5-'Sprints'!$D$5,"")</f>
      </c>
      <c r="BQ35" s="202">
        <f>IF(AND($C35,ISNUMBER($BP35)),$BP35*1000+ROW(),"")</f>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IF($C36,IF('Backlog General'!$G36="Completada",1,IF('Backlog General'!$G36="Casi lista",0.75,IF('Backlog General'!$G36="En progreso",0.5,IF('Backlog General'!$G36="Iniciada",0.25,0)))),"")</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IF($C36,IF(ISBLANK('Backlog General'!$K36),"",'Backlog General'!$K36),"")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IF(AND($C36,ISNUMBER($AR36)),IF(AND(ISNUMBER('Backlog General'!$M36),'Backlog General'!$M36&gt;=$AR36),'Backlog General'!$M36,IF(AND($AU36="Pasa al siguiente",$AT36&lt;&gt;"Completada"),$AR36+1,$AR36)),"")</f>
      </c>
      <c r="AW36" s="202">
        <f>IF(AND($C36,ISNUMBER($AR36)),$AQ36+$AR36*$AP36*'Sprints'!$D$5-'Sprints'!$D$5,"")</f>
      </c>
      <c r="AX36" s="202">
        <f>IF($C36,IF(OR($AT36="Completada",$AU36="Cancelado",$AU36="Baja prioridad",NOT(ISNUMBER($AW36))),0,IF(TODAY()&gt;$AW36,NETWORKDAYS($AW36,TODAY(),'Sprints'!$L$5:$L$40)-1,0)),"")</f>
      </c>
      <c r="AY36" s="203">
        <f>IF($C36,IF(NOT(ISNUMBER($AR36)),"Sin fecha",IF($AT36="Completada","Completada",IF($AU36="Cancelado","Cancelado",IF($AU36="Baja prioridad","Baja prioridad",IF($AX36&gt;0,"Vencida","En curso"))))),"")</f>
      </c>
      <c r="AZ36" s="203">
        <f>IF($C36,IF(ISNUMBER($AV36),$AO36&amp;" · S"&amp;$AV36,"(Sin fecha)"),"")</f>
      </c>
      <c r="BA36" s="202">
        <f>IF(AND($C36,ISNUMBER($AR36),$AR36=$AS36),"Nuevo","")</f>
      </c>
      <c r="BB36" s="202">
        <f>IF(AND($C36,$AO36="Semanal",ISNUMBER($AV36)),$AV36*100000+ROW(),"")</f>
      </c>
      <c r="BC36" s="202">
        <f>IF(AND($C36,$AO36="Quincenal",ISNUMBER($AV36)),$AV36*100000+ROW(),"")</f>
      </c>
      <c r="BD36" s="202">
        <f>IF(AND($C36,$AO36="Mensual",ISNUMBER($AV36)),$AV36*100000+ROW(),"")</f>
      </c>
      <c r="BE36" s="203">
        <f>IF($C36,IF(ISBLANK('Backlog General'!$J36),"",'Backlog General'!$J36),"")</f>
      </c>
      <c r="BF36" s="203">
        <f>IF($C36,IF($BE36="","",$BE36)&amp;IF(AND($BE36&lt;&gt;"",$AH36&lt;&gt;"")," · ","")&amp;IF($AH36="","",$AH36),"")</f>
      </c>
      <c r="BG36" s="203">
        <f>IF($C36,IF($J36="Completado","Sí","No"),"")</f>
      </c>
      <c r="BH36" s="202">
        <f>IF(AND($C36,ISNUMBER($AR36)),IF($AO36="Semanal",1,IF($AO36="Quincenal",2,3))*1000000000+$AR36*100000+ROW(),"")</f>
      </c>
      <c r="BI36" s="202">
        <f>IF($C36,IF($AU36="Cancelado","",$I36),"")</f>
      </c>
      <c r="BJ36" s="202">
        <f>IF($C36,IFERROR(MATCH($D36,$D$7:$D$200,0)+6,ROW()),"")</f>
      </c>
      <c r="BK36" s="202">
        <f>IF(AND($C36,ISNUMBER($AV36)),$BJ36*1000000+$AV36*1000+ROW(),"")</f>
      </c>
      <c r="BL36" s="202">
        <f>IF(AND($C36,ISNUMBER($AW36)),ROUND(($AW36-('Sprints'!$C$5+('Sprints'!$E$5-1)*'Sprints'!$D$5))/'Sprints'!$D$5,0),"")</f>
      </c>
      <c r="BM36" s="203">
        <f>IF($C36,IF(NOT(ISNUMBER($BL36)),"",IF($BL36&lt;0,"Pasada",IF($BL36=0,"Actual",IF($BL36=1,"Siguiente",IF($BL36=2,"+2 sem",IF($BL36=3,"+3 sem","Posterior")))))),"")</f>
      </c>
      <c r="BN36" s="202">
        <f>IF(AND($C36,ISNUMBER($AR36),ISNUMBER($AV36)),MAX(1,$AV36-$AR36+1),0)</f>
        <v>0</v>
      </c>
      <c r="BO36" s="202">
        <f>SUM($BN$7:$BN36)-$BN36</f>
        <v>15</v>
      </c>
      <c r="BP36" s="202">
        <f>IF(AND($C36,ISNUMBER($AV36)),$AQ36+$AV36*$AP36*'Sprints'!$D$5-'Sprints'!$D$5,"")</f>
      </c>
      <c r="BQ36" s="202">
        <f>IF(AND($C36,ISNUMBER($BP36)),$BP36*1000+ROW(),"")</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IF($C37,IF('Backlog General'!$G37="Completada",1,IF('Backlog General'!$G37="Casi lista",0.75,IF('Backlog General'!$G37="En progreso",0.5,IF('Backlog General'!$G37="Iniciada",0.25,0)))),"")</f>
        <v>0</v>
      </c>
      <c r="J37" s="203" t="str">
        <f>IF($C37,IF($I37&gt;=1,"Completado",IF(NOT(ISNUMBER($H37)),"Sin fecha",IF($H37&lt;TODAY(),"Vencido",IF(($H37-TODAY())&lt;='Entregas Próximas'!$M$3,"Próximo a vencer","En curso")))),"")</f>
        <v>Vencido</v>
      </c>
      <c r="K37" s="202">
        <f>IF(AND($C37,ISNUMBER($H37)),$H37-TODAY(),"")</f>
        <v>-11</v>
      </c>
      <c r="L37" s="202">
        <f>IF(AND($C37,ISNUMBER($H37)),$AD37*1000000+$H37+ROW()/100000,"")</f>
        <v>1046188.00037</v>
      </c>
      <c r="M37" s="202">
        <f>IF($C37,IF($AD37=9999,"(Sin sprint)",$AD37),"")</f>
        <v>1</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207</v>
      </c>
      <c r="U37" s="202">
        <f>IF($C37,MEDIAN(0,(TODAY()-'Proyecto Datos (OKR´s)'!$K37)/MAX(1,$R37-'Proyecto Datos (OKR´s)'!$K37),1),"")</f>
        <v>1</v>
      </c>
      <c r="V37" s="202">
        <f>IF($C37,$I37-$U37,"")</f>
        <v>-1</v>
      </c>
      <c r="W37" s="202">
        <f>IF($C37,IF(OR($J37="Completado",NOT(ISNUMBER($H37))),0,MAX(0,TODAY()-$H37)),"")</f>
        <v>11</v>
      </c>
      <c r="X37" s="202">
        <f>IF($C37,IF(ISNUMBER($H37),$R37-$H37,0),"")</f>
        <v>0</v>
      </c>
      <c r="Y37" s="202">
        <f>IF($C37,COUNTIFS($G$7:$G$200,$G37,$J$7:$J$200,"&lt;&gt;Completado",$J$7:$J$200,"&lt;&gt;"),"")</f>
        <v>0</v>
      </c>
      <c r="Z37" s="202" t="b">
        <f>IF($C37,AND($I37=0,'Proyecto Datos (OKR´s)'!$K37&lt;=TODAY(),$J37&lt;&gt;"Completado"),"")</f>
        <v>1</v>
      </c>
      <c r="AA37" s="202">
        <f>IF($C37,ROUND(100*(0.35*$AK37+0.3*$AL37+0.2*$AM37+0.15*MEDIAN(0,($Y37-4)/8,1)),0),"")</f>
        <v>85</v>
      </c>
      <c r="AB37" s="203" t="str">
        <f>IF($C37,IF(OR($J37="Completado",$J37="Sin fecha"),"—",IF($AA37&gt;=70,"Crítica",IF($AA37&gt;=45,"Alta",IF($AA37&gt;=25,"Media","Baja")))),"")</f>
        <v>Crítica</v>
      </c>
      <c r="AC37" s="203" t="str">
        <f>IF($C37,IF(LEN(TRIM($AN37))=0,"—",TRIM($AN37)),"")</f>
        <v>ATRASO BLOQUEO</v>
      </c>
      <c r="AD37" s="202">
        <f>IF($C37,$AV37,"")</f>
        <v>1</v>
      </c>
      <c r="AE37" s="202" t="str">
        <f>IF($C37,$AZ37,"")</f>
        <v>Semanal · S1</v>
      </c>
      <c r="AF37" s="202" t="b">
        <f>IF($C37,$AV37&lt;&gt;$AR37,FALSE)</f>
        <v>0</v>
      </c>
      <c r="AG37" s="202">
        <f>IF($C37,IF($AV37&lt;&gt;$AR37,$AW37,""),"")</f>
      </c>
      <c r="AH37" s="203">
        <f>IF($C37,IF(ISBLANK('Backlog General'!$K37),"",'Backlog General'!$K37),"")</f>
      </c>
      <c r="AI37" s="202">
        <f>IF($C37,$AV37*100000+ROW(),"")</f>
        <v>100037</v>
      </c>
      <c r="AJ37" s="202">
        <f>IF(AND($C37,ISNUMBER($H37)),$AA37*1000000-MEDIAN(-9999,$K37,9999)*100+(300-ROW()),"")</f>
        <v>85001363</v>
      </c>
      <c r="AK37" s="202">
        <f>IF($C37,IF($J37="Completado",0,IF($K37&lt;0,1,IF($K37&lt;=3,0.9,IF($K37&lt;=7,0.7,IF($K37&lt;=14,0.45,0.2))))),"")</f>
        <v>1</v>
      </c>
      <c r="AL37" s="202">
        <f>IF($C37,IF($J37="Completado",0,MEDIAN(0,MAX(-$V37,$W37/30),1)),"")</f>
        <v>1</v>
      </c>
      <c r="AM37" s="202">
        <f>IF($C37,IF($J37="Completado",0,IF($Z37,1,IF(AND($I37&lt;0.5,$K37&lt;=7),0.7,0.3))),"")</f>
        <v>1</v>
      </c>
      <c r="AN37" s="203" t="str">
        <f>IF($C37,IF(OR($V37&lt;-0.2,$W37&gt;0),"ATRASO ","")&amp;IF($Z37,"BLOQUEO ","")&amp;IF($Y37&gt;8,"SOBRECARGA ","")&amp;IF($X37&gt;0,"DESVÍO-PLAN ",""),"")</f>
        <v>ATRASO BLOQUEO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t="str">
        <f>IF($C37,'Backlog General'!$G37,"")</f>
        <v>Pendiente</v>
      </c>
      <c r="AU37" s="203">
        <f>IF($C37,'Backlog General'!$H37,"")</f>
        <v>0</v>
      </c>
      <c r="AV37" s="202">
        <f>IF(AND($C37,ISNUMBER($AR37)),IF(AND(ISNUMBER('Backlog General'!$M37),'Backlog General'!$M37&gt;=$AR37),'Backlog General'!$M37,IF(AND($AU37="Pasa al siguiente",$AT37&lt;&gt;"Completada"),$AR37+1,$AR37)),"")</f>
        <v>1</v>
      </c>
      <c r="AW37" s="202">
        <f>IF(AND($C37,ISNUMBER($AR37)),$AQ37+$AR37*$AP37*'Sprints'!$D$5-'Sprints'!$D$5,"")</f>
        <v>46192</v>
      </c>
      <c r="AX37" s="202">
        <f>IF($C37,IF(OR($AT37="Completada",$AU37="Cancelado",$AU37="Baja prioridad",NOT(ISNUMBER($AW37))),0,IF(TODAY()&gt;$AW37,NETWORKDAYS($AW37,TODAY(),'Sprints'!$L$5:$L$40)-1,0)),"")</f>
        <v>5</v>
      </c>
      <c r="AY37" s="203" t="str">
        <f>IF($C37,IF(NOT(ISNUMBER($AR37)),"Sin fecha",IF($AT37="Completada","Completada",IF($AU37="Cancelado","Cancelado",IF($AU37="Baja prioridad","Baja prioridad",IF($AX37&gt;0,"Vencida","En curso"))))),"")</f>
        <v>Vencida</v>
      </c>
      <c r="AZ37" s="203" t="str">
        <f>IF($C37,IF(ISNUMBER($AV37),$AO37&amp;" · S"&amp;$AV37,"(Sin fecha)"),"")</f>
        <v>Semanal · S1</v>
      </c>
      <c r="BA37" s="202">
        <f>IF(AND($C37,ISNUMBER($AR37),$AR37=$AS37),"Nuevo","")</f>
      </c>
      <c r="BB37" s="202">
        <f>IF(AND($C37,$AO37="Semanal",ISNUMBER($AV37)),$AV37*100000+ROW(),"")</f>
        <v>100037</v>
      </c>
      <c r="BC37" s="202">
        <f>IF(AND($C37,$AO37="Quincenal",ISNUMBER($AV37)),$AV37*100000+ROW(),"")</f>
      </c>
      <c r="BD37" s="202">
        <f>IF(AND($C37,$AO37="Mensual",ISNUMBER($AV37)),$AV37*100000+ROW(),"")</f>
      </c>
      <c r="BE37" s="203">
        <f>IF($C37,IF(ISBLANK('Backlog General'!$J37),"",'Backlog General'!$J37),"")</f>
      </c>
      <c r="BF37" s="203">
        <f>IF($C37,IF($BE37="","",$BE37)&amp;IF(AND($BE37&lt;&gt;"",$AH37&lt;&gt;"")," · ","")&amp;IF($AH37="","",$AH37),"")</f>
      </c>
      <c r="BG37" s="203" t="str">
        <f>IF($C37,IF($J37="Completado","Sí","No"),"")</f>
        <v>No</v>
      </c>
      <c r="BH37" s="202">
        <f>IF(AND($C37,ISNUMBER($AR37)),IF($AO37="Semanal",1,IF($AO37="Quincenal",2,3))*1000000000+$AR37*100000+ROW(),"")</f>
        <v>1000100037</v>
      </c>
      <c r="BI37" s="202">
        <f>IF($C37,IF($AU37="Cancelado","",$I37),"")</f>
        <v>0</v>
      </c>
      <c r="BJ37" s="202">
        <f>IF($C37,IFERROR(MATCH($D37,$D$7:$D$200,0)+6,ROW()),"")</f>
        <v>37</v>
      </c>
      <c r="BK37" s="202">
        <f>IF(AND($C37,ISNUMBER($AV37)),$BJ37*1000000+$AV37*1000+ROW(),"")</f>
        <v>37001037</v>
      </c>
      <c r="BL37" s="202">
        <f>IF(AND($C37,ISNUMBER($AW37)),ROUND(($AW37-('Sprints'!$C$5+('Sprints'!$E$5-1)*'Sprints'!$D$5))/'Sprints'!$D$5,0),"")</f>
        <v>-1</v>
      </c>
      <c r="BM37" s="203" t="str">
        <f>IF($C37,IF(NOT(ISNUMBER($BL37)),"",IF($BL37&lt;0,"Pasada",IF($BL37=0,"Actual",IF($BL37=1,"Siguiente",IF($BL37=2,"+2 sem",IF($BL37=3,"+3 sem","Posterior")))))),"")</f>
        <v>Pasada</v>
      </c>
      <c r="BN37" s="202">
        <f>IF(AND($C37,ISNUMBER($AR37),ISNUMBER($AV37)),MAX(1,$AV37-$AR37+1),0)</f>
        <v>1</v>
      </c>
      <c r="BO37" s="202">
        <f>SUM($BN$7:$BN37)-$BN37</f>
        <v>15</v>
      </c>
      <c r="BP37" s="202">
        <f>IF(AND($C37,ISNUMBER($AV37)),$AQ37+$AV37*$AP37*'Sprints'!$D$5-'Sprints'!$D$5,"")</f>
        <v>46192</v>
      </c>
      <c r="BQ37" s="202">
        <f>IF(AND($C37,ISNUMBER($BP37)),$BP37*1000+ROW(),"")</f>
        <v>46192037</v>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IF($C38,IF('Backlog General'!$G38="Completada",1,IF('Backlog General'!$G38="Casi lista",0.75,IF('Backlog General'!$G38="En progreso",0.5,IF('Backlog General'!$G38="Iniciada",0.25,0)))),"")</f>
        <v>0.75</v>
      </c>
      <c r="J38" s="203" t="str">
        <f>IF($C38,IF($I38&gt;=1,"Completado",IF(NOT(ISNUMBER($H38)),"Sin fecha",IF($H38&lt;TODAY(),"Vencido",IF(($H38-TODAY())&lt;='Entregas Próximas'!$M$3,"Próximo a vencer","En curso")))),"")</f>
        <v>Vencido</v>
      </c>
      <c r="K38" s="202">
        <f>IF(AND($C38,ISNUMBER($H38)),$H38-TODAY(),"")</f>
        <v>-11</v>
      </c>
      <c r="L38" s="202">
        <f>IF(AND($C38,ISNUMBER($H38)),$AD38*1000000+$H38+ROW()/100000,"")</f>
        <v>1046188.00038</v>
      </c>
      <c r="M38" s="202">
        <f>IF($C38,IF($AD38=9999,"(Sin sprint)",$AD38),"")</f>
        <v>1</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176</v>
      </c>
      <c r="U38" s="202">
        <f>IF($C38,MEDIAN(0,(TODAY()-'Proyecto Datos (OKR´s)'!$K38)/MAX(1,$R38-'Proyecto Datos (OKR´s)'!$K38),1),"")</f>
        <v>1</v>
      </c>
      <c r="V38" s="202">
        <f>IF($C38,$I38-$U38,"")</f>
        <v>-0.25</v>
      </c>
      <c r="W38" s="202">
        <f>IF($C38,IF(OR($J38="Completado",NOT(ISNUMBER($H38))),0,MAX(0,TODAY()-$H38)),"")</f>
        <v>11</v>
      </c>
      <c r="X38" s="202">
        <f>IF($C38,IF(ISNUMBER($H38),$R38-$H38,0),"")</f>
        <v>0</v>
      </c>
      <c r="Y38" s="202">
        <f>IF($C38,COUNTIFS($G$7:$G$200,$G38,$J$7:$J$200,"&lt;&gt;Completado",$J$7:$J$200,"&lt;&gt;"),"")</f>
        <v>0</v>
      </c>
      <c r="Z38" s="202" t="b">
        <f>IF($C38,AND($I38=0,'Proyecto Datos (OKR´s)'!$K38&lt;=TODAY(),$J38&lt;&gt;"Completado"),"")</f>
        <v>0</v>
      </c>
      <c r="AA38" s="202">
        <f>IF($C38,ROUND(100*(0.35*$AK38+0.3*$AL38+0.2*$AM38+0.15*MEDIAN(0,($Y38-4)/8,1)),0),"")</f>
        <v>52</v>
      </c>
      <c r="AB38" s="203" t="str">
        <f>IF($C38,IF(OR($J38="Completado",$J38="Sin fecha"),"—",IF($AA38&gt;=70,"Crítica",IF($AA38&gt;=45,"Alta",IF($AA38&gt;=25,"Media","Baja")))),"")</f>
        <v>Alta</v>
      </c>
      <c r="AC38" s="203" t="str">
        <f>IF($C38,IF(LEN(TRIM($AN38))=0,"—",TRIM($AN38)),"")</f>
        <v>ATRASO</v>
      </c>
      <c r="AD38" s="202">
        <f>IF($C38,$AV38,"")</f>
        <v>1</v>
      </c>
      <c r="AE38" s="202" t="str">
        <f>IF($C38,$AZ38,"")</f>
        <v>Semanal · S1</v>
      </c>
      <c r="AF38" s="202" t="b">
        <f>IF($C38,$AV38&lt;&gt;$AR38,FALSE)</f>
        <v>0</v>
      </c>
      <c r="AG38" s="202">
        <f>IF($C38,IF($AV38&lt;&gt;$AR38,$AW38,""),"")</f>
      </c>
      <c r="AH38" s="203">
        <f>IF($C38,IF(ISBLANK('Backlog General'!$K38),"",'Backlog General'!$K38),"")</f>
      </c>
      <c r="AI38" s="202">
        <f>IF($C38,$AV38*100000+ROW(),"")</f>
        <v>100038</v>
      </c>
      <c r="AJ38" s="202">
        <f>IF(AND($C38,ISNUMBER($H38)),$AA38*1000000-MEDIAN(-9999,$K38,9999)*100+(300-ROW()),"")</f>
        <v>52001362</v>
      </c>
      <c r="AK38" s="202">
        <f>IF($C38,IF($J38="Completado",0,IF($K38&lt;0,1,IF($K38&lt;=3,0.9,IF($K38&lt;=7,0.7,IF($K38&lt;=14,0.45,0.2))))),"")</f>
        <v>1</v>
      </c>
      <c r="AL38" s="202">
        <f>IF($C38,IF($J38="Completado",0,MEDIAN(0,MAX(-$V38,$W38/30),1)),"")</f>
        <v>0.36666666666666664</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t="str">
        <f>IF($C38,'Backlog General'!$G38,"")</f>
        <v>Casi lista</v>
      </c>
      <c r="AU38" s="203">
        <f>IF($C38,'Backlog General'!$H38,"")</f>
        <v>0</v>
      </c>
      <c r="AV38" s="202">
        <f>IF(AND($C38,ISNUMBER($AR38)),IF(AND(ISNUMBER('Backlog General'!$M38),'Backlog General'!$M38&gt;=$AR38),'Backlog General'!$M38,IF(AND($AU38="Pasa al siguiente",$AT38&lt;&gt;"Completada"),$AR38+1,$AR38)),"")</f>
        <v>1</v>
      </c>
      <c r="AW38" s="202">
        <f>IF(AND($C38,ISNUMBER($AR38)),$AQ38+$AR38*$AP38*'Sprints'!$D$5-'Sprints'!$D$5,"")</f>
        <v>46192</v>
      </c>
      <c r="AX38" s="202">
        <f>IF($C38,IF(OR($AT38="Completada",$AU38="Cancelado",$AU38="Baja prioridad",NOT(ISNUMBER($AW38))),0,IF(TODAY()&gt;$AW38,NETWORKDAYS($AW38,TODAY(),'Sprints'!$L$5:$L$40)-1,0)),"")</f>
        <v>5</v>
      </c>
      <c r="AY38" s="203" t="str">
        <f>IF($C38,IF(NOT(ISNUMBER($AR38)),"Sin fecha",IF($AT38="Completada","Completada",IF($AU38="Cancelado","Cancelado",IF($AU38="Baja prioridad","Baja prioridad",IF($AX38&gt;0,"Vencida","En curso"))))),"")</f>
        <v>Vencida</v>
      </c>
      <c r="AZ38" s="203" t="str">
        <f>IF($C38,IF(ISNUMBER($AV38),$AO38&amp;" · S"&amp;$AV38,"(Sin fecha)"),"")</f>
        <v>Semanal · S1</v>
      </c>
      <c r="BA38" s="202">
        <f>IF(AND($C38,ISNUMBER($AR38),$AR38=$AS38),"Nuevo","")</f>
      </c>
      <c r="BB38" s="202">
        <f>IF(AND($C38,$AO38="Semanal",ISNUMBER($AV38)),$AV38*100000+ROW(),"")</f>
        <v>100038</v>
      </c>
      <c r="BC38" s="202">
        <f>IF(AND($C38,$AO38="Quincenal",ISNUMBER($AV38)),$AV38*100000+ROW(),"")</f>
      </c>
      <c r="BD38" s="202">
        <f>IF(AND($C38,$AO38="Mensual",ISNUMBER($AV38)),$AV38*100000+ROW(),"")</f>
      </c>
      <c r="BE38" s="203">
        <f>IF($C38,IF(ISBLANK('Backlog General'!$J38),"",'Backlog General'!$J38),"")</f>
      </c>
      <c r="BF38" s="203">
        <f>IF($C38,IF($BE38="","",$BE38)&amp;IF(AND($BE38&lt;&gt;"",$AH38&lt;&gt;"")," · ","")&amp;IF($AH38="","",$AH38),"")</f>
      </c>
      <c r="BG38" s="203" t="str">
        <f>IF($C38,IF($J38="Completado","Sí","No"),"")</f>
        <v>No</v>
      </c>
      <c r="BH38" s="202">
        <f>IF(AND($C38,ISNUMBER($AR38)),IF($AO38="Semanal",1,IF($AO38="Quincenal",2,3))*1000000000+$AR38*100000+ROW(),"")</f>
        <v>1000100038</v>
      </c>
      <c r="BI38" s="202">
        <f>IF($C38,IF($AU38="Cancelado","",$I38),"")</f>
        <v>0.75</v>
      </c>
      <c r="BJ38" s="202">
        <f>IF($C38,IFERROR(MATCH($D38,$D$7:$D$200,0)+6,ROW()),"")</f>
        <v>37</v>
      </c>
      <c r="BK38" s="202">
        <f>IF(AND($C38,ISNUMBER($AV38)),$BJ38*1000000+$AV38*1000+ROW(),"")</f>
        <v>37001038</v>
      </c>
      <c r="BL38" s="202">
        <f>IF(AND($C38,ISNUMBER($AW38)),ROUND(($AW38-('Sprints'!$C$5+('Sprints'!$E$5-1)*'Sprints'!$D$5))/'Sprints'!$D$5,0),"")</f>
        <v>-1</v>
      </c>
      <c r="BM38" s="203" t="str">
        <f>IF($C38,IF(NOT(ISNUMBER($BL38)),"",IF($BL38&lt;0,"Pasada",IF($BL38=0,"Actual",IF($BL38=1,"Siguiente",IF($BL38=2,"+2 sem",IF($BL38=3,"+3 sem","Posterior")))))),"")</f>
        <v>Pasada</v>
      </c>
      <c r="BN38" s="202">
        <f>IF(AND($C38,ISNUMBER($AR38),ISNUMBER($AV38)),MAX(1,$AV38-$AR38+1),0)</f>
        <v>1</v>
      </c>
      <c r="BO38" s="202">
        <f>SUM($BN$7:$BN38)-$BN38</f>
        <v>16</v>
      </c>
      <c r="BP38" s="202">
        <f>IF(AND($C38,ISNUMBER($AV38)),$AQ38+$AV38*$AP38*'Sprints'!$D$5-'Sprints'!$D$5,"")</f>
        <v>46192</v>
      </c>
      <c r="BQ38" s="202">
        <f>IF(AND($C38,ISNUMBER($BP38)),$BP38*1000+ROW(),"")</f>
        <v>46192038</v>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IF($C39,IF('Backlog General'!$G39="Completada",1,IF('Backlog General'!$G39="Casi lista",0.75,IF('Backlog General'!$G39="En progreso",0.5,IF('Backlog General'!$G39="Iniciada",0.25,0)))),"")</f>
        <v>0.75</v>
      </c>
      <c r="J39" s="203" t="str">
        <f>IF($C39,IF($I39&gt;=1,"Completado",IF(NOT(ISNUMBER($H39)),"Sin fecha",IF($H39&lt;TODAY(),"Vencido",IF(($H39-TODAY())&lt;='Entregas Próximas'!$M$3,"Próximo a vencer","En curso")))),"")</f>
        <v>Vencido</v>
      </c>
      <c r="K39" s="202">
        <f>IF(AND($C39,ISNUMBER($H39)),$H39-TODAY(),"")</f>
        <v>-11</v>
      </c>
      <c r="L39" s="202">
        <f>IF(AND($C39,ISNUMBER($H39)),$AD39*1000000+$H39+ROW()/100000,"")</f>
        <v>1046188.00039</v>
      </c>
      <c r="M39" s="202">
        <f>IF($C39,IF($AD39=9999,"(Sin sprint)",$AD39),"")</f>
        <v>1</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207</v>
      </c>
      <c r="U39" s="202">
        <f>IF($C39,MEDIAN(0,(TODAY()-'Proyecto Datos (OKR´s)'!$K39)/MAX(1,$R39-'Proyecto Datos (OKR´s)'!$K39),1),"")</f>
        <v>1</v>
      </c>
      <c r="V39" s="202">
        <f>IF($C39,$I39-$U39,"")</f>
        <v>-0.25</v>
      </c>
      <c r="W39" s="202">
        <f>IF($C39,IF(OR($J39="Completado",NOT(ISNUMBER($H39))),0,MAX(0,TODAY()-$H39)),"")</f>
        <v>11</v>
      </c>
      <c r="X39" s="202">
        <f>IF($C39,IF(ISNUMBER($H39),$R39-$H39,0),"")</f>
        <v>0</v>
      </c>
      <c r="Y39" s="202">
        <f>IF($C39,COUNTIFS($G$7:$G$200,$G39,$J$7:$J$200,"&lt;&gt;Completado",$J$7:$J$200,"&lt;&gt;"),"")</f>
        <v>0</v>
      </c>
      <c r="Z39" s="202" t="b">
        <f>IF($C39,AND($I39=0,'Proyecto Datos (OKR´s)'!$K39&lt;=TODAY(),$J39&lt;&gt;"Completado"),"")</f>
        <v>0</v>
      </c>
      <c r="AA39" s="202">
        <f>IF($C39,ROUND(100*(0.35*$AK39+0.3*$AL39+0.2*$AM39+0.15*MEDIAN(0,($Y39-4)/8,1)),0),"")</f>
        <v>52</v>
      </c>
      <c r="AB39" s="203" t="str">
        <f>IF($C39,IF(OR($J39="Completado",$J39="Sin fecha"),"—",IF($AA39&gt;=70,"Crítica",IF($AA39&gt;=45,"Alta",IF($AA39&gt;=25,"Media","Baja")))),"")</f>
        <v>Alta</v>
      </c>
      <c r="AC39" s="203" t="str">
        <f>IF($C39,IF(LEN(TRIM($AN39))=0,"—",TRIM($AN39)),"")</f>
        <v>ATRASO</v>
      </c>
      <c r="AD39" s="202">
        <f>IF($C39,$AV39,"")</f>
        <v>1</v>
      </c>
      <c r="AE39" s="202" t="str">
        <f>IF($C39,$AZ39,"")</f>
        <v>Semanal · S1</v>
      </c>
      <c r="AF39" s="202" t="b">
        <f>IF($C39,$AV39&lt;&gt;$AR39,FALSE)</f>
        <v>0</v>
      </c>
      <c r="AG39" s="202">
        <f>IF($C39,IF($AV39&lt;&gt;$AR39,$AW39,""),"")</f>
      </c>
      <c r="AH39" s="203">
        <f>IF($C39,IF(ISBLANK('Backlog General'!$K39),"",'Backlog General'!$K39),"")</f>
      </c>
      <c r="AI39" s="202">
        <f>IF($C39,$AV39*100000+ROW(),"")</f>
        <v>100039</v>
      </c>
      <c r="AJ39" s="202">
        <f>IF(AND($C39,ISNUMBER($H39)),$AA39*1000000-MEDIAN(-9999,$K39,9999)*100+(300-ROW()),"")</f>
        <v>52001361</v>
      </c>
      <c r="AK39" s="202">
        <f>IF($C39,IF($J39="Completado",0,IF($K39&lt;0,1,IF($K39&lt;=3,0.9,IF($K39&lt;=7,0.7,IF($K39&lt;=14,0.45,0.2))))),"")</f>
        <v>1</v>
      </c>
      <c r="AL39" s="202">
        <f>IF($C39,IF($J39="Completado",0,MEDIAN(0,MAX(-$V39,$W39/30),1)),"")</f>
        <v>0.36666666666666664</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t="str">
        <f>IF($C39,'Backlog General'!$G39,"")</f>
        <v>Casi lista</v>
      </c>
      <c r="AU39" s="203">
        <f>IF($C39,'Backlog General'!$H39,"")</f>
        <v>0</v>
      </c>
      <c r="AV39" s="202">
        <f>IF(AND($C39,ISNUMBER($AR39)),IF(AND(ISNUMBER('Backlog General'!$M39),'Backlog General'!$M39&gt;=$AR39),'Backlog General'!$M39,IF(AND($AU39="Pasa al siguiente",$AT39&lt;&gt;"Completada"),$AR39+1,$AR39)),"")</f>
        <v>1</v>
      </c>
      <c r="AW39" s="202">
        <f>IF(AND($C39,ISNUMBER($AR39)),$AQ39+$AR39*$AP39*'Sprints'!$D$5-'Sprints'!$D$5,"")</f>
        <v>46192</v>
      </c>
      <c r="AX39" s="202">
        <f>IF($C39,IF(OR($AT39="Completada",$AU39="Cancelado",$AU39="Baja prioridad",NOT(ISNUMBER($AW39))),0,IF(TODAY()&gt;$AW39,NETWORKDAYS($AW39,TODAY(),'Sprints'!$L$5:$L$40)-1,0)),"")</f>
        <v>5</v>
      </c>
      <c r="AY39" s="203" t="str">
        <f>IF($C39,IF(NOT(ISNUMBER($AR39)),"Sin fecha",IF($AT39="Completada","Completada",IF($AU39="Cancelado","Cancelado",IF($AU39="Baja prioridad","Baja prioridad",IF($AX39&gt;0,"Vencida","En curso"))))),"")</f>
        <v>Vencida</v>
      </c>
      <c r="AZ39" s="203" t="str">
        <f>IF($C39,IF(ISNUMBER($AV39),$AO39&amp;" · S"&amp;$AV39,"(Sin fecha)"),"")</f>
        <v>Semanal · S1</v>
      </c>
      <c r="BA39" s="202">
        <f>IF(AND($C39,ISNUMBER($AR39),$AR39=$AS39),"Nuevo","")</f>
      </c>
      <c r="BB39" s="202">
        <f>IF(AND($C39,$AO39="Semanal",ISNUMBER($AV39)),$AV39*100000+ROW(),"")</f>
        <v>100039</v>
      </c>
      <c r="BC39" s="202">
        <f>IF(AND($C39,$AO39="Quincenal",ISNUMBER($AV39)),$AV39*100000+ROW(),"")</f>
      </c>
      <c r="BD39" s="202">
        <f>IF(AND($C39,$AO39="Mensual",ISNUMBER($AV39)),$AV39*100000+ROW(),"")</f>
      </c>
      <c r="BE39" s="203">
        <f>IF($C39,IF(ISBLANK('Backlog General'!$J39),"",'Backlog General'!$J39),"")</f>
      </c>
      <c r="BF39" s="203">
        <f>IF($C39,IF($BE39="","",$BE39)&amp;IF(AND($BE39&lt;&gt;"",$AH39&lt;&gt;"")," · ","")&amp;IF($AH39="","",$AH39),"")</f>
      </c>
      <c r="BG39" s="203" t="str">
        <f>IF($C39,IF($J39="Completado","Sí","No"),"")</f>
        <v>No</v>
      </c>
      <c r="BH39" s="202">
        <f>IF(AND($C39,ISNUMBER($AR39)),IF($AO39="Semanal",1,IF($AO39="Quincenal",2,3))*1000000000+$AR39*100000+ROW(),"")</f>
        <v>1000100039</v>
      </c>
      <c r="BI39" s="202">
        <f>IF($C39,IF($AU39="Cancelado","",$I39),"")</f>
        <v>0.75</v>
      </c>
      <c r="BJ39" s="202">
        <f>IF($C39,IFERROR(MATCH($D39,$D$7:$D$200,0)+6,ROW()),"")</f>
        <v>37</v>
      </c>
      <c r="BK39" s="202">
        <f>IF(AND($C39,ISNUMBER($AV39)),$BJ39*1000000+$AV39*1000+ROW(),"")</f>
        <v>37001039</v>
      </c>
      <c r="BL39" s="202">
        <f>IF(AND($C39,ISNUMBER($AW39)),ROUND(($AW39-('Sprints'!$C$5+('Sprints'!$E$5-1)*'Sprints'!$D$5))/'Sprints'!$D$5,0),"")</f>
        <v>-1</v>
      </c>
      <c r="BM39" s="203" t="str">
        <f>IF($C39,IF(NOT(ISNUMBER($BL39)),"",IF($BL39&lt;0,"Pasada",IF($BL39=0,"Actual",IF($BL39=1,"Siguiente",IF($BL39=2,"+2 sem",IF($BL39=3,"+3 sem","Posterior")))))),"")</f>
        <v>Pasada</v>
      </c>
      <c r="BN39" s="202">
        <f>IF(AND($C39,ISNUMBER($AR39),ISNUMBER($AV39)),MAX(1,$AV39-$AR39+1),0)</f>
        <v>1</v>
      </c>
      <c r="BO39" s="202">
        <f>SUM($BN$7:$BN39)-$BN39</f>
        <v>17</v>
      </c>
      <c r="BP39" s="202">
        <f>IF(AND($C39,ISNUMBER($AV39)),$AQ39+$AV39*$AP39*'Sprints'!$D$5-'Sprints'!$D$5,"")</f>
        <v>46192</v>
      </c>
      <c r="BQ39" s="202">
        <f>IF(AND($C39,ISNUMBER($BP39)),$BP39*1000+ROW(),"")</f>
        <v>46192039</v>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IF($C40,IF('Backlog General'!$G40="Completada",1,IF('Backlog General'!$G40="Casi lista",0.75,IF('Backlog General'!$G40="En progreso",0.5,IF('Backlog General'!$G40="Iniciada",0.25,0)))),"")</f>
        <v>0.5</v>
      </c>
      <c r="J40" s="203" t="str">
        <f>IF($C40,IF($I40&gt;=1,"Completado",IF(NOT(ISNUMBER($H40)),"Sin fecha",IF($H40&lt;TODAY(),"Vencido",IF(($H40-TODAY())&lt;='Entregas Próximas'!$M$3,"Próximo a vencer","En curso")))),"")</f>
        <v>Vencido</v>
      </c>
      <c r="K40" s="202">
        <f>IF(AND($C40,ISNUMBER($H40)),$H40-TODAY(),"")</f>
        <v>-11</v>
      </c>
      <c r="L40" s="202">
        <f>IF(AND($C40,ISNUMBER($H40)),$AD40*1000000+$H40+ROW()/100000,"")</f>
        <v>1046188.0004</v>
      </c>
      <c r="M40" s="202">
        <f>IF($C40,IF($AD40=9999,"(Sin sprint)",$AD40),"")</f>
        <v>1</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0.5</v>
      </c>
      <c r="W40" s="202">
        <f>IF($C40,IF(OR($J40="Completado",NOT(ISNUMBER($H40))),0,MAX(0,TODAY()-$H40)),"")</f>
        <v>11</v>
      </c>
      <c r="X40" s="202">
        <f>IF($C40,IF(ISNUMBER($H40),$R40-$H40,0),"")</f>
        <v>0</v>
      </c>
      <c r="Y40" s="202">
        <f>IF($C40,COUNTIFS($G$7:$G$200,$G40,$J$7:$J$200,"&lt;&gt;Completado",$J$7:$J$200,"&lt;&gt;"),"")</f>
        <v>0</v>
      </c>
      <c r="Z40" s="202" t="b">
        <f>IF($C40,AND($I40=0,'Proyecto Datos (OKR´s)'!$K40&lt;=TODAY(),$J40&lt;&gt;"Completado"),"")</f>
        <v>0</v>
      </c>
      <c r="AA40" s="202">
        <f>IF($C40,ROUND(100*(0.35*$AK40+0.3*$AL40+0.2*$AM40+0.15*MEDIAN(0,($Y40-4)/8,1)),0),"")</f>
        <v>52</v>
      </c>
      <c r="AB40" s="203" t="str">
        <f>IF($C40,IF(OR($J40="Completado",$J40="Sin fecha"),"—",IF($AA40&gt;=70,"Crítica",IF($AA40&gt;=45,"Alta",IF($AA40&gt;=25,"Media","Baja")))),"")</f>
        <v>Alta</v>
      </c>
      <c r="AC40" s="203" t="str">
        <f>IF($C40,IF(LEN(TRIM($AN40))=0,"—",TRIM($AN40)),"")</f>
        <v>ATRASO</v>
      </c>
      <c r="AD40" s="202">
        <f>IF($C40,$AV40,"")</f>
        <v>1</v>
      </c>
      <c r="AE40" s="202" t="str">
        <f>IF($C40,$AZ40,"")</f>
        <v>Semanal · S1</v>
      </c>
      <c r="AF40" s="202" t="b">
        <f>IF($C40,$AV40&lt;&gt;$AR40,FALSE)</f>
        <v>0</v>
      </c>
      <c r="AG40" s="202">
        <f>IF($C40,IF($AV40&lt;&gt;$AR40,$AW40,""),"")</f>
      </c>
      <c r="AH40" s="203">
        <f>IF($C40,IF(ISBLANK('Backlog General'!$K40),"",'Backlog General'!$K40),"")</f>
      </c>
      <c r="AI40" s="202">
        <f>IF($C40,$AV40*100000+ROW(),"")</f>
        <v>100040</v>
      </c>
      <c r="AJ40" s="202">
        <f>IF(AND($C40,ISNUMBER($H40)),$AA40*1000000-MEDIAN(-9999,$K40,9999)*100+(300-ROW()),"")</f>
        <v>52001360</v>
      </c>
      <c r="AK40" s="202">
        <f>IF($C40,IF($J40="Completado",0,IF($K40&lt;0,1,IF($K40&lt;=3,0.9,IF($K40&lt;=7,0.7,IF($K40&lt;=14,0.45,0.2))))),"")</f>
        <v>1</v>
      </c>
      <c r="AL40" s="202">
        <f>IF($C40,IF($J40="Completado",0,MEDIAN(0,MAX(-$V40,$W40/30),1)),"")</f>
        <v>0.36666666666666664</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t="str">
        <f>IF($C40,'Backlog General'!$G40,"")</f>
        <v>En progreso</v>
      </c>
      <c r="AU40" s="203">
        <f>IF($C40,'Backlog General'!$H40,"")</f>
        <v>0</v>
      </c>
      <c r="AV40" s="202">
        <f>IF(AND($C40,ISNUMBER($AR40)),IF(AND(ISNUMBER('Backlog General'!$M40),'Backlog General'!$M40&gt;=$AR40),'Backlog General'!$M40,IF(AND($AU40="Pasa al siguiente",$AT40&lt;&gt;"Completada"),$AR40+1,$AR40)),"")</f>
        <v>1</v>
      </c>
      <c r="AW40" s="202">
        <f>IF(AND($C40,ISNUMBER($AR40)),$AQ40+$AR40*$AP40*'Sprints'!$D$5-'Sprints'!$D$5,"")</f>
        <v>46192</v>
      </c>
      <c r="AX40" s="202">
        <f>IF($C40,IF(OR($AT40="Completada",$AU40="Cancelado",$AU40="Baja prioridad",NOT(ISNUMBER($AW40))),0,IF(TODAY()&gt;$AW40,NETWORKDAYS($AW40,TODAY(),'Sprints'!$L$5:$L$40)-1,0)),"")</f>
        <v>5</v>
      </c>
      <c r="AY40" s="203" t="str">
        <f>IF($C40,IF(NOT(ISNUMBER($AR40)),"Sin fecha",IF($AT40="Completada","Completada",IF($AU40="Cancelado","Cancelado",IF($AU40="Baja prioridad","Baja prioridad",IF($AX40&gt;0,"Vencida","En curso"))))),"")</f>
        <v>Vencida</v>
      </c>
      <c r="AZ40" s="203" t="str">
        <f>IF($C40,IF(ISNUMBER($AV40),$AO40&amp;" · S"&amp;$AV40,"(Sin fecha)"),"")</f>
        <v>Semanal · S1</v>
      </c>
      <c r="BA40" s="202">
        <f>IF(AND($C40,ISNUMBER($AR40),$AR40=$AS40),"Nuevo","")</f>
      </c>
      <c r="BB40" s="202">
        <f>IF(AND($C40,$AO40="Semanal",ISNUMBER($AV40)),$AV40*100000+ROW(),"")</f>
        <v>100040</v>
      </c>
      <c r="BC40" s="202">
        <f>IF(AND($C40,$AO40="Quincenal",ISNUMBER($AV40)),$AV40*100000+ROW(),"")</f>
      </c>
      <c r="BD40" s="202">
        <f>IF(AND($C40,$AO40="Mensual",ISNUMBER($AV40)),$AV40*100000+ROW(),"")</f>
      </c>
      <c r="BE40" s="203">
        <f>IF($C40,IF(ISBLANK('Backlog General'!$J40),"",'Backlog General'!$J40),"")</f>
      </c>
      <c r="BF40" s="203">
        <f>IF($C40,IF($BE40="","",$BE40)&amp;IF(AND($BE40&lt;&gt;"",$AH40&lt;&gt;"")," · ","")&amp;IF($AH40="","",$AH40),"")</f>
      </c>
      <c r="BG40" s="203" t="str">
        <f>IF($C40,IF($J40="Completado","Sí","No"),"")</f>
        <v>No</v>
      </c>
      <c r="BH40" s="202">
        <f>IF(AND($C40,ISNUMBER($AR40)),IF($AO40="Semanal",1,IF($AO40="Quincenal",2,3))*1000000000+$AR40*100000+ROW(),"")</f>
        <v>1000100040</v>
      </c>
      <c r="BI40" s="202">
        <f>IF($C40,IF($AU40="Cancelado","",$I40),"")</f>
        <v>0.5</v>
      </c>
      <c r="BJ40" s="202">
        <f>IF($C40,IFERROR(MATCH($D40,$D$7:$D$200,0)+6,ROW()),"")</f>
        <v>37</v>
      </c>
      <c r="BK40" s="202">
        <f>IF(AND($C40,ISNUMBER($AV40)),$BJ40*1000000+$AV40*1000+ROW(),"")</f>
        <v>37001040</v>
      </c>
      <c r="BL40" s="202">
        <f>IF(AND($C40,ISNUMBER($AW40)),ROUND(($AW40-('Sprints'!$C$5+('Sprints'!$E$5-1)*'Sprints'!$D$5))/'Sprints'!$D$5,0),"")</f>
        <v>-1</v>
      </c>
      <c r="BM40" s="203" t="str">
        <f>IF($C40,IF(NOT(ISNUMBER($BL40)),"",IF($BL40&lt;0,"Pasada",IF($BL40=0,"Actual",IF($BL40=1,"Siguiente",IF($BL40=2,"+2 sem",IF($BL40=3,"+3 sem","Posterior")))))),"")</f>
        <v>Pasada</v>
      </c>
      <c r="BN40" s="202">
        <f>IF(AND($C40,ISNUMBER($AR40),ISNUMBER($AV40)),MAX(1,$AV40-$AR40+1),0)</f>
        <v>1</v>
      </c>
      <c r="BO40" s="202">
        <f>SUM($BN$7:$BN40)-$BN40</f>
        <v>18</v>
      </c>
      <c r="BP40" s="202">
        <f>IF(AND($C40,ISNUMBER($AV40)),$AQ40+$AV40*$AP40*'Sprints'!$D$5-'Sprints'!$D$5,"")</f>
        <v>46192</v>
      </c>
      <c r="BQ40" s="202">
        <f>IF(AND($C40,ISNUMBER($BP40)),$BP40*1000+ROW(),"")</f>
        <v>46192040</v>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IF($C41,IF('Backlog General'!$G41="Completada",1,IF('Backlog General'!$G41="Casi lista",0.75,IF('Backlog General'!$G41="En progreso",0.5,IF('Backlog General'!$G41="Iniciada",0.25,0)))),"")</f>
        <v>0.5</v>
      </c>
      <c r="J41" s="203" t="str">
        <f>IF($C41,IF($I41&gt;=1,"Completado",IF(NOT(ISNUMBER($H41)),"Sin fecha",IF($H41&lt;TODAY(),"Vencido",IF(($H41-TODAY())&lt;='Entregas Próximas'!$M$3,"Próximo a vencer","En curso")))),"")</f>
        <v>Vencido</v>
      </c>
      <c r="K41" s="202">
        <f>IF(AND($C41,ISNUMBER($H41)),$H41-TODAY(),"")</f>
        <v>-11</v>
      </c>
      <c r="L41" s="202">
        <f>IF(AND($C41,ISNUMBER($H41)),$AD41*1000000+$H41+ROW()/100000,"")</f>
        <v>1046188.00041</v>
      </c>
      <c r="M41" s="202">
        <f>IF($C41,IF($AD41=9999,"(Sin sprint)",$AD41),"")</f>
        <v>1</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11</v>
      </c>
      <c r="U41" s="202">
        <f>IF($C41,MEDIAN(0,(TODAY()-'Proyecto Datos (OKR´s)'!$K41)/MAX(1,$R41-'Proyecto Datos (OKR´s)'!$K41),1),"")</f>
        <v>1</v>
      </c>
      <c r="V41" s="202">
        <f>IF($C41,$I41-$U41,"")</f>
        <v>-0.5</v>
      </c>
      <c r="W41" s="202">
        <f>IF($C41,IF(OR($J41="Completado",NOT(ISNUMBER($H41))),0,MAX(0,TODAY()-$H41)),"")</f>
        <v>11</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1</v>
      </c>
      <c r="AE41" s="202" t="str">
        <f>IF($C41,$AZ41,"")</f>
        <v>Semanal · S1</v>
      </c>
      <c r="AF41" s="202" t="b">
        <f>IF($C41,$AV41&lt;&gt;$AR41,FALSE)</f>
        <v>0</v>
      </c>
      <c r="AG41" s="202">
        <f>IF($C41,IF($AV41&lt;&gt;$AR41,$AW41,""),"")</f>
      </c>
      <c r="AH41" s="203">
        <f>IF($C41,IF(ISBLANK('Backlog General'!$K41),"",'Backlog General'!$K41),"")</f>
      </c>
      <c r="AI41" s="202">
        <f>IF($C41,$AV41*100000+ROW(),"")</f>
        <v>100041</v>
      </c>
      <c r="AJ41" s="202">
        <f>IF(AND($C41,ISNUMBER($H41)),$AA41*1000000-MEDIAN(-9999,$K41,9999)*100+(300-ROW()),"")</f>
        <v>56001359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t="str">
        <f>IF($C41,'Backlog General'!$G41,"")</f>
        <v>En progreso</v>
      </c>
      <c r="AU41" s="203">
        <f>IF($C41,'Backlog General'!$H41,"")</f>
        <v>0</v>
      </c>
      <c r="AV41" s="202">
        <f>IF(AND($C41,ISNUMBER($AR41)),IF(AND(ISNUMBER('Backlog General'!$M41),'Backlog General'!$M41&gt;=$AR41),'Backlog General'!$M41,IF(AND($AU41="Pasa al siguiente",$AT41&lt;&gt;"Completada"),$AR41+1,$AR41)),"")</f>
        <v>1</v>
      </c>
      <c r="AW41" s="202">
        <f>IF(AND($C41,ISNUMBER($AR41)),$AQ41+$AR41*$AP41*'Sprints'!$D$5-'Sprints'!$D$5,"")</f>
        <v>46192</v>
      </c>
      <c r="AX41" s="202">
        <f>IF($C41,IF(OR($AT41="Completada",$AU41="Cancelado",$AU41="Baja prioridad",NOT(ISNUMBER($AW41))),0,IF(TODAY()&gt;$AW41,NETWORKDAYS($AW41,TODAY(),'Sprints'!$L$5:$L$40)-1,0)),"")</f>
        <v>5</v>
      </c>
      <c r="AY41" s="203" t="str">
        <f>IF($C41,IF(NOT(ISNUMBER($AR41)),"Sin fecha",IF($AT41="Completada","Completada",IF($AU41="Cancelado","Cancelado",IF($AU41="Baja prioridad","Baja prioridad",IF($AX41&gt;0,"Vencida","En curso"))))),"")</f>
        <v>Vencida</v>
      </c>
      <c r="AZ41" s="203" t="str">
        <f>IF($C41,IF(ISNUMBER($AV41),$AO41&amp;" · S"&amp;$AV41,"(Sin fecha)"),"")</f>
        <v>Semanal · S1</v>
      </c>
      <c r="BA41" s="202">
        <f>IF(AND($C41,ISNUMBER($AR41),$AR41=$AS41),"Nuevo","")</f>
      </c>
      <c r="BB41" s="202">
        <f>IF(AND($C41,$AO41="Semanal",ISNUMBER($AV41)),$AV41*100000+ROW(),"")</f>
        <v>100041</v>
      </c>
      <c r="BC41" s="202">
        <f>IF(AND($C41,$AO41="Quincenal",ISNUMBER($AV41)),$AV41*100000+ROW(),"")</f>
      </c>
      <c r="BD41" s="202">
        <f>IF(AND($C41,$AO41="Mensual",ISNUMBER($AV41)),$AV41*100000+ROW(),"")</f>
      </c>
      <c r="BE41" s="203">
        <f>IF($C41,IF(ISBLANK('Backlog General'!$J41),"",'Backlog General'!$J41),"")</f>
      </c>
      <c r="BF41" s="203">
        <f>IF($C41,IF($BE41="","",$BE41)&amp;IF(AND($BE41&lt;&gt;"",$AH41&lt;&gt;"")," · ","")&amp;IF($AH41="","",$AH41),"")</f>
      </c>
      <c r="BG41" s="203" t="str">
        <f>IF($C41,IF($J41="Completado","Sí","No"),"")</f>
        <v>No</v>
      </c>
      <c r="BH41" s="202">
        <f>IF(AND($C41,ISNUMBER($AR41)),IF($AO41="Semanal",1,IF($AO41="Quincenal",2,3))*1000000000+$AR41*100000+ROW(),"")</f>
        <v>1000100041</v>
      </c>
      <c r="BI41" s="202">
        <f>IF($C41,IF($AU41="Cancelado","",$I41),"")</f>
        <v>0.5</v>
      </c>
      <c r="BJ41" s="202">
        <f>IF($C41,IFERROR(MATCH($D41,$D$7:$D$200,0)+6,ROW()),"")</f>
        <v>37</v>
      </c>
      <c r="BK41" s="202">
        <f>IF(AND($C41,ISNUMBER($AV41)),$BJ41*1000000+$AV41*1000+ROW(),"")</f>
        <v>37001041</v>
      </c>
      <c r="BL41" s="202">
        <f>IF(AND($C41,ISNUMBER($AW41)),ROUND(($AW41-('Sprints'!$C$5+('Sprints'!$E$5-1)*'Sprints'!$D$5))/'Sprints'!$D$5,0),"")</f>
        <v>-1</v>
      </c>
      <c r="BM41" s="203" t="str">
        <f>IF($C41,IF(NOT(ISNUMBER($BL41)),"",IF($BL41&lt;0,"Pasada",IF($BL41=0,"Actual",IF($BL41=1,"Siguiente",IF($BL41=2,"+2 sem",IF($BL41=3,"+3 sem","Posterior")))))),"")</f>
        <v>Pasada</v>
      </c>
      <c r="BN41" s="202">
        <f>IF(AND($C41,ISNUMBER($AR41),ISNUMBER($AV41)),MAX(1,$AV41-$AR41+1),0)</f>
        <v>1</v>
      </c>
      <c r="BO41" s="202">
        <f>SUM($BN$7:$BN41)-$BN41</f>
        <v>19</v>
      </c>
      <c r="BP41" s="202">
        <f>IF(AND($C41,ISNUMBER($AV41)),$AQ41+$AV41*$AP41*'Sprints'!$D$5-'Sprints'!$D$5,"")</f>
        <v>46192</v>
      </c>
      <c r="BQ41" s="202">
        <f>IF(AND($C41,ISNUMBER($BP41)),$BP41*1000+ROW(),"")</f>
        <v>46192041</v>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IF($C42,IF('Backlog General'!$G42="Completada",1,IF('Backlog General'!$G42="Casi lista",0.75,IF('Backlog General'!$G42="En progreso",0.5,IF('Backlog General'!$G42="Iniciada",0.25,0)))),"")</f>
        <v>0.25</v>
      </c>
      <c r="J42" s="203" t="str">
        <f>IF($C42,IF($I42&gt;=1,"Completado",IF(NOT(ISNUMBER($H42)),"Sin fecha",IF($H42&lt;TODAY(),"Vencido",IF(($H42-TODAY())&lt;='Entregas Próximas'!$M$3,"Próximo a vencer","En curso")))),"")</f>
        <v>Vencido</v>
      </c>
      <c r="K42" s="202">
        <f>IF(AND($C42,ISNUMBER($H42)),$H42-TODAY(),"")</f>
        <v>-11</v>
      </c>
      <c r="L42" s="202">
        <f>IF(AND($C42,ISNUMBER($H42)),$AD42*1000000+$H42+ROW()/100000,"")</f>
        <v>1046188.00042</v>
      </c>
      <c r="M42" s="202">
        <f>IF($C42,IF($AD42=9999,"(Sin sprint)",$AD42),"")</f>
        <v>1</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11</v>
      </c>
      <c r="U42" s="202">
        <f>IF($C42,MEDIAN(0,(TODAY()-'Proyecto Datos (OKR´s)'!$K42)/MAX(1,$R42-'Proyecto Datos (OKR´s)'!$K42),1),"")</f>
        <v>1</v>
      </c>
      <c r="V42" s="202">
        <f>IF($C42,$I42-$U42,"")</f>
        <v>-0.75</v>
      </c>
      <c r="W42" s="202">
        <f>IF($C42,IF(OR($J42="Completado",NOT(ISNUMBER($H42))),0,MAX(0,TODAY()-$H42)),"")</f>
        <v>11</v>
      </c>
      <c r="X42" s="202">
        <f>IF($C42,IF(ISNUMBER($H42),$R42-$H42,0),"")</f>
        <v>0</v>
      </c>
      <c r="Y42" s="202">
        <f>IF($C42,COUNTIFS($G$7:$G$200,$G42,$J$7:$J$200,"&lt;&gt;Completado",$J$7:$J$200,"&lt;&gt;"),"")</f>
        <v>0</v>
      </c>
      <c r="Z42" s="202" t="b">
        <f>IF($C42,AND($I42=0,'Proyecto Datos (OKR´s)'!$K42&lt;=TODAY(),$J42&lt;&gt;"Completado"),"")</f>
        <v>0</v>
      </c>
      <c r="AA42" s="202">
        <f>IF($C42,ROUND(100*(0.35*$AK42+0.3*$AL42+0.2*$AM42+0.15*MEDIAN(0,($Y42-4)/8,1)),0),"")</f>
        <v>72</v>
      </c>
      <c r="AB42" s="203" t="str">
        <f>IF($C42,IF(OR($J42="Completado",$J42="Sin fecha"),"—",IF($AA42&gt;=70,"Crítica",IF($AA42&gt;=45,"Alta",IF($AA42&gt;=25,"Media","Baja")))),"")</f>
        <v>Crítica</v>
      </c>
      <c r="AC42" s="203" t="str">
        <f>IF($C42,IF(LEN(TRIM($AN42))=0,"—",TRIM($AN42)),"")</f>
        <v>ATRASO</v>
      </c>
      <c r="AD42" s="202">
        <f>IF($C42,$AV42,"")</f>
        <v>1</v>
      </c>
      <c r="AE42" s="202" t="str">
        <f>IF($C42,$AZ42,"")</f>
        <v>Semanal · S1</v>
      </c>
      <c r="AF42" s="202" t="b">
        <f>IF($C42,$AV42&lt;&gt;$AR42,FALSE)</f>
        <v>0</v>
      </c>
      <c r="AG42" s="202">
        <f>IF($C42,IF($AV42&lt;&gt;$AR42,$AW42,""),"")</f>
      </c>
      <c r="AH42" s="203">
        <f>IF($C42,IF(ISBLANK('Backlog General'!$K42),"",'Backlog General'!$K42),"")</f>
      </c>
      <c r="AI42" s="202">
        <f>IF($C42,$AV42*100000+ROW(),"")</f>
        <v>100042</v>
      </c>
      <c r="AJ42" s="202">
        <f>IF(AND($C42,ISNUMBER($H42)),$AA42*1000000-MEDIAN(-9999,$K42,9999)*100+(300-ROW()),"")</f>
        <v>72001358</v>
      </c>
      <c r="AK42" s="202">
        <f>IF($C42,IF($J42="Completado",0,IF($K42&lt;0,1,IF($K42&lt;=3,0.9,IF($K42&lt;=7,0.7,IF($K42&lt;=14,0.45,0.2))))),"")</f>
        <v>1</v>
      </c>
      <c r="AL42" s="202">
        <f>IF($C42,IF($J42="Completado",0,MEDIAN(0,MAX(-$V42,$W42/30),1)),"")</f>
        <v>0.75</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t="str">
        <f>IF($C42,'Backlog General'!$G42,"")</f>
        <v>Iniciada</v>
      </c>
      <c r="AU42" s="203">
        <f>IF($C42,'Backlog General'!$H42,"")</f>
        <v>0</v>
      </c>
      <c r="AV42" s="202">
        <f>IF(AND($C42,ISNUMBER($AR42)),IF(AND(ISNUMBER('Backlog General'!$M42),'Backlog General'!$M42&gt;=$AR42),'Backlog General'!$M42,IF(AND($AU42="Pasa al siguiente",$AT42&lt;&gt;"Completada"),$AR42+1,$AR42)),"")</f>
        <v>1</v>
      </c>
      <c r="AW42" s="202">
        <f>IF(AND($C42,ISNUMBER($AR42)),$AQ42+$AR42*$AP42*'Sprints'!$D$5-'Sprints'!$D$5,"")</f>
        <v>46192</v>
      </c>
      <c r="AX42" s="202">
        <f>IF($C42,IF(OR($AT42="Completada",$AU42="Cancelado",$AU42="Baja prioridad",NOT(ISNUMBER($AW42))),0,IF(TODAY()&gt;$AW42,NETWORKDAYS($AW42,TODAY(),'Sprints'!$L$5:$L$40)-1,0)),"")</f>
        <v>5</v>
      </c>
      <c r="AY42" s="203" t="str">
        <f>IF($C42,IF(NOT(ISNUMBER($AR42)),"Sin fecha",IF($AT42="Completada","Completada",IF($AU42="Cancelado","Cancelado",IF($AU42="Baja prioridad","Baja prioridad",IF($AX42&gt;0,"Vencida","En curso"))))),"")</f>
        <v>Vencida</v>
      </c>
      <c r="AZ42" s="203" t="str">
        <f>IF($C42,IF(ISNUMBER($AV42),$AO42&amp;" · S"&amp;$AV42,"(Sin fecha)"),"")</f>
        <v>Semanal · S1</v>
      </c>
      <c r="BA42" s="202">
        <f>IF(AND($C42,ISNUMBER($AR42),$AR42=$AS42),"Nuevo","")</f>
      </c>
      <c r="BB42" s="202">
        <f>IF(AND($C42,$AO42="Semanal",ISNUMBER($AV42)),$AV42*100000+ROW(),"")</f>
        <v>100042</v>
      </c>
      <c r="BC42" s="202">
        <f>IF(AND($C42,$AO42="Quincenal",ISNUMBER($AV42)),$AV42*100000+ROW(),"")</f>
      </c>
      <c r="BD42" s="202">
        <f>IF(AND($C42,$AO42="Mensual",ISNUMBER($AV42)),$AV42*100000+ROW(),"")</f>
      </c>
      <c r="BE42" s="203">
        <f>IF($C42,IF(ISBLANK('Backlog General'!$J42),"",'Backlog General'!$J42),"")</f>
      </c>
      <c r="BF42" s="203">
        <f>IF($C42,IF($BE42="","",$BE42)&amp;IF(AND($BE42&lt;&gt;"",$AH42&lt;&gt;"")," · ","")&amp;IF($AH42="","",$AH42),"")</f>
      </c>
      <c r="BG42" s="203" t="str">
        <f>IF($C42,IF($J42="Completado","Sí","No"),"")</f>
        <v>No</v>
      </c>
      <c r="BH42" s="202">
        <f>IF(AND($C42,ISNUMBER($AR42)),IF($AO42="Semanal",1,IF($AO42="Quincenal",2,3))*1000000000+$AR42*100000+ROW(),"")</f>
        <v>1000100042</v>
      </c>
      <c r="BI42" s="202">
        <f>IF($C42,IF($AU42="Cancelado","",$I42),"")</f>
        <v>0.25</v>
      </c>
      <c r="BJ42" s="202">
        <f>IF($C42,IFERROR(MATCH($D42,$D$7:$D$200,0)+6,ROW()),"")</f>
        <v>37</v>
      </c>
      <c r="BK42" s="202">
        <f>IF(AND($C42,ISNUMBER($AV42)),$BJ42*1000000+$AV42*1000+ROW(),"")</f>
        <v>37001042</v>
      </c>
      <c r="BL42" s="202">
        <f>IF(AND($C42,ISNUMBER($AW42)),ROUND(($AW42-('Sprints'!$C$5+('Sprints'!$E$5-1)*'Sprints'!$D$5))/'Sprints'!$D$5,0),"")</f>
        <v>-1</v>
      </c>
      <c r="BM42" s="203" t="str">
        <f>IF($C42,IF(NOT(ISNUMBER($BL42)),"",IF($BL42&lt;0,"Pasada",IF($BL42=0,"Actual",IF($BL42=1,"Siguiente",IF($BL42=2,"+2 sem",IF($BL42=3,"+3 sem","Posterior")))))),"")</f>
        <v>Pasada</v>
      </c>
      <c r="BN42" s="202">
        <f>IF(AND($C42,ISNUMBER($AR42),ISNUMBER($AV42)),MAX(1,$AV42-$AR42+1),0)</f>
        <v>1</v>
      </c>
      <c r="BO42" s="202">
        <f>SUM($BN$7:$BN42)-$BN42</f>
        <v>20</v>
      </c>
      <c r="BP42" s="202">
        <f>IF(AND($C42,ISNUMBER($AV42)),$AQ42+$AV42*$AP42*'Sprints'!$D$5-'Sprints'!$D$5,"")</f>
        <v>46192</v>
      </c>
      <c r="BQ42" s="202">
        <f>IF(AND($C42,ISNUMBER($BP42)),$BP42*1000+ROW(),"")</f>
        <v>46192042</v>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IF($C43,IF('Backlog General'!$G43="Completada",1,IF('Backlog General'!$G43="Casi lista",0.75,IF('Backlog General'!$G43="En progreso",0.5,IF('Backlog General'!$G43="Iniciada",0.25,0)))),"")</f>
        <v>0</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11</v>
      </c>
      <c r="U43" s="202">
        <f>IF($C43,MEDIAN(0,(TODAY()-'Proyecto Datos (OKR´s)'!$K43)/MAX(1,$R43-'Proyecto Datos (OKR´s)'!$K43),1),"")</f>
        <v>1</v>
      </c>
      <c r="V43" s="202">
        <f>IF($C43,$I43-$U43,"")</f>
        <v>-1</v>
      </c>
      <c r="W43" s="202">
        <f>IF($C43,IF(OR($J43="Completado",NOT(ISNUMBER($H43))),0,MAX(0,TODAY()-$H43)),"")</f>
        <v>0</v>
      </c>
      <c r="X43" s="202">
        <f>IF($C43,IF(ISNUMBER($H43),$R43-$H43,0),"")</f>
        <v>0</v>
      </c>
      <c r="Y43" s="202">
        <f>IF($C43,COUNTIFS($G$7:$G$200,$G43,$J$7:$J$200,"&lt;&gt;Completado",$J$7:$J$200,"&lt;&gt;"),"")</f>
        <v>0</v>
      </c>
      <c r="Z43" s="202" t="b">
        <f>IF($C43,AND($I43=0,'Proyecto Datos (OKR´s)'!$K43&lt;=TODAY(),$J43&lt;&gt;"Completado"),"")</f>
        <v>1</v>
      </c>
      <c r="AA43" s="202">
        <f>IF($C43,ROUND(100*(0.35*$AK43+0.3*$AL43+0.2*$AM43+0.15*MEDIAN(0,($Y43-4)/8,1)),0),"")</f>
        <v>57</v>
      </c>
      <c r="AB43" s="203" t="str">
        <f>IF($C43,IF(OR($J43="Completado",$J43="Sin fecha"),"—",IF($AA43&gt;=70,"Crítica",IF($AA43&gt;=45,"Alta",IF($AA43&gt;=25,"Media","Baja")))),"")</f>
        <v>—</v>
      </c>
      <c r="AC43" s="203" t="str">
        <f>IF($C43,IF(LEN(TRIM($AN43))=0,"—",TRIM($AN43)),"")</f>
        <v>ATRASO BLOQUEO</v>
      </c>
      <c r="AD43" s="202">
        <f>IF($C43,$AV43,"")</f>
      </c>
      <c r="AE43" s="202" t="str">
        <f>IF($C43,$AZ43,"")</f>
        <v>(Sin fecha)</v>
      </c>
      <c r="AF43" s="202" t="b">
        <f>IF($C43,$AV43&lt;&gt;$AR43,FALSE)</f>
        <v>0</v>
      </c>
      <c r="AG43" s="202">
        <f>IF($C43,IF($AV43&lt;&gt;$AR43,$AW43,""),"")</f>
      </c>
      <c r="AH43" s="203">
        <f>IF($C43,IF(ISBLANK('Backlog General'!$K43),"",'Backlog General'!$K43),"")</f>
      </c>
      <c r="AI43" s="202">
        <f>IF($C43,$AV43*100000+ROW(),"")</f>
      </c>
      <c r="AJ43" s="202">
        <f>IF(AND($C43,ISNUMBER($H43)),$AA43*1000000-MEDIAN(-9999,$K43,9999)*100+(300-ROW()),"")</f>
      </c>
      <c r="AK43" s="202">
        <f>IF($C43,IF($J43="Completado",0,IF($K43&lt;0,1,IF($K43&lt;=3,0.9,IF($K43&lt;=7,0.7,IF($K43&lt;=14,0.45,0.2))))),"")</f>
        <v>0.2</v>
      </c>
      <c r="AL43" s="202">
        <f>IF($C43,IF($J43="Completado",0,MEDIAN(0,MAX(-$V43,$W43/30),1)),"")</f>
        <v>1</v>
      </c>
      <c r="AM43" s="202">
        <f>IF($C43,IF($J43="Completado",0,IF($Z43,1,IF(AND($I43&lt;0.5,$K43&lt;=7),0.7,0.3))),"")</f>
        <v>1</v>
      </c>
      <c r="AN43" s="203" t="str">
        <f>IF($C43,IF(OR($V43&lt;-0.2,$W43&gt;0),"ATRASO ","")&amp;IF($Z43,"BLOQUEO ","")&amp;IF($Y43&gt;8,"SOBRECARGA ","")&amp;IF($X43&gt;0,"DESVÍO-PLAN ",""),"")</f>
        <v>ATRASO BLOQUEO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t="str">
        <f>IF($C43,'Backlog General'!$G43,"")</f>
        <v>Pendiente</v>
      </c>
      <c r="AU43" s="203">
        <f>IF($C43,'Backlog General'!$H43,"")</f>
        <v>0</v>
      </c>
      <c r="AV43" s="202">
        <f>IF(AND($C43,ISNUMBER($AR43)),IF(AND(ISNUMBER('Backlog General'!$M43),'Backlog General'!$M43&gt;=$AR43),'Backlog General'!$M43,IF(AND($AU43="Pasa al siguiente",$AT43&lt;&gt;"Completada"),$AR43+1,$AR43)),"")</f>
      </c>
      <c r="AW43" s="202">
        <f>IF(AND($C43,ISNUMBER($AR43)),$AQ43+$AR43*$AP43*'Sprints'!$D$5-'Sprints'!$D$5,"")</f>
      </c>
      <c r="AX43" s="202">
        <f>IF($C43,IF(OR($AT43="Completada",$AU43="Cancelado",$AU43="Baja prioridad",NOT(ISNUMBER($AW43))),0,IF(TODAY()&gt;$AW43,NETWORKDAYS($AW43,TODAY(),'Sprints'!$L$5:$L$40)-1,0)),"")</f>
        <v>0</v>
      </c>
      <c r="AY43" s="203" t="str">
        <f>IF($C43,IF(NOT(ISNUMBER($AR43)),"Sin fecha",IF($AT43="Completada","Completada",IF($AU43="Cancelado","Cancelado",IF($AU43="Baja prioridad","Baja prioridad",IF($AX43&gt;0,"Vencida","En curso"))))),"")</f>
        <v>Sin fecha</v>
      </c>
      <c r="AZ43" s="203" t="str">
        <f>IF($C43,IF(ISNUMBER($AV43),$AO43&amp;" · S"&amp;$AV43,"(Sin fecha)"),"")</f>
        <v>(Sin fecha)</v>
      </c>
      <c r="BA43" s="202">
        <f>IF(AND($C43,ISNUMBER($AR43),$AR43=$AS43),"Nuevo","")</f>
      </c>
      <c r="BB43" s="202">
        <f>IF(AND($C43,$AO43="Semanal",ISNUMBER($AV43)),$AV43*100000+ROW(),"")</f>
      </c>
      <c r="BC43" s="202">
        <f>IF(AND($C43,$AO43="Quincenal",ISNUMBER($AV43)),$AV43*100000+ROW(),"")</f>
      </c>
      <c r="BD43" s="202">
        <f>IF(AND($C43,$AO43="Mensual",ISNUMBER($AV43)),$AV43*100000+ROW(),"")</f>
      </c>
      <c r="BE43" s="203">
        <f>IF($C43,IF(ISBLANK('Backlog General'!$J43),"",'Backlog General'!$J43),"")</f>
      </c>
      <c r="BF43" s="203">
        <f>IF($C43,IF($BE43="","",$BE43)&amp;IF(AND($BE43&lt;&gt;"",$AH43&lt;&gt;"")," · ","")&amp;IF($AH43="","",$AH43),"")</f>
      </c>
      <c r="BG43" s="203" t="str">
        <f>IF($C43,IF($J43="Completado","Sí","No"),"")</f>
        <v>No</v>
      </c>
      <c r="BH43" s="202">
        <f>IF(AND($C43,ISNUMBER($AR43)),IF($AO43="Semanal",1,IF($AO43="Quincenal",2,3))*1000000000+$AR43*100000+ROW(),"")</f>
      </c>
      <c r="BI43" s="202">
        <f>IF($C43,IF($AU43="Cancelado","",$I43),"")</f>
        <v>0</v>
      </c>
      <c r="BJ43" s="202">
        <f>IF($C43,IFERROR(MATCH($D43,$D$7:$D$200,0)+6,ROW()),"")</f>
        <v>37</v>
      </c>
      <c r="BK43" s="202">
        <f>IF(AND($C43,ISNUMBER($AV43)),$BJ43*1000000+$AV43*1000+ROW(),"")</f>
      </c>
      <c r="BL43" s="202">
        <f>IF(AND($C43,ISNUMBER($AW43)),ROUND(($AW43-('Sprints'!$C$5+('Sprints'!$E$5-1)*'Sprints'!$D$5))/'Sprints'!$D$5,0),"")</f>
      </c>
      <c r="BM43" s="203">
        <f>IF($C43,IF(NOT(ISNUMBER($BL43)),"",IF($BL43&lt;0,"Pasada",IF($BL43=0,"Actual",IF($BL43=1,"Siguiente",IF($BL43=2,"+2 sem",IF($BL43=3,"+3 sem","Posterior")))))),"")</f>
      </c>
      <c r="BN43" s="202">
        <f>IF(AND($C43,ISNUMBER($AR43),ISNUMBER($AV43)),MAX(1,$AV43-$AR43+1),0)</f>
        <v>0</v>
      </c>
      <c r="BO43" s="202">
        <f>SUM($BN$7:$BN43)-$BN43</f>
        <v>21</v>
      </c>
      <c r="BP43" s="202">
        <f>IF(AND($C43,ISNUMBER($AV43)),$AQ43+$AV43*$AP43*'Sprints'!$D$5-'Sprints'!$D$5,"")</f>
      </c>
      <c r="BQ43" s="202">
        <f>IF(AND($C43,ISNUMBER($BP43)),$BP43*1000+ROW(),"")</f>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IF($C44,IF('Backlog General'!$G44="Completada",1,IF('Backlog General'!$G44="Casi lista",0.75,IF('Backlog General'!$G44="En progreso",0.5,IF('Backlog General'!$G44="Iniciada",0.25,0)))),"")</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4</v>
      </c>
      <c r="U44" s="202">
        <f>IF($C44,MEDIAN(0,(TODAY()-'Proyecto Datos (OKR´s)'!$K44)/MAX(1,$R44-'Proyecto Datos (OKR´s)'!$K44),1),"")</f>
        <v>0.5714285714285714</v>
      </c>
      <c r="V44" s="202">
        <f>IF($C44,$I44-$U44,"")</f>
        <v>-0.5714285714285714</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44</v>
      </c>
      <c r="AB44" s="203" t="str">
        <f>IF($C44,IF(OR($J44="Completado",$J44="Sin fecha"),"—",IF($AA44&gt;=70,"Crítica",IF($AA44&gt;=45,"Alta",IF($AA44&gt;=25,"Media","Baja")))),"")</f>
        <v>—</v>
      </c>
      <c r="AC44" s="203" t="str">
        <f>IF($C44,IF(LEN(TRIM($AN44))=0,"—",TRIM($AN44)),"")</f>
        <v>ATRASO BLOQUEO</v>
      </c>
      <c r="AD44" s="202">
        <f>IF($C44,$AV44,"")</f>
      </c>
      <c r="AE44" s="202" t="str">
        <f>IF($C44,$AZ44,"")</f>
        <v>(Sin fecha)</v>
      </c>
      <c r="AF44" s="202" t="b">
        <f>IF($C44,$AV44&lt;&gt;$AR44,FALSE)</f>
        <v>0</v>
      </c>
      <c r="AG44" s="202">
        <f>IF($C44,IF($AV44&lt;&gt;$AR44,$AW44,""),"")</f>
      </c>
      <c r="AH44" s="203">
        <f>IF($C44,IF(ISBLANK('Backlog General'!$K44),"",'Backlog General'!$K44),"")</f>
      </c>
      <c r="AI44" s="202">
        <f>IF($C44,$AV44*100000+ROW(),"")</f>
      </c>
      <c r="AJ44" s="202">
        <f>IF(AND($C44,ISNUMBER($H44)),$AA44*1000000-MEDIAN(-9999,$K44,9999)*100+(300-ROW()),"")</f>
      </c>
      <c r="AK44" s="202">
        <f>IF($C44,IF($J44="Completado",0,IF($K44&lt;0,1,IF($K44&lt;=3,0.9,IF($K44&lt;=7,0.7,IF($K44&lt;=14,0.45,0.2))))),"")</f>
        <v>0.2</v>
      </c>
      <c r="AL44" s="202">
        <f>IF($C44,IF($J44="Completado",0,MEDIAN(0,MAX(-$V44,$W44/30),1)),"")</f>
        <v>0.5714285714285714</v>
      </c>
      <c r="AM44" s="202">
        <f>IF($C44,IF($J44="Completado",0,IF($Z44,1,IF(AND($I44&lt;0.5,$K44&lt;=7),0.7,0.3))),"")</f>
        <v>1</v>
      </c>
      <c r="AN44" s="203" t="str">
        <f>IF($C44,IF(OR($V44&lt;-0.2,$W44&gt;0),"ATRASO ","")&amp;IF($Z44,"BLOQUEO ","")&amp;IF($Y44&gt;8,"SOBRECARGA ","")&amp;IF($X44&gt;0,"DESVÍO-PLAN ",""),"")</f>
        <v>ATRASO 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t="str">
        <f>IF($C44,'Backlog General'!$G44,"")</f>
        <v>Pendiente</v>
      </c>
      <c r="AU44" s="203">
        <f>IF($C44,'Backlog General'!$H44,"")</f>
        <v>0</v>
      </c>
      <c r="AV44" s="202">
        <f>IF(AND($C44,ISNUMBER($AR44)),IF(AND(ISNUMBER('Backlog General'!$M44),'Backlog General'!$M44&gt;=$AR44),'Backlog General'!$M44,IF(AND($AU44="Pasa al siguiente",$AT44&lt;&gt;"Completada"),$AR44+1,$AR44)),"")</f>
      </c>
      <c r="AW44" s="202">
        <f>IF(AND($C44,ISNUMBER($AR44)),$AQ44+$AR44*$AP44*'Sprints'!$D$5-'Sprints'!$D$5,"")</f>
      </c>
      <c r="AX44" s="202">
        <f>IF($C44,IF(OR($AT44="Completada",$AU44="Cancelado",$AU44="Baja prioridad",NOT(ISNUMBER($AW44))),0,IF(TODAY()&gt;$AW44,NETWORKDAYS($AW44,TODAY(),'Sprints'!$L$5:$L$40)-1,0)),"")</f>
        <v>0</v>
      </c>
      <c r="AY44" s="203" t="str">
        <f>IF($C44,IF(NOT(ISNUMBER($AR44)),"Sin fecha",IF($AT44="Completada","Completada",IF($AU44="Cancelado","Cancelado",IF($AU44="Baja prioridad","Baja prioridad",IF($AX44&gt;0,"Vencida","En curso"))))),"")</f>
        <v>Sin fecha</v>
      </c>
      <c r="AZ44" s="203" t="str">
        <f>IF($C44,IF(ISNUMBER($AV44),$AO44&amp;" · S"&amp;$AV44,"(Sin fecha)"),"")</f>
        <v>(Sin fecha)</v>
      </c>
      <c r="BA44" s="202">
        <f>IF(AND($C44,ISNUMBER($AR44),$AR44=$AS44),"Nuevo","")</f>
      </c>
      <c r="BB44" s="202">
        <f>IF(AND($C44,$AO44="Semanal",ISNUMBER($AV44)),$AV44*100000+ROW(),"")</f>
      </c>
      <c r="BC44" s="202">
        <f>IF(AND($C44,$AO44="Quincenal",ISNUMBER($AV44)),$AV44*100000+ROW(),"")</f>
      </c>
      <c r="BD44" s="202">
        <f>IF(AND($C44,$AO44="Mensual",ISNUMBER($AV44)),$AV44*100000+ROW(),"")</f>
      </c>
      <c r="BE44" s="203">
        <f>IF($C44,IF(ISBLANK('Backlog General'!$J44),"",'Backlog General'!$J44),"")</f>
      </c>
      <c r="BF44" s="203">
        <f>IF($C44,IF($BE44="","",$BE44)&amp;IF(AND($BE44&lt;&gt;"",$AH44&lt;&gt;"")," · ","")&amp;IF($AH44="","",$AH44),"")</f>
      </c>
      <c r="BG44" s="203" t="str">
        <f>IF($C44,IF($J44="Completado","Sí","No"),"")</f>
        <v>No</v>
      </c>
      <c r="BH44" s="202">
        <f>IF(AND($C44,ISNUMBER($AR44)),IF($AO44="Semanal",1,IF($AO44="Quincenal",2,3))*1000000000+$AR44*100000+ROW(),"")</f>
      </c>
      <c r="BI44" s="202">
        <f>IF($C44,IF($AU44="Cancelado","",$I44),"")</f>
        <v>0</v>
      </c>
      <c r="BJ44" s="202">
        <f>IF($C44,IFERROR(MATCH($D44,$D$7:$D$200,0)+6,ROW()),"")</f>
        <v>37</v>
      </c>
      <c r="BK44" s="202">
        <f>IF(AND($C44,ISNUMBER($AV44)),$BJ44*1000000+$AV44*1000+ROW(),"")</f>
      </c>
      <c r="BL44" s="202">
        <f>IF(AND($C44,ISNUMBER($AW44)),ROUND(($AW44-('Sprints'!$C$5+('Sprints'!$E$5-1)*'Sprints'!$D$5))/'Sprints'!$D$5,0),"")</f>
      </c>
      <c r="BM44" s="203">
        <f>IF($C44,IF(NOT(ISNUMBER($BL44)),"",IF($BL44&lt;0,"Pasada",IF($BL44=0,"Actual",IF($BL44=1,"Siguiente",IF($BL44=2,"+2 sem",IF($BL44=3,"+3 sem","Posterior")))))),"")</f>
      </c>
      <c r="BN44" s="202">
        <f>IF(AND($C44,ISNUMBER($AR44),ISNUMBER($AV44)),MAX(1,$AV44-$AR44+1),0)</f>
        <v>0</v>
      </c>
      <c r="BO44" s="202">
        <f>SUM($BN$7:$BN44)-$BN44</f>
        <v>21</v>
      </c>
      <c r="BP44" s="202">
        <f>IF(AND($C44,ISNUMBER($AV44)),$AQ44+$AV44*$AP44*'Sprints'!$D$5-'Sprints'!$D$5,"")</f>
      </c>
      <c r="BQ44" s="202">
        <f>IF(AND($C44,ISNUMBER($BP44)),$BP44*1000+ROW(),"")</f>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IF($C45,IF('Backlog General'!$G45="Completada",1,IF('Backlog General'!$G45="Casi lista",0.75,IF('Backlog General'!$G45="En progreso",0.5,IF('Backlog General'!$G45="Iniciada",0.25,0)))),"")</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IF($C45,IF(ISBLANK('Backlog General'!$K45),"",'Backlog General'!$K45),"")</f>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t="str">
        <f>IF($C45,'Backlog General'!$G45,"")</f>
        <v>Pendiente</v>
      </c>
      <c r="AU45" s="203">
        <f>IF($C45,'Backlog General'!$H45,"")</f>
        <v>0</v>
      </c>
      <c r="AV45" s="202">
        <f>IF(AND($C45,ISNUMBER($AR45)),IF(AND(ISNUMBER('Backlog General'!$M45),'Backlog General'!$M45&gt;=$AR45),'Backlog General'!$M45,IF(AND($AU45="Pasa al siguiente",$AT45&lt;&gt;"Completada"),$AR45+1,$AR45)),"")</f>
      </c>
      <c r="AW45" s="202">
        <f>IF(AND($C45,ISNUMBER($AR45)),$AQ45+$AR45*$AP45*'Sprints'!$D$5-'Sprints'!$D$5,"")</f>
      </c>
      <c r="AX45" s="202">
        <f>IF($C45,IF(OR($AT45="Completada",$AU45="Cancelado",$AU45="Baja prioridad",NOT(ISNUMBER($AW45))),0,IF(TODAY()&gt;$AW45,NETWORKDAYS($AW45,TODAY(),'Sprints'!$L$5:$L$40)-1,0)),"")</f>
        <v>0</v>
      </c>
      <c r="AY45" s="203" t="str">
        <f>IF($C45,IF(NOT(ISNUMBER($AR45)),"Sin fecha",IF($AT45="Completada","Completada",IF($AU45="Cancelado","Cancelado",IF($AU45="Baja prioridad","Baja prioridad",IF($AX45&gt;0,"Vencida","En curso"))))),"")</f>
        <v>Sin fecha</v>
      </c>
      <c r="AZ45" s="203" t="str">
        <f>IF($C45,IF(ISNUMBER($AV45),$AO45&amp;" · S"&amp;$AV45,"(Sin fecha)"),"")</f>
        <v>(Sin fecha)</v>
      </c>
      <c r="BA45" s="202">
        <f>IF(AND($C45,ISNUMBER($AR45),$AR45=$AS45),"Nuevo","")</f>
      </c>
      <c r="BB45" s="202">
        <f>IF(AND($C45,$AO45="Semanal",ISNUMBER($AV45)),$AV45*100000+ROW(),"")</f>
      </c>
      <c r="BC45" s="202">
        <f>IF(AND($C45,$AO45="Quincenal",ISNUMBER($AV45)),$AV45*100000+ROW(),"")</f>
      </c>
      <c r="BD45" s="202">
        <f>IF(AND($C45,$AO45="Mensual",ISNUMBER($AV45)),$AV45*100000+ROW(),"")</f>
      </c>
      <c r="BE45" s="203">
        <f>IF($C45,IF(ISBLANK('Backlog General'!$J45),"",'Backlog General'!$J45),"")</f>
      </c>
      <c r="BF45" s="203">
        <f>IF($C45,IF($BE45="","",$BE45)&amp;IF(AND($BE45&lt;&gt;"",$AH45&lt;&gt;"")," · ","")&amp;IF($AH45="","",$AH45),"")</f>
      </c>
      <c r="BG45" s="203" t="str">
        <f>IF($C45,IF($J45="Completado","Sí","No"),"")</f>
        <v>No</v>
      </c>
      <c r="BH45" s="202">
        <f>IF(AND($C45,ISNUMBER($AR45)),IF($AO45="Semanal",1,IF($AO45="Quincenal",2,3))*1000000000+$AR45*100000+ROW(),"")</f>
      </c>
      <c r="BI45" s="202">
        <f>IF($C45,IF($AU45="Cancelado","",$I45),"")</f>
        <v>0</v>
      </c>
      <c r="BJ45" s="202">
        <f>IF($C45,IFERROR(MATCH($D45,$D$7:$D$200,0)+6,ROW()),"")</f>
        <v>37</v>
      </c>
      <c r="BK45" s="202">
        <f>IF(AND($C45,ISNUMBER($AV45)),$BJ45*1000000+$AV45*1000+ROW(),"")</f>
      </c>
      <c r="BL45" s="202">
        <f>IF(AND($C45,ISNUMBER($AW45)),ROUND(($AW45-('Sprints'!$C$5+('Sprints'!$E$5-1)*'Sprints'!$D$5))/'Sprints'!$D$5,0),"")</f>
      </c>
      <c r="BM45" s="203">
        <f>IF($C45,IF(NOT(ISNUMBER($BL45)),"",IF($BL45&lt;0,"Pasada",IF($BL45=0,"Actual",IF($BL45=1,"Siguiente",IF($BL45=2,"+2 sem",IF($BL45=3,"+3 sem","Posterior")))))),"")</f>
      </c>
      <c r="BN45" s="202">
        <f>IF(AND($C45,ISNUMBER($AR45),ISNUMBER($AV45)),MAX(1,$AV45-$AR45+1),0)</f>
        <v>0</v>
      </c>
      <c r="BO45" s="202">
        <f>SUM($BN$7:$BN45)-$BN45</f>
        <v>21</v>
      </c>
      <c r="BP45" s="202">
        <f>IF(AND($C45,ISNUMBER($AV45)),$AQ45+$AV45*$AP45*'Sprints'!$D$5-'Sprints'!$D$5,"")</f>
      </c>
      <c r="BQ45" s="202">
        <f>IF(AND($C45,ISNUMBER($BP45)),$BP45*1000+ROW(),"")</f>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IF($C46,IF('Backlog General'!$G46="Completada",1,IF('Backlog General'!$G46="Casi lista",0.75,IF('Backlog General'!$G46="En progreso",0.5,IF('Backlog General'!$G46="Iniciada",0.25,0)))),"")</f>
        <v>0.5</v>
      </c>
      <c r="J46" s="203" t="str">
        <f>IF($C46,IF($I46&gt;=1,"Completado",IF(NOT(ISNUMBER($H46)),"Sin fecha",IF($H46&lt;TODAY(),"Vencido",IF(($H46-TODAY())&lt;='Entregas Próximas'!$M$3,"Próximo a vencer","En curso")))),"")</f>
        <v>Vencido</v>
      </c>
      <c r="K46" s="202">
        <f>IF(AND($C46,ISNUMBER($H46)),$H46-TODAY(),"")</f>
        <v>-11</v>
      </c>
      <c r="L46" s="202">
        <f>IF(AND($C46,ISNUMBER($H46)),$AD46*1000000+$H46+ROW()/100000,"")</f>
        <v>1046188.00046</v>
      </c>
      <c r="M46" s="202">
        <f>IF($C46,IF($AD46=9999,"(Sin sprint)",$AD46),"")</f>
        <v>1</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11</v>
      </c>
      <c r="X46" s="202">
        <f>IF($C46,IF(ISNUMBER($H46),$R46-$H46,0),"")</f>
        <v>0</v>
      </c>
      <c r="Y46" s="202">
        <f>IF($C46,COUNTIFS($G$7:$G$200,$G46,$J$7:$J$200,"&lt;&gt;Completado",$J$7:$J$200,"&lt;&gt;"),"")</f>
        <v>0</v>
      </c>
      <c r="Z46" s="202" t="b">
        <f>IF($C46,AND($I46=0,'Proyecto Datos (OKR´s)'!$K46&lt;=TODAY(),$J46&lt;&gt;"Completado"),"")</f>
        <v>0</v>
      </c>
      <c r="AA46" s="202">
        <f>IF($C46,ROUND(100*(0.35*$AK46+0.3*$AL46+0.2*$AM46+0.15*MEDIAN(0,($Y46-4)/8,1)),0),"")</f>
        <v>52</v>
      </c>
      <c r="AB46" s="203" t="str">
        <f>IF($C46,IF(OR($J46="Completado",$J46="Sin fecha"),"—",IF($AA46&gt;=70,"Crítica",IF($AA46&gt;=45,"Alta",IF($AA46&gt;=25,"Media","Baja")))),"")</f>
        <v>Alta</v>
      </c>
      <c r="AC46" s="203" t="str">
        <f>IF($C46,IF(LEN(TRIM($AN46))=0,"—",TRIM($AN46)),"")</f>
        <v>ATRASO</v>
      </c>
      <c r="AD46" s="202">
        <f>IF($C46,$AV46,"")</f>
        <v>1</v>
      </c>
      <c r="AE46" s="202" t="str">
        <f>IF($C46,$AZ46,"")</f>
        <v>Semanal · S1</v>
      </c>
      <c r="AF46" s="202" t="b">
        <f>IF($C46,$AV46&lt;&gt;$AR46,FALSE)</f>
        <v>0</v>
      </c>
      <c r="AG46" s="202">
        <f>IF($C46,IF($AV46&lt;&gt;$AR46,$AW46,""),"")</f>
      </c>
      <c r="AH46" s="203">
        <f>IF($C46,IF(ISBLANK('Backlog General'!$K46),"",'Backlog General'!$K46),"")</f>
      </c>
      <c r="AI46" s="202">
        <f>IF($C46,$AV46*100000+ROW(),"")</f>
        <v>100046</v>
      </c>
      <c r="AJ46" s="202">
        <f>IF(AND($C46,ISNUMBER($H46)),$AA46*1000000-MEDIAN(-9999,$K46,9999)*100+(300-ROW()),"")</f>
        <v>52001354</v>
      </c>
      <c r="AK46" s="202">
        <f>IF($C46,IF($J46="Completado",0,IF($K46&lt;0,1,IF($K46&lt;=3,0.9,IF($K46&lt;=7,0.7,IF($K46&lt;=14,0.45,0.2))))),"")</f>
        <v>1</v>
      </c>
      <c r="AL46" s="202">
        <f>IF($C46,IF($J46="Completado",0,MEDIAN(0,MAX(-$V46,$W46/30),1)),"")</f>
        <v>0.36666666666666664</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t="str">
        <f>IF($C46,'Backlog General'!$G46,"")</f>
        <v>En progreso</v>
      </c>
      <c r="AU46" s="203">
        <f>IF($C46,'Backlog General'!$H46,"")</f>
        <v>0</v>
      </c>
      <c r="AV46" s="202">
        <f>IF(AND($C46,ISNUMBER($AR46)),IF(AND(ISNUMBER('Backlog General'!$M46),'Backlog General'!$M46&gt;=$AR46),'Backlog General'!$M46,IF(AND($AU46="Pasa al siguiente",$AT46&lt;&gt;"Completada"),$AR46+1,$AR46)),"")</f>
        <v>1</v>
      </c>
      <c r="AW46" s="202">
        <f>IF(AND($C46,ISNUMBER($AR46)),$AQ46+$AR46*$AP46*'Sprints'!$D$5-'Sprints'!$D$5,"")</f>
        <v>46192</v>
      </c>
      <c r="AX46" s="202">
        <f>IF($C46,IF(OR($AT46="Completada",$AU46="Cancelado",$AU46="Baja prioridad",NOT(ISNUMBER($AW46))),0,IF(TODAY()&gt;$AW46,NETWORKDAYS($AW46,TODAY(),'Sprints'!$L$5:$L$40)-1,0)),"")</f>
        <v>5</v>
      </c>
      <c r="AY46" s="203" t="str">
        <f>IF($C46,IF(NOT(ISNUMBER($AR46)),"Sin fecha",IF($AT46="Completada","Completada",IF($AU46="Cancelado","Cancelado",IF($AU46="Baja prioridad","Baja prioridad",IF($AX46&gt;0,"Vencida","En curso"))))),"")</f>
        <v>Vencida</v>
      </c>
      <c r="AZ46" s="203" t="str">
        <f>IF($C46,IF(ISNUMBER($AV46),$AO46&amp;" · S"&amp;$AV46,"(Sin fecha)"),"")</f>
        <v>Semanal · S1</v>
      </c>
      <c r="BA46" s="202">
        <f>IF(AND($C46,ISNUMBER($AR46),$AR46=$AS46),"Nuevo","")</f>
      </c>
      <c r="BB46" s="202">
        <f>IF(AND($C46,$AO46="Semanal",ISNUMBER($AV46)),$AV46*100000+ROW(),"")</f>
        <v>100046</v>
      </c>
      <c r="BC46" s="202">
        <f>IF(AND($C46,$AO46="Quincenal",ISNUMBER($AV46)),$AV46*100000+ROW(),"")</f>
      </c>
      <c r="BD46" s="202">
        <f>IF(AND($C46,$AO46="Mensual",ISNUMBER($AV46)),$AV46*100000+ROW(),"")</f>
      </c>
      <c r="BE46" s="203">
        <f>IF($C46,IF(ISBLANK('Backlog General'!$J46),"",'Backlog General'!$J46),"")</f>
      </c>
      <c r="BF46" s="203">
        <f>IF($C46,IF($BE46="","",$BE46)&amp;IF(AND($BE46&lt;&gt;"",$AH46&lt;&gt;"")," · ","")&amp;IF($AH46="","",$AH46),"")</f>
      </c>
      <c r="BG46" s="203" t="str">
        <f>IF($C46,IF($J46="Completado","Sí","No"),"")</f>
        <v>No</v>
      </c>
      <c r="BH46" s="202">
        <f>IF(AND($C46,ISNUMBER($AR46)),IF($AO46="Semanal",1,IF($AO46="Quincenal",2,3))*1000000000+$AR46*100000+ROW(),"")</f>
        <v>1000100046</v>
      </c>
      <c r="BI46" s="202">
        <f>IF($C46,IF($AU46="Cancelado","",$I46),"")</f>
        <v>0.5</v>
      </c>
      <c r="BJ46" s="202">
        <f>IF($C46,IFERROR(MATCH($D46,$D$7:$D$200,0)+6,ROW()),"")</f>
        <v>37</v>
      </c>
      <c r="BK46" s="202">
        <f>IF(AND($C46,ISNUMBER($AV46)),$BJ46*1000000+$AV46*1000+ROW(),"")</f>
        <v>37001046</v>
      </c>
      <c r="BL46" s="202">
        <f>IF(AND($C46,ISNUMBER($AW46)),ROUND(($AW46-('Sprints'!$C$5+('Sprints'!$E$5-1)*'Sprints'!$D$5))/'Sprints'!$D$5,0),"")</f>
        <v>-1</v>
      </c>
      <c r="BM46" s="203" t="str">
        <f>IF($C46,IF(NOT(ISNUMBER($BL46)),"",IF($BL46&lt;0,"Pasada",IF($BL46=0,"Actual",IF($BL46=1,"Siguiente",IF($BL46=2,"+2 sem",IF($BL46=3,"+3 sem","Posterior")))))),"")</f>
        <v>Pasada</v>
      </c>
      <c r="BN46" s="202">
        <f>IF(AND($C46,ISNUMBER($AR46),ISNUMBER($AV46)),MAX(1,$AV46-$AR46+1),0)</f>
        <v>1</v>
      </c>
      <c r="BO46" s="202">
        <f>SUM($BN$7:$BN46)-$BN46</f>
        <v>21</v>
      </c>
      <c r="BP46" s="202">
        <f>IF(AND($C46,ISNUMBER($AV46)),$AQ46+$AV46*$AP46*'Sprints'!$D$5-'Sprints'!$D$5,"")</f>
        <v>46192</v>
      </c>
      <c r="BQ46" s="202">
        <f>IF(AND($C46,ISNUMBER($BP46)),$BP46*1000+ROW(),"")</f>
        <v>46192046</v>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IF($C47,IF('Backlog General'!$G47="Completada",1,IF('Backlog General'!$G47="Casi lista",0.75,IF('Backlog General'!$G47="En progreso",0.5,IF('Backlog General'!$G47="Iniciada",0.25,0)))),"")</f>
        <v>0.5</v>
      </c>
      <c r="J47" s="203" t="str">
        <f>IF($C47,IF($I47&gt;=1,"Completado",IF(NOT(ISNUMBER($H47)),"Sin fecha",IF($H47&lt;TODAY(),"Vencido",IF(($H47-TODAY())&lt;='Entregas Próximas'!$M$3,"Próximo a vencer","En curso")))),"")</f>
        <v>Vencido</v>
      </c>
      <c r="K47" s="202">
        <f>IF(AND($C47,ISNUMBER($H47)),$H47-TODAY(),"")</f>
        <v>-11</v>
      </c>
      <c r="L47" s="202">
        <f>IF(AND($C47,ISNUMBER($H47)),$AD47*1000000+$H47+ROW()/100000,"")</f>
        <v>1046188.00047</v>
      </c>
      <c r="M47" s="202">
        <f>IF($C47,IF($AD47=9999,"(Sin sprint)",$AD47),"")</f>
        <v>1</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10</v>
      </c>
      <c r="U47" s="202">
        <f>IF($C47,MEDIAN(0,(TODAY()-'Proyecto Datos (OKR´s)'!$K47)/MAX(1,$R47-'Proyecto Datos (OKR´s)'!$K47),1),"")</f>
        <v>1</v>
      </c>
      <c r="V47" s="202">
        <f>IF($C47,$I47-$U47,"")</f>
        <v>-0.5</v>
      </c>
      <c r="W47" s="202">
        <f>IF($C47,IF(OR($J47="Completado",NOT(ISNUMBER($H47))),0,MAX(0,TODAY()-$H47)),"")</f>
        <v>11</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1</v>
      </c>
      <c r="AE47" s="202" t="str">
        <f>IF($C47,$AZ47,"")</f>
        <v>Semanal · S1</v>
      </c>
      <c r="AF47" s="202" t="b">
        <f>IF($C47,$AV47&lt;&gt;$AR47,FALSE)</f>
        <v>0</v>
      </c>
      <c r="AG47" s="202">
        <f>IF($C47,IF($AV47&lt;&gt;$AR47,$AW47,""),"")</f>
      </c>
      <c r="AH47" s="203">
        <f>IF($C47,IF(ISBLANK('Backlog General'!$K47),"",'Backlog General'!$K47),"")</f>
      </c>
      <c r="AI47" s="202">
        <f>IF($C47,$AV47*100000+ROW(),"")</f>
        <v>100047</v>
      </c>
      <c r="AJ47" s="202">
        <f>IF(AND($C47,ISNUMBER($H47)),$AA47*1000000-MEDIAN(-9999,$K47,9999)*100+(300-ROW()),"")</f>
        <v>56001353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t="str">
        <f>IF($C47,'Backlog General'!$G47,"")</f>
        <v>En progreso</v>
      </c>
      <c r="AU47" s="203">
        <f>IF($C47,'Backlog General'!$H47,"")</f>
        <v>0</v>
      </c>
      <c r="AV47" s="202">
        <f>IF(AND($C47,ISNUMBER($AR47)),IF(AND(ISNUMBER('Backlog General'!$M47),'Backlog General'!$M47&gt;=$AR47),'Backlog General'!$M47,IF(AND($AU47="Pasa al siguiente",$AT47&lt;&gt;"Completada"),$AR47+1,$AR47)),"")</f>
        <v>1</v>
      </c>
      <c r="AW47" s="202">
        <f>IF(AND($C47,ISNUMBER($AR47)),$AQ47+$AR47*$AP47*'Sprints'!$D$5-'Sprints'!$D$5,"")</f>
        <v>46192</v>
      </c>
      <c r="AX47" s="202">
        <f>IF($C47,IF(OR($AT47="Completada",$AU47="Cancelado",$AU47="Baja prioridad",NOT(ISNUMBER($AW47))),0,IF(TODAY()&gt;$AW47,NETWORKDAYS($AW47,TODAY(),'Sprints'!$L$5:$L$40)-1,0)),"")</f>
        <v>5</v>
      </c>
      <c r="AY47" s="203" t="str">
        <f>IF($C47,IF(NOT(ISNUMBER($AR47)),"Sin fecha",IF($AT47="Completada","Completada",IF($AU47="Cancelado","Cancelado",IF($AU47="Baja prioridad","Baja prioridad",IF($AX47&gt;0,"Vencida","En curso"))))),"")</f>
        <v>Vencida</v>
      </c>
      <c r="AZ47" s="203" t="str">
        <f>IF($C47,IF(ISNUMBER($AV47),$AO47&amp;" · S"&amp;$AV47,"(Sin fecha)"),"")</f>
        <v>Semanal · S1</v>
      </c>
      <c r="BA47" s="202">
        <f>IF(AND($C47,ISNUMBER($AR47),$AR47=$AS47),"Nuevo","")</f>
      </c>
      <c r="BB47" s="202">
        <f>IF(AND($C47,$AO47="Semanal",ISNUMBER($AV47)),$AV47*100000+ROW(),"")</f>
        <v>100047</v>
      </c>
      <c r="BC47" s="202">
        <f>IF(AND($C47,$AO47="Quincenal",ISNUMBER($AV47)),$AV47*100000+ROW(),"")</f>
      </c>
      <c r="BD47" s="202">
        <f>IF(AND($C47,$AO47="Mensual",ISNUMBER($AV47)),$AV47*100000+ROW(),"")</f>
      </c>
      <c r="BE47" s="203">
        <f>IF($C47,IF(ISBLANK('Backlog General'!$J47),"",'Backlog General'!$J47),"")</f>
      </c>
      <c r="BF47" s="203">
        <f>IF($C47,IF($BE47="","",$BE47)&amp;IF(AND($BE47&lt;&gt;"",$AH47&lt;&gt;"")," · ","")&amp;IF($AH47="","",$AH47),"")</f>
      </c>
      <c r="BG47" s="203" t="str">
        <f>IF($C47,IF($J47="Completado","Sí","No"),"")</f>
        <v>No</v>
      </c>
      <c r="BH47" s="202">
        <f>IF(AND($C47,ISNUMBER($AR47)),IF($AO47="Semanal",1,IF($AO47="Quincenal",2,3))*1000000000+$AR47*100000+ROW(),"")</f>
        <v>1000100047</v>
      </c>
      <c r="BI47" s="202">
        <f>IF($C47,IF($AU47="Cancelado","",$I47),"")</f>
        <v>0.5</v>
      </c>
      <c r="BJ47" s="202">
        <f>IF($C47,IFERROR(MATCH($D47,$D$7:$D$200,0)+6,ROW()),"")</f>
        <v>37</v>
      </c>
      <c r="BK47" s="202">
        <f>IF(AND($C47,ISNUMBER($AV47)),$BJ47*1000000+$AV47*1000+ROW(),"")</f>
        <v>37001047</v>
      </c>
      <c r="BL47" s="202">
        <f>IF(AND($C47,ISNUMBER($AW47)),ROUND(($AW47-('Sprints'!$C$5+('Sprints'!$E$5-1)*'Sprints'!$D$5))/'Sprints'!$D$5,0),"")</f>
        <v>-1</v>
      </c>
      <c r="BM47" s="203" t="str">
        <f>IF($C47,IF(NOT(ISNUMBER($BL47)),"",IF($BL47&lt;0,"Pasada",IF($BL47=0,"Actual",IF($BL47=1,"Siguiente",IF($BL47=2,"+2 sem",IF($BL47=3,"+3 sem","Posterior")))))),"")</f>
        <v>Pasada</v>
      </c>
      <c r="BN47" s="202">
        <f>IF(AND($C47,ISNUMBER($AR47),ISNUMBER($AV47)),MAX(1,$AV47-$AR47+1),0)</f>
        <v>1</v>
      </c>
      <c r="BO47" s="202">
        <f>SUM($BN$7:$BN47)-$BN47</f>
        <v>22</v>
      </c>
      <c r="BP47" s="202">
        <f>IF(AND($C47,ISNUMBER($AV47)),$AQ47+$AV47*$AP47*'Sprints'!$D$5-'Sprints'!$D$5,"")</f>
        <v>46192</v>
      </c>
      <c r="BQ47" s="202">
        <f>IF(AND($C47,ISNUMBER($BP47)),$BP47*1000+ROW(),"")</f>
        <v>46192047</v>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IF($C48,IF('Backlog General'!$G48="Completada",1,IF('Backlog General'!$G48="Casi lista",0.75,IF('Backlog General'!$G48="En progreso",0.5,IF('Backlog General'!$G48="Iniciada",0.25,0)))),"")</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IF($C48,IF(ISBLANK('Backlog General'!$K48),"",'Backlog General'!$K48),"")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IF(AND($C48,ISNUMBER($AR48)),IF(AND(ISNUMBER('Backlog General'!$M48),'Backlog General'!$M48&gt;=$AR48),'Backlog General'!$M48,IF(AND($AU48="Pasa al siguiente",$AT48&lt;&gt;"Completada"),$AR48+1,$AR48)),"")</f>
      </c>
      <c r="AW48" s="202">
        <f>IF(AND($C48,ISNUMBER($AR48)),$AQ48+$AR48*$AP48*'Sprints'!$D$5-'Sprints'!$D$5,"")</f>
      </c>
      <c r="AX48" s="202">
        <f>IF($C48,IF(OR($AT48="Completada",$AU48="Cancelado",$AU48="Baja prioridad",NOT(ISNUMBER($AW48))),0,IF(TODAY()&gt;$AW48,NETWORKDAYS($AW48,TODAY(),'Sprints'!$L$5:$L$40)-1,0)),"")</f>
      </c>
      <c r="AY48" s="203">
        <f>IF($C48,IF(NOT(ISNUMBER($AR48)),"Sin fecha",IF($AT48="Completada","Completada",IF($AU48="Cancelado","Cancelado",IF($AU48="Baja prioridad","Baja prioridad",IF($AX48&gt;0,"Vencida","En curso"))))),"")</f>
      </c>
      <c r="AZ48" s="203">
        <f>IF($C48,IF(ISNUMBER($AV48),$AO48&amp;" · S"&amp;$AV48,"(Sin fecha)"),"")</f>
      </c>
      <c r="BA48" s="202">
        <f>IF(AND($C48,ISNUMBER($AR48),$AR48=$AS48),"Nuevo","")</f>
      </c>
      <c r="BB48" s="202">
        <f>IF(AND($C48,$AO48="Semanal",ISNUMBER($AV48)),$AV48*100000+ROW(),"")</f>
      </c>
      <c r="BC48" s="202">
        <f>IF(AND($C48,$AO48="Quincenal",ISNUMBER($AV48)),$AV48*100000+ROW(),"")</f>
      </c>
      <c r="BD48" s="202">
        <f>IF(AND($C48,$AO48="Mensual",ISNUMBER($AV48)),$AV48*100000+ROW(),"")</f>
      </c>
      <c r="BE48" s="203">
        <f>IF($C48,IF(ISBLANK('Backlog General'!$J48),"",'Backlog General'!$J48),"")</f>
      </c>
      <c r="BF48" s="203">
        <f>IF($C48,IF($BE48="","",$BE48)&amp;IF(AND($BE48&lt;&gt;"",$AH48&lt;&gt;"")," · ","")&amp;IF($AH48="","",$AH48),"")</f>
      </c>
      <c r="BG48" s="203">
        <f>IF($C48,IF($J48="Completado","Sí","No"),"")</f>
      </c>
      <c r="BH48" s="202">
        <f>IF(AND($C48,ISNUMBER($AR48)),IF($AO48="Semanal",1,IF($AO48="Quincenal",2,3))*1000000000+$AR48*100000+ROW(),"")</f>
      </c>
      <c r="BI48" s="202">
        <f>IF($C48,IF($AU48="Cancelado","",$I48),"")</f>
      </c>
      <c r="BJ48" s="202">
        <f>IF($C48,IFERROR(MATCH($D48,$D$7:$D$200,0)+6,ROW()),"")</f>
      </c>
      <c r="BK48" s="202">
        <f>IF(AND($C48,ISNUMBER($AV48)),$BJ48*1000000+$AV48*1000+ROW(),"")</f>
      </c>
      <c r="BL48" s="202">
        <f>IF(AND($C48,ISNUMBER($AW48)),ROUND(($AW48-('Sprints'!$C$5+('Sprints'!$E$5-1)*'Sprints'!$D$5))/'Sprints'!$D$5,0),"")</f>
      </c>
      <c r="BM48" s="203">
        <f>IF($C48,IF(NOT(ISNUMBER($BL48)),"",IF($BL48&lt;0,"Pasada",IF($BL48=0,"Actual",IF($BL48=1,"Siguiente",IF($BL48=2,"+2 sem",IF($BL48=3,"+3 sem","Posterior")))))),"")</f>
      </c>
      <c r="BN48" s="202">
        <f>IF(AND($C48,ISNUMBER($AR48),ISNUMBER($AV48)),MAX(1,$AV48-$AR48+1),0)</f>
        <v>0</v>
      </c>
      <c r="BO48" s="202">
        <f>SUM($BN$7:$BN48)-$BN48</f>
        <v>23</v>
      </c>
      <c r="BP48" s="202">
        <f>IF(AND($C48,ISNUMBER($AV48)),$AQ48+$AV48*$AP48*'Sprints'!$D$5-'Sprints'!$D$5,"")</f>
      </c>
      <c r="BQ48" s="202">
        <f>IF(AND($C48,ISNUMBER($BP48)),$BP48*1000+ROW(),"")</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IF($C49,IF('Backlog General'!$G49="Completada",1,IF('Backlog General'!$G49="Casi lista",0.75,IF('Backlog General'!$G49="En progreso",0.5,IF('Backlog General'!$G49="Iniciada",0.25,0)))),"")</f>
        <v>0</v>
      </c>
      <c r="J49" s="203" t="str">
        <f>IF($C49,IF($I49&gt;=1,"Completado",IF(NOT(ISNUMBER($H49)),"Sin fecha",IF($H49&lt;TODAY(),"Vencido",IF(($H49-TODAY())&lt;='Entregas Próximas'!$M$3,"Próximo a vencer","En curso")))),"")</f>
        <v>Vencido</v>
      </c>
      <c r="K49" s="202">
        <f>IF(AND($C49,ISNUMBER($H49)),$H49-TODAY(),"")</f>
        <v>-7</v>
      </c>
      <c r="L49" s="202">
        <f>IF(AND($C49,ISNUMBER($H49)),$AD49*1000000+$H49+ROW()/100000,"")</f>
        <v>1046192.00049</v>
      </c>
      <c r="M49" s="202">
        <f>IF($C49,IF($AD49=9999,"(Sin sprint)",$AD49),"")</f>
        <v>1</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10</v>
      </c>
      <c r="U49" s="202">
        <f>IF($C49,MEDIAN(0,(TODAY()-'Proyecto Datos (OKR´s)'!$K49)/MAX(1,$R49-'Proyecto Datos (OKR´s)'!$K49),1),"")</f>
        <v>1</v>
      </c>
      <c r="V49" s="202">
        <f>IF($C49,$I49-$U49,"")</f>
        <v>-1</v>
      </c>
      <c r="W49" s="202">
        <f>IF($C49,IF(OR($J49="Completado",NOT(ISNUMBER($H49))),0,MAX(0,TODAY()-$H49)),"")</f>
        <v>7</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1</v>
      </c>
      <c r="AE49" s="202" t="str">
        <f>IF($C49,$AZ49,"")</f>
        <v>Semanal · S1</v>
      </c>
      <c r="AF49" s="202" t="b">
        <f>IF($C49,$AV49&lt;&gt;$AR49,FALSE)</f>
        <v>0</v>
      </c>
      <c r="AG49" s="202">
        <f>IF($C49,IF($AV49&lt;&gt;$AR49,$AW49,""),"")</f>
      </c>
      <c r="AH49" s="203">
        <f>IF($C49,IF(ISBLANK('Backlog General'!$K49),"",'Backlog General'!$K49),"")</f>
      </c>
      <c r="AI49" s="202">
        <f>IF($C49,$AV49*100000+ROW(),"")</f>
        <v>100049</v>
      </c>
      <c r="AJ49" s="202">
        <f>IF(AND($C49,ISNUMBER($H49)),$AA49*1000000-MEDIAN(-9999,$K49,9999)*100+(300-ROW()),"")</f>
        <v>85000951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t="str">
        <f>IF($C49,'Backlog General'!$G49,"")</f>
        <v>Pendiente</v>
      </c>
      <c r="AU49" s="203">
        <f>IF($C49,'Backlog General'!$H49,"")</f>
        <v>0</v>
      </c>
      <c r="AV49" s="202">
        <f>IF(AND($C49,ISNUMBER($AR49)),IF(AND(ISNUMBER('Backlog General'!$M49),'Backlog General'!$M49&gt;=$AR49),'Backlog General'!$M49,IF(AND($AU49="Pasa al siguiente",$AT49&lt;&gt;"Completada"),$AR49+1,$AR49)),"")</f>
        <v>1</v>
      </c>
      <c r="AW49" s="202">
        <f>IF(AND($C49,ISNUMBER($AR49)),$AQ49+$AR49*$AP49*'Sprints'!$D$5-'Sprints'!$D$5,"")</f>
        <v>46192</v>
      </c>
      <c r="AX49" s="202">
        <f>IF($C49,IF(OR($AT49="Completada",$AU49="Cancelado",$AU49="Baja prioridad",NOT(ISNUMBER($AW49))),0,IF(TODAY()&gt;$AW49,NETWORKDAYS($AW49,TODAY(),'Sprints'!$L$5:$L$40)-1,0)),"")</f>
        <v>5</v>
      </c>
      <c r="AY49" s="203" t="str">
        <f>IF($C49,IF(NOT(ISNUMBER($AR49)),"Sin fecha",IF($AT49="Completada","Completada",IF($AU49="Cancelado","Cancelado",IF($AU49="Baja prioridad","Baja prioridad",IF($AX49&gt;0,"Vencida","En curso"))))),"")</f>
        <v>Vencida</v>
      </c>
      <c r="AZ49" s="203" t="str">
        <f>IF($C49,IF(ISNUMBER($AV49),$AO49&amp;" · S"&amp;$AV49,"(Sin fecha)"),"")</f>
        <v>Semanal · S1</v>
      </c>
      <c r="BA49" s="202">
        <f>IF(AND($C49,ISNUMBER($AR49),$AR49=$AS49),"Nuevo","")</f>
      </c>
      <c r="BB49" s="202">
        <f>IF(AND($C49,$AO49="Semanal",ISNUMBER($AV49)),$AV49*100000+ROW(),"")</f>
        <v>100049</v>
      </c>
      <c r="BC49" s="202">
        <f>IF(AND($C49,$AO49="Quincenal",ISNUMBER($AV49)),$AV49*100000+ROW(),"")</f>
      </c>
      <c r="BD49" s="202">
        <f>IF(AND($C49,$AO49="Mensual",ISNUMBER($AV49)),$AV49*100000+ROW(),"")</f>
      </c>
      <c r="BE49" s="203">
        <f>IF($C49,IF(ISBLANK('Backlog General'!$J49),"",'Backlog General'!$J49),"")</f>
      </c>
      <c r="BF49" s="203">
        <f>IF($C49,IF($BE49="","",$BE49)&amp;IF(AND($BE49&lt;&gt;"",$AH49&lt;&gt;"")," · ","")&amp;IF($AH49="","",$AH49),"")</f>
      </c>
      <c r="BG49" s="203" t="str">
        <f>IF($C49,IF($J49="Completado","Sí","No"),"")</f>
        <v>No</v>
      </c>
      <c r="BH49" s="202">
        <f>IF(AND($C49,ISNUMBER($AR49)),IF($AO49="Semanal",1,IF($AO49="Quincenal",2,3))*1000000000+$AR49*100000+ROW(),"")</f>
        <v>1000100049</v>
      </c>
      <c r="BI49" s="202">
        <f>IF($C49,IF($AU49="Cancelado","",$I49),"")</f>
        <v>0</v>
      </c>
      <c r="BJ49" s="202">
        <f>IF($C49,IFERROR(MATCH($D49,$D$7:$D$200,0)+6,ROW()),"")</f>
        <v>49</v>
      </c>
      <c r="BK49" s="202">
        <f>IF(AND($C49,ISNUMBER($AV49)),$BJ49*1000000+$AV49*1000+ROW(),"")</f>
        <v>49001049</v>
      </c>
      <c r="BL49" s="202">
        <f>IF(AND($C49,ISNUMBER($AW49)),ROUND(($AW49-('Sprints'!$C$5+('Sprints'!$E$5-1)*'Sprints'!$D$5))/'Sprints'!$D$5,0),"")</f>
        <v>-1</v>
      </c>
      <c r="BM49" s="203" t="str">
        <f>IF($C49,IF(NOT(ISNUMBER($BL49)),"",IF($BL49&lt;0,"Pasada",IF($BL49=0,"Actual",IF($BL49=1,"Siguiente",IF($BL49=2,"+2 sem",IF($BL49=3,"+3 sem","Posterior")))))),"")</f>
        <v>Pasada</v>
      </c>
      <c r="BN49" s="202">
        <f>IF(AND($C49,ISNUMBER($AR49),ISNUMBER($AV49)),MAX(1,$AV49-$AR49+1),0)</f>
        <v>1</v>
      </c>
      <c r="BO49" s="202">
        <f>SUM($BN$7:$BN49)-$BN49</f>
        <v>23</v>
      </c>
      <c r="BP49" s="202">
        <f>IF(AND($C49,ISNUMBER($AV49)),$AQ49+$AV49*$AP49*'Sprints'!$D$5-'Sprints'!$D$5,"")</f>
        <v>46192</v>
      </c>
      <c r="BQ49" s="202">
        <f>IF(AND($C49,ISNUMBER($BP49)),$BP49*1000+ROW(),"")</f>
        <v>46192049</v>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IF($C50,IF('Backlog General'!$G50="Completada",1,IF('Backlog General'!$G50="Casi lista",0.75,IF('Backlog General'!$G50="En progreso",0.5,IF('Backlog General'!$G50="Iniciada",0.25,0)))),"")</f>
        <v>0</v>
      </c>
      <c r="J50" s="203" t="str">
        <f>IF($C50,IF($I50&gt;=1,"Completado",IF(NOT(ISNUMBER($H50)),"Sin fecha",IF($H50&lt;TODAY(),"Vencido",IF(($H50-TODAY())&lt;='Entregas Próximas'!$M$3,"Próximo a vencer","En curso")))),"")</f>
        <v>Vencido</v>
      </c>
      <c r="K50" s="202">
        <f>IF(AND($C50,ISNUMBER($H50)),$H50-TODAY(),"")</f>
        <v>-7</v>
      </c>
      <c r="L50" s="202">
        <f>IF(AND($C50,ISNUMBER($H50)),$AD50*1000000+$H50+ROW()/100000,"")</f>
        <v>1046192.0005</v>
      </c>
      <c r="M50" s="202">
        <f>IF($C50,IF($AD50=9999,"(Sin sprint)",$AD50),"")</f>
        <v>1</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10</v>
      </c>
      <c r="U50" s="202">
        <f>IF($C50,MEDIAN(0,(TODAY()-'Proyecto Datos (OKR´s)'!$K50)/MAX(1,$R50-'Proyecto Datos (OKR´s)'!$K50),1),"")</f>
        <v>1</v>
      </c>
      <c r="V50" s="202">
        <f>IF($C50,$I50-$U50,"")</f>
        <v>-1</v>
      </c>
      <c r="W50" s="202">
        <f>IF($C50,IF(OR($J50="Completado",NOT(ISNUMBER($H50))),0,MAX(0,TODAY()-$H50)),"")</f>
        <v>7</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1</v>
      </c>
      <c r="AE50" s="202" t="str">
        <f>IF($C50,$AZ50,"")</f>
        <v>Semanal · S1</v>
      </c>
      <c r="AF50" s="202" t="b">
        <f>IF($C50,$AV50&lt;&gt;$AR50,FALSE)</f>
        <v>0</v>
      </c>
      <c r="AG50" s="202">
        <f>IF($C50,IF($AV50&lt;&gt;$AR50,$AW50,""),"")</f>
      </c>
      <c r="AH50" s="203">
        <f>IF($C50,IF(ISBLANK('Backlog General'!$K50),"",'Backlog General'!$K50),"")</f>
      </c>
      <c r="AI50" s="202">
        <f>IF($C50,$AV50*100000+ROW(),"")</f>
        <v>100050</v>
      </c>
      <c r="AJ50" s="202">
        <f>IF(AND($C50,ISNUMBER($H50)),$AA50*1000000-MEDIAN(-9999,$K50,9999)*100+(300-ROW()),"")</f>
        <v>85000950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t="str">
        <f>IF($C50,'Backlog General'!$G50,"")</f>
        <v>Pendiente</v>
      </c>
      <c r="AU50" s="203">
        <f>IF($C50,'Backlog General'!$H50,"")</f>
        <v>0</v>
      </c>
      <c r="AV50" s="202">
        <f>IF(AND($C50,ISNUMBER($AR50)),IF(AND(ISNUMBER('Backlog General'!$M50),'Backlog General'!$M50&gt;=$AR50),'Backlog General'!$M50,IF(AND($AU50="Pasa al siguiente",$AT50&lt;&gt;"Completada"),$AR50+1,$AR50)),"")</f>
        <v>1</v>
      </c>
      <c r="AW50" s="202">
        <f>IF(AND($C50,ISNUMBER($AR50)),$AQ50+$AR50*$AP50*'Sprints'!$D$5-'Sprints'!$D$5,"")</f>
        <v>46192</v>
      </c>
      <c r="AX50" s="202">
        <f>IF($C50,IF(OR($AT50="Completada",$AU50="Cancelado",$AU50="Baja prioridad",NOT(ISNUMBER($AW50))),0,IF(TODAY()&gt;$AW50,NETWORKDAYS($AW50,TODAY(),'Sprints'!$L$5:$L$40)-1,0)),"")</f>
        <v>5</v>
      </c>
      <c r="AY50" s="203" t="str">
        <f>IF($C50,IF(NOT(ISNUMBER($AR50)),"Sin fecha",IF($AT50="Completada","Completada",IF($AU50="Cancelado","Cancelado",IF($AU50="Baja prioridad","Baja prioridad",IF($AX50&gt;0,"Vencida","En curso"))))),"")</f>
        <v>Vencida</v>
      </c>
      <c r="AZ50" s="203" t="str">
        <f>IF($C50,IF(ISNUMBER($AV50),$AO50&amp;" · S"&amp;$AV50,"(Sin fecha)"),"")</f>
        <v>Semanal · S1</v>
      </c>
      <c r="BA50" s="202">
        <f>IF(AND($C50,ISNUMBER($AR50),$AR50=$AS50),"Nuevo","")</f>
      </c>
      <c r="BB50" s="202">
        <f>IF(AND($C50,$AO50="Semanal",ISNUMBER($AV50)),$AV50*100000+ROW(),"")</f>
        <v>100050</v>
      </c>
      <c r="BC50" s="202">
        <f>IF(AND($C50,$AO50="Quincenal",ISNUMBER($AV50)),$AV50*100000+ROW(),"")</f>
      </c>
      <c r="BD50" s="202">
        <f>IF(AND($C50,$AO50="Mensual",ISNUMBER($AV50)),$AV50*100000+ROW(),"")</f>
      </c>
      <c r="BE50" s="203">
        <f>IF($C50,IF(ISBLANK('Backlog General'!$J50),"",'Backlog General'!$J50),"")</f>
      </c>
      <c r="BF50" s="203">
        <f>IF($C50,IF($BE50="","",$BE50)&amp;IF(AND($BE50&lt;&gt;"",$AH50&lt;&gt;"")," · ","")&amp;IF($AH50="","",$AH50),"")</f>
      </c>
      <c r="BG50" s="203" t="str">
        <f>IF($C50,IF($J50="Completado","Sí","No"),"")</f>
        <v>No</v>
      </c>
      <c r="BH50" s="202">
        <f>IF(AND($C50,ISNUMBER($AR50)),IF($AO50="Semanal",1,IF($AO50="Quincenal",2,3))*1000000000+$AR50*100000+ROW(),"")</f>
        <v>1000100050</v>
      </c>
      <c r="BI50" s="202">
        <f>IF($C50,IF($AU50="Cancelado","",$I50),"")</f>
        <v>0</v>
      </c>
      <c r="BJ50" s="202">
        <f>IF($C50,IFERROR(MATCH($D50,$D$7:$D$200,0)+6,ROW()),"")</f>
        <v>49</v>
      </c>
      <c r="BK50" s="202">
        <f>IF(AND($C50,ISNUMBER($AV50)),$BJ50*1000000+$AV50*1000+ROW(),"")</f>
        <v>49001050</v>
      </c>
      <c r="BL50" s="202">
        <f>IF(AND($C50,ISNUMBER($AW50)),ROUND(($AW50-('Sprints'!$C$5+('Sprints'!$E$5-1)*'Sprints'!$D$5))/'Sprints'!$D$5,0),"")</f>
        <v>-1</v>
      </c>
      <c r="BM50" s="203" t="str">
        <f>IF($C50,IF(NOT(ISNUMBER($BL50)),"",IF($BL50&lt;0,"Pasada",IF($BL50=0,"Actual",IF($BL50=1,"Siguiente",IF($BL50=2,"+2 sem",IF($BL50=3,"+3 sem","Posterior")))))),"")</f>
        <v>Pasada</v>
      </c>
      <c r="BN50" s="202">
        <f>IF(AND($C50,ISNUMBER($AR50),ISNUMBER($AV50)),MAX(1,$AV50-$AR50+1),0)</f>
        <v>1</v>
      </c>
      <c r="BO50" s="202">
        <f>SUM($BN$7:$BN50)-$BN50</f>
        <v>24</v>
      </c>
      <c r="BP50" s="202">
        <f>IF(AND($C50,ISNUMBER($AV50)),$AQ50+$AV50*$AP50*'Sprints'!$D$5-'Sprints'!$D$5,"")</f>
        <v>46192</v>
      </c>
      <c r="BQ50" s="202">
        <f>IF(AND($C50,ISNUMBER($BP50)),$BP50*1000+ROW(),"")</f>
        <v>46192050</v>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IF($C51,IF('Backlog General'!$G51="Completada",1,IF('Backlog General'!$G51="Casi lista",0.75,IF('Backlog General'!$G51="En progreso",0.5,IF('Backlog General'!$G51="Iniciada",0.25,0)))),"")</f>
        <v>0</v>
      </c>
      <c r="J51" s="203" t="str">
        <f>IF($C51,IF($I51&gt;=1,"Completado",IF(NOT(ISNUMBER($H51)),"Sin fecha",IF($H51&lt;TODAY(),"Vencido",IF(($H51-TODAY())&lt;='Entregas Próximas'!$M$3,"Próximo a vencer","En curso")))),"")</f>
        <v>Vencido</v>
      </c>
      <c r="K51" s="202">
        <f>IF(AND($C51,ISNUMBER($H51)),$H51-TODAY(),"")</f>
        <v>-7</v>
      </c>
      <c r="L51" s="202">
        <f>IF(AND($C51,ISNUMBER($H51)),$AD51*1000000+$H51+ROW()/100000,"")</f>
        <v>1046192.00051</v>
      </c>
      <c r="M51" s="202">
        <f>IF($C51,IF($AD51=9999,"(Sin sprint)",$AD51),"")</f>
        <v>1</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10</v>
      </c>
      <c r="U51" s="202">
        <f>IF($C51,MEDIAN(0,(TODAY()-'Proyecto Datos (OKR´s)'!$K51)/MAX(1,$R51-'Proyecto Datos (OKR´s)'!$K51),1),"")</f>
        <v>1</v>
      </c>
      <c r="V51" s="202">
        <f>IF($C51,$I51-$U51,"")</f>
        <v>-1</v>
      </c>
      <c r="W51" s="202">
        <f>IF($C51,IF(OR($J51="Completado",NOT(ISNUMBER($H51))),0,MAX(0,TODAY()-$H51)),"")</f>
        <v>7</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1</v>
      </c>
      <c r="AE51" s="202" t="str">
        <f>IF($C51,$AZ51,"")</f>
        <v>Semanal · S1</v>
      </c>
      <c r="AF51" s="202" t="b">
        <f>IF($C51,$AV51&lt;&gt;$AR51,FALSE)</f>
        <v>0</v>
      </c>
      <c r="AG51" s="202">
        <f>IF($C51,IF($AV51&lt;&gt;$AR51,$AW51,""),"")</f>
      </c>
      <c r="AH51" s="203">
        <f>IF($C51,IF(ISBLANK('Backlog General'!$K51),"",'Backlog General'!$K51),"")</f>
      </c>
      <c r="AI51" s="202">
        <f>IF($C51,$AV51*100000+ROW(),"")</f>
        <v>100051</v>
      </c>
      <c r="AJ51" s="202">
        <f>IF(AND($C51,ISNUMBER($H51)),$AA51*1000000-MEDIAN(-9999,$K51,9999)*100+(300-ROW()),"")</f>
        <v>85000949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t="str">
        <f>IF($C51,'Backlog General'!$G51,"")</f>
        <v>Pendiente</v>
      </c>
      <c r="AU51" s="203">
        <f>IF($C51,'Backlog General'!$H51,"")</f>
        <v>0</v>
      </c>
      <c r="AV51" s="202">
        <f>IF(AND($C51,ISNUMBER($AR51)),IF(AND(ISNUMBER('Backlog General'!$M51),'Backlog General'!$M51&gt;=$AR51),'Backlog General'!$M51,IF(AND($AU51="Pasa al siguiente",$AT51&lt;&gt;"Completada"),$AR51+1,$AR51)),"")</f>
        <v>1</v>
      </c>
      <c r="AW51" s="202">
        <f>IF(AND($C51,ISNUMBER($AR51)),$AQ51+$AR51*$AP51*'Sprints'!$D$5-'Sprints'!$D$5,"")</f>
        <v>46192</v>
      </c>
      <c r="AX51" s="202">
        <f>IF($C51,IF(OR($AT51="Completada",$AU51="Cancelado",$AU51="Baja prioridad",NOT(ISNUMBER($AW51))),0,IF(TODAY()&gt;$AW51,NETWORKDAYS($AW51,TODAY(),'Sprints'!$L$5:$L$40)-1,0)),"")</f>
        <v>5</v>
      </c>
      <c r="AY51" s="203" t="str">
        <f>IF($C51,IF(NOT(ISNUMBER($AR51)),"Sin fecha",IF($AT51="Completada","Completada",IF($AU51="Cancelado","Cancelado",IF($AU51="Baja prioridad","Baja prioridad",IF($AX51&gt;0,"Vencida","En curso"))))),"")</f>
        <v>Vencida</v>
      </c>
      <c r="AZ51" s="203" t="str">
        <f>IF($C51,IF(ISNUMBER($AV51),$AO51&amp;" · S"&amp;$AV51,"(Sin fecha)"),"")</f>
        <v>Semanal · S1</v>
      </c>
      <c r="BA51" s="202">
        <f>IF(AND($C51,ISNUMBER($AR51),$AR51=$AS51),"Nuevo","")</f>
      </c>
      <c r="BB51" s="202">
        <f>IF(AND($C51,$AO51="Semanal",ISNUMBER($AV51)),$AV51*100000+ROW(),"")</f>
        <v>100051</v>
      </c>
      <c r="BC51" s="202">
        <f>IF(AND($C51,$AO51="Quincenal",ISNUMBER($AV51)),$AV51*100000+ROW(),"")</f>
      </c>
      <c r="BD51" s="202">
        <f>IF(AND($C51,$AO51="Mensual",ISNUMBER($AV51)),$AV51*100000+ROW(),"")</f>
      </c>
      <c r="BE51" s="203">
        <f>IF($C51,IF(ISBLANK('Backlog General'!$J51),"",'Backlog General'!$J51),"")</f>
      </c>
      <c r="BF51" s="203">
        <f>IF($C51,IF($BE51="","",$BE51)&amp;IF(AND($BE51&lt;&gt;"",$AH51&lt;&gt;"")," · ","")&amp;IF($AH51="","",$AH51),"")</f>
      </c>
      <c r="BG51" s="203" t="str">
        <f>IF($C51,IF($J51="Completado","Sí","No"),"")</f>
        <v>No</v>
      </c>
      <c r="BH51" s="202">
        <f>IF(AND($C51,ISNUMBER($AR51)),IF($AO51="Semanal",1,IF($AO51="Quincenal",2,3))*1000000000+$AR51*100000+ROW(),"")</f>
        <v>1000100051</v>
      </c>
      <c r="BI51" s="202">
        <f>IF($C51,IF($AU51="Cancelado","",$I51),"")</f>
        <v>0</v>
      </c>
      <c r="BJ51" s="202">
        <f>IF($C51,IFERROR(MATCH($D51,$D$7:$D$200,0)+6,ROW()),"")</f>
        <v>49</v>
      </c>
      <c r="BK51" s="202">
        <f>IF(AND($C51,ISNUMBER($AV51)),$BJ51*1000000+$AV51*1000+ROW(),"")</f>
        <v>49001051</v>
      </c>
      <c r="BL51" s="202">
        <f>IF(AND($C51,ISNUMBER($AW51)),ROUND(($AW51-('Sprints'!$C$5+('Sprints'!$E$5-1)*'Sprints'!$D$5))/'Sprints'!$D$5,0),"")</f>
        <v>-1</v>
      </c>
      <c r="BM51" s="203" t="str">
        <f>IF($C51,IF(NOT(ISNUMBER($BL51)),"",IF($BL51&lt;0,"Pasada",IF($BL51=0,"Actual",IF($BL51=1,"Siguiente",IF($BL51=2,"+2 sem",IF($BL51=3,"+3 sem","Posterior")))))),"")</f>
        <v>Pasada</v>
      </c>
      <c r="BN51" s="202">
        <f>IF(AND($C51,ISNUMBER($AR51),ISNUMBER($AV51)),MAX(1,$AV51-$AR51+1),0)</f>
        <v>1</v>
      </c>
      <c r="BO51" s="202">
        <f>SUM($BN$7:$BN51)-$BN51</f>
        <v>25</v>
      </c>
      <c r="BP51" s="202">
        <f>IF(AND($C51,ISNUMBER($AV51)),$AQ51+$AV51*$AP51*'Sprints'!$D$5-'Sprints'!$D$5,"")</f>
        <v>46192</v>
      </c>
      <c r="BQ51" s="202">
        <f>IF(AND($C51,ISNUMBER($BP51)),$BP51*1000+ROW(),"")</f>
        <v>46192051</v>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IF($C52,IF('Backlog General'!$G52="Completada",1,IF('Backlog General'!$G52="Casi lista",0.75,IF('Backlog General'!$G52="En progreso",0.5,IF('Backlog General'!$G52="Iniciada",0.25,0)))),"")</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IF($C52,IF(ISBLANK('Backlog General'!$K52),"",'Backlog General'!$K52),"")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IF(AND($C52,ISNUMBER($AR52)),IF(AND(ISNUMBER('Backlog General'!$M52),'Backlog General'!$M52&gt;=$AR52),'Backlog General'!$M52,IF(AND($AU52="Pasa al siguiente",$AT52&lt;&gt;"Completada"),$AR52+1,$AR52)),"")</f>
      </c>
      <c r="AW52" s="202">
        <f>IF(AND($C52,ISNUMBER($AR52)),$AQ52+$AR52*$AP52*'Sprints'!$D$5-'Sprints'!$D$5,"")</f>
      </c>
      <c r="AX52" s="202">
        <f>IF($C52,IF(OR($AT52="Completada",$AU52="Cancelado",$AU52="Baja prioridad",NOT(ISNUMBER($AW52))),0,IF(TODAY()&gt;$AW52,NETWORKDAYS($AW52,TODAY(),'Sprints'!$L$5:$L$40)-1,0)),"")</f>
      </c>
      <c r="AY52" s="203">
        <f>IF($C52,IF(NOT(ISNUMBER($AR52)),"Sin fecha",IF($AT52="Completada","Completada",IF($AU52="Cancelado","Cancelado",IF($AU52="Baja prioridad","Baja prioridad",IF($AX52&gt;0,"Vencida","En curso"))))),"")</f>
      </c>
      <c r="AZ52" s="203">
        <f>IF($C52,IF(ISNUMBER($AV52),$AO52&amp;" · S"&amp;$AV52,"(Sin fecha)"),"")</f>
      </c>
      <c r="BA52" s="202">
        <f>IF(AND($C52,ISNUMBER($AR52),$AR52=$AS52),"Nuevo","")</f>
      </c>
      <c r="BB52" s="202">
        <f>IF(AND($C52,$AO52="Semanal",ISNUMBER($AV52)),$AV52*100000+ROW(),"")</f>
      </c>
      <c r="BC52" s="202">
        <f>IF(AND($C52,$AO52="Quincenal",ISNUMBER($AV52)),$AV52*100000+ROW(),"")</f>
      </c>
      <c r="BD52" s="202">
        <f>IF(AND($C52,$AO52="Mensual",ISNUMBER($AV52)),$AV52*100000+ROW(),"")</f>
      </c>
      <c r="BE52" s="203">
        <f>IF($C52,IF(ISBLANK('Backlog General'!$J52),"",'Backlog General'!$J52),"")</f>
      </c>
      <c r="BF52" s="203">
        <f>IF($C52,IF($BE52="","",$BE52)&amp;IF(AND($BE52&lt;&gt;"",$AH52&lt;&gt;"")," · ","")&amp;IF($AH52="","",$AH52),"")</f>
      </c>
      <c r="BG52" s="203">
        <f>IF($C52,IF($J52="Completado","Sí","No"),"")</f>
      </c>
      <c r="BH52" s="202">
        <f>IF(AND($C52,ISNUMBER($AR52)),IF($AO52="Semanal",1,IF($AO52="Quincenal",2,3))*1000000000+$AR52*100000+ROW(),"")</f>
      </c>
      <c r="BI52" s="202">
        <f>IF($C52,IF($AU52="Cancelado","",$I52),"")</f>
      </c>
      <c r="BJ52" s="202">
        <f>IF($C52,IFERROR(MATCH($D52,$D$7:$D$200,0)+6,ROW()),"")</f>
      </c>
      <c r="BK52" s="202">
        <f>IF(AND($C52,ISNUMBER($AV52)),$BJ52*1000000+$AV52*1000+ROW(),"")</f>
      </c>
      <c r="BL52" s="202">
        <f>IF(AND($C52,ISNUMBER($AW52)),ROUND(($AW52-('Sprints'!$C$5+('Sprints'!$E$5-1)*'Sprints'!$D$5))/'Sprints'!$D$5,0),"")</f>
      </c>
      <c r="BM52" s="203">
        <f>IF($C52,IF(NOT(ISNUMBER($BL52)),"",IF($BL52&lt;0,"Pasada",IF($BL52=0,"Actual",IF($BL52=1,"Siguiente",IF($BL52=2,"+2 sem",IF($BL52=3,"+3 sem","Posterior")))))),"")</f>
      </c>
      <c r="BN52" s="202">
        <f>IF(AND($C52,ISNUMBER($AR52),ISNUMBER($AV52)),MAX(1,$AV52-$AR52+1),0)</f>
        <v>0</v>
      </c>
      <c r="BO52" s="202">
        <f>SUM($BN$7:$BN52)-$BN52</f>
        <v>26</v>
      </c>
      <c r="BP52" s="202">
        <f>IF(AND($C52,ISNUMBER($AV52)),$AQ52+$AV52*$AP52*'Sprints'!$D$5-'Sprints'!$D$5,"")</f>
      </c>
      <c r="BQ52" s="202">
        <f>IF(AND($C52,ISNUMBER($BP52)),$BP52*1000+ROW(),"")</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IF($C53,IF('Backlog General'!$G53="Completada",1,IF('Backlog General'!$G53="Casi lista",0.75,IF('Backlog General'!$G53="En progreso",0.5,IF('Backlog General'!$G53="Iniciada",0.25,0)))),"")</f>
        <v>0</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241</v>
      </c>
      <c r="U53" s="202">
        <f>IF($C53,MEDIAN(0,(TODAY()-'Proyecto Datos (OKR´s)'!$K53)/MAX(1,$R53-'Proyecto Datos (OKR´s)'!$K53),1),"")</f>
        <v>0.9450980392156862</v>
      </c>
      <c r="V53" s="202">
        <f>IF($C53,$I53-$U53,"")</f>
        <v>-0.9450980392156862</v>
      </c>
      <c r="W53" s="202">
        <f>IF($C53,IF(OR($J53="Completado",NOT(ISNUMBER($H53))),0,MAX(0,TODAY()-$H53)),"")</f>
        <v>0</v>
      </c>
      <c r="X53" s="202">
        <f>IF($C53,IF(ISNUMBER($H53),$R53-$H53,0),"")</f>
        <v>0</v>
      </c>
      <c r="Y53" s="202">
        <f>IF($C53,COUNTIFS($G$7:$G$200,$G53,$J$7:$J$200,"&lt;&gt;Completado",$J$7:$J$200,"&lt;&gt;"),"")</f>
        <v>0</v>
      </c>
      <c r="Z53" s="202" t="b">
        <f>IF($C53,AND($I53=0,'Proyecto Datos (OKR´s)'!$K53&lt;=TODAY(),$J53&lt;&gt;"Completado"),"")</f>
        <v>1</v>
      </c>
      <c r="AA53" s="202">
        <f>IF($C53,ROUND(100*(0.35*$AK53+0.3*$AL53+0.2*$AM53+0.15*MEDIAN(0,($Y53-4)/8,1)),0),"")</f>
        <v>55</v>
      </c>
      <c r="AB53" s="203" t="str">
        <f>IF($C53,IF(OR($J53="Completado",$J53="Sin fecha"),"—",IF($AA53&gt;=70,"Crítica",IF($AA53&gt;=45,"Alta",IF($AA53&gt;=25,"Media","Baja")))),"")</f>
        <v>—</v>
      </c>
      <c r="AC53" s="203" t="str">
        <f>IF($C53,IF(LEN(TRIM($AN53))=0,"—",TRIM($AN53)),"")</f>
        <v>ATRASO BLOQUEO</v>
      </c>
      <c r="AD53" s="202">
        <f>IF($C53,$AV53,"")</f>
      </c>
      <c r="AE53" s="202" t="str">
        <f>IF($C53,$AZ53,"")</f>
        <v>(Sin fecha)</v>
      </c>
      <c r="AF53" s="202" t="b">
        <f>IF($C53,$AV53&lt;&gt;$AR53,FALSE)</f>
        <v>0</v>
      </c>
      <c r="AG53" s="202">
        <f>IF($C53,IF($AV53&lt;&gt;$AR53,$AW53,""),"")</f>
      </c>
      <c r="AH53" s="203">
        <f>IF($C53,IF(ISBLANK('Backlog General'!$K53),"",'Backlog General'!$K53),"")</f>
      </c>
      <c r="AI53" s="202">
        <f>IF($C53,$AV53*100000+ROW(),"")</f>
      </c>
      <c r="AJ53" s="202">
        <f>IF(AND($C53,ISNUMBER($H53)),$AA53*1000000-MEDIAN(-9999,$K53,9999)*100+(300-ROW()),"")</f>
      </c>
      <c r="AK53" s="202">
        <f>IF($C53,IF($J53="Completado",0,IF($K53&lt;0,1,IF($K53&lt;=3,0.9,IF($K53&lt;=7,0.7,IF($K53&lt;=14,0.45,0.2))))),"")</f>
        <v>0.2</v>
      </c>
      <c r="AL53" s="202">
        <f>IF($C53,IF($J53="Completado",0,MEDIAN(0,MAX(-$V53,$W53/30),1)),"")</f>
        <v>0.9450980392156862</v>
      </c>
      <c r="AM53" s="202">
        <f>IF($C53,IF($J53="Completado",0,IF($Z53,1,IF(AND($I53&lt;0.5,$K53&lt;=7),0.7,0.3))),"")</f>
        <v>1</v>
      </c>
      <c r="AN53" s="203" t="str">
        <f>IF($C53,IF(OR($V53&lt;-0.2,$W53&gt;0),"ATRASO ","")&amp;IF($Z53,"BLOQUEO ","")&amp;IF($Y53&gt;8,"SOBRECARGA ","")&amp;IF($X53&gt;0,"DESVÍO-PLAN ",""),"")</f>
        <v>ATRASO BLOQUEO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IF(AND($C53,ISNUMBER($AR53)),IF(AND(ISNUMBER('Backlog General'!$M53),'Backlog General'!$M53&gt;=$AR53),'Backlog General'!$M53,IF(AND($AU53="Pasa al siguiente",$AT53&lt;&gt;"Completada"),$AR53+1,$AR53)),"")</f>
      </c>
      <c r="AW53" s="202">
        <f>IF(AND($C53,ISNUMBER($AR53)),$AQ53+$AR53*$AP53*'Sprints'!$D$5-'Sprints'!$D$5,"")</f>
      </c>
      <c r="AX53" s="202">
        <f>IF($C53,IF(OR($AT53="Completada",$AU53="Cancelado",$AU53="Baja prioridad",NOT(ISNUMBER($AW53))),0,IF(TODAY()&gt;$AW53,NETWORKDAYS($AW53,TODAY(),'Sprints'!$L$5:$L$40)-1,0)),"")</f>
        <v>0</v>
      </c>
      <c r="AY53" s="203" t="str">
        <f>IF($C53,IF(NOT(ISNUMBER($AR53)),"Sin fecha",IF($AT53="Completada","Completada",IF($AU53="Cancelado","Cancelado",IF($AU53="Baja prioridad","Baja prioridad",IF($AX53&gt;0,"Vencida","En curso"))))),"")</f>
        <v>Sin fecha</v>
      </c>
      <c r="AZ53" s="203" t="str">
        <f>IF($C53,IF(ISNUMBER($AV53),$AO53&amp;" · S"&amp;$AV53,"(Sin fecha)"),"")</f>
        <v>(Sin fecha)</v>
      </c>
      <c r="BA53" s="202">
        <f>IF(AND($C53,ISNUMBER($AR53),$AR53=$AS53),"Nuevo","")</f>
      </c>
      <c r="BB53" s="202">
        <f>IF(AND($C53,$AO53="Semanal",ISNUMBER($AV53)),$AV53*100000+ROW(),"")</f>
      </c>
      <c r="BC53" s="202">
        <f>IF(AND($C53,$AO53="Quincenal",ISNUMBER($AV53)),$AV53*100000+ROW(),"")</f>
      </c>
      <c r="BD53" s="202">
        <f>IF(AND($C53,$AO53="Mensual",ISNUMBER($AV53)),$AV53*100000+ROW(),"")</f>
      </c>
      <c r="BE53" s="203">
        <f>IF($C53,IF(ISBLANK('Backlog General'!$J53),"",'Backlog General'!$J53),"")</f>
      </c>
      <c r="BF53" s="203">
        <f>IF($C53,IF($BE53="","",$BE53)&amp;IF(AND($BE53&lt;&gt;"",$AH53&lt;&gt;"")," · ","")&amp;IF($AH53="","",$AH53),"")</f>
      </c>
      <c r="BG53" s="203" t="str">
        <f>IF($C53,IF($J53="Completado","Sí","No"),"")</f>
        <v>No</v>
      </c>
      <c r="BH53" s="202">
        <f>IF(AND($C53,ISNUMBER($AR53)),IF($AO53="Semanal",1,IF($AO53="Quincenal",2,3))*1000000000+$AR53*100000+ROW(),"")</f>
      </c>
      <c r="BI53" s="202">
        <f>IF($C53,IF($AU53="Cancelado","",$I53),"")</f>
        <v>0</v>
      </c>
      <c r="BJ53" s="202">
        <f>IF($C53,IFERROR(MATCH($D53,$D$7:$D$200,0)+6,ROW()),"")</f>
        <v>53</v>
      </c>
      <c r="BK53" s="202">
        <f>IF(AND($C53,ISNUMBER($AV53)),$BJ53*1000000+$AV53*1000+ROW(),"")</f>
      </c>
      <c r="BL53" s="202">
        <f>IF(AND($C53,ISNUMBER($AW53)),ROUND(($AW53-('Sprints'!$C$5+('Sprints'!$E$5-1)*'Sprints'!$D$5))/'Sprints'!$D$5,0),"")</f>
      </c>
      <c r="BM53" s="203">
        <f>IF($C53,IF(NOT(ISNUMBER($BL53)),"",IF($BL53&lt;0,"Pasada",IF($BL53=0,"Actual",IF($BL53=1,"Siguiente",IF($BL53=2,"+2 sem",IF($BL53=3,"+3 sem","Posterior")))))),"")</f>
      </c>
      <c r="BN53" s="202">
        <f>IF(AND($C53,ISNUMBER($AR53),ISNUMBER($AV53)),MAX(1,$AV53-$AR53+1),0)</f>
        <v>0</v>
      </c>
      <c r="BO53" s="202">
        <f>SUM($BN$7:$BN53)-$BN53</f>
        <v>26</v>
      </c>
      <c r="BP53" s="202">
        <f>IF(AND($C53,ISNUMBER($AV53)),$AQ53+$AV53*$AP53*'Sprints'!$D$5-'Sprints'!$D$5,"")</f>
      </c>
      <c r="BQ53" s="202">
        <f>IF(AND($C53,ISNUMBER($BP53)),$BP53*1000+ROW(),"")</f>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IF($C54,IF('Backlog General'!$G54="Completada",1,IF('Backlog General'!$G54="Casi lista",0.75,IF('Backlog General'!$G54="En progreso",0.5,IF('Backlog General'!$G54="Iniciada",0.25,0)))),"")</f>
        <v>0</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IF($C54,IF(ISBLANK('Backlog General'!$K54),"",'Backlog General'!$K54),"")</f>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IF(AND($C54,ISNUMBER($AR54)),IF(AND(ISNUMBER('Backlog General'!$M54),'Backlog General'!$M54&gt;=$AR54),'Backlog General'!$M54,IF(AND($AU54="Pasa al siguiente",$AT54&lt;&gt;"Completada"),$AR54+1,$AR54)),"")</f>
      </c>
      <c r="AW54" s="202">
        <f>IF(AND($C54,ISNUMBER($AR54)),$AQ54+$AR54*$AP54*'Sprints'!$D$5-'Sprints'!$D$5,"")</f>
      </c>
      <c r="AX54" s="202">
        <f>IF($C54,IF(OR($AT54="Completada",$AU54="Cancelado",$AU54="Baja prioridad",NOT(ISNUMBER($AW54))),0,IF(TODAY()&gt;$AW54,NETWORKDAYS($AW54,TODAY(),'Sprints'!$L$5:$L$40)-1,0)),"")</f>
        <v>0</v>
      </c>
      <c r="AY54" s="203" t="str">
        <f>IF($C54,IF(NOT(ISNUMBER($AR54)),"Sin fecha",IF($AT54="Completada","Completada",IF($AU54="Cancelado","Cancelado",IF($AU54="Baja prioridad","Baja prioridad",IF($AX54&gt;0,"Vencida","En curso"))))),"")</f>
        <v>Sin fecha</v>
      </c>
      <c r="AZ54" s="203" t="str">
        <f>IF($C54,IF(ISNUMBER($AV54),$AO54&amp;" · S"&amp;$AV54,"(Sin fecha)"),"")</f>
        <v>(Sin fecha)</v>
      </c>
      <c r="BA54" s="202">
        <f>IF(AND($C54,ISNUMBER($AR54),$AR54=$AS54),"Nuevo","")</f>
      </c>
      <c r="BB54" s="202">
        <f>IF(AND($C54,$AO54="Semanal",ISNUMBER($AV54)),$AV54*100000+ROW(),"")</f>
      </c>
      <c r="BC54" s="202">
        <f>IF(AND($C54,$AO54="Quincenal",ISNUMBER($AV54)),$AV54*100000+ROW(),"")</f>
      </c>
      <c r="BD54" s="202">
        <f>IF(AND($C54,$AO54="Mensual",ISNUMBER($AV54)),$AV54*100000+ROW(),"")</f>
      </c>
      <c r="BE54" s="203">
        <f>IF($C54,IF(ISBLANK('Backlog General'!$J54),"",'Backlog General'!$J54),"")</f>
      </c>
      <c r="BF54" s="203">
        <f>IF($C54,IF($BE54="","",$BE54)&amp;IF(AND($BE54&lt;&gt;"",$AH54&lt;&gt;"")," · ","")&amp;IF($AH54="","",$AH54),"")</f>
      </c>
      <c r="BG54" s="203" t="str">
        <f>IF($C54,IF($J54="Completado","Sí","No"),"")</f>
        <v>No</v>
      </c>
      <c r="BH54" s="202">
        <f>IF(AND($C54,ISNUMBER($AR54)),IF($AO54="Semanal",1,IF($AO54="Quincenal",2,3))*1000000000+$AR54*100000+ROW(),"")</f>
      </c>
      <c r="BI54" s="202">
        <f>IF($C54,IF($AU54="Cancelado","",$I54),"")</f>
        <v>0</v>
      </c>
      <c r="BJ54" s="202">
        <f>IF($C54,IFERROR(MATCH($D54,$D$7:$D$200,0)+6,ROW()),"")</f>
        <v>53</v>
      </c>
      <c r="BK54" s="202">
        <f>IF(AND($C54,ISNUMBER($AV54)),$BJ54*1000000+$AV54*1000+ROW(),"")</f>
      </c>
      <c r="BL54" s="202">
        <f>IF(AND($C54,ISNUMBER($AW54)),ROUND(($AW54-('Sprints'!$C$5+('Sprints'!$E$5-1)*'Sprints'!$D$5))/'Sprints'!$D$5,0),"")</f>
      </c>
      <c r="BM54" s="203">
        <f>IF($C54,IF(NOT(ISNUMBER($BL54)),"",IF($BL54&lt;0,"Pasada",IF($BL54=0,"Actual",IF($BL54=1,"Siguiente",IF($BL54=2,"+2 sem",IF($BL54=3,"+3 sem","Posterior")))))),"")</f>
      </c>
      <c r="BN54" s="202">
        <f>IF(AND($C54,ISNUMBER($AR54),ISNUMBER($AV54)),MAX(1,$AV54-$AR54+1),0)</f>
        <v>0</v>
      </c>
      <c r="BO54" s="202">
        <f>SUM($BN$7:$BN54)-$BN54</f>
        <v>26</v>
      </c>
      <c r="BP54" s="202">
        <f>IF(AND($C54,ISNUMBER($AV54)),$AQ54+$AV54*$AP54*'Sprints'!$D$5-'Sprints'!$D$5,"")</f>
      </c>
      <c r="BQ54" s="202">
        <f>IF(AND($C54,ISNUMBER($BP54)),$BP54*1000+ROW(),"")</f>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IF($C55,IF('Backlog General'!$G55="Completada",1,IF('Backlog General'!$G55="Casi lista",0.75,IF('Backlog General'!$G55="En progreso",0.5,IF('Backlog General'!$G55="Iniciada",0.25,0)))),"")</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IF($C55,IF(ISBLANK('Backlog General'!$K55),"",'Backlog General'!$K55),"")</f>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IF(AND($C55,ISNUMBER($AR55)),IF(AND(ISNUMBER('Backlog General'!$M55),'Backlog General'!$M55&gt;=$AR55),'Backlog General'!$M55,IF(AND($AU55="Pasa al siguiente",$AT55&lt;&gt;"Completada"),$AR55+1,$AR55)),"")</f>
      </c>
      <c r="AW55" s="202">
        <f>IF(AND($C55,ISNUMBER($AR55)),$AQ55+$AR55*$AP55*'Sprints'!$D$5-'Sprints'!$D$5,"")</f>
      </c>
      <c r="AX55" s="202">
        <f>IF($C55,IF(OR($AT55="Completada",$AU55="Cancelado",$AU55="Baja prioridad",NOT(ISNUMBER($AW55))),0,IF(TODAY()&gt;$AW55,NETWORKDAYS($AW55,TODAY(),'Sprints'!$L$5:$L$40)-1,0)),"")</f>
        <v>0</v>
      </c>
      <c r="AY55" s="203" t="str">
        <f>IF($C55,IF(NOT(ISNUMBER($AR55)),"Sin fecha",IF($AT55="Completada","Completada",IF($AU55="Cancelado","Cancelado",IF($AU55="Baja prioridad","Baja prioridad",IF($AX55&gt;0,"Vencida","En curso"))))),"")</f>
        <v>Sin fecha</v>
      </c>
      <c r="AZ55" s="203" t="str">
        <f>IF($C55,IF(ISNUMBER($AV55),$AO55&amp;" · S"&amp;$AV55,"(Sin fecha)"),"")</f>
        <v>(Sin fecha)</v>
      </c>
      <c r="BA55" s="202">
        <f>IF(AND($C55,ISNUMBER($AR55),$AR55=$AS55),"Nuevo","")</f>
      </c>
      <c r="BB55" s="202">
        <f>IF(AND($C55,$AO55="Semanal",ISNUMBER($AV55)),$AV55*100000+ROW(),"")</f>
      </c>
      <c r="BC55" s="202">
        <f>IF(AND($C55,$AO55="Quincenal",ISNUMBER($AV55)),$AV55*100000+ROW(),"")</f>
      </c>
      <c r="BD55" s="202">
        <f>IF(AND($C55,$AO55="Mensual",ISNUMBER($AV55)),$AV55*100000+ROW(),"")</f>
      </c>
      <c r="BE55" s="203">
        <f>IF($C55,IF(ISBLANK('Backlog General'!$J55),"",'Backlog General'!$J55),"")</f>
      </c>
      <c r="BF55" s="203">
        <f>IF($C55,IF($BE55="","",$BE55)&amp;IF(AND($BE55&lt;&gt;"",$AH55&lt;&gt;"")," · ","")&amp;IF($AH55="","",$AH55),"")</f>
      </c>
      <c r="BG55" s="203" t="str">
        <f>IF($C55,IF($J55="Completado","Sí","No"),"")</f>
        <v>No</v>
      </c>
      <c r="BH55" s="202">
        <f>IF(AND($C55,ISNUMBER($AR55)),IF($AO55="Semanal",1,IF($AO55="Quincenal",2,3))*1000000000+$AR55*100000+ROW(),"")</f>
      </c>
      <c r="BI55" s="202">
        <f>IF($C55,IF($AU55="Cancelado","",$I55),"")</f>
        <v>0</v>
      </c>
      <c r="BJ55" s="202">
        <f>IF($C55,IFERROR(MATCH($D55,$D$7:$D$200,0)+6,ROW()),"")</f>
        <v>53</v>
      </c>
      <c r="BK55" s="202">
        <f>IF(AND($C55,ISNUMBER($AV55)),$BJ55*1000000+$AV55*1000+ROW(),"")</f>
      </c>
      <c r="BL55" s="202">
        <f>IF(AND($C55,ISNUMBER($AW55)),ROUND(($AW55-('Sprints'!$C$5+('Sprints'!$E$5-1)*'Sprints'!$D$5))/'Sprints'!$D$5,0),"")</f>
      </c>
      <c r="BM55" s="203">
        <f>IF($C55,IF(NOT(ISNUMBER($BL55)),"",IF($BL55&lt;0,"Pasada",IF($BL55=0,"Actual",IF($BL55=1,"Siguiente",IF($BL55=2,"+2 sem",IF($BL55=3,"+3 sem","Posterior")))))),"")</f>
      </c>
      <c r="BN55" s="202">
        <f>IF(AND($C55,ISNUMBER($AR55),ISNUMBER($AV55)),MAX(1,$AV55-$AR55+1),0)</f>
        <v>0</v>
      </c>
      <c r="BO55" s="202">
        <f>SUM($BN$7:$BN55)-$BN55</f>
        <v>26</v>
      </c>
      <c r="BP55" s="202">
        <f>IF(AND($C55,ISNUMBER($AV55)),$AQ55+$AV55*$AP55*'Sprints'!$D$5-'Sprints'!$D$5,"")</f>
      </c>
      <c r="BQ55" s="202">
        <f>IF(AND($C55,ISNUMBER($BP55)),$BP55*1000+ROW(),"")</f>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IF($C56,IF('Backlog General'!$G56="Completada",1,IF('Backlog General'!$G56="Casi lista",0.75,IF('Backlog General'!$G56="En progreso",0.5,IF('Backlog General'!$G56="Iniciada",0.25,0)))),"")</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IF($C56,IF(ISBLANK('Backlog General'!$K56),"",'Backlog General'!$K56),"")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IF(AND($C56,ISNUMBER($AR56)),IF(AND(ISNUMBER('Backlog General'!$M56),'Backlog General'!$M56&gt;=$AR56),'Backlog General'!$M56,IF(AND($AU56="Pasa al siguiente",$AT56&lt;&gt;"Completada"),$AR56+1,$AR56)),"")</f>
      </c>
      <c r="AW56" s="202">
        <f>IF(AND($C56,ISNUMBER($AR56)),$AQ56+$AR56*$AP56*'Sprints'!$D$5-'Sprints'!$D$5,"")</f>
      </c>
      <c r="AX56" s="202">
        <f>IF($C56,IF(OR($AT56="Completada",$AU56="Cancelado",$AU56="Baja prioridad",NOT(ISNUMBER($AW56))),0,IF(TODAY()&gt;$AW56,NETWORKDAYS($AW56,TODAY(),'Sprints'!$L$5:$L$40)-1,0)),"")</f>
      </c>
      <c r="AY56" s="203">
        <f>IF($C56,IF(NOT(ISNUMBER($AR56)),"Sin fecha",IF($AT56="Completada","Completada",IF($AU56="Cancelado","Cancelado",IF($AU56="Baja prioridad","Baja prioridad",IF($AX56&gt;0,"Vencida","En curso"))))),"")</f>
      </c>
      <c r="AZ56" s="203">
        <f>IF($C56,IF(ISNUMBER($AV56),$AO56&amp;" · S"&amp;$AV56,"(Sin fecha)"),"")</f>
      </c>
      <c r="BA56" s="202">
        <f>IF(AND($C56,ISNUMBER($AR56),$AR56=$AS56),"Nuevo","")</f>
      </c>
      <c r="BB56" s="202">
        <f>IF(AND($C56,$AO56="Semanal",ISNUMBER($AV56)),$AV56*100000+ROW(),"")</f>
      </c>
      <c r="BC56" s="202">
        <f>IF(AND($C56,$AO56="Quincenal",ISNUMBER($AV56)),$AV56*100000+ROW(),"")</f>
      </c>
      <c r="BD56" s="202">
        <f>IF(AND($C56,$AO56="Mensual",ISNUMBER($AV56)),$AV56*100000+ROW(),"")</f>
      </c>
      <c r="BE56" s="203">
        <f>IF($C56,IF(ISBLANK('Backlog General'!$J56),"",'Backlog General'!$J56),"")</f>
      </c>
      <c r="BF56" s="203">
        <f>IF($C56,IF($BE56="","",$BE56)&amp;IF(AND($BE56&lt;&gt;"",$AH56&lt;&gt;"")," · ","")&amp;IF($AH56="","",$AH56),"")</f>
      </c>
      <c r="BG56" s="203">
        <f>IF($C56,IF($J56="Completado","Sí","No"),"")</f>
      </c>
      <c r="BH56" s="202">
        <f>IF(AND($C56,ISNUMBER($AR56)),IF($AO56="Semanal",1,IF($AO56="Quincenal",2,3))*1000000000+$AR56*100000+ROW(),"")</f>
      </c>
      <c r="BI56" s="202">
        <f>IF($C56,IF($AU56="Cancelado","",$I56),"")</f>
      </c>
      <c r="BJ56" s="202">
        <f>IF($C56,IFERROR(MATCH($D56,$D$7:$D$200,0)+6,ROW()),"")</f>
      </c>
      <c r="BK56" s="202">
        <f>IF(AND($C56,ISNUMBER($AV56)),$BJ56*1000000+$AV56*1000+ROW(),"")</f>
      </c>
      <c r="BL56" s="202">
        <f>IF(AND($C56,ISNUMBER($AW56)),ROUND(($AW56-('Sprints'!$C$5+('Sprints'!$E$5-1)*'Sprints'!$D$5))/'Sprints'!$D$5,0),"")</f>
      </c>
      <c r="BM56" s="203">
        <f>IF($C56,IF(NOT(ISNUMBER($BL56)),"",IF($BL56&lt;0,"Pasada",IF($BL56=0,"Actual",IF($BL56=1,"Siguiente",IF($BL56=2,"+2 sem",IF($BL56=3,"+3 sem","Posterior")))))),"")</f>
      </c>
      <c r="BN56" s="202">
        <f>IF(AND($C56,ISNUMBER($AR56),ISNUMBER($AV56)),MAX(1,$AV56-$AR56+1),0)</f>
        <v>0</v>
      </c>
      <c r="BO56" s="202">
        <f>SUM($BN$7:$BN56)-$BN56</f>
        <v>26</v>
      </c>
      <c r="BP56" s="202">
        <f>IF(AND($C56,ISNUMBER($AV56)),$AQ56+$AV56*$AP56*'Sprints'!$D$5-'Sprints'!$D$5,"")</f>
      </c>
      <c r="BQ56" s="202">
        <f>IF(AND($C56,ISNUMBER($BP56)),$BP56*1000+ROW(),"")</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IF($C57,IF('Backlog General'!$G57="Completada",1,IF('Backlog General'!$G57="Casi lista",0.75,IF('Backlog General'!$G57="En progreso",0.5,IF('Backlog General'!$G57="Iniciada",0.25,0)))),"")</f>
        <v>0</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241</v>
      </c>
      <c r="U57" s="202">
        <f>IF($C57,MEDIAN(0,(TODAY()-'Proyecto Datos (OKR´s)'!$K57)/MAX(1,$R57-'Proyecto Datos (OKR´s)'!$K57),1),"")</f>
        <v>0.9450980392156862</v>
      </c>
      <c r="V57" s="202">
        <f>IF($C57,$I57-$U57,"")</f>
        <v>-0.9450980392156862</v>
      </c>
      <c r="W57" s="202">
        <f>IF($C57,IF(OR($J57="Completado",NOT(ISNUMBER($H57))),0,MAX(0,TODAY()-$H57)),"")</f>
        <v>0</v>
      </c>
      <c r="X57" s="202">
        <f>IF($C57,IF(ISNUMBER($H57),$R57-$H57,0),"")</f>
        <v>0</v>
      </c>
      <c r="Y57" s="202">
        <f>IF($C57,COUNTIFS($G$7:$G$200,$G57,$J$7:$J$200,"&lt;&gt;Completado",$J$7:$J$200,"&lt;&gt;"),"")</f>
        <v>0</v>
      </c>
      <c r="Z57" s="202" t="b">
        <f>IF($C57,AND($I57=0,'Proyecto Datos (OKR´s)'!$K57&lt;=TODAY(),$J57&lt;&gt;"Completado"),"")</f>
        <v>1</v>
      </c>
      <c r="AA57" s="202">
        <f>IF($C57,ROUND(100*(0.35*$AK57+0.3*$AL57+0.2*$AM57+0.15*MEDIAN(0,($Y57-4)/8,1)),0),"")</f>
        <v>55</v>
      </c>
      <c r="AB57" s="203" t="str">
        <f>IF($C57,IF(OR($J57="Completado",$J57="Sin fecha"),"—",IF($AA57&gt;=70,"Crítica",IF($AA57&gt;=45,"Alta",IF($AA57&gt;=25,"Media","Baja")))),"")</f>
        <v>—</v>
      </c>
      <c r="AC57" s="203" t="str">
        <f>IF($C57,IF(LEN(TRIM($AN57))=0,"—",TRIM($AN57)),"")</f>
        <v>ATRASO BLOQUEO</v>
      </c>
      <c r="AD57" s="202">
        <f>IF($C57,$AV57,"")</f>
      </c>
      <c r="AE57" s="202" t="str">
        <f>IF($C57,$AZ57,"")</f>
        <v>(Sin fecha)</v>
      </c>
      <c r="AF57" s="202" t="b">
        <f>IF($C57,$AV57&lt;&gt;$AR57,FALSE)</f>
        <v>0</v>
      </c>
      <c r="AG57" s="202">
        <f>IF($C57,IF($AV57&lt;&gt;$AR57,$AW57,""),"")</f>
      </c>
      <c r="AH57" s="203">
        <f>IF($C57,IF(ISBLANK('Backlog General'!$K57),"",'Backlog General'!$K57),"")</f>
      </c>
      <c r="AI57" s="202">
        <f>IF($C57,$AV57*100000+ROW(),"")</f>
      </c>
      <c r="AJ57" s="202">
        <f>IF(AND($C57,ISNUMBER($H57)),$AA57*1000000-MEDIAN(-9999,$K57,9999)*100+(300-ROW()),"")</f>
      </c>
      <c r="AK57" s="202">
        <f>IF($C57,IF($J57="Completado",0,IF($K57&lt;0,1,IF($K57&lt;=3,0.9,IF($K57&lt;=7,0.7,IF($K57&lt;=14,0.45,0.2))))),"")</f>
        <v>0.2</v>
      </c>
      <c r="AL57" s="202">
        <f>IF($C57,IF($J57="Completado",0,MEDIAN(0,MAX(-$V57,$W57/30),1)),"")</f>
        <v>0.9450980392156862</v>
      </c>
      <c r="AM57" s="202">
        <f>IF($C57,IF($J57="Completado",0,IF($Z57,1,IF(AND($I57&lt;0.5,$K57&lt;=7),0.7,0.3))),"")</f>
        <v>1</v>
      </c>
      <c r="AN57" s="203" t="str">
        <f>IF($C57,IF(OR($V57&lt;-0.2,$W57&gt;0),"ATRASO ","")&amp;IF($Z57,"BLOQUEO ","")&amp;IF($Y57&gt;8,"SOBRECARGA ","")&amp;IF($X57&gt;0,"DESVÍO-PLAN ",""),"")</f>
        <v>ATRASO BLOQUEO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IF(AND($C57,ISNUMBER($AR57)),IF(AND(ISNUMBER('Backlog General'!$M57),'Backlog General'!$M57&gt;=$AR57),'Backlog General'!$M57,IF(AND($AU57="Pasa al siguiente",$AT57&lt;&gt;"Completada"),$AR57+1,$AR57)),"")</f>
      </c>
      <c r="AW57" s="202">
        <f>IF(AND($C57,ISNUMBER($AR57)),$AQ57+$AR57*$AP57*'Sprints'!$D$5-'Sprints'!$D$5,"")</f>
      </c>
      <c r="AX57" s="202">
        <f>IF($C57,IF(OR($AT57="Completada",$AU57="Cancelado",$AU57="Baja prioridad",NOT(ISNUMBER($AW57))),0,IF(TODAY()&gt;$AW57,NETWORKDAYS($AW57,TODAY(),'Sprints'!$L$5:$L$40)-1,0)),"")</f>
        <v>0</v>
      </c>
      <c r="AY57" s="203" t="str">
        <f>IF($C57,IF(NOT(ISNUMBER($AR57)),"Sin fecha",IF($AT57="Completada","Completada",IF($AU57="Cancelado","Cancelado",IF($AU57="Baja prioridad","Baja prioridad",IF($AX57&gt;0,"Vencida","En curso"))))),"")</f>
        <v>Sin fecha</v>
      </c>
      <c r="AZ57" s="203" t="str">
        <f>IF($C57,IF(ISNUMBER($AV57),$AO57&amp;" · S"&amp;$AV57,"(Sin fecha)"),"")</f>
        <v>(Sin fecha)</v>
      </c>
      <c r="BA57" s="202">
        <f>IF(AND($C57,ISNUMBER($AR57),$AR57=$AS57),"Nuevo","")</f>
      </c>
      <c r="BB57" s="202">
        <f>IF(AND($C57,$AO57="Semanal",ISNUMBER($AV57)),$AV57*100000+ROW(),"")</f>
      </c>
      <c r="BC57" s="202">
        <f>IF(AND($C57,$AO57="Quincenal",ISNUMBER($AV57)),$AV57*100000+ROW(),"")</f>
      </c>
      <c r="BD57" s="202">
        <f>IF(AND($C57,$AO57="Mensual",ISNUMBER($AV57)),$AV57*100000+ROW(),"")</f>
      </c>
      <c r="BE57" s="203">
        <f>IF($C57,IF(ISBLANK('Backlog General'!$J57),"",'Backlog General'!$J57),"")</f>
      </c>
      <c r="BF57" s="203">
        <f>IF($C57,IF($BE57="","",$BE57)&amp;IF(AND($BE57&lt;&gt;"",$AH57&lt;&gt;"")," · ","")&amp;IF($AH57="","",$AH57),"")</f>
      </c>
      <c r="BG57" s="203" t="str">
        <f>IF($C57,IF($J57="Completado","Sí","No"),"")</f>
        <v>No</v>
      </c>
      <c r="BH57" s="202">
        <f>IF(AND($C57,ISNUMBER($AR57)),IF($AO57="Semanal",1,IF($AO57="Quincenal",2,3))*1000000000+$AR57*100000+ROW(),"")</f>
      </c>
      <c r="BI57" s="202">
        <f>IF($C57,IF($AU57="Cancelado","",$I57),"")</f>
        <v>0</v>
      </c>
      <c r="BJ57" s="202">
        <f>IF($C57,IFERROR(MATCH($D57,$D$7:$D$200,0)+6,ROW()),"")</f>
        <v>57</v>
      </c>
      <c r="BK57" s="202">
        <f>IF(AND($C57,ISNUMBER($AV57)),$BJ57*1000000+$AV57*1000+ROW(),"")</f>
      </c>
      <c r="BL57" s="202">
        <f>IF(AND($C57,ISNUMBER($AW57)),ROUND(($AW57-('Sprints'!$C$5+('Sprints'!$E$5-1)*'Sprints'!$D$5))/'Sprints'!$D$5,0),"")</f>
      </c>
      <c r="BM57" s="203">
        <f>IF($C57,IF(NOT(ISNUMBER($BL57)),"",IF($BL57&lt;0,"Pasada",IF($BL57=0,"Actual",IF($BL57=1,"Siguiente",IF($BL57=2,"+2 sem",IF($BL57=3,"+3 sem","Posterior")))))),"")</f>
      </c>
      <c r="BN57" s="202">
        <f>IF(AND($C57,ISNUMBER($AR57),ISNUMBER($AV57)),MAX(1,$AV57-$AR57+1),0)</f>
        <v>0</v>
      </c>
      <c r="BO57" s="202">
        <f>SUM($BN$7:$BN57)-$BN57</f>
        <v>26</v>
      </c>
      <c r="BP57" s="202">
        <f>IF(AND($C57,ISNUMBER($AV57)),$AQ57+$AV57*$AP57*'Sprints'!$D$5-'Sprints'!$D$5,"")</f>
      </c>
      <c r="BQ57" s="202">
        <f>IF(AND($C57,ISNUMBER($BP57)),$BP57*1000+ROW(),"")</f>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IF($C58,IF('Backlog General'!$G58="Completada",1,IF('Backlog General'!$G58="Casi lista",0.75,IF('Backlog General'!$G58="En progreso",0.5,IF('Backlog General'!$G58="Iniciada",0.25,0)))),"")</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IF($C58,IF(ISBLANK('Backlog General'!$K58),"",'Backlog General'!$K58),"")</f>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IF(AND($C58,ISNUMBER($AR58)),IF(AND(ISNUMBER('Backlog General'!$M58),'Backlog General'!$M58&gt;=$AR58),'Backlog General'!$M58,IF(AND($AU58="Pasa al siguiente",$AT58&lt;&gt;"Completada"),$AR58+1,$AR58)),"")</f>
      </c>
      <c r="AW58" s="202">
        <f>IF(AND($C58,ISNUMBER($AR58)),$AQ58+$AR58*$AP58*'Sprints'!$D$5-'Sprints'!$D$5,"")</f>
      </c>
      <c r="AX58" s="202">
        <f>IF($C58,IF(OR($AT58="Completada",$AU58="Cancelado",$AU58="Baja prioridad",NOT(ISNUMBER($AW58))),0,IF(TODAY()&gt;$AW58,NETWORKDAYS($AW58,TODAY(),'Sprints'!$L$5:$L$40)-1,0)),"")</f>
        <v>0</v>
      </c>
      <c r="AY58" s="203" t="str">
        <f>IF($C58,IF(NOT(ISNUMBER($AR58)),"Sin fecha",IF($AT58="Completada","Completada",IF($AU58="Cancelado","Cancelado",IF($AU58="Baja prioridad","Baja prioridad",IF($AX58&gt;0,"Vencida","En curso"))))),"")</f>
        <v>Sin fecha</v>
      </c>
      <c r="AZ58" s="203" t="str">
        <f>IF($C58,IF(ISNUMBER($AV58),$AO58&amp;" · S"&amp;$AV58,"(Sin fecha)"),"")</f>
        <v>(Sin fecha)</v>
      </c>
      <c r="BA58" s="202">
        <f>IF(AND($C58,ISNUMBER($AR58),$AR58=$AS58),"Nuevo","")</f>
      </c>
      <c r="BB58" s="202">
        <f>IF(AND($C58,$AO58="Semanal",ISNUMBER($AV58)),$AV58*100000+ROW(),"")</f>
      </c>
      <c r="BC58" s="202">
        <f>IF(AND($C58,$AO58="Quincenal",ISNUMBER($AV58)),$AV58*100000+ROW(),"")</f>
      </c>
      <c r="BD58" s="202">
        <f>IF(AND($C58,$AO58="Mensual",ISNUMBER($AV58)),$AV58*100000+ROW(),"")</f>
      </c>
      <c r="BE58" s="203">
        <f>IF($C58,IF(ISBLANK('Backlog General'!$J58),"",'Backlog General'!$J58),"")</f>
      </c>
      <c r="BF58" s="203">
        <f>IF($C58,IF($BE58="","",$BE58)&amp;IF(AND($BE58&lt;&gt;"",$AH58&lt;&gt;"")," · ","")&amp;IF($AH58="","",$AH58),"")</f>
      </c>
      <c r="BG58" s="203" t="str">
        <f>IF($C58,IF($J58="Completado","Sí","No"),"")</f>
        <v>No</v>
      </c>
      <c r="BH58" s="202">
        <f>IF(AND($C58,ISNUMBER($AR58)),IF($AO58="Semanal",1,IF($AO58="Quincenal",2,3))*1000000000+$AR58*100000+ROW(),"")</f>
      </c>
      <c r="BI58" s="202">
        <f>IF($C58,IF($AU58="Cancelado","",$I58),"")</f>
        <v>0</v>
      </c>
      <c r="BJ58" s="202">
        <f>IF($C58,IFERROR(MATCH($D58,$D$7:$D$200,0)+6,ROW()),"")</f>
        <v>57</v>
      </c>
      <c r="BK58" s="202">
        <f>IF(AND($C58,ISNUMBER($AV58)),$BJ58*1000000+$AV58*1000+ROW(),"")</f>
      </c>
      <c r="BL58" s="202">
        <f>IF(AND($C58,ISNUMBER($AW58)),ROUND(($AW58-('Sprints'!$C$5+('Sprints'!$E$5-1)*'Sprints'!$D$5))/'Sprints'!$D$5,0),"")</f>
      </c>
      <c r="BM58" s="203">
        <f>IF($C58,IF(NOT(ISNUMBER($BL58)),"",IF($BL58&lt;0,"Pasada",IF($BL58=0,"Actual",IF($BL58=1,"Siguiente",IF($BL58=2,"+2 sem",IF($BL58=3,"+3 sem","Posterior")))))),"")</f>
      </c>
      <c r="BN58" s="202">
        <f>IF(AND($C58,ISNUMBER($AR58),ISNUMBER($AV58)),MAX(1,$AV58-$AR58+1),0)</f>
        <v>0</v>
      </c>
      <c r="BO58" s="202">
        <f>SUM($BN$7:$BN58)-$BN58</f>
        <v>26</v>
      </c>
      <c r="BP58" s="202">
        <f>IF(AND($C58,ISNUMBER($AV58)),$AQ58+$AV58*$AP58*'Sprints'!$D$5-'Sprints'!$D$5,"")</f>
      </c>
      <c r="BQ58" s="202">
        <f>IF(AND($C58,ISNUMBER($BP58)),$BP58*1000+ROW(),"")</f>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IF($C59,IF('Backlog General'!$G59="Completada",1,IF('Backlog General'!$G59="Casi lista",0.75,IF('Backlog General'!$G59="En progreso",0.5,IF('Backlog General'!$G59="Iniciada",0.25,0)))),"")</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IF($C59,IF(ISBLANK('Backlog General'!$K59),"",'Backlog General'!$K59),"")</f>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IF(AND($C59,ISNUMBER($AR59)),IF(AND(ISNUMBER('Backlog General'!$M59),'Backlog General'!$M59&gt;=$AR59),'Backlog General'!$M59,IF(AND($AU59="Pasa al siguiente",$AT59&lt;&gt;"Completada"),$AR59+1,$AR59)),"")</f>
      </c>
      <c r="AW59" s="202">
        <f>IF(AND($C59,ISNUMBER($AR59)),$AQ59+$AR59*$AP59*'Sprints'!$D$5-'Sprints'!$D$5,"")</f>
      </c>
      <c r="AX59" s="202">
        <f>IF($C59,IF(OR($AT59="Completada",$AU59="Cancelado",$AU59="Baja prioridad",NOT(ISNUMBER($AW59))),0,IF(TODAY()&gt;$AW59,NETWORKDAYS($AW59,TODAY(),'Sprints'!$L$5:$L$40)-1,0)),"")</f>
        <v>0</v>
      </c>
      <c r="AY59" s="203" t="str">
        <f>IF($C59,IF(NOT(ISNUMBER($AR59)),"Sin fecha",IF($AT59="Completada","Completada",IF($AU59="Cancelado","Cancelado",IF($AU59="Baja prioridad","Baja prioridad",IF($AX59&gt;0,"Vencida","En curso"))))),"")</f>
        <v>Sin fecha</v>
      </c>
      <c r="AZ59" s="203" t="str">
        <f>IF($C59,IF(ISNUMBER($AV59),$AO59&amp;" · S"&amp;$AV59,"(Sin fecha)"),"")</f>
        <v>(Sin fecha)</v>
      </c>
      <c r="BA59" s="202">
        <f>IF(AND($C59,ISNUMBER($AR59),$AR59=$AS59),"Nuevo","")</f>
      </c>
      <c r="BB59" s="202">
        <f>IF(AND($C59,$AO59="Semanal",ISNUMBER($AV59)),$AV59*100000+ROW(),"")</f>
      </c>
      <c r="BC59" s="202">
        <f>IF(AND($C59,$AO59="Quincenal",ISNUMBER($AV59)),$AV59*100000+ROW(),"")</f>
      </c>
      <c r="BD59" s="202">
        <f>IF(AND($C59,$AO59="Mensual",ISNUMBER($AV59)),$AV59*100000+ROW(),"")</f>
      </c>
      <c r="BE59" s="203">
        <f>IF($C59,IF(ISBLANK('Backlog General'!$J59),"",'Backlog General'!$J59),"")</f>
      </c>
      <c r="BF59" s="203">
        <f>IF($C59,IF($BE59="","",$BE59)&amp;IF(AND($BE59&lt;&gt;"",$AH59&lt;&gt;"")," · ","")&amp;IF($AH59="","",$AH59),"")</f>
      </c>
      <c r="BG59" s="203" t="str">
        <f>IF($C59,IF($J59="Completado","Sí","No"),"")</f>
        <v>No</v>
      </c>
      <c r="BH59" s="202">
        <f>IF(AND($C59,ISNUMBER($AR59)),IF($AO59="Semanal",1,IF($AO59="Quincenal",2,3))*1000000000+$AR59*100000+ROW(),"")</f>
      </c>
      <c r="BI59" s="202">
        <f>IF($C59,IF($AU59="Cancelado","",$I59),"")</f>
        <v>0</v>
      </c>
      <c r="BJ59" s="202">
        <f>IF($C59,IFERROR(MATCH($D59,$D$7:$D$200,0)+6,ROW()),"")</f>
        <v>57</v>
      </c>
      <c r="BK59" s="202">
        <f>IF(AND($C59,ISNUMBER($AV59)),$BJ59*1000000+$AV59*1000+ROW(),"")</f>
      </c>
      <c r="BL59" s="202">
        <f>IF(AND($C59,ISNUMBER($AW59)),ROUND(($AW59-('Sprints'!$C$5+('Sprints'!$E$5-1)*'Sprints'!$D$5))/'Sprints'!$D$5,0),"")</f>
      </c>
      <c r="BM59" s="203">
        <f>IF($C59,IF(NOT(ISNUMBER($BL59)),"",IF($BL59&lt;0,"Pasada",IF($BL59=0,"Actual",IF($BL59=1,"Siguiente",IF($BL59=2,"+2 sem",IF($BL59=3,"+3 sem","Posterior")))))),"")</f>
      </c>
      <c r="BN59" s="202">
        <f>IF(AND($C59,ISNUMBER($AR59),ISNUMBER($AV59)),MAX(1,$AV59-$AR59+1),0)</f>
        <v>0</v>
      </c>
      <c r="BO59" s="202">
        <f>SUM($BN$7:$BN59)-$BN59</f>
        <v>26</v>
      </c>
      <c r="BP59" s="202">
        <f>IF(AND($C59,ISNUMBER($AV59)),$AQ59+$AV59*$AP59*'Sprints'!$D$5-'Sprints'!$D$5,"")</f>
      </c>
      <c r="BQ59" s="202">
        <f>IF(AND($C59,ISNUMBER($BP59)),$BP59*1000+ROW(),"")</f>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IF($C60,IF('Backlog General'!$G60="Completada",1,IF('Backlog General'!$G60="Casi lista",0.75,IF('Backlog General'!$G60="En progreso",0.5,IF('Backlog General'!$G60="Iniciada",0.25,0)))),"")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IF($C60,IF(ISBLANK('Backlog General'!$K60),"",'Backlog General'!$K60),"")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IF(AND($C60,ISNUMBER($AR60)),IF(AND(ISNUMBER('Backlog General'!$M60),'Backlog General'!$M60&gt;=$AR60),'Backlog General'!$M60,IF(AND($AU60="Pasa al siguiente",$AT60&lt;&gt;"Completada"),$AR60+1,$AR60)),"")</f>
      </c>
      <c r="AW60" s="202">
        <f>IF(AND($C60,ISNUMBER($AR60)),$AQ60+$AR60*$AP60*'Sprints'!$D$5-'Sprints'!$D$5,"")</f>
      </c>
      <c r="AX60" s="202">
        <f>IF($C60,IF(OR($AT60="Completada",$AU60="Cancelado",$AU60="Baja prioridad",NOT(ISNUMBER($AW60))),0,IF(TODAY()&gt;$AW60,NETWORKDAYS($AW60,TODAY(),'Sprints'!$L$5:$L$40)-1,0)),"")</f>
      </c>
      <c r="AY60" s="203">
        <f>IF($C60,IF(NOT(ISNUMBER($AR60)),"Sin fecha",IF($AT60="Completada","Completada",IF($AU60="Cancelado","Cancelado",IF($AU60="Baja prioridad","Baja prioridad",IF($AX60&gt;0,"Vencida","En curso"))))),"")</f>
      </c>
      <c r="AZ60" s="203">
        <f>IF($C60,IF(ISNUMBER($AV60),$AO60&amp;" · S"&amp;$AV60,"(Sin fecha)"),"")</f>
      </c>
      <c r="BA60" s="202">
        <f>IF(AND($C60,ISNUMBER($AR60),$AR60=$AS60),"Nuevo","")</f>
      </c>
      <c r="BB60" s="202">
        <f>IF(AND($C60,$AO60="Semanal",ISNUMBER($AV60)),$AV60*100000+ROW(),"")</f>
      </c>
      <c r="BC60" s="202">
        <f>IF(AND($C60,$AO60="Quincenal",ISNUMBER($AV60)),$AV60*100000+ROW(),"")</f>
      </c>
      <c r="BD60" s="202">
        <f>IF(AND($C60,$AO60="Mensual",ISNUMBER($AV60)),$AV60*100000+ROW(),"")</f>
      </c>
      <c r="BE60" s="203">
        <f>IF($C60,IF(ISBLANK('Backlog General'!$J60),"",'Backlog General'!$J60),"")</f>
      </c>
      <c r="BF60" s="203">
        <f>IF($C60,IF($BE60="","",$BE60)&amp;IF(AND($BE60&lt;&gt;"",$AH60&lt;&gt;"")," · ","")&amp;IF($AH60="","",$AH60),"")</f>
      </c>
      <c r="BG60" s="203">
        <f>IF($C60,IF($J60="Completado","Sí","No"),"")</f>
      </c>
      <c r="BH60" s="202">
        <f>IF(AND($C60,ISNUMBER($AR60)),IF($AO60="Semanal",1,IF($AO60="Quincenal",2,3))*1000000000+$AR60*100000+ROW(),"")</f>
      </c>
      <c r="BI60" s="202">
        <f>IF($C60,IF($AU60="Cancelado","",$I60),"")</f>
      </c>
      <c r="BJ60" s="202">
        <f>IF($C60,IFERROR(MATCH($D60,$D$7:$D$200,0)+6,ROW()),"")</f>
      </c>
      <c r="BK60" s="202">
        <f>IF(AND($C60,ISNUMBER($AV60)),$BJ60*1000000+$AV60*1000+ROW(),"")</f>
      </c>
      <c r="BL60" s="202">
        <f>IF(AND($C60,ISNUMBER($AW60)),ROUND(($AW60-('Sprints'!$C$5+('Sprints'!$E$5-1)*'Sprints'!$D$5))/'Sprints'!$D$5,0),"")</f>
      </c>
      <c r="BM60" s="203">
        <f>IF($C60,IF(NOT(ISNUMBER($BL60)),"",IF($BL60&lt;0,"Pasada",IF($BL60=0,"Actual",IF($BL60=1,"Siguiente",IF($BL60=2,"+2 sem",IF($BL60=3,"+3 sem","Posterior")))))),"")</f>
      </c>
      <c r="BN60" s="202">
        <f>IF(AND($C60,ISNUMBER($AR60),ISNUMBER($AV60)),MAX(1,$AV60-$AR60+1),0)</f>
        <v>0</v>
      </c>
      <c r="BO60" s="202">
        <f>SUM($BN$7:$BN60)-$BN60</f>
        <v>26</v>
      </c>
      <c r="BP60" s="202">
        <f>IF(AND($C60,ISNUMBER($AV60)),$AQ60+$AV60*$AP60*'Sprints'!$D$5-'Sprints'!$D$5,"")</f>
      </c>
      <c r="BQ60" s="202">
        <f>IF(AND($C60,ISNUMBER($BP60)),$BP60*1000+ROW(),"")</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IF($C61,IF('Backlog General'!$G61="Completada",1,IF('Backlog General'!$G61="Casi lista",0.75,IF('Backlog General'!$G61="En progreso",0.5,IF('Backlog General'!$G61="Iniciada",0.25,0)))),"")</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IF($C61,IF(ISBLANK('Backlog General'!$K61),"",'Backlog General'!$K61),"")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IF(AND($C61,ISNUMBER($AR61)),IF(AND(ISNUMBER('Backlog General'!$M61),'Backlog General'!$M61&gt;=$AR61),'Backlog General'!$M61,IF(AND($AU61="Pasa al siguiente",$AT61&lt;&gt;"Completada"),$AR61+1,$AR61)),"")</f>
      </c>
      <c r="AW61" s="202">
        <f>IF(AND($C61,ISNUMBER($AR61)),$AQ61+$AR61*$AP61*'Sprints'!$D$5-'Sprints'!$D$5,"")</f>
      </c>
      <c r="AX61" s="202">
        <f>IF($C61,IF(OR($AT61="Completada",$AU61="Cancelado",$AU61="Baja prioridad",NOT(ISNUMBER($AW61))),0,IF(TODAY()&gt;$AW61,NETWORKDAYS($AW61,TODAY(),'Sprints'!$L$5:$L$40)-1,0)),"")</f>
      </c>
      <c r="AY61" s="203">
        <f>IF($C61,IF(NOT(ISNUMBER($AR61)),"Sin fecha",IF($AT61="Completada","Completada",IF($AU61="Cancelado","Cancelado",IF($AU61="Baja prioridad","Baja prioridad",IF($AX61&gt;0,"Vencida","En curso"))))),"")</f>
      </c>
      <c r="AZ61" s="203">
        <f>IF($C61,IF(ISNUMBER($AV61),$AO61&amp;" · S"&amp;$AV61,"(Sin fecha)"),"")</f>
      </c>
      <c r="BA61" s="202">
        <f>IF(AND($C61,ISNUMBER($AR61),$AR61=$AS61),"Nuevo","")</f>
      </c>
      <c r="BB61" s="202">
        <f>IF(AND($C61,$AO61="Semanal",ISNUMBER($AV61)),$AV61*100000+ROW(),"")</f>
      </c>
      <c r="BC61" s="202">
        <f>IF(AND($C61,$AO61="Quincenal",ISNUMBER($AV61)),$AV61*100000+ROW(),"")</f>
      </c>
      <c r="BD61" s="202">
        <f>IF(AND($C61,$AO61="Mensual",ISNUMBER($AV61)),$AV61*100000+ROW(),"")</f>
      </c>
      <c r="BE61" s="203">
        <f>IF($C61,IF(ISBLANK('Backlog General'!$J61),"",'Backlog General'!$J61),"")</f>
      </c>
      <c r="BF61" s="203">
        <f>IF($C61,IF($BE61="","",$BE61)&amp;IF(AND($BE61&lt;&gt;"",$AH61&lt;&gt;"")," · ","")&amp;IF($AH61="","",$AH61),"")</f>
      </c>
      <c r="BG61" s="203">
        <f>IF($C61,IF($J61="Completado","Sí","No"),"")</f>
      </c>
      <c r="BH61" s="202">
        <f>IF(AND($C61,ISNUMBER($AR61)),IF($AO61="Semanal",1,IF($AO61="Quincenal",2,3))*1000000000+$AR61*100000+ROW(),"")</f>
      </c>
      <c r="BI61" s="202">
        <f>IF($C61,IF($AU61="Cancelado","",$I61),"")</f>
      </c>
      <c r="BJ61" s="202">
        <f>IF($C61,IFERROR(MATCH($D61,$D$7:$D$200,0)+6,ROW()),"")</f>
      </c>
      <c r="BK61" s="202">
        <f>IF(AND($C61,ISNUMBER($AV61)),$BJ61*1000000+$AV61*1000+ROW(),"")</f>
      </c>
      <c r="BL61" s="202">
        <f>IF(AND($C61,ISNUMBER($AW61)),ROUND(($AW61-('Sprints'!$C$5+('Sprints'!$E$5-1)*'Sprints'!$D$5))/'Sprints'!$D$5,0),"")</f>
      </c>
      <c r="BM61" s="203">
        <f>IF($C61,IF(NOT(ISNUMBER($BL61)),"",IF($BL61&lt;0,"Pasada",IF($BL61=0,"Actual",IF($BL61=1,"Siguiente",IF($BL61=2,"+2 sem",IF($BL61=3,"+3 sem","Posterior")))))),"")</f>
      </c>
      <c r="BN61" s="202">
        <f>IF(AND($C61,ISNUMBER($AR61),ISNUMBER($AV61)),MAX(1,$AV61-$AR61+1),0)</f>
        <v>0</v>
      </c>
      <c r="BO61" s="202">
        <f>SUM($BN$7:$BN61)-$BN61</f>
        <v>26</v>
      </c>
      <c r="BP61" s="202">
        <f>IF(AND($C61,ISNUMBER($AV61)),$AQ61+$AV61*$AP61*'Sprints'!$D$5-'Sprints'!$D$5,"")</f>
      </c>
      <c r="BQ61" s="202">
        <f>IF(AND($C61,ISNUMBER($BP61)),$BP61*1000+ROW(),"")</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IF($C62,IF('Backlog General'!$G62="Completada",1,IF('Backlog General'!$G62="Casi lista",0.75,IF('Backlog General'!$G62="En progreso",0.5,IF('Backlog General'!$G62="Iniciada",0.25,0)))),"")</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IF($C62,IF(ISBLANK('Backlog General'!$K62),"",'Backlog General'!$K62),"")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IF(AND($C62,ISNUMBER($AR62)),IF(AND(ISNUMBER('Backlog General'!$M62),'Backlog General'!$M62&gt;=$AR62),'Backlog General'!$M62,IF(AND($AU62="Pasa al siguiente",$AT62&lt;&gt;"Completada"),$AR62+1,$AR62)),"")</f>
      </c>
      <c r="AW62" s="202">
        <f>IF(AND($C62,ISNUMBER($AR62)),$AQ62+$AR62*$AP62*'Sprints'!$D$5-'Sprints'!$D$5,"")</f>
      </c>
      <c r="AX62" s="202">
        <f>IF($C62,IF(OR($AT62="Completada",$AU62="Cancelado",$AU62="Baja prioridad",NOT(ISNUMBER($AW62))),0,IF(TODAY()&gt;$AW62,NETWORKDAYS($AW62,TODAY(),'Sprints'!$L$5:$L$40)-1,0)),"")</f>
      </c>
      <c r="AY62" s="203">
        <f>IF($C62,IF(NOT(ISNUMBER($AR62)),"Sin fecha",IF($AT62="Completada","Completada",IF($AU62="Cancelado","Cancelado",IF($AU62="Baja prioridad","Baja prioridad",IF($AX62&gt;0,"Vencida","En curso"))))),"")</f>
      </c>
      <c r="AZ62" s="203">
        <f>IF($C62,IF(ISNUMBER($AV62),$AO62&amp;" · S"&amp;$AV62,"(Sin fecha)"),"")</f>
      </c>
      <c r="BA62" s="202">
        <f>IF(AND($C62,ISNUMBER($AR62),$AR62=$AS62),"Nuevo","")</f>
      </c>
      <c r="BB62" s="202">
        <f>IF(AND($C62,$AO62="Semanal",ISNUMBER($AV62)),$AV62*100000+ROW(),"")</f>
      </c>
      <c r="BC62" s="202">
        <f>IF(AND($C62,$AO62="Quincenal",ISNUMBER($AV62)),$AV62*100000+ROW(),"")</f>
      </c>
      <c r="BD62" s="202">
        <f>IF(AND($C62,$AO62="Mensual",ISNUMBER($AV62)),$AV62*100000+ROW(),"")</f>
      </c>
      <c r="BE62" s="203">
        <f>IF($C62,IF(ISBLANK('Backlog General'!$J62),"",'Backlog General'!$J62),"")</f>
      </c>
      <c r="BF62" s="203">
        <f>IF($C62,IF($BE62="","",$BE62)&amp;IF(AND($BE62&lt;&gt;"",$AH62&lt;&gt;"")," · ","")&amp;IF($AH62="","",$AH62),"")</f>
      </c>
      <c r="BG62" s="203">
        <f>IF($C62,IF($J62="Completado","Sí","No"),"")</f>
      </c>
      <c r="BH62" s="202">
        <f>IF(AND($C62,ISNUMBER($AR62)),IF($AO62="Semanal",1,IF($AO62="Quincenal",2,3))*1000000000+$AR62*100000+ROW(),"")</f>
      </c>
      <c r="BI62" s="202">
        <f>IF($C62,IF($AU62="Cancelado","",$I62),"")</f>
      </c>
      <c r="BJ62" s="202">
        <f>IF($C62,IFERROR(MATCH($D62,$D$7:$D$200,0)+6,ROW()),"")</f>
      </c>
      <c r="BK62" s="202">
        <f>IF(AND($C62,ISNUMBER($AV62)),$BJ62*1000000+$AV62*1000+ROW(),"")</f>
      </c>
      <c r="BL62" s="202">
        <f>IF(AND($C62,ISNUMBER($AW62)),ROUND(($AW62-('Sprints'!$C$5+('Sprints'!$E$5-1)*'Sprints'!$D$5))/'Sprints'!$D$5,0),"")</f>
      </c>
      <c r="BM62" s="203">
        <f>IF($C62,IF(NOT(ISNUMBER($BL62)),"",IF($BL62&lt;0,"Pasada",IF($BL62=0,"Actual",IF($BL62=1,"Siguiente",IF($BL62=2,"+2 sem",IF($BL62=3,"+3 sem","Posterior")))))),"")</f>
      </c>
      <c r="BN62" s="202">
        <f>IF(AND($C62,ISNUMBER($AR62),ISNUMBER($AV62)),MAX(1,$AV62-$AR62+1),0)</f>
        <v>0</v>
      </c>
      <c r="BO62" s="202">
        <f>SUM($BN$7:$BN62)-$BN62</f>
        <v>26</v>
      </c>
      <c r="BP62" s="202">
        <f>IF(AND($C62,ISNUMBER($AV62)),$AQ62+$AV62*$AP62*'Sprints'!$D$5-'Sprints'!$D$5,"")</f>
      </c>
      <c r="BQ62" s="202">
        <f>IF(AND($C62,ISNUMBER($BP62)),$BP62*1000+ROW(),"")</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IF($C63,IF('Backlog General'!$G63="Completada",1,IF('Backlog General'!$G63="Casi lista",0.75,IF('Backlog General'!$G63="En progreso",0.5,IF('Backlog General'!$G63="Iniciada",0.25,0)))),"")</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IF($C63,IF(ISBLANK('Backlog General'!$K63),"",'Backlog General'!$K63),"")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IF(AND($C63,ISNUMBER($AR63)),IF(AND(ISNUMBER('Backlog General'!$M63),'Backlog General'!$M63&gt;=$AR63),'Backlog General'!$M63,IF(AND($AU63="Pasa al siguiente",$AT63&lt;&gt;"Completada"),$AR63+1,$AR63)),"")</f>
      </c>
      <c r="AW63" s="202">
        <f>IF(AND($C63,ISNUMBER($AR63)),$AQ63+$AR63*$AP63*'Sprints'!$D$5-'Sprints'!$D$5,"")</f>
      </c>
      <c r="AX63" s="202">
        <f>IF($C63,IF(OR($AT63="Completada",$AU63="Cancelado",$AU63="Baja prioridad",NOT(ISNUMBER($AW63))),0,IF(TODAY()&gt;$AW63,NETWORKDAYS($AW63,TODAY(),'Sprints'!$L$5:$L$40)-1,0)),"")</f>
      </c>
      <c r="AY63" s="203">
        <f>IF($C63,IF(NOT(ISNUMBER($AR63)),"Sin fecha",IF($AT63="Completada","Completada",IF($AU63="Cancelado","Cancelado",IF($AU63="Baja prioridad","Baja prioridad",IF($AX63&gt;0,"Vencida","En curso"))))),"")</f>
      </c>
      <c r="AZ63" s="203">
        <f>IF($C63,IF(ISNUMBER($AV63),$AO63&amp;" · S"&amp;$AV63,"(Sin fecha)"),"")</f>
      </c>
      <c r="BA63" s="202">
        <f>IF(AND($C63,ISNUMBER($AR63),$AR63=$AS63),"Nuevo","")</f>
      </c>
      <c r="BB63" s="202">
        <f>IF(AND($C63,$AO63="Semanal",ISNUMBER($AV63)),$AV63*100000+ROW(),"")</f>
      </c>
      <c r="BC63" s="202">
        <f>IF(AND($C63,$AO63="Quincenal",ISNUMBER($AV63)),$AV63*100000+ROW(),"")</f>
      </c>
      <c r="BD63" s="202">
        <f>IF(AND($C63,$AO63="Mensual",ISNUMBER($AV63)),$AV63*100000+ROW(),"")</f>
      </c>
      <c r="BE63" s="203">
        <f>IF($C63,IF(ISBLANK('Backlog General'!$J63),"",'Backlog General'!$J63),"")</f>
      </c>
      <c r="BF63" s="203">
        <f>IF($C63,IF($BE63="","",$BE63)&amp;IF(AND($BE63&lt;&gt;"",$AH63&lt;&gt;"")," · ","")&amp;IF($AH63="","",$AH63),"")</f>
      </c>
      <c r="BG63" s="203">
        <f>IF($C63,IF($J63="Completado","Sí","No"),"")</f>
      </c>
      <c r="BH63" s="202">
        <f>IF(AND($C63,ISNUMBER($AR63)),IF($AO63="Semanal",1,IF($AO63="Quincenal",2,3))*1000000000+$AR63*100000+ROW(),"")</f>
      </c>
      <c r="BI63" s="202">
        <f>IF($C63,IF($AU63="Cancelado","",$I63),"")</f>
      </c>
      <c r="BJ63" s="202">
        <f>IF($C63,IFERROR(MATCH($D63,$D$7:$D$200,0)+6,ROW()),"")</f>
      </c>
      <c r="BK63" s="202">
        <f>IF(AND($C63,ISNUMBER($AV63)),$BJ63*1000000+$AV63*1000+ROW(),"")</f>
      </c>
      <c r="BL63" s="202">
        <f>IF(AND($C63,ISNUMBER($AW63)),ROUND(($AW63-('Sprints'!$C$5+('Sprints'!$E$5-1)*'Sprints'!$D$5))/'Sprints'!$D$5,0),"")</f>
      </c>
      <c r="BM63" s="203">
        <f>IF($C63,IF(NOT(ISNUMBER($BL63)),"",IF($BL63&lt;0,"Pasada",IF($BL63=0,"Actual",IF($BL63=1,"Siguiente",IF($BL63=2,"+2 sem",IF($BL63=3,"+3 sem","Posterior")))))),"")</f>
      </c>
      <c r="BN63" s="202">
        <f>IF(AND($C63,ISNUMBER($AR63),ISNUMBER($AV63)),MAX(1,$AV63-$AR63+1),0)</f>
        <v>0</v>
      </c>
      <c r="BO63" s="202">
        <f>SUM($BN$7:$BN63)-$BN63</f>
        <v>26</v>
      </c>
      <c r="BP63" s="202">
        <f>IF(AND($C63,ISNUMBER($AV63)),$AQ63+$AV63*$AP63*'Sprints'!$D$5-'Sprints'!$D$5,"")</f>
      </c>
      <c r="BQ63" s="202">
        <f>IF(AND($C63,ISNUMBER($BP63)),$BP63*1000+ROW(),"")</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IF($C64,IF('Backlog General'!$G64="Completada",1,IF('Backlog General'!$G64="Casi lista",0.75,IF('Backlog General'!$G64="En progreso",0.5,IF('Backlog General'!$G64="Iniciada",0.25,0)))),"")</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IF($C64,IF(ISBLANK('Backlog General'!$K64),"",'Backlog General'!$K64),"")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IF(AND($C64,ISNUMBER($AR64)),IF(AND(ISNUMBER('Backlog General'!$M64),'Backlog General'!$M64&gt;=$AR64),'Backlog General'!$M64,IF(AND($AU64="Pasa al siguiente",$AT64&lt;&gt;"Completada"),$AR64+1,$AR64)),"")</f>
      </c>
      <c r="AW64" s="202">
        <f>IF(AND($C64,ISNUMBER($AR64)),$AQ64+$AR64*$AP64*'Sprints'!$D$5-'Sprints'!$D$5,"")</f>
      </c>
      <c r="AX64" s="202">
        <f>IF($C64,IF(OR($AT64="Completada",$AU64="Cancelado",$AU64="Baja prioridad",NOT(ISNUMBER($AW64))),0,IF(TODAY()&gt;$AW64,NETWORKDAYS($AW64,TODAY(),'Sprints'!$L$5:$L$40)-1,0)),"")</f>
      </c>
      <c r="AY64" s="203">
        <f>IF($C64,IF(NOT(ISNUMBER($AR64)),"Sin fecha",IF($AT64="Completada","Completada",IF($AU64="Cancelado","Cancelado",IF($AU64="Baja prioridad","Baja prioridad",IF($AX64&gt;0,"Vencida","En curso"))))),"")</f>
      </c>
      <c r="AZ64" s="203">
        <f>IF($C64,IF(ISNUMBER($AV64),$AO64&amp;" · S"&amp;$AV64,"(Sin fecha)"),"")</f>
      </c>
      <c r="BA64" s="202">
        <f>IF(AND($C64,ISNUMBER($AR64),$AR64=$AS64),"Nuevo","")</f>
      </c>
      <c r="BB64" s="202">
        <f>IF(AND($C64,$AO64="Semanal",ISNUMBER($AV64)),$AV64*100000+ROW(),"")</f>
      </c>
      <c r="BC64" s="202">
        <f>IF(AND($C64,$AO64="Quincenal",ISNUMBER($AV64)),$AV64*100000+ROW(),"")</f>
      </c>
      <c r="BD64" s="202">
        <f>IF(AND($C64,$AO64="Mensual",ISNUMBER($AV64)),$AV64*100000+ROW(),"")</f>
      </c>
      <c r="BE64" s="203">
        <f>IF($C64,IF(ISBLANK('Backlog General'!$J64),"",'Backlog General'!$J64),"")</f>
      </c>
      <c r="BF64" s="203">
        <f>IF($C64,IF($BE64="","",$BE64)&amp;IF(AND($BE64&lt;&gt;"",$AH64&lt;&gt;"")," · ","")&amp;IF($AH64="","",$AH64),"")</f>
      </c>
      <c r="BG64" s="203">
        <f>IF($C64,IF($J64="Completado","Sí","No"),"")</f>
      </c>
      <c r="BH64" s="202">
        <f>IF(AND($C64,ISNUMBER($AR64)),IF($AO64="Semanal",1,IF($AO64="Quincenal",2,3))*1000000000+$AR64*100000+ROW(),"")</f>
      </c>
      <c r="BI64" s="202">
        <f>IF($C64,IF($AU64="Cancelado","",$I64),"")</f>
      </c>
      <c r="BJ64" s="202">
        <f>IF($C64,IFERROR(MATCH($D64,$D$7:$D$200,0)+6,ROW()),"")</f>
      </c>
      <c r="BK64" s="202">
        <f>IF(AND($C64,ISNUMBER($AV64)),$BJ64*1000000+$AV64*1000+ROW(),"")</f>
      </c>
      <c r="BL64" s="202">
        <f>IF(AND($C64,ISNUMBER($AW64)),ROUND(($AW64-('Sprints'!$C$5+('Sprints'!$E$5-1)*'Sprints'!$D$5))/'Sprints'!$D$5,0),"")</f>
      </c>
      <c r="BM64" s="203">
        <f>IF($C64,IF(NOT(ISNUMBER($BL64)),"",IF($BL64&lt;0,"Pasada",IF($BL64=0,"Actual",IF($BL64=1,"Siguiente",IF($BL64=2,"+2 sem",IF($BL64=3,"+3 sem","Posterior")))))),"")</f>
      </c>
      <c r="BN64" s="202">
        <f>IF(AND($C64,ISNUMBER($AR64),ISNUMBER($AV64)),MAX(1,$AV64-$AR64+1),0)</f>
        <v>0</v>
      </c>
      <c r="BO64" s="202">
        <f>SUM($BN$7:$BN64)-$BN64</f>
        <v>26</v>
      </c>
      <c r="BP64" s="202">
        <f>IF(AND($C64,ISNUMBER($AV64)),$AQ64+$AV64*$AP64*'Sprints'!$D$5-'Sprints'!$D$5,"")</f>
      </c>
      <c r="BQ64" s="202">
        <f>IF(AND($C64,ISNUMBER($BP64)),$BP64*1000+ROW(),"")</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IF($C65,IF('Backlog General'!$G65="Completada",1,IF('Backlog General'!$G65="Casi lista",0.75,IF('Backlog General'!$G65="En progreso",0.5,IF('Backlog General'!$G65="Iniciada",0.25,0)))),"")</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IF($C65,IF(ISBLANK('Backlog General'!$K65),"",'Backlog General'!$K65),"")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IF(AND($C65,ISNUMBER($AR65)),IF(AND(ISNUMBER('Backlog General'!$M65),'Backlog General'!$M65&gt;=$AR65),'Backlog General'!$M65,IF(AND($AU65="Pasa al siguiente",$AT65&lt;&gt;"Completada"),$AR65+1,$AR65)),"")</f>
      </c>
      <c r="AW65" s="202">
        <f>IF(AND($C65,ISNUMBER($AR65)),$AQ65+$AR65*$AP65*'Sprints'!$D$5-'Sprints'!$D$5,"")</f>
      </c>
      <c r="AX65" s="202">
        <f>IF($C65,IF(OR($AT65="Completada",$AU65="Cancelado",$AU65="Baja prioridad",NOT(ISNUMBER($AW65))),0,IF(TODAY()&gt;$AW65,NETWORKDAYS($AW65,TODAY(),'Sprints'!$L$5:$L$40)-1,0)),"")</f>
      </c>
      <c r="AY65" s="203">
        <f>IF($C65,IF(NOT(ISNUMBER($AR65)),"Sin fecha",IF($AT65="Completada","Completada",IF($AU65="Cancelado","Cancelado",IF($AU65="Baja prioridad","Baja prioridad",IF($AX65&gt;0,"Vencida","En curso"))))),"")</f>
      </c>
      <c r="AZ65" s="203">
        <f>IF($C65,IF(ISNUMBER($AV65),$AO65&amp;" · S"&amp;$AV65,"(Sin fecha)"),"")</f>
      </c>
      <c r="BA65" s="202">
        <f>IF(AND($C65,ISNUMBER($AR65),$AR65=$AS65),"Nuevo","")</f>
      </c>
      <c r="BB65" s="202">
        <f>IF(AND($C65,$AO65="Semanal",ISNUMBER($AV65)),$AV65*100000+ROW(),"")</f>
      </c>
      <c r="BC65" s="202">
        <f>IF(AND($C65,$AO65="Quincenal",ISNUMBER($AV65)),$AV65*100000+ROW(),"")</f>
      </c>
      <c r="BD65" s="202">
        <f>IF(AND($C65,$AO65="Mensual",ISNUMBER($AV65)),$AV65*100000+ROW(),"")</f>
      </c>
      <c r="BE65" s="203">
        <f>IF($C65,IF(ISBLANK('Backlog General'!$J65),"",'Backlog General'!$J65),"")</f>
      </c>
      <c r="BF65" s="203">
        <f>IF($C65,IF($BE65="","",$BE65)&amp;IF(AND($BE65&lt;&gt;"",$AH65&lt;&gt;"")," · ","")&amp;IF($AH65="","",$AH65),"")</f>
      </c>
      <c r="BG65" s="203">
        <f>IF($C65,IF($J65="Completado","Sí","No"),"")</f>
      </c>
      <c r="BH65" s="202">
        <f>IF(AND($C65,ISNUMBER($AR65)),IF($AO65="Semanal",1,IF($AO65="Quincenal",2,3))*1000000000+$AR65*100000+ROW(),"")</f>
      </c>
      <c r="BI65" s="202">
        <f>IF($C65,IF($AU65="Cancelado","",$I65),"")</f>
      </c>
      <c r="BJ65" s="202">
        <f>IF($C65,IFERROR(MATCH($D65,$D$7:$D$200,0)+6,ROW()),"")</f>
      </c>
      <c r="BK65" s="202">
        <f>IF(AND($C65,ISNUMBER($AV65)),$BJ65*1000000+$AV65*1000+ROW(),"")</f>
      </c>
      <c r="BL65" s="202">
        <f>IF(AND($C65,ISNUMBER($AW65)),ROUND(($AW65-('Sprints'!$C$5+('Sprints'!$E$5-1)*'Sprints'!$D$5))/'Sprints'!$D$5,0),"")</f>
      </c>
      <c r="BM65" s="203">
        <f>IF($C65,IF(NOT(ISNUMBER($BL65)),"",IF($BL65&lt;0,"Pasada",IF($BL65=0,"Actual",IF($BL65=1,"Siguiente",IF($BL65=2,"+2 sem",IF($BL65=3,"+3 sem","Posterior")))))),"")</f>
      </c>
      <c r="BN65" s="202">
        <f>IF(AND($C65,ISNUMBER($AR65),ISNUMBER($AV65)),MAX(1,$AV65-$AR65+1),0)</f>
        <v>0</v>
      </c>
      <c r="BO65" s="202">
        <f>SUM($BN$7:$BN65)-$BN65</f>
        <v>26</v>
      </c>
      <c r="BP65" s="202">
        <f>IF(AND($C65,ISNUMBER($AV65)),$AQ65+$AV65*$AP65*'Sprints'!$D$5-'Sprints'!$D$5,"")</f>
      </c>
      <c r="BQ65" s="202">
        <f>IF(AND($C65,ISNUMBER($BP65)),$BP65*1000+ROW(),"")</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IF($C66,IF('Backlog General'!$G66="Completada",1,IF('Backlog General'!$G66="Casi lista",0.75,IF('Backlog General'!$G66="En progreso",0.5,IF('Backlog General'!$G66="Iniciada",0.25,0)))),"")</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IF($C66,IF(ISBLANK('Backlog General'!$K66),"",'Backlog General'!$K66),"")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IF(AND($C66,ISNUMBER($AR66)),IF(AND(ISNUMBER('Backlog General'!$M66),'Backlog General'!$M66&gt;=$AR66),'Backlog General'!$M66,IF(AND($AU66="Pasa al siguiente",$AT66&lt;&gt;"Completada"),$AR66+1,$AR66)),"")</f>
      </c>
      <c r="AW66" s="202">
        <f>IF(AND($C66,ISNUMBER($AR66)),$AQ66+$AR66*$AP66*'Sprints'!$D$5-'Sprints'!$D$5,"")</f>
      </c>
      <c r="AX66" s="202">
        <f>IF($C66,IF(OR($AT66="Completada",$AU66="Cancelado",$AU66="Baja prioridad",NOT(ISNUMBER($AW66))),0,IF(TODAY()&gt;$AW66,NETWORKDAYS($AW66,TODAY(),'Sprints'!$L$5:$L$40)-1,0)),"")</f>
      </c>
      <c r="AY66" s="203">
        <f>IF($C66,IF(NOT(ISNUMBER($AR66)),"Sin fecha",IF($AT66="Completada","Completada",IF($AU66="Cancelado","Cancelado",IF($AU66="Baja prioridad","Baja prioridad",IF($AX66&gt;0,"Vencida","En curso"))))),"")</f>
      </c>
      <c r="AZ66" s="203">
        <f>IF($C66,IF(ISNUMBER($AV66),$AO66&amp;" · S"&amp;$AV66,"(Sin fecha)"),"")</f>
      </c>
      <c r="BA66" s="202">
        <f>IF(AND($C66,ISNUMBER($AR66),$AR66=$AS66),"Nuevo","")</f>
      </c>
      <c r="BB66" s="202">
        <f>IF(AND($C66,$AO66="Semanal",ISNUMBER($AV66)),$AV66*100000+ROW(),"")</f>
      </c>
      <c r="BC66" s="202">
        <f>IF(AND($C66,$AO66="Quincenal",ISNUMBER($AV66)),$AV66*100000+ROW(),"")</f>
      </c>
      <c r="BD66" s="202">
        <f>IF(AND($C66,$AO66="Mensual",ISNUMBER($AV66)),$AV66*100000+ROW(),"")</f>
      </c>
      <c r="BE66" s="203">
        <f>IF($C66,IF(ISBLANK('Backlog General'!$J66),"",'Backlog General'!$J66),"")</f>
      </c>
      <c r="BF66" s="203">
        <f>IF($C66,IF($BE66="","",$BE66)&amp;IF(AND($BE66&lt;&gt;"",$AH66&lt;&gt;"")," · ","")&amp;IF($AH66="","",$AH66),"")</f>
      </c>
      <c r="BG66" s="203">
        <f>IF($C66,IF($J66="Completado","Sí","No"),"")</f>
      </c>
      <c r="BH66" s="202">
        <f>IF(AND($C66,ISNUMBER($AR66)),IF($AO66="Semanal",1,IF($AO66="Quincenal",2,3))*1000000000+$AR66*100000+ROW(),"")</f>
      </c>
      <c r="BI66" s="202">
        <f>IF($C66,IF($AU66="Cancelado","",$I66),"")</f>
      </c>
      <c r="BJ66" s="202">
        <f>IF($C66,IFERROR(MATCH($D66,$D$7:$D$200,0)+6,ROW()),"")</f>
      </c>
      <c r="BK66" s="202">
        <f>IF(AND($C66,ISNUMBER($AV66)),$BJ66*1000000+$AV66*1000+ROW(),"")</f>
      </c>
      <c r="BL66" s="202">
        <f>IF(AND($C66,ISNUMBER($AW66)),ROUND(($AW66-('Sprints'!$C$5+('Sprints'!$E$5-1)*'Sprints'!$D$5))/'Sprints'!$D$5,0),"")</f>
      </c>
      <c r="BM66" s="203">
        <f>IF($C66,IF(NOT(ISNUMBER($BL66)),"",IF($BL66&lt;0,"Pasada",IF($BL66=0,"Actual",IF($BL66=1,"Siguiente",IF($BL66=2,"+2 sem",IF($BL66=3,"+3 sem","Posterior")))))),"")</f>
      </c>
      <c r="BN66" s="202">
        <f>IF(AND($C66,ISNUMBER($AR66),ISNUMBER($AV66)),MAX(1,$AV66-$AR66+1),0)</f>
        <v>0</v>
      </c>
      <c r="BO66" s="202">
        <f>SUM($BN$7:$BN66)-$BN66</f>
        <v>26</v>
      </c>
      <c r="BP66" s="202">
        <f>IF(AND($C66,ISNUMBER($AV66)),$AQ66+$AV66*$AP66*'Sprints'!$D$5-'Sprints'!$D$5,"")</f>
      </c>
      <c r="BQ66" s="202">
        <f>IF(AND($C66,ISNUMBER($BP66)),$BP66*1000+ROW(),"")</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IF($C67,IF('Backlog General'!$G67="Completada",1,IF('Backlog General'!$G67="Casi lista",0.75,IF('Backlog General'!$G67="En progreso",0.5,IF('Backlog General'!$G67="Iniciada",0.25,0)))),"")</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IF($C67,IF(ISBLANK('Backlog General'!$K67),"",'Backlog General'!$K67),"")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IF(AND($C67,ISNUMBER($AR67)),IF(AND(ISNUMBER('Backlog General'!$M67),'Backlog General'!$M67&gt;=$AR67),'Backlog General'!$M67,IF(AND($AU67="Pasa al siguiente",$AT67&lt;&gt;"Completada"),$AR67+1,$AR67)),"")</f>
      </c>
      <c r="AW67" s="202">
        <f>IF(AND($C67,ISNUMBER($AR67)),$AQ67+$AR67*$AP67*'Sprints'!$D$5-'Sprints'!$D$5,"")</f>
      </c>
      <c r="AX67" s="202">
        <f>IF($C67,IF(OR($AT67="Completada",$AU67="Cancelado",$AU67="Baja prioridad",NOT(ISNUMBER($AW67))),0,IF(TODAY()&gt;$AW67,NETWORKDAYS($AW67,TODAY(),'Sprints'!$L$5:$L$40)-1,0)),"")</f>
      </c>
      <c r="AY67" s="203">
        <f>IF($C67,IF(NOT(ISNUMBER($AR67)),"Sin fecha",IF($AT67="Completada","Completada",IF($AU67="Cancelado","Cancelado",IF($AU67="Baja prioridad","Baja prioridad",IF($AX67&gt;0,"Vencida","En curso"))))),"")</f>
      </c>
      <c r="AZ67" s="203">
        <f>IF($C67,IF(ISNUMBER($AV67),$AO67&amp;" · S"&amp;$AV67,"(Sin fecha)"),"")</f>
      </c>
      <c r="BA67" s="202">
        <f>IF(AND($C67,ISNUMBER($AR67),$AR67=$AS67),"Nuevo","")</f>
      </c>
      <c r="BB67" s="202">
        <f>IF(AND($C67,$AO67="Semanal",ISNUMBER($AV67)),$AV67*100000+ROW(),"")</f>
      </c>
      <c r="BC67" s="202">
        <f>IF(AND($C67,$AO67="Quincenal",ISNUMBER($AV67)),$AV67*100000+ROW(),"")</f>
      </c>
      <c r="BD67" s="202">
        <f>IF(AND($C67,$AO67="Mensual",ISNUMBER($AV67)),$AV67*100000+ROW(),"")</f>
      </c>
      <c r="BE67" s="203">
        <f>IF($C67,IF(ISBLANK('Backlog General'!$J67),"",'Backlog General'!$J67),"")</f>
      </c>
      <c r="BF67" s="203">
        <f>IF($C67,IF($BE67="","",$BE67)&amp;IF(AND($BE67&lt;&gt;"",$AH67&lt;&gt;"")," · ","")&amp;IF($AH67="","",$AH67),"")</f>
      </c>
      <c r="BG67" s="203">
        <f>IF($C67,IF($J67="Completado","Sí","No"),"")</f>
      </c>
      <c r="BH67" s="202">
        <f>IF(AND($C67,ISNUMBER($AR67)),IF($AO67="Semanal",1,IF($AO67="Quincenal",2,3))*1000000000+$AR67*100000+ROW(),"")</f>
      </c>
      <c r="BI67" s="202">
        <f>IF($C67,IF($AU67="Cancelado","",$I67),"")</f>
      </c>
      <c r="BJ67" s="202">
        <f>IF($C67,IFERROR(MATCH($D67,$D$7:$D$200,0)+6,ROW()),"")</f>
      </c>
      <c r="BK67" s="202">
        <f>IF(AND($C67,ISNUMBER($AV67)),$BJ67*1000000+$AV67*1000+ROW(),"")</f>
      </c>
      <c r="BL67" s="202">
        <f>IF(AND($C67,ISNUMBER($AW67)),ROUND(($AW67-('Sprints'!$C$5+('Sprints'!$E$5-1)*'Sprints'!$D$5))/'Sprints'!$D$5,0),"")</f>
      </c>
      <c r="BM67" s="203">
        <f>IF($C67,IF(NOT(ISNUMBER($BL67)),"",IF($BL67&lt;0,"Pasada",IF($BL67=0,"Actual",IF($BL67=1,"Siguiente",IF($BL67=2,"+2 sem",IF($BL67=3,"+3 sem","Posterior")))))),"")</f>
      </c>
      <c r="BN67" s="202">
        <f>IF(AND($C67,ISNUMBER($AR67),ISNUMBER($AV67)),MAX(1,$AV67-$AR67+1),0)</f>
        <v>0</v>
      </c>
      <c r="BO67" s="202">
        <f>SUM($BN$7:$BN67)-$BN67</f>
        <v>26</v>
      </c>
      <c r="BP67" s="202">
        <f>IF(AND($C67,ISNUMBER($AV67)),$AQ67+$AV67*$AP67*'Sprints'!$D$5-'Sprints'!$D$5,"")</f>
      </c>
      <c r="BQ67" s="202">
        <f>IF(AND($C67,ISNUMBER($BP67)),$BP67*1000+ROW(),"")</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IF($C68,IF('Backlog General'!$G68="Completada",1,IF('Backlog General'!$G68="Casi lista",0.75,IF('Backlog General'!$G68="En progreso",0.5,IF('Backlog General'!$G68="Iniciada",0.25,0)))),"")</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IF($C68,IF(ISBLANK('Backlog General'!$K68),"",'Backlog General'!$K68),"")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IF(AND($C68,ISNUMBER($AR68)),IF(AND(ISNUMBER('Backlog General'!$M68),'Backlog General'!$M68&gt;=$AR68),'Backlog General'!$M68,IF(AND($AU68="Pasa al siguiente",$AT68&lt;&gt;"Completada"),$AR68+1,$AR68)),"")</f>
      </c>
      <c r="AW68" s="202">
        <f>IF(AND($C68,ISNUMBER($AR68)),$AQ68+$AR68*$AP68*'Sprints'!$D$5-'Sprints'!$D$5,"")</f>
      </c>
      <c r="AX68" s="202">
        <f>IF($C68,IF(OR($AT68="Completada",$AU68="Cancelado",$AU68="Baja prioridad",NOT(ISNUMBER($AW68))),0,IF(TODAY()&gt;$AW68,NETWORKDAYS($AW68,TODAY(),'Sprints'!$L$5:$L$40)-1,0)),"")</f>
      </c>
      <c r="AY68" s="203">
        <f>IF($C68,IF(NOT(ISNUMBER($AR68)),"Sin fecha",IF($AT68="Completada","Completada",IF($AU68="Cancelado","Cancelado",IF($AU68="Baja prioridad","Baja prioridad",IF($AX68&gt;0,"Vencida","En curso"))))),"")</f>
      </c>
      <c r="AZ68" s="203">
        <f>IF($C68,IF(ISNUMBER($AV68),$AO68&amp;" · S"&amp;$AV68,"(Sin fecha)"),"")</f>
      </c>
      <c r="BA68" s="202">
        <f>IF(AND($C68,ISNUMBER($AR68),$AR68=$AS68),"Nuevo","")</f>
      </c>
      <c r="BB68" s="202">
        <f>IF(AND($C68,$AO68="Semanal",ISNUMBER($AV68)),$AV68*100000+ROW(),"")</f>
      </c>
      <c r="BC68" s="202">
        <f>IF(AND($C68,$AO68="Quincenal",ISNUMBER($AV68)),$AV68*100000+ROW(),"")</f>
      </c>
      <c r="BD68" s="202">
        <f>IF(AND($C68,$AO68="Mensual",ISNUMBER($AV68)),$AV68*100000+ROW(),"")</f>
      </c>
      <c r="BE68" s="203">
        <f>IF($C68,IF(ISBLANK('Backlog General'!$J68),"",'Backlog General'!$J68),"")</f>
      </c>
      <c r="BF68" s="203">
        <f>IF($C68,IF($BE68="","",$BE68)&amp;IF(AND($BE68&lt;&gt;"",$AH68&lt;&gt;"")," · ","")&amp;IF($AH68="","",$AH68),"")</f>
      </c>
      <c r="BG68" s="203">
        <f>IF($C68,IF($J68="Completado","Sí","No"),"")</f>
      </c>
      <c r="BH68" s="202">
        <f>IF(AND($C68,ISNUMBER($AR68)),IF($AO68="Semanal",1,IF($AO68="Quincenal",2,3))*1000000000+$AR68*100000+ROW(),"")</f>
      </c>
      <c r="BI68" s="202">
        <f>IF($C68,IF($AU68="Cancelado","",$I68),"")</f>
      </c>
      <c r="BJ68" s="202">
        <f>IF($C68,IFERROR(MATCH($D68,$D$7:$D$200,0)+6,ROW()),"")</f>
      </c>
      <c r="BK68" s="202">
        <f>IF(AND($C68,ISNUMBER($AV68)),$BJ68*1000000+$AV68*1000+ROW(),"")</f>
      </c>
      <c r="BL68" s="202">
        <f>IF(AND($C68,ISNUMBER($AW68)),ROUND(($AW68-('Sprints'!$C$5+('Sprints'!$E$5-1)*'Sprints'!$D$5))/'Sprints'!$D$5,0),"")</f>
      </c>
      <c r="BM68" s="203">
        <f>IF($C68,IF(NOT(ISNUMBER($BL68)),"",IF($BL68&lt;0,"Pasada",IF($BL68=0,"Actual",IF($BL68=1,"Siguiente",IF($BL68=2,"+2 sem",IF($BL68=3,"+3 sem","Posterior")))))),"")</f>
      </c>
      <c r="BN68" s="202">
        <f>IF(AND($C68,ISNUMBER($AR68),ISNUMBER($AV68)),MAX(1,$AV68-$AR68+1),0)</f>
        <v>0</v>
      </c>
      <c r="BO68" s="202">
        <f>SUM($BN$7:$BN68)-$BN68</f>
        <v>26</v>
      </c>
      <c r="BP68" s="202">
        <f>IF(AND($C68,ISNUMBER($AV68)),$AQ68+$AV68*$AP68*'Sprints'!$D$5-'Sprints'!$D$5,"")</f>
      </c>
      <c r="BQ68" s="202">
        <f>IF(AND($C68,ISNUMBER($BP68)),$BP68*1000+ROW(),"")</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IF($C69,IF('Backlog General'!$G69="Completada",1,IF('Backlog General'!$G69="Casi lista",0.75,IF('Backlog General'!$G69="En progreso",0.5,IF('Backlog General'!$G69="Iniciada",0.25,0)))),"")</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IF($C69,IF(ISBLANK('Backlog General'!$K69),"",'Backlog General'!$K69),"")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IF(AND($C69,ISNUMBER($AR69)),IF(AND(ISNUMBER('Backlog General'!$M69),'Backlog General'!$M69&gt;=$AR69),'Backlog General'!$M69,IF(AND($AU69="Pasa al siguiente",$AT69&lt;&gt;"Completada"),$AR69+1,$AR69)),"")</f>
      </c>
      <c r="AW69" s="202">
        <f>IF(AND($C69,ISNUMBER($AR69)),$AQ69+$AR69*$AP69*'Sprints'!$D$5-'Sprints'!$D$5,"")</f>
      </c>
      <c r="AX69" s="202">
        <f>IF($C69,IF(OR($AT69="Completada",$AU69="Cancelado",$AU69="Baja prioridad",NOT(ISNUMBER($AW69))),0,IF(TODAY()&gt;$AW69,NETWORKDAYS($AW69,TODAY(),'Sprints'!$L$5:$L$40)-1,0)),"")</f>
      </c>
      <c r="AY69" s="203">
        <f>IF($C69,IF(NOT(ISNUMBER($AR69)),"Sin fecha",IF($AT69="Completada","Completada",IF($AU69="Cancelado","Cancelado",IF($AU69="Baja prioridad","Baja prioridad",IF($AX69&gt;0,"Vencida","En curso"))))),"")</f>
      </c>
      <c r="AZ69" s="203">
        <f>IF($C69,IF(ISNUMBER($AV69),$AO69&amp;" · S"&amp;$AV69,"(Sin fecha)"),"")</f>
      </c>
      <c r="BA69" s="202">
        <f>IF(AND($C69,ISNUMBER($AR69),$AR69=$AS69),"Nuevo","")</f>
      </c>
      <c r="BB69" s="202">
        <f>IF(AND($C69,$AO69="Semanal",ISNUMBER($AV69)),$AV69*100000+ROW(),"")</f>
      </c>
      <c r="BC69" s="202">
        <f>IF(AND($C69,$AO69="Quincenal",ISNUMBER($AV69)),$AV69*100000+ROW(),"")</f>
      </c>
      <c r="BD69" s="202">
        <f>IF(AND($C69,$AO69="Mensual",ISNUMBER($AV69)),$AV69*100000+ROW(),"")</f>
      </c>
      <c r="BE69" s="203">
        <f>IF($C69,IF(ISBLANK('Backlog General'!$J69),"",'Backlog General'!$J69),"")</f>
      </c>
      <c r="BF69" s="203">
        <f>IF($C69,IF($BE69="","",$BE69)&amp;IF(AND($BE69&lt;&gt;"",$AH69&lt;&gt;"")," · ","")&amp;IF($AH69="","",$AH69),"")</f>
      </c>
      <c r="BG69" s="203">
        <f>IF($C69,IF($J69="Completado","Sí","No"),"")</f>
      </c>
      <c r="BH69" s="202">
        <f>IF(AND($C69,ISNUMBER($AR69)),IF($AO69="Semanal",1,IF($AO69="Quincenal",2,3))*1000000000+$AR69*100000+ROW(),"")</f>
      </c>
      <c r="BI69" s="202">
        <f>IF($C69,IF($AU69="Cancelado","",$I69),"")</f>
      </c>
      <c r="BJ69" s="202">
        <f>IF($C69,IFERROR(MATCH($D69,$D$7:$D$200,0)+6,ROW()),"")</f>
      </c>
      <c r="BK69" s="202">
        <f>IF(AND($C69,ISNUMBER($AV69)),$BJ69*1000000+$AV69*1000+ROW(),"")</f>
      </c>
      <c r="BL69" s="202">
        <f>IF(AND($C69,ISNUMBER($AW69)),ROUND(($AW69-('Sprints'!$C$5+('Sprints'!$E$5-1)*'Sprints'!$D$5))/'Sprints'!$D$5,0),"")</f>
      </c>
      <c r="BM69" s="203">
        <f>IF($C69,IF(NOT(ISNUMBER($BL69)),"",IF($BL69&lt;0,"Pasada",IF($BL69=0,"Actual",IF($BL69=1,"Siguiente",IF($BL69=2,"+2 sem",IF($BL69=3,"+3 sem","Posterior")))))),"")</f>
      </c>
      <c r="BN69" s="202">
        <f>IF(AND($C69,ISNUMBER($AR69),ISNUMBER($AV69)),MAX(1,$AV69-$AR69+1),0)</f>
        <v>0</v>
      </c>
      <c r="BO69" s="202">
        <f>SUM($BN$7:$BN69)-$BN69</f>
        <v>26</v>
      </c>
      <c r="BP69" s="202">
        <f>IF(AND($C69,ISNUMBER($AV69)),$AQ69+$AV69*$AP69*'Sprints'!$D$5-'Sprints'!$D$5,"")</f>
      </c>
      <c r="BQ69" s="202">
        <f>IF(AND($C69,ISNUMBER($BP69)),$BP69*1000+ROW(),"")</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IF($C70,IF('Backlog General'!$G70="Completada",1,IF('Backlog General'!$G70="Casi lista",0.75,IF('Backlog General'!$G70="En progreso",0.5,IF('Backlog General'!$G70="Iniciada",0.25,0)))),"")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IF($C70,IF(ISBLANK('Backlog General'!$K70),"",'Backlog General'!$K70),"")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IF(AND($C70,ISNUMBER($AR70)),IF(AND(ISNUMBER('Backlog General'!$M70),'Backlog General'!$M70&gt;=$AR70),'Backlog General'!$M70,IF(AND($AU70="Pasa al siguiente",$AT70&lt;&gt;"Completada"),$AR70+1,$AR70)),"")</f>
      </c>
      <c r="AW70" s="202">
        <f>IF(AND($C70,ISNUMBER($AR70)),$AQ70+$AR70*$AP70*'Sprints'!$D$5-'Sprints'!$D$5,"")</f>
      </c>
      <c r="AX70" s="202">
        <f>IF($C70,IF(OR($AT70="Completada",$AU70="Cancelado",$AU70="Baja prioridad",NOT(ISNUMBER($AW70))),0,IF(TODAY()&gt;$AW70,NETWORKDAYS($AW70,TODAY(),'Sprints'!$L$5:$L$40)-1,0)),"")</f>
      </c>
      <c r="AY70" s="203">
        <f>IF($C70,IF(NOT(ISNUMBER($AR70)),"Sin fecha",IF($AT70="Completada","Completada",IF($AU70="Cancelado","Cancelado",IF($AU70="Baja prioridad","Baja prioridad",IF($AX70&gt;0,"Vencida","En curso"))))),"")</f>
      </c>
      <c r="AZ70" s="203">
        <f>IF($C70,IF(ISNUMBER($AV70),$AO70&amp;" · S"&amp;$AV70,"(Sin fecha)"),"")</f>
      </c>
      <c r="BA70" s="202">
        <f>IF(AND($C70,ISNUMBER($AR70),$AR70=$AS70),"Nuevo","")</f>
      </c>
      <c r="BB70" s="202">
        <f>IF(AND($C70,$AO70="Semanal",ISNUMBER($AV70)),$AV70*100000+ROW(),"")</f>
      </c>
      <c r="BC70" s="202">
        <f>IF(AND($C70,$AO70="Quincenal",ISNUMBER($AV70)),$AV70*100000+ROW(),"")</f>
      </c>
      <c r="BD70" s="202">
        <f>IF(AND($C70,$AO70="Mensual",ISNUMBER($AV70)),$AV70*100000+ROW(),"")</f>
      </c>
      <c r="BE70" s="203">
        <f>IF($C70,IF(ISBLANK('Backlog General'!$J70),"",'Backlog General'!$J70),"")</f>
      </c>
      <c r="BF70" s="203">
        <f>IF($C70,IF($BE70="","",$BE70)&amp;IF(AND($BE70&lt;&gt;"",$AH70&lt;&gt;"")," · ","")&amp;IF($AH70="","",$AH70),"")</f>
      </c>
      <c r="BG70" s="203">
        <f>IF($C70,IF($J70="Completado","Sí","No"),"")</f>
      </c>
      <c r="BH70" s="202">
        <f>IF(AND($C70,ISNUMBER($AR70)),IF($AO70="Semanal",1,IF($AO70="Quincenal",2,3))*1000000000+$AR70*100000+ROW(),"")</f>
      </c>
      <c r="BI70" s="202">
        <f>IF($C70,IF($AU70="Cancelado","",$I70),"")</f>
      </c>
      <c r="BJ70" s="202">
        <f>IF($C70,IFERROR(MATCH($D70,$D$7:$D$200,0)+6,ROW()),"")</f>
      </c>
      <c r="BK70" s="202">
        <f>IF(AND($C70,ISNUMBER($AV70)),$BJ70*1000000+$AV70*1000+ROW(),"")</f>
      </c>
      <c r="BL70" s="202">
        <f>IF(AND($C70,ISNUMBER($AW70)),ROUND(($AW70-('Sprints'!$C$5+('Sprints'!$E$5-1)*'Sprints'!$D$5))/'Sprints'!$D$5,0),"")</f>
      </c>
      <c r="BM70" s="203">
        <f>IF($C70,IF(NOT(ISNUMBER($BL70)),"",IF($BL70&lt;0,"Pasada",IF($BL70=0,"Actual",IF($BL70=1,"Siguiente",IF($BL70=2,"+2 sem",IF($BL70=3,"+3 sem","Posterior")))))),"")</f>
      </c>
      <c r="BN70" s="202">
        <f>IF(AND($C70,ISNUMBER($AR70),ISNUMBER($AV70)),MAX(1,$AV70-$AR70+1),0)</f>
        <v>0</v>
      </c>
      <c r="BO70" s="202">
        <f>SUM($BN$7:$BN70)-$BN70</f>
        <v>26</v>
      </c>
      <c r="BP70" s="202">
        <f>IF(AND($C70,ISNUMBER($AV70)),$AQ70+$AV70*$AP70*'Sprints'!$D$5-'Sprints'!$D$5,"")</f>
      </c>
      <c r="BQ70" s="202">
        <f>IF(AND($C70,ISNUMBER($BP70)),$BP70*1000+ROW(),"")</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IF($C71,IF('Backlog General'!$G71="Completada",1,IF('Backlog General'!$G71="Casi lista",0.75,IF('Backlog General'!$G71="En progreso",0.5,IF('Backlog General'!$G71="Iniciada",0.25,0)))),"")</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IF($C71,IF(ISBLANK('Backlog General'!$K71),"",'Backlog General'!$K71),"")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IF(AND($C71,ISNUMBER($AR71)),IF(AND(ISNUMBER('Backlog General'!$M71),'Backlog General'!$M71&gt;=$AR71),'Backlog General'!$M71,IF(AND($AU71="Pasa al siguiente",$AT71&lt;&gt;"Completada"),$AR71+1,$AR71)),"")</f>
      </c>
      <c r="AW71" s="202">
        <f>IF(AND($C71,ISNUMBER($AR71)),$AQ71+$AR71*$AP71*'Sprints'!$D$5-'Sprints'!$D$5,"")</f>
      </c>
      <c r="AX71" s="202">
        <f>IF($C71,IF(OR($AT71="Completada",$AU71="Cancelado",$AU71="Baja prioridad",NOT(ISNUMBER($AW71))),0,IF(TODAY()&gt;$AW71,NETWORKDAYS($AW71,TODAY(),'Sprints'!$L$5:$L$40)-1,0)),"")</f>
      </c>
      <c r="AY71" s="203">
        <f>IF($C71,IF(NOT(ISNUMBER($AR71)),"Sin fecha",IF($AT71="Completada","Completada",IF($AU71="Cancelado","Cancelado",IF($AU71="Baja prioridad","Baja prioridad",IF($AX71&gt;0,"Vencida","En curso"))))),"")</f>
      </c>
      <c r="AZ71" s="203">
        <f>IF($C71,IF(ISNUMBER($AV71),$AO71&amp;" · S"&amp;$AV71,"(Sin fecha)"),"")</f>
      </c>
      <c r="BA71" s="202">
        <f>IF(AND($C71,ISNUMBER($AR71),$AR71=$AS71),"Nuevo","")</f>
      </c>
      <c r="BB71" s="202">
        <f>IF(AND($C71,$AO71="Semanal",ISNUMBER($AV71)),$AV71*100000+ROW(),"")</f>
      </c>
      <c r="BC71" s="202">
        <f>IF(AND($C71,$AO71="Quincenal",ISNUMBER($AV71)),$AV71*100000+ROW(),"")</f>
      </c>
      <c r="BD71" s="202">
        <f>IF(AND($C71,$AO71="Mensual",ISNUMBER($AV71)),$AV71*100000+ROW(),"")</f>
      </c>
      <c r="BE71" s="203">
        <f>IF($C71,IF(ISBLANK('Backlog General'!$J71),"",'Backlog General'!$J71),"")</f>
      </c>
      <c r="BF71" s="203">
        <f>IF($C71,IF($BE71="","",$BE71)&amp;IF(AND($BE71&lt;&gt;"",$AH71&lt;&gt;"")," · ","")&amp;IF($AH71="","",$AH71),"")</f>
      </c>
      <c r="BG71" s="203">
        <f>IF($C71,IF($J71="Completado","Sí","No"),"")</f>
      </c>
      <c r="BH71" s="202">
        <f>IF(AND($C71,ISNUMBER($AR71)),IF($AO71="Semanal",1,IF($AO71="Quincenal",2,3))*1000000000+$AR71*100000+ROW(),"")</f>
      </c>
      <c r="BI71" s="202">
        <f>IF($C71,IF($AU71="Cancelado","",$I71),"")</f>
      </c>
      <c r="BJ71" s="202">
        <f>IF($C71,IFERROR(MATCH($D71,$D$7:$D$200,0)+6,ROW()),"")</f>
      </c>
      <c r="BK71" s="202">
        <f>IF(AND($C71,ISNUMBER($AV71)),$BJ71*1000000+$AV71*1000+ROW(),"")</f>
      </c>
      <c r="BL71" s="202">
        <f>IF(AND($C71,ISNUMBER($AW71)),ROUND(($AW71-('Sprints'!$C$5+('Sprints'!$E$5-1)*'Sprints'!$D$5))/'Sprints'!$D$5,0),"")</f>
      </c>
      <c r="BM71" s="203">
        <f>IF($C71,IF(NOT(ISNUMBER($BL71)),"",IF($BL71&lt;0,"Pasada",IF($BL71=0,"Actual",IF($BL71=1,"Siguiente",IF($BL71=2,"+2 sem",IF($BL71=3,"+3 sem","Posterior")))))),"")</f>
      </c>
      <c r="BN71" s="202">
        <f>IF(AND($C71,ISNUMBER($AR71),ISNUMBER($AV71)),MAX(1,$AV71-$AR71+1),0)</f>
        <v>0</v>
      </c>
      <c r="BO71" s="202">
        <f>SUM($BN$7:$BN71)-$BN71</f>
        <v>26</v>
      </c>
      <c r="BP71" s="202">
        <f>IF(AND($C71,ISNUMBER($AV71)),$AQ71+$AV71*$AP71*'Sprints'!$D$5-'Sprints'!$D$5,"")</f>
      </c>
      <c r="BQ71" s="202">
        <f>IF(AND($C71,ISNUMBER($BP71)),$BP71*1000+ROW(),"")</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IF($C72,IF('Backlog General'!$G72="Completada",1,IF('Backlog General'!$G72="Casi lista",0.75,IF('Backlog General'!$G72="En progreso",0.5,IF('Backlog General'!$G72="Iniciada",0.25,0)))),"")</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IF($C72,IF(ISBLANK('Backlog General'!$K72),"",'Backlog General'!$K72),"")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IF(AND($C72,ISNUMBER($AR72)),IF(AND(ISNUMBER('Backlog General'!$M72),'Backlog General'!$M72&gt;=$AR72),'Backlog General'!$M72,IF(AND($AU72="Pasa al siguiente",$AT72&lt;&gt;"Completada"),$AR72+1,$AR72)),"")</f>
      </c>
      <c r="AW72" s="202">
        <f>IF(AND($C72,ISNUMBER($AR72)),$AQ72+$AR72*$AP72*'Sprints'!$D$5-'Sprints'!$D$5,"")</f>
      </c>
      <c r="AX72" s="202">
        <f>IF($C72,IF(OR($AT72="Completada",$AU72="Cancelado",$AU72="Baja prioridad",NOT(ISNUMBER($AW72))),0,IF(TODAY()&gt;$AW72,NETWORKDAYS($AW72,TODAY(),'Sprints'!$L$5:$L$40)-1,0)),"")</f>
      </c>
      <c r="AY72" s="203">
        <f>IF($C72,IF(NOT(ISNUMBER($AR72)),"Sin fecha",IF($AT72="Completada","Completada",IF($AU72="Cancelado","Cancelado",IF($AU72="Baja prioridad","Baja prioridad",IF($AX72&gt;0,"Vencida","En curso"))))),"")</f>
      </c>
      <c r="AZ72" s="203">
        <f>IF($C72,IF(ISNUMBER($AV72),$AO72&amp;" · S"&amp;$AV72,"(Sin fecha)"),"")</f>
      </c>
      <c r="BA72" s="202">
        <f>IF(AND($C72,ISNUMBER($AR72),$AR72=$AS72),"Nuevo","")</f>
      </c>
      <c r="BB72" s="202">
        <f>IF(AND($C72,$AO72="Semanal",ISNUMBER($AV72)),$AV72*100000+ROW(),"")</f>
      </c>
      <c r="BC72" s="202">
        <f>IF(AND($C72,$AO72="Quincenal",ISNUMBER($AV72)),$AV72*100000+ROW(),"")</f>
      </c>
      <c r="BD72" s="202">
        <f>IF(AND($C72,$AO72="Mensual",ISNUMBER($AV72)),$AV72*100000+ROW(),"")</f>
      </c>
      <c r="BE72" s="203">
        <f>IF($C72,IF(ISBLANK('Backlog General'!$J72),"",'Backlog General'!$J72),"")</f>
      </c>
      <c r="BF72" s="203">
        <f>IF($C72,IF($BE72="","",$BE72)&amp;IF(AND($BE72&lt;&gt;"",$AH72&lt;&gt;"")," · ","")&amp;IF($AH72="","",$AH72),"")</f>
      </c>
      <c r="BG72" s="203">
        <f>IF($C72,IF($J72="Completado","Sí","No"),"")</f>
      </c>
      <c r="BH72" s="202">
        <f>IF(AND($C72,ISNUMBER($AR72)),IF($AO72="Semanal",1,IF($AO72="Quincenal",2,3))*1000000000+$AR72*100000+ROW(),"")</f>
      </c>
      <c r="BI72" s="202">
        <f>IF($C72,IF($AU72="Cancelado","",$I72),"")</f>
      </c>
      <c r="BJ72" s="202">
        <f>IF($C72,IFERROR(MATCH($D72,$D$7:$D$200,0)+6,ROW()),"")</f>
      </c>
      <c r="BK72" s="202">
        <f>IF(AND($C72,ISNUMBER($AV72)),$BJ72*1000000+$AV72*1000+ROW(),"")</f>
      </c>
      <c r="BL72" s="202">
        <f>IF(AND($C72,ISNUMBER($AW72)),ROUND(($AW72-('Sprints'!$C$5+('Sprints'!$E$5-1)*'Sprints'!$D$5))/'Sprints'!$D$5,0),"")</f>
      </c>
      <c r="BM72" s="203">
        <f>IF($C72,IF(NOT(ISNUMBER($BL72)),"",IF($BL72&lt;0,"Pasada",IF($BL72=0,"Actual",IF($BL72=1,"Siguiente",IF($BL72=2,"+2 sem",IF($BL72=3,"+3 sem","Posterior")))))),"")</f>
      </c>
      <c r="BN72" s="202">
        <f>IF(AND($C72,ISNUMBER($AR72),ISNUMBER($AV72)),MAX(1,$AV72-$AR72+1),0)</f>
        <v>0</v>
      </c>
      <c r="BO72" s="202">
        <f>SUM($BN$7:$BN72)-$BN72</f>
        <v>26</v>
      </c>
      <c r="BP72" s="202">
        <f>IF(AND($C72,ISNUMBER($AV72)),$AQ72+$AV72*$AP72*'Sprints'!$D$5-'Sprints'!$D$5,"")</f>
      </c>
      <c r="BQ72" s="202">
        <f>IF(AND($C72,ISNUMBER($BP72)),$BP72*1000+ROW(),"")</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IF($C73,IF('Backlog General'!$G73="Completada",1,IF('Backlog General'!$G73="Casi lista",0.75,IF('Backlog General'!$G73="En progreso",0.5,IF('Backlog General'!$G73="Iniciada",0.25,0)))),"")</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IF($C73,IF(ISBLANK('Backlog General'!$K73),"",'Backlog General'!$K73),"")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IF(AND($C73,ISNUMBER($AR73)),IF(AND(ISNUMBER('Backlog General'!$M73),'Backlog General'!$M73&gt;=$AR73),'Backlog General'!$M73,IF(AND($AU73="Pasa al siguiente",$AT73&lt;&gt;"Completada"),$AR73+1,$AR73)),"")</f>
      </c>
      <c r="AW73" s="202">
        <f>IF(AND($C73,ISNUMBER($AR73)),$AQ73+$AR73*$AP73*'Sprints'!$D$5-'Sprints'!$D$5,"")</f>
      </c>
      <c r="AX73" s="202">
        <f>IF($C73,IF(OR($AT73="Completada",$AU73="Cancelado",$AU73="Baja prioridad",NOT(ISNUMBER($AW73))),0,IF(TODAY()&gt;$AW73,NETWORKDAYS($AW73,TODAY(),'Sprints'!$L$5:$L$40)-1,0)),"")</f>
      </c>
      <c r="AY73" s="203">
        <f>IF($C73,IF(NOT(ISNUMBER($AR73)),"Sin fecha",IF($AT73="Completada","Completada",IF($AU73="Cancelado","Cancelado",IF($AU73="Baja prioridad","Baja prioridad",IF($AX73&gt;0,"Vencida","En curso"))))),"")</f>
      </c>
      <c r="AZ73" s="203">
        <f>IF($C73,IF(ISNUMBER($AV73),$AO73&amp;" · S"&amp;$AV73,"(Sin fecha)"),"")</f>
      </c>
      <c r="BA73" s="202">
        <f>IF(AND($C73,ISNUMBER($AR73),$AR73=$AS73),"Nuevo","")</f>
      </c>
      <c r="BB73" s="202">
        <f>IF(AND($C73,$AO73="Semanal",ISNUMBER($AV73)),$AV73*100000+ROW(),"")</f>
      </c>
      <c r="BC73" s="202">
        <f>IF(AND($C73,$AO73="Quincenal",ISNUMBER($AV73)),$AV73*100000+ROW(),"")</f>
      </c>
      <c r="BD73" s="202">
        <f>IF(AND($C73,$AO73="Mensual",ISNUMBER($AV73)),$AV73*100000+ROW(),"")</f>
      </c>
      <c r="BE73" s="203">
        <f>IF($C73,IF(ISBLANK('Backlog General'!$J73),"",'Backlog General'!$J73),"")</f>
      </c>
      <c r="BF73" s="203">
        <f>IF($C73,IF($BE73="","",$BE73)&amp;IF(AND($BE73&lt;&gt;"",$AH73&lt;&gt;"")," · ","")&amp;IF($AH73="","",$AH73),"")</f>
      </c>
      <c r="BG73" s="203">
        <f>IF($C73,IF($J73="Completado","Sí","No"),"")</f>
      </c>
      <c r="BH73" s="202">
        <f>IF(AND($C73,ISNUMBER($AR73)),IF($AO73="Semanal",1,IF($AO73="Quincenal",2,3))*1000000000+$AR73*100000+ROW(),"")</f>
      </c>
      <c r="BI73" s="202">
        <f>IF($C73,IF($AU73="Cancelado","",$I73),"")</f>
      </c>
      <c r="BJ73" s="202">
        <f>IF($C73,IFERROR(MATCH($D73,$D$7:$D$200,0)+6,ROW()),"")</f>
      </c>
      <c r="BK73" s="202">
        <f>IF(AND($C73,ISNUMBER($AV73)),$BJ73*1000000+$AV73*1000+ROW(),"")</f>
      </c>
      <c r="BL73" s="202">
        <f>IF(AND($C73,ISNUMBER($AW73)),ROUND(($AW73-('Sprints'!$C$5+('Sprints'!$E$5-1)*'Sprints'!$D$5))/'Sprints'!$D$5,0),"")</f>
      </c>
      <c r="BM73" s="203">
        <f>IF($C73,IF(NOT(ISNUMBER($BL73)),"",IF($BL73&lt;0,"Pasada",IF($BL73=0,"Actual",IF($BL73=1,"Siguiente",IF($BL73=2,"+2 sem",IF($BL73=3,"+3 sem","Posterior")))))),"")</f>
      </c>
      <c r="BN73" s="202">
        <f>IF(AND($C73,ISNUMBER($AR73),ISNUMBER($AV73)),MAX(1,$AV73-$AR73+1),0)</f>
        <v>0</v>
      </c>
      <c r="BO73" s="202">
        <f>SUM($BN$7:$BN73)-$BN73</f>
        <v>26</v>
      </c>
      <c r="BP73" s="202">
        <f>IF(AND($C73,ISNUMBER($AV73)),$AQ73+$AV73*$AP73*'Sprints'!$D$5-'Sprints'!$D$5,"")</f>
      </c>
      <c r="BQ73" s="202">
        <f>IF(AND($C73,ISNUMBER($BP73)),$BP73*1000+ROW(),"")</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IF($C74,IF('Backlog General'!$G74="Completada",1,IF('Backlog General'!$G74="Casi lista",0.75,IF('Backlog General'!$G74="En progreso",0.5,IF('Backlog General'!$G74="Iniciada",0.25,0)))),"")</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IF($C74,IF(ISBLANK('Backlog General'!$K74),"",'Backlog General'!$K74),"")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IF(AND($C74,ISNUMBER($AR74)),IF(AND(ISNUMBER('Backlog General'!$M74),'Backlog General'!$M74&gt;=$AR74),'Backlog General'!$M74,IF(AND($AU74="Pasa al siguiente",$AT74&lt;&gt;"Completada"),$AR74+1,$AR74)),"")</f>
      </c>
      <c r="AW74" s="202">
        <f>IF(AND($C74,ISNUMBER($AR74)),$AQ74+$AR74*$AP74*'Sprints'!$D$5-'Sprints'!$D$5,"")</f>
      </c>
      <c r="AX74" s="202">
        <f>IF($C74,IF(OR($AT74="Completada",$AU74="Cancelado",$AU74="Baja prioridad",NOT(ISNUMBER($AW74))),0,IF(TODAY()&gt;$AW74,NETWORKDAYS($AW74,TODAY(),'Sprints'!$L$5:$L$40)-1,0)),"")</f>
      </c>
      <c r="AY74" s="203">
        <f>IF($C74,IF(NOT(ISNUMBER($AR74)),"Sin fecha",IF($AT74="Completada","Completada",IF($AU74="Cancelado","Cancelado",IF($AU74="Baja prioridad","Baja prioridad",IF($AX74&gt;0,"Vencida","En curso"))))),"")</f>
      </c>
      <c r="AZ74" s="203">
        <f>IF($C74,IF(ISNUMBER($AV74),$AO74&amp;" · S"&amp;$AV74,"(Sin fecha)"),"")</f>
      </c>
      <c r="BA74" s="202">
        <f>IF(AND($C74,ISNUMBER($AR74),$AR74=$AS74),"Nuevo","")</f>
      </c>
      <c r="BB74" s="202">
        <f>IF(AND($C74,$AO74="Semanal",ISNUMBER($AV74)),$AV74*100000+ROW(),"")</f>
      </c>
      <c r="BC74" s="202">
        <f>IF(AND($C74,$AO74="Quincenal",ISNUMBER($AV74)),$AV74*100000+ROW(),"")</f>
      </c>
      <c r="BD74" s="202">
        <f>IF(AND($C74,$AO74="Mensual",ISNUMBER($AV74)),$AV74*100000+ROW(),"")</f>
      </c>
      <c r="BE74" s="203">
        <f>IF($C74,IF(ISBLANK('Backlog General'!$J74),"",'Backlog General'!$J74),"")</f>
      </c>
      <c r="BF74" s="203">
        <f>IF($C74,IF($BE74="","",$BE74)&amp;IF(AND($BE74&lt;&gt;"",$AH74&lt;&gt;"")," · ","")&amp;IF($AH74="","",$AH74),"")</f>
      </c>
      <c r="BG74" s="203">
        <f>IF($C74,IF($J74="Completado","Sí","No"),"")</f>
      </c>
      <c r="BH74" s="202">
        <f>IF(AND($C74,ISNUMBER($AR74)),IF($AO74="Semanal",1,IF($AO74="Quincenal",2,3))*1000000000+$AR74*100000+ROW(),"")</f>
      </c>
      <c r="BI74" s="202">
        <f>IF($C74,IF($AU74="Cancelado","",$I74),"")</f>
      </c>
      <c r="BJ74" s="202">
        <f>IF($C74,IFERROR(MATCH($D74,$D$7:$D$200,0)+6,ROW()),"")</f>
      </c>
      <c r="BK74" s="202">
        <f>IF(AND($C74,ISNUMBER($AV74)),$BJ74*1000000+$AV74*1000+ROW(),"")</f>
      </c>
      <c r="BL74" s="202">
        <f>IF(AND($C74,ISNUMBER($AW74)),ROUND(($AW74-('Sprints'!$C$5+('Sprints'!$E$5-1)*'Sprints'!$D$5))/'Sprints'!$D$5,0),"")</f>
      </c>
      <c r="BM74" s="203">
        <f>IF($C74,IF(NOT(ISNUMBER($BL74)),"",IF($BL74&lt;0,"Pasada",IF($BL74=0,"Actual",IF($BL74=1,"Siguiente",IF($BL74=2,"+2 sem",IF($BL74=3,"+3 sem","Posterior")))))),"")</f>
      </c>
      <c r="BN74" s="202">
        <f>IF(AND($C74,ISNUMBER($AR74),ISNUMBER($AV74)),MAX(1,$AV74-$AR74+1),0)</f>
        <v>0</v>
      </c>
      <c r="BO74" s="202">
        <f>SUM($BN$7:$BN74)-$BN74</f>
        <v>26</v>
      </c>
      <c r="BP74" s="202">
        <f>IF(AND($C74,ISNUMBER($AV74)),$AQ74+$AV74*$AP74*'Sprints'!$D$5-'Sprints'!$D$5,"")</f>
      </c>
      <c r="BQ74" s="202">
        <f>IF(AND($C74,ISNUMBER($BP74)),$BP74*1000+ROW(),"")</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IF($C75,IF('Backlog General'!$G75="Completada",1,IF('Backlog General'!$G75="Casi lista",0.75,IF('Backlog General'!$G75="En progreso",0.5,IF('Backlog General'!$G75="Iniciada",0.25,0)))),"")</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IF($C75,IF(ISBLANK('Backlog General'!$K75),"",'Backlog General'!$K75),"")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IF(AND($C75,ISNUMBER($AR75)),IF(AND(ISNUMBER('Backlog General'!$M75),'Backlog General'!$M75&gt;=$AR75),'Backlog General'!$M75,IF(AND($AU75="Pasa al siguiente",$AT75&lt;&gt;"Completada"),$AR75+1,$AR75)),"")</f>
      </c>
      <c r="AW75" s="202">
        <f>IF(AND($C75,ISNUMBER($AR75)),$AQ75+$AR75*$AP75*'Sprints'!$D$5-'Sprints'!$D$5,"")</f>
      </c>
      <c r="AX75" s="202">
        <f>IF($C75,IF(OR($AT75="Completada",$AU75="Cancelado",$AU75="Baja prioridad",NOT(ISNUMBER($AW75))),0,IF(TODAY()&gt;$AW75,NETWORKDAYS($AW75,TODAY(),'Sprints'!$L$5:$L$40)-1,0)),"")</f>
      </c>
      <c r="AY75" s="203">
        <f>IF($C75,IF(NOT(ISNUMBER($AR75)),"Sin fecha",IF($AT75="Completada","Completada",IF($AU75="Cancelado","Cancelado",IF($AU75="Baja prioridad","Baja prioridad",IF($AX75&gt;0,"Vencida","En curso"))))),"")</f>
      </c>
      <c r="AZ75" s="203">
        <f>IF($C75,IF(ISNUMBER($AV75),$AO75&amp;" · S"&amp;$AV75,"(Sin fecha)"),"")</f>
      </c>
      <c r="BA75" s="202">
        <f>IF(AND($C75,ISNUMBER($AR75),$AR75=$AS75),"Nuevo","")</f>
      </c>
      <c r="BB75" s="202">
        <f>IF(AND($C75,$AO75="Semanal",ISNUMBER($AV75)),$AV75*100000+ROW(),"")</f>
      </c>
      <c r="BC75" s="202">
        <f>IF(AND($C75,$AO75="Quincenal",ISNUMBER($AV75)),$AV75*100000+ROW(),"")</f>
      </c>
      <c r="BD75" s="202">
        <f>IF(AND($C75,$AO75="Mensual",ISNUMBER($AV75)),$AV75*100000+ROW(),"")</f>
      </c>
      <c r="BE75" s="203">
        <f>IF($C75,IF(ISBLANK('Backlog General'!$J75),"",'Backlog General'!$J75),"")</f>
      </c>
      <c r="BF75" s="203">
        <f>IF($C75,IF($BE75="","",$BE75)&amp;IF(AND($BE75&lt;&gt;"",$AH75&lt;&gt;"")," · ","")&amp;IF($AH75="","",$AH75),"")</f>
      </c>
      <c r="BG75" s="203">
        <f>IF($C75,IF($J75="Completado","Sí","No"),"")</f>
      </c>
      <c r="BH75" s="202">
        <f>IF(AND($C75,ISNUMBER($AR75)),IF($AO75="Semanal",1,IF($AO75="Quincenal",2,3))*1000000000+$AR75*100000+ROW(),"")</f>
      </c>
      <c r="BI75" s="202">
        <f>IF($C75,IF($AU75="Cancelado","",$I75),"")</f>
      </c>
      <c r="BJ75" s="202">
        <f>IF($C75,IFERROR(MATCH($D75,$D$7:$D$200,0)+6,ROW()),"")</f>
      </c>
      <c r="BK75" s="202">
        <f>IF(AND($C75,ISNUMBER($AV75)),$BJ75*1000000+$AV75*1000+ROW(),"")</f>
      </c>
      <c r="BL75" s="202">
        <f>IF(AND($C75,ISNUMBER($AW75)),ROUND(($AW75-('Sprints'!$C$5+('Sprints'!$E$5-1)*'Sprints'!$D$5))/'Sprints'!$D$5,0),"")</f>
      </c>
      <c r="BM75" s="203">
        <f>IF($C75,IF(NOT(ISNUMBER($BL75)),"",IF($BL75&lt;0,"Pasada",IF($BL75=0,"Actual",IF($BL75=1,"Siguiente",IF($BL75=2,"+2 sem",IF($BL75=3,"+3 sem","Posterior")))))),"")</f>
      </c>
      <c r="BN75" s="202">
        <f>IF(AND($C75,ISNUMBER($AR75),ISNUMBER($AV75)),MAX(1,$AV75-$AR75+1),0)</f>
        <v>0</v>
      </c>
      <c r="BO75" s="202">
        <f>SUM($BN$7:$BN75)-$BN75</f>
        <v>26</v>
      </c>
      <c r="BP75" s="202">
        <f>IF(AND($C75,ISNUMBER($AV75)),$AQ75+$AV75*$AP75*'Sprints'!$D$5-'Sprints'!$D$5,"")</f>
      </c>
      <c r="BQ75" s="202">
        <f>IF(AND($C75,ISNUMBER($BP75)),$BP75*1000+ROW(),"")</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IF($C76,IF('Backlog General'!$G76="Completada",1,IF('Backlog General'!$G76="Casi lista",0.75,IF('Backlog General'!$G76="En progreso",0.5,IF('Backlog General'!$G76="Iniciada",0.25,0)))),"")</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IF($C76,IF(ISBLANK('Backlog General'!$K76),"",'Backlog General'!$K76),"")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IF(AND($C76,ISNUMBER($AR76)),IF(AND(ISNUMBER('Backlog General'!$M76),'Backlog General'!$M76&gt;=$AR76),'Backlog General'!$M76,IF(AND($AU76="Pasa al siguiente",$AT76&lt;&gt;"Completada"),$AR76+1,$AR76)),"")</f>
      </c>
      <c r="AW76" s="202">
        <f>IF(AND($C76,ISNUMBER($AR76)),$AQ76+$AR76*$AP76*'Sprints'!$D$5-'Sprints'!$D$5,"")</f>
      </c>
      <c r="AX76" s="202">
        <f>IF($C76,IF(OR($AT76="Completada",$AU76="Cancelado",$AU76="Baja prioridad",NOT(ISNUMBER($AW76))),0,IF(TODAY()&gt;$AW76,NETWORKDAYS($AW76,TODAY(),'Sprints'!$L$5:$L$40)-1,0)),"")</f>
      </c>
      <c r="AY76" s="203">
        <f>IF($C76,IF(NOT(ISNUMBER($AR76)),"Sin fecha",IF($AT76="Completada","Completada",IF($AU76="Cancelado","Cancelado",IF($AU76="Baja prioridad","Baja prioridad",IF($AX76&gt;0,"Vencida","En curso"))))),"")</f>
      </c>
      <c r="AZ76" s="203">
        <f>IF($C76,IF(ISNUMBER($AV76),$AO76&amp;" · S"&amp;$AV76,"(Sin fecha)"),"")</f>
      </c>
      <c r="BA76" s="202">
        <f>IF(AND($C76,ISNUMBER($AR76),$AR76=$AS76),"Nuevo","")</f>
      </c>
      <c r="BB76" s="202">
        <f>IF(AND($C76,$AO76="Semanal",ISNUMBER($AV76)),$AV76*100000+ROW(),"")</f>
      </c>
      <c r="BC76" s="202">
        <f>IF(AND($C76,$AO76="Quincenal",ISNUMBER($AV76)),$AV76*100000+ROW(),"")</f>
      </c>
      <c r="BD76" s="202">
        <f>IF(AND($C76,$AO76="Mensual",ISNUMBER($AV76)),$AV76*100000+ROW(),"")</f>
      </c>
      <c r="BE76" s="203">
        <f>IF($C76,IF(ISBLANK('Backlog General'!$J76),"",'Backlog General'!$J76),"")</f>
      </c>
      <c r="BF76" s="203">
        <f>IF($C76,IF($BE76="","",$BE76)&amp;IF(AND($BE76&lt;&gt;"",$AH76&lt;&gt;"")," · ","")&amp;IF($AH76="","",$AH76),"")</f>
      </c>
      <c r="BG76" s="203">
        <f>IF($C76,IF($J76="Completado","Sí","No"),"")</f>
      </c>
      <c r="BH76" s="202">
        <f>IF(AND($C76,ISNUMBER($AR76)),IF($AO76="Semanal",1,IF($AO76="Quincenal",2,3))*1000000000+$AR76*100000+ROW(),"")</f>
      </c>
      <c r="BI76" s="202">
        <f>IF($C76,IF($AU76="Cancelado","",$I76),"")</f>
      </c>
      <c r="BJ76" s="202">
        <f>IF($C76,IFERROR(MATCH($D76,$D$7:$D$200,0)+6,ROW()),"")</f>
      </c>
      <c r="BK76" s="202">
        <f>IF(AND($C76,ISNUMBER($AV76)),$BJ76*1000000+$AV76*1000+ROW(),"")</f>
      </c>
      <c r="BL76" s="202">
        <f>IF(AND($C76,ISNUMBER($AW76)),ROUND(($AW76-('Sprints'!$C$5+('Sprints'!$E$5-1)*'Sprints'!$D$5))/'Sprints'!$D$5,0),"")</f>
      </c>
      <c r="BM76" s="203">
        <f>IF($C76,IF(NOT(ISNUMBER($BL76)),"",IF($BL76&lt;0,"Pasada",IF($BL76=0,"Actual",IF($BL76=1,"Siguiente",IF($BL76=2,"+2 sem",IF($BL76=3,"+3 sem","Posterior")))))),"")</f>
      </c>
      <c r="BN76" s="202">
        <f>IF(AND($C76,ISNUMBER($AR76),ISNUMBER($AV76)),MAX(1,$AV76-$AR76+1),0)</f>
        <v>0</v>
      </c>
      <c r="BO76" s="202">
        <f>SUM($BN$7:$BN76)-$BN76</f>
        <v>26</v>
      </c>
      <c r="BP76" s="202">
        <f>IF(AND($C76,ISNUMBER($AV76)),$AQ76+$AV76*$AP76*'Sprints'!$D$5-'Sprints'!$D$5,"")</f>
      </c>
      <c r="BQ76" s="202">
        <f>IF(AND($C76,ISNUMBER($BP76)),$BP76*1000+ROW(),"")</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IF($C77,IF('Backlog General'!$G77="Completada",1,IF('Backlog General'!$G77="Casi lista",0.75,IF('Backlog General'!$G77="En progreso",0.5,IF('Backlog General'!$G77="Iniciada",0.25,0)))),"")</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IF($C77,IF(ISBLANK('Backlog General'!$K77),"",'Backlog General'!$K77),"")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IF(AND($C77,ISNUMBER($AR77)),IF(AND(ISNUMBER('Backlog General'!$M77),'Backlog General'!$M77&gt;=$AR77),'Backlog General'!$M77,IF(AND($AU77="Pasa al siguiente",$AT77&lt;&gt;"Completada"),$AR77+1,$AR77)),"")</f>
      </c>
      <c r="AW77" s="202">
        <f>IF(AND($C77,ISNUMBER($AR77)),$AQ77+$AR77*$AP77*'Sprints'!$D$5-'Sprints'!$D$5,"")</f>
      </c>
      <c r="AX77" s="202">
        <f>IF($C77,IF(OR($AT77="Completada",$AU77="Cancelado",$AU77="Baja prioridad",NOT(ISNUMBER($AW77))),0,IF(TODAY()&gt;$AW77,NETWORKDAYS($AW77,TODAY(),'Sprints'!$L$5:$L$40)-1,0)),"")</f>
      </c>
      <c r="AY77" s="203">
        <f>IF($C77,IF(NOT(ISNUMBER($AR77)),"Sin fecha",IF($AT77="Completada","Completada",IF($AU77="Cancelado","Cancelado",IF($AU77="Baja prioridad","Baja prioridad",IF($AX77&gt;0,"Vencida","En curso"))))),"")</f>
      </c>
      <c r="AZ77" s="203">
        <f>IF($C77,IF(ISNUMBER($AV77),$AO77&amp;" · S"&amp;$AV77,"(Sin fecha)"),"")</f>
      </c>
      <c r="BA77" s="202">
        <f>IF(AND($C77,ISNUMBER($AR77),$AR77=$AS77),"Nuevo","")</f>
      </c>
      <c r="BB77" s="202">
        <f>IF(AND($C77,$AO77="Semanal",ISNUMBER($AV77)),$AV77*100000+ROW(),"")</f>
      </c>
      <c r="BC77" s="202">
        <f>IF(AND($C77,$AO77="Quincenal",ISNUMBER($AV77)),$AV77*100000+ROW(),"")</f>
      </c>
      <c r="BD77" s="202">
        <f>IF(AND($C77,$AO77="Mensual",ISNUMBER($AV77)),$AV77*100000+ROW(),"")</f>
      </c>
      <c r="BE77" s="203">
        <f>IF($C77,IF(ISBLANK('Backlog General'!$J77),"",'Backlog General'!$J77),"")</f>
      </c>
      <c r="BF77" s="203">
        <f>IF($C77,IF($BE77="","",$BE77)&amp;IF(AND($BE77&lt;&gt;"",$AH77&lt;&gt;"")," · ","")&amp;IF($AH77="","",$AH77),"")</f>
      </c>
      <c r="BG77" s="203">
        <f>IF($C77,IF($J77="Completado","Sí","No"),"")</f>
      </c>
      <c r="BH77" s="202">
        <f>IF(AND($C77,ISNUMBER($AR77)),IF($AO77="Semanal",1,IF($AO77="Quincenal",2,3))*1000000000+$AR77*100000+ROW(),"")</f>
      </c>
      <c r="BI77" s="202">
        <f>IF($C77,IF($AU77="Cancelado","",$I77),"")</f>
      </c>
      <c r="BJ77" s="202">
        <f>IF($C77,IFERROR(MATCH($D77,$D$7:$D$200,0)+6,ROW()),"")</f>
      </c>
      <c r="BK77" s="202">
        <f>IF(AND($C77,ISNUMBER($AV77)),$BJ77*1000000+$AV77*1000+ROW(),"")</f>
      </c>
      <c r="BL77" s="202">
        <f>IF(AND($C77,ISNUMBER($AW77)),ROUND(($AW77-('Sprints'!$C$5+('Sprints'!$E$5-1)*'Sprints'!$D$5))/'Sprints'!$D$5,0),"")</f>
      </c>
      <c r="BM77" s="203">
        <f>IF($C77,IF(NOT(ISNUMBER($BL77)),"",IF($BL77&lt;0,"Pasada",IF($BL77=0,"Actual",IF($BL77=1,"Siguiente",IF($BL77=2,"+2 sem",IF($BL77=3,"+3 sem","Posterior")))))),"")</f>
      </c>
      <c r="BN77" s="202">
        <f>IF(AND($C77,ISNUMBER($AR77),ISNUMBER($AV77)),MAX(1,$AV77-$AR77+1),0)</f>
        <v>0</v>
      </c>
      <c r="BO77" s="202">
        <f>SUM($BN$7:$BN77)-$BN77</f>
        <v>26</v>
      </c>
      <c r="BP77" s="202">
        <f>IF(AND($C77,ISNUMBER($AV77)),$AQ77+$AV77*$AP77*'Sprints'!$D$5-'Sprints'!$D$5,"")</f>
      </c>
      <c r="BQ77" s="202">
        <f>IF(AND($C77,ISNUMBER($BP77)),$BP77*1000+ROW(),"")</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IF($C78,IF('Backlog General'!$G78="Completada",1,IF('Backlog General'!$G78="Casi lista",0.75,IF('Backlog General'!$G78="En progreso",0.5,IF('Backlog General'!$G78="Iniciada",0.25,0)))),"")</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IF($C78,IF(ISBLANK('Backlog General'!$K78),"",'Backlog General'!$K78),"")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IF(AND($C78,ISNUMBER($AR78)),IF(AND(ISNUMBER('Backlog General'!$M78),'Backlog General'!$M78&gt;=$AR78),'Backlog General'!$M78,IF(AND($AU78="Pasa al siguiente",$AT78&lt;&gt;"Completada"),$AR78+1,$AR78)),"")</f>
      </c>
      <c r="AW78" s="202">
        <f>IF(AND($C78,ISNUMBER($AR78)),$AQ78+$AR78*$AP78*'Sprints'!$D$5-'Sprints'!$D$5,"")</f>
      </c>
      <c r="AX78" s="202">
        <f>IF($C78,IF(OR($AT78="Completada",$AU78="Cancelado",$AU78="Baja prioridad",NOT(ISNUMBER($AW78))),0,IF(TODAY()&gt;$AW78,NETWORKDAYS($AW78,TODAY(),'Sprints'!$L$5:$L$40)-1,0)),"")</f>
      </c>
      <c r="AY78" s="203">
        <f>IF($C78,IF(NOT(ISNUMBER($AR78)),"Sin fecha",IF($AT78="Completada","Completada",IF($AU78="Cancelado","Cancelado",IF($AU78="Baja prioridad","Baja prioridad",IF($AX78&gt;0,"Vencida","En curso"))))),"")</f>
      </c>
      <c r="AZ78" s="203">
        <f>IF($C78,IF(ISNUMBER($AV78),$AO78&amp;" · S"&amp;$AV78,"(Sin fecha)"),"")</f>
      </c>
      <c r="BA78" s="202">
        <f>IF(AND($C78,ISNUMBER($AR78),$AR78=$AS78),"Nuevo","")</f>
      </c>
      <c r="BB78" s="202">
        <f>IF(AND($C78,$AO78="Semanal",ISNUMBER($AV78)),$AV78*100000+ROW(),"")</f>
      </c>
      <c r="BC78" s="202">
        <f>IF(AND($C78,$AO78="Quincenal",ISNUMBER($AV78)),$AV78*100000+ROW(),"")</f>
      </c>
      <c r="BD78" s="202">
        <f>IF(AND($C78,$AO78="Mensual",ISNUMBER($AV78)),$AV78*100000+ROW(),"")</f>
      </c>
      <c r="BE78" s="203">
        <f>IF($C78,IF(ISBLANK('Backlog General'!$J78),"",'Backlog General'!$J78),"")</f>
      </c>
      <c r="BF78" s="203">
        <f>IF($C78,IF($BE78="","",$BE78)&amp;IF(AND($BE78&lt;&gt;"",$AH78&lt;&gt;"")," · ","")&amp;IF($AH78="","",$AH78),"")</f>
      </c>
      <c r="BG78" s="203">
        <f>IF($C78,IF($J78="Completado","Sí","No"),"")</f>
      </c>
      <c r="BH78" s="202">
        <f>IF(AND($C78,ISNUMBER($AR78)),IF($AO78="Semanal",1,IF($AO78="Quincenal",2,3))*1000000000+$AR78*100000+ROW(),"")</f>
      </c>
      <c r="BI78" s="202">
        <f>IF($C78,IF($AU78="Cancelado","",$I78),"")</f>
      </c>
      <c r="BJ78" s="202">
        <f>IF($C78,IFERROR(MATCH($D78,$D$7:$D$200,0)+6,ROW()),"")</f>
      </c>
      <c r="BK78" s="202">
        <f>IF(AND($C78,ISNUMBER($AV78)),$BJ78*1000000+$AV78*1000+ROW(),"")</f>
      </c>
      <c r="BL78" s="202">
        <f>IF(AND($C78,ISNUMBER($AW78)),ROUND(($AW78-('Sprints'!$C$5+('Sprints'!$E$5-1)*'Sprints'!$D$5))/'Sprints'!$D$5,0),"")</f>
      </c>
      <c r="BM78" s="203">
        <f>IF($C78,IF(NOT(ISNUMBER($BL78)),"",IF($BL78&lt;0,"Pasada",IF($BL78=0,"Actual",IF($BL78=1,"Siguiente",IF($BL78=2,"+2 sem",IF($BL78=3,"+3 sem","Posterior")))))),"")</f>
      </c>
      <c r="BN78" s="202">
        <f>IF(AND($C78,ISNUMBER($AR78),ISNUMBER($AV78)),MAX(1,$AV78-$AR78+1),0)</f>
        <v>0</v>
      </c>
      <c r="BO78" s="202">
        <f>SUM($BN$7:$BN78)-$BN78</f>
        <v>26</v>
      </c>
      <c r="BP78" s="202">
        <f>IF(AND($C78,ISNUMBER($AV78)),$AQ78+$AV78*$AP78*'Sprints'!$D$5-'Sprints'!$D$5,"")</f>
      </c>
      <c r="BQ78" s="202">
        <f>IF(AND($C78,ISNUMBER($BP78)),$BP78*1000+ROW(),"")</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IF($C79,IF('Backlog General'!$G79="Completada",1,IF('Backlog General'!$G79="Casi lista",0.75,IF('Backlog General'!$G79="En progreso",0.5,IF('Backlog General'!$G79="Iniciada",0.25,0)))),"")</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IF($C79,IF(ISBLANK('Backlog General'!$K79),"",'Backlog General'!$K79),"")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IF(AND($C79,ISNUMBER($AR79)),IF(AND(ISNUMBER('Backlog General'!$M79),'Backlog General'!$M79&gt;=$AR79),'Backlog General'!$M79,IF(AND($AU79="Pasa al siguiente",$AT79&lt;&gt;"Completada"),$AR79+1,$AR79)),"")</f>
      </c>
      <c r="AW79" s="202">
        <f>IF(AND($C79,ISNUMBER($AR79)),$AQ79+$AR79*$AP79*'Sprints'!$D$5-'Sprints'!$D$5,"")</f>
      </c>
      <c r="AX79" s="202">
        <f>IF($C79,IF(OR($AT79="Completada",$AU79="Cancelado",$AU79="Baja prioridad",NOT(ISNUMBER($AW79))),0,IF(TODAY()&gt;$AW79,NETWORKDAYS($AW79,TODAY(),'Sprints'!$L$5:$L$40)-1,0)),"")</f>
      </c>
      <c r="AY79" s="203">
        <f>IF($C79,IF(NOT(ISNUMBER($AR79)),"Sin fecha",IF($AT79="Completada","Completada",IF($AU79="Cancelado","Cancelado",IF($AU79="Baja prioridad","Baja prioridad",IF($AX79&gt;0,"Vencida","En curso"))))),"")</f>
      </c>
      <c r="AZ79" s="203">
        <f>IF($C79,IF(ISNUMBER($AV79),$AO79&amp;" · S"&amp;$AV79,"(Sin fecha)"),"")</f>
      </c>
      <c r="BA79" s="202">
        <f>IF(AND($C79,ISNUMBER($AR79),$AR79=$AS79),"Nuevo","")</f>
      </c>
      <c r="BB79" s="202">
        <f>IF(AND($C79,$AO79="Semanal",ISNUMBER($AV79)),$AV79*100000+ROW(),"")</f>
      </c>
      <c r="BC79" s="202">
        <f>IF(AND($C79,$AO79="Quincenal",ISNUMBER($AV79)),$AV79*100000+ROW(),"")</f>
      </c>
      <c r="BD79" s="202">
        <f>IF(AND($C79,$AO79="Mensual",ISNUMBER($AV79)),$AV79*100000+ROW(),"")</f>
      </c>
      <c r="BE79" s="203">
        <f>IF($C79,IF(ISBLANK('Backlog General'!$J79),"",'Backlog General'!$J79),"")</f>
      </c>
      <c r="BF79" s="203">
        <f>IF($C79,IF($BE79="","",$BE79)&amp;IF(AND($BE79&lt;&gt;"",$AH79&lt;&gt;"")," · ","")&amp;IF($AH79="","",$AH79),"")</f>
      </c>
      <c r="BG79" s="203">
        <f>IF($C79,IF($J79="Completado","Sí","No"),"")</f>
      </c>
      <c r="BH79" s="202">
        <f>IF(AND($C79,ISNUMBER($AR79)),IF($AO79="Semanal",1,IF($AO79="Quincenal",2,3))*1000000000+$AR79*100000+ROW(),"")</f>
      </c>
      <c r="BI79" s="202">
        <f>IF($C79,IF($AU79="Cancelado","",$I79),"")</f>
      </c>
      <c r="BJ79" s="202">
        <f>IF($C79,IFERROR(MATCH($D79,$D$7:$D$200,0)+6,ROW()),"")</f>
      </c>
      <c r="BK79" s="202">
        <f>IF(AND($C79,ISNUMBER($AV79)),$BJ79*1000000+$AV79*1000+ROW(),"")</f>
      </c>
      <c r="BL79" s="202">
        <f>IF(AND($C79,ISNUMBER($AW79)),ROUND(($AW79-('Sprints'!$C$5+('Sprints'!$E$5-1)*'Sprints'!$D$5))/'Sprints'!$D$5,0),"")</f>
      </c>
      <c r="BM79" s="203">
        <f>IF($C79,IF(NOT(ISNUMBER($BL79)),"",IF($BL79&lt;0,"Pasada",IF($BL79=0,"Actual",IF($BL79=1,"Siguiente",IF($BL79=2,"+2 sem",IF($BL79=3,"+3 sem","Posterior")))))),"")</f>
      </c>
      <c r="BN79" s="202">
        <f>IF(AND($C79,ISNUMBER($AR79),ISNUMBER($AV79)),MAX(1,$AV79-$AR79+1),0)</f>
        <v>0</v>
      </c>
      <c r="BO79" s="202">
        <f>SUM($BN$7:$BN79)-$BN79</f>
        <v>26</v>
      </c>
      <c r="BP79" s="202">
        <f>IF(AND($C79,ISNUMBER($AV79)),$AQ79+$AV79*$AP79*'Sprints'!$D$5-'Sprints'!$D$5,"")</f>
      </c>
      <c r="BQ79" s="202">
        <f>IF(AND($C79,ISNUMBER($BP79)),$BP79*1000+ROW(),"")</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IF($C80,IF('Backlog General'!$G80="Completada",1,IF('Backlog General'!$G80="Casi lista",0.75,IF('Backlog General'!$G80="En progreso",0.5,IF('Backlog General'!$G80="Iniciada",0.25,0)))),"")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IF($C80,IF(ISBLANK('Backlog General'!$K80),"",'Backlog General'!$K80),"")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IF(AND($C80,ISNUMBER($AR80)),IF(AND(ISNUMBER('Backlog General'!$M80),'Backlog General'!$M80&gt;=$AR80),'Backlog General'!$M80,IF(AND($AU80="Pasa al siguiente",$AT80&lt;&gt;"Completada"),$AR80+1,$AR80)),"")</f>
      </c>
      <c r="AW80" s="202">
        <f>IF(AND($C80,ISNUMBER($AR80)),$AQ80+$AR80*$AP80*'Sprints'!$D$5-'Sprints'!$D$5,"")</f>
      </c>
      <c r="AX80" s="202">
        <f>IF($C80,IF(OR($AT80="Completada",$AU80="Cancelado",$AU80="Baja prioridad",NOT(ISNUMBER($AW80))),0,IF(TODAY()&gt;$AW80,NETWORKDAYS($AW80,TODAY(),'Sprints'!$L$5:$L$40)-1,0)),"")</f>
      </c>
      <c r="AY80" s="203">
        <f>IF($C80,IF(NOT(ISNUMBER($AR80)),"Sin fecha",IF($AT80="Completada","Completada",IF($AU80="Cancelado","Cancelado",IF($AU80="Baja prioridad","Baja prioridad",IF($AX80&gt;0,"Vencida","En curso"))))),"")</f>
      </c>
      <c r="AZ80" s="203">
        <f>IF($C80,IF(ISNUMBER($AV80),$AO80&amp;" · S"&amp;$AV80,"(Sin fecha)"),"")</f>
      </c>
      <c r="BA80" s="202">
        <f>IF(AND($C80,ISNUMBER($AR80),$AR80=$AS80),"Nuevo","")</f>
      </c>
      <c r="BB80" s="202">
        <f>IF(AND($C80,$AO80="Semanal",ISNUMBER($AV80)),$AV80*100000+ROW(),"")</f>
      </c>
      <c r="BC80" s="202">
        <f>IF(AND($C80,$AO80="Quincenal",ISNUMBER($AV80)),$AV80*100000+ROW(),"")</f>
      </c>
      <c r="BD80" s="202">
        <f>IF(AND($C80,$AO80="Mensual",ISNUMBER($AV80)),$AV80*100000+ROW(),"")</f>
      </c>
      <c r="BE80" s="203">
        <f>IF($C80,IF(ISBLANK('Backlog General'!$J80),"",'Backlog General'!$J80),"")</f>
      </c>
      <c r="BF80" s="203">
        <f>IF($C80,IF($BE80="","",$BE80)&amp;IF(AND($BE80&lt;&gt;"",$AH80&lt;&gt;"")," · ","")&amp;IF($AH80="","",$AH80),"")</f>
      </c>
      <c r="BG80" s="203">
        <f>IF($C80,IF($J80="Completado","Sí","No"),"")</f>
      </c>
      <c r="BH80" s="202">
        <f>IF(AND($C80,ISNUMBER($AR80)),IF($AO80="Semanal",1,IF($AO80="Quincenal",2,3))*1000000000+$AR80*100000+ROW(),"")</f>
      </c>
      <c r="BI80" s="202">
        <f>IF($C80,IF($AU80="Cancelado","",$I80),"")</f>
      </c>
      <c r="BJ80" s="202">
        <f>IF($C80,IFERROR(MATCH($D80,$D$7:$D$200,0)+6,ROW()),"")</f>
      </c>
      <c r="BK80" s="202">
        <f>IF(AND($C80,ISNUMBER($AV80)),$BJ80*1000000+$AV80*1000+ROW(),"")</f>
      </c>
      <c r="BL80" s="202">
        <f>IF(AND($C80,ISNUMBER($AW80)),ROUND(($AW80-('Sprints'!$C$5+('Sprints'!$E$5-1)*'Sprints'!$D$5))/'Sprints'!$D$5,0),"")</f>
      </c>
      <c r="BM80" s="203">
        <f>IF($C80,IF(NOT(ISNUMBER($BL80)),"",IF($BL80&lt;0,"Pasada",IF($BL80=0,"Actual",IF($BL80=1,"Siguiente",IF($BL80=2,"+2 sem",IF($BL80=3,"+3 sem","Posterior")))))),"")</f>
      </c>
      <c r="BN80" s="202">
        <f>IF(AND($C80,ISNUMBER($AR80),ISNUMBER($AV80)),MAX(1,$AV80-$AR80+1),0)</f>
        <v>0</v>
      </c>
      <c r="BO80" s="202">
        <f>SUM($BN$7:$BN80)-$BN80</f>
        <v>26</v>
      </c>
      <c r="BP80" s="202">
        <f>IF(AND($C80,ISNUMBER($AV80)),$AQ80+$AV80*$AP80*'Sprints'!$D$5-'Sprints'!$D$5,"")</f>
      </c>
      <c r="BQ80" s="202">
        <f>IF(AND($C80,ISNUMBER($BP80)),$BP80*1000+ROW(),"")</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IF($C81,IF('Backlog General'!$G81="Completada",1,IF('Backlog General'!$G81="Casi lista",0.75,IF('Backlog General'!$G81="En progreso",0.5,IF('Backlog General'!$G81="Iniciada",0.25,0)))),"")</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IF($C81,IF(ISBLANK('Backlog General'!$K81),"",'Backlog General'!$K81),"")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IF(AND($C81,ISNUMBER($AR81)),IF(AND(ISNUMBER('Backlog General'!$M81),'Backlog General'!$M81&gt;=$AR81),'Backlog General'!$M81,IF(AND($AU81="Pasa al siguiente",$AT81&lt;&gt;"Completada"),$AR81+1,$AR81)),"")</f>
      </c>
      <c r="AW81" s="202">
        <f>IF(AND($C81,ISNUMBER($AR81)),$AQ81+$AR81*$AP81*'Sprints'!$D$5-'Sprints'!$D$5,"")</f>
      </c>
      <c r="AX81" s="202">
        <f>IF($C81,IF(OR($AT81="Completada",$AU81="Cancelado",$AU81="Baja prioridad",NOT(ISNUMBER($AW81))),0,IF(TODAY()&gt;$AW81,NETWORKDAYS($AW81,TODAY(),'Sprints'!$L$5:$L$40)-1,0)),"")</f>
      </c>
      <c r="AY81" s="203">
        <f>IF($C81,IF(NOT(ISNUMBER($AR81)),"Sin fecha",IF($AT81="Completada","Completada",IF($AU81="Cancelado","Cancelado",IF($AU81="Baja prioridad","Baja prioridad",IF($AX81&gt;0,"Vencida","En curso"))))),"")</f>
      </c>
      <c r="AZ81" s="203">
        <f>IF($C81,IF(ISNUMBER($AV81),$AO81&amp;" · S"&amp;$AV81,"(Sin fecha)"),"")</f>
      </c>
      <c r="BA81" s="202">
        <f>IF(AND($C81,ISNUMBER($AR81),$AR81=$AS81),"Nuevo","")</f>
      </c>
      <c r="BB81" s="202">
        <f>IF(AND($C81,$AO81="Semanal",ISNUMBER($AV81)),$AV81*100000+ROW(),"")</f>
      </c>
      <c r="BC81" s="202">
        <f>IF(AND($C81,$AO81="Quincenal",ISNUMBER($AV81)),$AV81*100000+ROW(),"")</f>
      </c>
      <c r="BD81" s="202">
        <f>IF(AND($C81,$AO81="Mensual",ISNUMBER($AV81)),$AV81*100000+ROW(),"")</f>
      </c>
      <c r="BE81" s="203">
        <f>IF($C81,IF(ISBLANK('Backlog General'!$J81),"",'Backlog General'!$J81),"")</f>
      </c>
      <c r="BF81" s="203">
        <f>IF($C81,IF($BE81="","",$BE81)&amp;IF(AND($BE81&lt;&gt;"",$AH81&lt;&gt;"")," · ","")&amp;IF($AH81="","",$AH81),"")</f>
      </c>
      <c r="BG81" s="203">
        <f>IF($C81,IF($J81="Completado","Sí","No"),"")</f>
      </c>
      <c r="BH81" s="202">
        <f>IF(AND($C81,ISNUMBER($AR81)),IF($AO81="Semanal",1,IF($AO81="Quincenal",2,3))*1000000000+$AR81*100000+ROW(),"")</f>
      </c>
      <c r="BI81" s="202">
        <f>IF($C81,IF($AU81="Cancelado","",$I81),"")</f>
      </c>
      <c r="BJ81" s="202">
        <f>IF($C81,IFERROR(MATCH($D81,$D$7:$D$200,0)+6,ROW()),"")</f>
      </c>
      <c r="BK81" s="202">
        <f>IF(AND($C81,ISNUMBER($AV81)),$BJ81*1000000+$AV81*1000+ROW(),"")</f>
      </c>
      <c r="BL81" s="202">
        <f>IF(AND($C81,ISNUMBER($AW81)),ROUND(($AW81-('Sprints'!$C$5+('Sprints'!$E$5-1)*'Sprints'!$D$5))/'Sprints'!$D$5,0),"")</f>
      </c>
      <c r="BM81" s="203">
        <f>IF($C81,IF(NOT(ISNUMBER($BL81)),"",IF($BL81&lt;0,"Pasada",IF($BL81=0,"Actual",IF($BL81=1,"Siguiente",IF($BL81=2,"+2 sem",IF($BL81=3,"+3 sem","Posterior")))))),"")</f>
      </c>
      <c r="BN81" s="202">
        <f>IF(AND($C81,ISNUMBER($AR81),ISNUMBER($AV81)),MAX(1,$AV81-$AR81+1),0)</f>
        <v>0</v>
      </c>
      <c r="BO81" s="202">
        <f>SUM($BN$7:$BN81)-$BN81</f>
        <v>26</v>
      </c>
      <c r="BP81" s="202">
        <f>IF(AND($C81,ISNUMBER($AV81)),$AQ81+$AV81*$AP81*'Sprints'!$D$5-'Sprints'!$D$5,"")</f>
      </c>
      <c r="BQ81" s="202">
        <f>IF(AND($C81,ISNUMBER($BP81)),$BP81*1000+ROW(),"")</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IF($C82,IF('Backlog General'!$G82="Completada",1,IF('Backlog General'!$G82="Casi lista",0.75,IF('Backlog General'!$G82="En progreso",0.5,IF('Backlog General'!$G82="Iniciada",0.25,0)))),"")</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IF($C82,IF(ISBLANK('Backlog General'!$K82),"",'Backlog General'!$K82),"")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IF(AND($C82,ISNUMBER($AR82)),IF(AND(ISNUMBER('Backlog General'!$M82),'Backlog General'!$M82&gt;=$AR82),'Backlog General'!$M82,IF(AND($AU82="Pasa al siguiente",$AT82&lt;&gt;"Completada"),$AR82+1,$AR82)),"")</f>
      </c>
      <c r="AW82" s="202">
        <f>IF(AND($C82,ISNUMBER($AR82)),$AQ82+$AR82*$AP82*'Sprints'!$D$5-'Sprints'!$D$5,"")</f>
      </c>
      <c r="AX82" s="202">
        <f>IF($C82,IF(OR($AT82="Completada",$AU82="Cancelado",$AU82="Baja prioridad",NOT(ISNUMBER($AW82))),0,IF(TODAY()&gt;$AW82,NETWORKDAYS($AW82,TODAY(),'Sprints'!$L$5:$L$40)-1,0)),"")</f>
      </c>
      <c r="AY82" s="203">
        <f>IF($C82,IF(NOT(ISNUMBER($AR82)),"Sin fecha",IF($AT82="Completada","Completada",IF($AU82="Cancelado","Cancelado",IF($AU82="Baja prioridad","Baja prioridad",IF($AX82&gt;0,"Vencida","En curso"))))),"")</f>
      </c>
      <c r="AZ82" s="203">
        <f>IF($C82,IF(ISNUMBER($AV82),$AO82&amp;" · S"&amp;$AV82,"(Sin fecha)"),"")</f>
      </c>
      <c r="BA82" s="202">
        <f>IF(AND($C82,ISNUMBER($AR82),$AR82=$AS82),"Nuevo","")</f>
      </c>
      <c r="BB82" s="202">
        <f>IF(AND($C82,$AO82="Semanal",ISNUMBER($AV82)),$AV82*100000+ROW(),"")</f>
      </c>
      <c r="BC82" s="202">
        <f>IF(AND($C82,$AO82="Quincenal",ISNUMBER($AV82)),$AV82*100000+ROW(),"")</f>
      </c>
      <c r="BD82" s="202">
        <f>IF(AND($C82,$AO82="Mensual",ISNUMBER($AV82)),$AV82*100000+ROW(),"")</f>
      </c>
      <c r="BE82" s="203">
        <f>IF($C82,IF(ISBLANK('Backlog General'!$J82),"",'Backlog General'!$J82),"")</f>
      </c>
      <c r="BF82" s="203">
        <f>IF($C82,IF($BE82="","",$BE82)&amp;IF(AND($BE82&lt;&gt;"",$AH82&lt;&gt;"")," · ","")&amp;IF($AH82="","",$AH82),"")</f>
      </c>
      <c r="BG82" s="203">
        <f>IF($C82,IF($J82="Completado","Sí","No"),"")</f>
      </c>
      <c r="BH82" s="202">
        <f>IF(AND($C82,ISNUMBER($AR82)),IF($AO82="Semanal",1,IF($AO82="Quincenal",2,3))*1000000000+$AR82*100000+ROW(),"")</f>
      </c>
      <c r="BI82" s="202">
        <f>IF($C82,IF($AU82="Cancelado","",$I82),"")</f>
      </c>
      <c r="BJ82" s="202">
        <f>IF($C82,IFERROR(MATCH($D82,$D$7:$D$200,0)+6,ROW()),"")</f>
      </c>
      <c r="BK82" s="202">
        <f>IF(AND($C82,ISNUMBER($AV82)),$BJ82*1000000+$AV82*1000+ROW(),"")</f>
      </c>
      <c r="BL82" s="202">
        <f>IF(AND($C82,ISNUMBER($AW82)),ROUND(($AW82-('Sprints'!$C$5+('Sprints'!$E$5-1)*'Sprints'!$D$5))/'Sprints'!$D$5,0),"")</f>
      </c>
      <c r="BM82" s="203">
        <f>IF($C82,IF(NOT(ISNUMBER($BL82)),"",IF($BL82&lt;0,"Pasada",IF($BL82=0,"Actual",IF($BL82=1,"Siguiente",IF($BL82=2,"+2 sem",IF($BL82=3,"+3 sem","Posterior")))))),"")</f>
      </c>
      <c r="BN82" s="202">
        <f>IF(AND($C82,ISNUMBER($AR82),ISNUMBER($AV82)),MAX(1,$AV82-$AR82+1),0)</f>
        <v>0</v>
      </c>
      <c r="BO82" s="202">
        <f>SUM($BN$7:$BN82)-$BN82</f>
        <v>26</v>
      </c>
      <c r="BP82" s="202">
        <f>IF(AND($C82,ISNUMBER($AV82)),$AQ82+$AV82*$AP82*'Sprints'!$D$5-'Sprints'!$D$5,"")</f>
      </c>
      <c r="BQ82" s="202">
        <f>IF(AND($C82,ISNUMBER($BP82)),$BP82*1000+ROW(),"")</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IF($C83,IF('Backlog General'!$G83="Completada",1,IF('Backlog General'!$G83="Casi lista",0.75,IF('Backlog General'!$G83="En progreso",0.5,IF('Backlog General'!$G83="Iniciada",0.25,0)))),"")</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IF($C83,IF(ISBLANK('Backlog General'!$K83),"",'Backlog General'!$K83),"")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IF(AND($C83,ISNUMBER($AR83)),IF(AND(ISNUMBER('Backlog General'!$M83),'Backlog General'!$M83&gt;=$AR83),'Backlog General'!$M83,IF(AND($AU83="Pasa al siguiente",$AT83&lt;&gt;"Completada"),$AR83+1,$AR83)),"")</f>
      </c>
      <c r="AW83" s="202">
        <f>IF(AND($C83,ISNUMBER($AR83)),$AQ83+$AR83*$AP83*'Sprints'!$D$5-'Sprints'!$D$5,"")</f>
      </c>
      <c r="AX83" s="202">
        <f>IF($C83,IF(OR($AT83="Completada",$AU83="Cancelado",$AU83="Baja prioridad",NOT(ISNUMBER($AW83))),0,IF(TODAY()&gt;$AW83,NETWORKDAYS($AW83,TODAY(),'Sprints'!$L$5:$L$40)-1,0)),"")</f>
      </c>
      <c r="AY83" s="203">
        <f>IF($C83,IF(NOT(ISNUMBER($AR83)),"Sin fecha",IF($AT83="Completada","Completada",IF($AU83="Cancelado","Cancelado",IF($AU83="Baja prioridad","Baja prioridad",IF($AX83&gt;0,"Vencida","En curso"))))),"")</f>
      </c>
      <c r="AZ83" s="203">
        <f>IF($C83,IF(ISNUMBER($AV83),$AO83&amp;" · S"&amp;$AV83,"(Sin fecha)"),"")</f>
      </c>
      <c r="BA83" s="202">
        <f>IF(AND($C83,ISNUMBER($AR83),$AR83=$AS83),"Nuevo","")</f>
      </c>
      <c r="BB83" s="202">
        <f>IF(AND($C83,$AO83="Semanal",ISNUMBER($AV83)),$AV83*100000+ROW(),"")</f>
      </c>
      <c r="BC83" s="202">
        <f>IF(AND($C83,$AO83="Quincenal",ISNUMBER($AV83)),$AV83*100000+ROW(),"")</f>
      </c>
      <c r="BD83" s="202">
        <f>IF(AND($C83,$AO83="Mensual",ISNUMBER($AV83)),$AV83*100000+ROW(),"")</f>
      </c>
      <c r="BE83" s="203">
        <f>IF($C83,IF(ISBLANK('Backlog General'!$J83),"",'Backlog General'!$J83),"")</f>
      </c>
      <c r="BF83" s="203">
        <f>IF($C83,IF($BE83="","",$BE83)&amp;IF(AND($BE83&lt;&gt;"",$AH83&lt;&gt;"")," · ","")&amp;IF($AH83="","",$AH83),"")</f>
      </c>
      <c r="BG83" s="203">
        <f>IF($C83,IF($J83="Completado","Sí","No"),"")</f>
      </c>
      <c r="BH83" s="202">
        <f>IF(AND($C83,ISNUMBER($AR83)),IF($AO83="Semanal",1,IF($AO83="Quincenal",2,3))*1000000000+$AR83*100000+ROW(),"")</f>
      </c>
      <c r="BI83" s="202">
        <f>IF($C83,IF($AU83="Cancelado","",$I83),"")</f>
      </c>
      <c r="BJ83" s="202">
        <f>IF($C83,IFERROR(MATCH($D83,$D$7:$D$200,0)+6,ROW()),"")</f>
      </c>
      <c r="BK83" s="202">
        <f>IF(AND($C83,ISNUMBER($AV83)),$BJ83*1000000+$AV83*1000+ROW(),"")</f>
      </c>
      <c r="BL83" s="202">
        <f>IF(AND($C83,ISNUMBER($AW83)),ROUND(($AW83-('Sprints'!$C$5+('Sprints'!$E$5-1)*'Sprints'!$D$5))/'Sprints'!$D$5,0),"")</f>
      </c>
      <c r="BM83" s="203">
        <f>IF($C83,IF(NOT(ISNUMBER($BL83)),"",IF($BL83&lt;0,"Pasada",IF($BL83=0,"Actual",IF($BL83=1,"Siguiente",IF($BL83=2,"+2 sem",IF($BL83=3,"+3 sem","Posterior")))))),"")</f>
      </c>
      <c r="BN83" s="202">
        <f>IF(AND($C83,ISNUMBER($AR83),ISNUMBER($AV83)),MAX(1,$AV83-$AR83+1),0)</f>
        <v>0</v>
      </c>
      <c r="BO83" s="202">
        <f>SUM($BN$7:$BN83)-$BN83</f>
        <v>26</v>
      </c>
      <c r="BP83" s="202">
        <f>IF(AND($C83,ISNUMBER($AV83)),$AQ83+$AV83*$AP83*'Sprints'!$D$5-'Sprints'!$D$5,"")</f>
      </c>
      <c r="BQ83" s="202">
        <f>IF(AND($C83,ISNUMBER($BP83)),$BP83*1000+ROW(),"")</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IF($C84,IF('Backlog General'!$G84="Completada",1,IF('Backlog General'!$G84="Casi lista",0.75,IF('Backlog General'!$G84="En progreso",0.5,IF('Backlog General'!$G84="Iniciada",0.25,0)))),"")</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IF($C84,IF(ISBLANK('Backlog General'!$K84),"",'Backlog General'!$K84),"")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IF(AND($C84,ISNUMBER($AR84)),IF(AND(ISNUMBER('Backlog General'!$M84),'Backlog General'!$M84&gt;=$AR84),'Backlog General'!$M84,IF(AND($AU84="Pasa al siguiente",$AT84&lt;&gt;"Completada"),$AR84+1,$AR84)),"")</f>
      </c>
      <c r="AW84" s="202">
        <f>IF(AND($C84,ISNUMBER($AR84)),$AQ84+$AR84*$AP84*'Sprints'!$D$5-'Sprints'!$D$5,"")</f>
      </c>
      <c r="AX84" s="202">
        <f>IF($C84,IF(OR($AT84="Completada",$AU84="Cancelado",$AU84="Baja prioridad",NOT(ISNUMBER($AW84))),0,IF(TODAY()&gt;$AW84,NETWORKDAYS($AW84,TODAY(),'Sprints'!$L$5:$L$40)-1,0)),"")</f>
      </c>
      <c r="AY84" s="203">
        <f>IF($C84,IF(NOT(ISNUMBER($AR84)),"Sin fecha",IF($AT84="Completada","Completada",IF($AU84="Cancelado","Cancelado",IF($AU84="Baja prioridad","Baja prioridad",IF($AX84&gt;0,"Vencida","En curso"))))),"")</f>
      </c>
      <c r="AZ84" s="203">
        <f>IF($C84,IF(ISNUMBER($AV84),$AO84&amp;" · S"&amp;$AV84,"(Sin fecha)"),"")</f>
      </c>
      <c r="BA84" s="202">
        <f>IF(AND($C84,ISNUMBER($AR84),$AR84=$AS84),"Nuevo","")</f>
      </c>
      <c r="BB84" s="202">
        <f>IF(AND($C84,$AO84="Semanal",ISNUMBER($AV84)),$AV84*100000+ROW(),"")</f>
      </c>
      <c r="BC84" s="202">
        <f>IF(AND($C84,$AO84="Quincenal",ISNUMBER($AV84)),$AV84*100000+ROW(),"")</f>
      </c>
      <c r="BD84" s="202">
        <f>IF(AND($C84,$AO84="Mensual",ISNUMBER($AV84)),$AV84*100000+ROW(),"")</f>
      </c>
      <c r="BE84" s="203">
        <f>IF($C84,IF(ISBLANK('Backlog General'!$J84),"",'Backlog General'!$J84),"")</f>
      </c>
      <c r="BF84" s="203">
        <f>IF($C84,IF($BE84="","",$BE84)&amp;IF(AND($BE84&lt;&gt;"",$AH84&lt;&gt;"")," · ","")&amp;IF($AH84="","",$AH84),"")</f>
      </c>
      <c r="BG84" s="203">
        <f>IF($C84,IF($J84="Completado","Sí","No"),"")</f>
      </c>
      <c r="BH84" s="202">
        <f>IF(AND($C84,ISNUMBER($AR84)),IF($AO84="Semanal",1,IF($AO84="Quincenal",2,3))*1000000000+$AR84*100000+ROW(),"")</f>
      </c>
      <c r="BI84" s="202">
        <f>IF($C84,IF($AU84="Cancelado","",$I84),"")</f>
      </c>
      <c r="BJ84" s="202">
        <f>IF($C84,IFERROR(MATCH($D84,$D$7:$D$200,0)+6,ROW()),"")</f>
      </c>
      <c r="BK84" s="202">
        <f>IF(AND($C84,ISNUMBER($AV84)),$BJ84*1000000+$AV84*1000+ROW(),"")</f>
      </c>
      <c r="BL84" s="202">
        <f>IF(AND($C84,ISNUMBER($AW84)),ROUND(($AW84-('Sprints'!$C$5+('Sprints'!$E$5-1)*'Sprints'!$D$5))/'Sprints'!$D$5,0),"")</f>
      </c>
      <c r="BM84" s="203">
        <f>IF($C84,IF(NOT(ISNUMBER($BL84)),"",IF($BL84&lt;0,"Pasada",IF($BL84=0,"Actual",IF($BL84=1,"Siguiente",IF($BL84=2,"+2 sem",IF($BL84=3,"+3 sem","Posterior")))))),"")</f>
      </c>
      <c r="BN84" s="202">
        <f>IF(AND($C84,ISNUMBER($AR84),ISNUMBER($AV84)),MAX(1,$AV84-$AR84+1),0)</f>
        <v>0</v>
      </c>
      <c r="BO84" s="202">
        <f>SUM($BN$7:$BN84)-$BN84</f>
        <v>26</v>
      </c>
      <c r="BP84" s="202">
        <f>IF(AND($C84,ISNUMBER($AV84)),$AQ84+$AV84*$AP84*'Sprints'!$D$5-'Sprints'!$D$5,"")</f>
      </c>
      <c r="BQ84" s="202">
        <f>IF(AND($C84,ISNUMBER($BP84)),$BP84*1000+ROW(),"")</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IF($C85,IF('Backlog General'!$G85="Completada",1,IF('Backlog General'!$G85="Casi lista",0.75,IF('Backlog General'!$G85="En progreso",0.5,IF('Backlog General'!$G85="Iniciada",0.25,0)))),"")</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IF($C85,IF(ISBLANK('Backlog General'!$K85),"",'Backlog General'!$K85),"")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IF(AND($C85,ISNUMBER($AR85)),IF(AND(ISNUMBER('Backlog General'!$M85),'Backlog General'!$M85&gt;=$AR85),'Backlog General'!$M85,IF(AND($AU85="Pasa al siguiente",$AT85&lt;&gt;"Completada"),$AR85+1,$AR85)),"")</f>
      </c>
      <c r="AW85" s="202">
        <f>IF(AND($C85,ISNUMBER($AR85)),$AQ85+$AR85*$AP85*'Sprints'!$D$5-'Sprints'!$D$5,"")</f>
      </c>
      <c r="AX85" s="202">
        <f>IF($C85,IF(OR($AT85="Completada",$AU85="Cancelado",$AU85="Baja prioridad",NOT(ISNUMBER($AW85))),0,IF(TODAY()&gt;$AW85,NETWORKDAYS($AW85,TODAY(),'Sprints'!$L$5:$L$40)-1,0)),"")</f>
      </c>
      <c r="AY85" s="203">
        <f>IF($C85,IF(NOT(ISNUMBER($AR85)),"Sin fecha",IF($AT85="Completada","Completada",IF($AU85="Cancelado","Cancelado",IF($AU85="Baja prioridad","Baja prioridad",IF($AX85&gt;0,"Vencida","En curso"))))),"")</f>
      </c>
      <c r="AZ85" s="203">
        <f>IF($C85,IF(ISNUMBER($AV85),$AO85&amp;" · S"&amp;$AV85,"(Sin fecha)"),"")</f>
      </c>
      <c r="BA85" s="202">
        <f>IF(AND($C85,ISNUMBER($AR85),$AR85=$AS85),"Nuevo","")</f>
      </c>
      <c r="BB85" s="202">
        <f>IF(AND($C85,$AO85="Semanal",ISNUMBER($AV85)),$AV85*100000+ROW(),"")</f>
      </c>
      <c r="BC85" s="202">
        <f>IF(AND($C85,$AO85="Quincenal",ISNUMBER($AV85)),$AV85*100000+ROW(),"")</f>
      </c>
      <c r="BD85" s="202">
        <f>IF(AND($C85,$AO85="Mensual",ISNUMBER($AV85)),$AV85*100000+ROW(),"")</f>
      </c>
      <c r="BE85" s="203">
        <f>IF($C85,IF(ISBLANK('Backlog General'!$J85),"",'Backlog General'!$J85),"")</f>
      </c>
      <c r="BF85" s="203">
        <f>IF($C85,IF($BE85="","",$BE85)&amp;IF(AND($BE85&lt;&gt;"",$AH85&lt;&gt;"")," · ","")&amp;IF($AH85="","",$AH85),"")</f>
      </c>
      <c r="BG85" s="203">
        <f>IF($C85,IF($J85="Completado","Sí","No"),"")</f>
      </c>
      <c r="BH85" s="202">
        <f>IF(AND($C85,ISNUMBER($AR85)),IF($AO85="Semanal",1,IF($AO85="Quincenal",2,3))*1000000000+$AR85*100000+ROW(),"")</f>
      </c>
      <c r="BI85" s="202">
        <f>IF($C85,IF($AU85="Cancelado","",$I85),"")</f>
      </c>
      <c r="BJ85" s="202">
        <f>IF($C85,IFERROR(MATCH($D85,$D$7:$D$200,0)+6,ROW()),"")</f>
      </c>
      <c r="BK85" s="202">
        <f>IF(AND($C85,ISNUMBER($AV85)),$BJ85*1000000+$AV85*1000+ROW(),"")</f>
      </c>
      <c r="BL85" s="202">
        <f>IF(AND($C85,ISNUMBER($AW85)),ROUND(($AW85-('Sprints'!$C$5+('Sprints'!$E$5-1)*'Sprints'!$D$5))/'Sprints'!$D$5,0),"")</f>
      </c>
      <c r="BM85" s="203">
        <f>IF($C85,IF(NOT(ISNUMBER($BL85)),"",IF($BL85&lt;0,"Pasada",IF($BL85=0,"Actual",IF($BL85=1,"Siguiente",IF($BL85=2,"+2 sem",IF($BL85=3,"+3 sem","Posterior")))))),"")</f>
      </c>
      <c r="BN85" s="202">
        <f>IF(AND($C85,ISNUMBER($AR85),ISNUMBER($AV85)),MAX(1,$AV85-$AR85+1),0)</f>
        <v>0</v>
      </c>
      <c r="BO85" s="202">
        <f>SUM($BN$7:$BN85)-$BN85</f>
        <v>26</v>
      </c>
      <c r="BP85" s="202">
        <f>IF(AND($C85,ISNUMBER($AV85)),$AQ85+$AV85*$AP85*'Sprints'!$D$5-'Sprints'!$D$5,"")</f>
      </c>
      <c r="BQ85" s="202">
        <f>IF(AND($C85,ISNUMBER($BP85)),$BP85*1000+ROW(),"")</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IF($C86,IF('Backlog General'!$G86="Completada",1,IF('Backlog General'!$G86="Casi lista",0.75,IF('Backlog General'!$G86="En progreso",0.5,IF('Backlog General'!$G86="Iniciada",0.25,0)))),"")</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IF($C86,IF(ISBLANK('Backlog General'!$K86),"",'Backlog General'!$K86),"")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IF(AND($C86,ISNUMBER($AR86)),IF(AND(ISNUMBER('Backlog General'!$M86),'Backlog General'!$M86&gt;=$AR86),'Backlog General'!$M86,IF(AND($AU86="Pasa al siguiente",$AT86&lt;&gt;"Completada"),$AR86+1,$AR86)),"")</f>
      </c>
      <c r="AW86" s="202">
        <f>IF(AND($C86,ISNUMBER($AR86)),$AQ86+$AR86*$AP86*'Sprints'!$D$5-'Sprints'!$D$5,"")</f>
      </c>
      <c r="AX86" s="202">
        <f>IF($C86,IF(OR($AT86="Completada",$AU86="Cancelado",$AU86="Baja prioridad",NOT(ISNUMBER($AW86))),0,IF(TODAY()&gt;$AW86,NETWORKDAYS($AW86,TODAY(),'Sprints'!$L$5:$L$40)-1,0)),"")</f>
      </c>
      <c r="AY86" s="203">
        <f>IF($C86,IF(NOT(ISNUMBER($AR86)),"Sin fecha",IF($AT86="Completada","Completada",IF($AU86="Cancelado","Cancelado",IF($AU86="Baja prioridad","Baja prioridad",IF($AX86&gt;0,"Vencida","En curso"))))),"")</f>
      </c>
      <c r="AZ86" s="203">
        <f>IF($C86,IF(ISNUMBER($AV86),$AO86&amp;" · S"&amp;$AV86,"(Sin fecha)"),"")</f>
      </c>
      <c r="BA86" s="202">
        <f>IF(AND($C86,ISNUMBER($AR86),$AR86=$AS86),"Nuevo","")</f>
      </c>
      <c r="BB86" s="202">
        <f>IF(AND($C86,$AO86="Semanal",ISNUMBER($AV86)),$AV86*100000+ROW(),"")</f>
      </c>
      <c r="BC86" s="202">
        <f>IF(AND($C86,$AO86="Quincenal",ISNUMBER($AV86)),$AV86*100000+ROW(),"")</f>
      </c>
      <c r="BD86" s="202">
        <f>IF(AND($C86,$AO86="Mensual",ISNUMBER($AV86)),$AV86*100000+ROW(),"")</f>
      </c>
      <c r="BE86" s="203">
        <f>IF($C86,IF(ISBLANK('Backlog General'!$J86),"",'Backlog General'!$J86),"")</f>
      </c>
      <c r="BF86" s="203">
        <f>IF($C86,IF($BE86="","",$BE86)&amp;IF(AND($BE86&lt;&gt;"",$AH86&lt;&gt;"")," · ","")&amp;IF($AH86="","",$AH86),"")</f>
      </c>
      <c r="BG86" s="203">
        <f>IF($C86,IF($J86="Completado","Sí","No"),"")</f>
      </c>
      <c r="BH86" s="202">
        <f>IF(AND($C86,ISNUMBER($AR86)),IF($AO86="Semanal",1,IF($AO86="Quincenal",2,3))*1000000000+$AR86*100000+ROW(),"")</f>
      </c>
      <c r="BI86" s="202">
        <f>IF($C86,IF($AU86="Cancelado","",$I86),"")</f>
      </c>
      <c r="BJ86" s="202">
        <f>IF($C86,IFERROR(MATCH($D86,$D$7:$D$200,0)+6,ROW()),"")</f>
      </c>
      <c r="BK86" s="202">
        <f>IF(AND($C86,ISNUMBER($AV86)),$BJ86*1000000+$AV86*1000+ROW(),"")</f>
      </c>
      <c r="BL86" s="202">
        <f>IF(AND($C86,ISNUMBER($AW86)),ROUND(($AW86-('Sprints'!$C$5+('Sprints'!$E$5-1)*'Sprints'!$D$5))/'Sprints'!$D$5,0),"")</f>
      </c>
      <c r="BM86" s="203">
        <f>IF($C86,IF(NOT(ISNUMBER($BL86)),"",IF($BL86&lt;0,"Pasada",IF($BL86=0,"Actual",IF($BL86=1,"Siguiente",IF($BL86=2,"+2 sem",IF($BL86=3,"+3 sem","Posterior")))))),"")</f>
      </c>
      <c r="BN86" s="202">
        <f>IF(AND($C86,ISNUMBER($AR86),ISNUMBER($AV86)),MAX(1,$AV86-$AR86+1),0)</f>
        <v>0</v>
      </c>
      <c r="BO86" s="202">
        <f>SUM($BN$7:$BN86)-$BN86</f>
        <v>26</v>
      </c>
      <c r="BP86" s="202">
        <f>IF(AND($C86,ISNUMBER($AV86)),$AQ86+$AV86*$AP86*'Sprints'!$D$5-'Sprints'!$D$5,"")</f>
      </c>
      <c r="BQ86" s="202">
        <f>IF(AND($C86,ISNUMBER($BP86)),$BP86*1000+ROW(),"")</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IF($C87,IF('Backlog General'!$G87="Completada",1,IF('Backlog General'!$G87="Casi lista",0.75,IF('Backlog General'!$G87="En progreso",0.5,IF('Backlog General'!$G87="Iniciada",0.25,0)))),"")</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IF($C87,IF(ISBLANK('Backlog General'!$K87),"",'Backlog General'!$K87),"")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IF(AND($C87,ISNUMBER($AR87)),IF(AND(ISNUMBER('Backlog General'!$M87),'Backlog General'!$M87&gt;=$AR87),'Backlog General'!$M87,IF(AND($AU87="Pasa al siguiente",$AT87&lt;&gt;"Completada"),$AR87+1,$AR87)),"")</f>
      </c>
      <c r="AW87" s="202">
        <f>IF(AND($C87,ISNUMBER($AR87)),$AQ87+$AR87*$AP87*'Sprints'!$D$5-'Sprints'!$D$5,"")</f>
      </c>
      <c r="AX87" s="202">
        <f>IF($C87,IF(OR($AT87="Completada",$AU87="Cancelado",$AU87="Baja prioridad",NOT(ISNUMBER($AW87))),0,IF(TODAY()&gt;$AW87,NETWORKDAYS($AW87,TODAY(),'Sprints'!$L$5:$L$40)-1,0)),"")</f>
      </c>
      <c r="AY87" s="203">
        <f>IF($C87,IF(NOT(ISNUMBER($AR87)),"Sin fecha",IF($AT87="Completada","Completada",IF($AU87="Cancelado","Cancelado",IF($AU87="Baja prioridad","Baja prioridad",IF($AX87&gt;0,"Vencida","En curso"))))),"")</f>
      </c>
      <c r="AZ87" s="203">
        <f>IF($C87,IF(ISNUMBER($AV87),$AO87&amp;" · S"&amp;$AV87,"(Sin fecha)"),"")</f>
      </c>
      <c r="BA87" s="202">
        <f>IF(AND($C87,ISNUMBER($AR87),$AR87=$AS87),"Nuevo","")</f>
      </c>
      <c r="BB87" s="202">
        <f>IF(AND($C87,$AO87="Semanal",ISNUMBER($AV87)),$AV87*100000+ROW(),"")</f>
      </c>
      <c r="BC87" s="202">
        <f>IF(AND($C87,$AO87="Quincenal",ISNUMBER($AV87)),$AV87*100000+ROW(),"")</f>
      </c>
      <c r="BD87" s="202">
        <f>IF(AND($C87,$AO87="Mensual",ISNUMBER($AV87)),$AV87*100000+ROW(),"")</f>
      </c>
      <c r="BE87" s="203">
        <f>IF($C87,IF(ISBLANK('Backlog General'!$J87),"",'Backlog General'!$J87),"")</f>
      </c>
      <c r="BF87" s="203">
        <f>IF($C87,IF($BE87="","",$BE87)&amp;IF(AND($BE87&lt;&gt;"",$AH87&lt;&gt;"")," · ","")&amp;IF($AH87="","",$AH87),"")</f>
      </c>
      <c r="BG87" s="203">
        <f>IF($C87,IF($J87="Completado","Sí","No"),"")</f>
      </c>
      <c r="BH87" s="202">
        <f>IF(AND($C87,ISNUMBER($AR87)),IF($AO87="Semanal",1,IF($AO87="Quincenal",2,3))*1000000000+$AR87*100000+ROW(),"")</f>
      </c>
      <c r="BI87" s="202">
        <f>IF($C87,IF($AU87="Cancelado","",$I87),"")</f>
      </c>
      <c r="BJ87" s="202">
        <f>IF($C87,IFERROR(MATCH($D87,$D$7:$D$200,0)+6,ROW()),"")</f>
      </c>
      <c r="BK87" s="202">
        <f>IF(AND($C87,ISNUMBER($AV87)),$BJ87*1000000+$AV87*1000+ROW(),"")</f>
      </c>
      <c r="BL87" s="202">
        <f>IF(AND($C87,ISNUMBER($AW87)),ROUND(($AW87-('Sprints'!$C$5+('Sprints'!$E$5-1)*'Sprints'!$D$5))/'Sprints'!$D$5,0),"")</f>
      </c>
      <c r="BM87" s="203">
        <f>IF($C87,IF(NOT(ISNUMBER($BL87)),"",IF($BL87&lt;0,"Pasada",IF($BL87=0,"Actual",IF($BL87=1,"Siguiente",IF($BL87=2,"+2 sem",IF($BL87=3,"+3 sem","Posterior")))))),"")</f>
      </c>
      <c r="BN87" s="202">
        <f>IF(AND($C87,ISNUMBER($AR87),ISNUMBER($AV87)),MAX(1,$AV87-$AR87+1),0)</f>
        <v>0</v>
      </c>
      <c r="BO87" s="202">
        <f>SUM($BN$7:$BN87)-$BN87</f>
        <v>26</v>
      </c>
      <c r="BP87" s="202">
        <f>IF(AND($C87,ISNUMBER($AV87)),$AQ87+$AV87*$AP87*'Sprints'!$D$5-'Sprints'!$D$5,"")</f>
      </c>
      <c r="BQ87" s="202">
        <f>IF(AND($C87,ISNUMBER($BP87)),$BP87*1000+ROW(),"")</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IF($C88,IF('Backlog General'!$G88="Completada",1,IF('Backlog General'!$G88="Casi lista",0.75,IF('Backlog General'!$G88="En progreso",0.5,IF('Backlog General'!$G88="Iniciada",0.25,0)))),"")</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IF($C88,IF(ISBLANK('Backlog General'!$K88),"",'Backlog General'!$K88),"")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IF(AND($C88,ISNUMBER($AR88)),IF(AND(ISNUMBER('Backlog General'!$M88),'Backlog General'!$M88&gt;=$AR88),'Backlog General'!$M88,IF(AND($AU88="Pasa al siguiente",$AT88&lt;&gt;"Completada"),$AR88+1,$AR88)),"")</f>
      </c>
      <c r="AW88" s="202">
        <f>IF(AND($C88,ISNUMBER($AR88)),$AQ88+$AR88*$AP88*'Sprints'!$D$5-'Sprints'!$D$5,"")</f>
      </c>
      <c r="AX88" s="202">
        <f>IF($C88,IF(OR($AT88="Completada",$AU88="Cancelado",$AU88="Baja prioridad",NOT(ISNUMBER($AW88))),0,IF(TODAY()&gt;$AW88,NETWORKDAYS($AW88,TODAY(),'Sprints'!$L$5:$L$40)-1,0)),"")</f>
      </c>
      <c r="AY88" s="203">
        <f>IF($C88,IF(NOT(ISNUMBER($AR88)),"Sin fecha",IF($AT88="Completada","Completada",IF($AU88="Cancelado","Cancelado",IF($AU88="Baja prioridad","Baja prioridad",IF($AX88&gt;0,"Vencida","En curso"))))),"")</f>
      </c>
      <c r="AZ88" s="203">
        <f>IF($C88,IF(ISNUMBER($AV88),$AO88&amp;" · S"&amp;$AV88,"(Sin fecha)"),"")</f>
      </c>
      <c r="BA88" s="202">
        <f>IF(AND($C88,ISNUMBER($AR88),$AR88=$AS88),"Nuevo","")</f>
      </c>
      <c r="BB88" s="202">
        <f>IF(AND($C88,$AO88="Semanal",ISNUMBER($AV88)),$AV88*100000+ROW(),"")</f>
      </c>
      <c r="BC88" s="202">
        <f>IF(AND($C88,$AO88="Quincenal",ISNUMBER($AV88)),$AV88*100000+ROW(),"")</f>
      </c>
      <c r="BD88" s="202">
        <f>IF(AND($C88,$AO88="Mensual",ISNUMBER($AV88)),$AV88*100000+ROW(),"")</f>
      </c>
      <c r="BE88" s="203">
        <f>IF($C88,IF(ISBLANK('Backlog General'!$J88),"",'Backlog General'!$J88),"")</f>
      </c>
      <c r="BF88" s="203">
        <f>IF($C88,IF($BE88="","",$BE88)&amp;IF(AND($BE88&lt;&gt;"",$AH88&lt;&gt;"")," · ","")&amp;IF($AH88="","",$AH88),"")</f>
      </c>
      <c r="BG88" s="203">
        <f>IF($C88,IF($J88="Completado","Sí","No"),"")</f>
      </c>
      <c r="BH88" s="202">
        <f>IF(AND($C88,ISNUMBER($AR88)),IF($AO88="Semanal",1,IF($AO88="Quincenal",2,3))*1000000000+$AR88*100000+ROW(),"")</f>
      </c>
      <c r="BI88" s="202">
        <f>IF($C88,IF($AU88="Cancelado","",$I88),"")</f>
      </c>
      <c r="BJ88" s="202">
        <f>IF($C88,IFERROR(MATCH($D88,$D$7:$D$200,0)+6,ROW()),"")</f>
      </c>
      <c r="BK88" s="202">
        <f>IF(AND($C88,ISNUMBER($AV88)),$BJ88*1000000+$AV88*1000+ROW(),"")</f>
      </c>
      <c r="BL88" s="202">
        <f>IF(AND($C88,ISNUMBER($AW88)),ROUND(($AW88-('Sprints'!$C$5+('Sprints'!$E$5-1)*'Sprints'!$D$5))/'Sprints'!$D$5,0),"")</f>
      </c>
      <c r="BM88" s="203">
        <f>IF($C88,IF(NOT(ISNUMBER($BL88)),"",IF($BL88&lt;0,"Pasada",IF($BL88=0,"Actual",IF($BL88=1,"Siguiente",IF($BL88=2,"+2 sem",IF($BL88=3,"+3 sem","Posterior")))))),"")</f>
      </c>
      <c r="BN88" s="202">
        <f>IF(AND($C88,ISNUMBER($AR88),ISNUMBER($AV88)),MAX(1,$AV88-$AR88+1),0)</f>
        <v>0</v>
      </c>
      <c r="BO88" s="202">
        <f>SUM($BN$7:$BN88)-$BN88</f>
        <v>26</v>
      </c>
      <c r="BP88" s="202">
        <f>IF(AND($C88,ISNUMBER($AV88)),$AQ88+$AV88*$AP88*'Sprints'!$D$5-'Sprints'!$D$5,"")</f>
      </c>
      <c r="BQ88" s="202">
        <f>IF(AND($C88,ISNUMBER($BP88)),$BP88*1000+ROW(),"")</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IF($C89,IF('Backlog General'!$G89="Completada",1,IF('Backlog General'!$G89="Casi lista",0.75,IF('Backlog General'!$G89="En progreso",0.5,IF('Backlog General'!$G89="Iniciada",0.25,0)))),"")</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IF($C89,IF(ISBLANK('Backlog General'!$K89),"",'Backlog General'!$K89),"")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IF(AND($C89,ISNUMBER($AR89)),IF(AND(ISNUMBER('Backlog General'!$M89),'Backlog General'!$M89&gt;=$AR89),'Backlog General'!$M89,IF(AND($AU89="Pasa al siguiente",$AT89&lt;&gt;"Completada"),$AR89+1,$AR89)),"")</f>
      </c>
      <c r="AW89" s="202">
        <f>IF(AND($C89,ISNUMBER($AR89)),$AQ89+$AR89*$AP89*'Sprints'!$D$5-'Sprints'!$D$5,"")</f>
      </c>
      <c r="AX89" s="202">
        <f>IF($C89,IF(OR($AT89="Completada",$AU89="Cancelado",$AU89="Baja prioridad",NOT(ISNUMBER($AW89))),0,IF(TODAY()&gt;$AW89,NETWORKDAYS($AW89,TODAY(),'Sprints'!$L$5:$L$40)-1,0)),"")</f>
      </c>
      <c r="AY89" s="203">
        <f>IF($C89,IF(NOT(ISNUMBER($AR89)),"Sin fecha",IF($AT89="Completada","Completada",IF($AU89="Cancelado","Cancelado",IF($AU89="Baja prioridad","Baja prioridad",IF($AX89&gt;0,"Vencida","En curso"))))),"")</f>
      </c>
      <c r="AZ89" s="203">
        <f>IF($C89,IF(ISNUMBER($AV89),$AO89&amp;" · S"&amp;$AV89,"(Sin fecha)"),"")</f>
      </c>
      <c r="BA89" s="202">
        <f>IF(AND($C89,ISNUMBER($AR89),$AR89=$AS89),"Nuevo","")</f>
      </c>
      <c r="BB89" s="202">
        <f>IF(AND($C89,$AO89="Semanal",ISNUMBER($AV89)),$AV89*100000+ROW(),"")</f>
      </c>
      <c r="BC89" s="202">
        <f>IF(AND($C89,$AO89="Quincenal",ISNUMBER($AV89)),$AV89*100000+ROW(),"")</f>
      </c>
      <c r="BD89" s="202">
        <f>IF(AND($C89,$AO89="Mensual",ISNUMBER($AV89)),$AV89*100000+ROW(),"")</f>
      </c>
      <c r="BE89" s="203">
        <f>IF($C89,IF(ISBLANK('Backlog General'!$J89),"",'Backlog General'!$J89),"")</f>
      </c>
      <c r="BF89" s="203">
        <f>IF($C89,IF($BE89="","",$BE89)&amp;IF(AND($BE89&lt;&gt;"",$AH89&lt;&gt;"")," · ","")&amp;IF($AH89="","",$AH89),"")</f>
      </c>
      <c r="BG89" s="203">
        <f>IF($C89,IF($J89="Completado","Sí","No"),"")</f>
      </c>
      <c r="BH89" s="202">
        <f>IF(AND($C89,ISNUMBER($AR89)),IF($AO89="Semanal",1,IF($AO89="Quincenal",2,3))*1000000000+$AR89*100000+ROW(),"")</f>
      </c>
      <c r="BI89" s="202">
        <f>IF($C89,IF($AU89="Cancelado","",$I89),"")</f>
      </c>
      <c r="BJ89" s="202">
        <f>IF($C89,IFERROR(MATCH($D89,$D$7:$D$200,0)+6,ROW()),"")</f>
      </c>
      <c r="BK89" s="202">
        <f>IF(AND($C89,ISNUMBER($AV89)),$BJ89*1000000+$AV89*1000+ROW(),"")</f>
      </c>
      <c r="BL89" s="202">
        <f>IF(AND($C89,ISNUMBER($AW89)),ROUND(($AW89-('Sprints'!$C$5+('Sprints'!$E$5-1)*'Sprints'!$D$5))/'Sprints'!$D$5,0),"")</f>
      </c>
      <c r="BM89" s="203">
        <f>IF($C89,IF(NOT(ISNUMBER($BL89)),"",IF($BL89&lt;0,"Pasada",IF($BL89=0,"Actual",IF($BL89=1,"Siguiente",IF($BL89=2,"+2 sem",IF($BL89=3,"+3 sem","Posterior")))))),"")</f>
      </c>
      <c r="BN89" s="202">
        <f>IF(AND($C89,ISNUMBER($AR89),ISNUMBER($AV89)),MAX(1,$AV89-$AR89+1),0)</f>
        <v>0</v>
      </c>
      <c r="BO89" s="202">
        <f>SUM($BN$7:$BN89)-$BN89</f>
        <v>26</v>
      </c>
      <c r="BP89" s="202">
        <f>IF(AND($C89,ISNUMBER($AV89)),$AQ89+$AV89*$AP89*'Sprints'!$D$5-'Sprints'!$D$5,"")</f>
      </c>
      <c r="BQ89" s="202">
        <f>IF(AND($C89,ISNUMBER($BP89)),$BP89*1000+ROW(),"")</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IF($C90,IF('Backlog General'!$G90="Completada",1,IF('Backlog General'!$G90="Casi lista",0.75,IF('Backlog General'!$G90="En progreso",0.5,IF('Backlog General'!$G90="Iniciada",0.25,0)))),"")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IF($C90,IF(ISBLANK('Backlog General'!$K90),"",'Backlog General'!$K90),"")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IF(AND($C90,ISNUMBER($AR90)),IF(AND(ISNUMBER('Backlog General'!$M90),'Backlog General'!$M90&gt;=$AR90),'Backlog General'!$M90,IF(AND($AU90="Pasa al siguiente",$AT90&lt;&gt;"Completada"),$AR90+1,$AR90)),"")</f>
      </c>
      <c r="AW90" s="202">
        <f>IF(AND($C90,ISNUMBER($AR90)),$AQ90+$AR90*$AP90*'Sprints'!$D$5-'Sprints'!$D$5,"")</f>
      </c>
      <c r="AX90" s="202">
        <f>IF($C90,IF(OR($AT90="Completada",$AU90="Cancelado",$AU90="Baja prioridad",NOT(ISNUMBER($AW90))),0,IF(TODAY()&gt;$AW90,NETWORKDAYS($AW90,TODAY(),'Sprints'!$L$5:$L$40)-1,0)),"")</f>
      </c>
      <c r="AY90" s="203">
        <f>IF($C90,IF(NOT(ISNUMBER($AR90)),"Sin fecha",IF($AT90="Completada","Completada",IF($AU90="Cancelado","Cancelado",IF($AU90="Baja prioridad","Baja prioridad",IF($AX90&gt;0,"Vencida","En curso"))))),"")</f>
      </c>
      <c r="AZ90" s="203">
        <f>IF($C90,IF(ISNUMBER($AV90),$AO90&amp;" · S"&amp;$AV90,"(Sin fecha)"),"")</f>
      </c>
      <c r="BA90" s="202">
        <f>IF(AND($C90,ISNUMBER($AR90),$AR90=$AS90),"Nuevo","")</f>
      </c>
      <c r="BB90" s="202">
        <f>IF(AND($C90,$AO90="Semanal",ISNUMBER($AV90)),$AV90*100000+ROW(),"")</f>
      </c>
      <c r="BC90" s="202">
        <f>IF(AND($C90,$AO90="Quincenal",ISNUMBER($AV90)),$AV90*100000+ROW(),"")</f>
      </c>
      <c r="BD90" s="202">
        <f>IF(AND($C90,$AO90="Mensual",ISNUMBER($AV90)),$AV90*100000+ROW(),"")</f>
      </c>
      <c r="BE90" s="203">
        <f>IF($C90,IF(ISBLANK('Backlog General'!$J90),"",'Backlog General'!$J90),"")</f>
      </c>
      <c r="BF90" s="203">
        <f>IF($C90,IF($BE90="","",$BE90)&amp;IF(AND($BE90&lt;&gt;"",$AH90&lt;&gt;"")," · ","")&amp;IF($AH90="","",$AH90),"")</f>
      </c>
      <c r="BG90" s="203">
        <f>IF($C90,IF($J90="Completado","Sí","No"),"")</f>
      </c>
      <c r="BH90" s="202">
        <f>IF(AND($C90,ISNUMBER($AR90)),IF($AO90="Semanal",1,IF($AO90="Quincenal",2,3))*1000000000+$AR90*100000+ROW(),"")</f>
      </c>
      <c r="BI90" s="202">
        <f>IF($C90,IF($AU90="Cancelado","",$I90),"")</f>
      </c>
      <c r="BJ90" s="202">
        <f>IF($C90,IFERROR(MATCH($D90,$D$7:$D$200,0)+6,ROW()),"")</f>
      </c>
      <c r="BK90" s="202">
        <f>IF(AND($C90,ISNUMBER($AV90)),$BJ90*1000000+$AV90*1000+ROW(),"")</f>
      </c>
      <c r="BL90" s="202">
        <f>IF(AND($C90,ISNUMBER($AW90)),ROUND(($AW90-('Sprints'!$C$5+('Sprints'!$E$5-1)*'Sprints'!$D$5))/'Sprints'!$D$5,0),"")</f>
      </c>
      <c r="BM90" s="203">
        <f>IF($C90,IF(NOT(ISNUMBER($BL90)),"",IF($BL90&lt;0,"Pasada",IF($BL90=0,"Actual",IF($BL90=1,"Siguiente",IF($BL90=2,"+2 sem",IF($BL90=3,"+3 sem","Posterior")))))),"")</f>
      </c>
      <c r="BN90" s="202">
        <f>IF(AND($C90,ISNUMBER($AR90),ISNUMBER($AV90)),MAX(1,$AV90-$AR90+1),0)</f>
        <v>0</v>
      </c>
      <c r="BO90" s="202">
        <f>SUM($BN$7:$BN90)-$BN90</f>
        <v>26</v>
      </c>
      <c r="BP90" s="202">
        <f>IF(AND($C90,ISNUMBER($AV90)),$AQ90+$AV90*$AP90*'Sprints'!$D$5-'Sprints'!$D$5,"")</f>
      </c>
      <c r="BQ90" s="202">
        <f>IF(AND($C90,ISNUMBER($BP90)),$BP90*1000+ROW(),"")</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IF($C91,IF('Backlog General'!$G91="Completada",1,IF('Backlog General'!$G91="Casi lista",0.75,IF('Backlog General'!$G91="En progreso",0.5,IF('Backlog General'!$G91="Iniciada",0.25,0)))),"")</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IF($C91,IF(ISBLANK('Backlog General'!$K91),"",'Backlog General'!$K91),"")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IF(AND($C91,ISNUMBER($AR91)),IF(AND(ISNUMBER('Backlog General'!$M91),'Backlog General'!$M91&gt;=$AR91),'Backlog General'!$M91,IF(AND($AU91="Pasa al siguiente",$AT91&lt;&gt;"Completada"),$AR91+1,$AR91)),"")</f>
      </c>
      <c r="AW91" s="202">
        <f>IF(AND($C91,ISNUMBER($AR91)),$AQ91+$AR91*$AP91*'Sprints'!$D$5-'Sprints'!$D$5,"")</f>
      </c>
      <c r="AX91" s="202">
        <f>IF($C91,IF(OR($AT91="Completada",$AU91="Cancelado",$AU91="Baja prioridad",NOT(ISNUMBER($AW91))),0,IF(TODAY()&gt;$AW91,NETWORKDAYS($AW91,TODAY(),'Sprints'!$L$5:$L$40)-1,0)),"")</f>
      </c>
      <c r="AY91" s="203">
        <f>IF($C91,IF(NOT(ISNUMBER($AR91)),"Sin fecha",IF($AT91="Completada","Completada",IF($AU91="Cancelado","Cancelado",IF($AU91="Baja prioridad","Baja prioridad",IF($AX91&gt;0,"Vencida","En curso"))))),"")</f>
      </c>
      <c r="AZ91" s="203">
        <f>IF($C91,IF(ISNUMBER($AV91),$AO91&amp;" · S"&amp;$AV91,"(Sin fecha)"),"")</f>
      </c>
      <c r="BA91" s="202">
        <f>IF(AND($C91,ISNUMBER($AR91),$AR91=$AS91),"Nuevo","")</f>
      </c>
      <c r="BB91" s="202">
        <f>IF(AND($C91,$AO91="Semanal",ISNUMBER($AV91)),$AV91*100000+ROW(),"")</f>
      </c>
      <c r="BC91" s="202">
        <f>IF(AND($C91,$AO91="Quincenal",ISNUMBER($AV91)),$AV91*100000+ROW(),"")</f>
      </c>
      <c r="BD91" s="202">
        <f>IF(AND($C91,$AO91="Mensual",ISNUMBER($AV91)),$AV91*100000+ROW(),"")</f>
      </c>
      <c r="BE91" s="203">
        <f>IF($C91,IF(ISBLANK('Backlog General'!$J91),"",'Backlog General'!$J91),"")</f>
      </c>
      <c r="BF91" s="203">
        <f>IF($C91,IF($BE91="","",$BE91)&amp;IF(AND($BE91&lt;&gt;"",$AH91&lt;&gt;"")," · ","")&amp;IF($AH91="","",$AH91),"")</f>
      </c>
      <c r="BG91" s="203">
        <f>IF($C91,IF($J91="Completado","Sí","No"),"")</f>
      </c>
      <c r="BH91" s="202">
        <f>IF(AND($C91,ISNUMBER($AR91)),IF($AO91="Semanal",1,IF($AO91="Quincenal",2,3))*1000000000+$AR91*100000+ROW(),"")</f>
      </c>
      <c r="BI91" s="202">
        <f>IF($C91,IF($AU91="Cancelado","",$I91),"")</f>
      </c>
      <c r="BJ91" s="202">
        <f>IF($C91,IFERROR(MATCH($D91,$D$7:$D$200,0)+6,ROW()),"")</f>
      </c>
      <c r="BK91" s="202">
        <f>IF(AND($C91,ISNUMBER($AV91)),$BJ91*1000000+$AV91*1000+ROW(),"")</f>
      </c>
      <c r="BL91" s="202">
        <f>IF(AND($C91,ISNUMBER($AW91)),ROUND(($AW91-('Sprints'!$C$5+('Sprints'!$E$5-1)*'Sprints'!$D$5))/'Sprints'!$D$5,0),"")</f>
      </c>
      <c r="BM91" s="203">
        <f>IF($C91,IF(NOT(ISNUMBER($BL91)),"",IF($BL91&lt;0,"Pasada",IF($BL91=0,"Actual",IF($BL91=1,"Siguiente",IF($BL91=2,"+2 sem",IF($BL91=3,"+3 sem","Posterior")))))),"")</f>
      </c>
      <c r="BN91" s="202">
        <f>IF(AND($C91,ISNUMBER($AR91),ISNUMBER($AV91)),MAX(1,$AV91-$AR91+1),0)</f>
        <v>0</v>
      </c>
      <c r="BO91" s="202">
        <f>SUM($BN$7:$BN91)-$BN91</f>
        <v>26</v>
      </c>
      <c r="BP91" s="202">
        <f>IF(AND($C91,ISNUMBER($AV91)),$AQ91+$AV91*$AP91*'Sprints'!$D$5-'Sprints'!$D$5,"")</f>
      </c>
      <c r="BQ91" s="202">
        <f>IF(AND($C91,ISNUMBER($BP91)),$BP91*1000+ROW(),"")</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IF($C92,IF('Backlog General'!$G92="Completada",1,IF('Backlog General'!$G92="Casi lista",0.75,IF('Backlog General'!$G92="En progreso",0.5,IF('Backlog General'!$G92="Iniciada",0.25,0)))),"")</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IF($C92,IF(ISBLANK('Backlog General'!$K92),"",'Backlog General'!$K92),"")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IF(AND($C92,ISNUMBER($AR92)),IF(AND(ISNUMBER('Backlog General'!$M92),'Backlog General'!$M92&gt;=$AR92),'Backlog General'!$M92,IF(AND($AU92="Pasa al siguiente",$AT92&lt;&gt;"Completada"),$AR92+1,$AR92)),"")</f>
      </c>
      <c r="AW92" s="202">
        <f>IF(AND($C92,ISNUMBER($AR92)),$AQ92+$AR92*$AP92*'Sprints'!$D$5-'Sprints'!$D$5,"")</f>
      </c>
      <c r="AX92" s="202">
        <f>IF($C92,IF(OR($AT92="Completada",$AU92="Cancelado",$AU92="Baja prioridad",NOT(ISNUMBER($AW92))),0,IF(TODAY()&gt;$AW92,NETWORKDAYS($AW92,TODAY(),'Sprints'!$L$5:$L$40)-1,0)),"")</f>
      </c>
      <c r="AY92" s="203">
        <f>IF($C92,IF(NOT(ISNUMBER($AR92)),"Sin fecha",IF($AT92="Completada","Completada",IF($AU92="Cancelado","Cancelado",IF($AU92="Baja prioridad","Baja prioridad",IF($AX92&gt;0,"Vencida","En curso"))))),"")</f>
      </c>
      <c r="AZ92" s="203">
        <f>IF($C92,IF(ISNUMBER($AV92),$AO92&amp;" · S"&amp;$AV92,"(Sin fecha)"),"")</f>
      </c>
      <c r="BA92" s="202">
        <f>IF(AND($C92,ISNUMBER($AR92),$AR92=$AS92),"Nuevo","")</f>
      </c>
      <c r="BB92" s="202">
        <f>IF(AND($C92,$AO92="Semanal",ISNUMBER($AV92)),$AV92*100000+ROW(),"")</f>
      </c>
      <c r="BC92" s="202">
        <f>IF(AND($C92,$AO92="Quincenal",ISNUMBER($AV92)),$AV92*100000+ROW(),"")</f>
      </c>
      <c r="BD92" s="202">
        <f>IF(AND($C92,$AO92="Mensual",ISNUMBER($AV92)),$AV92*100000+ROW(),"")</f>
      </c>
      <c r="BE92" s="203">
        <f>IF($C92,IF(ISBLANK('Backlog General'!$J92),"",'Backlog General'!$J92),"")</f>
      </c>
      <c r="BF92" s="203">
        <f>IF($C92,IF($BE92="","",$BE92)&amp;IF(AND($BE92&lt;&gt;"",$AH92&lt;&gt;"")," · ","")&amp;IF($AH92="","",$AH92),"")</f>
      </c>
      <c r="BG92" s="203">
        <f>IF($C92,IF($J92="Completado","Sí","No"),"")</f>
      </c>
      <c r="BH92" s="202">
        <f>IF(AND($C92,ISNUMBER($AR92)),IF($AO92="Semanal",1,IF($AO92="Quincenal",2,3))*1000000000+$AR92*100000+ROW(),"")</f>
      </c>
      <c r="BI92" s="202">
        <f>IF($C92,IF($AU92="Cancelado","",$I92),"")</f>
      </c>
      <c r="BJ92" s="202">
        <f>IF($C92,IFERROR(MATCH($D92,$D$7:$D$200,0)+6,ROW()),"")</f>
      </c>
      <c r="BK92" s="202">
        <f>IF(AND($C92,ISNUMBER($AV92)),$BJ92*1000000+$AV92*1000+ROW(),"")</f>
      </c>
      <c r="BL92" s="202">
        <f>IF(AND($C92,ISNUMBER($AW92)),ROUND(($AW92-('Sprints'!$C$5+('Sprints'!$E$5-1)*'Sprints'!$D$5))/'Sprints'!$D$5,0),"")</f>
      </c>
      <c r="BM92" s="203">
        <f>IF($C92,IF(NOT(ISNUMBER($BL92)),"",IF($BL92&lt;0,"Pasada",IF($BL92=0,"Actual",IF($BL92=1,"Siguiente",IF($BL92=2,"+2 sem",IF($BL92=3,"+3 sem","Posterior")))))),"")</f>
      </c>
      <c r="BN92" s="202">
        <f>IF(AND($C92,ISNUMBER($AR92),ISNUMBER($AV92)),MAX(1,$AV92-$AR92+1),0)</f>
        <v>0</v>
      </c>
      <c r="BO92" s="202">
        <f>SUM($BN$7:$BN92)-$BN92</f>
        <v>26</v>
      </c>
      <c r="BP92" s="202">
        <f>IF(AND($C92,ISNUMBER($AV92)),$AQ92+$AV92*$AP92*'Sprints'!$D$5-'Sprints'!$D$5,"")</f>
      </c>
      <c r="BQ92" s="202">
        <f>IF(AND($C92,ISNUMBER($BP92)),$BP92*1000+ROW(),"")</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IF($C93,IF('Backlog General'!$G93="Completada",1,IF('Backlog General'!$G93="Casi lista",0.75,IF('Backlog General'!$G93="En progreso",0.5,IF('Backlog General'!$G93="Iniciada",0.25,0)))),"")</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IF($C93,IF(ISBLANK('Backlog General'!$K93),"",'Backlog General'!$K93),"")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IF(AND($C93,ISNUMBER($AR93)),IF(AND(ISNUMBER('Backlog General'!$M93),'Backlog General'!$M93&gt;=$AR93),'Backlog General'!$M93,IF(AND($AU93="Pasa al siguiente",$AT93&lt;&gt;"Completada"),$AR93+1,$AR93)),"")</f>
      </c>
      <c r="AW93" s="202">
        <f>IF(AND($C93,ISNUMBER($AR93)),$AQ93+$AR93*$AP93*'Sprints'!$D$5-'Sprints'!$D$5,"")</f>
      </c>
      <c r="AX93" s="202">
        <f>IF($C93,IF(OR($AT93="Completada",$AU93="Cancelado",$AU93="Baja prioridad",NOT(ISNUMBER($AW93))),0,IF(TODAY()&gt;$AW93,NETWORKDAYS($AW93,TODAY(),'Sprints'!$L$5:$L$40)-1,0)),"")</f>
      </c>
      <c r="AY93" s="203">
        <f>IF($C93,IF(NOT(ISNUMBER($AR93)),"Sin fecha",IF($AT93="Completada","Completada",IF($AU93="Cancelado","Cancelado",IF($AU93="Baja prioridad","Baja prioridad",IF($AX93&gt;0,"Vencida","En curso"))))),"")</f>
      </c>
      <c r="AZ93" s="203">
        <f>IF($C93,IF(ISNUMBER($AV93),$AO93&amp;" · S"&amp;$AV93,"(Sin fecha)"),"")</f>
      </c>
      <c r="BA93" s="202">
        <f>IF(AND($C93,ISNUMBER($AR93),$AR93=$AS93),"Nuevo","")</f>
      </c>
      <c r="BB93" s="202">
        <f>IF(AND($C93,$AO93="Semanal",ISNUMBER($AV93)),$AV93*100000+ROW(),"")</f>
      </c>
      <c r="BC93" s="202">
        <f>IF(AND($C93,$AO93="Quincenal",ISNUMBER($AV93)),$AV93*100000+ROW(),"")</f>
      </c>
      <c r="BD93" s="202">
        <f>IF(AND($C93,$AO93="Mensual",ISNUMBER($AV93)),$AV93*100000+ROW(),"")</f>
      </c>
      <c r="BE93" s="203">
        <f>IF($C93,IF(ISBLANK('Backlog General'!$J93),"",'Backlog General'!$J93),"")</f>
      </c>
      <c r="BF93" s="203">
        <f>IF($C93,IF($BE93="","",$BE93)&amp;IF(AND($BE93&lt;&gt;"",$AH93&lt;&gt;"")," · ","")&amp;IF($AH93="","",$AH93),"")</f>
      </c>
      <c r="BG93" s="203">
        <f>IF($C93,IF($J93="Completado","Sí","No"),"")</f>
      </c>
      <c r="BH93" s="202">
        <f>IF(AND($C93,ISNUMBER($AR93)),IF($AO93="Semanal",1,IF($AO93="Quincenal",2,3))*1000000000+$AR93*100000+ROW(),"")</f>
      </c>
      <c r="BI93" s="202">
        <f>IF($C93,IF($AU93="Cancelado","",$I93),"")</f>
      </c>
      <c r="BJ93" s="202">
        <f>IF($C93,IFERROR(MATCH($D93,$D$7:$D$200,0)+6,ROW()),"")</f>
      </c>
      <c r="BK93" s="202">
        <f>IF(AND($C93,ISNUMBER($AV93)),$BJ93*1000000+$AV93*1000+ROW(),"")</f>
      </c>
      <c r="BL93" s="202">
        <f>IF(AND($C93,ISNUMBER($AW93)),ROUND(($AW93-('Sprints'!$C$5+('Sprints'!$E$5-1)*'Sprints'!$D$5))/'Sprints'!$D$5,0),"")</f>
      </c>
      <c r="BM93" s="203">
        <f>IF($C93,IF(NOT(ISNUMBER($BL93)),"",IF($BL93&lt;0,"Pasada",IF($BL93=0,"Actual",IF($BL93=1,"Siguiente",IF($BL93=2,"+2 sem",IF($BL93=3,"+3 sem","Posterior")))))),"")</f>
      </c>
      <c r="BN93" s="202">
        <f>IF(AND($C93,ISNUMBER($AR93),ISNUMBER($AV93)),MAX(1,$AV93-$AR93+1),0)</f>
        <v>0</v>
      </c>
      <c r="BO93" s="202">
        <f>SUM($BN$7:$BN93)-$BN93</f>
        <v>26</v>
      </c>
      <c r="BP93" s="202">
        <f>IF(AND($C93,ISNUMBER($AV93)),$AQ93+$AV93*$AP93*'Sprints'!$D$5-'Sprints'!$D$5,"")</f>
      </c>
      <c r="BQ93" s="202">
        <f>IF(AND($C93,ISNUMBER($BP93)),$BP93*1000+ROW(),"")</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IF($C94,IF('Backlog General'!$G94="Completada",1,IF('Backlog General'!$G94="Casi lista",0.75,IF('Backlog General'!$G94="En progreso",0.5,IF('Backlog General'!$G94="Iniciada",0.25,0)))),"")</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IF($C94,IF(ISBLANK('Backlog General'!$K94),"",'Backlog General'!$K94),"")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IF(AND($C94,ISNUMBER($AR94)),IF(AND(ISNUMBER('Backlog General'!$M94),'Backlog General'!$M94&gt;=$AR94),'Backlog General'!$M94,IF(AND($AU94="Pasa al siguiente",$AT94&lt;&gt;"Completada"),$AR94+1,$AR94)),"")</f>
      </c>
      <c r="AW94" s="202">
        <f>IF(AND($C94,ISNUMBER($AR94)),$AQ94+$AR94*$AP94*'Sprints'!$D$5-'Sprints'!$D$5,"")</f>
      </c>
      <c r="AX94" s="202">
        <f>IF($C94,IF(OR($AT94="Completada",$AU94="Cancelado",$AU94="Baja prioridad",NOT(ISNUMBER($AW94))),0,IF(TODAY()&gt;$AW94,NETWORKDAYS($AW94,TODAY(),'Sprints'!$L$5:$L$40)-1,0)),"")</f>
      </c>
      <c r="AY94" s="203">
        <f>IF($C94,IF(NOT(ISNUMBER($AR94)),"Sin fecha",IF($AT94="Completada","Completada",IF($AU94="Cancelado","Cancelado",IF($AU94="Baja prioridad","Baja prioridad",IF($AX94&gt;0,"Vencida","En curso"))))),"")</f>
      </c>
      <c r="AZ94" s="203">
        <f>IF($C94,IF(ISNUMBER($AV94),$AO94&amp;" · S"&amp;$AV94,"(Sin fecha)"),"")</f>
      </c>
      <c r="BA94" s="202">
        <f>IF(AND($C94,ISNUMBER($AR94),$AR94=$AS94),"Nuevo","")</f>
      </c>
      <c r="BB94" s="202">
        <f>IF(AND($C94,$AO94="Semanal",ISNUMBER($AV94)),$AV94*100000+ROW(),"")</f>
      </c>
      <c r="BC94" s="202">
        <f>IF(AND($C94,$AO94="Quincenal",ISNUMBER($AV94)),$AV94*100000+ROW(),"")</f>
      </c>
      <c r="BD94" s="202">
        <f>IF(AND($C94,$AO94="Mensual",ISNUMBER($AV94)),$AV94*100000+ROW(),"")</f>
      </c>
      <c r="BE94" s="203">
        <f>IF($C94,IF(ISBLANK('Backlog General'!$J94),"",'Backlog General'!$J94),"")</f>
      </c>
      <c r="BF94" s="203">
        <f>IF($C94,IF($BE94="","",$BE94)&amp;IF(AND($BE94&lt;&gt;"",$AH94&lt;&gt;"")," · ","")&amp;IF($AH94="","",$AH94),"")</f>
      </c>
      <c r="BG94" s="203">
        <f>IF($C94,IF($J94="Completado","Sí","No"),"")</f>
      </c>
      <c r="BH94" s="202">
        <f>IF(AND($C94,ISNUMBER($AR94)),IF($AO94="Semanal",1,IF($AO94="Quincenal",2,3))*1000000000+$AR94*100000+ROW(),"")</f>
      </c>
      <c r="BI94" s="202">
        <f>IF($C94,IF($AU94="Cancelado","",$I94),"")</f>
      </c>
      <c r="BJ94" s="202">
        <f>IF($C94,IFERROR(MATCH($D94,$D$7:$D$200,0)+6,ROW()),"")</f>
      </c>
      <c r="BK94" s="202">
        <f>IF(AND($C94,ISNUMBER($AV94)),$BJ94*1000000+$AV94*1000+ROW(),"")</f>
      </c>
      <c r="BL94" s="202">
        <f>IF(AND($C94,ISNUMBER($AW94)),ROUND(($AW94-('Sprints'!$C$5+('Sprints'!$E$5-1)*'Sprints'!$D$5))/'Sprints'!$D$5,0),"")</f>
      </c>
      <c r="BM94" s="203">
        <f>IF($C94,IF(NOT(ISNUMBER($BL94)),"",IF($BL94&lt;0,"Pasada",IF($BL94=0,"Actual",IF($BL94=1,"Siguiente",IF($BL94=2,"+2 sem",IF($BL94=3,"+3 sem","Posterior")))))),"")</f>
      </c>
      <c r="BN94" s="202">
        <f>IF(AND($C94,ISNUMBER($AR94),ISNUMBER($AV94)),MAX(1,$AV94-$AR94+1),0)</f>
        <v>0</v>
      </c>
      <c r="BO94" s="202">
        <f>SUM($BN$7:$BN94)-$BN94</f>
        <v>26</v>
      </c>
      <c r="BP94" s="202">
        <f>IF(AND($C94,ISNUMBER($AV94)),$AQ94+$AV94*$AP94*'Sprints'!$D$5-'Sprints'!$D$5,"")</f>
      </c>
      <c r="BQ94" s="202">
        <f>IF(AND($C94,ISNUMBER($BP94)),$BP94*1000+ROW(),"")</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IF($C95,IF('Backlog General'!$G95="Completada",1,IF('Backlog General'!$G95="Casi lista",0.75,IF('Backlog General'!$G95="En progreso",0.5,IF('Backlog General'!$G95="Iniciada",0.25,0)))),"")</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IF($C95,IF(ISBLANK('Backlog General'!$K95),"",'Backlog General'!$K95),"")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IF(AND($C95,ISNUMBER($AR95)),IF(AND(ISNUMBER('Backlog General'!$M95),'Backlog General'!$M95&gt;=$AR95),'Backlog General'!$M95,IF(AND($AU95="Pasa al siguiente",$AT95&lt;&gt;"Completada"),$AR95+1,$AR95)),"")</f>
      </c>
      <c r="AW95" s="202">
        <f>IF(AND($C95,ISNUMBER($AR95)),$AQ95+$AR95*$AP95*'Sprints'!$D$5-'Sprints'!$D$5,"")</f>
      </c>
      <c r="AX95" s="202">
        <f>IF($C95,IF(OR($AT95="Completada",$AU95="Cancelado",$AU95="Baja prioridad",NOT(ISNUMBER($AW95))),0,IF(TODAY()&gt;$AW95,NETWORKDAYS($AW95,TODAY(),'Sprints'!$L$5:$L$40)-1,0)),"")</f>
      </c>
      <c r="AY95" s="203">
        <f>IF($C95,IF(NOT(ISNUMBER($AR95)),"Sin fecha",IF($AT95="Completada","Completada",IF($AU95="Cancelado","Cancelado",IF($AU95="Baja prioridad","Baja prioridad",IF($AX95&gt;0,"Vencida","En curso"))))),"")</f>
      </c>
      <c r="AZ95" s="203">
        <f>IF($C95,IF(ISNUMBER($AV95),$AO95&amp;" · S"&amp;$AV95,"(Sin fecha)"),"")</f>
      </c>
      <c r="BA95" s="202">
        <f>IF(AND($C95,ISNUMBER($AR95),$AR95=$AS95),"Nuevo","")</f>
      </c>
      <c r="BB95" s="202">
        <f>IF(AND($C95,$AO95="Semanal",ISNUMBER($AV95)),$AV95*100000+ROW(),"")</f>
      </c>
      <c r="BC95" s="202">
        <f>IF(AND($C95,$AO95="Quincenal",ISNUMBER($AV95)),$AV95*100000+ROW(),"")</f>
      </c>
      <c r="BD95" s="202">
        <f>IF(AND($C95,$AO95="Mensual",ISNUMBER($AV95)),$AV95*100000+ROW(),"")</f>
      </c>
      <c r="BE95" s="203">
        <f>IF($C95,IF(ISBLANK('Backlog General'!$J95),"",'Backlog General'!$J95),"")</f>
      </c>
      <c r="BF95" s="203">
        <f>IF($C95,IF($BE95="","",$BE95)&amp;IF(AND($BE95&lt;&gt;"",$AH95&lt;&gt;"")," · ","")&amp;IF($AH95="","",$AH95),"")</f>
      </c>
      <c r="BG95" s="203">
        <f>IF($C95,IF($J95="Completado","Sí","No"),"")</f>
      </c>
      <c r="BH95" s="202">
        <f>IF(AND($C95,ISNUMBER($AR95)),IF($AO95="Semanal",1,IF($AO95="Quincenal",2,3))*1000000000+$AR95*100000+ROW(),"")</f>
      </c>
      <c r="BI95" s="202">
        <f>IF($C95,IF($AU95="Cancelado","",$I95),"")</f>
      </c>
      <c r="BJ95" s="202">
        <f>IF($C95,IFERROR(MATCH($D95,$D$7:$D$200,0)+6,ROW()),"")</f>
      </c>
      <c r="BK95" s="202">
        <f>IF(AND($C95,ISNUMBER($AV95)),$BJ95*1000000+$AV95*1000+ROW(),"")</f>
      </c>
      <c r="BL95" s="202">
        <f>IF(AND($C95,ISNUMBER($AW95)),ROUND(($AW95-('Sprints'!$C$5+('Sprints'!$E$5-1)*'Sprints'!$D$5))/'Sprints'!$D$5,0),"")</f>
      </c>
      <c r="BM95" s="203">
        <f>IF($C95,IF(NOT(ISNUMBER($BL95)),"",IF($BL95&lt;0,"Pasada",IF($BL95=0,"Actual",IF($BL95=1,"Siguiente",IF($BL95=2,"+2 sem",IF($BL95=3,"+3 sem","Posterior")))))),"")</f>
      </c>
      <c r="BN95" s="202">
        <f>IF(AND($C95,ISNUMBER($AR95),ISNUMBER($AV95)),MAX(1,$AV95-$AR95+1),0)</f>
        <v>0</v>
      </c>
      <c r="BO95" s="202">
        <f>SUM($BN$7:$BN95)-$BN95</f>
        <v>26</v>
      </c>
      <c r="BP95" s="202">
        <f>IF(AND($C95,ISNUMBER($AV95)),$AQ95+$AV95*$AP95*'Sprints'!$D$5-'Sprints'!$D$5,"")</f>
      </c>
      <c r="BQ95" s="202">
        <f>IF(AND($C95,ISNUMBER($BP95)),$BP95*1000+ROW(),"")</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IF($C96,IF('Backlog General'!$G96="Completada",1,IF('Backlog General'!$G96="Casi lista",0.75,IF('Backlog General'!$G96="En progreso",0.5,IF('Backlog General'!$G96="Iniciada",0.25,0)))),"")</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IF($C96,IF(ISBLANK('Backlog General'!$K96),"",'Backlog General'!$K96),"")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IF(AND($C96,ISNUMBER($AR96)),IF(AND(ISNUMBER('Backlog General'!$M96),'Backlog General'!$M96&gt;=$AR96),'Backlog General'!$M96,IF(AND($AU96="Pasa al siguiente",$AT96&lt;&gt;"Completada"),$AR96+1,$AR96)),"")</f>
      </c>
      <c r="AW96" s="202">
        <f>IF(AND($C96,ISNUMBER($AR96)),$AQ96+$AR96*$AP96*'Sprints'!$D$5-'Sprints'!$D$5,"")</f>
      </c>
      <c r="AX96" s="202">
        <f>IF($C96,IF(OR($AT96="Completada",$AU96="Cancelado",$AU96="Baja prioridad",NOT(ISNUMBER($AW96))),0,IF(TODAY()&gt;$AW96,NETWORKDAYS($AW96,TODAY(),'Sprints'!$L$5:$L$40)-1,0)),"")</f>
      </c>
      <c r="AY96" s="203">
        <f>IF($C96,IF(NOT(ISNUMBER($AR96)),"Sin fecha",IF($AT96="Completada","Completada",IF($AU96="Cancelado","Cancelado",IF($AU96="Baja prioridad","Baja prioridad",IF($AX96&gt;0,"Vencida","En curso"))))),"")</f>
      </c>
      <c r="AZ96" s="203">
        <f>IF($C96,IF(ISNUMBER($AV96),$AO96&amp;" · S"&amp;$AV96,"(Sin fecha)"),"")</f>
      </c>
      <c r="BA96" s="202">
        <f>IF(AND($C96,ISNUMBER($AR96),$AR96=$AS96),"Nuevo","")</f>
      </c>
      <c r="BB96" s="202">
        <f>IF(AND($C96,$AO96="Semanal",ISNUMBER($AV96)),$AV96*100000+ROW(),"")</f>
      </c>
      <c r="BC96" s="202">
        <f>IF(AND($C96,$AO96="Quincenal",ISNUMBER($AV96)),$AV96*100000+ROW(),"")</f>
      </c>
      <c r="BD96" s="202">
        <f>IF(AND($C96,$AO96="Mensual",ISNUMBER($AV96)),$AV96*100000+ROW(),"")</f>
      </c>
      <c r="BE96" s="203">
        <f>IF($C96,IF(ISBLANK('Backlog General'!$J96),"",'Backlog General'!$J96),"")</f>
      </c>
      <c r="BF96" s="203">
        <f>IF($C96,IF($BE96="","",$BE96)&amp;IF(AND($BE96&lt;&gt;"",$AH96&lt;&gt;"")," · ","")&amp;IF($AH96="","",$AH96),"")</f>
      </c>
      <c r="BG96" s="203">
        <f>IF($C96,IF($J96="Completado","Sí","No"),"")</f>
      </c>
      <c r="BH96" s="202">
        <f>IF(AND($C96,ISNUMBER($AR96)),IF($AO96="Semanal",1,IF($AO96="Quincenal",2,3))*1000000000+$AR96*100000+ROW(),"")</f>
      </c>
      <c r="BI96" s="202">
        <f>IF($C96,IF($AU96="Cancelado","",$I96),"")</f>
      </c>
      <c r="BJ96" s="202">
        <f>IF($C96,IFERROR(MATCH($D96,$D$7:$D$200,0)+6,ROW()),"")</f>
      </c>
      <c r="BK96" s="202">
        <f>IF(AND($C96,ISNUMBER($AV96)),$BJ96*1000000+$AV96*1000+ROW(),"")</f>
      </c>
      <c r="BL96" s="202">
        <f>IF(AND($C96,ISNUMBER($AW96)),ROUND(($AW96-('Sprints'!$C$5+('Sprints'!$E$5-1)*'Sprints'!$D$5))/'Sprints'!$D$5,0),"")</f>
      </c>
      <c r="BM96" s="203">
        <f>IF($C96,IF(NOT(ISNUMBER($BL96)),"",IF($BL96&lt;0,"Pasada",IF($BL96=0,"Actual",IF($BL96=1,"Siguiente",IF($BL96=2,"+2 sem",IF($BL96=3,"+3 sem","Posterior")))))),"")</f>
      </c>
      <c r="BN96" s="202">
        <f>IF(AND($C96,ISNUMBER($AR96),ISNUMBER($AV96)),MAX(1,$AV96-$AR96+1),0)</f>
        <v>0</v>
      </c>
      <c r="BO96" s="202">
        <f>SUM($BN$7:$BN96)-$BN96</f>
        <v>26</v>
      </c>
      <c r="BP96" s="202">
        <f>IF(AND($C96,ISNUMBER($AV96)),$AQ96+$AV96*$AP96*'Sprints'!$D$5-'Sprints'!$D$5,"")</f>
      </c>
      <c r="BQ96" s="202">
        <f>IF(AND($C96,ISNUMBER($BP96)),$BP96*1000+ROW(),"")</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IF($C97,IF('Backlog General'!$G97="Completada",1,IF('Backlog General'!$G97="Casi lista",0.75,IF('Backlog General'!$G97="En progreso",0.5,IF('Backlog General'!$G97="Iniciada",0.25,0)))),"")</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IF($C97,IF(ISBLANK('Backlog General'!$K97),"",'Backlog General'!$K97),"")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IF(AND($C97,ISNUMBER($AR97)),IF(AND(ISNUMBER('Backlog General'!$M97),'Backlog General'!$M97&gt;=$AR97),'Backlog General'!$M97,IF(AND($AU97="Pasa al siguiente",$AT97&lt;&gt;"Completada"),$AR97+1,$AR97)),"")</f>
      </c>
      <c r="AW97" s="202">
        <f>IF(AND($C97,ISNUMBER($AR97)),$AQ97+$AR97*$AP97*'Sprints'!$D$5-'Sprints'!$D$5,"")</f>
      </c>
      <c r="AX97" s="202">
        <f>IF($C97,IF(OR($AT97="Completada",$AU97="Cancelado",$AU97="Baja prioridad",NOT(ISNUMBER($AW97))),0,IF(TODAY()&gt;$AW97,NETWORKDAYS($AW97,TODAY(),'Sprints'!$L$5:$L$40)-1,0)),"")</f>
      </c>
      <c r="AY97" s="203">
        <f>IF($C97,IF(NOT(ISNUMBER($AR97)),"Sin fecha",IF($AT97="Completada","Completada",IF($AU97="Cancelado","Cancelado",IF($AU97="Baja prioridad","Baja prioridad",IF($AX97&gt;0,"Vencida","En curso"))))),"")</f>
      </c>
      <c r="AZ97" s="203">
        <f>IF($C97,IF(ISNUMBER($AV97),$AO97&amp;" · S"&amp;$AV97,"(Sin fecha)"),"")</f>
      </c>
      <c r="BA97" s="202">
        <f>IF(AND($C97,ISNUMBER($AR97),$AR97=$AS97),"Nuevo","")</f>
      </c>
      <c r="BB97" s="202">
        <f>IF(AND($C97,$AO97="Semanal",ISNUMBER($AV97)),$AV97*100000+ROW(),"")</f>
      </c>
      <c r="BC97" s="202">
        <f>IF(AND($C97,$AO97="Quincenal",ISNUMBER($AV97)),$AV97*100000+ROW(),"")</f>
      </c>
      <c r="BD97" s="202">
        <f>IF(AND($C97,$AO97="Mensual",ISNUMBER($AV97)),$AV97*100000+ROW(),"")</f>
      </c>
      <c r="BE97" s="203">
        <f>IF($C97,IF(ISBLANK('Backlog General'!$J97),"",'Backlog General'!$J97),"")</f>
      </c>
      <c r="BF97" s="203">
        <f>IF($C97,IF($BE97="","",$BE97)&amp;IF(AND($BE97&lt;&gt;"",$AH97&lt;&gt;"")," · ","")&amp;IF($AH97="","",$AH97),"")</f>
      </c>
      <c r="BG97" s="203">
        <f>IF($C97,IF($J97="Completado","Sí","No"),"")</f>
      </c>
      <c r="BH97" s="202">
        <f>IF(AND($C97,ISNUMBER($AR97)),IF($AO97="Semanal",1,IF($AO97="Quincenal",2,3))*1000000000+$AR97*100000+ROW(),"")</f>
      </c>
      <c r="BI97" s="202">
        <f>IF($C97,IF($AU97="Cancelado","",$I97),"")</f>
      </c>
      <c r="BJ97" s="202">
        <f>IF($C97,IFERROR(MATCH($D97,$D$7:$D$200,0)+6,ROW()),"")</f>
      </c>
      <c r="BK97" s="202">
        <f>IF(AND($C97,ISNUMBER($AV97)),$BJ97*1000000+$AV97*1000+ROW(),"")</f>
      </c>
      <c r="BL97" s="202">
        <f>IF(AND($C97,ISNUMBER($AW97)),ROUND(($AW97-('Sprints'!$C$5+('Sprints'!$E$5-1)*'Sprints'!$D$5))/'Sprints'!$D$5,0),"")</f>
      </c>
      <c r="BM97" s="203">
        <f>IF($C97,IF(NOT(ISNUMBER($BL97)),"",IF($BL97&lt;0,"Pasada",IF($BL97=0,"Actual",IF($BL97=1,"Siguiente",IF($BL97=2,"+2 sem",IF($BL97=3,"+3 sem","Posterior")))))),"")</f>
      </c>
      <c r="BN97" s="202">
        <f>IF(AND($C97,ISNUMBER($AR97),ISNUMBER($AV97)),MAX(1,$AV97-$AR97+1),0)</f>
        <v>0</v>
      </c>
      <c r="BO97" s="202">
        <f>SUM($BN$7:$BN97)-$BN97</f>
        <v>26</v>
      </c>
      <c r="BP97" s="202">
        <f>IF(AND($C97,ISNUMBER($AV97)),$AQ97+$AV97*$AP97*'Sprints'!$D$5-'Sprints'!$D$5,"")</f>
      </c>
      <c r="BQ97" s="202">
        <f>IF(AND($C97,ISNUMBER($BP97)),$BP97*1000+ROW(),"")</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IF($C98,IF('Backlog General'!$G98="Completada",1,IF('Backlog General'!$G98="Casi lista",0.75,IF('Backlog General'!$G98="En progreso",0.5,IF('Backlog General'!$G98="Iniciada",0.25,0)))),"")</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IF($C98,IF(ISBLANK('Backlog General'!$K98),"",'Backlog General'!$K98),"")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IF(AND($C98,ISNUMBER($AR98)),IF(AND(ISNUMBER('Backlog General'!$M98),'Backlog General'!$M98&gt;=$AR98),'Backlog General'!$M98,IF(AND($AU98="Pasa al siguiente",$AT98&lt;&gt;"Completada"),$AR98+1,$AR98)),"")</f>
      </c>
      <c r="AW98" s="202">
        <f>IF(AND($C98,ISNUMBER($AR98)),$AQ98+$AR98*$AP98*'Sprints'!$D$5-'Sprints'!$D$5,"")</f>
      </c>
      <c r="AX98" s="202">
        <f>IF($C98,IF(OR($AT98="Completada",$AU98="Cancelado",$AU98="Baja prioridad",NOT(ISNUMBER($AW98))),0,IF(TODAY()&gt;$AW98,NETWORKDAYS($AW98,TODAY(),'Sprints'!$L$5:$L$40)-1,0)),"")</f>
      </c>
      <c r="AY98" s="203">
        <f>IF($C98,IF(NOT(ISNUMBER($AR98)),"Sin fecha",IF($AT98="Completada","Completada",IF($AU98="Cancelado","Cancelado",IF($AU98="Baja prioridad","Baja prioridad",IF($AX98&gt;0,"Vencida","En curso"))))),"")</f>
      </c>
      <c r="AZ98" s="203">
        <f>IF($C98,IF(ISNUMBER($AV98),$AO98&amp;" · S"&amp;$AV98,"(Sin fecha)"),"")</f>
      </c>
      <c r="BA98" s="202">
        <f>IF(AND($C98,ISNUMBER($AR98),$AR98=$AS98),"Nuevo","")</f>
      </c>
      <c r="BB98" s="202">
        <f>IF(AND($C98,$AO98="Semanal",ISNUMBER($AV98)),$AV98*100000+ROW(),"")</f>
      </c>
      <c r="BC98" s="202">
        <f>IF(AND($C98,$AO98="Quincenal",ISNUMBER($AV98)),$AV98*100000+ROW(),"")</f>
      </c>
      <c r="BD98" s="202">
        <f>IF(AND($C98,$AO98="Mensual",ISNUMBER($AV98)),$AV98*100000+ROW(),"")</f>
      </c>
      <c r="BE98" s="203">
        <f>IF($C98,IF(ISBLANK('Backlog General'!$J98),"",'Backlog General'!$J98),"")</f>
      </c>
      <c r="BF98" s="203">
        <f>IF($C98,IF($BE98="","",$BE98)&amp;IF(AND($BE98&lt;&gt;"",$AH98&lt;&gt;"")," · ","")&amp;IF($AH98="","",$AH98),"")</f>
      </c>
      <c r="BG98" s="203">
        <f>IF($C98,IF($J98="Completado","Sí","No"),"")</f>
      </c>
      <c r="BH98" s="202">
        <f>IF(AND($C98,ISNUMBER($AR98)),IF($AO98="Semanal",1,IF($AO98="Quincenal",2,3))*1000000000+$AR98*100000+ROW(),"")</f>
      </c>
      <c r="BI98" s="202">
        <f>IF($C98,IF($AU98="Cancelado","",$I98),"")</f>
      </c>
      <c r="BJ98" s="202">
        <f>IF($C98,IFERROR(MATCH($D98,$D$7:$D$200,0)+6,ROW()),"")</f>
      </c>
      <c r="BK98" s="202">
        <f>IF(AND($C98,ISNUMBER($AV98)),$BJ98*1000000+$AV98*1000+ROW(),"")</f>
      </c>
      <c r="BL98" s="202">
        <f>IF(AND($C98,ISNUMBER($AW98)),ROUND(($AW98-('Sprints'!$C$5+('Sprints'!$E$5-1)*'Sprints'!$D$5))/'Sprints'!$D$5,0),"")</f>
      </c>
      <c r="BM98" s="203">
        <f>IF($C98,IF(NOT(ISNUMBER($BL98)),"",IF($BL98&lt;0,"Pasada",IF($BL98=0,"Actual",IF($BL98=1,"Siguiente",IF($BL98=2,"+2 sem",IF($BL98=3,"+3 sem","Posterior")))))),"")</f>
      </c>
      <c r="BN98" s="202">
        <f>IF(AND($C98,ISNUMBER($AR98),ISNUMBER($AV98)),MAX(1,$AV98-$AR98+1),0)</f>
        <v>0</v>
      </c>
      <c r="BO98" s="202">
        <f>SUM($BN$7:$BN98)-$BN98</f>
        <v>26</v>
      </c>
      <c r="BP98" s="202">
        <f>IF(AND($C98,ISNUMBER($AV98)),$AQ98+$AV98*$AP98*'Sprints'!$D$5-'Sprints'!$D$5,"")</f>
      </c>
      <c r="BQ98" s="202">
        <f>IF(AND($C98,ISNUMBER($BP98)),$BP98*1000+ROW(),"")</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IF($C99,IF('Backlog General'!$G99="Completada",1,IF('Backlog General'!$G99="Casi lista",0.75,IF('Backlog General'!$G99="En progreso",0.5,IF('Backlog General'!$G99="Iniciada",0.25,0)))),"")</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IF($C99,IF(ISBLANK('Backlog General'!$K99),"",'Backlog General'!$K99),"")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IF(AND($C99,ISNUMBER($AR99)),IF(AND(ISNUMBER('Backlog General'!$M99),'Backlog General'!$M99&gt;=$AR99),'Backlog General'!$M99,IF(AND($AU99="Pasa al siguiente",$AT99&lt;&gt;"Completada"),$AR99+1,$AR99)),"")</f>
      </c>
      <c r="AW99" s="202">
        <f>IF(AND($C99,ISNUMBER($AR99)),$AQ99+$AR99*$AP99*'Sprints'!$D$5-'Sprints'!$D$5,"")</f>
      </c>
      <c r="AX99" s="202">
        <f>IF($C99,IF(OR($AT99="Completada",$AU99="Cancelado",$AU99="Baja prioridad",NOT(ISNUMBER($AW99))),0,IF(TODAY()&gt;$AW99,NETWORKDAYS($AW99,TODAY(),'Sprints'!$L$5:$L$40)-1,0)),"")</f>
      </c>
      <c r="AY99" s="203">
        <f>IF($C99,IF(NOT(ISNUMBER($AR99)),"Sin fecha",IF($AT99="Completada","Completada",IF($AU99="Cancelado","Cancelado",IF($AU99="Baja prioridad","Baja prioridad",IF($AX99&gt;0,"Vencida","En curso"))))),"")</f>
      </c>
      <c r="AZ99" s="203">
        <f>IF($C99,IF(ISNUMBER($AV99),$AO99&amp;" · S"&amp;$AV99,"(Sin fecha)"),"")</f>
      </c>
      <c r="BA99" s="202">
        <f>IF(AND($C99,ISNUMBER($AR99),$AR99=$AS99),"Nuevo","")</f>
      </c>
      <c r="BB99" s="202">
        <f>IF(AND($C99,$AO99="Semanal",ISNUMBER($AV99)),$AV99*100000+ROW(),"")</f>
      </c>
      <c r="BC99" s="202">
        <f>IF(AND($C99,$AO99="Quincenal",ISNUMBER($AV99)),$AV99*100000+ROW(),"")</f>
      </c>
      <c r="BD99" s="202">
        <f>IF(AND($C99,$AO99="Mensual",ISNUMBER($AV99)),$AV99*100000+ROW(),"")</f>
      </c>
      <c r="BE99" s="203">
        <f>IF($C99,IF(ISBLANK('Backlog General'!$J99),"",'Backlog General'!$J99),"")</f>
      </c>
      <c r="BF99" s="203">
        <f>IF($C99,IF($BE99="","",$BE99)&amp;IF(AND($BE99&lt;&gt;"",$AH99&lt;&gt;"")," · ","")&amp;IF($AH99="","",$AH99),"")</f>
      </c>
      <c r="BG99" s="203">
        <f>IF($C99,IF($J99="Completado","Sí","No"),"")</f>
      </c>
      <c r="BH99" s="202">
        <f>IF(AND($C99,ISNUMBER($AR99)),IF($AO99="Semanal",1,IF($AO99="Quincenal",2,3))*1000000000+$AR99*100000+ROW(),"")</f>
      </c>
      <c r="BI99" s="202">
        <f>IF($C99,IF($AU99="Cancelado","",$I99),"")</f>
      </c>
      <c r="BJ99" s="202">
        <f>IF($C99,IFERROR(MATCH($D99,$D$7:$D$200,0)+6,ROW()),"")</f>
      </c>
      <c r="BK99" s="202">
        <f>IF(AND($C99,ISNUMBER($AV99)),$BJ99*1000000+$AV99*1000+ROW(),"")</f>
      </c>
      <c r="BL99" s="202">
        <f>IF(AND($C99,ISNUMBER($AW99)),ROUND(($AW99-('Sprints'!$C$5+('Sprints'!$E$5-1)*'Sprints'!$D$5))/'Sprints'!$D$5,0),"")</f>
      </c>
      <c r="BM99" s="203">
        <f>IF($C99,IF(NOT(ISNUMBER($BL99)),"",IF($BL99&lt;0,"Pasada",IF($BL99=0,"Actual",IF($BL99=1,"Siguiente",IF($BL99=2,"+2 sem",IF($BL99=3,"+3 sem","Posterior")))))),"")</f>
      </c>
      <c r="BN99" s="202">
        <f>IF(AND($C99,ISNUMBER($AR99),ISNUMBER($AV99)),MAX(1,$AV99-$AR99+1),0)</f>
        <v>0</v>
      </c>
      <c r="BO99" s="202">
        <f>SUM($BN$7:$BN99)-$BN99</f>
        <v>26</v>
      </c>
      <c r="BP99" s="202">
        <f>IF(AND($C99,ISNUMBER($AV99)),$AQ99+$AV99*$AP99*'Sprints'!$D$5-'Sprints'!$D$5,"")</f>
      </c>
      <c r="BQ99" s="202">
        <f>IF(AND($C99,ISNUMBER($BP99)),$BP99*1000+ROW(),"")</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IF($C100,IF('Backlog General'!$G100="Completada",1,IF('Backlog General'!$G100="Casi lista",0.75,IF('Backlog General'!$G100="En progreso",0.5,IF('Backlog General'!$G100="Iniciada",0.25,0)))),"")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IF($C100,IF(ISBLANK('Backlog General'!$K100),"",'Backlog General'!$K100),"")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IF(AND($C100,ISNUMBER($AR100)),IF(AND(ISNUMBER('Backlog General'!$M100),'Backlog General'!$M100&gt;=$AR100),'Backlog General'!$M100,IF(AND($AU100="Pasa al siguiente",$AT100&lt;&gt;"Completada"),$AR100+1,$AR100)),"")</f>
      </c>
      <c r="AW100" s="202">
        <f>IF(AND($C100,ISNUMBER($AR100)),$AQ100+$AR100*$AP100*'Sprints'!$D$5-'Sprints'!$D$5,"")</f>
      </c>
      <c r="AX100" s="202">
        <f>IF($C100,IF(OR($AT100="Completada",$AU100="Cancelado",$AU100="Baja prioridad",NOT(ISNUMBER($AW100))),0,IF(TODAY()&gt;$AW100,NETWORKDAYS($AW100,TODAY(),'Sprints'!$L$5:$L$40)-1,0)),"")</f>
      </c>
      <c r="AY100" s="203">
        <f>IF($C100,IF(NOT(ISNUMBER($AR100)),"Sin fecha",IF($AT100="Completada","Completada",IF($AU100="Cancelado","Cancelado",IF($AU100="Baja prioridad","Baja prioridad",IF($AX100&gt;0,"Vencida","En curso"))))),"")</f>
      </c>
      <c r="AZ100" s="203">
        <f>IF($C100,IF(ISNUMBER($AV100),$AO100&amp;" · S"&amp;$AV100,"(Sin fecha)"),"")</f>
      </c>
      <c r="BA100" s="202">
        <f>IF(AND($C100,ISNUMBER($AR100),$AR100=$AS100),"Nuevo","")</f>
      </c>
      <c r="BB100" s="202">
        <f>IF(AND($C100,$AO100="Semanal",ISNUMBER($AV100)),$AV100*100000+ROW(),"")</f>
      </c>
      <c r="BC100" s="202">
        <f>IF(AND($C100,$AO100="Quincenal",ISNUMBER($AV100)),$AV100*100000+ROW(),"")</f>
      </c>
      <c r="BD100" s="202">
        <f>IF(AND($C100,$AO100="Mensual",ISNUMBER($AV100)),$AV100*100000+ROW(),"")</f>
      </c>
      <c r="BE100" s="203">
        <f>IF($C100,IF(ISBLANK('Backlog General'!$J100),"",'Backlog General'!$J100),"")</f>
      </c>
      <c r="BF100" s="203">
        <f>IF($C100,IF($BE100="","",$BE100)&amp;IF(AND($BE100&lt;&gt;"",$AH100&lt;&gt;"")," · ","")&amp;IF($AH100="","",$AH100),"")</f>
      </c>
      <c r="BG100" s="203">
        <f>IF($C100,IF($J100="Completado","Sí","No"),"")</f>
      </c>
      <c r="BH100" s="202">
        <f>IF(AND($C100,ISNUMBER($AR100)),IF($AO100="Semanal",1,IF($AO100="Quincenal",2,3))*1000000000+$AR100*100000+ROW(),"")</f>
      </c>
      <c r="BI100" s="202">
        <f>IF($C100,IF($AU100="Cancelado","",$I100),"")</f>
      </c>
      <c r="BJ100" s="202">
        <f>IF($C100,IFERROR(MATCH($D100,$D$7:$D$200,0)+6,ROW()),"")</f>
      </c>
      <c r="BK100" s="202">
        <f>IF(AND($C100,ISNUMBER($AV100)),$BJ100*1000000+$AV100*1000+ROW(),"")</f>
      </c>
      <c r="BL100" s="202">
        <f>IF(AND($C100,ISNUMBER($AW100)),ROUND(($AW100-('Sprints'!$C$5+('Sprints'!$E$5-1)*'Sprints'!$D$5))/'Sprints'!$D$5,0),"")</f>
      </c>
      <c r="BM100" s="203">
        <f>IF($C100,IF(NOT(ISNUMBER($BL100)),"",IF($BL100&lt;0,"Pasada",IF($BL100=0,"Actual",IF($BL100=1,"Siguiente",IF($BL100=2,"+2 sem",IF($BL100=3,"+3 sem","Posterior")))))),"")</f>
      </c>
      <c r="BN100" s="202">
        <f>IF(AND($C100,ISNUMBER($AR100),ISNUMBER($AV100)),MAX(1,$AV100-$AR100+1),0)</f>
        <v>0</v>
      </c>
      <c r="BO100" s="202">
        <f>SUM($BN$7:$BN100)-$BN100</f>
        <v>26</v>
      </c>
      <c r="BP100" s="202">
        <f>IF(AND($C100,ISNUMBER($AV100)),$AQ100+$AV100*$AP100*'Sprints'!$D$5-'Sprints'!$D$5,"")</f>
      </c>
      <c r="BQ100" s="202">
        <f>IF(AND($C100,ISNUMBER($BP100)),$BP100*1000+ROW(),"")</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IF($C101,IF('Backlog General'!$G101="Completada",1,IF('Backlog General'!$G101="Casi lista",0.75,IF('Backlog General'!$G101="En progreso",0.5,IF('Backlog General'!$G101="Iniciada",0.25,0)))),"")</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IF($C101,IF(ISBLANK('Backlog General'!$K101),"",'Backlog General'!$K101),"")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IF(AND($C101,ISNUMBER($AR101)),IF(AND(ISNUMBER('Backlog General'!$M101),'Backlog General'!$M101&gt;=$AR101),'Backlog General'!$M101,IF(AND($AU101="Pasa al siguiente",$AT101&lt;&gt;"Completada"),$AR101+1,$AR101)),"")</f>
      </c>
      <c r="AW101" s="202">
        <f>IF(AND($C101,ISNUMBER($AR101)),$AQ101+$AR101*$AP101*'Sprints'!$D$5-'Sprints'!$D$5,"")</f>
      </c>
      <c r="AX101" s="202">
        <f>IF($C101,IF(OR($AT101="Completada",$AU101="Cancelado",$AU101="Baja prioridad",NOT(ISNUMBER($AW101))),0,IF(TODAY()&gt;$AW101,NETWORKDAYS($AW101,TODAY(),'Sprints'!$L$5:$L$40)-1,0)),"")</f>
      </c>
      <c r="AY101" s="203">
        <f>IF($C101,IF(NOT(ISNUMBER($AR101)),"Sin fecha",IF($AT101="Completada","Completada",IF($AU101="Cancelado","Cancelado",IF($AU101="Baja prioridad","Baja prioridad",IF($AX101&gt;0,"Vencida","En curso"))))),"")</f>
      </c>
      <c r="AZ101" s="203">
        <f>IF($C101,IF(ISNUMBER($AV101),$AO101&amp;" · S"&amp;$AV101,"(Sin fecha)"),"")</f>
      </c>
      <c r="BA101" s="202">
        <f>IF(AND($C101,ISNUMBER($AR101),$AR101=$AS101),"Nuevo","")</f>
      </c>
      <c r="BB101" s="202">
        <f>IF(AND($C101,$AO101="Semanal",ISNUMBER($AV101)),$AV101*100000+ROW(),"")</f>
      </c>
      <c r="BC101" s="202">
        <f>IF(AND($C101,$AO101="Quincenal",ISNUMBER($AV101)),$AV101*100000+ROW(),"")</f>
      </c>
      <c r="BD101" s="202">
        <f>IF(AND($C101,$AO101="Mensual",ISNUMBER($AV101)),$AV101*100000+ROW(),"")</f>
      </c>
      <c r="BE101" s="203">
        <f>IF($C101,IF(ISBLANK('Backlog General'!$J101),"",'Backlog General'!$J101),"")</f>
      </c>
      <c r="BF101" s="203">
        <f>IF($C101,IF($BE101="","",$BE101)&amp;IF(AND($BE101&lt;&gt;"",$AH101&lt;&gt;"")," · ","")&amp;IF($AH101="","",$AH101),"")</f>
      </c>
      <c r="BG101" s="203">
        <f>IF($C101,IF($J101="Completado","Sí","No"),"")</f>
      </c>
      <c r="BH101" s="202">
        <f>IF(AND($C101,ISNUMBER($AR101)),IF($AO101="Semanal",1,IF($AO101="Quincenal",2,3))*1000000000+$AR101*100000+ROW(),"")</f>
      </c>
      <c r="BI101" s="202">
        <f>IF($C101,IF($AU101="Cancelado","",$I101),"")</f>
      </c>
      <c r="BJ101" s="202">
        <f>IF($C101,IFERROR(MATCH($D101,$D$7:$D$200,0)+6,ROW()),"")</f>
      </c>
      <c r="BK101" s="202">
        <f>IF(AND($C101,ISNUMBER($AV101)),$BJ101*1000000+$AV101*1000+ROW(),"")</f>
      </c>
      <c r="BL101" s="202">
        <f>IF(AND($C101,ISNUMBER($AW101)),ROUND(($AW101-('Sprints'!$C$5+('Sprints'!$E$5-1)*'Sprints'!$D$5))/'Sprints'!$D$5,0),"")</f>
      </c>
      <c r="BM101" s="203">
        <f>IF($C101,IF(NOT(ISNUMBER($BL101)),"",IF($BL101&lt;0,"Pasada",IF($BL101=0,"Actual",IF($BL101=1,"Siguiente",IF($BL101=2,"+2 sem",IF($BL101=3,"+3 sem","Posterior")))))),"")</f>
      </c>
      <c r="BN101" s="202">
        <f>IF(AND($C101,ISNUMBER($AR101),ISNUMBER($AV101)),MAX(1,$AV101-$AR101+1),0)</f>
        <v>0</v>
      </c>
      <c r="BO101" s="202">
        <f>SUM($BN$7:$BN101)-$BN101</f>
        <v>26</v>
      </c>
      <c r="BP101" s="202">
        <f>IF(AND($C101,ISNUMBER($AV101)),$AQ101+$AV101*$AP101*'Sprints'!$D$5-'Sprints'!$D$5,"")</f>
      </c>
      <c r="BQ101" s="202">
        <f>IF(AND($C101,ISNUMBER($BP101)),$BP101*1000+ROW(),"")</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IF($C102,IF('Backlog General'!$G102="Completada",1,IF('Backlog General'!$G102="Casi lista",0.75,IF('Backlog General'!$G102="En progreso",0.5,IF('Backlog General'!$G102="Iniciada",0.25,0)))),"")</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IF($C102,IF(ISBLANK('Backlog General'!$K102),"",'Backlog General'!$K102),"")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IF(AND($C102,ISNUMBER($AR102)),IF(AND(ISNUMBER('Backlog General'!$M102),'Backlog General'!$M102&gt;=$AR102),'Backlog General'!$M102,IF(AND($AU102="Pasa al siguiente",$AT102&lt;&gt;"Completada"),$AR102+1,$AR102)),"")</f>
      </c>
      <c r="AW102" s="202">
        <f>IF(AND($C102,ISNUMBER($AR102)),$AQ102+$AR102*$AP102*'Sprints'!$D$5-'Sprints'!$D$5,"")</f>
      </c>
      <c r="AX102" s="202">
        <f>IF($C102,IF(OR($AT102="Completada",$AU102="Cancelado",$AU102="Baja prioridad",NOT(ISNUMBER($AW102))),0,IF(TODAY()&gt;$AW102,NETWORKDAYS($AW102,TODAY(),'Sprints'!$L$5:$L$40)-1,0)),"")</f>
      </c>
      <c r="AY102" s="203">
        <f>IF($C102,IF(NOT(ISNUMBER($AR102)),"Sin fecha",IF($AT102="Completada","Completada",IF($AU102="Cancelado","Cancelado",IF($AU102="Baja prioridad","Baja prioridad",IF($AX102&gt;0,"Vencida","En curso"))))),"")</f>
      </c>
      <c r="AZ102" s="203">
        <f>IF($C102,IF(ISNUMBER($AV102),$AO102&amp;" · S"&amp;$AV102,"(Sin fecha)"),"")</f>
      </c>
      <c r="BA102" s="202">
        <f>IF(AND($C102,ISNUMBER($AR102),$AR102=$AS102),"Nuevo","")</f>
      </c>
      <c r="BB102" s="202">
        <f>IF(AND($C102,$AO102="Semanal",ISNUMBER($AV102)),$AV102*100000+ROW(),"")</f>
      </c>
      <c r="BC102" s="202">
        <f>IF(AND($C102,$AO102="Quincenal",ISNUMBER($AV102)),$AV102*100000+ROW(),"")</f>
      </c>
      <c r="BD102" s="202">
        <f>IF(AND($C102,$AO102="Mensual",ISNUMBER($AV102)),$AV102*100000+ROW(),"")</f>
      </c>
      <c r="BE102" s="203">
        <f>IF($C102,IF(ISBLANK('Backlog General'!$J102),"",'Backlog General'!$J102),"")</f>
      </c>
      <c r="BF102" s="203">
        <f>IF($C102,IF($BE102="","",$BE102)&amp;IF(AND($BE102&lt;&gt;"",$AH102&lt;&gt;"")," · ","")&amp;IF($AH102="","",$AH102),"")</f>
      </c>
      <c r="BG102" s="203">
        <f>IF($C102,IF($J102="Completado","Sí","No"),"")</f>
      </c>
      <c r="BH102" s="202">
        <f>IF(AND($C102,ISNUMBER($AR102)),IF($AO102="Semanal",1,IF($AO102="Quincenal",2,3))*1000000000+$AR102*100000+ROW(),"")</f>
      </c>
      <c r="BI102" s="202">
        <f>IF($C102,IF($AU102="Cancelado","",$I102),"")</f>
      </c>
      <c r="BJ102" s="202">
        <f>IF($C102,IFERROR(MATCH($D102,$D$7:$D$200,0)+6,ROW()),"")</f>
      </c>
      <c r="BK102" s="202">
        <f>IF(AND($C102,ISNUMBER($AV102)),$BJ102*1000000+$AV102*1000+ROW(),"")</f>
      </c>
      <c r="BL102" s="202">
        <f>IF(AND($C102,ISNUMBER($AW102)),ROUND(($AW102-('Sprints'!$C$5+('Sprints'!$E$5-1)*'Sprints'!$D$5))/'Sprints'!$D$5,0),"")</f>
      </c>
      <c r="BM102" s="203">
        <f>IF($C102,IF(NOT(ISNUMBER($BL102)),"",IF($BL102&lt;0,"Pasada",IF($BL102=0,"Actual",IF($BL102=1,"Siguiente",IF($BL102=2,"+2 sem",IF($BL102=3,"+3 sem","Posterior")))))),"")</f>
      </c>
      <c r="BN102" s="202">
        <f>IF(AND($C102,ISNUMBER($AR102),ISNUMBER($AV102)),MAX(1,$AV102-$AR102+1),0)</f>
        <v>0</v>
      </c>
      <c r="BO102" s="202">
        <f>SUM($BN$7:$BN102)-$BN102</f>
        <v>26</v>
      </c>
      <c r="BP102" s="202">
        <f>IF(AND($C102,ISNUMBER($AV102)),$AQ102+$AV102*$AP102*'Sprints'!$D$5-'Sprints'!$D$5,"")</f>
      </c>
      <c r="BQ102" s="202">
        <f>IF(AND($C102,ISNUMBER($BP102)),$BP102*1000+ROW(),"")</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IF($C103,IF('Backlog General'!$G103="Completada",1,IF('Backlog General'!$G103="Casi lista",0.75,IF('Backlog General'!$G103="En progreso",0.5,IF('Backlog General'!$G103="Iniciada",0.25,0)))),"")</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IF($C103,IF(ISBLANK('Backlog General'!$K103),"",'Backlog General'!$K103),"")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IF(AND($C103,ISNUMBER($AR103)),IF(AND(ISNUMBER('Backlog General'!$M103),'Backlog General'!$M103&gt;=$AR103),'Backlog General'!$M103,IF(AND($AU103="Pasa al siguiente",$AT103&lt;&gt;"Completada"),$AR103+1,$AR103)),"")</f>
      </c>
      <c r="AW103" s="202">
        <f>IF(AND($C103,ISNUMBER($AR103)),$AQ103+$AR103*$AP103*'Sprints'!$D$5-'Sprints'!$D$5,"")</f>
      </c>
      <c r="AX103" s="202">
        <f>IF($C103,IF(OR($AT103="Completada",$AU103="Cancelado",$AU103="Baja prioridad",NOT(ISNUMBER($AW103))),0,IF(TODAY()&gt;$AW103,NETWORKDAYS($AW103,TODAY(),'Sprints'!$L$5:$L$40)-1,0)),"")</f>
      </c>
      <c r="AY103" s="203">
        <f>IF($C103,IF(NOT(ISNUMBER($AR103)),"Sin fecha",IF($AT103="Completada","Completada",IF($AU103="Cancelado","Cancelado",IF($AU103="Baja prioridad","Baja prioridad",IF($AX103&gt;0,"Vencida","En curso"))))),"")</f>
      </c>
      <c r="AZ103" s="203">
        <f>IF($C103,IF(ISNUMBER($AV103),$AO103&amp;" · S"&amp;$AV103,"(Sin fecha)"),"")</f>
      </c>
      <c r="BA103" s="202">
        <f>IF(AND($C103,ISNUMBER($AR103),$AR103=$AS103),"Nuevo","")</f>
      </c>
      <c r="BB103" s="202">
        <f>IF(AND($C103,$AO103="Semanal",ISNUMBER($AV103)),$AV103*100000+ROW(),"")</f>
      </c>
      <c r="BC103" s="202">
        <f>IF(AND($C103,$AO103="Quincenal",ISNUMBER($AV103)),$AV103*100000+ROW(),"")</f>
      </c>
      <c r="BD103" s="202">
        <f>IF(AND($C103,$AO103="Mensual",ISNUMBER($AV103)),$AV103*100000+ROW(),"")</f>
      </c>
      <c r="BE103" s="203">
        <f>IF($C103,IF(ISBLANK('Backlog General'!$J103),"",'Backlog General'!$J103),"")</f>
      </c>
      <c r="BF103" s="203">
        <f>IF($C103,IF($BE103="","",$BE103)&amp;IF(AND($BE103&lt;&gt;"",$AH103&lt;&gt;"")," · ","")&amp;IF($AH103="","",$AH103),"")</f>
      </c>
      <c r="BG103" s="203">
        <f>IF($C103,IF($J103="Completado","Sí","No"),"")</f>
      </c>
      <c r="BH103" s="202">
        <f>IF(AND($C103,ISNUMBER($AR103)),IF($AO103="Semanal",1,IF($AO103="Quincenal",2,3))*1000000000+$AR103*100000+ROW(),"")</f>
      </c>
      <c r="BI103" s="202">
        <f>IF($C103,IF($AU103="Cancelado","",$I103),"")</f>
      </c>
      <c r="BJ103" s="202">
        <f>IF($C103,IFERROR(MATCH($D103,$D$7:$D$200,0)+6,ROW()),"")</f>
      </c>
      <c r="BK103" s="202">
        <f>IF(AND($C103,ISNUMBER($AV103)),$BJ103*1000000+$AV103*1000+ROW(),"")</f>
      </c>
      <c r="BL103" s="202">
        <f>IF(AND($C103,ISNUMBER($AW103)),ROUND(($AW103-('Sprints'!$C$5+('Sprints'!$E$5-1)*'Sprints'!$D$5))/'Sprints'!$D$5,0),"")</f>
      </c>
      <c r="BM103" s="203">
        <f>IF($C103,IF(NOT(ISNUMBER($BL103)),"",IF($BL103&lt;0,"Pasada",IF($BL103=0,"Actual",IF($BL103=1,"Siguiente",IF($BL103=2,"+2 sem",IF($BL103=3,"+3 sem","Posterior")))))),"")</f>
      </c>
      <c r="BN103" s="202">
        <f>IF(AND($C103,ISNUMBER($AR103),ISNUMBER($AV103)),MAX(1,$AV103-$AR103+1),0)</f>
        <v>0</v>
      </c>
      <c r="BO103" s="202">
        <f>SUM($BN$7:$BN103)-$BN103</f>
        <v>26</v>
      </c>
      <c r="BP103" s="202">
        <f>IF(AND($C103,ISNUMBER($AV103)),$AQ103+$AV103*$AP103*'Sprints'!$D$5-'Sprints'!$D$5,"")</f>
      </c>
      <c r="BQ103" s="202">
        <f>IF(AND($C103,ISNUMBER($BP103)),$BP103*1000+ROW(),"")</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IF($C104,IF('Backlog General'!$G104="Completada",1,IF('Backlog General'!$G104="Casi lista",0.75,IF('Backlog General'!$G104="En progreso",0.5,IF('Backlog General'!$G104="Iniciada",0.25,0)))),"")</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IF($C104,IF(ISBLANK('Backlog General'!$K104),"",'Backlog General'!$K104),"")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IF(AND($C104,ISNUMBER($AR104)),IF(AND(ISNUMBER('Backlog General'!$M104),'Backlog General'!$M104&gt;=$AR104),'Backlog General'!$M104,IF(AND($AU104="Pasa al siguiente",$AT104&lt;&gt;"Completada"),$AR104+1,$AR104)),"")</f>
      </c>
      <c r="AW104" s="202">
        <f>IF(AND($C104,ISNUMBER($AR104)),$AQ104+$AR104*$AP104*'Sprints'!$D$5-'Sprints'!$D$5,"")</f>
      </c>
      <c r="AX104" s="202">
        <f>IF($C104,IF(OR($AT104="Completada",$AU104="Cancelado",$AU104="Baja prioridad",NOT(ISNUMBER($AW104))),0,IF(TODAY()&gt;$AW104,NETWORKDAYS($AW104,TODAY(),'Sprints'!$L$5:$L$40)-1,0)),"")</f>
      </c>
      <c r="AY104" s="203">
        <f>IF($C104,IF(NOT(ISNUMBER($AR104)),"Sin fecha",IF($AT104="Completada","Completada",IF($AU104="Cancelado","Cancelado",IF($AU104="Baja prioridad","Baja prioridad",IF($AX104&gt;0,"Vencida","En curso"))))),"")</f>
      </c>
      <c r="AZ104" s="203">
        <f>IF($C104,IF(ISNUMBER($AV104),$AO104&amp;" · S"&amp;$AV104,"(Sin fecha)"),"")</f>
      </c>
      <c r="BA104" s="202">
        <f>IF(AND($C104,ISNUMBER($AR104),$AR104=$AS104),"Nuevo","")</f>
      </c>
      <c r="BB104" s="202">
        <f>IF(AND($C104,$AO104="Semanal",ISNUMBER($AV104)),$AV104*100000+ROW(),"")</f>
      </c>
      <c r="BC104" s="202">
        <f>IF(AND($C104,$AO104="Quincenal",ISNUMBER($AV104)),$AV104*100000+ROW(),"")</f>
      </c>
      <c r="BD104" s="202">
        <f>IF(AND($C104,$AO104="Mensual",ISNUMBER($AV104)),$AV104*100000+ROW(),"")</f>
      </c>
      <c r="BE104" s="203">
        <f>IF($C104,IF(ISBLANK('Backlog General'!$J104),"",'Backlog General'!$J104),"")</f>
      </c>
      <c r="BF104" s="203">
        <f>IF($C104,IF($BE104="","",$BE104)&amp;IF(AND($BE104&lt;&gt;"",$AH104&lt;&gt;"")," · ","")&amp;IF($AH104="","",$AH104),"")</f>
      </c>
      <c r="BG104" s="203">
        <f>IF($C104,IF($J104="Completado","Sí","No"),"")</f>
      </c>
      <c r="BH104" s="202">
        <f>IF(AND($C104,ISNUMBER($AR104)),IF($AO104="Semanal",1,IF($AO104="Quincenal",2,3))*1000000000+$AR104*100000+ROW(),"")</f>
      </c>
      <c r="BI104" s="202">
        <f>IF($C104,IF($AU104="Cancelado","",$I104),"")</f>
      </c>
      <c r="BJ104" s="202">
        <f>IF($C104,IFERROR(MATCH($D104,$D$7:$D$200,0)+6,ROW()),"")</f>
      </c>
      <c r="BK104" s="202">
        <f>IF(AND($C104,ISNUMBER($AV104)),$BJ104*1000000+$AV104*1000+ROW(),"")</f>
      </c>
      <c r="BL104" s="202">
        <f>IF(AND($C104,ISNUMBER($AW104)),ROUND(($AW104-('Sprints'!$C$5+('Sprints'!$E$5-1)*'Sprints'!$D$5))/'Sprints'!$D$5,0),"")</f>
      </c>
      <c r="BM104" s="203">
        <f>IF($C104,IF(NOT(ISNUMBER($BL104)),"",IF($BL104&lt;0,"Pasada",IF($BL104=0,"Actual",IF($BL104=1,"Siguiente",IF($BL104=2,"+2 sem",IF($BL104=3,"+3 sem","Posterior")))))),"")</f>
      </c>
      <c r="BN104" s="202">
        <f>IF(AND($C104,ISNUMBER($AR104),ISNUMBER($AV104)),MAX(1,$AV104-$AR104+1),0)</f>
        <v>0</v>
      </c>
      <c r="BO104" s="202">
        <f>SUM($BN$7:$BN104)-$BN104</f>
        <v>26</v>
      </c>
      <c r="BP104" s="202">
        <f>IF(AND($C104,ISNUMBER($AV104)),$AQ104+$AV104*$AP104*'Sprints'!$D$5-'Sprints'!$D$5,"")</f>
      </c>
      <c r="BQ104" s="202">
        <f>IF(AND($C104,ISNUMBER($BP104)),$BP104*1000+ROW(),"")</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IF($C105,IF('Backlog General'!$G105="Completada",1,IF('Backlog General'!$G105="Casi lista",0.75,IF('Backlog General'!$G105="En progreso",0.5,IF('Backlog General'!$G105="Iniciada",0.25,0)))),"")</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IF($C105,IF(ISBLANK('Backlog General'!$K105),"",'Backlog General'!$K105),"")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IF(AND($C105,ISNUMBER($AR105)),IF(AND(ISNUMBER('Backlog General'!$M105),'Backlog General'!$M105&gt;=$AR105),'Backlog General'!$M105,IF(AND($AU105="Pasa al siguiente",$AT105&lt;&gt;"Completada"),$AR105+1,$AR105)),"")</f>
      </c>
      <c r="AW105" s="202">
        <f>IF(AND($C105,ISNUMBER($AR105)),$AQ105+$AR105*$AP105*'Sprints'!$D$5-'Sprints'!$D$5,"")</f>
      </c>
      <c r="AX105" s="202">
        <f>IF($C105,IF(OR($AT105="Completada",$AU105="Cancelado",$AU105="Baja prioridad",NOT(ISNUMBER($AW105))),0,IF(TODAY()&gt;$AW105,NETWORKDAYS($AW105,TODAY(),'Sprints'!$L$5:$L$40)-1,0)),"")</f>
      </c>
      <c r="AY105" s="203">
        <f>IF($C105,IF(NOT(ISNUMBER($AR105)),"Sin fecha",IF($AT105="Completada","Completada",IF($AU105="Cancelado","Cancelado",IF($AU105="Baja prioridad","Baja prioridad",IF($AX105&gt;0,"Vencida","En curso"))))),"")</f>
      </c>
      <c r="AZ105" s="203">
        <f>IF($C105,IF(ISNUMBER($AV105),$AO105&amp;" · S"&amp;$AV105,"(Sin fecha)"),"")</f>
      </c>
      <c r="BA105" s="202">
        <f>IF(AND($C105,ISNUMBER($AR105),$AR105=$AS105),"Nuevo","")</f>
      </c>
      <c r="BB105" s="202">
        <f>IF(AND($C105,$AO105="Semanal",ISNUMBER($AV105)),$AV105*100000+ROW(),"")</f>
      </c>
      <c r="BC105" s="202">
        <f>IF(AND($C105,$AO105="Quincenal",ISNUMBER($AV105)),$AV105*100000+ROW(),"")</f>
      </c>
      <c r="BD105" s="202">
        <f>IF(AND($C105,$AO105="Mensual",ISNUMBER($AV105)),$AV105*100000+ROW(),"")</f>
      </c>
      <c r="BE105" s="203">
        <f>IF($C105,IF(ISBLANK('Backlog General'!$J105),"",'Backlog General'!$J105),"")</f>
      </c>
      <c r="BF105" s="203">
        <f>IF($C105,IF($BE105="","",$BE105)&amp;IF(AND($BE105&lt;&gt;"",$AH105&lt;&gt;"")," · ","")&amp;IF($AH105="","",$AH105),"")</f>
      </c>
      <c r="BG105" s="203">
        <f>IF($C105,IF($J105="Completado","Sí","No"),"")</f>
      </c>
      <c r="BH105" s="202">
        <f>IF(AND($C105,ISNUMBER($AR105)),IF($AO105="Semanal",1,IF($AO105="Quincenal",2,3))*1000000000+$AR105*100000+ROW(),"")</f>
      </c>
      <c r="BI105" s="202">
        <f>IF($C105,IF($AU105="Cancelado","",$I105),"")</f>
      </c>
      <c r="BJ105" s="202">
        <f>IF($C105,IFERROR(MATCH($D105,$D$7:$D$200,0)+6,ROW()),"")</f>
      </c>
      <c r="BK105" s="202">
        <f>IF(AND($C105,ISNUMBER($AV105)),$BJ105*1000000+$AV105*1000+ROW(),"")</f>
      </c>
      <c r="BL105" s="202">
        <f>IF(AND($C105,ISNUMBER($AW105)),ROUND(($AW105-('Sprints'!$C$5+('Sprints'!$E$5-1)*'Sprints'!$D$5))/'Sprints'!$D$5,0),"")</f>
      </c>
      <c r="BM105" s="203">
        <f>IF($C105,IF(NOT(ISNUMBER($BL105)),"",IF($BL105&lt;0,"Pasada",IF($BL105=0,"Actual",IF($BL105=1,"Siguiente",IF($BL105=2,"+2 sem",IF($BL105=3,"+3 sem","Posterior")))))),"")</f>
      </c>
      <c r="BN105" s="202">
        <f>IF(AND($C105,ISNUMBER($AR105),ISNUMBER($AV105)),MAX(1,$AV105-$AR105+1),0)</f>
        <v>0</v>
      </c>
      <c r="BO105" s="202">
        <f>SUM($BN$7:$BN105)-$BN105</f>
        <v>26</v>
      </c>
      <c r="BP105" s="202">
        <f>IF(AND($C105,ISNUMBER($AV105)),$AQ105+$AV105*$AP105*'Sprints'!$D$5-'Sprints'!$D$5,"")</f>
      </c>
      <c r="BQ105" s="202">
        <f>IF(AND($C105,ISNUMBER($BP105)),$BP105*1000+ROW(),"")</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IF($C106,IF('Backlog General'!$G106="Completada",1,IF('Backlog General'!$G106="Casi lista",0.75,IF('Backlog General'!$G106="En progreso",0.5,IF('Backlog General'!$G106="Iniciada",0.25,0)))),"")</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IF($C106,IF(ISBLANK('Backlog General'!$K106),"",'Backlog General'!$K106),"")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IF(AND($C106,ISNUMBER($AR106)),IF(AND(ISNUMBER('Backlog General'!$M106),'Backlog General'!$M106&gt;=$AR106),'Backlog General'!$M106,IF(AND($AU106="Pasa al siguiente",$AT106&lt;&gt;"Completada"),$AR106+1,$AR106)),"")</f>
      </c>
      <c r="AW106" s="202">
        <f>IF(AND($C106,ISNUMBER($AR106)),$AQ106+$AR106*$AP106*'Sprints'!$D$5-'Sprints'!$D$5,"")</f>
      </c>
      <c r="AX106" s="202">
        <f>IF($C106,IF(OR($AT106="Completada",$AU106="Cancelado",$AU106="Baja prioridad",NOT(ISNUMBER($AW106))),0,IF(TODAY()&gt;$AW106,NETWORKDAYS($AW106,TODAY(),'Sprints'!$L$5:$L$40)-1,0)),"")</f>
      </c>
      <c r="AY106" s="203">
        <f>IF($C106,IF(NOT(ISNUMBER($AR106)),"Sin fecha",IF($AT106="Completada","Completada",IF($AU106="Cancelado","Cancelado",IF($AU106="Baja prioridad","Baja prioridad",IF($AX106&gt;0,"Vencida","En curso"))))),"")</f>
      </c>
      <c r="AZ106" s="203">
        <f>IF($C106,IF(ISNUMBER($AV106),$AO106&amp;" · S"&amp;$AV106,"(Sin fecha)"),"")</f>
      </c>
      <c r="BA106" s="202">
        <f>IF(AND($C106,ISNUMBER($AR106),$AR106=$AS106),"Nuevo","")</f>
      </c>
      <c r="BB106" s="202">
        <f>IF(AND($C106,$AO106="Semanal",ISNUMBER($AV106)),$AV106*100000+ROW(),"")</f>
      </c>
      <c r="BC106" s="202">
        <f>IF(AND($C106,$AO106="Quincenal",ISNUMBER($AV106)),$AV106*100000+ROW(),"")</f>
      </c>
      <c r="BD106" s="202">
        <f>IF(AND($C106,$AO106="Mensual",ISNUMBER($AV106)),$AV106*100000+ROW(),"")</f>
      </c>
      <c r="BE106" s="203">
        <f>IF($C106,IF(ISBLANK('Backlog General'!$J106),"",'Backlog General'!$J106),"")</f>
      </c>
      <c r="BF106" s="203">
        <f>IF($C106,IF($BE106="","",$BE106)&amp;IF(AND($BE106&lt;&gt;"",$AH106&lt;&gt;"")," · ","")&amp;IF($AH106="","",$AH106),"")</f>
      </c>
      <c r="BG106" s="203">
        <f>IF($C106,IF($J106="Completado","Sí","No"),"")</f>
      </c>
      <c r="BH106" s="202">
        <f>IF(AND($C106,ISNUMBER($AR106)),IF($AO106="Semanal",1,IF($AO106="Quincenal",2,3))*1000000000+$AR106*100000+ROW(),"")</f>
      </c>
      <c r="BI106" s="202">
        <f>IF($C106,IF($AU106="Cancelado","",$I106),"")</f>
      </c>
      <c r="BJ106" s="202">
        <f>IF($C106,IFERROR(MATCH($D106,$D$7:$D$200,0)+6,ROW()),"")</f>
      </c>
      <c r="BK106" s="202">
        <f>IF(AND($C106,ISNUMBER($AV106)),$BJ106*1000000+$AV106*1000+ROW(),"")</f>
      </c>
      <c r="BL106" s="202">
        <f>IF(AND($C106,ISNUMBER($AW106)),ROUND(($AW106-('Sprints'!$C$5+('Sprints'!$E$5-1)*'Sprints'!$D$5))/'Sprints'!$D$5,0),"")</f>
      </c>
      <c r="BM106" s="203">
        <f>IF($C106,IF(NOT(ISNUMBER($BL106)),"",IF($BL106&lt;0,"Pasada",IF($BL106=0,"Actual",IF($BL106=1,"Siguiente",IF($BL106=2,"+2 sem",IF($BL106=3,"+3 sem","Posterior")))))),"")</f>
      </c>
      <c r="BN106" s="202">
        <f>IF(AND($C106,ISNUMBER($AR106),ISNUMBER($AV106)),MAX(1,$AV106-$AR106+1),0)</f>
        <v>0</v>
      </c>
      <c r="BO106" s="202">
        <f>SUM($BN$7:$BN106)-$BN106</f>
        <v>26</v>
      </c>
      <c r="BP106" s="202">
        <f>IF(AND($C106,ISNUMBER($AV106)),$AQ106+$AV106*$AP106*'Sprints'!$D$5-'Sprints'!$D$5,"")</f>
      </c>
      <c r="BQ106" s="202">
        <f>IF(AND($C106,ISNUMBER($BP106)),$BP106*1000+ROW(),"")</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IF($C107,IF('Backlog General'!$G107="Completada",1,IF('Backlog General'!$G107="Casi lista",0.75,IF('Backlog General'!$G107="En progreso",0.5,IF('Backlog General'!$G107="Iniciada",0.25,0)))),"")</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IF($C107,IF(ISBLANK('Backlog General'!$K107),"",'Backlog General'!$K107),"")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IF(AND($C107,ISNUMBER($AR107)),IF(AND(ISNUMBER('Backlog General'!$M107),'Backlog General'!$M107&gt;=$AR107),'Backlog General'!$M107,IF(AND($AU107="Pasa al siguiente",$AT107&lt;&gt;"Completada"),$AR107+1,$AR107)),"")</f>
      </c>
      <c r="AW107" s="202">
        <f>IF(AND($C107,ISNUMBER($AR107)),$AQ107+$AR107*$AP107*'Sprints'!$D$5-'Sprints'!$D$5,"")</f>
      </c>
      <c r="AX107" s="202">
        <f>IF($C107,IF(OR($AT107="Completada",$AU107="Cancelado",$AU107="Baja prioridad",NOT(ISNUMBER($AW107))),0,IF(TODAY()&gt;$AW107,NETWORKDAYS($AW107,TODAY(),'Sprints'!$L$5:$L$40)-1,0)),"")</f>
      </c>
      <c r="AY107" s="203">
        <f>IF($C107,IF(NOT(ISNUMBER($AR107)),"Sin fecha",IF($AT107="Completada","Completada",IF($AU107="Cancelado","Cancelado",IF($AU107="Baja prioridad","Baja prioridad",IF($AX107&gt;0,"Vencida","En curso"))))),"")</f>
      </c>
      <c r="AZ107" s="203">
        <f>IF($C107,IF(ISNUMBER($AV107),$AO107&amp;" · S"&amp;$AV107,"(Sin fecha)"),"")</f>
      </c>
      <c r="BA107" s="202">
        <f>IF(AND($C107,ISNUMBER($AR107),$AR107=$AS107),"Nuevo","")</f>
      </c>
      <c r="BB107" s="202">
        <f>IF(AND($C107,$AO107="Semanal",ISNUMBER($AV107)),$AV107*100000+ROW(),"")</f>
      </c>
      <c r="BC107" s="202">
        <f>IF(AND($C107,$AO107="Quincenal",ISNUMBER($AV107)),$AV107*100000+ROW(),"")</f>
      </c>
      <c r="BD107" s="202">
        <f>IF(AND($C107,$AO107="Mensual",ISNUMBER($AV107)),$AV107*100000+ROW(),"")</f>
      </c>
      <c r="BE107" s="203">
        <f>IF($C107,IF(ISBLANK('Backlog General'!$J107),"",'Backlog General'!$J107),"")</f>
      </c>
      <c r="BF107" s="203">
        <f>IF($C107,IF($BE107="","",$BE107)&amp;IF(AND($BE107&lt;&gt;"",$AH107&lt;&gt;"")," · ","")&amp;IF($AH107="","",$AH107),"")</f>
      </c>
      <c r="BG107" s="203">
        <f>IF($C107,IF($J107="Completado","Sí","No"),"")</f>
      </c>
      <c r="BH107" s="202">
        <f>IF(AND($C107,ISNUMBER($AR107)),IF($AO107="Semanal",1,IF($AO107="Quincenal",2,3))*1000000000+$AR107*100000+ROW(),"")</f>
      </c>
      <c r="BI107" s="202">
        <f>IF($C107,IF($AU107="Cancelado","",$I107),"")</f>
      </c>
      <c r="BJ107" s="202">
        <f>IF($C107,IFERROR(MATCH($D107,$D$7:$D$200,0)+6,ROW()),"")</f>
      </c>
      <c r="BK107" s="202">
        <f>IF(AND($C107,ISNUMBER($AV107)),$BJ107*1000000+$AV107*1000+ROW(),"")</f>
      </c>
      <c r="BL107" s="202">
        <f>IF(AND($C107,ISNUMBER($AW107)),ROUND(($AW107-('Sprints'!$C$5+('Sprints'!$E$5-1)*'Sprints'!$D$5))/'Sprints'!$D$5,0),"")</f>
      </c>
      <c r="BM107" s="203">
        <f>IF($C107,IF(NOT(ISNUMBER($BL107)),"",IF($BL107&lt;0,"Pasada",IF($BL107=0,"Actual",IF($BL107=1,"Siguiente",IF($BL107=2,"+2 sem",IF($BL107=3,"+3 sem","Posterior")))))),"")</f>
      </c>
      <c r="BN107" s="202">
        <f>IF(AND($C107,ISNUMBER($AR107),ISNUMBER($AV107)),MAX(1,$AV107-$AR107+1),0)</f>
        <v>0</v>
      </c>
      <c r="BO107" s="202">
        <f>SUM($BN$7:$BN107)-$BN107</f>
        <v>26</v>
      </c>
      <c r="BP107" s="202">
        <f>IF(AND($C107,ISNUMBER($AV107)),$AQ107+$AV107*$AP107*'Sprints'!$D$5-'Sprints'!$D$5,"")</f>
      </c>
      <c r="BQ107" s="202">
        <f>IF(AND($C107,ISNUMBER($BP107)),$BP107*1000+ROW(),"")</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IF($C108,IF('Backlog General'!$G108="Completada",1,IF('Backlog General'!$G108="Casi lista",0.75,IF('Backlog General'!$G108="En progreso",0.5,IF('Backlog General'!$G108="Iniciada",0.25,0)))),"")</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IF($C108,IF(ISBLANK('Backlog General'!$K108),"",'Backlog General'!$K108),"")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IF(AND($C108,ISNUMBER($AR108)),IF(AND(ISNUMBER('Backlog General'!$M108),'Backlog General'!$M108&gt;=$AR108),'Backlog General'!$M108,IF(AND($AU108="Pasa al siguiente",$AT108&lt;&gt;"Completada"),$AR108+1,$AR108)),"")</f>
      </c>
      <c r="AW108" s="202">
        <f>IF(AND($C108,ISNUMBER($AR108)),$AQ108+$AR108*$AP108*'Sprints'!$D$5-'Sprints'!$D$5,"")</f>
      </c>
      <c r="AX108" s="202">
        <f>IF($C108,IF(OR($AT108="Completada",$AU108="Cancelado",$AU108="Baja prioridad",NOT(ISNUMBER($AW108))),0,IF(TODAY()&gt;$AW108,NETWORKDAYS($AW108,TODAY(),'Sprints'!$L$5:$L$40)-1,0)),"")</f>
      </c>
      <c r="AY108" s="203">
        <f>IF($C108,IF(NOT(ISNUMBER($AR108)),"Sin fecha",IF($AT108="Completada","Completada",IF($AU108="Cancelado","Cancelado",IF($AU108="Baja prioridad","Baja prioridad",IF($AX108&gt;0,"Vencida","En curso"))))),"")</f>
      </c>
      <c r="AZ108" s="203">
        <f>IF($C108,IF(ISNUMBER($AV108),$AO108&amp;" · S"&amp;$AV108,"(Sin fecha)"),"")</f>
      </c>
      <c r="BA108" s="202">
        <f>IF(AND($C108,ISNUMBER($AR108),$AR108=$AS108),"Nuevo","")</f>
      </c>
      <c r="BB108" s="202">
        <f>IF(AND($C108,$AO108="Semanal",ISNUMBER($AV108)),$AV108*100000+ROW(),"")</f>
      </c>
      <c r="BC108" s="202">
        <f>IF(AND($C108,$AO108="Quincenal",ISNUMBER($AV108)),$AV108*100000+ROW(),"")</f>
      </c>
      <c r="BD108" s="202">
        <f>IF(AND($C108,$AO108="Mensual",ISNUMBER($AV108)),$AV108*100000+ROW(),"")</f>
      </c>
      <c r="BE108" s="203">
        <f>IF($C108,IF(ISBLANK('Backlog General'!$J108),"",'Backlog General'!$J108),"")</f>
      </c>
      <c r="BF108" s="203">
        <f>IF($C108,IF($BE108="","",$BE108)&amp;IF(AND($BE108&lt;&gt;"",$AH108&lt;&gt;"")," · ","")&amp;IF($AH108="","",$AH108),"")</f>
      </c>
      <c r="BG108" s="203">
        <f>IF($C108,IF($J108="Completado","Sí","No"),"")</f>
      </c>
      <c r="BH108" s="202">
        <f>IF(AND($C108,ISNUMBER($AR108)),IF($AO108="Semanal",1,IF($AO108="Quincenal",2,3))*1000000000+$AR108*100000+ROW(),"")</f>
      </c>
      <c r="BI108" s="202">
        <f>IF($C108,IF($AU108="Cancelado","",$I108),"")</f>
      </c>
      <c r="BJ108" s="202">
        <f>IF($C108,IFERROR(MATCH($D108,$D$7:$D$200,0)+6,ROW()),"")</f>
      </c>
      <c r="BK108" s="202">
        <f>IF(AND($C108,ISNUMBER($AV108)),$BJ108*1000000+$AV108*1000+ROW(),"")</f>
      </c>
      <c r="BL108" s="202">
        <f>IF(AND($C108,ISNUMBER($AW108)),ROUND(($AW108-('Sprints'!$C$5+('Sprints'!$E$5-1)*'Sprints'!$D$5))/'Sprints'!$D$5,0),"")</f>
      </c>
      <c r="BM108" s="203">
        <f>IF($C108,IF(NOT(ISNUMBER($BL108)),"",IF($BL108&lt;0,"Pasada",IF($BL108=0,"Actual",IF($BL108=1,"Siguiente",IF($BL108=2,"+2 sem",IF($BL108=3,"+3 sem","Posterior")))))),"")</f>
      </c>
      <c r="BN108" s="202">
        <f>IF(AND($C108,ISNUMBER($AR108),ISNUMBER($AV108)),MAX(1,$AV108-$AR108+1),0)</f>
        <v>0</v>
      </c>
      <c r="BO108" s="202">
        <f>SUM($BN$7:$BN108)-$BN108</f>
        <v>26</v>
      </c>
      <c r="BP108" s="202">
        <f>IF(AND($C108,ISNUMBER($AV108)),$AQ108+$AV108*$AP108*'Sprints'!$D$5-'Sprints'!$D$5,"")</f>
      </c>
      <c r="BQ108" s="202">
        <f>IF(AND($C108,ISNUMBER($BP108)),$BP108*1000+ROW(),"")</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IF($C109,IF('Backlog General'!$G109="Completada",1,IF('Backlog General'!$G109="Casi lista",0.75,IF('Backlog General'!$G109="En progreso",0.5,IF('Backlog General'!$G109="Iniciada",0.25,0)))),"")</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IF($C109,IF(ISBLANK('Backlog General'!$K109),"",'Backlog General'!$K109),"")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IF(AND($C109,ISNUMBER($AR109)),IF(AND(ISNUMBER('Backlog General'!$M109),'Backlog General'!$M109&gt;=$AR109),'Backlog General'!$M109,IF(AND($AU109="Pasa al siguiente",$AT109&lt;&gt;"Completada"),$AR109+1,$AR109)),"")</f>
      </c>
      <c r="AW109" s="202">
        <f>IF(AND($C109,ISNUMBER($AR109)),$AQ109+$AR109*$AP109*'Sprints'!$D$5-'Sprints'!$D$5,"")</f>
      </c>
      <c r="AX109" s="202">
        <f>IF($C109,IF(OR($AT109="Completada",$AU109="Cancelado",$AU109="Baja prioridad",NOT(ISNUMBER($AW109))),0,IF(TODAY()&gt;$AW109,NETWORKDAYS($AW109,TODAY(),'Sprints'!$L$5:$L$40)-1,0)),"")</f>
      </c>
      <c r="AY109" s="203">
        <f>IF($C109,IF(NOT(ISNUMBER($AR109)),"Sin fecha",IF($AT109="Completada","Completada",IF($AU109="Cancelado","Cancelado",IF($AU109="Baja prioridad","Baja prioridad",IF($AX109&gt;0,"Vencida","En curso"))))),"")</f>
      </c>
      <c r="AZ109" s="203">
        <f>IF($C109,IF(ISNUMBER($AV109),$AO109&amp;" · S"&amp;$AV109,"(Sin fecha)"),"")</f>
      </c>
      <c r="BA109" s="202">
        <f>IF(AND($C109,ISNUMBER($AR109),$AR109=$AS109),"Nuevo","")</f>
      </c>
      <c r="BB109" s="202">
        <f>IF(AND($C109,$AO109="Semanal",ISNUMBER($AV109)),$AV109*100000+ROW(),"")</f>
      </c>
      <c r="BC109" s="202">
        <f>IF(AND($C109,$AO109="Quincenal",ISNUMBER($AV109)),$AV109*100000+ROW(),"")</f>
      </c>
      <c r="BD109" s="202">
        <f>IF(AND($C109,$AO109="Mensual",ISNUMBER($AV109)),$AV109*100000+ROW(),"")</f>
      </c>
      <c r="BE109" s="203">
        <f>IF($C109,IF(ISBLANK('Backlog General'!$J109),"",'Backlog General'!$J109),"")</f>
      </c>
      <c r="BF109" s="203">
        <f>IF($C109,IF($BE109="","",$BE109)&amp;IF(AND($BE109&lt;&gt;"",$AH109&lt;&gt;"")," · ","")&amp;IF($AH109="","",$AH109),"")</f>
      </c>
      <c r="BG109" s="203">
        <f>IF($C109,IF($J109="Completado","Sí","No"),"")</f>
      </c>
      <c r="BH109" s="202">
        <f>IF(AND($C109,ISNUMBER($AR109)),IF($AO109="Semanal",1,IF($AO109="Quincenal",2,3))*1000000000+$AR109*100000+ROW(),"")</f>
      </c>
      <c r="BI109" s="202">
        <f>IF($C109,IF($AU109="Cancelado","",$I109),"")</f>
      </c>
      <c r="BJ109" s="202">
        <f>IF($C109,IFERROR(MATCH($D109,$D$7:$D$200,0)+6,ROW()),"")</f>
      </c>
      <c r="BK109" s="202">
        <f>IF(AND($C109,ISNUMBER($AV109)),$BJ109*1000000+$AV109*1000+ROW(),"")</f>
      </c>
      <c r="BL109" s="202">
        <f>IF(AND($C109,ISNUMBER($AW109)),ROUND(($AW109-('Sprints'!$C$5+('Sprints'!$E$5-1)*'Sprints'!$D$5))/'Sprints'!$D$5,0),"")</f>
      </c>
      <c r="BM109" s="203">
        <f>IF($C109,IF(NOT(ISNUMBER($BL109)),"",IF($BL109&lt;0,"Pasada",IF($BL109=0,"Actual",IF($BL109=1,"Siguiente",IF($BL109=2,"+2 sem",IF($BL109=3,"+3 sem","Posterior")))))),"")</f>
      </c>
      <c r="BN109" s="202">
        <f>IF(AND($C109,ISNUMBER($AR109),ISNUMBER($AV109)),MAX(1,$AV109-$AR109+1),0)</f>
        <v>0</v>
      </c>
      <c r="BO109" s="202">
        <f>SUM($BN$7:$BN109)-$BN109</f>
        <v>26</v>
      </c>
      <c r="BP109" s="202">
        <f>IF(AND($C109,ISNUMBER($AV109)),$AQ109+$AV109*$AP109*'Sprints'!$D$5-'Sprints'!$D$5,"")</f>
      </c>
      <c r="BQ109" s="202">
        <f>IF(AND($C109,ISNUMBER($BP109)),$BP109*1000+ROW(),"")</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IF($C110,IF('Backlog General'!$G110="Completada",1,IF('Backlog General'!$G110="Casi lista",0.75,IF('Backlog General'!$G110="En progreso",0.5,IF('Backlog General'!$G110="Iniciada",0.25,0)))),"")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IF($C110,IF(ISBLANK('Backlog General'!$K110),"",'Backlog General'!$K110),"")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IF(AND($C110,ISNUMBER($AR110)),IF(AND(ISNUMBER('Backlog General'!$M110),'Backlog General'!$M110&gt;=$AR110),'Backlog General'!$M110,IF(AND($AU110="Pasa al siguiente",$AT110&lt;&gt;"Completada"),$AR110+1,$AR110)),"")</f>
      </c>
      <c r="AW110" s="202">
        <f>IF(AND($C110,ISNUMBER($AR110)),$AQ110+$AR110*$AP110*'Sprints'!$D$5-'Sprints'!$D$5,"")</f>
      </c>
      <c r="AX110" s="202">
        <f>IF($C110,IF(OR($AT110="Completada",$AU110="Cancelado",$AU110="Baja prioridad",NOT(ISNUMBER($AW110))),0,IF(TODAY()&gt;$AW110,NETWORKDAYS($AW110,TODAY(),'Sprints'!$L$5:$L$40)-1,0)),"")</f>
      </c>
      <c r="AY110" s="203">
        <f>IF($C110,IF(NOT(ISNUMBER($AR110)),"Sin fecha",IF($AT110="Completada","Completada",IF($AU110="Cancelado","Cancelado",IF($AU110="Baja prioridad","Baja prioridad",IF($AX110&gt;0,"Vencida","En curso"))))),"")</f>
      </c>
      <c r="AZ110" s="203">
        <f>IF($C110,IF(ISNUMBER($AV110),$AO110&amp;" · S"&amp;$AV110,"(Sin fecha)"),"")</f>
      </c>
      <c r="BA110" s="202">
        <f>IF(AND($C110,ISNUMBER($AR110),$AR110=$AS110),"Nuevo","")</f>
      </c>
      <c r="BB110" s="202">
        <f>IF(AND($C110,$AO110="Semanal",ISNUMBER($AV110)),$AV110*100000+ROW(),"")</f>
      </c>
      <c r="BC110" s="202">
        <f>IF(AND($C110,$AO110="Quincenal",ISNUMBER($AV110)),$AV110*100000+ROW(),"")</f>
      </c>
      <c r="BD110" s="202">
        <f>IF(AND($C110,$AO110="Mensual",ISNUMBER($AV110)),$AV110*100000+ROW(),"")</f>
      </c>
      <c r="BE110" s="203">
        <f>IF($C110,IF(ISBLANK('Backlog General'!$J110),"",'Backlog General'!$J110),"")</f>
      </c>
      <c r="BF110" s="203">
        <f>IF($C110,IF($BE110="","",$BE110)&amp;IF(AND($BE110&lt;&gt;"",$AH110&lt;&gt;"")," · ","")&amp;IF($AH110="","",$AH110),"")</f>
      </c>
      <c r="BG110" s="203">
        <f>IF($C110,IF($J110="Completado","Sí","No"),"")</f>
      </c>
      <c r="BH110" s="202">
        <f>IF(AND($C110,ISNUMBER($AR110)),IF($AO110="Semanal",1,IF($AO110="Quincenal",2,3))*1000000000+$AR110*100000+ROW(),"")</f>
      </c>
      <c r="BI110" s="202">
        <f>IF($C110,IF($AU110="Cancelado","",$I110),"")</f>
      </c>
      <c r="BJ110" s="202">
        <f>IF($C110,IFERROR(MATCH($D110,$D$7:$D$200,0)+6,ROW()),"")</f>
      </c>
      <c r="BK110" s="202">
        <f>IF(AND($C110,ISNUMBER($AV110)),$BJ110*1000000+$AV110*1000+ROW(),"")</f>
      </c>
      <c r="BL110" s="202">
        <f>IF(AND($C110,ISNUMBER($AW110)),ROUND(($AW110-('Sprints'!$C$5+('Sprints'!$E$5-1)*'Sprints'!$D$5))/'Sprints'!$D$5,0),"")</f>
      </c>
      <c r="BM110" s="203">
        <f>IF($C110,IF(NOT(ISNUMBER($BL110)),"",IF($BL110&lt;0,"Pasada",IF($BL110=0,"Actual",IF($BL110=1,"Siguiente",IF($BL110=2,"+2 sem",IF($BL110=3,"+3 sem","Posterior")))))),"")</f>
      </c>
      <c r="BN110" s="202">
        <f>IF(AND($C110,ISNUMBER($AR110),ISNUMBER($AV110)),MAX(1,$AV110-$AR110+1),0)</f>
        <v>0</v>
      </c>
      <c r="BO110" s="202">
        <f>SUM($BN$7:$BN110)-$BN110</f>
        <v>26</v>
      </c>
      <c r="BP110" s="202">
        <f>IF(AND($C110,ISNUMBER($AV110)),$AQ110+$AV110*$AP110*'Sprints'!$D$5-'Sprints'!$D$5,"")</f>
      </c>
      <c r="BQ110" s="202">
        <f>IF(AND($C110,ISNUMBER($BP110)),$BP110*1000+ROW(),"")</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IF($C111,IF('Backlog General'!$G111="Completada",1,IF('Backlog General'!$G111="Casi lista",0.75,IF('Backlog General'!$G111="En progreso",0.5,IF('Backlog General'!$G111="Iniciada",0.25,0)))),"")</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IF($C111,IF(ISBLANK('Backlog General'!$K111),"",'Backlog General'!$K111),"")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IF(AND($C111,ISNUMBER($AR111)),IF(AND(ISNUMBER('Backlog General'!$M111),'Backlog General'!$M111&gt;=$AR111),'Backlog General'!$M111,IF(AND($AU111="Pasa al siguiente",$AT111&lt;&gt;"Completada"),$AR111+1,$AR111)),"")</f>
      </c>
      <c r="AW111" s="202">
        <f>IF(AND($C111,ISNUMBER($AR111)),$AQ111+$AR111*$AP111*'Sprints'!$D$5-'Sprints'!$D$5,"")</f>
      </c>
      <c r="AX111" s="202">
        <f>IF($C111,IF(OR($AT111="Completada",$AU111="Cancelado",$AU111="Baja prioridad",NOT(ISNUMBER($AW111))),0,IF(TODAY()&gt;$AW111,NETWORKDAYS($AW111,TODAY(),'Sprints'!$L$5:$L$40)-1,0)),"")</f>
      </c>
      <c r="AY111" s="203">
        <f>IF($C111,IF(NOT(ISNUMBER($AR111)),"Sin fecha",IF($AT111="Completada","Completada",IF($AU111="Cancelado","Cancelado",IF($AU111="Baja prioridad","Baja prioridad",IF($AX111&gt;0,"Vencida","En curso"))))),"")</f>
      </c>
      <c r="AZ111" s="203">
        <f>IF($C111,IF(ISNUMBER($AV111),$AO111&amp;" · S"&amp;$AV111,"(Sin fecha)"),"")</f>
      </c>
      <c r="BA111" s="202">
        <f>IF(AND($C111,ISNUMBER($AR111),$AR111=$AS111),"Nuevo","")</f>
      </c>
      <c r="BB111" s="202">
        <f>IF(AND($C111,$AO111="Semanal",ISNUMBER($AV111)),$AV111*100000+ROW(),"")</f>
      </c>
      <c r="BC111" s="202">
        <f>IF(AND($C111,$AO111="Quincenal",ISNUMBER($AV111)),$AV111*100000+ROW(),"")</f>
      </c>
      <c r="BD111" s="202">
        <f>IF(AND($C111,$AO111="Mensual",ISNUMBER($AV111)),$AV111*100000+ROW(),"")</f>
      </c>
      <c r="BE111" s="203">
        <f>IF($C111,IF(ISBLANK('Backlog General'!$J111),"",'Backlog General'!$J111),"")</f>
      </c>
      <c r="BF111" s="203">
        <f>IF($C111,IF($BE111="","",$BE111)&amp;IF(AND($BE111&lt;&gt;"",$AH111&lt;&gt;"")," · ","")&amp;IF($AH111="","",$AH111),"")</f>
      </c>
      <c r="BG111" s="203">
        <f>IF($C111,IF($J111="Completado","Sí","No"),"")</f>
      </c>
      <c r="BH111" s="202">
        <f>IF(AND($C111,ISNUMBER($AR111)),IF($AO111="Semanal",1,IF($AO111="Quincenal",2,3))*1000000000+$AR111*100000+ROW(),"")</f>
      </c>
      <c r="BI111" s="202">
        <f>IF($C111,IF($AU111="Cancelado","",$I111),"")</f>
      </c>
      <c r="BJ111" s="202">
        <f>IF($C111,IFERROR(MATCH($D111,$D$7:$D$200,0)+6,ROW()),"")</f>
      </c>
      <c r="BK111" s="202">
        <f>IF(AND($C111,ISNUMBER($AV111)),$BJ111*1000000+$AV111*1000+ROW(),"")</f>
      </c>
      <c r="BL111" s="202">
        <f>IF(AND($C111,ISNUMBER($AW111)),ROUND(($AW111-('Sprints'!$C$5+('Sprints'!$E$5-1)*'Sprints'!$D$5))/'Sprints'!$D$5,0),"")</f>
      </c>
      <c r="BM111" s="203">
        <f>IF($C111,IF(NOT(ISNUMBER($BL111)),"",IF($BL111&lt;0,"Pasada",IF($BL111=0,"Actual",IF($BL111=1,"Siguiente",IF($BL111=2,"+2 sem",IF($BL111=3,"+3 sem","Posterior")))))),"")</f>
      </c>
      <c r="BN111" s="202">
        <f>IF(AND($C111,ISNUMBER($AR111),ISNUMBER($AV111)),MAX(1,$AV111-$AR111+1),0)</f>
        <v>0</v>
      </c>
      <c r="BO111" s="202">
        <f>SUM($BN$7:$BN111)-$BN111</f>
        <v>26</v>
      </c>
      <c r="BP111" s="202">
        <f>IF(AND($C111,ISNUMBER($AV111)),$AQ111+$AV111*$AP111*'Sprints'!$D$5-'Sprints'!$D$5,"")</f>
      </c>
      <c r="BQ111" s="202">
        <f>IF(AND($C111,ISNUMBER($BP111)),$BP111*1000+ROW(),"")</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IF($C112,IF('Backlog General'!$G112="Completada",1,IF('Backlog General'!$G112="Casi lista",0.75,IF('Backlog General'!$G112="En progreso",0.5,IF('Backlog General'!$G112="Iniciada",0.25,0)))),"")</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IF($C112,IF(ISBLANK('Backlog General'!$K112),"",'Backlog General'!$K112),"")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IF(AND($C112,ISNUMBER($AR112)),IF(AND(ISNUMBER('Backlog General'!$M112),'Backlog General'!$M112&gt;=$AR112),'Backlog General'!$M112,IF(AND($AU112="Pasa al siguiente",$AT112&lt;&gt;"Completada"),$AR112+1,$AR112)),"")</f>
      </c>
      <c r="AW112" s="202">
        <f>IF(AND($C112,ISNUMBER($AR112)),$AQ112+$AR112*$AP112*'Sprints'!$D$5-'Sprints'!$D$5,"")</f>
      </c>
      <c r="AX112" s="202">
        <f>IF($C112,IF(OR($AT112="Completada",$AU112="Cancelado",$AU112="Baja prioridad",NOT(ISNUMBER($AW112))),0,IF(TODAY()&gt;$AW112,NETWORKDAYS($AW112,TODAY(),'Sprints'!$L$5:$L$40)-1,0)),"")</f>
      </c>
      <c r="AY112" s="203">
        <f>IF($C112,IF(NOT(ISNUMBER($AR112)),"Sin fecha",IF($AT112="Completada","Completada",IF($AU112="Cancelado","Cancelado",IF($AU112="Baja prioridad","Baja prioridad",IF($AX112&gt;0,"Vencida","En curso"))))),"")</f>
      </c>
      <c r="AZ112" s="203">
        <f>IF($C112,IF(ISNUMBER($AV112),$AO112&amp;" · S"&amp;$AV112,"(Sin fecha)"),"")</f>
      </c>
      <c r="BA112" s="202">
        <f>IF(AND($C112,ISNUMBER($AR112),$AR112=$AS112),"Nuevo","")</f>
      </c>
      <c r="BB112" s="202">
        <f>IF(AND($C112,$AO112="Semanal",ISNUMBER($AV112)),$AV112*100000+ROW(),"")</f>
      </c>
      <c r="BC112" s="202">
        <f>IF(AND($C112,$AO112="Quincenal",ISNUMBER($AV112)),$AV112*100000+ROW(),"")</f>
      </c>
      <c r="BD112" s="202">
        <f>IF(AND($C112,$AO112="Mensual",ISNUMBER($AV112)),$AV112*100000+ROW(),"")</f>
      </c>
      <c r="BE112" s="203">
        <f>IF($C112,IF(ISBLANK('Backlog General'!$J112),"",'Backlog General'!$J112),"")</f>
      </c>
      <c r="BF112" s="203">
        <f>IF($C112,IF($BE112="","",$BE112)&amp;IF(AND($BE112&lt;&gt;"",$AH112&lt;&gt;"")," · ","")&amp;IF($AH112="","",$AH112),"")</f>
      </c>
      <c r="BG112" s="203">
        <f>IF($C112,IF($J112="Completado","Sí","No"),"")</f>
      </c>
      <c r="BH112" s="202">
        <f>IF(AND($C112,ISNUMBER($AR112)),IF($AO112="Semanal",1,IF($AO112="Quincenal",2,3))*1000000000+$AR112*100000+ROW(),"")</f>
      </c>
      <c r="BI112" s="202">
        <f>IF($C112,IF($AU112="Cancelado","",$I112),"")</f>
      </c>
      <c r="BJ112" s="202">
        <f>IF($C112,IFERROR(MATCH($D112,$D$7:$D$200,0)+6,ROW()),"")</f>
      </c>
      <c r="BK112" s="202">
        <f>IF(AND($C112,ISNUMBER($AV112)),$BJ112*1000000+$AV112*1000+ROW(),"")</f>
      </c>
      <c r="BL112" s="202">
        <f>IF(AND($C112,ISNUMBER($AW112)),ROUND(($AW112-('Sprints'!$C$5+('Sprints'!$E$5-1)*'Sprints'!$D$5))/'Sprints'!$D$5,0),"")</f>
      </c>
      <c r="BM112" s="203">
        <f>IF($C112,IF(NOT(ISNUMBER($BL112)),"",IF($BL112&lt;0,"Pasada",IF($BL112=0,"Actual",IF($BL112=1,"Siguiente",IF($BL112=2,"+2 sem",IF($BL112=3,"+3 sem","Posterior")))))),"")</f>
      </c>
      <c r="BN112" s="202">
        <f>IF(AND($C112,ISNUMBER($AR112),ISNUMBER($AV112)),MAX(1,$AV112-$AR112+1),0)</f>
        <v>0</v>
      </c>
      <c r="BO112" s="202">
        <f>SUM($BN$7:$BN112)-$BN112</f>
        <v>26</v>
      </c>
      <c r="BP112" s="202">
        <f>IF(AND($C112,ISNUMBER($AV112)),$AQ112+$AV112*$AP112*'Sprints'!$D$5-'Sprints'!$D$5,"")</f>
      </c>
      <c r="BQ112" s="202">
        <f>IF(AND($C112,ISNUMBER($BP112)),$BP112*1000+ROW(),"")</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IF($C113,IF('Backlog General'!$G113="Completada",1,IF('Backlog General'!$G113="Casi lista",0.75,IF('Backlog General'!$G113="En progreso",0.5,IF('Backlog General'!$G113="Iniciada",0.25,0)))),"")</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IF($C113,IF(ISBLANK('Backlog General'!$K113),"",'Backlog General'!$K113),"")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IF(AND($C113,ISNUMBER($AR113)),IF(AND(ISNUMBER('Backlog General'!$M113),'Backlog General'!$M113&gt;=$AR113),'Backlog General'!$M113,IF(AND($AU113="Pasa al siguiente",$AT113&lt;&gt;"Completada"),$AR113+1,$AR113)),"")</f>
      </c>
      <c r="AW113" s="202">
        <f>IF(AND($C113,ISNUMBER($AR113)),$AQ113+$AR113*$AP113*'Sprints'!$D$5-'Sprints'!$D$5,"")</f>
      </c>
      <c r="AX113" s="202">
        <f>IF($C113,IF(OR($AT113="Completada",$AU113="Cancelado",$AU113="Baja prioridad",NOT(ISNUMBER($AW113))),0,IF(TODAY()&gt;$AW113,NETWORKDAYS($AW113,TODAY(),'Sprints'!$L$5:$L$40)-1,0)),"")</f>
      </c>
      <c r="AY113" s="203">
        <f>IF($C113,IF(NOT(ISNUMBER($AR113)),"Sin fecha",IF($AT113="Completada","Completada",IF($AU113="Cancelado","Cancelado",IF($AU113="Baja prioridad","Baja prioridad",IF($AX113&gt;0,"Vencida","En curso"))))),"")</f>
      </c>
      <c r="AZ113" s="203">
        <f>IF($C113,IF(ISNUMBER($AV113),$AO113&amp;" · S"&amp;$AV113,"(Sin fecha)"),"")</f>
      </c>
      <c r="BA113" s="202">
        <f>IF(AND($C113,ISNUMBER($AR113),$AR113=$AS113),"Nuevo","")</f>
      </c>
      <c r="BB113" s="202">
        <f>IF(AND($C113,$AO113="Semanal",ISNUMBER($AV113)),$AV113*100000+ROW(),"")</f>
      </c>
      <c r="BC113" s="202">
        <f>IF(AND($C113,$AO113="Quincenal",ISNUMBER($AV113)),$AV113*100000+ROW(),"")</f>
      </c>
      <c r="BD113" s="202">
        <f>IF(AND($C113,$AO113="Mensual",ISNUMBER($AV113)),$AV113*100000+ROW(),"")</f>
      </c>
      <c r="BE113" s="203">
        <f>IF($C113,IF(ISBLANK('Backlog General'!$J113),"",'Backlog General'!$J113),"")</f>
      </c>
      <c r="BF113" s="203">
        <f>IF($C113,IF($BE113="","",$BE113)&amp;IF(AND($BE113&lt;&gt;"",$AH113&lt;&gt;"")," · ","")&amp;IF($AH113="","",$AH113),"")</f>
      </c>
      <c r="BG113" s="203">
        <f>IF($C113,IF($J113="Completado","Sí","No"),"")</f>
      </c>
      <c r="BH113" s="202">
        <f>IF(AND($C113,ISNUMBER($AR113)),IF($AO113="Semanal",1,IF($AO113="Quincenal",2,3))*1000000000+$AR113*100000+ROW(),"")</f>
      </c>
      <c r="BI113" s="202">
        <f>IF($C113,IF($AU113="Cancelado","",$I113),"")</f>
      </c>
      <c r="BJ113" s="202">
        <f>IF($C113,IFERROR(MATCH($D113,$D$7:$D$200,0)+6,ROW()),"")</f>
      </c>
      <c r="BK113" s="202">
        <f>IF(AND($C113,ISNUMBER($AV113)),$BJ113*1000000+$AV113*1000+ROW(),"")</f>
      </c>
      <c r="BL113" s="202">
        <f>IF(AND($C113,ISNUMBER($AW113)),ROUND(($AW113-('Sprints'!$C$5+('Sprints'!$E$5-1)*'Sprints'!$D$5))/'Sprints'!$D$5,0),"")</f>
      </c>
      <c r="BM113" s="203">
        <f>IF($C113,IF(NOT(ISNUMBER($BL113)),"",IF($BL113&lt;0,"Pasada",IF($BL113=0,"Actual",IF($BL113=1,"Siguiente",IF($BL113=2,"+2 sem",IF($BL113=3,"+3 sem","Posterior")))))),"")</f>
      </c>
      <c r="BN113" s="202">
        <f>IF(AND($C113,ISNUMBER($AR113),ISNUMBER($AV113)),MAX(1,$AV113-$AR113+1),0)</f>
        <v>0</v>
      </c>
      <c r="BO113" s="202">
        <f>SUM($BN$7:$BN113)-$BN113</f>
        <v>26</v>
      </c>
      <c r="BP113" s="202">
        <f>IF(AND($C113,ISNUMBER($AV113)),$AQ113+$AV113*$AP113*'Sprints'!$D$5-'Sprints'!$D$5,"")</f>
      </c>
      <c r="BQ113" s="202">
        <f>IF(AND($C113,ISNUMBER($BP113)),$BP113*1000+ROW(),"")</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IF($C114,IF('Backlog General'!$G114="Completada",1,IF('Backlog General'!$G114="Casi lista",0.75,IF('Backlog General'!$G114="En progreso",0.5,IF('Backlog General'!$G114="Iniciada",0.25,0)))),"")</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IF($C114,IF(ISBLANK('Backlog General'!$K114),"",'Backlog General'!$K114),"")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IF(AND($C114,ISNUMBER($AR114)),IF(AND(ISNUMBER('Backlog General'!$M114),'Backlog General'!$M114&gt;=$AR114),'Backlog General'!$M114,IF(AND($AU114="Pasa al siguiente",$AT114&lt;&gt;"Completada"),$AR114+1,$AR114)),"")</f>
      </c>
      <c r="AW114" s="202">
        <f>IF(AND($C114,ISNUMBER($AR114)),$AQ114+$AR114*$AP114*'Sprints'!$D$5-'Sprints'!$D$5,"")</f>
      </c>
      <c r="AX114" s="202">
        <f>IF($C114,IF(OR($AT114="Completada",$AU114="Cancelado",$AU114="Baja prioridad",NOT(ISNUMBER($AW114))),0,IF(TODAY()&gt;$AW114,NETWORKDAYS($AW114,TODAY(),'Sprints'!$L$5:$L$40)-1,0)),"")</f>
      </c>
      <c r="AY114" s="203">
        <f>IF($C114,IF(NOT(ISNUMBER($AR114)),"Sin fecha",IF($AT114="Completada","Completada",IF($AU114="Cancelado","Cancelado",IF($AU114="Baja prioridad","Baja prioridad",IF($AX114&gt;0,"Vencida","En curso"))))),"")</f>
      </c>
      <c r="AZ114" s="203">
        <f>IF($C114,IF(ISNUMBER($AV114),$AO114&amp;" · S"&amp;$AV114,"(Sin fecha)"),"")</f>
      </c>
      <c r="BA114" s="202">
        <f>IF(AND($C114,ISNUMBER($AR114),$AR114=$AS114),"Nuevo","")</f>
      </c>
      <c r="BB114" s="202">
        <f>IF(AND($C114,$AO114="Semanal",ISNUMBER($AV114)),$AV114*100000+ROW(),"")</f>
      </c>
      <c r="BC114" s="202">
        <f>IF(AND($C114,$AO114="Quincenal",ISNUMBER($AV114)),$AV114*100000+ROW(),"")</f>
      </c>
      <c r="BD114" s="202">
        <f>IF(AND($C114,$AO114="Mensual",ISNUMBER($AV114)),$AV114*100000+ROW(),"")</f>
      </c>
      <c r="BE114" s="203">
        <f>IF($C114,IF(ISBLANK('Backlog General'!$J114),"",'Backlog General'!$J114),"")</f>
      </c>
      <c r="BF114" s="203">
        <f>IF($C114,IF($BE114="","",$BE114)&amp;IF(AND($BE114&lt;&gt;"",$AH114&lt;&gt;"")," · ","")&amp;IF($AH114="","",$AH114),"")</f>
      </c>
      <c r="BG114" s="203">
        <f>IF($C114,IF($J114="Completado","Sí","No"),"")</f>
      </c>
      <c r="BH114" s="202">
        <f>IF(AND($C114,ISNUMBER($AR114)),IF($AO114="Semanal",1,IF($AO114="Quincenal",2,3))*1000000000+$AR114*100000+ROW(),"")</f>
      </c>
      <c r="BI114" s="202">
        <f>IF($C114,IF($AU114="Cancelado","",$I114),"")</f>
      </c>
      <c r="BJ114" s="202">
        <f>IF($C114,IFERROR(MATCH($D114,$D$7:$D$200,0)+6,ROW()),"")</f>
      </c>
      <c r="BK114" s="202">
        <f>IF(AND($C114,ISNUMBER($AV114)),$BJ114*1000000+$AV114*1000+ROW(),"")</f>
      </c>
      <c r="BL114" s="202">
        <f>IF(AND($C114,ISNUMBER($AW114)),ROUND(($AW114-('Sprints'!$C$5+('Sprints'!$E$5-1)*'Sprints'!$D$5))/'Sprints'!$D$5,0),"")</f>
      </c>
      <c r="BM114" s="203">
        <f>IF($C114,IF(NOT(ISNUMBER($BL114)),"",IF($BL114&lt;0,"Pasada",IF($BL114=0,"Actual",IF($BL114=1,"Siguiente",IF($BL114=2,"+2 sem",IF($BL114=3,"+3 sem","Posterior")))))),"")</f>
      </c>
      <c r="BN114" s="202">
        <f>IF(AND($C114,ISNUMBER($AR114),ISNUMBER($AV114)),MAX(1,$AV114-$AR114+1),0)</f>
        <v>0</v>
      </c>
      <c r="BO114" s="202">
        <f>SUM($BN$7:$BN114)-$BN114</f>
        <v>26</v>
      </c>
      <c r="BP114" s="202">
        <f>IF(AND($C114,ISNUMBER($AV114)),$AQ114+$AV114*$AP114*'Sprints'!$D$5-'Sprints'!$D$5,"")</f>
      </c>
      <c r="BQ114" s="202">
        <f>IF(AND($C114,ISNUMBER($BP114)),$BP114*1000+ROW(),"")</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IF($C115,IF('Backlog General'!$G115="Completada",1,IF('Backlog General'!$G115="Casi lista",0.75,IF('Backlog General'!$G115="En progreso",0.5,IF('Backlog General'!$G115="Iniciada",0.25,0)))),"")</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IF($C115,IF(ISBLANK('Backlog General'!$K115),"",'Backlog General'!$K115),"")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IF(AND($C115,ISNUMBER($AR115)),IF(AND(ISNUMBER('Backlog General'!$M115),'Backlog General'!$M115&gt;=$AR115),'Backlog General'!$M115,IF(AND($AU115="Pasa al siguiente",$AT115&lt;&gt;"Completada"),$AR115+1,$AR115)),"")</f>
      </c>
      <c r="AW115" s="202">
        <f>IF(AND($C115,ISNUMBER($AR115)),$AQ115+$AR115*$AP115*'Sprints'!$D$5-'Sprints'!$D$5,"")</f>
      </c>
      <c r="AX115" s="202">
        <f>IF($C115,IF(OR($AT115="Completada",$AU115="Cancelado",$AU115="Baja prioridad",NOT(ISNUMBER($AW115))),0,IF(TODAY()&gt;$AW115,NETWORKDAYS($AW115,TODAY(),'Sprints'!$L$5:$L$40)-1,0)),"")</f>
      </c>
      <c r="AY115" s="203">
        <f>IF($C115,IF(NOT(ISNUMBER($AR115)),"Sin fecha",IF($AT115="Completada","Completada",IF($AU115="Cancelado","Cancelado",IF($AU115="Baja prioridad","Baja prioridad",IF($AX115&gt;0,"Vencida","En curso"))))),"")</f>
      </c>
      <c r="AZ115" s="203">
        <f>IF($C115,IF(ISNUMBER($AV115),$AO115&amp;" · S"&amp;$AV115,"(Sin fecha)"),"")</f>
      </c>
      <c r="BA115" s="202">
        <f>IF(AND($C115,ISNUMBER($AR115),$AR115=$AS115),"Nuevo","")</f>
      </c>
      <c r="BB115" s="202">
        <f>IF(AND($C115,$AO115="Semanal",ISNUMBER($AV115)),$AV115*100000+ROW(),"")</f>
      </c>
      <c r="BC115" s="202">
        <f>IF(AND($C115,$AO115="Quincenal",ISNUMBER($AV115)),$AV115*100000+ROW(),"")</f>
      </c>
      <c r="BD115" s="202">
        <f>IF(AND($C115,$AO115="Mensual",ISNUMBER($AV115)),$AV115*100000+ROW(),"")</f>
      </c>
      <c r="BE115" s="203">
        <f>IF($C115,IF(ISBLANK('Backlog General'!$J115),"",'Backlog General'!$J115),"")</f>
      </c>
      <c r="BF115" s="203">
        <f>IF($C115,IF($BE115="","",$BE115)&amp;IF(AND($BE115&lt;&gt;"",$AH115&lt;&gt;"")," · ","")&amp;IF($AH115="","",$AH115),"")</f>
      </c>
      <c r="BG115" s="203">
        <f>IF($C115,IF($J115="Completado","Sí","No"),"")</f>
      </c>
      <c r="BH115" s="202">
        <f>IF(AND($C115,ISNUMBER($AR115)),IF($AO115="Semanal",1,IF($AO115="Quincenal",2,3))*1000000000+$AR115*100000+ROW(),"")</f>
      </c>
      <c r="BI115" s="202">
        <f>IF($C115,IF($AU115="Cancelado","",$I115),"")</f>
      </c>
      <c r="BJ115" s="202">
        <f>IF($C115,IFERROR(MATCH($D115,$D$7:$D$200,0)+6,ROW()),"")</f>
      </c>
      <c r="BK115" s="202">
        <f>IF(AND($C115,ISNUMBER($AV115)),$BJ115*1000000+$AV115*1000+ROW(),"")</f>
      </c>
      <c r="BL115" s="202">
        <f>IF(AND($C115,ISNUMBER($AW115)),ROUND(($AW115-('Sprints'!$C$5+('Sprints'!$E$5-1)*'Sprints'!$D$5))/'Sprints'!$D$5,0),"")</f>
      </c>
      <c r="BM115" s="203">
        <f>IF($C115,IF(NOT(ISNUMBER($BL115)),"",IF($BL115&lt;0,"Pasada",IF($BL115=0,"Actual",IF($BL115=1,"Siguiente",IF($BL115=2,"+2 sem",IF($BL115=3,"+3 sem","Posterior")))))),"")</f>
      </c>
      <c r="BN115" s="202">
        <f>IF(AND($C115,ISNUMBER($AR115),ISNUMBER($AV115)),MAX(1,$AV115-$AR115+1),0)</f>
        <v>0</v>
      </c>
      <c r="BO115" s="202">
        <f>SUM($BN$7:$BN115)-$BN115</f>
        <v>26</v>
      </c>
      <c r="BP115" s="202">
        <f>IF(AND($C115,ISNUMBER($AV115)),$AQ115+$AV115*$AP115*'Sprints'!$D$5-'Sprints'!$D$5,"")</f>
      </c>
      <c r="BQ115" s="202">
        <f>IF(AND($C115,ISNUMBER($BP115)),$BP115*1000+ROW(),"")</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IF($C116,IF('Backlog General'!$G116="Completada",1,IF('Backlog General'!$G116="Casi lista",0.75,IF('Backlog General'!$G116="En progreso",0.5,IF('Backlog General'!$G116="Iniciada",0.25,0)))),"")</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IF($C116,IF(ISBLANK('Backlog General'!$K116),"",'Backlog General'!$K116),"")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IF(AND($C116,ISNUMBER($AR116)),IF(AND(ISNUMBER('Backlog General'!$M116),'Backlog General'!$M116&gt;=$AR116),'Backlog General'!$M116,IF(AND($AU116="Pasa al siguiente",$AT116&lt;&gt;"Completada"),$AR116+1,$AR116)),"")</f>
      </c>
      <c r="AW116" s="202">
        <f>IF(AND($C116,ISNUMBER($AR116)),$AQ116+$AR116*$AP116*'Sprints'!$D$5-'Sprints'!$D$5,"")</f>
      </c>
      <c r="AX116" s="202">
        <f>IF($C116,IF(OR($AT116="Completada",$AU116="Cancelado",$AU116="Baja prioridad",NOT(ISNUMBER($AW116))),0,IF(TODAY()&gt;$AW116,NETWORKDAYS($AW116,TODAY(),'Sprints'!$L$5:$L$40)-1,0)),"")</f>
      </c>
      <c r="AY116" s="203">
        <f>IF($C116,IF(NOT(ISNUMBER($AR116)),"Sin fecha",IF($AT116="Completada","Completada",IF($AU116="Cancelado","Cancelado",IF($AU116="Baja prioridad","Baja prioridad",IF($AX116&gt;0,"Vencida","En curso"))))),"")</f>
      </c>
      <c r="AZ116" s="203">
        <f>IF($C116,IF(ISNUMBER($AV116),$AO116&amp;" · S"&amp;$AV116,"(Sin fecha)"),"")</f>
      </c>
      <c r="BA116" s="202">
        <f>IF(AND($C116,ISNUMBER($AR116),$AR116=$AS116),"Nuevo","")</f>
      </c>
      <c r="BB116" s="202">
        <f>IF(AND($C116,$AO116="Semanal",ISNUMBER($AV116)),$AV116*100000+ROW(),"")</f>
      </c>
      <c r="BC116" s="202">
        <f>IF(AND($C116,$AO116="Quincenal",ISNUMBER($AV116)),$AV116*100000+ROW(),"")</f>
      </c>
      <c r="BD116" s="202">
        <f>IF(AND($C116,$AO116="Mensual",ISNUMBER($AV116)),$AV116*100000+ROW(),"")</f>
      </c>
      <c r="BE116" s="203">
        <f>IF($C116,IF(ISBLANK('Backlog General'!$J116),"",'Backlog General'!$J116),"")</f>
      </c>
      <c r="BF116" s="203">
        <f>IF($C116,IF($BE116="","",$BE116)&amp;IF(AND($BE116&lt;&gt;"",$AH116&lt;&gt;"")," · ","")&amp;IF($AH116="","",$AH116),"")</f>
      </c>
      <c r="BG116" s="203">
        <f>IF($C116,IF($J116="Completado","Sí","No"),"")</f>
      </c>
      <c r="BH116" s="202">
        <f>IF(AND($C116,ISNUMBER($AR116)),IF($AO116="Semanal",1,IF($AO116="Quincenal",2,3))*1000000000+$AR116*100000+ROW(),"")</f>
      </c>
      <c r="BI116" s="202">
        <f>IF($C116,IF($AU116="Cancelado","",$I116),"")</f>
      </c>
      <c r="BJ116" s="202">
        <f>IF($C116,IFERROR(MATCH($D116,$D$7:$D$200,0)+6,ROW()),"")</f>
      </c>
      <c r="BK116" s="202">
        <f>IF(AND($C116,ISNUMBER($AV116)),$BJ116*1000000+$AV116*1000+ROW(),"")</f>
      </c>
      <c r="BL116" s="202">
        <f>IF(AND($C116,ISNUMBER($AW116)),ROUND(($AW116-('Sprints'!$C$5+('Sprints'!$E$5-1)*'Sprints'!$D$5))/'Sprints'!$D$5,0),"")</f>
      </c>
      <c r="BM116" s="203">
        <f>IF($C116,IF(NOT(ISNUMBER($BL116)),"",IF($BL116&lt;0,"Pasada",IF($BL116=0,"Actual",IF($BL116=1,"Siguiente",IF($BL116=2,"+2 sem",IF($BL116=3,"+3 sem","Posterior")))))),"")</f>
      </c>
      <c r="BN116" s="202">
        <f>IF(AND($C116,ISNUMBER($AR116),ISNUMBER($AV116)),MAX(1,$AV116-$AR116+1),0)</f>
        <v>0</v>
      </c>
      <c r="BO116" s="202">
        <f>SUM($BN$7:$BN116)-$BN116</f>
        <v>26</v>
      </c>
      <c r="BP116" s="202">
        <f>IF(AND($C116,ISNUMBER($AV116)),$AQ116+$AV116*$AP116*'Sprints'!$D$5-'Sprints'!$D$5,"")</f>
      </c>
      <c r="BQ116" s="202">
        <f>IF(AND($C116,ISNUMBER($BP116)),$BP116*1000+ROW(),"")</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IF($C117,IF('Backlog General'!$G117="Completada",1,IF('Backlog General'!$G117="Casi lista",0.75,IF('Backlog General'!$G117="En progreso",0.5,IF('Backlog General'!$G117="Iniciada",0.25,0)))),"")</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IF($C117,IF(ISBLANK('Backlog General'!$K117),"",'Backlog General'!$K117),"")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IF(AND($C117,ISNUMBER($AR117)),IF(AND(ISNUMBER('Backlog General'!$M117),'Backlog General'!$M117&gt;=$AR117),'Backlog General'!$M117,IF(AND($AU117="Pasa al siguiente",$AT117&lt;&gt;"Completada"),$AR117+1,$AR117)),"")</f>
      </c>
      <c r="AW117" s="202">
        <f>IF(AND($C117,ISNUMBER($AR117)),$AQ117+$AR117*$AP117*'Sprints'!$D$5-'Sprints'!$D$5,"")</f>
      </c>
      <c r="AX117" s="202">
        <f>IF($C117,IF(OR($AT117="Completada",$AU117="Cancelado",$AU117="Baja prioridad",NOT(ISNUMBER($AW117))),0,IF(TODAY()&gt;$AW117,NETWORKDAYS($AW117,TODAY(),'Sprints'!$L$5:$L$40)-1,0)),"")</f>
      </c>
      <c r="AY117" s="203">
        <f>IF($C117,IF(NOT(ISNUMBER($AR117)),"Sin fecha",IF($AT117="Completada","Completada",IF($AU117="Cancelado","Cancelado",IF($AU117="Baja prioridad","Baja prioridad",IF($AX117&gt;0,"Vencida","En curso"))))),"")</f>
      </c>
      <c r="AZ117" s="203">
        <f>IF($C117,IF(ISNUMBER($AV117),$AO117&amp;" · S"&amp;$AV117,"(Sin fecha)"),"")</f>
      </c>
      <c r="BA117" s="202">
        <f>IF(AND($C117,ISNUMBER($AR117),$AR117=$AS117),"Nuevo","")</f>
      </c>
      <c r="BB117" s="202">
        <f>IF(AND($C117,$AO117="Semanal",ISNUMBER($AV117)),$AV117*100000+ROW(),"")</f>
      </c>
      <c r="BC117" s="202">
        <f>IF(AND($C117,$AO117="Quincenal",ISNUMBER($AV117)),$AV117*100000+ROW(),"")</f>
      </c>
      <c r="BD117" s="202">
        <f>IF(AND($C117,$AO117="Mensual",ISNUMBER($AV117)),$AV117*100000+ROW(),"")</f>
      </c>
      <c r="BE117" s="203">
        <f>IF($C117,IF(ISBLANK('Backlog General'!$J117),"",'Backlog General'!$J117),"")</f>
      </c>
      <c r="BF117" s="203">
        <f>IF($C117,IF($BE117="","",$BE117)&amp;IF(AND($BE117&lt;&gt;"",$AH117&lt;&gt;"")," · ","")&amp;IF($AH117="","",$AH117),"")</f>
      </c>
      <c r="BG117" s="203">
        <f>IF($C117,IF($J117="Completado","Sí","No"),"")</f>
      </c>
      <c r="BH117" s="202">
        <f>IF(AND($C117,ISNUMBER($AR117)),IF($AO117="Semanal",1,IF($AO117="Quincenal",2,3))*1000000000+$AR117*100000+ROW(),"")</f>
      </c>
      <c r="BI117" s="202">
        <f>IF($C117,IF($AU117="Cancelado","",$I117),"")</f>
      </c>
      <c r="BJ117" s="202">
        <f>IF($C117,IFERROR(MATCH($D117,$D$7:$D$200,0)+6,ROW()),"")</f>
      </c>
      <c r="BK117" s="202">
        <f>IF(AND($C117,ISNUMBER($AV117)),$BJ117*1000000+$AV117*1000+ROW(),"")</f>
      </c>
      <c r="BL117" s="202">
        <f>IF(AND($C117,ISNUMBER($AW117)),ROUND(($AW117-('Sprints'!$C$5+('Sprints'!$E$5-1)*'Sprints'!$D$5))/'Sprints'!$D$5,0),"")</f>
      </c>
      <c r="BM117" s="203">
        <f>IF($C117,IF(NOT(ISNUMBER($BL117)),"",IF($BL117&lt;0,"Pasada",IF($BL117=0,"Actual",IF($BL117=1,"Siguiente",IF($BL117=2,"+2 sem",IF($BL117=3,"+3 sem","Posterior")))))),"")</f>
      </c>
      <c r="BN117" s="202">
        <f>IF(AND($C117,ISNUMBER($AR117),ISNUMBER($AV117)),MAX(1,$AV117-$AR117+1),0)</f>
        <v>0</v>
      </c>
      <c r="BO117" s="202">
        <f>SUM($BN$7:$BN117)-$BN117</f>
        <v>26</v>
      </c>
      <c r="BP117" s="202">
        <f>IF(AND($C117,ISNUMBER($AV117)),$AQ117+$AV117*$AP117*'Sprints'!$D$5-'Sprints'!$D$5,"")</f>
      </c>
      <c r="BQ117" s="202">
        <f>IF(AND($C117,ISNUMBER($BP117)),$BP117*1000+ROW(),"")</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IF($C118,IF('Backlog General'!$G118="Completada",1,IF('Backlog General'!$G118="Casi lista",0.75,IF('Backlog General'!$G118="En progreso",0.5,IF('Backlog General'!$G118="Iniciada",0.25,0)))),"")</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IF($C118,IF(ISBLANK('Backlog General'!$K118),"",'Backlog General'!$K118),"")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IF(AND($C118,ISNUMBER($AR118)),IF(AND(ISNUMBER('Backlog General'!$M118),'Backlog General'!$M118&gt;=$AR118),'Backlog General'!$M118,IF(AND($AU118="Pasa al siguiente",$AT118&lt;&gt;"Completada"),$AR118+1,$AR118)),"")</f>
      </c>
      <c r="AW118" s="202">
        <f>IF(AND($C118,ISNUMBER($AR118)),$AQ118+$AR118*$AP118*'Sprints'!$D$5-'Sprints'!$D$5,"")</f>
      </c>
      <c r="AX118" s="202">
        <f>IF($C118,IF(OR($AT118="Completada",$AU118="Cancelado",$AU118="Baja prioridad",NOT(ISNUMBER($AW118))),0,IF(TODAY()&gt;$AW118,NETWORKDAYS($AW118,TODAY(),'Sprints'!$L$5:$L$40)-1,0)),"")</f>
      </c>
      <c r="AY118" s="203">
        <f>IF($C118,IF(NOT(ISNUMBER($AR118)),"Sin fecha",IF($AT118="Completada","Completada",IF($AU118="Cancelado","Cancelado",IF($AU118="Baja prioridad","Baja prioridad",IF($AX118&gt;0,"Vencida","En curso"))))),"")</f>
      </c>
      <c r="AZ118" s="203">
        <f>IF($C118,IF(ISNUMBER($AV118),$AO118&amp;" · S"&amp;$AV118,"(Sin fecha)"),"")</f>
      </c>
      <c r="BA118" s="202">
        <f>IF(AND($C118,ISNUMBER($AR118),$AR118=$AS118),"Nuevo","")</f>
      </c>
      <c r="BB118" s="202">
        <f>IF(AND($C118,$AO118="Semanal",ISNUMBER($AV118)),$AV118*100000+ROW(),"")</f>
      </c>
      <c r="BC118" s="202">
        <f>IF(AND($C118,$AO118="Quincenal",ISNUMBER($AV118)),$AV118*100000+ROW(),"")</f>
      </c>
      <c r="BD118" s="202">
        <f>IF(AND($C118,$AO118="Mensual",ISNUMBER($AV118)),$AV118*100000+ROW(),"")</f>
      </c>
      <c r="BE118" s="203">
        <f>IF($C118,IF(ISBLANK('Backlog General'!$J118),"",'Backlog General'!$J118),"")</f>
      </c>
      <c r="BF118" s="203">
        <f>IF($C118,IF($BE118="","",$BE118)&amp;IF(AND($BE118&lt;&gt;"",$AH118&lt;&gt;"")," · ","")&amp;IF($AH118="","",$AH118),"")</f>
      </c>
      <c r="BG118" s="203">
        <f>IF($C118,IF($J118="Completado","Sí","No"),"")</f>
      </c>
      <c r="BH118" s="202">
        <f>IF(AND($C118,ISNUMBER($AR118)),IF($AO118="Semanal",1,IF($AO118="Quincenal",2,3))*1000000000+$AR118*100000+ROW(),"")</f>
      </c>
      <c r="BI118" s="202">
        <f>IF($C118,IF($AU118="Cancelado","",$I118),"")</f>
      </c>
      <c r="BJ118" s="202">
        <f>IF($C118,IFERROR(MATCH($D118,$D$7:$D$200,0)+6,ROW()),"")</f>
      </c>
      <c r="BK118" s="202">
        <f>IF(AND($C118,ISNUMBER($AV118)),$BJ118*1000000+$AV118*1000+ROW(),"")</f>
      </c>
      <c r="BL118" s="202">
        <f>IF(AND($C118,ISNUMBER($AW118)),ROUND(($AW118-('Sprints'!$C$5+('Sprints'!$E$5-1)*'Sprints'!$D$5))/'Sprints'!$D$5,0),"")</f>
      </c>
      <c r="BM118" s="203">
        <f>IF($C118,IF(NOT(ISNUMBER($BL118)),"",IF($BL118&lt;0,"Pasada",IF($BL118=0,"Actual",IF($BL118=1,"Siguiente",IF($BL118=2,"+2 sem",IF($BL118=3,"+3 sem","Posterior")))))),"")</f>
      </c>
      <c r="BN118" s="202">
        <f>IF(AND($C118,ISNUMBER($AR118),ISNUMBER($AV118)),MAX(1,$AV118-$AR118+1),0)</f>
        <v>0</v>
      </c>
      <c r="BO118" s="202">
        <f>SUM($BN$7:$BN118)-$BN118</f>
        <v>26</v>
      </c>
      <c r="BP118" s="202">
        <f>IF(AND($C118,ISNUMBER($AV118)),$AQ118+$AV118*$AP118*'Sprints'!$D$5-'Sprints'!$D$5,"")</f>
      </c>
      <c r="BQ118" s="202">
        <f>IF(AND($C118,ISNUMBER($BP118)),$BP118*1000+ROW(),"")</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IF($C119,IF('Backlog General'!$G119="Completada",1,IF('Backlog General'!$G119="Casi lista",0.75,IF('Backlog General'!$G119="En progreso",0.5,IF('Backlog General'!$G119="Iniciada",0.25,0)))),"")</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IF($C119,IF(ISBLANK('Backlog General'!$K119),"",'Backlog General'!$K119),"")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IF(AND($C119,ISNUMBER($AR119)),IF(AND(ISNUMBER('Backlog General'!$M119),'Backlog General'!$M119&gt;=$AR119),'Backlog General'!$M119,IF(AND($AU119="Pasa al siguiente",$AT119&lt;&gt;"Completada"),$AR119+1,$AR119)),"")</f>
      </c>
      <c r="AW119" s="202">
        <f>IF(AND($C119,ISNUMBER($AR119)),$AQ119+$AR119*$AP119*'Sprints'!$D$5-'Sprints'!$D$5,"")</f>
      </c>
      <c r="AX119" s="202">
        <f>IF($C119,IF(OR($AT119="Completada",$AU119="Cancelado",$AU119="Baja prioridad",NOT(ISNUMBER($AW119))),0,IF(TODAY()&gt;$AW119,NETWORKDAYS($AW119,TODAY(),'Sprints'!$L$5:$L$40)-1,0)),"")</f>
      </c>
      <c r="AY119" s="203">
        <f>IF($C119,IF(NOT(ISNUMBER($AR119)),"Sin fecha",IF($AT119="Completada","Completada",IF($AU119="Cancelado","Cancelado",IF($AU119="Baja prioridad","Baja prioridad",IF($AX119&gt;0,"Vencida","En curso"))))),"")</f>
      </c>
      <c r="AZ119" s="203">
        <f>IF($C119,IF(ISNUMBER($AV119),$AO119&amp;" · S"&amp;$AV119,"(Sin fecha)"),"")</f>
      </c>
      <c r="BA119" s="202">
        <f>IF(AND($C119,ISNUMBER($AR119),$AR119=$AS119),"Nuevo","")</f>
      </c>
      <c r="BB119" s="202">
        <f>IF(AND($C119,$AO119="Semanal",ISNUMBER($AV119)),$AV119*100000+ROW(),"")</f>
      </c>
      <c r="BC119" s="202">
        <f>IF(AND($C119,$AO119="Quincenal",ISNUMBER($AV119)),$AV119*100000+ROW(),"")</f>
      </c>
      <c r="BD119" s="202">
        <f>IF(AND($C119,$AO119="Mensual",ISNUMBER($AV119)),$AV119*100000+ROW(),"")</f>
      </c>
      <c r="BE119" s="203">
        <f>IF($C119,IF(ISBLANK('Backlog General'!$J119),"",'Backlog General'!$J119),"")</f>
      </c>
      <c r="BF119" s="203">
        <f>IF($C119,IF($BE119="","",$BE119)&amp;IF(AND($BE119&lt;&gt;"",$AH119&lt;&gt;"")," · ","")&amp;IF($AH119="","",$AH119),"")</f>
      </c>
      <c r="BG119" s="203">
        <f>IF($C119,IF($J119="Completado","Sí","No"),"")</f>
      </c>
      <c r="BH119" s="202">
        <f>IF(AND($C119,ISNUMBER($AR119)),IF($AO119="Semanal",1,IF($AO119="Quincenal",2,3))*1000000000+$AR119*100000+ROW(),"")</f>
      </c>
      <c r="BI119" s="202">
        <f>IF($C119,IF($AU119="Cancelado","",$I119),"")</f>
      </c>
      <c r="BJ119" s="202">
        <f>IF($C119,IFERROR(MATCH($D119,$D$7:$D$200,0)+6,ROW()),"")</f>
      </c>
      <c r="BK119" s="202">
        <f>IF(AND($C119,ISNUMBER($AV119)),$BJ119*1000000+$AV119*1000+ROW(),"")</f>
      </c>
      <c r="BL119" s="202">
        <f>IF(AND($C119,ISNUMBER($AW119)),ROUND(($AW119-('Sprints'!$C$5+('Sprints'!$E$5-1)*'Sprints'!$D$5))/'Sprints'!$D$5,0),"")</f>
      </c>
      <c r="BM119" s="203">
        <f>IF($C119,IF(NOT(ISNUMBER($BL119)),"",IF($BL119&lt;0,"Pasada",IF($BL119=0,"Actual",IF($BL119=1,"Siguiente",IF($BL119=2,"+2 sem",IF($BL119=3,"+3 sem","Posterior")))))),"")</f>
      </c>
      <c r="BN119" s="202">
        <f>IF(AND($C119,ISNUMBER($AR119),ISNUMBER($AV119)),MAX(1,$AV119-$AR119+1),0)</f>
        <v>0</v>
      </c>
      <c r="BO119" s="202">
        <f>SUM($BN$7:$BN119)-$BN119</f>
        <v>26</v>
      </c>
      <c r="BP119" s="202">
        <f>IF(AND($C119,ISNUMBER($AV119)),$AQ119+$AV119*$AP119*'Sprints'!$D$5-'Sprints'!$D$5,"")</f>
      </c>
      <c r="BQ119" s="202">
        <f>IF(AND($C119,ISNUMBER($BP119)),$BP119*1000+ROW(),"")</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IF($C120,IF('Backlog General'!$G120="Completada",1,IF('Backlog General'!$G120="Casi lista",0.75,IF('Backlog General'!$G120="En progreso",0.5,IF('Backlog General'!$G120="Iniciada",0.25,0)))),"")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IF($C120,IF(ISBLANK('Backlog General'!$K120),"",'Backlog General'!$K120),"")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IF(AND($C120,ISNUMBER($AR120)),IF(AND(ISNUMBER('Backlog General'!$M120),'Backlog General'!$M120&gt;=$AR120),'Backlog General'!$M120,IF(AND($AU120="Pasa al siguiente",$AT120&lt;&gt;"Completada"),$AR120+1,$AR120)),"")</f>
      </c>
      <c r="AW120" s="202">
        <f>IF(AND($C120,ISNUMBER($AR120)),$AQ120+$AR120*$AP120*'Sprints'!$D$5-'Sprints'!$D$5,"")</f>
      </c>
      <c r="AX120" s="202">
        <f>IF($C120,IF(OR($AT120="Completada",$AU120="Cancelado",$AU120="Baja prioridad",NOT(ISNUMBER($AW120))),0,IF(TODAY()&gt;$AW120,NETWORKDAYS($AW120,TODAY(),'Sprints'!$L$5:$L$40)-1,0)),"")</f>
      </c>
      <c r="AY120" s="203">
        <f>IF($C120,IF(NOT(ISNUMBER($AR120)),"Sin fecha",IF($AT120="Completada","Completada",IF($AU120="Cancelado","Cancelado",IF($AU120="Baja prioridad","Baja prioridad",IF($AX120&gt;0,"Vencida","En curso"))))),"")</f>
      </c>
      <c r="AZ120" s="203">
        <f>IF($C120,IF(ISNUMBER($AV120),$AO120&amp;" · S"&amp;$AV120,"(Sin fecha)"),"")</f>
      </c>
      <c r="BA120" s="202">
        <f>IF(AND($C120,ISNUMBER($AR120),$AR120=$AS120),"Nuevo","")</f>
      </c>
      <c r="BB120" s="202">
        <f>IF(AND($C120,$AO120="Semanal",ISNUMBER($AV120)),$AV120*100000+ROW(),"")</f>
      </c>
      <c r="BC120" s="202">
        <f>IF(AND($C120,$AO120="Quincenal",ISNUMBER($AV120)),$AV120*100000+ROW(),"")</f>
      </c>
      <c r="BD120" s="202">
        <f>IF(AND($C120,$AO120="Mensual",ISNUMBER($AV120)),$AV120*100000+ROW(),"")</f>
      </c>
      <c r="BE120" s="203">
        <f>IF($C120,IF(ISBLANK('Backlog General'!$J120),"",'Backlog General'!$J120),"")</f>
      </c>
      <c r="BF120" s="203">
        <f>IF($C120,IF($BE120="","",$BE120)&amp;IF(AND($BE120&lt;&gt;"",$AH120&lt;&gt;"")," · ","")&amp;IF($AH120="","",$AH120),"")</f>
      </c>
      <c r="BG120" s="203">
        <f>IF($C120,IF($J120="Completado","Sí","No"),"")</f>
      </c>
      <c r="BH120" s="202">
        <f>IF(AND($C120,ISNUMBER($AR120)),IF($AO120="Semanal",1,IF($AO120="Quincenal",2,3))*1000000000+$AR120*100000+ROW(),"")</f>
      </c>
      <c r="BI120" s="202">
        <f>IF($C120,IF($AU120="Cancelado","",$I120),"")</f>
      </c>
      <c r="BJ120" s="202">
        <f>IF($C120,IFERROR(MATCH($D120,$D$7:$D$200,0)+6,ROW()),"")</f>
      </c>
      <c r="BK120" s="202">
        <f>IF(AND($C120,ISNUMBER($AV120)),$BJ120*1000000+$AV120*1000+ROW(),"")</f>
      </c>
      <c r="BL120" s="202">
        <f>IF(AND($C120,ISNUMBER($AW120)),ROUND(($AW120-('Sprints'!$C$5+('Sprints'!$E$5-1)*'Sprints'!$D$5))/'Sprints'!$D$5,0),"")</f>
      </c>
      <c r="BM120" s="203">
        <f>IF($C120,IF(NOT(ISNUMBER($BL120)),"",IF($BL120&lt;0,"Pasada",IF($BL120=0,"Actual",IF($BL120=1,"Siguiente",IF($BL120=2,"+2 sem",IF($BL120=3,"+3 sem","Posterior")))))),"")</f>
      </c>
      <c r="BN120" s="202">
        <f>IF(AND($C120,ISNUMBER($AR120),ISNUMBER($AV120)),MAX(1,$AV120-$AR120+1),0)</f>
        <v>0</v>
      </c>
      <c r="BO120" s="202">
        <f>SUM($BN$7:$BN120)-$BN120</f>
        <v>26</v>
      </c>
      <c r="BP120" s="202">
        <f>IF(AND($C120,ISNUMBER($AV120)),$AQ120+$AV120*$AP120*'Sprints'!$D$5-'Sprints'!$D$5,"")</f>
      </c>
      <c r="BQ120" s="202">
        <f>IF(AND($C120,ISNUMBER($BP120)),$BP120*1000+ROW(),"")</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IF($C121,IF('Backlog General'!$G121="Completada",1,IF('Backlog General'!$G121="Casi lista",0.75,IF('Backlog General'!$G121="En progreso",0.5,IF('Backlog General'!$G121="Iniciada",0.25,0)))),"")</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IF($C121,IF(ISBLANK('Backlog General'!$K121),"",'Backlog General'!$K121),"")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IF(AND($C121,ISNUMBER($AR121)),IF(AND(ISNUMBER('Backlog General'!$M121),'Backlog General'!$M121&gt;=$AR121),'Backlog General'!$M121,IF(AND($AU121="Pasa al siguiente",$AT121&lt;&gt;"Completada"),$AR121+1,$AR121)),"")</f>
      </c>
      <c r="AW121" s="202">
        <f>IF(AND($C121,ISNUMBER($AR121)),$AQ121+$AR121*$AP121*'Sprints'!$D$5-'Sprints'!$D$5,"")</f>
      </c>
      <c r="AX121" s="202">
        <f>IF($C121,IF(OR($AT121="Completada",$AU121="Cancelado",$AU121="Baja prioridad",NOT(ISNUMBER($AW121))),0,IF(TODAY()&gt;$AW121,NETWORKDAYS($AW121,TODAY(),'Sprints'!$L$5:$L$40)-1,0)),"")</f>
      </c>
      <c r="AY121" s="203">
        <f>IF($C121,IF(NOT(ISNUMBER($AR121)),"Sin fecha",IF($AT121="Completada","Completada",IF($AU121="Cancelado","Cancelado",IF($AU121="Baja prioridad","Baja prioridad",IF($AX121&gt;0,"Vencida","En curso"))))),"")</f>
      </c>
      <c r="AZ121" s="203">
        <f>IF($C121,IF(ISNUMBER($AV121),$AO121&amp;" · S"&amp;$AV121,"(Sin fecha)"),"")</f>
      </c>
      <c r="BA121" s="202">
        <f>IF(AND($C121,ISNUMBER($AR121),$AR121=$AS121),"Nuevo","")</f>
      </c>
      <c r="BB121" s="202">
        <f>IF(AND($C121,$AO121="Semanal",ISNUMBER($AV121)),$AV121*100000+ROW(),"")</f>
      </c>
      <c r="BC121" s="202">
        <f>IF(AND($C121,$AO121="Quincenal",ISNUMBER($AV121)),$AV121*100000+ROW(),"")</f>
      </c>
      <c r="BD121" s="202">
        <f>IF(AND($C121,$AO121="Mensual",ISNUMBER($AV121)),$AV121*100000+ROW(),"")</f>
      </c>
      <c r="BE121" s="203">
        <f>IF($C121,IF(ISBLANK('Backlog General'!$J121),"",'Backlog General'!$J121),"")</f>
      </c>
      <c r="BF121" s="203">
        <f>IF($C121,IF($BE121="","",$BE121)&amp;IF(AND($BE121&lt;&gt;"",$AH121&lt;&gt;"")," · ","")&amp;IF($AH121="","",$AH121),"")</f>
      </c>
      <c r="BG121" s="203">
        <f>IF($C121,IF($J121="Completado","Sí","No"),"")</f>
      </c>
      <c r="BH121" s="202">
        <f>IF(AND($C121,ISNUMBER($AR121)),IF($AO121="Semanal",1,IF($AO121="Quincenal",2,3))*1000000000+$AR121*100000+ROW(),"")</f>
      </c>
      <c r="BI121" s="202">
        <f>IF($C121,IF($AU121="Cancelado","",$I121),"")</f>
      </c>
      <c r="BJ121" s="202">
        <f>IF($C121,IFERROR(MATCH($D121,$D$7:$D$200,0)+6,ROW()),"")</f>
      </c>
      <c r="BK121" s="202">
        <f>IF(AND($C121,ISNUMBER($AV121)),$BJ121*1000000+$AV121*1000+ROW(),"")</f>
      </c>
      <c r="BL121" s="202">
        <f>IF(AND($C121,ISNUMBER($AW121)),ROUND(($AW121-('Sprints'!$C$5+('Sprints'!$E$5-1)*'Sprints'!$D$5))/'Sprints'!$D$5,0),"")</f>
      </c>
      <c r="BM121" s="203">
        <f>IF($C121,IF(NOT(ISNUMBER($BL121)),"",IF($BL121&lt;0,"Pasada",IF($BL121=0,"Actual",IF($BL121=1,"Siguiente",IF($BL121=2,"+2 sem",IF($BL121=3,"+3 sem","Posterior")))))),"")</f>
      </c>
      <c r="BN121" s="202">
        <f>IF(AND($C121,ISNUMBER($AR121),ISNUMBER($AV121)),MAX(1,$AV121-$AR121+1),0)</f>
        <v>0</v>
      </c>
      <c r="BO121" s="202">
        <f>SUM($BN$7:$BN121)-$BN121</f>
        <v>26</v>
      </c>
      <c r="BP121" s="202">
        <f>IF(AND($C121,ISNUMBER($AV121)),$AQ121+$AV121*$AP121*'Sprints'!$D$5-'Sprints'!$D$5,"")</f>
      </c>
      <c r="BQ121" s="202">
        <f>IF(AND($C121,ISNUMBER($BP121)),$BP121*1000+ROW(),"")</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IF($C122,IF('Backlog General'!$G122="Completada",1,IF('Backlog General'!$G122="Casi lista",0.75,IF('Backlog General'!$G122="En progreso",0.5,IF('Backlog General'!$G122="Iniciada",0.25,0)))),"")</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IF($C122,IF(ISBLANK('Backlog General'!$K122),"",'Backlog General'!$K122),"")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IF(AND($C122,ISNUMBER($AR122)),IF(AND(ISNUMBER('Backlog General'!$M122),'Backlog General'!$M122&gt;=$AR122),'Backlog General'!$M122,IF(AND($AU122="Pasa al siguiente",$AT122&lt;&gt;"Completada"),$AR122+1,$AR122)),"")</f>
      </c>
      <c r="AW122" s="202">
        <f>IF(AND($C122,ISNUMBER($AR122)),$AQ122+$AR122*$AP122*'Sprints'!$D$5-'Sprints'!$D$5,"")</f>
      </c>
      <c r="AX122" s="202">
        <f>IF($C122,IF(OR($AT122="Completada",$AU122="Cancelado",$AU122="Baja prioridad",NOT(ISNUMBER($AW122))),0,IF(TODAY()&gt;$AW122,NETWORKDAYS($AW122,TODAY(),'Sprints'!$L$5:$L$40)-1,0)),"")</f>
      </c>
      <c r="AY122" s="203">
        <f>IF($C122,IF(NOT(ISNUMBER($AR122)),"Sin fecha",IF($AT122="Completada","Completada",IF($AU122="Cancelado","Cancelado",IF($AU122="Baja prioridad","Baja prioridad",IF($AX122&gt;0,"Vencida","En curso"))))),"")</f>
      </c>
      <c r="AZ122" s="203">
        <f>IF($C122,IF(ISNUMBER($AV122),$AO122&amp;" · S"&amp;$AV122,"(Sin fecha)"),"")</f>
      </c>
      <c r="BA122" s="202">
        <f>IF(AND($C122,ISNUMBER($AR122),$AR122=$AS122),"Nuevo","")</f>
      </c>
      <c r="BB122" s="202">
        <f>IF(AND($C122,$AO122="Semanal",ISNUMBER($AV122)),$AV122*100000+ROW(),"")</f>
      </c>
      <c r="BC122" s="202">
        <f>IF(AND($C122,$AO122="Quincenal",ISNUMBER($AV122)),$AV122*100000+ROW(),"")</f>
      </c>
      <c r="BD122" s="202">
        <f>IF(AND($C122,$AO122="Mensual",ISNUMBER($AV122)),$AV122*100000+ROW(),"")</f>
      </c>
      <c r="BE122" s="203">
        <f>IF($C122,IF(ISBLANK('Backlog General'!$J122),"",'Backlog General'!$J122),"")</f>
      </c>
      <c r="BF122" s="203">
        <f>IF($C122,IF($BE122="","",$BE122)&amp;IF(AND($BE122&lt;&gt;"",$AH122&lt;&gt;"")," · ","")&amp;IF($AH122="","",$AH122),"")</f>
      </c>
      <c r="BG122" s="203">
        <f>IF($C122,IF($J122="Completado","Sí","No"),"")</f>
      </c>
      <c r="BH122" s="202">
        <f>IF(AND($C122,ISNUMBER($AR122)),IF($AO122="Semanal",1,IF($AO122="Quincenal",2,3))*1000000000+$AR122*100000+ROW(),"")</f>
      </c>
      <c r="BI122" s="202">
        <f>IF($C122,IF($AU122="Cancelado","",$I122),"")</f>
      </c>
      <c r="BJ122" s="202">
        <f>IF($C122,IFERROR(MATCH($D122,$D$7:$D$200,0)+6,ROW()),"")</f>
      </c>
      <c r="BK122" s="202">
        <f>IF(AND($C122,ISNUMBER($AV122)),$BJ122*1000000+$AV122*1000+ROW(),"")</f>
      </c>
      <c r="BL122" s="202">
        <f>IF(AND($C122,ISNUMBER($AW122)),ROUND(($AW122-('Sprints'!$C$5+('Sprints'!$E$5-1)*'Sprints'!$D$5))/'Sprints'!$D$5,0),"")</f>
      </c>
      <c r="BM122" s="203">
        <f>IF($C122,IF(NOT(ISNUMBER($BL122)),"",IF($BL122&lt;0,"Pasada",IF($BL122=0,"Actual",IF($BL122=1,"Siguiente",IF($BL122=2,"+2 sem",IF($BL122=3,"+3 sem","Posterior")))))),"")</f>
      </c>
      <c r="BN122" s="202">
        <f>IF(AND($C122,ISNUMBER($AR122),ISNUMBER($AV122)),MAX(1,$AV122-$AR122+1),0)</f>
        <v>0</v>
      </c>
      <c r="BO122" s="202">
        <f>SUM($BN$7:$BN122)-$BN122</f>
        <v>26</v>
      </c>
      <c r="BP122" s="202">
        <f>IF(AND($C122,ISNUMBER($AV122)),$AQ122+$AV122*$AP122*'Sprints'!$D$5-'Sprints'!$D$5,"")</f>
      </c>
      <c r="BQ122" s="202">
        <f>IF(AND($C122,ISNUMBER($BP122)),$BP122*1000+ROW(),"")</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IF($C123,IF('Backlog General'!$G123="Completada",1,IF('Backlog General'!$G123="Casi lista",0.75,IF('Backlog General'!$G123="En progreso",0.5,IF('Backlog General'!$G123="Iniciada",0.25,0)))),"")</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IF($C123,IF(ISBLANK('Backlog General'!$K123),"",'Backlog General'!$K123),"")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IF(AND($C123,ISNUMBER($AR123)),IF(AND(ISNUMBER('Backlog General'!$M123),'Backlog General'!$M123&gt;=$AR123),'Backlog General'!$M123,IF(AND($AU123="Pasa al siguiente",$AT123&lt;&gt;"Completada"),$AR123+1,$AR123)),"")</f>
      </c>
      <c r="AW123" s="202">
        <f>IF(AND($C123,ISNUMBER($AR123)),$AQ123+$AR123*$AP123*'Sprints'!$D$5-'Sprints'!$D$5,"")</f>
      </c>
      <c r="AX123" s="202">
        <f>IF($C123,IF(OR($AT123="Completada",$AU123="Cancelado",$AU123="Baja prioridad",NOT(ISNUMBER($AW123))),0,IF(TODAY()&gt;$AW123,NETWORKDAYS($AW123,TODAY(),'Sprints'!$L$5:$L$40)-1,0)),"")</f>
      </c>
      <c r="AY123" s="203">
        <f>IF($C123,IF(NOT(ISNUMBER($AR123)),"Sin fecha",IF($AT123="Completada","Completada",IF($AU123="Cancelado","Cancelado",IF($AU123="Baja prioridad","Baja prioridad",IF($AX123&gt;0,"Vencida","En curso"))))),"")</f>
      </c>
      <c r="AZ123" s="203">
        <f>IF($C123,IF(ISNUMBER($AV123),$AO123&amp;" · S"&amp;$AV123,"(Sin fecha)"),"")</f>
      </c>
      <c r="BA123" s="202">
        <f>IF(AND($C123,ISNUMBER($AR123),$AR123=$AS123),"Nuevo","")</f>
      </c>
      <c r="BB123" s="202">
        <f>IF(AND($C123,$AO123="Semanal",ISNUMBER($AV123)),$AV123*100000+ROW(),"")</f>
      </c>
      <c r="BC123" s="202">
        <f>IF(AND($C123,$AO123="Quincenal",ISNUMBER($AV123)),$AV123*100000+ROW(),"")</f>
      </c>
      <c r="BD123" s="202">
        <f>IF(AND($C123,$AO123="Mensual",ISNUMBER($AV123)),$AV123*100000+ROW(),"")</f>
      </c>
      <c r="BE123" s="203">
        <f>IF($C123,IF(ISBLANK('Backlog General'!$J123),"",'Backlog General'!$J123),"")</f>
      </c>
      <c r="BF123" s="203">
        <f>IF($C123,IF($BE123="","",$BE123)&amp;IF(AND($BE123&lt;&gt;"",$AH123&lt;&gt;"")," · ","")&amp;IF($AH123="","",$AH123),"")</f>
      </c>
      <c r="BG123" s="203">
        <f>IF($C123,IF($J123="Completado","Sí","No"),"")</f>
      </c>
      <c r="BH123" s="202">
        <f>IF(AND($C123,ISNUMBER($AR123)),IF($AO123="Semanal",1,IF($AO123="Quincenal",2,3))*1000000000+$AR123*100000+ROW(),"")</f>
      </c>
      <c r="BI123" s="202">
        <f>IF($C123,IF($AU123="Cancelado","",$I123),"")</f>
      </c>
      <c r="BJ123" s="202">
        <f>IF($C123,IFERROR(MATCH($D123,$D$7:$D$200,0)+6,ROW()),"")</f>
      </c>
      <c r="BK123" s="202">
        <f>IF(AND($C123,ISNUMBER($AV123)),$BJ123*1000000+$AV123*1000+ROW(),"")</f>
      </c>
      <c r="BL123" s="202">
        <f>IF(AND($C123,ISNUMBER($AW123)),ROUND(($AW123-('Sprints'!$C$5+('Sprints'!$E$5-1)*'Sprints'!$D$5))/'Sprints'!$D$5,0),"")</f>
      </c>
      <c r="BM123" s="203">
        <f>IF($C123,IF(NOT(ISNUMBER($BL123)),"",IF($BL123&lt;0,"Pasada",IF($BL123=0,"Actual",IF($BL123=1,"Siguiente",IF($BL123=2,"+2 sem",IF($BL123=3,"+3 sem","Posterior")))))),"")</f>
      </c>
      <c r="BN123" s="202">
        <f>IF(AND($C123,ISNUMBER($AR123),ISNUMBER($AV123)),MAX(1,$AV123-$AR123+1),0)</f>
        <v>0</v>
      </c>
      <c r="BO123" s="202">
        <f>SUM($BN$7:$BN123)-$BN123</f>
        <v>26</v>
      </c>
      <c r="BP123" s="202">
        <f>IF(AND($C123,ISNUMBER($AV123)),$AQ123+$AV123*$AP123*'Sprints'!$D$5-'Sprints'!$D$5,"")</f>
      </c>
      <c r="BQ123" s="202">
        <f>IF(AND($C123,ISNUMBER($BP123)),$BP123*1000+ROW(),"")</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IF($C124,IF('Backlog General'!$G124="Completada",1,IF('Backlog General'!$G124="Casi lista",0.75,IF('Backlog General'!$G124="En progreso",0.5,IF('Backlog General'!$G124="Iniciada",0.25,0)))),"")</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IF($C124,IF(ISBLANK('Backlog General'!$K124),"",'Backlog General'!$K124),"")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IF(AND($C124,ISNUMBER($AR124)),IF(AND(ISNUMBER('Backlog General'!$M124),'Backlog General'!$M124&gt;=$AR124),'Backlog General'!$M124,IF(AND($AU124="Pasa al siguiente",$AT124&lt;&gt;"Completada"),$AR124+1,$AR124)),"")</f>
      </c>
      <c r="AW124" s="202">
        <f>IF(AND($C124,ISNUMBER($AR124)),$AQ124+$AR124*$AP124*'Sprints'!$D$5-'Sprints'!$D$5,"")</f>
      </c>
      <c r="AX124" s="202">
        <f>IF($C124,IF(OR($AT124="Completada",$AU124="Cancelado",$AU124="Baja prioridad",NOT(ISNUMBER($AW124))),0,IF(TODAY()&gt;$AW124,NETWORKDAYS($AW124,TODAY(),'Sprints'!$L$5:$L$40)-1,0)),"")</f>
      </c>
      <c r="AY124" s="203">
        <f>IF($C124,IF(NOT(ISNUMBER($AR124)),"Sin fecha",IF($AT124="Completada","Completada",IF($AU124="Cancelado","Cancelado",IF($AU124="Baja prioridad","Baja prioridad",IF($AX124&gt;0,"Vencida","En curso"))))),"")</f>
      </c>
      <c r="AZ124" s="203">
        <f>IF($C124,IF(ISNUMBER($AV124),$AO124&amp;" · S"&amp;$AV124,"(Sin fecha)"),"")</f>
      </c>
      <c r="BA124" s="202">
        <f>IF(AND($C124,ISNUMBER($AR124),$AR124=$AS124),"Nuevo","")</f>
      </c>
      <c r="BB124" s="202">
        <f>IF(AND($C124,$AO124="Semanal",ISNUMBER($AV124)),$AV124*100000+ROW(),"")</f>
      </c>
      <c r="BC124" s="202">
        <f>IF(AND($C124,$AO124="Quincenal",ISNUMBER($AV124)),$AV124*100000+ROW(),"")</f>
      </c>
      <c r="BD124" s="202">
        <f>IF(AND($C124,$AO124="Mensual",ISNUMBER($AV124)),$AV124*100000+ROW(),"")</f>
      </c>
      <c r="BE124" s="203">
        <f>IF($C124,IF(ISBLANK('Backlog General'!$J124),"",'Backlog General'!$J124),"")</f>
      </c>
      <c r="BF124" s="203">
        <f>IF($C124,IF($BE124="","",$BE124)&amp;IF(AND($BE124&lt;&gt;"",$AH124&lt;&gt;"")," · ","")&amp;IF($AH124="","",$AH124),"")</f>
      </c>
      <c r="BG124" s="203">
        <f>IF($C124,IF($J124="Completado","Sí","No"),"")</f>
      </c>
      <c r="BH124" s="202">
        <f>IF(AND($C124,ISNUMBER($AR124)),IF($AO124="Semanal",1,IF($AO124="Quincenal",2,3))*1000000000+$AR124*100000+ROW(),"")</f>
      </c>
      <c r="BI124" s="202">
        <f>IF($C124,IF($AU124="Cancelado","",$I124),"")</f>
      </c>
      <c r="BJ124" s="202">
        <f>IF($C124,IFERROR(MATCH($D124,$D$7:$D$200,0)+6,ROW()),"")</f>
      </c>
      <c r="BK124" s="202">
        <f>IF(AND($C124,ISNUMBER($AV124)),$BJ124*1000000+$AV124*1000+ROW(),"")</f>
      </c>
      <c r="BL124" s="202">
        <f>IF(AND($C124,ISNUMBER($AW124)),ROUND(($AW124-('Sprints'!$C$5+('Sprints'!$E$5-1)*'Sprints'!$D$5))/'Sprints'!$D$5,0),"")</f>
      </c>
      <c r="BM124" s="203">
        <f>IF($C124,IF(NOT(ISNUMBER($BL124)),"",IF($BL124&lt;0,"Pasada",IF($BL124=0,"Actual",IF($BL124=1,"Siguiente",IF($BL124=2,"+2 sem",IF($BL124=3,"+3 sem","Posterior")))))),"")</f>
      </c>
      <c r="BN124" s="202">
        <f>IF(AND($C124,ISNUMBER($AR124),ISNUMBER($AV124)),MAX(1,$AV124-$AR124+1),0)</f>
        <v>0</v>
      </c>
      <c r="BO124" s="202">
        <f>SUM($BN$7:$BN124)-$BN124</f>
        <v>26</v>
      </c>
      <c r="BP124" s="202">
        <f>IF(AND($C124,ISNUMBER($AV124)),$AQ124+$AV124*$AP124*'Sprints'!$D$5-'Sprints'!$D$5,"")</f>
      </c>
      <c r="BQ124" s="202">
        <f>IF(AND($C124,ISNUMBER($BP124)),$BP124*1000+ROW(),"")</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IF($C125,IF('Backlog General'!$G125="Completada",1,IF('Backlog General'!$G125="Casi lista",0.75,IF('Backlog General'!$G125="En progreso",0.5,IF('Backlog General'!$G125="Iniciada",0.25,0)))),"")</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IF($C125,IF(ISBLANK('Backlog General'!$K125),"",'Backlog General'!$K125),"")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IF(AND($C125,ISNUMBER($AR125)),IF(AND(ISNUMBER('Backlog General'!$M125),'Backlog General'!$M125&gt;=$AR125),'Backlog General'!$M125,IF(AND($AU125="Pasa al siguiente",$AT125&lt;&gt;"Completada"),$AR125+1,$AR125)),"")</f>
      </c>
      <c r="AW125" s="202">
        <f>IF(AND($C125,ISNUMBER($AR125)),$AQ125+$AR125*$AP125*'Sprints'!$D$5-'Sprints'!$D$5,"")</f>
      </c>
      <c r="AX125" s="202">
        <f>IF($C125,IF(OR($AT125="Completada",$AU125="Cancelado",$AU125="Baja prioridad",NOT(ISNUMBER($AW125))),0,IF(TODAY()&gt;$AW125,NETWORKDAYS($AW125,TODAY(),'Sprints'!$L$5:$L$40)-1,0)),"")</f>
      </c>
      <c r="AY125" s="203">
        <f>IF($C125,IF(NOT(ISNUMBER($AR125)),"Sin fecha",IF($AT125="Completada","Completada",IF($AU125="Cancelado","Cancelado",IF($AU125="Baja prioridad","Baja prioridad",IF($AX125&gt;0,"Vencida","En curso"))))),"")</f>
      </c>
      <c r="AZ125" s="203">
        <f>IF($C125,IF(ISNUMBER($AV125),$AO125&amp;" · S"&amp;$AV125,"(Sin fecha)"),"")</f>
      </c>
      <c r="BA125" s="202">
        <f>IF(AND($C125,ISNUMBER($AR125),$AR125=$AS125),"Nuevo","")</f>
      </c>
      <c r="BB125" s="202">
        <f>IF(AND($C125,$AO125="Semanal",ISNUMBER($AV125)),$AV125*100000+ROW(),"")</f>
      </c>
      <c r="BC125" s="202">
        <f>IF(AND($C125,$AO125="Quincenal",ISNUMBER($AV125)),$AV125*100000+ROW(),"")</f>
      </c>
      <c r="BD125" s="202">
        <f>IF(AND($C125,$AO125="Mensual",ISNUMBER($AV125)),$AV125*100000+ROW(),"")</f>
      </c>
      <c r="BE125" s="203">
        <f>IF($C125,IF(ISBLANK('Backlog General'!$J125),"",'Backlog General'!$J125),"")</f>
      </c>
      <c r="BF125" s="203">
        <f>IF($C125,IF($BE125="","",$BE125)&amp;IF(AND($BE125&lt;&gt;"",$AH125&lt;&gt;"")," · ","")&amp;IF($AH125="","",$AH125),"")</f>
      </c>
      <c r="BG125" s="203">
        <f>IF($C125,IF($J125="Completado","Sí","No"),"")</f>
      </c>
      <c r="BH125" s="202">
        <f>IF(AND($C125,ISNUMBER($AR125)),IF($AO125="Semanal",1,IF($AO125="Quincenal",2,3))*1000000000+$AR125*100000+ROW(),"")</f>
      </c>
      <c r="BI125" s="202">
        <f>IF($C125,IF($AU125="Cancelado","",$I125),"")</f>
      </c>
      <c r="BJ125" s="202">
        <f>IF($C125,IFERROR(MATCH($D125,$D$7:$D$200,0)+6,ROW()),"")</f>
      </c>
      <c r="BK125" s="202">
        <f>IF(AND($C125,ISNUMBER($AV125)),$BJ125*1000000+$AV125*1000+ROW(),"")</f>
      </c>
      <c r="BL125" s="202">
        <f>IF(AND($C125,ISNUMBER($AW125)),ROUND(($AW125-('Sprints'!$C$5+('Sprints'!$E$5-1)*'Sprints'!$D$5))/'Sprints'!$D$5,0),"")</f>
      </c>
      <c r="BM125" s="203">
        <f>IF($C125,IF(NOT(ISNUMBER($BL125)),"",IF($BL125&lt;0,"Pasada",IF($BL125=0,"Actual",IF($BL125=1,"Siguiente",IF($BL125=2,"+2 sem",IF($BL125=3,"+3 sem","Posterior")))))),"")</f>
      </c>
      <c r="BN125" s="202">
        <f>IF(AND($C125,ISNUMBER($AR125),ISNUMBER($AV125)),MAX(1,$AV125-$AR125+1),0)</f>
        <v>0</v>
      </c>
      <c r="BO125" s="202">
        <f>SUM($BN$7:$BN125)-$BN125</f>
        <v>26</v>
      </c>
      <c r="BP125" s="202">
        <f>IF(AND($C125,ISNUMBER($AV125)),$AQ125+$AV125*$AP125*'Sprints'!$D$5-'Sprints'!$D$5,"")</f>
      </c>
      <c r="BQ125" s="202">
        <f>IF(AND($C125,ISNUMBER($BP125)),$BP125*1000+ROW(),"")</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IF($C126,IF('Backlog General'!$G126="Completada",1,IF('Backlog General'!$G126="Casi lista",0.75,IF('Backlog General'!$G126="En progreso",0.5,IF('Backlog General'!$G126="Iniciada",0.25,0)))),"")</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IF($C126,IF(ISBLANK('Backlog General'!$K126),"",'Backlog General'!$K126),"")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IF(AND($C126,ISNUMBER($AR126)),IF(AND(ISNUMBER('Backlog General'!$M126),'Backlog General'!$M126&gt;=$AR126),'Backlog General'!$M126,IF(AND($AU126="Pasa al siguiente",$AT126&lt;&gt;"Completada"),$AR126+1,$AR126)),"")</f>
      </c>
      <c r="AW126" s="202">
        <f>IF(AND($C126,ISNUMBER($AR126)),$AQ126+$AR126*$AP126*'Sprints'!$D$5-'Sprints'!$D$5,"")</f>
      </c>
      <c r="AX126" s="202">
        <f>IF($C126,IF(OR($AT126="Completada",$AU126="Cancelado",$AU126="Baja prioridad",NOT(ISNUMBER($AW126))),0,IF(TODAY()&gt;$AW126,NETWORKDAYS($AW126,TODAY(),'Sprints'!$L$5:$L$40)-1,0)),"")</f>
      </c>
      <c r="AY126" s="203">
        <f>IF($C126,IF(NOT(ISNUMBER($AR126)),"Sin fecha",IF($AT126="Completada","Completada",IF($AU126="Cancelado","Cancelado",IF($AU126="Baja prioridad","Baja prioridad",IF($AX126&gt;0,"Vencida","En curso"))))),"")</f>
      </c>
      <c r="AZ126" s="203">
        <f>IF($C126,IF(ISNUMBER($AV126),$AO126&amp;" · S"&amp;$AV126,"(Sin fecha)"),"")</f>
      </c>
      <c r="BA126" s="202">
        <f>IF(AND($C126,ISNUMBER($AR126),$AR126=$AS126),"Nuevo","")</f>
      </c>
      <c r="BB126" s="202">
        <f>IF(AND($C126,$AO126="Semanal",ISNUMBER($AV126)),$AV126*100000+ROW(),"")</f>
      </c>
      <c r="BC126" s="202">
        <f>IF(AND($C126,$AO126="Quincenal",ISNUMBER($AV126)),$AV126*100000+ROW(),"")</f>
      </c>
      <c r="BD126" s="202">
        <f>IF(AND($C126,$AO126="Mensual",ISNUMBER($AV126)),$AV126*100000+ROW(),"")</f>
      </c>
      <c r="BE126" s="203">
        <f>IF($C126,IF(ISBLANK('Backlog General'!$J126),"",'Backlog General'!$J126),"")</f>
      </c>
      <c r="BF126" s="203">
        <f>IF($C126,IF($BE126="","",$BE126)&amp;IF(AND($BE126&lt;&gt;"",$AH126&lt;&gt;"")," · ","")&amp;IF($AH126="","",$AH126),"")</f>
      </c>
      <c r="BG126" s="203">
        <f>IF($C126,IF($J126="Completado","Sí","No"),"")</f>
      </c>
      <c r="BH126" s="202">
        <f>IF(AND($C126,ISNUMBER($AR126)),IF($AO126="Semanal",1,IF($AO126="Quincenal",2,3))*1000000000+$AR126*100000+ROW(),"")</f>
      </c>
      <c r="BI126" s="202">
        <f>IF($C126,IF($AU126="Cancelado","",$I126),"")</f>
      </c>
      <c r="BJ126" s="202">
        <f>IF($C126,IFERROR(MATCH($D126,$D$7:$D$200,0)+6,ROW()),"")</f>
      </c>
      <c r="BK126" s="202">
        <f>IF(AND($C126,ISNUMBER($AV126)),$BJ126*1000000+$AV126*1000+ROW(),"")</f>
      </c>
      <c r="BL126" s="202">
        <f>IF(AND($C126,ISNUMBER($AW126)),ROUND(($AW126-('Sprints'!$C$5+('Sprints'!$E$5-1)*'Sprints'!$D$5))/'Sprints'!$D$5,0),"")</f>
      </c>
      <c r="BM126" s="203">
        <f>IF($C126,IF(NOT(ISNUMBER($BL126)),"",IF($BL126&lt;0,"Pasada",IF($BL126=0,"Actual",IF($BL126=1,"Siguiente",IF($BL126=2,"+2 sem",IF($BL126=3,"+3 sem","Posterior")))))),"")</f>
      </c>
      <c r="BN126" s="202">
        <f>IF(AND($C126,ISNUMBER($AR126),ISNUMBER($AV126)),MAX(1,$AV126-$AR126+1),0)</f>
        <v>0</v>
      </c>
      <c r="BO126" s="202">
        <f>SUM($BN$7:$BN126)-$BN126</f>
        <v>26</v>
      </c>
      <c r="BP126" s="202">
        <f>IF(AND($C126,ISNUMBER($AV126)),$AQ126+$AV126*$AP126*'Sprints'!$D$5-'Sprints'!$D$5,"")</f>
      </c>
      <c r="BQ126" s="202">
        <f>IF(AND($C126,ISNUMBER($BP126)),$BP126*1000+ROW(),"")</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IF($C127,IF('Backlog General'!$G127="Completada",1,IF('Backlog General'!$G127="Casi lista",0.75,IF('Backlog General'!$G127="En progreso",0.5,IF('Backlog General'!$G127="Iniciada",0.25,0)))),"")</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IF($C127,IF(ISBLANK('Backlog General'!$K127),"",'Backlog General'!$K127),"")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IF(AND($C127,ISNUMBER($AR127)),IF(AND(ISNUMBER('Backlog General'!$M127),'Backlog General'!$M127&gt;=$AR127),'Backlog General'!$M127,IF(AND($AU127="Pasa al siguiente",$AT127&lt;&gt;"Completada"),$AR127+1,$AR127)),"")</f>
      </c>
      <c r="AW127" s="202">
        <f>IF(AND($C127,ISNUMBER($AR127)),$AQ127+$AR127*$AP127*'Sprints'!$D$5-'Sprints'!$D$5,"")</f>
      </c>
      <c r="AX127" s="202">
        <f>IF($C127,IF(OR($AT127="Completada",$AU127="Cancelado",$AU127="Baja prioridad",NOT(ISNUMBER($AW127))),0,IF(TODAY()&gt;$AW127,NETWORKDAYS($AW127,TODAY(),'Sprints'!$L$5:$L$40)-1,0)),"")</f>
      </c>
      <c r="AY127" s="203">
        <f>IF($C127,IF(NOT(ISNUMBER($AR127)),"Sin fecha",IF($AT127="Completada","Completada",IF($AU127="Cancelado","Cancelado",IF($AU127="Baja prioridad","Baja prioridad",IF($AX127&gt;0,"Vencida","En curso"))))),"")</f>
      </c>
      <c r="AZ127" s="203">
        <f>IF($C127,IF(ISNUMBER($AV127),$AO127&amp;" · S"&amp;$AV127,"(Sin fecha)"),"")</f>
      </c>
      <c r="BA127" s="202">
        <f>IF(AND($C127,ISNUMBER($AR127),$AR127=$AS127),"Nuevo","")</f>
      </c>
      <c r="BB127" s="202">
        <f>IF(AND($C127,$AO127="Semanal",ISNUMBER($AV127)),$AV127*100000+ROW(),"")</f>
      </c>
      <c r="BC127" s="202">
        <f>IF(AND($C127,$AO127="Quincenal",ISNUMBER($AV127)),$AV127*100000+ROW(),"")</f>
      </c>
      <c r="BD127" s="202">
        <f>IF(AND($C127,$AO127="Mensual",ISNUMBER($AV127)),$AV127*100000+ROW(),"")</f>
      </c>
      <c r="BE127" s="203">
        <f>IF($C127,IF(ISBLANK('Backlog General'!$J127),"",'Backlog General'!$J127),"")</f>
      </c>
      <c r="BF127" s="203">
        <f>IF($C127,IF($BE127="","",$BE127)&amp;IF(AND($BE127&lt;&gt;"",$AH127&lt;&gt;"")," · ","")&amp;IF($AH127="","",$AH127),"")</f>
      </c>
      <c r="BG127" s="203">
        <f>IF($C127,IF($J127="Completado","Sí","No"),"")</f>
      </c>
      <c r="BH127" s="202">
        <f>IF(AND($C127,ISNUMBER($AR127)),IF($AO127="Semanal",1,IF($AO127="Quincenal",2,3))*1000000000+$AR127*100000+ROW(),"")</f>
      </c>
      <c r="BI127" s="202">
        <f>IF($C127,IF($AU127="Cancelado","",$I127),"")</f>
      </c>
      <c r="BJ127" s="202">
        <f>IF($C127,IFERROR(MATCH($D127,$D$7:$D$200,0)+6,ROW()),"")</f>
      </c>
      <c r="BK127" s="202">
        <f>IF(AND($C127,ISNUMBER($AV127)),$BJ127*1000000+$AV127*1000+ROW(),"")</f>
      </c>
      <c r="BL127" s="202">
        <f>IF(AND($C127,ISNUMBER($AW127)),ROUND(($AW127-('Sprints'!$C$5+('Sprints'!$E$5-1)*'Sprints'!$D$5))/'Sprints'!$D$5,0),"")</f>
      </c>
      <c r="BM127" s="203">
        <f>IF($C127,IF(NOT(ISNUMBER($BL127)),"",IF($BL127&lt;0,"Pasada",IF($BL127=0,"Actual",IF($BL127=1,"Siguiente",IF($BL127=2,"+2 sem",IF($BL127=3,"+3 sem","Posterior")))))),"")</f>
      </c>
      <c r="BN127" s="202">
        <f>IF(AND($C127,ISNUMBER($AR127),ISNUMBER($AV127)),MAX(1,$AV127-$AR127+1),0)</f>
        <v>0</v>
      </c>
      <c r="BO127" s="202">
        <f>SUM($BN$7:$BN127)-$BN127</f>
        <v>26</v>
      </c>
      <c r="BP127" s="202">
        <f>IF(AND($C127,ISNUMBER($AV127)),$AQ127+$AV127*$AP127*'Sprints'!$D$5-'Sprints'!$D$5,"")</f>
      </c>
      <c r="BQ127" s="202">
        <f>IF(AND($C127,ISNUMBER($BP127)),$BP127*1000+ROW(),"")</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IF($C128,IF('Backlog General'!$G128="Completada",1,IF('Backlog General'!$G128="Casi lista",0.75,IF('Backlog General'!$G128="En progreso",0.5,IF('Backlog General'!$G128="Iniciada",0.25,0)))),"")</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IF($C128,IF(ISBLANK('Backlog General'!$K128),"",'Backlog General'!$K128),"")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IF(AND($C128,ISNUMBER($AR128)),IF(AND(ISNUMBER('Backlog General'!$M128),'Backlog General'!$M128&gt;=$AR128),'Backlog General'!$M128,IF(AND($AU128="Pasa al siguiente",$AT128&lt;&gt;"Completada"),$AR128+1,$AR128)),"")</f>
      </c>
      <c r="AW128" s="202">
        <f>IF(AND($C128,ISNUMBER($AR128)),$AQ128+$AR128*$AP128*'Sprints'!$D$5-'Sprints'!$D$5,"")</f>
      </c>
      <c r="AX128" s="202">
        <f>IF($C128,IF(OR($AT128="Completada",$AU128="Cancelado",$AU128="Baja prioridad",NOT(ISNUMBER($AW128))),0,IF(TODAY()&gt;$AW128,NETWORKDAYS($AW128,TODAY(),'Sprints'!$L$5:$L$40)-1,0)),"")</f>
      </c>
      <c r="AY128" s="203">
        <f>IF($C128,IF(NOT(ISNUMBER($AR128)),"Sin fecha",IF($AT128="Completada","Completada",IF($AU128="Cancelado","Cancelado",IF($AU128="Baja prioridad","Baja prioridad",IF($AX128&gt;0,"Vencida","En curso"))))),"")</f>
      </c>
      <c r="AZ128" s="203">
        <f>IF($C128,IF(ISNUMBER($AV128),$AO128&amp;" · S"&amp;$AV128,"(Sin fecha)"),"")</f>
      </c>
      <c r="BA128" s="202">
        <f>IF(AND($C128,ISNUMBER($AR128),$AR128=$AS128),"Nuevo","")</f>
      </c>
      <c r="BB128" s="202">
        <f>IF(AND($C128,$AO128="Semanal",ISNUMBER($AV128)),$AV128*100000+ROW(),"")</f>
      </c>
      <c r="BC128" s="202">
        <f>IF(AND($C128,$AO128="Quincenal",ISNUMBER($AV128)),$AV128*100000+ROW(),"")</f>
      </c>
      <c r="BD128" s="202">
        <f>IF(AND($C128,$AO128="Mensual",ISNUMBER($AV128)),$AV128*100000+ROW(),"")</f>
      </c>
      <c r="BE128" s="203">
        <f>IF($C128,IF(ISBLANK('Backlog General'!$J128),"",'Backlog General'!$J128),"")</f>
      </c>
      <c r="BF128" s="203">
        <f>IF($C128,IF($BE128="","",$BE128)&amp;IF(AND($BE128&lt;&gt;"",$AH128&lt;&gt;"")," · ","")&amp;IF($AH128="","",$AH128),"")</f>
      </c>
      <c r="BG128" s="203">
        <f>IF($C128,IF($J128="Completado","Sí","No"),"")</f>
      </c>
      <c r="BH128" s="202">
        <f>IF(AND($C128,ISNUMBER($AR128)),IF($AO128="Semanal",1,IF($AO128="Quincenal",2,3))*1000000000+$AR128*100000+ROW(),"")</f>
      </c>
      <c r="BI128" s="202">
        <f>IF($C128,IF($AU128="Cancelado","",$I128),"")</f>
      </c>
      <c r="BJ128" s="202">
        <f>IF($C128,IFERROR(MATCH($D128,$D$7:$D$200,0)+6,ROW()),"")</f>
      </c>
      <c r="BK128" s="202">
        <f>IF(AND($C128,ISNUMBER($AV128)),$BJ128*1000000+$AV128*1000+ROW(),"")</f>
      </c>
      <c r="BL128" s="202">
        <f>IF(AND($C128,ISNUMBER($AW128)),ROUND(($AW128-('Sprints'!$C$5+('Sprints'!$E$5-1)*'Sprints'!$D$5))/'Sprints'!$D$5,0),"")</f>
      </c>
      <c r="BM128" s="203">
        <f>IF($C128,IF(NOT(ISNUMBER($BL128)),"",IF($BL128&lt;0,"Pasada",IF($BL128=0,"Actual",IF($BL128=1,"Siguiente",IF($BL128=2,"+2 sem",IF($BL128=3,"+3 sem","Posterior")))))),"")</f>
      </c>
      <c r="BN128" s="202">
        <f>IF(AND($C128,ISNUMBER($AR128),ISNUMBER($AV128)),MAX(1,$AV128-$AR128+1),0)</f>
        <v>0</v>
      </c>
      <c r="BO128" s="202">
        <f>SUM($BN$7:$BN128)-$BN128</f>
        <v>26</v>
      </c>
      <c r="BP128" s="202">
        <f>IF(AND($C128,ISNUMBER($AV128)),$AQ128+$AV128*$AP128*'Sprints'!$D$5-'Sprints'!$D$5,"")</f>
      </c>
      <c r="BQ128" s="202">
        <f>IF(AND($C128,ISNUMBER($BP128)),$BP128*1000+ROW(),"")</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IF($C129,IF('Backlog General'!$G129="Completada",1,IF('Backlog General'!$G129="Casi lista",0.75,IF('Backlog General'!$G129="En progreso",0.5,IF('Backlog General'!$G129="Iniciada",0.25,0)))),"")</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IF($C129,IF(ISBLANK('Backlog General'!$K129),"",'Backlog General'!$K129),"")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IF(AND($C129,ISNUMBER($AR129)),IF(AND(ISNUMBER('Backlog General'!$M129),'Backlog General'!$M129&gt;=$AR129),'Backlog General'!$M129,IF(AND($AU129="Pasa al siguiente",$AT129&lt;&gt;"Completada"),$AR129+1,$AR129)),"")</f>
      </c>
      <c r="AW129" s="202">
        <f>IF(AND($C129,ISNUMBER($AR129)),$AQ129+$AR129*$AP129*'Sprints'!$D$5-'Sprints'!$D$5,"")</f>
      </c>
      <c r="AX129" s="202">
        <f>IF($C129,IF(OR($AT129="Completada",$AU129="Cancelado",$AU129="Baja prioridad",NOT(ISNUMBER($AW129))),0,IF(TODAY()&gt;$AW129,NETWORKDAYS($AW129,TODAY(),'Sprints'!$L$5:$L$40)-1,0)),"")</f>
      </c>
      <c r="AY129" s="203">
        <f>IF($C129,IF(NOT(ISNUMBER($AR129)),"Sin fecha",IF($AT129="Completada","Completada",IF($AU129="Cancelado","Cancelado",IF($AU129="Baja prioridad","Baja prioridad",IF($AX129&gt;0,"Vencida","En curso"))))),"")</f>
      </c>
      <c r="AZ129" s="203">
        <f>IF($C129,IF(ISNUMBER($AV129),$AO129&amp;" · S"&amp;$AV129,"(Sin fecha)"),"")</f>
      </c>
      <c r="BA129" s="202">
        <f>IF(AND($C129,ISNUMBER($AR129),$AR129=$AS129),"Nuevo","")</f>
      </c>
      <c r="BB129" s="202">
        <f>IF(AND($C129,$AO129="Semanal",ISNUMBER($AV129)),$AV129*100000+ROW(),"")</f>
      </c>
      <c r="BC129" s="202">
        <f>IF(AND($C129,$AO129="Quincenal",ISNUMBER($AV129)),$AV129*100000+ROW(),"")</f>
      </c>
      <c r="BD129" s="202">
        <f>IF(AND($C129,$AO129="Mensual",ISNUMBER($AV129)),$AV129*100000+ROW(),"")</f>
      </c>
      <c r="BE129" s="203">
        <f>IF($C129,IF(ISBLANK('Backlog General'!$J129),"",'Backlog General'!$J129),"")</f>
      </c>
      <c r="BF129" s="203">
        <f>IF($C129,IF($BE129="","",$BE129)&amp;IF(AND($BE129&lt;&gt;"",$AH129&lt;&gt;"")," · ","")&amp;IF($AH129="","",$AH129),"")</f>
      </c>
      <c r="BG129" s="203">
        <f>IF($C129,IF($J129="Completado","Sí","No"),"")</f>
      </c>
      <c r="BH129" s="202">
        <f>IF(AND($C129,ISNUMBER($AR129)),IF($AO129="Semanal",1,IF($AO129="Quincenal",2,3))*1000000000+$AR129*100000+ROW(),"")</f>
      </c>
      <c r="BI129" s="202">
        <f>IF($C129,IF($AU129="Cancelado","",$I129),"")</f>
      </c>
      <c r="BJ129" s="202">
        <f>IF($C129,IFERROR(MATCH($D129,$D$7:$D$200,0)+6,ROW()),"")</f>
      </c>
      <c r="BK129" s="202">
        <f>IF(AND($C129,ISNUMBER($AV129)),$BJ129*1000000+$AV129*1000+ROW(),"")</f>
      </c>
      <c r="BL129" s="202">
        <f>IF(AND($C129,ISNUMBER($AW129)),ROUND(($AW129-('Sprints'!$C$5+('Sprints'!$E$5-1)*'Sprints'!$D$5))/'Sprints'!$D$5,0),"")</f>
      </c>
      <c r="BM129" s="203">
        <f>IF($C129,IF(NOT(ISNUMBER($BL129)),"",IF($BL129&lt;0,"Pasada",IF($BL129=0,"Actual",IF($BL129=1,"Siguiente",IF($BL129=2,"+2 sem",IF($BL129=3,"+3 sem","Posterior")))))),"")</f>
      </c>
      <c r="BN129" s="202">
        <f>IF(AND($C129,ISNUMBER($AR129),ISNUMBER($AV129)),MAX(1,$AV129-$AR129+1),0)</f>
        <v>0</v>
      </c>
      <c r="BO129" s="202">
        <f>SUM($BN$7:$BN129)-$BN129</f>
        <v>26</v>
      </c>
      <c r="BP129" s="202">
        <f>IF(AND($C129,ISNUMBER($AV129)),$AQ129+$AV129*$AP129*'Sprints'!$D$5-'Sprints'!$D$5,"")</f>
      </c>
      <c r="BQ129" s="202">
        <f>IF(AND($C129,ISNUMBER($BP129)),$BP129*1000+ROW(),"")</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IF($C130,IF('Backlog General'!$G130="Completada",1,IF('Backlog General'!$G130="Casi lista",0.75,IF('Backlog General'!$G130="En progreso",0.5,IF('Backlog General'!$G130="Iniciada",0.25,0)))),"")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IF($C130,IF(ISBLANK('Backlog General'!$K130),"",'Backlog General'!$K130),"")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IF(AND($C130,ISNUMBER($AR130)),IF(AND(ISNUMBER('Backlog General'!$M130),'Backlog General'!$M130&gt;=$AR130),'Backlog General'!$M130,IF(AND($AU130="Pasa al siguiente",$AT130&lt;&gt;"Completada"),$AR130+1,$AR130)),"")</f>
      </c>
      <c r="AW130" s="202">
        <f>IF(AND($C130,ISNUMBER($AR130)),$AQ130+$AR130*$AP130*'Sprints'!$D$5-'Sprints'!$D$5,"")</f>
      </c>
      <c r="AX130" s="202">
        <f>IF($C130,IF(OR($AT130="Completada",$AU130="Cancelado",$AU130="Baja prioridad",NOT(ISNUMBER($AW130))),0,IF(TODAY()&gt;$AW130,NETWORKDAYS($AW130,TODAY(),'Sprints'!$L$5:$L$40)-1,0)),"")</f>
      </c>
      <c r="AY130" s="203">
        <f>IF($C130,IF(NOT(ISNUMBER($AR130)),"Sin fecha",IF($AT130="Completada","Completada",IF($AU130="Cancelado","Cancelado",IF($AU130="Baja prioridad","Baja prioridad",IF($AX130&gt;0,"Vencida","En curso"))))),"")</f>
      </c>
      <c r="AZ130" s="203">
        <f>IF($C130,IF(ISNUMBER($AV130),$AO130&amp;" · S"&amp;$AV130,"(Sin fecha)"),"")</f>
      </c>
      <c r="BA130" s="202">
        <f>IF(AND($C130,ISNUMBER($AR130),$AR130=$AS130),"Nuevo","")</f>
      </c>
      <c r="BB130" s="202">
        <f>IF(AND($C130,$AO130="Semanal",ISNUMBER($AV130)),$AV130*100000+ROW(),"")</f>
      </c>
      <c r="BC130" s="202">
        <f>IF(AND($C130,$AO130="Quincenal",ISNUMBER($AV130)),$AV130*100000+ROW(),"")</f>
      </c>
      <c r="BD130" s="202">
        <f>IF(AND($C130,$AO130="Mensual",ISNUMBER($AV130)),$AV130*100000+ROW(),"")</f>
      </c>
      <c r="BE130" s="203">
        <f>IF($C130,IF(ISBLANK('Backlog General'!$J130),"",'Backlog General'!$J130),"")</f>
      </c>
      <c r="BF130" s="203">
        <f>IF($C130,IF($BE130="","",$BE130)&amp;IF(AND($BE130&lt;&gt;"",$AH130&lt;&gt;"")," · ","")&amp;IF($AH130="","",$AH130),"")</f>
      </c>
      <c r="BG130" s="203">
        <f>IF($C130,IF($J130="Completado","Sí","No"),"")</f>
      </c>
      <c r="BH130" s="202">
        <f>IF(AND($C130,ISNUMBER($AR130)),IF($AO130="Semanal",1,IF($AO130="Quincenal",2,3))*1000000000+$AR130*100000+ROW(),"")</f>
      </c>
      <c r="BI130" s="202">
        <f>IF($C130,IF($AU130="Cancelado","",$I130),"")</f>
      </c>
      <c r="BJ130" s="202">
        <f>IF($C130,IFERROR(MATCH($D130,$D$7:$D$200,0)+6,ROW()),"")</f>
      </c>
      <c r="BK130" s="202">
        <f>IF(AND($C130,ISNUMBER($AV130)),$BJ130*1000000+$AV130*1000+ROW(),"")</f>
      </c>
      <c r="BL130" s="202">
        <f>IF(AND($C130,ISNUMBER($AW130)),ROUND(($AW130-('Sprints'!$C$5+('Sprints'!$E$5-1)*'Sprints'!$D$5))/'Sprints'!$D$5,0),"")</f>
      </c>
      <c r="BM130" s="203">
        <f>IF($C130,IF(NOT(ISNUMBER($BL130)),"",IF($BL130&lt;0,"Pasada",IF($BL130=0,"Actual",IF($BL130=1,"Siguiente",IF($BL130=2,"+2 sem",IF($BL130=3,"+3 sem","Posterior")))))),"")</f>
      </c>
      <c r="BN130" s="202">
        <f>IF(AND($C130,ISNUMBER($AR130),ISNUMBER($AV130)),MAX(1,$AV130-$AR130+1),0)</f>
        <v>0</v>
      </c>
      <c r="BO130" s="202">
        <f>SUM($BN$7:$BN130)-$BN130</f>
        <v>26</v>
      </c>
      <c r="BP130" s="202">
        <f>IF(AND($C130,ISNUMBER($AV130)),$AQ130+$AV130*$AP130*'Sprints'!$D$5-'Sprints'!$D$5,"")</f>
      </c>
      <c r="BQ130" s="202">
        <f>IF(AND($C130,ISNUMBER($BP130)),$BP130*1000+ROW(),"")</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IF($C131,IF('Backlog General'!$G131="Completada",1,IF('Backlog General'!$G131="Casi lista",0.75,IF('Backlog General'!$G131="En progreso",0.5,IF('Backlog General'!$G131="Iniciada",0.25,0)))),"")</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IF($C131,IF(ISBLANK('Backlog General'!$K131),"",'Backlog General'!$K131),"")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IF(AND($C131,ISNUMBER($AR131)),IF(AND(ISNUMBER('Backlog General'!$M131),'Backlog General'!$M131&gt;=$AR131),'Backlog General'!$M131,IF(AND($AU131="Pasa al siguiente",$AT131&lt;&gt;"Completada"),$AR131+1,$AR131)),"")</f>
      </c>
      <c r="AW131" s="202">
        <f>IF(AND($C131,ISNUMBER($AR131)),$AQ131+$AR131*$AP131*'Sprints'!$D$5-'Sprints'!$D$5,"")</f>
      </c>
      <c r="AX131" s="202">
        <f>IF($C131,IF(OR($AT131="Completada",$AU131="Cancelado",$AU131="Baja prioridad",NOT(ISNUMBER($AW131))),0,IF(TODAY()&gt;$AW131,NETWORKDAYS($AW131,TODAY(),'Sprints'!$L$5:$L$40)-1,0)),"")</f>
      </c>
      <c r="AY131" s="203">
        <f>IF($C131,IF(NOT(ISNUMBER($AR131)),"Sin fecha",IF($AT131="Completada","Completada",IF($AU131="Cancelado","Cancelado",IF($AU131="Baja prioridad","Baja prioridad",IF($AX131&gt;0,"Vencida","En curso"))))),"")</f>
      </c>
      <c r="AZ131" s="203">
        <f>IF($C131,IF(ISNUMBER($AV131),$AO131&amp;" · S"&amp;$AV131,"(Sin fecha)"),"")</f>
      </c>
      <c r="BA131" s="202">
        <f>IF(AND($C131,ISNUMBER($AR131),$AR131=$AS131),"Nuevo","")</f>
      </c>
      <c r="BB131" s="202">
        <f>IF(AND($C131,$AO131="Semanal",ISNUMBER($AV131)),$AV131*100000+ROW(),"")</f>
      </c>
      <c r="BC131" s="202">
        <f>IF(AND($C131,$AO131="Quincenal",ISNUMBER($AV131)),$AV131*100000+ROW(),"")</f>
      </c>
      <c r="BD131" s="202">
        <f>IF(AND($C131,$AO131="Mensual",ISNUMBER($AV131)),$AV131*100000+ROW(),"")</f>
      </c>
      <c r="BE131" s="203">
        <f>IF($C131,IF(ISBLANK('Backlog General'!$J131),"",'Backlog General'!$J131),"")</f>
      </c>
      <c r="BF131" s="203">
        <f>IF($C131,IF($BE131="","",$BE131)&amp;IF(AND($BE131&lt;&gt;"",$AH131&lt;&gt;"")," · ","")&amp;IF($AH131="","",$AH131),"")</f>
      </c>
      <c r="BG131" s="203">
        <f>IF($C131,IF($J131="Completado","Sí","No"),"")</f>
      </c>
      <c r="BH131" s="202">
        <f>IF(AND($C131,ISNUMBER($AR131)),IF($AO131="Semanal",1,IF($AO131="Quincenal",2,3))*1000000000+$AR131*100000+ROW(),"")</f>
      </c>
      <c r="BI131" s="202">
        <f>IF($C131,IF($AU131="Cancelado","",$I131),"")</f>
      </c>
      <c r="BJ131" s="202">
        <f>IF($C131,IFERROR(MATCH($D131,$D$7:$D$200,0)+6,ROW()),"")</f>
      </c>
      <c r="BK131" s="202">
        <f>IF(AND($C131,ISNUMBER($AV131)),$BJ131*1000000+$AV131*1000+ROW(),"")</f>
      </c>
      <c r="BL131" s="202">
        <f>IF(AND($C131,ISNUMBER($AW131)),ROUND(($AW131-('Sprints'!$C$5+('Sprints'!$E$5-1)*'Sprints'!$D$5))/'Sprints'!$D$5,0),"")</f>
      </c>
      <c r="BM131" s="203">
        <f>IF($C131,IF(NOT(ISNUMBER($BL131)),"",IF($BL131&lt;0,"Pasada",IF($BL131=0,"Actual",IF($BL131=1,"Siguiente",IF($BL131=2,"+2 sem",IF($BL131=3,"+3 sem","Posterior")))))),"")</f>
      </c>
      <c r="BN131" s="202">
        <f>IF(AND($C131,ISNUMBER($AR131),ISNUMBER($AV131)),MAX(1,$AV131-$AR131+1),0)</f>
        <v>0</v>
      </c>
      <c r="BO131" s="202">
        <f>SUM($BN$7:$BN131)-$BN131</f>
        <v>26</v>
      </c>
      <c r="BP131" s="202">
        <f>IF(AND($C131,ISNUMBER($AV131)),$AQ131+$AV131*$AP131*'Sprints'!$D$5-'Sprints'!$D$5,"")</f>
      </c>
      <c r="BQ131" s="202">
        <f>IF(AND($C131,ISNUMBER($BP131)),$BP131*1000+ROW(),"")</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IF($C132,IF('Backlog General'!$G132="Completada",1,IF('Backlog General'!$G132="Casi lista",0.75,IF('Backlog General'!$G132="En progreso",0.5,IF('Backlog General'!$G132="Iniciada",0.25,0)))),"")</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IF($C132,IF(ISBLANK('Backlog General'!$K132),"",'Backlog General'!$K132),"")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IF(AND($C132,ISNUMBER($AR132)),IF(AND(ISNUMBER('Backlog General'!$M132),'Backlog General'!$M132&gt;=$AR132),'Backlog General'!$M132,IF(AND($AU132="Pasa al siguiente",$AT132&lt;&gt;"Completada"),$AR132+1,$AR132)),"")</f>
      </c>
      <c r="AW132" s="202">
        <f>IF(AND($C132,ISNUMBER($AR132)),$AQ132+$AR132*$AP132*'Sprints'!$D$5-'Sprints'!$D$5,"")</f>
      </c>
      <c r="AX132" s="202">
        <f>IF($C132,IF(OR($AT132="Completada",$AU132="Cancelado",$AU132="Baja prioridad",NOT(ISNUMBER($AW132))),0,IF(TODAY()&gt;$AW132,NETWORKDAYS($AW132,TODAY(),'Sprints'!$L$5:$L$40)-1,0)),"")</f>
      </c>
      <c r="AY132" s="203">
        <f>IF($C132,IF(NOT(ISNUMBER($AR132)),"Sin fecha",IF($AT132="Completada","Completada",IF($AU132="Cancelado","Cancelado",IF($AU132="Baja prioridad","Baja prioridad",IF($AX132&gt;0,"Vencida","En curso"))))),"")</f>
      </c>
      <c r="AZ132" s="203">
        <f>IF($C132,IF(ISNUMBER($AV132),$AO132&amp;" · S"&amp;$AV132,"(Sin fecha)"),"")</f>
      </c>
      <c r="BA132" s="202">
        <f>IF(AND($C132,ISNUMBER($AR132),$AR132=$AS132),"Nuevo","")</f>
      </c>
      <c r="BB132" s="202">
        <f>IF(AND($C132,$AO132="Semanal",ISNUMBER($AV132)),$AV132*100000+ROW(),"")</f>
      </c>
      <c r="BC132" s="202">
        <f>IF(AND($C132,$AO132="Quincenal",ISNUMBER($AV132)),$AV132*100000+ROW(),"")</f>
      </c>
      <c r="BD132" s="202">
        <f>IF(AND($C132,$AO132="Mensual",ISNUMBER($AV132)),$AV132*100000+ROW(),"")</f>
      </c>
      <c r="BE132" s="203">
        <f>IF($C132,IF(ISBLANK('Backlog General'!$J132),"",'Backlog General'!$J132),"")</f>
      </c>
      <c r="BF132" s="203">
        <f>IF($C132,IF($BE132="","",$BE132)&amp;IF(AND($BE132&lt;&gt;"",$AH132&lt;&gt;"")," · ","")&amp;IF($AH132="","",$AH132),"")</f>
      </c>
      <c r="BG132" s="203">
        <f>IF($C132,IF($J132="Completado","Sí","No"),"")</f>
      </c>
      <c r="BH132" s="202">
        <f>IF(AND($C132,ISNUMBER($AR132)),IF($AO132="Semanal",1,IF($AO132="Quincenal",2,3))*1000000000+$AR132*100000+ROW(),"")</f>
      </c>
      <c r="BI132" s="202">
        <f>IF($C132,IF($AU132="Cancelado","",$I132),"")</f>
      </c>
      <c r="BJ132" s="202">
        <f>IF($C132,IFERROR(MATCH($D132,$D$7:$D$200,0)+6,ROW()),"")</f>
      </c>
      <c r="BK132" s="202">
        <f>IF(AND($C132,ISNUMBER($AV132)),$BJ132*1000000+$AV132*1000+ROW(),"")</f>
      </c>
      <c r="BL132" s="202">
        <f>IF(AND($C132,ISNUMBER($AW132)),ROUND(($AW132-('Sprints'!$C$5+('Sprints'!$E$5-1)*'Sprints'!$D$5))/'Sprints'!$D$5,0),"")</f>
      </c>
      <c r="BM132" s="203">
        <f>IF($C132,IF(NOT(ISNUMBER($BL132)),"",IF($BL132&lt;0,"Pasada",IF($BL132=0,"Actual",IF($BL132=1,"Siguiente",IF($BL132=2,"+2 sem",IF($BL132=3,"+3 sem","Posterior")))))),"")</f>
      </c>
      <c r="BN132" s="202">
        <f>IF(AND($C132,ISNUMBER($AR132),ISNUMBER($AV132)),MAX(1,$AV132-$AR132+1),0)</f>
        <v>0</v>
      </c>
      <c r="BO132" s="202">
        <f>SUM($BN$7:$BN132)-$BN132</f>
        <v>26</v>
      </c>
      <c r="BP132" s="202">
        <f>IF(AND($C132,ISNUMBER($AV132)),$AQ132+$AV132*$AP132*'Sprints'!$D$5-'Sprints'!$D$5,"")</f>
      </c>
      <c r="BQ132" s="202">
        <f>IF(AND($C132,ISNUMBER($BP132)),$BP132*1000+ROW(),"")</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IF($C133,IF('Backlog General'!$G133="Completada",1,IF('Backlog General'!$G133="Casi lista",0.75,IF('Backlog General'!$G133="En progreso",0.5,IF('Backlog General'!$G133="Iniciada",0.25,0)))),"")</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IF($C133,IF(ISBLANK('Backlog General'!$K133),"",'Backlog General'!$K133),"")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IF(AND($C133,ISNUMBER($AR133)),IF(AND(ISNUMBER('Backlog General'!$M133),'Backlog General'!$M133&gt;=$AR133),'Backlog General'!$M133,IF(AND($AU133="Pasa al siguiente",$AT133&lt;&gt;"Completada"),$AR133+1,$AR133)),"")</f>
      </c>
      <c r="AW133" s="202">
        <f>IF(AND($C133,ISNUMBER($AR133)),$AQ133+$AR133*$AP133*'Sprints'!$D$5-'Sprints'!$D$5,"")</f>
      </c>
      <c r="AX133" s="202">
        <f>IF($C133,IF(OR($AT133="Completada",$AU133="Cancelado",$AU133="Baja prioridad",NOT(ISNUMBER($AW133))),0,IF(TODAY()&gt;$AW133,NETWORKDAYS($AW133,TODAY(),'Sprints'!$L$5:$L$40)-1,0)),"")</f>
      </c>
      <c r="AY133" s="203">
        <f>IF($C133,IF(NOT(ISNUMBER($AR133)),"Sin fecha",IF($AT133="Completada","Completada",IF($AU133="Cancelado","Cancelado",IF($AU133="Baja prioridad","Baja prioridad",IF($AX133&gt;0,"Vencida","En curso"))))),"")</f>
      </c>
      <c r="AZ133" s="203">
        <f>IF($C133,IF(ISNUMBER($AV133),$AO133&amp;" · S"&amp;$AV133,"(Sin fecha)"),"")</f>
      </c>
      <c r="BA133" s="202">
        <f>IF(AND($C133,ISNUMBER($AR133),$AR133=$AS133),"Nuevo","")</f>
      </c>
      <c r="BB133" s="202">
        <f>IF(AND($C133,$AO133="Semanal",ISNUMBER($AV133)),$AV133*100000+ROW(),"")</f>
      </c>
      <c r="BC133" s="202">
        <f>IF(AND($C133,$AO133="Quincenal",ISNUMBER($AV133)),$AV133*100000+ROW(),"")</f>
      </c>
      <c r="BD133" s="202">
        <f>IF(AND($C133,$AO133="Mensual",ISNUMBER($AV133)),$AV133*100000+ROW(),"")</f>
      </c>
      <c r="BE133" s="203">
        <f>IF($C133,IF(ISBLANK('Backlog General'!$J133),"",'Backlog General'!$J133),"")</f>
      </c>
      <c r="BF133" s="203">
        <f>IF($C133,IF($BE133="","",$BE133)&amp;IF(AND($BE133&lt;&gt;"",$AH133&lt;&gt;"")," · ","")&amp;IF($AH133="","",$AH133),"")</f>
      </c>
      <c r="BG133" s="203">
        <f>IF($C133,IF($J133="Completado","Sí","No"),"")</f>
      </c>
      <c r="BH133" s="202">
        <f>IF(AND($C133,ISNUMBER($AR133)),IF($AO133="Semanal",1,IF($AO133="Quincenal",2,3))*1000000000+$AR133*100000+ROW(),"")</f>
      </c>
      <c r="BI133" s="202">
        <f>IF($C133,IF($AU133="Cancelado","",$I133),"")</f>
      </c>
      <c r="BJ133" s="202">
        <f>IF($C133,IFERROR(MATCH($D133,$D$7:$D$200,0)+6,ROW()),"")</f>
      </c>
      <c r="BK133" s="202">
        <f>IF(AND($C133,ISNUMBER($AV133)),$BJ133*1000000+$AV133*1000+ROW(),"")</f>
      </c>
      <c r="BL133" s="202">
        <f>IF(AND($C133,ISNUMBER($AW133)),ROUND(($AW133-('Sprints'!$C$5+('Sprints'!$E$5-1)*'Sprints'!$D$5))/'Sprints'!$D$5,0),"")</f>
      </c>
      <c r="BM133" s="203">
        <f>IF($C133,IF(NOT(ISNUMBER($BL133)),"",IF($BL133&lt;0,"Pasada",IF($BL133=0,"Actual",IF($BL133=1,"Siguiente",IF($BL133=2,"+2 sem",IF($BL133=3,"+3 sem","Posterior")))))),"")</f>
      </c>
      <c r="BN133" s="202">
        <f>IF(AND($C133,ISNUMBER($AR133),ISNUMBER($AV133)),MAX(1,$AV133-$AR133+1),0)</f>
        <v>0</v>
      </c>
      <c r="BO133" s="202">
        <f>SUM($BN$7:$BN133)-$BN133</f>
        <v>26</v>
      </c>
      <c r="BP133" s="202">
        <f>IF(AND($C133,ISNUMBER($AV133)),$AQ133+$AV133*$AP133*'Sprints'!$D$5-'Sprints'!$D$5,"")</f>
      </c>
      <c r="BQ133" s="202">
        <f>IF(AND($C133,ISNUMBER($BP133)),$BP133*1000+ROW(),"")</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IF($C134,IF('Backlog General'!$G134="Completada",1,IF('Backlog General'!$G134="Casi lista",0.75,IF('Backlog General'!$G134="En progreso",0.5,IF('Backlog General'!$G134="Iniciada",0.25,0)))),"")</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IF($C134,IF(ISBLANK('Backlog General'!$K134),"",'Backlog General'!$K134),"")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IF(AND($C134,ISNUMBER($AR134)),IF(AND(ISNUMBER('Backlog General'!$M134),'Backlog General'!$M134&gt;=$AR134),'Backlog General'!$M134,IF(AND($AU134="Pasa al siguiente",$AT134&lt;&gt;"Completada"),$AR134+1,$AR134)),"")</f>
      </c>
      <c r="AW134" s="202">
        <f>IF(AND($C134,ISNUMBER($AR134)),$AQ134+$AR134*$AP134*'Sprints'!$D$5-'Sprints'!$D$5,"")</f>
      </c>
      <c r="AX134" s="202">
        <f>IF($C134,IF(OR($AT134="Completada",$AU134="Cancelado",$AU134="Baja prioridad",NOT(ISNUMBER($AW134))),0,IF(TODAY()&gt;$AW134,NETWORKDAYS($AW134,TODAY(),'Sprints'!$L$5:$L$40)-1,0)),"")</f>
      </c>
      <c r="AY134" s="203">
        <f>IF($C134,IF(NOT(ISNUMBER($AR134)),"Sin fecha",IF($AT134="Completada","Completada",IF($AU134="Cancelado","Cancelado",IF($AU134="Baja prioridad","Baja prioridad",IF($AX134&gt;0,"Vencida","En curso"))))),"")</f>
      </c>
      <c r="AZ134" s="203">
        <f>IF($C134,IF(ISNUMBER($AV134),$AO134&amp;" · S"&amp;$AV134,"(Sin fecha)"),"")</f>
      </c>
      <c r="BA134" s="202">
        <f>IF(AND($C134,ISNUMBER($AR134),$AR134=$AS134),"Nuevo","")</f>
      </c>
      <c r="BB134" s="202">
        <f>IF(AND($C134,$AO134="Semanal",ISNUMBER($AV134)),$AV134*100000+ROW(),"")</f>
      </c>
      <c r="BC134" s="202">
        <f>IF(AND($C134,$AO134="Quincenal",ISNUMBER($AV134)),$AV134*100000+ROW(),"")</f>
      </c>
      <c r="BD134" s="202">
        <f>IF(AND($C134,$AO134="Mensual",ISNUMBER($AV134)),$AV134*100000+ROW(),"")</f>
      </c>
      <c r="BE134" s="203">
        <f>IF($C134,IF(ISBLANK('Backlog General'!$J134),"",'Backlog General'!$J134),"")</f>
      </c>
      <c r="BF134" s="203">
        <f>IF($C134,IF($BE134="","",$BE134)&amp;IF(AND($BE134&lt;&gt;"",$AH134&lt;&gt;"")," · ","")&amp;IF($AH134="","",$AH134),"")</f>
      </c>
      <c r="BG134" s="203">
        <f>IF($C134,IF($J134="Completado","Sí","No"),"")</f>
      </c>
      <c r="BH134" s="202">
        <f>IF(AND($C134,ISNUMBER($AR134)),IF($AO134="Semanal",1,IF($AO134="Quincenal",2,3))*1000000000+$AR134*100000+ROW(),"")</f>
      </c>
      <c r="BI134" s="202">
        <f>IF($C134,IF($AU134="Cancelado","",$I134),"")</f>
      </c>
      <c r="BJ134" s="202">
        <f>IF($C134,IFERROR(MATCH($D134,$D$7:$D$200,0)+6,ROW()),"")</f>
      </c>
      <c r="BK134" s="202">
        <f>IF(AND($C134,ISNUMBER($AV134)),$BJ134*1000000+$AV134*1000+ROW(),"")</f>
      </c>
      <c r="BL134" s="202">
        <f>IF(AND($C134,ISNUMBER($AW134)),ROUND(($AW134-('Sprints'!$C$5+('Sprints'!$E$5-1)*'Sprints'!$D$5))/'Sprints'!$D$5,0),"")</f>
      </c>
      <c r="BM134" s="203">
        <f>IF($C134,IF(NOT(ISNUMBER($BL134)),"",IF($BL134&lt;0,"Pasada",IF($BL134=0,"Actual",IF($BL134=1,"Siguiente",IF($BL134=2,"+2 sem",IF($BL134=3,"+3 sem","Posterior")))))),"")</f>
      </c>
      <c r="BN134" s="202">
        <f>IF(AND($C134,ISNUMBER($AR134),ISNUMBER($AV134)),MAX(1,$AV134-$AR134+1),0)</f>
        <v>0</v>
      </c>
      <c r="BO134" s="202">
        <f>SUM($BN$7:$BN134)-$BN134</f>
        <v>26</v>
      </c>
      <c r="BP134" s="202">
        <f>IF(AND($C134,ISNUMBER($AV134)),$AQ134+$AV134*$AP134*'Sprints'!$D$5-'Sprints'!$D$5,"")</f>
      </c>
      <c r="BQ134" s="202">
        <f>IF(AND($C134,ISNUMBER($BP134)),$BP134*1000+ROW(),"")</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IF($C135,IF('Backlog General'!$G135="Completada",1,IF('Backlog General'!$G135="Casi lista",0.75,IF('Backlog General'!$G135="En progreso",0.5,IF('Backlog General'!$G135="Iniciada",0.25,0)))),"")</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IF($C135,IF(ISBLANK('Backlog General'!$K135),"",'Backlog General'!$K135),"")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IF(AND($C135,ISNUMBER($AR135)),IF(AND(ISNUMBER('Backlog General'!$M135),'Backlog General'!$M135&gt;=$AR135),'Backlog General'!$M135,IF(AND($AU135="Pasa al siguiente",$AT135&lt;&gt;"Completada"),$AR135+1,$AR135)),"")</f>
      </c>
      <c r="AW135" s="202">
        <f>IF(AND($C135,ISNUMBER($AR135)),$AQ135+$AR135*$AP135*'Sprints'!$D$5-'Sprints'!$D$5,"")</f>
      </c>
      <c r="AX135" s="202">
        <f>IF($C135,IF(OR($AT135="Completada",$AU135="Cancelado",$AU135="Baja prioridad",NOT(ISNUMBER($AW135))),0,IF(TODAY()&gt;$AW135,NETWORKDAYS($AW135,TODAY(),'Sprints'!$L$5:$L$40)-1,0)),"")</f>
      </c>
      <c r="AY135" s="203">
        <f>IF($C135,IF(NOT(ISNUMBER($AR135)),"Sin fecha",IF($AT135="Completada","Completada",IF($AU135="Cancelado","Cancelado",IF($AU135="Baja prioridad","Baja prioridad",IF($AX135&gt;0,"Vencida","En curso"))))),"")</f>
      </c>
      <c r="AZ135" s="203">
        <f>IF($C135,IF(ISNUMBER($AV135),$AO135&amp;" · S"&amp;$AV135,"(Sin fecha)"),"")</f>
      </c>
      <c r="BA135" s="202">
        <f>IF(AND($C135,ISNUMBER($AR135),$AR135=$AS135),"Nuevo","")</f>
      </c>
      <c r="BB135" s="202">
        <f>IF(AND($C135,$AO135="Semanal",ISNUMBER($AV135)),$AV135*100000+ROW(),"")</f>
      </c>
      <c r="BC135" s="202">
        <f>IF(AND($C135,$AO135="Quincenal",ISNUMBER($AV135)),$AV135*100000+ROW(),"")</f>
      </c>
      <c r="BD135" s="202">
        <f>IF(AND($C135,$AO135="Mensual",ISNUMBER($AV135)),$AV135*100000+ROW(),"")</f>
      </c>
      <c r="BE135" s="203">
        <f>IF($C135,IF(ISBLANK('Backlog General'!$J135),"",'Backlog General'!$J135),"")</f>
      </c>
      <c r="BF135" s="203">
        <f>IF($C135,IF($BE135="","",$BE135)&amp;IF(AND($BE135&lt;&gt;"",$AH135&lt;&gt;"")," · ","")&amp;IF($AH135="","",$AH135),"")</f>
      </c>
      <c r="BG135" s="203">
        <f>IF($C135,IF($J135="Completado","Sí","No"),"")</f>
      </c>
      <c r="BH135" s="202">
        <f>IF(AND($C135,ISNUMBER($AR135)),IF($AO135="Semanal",1,IF($AO135="Quincenal",2,3))*1000000000+$AR135*100000+ROW(),"")</f>
      </c>
      <c r="BI135" s="202">
        <f>IF($C135,IF($AU135="Cancelado","",$I135),"")</f>
      </c>
      <c r="BJ135" s="202">
        <f>IF($C135,IFERROR(MATCH($D135,$D$7:$D$200,0)+6,ROW()),"")</f>
      </c>
      <c r="BK135" s="202">
        <f>IF(AND($C135,ISNUMBER($AV135)),$BJ135*1000000+$AV135*1000+ROW(),"")</f>
      </c>
      <c r="BL135" s="202">
        <f>IF(AND($C135,ISNUMBER($AW135)),ROUND(($AW135-('Sprints'!$C$5+('Sprints'!$E$5-1)*'Sprints'!$D$5))/'Sprints'!$D$5,0),"")</f>
      </c>
      <c r="BM135" s="203">
        <f>IF($C135,IF(NOT(ISNUMBER($BL135)),"",IF($BL135&lt;0,"Pasada",IF($BL135=0,"Actual",IF($BL135=1,"Siguiente",IF($BL135=2,"+2 sem",IF($BL135=3,"+3 sem","Posterior")))))),"")</f>
      </c>
      <c r="BN135" s="202">
        <f>IF(AND($C135,ISNUMBER($AR135),ISNUMBER($AV135)),MAX(1,$AV135-$AR135+1),0)</f>
        <v>0</v>
      </c>
      <c r="BO135" s="202">
        <f>SUM($BN$7:$BN135)-$BN135</f>
        <v>26</v>
      </c>
      <c r="BP135" s="202">
        <f>IF(AND($C135,ISNUMBER($AV135)),$AQ135+$AV135*$AP135*'Sprints'!$D$5-'Sprints'!$D$5,"")</f>
      </c>
      <c r="BQ135" s="202">
        <f>IF(AND($C135,ISNUMBER($BP135)),$BP135*1000+ROW(),"")</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IF($C136,IF('Backlog General'!$G136="Completada",1,IF('Backlog General'!$G136="Casi lista",0.75,IF('Backlog General'!$G136="En progreso",0.5,IF('Backlog General'!$G136="Iniciada",0.25,0)))),"")</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IF($C136,IF(ISBLANK('Backlog General'!$K136),"",'Backlog General'!$K136),"")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IF(AND($C136,ISNUMBER($AR136)),IF(AND(ISNUMBER('Backlog General'!$M136),'Backlog General'!$M136&gt;=$AR136),'Backlog General'!$M136,IF(AND($AU136="Pasa al siguiente",$AT136&lt;&gt;"Completada"),$AR136+1,$AR136)),"")</f>
      </c>
      <c r="AW136" s="202">
        <f>IF(AND($C136,ISNUMBER($AR136)),$AQ136+$AR136*$AP136*'Sprints'!$D$5-'Sprints'!$D$5,"")</f>
      </c>
      <c r="AX136" s="202">
        <f>IF($C136,IF(OR($AT136="Completada",$AU136="Cancelado",$AU136="Baja prioridad",NOT(ISNUMBER($AW136))),0,IF(TODAY()&gt;$AW136,NETWORKDAYS($AW136,TODAY(),'Sprints'!$L$5:$L$40)-1,0)),"")</f>
      </c>
      <c r="AY136" s="203">
        <f>IF($C136,IF(NOT(ISNUMBER($AR136)),"Sin fecha",IF($AT136="Completada","Completada",IF($AU136="Cancelado","Cancelado",IF($AU136="Baja prioridad","Baja prioridad",IF($AX136&gt;0,"Vencida","En curso"))))),"")</f>
      </c>
      <c r="AZ136" s="203">
        <f>IF($C136,IF(ISNUMBER($AV136),$AO136&amp;" · S"&amp;$AV136,"(Sin fecha)"),"")</f>
      </c>
      <c r="BA136" s="202">
        <f>IF(AND($C136,ISNUMBER($AR136),$AR136=$AS136),"Nuevo","")</f>
      </c>
      <c r="BB136" s="202">
        <f>IF(AND($C136,$AO136="Semanal",ISNUMBER($AV136)),$AV136*100000+ROW(),"")</f>
      </c>
      <c r="BC136" s="202">
        <f>IF(AND($C136,$AO136="Quincenal",ISNUMBER($AV136)),$AV136*100000+ROW(),"")</f>
      </c>
      <c r="BD136" s="202">
        <f>IF(AND($C136,$AO136="Mensual",ISNUMBER($AV136)),$AV136*100000+ROW(),"")</f>
      </c>
      <c r="BE136" s="203">
        <f>IF($C136,IF(ISBLANK('Backlog General'!$J136),"",'Backlog General'!$J136),"")</f>
      </c>
      <c r="BF136" s="203">
        <f>IF($C136,IF($BE136="","",$BE136)&amp;IF(AND($BE136&lt;&gt;"",$AH136&lt;&gt;"")," · ","")&amp;IF($AH136="","",$AH136),"")</f>
      </c>
      <c r="BG136" s="203">
        <f>IF($C136,IF($J136="Completado","Sí","No"),"")</f>
      </c>
      <c r="BH136" s="202">
        <f>IF(AND($C136,ISNUMBER($AR136)),IF($AO136="Semanal",1,IF($AO136="Quincenal",2,3))*1000000000+$AR136*100000+ROW(),"")</f>
      </c>
      <c r="BI136" s="202">
        <f>IF($C136,IF($AU136="Cancelado","",$I136),"")</f>
      </c>
      <c r="BJ136" s="202">
        <f>IF($C136,IFERROR(MATCH($D136,$D$7:$D$200,0)+6,ROW()),"")</f>
      </c>
      <c r="BK136" s="202">
        <f>IF(AND($C136,ISNUMBER($AV136)),$BJ136*1000000+$AV136*1000+ROW(),"")</f>
      </c>
      <c r="BL136" s="202">
        <f>IF(AND($C136,ISNUMBER($AW136)),ROUND(($AW136-('Sprints'!$C$5+('Sprints'!$E$5-1)*'Sprints'!$D$5))/'Sprints'!$D$5,0),"")</f>
      </c>
      <c r="BM136" s="203">
        <f>IF($C136,IF(NOT(ISNUMBER($BL136)),"",IF($BL136&lt;0,"Pasada",IF($BL136=0,"Actual",IF($BL136=1,"Siguiente",IF($BL136=2,"+2 sem",IF($BL136=3,"+3 sem","Posterior")))))),"")</f>
      </c>
      <c r="BN136" s="202">
        <f>IF(AND($C136,ISNUMBER($AR136),ISNUMBER($AV136)),MAX(1,$AV136-$AR136+1),0)</f>
        <v>0</v>
      </c>
      <c r="BO136" s="202">
        <f>SUM($BN$7:$BN136)-$BN136</f>
        <v>26</v>
      </c>
      <c r="BP136" s="202">
        <f>IF(AND($C136,ISNUMBER($AV136)),$AQ136+$AV136*$AP136*'Sprints'!$D$5-'Sprints'!$D$5,"")</f>
      </c>
      <c r="BQ136" s="202">
        <f>IF(AND($C136,ISNUMBER($BP136)),$BP136*1000+ROW(),"")</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IF($C137,IF('Backlog General'!$G137="Completada",1,IF('Backlog General'!$G137="Casi lista",0.75,IF('Backlog General'!$G137="En progreso",0.5,IF('Backlog General'!$G137="Iniciada",0.25,0)))),"")</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IF($C137,IF(ISBLANK('Backlog General'!$K137),"",'Backlog General'!$K137),"")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IF(AND($C137,ISNUMBER($AR137)),IF(AND(ISNUMBER('Backlog General'!$M137),'Backlog General'!$M137&gt;=$AR137),'Backlog General'!$M137,IF(AND($AU137="Pasa al siguiente",$AT137&lt;&gt;"Completada"),$AR137+1,$AR137)),"")</f>
      </c>
      <c r="AW137" s="202">
        <f>IF(AND($C137,ISNUMBER($AR137)),$AQ137+$AR137*$AP137*'Sprints'!$D$5-'Sprints'!$D$5,"")</f>
      </c>
      <c r="AX137" s="202">
        <f>IF($C137,IF(OR($AT137="Completada",$AU137="Cancelado",$AU137="Baja prioridad",NOT(ISNUMBER($AW137))),0,IF(TODAY()&gt;$AW137,NETWORKDAYS($AW137,TODAY(),'Sprints'!$L$5:$L$40)-1,0)),"")</f>
      </c>
      <c r="AY137" s="203">
        <f>IF($C137,IF(NOT(ISNUMBER($AR137)),"Sin fecha",IF($AT137="Completada","Completada",IF($AU137="Cancelado","Cancelado",IF($AU137="Baja prioridad","Baja prioridad",IF($AX137&gt;0,"Vencida","En curso"))))),"")</f>
      </c>
      <c r="AZ137" s="203">
        <f>IF($C137,IF(ISNUMBER($AV137),$AO137&amp;" · S"&amp;$AV137,"(Sin fecha)"),"")</f>
      </c>
      <c r="BA137" s="202">
        <f>IF(AND($C137,ISNUMBER($AR137),$AR137=$AS137),"Nuevo","")</f>
      </c>
      <c r="BB137" s="202">
        <f>IF(AND($C137,$AO137="Semanal",ISNUMBER($AV137)),$AV137*100000+ROW(),"")</f>
      </c>
      <c r="BC137" s="202">
        <f>IF(AND($C137,$AO137="Quincenal",ISNUMBER($AV137)),$AV137*100000+ROW(),"")</f>
      </c>
      <c r="BD137" s="202">
        <f>IF(AND($C137,$AO137="Mensual",ISNUMBER($AV137)),$AV137*100000+ROW(),"")</f>
      </c>
      <c r="BE137" s="203">
        <f>IF($C137,IF(ISBLANK('Backlog General'!$J137),"",'Backlog General'!$J137),"")</f>
      </c>
      <c r="BF137" s="203">
        <f>IF($C137,IF($BE137="","",$BE137)&amp;IF(AND($BE137&lt;&gt;"",$AH137&lt;&gt;"")," · ","")&amp;IF($AH137="","",$AH137),"")</f>
      </c>
      <c r="BG137" s="203">
        <f>IF($C137,IF($J137="Completado","Sí","No"),"")</f>
      </c>
      <c r="BH137" s="202">
        <f>IF(AND($C137,ISNUMBER($AR137)),IF($AO137="Semanal",1,IF($AO137="Quincenal",2,3))*1000000000+$AR137*100000+ROW(),"")</f>
      </c>
      <c r="BI137" s="202">
        <f>IF($C137,IF($AU137="Cancelado","",$I137),"")</f>
      </c>
      <c r="BJ137" s="202">
        <f>IF($C137,IFERROR(MATCH($D137,$D$7:$D$200,0)+6,ROW()),"")</f>
      </c>
      <c r="BK137" s="202">
        <f>IF(AND($C137,ISNUMBER($AV137)),$BJ137*1000000+$AV137*1000+ROW(),"")</f>
      </c>
      <c r="BL137" s="202">
        <f>IF(AND($C137,ISNUMBER($AW137)),ROUND(($AW137-('Sprints'!$C$5+('Sprints'!$E$5-1)*'Sprints'!$D$5))/'Sprints'!$D$5,0),"")</f>
      </c>
      <c r="BM137" s="203">
        <f>IF($C137,IF(NOT(ISNUMBER($BL137)),"",IF($BL137&lt;0,"Pasada",IF($BL137=0,"Actual",IF($BL137=1,"Siguiente",IF($BL137=2,"+2 sem",IF($BL137=3,"+3 sem","Posterior")))))),"")</f>
      </c>
      <c r="BN137" s="202">
        <f>IF(AND($C137,ISNUMBER($AR137),ISNUMBER($AV137)),MAX(1,$AV137-$AR137+1),0)</f>
        <v>0</v>
      </c>
      <c r="BO137" s="202">
        <f>SUM($BN$7:$BN137)-$BN137</f>
        <v>26</v>
      </c>
      <c r="BP137" s="202">
        <f>IF(AND($C137,ISNUMBER($AV137)),$AQ137+$AV137*$AP137*'Sprints'!$D$5-'Sprints'!$D$5,"")</f>
      </c>
      <c r="BQ137" s="202">
        <f>IF(AND($C137,ISNUMBER($BP137)),$BP137*1000+ROW(),"")</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IF($C138,IF('Backlog General'!$G138="Completada",1,IF('Backlog General'!$G138="Casi lista",0.75,IF('Backlog General'!$G138="En progreso",0.5,IF('Backlog General'!$G138="Iniciada",0.25,0)))),"")</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IF($C138,IF(ISBLANK('Backlog General'!$K138),"",'Backlog General'!$K138),"")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IF(AND($C138,ISNUMBER($AR138)),IF(AND(ISNUMBER('Backlog General'!$M138),'Backlog General'!$M138&gt;=$AR138),'Backlog General'!$M138,IF(AND($AU138="Pasa al siguiente",$AT138&lt;&gt;"Completada"),$AR138+1,$AR138)),"")</f>
      </c>
      <c r="AW138" s="202">
        <f>IF(AND($C138,ISNUMBER($AR138)),$AQ138+$AR138*$AP138*'Sprints'!$D$5-'Sprints'!$D$5,"")</f>
      </c>
      <c r="AX138" s="202">
        <f>IF($C138,IF(OR($AT138="Completada",$AU138="Cancelado",$AU138="Baja prioridad",NOT(ISNUMBER($AW138))),0,IF(TODAY()&gt;$AW138,NETWORKDAYS($AW138,TODAY(),'Sprints'!$L$5:$L$40)-1,0)),"")</f>
      </c>
      <c r="AY138" s="203">
        <f>IF($C138,IF(NOT(ISNUMBER($AR138)),"Sin fecha",IF($AT138="Completada","Completada",IF($AU138="Cancelado","Cancelado",IF($AU138="Baja prioridad","Baja prioridad",IF($AX138&gt;0,"Vencida","En curso"))))),"")</f>
      </c>
      <c r="AZ138" s="203">
        <f>IF($C138,IF(ISNUMBER($AV138),$AO138&amp;" · S"&amp;$AV138,"(Sin fecha)"),"")</f>
      </c>
      <c r="BA138" s="202">
        <f>IF(AND($C138,ISNUMBER($AR138),$AR138=$AS138),"Nuevo","")</f>
      </c>
      <c r="BB138" s="202">
        <f>IF(AND($C138,$AO138="Semanal",ISNUMBER($AV138)),$AV138*100000+ROW(),"")</f>
      </c>
      <c r="BC138" s="202">
        <f>IF(AND($C138,$AO138="Quincenal",ISNUMBER($AV138)),$AV138*100000+ROW(),"")</f>
      </c>
      <c r="BD138" s="202">
        <f>IF(AND($C138,$AO138="Mensual",ISNUMBER($AV138)),$AV138*100000+ROW(),"")</f>
      </c>
      <c r="BE138" s="203">
        <f>IF($C138,IF(ISBLANK('Backlog General'!$J138),"",'Backlog General'!$J138),"")</f>
      </c>
      <c r="BF138" s="203">
        <f>IF($C138,IF($BE138="","",$BE138)&amp;IF(AND($BE138&lt;&gt;"",$AH138&lt;&gt;"")," · ","")&amp;IF($AH138="","",$AH138),"")</f>
      </c>
      <c r="BG138" s="203">
        <f>IF($C138,IF($J138="Completado","Sí","No"),"")</f>
      </c>
      <c r="BH138" s="202">
        <f>IF(AND($C138,ISNUMBER($AR138)),IF($AO138="Semanal",1,IF($AO138="Quincenal",2,3))*1000000000+$AR138*100000+ROW(),"")</f>
      </c>
      <c r="BI138" s="202">
        <f>IF($C138,IF($AU138="Cancelado","",$I138),"")</f>
      </c>
      <c r="BJ138" s="202">
        <f>IF($C138,IFERROR(MATCH($D138,$D$7:$D$200,0)+6,ROW()),"")</f>
      </c>
      <c r="BK138" s="202">
        <f>IF(AND($C138,ISNUMBER($AV138)),$BJ138*1000000+$AV138*1000+ROW(),"")</f>
      </c>
      <c r="BL138" s="202">
        <f>IF(AND($C138,ISNUMBER($AW138)),ROUND(($AW138-('Sprints'!$C$5+('Sprints'!$E$5-1)*'Sprints'!$D$5))/'Sprints'!$D$5,0),"")</f>
      </c>
      <c r="BM138" s="203">
        <f>IF($C138,IF(NOT(ISNUMBER($BL138)),"",IF($BL138&lt;0,"Pasada",IF($BL138=0,"Actual",IF($BL138=1,"Siguiente",IF($BL138=2,"+2 sem",IF($BL138=3,"+3 sem","Posterior")))))),"")</f>
      </c>
      <c r="BN138" s="202">
        <f>IF(AND($C138,ISNUMBER($AR138),ISNUMBER($AV138)),MAX(1,$AV138-$AR138+1),0)</f>
        <v>0</v>
      </c>
      <c r="BO138" s="202">
        <f>SUM($BN$7:$BN138)-$BN138</f>
        <v>26</v>
      </c>
      <c r="BP138" s="202">
        <f>IF(AND($C138,ISNUMBER($AV138)),$AQ138+$AV138*$AP138*'Sprints'!$D$5-'Sprints'!$D$5,"")</f>
      </c>
      <c r="BQ138" s="202">
        <f>IF(AND($C138,ISNUMBER($BP138)),$BP138*1000+ROW(),"")</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IF($C139,IF('Backlog General'!$G139="Completada",1,IF('Backlog General'!$G139="Casi lista",0.75,IF('Backlog General'!$G139="En progreso",0.5,IF('Backlog General'!$G139="Iniciada",0.25,0)))),"")</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IF($C139,IF(ISBLANK('Backlog General'!$K139),"",'Backlog General'!$K139),"")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IF(AND($C139,ISNUMBER($AR139)),IF(AND(ISNUMBER('Backlog General'!$M139),'Backlog General'!$M139&gt;=$AR139),'Backlog General'!$M139,IF(AND($AU139="Pasa al siguiente",$AT139&lt;&gt;"Completada"),$AR139+1,$AR139)),"")</f>
      </c>
      <c r="AW139" s="202">
        <f>IF(AND($C139,ISNUMBER($AR139)),$AQ139+$AR139*$AP139*'Sprints'!$D$5-'Sprints'!$D$5,"")</f>
      </c>
      <c r="AX139" s="202">
        <f>IF($C139,IF(OR($AT139="Completada",$AU139="Cancelado",$AU139="Baja prioridad",NOT(ISNUMBER($AW139))),0,IF(TODAY()&gt;$AW139,NETWORKDAYS($AW139,TODAY(),'Sprints'!$L$5:$L$40)-1,0)),"")</f>
      </c>
      <c r="AY139" s="203">
        <f>IF($C139,IF(NOT(ISNUMBER($AR139)),"Sin fecha",IF($AT139="Completada","Completada",IF($AU139="Cancelado","Cancelado",IF($AU139="Baja prioridad","Baja prioridad",IF($AX139&gt;0,"Vencida","En curso"))))),"")</f>
      </c>
      <c r="AZ139" s="203">
        <f>IF($C139,IF(ISNUMBER($AV139),$AO139&amp;" · S"&amp;$AV139,"(Sin fecha)"),"")</f>
      </c>
      <c r="BA139" s="202">
        <f>IF(AND($C139,ISNUMBER($AR139),$AR139=$AS139),"Nuevo","")</f>
      </c>
      <c r="BB139" s="202">
        <f>IF(AND($C139,$AO139="Semanal",ISNUMBER($AV139)),$AV139*100000+ROW(),"")</f>
      </c>
      <c r="BC139" s="202">
        <f>IF(AND($C139,$AO139="Quincenal",ISNUMBER($AV139)),$AV139*100000+ROW(),"")</f>
      </c>
      <c r="BD139" s="202">
        <f>IF(AND($C139,$AO139="Mensual",ISNUMBER($AV139)),$AV139*100000+ROW(),"")</f>
      </c>
      <c r="BE139" s="203">
        <f>IF($C139,IF(ISBLANK('Backlog General'!$J139),"",'Backlog General'!$J139),"")</f>
      </c>
      <c r="BF139" s="203">
        <f>IF($C139,IF($BE139="","",$BE139)&amp;IF(AND($BE139&lt;&gt;"",$AH139&lt;&gt;"")," · ","")&amp;IF($AH139="","",$AH139),"")</f>
      </c>
      <c r="BG139" s="203">
        <f>IF($C139,IF($J139="Completado","Sí","No"),"")</f>
      </c>
      <c r="BH139" s="202">
        <f>IF(AND($C139,ISNUMBER($AR139)),IF($AO139="Semanal",1,IF($AO139="Quincenal",2,3))*1000000000+$AR139*100000+ROW(),"")</f>
      </c>
      <c r="BI139" s="202">
        <f>IF($C139,IF($AU139="Cancelado","",$I139),"")</f>
      </c>
      <c r="BJ139" s="202">
        <f>IF($C139,IFERROR(MATCH($D139,$D$7:$D$200,0)+6,ROW()),"")</f>
      </c>
      <c r="BK139" s="202">
        <f>IF(AND($C139,ISNUMBER($AV139)),$BJ139*1000000+$AV139*1000+ROW(),"")</f>
      </c>
      <c r="BL139" s="202">
        <f>IF(AND($C139,ISNUMBER($AW139)),ROUND(($AW139-('Sprints'!$C$5+('Sprints'!$E$5-1)*'Sprints'!$D$5))/'Sprints'!$D$5,0),"")</f>
      </c>
      <c r="BM139" s="203">
        <f>IF($C139,IF(NOT(ISNUMBER($BL139)),"",IF($BL139&lt;0,"Pasada",IF($BL139=0,"Actual",IF($BL139=1,"Siguiente",IF($BL139=2,"+2 sem",IF($BL139=3,"+3 sem","Posterior")))))),"")</f>
      </c>
      <c r="BN139" s="202">
        <f>IF(AND($C139,ISNUMBER($AR139),ISNUMBER($AV139)),MAX(1,$AV139-$AR139+1),0)</f>
        <v>0</v>
      </c>
      <c r="BO139" s="202">
        <f>SUM($BN$7:$BN139)-$BN139</f>
        <v>26</v>
      </c>
      <c r="BP139" s="202">
        <f>IF(AND($C139,ISNUMBER($AV139)),$AQ139+$AV139*$AP139*'Sprints'!$D$5-'Sprints'!$D$5,"")</f>
      </c>
      <c r="BQ139" s="202">
        <f>IF(AND($C139,ISNUMBER($BP139)),$BP139*1000+ROW(),"")</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IF($C140,IF('Backlog General'!$G140="Completada",1,IF('Backlog General'!$G140="Casi lista",0.75,IF('Backlog General'!$G140="En progreso",0.5,IF('Backlog General'!$G140="Iniciada",0.25,0)))),"")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IF($C140,IF(ISBLANK('Backlog General'!$K140),"",'Backlog General'!$K140),"")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IF(AND($C140,ISNUMBER($AR140)),IF(AND(ISNUMBER('Backlog General'!$M140),'Backlog General'!$M140&gt;=$AR140),'Backlog General'!$M140,IF(AND($AU140="Pasa al siguiente",$AT140&lt;&gt;"Completada"),$AR140+1,$AR140)),"")</f>
      </c>
      <c r="AW140" s="202">
        <f>IF(AND($C140,ISNUMBER($AR140)),$AQ140+$AR140*$AP140*'Sprints'!$D$5-'Sprints'!$D$5,"")</f>
      </c>
      <c r="AX140" s="202">
        <f>IF($C140,IF(OR($AT140="Completada",$AU140="Cancelado",$AU140="Baja prioridad",NOT(ISNUMBER($AW140))),0,IF(TODAY()&gt;$AW140,NETWORKDAYS($AW140,TODAY(),'Sprints'!$L$5:$L$40)-1,0)),"")</f>
      </c>
      <c r="AY140" s="203">
        <f>IF($C140,IF(NOT(ISNUMBER($AR140)),"Sin fecha",IF($AT140="Completada","Completada",IF($AU140="Cancelado","Cancelado",IF($AU140="Baja prioridad","Baja prioridad",IF($AX140&gt;0,"Vencida","En curso"))))),"")</f>
      </c>
      <c r="AZ140" s="203">
        <f>IF($C140,IF(ISNUMBER($AV140),$AO140&amp;" · S"&amp;$AV140,"(Sin fecha)"),"")</f>
      </c>
      <c r="BA140" s="202">
        <f>IF(AND($C140,ISNUMBER($AR140),$AR140=$AS140),"Nuevo","")</f>
      </c>
      <c r="BB140" s="202">
        <f>IF(AND($C140,$AO140="Semanal",ISNUMBER($AV140)),$AV140*100000+ROW(),"")</f>
      </c>
      <c r="BC140" s="202">
        <f>IF(AND($C140,$AO140="Quincenal",ISNUMBER($AV140)),$AV140*100000+ROW(),"")</f>
      </c>
      <c r="BD140" s="202">
        <f>IF(AND($C140,$AO140="Mensual",ISNUMBER($AV140)),$AV140*100000+ROW(),"")</f>
      </c>
      <c r="BE140" s="203">
        <f>IF($C140,IF(ISBLANK('Backlog General'!$J140),"",'Backlog General'!$J140),"")</f>
      </c>
      <c r="BF140" s="203">
        <f>IF($C140,IF($BE140="","",$BE140)&amp;IF(AND($BE140&lt;&gt;"",$AH140&lt;&gt;"")," · ","")&amp;IF($AH140="","",$AH140),"")</f>
      </c>
      <c r="BG140" s="203">
        <f>IF($C140,IF($J140="Completado","Sí","No"),"")</f>
      </c>
      <c r="BH140" s="202">
        <f>IF(AND($C140,ISNUMBER($AR140)),IF($AO140="Semanal",1,IF($AO140="Quincenal",2,3))*1000000000+$AR140*100000+ROW(),"")</f>
      </c>
      <c r="BI140" s="202">
        <f>IF($C140,IF($AU140="Cancelado","",$I140),"")</f>
      </c>
      <c r="BJ140" s="202">
        <f>IF($C140,IFERROR(MATCH($D140,$D$7:$D$200,0)+6,ROW()),"")</f>
      </c>
      <c r="BK140" s="202">
        <f>IF(AND($C140,ISNUMBER($AV140)),$BJ140*1000000+$AV140*1000+ROW(),"")</f>
      </c>
      <c r="BL140" s="202">
        <f>IF(AND($C140,ISNUMBER($AW140)),ROUND(($AW140-('Sprints'!$C$5+('Sprints'!$E$5-1)*'Sprints'!$D$5))/'Sprints'!$D$5,0),"")</f>
      </c>
      <c r="BM140" s="203">
        <f>IF($C140,IF(NOT(ISNUMBER($BL140)),"",IF($BL140&lt;0,"Pasada",IF($BL140=0,"Actual",IF($BL140=1,"Siguiente",IF($BL140=2,"+2 sem",IF($BL140=3,"+3 sem","Posterior")))))),"")</f>
      </c>
      <c r="BN140" s="202">
        <f>IF(AND($C140,ISNUMBER($AR140),ISNUMBER($AV140)),MAX(1,$AV140-$AR140+1),0)</f>
        <v>0</v>
      </c>
      <c r="BO140" s="202">
        <f>SUM($BN$7:$BN140)-$BN140</f>
        <v>26</v>
      </c>
      <c r="BP140" s="202">
        <f>IF(AND($C140,ISNUMBER($AV140)),$AQ140+$AV140*$AP140*'Sprints'!$D$5-'Sprints'!$D$5,"")</f>
      </c>
      <c r="BQ140" s="202">
        <f>IF(AND($C140,ISNUMBER($BP140)),$BP140*1000+ROW(),"")</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IF($C141,IF('Backlog General'!$G141="Completada",1,IF('Backlog General'!$G141="Casi lista",0.75,IF('Backlog General'!$G141="En progreso",0.5,IF('Backlog General'!$G141="Iniciada",0.25,0)))),"")</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IF($C141,IF(ISBLANK('Backlog General'!$K141),"",'Backlog General'!$K141),"")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IF(AND($C141,ISNUMBER($AR141)),IF(AND(ISNUMBER('Backlog General'!$M141),'Backlog General'!$M141&gt;=$AR141),'Backlog General'!$M141,IF(AND($AU141="Pasa al siguiente",$AT141&lt;&gt;"Completada"),$AR141+1,$AR141)),"")</f>
      </c>
      <c r="AW141" s="202">
        <f>IF(AND($C141,ISNUMBER($AR141)),$AQ141+$AR141*$AP141*'Sprints'!$D$5-'Sprints'!$D$5,"")</f>
      </c>
      <c r="AX141" s="202">
        <f>IF($C141,IF(OR($AT141="Completada",$AU141="Cancelado",$AU141="Baja prioridad",NOT(ISNUMBER($AW141))),0,IF(TODAY()&gt;$AW141,NETWORKDAYS($AW141,TODAY(),'Sprints'!$L$5:$L$40)-1,0)),"")</f>
      </c>
      <c r="AY141" s="203">
        <f>IF($C141,IF(NOT(ISNUMBER($AR141)),"Sin fecha",IF($AT141="Completada","Completada",IF($AU141="Cancelado","Cancelado",IF($AU141="Baja prioridad","Baja prioridad",IF($AX141&gt;0,"Vencida","En curso"))))),"")</f>
      </c>
      <c r="AZ141" s="203">
        <f>IF($C141,IF(ISNUMBER($AV141),$AO141&amp;" · S"&amp;$AV141,"(Sin fecha)"),"")</f>
      </c>
      <c r="BA141" s="202">
        <f>IF(AND($C141,ISNUMBER($AR141),$AR141=$AS141),"Nuevo","")</f>
      </c>
      <c r="BB141" s="202">
        <f>IF(AND($C141,$AO141="Semanal",ISNUMBER($AV141)),$AV141*100000+ROW(),"")</f>
      </c>
      <c r="BC141" s="202">
        <f>IF(AND($C141,$AO141="Quincenal",ISNUMBER($AV141)),$AV141*100000+ROW(),"")</f>
      </c>
      <c r="BD141" s="202">
        <f>IF(AND($C141,$AO141="Mensual",ISNUMBER($AV141)),$AV141*100000+ROW(),"")</f>
      </c>
      <c r="BE141" s="203">
        <f>IF($C141,IF(ISBLANK('Backlog General'!$J141),"",'Backlog General'!$J141),"")</f>
      </c>
      <c r="BF141" s="203">
        <f>IF($C141,IF($BE141="","",$BE141)&amp;IF(AND($BE141&lt;&gt;"",$AH141&lt;&gt;"")," · ","")&amp;IF($AH141="","",$AH141),"")</f>
      </c>
      <c r="BG141" s="203">
        <f>IF($C141,IF($J141="Completado","Sí","No"),"")</f>
      </c>
      <c r="BH141" s="202">
        <f>IF(AND($C141,ISNUMBER($AR141)),IF($AO141="Semanal",1,IF($AO141="Quincenal",2,3))*1000000000+$AR141*100000+ROW(),"")</f>
      </c>
      <c r="BI141" s="202">
        <f>IF($C141,IF($AU141="Cancelado","",$I141),"")</f>
      </c>
      <c r="BJ141" s="202">
        <f>IF($C141,IFERROR(MATCH($D141,$D$7:$D$200,0)+6,ROW()),"")</f>
      </c>
      <c r="BK141" s="202">
        <f>IF(AND($C141,ISNUMBER($AV141)),$BJ141*1000000+$AV141*1000+ROW(),"")</f>
      </c>
      <c r="BL141" s="202">
        <f>IF(AND($C141,ISNUMBER($AW141)),ROUND(($AW141-('Sprints'!$C$5+('Sprints'!$E$5-1)*'Sprints'!$D$5))/'Sprints'!$D$5,0),"")</f>
      </c>
      <c r="BM141" s="203">
        <f>IF($C141,IF(NOT(ISNUMBER($BL141)),"",IF($BL141&lt;0,"Pasada",IF($BL141=0,"Actual",IF($BL141=1,"Siguiente",IF($BL141=2,"+2 sem",IF($BL141=3,"+3 sem","Posterior")))))),"")</f>
      </c>
      <c r="BN141" s="202">
        <f>IF(AND($C141,ISNUMBER($AR141),ISNUMBER($AV141)),MAX(1,$AV141-$AR141+1),0)</f>
        <v>0</v>
      </c>
      <c r="BO141" s="202">
        <f>SUM($BN$7:$BN141)-$BN141</f>
        <v>26</v>
      </c>
      <c r="BP141" s="202">
        <f>IF(AND($C141,ISNUMBER($AV141)),$AQ141+$AV141*$AP141*'Sprints'!$D$5-'Sprints'!$D$5,"")</f>
      </c>
      <c r="BQ141" s="202">
        <f>IF(AND($C141,ISNUMBER($BP141)),$BP141*1000+ROW(),"")</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IF($C142,IF('Backlog General'!$G142="Completada",1,IF('Backlog General'!$G142="Casi lista",0.75,IF('Backlog General'!$G142="En progreso",0.5,IF('Backlog General'!$G142="Iniciada",0.25,0)))),"")</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IF($C142,IF(ISBLANK('Backlog General'!$K142),"",'Backlog General'!$K142),"")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IF(AND($C142,ISNUMBER($AR142)),IF(AND(ISNUMBER('Backlog General'!$M142),'Backlog General'!$M142&gt;=$AR142),'Backlog General'!$M142,IF(AND($AU142="Pasa al siguiente",$AT142&lt;&gt;"Completada"),$AR142+1,$AR142)),"")</f>
      </c>
      <c r="AW142" s="202">
        <f>IF(AND($C142,ISNUMBER($AR142)),$AQ142+$AR142*$AP142*'Sprints'!$D$5-'Sprints'!$D$5,"")</f>
      </c>
      <c r="AX142" s="202">
        <f>IF($C142,IF(OR($AT142="Completada",$AU142="Cancelado",$AU142="Baja prioridad",NOT(ISNUMBER($AW142))),0,IF(TODAY()&gt;$AW142,NETWORKDAYS($AW142,TODAY(),'Sprints'!$L$5:$L$40)-1,0)),"")</f>
      </c>
      <c r="AY142" s="203">
        <f>IF($C142,IF(NOT(ISNUMBER($AR142)),"Sin fecha",IF($AT142="Completada","Completada",IF($AU142="Cancelado","Cancelado",IF($AU142="Baja prioridad","Baja prioridad",IF($AX142&gt;0,"Vencida","En curso"))))),"")</f>
      </c>
      <c r="AZ142" s="203">
        <f>IF($C142,IF(ISNUMBER($AV142),$AO142&amp;" · S"&amp;$AV142,"(Sin fecha)"),"")</f>
      </c>
      <c r="BA142" s="202">
        <f>IF(AND($C142,ISNUMBER($AR142),$AR142=$AS142),"Nuevo","")</f>
      </c>
      <c r="BB142" s="202">
        <f>IF(AND($C142,$AO142="Semanal",ISNUMBER($AV142)),$AV142*100000+ROW(),"")</f>
      </c>
      <c r="BC142" s="202">
        <f>IF(AND($C142,$AO142="Quincenal",ISNUMBER($AV142)),$AV142*100000+ROW(),"")</f>
      </c>
      <c r="BD142" s="202">
        <f>IF(AND($C142,$AO142="Mensual",ISNUMBER($AV142)),$AV142*100000+ROW(),"")</f>
      </c>
      <c r="BE142" s="203">
        <f>IF($C142,IF(ISBLANK('Backlog General'!$J142),"",'Backlog General'!$J142),"")</f>
      </c>
      <c r="BF142" s="203">
        <f>IF($C142,IF($BE142="","",$BE142)&amp;IF(AND($BE142&lt;&gt;"",$AH142&lt;&gt;"")," · ","")&amp;IF($AH142="","",$AH142),"")</f>
      </c>
      <c r="BG142" s="203">
        <f>IF($C142,IF($J142="Completado","Sí","No"),"")</f>
      </c>
      <c r="BH142" s="202">
        <f>IF(AND($C142,ISNUMBER($AR142)),IF($AO142="Semanal",1,IF($AO142="Quincenal",2,3))*1000000000+$AR142*100000+ROW(),"")</f>
      </c>
      <c r="BI142" s="202">
        <f>IF($C142,IF($AU142="Cancelado","",$I142),"")</f>
      </c>
      <c r="BJ142" s="202">
        <f>IF($C142,IFERROR(MATCH($D142,$D$7:$D$200,0)+6,ROW()),"")</f>
      </c>
      <c r="BK142" s="202">
        <f>IF(AND($C142,ISNUMBER($AV142)),$BJ142*1000000+$AV142*1000+ROW(),"")</f>
      </c>
      <c r="BL142" s="202">
        <f>IF(AND($C142,ISNUMBER($AW142)),ROUND(($AW142-('Sprints'!$C$5+('Sprints'!$E$5-1)*'Sprints'!$D$5))/'Sprints'!$D$5,0),"")</f>
      </c>
      <c r="BM142" s="203">
        <f>IF($C142,IF(NOT(ISNUMBER($BL142)),"",IF($BL142&lt;0,"Pasada",IF($BL142=0,"Actual",IF($BL142=1,"Siguiente",IF($BL142=2,"+2 sem",IF($BL142=3,"+3 sem","Posterior")))))),"")</f>
      </c>
      <c r="BN142" s="202">
        <f>IF(AND($C142,ISNUMBER($AR142),ISNUMBER($AV142)),MAX(1,$AV142-$AR142+1),0)</f>
        <v>0</v>
      </c>
      <c r="BO142" s="202">
        <f>SUM($BN$7:$BN142)-$BN142</f>
        <v>26</v>
      </c>
      <c r="BP142" s="202">
        <f>IF(AND($C142,ISNUMBER($AV142)),$AQ142+$AV142*$AP142*'Sprints'!$D$5-'Sprints'!$D$5,"")</f>
      </c>
      <c r="BQ142" s="202">
        <f>IF(AND($C142,ISNUMBER($BP142)),$BP142*1000+ROW(),"")</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IF($C143,IF('Backlog General'!$G143="Completada",1,IF('Backlog General'!$G143="Casi lista",0.75,IF('Backlog General'!$G143="En progreso",0.5,IF('Backlog General'!$G143="Iniciada",0.25,0)))),"")</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IF($C143,IF(ISBLANK('Backlog General'!$K143),"",'Backlog General'!$K143),"")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IF(AND($C143,ISNUMBER($AR143)),IF(AND(ISNUMBER('Backlog General'!$M143),'Backlog General'!$M143&gt;=$AR143),'Backlog General'!$M143,IF(AND($AU143="Pasa al siguiente",$AT143&lt;&gt;"Completada"),$AR143+1,$AR143)),"")</f>
      </c>
      <c r="AW143" s="202">
        <f>IF(AND($C143,ISNUMBER($AR143)),$AQ143+$AR143*$AP143*'Sprints'!$D$5-'Sprints'!$D$5,"")</f>
      </c>
      <c r="AX143" s="202">
        <f>IF($C143,IF(OR($AT143="Completada",$AU143="Cancelado",$AU143="Baja prioridad",NOT(ISNUMBER($AW143))),0,IF(TODAY()&gt;$AW143,NETWORKDAYS($AW143,TODAY(),'Sprints'!$L$5:$L$40)-1,0)),"")</f>
      </c>
      <c r="AY143" s="203">
        <f>IF($C143,IF(NOT(ISNUMBER($AR143)),"Sin fecha",IF($AT143="Completada","Completada",IF($AU143="Cancelado","Cancelado",IF($AU143="Baja prioridad","Baja prioridad",IF($AX143&gt;0,"Vencida","En curso"))))),"")</f>
      </c>
      <c r="AZ143" s="203">
        <f>IF($C143,IF(ISNUMBER($AV143),$AO143&amp;" · S"&amp;$AV143,"(Sin fecha)"),"")</f>
      </c>
      <c r="BA143" s="202">
        <f>IF(AND($C143,ISNUMBER($AR143),$AR143=$AS143),"Nuevo","")</f>
      </c>
      <c r="BB143" s="202">
        <f>IF(AND($C143,$AO143="Semanal",ISNUMBER($AV143)),$AV143*100000+ROW(),"")</f>
      </c>
      <c r="BC143" s="202">
        <f>IF(AND($C143,$AO143="Quincenal",ISNUMBER($AV143)),$AV143*100000+ROW(),"")</f>
      </c>
      <c r="BD143" s="202">
        <f>IF(AND($C143,$AO143="Mensual",ISNUMBER($AV143)),$AV143*100000+ROW(),"")</f>
      </c>
      <c r="BE143" s="203">
        <f>IF($C143,IF(ISBLANK('Backlog General'!$J143),"",'Backlog General'!$J143),"")</f>
      </c>
      <c r="BF143" s="203">
        <f>IF($C143,IF($BE143="","",$BE143)&amp;IF(AND($BE143&lt;&gt;"",$AH143&lt;&gt;"")," · ","")&amp;IF($AH143="","",$AH143),"")</f>
      </c>
      <c r="BG143" s="203">
        <f>IF($C143,IF($J143="Completado","Sí","No"),"")</f>
      </c>
      <c r="BH143" s="202">
        <f>IF(AND($C143,ISNUMBER($AR143)),IF($AO143="Semanal",1,IF($AO143="Quincenal",2,3))*1000000000+$AR143*100000+ROW(),"")</f>
      </c>
      <c r="BI143" s="202">
        <f>IF($C143,IF($AU143="Cancelado","",$I143),"")</f>
      </c>
      <c r="BJ143" s="202">
        <f>IF($C143,IFERROR(MATCH($D143,$D$7:$D$200,0)+6,ROW()),"")</f>
      </c>
      <c r="BK143" s="202">
        <f>IF(AND($C143,ISNUMBER($AV143)),$BJ143*1000000+$AV143*1000+ROW(),"")</f>
      </c>
      <c r="BL143" s="202">
        <f>IF(AND($C143,ISNUMBER($AW143)),ROUND(($AW143-('Sprints'!$C$5+('Sprints'!$E$5-1)*'Sprints'!$D$5))/'Sprints'!$D$5,0),"")</f>
      </c>
      <c r="BM143" s="203">
        <f>IF($C143,IF(NOT(ISNUMBER($BL143)),"",IF($BL143&lt;0,"Pasada",IF($BL143=0,"Actual",IF($BL143=1,"Siguiente",IF($BL143=2,"+2 sem",IF($BL143=3,"+3 sem","Posterior")))))),"")</f>
      </c>
      <c r="BN143" s="202">
        <f>IF(AND($C143,ISNUMBER($AR143),ISNUMBER($AV143)),MAX(1,$AV143-$AR143+1),0)</f>
        <v>0</v>
      </c>
      <c r="BO143" s="202">
        <f>SUM($BN$7:$BN143)-$BN143</f>
        <v>26</v>
      </c>
      <c r="BP143" s="202">
        <f>IF(AND($C143,ISNUMBER($AV143)),$AQ143+$AV143*$AP143*'Sprints'!$D$5-'Sprints'!$D$5,"")</f>
      </c>
      <c r="BQ143" s="202">
        <f>IF(AND($C143,ISNUMBER($BP143)),$BP143*1000+ROW(),"")</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IF($C144,IF('Backlog General'!$G144="Completada",1,IF('Backlog General'!$G144="Casi lista",0.75,IF('Backlog General'!$G144="En progreso",0.5,IF('Backlog General'!$G144="Iniciada",0.25,0)))),"")</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IF($C144,IF(ISBLANK('Backlog General'!$K144),"",'Backlog General'!$K144),"")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IF(AND($C144,ISNUMBER($AR144)),IF(AND(ISNUMBER('Backlog General'!$M144),'Backlog General'!$M144&gt;=$AR144),'Backlog General'!$M144,IF(AND($AU144="Pasa al siguiente",$AT144&lt;&gt;"Completada"),$AR144+1,$AR144)),"")</f>
      </c>
      <c r="AW144" s="202">
        <f>IF(AND($C144,ISNUMBER($AR144)),$AQ144+$AR144*$AP144*'Sprints'!$D$5-'Sprints'!$D$5,"")</f>
      </c>
      <c r="AX144" s="202">
        <f>IF($C144,IF(OR($AT144="Completada",$AU144="Cancelado",$AU144="Baja prioridad",NOT(ISNUMBER($AW144))),0,IF(TODAY()&gt;$AW144,NETWORKDAYS($AW144,TODAY(),'Sprints'!$L$5:$L$40)-1,0)),"")</f>
      </c>
      <c r="AY144" s="203">
        <f>IF($C144,IF(NOT(ISNUMBER($AR144)),"Sin fecha",IF($AT144="Completada","Completada",IF($AU144="Cancelado","Cancelado",IF($AU144="Baja prioridad","Baja prioridad",IF($AX144&gt;0,"Vencida","En curso"))))),"")</f>
      </c>
      <c r="AZ144" s="203">
        <f>IF($C144,IF(ISNUMBER($AV144),$AO144&amp;" · S"&amp;$AV144,"(Sin fecha)"),"")</f>
      </c>
      <c r="BA144" s="202">
        <f>IF(AND($C144,ISNUMBER($AR144),$AR144=$AS144),"Nuevo","")</f>
      </c>
      <c r="BB144" s="202">
        <f>IF(AND($C144,$AO144="Semanal",ISNUMBER($AV144)),$AV144*100000+ROW(),"")</f>
      </c>
      <c r="BC144" s="202">
        <f>IF(AND($C144,$AO144="Quincenal",ISNUMBER($AV144)),$AV144*100000+ROW(),"")</f>
      </c>
      <c r="BD144" s="202">
        <f>IF(AND($C144,$AO144="Mensual",ISNUMBER($AV144)),$AV144*100000+ROW(),"")</f>
      </c>
      <c r="BE144" s="203">
        <f>IF($C144,IF(ISBLANK('Backlog General'!$J144),"",'Backlog General'!$J144),"")</f>
      </c>
      <c r="BF144" s="203">
        <f>IF($C144,IF($BE144="","",$BE144)&amp;IF(AND($BE144&lt;&gt;"",$AH144&lt;&gt;"")," · ","")&amp;IF($AH144="","",$AH144),"")</f>
      </c>
      <c r="BG144" s="203">
        <f>IF($C144,IF($J144="Completado","Sí","No"),"")</f>
      </c>
      <c r="BH144" s="202">
        <f>IF(AND($C144,ISNUMBER($AR144)),IF($AO144="Semanal",1,IF($AO144="Quincenal",2,3))*1000000000+$AR144*100000+ROW(),"")</f>
      </c>
      <c r="BI144" s="202">
        <f>IF($C144,IF($AU144="Cancelado","",$I144),"")</f>
      </c>
      <c r="BJ144" s="202">
        <f>IF($C144,IFERROR(MATCH($D144,$D$7:$D$200,0)+6,ROW()),"")</f>
      </c>
      <c r="BK144" s="202">
        <f>IF(AND($C144,ISNUMBER($AV144)),$BJ144*1000000+$AV144*1000+ROW(),"")</f>
      </c>
      <c r="BL144" s="202">
        <f>IF(AND($C144,ISNUMBER($AW144)),ROUND(($AW144-('Sprints'!$C$5+('Sprints'!$E$5-1)*'Sprints'!$D$5))/'Sprints'!$D$5,0),"")</f>
      </c>
      <c r="BM144" s="203">
        <f>IF($C144,IF(NOT(ISNUMBER($BL144)),"",IF($BL144&lt;0,"Pasada",IF($BL144=0,"Actual",IF($BL144=1,"Siguiente",IF($BL144=2,"+2 sem",IF($BL144=3,"+3 sem","Posterior")))))),"")</f>
      </c>
      <c r="BN144" s="202">
        <f>IF(AND($C144,ISNUMBER($AR144),ISNUMBER($AV144)),MAX(1,$AV144-$AR144+1),0)</f>
        <v>0</v>
      </c>
      <c r="BO144" s="202">
        <f>SUM($BN$7:$BN144)-$BN144</f>
        <v>26</v>
      </c>
      <c r="BP144" s="202">
        <f>IF(AND($C144,ISNUMBER($AV144)),$AQ144+$AV144*$AP144*'Sprints'!$D$5-'Sprints'!$D$5,"")</f>
      </c>
      <c r="BQ144" s="202">
        <f>IF(AND($C144,ISNUMBER($BP144)),$BP144*1000+ROW(),"")</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IF($C145,IF('Backlog General'!$G145="Completada",1,IF('Backlog General'!$G145="Casi lista",0.75,IF('Backlog General'!$G145="En progreso",0.5,IF('Backlog General'!$G145="Iniciada",0.25,0)))),"")</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IF($C145,IF(ISBLANK('Backlog General'!$K145),"",'Backlog General'!$K145),"")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IF(AND($C145,ISNUMBER($AR145)),IF(AND(ISNUMBER('Backlog General'!$M145),'Backlog General'!$M145&gt;=$AR145),'Backlog General'!$M145,IF(AND($AU145="Pasa al siguiente",$AT145&lt;&gt;"Completada"),$AR145+1,$AR145)),"")</f>
      </c>
      <c r="AW145" s="202">
        <f>IF(AND($C145,ISNUMBER($AR145)),$AQ145+$AR145*$AP145*'Sprints'!$D$5-'Sprints'!$D$5,"")</f>
      </c>
      <c r="AX145" s="202">
        <f>IF($C145,IF(OR($AT145="Completada",$AU145="Cancelado",$AU145="Baja prioridad",NOT(ISNUMBER($AW145))),0,IF(TODAY()&gt;$AW145,NETWORKDAYS($AW145,TODAY(),'Sprints'!$L$5:$L$40)-1,0)),"")</f>
      </c>
      <c r="AY145" s="203">
        <f>IF($C145,IF(NOT(ISNUMBER($AR145)),"Sin fecha",IF($AT145="Completada","Completada",IF($AU145="Cancelado","Cancelado",IF($AU145="Baja prioridad","Baja prioridad",IF($AX145&gt;0,"Vencida","En curso"))))),"")</f>
      </c>
      <c r="AZ145" s="203">
        <f>IF($C145,IF(ISNUMBER($AV145),$AO145&amp;" · S"&amp;$AV145,"(Sin fecha)"),"")</f>
      </c>
      <c r="BA145" s="202">
        <f>IF(AND($C145,ISNUMBER($AR145),$AR145=$AS145),"Nuevo","")</f>
      </c>
      <c r="BB145" s="202">
        <f>IF(AND($C145,$AO145="Semanal",ISNUMBER($AV145)),$AV145*100000+ROW(),"")</f>
      </c>
      <c r="BC145" s="202">
        <f>IF(AND($C145,$AO145="Quincenal",ISNUMBER($AV145)),$AV145*100000+ROW(),"")</f>
      </c>
      <c r="BD145" s="202">
        <f>IF(AND($C145,$AO145="Mensual",ISNUMBER($AV145)),$AV145*100000+ROW(),"")</f>
      </c>
      <c r="BE145" s="203">
        <f>IF($C145,IF(ISBLANK('Backlog General'!$J145),"",'Backlog General'!$J145),"")</f>
      </c>
      <c r="BF145" s="203">
        <f>IF($C145,IF($BE145="","",$BE145)&amp;IF(AND($BE145&lt;&gt;"",$AH145&lt;&gt;"")," · ","")&amp;IF($AH145="","",$AH145),"")</f>
      </c>
      <c r="BG145" s="203">
        <f>IF($C145,IF($J145="Completado","Sí","No"),"")</f>
      </c>
      <c r="BH145" s="202">
        <f>IF(AND($C145,ISNUMBER($AR145)),IF($AO145="Semanal",1,IF($AO145="Quincenal",2,3))*1000000000+$AR145*100000+ROW(),"")</f>
      </c>
      <c r="BI145" s="202">
        <f>IF($C145,IF($AU145="Cancelado","",$I145),"")</f>
      </c>
      <c r="BJ145" s="202">
        <f>IF($C145,IFERROR(MATCH($D145,$D$7:$D$200,0)+6,ROW()),"")</f>
      </c>
      <c r="BK145" s="202">
        <f>IF(AND($C145,ISNUMBER($AV145)),$BJ145*1000000+$AV145*1000+ROW(),"")</f>
      </c>
      <c r="BL145" s="202">
        <f>IF(AND($C145,ISNUMBER($AW145)),ROUND(($AW145-('Sprints'!$C$5+('Sprints'!$E$5-1)*'Sprints'!$D$5))/'Sprints'!$D$5,0),"")</f>
      </c>
      <c r="BM145" s="203">
        <f>IF($C145,IF(NOT(ISNUMBER($BL145)),"",IF($BL145&lt;0,"Pasada",IF($BL145=0,"Actual",IF($BL145=1,"Siguiente",IF($BL145=2,"+2 sem",IF($BL145=3,"+3 sem","Posterior")))))),"")</f>
      </c>
      <c r="BN145" s="202">
        <f>IF(AND($C145,ISNUMBER($AR145),ISNUMBER($AV145)),MAX(1,$AV145-$AR145+1),0)</f>
        <v>0</v>
      </c>
      <c r="BO145" s="202">
        <f>SUM($BN$7:$BN145)-$BN145</f>
        <v>26</v>
      </c>
      <c r="BP145" s="202">
        <f>IF(AND($C145,ISNUMBER($AV145)),$AQ145+$AV145*$AP145*'Sprints'!$D$5-'Sprints'!$D$5,"")</f>
      </c>
      <c r="BQ145" s="202">
        <f>IF(AND($C145,ISNUMBER($BP145)),$BP145*1000+ROW(),"")</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IF($C146,IF('Backlog General'!$G146="Completada",1,IF('Backlog General'!$G146="Casi lista",0.75,IF('Backlog General'!$G146="En progreso",0.5,IF('Backlog General'!$G146="Iniciada",0.25,0)))),"")</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IF($C146,IF(ISBLANK('Backlog General'!$K146),"",'Backlog General'!$K146),"")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IF(AND($C146,ISNUMBER($AR146)),IF(AND(ISNUMBER('Backlog General'!$M146),'Backlog General'!$M146&gt;=$AR146),'Backlog General'!$M146,IF(AND($AU146="Pasa al siguiente",$AT146&lt;&gt;"Completada"),$AR146+1,$AR146)),"")</f>
      </c>
      <c r="AW146" s="202">
        <f>IF(AND($C146,ISNUMBER($AR146)),$AQ146+$AR146*$AP146*'Sprints'!$D$5-'Sprints'!$D$5,"")</f>
      </c>
      <c r="AX146" s="202">
        <f>IF($C146,IF(OR($AT146="Completada",$AU146="Cancelado",$AU146="Baja prioridad",NOT(ISNUMBER($AW146))),0,IF(TODAY()&gt;$AW146,NETWORKDAYS($AW146,TODAY(),'Sprints'!$L$5:$L$40)-1,0)),"")</f>
      </c>
      <c r="AY146" s="203">
        <f>IF($C146,IF(NOT(ISNUMBER($AR146)),"Sin fecha",IF($AT146="Completada","Completada",IF($AU146="Cancelado","Cancelado",IF($AU146="Baja prioridad","Baja prioridad",IF($AX146&gt;0,"Vencida","En curso"))))),"")</f>
      </c>
      <c r="AZ146" s="203">
        <f>IF($C146,IF(ISNUMBER($AV146),$AO146&amp;" · S"&amp;$AV146,"(Sin fecha)"),"")</f>
      </c>
      <c r="BA146" s="202">
        <f>IF(AND($C146,ISNUMBER($AR146),$AR146=$AS146),"Nuevo","")</f>
      </c>
      <c r="BB146" s="202">
        <f>IF(AND($C146,$AO146="Semanal",ISNUMBER($AV146)),$AV146*100000+ROW(),"")</f>
      </c>
      <c r="BC146" s="202">
        <f>IF(AND($C146,$AO146="Quincenal",ISNUMBER($AV146)),$AV146*100000+ROW(),"")</f>
      </c>
      <c r="BD146" s="202">
        <f>IF(AND($C146,$AO146="Mensual",ISNUMBER($AV146)),$AV146*100000+ROW(),"")</f>
      </c>
      <c r="BE146" s="203">
        <f>IF($C146,IF(ISBLANK('Backlog General'!$J146),"",'Backlog General'!$J146),"")</f>
      </c>
      <c r="BF146" s="203">
        <f>IF($C146,IF($BE146="","",$BE146)&amp;IF(AND($BE146&lt;&gt;"",$AH146&lt;&gt;"")," · ","")&amp;IF($AH146="","",$AH146),"")</f>
      </c>
      <c r="BG146" s="203">
        <f>IF($C146,IF($J146="Completado","Sí","No"),"")</f>
      </c>
      <c r="BH146" s="202">
        <f>IF(AND($C146,ISNUMBER($AR146)),IF($AO146="Semanal",1,IF($AO146="Quincenal",2,3))*1000000000+$AR146*100000+ROW(),"")</f>
      </c>
      <c r="BI146" s="202">
        <f>IF($C146,IF($AU146="Cancelado","",$I146),"")</f>
      </c>
      <c r="BJ146" s="202">
        <f>IF($C146,IFERROR(MATCH($D146,$D$7:$D$200,0)+6,ROW()),"")</f>
      </c>
      <c r="BK146" s="202">
        <f>IF(AND($C146,ISNUMBER($AV146)),$BJ146*1000000+$AV146*1000+ROW(),"")</f>
      </c>
      <c r="BL146" s="202">
        <f>IF(AND($C146,ISNUMBER($AW146)),ROUND(($AW146-('Sprints'!$C$5+('Sprints'!$E$5-1)*'Sprints'!$D$5))/'Sprints'!$D$5,0),"")</f>
      </c>
      <c r="BM146" s="203">
        <f>IF($C146,IF(NOT(ISNUMBER($BL146)),"",IF($BL146&lt;0,"Pasada",IF($BL146=0,"Actual",IF($BL146=1,"Siguiente",IF($BL146=2,"+2 sem",IF($BL146=3,"+3 sem","Posterior")))))),"")</f>
      </c>
      <c r="BN146" s="202">
        <f>IF(AND($C146,ISNUMBER($AR146),ISNUMBER($AV146)),MAX(1,$AV146-$AR146+1),0)</f>
        <v>0</v>
      </c>
      <c r="BO146" s="202">
        <f>SUM($BN$7:$BN146)-$BN146</f>
        <v>26</v>
      </c>
      <c r="BP146" s="202">
        <f>IF(AND($C146,ISNUMBER($AV146)),$AQ146+$AV146*$AP146*'Sprints'!$D$5-'Sprints'!$D$5,"")</f>
      </c>
      <c r="BQ146" s="202">
        <f>IF(AND($C146,ISNUMBER($BP146)),$BP146*1000+ROW(),"")</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IF($C147,IF('Backlog General'!$G147="Completada",1,IF('Backlog General'!$G147="Casi lista",0.75,IF('Backlog General'!$G147="En progreso",0.5,IF('Backlog General'!$G147="Iniciada",0.25,0)))),"")</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IF($C147,IF(ISBLANK('Backlog General'!$K147),"",'Backlog General'!$K147),"")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IF(AND($C147,ISNUMBER($AR147)),IF(AND(ISNUMBER('Backlog General'!$M147),'Backlog General'!$M147&gt;=$AR147),'Backlog General'!$M147,IF(AND($AU147="Pasa al siguiente",$AT147&lt;&gt;"Completada"),$AR147+1,$AR147)),"")</f>
      </c>
      <c r="AW147" s="202">
        <f>IF(AND($C147,ISNUMBER($AR147)),$AQ147+$AR147*$AP147*'Sprints'!$D$5-'Sprints'!$D$5,"")</f>
      </c>
      <c r="AX147" s="202">
        <f>IF($C147,IF(OR($AT147="Completada",$AU147="Cancelado",$AU147="Baja prioridad",NOT(ISNUMBER($AW147))),0,IF(TODAY()&gt;$AW147,NETWORKDAYS($AW147,TODAY(),'Sprints'!$L$5:$L$40)-1,0)),"")</f>
      </c>
      <c r="AY147" s="203">
        <f>IF($C147,IF(NOT(ISNUMBER($AR147)),"Sin fecha",IF($AT147="Completada","Completada",IF($AU147="Cancelado","Cancelado",IF($AU147="Baja prioridad","Baja prioridad",IF($AX147&gt;0,"Vencida","En curso"))))),"")</f>
      </c>
      <c r="AZ147" s="203">
        <f>IF($C147,IF(ISNUMBER($AV147),$AO147&amp;" · S"&amp;$AV147,"(Sin fecha)"),"")</f>
      </c>
      <c r="BA147" s="202">
        <f>IF(AND($C147,ISNUMBER($AR147),$AR147=$AS147),"Nuevo","")</f>
      </c>
      <c r="BB147" s="202">
        <f>IF(AND($C147,$AO147="Semanal",ISNUMBER($AV147)),$AV147*100000+ROW(),"")</f>
      </c>
      <c r="BC147" s="202">
        <f>IF(AND($C147,$AO147="Quincenal",ISNUMBER($AV147)),$AV147*100000+ROW(),"")</f>
      </c>
      <c r="BD147" s="202">
        <f>IF(AND($C147,$AO147="Mensual",ISNUMBER($AV147)),$AV147*100000+ROW(),"")</f>
      </c>
      <c r="BE147" s="203">
        <f>IF($C147,IF(ISBLANK('Backlog General'!$J147),"",'Backlog General'!$J147),"")</f>
      </c>
      <c r="BF147" s="203">
        <f>IF($C147,IF($BE147="","",$BE147)&amp;IF(AND($BE147&lt;&gt;"",$AH147&lt;&gt;"")," · ","")&amp;IF($AH147="","",$AH147),"")</f>
      </c>
      <c r="BG147" s="203">
        <f>IF($C147,IF($J147="Completado","Sí","No"),"")</f>
      </c>
      <c r="BH147" s="202">
        <f>IF(AND($C147,ISNUMBER($AR147)),IF($AO147="Semanal",1,IF($AO147="Quincenal",2,3))*1000000000+$AR147*100000+ROW(),"")</f>
      </c>
      <c r="BI147" s="202">
        <f>IF($C147,IF($AU147="Cancelado","",$I147),"")</f>
      </c>
      <c r="BJ147" s="202">
        <f>IF($C147,IFERROR(MATCH($D147,$D$7:$D$200,0)+6,ROW()),"")</f>
      </c>
      <c r="BK147" s="202">
        <f>IF(AND($C147,ISNUMBER($AV147)),$BJ147*1000000+$AV147*1000+ROW(),"")</f>
      </c>
      <c r="BL147" s="202">
        <f>IF(AND($C147,ISNUMBER($AW147)),ROUND(($AW147-('Sprints'!$C$5+('Sprints'!$E$5-1)*'Sprints'!$D$5))/'Sprints'!$D$5,0),"")</f>
      </c>
      <c r="BM147" s="203">
        <f>IF($C147,IF(NOT(ISNUMBER($BL147)),"",IF($BL147&lt;0,"Pasada",IF($BL147=0,"Actual",IF($BL147=1,"Siguiente",IF($BL147=2,"+2 sem",IF($BL147=3,"+3 sem","Posterior")))))),"")</f>
      </c>
      <c r="BN147" s="202">
        <f>IF(AND($C147,ISNUMBER($AR147),ISNUMBER($AV147)),MAX(1,$AV147-$AR147+1),0)</f>
        <v>0</v>
      </c>
      <c r="BO147" s="202">
        <f>SUM($BN$7:$BN147)-$BN147</f>
        <v>26</v>
      </c>
      <c r="BP147" s="202">
        <f>IF(AND($C147,ISNUMBER($AV147)),$AQ147+$AV147*$AP147*'Sprints'!$D$5-'Sprints'!$D$5,"")</f>
      </c>
      <c r="BQ147" s="202">
        <f>IF(AND($C147,ISNUMBER($BP147)),$BP147*1000+ROW(),"")</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IF($C148,IF('Backlog General'!$G148="Completada",1,IF('Backlog General'!$G148="Casi lista",0.75,IF('Backlog General'!$G148="En progreso",0.5,IF('Backlog General'!$G148="Iniciada",0.25,0)))),"")</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IF($C148,IF(ISBLANK('Backlog General'!$K148),"",'Backlog General'!$K148),"")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IF(AND($C148,ISNUMBER($AR148)),IF(AND(ISNUMBER('Backlog General'!$M148),'Backlog General'!$M148&gt;=$AR148),'Backlog General'!$M148,IF(AND($AU148="Pasa al siguiente",$AT148&lt;&gt;"Completada"),$AR148+1,$AR148)),"")</f>
      </c>
      <c r="AW148" s="202">
        <f>IF(AND($C148,ISNUMBER($AR148)),$AQ148+$AR148*$AP148*'Sprints'!$D$5-'Sprints'!$D$5,"")</f>
      </c>
      <c r="AX148" s="202">
        <f>IF($C148,IF(OR($AT148="Completada",$AU148="Cancelado",$AU148="Baja prioridad",NOT(ISNUMBER($AW148))),0,IF(TODAY()&gt;$AW148,NETWORKDAYS($AW148,TODAY(),'Sprints'!$L$5:$L$40)-1,0)),"")</f>
      </c>
      <c r="AY148" s="203">
        <f>IF($C148,IF(NOT(ISNUMBER($AR148)),"Sin fecha",IF($AT148="Completada","Completada",IF($AU148="Cancelado","Cancelado",IF($AU148="Baja prioridad","Baja prioridad",IF($AX148&gt;0,"Vencida","En curso"))))),"")</f>
      </c>
      <c r="AZ148" s="203">
        <f>IF($C148,IF(ISNUMBER($AV148),$AO148&amp;" · S"&amp;$AV148,"(Sin fecha)"),"")</f>
      </c>
      <c r="BA148" s="202">
        <f>IF(AND($C148,ISNUMBER($AR148),$AR148=$AS148),"Nuevo","")</f>
      </c>
      <c r="BB148" s="202">
        <f>IF(AND($C148,$AO148="Semanal",ISNUMBER($AV148)),$AV148*100000+ROW(),"")</f>
      </c>
      <c r="BC148" s="202">
        <f>IF(AND($C148,$AO148="Quincenal",ISNUMBER($AV148)),$AV148*100000+ROW(),"")</f>
      </c>
      <c r="BD148" s="202">
        <f>IF(AND($C148,$AO148="Mensual",ISNUMBER($AV148)),$AV148*100000+ROW(),"")</f>
      </c>
      <c r="BE148" s="203">
        <f>IF($C148,IF(ISBLANK('Backlog General'!$J148),"",'Backlog General'!$J148),"")</f>
      </c>
      <c r="BF148" s="203">
        <f>IF($C148,IF($BE148="","",$BE148)&amp;IF(AND($BE148&lt;&gt;"",$AH148&lt;&gt;"")," · ","")&amp;IF($AH148="","",$AH148),"")</f>
      </c>
      <c r="BG148" s="203">
        <f>IF($C148,IF($J148="Completado","Sí","No"),"")</f>
      </c>
      <c r="BH148" s="202">
        <f>IF(AND($C148,ISNUMBER($AR148)),IF($AO148="Semanal",1,IF($AO148="Quincenal",2,3))*1000000000+$AR148*100000+ROW(),"")</f>
      </c>
      <c r="BI148" s="202">
        <f>IF($C148,IF($AU148="Cancelado","",$I148),"")</f>
      </c>
      <c r="BJ148" s="202">
        <f>IF($C148,IFERROR(MATCH($D148,$D$7:$D$200,0)+6,ROW()),"")</f>
      </c>
      <c r="BK148" s="202">
        <f>IF(AND($C148,ISNUMBER($AV148)),$BJ148*1000000+$AV148*1000+ROW(),"")</f>
      </c>
      <c r="BL148" s="202">
        <f>IF(AND($C148,ISNUMBER($AW148)),ROUND(($AW148-('Sprints'!$C$5+('Sprints'!$E$5-1)*'Sprints'!$D$5))/'Sprints'!$D$5,0),"")</f>
      </c>
      <c r="BM148" s="203">
        <f>IF($C148,IF(NOT(ISNUMBER($BL148)),"",IF($BL148&lt;0,"Pasada",IF($BL148=0,"Actual",IF($BL148=1,"Siguiente",IF($BL148=2,"+2 sem",IF($BL148=3,"+3 sem","Posterior")))))),"")</f>
      </c>
      <c r="BN148" s="202">
        <f>IF(AND($C148,ISNUMBER($AR148),ISNUMBER($AV148)),MAX(1,$AV148-$AR148+1),0)</f>
        <v>0</v>
      </c>
      <c r="BO148" s="202">
        <f>SUM($BN$7:$BN148)-$BN148</f>
        <v>26</v>
      </c>
      <c r="BP148" s="202">
        <f>IF(AND($C148,ISNUMBER($AV148)),$AQ148+$AV148*$AP148*'Sprints'!$D$5-'Sprints'!$D$5,"")</f>
      </c>
      <c r="BQ148" s="202">
        <f>IF(AND($C148,ISNUMBER($BP148)),$BP148*1000+ROW(),"")</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IF($C149,IF('Backlog General'!$G149="Completada",1,IF('Backlog General'!$G149="Casi lista",0.75,IF('Backlog General'!$G149="En progreso",0.5,IF('Backlog General'!$G149="Iniciada",0.25,0)))),"")</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IF($C149,IF(ISBLANK('Backlog General'!$K149),"",'Backlog General'!$K149),"")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IF(AND($C149,ISNUMBER($AR149)),IF(AND(ISNUMBER('Backlog General'!$M149),'Backlog General'!$M149&gt;=$AR149),'Backlog General'!$M149,IF(AND($AU149="Pasa al siguiente",$AT149&lt;&gt;"Completada"),$AR149+1,$AR149)),"")</f>
      </c>
      <c r="AW149" s="202">
        <f>IF(AND($C149,ISNUMBER($AR149)),$AQ149+$AR149*$AP149*'Sprints'!$D$5-'Sprints'!$D$5,"")</f>
      </c>
      <c r="AX149" s="202">
        <f>IF($C149,IF(OR($AT149="Completada",$AU149="Cancelado",$AU149="Baja prioridad",NOT(ISNUMBER($AW149))),0,IF(TODAY()&gt;$AW149,NETWORKDAYS($AW149,TODAY(),'Sprints'!$L$5:$L$40)-1,0)),"")</f>
      </c>
      <c r="AY149" s="203">
        <f>IF($C149,IF(NOT(ISNUMBER($AR149)),"Sin fecha",IF($AT149="Completada","Completada",IF($AU149="Cancelado","Cancelado",IF($AU149="Baja prioridad","Baja prioridad",IF($AX149&gt;0,"Vencida","En curso"))))),"")</f>
      </c>
      <c r="AZ149" s="203">
        <f>IF($C149,IF(ISNUMBER($AV149),$AO149&amp;" · S"&amp;$AV149,"(Sin fecha)"),"")</f>
      </c>
      <c r="BA149" s="202">
        <f>IF(AND($C149,ISNUMBER($AR149),$AR149=$AS149),"Nuevo","")</f>
      </c>
      <c r="BB149" s="202">
        <f>IF(AND($C149,$AO149="Semanal",ISNUMBER($AV149)),$AV149*100000+ROW(),"")</f>
      </c>
      <c r="BC149" s="202">
        <f>IF(AND($C149,$AO149="Quincenal",ISNUMBER($AV149)),$AV149*100000+ROW(),"")</f>
      </c>
      <c r="BD149" s="202">
        <f>IF(AND($C149,$AO149="Mensual",ISNUMBER($AV149)),$AV149*100000+ROW(),"")</f>
      </c>
      <c r="BE149" s="203">
        <f>IF($C149,IF(ISBLANK('Backlog General'!$J149),"",'Backlog General'!$J149),"")</f>
      </c>
      <c r="BF149" s="203">
        <f>IF($C149,IF($BE149="","",$BE149)&amp;IF(AND($BE149&lt;&gt;"",$AH149&lt;&gt;"")," · ","")&amp;IF($AH149="","",$AH149),"")</f>
      </c>
      <c r="BG149" s="203">
        <f>IF($C149,IF($J149="Completado","Sí","No"),"")</f>
      </c>
      <c r="BH149" s="202">
        <f>IF(AND($C149,ISNUMBER($AR149)),IF($AO149="Semanal",1,IF($AO149="Quincenal",2,3))*1000000000+$AR149*100000+ROW(),"")</f>
      </c>
      <c r="BI149" s="202">
        <f>IF($C149,IF($AU149="Cancelado","",$I149),"")</f>
      </c>
      <c r="BJ149" s="202">
        <f>IF($C149,IFERROR(MATCH($D149,$D$7:$D$200,0)+6,ROW()),"")</f>
      </c>
      <c r="BK149" s="202">
        <f>IF(AND($C149,ISNUMBER($AV149)),$BJ149*1000000+$AV149*1000+ROW(),"")</f>
      </c>
      <c r="BL149" s="202">
        <f>IF(AND($C149,ISNUMBER($AW149)),ROUND(($AW149-('Sprints'!$C$5+('Sprints'!$E$5-1)*'Sprints'!$D$5))/'Sprints'!$D$5,0),"")</f>
      </c>
      <c r="BM149" s="203">
        <f>IF($C149,IF(NOT(ISNUMBER($BL149)),"",IF($BL149&lt;0,"Pasada",IF($BL149=0,"Actual",IF($BL149=1,"Siguiente",IF($BL149=2,"+2 sem",IF($BL149=3,"+3 sem","Posterior")))))),"")</f>
      </c>
      <c r="BN149" s="202">
        <f>IF(AND($C149,ISNUMBER($AR149),ISNUMBER($AV149)),MAX(1,$AV149-$AR149+1),0)</f>
        <v>0</v>
      </c>
      <c r="BO149" s="202">
        <f>SUM($BN$7:$BN149)-$BN149</f>
        <v>26</v>
      </c>
      <c r="BP149" s="202">
        <f>IF(AND($C149,ISNUMBER($AV149)),$AQ149+$AV149*$AP149*'Sprints'!$D$5-'Sprints'!$D$5,"")</f>
      </c>
      <c r="BQ149" s="202">
        <f>IF(AND($C149,ISNUMBER($BP149)),$BP149*1000+ROW(),"")</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IF($C150,IF('Backlog General'!$G150="Completada",1,IF('Backlog General'!$G150="Casi lista",0.75,IF('Backlog General'!$G150="En progreso",0.5,IF('Backlog General'!$G150="Iniciada",0.25,0)))),"")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IF($C150,IF(ISBLANK('Backlog General'!$K150),"",'Backlog General'!$K150),"")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IF(AND($C150,ISNUMBER($AR150)),IF(AND(ISNUMBER('Backlog General'!$M150),'Backlog General'!$M150&gt;=$AR150),'Backlog General'!$M150,IF(AND($AU150="Pasa al siguiente",$AT150&lt;&gt;"Completada"),$AR150+1,$AR150)),"")</f>
      </c>
      <c r="AW150" s="202">
        <f>IF(AND($C150,ISNUMBER($AR150)),$AQ150+$AR150*$AP150*'Sprints'!$D$5-'Sprints'!$D$5,"")</f>
      </c>
      <c r="AX150" s="202">
        <f>IF($C150,IF(OR($AT150="Completada",$AU150="Cancelado",$AU150="Baja prioridad",NOT(ISNUMBER($AW150))),0,IF(TODAY()&gt;$AW150,NETWORKDAYS($AW150,TODAY(),'Sprints'!$L$5:$L$40)-1,0)),"")</f>
      </c>
      <c r="AY150" s="203">
        <f>IF($C150,IF(NOT(ISNUMBER($AR150)),"Sin fecha",IF($AT150="Completada","Completada",IF($AU150="Cancelado","Cancelado",IF($AU150="Baja prioridad","Baja prioridad",IF($AX150&gt;0,"Vencida","En curso"))))),"")</f>
      </c>
      <c r="AZ150" s="203">
        <f>IF($C150,IF(ISNUMBER($AV150),$AO150&amp;" · S"&amp;$AV150,"(Sin fecha)"),"")</f>
      </c>
      <c r="BA150" s="202">
        <f>IF(AND($C150,ISNUMBER($AR150),$AR150=$AS150),"Nuevo","")</f>
      </c>
      <c r="BB150" s="202">
        <f>IF(AND($C150,$AO150="Semanal",ISNUMBER($AV150)),$AV150*100000+ROW(),"")</f>
      </c>
      <c r="BC150" s="202">
        <f>IF(AND($C150,$AO150="Quincenal",ISNUMBER($AV150)),$AV150*100000+ROW(),"")</f>
      </c>
      <c r="BD150" s="202">
        <f>IF(AND($C150,$AO150="Mensual",ISNUMBER($AV150)),$AV150*100000+ROW(),"")</f>
      </c>
      <c r="BE150" s="203">
        <f>IF($C150,IF(ISBLANK('Backlog General'!$J150),"",'Backlog General'!$J150),"")</f>
      </c>
      <c r="BF150" s="203">
        <f>IF($C150,IF($BE150="","",$BE150)&amp;IF(AND($BE150&lt;&gt;"",$AH150&lt;&gt;"")," · ","")&amp;IF($AH150="","",$AH150),"")</f>
      </c>
      <c r="BG150" s="203">
        <f>IF($C150,IF($J150="Completado","Sí","No"),"")</f>
      </c>
      <c r="BH150" s="202">
        <f>IF(AND($C150,ISNUMBER($AR150)),IF($AO150="Semanal",1,IF($AO150="Quincenal",2,3))*1000000000+$AR150*100000+ROW(),"")</f>
      </c>
      <c r="BI150" s="202">
        <f>IF($C150,IF($AU150="Cancelado","",$I150),"")</f>
      </c>
      <c r="BJ150" s="202">
        <f>IF($C150,IFERROR(MATCH($D150,$D$7:$D$200,0)+6,ROW()),"")</f>
      </c>
      <c r="BK150" s="202">
        <f>IF(AND($C150,ISNUMBER($AV150)),$BJ150*1000000+$AV150*1000+ROW(),"")</f>
      </c>
      <c r="BL150" s="202">
        <f>IF(AND($C150,ISNUMBER($AW150)),ROUND(($AW150-('Sprints'!$C$5+('Sprints'!$E$5-1)*'Sprints'!$D$5))/'Sprints'!$D$5,0),"")</f>
      </c>
      <c r="BM150" s="203">
        <f>IF($C150,IF(NOT(ISNUMBER($BL150)),"",IF($BL150&lt;0,"Pasada",IF($BL150=0,"Actual",IF($BL150=1,"Siguiente",IF($BL150=2,"+2 sem",IF($BL150=3,"+3 sem","Posterior")))))),"")</f>
      </c>
      <c r="BN150" s="202">
        <f>IF(AND($C150,ISNUMBER($AR150),ISNUMBER($AV150)),MAX(1,$AV150-$AR150+1),0)</f>
        <v>0</v>
      </c>
      <c r="BO150" s="202">
        <f>SUM($BN$7:$BN150)-$BN150</f>
        <v>26</v>
      </c>
      <c r="BP150" s="202">
        <f>IF(AND($C150,ISNUMBER($AV150)),$AQ150+$AV150*$AP150*'Sprints'!$D$5-'Sprints'!$D$5,"")</f>
      </c>
      <c r="BQ150" s="202">
        <f>IF(AND($C150,ISNUMBER($BP150)),$BP150*1000+ROW(),"")</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IF($C151,IF('Backlog General'!$G151="Completada",1,IF('Backlog General'!$G151="Casi lista",0.75,IF('Backlog General'!$G151="En progreso",0.5,IF('Backlog General'!$G151="Iniciada",0.25,0)))),"")</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IF($C151,IF(ISBLANK('Backlog General'!$K151),"",'Backlog General'!$K151),"")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IF(AND($C151,ISNUMBER($AR151)),IF(AND(ISNUMBER('Backlog General'!$M151),'Backlog General'!$M151&gt;=$AR151),'Backlog General'!$M151,IF(AND($AU151="Pasa al siguiente",$AT151&lt;&gt;"Completada"),$AR151+1,$AR151)),"")</f>
      </c>
      <c r="AW151" s="202">
        <f>IF(AND($C151,ISNUMBER($AR151)),$AQ151+$AR151*$AP151*'Sprints'!$D$5-'Sprints'!$D$5,"")</f>
      </c>
      <c r="AX151" s="202">
        <f>IF($C151,IF(OR($AT151="Completada",$AU151="Cancelado",$AU151="Baja prioridad",NOT(ISNUMBER($AW151))),0,IF(TODAY()&gt;$AW151,NETWORKDAYS($AW151,TODAY(),'Sprints'!$L$5:$L$40)-1,0)),"")</f>
      </c>
      <c r="AY151" s="203">
        <f>IF($C151,IF(NOT(ISNUMBER($AR151)),"Sin fecha",IF($AT151="Completada","Completada",IF($AU151="Cancelado","Cancelado",IF($AU151="Baja prioridad","Baja prioridad",IF($AX151&gt;0,"Vencida","En curso"))))),"")</f>
      </c>
      <c r="AZ151" s="203">
        <f>IF($C151,IF(ISNUMBER($AV151),$AO151&amp;" · S"&amp;$AV151,"(Sin fecha)"),"")</f>
      </c>
      <c r="BA151" s="202">
        <f>IF(AND($C151,ISNUMBER($AR151),$AR151=$AS151),"Nuevo","")</f>
      </c>
      <c r="BB151" s="202">
        <f>IF(AND($C151,$AO151="Semanal",ISNUMBER($AV151)),$AV151*100000+ROW(),"")</f>
      </c>
      <c r="BC151" s="202">
        <f>IF(AND($C151,$AO151="Quincenal",ISNUMBER($AV151)),$AV151*100000+ROW(),"")</f>
      </c>
      <c r="BD151" s="202">
        <f>IF(AND($C151,$AO151="Mensual",ISNUMBER($AV151)),$AV151*100000+ROW(),"")</f>
      </c>
      <c r="BE151" s="203">
        <f>IF($C151,IF(ISBLANK('Backlog General'!$J151),"",'Backlog General'!$J151),"")</f>
      </c>
      <c r="BF151" s="203">
        <f>IF($C151,IF($BE151="","",$BE151)&amp;IF(AND($BE151&lt;&gt;"",$AH151&lt;&gt;"")," · ","")&amp;IF($AH151="","",$AH151),"")</f>
      </c>
      <c r="BG151" s="203">
        <f>IF($C151,IF($J151="Completado","Sí","No"),"")</f>
      </c>
      <c r="BH151" s="202">
        <f>IF(AND($C151,ISNUMBER($AR151)),IF($AO151="Semanal",1,IF($AO151="Quincenal",2,3))*1000000000+$AR151*100000+ROW(),"")</f>
      </c>
      <c r="BI151" s="202">
        <f>IF($C151,IF($AU151="Cancelado","",$I151),"")</f>
      </c>
      <c r="BJ151" s="202">
        <f>IF($C151,IFERROR(MATCH($D151,$D$7:$D$200,0)+6,ROW()),"")</f>
      </c>
      <c r="BK151" s="202">
        <f>IF(AND($C151,ISNUMBER($AV151)),$BJ151*1000000+$AV151*1000+ROW(),"")</f>
      </c>
      <c r="BL151" s="202">
        <f>IF(AND($C151,ISNUMBER($AW151)),ROUND(($AW151-('Sprints'!$C$5+('Sprints'!$E$5-1)*'Sprints'!$D$5))/'Sprints'!$D$5,0),"")</f>
      </c>
      <c r="BM151" s="203">
        <f>IF($C151,IF(NOT(ISNUMBER($BL151)),"",IF($BL151&lt;0,"Pasada",IF($BL151=0,"Actual",IF($BL151=1,"Siguiente",IF($BL151=2,"+2 sem",IF($BL151=3,"+3 sem","Posterior")))))),"")</f>
      </c>
      <c r="BN151" s="202">
        <f>IF(AND($C151,ISNUMBER($AR151),ISNUMBER($AV151)),MAX(1,$AV151-$AR151+1),0)</f>
        <v>0</v>
      </c>
      <c r="BO151" s="202">
        <f>SUM($BN$7:$BN151)-$BN151</f>
        <v>26</v>
      </c>
      <c r="BP151" s="202">
        <f>IF(AND($C151,ISNUMBER($AV151)),$AQ151+$AV151*$AP151*'Sprints'!$D$5-'Sprints'!$D$5,"")</f>
      </c>
      <c r="BQ151" s="202">
        <f>IF(AND($C151,ISNUMBER($BP151)),$BP151*1000+ROW(),"")</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IF($C152,IF('Backlog General'!$G152="Completada",1,IF('Backlog General'!$G152="Casi lista",0.75,IF('Backlog General'!$G152="En progreso",0.5,IF('Backlog General'!$G152="Iniciada",0.25,0)))),"")</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IF($C152,IF(ISBLANK('Backlog General'!$K152),"",'Backlog General'!$K152),"")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IF(AND($C152,ISNUMBER($AR152)),IF(AND(ISNUMBER('Backlog General'!$M152),'Backlog General'!$M152&gt;=$AR152),'Backlog General'!$M152,IF(AND($AU152="Pasa al siguiente",$AT152&lt;&gt;"Completada"),$AR152+1,$AR152)),"")</f>
      </c>
      <c r="AW152" s="202">
        <f>IF(AND($C152,ISNUMBER($AR152)),$AQ152+$AR152*$AP152*'Sprints'!$D$5-'Sprints'!$D$5,"")</f>
      </c>
      <c r="AX152" s="202">
        <f>IF($C152,IF(OR($AT152="Completada",$AU152="Cancelado",$AU152="Baja prioridad",NOT(ISNUMBER($AW152))),0,IF(TODAY()&gt;$AW152,NETWORKDAYS($AW152,TODAY(),'Sprints'!$L$5:$L$40)-1,0)),"")</f>
      </c>
      <c r="AY152" s="203">
        <f>IF($C152,IF(NOT(ISNUMBER($AR152)),"Sin fecha",IF($AT152="Completada","Completada",IF($AU152="Cancelado","Cancelado",IF($AU152="Baja prioridad","Baja prioridad",IF($AX152&gt;0,"Vencida","En curso"))))),"")</f>
      </c>
      <c r="AZ152" s="203">
        <f>IF($C152,IF(ISNUMBER($AV152),$AO152&amp;" · S"&amp;$AV152,"(Sin fecha)"),"")</f>
      </c>
      <c r="BA152" s="202">
        <f>IF(AND($C152,ISNUMBER($AR152),$AR152=$AS152),"Nuevo","")</f>
      </c>
      <c r="BB152" s="202">
        <f>IF(AND($C152,$AO152="Semanal",ISNUMBER($AV152)),$AV152*100000+ROW(),"")</f>
      </c>
      <c r="BC152" s="202">
        <f>IF(AND($C152,$AO152="Quincenal",ISNUMBER($AV152)),$AV152*100000+ROW(),"")</f>
      </c>
      <c r="BD152" s="202">
        <f>IF(AND($C152,$AO152="Mensual",ISNUMBER($AV152)),$AV152*100000+ROW(),"")</f>
      </c>
      <c r="BE152" s="203">
        <f>IF($C152,IF(ISBLANK('Backlog General'!$J152),"",'Backlog General'!$J152),"")</f>
      </c>
      <c r="BF152" s="203">
        <f>IF($C152,IF($BE152="","",$BE152)&amp;IF(AND($BE152&lt;&gt;"",$AH152&lt;&gt;"")," · ","")&amp;IF($AH152="","",$AH152),"")</f>
      </c>
      <c r="BG152" s="203">
        <f>IF($C152,IF($J152="Completado","Sí","No"),"")</f>
      </c>
      <c r="BH152" s="202">
        <f>IF(AND($C152,ISNUMBER($AR152)),IF($AO152="Semanal",1,IF($AO152="Quincenal",2,3))*1000000000+$AR152*100000+ROW(),"")</f>
      </c>
      <c r="BI152" s="202">
        <f>IF($C152,IF($AU152="Cancelado","",$I152),"")</f>
      </c>
      <c r="BJ152" s="202">
        <f>IF($C152,IFERROR(MATCH($D152,$D$7:$D$200,0)+6,ROW()),"")</f>
      </c>
      <c r="BK152" s="202">
        <f>IF(AND($C152,ISNUMBER($AV152)),$BJ152*1000000+$AV152*1000+ROW(),"")</f>
      </c>
      <c r="BL152" s="202">
        <f>IF(AND($C152,ISNUMBER($AW152)),ROUND(($AW152-('Sprints'!$C$5+('Sprints'!$E$5-1)*'Sprints'!$D$5))/'Sprints'!$D$5,0),"")</f>
      </c>
      <c r="BM152" s="203">
        <f>IF($C152,IF(NOT(ISNUMBER($BL152)),"",IF($BL152&lt;0,"Pasada",IF($BL152=0,"Actual",IF($BL152=1,"Siguiente",IF($BL152=2,"+2 sem",IF($BL152=3,"+3 sem","Posterior")))))),"")</f>
      </c>
      <c r="BN152" s="202">
        <f>IF(AND($C152,ISNUMBER($AR152),ISNUMBER($AV152)),MAX(1,$AV152-$AR152+1),0)</f>
        <v>0</v>
      </c>
      <c r="BO152" s="202">
        <f>SUM($BN$7:$BN152)-$BN152</f>
        <v>26</v>
      </c>
      <c r="BP152" s="202">
        <f>IF(AND($C152,ISNUMBER($AV152)),$AQ152+$AV152*$AP152*'Sprints'!$D$5-'Sprints'!$D$5,"")</f>
      </c>
      <c r="BQ152" s="202">
        <f>IF(AND($C152,ISNUMBER($BP152)),$BP152*1000+ROW(),"")</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IF($C153,IF('Backlog General'!$G153="Completada",1,IF('Backlog General'!$G153="Casi lista",0.75,IF('Backlog General'!$G153="En progreso",0.5,IF('Backlog General'!$G153="Iniciada",0.25,0)))),"")</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IF($C153,IF(ISBLANK('Backlog General'!$K153),"",'Backlog General'!$K153),"")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IF(AND($C153,ISNUMBER($AR153)),IF(AND(ISNUMBER('Backlog General'!$M153),'Backlog General'!$M153&gt;=$AR153),'Backlog General'!$M153,IF(AND($AU153="Pasa al siguiente",$AT153&lt;&gt;"Completada"),$AR153+1,$AR153)),"")</f>
      </c>
      <c r="AW153" s="202">
        <f>IF(AND($C153,ISNUMBER($AR153)),$AQ153+$AR153*$AP153*'Sprints'!$D$5-'Sprints'!$D$5,"")</f>
      </c>
      <c r="AX153" s="202">
        <f>IF($C153,IF(OR($AT153="Completada",$AU153="Cancelado",$AU153="Baja prioridad",NOT(ISNUMBER($AW153))),0,IF(TODAY()&gt;$AW153,NETWORKDAYS($AW153,TODAY(),'Sprints'!$L$5:$L$40)-1,0)),"")</f>
      </c>
      <c r="AY153" s="203">
        <f>IF($C153,IF(NOT(ISNUMBER($AR153)),"Sin fecha",IF($AT153="Completada","Completada",IF($AU153="Cancelado","Cancelado",IF($AU153="Baja prioridad","Baja prioridad",IF($AX153&gt;0,"Vencida","En curso"))))),"")</f>
      </c>
      <c r="AZ153" s="203">
        <f>IF($C153,IF(ISNUMBER($AV153),$AO153&amp;" · S"&amp;$AV153,"(Sin fecha)"),"")</f>
      </c>
      <c r="BA153" s="202">
        <f>IF(AND($C153,ISNUMBER($AR153),$AR153=$AS153),"Nuevo","")</f>
      </c>
      <c r="BB153" s="202">
        <f>IF(AND($C153,$AO153="Semanal",ISNUMBER($AV153)),$AV153*100000+ROW(),"")</f>
      </c>
      <c r="BC153" s="202">
        <f>IF(AND($C153,$AO153="Quincenal",ISNUMBER($AV153)),$AV153*100000+ROW(),"")</f>
      </c>
      <c r="BD153" s="202">
        <f>IF(AND($C153,$AO153="Mensual",ISNUMBER($AV153)),$AV153*100000+ROW(),"")</f>
      </c>
      <c r="BE153" s="203">
        <f>IF($C153,IF(ISBLANK('Backlog General'!$J153),"",'Backlog General'!$J153),"")</f>
      </c>
      <c r="BF153" s="203">
        <f>IF($C153,IF($BE153="","",$BE153)&amp;IF(AND($BE153&lt;&gt;"",$AH153&lt;&gt;"")," · ","")&amp;IF($AH153="","",$AH153),"")</f>
      </c>
      <c r="BG153" s="203">
        <f>IF($C153,IF($J153="Completado","Sí","No"),"")</f>
      </c>
      <c r="BH153" s="202">
        <f>IF(AND($C153,ISNUMBER($AR153)),IF($AO153="Semanal",1,IF($AO153="Quincenal",2,3))*1000000000+$AR153*100000+ROW(),"")</f>
      </c>
      <c r="BI153" s="202">
        <f>IF($C153,IF($AU153="Cancelado","",$I153),"")</f>
      </c>
      <c r="BJ153" s="202">
        <f>IF($C153,IFERROR(MATCH($D153,$D$7:$D$200,0)+6,ROW()),"")</f>
      </c>
      <c r="BK153" s="202">
        <f>IF(AND($C153,ISNUMBER($AV153)),$BJ153*1000000+$AV153*1000+ROW(),"")</f>
      </c>
      <c r="BL153" s="202">
        <f>IF(AND($C153,ISNUMBER($AW153)),ROUND(($AW153-('Sprints'!$C$5+('Sprints'!$E$5-1)*'Sprints'!$D$5))/'Sprints'!$D$5,0),"")</f>
      </c>
      <c r="BM153" s="203">
        <f>IF($C153,IF(NOT(ISNUMBER($BL153)),"",IF($BL153&lt;0,"Pasada",IF($BL153=0,"Actual",IF($BL153=1,"Siguiente",IF($BL153=2,"+2 sem",IF($BL153=3,"+3 sem","Posterior")))))),"")</f>
      </c>
      <c r="BN153" s="202">
        <f>IF(AND($C153,ISNUMBER($AR153),ISNUMBER($AV153)),MAX(1,$AV153-$AR153+1),0)</f>
        <v>0</v>
      </c>
      <c r="BO153" s="202">
        <f>SUM($BN$7:$BN153)-$BN153</f>
        <v>26</v>
      </c>
      <c r="BP153" s="202">
        <f>IF(AND($C153,ISNUMBER($AV153)),$AQ153+$AV153*$AP153*'Sprints'!$D$5-'Sprints'!$D$5,"")</f>
      </c>
      <c r="BQ153" s="202">
        <f>IF(AND($C153,ISNUMBER($BP153)),$BP153*1000+ROW(),"")</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IF($C154,IF('Backlog General'!$G154="Completada",1,IF('Backlog General'!$G154="Casi lista",0.75,IF('Backlog General'!$G154="En progreso",0.5,IF('Backlog General'!$G154="Iniciada",0.25,0)))),"")</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IF($C154,IF(ISBLANK('Backlog General'!$K154),"",'Backlog General'!$K154),"")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IF(AND($C154,ISNUMBER($AR154)),IF(AND(ISNUMBER('Backlog General'!$M154),'Backlog General'!$M154&gt;=$AR154),'Backlog General'!$M154,IF(AND($AU154="Pasa al siguiente",$AT154&lt;&gt;"Completada"),$AR154+1,$AR154)),"")</f>
      </c>
      <c r="AW154" s="202">
        <f>IF(AND($C154,ISNUMBER($AR154)),$AQ154+$AR154*$AP154*'Sprints'!$D$5-'Sprints'!$D$5,"")</f>
      </c>
      <c r="AX154" s="202">
        <f>IF($C154,IF(OR($AT154="Completada",$AU154="Cancelado",$AU154="Baja prioridad",NOT(ISNUMBER($AW154))),0,IF(TODAY()&gt;$AW154,NETWORKDAYS($AW154,TODAY(),'Sprints'!$L$5:$L$40)-1,0)),"")</f>
      </c>
      <c r="AY154" s="203">
        <f>IF($C154,IF(NOT(ISNUMBER($AR154)),"Sin fecha",IF($AT154="Completada","Completada",IF($AU154="Cancelado","Cancelado",IF($AU154="Baja prioridad","Baja prioridad",IF($AX154&gt;0,"Vencida","En curso"))))),"")</f>
      </c>
      <c r="AZ154" s="203">
        <f>IF($C154,IF(ISNUMBER($AV154),$AO154&amp;" · S"&amp;$AV154,"(Sin fecha)"),"")</f>
      </c>
      <c r="BA154" s="202">
        <f>IF(AND($C154,ISNUMBER($AR154),$AR154=$AS154),"Nuevo","")</f>
      </c>
      <c r="BB154" s="202">
        <f>IF(AND($C154,$AO154="Semanal",ISNUMBER($AV154)),$AV154*100000+ROW(),"")</f>
      </c>
      <c r="BC154" s="202">
        <f>IF(AND($C154,$AO154="Quincenal",ISNUMBER($AV154)),$AV154*100000+ROW(),"")</f>
      </c>
      <c r="BD154" s="202">
        <f>IF(AND($C154,$AO154="Mensual",ISNUMBER($AV154)),$AV154*100000+ROW(),"")</f>
      </c>
      <c r="BE154" s="203">
        <f>IF($C154,IF(ISBLANK('Backlog General'!$J154),"",'Backlog General'!$J154),"")</f>
      </c>
      <c r="BF154" s="203">
        <f>IF($C154,IF($BE154="","",$BE154)&amp;IF(AND($BE154&lt;&gt;"",$AH154&lt;&gt;"")," · ","")&amp;IF($AH154="","",$AH154),"")</f>
      </c>
      <c r="BG154" s="203">
        <f>IF($C154,IF($J154="Completado","Sí","No"),"")</f>
      </c>
      <c r="BH154" s="202">
        <f>IF(AND($C154,ISNUMBER($AR154)),IF($AO154="Semanal",1,IF($AO154="Quincenal",2,3))*1000000000+$AR154*100000+ROW(),"")</f>
      </c>
      <c r="BI154" s="202">
        <f>IF($C154,IF($AU154="Cancelado","",$I154),"")</f>
      </c>
      <c r="BJ154" s="202">
        <f>IF($C154,IFERROR(MATCH($D154,$D$7:$D$200,0)+6,ROW()),"")</f>
      </c>
      <c r="BK154" s="202">
        <f>IF(AND($C154,ISNUMBER($AV154)),$BJ154*1000000+$AV154*1000+ROW(),"")</f>
      </c>
      <c r="BL154" s="202">
        <f>IF(AND($C154,ISNUMBER($AW154)),ROUND(($AW154-('Sprints'!$C$5+('Sprints'!$E$5-1)*'Sprints'!$D$5))/'Sprints'!$D$5,0),"")</f>
      </c>
      <c r="BM154" s="203">
        <f>IF($C154,IF(NOT(ISNUMBER($BL154)),"",IF($BL154&lt;0,"Pasada",IF($BL154=0,"Actual",IF($BL154=1,"Siguiente",IF($BL154=2,"+2 sem",IF($BL154=3,"+3 sem","Posterior")))))),"")</f>
      </c>
      <c r="BN154" s="202">
        <f>IF(AND($C154,ISNUMBER($AR154),ISNUMBER($AV154)),MAX(1,$AV154-$AR154+1),0)</f>
        <v>0</v>
      </c>
      <c r="BO154" s="202">
        <f>SUM($BN$7:$BN154)-$BN154</f>
        <v>26</v>
      </c>
      <c r="BP154" s="202">
        <f>IF(AND($C154,ISNUMBER($AV154)),$AQ154+$AV154*$AP154*'Sprints'!$D$5-'Sprints'!$D$5,"")</f>
      </c>
      <c r="BQ154" s="202">
        <f>IF(AND($C154,ISNUMBER($BP154)),$BP154*1000+ROW(),"")</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IF($C155,IF('Backlog General'!$G155="Completada",1,IF('Backlog General'!$G155="Casi lista",0.75,IF('Backlog General'!$G155="En progreso",0.5,IF('Backlog General'!$G155="Iniciada",0.25,0)))),"")</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IF($C155,IF(ISBLANK('Backlog General'!$K155),"",'Backlog General'!$K155),"")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IF(AND($C155,ISNUMBER($AR155)),IF(AND(ISNUMBER('Backlog General'!$M155),'Backlog General'!$M155&gt;=$AR155),'Backlog General'!$M155,IF(AND($AU155="Pasa al siguiente",$AT155&lt;&gt;"Completada"),$AR155+1,$AR155)),"")</f>
      </c>
      <c r="AW155" s="202">
        <f>IF(AND($C155,ISNUMBER($AR155)),$AQ155+$AR155*$AP155*'Sprints'!$D$5-'Sprints'!$D$5,"")</f>
      </c>
      <c r="AX155" s="202">
        <f>IF($C155,IF(OR($AT155="Completada",$AU155="Cancelado",$AU155="Baja prioridad",NOT(ISNUMBER($AW155))),0,IF(TODAY()&gt;$AW155,NETWORKDAYS($AW155,TODAY(),'Sprints'!$L$5:$L$40)-1,0)),"")</f>
      </c>
      <c r="AY155" s="203">
        <f>IF($C155,IF(NOT(ISNUMBER($AR155)),"Sin fecha",IF($AT155="Completada","Completada",IF($AU155="Cancelado","Cancelado",IF($AU155="Baja prioridad","Baja prioridad",IF($AX155&gt;0,"Vencida","En curso"))))),"")</f>
      </c>
      <c r="AZ155" s="203">
        <f>IF($C155,IF(ISNUMBER($AV155),$AO155&amp;" · S"&amp;$AV155,"(Sin fecha)"),"")</f>
      </c>
      <c r="BA155" s="202">
        <f>IF(AND($C155,ISNUMBER($AR155),$AR155=$AS155),"Nuevo","")</f>
      </c>
      <c r="BB155" s="202">
        <f>IF(AND($C155,$AO155="Semanal",ISNUMBER($AV155)),$AV155*100000+ROW(),"")</f>
      </c>
      <c r="BC155" s="202">
        <f>IF(AND($C155,$AO155="Quincenal",ISNUMBER($AV155)),$AV155*100000+ROW(),"")</f>
      </c>
      <c r="BD155" s="202">
        <f>IF(AND($C155,$AO155="Mensual",ISNUMBER($AV155)),$AV155*100000+ROW(),"")</f>
      </c>
      <c r="BE155" s="203">
        <f>IF($C155,IF(ISBLANK('Backlog General'!$J155),"",'Backlog General'!$J155),"")</f>
      </c>
      <c r="BF155" s="203">
        <f>IF($C155,IF($BE155="","",$BE155)&amp;IF(AND($BE155&lt;&gt;"",$AH155&lt;&gt;"")," · ","")&amp;IF($AH155="","",$AH155),"")</f>
      </c>
      <c r="BG155" s="203">
        <f>IF($C155,IF($J155="Completado","Sí","No"),"")</f>
      </c>
      <c r="BH155" s="202">
        <f>IF(AND($C155,ISNUMBER($AR155)),IF($AO155="Semanal",1,IF($AO155="Quincenal",2,3))*1000000000+$AR155*100000+ROW(),"")</f>
      </c>
      <c r="BI155" s="202">
        <f>IF($C155,IF($AU155="Cancelado","",$I155),"")</f>
      </c>
      <c r="BJ155" s="202">
        <f>IF($C155,IFERROR(MATCH($D155,$D$7:$D$200,0)+6,ROW()),"")</f>
      </c>
      <c r="BK155" s="202">
        <f>IF(AND($C155,ISNUMBER($AV155)),$BJ155*1000000+$AV155*1000+ROW(),"")</f>
      </c>
      <c r="BL155" s="202">
        <f>IF(AND($C155,ISNUMBER($AW155)),ROUND(($AW155-('Sprints'!$C$5+('Sprints'!$E$5-1)*'Sprints'!$D$5))/'Sprints'!$D$5,0),"")</f>
      </c>
      <c r="BM155" s="203">
        <f>IF($C155,IF(NOT(ISNUMBER($BL155)),"",IF($BL155&lt;0,"Pasada",IF($BL155=0,"Actual",IF($BL155=1,"Siguiente",IF($BL155=2,"+2 sem",IF($BL155=3,"+3 sem","Posterior")))))),"")</f>
      </c>
      <c r="BN155" s="202">
        <f>IF(AND($C155,ISNUMBER($AR155),ISNUMBER($AV155)),MAX(1,$AV155-$AR155+1),0)</f>
        <v>0</v>
      </c>
      <c r="BO155" s="202">
        <f>SUM($BN$7:$BN155)-$BN155</f>
        <v>26</v>
      </c>
      <c r="BP155" s="202">
        <f>IF(AND($C155,ISNUMBER($AV155)),$AQ155+$AV155*$AP155*'Sprints'!$D$5-'Sprints'!$D$5,"")</f>
      </c>
      <c r="BQ155" s="202">
        <f>IF(AND($C155,ISNUMBER($BP155)),$BP155*1000+ROW(),"")</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IF($C156,IF('Backlog General'!$G156="Completada",1,IF('Backlog General'!$G156="Casi lista",0.75,IF('Backlog General'!$G156="En progreso",0.5,IF('Backlog General'!$G156="Iniciada",0.25,0)))),"")</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IF($C156,IF(ISBLANK('Backlog General'!$K156),"",'Backlog General'!$K156),"")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IF(AND($C156,ISNUMBER($AR156)),IF(AND(ISNUMBER('Backlog General'!$M156),'Backlog General'!$M156&gt;=$AR156),'Backlog General'!$M156,IF(AND($AU156="Pasa al siguiente",$AT156&lt;&gt;"Completada"),$AR156+1,$AR156)),"")</f>
      </c>
      <c r="AW156" s="202">
        <f>IF(AND($C156,ISNUMBER($AR156)),$AQ156+$AR156*$AP156*'Sprints'!$D$5-'Sprints'!$D$5,"")</f>
      </c>
      <c r="AX156" s="202">
        <f>IF($C156,IF(OR($AT156="Completada",$AU156="Cancelado",$AU156="Baja prioridad",NOT(ISNUMBER($AW156))),0,IF(TODAY()&gt;$AW156,NETWORKDAYS($AW156,TODAY(),'Sprints'!$L$5:$L$40)-1,0)),"")</f>
      </c>
      <c r="AY156" s="203">
        <f>IF($C156,IF(NOT(ISNUMBER($AR156)),"Sin fecha",IF($AT156="Completada","Completada",IF($AU156="Cancelado","Cancelado",IF($AU156="Baja prioridad","Baja prioridad",IF($AX156&gt;0,"Vencida","En curso"))))),"")</f>
      </c>
      <c r="AZ156" s="203">
        <f>IF($C156,IF(ISNUMBER($AV156),$AO156&amp;" · S"&amp;$AV156,"(Sin fecha)"),"")</f>
      </c>
      <c r="BA156" s="202">
        <f>IF(AND($C156,ISNUMBER($AR156),$AR156=$AS156),"Nuevo","")</f>
      </c>
      <c r="BB156" s="202">
        <f>IF(AND($C156,$AO156="Semanal",ISNUMBER($AV156)),$AV156*100000+ROW(),"")</f>
      </c>
      <c r="BC156" s="202">
        <f>IF(AND($C156,$AO156="Quincenal",ISNUMBER($AV156)),$AV156*100000+ROW(),"")</f>
      </c>
      <c r="BD156" s="202">
        <f>IF(AND($C156,$AO156="Mensual",ISNUMBER($AV156)),$AV156*100000+ROW(),"")</f>
      </c>
      <c r="BE156" s="203">
        <f>IF($C156,IF(ISBLANK('Backlog General'!$J156),"",'Backlog General'!$J156),"")</f>
      </c>
      <c r="BF156" s="203">
        <f>IF($C156,IF($BE156="","",$BE156)&amp;IF(AND($BE156&lt;&gt;"",$AH156&lt;&gt;"")," · ","")&amp;IF($AH156="","",$AH156),"")</f>
      </c>
      <c r="BG156" s="203">
        <f>IF($C156,IF($J156="Completado","Sí","No"),"")</f>
      </c>
      <c r="BH156" s="202">
        <f>IF(AND($C156,ISNUMBER($AR156)),IF($AO156="Semanal",1,IF($AO156="Quincenal",2,3))*1000000000+$AR156*100000+ROW(),"")</f>
      </c>
      <c r="BI156" s="202">
        <f>IF($C156,IF($AU156="Cancelado","",$I156),"")</f>
      </c>
      <c r="BJ156" s="202">
        <f>IF($C156,IFERROR(MATCH($D156,$D$7:$D$200,0)+6,ROW()),"")</f>
      </c>
      <c r="BK156" s="202">
        <f>IF(AND($C156,ISNUMBER($AV156)),$BJ156*1000000+$AV156*1000+ROW(),"")</f>
      </c>
      <c r="BL156" s="202">
        <f>IF(AND($C156,ISNUMBER($AW156)),ROUND(($AW156-('Sprints'!$C$5+('Sprints'!$E$5-1)*'Sprints'!$D$5))/'Sprints'!$D$5,0),"")</f>
      </c>
      <c r="BM156" s="203">
        <f>IF($C156,IF(NOT(ISNUMBER($BL156)),"",IF($BL156&lt;0,"Pasada",IF($BL156=0,"Actual",IF($BL156=1,"Siguiente",IF($BL156=2,"+2 sem",IF($BL156=3,"+3 sem","Posterior")))))),"")</f>
      </c>
      <c r="BN156" s="202">
        <f>IF(AND($C156,ISNUMBER($AR156),ISNUMBER($AV156)),MAX(1,$AV156-$AR156+1),0)</f>
        <v>0</v>
      </c>
      <c r="BO156" s="202">
        <f>SUM($BN$7:$BN156)-$BN156</f>
        <v>26</v>
      </c>
      <c r="BP156" s="202">
        <f>IF(AND($C156,ISNUMBER($AV156)),$AQ156+$AV156*$AP156*'Sprints'!$D$5-'Sprints'!$D$5,"")</f>
      </c>
      <c r="BQ156" s="202">
        <f>IF(AND($C156,ISNUMBER($BP156)),$BP156*1000+ROW(),"")</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IF($C157,IF('Backlog General'!$G157="Completada",1,IF('Backlog General'!$G157="Casi lista",0.75,IF('Backlog General'!$G157="En progreso",0.5,IF('Backlog General'!$G157="Iniciada",0.25,0)))),"")</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IF($C157,IF(ISBLANK('Backlog General'!$K157),"",'Backlog General'!$K157),"")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IF(AND($C157,ISNUMBER($AR157)),IF(AND(ISNUMBER('Backlog General'!$M157),'Backlog General'!$M157&gt;=$AR157),'Backlog General'!$M157,IF(AND($AU157="Pasa al siguiente",$AT157&lt;&gt;"Completada"),$AR157+1,$AR157)),"")</f>
      </c>
      <c r="AW157" s="202">
        <f>IF(AND($C157,ISNUMBER($AR157)),$AQ157+$AR157*$AP157*'Sprints'!$D$5-'Sprints'!$D$5,"")</f>
      </c>
      <c r="AX157" s="202">
        <f>IF($C157,IF(OR($AT157="Completada",$AU157="Cancelado",$AU157="Baja prioridad",NOT(ISNUMBER($AW157))),0,IF(TODAY()&gt;$AW157,NETWORKDAYS($AW157,TODAY(),'Sprints'!$L$5:$L$40)-1,0)),"")</f>
      </c>
      <c r="AY157" s="203">
        <f>IF($C157,IF(NOT(ISNUMBER($AR157)),"Sin fecha",IF($AT157="Completada","Completada",IF($AU157="Cancelado","Cancelado",IF($AU157="Baja prioridad","Baja prioridad",IF($AX157&gt;0,"Vencida","En curso"))))),"")</f>
      </c>
      <c r="AZ157" s="203">
        <f>IF($C157,IF(ISNUMBER($AV157),$AO157&amp;" · S"&amp;$AV157,"(Sin fecha)"),"")</f>
      </c>
      <c r="BA157" s="202">
        <f>IF(AND($C157,ISNUMBER($AR157),$AR157=$AS157),"Nuevo","")</f>
      </c>
      <c r="BB157" s="202">
        <f>IF(AND($C157,$AO157="Semanal",ISNUMBER($AV157)),$AV157*100000+ROW(),"")</f>
      </c>
      <c r="BC157" s="202">
        <f>IF(AND($C157,$AO157="Quincenal",ISNUMBER($AV157)),$AV157*100000+ROW(),"")</f>
      </c>
      <c r="BD157" s="202">
        <f>IF(AND($C157,$AO157="Mensual",ISNUMBER($AV157)),$AV157*100000+ROW(),"")</f>
      </c>
      <c r="BE157" s="203">
        <f>IF($C157,IF(ISBLANK('Backlog General'!$J157),"",'Backlog General'!$J157),"")</f>
      </c>
      <c r="BF157" s="203">
        <f>IF($C157,IF($BE157="","",$BE157)&amp;IF(AND($BE157&lt;&gt;"",$AH157&lt;&gt;"")," · ","")&amp;IF($AH157="","",$AH157),"")</f>
      </c>
      <c r="BG157" s="203">
        <f>IF($C157,IF($J157="Completado","Sí","No"),"")</f>
      </c>
      <c r="BH157" s="202">
        <f>IF(AND($C157,ISNUMBER($AR157)),IF($AO157="Semanal",1,IF($AO157="Quincenal",2,3))*1000000000+$AR157*100000+ROW(),"")</f>
      </c>
      <c r="BI157" s="202">
        <f>IF($C157,IF($AU157="Cancelado","",$I157),"")</f>
      </c>
      <c r="BJ157" s="202">
        <f>IF($C157,IFERROR(MATCH($D157,$D$7:$D$200,0)+6,ROW()),"")</f>
      </c>
      <c r="BK157" s="202">
        <f>IF(AND($C157,ISNUMBER($AV157)),$BJ157*1000000+$AV157*1000+ROW(),"")</f>
      </c>
      <c r="BL157" s="202">
        <f>IF(AND($C157,ISNUMBER($AW157)),ROUND(($AW157-('Sprints'!$C$5+('Sprints'!$E$5-1)*'Sprints'!$D$5))/'Sprints'!$D$5,0),"")</f>
      </c>
      <c r="BM157" s="203">
        <f>IF($C157,IF(NOT(ISNUMBER($BL157)),"",IF($BL157&lt;0,"Pasada",IF($BL157=0,"Actual",IF($BL157=1,"Siguiente",IF($BL157=2,"+2 sem",IF($BL157=3,"+3 sem","Posterior")))))),"")</f>
      </c>
      <c r="BN157" s="202">
        <f>IF(AND($C157,ISNUMBER($AR157),ISNUMBER($AV157)),MAX(1,$AV157-$AR157+1),0)</f>
        <v>0</v>
      </c>
      <c r="BO157" s="202">
        <f>SUM($BN$7:$BN157)-$BN157</f>
        <v>26</v>
      </c>
      <c r="BP157" s="202">
        <f>IF(AND($C157,ISNUMBER($AV157)),$AQ157+$AV157*$AP157*'Sprints'!$D$5-'Sprints'!$D$5,"")</f>
      </c>
      <c r="BQ157" s="202">
        <f>IF(AND($C157,ISNUMBER($BP157)),$BP157*1000+ROW(),"")</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IF($C158,IF('Backlog General'!$G158="Completada",1,IF('Backlog General'!$G158="Casi lista",0.75,IF('Backlog General'!$G158="En progreso",0.5,IF('Backlog General'!$G158="Iniciada",0.25,0)))),"")</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IF($C158,IF(ISBLANK('Backlog General'!$K158),"",'Backlog General'!$K158),"")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IF(AND($C158,ISNUMBER($AR158)),IF(AND(ISNUMBER('Backlog General'!$M158),'Backlog General'!$M158&gt;=$AR158),'Backlog General'!$M158,IF(AND($AU158="Pasa al siguiente",$AT158&lt;&gt;"Completada"),$AR158+1,$AR158)),"")</f>
      </c>
      <c r="AW158" s="202">
        <f>IF(AND($C158,ISNUMBER($AR158)),$AQ158+$AR158*$AP158*'Sprints'!$D$5-'Sprints'!$D$5,"")</f>
      </c>
      <c r="AX158" s="202">
        <f>IF($C158,IF(OR($AT158="Completada",$AU158="Cancelado",$AU158="Baja prioridad",NOT(ISNUMBER($AW158))),0,IF(TODAY()&gt;$AW158,NETWORKDAYS($AW158,TODAY(),'Sprints'!$L$5:$L$40)-1,0)),"")</f>
      </c>
      <c r="AY158" s="203">
        <f>IF($C158,IF(NOT(ISNUMBER($AR158)),"Sin fecha",IF($AT158="Completada","Completada",IF($AU158="Cancelado","Cancelado",IF($AU158="Baja prioridad","Baja prioridad",IF($AX158&gt;0,"Vencida","En curso"))))),"")</f>
      </c>
      <c r="AZ158" s="203">
        <f>IF($C158,IF(ISNUMBER($AV158),$AO158&amp;" · S"&amp;$AV158,"(Sin fecha)"),"")</f>
      </c>
      <c r="BA158" s="202">
        <f>IF(AND($C158,ISNUMBER($AR158),$AR158=$AS158),"Nuevo","")</f>
      </c>
      <c r="BB158" s="202">
        <f>IF(AND($C158,$AO158="Semanal",ISNUMBER($AV158)),$AV158*100000+ROW(),"")</f>
      </c>
      <c r="BC158" s="202">
        <f>IF(AND($C158,$AO158="Quincenal",ISNUMBER($AV158)),$AV158*100000+ROW(),"")</f>
      </c>
      <c r="BD158" s="202">
        <f>IF(AND($C158,$AO158="Mensual",ISNUMBER($AV158)),$AV158*100000+ROW(),"")</f>
      </c>
      <c r="BE158" s="203">
        <f>IF($C158,IF(ISBLANK('Backlog General'!$J158),"",'Backlog General'!$J158),"")</f>
      </c>
      <c r="BF158" s="203">
        <f>IF($C158,IF($BE158="","",$BE158)&amp;IF(AND($BE158&lt;&gt;"",$AH158&lt;&gt;"")," · ","")&amp;IF($AH158="","",$AH158),"")</f>
      </c>
      <c r="BG158" s="203">
        <f>IF($C158,IF($J158="Completado","Sí","No"),"")</f>
      </c>
      <c r="BH158" s="202">
        <f>IF(AND($C158,ISNUMBER($AR158)),IF($AO158="Semanal",1,IF($AO158="Quincenal",2,3))*1000000000+$AR158*100000+ROW(),"")</f>
      </c>
      <c r="BI158" s="202">
        <f>IF($C158,IF($AU158="Cancelado","",$I158),"")</f>
      </c>
      <c r="BJ158" s="202">
        <f>IF($C158,IFERROR(MATCH($D158,$D$7:$D$200,0)+6,ROW()),"")</f>
      </c>
      <c r="BK158" s="202">
        <f>IF(AND($C158,ISNUMBER($AV158)),$BJ158*1000000+$AV158*1000+ROW(),"")</f>
      </c>
      <c r="BL158" s="202">
        <f>IF(AND($C158,ISNUMBER($AW158)),ROUND(($AW158-('Sprints'!$C$5+('Sprints'!$E$5-1)*'Sprints'!$D$5))/'Sprints'!$D$5,0),"")</f>
      </c>
      <c r="BM158" s="203">
        <f>IF($C158,IF(NOT(ISNUMBER($BL158)),"",IF($BL158&lt;0,"Pasada",IF($BL158=0,"Actual",IF($BL158=1,"Siguiente",IF($BL158=2,"+2 sem",IF($BL158=3,"+3 sem","Posterior")))))),"")</f>
      </c>
      <c r="BN158" s="202">
        <f>IF(AND($C158,ISNUMBER($AR158),ISNUMBER($AV158)),MAX(1,$AV158-$AR158+1),0)</f>
        <v>0</v>
      </c>
      <c r="BO158" s="202">
        <f>SUM($BN$7:$BN158)-$BN158</f>
        <v>26</v>
      </c>
      <c r="BP158" s="202">
        <f>IF(AND($C158,ISNUMBER($AV158)),$AQ158+$AV158*$AP158*'Sprints'!$D$5-'Sprints'!$D$5,"")</f>
      </c>
      <c r="BQ158" s="202">
        <f>IF(AND($C158,ISNUMBER($BP158)),$BP158*1000+ROW(),"")</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IF($C159,IF('Backlog General'!$G159="Completada",1,IF('Backlog General'!$G159="Casi lista",0.75,IF('Backlog General'!$G159="En progreso",0.5,IF('Backlog General'!$G159="Iniciada",0.25,0)))),"")</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IF($C159,IF(ISBLANK('Backlog General'!$K159),"",'Backlog General'!$K159),"")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IF(AND($C159,ISNUMBER($AR159)),IF(AND(ISNUMBER('Backlog General'!$M159),'Backlog General'!$M159&gt;=$AR159),'Backlog General'!$M159,IF(AND($AU159="Pasa al siguiente",$AT159&lt;&gt;"Completada"),$AR159+1,$AR159)),"")</f>
      </c>
      <c r="AW159" s="202">
        <f>IF(AND($C159,ISNUMBER($AR159)),$AQ159+$AR159*$AP159*'Sprints'!$D$5-'Sprints'!$D$5,"")</f>
      </c>
      <c r="AX159" s="202">
        <f>IF($C159,IF(OR($AT159="Completada",$AU159="Cancelado",$AU159="Baja prioridad",NOT(ISNUMBER($AW159))),0,IF(TODAY()&gt;$AW159,NETWORKDAYS($AW159,TODAY(),'Sprints'!$L$5:$L$40)-1,0)),"")</f>
      </c>
      <c r="AY159" s="203">
        <f>IF($C159,IF(NOT(ISNUMBER($AR159)),"Sin fecha",IF($AT159="Completada","Completada",IF($AU159="Cancelado","Cancelado",IF($AU159="Baja prioridad","Baja prioridad",IF($AX159&gt;0,"Vencida","En curso"))))),"")</f>
      </c>
      <c r="AZ159" s="203">
        <f>IF($C159,IF(ISNUMBER($AV159),$AO159&amp;" · S"&amp;$AV159,"(Sin fecha)"),"")</f>
      </c>
      <c r="BA159" s="202">
        <f>IF(AND($C159,ISNUMBER($AR159),$AR159=$AS159),"Nuevo","")</f>
      </c>
      <c r="BB159" s="202">
        <f>IF(AND($C159,$AO159="Semanal",ISNUMBER($AV159)),$AV159*100000+ROW(),"")</f>
      </c>
      <c r="BC159" s="202">
        <f>IF(AND($C159,$AO159="Quincenal",ISNUMBER($AV159)),$AV159*100000+ROW(),"")</f>
      </c>
      <c r="BD159" s="202">
        <f>IF(AND($C159,$AO159="Mensual",ISNUMBER($AV159)),$AV159*100000+ROW(),"")</f>
      </c>
      <c r="BE159" s="203">
        <f>IF($C159,IF(ISBLANK('Backlog General'!$J159),"",'Backlog General'!$J159),"")</f>
      </c>
      <c r="BF159" s="203">
        <f>IF($C159,IF($BE159="","",$BE159)&amp;IF(AND($BE159&lt;&gt;"",$AH159&lt;&gt;"")," · ","")&amp;IF($AH159="","",$AH159),"")</f>
      </c>
      <c r="BG159" s="203">
        <f>IF($C159,IF($J159="Completado","Sí","No"),"")</f>
      </c>
      <c r="BH159" s="202">
        <f>IF(AND($C159,ISNUMBER($AR159)),IF($AO159="Semanal",1,IF($AO159="Quincenal",2,3))*1000000000+$AR159*100000+ROW(),"")</f>
      </c>
      <c r="BI159" s="202">
        <f>IF($C159,IF($AU159="Cancelado","",$I159),"")</f>
      </c>
      <c r="BJ159" s="202">
        <f>IF($C159,IFERROR(MATCH($D159,$D$7:$D$200,0)+6,ROW()),"")</f>
      </c>
      <c r="BK159" s="202">
        <f>IF(AND($C159,ISNUMBER($AV159)),$BJ159*1000000+$AV159*1000+ROW(),"")</f>
      </c>
      <c r="BL159" s="202">
        <f>IF(AND($C159,ISNUMBER($AW159)),ROUND(($AW159-('Sprints'!$C$5+('Sprints'!$E$5-1)*'Sprints'!$D$5))/'Sprints'!$D$5,0),"")</f>
      </c>
      <c r="BM159" s="203">
        <f>IF($C159,IF(NOT(ISNUMBER($BL159)),"",IF($BL159&lt;0,"Pasada",IF($BL159=0,"Actual",IF($BL159=1,"Siguiente",IF($BL159=2,"+2 sem",IF($BL159=3,"+3 sem","Posterior")))))),"")</f>
      </c>
      <c r="BN159" s="202">
        <f>IF(AND($C159,ISNUMBER($AR159),ISNUMBER($AV159)),MAX(1,$AV159-$AR159+1),0)</f>
        <v>0</v>
      </c>
      <c r="BO159" s="202">
        <f>SUM($BN$7:$BN159)-$BN159</f>
        <v>26</v>
      </c>
      <c r="BP159" s="202">
        <f>IF(AND($C159,ISNUMBER($AV159)),$AQ159+$AV159*$AP159*'Sprints'!$D$5-'Sprints'!$D$5,"")</f>
      </c>
      <c r="BQ159" s="202">
        <f>IF(AND($C159,ISNUMBER($BP159)),$BP159*1000+ROW(),"")</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IF($C160,IF('Backlog General'!$G160="Completada",1,IF('Backlog General'!$G160="Casi lista",0.75,IF('Backlog General'!$G160="En progreso",0.5,IF('Backlog General'!$G160="Iniciada",0.25,0)))),"")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IF($C160,IF(ISBLANK('Backlog General'!$K160),"",'Backlog General'!$K160),"")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IF(AND($C160,ISNUMBER($AR160)),IF(AND(ISNUMBER('Backlog General'!$M160),'Backlog General'!$M160&gt;=$AR160),'Backlog General'!$M160,IF(AND($AU160="Pasa al siguiente",$AT160&lt;&gt;"Completada"),$AR160+1,$AR160)),"")</f>
      </c>
      <c r="AW160" s="202">
        <f>IF(AND($C160,ISNUMBER($AR160)),$AQ160+$AR160*$AP160*'Sprints'!$D$5-'Sprints'!$D$5,"")</f>
      </c>
      <c r="AX160" s="202">
        <f>IF($C160,IF(OR($AT160="Completada",$AU160="Cancelado",$AU160="Baja prioridad",NOT(ISNUMBER($AW160))),0,IF(TODAY()&gt;$AW160,NETWORKDAYS($AW160,TODAY(),'Sprints'!$L$5:$L$40)-1,0)),"")</f>
      </c>
      <c r="AY160" s="203">
        <f>IF($C160,IF(NOT(ISNUMBER($AR160)),"Sin fecha",IF($AT160="Completada","Completada",IF($AU160="Cancelado","Cancelado",IF($AU160="Baja prioridad","Baja prioridad",IF($AX160&gt;0,"Vencida","En curso"))))),"")</f>
      </c>
      <c r="AZ160" s="203">
        <f>IF($C160,IF(ISNUMBER($AV160),$AO160&amp;" · S"&amp;$AV160,"(Sin fecha)"),"")</f>
      </c>
      <c r="BA160" s="202">
        <f>IF(AND($C160,ISNUMBER($AR160),$AR160=$AS160),"Nuevo","")</f>
      </c>
      <c r="BB160" s="202">
        <f>IF(AND($C160,$AO160="Semanal",ISNUMBER($AV160)),$AV160*100000+ROW(),"")</f>
      </c>
      <c r="BC160" s="202">
        <f>IF(AND($C160,$AO160="Quincenal",ISNUMBER($AV160)),$AV160*100000+ROW(),"")</f>
      </c>
      <c r="BD160" s="202">
        <f>IF(AND($C160,$AO160="Mensual",ISNUMBER($AV160)),$AV160*100000+ROW(),"")</f>
      </c>
      <c r="BE160" s="203">
        <f>IF($C160,IF(ISBLANK('Backlog General'!$J160),"",'Backlog General'!$J160),"")</f>
      </c>
      <c r="BF160" s="203">
        <f>IF($C160,IF($BE160="","",$BE160)&amp;IF(AND($BE160&lt;&gt;"",$AH160&lt;&gt;"")," · ","")&amp;IF($AH160="","",$AH160),"")</f>
      </c>
      <c r="BG160" s="203">
        <f>IF($C160,IF($J160="Completado","Sí","No"),"")</f>
      </c>
      <c r="BH160" s="202">
        <f>IF(AND($C160,ISNUMBER($AR160)),IF($AO160="Semanal",1,IF($AO160="Quincenal",2,3))*1000000000+$AR160*100000+ROW(),"")</f>
      </c>
      <c r="BI160" s="202">
        <f>IF($C160,IF($AU160="Cancelado","",$I160),"")</f>
      </c>
      <c r="BJ160" s="202">
        <f>IF($C160,IFERROR(MATCH($D160,$D$7:$D$200,0)+6,ROW()),"")</f>
      </c>
      <c r="BK160" s="202">
        <f>IF(AND($C160,ISNUMBER($AV160)),$BJ160*1000000+$AV160*1000+ROW(),"")</f>
      </c>
      <c r="BL160" s="202">
        <f>IF(AND($C160,ISNUMBER($AW160)),ROUND(($AW160-('Sprints'!$C$5+('Sprints'!$E$5-1)*'Sprints'!$D$5))/'Sprints'!$D$5,0),"")</f>
      </c>
      <c r="BM160" s="203">
        <f>IF($C160,IF(NOT(ISNUMBER($BL160)),"",IF($BL160&lt;0,"Pasada",IF($BL160=0,"Actual",IF($BL160=1,"Siguiente",IF($BL160=2,"+2 sem",IF($BL160=3,"+3 sem","Posterior")))))),"")</f>
      </c>
      <c r="BN160" s="202">
        <f>IF(AND($C160,ISNUMBER($AR160),ISNUMBER($AV160)),MAX(1,$AV160-$AR160+1),0)</f>
        <v>0</v>
      </c>
      <c r="BO160" s="202">
        <f>SUM($BN$7:$BN160)-$BN160</f>
        <v>26</v>
      </c>
      <c r="BP160" s="202">
        <f>IF(AND($C160,ISNUMBER($AV160)),$AQ160+$AV160*$AP160*'Sprints'!$D$5-'Sprints'!$D$5,"")</f>
      </c>
      <c r="BQ160" s="202">
        <f>IF(AND($C160,ISNUMBER($BP160)),$BP160*1000+ROW(),"")</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IF($C161,IF('Backlog General'!$G161="Completada",1,IF('Backlog General'!$G161="Casi lista",0.75,IF('Backlog General'!$G161="En progreso",0.5,IF('Backlog General'!$G161="Iniciada",0.25,0)))),"")</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IF($C161,IF(ISBLANK('Backlog General'!$K161),"",'Backlog General'!$K161),"")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IF(AND($C161,ISNUMBER($AR161)),IF(AND(ISNUMBER('Backlog General'!$M161),'Backlog General'!$M161&gt;=$AR161),'Backlog General'!$M161,IF(AND($AU161="Pasa al siguiente",$AT161&lt;&gt;"Completada"),$AR161+1,$AR161)),"")</f>
      </c>
      <c r="AW161" s="202">
        <f>IF(AND($C161,ISNUMBER($AR161)),$AQ161+$AR161*$AP161*'Sprints'!$D$5-'Sprints'!$D$5,"")</f>
      </c>
      <c r="AX161" s="202">
        <f>IF($C161,IF(OR($AT161="Completada",$AU161="Cancelado",$AU161="Baja prioridad",NOT(ISNUMBER($AW161))),0,IF(TODAY()&gt;$AW161,NETWORKDAYS($AW161,TODAY(),'Sprints'!$L$5:$L$40)-1,0)),"")</f>
      </c>
      <c r="AY161" s="203">
        <f>IF($C161,IF(NOT(ISNUMBER($AR161)),"Sin fecha",IF($AT161="Completada","Completada",IF($AU161="Cancelado","Cancelado",IF($AU161="Baja prioridad","Baja prioridad",IF($AX161&gt;0,"Vencida","En curso"))))),"")</f>
      </c>
      <c r="AZ161" s="203">
        <f>IF($C161,IF(ISNUMBER($AV161),$AO161&amp;" · S"&amp;$AV161,"(Sin fecha)"),"")</f>
      </c>
      <c r="BA161" s="202">
        <f>IF(AND($C161,ISNUMBER($AR161),$AR161=$AS161),"Nuevo","")</f>
      </c>
      <c r="BB161" s="202">
        <f>IF(AND($C161,$AO161="Semanal",ISNUMBER($AV161)),$AV161*100000+ROW(),"")</f>
      </c>
      <c r="BC161" s="202">
        <f>IF(AND($C161,$AO161="Quincenal",ISNUMBER($AV161)),$AV161*100000+ROW(),"")</f>
      </c>
      <c r="BD161" s="202">
        <f>IF(AND($C161,$AO161="Mensual",ISNUMBER($AV161)),$AV161*100000+ROW(),"")</f>
      </c>
      <c r="BE161" s="203">
        <f>IF($C161,IF(ISBLANK('Backlog General'!$J161),"",'Backlog General'!$J161),"")</f>
      </c>
      <c r="BF161" s="203">
        <f>IF($C161,IF($BE161="","",$BE161)&amp;IF(AND($BE161&lt;&gt;"",$AH161&lt;&gt;"")," · ","")&amp;IF($AH161="","",$AH161),"")</f>
      </c>
      <c r="BG161" s="203">
        <f>IF($C161,IF($J161="Completado","Sí","No"),"")</f>
      </c>
      <c r="BH161" s="202">
        <f>IF(AND($C161,ISNUMBER($AR161)),IF($AO161="Semanal",1,IF($AO161="Quincenal",2,3))*1000000000+$AR161*100000+ROW(),"")</f>
      </c>
      <c r="BI161" s="202">
        <f>IF($C161,IF($AU161="Cancelado","",$I161),"")</f>
      </c>
      <c r="BJ161" s="202">
        <f>IF($C161,IFERROR(MATCH($D161,$D$7:$D$200,0)+6,ROW()),"")</f>
      </c>
      <c r="BK161" s="202">
        <f>IF(AND($C161,ISNUMBER($AV161)),$BJ161*1000000+$AV161*1000+ROW(),"")</f>
      </c>
      <c r="BL161" s="202">
        <f>IF(AND($C161,ISNUMBER($AW161)),ROUND(($AW161-('Sprints'!$C$5+('Sprints'!$E$5-1)*'Sprints'!$D$5))/'Sprints'!$D$5,0),"")</f>
      </c>
      <c r="BM161" s="203">
        <f>IF($C161,IF(NOT(ISNUMBER($BL161)),"",IF($BL161&lt;0,"Pasada",IF($BL161=0,"Actual",IF($BL161=1,"Siguiente",IF($BL161=2,"+2 sem",IF($BL161=3,"+3 sem","Posterior")))))),"")</f>
      </c>
      <c r="BN161" s="202">
        <f>IF(AND($C161,ISNUMBER($AR161),ISNUMBER($AV161)),MAX(1,$AV161-$AR161+1),0)</f>
        <v>0</v>
      </c>
      <c r="BO161" s="202">
        <f>SUM($BN$7:$BN161)-$BN161</f>
        <v>26</v>
      </c>
      <c r="BP161" s="202">
        <f>IF(AND($C161,ISNUMBER($AV161)),$AQ161+$AV161*$AP161*'Sprints'!$D$5-'Sprints'!$D$5,"")</f>
      </c>
      <c r="BQ161" s="202">
        <f>IF(AND($C161,ISNUMBER($BP161)),$BP161*1000+ROW(),"")</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IF($C162,IF('Backlog General'!$G162="Completada",1,IF('Backlog General'!$G162="Casi lista",0.75,IF('Backlog General'!$G162="En progreso",0.5,IF('Backlog General'!$G162="Iniciada",0.25,0)))),"")</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IF($C162,IF(ISBLANK('Backlog General'!$K162),"",'Backlog General'!$K162),"")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IF(AND($C162,ISNUMBER($AR162)),IF(AND(ISNUMBER('Backlog General'!$M162),'Backlog General'!$M162&gt;=$AR162),'Backlog General'!$M162,IF(AND($AU162="Pasa al siguiente",$AT162&lt;&gt;"Completada"),$AR162+1,$AR162)),"")</f>
      </c>
      <c r="AW162" s="202">
        <f>IF(AND($C162,ISNUMBER($AR162)),$AQ162+$AR162*$AP162*'Sprints'!$D$5-'Sprints'!$D$5,"")</f>
      </c>
      <c r="AX162" s="202">
        <f>IF($C162,IF(OR($AT162="Completada",$AU162="Cancelado",$AU162="Baja prioridad",NOT(ISNUMBER($AW162))),0,IF(TODAY()&gt;$AW162,NETWORKDAYS($AW162,TODAY(),'Sprints'!$L$5:$L$40)-1,0)),"")</f>
      </c>
      <c r="AY162" s="203">
        <f>IF($C162,IF(NOT(ISNUMBER($AR162)),"Sin fecha",IF($AT162="Completada","Completada",IF($AU162="Cancelado","Cancelado",IF($AU162="Baja prioridad","Baja prioridad",IF($AX162&gt;0,"Vencida","En curso"))))),"")</f>
      </c>
      <c r="AZ162" s="203">
        <f>IF($C162,IF(ISNUMBER($AV162),$AO162&amp;" · S"&amp;$AV162,"(Sin fecha)"),"")</f>
      </c>
      <c r="BA162" s="202">
        <f>IF(AND($C162,ISNUMBER($AR162),$AR162=$AS162),"Nuevo","")</f>
      </c>
      <c r="BB162" s="202">
        <f>IF(AND($C162,$AO162="Semanal",ISNUMBER($AV162)),$AV162*100000+ROW(),"")</f>
      </c>
      <c r="BC162" s="202">
        <f>IF(AND($C162,$AO162="Quincenal",ISNUMBER($AV162)),$AV162*100000+ROW(),"")</f>
      </c>
      <c r="BD162" s="202">
        <f>IF(AND($C162,$AO162="Mensual",ISNUMBER($AV162)),$AV162*100000+ROW(),"")</f>
      </c>
      <c r="BE162" s="203">
        <f>IF($C162,IF(ISBLANK('Backlog General'!$J162),"",'Backlog General'!$J162),"")</f>
      </c>
      <c r="BF162" s="203">
        <f>IF($C162,IF($BE162="","",$BE162)&amp;IF(AND($BE162&lt;&gt;"",$AH162&lt;&gt;"")," · ","")&amp;IF($AH162="","",$AH162),"")</f>
      </c>
      <c r="BG162" s="203">
        <f>IF($C162,IF($J162="Completado","Sí","No"),"")</f>
      </c>
      <c r="BH162" s="202">
        <f>IF(AND($C162,ISNUMBER($AR162)),IF($AO162="Semanal",1,IF($AO162="Quincenal",2,3))*1000000000+$AR162*100000+ROW(),"")</f>
      </c>
      <c r="BI162" s="202">
        <f>IF($C162,IF($AU162="Cancelado","",$I162),"")</f>
      </c>
      <c r="BJ162" s="202">
        <f>IF($C162,IFERROR(MATCH($D162,$D$7:$D$200,0)+6,ROW()),"")</f>
      </c>
      <c r="BK162" s="202">
        <f>IF(AND($C162,ISNUMBER($AV162)),$BJ162*1000000+$AV162*1000+ROW(),"")</f>
      </c>
      <c r="BL162" s="202">
        <f>IF(AND($C162,ISNUMBER($AW162)),ROUND(($AW162-('Sprints'!$C$5+('Sprints'!$E$5-1)*'Sprints'!$D$5))/'Sprints'!$D$5,0),"")</f>
      </c>
      <c r="BM162" s="203">
        <f>IF($C162,IF(NOT(ISNUMBER($BL162)),"",IF($BL162&lt;0,"Pasada",IF($BL162=0,"Actual",IF($BL162=1,"Siguiente",IF($BL162=2,"+2 sem",IF($BL162=3,"+3 sem","Posterior")))))),"")</f>
      </c>
      <c r="BN162" s="202">
        <f>IF(AND($C162,ISNUMBER($AR162),ISNUMBER($AV162)),MAX(1,$AV162-$AR162+1),0)</f>
        <v>0</v>
      </c>
      <c r="BO162" s="202">
        <f>SUM($BN$7:$BN162)-$BN162</f>
        <v>26</v>
      </c>
      <c r="BP162" s="202">
        <f>IF(AND($C162,ISNUMBER($AV162)),$AQ162+$AV162*$AP162*'Sprints'!$D$5-'Sprints'!$D$5,"")</f>
      </c>
      <c r="BQ162" s="202">
        <f>IF(AND($C162,ISNUMBER($BP162)),$BP162*1000+ROW(),"")</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IF($C163,IF('Backlog General'!$G163="Completada",1,IF('Backlog General'!$G163="Casi lista",0.75,IF('Backlog General'!$G163="En progreso",0.5,IF('Backlog General'!$G163="Iniciada",0.25,0)))),"")</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IF($C163,IF(ISBLANK('Backlog General'!$K163),"",'Backlog General'!$K163),"")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IF(AND($C163,ISNUMBER($AR163)),IF(AND(ISNUMBER('Backlog General'!$M163),'Backlog General'!$M163&gt;=$AR163),'Backlog General'!$M163,IF(AND($AU163="Pasa al siguiente",$AT163&lt;&gt;"Completada"),$AR163+1,$AR163)),"")</f>
      </c>
      <c r="AW163" s="202">
        <f>IF(AND($C163,ISNUMBER($AR163)),$AQ163+$AR163*$AP163*'Sprints'!$D$5-'Sprints'!$D$5,"")</f>
      </c>
      <c r="AX163" s="202">
        <f>IF($C163,IF(OR($AT163="Completada",$AU163="Cancelado",$AU163="Baja prioridad",NOT(ISNUMBER($AW163))),0,IF(TODAY()&gt;$AW163,NETWORKDAYS($AW163,TODAY(),'Sprints'!$L$5:$L$40)-1,0)),"")</f>
      </c>
      <c r="AY163" s="203">
        <f>IF($C163,IF(NOT(ISNUMBER($AR163)),"Sin fecha",IF($AT163="Completada","Completada",IF($AU163="Cancelado","Cancelado",IF($AU163="Baja prioridad","Baja prioridad",IF($AX163&gt;0,"Vencida","En curso"))))),"")</f>
      </c>
      <c r="AZ163" s="203">
        <f>IF($C163,IF(ISNUMBER($AV163),$AO163&amp;" · S"&amp;$AV163,"(Sin fecha)"),"")</f>
      </c>
      <c r="BA163" s="202">
        <f>IF(AND($C163,ISNUMBER($AR163),$AR163=$AS163),"Nuevo","")</f>
      </c>
      <c r="BB163" s="202">
        <f>IF(AND($C163,$AO163="Semanal",ISNUMBER($AV163)),$AV163*100000+ROW(),"")</f>
      </c>
      <c r="BC163" s="202">
        <f>IF(AND($C163,$AO163="Quincenal",ISNUMBER($AV163)),$AV163*100000+ROW(),"")</f>
      </c>
      <c r="BD163" s="202">
        <f>IF(AND($C163,$AO163="Mensual",ISNUMBER($AV163)),$AV163*100000+ROW(),"")</f>
      </c>
      <c r="BE163" s="203">
        <f>IF($C163,IF(ISBLANK('Backlog General'!$J163),"",'Backlog General'!$J163),"")</f>
      </c>
      <c r="BF163" s="203">
        <f>IF($C163,IF($BE163="","",$BE163)&amp;IF(AND($BE163&lt;&gt;"",$AH163&lt;&gt;"")," · ","")&amp;IF($AH163="","",$AH163),"")</f>
      </c>
      <c r="BG163" s="203">
        <f>IF($C163,IF($J163="Completado","Sí","No"),"")</f>
      </c>
      <c r="BH163" s="202">
        <f>IF(AND($C163,ISNUMBER($AR163)),IF($AO163="Semanal",1,IF($AO163="Quincenal",2,3))*1000000000+$AR163*100000+ROW(),"")</f>
      </c>
      <c r="BI163" s="202">
        <f>IF($C163,IF($AU163="Cancelado","",$I163),"")</f>
      </c>
      <c r="BJ163" s="202">
        <f>IF($C163,IFERROR(MATCH($D163,$D$7:$D$200,0)+6,ROW()),"")</f>
      </c>
      <c r="BK163" s="202">
        <f>IF(AND($C163,ISNUMBER($AV163)),$BJ163*1000000+$AV163*1000+ROW(),"")</f>
      </c>
      <c r="BL163" s="202">
        <f>IF(AND($C163,ISNUMBER($AW163)),ROUND(($AW163-('Sprints'!$C$5+('Sprints'!$E$5-1)*'Sprints'!$D$5))/'Sprints'!$D$5,0),"")</f>
      </c>
      <c r="BM163" s="203">
        <f>IF($C163,IF(NOT(ISNUMBER($BL163)),"",IF($BL163&lt;0,"Pasada",IF($BL163=0,"Actual",IF($BL163=1,"Siguiente",IF($BL163=2,"+2 sem",IF($BL163=3,"+3 sem","Posterior")))))),"")</f>
      </c>
      <c r="BN163" s="202">
        <f>IF(AND($C163,ISNUMBER($AR163),ISNUMBER($AV163)),MAX(1,$AV163-$AR163+1),0)</f>
        <v>0</v>
      </c>
      <c r="BO163" s="202">
        <f>SUM($BN$7:$BN163)-$BN163</f>
        <v>26</v>
      </c>
      <c r="BP163" s="202">
        <f>IF(AND($C163,ISNUMBER($AV163)),$AQ163+$AV163*$AP163*'Sprints'!$D$5-'Sprints'!$D$5,"")</f>
      </c>
      <c r="BQ163" s="202">
        <f>IF(AND($C163,ISNUMBER($BP163)),$BP163*1000+ROW(),"")</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IF($C164,IF('Backlog General'!$G164="Completada",1,IF('Backlog General'!$G164="Casi lista",0.75,IF('Backlog General'!$G164="En progreso",0.5,IF('Backlog General'!$G164="Iniciada",0.25,0)))),"")</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IF($C164,IF(ISBLANK('Backlog General'!$K164),"",'Backlog General'!$K164),"")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IF(AND($C164,ISNUMBER($AR164)),IF(AND(ISNUMBER('Backlog General'!$M164),'Backlog General'!$M164&gt;=$AR164),'Backlog General'!$M164,IF(AND($AU164="Pasa al siguiente",$AT164&lt;&gt;"Completada"),$AR164+1,$AR164)),"")</f>
      </c>
      <c r="AW164" s="202">
        <f>IF(AND($C164,ISNUMBER($AR164)),$AQ164+$AR164*$AP164*'Sprints'!$D$5-'Sprints'!$D$5,"")</f>
      </c>
      <c r="AX164" s="202">
        <f>IF($C164,IF(OR($AT164="Completada",$AU164="Cancelado",$AU164="Baja prioridad",NOT(ISNUMBER($AW164))),0,IF(TODAY()&gt;$AW164,NETWORKDAYS($AW164,TODAY(),'Sprints'!$L$5:$L$40)-1,0)),"")</f>
      </c>
      <c r="AY164" s="203">
        <f>IF($C164,IF(NOT(ISNUMBER($AR164)),"Sin fecha",IF($AT164="Completada","Completada",IF($AU164="Cancelado","Cancelado",IF($AU164="Baja prioridad","Baja prioridad",IF($AX164&gt;0,"Vencida","En curso"))))),"")</f>
      </c>
      <c r="AZ164" s="203">
        <f>IF($C164,IF(ISNUMBER($AV164),$AO164&amp;" · S"&amp;$AV164,"(Sin fecha)"),"")</f>
      </c>
      <c r="BA164" s="202">
        <f>IF(AND($C164,ISNUMBER($AR164),$AR164=$AS164),"Nuevo","")</f>
      </c>
      <c r="BB164" s="202">
        <f>IF(AND($C164,$AO164="Semanal",ISNUMBER($AV164)),$AV164*100000+ROW(),"")</f>
      </c>
      <c r="BC164" s="202">
        <f>IF(AND($C164,$AO164="Quincenal",ISNUMBER($AV164)),$AV164*100000+ROW(),"")</f>
      </c>
      <c r="BD164" s="202">
        <f>IF(AND($C164,$AO164="Mensual",ISNUMBER($AV164)),$AV164*100000+ROW(),"")</f>
      </c>
      <c r="BE164" s="203">
        <f>IF($C164,IF(ISBLANK('Backlog General'!$J164),"",'Backlog General'!$J164),"")</f>
      </c>
      <c r="BF164" s="203">
        <f>IF($C164,IF($BE164="","",$BE164)&amp;IF(AND($BE164&lt;&gt;"",$AH164&lt;&gt;"")," · ","")&amp;IF($AH164="","",$AH164),"")</f>
      </c>
      <c r="BG164" s="203">
        <f>IF($C164,IF($J164="Completado","Sí","No"),"")</f>
      </c>
      <c r="BH164" s="202">
        <f>IF(AND($C164,ISNUMBER($AR164)),IF($AO164="Semanal",1,IF($AO164="Quincenal",2,3))*1000000000+$AR164*100000+ROW(),"")</f>
      </c>
      <c r="BI164" s="202">
        <f>IF($C164,IF($AU164="Cancelado","",$I164),"")</f>
      </c>
      <c r="BJ164" s="202">
        <f>IF($C164,IFERROR(MATCH($D164,$D$7:$D$200,0)+6,ROW()),"")</f>
      </c>
      <c r="BK164" s="202">
        <f>IF(AND($C164,ISNUMBER($AV164)),$BJ164*1000000+$AV164*1000+ROW(),"")</f>
      </c>
      <c r="BL164" s="202">
        <f>IF(AND($C164,ISNUMBER($AW164)),ROUND(($AW164-('Sprints'!$C$5+('Sprints'!$E$5-1)*'Sprints'!$D$5))/'Sprints'!$D$5,0),"")</f>
      </c>
      <c r="BM164" s="203">
        <f>IF($C164,IF(NOT(ISNUMBER($BL164)),"",IF($BL164&lt;0,"Pasada",IF($BL164=0,"Actual",IF($BL164=1,"Siguiente",IF($BL164=2,"+2 sem",IF($BL164=3,"+3 sem","Posterior")))))),"")</f>
      </c>
      <c r="BN164" s="202">
        <f>IF(AND($C164,ISNUMBER($AR164),ISNUMBER($AV164)),MAX(1,$AV164-$AR164+1),0)</f>
        <v>0</v>
      </c>
      <c r="BO164" s="202">
        <f>SUM($BN$7:$BN164)-$BN164</f>
        <v>26</v>
      </c>
      <c r="BP164" s="202">
        <f>IF(AND($C164,ISNUMBER($AV164)),$AQ164+$AV164*$AP164*'Sprints'!$D$5-'Sprints'!$D$5,"")</f>
      </c>
      <c r="BQ164" s="202">
        <f>IF(AND($C164,ISNUMBER($BP164)),$BP164*1000+ROW(),"")</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IF($C165,IF('Backlog General'!$G165="Completada",1,IF('Backlog General'!$G165="Casi lista",0.75,IF('Backlog General'!$G165="En progreso",0.5,IF('Backlog General'!$G165="Iniciada",0.25,0)))),"")</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IF($C165,IF(ISBLANK('Backlog General'!$K165),"",'Backlog General'!$K165),"")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IF(AND($C165,ISNUMBER($AR165)),IF(AND(ISNUMBER('Backlog General'!$M165),'Backlog General'!$M165&gt;=$AR165),'Backlog General'!$M165,IF(AND($AU165="Pasa al siguiente",$AT165&lt;&gt;"Completada"),$AR165+1,$AR165)),"")</f>
      </c>
      <c r="AW165" s="202">
        <f>IF(AND($C165,ISNUMBER($AR165)),$AQ165+$AR165*$AP165*'Sprints'!$D$5-'Sprints'!$D$5,"")</f>
      </c>
      <c r="AX165" s="202">
        <f>IF($C165,IF(OR($AT165="Completada",$AU165="Cancelado",$AU165="Baja prioridad",NOT(ISNUMBER($AW165))),0,IF(TODAY()&gt;$AW165,NETWORKDAYS($AW165,TODAY(),'Sprints'!$L$5:$L$40)-1,0)),"")</f>
      </c>
      <c r="AY165" s="203">
        <f>IF($C165,IF(NOT(ISNUMBER($AR165)),"Sin fecha",IF($AT165="Completada","Completada",IF($AU165="Cancelado","Cancelado",IF($AU165="Baja prioridad","Baja prioridad",IF($AX165&gt;0,"Vencida","En curso"))))),"")</f>
      </c>
      <c r="AZ165" s="203">
        <f>IF($C165,IF(ISNUMBER($AV165),$AO165&amp;" · S"&amp;$AV165,"(Sin fecha)"),"")</f>
      </c>
      <c r="BA165" s="202">
        <f>IF(AND($C165,ISNUMBER($AR165),$AR165=$AS165),"Nuevo","")</f>
      </c>
      <c r="BB165" s="202">
        <f>IF(AND($C165,$AO165="Semanal",ISNUMBER($AV165)),$AV165*100000+ROW(),"")</f>
      </c>
      <c r="BC165" s="202">
        <f>IF(AND($C165,$AO165="Quincenal",ISNUMBER($AV165)),$AV165*100000+ROW(),"")</f>
      </c>
      <c r="BD165" s="202">
        <f>IF(AND($C165,$AO165="Mensual",ISNUMBER($AV165)),$AV165*100000+ROW(),"")</f>
      </c>
      <c r="BE165" s="203">
        <f>IF($C165,IF(ISBLANK('Backlog General'!$J165),"",'Backlog General'!$J165),"")</f>
      </c>
      <c r="BF165" s="203">
        <f>IF($C165,IF($BE165="","",$BE165)&amp;IF(AND($BE165&lt;&gt;"",$AH165&lt;&gt;"")," · ","")&amp;IF($AH165="","",$AH165),"")</f>
      </c>
      <c r="BG165" s="203">
        <f>IF($C165,IF($J165="Completado","Sí","No"),"")</f>
      </c>
      <c r="BH165" s="202">
        <f>IF(AND($C165,ISNUMBER($AR165)),IF($AO165="Semanal",1,IF($AO165="Quincenal",2,3))*1000000000+$AR165*100000+ROW(),"")</f>
      </c>
      <c r="BI165" s="202">
        <f>IF($C165,IF($AU165="Cancelado","",$I165),"")</f>
      </c>
      <c r="BJ165" s="202">
        <f>IF($C165,IFERROR(MATCH($D165,$D$7:$D$200,0)+6,ROW()),"")</f>
      </c>
      <c r="BK165" s="202">
        <f>IF(AND($C165,ISNUMBER($AV165)),$BJ165*1000000+$AV165*1000+ROW(),"")</f>
      </c>
      <c r="BL165" s="202">
        <f>IF(AND($C165,ISNUMBER($AW165)),ROUND(($AW165-('Sprints'!$C$5+('Sprints'!$E$5-1)*'Sprints'!$D$5))/'Sprints'!$D$5,0),"")</f>
      </c>
      <c r="BM165" s="203">
        <f>IF($C165,IF(NOT(ISNUMBER($BL165)),"",IF($BL165&lt;0,"Pasada",IF($BL165=0,"Actual",IF($BL165=1,"Siguiente",IF($BL165=2,"+2 sem",IF($BL165=3,"+3 sem","Posterior")))))),"")</f>
      </c>
      <c r="BN165" s="202">
        <f>IF(AND($C165,ISNUMBER($AR165),ISNUMBER($AV165)),MAX(1,$AV165-$AR165+1),0)</f>
        <v>0</v>
      </c>
      <c r="BO165" s="202">
        <f>SUM($BN$7:$BN165)-$BN165</f>
        <v>26</v>
      </c>
      <c r="BP165" s="202">
        <f>IF(AND($C165,ISNUMBER($AV165)),$AQ165+$AV165*$AP165*'Sprints'!$D$5-'Sprints'!$D$5,"")</f>
      </c>
      <c r="BQ165" s="202">
        <f>IF(AND($C165,ISNUMBER($BP165)),$BP165*1000+ROW(),"")</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IF($C166,IF('Backlog General'!$G166="Completada",1,IF('Backlog General'!$G166="Casi lista",0.75,IF('Backlog General'!$G166="En progreso",0.5,IF('Backlog General'!$G166="Iniciada",0.25,0)))),"")</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IF($C166,IF(ISBLANK('Backlog General'!$K166),"",'Backlog General'!$K166),"")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IF(AND($C166,ISNUMBER($AR166)),IF(AND(ISNUMBER('Backlog General'!$M166),'Backlog General'!$M166&gt;=$AR166),'Backlog General'!$M166,IF(AND($AU166="Pasa al siguiente",$AT166&lt;&gt;"Completada"),$AR166+1,$AR166)),"")</f>
      </c>
      <c r="AW166" s="202">
        <f>IF(AND($C166,ISNUMBER($AR166)),$AQ166+$AR166*$AP166*'Sprints'!$D$5-'Sprints'!$D$5,"")</f>
      </c>
      <c r="AX166" s="202">
        <f>IF($C166,IF(OR($AT166="Completada",$AU166="Cancelado",$AU166="Baja prioridad",NOT(ISNUMBER($AW166))),0,IF(TODAY()&gt;$AW166,NETWORKDAYS($AW166,TODAY(),'Sprints'!$L$5:$L$40)-1,0)),"")</f>
      </c>
      <c r="AY166" s="203">
        <f>IF($C166,IF(NOT(ISNUMBER($AR166)),"Sin fecha",IF($AT166="Completada","Completada",IF($AU166="Cancelado","Cancelado",IF($AU166="Baja prioridad","Baja prioridad",IF($AX166&gt;0,"Vencida","En curso"))))),"")</f>
      </c>
      <c r="AZ166" s="203">
        <f>IF($C166,IF(ISNUMBER($AV166),$AO166&amp;" · S"&amp;$AV166,"(Sin fecha)"),"")</f>
      </c>
      <c r="BA166" s="202">
        <f>IF(AND($C166,ISNUMBER($AR166),$AR166=$AS166),"Nuevo","")</f>
      </c>
      <c r="BB166" s="202">
        <f>IF(AND($C166,$AO166="Semanal",ISNUMBER($AV166)),$AV166*100000+ROW(),"")</f>
      </c>
      <c r="BC166" s="202">
        <f>IF(AND($C166,$AO166="Quincenal",ISNUMBER($AV166)),$AV166*100000+ROW(),"")</f>
      </c>
      <c r="BD166" s="202">
        <f>IF(AND($C166,$AO166="Mensual",ISNUMBER($AV166)),$AV166*100000+ROW(),"")</f>
      </c>
      <c r="BE166" s="203">
        <f>IF($C166,IF(ISBLANK('Backlog General'!$J166),"",'Backlog General'!$J166),"")</f>
      </c>
      <c r="BF166" s="203">
        <f>IF($C166,IF($BE166="","",$BE166)&amp;IF(AND($BE166&lt;&gt;"",$AH166&lt;&gt;"")," · ","")&amp;IF($AH166="","",$AH166),"")</f>
      </c>
      <c r="BG166" s="203">
        <f>IF($C166,IF($J166="Completado","Sí","No"),"")</f>
      </c>
      <c r="BH166" s="202">
        <f>IF(AND($C166,ISNUMBER($AR166)),IF($AO166="Semanal",1,IF($AO166="Quincenal",2,3))*1000000000+$AR166*100000+ROW(),"")</f>
      </c>
      <c r="BI166" s="202">
        <f>IF($C166,IF($AU166="Cancelado","",$I166),"")</f>
      </c>
      <c r="BJ166" s="202">
        <f>IF($C166,IFERROR(MATCH($D166,$D$7:$D$200,0)+6,ROW()),"")</f>
      </c>
      <c r="BK166" s="202">
        <f>IF(AND($C166,ISNUMBER($AV166)),$BJ166*1000000+$AV166*1000+ROW(),"")</f>
      </c>
      <c r="BL166" s="202">
        <f>IF(AND($C166,ISNUMBER($AW166)),ROUND(($AW166-('Sprints'!$C$5+('Sprints'!$E$5-1)*'Sprints'!$D$5))/'Sprints'!$D$5,0),"")</f>
      </c>
      <c r="BM166" s="203">
        <f>IF($C166,IF(NOT(ISNUMBER($BL166)),"",IF($BL166&lt;0,"Pasada",IF($BL166=0,"Actual",IF($BL166=1,"Siguiente",IF($BL166=2,"+2 sem",IF($BL166=3,"+3 sem","Posterior")))))),"")</f>
      </c>
      <c r="BN166" s="202">
        <f>IF(AND($C166,ISNUMBER($AR166),ISNUMBER($AV166)),MAX(1,$AV166-$AR166+1),0)</f>
        <v>0</v>
      </c>
      <c r="BO166" s="202">
        <f>SUM($BN$7:$BN166)-$BN166</f>
        <v>26</v>
      </c>
      <c r="BP166" s="202">
        <f>IF(AND($C166,ISNUMBER($AV166)),$AQ166+$AV166*$AP166*'Sprints'!$D$5-'Sprints'!$D$5,"")</f>
      </c>
      <c r="BQ166" s="202">
        <f>IF(AND($C166,ISNUMBER($BP166)),$BP166*1000+ROW(),"")</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IF($C167,IF('Backlog General'!$G167="Completada",1,IF('Backlog General'!$G167="Casi lista",0.75,IF('Backlog General'!$G167="En progreso",0.5,IF('Backlog General'!$G167="Iniciada",0.25,0)))),"")</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IF($C167,IF(ISBLANK('Backlog General'!$K167),"",'Backlog General'!$K167),"")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IF(AND($C167,ISNUMBER($AR167)),IF(AND(ISNUMBER('Backlog General'!$M167),'Backlog General'!$M167&gt;=$AR167),'Backlog General'!$M167,IF(AND($AU167="Pasa al siguiente",$AT167&lt;&gt;"Completada"),$AR167+1,$AR167)),"")</f>
      </c>
      <c r="AW167" s="202">
        <f>IF(AND($C167,ISNUMBER($AR167)),$AQ167+$AR167*$AP167*'Sprints'!$D$5-'Sprints'!$D$5,"")</f>
      </c>
      <c r="AX167" s="202">
        <f>IF($C167,IF(OR($AT167="Completada",$AU167="Cancelado",$AU167="Baja prioridad",NOT(ISNUMBER($AW167))),0,IF(TODAY()&gt;$AW167,NETWORKDAYS($AW167,TODAY(),'Sprints'!$L$5:$L$40)-1,0)),"")</f>
      </c>
      <c r="AY167" s="203">
        <f>IF($C167,IF(NOT(ISNUMBER($AR167)),"Sin fecha",IF($AT167="Completada","Completada",IF($AU167="Cancelado","Cancelado",IF($AU167="Baja prioridad","Baja prioridad",IF($AX167&gt;0,"Vencida","En curso"))))),"")</f>
      </c>
      <c r="AZ167" s="203">
        <f>IF($C167,IF(ISNUMBER($AV167),$AO167&amp;" · S"&amp;$AV167,"(Sin fecha)"),"")</f>
      </c>
      <c r="BA167" s="202">
        <f>IF(AND($C167,ISNUMBER($AR167),$AR167=$AS167),"Nuevo","")</f>
      </c>
      <c r="BB167" s="202">
        <f>IF(AND($C167,$AO167="Semanal",ISNUMBER($AV167)),$AV167*100000+ROW(),"")</f>
      </c>
      <c r="BC167" s="202">
        <f>IF(AND($C167,$AO167="Quincenal",ISNUMBER($AV167)),$AV167*100000+ROW(),"")</f>
      </c>
      <c r="BD167" s="202">
        <f>IF(AND($C167,$AO167="Mensual",ISNUMBER($AV167)),$AV167*100000+ROW(),"")</f>
      </c>
      <c r="BE167" s="203">
        <f>IF($C167,IF(ISBLANK('Backlog General'!$J167),"",'Backlog General'!$J167),"")</f>
      </c>
      <c r="BF167" s="203">
        <f>IF($C167,IF($BE167="","",$BE167)&amp;IF(AND($BE167&lt;&gt;"",$AH167&lt;&gt;"")," · ","")&amp;IF($AH167="","",$AH167),"")</f>
      </c>
      <c r="BG167" s="203">
        <f>IF($C167,IF($J167="Completado","Sí","No"),"")</f>
      </c>
      <c r="BH167" s="202">
        <f>IF(AND($C167,ISNUMBER($AR167)),IF($AO167="Semanal",1,IF($AO167="Quincenal",2,3))*1000000000+$AR167*100000+ROW(),"")</f>
      </c>
      <c r="BI167" s="202">
        <f>IF($C167,IF($AU167="Cancelado","",$I167),"")</f>
      </c>
      <c r="BJ167" s="202">
        <f>IF($C167,IFERROR(MATCH($D167,$D$7:$D$200,0)+6,ROW()),"")</f>
      </c>
      <c r="BK167" s="202">
        <f>IF(AND($C167,ISNUMBER($AV167)),$BJ167*1000000+$AV167*1000+ROW(),"")</f>
      </c>
      <c r="BL167" s="202">
        <f>IF(AND($C167,ISNUMBER($AW167)),ROUND(($AW167-('Sprints'!$C$5+('Sprints'!$E$5-1)*'Sprints'!$D$5))/'Sprints'!$D$5,0),"")</f>
      </c>
      <c r="BM167" s="203">
        <f>IF($C167,IF(NOT(ISNUMBER($BL167)),"",IF($BL167&lt;0,"Pasada",IF($BL167=0,"Actual",IF($BL167=1,"Siguiente",IF($BL167=2,"+2 sem",IF($BL167=3,"+3 sem","Posterior")))))),"")</f>
      </c>
      <c r="BN167" s="202">
        <f>IF(AND($C167,ISNUMBER($AR167),ISNUMBER($AV167)),MAX(1,$AV167-$AR167+1),0)</f>
        <v>0</v>
      </c>
      <c r="BO167" s="202">
        <f>SUM($BN$7:$BN167)-$BN167</f>
        <v>26</v>
      </c>
      <c r="BP167" s="202">
        <f>IF(AND($C167,ISNUMBER($AV167)),$AQ167+$AV167*$AP167*'Sprints'!$D$5-'Sprints'!$D$5,"")</f>
      </c>
      <c r="BQ167" s="202">
        <f>IF(AND($C167,ISNUMBER($BP167)),$BP167*1000+ROW(),"")</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IF($C168,IF('Backlog General'!$G168="Completada",1,IF('Backlog General'!$G168="Casi lista",0.75,IF('Backlog General'!$G168="En progreso",0.5,IF('Backlog General'!$G168="Iniciada",0.25,0)))),"")</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IF($C168,IF(ISBLANK('Backlog General'!$K168),"",'Backlog General'!$K168),"")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IF(AND($C168,ISNUMBER($AR168)),IF(AND(ISNUMBER('Backlog General'!$M168),'Backlog General'!$M168&gt;=$AR168),'Backlog General'!$M168,IF(AND($AU168="Pasa al siguiente",$AT168&lt;&gt;"Completada"),$AR168+1,$AR168)),"")</f>
      </c>
      <c r="AW168" s="202">
        <f>IF(AND($C168,ISNUMBER($AR168)),$AQ168+$AR168*$AP168*'Sprints'!$D$5-'Sprints'!$D$5,"")</f>
      </c>
      <c r="AX168" s="202">
        <f>IF($C168,IF(OR($AT168="Completada",$AU168="Cancelado",$AU168="Baja prioridad",NOT(ISNUMBER($AW168))),0,IF(TODAY()&gt;$AW168,NETWORKDAYS($AW168,TODAY(),'Sprints'!$L$5:$L$40)-1,0)),"")</f>
      </c>
      <c r="AY168" s="203">
        <f>IF($C168,IF(NOT(ISNUMBER($AR168)),"Sin fecha",IF($AT168="Completada","Completada",IF($AU168="Cancelado","Cancelado",IF($AU168="Baja prioridad","Baja prioridad",IF($AX168&gt;0,"Vencida","En curso"))))),"")</f>
      </c>
      <c r="AZ168" s="203">
        <f>IF($C168,IF(ISNUMBER($AV168),$AO168&amp;" · S"&amp;$AV168,"(Sin fecha)"),"")</f>
      </c>
      <c r="BA168" s="202">
        <f>IF(AND($C168,ISNUMBER($AR168),$AR168=$AS168),"Nuevo","")</f>
      </c>
      <c r="BB168" s="202">
        <f>IF(AND($C168,$AO168="Semanal",ISNUMBER($AV168)),$AV168*100000+ROW(),"")</f>
      </c>
      <c r="BC168" s="202">
        <f>IF(AND($C168,$AO168="Quincenal",ISNUMBER($AV168)),$AV168*100000+ROW(),"")</f>
      </c>
      <c r="BD168" s="202">
        <f>IF(AND($C168,$AO168="Mensual",ISNUMBER($AV168)),$AV168*100000+ROW(),"")</f>
      </c>
      <c r="BE168" s="203">
        <f>IF($C168,IF(ISBLANK('Backlog General'!$J168),"",'Backlog General'!$J168),"")</f>
      </c>
      <c r="BF168" s="203">
        <f>IF($C168,IF($BE168="","",$BE168)&amp;IF(AND($BE168&lt;&gt;"",$AH168&lt;&gt;"")," · ","")&amp;IF($AH168="","",$AH168),"")</f>
      </c>
      <c r="BG168" s="203">
        <f>IF($C168,IF($J168="Completado","Sí","No"),"")</f>
      </c>
      <c r="BH168" s="202">
        <f>IF(AND($C168,ISNUMBER($AR168)),IF($AO168="Semanal",1,IF($AO168="Quincenal",2,3))*1000000000+$AR168*100000+ROW(),"")</f>
      </c>
      <c r="BI168" s="202">
        <f>IF($C168,IF($AU168="Cancelado","",$I168),"")</f>
      </c>
      <c r="BJ168" s="202">
        <f>IF($C168,IFERROR(MATCH($D168,$D$7:$D$200,0)+6,ROW()),"")</f>
      </c>
      <c r="BK168" s="202">
        <f>IF(AND($C168,ISNUMBER($AV168)),$BJ168*1000000+$AV168*1000+ROW(),"")</f>
      </c>
      <c r="BL168" s="202">
        <f>IF(AND($C168,ISNUMBER($AW168)),ROUND(($AW168-('Sprints'!$C$5+('Sprints'!$E$5-1)*'Sprints'!$D$5))/'Sprints'!$D$5,0),"")</f>
      </c>
      <c r="BM168" s="203">
        <f>IF($C168,IF(NOT(ISNUMBER($BL168)),"",IF($BL168&lt;0,"Pasada",IF($BL168=0,"Actual",IF($BL168=1,"Siguiente",IF($BL168=2,"+2 sem",IF($BL168=3,"+3 sem","Posterior")))))),"")</f>
      </c>
      <c r="BN168" s="202">
        <f>IF(AND($C168,ISNUMBER($AR168),ISNUMBER($AV168)),MAX(1,$AV168-$AR168+1),0)</f>
        <v>0</v>
      </c>
      <c r="BO168" s="202">
        <f>SUM($BN$7:$BN168)-$BN168</f>
        <v>26</v>
      </c>
      <c r="BP168" s="202">
        <f>IF(AND($C168,ISNUMBER($AV168)),$AQ168+$AV168*$AP168*'Sprints'!$D$5-'Sprints'!$D$5,"")</f>
      </c>
      <c r="BQ168" s="202">
        <f>IF(AND($C168,ISNUMBER($BP168)),$BP168*1000+ROW(),"")</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IF($C169,IF('Backlog General'!$G169="Completada",1,IF('Backlog General'!$G169="Casi lista",0.75,IF('Backlog General'!$G169="En progreso",0.5,IF('Backlog General'!$G169="Iniciada",0.25,0)))),"")</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IF($C169,IF(ISBLANK('Backlog General'!$K169),"",'Backlog General'!$K169),"")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IF(AND($C169,ISNUMBER($AR169)),IF(AND(ISNUMBER('Backlog General'!$M169),'Backlog General'!$M169&gt;=$AR169),'Backlog General'!$M169,IF(AND($AU169="Pasa al siguiente",$AT169&lt;&gt;"Completada"),$AR169+1,$AR169)),"")</f>
      </c>
      <c r="AW169" s="202">
        <f>IF(AND($C169,ISNUMBER($AR169)),$AQ169+$AR169*$AP169*'Sprints'!$D$5-'Sprints'!$D$5,"")</f>
      </c>
      <c r="AX169" s="202">
        <f>IF($C169,IF(OR($AT169="Completada",$AU169="Cancelado",$AU169="Baja prioridad",NOT(ISNUMBER($AW169))),0,IF(TODAY()&gt;$AW169,NETWORKDAYS($AW169,TODAY(),'Sprints'!$L$5:$L$40)-1,0)),"")</f>
      </c>
      <c r="AY169" s="203">
        <f>IF($C169,IF(NOT(ISNUMBER($AR169)),"Sin fecha",IF($AT169="Completada","Completada",IF($AU169="Cancelado","Cancelado",IF($AU169="Baja prioridad","Baja prioridad",IF($AX169&gt;0,"Vencida","En curso"))))),"")</f>
      </c>
      <c r="AZ169" s="203">
        <f>IF($C169,IF(ISNUMBER($AV169),$AO169&amp;" · S"&amp;$AV169,"(Sin fecha)"),"")</f>
      </c>
      <c r="BA169" s="202">
        <f>IF(AND($C169,ISNUMBER($AR169),$AR169=$AS169),"Nuevo","")</f>
      </c>
      <c r="BB169" s="202">
        <f>IF(AND($C169,$AO169="Semanal",ISNUMBER($AV169)),$AV169*100000+ROW(),"")</f>
      </c>
      <c r="BC169" s="202">
        <f>IF(AND($C169,$AO169="Quincenal",ISNUMBER($AV169)),$AV169*100000+ROW(),"")</f>
      </c>
      <c r="BD169" s="202">
        <f>IF(AND($C169,$AO169="Mensual",ISNUMBER($AV169)),$AV169*100000+ROW(),"")</f>
      </c>
      <c r="BE169" s="203">
        <f>IF($C169,IF(ISBLANK('Backlog General'!$J169),"",'Backlog General'!$J169),"")</f>
      </c>
      <c r="BF169" s="203">
        <f>IF($C169,IF($BE169="","",$BE169)&amp;IF(AND($BE169&lt;&gt;"",$AH169&lt;&gt;"")," · ","")&amp;IF($AH169="","",$AH169),"")</f>
      </c>
      <c r="BG169" s="203">
        <f>IF($C169,IF($J169="Completado","Sí","No"),"")</f>
      </c>
      <c r="BH169" s="202">
        <f>IF(AND($C169,ISNUMBER($AR169)),IF($AO169="Semanal",1,IF($AO169="Quincenal",2,3))*1000000000+$AR169*100000+ROW(),"")</f>
      </c>
      <c r="BI169" s="202">
        <f>IF($C169,IF($AU169="Cancelado","",$I169),"")</f>
      </c>
      <c r="BJ169" s="202">
        <f>IF($C169,IFERROR(MATCH($D169,$D$7:$D$200,0)+6,ROW()),"")</f>
      </c>
      <c r="BK169" s="202">
        <f>IF(AND($C169,ISNUMBER($AV169)),$BJ169*1000000+$AV169*1000+ROW(),"")</f>
      </c>
      <c r="BL169" s="202">
        <f>IF(AND($C169,ISNUMBER($AW169)),ROUND(($AW169-('Sprints'!$C$5+('Sprints'!$E$5-1)*'Sprints'!$D$5))/'Sprints'!$D$5,0),"")</f>
      </c>
      <c r="BM169" s="203">
        <f>IF($C169,IF(NOT(ISNUMBER($BL169)),"",IF($BL169&lt;0,"Pasada",IF($BL169=0,"Actual",IF($BL169=1,"Siguiente",IF($BL169=2,"+2 sem",IF($BL169=3,"+3 sem","Posterior")))))),"")</f>
      </c>
      <c r="BN169" s="202">
        <f>IF(AND($C169,ISNUMBER($AR169),ISNUMBER($AV169)),MAX(1,$AV169-$AR169+1),0)</f>
        <v>0</v>
      </c>
      <c r="BO169" s="202">
        <f>SUM($BN$7:$BN169)-$BN169</f>
        <v>26</v>
      </c>
      <c r="BP169" s="202">
        <f>IF(AND($C169,ISNUMBER($AV169)),$AQ169+$AV169*$AP169*'Sprints'!$D$5-'Sprints'!$D$5,"")</f>
      </c>
      <c r="BQ169" s="202">
        <f>IF(AND($C169,ISNUMBER($BP169)),$BP169*1000+ROW(),"")</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IF($C170,IF('Backlog General'!$G170="Completada",1,IF('Backlog General'!$G170="Casi lista",0.75,IF('Backlog General'!$G170="En progreso",0.5,IF('Backlog General'!$G170="Iniciada",0.25,0)))),"")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IF($C170,IF(ISBLANK('Backlog General'!$K170),"",'Backlog General'!$K170),"")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IF(AND($C170,ISNUMBER($AR170)),IF(AND(ISNUMBER('Backlog General'!$M170),'Backlog General'!$M170&gt;=$AR170),'Backlog General'!$M170,IF(AND($AU170="Pasa al siguiente",$AT170&lt;&gt;"Completada"),$AR170+1,$AR170)),"")</f>
      </c>
      <c r="AW170" s="202">
        <f>IF(AND($C170,ISNUMBER($AR170)),$AQ170+$AR170*$AP170*'Sprints'!$D$5-'Sprints'!$D$5,"")</f>
      </c>
      <c r="AX170" s="202">
        <f>IF($C170,IF(OR($AT170="Completada",$AU170="Cancelado",$AU170="Baja prioridad",NOT(ISNUMBER($AW170))),0,IF(TODAY()&gt;$AW170,NETWORKDAYS($AW170,TODAY(),'Sprints'!$L$5:$L$40)-1,0)),"")</f>
      </c>
      <c r="AY170" s="203">
        <f>IF($C170,IF(NOT(ISNUMBER($AR170)),"Sin fecha",IF($AT170="Completada","Completada",IF($AU170="Cancelado","Cancelado",IF($AU170="Baja prioridad","Baja prioridad",IF($AX170&gt;0,"Vencida","En curso"))))),"")</f>
      </c>
      <c r="AZ170" s="203">
        <f>IF($C170,IF(ISNUMBER($AV170),$AO170&amp;" · S"&amp;$AV170,"(Sin fecha)"),"")</f>
      </c>
      <c r="BA170" s="202">
        <f>IF(AND($C170,ISNUMBER($AR170),$AR170=$AS170),"Nuevo","")</f>
      </c>
      <c r="BB170" s="202">
        <f>IF(AND($C170,$AO170="Semanal",ISNUMBER($AV170)),$AV170*100000+ROW(),"")</f>
      </c>
      <c r="BC170" s="202">
        <f>IF(AND($C170,$AO170="Quincenal",ISNUMBER($AV170)),$AV170*100000+ROW(),"")</f>
      </c>
      <c r="BD170" s="202">
        <f>IF(AND($C170,$AO170="Mensual",ISNUMBER($AV170)),$AV170*100000+ROW(),"")</f>
      </c>
      <c r="BE170" s="203">
        <f>IF($C170,IF(ISBLANK('Backlog General'!$J170),"",'Backlog General'!$J170),"")</f>
      </c>
      <c r="BF170" s="203">
        <f>IF($C170,IF($BE170="","",$BE170)&amp;IF(AND($BE170&lt;&gt;"",$AH170&lt;&gt;"")," · ","")&amp;IF($AH170="","",$AH170),"")</f>
      </c>
      <c r="BG170" s="203">
        <f>IF($C170,IF($J170="Completado","Sí","No"),"")</f>
      </c>
      <c r="BH170" s="202">
        <f>IF(AND($C170,ISNUMBER($AR170)),IF($AO170="Semanal",1,IF($AO170="Quincenal",2,3))*1000000000+$AR170*100000+ROW(),"")</f>
      </c>
      <c r="BI170" s="202">
        <f>IF($C170,IF($AU170="Cancelado","",$I170),"")</f>
      </c>
      <c r="BJ170" s="202">
        <f>IF($C170,IFERROR(MATCH($D170,$D$7:$D$200,0)+6,ROW()),"")</f>
      </c>
      <c r="BK170" s="202">
        <f>IF(AND($C170,ISNUMBER($AV170)),$BJ170*1000000+$AV170*1000+ROW(),"")</f>
      </c>
      <c r="BL170" s="202">
        <f>IF(AND($C170,ISNUMBER($AW170)),ROUND(($AW170-('Sprints'!$C$5+('Sprints'!$E$5-1)*'Sprints'!$D$5))/'Sprints'!$D$5,0),"")</f>
      </c>
      <c r="BM170" s="203">
        <f>IF($C170,IF(NOT(ISNUMBER($BL170)),"",IF($BL170&lt;0,"Pasada",IF($BL170=0,"Actual",IF($BL170=1,"Siguiente",IF($BL170=2,"+2 sem",IF($BL170=3,"+3 sem","Posterior")))))),"")</f>
      </c>
      <c r="BN170" s="202">
        <f>IF(AND($C170,ISNUMBER($AR170),ISNUMBER($AV170)),MAX(1,$AV170-$AR170+1),0)</f>
        <v>0</v>
      </c>
      <c r="BO170" s="202">
        <f>SUM($BN$7:$BN170)-$BN170</f>
        <v>26</v>
      </c>
      <c r="BP170" s="202">
        <f>IF(AND($C170,ISNUMBER($AV170)),$AQ170+$AV170*$AP170*'Sprints'!$D$5-'Sprints'!$D$5,"")</f>
      </c>
      <c r="BQ170" s="202">
        <f>IF(AND($C170,ISNUMBER($BP170)),$BP170*1000+ROW(),"")</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IF($C171,IF('Backlog General'!$G171="Completada",1,IF('Backlog General'!$G171="Casi lista",0.75,IF('Backlog General'!$G171="En progreso",0.5,IF('Backlog General'!$G171="Iniciada",0.25,0)))),"")</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IF($C171,IF(ISBLANK('Backlog General'!$K171),"",'Backlog General'!$K171),"")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IF(AND($C171,ISNUMBER($AR171)),IF(AND(ISNUMBER('Backlog General'!$M171),'Backlog General'!$M171&gt;=$AR171),'Backlog General'!$M171,IF(AND($AU171="Pasa al siguiente",$AT171&lt;&gt;"Completada"),$AR171+1,$AR171)),"")</f>
      </c>
      <c r="AW171" s="202">
        <f>IF(AND($C171,ISNUMBER($AR171)),$AQ171+$AR171*$AP171*'Sprints'!$D$5-'Sprints'!$D$5,"")</f>
      </c>
      <c r="AX171" s="202">
        <f>IF($C171,IF(OR($AT171="Completada",$AU171="Cancelado",$AU171="Baja prioridad",NOT(ISNUMBER($AW171))),0,IF(TODAY()&gt;$AW171,NETWORKDAYS($AW171,TODAY(),'Sprints'!$L$5:$L$40)-1,0)),"")</f>
      </c>
      <c r="AY171" s="203">
        <f>IF($C171,IF(NOT(ISNUMBER($AR171)),"Sin fecha",IF($AT171="Completada","Completada",IF($AU171="Cancelado","Cancelado",IF($AU171="Baja prioridad","Baja prioridad",IF($AX171&gt;0,"Vencida","En curso"))))),"")</f>
      </c>
      <c r="AZ171" s="203">
        <f>IF($C171,IF(ISNUMBER($AV171),$AO171&amp;" · S"&amp;$AV171,"(Sin fecha)"),"")</f>
      </c>
      <c r="BA171" s="202">
        <f>IF(AND($C171,ISNUMBER($AR171),$AR171=$AS171),"Nuevo","")</f>
      </c>
      <c r="BB171" s="202">
        <f>IF(AND($C171,$AO171="Semanal",ISNUMBER($AV171)),$AV171*100000+ROW(),"")</f>
      </c>
      <c r="BC171" s="202">
        <f>IF(AND($C171,$AO171="Quincenal",ISNUMBER($AV171)),$AV171*100000+ROW(),"")</f>
      </c>
      <c r="BD171" s="202">
        <f>IF(AND($C171,$AO171="Mensual",ISNUMBER($AV171)),$AV171*100000+ROW(),"")</f>
      </c>
      <c r="BE171" s="203">
        <f>IF($C171,IF(ISBLANK('Backlog General'!$J171),"",'Backlog General'!$J171),"")</f>
      </c>
      <c r="BF171" s="203">
        <f>IF($C171,IF($BE171="","",$BE171)&amp;IF(AND($BE171&lt;&gt;"",$AH171&lt;&gt;"")," · ","")&amp;IF($AH171="","",$AH171),"")</f>
      </c>
      <c r="BG171" s="203">
        <f>IF($C171,IF($J171="Completado","Sí","No"),"")</f>
      </c>
      <c r="BH171" s="202">
        <f>IF(AND($C171,ISNUMBER($AR171)),IF($AO171="Semanal",1,IF($AO171="Quincenal",2,3))*1000000000+$AR171*100000+ROW(),"")</f>
      </c>
      <c r="BI171" s="202">
        <f>IF($C171,IF($AU171="Cancelado","",$I171),"")</f>
      </c>
      <c r="BJ171" s="202">
        <f>IF($C171,IFERROR(MATCH($D171,$D$7:$D$200,0)+6,ROW()),"")</f>
      </c>
      <c r="BK171" s="202">
        <f>IF(AND($C171,ISNUMBER($AV171)),$BJ171*1000000+$AV171*1000+ROW(),"")</f>
      </c>
      <c r="BL171" s="202">
        <f>IF(AND($C171,ISNUMBER($AW171)),ROUND(($AW171-('Sprints'!$C$5+('Sprints'!$E$5-1)*'Sprints'!$D$5))/'Sprints'!$D$5,0),"")</f>
      </c>
      <c r="BM171" s="203">
        <f>IF($C171,IF(NOT(ISNUMBER($BL171)),"",IF($BL171&lt;0,"Pasada",IF($BL171=0,"Actual",IF($BL171=1,"Siguiente",IF($BL171=2,"+2 sem",IF($BL171=3,"+3 sem","Posterior")))))),"")</f>
      </c>
      <c r="BN171" s="202">
        <f>IF(AND($C171,ISNUMBER($AR171),ISNUMBER($AV171)),MAX(1,$AV171-$AR171+1),0)</f>
        <v>0</v>
      </c>
      <c r="BO171" s="202">
        <f>SUM($BN$7:$BN171)-$BN171</f>
        <v>26</v>
      </c>
      <c r="BP171" s="202">
        <f>IF(AND($C171,ISNUMBER($AV171)),$AQ171+$AV171*$AP171*'Sprints'!$D$5-'Sprints'!$D$5,"")</f>
      </c>
      <c r="BQ171" s="202">
        <f>IF(AND($C171,ISNUMBER($BP171)),$BP171*1000+ROW(),"")</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IF($C172,IF('Backlog General'!$G172="Completada",1,IF('Backlog General'!$G172="Casi lista",0.75,IF('Backlog General'!$G172="En progreso",0.5,IF('Backlog General'!$G172="Iniciada",0.25,0)))),"")</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IF($C172,IF(ISBLANK('Backlog General'!$K172),"",'Backlog General'!$K172),"")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IF(AND($C172,ISNUMBER($AR172)),IF(AND(ISNUMBER('Backlog General'!$M172),'Backlog General'!$M172&gt;=$AR172),'Backlog General'!$M172,IF(AND($AU172="Pasa al siguiente",$AT172&lt;&gt;"Completada"),$AR172+1,$AR172)),"")</f>
      </c>
      <c r="AW172" s="202">
        <f>IF(AND($C172,ISNUMBER($AR172)),$AQ172+$AR172*$AP172*'Sprints'!$D$5-'Sprints'!$D$5,"")</f>
      </c>
      <c r="AX172" s="202">
        <f>IF($C172,IF(OR($AT172="Completada",$AU172="Cancelado",$AU172="Baja prioridad",NOT(ISNUMBER($AW172))),0,IF(TODAY()&gt;$AW172,NETWORKDAYS($AW172,TODAY(),'Sprints'!$L$5:$L$40)-1,0)),"")</f>
      </c>
      <c r="AY172" s="203">
        <f>IF($C172,IF(NOT(ISNUMBER($AR172)),"Sin fecha",IF($AT172="Completada","Completada",IF($AU172="Cancelado","Cancelado",IF($AU172="Baja prioridad","Baja prioridad",IF($AX172&gt;0,"Vencida","En curso"))))),"")</f>
      </c>
      <c r="AZ172" s="203">
        <f>IF($C172,IF(ISNUMBER($AV172),$AO172&amp;" · S"&amp;$AV172,"(Sin fecha)"),"")</f>
      </c>
      <c r="BA172" s="202">
        <f>IF(AND($C172,ISNUMBER($AR172),$AR172=$AS172),"Nuevo","")</f>
      </c>
      <c r="BB172" s="202">
        <f>IF(AND($C172,$AO172="Semanal",ISNUMBER($AV172)),$AV172*100000+ROW(),"")</f>
      </c>
      <c r="BC172" s="202">
        <f>IF(AND($C172,$AO172="Quincenal",ISNUMBER($AV172)),$AV172*100000+ROW(),"")</f>
      </c>
      <c r="BD172" s="202">
        <f>IF(AND($C172,$AO172="Mensual",ISNUMBER($AV172)),$AV172*100000+ROW(),"")</f>
      </c>
      <c r="BE172" s="203">
        <f>IF($C172,IF(ISBLANK('Backlog General'!$J172),"",'Backlog General'!$J172),"")</f>
      </c>
      <c r="BF172" s="203">
        <f>IF($C172,IF($BE172="","",$BE172)&amp;IF(AND($BE172&lt;&gt;"",$AH172&lt;&gt;"")," · ","")&amp;IF($AH172="","",$AH172),"")</f>
      </c>
      <c r="BG172" s="203">
        <f>IF($C172,IF($J172="Completado","Sí","No"),"")</f>
      </c>
      <c r="BH172" s="202">
        <f>IF(AND($C172,ISNUMBER($AR172)),IF($AO172="Semanal",1,IF($AO172="Quincenal",2,3))*1000000000+$AR172*100000+ROW(),"")</f>
      </c>
      <c r="BI172" s="202">
        <f>IF($C172,IF($AU172="Cancelado","",$I172),"")</f>
      </c>
      <c r="BJ172" s="202">
        <f>IF($C172,IFERROR(MATCH($D172,$D$7:$D$200,0)+6,ROW()),"")</f>
      </c>
      <c r="BK172" s="202">
        <f>IF(AND($C172,ISNUMBER($AV172)),$BJ172*1000000+$AV172*1000+ROW(),"")</f>
      </c>
      <c r="BL172" s="202">
        <f>IF(AND($C172,ISNUMBER($AW172)),ROUND(($AW172-('Sprints'!$C$5+('Sprints'!$E$5-1)*'Sprints'!$D$5))/'Sprints'!$D$5,0),"")</f>
      </c>
      <c r="BM172" s="203">
        <f>IF($C172,IF(NOT(ISNUMBER($BL172)),"",IF($BL172&lt;0,"Pasada",IF($BL172=0,"Actual",IF($BL172=1,"Siguiente",IF($BL172=2,"+2 sem",IF($BL172=3,"+3 sem","Posterior")))))),"")</f>
      </c>
      <c r="BN172" s="202">
        <f>IF(AND($C172,ISNUMBER($AR172),ISNUMBER($AV172)),MAX(1,$AV172-$AR172+1),0)</f>
        <v>0</v>
      </c>
      <c r="BO172" s="202">
        <f>SUM($BN$7:$BN172)-$BN172</f>
        <v>26</v>
      </c>
      <c r="BP172" s="202">
        <f>IF(AND($C172,ISNUMBER($AV172)),$AQ172+$AV172*$AP172*'Sprints'!$D$5-'Sprints'!$D$5,"")</f>
      </c>
      <c r="BQ172" s="202">
        <f>IF(AND($C172,ISNUMBER($BP172)),$BP172*1000+ROW(),"")</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IF($C173,IF('Backlog General'!$G173="Completada",1,IF('Backlog General'!$G173="Casi lista",0.75,IF('Backlog General'!$G173="En progreso",0.5,IF('Backlog General'!$G173="Iniciada",0.25,0)))),"")</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IF($C173,IF(ISBLANK('Backlog General'!$K173),"",'Backlog General'!$K173),"")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IF(AND($C173,ISNUMBER($AR173)),IF(AND(ISNUMBER('Backlog General'!$M173),'Backlog General'!$M173&gt;=$AR173),'Backlog General'!$M173,IF(AND($AU173="Pasa al siguiente",$AT173&lt;&gt;"Completada"),$AR173+1,$AR173)),"")</f>
      </c>
      <c r="AW173" s="202">
        <f>IF(AND($C173,ISNUMBER($AR173)),$AQ173+$AR173*$AP173*'Sprints'!$D$5-'Sprints'!$D$5,"")</f>
      </c>
      <c r="AX173" s="202">
        <f>IF($C173,IF(OR($AT173="Completada",$AU173="Cancelado",$AU173="Baja prioridad",NOT(ISNUMBER($AW173))),0,IF(TODAY()&gt;$AW173,NETWORKDAYS($AW173,TODAY(),'Sprints'!$L$5:$L$40)-1,0)),"")</f>
      </c>
      <c r="AY173" s="203">
        <f>IF($C173,IF(NOT(ISNUMBER($AR173)),"Sin fecha",IF($AT173="Completada","Completada",IF($AU173="Cancelado","Cancelado",IF($AU173="Baja prioridad","Baja prioridad",IF($AX173&gt;0,"Vencida","En curso"))))),"")</f>
      </c>
      <c r="AZ173" s="203">
        <f>IF($C173,IF(ISNUMBER($AV173),$AO173&amp;" · S"&amp;$AV173,"(Sin fecha)"),"")</f>
      </c>
      <c r="BA173" s="202">
        <f>IF(AND($C173,ISNUMBER($AR173),$AR173=$AS173),"Nuevo","")</f>
      </c>
      <c r="BB173" s="202">
        <f>IF(AND($C173,$AO173="Semanal",ISNUMBER($AV173)),$AV173*100000+ROW(),"")</f>
      </c>
      <c r="BC173" s="202">
        <f>IF(AND($C173,$AO173="Quincenal",ISNUMBER($AV173)),$AV173*100000+ROW(),"")</f>
      </c>
      <c r="BD173" s="202">
        <f>IF(AND($C173,$AO173="Mensual",ISNUMBER($AV173)),$AV173*100000+ROW(),"")</f>
      </c>
      <c r="BE173" s="203">
        <f>IF($C173,IF(ISBLANK('Backlog General'!$J173),"",'Backlog General'!$J173),"")</f>
      </c>
      <c r="BF173" s="203">
        <f>IF($C173,IF($BE173="","",$BE173)&amp;IF(AND($BE173&lt;&gt;"",$AH173&lt;&gt;"")," · ","")&amp;IF($AH173="","",$AH173),"")</f>
      </c>
      <c r="BG173" s="203">
        <f>IF($C173,IF($J173="Completado","Sí","No"),"")</f>
      </c>
      <c r="BH173" s="202">
        <f>IF(AND($C173,ISNUMBER($AR173)),IF($AO173="Semanal",1,IF($AO173="Quincenal",2,3))*1000000000+$AR173*100000+ROW(),"")</f>
      </c>
      <c r="BI173" s="202">
        <f>IF($C173,IF($AU173="Cancelado","",$I173),"")</f>
      </c>
      <c r="BJ173" s="202">
        <f>IF($C173,IFERROR(MATCH($D173,$D$7:$D$200,0)+6,ROW()),"")</f>
      </c>
      <c r="BK173" s="202">
        <f>IF(AND($C173,ISNUMBER($AV173)),$BJ173*1000000+$AV173*1000+ROW(),"")</f>
      </c>
      <c r="BL173" s="202">
        <f>IF(AND($C173,ISNUMBER($AW173)),ROUND(($AW173-('Sprints'!$C$5+('Sprints'!$E$5-1)*'Sprints'!$D$5))/'Sprints'!$D$5,0),"")</f>
      </c>
      <c r="BM173" s="203">
        <f>IF($C173,IF(NOT(ISNUMBER($BL173)),"",IF($BL173&lt;0,"Pasada",IF($BL173=0,"Actual",IF($BL173=1,"Siguiente",IF($BL173=2,"+2 sem",IF($BL173=3,"+3 sem","Posterior")))))),"")</f>
      </c>
      <c r="BN173" s="202">
        <f>IF(AND($C173,ISNUMBER($AR173),ISNUMBER($AV173)),MAX(1,$AV173-$AR173+1),0)</f>
        <v>0</v>
      </c>
      <c r="BO173" s="202">
        <f>SUM($BN$7:$BN173)-$BN173</f>
        <v>26</v>
      </c>
      <c r="BP173" s="202">
        <f>IF(AND($C173,ISNUMBER($AV173)),$AQ173+$AV173*$AP173*'Sprints'!$D$5-'Sprints'!$D$5,"")</f>
      </c>
      <c r="BQ173" s="202">
        <f>IF(AND($C173,ISNUMBER($BP173)),$BP173*1000+ROW(),"")</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IF($C174,IF('Backlog General'!$G174="Completada",1,IF('Backlog General'!$G174="Casi lista",0.75,IF('Backlog General'!$G174="En progreso",0.5,IF('Backlog General'!$G174="Iniciada",0.25,0)))),"")</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IF($C174,IF(ISBLANK('Backlog General'!$K174),"",'Backlog General'!$K174),"")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IF(AND($C174,ISNUMBER($AR174)),IF(AND(ISNUMBER('Backlog General'!$M174),'Backlog General'!$M174&gt;=$AR174),'Backlog General'!$M174,IF(AND($AU174="Pasa al siguiente",$AT174&lt;&gt;"Completada"),$AR174+1,$AR174)),"")</f>
      </c>
      <c r="AW174" s="202">
        <f>IF(AND($C174,ISNUMBER($AR174)),$AQ174+$AR174*$AP174*'Sprints'!$D$5-'Sprints'!$D$5,"")</f>
      </c>
      <c r="AX174" s="202">
        <f>IF($C174,IF(OR($AT174="Completada",$AU174="Cancelado",$AU174="Baja prioridad",NOT(ISNUMBER($AW174))),0,IF(TODAY()&gt;$AW174,NETWORKDAYS($AW174,TODAY(),'Sprints'!$L$5:$L$40)-1,0)),"")</f>
      </c>
      <c r="AY174" s="203">
        <f>IF($C174,IF(NOT(ISNUMBER($AR174)),"Sin fecha",IF($AT174="Completada","Completada",IF($AU174="Cancelado","Cancelado",IF($AU174="Baja prioridad","Baja prioridad",IF($AX174&gt;0,"Vencida","En curso"))))),"")</f>
      </c>
      <c r="AZ174" s="203">
        <f>IF($C174,IF(ISNUMBER($AV174),$AO174&amp;" · S"&amp;$AV174,"(Sin fecha)"),"")</f>
      </c>
      <c r="BA174" s="202">
        <f>IF(AND($C174,ISNUMBER($AR174),$AR174=$AS174),"Nuevo","")</f>
      </c>
      <c r="BB174" s="202">
        <f>IF(AND($C174,$AO174="Semanal",ISNUMBER($AV174)),$AV174*100000+ROW(),"")</f>
      </c>
      <c r="BC174" s="202">
        <f>IF(AND($C174,$AO174="Quincenal",ISNUMBER($AV174)),$AV174*100000+ROW(),"")</f>
      </c>
      <c r="BD174" s="202">
        <f>IF(AND($C174,$AO174="Mensual",ISNUMBER($AV174)),$AV174*100000+ROW(),"")</f>
      </c>
      <c r="BE174" s="203">
        <f>IF($C174,IF(ISBLANK('Backlog General'!$J174),"",'Backlog General'!$J174),"")</f>
      </c>
      <c r="BF174" s="203">
        <f>IF($C174,IF($BE174="","",$BE174)&amp;IF(AND($BE174&lt;&gt;"",$AH174&lt;&gt;"")," · ","")&amp;IF($AH174="","",$AH174),"")</f>
      </c>
      <c r="BG174" s="203">
        <f>IF($C174,IF($J174="Completado","Sí","No"),"")</f>
      </c>
      <c r="BH174" s="202">
        <f>IF(AND($C174,ISNUMBER($AR174)),IF($AO174="Semanal",1,IF($AO174="Quincenal",2,3))*1000000000+$AR174*100000+ROW(),"")</f>
      </c>
      <c r="BI174" s="202">
        <f>IF($C174,IF($AU174="Cancelado","",$I174),"")</f>
      </c>
      <c r="BJ174" s="202">
        <f>IF($C174,IFERROR(MATCH($D174,$D$7:$D$200,0)+6,ROW()),"")</f>
      </c>
      <c r="BK174" s="202">
        <f>IF(AND($C174,ISNUMBER($AV174)),$BJ174*1000000+$AV174*1000+ROW(),"")</f>
      </c>
      <c r="BL174" s="202">
        <f>IF(AND($C174,ISNUMBER($AW174)),ROUND(($AW174-('Sprints'!$C$5+('Sprints'!$E$5-1)*'Sprints'!$D$5))/'Sprints'!$D$5,0),"")</f>
      </c>
      <c r="BM174" s="203">
        <f>IF($C174,IF(NOT(ISNUMBER($BL174)),"",IF($BL174&lt;0,"Pasada",IF($BL174=0,"Actual",IF($BL174=1,"Siguiente",IF($BL174=2,"+2 sem",IF($BL174=3,"+3 sem","Posterior")))))),"")</f>
      </c>
      <c r="BN174" s="202">
        <f>IF(AND($C174,ISNUMBER($AR174),ISNUMBER($AV174)),MAX(1,$AV174-$AR174+1),0)</f>
        <v>0</v>
      </c>
      <c r="BO174" s="202">
        <f>SUM($BN$7:$BN174)-$BN174</f>
        <v>26</v>
      </c>
      <c r="BP174" s="202">
        <f>IF(AND($C174,ISNUMBER($AV174)),$AQ174+$AV174*$AP174*'Sprints'!$D$5-'Sprints'!$D$5,"")</f>
      </c>
      <c r="BQ174" s="202">
        <f>IF(AND($C174,ISNUMBER($BP174)),$BP174*1000+ROW(),"")</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IF($C175,IF('Backlog General'!$G175="Completada",1,IF('Backlog General'!$G175="Casi lista",0.75,IF('Backlog General'!$G175="En progreso",0.5,IF('Backlog General'!$G175="Iniciada",0.25,0)))),"")</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IF($C175,IF(ISBLANK('Backlog General'!$K175),"",'Backlog General'!$K175),"")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IF(AND($C175,ISNUMBER($AR175)),IF(AND(ISNUMBER('Backlog General'!$M175),'Backlog General'!$M175&gt;=$AR175),'Backlog General'!$M175,IF(AND($AU175="Pasa al siguiente",$AT175&lt;&gt;"Completada"),$AR175+1,$AR175)),"")</f>
      </c>
      <c r="AW175" s="202">
        <f>IF(AND($C175,ISNUMBER($AR175)),$AQ175+$AR175*$AP175*'Sprints'!$D$5-'Sprints'!$D$5,"")</f>
      </c>
      <c r="AX175" s="202">
        <f>IF($C175,IF(OR($AT175="Completada",$AU175="Cancelado",$AU175="Baja prioridad",NOT(ISNUMBER($AW175))),0,IF(TODAY()&gt;$AW175,NETWORKDAYS($AW175,TODAY(),'Sprints'!$L$5:$L$40)-1,0)),"")</f>
      </c>
      <c r="AY175" s="203">
        <f>IF($C175,IF(NOT(ISNUMBER($AR175)),"Sin fecha",IF($AT175="Completada","Completada",IF($AU175="Cancelado","Cancelado",IF($AU175="Baja prioridad","Baja prioridad",IF($AX175&gt;0,"Vencida","En curso"))))),"")</f>
      </c>
      <c r="AZ175" s="203">
        <f>IF($C175,IF(ISNUMBER($AV175),$AO175&amp;" · S"&amp;$AV175,"(Sin fecha)"),"")</f>
      </c>
      <c r="BA175" s="202">
        <f>IF(AND($C175,ISNUMBER($AR175),$AR175=$AS175),"Nuevo","")</f>
      </c>
      <c r="BB175" s="202">
        <f>IF(AND($C175,$AO175="Semanal",ISNUMBER($AV175)),$AV175*100000+ROW(),"")</f>
      </c>
      <c r="BC175" s="202">
        <f>IF(AND($C175,$AO175="Quincenal",ISNUMBER($AV175)),$AV175*100000+ROW(),"")</f>
      </c>
      <c r="BD175" s="202">
        <f>IF(AND($C175,$AO175="Mensual",ISNUMBER($AV175)),$AV175*100000+ROW(),"")</f>
      </c>
      <c r="BE175" s="203">
        <f>IF($C175,IF(ISBLANK('Backlog General'!$J175),"",'Backlog General'!$J175),"")</f>
      </c>
      <c r="BF175" s="203">
        <f>IF($C175,IF($BE175="","",$BE175)&amp;IF(AND($BE175&lt;&gt;"",$AH175&lt;&gt;"")," · ","")&amp;IF($AH175="","",$AH175),"")</f>
      </c>
      <c r="BG175" s="203">
        <f>IF($C175,IF($J175="Completado","Sí","No"),"")</f>
      </c>
      <c r="BH175" s="202">
        <f>IF(AND($C175,ISNUMBER($AR175)),IF($AO175="Semanal",1,IF($AO175="Quincenal",2,3))*1000000000+$AR175*100000+ROW(),"")</f>
      </c>
      <c r="BI175" s="202">
        <f>IF($C175,IF($AU175="Cancelado","",$I175),"")</f>
      </c>
      <c r="BJ175" s="202">
        <f>IF($C175,IFERROR(MATCH($D175,$D$7:$D$200,0)+6,ROW()),"")</f>
      </c>
      <c r="BK175" s="202">
        <f>IF(AND($C175,ISNUMBER($AV175)),$BJ175*1000000+$AV175*1000+ROW(),"")</f>
      </c>
      <c r="BL175" s="202">
        <f>IF(AND($C175,ISNUMBER($AW175)),ROUND(($AW175-('Sprints'!$C$5+('Sprints'!$E$5-1)*'Sprints'!$D$5))/'Sprints'!$D$5,0),"")</f>
      </c>
      <c r="BM175" s="203">
        <f>IF($C175,IF(NOT(ISNUMBER($BL175)),"",IF($BL175&lt;0,"Pasada",IF($BL175=0,"Actual",IF($BL175=1,"Siguiente",IF($BL175=2,"+2 sem",IF($BL175=3,"+3 sem","Posterior")))))),"")</f>
      </c>
      <c r="BN175" s="202">
        <f>IF(AND($C175,ISNUMBER($AR175),ISNUMBER($AV175)),MAX(1,$AV175-$AR175+1),0)</f>
        <v>0</v>
      </c>
      <c r="BO175" s="202">
        <f>SUM($BN$7:$BN175)-$BN175</f>
        <v>26</v>
      </c>
      <c r="BP175" s="202">
        <f>IF(AND($C175,ISNUMBER($AV175)),$AQ175+$AV175*$AP175*'Sprints'!$D$5-'Sprints'!$D$5,"")</f>
      </c>
      <c r="BQ175" s="202">
        <f>IF(AND($C175,ISNUMBER($BP175)),$BP175*1000+ROW(),"")</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IF($C176,IF('Backlog General'!$G176="Completada",1,IF('Backlog General'!$G176="Casi lista",0.75,IF('Backlog General'!$G176="En progreso",0.5,IF('Backlog General'!$G176="Iniciada",0.25,0)))),"")</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IF($C176,IF(ISBLANK('Backlog General'!$K176),"",'Backlog General'!$K176),"")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IF(AND($C176,ISNUMBER($AR176)),IF(AND(ISNUMBER('Backlog General'!$M176),'Backlog General'!$M176&gt;=$AR176),'Backlog General'!$M176,IF(AND($AU176="Pasa al siguiente",$AT176&lt;&gt;"Completada"),$AR176+1,$AR176)),"")</f>
      </c>
      <c r="AW176" s="202">
        <f>IF(AND($C176,ISNUMBER($AR176)),$AQ176+$AR176*$AP176*'Sprints'!$D$5-'Sprints'!$D$5,"")</f>
      </c>
      <c r="AX176" s="202">
        <f>IF($C176,IF(OR($AT176="Completada",$AU176="Cancelado",$AU176="Baja prioridad",NOT(ISNUMBER($AW176))),0,IF(TODAY()&gt;$AW176,NETWORKDAYS($AW176,TODAY(),'Sprints'!$L$5:$L$40)-1,0)),"")</f>
      </c>
      <c r="AY176" s="203">
        <f>IF($C176,IF(NOT(ISNUMBER($AR176)),"Sin fecha",IF($AT176="Completada","Completada",IF($AU176="Cancelado","Cancelado",IF($AU176="Baja prioridad","Baja prioridad",IF($AX176&gt;0,"Vencida","En curso"))))),"")</f>
      </c>
      <c r="AZ176" s="203">
        <f>IF($C176,IF(ISNUMBER($AV176),$AO176&amp;" · S"&amp;$AV176,"(Sin fecha)"),"")</f>
      </c>
      <c r="BA176" s="202">
        <f>IF(AND($C176,ISNUMBER($AR176),$AR176=$AS176),"Nuevo","")</f>
      </c>
      <c r="BB176" s="202">
        <f>IF(AND($C176,$AO176="Semanal",ISNUMBER($AV176)),$AV176*100000+ROW(),"")</f>
      </c>
      <c r="BC176" s="202">
        <f>IF(AND($C176,$AO176="Quincenal",ISNUMBER($AV176)),$AV176*100000+ROW(),"")</f>
      </c>
      <c r="BD176" s="202">
        <f>IF(AND($C176,$AO176="Mensual",ISNUMBER($AV176)),$AV176*100000+ROW(),"")</f>
      </c>
      <c r="BE176" s="203">
        <f>IF($C176,IF(ISBLANK('Backlog General'!$J176),"",'Backlog General'!$J176),"")</f>
      </c>
      <c r="BF176" s="203">
        <f>IF($C176,IF($BE176="","",$BE176)&amp;IF(AND($BE176&lt;&gt;"",$AH176&lt;&gt;"")," · ","")&amp;IF($AH176="","",$AH176),"")</f>
      </c>
      <c r="BG176" s="203">
        <f>IF($C176,IF($J176="Completado","Sí","No"),"")</f>
      </c>
      <c r="BH176" s="202">
        <f>IF(AND($C176,ISNUMBER($AR176)),IF($AO176="Semanal",1,IF($AO176="Quincenal",2,3))*1000000000+$AR176*100000+ROW(),"")</f>
      </c>
      <c r="BI176" s="202">
        <f>IF($C176,IF($AU176="Cancelado","",$I176),"")</f>
      </c>
      <c r="BJ176" s="202">
        <f>IF($C176,IFERROR(MATCH($D176,$D$7:$D$200,0)+6,ROW()),"")</f>
      </c>
      <c r="BK176" s="202">
        <f>IF(AND($C176,ISNUMBER($AV176)),$BJ176*1000000+$AV176*1000+ROW(),"")</f>
      </c>
      <c r="BL176" s="202">
        <f>IF(AND($C176,ISNUMBER($AW176)),ROUND(($AW176-('Sprints'!$C$5+('Sprints'!$E$5-1)*'Sprints'!$D$5))/'Sprints'!$D$5,0),"")</f>
      </c>
      <c r="BM176" s="203">
        <f>IF($C176,IF(NOT(ISNUMBER($BL176)),"",IF($BL176&lt;0,"Pasada",IF($BL176=0,"Actual",IF($BL176=1,"Siguiente",IF($BL176=2,"+2 sem",IF($BL176=3,"+3 sem","Posterior")))))),"")</f>
      </c>
      <c r="BN176" s="202">
        <f>IF(AND($C176,ISNUMBER($AR176),ISNUMBER($AV176)),MAX(1,$AV176-$AR176+1),0)</f>
        <v>0</v>
      </c>
      <c r="BO176" s="202">
        <f>SUM($BN$7:$BN176)-$BN176</f>
        <v>26</v>
      </c>
      <c r="BP176" s="202">
        <f>IF(AND($C176,ISNUMBER($AV176)),$AQ176+$AV176*$AP176*'Sprints'!$D$5-'Sprints'!$D$5,"")</f>
      </c>
      <c r="BQ176" s="202">
        <f>IF(AND($C176,ISNUMBER($BP176)),$BP176*1000+ROW(),"")</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IF($C177,IF('Backlog General'!$G177="Completada",1,IF('Backlog General'!$G177="Casi lista",0.75,IF('Backlog General'!$G177="En progreso",0.5,IF('Backlog General'!$G177="Iniciada",0.25,0)))),"")</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IF($C177,IF(ISBLANK('Backlog General'!$K177),"",'Backlog General'!$K177),"")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IF(AND($C177,ISNUMBER($AR177)),IF(AND(ISNUMBER('Backlog General'!$M177),'Backlog General'!$M177&gt;=$AR177),'Backlog General'!$M177,IF(AND($AU177="Pasa al siguiente",$AT177&lt;&gt;"Completada"),$AR177+1,$AR177)),"")</f>
      </c>
      <c r="AW177" s="202">
        <f>IF(AND($C177,ISNUMBER($AR177)),$AQ177+$AR177*$AP177*'Sprints'!$D$5-'Sprints'!$D$5,"")</f>
      </c>
      <c r="AX177" s="202">
        <f>IF($C177,IF(OR($AT177="Completada",$AU177="Cancelado",$AU177="Baja prioridad",NOT(ISNUMBER($AW177))),0,IF(TODAY()&gt;$AW177,NETWORKDAYS($AW177,TODAY(),'Sprints'!$L$5:$L$40)-1,0)),"")</f>
      </c>
      <c r="AY177" s="203">
        <f>IF($C177,IF(NOT(ISNUMBER($AR177)),"Sin fecha",IF($AT177="Completada","Completada",IF($AU177="Cancelado","Cancelado",IF($AU177="Baja prioridad","Baja prioridad",IF($AX177&gt;0,"Vencida","En curso"))))),"")</f>
      </c>
      <c r="AZ177" s="203">
        <f>IF($C177,IF(ISNUMBER($AV177),$AO177&amp;" · S"&amp;$AV177,"(Sin fecha)"),"")</f>
      </c>
      <c r="BA177" s="202">
        <f>IF(AND($C177,ISNUMBER($AR177),$AR177=$AS177),"Nuevo","")</f>
      </c>
      <c r="BB177" s="202">
        <f>IF(AND($C177,$AO177="Semanal",ISNUMBER($AV177)),$AV177*100000+ROW(),"")</f>
      </c>
      <c r="BC177" s="202">
        <f>IF(AND($C177,$AO177="Quincenal",ISNUMBER($AV177)),$AV177*100000+ROW(),"")</f>
      </c>
      <c r="BD177" s="202">
        <f>IF(AND($C177,$AO177="Mensual",ISNUMBER($AV177)),$AV177*100000+ROW(),"")</f>
      </c>
      <c r="BE177" s="203">
        <f>IF($C177,IF(ISBLANK('Backlog General'!$J177),"",'Backlog General'!$J177),"")</f>
      </c>
      <c r="BF177" s="203">
        <f>IF($C177,IF($BE177="","",$BE177)&amp;IF(AND($BE177&lt;&gt;"",$AH177&lt;&gt;"")," · ","")&amp;IF($AH177="","",$AH177),"")</f>
      </c>
      <c r="BG177" s="203">
        <f>IF($C177,IF($J177="Completado","Sí","No"),"")</f>
      </c>
      <c r="BH177" s="202">
        <f>IF(AND($C177,ISNUMBER($AR177)),IF($AO177="Semanal",1,IF($AO177="Quincenal",2,3))*1000000000+$AR177*100000+ROW(),"")</f>
      </c>
      <c r="BI177" s="202">
        <f>IF($C177,IF($AU177="Cancelado","",$I177),"")</f>
      </c>
      <c r="BJ177" s="202">
        <f>IF($C177,IFERROR(MATCH($D177,$D$7:$D$200,0)+6,ROW()),"")</f>
      </c>
      <c r="BK177" s="202">
        <f>IF(AND($C177,ISNUMBER($AV177)),$BJ177*1000000+$AV177*1000+ROW(),"")</f>
      </c>
      <c r="BL177" s="202">
        <f>IF(AND($C177,ISNUMBER($AW177)),ROUND(($AW177-('Sprints'!$C$5+('Sprints'!$E$5-1)*'Sprints'!$D$5))/'Sprints'!$D$5,0),"")</f>
      </c>
      <c r="BM177" s="203">
        <f>IF($C177,IF(NOT(ISNUMBER($BL177)),"",IF($BL177&lt;0,"Pasada",IF($BL177=0,"Actual",IF($BL177=1,"Siguiente",IF($BL177=2,"+2 sem",IF($BL177=3,"+3 sem","Posterior")))))),"")</f>
      </c>
      <c r="BN177" s="202">
        <f>IF(AND($C177,ISNUMBER($AR177),ISNUMBER($AV177)),MAX(1,$AV177-$AR177+1),0)</f>
        <v>0</v>
      </c>
      <c r="BO177" s="202">
        <f>SUM($BN$7:$BN177)-$BN177</f>
        <v>26</v>
      </c>
      <c r="BP177" s="202">
        <f>IF(AND($C177,ISNUMBER($AV177)),$AQ177+$AV177*$AP177*'Sprints'!$D$5-'Sprints'!$D$5,"")</f>
      </c>
      <c r="BQ177" s="202">
        <f>IF(AND($C177,ISNUMBER($BP177)),$BP177*1000+ROW(),"")</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IF($C178,IF('Backlog General'!$G178="Completada",1,IF('Backlog General'!$G178="Casi lista",0.75,IF('Backlog General'!$G178="En progreso",0.5,IF('Backlog General'!$G178="Iniciada",0.25,0)))),"")</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IF($C178,IF(ISBLANK('Backlog General'!$K178),"",'Backlog General'!$K178),"")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IF(AND($C178,ISNUMBER($AR178)),IF(AND(ISNUMBER('Backlog General'!$M178),'Backlog General'!$M178&gt;=$AR178),'Backlog General'!$M178,IF(AND($AU178="Pasa al siguiente",$AT178&lt;&gt;"Completada"),$AR178+1,$AR178)),"")</f>
      </c>
      <c r="AW178" s="202">
        <f>IF(AND($C178,ISNUMBER($AR178)),$AQ178+$AR178*$AP178*'Sprints'!$D$5-'Sprints'!$D$5,"")</f>
      </c>
      <c r="AX178" s="202">
        <f>IF($C178,IF(OR($AT178="Completada",$AU178="Cancelado",$AU178="Baja prioridad",NOT(ISNUMBER($AW178))),0,IF(TODAY()&gt;$AW178,NETWORKDAYS($AW178,TODAY(),'Sprints'!$L$5:$L$40)-1,0)),"")</f>
      </c>
      <c r="AY178" s="203">
        <f>IF($C178,IF(NOT(ISNUMBER($AR178)),"Sin fecha",IF($AT178="Completada","Completada",IF($AU178="Cancelado","Cancelado",IF($AU178="Baja prioridad","Baja prioridad",IF($AX178&gt;0,"Vencida","En curso"))))),"")</f>
      </c>
      <c r="AZ178" s="203">
        <f>IF($C178,IF(ISNUMBER($AV178),$AO178&amp;" · S"&amp;$AV178,"(Sin fecha)"),"")</f>
      </c>
      <c r="BA178" s="202">
        <f>IF(AND($C178,ISNUMBER($AR178),$AR178=$AS178),"Nuevo","")</f>
      </c>
      <c r="BB178" s="202">
        <f>IF(AND($C178,$AO178="Semanal",ISNUMBER($AV178)),$AV178*100000+ROW(),"")</f>
      </c>
      <c r="BC178" s="202">
        <f>IF(AND($C178,$AO178="Quincenal",ISNUMBER($AV178)),$AV178*100000+ROW(),"")</f>
      </c>
      <c r="BD178" s="202">
        <f>IF(AND($C178,$AO178="Mensual",ISNUMBER($AV178)),$AV178*100000+ROW(),"")</f>
      </c>
      <c r="BE178" s="203">
        <f>IF($C178,IF(ISBLANK('Backlog General'!$J178),"",'Backlog General'!$J178),"")</f>
      </c>
      <c r="BF178" s="203">
        <f>IF($C178,IF($BE178="","",$BE178)&amp;IF(AND($BE178&lt;&gt;"",$AH178&lt;&gt;"")," · ","")&amp;IF($AH178="","",$AH178),"")</f>
      </c>
      <c r="BG178" s="203">
        <f>IF($C178,IF($J178="Completado","Sí","No"),"")</f>
      </c>
      <c r="BH178" s="202">
        <f>IF(AND($C178,ISNUMBER($AR178)),IF($AO178="Semanal",1,IF($AO178="Quincenal",2,3))*1000000000+$AR178*100000+ROW(),"")</f>
      </c>
      <c r="BI178" s="202">
        <f>IF($C178,IF($AU178="Cancelado","",$I178),"")</f>
      </c>
      <c r="BJ178" s="202">
        <f>IF($C178,IFERROR(MATCH($D178,$D$7:$D$200,0)+6,ROW()),"")</f>
      </c>
      <c r="BK178" s="202">
        <f>IF(AND($C178,ISNUMBER($AV178)),$BJ178*1000000+$AV178*1000+ROW(),"")</f>
      </c>
      <c r="BL178" s="202">
        <f>IF(AND($C178,ISNUMBER($AW178)),ROUND(($AW178-('Sprints'!$C$5+('Sprints'!$E$5-1)*'Sprints'!$D$5))/'Sprints'!$D$5,0),"")</f>
      </c>
      <c r="BM178" s="203">
        <f>IF($C178,IF(NOT(ISNUMBER($BL178)),"",IF($BL178&lt;0,"Pasada",IF($BL178=0,"Actual",IF($BL178=1,"Siguiente",IF($BL178=2,"+2 sem",IF($BL178=3,"+3 sem","Posterior")))))),"")</f>
      </c>
      <c r="BN178" s="202">
        <f>IF(AND($C178,ISNUMBER($AR178),ISNUMBER($AV178)),MAX(1,$AV178-$AR178+1),0)</f>
        <v>0</v>
      </c>
      <c r="BO178" s="202">
        <f>SUM($BN$7:$BN178)-$BN178</f>
        <v>26</v>
      </c>
      <c r="BP178" s="202">
        <f>IF(AND($C178,ISNUMBER($AV178)),$AQ178+$AV178*$AP178*'Sprints'!$D$5-'Sprints'!$D$5,"")</f>
      </c>
      <c r="BQ178" s="202">
        <f>IF(AND($C178,ISNUMBER($BP178)),$BP178*1000+ROW(),"")</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IF($C179,IF('Backlog General'!$G179="Completada",1,IF('Backlog General'!$G179="Casi lista",0.75,IF('Backlog General'!$G179="En progreso",0.5,IF('Backlog General'!$G179="Iniciada",0.25,0)))),"")</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IF($C179,IF(ISBLANK('Backlog General'!$K179),"",'Backlog General'!$K179),"")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IF(AND($C179,ISNUMBER($AR179)),IF(AND(ISNUMBER('Backlog General'!$M179),'Backlog General'!$M179&gt;=$AR179),'Backlog General'!$M179,IF(AND($AU179="Pasa al siguiente",$AT179&lt;&gt;"Completada"),$AR179+1,$AR179)),"")</f>
      </c>
      <c r="AW179" s="202">
        <f>IF(AND($C179,ISNUMBER($AR179)),$AQ179+$AR179*$AP179*'Sprints'!$D$5-'Sprints'!$D$5,"")</f>
      </c>
      <c r="AX179" s="202">
        <f>IF($C179,IF(OR($AT179="Completada",$AU179="Cancelado",$AU179="Baja prioridad",NOT(ISNUMBER($AW179))),0,IF(TODAY()&gt;$AW179,NETWORKDAYS($AW179,TODAY(),'Sprints'!$L$5:$L$40)-1,0)),"")</f>
      </c>
      <c r="AY179" s="203">
        <f>IF($C179,IF(NOT(ISNUMBER($AR179)),"Sin fecha",IF($AT179="Completada","Completada",IF($AU179="Cancelado","Cancelado",IF($AU179="Baja prioridad","Baja prioridad",IF($AX179&gt;0,"Vencida","En curso"))))),"")</f>
      </c>
      <c r="AZ179" s="203">
        <f>IF($C179,IF(ISNUMBER($AV179),$AO179&amp;" · S"&amp;$AV179,"(Sin fecha)"),"")</f>
      </c>
      <c r="BA179" s="202">
        <f>IF(AND($C179,ISNUMBER($AR179),$AR179=$AS179),"Nuevo","")</f>
      </c>
      <c r="BB179" s="202">
        <f>IF(AND($C179,$AO179="Semanal",ISNUMBER($AV179)),$AV179*100000+ROW(),"")</f>
      </c>
      <c r="BC179" s="202">
        <f>IF(AND($C179,$AO179="Quincenal",ISNUMBER($AV179)),$AV179*100000+ROW(),"")</f>
      </c>
      <c r="BD179" s="202">
        <f>IF(AND($C179,$AO179="Mensual",ISNUMBER($AV179)),$AV179*100000+ROW(),"")</f>
      </c>
      <c r="BE179" s="203">
        <f>IF($C179,IF(ISBLANK('Backlog General'!$J179),"",'Backlog General'!$J179),"")</f>
      </c>
      <c r="BF179" s="203">
        <f>IF($C179,IF($BE179="","",$BE179)&amp;IF(AND($BE179&lt;&gt;"",$AH179&lt;&gt;"")," · ","")&amp;IF($AH179="","",$AH179),"")</f>
      </c>
      <c r="BG179" s="203">
        <f>IF($C179,IF($J179="Completado","Sí","No"),"")</f>
      </c>
      <c r="BH179" s="202">
        <f>IF(AND($C179,ISNUMBER($AR179)),IF($AO179="Semanal",1,IF($AO179="Quincenal",2,3))*1000000000+$AR179*100000+ROW(),"")</f>
      </c>
      <c r="BI179" s="202">
        <f>IF($C179,IF($AU179="Cancelado","",$I179),"")</f>
      </c>
      <c r="BJ179" s="202">
        <f>IF($C179,IFERROR(MATCH($D179,$D$7:$D$200,0)+6,ROW()),"")</f>
      </c>
      <c r="BK179" s="202">
        <f>IF(AND($C179,ISNUMBER($AV179)),$BJ179*1000000+$AV179*1000+ROW(),"")</f>
      </c>
      <c r="BL179" s="202">
        <f>IF(AND($C179,ISNUMBER($AW179)),ROUND(($AW179-('Sprints'!$C$5+('Sprints'!$E$5-1)*'Sprints'!$D$5))/'Sprints'!$D$5,0),"")</f>
      </c>
      <c r="BM179" s="203">
        <f>IF($C179,IF(NOT(ISNUMBER($BL179)),"",IF($BL179&lt;0,"Pasada",IF($BL179=0,"Actual",IF($BL179=1,"Siguiente",IF($BL179=2,"+2 sem",IF($BL179=3,"+3 sem","Posterior")))))),"")</f>
      </c>
      <c r="BN179" s="202">
        <f>IF(AND($C179,ISNUMBER($AR179),ISNUMBER($AV179)),MAX(1,$AV179-$AR179+1),0)</f>
        <v>0</v>
      </c>
      <c r="BO179" s="202">
        <f>SUM($BN$7:$BN179)-$BN179</f>
        <v>26</v>
      </c>
      <c r="BP179" s="202">
        <f>IF(AND($C179,ISNUMBER($AV179)),$AQ179+$AV179*$AP179*'Sprints'!$D$5-'Sprints'!$D$5,"")</f>
      </c>
      <c r="BQ179" s="202">
        <f>IF(AND($C179,ISNUMBER($BP179)),$BP179*1000+ROW(),"")</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IF($C180,IF('Backlog General'!$G180="Completada",1,IF('Backlog General'!$G180="Casi lista",0.75,IF('Backlog General'!$G180="En progreso",0.5,IF('Backlog General'!$G180="Iniciada",0.25,0)))),"")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IF($C180,IF(ISBLANK('Backlog General'!$K180),"",'Backlog General'!$K180),"")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IF(AND($C180,ISNUMBER($AR180)),IF(AND(ISNUMBER('Backlog General'!$M180),'Backlog General'!$M180&gt;=$AR180),'Backlog General'!$M180,IF(AND($AU180="Pasa al siguiente",$AT180&lt;&gt;"Completada"),$AR180+1,$AR180)),"")</f>
      </c>
      <c r="AW180" s="202">
        <f>IF(AND($C180,ISNUMBER($AR180)),$AQ180+$AR180*$AP180*'Sprints'!$D$5-'Sprints'!$D$5,"")</f>
      </c>
      <c r="AX180" s="202">
        <f>IF($C180,IF(OR($AT180="Completada",$AU180="Cancelado",$AU180="Baja prioridad",NOT(ISNUMBER($AW180))),0,IF(TODAY()&gt;$AW180,NETWORKDAYS($AW180,TODAY(),'Sprints'!$L$5:$L$40)-1,0)),"")</f>
      </c>
      <c r="AY180" s="203">
        <f>IF($C180,IF(NOT(ISNUMBER($AR180)),"Sin fecha",IF($AT180="Completada","Completada",IF($AU180="Cancelado","Cancelado",IF($AU180="Baja prioridad","Baja prioridad",IF($AX180&gt;0,"Vencida","En curso"))))),"")</f>
      </c>
      <c r="AZ180" s="203">
        <f>IF($C180,IF(ISNUMBER($AV180),$AO180&amp;" · S"&amp;$AV180,"(Sin fecha)"),"")</f>
      </c>
      <c r="BA180" s="202">
        <f>IF(AND($C180,ISNUMBER($AR180),$AR180=$AS180),"Nuevo","")</f>
      </c>
      <c r="BB180" s="202">
        <f>IF(AND($C180,$AO180="Semanal",ISNUMBER($AV180)),$AV180*100000+ROW(),"")</f>
      </c>
      <c r="BC180" s="202">
        <f>IF(AND($C180,$AO180="Quincenal",ISNUMBER($AV180)),$AV180*100000+ROW(),"")</f>
      </c>
      <c r="BD180" s="202">
        <f>IF(AND($C180,$AO180="Mensual",ISNUMBER($AV180)),$AV180*100000+ROW(),"")</f>
      </c>
      <c r="BE180" s="203">
        <f>IF($C180,IF(ISBLANK('Backlog General'!$J180),"",'Backlog General'!$J180),"")</f>
      </c>
      <c r="BF180" s="203">
        <f>IF($C180,IF($BE180="","",$BE180)&amp;IF(AND($BE180&lt;&gt;"",$AH180&lt;&gt;"")," · ","")&amp;IF($AH180="","",$AH180),"")</f>
      </c>
      <c r="BG180" s="203">
        <f>IF($C180,IF($J180="Completado","Sí","No"),"")</f>
      </c>
      <c r="BH180" s="202">
        <f>IF(AND($C180,ISNUMBER($AR180)),IF($AO180="Semanal",1,IF($AO180="Quincenal",2,3))*1000000000+$AR180*100000+ROW(),"")</f>
      </c>
      <c r="BI180" s="202">
        <f>IF($C180,IF($AU180="Cancelado","",$I180),"")</f>
      </c>
      <c r="BJ180" s="202">
        <f>IF($C180,IFERROR(MATCH($D180,$D$7:$D$200,0)+6,ROW()),"")</f>
      </c>
      <c r="BK180" s="202">
        <f>IF(AND($C180,ISNUMBER($AV180)),$BJ180*1000000+$AV180*1000+ROW(),"")</f>
      </c>
      <c r="BL180" s="202">
        <f>IF(AND($C180,ISNUMBER($AW180)),ROUND(($AW180-('Sprints'!$C$5+('Sprints'!$E$5-1)*'Sprints'!$D$5))/'Sprints'!$D$5,0),"")</f>
      </c>
      <c r="BM180" s="203">
        <f>IF($C180,IF(NOT(ISNUMBER($BL180)),"",IF($BL180&lt;0,"Pasada",IF($BL180=0,"Actual",IF($BL180=1,"Siguiente",IF($BL180=2,"+2 sem",IF($BL180=3,"+3 sem","Posterior")))))),"")</f>
      </c>
      <c r="BN180" s="202">
        <f>IF(AND($C180,ISNUMBER($AR180),ISNUMBER($AV180)),MAX(1,$AV180-$AR180+1),0)</f>
        <v>0</v>
      </c>
      <c r="BO180" s="202">
        <f>SUM($BN$7:$BN180)-$BN180</f>
        <v>26</v>
      </c>
      <c r="BP180" s="202">
        <f>IF(AND($C180,ISNUMBER($AV180)),$AQ180+$AV180*$AP180*'Sprints'!$D$5-'Sprints'!$D$5,"")</f>
      </c>
      <c r="BQ180" s="202">
        <f>IF(AND($C180,ISNUMBER($BP180)),$BP180*1000+ROW(),"")</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IF($C181,IF('Backlog General'!$G181="Completada",1,IF('Backlog General'!$G181="Casi lista",0.75,IF('Backlog General'!$G181="En progreso",0.5,IF('Backlog General'!$G181="Iniciada",0.25,0)))),"")</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IF($C181,IF(ISBLANK('Backlog General'!$K181),"",'Backlog General'!$K181),"")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IF(AND($C181,ISNUMBER($AR181)),IF(AND(ISNUMBER('Backlog General'!$M181),'Backlog General'!$M181&gt;=$AR181),'Backlog General'!$M181,IF(AND($AU181="Pasa al siguiente",$AT181&lt;&gt;"Completada"),$AR181+1,$AR181)),"")</f>
      </c>
      <c r="AW181" s="202">
        <f>IF(AND($C181,ISNUMBER($AR181)),$AQ181+$AR181*$AP181*'Sprints'!$D$5-'Sprints'!$D$5,"")</f>
      </c>
      <c r="AX181" s="202">
        <f>IF($C181,IF(OR($AT181="Completada",$AU181="Cancelado",$AU181="Baja prioridad",NOT(ISNUMBER($AW181))),0,IF(TODAY()&gt;$AW181,NETWORKDAYS($AW181,TODAY(),'Sprints'!$L$5:$L$40)-1,0)),"")</f>
      </c>
      <c r="AY181" s="203">
        <f>IF($C181,IF(NOT(ISNUMBER($AR181)),"Sin fecha",IF($AT181="Completada","Completada",IF($AU181="Cancelado","Cancelado",IF($AU181="Baja prioridad","Baja prioridad",IF($AX181&gt;0,"Vencida","En curso"))))),"")</f>
      </c>
      <c r="AZ181" s="203">
        <f>IF($C181,IF(ISNUMBER($AV181),$AO181&amp;" · S"&amp;$AV181,"(Sin fecha)"),"")</f>
      </c>
      <c r="BA181" s="202">
        <f>IF(AND($C181,ISNUMBER($AR181),$AR181=$AS181),"Nuevo","")</f>
      </c>
      <c r="BB181" s="202">
        <f>IF(AND($C181,$AO181="Semanal",ISNUMBER($AV181)),$AV181*100000+ROW(),"")</f>
      </c>
      <c r="BC181" s="202">
        <f>IF(AND($C181,$AO181="Quincenal",ISNUMBER($AV181)),$AV181*100000+ROW(),"")</f>
      </c>
      <c r="BD181" s="202">
        <f>IF(AND($C181,$AO181="Mensual",ISNUMBER($AV181)),$AV181*100000+ROW(),"")</f>
      </c>
      <c r="BE181" s="203">
        <f>IF($C181,IF(ISBLANK('Backlog General'!$J181),"",'Backlog General'!$J181),"")</f>
      </c>
      <c r="BF181" s="203">
        <f>IF($C181,IF($BE181="","",$BE181)&amp;IF(AND($BE181&lt;&gt;"",$AH181&lt;&gt;"")," · ","")&amp;IF($AH181="","",$AH181),"")</f>
      </c>
      <c r="BG181" s="203">
        <f>IF($C181,IF($J181="Completado","Sí","No"),"")</f>
      </c>
      <c r="BH181" s="202">
        <f>IF(AND($C181,ISNUMBER($AR181)),IF($AO181="Semanal",1,IF($AO181="Quincenal",2,3))*1000000000+$AR181*100000+ROW(),"")</f>
      </c>
      <c r="BI181" s="202">
        <f>IF($C181,IF($AU181="Cancelado","",$I181),"")</f>
      </c>
      <c r="BJ181" s="202">
        <f>IF($C181,IFERROR(MATCH($D181,$D$7:$D$200,0)+6,ROW()),"")</f>
      </c>
      <c r="BK181" s="202">
        <f>IF(AND($C181,ISNUMBER($AV181)),$BJ181*1000000+$AV181*1000+ROW(),"")</f>
      </c>
      <c r="BL181" s="202">
        <f>IF(AND($C181,ISNUMBER($AW181)),ROUND(($AW181-('Sprints'!$C$5+('Sprints'!$E$5-1)*'Sprints'!$D$5))/'Sprints'!$D$5,0),"")</f>
      </c>
      <c r="BM181" s="203">
        <f>IF($C181,IF(NOT(ISNUMBER($BL181)),"",IF($BL181&lt;0,"Pasada",IF($BL181=0,"Actual",IF($BL181=1,"Siguiente",IF($BL181=2,"+2 sem",IF($BL181=3,"+3 sem","Posterior")))))),"")</f>
      </c>
      <c r="BN181" s="202">
        <f>IF(AND($C181,ISNUMBER($AR181),ISNUMBER($AV181)),MAX(1,$AV181-$AR181+1),0)</f>
        <v>0</v>
      </c>
      <c r="BO181" s="202">
        <f>SUM($BN$7:$BN181)-$BN181</f>
        <v>26</v>
      </c>
      <c r="BP181" s="202">
        <f>IF(AND($C181,ISNUMBER($AV181)),$AQ181+$AV181*$AP181*'Sprints'!$D$5-'Sprints'!$D$5,"")</f>
      </c>
      <c r="BQ181" s="202">
        <f>IF(AND($C181,ISNUMBER($BP181)),$BP181*1000+ROW(),"")</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IF($C182,IF('Backlog General'!$G182="Completada",1,IF('Backlog General'!$G182="Casi lista",0.75,IF('Backlog General'!$G182="En progreso",0.5,IF('Backlog General'!$G182="Iniciada",0.25,0)))),"")</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IF($C182,IF(ISBLANK('Backlog General'!$K182),"",'Backlog General'!$K182),"")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IF(AND($C182,ISNUMBER($AR182)),IF(AND(ISNUMBER('Backlog General'!$M182),'Backlog General'!$M182&gt;=$AR182),'Backlog General'!$M182,IF(AND($AU182="Pasa al siguiente",$AT182&lt;&gt;"Completada"),$AR182+1,$AR182)),"")</f>
      </c>
      <c r="AW182" s="202">
        <f>IF(AND($C182,ISNUMBER($AR182)),$AQ182+$AR182*$AP182*'Sprints'!$D$5-'Sprints'!$D$5,"")</f>
      </c>
      <c r="AX182" s="202">
        <f>IF($C182,IF(OR($AT182="Completada",$AU182="Cancelado",$AU182="Baja prioridad",NOT(ISNUMBER($AW182))),0,IF(TODAY()&gt;$AW182,NETWORKDAYS($AW182,TODAY(),'Sprints'!$L$5:$L$40)-1,0)),"")</f>
      </c>
      <c r="AY182" s="203">
        <f>IF($C182,IF(NOT(ISNUMBER($AR182)),"Sin fecha",IF($AT182="Completada","Completada",IF($AU182="Cancelado","Cancelado",IF($AU182="Baja prioridad","Baja prioridad",IF($AX182&gt;0,"Vencida","En curso"))))),"")</f>
      </c>
      <c r="AZ182" s="203">
        <f>IF($C182,IF(ISNUMBER($AV182),$AO182&amp;" · S"&amp;$AV182,"(Sin fecha)"),"")</f>
      </c>
      <c r="BA182" s="202">
        <f>IF(AND($C182,ISNUMBER($AR182),$AR182=$AS182),"Nuevo","")</f>
      </c>
      <c r="BB182" s="202">
        <f>IF(AND($C182,$AO182="Semanal",ISNUMBER($AV182)),$AV182*100000+ROW(),"")</f>
      </c>
      <c r="BC182" s="202">
        <f>IF(AND($C182,$AO182="Quincenal",ISNUMBER($AV182)),$AV182*100000+ROW(),"")</f>
      </c>
      <c r="BD182" s="202">
        <f>IF(AND($C182,$AO182="Mensual",ISNUMBER($AV182)),$AV182*100000+ROW(),"")</f>
      </c>
      <c r="BE182" s="203">
        <f>IF($C182,IF(ISBLANK('Backlog General'!$J182),"",'Backlog General'!$J182),"")</f>
      </c>
      <c r="BF182" s="203">
        <f>IF($C182,IF($BE182="","",$BE182)&amp;IF(AND($BE182&lt;&gt;"",$AH182&lt;&gt;"")," · ","")&amp;IF($AH182="","",$AH182),"")</f>
      </c>
      <c r="BG182" s="203">
        <f>IF($C182,IF($J182="Completado","Sí","No"),"")</f>
      </c>
      <c r="BH182" s="202">
        <f>IF(AND($C182,ISNUMBER($AR182)),IF($AO182="Semanal",1,IF($AO182="Quincenal",2,3))*1000000000+$AR182*100000+ROW(),"")</f>
      </c>
      <c r="BI182" s="202">
        <f>IF($C182,IF($AU182="Cancelado","",$I182),"")</f>
      </c>
      <c r="BJ182" s="202">
        <f>IF($C182,IFERROR(MATCH($D182,$D$7:$D$200,0)+6,ROW()),"")</f>
      </c>
      <c r="BK182" s="202">
        <f>IF(AND($C182,ISNUMBER($AV182)),$BJ182*1000000+$AV182*1000+ROW(),"")</f>
      </c>
      <c r="BL182" s="202">
        <f>IF(AND($C182,ISNUMBER($AW182)),ROUND(($AW182-('Sprints'!$C$5+('Sprints'!$E$5-1)*'Sprints'!$D$5))/'Sprints'!$D$5,0),"")</f>
      </c>
      <c r="BM182" s="203">
        <f>IF($C182,IF(NOT(ISNUMBER($BL182)),"",IF($BL182&lt;0,"Pasada",IF($BL182=0,"Actual",IF($BL182=1,"Siguiente",IF($BL182=2,"+2 sem",IF($BL182=3,"+3 sem","Posterior")))))),"")</f>
      </c>
      <c r="BN182" s="202">
        <f>IF(AND($C182,ISNUMBER($AR182),ISNUMBER($AV182)),MAX(1,$AV182-$AR182+1),0)</f>
        <v>0</v>
      </c>
      <c r="BO182" s="202">
        <f>SUM($BN$7:$BN182)-$BN182</f>
        <v>26</v>
      </c>
      <c r="BP182" s="202">
        <f>IF(AND($C182,ISNUMBER($AV182)),$AQ182+$AV182*$AP182*'Sprints'!$D$5-'Sprints'!$D$5,"")</f>
      </c>
      <c r="BQ182" s="202">
        <f>IF(AND($C182,ISNUMBER($BP182)),$BP182*1000+ROW(),"")</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IF($C183,IF('Backlog General'!$G183="Completada",1,IF('Backlog General'!$G183="Casi lista",0.75,IF('Backlog General'!$G183="En progreso",0.5,IF('Backlog General'!$G183="Iniciada",0.25,0)))),"")</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IF($C183,IF(ISBLANK('Backlog General'!$K183),"",'Backlog General'!$K183),"")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IF(AND($C183,ISNUMBER($AR183)),IF(AND(ISNUMBER('Backlog General'!$M183),'Backlog General'!$M183&gt;=$AR183),'Backlog General'!$M183,IF(AND($AU183="Pasa al siguiente",$AT183&lt;&gt;"Completada"),$AR183+1,$AR183)),"")</f>
      </c>
      <c r="AW183" s="202">
        <f>IF(AND($C183,ISNUMBER($AR183)),$AQ183+$AR183*$AP183*'Sprints'!$D$5-'Sprints'!$D$5,"")</f>
      </c>
      <c r="AX183" s="202">
        <f>IF($C183,IF(OR($AT183="Completada",$AU183="Cancelado",$AU183="Baja prioridad",NOT(ISNUMBER($AW183))),0,IF(TODAY()&gt;$AW183,NETWORKDAYS($AW183,TODAY(),'Sprints'!$L$5:$L$40)-1,0)),"")</f>
      </c>
      <c r="AY183" s="203">
        <f>IF($C183,IF(NOT(ISNUMBER($AR183)),"Sin fecha",IF($AT183="Completada","Completada",IF($AU183="Cancelado","Cancelado",IF($AU183="Baja prioridad","Baja prioridad",IF($AX183&gt;0,"Vencida","En curso"))))),"")</f>
      </c>
      <c r="AZ183" s="203">
        <f>IF($C183,IF(ISNUMBER($AV183),$AO183&amp;" · S"&amp;$AV183,"(Sin fecha)"),"")</f>
      </c>
      <c r="BA183" s="202">
        <f>IF(AND($C183,ISNUMBER($AR183),$AR183=$AS183),"Nuevo","")</f>
      </c>
      <c r="BB183" s="202">
        <f>IF(AND($C183,$AO183="Semanal",ISNUMBER($AV183)),$AV183*100000+ROW(),"")</f>
      </c>
      <c r="BC183" s="202">
        <f>IF(AND($C183,$AO183="Quincenal",ISNUMBER($AV183)),$AV183*100000+ROW(),"")</f>
      </c>
      <c r="BD183" s="202">
        <f>IF(AND($C183,$AO183="Mensual",ISNUMBER($AV183)),$AV183*100000+ROW(),"")</f>
      </c>
      <c r="BE183" s="203">
        <f>IF($C183,IF(ISBLANK('Backlog General'!$J183),"",'Backlog General'!$J183),"")</f>
      </c>
      <c r="BF183" s="203">
        <f>IF($C183,IF($BE183="","",$BE183)&amp;IF(AND($BE183&lt;&gt;"",$AH183&lt;&gt;"")," · ","")&amp;IF($AH183="","",$AH183),"")</f>
      </c>
      <c r="BG183" s="203">
        <f>IF($C183,IF($J183="Completado","Sí","No"),"")</f>
      </c>
      <c r="BH183" s="202">
        <f>IF(AND($C183,ISNUMBER($AR183)),IF($AO183="Semanal",1,IF($AO183="Quincenal",2,3))*1000000000+$AR183*100000+ROW(),"")</f>
      </c>
      <c r="BI183" s="202">
        <f>IF($C183,IF($AU183="Cancelado","",$I183),"")</f>
      </c>
      <c r="BJ183" s="202">
        <f>IF($C183,IFERROR(MATCH($D183,$D$7:$D$200,0)+6,ROW()),"")</f>
      </c>
      <c r="BK183" s="202">
        <f>IF(AND($C183,ISNUMBER($AV183)),$BJ183*1000000+$AV183*1000+ROW(),"")</f>
      </c>
      <c r="BL183" s="202">
        <f>IF(AND($C183,ISNUMBER($AW183)),ROUND(($AW183-('Sprints'!$C$5+('Sprints'!$E$5-1)*'Sprints'!$D$5))/'Sprints'!$D$5,0),"")</f>
      </c>
      <c r="BM183" s="203">
        <f>IF($C183,IF(NOT(ISNUMBER($BL183)),"",IF($BL183&lt;0,"Pasada",IF($BL183=0,"Actual",IF($BL183=1,"Siguiente",IF($BL183=2,"+2 sem",IF($BL183=3,"+3 sem","Posterior")))))),"")</f>
      </c>
      <c r="BN183" s="202">
        <f>IF(AND($C183,ISNUMBER($AR183),ISNUMBER($AV183)),MAX(1,$AV183-$AR183+1),0)</f>
        <v>0</v>
      </c>
      <c r="BO183" s="202">
        <f>SUM($BN$7:$BN183)-$BN183</f>
        <v>26</v>
      </c>
      <c r="BP183" s="202">
        <f>IF(AND($C183,ISNUMBER($AV183)),$AQ183+$AV183*$AP183*'Sprints'!$D$5-'Sprints'!$D$5,"")</f>
      </c>
      <c r="BQ183" s="202">
        <f>IF(AND($C183,ISNUMBER($BP183)),$BP183*1000+ROW(),"")</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IF($C184,IF('Backlog General'!$G184="Completada",1,IF('Backlog General'!$G184="Casi lista",0.75,IF('Backlog General'!$G184="En progreso",0.5,IF('Backlog General'!$G184="Iniciada",0.25,0)))),"")</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IF($C184,IF(ISBLANK('Backlog General'!$K184),"",'Backlog General'!$K184),"")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IF(AND($C184,ISNUMBER($AR184)),IF(AND(ISNUMBER('Backlog General'!$M184),'Backlog General'!$M184&gt;=$AR184),'Backlog General'!$M184,IF(AND($AU184="Pasa al siguiente",$AT184&lt;&gt;"Completada"),$AR184+1,$AR184)),"")</f>
      </c>
      <c r="AW184" s="202">
        <f>IF(AND($C184,ISNUMBER($AR184)),$AQ184+$AR184*$AP184*'Sprints'!$D$5-'Sprints'!$D$5,"")</f>
      </c>
      <c r="AX184" s="202">
        <f>IF($C184,IF(OR($AT184="Completada",$AU184="Cancelado",$AU184="Baja prioridad",NOT(ISNUMBER($AW184))),0,IF(TODAY()&gt;$AW184,NETWORKDAYS($AW184,TODAY(),'Sprints'!$L$5:$L$40)-1,0)),"")</f>
      </c>
      <c r="AY184" s="203">
        <f>IF($C184,IF(NOT(ISNUMBER($AR184)),"Sin fecha",IF($AT184="Completada","Completada",IF($AU184="Cancelado","Cancelado",IF($AU184="Baja prioridad","Baja prioridad",IF($AX184&gt;0,"Vencida","En curso"))))),"")</f>
      </c>
      <c r="AZ184" s="203">
        <f>IF($C184,IF(ISNUMBER($AV184),$AO184&amp;" · S"&amp;$AV184,"(Sin fecha)"),"")</f>
      </c>
      <c r="BA184" s="202">
        <f>IF(AND($C184,ISNUMBER($AR184),$AR184=$AS184),"Nuevo","")</f>
      </c>
      <c r="BB184" s="202">
        <f>IF(AND($C184,$AO184="Semanal",ISNUMBER($AV184)),$AV184*100000+ROW(),"")</f>
      </c>
      <c r="BC184" s="202">
        <f>IF(AND($C184,$AO184="Quincenal",ISNUMBER($AV184)),$AV184*100000+ROW(),"")</f>
      </c>
      <c r="BD184" s="202">
        <f>IF(AND($C184,$AO184="Mensual",ISNUMBER($AV184)),$AV184*100000+ROW(),"")</f>
      </c>
      <c r="BE184" s="203">
        <f>IF($C184,IF(ISBLANK('Backlog General'!$J184),"",'Backlog General'!$J184),"")</f>
      </c>
      <c r="BF184" s="203">
        <f>IF($C184,IF($BE184="","",$BE184)&amp;IF(AND($BE184&lt;&gt;"",$AH184&lt;&gt;"")," · ","")&amp;IF($AH184="","",$AH184),"")</f>
      </c>
      <c r="BG184" s="203">
        <f>IF($C184,IF($J184="Completado","Sí","No"),"")</f>
      </c>
      <c r="BH184" s="202">
        <f>IF(AND($C184,ISNUMBER($AR184)),IF($AO184="Semanal",1,IF($AO184="Quincenal",2,3))*1000000000+$AR184*100000+ROW(),"")</f>
      </c>
      <c r="BI184" s="202">
        <f>IF($C184,IF($AU184="Cancelado","",$I184),"")</f>
      </c>
      <c r="BJ184" s="202">
        <f>IF($C184,IFERROR(MATCH($D184,$D$7:$D$200,0)+6,ROW()),"")</f>
      </c>
      <c r="BK184" s="202">
        <f>IF(AND($C184,ISNUMBER($AV184)),$BJ184*1000000+$AV184*1000+ROW(),"")</f>
      </c>
      <c r="BL184" s="202">
        <f>IF(AND($C184,ISNUMBER($AW184)),ROUND(($AW184-('Sprints'!$C$5+('Sprints'!$E$5-1)*'Sprints'!$D$5))/'Sprints'!$D$5,0),"")</f>
      </c>
      <c r="BM184" s="203">
        <f>IF($C184,IF(NOT(ISNUMBER($BL184)),"",IF($BL184&lt;0,"Pasada",IF($BL184=0,"Actual",IF($BL184=1,"Siguiente",IF($BL184=2,"+2 sem",IF($BL184=3,"+3 sem","Posterior")))))),"")</f>
      </c>
      <c r="BN184" s="202">
        <f>IF(AND($C184,ISNUMBER($AR184),ISNUMBER($AV184)),MAX(1,$AV184-$AR184+1),0)</f>
        <v>0</v>
      </c>
      <c r="BO184" s="202">
        <f>SUM($BN$7:$BN184)-$BN184</f>
        <v>26</v>
      </c>
      <c r="BP184" s="202">
        <f>IF(AND($C184,ISNUMBER($AV184)),$AQ184+$AV184*$AP184*'Sprints'!$D$5-'Sprints'!$D$5,"")</f>
      </c>
      <c r="BQ184" s="202">
        <f>IF(AND($C184,ISNUMBER($BP184)),$BP184*1000+ROW(),"")</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IF($C185,IF('Backlog General'!$G185="Completada",1,IF('Backlog General'!$G185="Casi lista",0.75,IF('Backlog General'!$G185="En progreso",0.5,IF('Backlog General'!$G185="Iniciada",0.25,0)))),"")</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IF($C185,IF(ISBLANK('Backlog General'!$K185),"",'Backlog General'!$K185),"")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IF(AND($C185,ISNUMBER($AR185)),IF(AND(ISNUMBER('Backlog General'!$M185),'Backlog General'!$M185&gt;=$AR185),'Backlog General'!$M185,IF(AND($AU185="Pasa al siguiente",$AT185&lt;&gt;"Completada"),$AR185+1,$AR185)),"")</f>
      </c>
      <c r="AW185" s="202">
        <f>IF(AND($C185,ISNUMBER($AR185)),$AQ185+$AR185*$AP185*'Sprints'!$D$5-'Sprints'!$D$5,"")</f>
      </c>
      <c r="AX185" s="202">
        <f>IF($C185,IF(OR($AT185="Completada",$AU185="Cancelado",$AU185="Baja prioridad",NOT(ISNUMBER($AW185))),0,IF(TODAY()&gt;$AW185,NETWORKDAYS($AW185,TODAY(),'Sprints'!$L$5:$L$40)-1,0)),"")</f>
      </c>
      <c r="AY185" s="203">
        <f>IF($C185,IF(NOT(ISNUMBER($AR185)),"Sin fecha",IF($AT185="Completada","Completada",IF($AU185="Cancelado","Cancelado",IF($AU185="Baja prioridad","Baja prioridad",IF($AX185&gt;0,"Vencida","En curso"))))),"")</f>
      </c>
      <c r="AZ185" s="203">
        <f>IF($C185,IF(ISNUMBER($AV185),$AO185&amp;" · S"&amp;$AV185,"(Sin fecha)"),"")</f>
      </c>
      <c r="BA185" s="202">
        <f>IF(AND($C185,ISNUMBER($AR185),$AR185=$AS185),"Nuevo","")</f>
      </c>
      <c r="BB185" s="202">
        <f>IF(AND($C185,$AO185="Semanal",ISNUMBER($AV185)),$AV185*100000+ROW(),"")</f>
      </c>
      <c r="BC185" s="202">
        <f>IF(AND($C185,$AO185="Quincenal",ISNUMBER($AV185)),$AV185*100000+ROW(),"")</f>
      </c>
      <c r="BD185" s="202">
        <f>IF(AND($C185,$AO185="Mensual",ISNUMBER($AV185)),$AV185*100000+ROW(),"")</f>
      </c>
      <c r="BE185" s="203">
        <f>IF($C185,IF(ISBLANK('Backlog General'!$J185),"",'Backlog General'!$J185),"")</f>
      </c>
      <c r="BF185" s="203">
        <f>IF($C185,IF($BE185="","",$BE185)&amp;IF(AND($BE185&lt;&gt;"",$AH185&lt;&gt;"")," · ","")&amp;IF($AH185="","",$AH185),"")</f>
      </c>
      <c r="BG185" s="203">
        <f>IF($C185,IF($J185="Completado","Sí","No"),"")</f>
      </c>
      <c r="BH185" s="202">
        <f>IF(AND($C185,ISNUMBER($AR185)),IF($AO185="Semanal",1,IF($AO185="Quincenal",2,3))*1000000000+$AR185*100000+ROW(),"")</f>
      </c>
      <c r="BI185" s="202">
        <f>IF($C185,IF($AU185="Cancelado","",$I185),"")</f>
      </c>
      <c r="BJ185" s="202">
        <f>IF($C185,IFERROR(MATCH($D185,$D$7:$D$200,0)+6,ROW()),"")</f>
      </c>
      <c r="BK185" s="202">
        <f>IF(AND($C185,ISNUMBER($AV185)),$BJ185*1000000+$AV185*1000+ROW(),"")</f>
      </c>
      <c r="BL185" s="202">
        <f>IF(AND($C185,ISNUMBER($AW185)),ROUND(($AW185-('Sprints'!$C$5+('Sprints'!$E$5-1)*'Sprints'!$D$5))/'Sprints'!$D$5,0),"")</f>
      </c>
      <c r="BM185" s="203">
        <f>IF($C185,IF(NOT(ISNUMBER($BL185)),"",IF($BL185&lt;0,"Pasada",IF($BL185=0,"Actual",IF($BL185=1,"Siguiente",IF($BL185=2,"+2 sem",IF($BL185=3,"+3 sem","Posterior")))))),"")</f>
      </c>
      <c r="BN185" s="202">
        <f>IF(AND($C185,ISNUMBER($AR185),ISNUMBER($AV185)),MAX(1,$AV185-$AR185+1),0)</f>
        <v>0</v>
      </c>
      <c r="BO185" s="202">
        <f>SUM($BN$7:$BN185)-$BN185</f>
        <v>26</v>
      </c>
      <c r="BP185" s="202">
        <f>IF(AND($C185,ISNUMBER($AV185)),$AQ185+$AV185*$AP185*'Sprints'!$D$5-'Sprints'!$D$5,"")</f>
      </c>
      <c r="BQ185" s="202">
        <f>IF(AND($C185,ISNUMBER($BP185)),$BP185*1000+ROW(),"")</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IF($C186,IF('Backlog General'!$G186="Completada",1,IF('Backlog General'!$G186="Casi lista",0.75,IF('Backlog General'!$G186="En progreso",0.5,IF('Backlog General'!$G186="Iniciada",0.25,0)))),"")</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IF($C186,IF(ISBLANK('Backlog General'!$K186),"",'Backlog General'!$K186),"")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IF(AND($C186,ISNUMBER($AR186)),IF(AND(ISNUMBER('Backlog General'!$M186),'Backlog General'!$M186&gt;=$AR186),'Backlog General'!$M186,IF(AND($AU186="Pasa al siguiente",$AT186&lt;&gt;"Completada"),$AR186+1,$AR186)),"")</f>
      </c>
      <c r="AW186" s="202">
        <f>IF(AND($C186,ISNUMBER($AR186)),$AQ186+$AR186*$AP186*'Sprints'!$D$5-'Sprints'!$D$5,"")</f>
      </c>
      <c r="AX186" s="202">
        <f>IF($C186,IF(OR($AT186="Completada",$AU186="Cancelado",$AU186="Baja prioridad",NOT(ISNUMBER($AW186))),0,IF(TODAY()&gt;$AW186,NETWORKDAYS($AW186,TODAY(),'Sprints'!$L$5:$L$40)-1,0)),"")</f>
      </c>
      <c r="AY186" s="203">
        <f>IF($C186,IF(NOT(ISNUMBER($AR186)),"Sin fecha",IF($AT186="Completada","Completada",IF($AU186="Cancelado","Cancelado",IF($AU186="Baja prioridad","Baja prioridad",IF($AX186&gt;0,"Vencida","En curso"))))),"")</f>
      </c>
      <c r="AZ186" s="203">
        <f>IF($C186,IF(ISNUMBER($AV186),$AO186&amp;" · S"&amp;$AV186,"(Sin fecha)"),"")</f>
      </c>
      <c r="BA186" s="202">
        <f>IF(AND($C186,ISNUMBER($AR186),$AR186=$AS186),"Nuevo","")</f>
      </c>
      <c r="BB186" s="202">
        <f>IF(AND($C186,$AO186="Semanal",ISNUMBER($AV186)),$AV186*100000+ROW(),"")</f>
      </c>
      <c r="BC186" s="202">
        <f>IF(AND($C186,$AO186="Quincenal",ISNUMBER($AV186)),$AV186*100000+ROW(),"")</f>
      </c>
      <c r="BD186" s="202">
        <f>IF(AND($C186,$AO186="Mensual",ISNUMBER($AV186)),$AV186*100000+ROW(),"")</f>
      </c>
      <c r="BE186" s="203">
        <f>IF($C186,IF(ISBLANK('Backlog General'!$J186),"",'Backlog General'!$J186),"")</f>
      </c>
      <c r="BF186" s="203">
        <f>IF($C186,IF($BE186="","",$BE186)&amp;IF(AND($BE186&lt;&gt;"",$AH186&lt;&gt;"")," · ","")&amp;IF($AH186="","",$AH186),"")</f>
      </c>
      <c r="BG186" s="203">
        <f>IF($C186,IF($J186="Completado","Sí","No"),"")</f>
      </c>
      <c r="BH186" s="202">
        <f>IF(AND($C186,ISNUMBER($AR186)),IF($AO186="Semanal",1,IF($AO186="Quincenal",2,3))*1000000000+$AR186*100000+ROW(),"")</f>
      </c>
      <c r="BI186" s="202">
        <f>IF($C186,IF($AU186="Cancelado","",$I186),"")</f>
      </c>
      <c r="BJ186" s="202">
        <f>IF($C186,IFERROR(MATCH($D186,$D$7:$D$200,0)+6,ROW()),"")</f>
      </c>
      <c r="BK186" s="202">
        <f>IF(AND($C186,ISNUMBER($AV186)),$BJ186*1000000+$AV186*1000+ROW(),"")</f>
      </c>
      <c r="BL186" s="202">
        <f>IF(AND($C186,ISNUMBER($AW186)),ROUND(($AW186-('Sprints'!$C$5+('Sprints'!$E$5-1)*'Sprints'!$D$5))/'Sprints'!$D$5,0),"")</f>
      </c>
      <c r="BM186" s="203">
        <f>IF($C186,IF(NOT(ISNUMBER($BL186)),"",IF($BL186&lt;0,"Pasada",IF($BL186=0,"Actual",IF($BL186=1,"Siguiente",IF($BL186=2,"+2 sem",IF($BL186=3,"+3 sem","Posterior")))))),"")</f>
      </c>
      <c r="BN186" s="202">
        <f>IF(AND($C186,ISNUMBER($AR186),ISNUMBER($AV186)),MAX(1,$AV186-$AR186+1),0)</f>
        <v>0</v>
      </c>
      <c r="BO186" s="202">
        <f>SUM($BN$7:$BN186)-$BN186</f>
        <v>26</v>
      </c>
      <c r="BP186" s="202">
        <f>IF(AND($C186,ISNUMBER($AV186)),$AQ186+$AV186*$AP186*'Sprints'!$D$5-'Sprints'!$D$5,"")</f>
      </c>
      <c r="BQ186" s="202">
        <f>IF(AND($C186,ISNUMBER($BP186)),$BP186*1000+ROW(),"")</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IF($C187,IF('Backlog General'!$G187="Completada",1,IF('Backlog General'!$G187="Casi lista",0.75,IF('Backlog General'!$G187="En progreso",0.5,IF('Backlog General'!$G187="Iniciada",0.25,0)))),"")</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IF($C187,IF(ISBLANK('Backlog General'!$K187),"",'Backlog General'!$K187),"")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IF(AND($C187,ISNUMBER($AR187)),IF(AND(ISNUMBER('Backlog General'!$M187),'Backlog General'!$M187&gt;=$AR187),'Backlog General'!$M187,IF(AND($AU187="Pasa al siguiente",$AT187&lt;&gt;"Completada"),$AR187+1,$AR187)),"")</f>
      </c>
      <c r="AW187" s="202">
        <f>IF(AND($C187,ISNUMBER($AR187)),$AQ187+$AR187*$AP187*'Sprints'!$D$5-'Sprints'!$D$5,"")</f>
      </c>
      <c r="AX187" s="202">
        <f>IF($C187,IF(OR($AT187="Completada",$AU187="Cancelado",$AU187="Baja prioridad",NOT(ISNUMBER($AW187))),0,IF(TODAY()&gt;$AW187,NETWORKDAYS($AW187,TODAY(),'Sprints'!$L$5:$L$40)-1,0)),"")</f>
      </c>
      <c r="AY187" s="203">
        <f>IF($C187,IF(NOT(ISNUMBER($AR187)),"Sin fecha",IF($AT187="Completada","Completada",IF($AU187="Cancelado","Cancelado",IF($AU187="Baja prioridad","Baja prioridad",IF($AX187&gt;0,"Vencida","En curso"))))),"")</f>
      </c>
      <c r="AZ187" s="203">
        <f>IF($C187,IF(ISNUMBER($AV187),$AO187&amp;" · S"&amp;$AV187,"(Sin fecha)"),"")</f>
      </c>
      <c r="BA187" s="202">
        <f>IF(AND($C187,ISNUMBER($AR187),$AR187=$AS187),"Nuevo","")</f>
      </c>
      <c r="BB187" s="202">
        <f>IF(AND($C187,$AO187="Semanal",ISNUMBER($AV187)),$AV187*100000+ROW(),"")</f>
      </c>
      <c r="BC187" s="202">
        <f>IF(AND($C187,$AO187="Quincenal",ISNUMBER($AV187)),$AV187*100000+ROW(),"")</f>
      </c>
      <c r="BD187" s="202">
        <f>IF(AND($C187,$AO187="Mensual",ISNUMBER($AV187)),$AV187*100000+ROW(),"")</f>
      </c>
      <c r="BE187" s="203">
        <f>IF($C187,IF(ISBLANK('Backlog General'!$J187),"",'Backlog General'!$J187),"")</f>
      </c>
      <c r="BF187" s="203">
        <f>IF($C187,IF($BE187="","",$BE187)&amp;IF(AND($BE187&lt;&gt;"",$AH187&lt;&gt;"")," · ","")&amp;IF($AH187="","",$AH187),"")</f>
      </c>
      <c r="BG187" s="203">
        <f>IF($C187,IF($J187="Completado","Sí","No"),"")</f>
      </c>
      <c r="BH187" s="202">
        <f>IF(AND($C187,ISNUMBER($AR187)),IF($AO187="Semanal",1,IF($AO187="Quincenal",2,3))*1000000000+$AR187*100000+ROW(),"")</f>
      </c>
      <c r="BI187" s="202">
        <f>IF($C187,IF($AU187="Cancelado","",$I187),"")</f>
      </c>
      <c r="BJ187" s="202">
        <f>IF($C187,IFERROR(MATCH($D187,$D$7:$D$200,0)+6,ROW()),"")</f>
      </c>
      <c r="BK187" s="202">
        <f>IF(AND($C187,ISNUMBER($AV187)),$BJ187*1000000+$AV187*1000+ROW(),"")</f>
      </c>
      <c r="BL187" s="202">
        <f>IF(AND($C187,ISNUMBER($AW187)),ROUND(($AW187-('Sprints'!$C$5+('Sprints'!$E$5-1)*'Sprints'!$D$5))/'Sprints'!$D$5,0),"")</f>
      </c>
      <c r="BM187" s="203">
        <f>IF($C187,IF(NOT(ISNUMBER($BL187)),"",IF($BL187&lt;0,"Pasada",IF($BL187=0,"Actual",IF($BL187=1,"Siguiente",IF($BL187=2,"+2 sem",IF($BL187=3,"+3 sem","Posterior")))))),"")</f>
      </c>
      <c r="BN187" s="202">
        <f>IF(AND($C187,ISNUMBER($AR187),ISNUMBER($AV187)),MAX(1,$AV187-$AR187+1),0)</f>
        <v>0</v>
      </c>
      <c r="BO187" s="202">
        <f>SUM($BN$7:$BN187)-$BN187</f>
        <v>26</v>
      </c>
      <c r="BP187" s="202">
        <f>IF(AND($C187,ISNUMBER($AV187)),$AQ187+$AV187*$AP187*'Sprints'!$D$5-'Sprints'!$D$5,"")</f>
      </c>
      <c r="BQ187" s="202">
        <f>IF(AND($C187,ISNUMBER($BP187)),$BP187*1000+ROW(),"")</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IF($C188,IF('Backlog General'!$G188="Completada",1,IF('Backlog General'!$G188="Casi lista",0.75,IF('Backlog General'!$G188="En progreso",0.5,IF('Backlog General'!$G188="Iniciada",0.25,0)))),"")</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IF($C188,IF(ISBLANK('Backlog General'!$K188),"",'Backlog General'!$K188),"")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IF(AND($C188,ISNUMBER($AR188)),IF(AND(ISNUMBER('Backlog General'!$M188),'Backlog General'!$M188&gt;=$AR188),'Backlog General'!$M188,IF(AND($AU188="Pasa al siguiente",$AT188&lt;&gt;"Completada"),$AR188+1,$AR188)),"")</f>
      </c>
      <c r="AW188" s="202">
        <f>IF(AND($C188,ISNUMBER($AR188)),$AQ188+$AR188*$AP188*'Sprints'!$D$5-'Sprints'!$D$5,"")</f>
      </c>
      <c r="AX188" s="202">
        <f>IF($C188,IF(OR($AT188="Completada",$AU188="Cancelado",$AU188="Baja prioridad",NOT(ISNUMBER($AW188))),0,IF(TODAY()&gt;$AW188,NETWORKDAYS($AW188,TODAY(),'Sprints'!$L$5:$L$40)-1,0)),"")</f>
      </c>
      <c r="AY188" s="203">
        <f>IF($C188,IF(NOT(ISNUMBER($AR188)),"Sin fecha",IF($AT188="Completada","Completada",IF($AU188="Cancelado","Cancelado",IF($AU188="Baja prioridad","Baja prioridad",IF($AX188&gt;0,"Vencida","En curso"))))),"")</f>
      </c>
      <c r="AZ188" s="203">
        <f>IF($C188,IF(ISNUMBER($AV188),$AO188&amp;" · S"&amp;$AV188,"(Sin fecha)"),"")</f>
      </c>
      <c r="BA188" s="202">
        <f>IF(AND($C188,ISNUMBER($AR188),$AR188=$AS188),"Nuevo","")</f>
      </c>
      <c r="BB188" s="202">
        <f>IF(AND($C188,$AO188="Semanal",ISNUMBER($AV188)),$AV188*100000+ROW(),"")</f>
      </c>
      <c r="BC188" s="202">
        <f>IF(AND($C188,$AO188="Quincenal",ISNUMBER($AV188)),$AV188*100000+ROW(),"")</f>
      </c>
      <c r="BD188" s="202">
        <f>IF(AND($C188,$AO188="Mensual",ISNUMBER($AV188)),$AV188*100000+ROW(),"")</f>
      </c>
      <c r="BE188" s="203">
        <f>IF($C188,IF(ISBLANK('Backlog General'!$J188),"",'Backlog General'!$J188),"")</f>
      </c>
      <c r="BF188" s="203">
        <f>IF($C188,IF($BE188="","",$BE188)&amp;IF(AND($BE188&lt;&gt;"",$AH188&lt;&gt;"")," · ","")&amp;IF($AH188="","",$AH188),"")</f>
      </c>
      <c r="BG188" s="203">
        <f>IF($C188,IF($J188="Completado","Sí","No"),"")</f>
      </c>
      <c r="BH188" s="202">
        <f>IF(AND($C188,ISNUMBER($AR188)),IF($AO188="Semanal",1,IF($AO188="Quincenal",2,3))*1000000000+$AR188*100000+ROW(),"")</f>
      </c>
      <c r="BI188" s="202">
        <f>IF($C188,IF($AU188="Cancelado","",$I188),"")</f>
      </c>
      <c r="BJ188" s="202">
        <f>IF($C188,IFERROR(MATCH($D188,$D$7:$D$200,0)+6,ROW()),"")</f>
      </c>
      <c r="BK188" s="202">
        <f>IF(AND($C188,ISNUMBER($AV188)),$BJ188*1000000+$AV188*1000+ROW(),"")</f>
      </c>
      <c r="BL188" s="202">
        <f>IF(AND($C188,ISNUMBER($AW188)),ROUND(($AW188-('Sprints'!$C$5+('Sprints'!$E$5-1)*'Sprints'!$D$5))/'Sprints'!$D$5,0),"")</f>
      </c>
      <c r="BM188" s="203">
        <f>IF($C188,IF(NOT(ISNUMBER($BL188)),"",IF($BL188&lt;0,"Pasada",IF($BL188=0,"Actual",IF($BL188=1,"Siguiente",IF($BL188=2,"+2 sem",IF($BL188=3,"+3 sem","Posterior")))))),"")</f>
      </c>
      <c r="BN188" s="202">
        <f>IF(AND($C188,ISNUMBER($AR188),ISNUMBER($AV188)),MAX(1,$AV188-$AR188+1),0)</f>
        <v>0</v>
      </c>
      <c r="BO188" s="202">
        <f>SUM($BN$7:$BN188)-$BN188</f>
        <v>26</v>
      </c>
      <c r="BP188" s="202">
        <f>IF(AND($C188,ISNUMBER($AV188)),$AQ188+$AV188*$AP188*'Sprints'!$D$5-'Sprints'!$D$5,"")</f>
      </c>
      <c r="BQ188" s="202">
        <f>IF(AND($C188,ISNUMBER($BP188)),$BP188*1000+ROW(),"")</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IF($C189,IF('Backlog General'!$G189="Completada",1,IF('Backlog General'!$G189="Casi lista",0.75,IF('Backlog General'!$G189="En progreso",0.5,IF('Backlog General'!$G189="Iniciada",0.25,0)))),"")</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IF($C189,IF(ISBLANK('Backlog General'!$K189),"",'Backlog General'!$K189),"")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IF(AND($C189,ISNUMBER($AR189)),IF(AND(ISNUMBER('Backlog General'!$M189),'Backlog General'!$M189&gt;=$AR189),'Backlog General'!$M189,IF(AND($AU189="Pasa al siguiente",$AT189&lt;&gt;"Completada"),$AR189+1,$AR189)),"")</f>
      </c>
      <c r="AW189" s="202">
        <f>IF(AND($C189,ISNUMBER($AR189)),$AQ189+$AR189*$AP189*'Sprints'!$D$5-'Sprints'!$D$5,"")</f>
      </c>
      <c r="AX189" s="202">
        <f>IF($C189,IF(OR($AT189="Completada",$AU189="Cancelado",$AU189="Baja prioridad",NOT(ISNUMBER($AW189))),0,IF(TODAY()&gt;$AW189,NETWORKDAYS($AW189,TODAY(),'Sprints'!$L$5:$L$40)-1,0)),"")</f>
      </c>
      <c r="AY189" s="203">
        <f>IF($C189,IF(NOT(ISNUMBER($AR189)),"Sin fecha",IF($AT189="Completada","Completada",IF($AU189="Cancelado","Cancelado",IF($AU189="Baja prioridad","Baja prioridad",IF($AX189&gt;0,"Vencida","En curso"))))),"")</f>
      </c>
      <c r="AZ189" s="203">
        <f>IF($C189,IF(ISNUMBER($AV189),$AO189&amp;" · S"&amp;$AV189,"(Sin fecha)"),"")</f>
      </c>
      <c r="BA189" s="202">
        <f>IF(AND($C189,ISNUMBER($AR189),$AR189=$AS189),"Nuevo","")</f>
      </c>
      <c r="BB189" s="202">
        <f>IF(AND($C189,$AO189="Semanal",ISNUMBER($AV189)),$AV189*100000+ROW(),"")</f>
      </c>
      <c r="BC189" s="202">
        <f>IF(AND($C189,$AO189="Quincenal",ISNUMBER($AV189)),$AV189*100000+ROW(),"")</f>
      </c>
      <c r="BD189" s="202">
        <f>IF(AND($C189,$AO189="Mensual",ISNUMBER($AV189)),$AV189*100000+ROW(),"")</f>
      </c>
      <c r="BE189" s="203">
        <f>IF($C189,IF(ISBLANK('Backlog General'!$J189),"",'Backlog General'!$J189),"")</f>
      </c>
      <c r="BF189" s="203">
        <f>IF($C189,IF($BE189="","",$BE189)&amp;IF(AND($BE189&lt;&gt;"",$AH189&lt;&gt;"")," · ","")&amp;IF($AH189="","",$AH189),"")</f>
      </c>
      <c r="BG189" s="203">
        <f>IF($C189,IF($J189="Completado","Sí","No"),"")</f>
      </c>
      <c r="BH189" s="202">
        <f>IF(AND($C189,ISNUMBER($AR189)),IF($AO189="Semanal",1,IF($AO189="Quincenal",2,3))*1000000000+$AR189*100000+ROW(),"")</f>
      </c>
      <c r="BI189" s="202">
        <f>IF($C189,IF($AU189="Cancelado","",$I189),"")</f>
      </c>
      <c r="BJ189" s="202">
        <f>IF($C189,IFERROR(MATCH($D189,$D$7:$D$200,0)+6,ROW()),"")</f>
      </c>
      <c r="BK189" s="202">
        <f>IF(AND($C189,ISNUMBER($AV189)),$BJ189*1000000+$AV189*1000+ROW(),"")</f>
      </c>
      <c r="BL189" s="202">
        <f>IF(AND($C189,ISNUMBER($AW189)),ROUND(($AW189-('Sprints'!$C$5+('Sprints'!$E$5-1)*'Sprints'!$D$5))/'Sprints'!$D$5,0),"")</f>
      </c>
      <c r="BM189" s="203">
        <f>IF($C189,IF(NOT(ISNUMBER($BL189)),"",IF($BL189&lt;0,"Pasada",IF($BL189=0,"Actual",IF($BL189=1,"Siguiente",IF($BL189=2,"+2 sem",IF($BL189=3,"+3 sem","Posterior")))))),"")</f>
      </c>
      <c r="BN189" s="202">
        <f>IF(AND($C189,ISNUMBER($AR189),ISNUMBER($AV189)),MAX(1,$AV189-$AR189+1),0)</f>
        <v>0</v>
      </c>
      <c r="BO189" s="202">
        <f>SUM($BN$7:$BN189)-$BN189</f>
        <v>26</v>
      </c>
      <c r="BP189" s="202">
        <f>IF(AND($C189,ISNUMBER($AV189)),$AQ189+$AV189*$AP189*'Sprints'!$D$5-'Sprints'!$D$5,"")</f>
      </c>
      <c r="BQ189" s="202">
        <f>IF(AND($C189,ISNUMBER($BP189)),$BP189*1000+ROW(),"")</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IF($C190,IF('Backlog General'!$G190="Completada",1,IF('Backlog General'!$G190="Casi lista",0.75,IF('Backlog General'!$G190="En progreso",0.5,IF('Backlog General'!$G190="Iniciada",0.25,0)))),"")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IF($C190,IF(ISBLANK('Backlog General'!$K190),"",'Backlog General'!$K190),"")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IF(AND($C190,ISNUMBER($AR190)),IF(AND(ISNUMBER('Backlog General'!$M190),'Backlog General'!$M190&gt;=$AR190),'Backlog General'!$M190,IF(AND($AU190="Pasa al siguiente",$AT190&lt;&gt;"Completada"),$AR190+1,$AR190)),"")</f>
      </c>
      <c r="AW190" s="202">
        <f>IF(AND($C190,ISNUMBER($AR190)),$AQ190+$AR190*$AP190*'Sprints'!$D$5-'Sprints'!$D$5,"")</f>
      </c>
      <c r="AX190" s="202">
        <f>IF($C190,IF(OR($AT190="Completada",$AU190="Cancelado",$AU190="Baja prioridad",NOT(ISNUMBER($AW190))),0,IF(TODAY()&gt;$AW190,NETWORKDAYS($AW190,TODAY(),'Sprints'!$L$5:$L$40)-1,0)),"")</f>
      </c>
      <c r="AY190" s="203">
        <f>IF($C190,IF(NOT(ISNUMBER($AR190)),"Sin fecha",IF($AT190="Completada","Completada",IF($AU190="Cancelado","Cancelado",IF($AU190="Baja prioridad","Baja prioridad",IF($AX190&gt;0,"Vencida","En curso"))))),"")</f>
      </c>
      <c r="AZ190" s="203">
        <f>IF($C190,IF(ISNUMBER($AV190),$AO190&amp;" · S"&amp;$AV190,"(Sin fecha)"),"")</f>
      </c>
      <c r="BA190" s="202">
        <f>IF(AND($C190,ISNUMBER($AR190),$AR190=$AS190),"Nuevo","")</f>
      </c>
      <c r="BB190" s="202">
        <f>IF(AND($C190,$AO190="Semanal",ISNUMBER($AV190)),$AV190*100000+ROW(),"")</f>
      </c>
      <c r="BC190" s="202">
        <f>IF(AND($C190,$AO190="Quincenal",ISNUMBER($AV190)),$AV190*100000+ROW(),"")</f>
      </c>
      <c r="BD190" s="202">
        <f>IF(AND($C190,$AO190="Mensual",ISNUMBER($AV190)),$AV190*100000+ROW(),"")</f>
      </c>
      <c r="BE190" s="203">
        <f>IF($C190,IF(ISBLANK('Backlog General'!$J190),"",'Backlog General'!$J190),"")</f>
      </c>
      <c r="BF190" s="203">
        <f>IF($C190,IF($BE190="","",$BE190)&amp;IF(AND($BE190&lt;&gt;"",$AH190&lt;&gt;"")," · ","")&amp;IF($AH190="","",$AH190),"")</f>
      </c>
      <c r="BG190" s="203">
        <f>IF($C190,IF($J190="Completado","Sí","No"),"")</f>
      </c>
      <c r="BH190" s="202">
        <f>IF(AND($C190,ISNUMBER($AR190)),IF($AO190="Semanal",1,IF($AO190="Quincenal",2,3))*1000000000+$AR190*100000+ROW(),"")</f>
      </c>
      <c r="BI190" s="202">
        <f>IF($C190,IF($AU190="Cancelado","",$I190),"")</f>
      </c>
      <c r="BJ190" s="202">
        <f>IF($C190,IFERROR(MATCH($D190,$D$7:$D$200,0)+6,ROW()),"")</f>
      </c>
      <c r="BK190" s="202">
        <f>IF(AND($C190,ISNUMBER($AV190)),$BJ190*1000000+$AV190*1000+ROW(),"")</f>
      </c>
      <c r="BL190" s="202">
        <f>IF(AND($C190,ISNUMBER($AW190)),ROUND(($AW190-('Sprints'!$C$5+('Sprints'!$E$5-1)*'Sprints'!$D$5))/'Sprints'!$D$5,0),"")</f>
      </c>
      <c r="BM190" s="203">
        <f>IF($C190,IF(NOT(ISNUMBER($BL190)),"",IF($BL190&lt;0,"Pasada",IF($BL190=0,"Actual",IF($BL190=1,"Siguiente",IF($BL190=2,"+2 sem",IF($BL190=3,"+3 sem","Posterior")))))),"")</f>
      </c>
      <c r="BN190" s="202">
        <f>IF(AND($C190,ISNUMBER($AR190),ISNUMBER($AV190)),MAX(1,$AV190-$AR190+1),0)</f>
        <v>0</v>
      </c>
      <c r="BO190" s="202">
        <f>SUM($BN$7:$BN190)-$BN190</f>
        <v>26</v>
      </c>
      <c r="BP190" s="202">
        <f>IF(AND($C190,ISNUMBER($AV190)),$AQ190+$AV190*$AP190*'Sprints'!$D$5-'Sprints'!$D$5,"")</f>
      </c>
      <c r="BQ190" s="202">
        <f>IF(AND($C190,ISNUMBER($BP190)),$BP190*1000+ROW(),"")</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IF($C191,IF('Backlog General'!$G191="Completada",1,IF('Backlog General'!$G191="Casi lista",0.75,IF('Backlog General'!$G191="En progreso",0.5,IF('Backlog General'!$G191="Iniciada",0.25,0)))),"")</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IF($C191,IF(ISBLANK('Backlog General'!$K191),"",'Backlog General'!$K191),"")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IF(AND($C191,ISNUMBER($AR191)),IF(AND(ISNUMBER('Backlog General'!$M191),'Backlog General'!$M191&gt;=$AR191),'Backlog General'!$M191,IF(AND($AU191="Pasa al siguiente",$AT191&lt;&gt;"Completada"),$AR191+1,$AR191)),"")</f>
      </c>
      <c r="AW191" s="202">
        <f>IF(AND($C191,ISNUMBER($AR191)),$AQ191+$AR191*$AP191*'Sprints'!$D$5-'Sprints'!$D$5,"")</f>
      </c>
      <c r="AX191" s="202">
        <f>IF($C191,IF(OR($AT191="Completada",$AU191="Cancelado",$AU191="Baja prioridad",NOT(ISNUMBER($AW191))),0,IF(TODAY()&gt;$AW191,NETWORKDAYS($AW191,TODAY(),'Sprints'!$L$5:$L$40)-1,0)),"")</f>
      </c>
      <c r="AY191" s="203">
        <f>IF($C191,IF(NOT(ISNUMBER($AR191)),"Sin fecha",IF($AT191="Completada","Completada",IF($AU191="Cancelado","Cancelado",IF($AU191="Baja prioridad","Baja prioridad",IF($AX191&gt;0,"Vencida","En curso"))))),"")</f>
      </c>
      <c r="AZ191" s="203">
        <f>IF($C191,IF(ISNUMBER($AV191),$AO191&amp;" · S"&amp;$AV191,"(Sin fecha)"),"")</f>
      </c>
      <c r="BA191" s="202">
        <f>IF(AND($C191,ISNUMBER($AR191),$AR191=$AS191),"Nuevo","")</f>
      </c>
      <c r="BB191" s="202">
        <f>IF(AND($C191,$AO191="Semanal",ISNUMBER($AV191)),$AV191*100000+ROW(),"")</f>
      </c>
      <c r="BC191" s="202">
        <f>IF(AND($C191,$AO191="Quincenal",ISNUMBER($AV191)),$AV191*100000+ROW(),"")</f>
      </c>
      <c r="BD191" s="202">
        <f>IF(AND($C191,$AO191="Mensual",ISNUMBER($AV191)),$AV191*100000+ROW(),"")</f>
      </c>
      <c r="BE191" s="203">
        <f>IF($C191,IF(ISBLANK('Backlog General'!$J191),"",'Backlog General'!$J191),"")</f>
      </c>
      <c r="BF191" s="203">
        <f>IF($C191,IF($BE191="","",$BE191)&amp;IF(AND($BE191&lt;&gt;"",$AH191&lt;&gt;"")," · ","")&amp;IF($AH191="","",$AH191),"")</f>
      </c>
      <c r="BG191" s="203">
        <f>IF($C191,IF($J191="Completado","Sí","No"),"")</f>
      </c>
      <c r="BH191" s="202">
        <f>IF(AND($C191,ISNUMBER($AR191)),IF($AO191="Semanal",1,IF($AO191="Quincenal",2,3))*1000000000+$AR191*100000+ROW(),"")</f>
      </c>
      <c r="BI191" s="202">
        <f>IF($C191,IF($AU191="Cancelado","",$I191),"")</f>
      </c>
      <c r="BJ191" s="202">
        <f>IF($C191,IFERROR(MATCH($D191,$D$7:$D$200,0)+6,ROW()),"")</f>
      </c>
      <c r="BK191" s="202">
        <f>IF(AND($C191,ISNUMBER($AV191)),$BJ191*1000000+$AV191*1000+ROW(),"")</f>
      </c>
      <c r="BL191" s="202">
        <f>IF(AND($C191,ISNUMBER($AW191)),ROUND(($AW191-('Sprints'!$C$5+('Sprints'!$E$5-1)*'Sprints'!$D$5))/'Sprints'!$D$5,0),"")</f>
      </c>
      <c r="BM191" s="203">
        <f>IF($C191,IF(NOT(ISNUMBER($BL191)),"",IF($BL191&lt;0,"Pasada",IF($BL191=0,"Actual",IF($BL191=1,"Siguiente",IF($BL191=2,"+2 sem",IF($BL191=3,"+3 sem","Posterior")))))),"")</f>
      </c>
      <c r="BN191" s="202">
        <f>IF(AND($C191,ISNUMBER($AR191),ISNUMBER($AV191)),MAX(1,$AV191-$AR191+1),0)</f>
        <v>0</v>
      </c>
      <c r="BO191" s="202">
        <f>SUM($BN$7:$BN191)-$BN191</f>
        <v>26</v>
      </c>
      <c r="BP191" s="202">
        <f>IF(AND($C191,ISNUMBER($AV191)),$AQ191+$AV191*$AP191*'Sprints'!$D$5-'Sprints'!$D$5,"")</f>
      </c>
      <c r="BQ191" s="202">
        <f>IF(AND($C191,ISNUMBER($BP191)),$BP191*1000+ROW(),"")</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IF($C192,IF('Backlog General'!$G192="Completada",1,IF('Backlog General'!$G192="Casi lista",0.75,IF('Backlog General'!$G192="En progreso",0.5,IF('Backlog General'!$G192="Iniciada",0.25,0)))),"")</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IF($C192,IF(ISBLANK('Backlog General'!$K192),"",'Backlog General'!$K192),"")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IF(AND($C192,ISNUMBER($AR192)),IF(AND(ISNUMBER('Backlog General'!$M192),'Backlog General'!$M192&gt;=$AR192),'Backlog General'!$M192,IF(AND($AU192="Pasa al siguiente",$AT192&lt;&gt;"Completada"),$AR192+1,$AR192)),"")</f>
      </c>
      <c r="AW192" s="202">
        <f>IF(AND($C192,ISNUMBER($AR192)),$AQ192+$AR192*$AP192*'Sprints'!$D$5-'Sprints'!$D$5,"")</f>
      </c>
      <c r="AX192" s="202">
        <f>IF($C192,IF(OR($AT192="Completada",$AU192="Cancelado",$AU192="Baja prioridad",NOT(ISNUMBER($AW192))),0,IF(TODAY()&gt;$AW192,NETWORKDAYS($AW192,TODAY(),'Sprints'!$L$5:$L$40)-1,0)),"")</f>
      </c>
      <c r="AY192" s="203">
        <f>IF($C192,IF(NOT(ISNUMBER($AR192)),"Sin fecha",IF($AT192="Completada","Completada",IF($AU192="Cancelado","Cancelado",IF($AU192="Baja prioridad","Baja prioridad",IF($AX192&gt;0,"Vencida","En curso"))))),"")</f>
      </c>
      <c r="AZ192" s="203">
        <f>IF($C192,IF(ISNUMBER($AV192),$AO192&amp;" · S"&amp;$AV192,"(Sin fecha)"),"")</f>
      </c>
      <c r="BA192" s="202">
        <f>IF(AND($C192,ISNUMBER($AR192),$AR192=$AS192),"Nuevo","")</f>
      </c>
      <c r="BB192" s="202">
        <f>IF(AND($C192,$AO192="Semanal",ISNUMBER($AV192)),$AV192*100000+ROW(),"")</f>
      </c>
      <c r="BC192" s="202">
        <f>IF(AND($C192,$AO192="Quincenal",ISNUMBER($AV192)),$AV192*100000+ROW(),"")</f>
      </c>
      <c r="BD192" s="202">
        <f>IF(AND($C192,$AO192="Mensual",ISNUMBER($AV192)),$AV192*100000+ROW(),"")</f>
      </c>
      <c r="BE192" s="203">
        <f>IF($C192,IF(ISBLANK('Backlog General'!$J192),"",'Backlog General'!$J192),"")</f>
      </c>
      <c r="BF192" s="203">
        <f>IF($C192,IF($BE192="","",$BE192)&amp;IF(AND($BE192&lt;&gt;"",$AH192&lt;&gt;"")," · ","")&amp;IF($AH192="","",$AH192),"")</f>
      </c>
      <c r="BG192" s="203">
        <f>IF($C192,IF($J192="Completado","Sí","No"),"")</f>
      </c>
      <c r="BH192" s="202">
        <f>IF(AND($C192,ISNUMBER($AR192)),IF($AO192="Semanal",1,IF($AO192="Quincenal",2,3))*1000000000+$AR192*100000+ROW(),"")</f>
      </c>
      <c r="BI192" s="202">
        <f>IF($C192,IF($AU192="Cancelado","",$I192),"")</f>
      </c>
      <c r="BJ192" s="202">
        <f>IF($C192,IFERROR(MATCH($D192,$D$7:$D$200,0)+6,ROW()),"")</f>
      </c>
      <c r="BK192" s="202">
        <f>IF(AND($C192,ISNUMBER($AV192)),$BJ192*1000000+$AV192*1000+ROW(),"")</f>
      </c>
      <c r="BL192" s="202">
        <f>IF(AND($C192,ISNUMBER($AW192)),ROUND(($AW192-('Sprints'!$C$5+('Sprints'!$E$5-1)*'Sprints'!$D$5))/'Sprints'!$D$5,0),"")</f>
      </c>
      <c r="BM192" s="203">
        <f>IF($C192,IF(NOT(ISNUMBER($BL192)),"",IF($BL192&lt;0,"Pasada",IF($BL192=0,"Actual",IF($BL192=1,"Siguiente",IF($BL192=2,"+2 sem",IF($BL192=3,"+3 sem","Posterior")))))),"")</f>
      </c>
      <c r="BN192" s="202">
        <f>IF(AND($C192,ISNUMBER($AR192),ISNUMBER($AV192)),MAX(1,$AV192-$AR192+1),0)</f>
        <v>0</v>
      </c>
      <c r="BO192" s="202">
        <f>SUM($BN$7:$BN192)-$BN192</f>
        <v>26</v>
      </c>
      <c r="BP192" s="202">
        <f>IF(AND($C192,ISNUMBER($AV192)),$AQ192+$AV192*$AP192*'Sprints'!$D$5-'Sprints'!$D$5,"")</f>
      </c>
      <c r="BQ192" s="202">
        <f>IF(AND($C192,ISNUMBER($BP192)),$BP192*1000+ROW(),"")</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IF($C193,IF('Backlog General'!$G193="Completada",1,IF('Backlog General'!$G193="Casi lista",0.75,IF('Backlog General'!$G193="En progreso",0.5,IF('Backlog General'!$G193="Iniciada",0.25,0)))),"")</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IF($C193,IF(ISBLANK('Backlog General'!$K193),"",'Backlog General'!$K193),"")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IF(AND($C193,ISNUMBER($AR193)),IF(AND(ISNUMBER('Backlog General'!$M193),'Backlog General'!$M193&gt;=$AR193),'Backlog General'!$M193,IF(AND($AU193="Pasa al siguiente",$AT193&lt;&gt;"Completada"),$AR193+1,$AR193)),"")</f>
      </c>
      <c r="AW193" s="202">
        <f>IF(AND($C193,ISNUMBER($AR193)),$AQ193+$AR193*$AP193*'Sprints'!$D$5-'Sprints'!$D$5,"")</f>
      </c>
      <c r="AX193" s="202">
        <f>IF($C193,IF(OR($AT193="Completada",$AU193="Cancelado",$AU193="Baja prioridad",NOT(ISNUMBER($AW193))),0,IF(TODAY()&gt;$AW193,NETWORKDAYS($AW193,TODAY(),'Sprints'!$L$5:$L$40)-1,0)),"")</f>
      </c>
      <c r="AY193" s="203">
        <f>IF($C193,IF(NOT(ISNUMBER($AR193)),"Sin fecha",IF($AT193="Completada","Completada",IF($AU193="Cancelado","Cancelado",IF($AU193="Baja prioridad","Baja prioridad",IF($AX193&gt;0,"Vencida","En curso"))))),"")</f>
      </c>
      <c r="AZ193" s="203">
        <f>IF($C193,IF(ISNUMBER($AV193),$AO193&amp;" · S"&amp;$AV193,"(Sin fecha)"),"")</f>
      </c>
      <c r="BA193" s="202">
        <f>IF(AND($C193,ISNUMBER($AR193),$AR193=$AS193),"Nuevo","")</f>
      </c>
      <c r="BB193" s="202">
        <f>IF(AND($C193,$AO193="Semanal",ISNUMBER($AV193)),$AV193*100000+ROW(),"")</f>
      </c>
      <c r="BC193" s="202">
        <f>IF(AND($C193,$AO193="Quincenal",ISNUMBER($AV193)),$AV193*100000+ROW(),"")</f>
      </c>
      <c r="BD193" s="202">
        <f>IF(AND($C193,$AO193="Mensual",ISNUMBER($AV193)),$AV193*100000+ROW(),"")</f>
      </c>
      <c r="BE193" s="203">
        <f>IF($C193,IF(ISBLANK('Backlog General'!$J193),"",'Backlog General'!$J193),"")</f>
      </c>
      <c r="BF193" s="203">
        <f>IF($C193,IF($BE193="","",$BE193)&amp;IF(AND($BE193&lt;&gt;"",$AH193&lt;&gt;"")," · ","")&amp;IF($AH193="","",$AH193),"")</f>
      </c>
      <c r="BG193" s="203">
        <f>IF($C193,IF($J193="Completado","Sí","No"),"")</f>
      </c>
      <c r="BH193" s="202">
        <f>IF(AND($C193,ISNUMBER($AR193)),IF($AO193="Semanal",1,IF($AO193="Quincenal",2,3))*1000000000+$AR193*100000+ROW(),"")</f>
      </c>
      <c r="BI193" s="202">
        <f>IF($C193,IF($AU193="Cancelado","",$I193),"")</f>
      </c>
      <c r="BJ193" s="202">
        <f>IF($C193,IFERROR(MATCH($D193,$D$7:$D$200,0)+6,ROW()),"")</f>
      </c>
      <c r="BK193" s="202">
        <f>IF(AND($C193,ISNUMBER($AV193)),$BJ193*1000000+$AV193*1000+ROW(),"")</f>
      </c>
      <c r="BL193" s="202">
        <f>IF(AND($C193,ISNUMBER($AW193)),ROUND(($AW193-('Sprints'!$C$5+('Sprints'!$E$5-1)*'Sprints'!$D$5))/'Sprints'!$D$5,0),"")</f>
      </c>
      <c r="BM193" s="203">
        <f>IF($C193,IF(NOT(ISNUMBER($BL193)),"",IF($BL193&lt;0,"Pasada",IF($BL193=0,"Actual",IF($BL193=1,"Siguiente",IF($BL193=2,"+2 sem",IF($BL193=3,"+3 sem","Posterior")))))),"")</f>
      </c>
      <c r="BN193" s="202">
        <f>IF(AND($C193,ISNUMBER($AR193),ISNUMBER($AV193)),MAX(1,$AV193-$AR193+1),0)</f>
        <v>0</v>
      </c>
      <c r="BO193" s="202">
        <f>SUM($BN$7:$BN193)-$BN193</f>
        <v>26</v>
      </c>
      <c r="BP193" s="202">
        <f>IF(AND($C193,ISNUMBER($AV193)),$AQ193+$AV193*$AP193*'Sprints'!$D$5-'Sprints'!$D$5,"")</f>
      </c>
      <c r="BQ193" s="202">
        <f>IF(AND($C193,ISNUMBER($BP193)),$BP193*1000+ROW(),"")</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IF($C194,IF('Backlog General'!$G194="Completada",1,IF('Backlog General'!$G194="Casi lista",0.75,IF('Backlog General'!$G194="En progreso",0.5,IF('Backlog General'!$G194="Iniciada",0.25,0)))),"")</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IF($C194,IF(ISBLANK('Backlog General'!$K194),"",'Backlog General'!$K194),"")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IF(AND($C194,ISNUMBER($AR194)),IF(AND(ISNUMBER('Backlog General'!$M194),'Backlog General'!$M194&gt;=$AR194),'Backlog General'!$M194,IF(AND($AU194="Pasa al siguiente",$AT194&lt;&gt;"Completada"),$AR194+1,$AR194)),"")</f>
      </c>
      <c r="AW194" s="202">
        <f>IF(AND($C194,ISNUMBER($AR194)),$AQ194+$AR194*$AP194*'Sprints'!$D$5-'Sprints'!$D$5,"")</f>
      </c>
      <c r="AX194" s="202">
        <f>IF($C194,IF(OR($AT194="Completada",$AU194="Cancelado",$AU194="Baja prioridad",NOT(ISNUMBER($AW194))),0,IF(TODAY()&gt;$AW194,NETWORKDAYS($AW194,TODAY(),'Sprints'!$L$5:$L$40)-1,0)),"")</f>
      </c>
      <c r="AY194" s="203">
        <f>IF($C194,IF(NOT(ISNUMBER($AR194)),"Sin fecha",IF($AT194="Completada","Completada",IF($AU194="Cancelado","Cancelado",IF($AU194="Baja prioridad","Baja prioridad",IF($AX194&gt;0,"Vencida","En curso"))))),"")</f>
      </c>
      <c r="AZ194" s="203">
        <f>IF($C194,IF(ISNUMBER($AV194),$AO194&amp;" · S"&amp;$AV194,"(Sin fecha)"),"")</f>
      </c>
      <c r="BA194" s="202">
        <f>IF(AND($C194,ISNUMBER($AR194),$AR194=$AS194),"Nuevo","")</f>
      </c>
      <c r="BB194" s="202">
        <f>IF(AND($C194,$AO194="Semanal",ISNUMBER($AV194)),$AV194*100000+ROW(),"")</f>
      </c>
      <c r="BC194" s="202">
        <f>IF(AND($C194,$AO194="Quincenal",ISNUMBER($AV194)),$AV194*100000+ROW(),"")</f>
      </c>
      <c r="BD194" s="202">
        <f>IF(AND($C194,$AO194="Mensual",ISNUMBER($AV194)),$AV194*100000+ROW(),"")</f>
      </c>
      <c r="BE194" s="203">
        <f>IF($C194,IF(ISBLANK('Backlog General'!$J194),"",'Backlog General'!$J194),"")</f>
      </c>
      <c r="BF194" s="203">
        <f>IF($C194,IF($BE194="","",$BE194)&amp;IF(AND($BE194&lt;&gt;"",$AH194&lt;&gt;"")," · ","")&amp;IF($AH194="","",$AH194),"")</f>
      </c>
      <c r="BG194" s="203">
        <f>IF($C194,IF($J194="Completado","Sí","No"),"")</f>
      </c>
      <c r="BH194" s="202">
        <f>IF(AND($C194,ISNUMBER($AR194)),IF($AO194="Semanal",1,IF($AO194="Quincenal",2,3))*1000000000+$AR194*100000+ROW(),"")</f>
      </c>
      <c r="BI194" s="202">
        <f>IF($C194,IF($AU194="Cancelado","",$I194),"")</f>
      </c>
      <c r="BJ194" s="202">
        <f>IF($C194,IFERROR(MATCH($D194,$D$7:$D$200,0)+6,ROW()),"")</f>
      </c>
      <c r="BK194" s="202">
        <f>IF(AND($C194,ISNUMBER($AV194)),$BJ194*1000000+$AV194*1000+ROW(),"")</f>
      </c>
      <c r="BL194" s="202">
        <f>IF(AND($C194,ISNUMBER($AW194)),ROUND(($AW194-('Sprints'!$C$5+('Sprints'!$E$5-1)*'Sprints'!$D$5))/'Sprints'!$D$5,0),"")</f>
      </c>
      <c r="BM194" s="203">
        <f>IF($C194,IF(NOT(ISNUMBER($BL194)),"",IF($BL194&lt;0,"Pasada",IF($BL194=0,"Actual",IF($BL194=1,"Siguiente",IF($BL194=2,"+2 sem",IF($BL194=3,"+3 sem","Posterior")))))),"")</f>
      </c>
      <c r="BN194" s="202">
        <f>IF(AND($C194,ISNUMBER($AR194),ISNUMBER($AV194)),MAX(1,$AV194-$AR194+1),0)</f>
        <v>0</v>
      </c>
      <c r="BO194" s="202">
        <f>SUM($BN$7:$BN194)-$BN194</f>
        <v>26</v>
      </c>
      <c r="BP194" s="202">
        <f>IF(AND($C194,ISNUMBER($AV194)),$AQ194+$AV194*$AP194*'Sprints'!$D$5-'Sprints'!$D$5,"")</f>
      </c>
      <c r="BQ194" s="202">
        <f>IF(AND($C194,ISNUMBER($BP194)),$BP194*1000+ROW(),"")</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IF($C195,IF('Backlog General'!$G195="Completada",1,IF('Backlog General'!$G195="Casi lista",0.75,IF('Backlog General'!$G195="En progreso",0.5,IF('Backlog General'!$G195="Iniciada",0.25,0)))),"")</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IF($C195,IF(ISBLANK('Backlog General'!$K195),"",'Backlog General'!$K195),"")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IF(AND($C195,ISNUMBER($AR195)),IF(AND(ISNUMBER('Backlog General'!$M195),'Backlog General'!$M195&gt;=$AR195),'Backlog General'!$M195,IF(AND($AU195="Pasa al siguiente",$AT195&lt;&gt;"Completada"),$AR195+1,$AR195)),"")</f>
      </c>
      <c r="AW195" s="202">
        <f>IF(AND($C195,ISNUMBER($AR195)),$AQ195+$AR195*$AP195*'Sprints'!$D$5-'Sprints'!$D$5,"")</f>
      </c>
      <c r="AX195" s="202">
        <f>IF($C195,IF(OR($AT195="Completada",$AU195="Cancelado",$AU195="Baja prioridad",NOT(ISNUMBER($AW195))),0,IF(TODAY()&gt;$AW195,NETWORKDAYS($AW195,TODAY(),'Sprints'!$L$5:$L$40)-1,0)),"")</f>
      </c>
      <c r="AY195" s="203">
        <f>IF($C195,IF(NOT(ISNUMBER($AR195)),"Sin fecha",IF($AT195="Completada","Completada",IF($AU195="Cancelado","Cancelado",IF($AU195="Baja prioridad","Baja prioridad",IF($AX195&gt;0,"Vencida","En curso"))))),"")</f>
      </c>
      <c r="AZ195" s="203">
        <f>IF($C195,IF(ISNUMBER($AV195),$AO195&amp;" · S"&amp;$AV195,"(Sin fecha)"),"")</f>
      </c>
      <c r="BA195" s="202">
        <f>IF(AND($C195,ISNUMBER($AR195),$AR195=$AS195),"Nuevo","")</f>
      </c>
      <c r="BB195" s="202">
        <f>IF(AND($C195,$AO195="Semanal",ISNUMBER($AV195)),$AV195*100000+ROW(),"")</f>
      </c>
      <c r="BC195" s="202">
        <f>IF(AND($C195,$AO195="Quincenal",ISNUMBER($AV195)),$AV195*100000+ROW(),"")</f>
      </c>
      <c r="BD195" s="202">
        <f>IF(AND($C195,$AO195="Mensual",ISNUMBER($AV195)),$AV195*100000+ROW(),"")</f>
      </c>
      <c r="BE195" s="203">
        <f>IF($C195,IF(ISBLANK('Backlog General'!$J195),"",'Backlog General'!$J195),"")</f>
      </c>
      <c r="BF195" s="203">
        <f>IF($C195,IF($BE195="","",$BE195)&amp;IF(AND($BE195&lt;&gt;"",$AH195&lt;&gt;"")," · ","")&amp;IF($AH195="","",$AH195),"")</f>
      </c>
      <c r="BG195" s="203">
        <f>IF($C195,IF($J195="Completado","Sí","No"),"")</f>
      </c>
      <c r="BH195" s="202">
        <f>IF(AND($C195,ISNUMBER($AR195)),IF($AO195="Semanal",1,IF($AO195="Quincenal",2,3))*1000000000+$AR195*100000+ROW(),"")</f>
      </c>
      <c r="BI195" s="202">
        <f>IF($C195,IF($AU195="Cancelado","",$I195),"")</f>
      </c>
      <c r="BJ195" s="202">
        <f>IF($C195,IFERROR(MATCH($D195,$D$7:$D$200,0)+6,ROW()),"")</f>
      </c>
      <c r="BK195" s="202">
        <f>IF(AND($C195,ISNUMBER($AV195)),$BJ195*1000000+$AV195*1000+ROW(),"")</f>
      </c>
      <c r="BL195" s="202">
        <f>IF(AND($C195,ISNUMBER($AW195)),ROUND(($AW195-('Sprints'!$C$5+('Sprints'!$E$5-1)*'Sprints'!$D$5))/'Sprints'!$D$5,0),"")</f>
      </c>
      <c r="BM195" s="203">
        <f>IF($C195,IF(NOT(ISNUMBER($BL195)),"",IF($BL195&lt;0,"Pasada",IF($BL195=0,"Actual",IF($BL195=1,"Siguiente",IF($BL195=2,"+2 sem",IF($BL195=3,"+3 sem","Posterior")))))),"")</f>
      </c>
      <c r="BN195" s="202">
        <f>IF(AND($C195,ISNUMBER($AR195),ISNUMBER($AV195)),MAX(1,$AV195-$AR195+1),0)</f>
        <v>0</v>
      </c>
      <c r="BO195" s="202">
        <f>SUM($BN$7:$BN195)-$BN195</f>
        <v>26</v>
      </c>
      <c r="BP195" s="202">
        <f>IF(AND($C195,ISNUMBER($AV195)),$AQ195+$AV195*$AP195*'Sprints'!$D$5-'Sprints'!$D$5,"")</f>
      </c>
      <c r="BQ195" s="202">
        <f>IF(AND($C195,ISNUMBER($BP195)),$BP195*1000+ROW(),"")</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IF($C196,IF('Backlog General'!$G196="Completada",1,IF('Backlog General'!$G196="Casi lista",0.75,IF('Backlog General'!$G196="En progreso",0.5,IF('Backlog General'!$G196="Iniciada",0.25,0)))),"")</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IF($C196,IF(ISBLANK('Backlog General'!$K196),"",'Backlog General'!$K196),"")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IF(AND($C196,ISNUMBER($AR196)),IF(AND(ISNUMBER('Backlog General'!$M196),'Backlog General'!$M196&gt;=$AR196),'Backlog General'!$M196,IF(AND($AU196="Pasa al siguiente",$AT196&lt;&gt;"Completada"),$AR196+1,$AR196)),"")</f>
      </c>
      <c r="AW196" s="202">
        <f>IF(AND($C196,ISNUMBER($AR196)),$AQ196+$AR196*$AP196*'Sprints'!$D$5-'Sprints'!$D$5,"")</f>
      </c>
      <c r="AX196" s="202">
        <f>IF($C196,IF(OR($AT196="Completada",$AU196="Cancelado",$AU196="Baja prioridad",NOT(ISNUMBER($AW196))),0,IF(TODAY()&gt;$AW196,NETWORKDAYS($AW196,TODAY(),'Sprints'!$L$5:$L$40)-1,0)),"")</f>
      </c>
      <c r="AY196" s="203">
        <f>IF($C196,IF(NOT(ISNUMBER($AR196)),"Sin fecha",IF($AT196="Completada","Completada",IF($AU196="Cancelado","Cancelado",IF($AU196="Baja prioridad","Baja prioridad",IF($AX196&gt;0,"Vencida","En curso"))))),"")</f>
      </c>
      <c r="AZ196" s="203">
        <f>IF($C196,IF(ISNUMBER($AV196),$AO196&amp;" · S"&amp;$AV196,"(Sin fecha)"),"")</f>
      </c>
      <c r="BA196" s="202">
        <f>IF(AND($C196,ISNUMBER($AR196),$AR196=$AS196),"Nuevo","")</f>
      </c>
      <c r="BB196" s="202">
        <f>IF(AND($C196,$AO196="Semanal",ISNUMBER($AV196)),$AV196*100000+ROW(),"")</f>
      </c>
      <c r="BC196" s="202">
        <f>IF(AND($C196,$AO196="Quincenal",ISNUMBER($AV196)),$AV196*100000+ROW(),"")</f>
      </c>
      <c r="BD196" s="202">
        <f>IF(AND($C196,$AO196="Mensual",ISNUMBER($AV196)),$AV196*100000+ROW(),"")</f>
      </c>
      <c r="BE196" s="203">
        <f>IF($C196,IF(ISBLANK('Backlog General'!$J196),"",'Backlog General'!$J196),"")</f>
      </c>
      <c r="BF196" s="203">
        <f>IF($C196,IF($BE196="","",$BE196)&amp;IF(AND($BE196&lt;&gt;"",$AH196&lt;&gt;"")," · ","")&amp;IF($AH196="","",$AH196),"")</f>
      </c>
      <c r="BG196" s="203">
        <f>IF($C196,IF($J196="Completado","Sí","No"),"")</f>
      </c>
      <c r="BH196" s="202">
        <f>IF(AND($C196,ISNUMBER($AR196)),IF($AO196="Semanal",1,IF($AO196="Quincenal",2,3))*1000000000+$AR196*100000+ROW(),"")</f>
      </c>
      <c r="BI196" s="202">
        <f>IF($C196,IF($AU196="Cancelado","",$I196),"")</f>
      </c>
      <c r="BJ196" s="202">
        <f>IF($C196,IFERROR(MATCH($D196,$D$7:$D$200,0)+6,ROW()),"")</f>
      </c>
      <c r="BK196" s="202">
        <f>IF(AND($C196,ISNUMBER($AV196)),$BJ196*1000000+$AV196*1000+ROW(),"")</f>
      </c>
      <c r="BL196" s="202">
        <f>IF(AND($C196,ISNUMBER($AW196)),ROUND(($AW196-('Sprints'!$C$5+('Sprints'!$E$5-1)*'Sprints'!$D$5))/'Sprints'!$D$5,0),"")</f>
      </c>
      <c r="BM196" s="203">
        <f>IF($C196,IF(NOT(ISNUMBER($BL196)),"",IF($BL196&lt;0,"Pasada",IF($BL196=0,"Actual",IF($BL196=1,"Siguiente",IF($BL196=2,"+2 sem",IF($BL196=3,"+3 sem","Posterior")))))),"")</f>
      </c>
      <c r="BN196" s="202">
        <f>IF(AND($C196,ISNUMBER($AR196),ISNUMBER($AV196)),MAX(1,$AV196-$AR196+1),0)</f>
        <v>0</v>
      </c>
      <c r="BO196" s="202">
        <f>SUM($BN$7:$BN196)-$BN196</f>
        <v>26</v>
      </c>
      <c r="BP196" s="202">
        <f>IF(AND($C196,ISNUMBER($AV196)),$AQ196+$AV196*$AP196*'Sprints'!$D$5-'Sprints'!$D$5,"")</f>
      </c>
      <c r="BQ196" s="202">
        <f>IF(AND($C196,ISNUMBER($BP196)),$BP196*1000+ROW(),"")</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IF($C197,IF('Backlog General'!$G197="Completada",1,IF('Backlog General'!$G197="Casi lista",0.75,IF('Backlog General'!$G197="En progreso",0.5,IF('Backlog General'!$G197="Iniciada",0.25,0)))),"")</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IF($C197,IF(ISBLANK('Backlog General'!$K197),"",'Backlog General'!$K197),"")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IF(AND($C197,ISNUMBER($AR197)),IF(AND(ISNUMBER('Backlog General'!$M197),'Backlog General'!$M197&gt;=$AR197),'Backlog General'!$M197,IF(AND($AU197="Pasa al siguiente",$AT197&lt;&gt;"Completada"),$AR197+1,$AR197)),"")</f>
      </c>
      <c r="AW197" s="202">
        <f>IF(AND($C197,ISNUMBER($AR197)),$AQ197+$AR197*$AP197*'Sprints'!$D$5-'Sprints'!$D$5,"")</f>
      </c>
      <c r="AX197" s="202">
        <f>IF($C197,IF(OR($AT197="Completada",$AU197="Cancelado",$AU197="Baja prioridad",NOT(ISNUMBER($AW197))),0,IF(TODAY()&gt;$AW197,NETWORKDAYS($AW197,TODAY(),'Sprints'!$L$5:$L$40)-1,0)),"")</f>
      </c>
      <c r="AY197" s="203">
        <f>IF($C197,IF(NOT(ISNUMBER($AR197)),"Sin fecha",IF($AT197="Completada","Completada",IF($AU197="Cancelado","Cancelado",IF($AU197="Baja prioridad","Baja prioridad",IF($AX197&gt;0,"Vencida","En curso"))))),"")</f>
      </c>
      <c r="AZ197" s="203">
        <f>IF($C197,IF(ISNUMBER($AV197),$AO197&amp;" · S"&amp;$AV197,"(Sin fecha)"),"")</f>
      </c>
      <c r="BA197" s="202">
        <f>IF(AND($C197,ISNUMBER($AR197),$AR197=$AS197),"Nuevo","")</f>
      </c>
      <c r="BB197" s="202">
        <f>IF(AND($C197,$AO197="Semanal",ISNUMBER($AV197)),$AV197*100000+ROW(),"")</f>
      </c>
      <c r="BC197" s="202">
        <f>IF(AND($C197,$AO197="Quincenal",ISNUMBER($AV197)),$AV197*100000+ROW(),"")</f>
      </c>
      <c r="BD197" s="202">
        <f>IF(AND($C197,$AO197="Mensual",ISNUMBER($AV197)),$AV197*100000+ROW(),"")</f>
      </c>
      <c r="BE197" s="203">
        <f>IF($C197,IF(ISBLANK('Backlog General'!$J197),"",'Backlog General'!$J197),"")</f>
      </c>
      <c r="BF197" s="203">
        <f>IF($C197,IF($BE197="","",$BE197)&amp;IF(AND($BE197&lt;&gt;"",$AH197&lt;&gt;"")," · ","")&amp;IF($AH197="","",$AH197),"")</f>
      </c>
      <c r="BG197" s="203">
        <f>IF($C197,IF($J197="Completado","Sí","No"),"")</f>
      </c>
      <c r="BH197" s="202">
        <f>IF(AND($C197,ISNUMBER($AR197)),IF($AO197="Semanal",1,IF($AO197="Quincenal",2,3))*1000000000+$AR197*100000+ROW(),"")</f>
      </c>
      <c r="BI197" s="202">
        <f>IF($C197,IF($AU197="Cancelado","",$I197),"")</f>
      </c>
      <c r="BJ197" s="202">
        <f>IF($C197,IFERROR(MATCH($D197,$D$7:$D$200,0)+6,ROW()),"")</f>
      </c>
      <c r="BK197" s="202">
        <f>IF(AND($C197,ISNUMBER($AV197)),$BJ197*1000000+$AV197*1000+ROW(),"")</f>
      </c>
      <c r="BL197" s="202">
        <f>IF(AND($C197,ISNUMBER($AW197)),ROUND(($AW197-('Sprints'!$C$5+('Sprints'!$E$5-1)*'Sprints'!$D$5))/'Sprints'!$D$5,0),"")</f>
      </c>
      <c r="BM197" s="203">
        <f>IF($C197,IF(NOT(ISNUMBER($BL197)),"",IF($BL197&lt;0,"Pasada",IF($BL197=0,"Actual",IF($BL197=1,"Siguiente",IF($BL197=2,"+2 sem",IF($BL197=3,"+3 sem","Posterior")))))),"")</f>
      </c>
      <c r="BN197" s="202">
        <f>IF(AND($C197,ISNUMBER($AR197),ISNUMBER($AV197)),MAX(1,$AV197-$AR197+1),0)</f>
        <v>0</v>
      </c>
      <c r="BO197" s="202">
        <f>SUM($BN$7:$BN197)-$BN197</f>
        <v>26</v>
      </c>
      <c r="BP197" s="202">
        <f>IF(AND($C197,ISNUMBER($AV197)),$AQ197+$AV197*$AP197*'Sprints'!$D$5-'Sprints'!$D$5,"")</f>
      </c>
      <c r="BQ197" s="202">
        <f>IF(AND($C197,ISNUMBER($BP197)),$BP197*1000+ROW(),"")</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IF($C198,IF('Backlog General'!$G198="Completada",1,IF('Backlog General'!$G198="Casi lista",0.75,IF('Backlog General'!$G198="En progreso",0.5,IF('Backlog General'!$G198="Iniciada",0.25,0)))),"")</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IF($C198,IF(ISBLANK('Backlog General'!$K198),"",'Backlog General'!$K198),"")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IF(AND($C198,ISNUMBER($AR198)),IF(AND(ISNUMBER('Backlog General'!$M198),'Backlog General'!$M198&gt;=$AR198),'Backlog General'!$M198,IF(AND($AU198="Pasa al siguiente",$AT198&lt;&gt;"Completada"),$AR198+1,$AR198)),"")</f>
      </c>
      <c r="AW198" s="202">
        <f>IF(AND($C198,ISNUMBER($AR198)),$AQ198+$AR198*$AP198*'Sprints'!$D$5-'Sprints'!$D$5,"")</f>
      </c>
      <c r="AX198" s="202">
        <f>IF($C198,IF(OR($AT198="Completada",$AU198="Cancelado",$AU198="Baja prioridad",NOT(ISNUMBER($AW198))),0,IF(TODAY()&gt;$AW198,NETWORKDAYS($AW198,TODAY(),'Sprints'!$L$5:$L$40)-1,0)),"")</f>
      </c>
      <c r="AY198" s="203">
        <f>IF($C198,IF(NOT(ISNUMBER($AR198)),"Sin fecha",IF($AT198="Completada","Completada",IF($AU198="Cancelado","Cancelado",IF($AU198="Baja prioridad","Baja prioridad",IF($AX198&gt;0,"Vencida","En curso"))))),"")</f>
      </c>
      <c r="AZ198" s="203">
        <f>IF($C198,IF(ISNUMBER($AV198),$AO198&amp;" · S"&amp;$AV198,"(Sin fecha)"),"")</f>
      </c>
      <c r="BA198" s="202">
        <f>IF(AND($C198,ISNUMBER($AR198),$AR198=$AS198),"Nuevo","")</f>
      </c>
      <c r="BB198" s="202">
        <f>IF(AND($C198,$AO198="Semanal",ISNUMBER($AV198)),$AV198*100000+ROW(),"")</f>
      </c>
      <c r="BC198" s="202">
        <f>IF(AND($C198,$AO198="Quincenal",ISNUMBER($AV198)),$AV198*100000+ROW(),"")</f>
      </c>
      <c r="BD198" s="202">
        <f>IF(AND($C198,$AO198="Mensual",ISNUMBER($AV198)),$AV198*100000+ROW(),"")</f>
      </c>
      <c r="BE198" s="203">
        <f>IF($C198,IF(ISBLANK('Backlog General'!$J198),"",'Backlog General'!$J198),"")</f>
      </c>
      <c r="BF198" s="203">
        <f>IF($C198,IF($BE198="","",$BE198)&amp;IF(AND($BE198&lt;&gt;"",$AH198&lt;&gt;"")," · ","")&amp;IF($AH198="","",$AH198),"")</f>
      </c>
      <c r="BG198" s="203">
        <f>IF($C198,IF($J198="Completado","Sí","No"),"")</f>
      </c>
      <c r="BH198" s="202">
        <f>IF(AND($C198,ISNUMBER($AR198)),IF($AO198="Semanal",1,IF($AO198="Quincenal",2,3))*1000000000+$AR198*100000+ROW(),"")</f>
      </c>
      <c r="BI198" s="202">
        <f>IF($C198,IF($AU198="Cancelado","",$I198),"")</f>
      </c>
      <c r="BJ198" s="202">
        <f>IF($C198,IFERROR(MATCH($D198,$D$7:$D$200,0)+6,ROW()),"")</f>
      </c>
      <c r="BK198" s="202">
        <f>IF(AND($C198,ISNUMBER($AV198)),$BJ198*1000000+$AV198*1000+ROW(),"")</f>
      </c>
      <c r="BL198" s="202">
        <f>IF(AND($C198,ISNUMBER($AW198)),ROUND(($AW198-('Sprints'!$C$5+('Sprints'!$E$5-1)*'Sprints'!$D$5))/'Sprints'!$D$5,0),"")</f>
      </c>
      <c r="BM198" s="203">
        <f>IF($C198,IF(NOT(ISNUMBER($BL198)),"",IF($BL198&lt;0,"Pasada",IF($BL198=0,"Actual",IF($BL198=1,"Siguiente",IF($BL198=2,"+2 sem",IF($BL198=3,"+3 sem","Posterior")))))),"")</f>
      </c>
      <c r="BN198" s="202">
        <f>IF(AND($C198,ISNUMBER($AR198),ISNUMBER($AV198)),MAX(1,$AV198-$AR198+1),0)</f>
        <v>0</v>
      </c>
      <c r="BO198" s="202">
        <f>SUM($BN$7:$BN198)-$BN198</f>
        <v>26</v>
      </c>
      <c r="BP198" s="202">
        <f>IF(AND($C198,ISNUMBER($AV198)),$AQ198+$AV198*$AP198*'Sprints'!$D$5-'Sprints'!$D$5,"")</f>
      </c>
      <c r="BQ198" s="202">
        <f>IF(AND($C198,ISNUMBER($BP198)),$BP198*1000+ROW(),"")</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IF($C199,IF('Backlog General'!$G199="Completada",1,IF('Backlog General'!$G199="Casi lista",0.75,IF('Backlog General'!$G199="En progreso",0.5,IF('Backlog General'!$G199="Iniciada",0.25,0)))),"")</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IF($C199,IF(ISBLANK('Backlog General'!$K199),"",'Backlog General'!$K199),"")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IF(AND($C199,ISNUMBER($AR199)),IF(AND(ISNUMBER('Backlog General'!$M199),'Backlog General'!$M199&gt;=$AR199),'Backlog General'!$M199,IF(AND($AU199="Pasa al siguiente",$AT199&lt;&gt;"Completada"),$AR199+1,$AR199)),"")</f>
      </c>
      <c r="AW199" s="202">
        <f>IF(AND($C199,ISNUMBER($AR199)),$AQ199+$AR199*$AP199*'Sprints'!$D$5-'Sprints'!$D$5,"")</f>
      </c>
      <c r="AX199" s="202">
        <f>IF($C199,IF(OR($AT199="Completada",$AU199="Cancelado",$AU199="Baja prioridad",NOT(ISNUMBER($AW199))),0,IF(TODAY()&gt;$AW199,NETWORKDAYS($AW199,TODAY(),'Sprints'!$L$5:$L$40)-1,0)),"")</f>
      </c>
      <c r="AY199" s="203">
        <f>IF($C199,IF(NOT(ISNUMBER($AR199)),"Sin fecha",IF($AT199="Completada","Completada",IF($AU199="Cancelado","Cancelado",IF($AU199="Baja prioridad","Baja prioridad",IF($AX199&gt;0,"Vencida","En curso"))))),"")</f>
      </c>
      <c r="AZ199" s="203">
        <f>IF($C199,IF(ISNUMBER($AV199),$AO199&amp;" · S"&amp;$AV199,"(Sin fecha)"),"")</f>
      </c>
      <c r="BA199" s="202">
        <f>IF(AND($C199,ISNUMBER($AR199),$AR199=$AS199),"Nuevo","")</f>
      </c>
      <c r="BB199" s="202">
        <f>IF(AND($C199,$AO199="Semanal",ISNUMBER($AV199)),$AV199*100000+ROW(),"")</f>
      </c>
      <c r="BC199" s="202">
        <f>IF(AND($C199,$AO199="Quincenal",ISNUMBER($AV199)),$AV199*100000+ROW(),"")</f>
      </c>
      <c r="BD199" s="202">
        <f>IF(AND($C199,$AO199="Mensual",ISNUMBER($AV199)),$AV199*100000+ROW(),"")</f>
      </c>
      <c r="BE199" s="203">
        <f>IF($C199,IF(ISBLANK('Backlog General'!$J199),"",'Backlog General'!$J199),"")</f>
      </c>
      <c r="BF199" s="203">
        <f>IF($C199,IF($BE199="","",$BE199)&amp;IF(AND($BE199&lt;&gt;"",$AH199&lt;&gt;"")," · ","")&amp;IF($AH199="","",$AH199),"")</f>
      </c>
      <c r="BG199" s="203">
        <f>IF($C199,IF($J199="Completado","Sí","No"),"")</f>
      </c>
      <c r="BH199" s="202">
        <f>IF(AND($C199,ISNUMBER($AR199)),IF($AO199="Semanal",1,IF($AO199="Quincenal",2,3))*1000000000+$AR199*100000+ROW(),"")</f>
      </c>
      <c r="BI199" s="202">
        <f>IF($C199,IF($AU199="Cancelado","",$I199),"")</f>
      </c>
      <c r="BJ199" s="202">
        <f>IF($C199,IFERROR(MATCH($D199,$D$7:$D$200,0)+6,ROW()),"")</f>
      </c>
      <c r="BK199" s="202">
        <f>IF(AND($C199,ISNUMBER($AV199)),$BJ199*1000000+$AV199*1000+ROW(),"")</f>
      </c>
      <c r="BL199" s="202">
        <f>IF(AND($C199,ISNUMBER($AW199)),ROUND(($AW199-('Sprints'!$C$5+('Sprints'!$E$5-1)*'Sprints'!$D$5))/'Sprints'!$D$5,0),"")</f>
      </c>
      <c r="BM199" s="203">
        <f>IF($C199,IF(NOT(ISNUMBER($BL199)),"",IF($BL199&lt;0,"Pasada",IF($BL199=0,"Actual",IF($BL199=1,"Siguiente",IF($BL199=2,"+2 sem",IF($BL199=3,"+3 sem","Posterior")))))),"")</f>
      </c>
      <c r="BN199" s="202">
        <f>IF(AND($C199,ISNUMBER($AR199),ISNUMBER($AV199)),MAX(1,$AV199-$AR199+1),0)</f>
        <v>0</v>
      </c>
      <c r="BO199" s="202">
        <f>SUM($BN$7:$BN199)-$BN199</f>
        <v>26</v>
      </c>
      <c r="BP199" s="202">
        <f>IF(AND($C199,ISNUMBER($AV199)),$AQ199+$AV199*$AP199*'Sprints'!$D$5-'Sprints'!$D$5,"")</f>
      </c>
      <c r="BQ199" s="202">
        <f>IF(AND($C199,ISNUMBER($BP199)),$BP199*1000+ROW(),"")</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IF($C200,IF('Backlog General'!$G200="Completada",1,IF('Backlog General'!$G200="Casi lista",0.75,IF('Backlog General'!$G200="En progreso",0.5,IF('Backlog General'!$G200="Iniciada",0.25,0)))),"")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IF($C200,IF(ISBLANK('Backlog General'!$K200),"",'Backlog General'!$K200),"")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IF(AND($C200,ISNUMBER($AR200)),IF(AND(ISNUMBER('Backlog General'!$M200),'Backlog General'!$M200&gt;=$AR200),'Backlog General'!$M200,IF(AND($AU200="Pasa al siguiente",$AT200&lt;&gt;"Completada"),$AR200+1,$AR200)),"")</f>
      </c>
      <c r="AW200" s="202">
        <f>IF(AND($C200,ISNUMBER($AR200)),$AQ200+$AR200*$AP200*'Sprints'!$D$5-'Sprints'!$D$5,"")</f>
      </c>
      <c r="AX200" s="202">
        <f>IF($C200,IF(OR($AT200="Completada",$AU200="Cancelado",$AU200="Baja prioridad",NOT(ISNUMBER($AW200))),0,IF(TODAY()&gt;$AW200,NETWORKDAYS($AW200,TODAY(),'Sprints'!$L$5:$L$40)-1,0)),"")</f>
      </c>
      <c r="AY200" s="203">
        <f>IF($C200,IF(NOT(ISNUMBER($AR200)),"Sin fecha",IF($AT200="Completada","Completada",IF($AU200="Cancelado","Cancelado",IF($AU200="Baja prioridad","Baja prioridad",IF($AX200&gt;0,"Vencida","En curso"))))),"")</f>
      </c>
      <c r="AZ200" s="203">
        <f>IF($C200,IF(ISNUMBER($AV200),$AO200&amp;" · S"&amp;$AV200,"(Sin fecha)"),"")</f>
      </c>
      <c r="BA200" s="202">
        <f>IF(AND($C200,ISNUMBER($AR200),$AR200=$AS200),"Nuevo","")</f>
      </c>
      <c r="BB200" s="202">
        <f>IF(AND($C200,$AO200="Semanal",ISNUMBER($AV200)),$AV200*100000+ROW(),"")</f>
      </c>
      <c r="BC200" s="202">
        <f>IF(AND($C200,$AO200="Quincenal",ISNUMBER($AV200)),$AV200*100000+ROW(),"")</f>
      </c>
      <c r="BD200" s="202">
        <f>IF(AND($C200,$AO200="Mensual",ISNUMBER($AV200)),$AV200*100000+ROW(),"")</f>
      </c>
      <c r="BE200" s="203">
        <f>IF($C200,IF(ISBLANK('Backlog General'!$J200),"",'Backlog General'!$J200),"")</f>
      </c>
      <c r="BF200" s="203">
        <f>IF($C200,IF($BE200="","",$BE200)&amp;IF(AND($BE200&lt;&gt;"",$AH200&lt;&gt;"")," · ","")&amp;IF($AH200="","",$AH200),"")</f>
      </c>
      <c r="BG200" s="203">
        <f>IF($C200,IF($J200="Completado","Sí","No"),"")</f>
      </c>
      <c r="BH200" s="202">
        <f>IF(AND($C200,ISNUMBER($AR200)),IF($AO200="Semanal",1,IF($AO200="Quincenal",2,3))*1000000000+$AR200*100000+ROW(),"")</f>
      </c>
      <c r="BI200" s="202">
        <f>IF($C200,IF($AU200="Cancelado","",$I200),"")</f>
      </c>
      <c r="BJ200" s="202">
        <f>IF($C200,IFERROR(MATCH($D200,$D$7:$D$200,0)+6,ROW()),"")</f>
      </c>
      <c r="BK200" s="202">
        <f>IF(AND($C200,ISNUMBER($AV200)),$BJ200*1000000+$AV200*1000+ROW(),"")</f>
      </c>
      <c r="BL200" s="202">
        <f>IF(AND($C200,ISNUMBER($AW200)),ROUND(($AW200-('Sprints'!$C$5+('Sprints'!$E$5-1)*'Sprints'!$D$5))/'Sprints'!$D$5,0),"")</f>
      </c>
      <c r="BM200" s="203">
        <f>IF($C200,IF(NOT(ISNUMBER($BL200)),"",IF($BL200&lt;0,"Pasada",IF($BL200=0,"Actual",IF($BL200=1,"Siguiente",IF($BL200=2,"+2 sem",IF($BL200=3,"+3 sem","Posterior")))))),"")</f>
      </c>
      <c r="BN200" s="202">
        <f>IF(AND($C200,ISNUMBER($AR200),ISNUMBER($AV200)),MAX(1,$AV200-$AR200+1),0)</f>
        <v>0</v>
      </c>
      <c r="BO200" s="202">
        <f>SUM($BN$7:$BN200)-$BN200</f>
        <v>26</v>
      </c>
      <c r="BP200" s="202">
        <f>IF(AND($C200,ISNUMBER($AV200)),$AQ200+$AV200*$AP200*'Sprints'!$D$5-'Sprints'!$D$5,"")</f>
      </c>
      <c r="BQ200" s="202">
        <f>IF(AND($C200,ISNUMBER($BP200)),$BP200*1000+ROW(),"")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N72"/>
  <sheetViews>
    <sheetView showGridLines="0" workbookViewId="0">
      <pane ySplit="2" topLeftCell="A3" activePane="bottomLeft" state="frozen"/>
    </sheetView>
  </sheetViews>
  <sheetFormatPr defaultRowHeight="15"/>
  <cols>
    <col min="1" max="1" width="2.5" customWidth="1"/>
    <col min="2" max="2" width="13" customWidth="1"/>
    <col min="3" max="3" width="40" customWidth="1"/>
    <col min="4" max="4" width="13" customWidth="1"/>
    <col min="5" max="5" width="9" customWidth="1"/>
    <col min="6" max="6" width="14" customWidth="1"/>
    <col min="7" max="7" width="9" customWidth="1"/>
    <col min="8" max="8" width="11" customWidth="1"/>
    <col min="9" max="9" width="30" customWidth="1"/>
    <col min="10" max="10" width="13" customWidth="1"/>
    <col min="12" max="12" width="16" customWidth="1"/>
    <col min="14" max="14" width="9" hidden="1"/>
  </cols>
  <sheetData>
    <row r="1" ht="26" customHeight="1">
      <c r="B1" s="169" t="inlineStr">
        <is>
          <t xml:space="preserve">SPRINTS — ejecución por fecha de entrega (todas las frecuencias)</t>
        </is>
      </c>
      <c r="C1" s="169"/>
      <c r="D1" s="169"/>
      <c r="E1" s="169"/>
      <c r="F1" s="169"/>
      <c r="G1" s="169"/>
      <c r="H1" s="169"/>
    </row>
    <row r="2" ht="46" customHeight="1">
      <c r="B2" s="170" t="inlineStr">
        <is>
          <t xml:space="preserve">Qué se entrega cada VIERNES, mezclando Semanal/Quincenal/Mensual sobre la misma grilla. El 'Sprint' de cada tarea sale del Backlog (Sprint inicial; lo movés con la col. M 'Sprint actual'). 'Movida ← S#' marca tareas que vienen de un sprint anterior. Base: Sprint semanal 1 presenta el 19/06. Config (calendario, frecuencia por proyecto, feriados) a la derecha.</t>
        </is>
      </c>
      <c r="C2" s="170"/>
      <c r="D2" s="170"/>
      <c r="E2" s="170"/>
      <c r="F2" s="170"/>
      <c r="G2" s="170"/>
      <c r="H2" s="170"/>
    </row>
    <row r="3">
      <c r="B3" s="172" t="inlineStr">
        <is>
          <t xml:space="preserve">CALENDARIO BASE SEMANAL (editable)</t>
        </is>
      </c>
      <c r="C3" s="172"/>
      <c r="D3" s="172"/>
      <c r="E3" s="172"/>
      <c r="I3" s="172" t="inlineStr">
        <is>
          <t xml:space="preserve">FRECUENCIA POR PROYECTO (editable)</t>
        </is>
      </c>
      <c r="J3" s="172"/>
      <c r="L3" s="172" t="inlineStr">
        <is>
          <t xml:space="preserve">FERIADOS — no se trabaja (+ sáb/dom)</t>
        </is>
      </c>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c r="L4" s="173" t="inlineStr">
        <is>
          <t xml:space="preserve">Fecha (editable)</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c r="L5" s="192">
        <f>DATE(2026,7,9)</f>
        <v>46212</v>
      </c>
    </row>
    <row r="6">
      <c r="I6" s="205" t="str">
        <f>'Proyecto Datos (OKR´s)'!$G$9</f>
        <v>2- Cotizador de Operaciones Complejas</v>
      </c>
      <c r="J6" s="191" t="inlineStr">
        <is>
          <t xml:space="preserve">Quincenal</t>
        </is>
      </c>
      <c r="L6" s="192">
        <f>DATE(2026,8,17)</f>
        <v>46251</v>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c r="L7" s="192">
        <f>DATE(2026,10,12)</f>
        <v>46307</v>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c r="L8" s="192">
        <f>DATE(2026,12,8)</f>
        <v>46364</v>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c r="L9" s="192">
        <f>DATE(2026,12,25)</f>
        <v>46381</v>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DE SPRINTS  ·  ordenado por fecha de entrega (viernes)</t>
        </is>
      </c>
      <c r="C13" s="172"/>
      <c r="D13" s="172"/>
      <c r="E13" s="172"/>
      <c r="F13" s="172"/>
      <c r="G13" s="172"/>
      <c r="H13" s="172"/>
    </row>
    <row r="14">
      <c r="B14" s="173" t="inlineStr">
        <is>
          <t xml:space="preserve">Fecha entrega</t>
        </is>
      </c>
      <c r="C14" s="173" t="inlineStr">
        <is>
          <t xml:space="preserve">Tarea / Subtarea</t>
        </is>
      </c>
      <c r="D14" s="173" t="inlineStr">
        <is>
          <t xml:space="preserve">Frecuencia</t>
        </is>
      </c>
      <c r="E14" s="173" t="inlineStr">
        <is>
          <t xml:space="preserve">Sprint</t>
        </is>
      </c>
      <c r="F14" s="173" t="inlineStr">
        <is>
          <t xml:space="preserve">Estado</t>
        </is>
      </c>
      <c r="G14" s="173" t="inlineStr">
        <is>
          <t xml:space="preserve">Avance</t>
        </is>
      </c>
      <c r="H14" s="173" t="inlineStr">
        <is>
          <t xml:space="preserve">Movida</t>
        </is>
      </c>
    </row>
    <row r="15">
      <c r="B15" s="207">
        <f>IF($N15="","",INDEX('_Datos'!$BP$7:$BP$200,$N15))</f>
        <v>46192</v>
      </c>
      <c r="C15" s="205" t="str">
        <f>IF($N15="","",INDEX('_Datos'!$F$7:$F$200,$N15))</f>
        <v>Armado de Procedimiento</v>
      </c>
      <c r="D15" s="204" t="str">
        <f>IF($N15="","",INDEX('_Datos'!$AO$7:$AO$200,$N15))</f>
        <v>Semanal</v>
      </c>
      <c r="E15" s="204" t="str">
        <f>IF($N15="","","S"&amp;INDEX('_Datos'!$AV$7:$AV$200,$N15))</f>
        <v>S1</v>
      </c>
      <c r="F15" s="204" t="str">
        <f>IF($N15="","",INDEX('_Datos'!$AY$7:$AY$200,$N15))</f>
        <v>Vencida</v>
      </c>
      <c r="G15" s="208">
        <f>IF($N15="","",INDEX('_Datos'!$I$7:$I$200,$N15))</f>
        <v>0.75</v>
      </c>
      <c r="H15" s="204">
        <f>IF($N15="","",IF(INDEX('_Datos'!$AR$7:$AR$200,$N15)&lt;INDEX('_Datos'!$AV$7:$AV$200,$N15),"← S"&amp;INDEX('_Datos'!$AR$7:$AR$200,$N15),""))</f>
      </c>
      <c r="N15" s="202">
        <f>IFERROR(MATCH(SMALL('_Datos'!$BQ$7:$BQ$200,0+1),'_Datos'!$BQ$7:$BQ$200,0),"")</f>
        <v>17</v>
      </c>
    </row>
    <row r="16">
      <c r="B16" s="207">
        <f>IF($N16="","",INDEX('_Datos'!$BP$7:$BP$200,$N16))</f>
        <v>46192</v>
      </c>
      <c r="C16" s="205" t="str">
        <f>IF($N16="","",INDEX('_Datos'!$F$7:$F$200,$N16))</f>
        <v>Revisión de Gráfico en cascada: por desvío y desagregación por categorías.</v>
      </c>
      <c r="D16" s="204" t="str">
        <f>IF($N16="","",INDEX('_Datos'!$AO$7:$AO$200,$N16))</f>
        <v>Semanal</v>
      </c>
      <c r="E16" s="204" t="str">
        <f>IF($N16="","","S"&amp;INDEX('_Datos'!$AV$7:$AV$200,$N16))</f>
        <v>S1</v>
      </c>
      <c r="F16" s="204" t="str">
        <f>IF($N16="","",INDEX('_Datos'!$AY$7:$AY$200,$N16))</f>
        <v>Vencida</v>
      </c>
      <c r="G16" s="208">
        <f>IF($N16="","",INDEX('_Datos'!$I$7:$I$200,$N16))</f>
        <v>0.75</v>
      </c>
      <c r="H16" s="204">
        <f>IF($N16="","",IF(INDEX('_Datos'!$AR$7:$AR$200,$N16)&lt;INDEX('_Datos'!$AV$7:$AV$200,$N16),"← S"&amp;INDEX('_Datos'!$AR$7:$AR$200,$N16),""))</f>
      </c>
      <c r="N16" s="202">
        <f>IFERROR(MATCH(SMALL('_Datos'!$BQ$7:$BQ$200,1+1),'_Datos'!$BQ$7:$BQ$200,0),"")</f>
        <v>18</v>
      </c>
    </row>
    <row r="17">
      <c r="B17" s="207">
        <f>IF($N17="","",INDEX('_Datos'!$BP$7:$BP$200,$N17))</f>
        <v>46192</v>
      </c>
      <c r="C17" s="205" t="str">
        <f>IF($N17="","",INDEX('_Datos'!$F$7:$F$200,$N17))</f>
        <v>Revisión de viabilidad de incorporación datos Redash (input ZReal con clasificaciones automaticas por CECO - Directas e Indirectas)</v>
      </c>
      <c r="D17" s="204" t="str">
        <f>IF($N17="","",INDEX('_Datos'!$AO$7:$AO$200,$N17))</f>
        <v>Semanal</v>
      </c>
      <c r="E17" s="204" t="str">
        <f>IF($N17="","","S"&amp;INDEX('_Datos'!$AV$7:$AV$200,$N17))</f>
        <v>S1</v>
      </c>
      <c r="F17" s="204" t="str">
        <f>IF($N17="","",INDEX('_Datos'!$AY$7:$AY$200,$N17))</f>
        <v>Vencida</v>
      </c>
      <c r="G17" s="208">
        <f>IF($N17="","",INDEX('_Datos'!$I$7:$I$200,$N17))</f>
        <v>0.75</v>
      </c>
      <c r="H17" s="204">
        <f>IF($N17="","",IF(INDEX('_Datos'!$AR$7:$AR$200,$N17)&lt;INDEX('_Datos'!$AV$7:$AV$200,$N17),"← S"&amp;INDEX('_Datos'!$AR$7:$AR$200,$N17),""))</f>
      </c>
      <c r="N17" s="202">
        <f>IFERROR(MATCH(SMALL('_Datos'!$BQ$7:$BQ$200,2+1),'_Datos'!$BQ$7:$BQ$200,0),"")</f>
        <v>19</v>
      </c>
    </row>
    <row r="18">
      <c r="B18" s="207">
        <f>IF($N18="","",INDEX('_Datos'!$BP$7:$BP$200,$N18))</f>
        <v>46192</v>
      </c>
      <c r="C18" s="205" t="str">
        <f>IF($N18="","",INDEX('_Datos'!$F$7:$F$200,$N18))</f>
        <v>Procedimiento</v>
      </c>
      <c r="D18" s="204" t="str">
        <f>IF($N18="","",INDEX('_Datos'!$AO$7:$AO$200,$N18))</f>
        <v>Semanal</v>
      </c>
      <c r="E18" s="204" t="str">
        <f>IF($N18="","","S"&amp;INDEX('_Datos'!$AV$7:$AV$200,$N18))</f>
        <v>S1</v>
      </c>
      <c r="F18" s="204" t="str">
        <f>IF($N18="","",INDEX('_Datos'!$AY$7:$AY$200,$N18))</f>
        <v>Vencida</v>
      </c>
      <c r="G18" s="208">
        <f>IF($N18="","",INDEX('_Datos'!$I$7:$I$200,$N18))</f>
        <v>0.75</v>
      </c>
      <c r="H18" s="204">
        <f>IF($N18="","",IF(INDEX('_Datos'!$AR$7:$AR$200,$N18)&lt;INDEX('_Datos'!$AV$7:$AV$200,$N18),"← S"&amp;INDEX('_Datos'!$AR$7:$AR$200,$N18),""))</f>
      </c>
      <c r="N18" s="202">
        <f>IFERROR(MATCH(SMALL('_Datos'!$BQ$7:$BQ$200,3+1),'_Datos'!$BQ$7:$BQ$200,0),"")</f>
        <v>22</v>
      </c>
    </row>
    <row r="19">
      <c r="B19" s="207">
        <f>IF($N19="","",INDEX('_Datos'!$BP$7:$BP$200,$N19))</f>
        <v>46192</v>
      </c>
      <c r="C19" s="205" t="str">
        <f>IF($N19="","",INDEX('_Datos'!$F$7:$F$200,$N19))</f>
        <v>Aging - desde SharePoint</v>
      </c>
      <c r="D19" s="204" t="str">
        <f>IF($N19="","",INDEX('_Datos'!$AO$7:$AO$200,$N19))</f>
        <v>Semanal</v>
      </c>
      <c r="E19" s="204" t="str">
        <f>IF($N19="","","S"&amp;INDEX('_Datos'!$AV$7:$AV$200,$N19))</f>
        <v>S1</v>
      </c>
      <c r="F19" s="204" t="str">
        <f>IF($N19="","",INDEX('_Datos'!$AY$7:$AY$200,$N19))</f>
        <v>Vencida</v>
      </c>
      <c r="G19" s="208">
        <f>IF($N19="","",INDEX('_Datos'!$I$7:$I$200,$N19))</f>
        <v>0.75</v>
      </c>
      <c r="H19" s="204">
        <f>IF($N19="","",IF(INDEX('_Datos'!$AR$7:$AR$200,$N19)&lt;INDEX('_Datos'!$AV$7:$AV$200,$N19),"← S"&amp;INDEX('_Datos'!$AR$7:$AR$200,$N19),""))</f>
      </c>
      <c r="N19" s="202">
        <f>IFERROR(MATCH(SMALL('_Datos'!$BQ$7:$BQ$200,4+1),'_Datos'!$BQ$7:$BQ$200,0),"")</f>
        <v>23</v>
      </c>
    </row>
    <row r="20">
      <c r="B20" s="207">
        <f>IF($N20="","",INDEX('_Datos'!$BP$7:$BP$200,$N20))</f>
        <v>46192</v>
      </c>
      <c r="C20" s="205" t="str">
        <f>IF($N20="","",INDEX('_Datos'!$F$7:$F$200,$N20))</f>
        <v>Dias en Calle - desde SharePoint</v>
      </c>
      <c r="D20" s="204" t="str">
        <f>IF($N20="","",INDEX('_Datos'!$AO$7:$AO$200,$N20))</f>
        <v>Semanal</v>
      </c>
      <c r="E20" s="204" t="str">
        <f>IF($N20="","","S"&amp;INDEX('_Datos'!$AV$7:$AV$200,$N20))</f>
        <v>S1</v>
      </c>
      <c r="F20" s="204" t="str">
        <f>IF($N20="","",INDEX('_Datos'!$AY$7:$AY$200,$N20))</f>
        <v>Vencida</v>
      </c>
      <c r="G20" s="208">
        <f>IF($N20="","",INDEX('_Datos'!$I$7:$I$200,$N20))</f>
        <v>0.75</v>
      </c>
      <c r="H20" s="204">
        <f>IF($N20="","",IF(INDEX('_Datos'!$AR$7:$AR$200,$N20)&lt;INDEX('_Datos'!$AV$7:$AV$200,$N20),"← S"&amp;INDEX('_Datos'!$AR$7:$AR$200,$N20),""))</f>
      </c>
      <c r="N20" s="202">
        <f>IFERROR(MATCH(SMALL('_Datos'!$BQ$7:$BQ$200,5+1),'_Datos'!$BQ$7:$BQ$200,0),"")</f>
        <v>24</v>
      </c>
    </row>
    <row r="21">
      <c r="B21" s="207">
        <f>IF($N21="","",INDEX('_Datos'!$BP$7:$BP$200,$N21))</f>
        <v>46192</v>
      </c>
      <c r="C21" s="205" t="str">
        <f>IF($N21="","",INDEX('_Datos'!$F$7:$F$200,$N21))</f>
        <v>Input de datos desde Provisión mensual</v>
      </c>
      <c r="D21" s="204" t="str">
        <f>IF($N21="","",INDEX('_Datos'!$AO$7:$AO$200,$N21))</f>
        <v>Semanal</v>
      </c>
      <c r="E21" s="204" t="str">
        <f>IF($N21="","","S"&amp;INDEX('_Datos'!$AV$7:$AV$200,$N21))</f>
        <v>S1</v>
      </c>
      <c r="F21" s="204" t="str">
        <f>IF($N21="","",INDEX('_Datos'!$AY$7:$AY$200,$N21))</f>
        <v>Vencida</v>
      </c>
      <c r="G21" s="208">
        <f>IF($N21="","",INDEX('_Datos'!$I$7:$I$200,$N21))</f>
        <v>0.75</v>
      </c>
      <c r="H21" s="204">
        <f>IF($N21="","",IF(INDEX('_Datos'!$AR$7:$AR$200,$N21)&lt;INDEX('_Datos'!$AV$7:$AV$200,$N21),"← S"&amp;INDEX('_Datos'!$AR$7:$AR$200,$N21),""))</f>
      </c>
      <c r="N21" s="202">
        <f>IFERROR(MATCH(SMALL('_Datos'!$BQ$7:$BQ$200,6+1),'_Datos'!$BQ$7:$BQ$200,0),"")</f>
        <v>25</v>
      </c>
    </row>
    <row r="22">
      <c r="B22" s="207">
        <f>IF($N22="","",INDEX('_Datos'!$BP$7:$BP$200,$N22))</f>
        <v>46192</v>
      </c>
      <c r="C22" s="205" t="str">
        <f>IF($N22="","",INDEX('_Datos'!$F$7:$F$200,$N22))</f>
        <v>Planilla Activos Unificados - Estandarizar + Procedimiento</v>
      </c>
      <c r="D22" s="204" t="str">
        <f>IF($N22="","",INDEX('_Datos'!$AO$7:$AO$200,$N22))</f>
        <v>Semanal</v>
      </c>
      <c r="E22" s="204" t="str">
        <f>IF($N22="","","S"&amp;INDEX('_Datos'!$AV$7:$AV$200,$N22))</f>
        <v>S1</v>
      </c>
      <c r="F22" s="204" t="str">
        <f>IF($N22="","",INDEX('_Datos'!$AY$7:$AY$200,$N22))</f>
        <v>Vencida</v>
      </c>
      <c r="G22" s="208">
        <f>IF($N22="","",INDEX('_Datos'!$I$7:$I$200,$N22))</f>
        <v>0</v>
      </c>
      <c r="H22" s="204">
        <f>IF($N22="","",IF(INDEX('_Datos'!$AR$7:$AR$200,$N22)&lt;INDEX('_Datos'!$AV$7:$AV$200,$N22),"← S"&amp;INDEX('_Datos'!$AR$7:$AR$200,$N22),""))</f>
      </c>
      <c r="N22" s="202">
        <f>IFERROR(MATCH(SMALL('_Datos'!$BQ$7:$BQ$200,7+1),'_Datos'!$BQ$7:$BQ$200,0),"")</f>
        <v>31</v>
      </c>
    </row>
    <row r="23">
      <c r="B23" s="207">
        <f>IF($N23="","",INDEX('_Datos'!$BP$7:$BP$200,$N23))</f>
        <v>46192</v>
      </c>
      <c r="C23" s="205" t="str">
        <f>IF($N23="","",INDEX('_Datos'!$F$7:$F$200,$N23))</f>
        <v>Planilla DTM Estandarizada+ Procedimiento</v>
      </c>
      <c r="D23" s="204" t="str">
        <f>IF($N23="","",INDEX('_Datos'!$AO$7:$AO$200,$N23))</f>
        <v>Semanal</v>
      </c>
      <c r="E23" s="204" t="str">
        <f>IF($N23="","","S"&amp;INDEX('_Datos'!$AV$7:$AV$200,$N23))</f>
        <v>S1</v>
      </c>
      <c r="F23" s="204" t="str">
        <f>IF($N23="","",INDEX('_Datos'!$AY$7:$AY$200,$N23))</f>
        <v>Vencida</v>
      </c>
      <c r="G23" s="208">
        <f>IF($N23="","",INDEX('_Datos'!$I$7:$I$200,$N23))</f>
        <v>0.75</v>
      </c>
      <c r="H23" s="204">
        <f>IF($N23="","",IF(INDEX('_Datos'!$AR$7:$AR$200,$N23)&lt;INDEX('_Datos'!$AV$7:$AV$200,$N23),"← S"&amp;INDEX('_Datos'!$AR$7:$AR$200,$N23),""))</f>
      </c>
      <c r="N23" s="202">
        <f>IFERROR(MATCH(SMALL('_Datos'!$BQ$7:$BQ$200,8+1),'_Datos'!$BQ$7:$BQ$200,0),"")</f>
        <v>32</v>
      </c>
    </row>
    <row r="24">
      <c r="B24" s="207">
        <f>IF($N24="","",INDEX('_Datos'!$BP$7:$BP$200,$N24))</f>
        <v>46192</v>
      </c>
      <c r="C24" s="205" t="str">
        <f>IF($N24="","",INDEX('_Datos'!$F$7:$F$200,$N24))</f>
        <v>Planilla Aeroevaciaciones + Procedimiento</v>
      </c>
      <c r="D24" s="204" t="str">
        <f>IF($N24="","",INDEX('_Datos'!$AO$7:$AO$200,$N24))</f>
        <v>Semanal</v>
      </c>
      <c r="E24" s="204" t="str">
        <f>IF($N24="","","S"&amp;INDEX('_Datos'!$AV$7:$AV$200,$N24))</f>
        <v>S1</v>
      </c>
      <c r="F24" s="204" t="str">
        <f>IF($N24="","",INDEX('_Datos'!$AY$7:$AY$200,$N24))</f>
        <v>Vencida</v>
      </c>
      <c r="G24" s="208">
        <f>IF($N24="","",INDEX('_Datos'!$I$7:$I$200,$N24))</f>
        <v>0.75</v>
      </c>
      <c r="H24" s="204">
        <f>IF($N24="","",IF(INDEX('_Datos'!$AR$7:$AR$200,$N24)&lt;INDEX('_Datos'!$AV$7:$AV$200,$N24),"← S"&amp;INDEX('_Datos'!$AR$7:$AR$200,$N24),""))</f>
      </c>
      <c r="N24" s="202">
        <f>IFERROR(MATCH(SMALL('_Datos'!$BQ$7:$BQ$200,9+1),'_Datos'!$BQ$7:$BQ$200,0),"")</f>
        <v>33</v>
      </c>
    </row>
    <row r="25">
      <c r="B25" s="207">
        <f>IF($N25="","",INDEX('_Datos'!$BP$7:$BP$200,$N25))</f>
        <v>46192</v>
      </c>
      <c r="C25" s="205" t="str">
        <f>IF($N25="","",INDEX('_Datos'!$F$7:$F$200,$N25))</f>
        <v>Resumen Clientes Petróleo</v>
      </c>
      <c r="D25" s="204" t="str">
        <f>IF($N25="","",INDEX('_Datos'!$AO$7:$AO$200,$N25))</f>
        <v>Semanal</v>
      </c>
      <c r="E25" s="204" t="str">
        <f>IF($N25="","","S"&amp;INDEX('_Datos'!$AV$7:$AV$200,$N25))</f>
        <v>S1</v>
      </c>
      <c r="F25" s="204" t="str">
        <f>IF($N25="","",INDEX('_Datos'!$AY$7:$AY$200,$N25))</f>
        <v>Vencida</v>
      </c>
      <c r="G25" s="208">
        <f>IF($N25="","",INDEX('_Datos'!$I$7:$I$200,$N25))</f>
        <v>0.5</v>
      </c>
      <c r="H25" s="204">
        <f>IF($N25="","",IF(INDEX('_Datos'!$AR$7:$AR$200,$N25)&lt;INDEX('_Datos'!$AV$7:$AV$200,$N25),"← S"&amp;INDEX('_Datos'!$AR$7:$AR$200,$N25),""))</f>
      </c>
      <c r="N25" s="202">
        <f>IFERROR(MATCH(SMALL('_Datos'!$BQ$7:$BQ$200,10+1),'_Datos'!$BQ$7:$BQ$200,0),"")</f>
        <v>34</v>
      </c>
    </row>
    <row r="26">
      <c r="B26" s="207">
        <f>IF($N26="","",INDEX('_Datos'!$BP$7:$BP$200,$N26))</f>
        <v>46192</v>
      </c>
      <c r="C26" s="205" t="str">
        <f>IF($N26="","",INDEX('_Datos'!$F$7:$F$200,$N26))</f>
        <v>Resumen Clientes Minería</v>
      </c>
      <c r="D26" s="204" t="str">
        <f>IF($N26="","",INDEX('_Datos'!$AO$7:$AO$200,$N26))</f>
        <v>Semanal</v>
      </c>
      <c r="E26" s="204" t="str">
        <f>IF($N26="","","S"&amp;INDEX('_Datos'!$AV$7:$AV$200,$N26))</f>
        <v>S1</v>
      </c>
      <c r="F26" s="204" t="str">
        <f>IF($N26="","",INDEX('_Datos'!$AY$7:$AY$200,$N26))</f>
        <v>Vencida</v>
      </c>
      <c r="G26" s="208">
        <f>IF($N26="","",INDEX('_Datos'!$I$7:$I$200,$N26))</f>
        <v>0.5</v>
      </c>
      <c r="H26" s="204">
        <f>IF($N26="","",IF(INDEX('_Datos'!$AR$7:$AR$200,$N26)&lt;INDEX('_Datos'!$AV$7:$AV$200,$N26),"← S"&amp;INDEX('_Datos'!$AR$7:$AR$200,$N26),""))</f>
      </c>
      <c r="N26" s="202">
        <f>IFERROR(MATCH(SMALL('_Datos'!$BQ$7:$BQ$200,11+1),'_Datos'!$BQ$7:$BQ$200,0),"")</f>
        <v>35</v>
      </c>
    </row>
    <row r="27">
      <c r="B27" s="207">
        <f>IF($N27="","",INDEX('_Datos'!$BP$7:$BP$200,$N27))</f>
        <v>46192</v>
      </c>
      <c r="C27" s="205" t="str">
        <f>IF($N27="","",INDEX('_Datos'!$F$7:$F$200,$N27))</f>
        <v>Resumen Clientes Op. Dedicadas</v>
      </c>
      <c r="D27" s="204" t="str">
        <f>IF($N27="","",INDEX('_Datos'!$AO$7:$AO$200,$N27))</f>
        <v>Semanal</v>
      </c>
      <c r="E27" s="204" t="str">
        <f>IF($N27="","","S"&amp;INDEX('_Datos'!$AV$7:$AV$200,$N27))</f>
        <v>S1</v>
      </c>
      <c r="F27" s="204" t="str">
        <f>IF($N27="","",INDEX('_Datos'!$AY$7:$AY$200,$N27))</f>
        <v>Vencida</v>
      </c>
      <c r="G27" s="208">
        <f>IF($N27="","",INDEX('_Datos'!$I$7:$I$200,$N27))</f>
        <v>0.25</v>
      </c>
      <c r="H27" s="204">
        <f>IF($N27="","",IF(INDEX('_Datos'!$AR$7:$AR$200,$N27)&lt;INDEX('_Datos'!$AV$7:$AV$200,$N27),"← S"&amp;INDEX('_Datos'!$AR$7:$AR$200,$N27),""))</f>
      </c>
      <c r="N27" s="202">
        <f>IFERROR(MATCH(SMALL('_Datos'!$BQ$7:$BQ$200,12+1),'_Datos'!$BQ$7:$BQ$200,0),"")</f>
        <v>36</v>
      </c>
    </row>
    <row r="28">
      <c r="B28" s="207">
        <f>IF($N28="","",INDEX('_Datos'!$BP$7:$BP$200,$N28))</f>
        <v>46192</v>
      </c>
      <c r="C28" s="205" t="str">
        <f>IF($N28="","",INDEX('_Datos'!$F$7:$F$200,$N28))</f>
        <v>Detalle Responsables (Comerciales + Analistas)</v>
      </c>
      <c r="D28" s="204" t="str">
        <f>IF($N28="","",INDEX('_Datos'!$AO$7:$AO$200,$N28))</f>
        <v>Semanal</v>
      </c>
      <c r="E28" s="204" t="str">
        <f>IF($N28="","","S"&amp;INDEX('_Datos'!$AV$7:$AV$200,$N28))</f>
        <v>S1</v>
      </c>
      <c r="F28" s="204" t="str">
        <f>IF($N28="","",INDEX('_Datos'!$AY$7:$AY$200,$N28))</f>
        <v>Vencida</v>
      </c>
      <c r="G28" s="208">
        <f>IF($N28="","",INDEX('_Datos'!$I$7:$I$200,$N28))</f>
        <v>0.5</v>
      </c>
      <c r="H28" s="204">
        <f>IF($N28="","",IF(INDEX('_Datos'!$AR$7:$AR$200,$N28)&lt;INDEX('_Datos'!$AV$7:$AV$200,$N28),"← S"&amp;INDEX('_Datos'!$AR$7:$AR$200,$N28),""))</f>
      </c>
      <c r="N28" s="202">
        <f>IFERROR(MATCH(SMALL('_Datos'!$BQ$7:$BQ$200,13+1),'_Datos'!$BQ$7:$BQ$200,0),"")</f>
        <v>40</v>
      </c>
    </row>
    <row r="29">
      <c r="B29" s="207">
        <f>IF($N29="","",INDEX('_Datos'!$BP$7:$BP$200,$N29))</f>
        <v>46192</v>
      </c>
      <c r="C29" s="205" t="str">
        <f>IF($N29="","",INDEX('_Datos'!$F$7:$F$200,$N29))</f>
        <v>Armado de Dashboard + Diseño</v>
      </c>
      <c r="D29" s="204" t="str">
        <f>IF($N29="","",INDEX('_Datos'!$AO$7:$AO$200,$N29))</f>
        <v>Semanal</v>
      </c>
      <c r="E29" s="204" t="str">
        <f>IF($N29="","","S"&amp;INDEX('_Datos'!$AV$7:$AV$200,$N29))</f>
        <v>S1</v>
      </c>
      <c r="F29" s="204" t="str">
        <f>IF($N29="","",INDEX('_Datos'!$AY$7:$AY$200,$N29))</f>
        <v>Vencida</v>
      </c>
      <c r="G29" s="208">
        <f>IF($N29="","",INDEX('_Datos'!$I$7:$I$200,$N29))</f>
        <v>0.5</v>
      </c>
      <c r="H29" s="204">
        <f>IF($N29="","",IF(INDEX('_Datos'!$AR$7:$AR$200,$N29)&lt;INDEX('_Datos'!$AV$7:$AV$200,$N29),"← S"&amp;INDEX('_Datos'!$AR$7:$AR$200,$N29),""))</f>
      </c>
      <c r="N29" s="202">
        <f>IFERROR(MATCH(SMALL('_Datos'!$BQ$7:$BQ$200,14+1),'_Datos'!$BQ$7:$BQ$200,0),"")</f>
        <v>41</v>
      </c>
    </row>
    <row r="30">
      <c r="B30" s="207">
        <f>IF($N30="","",INDEX('_Datos'!$BP$7:$BP$200,$N30))</f>
        <v>46192</v>
      </c>
      <c r="C30" s="205" t="str">
        <f>IF($N30="","",INDEX('_Datos'!$F$7:$F$200,$N30))</f>
        <v>Armado de Procedimiento</v>
      </c>
      <c r="D30" s="204" t="str">
        <f>IF($N30="","",INDEX('_Datos'!$AO$7:$AO$200,$N30))</f>
        <v>Semanal</v>
      </c>
      <c r="E30" s="204" t="str">
        <f>IF($N30="","","S"&amp;INDEX('_Datos'!$AV$7:$AV$200,$N30))</f>
        <v>S1</v>
      </c>
      <c r="F30" s="204" t="str">
        <f>IF($N30="","",INDEX('_Datos'!$AY$7:$AY$200,$N30))</f>
        <v>Vencida</v>
      </c>
      <c r="G30" s="208">
        <f>IF($N30="","",INDEX('_Datos'!$I$7:$I$200,$N30))</f>
        <v>0</v>
      </c>
      <c r="H30" s="204">
        <f>IF($N30="","",IF(INDEX('_Datos'!$AR$7:$AR$200,$N30)&lt;INDEX('_Datos'!$AV$7:$AV$200,$N30),"← S"&amp;INDEX('_Datos'!$AR$7:$AR$200,$N30),""))</f>
      </c>
      <c r="N30" s="202">
        <f>IFERROR(MATCH(SMALL('_Datos'!$BQ$7:$BQ$200,15+1),'_Datos'!$BQ$7:$BQ$200,0),"")</f>
        <v>43</v>
      </c>
    </row>
    <row r="31">
      <c r="B31" s="207">
        <f>IF($N31="","",INDEX('_Datos'!$BP$7:$BP$200,$N31))</f>
        <v>46192</v>
      </c>
      <c r="C31" s="205" t="str">
        <f>IF($N31="","",INDEX('_Datos'!$F$7:$F$200,$N31))</f>
        <v>Slicer funcional con % de incremento sobre venta con base en % definido en factores</v>
      </c>
      <c r="D31" s="204" t="str">
        <f>IF($N31="","",INDEX('_Datos'!$AO$7:$AO$200,$N31))</f>
        <v>Semanal</v>
      </c>
      <c r="E31" s="204" t="str">
        <f>IF($N31="","","S"&amp;INDEX('_Datos'!$AV$7:$AV$200,$N31))</f>
        <v>S1</v>
      </c>
      <c r="F31" s="204" t="str">
        <f>IF($N31="","",INDEX('_Datos'!$AY$7:$AY$200,$N31))</f>
        <v>Vencida</v>
      </c>
      <c r="G31" s="208">
        <f>IF($N31="","",INDEX('_Datos'!$I$7:$I$200,$N31))</f>
        <v>0</v>
      </c>
      <c r="H31" s="204">
        <f>IF($N31="","",IF(INDEX('_Datos'!$AR$7:$AR$200,$N31)&lt;INDEX('_Datos'!$AV$7:$AV$200,$N31),"← S"&amp;INDEX('_Datos'!$AR$7:$AR$200,$N31),""))</f>
      </c>
      <c r="N31" s="202">
        <f>IFERROR(MATCH(SMALL('_Datos'!$BQ$7:$BQ$200,16+1),'_Datos'!$BQ$7:$BQ$200,0),"")</f>
        <v>44</v>
      </c>
    </row>
    <row r="32">
      <c r="B32" s="207">
        <f>IF($N32="","",INDEX('_Datos'!$BP$7:$BP$200,$N32))</f>
        <v>46192</v>
      </c>
      <c r="C32" s="205" t="str">
        <f>IF($N32="","",INDEX('_Datos'!$F$7:$F$200,$N32))</f>
        <v>Factores de clientes con % de incremento sobre venta</v>
      </c>
      <c r="D32" s="204" t="str">
        <f>IF($N32="","",INDEX('_Datos'!$AO$7:$AO$200,$N32))</f>
        <v>Semanal</v>
      </c>
      <c r="E32" s="204" t="str">
        <f>IF($N32="","","S"&amp;INDEX('_Datos'!$AV$7:$AV$200,$N32))</f>
        <v>S1</v>
      </c>
      <c r="F32" s="204" t="str">
        <f>IF($N32="","",INDEX('_Datos'!$AY$7:$AY$200,$N32))</f>
        <v>Vencida</v>
      </c>
      <c r="G32" s="208">
        <f>IF($N32="","",INDEX('_Datos'!$I$7:$I$200,$N32))</f>
        <v>0</v>
      </c>
      <c r="H32" s="204">
        <f>IF($N32="","",IF(INDEX('_Datos'!$AR$7:$AR$200,$N32)&lt;INDEX('_Datos'!$AV$7:$AV$200,$N32),"← S"&amp;INDEX('_Datos'!$AR$7:$AR$200,$N32),""))</f>
      </c>
      <c r="N32" s="202">
        <f>IFERROR(MATCH(SMALL('_Datos'!$BQ$7:$BQ$200,17+1),'_Datos'!$BQ$7:$BQ$200,0),"")</f>
        <v>45</v>
      </c>
    </row>
    <row r="33">
      <c r="B33" s="207">
        <f>IF($N33="","",INDEX('_Datos'!$BP$7:$BP$200,$N33))</f>
        <v>46199</v>
      </c>
      <c r="C33" s="205" t="str">
        <f>IF($N33="","",INDEX('_Datos'!$F$7:$F$200,$N33))</f>
        <v>Crear estructura de Cotizador en base a modelo armado (migra a CLAUDE)</v>
      </c>
      <c r="D33" s="204" t="str">
        <f>IF($N33="","",INDEX('_Datos'!$AO$7:$AO$200,$N33))</f>
        <v>Quincenal</v>
      </c>
      <c r="E33" s="204" t="str">
        <f>IF($N33="","","S"&amp;INDEX('_Datos'!$AV$7:$AV$200,$N33))</f>
        <v>S1</v>
      </c>
      <c r="F33" s="204" t="str">
        <f>IF($N33="","",INDEX('_Datos'!$AY$7:$AY$200,$N33))</f>
        <v>Completada</v>
      </c>
      <c r="G33" s="208">
        <f>IF($N33="","",INDEX('_Datos'!$I$7:$I$200,$N33))</f>
        <v>1</v>
      </c>
      <c r="H33" s="204">
        <f>IF($N33="","",IF(INDEX('_Datos'!$AR$7:$AR$200,$N33)&lt;INDEX('_Datos'!$AV$7:$AV$200,$N33),"← S"&amp;INDEX('_Datos'!$AR$7:$AR$200,$N33),""))</f>
      </c>
      <c r="N33" s="202">
        <f>IFERROR(MATCH(SMALL('_Datos'!$BQ$7:$BQ$200,18+1),'_Datos'!$BQ$7:$BQ$200,0),"")</f>
        <v>4</v>
      </c>
    </row>
    <row r="34">
      <c r="B34" s="207">
        <f>IF($N34="","",INDEX('_Datos'!$BP$7:$BP$200,$N34))</f>
        <v>46199</v>
      </c>
      <c r="C34" s="205" t="str">
        <f>IF($N34="","",INDEX('_Datos'!$F$7:$F$200,$N34))</f>
        <v>Automatización Archivo Sueldos FATSA + Procedimientos</v>
      </c>
      <c r="D34" s="204" t="str">
        <f>IF($N34="","",INDEX('_Datos'!$AO$7:$AO$200,$N34))</f>
        <v>Quincenal</v>
      </c>
      <c r="E34" s="204" t="str">
        <f>IF($N34="","","S"&amp;INDEX('_Datos'!$AV$7:$AV$200,$N34))</f>
        <v>S1</v>
      </c>
      <c r="F34" s="204" t="str">
        <f>IF($N34="","",INDEX('_Datos'!$AY$7:$AY$200,$N34))</f>
        <v>En curso</v>
      </c>
      <c r="G34" s="208">
        <f>IF($N34="","",INDEX('_Datos'!$I$7:$I$200,$N34))</f>
        <v>0.75</v>
      </c>
      <c r="H34" s="204">
        <f>IF($N34="","",IF(INDEX('_Datos'!$AR$7:$AR$200,$N34)&lt;INDEX('_Datos'!$AV$7:$AV$200,$N34),"← S"&amp;INDEX('_Datos'!$AR$7:$AR$200,$N34),""))</f>
      </c>
      <c r="N34" s="202">
        <f>IFERROR(MATCH(SMALL('_Datos'!$BQ$7:$BQ$200,19+1),'_Datos'!$BQ$7:$BQ$200,0),"")</f>
        <v>5</v>
      </c>
    </row>
    <row r="35">
      <c r="B35" s="207">
        <f>IF($N35="","",INDEX('_Datos'!$BP$7:$BP$200,$N35))</f>
        <v>46199</v>
      </c>
      <c r="C35" s="205" t="str">
        <f>IF($N35="","",INDEX('_Datos'!$F$7:$F$200,$N35))</f>
        <v>Automatización Archivo Sueldos Petro + Procedimientos</v>
      </c>
      <c r="D35" s="204" t="str">
        <f>IF($N35="","",INDEX('_Datos'!$AO$7:$AO$200,$N35))</f>
        <v>Quincenal</v>
      </c>
      <c r="E35" s="204" t="str">
        <f>IF($N35="","","S"&amp;INDEX('_Datos'!$AV$7:$AV$200,$N35))</f>
        <v>S1</v>
      </c>
      <c r="F35" s="204" t="str">
        <f>IF($N35="","",INDEX('_Datos'!$AY$7:$AY$200,$N35))</f>
        <v>En curso</v>
      </c>
      <c r="G35" s="208">
        <f>IF($N35="","",INDEX('_Datos'!$I$7:$I$200,$N35))</f>
        <v>0.75</v>
      </c>
      <c r="H35" s="204">
        <f>IF($N35="","",IF(INDEX('_Datos'!$AR$7:$AR$200,$N35)&lt;INDEX('_Datos'!$AV$7:$AV$200,$N35),"← S"&amp;INDEX('_Datos'!$AR$7:$AR$200,$N35),""))</f>
      </c>
      <c r="N35" s="202">
        <f>IFERROR(MATCH(SMALL('_Datos'!$BQ$7:$BQ$200,20+1),'_Datos'!$BQ$7:$BQ$200,0),"")</f>
        <v>6</v>
      </c>
    </row>
    <row r="36">
      <c r="B36" s="207">
        <f>IF($N36="","",INDEX('_Datos'!$BP$7:$BP$200,$N36))</f>
        <v>46199</v>
      </c>
      <c r="C36" s="205" t="str">
        <f>IF($N36="","",INDEX('_Datos'!$F$7:$F$200,$N36))</f>
        <v>Relevamiento Últimos Sueldos de referencia Monotributistas</v>
      </c>
      <c r="D36" s="204" t="str">
        <f>IF($N36="","",INDEX('_Datos'!$AO$7:$AO$200,$N36))</f>
        <v>Quincenal</v>
      </c>
      <c r="E36" s="204" t="str">
        <f>IF($N36="","","S"&amp;INDEX('_Datos'!$AV$7:$AV$200,$N36))</f>
        <v>S1</v>
      </c>
      <c r="F36" s="204" t="str">
        <f>IF($N36="","",INDEX('_Datos'!$AY$7:$AY$200,$N36))</f>
        <v>En curso</v>
      </c>
      <c r="G36" s="208">
        <f>IF($N36="","",INDEX('_Datos'!$I$7:$I$200,$N36))</f>
        <v>0.5</v>
      </c>
      <c r="H36" s="204">
        <f>IF($N36="","",IF(INDEX('_Datos'!$AR$7:$AR$200,$N36)&lt;INDEX('_Datos'!$AV$7:$AV$200,$N36),"← S"&amp;INDEX('_Datos'!$AR$7:$AR$200,$N36),""))</f>
      </c>
      <c r="N36" s="202">
        <f>IFERROR(MATCH(SMALL('_Datos'!$BQ$7:$BQ$200,21+1),'_Datos'!$BQ$7:$BQ$200,0),"")</f>
        <v>7</v>
      </c>
    </row>
    <row r="37">
      <c r="B37" s="207">
        <f>IF($N37="","",INDEX('_Datos'!$BP$7:$BP$200,$N37))</f>
        <v>46199</v>
      </c>
      <c r="C37" s="205" t="str">
        <f>IF($N37="","",INDEX('_Datos'!$F$7:$F$200,$N37))</f>
        <v>Asociar Archivo Móviles y Tráilers (Nico Sifuentes) + procedimiento</v>
      </c>
      <c r="D37" s="204" t="str">
        <f>IF($N37="","",INDEX('_Datos'!$AO$7:$AO$200,$N37))</f>
        <v>Quincenal</v>
      </c>
      <c r="E37" s="204" t="str">
        <f>IF($N37="","","S"&amp;INDEX('_Datos'!$AV$7:$AV$200,$N37))</f>
        <v>S1</v>
      </c>
      <c r="F37" s="204" t="str">
        <f>IF($N37="","",INDEX('_Datos'!$AY$7:$AY$200,$N37))</f>
        <v>En curso</v>
      </c>
      <c r="G37" s="208">
        <f>IF($N37="","",INDEX('_Datos'!$I$7:$I$200,$N37))</f>
        <v>0.75</v>
      </c>
      <c r="H37" s="204">
        <f>IF($N37="","",IF(INDEX('_Datos'!$AR$7:$AR$200,$N37)&lt;INDEX('_Datos'!$AV$7:$AV$200,$N37),"← S"&amp;INDEX('_Datos'!$AR$7:$AR$200,$N37),""))</f>
      </c>
      <c r="N37" s="202">
        <f>IFERROR(MATCH(SMALL('_Datos'!$BQ$7:$BQ$200,22+1),'_Datos'!$BQ$7:$BQ$200,0),"")</f>
        <v>9</v>
      </c>
    </row>
    <row r="38">
      <c r="B38" s="207">
        <f>IF($N38="","",INDEX('_Datos'!$BP$7:$BP$200,$N38))</f>
        <v>46199</v>
      </c>
      <c r="C38" s="205" t="str">
        <f>IF($N38="","",INDEX('_Datos'!$F$7:$F$200,$N38))</f>
        <v>Asociar Archivo Masters de Medicación (Seba Oliver) + Capacitaciones + procedimiento</v>
      </c>
      <c r="D38" s="204" t="str">
        <f>IF($N38="","",INDEX('_Datos'!$AO$7:$AO$200,$N38))</f>
        <v>Quincenal</v>
      </c>
      <c r="E38" s="204" t="str">
        <f>IF($N38="","","S"&amp;INDEX('_Datos'!$AV$7:$AV$200,$N38))</f>
        <v>S1</v>
      </c>
      <c r="F38" s="204" t="str">
        <f>IF($N38="","",INDEX('_Datos'!$AY$7:$AY$200,$N38))</f>
        <v>En curso</v>
      </c>
      <c r="G38" s="208">
        <f>IF($N38="","",INDEX('_Datos'!$I$7:$I$200,$N38))</f>
        <v>0.5</v>
      </c>
      <c r="H38" s="204">
        <f>IF($N38="","",IF(INDEX('_Datos'!$AR$7:$AR$200,$N38)&lt;INDEX('_Datos'!$AV$7:$AV$200,$N38),"← S"&amp;INDEX('_Datos'!$AR$7:$AR$200,$N38),""))</f>
      </c>
      <c r="N38" s="202">
        <f>IFERROR(MATCH(SMALL('_Datos'!$BQ$7:$BQ$200,23+1),'_Datos'!$BQ$7:$BQ$200,0),"")</f>
        <v>10</v>
      </c>
    </row>
    <row r="39">
      <c r="B39" s="207">
        <f>IF($N39="","",INDEX('_Datos'!$BP$7:$BP$200,$N39))</f>
        <v>46199</v>
      </c>
      <c r="C39" s="205" t="str">
        <f>IF($N39="","",INDEX('_Datos'!$F$7:$F$200,$N39))</f>
        <v>Relevamiento área de IA -  Repositorio (GitHub o AWS S3) + Seguridad</v>
      </c>
      <c r="D39" s="204" t="str">
        <f>IF($N39="","",INDEX('_Datos'!$AO$7:$AO$200,$N39))</f>
        <v>Quincenal</v>
      </c>
      <c r="E39" s="204" t="str">
        <f>IF($N39="","","S"&amp;INDEX('_Datos'!$AV$7:$AV$200,$N39))</f>
        <v>S1</v>
      </c>
      <c r="F39" s="204" t="str">
        <f>IF($N39="","",INDEX('_Datos'!$AY$7:$AY$200,$N39))</f>
        <v>Completada</v>
      </c>
      <c r="G39" s="208">
        <f>IF($N39="","",INDEX('_Datos'!$I$7:$I$200,$N39))</f>
        <v>1</v>
      </c>
      <c r="H39" s="204">
        <f>IF($N39="","",IF(INDEX('_Datos'!$AR$7:$AR$200,$N39)&lt;INDEX('_Datos'!$AV$7:$AV$200,$N39),"← S"&amp;INDEX('_Datos'!$AR$7:$AR$200,$N39),""))</f>
      </c>
      <c r="N39" s="202">
        <f>IFERROR(MATCH(SMALL('_Datos'!$BQ$7:$BQ$200,24+1),'_Datos'!$BQ$7:$BQ$200,0),"")</f>
        <v>13</v>
      </c>
    </row>
    <row r="40">
      <c r="B40" s="207">
        <f>IF($N40="","",INDEX('_Datos'!$BP$7:$BP$200,$N40))</f>
        <v>46213</v>
      </c>
      <c r="C40" s="205" t="str">
        <f>IF($N40="","",INDEX('_Datos'!$F$7:$F$200,$N40))</f>
        <v>Disponibilidad de información centralizada en GOC (aguarda desarrollo)</v>
      </c>
      <c r="D40" s="204" t="str">
        <f>IF($N40="","",INDEX('_Datos'!$AO$7:$AO$200,$N40))</f>
        <v>Mensual</v>
      </c>
      <c r="E40" s="204" t="str">
        <f>IF($N40="","","S"&amp;INDEX('_Datos'!$AV$7:$AV$200,$N40))</f>
        <v>S1</v>
      </c>
      <c r="F40" s="204" t="str">
        <f>IF($N40="","",INDEX('_Datos'!$AY$7:$AY$200,$N40))</f>
        <v>En curso</v>
      </c>
      <c r="G40" s="208">
        <f>IF($N40="","",INDEX('_Datos'!$I$7:$I$200,$N40))</f>
        <v>0</v>
      </c>
      <c r="H40" s="204">
        <f>IF($N40="","",IF(INDEX('_Datos'!$AR$7:$AR$200,$N40)&lt;INDEX('_Datos'!$AV$7:$AV$200,$N40),"← S"&amp;INDEX('_Datos'!$AR$7:$AR$200,$N40),""))</f>
      </c>
      <c r="N40" s="202">
        <f>IFERROR(MATCH(SMALL('_Datos'!$BQ$7:$BQ$200,25+1),'_Datos'!$BQ$7:$BQ$200,0),"")</f>
        <v>2</v>
      </c>
    </row>
    <row r="41">
      <c r="B41" s="207">
        <f>IF($N41="","",INDEX('_Datos'!$BP$7:$BP$200,$N41))</f>
      </c>
      <c r="C41" s="205">
        <f>IF($N41="","",INDEX('_Datos'!$F$7:$F$200,$N41))</f>
      </c>
      <c r="D41" s="204">
        <f>IF($N41="","",INDEX('_Datos'!$AO$7:$AO$200,$N41))</f>
      </c>
      <c r="E41" s="204">
        <f>IF($N41="","","S"&amp;INDEX('_Datos'!$AV$7:$AV$200,$N41))</f>
      </c>
      <c r="F41" s="204">
        <f>IF($N41="","",INDEX('_Datos'!$AY$7:$AY$200,$N41))</f>
      </c>
      <c r="G41" s="208">
        <f>IF($N41="","",INDEX('_Datos'!$I$7:$I$200,$N41))</f>
      </c>
      <c r="H41" s="204">
        <f>IF($N41="","",IF(INDEX('_Datos'!$AR$7:$AR$200,$N41)&lt;INDEX('_Datos'!$AV$7:$AV$200,$N41),"← S"&amp;INDEX('_Datos'!$AR$7:$AR$200,$N41),""))</f>
      </c>
      <c r="N41" s="202">
        <f>IFERROR(MATCH(SMALL('_Datos'!$BQ$7:$BQ$200,26+1),'_Datos'!$BQ$7:$BQ$200,0),"")</f>
      </c>
    </row>
    <row r="42">
      <c r="B42" s="207">
        <f>IF($N42="","",INDEX('_Datos'!$BP$7:$BP$200,$N42))</f>
      </c>
      <c r="C42" s="205">
        <f>IF($N42="","",INDEX('_Datos'!$F$7:$F$200,$N42))</f>
      </c>
      <c r="D42" s="204">
        <f>IF($N42="","",INDEX('_Datos'!$AO$7:$AO$200,$N42))</f>
      </c>
      <c r="E42" s="204">
        <f>IF($N42="","","S"&amp;INDEX('_Datos'!$AV$7:$AV$200,$N42))</f>
      </c>
      <c r="F42" s="204">
        <f>IF($N42="","",INDEX('_Datos'!$AY$7:$AY$200,$N42))</f>
      </c>
      <c r="G42" s="208">
        <f>IF($N42="","",INDEX('_Datos'!$I$7:$I$200,$N42))</f>
      </c>
      <c r="H42" s="204">
        <f>IF($N42="","",IF(INDEX('_Datos'!$AR$7:$AR$200,$N42)&lt;INDEX('_Datos'!$AV$7:$AV$200,$N42),"← S"&amp;INDEX('_Datos'!$AR$7:$AR$200,$N42),""))</f>
      </c>
      <c r="N42" s="202">
        <f>IFERROR(MATCH(SMALL('_Datos'!$BQ$7:$BQ$200,27+1),'_Datos'!$BQ$7:$BQ$200,0),"")</f>
      </c>
    </row>
    <row r="43">
      <c r="B43" s="207">
        <f>IF($N43="","",INDEX('_Datos'!$BP$7:$BP$200,$N43))</f>
      </c>
      <c r="C43" s="205">
        <f>IF($N43="","",INDEX('_Datos'!$F$7:$F$200,$N43))</f>
      </c>
      <c r="D43" s="204">
        <f>IF($N43="","",INDEX('_Datos'!$AO$7:$AO$200,$N43))</f>
      </c>
      <c r="E43" s="204">
        <f>IF($N43="","","S"&amp;INDEX('_Datos'!$AV$7:$AV$200,$N43))</f>
      </c>
      <c r="F43" s="204">
        <f>IF($N43="","",INDEX('_Datos'!$AY$7:$AY$200,$N43))</f>
      </c>
      <c r="G43" s="208">
        <f>IF($N43="","",INDEX('_Datos'!$I$7:$I$200,$N43))</f>
      </c>
      <c r="H43" s="204">
        <f>IF($N43="","",IF(INDEX('_Datos'!$AR$7:$AR$200,$N43)&lt;INDEX('_Datos'!$AV$7:$AV$200,$N43),"← S"&amp;INDEX('_Datos'!$AR$7:$AR$200,$N43),""))</f>
      </c>
      <c r="N43" s="202">
        <f>IFERROR(MATCH(SMALL('_Datos'!$BQ$7:$BQ$200,28+1),'_Datos'!$BQ$7:$BQ$200,0),"")</f>
      </c>
    </row>
    <row r="44">
      <c r="B44" s="207">
        <f>IF($N44="","",INDEX('_Datos'!$BP$7:$BP$200,$N44))</f>
      </c>
      <c r="C44" s="205">
        <f>IF($N44="","",INDEX('_Datos'!$F$7:$F$200,$N44))</f>
      </c>
      <c r="D44" s="204">
        <f>IF($N44="","",INDEX('_Datos'!$AO$7:$AO$200,$N44))</f>
      </c>
      <c r="E44" s="204">
        <f>IF($N44="","","S"&amp;INDEX('_Datos'!$AV$7:$AV$200,$N44))</f>
      </c>
      <c r="F44" s="204">
        <f>IF($N44="","",INDEX('_Datos'!$AY$7:$AY$200,$N44))</f>
      </c>
      <c r="G44" s="208">
        <f>IF($N44="","",INDEX('_Datos'!$I$7:$I$200,$N44))</f>
      </c>
      <c r="H44" s="204">
        <f>IF($N44="","",IF(INDEX('_Datos'!$AR$7:$AR$200,$N44)&lt;INDEX('_Datos'!$AV$7:$AV$200,$N44),"← S"&amp;INDEX('_Datos'!$AR$7:$AR$200,$N44),""))</f>
      </c>
      <c r="N44" s="202">
        <f>IFERROR(MATCH(SMALL('_Datos'!$BQ$7:$BQ$200,29+1),'_Datos'!$BQ$7:$BQ$200,0),"")</f>
      </c>
    </row>
    <row r="45">
      <c r="B45" s="207">
        <f>IF($N45="","",INDEX('_Datos'!$BP$7:$BP$200,$N45))</f>
      </c>
      <c r="C45" s="205">
        <f>IF($N45="","",INDEX('_Datos'!$F$7:$F$200,$N45))</f>
      </c>
      <c r="D45" s="204">
        <f>IF($N45="","",INDEX('_Datos'!$AO$7:$AO$200,$N45))</f>
      </c>
      <c r="E45" s="204">
        <f>IF($N45="","","S"&amp;INDEX('_Datos'!$AV$7:$AV$200,$N45))</f>
      </c>
      <c r="F45" s="204">
        <f>IF($N45="","",INDEX('_Datos'!$AY$7:$AY$200,$N45))</f>
      </c>
      <c r="G45" s="208">
        <f>IF($N45="","",INDEX('_Datos'!$I$7:$I$200,$N45))</f>
      </c>
      <c r="H45" s="204">
        <f>IF($N45="","",IF(INDEX('_Datos'!$AR$7:$AR$200,$N45)&lt;INDEX('_Datos'!$AV$7:$AV$200,$N45),"← S"&amp;INDEX('_Datos'!$AR$7:$AR$200,$N45),""))</f>
      </c>
      <c r="N45" s="202">
        <f>IFERROR(MATCH(SMALL('_Datos'!$BQ$7:$BQ$200,30+1),'_Datos'!$BQ$7:$BQ$200,0),"")</f>
      </c>
    </row>
    <row r="46">
      <c r="B46" s="207">
        <f>IF($N46="","",INDEX('_Datos'!$BP$7:$BP$200,$N46))</f>
      </c>
      <c r="C46" s="205">
        <f>IF($N46="","",INDEX('_Datos'!$F$7:$F$200,$N46))</f>
      </c>
      <c r="D46" s="204">
        <f>IF($N46="","",INDEX('_Datos'!$AO$7:$AO$200,$N46))</f>
      </c>
      <c r="E46" s="204">
        <f>IF($N46="","","S"&amp;INDEX('_Datos'!$AV$7:$AV$200,$N46))</f>
      </c>
      <c r="F46" s="204">
        <f>IF($N46="","",INDEX('_Datos'!$AY$7:$AY$200,$N46))</f>
      </c>
      <c r="G46" s="208">
        <f>IF($N46="","",INDEX('_Datos'!$I$7:$I$200,$N46))</f>
      </c>
      <c r="H46" s="204">
        <f>IF($N46="","",IF(INDEX('_Datos'!$AR$7:$AR$200,$N46)&lt;INDEX('_Datos'!$AV$7:$AV$200,$N46),"← S"&amp;INDEX('_Datos'!$AR$7:$AR$200,$N46),""))</f>
      </c>
      <c r="N46" s="202">
        <f>IFERROR(MATCH(SMALL('_Datos'!$BQ$7:$BQ$200,31+1),'_Datos'!$BQ$7:$BQ$200,0),"")</f>
      </c>
    </row>
    <row r="47">
      <c r="B47" s="207">
        <f>IF($N47="","",INDEX('_Datos'!$BP$7:$BP$200,$N47))</f>
      </c>
      <c r="C47" s="205">
        <f>IF($N47="","",INDEX('_Datos'!$F$7:$F$200,$N47))</f>
      </c>
      <c r="D47" s="204">
        <f>IF($N47="","",INDEX('_Datos'!$AO$7:$AO$200,$N47))</f>
      </c>
      <c r="E47" s="204">
        <f>IF($N47="","","S"&amp;INDEX('_Datos'!$AV$7:$AV$200,$N47))</f>
      </c>
      <c r="F47" s="204">
        <f>IF($N47="","",INDEX('_Datos'!$AY$7:$AY$200,$N47))</f>
      </c>
      <c r="G47" s="208">
        <f>IF($N47="","",INDEX('_Datos'!$I$7:$I$200,$N47))</f>
      </c>
      <c r="H47" s="204">
        <f>IF($N47="","",IF(INDEX('_Datos'!$AR$7:$AR$200,$N47)&lt;INDEX('_Datos'!$AV$7:$AV$200,$N47),"← S"&amp;INDEX('_Datos'!$AR$7:$AR$200,$N47),""))</f>
      </c>
      <c r="N47" s="202">
        <f>IFERROR(MATCH(SMALL('_Datos'!$BQ$7:$BQ$200,32+1),'_Datos'!$BQ$7:$BQ$200,0),"")</f>
      </c>
    </row>
    <row r="48">
      <c r="B48" s="207">
        <f>IF($N48="","",INDEX('_Datos'!$BP$7:$BP$200,$N48))</f>
      </c>
      <c r="C48" s="205">
        <f>IF($N48="","",INDEX('_Datos'!$F$7:$F$200,$N48))</f>
      </c>
      <c r="D48" s="204">
        <f>IF($N48="","",INDEX('_Datos'!$AO$7:$AO$200,$N48))</f>
      </c>
      <c r="E48" s="204">
        <f>IF($N48="","","S"&amp;INDEX('_Datos'!$AV$7:$AV$200,$N48))</f>
      </c>
      <c r="F48" s="204">
        <f>IF($N48="","",INDEX('_Datos'!$AY$7:$AY$200,$N48))</f>
      </c>
      <c r="G48" s="208">
        <f>IF($N48="","",INDEX('_Datos'!$I$7:$I$200,$N48))</f>
      </c>
      <c r="H48" s="204">
        <f>IF($N48="","",IF(INDEX('_Datos'!$AR$7:$AR$200,$N48)&lt;INDEX('_Datos'!$AV$7:$AV$200,$N48),"← S"&amp;INDEX('_Datos'!$AR$7:$AR$200,$N48),""))</f>
      </c>
      <c r="N48" s="202">
        <f>IFERROR(MATCH(SMALL('_Datos'!$BQ$7:$BQ$200,33+1),'_Datos'!$BQ$7:$BQ$200,0),"")</f>
      </c>
    </row>
    <row r="49">
      <c r="B49" s="207">
        <f>IF($N49="","",INDEX('_Datos'!$BP$7:$BP$200,$N49))</f>
      </c>
      <c r="C49" s="205">
        <f>IF($N49="","",INDEX('_Datos'!$F$7:$F$200,$N49))</f>
      </c>
      <c r="D49" s="204">
        <f>IF($N49="","",INDEX('_Datos'!$AO$7:$AO$200,$N49))</f>
      </c>
      <c r="E49" s="204">
        <f>IF($N49="","","S"&amp;INDEX('_Datos'!$AV$7:$AV$200,$N49))</f>
      </c>
      <c r="F49" s="204">
        <f>IF($N49="","",INDEX('_Datos'!$AY$7:$AY$200,$N49))</f>
      </c>
      <c r="G49" s="208">
        <f>IF($N49="","",INDEX('_Datos'!$I$7:$I$200,$N49))</f>
      </c>
      <c r="H49" s="204">
        <f>IF($N49="","",IF(INDEX('_Datos'!$AR$7:$AR$200,$N49)&lt;INDEX('_Datos'!$AV$7:$AV$200,$N49),"← S"&amp;INDEX('_Datos'!$AR$7:$AR$200,$N49),""))</f>
      </c>
      <c r="N49" s="202">
        <f>IFERROR(MATCH(SMALL('_Datos'!$BQ$7:$BQ$200,34+1),'_Datos'!$BQ$7:$BQ$200,0),"")</f>
      </c>
    </row>
    <row r="50">
      <c r="B50" s="207">
        <f>IF($N50="","",INDEX('_Datos'!$BP$7:$BP$200,$N50))</f>
      </c>
      <c r="C50" s="205">
        <f>IF($N50="","",INDEX('_Datos'!$F$7:$F$200,$N50))</f>
      </c>
      <c r="D50" s="204">
        <f>IF($N50="","",INDEX('_Datos'!$AO$7:$AO$200,$N50))</f>
      </c>
      <c r="E50" s="204">
        <f>IF($N50="","","S"&amp;INDEX('_Datos'!$AV$7:$AV$200,$N50))</f>
      </c>
      <c r="F50" s="204">
        <f>IF($N50="","",INDEX('_Datos'!$AY$7:$AY$200,$N50))</f>
      </c>
      <c r="G50" s="208">
        <f>IF($N50="","",INDEX('_Datos'!$I$7:$I$200,$N50))</f>
      </c>
      <c r="H50" s="204">
        <f>IF($N50="","",IF(INDEX('_Datos'!$AR$7:$AR$200,$N50)&lt;INDEX('_Datos'!$AV$7:$AV$200,$N50),"← S"&amp;INDEX('_Datos'!$AR$7:$AR$200,$N50),""))</f>
      </c>
      <c r="N50" s="202">
        <f>IFERROR(MATCH(SMALL('_Datos'!$BQ$7:$BQ$200,35+1),'_Datos'!$BQ$7:$BQ$200,0),"")</f>
      </c>
    </row>
    <row r="51">
      <c r="B51" s="207">
        <f>IF($N51="","",INDEX('_Datos'!$BP$7:$BP$200,$N51))</f>
      </c>
      <c r="C51" s="205">
        <f>IF($N51="","",INDEX('_Datos'!$F$7:$F$200,$N51))</f>
      </c>
      <c r="D51" s="204">
        <f>IF($N51="","",INDEX('_Datos'!$AO$7:$AO$200,$N51))</f>
      </c>
      <c r="E51" s="204">
        <f>IF($N51="","","S"&amp;INDEX('_Datos'!$AV$7:$AV$200,$N51))</f>
      </c>
      <c r="F51" s="204">
        <f>IF($N51="","",INDEX('_Datos'!$AY$7:$AY$200,$N51))</f>
      </c>
      <c r="G51" s="208">
        <f>IF($N51="","",INDEX('_Datos'!$I$7:$I$200,$N51))</f>
      </c>
      <c r="H51" s="204">
        <f>IF($N51="","",IF(INDEX('_Datos'!$AR$7:$AR$200,$N51)&lt;INDEX('_Datos'!$AV$7:$AV$200,$N51),"← S"&amp;INDEX('_Datos'!$AR$7:$AR$200,$N51),""))</f>
      </c>
      <c r="N51" s="202">
        <f>IFERROR(MATCH(SMALL('_Datos'!$BQ$7:$BQ$200,36+1),'_Datos'!$BQ$7:$BQ$200,0),"")</f>
      </c>
    </row>
    <row r="52">
      <c r="B52" s="207">
        <f>IF($N52="","",INDEX('_Datos'!$BP$7:$BP$200,$N52))</f>
      </c>
      <c r="C52" s="205">
        <f>IF($N52="","",INDEX('_Datos'!$F$7:$F$200,$N52))</f>
      </c>
      <c r="D52" s="204">
        <f>IF($N52="","",INDEX('_Datos'!$AO$7:$AO$200,$N52))</f>
      </c>
      <c r="E52" s="204">
        <f>IF($N52="","","S"&amp;INDEX('_Datos'!$AV$7:$AV$200,$N52))</f>
      </c>
      <c r="F52" s="204">
        <f>IF($N52="","",INDEX('_Datos'!$AY$7:$AY$200,$N52))</f>
      </c>
      <c r="G52" s="208">
        <f>IF($N52="","",INDEX('_Datos'!$I$7:$I$200,$N52))</f>
      </c>
      <c r="H52" s="204">
        <f>IF($N52="","",IF(INDEX('_Datos'!$AR$7:$AR$200,$N52)&lt;INDEX('_Datos'!$AV$7:$AV$200,$N52),"← S"&amp;INDEX('_Datos'!$AR$7:$AR$200,$N52),""))</f>
      </c>
      <c r="N52" s="202">
        <f>IFERROR(MATCH(SMALL('_Datos'!$BQ$7:$BQ$200,37+1),'_Datos'!$BQ$7:$BQ$200,0),"")</f>
      </c>
    </row>
    <row r="53">
      <c r="B53" s="207">
        <f>IF($N53="","",INDEX('_Datos'!$BP$7:$BP$200,$N53))</f>
      </c>
      <c r="C53" s="205">
        <f>IF($N53="","",INDEX('_Datos'!$F$7:$F$200,$N53))</f>
      </c>
      <c r="D53" s="204">
        <f>IF($N53="","",INDEX('_Datos'!$AO$7:$AO$200,$N53))</f>
      </c>
      <c r="E53" s="204">
        <f>IF($N53="","","S"&amp;INDEX('_Datos'!$AV$7:$AV$200,$N53))</f>
      </c>
      <c r="F53" s="204">
        <f>IF($N53="","",INDEX('_Datos'!$AY$7:$AY$200,$N53))</f>
      </c>
      <c r="G53" s="208">
        <f>IF($N53="","",INDEX('_Datos'!$I$7:$I$200,$N53))</f>
      </c>
      <c r="H53" s="204">
        <f>IF($N53="","",IF(INDEX('_Datos'!$AR$7:$AR$200,$N53)&lt;INDEX('_Datos'!$AV$7:$AV$200,$N53),"← S"&amp;INDEX('_Datos'!$AR$7:$AR$200,$N53),""))</f>
      </c>
      <c r="N53" s="202">
        <f>IFERROR(MATCH(SMALL('_Datos'!$BQ$7:$BQ$200,38+1),'_Datos'!$BQ$7:$BQ$200,0),"")</f>
      </c>
    </row>
    <row r="54">
      <c r="B54" s="207">
        <f>IF($N54="","",INDEX('_Datos'!$BP$7:$BP$200,$N54))</f>
      </c>
      <c r="C54" s="205">
        <f>IF($N54="","",INDEX('_Datos'!$F$7:$F$200,$N54))</f>
      </c>
      <c r="D54" s="204">
        <f>IF($N54="","",INDEX('_Datos'!$AO$7:$AO$200,$N54))</f>
      </c>
      <c r="E54" s="204">
        <f>IF($N54="","","S"&amp;INDEX('_Datos'!$AV$7:$AV$200,$N54))</f>
      </c>
      <c r="F54" s="204">
        <f>IF($N54="","",INDEX('_Datos'!$AY$7:$AY$200,$N54))</f>
      </c>
      <c r="G54" s="208">
        <f>IF($N54="","",INDEX('_Datos'!$I$7:$I$200,$N54))</f>
      </c>
      <c r="H54" s="204">
        <f>IF($N54="","",IF(INDEX('_Datos'!$AR$7:$AR$200,$N54)&lt;INDEX('_Datos'!$AV$7:$AV$200,$N54),"← S"&amp;INDEX('_Datos'!$AR$7:$AR$200,$N54),""))</f>
      </c>
      <c r="N54" s="202">
        <f>IFERROR(MATCH(SMALL('_Datos'!$BQ$7:$BQ$200,39+1),'_Datos'!$BQ$7:$BQ$200,0),"")</f>
      </c>
    </row>
    <row r="56">
      <c r="B56" s="172" t="inlineStr">
        <is>
          <t xml:space="preserve">BITÁCORA / EVENTOS DEL SPRINT  ·  registro manual (actividad, cambios de estado, bloqueos)</t>
        </is>
      </c>
      <c r="C56" s="172"/>
      <c r="D56" s="172"/>
      <c r="E56" s="172"/>
    </row>
    <row r="57">
      <c r="B57" s="173" t="inlineStr">
        <is>
          <t xml:space="preserve">Fecha</t>
        </is>
      </c>
      <c r="C57" s="173" t="inlineStr">
        <is>
          <t xml:space="preserve">Tipo de evento</t>
        </is>
      </c>
      <c r="D57" s="173" t="inlineStr">
        <is>
          <t xml:space="preserve">Detalle (qué / quién)</t>
        </is>
      </c>
      <c r="E57" s="173" t="inlineStr">
        <is>
          <t xml:space="preserve">Sprint</t>
        </is>
      </c>
    </row>
    <row r="58">
      <c r="B58" s="192"/>
      <c r="C58" s="193"/>
      <c r="D58" s="193"/>
      <c r="E58" s="193"/>
    </row>
    <row r="59">
      <c r="B59" s="192"/>
      <c r="C59" s="193"/>
      <c r="D59" s="193"/>
      <c r="E59" s="193"/>
    </row>
    <row r="60">
      <c r="B60" s="192"/>
      <c r="C60" s="193"/>
      <c r="D60" s="193"/>
      <c r="E60" s="193"/>
    </row>
    <row r="61">
      <c r="B61" s="192"/>
      <c r="C61" s="193"/>
      <c r="D61" s="193"/>
      <c r="E61" s="193"/>
    </row>
    <row r="62">
      <c r="B62" s="192"/>
      <c r="C62" s="193"/>
      <c r="D62" s="193"/>
      <c r="E62" s="193"/>
    </row>
    <row r="63">
      <c r="B63" s="192"/>
      <c r="C63" s="193"/>
      <c r="D63" s="193"/>
      <c r="E63" s="193"/>
    </row>
    <row r="64">
      <c r="B64" s="192"/>
      <c r="C64" s="193"/>
      <c r="D64" s="193"/>
      <c r="E64" s="193"/>
    </row>
    <row r="65">
      <c r="B65" s="192"/>
      <c r="C65" s="193"/>
      <c r="D65" s="193"/>
      <c r="E65" s="193"/>
    </row>
    <row r="66">
      <c r="B66" s="192"/>
      <c r="C66" s="193"/>
      <c r="D66" s="193"/>
      <c r="E66" s="193"/>
    </row>
    <row r="67">
      <c r="B67" s="192"/>
      <c r="C67" s="193"/>
      <c r="D67" s="193"/>
      <c r="E67" s="193"/>
    </row>
    <row r="68">
      <c r="B68" s="192"/>
      <c r="C68" s="193"/>
      <c r="D68" s="193"/>
      <c r="E68" s="193"/>
    </row>
    <row r="69">
      <c r="B69" s="192"/>
      <c r="C69" s="193"/>
      <c r="D69" s="193"/>
      <c r="E69" s="193"/>
    </row>
    <row r="70">
      <c r="B70" s="192"/>
      <c r="C70" s="193"/>
      <c r="D70" s="193"/>
      <c r="E70" s="193"/>
    </row>
    <row r="71">
      <c r="B71" s="192"/>
      <c r="C71" s="193"/>
      <c r="D71" s="193"/>
      <c r="E71" s="193"/>
    </row>
    <row r="72">
      <c r="B72" s="170" t="inlineStr">
        <is>
          <t xml:space="preserve">Tipos: Sprint creado · Subtarea agregada · Estado cambiado · Bloqueo · Resolución de bloqueo · Subtarea completada · Sprint cerrado.</t>
        </is>
      </c>
    </row>
  </sheetData>
  <autoFilter ref="B14:H54"/>
  <mergeCells count="9">
    <mergeCell ref="B1:H1"/>
    <mergeCell ref="B2:H2"/>
    <mergeCell ref="B3:E3"/>
    <mergeCell ref="B7:E7"/>
    <mergeCell ref="I3:J3"/>
    <mergeCell ref="L3:L3"/>
    <mergeCell ref="B13:H13"/>
    <mergeCell ref="B56:E56"/>
    <mergeCell ref="B72:E72"/>
  </mergeCells>
  <conditionalFormatting sqref="F15:F54">
    <cfRule type="expression" dxfId="26" priority="10">
      <formula>$F15="Completada"</formula>
    </cfRule>
    <cfRule type="expression" dxfId="23" priority="11">
      <formula>$F15="Vencida"</formula>
    </cfRule>
    <cfRule type="expression" dxfId="24" priority="12">
      <formula>$F15="Baja prioridad"</formula>
    </cfRule>
    <cfRule type="expression" dxfId="30" priority="13">
      <formula>$F15="Cancelado"</formula>
    </cfRule>
  </conditionalFormatting>
  <conditionalFormatting sqref="H15:H54">
    <cfRule type="expression" dxfId="24" priority="14">
      <formula>$H15&lt;&gt;""</formula>
    </cfRule>
  </conditionalFormatting>
  <conditionalFormatting sqref="G15:G54">
    <cfRule type="dataBar" priority="15">
      <dataBar>
        <cfvo type="num" val="0"/>
        <cfvo type="num" val="1"/>
        <color rgb="FF63C384"/>
      </dataBar>
    </cfRule>
  </conditionalFormatting>
  <conditionalFormatting sqref="B15:H54">
    <cfRule type="expression" dxfId="31" priority="16">
      <formula>AND($N15&lt;&gt;"",$B15&lt;&gt;$B14)</formula>
    </cfRule>
  </conditionalFormatting>
  <conditionalFormatting sqref="B15:H54">
    <cfRule type="expression" dxfId="21" priority="40">
      <formula>$N15&lt;&gt;""</formula>
    </cfRule>
  </conditionalFormatting>
  <dataValidations count="2">
    <dataValidation type="list" allowBlank="1" showInputMessage="1" showErrorMessage="1" sqref="J5:J12">
      <formula1>"Semanal,Quincenal,Mensual"</formula1>
    </dataValidation>
    <dataValidation type="list" allowBlank="1" showInputMessage="1" showErrorMessage="1" sqref="C58:C71">
      <formula1>"Sprint creado,Subtarea agregada,Estado cambiado,Bloqueo,Resolución de bloqueo,Subtarea completada,Sprint cerrado"</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O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0" customWidth="1"/>
    <col min="6" max="6" width="11" customWidth="1"/>
    <col min="7" max="7" width="14" customWidth="1"/>
    <col min="8" max="8" width="18" customWidth="1"/>
    <col min="9" max="9" width="14" customWidth="1"/>
    <col min="10" max="10" width="20" customWidth="1"/>
    <col min="11" max="11" width="30" customWidth="1"/>
    <col min="12" max="12" width="7" customWidth="1"/>
    <col min="13" max="13" width="9" customWidth="1"/>
    <col min="14" max="14" width="9" customWidth="1"/>
    <col min="15" max="15" width="13" customWidth="1"/>
  </cols>
  <sheetData>
    <row r="1" ht="26" customHeight="1">
      <c r="B1" s="169" t="inlineStr">
        <is>
          <t xml:space="preserve">BACKLOG GENERAL — gestión operativa del trabajo</t>
        </is>
      </c>
      <c r="C1" s="169"/>
      <c r="D1" s="169"/>
      <c r="E1" s="169"/>
      <c r="F1" s="169"/>
      <c r="G1" s="169"/>
      <c r="H1" s="169"/>
      <c r="I1" s="169"/>
      <c r="J1" s="169"/>
      <c r="K1" s="169"/>
      <c r="L1" s="169"/>
      <c r="M1" s="169"/>
      <c r="N1" s="169"/>
      <c r="O1" s="169"/>
    </row>
    <row r="2" ht="46" customHeight="1">
      <c r="B2" s="170" t="inlineStr">
        <is>
          <t xml:space="preserve">Trabajo del día a día. "% Avance" CALCULADO desde el Estado (Pendiente 0 · Iniciada 25 · En progreso 50 · Casi lista 75 · Completada 100): no se edita a mano. Para MOVER una tarea de sprint: escribí el nº de sprint destino en "Mover a sprint" (col. M) y la fecha en "Últ. actualización" (col. O); el Historial registra solo el cierre del sprint anterior y la continuidad en el nuevo. "Acción"/"Motivo" explican por qué. SPRINT ACTUAL y Mora (días hábiles) se calculan solos.</t>
        </is>
      </c>
      <c r="C2" s="170"/>
      <c r="D2" s="170"/>
      <c r="E2" s="170"/>
      <c r="F2" s="170"/>
      <c r="G2" s="170"/>
      <c r="H2" s="170"/>
      <c r="I2" s="170"/>
      <c r="J2" s="170"/>
      <c r="K2" s="170"/>
      <c r="L2" s="170"/>
      <c r="M2" s="170"/>
      <c r="N2" s="170"/>
      <c r="O2" s="170"/>
    </row>
    <row r="6">
      <c r="B6" s="173" t="inlineStr">
        <is>
          <t xml:space="preserve">ID</t>
        </is>
      </c>
      <c r="C6" s="173" t="inlineStr">
        <is>
          <t xml:space="preserve">Subtarea / Proyecto</t>
        </is>
      </c>
      <c r="D6" s="173" t="inlineStr">
        <is>
          <t xml:space="preserve">Frecuencia</t>
        </is>
      </c>
      <c r="E6" s="173" t="inlineStr">
        <is>
          <t xml:space="preserve">% Avance</t>
        </is>
      </c>
      <c r="F6" s="173" t="inlineStr">
        <is>
          <t xml:space="preserve">Sprint inic.</t>
        </is>
      </c>
      <c r="G6" s="173" t="inlineStr">
        <is>
          <t xml:space="preserve">Estado</t>
        </is>
      </c>
      <c r="H6" s="173" t="inlineStr">
        <is>
          <t xml:space="preserve">Acción si no se hizo</t>
        </is>
      </c>
      <c r="I6" s="173" t="inlineStr">
        <is>
          <t xml:space="preserve">SPRINT ACTUAL</t>
        </is>
      </c>
      <c r="J6" s="173" t="inlineStr">
        <is>
          <t xml:space="preserve">Motivo (por qué)</t>
        </is>
      </c>
      <c r="K6" s="173" t="inlineStr">
        <is>
          <t xml:space="preserve">Bitácora / Actividad</t>
        </is>
      </c>
      <c r="L6" s="173" t="inlineStr">
        <is>
          <t xml:space="preserve">Mora (h)</t>
        </is>
      </c>
      <c r="M6" s="173" t="inlineStr">
        <is>
          <t xml:space="preserve">Mover a sprint</t>
        </is>
      </c>
      <c r="N6" s="173" t="inlineStr">
        <is>
          <t xml:space="preserve">Nuevo</t>
        </is>
      </c>
      <c r="O6" s="173" t="inlineStr">
        <is>
          <t xml:space="preserve">Últ. actualización</t>
        </is>
      </c>
    </row>
    <row r="7">
      <c r="B7" s="204">
        <f>IF('_Datos'!$C7,'_Datos'!$O7,"")</f>
      </c>
      <c r="C7" s="205" t="str">
        <f>IF('_Datos'!$C7,'_Datos'!$F7,IF('_Datos'!$B7,'Proyecto Datos (OKR´s)'!$G7,""))</f>
        <v>1- GOC: Módulo de Datos para Procesos de Certificación (Inteligencia Comercial)</v>
      </c>
      <c r="D7" s="204">
        <f>IF('_Datos'!$C7,'_Datos'!$AO7,"")</f>
      </c>
      <c r="E7" s="208">
        <f>IF('_Datos'!$C7,'_Datos'!$BI7,IF('_Datos'!$B7,IFERROR(AVERAGEIF('_Datos'!$D$7:$D$200,'Proyecto Datos (OKR´s)'!$G7,'_Datos'!$BI$7:$BI$200),""),""))</f>
        <v>0</v>
      </c>
      <c r="F7" s="204">
        <f>IF('_Datos'!$C7,IF(ISNUMBER('_Datos'!$AR7),'_Datos'!$AR7,"(Sin fecha)"),"")</f>
      </c>
      <c r="G7" s="204"/>
      <c r="H7" s="205"/>
      <c r="I7" s="204">
        <f>IF('_Datos'!$C7,IF(ISNUMBER('_Datos'!$AV7),'_Datos'!$AZ7,"(Sin fecha)"),"")</f>
      </c>
      <c r="J7" s="204"/>
      <c r="K7" s="205"/>
      <c r="L7" s="209">
        <f>IF('_Datos'!$C7,'_Datos'!$AX7,"")</f>
      </c>
      <c r="M7" s="191"/>
      <c r="N7" s="204">
        <f>IF('_Datos'!$C7,'_Datos'!$BA7,"")</f>
      </c>
      <c r="O7" s="192"/>
    </row>
    <row r="8">
      <c r="B8" s="204" t="str">
        <f>IF('_Datos'!$C8,'_Datos'!$O8,"")</f>
        <v>T008</v>
      </c>
      <c r="C8" s="205" t="str">
        <f>IF('_Datos'!$C8,'_Datos'!$F8,IF('_Datos'!$B8,'Proyecto Datos (OKR´s)'!$G8,""))</f>
        <v>Disponibilidad de información centralizada en GOC (aguarda desarrollo)</v>
      </c>
      <c r="D8" s="204" t="str">
        <f>IF('_Datos'!$C8,'_Datos'!$AO8,"")</f>
        <v>Mensual</v>
      </c>
      <c r="E8" s="208">
        <f>IF('_Datos'!$C8,'_Datos'!$BI8,IF('_Datos'!$B8,IFERROR(AVERAGEIF('_Datos'!$D$7:$D$200,'Proyecto Datos (OKR´s)'!$G8,'_Datos'!$BI$7:$BI$200),""),""))</f>
        <v>0</v>
      </c>
      <c r="F8" s="204">
        <f>IF('_Datos'!$C8,IF(ISNUMBER('_Datos'!$AR8),'_Datos'!$AR8,"(Sin fecha)"),"")</f>
        <v>1</v>
      </c>
      <c r="G8" s="204" t="inlineStr">
        <is>
          <t xml:space="preserve">Pendiente</t>
        </is>
      </c>
      <c r="H8" s="205"/>
      <c r="I8" s="204" t="str">
        <f>IF('_Datos'!$C8,IF(ISNUMBER('_Datos'!$AV8),'_Datos'!$AZ8,"(Sin fecha)"),"")</f>
        <v>Mensual · S1</v>
      </c>
      <c r="J8" s="204"/>
      <c r="K8" s="205"/>
      <c r="L8" s="209">
        <f>IF('_Datos'!$C8,'_Datos'!$AX8,"")</f>
        <v>0</v>
      </c>
      <c r="M8" s="191"/>
      <c r="N8" s="204" t="str">
        <f>IF('_Datos'!$C8,'_Datos'!$BA8,"")</f>
        <v>Nuevo</v>
      </c>
      <c r="O8" s="192"/>
    </row>
    <row r="9">
      <c r="B9" s="204">
        <f>IF('_Datos'!$C9,'_Datos'!$O9,"")</f>
      </c>
      <c r="C9" s="205" t="str">
        <f>IF('_Datos'!$C9,'_Datos'!$F9,IF('_Datos'!$B9,'Proyecto Datos (OKR´s)'!$G9,""))</f>
        <v>2- Cotizador de Operaciones Complejas</v>
      </c>
      <c r="D9" s="204">
        <f>IF('_Datos'!$C9,'_Datos'!$AO9,"")</f>
      </c>
      <c r="E9" s="208">
        <f>IF('_Datos'!$C9,'_Datos'!$BI9,IF('_Datos'!$B9,IFERROR(AVERAGEIF('_Datos'!$D$7:$D$200,'Proyecto Datos (OKR´s)'!$G9,'_Datos'!$BI$7:$BI$200),""),""))</f>
        <v>0.4375</v>
      </c>
      <c r="F9" s="204">
        <f>IF('_Datos'!$C9,IF(ISNUMBER('_Datos'!$AR9),'_Datos'!$AR9,"(Sin fecha)"),"")</f>
      </c>
      <c r="G9" s="204"/>
      <c r="H9" s="205"/>
      <c r="I9" s="204">
        <f>IF('_Datos'!$C9,IF(ISNUMBER('_Datos'!$AV9),'_Datos'!$AZ9,"(Sin fecha)"),"")</f>
      </c>
      <c r="J9" s="204"/>
      <c r="K9" s="205"/>
      <c r="L9" s="209">
        <f>IF('_Datos'!$C9,'_Datos'!$AX9,"")</f>
      </c>
      <c r="M9" s="191"/>
      <c r="N9" s="204">
        <f>IF('_Datos'!$C9,'_Datos'!$BA9,"")</f>
      </c>
      <c r="O9" s="192"/>
    </row>
    <row r="10">
      <c r="B10" s="204" t="str">
        <f>IF('_Datos'!$C10,'_Datos'!$O10,"")</f>
        <v>T010</v>
      </c>
      <c r="C10" s="205" t="str">
        <f>IF('_Datos'!$C10,'_Datos'!$F10,IF('_Datos'!$B10,'Proyecto Datos (OKR´s)'!$G10,""))</f>
        <v>Crear estructura de Cotizador en base a modelo armado (migra a CLAUDE)</v>
      </c>
      <c r="D10" s="204" t="str">
        <f>IF('_Datos'!$C10,'_Datos'!$AO10,"")</f>
        <v>Quincenal</v>
      </c>
      <c r="E10" s="208">
        <f>IF('_Datos'!$C10,'_Datos'!$BI10,IF('_Datos'!$B10,IFERROR(AVERAGEIF('_Datos'!$D$7:$D$200,'Proyecto Datos (OKR´s)'!$G10,'_Datos'!$BI$7:$BI$200),""),""))</f>
        <v>1</v>
      </c>
      <c r="F10" s="204">
        <f>IF('_Datos'!$C10,IF(ISNUMBER('_Datos'!$AR10),'_Datos'!$AR10,"(Sin fecha)"),"")</f>
        <v>1</v>
      </c>
      <c r="G10" s="204" t="inlineStr">
        <is>
          <t xml:space="preserve">Completada</t>
        </is>
      </c>
      <c r="H10" s="205"/>
      <c r="I10" s="204" t="str">
        <f>IF('_Datos'!$C10,IF(ISNUMBER('_Datos'!$AV10),'_Datos'!$AZ10,"(Sin fecha)"),"")</f>
        <v>Quincenal · S1</v>
      </c>
      <c r="J10" s="204"/>
      <c r="K10" s="205"/>
      <c r="L10" s="209">
        <f>IF('_Datos'!$C10,'_Datos'!$AX10,"")</f>
        <v>0</v>
      </c>
      <c r="M10" s="191"/>
      <c r="N10" s="204" t="str">
        <f>IF('_Datos'!$C10,'_Datos'!$BA10,"")</f>
        <v>Nuevo</v>
      </c>
      <c r="O10" s="192"/>
    </row>
    <row r="11">
      <c r="B11" s="204" t="str">
        <f>IF('_Datos'!$C11,'_Datos'!$O11,"")</f>
        <v>T011</v>
      </c>
      <c r="C11" s="205" t="str">
        <f>IF('_Datos'!$C11,'_Datos'!$F11,IF('_Datos'!$B11,'Proyecto Datos (OKR´s)'!$G11,""))</f>
        <v>Automatización Archivo Sueldos FATSA + Procedimientos</v>
      </c>
      <c r="D11" s="204" t="str">
        <f>IF('_Datos'!$C11,'_Datos'!$AO11,"")</f>
        <v>Quincenal</v>
      </c>
      <c r="E11" s="208">
        <f>IF('_Datos'!$C11,'_Datos'!$BI11,IF('_Datos'!$B11,IFERROR(AVERAGEIF('_Datos'!$D$7:$D$200,'Proyecto Datos (OKR´s)'!$G11,'_Datos'!$BI$7:$BI$200),""),""))</f>
        <v>0.75</v>
      </c>
      <c r="F11" s="204">
        <f>IF('_Datos'!$C11,IF(ISNUMBER('_Datos'!$AR11),'_Datos'!$AR11,"(Sin fecha)"),"")</f>
        <v>1</v>
      </c>
      <c r="G11" s="204" t="inlineStr">
        <is>
          <t xml:space="preserve">Casi lista</t>
        </is>
      </c>
      <c r="H11" s="205"/>
      <c r="I11" s="204" t="str">
        <f>IF('_Datos'!$C11,IF(ISNUMBER('_Datos'!$AV11),'_Datos'!$AZ11,"(Sin fecha)"),"")</f>
        <v>Quincenal · S1</v>
      </c>
      <c r="J11" s="204"/>
      <c r="K11" s="205"/>
      <c r="L11" s="209">
        <f>IF('_Datos'!$C11,'_Datos'!$AX11,"")</f>
        <v>0</v>
      </c>
      <c r="M11" s="191"/>
      <c r="N11" s="204" t="str">
        <f>IF('_Datos'!$C11,'_Datos'!$BA11,"")</f>
        <v>Nuevo</v>
      </c>
      <c r="O11" s="192"/>
    </row>
    <row r="12">
      <c r="B12" s="204" t="str">
        <f>IF('_Datos'!$C12,'_Datos'!$O12,"")</f>
        <v>T012</v>
      </c>
      <c r="C12" s="205" t="str">
        <f>IF('_Datos'!$C12,'_Datos'!$F12,IF('_Datos'!$B12,'Proyecto Datos (OKR´s)'!$G12,""))</f>
        <v>Automatización Archivo Sueldos Petro + Procedimientos</v>
      </c>
      <c r="D12" s="204" t="str">
        <f>IF('_Datos'!$C12,'_Datos'!$AO12,"")</f>
        <v>Quincenal</v>
      </c>
      <c r="E12" s="208">
        <f>IF('_Datos'!$C12,'_Datos'!$BI12,IF('_Datos'!$B12,IFERROR(AVERAGEIF('_Datos'!$D$7:$D$200,'Proyecto Datos (OKR´s)'!$G12,'_Datos'!$BI$7:$BI$200),""),""))</f>
        <v>0.75</v>
      </c>
      <c r="F12" s="204">
        <f>IF('_Datos'!$C12,IF(ISNUMBER('_Datos'!$AR12),'_Datos'!$AR12,"(Sin fecha)"),"")</f>
        <v>1</v>
      </c>
      <c r="G12" s="204" t="inlineStr">
        <is>
          <t xml:space="preserve">Casi lista</t>
        </is>
      </c>
      <c r="H12" s="205"/>
      <c r="I12" s="204" t="str">
        <f>IF('_Datos'!$C12,IF(ISNUMBER('_Datos'!$AV12),'_Datos'!$AZ12,"(Sin fecha)"),"")</f>
        <v>Quincenal · S1</v>
      </c>
      <c r="J12" s="204"/>
      <c r="K12" s="205"/>
      <c r="L12" s="209">
        <f>IF('_Datos'!$C12,'_Datos'!$AX12,"")</f>
        <v>0</v>
      </c>
      <c r="M12" s="191"/>
      <c r="N12" s="204" t="str">
        <f>IF('_Datos'!$C12,'_Datos'!$BA12,"")</f>
        <v>Nuevo</v>
      </c>
      <c r="O12" s="192"/>
    </row>
    <row r="13">
      <c r="B13" s="204" t="str">
        <f>IF('_Datos'!$C13,'_Datos'!$O13,"")</f>
        <v>T013</v>
      </c>
      <c r="C13" s="205" t="str">
        <f>IF('_Datos'!$C13,'_Datos'!$F13,IF('_Datos'!$B13,'Proyecto Datos (OKR´s)'!$G13,""))</f>
        <v>Relevamiento Últimos Sueldos de referencia Monotributistas</v>
      </c>
      <c r="D13" s="204" t="str">
        <f>IF('_Datos'!$C13,'_Datos'!$AO13,"")</f>
        <v>Quincenal</v>
      </c>
      <c r="E13" s="208">
        <f>IF('_Datos'!$C13,'_Datos'!$BI13,IF('_Datos'!$B13,IFERROR(AVERAGEIF('_Datos'!$D$7:$D$200,'Proyecto Datos (OKR´s)'!$G13,'_Datos'!$BI$7:$BI$200),""),""))</f>
        <v>0.5</v>
      </c>
      <c r="F13" s="204">
        <f>IF('_Datos'!$C13,IF(ISNUMBER('_Datos'!$AR13),'_Datos'!$AR13,"(Sin fecha)"),"")</f>
        <v>1</v>
      </c>
      <c r="G13" s="204" t="inlineStr">
        <is>
          <t xml:space="preserve">En progreso</t>
        </is>
      </c>
      <c r="H13" s="205"/>
      <c r="I13" s="204" t="str">
        <f>IF('_Datos'!$C13,IF(ISNUMBER('_Datos'!$AV13),'_Datos'!$AZ13,"(Sin fecha)"),"")</f>
        <v>Quincenal · S1</v>
      </c>
      <c r="J13" s="204"/>
      <c r="K13" s="205"/>
      <c r="L13" s="209">
        <f>IF('_Datos'!$C13,'_Datos'!$AX13,"")</f>
        <v>0</v>
      </c>
      <c r="M13" s="191"/>
      <c r="N13" s="204" t="str">
        <f>IF('_Datos'!$C13,'_Datos'!$BA13,"")</f>
        <v>Nuevo</v>
      </c>
      <c r="O13" s="192"/>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8">
        <f>IF('_Datos'!$C14,'_Datos'!$BI14,IF('_Datos'!$B14,IFERROR(AVERAGEIF('_Datos'!$D$7:$D$200,'Proyecto Datos (OKR´s)'!$G14,'_Datos'!$BI$7:$BI$200),""),""))</f>
        <v>0</v>
      </c>
      <c r="F14" s="204" t="str">
        <f>IF('_Datos'!$C14,IF(ISNUMBER('_Datos'!$AR14),'_Datos'!$AR14,"(Sin fecha)"),"")</f>
        <v>(Sin fecha)</v>
      </c>
      <c r="G14" s="204" t="inlineStr">
        <is>
          <t xml:space="preserve">Pendiente</t>
        </is>
      </c>
      <c r="H14" s="205"/>
      <c r="I14" s="204" t="str">
        <f>IF('_Datos'!$C14,IF(ISNUMBER('_Datos'!$AV14),'_Datos'!$AZ14,"(Sin fecha)"),"")</f>
        <v>(Sin fecha)</v>
      </c>
      <c r="J14" s="204"/>
      <c r="K14" s="205"/>
      <c r="L14" s="209">
        <f>IF('_Datos'!$C14,'_Datos'!$AX14,"")</f>
        <v>0</v>
      </c>
      <c r="M14" s="191"/>
      <c r="N14" s="204">
        <f>IF('_Datos'!$C14,'_Datos'!$BA14,"")</f>
      </c>
      <c r="O14" s="192"/>
    </row>
    <row r="15">
      <c r="B15" s="204" t="str">
        <f>IF('_Datos'!$C15,'_Datos'!$O15,"")</f>
        <v>T015</v>
      </c>
      <c r="C15" s="205" t="str">
        <f>IF('_Datos'!$C15,'_Datos'!$F15,IF('_Datos'!$B15,'Proyecto Datos (OKR´s)'!$G15,""))</f>
        <v>Asociar Archivo Móviles y Tráilers (Nico Sifuentes) + procedimiento</v>
      </c>
      <c r="D15" s="204" t="str">
        <f>IF('_Datos'!$C15,'_Datos'!$AO15,"")</f>
        <v>Quincenal</v>
      </c>
      <c r="E15" s="208">
        <f>IF('_Datos'!$C15,'_Datos'!$BI15,IF('_Datos'!$B15,IFERROR(AVERAGEIF('_Datos'!$D$7:$D$200,'Proyecto Datos (OKR´s)'!$G15,'_Datos'!$BI$7:$BI$200),""),""))</f>
        <v>0.75</v>
      </c>
      <c r="F15" s="204">
        <f>IF('_Datos'!$C15,IF(ISNUMBER('_Datos'!$AR15),'_Datos'!$AR15,"(Sin fecha)"),"")</f>
        <v>1</v>
      </c>
      <c r="G15" s="204" t="inlineStr">
        <is>
          <t xml:space="preserve">Casi lista</t>
        </is>
      </c>
      <c r="H15" s="205"/>
      <c r="I15" s="204" t="str">
        <f>IF('_Datos'!$C15,IF(ISNUMBER('_Datos'!$AV15),'_Datos'!$AZ15,"(Sin fecha)"),"")</f>
        <v>Quincenal · S1</v>
      </c>
      <c r="J15" s="204"/>
      <c r="K15" s="205"/>
      <c r="L15" s="209">
        <f>IF('_Datos'!$C15,'_Datos'!$AX15,"")</f>
        <v>0</v>
      </c>
      <c r="M15" s="191"/>
      <c r="N15" s="204" t="str">
        <f>IF('_Datos'!$C15,'_Datos'!$BA15,"")</f>
        <v>Nuevo</v>
      </c>
      <c r="O15" s="192"/>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8">
        <f>IF('_Datos'!$C16,'_Datos'!$BI16,IF('_Datos'!$B16,IFERROR(AVERAGEIF('_Datos'!$D$7:$D$200,'Proyecto Datos (OKR´s)'!$G16,'_Datos'!$BI$7:$BI$200),""),""))</f>
        <v>0.5</v>
      </c>
      <c r="F16" s="204">
        <f>IF('_Datos'!$C16,IF(ISNUMBER('_Datos'!$AR16),'_Datos'!$AR16,"(Sin fecha)"),"")</f>
        <v>1</v>
      </c>
      <c r="G16" s="204" t="inlineStr">
        <is>
          <t xml:space="preserve">En progreso</t>
        </is>
      </c>
      <c r="H16" s="205"/>
      <c r="I16" s="204" t="str">
        <f>IF('_Datos'!$C16,IF(ISNUMBER('_Datos'!$AV16),'_Datos'!$AZ16,"(Sin fecha)"),"")</f>
        <v>Quincenal · S1</v>
      </c>
      <c r="J16" s="204"/>
      <c r="K16" s="205"/>
      <c r="L16" s="209">
        <f>IF('_Datos'!$C16,'_Datos'!$AX16,"")</f>
        <v>0</v>
      </c>
      <c r="M16" s="191"/>
      <c r="N16" s="204" t="str">
        <f>IF('_Datos'!$C16,'_Datos'!$BA16,"")</f>
        <v>Nuevo</v>
      </c>
      <c r="O16" s="192"/>
    </row>
    <row r="17">
      <c r="B17" s="204" t="str">
        <f>IF('_Datos'!$C17,'_Datos'!$O17,"")</f>
        <v>T017</v>
      </c>
      <c r="C17" s="205" t="str">
        <f>IF('_Datos'!$C17,'_Datos'!$F17,IF('_Datos'!$B17,'Proyecto Datos (OKR´s)'!$G17,""))</f>
        <v>Asociar Gastos de Estructura (% de incidencia)</v>
      </c>
      <c r="D17" s="204" t="str">
        <f>IF('_Datos'!$C17,'_Datos'!$AO17,"")</f>
        <v>Quincenal</v>
      </c>
      <c r="E17" s="208">
        <f>IF('_Datos'!$C17,'_Datos'!$BI17,IF('_Datos'!$B17,IFERROR(AVERAGEIF('_Datos'!$D$7:$D$200,'Proyecto Datos (OKR´s)'!$G17,'_Datos'!$BI$7:$BI$200),""),""))</f>
        <v>0</v>
      </c>
      <c r="F17" s="204" t="str">
        <f>IF('_Datos'!$C17,IF(ISNUMBER('_Datos'!$AR17),'_Datos'!$AR17,"(Sin fecha)"),"")</f>
        <v>(Sin fecha)</v>
      </c>
      <c r="G17" s="204" t="inlineStr">
        <is>
          <t xml:space="preserve">Pendiente</t>
        </is>
      </c>
      <c r="H17" s="205"/>
      <c r="I17" s="204" t="str">
        <f>IF('_Datos'!$C17,IF(ISNUMBER('_Datos'!$AV17),'_Datos'!$AZ17,"(Sin fecha)"),"")</f>
        <v>(Sin fecha)</v>
      </c>
      <c r="J17" s="204"/>
      <c r="K17" s="205"/>
      <c r="L17" s="209">
        <f>IF('_Datos'!$C17,'_Datos'!$AX17,"")</f>
        <v>0</v>
      </c>
      <c r="M17" s="191"/>
      <c r="N17" s="204">
        <f>IF('_Datos'!$C17,'_Datos'!$BA17,"")</f>
      </c>
      <c r="O17" s="192"/>
    </row>
    <row r="18">
      <c r="B18" s="204" t="str">
        <f>IF('_Datos'!$C18,'_Datos'!$O18,"")</f>
        <v>T018</v>
      </c>
      <c r="C18" s="205" t="str">
        <f>IF('_Datos'!$C18,'_Datos'!$F18,IF('_Datos'!$B18,'Proyecto Datos (OKR´s)'!$G18,""))</f>
        <v>Armado de solicitudes extra x Módulos (Ej: Med. Laboral)</v>
      </c>
      <c r="D18" s="204" t="str">
        <f>IF('_Datos'!$C18,'_Datos'!$AO18,"")</f>
        <v>Quincenal</v>
      </c>
      <c r="E18" s="208">
        <f>IF('_Datos'!$C18,'_Datos'!$BI18,IF('_Datos'!$B18,IFERROR(AVERAGEIF('_Datos'!$D$7:$D$200,'Proyecto Datos (OKR´s)'!$G18,'_Datos'!$BI$7:$BI$200),""),""))</f>
        <v>0</v>
      </c>
      <c r="F18" s="204" t="str">
        <f>IF('_Datos'!$C18,IF(ISNUMBER('_Datos'!$AR18),'_Datos'!$AR18,"(Sin fecha)"),"")</f>
        <v>(Sin fecha)</v>
      </c>
      <c r="G18" s="204" t="inlineStr">
        <is>
          <t xml:space="preserve">Pendiente</t>
        </is>
      </c>
      <c r="H18" s="205"/>
      <c r="I18" s="204" t="str">
        <f>IF('_Datos'!$C18,IF(ISNUMBER('_Datos'!$AV18),'_Datos'!$AZ18,"(Sin fecha)"),"")</f>
        <v>(Sin fecha)</v>
      </c>
      <c r="J18" s="204"/>
      <c r="K18" s="205"/>
      <c r="L18" s="209">
        <f>IF('_Datos'!$C18,'_Datos'!$AX18,"")</f>
        <v>0</v>
      </c>
      <c r="M18" s="191"/>
      <c r="N18" s="204">
        <f>IF('_Datos'!$C18,'_Datos'!$BA18,"")</f>
      </c>
      <c r="O18" s="192"/>
    </row>
    <row r="19">
      <c r="B19" s="204" t="str">
        <f>IF('_Datos'!$C19,'_Datos'!$O19,"")</f>
        <v>T019</v>
      </c>
      <c r="C19" s="205" t="str">
        <f>IF('_Datos'!$C19,'_Datos'!$F19,IF('_Datos'!$B19,'Proyecto Datos (OKR´s)'!$G19,""))</f>
        <v>Relevamiento área de IA -  Repositorio (GitHub o AWS S3) + Seguridad</v>
      </c>
      <c r="D19" s="204" t="str">
        <f>IF('_Datos'!$C19,'_Datos'!$AO19,"")</f>
        <v>Quincenal</v>
      </c>
      <c r="E19" s="208">
        <f>IF('_Datos'!$C19,'_Datos'!$BI19,IF('_Datos'!$B19,IFERROR(AVERAGEIF('_Datos'!$D$7:$D$200,'Proyecto Datos (OKR´s)'!$G19,'_Datos'!$BI$7:$BI$200),""),""))</f>
        <v>1</v>
      </c>
      <c r="F19" s="204">
        <f>IF('_Datos'!$C19,IF(ISNUMBER('_Datos'!$AR19),'_Datos'!$AR19,"(Sin fecha)"),"")</f>
        <v>1</v>
      </c>
      <c r="G19" s="204" t="inlineStr">
        <is>
          <t xml:space="preserve">Completada</t>
        </is>
      </c>
      <c r="H19" s="205"/>
      <c r="I19" s="204" t="str">
        <f>IF('_Datos'!$C19,IF(ISNUMBER('_Datos'!$AV19),'_Datos'!$AZ19,"(Sin fecha)"),"")</f>
        <v>Quincenal · S1</v>
      </c>
      <c r="J19" s="204"/>
      <c r="K19" s="205"/>
      <c r="L19" s="209">
        <f>IF('_Datos'!$C19,'_Datos'!$AX19,"")</f>
        <v>0</v>
      </c>
      <c r="M19" s="191"/>
      <c r="N19" s="204" t="str">
        <f>IF('_Datos'!$C19,'_Datos'!$BA19,"")</f>
        <v>Nuevo</v>
      </c>
      <c r="O19" s="192"/>
    </row>
    <row r="20">
      <c r="B20" s="204" t="str">
        <f>IF('_Datos'!$C20,'_Datos'!$O20,"")</f>
        <v>T020</v>
      </c>
      <c r="C20" s="205" t="str">
        <f>IF('_Datos'!$C20,'_Datos'!$F20,IF('_Datos'!$B20,'Proyecto Datos (OKR´s)'!$G20,""))</f>
        <v>Crear Backend ETL - ver con Claude Code</v>
      </c>
      <c r="D20" s="204" t="str">
        <f>IF('_Datos'!$C20,'_Datos'!$AO20,"")</f>
        <v>Quincenal</v>
      </c>
      <c r="E20" s="208">
        <f>IF('_Datos'!$C20,'_Datos'!$BI20,IF('_Datos'!$B20,IFERROR(AVERAGEIF('_Datos'!$D$7:$D$200,'Proyecto Datos (OKR´s)'!$G20,'_Datos'!$BI$7:$BI$200),""),""))</f>
        <v>0</v>
      </c>
      <c r="F20" s="204" t="str">
        <f>IF('_Datos'!$C20,IF(ISNUMBER('_Datos'!$AR20),'_Datos'!$AR20,"(Sin fecha)"),"")</f>
        <v>(Sin fecha)</v>
      </c>
      <c r="G20" s="204" t="inlineStr">
        <is>
          <t xml:space="preserve">Pendiente</t>
        </is>
      </c>
      <c r="H20" s="205"/>
      <c r="I20" s="204" t="str">
        <f>IF('_Datos'!$C20,IF(ISNUMBER('_Datos'!$AV20),'_Datos'!$AZ20,"(Sin fecha)"),"")</f>
        <v>(Sin fecha)</v>
      </c>
      <c r="J20" s="204"/>
      <c r="K20" s="205"/>
      <c r="L20" s="209">
        <f>IF('_Datos'!$C20,'_Datos'!$AX20,"")</f>
        <v>0</v>
      </c>
      <c r="M20" s="191"/>
      <c r="N20" s="204">
        <f>IF('_Datos'!$C20,'_Datos'!$BA20,"")</f>
      </c>
      <c r="O20" s="192"/>
    </row>
    <row r="21">
      <c r="B21" s="204" t="str">
        <f>IF('_Datos'!$C21,'_Datos'!$O21,"")</f>
        <v>T021</v>
      </c>
      <c r="C21" s="205" t="str">
        <f>IF('_Datos'!$C21,'_Datos'!$F21,IF('_Datos'!$B21,'Proyecto Datos (OKR´s)'!$G21,""))</f>
        <v>Deployar (URL Web)</v>
      </c>
      <c r="D21" s="204" t="str">
        <f>IF('_Datos'!$C21,'_Datos'!$AO21,"")</f>
        <v>Quincenal</v>
      </c>
      <c r="E21" s="208">
        <f>IF('_Datos'!$C21,'_Datos'!$BI21,IF('_Datos'!$B21,IFERROR(AVERAGEIF('_Datos'!$D$7:$D$200,'Proyecto Datos (OKR´s)'!$G21,'_Datos'!$BI$7:$BI$200),""),""))</f>
        <v>0</v>
      </c>
      <c r="F21" s="204" t="str">
        <f>IF('_Datos'!$C21,IF(ISNUMBER('_Datos'!$AR21),'_Datos'!$AR21,"(Sin fecha)"),"")</f>
        <v>(Sin fecha)</v>
      </c>
      <c r="G21" s="204" t="inlineStr">
        <is>
          <t xml:space="preserve">Pendiente</t>
        </is>
      </c>
      <c r="H21" s="205"/>
      <c r="I21" s="204" t="str">
        <f>IF('_Datos'!$C21,IF(ISNUMBER('_Datos'!$AV21),'_Datos'!$AZ21,"(Sin fecha)"),"")</f>
        <v>(Sin fecha)</v>
      </c>
      <c r="J21" s="204"/>
      <c r="K21" s="205"/>
      <c r="L21" s="209">
        <f>IF('_Datos'!$C21,'_Datos'!$AX21,"")</f>
        <v>0</v>
      </c>
      <c r="M21" s="191"/>
      <c r="N21" s="204">
        <f>IF('_Datos'!$C21,'_Datos'!$BA21,"")</f>
      </c>
      <c r="O21" s="192"/>
    </row>
    <row r="22">
      <c r="B22" s="204">
        <f>IF('_Datos'!$C22,'_Datos'!$O22,"")</f>
      </c>
      <c r="C22" s="205" t="str">
        <f>IF('_Datos'!$C22,'_Datos'!$F22,IF('_Datos'!$B22,'Proyecto Datos (OKR´s)'!$G22,""))</f>
        <v>3- Tablero BI OPEX - Real vs BO</v>
      </c>
      <c r="D22" s="204">
        <f>IF('_Datos'!$C22,'_Datos'!$AO22,"")</f>
      </c>
      <c r="E22" s="208">
        <f>IF('_Datos'!$C22,'_Datos'!$BI22,IF('_Datos'!$B22,IFERROR(AVERAGEIF('_Datos'!$D$7:$D$200,'Proyecto Datos (OKR´s)'!$G22,'_Datos'!$BI$7:$BI$200),""),""))</f>
        <v>0.75</v>
      </c>
      <c r="F22" s="204">
        <f>IF('_Datos'!$C22,IF(ISNUMBER('_Datos'!$AR22),'_Datos'!$AR22,"(Sin fecha)"),"")</f>
      </c>
      <c r="G22" s="204"/>
      <c r="H22" s="205"/>
      <c r="I22" s="204">
        <f>IF('_Datos'!$C22,IF(ISNUMBER('_Datos'!$AV22),'_Datos'!$AZ22,"(Sin fecha)"),"")</f>
      </c>
      <c r="J22" s="204"/>
      <c r="K22" s="205"/>
      <c r="L22" s="209">
        <f>IF('_Datos'!$C22,'_Datos'!$AX22,"")</f>
      </c>
      <c r="M22" s="191"/>
      <c r="N22" s="204">
        <f>IF('_Datos'!$C22,'_Datos'!$BA22,"")</f>
      </c>
      <c r="O22" s="192"/>
    </row>
    <row r="23">
      <c r="B23" s="204" t="str">
        <f>IF('_Datos'!$C23,'_Datos'!$O23,"")</f>
        <v>T023</v>
      </c>
      <c r="C23" s="205" t="str">
        <f>IF('_Datos'!$C23,'_Datos'!$F23,IF('_Datos'!$B23,'Proyecto Datos (OKR´s)'!$G23,""))</f>
        <v>Armado de Procedimiento</v>
      </c>
      <c r="D23" s="204" t="str">
        <f>IF('_Datos'!$C23,'_Datos'!$AO23,"")</f>
        <v>Semanal</v>
      </c>
      <c r="E23" s="208">
        <f>IF('_Datos'!$C23,'_Datos'!$BI23,IF('_Datos'!$B23,IFERROR(AVERAGEIF('_Datos'!$D$7:$D$200,'Proyecto Datos (OKR´s)'!$G23,'_Datos'!$BI$7:$BI$200),""),""))</f>
        <v>0.75</v>
      </c>
      <c r="F23" s="204">
        <f>IF('_Datos'!$C23,IF(ISNUMBER('_Datos'!$AR23),'_Datos'!$AR23,"(Sin fecha)"),"")</f>
        <v>1</v>
      </c>
      <c r="G23" s="204" t="inlineStr">
        <is>
          <t xml:space="preserve">Casi lista</t>
        </is>
      </c>
      <c r="H23" s="205"/>
      <c r="I23" s="204" t="str">
        <f>IF('_Datos'!$C23,IF(ISNUMBER('_Datos'!$AV23),'_Datos'!$AZ23,"(Sin fecha)"),"")</f>
        <v>Semanal · S1</v>
      </c>
      <c r="J23" s="204"/>
      <c r="K23" s="205"/>
      <c r="L23" s="209">
        <f>IF('_Datos'!$C23,'_Datos'!$AX23,"")</f>
        <v>5</v>
      </c>
      <c r="M23" s="191"/>
      <c r="N23" s="204">
        <f>IF('_Datos'!$C23,'_Datos'!$BA23,"")</f>
      </c>
      <c r="O23" s="192"/>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8">
        <f>IF('_Datos'!$C24,'_Datos'!$BI24,IF('_Datos'!$B24,IFERROR(AVERAGEIF('_Datos'!$D$7:$D$200,'Proyecto Datos (OKR´s)'!$G24,'_Datos'!$BI$7:$BI$200),""),""))</f>
        <v>0.75</v>
      </c>
      <c r="F24" s="204">
        <f>IF('_Datos'!$C24,IF(ISNUMBER('_Datos'!$AR24),'_Datos'!$AR24,"(Sin fecha)"),"")</f>
        <v>1</v>
      </c>
      <c r="G24" s="204" t="inlineStr">
        <is>
          <t xml:space="preserve">Casi lista</t>
        </is>
      </c>
      <c r="H24" s="205"/>
      <c r="I24" s="204" t="str">
        <f>IF('_Datos'!$C24,IF(ISNUMBER('_Datos'!$AV24),'_Datos'!$AZ24,"(Sin fecha)"),"")</f>
        <v>Semanal · S1</v>
      </c>
      <c r="J24" s="204"/>
      <c r="K24" s="205"/>
      <c r="L24" s="209">
        <f>IF('_Datos'!$C24,'_Datos'!$AX24,"")</f>
        <v>5</v>
      </c>
      <c r="M24" s="191"/>
      <c r="N24" s="204">
        <f>IF('_Datos'!$C24,'_Datos'!$BA24,"")</f>
      </c>
      <c r="O24" s="192"/>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8">
        <f>IF('_Datos'!$C25,'_Datos'!$BI25,IF('_Datos'!$B25,IFERROR(AVERAGEIF('_Datos'!$D$7:$D$200,'Proyecto Datos (OKR´s)'!$G25,'_Datos'!$BI$7:$BI$200),""),""))</f>
        <v>0.75</v>
      </c>
      <c r="F25" s="204">
        <f>IF('_Datos'!$C25,IF(ISNUMBER('_Datos'!$AR25),'_Datos'!$AR25,"(Sin fecha)"),"")</f>
        <v>1</v>
      </c>
      <c r="G25" s="204" t="inlineStr">
        <is>
          <t xml:space="preserve">Casi lista</t>
        </is>
      </c>
      <c r="H25" s="205"/>
      <c r="I25" s="204" t="str">
        <f>IF('_Datos'!$C25,IF(ISNUMBER('_Datos'!$AV25),'_Datos'!$AZ25,"(Sin fecha)"),"")</f>
        <v>Semanal · S1</v>
      </c>
      <c r="J25" s="204"/>
      <c r="K25" s="205"/>
      <c r="L25" s="209">
        <f>IF('_Datos'!$C25,'_Datos'!$AX25,"")</f>
        <v>5</v>
      </c>
      <c r="M25" s="191"/>
      <c r="N25" s="204">
        <f>IF('_Datos'!$C25,'_Datos'!$BA25,"")</f>
      </c>
      <c r="O25" s="192"/>
    </row>
    <row r="26">
      <c r="B26" s="204">
        <f>IF('_Datos'!$C26,'_Datos'!$O26,"")</f>
      </c>
      <c r="C26" s="205">
        <f>IF('_Datos'!$C26,'_Datos'!$F26,IF('_Datos'!$B26,'Proyecto Datos (OKR´s)'!$G26,""))</f>
      </c>
      <c r="D26" s="204">
        <f>IF('_Datos'!$C26,'_Datos'!$AO26,"")</f>
      </c>
      <c r="E26" s="208">
        <f>IF('_Datos'!$C26,'_Datos'!$BI26,IF('_Datos'!$B26,IFERROR(AVERAGEIF('_Datos'!$D$7:$D$200,'Proyecto Datos (OKR´s)'!$G26,'_Datos'!$BI$7:$BI$200),""),""))</f>
      </c>
      <c r="F26" s="204">
        <f>IF('_Datos'!$C26,IF(ISNUMBER('_Datos'!$AR26),'_Datos'!$AR26,"(Sin fecha)"),"")</f>
      </c>
      <c r="G26" s="204" t="inlineStr">
        <is>
          <t xml:space="preserve">Casi lista</t>
        </is>
      </c>
      <c r="H26" s="205"/>
      <c r="I26" s="204">
        <f>IF('_Datos'!$C26,IF(ISNUMBER('_Datos'!$AV26),'_Datos'!$AZ26,"(Sin fecha)"),"")</f>
      </c>
      <c r="J26" s="204"/>
      <c r="K26" s="205"/>
      <c r="L26" s="209">
        <f>IF('_Datos'!$C26,'_Datos'!$AX26,"")</f>
      </c>
      <c r="M26" s="191"/>
      <c r="N26" s="204">
        <f>IF('_Datos'!$C26,'_Datos'!$BA26,"")</f>
      </c>
      <c r="O26" s="192"/>
    </row>
    <row r="27">
      <c r="B27" s="204">
        <f>IF('_Datos'!$C27,'_Datos'!$O27,"")</f>
      </c>
      <c r="C27" s="205" t="str">
        <f>IF('_Datos'!$C27,'_Datos'!$F27,IF('_Datos'!$B27,'Proyecto Datos (OKR´s)'!$G27,""))</f>
        <v>4- Tablero BI DEUDA</v>
      </c>
      <c r="D27" s="204">
        <f>IF('_Datos'!$C27,'_Datos'!$AO27,"")</f>
      </c>
      <c r="E27" s="208">
        <f>IF('_Datos'!$C27,'_Datos'!$BI27,IF('_Datos'!$B27,IFERROR(AVERAGEIF('_Datos'!$D$7:$D$200,'Proyecto Datos (OKR´s)'!$G27,'_Datos'!$BI$7:$BI$200),""),""))</f>
        <v>0.625</v>
      </c>
      <c r="F27" s="204">
        <f>IF('_Datos'!$C27,IF(ISNUMBER('_Datos'!$AR27),'_Datos'!$AR27,"(Sin fecha)"),"")</f>
      </c>
      <c r="G27" s="204"/>
      <c r="H27" s="205"/>
      <c r="I27" s="204">
        <f>IF('_Datos'!$C27,IF(ISNUMBER('_Datos'!$AV27),'_Datos'!$AZ27,"(Sin fecha)"),"")</f>
      </c>
      <c r="J27" s="204"/>
      <c r="K27" s="205"/>
      <c r="L27" s="209">
        <f>IF('_Datos'!$C27,'_Datos'!$AX27,"")</f>
      </c>
      <c r="M27" s="191"/>
      <c r="N27" s="204">
        <f>IF('_Datos'!$C27,'_Datos'!$BA27,"")</f>
      </c>
      <c r="O27" s="192"/>
    </row>
    <row r="28">
      <c r="B28" s="204" t="str">
        <f>IF('_Datos'!$C28,'_Datos'!$O28,"")</f>
        <v>T028</v>
      </c>
      <c r="C28" s="205" t="str">
        <f>IF('_Datos'!$C28,'_Datos'!$F28,IF('_Datos'!$B28,'Proyecto Datos (OKR´s)'!$G28,""))</f>
        <v>Procedimiento</v>
      </c>
      <c r="D28" s="204" t="str">
        <f>IF('_Datos'!$C28,'_Datos'!$AO28,"")</f>
        <v>Semanal</v>
      </c>
      <c r="E28" s="208">
        <f>IF('_Datos'!$C28,'_Datos'!$BI28,IF('_Datos'!$B28,IFERROR(AVERAGEIF('_Datos'!$D$7:$D$200,'Proyecto Datos (OKR´s)'!$G28,'_Datos'!$BI$7:$BI$200),""),""))</f>
        <v>0.75</v>
      </c>
      <c r="F28" s="204">
        <f>IF('_Datos'!$C28,IF(ISNUMBER('_Datos'!$AR28),'_Datos'!$AR28,"(Sin fecha)"),"")</f>
        <v>1</v>
      </c>
      <c r="G28" s="204" t="inlineStr">
        <is>
          <t xml:space="preserve">Casi lista</t>
        </is>
      </c>
      <c r="H28" s="205"/>
      <c r="I28" s="204" t="str">
        <f>IF('_Datos'!$C28,IF(ISNUMBER('_Datos'!$AV28),'_Datos'!$AZ28,"(Sin fecha)"),"")</f>
        <v>Semanal · S1</v>
      </c>
      <c r="J28" s="204"/>
      <c r="K28" s="205"/>
      <c r="L28" s="209">
        <f>IF('_Datos'!$C28,'_Datos'!$AX28,"")</f>
        <v>5</v>
      </c>
      <c r="M28" s="191"/>
      <c r="N28" s="204">
        <f>IF('_Datos'!$C28,'_Datos'!$BA28,"")</f>
      </c>
      <c r="O28" s="192"/>
    </row>
    <row r="29">
      <c r="B29" s="204" t="str">
        <f>IF('_Datos'!$C29,'_Datos'!$O29,"")</f>
        <v>T029</v>
      </c>
      <c r="C29" s="205" t="str">
        <f>IF('_Datos'!$C29,'_Datos'!$F29,IF('_Datos'!$B29,'Proyecto Datos (OKR´s)'!$G29,""))</f>
        <v>Aging - desde SharePoint</v>
      </c>
      <c r="D29" s="204" t="str">
        <f>IF('_Datos'!$C29,'_Datos'!$AO29,"")</f>
        <v>Semanal</v>
      </c>
      <c r="E29" s="208">
        <f>IF('_Datos'!$C29,'_Datos'!$BI29,IF('_Datos'!$B29,IFERROR(AVERAGEIF('_Datos'!$D$7:$D$200,'Proyecto Datos (OKR´s)'!$G29,'_Datos'!$BI$7:$BI$200),""),""))</f>
        <v>0.75</v>
      </c>
      <c r="F29" s="204">
        <f>IF('_Datos'!$C29,IF(ISNUMBER('_Datos'!$AR29),'_Datos'!$AR29,"(Sin fecha)"),"")</f>
        <v>1</v>
      </c>
      <c r="G29" s="204" t="inlineStr">
        <is>
          <t xml:space="preserve">Casi lista</t>
        </is>
      </c>
      <c r="H29" s="205"/>
      <c r="I29" s="204" t="str">
        <f>IF('_Datos'!$C29,IF(ISNUMBER('_Datos'!$AV29),'_Datos'!$AZ29,"(Sin fecha)"),"")</f>
        <v>Semanal · S1</v>
      </c>
      <c r="J29" s="204"/>
      <c r="K29" s="205"/>
      <c r="L29" s="209">
        <f>IF('_Datos'!$C29,'_Datos'!$AX29,"")</f>
        <v>5</v>
      </c>
      <c r="M29" s="191"/>
      <c r="N29" s="204">
        <f>IF('_Datos'!$C29,'_Datos'!$BA29,"")</f>
      </c>
      <c r="O29" s="192"/>
    </row>
    <row r="30">
      <c r="B30" s="204" t="str">
        <f>IF('_Datos'!$C30,'_Datos'!$O30,"")</f>
        <v>T030</v>
      </c>
      <c r="C30" s="205" t="str">
        <f>IF('_Datos'!$C30,'_Datos'!$F30,IF('_Datos'!$B30,'Proyecto Datos (OKR´s)'!$G30,""))</f>
        <v>Dias en Calle - desde SharePoint</v>
      </c>
      <c r="D30" s="204" t="str">
        <f>IF('_Datos'!$C30,'_Datos'!$AO30,"")</f>
        <v>Semanal</v>
      </c>
      <c r="E30" s="208">
        <f>IF('_Datos'!$C30,'_Datos'!$BI30,IF('_Datos'!$B30,IFERROR(AVERAGEIF('_Datos'!$D$7:$D$200,'Proyecto Datos (OKR´s)'!$G30,'_Datos'!$BI$7:$BI$200),""),""))</f>
        <v>0.75</v>
      </c>
      <c r="F30" s="204">
        <f>IF('_Datos'!$C30,IF(ISNUMBER('_Datos'!$AR30),'_Datos'!$AR30,"(Sin fecha)"),"")</f>
        <v>1</v>
      </c>
      <c r="G30" s="204" t="inlineStr">
        <is>
          <t xml:space="preserve">Casi lista</t>
        </is>
      </c>
      <c r="H30" s="205"/>
      <c r="I30" s="204" t="str">
        <f>IF('_Datos'!$C30,IF(ISNUMBER('_Datos'!$AV30),'_Datos'!$AZ30,"(Sin fecha)"),"")</f>
        <v>Semanal · S1</v>
      </c>
      <c r="J30" s="204"/>
      <c r="K30" s="205"/>
      <c r="L30" s="209">
        <f>IF('_Datos'!$C30,'_Datos'!$AX30,"")</f>
        <v>5</v>
      </c>
      <c r="M30" s="191"/>
      <c r="N30" s="204">
        <f>IF('_Datos'!$C30,'_Datos'!$BA30,"")</f>
      </c>
      <c r="O30" s="192"/>
    </row>
    <row r="31">
      <c r="B31" s="204" t="str">
        <f>IF('_Datos'!$C31,'_Datos'!$O31,"")</f>
        <v>T031</v>
      </c>
      <c r="C31" s="205" t="str">
        <f>IF('_Datos'!$C31,'_Datos'!$F31,IF('_Datos'!$B31,'Proyecto Datos (OKR´s)'!$G31,""))</f>
        <v>Input de datos desde Provisión mensual</v>
      </c>
      <c r="D31" s="204" t="str">
        <f>IF('_Datos'!$C31,'_Datos'!$AO31,"")</f>
        <v>Semanal</v>
      </c>
      <c r="E31" s="208">
        <f>IF('_Datos'!$C31,'_Datos'!$BI31,IF('_Datos'!$B31,IFERROR(AVERAGEIF('_Datos'!$D$7:$D$200,'Proyecto Datos (OKR´s)'!$G31,'_Datos'!$BI$7:$BI$200),""),""))</f>
        <v>0.75</v>
      </c>
      <c r="F31" s="204">
        <f>IF('_Datos'!$C31,IF(ISNUMBER('_Datos'!$AR31),'_Datos'!$AR31,"(Sin fecha)"),"")</f>
        <v>1</v>
      </c>
      <c r="G31" s="204" t="inlineStr">
        <is>
          <t xml:space="preserve">Casi lista</t>
        </is>
      </c>
      <c r="H31" s="205"/>
      <c r="I31" s="204" t="str">
        <f>IF('_Datos'!$C31,IF(ISNUMBER('_Datos'!$AV31),'_Datos'!$AZ31,"(Sin fecha)"),"")</f>
        <v>Semanal · S1</v>
      </c>
      <c r="J31" s="204"/>
      <c r="K31" s="205"/>
      <c r="L31" s="209">
        <f>IF('_Datos'!$C31,'_Datos'!$AX31,"")</f>
        <v>5</v>
      </c>
      <c r="M31" s="191"/>
      <c r="N31" s="204">
        <f>IF('_Datos'!$C31,'_Datos'!$BA31,"")</f>
      </c>
      <c r="O31" s="192"/>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8">
        <f>IF('_Datos'!$C32,'_Datos'!$BI32,IF('_Datos'!$B32,IFERROR(AVERAGEIF('_Datos'!$D$7:$D$200,'Proyecto Datos (OKR´s)'!$G32,'_Datos'!$BI$7:$BI$200),""),""))</f>
        <v>0.5</v>
      </c>
      <c r="F32" s="204" t="str">
        <f>IF('_Datos'!$C32,IF(ISNUMBER('_Datos'!$AR32),'_Datos'!$AR32,"(Sin fecha)"),"")</f>
        <v>(Sin fecha)</v>
      </c>
      <c r="G32" s="204" t="inlineStr">
        <is>
          <t xml:space="preserve">En progreso</t>
        </is>
      </c>
      <c r="H32" s="205"/>
      <c r="I32" s="204" t="str">
        <f>IF('_Datos'!$C32,IF(ISNUMBER('_Datos'!$AV32),'_Datos'!$AZ32,"(Sin fecha)"),"")</f>
        <v>(Sin fecha)</v>
      </c>
      <c r="J32" s="204"/>
      <c r="K32" s="205"/>
      <c r="L32" s="209">
        <f>IF('_Datos'!$C32,'_Datos'!$AX32,"")</f>
        <v>0</v>
      </c>
      <c r="M32" s="191"/>
      <c r="N32" s="204">
        <f>IF('_Datos'!$C32,'_Datos'!$BA32,"")</f>
      </c>
      <c r="O32" s="192"/>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8">
        <f>IF('_Datos'!$C33,'_Datos'!$BI33,IF('_Datos'!$B33,IFERROR(AVERAGEIF('_Datos'!$D$7:$D$200,'Proyecto Datos (OKR´s)'!$G33,'_Datos'!$BI$7:$BI$200),""),""))</f>
        <v>0.5</v>
      </c>
      <c r="F33" s="204" t="str">
        <f>IF('_Datos'!$C33,IF(ISNUMBER('_Datos'!$AR33),'_Datos'!$AR33,"(Sin fecha)"),"")</f>
        <v>(Sin fecha)</v>
      </c>
      <c r="G33" s="204" t="inlineStr">
        <is>
          <t xml:space="preserve">En progreso</t>
        </is>
      </c>
      <c r="H33" s="205"/>
      <c r="I33" s="204" t="str">
        <f>IF('_Datos'!$C33,IF(ISNUMBER('_Datos'!$AV33),'_Datos'!$AZ33,"(Sin fecha)"),"")</f>
        <v>(Sin fecha)</v>
      </c>
      <c r="J33" s="204"/>
      <c r="K33" s="205"/>
      <c r="L33" s="209">
        <f>IF('_Datos'!$C33,'_Datos'!$AX33,"")</f>
        <v>0</v>
      </c>
      <c r="M33" s="191"/>
      <c r="N33" s="204">
        <f>IF('_Datos'!$C33,'_Datos'!$BA33,"")</f>
      </c>
      <c r="O33" s="192"/>
    </row>
    <row r="34">
      <c r="B34" s="204" t="str">
        <f>IF('_Datos'!$C34,'_Datos'!$O34,"")</f>
        <v>T034</v>
      </c>
      <c r="C34" s="205" t="str">
        <f>IF('_Datos'!$C34,'_Datos'!$F34,IF('_Datos'!$B34,'Proyecto Datos (OKR´s)'!$G34,""))</f>
        <v>Creación detalle deuda Vista - Replicar Excel Deuda</v>
      </c>
      <c r="D34" s="204" t="str">
        <f>IF('_Datos'!$C34,'_Datos'!$AO34,"")</f>
        <v>Semanal</v>
      </c>
      <c r="E34" s="208">
        <f>IF('_Datos'!$C34,'_Datos'!$BI34,IF('_Datos'!$B34,IFERROR(AVERAGEIF('_Datos'!$D$7:$D$200,'Proyecto Datos (OKR´s)'!$G34,'_Datos'!$BI$7:$BI$200),""),""))</f>
        <v>0.5</v>
      </c>
      <c r="F34" s="204" t="str">
        <f>IF('_Datos'!$C34,IF(ISNUMBER('_Datos'!$AR34),'_Datos'!$AR34,"(Sin fecha)"),"")</f>
        <v>(Sin fecha)</v>
      </c>
      <c r="G34" s="204" t="inlineStr">
        <is>
          <t xml:space="preserve">En progreso</t>
        </is>
      </c>
      <c r="H34" s="205"/>
      <c r="I34" s="204" t="str">
        <f>IF('_Datos'!$C34,IF(ISNUMBER('_Datos'!$AV34),'_Datos'!$AZ34,"(Sin fecha)"),"")</f>
        <v>(Sin fecha)</v>
      </c>
      <c r="J34" s="204"/>
      <c r="K34" s="205"/>
      <c r="L34" s="209">
        <f>IF('_Datos'!$C34,'_Datos'!$AX34,"")</f>
        <v>0</v>
      </c>
      <c r="M34" s="191"/>
      <c r="N34" s="204">
        <f>IF('_Datos'!$C34,'_Datos'!$BA34,"")</f>
      </c>
      <c r="O34" s="192"/>
    </row>
    <row r="35">
      <c r="B35" s="204" t="str">
        <f>IF('_Datos'!$C35,'_Datos'!$O35,"")</f>
        <v>T035</v>
      </c>
      <c r="C35" s="205" t="str">
        <f>IF('_Datos'!$C35,'_Datos'!$F35,IF('_Datos'!$B35,'Proyecto Datos (OKR´s)'!$G35,""))</f>
        <v>Creación detalle deuda YPF (ídem Excel)</v>
      </c>
      <c r="D35" s="204" t="str">
        <f>IF('_Datos'!$C35,'_Datos'!$AO35,"")</f>
        <v>Semanal</v>
      </c>
      <c r="E35" s="208">
        <f>IF('_Datos'!$C35,'_Datos'!$BI35,IF('_Datos'!$B35,IFERROR(AVERAGEIF('_Datos'!$D$7:$D$200,'Proyecto Datos (OKR´s)'!$G35,'_Datos'!$BI$7:$BI$200),""),""))</f>
        <v>0.5</v>
      </c>
      <c r="F35" s="204" t="str">
        <f>IF('_Datos'!$C35,IF(ISNUMBER('_Datos'!$AR35),'_Datos'!$AR35,"(Sin fecha)"),"")</f>
        <v>(Sin fecha)</v>
      </c>
      <c r="G35" s="204" t="inlineStr">
        <is>
          <t xml:space="preserve">En progreso</t>
        </is>
      </c>
      <c r="H35" s="205"/>
      <c r="I35" s="204" t="str">
        <f>IF('_Datos'!$C35,IF(ISNUMBER('_Datos'!$AV35),'_Datos'!$AZ35,"(Sin fecha)"),"")</f>
        <v>(Sin fecha)</v>
      </c>
      <c r="J35" s="204"/>
      <c r="K35" s="205"/>
      <c r="L35" s="209">
        <f>IF('_Datos'!$C35,'_Datos'!$AX35,"")</f>
        <v>0</v>
      </c>
      <c r="M35" s="191"/>
      <c r="N35" s="204">
        <f>IF('_Datos'!$C35,'_Datos'!$BA35,"")</f>
      </c>
      <c r="O35" s="192"/>
    </row>
    <row r="36">
      <c r="B36" s="204">
        <f>IF('_Datos'!$C36,'_Datos'!$O36,"")</f>
      </c>
      <c r="C36" s="205" t="str">
        <f>IF('_Datos'!$C36,'_Datos'!$F36,IF('_Datos'!$B36,'Proyecto Datos (OKR´s)'!$G36,""))</f>
        <v>5- Tablero Control General - Op. Complejas</v>
      </c>
      <c r="D36" s="204">
        <f>IF('_Datos'!$C36,'_Datos'!$AO36,"")</f>
      </c>
      <c r="E36" s="208">
        <f>IF('_Datos'!$C36,'_Datos'!$BI36,IF('_Datos'!$B36,IFERROR(AVERAGEIF('_Datos'!$D$7:$D$200,'Proyecto Datos (OKR´s)'!$G36,'_Datos'!$BI$7:$BI$200),""),""))</f>
        <v>0.3409090909090909</v>
      </c>
      <c r="F36" s="204">
        <f>IF('_Datos'!$C36,IF(ISNUMBER('_Datos'!$AR36),'_Datos'!$AR36,"(Sin fecha)"),"")</f>
      </c>
      <c r="G36" s="204"/>
      <c r="H36" s="205"/>
      <c r="I36" s="204">
        <f>IF('_Datos'!$C36,IF(ISNUMBER('_Datos'!$AV36),'_Datos'!$AZ36,"(Sin fecha)"),"")</f>
      </c>
      <c r="J36" s="204"/>
      <c r="K36" s="205"/>
      <c r="L36" s="209">
        <f>IF('_Datos'!$C36,'_Datos'!$AX36,"")</f>
      </c>
      <c r="M36" s="191"/>
      <c r="N36" s="204">
        <f>IF('_Datos'!$C36,'_Datos'!$BA36,"")</f>
      </c>
      <c r="O36" s="192"/>
    </row>
    <row r="37">
      <c r="B37" s="204" t="str">
        <f>IF('_Datos'!$C37,'_Datos'!$O37,"")</f>
        <v>T037</v>
      </c>
      <c r="C37" s="205" t="str">
        <f>IF('_Datos'!$C37,'_Datos'!$F37,IF('_Datos'!$B37,'Proyecto Datos (OKR´s)'!$G37,""))</f>
        <v>Planilla Activos Unificados - Estandarizar + Procedimiento</v>
      </c>
      <c r="D37" s="204" t="str">
        <f>IF('_Datos'!$C37,'_Datos'!$AO37,"")</f>
        <v>Semanal</v>
      </c>
      <c r="E37" s="208">
        <f>IF('_Datos'!$C37,'_Datos'!$BI37,IF('_Datos'!$B37,IFERROR(AVERAGEIF('_Datos'!$D$7:$D$200,'Proyecto Datos (OKR´s)'!$G37,'_Datos'!$BI$7:$BI$200),""),""))</f>
        <v>0</v>
      </c>
      <c r="F37" s="204">
        <f>IF('_Datos'!$C37,IF(ISNUMBER('_Datos'!$AR37),'_Datos'!$AR37,"(Sin fecha)"),"")</f>
        <v>1</v>
      </c>
      <c r="G37" s="204" t="inlineStr">
        <is>
          <t xml:space="preserve">Pendiente</t>
        </is>
      </c>
      <c r="H37" s="205"/>
      <c r="I37" s="204" t="str">
        <f>IF('_Datos'!$C37,IF(ISNUMBER('_Datos'!$AV37),'_Datos'!$AZ37,"(Sin fecha)"),"")</f>
        <v>Semanal · S1</v>
      </c>
      <c r="J37" s="204"/>
      <c r="K37" s="205"/>
      <c r="L37" s="209">
        <f>IF('_Datos'!$C37,'_Datos'!$AX37,"")</f>
        <v>5</v>
      </c>
      <c r="M37" s="191"/>
      <c r="N37" s="204">
        <f>IF('_Datos'!$C37,'_Datos'!$BA37,"")</f>
      </c>
      <c r="O37" s="192"/>
    </row>
    <row r="38">
      <c r="B38" s="204" t="str">
        <f>IF('_Datos'!$C38,'_Datos'!$O38,"")</f>
        <v>T038</v>
      </c>
      <c r="C38" s="205" t="str">
        <f>IF('_Datos'!$C38,'_Datos'!$F38,IF('_Datos'!$B38,'Proyecto Datos (OKR´s)'!$G38,""))</f>
        <v>Planilla DTM Estandarizada+ Procedimiento</v>
      </c>
      <c r="D38" s="204" t="str">
        <f>IF('_Datos'!$C38,'_Datos'!$AO38,"")</f>
        <v>Semanal</v>
      </c>
      <c r="E38" s="208">
        <f>IF('_Datos'!$C38,'_Datos'!$BI38,IF('_Datos'!$B38,IFERROR(AVERAGEIF('_Datos'!$D$7:$D$200,'Proyecto Datos (OKR´s)'!$G38,'_Datos'!$BI$7:$BI$200),""),""))</f>
        <v>0.75</v>
      </c>
      <c r="F38" s="204">
        <f>IF('_Datos'!$C38,IF(ISNUMBER('_Datos'!$AR38),'_Datos'!$AR38,"(Sin fecha)"),"")</f>
        <v>1</v>
      </c>
      <c r="G38" s="204" t="inlineStr">
        <is>
          <t xml:space="preserve">Casi lista</t>
        </is>
      </c>
      <c r="H38" s="205"/>
      <c r="I38" s="204" t="str">
        <f>IF('_Datos'!$C38,IF(ISNUMBER('_Datos'!$AV38),'_Datos'!$AZ38,"(Sin fecha)"),"")</f>
        <v>Semanal · S1</v>
      </c>
      <c r="J38" s="204"/>
      <c r="K38" s="205"/>
      <c r="L38" s="209">
        <f>IF('_Datos'!$C38,'_Datos'!$AX38,"")</f>
        <v>5</v>
      </c>
      <c r="M38" s="191"/>
      <c r="N38" s="204">
        <f>IF('_Datos'!$C38,'_Datos'!$BA38,"")</f>
      </c>
      <c r="O38" s="192"/>
    </row>
    <row r="39">
      <c r="B39" s="204" t="str">
        <f>IF('_Datos'!$C39,'_Datos'!$O39,"")</f>
        <v>T039</v>
      </c>
      <c r="C39" s="205" t="str">
        <f>IF('_Datos'!$C39,'_Datos'!$F39,IF('_Datos'!$B39,'Proyecto Datos (OKR´s)'!$G39,""))</f>
        <v>Planilla Aeroevaciaciones + Procedimiento</v>
      </c>
      <c r="D39" s="204" t="str">
        <f>IF('_Datos'!$C39,'_Datos'!$AO39,"")</f>
        <v>Semanal</v>
      </c>
      <c r="E39" s="208">
        <f>IF('_Datos'!$C39,'_Datos'!$BI39,IF('_Datos'!$B39,IFERROR(AVERAGEIF('_Datos'!$D$7:$D$200,'Proyecto Datos (OKR´s)'!$G39,'_Datos'!$BI$7:$BI$200),""),""))</f>
        <v>0.75</v>
      </c>
      <c r="F39" s="204">
        <f>IF('_Datos'!$C39,IF(ISNUMBER('_Datos'!$AR39),'_Datos'!$AR39,"(Sin fecha)"),"")</f>
        <v>1</v>
      </c>
      <c r="G39" s="204" t="inlineStr">
        <is>
          <t xml:space="preserve">Casi lista</t>
        </is>
      </c>
      <c r="H39" s="205"/>
      <c r="I39" s="204" t="str">
        <f>IF('_Datos'!$C39,IF(ISNUMBER('_Datos'!$AV39),'_Datos'!$AZ39,"(Sin fecha)"),"")</f>
        <v>Semanal · S1</v>
      </c>
      <c r="J39" s="204"/>
      <c r="K39" s="205"/>
      <c r="L39" s="209">
        <f>IF('_Datos'!$C39,'_Datos'!$AX39,"")</f>
        <v>5</v>
      </c>
      <c r="M39" s="191"/>
      <c r="N39" s="204">
        <f>IF('_Datos'!$C39,'_Datos'!$BA39,"")</f>
      </c>
      <c r="O39" s="192"/>
    </row>
    <row r="40">
      <c r="B40" s="204" t="str">
        <f>IF('_Datos'!$C40,'_Datos'!$O40,"")</f>
        <v>T040</v>
      </c>
      <c r="C40" s="205" t="str">
        <f>IF('_Datos'!$C40,'_Datos'!$F40,IF('_Datos'!$B40,'Proyecto Datos (OKR´s)'!$G40,""))</f>
        <v>Resumen Clientes Petróleo</v>
      </c>
      <c r="D40" s="204" t="str">
        <f>IF('_Datos'!$C40,'_Datos'!$AO40,"")</f>
        <v>Semanal</v>
      </c>
      <c r="E40" s="208">
        <f>IF('_Datos'!$C40,'_Datos'!$BI40,IF('_Datos'!$B40,IFERROR(AVERAGEIF('_Datos'!$D$7:$D$200,'Proyecto Datos (OKR´s)'!$G40,'_Datos'!$BI$7:$BI$200),""),""))</f>
        <v>0.5</v>
      </c>
      <c r="F40" s="204">
        <f>IF('_Datos'!$C40,IF(ISNUMBER('_Datos'!$AR40),'_Datos'!$AR40,"(Sin fecha)"),"")</f>
        <v>1</v>
      </c>
      <c r="G40" s="204" t="inlineStr">
        <is>
          <t xml:space="preserve">En progreso</t>
        </is>
      </c>
      <c r="H40" s="205"/>
      <c r="I40" s="204" t="str">
        <f>IF('_Datos'!$C40,IF(ISNUMBER('_Datos'!$AV40),'_Datos'!$AZ40,"(Sin fecha)"),"")</f>
        <v>Semanal · S1</v>
      </c>
      <c r="J40" s="204"/>
      <c r="K40" s="205"/>
      <c r="L40" s="209">
        <f>IF('_Datos'!$C40,'_Datos'!$AX40,"")</f>
        <v>5</v>
      </c>
      <c r="M40" s="191"/>
      <c r="N40" s="204">
        <f>IF('_Datos'!$C40,'_Datos'!$BA40,"")</f>
      </c>
      <c r="O40" s="192"/>
    </row>
    <row r="41">
      <c r="B41" s="204" t="str">
        <f>IF('_Datos'!$C41,'_Datos'!$O41,"")</f>
        <v>T041</v>
      </c>
      <c r="C41" s="205" t="str">
        <f>IF('_Datos'!$C41,'_Datos'!$F41,IF('_Datos'!$B41,'Proyecto Datos (OKR´s)'!$G41,""))</f>
        <v>Resumen Clientes Minería</v>
      </c>
      <c r="D41" s="204" t="str">
        <f>IF('_Datos'!$C41,'_Datos'!$AO41,"")</f>
        <v>Semanal</v>
      </c>
      <c r="E41" s="208">
        <f>IF('_Datos'!$C41,'_Datos'!$BI41,IF('_Datos'!$B41,IFERROR(AVERAGEIF('_Datos'!$D$7:$D$200,'Proyecto Datos (OKR´s)'!$G41,'_Datos'!$BI$7:$BI$200),""),""))</f>
        <v>0.5</v>
      </c>
      <c r="F41" s="204">
        <f>IF('_Datos'!$C41,IF(ISNUMBER('_Datos'!$AR41),'_Datos'!$AR41,"(Sin fecha)"),"")</f>
        <v>1</v>
      </c>
      <c r="G41" s="204" t="inlineStr">
        <is>
          <t xml:space="preserve">En progreso</t>
        </is>
      </c>
      <c r="H41" s="205"/>
      <c r="I41" s="204" t="str">
        <f>IF('_Datos'!$C41,IF(ISNUMBER('_Datos'!$AV41),'_Datos'!$AZ41,"(Sin fecha)"),"")</f>
        <v>Semanal · S1</v>
      </c>
      <c r="J41" s="204"/>
      <c r="K41" s="205"/>
      <c r="L41" s="209">
        <f>IF('_Datos'!$C41,'_Datos'!$AX41,"")</f>
        <v>5</v>
      </c>
      <c r="M41" s="191"/>
      <c r="N41" s="204">
        <f>IF('_Datos'!$C41,'_Datos'!$BA41,"")</f>
      </c>
      <c r="O41" s="192"/>
    </row>
    <row r="42">
      <c r="B42" s="204" t="str">
        <f>IF('_Datos'!$C42,'_Datos'!$O42,"")</f>
        <v>T042</v>
      </c>
      <c r="C42" s="205" t="str">
        <f>IF('_Datos'!$C42,'_Datos'!$F42,IF('_Datos'!$B42,'Proyecto Datos (OKR´s)'!$G42,""))</f>
        <v>Resumen Clientes Op. Dedicadas</v>
      </c>
      <c r="D42" s="204" t="str">
        <f>IF('_Datos'!$C42,'_Datos'!$AO42,"")</f>
        <v>Semanal</v>
      </c>
      <c r="E42" s="208">
        <f>IF('_Datos'!$C42,'_Datos'!$BI42,IF('_Datos'!$B42,IFERROR(AVERAGEIF('_Datos'!$D$7:$D$200,'Proyecto Datos (OKR´s)'!$G42,'_Datos'!$BI$7:$BI$200),""),""))</f>
        <v>0.25</v>
      </c>
      <c r="F42" s="204">
        <f>IF('_Datos'!$C42,IF(ISNUMBER('_Datos'!$AR42),'_Datos'!$AR42,"(Sin fecha)"),"")</f>
        <v>1</v>
      </c>
      <c r="G42" s="204" t="inlineStr">
        <is>
          <t xml:space="preserve">Iniciada</t>
        </is>
      </c>
      <c r="H42" s="205"/>
      <c r="I42" s="204" t="str">
        <f>IF('_Datos'!$C42,IF(ISNUMBER('_Datos'!$AV42),'_Datos'!$AZ42,"(Sin fecha)"),"")</f>
        <v>Semanal · S1</v>
      </c>
      <c r="J42" s="204"/>
      <c r="K42" s="205"/>
      <c r="L42" s="209">
        <f>IF('_Datos'!$C42,'_Datos'!$AX42,"")</f>
        <v>5</v>
      </c>
      <c r="M42" s="191"/>
      <c r="N42" s="204">
        <f>IF('_Datos'!$C42,'_Datos'!$BA42,"")</f>
      </c>
      <c r="O42" s="192"/>
    </row>
    <row r="43">
      <c r="B43" s="204" t="str">
        <f>IF('_Datos'!$C43,'_Datos'!$O43,"")</f>
        <v>T043</v>
      </c>
      <c r="C43" s="205" t="str">
        <f>IF('_Datos'!$C43,'_Datos'!$F43,IF('_Datos'!$B43,'Proyecto Datos (OKR´s)'!$G43,""))</f>
        <v>Locaciones Geográficas Pozos Petro (ver datos Secretaria de Energía)</v>
      </c>
      <c r="D43" s="204" t="str">
        <f>IF('_Datos'!$C43,'_Datos'!$AO43,"")</f>
        <v>Semanal</v>
      </c>
      <c r="E43" s="208">
        <f>IF('_Datos'!$C43,'_Datos'!$BI43,IF('_Datos'!$B43,IFERROR(AVERAGEIF('_Datos'!$D$7:$D$200,'Proyecto Datos (OKR´s)'!$G43,'_Datos'!$BI$7:$BI$200),""),""))</f>
        <v>0</v>
      </c>
      <c r="F43" s="204" t="str">
        <f>IF('_Datos'!$C43,IF(ISNUMBER('_Datos'!$AR43),'_Datos'!$AR43,"(Sin fecha)"),"")</f>
        <v>(Sin fecha)</v>
      </c>
      <c r="G43" s="204" t="inlineStr">
        <is>
          <t xml:space="preserve">Pendiente</t>
        </is>
      </c>
      <c r="H43" s="205"/>
      <c r="I43" s="204" t="str">
        <f>IF('_Datos'!$C43,IF(ISNUMBER('_Datos'!$AV43),'_Datos'!$AZ43,"(Sin fecha)"),"")</f>
        <v>(Sin fecha)</v>
      </c>
      <c r="J43" s="204"/>
      <c r="K43" s="205"/>
      <c r="L43" s="209">
        <f>IF('_Datos'!$C43,'_Datos'!$AX43,"")</f>
        <v>0</v>
      </c>
      <c r="M43" s="191"/>
      <c r="N43" s="204">
        <f>IF('_Datos'!$C43,'_Datos'!$BA43,"")</f>
      </c>
      <c r="O43" s="192"/>
    </row>
    <row r="44">
      <c r="B44" s="204" t="str">
        <f>IF('_Datos'!$C44,'_Datos'!$O44,"")</f>
        <v>T044</v>
      </c>
      <c r="C44" s="205" t="str">
        <f>IF('_Datos'!$C44,'_Datos'!$F44,IF('_Datos'!$B44,'Proyecto Datos (OKR´s)'!$G44,""))</f>
        <v>Locaciones Geográficas Minería</v>
      </c>
      <c r="D44" s="204" t="str">
        <f>IF('_Datos'!$C44,'_Datos'!$AO44,"")</f>
        <v>Semanal</v>
      </c>
      <c r="E44" s="208">
        <f>IF('_Datos'!$C44,'_Datos'!$BI44,IF('_Datos'!$B44,IFERROR(AVERAGEIF('_Datos'!$D$7:$D$200,'Proyecto Datos (OKR´s)'!$G44,'_Datos'!$BI$7:$BI$200),""),""))</f>
        <v>0</v>
      </c>
      <c r="F44" s="204" t="str">
        <f>IF('_Datos'!$C44,IF(ISNUMBER('_Datos'!$AR44),'_Datos'!$AR44,"(Sin fecha)"),"")</f>
        <v>(Sin fecha)</v>
      </c>
      <c r="G44" s="204" t="inlineStr">
        <is>
          <t xml:space="preserve">Pendiente</t>
        </is>
      </c>
      <c r="H44" s="205"/>
      <c r="I44" s="204" t="str">
        <f>IF('_Datos'!$C44,IF(ISNUMBER('_Datos'!$AV44),'_Datos'!$AZ44,"(Sin fecha)"),"")</f>
        <v>(Sin fecha)</v>
      </c>
      <c r="J44" s="204"/>
      <c r="K44" s="205"/>
      <c r="L44" s="209">
        <f>IF('_Datos'!$C44,'_Datos'!$AX44,"")</f>
        <v>0</v>
      </c>
      <c r="M44" s="191"/>
      <c r="N44" s="204">
        <f>IF('_Datos'!$C44,'_Datos'!$BA44,"")</f>
      </c>
      <c r="O44" s="192"/>
    </row>
    <row r="45">
      <c r="B45" s="204" t="str">
        <f>IF('_Datos'!$C45,'_Datos'!$O45,"")</f>
        <v>T045</v>
      </c>
      <c r="C45" s="205" t="str">
        <f>IF('_Datos'!$C45,'_Datos'!$F45,IF('_Datos'!$B45,'Proyecto Datos (OKR´s)'!$G45,""))</f>
        <v>Locaciones Geográficas Op. Dedicadas</v>
      </c>
      <c r="D45" s="204" t="str">
        <f>IF('_Datos'!$C45,'_Datos'!$AO45,"")</f>
        <v>Semanal</v>
      </c>
      <c r="E45" s="208">
        <f>IF('_Datos'!$C45,'_Datos'!$BI45,IF('_Datos'!$B45,IFERROR(AVERAGEIF('_Datos'!$D$7:$D$200,'Proyecto Datos (OKR´s)'!$G45,'_Datos'!$BI$7:$BI$200),""),""))</f>
        <v>0</v>
      </c>
      <c r="F45" s="204" t="str">
        <f>IF('_Datos'!$C45,IF(ISNUMBER('_Datos'!$AR45),'_Datos'!$AR45,"(Sin fecha)"),"")</f>
        <v>(Sin fecha)</v>
      </c>
      <c r="G45" s="204" t="inlineStr">
        <is>
          <t xml:space="preserve">Pendiente</t>
        </is>
      </c>
      <c r="H45" s="205"/>
      <c r="I45" s="204" t="str">
        <f>IF('_Datos'!$C45,IF(ISNUMBER('_Datos'!$AV45),'_Datos'!$AZ45,"(Sin fecha)"),"")</f>
        <v>(Sin fecha)</v>
      </c>
      <c r="J45" s="204"/>
      <c r="K45" s="205"/>
      <c r="L45" s="209">
        <f>IF('_Datos'!$C45,'_Datos'!$AX45,"")</f>
        <v>0</v>
      </c>
      <c r="M45" s="191"/>
      <c r="N45" s="204">
        <f>IF('_Datos'!$C45,'_Datos'!$BA45,"")</f>
      </c>
      <c r="O45" s="192"/>
    </row>
    <row r="46">
      <c r="B46" s="204" t="str">
        <f>IF('_Datos'!$C46,'_Datos'!$O46,"")</f>
        <v>T046</v>
      </c>
      <c r="C46" s="205" t="str">
        <f>IF('_Datos'!$C46,'_Datos'!$F46,IF('_Datos'!$B46,'Proyecto Datos (OKR´s)'!$G46,""))</f>
        <v>Detalle Responsables (Comerciales + Analistas)</v>
      </c>
      <c r="D46" s="204" t="str">
        <f>IF('_Datos'!$C46,'_Datos'!$AO46,"")</f>
        <v>Semanal</v>
      </c>
      <c r="E46" s="208">
        <f>IF('_Datos'!$C46,'_Datos'!$BI46,IF('_Datos'!$B46,IFERROR(AVERAGEIF('_Datos'!$D$7:$D$200,'Proyecto Datos (OKR´s)'!$G46,'_Datos'!$BI$7:$BI$200),""),""))</f>
        <v>0.5</v>
      </c>
      <c r="F46" s="204">
        <f>IF('_Datos'!$C46,IF(ISNUMBER('_Datos'!$AR46),'_Datos'!$AR46,"(Sin fecha)"),"")</f>
        <v>1</v>
      </c>
      <c r="G46" s="204" t="inlineStr">
        <is>
          <t xml:space="preserve">En progreso</t>
        </is>
      </c>
      <c r="H46" s="205"/>
      <c r="I46" s="204" t="str">
        <f>IF('_Datos'!$C46,IF(ISNUMBER('_Datos'!$AV46),'_Datos'!$AZ46,"(Sin fecha)"),"")</f>
        <v>Semanal · S1</v>
      </c>
      <c r="J46" s="204"/>
      <c r="K46" s="205"/>
      <c r="L46" s="209">
        <f>IF('_Datos'!$C46,'_Datos'!$AX46,"")</f>
        <v>5</v>
      </c>
      <c r="M46" s="191"/>
      <c r="N46" s="204">
        <f>IF('_Datos'!$C46,'_Datos'!$BA46,"")</f>
      </c>
      <c r="O46" s="192"/>
    </row>
    <row r="47">
      <c r="B47" s="204" t="str">
        <f>IF('_Datos'!$C47,'_Datos'!$O47,"")</f>
        <v>T047</v>
      </c>
      <c r="C47" s="205" t="str">
        <f>IF('_Datos'!$C47,'_Datos'!$F47,IF('_Datos'!$B47,'Proyecto Datos (OKR´s)'!$G47,""))</f>
        <v>Armado de Dashboard + Diseño</v>
      </c>
      <c r="D47" s="204" t="str">
        <f>IF('_Datos'!$C47,'_Datos'!$AO47,"")</f>
        <v>Semanal</v>
      </c>
      <c r="E47" s="208">
        <f>IF('_Datos'!$C47,'_Datos'!$BI47,IF('_Datos'!$B47,IFERROR(AVERAGEIF('_Datos'!$D$7:$D$200,'Proyecto Datos (OKR´s)'!$G47,'_Datos'!$BI$7:$BI$200),""),""))</f>
        <v>0.5</v>
      </c>
      <c r="F47" s="204">
        <f>IF('_Datos'!$C47,IF(ISNUMBER('_Datos'!$AR47),'_Datos'!$AR47,"(Sin fecha)"),"")</f>
        <v>1</v>
      </c>
      <c r="G47" s="204" t="inlineStr">
        <is>
          <t xml:space="preserve">En progreso</t>
        </is>
      </c>
      <c r="H47" s="205"/>
      <c r="I47" s="204" t="str">
        <f>IF('_Datos'!$C47,IF(ISNUMBER('_Datos'!$AV47),'_Datos'!$AZ47,"(Sin fecha)"),"")</f>
        <v>Semanal · S1</v>
      </c>
      <c r="J47" s="204"/>
      <c r="K47" s="205"/>
      <c r="L47" s="209">
        <f>IF('_Datos'!$C47,'_Datos'!$AX47,"")</f>
        <v>5</v>
      </c>
      <c r="M47" s="191"/>
      <c r="N47" s="204">
        <f>IF('_Datos'!$C47,'_Datos'!$BA47,"")</f>
      </c>
      <c r="O47" s="192"/>
    </row>
    <row r="48">
      <c r="B48" s="204">
        <f>IF('_Datos'!$C48,'_Datos'!$O48,"")</f>
      </c>
      <c r="C48" s="205" t="str">
        <f>IF('_Datos'!$C48,'_Datos'!$F48,IF('_Datos'!$B48,'Proyecto Datos (OKR´s)'!$G48,""))</f>
        <v>Tablero Forecast</v>
      </c>
      <c r="D48" s="204">
        <f>IF('_Datos'!$C48,'_Datos'!$AO48,"")</f>
      </c>
      <c r="E48" s="208">
        <f>IF('_Datos'!$C48,'_Datos'!$BI48,IF('_Datos'!$B48,IFERROR(AVERAGEIF('_Datos'!$D$7:$D$200,'Proyecto Datos (OKR´s)'!$G48,'_Datos'!$BI$7:$BI$200),""),""))</f>
        <v>0</v>
      </c>
      <c r="F48" s="204">
        <f>IF('_Datos'!$C48,IF(ISNUMBER('_Datos'!$AR48),'_Datos'!$AR48,"(Sin fecha)"),"")</f>
      </c>
      <c r="G48" s="204"/>
      <c r="H48" s="205"/>
      <c r="I48" s="204">
        <f>IF('_Datos'!$C48,IF(ISNUMBER('_Datos'!$AV48),'_Datos'!$AZ48,"(Sin fecha)"),"")</f>
      </c>
      <c r="J48" s="204"/>
      <c r="K48" s="205"/>
      <c r="L48" s="209">
        <f>IF('_Datos'!$C48,'_Datos'!$AX48,"")</f>
      </c>
      <c r="M48" s="191"/>
      <c r="N48" s="204">
        <f>IF('_Datos'!$C48,'_Datos'!$BA48,"")</f>
      </c>
      <c r="O48" s="192"/>
    </row>
    <row r="49">
      <c r="B49" s="204" t="str">
        <f>IF('_Datos'!$C49,'_Datos'!$O49,"")</f>
        <v>T049</v>
      </c>
      <c r="C49" s="205" t="str">
        <f>IF('_Datos'!$C49,'_Datos'!$F49,IF('_Datos'!$B49,'Proyecto Datos (OKR´s)'!$G49,""))</f>
        <v>Armado de Procedimiento</v>
      </c>
      <c r="D49" s="204" t="str">
        <f>IF('_Datos'!$C49,'_Datos'!$AO49,"")</f>
        <v>Semanal</v>
      </c>
      <c r="E49" s="208">
        <f>IF('_Datos'!$C49,'_Datos'!$BI49,IF('_Datos'!$B49,IFERROR(AVERAGEIF('_Datos'!$D$7:$D$200,'Proyecto Datos (OKR´s)'!$G49,'_Datos'!$BI$7:$BI$200),""),""))</f>
        <v>0</v>
      </c>
      <c r="F49" s="204">
        <f>IF('_Datos'!$C49,IF(ISNUMBER('_Datos'!$AR49),'_Datos'!$AR49,"(Sin fecha)"),"")</f>
        <v>1</v>
      </c>
      <c r="G49" s="204" t="inlineStr">
        <is>
          <t xml:space="preserve">Pendiente</t>
        </is>
      </c>
      <c r="H49" s="205"/>
      <c r="I49" s="204" t="str">
        <f>IF('_Datos'!$C49,IF(ISNUMBER('_Datos'!$AV49),'_Datos'!$AZ49,"(Sin fecha)"),"")</f>
        <v>Semanal · S1</v>
      </c>
      <c r="J49" s="204"/>
      <c r="K49" s="205"/>
      <c r="L49" s="209">
        <f>IF('_Datos'!$C49,'_Datos'!$AX49,"")</f>
        <v>5</v>
      </c>
      <c r="M49" s="191"/>
      <c r="N49" s="204">
        <f>IF('_Datos'!$C49,'_Datos'!$BA49,"")</f>
      </c>
      <c r="O49" s="192"/>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8">
        <f>IF('_Datos'!$C50,'_Datos'!$BI50,IF('_Datos'!$B50,IFERROR(AVERAGEIF('_Datos'!$D$7:$D$200,'Proyecto Datos (OKR´s)'!$G50,'_Datos'!$BI$7:$BI$200),""),""))</f>
        <v>0</v>
      </c>
      <c r="F50" s="204">
        <f>IF('_Datos'!$C50,IF(ISNUMBER('_Datos'!$AR50),'_Datos'!$AR50,"(Sin fecha)"),"")</f>
        <v>1</v>
      </c>
      <c r="G50" s="204" t="inlineStr">
        <is>
          <t xml:space="preserve">Pendiente</t>
        </is>
      </c>
      <c r="H50" s="205"/>
      <c r="I50" s="204" t="str">
        <f>IF('_Datos'!$C50,IF(ISNUMBER('_Datos'!$AV50),'_Datos'!$AZ50,"(Sin fecha)"),"")</f>
        <v>Semanal · S1</v>
      </c>
      <c r="J50" s="204"/>
      <c r="K50" s="205"/>
      <c r="L50" s="209">
        <f>IF('_Datos'!$C50,'_Datos'!$AX50,"")</f>
        <v>5</v>
      </c>
      <c r="M50" s="191"/>
      <c r="N50" s="204">
        <f>IF('_Datos'!$C50,'_Datos'!$BA50,"")</f>
      </c>
      <c r="O50" s="192"/>
    </row>
    <row r="51">
      <c r="B51" s="204" t="str">
        <f>IF('_Datos'!$C51,'_Datos'!$O51,"")</f>
        <v>T051</v>
      </c>
      <c r="C51" s="205" t="str">
        <f>IF('_Datos'!$C51,'_Datos'!$F51,IF('_Datos'!$B51,'Proyecto Datos (OKR´s)'!$G51,""))</f>
        <v>Factores de clientes con % de incremento sobre venta</v>
      </c>
      <c r="D51" s="204" t="str">
        <f>IF('_Datos'!$C51,'_Datos'!$AO51,"")</f>
        <v>Semanal</v>
      </c>
      <c r="E51" s="208">
        <f>IF('_Datos'!$C51,'_Datos'!$BI51,IF('_Datos'!$B51,IFERROR(AVERAGEIF('_Datos'!$D$7:$D$200,'Proyecto Datos (OKR´s)'!$G51,'_Datos'!$BI$7:$BI$200),""),""))</f>
        <v>0</v>
      </c>
      <c r="F51" s="204">
        <f>IF('_Datos'!$C51,IF(ISNUMBER('_Datos'!$AR51),'_Datos'!$AR51,"(Sin fecha)"),"")</f>
        <v>1</v>
      </c>
      <c r="G51" s="204" t="inlineStr">
        <is>
          <t xml:space="preserve">Pendiente</t>
        </is>
      </c>
      <c r="H51" s="205"/>
      <c r="I51" s="204" t="str">
        <f>IF('_Datos'!$C51,IF(ISNUMBER('_Datos'!$AV51),'_Datos'!$AZ51,"(Sin fecha)"),"")</f>
        <v>Semanal · S1</v>
      </c>
      <c r="J51" s="204"/>
      <c r="K51" s="205"/>
      <c r="L51" s="209">
        <f>IF('_Datos'!$C51,'_Datos'!$AX51,"")</f>
        <v>5</v>
      </c>
      <c r="M51" s="191"/>
      <c r="N51" s="204">
        <f>IF('_Datos'!$C51,'_Datos'!$BA51,"")</f>
      </c>
      <c r="O51" s="192"/>
    </row>
    <row r="52">
      <c r="B52" s="204">
        <f>IF('_Datos'!$C52,'_Datos'!$O52,"")</f>
      </c>
      <c r="C52" s="205" t="str">
        <f>IF('_Datos'!$C52,'_Datos'!$F52,IF('_Datos'!$B52,'Proyecto Datos (OKR´s)'!$G52,""))</f>
        <v>6- Automatización de procesos: certificación, provisión,polinómicas</v>
      </c>
      <c r="D52" s="204">
        <f>IF('_Datos'!$C52,'_Datos'!$AO52,"")</f>
      </c>
      <c r="E52" s="208">
        <f>IF('_Datos'!$C52,'_Datos'!$BI52,IF('_Datos'!$B52,IFERROR(AVERAGEIF('_Datos'!$D$7:$D$200,'Proyecto Datos (OKR´s)'!$G52,'_Datos'!$BI$7:$BI$200),""),""))</f>
        <v>0</v>
      </c>
      <c r="F52" s="204">
        <f>IF('_Datos'!$C52,IF(ISNUMBER('_Datos'!$AR52),'_Datos'!$AR52,"(Sin fecha)"),"")</f>
      </c>
      <c r="G52" s="204"/>
      <c r="H52" s="205"/>
      <c r="I52" s="204">
        <f>IF('_Datos'!$C52,IF(ISNUMBER('_Datos'!$AV52),'_Datos'!$AZ52,"(Sin fecha)"),"")</f>
      </c>
      <c r="J52" s="204"/>
      <c r="K52" s="205"/>
      <c r="L52" s="209">
        <f>IF('_Datos'!$C52,'_Datos'!$AX52,"")</f>
      </c>
      <c r="M52" s="191"/>
      <c r="N52" s="204">
        <f>IF('_Datos'!$C52,'_Datos'!$BA52,"")</f>
      </c>
      <c r="O52" s="192"/>
    </row>
    <row r="53">
      <c r="B53" s="204" t="str">
        <f>IF('_Datos'!$C53,'_Datos'!$O53,"")</f>
        <v>T053</v>
      </c>
      <c r="C53" s="205" t="str">
        <f>IF('_Datos'!$C53,'_Datos'!$F53,IF('_Datos'!$B53,'Proyecto Datos (OKR´s)'!$G53,""))</f>
        <v>Polinómicas y tarifario automático</v>
      </c>
      <c r="D53" s="204" t="str">
        <f>IF('_Datos'!$C53,'_Datos'!$AO53,"")</f>
        <v>Mensual</v>
      </c>
      <c r="E53" s="208">
        <f>IF('_Datos'!$C53,'_Datos'!$BI53,IF('_Datos'!$B53,IFERROR(AVERAGEIF('_Datos'!$D$7:$D$200,'Proyecto Datos (OKR´s)'!$G53,'_Datos'!$BI$7:$BI$200),""),""))</f>
        <v>0</v>
      </c>
      <c r="F53" s="204" t="str">
        <f>IF('_Datos'!$C53,IF(ISNUMBER('_Datos'!$AR53),'_Datos'!$AR53,"(Sin fecha)"),"")</f>
        <v>(Sin fecha)</v>
      </c>
      <c r="G53" s="204"/>
      <c r="H53" s="205"/>
      <c r="I53" s="204" t="str">
        <f>IF('_Datos'!$C53,IF(ISNUMBER('_Datos'!$AV53),'_Datos'!$AZ53,"(Sin fecha)"),"")</f>
        <v>(Sin fecha)</v>
      </c>
      <c r="J53" s="204"/>
      <c r="K53" s="205"/>
      <c r="L53" s="209">
        <f>IF('_Datos'!$C53,'_Datos'!$AX53,"")</f>
        <v>0</v>
      </c>
      <c r="M53" s="191"/>
      <c r="N53" s="204">
        <f>IF('_Datos'!$C53,'_Datos'!$BA53,"")</f>
      </c>
      <c r="O53" s="192"/>
    </row>
    <row r="54">
      <c r="B54" s="204" t="str">
        <f>IF('_Datos'!$C54,'_Datos'!$O54,"")</f>
        <v>T054</v>
      </c>
      <c r="C54" s="205" t="str">
        <f>IF('_Datos'!$C54,'_Datos'!$F54,IF('_Datos'!$B54,'Proyecto Datos (OKR´s)'!$G54,""))</f>
        <v>Certificados automáticos (ver si utilizar scripts)</v>
      </c>
      <c r="D54" s="204" t="str">
        <f>IF('_Datos'!$C54,'_Datos'!$AO54,"")</f>
        <v>Mensual</v>
      </c>
      <c r="E54" s="208">
        <f>IF('_Datos'!$C54,'_Datos'!$BI54,IF('_Datos'!$B54,IFERROR(AVERAGEIF('_Datos'!$D$7:$D$200,'Proyecto Datos (OKR´s)'!$G54,'_Datos'!$BI$7:$BI$200),""),""))</f>
        <v>0</v>
      </c>
      <c r="F54" s="204" t="str">
        <f>IF('_Datos'!$C54,IF(ISNUMBER('_Datos'!$AR54),'_Datos'!$AR54,"(Sin fecha)"),"")</f>
        <v>(Sin fecha)</v>
      </c>
      <c r="G54" s="204"/>
      <c r="H54" s="205"/>
      <c r="I54" s="204" t="str">
        <f>IF('_Datos'!$C54,IF(ISNUMBER('_Datos'!$AV54),'_Datos'!$AZ54,"(Sin fecha)"),"")</f>
        <v>(Sin fecha)</v>
      </c>
      <c r="J54" s="204"/>
      <c r="K54" s="205"/>
      <c r="L54" s="209">
        <f>IF('_Datos'!$C54,'_Datos'!$AX54,"")</f>
        <v>0</v>
      </c>
      <c r="M54" s="191"/>
      <c r="N54" s="204">
        <f>IF('_Datos'!$C54,'_Datos'!$BA54,"")</f>
      </c>
      <c r="O54" s="192"/>
    </row>
    <row r="55">
      <c r="B55" s="204" t="str">
        <f>IF('_Datos'!$C55,'_Datos'!$O55,"")</f>
        <v>T055</v>
      </c>
      <c r="C55" s="205" t="str">
        <f>IF('_Datos'!$C55,'_Datos'!$F55,IF('_Datos'!$B55,'Proyecto Datos (OKR´s)'!$G55,""))</f>
        <v>Provisión Automática</v>
      </c>
      <c r="D55" s="204" t="str">
        <f>IF('_Datos'!$C55,'_Datos'!$AO55,"")</f>
        <v>Mensual</v>
      </c>
      <c r="E55" s="208">
        <f>IF('_Datos'!$C55,'_Datos'!$BI55,IF('_Datos'!$B55,IFERROR(AVERAGEIF('_Datos'!$D$7:$D$200,'Proyecto Datos (OKR´s)'!$G55,'_Datos'!$BI$7:$BI$200),""),""))</f>
        <v>0</v>
      </c>
      <c r="F55" s="204" t="str">
        <f>IF('_Datos'!$C55,IF(ISNUMBER('_Datos'!$AR55),'_Datos'!$AR55,"(Sin fecha)"),"")</f>
        <v>(Sin fecha)</v>
      </c>
      <c r="G55" s="204"/>
      <c r="H55" s="205"/>
      <c r="I55" s="204" t="str">
        <f>IF('_Datos'!$C55,IF(ISNUMBER('_Datos'!$AV55),'_Datos'!$AZ55,"(Sin fecha)"),"")</f>
        <v>(Sin fecha)</v>
      </c>
      <c r="J55" s="204"/>
      <c r="K55" s="205"/>
      <c r="L55" s="209">
        <f>IF('_Datos'!$C55,'_Datos'!$AX55,"")</f>
        <v>0</v>
      </c>
      <c r="M55" s="191"/>
      <c r="N55" s="204">
        <f>IF('_Datos'!$C55,'_Datos'!$BA55,"")</f>
      </c>
      <c r="O55" s="192"/>
    </row>
    <row r="56">
      <c r="B56" s="204">
        <f>IF('_Datos'!$C56,'_Datos'!$O56,"")</f>
      </c>
      <c r="C56" s="205" t="str">
        <f>IF('_Datos'!$C56,'_Datos'!$F56,IF('_Datos'!$B56,'Proyecto Datos (OKR´s)'!$G56,""))</f>
        <v>7- Incorporación de Operaciones Complejas en sistemas de la compañía: Salesforce, SAP, etc.</v>
      </c>
      <c r="D56" s="204">
        <f>IF('_Datos'!$C56,'_Datos'!$AO56,"")</f>
      </c>
      <c r="E56" s="208">
        <f>IF('_Datos'!$C56,'_Datos'!$BI56,IF('_Datos'!$B56,IFERROR(AVERAGEIF('_Datos'!$D$7:$D$200,'Proyecto Datos (OKR´s)'!$G56,'_Datos'!$BI$7:$BI$200),""),""))</f>
        <v>0</v>
      </c>
      <c r="F56" s="204">
        <f>IF('_Datos'!$C56,IF(ISNUMBER('_Datos'!$AR56),'_Datos'!$AR56,"(Sin fecha)"),"")</f>
      </c>
      <c r="G56" s="204"/>
      <c r="H56" s="205"/>
      <c r="I56" s="204">
        <f>IF('_Datos'!$C56,IF(ISNUMBER('_Datos'!$AV56),'_Datos'!$AZ56,"(Sin fecha)"),"")</f>
      </c>
      <c r="J56" s="204"/>
      <c r="K56" s="205"/>
      <c r="L56" s="209">
        <f>IF('_Datos'!$C56,'_Datos'!$AX56,"")</f>
      </c>
      <c r="M56" s="191"/>
      <c r="N56" s="204">
        <f>IF('_Datos'!$C56,'_Datos'!$BA56,"")</f>
      </c>
      <c r="O56" s="192"/>
    </row>
    <row r="57">
      <c r="B57" s="204" t="str">
        <f>IF('_Datos'!$C57,'_Datos'!$O57,"")</f>
        <v>T057</v>
      </c>
      <c r="C57" s="205" t="str">
        <f>IF('_Datos'!$C57,'_Datos'!$F57,IF('_Datos'!$B57,'Proyecto Datos (OKR´s)'!$G57,""))</f>
        <v>Eliminar contratos obsoletos</v>
      </c>
      <c r="D57" s="204" t="str">
        <f>IF('_Datos'!$C57,'_Datos'!$AO57,"")</f>
        <v>Mensual</v>
      </c>
      <c r="E57" s="208">
        <f>IF('_Datos'!$C57,'_Datos'!$BI57,IF('_Datos'!$B57,IFERROR(AVERAGEIF('_Datos'!$D$7:$D$200,'Proyecto Datos (OKR´s)'!$G57,'_Datos'!$BI$7:$BI$200),""),""))</f>
        <v>0</v>
      </c>
      <c r="F57" s="204" t="str">
        <f>IF('_Datos'!$C57,IF(ISNUMBER('_Datos'!$AR57),'_Datos'!$AR57,"(Sin fecha)"),"")</f>
        <v>(Sin fecha)</v>
      </c>
      <c r="G57" s="204"/>
      <c r="H57" s="205"/>
      <c r="I57" s="204" t="str">
        <f>IF('_Datos'!$C57,IF(ISNUMBER('_Datos'!$AV57),'_Datos'!$AZ57,"(Sin fecha)"),"")</f>
        <v>(Sin fecha)</v>
      </c>
      <c r="J57" s="204"/>
      <c r="K57" s="205"/>
      <c r="L57" s="209">
        <f>IF('_Datos'!$C57,'_Datos'!$AX57,"")</f>
        <v>0</v>
      </c>
      <c r="M57" s="191"/>
      <c r="N57" s="204">
        <f>IF('_Datos'!$C57,'_Datos'!$BA57,"")</f>
      </c>
      <c r="O57" s="192"/>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8">
        <f>IF('_Datos'!$C58,'_Datos'!$BI58,IF('_Datos'!$B58,IFERROR(AVERAGEIF('_Datos'!$D$7:$D$200,'Proyecto Datos (OKR´s)'!$G58,'_Datos'!$BI$7:$BI$200),""),""))</f>
        <v>0</v>
      </c>
      <c r="F58" s="204" t="str">
        <f>IF('_Datos'!$C58,IF(ISNUMBER('_Datos'!$AR58),'_Datos'!$AR58,"(Sin fecha)"),"")</f>
        <v>(Sin fecha)</v>
      </c>
      <c r="G58" s="204"/>
      <c r="H58" s="205"/>
      <c r="I58" s="204" t="str">
        <f>IF('_Datos'!$C58,IF(ISNUMBER('_Datos'!$AV58),'_Datos'!$AZ58,"(Sin fecha)"),"")</f>
        <v>(Sin fecha)</v>
      </c>
      <c r="J58" s="204"/>
      <c r="K58" s="205"/>
      <c r="L58" s="209">
        <f>IF('_Datos'!$C58,'_Datos'!$AX58,"")</f>
        <v>0</v>
      </c>
      <c r="M58" s="191"/>
      <c r="N58" s="204">
        <f>IF('_Datos'!$C58,'_Datos'!$BA58,"")</f>
      </c>
      <c r="O58" s="192"/>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8">
        <f>IF('_Datos'!$C59,'_Datos'!$BI59,IF('_Datos'!$B59,IFERROR(AVERAGEIF('_Datos'!$D$7:$D$200,'Proyecto Datos (OKR´s)'!$G59,'_Datos'!$BI$7:$BI$200),""),""))</f>
        <v>0</v>
      </c>
      <c r="F59" s="204" t="str">
        <f>IF('_Datos'!$C59,IF(ISNUMBER('_Datos'!$AR59),'_Datos'!$AR59,"(Sin fecha)"),"")</f>
        <v>(Sin fecha)</v>
      </c>
      <c r="G59" s="204"/>
      <c r="H59" s="205"/>
      <c r="I59" s="204" t="str">
        <f>IF('_Datos'!$C59,IF(ISNUMBER('_Datos'!$AV59),'_Datos'!$AZ59,"(Sin fecha)"),"")</f>
        <v>(Sin fecha)</v>
      </c>
      <c r="J59" s="204"/>
      <c r="K59" s="205"/>
      <c r="L59" s="209">
        <f>IF('_Datos'!$C59,'_Datos'!$AX59,"")</f>
        <v>0</v>
      </c>
      <c r="M59" s="191"/>
      <c r="N59" s="204">
        <f>IF('_Datos'!$C59,'_Datos'!$BA59,"")</f>
      </c>
      <c r="O59" s="192"/>
    </row>
    <row r="60">
      <c r="B60" s="204">
        <f>IF('_Datos'!$C60,'_Datos'!$O60,"")</f>
      </c>
      <c r="C60" s="205">
        <f>IF('_Datos'!$C60,'_Datos'!$F60,IF('_Datos'!$B60,'Proyecto Datos (OKR´s)'!$G60,""))</f>
      </c>
      <c r="D60" s="204">
        <f>IF('_Datos'!$C60,'_Datos'!$AO60,"")</f>
      </c>
      <c r="E60" s="208">
        <f>IF('_Datos'!$C60,'_Datos'!$BI60,IF('_Datos'!$B60,IFERROR(AVERAGEIF('_Datos'!$D$7:$D$200,'Proyecto Datos (OKR´s)'!$G60,'_Datos'!$BI$7:$BI$200),""),""))</f>
      </c>
      <c r="F60" s="204">
        <f>IF('_Datos'!$C60,IF(ISNUMBER('_Datos'!$AR60),'_Datos'!$AR60,"(Sin fecha)"),"")</f>
      </c>
      <c r="G60" s="204"/>
      <c r="H60" s="205"/>
      <c r="I60" s="204">
        <f>IF('_Datos'!$C60,IF(ISNUMBER('_Datos'!$AV60),'_Datos'!$AZ60,"(Sin fecha)"),"")</f>
      </c>
      <c r="J60" s="204"/>
      <c r="K60" s="205"/>
      <c r="L60" s="209">
        <f>IF('_Datos'!$C60,'_Datos'!$AX60,"")</f>
      </c>
      <c r="M60" s="191"/>
      <c r="N60" s="204">
        <f>IF('_Datos'!$C60,'_Datos'!$BA60,"")</f>
      </c>
      <c r="O60" s="192"/>
    </row>
    <row r="61">
      <c r="B61" s="204">
        <f>IF('_Datos'!$C61,'_Datos'!$O61,"")</f>
      </c>
      <c r="C61" s="205">
        <f>IF('_Datos'!$C61,'_Datos'!$F61,IF('_Datos'!$B61,'Proyecto Datos (OKR´s)'!$G61,""))</f>
      </c>
      <c r="D61" s="204">
        <f>IF('_Datos'!$C61,'_Datos'!$AO61,"")</f>
      </c>
      <c r="E61" s="208">
        <f>IF('_Datos'!$C61,'_Datos'!$BI61,IF('_Datos'!$B61,IFERROR(AVERAGEIF('_Datos'!$D$7:$D$200,'Proyecto Datos (OKR´s)'!$G61,'_Datos'!$BI$7:$BI$200),""),""))</f>
      </c>
      <c r="F61" s="204">
        <f>IF('_Datos'!$C61,IF(ISNUMBER('_Datos'!$AR61),'_Datos'!$AR61,"(Sin fecha)"),"")</f>
      </c>
      <c r="G61" s="204"/>
      <c r="H61" s="205"/>
      <c r="I61" s="204">
        <f>IF('_Datos'!$C61,IF(ISNUMBER('_Datos'!$AV61),'_Datos'!$AZ61,"(Sin fecha)"),"")</f>
      </c>
      <c r="J61" s="204"/>
      <c r="K61" s="205"/>
      <c r="L61" s="209">
        <f>IF('_Datos'!$C61,'_Datos'!$AX61,"")</f>
      </c>
      <c r="M61" s="191"/>
      <c r="N61" s="204">
        <f>IF('_Datos'!$C61,'_Datos'!$BA61,"")</f>
      </c>
      <c r="O61" s="192"/>
    </row>
    <row r="62">
      <c r="B62" s="204">
        <f>IF('_Datos'!$C62,'_Datos'!$O62,"")</f>
      </c>
      <c r="C62" s="205">
        <f>IF('_Datos'!$C62,'_Datos'!$F62,IF('_Datos'!$B62,'Proyecto Datos (OKR´s)'!$G62,""))</f>
      </c>
      <c r="D62" s="204">
        <f>IF('_Datos'!$C62,'_Datos'!$AO62,"")</f>
      </c>
      <c r="E62" s="208">
        <f>IF('_Datos'!$C62,'_Datos'!$BI62,IF('_Datos'!$B62,IFERROR(AVERAGEIF('_Datos'!$D$7:$D$200,'Proyecto Datos (OKR´s)'!$G62,'_Datos'!$BI$7:$BI$200),""),""))</f>
      </c>
      <c r="F62" s="204">
        <f>IF('_Datos'!$C62,IF(ISNUMBER('_Datos'!$AR62),'_Datos'!$AR62,"(Sin fecha)"),"")</f>
      </c>
      <c r="G62" s="204"/>
      <c r="H62" s="205"/>
      <c r="I62" s="204">
        <f>IF('_Datos'!$C62,IF(ISNUMBER('_Datos'!$AV62),'_Datos'!$AZ62,"(Sin fecha)"),"")</f>
      </c>
      <c r="J62" s="204"/>
      <c r="K62" s="205"/>
      <c r="L62" s="209">
        <f>IF('_Datos'!$C62,'_Datos'!$AX62,"")</f>
      </c>
      <c r="M62" s="191"/>
      <c r="N62" s="204">
        <f>IF('_Datos'!$C62,'_Datos'!$BA62,"")</f>
      </c>
      <c r="O62" s="192"/>
    </row>
    <row r="63">
      <c r="B63" s="204">
        <f>IF('_Datos'!$C63,'_Datos'!$O63,"")</f>
      </c>
      <c r="C63" s="205">
        <f>IF('_Datos'!$C63,'_Datos'!$F63,IF('_Datos'!$B63,'Proyecto Datos (OKR´s)'!$G63,""))</f>
      </c>
      <c r="D63" s="204">
        <f>IF('_Datos'!$C63,'_Datos'!$AO63,"")</f>
      </c>
      <c r="E63" s="208">
        <f>IF('_Datos'!$C63,'_Datos'!$BI63,IF('_Datos'!$B63,IFERROR(AVERAGEIF('_Datos'!$D$7:$D$200,'Proyecto Datos (OKR´s)'!$G63,'_Datos'!$BI$7:$BI$200),""),""))</f>
      </c>
      <c r="F63" s="204">
        <f>IF('_Datos'!$C63,IF(ISNUMBER('_Datos'!$AR63),'_Datos'!$AR63,"(Sin fecha)"),"")</f>
      </c>
      <c r="G63" s="204"/>
      <c r="H63" s="205"/>
      <c r="I63" s="204">
        <f>IF('_Datos'!$C63,IF(ISNUMBER('_Datos'!$AV63),'_Datos'!$AZ63,"(Sin fecha)"),"")</f>
      </c>
      <c r="J63" s="204"/>
      <c r="K63" s="205"/>
      <c r="L63" s="209">
        <f>IF('_Datos'!$C63,'_Datos'!$AX63,"")</f>
      </c>
      <c r="M63" s="191"/>
      <c r="N63" s="204">
        <f>IF('_Datos'!$C63,'_Datos'!$BA63,"")</f>
      </c>
      <c r="O63" s="192"/>
    </row>
    <row r="64">
      <c r="B64" s="204">
        <f>IF('_Datos'!$C64,'_Datos'!$O64,"")</f>
      </c>
      <c r="C64" s="205">
        <f>IF('_Datos'!$C64,'_Datos'!$F64,IF('_Datos'!$B64,'Proyecto Datos (OKR´s)'!$G64,""))</f>
      </c>
      <c r="D64" s="204">
        <f>IF('_Datos'!$C64,'_Datos'!$AO64,"")</f>
      </c>
      <c r="E64" s="208">
        <f>IF('_Datos'!$C64,'_Datos'!$BI64,IF('_Datos'!$B64,IFERROR(AVERAGEIF('_Datos'!$D$7:$D$200,'Proyecto Datos (OKR´s)'!$G64,'_Datos'!$BI$7:$BI$200),""),""))</f>
      </c>
      <c r="F64" s="204">
        <f>IF('_Datos'!$C64,IF(ISNUMBER('_Datos'!$AR64),'_Datos'!$AR64,"(Sin fecha)"),"")</f>
      </c>
      <c r="G64" s="204"/>
      <c r="H64" s="205"/>
      <c r="I64" s="204">
        <f>IF('_Datos'!$C64,IF(ISNUMBER('_Datos'!$AV64),'_Datos'!$AZ64,"(Sin fecha)"),"")</f>
      </c>
      <c r="J64" s="204"/>
      <c r="K64" s="205"/>
      <c r="L64" s="209">
        <f>IF('_Datos'!$C64,'_Datos'!$AX64,"")</f>
      </c>
      <c r="M64" s="191"/>
      <c r="N64" s="204">
        <f>IF('_Datos'!$C64,'_Datos'!$BA64,"")</f>
      </c>
      <c r="O64" s="192"/>
    </row>
    <row r="65">
      <c r="B65" s="204">
        <f>IF('_Datos'!$C65,'_Datos'!$O65,"")</f>
      </c>
      <c r="C65" s="205">
        <f>IF('_Datos'!$C65,'_Datos'!$F65,IF('_Datos'!$B65,'Proyecto Datos (OKR´s)'!$G65,""))</f>
      </c>
      <c r="D65" s="204">
        <f>IF('_Datos'!$C65,'_Datos'!$AO65,"")</f>
      </c>
      <c r="E65" s="208">
        <f>IF('_Datos'!$C65,'_Datos'!$BI65,IF('_Datos'!$B65,IFERROR(AVERAGEIF('_Datos'!$D$7:$D$200,'Proyecto Datos (OKR´s)'!$G65,'_Datos'!$BI$7:$BI$200),""),""))</f>
      </c>
      <c r="F65" s="204">
        <f>IF('_Datos'!$C65,IF(ISNUMBER('_Datos'!$AR65),'_Datos'!$AR65,"(Sin fecha)"),"")</f>
      </c>
      <c r="G65" s="204"/>
      <c r="H65" s="205"/>
      <c r="I65" s="204">
        <f>IF('_Datos'!$C65,IF(ISNUMBER('_Datos'!$AV65),'_Datos'!$AZ65,"(Sin fecha)"),"")</f>
      </c>
      <c r="J65" s="204"/>
      <c r="K65" s="205"/>
      <c r="L65" s="209">
        <f>IF('_Datos'!$C65,'_Datos'!$AX65,"")</f>
      </c>
      <c r="M65" s="191"/>
      <c r="N65" s="204">
        <f>IF('_Datos'!$C65,'_Datos'!$BA65,"")</f>
      </c>
      <c r="O65" s="192"/>
    </row>
    <row r="66">
      <c r="B66" s="204">
        <f>IF('_Datos'!$C66,'_Datos'!$O66,"")</f>
      </c>
      <c r="C66" s="205">
        <f>IF('_Datos'!$C66,'_Datos'!$F66,IF('_Datos'!$B66,'Proyecto Datos (OKR´s)'!$G66,""))</f>
      </c>
      <c r="D66" s="204">
        <f>IF('_Datos'!$C66,'_Datos'!$AO66,"")</f>
      </c>
      <c r="E66" s="208">
        <f>IF('_Datos'!$C66,'_Datos'!$BI66,IF('_Datos'!$B66,IFERROR(AVERAGEIF('_Datos'!$D$7:$D$200,'Proyecto Datos (OKR´s)'!$G66,'_Datos'!$BI$7:$BI$200),""),""))</f>
      </c>
      <c r="F66" s="204">
        <f>IF('_Datos'!$C66,IF(ISNUMBER('_Datos'!$AR66),'_Datos'!$AR66,"(Sin fecha)"),"")</f>
      </c>
      <c r="G66" s="204"/>
      <c r="H66" s="205"/>
      <c r="I66" s="204">
        <f>IF('_Datos'!$C66,IF(ISNUMBER('_Datos'!$AV66),'_Datos'!$AZ66,"(Sin fecha)"),"")</f>
      </c>
      <c r="J66" s="204"/>
      <c r="K66" s="205"/>
      <c r="L66" s="209">
        <f>IF('_Datos'!$C66,'_Datos'!$AX66,"")</f>
      </c>
      <c r="M66" s="191"/>
      <c r="N66" s="204">
        <f>IF('_Datos'!$C66,'_Datos'!$BA66,"")</f>
      </c>
      <c r="O66" s="192"/>
    </row>
    <row r="67">
      <c r="B67" s="204">
        <f>IF('_Datos'!$C67,'_Datos'!$O67,"")</f>
      </c>
      <c r="C67" s="205">
        <f>IF('_Datos'!$C67,'_Datos'!$F67,IF('_Datos'!$B67,'Proyecto Datos (OKR´s)'!$G67,""))</f>
      </c>
      <c r="D67" s="204">
        <f>IF('_Datos'!$C67,'_Datos'!$AO67,"")</f>
      </c>
      <c r="E67" s="208">
        <f>IF('_Datos'!$C67,'_Datos'!$BI67,IF('_Datos'!$B67,IFERROR(AVERAGEIF('_Datos'!$D$7:$D$200,'Proyecto Datos (OKR´s)'!$G67,'_Datos'!$BI$7:$BI$200),""),""))</f>
      </c>
      <c r="F67" s="204">
        <f>IF('_Datos'!$C67,IF(ISNUMBER('_Datos'!$AR67),'_Datos'!$AR67,"(Sin fecha)"),"")</f>
      </c>
      <c r="G67" s="204"/>
      <c r="H67" s="205"/>
      <c r="I67" s="204">
        <f>IF('_Datos'!$C67,IF(ISNUMBER('_Datos'!$AV67),'_Datos'!$AZ67,"(Sin fecha)"),"")</f>
      </c>
      <c r="J67" s="204"/>
      <c r="K67" s="205"/>
      <c r="L67" s="209">
        <f>IF('_Datos'!$C67,'_Datos'!$AX67,"")</f>
      </c>
      <c r="M67" s="191"/>
      <c r="N67" s="204">
        <f>IF('_Datos'!$C67,'_Datos'!$BA67,"")</f>
      </c>
      <c r="O67" s="192"/>
    </row>
    <row r="68">
      <c r="B68" s="204">
        <f>IF('_Datos'!$C68,'_Datos'!$O68,"")</f>
      </c>
      <c r="C68" s="205">
        <f>IF('_Datos'!$C68,'_Datos'!$F68,IF('_Datos'!$B68,'Proyecto Datos (OKR´s)'!$G68,""))</f>
      </c>
      <c r="D68" s="204">
        <f>IF('_Datos'!$C68,'_Datos'!$AO68,"")</f>
      </c>
      <c r="E68" s="208">
        <f>IF('_Datos'!$C68,'_Datos'!$BI68,IF('_Datos'!$B68,IFERROR(AVERAGEIF('_Datos'!$D$7:$D$200,'Proyecto Datos (OKR´s)'!$G68,'_Datos'!$BI$7:$BI$200),""),""))</f>
      </c>
      <c r="F68" s="204">
        <f>IF('_Datos'!$C68,IF(ISNUMBER('_Datos'!$AR68),'_Datos'!$AR68,"(Sin fecha)"),"")</f>
      </c>
      <c r="G68" s="204"/>
      <c r="H68" s="205"/>
      <c r="I68" s="204">
        <f>IF('_Datos'!$C68,IF(ISNUMBER('_Datos'!$AV68),'_Datos'!$AZ68,"(Sin fecha)"),"")</f>
      </c>
      <c r="J68" s="204"/>
      <c r="K68" s="205"/>
      <c r="L68" s="209">
        <f>IF('_Datos'!$C68,'_Datos'!$AX68,"")</f>
      </c>
      <c r="M68" s="191"/>
      <c r="N68" s="204">
        <f>IF('_Datos'!$C68,'_Datos'!$BA68,"")</f>
      </c>
      <c r="O68" s="192"/>
    </row>
    <row r="69">
      <c r="B69" s="204">
        <f>IF('_Datos'!$C69,'_Datos'!$O69,"")</f>
      </c>
      <c r="C69" s="205">
        <f>IF('_Datos'!$C69,'_Datos'!$F69,IF('_Datos'!$B69,'Proyecto Datos (OKR´s)'!$G69,""))</f>
      </c>
      <c r="D69" s="204">
        <f>IF('_Datos'!$C69,'_Datos'!$AO69,"")</f>
      </c>
      <c r="E69" s="208">
        <f>IF('_Datos'!$C69,'_Datos'!$BI69,IF('_Datos'!$B69,IFERROR(AVERAGEIF('_Datos'!$D$7:$D$200,'Proyecto Datos (OKR´s)'!$G69,'_Datos'!$BI$7:$BI$200),""),""))</f>
      </c>
      <c r="F69" s="204">
        <f>IF('_Datos'!$C69,IF(ISNUMBER('_Datos'!$AR69),'_Datos'!$AR69,"(Sin fecha)"),"")</f>
      </c>
      <c r="G69" s="204"/>
      <c r="H69" s="205"/>
      <c r="I69" s="204">
        <f>IF('_Datos'!$C69,IF(ISNUMBER('_Datos'!$AV69),'_Datos'!$AZ69,"(Sin fecha)"),"")</f>
      </c>
      <c r="J69" s="204"/>
      <c r="K69" s="205"/>
      <c r="L69" s="209">
        <f>IF('_Datos'!$C69,'_Datos'!$AX69,"")</f>
      </c>
      <c r="M69" s="191"/>
      <c r="N69" s="204">
        <f>IF('_Datos'!$C69,'_Datos'!$BA69,"")</f>
      </c>
      <c r="O69" s="192"/>
    </row>
    <row r="70">
      <c r="B70" s="204">
        <f>IF('_Datos'!$C70,'_Datos'!$O70,"")</f>
      </c>
      <c r="C70" s="205">
        <f>IF('_Datos'!$C70,'_Datos'!$F70,IF('_Datos'!$B70,'Proyecto Datos (OKR´s)'!$G70,""))</f>
      </c>
      <c r="D70" s="204">
        <f>IF('_Datos'!$C70,'_Datos'!$AO70,"")</f>
      </c>
      <c r="E70" s="208">
        <f>IF('_Datos'!$C70,'_Datos'!$BI70,IF('_Datos'!$B70,IFERROR(AVERAGEIF('_Datos'!$D$7:$D$200,'Proyecto Datos (OKR´s)'!$G70,'_Datos'!$BI$7:$BI$200),""),""))</f>
      </c>
      <c r="F70" s="204">
        <f>IF('_Datos'!$C70,IF(ISNUMBER('_Datos'!$AR70),'_Datos'!$AR70,"(Sin fecha)"),"")</f>
      </c>
      <c r="G70" s="204"/>
      <c r="H70" s="205"/>
      <c r="I70" s="204">
        <f>IF('_Datos'!$C70,IF(ISNUMBER('_Datos'!$AV70),'_Datos'!$AZ70,"(Sin fecha)"),"")</f>
      </c>
      <c r="J70" s="204"/>
      <c r="K70" s="205"/>
      <c r="L70" s="209">
        <f>IF('_Datos'!$C70,'_Datos'!$AX70,"")</f>
      </c>
      <c r="M70" s="191"/>
      <c r="N70" s="204">
        <f>IF('_Datos'!$C70,'_Datos'!$BA70,"")</f>
      </c>
      <c r="O70" s="192"/>
    </row>
    <row r="71">
      <c r="B71" s="204">
        <f>IF('_Datos'!$C71,'_Datos'!$O71,"")</f>
      </c>
      <c r="C71" s="205">
        <f>IF('_Datos'!$C71,'_Datos'!$F71,IF('_Datos'!$B71,'Proyecto Datos (OKR´s)'!$G71,""))</f>
      </c>
      <c r="D71" s="204">
        <f>IF('_Datos'!$C71,'_Datos'!$AO71,"")</f>
      </c>
      <c r="E71" s="208">
        <f>IF('_Datos'!$C71,'_Datos'!$BI71,IF('_Datos'!$B71,IFERROR(AVERAGEIF('_Datos'!$D$7:$D$200,'Proyecto Datos (OKR´s)'!$G71,'_Datos'!$BI$7:$BI$200),""),""))</f>
      </c>
      <c r="F71" s="204">
        <f>IF('_Datos'!$C71,IF(ISNUMBER('_Datos'!$AR71),'_Datos'!$AR71,"(Sin fecha)"),"")</f>
      </c>
      <c r="G71" s="204"/>
      <c r="H71" s="205"/>
      <c r="I71" s="204">
        <f>IF('_Datos'!$C71,IF(ISNUMBER('_Datos'!$AV71),'_Datos'!$AZ71,"(Sin fecha)"),"")</f>
      </c>
      <c r="J71" s="204"/>
      <c r="K71" s="205"/>
      <c r="L71" s="209">
        <f>IF('_Datos'!$C71,'_Datos'!$AX71,"")</f>
      </c>
      <c r="M71" s="191"/>
      <c r="N71" s="204">
        <f>IF('_Datos'!$C71,'_Datos'!$BA71,"")</f>
      </c>
      <c r="O71" s="192"/>
    </row>
    <row r="72">
      <c r="B72" s="204">
        <f>IF('_Datos'!$C72,'_Datos'!$O72,"")</f>
      </c>
      <c r="C72" s="205">
        <f>IF('_Datos'!$C72,'_Datos'!$F72,IF('_Datos'!$B72,'Proyecto Datos (OKR´s)'!$G72,""))</f>
      </c>
      <c r="D72" s="204">
        <f>IF('_Datos'!$C72,'_Datos'!$AO72,"")</f>
      </c>
      <c r="E72" s="208">
        <f>IF('_Datos'!$C72,'_Datos'!$BI72,IF('_Datos'!$B72,IFERROR(AVERAGEIF('_Datos'!$D$7:$D$200,'Proyecto Datos (OKR´s)'!$G72,'_Datos'!$BI$7:$BI$200),""),""))</f>
      </c>
      <c r="F72" s="204">
        <f>IF('_Datos'!$C72,IF(ISNUMBER('_Datos'!$AR72),'_Datos'!$AR72,"(Sin fecha)"),"")</f>
      </c>
      <c r="G72" s="204"/>
      <c r="H72" s="205"/>
      <c r="I72" s="204">
        <f>IF('_Datos'!$C72,IF(ISNUMBER('_Datos'!$AV72),'_Datos'!$AZ72,"(Sin fecha)"),"")</f>
      </c>
      <c r="J72" s="204"/>
      <c r="K72" s="205"/>
      <c r="L72" s="209">
        <f>IF('_Datos'!$C72,'_Datos'!$AX72,"")</f>
      </c>
      <c r="M72" s="191"/>
      <c r="N72" s="204">
        <f>IF('_Datos'!$C72,'_Datos'!$BA72,"")</f>
      </c>
      <c r="O72" s="192"/>
    </row>
    <row r="73">
      <c r="B73" s="204">
        <f>IF('_Datos'!$C73,'_Datos'!$O73,"")</f>
      </c>
      <c r="C73" s="205">
        <f>IF('_Datos'!$C73,'_Datos'!$F73,IF('_Datos'!$B73,'Proyecto Datos (OKR´s)'!$G73,""))</f>
      </c>
      <c r="D73" s="204">
        <f>IF('_Datos'!$C73,'_Datos'!$AO73,"")</f>
      </c>
      <c r="E73" s="208">
        <f>IF('_Datos'!$C73,'_Datos'!$BI73,IF('_Datos'!$B73,IFERROR(AVERAGEIF('_Datos'!$D$7:$D$200,'Proyecto Datos (OKR´s)'!$G73,'_Datos'!$BI$7:$BI$200),""),""))</f>
      </c>
      <c r="F73" s="204">
        <f>IF('_Datos'!$C73,IF(ISNUMBER('_Datos'!$AR73),'_Datos'!$AR73,"(Sin fecha)"),"")</f>
      </c>
      <c r="G73" s="204"/>
      <c r="H73" s="205"/>
      <c r="I73" s="204">
        <f>IF('_Datos'!$C73,IF(ISNUMBER('_Datos'!$AV73),'_Datos'!$AZ73,"(Sin fecha)"),"")</f>
      </c>
      <c r="J73" s="204"/>
      <c r="K73" s="205"/>
      <c r="L73" s="209">
        <f>IF('_Datos'!$C73,'_Datos'!$AX73,"")</f>
      </c>
      <c r="M73" s="191"/>
      <c r="N73" s="204">
        <f>IF('_Datos'!$C73,'_Datos'!$BA73,"")</f>
      </c>
      <c r="O73" s="192"/>
    </row>
    <row r="74">
      <c r="B74" s="204">
        <f>IF('_Datos'!$C74,'_Datos'!$O74,"")</f>
      </c>
      <c r="C74" s="205">
        <f>IF('_Datos'!$C74,'_Datos'!$F74,IF('_Datos'!$B74,'Proyecto Datos (OKR´s)'!$G74,""))</f>
      </c>
      <c r="D74" s="204">
        <f>IF('_Datos'!$C74,'_Datos'!$AO74,"")</f>
      </c>
      <c r="E74" s="208">
        <f>IF('_Datos'!$C74,'_Datos'!$BI74,IF('_Datos'!$B74,IFERROR(AVERAGEIF('_Datos'!$D$7:$D$200,'Proyecto Datos (OKR´s)'!$G74,'_Datos'!$BI$7:$BI$200),""),""))</f>
      </c>
      <c r="F74" s="204">
        <f>IF('_Datos'!$C74,IF(ISNUMBER('_Datos'!$AR74),'_Datos'!$AR74,"(Sin fecha)"),"")</f>
      </c>
      <c r="G74" s="204"/>
      <c r="H74" s="205"/>
      <c r="I74" s="204">
        <f>IF('_Datos'!$C74,IF(ISNUMBER('_Datos'!$AV74),'_Datos'!$AZ74,"(Sin fecha)"),"")</f>
      </c>
      <c r="J74" s="204"/>
      <c r="K74" s="205"/>
      <c r="L74" s="209">
        <f>IF('_Datos'!$C74,'_Datos'!$AX74,"")</f>
      </c>
      <c r="M74" s="191"/>
      <c r="N74" s="204">
        <f>IF('_Datos'!$C74,'_Datos'!$BA74,"")</f>
      </c>
      <c r="O74" s="192"/>
    </row>
    <row r="75">
      <c r="B75" s="204">
        <f>IF('_Datos'!$C75,'_Datos'!$O75,"")</f>
      </c>
      <c r="C75" s="205">
        <f>IF('_Datos'!$C75,'_Datos'!$F75,IF('_Datos'!$B75,'Proyecto Datos (OKR´s)'!$G75,""))</f>
      </c>
      <c r="D75" s="204">
        <f>IF('_Datos'!$C75,'_Datos'!$AO75,"")</f>
      </c>
      <c r="E75" s="208">
        <f>IF('_Datos'!$C75,'_Datos'!$BI75,IF('_Datos'!$B75,IFERROR(AVERAGEIF('_Datos'!$D$7:$D$200,'Proyecto Datos (OKR´s)'!$G75,'_Datos'!$BI$7:$BI$200),""),""))</f>
      </c>
      <c r="F75" s="204">
        <f>IF('_Datos'!$C75,IF(ISNUMBER('_Datos'!$AR75),'_Datos'!$AR75,"(Sin fecha)"),"")</f>
      </c>
      <c r="G75" s="204"/>
      <c r="H75" s="205"/>
      <c r="I75" s="204">
        <f>IF('_Datos'!$C75,IF(ISNUMBER('_Datos'!$AV75),'_Datos'!$AZ75,"(Sin fecha)"),"")</f>
      </c>
      <c r="J75" s="204"/>
      <c r="K75" s="205"/>
      <c r="L75" s="209">
        <f>IF('_Datos'!$C75,'_Datos'!$AX75,"")</f>
      </c>
      <c r="M75" s="191"/>
      <c r="N75" s="204">
        <f>IF('_Datos'!$C75,'_Datos'!$BA75,"")</f>
      </c>
      <c r="O75" s="192"/>
    </row>
    <row r="76">
      <c r="B76" s="204">
        <f>IF('_Datos'!$C76,'_Datos'!$O76,"")</f>
      </c>
      <c r="C76" s="205">
        <f>IF('_Datos'!$C76,'_Datos'!$F76,IF('_Datos'!$B76,'Proyecto Datos (OKR´s)'!$G76,""))</f>
      </c>
      <c r="D76" s="204">
        <f>IF('_Datos'!$C76,'_Datos'!$AO76,"")</f>
      </c>
      <c r="E76" s="208">
        <f>IF('_Datos'!$C76,'_Datos'!$BI76,IF('_Datos'!$B76,IFERROR(AVERAGEIF('_Datos'!$D$7:$D$200,'Proyecto Datos (OKR´s)'!$G76,'_Datos'!$BI$7:$BI$200),""),""))</f>
      </c>
      <c r="F76" s="204">
        <f>IF('_Datos'!$C76,IF(ISNUMBER('_Datos'!$AR76),'_Datos'!$AR76,"(Sin fecha)"),"")</f>
      </c>
      <c r="G76" s="204"/>
      <c r="H76" s="205"/>
      <c r="I76" s="204">
        <f>IF('_Datos'!$C76,IF(ISNUMBER('_Datos'!$AV76),'_Datos'!$AZ76,"(Sin fecha)"),"")</f>
      </c>
      <c r="J76" s="204"/>
      <c r="K76" s="205"/>
      <c r="L76" s="209">
        <f>IF('_Datos'!$C76,'_Datos'!$AX76,"")</f>
      </c>
      <c r="M76" s="191"/>
      <c r="N76" s="204">
        <f>IF('_Datos'!$C76,'_Datos'!$BA76,"")</f>
      </c>
      <c r="O76" s="192"/>
    </row>
    <row r="77">
      <c r="B77" s="204">
        <f>IF('_Datos'!$C77,'_Datos'!$O77,"")</f>
      </c>
      <c r="C77" s="205">
        <f>IF('_Datos'!$C77,'_Datos'!$F77,IF('_Datos'!$B77,'Proyecto Datos (OKR´s)'!$G77,""))</f>
      </c>
      <c r="D77" s="204">
        <f>IF('_Datos'!$C77,'_Datos'!$AO77,"")</f>
      </c>
      <c r="E77" s="208">
        <f>IF('_Datos'!$C77,'_Datos'!$BI77,IF('_Datos'!$B77,IFERROR(AVERAGEIF('_Datos'!$D$7:$D$200,'Proyecto Datos (OKR´s)'!$G77,'_Datos'!$BI$7:$BI$200),""),""))</f>
      </c>
      <c r="F77" s="204">
        <f>IF('_Datos'!$C77,IF(ISNUMBER('_Datos'!$AR77),'_Datos'!$AR77,"(Sin fecha)"),"")</f>
      </c>
      <c r="G77" s="204"/>
      <c r="H77" s="205"/>
      <c r="I77" s="204">
        <f>IF('_Datos'!$C77,IF(ISNUMBER('_Datos'!$AV77),'_Datos'!$AZ77,"(Sin fecha)"),"")</f>
      </c>
      <c r="J77" s="204"/>
      <c r="K77" s="205"/>
      <c r="L77" s="209">
        <f>IF('_Datos'!$C77,'_Datos'!$AX77,"")</f>
      </c>
      <c r="M77" s="191"/>
      <c r="N77" s="204">
        <f>IF('_Datos'!$C77,'_Datos'!$BA77,"")</f>
      </c>
      <c r="O77" s="192"/>
    </row>
    <row r="78">
      <c r="B78" s="204">
        <f>IF('_Datos'!$C78,'_Datos'!$O78,"")</f>
      </c>
      <c r="C78" s="205">
        <f>IF('_Datos'!$C78,'_Datos'!$F78,IF('_Datos'!$B78,'Proyecto Datos (OKR´s)'!$G78,""))</f>
      </c>
      <c r="D78" s="204">
        <f>IF('_Datos'!$C78,'_Datos'!$AO78,"")</f>
      </c>
      <c r="E78" s="208">
        <f>IF('_Datos'!$C78,'_Datos'!$BI78,IF('_Datos'!$B78,IFERROR(AVERAGEIF('_Datos'!$D$7:$D$200,'Proyecto Datos (OKR´s)'!$G78,'_Datos'!$BI$7:$BI$200),""),""))</f>
      </c>
      <c r="F78" s="204">
        <f>IF('_Datos'!$C78,IF(ISNUMBER('_Datos'!$AR78),'_Datos'!$AR78,"(Sin fecha)"),"")</f>
      </c>
      <c r="G78" s="204"/>
      <c r="H78" s="205"/>
      <c r="I78" s="204">
        <f>IF('_Datos'!$C78,IF(ISNUMBER('_Datos'!$AV78),'_Datos'!$AZ78,"(Sin fecha)"),"")</f>
      </c>
      <c r="J78" s="204"/>
      <c r="K78" s="205"/>
      <c r="L78" s="209">
        <f>IF('_Datos'!$C78,'_Datos'!$AX78,"")</f>
      </c>
      <c r="M78" s="191"/>
      <c r="N78" s="204">
        <f>IF('_Datos'!$C78,'_Datos'!$BA78,"")</f>
      </c>
      <c r="O78" s="192"/>
    </row>
    <row r="79">
      <c r="B79" s="204">
        <f>IF('_Datos'!$C79,'_Datos'!$O79,"")</f>
      </c>
      <c r="C79" s="205">
        <f>IF('_Datos'!$C79,'_Datos'!$F79,IF('_Datos'!$B79,'Proyecto Datos (OKR´s)'!$G79,""))</f>
      </c>
      <c r="D79" s="204">
        <f>IF('_Datos'!$C79,'_Datos'!$AO79,"")</f>
      </c>
      <c r="E79" s="208">
        <f>IF('_Datos'!$C79,'_Datos'!$BI79,IF('_Datos'!$B79,IFERROR(AVERAGEIF('_Datos'!$D$7:$D$200,'Proyecto Datos (OKR´s)'!$G79,'_Datos'!$BI$7:$BI$200),""),""))</f>
      </c>
      <c r="F79" s="204">
        <f>IF('_Datos'!$C79,IF(ISNUMBER('_Datos'!$AR79),'_Datos'!$AR79,"(Sin fecha)"),"")</f>
      </c>
      <c r="G79" s="204"/>
      <c r="H79" s="205"/>
      <c r="I79" s="204">
        <f>IF('_Datos'!$C79,IF(ISNUMBER('_Datos'!$AV79),'_Datos'!$AZ79,"(Sin fecha)"),"")</f>
      </c>
      <c r="J79" s="204"/>
      <c r="K79" s="205"/>
      <c r="L79" s="209">
        <f>IF('_Datos'!$C79,'_Datos'!$AX79,"")</f>
      </c>
      <c r="M79" s="191"/>
      <c r="N79" s="204">
        <f>IF('_Datos'!$C79,'_Datos'!$BA79,"")</f>
      </c>
      <c r="O79" s="192"/>
    </row>
    <row r="80">
      <c r="B80" s="204">
        <f>IF('_Datos'!$C80,'_Datos'!$O80,"")</f>
      </c>
      <c r="C80" s="205">
        <f>IF('_Datos'!$C80,'_Datos'!$F80,IF('_Datos'!$B80,'Proyecto Datos (OKR´s)'!$G80,""))</f>
      </c>
      <c r="D80" s="204">
        <f>IF('_Datos'!$C80,'_Datos'!$AO80,"")</f>
      </c>
      <c r="E80" s="208">
        <f>IF('_Datos'!$C80,'_Datos'!$BI80,IF('_Datos'!$B80,IFERROR(AVERAGEIF('_Datos'!$D$7:$D$200,'Proyecto Datos (OKR´s)'!$G80,'_Datos'!$BI$7:$BI$200),""),""))</f>
      </c>
      <c r="F80" s="204">
        <f>IF('_Datos'!$C80,IF(ISNUMBER('_Datos'!$AR80),'_Datos'!$AR80,"(Sin fecha)"),"")</f>
      </c>
      <c r="G80" s="204"/>
      <c r="H80" s="205"/>
      <c r="I80" s="204">
        <f>IF('_Datos'!$C80,IF(ISNUMBER('_Datos'!$AV80),'_Datos'!$AZ80,"(Sin fecha)"),"")</f>
      </c>
      <c r="J80" s="204"/>
      <c r="K80" s="205"/>
      <c r="L80" s="209">
        <f>IF('_Datos'!$C80,'_Datos'!$AX80,"")</f>
      </c>
      <c r="M80" s="191"/>
      <c r="N80" s="204">
        <f>IF('_Datos'!$C80,'_Datos'!$BA80,"")</f>
      </c>
      <c r="O80" s="192"/>
    </row>
    <row r="81">
      <c r="B81" s="204">
        <f>IF('_Datos'!$C81,'_Datos'!$O81,"")</f>
      </c>
      <c r="C81" s="205">
        <f>IF('_Datos'!$C81,'_Datos'!$F81,IF('_Datos'!$B81,'Proyecto Datos (OKR´s)'!$G81,""))</f>
      </c>
      <c r="D81" s="204">
        <f>IF('_Datos'!$C81,'_Datos'!$AO81,"")</f>
      </c>
      <c r="E81" s="208">
        <f>IF('_Datos'!$C81,'_Datos'!$BI81,IF('_Datos'!$B81,IFERROR(AVERAGEIF('_Datos'!$D$7:$D$200,'Proyecto Datos (OKR´s)'!$G81,'_Datos'!$BI$7:$BI$200),""),""))</f>
      </c>
      <c r="F81" s="204">
        <f>IF('_Datos'!$C81,IF(ISNUMBER('_Datos'!$AR81),'_Datos'!$AR81,"(Sin fecha)"),"")</f>
      </c>
      <c r="G81" s="204"/>
      <c r="H81" s="205"/>
      <c r="I81" s="204">
        <f>IF('_Datos'!$C81,IF(ISNUMBER('_Datos'!$AV81),'_Datos'!$AZ81,"(Sin fecha)"),"")</f>
      </c>
      <c r="J81" s="204"/>
      <c r="K81" s="205"/>
      <c r="L81" s="209">
        <f>IF('_Datos'!$C81,'_Datos'!$AX81,"")</f>
      </c>
      <c r="M81" s="191"/>
      <c r="N81" s="204">
        <f>IF('_Datos'!$C81,'_Datos'!$BA81,"")</f>
      </c>
      <c r="O81" s="192"/>
    </row>
    <row r="82">
      <c r="B82" s="204">
        <f>IF('_Datos'!$C82,'_Datos'!$O82,"")</f>
      </c>
      <c r="C82" s="205">
        <f>IF('_Datos'!$C82,'_Datos'!$F82,IF('_Datos'!$B82,'Proyecto Datos (OKR´s)'!$G82,""))</f>
      </c>
      <c r="D82" s="204">
        <f>IF('_Datos'!$C82,'_Datos'!$AO82,"")</f>
      </c>
      <c r="E82" s="208">
        <f>IF('_Datos'!$C82,'_Datos'!$BI82,IF('_Datos'!$B82,IFERROR(AVERAGEIF('_Datos'!$D$7:$D$200,'Proyecto Datos (OKR´s)'!$G82,'_Datos'!$BI$7:$BI$200),""),""))</f>
      </c>
      <c r="F82" s="204">
        <f>IF('_Datos'!$C82,IF(ISNUMBER('_Datos'!$AR82),'_Datos'!$AR82,"(Sin fecha)"),"")</f>
      </c>
      <c r="G82" s="204"/>
      <c r="H82" s="205"/>
      <c r="I82" s="204">
        <f>IF('_Datos'!$C82,IF(ISNUMBER('_Datos'!$AV82),'_Datos'!$AZ82,"(Sin fecha)"),"")</f>
      </c>
      <c r="J82" s="204"/>
      <c r="K82" s="205"/>
      <c r="L82" s="209">
        <f>IF('_Datos'!$C82,'_Datos'!$AX82,"")</f>
      </c>
      <c r="M82" s="191"/>
      <c r="N82" s="204">
        <f>IF('_Datos'!$C82,'_Datos'!$BA82,"")</f>
      </c>
      <c r="O82" s="192"/>
    </row>
    <row r="83">
      <c r="B83" s="204">
        <f>IF('_Datos'!$C83,'_Datos'!$O83,"")</f>
      </c>
      <c r="C83" s="205">
        <f>IF('_Datos'!$C83,'_Datos'!$F83,IF('_Datos'!$B83,'Proyecto Datos (OKR´s)'!$G83,""))</f>
      </c>
      <c r="D83" s="204">
        <f>IF('_Datos'!$C83,'_Datos'!$AO83,"")</f>
      </c>
      <c r="E83" s="208">
        <f>IF('_Datos'!$C83,'_Datos'!$BI83,IF('_Datos'!$B83,IFERROR(AVERAGEIF('_Datos'!$D$7:$D$200,'Proyecto Datos (OKR´s)'!$G83,'_Datos'!$BI$7:$BI$200),""),""))</f>
      </c>
      <c r="F83" s="204">
        <f>IF('_Datos'!$C83,IF(ISNUMBER('_Datos'!$AR83),'_Datos'!$AR83,"(Sin fecha)"),"")</f>
      </c>
      <c r="G83" s="204"/>
      <c r="H83" s="205"/>
      <c r="I83" s="204">
        <f>IF('_Datos'!$C83,IF(ISNUMBER('_Datos'!$AV83),'_Datos'!$AZ83,"(Sin fecha)"),"")</f>
      </c>
      <c r="J83" s="204"/>
      <c r="K83" s="205"/>
      <c r="L83" s="209">
        <f>IF('_Datos'!$C83,'_Datos'!$AX83,"")</f>
      </c>
      <c r="M83" s="191"/>
      <c r="N83" s="204">
        <f>IF('_Datos'!$C83,'_Datos'!$BA83,"")</f>
      </c>
      <c r="O83" s="192"/>
    </row>
    <row r="84">
      <c r="B84" s="204">
        <f>IF('_Datos'!$C84,'_Datos'!$O84,"")</f>
      </c>
      <c r="C84" s="205">
        <f>IF('_Datos'!$C84,'_Datos'!$F84,IF('_Datos'!$B84,'Proyecto Datos (OKR´s)'!$G84,""))</f>
      </c>
      <c r="D84" s="204">
        <f>IF('_Datos'!$C84,'_Datos'!$AO84,"")</f>
      </c>
      <c r="E84" s="208">
        <f>IF('_Datos'!$C84,'_Datos'!$BI84,IF('_Datos'!$B84,IFERROR(AVERAGEIF('_Datos'!$D$7:$D$200,'Proyecto Datos (OKR´s)'!$G84,'_Datos'!$BI$7:$BI$200),""),""))</f>
      </c>
      <c r="F84" s="204">
        <f>IF('_Datos'!$C84,IF(ISNUMBER('_Datos'!$AR84),'_Datos'!$AR84,"(Sin fecha)"),"")</f>
      </c>
      <c r="G84" s="204"/>
      <c r="H84" s="205"/>
      <c r="I84" s="204">
        <f>IF('_Datos'!$C84,IF(ISNUMBER('_Datos'!$AV84),'_Datos'!$AZ84,"(Sin fecha)"),"")</f>
      </c>
      <c r="J84" s="204"/>
      <c r="K84" s="205"/>
      <c r="L84" s="209">
        <f>IF('_Datos'!$C84,'_Datos'!$AX84,"")</f>
      </c>
      <c r="M84" s="191"/>
      <c r="N84" s="204">
        <f>IF('_Datos'!$C84,'_Datos'!$BA84,"")</f>
      </c>
      <c r="O84" s="192"/>
    </row>
    <row r="85">
      <c r="B85" s="204">
        <f>IF('_Datos'!$C85,'_Datos'!$O85,"")</f>
      </c>
      <c r="C85" s="205">
        <f>IF('_Datos'!$C85,'_Datos'!$F85,IF('_Datos'!$B85,'Proyecto Datos (OKR´s)'!$G85,""))</f>
      </c>
      <c r="D85" s="204">
        <f>IF('_Datos'!$C85,'_Datos'!$AO85,"")</f>
      </c>
      <c r="E85" s="208">
        <f>IF('_Datos'!$C85,'_Datos'!$BI85,IF('_Datos'!$B85,IFERROR(AVERAGEIF('_Datos'!$D$7:$D$200,'Proyecto Datos (OKR´s)'!$G85,'_Datos'!$BI$7:$BI$200),""),""))</f>
      </c>
      <c r="F85" s="204">
        <f>IF('_Datos'!$C85,IF(ISNUMBER('_Datos'!$AR85),'_Datos'!$AR85,"(Sin fecha)"),"")</f>
      </c>
      <c r="G85" s="204"/>
      <c r="H85" s="205"/>
      <c r="I85" s="204">
        <f>IF('_Datos'!$C85,IF(ISNUMBER('_Datos'!$AV85),'_Datos'!$AZ85,"(Sin fecha)"),"")</f>
      </c>
      <c r="J85" s="204"/>
      <c r="K85" s="205"/>
      <c r="L85" s="209">
        <f>IF('_Datos'!$C85,'_Datos'!$AX85,"")</f>
      </c>
      <c r="M85" s="191"/>
      <c r="N85" s="204">
        <f>IF('_Datos'!$C85,'_Datos'!$BA85,"")</f>
      </c>
      <c r="O85" s="192"/>
    </row>
    <row r="86">
      <c r="B86" s="204">
        <f>IF('_Datos'!$C86,'_Datos'!$O86,"")</f>
      </c>
      <c r="C86" s="205">
        <f>IF('_Datos'!$C86,'_Datos'!$F86,IF('_Datos'!$B86,'Proyecto Datos (OKR´s)'!$G86,""))</f>
      </c>
      <c r="D86" s="204">
        <f>IF('_Datos'!$C86,'_Datos'!$AO86,"")</f>
      </c>
      <c r="E86" s="208">
        <f>IF('_Datos'!$C86,'_Datos'!$BI86,IF('_Datos'!$B86,IFERROR(AVERAGEIF('_Datos'!$D$7:$D$200,'Proyecto Datos (OKR´s)'!$G86,'_Datos'!$BI$7:$BI$200),""),""))</f>
      </c>
      <c r="F86" s="204">
        <f>IF('_Datos'!$C86,IF(ISNUMBER('_Datos'!$AR86),'_Datos'!$AR86,"(Sin fecha)"),"")</f>
      </c>
      <c r="G86" s="204"/>
      <c r="H86" s="205"/>
      <c r="I86" s="204">
        <f>IF('_Datos'!$C86,IF(ISNUMBER('_Datos'!$AV86),'_Datos'!$AZ86,"(Sin fecha)"),"")</f>
      </c>
      <c r="J86" s="204"/>
      <c r="K86" s="205"/>
      <c r="L86" s="209">
        <f>IF('_Datos'!$C86,'_Datos'!$AX86,"")</f>
      </c>
      <c r="M86" s="191"/>
      <c r="N86" s="204">
        <f>IF('_Datos'!$C86,'_Datos'!$BA86,"")</f>
      </c>
      <c r="O86" s="192"/>
    </row>
    <row r="87">
      <c r="B87" s="204">
        <f>IF('_Datos'!$C87,'_Datos'!$O87,"")</f>
      </c>
      <c r="C87" s="205">
        <f>IF('_Datos'!$C87,'_Datos'!$F87,IF('_Datos'!$B87,'Proyecto Datos (OKR´s)'!$G87,""))</f>
      </c>
      <c r="D87" s="204">
        <f>IF('_Datos'!$C87,'_Datos'!$AO87,"")</f>
      </c>
      <c r="E87" s="208">
        <f>IF('_Datos'!$C87,'_Datos'!$BI87,IF('_Datos'!$B87,IFERROR(AVERAGEIF('_Datos'!$D$7:$D$200,'Proyecto Datos (OKR´s)'!$G87,'_Datos'!$BI$7:$BI$200),""),""))</f>
      </c>
      <c r="F87" s="204">
        <f>IF('_Datos'!$C87,IF(ISNUMBER('_Datos'!$AR87),'_Datos'!$AR87,"(Sin fecha)"),"")</f>
      </c>
      <c r="G87" s="204"/>
      <c r="H87" s="205"/>
      <c r="I87" s="204">
        <f>IF('_Datos'!$C87,IF(ISNUMBER('_Datos'!$AV87),'_Datos'!$AZ87,"(Sin fecha)"),"")</f>
      </c>
      <c r="J87" s="204"/>
      <c r="K87" s="205"/>
      <c r="L87" s="209">
        <f>IF('_Datos'!$C87,'_Datos'!$AX87,"")</f>
      </c>
      <c r="M87" s="191"/>
      <c r="N87" s="204">
        <f>IF('_Datos'!$C87,'_Datos'!$BA87,"")</f>
      </c>
      <c r="O87" s="192"/>
    </row>
    <row r="88">
      <c r="B88" s="204">
        <f>IF('_Datos'!$C88,'_Datos'!$O88,"")</f>
      </c>
      <c r="C88" s="205">
        <f>IF('_Datos'!$C88,'_Datos'!$F88,IF('_Datos'!$B88,'Proyecto Datos (OKR´s)'!$G88,""))</f>
      </c>
      <c r="D88" s="204">
        <f>IF('_Datos'!$C88,'_Datos'!$AO88,"")</f>
      </c>
      <c r="E88" s="208">
        <f>IF('_Datos'!$C88,'_Datos'!$BI88,IF('_Datos'!$B88,IFERROR(AVERAGEIF('_Datos'!$D$7:$D$200,'Proyecto Datos (OKR´s)'!$G88,'_Datos'!$BI$7:$BI$200),""),""))</f>
      </c>
      <c r="F88" s="204">
        <f>IF('_Datos'!$C88,IF(ISNUMBER('_Datos'!$AR88),'_Datos'!$AR88,"(Sin fecha)"),"")</f>
      </c>
      <c r="G88" s="204"/>
      <c r="H88" s="205"/>
      <c r="I88" s="204">
        <f>IF('_Datos'!$C88,IF(ISNUMBER('_Datos'!$AV88),'_Datos'!$AZ88,"(Sin fecha)"),"")</f>
      </c>
      <c r="J88" s="204"/>
      <c r="K88" s="205"/>
      <c r="L88" s="209">
        <f>IF('_Datos'!$C88,'_Datos'!$AX88,"")</f>
      </c>
      <c r="M88" s="191"/>
      <c r="N88" s="204">
        <f>IF('_Datos'!$C88,'_Datos'!$BA88,"")</f>
      </c>
      <c r="O88" s="192"/>
    </row>
    <row r="89">
      <c r="B89" s="204">
        <f>IF('_Datos'!$C89,'_Datos'!$O89,"")</f>
      </c>
      <c r="C89" s="205">
        <f>IF('_Datos'!$C89,'_Datos'!$F89,IF('_Datos'!$B89,'Proyecto Datos (OKR´s)'!$G89,""))</f>
      </c>
      <c r="D89" s="204">
        <f>IF('_Datos'!$C89,'_Datos'!$AO89,"")</f>
      </c>
      <c r="E89" s="208">
        <f>IF('_Datos'!$C89,'_Datos'!$BI89,IF('_Datos'!$B89,IFERROR(AVERAGEIF('_Datos'!$D$7:$D$200,'Proyecto Datos (OKR´s)'!$G89,'_Datos'!$BI$7:$BI$200),""),""))</f>
      </c>
      <c r="F89" s="204">
        <f>IF('_Datos'!$C89,IF(ISNUMBER('_Datos'!$AR89),'_Datos'!$AR89,"(Sin fecha)"),"")</f>
      </c>
      <c r="G89" s="204"/>
      <c r="H89" s="205"/>
      <c r="I89" s="204">
        <f>IF('_Datos'!$C89,IF(ISNUMBER('_Datos'!$AV89),'_Datos'!$AZ89,"(Sin fecha)"),"")</f>
      </c>
      <c r="J89" s="204"/>
      <c r="K89" s="205"/>
      <c r="L89" s="209">
        <f>IF('_Datos'!$C89,'_Datos'!$AX89,"")</f>
      </c>
      <c r="M89" s="191"/>
      <c r="N89" s="204">
        <f>IF('_Datos'!$C89,'_Datos'!$BA89,"")</f>
      </c>
      <c r="O89" s="192"/>
    </row>
    <row r="90">
      <c r="B90" s="204">
        <f>IF('_Datos'!$C90,'_Datos'!$O90,"")</f>
      </c>
      <c r="C90" s="205">
        <f>IF('_Datos'!$C90,'_Datos'!$F90,IF('_Datos'!$B90,'Proyecto Datos (OKR´s)'!$G90,""))</f>
      </c>
      <c r="D90" s="204">
        <f>IF('_Datos'!$C90,'_Datos'!$AO90,"")</f>
      </c>
      <c r="E90" s="208">
        <f>IF('_Datos'!$C90,'_Datos'!$BI90,IF('_Datos'!$B90,IFERROR(AVERAGEIF('_Datos'!$D$7:$D$200,'Proyecto Datos (OKR´s)'!$G90,'_Datos'!$BI$7:$BI$200),""),""))</f>
      </c>
      <c r="F90" s="204">
        <f>IF('_Datos'!$C90,IF(ISNUMBER('_Datos'!$AR90),'_Datos'!$AR90,"(Sin fecha)"),"")</f>
      </c>
      <c r="G90" s="204"/>
      <c r="H90" s="205"/>
      <c r="I90" s="204">
        <f>IF('_Datos'!$C90,IF(ISNUMBER('_Datos'!$AV90),'_Datos'!$AZ90,"(Sin fecha)"),"")</f>
      </c>
      <c r="J90" s="204"/>
      <c r="K90" s="205"/>
      <c r="L90" s="209">
        <f>IF('_Datos'!$C90,'_Datos'!$AX90,"")</f>
      </c>
      <c r="M90" s="191"/>
      <c r="N90" s="204">
        <f>IF('_Datos'!$C90,'_Datos'!$BA90,"")</f>
      </c>
      <c r="O90" s="192"/>
    </row>
    <row r="91">
      <c r="B91" s="204">
        <f>IF('_Datos'!$C91,'_Datos'!$O91,"")</f>
      </c>
      <c r="C91" s="205">
        <f>IF('_Datos'!$C91,'_Datos'!$F91,IF('_Datos'!$B91,'Proyecto Datos (OKR´s)'!$G91,""))</f>
      </c>
      <c r="D91" s="204">
        <f>IF('_Datos'!$C91,'_Datos'!$AO91,"")</f>
      </c>
      <c r="E91" s="208">
        <f>IF('_Datos'!$C91,'_Datos'!$BI91,IF('_Datos'!$B91,IFERROR(AVERAGEIF('_Datos'!$D$7:$D$200,'Proyecto Datos (OKR´s)'!$G91,'_Datos'!$BI$7:$BI$200),""),""))</f>
      </c>
      <c r="F91" s="204">
        <f>IF('_Datos'!$C91,IF(ISNUMBER('_Datos'!$AR91),'_Datos'!$AR91,"(Sin fecha)"),"")</f>
      </c>
      <c r="G91" s="204"/>
      <c r="H91" s="205"/>
      <c r="I91" s="204">
        <f>IF('_Datos'!$C91,IF(ISNUMBER('_Datos'!$AV91),'_Datos'!$AZ91,"(Sin fecha)"),"")</f>
      </c>
      <c r="J91" s="204"/>
      <c r="K91" s="205"/>
      <c r="L91" s="209">
        <f>IF('_Datos'!$C91,'_Datos'!$AX91,"")</f>
      </c>
      <c r="M91" s="191"/>
      <c r="N91" s="204">
        <f>IF('_Datos'!$C91,'_Datos'!$BA91,"")</f>
      </c>
      <c r="O91" s="192"/>
    </row>
    <row r="92">
      <c r="B92" s="204">
        <f>IF('_Datos'!$C92,'_Datos'!$O92,"")</f>
      </c>
      <c r="C92" s="205">
        <f>IF('_Datos'!$C92,'_Datos'!$F92,IF('_Datos'!$B92,'Proyecto Datos (OKR´s)'!$G92,""))</f>
      </c>
      <c r="D92" s="204">
        <f>IF('_Datos'!$C92,'_Datos'!$AO92,"")</f>
      </c>
      <c r="E92" s="208">
        <f>IF('_Datos'!$C92,'_Datos'!$BI92,IF('_Datos'!$B92,IFERROR(AVERAGEIF('_Datos'!$D$7:$D$200,'Proyecto Datos (OKR´s)'!$G92,'_Datos'!$BI$7:$BI$200),""),""))</f>
      </c>
      <c r="F92" s="204">
        <f>IF('_Datos'!$C92,IF(ISNUMBER('_Datos'!$AR92),'_Datos'!$AR92,"(Sin fecha)"),"")</f>
      </c>
      <c r="G92" s="204"/>
      <c r="H92" s="205"/>
      <c r="I92" s="204">
        <f>IF('_Datos'!$C92,IF(ISNUMBER('_Datos'!$AV92),'_Datos'!$AZ92,"(Sin fecha)"),"")</f>
      </c>
      <c r="J92" s="204"/>
      <c r="K92" s="205"/>
      <c r="L92" s="209">
        <f>IF('_Datos'!$C92,'_Datos'!$AX92,"")</f>
      </c>
      <c r="M92" s="191"/>
      <c r="N92" s="204">
        <f>IF('_Datos'!$C92,'_Datos'!$BA92,"")</f>
      </c>
      <c r="O92" s="192"/>
    </row>
    <row r="93">
      <c r="B93" s="204">
        <f>IF('_Datos'!$C93,'_Datos'!$O93,"")</f>
      </c>
      <c r="C93" s="205">
        <f>IF('_Datos'!$C93,'_Datos'!$F93,IF('_Datos'!$B93,'Proyecto Datos (OKR´s)'!$G93,""))</f>
      </c>
      <c r="D93" s="204">
        <f>IF('_Datos'!$C93,'_Datos'!$AO93,"")</f>
      </c>
      <c r="E93" s="208">
        <f>IF('_Datos'!$C93,'_Datos'!$BI93,IF('_Datos'!$B93,IFERROR(AVERAGEIF('_Datos'!$D$7:$D$200,'Proyecto Datos (OKR´s)'!$G93,'_Datos'!$BI$7:$BI$200),""),""))</f>
      </c>
      <c r="F93" s="204">
        <f>IF('_Datos'!$C93,IF(ISNUMBER('_Datos'!$AR93),'_Datos'!$AR93,"(Sin fecha)"),"")</f>
      </c>
      <c r="G93" s="204"/>
      <c r="H93" s="205"/>
      <c r="I93" s="204">
        <f>IF('_Datos'!$C93,IF(ISNUMBER('_Datos'!$AV93),'_Datos'!$AZ93,"(Sin fecha)"),"")</f>
      </c>
      <c r="J93" s="204"/>
      <c r="K93" s="205"/>
      <c r="L93" s="209">
        <f>IF('_Datos'!$C93,'_Datos'!$AX93,"")</f>
      </c>
      <c r="M93" s="191"/>
      <c r="N93" s="204">
        <f>IF('_Datos'!$C93,'_Datos'!$BA93,"")</f>
      </c>
      <c r="O93" s="192"/>
    </row>
    <row r="94">
      <c r="B94" s="204">
        <f>IF('_Datos'!$C94,'_Datos'!$O94,"")</f>
      </c>
      <c r="C94" s="205">
        <f>IF('_Datos'!$C94,'_Datos'!$F94,IF('_Datos'!$B94,'Proyecto Datos (OKR´s)'!$G94,""))</f>
      </c>
      <c r="D94" s="204">
        <f>IF('_Datos'!$C94,'_Datos'!$AO94,"")</f>
      </c>
      <c r="E94" s="208">
        <f>IF('_Datos'!$C94,'_Datos'!$BI94,IF('_Datos'!$B94,IFERROR(AVERAGEIF('_Datos'!$D$7:$D$200,'Proyecto Datos (OKR´s)'!$G94,'_Datos'!$BI$7:$BI$200),""),""))</f>
      </c>
      <c r="F94" s="204">
        <f>IF('_Datos'!$C94,IF(ISNUMBER('_Datos'!$AR94),'_Datos'!$AR94,"(Sin fecha)"),"")</f>
      </c>
      <c r="G94" s="204"/>
      <c r="H94" s="205"/>
      <c r="I94" s="204">
        <f>IF('_Datos'!$C94,IF(ISNUMBER('_Datos'!$AV94),'_Datos'!$AZ94,"(Sin fecha)"),"")</f>
      </c>
      <c r="J94" s="204"/>
      <c r="K94" s="205"/>
      <c r="L94" s="209">
        <f>IF('_Datos'!$C94,'_Datos'!$AX94,"")</f>
      </c>
      <c r="M94" s="191"/>
      <c r="N94" s="204">
        <f>IF('_Datos'!$C94,'_Datos'!$BA94,"")</f>
      </c>
      <c r="O94" s="192"/>
    </row>
    <row r="95">
      <c r="B95" s="204">
        <f>IF('_Datos'!$C95,'_Datos'!$O95,"")</f>
      </c>
      <c r="C95" s="205">
        <f>IF('_Datos'!$C95,'_Datos'!$F95,IF('_Datos'!$B95,'Proyecto Datos (OKR´s)'!$G95,""))</f>
      </c>
      <c r="D95" s="204">
        <f>IF('_Datos'!$C95,'_Datos'!$AO95,"")</f>
      </c>
      <c r="E95" s="208">
        <f>IF('_Datos'!$C95,'_Datos'!$BI95,IF('_Datos'!$B95,IFERROR(AVERAGEIF('_Datos'!$D$7:$D$200,'Proyecto Datos (OKR´s)'!$G95,'_Datos'!$BI$7:$BI$200),""),""))</f>
      </c>
      <c r="F95" s="204">
        <f>IF('_Datos'!$C95,IF(ISNUMBER('_Datos'!$AR95),'_Datos'!$AR95,"(Sin fecha)"),"")</f>
      </c>
      <c r="G95" s="204"/>
      <c r="H95" s="205"/>
      <c r="I95" s="204">
        <f>IF('_Datos'!$C95,IF(ISNUMBER('_Datos'!$AV95),'_Datos'!$AZ95,"(Sin fecha)"),"")</f>
      </c>
      <c r="J95" s="204"/>
      <c r="K95" s="205"/>
      <c r="L95" s="209">
        <f>IF('_Datos'!$C95,'_Datos'!$AX95,"")</f>
      </c>
      <c r="M95" s="191"/>
      <c r="N95" s="204">
        <f>IF('_Datos'!$C95,'_Datos'!$BA95,"")</f>
      </c>
      <c r="O95" s="192"/>
    </row>
    <row r="96">
      <c r="B96" s="204">
        <f>IF('_Datos'!$C96,'_Datos'!$O96,"")</f>
      </c>
      <c r="C96" s="205">
        <f>IF('_Datos'!$C96,'_Datos'!$F96,IF('_Datos'!$B96,'Proyecto Datos (OKR´s)'!$G96,""))</f>
      </c>
      <c r="D96" s="204">
        <f>IF('_Datos'!$C96,'_Datos'!$AO96,"")</f>
      </c>
      <c r="E96" s="208">
        <f>IF('_Datos'!$C96,'_Datos'!$BI96,IF('_Datos'!$B96,IFERROR(AVERAGEIF('_Datos'!$D$7:$D$200,'Proyecto Datos (OKR´s)'!$G96,'_Datos'!$BI$7:$BI$200),""),""))</f>
      </c>
      <c r="F96" s="204">
        <f>IF('_Datos'!$C96,IF(ISNUMBER('_Datos'!$AR96),'_Datos'!$AR96,"(Sin fecha)"),"")</f>
      </c>
      <c r="G96" s="204"/>
      <c r="H96" s="205"/>
      <c r="I96" s="204">
        <f>IF('_Datos'!$C96,IF(ISNUMBER('_Datos'!$AV96),'_Datos'!$AZ96,"(Sin fecha)"),"")</f>
      </c>
      <c r="J96" s="204"/>
      <c r="K96" s="205"/>
      <c r="L96" s="209">
        <f>IF('_Datos'!$C96,'_Datos'!$AX96,"")</f>
      </c>
      <c r="M96" s="191"/>
      <c r="N96" s="204">
        <f>IF('_Datos'!$C96,'_Datos'!$BA96,"")</f>
      </c>
      <c r="O96" s="192"/>
    </row>
    <row r="97">
      <c r="B97" s="204">
        <f>IF('_Datos'!$C97,'_Datos'!$O97,"")</f>
      </c>
      <c r="C97" s="205">
        <f>IF('_Datos'!$C97,'_Datos'!$F97,IF('_Datos'!$B97,'Proyecto Datos (OKR´s)'!$G97,""))</f>
      </c>
      <c r="D97" s="204">
        <f>IF('_Datos'!$C97,'_Datos'!$AO97,"")</f>
      </c>
      <c r="E97" s="208">
        <f>IF('_Datos'!$C97,'_Datos'!$BI97,IF('_Datos'!$B97,IFERROR(AVERAGEIF('_Datos'!$D$7:$D$200,'Proyecto Datos (OKR´s)'!$G97,'_Datos'!$BI$7:$BI$200),""),""))</f>
      </c>
      <c r="F97" s="204">
        <f>IF('_Datos'!$C97,IF(ISNUMBER('_Datos'!$AR97),'_Datos'!$AR97,"(Sin fecha)"),"")</f>
      </c>
      <c r="G97" s="204"/>
      <c r="H97" s="205"/>
      <c r="I97" s="204">
        <f>IF('_Datos'!$C97,IF(ISNUMBER('_Datos'!$AV97),'_Datos'!$AZ97,"(Sin fecha)"),"")</f>
      </c>
      <c r="J97" s="204"/>
      <c r="K97" s="205"/>
      <c r="L97" s="209">
        <f>IF('_Datos'!$C97,'_Datos'!$AX97,"")</f>
      </c>
      <c r="M97" s="191"/>
      <c r="N97" s="204">
        <f>IF('_Datos'!$C97,'_Datos'!$BA97,"")</f>
      </c>
      <c r="O97" s="192"/>
    </row>
    <row r="98">
      <c r="B98" s="204">
        <f>IF('_Datos'!$C98,'_Datos'!$O98,"")</f>
      </c>
      <c r="C98" s="205">
        <f>IF('_Datos'!$C98,'_Datos'!$F98,IF('_Datos'!$B98,'Proyecto Datos (OKR´s)'!$G98,""))</f>
      </c>
      <c r="D98" s="204">
        <f>IF('_Datos'!$C98,'_Datos'!$AO98,"")</f>
      </c>
      <c r="E98" s="208">
        <f>IF('_Datos'!$C98,'_Datos'!$BI98,IF('_Datos'!$B98,IFERROR(AVERAGEIF('_Datos'!$D$7:$D$200,'Proyecto Datos (OKR´s)'!$G98,'_Datos'!$BI$7:$BI$200),""),""))</f>
      </c>
      <c r="F98" s="204">
        <f>IF('_Datos'!$C98,IF(ISNUMBER('_Datos'!$AR98),'_Datos'!$AR98,"(Sin fecha)"),"")</f>
      </c>
      <c r="G98" s="204"/>
      <c r="H98" s="205"/>
      <c r="I98" s="204">
        <f>IF('_Datos'!$C98,IF(ISNUMBER('_Datos'!$AV98),'_Datos'!$AZ98,"(Sin fecha)"),"")</f>
      </c>
      <c r="J98" s="204"/>
      <c r="K98" s="205"/>
      <c r="L98" s="209">
        <f>IF('_Datos'!$C98,'_Datos'!$AX98,"")</f>
      </c>
      <c r="M98" s="191"/>
      <c r="N98" s="204">
        <f>IF('_Datos'!$C98,'_Datos'!$BA98,"")</f>
      </c>
      <c r="O98" s="192"/>
    </row>
    <row r="99">
      <c r="B99" s="204">
        <f>IF('_Datos'!$C99,'_Datos'!$O99,"")</f>
      </c>
      <c r="C99" s="205">
        <f>IF('_Datos'!$C99,'_Datos'!$F99,IF('_Datos'!$B99,'Proyecto Datos (OKR´s)'!$G99,""))</f>
      </c>
      <c r="D99" s="204">
        <f>IF('_Datos'!$C99,'_Datos'!$AO99,"")</f>
      </c>
      <c r="E99" s="208">
        <f>IF('_Datos'!$C99,'_Datos'!$BI99,IF('_Datos'!$B99,IFERROR(AVERAGEIF('_Datos'!$D$7:$D$200,'Proyecto Datos (OKR´s)'!$G99,'_Datos'!$BI$7:$BI$200),""),""))</f>
      </c>
      <c r="F99" s="204">
        <f>IF('_Datos'!$C99,IF(ISNUMBER('_Datos'!$AR99),'_Datos'!$AR99,"(Sin fecha)"),"")</f>
      </c>
      <c r="G99" s="204"/>
      <c r="H99" s="205"/>
      <c r="I99" s="204">
        <f>IF('_Datos'!$C99,IF(ISNUMBER('_Datos'!$AV99),'_Datos'!$AZ99,"(Sin fecha)"),"")</f>
      </c>
      <c r="J99" s="204"/>
      <c r="K99" s="205"/>
      <c r="L99" s="209">
        <f>IF('_Datos'!$C99,'_Datos'!$AX99,"")</f>
      </c>
      <c r="M99" s="191"/>
      <c r="N99" s="204">
        <f>IF('_Datos'!$C99,'_Datos'!$BA99,"")</f>
      </c>
      <c r="O99" s="192"/>
    </row>
    <row r="100">
      <c r="B100" s="204">
        <f>IF('_Datos'!$C100,'_Datos'!$O100,"")</f>
      </c>
      <c r="C100" s="205">
        <f>IF('_Datos'!$C100,'_Datos'!$F100,IF('_Datos'!$B100,'Proyecto Datos (OKR´s)'!$G100,""))</f>
      </c>
      <c r="D100" s="204">
        <f>IF('_Datos'!$C100,'_Datos'!$AO100,"")</f>
      </c>
      <c r="E100" s="208">
        <f>IF('_Datos'!$C100,'_Datos'!$BI100,IF('_Datos'!$B100,IFERROR(AVERAGEIF('_Datos'!$D$7:$D$200,'Proyecto Datos (OKR´s)'!$G100,'_Datos'!$BI$7:$BI$200),""),""))</f>
      </c>
      <c r="F100" s="204">
        <f>IF('_Datos'!$C100,IF(ISNUMBER('_Datos'!$AR100),'_Datos'!$AR100,"(Sin fecha)"),"")</f>
      </c>
      <c r="G100" s="204"/>
      <c r="H100" s="205"/>
      <c r="I100" s="204">
        <f>IF('_Datos'!$C100,IF(ISNUMBER('_Datos'!$AV100),'_Datos'!$AZ100,"(Sin fecha)"),"")</f>
      </c>
      <c r="J100" s="204"/>
      <c r="K100" s="205"/>
      <c r="L100" s="209">
        <f>IF('_Datos'!$C100,'_Datos'!$AX100,"")</f>
      </c>
      <c r="M100" s="191"/>
      <c r="N100" s="204">
        <f>IF('_Datos'!$C100,'_Datos'!$BA100,"")</f>
      </c>
      <c r="O100" s="192"/>
    </row>
    <row r="101">
      <c r="B101" s="204">
        <f>IF('_Datos'!$C101,'_Datos'!$O101,"")</f>
      </c>
      <c r="C101" s="205">
        <f>IF('_Datos'!$C101,'_Datos'!$F101,IF('_Datos'!$B101,'Proyecto Datos (OKR´s)'!$G101,""))</f>
      </c>
      <c r="D101" s="204">
        <f>IF('_Datos'!$C101,'_Datos'!$AO101,"")</f>
      </c>
      <c r="E101" s="208">
        <f>IF('_Datos'!$C101,'_Datos'!$BI101,IF('_Datos'!$B101,IFERROR(AVERAGEIF('_Datos'!$D$7:$D$200,'Proyecto Datos (OKR´s)'!$G101,'_Datos'!$BI$7:$BI$200),""),""))</f>
      </c>
      <c r="F101" s="204">
        <f>IF('_Datos'!$C101,IF(ISNUMBER('_Datos'!$AR101),'_Datos'!$AR101,"(Sin fecha)"),"")</f>
      </c>
      <c r="G101" s="204"/>
      <c r="H101" s="205"/>
      <c r="I101" s="204">
        <f>IF('_Datos'!$C101,IF(ISNUMBER('_Datos'!$AV101),'_Datos'!$AZ101,"(Sin fecha)"),"")</f>
      </c>
      <c r="J101" s="204"/>
      <c r="K101" s="205"/>
      <c r="L101" s="209">
        <f>IF('_Datos'!$C101,'_Datos'!$AX101,"")</f>
      </c>
      <c r="M101" s="191"/>
      <c r="N101" s="204">
        <f>IF('_Datos'!$C101,'_Datos'!$BA101,"")</f>
      </c>
      <c r="O101" s="192"/>
    </row>
    <row r="102">
      <c r="B102" s="204">
        <f>IF('_Datos'!$C102,'_Datos'!$O102,"")</f>
      </c>
      <c r="C102" s="205">
        <f>IF('_Datos'!$C102,'_Datos'!$F102,IF('_Datos'!$B102,'Proyecto Datos (OKR´s)'!$G102,""))</f>
      </c>
      <c r="D102" s="204">
        <f>IF('_Datos'!$C102,'_Datos'!$AO102,"")</f>
      </c>
      <c r="E102" s="208">
        <f>IF('_Datos'!$C102,'_Datos'!$BI102,IF('_Datos'!$B102,IFERROR(AVERAGEIF('_Datos'!$D$7:$D$200,'Proyecto Datos (OKR´s)'!$G102,'_Datos'!$BI$7:$BI$200),""),""))</f>
      </c>
      <c r="F102" s="204">
        <f>IF('_Datos'!$C102,IF(ISNUMBER('_Datos'!$AR102),'_Datos'!$AR102,"(Sin fecha)"),"")</f>
      </c>
      <c r="G102" s="204"/>
      <c r="H102" s="205"/>
      <c r="I102" s="204">
        <f>IF('_Datos'!$C102,IF(ISNUMBER('_Datos'!$AV102),'_Datos'!$AZ102,"(Sin fecha)"),"")</f>
      </c>
      <c r="J102" s="204"/>
      <c r="K102" s="205"/>
      <c r="L102" s="209">
        <f>IF('_Datos'!$C102,'_Datos'!$AX102,"")</f>
      </c>
      <c r="M102" s="191"/>
      <c r="N102" s="204">
        <f>IF('_Datos'!$C102,'_Datos'!$BA102,"")</f>
      </c>
      <c r="O102" s="192"/>
    </row>
    <row r="103">
      <c r="B103" s="204">
        <f>IF('_Datos'!$C103,'_Datos'!$O103,"")</f>
      </c>
      <c r="C103" s="205">
        <f>IF('_Datos'!$C103,'_Datos'!$F103,IF('_Datos'!$B103,'Proyecto Datos (OKR´s)'!$G103,""))</f>
      </c>
      <c r="D103" s="204">
        <f>IF('_Datos'!$C103,'_Datos'!$AO103,"")</f>
      </c>
      <c r="E103" s="208">
        <f>IF('_Datos'!$C103,'_Datos'!$BI103,IF('_Datos'!$B103,IFERROR(AVERAGEIF('_Datos'!$D$7:$D$200,'Proyecto Datos (OKR´s)'!$G103,'_Datos'!$BI$7:$BI$200),""),""))</f>
      </c>
      <c r="F103" s="204">
        <f>IF('_Datos'!$C103,IF(ISNUMBER('_Datos'!$AR103),'_Datos'!$AR103,"(Sin fecha)"),"")</f>
      </c>
      <c r="G103" s="204"/>
      <c r="H103" s="205"/>
      <c r="I103" s="204">
        <f>IF('_Datos'!$C103,IF(ISNUMBER('_Datos'!$AV103),'_Datos'!$AZ103,"(Sin fecha)"),"")</f>
      </c>
      <c r="J103" s="204"/>
      <c r="K103" s="205"/>
      <c r="L103" s="209">
        <f>IF('_Datos'!$C103,'_Datos'!$AX103,"")</f>
      </c>
      <c r="M103" s="191"/>
      <c r="N103" s="204">
        <f>IF('_Datos'!$C103,'_Datos'!$BA103,"")</f>
      </c>
      <c r="O103" s="192"/>
    </row>
    <row r="104">
      <c r="B104" s="204">
        <f>IF('_Datos'!$C104,'_Datos'!$O104,"")</f>
      </c>
      <c r="C104" s="205">
        <f>IF('_Datos'!$C104,'_Datos'!$F104,IF('_Datos'!$B104,'Proyecto Datos (OKR´s)'!$G104,""))</f>
      </c>
      <c r="D104" s="204">
        <f>IF('_Datos'!$C104,'_Datos'!$AO104,"")</f>
      </c>
      <c r="E104" s="208">
        <f>IF('_Datos'!$C104,'_Datos'!$BI104,IF('_Datos'!$B104,IFERROR(AVERAGEIF('_Datos'!$D$7:$D$200,'Proyecto Datos (OKR´s)'!$G104,'_Datos'!$BI$7:$BI$200),""),""))</f>
      </c>
      <c r="F104" s="204">
        <f>IF('_Datos'!$C104,IF(ISNUMBER('_Datos'!$AR104),'_Datos'!$AR104,"(Sin fecha)"),"")</f>
      </c>
      <c r="G104" s="204"/>
      <c r="H104" s="205"/>
      <c r="I104" s="204">
        <f>IF('_Datos'!$C104,IF(ISNUMBER('_Datos'!$AV104),'_Datos'!$AZ104,"(Sin fecha)"),"")</f>
      </c>
      <c r="J104" s="204"/>
      <c r="K104" s="205"/>
      <c r="L104" s="209">
        <f>IF('_Datos'!$C104,'_Datos'!$AX104,"")</f>
      </c>
      <c r="M104" s="191"/>
      <c r="N104" s="204">
        <f>IF('_Datos'!$C104,'_Datos'!$BA104,"")</f>
      </c>
      <c r="O104" s="192"/>
    </row>
    <row r="105">
      <c r="B105" s="204">
        <f>IF('_Datos'!$C105,'_Datos'!$O105,"")</f>
      </c>
      <c r="C105" s="205">
        <f>IF('_Datos'!$C105,'_Datos'!$F105,IF('_Datos'!$B105,'Proyecto Datos (OKR´s)'!$G105,""))</f>
      </c>
      <c r="D105" s="204">
        <f>IF('_Datos'!$C105,'_Datos'!$AO105,"")</f>
      </c>
      <c r="E105" s="208">
        <f>IF('_Datos'!$C105,'_Datos'!$BI105,IF('_Datos'!$B105,IFERROR(AVERAGEIF('_Datos'!$D$7:$D$200,'Proyecto Datos (OKR´s)'!$G105,'_Datos'!$BI$7:$BI$200),""),""))</f>
      </c>
      <c r="F105" s="204">
        <f>IF('_Datos'!$C105,IF(ISNUMBER('_Datos'!$AR105),'_Datos'!$AR105,"(Sin fecha)"),"")</f>
      </c>
      <c r="G105" s="204"/>
      <c r="H105" s="205"/>
      <c r="I105" s="204">
        <f>IF('_Datos'!$C105,IF(ISNUMBER('_Datos'!$AV105),'_Datos'!$AZ105,"(Sin fecha)"),"")</f>
      </c>
      <c r="J105" s="204"/>
      <c r="K105" s="205"/>
      <c r="L105" s="209">
        <f>IF('_Datos'!$C105,'_Datos'!$AX105,"")</f>
      </c>
      <c r="M105" s="191"/>
      <c r="N105" s="204">
        <f>IF('_Datos'!$C105,'_Datos'!$BA105,"")</f>
      </c>
      <c r="O105" s="192"/>
    </row>
    <row r="106">
      <c r="B106" s="204">
        <f>IF('_Datos'!$C106,'_Datos'!$O106,"")</f>
      </c>
      <c r="C106" s="205">
        <f>IF('_Datos'!$C106,'_Datos'!$F106,IF('_Datos'!$B106,'Proyecto Datos (OKR´s)'!$G106,""))</f>
      </c>
      <c r="D106" s="204">
        <f>IF('_Datos'!$C106,'_Datos'!$AO106,"")</f>
      </c>
      <c r="E106" s="208">
        <f>IF('_Datos'!$C106,'_Datos'!$BI106,IF('_Datos'!$B106,IFERROR(AVERAGEIF('_Datos'!$D$7:$D$200,'Proyecto Datos (OKR´s)'!$G106,'_Datos'!$BI$7:$BI$200),""),""))</f>
      </c>
      <c r="F106" s="204">
        <f>IF('_Datos'!$C106,IF(ISNUMBER('_Datos'!$AR106),'_Datos'!$AR106,"(Sin fecha)"),"")</f>
      </c>
      <c r="G106" s="204"/>
      <c r="H106" s="205"/>
      <c r="I106" s="204">
        <f>IF('_Datos'!$C106,IF(ISNUMBER('_Datos'!$AV106),'_Datos'!$AZ106,"(Sin fecha)"),"")</f>
      </c>
      <c r="J106" s="204"/>
      <c r="K106" s="205"/>
      <c r="L106" s="209">
        <f>IF('_Datos'!$C106,'_Datos'!$AX106,"")</f>
      </c>
      <c r="M106" s="191"/>
      <c r="N106" s="204">
        <f>IF('_Datos'!$C106,'_Datos'!$BA106,"")</f>
      </c>
      <c r="O106" s="192"/>
    </row>
    <row r="107">
      <c r="B107" s="204">
        <f>IF('_Datos'!$C107,'_Datos'!$O107,"")</f>
      </c>
      <c r="C107" s="205">
        <f>IF('_Datos'!$C107,'_Datos'!$F107,IF('_Datos'!$B107,'Proyecto Datos (OKR´s)'!$G107,""))</f>
      </c>
      <c r="D107" s="204">
        <f>IF('_Datos'!$C107,'_Datos'!$AO107,"")</f>
      </c>
      <c r="E107" s="208">
        <f>IF('_Datos'!$C107,'_Datos'!$BI107,IF('_Datos'!$B107,IFERROR(AVERAGEIF('_Datos'!$D$7:$D$200,'Proyecto Datos (OKR´s)'!$G107,'_Datos'!$BI$7:$BI$200),""),""))</f>
      </c>
      <c r="F107" s="204">
        <f>IF('_Datos'!$C107,IF(ISNUMBER('_Datos'!$AR107),'_Datos'!$AR107,"(Sin fecha)"),"")</f>
      </c>
      <c r="G107" s="204"/>
      <c r="H107" s="205"/>
      <c r="I107" s="204">
        <f>IF('_Datos'!$C107,IF(ISNUMBER('_Datos'!$AV107),'_Datos'!$AZ107,"(Sin fecha)"),"")</f>
      </c>
      <c r="J107" s="204"/>
      <c r="K107" s="205"/>
      <c r="L107" s="209">
        <f>IF('_Datos'!$C107,'_Datos'!$AX107,"")</f>
      </c>
      <c r="M107" s="191"/>
      <c r="N107" s="204">
        <f>IF('_Datos'!$C107,'_Datos'!$BA107,"")</f>
      </c>
      <c r="O107" s="192"/>
    </row>
    <row r="108">
      <c r="B108" s="204">
        <f>IF('_Datos'!$C108,'_Datos'!$O108,"")</f>
      </c>
      <c r="C108" s="205">
        <f>IF('_Datos'!$C108,'_Datos'!$F108,IF('_Datos'!$B108,'Proyecto Datos (OKR´s)'!$G108,""))</f>
      </c>
      <c r="D108" s="204">
        <f>IF('_Datos'!$C108,'_Datos'!$AO108,"")</f>
      </c>
      <c r="E108" s="208">
        <f>IF('_Datos'!$C108,'_Datos'!$BI108,IF('_Datos'!$B108,IFERROR(AVERAGEIF('_Datos'!$D$7:$D$200,'Proyecto Datos (OKR´s)'!$G108,'_Datos'!$BI$7:$BI$200),""),""))</f>
      </c>
      <c r="F108" s="204">
        <f>IF('_Datos'!$C108,IF(ISNUMBER('_Datos'!$AR108),'_Datos'!$AR108,"(Sin fecha)"),"")</f>
      </c>
      <c r="G108" s="204"/>
      <c r="H108" s="205"/>
      <c r="I108" s="204">
        <f>IF('_Datos'!$C108,IF(ISNUMBER('_Datos'!$AV108),'_Datos'!$AZ108,"(Sin fecha)"),"")</f>
      </c>
      <c r="J108" s="204"/>
      <c r="K108" s="205"/>
      <c r="L108" s="209">
        <f>IF('_Datos'!$C108,'_Datos'!$AX108,"")</f>
      </c>
      <c r="M108" s="191"/>
      <c r="N108" s="204">
        <f>IF('_Datos'!$C108,'_Datos'!$BA108,"")</f>
      </c>
      <c r="O108" s="192"/>
    </row>
    <row r="109">
      <c r="B109" s="204">
        <f>IF('_Datos'!$C109,'_Datos'!$O109,"")</f>
      </c>
      <c r="C109" s="205">
        <f>IF('_Datos'!$C109,'_Datos'!$F109,IF('_Datos'!$B109,'Proyecto Datos (OKR´s)'!$G109,""))</f>
      </c>
      <c r="D109" s="204">
        <f>IF('_Datos'!$C109,'_Datos'!$AO109,"")</f>
      </c>
      <c r="E109" s="208">
        <f>IF('_Datos'!$C109,'_Datos'!$BI109,IF('_Datos'!$B109,IFERROR(AVERAGEIF('_Datos'!$D$7:$D$200,'Proyecto Datos (OKR´s)'!$G109,'_Datos'!$BI$7:$BI$200),""),""))</f>
      </c>
      <c r="F109" s="204">
        <f>IF('_Datos'!$C109,IF(ISNUMBER('_Datos'!$AR109),'_Datos'!$AR109,"(Sin fecha)"),"")</f>
      </c>
      <c r="G109" s="204"/>
      <c r="H109" s="205"/>
      <c r="I109" s="204">
        <f>IF('_Datos'!$C109,IF(ISNUMBER('_Datos'!$AV109),'_Datos'!$AZ109,"(Sin fecha)"),"")</f>
      </c>
      <c r="J109" s="204"/>
      <c r="K109" s="205"/>
      <c r="L109" s="209">
        <f>IF('_Datos'!$C109,'_Datos'!$AX109,"")</f>
      </c>
      <c r="M109" s="191"/>
      <c r="N109" s="204">
        <f>IF('_Datos'!$C109,'_Datos'!$BA109,"")</f>
      </c>
      <c r="O109" s="192"/>
    </row>
    <row r="110">
      <c r="B110" s="204">
        <f>IF('_Datos'!$C110,'_Datos'!$O110,"")</f>
      </c>
      <c r="C110" s="205">
        <f>IF('_Datos'!$C110,'_Datos'!$F110,IF('_Datos'!$B110,'Proyecto Datos (OKR´s)'!$G110,""))</f>
      </c>
      <c r="D110" s="204">
        <f>IF('_Datos'!$C110,'_Datos'!$AO110,"")</f>
      </c>
      <c r="E110" s="208">
        <f>IF('_Datos'!$C110,'_Datos'!$BI110,IF('_Datos'!$B110,IFERROR(AVERAGEIF('_Datos'!$D$7:$D$200,'Proyecto Datos (OKR´s)'!$G110,'_Datos'!$BI$7:$BI$200),""),""))</f>
      </c>
      <c r="F110" s="204">
        <f>IF('_Datos'!$C110,IF(ISNUMBER('_Datos'!$AR110),'_Datos'!$AR110,"(Sin fecha)"),"")</f>
      </c>
      <c r="G110" s="204"/>
      <c r="H110" s="205"/>
      <c r="I110" s="204">
        <f>IF('_Datos'!$C110,IF(ISNUMBER('_Datos'!$AV110),'_Datos'!$AZ110,"(Sin fecha)"),"")</f>
      </c>
      <c r="J110" s="204"/>
      <c r="K110" s="205"/>
      <c r="L110" s="209">
        <f>IF('_Datos'!$C110,'_Datos'!$AX110,"")</f>
      </c>
      <c r="M110" s="191"/>
      <c r="N110" s="204">
        <f>IF('_Datos'!$C110,'_Datos'!$BA110,"")</f>
      </c>
      <c r="O110" s="192"/>
    </row>
    <row r="111">
      <c r="B111" s="204">
        <f>IF('_Datos'!$C111,'_Datos'!$O111,"")</f>
      </c>
      <c r="C111" s="205">
        <f>IF('_Datos'!$C111,'_Datos'!$F111,IF('_Datos'!$B111,'Proyecto Datos (OKR´s)'!$G111,""))</f>
      </c>
      <c r="D111" s="204">
        <f>IF('_Datos'!$C111,'_Datos'!$AO111,"")</f>
      </c>
      <c r="E111" s="208">
        <f>IF('_Datos'!$C111,'_Datos'!$BI111,IF('_Datos'!$B111,IFERROR(AVERAGEIF('_Datos'!$D$7:$D$200,'Proyecto Datos (OKR´s)'!$G111,'_Datos'!$BI$7:$BI$200),""),""))</f>
      </c>
      <c r="F111" s="204">
        <f>IF('_Datos'!$C111,IF(ISNUMBER('_Datos'!$AR111),'_Datos'!$AR111,"(Sin fecha)"),"")</f>
      </c>
      <c r="G111" s="204"/>
      <c r="H111" s="205"/>
      <c r="I111" s="204">
        <f>IF('_Datos'!$C111,IF(ISNUMBER('_Datos'!$AV111),'_Datos'!$AZ111,"(Sin fecha)"),"")</f>
      </c>
      <c r="J111" s="204"/>
      <c r="K111" s="205"/>
      <c r="L111" s="209">
        <f>IF('_Datos'!$C111,'_Datos'!$AX111,"")</f>
      </c>
      <c r="M111" s="191"/>
      <c r="N111" s="204">
        <f>IF('_Datos'!$C111,'_Datos'!$BA111,"")</f>
      </c>
      <c r="O111" s="192"/>
    </row>
    <row r="112">
      <c r="B112" s="204">
        <f>IF('_Datos'!$C112,'_Datos'!$O112,"")</f>
      </c>
      <c r="C112" s="205">
        <f>IF('_Datos'!$C112,'_Datos'!$F112,IF('_Datos'!$B112,'Proyecto Datos (OKR´s)'!$G112,""))</f>
      </c>
      <c r="D112" s="204">
        <f>IF('_Datos'!$C112,'_Datos'!$AO112,"")</f>
      </c>
      <c r="E112" s="208">
        <f>IF('_Datos'!$C112,'_Datos'!$BI112,IF('_Datos'!$B112,IFERROR(AVERAGEIF('_Datos'!$D$7:$D$200,'Proyecto Datos (OKR´s)'!$G112,'_Datos'!$BI$7:$BI$200),""),""))</f>
      </c>
      <c r="F112" s="204">
        <f>IF('_Datos'!$C112,IF(ISNUMBER('_Datos'!$AR112),'_Datos'!$AR112,"(Sin fecha)"),"")</f>
      </c>
      <c r="G112" s="204"/>
      <c r="H112" s="205"/>
      <c r="I112" s="204">
        <f>IF('_Datos'!$C112,IF(ISNUMBER('_Datos'!$AV112),'_Datos'!$AZ112,"(Sin fecha)"),"")</f>
      </c>
      <c r="J112" s="204"/>
      <c r="K112" s="205"/>
      <c r="L112" s="209">
        <f>IF('_Datos'!$C112,'_Datos'!$AX112,"")</f>
      </c>
      <c r="M112" s="191"/>
      <c r="N112" s="204">
        <f>IF('_Datos'!$C112,'_Datos'!$BA112,"")</f>
      </c>
      <c r="O112" s="192"/>
    </row>
    <row r="113">
      <c r="B113" s="204">
        <f>IF('_Datos'!$C113,'_Datos'!$O113,"")</f>
      </c>
      <c r="C113" s="205">
        <f>IF('_Datos'!$C113,'_Datos'!$F113,IF('_Datos'!$B113,'Proyecto Datos (OKR´s)'!$G113,""))</f>
      </c>
      <c r="D113" s="204">
        <f>IF('_Datos'!$C113,'_Datos'!$AO113,"")</f>
      </c>
      <c r="E113" s="208">
        <f>IF('_Datos'!$C113,'_Datos'!$BI113,IF('_Datos'!$B113,IFERROR(AVERAGEIF('_Datos'!$D$7:$D$200,'Proyecto Datos (OKR´s)'!$G113,'_Datos'!$BI$7:$BI$200),""),""))</f>
      </c>
      <c r="F113" s="204">
        <f>IF('_Datos'!$C113,IF(ISNUMBER('_Datos'!$AR113),'_Datos'!$AR113,"(Sin fecha)"),"")</f>
      </c>
      <c r="G113" s="204"/>
      <c r="H113" s="205"/>
      <c r="I113" s="204">
        <f>IF('_Datos'!$C113,IF(ISNUMBER('_Datos'!$AV113),'_Datos'!$AZ113,"(Sin fecha)"),"")</f>
      </c>
      <c r="J113" s="204"/>
      <c r="K113" s="205"/>
      <c r="L113" s="209">
        <f>IF('_Datos'!$C113,'_Datos'!$AX113,"")</f>
      </c>
      <c r="M113" s="191"/>
      <c r="N113" s="204">
        <f>IF('_Datos'!$C113,'_Datos'!$BA113,"")</f>
      </c>
      <c r="O113" s="192"/>
    </row>
    <row r="114">
      <c r="B114" s="204">
        <f>IF('_Datos'!$C114,'_Datos'!$O114,"")</f>
      </c>
      <c r="C114" s="205">
        <f>IF('_Datos'!$C114,'_Datos'!$F114,IF('_Datos'!$B114,'Proyecto Datos (OKR´s)'!$G114,""))</f>
      </c>
      <c r="D114" s="204">
        <f>IF('_Datos'!$C114,'_Datos'!$AO114,"")</f>
      </c>
      <c r="E114" s="208">
        <f>IF('_Datos'!$C114,'_Datos'!$BI114,IF('_Datos'!$B114,IFERROR(AVERAGEIF('_Datos'!$D$7:$D$200,'Proyecto Datos (OKR´s)'!$G114,'_Datos'!$BI$7:$BI$200),""),""))</f>
      </c>
      <c r="F114" s="204">
        <f>IF('_Datos'!$C114,IF(ISNUMBER('_Datos'!$AR114),'_Datos'!$AR114,"(Sin fecha)"),"")</f>
      </c>
      <c r="G114" s="204"/>
      <c r="H114" s="205"/>
      <c r="I114" s="204">
        <f>IF('_Datos'!$C114,IF(ISNUMBER('_Datos'!$AV114),'_Datos'!$AZ114,"(Sin fecha)"),"")</f>
      </c>
      <c r="J114" s="204"/>
      <c r="K114" s="205"/>
      <c r="L114" s="209">
        <f>IF('_Datos'!$C114,'_Datos'!$AX114,"")</f>
      </c>
      <c r="M114" s="191"/>
      <c r="N114" s="204">
        <f>IF('_Datos'!$C114,'_Datos'!$BA114,"")</f>
      </c>
      <c r="O114" s="192"/>
    </row>
    <row r="115">
      <c r="B115" s="204">
        <f>IF('_Datos'!$C115,'_Datos'!$O115,"")</f>
      </c>
      <c r="C115" s="205">
        <f>IF('_Datos'!$C115,'_Datos'!$F115,IF('_Datos'!$B115,'Proyecto Datos (OKR´s)'!$G115,""))</f>
      </c>
      <c r="D115" s="204">
        <f>IF('_Datos'!$C115,'_Datos'!$AO115,"")</f>
      </c>
      <c r="E115" s="208">
        <f>IF('_Datos'!$C115,'_Datos'!$BI115,IF('_Datos'!$B115,IFERROR(AVERAGEIF('_Datos'!$D$7:$D$200,'Proyecto Datos (OKR´s)'!$G115,'_Datos'!$BI$7:$BI$200),""),""))</f>
      </c>
      <c r="F115" s="204">
        <f>IF('_Datos'!$C115,IF(ISNUMBER('_Datos'!$AR115),'_Datos'!$AR115,"(Sin fecha)"),"")</f>
      </c>
      <c r="G115" s="204"/>
      <c r="H115" s="205"/>
      <c r="I115" s="204">
        <f>IF('_Datos'!$C115,IF(ISNUMBER('_Datos'!$AV115),'_Datos'!$AZ115,"(Sin fecha)"),"")</f>
      </c>
      <c r="J115" s="204"/>
      <c r="K115" s="205"/>
      <c r="L115" s="209">
        <f>IF('_Datos'!$C115,'_Datos'!$AX115,"")</f>
      </c>
      <c r="M115" s="191"/>
      <c r="N115" s="204">
        <f>IF('_Datos'!$C115,'_Datos'!$BA115,"")</f>
      </c>
      <c r="O115" s="192"/>
    </row>
    <row r="116">
      <c r="B116" s="204">
        <f>IF('_Datos'!$C116,'_Datos'!$O116,"")</f>
      </c>
      <c r="C116" s="205">
        <f>IF('_Datos'!$C116,'_Datos'!$F116,IF('_Datos'!$B116,'Proyecto Datos (OKR´s)'!$G116,""))</f>
      </c>
      <c r="D116" s="204">
        <f>IF('_Datos'!$C116,'_Datos'!$AO116,"")</f>
      </c>
      <c r="E116" s="208">
        <f>IF('_Datos'!$C116,'_Datos'!$BI116,IF('_Datos'!$B116,IFERROR(AVERAGEIF('_Datos'!$D$7:$D$200,'Proyecto Datos (OKR´s)'!$G116,'_Datos'!$BI$7:$BI$200),""),""))</f>
      </c>
      <c r="F116" s="204">
        <f>IF('_Datos'!$C116,IF(ISNUMBER('_Datos'!$AR116),'_Datos'!$AR116,"(Sin fecha)"),"")</f>
      </c>
      <c r="G116" s="204"/>
      <c r="H116" s="205"/>
      <c r="I116" s="204">
        <f>IF('_Datos'!$C116,IF(ISNUMBER('_Datos'!$AV116),'_Datos'!$AZ116,"(Sin fecha)"),"")</f>
      </c>
      <c r="J116" s="204"/>
      <c r="K116" s="205"/>
      <c r="L116" s="209">
        <f>IF('_Datos'!$C116,'_Datos'!$AX116,"")</f>
      </c>
      <c r="M116" s="191"/>
      <c r="N116" s="204">
        <f>IF('_Datos'!$C116,'_Datos'!$BA116,"")</f>
      </c>
      <c r="O116" s="192"/>
    </row>
    <row r="117">
      <c r="B117" s="204">
        <f>IF('_Datos'!$C117,'_Datos'!$O117,"")</f>
      </c>
      <c r="C117" s="205">
        <f>IF('_Datos'!$C117,'_Datos'!$F117,IF('_Datos'!$B117,'Proyecto Datos (OKR´s)'!$G117,""))</f>
      </c>
      <c r="D117" s="204">
        <f>IF('_Datos'!$C117,'_Datos'!$AO117,"")</f>
      </c>
      <c r="E117" s="208">
        <f>IF('_Datos'!$C117,'_Datos'!$BI117,IF('_Datos'!$B117,IFERROR(AVERAGEIF('_Datos'!$D$7:$D$200,'Proyecto Datos (OKR´s)'!$G117,'_Datos'!$BI$7:$BI$200),""),""))</f>
      </c>
      <c r="F117" s="204">
        <f>IF('_Datos'!$C117,IF(ISNUMBER('_Datos'!$AR117),'_Datos'!$AR117,"(Sin fecha)"),"")</f>
      </c>
      <c r="G117" s="204"/>
      <c r="H117" s="205"/>
      <c r="I117" s="204">
        <f>IF('_Datos'!$C117,IF(ISNUMBER('_Datos'!$AV117),'_Datos'!$AZ117,"(Sin fecha)"),"")</f>
      </c>
      <c r="J117" s="204"/>
      <c r="K117" s="205"/>
      <c r="L117" s="209">
        <f>IF('_Datos'!$C117,'_Datos'!$AX117,"")</f>
      </c>
      <c r="M117" s="191"/>
      <c r="N117" s="204">
        <f>IF('_Datos'!$C117,'_Datos'!$BA117,"")</f>
      </c>
      <c r="O117" s="192"/>
    </row>
    <row r="118">
      <c r="B118" s="204">
        <f>IF('_Datos'!$C118,'_Datos'!$O118,"")</f>
      </c>
      <c r="C118" s="205">
        <f>IF('_Datos'!$C118,'_Datos'!$F118,IF('_Datos'!$B118,'Proyecto Datos (OKR´s)'!$G118,""))</f>
      </c>
      <c r="D118" s="204">
        <f>IF('_Datos'!$C118,'_Datos'!$AO118,"")</f>
      </c>
      <c r="E118" s="208">
        <f>IF('_Datos'!$C118,'_Datos'!$BI118,IF('_Datos'!$B118,IFERROR(AVERAGEIF('_Datos'!$D$7:$D$200,'Proyecto Datos (OKR´s)'!$G118,'_Datos'!$BI$7:$BI$200),""),""))</f>
      </c>
      <c r="F118" s="204">
        <f>IF('_Datos'!$C118,IF(ISNUMBER('_Datos'!$AR118),'_Datos'!$AR118,"(Sin fecha)"),"")</f>
      </c>
      <c r="G118" s="204"/>
      <c r="H118" s="205"/>
      <c r="I118" s="204">
        <f>IF('_Datos'!$C118,IF(ISNUMBER('_Datos'!$AV118),'_Datos'!$AZ118,"(Sin fecha)"),"")</f>
      </c>
      <c r="J118" s="204"/>
      <c r="K118" s="205"/>
      <c r="L118" s="209">
        <f>IF('_Datos'!$C118,'_Datos'!$AX118,"")</f>
      </c>
      <c r="M118" s="191"/>
      <c r="N118" s="204">
        <f>IF('_Datos'!$C118,'_Datos'!$BA118,"")</f>
      </c>
      <c r="O118" s="192"/>
    </row>
    <row r="119">
      <c r="B119" s="204">
        <f>IF('_Datos'!$C119,'_Datos'!$O119,"")</f>
      </c>
      <c r="C119" s="205">
        <f>IF('_Datos'!$C119,'_Datos'!$F119,IF('_Datos'!$B119,'Proyecto Datos (OKR´s)'!$G119,""))</f>
      </c>
      <c r="D119" s="204">
        <f>IF('_Datos'!$C119,'_Datos'!$AO119,"")</f>
      </c>
      <c r="E119" s="208">
        <f>IF('_Datos'!$C119,'_Datos'!$BI119,IF('_Datos'!$B119,IFERROR(AVERAGEIF('_Datos'!$D$7:$D$200,'Proyecto Datos (OKR´s)'!$G119,'_Datos'!$BI$7:$BI$200),""),""))</f>
      </c>
      <c r="F119" s="204">
        <f>IF('_Datos'!$C119,IF(ISNUMBER('_Datos'!$AR119),'_Datos'!$AR119,"(Sin fecha)"),"")</f>
      </c>
      <c r="G119" s="204"/>
      <c r="H119" s="205"/>
      <c r="I119" s="204">
        <f>IF('_Datos'!$C119,IF(ISNUMBER('_Datos'!$AV119),'_Datos'!$AZ119,"(Sin fecha)"),"")</f>
      </c>
      <c r="J119" s="204"/>
      <c r="K119" s="205"/>
      <c r="L119" s="209">
        <f>IF('_Datos'!$C119,'_Datos'!$AX119,"")</f>
      </c>
      <c r="M119" s="191"/>
      <c r="N119" s="204">
        <f>IF('_Datos'!$C119,'_Datos'!$BA119,"")</f>
      </c>
      <c r="O119" s="192"/>
    </row>
    <row r="120">
      <c r="B120" s="204">
        <f>IF('_Datos'!$C120,'_Datos'!$O120,"")</f>
      </c>
      <c r="C120" s="205">
        <f>IF('_Datos'!$C120,'_Datos'!$F120,IF('_Datos'!$B120,'Proyecto Datos (OKR´s)'!$G120,""))</f>
      </c>
      <c r="D120" s="204">
        <f>IF('_Datos'!$C120,'_Datos'!$AO120,"")</f>
      </c>
      <c r="E120" s="208">
        <f>IF('_Datos'!$C120,'_Datos'!$BI120,IF('_Datos'!$B120,IFERROR(AVERAGEIF('_Datos'!$D$7:$D$200,'Proyecto Datos (OKR´s)'!$G120,'_Datos'!$BI$7:$BI$200),""),""))</f>
      </c>
      <c r="F120" s="204">
        <f>IF('_Datos'!$C120,IF(ISNUMBER('_Datos'!$AR120),'_Datos'!$AR120,"(Sin fecha)"),"")</f>
      </c>
      <c r="G120" s="204"/>
      <c r="H120" s="205"/>
      <c r="I120" s="204">
        <f>IF('_Datos'!$C120,IF(ISNUMBER('_Datos'!$AV120),'_Datos'!$AZ120,"(Sin fecha)"),"")</f>
      </c>
      <c r="J120" s="204"/>
      <c r="K120" s="205"/>
      <c r="L120" s="209">
        <f>IF('_Datos'!$C120,'_Datos'!$AX120,"")</f>
      </c>
      <c r="M120" s="191"/>
      <c r="N120" s="204">
        <f>IF('_Datos'!$C120,'_Datos'!$BA120,"")</f>
      </c>
      <c r="O120" s="192"/>
    </row>
    <row r="121">
      <c r="B121" s="204">
        <f>IF('_Datos'!$C121,'_Datos'!$O121,"")</f>
      </c>
      <c r="C121" s="205">
        <f>IF('_Datos'!$C121,'_Datos'!$F121,IF('_Datos'!$B121,'Proyecto Datos (OKR´s)'!$G121,""))</f>
      </c>
      <c r="D121" s="204">
        <f>IF('_Datos'!$C121,'_Datos'!$AO121,"")</f>
      </c>
      <c r="E121" s="208">
        <f>IF('_Datos'!$C121,'_Datos'!$BI121,IF('_Datos'!$B121,IFERROR(AVERAGEIF('_Datos'!$D$7:$D$200,'Proyecto Datos (OKR´s)'!$G121,'_Datos'!$BI$7:$BI$200),""),""))</f>
      </c>
      <c r="F121" s="204">
        <f>IF('_Datos'!$C121,IF(ISNUMBER('_Datos'!$AR121),'_Datos'!$AR121,"(Sin fecha)"),"")</f>
      </c>
      <c r="G121" s="204"/>
      <c r="H121" s="205"/>
      <c r="I121" s="204">
        <f>IF('_Datos'!$C121,IF(ISNUMBER('_Datos'!$AV121),'_Datos'!$AZ121,"(Sin fecha)"),"")</f>
      </c>
      <c r="J121" s="204"/>
      <c r="K121" s="205"/>
      <c r="L121" s="209">
        <f>IF('_Datos'!$C121,'_Datos'!$AX121,"")</f>
      </c>
      <c r="M121" s="191"/>
      <c r="N121" s="204">
        <f>IF('_Datos'!$C121,'_Datos'!$BA121,"")</f>
      </c>
      <c r="O121" s="192"/>
    </row>
    <row r="122">
      <c r="B122" s="204">
        <f>IF('_Datos'!$C122,'_Datos'!$O122,"")</f>
      </c>
      <c r="C122" s="205">
        <f>IF('_Datos'!$C122,'_Datos'!$F122,IF('_Datos'!$B122,'Proyecto Datos (OKR´s)'!$G122,""))</f>
      </c>
      <c r="D122" s="204">
        <f>IF('_Datos'!$C122,'_Datos'!$AO122,"")</f>
      </c>
      <c r="E122" s="208">
        <f>IF('_Datos'!$C122,'_Datos'!$BI122,IF('_Datos'!$B122,IFERROR(AVERAGEIF('_Datos'!$D$7:$D$200,'Proyecto Datos (OKR´s)'!$G122,'_Datos'!$BI$7:$BI$200),""),""))</f>
      </c>
      <c r="F122" s="204">
        <f>IF('_Datos'!$C122,IF(ISNUMBER('_Datos'!$AR122),'_Datos'!$AR122,"(Sin fecha)"),"")</f>
      </c>
      <c r="G122" s="204"/>
      <c r="H122" s="205"/>
      <c r="I122" s="204">
        <f>IF('_Datos'!$C122,IF(ISNUMBER('_Datos'!$AV122),'_Datos'!$AZ122,"(Sin fecha)"),"")</f>
      </c>
      <c r="J122" s="204"/>
      <c r="K122" s="205"/>
      <c r="L122" s="209">
        <f>IF('_Datos'!$C122,'_Datos'!$AX122,"")</f>
      </c>
      <c r="M122" s="191"/>
      <c r="N122" s="204">
        <f>IF('_Datos'!$C122,'_Datos'!$BA122,"")</f>
      </c>
      <c r="O122" s="192"/>
    </row>
    <row r="123">
      <c r="B123" s="204">
        <f>IF('_Datos'!$C123,'_Datos'!$O123,"")</f>
      </c>
      <c r="C123" s="205">
        <f>IF('_Datos'!$C123,'_Datos'!$F123,IF('_Datos'!$B123,'Proyecto Datos (OKR´s)'!$G123,""))</f>
      </c>
      <c r="D123" s="204">
        <f>IF('_Datos'!$C123,'_Datos'!$AO123,"")</f>
      </c>
      <c r="E123" s="208">
        <f>IF('_Datos'!$C123,'_Datos'!$BI123,IF('_Datos'!$B123,IFERROR(AVERAGEIF('_Datos'!$D$7:$D$200,'Proyecto Datos (OKR´s)'!$G123,'_Datos'!$BI$7:$BI$200),""),""))</f>
      </c>
      <c r="F123" s="204">
        <f>IF('_Datos'!$C123,IF(ISNUMBER('_Datos'!$AR123),'_Datos'!$AR123,"(Sin fecha)"),"")</f>
      </c>
      <c r="G123" s="204"/>
      <c r="H123" s="205"/>
      <c r="I123" s="204">
        <f>IF('_Datos'!$C123,IF(ISNUMBER('_Datos'!$AV123),'_Datos'!$AZ123,"(Sin fecha)"),"")</f>
      </c>
      <c r="J123" s="204"/>
      <c r="K123" s="205"/>
      <c r="L123" s="209">
        <f>IF('_Datos'!$C123,'_Datos'!$AX123,"")</f>
      </c>
      <c r="M123" s="191"/>
      <c r="N123" s="204">
        <f>IF('_Datos'!$C123,'_Datos'!$BA123,"")</f>
      </c>
      <c r="O123" s="192"/>
    </row>
    <row r="124">
      <c r="B124" s="204">
        <f>IF('_Datos'!$C124,'_Datos'!$O124,"")</f>
      </c>
      <c r="C124" s="205">
        <f>IF('_Datos'!$C124,'_Datos'!$F124,IF('_Datos'!$B124,'Proyecto Datos (OKR´s)'!$G124,""))</f>
      </c>
      <c r="D124" s="204">
        <f>IF('_Datos'!$C124,'_Datos'!$AO124,"")</f>
      </c>
      <c r="E124" s="208">
        <f>IF('_Datos'!$C124,'_Datos'!$BI124,IF('_Datos'!$B124,IFERROR(AVERAGEIF('_Datos'!$D$7:$D$200,'Proyecto Datos (OKR´s)'!$G124,'_Datos'!$BI$7:$BI$200),""),""))</f>
      </c>
      <c r="F124" s="204">
        <f>IF('_Datos'!$C124,IF(ISNUMBER('_Datos'!$AR124),'_Datos'!$AR124,"(Sin fecha)"),"")</f>
      </c>
      <c r="G124" s="204"/>
      <c r="H124" s="205"/>
      <c r="I124" s="204">
        <f>IF('_Datos'!$C124,IF(ISNUMBER('_Datos'!$AV124),'_Datos'!$AZ124,"(Sin fecha)"),"")</f>
      </c>
      <c r="J124" s="204"/>
      <c r="K124" s="205"/>
      <c r="L124" s="209">
        <f>IF('_Datos'!$C124,'_Datos'!$AX124,"")</f>
      </c>
      <c r="M124" s="191"/>
      <c r="N124" s="204">
        <f>IF('_Datos'!$C124,'_Datos'!$BA124,"")</f>
      </c>
      <c r="O124" s="192"/>
    </row>
    <row r="125">
      <c r="B125" s="204">
        <f>IF('_Datos'!$C125,'_Datos'!$O125,"")</f>
      </c>
      <c r="C125" s="205">
        <f>IF('_Datos'!$C125,'_Datos'!$F125,IF('_Datos'!$B125,'Proyecto Datos (OKR´s)'!$G125,""))</f>
      </c>
      <c r="D125" s="204">
        <f>IF('_Datos'!$C125,'_Datos'!$AO125,"")</f>
      </c>
      <c r="E125" s="208">
        <f>IF('_Datos'!$C125,'_Datos'!$BI125,IF('_Datos'!$B125,IFERROR(AVERAGEIF('_Datos'!$D$7:$D$200,'Proyecto Datos (OKR´s)'!$G125,'_Datos'!$BI$7:$BI$200),""),""))</f>
      </c>
      <c r="F125" s="204">
        <f>IF('_Datos'!$C125,IF(ISNUMBER('_Datos'!$AR125),'_Datos'!$AR125,"(Sin fecha)"),"")</f>
      </c>
      <c r="G125" s="204"/>
      <c r="H125" s="205"/>
      <c r="I125" s="204">
        <f>IF('_Datos'!$C125,IF(ISNUMBER('_Datos'!$AV125),'_Datos'!$AZ125,"(Sin fecha)"),"")</f>
      </c>
      <c r="J125" s="204"/>
      <c r="K125" s="205"/>
      <c r="L125" s="209">
        <f>IF('_Datos'!$C125,'_Datos'!$AX125,"")</f>
      </c>
      <c r="M125" s="191"/>
      <c r="N125" s="204">
        <f>IF('_Datos'!$C125,'_Datos'!$BA125,"")</f>
      </c>
      <c r="O125" s="192"/>
    </row>
    <row r="126">
      <c r="B126" s="204">
        <f>IF('_Datos'!$C126,'_Datos'!$O126,"")</f>
      </c>
      <c r="C126" s="205">
        <f>IF('_Datos'!$C126,'_Datos'!$F126,IF('_Datos'!$B126,'Proyecto Datos (OKR´s)'!$G126,""))</f>
      </c>
      <c r="D126" s="204">
        <f>IF('_Datos'!$C126,'_Datos'!$AO126,"")</f>
      </c>
      <c r="E126" s="208">
        <f>IF('_Datos'!$C126,'_Datos'!$BI126,IF('_Datos'!$B126,IFERROR(AVERAGEIF('_Datos'!$D$7:$D$200,'Proyecto Datos (OKR´s)'!$G126,'_Datos'!$BI$7:$BI$200),""),""))</f>
      </c>
      <c r="F126" s="204">
        <f>IF('_Datos'!$C126,IF(ISNUMBER('_Datos'!$AR126),'_Datos'!$AR126,"(Sin fecha)"),"")</f>
      </c>
      <c r="G126" s="204"/>
      <c r="H126" s="205"/>
      <c r="I126" s="204">
        <f>IF('_Datos'!$C126,IF(ISNUMBER('_Datos'!$AV126),'_Datos'!$AZ126,"(Sin fecha)"),"")</f>
      </c>
      <c r="J126" s="204"/>
      <c r="K126" s="205"/>
      <c r="L126" s="209">
        <f>IF('_Datos'!$C126,'_Datos'!$AX126,"")</f>
      </c>
      <c r="M126" s="191"/>
      <c r="N126" s="204">
        <f>IF('_Datos'!$C126,'_Datos'!$BA126,"")</f>
      </c>
      <c r="O126" s="192"/>
    </row>
    <row r="127">
      <c r="B127" s="204">
        <f>IF('_Datos'!$C127,'_Datos'!$O127,"")</f>
      </c>
      <c r="C127" s="205">
        <f>IF('_Datos'!$C127,'_Datos'!$F127,IF('_Datos'!$B127,'Proyecto Datos (OKR´s)'!$G127,""))</f>
      </c>
      <c r="D127" s="204">
        <f>IF('_Datos'!$C127,'_Datos'!$AO127,"")</f>
      </c>
      <c r="E127" s="208">
        <f>IF('_Datos'!$C127,'_Datos'!$BI127,IF('_Datos'!$B127,IFERROR(AVERAGEIF('_Datos'!$D$7:$D$200,'Proyecto Datos (OKR´s)'!$G127,'_Datos'!$BI$7:$BI$200),""),""))</f>
      </c>
      <c r="F127" s="204">
        <f>IF('_Datos'!$C127,IF(ISNUMBER('_Datos'!$AR127),'_Datos'!$AR127,"(Sin fecha)"),"")</f>
      </c>
      <c r="G127" s="204"/>
      <c r="H127" s="205"/>
      <c r="I127" s="204">
        <f>IF('_Datos'!$C127,IF(ISNUMBER('_Datos'!$AV127),'_Datos'!$AZ127,"(Sin fecha)"),"")</f>
      </c>
      <c r="J127" s="204"/>
      <c r="K127" s="205"/>
      <c r="L127" s="209">
        <f>IF('_Datos'!$C127,'_Datos'!$AX127,"")</f>
      </c>
      <c r="M127" s="191"/>
      <c r="N127" s="204">
        <f>IF('_Datos'!$C127,'_Datos'!$BA127,"")</f>
      </c>
      <c r="O127" s="192"/>
    </row>
    <row r="128">
      <c r="B128" s="204">
        <f>IF('_Datos'!$C128,'_Datos'!$O128,"")</f>
      </c>
      <c r="C128" s="205">
        <f>IF('_Datos'!$C128,'_Datos'!$F128,IF('_Datos'!$B128,'Proyecto Datos (OKR´s)'!$G128,""))</f>
      </c>
      <c r="D128" s="204">
        <f>IF('_Datos'!$C128,'_Datos'!$AO128,"")</f>
      </c>
      <c r="E128" s="208">
        <f>IF('_Datos'!$C128,'_Datos'!$BI128,IF('_Datos'!$B128,IFERROR(AVERAGEIF('_Datos'!$D$7:$D$200,'Proyecto Datos (OKR´s)'!$G128,'_Datos'!$BI$7:$BI$200),""),""))</f>
      </c>
      <c r="F128" s="204">
        <f>IF('_Datos'!$C128,IF(ISNUMBER('_Datos'!$AR128),'_Datos'!$AR128,"(Sin fecha)"),"")</f>
      </c>
      <c r="G128" s="204"/>
      <c r="H128" s="205"/>
      <c r="I128" s="204">
        <f>IF('_Datos'!$C128,IF(ISNUMBER('_Datos'!$AV128),'_Datos'!$AZ128,"(Sin fecha)"),"")</f>
      </c>
      <c r="J128" s="204"/>
      <c r="K128" s="205"/>
      <c r="L128" s="209">
        <f>IF('_Datos'!$C128,'_Datos'!$AX128,"")</f>
      </c>
      <c r="M128" s="191"/>
      <c r="N128" s="204">
        <f>IF('_Datos'!$C128,'_Datos'!$BA128,"")</f>
      </c>
      <c r="O128" s="192"/>
    </row>
    <row r="129">
      <c r="B129" s="204">
        <f>IF('_Datos'!$C129,'_Datos'!$O129,"")</f>
      </c>
      <c r="C129" s="205">
        <f>IF('_Datos'!$C129,'_Datos'!$F129,IF('_Datos'!$B129,'Proyecto Datos (OKR´s)'!$G129,""))</f>
      </c>
      <c r="D129" s="204">
        <f>IF('_Datos'!$C129,'_Datos'!$AO129,"")</f>
      </c>
      <c r="E129" s="208">
        <f>IF('_Datos'!$C129,'_Datos'!$BI129,IF('_Datos'!$B129,IFERROR(AVERAGEIF('_Datos'!$D$7:$D$200,'Proyecto Datos (OKR´s)'!$G129,'_Datos'!$BI$7:$BI$200),""),""))</f>
      </c>
      <c r="F129" s="204">
        <f>IF('_Datos'!$C129,IF(ISNUMBER('_Datos'!$AR129),'_Datos'!$AR129,"(Sin fecha)"),"")</f>
      </c>
      <c r="G129" s="204"/>
      <c r="H129" s="205"/>
      <c r="I129" s="204">
        <f>IF('_Datos'!$C129,IF(ISNUMBER('_Datos'!$AV129),'_Datos'!$AZ129,"(Sin fecha)"),"")</f>
      </c>
      <c r="J129" s="204"/>
      <c r="K129" s="205"/>
      <c r="L129" s="209">
        <f>IF('_Datos'!$C129,'_Datos'!$AX129,"")</f>
      </c>
      <c r="M129" s="191"/>
      <c r="N129" s="204">
        <f>IF('_Datos'!$C129,'_Datos'!$BA129,"")</f>
      </c>
      <c r="O129" s="192"/>
    </row>
    <row r="130">
      <c r="B130" s="204">
        <f>IF('_Datos'!$C130,'_Datos'!$O130,"")</f>
      </c>
      <c r="C130" s="205">
        <f>IF('_Datos'!$C130,'_Datos'!$F130,IF('_Datos'!$B130,'Proyecto Datos (OKR´s)'!$G130,""))</f>
      </c>
      <c r="D130" s="204">
        <f>IF('_Datos'!$C130,'_Datos'!$AO130,"")</f>
      </c>
      <c r="E130" s="208">
        <f>IF('_Datos'!$C130,'_Datos'!$BI130,IF('_Datos'!$B130,IFERROR(AVERAGEIF('_Datos'!$D$7:$D$200,'Proyecto Datos (OKR´s)'!$G130,'_Datos'!$BI$7:$BI$200),""),""))</f>
      </c>
      <c r="F130" s="204">
        <f>IF('_Datos'!$C130,IF(ISNUMBER('_Datos'!$AR130),'_Datos'!$AR130,"(Sin fecha)"),"")</f>
      </c>
      <c r="G130" s="204"/>
      <c r="H130" s="205"/>
      <c r="I130" s="204">
        <f>IF('_Datos'!$C130,IF(ISNUMBER('_Datos'!$AV130),'_Datos'!$AZ130,"(Sin fecha)"),"")</f>
      </c>
      <c r="J130" s="204"/>
      <c r="K130" s="205"/>
      <c r="L130" s="209">
        <f>IF('_Datos'!$C130,'_Datos'!$AX130,"")</f>
      </c>
      <c r="M130" s="191"/>
      <c r="N130" s="204">
        <f>IF('_Datos'!$C130,'_Datos'!$BA130,"")</f>
      </c>
      <c r="O130" s="192"/>
    </row>
    <row r="131">
      <c r="B131" s="204">
        <f>IF('_Datos'!$C131,'_Datos'!$O131,"")</f>
      </c>
      <c r="C131" s="205">
        <f>IF('_Datos'!$C131,'_Datos'!$F131,IF('_Datos'!$B131,'Proyecto Datos (OKR´s)'!$G131,""))</f>
      </c>
      <c r="D131" s="204">
        <f>IF('_Datos'!$C131,'_Datos'!$AO131,"")</f>
      </c>
      <c r="E131" s="208">
        <f>IF('_Datos'!$C131,'_Datos'!$BI131,IF('_Datos'!$B131,IFERROR(AVERAGEIF('_Datos'!$D$7:$D$200,'Proyecto Datos (OKR´s)'!$G131,'_Datos'!$BI$7:$BI$200),""),""))</f>
      </c>
      <c r="F131" s="204">
        <f>IF('_Datos'!$C131,IF(ISNUMBER('_Datos'!$AR131),'_Datos'!$AR131,"(Sin fecha)"),"")</f>
      </c>
      <c r="G131" s="204"/>
      <c r="H131" s="205"/>
      <c r="I131" s="204">
        <f>IF('_Datos'!$C131,IF(ISNUMBER('_Datos'!$AV131),'_Datos'!$AZ131,"(Sin fecha)"),"")</f>
      </c>
      <c r="J131" s="204"/>
      <c r="K131" s="205"/>
      <c r="L131" s="209">
        <f>IF('_Datos'!$C131,'_Datos'!$AX131,"")</f>
      </c>
      <c r="M131" s="191"/>
      <c r="N131" s="204">
        <f>IF('_Datos'!$C131,'_Datos'!$BA131,"")</f>
      </c>
      <c r="O131" s="192"/>
    </row>
    <row r="132">
      <c r="B132" s="204">
        <f>IF('_Datos'!$C132,'_Datos'!$O132,"")</f>
      </c>
      <c r="C132" s="205">
        <f>IF('_Datos'!$C132,'_Datos'!$F132,IF('_Datos'!$B132,'Proyecto Datos (OKR´s)'!$G132,""))</f>
      </c>
      <c r="D132" s="204">
        <f>IF('_Datos'!$C132,'_Datos'!$AO132,"")</f>
      </c>
      <c r="E132" s="208">
        <f>IF('_Datos'!$C132,'_Datos'!$BI132,IF('_Datos'!$B132,IFERROR(AVERAGEIF('_Datos'!$D$7:$D$200,'Proyecto Datos (OKR´s)'!$G132,'_Datos'!$BI$7:$BI$200),""),""))</f>
      </c>
      <c r="F132" s="204">
        <f>IF('_Datos'!$C132,IF(ISNUMBER('_Datos'!$AR132),'_Datos'!$AR132,"(Sin fecha)"),"")</f>
      </c>
      <c r="G132" s="204"/>
      <c r="H132" s="205"/>
      <c r="I132" s="204">
        <f>IF('_Datos'!$C132,IF(ISNUMBER('_Datos'!$AV132),'_Datos'!$AZ132,"(Sin fecha)"),"")</f>
      </c>
      <c r="J132" s="204"/>
      <c r="K132" s="205"/>
      <c r="L132" s="209">
        <f>IF('_Datos'!$C132,'_Datos'!$AX132,"")</f>
      </c>
      <c r="M132" s="191"/>
      <c r="N132" s="204">
        <f>IF('_Datos'!$C132,'_Datos'!$BA132,"")</f>
      </c>
      <c r="O132" s="192"/>
    </row>
    <row r="133">
      <c r="B133" s="204">
        <f>IF('_Datos'!$C133,'_Datos'!$O133,"")</f>
      </c>
      <c r="C133" s="205">
        <f>IF('_Datos'!$C133,'_Datos'!$F133,IF('_Datos'!$B133,'Proyecto Datos (OKR´s)'!$G133,""))</f>
      </c>
      <c r="D133" s="204">
        <f>IF('_Datos'!$C133,'_Datos'!$AO133,"")</f>
      </c>
      <c r="E133" s="208">
        <f>IF('_Datos'!$C133,'_Datos'!$BI133,IF('_Datos'!$B133,IFERROR(AVERAGEIF('_Datos'!$D$7:$D$200,'Proyecto Datos (OKR´s)'!$G133,'_Datos'!$BI$7:$BI$200),""),""))</f>
      </c>
      <c r="F133" s="204">
        <f>IF('_Datos'!$C133,IF(ISNUMBER('_Datos'!$AR133),'_Datos'!$AR133,"(Sin fecha)"),"")</f>
      </c>
      <c r="G133" s="204"/>
      <c r="H133" s="205"/>
      <c r="I133" s="204">
        <f>IF('_Datos'!$C133,IF(ISNUMBER('_Datos'!$AV133),'_Datos'!$AZ133,"(Sin fecha)"),"")</f>
      </c>
      <c r="J133" s="204"/>
      <c r="K133" s="205"/>
      <c r="L133" s="209">
        <f>IF('_Datos'!$C133,'_Datos'!$AX133,"")</f>
      </c>
      <c r="M133" s="191"/>
      <c r="N133" s="204">
        <f>IF('_Datos'!$C133,'_Datos'!$BA133,"")</f>
      </c>
      <c r="O133" s="192"/>
    </row>
    <row r="134">
      <c r="B134" s="204">
        <f>IF('_Datos'!$C134,'_Datos'!$O134,"")</f>
      </c>
      <c r="C134" s="205">
        <f>IF('_Datos'!$C134,'_Datos'!$F134,IF('_Datos'!$B134,'Proyecto Datos (OKR´s)'!$G134,""))</f>
      </c>
      <c r="D134" s="204">
        <f>IF('_Datos'!$C134,'_Datos'!$AO134,"")</f>
      </c>
      <c r="E134" s="208">
        <f>IF('_Datos'!$C134,'_Datos'!$BI134,IF('_Datos'!$B134,IFERROR(AVERAGEIF('_Datos'!$D$7:$D$200,'Proyecto Datos (OKR´s)'!$G134,'_Datos'!$BI$7:$BI$200),""),""))</f>
      </c>
      <c r="F134" s="204">
        <f>IF('_Datos'!$C134,IF(ISNUMBER('_Datos'!$AR134),'_Datos'!$AR134,"(Sin fecha)"),"")</f>
      </c>
      <c r="G134" s="204"/>
      <c r="H134" s="205"/>
      <c r="I134" s="204">
        <f>IF('_Datos'!$C134,IF(ISNUMBER('_Datos'!$AV134),'_Datos'!$AZ134,"(Sin fecha)"),"")</f>
      </c>
      <c r="J134" s="204"/>
      <c r="K134" s="205"/>
      <c r="L134" s="209">
        <f>IF('_Datos'!$C134,'_Datos'!$AX134,"")</f>
      </c>
      <c r="M134" s="191"/>
      <c r="N134" s="204">
        <f>IF('_Datos'!$C134,'_Datos'!$BA134,"")</f>
      </c>
      <c r="O134" s="192"/>
    </row>
    <row r="135">
      <c r="B135" s="204">
        <f>IF('_Datos'!$C135,'_Datos'!$O135,"")</f>
      </c>
      <c r="C135" s="205">
        <f>IF('_Datos'!$C135,'_Datos'!$F135,IF('_Datos'!$B135,'Proyecto Datos (OKR´s)'!$G135,""))</f>
      </c>
      <c r="D135" s="204">
        <f>IF('_Datos'!$C135,'_Datos'!$AO135,"")</f>
      </c>
      <c r="E135" s="208">
        <f>IF('_Datos'!$C135,'_Datos'!$BI135,IF('_Datos'!$B135,IFERROR(AVERAGEIF('_Datos'!$D$7:$D$200,'Proyecto Datos (OKR´s)'!$G135,'_Datos'!$BI$7:$BI$200),""),""))</f>
      </c>
      <c r="F135" s="204">
        <f>IF('_Datos'!$C135,IF(ISNUMBER('_Datos'!$AR135),'_Datos'!$AR135,"(Sin fecha)"),"")</f>
      </c>
      <c r="G135" s="204"/>
      <c r="H135" s="205"/>
      <c r="I135" s="204">
        <f>IF('_Datos'!$C135,IF(ISNUMBER('_Datos'!$AV135),'_Datos'!$AZ135,"(Sin fecha)"),"")</f>
      </c>
      <c r="J135" s="204"/>
      <c r="K135" s="205"/>
      <c r="L135" s="209">
        <f>IF('_Datos'!$C135,'_Datos'!$AX135,"")</f>
      </c>
      <c r="M135" s="191"/>
      <c r="N135" s="204">
        <f>IF('_Datos'!$C135,'_Datos'!$BA135,"")</f>
      </c>
      <c r="O135" s="192"/>
    </row>
    <row r="136">
      <c r="B136" s="204">
        <f>IF('_Datos'!$C136,'_Datos'!$O136,"")</f>
      </c>
      <c r="C136" s="205">
        <f>IF('_Datos'!$C136,'_Datos'!$F136,IF('_Datos'!$B136,'Proyecto Datos (OKR´s)'!$G136,""))</f>
      </c>
      <c r="D136" s="204">
        <f>IF('_Datos'!$C136,'_Datos'!$AO136,"")</f>
      </c>
      <c r="E136" s="208">
        <f>IF('_Datos'!$C136,'_Datos'!$BI136,IF('_Datos'!$B136,IFERROR(AVERAGEIF('_Datos'!$D$7:$D$200,'Proyecto Datos (OKR´s)'!$G136,'_Datos'!$BI$7:$BI$200),""),""))</f>
      </c>
      <c r="F136" s="204">
        <f>IF('_Datos'!$C136,IF(ISNUMBER('_Datos'!$AR136),'_Datos'!$AR136,"(Sin fecha)"),"")</f>
      </c>
      <c r="G136" s="204"/>
      <c r="H136" s="205"/>
      <c r="I136" s="204">
        <f>IF('_Datos'!$C136,IF(ISNUMBER('_Datos'!$AV136),'_Datos'!$AZ136,"(Sin fecha)"),"")</f>
      </c>
      <c r="J136" s="204"/>
      <c r="K136" s="205"/>
      <c r="L136" s="209">
        <f>IF('_Datos'!$C136,'_Datos'!$AX136,"")</f>
      </c>
      <c r="M136" s="191"/>
      <c r="N136" s="204">
        <f>IF('_Datos'!$C136,'_Datos'!$BA136,"")</f>
      </c>
      <c r="O136" s="192"/>
    </row>
    <row r="137">
      <c r="B137" s="204">
        <f>IF('_Datos'!$C137,'_Datos'!$O137,"")</f>
      </c>
      <c r="C137" s="205">
        <f>IF('_Datos'!$C137,'_Datos'!$F137,IF('_Datos'!$B137,'Proyecto Datos (OKR´s)'!$G137,""))</f>
      </c>
      <c r="D137" s="204">
        <f>IF('_Datos'!$C137,'_Datos'!$AO137,"")</f>
      </c>
      <c r="E137" s="208">
        <f>IF('_Datos'!$C137,'_Datos'!$BI137,IF('_Datos'!$B137,IFERROR(AVERAGEIF('_Datos'!$D$7:$D$200,'Proyecto Datos (OKR´s)'!$G137,'_Datos'!$BI$7:$BI$200),""),""))</f>
      </c>
      <c r="F137" s="204">
        <f>IF('_Datos'!$C137,IF(ISNUMBER('_Datos'!$AR137),'_Datos'!$AR137,"(Sin fecha)"),"")</f>
      </c>
      <c r="G137" s="204"/>
      <c r="H137" s="205"/>
      <c r="I137" s="204">
        <f>IF('_Datos'!$C137,IF(ISNUMBER('_Datos'!$AV137),'_Datos'!$AZ137,"(Sin fecha)"),"")</f>
      </c>
      <c r="J137" s="204"/>
      <c r="K137" s="205"/>
      <c r="L137" s="209">
        <f>IF('_Datos'!$C137,'_Datos'!$AX137,"")</f>
      </c>
      <c r="M137" s="191"/>
      <c r="N137" s="204">
        <f>IF('_Datos'!$C137,'_Datos'!$BA137,"")</f>
      </c>
      <c r="O137" s="192"/>
    </row>
    <row r="138">
      <c r="B138" s="204">
        <f>IF('_Datos'!$C138,'_Datos'!$O138,"")</f>
      </c>
      <c r="C138" s="205">
        <f>IF('_Datos'!$C138,'_Datos'!$F138,IF('_Datos'!$B138,'Proyecto Datos (OKR´s)'!$G138,""))</f>
      </c>
      <c r="D138" s="204">
        <f>IF('_Datos'!$C138,'_Datos'!$AO138,"")</f>
      </c>
      <c r="E138" s="208">
        <f>IF('_Datos'!$C138,'_Datos'!$BI138,IF('_Datos'!$B138,IFERROR(AVERAGEIF('_Datos'!$D$7:$D$200,'Proyecto Datos (OKR´s)'!$G138,'_Datos'!$BI$7:$BI$200),""),""))</f>
      </c>
      <c r="F138" s="204">
        <f>IF('_Datos'!$C138,IF(ISNUMBER('_Datos'!$AR138),'_Datos'!$AR138,"(Sin fecha)"),"")</f>
      </c>
      <c r="G138" s="204"/>
      <c r="H138" s="205"/>
      <c r="I138" s="204">
        <f>IF('_Datos'!$C138,IF(ISNUMBER('_Datos'!$AV138),'_Datos'!$AZ138,"(Sin fecha)"),"")</f>
      </c>
      <c r="J138" s="204"/>
      <c r="K138" s="205"/>
      <c r="L138" s="209">
        <f>IF('_Datos'!$C138,'_Datos'!$AX138,"")</f>
      </c>
      <c r="M138" s="191"/>
      <c r="N138" s="204">
        <f>IF('_Datos'!$C138,'_Datos'!$BA138,"")</f>
      </c>
      <c r="O138" s="192"/>
    </row>
    <row r="139">
      <c r="B139" s="204">
        <f>IF('_Datos'!$C139,'_Datos'!$O139,"")</f>
      </c>
      <c r="C139" s="205">
        <f>IF('_Datos'!$C139,'_Datos'!$F139,IF('_Datos'!$B139,'Proyecto Datos (OKR´s)'!$G139,""))</f>
      </c>
      <c r="D139" s="204">
        <f>IF('_Datos'!$C139,'_Datos'!$AO139,"")</f>
      </c>
      <c r="E139" s="208">
        <f>IF('_Datos'!$C139,'_Datos'!$BI139,IF('_Datos'!$B139,IFERROR(AVERAGEIF('_Datos'!$D$7:$D$200,'Proyecto Datos (OKR´s)'!$G139,'_Datos'!$BI$7:$BI$200),""),""))</f>
      </c>
      <c r="F139" s="204">
        <f>IF('_Datos'!$C139,IF(ISNUMBER('_Datos'!$AR139),'_Datos'!$AR139,"(Sin fecha)"),"")</f>
      </c>
      <c r="G139" s="204"/>
      <c r="H139" s="205"/>
      <c r="I139" s="204">
        <f>IF('_Datos'!$C139,IF(ISNUMBER('_Datos'!$AV139),'_Datos'!$AZ139,"(Sin fecha)"),"")</f>
      </c>
      <c r="J139" s="204"/>
      <c r="K139" s="205"/>
      <c r="L139" s="209">
        <f>IF('_Datos'!$C139,'_Datos'!$AX139,"")</f>
      </c>
      <c r="M139" s="191"/>
      <c r="N139" s="204">
        <f>IF('_Datos'!$C139,'_Datos'!$BA139,"")</f>
      </c>
      <c r="O139" s="192"/>
    </row>
    <row r="140">
      <c r="B140" s="204">
        <f>IF('_Datos'!$C140,'_Datos'!$O140,"")</f>
      </c>
      <c r="C140" s="205">
        <f>IF('_Datos'!$C140,'_Datos'!$F140,IF('_Datos'!$B140,'Proyecto Datos (OKR´s)'!$G140,""))</f>
      </c>
      <c r="D140" s="204">
        <f>IF('_Datos'!$C140,'_Datos'!$AO140,"")</f>
      </c>
      <c r="E140" s="208">
        <f>IF('_Datos'!$C140,'_Datos'!$BI140,IF('_Datos'!$B140,IFERROR(AVERAGEIF('_Datos'!$D$7:$D$200,'Proyecto Datos (OKR´s)'!$G140,'_Datos'!$BI$7:$BI$200),""),""))</f>
      </c>
      <c r="F140" s="204">
        <f>IF('_Datos'!$C140,IF(ISNUMBER('_Datos'!$AR140),'_Datos'!$AR140,"(Sin fecha)"),"")</f>
      </c>
      <c r="G140" s="204"/>
      <c r="H140" s="205"/>
      <c r="I140" s="204">
        <f>IF('_Datos'!$C140,IF(ISNUMBER('_Datos'!$AV140),'_Datos'!$AZ140,"(Sin fecha)"),"")</f>
      </c>
      <c r="J140" s="204"/>
      <c r="K140" s="205"/>
      <c r="L140" s="209">
        <f>IF('_Datos'!$C140,'_Datos'!$AX140,"")</f>
      </c>
      <c r="M140" s="191"/>
      <c r="N140" s="204">
        <f>IF('_Datos'!$C140,'_Datos'!$BA140,"")</f>
      </c>
      <c r="O140" s="192"/>
    </row>
    <row r="141">
      <c r="B141" s="204">
        <f>IF('_Datos'!$C141,'_Datos'!$O141,"")</f>
      </c>
      <c r="C141" s="205">
        <f>IF('_Datos'!$C141,'_Datos'!$F141,IF('_Datos'!$B141,'Proyecto Datos (OKR´s)'!$G141,""))</f>
      </c>
      <c r="D141" s="204">
        <f>IF('_Datos'!$C141,'_Datos'!$AO141,"")</f>
      </c>
      <c r="E141" s="208">
        <f>IF('_Datos'!$C141,'_Datos'!$BI141,IF('_Datos'!$B141,IFERROR(AVERAGEIF('_Datos'!$D$7:$D$200,'Proyecto Datos (OKR´s)'!$G141,'_Datos'!$BI$7:$BI$200),""),""))</f>
      </c>
      <c r="F141" s="204">
        <f>IF('_Datos'!$C141,IF(ISNUMBER('_Datos'!$AR141),'_Datos'!$AR141,"(Sin fecha)"),"")</f>
      </c>
      <c r="G141" s="204"/>
      <c r="H141" s="205"/>
      <c r="I141" s="204">
        <f>IF('_Datos'!$C141,IF(ISNUMBER('_Datos'!$AV141),'_Datos'!$AZ141,"(Sin fecha)"),"")</f>
      </c>
      <c r="J141" s="204"/>
      <c r="K141" s="205"/>
      <c r="L141" s="209">
        <f>IF('_Datos'!$C141,'_Datos'!$AX141,"")</f>
      </c>
      <c r="M141" s="191"/>
      <c r="N141" s="204">
        <f>IF('_Datos'!$C141,'_Datos'!$BA141,"")</f>
      </c>
      <c r="O141" s="192"/>
    </row>
    <row r="142">
      <c r="B142" s="204">
        <f>IF('_Datos'!$C142,'_Datos'!$O142,"")</f>
      </c>
      <c r="C142" s="205">
        <f>IF('_Datos'!$C142,'_Datos'!$F142,IF('_Datos'!$B142,'Proyecto Datos (OKR´s)'!$G142,""))</f>
      </c>
      <c r="D142" s="204">
        <f>IF('_Datos'!$C142,'_Datos'!$AO142,"")</f>
      </c>
      <c r="E142" s="208">
        <f>IF('_Datos'!$C142,'_Datos'!$BI142,IF('_Datos'!$B142,IFERROR(AVERAGEIF('_Datos'!$D$7:$D$200,'Proyecto Datos (OKR´s)'!$G142,'_Datos'!$BI$7:$BI$200),""),""))</f>
      </c>
      <c r="F142" s="204">
        <f>IF('_Datos'!$C142,IF(ISNUMBER('_Datos'!$AR142),'_Datos'!$AR142,"(Sin fecha)"),"")</f>
      </c>
      <c r="G142" s="204"/>
      <c r="H142" s="205"/>
      <c r="I142" s="204">
        <f>IF('_Datos'!$C142,IF(ISNUMBER('_Datos'!$AV142),'_Datos'!$AZ142,"(Sin fecha)"),"")</f>
      </c>
      <c r="J142" s="204"/>
      <c r="K142" s="205"/>
      <c r="L142" s="209">
        <f>IF('_Datos'!$C142,'_Datos'!$AX142,"")</f>
      </c>
      <c r="M142" s="191"/>
      <c r="N142" s="204">
        <f>IF('_Datos'!$C142,'_Datos'!$BA142,"")</f>
      </c>
      <c r="O142" s="192"/>
    </row>
    <row r="143">
      <c r="B143" s="204">
        <f>IF('_Datos'!$C143,'_Datos'!$O143,"")</f>
      </c>
      <c r="C143" s="205">
        <f>IF('_Datos'!$C143,'_Datos'!$F143,IF('_Datos'!$B143,'Proyecto Datos (OKR´s)'!$G143,""))</f>
      </c>
      <c r="D143" s="204">
        <f>IF('_Datos'!$C143,'_Datos'!$AO143,"")</f>
      </c>
      <c r="E143" s="208">
        <f>IF('_Datos'!$C143,'_Datos'!$BI143,IF('_Datos'!$B143,IFERROR(AVERAGEIF('_Datos'!$D$7:$D$200,'Proyecto Datos (OKR´s)'!$G143,'_Datos'!$BI$7:$BI$200),""),""))</f>
      </c>
      <c r="F143" s="204">
        <f>IF('_Datos'!$C143,IF(ISNUMBER('_Datos'!$AR143),'_Datos'!$AR143,"(Sin fecha)"),"")</f>
      </c>
      <c r="G143" s="204"/>
      <c r="H143" s="205"/>
      <c r="I143" s="204">
        <f>IF('_Datos'!$C143,IF(ISNUMBER('_Datos'!$AV143),'_Datos'!$AZ143,"(Sin fecha)"),"")</f>
      </c>
      <c r="J143" s="204"/>
      <c r="K143" s="205"/>
      <c r="L143" s="209">
        <f>IF('_Datos'!$C143,'_Datos'!$AX143,"")</f>
      </c>
      <c r="M143" s="191"/>
      <c r="N143" s="204">
        <f>IF('_Datos'!$C143,'_Datos'!$BA143,"")</f>
      </c>
      <c r="O143" s="192"/>
    </row>
    <row r="144">
      <c r="B144" s="204">
        <f>IF('_Datos'!$C144,'_Datos'!$O144,"")</f>
      </c>
      <c r="C144" s="205">
        <f>IF('_Datos'!$C144,'_Datos'!$F144,IF('_Datos'!$B144,'Proyecto Datos (OKR´s)'!$G144,""))</f>
      </c>
      <c r="D144" s="204">
        <f>IF('_Datos'!$C144,'_Datos'!$AO144,"")</f>
      </c>
      <c r="E144" s="208">
        <f>IF('_Datos'!$C144,'_Datos'!$BI144,IF('_Datos'!$B144,IFERROR(AVERAGEIF('_Datos'!$D$7:$D$200,'Proyecto Datos (OKR´s)'!$G144,'_Datos'!$BI$7:$BI$200),""),""))</f>
      </c>
      <c r="F144" s="204">
        <f>IF('_Datos'!$C144,IF(ISNUMBER('_Datos'!$AR144),'_Datos'!$AR144,"(Sin fecha)"),"")</f>
      </c>
      <c r="G144" s="204"/>
      <c r="H144" s="205"/>
      <c r="I144" s="204">
        <f>IF('_Datos'!$C144,IF(ISNUMBER('_Datos'!$AV144),'_Datos'!$AZ144,"(Sin fecha)"),"")</f>
      </c>
      <c r="J144" s="204"/>
      <c r="K144" s="205"/>
      <c r="L144" s="209">
        <f>IF('_Datos'!$C144,'_Datos'!$AX144,"")</f>
      </c>
      <c r="M144" s="191"/>
      <c r="N144" s="204">
        <f>IF('_Datos'!$C144,'_Datos'!$BA144,"")</f>
      </c>
      <c r="O144" s="192"/>
    </row>
    <row r="145">
      <c r="B145" s="204">
        <f>IF('_Datos'!$C145,'_Datos'!$O145,"")</f>
      </c>
      <c r="C145" s="205">
        <f>IF('_Datos'!$C145,'_Datos'!$F145,IF('_Datos'!$B145,'Proyecto Datos (OKR´s)'!$G145,""))</f>
      </c>
      <c r="D145" s="204">
        <f>IF('_Datos'!$C145,'_Datos'!$AO145,"")</f>
      </c>
      <c r="E145" s="208">
        <f>IF('_Datos'!$C145,'_Datos'!$BI145,IF('_Datos'!$B145,IFERROR(AVERAGEIF('_Datos'!$D$7:$D$200,'Proyecto Datos (OKR´s)'!$G145,'_Datos'!$BI$7:$BI$200),""),""))</f>
      </c>
      <c r="F145" s="204">
        <f>IF('_Datos'!$C145,IF(ISNUMBER('_Datos'!$AR145),'_Datos'!$AR145,"(Sin fecha)"),"")</f>
      </c>
      <c r="G145" s="204"/>
      <c r="H145" s="205"/>
      <c r="I145" s="204">
        <f>IF('_Datos'!$C145,IF(ISNUMBER('_Datos'!$AV145),'_Datos'!$AZ145,"(Sin fecha)"),"")</f>
      </c>
      <c r="J145" s="204"/>
      <c r="K145" s="205"/>
      <c r="L145" s="209">
        <f>IF('_Datos'!$C145,'_Datos'!$AX145,"")</f>
      </c>
      <c r="M145" s="191"/>
      <c r="N145" s="204">
        <f>IF('_Datos'!$C145,'_Datos'!$BA145,"")</f>
      </c>
      <c r="O145" s="192"/>
    </row>
    <row r="146">
      <c r="B146" s="204">
        <f>IF('_Datos'!$C146,'_Datos'!$O146,"")</f>
      </c>
      <c r="C146" s="205">
        <f>IF('_Datos'!$C146,'_Datos'!$F146,IF('_Datos'!$B146,'Proyecto Datos (OKR´s)'!$G146,""))</f>
      </c>
      <c r="D146" s="204">
        <f>IF('_Datos'!$C146,'_Datos'!$AO146,"")</f>
      </c>
      <c r="E146" s="208">
        <f>IF('_Datos'!$C146,'_Datos'!$BI146,IF('_Datos'!$B146,IFERROR(AVERAGEIF('_Datos'!$D$7:$D$200,'Proyecto Datos (OKR´s)'!$G146,'_Datos'!$BI$7:$BI$200),""),""))</f>
      </c>
      <c r="F146" s="204">
        <f>IF('_Datos'!$C146,IF(ISNUMBER('_Datos'!$AR146),'_Datos'!$AR146,"(Sin fecha)"),"")</f>
      </c>
      <c r="G146" s="204"/>
      <c r="H146" s="205"/>
      <c r="I146" s="204">
        <f>IF('_Datos'!$C146,IF(ISNUMBER('_Datos'!$AV146),'_Datos'!$AZ146,"(Sin fecha)"),"")</f>
      </c>
      <c r="J146" s="204"/>
      <c r="K146" s="205"/>
      <c r="L146" s="209">
        <f>IF('_Datos'!$C146,'_Datos'!$AX146,"")</f>
      </c>
      <c r="M146" s="191"/>
      <c r="N146" s="204">
        <f>IF('_Datos'!$C146,'_Datos'!$BA146,"")</f>
      </c>
      <c r="O146" s="192"/>
    </row>
    <row r="147">
      <c r="B147" s="204">
        <f>IF('_Datos'!$C147,'_Datos'!$O147,"")</f>
      </c>
      <c r="C147" s="205">
        <f>IF('_Datos'!$C147,'_Datos'!$F147,IF('_Datos'!$B147,'Proyecto Datos (OKR´s)'!$G147,""))</f>
      </c>
      <c r="D147" s="204">
        <f>IF('_Datos'!$C147,'_Datos'!$AO147,"")</f>
      </c>
      <c r="E147" s="208">
        <f>IF('_Datos'!$C147,'_Datos'!$BI147,IF('_Datos'!$B147,IFERROR(AVERAGEIF('_Datos'!$D$7:$D$200,'Proyecto Datos (OKR´s)'!$G147,'_Datos'!$BI$7:$BI$200),""),""))</f>
      </c>
      <c r="F147" s="204">
        <f>IF('_Datos'!$C147,IF(ISNUMBER('_Datos'!$AR147),'_Datos'!$AR147,"(Sin fecha)"),"")</f>
      </c>
      <c r="G147" s="204"/>
      <c r="H147" s="205"/>
      <c r="I147" s="204">
        <f>IF('_Datos'!$C147,IF(ISNUMBER('_Datos'!$AV147),'_Datos'!$AZ147,"(Sin fecha)"),"")</f>
      </c>
      <c r="J147" s="204"/>
      <c r="K147" s="205"/>
      <c r="L147" s="209">
        <f>IF('_Datos'!$C147,'_Datos'!$AX147,"")</f>
      </c>
      <c r="M147" s="191"/>
      <c r="N147" s="204">
        <f>IF('_Datos'!$C147,'_Datos'!$BA147,"")</f>
      </c>
      <c r="O147" s="192"/>
    </row>
    <row r="148">
      <c r="B148" s="204">
        <f>IF('_Datos'!$C148,'_Datos'!$O148,"")</f>
      </c>
      <c r="C148" s="205">
        <f>IF('_Datos'!$C148,'_Datos'!$F148,IF('_Datos'!$B148,'Proyecto Datos (OKR´s)'!$G148,""))</f>
      </c>
      <c r="D148" s="204">
        <f>IF('_Datos'!$C148,'_Datos'!$AO148,"")</f>
      </c>
      <c r="E148" s="208">
        <f>IF('_Datos'!$C148,'_Datos'!$BI148,IF('_Datos'!$B148,IFERROR(AVERAGEIF('_Datos'!$D$7:$D$200,'Proyecto Datos (OKR´s)'!$G148,'_Datos'!$BI$7:$BI$200),""),""))</f>
      </c>
      <c r="F148" s="204">
        <f>IF('_Datos'!$C148,IF(ISNUMBER('_Datos'!$AR148),'_Datos'!$AR148,"(Sin fecha)"),"")</f>
      </c>
      <c r="G148" s="204"/>
      <c r="H148" s="205"/>
      <c r="I148" s="204">
        <f>IF('_Datos'!$C148,IF(ISNUMBER('_Datos'!$AV148),'_Datos'!$AZ148,"(Sin fecha)"),"")</f>
      </c>
      <c r="J148" s="204"/>
      <c r="K148" s="205"/>
      <c r="L148" s="209">
        <f>IF('_Datos'!$C148,'_Datos'!$AX148,"")</f>
      </c>
      <c r="M148" s="191"/>
      <c r="N148" s="204">
        <f>IF('_Datos'!$C148,'_Datos'!$BA148,"")</f>
      </c>
      <c r="O148" s="192"/>
    </row>
    <row r="149">
      <c r="B149" s="204">
        <f>IF('_Datos'!$C149,'_Datos'!$O149,"")</f>
      </c>
      <c r="C149" s="205">
        <f>IF('_Datos'!$C149,'_Datos'!$F149,IF('_Datos'!$B149,'Proyecto Datos (OKR´s)'!$G149,""))</f>
      </c>
      <c r="D149" s="204">
        <f>IF('_Datos'!$C149,'_Datos'!$AO149,"")</f>
      </c>
      <c r="E149" s="208">
        <f>IF('_Datos'!$C149,'_Datos'!$BI149,IF('_Datos'!$B149,IFERROR(AVERAGEIF('_Datos'!$D$7:$D$200,'Proyecto Datos (OKR´s)'!$G149,'_Datos'!$BI$7:$BI$200),""),""))</f>
      </c>
      <c r="F149" s="204">
        <f>IF('_Datos'!$C149,IF(ISNUMBER('_Datos'!$AR149),'_Datos'!$AR149,"(Sin fecha)"),"")</f>
      </c>
      <c r="G149" s="204"/>
      <c r="H149" s="205"/>
      <c r="I149" s="204">
        <f>IF('_Datos'!$C149,IF(ISNUMBER('_Datos'!$AV149),'_Datos'!$AZ149,"(Sin fecha)"),"")</f>
      </c>
      <c r="J149" s="204"/>
      <c r="K149" s="205"/>
      <c r="L149" s="209">
        <f>IF('_Datos'!$C149,'_Datos'!$AX149,"")</f>
      </c>
      <c r="M149" s="191"/>
      <c r="N149" s="204">
        <f>IF('_Datos'!$C149,'_Datos'!$BA149,"")</f>
      </c>
      <c r="O149" s="192"/>
    </row>
    <row r="150">
      <c r="B150" s="204">
        <f>IF('_Datos'!$C150,'_Datos'!$O150,"")</f>
      </c>
      <c r="C150" s="205">
        <f>IF('_Datos'!$C150,'_Datos'!$F150,IF('_Datos'!$B150,'Proyecto Datos (OKR´s)'!$G150,""))</f>
      </c>
      <c r="D150" s="204">
        <f>IF('_Datos'!$C150,'_Datos'!$AO150,"")</f>
      </c>
      <c r="E150" s="208">
        <f>IF('_Datos'!$C150,'_Datos'!$BI150,IF('_Datos'!$B150,IFERROR(AVERAGEIF('_Datos'!$D$7:$D$200,'Proyecto Datos (OKR´s)'!$G150,'_Datos'!$BI$7:$BI$200),""),""))</f>
      </c>
      <c r="F150" s="204">
        <f>IF('_Datos'!$C150,IF(ISNUMBER('_Datos'!$AR150),'_Datos'!$AR150,"(Sin fecha)"),"")</f>
      </c>
      <c r="G150" s="204"/>
      <c r="H150" s="205"/>
      <c r="I150" s="204">
        <f>IF('_Datos'!$C150,IF(ISNUMBER('_Datos'!$AV150),'_Datos'!$AZ150,"(Sin fecha)"),"")</f>
      </c>
      <c r="J150" s="204"/>
      <c r="K150" s="205"/>
      <c r="L150" s="209">
        <f>IF('_Datos'!$C150,'_Datos'!$AX150,"")</f>
      </c>
      <c r="M150" s="191"/>
      <c r="N150" s="204">
        <f>IF('_Datos'!$C150,'_Datos'!$BA150,"")</f>
      </c>
      <c r="O150" s="192"/>
    </row>
    <row r="151">
      <c r="B151" s="204">
        <f>IF('_Datos'!$C151,'_Datos'!$O151,"")</f>
      </c>
      <c r="C151" s="205">
        <f>IF('_Datos'!$C151,'_Datos'!$F151,IF('_Datos'!$B151,'Proyecto Datos (OKR´s)'!$G151,""))</f>
      </c>
      <c r="D151" s="204">
        <f>IF('_Datos'!$C151,'_Datos'!$AO151,"")</f>
      </c>
      <c r="E151" s="208">
        <f>IF('_Datos'!$C151,'_Datos'!$BI151,IF('_Datos'!$B151,IFERROR(AVERAGEIF('_Datos'!$D$7:$D$200,'Proyecto Datos (OKR´s)'!$G151,'_Datos'!$BI$7:$BI$200),""),""))</f>
      </c>
      <c r="F151" s="204">
        <f>IF('_Datos'!$C151,IF(ISNUMBER('_Datos'!$AR151),'_Datos'!$AR151,"(Sin fecha)"),"")</f>
      </c>
      <c r="G151" s="204"/>
      <c r="H151" s="205"/>
      <c r="I151" s="204">
        <f>IF('_Datos'!$C151,IF(ISNUMBER('_Datos'!$AV151),'_Datos'!$AZ151,"(Sin fecha)"),"")</f>
      </c>
      <c r="J151" s="204"/>
      <c r="K151" s="205"/>
      <c r="L151" s="209">
        <f>IF('_Datos'!$C151,'_Datos'!$AX151,"")</f>
      </c>
      <c r="M151" s="191"/>
      <c r="N151" s="204">
        <f>IF('_Datos'!$C151,'_Datos'!$BA151,"")</f>
      </c>
      <c r="O151" s="192"/>
    </row>
    <row r="152">
      <c r="B152" s="204">
        <f>IF('_Datos'!$C152,'_Datos'!$O152,"")</f>
      </c>
      <c r="C152" s="205">
        <f>IF('_Datos'!$C152,'_Datos'!$F152,IF('_Datos'!$B152,'Proyecto Datos (OKR´s)'!$G152,""))</f>
      </c>
      <c r="D152" s="204">
        <f>IF('_Datos'!$C152,'_Datos'!$AO152,"")</f>
      </c>
      <c r="E152" s="208">
        <f>IF('_Datos'!$C152,'_Datos'!$BI152,IF('_Datos'!$B152,IFERROR(AVERAGEIF('_Datos'!$D$7:$D$200,'Proyecto Datos (OKR´s)'!$G152,'_Datos'!$BI$7:$BI$200),""),""))</f>
      </c>
      <c r="F152" s="204">
        <f>IF('_Datos'!$C152,IF(ISNUMBER('_Datos'!$AR152),'_Datos'!$AR152,"(Sin fecha)"),"")</f>
      </c>
      <c r="G152" s="204"/>
      <c r="H152" s="205"/>
      <c r="I152" s="204">
        <f>IF('_Datos'!$C152,IF(ISNUMBER('_Datos'!$AV152),'_Datos'!$AZ152,"(Sin fecha)"),"")</f>
      </c>
      <c r="J152" s="204"/>
      <c r="K152" s="205"/>
      <c r="L152" s="209">
        <f>IF('_Datos'!$C152,'_Datos'!$AX152,"")</f>
      </c>
      <c r="M152" s="191"/>
      <c r="N152" s="204">
        <f>IF('_Datos'!$C152,'_Datos'!$BA152,"")</f>
      </c>
      <c r="O152" s="192"/>
    </row>
    <row r="153">
      <c r="B153" s="204">
        <f>IF('_Datos'!$C153,'_Datos'!$O153,"")</f>
      </c>
      <c r="C153" s="205">
        <f>IF('_Datos'!$C153,'_Datos'!$F153,IF('_Datos'!$B153,'Proyecto Datos (OKR´s)'!$G153,""))</f>
      </c>
      <c r="D153" s="204">
        <f>IF('_Datos'!$C153,'_Datos'!$AO153,"")</f>
      </c>
      <c r="E153" s="208">
        <f>IF('_Datos'!$C153,'_Datos'!$BI153,IF('_Datos'!$B153,IFERROR(AVERAGEIF('_Datos'!$D$7:$D$200,'Proyecto Datos (OKR´s)'!$G153,'_Datos'!$BI$7:$BI$200),""),""))</f>
      </c>
      <c r="F153" s="204">
        <f>IF('_Datos'!$C153,IF(ISNUMBER('_Datos'!$AR153),'_Datos'!$AR153,"(Sin fecha)"),"")</f>
      </c>
      <c r="G153" s="204"/>
      <c r="H153" s="205"/>
      <c r="I153" s="204">
        <f>IF('_Datos'!$C153,IF(ISNUMBER('_Datos'!$AV153),'_Datos'!$AZ153,"(Sin fecha)"),"")</f>
      </c>
      <c r="J153" s="204"/>
      <c r="K153" s="205"/>
      <c r="L153" s="209">
        <f>IF('_Datos'!$C153,'_Datos'!$AX153,"")</f>
      </c>
      <c r="M153" s="191"/>
      <c r="N153" s="204">
        <f>IF('_Datos'!$C153,'_Datos'!$BA153,"")</f>
      </c>
      <c r="O153" s="192"/>
    </row>
    <row r="154">
      <c r="B154" s="204">
        <f>IF('_Datos'!$C154,'_Datos'!$O154,"")</f>
      </c>
      <c r="C154" s="205">
        <f>IF('_Datos'!$C154,'_Datos'!$F154,IF('_Datos'!$B154,'Proyecto Datos (OKR´s)'!$G154,""))</f>
      </c>
      <c r="D154" s="204">
        <f>IF('_Datos'!$C154,'_Datos'!$AO154,"")</f>
      </c>
      <c r="E154" s="208">
        <f>IF('_Datos'!$C154,'_Datos'!$BI154,IF('_Datos'!$B154,IFERROR(AVERAGEIF('_Datos'!$D$7:$D$200,'Proyecto Datos (OKR´s)'!$G154,'_Datos'!$BI$7:$BI$200),""),""))</f>
      </c>
      <c r="F154" s="204">
        <f>IF('_Datos'!$C154,IF(ISNUMBER('_Datos'!$AR154),'_Datos'!$AR154,"(Sin fecha)"),"")</f>
      </c>
      <c r="G154" s="204"/>
      <c r="H154" s="205"/>
      <c r="I154" s="204">
        <f>IF('_Datos'!$C154,IF(ISNUMBER('_Datos'!$AV154),'_Datos'!$AZ154,"(Sin fecha)"),"")</f>
      </c>
      <c r="J154" s="204"/>
      <c r="K154" s="205"/>
      <c r="L154" s="209">
        <f>IF('_Datos'!$C154,'_Datos'!$AX154,"")</f>
      </c>
      <c r="M154" s="191"/>
      <c r="N154" s="204">
        <f>IF('_Datos'!$C154,'_Datos'!$BA154,"")</f>
      </c>
      <c r="O154" s="192"/>
    </row>
    <row r="155">
      <c r="B155" s="204">
        <f>IF('_Datos'!$C155,'_Datos'!$O155,"")</f>
      </c>
      <c r="C155" s="205">
        <f>IF('_Datos'!$C155,'_Datos'!$F155,IF('_Datos'!$B155,'Proyecto Datos (OKR´s)'!$G155,""))</f>
      </c>
      <c r="D155" s="204">
        <f>IF('_Datos'!$C155,'_Datos'!$AO155,"")</f>
      </c>
      <c r="E155" s="208">
        <f>IF('_Datos'!$C155,'_Datos'!$BI155,IF('_Datos'!$B155,IFERROR(AVERAGEIF('_Datos'!$D$7:$D$200,'Proyecto Datos (OKR´s)'!$G155,'_Datos'!$BI$7:$BI$200),""),""))</f>
      </c>
      <c r="F155" s="204">
        <f>IF('_Datos'!$C155,IF(ISNUMBER('_Datos'!$AR155),'_Datos'!$AR155,"(Sin fecha)"),"")</f>
      </c>
      <c r="G155" s="204"/>
      <c r="H155" s="205"/>
      <c r="I155" s="204">
        <f>IF('_Datos'!$C155,IF(ISNUMBER('_Datos'!$AV155),'_Datos'!$AZ155,"(Sin fecha)"),"")</f>
      </c>
      <c r="J155" s="204"/>
      <c r="K155" s="205"/>
      <c r="L155" s="209">
        <f>IF('_Datos'!$C155,'_Datos'!$AX155,"")</f>
      </c>
      <c r="M155" s="191"/>
      <c r="N155" s="204">
        <f>IF('_Datos'!$C155,'_Datos'!$BA155,"")</f>
      </c>
      <c r="O155" s="192"/>
    </row>
    <row r="156">
      <c r="B156" s="204">
        <f>IF('_Datos'!$C156,'_Datos'!$O156,"")</f>
      </c>
      <c r="C156" s="205">
        <f>IF('_Datos'!$C156,'_Datos'!$F156,IF('_Datos'!$B156,'Proyecto Datos (OKR´s)'!$G156,""))</f>
      </c>
      <c r="D156" s="204">
        <f>IF('_Datos'!$C156,'_Datos'!$AO156,"")</f>
      </c>
      <c r="E156" s="208">
        <f>IF('_Datos'!$C156,'_Datos'!$BI156,IF('_Datos'!$B156,IFERROR(AVERAGEIF('_Datos'!$D$7:$D$200,'Proyecto Datos (OKR´s)'!$G156,'_Datos'!$BI$7:$BI$200),""),""))</f>
      </c>
      <c r="F156" s="204">
        <f>IF('_Datos'!$C156,IF(ISNUMBER('_Datos'!$AR156),'_Datos'!$AR156,"(Sin fecha)"),"")</f>
      </c>
      <c r="G156" s="204"/>
      <c r="H156" s="205"/>
      <c r="I156" s="204">
        <f>IF('_Datos'!$C156,IF(ISNUMBER('_Datos'!$AV156),'_Datos'!$AZ156,"(Sin fecha)"),"")</f>
      </c>
      <c r="J156" s="204"/>
      <c r="K156" s="205"/>
      <c r="L156" s="209">
        <f>IF('_Datos'!$C156,'_Datos'!$AX156,"")</f>
      </c>
      <c r="M156" s="191"/>
      <c r="N156" s="204">
        <f>IF('_Datos'!$C156,'_Datos'!$BA156,"")</f>
      </c>
      <c r="O156" s="192"/>
    </row>
    <row r="157">
      <c r="B157" s="204">
        <f>IF('_Datos'!$C157,'_Datos'!$O157,"")</f>
      </c>
      <c r="C157" s="205">
        <f>IF('_Datos'!$C157,'_Datos'!$F157,IF('_Datos'!$B157,'Proyecto Datos (OKR´s)'!$G157,""))</f>
      </c>
      <c r="D157" s="204">
        <f>IF('_Datos'!$C157,'_Datos'!$AO157,"")</f>
      </c>
      <c r="E157" s="208">
        <f>IF('_Datos'!$C157,'_Datos'!$BI157,IF('_Datos'!$B157,IFERROR(AVERAGEIF('_Datos'!$D$7:$D$200,'Proyecto Datos (OKR´s)'!$G157,'_Datos'!$BI$7:$BI$200),""),""))</f>
      </c>
      <c r="F157" s="204">
        <f>IF('_Datos'!$C157,IF(ISNUMBER('_Datos'!$AR157),'_Datos'!$AR157,"(Sin fecha)"),"")</f>
      </c>
      <c r="G157" s="204"/>
      <c r="H157" s="205"/>
      <c r="I157" s="204">
        <f>IF('_Datos'!$C157,IF(ISNUMBER('_Datos'!$AV157),'_Datos'!$AZ157,"(Sin fecha)"),"")</f>
      </c>
      <c r="J157" s="204"/>
      <c r="K157" s="205"/>
      <c r="L157" s="209">
        <f>IF('_Datos'!$C157,'_Datos'!$AX157,"")</f>
      </c>
      <c r="M157" s="191"/>
      <c r="N157" s="204">
        <f>IF('_Datos'!$C157,'_Datos'!$BA157,"")</f>
      </c>
      <c r="O157" s="192"/>
    </row>
    <row r="158">
      <c r="B158" s="204">
        <f>IF('_Datos'!$C158,'_Datos'!$O158,"")</f>
      </c>
      <c r="C158" s="205">
        <f>IF('_Datos'!$C158,'_Datos'!$F158,IF('_Datos'!$B158,'Proyecto Datos (OKR´s)'!$G158,""))</f>
      </c>
      <c r="D158" s="204">
        <f>IF('_Datos'!$C158,'_Datos'!$AO158,"")</f>
      </c>
      <c r="E158" s="208">
        <f>IF('_Datos'!$C158,'_Datos'!$BI158,IF('_Datos'!$B158,IFERROR(AVERAGEIF('_Datos'!$D$7:$D$200,'Proyecto Datos (OKR´s)'!$G158,'_Datos'!$BI$7:$BI$200),""),""))</f>
      </c>
      <c r="F158" s="204">
        <f>IF('_Datos'!$C158,IF(ISNUMBER('_Datos'!$AR158),'_Datos'!$AR158,"(Sin fecha)"),"")</f>
      </c>
      <c r="G158" s="204"/>
      <c r="H158" s="205"/>
      <c r="I158" s="204">
        <f>IF('_Datos'!$C158,IF(ISNUMBER('_Datos'!$AV158),'_Datos'!$AZ158,"(Sin fecha)"),"")</f>
      </c>
      <c r="J158" s="204"/>
      <c r="K158" s="205"/>
      <c r="L158" s="209">
        <f>IF('_Datos'!$C158,'_Datos'!$AX158,"")</f>
      </c>
      <c r="M158" s="191"/>
      <c r="N158" s="204">
        <f>IF('_Datos'!$C158,'_Datos'!$BA158,"")</f>
      </c>
      <c r="O158" s="192"/>
    </row>
    <row r="159">
      <c r="B159" s="204">
        <f>IF('_Datos'!$C159,'_Datos'!$O159,"")</f>
      </c>
      <c r="C159" s="205">
        <f>IF('_Datos'!$C159,'_Datos'!$F159,IF('_Datos'!$B159,'Proyecto Datos (OKR´s)'!$G159,""))</f>
      </c>
      <c r="D159" s="204">
        <f>IF('_Datos'!$C159,'_Datos'!$AO159,"")</f>
      </c>
      <c r="E159" s="208">
        <f>IF('_Datos'!$C159,'_Datos'!$BI159,IF('_Datos'!$B159,IFERROR(AVERAGEIF('_Datos'!$D$7:$D$200,'Proyecto Datos (OKR´s)'!$G159,'_Datos'!$BI$7:$BI$200),""),""))</f>
      </c>
      <c r="F159" s="204">
        <f>IF('_Datos'!$C159,IF(ISNUMBER('_Datos'!$AR159),'_Datos'!$AR159,"(Sin fecha)"),"")</f>
      </c>
      <c r="G159" s="204"/>
      <c r="H159" s="205"/>
      <c r="I159" s="204">
        <f>IF('_Datos'!$C159,IF(ISNUMBER('_Datos'!$AV159),'_Datos'!$AZ159,"(Sin fecha)"),"")</f>
      </c>
      <c r="J159" s="204"/>
      <c r="K159" s="205"/>
      <c r="L159" s="209">
        <f>IF('_Datos'!$C159,'_Datos'!$AX159,"")</f>
      </c>
      <c r="M159" s="191"/>
      <c r="N159" s="204">
        <f>IF('_Datos'!$C159,'_Datos'!$BA159,"")</f>
      </c>
      <c r="O159" s="192"/>
    </row>
    <row r="160">
      <c r="B160" s="204">
        <f>IF('_Datos'!$C160,'_Datos'!$O160,"")</f>
      </c>
      <c r="C160" s="205">
        <f>IF('_Datos'!$C160,'_Datos'!$F160,IF('_Datos'!$B160,'Proyecto Datos (OKR´s)'!$G160,""))</f>
      </c>
      <c r="D160" s="204">
        <f>IF('_Datos'!$C160,'_Datos'!$AO160,"")</f>
      </c>
      <c r="E160" s="208">
        <f>IF('_Datos'!$C160,'_Datos'!$BI160,IF('_Datos'!$B160,IFERROR(AVERAGEIF('_Datos'!$D$7:$D$200,'Proyecto Datos (OKR´s)'!$G160,'_Datos'!$BI$7:$BI$200),""),""))</f>
      </c>
      <c r="F160" s="204">
        <f>IF('_Datos'!$C160,IF(ISNUMBER('_Datos'!$AR160),'_Datos'!$AR160,"(Sin fecha)"),"")</f>
      </c>
      <c r="G160" s="204"/>
      <c r="H160" s="205"/>
      <c r="I160" s="204">
        <f>IF('_Datos'!$C160,IF(ISNUMBER('_Datos'!$AV160),'_Datos'!$AZ160,"(Sin fecha)"),"")</f>
      </c>
      <c r="J160" s="204"/>
      <c r="K160" s="205"/>
      <c r="L160" s="209">
        <f>IF('_Datos'!$C160,'_Datos'!$AX160,"")</f>
      </c>
      <c r="M160" s="191"/>
      <c r="N160" s="204">
        <f>IF('_Datos'!$C160,'_Datos'!$BA160,"")</f>
      </c>
      <c r="O160" s="192"/>
    </row>
    <row r="161">
      <c r="B161" s="204">
        <f>IF('_Datos'!$C161,'_Datos'!$O161,"")</f>
      </c>
      <c r="C161" s="205">
        <f>IF('_Datos'!$C161,'_Datos'!$F161,IF('_Datos'!$B161,'Proyecto Datos (OKR´s)'!$G161,""))</f>
      </c>
      <c r="D161" s="204">
        <f>IF('_Datos'!$C161,'_Datos'!$AO161,"")</f>
      </c>
      <c r="E161" s="208">
        <f>IF('_Datos'!$C161,'_Datos'!$BI161,IF('_Datos'!$B161,IFERROR(AVERAGEIF('_Datos'!$D$7:$D$200,'Proyecto Datos (OKR´s)'!$G161,'_Datos'!$BI$7:$BI$200),""),""))</f>
      </c>
      <c r="F161" s="204">
        <f>IF('_Datos'!$C161,IF(ISNUMBER('_Datos'!$AR161),'_Datos'!$AR161,"(Sin fecha)"),"")</f>
      </c>
      <c r="G161" s="204"/>
      <c r="H161" s="205"/>
      <c r="I161" s="204">
        <f>IF('_Datos'!$C161,IF(ISNUMBER('_Datos'!$AV161),'_Datos'!$AZ161,"(Sin fecha)"),"")</f>
      </c>
      <c r="J161" s="204"/>
      <c r="K161" s="205"/>
      <c r="L161" s="209">
        <f>IF('_Datos'!$C161,'_Datos'!$AX161,"")</f>
      </c>
      <c r="M161" s="191"/>
      <c r="N161" s="204">
        <f>IF('_Datos'!$C161,'_Datos'!$BA161,"")</f>
      </c>
      <c r="O161" s="192"/>
    </row>
    <row r="162">
      <c r="B162" s="204">
        <f>IF('_Datos'!$C162,'_Datos'!$O162,"")</f>
      </c>
      <c r="C162" s="205">
        <f>IF('_Datos'!$C162,'_Datos'!$F162,IF('_Datos'!$B162,'Proyecto Datos (OKR´s)'!$G162,""))</f>
      </c>
      <c r="D162" s="204">
        <f>IF('_Datos'!$C162,'_Datos'!$AO162,"")</f>
      </c>
      <c r="E162" s="208">
        <f>IF('_Datos'!$C162,'_Datos'!$BI162,IF('_Datos'!$B162,IFERROR(AVERAGEIF('_Datos'!$D$7:$D$200,'Proyecto Datos (OKR´s)'!$G162,'_Datos'!$BI$7:$BI$200),""),""))</f>
      </c>
      <c r="F162" s="204">
        <f>IF('_Datos'!$C162,IF(ISNUMBER('_Datos'!$AR162),'_Datos'!$AR162,"(Sin fecha)"),"")</f>
      </c>
      <c r="G162" s="204"/>
      <c r="H162" s="205"/>
      <c r="I162" s="204">
        <f>IF('_Datos'!$C162,IF(ISNUMBER('_Datos'!$AV162),'_Datos'!$AZ162,"(Sin fecha)"),"")</f>
      </c>
      <c r="J162" s="204"/>
      <c r="K162" s="205"/>
      <c r="L162" s="209">
        <f>IF('_Datos'!$C162,'_Datos'!$AX162,"")</f>
      </c>
      <c r="M162" s="191"/>
      <c r="N162" s="204">
        <f>IF('_Datos'!$C162,'_Datos'!$BA162,"")</f>
      </c>
      <c r="O162" s="192"/>
    </row>
    <row r="163">
      <c r="B163" s="204">
        <f>IF('_Datos'!$C163,'_Datos'!$O163,"")</f>
      </c>
      <c r="C163" s="205">
        <f>IF('_Datos'!$C163,'_Datos'!$F163,IF('_Datos'!$B163,'Proyecto Datos (OKR´s)'!$G163,""))</f>
      </c>
      <c r="D163" s="204">
        <f>IF('_Datos'!$C163,'_Datos'!$AO163,"")</f>
      </c>
      <c r="E163" s="208">
        <f>IF('_Datos'!$C163,'_Datos'!$BI163,IF('_Datos'!$B163,IFERROR(AVERAGEIF('_Datos'!$D$7:$D$200,'Proyecto Datos (OKR´s)'!$G163,'_Datos'!$BI$7:$BI$200),""),""))</f>
      </c>
      <c r="F163" s="204">
        <f>IF('_Datos'!$C163,IF(ISNUMBER('_Datos'!$AR163),'_Datos'!$AR163,"(Sin fecha)"),"")</f>
      </c>
      <c r="G163" s="204"/>
      <c r="H163" s="205"/>
      <c r="I163" s="204">
        <f>IF('_Datos'!$C163,IF(ISNUMBER('_Datos'!$AV163),'_Datos'!$AZ163,"(Sin fecha)"),"")</f>
      </c>
      <c r="J163" s="204"/>
      <c r="K163" s="205"/>
      <c r="L163" s="209">
        <f>IF('_Datos'!$C163,'_Datos'!$AX163,"")</f>
      </c>
      <c r="M163" s="191"/>
      <c r="N163" s="204">
        <f>IF('_Datos'!$C163,'_Datos'!$BA163,"")</f>
      </c>
      <c r="O163" s="192"/>
    </row>
    <row r="164">
      <c r="B164" s="204">
        <f>IF('_Datos'!$C164,'_Datos'!$O164,"")</f>
      </c>
      <c r="C164" s="205">
        <f>IF('_Datos'!$C164,'_Datos'!$F164,IF('_Datos'!$B164,'Proyecto Datos (OKR´s)'!$G164,""))</f>
      </c>
      <c r="D164" s="204">
        <f>IF('_Datos'!$C164,'_Datos'!$AO164,"")</f>
      </c>
      <c r="E164" s="208">
        <f>IF('_Datos'!$C164,'_Datos'!$BI164,IF('_Datos'!$B164,IFERROR(AVERAGEIF('_Datos'!$D$7:$D$200,'Proyecto Datos (OKR´s)'!$G164,'_Datos'!$BI$7:$BI$200),""),""))</f>
      </c>
      <c r="F164" s="204">
        <f>IF('_Datos'!$C164,IF(ISNUMBER('_Datos'!$AR164),'_Datos'!$AR164,"(Sin fecha)"),"")</f>
      </c>
      <c r="G164" s="204"/>
      <c r="H164" s="205"/>
      <c r="I164" s="204">
        <f>IF('_Datos'!$C164,IF(ISNUMBER('_Datos'!$AV164),'_Datos'!$AZ164,"(Sin fecha)"),"")</f>
      </c>
      <c r="J164" s="204"/>
      <c r="K164" s="205"/>
      <c r="L164" s="209">
        <f>IF('_Datos'!$C164,'_Datos'!$AX164,"")</f>
      </c>
      <c r="M164" s="191"/>
      <c r="N164" s="204">
        <f>IF('_Datos'!$C164,'_Datos'!$BA164,"")</f>
      </c>
      <c r="O164" s="192"/>
    </row>
    <row r="165">
      <c r="B165" s="204">
        <f>IF('_Datos'!$C165,'_Datos'!$O165,"")</f>
      </c>
      <c r="C165" s="205">
        <f>IF('_Datos'!$C165,'_Datos'!$F165,IF('_Datos'!$B165,'Proyecto Datos (OKR´s)'!$G165,""))</f>
      </c>
      <c r="D165" s="204">
        <f>IF('_Datos'!$C165,'_Datos'!$AO165,"")</f>
      </c>
      <c r="E165" s="208">
        <f>IF('_Datos'!$C165,'_Datos'!$BI165,IF('_Datos'!$B165,IFERROR(AVERAGEIF('_Datos'!$D$7:$D$200,'Proyecto Datos (OKR´s)'!$G165,'_Datos'!$BI$7:$BI$200),""),""))</f>
      </c>
      <c r="F165" s="204">
        <f>IF('_Datos'!$C165,IF(ISNUMBER('_Datos'!$AR165),'_Datos'!$AR165,"(Sin fecha)"),"")</f>
      </c>
      <c r="G165" s="204"/>
      <c r="H165" s="205"/>
      <c r="I165" s="204">
        <f>IF('_Datos'!$C165,IF(ISNUMBER('_Datos'!$AV165),'_Datos'!$AZ165,"(Sin fecha)"),"")</f>
      </c>
      <c r="J165" s="204"/>
      <c r="K165" s="205"/>
      <c r="L165" s="209">
        <f>IF('_Datos'!$C165,'_Datos'!$AX165,"")</f>
      </c>
      <c r="M165" s="191"/>
      <c r="N165" s="204">
        <f>IF('_Datos'!$C165,'_Datos'!$BA165,"")</f>
      </c>
      <c r="O165" s="192"/>
    </row>
    <row r="166">
      <c r="B166" s="204">
        <f>IF('_Datos'!$C166,'_Datos'!$O166,"")</f>
      </c>
      <c r="C166" s="205">
        <f>IF('_Datos'!$C166,'_Datos'!$F166,IF('_Datos'!$B166,'Proyecto Datos (OKR´s)'!$G166,""))</f>
      </c>
      <c r="D166" s="204">
        <f>IF('_Datos'!$C166,'_Datos'!$AO166,"")</f>
      </c>
      <c r="E166" s="208">
        <f>IF('_Datos'!$C166,'_Datos'!$BI166,IF('_Datos'!$B166,IFERROR(AVERAGEIF('_Datos'!$D$7:$D$200,'Proyecto Datos (OKR´s)'!$G166,'_Datos'!$BI$7:$BI$200),""),""))</f>
      </c>
      <c r="F166" s="204">
        <f>IF('_Datos'!$C166,IF(ISNUMBER('_Datos'!$AR166),'_Datos'!$AR166,"(Sin fecha)"),"")</f>
      </c>
      <c r="G166" s="204"/>
      <c r="H166" s="205"/>
      <c r="I166" s="204">
        <f>IF('_Datos'!$C166,IF(ISNUMBER('_Datos'!$AV166),'_Datos'!$AZ166,"(Sin fecha)"),"")</f>
      </c>
      <c r="J166" s="204"/>
      <c r="K166" s="205"/>
      <c r="L166" s="209">
        <f>IF('_Datos'!$C166,'_Datos'!$AX166,"")</f>
      </c>
      <c r="M166" s="191"/>
      <c r="N166" s="204">
        <f>IF('_Datos'!$C166,'_Datos'!$BA166,"")</f>
      </c>
      <c r="O166" s="192"/>
    </row>
    <row r="167">
      <c r="B167" s="204">
        <f>IF('_Datos'!$C167,'_Datos'!$O167,"")</f>
      </c>
      <c r="C167" s="205">
        <f>IF('_Datos'!$C167,'_Datos'!$F167,IF('_Datos'!$B167,'Proyecto Datos (OKR´s)'!$G167,""))</f>
      </c>
      <c r="D167" s="204">
        <f>IF('_Datos'!$C167,'_Datos'!$AO167,"")</f>
      </c>
      <c r="E167" s="208">
        <f>IF('_Datos'!$C167,'_Datos'!$BI167,IF('_Datos'!$B167,IFERROR(AVERAGEIF('_Datos'!$D$7:$D$200,'Proyecto Datos (OKR´s)'!$G167,'_Datos'!$BI$7:$BI$200),""),""))</f>
      </c>
      <c r="F167" s="204">
        <f>IF('_Datos'!$C167,IF(ISNUMBER('_Datos'!$AR167),'_Datos'!$AR167,"(Sin fecha)"),"")</f>
      </c>
      <c r="G167" s="204"/>
      <c r="H167" s="205"/>
      <c r="I167" s="204">
        <f>IF('_Datos'!$C167,IF(ISNUMBER('_Datos'!$AV167),'_Datos'!$AZ167,"(Sin fecha)"),"")</f>
      </c>
      <c r="J167" s="204"/>
      <c r="K167" s="205"/>
      <c r="L167" s="209">
        <f>IF('_Datos'!$C167,'_Datos'!$AX167,"")</f>
      </c>
      <c r="M167" s="191"/>
      <c r="N167" s="204">
        <f>IF('_Datos'!$C167,'_Datos'!$BA167,"")</f>
      </c>
      <c r="O167" s="192"/>
    </row>
    <row r="168">
      <c r="B168" s="204">
        <f>IF('_Datos'!$C168,'_Datos'!$O168,"")</f>
      </c>
      <c r="C168" s="205">
        <f>IF('_Datos'!$C168,'_Datos'!$F168,IF('_Datos'!$B168,'Proyecto Datos (OKR´s)'!$G168,""))</f>
      </c>
      <c r="D168" s="204">
        <f>IF('_Datos'!$C168,'_Datos'!$AO168,"")</f>
      </c>
      <c r="E168" s="208">
        <f>IF('_Datos'!$C168,'_Datos'!$BI168,IF('_Datos'!$B168,IFERROR(AVERAGEIF('_Datos'!$D$7:$D$200,'Proyecto Datos (OKR´s)'!$G168,'_Datos'!$BI$7:$BI$200),""),""))</f>
      </c>
      <c r="F168" s="204">
        <f>IF('_Datos'!$C168,IF(ISNUMBER('_Datos'!$AR168),'_Datos'!$AR168,"(Sin fecha)"),"")</f>
      </c>
      <c r="G168" s="204"/>
      <c r="H168" s="205"/>
      <c r="I168" s="204">
        <f>IF('_Datos'!$C168,IF(ISNUMBER('_Datos'!$AV168),'_Datos'!$AZ168,"(Sin fecha)"),"")</f>
      </c>
      <c r="J168" s="204"/>
      <c r="K168" s="205"/>
      <c r="L168" s="209">
        <f>IF('_Datos'!$C168,'_Datos'!$AX168,"")</f>
      </c>
      <c r="M168" s="191"/>
      <c r="N168" s="204">
        <f>IF('_Datos'!$C168,'_Datos'!$BA168,"")</f>
      </c>
      <c r="O168" s="192"/>
    </row>
    <row r="169">
      <c r="B169" s="204">
        <f>IF('_Datos'!$C169,'_Datos'!$O169,"")</f>
      </c>
      <c r="C169" s="205">
        <f>IF('_Datos'!$C169,'_Datos'!$F169,IF('_Datos'!$B169,'Proyecto Datos (OKR´s)'!$G169,""))</f>
      </c>
      <c r="D169" s="204">
        <f>IF('_Datos'!$C169,'_Datos'!$AO169,"")</f>
      </c>
      <c r="E169" s="208">
        <f>IF('_Datos'!$C169,'_Datos'!$BI169,IF('_Datos'!$B169,IFERROR(AVERAGEIF('_Datos'!$D$7:$D$200,'Proyecto Datos (OKR´s)'!$G169,'_Datos'!$BI$7:$BI$200),""),""))</f>
      </c>
      <c r="F169" s="204">
        <f>IF('_Datos'!$C169,IF(ISNUMBER('_Datos'!$AR169),'_Datos'!$AR169,"(Sin fecha)"),"")</f>
      </c>
      <c r="G169" s="204"/>
      <c r="H169" s="205"/>
      <c r="I169" s="204">
        <f>IF('_Datos'!$C169,IF(ISNUMBER('_Datos'!$AV169),'_Datos'!$AZ169,"(Sin fecha)"),"")</f>
      </c>
      <c r="J169" s="204"/>
      <c r="K169" s="205"/>
      <c r="L169" s="209">
        <f>IF('_Datos'!$C169,'_Datos'!$AX169,"")</f>
      </c>
      <c r="M169" s="191"/>
      <c r="N169" s="204">
        <f>IF('_Datos'!$C169,'_Datos'!$BA169,"")</f>
      </c>
      <c r="O169" s="192"/>
    </row>
    <row r="170">
      <c r="B170" s="204">
        <f>IF('_Datos'!$C170,'_Datos'!$O170,"")</f>
      </c>
      <c r="C170" s="205">
        <f>IF('_Datos'!$C170,'_Datos'!$F170,IF('_Datos'!$B170,'Proyecto Datos (OKR´s)'!$G170,""))</f>
      </c>
      <c r="D170" s="204">
        <f>IF('_Datos'!$C170,'_Datos'!$AO170,"")</f>
      </c>
      <c r="E170" s="208">
        <f>IF('_Datos'!$C170,'_Datos'!$BI170,IF('_Datos'!$B170,IFERROR(AVERAGEIF('_Datos'!$D$7:$D$200,'Proyecto Datos (OKR´s)'!$G170,'_Datos'!$BI$7:$BI$200),""),""))</f>
      </c>
      <c r="F170" s="204">
        <f>IF('_Datos'!$C170,IF(ISNUMBER('_Datos'!$AR170),'_Datos'!$AR170,"(Sin fecha)"),"")</f>
      </c>
      <c r="G170" s="204"/>
      <c r="H170" s="205"/>
      <c r="I170" s="204">
        <f>IF('_Datos'!$C170,IF(ISNUMBER('_Datos'!$AV170),'_Datos'!$AZ170,"(Sin fecha)"),"")</f>
      </c>
      <c r="J170" s="204"/>
      <c r="K170" s="205"/>
      <c r="L170" s="209">
        <f>IF('_Datos'!$C170,'_Datos'!$AX170,"")</f>
      </c>
      <c r="M170" s="191"/>
      <c r="N170" s="204">
        <f>IF('_Datos'!$C170,'_Datos'!$BA170,"")</f>
      </c>
      <c r="O170" s="192"/>
    </row>
    <row r="171">
      <c r="B171" s="204">
        <f>IF('_Datos'!$C171,'_Datos'!$O171,"")</f>
      </c>
      <c r="C171" s="205">
        <f>IF('_Datos'!$C171,'_Datos'!$F171,IF('_Datos'!$B171,'Proyecto Datos (OKR´s)'!$G171,""))</f>
      </c>
      <c r="D171" s="204">
        <f>IF('_Datos'!$C171,'_Datos'!$AO171,"")</f>
      </c>
      <c r="E171" s="208">
        <f>IF('_Datos'!$C171,'_Datos'!$BI171,IF('_Datos'!$B171,IFERROR(AVERAGEIF('_Datos'!$D$7:$D$200,'Proyecto Datos (OKR´s)'!$G171,'_Datos'!$BI$7:$BI$200),""),""))</f>
      </c>
      <c r="F171" s="204">
        <f>IF('_Datos'!$C171,IF(ISNUMBER('_Datos'!$AR171),'_Datos'!$AR171,"(Sin fecha)"),"")</f>
      </c>
      <c r="G171" s="204"/>
      <c r="H171" s="205"/>
      <c r="I171" s="204">
        <f>IF('_Datos'!$C171,IF(ISNUMBER('_Datos'!$AV171),'_Datos'!$AZ171,"(Sin fecha)"),"")</f>
      </c>
      <c r="J171" s="204"/>
      <c r="K171" s="205"/>
      <c r="L171" s="209">
        <f>IF('_Datos'!$C171,'_Datos'!$AX171,"")</f>
      </c>
      <c r="M171" s="191"/>
      <c r="N171" s="204">
        <f>IF('_Datos'!$C171,'_Datos'!$BA171,"")</f>
      </c>
      <c r="O171" s="192"/>
    </row>
    <row r="172">
      <c r="B172" s="204">
        <f>IF('_Datos'!$C172,'_Datos'!$O172,"")</f>
      </c>
      <c r="C172" s="205">
        <f>IF('_Datos'!$C172,'_Datos'!$F172,IF('_Datos'!$B172,'Proyecto Datos (OKR´s)'!$G172,""))</f>
      </c>
      <c r="D172" s="204">
        <f>IF('_Datos'!$C172,'_Datos'!$AO172,"")</f>
      </c>
      <c r="E172" s="208">
        <f>IF('_Datos'!$C172,'_Datos'!$BI172,IF('_Datos'!$B172,IFERROR(AVERAGEIF('_Datos'!$D$7:$D$200,'Proyecto Datos (OKR´s)'!$G172,'_Datos'!$BI$7:$BI$200),""),""))</f>
      </c>
      <c r="F172" s="204">
        <f>IF('_Datos'!$C172,IF(ISNUMBER('_Datos'!$AR172),'_Datos'!$AR172,"(Sin fecha)"),"")</f>
      </c>
      <c r="G172" s="204"/>
      <c r="H172" s="205"/>
      <c r="I172" s="204">
        <f>IF('_Datos'!$C172,IF(ISNUMBER('_Datos'!$AV172),'_Datos'!$AZ172,"(Sin fecha)"),"")</f>
      </c>
      <c r="J172" s="204"/>
      <c r="K172" s="205"/>
      <c r="L172" s="209">
        <f>IF('_Datos'!$C172,'_Datos'!$AX172,"")</f>
      </c>
      <c r="M172" s="191"/>
      <c r="N172" s="204">
        <f>IF('_Datos'!$C172,'_Datos'!$BA172,"")</f>
      </c>
      <c r="O172" s="192"/>
    </row>
    <row r="173">
      <c r="B173" s="204">
        <f>IF('_Datos'!$C173,'_Datos'!$O173,"")</f>
      </c>
      <c r="C173" s="205">
        <f>IF('_Datos'!$C173,'_Datos'!$F173,IF('_Datos'!$B173,'Proyecto Datos (OKR´s)'!$G173,""))</f>
      </c>
      <c r="D173" s="204">
        <f>IF('_Datos'!$C173,'_Datos'!$AO173,"")</f>
      </c>
      <c r="E173" s="208">
        <f>IF('_Datos'!$C173,'_Datos'!$BI173,IF('_Datos'!$B173,IFERROR(AVERAGEIF('_Datos'!$D$7:$D$200,'Proyecto Datos (OKR´s)'!$G173,'_Datos'!$BI$7:$BI$200),""),""))</f>
      </c>
      <c r="F173" s="204">
        <f>IF('_Datos'!$C173,IF(ISNUMBER('_Datos'!$AR173),'_Datos'!$AR173,"(Sin fecha)"),"")</f>
      </c>
      <c r="G173" s="204"/>
      <c r="H173" s="205"/>
      <c r="I173" s="204">
        <f>IF('_Datos'!$C173,IF(ISNUMBER('_Datos'!$AV173),'_Datos'!$AZ173,"(Sin fecha)"),"")</f>
      </c>
      <c r="J173" s="204"/>
      <c r="K173" s="205"/>
      <c r="L173" s="209">
        <f>IF('_Datos'!$C173,'_Datos'!$AX173,"")</f>
      </c>
      <c r="M173" s="191"/>
      <c r="N173" s="204">
        <f>IF('_Datos'!$C173,'_Datos'!$BA173,"")</f>
      </c>
      <c r="O173" s="192"/>
    </row>
    <row r="174">
      <c r="B174" s="204">
        <f>IF('_Datos'!$C174,'_Datos'!$O174,"")</f>
      </c>
      <c r="C174" s="205">
        <f>IF('_Datos'!$C174,'_Datos'!$F174,IF('_Datos'!$B174,'Proyecto Datos (OKR´s)'!$G174,""))</f>
      </c>
      <c r="D174" s="204">
        <f>IF('_Datos'!$C174,'_Datos'!$AO174,"")</f>
      </c>
      <c r="E174" s="208">
        <f>IF('_Datos'!$C174,'_Datos'!$BI174,IF('_Datos'!$B174,IFERROR(AVERAGEIF('_Datos'!$D$7:$D$200,'Proyecto Datos (OKR´s)'!$G174,'_Datos'!$BI$7:$BI$200),""),""))</f>
      </c>
      <c r="F174" s="204">
        <f>IF('_Datos'!$C174,IF(ISNUMBER('_Datos'!$AR174),'_Datos'!$AR174,"(Sin fecha)"),"")</f>
      </c>
      <c r="G174" s="204"/>
      <c r="H174" s="205"/>
      <c r="I174" s="204">
        <f>IF('_Datos'!$C174,IF(ISNUMBER('_Datos'!$AV174),'_Datos'!$AZ174,"(Sin fecha)"),"")</f>
      </c>
      <c r="J174" s="204"/>
      <c r="K174" s="205"/>
      <c r="L174" s="209">
        <f>IF('_Datos'!$C174,'_Datos'!$AX174,"")</f>
      </c>
      <c r="M174" s="191"/>
      <c r="N174" s="204">
        <f>IF('_Datos'!$C174,'_Datos'!$BA174,"")</f>
      </c>
      <c r="O174" s="192"/>
    </row>
    <row r="175">
      <c r="B175" s="204">
        <f>IF('_Datos'!$C175,'_Datos'!$O175,"")</f>
      </c>
      <c r="C175" s="205">
        <f>IF('_Datos'!$C175,'_Datos'!$F175,IF('_Datos'!$B175,'Proyecto Datos (OKR´s)'!$G175,""))</f>
      </c>
      <c r="D175" s="204">
        <f>IF('_Datos'!$C175,'_Datos'!$AO175,"")</f>
      </c>
      <c r="E175" s="208">
        <f>IF('_Datos'!$C175,'_Datos'!$BI175,IF('_Datos'!$B175,IFERROR(AVERAGEIF('_Datos'!$D$7:$D$200,'Proyecto Datos (OKR´s)'!$G175,'_Datos'!$BI$7:$BI$200),""),""))</f>
      </c>
      <c r="F175" s="204">
        <f>IF('_Datos'!$C175,IF(ISNUMBER('_Datos'!$AR175),'_Datos'!$AR175,"(Sin fecha)"),"")</f>
      </c>
      <c r="G175" s="204"/>
      <c r="H175" s="205"/>
      <c r="I175" s="204">
        <f>IF('_Datos'!$C175,IF(ISNUMBER('_Datos'!$AV175),'_Datos'!$AZ175,"(Sin fecha)"),"")</f>
      </c>
      <c r="J175" s="204"/>
      <c r="K175" s="205"/>
      <c r="L175" s="209">
        <f>IF('_Datos'!$C175,'_Datos'!$AX175,"")</f>
      </c>
      <c r="M175" s="191"/>
      <c r="N175" s="204">
        <f>IF('_Datos'!$C175,'_Datos'!$BA175,"")</f>
      </c>
      <c r="O175" s="192"/>
    </row>
    <row r="176">
      <c r="B176" s="204">
        <f>IF('_Datos'!$C176,'_Datos'!$O176,"")</f>
      </c>
      <c r="C176" s="205">
        <f>IF('_Datos'!$C176,'_Datos'!$F176,IF('_Datos'!$B176,'Proyecto Datos (OKR´s)'!$G176,""))</f>
      </c>
      <c r="D176" s="204">
        <f>IF('_Datos'!$C176,'_Datos'!$AO176,"")</f>
      </c>
      <c r="E176" s="208">
        <f>IF('_Datos'!$C176,'_Datos'!$BI176,IF('_Datos'!$B176,IFERROR(AVERAGEIF('_Datos'!$D$7:$D$200,'Proyecto Datos (OKR´s)'!$G176,'_Datos'!$BI$7:$BI$200),""),""))</f>
      </c>
      <c r="F176" s="204">
        <f>IF('_Datos'!$C176,IF(ISNUMBER('_Datos'!$AR176),'_Datos'!$AR176,"(Sin fecha)"),"")</f>
      </c>
      <c r="G176" s="204"/>
      <c r="H176" s="205"/>
      <c r="I176" s="204">
        <f>IF('_Datos'!$C176,IF(ISNUMBER('_Datos'!$AV176),'_Datos'!$AZ176,"(Sin fecha)"),"")</f>
      </c>
      <c r="J176" s="204"/>
      <c r="K176" s="205"/>
      <c r="L176" s="209">
        <f>IF('_Datos'!$C176,'_Datos'!$AX176,"")</f>
      </c>
      <c r="M176" s="191"/>
      <c r="N176" s="204">
        <f>IF('_Datos'!$C176,'_Datos'!$BA176,"")</f>
      </c>
      <c r="O176" s="192"/>
    </row>
    <row r="177">
      <c r="B177" s="204">
        <f>IF('_Datos'!$C177,'_Datos'!$O177,"")</f>
      </c>
      <c r="C177" s="205">
        <f>IF('_Datos'!$C177,'_Datos'!$F177,IF('_Datos'!$B177,'Proyecto Datos (OKR´s)'!$G177,""))</f>
      </c>
      <c r="D177" s="204">
        <f>IF('_Datos'!$C177,'_Datos'!$AO177,"")</f>
      </c>
      <c r="E177" s="208">
        <f>IF('_Datos'!$C177,'_Datos'!$BI177,IF('_Datos'!$B177,IFERROR(AVERAGEIF('_Datos'!$D$7:$D$200,'Proyecto Datos (OKR´s)'!$G177,'_Datos'!$BI$7:$BI$200),""),""))</f>
      </c>
      <c r="F177" s="204">
        <f>IF('_Datos'!$C177,IF(ISNUMBER('_Datos'!$AR177),'_Datos'!$AR177,"(Sin fecha)"),"")</f>
      </c>
      <c r="G177" s="204"/>
      <c r="H177" s="205"/>
      <c r="I177" s="204">
        <f>IF('_Datos'!$C177,IF(ISNUMBER('_Datos'!$AV177),'_Datos'!$AZ177,"(Sin fecha)"),"")</f>
      </c>
      <c r="J177" s="204"/>
      <c r="K177" s="205"/>
      <c r="L177" s="209">
        <f>IF('_Datos'!$C177,'_Datos'!$AX177,"")</f>
      </c>
      <c r="M177" s="191"/>
      <c r="N177" s="204">
        <f>IF('_Datos'!$C177,'_Datos'!$BA177,"")</f>
      </c>
      <c r="O177" s="192"/>
    </row>
    <row r="178">
      <c r="B178" s="204">
        <f>IF('_Datos'!$C178,'_Datos'!$O178,"")</f>
      </c>
      <c r="C178" s="205">
        <f>IF('_Datos'!$C178,'_Datos'!$F178,IF('_Datos'!$B178,'Proyecto Datos (OKR´s)'!$G178,""))</f>
      </c>
      <c r="D178" s="204">
        <f>IF('_Datos'!$C178,'_Datos'!$AO178,"")</f>
      </c>
      <c r="E178" s="208">
        <f>IF('_Datos'!$C178,'_Datos'!$BI178,IF('_Datos'!$B178,IFERROR(AVERAGEIF('_Datos'!$D$7:$D$200,'Proyecto Datos (OKR´s)'!$G178,'_Datos'!$BI$7:$BI$200),""),""))</f>
      </c>
      <c r="F178" s="204">
        <f>IF('_Datos'!$C178,IF(ISNUMBER('_Datos'!$AR178),'_Datos'!$AR178,"(Sin fecha)"),"")</f>
      </c>
      <c r="G178" s="204"/>
      <c r="H178" s="205"/>
      <c r="I178" s="204">
        <f>IF('_Datos'!$C178,IF(ISNUMBER('_Datos'!$AV178),'_Datos'!$AZ178,"(Sin fecha)"),"")</f>
      </c>
      <c r="J178" s="204"/>
      <c r="K178" s="205"/>
      <c r="L178" s="209">
        <f>IF('_Datos'!$C178,'_Datos'!$AX178,"")</f>
      </c>
      <c r="M178" s="191"/>
      <c r="N178" s="204">
        <f>IF('_Datos'!$C178,'_Datos'!$BA178,"")</f>
      </c>
      <c r="O178" s="192"/>
    </row>
    <row r="179">
      <c r="B179" s="204">
        <f>IF('_Datos'!$C179,'_Datos'!$O179,"")</f>
      </c>
      <c r="C179" s="205">
        <f>IF('_Datos'!$C179,'_Datos'!$F179,IF('_Datos'!$B179,'Proyecto Datos (OKR´s)'!$G179,""))</f>
      </c>
      <c r="D179" s="204">
        <f>IF('_Datos'!$C179,'_Datos'!$AO179,"")</f>
      </c>
      <c r="E179" s="208">
        <f>IF('_Datos'!$C179,'_Datos'!$BI179,IF('_Datos'!$B179,IFERROR(AVERAGEIF('_Datos'!$D$7:$D$200,'Proyecto Datos (OKR´s)'!$G179,'_Datos'!$BI$7:$BI$200),""),""))</f>
      </c>
      <c r="F179" s="204">
        <f>IF('_Datos'!$C179,IF(ISNUMBER('_Datos'!$AR179),'_Datos'!$AR179,"(Sin fecha)"),"")</f>
      </c>
      <c r="G179" s="204"/>
      <c r="H179" s="205"/>
      <c r="I179" s="204">
        <f>IF('_Datos'!$C179,IF(ISNUMBER('_Datos'!$AV179),'_Datos'!$AZ179,"(Sin fecha)"),"")</f>
      </c>
      <c r="J179" s="204"/>
      <c r="K179" s="205"/>
      <c r="L179" s="209">
        <f>IF('_Datos'!$C179,'_Datos'!$AX179,"")</f>
      </c>
      <c r="M179" s="191"/>
      <c r="N179" s="204">
        <f>IF('_Datos'!$C179,'_Datos'!$BA179,"")</f>
      </c>
      <c r="O179" s="192"/>
    </row>
    <row r="180">
      <c r="B180" s="204">
        <f>IF('_Datos'!$C180,'_Datos'!$O180,"")</f>
      </c>
      <c r="C180" s="205">
        <f>IF('_Datos'!$C180,'_Datos'!$F180,IF('_Datos'!$B180,'Proyecto Datos (OKR´s)'!$G180,""))</f>
      </c>
      <c r="D180" s="204">
        <f>IF('_Datos'!$C180,'_Datos'!$AO180,"")</f>
      </c>
      <c r="E180" s="208">
        <f>IF('_Datos'!$C180,'_Datos'!$BI180,IF('_Datos'!$B180,IFERROR(AVERAGEIF('_Datos'!$D$7:$D$200,'Proyecto Datos (OKR´s)'!$G180,'_Datos'!$BI$7:$BI$200),""),""))</f>
      </c>
      <c r="F180" s="204">
        <f>IF('_Datos'!$C180,IF(ISNUMBER('_Datos'!$AR180),'_Datos'!$AR180,"(Sin fecha)"),"")</f>
      </c>
      <c r="G180" s="204"/>
      <c r="H180" s="205"/>
      <c r="I180" s="204">
        <f>IF('_Datos'!$C180,IF(ISNUMBER('_Datos'!$AV180),'_Datos'!$AZ180,"(Sin fecha)"),"")</f>
      </c>
      <c r="J180" s="204"/>
      <c r="K180" s="205"/>
      <c r="L180" s="209">
        <f>IF('_Datos'!$C180,'_Datos'!$AX180,"")</f>
      </c>
      <c r="M180" s="191"/>
      <c r="N180" s="204">
        <f>IF('_Datos'!$C180,'_Datos'!$BA180,"")</f>
      </c>
      <c r="O180" s="192"/>
    </row>
    <row r="181">
      <c r="B181" s="204">
        <f>IF('_Datos'!$C181,'_Datos'!$O181,"")</f>
      </c>
      <c r="C181" s="205">
        <f>IF('_Datos'!$C181,'_Datos'!$F181,IF('_Datos'!$B181,'Proyecto Datos (OKR´s)'!$G181,""))</f>
      </c>
      <c r="D181" s="204">
        <f>IF('_Datos'!$C181,'_Datos'!$AO181,"")</f>
      </c>
      <c r="E181" s="208">
        <f>IF('_Datos'!$C181,'_Datos'!$BI181,IF('_Datos'!$B181,IFERROR(AVERAGEIF('_Datos'!$D$7:$D$200,'Proyecto Datos (OKR´s)'!$G181,'_Datos'!$BI$7:$BI$200),""),""))</f>
      </c>
      <c r="F181" s="204">
        <f>IF('_Datos'!$C181,IF(ISNUMBER('_Datos'!$AR181),'_Datos'!$AR181,"(Sin fecha)"),"")</f>
      </c>
      <c r="G181" s="204"/>
      <c r="H181" s="205"/>
      <c r="I181" s="204">
        <f>IF('_Datos'!$C181,IF(ISNUMBER('_Datos'!$AV181),'_Datos'!$AZ181,"(Sin fecha)"),"")</f>
      </c>
      <c r="J181" s="204"/>
      <c r="K181" s="205"/>
      <c r="L181" s="209">
        <f>IF('_Datos'!$C181,'_Datos'!$AX181,"")</f>
      </c>
      <c r="M181" s="191"/>
      <c r="N181" s="204">
        <f>IF('_Datos'!$C181,'_Datos'!$BA181,"")</f>
      </c>
      <c r="O181" s="192"/>
    </row>
    <row r="182">
      <c r="B182" s="204">
        <f>IF('_Datos'!$C182,'_Datos'!$O182,"")</f>
      </c>
      <c r="C182" s="205">
        <f>IF('_Datos'!$C182,'_Datos'!$F182,IF('_Datos'!$B182,'Proyecto Datos (OKR´s)'!$G182,""))</f>
      </c>
      <c r="D182" s="204">
        <f>IF('_Datos'!$C182,'_Datos'!$AO182,"")</f>
      </c>
      <c r="E182" s="208">
        <f>IF('_Datos'!$C182,'_Datos'!$BI182,IF('_Datos'!$B182,IFERROR(AVERAGEIF('_Datos'!$D$7:$D$200,'Proyecto Datos (OKR´s)'!$G182,'_Datos'!$BI$7:$BI$200),""),""))</f>
      </c>
      <c r="F182" s="204">
        <f>IF('_Datos'!$C182,IF(ISNUMBER('_Datos'!$AR182),'_Datos'!$AR182,"(Sin fecha)"),"")</f>
      </c>
      <c r="G182" s="204"/>
      <c r="H182" s="205"/>
      <c r="I182" s="204">
        <f>IF('_Datos'!$C182,IF(ISNUMBER('_Datos'!$AV182),'_Datos'!$AZ182,"(Sin fecha)"),"")</f>
      </c>
      <c r="J182" s="204"/>
      <c r="K182" s="205"/>
      <c r="L182" s="209">
        <f>IF('_Datos'!$C182,'_Datos'!$AX182,"")</f>
      </c>
      <c r="M182" s="191"/>
      <c r="N182" s="204">
        <f>IF('_Datos'!$C182,'_Datos'!$BA182,"")</f>
      </c>
      <c r="O182" s="192"/>
    </row>
    <row r="183">
      <c r="B183" s="204">
        <f>IF('_Datos'!$C183,'_Datos'!$O183,"")</f>
      </c>
      <c r="C183" s="205">
        <f>IF('_Datos'!$C183,'_Datos'!$F183,IF('_Datos'!$B183,'Proyecto Datos (OKR´s)'!$G183,""))</f>
      </c>
      <c r="D183" s="204">
        <f>IF('_Datos'!$C183,'_Datos'!$AO183,"")</f>
      </c>
      <c r="E183" s="208">
        <f>IF('_Datos'!$C183,'_Datos'!$BI183,IF('_Datos'!$B183,IFERROR(AVERAGEIF('_Datos'!$D$7:$D$200,'Proyecto Datos (OKR´s)'!$G183,'_Datos'!$BI$7:$BI$200),""),""))</f>
      </c>
      <c r="F183" s="204">
        <f>IF('_Datos'!$C183,IF(ISNUMBER('_Datos'!$AR183),'_Datos'!$AR183,"(Sin fecha)"),"")</f>
      </c>
      <c r="G183" s="204"/>
      <c r="H183" s="205"/>
      <c r="I183" s="204">
        <f>IF('_Datos'!$C183,IF(ISNUMBER('_Datos'!$AV183),'_Datos'!$AZ183,"(Sin fecha)"),"")</f>
      </c>
      <c r="J183" s="204"/>
      <c r="K183" s="205"/>
      <c r="L183" s="209">
        <f>IF('_Datos'!$C183,'_Datos'!$AX183,"")</f>
      </c>
      <c r="M183" s="191"/>
      <c r="N183" s="204">
        <f>IF('_Datos'!$C183,'_Datos'!$BA183,"")</f>
      </c>
      <c r="O183" s="192"/>
    </row>
    <row r="184">
      <c r="B184" s="204">
        <f>IF('_Datos'!$C184,'_Datos'!$O184,"")</f>
      </c>
      <c r="C184" s="205">
        <f>IF('_Datos'!$C184,'_Datos'!$F184,IF('_Datos'!$B184,'Proyecto Datos (OKR´s)'!$G184,""))</f>
      </c>
      <c r="D184" s="204">
        <f>IF('_Datos'!$C184,'_Datos'!$AO184,"")</f>
      </c>
      <c r="E184" s="208">
        <f>IF('_Datos'!$C184,'_Datos'!$BI184,IF('_Datos'!$B184,IFERROR(AVERAGEIF('_Datos'!$D$7:$D$200,'Proyecto Datos (OKR´s)'!$G184,'_Datos'!$BI$7:$BI$200),""),""))</f>
      </c>
      <c r="F184" s="204">
        <f>IF('_Datos'!$C184,IF(ISNUMBER('_Datos'!$AR184),'_Datos'!$AR184,"(Sin fecha)"),"")</f>
      </c>
      <c r="G184" s="204"/>
      <c r="H184" s="205"/>
      <c r="I184" s="204">
        <f>IF('_Datos'!$C184,IF(ISNUMBER('_Datos'!$AV184),'_Datos'!$AZ184,"(Sin fecha)"),"")</f>
      </c>
      <c r="J184" s="204"/>
      <c r="K184" s="205"/>
      <c r="L184" s="209">
        <f>IF('_Datos'!$C184,'_Datos'!$AX184,"")</f>
      </c>
      <c r="M184" s="191"/>
      <c r="N184" s="204">
        <f>IF('_Datos'!$C184,'_Datos'!$BA184,"")</f>
      </c>
      <c r="O184" s="192"/>
    </row>
    <row r="185">
      <c r="B185" s="204">
        <f>IF('_Datos'!$C185,'_Datos'!$O185,"")</f>
      </c>
      <c r="C185" s="205">
        <f>IF('_Datos'!$C185,'_Datos'!$F185,IF('_Datos'!$B185,'Proyecto Datos (OKR´s)'!$G185,""))</f>
      </c>
      <c r="D185" s="204">
        <f>IF('_Datos'!$C185,'_Datos'!$AO185,"")</f>
      </c>
      <c r="E185" s="208">
        <f>IF('_Datos'!$C185,'_Datos'!$BI185,IF('_Datos'!$B185,IFERROR(AVERAGEIF('_Datos'!$D$7:$D$200,'Proyecto Datos (OKR´s)'!$G185,'_Datos'!$BI$7:$BI$200),""),""))</f>
      </c>
      <c r="F185" s="204">
        <f>IF('_Datos'!$C185,IF(ISNUMBER('_Datos'!$AR185),'_Datos'!$AR185,"(Sin fecha)"),"")</f>
      </c>
      <c r="G185" s="204"/>
      <c r="H185" s="205"/>
      <c r="I185" s="204">
        <f>IF('_Datos'!$C185,IF(ISNUMBER('_Datos'!$AV185),'_Datos'!$AZ185,"(Sin fecha)"),"")</f>
      </c>
      <c r="J185" s="204"/>
      <c r="K185" s="205"/>
      <c r="L185" s="209">
        <f>IF('_Datos'!$C185,'_Datos'!$AX185,"")</f>
      </c>
      <c r="M185" s="191"/>
      <c r="N185" s="204">
        <f>IF('_Datos'!$C185,'_Datos'!$BA185,"")</f>
      </c>
      <c r="O185" s="192"/>
    </row>
    <row r="186">
      <c r="B186" s="204">
        <f>IF('_Datos'!$C186,'_Datos'!$O186,"")</f>
      </c>
      <c r="C186" s="205">
        <f>IF('_Datos'!$C186,'_Datos'!$F186,IF('_Datos'!$B186,'Proyecto Datos (OKR´s)'!$G186,""))</f>
      </c>
      <c r="D186" s="204">
        <f>IF('_Datos'!$C186,'_Datos'!$AO186,"")</f>
      </c>
      <c r="E186" s="208">
        <f>IF('_Datos'!$C186,'_Datos'!$BI186,IF('_Datos'!$B186,IFERROR(AVERAGEIF('_Datos'!$D$7:$D$200,'Proyecto Datos (OKR´s)'!$G186,'_Datos'!$BI$7:$BI$200),""),""))</f>
      </c>
      <c r="F186" s="204">
        <f>IF('_Datos'!$C186,IF(ISNUMBER('_Datos'!$AR186),'_Datos'!$AR186,"(Sin fecha)"),"")</f>
      </c>
      <c r="G186" s="204"/>
      <c r="H186" s="205"/>
      <c r="I186" s="204">
        <f>IF('_Datos'!$C186,IF(ISNUMBER('_Datos'!$AV186),'_Datos'!$AZ186,"(Sin fecha)"),"")</f>
      </c>
      <c r="J186" s="204"/>
      <c r="K186" s="205"/>
      <c r="L186" s="209">
        <f>IF('_Datos'!$C186,'_Datos'!$AX186,"")</f>
      </c>
      <c r="M186" s="191"/>
      <c r="N186" s="204">
        <f>IF('_Datos'!$C186,'_Datos'!$BA186,"")</f>
      </c>
      <c r="O186" s="192"/>
    </row>
    <row r="187">
      <c r="B187" s="204">
        <f>IF('_Datos'!$C187,'_Datos'!$O187,"")</f>
      </c>
      <c r="C187" s="205">
        <f>IF('_Datos'!$C187,'_Datos'!$F187,IF('_Datos'!$B187,'Proyecto Datos (OKR´s)'!$G187,""))</f>
      </c>
      <c r="D187" s="204">
        <f>IF('_Datos'!$C187,'_Datos'!$AO187,"")</f>
      </c>
      <c r="E187" s="208">
        <f>IF('_Datos'!$C187,'_Datos'!$BI187,IF('_Datos'!$B187,IFERROR(AVERAGEIF('_Datos'!$D$7:$D$200,'Proyecto Datos (OKR´s)'!$G187,'_Datos'!$BI$7:$BI$200),""),""))</f>
      </c>
      <c r="F187" s="204">
        <f>IF('_Datos'!$C187,IF(ISNUMBER('_Datos'!$AR187),'_Datos'!$AR187,"(Sin fecha)"),"")</f>
      </c>
      <c r="G187" s="204"/>
      <c r="H187" s="205"/>
      <c r="I187" s="204">
        <f>IF('_Datos'!$C187,IF(ISNUMBER('_Datos'!$AV187),'_Datos'!$AZ187,"(Sin fecha)"),"")</f>
      </c>
      <c r="J187" s="204"/>
      <c r="K187" s="205"/>
      <c r="L187" s="209">
        <f>IF('_Datos'!$C187,'_Datos'!$AX187,"")</f>
      </c>
      <c r="M187" s="191"/>
      <c r="N187" s="204">
        <f>IF('_Datos'!$C187,'_Datos'!$BA187,"")</f>
      </c>
      <c r="O187" s="192"/>
    </row>
    <row r="188">
      <c r="B188" s="204">
        <f>IF('_Datos'!$C188,'_Datos'!$O188,"")</f>
      </c>
      <c r="C188" s="205">
        <f>IF('_Datos'!$C188,'_Datos'!$F188,IF('_Datos'!$B188,'Proyecto Datos (OKR´s)'!$G188,""))</f>
      </c>
      <c r="D188" s="204">
        <f>IF('_Datos'!$C188,'_Datos'!$AO188,"")</f>
      </c>
      <c r="E188" s="208">
        <f>IF('_Datos'!$C188,'_Datos'!$BI188,IF('_Datos'!$B188,IFERROR(AVERAGEIF('_Datos'!$D$7:$D$200,'Proyecto Datos (OKR´s)'!$G188,'_Datos'!$BI$7:$BI$200),""),""))</f>
      </c>
      <c r="F188" s="204">
        <f>IF('_Datos'!$C188,IF(ISNUMBER('_Datos'!$AR188),'_Datos'!$AR188,"(Sin fecha)"),"")</f>
      </c>
      <c r="G188" s="204"/>
      <c r="H188" s="205"/>
      <c r="I188" s="204">
        <f>IF('_Datos'!$C188,IF(ISNUMBER('_Datos'!$AV188),'_Datos'!$AZ188,"(Sin fecha)"),"")</f>
      </c>
      <c r="J188" s="204"/>
      <c r="K188" s="205"/>
      <c r="L188" s="209">
        <f>IF('_Datos'!$C188,'_Datos'!$AX188,"")</f>
      </c>
      <c r="M188" s="191"/>
      <c r="N188" s="204">
        <f>IF('_Datos'!$C188,'_Datos'!$BA188,"")</f>
      </c>
      <c r="O188" s="192"/>
    </row>
    <row r="189">
      <c r="B189" s="204">
        <f>IF('_Datos'!$C189,'_Datos'!$O189,"")</f>
      </c>
      <c r="C189" s="205">
        <f>IF('_Datos'!$C189,'_Datos'!$F189,IF('_Datos'!$B189,'Proyecto Datos (OKR´s)'!$G189,""))</f>
      </c>
      <c r="D189" s="204">
        <f>IF('_Datos'!$C189,'_Datos'!$AO189,"")</f>
      </c>
      <c r="E189" s="208">
        <f>IF('_Datos'!$C189,'_Datos'!$BI189,IF('_Datos'!$B189,IFERROR(AVERAGEIF('_Datos'!$D$7:$D$200,'Proyecto Datos (OKR´s)'!$G189,'_Datos'!$BI$7:$BI$200),""),""))</f>
      </c>
      <c r="F189" s="204">
        <f>IF('_Datos'!$C189,IF(ISNUMBER('_Datos'!$AR189),'_Datos'!$AR189,"(Sin fecha)"),"")</f>
      </c>
      <c r="G189" s="204"/>
      <c r="H189" s="205"/>
      <c r="I189" s="204">
        <f>IF('_Datos'!$C189,IF(ISNUMBER('_Datos'!$AV189),'_Datos'!$AZ189,"(Sin fecha)"),"")</f>
      </c>
      <c r="J189" s="204"/>
      <c r="K189" s="205"/>
      <c r="L189" s="209">
        <f>IF('_Datos'!$C189,'_Datos'!$AX189,"")</f>
      </c>
      <c r="M189" s="191"/>
      <c r="N189" s="204">
        <f>IF('_Datos'!$C189,'_Datos'!$BA189,"")</f>
      </c>
      <c r="O189" s="192"/>
    </row>
    <row r="190">
      <c r="B190" s="204">
        <f>IF('_Datos'!$C190,'_Datos'!$O190,"")</f>
      </c>
      <c r="C190" s="205">
        <f>IF('_Datos'!$C190,'_Datos'!$F190,IF('_Datos'!$B190,'Proyecto Datos (OKR´s)'!$G190,""))</f>
      </c>
      <c r="D190" s="204">
        <f>IF('_Datos'!$C190,'_Datos'!$AO190,"")</f>
      </c>
      <c r="E190" s="208">
        <f>IF('_Datos'!$C190,'_Datos'!$BI190,IF('_Datos'!$B190,IFERROR(AVERAGEIF('_Datos'!$D$7:$D$200,'Proyecto Datos (OKR´s)'!$G190,'_Datos'!$BI$7:$BI$200),""),""))</f>
      </c>
      <c r="F190" s="204">
        <f>IF('_Datos'!$C190,IF(ISNUMBER('_Datos'!$AR190),'_Datos'!$AR190,"(Sin fecha)"),"")</f>
      </c>
      <c r="G190" s="204"/>
      <c r="H190" s="205"/>
      <c r="I190" s="204">
        <f>IF('_Datos'!$C190,IF(ISNUMBER('_Datos'!$AV190),'_Datos'!$AZ190,"(Sin fecha)"),"")</f>
      </c>
      <c r="J190" s="204"/>
      <c r="K190" s="205"/>
      <c r="L190" s="209">
        <f>IF('_Datos'!$C190,'_Datos'!$AX190,"")</f>
      </c>
      <c r="M190" s="191"/>
      <c r="N190" s="204">
        <f>IF('_Datos'!$C190,'_Datos'!$BA190,"")</f>
      </c>
      <c r="O190" s="192"/>
    </row>
    <row r="191">
      <c r="B191" s="204">
        <f>IF('_Datos'!$C191,'_Datos'!$O191,"")</f>
      </c>
      <c r="C191" s="205">
        <f>IF('_Datos'!$C191,'_Datos'!$F191,IF('_Datos'!$B191,'Proyecto Datos (OKR´s)'!$G191,""))</f>
      </c>
      <c r="D191" s="204">
        <f>IF('_Datos'!$C191,'_Datos'!$AO191,"")</f>
      </c>
      <c r="E191" s="208">
        <f>IF('_Datos'!$C191,'_Datos'!$BI191,IF('_Datos'!$B191,IFERROR(AVERAGEIF('_Datos'!$D$7:$D$200,'Proyecto Datos (OKR´s)'!$G191,'_Datos'!$BI$7:$BI$200),""),""))</f>
      </c>
      <c r="F191" s="204">
        <f>IF('_Datos'!$C191,IF(ISNUMBER('_Datos'!$AR191),'_Datos'!$AR191,"(Sin fecha)"),"")</f>
      </c>
      <c r="G191" s="204"/>
      <c r="H191" s="205"/>
      <c r="I191" s="204">
        <f>IF('_Datos'!$C191,IF(ISNUMBER('_Datos'!$AV191),'_Datos'!$AZ191,"(Sin fecha)"),"")</f>
      </c>
      <c r="J191" s="204"/>
      <c r="K191" s="205"/>
      <c r="L191" s="209">
        <f>IF('_Datos'!$C191,'_Datos'!$AX191,"")</f>
      </c>
      <c r="M191" s="191"/>
      <c r="N191" s="204">
        <f>IF('_Datos'!$C191,'_Datos'!$BA191,"")</f>
      </c>
      <c r="O191" s="192"/>
    </row>
    <row r="192">
      <c r="B192" s="204">
        <f>IF('_Datos'!$C192,'_Datos'!$O192,"")</f>
      </c>
      <c r="C192" s="205">
        <f>IF('_Datos'!$C192,'_Datos'!$F192,IF('_Datos'!$B192,'Proyecto Datos (OKR´s)'!$G192,""))</f>
      </c>
      <c r="D192" s="204">
        <f>IF('_Datos'!$C192,'_Datos'!$AO192,"")</f>
      </c>
      <c r="E192" s="208">
        <f>IF('_Datos'!$C192,'_Datos'!$BI192,IF('_Datos'!$B192,IFERROR(AVERAGEIF('_Datos'!$D$7:$D$200,'Proyecto Datos (OKR´s)'!$G192,'_Datos'!$BI$7:$BI$200),""),""))</f>
      </c>
      <c r="F192" s="204">
        <f>IF('_Datos'!$C192,IF(ISNUMBER('_Datos'!$AR192),'_Datos'!$AR192,"(Sin fecha)"),"")</f>
      </c>
      <c r="G192" s="204"/>
      <c r="H192" s="205"/>
      <c r="I192" s="204">
        <f>IF('_Datos'!$C192,IF(ISNUMBER('_Datos'!$AV192),'_Datos'!$AZ192,"(Sin fecha)"),"")</f>
      </c>
      <c r="J192" s="204"/>
      <c r="K192" s="205"/>
      <c r="L192" s="209">
        <f>IF('_Datos'!$C192,'_Datos'!$AX192,"")</f>
      </c>
      <c r="M192" s="191"/>
      <c r="N192" s="204">
        <f>IF('_Datos'!$C192,'_Datos'!$BA192,"")</f>
      </c>
      <c r="O192" s="192"/>
    </row>
    <row r="193">
      <c r="B193" s="204">
        <f>IF('_Datos'!$C193,'_Datos'!$O193,"")</f>
      </c>
      <c r="C193" s="205">
        <f>IF('_Datos'!$C193,'_Datos'!$F193,IF('_Datos'!$B193,'Proyecto Datos (OKR´s)'!$G193,""))</f>
      </c>
      <c r="D193" s="204">
        <f>IF('_Datos'!$C193,'_Datos'!$AO193,"")</f>
      </c>
      <c r="E193" s="208">
        <f>IF('_Datos'!$C193,'_Datos'!$BI193,IF('_Datos'!$B193,IFERROR(AVERAGEIF('_Datos'!$D$7:$D$200,'Proyecto Datos (OKR´s)'!$G193,'_Datos'!$BI$7:$BI$200),""),""))</f>
      </c>
      <c r="F193" s="204">
        <f>IF('_Datos'!$C193,IF(ISNUMBER('_Datos'!$AR193),'_Datos'!$AR193,"(Sin fecha)"),"")</f>
      </c>
      <c r="G193" s="204"/>
      <c r="H193" s="205"/>
      <c r="I193" s="204">
        <f>IF('_Datos'!$C193,IF(ISNUMBER('_Datos'!$AV193),'_Datos'!$AZ193,"(Sin fecha)"),"")</f>
      </c>
      <c r="J193" s="204"/>
      <c r="K193" s="205"/>
      <c r="L193" s="209">
        <f>IF('_Datos'!$C193,'_Datos'!$AX193,"")</f>
      </c>
      <c r="M193" s="191"/>
      <c r="N193" s="204">
        <f>IF('_Datos'!$C193,'_Datos'!$BA193,"")</f>
      </c>
      <c r="O193" s="192"/>
    </row>
    <row r="194">
      <c r="B194" s="204">
        <f>IF('_Datos'!$C194,'_Datos'!$O194,"")</f>
      </c>
      <c r="C194" s="205">
        <f>IF('_Datos'!$C194,'_Datos'!$F194,IF('_Datos'!$B194,'Proyecto Datos (OKR´s)'!$G194,""))</f>
      </c>
      <c r="D194" s="204">
        <f>IF('_Datos'!$C194,'_Datos'!$AO194,"")</f>
      </c>
      <c r="E194" s="208">
        <f>IF('_Datos'!$C194,'_Datos'!$BI194,IF('_Datos'!$B194,IFERROR(AVERAGEIF('_Datos'!$D$7:$D$200,'Proyecto Datos (OKR´s)'!$G194,'_Datos'!$BI$7:$BI$200),""),""))</f>
      </c>
      <c r="F194" s="204">
        <f>IF('_Datos'!$C194,IF(ISNUMBER('_Datos'!$AR194),'_Datos'!$AR194,"(Sin fecha)"),"")</f>
      </c>
      <c r="G194" s="204"/>
      <c r="H194" s="205"/>
      <c r="I194" s="204">
        <f>IF('_Datos'!$C194,IF(ISNUMBER('_Datos'!$AV194),'_Datos'!$AZ194,"(Sin fecha)"),"")</f>
      </c>
      <c r="J194" s="204"/>
      <c r="K194" s="205"/>
      <c r="L194" s="209">
        <f>IF('_Datos'!$C194,'_Datos'!$AX194,"")</f>
      </c>
      <c r="M194" s="191"/>
      <c r="N194" s="204">
        <f>IF('_Datos'!$C194,'_Datos'!$BA194,"")</f>
      </c>
      <c r="O194" s="192"/>
    </row>
    <row r="195">
      <c r="B195" s="204">
        <f>IF('_Datos'!$C195,'_Datos'!$O195,"")</f>
      </c>
      <c r="C195" s="205">
        <f>IF('_Datos'!$C195,'_Datos'!$F195,IF('_Datos'!$B195,'Proyecto Datos (OKR´s)'!$G195,""))</f>
      </c>
      <c r="D195" s="204">
        <f>IF('_Datos'!$C195,'_Datos'!$AO195,"")</f>
      </c>
      <c r="E195" s="208">
        <f>IF('_Datos'!$C195,'_Datos'!$BI195,IF('_Datos'!$B195,IFERROR(AVERAGEIF('_Datos'!$D$7:$D$200,'Proyecto Datos (OKR´s)'!$G195,'_Datos'!$BI$7:$BI$200),""),""))</f>
      </c>
      <c r="F195" s="204">
        <f>IF('_Datos'!$C195,IF(ISNUMBER('_Datos'!$AR195),'_Datos'!$AR195,"(Sin fecha)"),"")</f>
      </c>
      <c r="G195" s="204"/>
      <c r="H195" s="205"/>
      <c r="I195" s="204">
        <f>IF('_Datos'!$C195,IF(ISNUMBER('_Datos'!$AV195),'_Datos'!$AZ195,"(Sin fecha)"),"")</f>
      </c>
      <c r="J195" s="204"/>
      <c r="K195" s="205"/>
      <c r="L195" s="209">
        <f>IF('_Datos'!$C195,'_Datos'!$AX195,"")</f>
      </c>
      <c r="M195" s="191"/>
      <c r="N195" s="204">
        <f>IF('_Datos'!$C195,'_Datos'!$BA195,"")</f>
      </c>
      <c r="O195" s="192"/>
    </row>
    <row r="196">
      <c r="B196" s="204">
        <f>IF('_Datos'!$C196,'_Datos'!$O196,"")</f>
      </c>
      <c r="C196" s="205">
        <f>IF('_Datos'!$C196,'_Datos'!$F196,IF('_Datos'!$B196,'Proyecto Datos (OKR´s)'!$G196,""))</f>
      </c>
      <c r="D196" s="204">
        <f>IF('_Datos'!$C196,'_Datos'!$AO196,"")</f>
      </c>
      <c r="E196" s="208">
        <f>IF('_Datos'!$C196,'_Datos'!$BI196,IF('_Datos'!$B196,IFERROR(AVERAGEIF('_Datos'!$D$7:$D$200,'Proyecto Datos (OKR´s)'!$G196,'_Datos'!$BI$7:$BI$200),""),""))</f>
      </c>
      <c r="F196" s="204">
        <f>IF('_Datos'!$C196,IF(ISNUMBER('_Datos'!$AR196),'_Datos'!$AR196,"(Sin fecha)"),"")</f>
      </c>
      <c r="G196" s="204"/>
      <c r="H196" s="205"/>
      <c r="I196" s="204">
        <f>IF('_Datos'!$C196,IF(ISNUMBER('_Datos'!$AV196),'_Datos'!$AZ196,"(Sin fecha)"),"")</f>
      </c>
      <c r="J196" s="204"/>
      <c r="K196" s="205"/>
      <c r="L196" s="209">
        <f>IF('_Datos'!$C196,'_Datos'!$AX196,"")</f>
      </c>
      <c r="M196" s="191"/>
      <c r="N196" s="204">
        <f>IF('_Datos'!$C196,'_Datos'!$BA196,"")</f>
      </c>
      <c r="O196" s="192"/>
    </row>
    <row r="197">
      <c r="B197" s="204">
        <f>IF('_Datos'!$C197,'_Datos'!$O197,"")</f>
      </c>
      <c r="C197" s="205">
        <f>IF('_Datos'!$C197,'_Datos'!$F197,IF('_Datos'!$B197,'Proyecto Datos (OKR´s)'!$G197,""))</f>
      </c>
      <c r="D197" s="204">
        <f>IF('_Datos'!$C197,'_Datos'!$AO197,"")</f>
      </c>
      <c r="E197" s="208">
        <f>IF('_Datos'!$C197,'_Datos'!$BI197,IF('_Datos'!$B197,IFERROR(AVERAGEIF('_Datos'!$D$7:$D$200,'Proyecto Datos (OKR´s)'!$G197,'_Datos'!$BI$7:$BI$200),""),""))</f>
      </c>
      <c r="F197" s="204">
        <f>IF('_Datos'!$C197,IF(ISNUMBER('_Datos'!$AR197),'_Datos'!$AR197,"(Sin fecha)"),"")</f>
      </c>
      <c r="G197" s="204"/>
      <c r="H197" s="205"/>
      <c r="I197" s="204">
        <f>IF('_Datos'!$C197,IF(ISNUMBER('_Datos'!$AV197),'_Datos'!$AZ197,"(Sin fecha)"),"")</f>
      </c>
      <c r="J197" s="204"/>
      <c r="K197" s="205"/>
      <c r="L197" s="209">
        <f>IF('_Datos'!$C197,'_Datos'!$AX197,"")</f>
      </c>
      <c r="M197" s="191"/>
      <c r="N197" s="204">
        <f>IF('_Datos'!$C197,'_Datos'!$BA197,"")</f>
      </c>
      <c r="O197" s="192"/>
    </row>
    <row r="198">
      <c r="B198" s="204">
        <f>IF('_Datos'!$C198,'_Datos'!$O198,"")</f>
      </c>
      <c r="C198" s="205">
        <f>IF('_Datos'!$C198,'_Datos'!$F198,IF('_Datos'!$B198,'Proyecto Datos (OKR´s)'!$G198,""))</f>
      </c>
      <c r="D198" s="204">
        <f>IF('_Datos'!$C198,'_Datos'!$AO198,"")</f>
      </c>
      <c r="E198" s="208">
        <f>IF('_Datos'!$C198,'_Datos'!$BI198,IF('_Datos'!$B198,IFERROR(AVERAGEIF('_Datos'!$D$7:$D$200,'Proyecto Datos (OKR´s)'!$G198,'_Datos'!$BI$7:$BI$200),""),""))</f>
      </c>
      <c r="F198" s="204">
        <f>IF('_Datos'!$C198,IF(ISNUMBER('_Datos'!$AR198),'_Datos'!$AR198,"(Sin fecha)"),"")</f>
      </c>
      <c r="G198" s="204"/>
      <c r="H198" s="205"/>
      <c r="I198" s="204">
        <f>IF('_Datos'!$C198,IF(ISNUMBER('_Datos'!$AV198),'_Datos'!$AZ198,"(Sin fecha)"),"")</f>
      </c>
      <c r="J198" s="204"/>
      <c r="K198" s="205"/>
      <c r="L198" s="209">
        <f>IF('_Datos'!$C198,'_Datos'!$AX198,"")</f>
      </c>
      <c r="M198" s="191"/>
      <c r="N198" s="204">
        <f>IF('_Datos'!$C198,'_Datos'!$BA198,"")</f>
      </c>
      <c r="O198" s="192"/>
    </row>
    <row r="199">
      <c r="B199" s="204">
        <f>IF('_Datos'!$C199,'_Datos'!$O199,"")</f>
      </c>
      <c r="C199" s="205">
        <f>IF('_Datos'!$C199,'_Datos'!$F199,IF('_Datos'!$B199,'Proyecto Datos (OKR´s)'!$G199,""))</f>
      </c>
      <c r="D199" s="204">
        <f>IF('_Datos'!$C199,'_Datos'!$AO199,"")</f>
      </c>
      <c r="E199" s="208">
        <f>IF('_Datos'!$C199,'_Datos'!$BI199,IF('_Datos'!$B199,IFERROR(AVERAGEIF('_Datos'!$D$7:$D$200,'Proyecto Datos (OKR´s)'!$G199,'_Datos'!$BI$7:$BI$200),""),""))</f>
      </c>
      <c r="F199" s="204">
        <f>IF('_Datos'!$C199,IF(ISNUMBER('_Datos'!$AR199),'_Datos'!$AR199,"(Sin fecha)"),"")</f>
      </c>
      <c r="G199" s="204"/>
      <c r="H199" s="205"/>
      <c r="I199" s="204">
        <f>IF('_Datos'!$C199,IF(ISNUMBER('_Datos'!$AV199),'_Datos'!$AZ199,"(Sin fecha)"),"")</f>
      </c>
      <c r="J199" s="204"/>
      <c r="K199" s="205"/>
      <c r="L199" s="209">
        <f>IF('_Datos'!$C199,'_Datos'!$AX199,"")</f>
      </c>
      <c r="M199" s="191"/>
      <c r="N199" s="204">
        <f>IF('_Datos'!$C199,'_Datos'!$BA199,"")</f>
      </c>
      <c r="O199" s="192"/>
    </row>
    <row r="200">
      <c r="B200" s="204">
        <f>IF('_Datos'!$C200,'_Datos'!$O200,"")</f>
      </c>
      <c r="C200" s="205">
        <f>IF('_Datos'!$C200,'_Datos'!$F200,IF('_Datos'!$B200,'Proyecto Datos (OKR´s)'!$G200,""))</f>
      </c>
      <c r="D200" s="204">
        <f>IF('_Datos'!$C200,'_Datos'!$AO200,"")</f>
      </c>
      <c r="E200" s="208">
        <f>IF('_Datos'!$C200,'_Datos'!$BI200,IF('_Datos'!$B200,IFERROR(AVERAGEIF('_Datos'!$D$7:$D$200,'Proyecto Datos (OKR´s)'!$G200,'_Datos'!$BI$7:$BI$200),""),""))</f>
      </c>
      <c r="F200" s="204">
        <f>IF('_Datos'!$C200,IF(ISNUMBER('_Datos'!$AR200),'_Datos'!$AR200,"(Sin fecha)"),"")</f>
      </c>
      <c r="G200" s="204"/>
      <c r="H200" s="205"/>
      <c r="I200" s="204">
        <f>IF('_Datos'!$C200,IF(ISNUMBER('_Datos'!$AV200),'_Datos'!$AZ200,"(Sin fecha)"),"")</f>
      </c>
      <c r="J200" s="204"/>
      <c r="K200" s="205"/>
      <c r="L200" s="209">
        <f>IF('_Datos'!$C200,'_Datos'!$AX200,"")</f>
      </c>
      <c r="M200" s="191"/>
      <c r="N200" s="204">
        <f>IF('_Datos'!$C200,'_Datos'!$BA200,"")</f>
      </c>
      <c r="O200" s="192"/>
    </row>
  </sheetData>
  <mergeCells count="2">
    <mergeCell ref="B1:O1"/>
    <mergeCell ref="B2:O2"/>
  </mergeCells>
  <conditionalFormatting sqref="E7:E200">
    <cfRule type="dataBar" priority="10">
      <dataBar>
        <cfvo type="num" val="0"/>
        <cfvo type="num" val="1"/>
        <color rgb="FF63C384"/>
      </dataBar>
    </cfRule>
  </conditionalFormatting>
  <conditionalFormatting sqref="B7:O200">
    <cfRule type="expression" dxfId="28" priority="20">
      <formula>'_Datos'!$B7</formula>
    </cfRule>
  </conditionalFormatting>
  <conditionalFormatting sqref="G7:H200">
    <cfRule type="expression" dxfId="27" priority="21">
      <formula>$B7&lt;&gt;""</formula>
    </cfRule>
  </conditionalFormatting>
  <conditionalFormatting sqref="J7:K200">
    <cfRule type="expression" dxfId="27" priority="22">
      <formula>$B7&lt;&gt;""</formula>
    </cfRule>
  </conditionalFormatting>
  <conditionalFormatting sqref="O7:O200">
    <cfRule type="expression" dxfId="27" priority="26">
      <formula>$B7&lt;&gt;""</formula>
    </cfRule>
  </conditionalFormatting>
  <conditionalFormatting sqref="G7:G200">
    <cfRule type="expression" dxfId="26" priority="23">
      <formula>$G7="Completada"</formula>
    </cfRule>
    <cfRule type="expression" dxfId="24" priority="24">
      <formula>OR($G7="En progreso",$G7="Casi lista")</formula>
    </cfRule>
  </conditionalFormatting>
  <conditionalFormatting sqref="N7:N200">
    <cfRule type="expression" dxfId="24" priority="25">
      <formula>$N7&lt;&gt;""</formula>
    </cfRule>
  </conditionalFormatting>
  <conditionalFormatting sqref="B7:O200">
    <cfRule type="expression" dxfId="21" priority="40">
      <formula>$B7&lt;&gt;""</formula>
    </cfRule>
  </conditionalFormatting>
  <dataValidations count="4">
    <dataValidation type="list" allowBlank="1" showInputMessage="1" showErrorMessage="1" sqref="G7:G200">
      <formula1>"Pendiente,Iniciada,En progreso,Casi lista,Completada"</formula1>
    </dataValidation>
    <dataValidation type="list" allowBlank="1" showInputMessage="1" showErrorMessage="1" sqref="H7:H200">
      <formula1>"Pasa al siguiente,Baja prioridad,Cancelado"</formula1>
    </dataValidation>
    <dataValidation type="list" allowBlank="1" showInputMessage="1" showErrorMessage="1" sqref="J7:J200">
      <formula1>"Falta de tiempo,Dependencia externa,Bloqueo técnico,Esperando información,Repriorización,Cambio de alcance,Otro"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U116"/>
  <sheetViews>
    <sheetView showGridLines="0" workbookViewId="0">
      <pane ySplit="6" topLeftCell="A7" activePane="bottomLeft" state="frozen"/>
    </sheetView>
  </sheetViews>
  <sheetFormatPr defaultRowHeight="15"/>
  <cols>
    <col min="1" max="1" width="2.5" customWidth="1"/>
    <col min="2" max="2" width="15" customWidth="1"/>
    <col min="3" max="3" width="40" customWidth="1"/>
    <col min="4" max="4" width="12" customWidth="1"/>
    <col min="5" max="5" width="8" customWidth="1"/>
    <col min="6" max="6" width="13" customWidth="1"/>
    <col min="7" max="7" width="22" customWidth="1"/>
    <col min="8" max="8" width="9" customWidth="1"/>
    <col min="9" max="9" width="13" customWidth="1"/>
    <col min="10" max="11" width="9" hidden="1"/>
    <col min="12" max="21" width="9" hidden="1"/>
  </cols>
  <sheetData>
    <row r="1" ht="26" customHeight="1">
      <c r="B1" s="169" t="inlineStr">
        <is>
          <t xml:space="preserve">HISTORIAL DE SPRINTS — línea de tiempo por fecha de entrega</t>
        </is>
      </c>
      <c r="C1" s="169"/>
      <c r="D1" s="169"/>
      <c r="E1" s="169"/>
      <c r="F1" s="169"/>
      <c r="G1" s="169"/>
      <c r="H1" s="169"/>
      <c r="I1" s="169"/>
    </row>
    <row r="2" ht="52" customHeight="1">
      <c r="B2" s="170" t="inlineStr">
        <is>
          <t xml:space="preserve">Ordenado por FECHA DE ENTREGA (viernes), mezclando frecuencias. Cada subtarea genera una fila POR CADA sprint que atravesó: dónde nació, cómo fue pasando y dónde está vigente. ● VIGENTE (verde) = sprint actual; gris = sprint cerrado (se movió al siguiente). Se arma solo desde el Backlog (Sprint inicial → 'Sprint actual' col. M). 'Actualizado' = fecha de la col. O del Backlog.</t>
        </is>
      </c>
      <c r="C2" s="170"/>
      <c r="D2" s="170"/>
      <c r="E2" s="170"/>
      <c r="F2" s="170"/>
      <c r="G2" s="170"/>
      <c r="H2" s="170"/>
      <c r="I2" s="170"/>
    </row>
    <row r="6">
      <c r="B6" s="173" t="inlineStr">
        <is>
          <t xml:space="preserve">Fecha entrega</t>
        </is>
      </c>
      <c r="C6" s="173" t="inlineStr">
        <is>
          <t xml:space="preserve">Tarea</t>
        </is>
      </c>
      <c r="D6" s="173" t="inlineStr">
        <is>
          <t xml:space="preserve">Frecuencia</t>
        </is>
      </c>
      <c r="E6" s="173" t="inlineStr">
        <is>
          <t xml:space="preserve">Sprint</t>
        </is>
      </c>
      <c r="F6" s="173" t="inlineStr">
        <is>
          <t xml:space="preserve">Registro</t>
        </is>
      </c>
      <c r="G6" s="173" t="inlineStr">
        <is>
          <t xml:space="preserve">Estado / Resultado</t>
        </is>
      </c>
      <c r="H6" s="173" t="inlineStr">
        <is>
          <t xml:space="preserve">Avance</t>
        </is>
      </c>
      <c r="I6" s="173" t="inlineStr">
        <is>
          <t xml:space="preserve">Actualizado</t>
        </is>
      </c>
    </row>
    <row r="7">
      <c r="B7" s="207">
        <f>IF($Q7="","",$T7)</f>
        <v>46192</v>
      </c>
      <c r="C7" s="205" t="str">
        <f>IF($R7="","",INDEX('_Datos'!$F$7:$F$200,$R7))</f>
        <v>Armado de Procedimiento</v>
      </c>
      <c r="D7" s="204" t="str">
        <f>IF($R7="","",INDEX('_Datos'!$AO$7:$AO$200,$R7))</f>
        <v>Semanal</v>
      </c>
      <c r="E7" s="204" t="str">
        <f>IF($S7="","","S"&amp;$S7)</f>
        <v>S1</v>
      </c>
      <c r="F7" s="204" t="str">
        <f>IF($Q7="","",IF($U7,"● VIGENTE","Cerrado"))</f>
        <v>● VIGENTE</v>
      </c>
      <c r="G7" s="205" t="str">
        <f>IF($Q7="","",IF($U7,INDEX('_Datos'!$AT$7:$AT$200,$R7),"→ pasó a S"&amp;($S7+1)))</f>
        <v>Casi lista</v>
      </c>
      <c r="H7" s="208">
        <f>IF($Q7="","",IF($U7,INDEX('_Datos'!$I$7:$I$200,$R7),""))</f>
        <v>0.75</v>
      </c>
      <c r="I7" s="207">
        <f>IF($Q7="","",IF($U7,IF(ISNUMBER(INDEX('Backlog General'!$O$7:$O$200,$R7)),INDEX('Backlog General'!$O$7:$O$200,$R7),""),""))</f>
      </c>
      <c r="L7" s="202">
        <f>IF(0&lt;SUM('_Datos'!$BN$7:$BN$200),SUMPRODUCT(('_Datos'!$BO$7:$BO$200&lt;=0)*(('_Datos'!$BO$7:$BO$200+'_Datos'!$BN$7:$BN$200)&gt;0)*('_Datos'!$BN$7:$BN$200&gt;0)*'_Datos'!$A$7:$A$200),"")</f>
        <v>8</v>
      </c>
      <c r="M7" s="202">
        <f>IF($L7="","",$L7-6)</f>
        <v>2</v>
      </c>
      <c r="N7" s="202">
        <f>IF($M7="","",INDEX('_Datos'!$AR$7:$AR$200,$M7)+(0-INDEX('_Datos'!$BO$7:$BO$200,$M7)))</f>
        <v>1</v>
      </c>
      <c r="O7" s="202">
        <f>IF($M7="","",INDEX('_Datos'!$AQ$7:$AQ$200,$M7)+$N7*INDEX('_Datos'!$AP$7:$AP$200,$M7)*'Sprints'!$D$5-'Sprints'!$D$5)</f>
        <v>46213</v>
      </c>
      <c r="P7" s="202">
        <f>IF($M7="","",$O7*100000+0)</f>
        <v>4621300000</v>
      </c>
      <c r="Q7" s="202">
        <f>IFERROR(MATCH(SMALL($P$7:$P116,0+1),$P$7:$P116,0),"")</f>
        <v>9</v>
      </c>
      <c r="R7" s="202">
        <f>IF($Q7="","",INDEX($M$7:$M116,$Q7))</f>
        <v>17</v>
      </c>
      <c r="S7" s="202">
        <f>IF($Q7="","",INDEX($N$7:$N116,$Q7))</f>
        <v>1</v>
      </c>
      <c r="T7" s="202">
        <f>IF($Q7="","",INDEX($O$7:$O116,$Q7))</f>
        <v>46192</v>
      </c>
      <c r="U7" s="202" t="b">
        <f>IF($R7="","",$S7=INDEX('_Datos'!$AV$7:$AV$200,$R7))</f>
        <v>1</v>
      </c>
    </row>
    <row r="8">
      <c r="B8" s="207">
        <f>IF($Q8="","",$T8)</f>
        <v>46192</v>
      </c>
      <c r="C8" s="205" t="str">
        <f>IF($R8="","",INDEX('_Datos'!$F$7:$F$200,$R8))</f>
        <v>Revisión de Gráfico en cascada: por desvío y desagregación por categorías.</v>
      </c>
      <c r="D8" s="204" t="str">
        <f>IF($R8="","",INDEX('_Datos'!$AO$7:$AO$200,$R8))</f>
        <v>Semanal</v>
      </c>
      <c r="E8" s="204" t="str">
        <f>IF($S8="","","S"&amp;$S8)</f>
        <v>S1</v>
      </c>
      <c r="F8" s="204" t="str">
        <f>IF($Q8="","",IF($U8,"● VIGENTE","Cerrado"))</f>
        <v>● VIGENTE</v>
      </c>
      <c r="G8" s="205" t="str">
        <f>IF($Q8="","",IF($U8,INDEX('_Datos'!$AT$7:$AT$200,$R8),"→ pasó a S"&amp;($S8+1)))</f>
        <v>Casi lista</v>
      </c>
      <c r="H8" s="208">
        <f>IF($Q8="","",IF($U8,INDEX('_Datos'!$I$7:$I$200,$R8),""))</f>
        <v>0.75</v>
      </c>
      <c r="I8" s="207">
        <f>IF($Q8="","",IF($U8,IF(ISNUMBER(INDEX('Backlog General'!$O$7:$O$200,$R8)),INDEX('Backlog General'!$O$7:$O$200,$R8),""),""))</f>
      </c>
      <c r="L8" s="202">
        <f>IF(1&lt;SUM('_Datos'!$BN$7:$BN$200),SUMPRODUCT(('_Datos'!$BO$7:$BO$200&lt;=1)*(('_Datos'!$BO$7:$BO$200+'_Datos'!$BN$7:$BN$200)&gt;1)*('_Datos'!$BN$7:$BN$200&gt;0)*'_Datos'!$A$7:$A$200),"")</f>
        <v>10</v>
      </c>
      <c r="M8" s="202">
        <f>IF($L8="","",$L8-6)</f>
        <v>4</v>
      </c>
      <c r="N8" s="202">
        <f>IF($M8="","",INDEX('_Datos'!$AR$7:$AR$200,$M8)+(1-INDEX('_Datos'!$BO$7:$BO$200,$M8)))</f>
        <v>1</v>
      </c>
      <c r="O8" s="202">
        <f>IF($M8="","",INDEX('_Datos'!$AQ$7:$AQ$200,$M8)+$N8*INDEX('_Datos'!$AP$7:$AP$200,$M8)*'Sprints'!$D$5-'Sprints'!$D$5)</f>
        <v>46199</v>
      </c>
      <c r="P8" s="202">
        <f>IF($M8="","",$O8*100000+1)</f>
        <v>4619900001</v>
      </c>
      <c r="Q8" s="202">
        <f>IFERROR(MATCH(SMALL($P$7:$P116,1+1),$P$7:$P116,0),"")</f>
        <v>10</v>
      </c>
      <c r="R8" s="202">
        <f>IF($Q8="","",INDEX($M$7:$M116,$Q8))</f>
        <v>18</v>
      </c>
      <c r="S8" s="202">
        <f>IF($Q8="","",INDEX($N$7:$N116,$Q8))</f>
        <v>1</v>
      </c>
      <c r="T8" s="202">
        <f>IF($Q8="","",INDEX($O$7:$O116,$Q8))</f>
        <v>46192</v>
      </c>
      <c r="U8" s="202" t="b">
        <f>IF($R8="","",$S8=INDEX('_Datos'!$AV$7:$AV$200,$R8))</f>
        <v>1</v>
      </c>
    </row>
    <row r="9">
      <c r="B9" s="207">
        <f>IF($Q9="","",$T9)</f>
        <v>46192</v>
      </c>
      <c r="C9" s="205" t="str">
        <f>IF($R9="","",INDEX('_Datos'!$F$7:$F$200,$R9))</f>
        <v>Revisión de viabilidad de incorporación datos Redash (input ZReal con clasificaciones automaticas por CECO - Directas e Indirectas)</v>
      </c>
      <c r="D9" s="204" t="str">
        <f>IF($R9="","",INDEX('_Datos'!$AO$7:$AO$200,$R9))</f>
        <v>Semanal</v>
      </c>
      <c r="E9" s="204" t="str">
        <f>IF($S9="","","S"&amp;$S9)</f>
        <v>S1</v>
      </c>
      <c r="F9" s="204" t="str">
        <f>IF($Q9="","",IF($U9,"● VIGENTE","Cerrado"))</f>
        <v>● VIGENTE</v>
      </c>
      <c r="G9" s="205" t="str">
        <f>IF($Q9="","",IF($U9,INDEX('_Datos'!$AT$7:$AT$200,$R9),"→ pasó a S"&amp;($S9+1)))</f>
        <v>Casi lista</v>
      </c>
      <c r="H9" s="208">
        <f>IF($Q9="","",IF($U9,INDEX('_Datos'!$I$7:$I$200,$R9),""))</f>
        <v>0.75</v>
      </c>
      <c r="I9" s="207">
        <f>IF($Q9="","",IF($U9,IF(ISNUMBER(INDEX('Backlog General'!$O$7:$O$200,$R9)),INDEX('Backlog General'!$O$7:$O$200,$R9),""),""))</f>
      </c>
      <c r="L9" s="202">
        <f>IF(2&lt;SUM('_Datos'!$BN$7:$BN$200),SUMPRODUCT(('_Datos'!$BO$7:$BO$200&lt;=2)*(('_Datos'!$BO$7:$BO$200+'_Datos'!$BN$7:$BN$200)&gt;2)*('_Datos'!$BN$7:$BN$200&gt;0)*'_Datos'!$A$7:$A$200),"")</f>
        <v>11</v>
      </c>
      <c r="M9" s="202">
        <f>IF($L9="","",$L9-6)</f>
        <v>5</v>
      </c>
      <c r="N9" s="202">
        <f>IF($M9="","",INDEX('_Datos'!$AR$7:$AR$200,$M9)+(2-INDEX('_Datos'!$BO$7:$BO$200,$M9)))</f>
        <v>1</v>
      </c>
      <c r="O9" s="202">
        <f>IF($M9="","",INDEX('_Datos'!$AQ$7:$AQ$200,$M9)+$N9*INDEX('_Datos'!$AP$7:$AP$200,$M9)*'Sprints'!$D$5-'Sprints'!$D$5)</f>
        <v>46199</v>
      </c>
      <c r="P9" s="202">
        <f>IF($M9="","",$O9*100000+2)</f>
        <v>4619900002</v>
      </c>
      <c r="Q9" s="202">
        <f>IFERROR(MATCH(SMALL($P$7:$P116,2+1),$P$7:$P116,0),"")</f>
        <v>11</v>
      </c>
      <c r="R9" s="202">
        <f>IF($Q9="","",INDEX($M$7:$M116,$Q9))</f>
        <v>19</v>
      </c>
      <c r="S9" s="202">
        <f>IF($Q9="","",INDEX($N$7:$N116,$Q9))</f>
        <v>1</v>
      </c>
      <c r="T9" s="202">
        <f>IF($Q9="","",INDEX($O$7:$O116,$Q9))</f>
        <v>46192</v>
      </c>
      <c r="U9" s="202" t="b">
        <f>IF($R9="","",$S9=INDEX('_Datos'!$AV$7:$AV$200,$R9))</f>
        <v>1</v>
      </c>
    </row>
    <row r="10">
      <c r="B10" s="207">
        <f>IF($Q10="","",$T10)</f>
        <v>46192</v>
      </c>
      <c r="C10" s="205" t="str">
        <f>IF($R10="","",INDEX('_Datos'!$F$7:$F$200,$R10))</f>
        <v>Procedimiento</v>
      </c>
      <c r="D10" s="204" t="str">
        <f>IF($R10="","",INDEX('_Datos'!$AO$7:$AO$200,$R10))</f>
        <v>Semanal</v>
      </c>
      <c r="E10" s="204" t="str">
        <f>IF($S10="","","S"&amp;$S10)</f>
        <v>S1</v>
      </c>
      <c r="F10" s="204" t="str">
        <f>IF($Q10="","",IF($U10,"● VIGENTE","Cerrado"))</f>
        <v>● VIGENTE</v>
      </c>
      <c r="G10" s="205" t="str">
        <f>IF($Q10="","",IF($U10,INDEX('_Datos'!$AT$7:$AT$200,$R10),"→ pasó a S"&amp;($S10+1)))</f>
        <v>Casi lista</v>
      </c>
      <c r="H10" s="208">
        <f>IF($Q10="","",IF($U10,INDEX('_Datos'!$I$7:$I$200,$R10),""))</f>
        <v>0.75</v>
      </c>
      <c r="I10" s="207">
        <f>IF($Q10="","",IF($U10,IF(ISNUMBER(INDEX('Backlog General'!$O$7:$O$200,$R10)),INDEX('Backlog General'!$O$7:$O$200,$R10),""),""))</f>
      </c>
      <c r="L10" s="202">
        <f>IF(3&lt;SUM('_Datos'!$BN$7:$BN$200),SUMPRODUCT(('_Datos'!$BO$7:$BO$200&lt;=3)*(('_Datos'!$BO$7:$BO$200+'_Datos'!$BN$7:$BN$200)&gt;3)*('_Datos'!$BN$7:$BN$200&gt;0)*'_Datos'!$A$7:$A$200),"")</f>
        <v>12</v>
      </c>
      <c r="M10" s="202">
        <f>IF($L10="","",$L10-6)</f>
        <v>6</v>
      </c>
      <c r="N10" s="202">
        <f>IF($M10="","",INDEX('_Datos'!$AR$7:$AR$200,$M10)+(3-INDEX('_Datos'!$BO$7:$BO$200,$M10)))</f>
        <v>1</v>
      </c>
      <c r="O10" s="202">
        <f>IF($M10="","",INDEX('_Datos'!$AQ$7:$AQ$200,$M10)+$N10*INDEX('_Datos'!$AP$7:$AP$200,$M10)*'Sprints'!$D$5-'Sprints'!$D$5)</f>
        <v>46199</v>
      </c>
      <c r="P10" s="202">
        <f>IF($M10="","",$O10*100000+3)</f>
        <v>4619900003</v>
      </c>
      <c r="Q10" s="202">
        <f>IFERROR(MATCH(SMALL($P$7:$P116,3+1),$P$7:$P116,0),"")</f>
        <v>12</v>
      </c>
      <c r="R10" s="202">
        <f>IF($Q10="","",INDEX($M$7:$M116,$Q10))</f>
        <v>22</v>
      </c>
      <c r="S10" s="202">
        <f>IF($Q10="","",INDEX($N$7:$N116,$Q10))</f>
        <v>1</v>
      </c>
      <c r="T10" s="202">
        <f>IF($Q10="","",INDEX($O$7:$O116,$Q10))</f>
        <v>46192</v>
      </c>
      <c r="U10" s="202" t="b">
        <f>IF($R10="","",$S10=INDEX('_Datos'!$AV$7:$AV$200,$R10))</f>
        <v>1</v>
      </c>
    </row>
    <row r="11">
      <c r="B11" s="207">
        <f>IF($Q11="","",$T11)</f>
        <v>46192</v>
      </c>
      <c r="C11" s="205" t="str">
        <f>IF($R11="","",INDEX('_Datos'!$F$7:$F$200,$R11))</f>
        <v>Aging - desde SharePoint</v>
      </c>
      <c r="D11" s="204" t="str">
        <f>IF($R11="","",INDEX('_Datos'!$AO$7:$AO$200,$R11))</f>
        <v>Semanal</v>
      </c>
      <c r="E11" s="204" t="str">
        <f>IF($S11="","","S"&amp;$S11)</f>
        <v>S1</v>
      </c>
      <c r="F11" s="204" t="str">
        <f>IF($Q11="","",IF($U11,"● VIGENTE","Cerrado"))</f>
        <v>● VIGENTE</v>
      </c>
      <c r="G11" s="205" t="str">
        <f>IF($Q11="","",IF($U11,INDEX('_Datos'!$AT$7:$AT$200,$R11),"→ pasó a S"&amp;($S11+1)))</f>
        <v>Casi lista</v>
      </c>
      <c r="H11" s="208">
        <f>IF($Q11="","",IF($U11,INDEX('_Datos'!$I$7:$I$200,$R11),""))</f>
        <v>0.75</v>
      </c>
      <c r="I11" s="207">
        <f>IF($Q11="","",IF($U11,IF(ISNUMBER(INDEX('Backlog General'!$O$7:$O$200,$R11)),INDEX('Backlog General'!$O$7:$O$200,$R11),""),""))</f>
      </c>
      <c r="L11" s="202">
        <f>IF(4&lt;SUM('_Datos'!$BN$7:$BN$200),SUMPRODUCT(('_Datos'!$BO$7:$BO$200&lt;=4)*(('_Datos'!$BO$7:$BO$200+'_Datos'!$BN$7:$BN$200)&gt;4)*('_Datos'!$BN$7:$BN$200&gt;0)*'_Datos'!$A$7:$A$200),"")</f>
        <v>13</v>
      </c>
      <c r="M11" s="202">
        <f>IF($L11="","",$L11-6)</f>
        <v>7</v>
      </c>
      <c r="N11" s="202">
        <f>IF($M11="","",INDEX('_Datos'!$AR$7:$AR$200,$M11)+(4-INDEX('_Datos'!$BO$7:$BO$200,$M11)))</f>
        <v>1</v>
      </c>
      <c r="O11" s="202">
        <f>IF($M11="","",INDEX('_Datos'!$AQ$7:$AQ$200,$M11)+$N11*INDEX('_Datos'!$AP$7:$AP$200,$M11)*'Sprints'!$D$5-'Sprints'!$D$5)</f>
        <v>46199</v>
      </c>
      <c r="P11" s="202">
        <f>IF($M11="","",$O11*100000+4)</f>
        <v>4619900004</v>
      </c>
      <c r="Q11" s="202">
        <f>IFERROR(MATCH(SMALL($P$7:$P116,4+1),$P$7:$P116,0),"")</f>
        <v>13</v>
      </c>
      <c r="R11" s="202">
        <f>IF($Q11="","",INDEX($M$7:$M116,$Q11))</f>
        <v>23</v>
      </c>
      <c r="S11" s="202">
        <f>IF($Q11="","",INDEX($N$7:$N116,$Q11))</f>
        <v>1</v>
      </c>
      <c r="T11" s="202">
        <f>IF($Q11="","",INDEX($O$7:$O116,$Q11))</f>
        <v>46192</v>
      </c>
      <c r="U11" s="202" t="b">
        <f>IF($R11="","",$S11=INDEX('_Datos'!$AV$7:$AV$200,$R11))</f>
        <v>1</v>
      </c>
    </row>
    <row r="12">
      <c r="B12" s="207">
        <f>IF($Q12="","",$T12)</f>
        <v>46192</v>
      </c>
      <c r="C12" s="205" t="str">
        <f>IF($R12="","",INDEX('_Datos'!$F$7:$F$200,$R12))</f>
        <v>Dias en Calle - desde SharePoint</v>
      </c>
      <c r="D12" s="204" t="str">
        <f>IF($R12="","",INDEX('_Datos'!$AO$7:$AO$200,$R12))</f>
        <v>Semanal</v>
      </c>
      <c r="E12" s="204" t="str">
        <f>IF($S12="","","S"&amp;$S12)</f>
        <v>S1</v>
      </c>
      <c r="F12" s="204" t="str">
        <f>IF($Q12="","",IF($U12,"● VIGENTE","Cerrado"))</f>
        <v>● VIGENTE</v>
      </c>
      <c r="G12" s="205" t="str">
        <f>IF($Q12="","",IF($U12,INDEX('_Datos'!$AT$7:$AT$200,$R12),"→ pasó a S"&amp;($S12+1)))</f>
        <v>Casi lista</v>
      </c>
      <c r="H12" s="208">
        <f>IF($Q12="","",IF($U12,INDEX('_Datos'!$I$7:$I$200,$R12),""))</f>
        <v>0.75</v>
      </c>
      <c r="I12" s="207">
        <f>IF($Q12="","",IF($U12,IF(ISNUMBER(INDEX('Backlog General'!$O$7:$O$200,$R12)),INDEX('Backlog General'!$O$7:$O$200,$R12),""),""))</f>
      </c>
      <c r="L12" s="202">
        <f>IF(5&lt;SUM('_Datos'!$BN$7:$BN$200),SUMPRODUCT(('_Datos'!$BO$7:$BO$200&lt;=5)*(('_Datos'!$BO$7:$BO$200+'_Datos'!$BN$7:$BN$200)&gt;5)*('_Datos'!$BN$7:$BN$200&gt;0)*'_Datos'!$A$7:$A$200),"")</f>
        <v>15</v>
      </c>
      <c r="M12" s="202">
        <f>IF($L12="","",$L12-6)</f>
        <v>9</v>
      </c>
      <c r="N12" s="202">
        <f>IF($M12="","",INDEX('_Datos'!$AR$7:$AR$200,$M12)+(5-INDEX('_Datos'!$BO$7:$BO$200,$M12)))</f>
        <v>1</v>
      </c>
      <c r="O12" s="202">
        <f>IF($M12="","",INDEX('_Datos'!$AQ$7:$AQ$200,$M12)+$N12*INDEX('_Datos'!$AP$7:$AP$200,$M12)*'Sprints'!$D$5-'Sprints'!$D$5)</f>
        <v>46199</v>
      </c>
      <c r="P12" s="202">
        <f>IF($M12="","",$O12*100000+5)</f>
        <v>4619900005</v>
      </c>
      <c r="Q12" s="202">
        <f>IFERROR(MATCH(SMALL($P$7:$P116,5+1),$P$7:$P116,0),"")</f>
        <v>14</v>
      </c>
      <c r="R12" s="202">
        <f>IF($Q12="","",INDEX($M$7:$M116,$Q12))</f>
        <v>24</v>
      </c>
      <c r="S12" s="202">
        <f>IF($Q12="","",INDEX($N$7:$N116,$Q12))</f>
        <v>1</v>
      </c>
      <c r="T12" s="202">
        <f>IF($Q12="","",INDEX($O$7:$O116,$Q12))</f>
        <v>46192</v>
      </c>
      <c r="U12" s="202" t="b">
        <f>IF($R12="","",$S12=INDEX('_Datos'!$AV$7:$AV$200,$R12))</f>
        <v>1</v>
      </c>
    </row>
    <row r="13">
      <c r="B13" s="207">
        <f>IF($Q13="","",$T13)</f>
        <v>46192</v>
      </c>
      <c r="C13" s="205" t="str">
        <f>IF($R13="","",INDEX('_Datos'!$F$7:$F$200,$R13))</f>
        <v>Input de datos desde Provisión mensual</v>
      </c>
      <c r="D13" s="204" t="str">
        <f>IF($R13="","",INDEX('_Datos'!$AO$7:$AO$200,$R13))</f>
        <v>Semanal</v>
      </c>
      <c r="E13" s="204" t="str">
        <f>IF($S13="","","S"&amp;$S13)</f>
        <v>S1</v>
      </c>
      <c r="F13" s="204" t="str">
        <f>IF($Q13="","",IF($U13,"● VIGENTE","Cerrado"))</f>
        <v>● VIGENTE</v>
      </c>
      <c r="G13" s="205" t="str">
        <f>IF($Q13="","",IF($U13,INDEX('_Datos'!$AT$7:$AT$200,$R13),"→ pasó a S"&amp;($S13+1)))</f>
        <v>Casi lista</v>
      </c>
      <c r="H13" s="208">
        <f>IF($Q13="","",IF($U13,INDEX('_Datos'!$I$7:$I$200,$R13),""))</f>
        <v>0.75</v>
      </c>
      <c r="I13" s="207">
        <f>IF($Q13="","",IF($U13,IF(ISNUMBER(INDEX('Backlog General'!$O$7:$O$200,$R13)),INDEX('Backlog General'!$O$7:$O$200,$R13),""),""))</f>
      </c>
      <c r="L13" s="202">
        <f>IF(6&lt;SUM('_Datos'!$BN$7:$BN$200),SUMPRODUCT(('_Datos'!$BO$7:$BO$200&lt;=6)*(('_Datos'!$BO$7:$BO$200+'_Datos'!$BN$7:$BN$200)&gt;6)*('_Datos'!$BN$7:$BN$200&gt;0)*'_Datos'!$A$7:$A$200),"")</f>
        <v>16</v>
      </c>
      <c r="M13" s="202">
        <f>IF($L13="","",$L13-6)</f>
        <v>10</v>
      </c>
      <c r="N13" s="202">
        <f>IF($M13="","",INDEX('_Datos'!$AR$7:$AR$200,$M13)+(6-INDEX('_Datos'!$BO$7:$BO$200,$M13)))</f>
        <v>1</v>
      </c>
      <c r="O13" s="202">
        <f>IF($M13="","",INDEX('_Datos'!$AQ$7:$AQ$200,$M13)+$N13*INDEX('_Datos'!$AP$7:$AP$200,$M13)*'Sprints'!$D$5-'Sprints'!$D$5)</f>
        <v>46199</v>
      </c>
      <c r="P13" s="202">
        <f>IF($M13="","",$O13*100000+6)</f>
        <v>4619900006</v>
      </c>
      <c r="Q13" s="202">
        <f>IFERROR(MATCH(SMALL($P$7:$P116,6+1),$P$7:$P116,0),"")</f>
        <v>15</v>
      </c>
      <c r="R13" s="202">
        <f>IF($Q13="","",INDEX($M$7:$M116,$Q13))</f>
        <v>25</v>
      </c>
      <c r="S13" s="202">
        <f>IF($Q13="","",INDEX($N$7:$N116,$Q13))</f>
        <v>1</v>
      </c>
      <c r="T13" s="202">
        <f>IF($Q13="","",INDEX($O$7:$O116,$Q13))</f>
        <v>46192</v>
      </c>
      <c r="U13" s="202" t="b">
        <f>IF($R13="","",$S13=INDEX('_Datos'!$AV$7:$AV$200,$R13))</f>
        <v>1</v>
      </c>
    </row>
    <row r="14">
      <c r="B14" s="207">
        <f>IF($Q14="","",$T14)</f>
        <v>46192</v>
      </c>
      <c r="C14" s="205" t="str">
        <f>IF($R14="","",INDEX('_Datos'!$F$7:$F$200,$R14))</f>
        <v>Planilla Activos Unificados - Estandarizar + Procedimiento</v>
      </c>
      <c r="D14" s="204" t="str">
        <f>IF($R14="","",INDEX('_Datos'!$AO$7:$AO$200,$R14))</f>
        <v>Semanal</v>
      </c>
      <c r="E14" s="204" t="str">
        <f>IF($S14="","","S"&amp;$S14)</f>
        <v>S1</v>
      </c>
      <c r="F14" s="204" t="str">
        <f>IF($Q14="","",IF($U14,"● VIGENTE","Cerrado"))</f>
        <v>● VIGENTE</v>
      </c>
      <c r="G14" s="205" t="str">
        <f>IF($Q14="","",IF($U14,INDEX('_Datos'!$AT$7:$AT$200,$R14),"→ pasó a S"&amp;($S14+1)))</f>
        <v>Pendiente</v>
      </c>
      <c r="H14" s="208">
        <f>IF($Q14="","",IF($U14,INDEX('_Datos'!$I$7:$I$200,$R14),""))</f>
        <v>0</v>
      </c>
      <c r="I14" s="207">
        <f>IF($Q14="","",IF($U14,IF(ISNUMBER(INDEX('Backlog General'!$O$7:$O$200,$R14)),INDEX('Backlog General'!$O$7:$O$200,$R14),""),""))</f>
      </c>
      <c r="L14" s="202">
        <f>IF(7&lt;SUM('_Datos'!$BN$7:$BN$200),SUMPRODUCT(('_Datos'!$BO$7:$BO$200&lt;=7)*(('_Datos'!$BO$7:$BO$200+'_Datos'!$BN$7:$BN$200)&gt;7)*('_Datos'!$BN$7:$BN$200&gt;0)*'_Datos'!$A$7:$A$200),"")</f>
        <v>19</v>
      </c>
      <c r="M14" s="202">
        <f>IF($L14="","",$L14-6)</f>
        <v>13</v>
      </c>
      <c r="N14" s="202">
        <f>IF($M14="","",INDEX('_Datos'!$AR$7:$AR$200,$M14)+(7-INDEX('_Datos'!$BO$7:$BO$200,$M14)))</f>
        <v>1</v>
      </c>
      <c r="O14" s="202">
        <f>IF($M14="","",INDEX('_Datos'!$AQ$7:$AQ$200,$M14)+$N14*INDEX('_Datos'!$AP$7:$AP$200,$M14)*'Sprints'!$D$5-'Sprints'!$D$5)</f>
        <v>46199</v>
      </c>
      <c r="P14" s="202">
        <f>IF($M14="","",$O14*100000+7)</f>
        <v>4619900007</v>
      </c>
      <c r="Q14" s="202">
        <f>IFERROR(MATCH(SMALL($P$7:$P116,7+1),$P$7:$P116,0),"")</f>
        <v>16</v>
      </c>
      <c r="R14" s="202">
        <f>IF($Q14="","",INDEX($M$7:$M116,$Q14))</f>
        <v>31</v>
      </c>
      <c r="S14" s="202">
        <f>IF($Q14="","",INDEX($N$7:$N116,$Q14))</f>
        <v>1</v>
      </c>
      <c r="T14" s="202">
        <f>IF($Q14="","",INDEX($O$7:$O116,$Q14))</f>
        <v>46192</v>
      </c>
      <c r="U14" s="202" t="b">
        <f>IF($R14="","",$S14=INDEX('_Datos'!$AV$7:$AV$200,$R14))</f>
        <v>1</v>
      </c>
    </row>
    <row r="15">
      <c r="B15" s="207">
        <f>IF($Q15="","",$T15)</f>
        <v>46192</v>
      </c>
      <c r="C15" s="205" t="str">
        <f>IF($R15="","",INDEX('_Datos'!$F$7:$F$200,$R15))</f>
        <v>Planilla DTM Estandarizada+ Procedimiento</v>
      </c>
      <c r="D15" s="204" t="str">
        <f>IF($R15="","",INDEX('_Datos'!$AO$7:$AO$200,$R15))</f>
        <v>Semanal</v>
      </c>
      <c r="E15" s="204" t="str">
        <f>IF($S15="","","S"&amp;$S15)</f>
        <v>S1</v>
      </c>
      <c r="F15" s="204" t="str">
        <f>IF($Q15="","",IF($U15,"● VIGENTE","Cerrado"))</f>
        <v>● VIGENTE</v>
      </c>
      <c r="G15" s="205" t="str">
        <f>IF($Q15="","",IF($U15,INDEX('_Datos'!$AT$7:$AT$200,$R15),"→ pasó a S"&amp;($S15+1)))</f>
        <v>Casi lista</v>
      </c>
      <c r="H15" s="208">
        <f>IF($Q15="","",IF($U15,INDEX('_Datos'!$I$7:$I$200,$R15),""))</f>
        <v>0.75</v>
      </c>
      <c r="I15" s="207">
        <f>IF($Q15="","",IF($U15,IF(ISNUMBER(INDEX('Backlog General'!$O$7:$O$200,$R15)),INDEX('Backlog General'!$O$7:$O$200,$R15),""),""))</f>
      </c>
      <c r="L15" s="202">
        <f>IF(8&lt;SUM('_Datos'!$BN$7:$BN$200),SUMPRODUCT(('_Datos'!$BO$7:$BO$200&lt;=8)*(('_Datos'!$BO$7:$BO$200+'_Datos'!$BN$7:$BN$200)&gt;8)*('_Datos'!$BN$7:$BN$200&gt;0)*'_Datos'!$A$7:$A$200),"")</f>
        <v>23</v>
      </c>
      <c r="M15" s="202">
        <f>IF($L15="","",$L15-6)</f>
        <v>17</v>
      </c>
      <c r="N15" s="202">
        <f>IF($M15="","",INDEX('_Datos'!$AR$7:$AR$200,$M15)+(8-INDEX('_Datos'!$BO$7:$BO$200,$M15)))</f>
        <v>1</v>
      </c>
      <c r="O15" s="202">
        <f>IF($M15="","",INDEX('_Datos'!$AQ$7:$AQ$200,$M15)+$N15*INDEX('_Datos'!$AP$7:$AP$200,$M15)*'Sprints'!$D$5-'Sprints'!$D$5)</f>
        <v>46192</v>
      </c>
      <c r="P15" s="202">
        <f>IF($M15="","",$O15*100000+8)</f>
        <v>4619200008</v>
      </c>
      <c r="Q15" s="202">
        <f>IFERROR(MATCH(SMALL($P$7:$P116,8+1),$P$7:$P116,0),"")</f>
        <v>17</v>
      </c>
      <c r="R15" s="202">
        <f>IF($Q15="","",INDEX($M$7:$M116,$Q15))</f>
        <v>32</v>
      </c>
      <c r="S15" s="202">
        <f>IF($Q15="","",INDEX($N$7:$N116,$Q15))</f>
        <v>1</v>
      </c>
      <c r="T15" s="202">
        <f>IF($Q15="","",INDEX($O$7:$O116,$Q15))</f>
        <v>46192</v>
      </c>
      <c r="U15" s="202" t="b">
        <f>IF($R15="","",$S15=INDEX('_Datos'!$AV$7:$AV$200,$R15))</f>
        <v>1</v>
      </c>
    </row>
    <row r="16">
      <c r="B16" s="207">
        <f>IF($Q16="","",$T16)</f>
        <v>46192</v>
      </c>
      <c r="C16" s="205" t="str">
        <f>IF($R16="","",INDEX('_Datos'!$F$7:$F$200,$R16))</f>
        <v>Planilla Aeroevaciaciones + Procedimiento</v>
      </c>
      <c r="D16" s="204" t="str">
        <f>IF($R16="","",INDEX('_Datos'!$AO$7:$AO$200,$R16))</f>
        <v>Semanal</v>
      </c>
      <c r="E16" s="204" t="str">
        <f>IF($S16="","","S"&amp;$S16)</f>
        <v>S1</v>
      </c>
      <c r="F16" s="204" t="str">
        <f>IF($Q16="","",IF($U16,"● VIGENTE","Cerrado"))</f>
        <v>● VIGENTE</v>
      </c>
      <c r="G16" s="205" t="str">
        <f>IF($Q16="","",IF($U16,INDEX('_Datos'!$AT$7:$AT$200,$R16),"→ pasó a S"&amp;($S16+1)))</f>
        <v>Casi lista</v>
      </c>
      <c r="H16" s="208">
        <f>IF($Q16="","",IF($U16,INDEX('_Datos'!$I$7:$I$200,$R16),""))</f>
        <v>0.75</v>
      </c>
      <c r="I16" s="207">
        <f>IF($Q16="","",IF($U16,IF(ISNUMBER(INDEX('Backlog General'!$O$7:$O$200,$R16)),INDEX('Backlog General'!$O$7:$O$200,$R16),""),""))</f>
      </c>
      <c r="L16" s="202">
        <f>IF(9&lt;SUM('_Datos'!$BN$7:$BN$200),SUMPRODUCT(('_Datos'!$BO$7:$BO$200&lt;=9)*(('_Datos'!$BO$7:$BO$200+'_Datos'!$BN$7:$BN$200)&gt;9)*('_Datos'!$BN$7:$BN$200&gt;0)*'_Datos'!$A$7:$A$200),"")</f>
        <v>24</v>
      </c>
      <c r="M16" s="202">
        <f>IF($L16="","",$L16-6)</f>
        <v>18</v>
      </c>
      <c r="N16" s="202">
        <f>IF($M16="","",INDEX('_Datos'!$AR$7:$AR$200,$M16)+(9-INDEX('_Datos'!$BO$7:$BO$200,$M16)))</f>
        <v>1</v>
      </c>
      <c r="O16" s="202">
        <f>IF($M16="","",INDEX('_Datos'!$AQ$7:$AQ$200,$M16)+$N16*INDEX('_Datos'!$AP$7:$AP$200,$M16)*'Sprints'!$D$5-'Sprints'!$D$5)</f>
        <v>46192</v>
      </c>
      <c r="P16" s="202">
        <f>IF($M16="","",$O16*100000+9)</f>
        <v>4619200009</v>
      </c>
      <c r="Q16" s="202">
        <f>IFERROR(MATCH(SMALL($P$7:$P116,9+1),$P$7:$P116,0),"")</f>
        <v>18</v>
      </c>
      <c r="R16" s="202">
        <f>IF($Q16="","",INDEX($M$7:$M116,$Q16))</f>
        <v>33</v>
      </c>
      <c r="S16" s="202">
        <f>IF($Q16="","",INDEX($N$7:$N116,$Q16))</f>
        <v>1</v>
      </c>
      <c r="T16" s="202">
        <f>IF($Q16="","",INDEX($O$7:$O116,$Q16))</f>
        <v>46192</v>
      </c>
      <c r="U16" s="202" t="b">
        <f>IF($R16="","",$S16=INDEX('_Datos'!$AV$7:$AV$200,$R16))</f>
        <v>1</v>
      </c>
    </row>
    <row r="17">
      <c r="B17" s="207">
        <f>IF($Q17="","",$T17)</f>
        <v>46192</v>
      </c>
      <c r="C17" s="205" t="str">
        <f>IF($R17="","",INDEX('_Datos'!$F$7:$F$200,$R17))</f>
        <v>Resumen Clientes Petróleo</v>
      </c>
      <c r="D17" s="204" t="str">
        <f>IF($R17="","",INDEX('_Datos'!$AO$7:$AO$200,$R17))</f>
        <v>Semanal</v>
      </c>
      <c r="E17" s="204" t="str">
        <f>IF($S17="","","S"&amp;$S17)</f>
        <v>S1</v>
      </c>
      <c r="F17" s="204" t="str">
        <f>IF($Q17="","",IF($U17,"● VIGENTE","Cerrado"))</f>
        <v>● VIGENTE</v>
      </c>
      <c r="G17" s="205" t="str">
        <f>IF($Q17="","",IF($U17,INDEX('_Datos'!$AT$7:$AT$200,$R17),"→ pasó a S"&amp;($S17+1)))</f>
        <v>En progreso</v>
      </c>
      <c r="H17" s="208">
        <f>IF($Q17="","",IF($U17,INDEX('_Datos'!$I$7:$I$200,$R17),""))</f>
        <v>0.5</v>
      </c>
      <c r="I17" s="207">
        <f>IF($Q17="","",IF($U17,IF(ISNUMBER(INDEX('Backlog General'!$O$7:$O$200,$R17)),INDEX('Backlog General'!$O$7:$O$200,$R17),""),""))</f>
      </c>
      <c r="L17" s="202">
        <f>IF(10&lt;SUM('_Datos'!$BN$7:$BN$200),SUMPRODUCT(('_Datos'!$BO$7:$BO$200&lt;=10)*(('_Datos'!$BO$7:$BO$200+'_Datos'!$BN$7:$BN$200)&gt;10)*('_Datos'!$BN$7:$BN$200&gt;0)*'_Datos'!$A$7:$A$200),"")</f>
        <v>25</v>
      </c>
      <c r="M17" s="202">
        <f>IF($L17="","",$L17-6)</f>
        <v>19</v>
      </c>
      <c r="N17" s="202">
        <f>IF($M17="","",INDEX('_Datos'!$AR$7:$AR$200,$M17)+(10-INDEX('_Datos'!$BO$7:$BO$200,$M17)))</f>
        <v>1</v>
      </c>
      <c r="O17" s="202">
        <f>IF($M17="","",INDEX('_Datos'!$AQ$7:$AQ$200,$M17)+$N17*INDEX('_Datos'!$AP$7:$AP$200,$M17)*'Sprints'!$D$5-'Sprints'!$D$5)</f>
        <v>46192</v>
      </c>
      <c r="P17" s="202">
        <f>IF($M17="","",$O17*100000+10)</f>
        <v>4619200010</v>
      </c>
      <c r="Q17" s="202">
        <f>IFERROR(MATCH(SMALL($P$7:$P116,10+1),$P$7:$P116,0),"")</f>
        <v>19</v>
      </c>
      <c r="R17" s="202">
        <f>IF($Q17="","",INDEX($M$7:$M116,$Q17))</f>
        <v>34</v>
      </c>
      <c r="S17" s="202">
        <f>IF($Q17="","",INDEX($N$7:$N116,$Q17))</f>
        <v>1</v>
      </c>
      <c r="T17" s="202">
        <f>IF($Q17="","",INDEX($O$7:$O116,$Q17))</f>
        <v>46192</v>
      </c>
      <c r="U17" s="202" t="b">
        <f>IF($R17="","",$S17=INDEX('_Datos'!$AV$7:$AV$200,$R17))</f>
        <v>1</v>
      </c>
    </row>
    <row r="18">
      <c r="B18" s="207">
        <f>IF($Q18="","",$T18)</f>
        <v>46192</v>
      </c>
      <c r="C18" s="205" t="str">
        <f>IF($R18="","",INDEX('_Datos'!$F$7:$F$200,$R18))</f>
        <v>Resumen Clientes Minería</v>
      </c>
      <c r="D18" s="204" t="str">
        <f>IF($R18="","",INDEX('_Datos'!$AO$7:$AO$200,$R18))</f>
        <v>Semanal</v>
      </c>
      <c r="E18" s="204" t="str">
        <f>IF($S18="","","S"&amp;$S18)</f>
        <v>S1</v>
      </c>
      <c r="F18" s="204" t="str">
        <f>IF($Q18="","",IF($U18,"● VIGENTE","Cerrado"))</f>
        <v>● VIGENTE</v>
      </c>
      <c r="G18" s="205" t="str">
        <f>IF($Q18="","",IF($U18,INDEX('_Datos'!$AT$7:$AT$200,$R18),"→ pasó a S"&amp;($S18+1)))</f>
        <v>En progreso</v>
      </c>
      <c r="H18" s="208">
        <f>IF($Q18="","",IF($U18,INDEX('_Datos'!$I$7:$I$200,$R18),""))</f>
        <v>0.5</v>
      </c>
      <c r="I18" s="207">
        <f>IF($Q18="","",IF($U18,IF(ISNUMBER(INDEX('Backlog General'!$O$7:$O$200,$R18)),INDEX('Backlog General'!$O$7:$O$200,$R18),""),""))</f>
      </c>
      <c r="L18" s="202">
        <f>IF(11&lt;SUM('_Datos'!$BN$7:$BN$200),SUMPRODUCT(('_Datos'!$BO$7:$BO$200&lt;=11)*(('_Datos'!$BO$7:$BO$200+'_Datos'!$BN$7:$BN$200)&gt;11)*('_Datos'!$BN$7:$BN$200&gt;0)*'_Datos'!$A$7:$A$200),"")</f>
        <v>28</v>
      </c>
      <c r="M18" s="202">
        <f>IF($L18="","",$L18-6)</f>
        <v>22</v>
      </c>
      <c r="N18" s="202">
        <f>IF($M18="","",INDEX('_Datos'!$AR$7:$AR$200,$M18)+(11-INDEX('_Datos'!$BO$7:$BO$200,$M18)))</f>
        <v>1</v>
      </c>
      <c r="O18" s="202">
        <f>IF($M18="","",INDEX('_Datos'!$AQ$7:$AQ$200,$M18)+$N18*INDEX('_Datos'!$AP$7:$AP$200,$M18)*'Sprints'!$D$5-'Sprints'!$D$5)</f>
        <v>46192</v>
      </c>
      <c r="P18" s="202">
        <f>IF($M18="","",$O18*100000+11)</f>
        <v>4619200011</v>
      </c>
      <c r="Q18" s="202">
        <f>IFERROR(MATCH(SMALL($P$7:$P116,11+1),$P$7:$P116,0),"")</f>
        <v>20</v>
      </c>
      <c r="R18" s="202">
        <f>IF($Q18="","",INDEX($M$7:$M116,$Q18))</f>
        <v>35</v>
      </c>
      <c r="S18" s="202">
        <f>IF($Q18="","",INDEX($N$7:$N116,$Q18))</f>
        <v>1</v>
      </c>
      <c r="T18" s="202">
        <f>IF($Q18="","",INDEX($O$7:$O116,$Q18))</f>
        <v>46192</v>
      </c>
      <c r="U18" s="202" t="b">
        <f>IF($R18="","",$S18=INDEX('_Datos'!$AV$7:$AV$200,$R18))</f>
        <v>1</v>
      </c>
    </row>
    <row r="19">
      <c r="B19" s="207">
        <f>IF($Q19="","",$T19)</f>
        <v>46192</v>
      </c>
      <c r="C19" s="205" t="str">
        <f>IF($R19="","",INDEX('_Datos'!$F$7:$F$200,$R19))</f>
        <v>Resumen Clientes Op. Dedicadas</v>
      </c>
      <c r="D19" s="204" t="str">
        <f>IF($R19="","",INDEX('_Datos'!$AO$7:$AO$200,$R19))</f>
        <v>Semanal</v>
      </c>
      <c r="E19" s="204" t="str">
        <f>IF($S19="","","S"&amp;$S19)</f>
        <v>S1</v>
      </c>
      <c r="F19" s="204" t="str">
        <f>IF($Q19="","",IF($U19,"● VIGENTE","Cerrado"))</f>
        <v>● VIGENTE</v>
      </c>
      <c r="G19" s="205" t="str">
        <f>IF($Q19="","",IF($U19,INDEX('_Datos'!$AT$7:$AT$200,$R19),"→ pasó a S"&amp;($S19+1)))</f>
        <v>Iniciada</v>
      </c>
      <c r="H19" s="208">
        <f>IF($Q19="","",IF($U19,INDEX('_Datos'!$I$7:$I$200,$R19),""))</f>
        <v>0.25</v>
      </c>
      <c r="I19" s="207">
        <f>IF($Q19="","",IF($U19,IF(ISNUMBER(INDEX('Backlog General'!$O$7:$O$200,$R19)),INDEX('Backlog General'!$O$7:$O$200,$R19),""),""))</f>
      </c>
      <c r="L19" s="202">
        <f>IF(12&lt;SUM('_Datos'!$BN$7:$BN$200),SUMPRODUCT(('_Datos'!$BO$7:$BO$200&lt;=12)*(('_Datos'!$BO$7:$BO$200+'_Datos'!$BN$7:$BN$200)&gt;12)*('_Datos'!$BN$7:$BN$200&gt;0)*'_Datos'!$A$7:$A$200),"")</f>
        <v>29</v>
      </c>
      <c r="M19" s="202">
        <f>IF($L19="","",$L19-6)</f>
        <v>23</v>
      </c>
      <c r="N19" s="202">
        <f>IF($M19="","",INDEX('_Datos'!$AR$7:$AR$200,$M19)+(12-INDEX('_Datos'!$BO$7:$BO$200,$M19)))</f>
        <v>1</v>
      </c>
      <c r="O19" s="202">
        <f>IF($M19="","",INDEX('_Datos'!$AQ$7:$AQ$200,$M19)+$N19*INDEX('_Datos'!$AP$7:$AP$200,$M19)*'Sprints'!$D$5-'Sprints'!$D$5)</f>
        <v>46192</v>
      </c>
      <c r="P19" s="202">
        <f>IF($M19="","",$O19*100000+12)</f>
        <v>4619200012</v>
      </c>
      <c r="Q19" s="202">
        <f>IFERROR(MATCH(SMALL($P$7:$P116,12+1),$P$7:$P116,0),"")</f>
        <v>21</v>
      </c>
      <c r="R19" s="202">
        <f>IF($Q19="","",INDEX($M$7:$M116,$Q19))</f>
        <v>36</v>
      </c>
      <c r="S19" s="202">
        <f>IF($Q19="","",INDEX($N$7:$N116,$Q19))</f>
        <v>1</v>
      </c>
      <c r="T19" s="202">
        <f>IF($Q19="","",INDEX($O$7:$O116,$Q19))</f>
        <v>46192</v>
      </c>
      <c r="U19" s="202" t="b">
        <f>IF($R19="","",$S19=INDEX('_Datos'!$AV$7:$AV$200,$R19))</f>
        <v>1</v>
      </c>
    </row>
    <row r="20">
      <c r="B20" s="207">
        <f>IF($Q20="","",$T20)</f>
        <v>46192</v>
      </c>
      <c r="C20" s="205" t="str">
        <f>IF($R20="","",INDEX('_Datos'!$F$7:$F$200,$R20))</f>
        <v>Detalle Responsables (Comerciales + Analistas)</v>
      </c>
      <c r="D20" s="204" t="str">
        <f>IF($R20="","",INDEX('_Datos'!$AO$7:$AO$200,$R20))</f>
        <v>Semanal</v>
      </c>
      <c r="E20" s="204" t="str">
        <f>IF($S20="","","S"&amp;$S20)</f>
        <v>S1</v>
      </c>
      <c r="F20" s="204" t="str">
        <f>IF($Q20="","",IF($U20,"● VIGENTE","Cerrado"))</f>
        <v>● VIGENTE</v>
      </c>
      <c r="G20" s="205" t="str">
        <f>IF($Q20="","",IF($U20,INDEX('_Datos'!$AT$7:$AT$200,$R20),"→ pasó a S"&amp;($S20+1)))</f>
        <v>En progreso</v>
      </c>
      <c r="H20" s="208">
        <f>IF($Q20="","",IF($U20,INDEX('_Datos'!$I$7:$I$200,$R20),""))</f>
        <v>0.5</v>
      </c>
      <c r="I20" s="207">
        <f>IF($Q20="","",IF($U20,IF(ISNUMBER(INDEX('Backlog General'!$O$7:$O$200,$R20)),INDEX('Backlog General'!$O$7:$O$200,$R20),""),""))</f>
      </c>
      <c r="L20" s="202">
        <f>IF(13&lt;SUM('_Datos'!$BN$7:$BN$200),SUMPRODUCT(('_Datos'!$BO$7:$BO$200&lt;=13)*(('_Datos'!$BO$7:$BO$200+'_Datos'!$BN$7:$BN$200)&gt;13)*('_Datos'!$BN$7:$BN$200&gt;0)*'_Datos'!$A$7:$A$200),"")</f>
        <v>30</v>
      </c>
      <c r="M20" s="202">
        <f>IF($L20="","",$L20-6)</f>
        <v>24</v>
      </c>
      <c r="N20" s="202">
        <f>IF($M20="","",INDEX('_Datos'!$AR$7:$AR$200,$M20)+(13-INDEX('_Datos'!$BO$7:$BO$200,$M20)))</f>
        <v>1</v>
      </c>
      <c r="O20" s="202">
        <f>IF($M20="","",INDEX('_Datos'!$AQ$7:$AQ$200,$M20)+$N20*INDEX('_Datos'!$AP$7:$AP$200,$M20)*'Sprints'!$D$5-'Sprints'!$D$5)</f>
        <v>46192</v>
      </c>
      <c r="P20" s="202">
        <f>IF($M20="","",$O20*100000+13)</f>
        <v>4619200013</v>
      </c>
      <c r="Q20" s="202">
        <f>IFERROR(MATCH(SMALL($P$7:$P116,13+1),$P$7:$P116,0),"")</f>
        <v>22</v>
      </c>
      <c r="R20" s="202">
        <f>IF($Q20="","",INDEX($M$7:$M116,$Q20))</f>
        <v>40</v>
      </c>
      <c r="S20" s="202">
        <f>IF($Q20="","",INDEX($N$7:$N116,$Q20))</f>
        <v>1</v>
      </c>
      <c r="T20" s="202">
        <f>IF($Q20="","",INDEX($O$7:$O116,$Q20))</f>
        <v>46192</v>
      </c>
      <c r="U20" s="202" t="b">
        <f>IF($R20="","",$S20=INDEX('_Datos'!$AV$7:$AV$200,$R20))</f>
        <v>1</v>
      </c>
    </row>
    <row r="21">
      <c r="B21" s="207">
        <f>IF($Q21="","",$T21)</f>
        <v>46192</v>
      </c>
      <c r="C21" s="205" t="str">
        <f>IF($R21="","",INDEX('_Datos'!$F$7:$F$200,$R21))</f>
        <v>Armado de Dashboard + Diseño</v>
      </c>
      <c r="D21" s="204" t="str">
        <f>IF($R21="","",INDEX('_Datos'!$AO$7:$AO$200,$R21))</f>
        <v>Semanal</v>
      </c>
      <c r="E21" s="204" t="str">
        <f>IF($S21="","","S"&amp;$S21)</f>
        <v>S1</v>
      </c>
      <c r="F21" s="204" t="str">
        <f>IF($Q21="","",IF($U21,"● VIGENTE","Cerrado"))</f>
        <v>● VIGENTE</v>
      </c>
      <c r="G21" s="205" t="str">
        <f>IF($Q21="","",IF($U21,INDEX('_Datos'!$AT$7:$AT$200,$R21),"→ pasó a S"&amp;($S21+1)))</f>
        <v>En progreso</v>
      </c>
      <c r="H21" s="208">
        <f>IF($Q21="","",IF($U21,INDEX('_Datos'!$I$7:$I$200,$R21),""))</f>
        <v>0.5</v>
      </c>
      <c r="I21" s="207">
        <f>IF($Q21="","",IF($U21,IF(ISNUMBER(INDEX('Backlog General'!$O$7:$O$200,$R21)),INDEX('Backlog General'!$O$7:$O$200,$R21),""),""))</f>
      </c>
      <c r="L21" s="202">
        <f>IF(14&lt;SUM('_Datos'!$BN$7:$BN$200),SUMPRODUCT(('_Datos'!$BO$7:$BO$200&lt;=14)*(('_Datos'!$BO$7:$BO$200+'_Datos'!$BN$7:$BN$200)&gt;14)*('_Datos'!$BN$7:$BN$200&gt;0)*'_Datos'!$A$7:$A$200),"")</f>
        <v>31</v>
      </c>
      <c r="M21" s="202">
        <f>IF($L21="","",$L21-6)</f>
        <v>25</v>
      </c>
      <c r="N21" s="202">
        <f>IF($M21="","",INDEX('_Datos'!$AR$7:$AR$200,$M21)+(14-INDEX('_Datos'!$BO$7:$BO$200,$M21)))</f>
        <v>1</v>
      </c>
      <c r="O21" s="202">
        <f>IF($M21="","",INDEX('_Datos'!$AQ$7:$AQ$200,$M21)+$N21*INDEX('_Datos'!$AP$7:$AP$200,$M21)*'Sprints'!$D$5-'Sprints'!$D$5)</f>
        <v>46192</v>
      </c>
      <c r="P21" s="202">
        <f>IF($M21="","",$O21*100000+14)</f>
        <v>4619200014</v>
      </c>
      <c r="Q21" s="202">
        <f>IFERROR(MATCH(SMALL($P$7:$P116,14+1),$P$7:$P116,0),"")</f>
        <v>23</v>
      </c>
      <c r="R21" s="202">
        <f>IF($Q21="","",INDEX($M$7:$M116,$Q21))</f>
        <v>41</v>
      </c>
      <c r="S21" s="202">
        <f>IF($Q21="","",INDEX($N$7:$N116,$Q21))</f>
        <v>1</v>
      </c>
      <c r="T21" s="202">
        <f>IF($Q21="","",INDEX($O$7:$O116,$Q21))</f>
        <v>46192</v>
      </c>
      <c r="U21" s="202" t="b">
        <f>IF($R21="","",$S21=INDEX('_Datos'!$AV$7:$AV$200,$R21))</f>
        <v>1</v>
      </c>
    </row>
    <row r="22">
      <c r="B22" s="207">
        <f>IF($Q22="","",$T22)</f>
        <v>46192</v>
      </c>
      <c r="C22" s="205" t="str">
        <f>IF($R22="","",INDEX('_Datos'!$F$7:$F$200,$R22))</f>
        <v>Armado de Procedimiento</v>
      </c>
      <c r="D22" s="204" t="str">
        <f>IF($R22="","",INDEX('_Datos'!$AO$7:$AO$200,$R22))</f>
        <v>Semanal</v>
      </c>
      <c r="E22" s="204" t="str">
        <f>IF($S22="","","S"&amp;$S22)</f>
        <v>S1</v>
      </c>
      <c r="F22" s="204" t="str">
        <f>IF($Q22="","",IF($U22,"● VIGENTE","Cerrado"))</f>
        <v>● VIGENTE</v>
      </c>
      <c r="G22" s="205" t="str">
        <f>IF($Q22="","",IF($U22,INDEX('_Datos'!$AT$7:$AT$200,$R22),"→ pasó a S"&amp;($S22+1)))</f>
        <v>Pendiente</v>
      </c>
      <c r="H22" s="208">
        <f>IF($Q22="","",IF($U22,INDEX('_Datos'!$I$7:$I$200,$R22),""))</f>
        <v>0</v>
      </c>
      <c r="I22" s="207">
        <f>IF($Q22="","",IF($U22,IF(ISNUMBER(INDEX('Backlog General'!$O$7:$O$200,$R22)),INDEX('Backlog General'!$O$7:$O$200,$R22),""),""))</f>
      </c>
      <c r="L22" s="202">
        <f>IF(15&lt;SUM('_Datos'!$BN$7:$BN$200),SUMPRODUCT(('_Datos'!$BO$7:$BO$200&lt;=15)*(('_Datos'!$BO$7:$BO$200+'_Datos'!$BN$7:$BN$200)&gt;15)*('_Datos'!$BN$7:$BN$200&gt;0)*'_Datos'!$A$7:$A$200),"")</f>
        <v>37</v>
      </c>
      <c r="M22" s="202">
        <f>IF($L22="","",$L22-6)</f>
        <v>31</v>
      </c>
      <c r="N22" s="202">
        <f>IF($M22="","",INDEX('_Datos'!$AR$7:$AR$200,$M22)+(15-INDEX('_Datos'!$BO$7:$BO$200,$M22)))</f>
        <v>1</v>
      </c>
      <c r="O22" s="202">
        <f>IF($M22="","",INDEX('_Datos'!$AQ$7:$AQ$200,$M22)+$N22*INDEX('_Datos'!$AP$7:$AP$200,$M22)*'Sprints'!$D$5-'Sprints'!$D$5)</f>
        <v>46192</v>
      </c>
      <c r="P22" s="202">
        <f>IF($M22="","",$O22*100000+15)</f>
        <v>4619200015</v>
      </c>
      <c r="Q22" s="202">
        <f>IFERROR(MATCH(SMALL($P$7:$P116,15+1),$P$7:$P116,0),"")</f>
        <v>24</v>
      </c>
      <c r="R22" s="202">
        <f>IF($Q22="","",INDEX($M$7:$M116,$Q22))</f>
        <v>43</v>
      </c>
      <c r="S22" s="202">
        <f>IF($Q22="","",INDEX($N$7:$N116,$Q22))</f>
        <v>1</v>
      </c>
      <c r="T22" s="202">
        <f>IF($Q22="","",INDEX($O$7:$O116,$Q22))</f>
        <v>46192</v>
      </c>
      <c r="U22" s="202" t="b">
        <f>IF($R22="","",$S22=INDEX('_Datos'!$AV$7:$AV$200,$R22))</f>
        <v>1</v>
      </c>
    </row>
    <row r="23">
      <c r="B23" s="207">
        <f>IF($Q23="","",$T23)</f>
        <v>46192</v>
      </c>
      <c r="C23" s="205" t="str">
        <f>IF($R23="","",INDEX('_Datos'!$F$7:$F$200,$R23))</f>
        <v>Slicer funcional con % de incremento sobre venta con base en % definido en factores</v>
      </c>
      <c r="D23" s="204" t="str">
        <f>IF($R23="","",INDEX('_Datos'!$AO$7:$AO$200,$R23))</f>
        <v>Semanal</v>
      </c>
      <c r="E23" s="204" t="str">
        <f>IF($S23="","","S"&amp;$S23)</f>
        <v>S1</v>
      </c>
      <c r="F23" s="204" t="str">
        <f>IF($Q23="","",IF($U23,"● VIGENTE","Cerrado"))</f>
        <v>● VIGENTE</v>
      </c>
      <c r="G23" s="205" t="str">
        <f>IF($Q23="","",IF($U23,INDEX('_Datos'!$AT$7:$AT$200,$R23),"→ pasó a S"&amp;($S23+1)))</f>
        <v>Pendiente</v>
      </c>
      <c r="H23" s="208">
        <f>IF($Q23="","",IF($U23,INDEX('_Datos'!$I$7:$I$200,$R23),""))</f>
        <v>0</v>
      </c>
      <c r="I23" s="207">
        <f>IF($Q23="","",IF($U23,IF(ISNUMBER(INDEX('Backlog General'!$O$7:$O$200,$R23)),INDEX('Backlog General'!$O$7:$O$200,$R23),""),""))</f>
      </c>
      <c r="L23" s="202">
        <f>IF(16&lt;SUM('_Datos'!$BN$7:$BN$200),SUMPRODUCT(('_Datos'!$BO$7:$BO$200&lt;=16)*(('_Datos'!$BO$7:$BO$200+'_Datos'!$BN$7:$BN$200)&gt;16)*('_Datos'!$BN$7:$BN$200&gt;0)*'_Datos'!$A$7:$A$200),"")</f>
        <v>38</v>
      </c>
      <c r="M23" s="202">
        <f>IF($L23="","",$L23-6)</f>
        <v>32</v>
      </c>
      <c r="N23" s="202">
        <f>IF($M23="","",INDEX('_Datos'!$AR$7:$AR$200,$M23)+(16-INDEX('_Datos'!$BO$7:$BO$200,$M23)))</f>
        <v>1</v>
      </c>
      <c r="O23" s="202">
        <f>IF($M23="","",INDEX('_Datos'!$AQ$7:$AQ$200,$M23)+$N23*INDEX('_Datos'!$AP$7:$AP$200,$M23)*'Sprints'!$D$5-'Sprints'!$D$5)</f>
        <v>46192</v>
      </c>
      <c r="P23" s="202">
        <f>IF($M23="","",$O23*100000+16)</f>
        <v>4619200016</v>
      </c>
      <c r="Q23" s="202">
        <f>IFERROR(MATCH(SMALL($P$7:$P116,16+1),$P$7:$P116,0),"")</f>
        <v>25</v>
      </c>
      <c r="R23" s="202">
        <f>IF($Q23="","",INDEX($M$7:$M116,$Q23))</f>
        <v>44</v>
      </c>
      <c r="S23" s="202">
        <f>IF($Q23="","",INDEX($N$7:$N116,$Q23))</f>
        <v>1</v>
      </c>
      <c r="T23" s="202">
        <f>IF($Q23="","",INDEX($O$7:$O116,$Q23))</f>
        <v>46192</v>
      </c>
      <c r="U23" s="202" t="b">
        <f>IF($R23="","",$S23=INDEX('_Datos'!$AV$7:$AV$200,$R23))</f>
        <v>1</v>
      </c>
    </row>
    <row r="24">
      <c r="B24" s="207">
        <f>IF($Q24="","",$T24)</f>
        <v>46192</v>
      </c>
      <c r="C24" s="205" t="str">
        <f>IF($R24="","",INDEX('_Datos'!$F$7:$F$200,$R24))</f>
        <v>Factores de clientes con % de incremento sobre venta</v>
      </c>
      <c r="D24" s="204" t="str">
        <f>IF($R24="","",INDEX('_Datos'!$AO$7:$AO$200,$R24))</f>
        <v>Semanal</v>
      </c>
      <c r="E24" s="204" t="str">
        <f>IF($S24="","","S"&amp;$S24)</f>
        <v>S1</v>
      </c>
      <c r="F24" s="204" t="str">
        <f>IF($Q24="","",IF($U24,"● VIGENTE","Cerrado"))</f>
        <v>● VIGENTE</v>
      </c>
      <c r="G24" s="205" t="str">
        <f>IF($Q24="","",IF($U24,INDEX('_Datos'!$AT$7:$AT$200,$R24),"→ pasó a S"&amp;($S24+1)))</f>
        <v>Pendiente</v>
      </c>
      <c r="H24" s="208">
        <f>IF($Q24="","",IF($U24,INDEX('_Datos'!$I$7:$I$200,$R24),""))</f>
        <v>0</v>
      </c>
      <c r="I24" s="207">
        <f>IF($Q24="","",IF($U24,IF(ISNUMBER(INDEX('Backlog General'!$O$7:$O$200,$R24)),INDEX('Backlog General'!$O$7:$O$200,$R24),""),""))</f>
      </c>
      <c r="L24" s="202">
        <f>IF(17&lt;SUM('_Datos'!$BN$7:$BN$200),SUMPRODUCT(('_Datos'!$BO$7:$BO$200&lt;=17)*(('_Datos'!$BO$7:$BO$200+'_Datos'!$BN$7:$BN$200)&gt;17)*('_Datos'!$BN$7:$BN$200&gt;0)*'_Datos'!$A$7:$A$200),"")</f>
        <v>39</v>
      </c>
      <c r="M24" s="202">
        <f>IF($L24="","",$L24-6)</f>
        <v>33</v>
      </c>
      <c r="N24" s="202">
        <f>IF($M24="","",INDEX('_Datos'!$AR$7:$AR$200,$M24)+(17-INDEX('_Datos'!$BO$7:$BO$200,$M24)))</f>
        <v>1</v>
      </c>
      <c r="O24" s="202">
        <f>IF($M24="","",INDEX('_Datos'!$AQ$7:$AQ$200,$M24)+$N24*INDEX('_Datos'!$AP$7:$AP$200,$M24)*'Sprints'!$D$5-'Sprints'!$D$5)</f>
        <v>46192</v>
      </c>
      <c r="P24" s="202">
        <f>IF($M24="","",$O24*100000+17)</f>
        <v>4619200017</v>
      </c>
      <c r="Q24" s="202">
        <f>IFERROR(MATCH(SMALL($P$7:$P116,17+1),$P$7:$P116,0),"")</f>
        <v>26</v>
      </c>
      <c r="R24" s="202">
        <f>IF($Q24="","",INDEX($M$7:$M116,$Q24))</f>
        <v>45</v>
      </c>
      <c r="S24" s="202">
        <f>IF($Q24="","",INDEX($N$7:$N116,$Q24))</f>
        <v>1</v>
      </c>
      <c r="T24" s="202">
        <f>IF($Q24="","",INDEX($O$7:$O116,$Q24))</f>
        <v>46192</v>
      </c>
      <c r="U24" s="202" t="b">
        <f>IF($R24="","",$S24=INDEX('_Datos'!$AV$7:$AV$200,$R24))</f>
        <v>1</v>
      </c>
    </row>
    <row r="25">
      <c r="B25" s="207">
        <f>IF($Q25="","",$T25)</f>
        <v>46199</v>
      </c>
      <c r="C25" s="205" t="str">
        <f>IF($R25="","",INDEX('_Datos'!$F$7:$F$200,$R25))</f>
        <v>Crear estructura de Cotizador en base a modelo armado (migra a CLAUDE)</v>
      </c>
      <c r="D25" s="204" t="str">
        <f>IF($R25="","",INDEX('_Datos'!$AO$7:$AO$200,$R25))</f>
        <v>Quincenal</v>
      </c>
      <c r="E25" s="204" t="str">
        <f>IF($S25="","","S"&amp;$S25)</f>
        <v>S1</v>
      </c>
      <c r="F25" s="204" t="str">
        <f>IF($Q25="","",IF($U25,"● VIGENTE","Cerrado"))</f>
        <v>● VIGENTE</v>
      </c>
      <c r="G25" s="205" t="str">
        <f>IF($Q25="","",IF($U25,INDEX('_Datos'!$AT$7:$AT$200,$R25),"→ pasó a S"&amp;($S25+1)))</f>
        <v>Completada</v>
      </c>
      <c r="H25" s="208">
        <f>IF($Q25="","",IF($U25,INDEX('_Datos'!$I$7:$I$200,$R25),""))</f>
        <v>1</v>
      </c>
      <c r="I25" s="207">
        <f>IF($Q25="","",IF($U25,IF(ISNUMBER(INDEX('Backlog General'!$O$7:$O$200,$R25)),INDEX('Backlog General'!$O$7:$O$200,$R25),""),""))</f>
      </c>
      <c r="L25" s="202">
        <f>IF(18&lt;SUM('_Datos'!$BN$7:$BN$200),SUMPRODUCT(('_Datos'!$BO$7:$BO$200&lt;=18)*(('_Datos'!$BO$7:$BO$200+'_Datos'!$BN$7:$BN$200)&gt;18)*('_Datos'!$BN$7:$BN$200&gt;0)*'_Datos'!$A$7:$A$200),"")</f>
        <v>40</v>
      </c>
      <c r="M25" s="202">
        <f>IF($L25="","",$L25-6)</f>
        <v>34</v>
      </c>
      <c r="N25" s="202">
        <f>IF($M25="","",INDEX('_Datos'!$AR$7:$AR$200,$M25)+(18-INDEX('_Datos'!$BO$7:$BO$200,$M25)))</f>
        <v>1</v>
      </c>
      <c r="O25" s="202">
        <f>IF($M25="","",INDEX('_Datos'!$AQ$7:$AQ$200,$M25)+$N25*INDEX('_Datos'!$AP$7:$AP$200,$M25)*'Sprints'!$D$5-'Sprints'!$D$5)</f>
        <v>46192</v>
      </c>
      <c r="P25" s="202">
        <f>IF($M25="","",$O25*100000+18)</f>
        <v>4619200018</v>
      </c>
      <c r="Q25" s="202">
        <f>IFERROR(MATCH(SMALL($P$7:$P116,18+1),$P$7:$P116,0),"")</f>
        <v>2</v>
      </c>
      <c r="R25" s="202">
        <f>IF($Q25="","",INDEX($M$7:$M116,$Q25))</f>
        <v>4</v>
      </c>
      <c r="S25" s="202">
        <f>IF($Q25="","",INDEX($N$7:$N116,$Q25))</f>
        <v>1</v>
      </c>
      <c r="T25" s="202">
        <f>IF($Q25="","",INDEX($O$7:$O116,$Q25))</f>
        <v>46199</v>
      </c>
      <c r="U25" s="202" t="b">
        <f>IF($R25="","",$S25=INDEX('_Datos'!$AV$7:$AV$200,$R25))</f>
        <v>1</v>
      </c>
    </row>
    <row r="26">
      <c r="B26" s="207">
        <f>IF($Q26="","",$T26)</f>
        <v>46199</v>
      </c>
      <c r="C26" s="205" t="str">
        <f>IF($R26="","",INDEX('_Datos'!$F$7:$F$200,$R26))</f>
        <v>Automatización Archivo Sueldos FATSA + Procedimientos</v>
      </c>
      <c r="D26" s="204" t="str">
        <f>IF($R26="","",INDEX('_Datos'!$AO$7:$AO$200,$R26))</f>
        <v>Quincenal</v>
      </c>
      <c r="E26" s="204" t="str">
        <f>IF($S26="","","S"&amp;$S26)</f>
        <v>S1</v>
      </c>
      <c r="F26" s="204" t="str">
        <f>IF($Q26="","",IF($U26,"● VIGENTE","Cerrado"))</f>
        <v>● VIGENTE</v>
      </c>
      <c r="G26" s="205" t="str">
        <f>IF($Q26="","",IF($U26,INDEX('_Datos'!$AT$7:$AT$200,$R26),"→ pasó a S"&amp;($S26+1)))</f>
        <v>Casi lista</v>
      </c>
      <c r="H26" s="208">
        <f>IF($Q26="","",IF($U26,INDEX('_Datos'!$I$7:$I$200,$R26),""))</f>
        <v>0.75</v>
      </c>
      <c r="I26" s="207">
        <f>IF($Q26="","",IF($U26,IF(ISNUMBER(INDEX('Backlog General'!$O$7:$O$200,$R26)),INDEX('Backlog General'!$O$7:$O$200,$R26),""),""))</f>
      </c>
      <c r="L26" s="202">
        <f>IF(19&lt;SUM('_Datos'!$BN$7:$BN$200),SUMPRODUCT(('_Datos'!$BO$7:$BO$200&lt;=19)*(('_Datos'!$BO$7:$BO$200+'_Datos'!$BN$7:$BN$200)&gt;19)*('_Datos'!$BN$7:$BN$200&gt;0)*'_Datos'!$A$7:$A$200),"")</f>
        <v>41</v>
      </c>
      <c r="M26" s="202">
        <f>IF($L26="","",$L26-6)</f>
        <v>35</v>
      </c>
      <c r="N26" s="202">
        <f>IF($M26="","",INDEX('_Datos'!$AR$7:$AR$200,$M26)+(19-INDEX('_Datos'!$BO$7:$BO$200,$M26)))</f>
        <v>1</v>
      </c>
      <c r="O26" s="202">
        <f>IF($M26="","",INDEX('_Datos'!$AQ$7:$AQ$200,$M26)+$N26*INDEX('_Datos'!$AP$7:$AP$200,$M26)*'Sprints'!$D$5-'Sprints'!$D$5)</f>
        <v>46192</v>
      </c>
      <c r="P26" s="202">
        <f>IF($M26="","",$O26*100000+19)</f>
        <v>4619200019</v>
      </c>
      <c r="Q26" s="202">
        <f>IFERROR(MATCH(SMALL($P$7:$P116,19+1),$P$7:$P116,0),"")</f>
        <v>3</v>
      </c>
      <c r="R26" s="202">
        <f>IF($Q26="","",INDEX($M$7:$M116,$Q26))</f>
        <v>5</v>
      </c>
      <c r="S26" s="202">
        <f>IF($Q26="","",INDEX($N$7:$N116,$Q26))</f>
        <v>1</v>
      </c>
      <c r="T26" s="202">
        <f>IF($Q26="","",INDEX($O$7:$O116,$Q26))</f>
        <v>46199</v>
      </c>
      <c r="U26" s="202" t="b">
        <f>IF($R26="","",$S26=INDEX('_Datos'!$AV$7:$AV$200,$R26))</f>
        <v>1</v>
      </c>
    </row>
    <row r="27">
      <c r="B27" s="207">
        <f>IF($Q27="","",$T27)</f>
        <v>46199</v>
      </c>
      <c r="C27" s="205" t="str">
        <f>IF($R27="","",INDEX('_Datos'!$F$7:$F$200,$R27))</f>
        <v>Automatización Archivo Sueldos Petro + Procedimientos</v>
      </c>
      <c r="D27" s="204" t="str">
        <f>IF($R27="","",INDEX('_Datos'!$AO$7:$AO$200,$R27))</f>
        <v>Quincenal</v>
      </c>
      <c r="E27" s="204" t="str">
        <f>IF($S27="","","S"&amp;$S27)</f>
        <v>S1</v>
      </c>
      <c r="F27" s="204" t="str">
        <f>IF($Q27="","",IF($U27,"● VIGENTE","Cerrado"))</f>
        <v>● VIGENTE</v>
      </c>
      <c r="G27" s="205" t="str">
        <f>IF($Q27="","",IF($U27,INDEX('_Datos'!$AT$7:$AT$200,$R27),"→ pasó a S"&amp;($S27+1)))</f>
        <v>Casi lista</v>
      </c>
      <c r="H27" s="208">
        <f>IF($Q27="","",IF($U27,INDEX('_Datos'!$I$7:$I$200,$R27),""))</f>
        <v>0.75</v>
      </c>
      <c r="I27" s="207">
        <f>IF($Q27="","",IF($U27,IF(ISNUMBER(INDEX('Backlog General'!$O$7:$O$200,$R27)),INDEX('Backlog General'!$O$7:$O$200,$R27),""),""))</f>
      </c>
      <c r="L27" s="202">
        <f>IF(20&lt;SUM('_Datos'!$BN$7:$BN$200),SUMPRODUCT(('_Datos'!$BO$7:$BO$200&lt;=20)*(('_Datos'!$BO$7:$BO$200+'_Datos'!$BN$7:$BN$200)&gt;20)*('_Datos'!$BN$7:$BN$200&gt;0)*'_Datos'!$A$7:$A$200),"")</f>
        <v>42</v>
      </c>
      <c r="M27" s="202">
        <f>IF($L27="","",$L27-6)</f>
        <v>36</v>
      </c>
      <c r="N27" s="202">
        <f>IF($M27="","",INDEX('_Datos'!$AR$7:$AR$200,$M27)+(20-INDEX('_Datos'!$BO$7:$BO$200,$M27)))</f>
        <v>1</v>
      </c>
      <c r="O27" s="202">
        <f>IF($M27="","",INDEX('_Datos'!$AQ$7:$AQ$200,$M27)+$N27*INDEX('_Datos'!$AP$7:$AP$200,$M27)*'Sprints'!$D$5-'Sprints'!$D$5)</f>
        <v>46192</v>
      </c>
      <c r="P27" s="202">
        <f>IF($M27="","",$O27*100000+20)</f>
        <v>4619200020</v>
      </c>
      <c r="Q27" s="202">
        <f>IFERROR(MATCH(SMALL($P$7:$P116,20+1),$P$7:$P116,0),"")</f>
        <v>4</v>
      </c>
      <c r="R27" s="202">
        <f>IF($Q27="","",INDEX($M$7:$M116,$Q27))</f>
        <v>6</v>
      </c>
      <c r="S27" s="202">
        <f>IF($Q27="","",INDEX($N$7:$N116,$Q27))</f>
        <v>1</v>
      </c>
      <c r="T27" s="202">
        <f>IF($Q27="","",INDEX($O$7:$O116,$Q27))</f>
        <v>46199</v>
      </c>
      <c r="U27" s="202" t="b">
        <f>IF($R27="","",$S27=INDEX('_Datos'!$AV$7:$AV$200,$R27))</f>
        <v>1</v>
      </c>
    </row>
    <row r="28">
      <c r="B28" s="207">
        <f>IF($Q28="","",$T28)</f>
        <v>46199</v>
      </c>
      <c r="C28" s="205" t="str">
        <f>IF($R28="","",INDEX('_Datos'!$F$7:$F$200,$R28))</f>
        <v>Relevamiento Últimos Sueldos de referencia Monotributistas</v>
      </c>
      <c r="D28" s="204" t="str">
        <f>IF($R28="","",INDEX('_Datos'!$AO$7:$AO$200,$R28))</f>
        <v>Quincenal</v>
      </c>
      <c r="E28" s="204" t="str">
        <f>IF($S28="","","S"&amp;$S28)</f>
        <v>S1</v>
      </c>
      <c r="F28" s="204" t="str">
        <f>IF($Q28="","",IF($U28,"● VIGENTE","Cerrado"))</f>
        <v>● VIGENTE</v>
      </c>
      <c r="G28" s="205" t="str">
        <f>IF($Q28="","",IF($U28,INDEX('_Datos'!$AT$7:$AT$200,$R28),"→ pasó a S"&amp;($S28+1)))</f>
        <v>En progreso</v>
      </c>
      <c r="H28" s="208">
        <f>IF($Q28="","",IF($U28,INDEX('_Datos'!$I$7:$I$200,$R28),""))</f>
        <v>0.5</v>
      </c>
      <c r="I28" s="207">
        <f>IF($Q28="","",IF($U28,IF(ISNUMBER(INDEX('Backlog General'!$O$7:$O$200,$R28)),INDEX('Backlog General'!$O$7:$O$200,$R28),""),""))</f>
      </c>
      <c r="L28" s="202">
        <f>IF(21&lt;SUM('_Datos'!$BN$7:$BN$200),SUMPRODUCT(('_Datos'!$BO$7:$BO$200&lt;=21)*(('_Datos'!$BO$7:$BO$200+'_Datos'!$BN$7:$BN$200)&gt;21)*('_Datos'!$BN$7:$BN$200&gt;0)*'_Datos'!$A$7:$A$200),"")</f>
        <v>46</v>
      </c>
      <c r="M28" s="202">
        <f>IF($L28="","",$L28-6)</f>
        <v>40</v>
      </c>
      <c r="N28" s="202">
        <f>IF($M28="","",INDEX('_Datos'!$AR$7:$AR$200,$M28)+(21-INDEX('_Datos'!$BO$7:$BO$200,$M28)))</f>
        <v>1</v>
      </c>
      <c r="O28" s="202">
        <f>IF($M28="","",INDEX('_Datos'!$AQ$7:$AQ$200,$M28)+$N28*INDEX('_Datos'!$AP$7:$AP$200,$M28)*'Sprints'!$D$5-'Sprints'!$D$5)</f>
        <v>46192</v>
      </c>
      <c r="P28" s="202">
        <f>IF($M28="","",$O28*100000+21)</f>
        <v>4619200021</v>
      </c>
      <c r="Q28" s="202">
        <f>IFERROR(MATCH(SMALL($P$7:$P116,21+1),$P$7:$P116,0),"")</f>
        <v>5</v>
      </c>
      <c r="R28" s="202">
        <f>IF($Q28="","",INDEX($M$7:$M116,$Q28))</f>
        <v>7</v>
      </c>
      <c r="S28" s="202">
        <f>IF($Q28="","",INDEX($N$7:$N116,$Q28))</f>
        <v>1</v>
      </c>
      <c r="T28" s="202">
        <f>IF($Q28="","",INDEX($O$7:$O116,$Q28))</f>
        <v>46199</v>
      </c>
      <c r="U28" s="202" t="b">
        <f>IF($R28="","",$S28=INDEX('_Datos'!$AV$7:$AV$200,$R28))</f>
        <v>1</v>
      </c>
    </row>
    <row r="29">
      <c r="B29" s="207">
        <f>IF($Q29="","",$T29)</f>
        <v>46199</v>
      </c>
      <c r="C29" s="205" t="str">
        <f>IF($R29="","",INDEX('_Datos'!$F$7:$F$200,$R29))</f>
        <v>Asociar Archivo Móviles y Tráilers (Nico Sifuentes) + procedimiento</v>
      </c>
      <c r="D29" s="204" t="str">
        <f>IF($R29="","",INDEX('_Datos'!$AO$7:$AO$200,$R29))</f>
        <v>Quincenal</v>
      </c>
      <c r="E29" s="204" t="str">
        <f>IF($S29="","","S"&amp;$S29)</f>
        <v>S1</v>
      </c>
      <c r="F29" s="204" t="str">
        <f>IF($Q29="","",IF($U29,"● VIGENTE","Cerrado"))</f>
        <v>● VIGENTE</v>
      </c>
      <c r="G29" s="205" t="str">
        <f>IF($Q29="","",IF($U29,INDEX('_Datos'!$AT$7:$AT$200,$R29),"→ pasó a S"&amp;($S29+1)))</f>
        <v>Casi lista</v>
      </c>
      <c r="H29" s="208">
        <f>IF($Q29="","",IF($U29,INDEX('_Datos'!$I$7:$I$200,$R29),""))</f>
        <v>0.75</v>
      </c>
      <c r="I29" s="207">
        <f>IF($Q29="","",IF($U29,IF(ISNUMBER(INDEX('Backlog General'!$O$7:$O$200,$R29)),INDEX('Backlog General'!$O$7:$O$200,$R29),""),""))</f>
      </c>
      <c r="L29" s="202">
        <f>IF(22&lt;SUM('_Datos'!$BN$7:$BN$200),SUMPRODUCT(('_Datos'!$BO$7:$BO$200&lt;=22)*(('_Datos'!$BO$7:$BO$200+'_Datos'!$BN$7:$BN$200)&gt;22)*('_Datos'!$BN$7:$BN$200&gt;0)*'_Datos'!$A$7:$A$200),"")</f>
        <v>47</v>
      </c>
      <c r="M29" s="202">
        <f>IF($L29="","",$L29-6)</f>
        <v>41</v>
      </c>
      <c r="N29" s="202">
        <f>IF($M29="","",INDEX('_Datos'!$AR$7:$AR$200,$M29)+(22-INDEX('_Datos'!$BO$7:$BO$200,$M29)))</f>
        <v>1</v>
      </c>
      <c r="O29" s="202">
        <f>IF($M29="","",INDEX('_Datos'!$AQ$7:$AQ$200,$M29)+$N29*INDEX('_Datos'!$AP$7:$AP$200,$M29)*'Sprints'!$D$5-'Sprints'!$D$5)</f>
        <v>46192</v>
      </c>
      <c r="P29" s="202">
        <f>IF($M29="","",$O29*100000+22)</f>
        <v>4619200022</v>
      </c>
      <c r="Q29" s="202">
        <f>IFERROR(MATCH(SMALL($P$7:$P116,22+1),$P$7:$P116,0),"")</f>
        <v>6</v>
      </c>
      <c r="R29" s="202">
        <f>IF($Q29="","",INDEX($M$7:$M116,$Q29))</f>
        <v>9</v>
      </c>
      <c r="S29" s="202">
        <f>IF($Q29="","",INDEX($N$7:$N116,$Q29))</f>
        <v>1</v>
      </c>
      <c r="T29" s="202">
        <f>IF($Q29="","",INDEX($O$7:$O116,$Q29))</f>
        <v>46199</v>
      </c>
      <c r="U29" s="202" t="b">
        <f>IF($R29="","",$S29=INDEX('_Datos'!$AV$7:$AV$200,$R29))</f>
        <v>1</v>
      </c>
    </row>
    <row r="30">
      <c r="B30" s="207">
        <f>IF($Q30="","",$T30)</f>
        <v>46199</v>
      </c>
      <c r="C30" s="205" t="str">
        <f>IF($R30="","",INDEX('_Datos'!$F$7:$F$200,$R30))</f>
        <v>Asociar Archivo Masters de Medicación (Seba Oliver) + Capacitaciones + procedimiento</v>
      </c>
      <c r="D30" s="204" t="str">
        <f>IF($R30="","",INDEX('_Datos'!$AO$7:$AO$200,$R30))</f>
        <v>Quincenal</v>
      </c>
      <c r="E30" s="204" t="str">
        <f>IF($S30="","","S"&amp;$S30)</f>
        <v>S1</v>
      </c>
      <c r="F30" s="204" t="str">
        <f>IF($Q30="","",IF($U30,"● VIGENTE","Cerrado"))</f>
        <v>● VIGENTE</v>
      </c>
      <c r="G30" s="205" t="str">
        <f>IF($Q30="","",IF($U30,INDEX('_Datos'!$AT$7:$AT$200,$R30),"→ pasó a S"&amp;($S30+1)))</f>
        <v>En progreso</v>
      </c>
      <c r="H30" s="208">
        <f>IF($Q30="","",IF($U30,INDEX('_Datos'!$I$7:$I$200,$R30),""))</f>
        <v>0.5</v>
      </c>
      <c r="I30" s="207">
        <f>IF($Q30="","",IF($U30,IF(ISNUMBER(INDEX('Backlog General'!$O$7:$O$200,$R30)),INDEX('Backlog General'!$O$7:$O$200,$R30),""),""))</f>
      </c>
      <c r="L30" s="202">
        <f>IF(23&lt;SUM('_Datos'!$BN$7:$BN$200),SUMPRODUCT(('_Datos'!$BO$7:$BO$200&lt;=23)*(('_Datos'!$BO$7:$BO$200+'_Datos'!$BN$7:$BN$200)&gt;23)*('_Datos'!$BN$7:$BN$200&gt;0)*'_Datos'!$A$7:$A$200),"")</f>
        <v>49</v>
      </c>
      <c r="M30" s="202">
        <f>IF($L30="","",$L30-6)</f>
        <v>43</v>
      </c>
      <c r="N30" s="202">
        <f>IF($M30="","",INDEX('_Datos'!$AR$7:$AR$200,$M30)+(23-INDEX('_Datos'!$BO$7:$BO$200,$M30)))</f>
        <v>1</v>
      </c>
      <c r="O30" s="202">
        <f>IF($M30="","",INDEX('_Datos'!$AQ$7:$AQ$200,$M30)+$N30*INDEX('_Datos'!$AP$7:$AP$200,$M30)*'Sprints'!$D$5-'Sprints'!$D$5)</f>
        <v>46192</v>
      </c>
      <c r="P30" s="202">
        <f>IF($M30="","",$O30*100000+23)</f>
        <v>4619200023</v>
      </c>
      <c r="Q30" s="202">
        <f>IFERROR(MATCH(SMALL($P$7:$P116,23+1),$P$7:$P116,0),"")</f>
        <v>7</v>
      </c>
      <c r="R30" s="202">
        <f>IF($Q30="","",INDEX($M$7:$M116,$Q30))</f>
        <v>10</v>
      </c>
      <c r="S30" s="202">
        <f>IF($Q30="","",INDEX($N$7:$N116,$Q30))</f>
        <v>1</v>
      </c>
      <c r="T30" s="202">
        <f>IF($Q30="","",INDEX($O$7:$O116,$Q30))</f>
        <v>46199</v>
      </c>
      <c r="U30" s="202" t="b">
        <f>IF($R30="","",$S30=INDEX('_Datos'!$AV$7:$AV$200,$R30))</f>
        <v>1</v>
      </c>
    </row>
    <row r="31">
      <c r="B31" s="207">
        <f>IF($Q31="","",$T31)</f>
        <v>46199</v>
      </c>
      <c r="C31" s="205" t="str">
        <f>IF($R31="","",INDEX('_Datos'!$F$7:$F$200,$R31))</f>
        <v>Relevamiento área de IA -  Repositorio (GitHub o AWS S3) + Seguridad</v>
      </c>
      <c r="D31" s="204" t="str">
        <f>IF($R31="","",INDEX('_Datos'!$AO$7:$AO$200,$R31))</f>
        <v>Quincenal</v>
      </c>
      <c r="E31" s="204" t="str">
        <f>IF($S31="","","S"&amp;$S31)</f>
        <v>S1</v>
      </c>
      <c r="F31" s="204" t="str">
        <f>IF($Q31="","",IF($U31,"● VIGENTE","Cerrado"))</f>
        <v>● VIGENTE</v>
      </c>
      <c r="G31" s="205" t="str">
        <f>IF($Q31="","",IF($U31,INDEX('_Datos'!$AT$7:$AT$200,$R31),"→ pasó a S"&amp;($S31+1)))</f>
        <v>Completada</v>
      </c>
      <c r="H31" s="208">
        <f>IF($Q31="","",IF($U31,INDEX('_Datos'!$I$7:$I$200,$R31),""))</f>
        <v>1</v>
      </c>
      <c r="I31" s="207">
        <f>IF($Q31="","",IF($U31,IF(ISNUMBER(INDEX('Backlog General'!$O$7:$O$200,$R31)),INDEX('Backlog General'!$O$7:$O$200,$R31),""),""))</f>
      </c>
      <c r="L31" s="202">
        <f>IF(24&lt;SUM('_Datos'!$BN$7:$BN$200),SUMPRODUCT(('_Datos'!$BO$7:$BO$200&lt;=24)*(('_Datos'!$BO$7:$BO$200+'_Datos'!$BN$7:$BN$200)&gt;24)*('_Datos'!$BN$7:$BN$200&gt;0)*'_Datos'!$A$7:$A$200),"")</f>
        <v>50</v>
      </c>
      <c r="M31" s="202">
        <f>IF($L31="","",$L31-6)</f>
        <v>44</v>
      </c>
      <c r="N31" s="202">
        <f>IF($M31="","",INDEX('_Datos'!$AR$7:$AR$200,$M31)+(24-INDEX('_Datos'!$BO$7:$BO$200,$M31)))</f>
        <v>1</v>
      </c>
      <c r="O31" s="202">
        <f>IF($M31="","",INDEX('_Datos'!$AQ$7:$AQ$200,$M31)+$N31*INDEX('_Datos'!$AP$7:$AP$200,$M31)*'Sprints'!$D$5-'Sprints'!$D$5)</f>
        <v>46192</v>
      </c>
      <c r="P31" s="202">
        <f>IF($M31="","",$O31*100000+24)</f>
        <v>4619200024</v>
      </c>
      <c r="Q31" s="202">
        <f>IFERROR(MATCH(SMALL($P$7:$P116,24+1),$P$7:$P116,0),"")</f>
        <v>8</v>
      </c>
      <c r="R31" s="202">
        <f>IF($Q31="","",INDEX($M$7:$M116,$Q31))</f>
        <v>13</v>
      </c>
      <c r="S31" s="202">
        <f>IF($Q31="","",INDEX($N$7:$N116,$Q31))</f>
        <v>1</v>
      </c>
      <c r="T31" s="202">
        <f>IF($Q31="","",INDEX($O$7:$O116,$Q31))</f>
        <v>46199</v>
      </c>
      <c r="U31" s="202" t="b">
        <f>IF($R31="","",$S31=INDEX('_Datos'!$AV$7:$AV$200,$R31))</f>
        <v>1</v>
      </c>
    </row>
    <row r="32">
      <c r="B32" s="207">
        <f>IF($Q32="","",$T32)</f>
        <v>46213</v>
      </c>
      <c r="C32" s="205" t="str">
        <f>IF($R32="","",INDEX('_Datos'!$F$7:$F$200,$R32))</f>
        <v>Disponibilidad de información centralizada en GOC (aguarda desarrollo)</v>
      </c>
      <c r="D32" s="204" t="str">
        <f>IF($R32="","",INDEX('_Datos'!$AO$7:$AO$200,$R32))</f>
        <v>Mensual</v>
      </c>
      <c r="E32" s="204" t="str">
        <f>IF($S32="","","S"&amp;$S32)</f>
        <v>S1</v>
      </c>
      <c r="F32" s="204" t="str">
        <f>IF($Q32="","",IF($U32,"● VIGENTE","Cerrado"))</f>
        <v>● VIGENTE</v>
      </c>
      <c r="G32" s="205" t="str">
        <f>IF($Q32="","",IF($U32,INDEX('_Datos'!$AT$7:$AT$200,$R32),"→ pasó a S"&amp;($S32+1)))</f>
        <v>Pendiente</v>
      </c>
      <c r="H32" s="208">
        <f>IF($Q32="","",IF($U32,INDEX('_Datos'!$I$7:$I$200,$R32),""))</f>
        <v>0</v>
      </c>
      <c r="I32" s="207">
        <f>IF($Q32="","",IF($U32,IF(ISNUMBER(INDEX('Backlog General'!$O$7:$O$200,$R32)),INDEX('Backlog General'!$O$7:$O$200,$R32),""),""))</f>
      </c>
      <c r="L32" s="202">
        <f>IF(25&lt;SUM('_Datos'!$BN$7:$BN$200),SUMPRODUCT(('_Datos'!$BO$7:$BO$200&lt;=25)*(('_Datos'!$BO$7:$BO$200+'_Datos'!$BN$7:$BN$200)&gt;25)*('_Datos'!$BN$7:$BN$200&gt;0)*'_Datos'!$A$7:$A$200),"")</f>
        <v>51</v>
      </c>
      <c r="M32" s="202">
        <f>IF($L32="","",$L32-6)</f>
        <v>45</v>
      </c>
      <c r="N32" s="202">
        <f>IF($M32="","",INDEX('_Datos'!$AR$7:$AR$200,$M32)+(25-INDEX('_Datos'!$BO$7:$BO$200,$M32)))</f>
        <v>1</v>
      </c>
      <c r="O32" s="202">
        <f>IF($M32="","",INDEX('_Datos'!$AQ$7:$AQ$200,$M32)+$N32*INDEX('_Datos'!$AP$7:$AP$200,$M32)*'Sprints'!$D$5-'Sprints'!$D$5)</f>
        <v>46192</v>
      </c>
      <c r="P32" s="202">
        <f>IF($M32="","",$O32*100000+25)</f>
        <v>4619200025</v>
      </c>
      <c r="Q32" s="202">
        <f>IFERROR(MATCH(SMALL($P$7:$P116,25+1),$P$7:$P116,0),"")</f>
        <v>1</v>
      </c>
      <c r="R32" s="202">
        <f>IF($Q32="","",INDEX($M$7:$M116,$Q32))</f>
        <v>2</v>
      </c>
      <c r="S32" s="202">
        <f>IF($Q32="","",INDEX($N$7:$N116,$Q32))</f>
        <v>1</v>
      </c>
      <c r="T32" s="202">
        <f>IF($Q32="","",INDEX($O$7:$O116,$Q32))</f>
        <v>46213</v>
      </c>
      <c r="U32" s="202" t="b">
        <f>IF($R32="","",$S32=INDEX('_Datos'!$AV$7:$AV$200,$R32))</f>
        <v>1</v>
      </c>
    </row>
    <row r="33">
      <c r="B33" s="207">
        <f>IF($Q33="","",$T33)</f>
      </c>
      <c r="C33" s="205">
        <f>IF($R33="","",INDEX('_Datos'!$F$7:$F$200,$R33))</f>
      </c>
      <c r="D33" s="204">
        <f>IF($R33="","",INDEX('_Datos'!$AO$7:$AO$200,$R33))</f>
      </c>
      <c r="E33" s="204">
        <f>IF($S33="","","S"&amp;$S33)</f>
      </c>
      <c r="F33" s="204">
        <f>IF($Q33="","",IF($U33,"● VIGENTE","Cerrado"))</f>
      </c>
      <c r="G33" s="205">
        <f>IF($Q33="","",IF($U33,INDEX('_Datos'!$AT$7:$AT$200,$R33),"→ pasó a S"&amp;($S33+1)))</f>
      </c>
      <c r="H33" s="208">
        <f>IF($Q33="","",IF($U33,INDEX('_Datos'!$I$7:$I$200,$R33),""))</f>
      </c>
      <c r="I33" s="207">
        <f>IF($Q33="","",IF($U33,IF(ISNUMBER(INDEX('Backlog General'!$O$7:$O$200,$R33)),INDEX('Backlog General'!$O$7:$O$200,$R33),""),""))</f>
      </c>
      <c r="L33" s="202">
        <f>IF(26&lt;SUM('_Datos'!$BN$7:$BN$200),SUMPRODUCT(('_Datos'!$BO$7:$BO$200&lt;=26)*(('_Datos'!$BO$7:$BO$200+'_Datos'!$BN$7:$BN$200)&gt;26)*('_Datos'!$BN$7:$BN$200&gt;0)*'_Datos'!$A$7:$A$200),"")</f>
      </c>
      <c r="M33" s="202">
        <f>IF($L33="","",$L33-6)</f>
      </c>
      <c r="N33" s="202">
        <f>IF($M33="","",INDEX('_Datos'!$AR$7:$AR$200,$M33)+(26-INDEX('_Datos'!$BO$7:$BO$200,$M33)))</f>
      </c>
      <c r="O33" s="202">
        <f>IF($M33="","",INDEX('_Datos'!$AQ$7:$AQ$200,$M33)+$N33*INDEX('_Datos'!$AP$7:$AP$200,$M33)*'Sprints'!$D$5-'Sprints'!$D$5)</f>
      </c>
      <c r="P33" s="202">
        <f>IF($M33="","",$O33*100000+26)</f>
      </c>
      <c r="Q33" s="202">
        <f>IFERROR(MATCH(SMALL($P$7:$P116,26+1),$P$7:$P116,0),"")</f>
      </c>
      <c r="R33" s="202">
        <f>IF($Q33="","",INDEX($M$7:$M116,$Q33))</f>
      </c>
      <c r="S33" s="202">
        <f>IF($Q33="","",INDEX($N$7:$N116,$Q33))</f>
      </c>
      <c r="T33" s="202">
        <f>IF($Q33="","",INDEX($O$7:$O116,$Q33))</f>
      </c>
      <c r="U33" s="202">
        <f>IF($R33="","",$S33=INDEX('_Datos'!$AV$7:$AV$200,$R33))</f>
      </c>
    </row>
    <row r="34">
      <c r="B34" s="207">
        <f>IF($Q34="","",$T34)</f>
      </c>
      <c r="C34" s="205">
        <f>IF($R34="","",INDEX('_Datos'!$F$7:$F$200,$R34))</f>
      </c>
      <c r="D34" s="204">
        <f>IF($R34="","",INDEX('_Datos'!$AO$7:$AO$200,$R34))</f>
      </c>
      <c r="E34" s="204">
        <f>IF($S34="","","S"&amp;$S34)</f>
      </c>
      <c r="F34" s="204">
        <f>IF($Q34="","",IF($U34,"● VIGENTE","Cerrado"))</f>
      </c>
      <c r="G34" s="205">
        <f>IF($Q34="","",IF($U34,INDEX('_Datos'!$AT$7:$AT$200,$R34),"→ pasó a S"&amp;($S34+1)))</f>
      </c>
      <c r="H34" s="208">
        <f>IF($Q34="","",IF($U34,INDEX('_Datos'!$I$7:$I$200,$R34),""))</f>
      </c>
      <c r="I34" s="207">
        <f>IF($Q34="","",IF($U34,IF(ISNUMBER(INDEX('Backlog General'!$O$7:$O$200,$R34)),INDEX('Backlog General'!$O$7:$O$200,$R34),""),""))</f>
      </c>
      <c r="L34" s="202">
        <f>IF(27&lt;SUM('_Datos'!$BN$7:$BN$200),SUMPRODUCT(('_Datos'!$BO$7:$BO$200&lt;=27)*(('_Datos'!$BO$7:$BO$200+'_Datos'!$BN$7:$BN$200)&gt;27)*('_Datos'!$BN$7:$BN$200&gt;0)*'_Datos'!$A$7:$A$200),"")</f>
      </c>
      <c r="M34" s="202">
        <f>IF($L34="","",$L34-6)</f>
      </c>
      <c r="N34" s="202">
        <f>IF($M34="","",INDEX('_Datos'!$AR$7:$AR$200,$M34)+(27-INDEX('_Datos'!$BO$7:$BO$200,$M34)))</f>
      </c>
      <c r="O34" s="202">
        <f>IF($M34="","",INDEX('_Datos'!$AQ$7:$AQ$200,$M34)+$N34*INDEX('_Datos'!$AP$7:$AP$200,$M34)*'Sprints'!$D$5-'Sprints'!$D$5)</f>
      </c>
      <c r="P34" s="202">
        <f>IF($M34="","",$O34*100000+27)</f>
      </c>
      <c r="Q34" s="202">
        <f>IFERROR(MATCH(SMALL($P$7:$P116,27+1),$P$7:$P116,0),"")</f>
      </c>
      <c r="R34" s="202">
        <f>IF($Q34="","",INDEX($M$7:$M116,$Q34))</f>
      </c>
      <c r="S34" s="202">
        <f>IF($Q34="","",INDEX($N$7:$N116,$Q34))</f>
      </c>
      <c r="T34" s="202">
        <f>IF($Q34="","",INDEX($O$7:$O116,$Q34))</f>
      </c>
      <c r="U34" s="202">
        <f>IF($R34="","",$S34=INDEX('_Datos'!$AV$7:$AV$200,$R34))</f>
      </c>
    </row>
    <row r="35">
      <c r="B35" s="207">
        <f>IF($Q35="","",$T35)</f>
      </c>
      <c r="C35" s="205">
        <f>IF($R35="","",INDEX('_Datos'!$F$7:$F$200,$R35))</f>
      </c>
      <c r="D35" s="204">
        <f>IF($R35="","",INDEX('_Datos'!$AO$7:$AO$200,$R35))</f>
      </c>
      <c r="E35" s="204">
        <f>IF($S35="","","S"&amp;$S35)</f>
      </c>
      <c r="F35" s="204">
        <f>IF($Q35="","",IF($U35,"● VIGENTE","Cerrado"))</f>
      </c>
      <c r="G35" s="205">
        <f>IF($Q35="","",IF($U35,INDEX('_Datos'!$AT$7:$AT$200,$R35),"→ pasó a S"&amp;($S35+1)))</f>
      </c>
      <c r="H35" s="208">
        <f>IF($Q35="","",IF($U35,INDEX('_Datos'!$I$7:$I$200,$R35),""))</f>
      </c>
      <c r="I35" s="207">
        <f>IF($Q35="","",IF($U35,IF(ISNUMBER(INDEX('Backlog General'!$O$7:$O$200,$R35)),INDEX('Backlog General'!$O$7:$O$200,$R35),""),""))</f>
      </c>
      <c r="L35" s="202">
        <f>IF(28&lt;SUM('_Datos'!$BN$7:$BN$200),SUMPRODUCT(('_Datos'!$BO$7:$BO$200&lt;=28)*(('_Datos'!$BO$7:$BO$200+'_Datos'!$BN$7:$BN$200)&gt;28)*('_Datos'!$BN$7:$BN$200&gt;0)*'_Datos'!$A$7:$A$200),"")</f>
      </c>
      <c r="M35" s="202">
        <f>IF($L35="","",$L35-6)</f>
      </c>
      <c r="N35" s="202">
        <f>IF($M35="","",INDEX('_Datos'!$AR$7:$AR$200,$M35)+(28-INDEX('_Datos'!$BO$7:$BO$200,$M35)))</f>
      </c>
      <c r="O35" s="202">
        <f>IF($M35="","",INDEX('_Datos'!$AQ$7:$AQ$200,$M35)+$N35*INDEX('_Datos'!$AP$7:$AP$200,$M35)*'Sprints'!$D$5-'Sprints'!$D$5)</f>
      </c>
      <c r="P35" s="202">
        <f>IF($M35="","",$O35*100000+28)</f>
      </c>
      <c r="Q35" s="202">
        <f>IFERROR(MATCH(SMALL($P$7:$P116,28+1),$P$7:$P116,0),"")</f>
      </c>
      <c r="R35" s="202">
        <f>IF($Q35="","",INDEX($M$7:$M116,$Q35))</f>
      </c>
      <c r="S35" s="202">
        <f>IF($Q35="","",INDEX($N$7:$N116,$Q35))</f>
      </c>
      <c r="T35" s="202">
        <f>IF($Q35="","",INDEX($O$7:$O116,$Q35))</f>
      </c>
      <c r="U35" s="202">
        <f>IF($R35="","",$S35=INDEX('_Datos'!$AV$7:$AV$200,$R35))</f>
      </c>
    </row>
    <row r="36">
      <c r="B36" s="207">
        <f>IF($Q36="","",$T36)</f>
      </c>
      <c r="C36" s="205">
        <f>IF($R36="","",INDEX('_Datos'!$F$7:$F$200,$R36))</f>
      </c>
      <c r="D36" s="204">
        <f>IF($R36="","",INDEX('_Datos'!$AO$7:$AO$200,$R36))</f>
      </c>
      <c r="E36" s="204">
        <f>IF($S36="","","S"&amp;$S36)</f>
      </c>
      <c r="F36" s="204">
        <f>IF($Q36="","",IF($U36,"● VIGENTE","Cerrado"))</f>
      </c>
      <c r="G36" s="205">
        <f>IF($Q36="","",IF($U36,INDEX('_Datos'!$AT$7:$AT$200,$R36),"→ pasó a S"&amp;($S36+1)))</f>
      </c>
      <c r="H36" s="208">
        <f>IF($Q36="","",IF($U36,INDEX('_Datos'!$I$7:$I$200,$R36),""))</f>
      </c>
      <c r="I36" s="207">
        <f>IF($Q36="","",IF($U36,IF(ISNUMBER(INDEX('Backlog General'!$O$7:$O$200,$R36)),INDEX('Backlog General'!$O$7:$O$200,$R36),""),""))</f>
      </c>
      <c r="L36" s="202">
        <f>IF(29&lt;SUM('_Datos'!$BN$7:$BN$200),SUMPRODUCT(('_Datos'!$BO$7:$BO$200&lt;=29)*(('_Datos'!$BO$7:$BO$200+'_Datos'!$BN$7:$BN$200)&gt;29)*('_Datos'!$BN$7:$BN$200&gt;0)*'_Datos'!$A$7:$A$200),"")</f>
      </c>
      <c r="M36" s="202">
        <f>IF($L36="","",$L36-6)</f>
      </c>
      <c r="N36" s="202">
        <f>IF($M36="","",INDEX('_Datos'!$AR$7:$AR$200,$M36)+(29-INDEX('_Datos'!$BO$7:$BO$200,$M36)))</f>
      </c>
      <c r="O36" s="202">
        <f>IF($M36="","",INDEX('_Datos'!$AQ$7:$AQ$200,$M36)+$N36*INDEX('_Datos'!$AP$7:$AP$200,$M36)*'Sprints'!$D$5-'Sprints'!$D$5)</f>
      </c>
      <c r="P36" s="202">
        <f>IF($M36="","",$O36*100000+29)</f>
      </c>
      <c r="Q36" s="202">
        <f>IFERROR(MATCH(SMALL($P$7:$P116,29+1),$P$7:$P116,0),"")</f>
      </c>
      <c r="R36" s="202">
        <f>IF($Q36="","",INDEX($M$7:$M116,$Q36))</f>
      </c>
      <c r="S36" s="202">
        <f>IF($Q36="","",INDEX($N$7:$N116,$Q36))</f>
      </c>
      <c r="T36" s="202">
        <f>IF($Q36="","",INDEX($O$7:$O116,$Q36))</f>
      </c>
      <c r="U36" s="202">
        <f>IF($R36="","",$S36=INDEX('_Datos'!$AV$7:$AV$200,$R36))</f>
      </c>
    </row>
    <row r="37">
      <c r="B37" s="207">
        <f>IF($Q37="","",$T37)</f>
      </c>
      <c r="C37" s="205">
        <f>IF($R37="","",INDEX('_Datos'!$F$7:$F$200,$R37))</f>
      </c>
      <c r="D37" s="204">
        <f>IF($R37="","",INDEX('_Datos'!$AO$7:$AO$200,$R37))</f>
      </c>
      <c r="E37" s="204">
        <f>IF($S37="","","S"&amp;$S37)</f>
      </c>
      <c r="F37" s="204">
        <f>IF($Q37="","",IF($U37,"● VIGENTE","Cerrado"))</f>
      </c>
      <c r="G37" s="205">
        <f>IF($Q37="","",IF($U37,INDEX('_Datos'!$AT$7:$AT$200,$R37),"→ pasó a S"&amp;($S37+1)))</f>
      </c>
      <c r="H37" s="208">
        <f>IF($Q37="","",IF($U37,INDEX('_Datos'!$I$7:$I$200,$R37),""))</f>
      </c>
      <c r="I37" s="207">
        <f>IF($Q37="","",IF($U37,IF(ISNUMBER(INDEX('Backlog General'!$O$7:$O$200,$R37)),INDEX('Backlog General'!$O$7:$O$200,$R37),""),""))</f>
      </c>
      <c r="L37" s="202">
        <f>IF(30&lt;SUM('_Datos'!$BN$7:$BN$200),SUMPRODUCT(('_Datos'!$BO$7:$BO$200&lt;=30)*(('_Datos'!$BO$7:$BO$200+'_Datos'!$BN$7:$BN$200)&gt;30)*('_Datos'!$BN$7:$BN$200&gt;0)*'_Datos'!$A$7:$A$200),"")</f>
      </c>
      <c r="M37" s="202">
        <f>IF($L37="","",$L37-6)</f>
      </c>
      <c r="N37" s="202">
        <f>IF($M37="","",INDEX('_Datos'!$AR$7:$AR$200,$M37)+(30-INDEX('_Datos'!$BO$7:$BO$200,$M37)))</f>
      </c>
      <c r="O37" s="202">
        <f>IF($M37="","",INDEX('_Datos'!$AQ$7:$AQ$200,$M37)+$N37*INDEX('_Datos'!$AP$7:$AP$200,$M37)*'Sprints'!$D$5-'Sprints'!$D$5)</f>
      </c>
      <c r="P37" s="202">
        <f>IF($M37="","",$O37*100000+30)</f>
      </c>
      <c r="Q37" s="202">
        <f>IFERROR(MATCH(SMALL($P$7:$P116,30+1),$P$7:$P116,0),"")</f>
      </c>
      <c r="R37" s="202">
        <f>IF($Q37="","",INDEX($M$7:$M116,$Q37))</f>
      </c>
      <c r="S37" s="202">
        <f>IF($Q37="","",INDEX($N$7:$N116,$Q37))</f>
      </c>
      <c r="T37" s="202">
        <f>IF($Q37="","",INDEX($O$7:$O116,$Q37))</f>
      </c>
      <c r="U37" s="202">
        <f>IF($R37="","",$S37=INDEX('_Datos'!$AV$7:$AV$200,$R37))</f>
      </c>
    </row>
    <row r="38">
      <c r="B38" s="207">
        <f>IF($Q38="","",$T38)</f>
      </c>
      <c r="C38" s="205">
        <f>IF($R38="","",INDEX('_Datos'!$F$7:$F$200,$R38))</f>
      </c>
      <c r="D38" s="204">
        <f>IF($R38="","",INDEX('_Datos'!$AO$7:$AO$200,$R38))</f>
      </c>
      <c r="E38" s="204">
        <f>IF($S38="","","S"&amp;$S38)</f>
      </c>
      <c r="F38" s="204">
        <f>IF($Q38="","",IF($U38,"● VIGENTE","Cerrado"))</f>
      </c>
      <c r="G38" s="205">
        <f>IF($Q38="","",IF($U38,INDEX('_Datos'!$AT$7:$AT$200,$R38),"→ pasó a S"&amp;($S38+1)))</f>
      </c>
      <c r="H38" s="208">
        <f>IF($Q38="","",IF($U38,INDEX('_Datos'!$I$7:$I$200,$R38),""))</f>
      </c>
      <c r="I38" s="207">
        <f>IF($Q38="","",IF($U38,IF(ISNUMBER(INDEX('Backlog General'!$O$7:$O$200,$R38)),INDEX('Backlog General'!$O$7:$O$200,$R38),""),""))</f>
      </c>
      <c r="L38" s="202">
        <f>IF(31&lt;SUM('_Datos'!$BN$7:$BN$200),SUMPRODUCT(('_Datos'!$BO$7:$BO$200&lt;=31)*(('_Datos'!$BO$7:$BO$200+'_Datos'!$BN$7:$BN$200)&gt;31)*('_Datos'!$BN$7:$BN$200&gt;0)*'_Datos'!$A$7:$A$200),"")</f>
      </c>
      <c r="M38" s="202">
        <f>IF($L38="","",$L38-6)</f>
      </c>
      <c r="N38" s="202">
        <f>IF($M38="","",INDEX('_Datos'!$AR$7:$AR$200,$M38)+(31-INDEX('_Datos'!$BO$7:$BO$200,$M38)))</f>
      </c>
      <c r="O38" s="202">
        <f>IF($M38="","",INDEX('_Datos'!$AQ$7:$AQ$200,$M38)+$N38*INDEX('_Datos'!$AP$7:$AP$200,$M38)*'Sprints'!$D$5-'Sprints'!$D$5)</f>
      </c>
      <c r="P38" s="202">
        <f>IF($M38="","",$O38*100000+31)</f>
      </c>
      <c r="Q38" s="202">
        <f>IFERROR(MATCH(SMALL($P$7:$P116,31+1),$P$7:$P116,0),"")</f>
      </c>
      <c r="R38" s="202">
        <f>IF($Q38="","",INDEX($M$7:$M116,$Q38))</f>
      </c>
      <c r="S38" s="202">
        <f>IF($Q38="","",INDEX($N$7:$N116,$Q38))</f>
      </c>
      <c r="T38" s="202">
        <f>IF($Q38="","",INDEX($O$7:$O116,$Q38))</f>
      </c>
      <c r="U38" s="202">
        <f>IF($R38="","",$S38=INDEX('_Datos'!$AV$7:$AV$200,$R38))</f>
      </c>
    </row>
    <row r="39">
      <c r="B39" s="207">
        <f>IF($Q39="","",$T39)</f>
      </c>
      <c r="C39" s="205">
        <f>IF($R39="","",INDEX('_Datos'!$F$7:$F$200,$R39))</f>
      </c>
      <c r="D39" s="204">
        <f>IF($R39="","",INDEX('_Datos'!$AO$7:$AO$200,$R39))</f>
      </c>
      <c r="E39" s="204">
        <f>IF($S39="","","S"&amp;$S39)</f>
      </c>
      <c r="F39" s="204">
        <f>IF($Q39="","",IF($U39,"● VIGENTE","Cerrado"))</f>
      </c>
      <c r="G39" s="205">
        <f>IF($Q39="","",IF($U39,INDEX('_Datos'!$AT$7:$AT$200,$R39),"→ pasó a S"&amp;($S39+1)))</f>
      </c>
      <c r="H39" s="208">
        <f>IF($Q39="","",IF($U39,INDEX('_Datos'!$I$7:$I$200,$R39),""))</f>
      </c>
      <c r="I39" s="207">
        <f>IF($Q39="","",IF($U39,IF(ISNUMBER(INDEX('Backlog General'!$O$7:$O$200,$R39)),INDEX('Backlog General'!$O$7:$O$200,$R39),""),""))</f>
      </c>
      <c r="L39" s="202">
        <f>IF(32&lt;SUM('_Datos'!$BN$7:$BN$200),SUMPRODUCT(('_Datos'!$BO$7:$BO$200&lt;=32)*(('_Datos'!$BO$7:$BO$200+'_Datos'!$BN$7:$BN$200)&gt;32)*('_Datos'!$BN$7:$BN$200&gt;0)*'_Datos'!$A$7:$A$200),"")</f>
      </c>
      <c r="M39" s="202">
        <f>IF($L39="","",$L39-6)</f>
      </c>
      <c r="N39" s="202">
        <f>IF($M39="","",INDEX('_Datos'!$AR$7:$AR$200,$M39)+(32-INDEX('_Datos'!$BO$7:$BO$200,$M39)))</f>
      </c>
      <c r="O39" s="202">
        <f>IF($M39="","",INDEX('_Datos'!$AQ$7:$AQ$200,$M39)+$N39*INDEX('_Datos'!$AP$7:$AP$200,$M39)*'Sprints'!$D$5-'Sprints'!$D$5)</f>
      </c>
      <c r="P39" s="202">
        <f>IF($M39="","",$O39*100000+32)</f>
      </c>
      <c r="Q39" s="202">
        <f>IFERROR(MATCH(SMALL($P$7:$P116,32+1),$P$7:$P116,0),"")</f>
      </c>
      <c r="R39" s="202">
        <f>IF($Q39="","",INDEX($M$7:$M116,$Q39))</f>
      </c>
      <c r="S39" s="202">
        <f>IF($Q39="","",INDEX($N$7:$N116,$Q39))</f>
      </c>
      <c r="T39" s="202">
        <f>IF($Q39="","",INDEX($O$7:$O116,$Q39))</f>
      </c>
      <c r="U39" s="202">
        <f>IF($R39="","",$S39=INDEX('_Datos'!$AV$7:$AV$200,$R39))</f>
      </c>
    </row>
    <row r="40">
      <c r="B40" s="207">
        <f>IF($Q40="","",$T40)</f>
      </c>
      <c r="C40" s="205">
        <f>IF($R40="","",INDEX('_Datos'!$F$7:$F$200,$R40))</f>
      </c>
      <c r="D40" s="204">
        <f>IF($R40="","",INDEX('_Datos'!$AO$7:$AO$200,$R40))</f>
      </c>
      <c r="E40" s="204">
        <f>IF($S40="","","S"&amp;$S40)</f>
      </c>
      <c r="F40" s="204">
        <f>IF($Q40="","",IF($U40,"● VIGENTE","Cerrado"))</f>
      </c>
      <c r="G40" s="205">
        <f>IF($Q40="","",IF($U40,INDEX('_Datos'!$AT$7:$AT$200,$R40),"→ pasó a S"&amp;($S40+1)))</f>
      </c>
      <c r="H40" s="208">
        <f>IF($Q40="","",IF($U40,INDEX('_Datos'!$I$7:$I$200,$R40),""))</f>
      </c>
      <c r="I40" s="207">
        <f>IF($Q40="","",IF($U40,IF(ISNUMBER(INDEX('Backlog General'!$O$7:$O$200,$R40)),INDEX('Backlog General'!$O$7:$O$200,$R40),""),""))</f>
      </c>
      <c r="L40" s="202">
        <f>IF(33&lt;SUM('_Datos'!$BN$7:$BN$200),SUMPRODUCT(('_Datos'!$BO$7:$BO$200&lt;=33)*(('_Datos'!$BO$7:$BO$200+'_Datos'!$BN$7:$BN$200)&gt;33)*('_Datos'!$BN$7:$BN$200&gt;0)*'_Datos'!$A$7:$A$200),"")</f>
      </c>
      <c r="M40" s="202">
        <f>IF($L40="","",$L40-6)</f>
      </c>
      <c r="N40" s="202">
        <f>IF($M40="","",INDEX('_Datos'!$AR$7:$AR$200,$M40)+(33-INDEX('_Datos'!$BO$7:$BO$200,$M40)))</f>
      </c>
      <c r="O40" s="202">
        <f>IF($M40="","",INDEX('_Datos'!$AQ$7:$AQ$200,$M40)+$N40*INDEX('_Datos'!$AP$7:$AP$200,$M40)*'Sprints'!$D$5-'Sprints'!$D$5)</f>
      </c>
      <c r="P40" s="202">
        <f>IF($M40="","",$O40*100000+33)</f>
      </c>
      <c r="Q40" s="202">
        <f>IFERROR(MATCH(SMALL($P$7:$P116,33+1),$P$7:$P116,0),"")</f>
      </c>
      <c r="R40" s="202">
        <f>IF($Q40="","",INDEX($M$7:$M116,$Q40))</f>
      </c>
      <c r="S40" s="202">
        <f>IF($Q40="","",INDEX($N$7:$N116,$Q40))</f>
      </c>
      <c r="T40" s="202">
        <f>IF($Q40="","",INDEX($O$7:$O116,$Q40))</f>
      </c>
      <c r="U40" s="202">
        <f>IF($R40="","",$S40=INDEX('_Datos'!$AV$7:$AV$200,$R40))</f>
      </c>
    </row>
    <row r="41">
      <c r="B41" s="207">
        <f>IF($Q41="","",$T41)</f>
      </c>
      <c r="C41" s="205">
        <f>IF($R41="","",INDEX('_Datos'!$F$7:$F$200,$R41))</f>
      </c>
      <c r="D41" s="204">
        <f>IF($R41="","",INDEX('_Datos'!$AO$7:$AO$200,$R41))</f>
      </c>
      <c r="E41" s="204">
        <f>IF($S41="","","S"&amp;$S41)</f>
      </c>
      <c r="F41" s="204">
        <f>IF($Q41="","",IF($U41,"● VIGENTE","Cerrado"))</f>
      </c>
      <c r="G41" s="205">
        <f>IF($Q41="","",IF($U41,INDEX('_Datos'!$AT$7:$AT$200,$R41),"→ pasó a S"&amp;($S41+1)))</f>
      </c>
      <c r="H41" s="208">
        <f>IF($Q41="","",IF($U41,INDEX('_Datos'!$I$7:$I$200,$R41),""))</f>
      </c>
      <c r="I41" s="207">
        <f>IF($Q41="","",IF($U41,IF(ISNUMBER(INDEX('Backlog General'!$O$7:$O$200,$R41)),INDEX('Backlog General'!$O$7:$O$200,$R41),""),""))</f>
      </c>
      <c r="L41" s="202">
        <f>IF(34&lt;SUM('_Datos'!$BN$7:$BN$200),SUMPRODUCT(('_Datos'!$BO$7:$BO$200&lt;=34)*(('_Datos'!$BO$7:$BO$200+'_Datos'!$BN$7:$BN$200)&gt;34)*('_Datos'!$BN$7:$BN$200&gt;0)*'_Datos'!$A$7:$A$200),"")</f>
      </c>
      <c r="M41" s="202">
        <f>IF($L41="","",$L41-6)</f>
      </c>
      <c r="N41" s="202">
        <f>IF($M41="","",INDEX('_Datos'!$AR$7:$AR$200,$M41)+(34-INDEX('_Datos'!$BO$7:$BO$200,$M41)))</f>
      </c>
      <c r="O41" s="202">
        <f>IF($M41="","",INDEX('_Datos'!$AQ$7:$AQ$200,$M41)+$N41*INDEX('_Datos'!$AP$7:$AP$200,$M41)*'Sprints'!$D$5-'Sprints'!$D$5)</f>
      </c>
      <c r="P41" s="202">
        <f>IF($M41="","",$O41*100000+34)</f>
      </c>
      <c r="Q41" s="202">
        <f>IFERROR(MATCH(SMALL($P$7:$P116,34+1),$P$7:$P116,0),"")</f>
      </c>
      <c r="R41" s="202">
        <f>IF($Q41="","",INDEX($M$7:$M116,$Q41))</f>
      </c>
      <c r="S41" s="202">
        <f>IF($Q41="","",INDEX($N$7:$N116,$Q41))</f>
      </c>
      <c r="T41" s="202">
        <f>IF($Q41="","",INDEX($O$7:$O116,$Q41))</f>
      </c>
      <c r="U41" s="202">
        <f>IF($R41="","",$S41=INDEX('_Datos'!$AV$7:$AV$200,$R41))</f>
      </c>
    </row>
    <row r="42">
      <c r="B42" s="207">
        <f>IF($Q42="","",$T42)</f>
      </c>
      <c r="C42" s="205">
        <f>IF($R42="","",INDEX('_Datos'!$F$7:$F$200,$R42))</f>
      </c>
      <c r="D42" s="204">
        <f>IF($R42="","",INDEX('_Datos'!$AO$7:$AO$200,$R42))</f>
      </c>
      <c r="E42" s="204">
        <f>IF($S42="","","S"&amp;$S42)</f>
      </c>
      <c r="F42" s="204">
        <f>IF($Q42="","",IF($U42,"● VIGENTE","Cerrado"))</f>
      </c>
      <c r="G42" s="205">
        <f>IF($Q42="","",IF($U42,INDEX('_Datos'!$AT$7:$AT$200,$R42),"→ pasó a S"&amp;($S42+1)))</f>
      </c>
      <c r="H42" s="208">
        <f>IF($Q42="","",IF($U42,INDEX('_Datos'!$I$7:$I$200,$R42),""))</f>
      </c>
      <c r="I42" s="207">
        <f>IF($Q42="","",IF($U42,IF(ISNUMBER(INDEX('Backlog General'!$O$7:$O$200,$R42)),INDEX('Backlog General'!$O$7:$O$200,$R42),""),""))</f>
      </c>
      <c r="L42" s="202">
        <f>IF(35&lt;SUM('_Datos'!$BN$7:$BN$200),SUMPRODUCT(('_Datos'!$BO$7:$BO$200&lt;=35)*(('_Datos'!$BO$7:$BO$200+'_Datos'!$BN$7:$BN$200)&gt;35)*('_Datos'!$BN$7:$BN$200&gt;0)*'_Datos'!$A$7:$A$200),"")</f>
      </c>
      <c r="M42" s="202">
        <f>IF($L42="","",$L42-6)</f>
      </c>
      <c r="N42" s="202">
        <f>IF($M42="","",INDEX('_Datos'!$AR$7:$AR$200,$M42)+(35-INDEX('_Datos'!$BO$7:$BO$200,$M42)))</f>
      </c>
      <c r="O42" s="202">
        <f>IF($M42="","",INDEX('_Datos'!$AQ$7:$AQ$200,$M42)+$N42*INDEX('_Datos'!$AP$7:$AP$200,$M42)*'Sprints'!$D$5-'Sprints'!$D$5)</f>
      </c>
      <c r="P42" s="202">
        <f>IF($M42="","",$O42*100000+35)</f>
      </c>
      <c r="Q42" s="202">
        <f>IFERROR(MATCH(SMALL($P$7:$P116,35+1),$P$7:$P116,0),"")</f>
      </c>
      <c r="R42" s="202">
        <f>IF($Q42="","",INDEX($M$7:$M116,$Q42))</f>
      </c>
      <c r="S42" s="202">
        <f>IF($Q42="","",INDEX($N$7:$N116,$Q42))</f>
      </c>
      <c r="T42" s="202">
        <f>IF($Q42="","",INDEX($O$7:$O116,$Q42))</f>
      </c>
      <c r="U42" s="202">
        <f>IF($R42="","",$S42=INDEX('_Datos'!$AV$7:$AV$200,$R42))</f>
      </c>
    </row>
    <row r="43">
      <c r="B43" s="207">
        <f>IF($Q43="","",$T43)</f>
      </c>
      <c r="C43" s="205">
        <f>IF($R43="","",INDEX('_Datos'!$F$7:$F$200,$R43))</f>
      </c>
      <c r="D43" s="204">
        <f>IF($R43="","",INDEX('_Datos'!$AO$7:$AO$200,$R43))</f>
      </c>
      <c r="E43" s="204">
        <f>IF($S43="","","S"&amp;$S43)</f>
      </c>
      <c r="F43" s="204">
        <f>IF($Q43="","",IF($U43,"● VIGENTE","Cerrado"))</f>
      </c>
      <c r="G43" s="205">
        <f>IF($Q43="","",IF($U43,INDEX('_Datos'!$AT$7:$AT$200,$R43),"→ pasó a S"&amp;($S43+1)))</f>
      </c>
      <c r="H43" s="208">
        <f>IF($Q43="","",IF($U43,INDEX('_Datos'!$I$7:$I$200,$R43),""))</f>
      </c>
      <c r="I43" s="207">
        <f>IF($Q43="","",IF($U43,IF(ISNUMBER(INDEX('Backlog General'!$O$7:$O$200,$R43)),INDEX('Backlog General'!$O$7:$O$200,$R43),""),""))</f>
      </c>
      <c r="L43" s="202">
        <f>IF(36&lt;SUM('_Datos'!$BN$7:$BN$200),SUMPRODUCT(('_Datos'!$BO$7:$BO$200&lt;=36)*(('_Datos'!$BO$7:$BO$200+'_Datos'!$BN$7:$BN$200)&gt;36)*('_Datos'!$BN$7:$BN$200&gt;0)*'_Datos'!$A$7:$A$200),"")</f>
      </c>
      <c r="M43" s="202">
        <f>IF($L43="","",$L43-6)</f>
      </c>
      <c r="N43" s="202">
        <f>IF($M43="","",INDEX('_Datos'!$AR$7:$AR$200,$M43)+(36-INDEX('_Datos'!$BO$7:$BO$200,$M43)))</f>
      </c>
      <c r="O43" s="202">
        <f>IF($M43="","",INDEX('_Datos'!$AQ$7:$AQ$200,$M43)+$N43*INDEX('_Datos'!$AP$7:$AP$200,$M43)*'Sprints'!$D$5-'Sprints'!$D$5)</f>
      </c>
      <c r="P43" s="202">
        <f>IF($M43="","",$O43*100000+36)</f>
      </c>
      <c r="Q43" s="202">
        <f>IFERROR(MATCH(SMALL($P$7:$P116,36+1),$P$7:$P116,0),"")</f>
      </c>
      <c r="R43" s="202">
        <f>IF($Q43="","",INDEX($M$7:$M116,$Q43))</f>
      </c>
      <c r="S43" s="202">
        <f>IF($Q43="","",INDEX($N$7:$N116,$Q43))</f>
      </c>
      <c r="T43" s="202">
        <f>IF($Q43="","",INDEX($O$7:$O116,$Q43))</f>
      </c>
      <c r="U43" s="202">
        <f>IF($R43="","",$S43=INDEX('_Datos'!$AV$7:$AV$200,$R43))</f>
      </c>
    </row>
    <row r="44">
      <c r="B44" s="207">
        <f>IF($Q44="","",$T44)</f>
      </c>
      <c r="C44" s="205">
        <f>IF($R44="","",INDEX('_Datos'!$F$7:$F$200,$R44))</f>
      </c>
      <c r="D44" s="204">
        <f>IF($R44="","",INDEX('_Datos'!$AO$7:$AO$200,$R44))</f>
      </c>
      <c r="E44" s="204">
        <f>IF($S44="","","S"&amp;$S44)</f>
      </c>
      <c r="F44" s="204">
        <f>IF($Q44="","",IF($U44,"● VIGENTE","Cerrado"))</f>
      </c>
      <c r="G44" s="205">
        <f>IF($Q44="","",IF($U44,INDEX('_Datos'!$AT$7:$AT$200,$R44),"→ pasó a S"&amp;($S44+1)))</f>
      </c>
      <c r="H44" s="208">
        <f>IF($Q44="","",IF($U44,INDEX('_Datos'!$I$7:$I$200,$R44),""))</f>
      </c>
      <c r="I44" s="207">
        <f>IF($Q44="","",IF($U44,IF(ISNUMBER(INDEX('Backlog General'!$O$7:$O$200,$R44)),INDEX('Backlog General'!$O$7:$O$200,$R44),""),""))</f>
      </c>
      <c r="L44" s="202">
        <f>IF(37&lt;SUM('_Datos'!$BN$7:$BN$200),SUMPRODUCT(('_Datos'!$BO$7:$BO$200&lt;=37)*(('_Datos'!$BO$7:$BO$200+'_Datos'!$BN$7:$BN$200)&gt;37)*('_Datos'!$BN$7:$BN$200&gt;0)*'_Datos'!$A$7:$A$200),"")</f>
      </c>
      <c r="M44" s="202">
        <f>IF($L44="","",$L44-6)</f>
      </c>
      <c r="N44" s="202">
        <f>IF($M44="","",INDEX('_Datos'!$AR$7:$AR$200,$M44)+(37-INDEX('_Datos'!$BO$7:$BO$200,$M44)))</f>
      </c>
      <c r="O44" s="202">
        <f>IF($M44="","",INDEX('_Datos'!$AQ$7:$AQ$200,$M44)+$N44*INDEX('_Datos'!$AP$7:$AP$200,$M44)*'Sprints'!$D$5-'Sprints'!$D$5)</f>
      </c>
      <c r="P44" s="202">
        <f>IF($M44="","",$O44*100000+37)</f>
      </c>
      <c r="Q44" s="202">
        <f>IFERROR(MATCH(SMALL($P$7:$P116,37+1),$P$7:$P116,0),"")</f>
      </c>
      <c r="R44" s="202">
        <f>IF($Q44="","",INDEX($M$7:$M116,$Q44))</f>
      </c>
      <c r="S44" s="202">
        <f>IF($Q44="","",INDEX($N$7:$N116,$Q44))</f>
      </c>
      <c r="T44" s="202">
        <f>IF($Q44="","",INDEX($O$7:$O116,$Q44))</f>
      </c>
      <c r="U44" s="202">
        <f>IF($R44="","",$S44=INDEX('_Datos'!$AV$7:$AV$200,$R44))</f>
      </c>
    </row>
    <row r="45">
      <c r="B45" s="207">
        <f>IF($Q45="","",$T45)</f>
      </c>
      <c r="C45" s="205">
        <f>IF($R45="","",INDEX('_Datos'!$F$7:$F$200,$R45))</f>
      </c>
      <c r="D45" s="204">
        <f>IF($R45="","",INDEX('_Datos'!$AO$7:$AO$200,$R45))</f>
      </c>
      <c r="E45" s="204">
        <f>IF($S45="","","S"&amp;$S45)</f>
      </c>
      <c r="F45" s="204">
        <f>IF($Q45="","",IF($U45,"● VIGENTE","Cerrado"))</f>
      </c>
      <c r="G45" s="205">
        <f>IF($Q45="","",IF($U45,INDEX('_Datos'!$AT$7:$AT$200,$R45),"→ pasó a S"&amp;($S45+1)))</f>
      </c>
      <c r="H45" s="208">
        <f>IF($Q45="","",IF($U45,INDEX('_Datos'!$I$7:$I$200,$R45),""))</f>
      </c>
      <c r="I45" s="207">
        <f>IF($Q45="","",IF($U45,IF(ISNUMBER(INDEX('Backlog General'!$O$7:$O$200,$R45)),INDEX('Backlog General'!$O$7:$O$200,$R45),""),""))</f>
      </c>
      <c r="L45" s="202">
        <f>IF(38&lt;SUM('_Datos'!$BN$7:$BN$200),SUMPRODUCT(('_Datos'!$BO$7:$BO$200&lt;=38)*(('_Datos'!$BO$7:$BO$200+'_Datos'!$BN$7:$BN$200)&gt;38)*('_Datos'!$BN$7:$BN$200&gt;0)*'_Datos'!$A$7:$A$200),"")</f>
      </c>
      <c r="M45" s="202">
        <f>IF($L45="","",$L45-6)</f>
      </c>
      <c r="N45" s="202">
        <f>IF($M45="","",INDEX('_Datos'!$AR$7:$AR$200,$M45)+(38-INDEX('_Datos'!$BO$7:$BO$200,$M45)))</f>
      </c>
      <c r="O45" s="202">
        <f>IF($M45="","",INDEX('_Datos'!$AQ$7:$AQ$200,$M45)+$N45*INDEX('_Datos'!$AP$7:$AP$200,$M45)*'Sprints'!$D$5-'Sprints'!$D$5)</f>
      </c>
      <c r="P45" s="202">
        <f>IF($M45="","",$O45*100000+38)</f>
      </c>
      <c r="Q45" s="202">
        <f>IFERROR(MATCH(SMALL($P$7:$P116,38+1),$P$7:$P116,0),"")</f>
      </c>
      <c r="R45" s="202">
        <f>IF($Q45="","",INDEX($M$7:$M116,$Q45))</f>
      </c>
      <c r="S45" s="202">
        <f>IF($Q45="","",INDEX($N$7:$N116,$Q45))</f>
      </c>
      <c r="T45" s="202">
        <f>IF($Q45="","",INDEX($O$7:$O116,$Q45))</f>
      </c>
      <c r="U45" s="202">
        <f>IF($R45="","",$S45=INDEX('_Datos'!$AV$7:$AV$200,$R45))</f>
      </c>
    </row>
    <row r="46">
      <c r="B46" s="207">
        <f>IF($Q46="","",$T46)</f>
      </c>
      <c r="C46" s="205">
        <f>IF($R46="","",INDEX('_Datos'!$F$7:$F$200,$R46))</f>
      </c>
      <c r="D46" s="204">
        <f>IF($R46="","",INDEX('_Datos'!$AO$7:$AO$200,$R46))</f>
      </c>
      <c r="E46" s="204">
        <f>IF($S46="","","S"&amp;$S46)</f>
      </c>
      <c r="F46" s="204">
        <f>IF($Q46="","",IF($U46,"● VIGENTE","Cerrado"))</f>
      </c>
      <c r="G46" s="205">
        <f>IF($Q46="","",IF($U46,INDEX('_Datos'!$AT$7:$AT$200,$R46),"→ pasó a S"&amp;($S46+1)))</f>
      </c>
      <c r="H46" s="208">
        <f>IF($Q46="","",IF($U46,INDEX('_Datos'!$I$7:$I$200,$R46),""))</f>
      </c>
      <c r="I46" s="207">
        <f>IF($Q46="","",IF($U46,IF(ISNUMBER(INDEX('Backlog General'!$O$7:$O$200,$R46)),INDEX('Backlog General'!$O$7:$O$200,$R46),""),""))</f>
      </c>
      <c r="L46" s="202">
        <f>IF(39&lt;SUM('_Datos'!$BN$7:$BN$200),SUMPRODUCT(('_Datos'!$BO$7:$BO$200&lt;=39)*(('_Datos'!$BO$7:$BO$200+'_Datos'!$BN$7:$BN$200)&gt;39)*('_Datos'!$BN$7:$BN$200&gt;0)*'_Datos'!$A$7:$A$200),"")</f>
      </c>
      <c r="M46" s="202">
        <f>IF($L46="","",$L46-6)</f>
      </c>
      <c r="N46" s="202">
        <f>IF($M46="","",INDEX('_Datos'!$AR$7:$AR$200,$M46)+(39-INDEX('_Datos'!$BO$7:$BO$200,$M46)))</f>
      </c>
      <c r="O46" s="202">
        <f>IF($M46="","",INDEX('_Datos'!$AQ$7:$AQ$200,$M46)+$N46*INDEX('_Datos'!$AP$7:$AP$200,$M46)*'Sprints'!$D$5-'Sprints'!$D$5)</f>
      </c>
      <c r="P46" s="202">
        <f>IF($M46="","",$O46*100000+39)</f>
      </c>
      <c r="Q46" s="202">
        <f>IFERROR(MATCH(SMALL($P$7:$P116,39+1),$P$7:$P116,0),"")</f>
      </c>
      <c r="R46" s="202">
        <f>IF($Q46="","",INDEX($M$7:$M116,$Q46))</f>
      </c>
      <c r="S46" s="202">
        <f>IF($Q46="","",INDEX($N$7:$N116,$Q46))</f>
      </c>
      <c r="T46" s="202">
        <f>IF($Q46="","",INDEX($O$7:$O116,$Q46))</f>
      </c>
      <c r="U46" s="202">
        <f>IF($R46="","",$S46=INDEX('_Datos'!$AV$7:$AV$200,$R46))</f>
      </c>
    </row>
    <row r="47">
      <c r="B47" s="207">
        <f>IF($Q47="","",$T47)</f>
      </c>
      <c r="C47" s="205">
        <f>IF($R47="","",INDEX('_Datos'!$F$7:$F$200,$R47))</f>
      </c>
      <c r="D47" s="204">
        <f>IF($R47="","",INDEX('_Datos'!$AO$7:$AO$200,$R47))</f>
      </c>
      <c r="E47" s="204">
        <f>IF($S47="","","S"&amp;$S47)</f>
      </c>
      <c r="F47" s="204">
        <f>IF($Q47="","",IF($U47,"● VIGENTE","Cerrado"))</f>
      </c>
      <c r="G47" s="205">
        <f>IF($Q47="","",IF($U47,INDEX('_Datos'!$AT$7:$AT$200,$R47),"→ pasó a S"&amp;($S47+1)))</f>
      </c>
      <c r="H47" s="208">
        <f>IF($Q47="","",IF($U47,INDEX('_Datos'!$I$7:$I$200,$R47),""))</f>
      </c>
      <c r="I47" s="207">
        <f>IF($Q47="","",IF($U47,IF(ISNUMBER(INDEX('Backlog General'!$O$7:$O$200,$R47)),INDEX('Backlog General'!$O$7:$O$200,$R47),""),""))</f>
      </c>
      <c r="L47" s="202">
        <f>IF(40&lt;SUM('_Datos'!$BN$7:$BN$200),SUMPRODUCT(('_Datos'!$BO$7:$BO$200&lt;=40)*(('_Datos'!$BO$7:$BO$200+'_Datos'!$BN$7:$BN$200)&gt;40)*('_Datos'!$BN$7:$BN$200&gt;0)*'_Datos'!$A$7:$A$200),"")</f>
      </c>
      <c r="M47" s="202">
        <f>IF($L47="","",$L47-6)</f>
      </c>
      <c r="N47" s="202">
        <f>IF($M47="","",INDEX('_Datos'!$AR$7:$AR$200,$M47)+(40-INDEX('_Datos'!$BO$7:$BO$200,$M47)))</f>
      </c>
      <c r="O47" s="202">
        <f>IF($M47="","",INDEX('_Datos'!$AQ$7:$AQ$200,$M47)+$N47*INDEX('_Datos'!$AP$7:$AP$200,$M47)*'Sprints'!$D$5-'Sprints'!$D$5)</f>
      </c>
      <c r="P47" s="202">
        <f>IF($M47="","",$O47*100000+40)</f>
      </c>
      <c r="Q47" s="202">
        <f>IFERROR(MATCH(SMALL($P$7:$P116,40+1),$P$7:$P116,0),"")</f>
      </c>
      <c r="R47" s="202">
        <f>IF($Q47="","",INDEX($M$7:$M116,$Q47))</f>
      </c>
      <c r="S47" s="202">
        <f>IF($Q47="","",INDEX($N$7:$N116,$Q47))</f>
      </c>
      <c r="T47" s="202">
        <f>IF($Q47="","",INDEX($O$7:$O116,$Q47))</f>
      </c>
      <c r="U47" s="202">
        <f>IF($R47="","",$S47=INDEX('_Datos'!$AV$7:$AV$200,$R47))</f>
      </c>
    </row>
    <row r="48">
      <c r="B48" s="207">
        <f>IF($Q48="","",$T48)</f>
      </c>
      <c r="C48" s="205">
        <f>IF($R48="","",INDEX('_Datos'!$F$7:$F$200,$R48))</f>
      </c>
      <c r="D48" s="204">
        <f>IF($R48="","",INDEX('_Datos'!$AO$7:$AO$200,$R48))</f>
      </c>
      <c r="E48" s="204">
        <f>IF($S48="","","S"&amp;$S48)</f>
      </c>
      <c r="F48" s="204">
        <f>IF($Q48="","",IF($U48,"● VIGENTE","Cerrado"))</f>
      </c>
      <c r="G48" s="205">
        <f>IF($Q48="","",IF($U48,INDEX('_Datos'!$AT$7:$AT$200,$R48),"→ pasó a S"&amp;($S48+1)))</f>
      </c>
      <c r="H48" s="208">
        <f>IF($Q48="","",IF($U48,INDEX('_Datos'!$I$7:$I$200,$R48),""))</f>
      </c>
      <c r="I48" s="207">
        <f>IF($Q48="","",IF($U48,IF(ISNUMBER(INDEX('Backlog General'!$O$7:$O$200,$R48)),INDEX('Backlog General'!$O$7:$O$200,$R48),""),""))</f>
      </c>
      <c r="L48" s="202">
        <f>IF(41&lt;SUM('_Datos'!$BN$7:$BN$200),SUMPRODUCT(('_Datos'!$BO$7:$BO$200&lt;=41)*(('_Datos'!$BO$7:$BO$200+'_Datos'!$BN$7:$BN$200)&gt;41)*('_Datos'!$BN$7:$BN$200&gt;0)*'_Datos'!$A$7:$A$200),"")</f>
      </c>
      <c r="M48" s="202">
        <f>IF($L48="","",$L48-6)</f>
      </c>
      <c r="N48" s="202">
        <f>IF($M48="","",INDEX('_Datos'!$AR$7:$AR$200,$M48)+(41-INDEX('_Datos'!$BO$7:$BO$200,$M48)))</f>
      </c>
      <c r="O48" s="202">
        <f>IF($M48="","",INDEX('_Datos'!$AQ$7:$AQ$200,$M48)+$N48*INDEX('_Datos'!$AP$7:$AP$200,$M48)*'Sprints'!$D$5-'Sprints'!$D$5)</f>
      </c>
      <c r="P48" s="202">
        <f>IF($M48="","",$O48*100000+41)</f>
      </c>
      <c r="Q48" s="202">
        <f>IFERROR(MATCH(SMALL($P$7:$P116,41+1),$P$7:$P116,0),"")</f>
      </c>
      <c r="R48" s="202">
        <f>IF($Q48="","",INDEX($M$7:$M116,$Q48))</f>
      </c>
      <c r="S48" s="202">
        <f>IF($Q48="","",INDEX($N$7:$N116,$Q48))</f>
      </c>
      <c r="T48" s="202">
        <f>IF($Q48="","",INDEX($O$7:$O116,$Q48))</f>
      </c>
      <c r="U48" s="202">
        <f>IF($R48="","",$S48=INDEX('_Datos'!$AV$7:$AV$200,$R48))</f>
      </c>
    </row>
    <row r="49">
      <c r="B49" s="207">
        <f>IF($Q49="","",$T49)</f>
      </c>
      <c r="C49" s="205">
        <f>IF($R49="","",INDEX('_Datos'!$F$7:$F$200,$R49))</f>
      </c>
      <c r="D49" s="204">
        <f>IF($R49="","",INDEX('_Datos'!$AO$7:$AO$200,$R49))</f>
      </c>
      <c r="E49" s="204">
        <f>IF($S49="","","S"&amp;$S49)</f>
      </c>
      <c r="F49" s="204">
        <f>IF($Q49="","",IF($U49,"● VIGENTE","Cerrado"))</f>
      </c>
      <c r="G49" s="205">
        <f>IF($Q49="","",IF($U49,INDEX('_Datos'!$AT$7:$AT$200,$R49),"→ pasó a S"&amp;($S49+1)))</f>
      </c>
      <c r="H49" s="208">
        <f>IF($Q49="","",IF($U49,INDEX('_Datos'!$I$7:$I$200,$R49),""))</f>
      </c>
      <c r="I49" s="207">
        <f>IF($Q49="","",IF($U49,IF(ISNUMBER(INDEX('Backlog General'!$O$7:$O$200,$R49)),INDEX('Backlog General'!$O$7:$O$200,$R49),""),""))</f>
      </c>
      <c r="L49" s="202">
        <f>IF(42&lt;SUM('_Datos'!$BN$7:$BN$200),SUMPRODUCT(('_Datos'!$BO$7:$BO$200&lt;=42)*(('_Datos'!$BO$7:$BO$200+'_Datos'!$BN$7:$BN$200)&gt;42)*('_Datos'!$BN$7:$BN$200&gt;0)*'_Datos'!$A$7:$A$200),"")</f>
      </c>
      <c r="M49" s="202">
        <f>IF($L49="","",$L49-6)</f>
      </c>
      <c r="N49" s="202">
        <f>IF($M49="","",INDEX('_Datos'!$AR$7:$AR$200,$M49)+(42-INDEX('_Datos'!$BO$7:$BO$200,$M49)))</f>
      </c>
      <c r="O49" s="202">
        <f>IF($M49="","",INDEX('_Datos'!$AQ$7:$AQ$200,$M49)+$N49*INDEX('_Datos'!$AP$7:$AP$200,$M49)*'Sprints'!$D$5-'Sprints'!$D$5)</f>
      </c>
      <c r="P49" s="202">
        <f>IF($M49="","",$O49*100000+42)</f>
      </c>
      <c r="Q49" s="202">
        <f>IFERROR(MATCH(SMALL($P$7:$P116,42+1),$P$7:$P116,0),"")</f>
      </c>
      <c r="R49" s="202">
        <f>IF($Q49="","",INDEX($M$7:$M116,$Q49))</f>
      </c>
      <c r="S49" s="202">
        <f>IF($Q49="","",INDEX($N$7:$N116,$Q49))</f>
      </c>
      <c r="T49" s="202">
        <f>IF($Q49="","",INDEX($O$7:$O116,$Q49))</f>
      </c>
      <c r="U49" s="202">
        <f>IF($R49="","",$S49=INDEX('_Datos'!$AV$7:$AV$200,$R49))</f>
      </c>
    </row>
    <row r="50">
      <c r="B50" s="207">
        <f>IF($Q50="","",$T50)</f>
      </c>
      <c r="C50" s="205">
        <f>IF($R50="","",INDEX('_Datos'!$F$7:$F$200,$R50))</f>
      </c>
      <c r="D50" s="204">
        <f>IF($R50="","",INDEX('_Datos'!$AO$7:$AO$200,$R50))</f>
      </c>
      <c r="E50" s="204">
        <f>IF($S50="","","S"&amp;$S50)</f>
      </c>
      <c r="F50" s="204">
        <f>IF($Q50="","",IF($U50,"● VIGENTE","Cerrado"))</f>
      </c>
      <c r="G50" s="205">
        <f>IF($Q50="","",IF($U50,INDEX('_Datos'!$AT$7:$AT$200,$R50),"→ pasó a S"&amp;($S50+1)))</f>
      </c>
      <c r="H50" s="208">
        <f>IF($Q50="","",IF($U50,INDEX('_Datos'!$I$7:$I$200,$R50),""))</f>
      </c>
      <c r="I50" s="207">
        <f>IF($Q50="","",IF($U50,IF(ISNUMBER(INDEX('Backlog General'!$O$7:$O$200,$R50)),INDEX('Backlog General'!$O$7:$O$200,$R50),""),""))</f>
      </c>
      <c r="L50" s="202">
        <f>IF(43&lt;SUM('_Datos'!$BN$7:$BN$200),SUMPRODUCT(('_Datos'!$BO$7:$BO$200&lt;=43)*(('_Datos'!$BO$7:$BO$200+'_Datos'!$BN$7:$BN$200)&gt;43)*('_Datos'!$BN$7:$BN$200&gt;0)*'_Datos'!$A$7:$A$200),"")</f>
      </c>
      <c r="M50" s="202">
        <f>IF($L50="","",$L50-6)</f>
      </c>
      <c r="N50" s="202">
        <f>IF($M50="","",INDEX('_Datos'!$AR$7:$AR$200,$M50)+(43-INDEX('_Datos'!$BO$7:$BO$200,$M50)))</f>
      </c>
      <c r="O50" s="202">
        <f>IF($M50="","",INDEX('_Datos'!$AQ$7:$AQ$200,$M50)+$N50*INDEX('_Datos'!$AP$7:$AP$200,$M50)*'Sprints'!$D$5-'Sprints'!$D$5)</f>
      </c>
      <c r="P50" s="202">
        <f>IF($M50="","",$O50*100000+43)</f>
      </c>
      <c r="Q50" s="202">
        <f>IFERROR(MATCH(SMALL($P$7:$P116,43+1),$P$7:$P116,0),"")</f>
      </c>
      <c r="R50" s="202">
        <f>IF($Q50="","",INDEX($M$7:$M116,$Q50))</f>
      </c>
      <c r="S50" s="202">
        <f>IF($Q50="","",INDEX($N$7:$N116,$Q50))</f>
      </c>
      <c r="T50" s="202">
        <f>IF($Q50="","",INDEX($O$7:$O116,$Q50))</f>
      </c>
      <c r="U50" s="202">
        <f>IF($R50="","",$S50=INDEX('_Datos'!$AV$7:$AV$200,$R50))</f>
      </c>
    </row>
    <row r="51">
      <c r="B51" s="207">
        <f>IF($Q51="","",$T51)</f>
      </c>
      <c r="C51" s="205">
        <f>IF($R51="","",INDEX('_Datos'!$F$7:$F$200,$R51))</f>
      </c>
      <c r="D51" s="204">
        <f>IF($R51="","",INDEX('_Datos'!$AO$7:$AO$200,$R51))</f>
      </c>
      <c r="E51" s="204">
        <f>IF($S51="","","S"&amp;$S51)</f>
      </c>
      <c r="F51" s="204">
        <f>IF($Q51="","",IF($U51,"● VIGENTE","Cerrado"))</f>
      </c>
      <c r="G51" s="205">
        <f>IF($Q51="","",IF($U51,INDEX('_Datos'!$AT$7:$AT$200,$R51),"→ pasó a S"&amp;($S51+1)))</f>
      </c>
      <c r="H51" s="208">
        <f>IF($Q51="","",IF($U51,INDEX('_Datos'!$I$7:$I$200,$R51),""))</f>
      </c>
      <c r="I51" s="207">
        <f>IF($Q51="","",IF($U51,IF(ISNUMBER(INDEX('Backlog General'!$O$7:$O$200,$R51)),INDEX('Backlog General'!$O$7:$O$200,$R51),""),""))</f>
      </c>
      <c r="L51" s="202">
        <f>IF(44&lt;SUM('_Datos'!$BN$7:$BN$200),SUMPRODUCT(('_Datos'!$BO$7:$BO$200&lt;=44)*(('_Datos'!$BO$7:$BO$200+'_Datos'!$BN$7:$BN$200)&gt;44)*('_Datos'!$BN$7:$BN$200&gt;0)*'_Datos'!$A$7:$A$200),"")</f>
      </c>
      <c r="M51" s="202">
        <f>IF($L51="","",$L51-6)</f>
      </c>
      <c r="N51" s="202">
        <f>IF($M51="","",INDEX('_Datos'!$AR$7:$AR$200,$M51)+(44-INDEX('_Datos'!$BO$7:$BO$200,$M51)))</f>
      </c>
      <c r="O51" s="202">
        <f>IF($M51="","",INDEX('_Datos'!$AQ$7:$AQ$200,$M51)+$N51*INDEX('_Datos'!$AP$7:$AP$200,$M51)*'Sprints'!$D$5-'Sprints'!$D$5)</f>
      </c>
      <c r="P51" s="202">
        <f>IF($M51="","",$O51*100000+44)</f>
      </c>
      <c r="Q51" s="202">
        <f>IFERROR(MATCH(SMALL($P$7:$P116,44+1),$P$7:$P116,0),"")</f>
      </c>
      <c r="R51" s="202">
        <f>IF($Q51="","",INDEX($M$7:$M116,$Q51))</f>
      </c>
      <c r="S51" s="202">
        <f>IF($Q51="","",INDEX($N$7:$N116,$Q51))</f>
      </c>
      <c r="T51" s="202">
        <f>IF($Q51="","",INDEX($O$7:$O116,$Q51))</f>
      </c>
      <c r="U51" s="202">
        <f>IF($R51="","",$S51=INDEX('_Datos'!$AV$7:$AV$200,$R51))</f>
      </c>
    </row>
    <row r="52">
      <c r="B52" s="207">
        <f>IF($Q52="","",$T52)</f>
      </c>
      <c r="C52" s="205">
        <f>IF($R52="","",INDEX('_Datos'!$F$7:$F$200,$R52))</f>
      </c>
      <c r="D52" s="204">
        <f>IF($R52="","",INDEX('_Datos'!$AO$7:$AO$200,$R52))</f>
      </c>
      <c r="E52" s="204">
        <f>IF($S52="","","S"&amp;$S52)</f>
      </c>
      <c r="F52" s="204">
        <f>IF($Q52="","",IF($U52,"● VIGENTE","Cerrado"))</f>
      </c>
      <c r="G52" s="205">
        <f>IF($Q52="","",IF($U52,INDEX('_Datos'!$AT$7:$AT$200,$R52),"→ pasó a S"&amp;($S52+1)))</f>
      </c>
      <c r="H52" s="208">
        <f>IF($Q52="","",IF($U52,INDEX('_Datos'!$I$7:$I$200,$R52),""))</f>
      </c>
      <c r="I52" s="207">
        <f>IF($Q52="","",IF($U52,IF(ISNUMBER(INDEX('Backlog General'!$O$7:$O$200,$R52)),INDEX('Backlog General'!$O$7:$O$200,$R52),""),""))</f>
      </c>
      <c r="L52" s="202">
        <f>IF(45&lt;SUM('_Datos'!$BN$7:$BN$200),SUMPRODUCT(('_Datos'!$BO$7:$BO$200&lt;=45)*(('_Datos'!$BO$7:$BO$200+'_Datos'!$BN$7:$BN$200)&gt;45)*('_Datos'!$BN$7:$BN$200&gt;0)*'_Datos'!$A$7:$A$200),"")</f>
      </c>
      <c r="M52" s="202">
        <f>IF($L52="","",$L52-6)</f>
      </c>
      <c r="N52" s="202">
        <f>IF($M52="","",INDEX('_Datos'!$AR$7:$AR$200,$M52)+(45-INDEX('_Datos'!$BO$7:$BO$200,$M52)))</f>
      </c>
      <c r="O52" s="202">
        <f>IF($M52="","",INDEX('_Datos'!$AQ$7:$AQ$200,$M52)+$N52*INDEX('_Datos'!$AP$7:$AP$200,$M52)*'Sprints'!$D$5-'Sprints'!$D$5)</f>
      </c>
      <c r="P52" s="202">
        <f>IF($M52="","",$O52*100000+45)</f>
      </c>
      <c r="Q52" s="202">
        <f>IFERROR(MATCH(SMALL($P$7:$P116,45+1),$P$7:$P116,0),"")</f>
      </c>
      <c r="R52" s="202">
        <f>IF($Q52="","",INDEX($M$7:$M116,$Q52))</f>
      </c>
      <c r="S52" s="202">
        <f>IF($Q52="","",INDEX($N$7:$N116,$Q52))</f>
      </c>
      <c r="T52" s="202">
        <f>IF($Q52="","",INDEX($O$7:$O116,$Q52))</f>
      </c>
      <c r="U52" s="202">
        <f>IF($R52="","",$S52=INDEX('_Datos'!$AV$7:$AV$200,$R52))</f>
      </c>
    </row>
    <row r="53">
      <c r="B53" s="207">
        <f>IF($Q53="","",$T53)</f>
      </c>
      <c r="C53" s="205">
        <f>IF($R53="","",INDEX('_Datos'!$F$7:$F$200,$R53))</f>
      </c>
      <c r="D53" s="204">
        <f>IF($R53="","",INDEX('_Datos'!$AO$7:$AO$200,$R53))</f>
      </c>
      <c r="E53" s="204">
        <f>IF($S53="","","S"&amp;$S53)</f>
      </c>
      <c r="F53" s="204">
        <f>IF($Q53="","",IF($U53,"● VIGENTE","Cerrado"))</f>
      </c>
      <c r="G53" s="205">
        <f>IF($Q53="","",IF($U53,INDEX('_Datos'!$AT$7:$AT$200,$R53),"→ pasó a S"&amp;($S53+1)))</f>
      </c>
      <c r="H53" s="208">
        <f>IF($Q53="","",IF($U53,INDEX('_Datos'!$I$7:$I$200,$R53),""))</f>
      </c>
      <c r="I53" s="207">
        <f>IF($Q53="","",IF($U53,IF(ISNUMBER(INDEX('Backlog General'!$O$7:$O$200,$R53)),INDEX('Backlog General'!$O$7:$O$200,$R53),""),""))</f>
      </c>
      <c r="L53" s="202">
        <f>IF(46&lt;SUM('_Datos'!$BN$7:$BN$200),SUMPRODUCT(('_Datos'!$BO$7:$BO$200&lt;=46)*(('_Datos'!$BO$7:$BO$200+'_Datos'!$BN$7:$BN$200)&gt;46)*('_Datos'!$BN$7:$BN$200&gt;0)*'_Datos'!$A$7:$A$200),"")</f>
      </c>
      <c r="M53" s="202">
        <f>IF($L53="","",$L53-6)</f>
      </c>
      <c r="N53" s="202">
        <f>IF($M53="","",INDEX('_Datos'!$AR$7:$AR$200,$M53)+(46-INDEX('_Datos'!$BO$7:$BO$200,$M53)))</f>
      </c>
      <c r="O53" s="202">
        <f>IF($M53="","",INDEX('_Datos'!$AQ$7:$AQ$200,$M53)+$N53*INDEX('_Datos'!$AP$7:$AP$200,$M53)*'Sprints'!$D$5-'Sprints'!$D$5)</f>
      </c>
      <c r="P53" s="202">
        <f>IF($M53="","",$O53*100000+46)</f>
      </c>
      <c r="Q53" s="202">
        <f>IFERROR(MATCH(SMALL($P$7:$P116,46+1),$P$7:$P116,0),"")</f>
      </c>
      <c r="R53" s="202">
        <f>IF($Q53="","",INDEX($M$7:$M116,$Q53))</f>
      </c>
      <c r="S53" s="202">
        <f>IF($Q53="","",INDEX($N$7:$N116,$Q53))</f>
      </c>
      <c r="T53" s="202">
        <f>IF($Q53="","",INDEX($O$7:$O116,$Q53))</f>
      </c>
      <c r="U53" s="202">
        <f>IF($R53="","",$S53=INDEX('_Datos'!$AV$7:$AV$200,$R53))</f>
      </c>
    </row>
    <row r="54">
      <c r="B54" s="207">
        <f>IF($Q54="","",$T54)</f>
      </c>
      <c r="C54" s="205">
        <f>IF($R54="","",INDEX('_Datos'!$F$7:$F$200,$R54))</f>
      </c>
      <c r="D54" s="204">
        <f>IF($R54="","",INDEX('_Datos'!$AO$7:$AO$200,$R54))</f>
      </c>
      <c r="E54" s="204">
        <f>IF($S54="","","S"&amp;$S54)</f>
      </c>
      <c r="F54" s="204">
        <f>IF($Q54="","",IF($U54,"● VIGENTE","Cerrado"))</f>
      </c>
      <c r="G54" s="205">
        <f>IF($Q54="","",IF($U54,INDEX('_Datos'!$AT$7:$AT$200,$R54),"→ pasó a S"&amp;($S54+1)))</f>
      </c>
      <c r="H54" s="208">
        <f>IF($Q54="","",IF($U54,INDEX('_Datos'!$I$7:$I$200,$R54),""))</f>
      </c>
      <c r="I54" s="207">
        <f>IF($Q54="","",IF($U54,IF(ISNUMBER(INDEX('Backlog General'!$O$7:$O$200,$R54)),INDEX('Backlog General'!$O$7:$O$200,$R54),""),""))</f>
      </c>
      <c r="L54" s="202">
        <f>IF(47&lt;SUM('_Datos'!$BN$7:$BN$200),SUMPRODUCT(('_Datos'!$BO$7:$BO$200&lt;=47)*(('_Datos'!$BO$7:$BO$200+'_Datos'!$BN$7:$BN$200)&gt;47)*('_Datos'!$BN$7:$BN$200&gt;0)*'_Datos'!$A$7:$A$200),"")</f>
      </c>
      <c r="M54" s="202">
        <f>IF($L54="","",$L54-6)</f>
      </c>
      <c r="N54" s="202">
        <f>IF($M54="","",INDEX('_Datos'!$AR$7:$AR$200,$M54)+(47-INDEX('_Datos'!$BO$7:$BO$200,$M54)))</f>
      </c>
      <c r="O54" s="202">
        <f>IF($M54="","",INDEX('_Datos'!$AQ$7:$AQ$200,$M54)+$N54*INDEX('_Datos'!$AP$7:$AP$200,$M54)*'Sprints'!$D$5-'Sprints'!$D$5)</f>
      </c>
      <c r="P54" s="202">
        <f>IF($M54="","",$O54*100000+47)</f>
      </c>
      <c r="Q54" s="202">
        <f>IFERROR(MATCH(SMALL($P$7:$P116,47+1),$P$7:$P116,0),"")</f>
      </c>
      <c r="R54" s="202">
        <f>IF($Q54="","",INDEX($M$7:$M116,$Q54))</f>
      </c>
      <c r="S54" s="202">
        <f>IF($Q54="","",INDEX($N$7:$N116,$Q54))</f>
      </c>
      <c r="T54" s="202">
        <f>IF($Q54="","",INDEX($O$7:$O116,$Q54))</f>
      </c>
      <c r="U54" s="202">
        <f>IF($R54="","",$S54=INDEX('_Datos'!$AV$7:$AV$200,$R54))</f>
      </c>
    </row>
    <row r="55">
      <c r="B55" s="207">
        <f>IF($Q55="","",$T55)</f>
      </c>
      <c r="C55" s="205">
        <f>IF($R55="","",INDEX('_Datos'!$F$7:$F$200,$R55))</f>
      </c>
      <c r="D55" s="204">
        <f>IF($R55="","",INDEX('_Datos'!$AO$7:$AO$200,$R55))</f>
      </c>
      <c r="E55" s="204">
        <f>IF($S55="","","S"&amp;$S55)</f>
      </c>
      <c r="F55" s="204">
        <f>IF($Q55="","",IF($U55,"● VIGENTE","Cerrado"))</f>
      </c>
      <c r="G55" s="205">
        <f>IF($Q55="","",IF($U55,INDEX('_Datos'!$AT$7:$AT$200,$R55),"→ pasó a S"&amp;($S55+1)))</f>
      </c>
      <c r="H55" s="208">
        <f>IF($Q55="","",IF($U55,INDEX('_Datos'!$I$7:$I$200,$R55),""))</f>
      </c>
      <c r="I55" s="207">
        <f>IF($Q55="","",IF($U55,IF(ISNUMBER(INDEX('Backlog General'!$O$7:$O$200,$R55)),INDEX('Backlog General'!$O$7:$O$200,$R55),""),""))</f>
      </c>
      <c r="L55" s="202">
        <f>IF(48&lt;SUM('_Datos'!$BN$7:$BN$200),SUMPRODUCT(('_Datos'!$BO$7:$BO$200&lt;=48)*(('_Datos'!$BO$7:$BO$200+'_Datos'!$BN$7:$BN$200)&gt;48)*('_Datos'!$BN$7:$BN$200&gt;0)*'_Datos'!$A$7:$A$200),"")</f>
      </c>
      <c r="M55" s="202">
        <f>IF($L55="","",$L55-6)</f>
      </c>
      <c r="N55" s="202">
        <f>IF($M55="","",INDEX('_Datos'!$AR$7:$AR$200,$M55)+(48-INDEX('_Datos'!$BO$7:$BO$200,$M55)))</f>
      </c>
      <c r="O55" s="202">
        <f>IF($M55="","",INDEX('_Datos'!$AQ$7:$AQ$200,$M55)+$N55*INDEX('_Datos'!$AP$7:$AP$200,$M55)*'Sprints'!$D$5-'Sprints'!$D$5)</f>
      </c>
      <c r="P55" s="202">
        <f>IF($M55="","",$O55*100000+48)</f>
      </c>
      <c r="Q55" s="202">
        <f>IFERROR(MATCH(SMALL($P$7:$P116,48+1),$P$7:$P116,0),"")</f>
      </c>
      <c r="R55" s="202">
        <f>IF($Q55="","",INDEX($M$7:$M116,$Q55))</f>
      </c>
      <c r="S55" s="202">
        <f>IF($Q55="","",INDEX($N$7:$N116,$Q55))</f>
      </c>
      <c r="T55" s="202">
        <f>IF($Q55="","",INDEX($O$7:$O116,$Q55))</f>
      </c>
      <c r="U55" s="202">
        <f>IF($R55="","",$S55=INDEX('_Datos'!$AV$7:$AV$200,$R55))</f>
      </c>
    </row>
    <row r="56">
      <c r="B56" s="207">
        <f>IF($Q56="","",$T56)</f>
      </c>
      <c r="C56" s="205">
        <f>IF($R56="","",INDEX('_Datos'!$F$7:$F$200,$R56))</f>
      </c>
      <c r="D56" s="204">
        <f>IF($R56="","",INDEX('_Datos'!$AO$7:$AO$200,$R56))</f>
      </c>
      <c r="E56" s="204">
        <f>IF($S56="","","S"&amp;$S56)</f>
      </c>
      <c r="F56" s="204">
        <f>IF($Q56="","",IF($U56,"● VIGENTE","Cerrado"))</f>
      </c>
      <c r="G56" s="205">
        <f>IF($Q56="","",IF($U56,INDEX('_Datos'!$AT$7:$AT$200,$R56),"→ pasó a S"&amp;($S56+1)))</f>
      </c>
      <c r="H56" s="208">
        <f>IF($Q56="","",IF($U56,INDEX('_Datos'!$I$7:$I$200,$R56),""))</f>
      </c>
      <c r="I56" s="207">
        <f>IF($Q56="","",IF($U56,IF(ISNUMBER(INDEX('Backlog General'!$O$7:$O$200,$R56)),INDEX('Backlog General'!$O$7:$O$200,$R56),""),""))</f>
      </c>
      <c r="L56" s="202">
        <f>IF(49&lt;SUM('_Datos'!$BN$7:$BN$200),SUMPRODUCT(('_Datos'!$BO$7:$BO$200&lt;=49)*(('_Datos'!$BO$7:$BO$200+'_Datos'!$BN$7:$BN$200)&gt;49)*('_Datos'!$BN$7:$BN$200&gt;0)*'_Datos'!$A$7:$A$200),"")</f>
      </c>
      <c r="M56" s="202">
        <f>IF($L56="","",$L56-6)</f>
      </c>
      <c r="N56" s="202">
        <f>IF($M56="","",INDEX('_Datos'!$AR$7:$AR$200,$M56)+(49-INDEX('_Datos'!$BO$7:$BO$200,$M56)))</f>
      </c>
      <c r="O56" s="202">
        <f>IF($M56="","",INDEX('_Datos'!$AQ$7:$AQ$200,$M56)+$N56*INDEX('_Datos'!$AP$7:$AP$200,$M56)*'Sprints'!$D$5-'Sprints'!$D$5)</f>
      </c>
      <c r="P56" s="202">
        <f>IF($M56="","",$O56*100000+49)</f>
      </c>
      <c r="Q56" s="202">
        <f>IFERROR(MATCH(SMALL($P$7:$P116,49+1),$P$7:$P116,0),"")</f>
      </c>
      <c r="R56" s="202">
        <f>IF($Q56="","",INDEX($M$7:$M116,$Q56))</f>
      </c>
      <c r="S56" s="202">
        <f>IF($Q56="","",INDEX($N$7:$N116,$Q56))</f>
      </c>
      <c r="T56" s="202">
        <f>IF($Q56="","",INDEX($O$7:$O116,$Q56))</f>
      </c>
      <c r="U56" s="202">
        <f>IF($R56="","",$S56=INDEX('_Datos'!$AV$7:$AV$200,$R56))</f>
      </c>
    </row>
    <row r="57">
      <c r="B57" s="207">
        <f>IF($Q57="","",$T57)</f>
      </c>
      <c r="C57" s="205">
        <f>IF($R57="","",INDEX('_Datos'!$F$7:$F$200,$R57))</f>
      </c>
      <c r="D57" s="204">
        <f>IF($R57="","",INDEX('_Datos'!$AO$7:$AO$200,$R57))</f>
      </c>
      <c r="E57" s="204">
        <f>IF($S57="","","S"&amp;$S57)</f>
      </c>
      <c r="F57" s="204">
        <f>IF($Q57="","",IF($U57,"● VIGENTE","Cerrado"))</f>
      </c>
      <c r="G57" s="205">
        <f>IF($Q57="","",IF($U57,INDEX('_Datos'!$AT$7:$AT$200,$R57),"→ pasó a S"&amp;($S57+1)))</f>
      </c>
      <c r="H57" s="208">
        <f>IF($Q57="","",IF($U57,INDEX('_Datos'!$I$7:$I$200,$R57),""))</f>
      </c>
      <c r="I57" s="207">
        <f>IF($Q57="","",IF($U57,IF(ISNUMBER(INDEX('Backlog General'!$O$7:$O$200,$R57)),INDEX('Backlog General'!$O$7:$O$200,$R57),""),""))</f>
      </c>
      <c r="L57" s="202">
        <f>IF(50&lt;SUM('_Datos'!$BN$7:$BN$200),SUMPRODUCT(('_Datos'!$BO$7:$BO$200&lt;=50)*(('_Datos'!$BO$7:$BO$200+'_Datos'!$BN$7:$BN$200)&gt;50)*('_Datos'!$BN$7:$BN$200&gt;0)*'_Datos'!$A$7:$A$200),"")</f>
      </c>
      <c r="M57" s="202">
        <f>IF($L57="","",$L57-6)</f>
      </c>
      <c r="N57" s="202">
        <f>IF($M57="","",INDEX('_Datos'!$AR$7:$AR$200,$M57)+(50-INDEX('_Datos'!$BO$7:$BO$200,$M57)))</f>
      </c>
      <c r="O57" s="202">
        <f>IF($M57="","",INDEX('_Datos'!$AQ$7:$AQ$200,$M57)+$N57*INDEX('_Datos'!$AP$7:$AP$200,$M57)*'Sprints'!$D$5-'Sprints'!$D$5)</f>
      </c>
      <c r="P57" s="202">
        <f>IF($M57="","",$O57*100000+50)</f>
      </c>
      <c r="Q57" s="202">
        <f>IFERROR(MATCH(SMALL($P$7:$P116,50+1),$P$7:$P116,0),"")</f>
      </c>
      <c r="R57" s="202">
        <f>IF($Q57="","",INDEX($M$7:$M116,$Q57))</f>
      </c>
      <c r="S57" s="202">
        <f>IF($Q57="","",INDEX($N$7:$N116,$Q57))</f>
      </c>
      <c r="T57" s="202">
        <f>IF($Q57="","",INDEX($O$7:$O116,$Q57))</f>
      </c>
      <c r="U57" s="202">
        <f>IF($R57="","",$S57=INDEX('_Datos'!$AV$7:$AV$200,$R57))</f>
      </c>
    </row>
    <row r="58">
      <c r="B58" s="207">
        <f>IF($Q58="","",$T58)</f>
      </c>
      <c r="C58" s="205">
        <f>IF($R58="","",INDEX('_Datos'!$F$7:$F$200,$R58))</f>
      </c>
      <c r="D58" s="204">
        <f>IF($R58="","",INDEX('_Datos'!$AO$7:$AO$200,$R58))</f>
      </c>
      <c r="E58" s="204">
        <f>IF($S58="","","S"&amp;$S58)</f>
      </c>
      <c r="F58" s="204">
        <f>IF($Q58="","",IF($U58,"● VIGENTE","Cerrado"))</f>
      </c>
      <c r="G58" s="205">
        <f>IF($Q58="","",IF($U58,INDEX('_Datos'!$AT$7:$AT$200,$R58),"→ pasó a S"&amp;($S58+1)))</f>
      </c>
      <c r="H58" s="208">
        <f>IF($Q58="","",IF($U58,INDEX('_Datos'!$I$7:$I$200,$R58),""))</f>
      </c>
      <c r="I58" s="207">
        <f>IF($Q58="","",IF($U58,IF(ISNUMBER(INDEX('Backlog General'!$O$7:$O$200,$R58)),INDEX('Backlog General'!$O$7:$O$200,$R58),""),""))</f>
      </c>
      <c r="L58" s="202">
        <f>IF(51&lt;SUM('_Datos'!$BN$7:$BN$200),SUMPRODUCT(('_Datos'!$BO$7:$BO$200&lt;=51)*(('_Datos'!$BO$7:$BO$200+'_Datos'!$BN$7:$BN$200)&gt;51)*('_Datos'!$BN$7:$BN$200&gt;0)*'_Datos'!$A$7:$A$200),"")</f>
      </c>
      <c r="M58" s="202">
        <f>IF($L58="","",$L58-6)</f>
      </c>
      <c r="N58" s="202">
        <f>IF($M58="","",INDEX('_Datos'!$AR$7:$AR$200,$M58)+(51-INDEX('_Datos'!$BO$7:$BO$200,$M58)))</f>
      </c>
      <c r="O58" s="202">
        <f>IF($M58="","",INDEX('_Datos'!$AQ$7:$AQ$200,$M58)+$N58*INDEX('_Datos'!$AP$7:$AP$200,$M58)*'Sprints'!$D$5-'Sprints'!$D$5)</f>
      </c>
      <c r="P58" s="202">
        <f>IF($M58="","",$O58*100000+51)</f>
      </c>
      <c r="Q58" s="202">
        <f>IFERROR(MATCH(SMALL($P$7:$P116,51+1),$P$7:$P116,0),"")</f>
      </c>
      <c r="R58" s="202">
        <f>IF($Q58="","",INDEX($M$7:$M116,$Q58))</f>
      </c>
      <c r="S58" s="202">
        <f>IF($Q58="","",INDEX($N$7:$N116,$Q58))</f>
      </c>
      <c r="T58" s="202">
        <f>IF($Q58="","",INDEX($O$7:$O116,$Q58))</f>
      </c>
      <c r="U58" s="202">
        <f>IF($R58="","",$S58=INDEX('_Datos'!$AV$7:$AV$200,$R58))</f>
      </c>
    </row>
    <row r="59">
      <c r="B59" s="207">
        <f>IF($Q59="","",$T59)</f>
      </c>
      <c r="C59" s="205">
        <f>IF($R59="","",INDEX('_Datos'!$F$7:$F$200,$R59))</f>
      </c>
      <c r="D59" s="204">
        <f>IF($R59="","",INDEX('_Datos'!$AO$7:$AO$200,$R59))</f>
      </c>
      <c r="E59" s="204">
        <f>IF($S59="","","S"&amp;$S59)</f>
      </c>
      <c r="F59" s="204">
        <f>IF($Q59="","",IF($U59,"● VIGENTE","Cerrado"))</f>
      </c>
      <c r="G59" s="205">
        <f>IF($Q59="","",IF($U59,INDEX('_Datos'!$AT$7:$AT$200,$R59),"→ pasó a S"&amp;($S59+1)))</f>
      </c>
      <c r="H59" s="208">
        <f>IF($Q59="","",IF($U59,INDEX('_Datos'!$I$7:$I$200,$R59),""))</f>
      </c>
      <c r="I59" s="207">
        <f>IF($Q59="","",IF($U59,IF(ISNUMBER(INDEX('Backlog General'!$O$7:$O$200,$R59)),INDEX('Backlog General'!$O$7:$O$200,$R59),""),""))</f>
      </c>
      <c r="L59" s="202">
        <f>IF(52&lt;SUM('_Datos'!$BN$7:$BN$200),SUMPRODUCT(('_Datos'!$BO$7:$BO$200&lt;=52)*(('_Datos'!$BO$7:$BO$200+'_Datos'!$BN$7:$BN$200)&gt;52)*('_Datos'!$BN$7:$BN$200&gt;0)*'_Datos'!$A$7:$A$200),"")</f>
      </c>
      <c r="M59" s="202">
        <f>IF($L59="","",$L59-6)</f>
      </c>
      <c r="N59" s="202">
        <f>IF($M59="","",INDEX('_Datos'!$AR$7:$AR$200,$M59)+(52-INDEX('_Datos'!$BO$7:$BO$200,$M59)))</f>
      </c>
      <c r="O59" s="202">
        <f>IF($M59="","",INDEX('_Datos'!$AQ$7:$AQ$200,$M59)+$N59*INDEX('_Datos'!$AP$7:$AP$200,$M59)*'Sprints'!$D$5-'Sprints'!$D$5)</f>
      </c>
      <c r="P59" s="202">
        <f>IF($M59="","",$O59*100000+52)</f>
      </c>
      <c r="Q59" s="202">
        <f>IFERROR(MATCH(SMALL($P$7:$P116,52+1),$P$7:$P116,0),"")</f>
      </c>
      <c r="R59" s="202">
        <f>IF($Q59="","",INDEX($M$7:$M116,$Q59))</f>
      </c>
      <c r="S59" s="202">
        <f>IF($Q59="","",INDEX($N$7:$N116,$Q59))</f>
      </c>
      <c r="T59" s="202">
        <f>IF($Q59="","",INDEX($O$7:$O116,$Q59))</f>
      </c>
      <c r="U59" s="202">
        <f>IF($R59="","",$S59=INDEX('_Datos'!$AV$7:$AV$200,$R59))</f>
      </c>
    </row>
    <row r="60">
      <c r="B60" s="207">
        <f>IF($Q60="","",$T60)</f>
      </c>
      <c r="C60" s="205">
        <f>IF($R60="","",INDEX('_Datos'!$F$7:$F$200,$R60))</f>
      </c>
      <c r="D60" s="204">
        <f>IF($R60="","",INDEX('_Datos'!$AO$7:$AO$200,$R60))</f>
      </c>
      <c r="E60" s="204">
        <f>IF($S60="","","S"&amp;$S60)</f>
      </c>
      <c r="F60" s="204">
        <f>IF($Q60="","",IF($U60,"● VIGENTE","Cerrado"))</f>
      </c>
      <c r="G60" s="205">
        <f>IF($Q60="","",IF($U60,INDEX('_Datos'!$AT$7:$AT$200,$R60),"→ pasó a S"&amp;($S60+1)))</f>
      </c>
      <c r="H60" s="208">
        <f>IF($Q60="","",IF($U60,INDEX('_Datos'!$I$7:$I$200,$R60),""))</f>
      </c>
      <c r="I60" s="207">
        <f>IF($Q60="","",IF($U60,IF(ISNUMBER(INDEX('Backlog General'!$O$7:$O$200,$R60)),INDEX('Backlog General'!$O$7:$O$200,$R60),""),""))</f>
      </c>
      <c r="L60" s="202">
        <f>IF(53&lt;SUM('_Datos'!$BN$7:$BN$200),SUMPRODUCT(('_Datos'!$BO$7:$BO$200&lt;=53)*(('_Datos'!$BO$7:$BO$200+'_Datos'!$BN$7:$BN$200)&gt;53)*('_Datos'!$BN$7:$BN$200&gt;0)*'_Datos'!$A$7:$A$200),"")</f>
      </c>
      <c r="M60" s="202">
        <f>IF($L60="","",$L60-6)</f>
      </c>
      <c r="N60" s="202">
        <f>IF($M60="","",INDEX('_Datos'!$AR$7:$AR$200,$M60)+(53-INDEX('_Datos'!$BO$7:$BO$200,$M60)))</f>
      </c>
      <c r="O60" s="202">
        <f>IF($M60="","",INDEX('_Datos'!$AQ$7:$AQ$200,$M60)+$N60*INDEX('_Datos'!$AP$7:$AP$200,$M60)*'Sprints'!$D$5-'Sprints'!$D$5)</f>
      </c>
      <c r="P60" s="202">
        <f>IF($M60="","",$O60*100000+53)</f>
      </c>
      <c r="Q60" s="202">
        <f>IFERROR(MATCH(SMALL($P$7:$P116,53+1),$P$7:$P116,0),"")</f>
      </c>
      <c r="R60" s="202">
        <f>IF($Q60="","",INDEX($M$7:$M116,$Q60))</f>
      </c>
      <c r="S60" s="202">
        <f>IF($Q60="","",INDEX($N$7:$N116,$Q60))</f>
      </c>
      <c r="T60" s="202">
        <f>IF($Q60="","",INDEX($O$7:$O116,$Q60))</f>
      </c>
      <c r="U60" s="202">
        <f>IF($R60="","",$S60=INDEX('_Datos'!$AV$7:$AV$200,$R60))</f>
      </c>
    </row>
    <row r="61">
      <c r="B61" s="207">
        <f>IF($Q61="","",$T61)</f>
      </c>
      <c r="C61" s="205">
        <f>IF($R61="","",INDEX('_Datos'!$F$7:$F$200,$R61))</f>
      </c>
      <c r="D61" s="204">
        <f>IF($R61="","",INDEX('_Datos'!$AO$7:$AO$200,$R61))</f>
      </c>
      <c r="E61" s="204">
        <f>IF($S61="","","S"&amp;$S61)</f>
      </c>
      <c r="F61" s="204">
        <f>IF($Q61="","",IF($U61,"● VIGENTE","Cerrado"))</f>
      </c>
      <c r="G61" s="205">
        <f>IF($Q61="","",IF($U61,INDEX('_Datos'!$AT$7:$AT$200,$R61),"→ pasó a S"&amp;($S61+1)))</f>
      </c>
      <c r="H61" s="208">
        <f>IF($Q61="","",IF($U61,INDEX('_Datos'!$I$7:$I$200,$R61),""))</f>
      </c>
      <c r="I61" s="207">
        <f>IF($Q61="","",IF($U61,IF(ISNUMBER(INDEX('Backlog General'!$O$7:$O$200,$R61)),INDEX('Backlog General'!$O$7:$O$200,$R61),""),""))</f>
      </c>
      <c r="L61" s="202">
        <f>IF(54&lt;SUM('_Datos'!$BN$7:$BN$200),SUMPRODUCT(('_Datos'!$BO$7:$BO$200&lt;=54)*(('_Datos'!$BO$7:$BO$200+'_Datos'!$BN$7:$BN$200)&gt;54)*('_Datos'!$BN$7:$BN$200&gt;0)*'_Datos'!$A$7:$A$200),"")</f>
      </c>
      <c r="M61" s="202">
        <f>IF($L61="","",$L61-6)</f>
      </c>
      <c r="N61" s="202">
        <f>IF($M61="","",INDEX('_Datos'!$AR$7:$AR$200,$M61)+(54-INDEX('_Datos'!$BO$7:$BO$200,$M61)))</f>
      </c>
      <c r="O61" s="202">
        <f>IF($M61="","",INDEX('_Datos'!$AQ$7:$AQ$200,$M61)+$N61*INDEX('_Datos'!$AP$7:$AP$200,$M61)*'Sprints'!$D$5-'Sprints'!$D$5)</f>
      </c>
      <c r="P61" s="202">
        <f>IF($M61="","",$O61*100000+54)</f>
      </c>
      <c r="Q61" s="202">
        <f>IFERROR(MATCH(SMALL($P$7:$P116,54+1),$P$7:$P116,0),"")</f>
      </c>
      <c r="R61" s="202">
        <f>IF($Q61="","",INDEX($M$7:$M116,$Q61))</f>
      </c>
      <c r="S61" s="202">
        <f>IF($Q61="","",INDEX($N$7:$N116,$Q61))</f>
      </c>
      <c r="T61" s="202">
        <f>IF($Q61="","",INDEX($O$7:$O116,$Q61))</f>
      </c>
      <c r="U61" s="202">
        <f>IF($R61="","",$S61=INDEX('_Datos'!$AV$7:$AV$200,$R61))</f>
      </c>
    </row>
    <row r="62">
      <c r="B62" s="207">
        <f>IF($Q62="","",$T62)</f>
      </c>
      <c r="C62" s="205">
        <f>IF($R62="","",INDEX('_Datos'!$F$7:$F$200,$R62))</f>
      </c>
      <c r="D62" s="204">
        <f>IF($R62="","",INDEX('_Datos'!$AO$7:$AO$200,$R62))</f>
      </c>
      <c r="E62" s="204">
        <f>IF($S62="","","S"&amp;$S62)</f>
      </c>
      <c r="F62" s="204">
        <f>IF($Q62="","",IF($U62,"● VIGENTE","Cerrado"))</f>
      </c>
      <c r="G62" s="205">
        <f>IF($Q62="","",IF($U62,INDEX('_Datos'!$AT$7:$AT$200,$R62),"→ pasó a S"&amp;($S62+1)))</f>
      </c>
      <c r="H62" s="208">
        <f>IF($Q62="","",IF($U62,INDEX('_Datos'!$I$7:$I$200,$R62),""))</f>
      </c>
      <c r="I62" s="207">
        <f>IF($Q62="","",IF($U62,IF(ISNUMBER(INDEX('Backlog General'!$O$7:$O$200,$R62)),INDEX('Backlog General'!$O$7:$O$200,$R62),""),""))</f>
      </c>
      <c r="L62" s="202">
        <f>IF(55&lt;SUM('_Datos'!$BN$7:$BN$200),SUMPRODUCT(('_Datos'!$BO$7:$BO$200&lt;=55)*(('_Datos'!$BO$7:$BO$200+'_Datos'!$BN$7:$BN$200)&gt;55)*('_Datos'!$BN$7:$BN$200&gt;0)*'_Datos'!$A$7:$A$200),"")</f>
      </c>
      <c r="M62" s="202">
        <f>IF($L62="","",$L62-6)</f>
      </c>
      <c r="N62" s="202">
        <f>IF($M62="","",INDEX('_Datos'!$AR$7:$AR$200,$M62)+(55-INDEX('_Datos'!$BO$7:$BO$200,$M62)))</f>
      </c>
      <c r="O62" s="202">
        <f>IF($M62="","",INDEX('_Datos'!$AQ$7:$AQ$200,$M62)+$N62*INDEX('_Datos'!$AP$7:$AP$200,$M62)*'Sprints'!$D$5-'Sprints'!$D$5)</f>
      </c>
      <c r="P62" s="202">
        <f>IF($M62="","",$O62*100000+55)</f>
      </c>
      <c r="Q62" s="202">
        <f>IFERROR(MATCH(SMALL($P$7:$P116,55+1),$P$7:$P116,0),"")</f>
      </c>
      <c r="R62" s="202">
        <f>IF($Q62="","",INDEX($M$7:$M116,$Q62))</f>
      </c>
      <c r="S62" s="202">
        <f>IF($Q62="","",INDEX($N$7:$N116,$Q62))</f>
      </c>
      <c r="T62" s="202">
        <f>IF($Q62="","",INDEX($O$7:$O116,$Q62))</f>
      </c>
      <c r="U62" s="202">
        <f>IF($R62="","",$S62=INDEX('_Datos'!$AV$7:$AV$200,$R62))</f>
      </c>
    </row>
    <row r="63">
      <c r="B63" s="207">
        <f>IF($Q63="","",$T63)</f>
      </c>
      <c r="C63" s="205">
        <f>IF($R63="","",INDEX('_Datos'!$F$7:$F$200,$R63))</f>
      </c>
      <c r="D63" s="204">
        <f>IF($R63="","",INDEX('_Datos'!$AO$7:$AO$200,$R63))</f>
      </c>
      <c r="E63" s="204">
        <f>IF($S63="","","S"&amp;$S63)</f>
      </c>
      <c r="F63" s="204">
        <f>IF($Q63="","",IF($U63,"● VIGENTE","Cerrado"))</f>
      </c>
      <c r="G63" s="205">
        <f>IF($Q63="","",IF($U63,INDEX('_Datos'!$AT$7:$AT$200,$R63),"→ pasó a S"&amp;($S63+1)))</f>
      </c>
      <c r="H63" s="208">
        <f>IF($Q63="","",IF($U63,INDEX('_Datos'!$I$7:$I$200,$R63),""))</f>
      </c>
      <c r="I63" s="207">
        <f>IF($Q63="","",IF($U63,IF(ISNUMBER(INDEX('Backlog General'!$O$7:$O$200,$R63)),INDEX('Backlog General'!$O$7:$O$200,$R63),""),""))</f>
      </c>
      <c r="L63" s="202">
        <f>IF(56&lt;SUM('_Datos'!$BN$7:$BN$200),SUMPRODUCT(('_Datos'!$BO$7:$BO$200&lt;=56)*(('_Datos'!$BO$7:$BO$200+'_Datos'!$BN$7:$BN$200)&gt;56)*('_Datos'!$BN$7:$BN$200&gt;0)*'_Datos'!$A$7:$A$200),"")</f>
      </c>
      <c r="M63" s="202">
        <f>IF($L63="","",$L63-6)</f>
      </c>
      <c r="N63" s="202">
        <f>IF($M63="","",INDEX('_Datos'!$AR$7:$AR$200,$M63)+(56-INDEX('_Datos'!$BO$7:$BO$200,$M63)))</f>
      </c>
      <c r="O63" s="202">
        <f>IF($M63="","",INDEX('_Datos'!$AQ$7:$AQ$200,$M63)+$N63*INDEX('_Datos'!$AP$7:$AP$200,$M63)*'Sprints'!$D$5-'Sprints'!$D$5)</f>
      </c>
      <c r="P63" s="202">
        <f>IF($M63="","",$O63*100000+56)</f>
      </c>
      <c r="Q63" s="202">
        <f>IFERROR(MATCH(SMALL($P$7:$P116,56+1),$P$7:$P116,0),"")</f>
      </c>
      <c r="R63" s="202">
        <f>IF($Q63="","",INDEX($M$7:$M116,$Q63))</f>
      </c>
      <c r="S63" s="202">
        <f>IF($Q63="","",INDEX($N$7:$N116,$Q63))</f>
      </c>
      <c r="T63" s="202">
        <f>IF($Q63="","",INDEX($O$7:$O116,$Q63))</f>
      </c>
      <c r="U63" s="202">
        <f>IF($R63="","",$S63=INDEX('_Datos'!$AV$7:$AV$200,$R63))</f>
      </c>
    </row>
    <row r="64">
      <c r="B64" s="207">
        <f>IF($Q64="","",$T64)</f>
      </c>
      <c r="C64" s="205">
        <f>IF($R64="","",INDEX('_Datos'!$F$7:$F$200,$R64))</f>
      </c>
      <c r="D64" s="204">
        <f>IF($R64="","",INDEX('_Datos'!$AO$7:$AO$200,$R64))</f>
      </c>
      <c r="E64" s="204">
        <f>IF($S64="","","S"&amp;$S64)</f>
      </c>
      <c r="F64" s="204">
        <f>IF($Q64="","",IF($U64,"● VIGENTE","Cerrado"))</f>
      </c>
      <c r="G64" s="205">
        <f>IF($Q64="","",IF($U64,INDEX('_Datos'!$AT$7:$AT$200,$R64),"→ pasó a S"&amp;($S64+1)))</f>
      </c>
      <c r="H64" s="208">
        <f>IF($Q64="","",IF($U64,INDEX('_Datos'!$I$7:$I$200,$R64),""))</f>
      </c>
      <c r="I64" s="207">
        <f>IF($Q64="","",IF($U64,IF(ISNUMBER(INDEX('Backlog General'!$O$7:$O$200,$R64)),INDEX('Backlog General'!$O$7:$O$200,$R64),""),""))</f>
      </c>
      <c r="L64" s="202">
        <f>IF(57&lt;SUM('_Datos'!$BN$7:$BN$200),SUMPRODUCT(('_Datos'!$BO$7:$BO$200&lt;=57)*(('_Datos'!$BO$7:$BO$200+'_Datos'!$BN$7:$BN$200)&gt;57)*('_Datos'!$BN$7:$BN$200&gt;0)*'_Datos'!$A$7:$A$200),"")</f>
      </c>
      <c r="M64" s="202">
        <f>IF($L64="","",$L64-6)</f>
      </c>
      <c r="N64" s="202">
        <f>IF($M64="","",INDEX('_Datos'!$AR$7:$AR$200,$M64)+(57-INDEX('_Datos'!$BO$7:$BO$200,$M64)))</f>
      </c>
      <c r="O64" s="202">
        <f>IF($M64="","",INDEX('_Datos'!$AQ$7:$AQ$200,$M64)+$N64*INDEX('_Datos'!$AP$7:$AP$200,$M64)*'Sprints'!$D$5-'Sprints'!$D$5)</f>
      </c>
      <c r="P64" s="202">
        <f>IF($M64="","",$O64*100000+57)</f>
      </c>
      <c r="Q64" s="202">
        <f>IFERROR(MATCH(SMALL($P$7:$P116,57+1),$P$7:$P116,0),"")</f>
      </c>
      <c r="R64" s="202">
        <f>IF($Q64="","",INDEX($M$7:$M116,$Q64))</f>
      </c>
      <c r="S64" s="202">
        <f>IF($Q64="","",INDEX($N$7:$N116,$Q64))</f>
      </c>
      <c r="T64" s="202">
        <f>IF($Q64="","",INDEX($O$7:$O116,$Q64))</f>
      </c>
      <c r="U64" s="202">
        <f>IF($R64="","",$S64=INDEX('_Datos'!$AV$7:$AV$200,$R64))</f>
      </c>
    </row>
    <row r="65">
      <c r="B65" s="207">
        <f>IF($Q65="","",$T65)</f>
      </c>
      <c r="C65" s="205">
        <f>IF($R65="","",INDEX('_Datos'!$F$7:$F$200,$R65))</f>
      </c>
      <c r="D65" s="204">
        <f>IF($R65="","",INDEX('_Datos'!$AO$7:$AO$200,$R65))</f>
      </c>
      <c r="E65" s="204">
        <f>IF($S65="","","S"&amp;$S65)</f>
      </c>
      <c r="F65" s="204">
        <f>IF($Q65="","",IF($U65,"● VIGENTE","Cerrado"))</f>
      </c>
      <c r="G65" s="205">
        <f>IF($Q65="","",IF($U65,INDEX('_Datos'!$AT$7:$AT$200,$R65),"→ pasó a S"&amp;($S65+1)))</f>
      </c>
      <c r="H65" s="208">
        <f>IF($Q65="","",IF($U65,INDEX('_Datos'!$I$7:$I$200,$R65),""))</f>
      </c>
      <c r="I65" s="207">
        <f>IF($Q65="","",IF($U65,IF(ISNUMBER(INDEX('Backlog General'!$O$7:$O$200,$R65)),INDEX('Backlog General'!$O$7:$O$200,$R65),""),""))</f>
      </c>
      <c r="L65" s="202">
        <f>IF(58&lt;SUM('_Datos'!$BN$7:$BN$200),SUMPRODUCT(('_Datos'!$BO$7:$BO$200&lt;=58)*(('_Datos'!$BO$7:$BO$200+'_Datos'!$BN$7:$BN$200)&gt;58)*('_Datos'!$BN$7:$BN$200&gt;0)*'_Datos'!$A$7:$A$200),"")</f>
      </c>
      <c r="M65" s="202">
        <f>IF($L65="","",$L65-6)</f>
      </c>
      <c r="N65" s="202">
        <f>IF($M65="","",INDEX('_Datos'!$AR$7:$AR$200,$M65)+(58-INDEX('_Datos'!$BO$7:$BO$200,$M65)))</f>
      </c>
      <c r="O65" s="202">
        <f>IF($M65="","",INDEX('_Datos'!$AQ$7:$AQ$200,$M65)+$N65*INDEX('_Datos'!$AP$7:$AP$200,$M65)*'Sprints'!$D$5-'Sprints'!$D$5)</f>
      </c>
      <c r="P65" s="202">
        <f>IF($M65="","",$O65*100000+58)</f>
      </c>
      <c r="Q65" s="202">
        <f>IFERROR(MATCH(SMALL($P$7:$P116,58+1),$P$7:$P116,0),"")</f>
      </c>
      <c r="R65" s="202">
        <f>IF($Q65="","",INDEX($M$7:$M116,$Q65))</f>
      </c>
      <c r="S65" s="202">
        <f>IF($Q65="","",INDEX($N$7:$N116,$Q65))</f>
      </c>
      <c r="T65" s="202">
        <f>IF($Q65="","",INDEX($O$7:$O116,$Q65))</f>
      </c>
      <c r="U65" s="202">
        <f>IF($R65="","",$S65=INDEX('_Datos'!$AV$7:$AV$200,$R65))</f>
      </c>
    </row>
    <row r="66">
      <c r="B66" s="207">
        <f>IF($Q66="","",$T66)</f>
      </c>
      <c r="C66" s="205">
        <f>IF($R66="","",INDEX('_Datos'!$F$7:$F$200,$R66))</f>
      </c>
      <c r="D66" s="204">
        <f>IF($R66="","",INDEX('_Datos'!$AO$7:$AO$200,$R66))</f>
      </c>
      <c r="E66" s="204">
        <f>IF($S66="","","S"&amp;$S66)</f>
      </c>
      <c r="F66" s="204">
        <f>IF($Q66="","",IF($U66,"● VIGENTE","Cerrado"))</f>
      </c>
      <c r="G66" s="205">
        <f>IF($Q66="","",IF($U66,INDEX('_Datos'!$AT$7:$AT$200,$R66),"→ pasó a S"&amp;($S66+1)))</f>
      </c>
      <c r="H66" s="208">
        <f>IF($Q66="","",IF($U66,INDEX('_Datos'!$I$7:$I$200,$R66),""))</f>
      </c>
      <c r="I66" s="207">
        <f>IF($Q66="","",IF($U66,IF(ISNUMBER(INDEX('Backlog General'!$O$7:$O$200,$R66)),INDEX('Backlog General'!$O$7:$O$200,$R66),""),""))</f>
      </c>
      <c r="L66" s="202">
        <f>IF(59&lt;SUM('_Datos'!$BN$7:$BN$200),SUMPRODUCT(('_Datos'!$BO$7:$BO$200&lt;=59)*(('_Datos'!$BO$7:$BO$200+'_Datos'!$BN$7:$BN$200)&gt;59)*('_Datos'!$BN$7:$BN$200&gt;0)*'_Datos'!$A$7:$A$200),"")</f>
      </c>
      <c r="M66" s="202">
        <f>IF($L66="","",$L66-6)</f>
      </c>
      <c r="N66" s="202">
        <f>IF($M66="","",INDEX('_Datos'!$AR$7:$AR$200,$M66)+(59-INDEX('_Datos'!$BO$7:$BO$200,$M66)))</f>
      </c>
      <c r="O66" s="202">
        <f>IF($M66="","",INDEX('_Datos'!$AQ$7:$AQ$200,$M66)+$N66*INDEX('_Datos'!$AP$7:$AP$200,$M66)*'Sprints'!$D$5-'Sprints'!$D$5)</f>
      </c>
      <c r="P66" s="202">
        <f>IF($M66="","",$O66*100000+59)</f>
      </c>
      <c r="Q66" s="202">
        <f>IFERROR(MATCH(SMALL($P$7:$P116,59+1),$P$7:$P116,0),"")</f>
      </c>
      <c r="R66" s="202">
        <f>IF($Q66="","",INDEX($M$7:$M116,$Q66))</f>
      </c>
      <c r="S66" s="202">
        <f>IF($Q66="","",INDEX($N$7:$N116,$Q66))</f>
      </c>
      <c r="T66" s="202">
        <f>IF($Q66="","",INDEX($O$7:$O116,$Q66))</f>
      </c>
      <c r="U66" s="202">
        <f>IF($R66="","",$S66=INDEX('_Datos'!$AV$7:$AV$200,$R66))</f>
      </c>
    </row>
    <row r="67">
      <c r="B67" s="207">
        <f>IF($Q67="","",$T67)</f>
      </c>
      <c r="C67" s="205">
        <f>IF($R67="","",INDEX('_Datos'!$F$7:$F$200,$R67))</f>
      </c>
      <c r="D67" s="204">
        <f>IF($R67="","",INDEX('_Datos'!$AO$7:$AO$200,$R67))</f>
      </c>
      <c r="E67" s="204">
        <f>IF($S67="","","S"&amp;$S67)</f>
      </c>
      <c r="F67" s="204">
        <f>IF($Q67="","",IF($U67,"● VIGENTE","Cerrado"))</f>
      </c>
      <c r="G67" s="205">
        <f>IF($Q67="","",IF($U67,INDEX('_Datos'!$AT$7:$AT$200,$R67),"→ pasó a S"&amp;($S67+1)))</f>
      </c>
      <c r="H67" s="208">
        <f>IF($Q67="","",IF($U67,INDEX('_Datos'!$I$7:$I$200,$R67),""))</f>
      </c>
      <c r="I67" s="207">
        <f>IF($Q67="","",IF($U67,IF(ISNUMBER(INDEX('Backlog General'!$O$7:$O$200,$R67)),INDEX('Backlog General'!$O$7:$O$200,$R67),""),""))</f>
      </c>
      <c r="L67" s="202">
        <f>IF(60&lt;SUM('_Datos'!$BN$7:$BN$200),SUMPRODUCT(('_Datos'!$BO$7:$BO$200&lt;=60)*(('_Datos'!$BO$7:$BO$200+'_Datos'!$BN$7:$BN$200)&gt;60)*('_Datos'!$BN$7:$BN$200&gt;0)*'_Datos'!$A$7:$A$200),"")</f>
      </c>
      <c r="M67" s="202">
        <f>IF($L67="","",$L67-6)</f>
      </c>
      <c r="N67" s="202">
        <f>IF($M67="","",INDEX('_Datos'!$AR$7:$AR$200,$M67)+(60-INDEX('_Datos'!$BO$7:$BO$200,$M67)))</f>
      </c>
      <c r="O67" s="202">
        <f>IF($M67="","",INDEX('_Datos'!$AQ$7:$AQ$200,$M67)+$N67*INDEX('_Datos'!$AP$7:$AP$200,$M67)*'Sprints'!$D$5-'Sprints'!$D$5)</f>
      </c>
      <c r="P67" s="202">
        <f>IF($M67="","",$O67*100000+60)</f>
      </c>
      <c r="Q67" s="202">
        <f>IFERROR(MATCH(SMALL($P$7:$P116,60+1),$P$7:$P116,0),"")</f>
      </c>
      <c r="R67" s="202">
        <f>IF($Q67="","",INDEX($M$7:$M116,$Q67))</f>
      </c>
      <c r="S67" s="202">
        <f>IF($Q67="","",INDEX($N$7:$N116,$Q67))</f>
      </c>
      <c r="T67" s="202">
        <f>IF($Q67="","",INDEX($O$7:$O116,$Q67))</f>
      </c>
      <c r="U67" s="202">
        <f>IF($R67="","",$S67=INDEX('_Datos'!$AV$7:$AV$200,$R67))</f>
      </c>
    </row>
    <row r="68">
      <c r="B68" s="207">
        <f>IF($Q68="","",$T68)</f>
      </c>
      <c r="C68" s="205">
        <f>IF($R68="","",INDEX('_Datos'!$F$7:$F$200,$R68))</f>
      </c>
      <c r="D68" s="204">
        <f>IF($R68="","",INDEX('_Datos'!$AO$7:$AO$200,$R68))</f>
      </c>
      <c r="E68" s="204">
        <f>IF($S68="","","S"&amp;$S68)</f>
      </c>
      <c r="F68" s="204">
        <f>IF($Q68="","",IF($U68,"● VIGENTE","Cerrado"))</f>
      </c>
      <c r="G68" s="205">
        <f>IF($Q68="","",IF($U68,INDEX('_Datos'!$AT$7:$AT$200,$R68),"→ pasó a S"&amp;($S68+1)))</f>
      </c>
      <c r="H68" s="208">
        <f>IF($Q68="","",IF($U68,INDEX('_Datos'!$I$7:$I$200,$R68),""))</f>
      </c>
      <c r="I68" s="207">
        <f>IF($Q68="","",IF($U68,IF(ISNUMBER(INDEX('Backlog General'!$O$7:$O$200,$R68)),INDEX('Backlog General'!$O$7:$O$200,$R68),""),""))</f>
      </c>
      <c r="L68" s="202">
        <f>IF(61&lt;SUM('_Datos'!$BN$7:$BN$200),SUMPRODUCT(('_Datos'!$BO$7:$BO$200&lt;=61)*(('_Datos'!$BO$7:$BO$200+'_Datos'!$BN$7:$BN$200)&gt;61)*('_Datos'!$BN$7:$BN$200&gt;0)*'_Datos'!$A$7:$A$200),"")</f>
      </c>
      <c r="M68" s="202">
        <f>IF($L68="","",$L68-6)</f>
      </c>
      <c r="N68" s="202">
        <f>IF($M68="","",INDEX('_Datos'!$AR$7:$AR$200,$M68)+(61-INDEX('_Datos'!$BO$7:$BO$200,$M68)))</f>
      </c>
      <c r="O68" s="202">
        <f>IF($M68="","",INDEX('_Datos'!$AQ$7:$AQ$200,$M68)+$N68*INDEX('_Datos'!$AP$7:$AP$200,$M68)*'Sprints'!$D$5-'Sprints'!$D$5)</f>
      </c>
      <c r="P68" s="202">
        <f>IF($M68="","",$O68*100000+61)</f>
      </c>
      <c r="Q68" s="202">
        <f>IFERROR(MATCH(SMALL($P$7:$P116,61+1),$P$7:$P116,0),"")</f>
      </c>
      <c r="R68" s="202">
        <f>IF($Q68="","",INDEX($M$7:$M116,$Q68))</f>
      </c>
      <c r="S68" s="202">
        <f>IF($Q68="","",INDEX($N$7:$N116,$Q68))</f>
      </c>
      <c r="T68" s="202">
        <f>IF($Q68="","",INDEX($O$7:$O116,$Q68))</f>
      </c>
      <c r="U68" s="202">
        <f>IF($R68="","",$S68=INDEX('_Datos'!$AV$7:$AV$200,$R68))</f>
      </c>
    </row>
    <row r="69">
      <c r="B69" s="207">
        <f>IF($Q69="","",$T69)</f>
      </c>
      <c r="C69" s="205">
        <f>IF($R69="","",INDEX('_Datos'!$F$7:$F$200,$R69))</f>
      </c>
      <c r="D69" s="204">
        <f>IF($R69="","",INDEX('_Datos'!$AO$7:$AO$200,$R69))</f>
      </c>
      <c r="E69" s="204">
        <f>IF($S69="","","S"&amp;$S69)</f>
      </c>
      <c r="F69" s="204">
        <f>IF($Q69="","",IF($U69,"● VIGENTE","Cerrado"))</f>
      </c>
      <c r="G69" s="205">
        <f>IF($Q69="","",IF($U69,INDEX('_Datos'!$AT$7:$AT$200,$R69),"→ pasó a S"&amp;($S69+1)))</f>
      </c>
      <c r="H69" s="208">
        <f>IF($Q69="","",IF($U69,INDEX('_Datos'!$I$7:$I$200,$R69),""))</f>
      </c>
      <c r="I69" s="207">
        <f>IF($Q69="","",IF($U69,IF(ISNUMBER(INDEX('Backlog General'!$O$7:$O$200,$R69)),INDEX('Backlog General'!$O$7:$O$200,$R69),""),""))</f>
      </c>
      <c r="L69" s="202">
        <f>IF(62&lt;SUM('_Datos'!$BN$7:$BN$200),SUMPRODUCT(('_Datos'!$BO$7:$BO$200&lt;=62)*(('_Datos'!$BO$7:$BO$200+'_Datos'!$BN$7:$BN$200)&gt;62)*('_Datos'!$BN$7:$BN$200&gt;0)*'_Datos'!$A$7:$A$200),"")</f>
      </c>
      <c r="M69" s="202">
        <f>IF($L69="","",$L69-6)</f>
      </c>
      <c r="N69" s="202">
        <f>IF($M69="","",INDEX('_Datos'!$AR$7:$AR$200,$M69)+(62-INDEX('_Datos'!$BO$7:$BO$200,$M69)))</f>
      </c>
      <c r="O69" s="202">
        <f>IF($M69="","",INDEX('_Datos'!$AQ$7:$AQ$200,$M69)+$N69*INDEX('_Datos'!$AP$7:$AP$200,$M69)*'Sprints'!$D$5-'Sprints'!$D$5)</f>
      </c>
      <c r="P69" s="202">
        <f>IF($M69="","",$O69*100000+62)</f>
      </c>
      <c r="Q69" s="202">
        <f>IFERROR(MATCH(SMALL($P$7:$P116,62+1),$P$7:$P116,0),"")</f>
      </c>
      <c r="R69" s="202">
        <f>IF($Q69="","",INDEX($M$7:$M116,$Q69))</f>
      </c>
      <c r="S69" s="202">
        <f>IF($Q69="","",INDEX($N$7:$N116,$Q69))</f>
      </c>
      <c r="T69" s="202">
        <f>IF($Q69="","",INDEX($O$7:$O116,$Q69))</f>
      </c>
      <c r="U69" s="202">
        <f>IF($R69="","",$S69=INDEX('_Datos'!$AV$7:$AV$200,$R69))</f>
      </c>
    </row>
    <row r="70">
      <c r="B70" s="207">
        <f>IF($Q70="","",$T70)</f>
      </c>
      <c r="C70" s="205">
        <f>IF($R70="","",INDEX('_Datos'!$F$7:$F$200,$R70))</f>
      </c>
      <c r="D70" s="204">
        <f>IF($R70="","",INDEX('_Datos'!$AO$7:$AO$200,$R70))</f>
      </c>
      <c r="E70" s="204">
        <f>IF($S70="","","S"&amp;$S70)</f>
      </c>
      <c r="F70" s="204">
        <f>IF($Q70="","",IF($U70,"● VIGENTE","Cerrado"))</f>
      </c>
      <c r="G70" s="205">
        <f>IF($Q70="","",IF($U70,INDEX('_Datos'!$AT$7:$AT$200,$R70),"→ pasó a S"&amp;($S70+1)))</f>
      </c>
      <c r="H70" s="208">
        <f>IF($Q70="","",IF($U70,INDEX('_Datos'!$I$7:$I$200,$R70),""))</f>
      </c>
      <c r="I70" s="207">
        <f>IF($Q70="","",IF($U70,IF(ISNUMBER(INDEX('Backlog General'!$O$7:$O$200,$R70)),INDEX('Backlog General'!$O$7:$O$200,$R70),""),""))</f>
      </c>
      <c r="L70" s="202">
        <f>IF(63&lt;SUM('_Datos'!$BN$7:$BN$200),SUMPRODUCT(('_Datos'!$BO$7:$BO$200&lt;=63)*(('_Datos'!$BO$7:$BO$200+'_Datos'!$BN$7:$BN$200)&gt;63)*('_Datos'!$BN$7:$BN$200&gt;0)*'_Datos'!$A$7:$A$200),"")</f>
      </c>
      <c r="M70" s="202">
        <f>IF($L70="","",$L70-6)</f>
      </c>
      <c r="N70" s="202">
        <f>IF($M70="","",INDEX('_Datos'!$AR$7:$AR$200,$M70)+(63-INDEX('_Datos'!$BO$7:$BO$200,$M70)))</f>
      </c>
      <c r="O70" s="202">
        <f>IF($M70="","",INDEX('_Datos'!$AQ$7:$AQ$200,$M70)+$N70*INDEX('_Datos'!$AP$7:$AP$200,$M70)*'Sprints'!$D$5-'Sprints'!$D$5)</f>
      </c>
      <c r="P70" s="202">
        <f>IF($M70="","",$O70*100000+63)</f>
      </c>
      <c r="Q70" s="202">
        <f>IFERROR(MATCH(SMALL($P$7:$P116,63+1),$P$7:$P116,0),"")</f>
      </c>
      <c r="R70" s="202">
        <f>IF($Q70="","",INDEX($M$7:$M116,$Q70))</f>
      </c>
      <c r="S70" s="202">
        <f>IF($Q70="","",INDEX($N$7:$N116,$Q70))</f>
      </c>
      <c r="T70" s="202">
        <f>IF($Q70="","",INDEX($O$7:$O116,$Q70))</f>
      </c>
      <c r="U70" s="202">
        <f>IF($R70="","",$S70=INDEX('_Datos'!$AV$7:$AV$200,$R70))</f>
      </c>
    </row>
    <row r="71">
      <c r="B71" s="207">
        <f>IF($Q71="","",$T71)</f>
      </c>
      <c r="C71" s="205">
        <f>IF($R71="","",INDEX('_Datos'!$F$7:$F$200,$R71))</f>
      </c>
      <c r="D71" s="204">
        <f>IF($R71="","",INDEX('_Datos'!$AO$7:$AO$200,$R71))</f>
      </c>
      <c r="E71" s="204">
        <f>IF($S71="","","S"&amp;$S71)</f>
      </c>
      <c r="F71" s="204">
        <f>IF($Q71="","",IF($U71,"● VIGENTE","Cerrado"))</f>
      </c>
      <c r="G71" s="205">
        <f>IF($Q71="","",IF($U71,INDEX('_Datos'!$AT$7:$AT$200,$R71),"→ pasó a S"&amp;($S71+1)))</f>
      </c>
      <c r="H71" s="208">
        <f>IF($Q71="","",IF($U71,INDEX('_Datos'!$I$7:$I$200,$R71),""))</f>
      </c>
      <c r="I71" s="207">
        <f>IF($Q71="","",IF($U71,IF(ISNUMBER(INDEX('Backlog General'!$O$7:$O$200,$R71)),INDEX('Backlog General'!$O$7:$O$200,$R71),""),""))</f>
      </c>
      <c r="L71" s="202">
        <f>IF(64&lt;SUM('_Datos'!$BN$7:$BN$200),SUMPRODUCT(('_Datos'!$BO$7:$BO$200&lt;=64)*(('_Datos'!$BO$7:$BO$200+'_Datos'!$BN$7:$BN$200)&gt;64)*('_Datos'!$BN$7:$BN$200&gt;0)*'_Datos'!$A$7:$A$200),"")</f>
      </c>
      <c r="M71" s="202">
        <f>IF($L71="","",$L71-6)</f>
      </c>
      <c r="N71" s="202">
        <f>IF($M71="","",INDEX('_Datos'!$AR$7:$AR$200,$M71)+(64-INDEX('_Datos'!$BO$7:$BO$200,$M71)))</f>
      </c>
      <c r="O71" s="202">
        <f>IF($M71="","",INDEX('_Datos'!$AQ$7:$AQ$200,$M71)+$N71*INDEX('_Datos'!$AP$7:$AP$200,$M71)*'Sprints'!$D$5-'Sprints'!$D$5)</f>
      </c>
      <c r="P71" s="202">
        <f>IF($M71="","",$O71*100000+64)</f>
      </c>
      <c r="Q71" s="202">
        <f>IFERROR(MATCH(SMALL($P$7:$P116,64+1),$P$7:$P116,0),"")</f>
      </c>
      <c r="R71" s="202">
        <f>IF($Q71="","",INDEX($M$7:$M116,$Q71))</f>
      </c>
      <c r="S71" s="202">
        <f>IF($Q71="","",INDEX($N$7:$N116,$Q71))</f>
      </c>
      <c r="T71" s="202">
        <f>IF($Q71="","",INDEX($O$7:$O116,$Q71))</f>
      </c>
      <c r="U71" s="202">
        <f>IF($R71="","",$S71=INDEX('_Datos'!$AV$7:$AV$200,$R71))</f>
      </c>
    </row>
    <row r="72">
      <c r="B72" s="207">
        <f>IF($Q72="","",$T72)</f>
      </c>
      <c r="C72" s="205">
        <f>IF($R72="","",INDEX('_Datos'!$F$7:$F$200,$R72))</f>
      </c>
      <c r="D72" s="204">
        <f>IF($R72="","",INDEX('_Datos'!$AO$7:$AO$200,$R72))</f>
      </c>
      <c r="E72" s="204">
        <f>IF($S72="","","S"&amp;$S72)</f>
      </c>
      <c r="F72" s="204">
        <f>IF($Q72="","",IF($U72,"● VIGENTE","Cerrado"))</f>
      </c>
      <c r="G72" s="205">
        <f>IF($Q72="","",IF($U72,INDEX('_Datos'!$AT$7:$AT$200,$R72),"→ pasó a S"&amp;($S72+1)))</f>
      </c>
      <c r="H72" s="208">
        <f>IF($Q72="","",IF($U72,INDEX('_Datos'!$I$7:$I$200,$R72),""))</f>
      </c>
      <c r="I72" s="207">
        <f>IF($Q72="","",IF($U72,IF(ISNUMBER(INDEX('Backlog General'!$O$7:$O$200,$R72)),INDEX('Backlog General'!$O$7:$O$200,$R72),""),""))</f>
      </c>
      <c r="L72" s="202">
        <f>IF(65&lt;SUM('_Datos'!$BN$7:$BN$200),SUMPRODUCT(('_Datos'!$BO$7:$BO$200&lt;=65)*(('_Datos'!$BO$7:$BO$200+'_Datos'!$BN$7:$BN$200)&gt;65)*('_Datos'!$BN$7:$BN$200&gt;0)*'_Datos'!$A$7:$A$200),"")</f>
      </c>
      <c r="M72" s="202">
        <f>IF($L72="","",$L72-6)</f>
      </c>
      <c r="N72" s="202">
        <f>IF($M72="","",INDEX('_Datos'!$AR$7:$AR$200,$M72)+(65-INDEX('_Datos'!$BO$7:$BO$200,$M72)))</f>
      </c>
      <c r="O72" s="202">
        <f>IF($M72="","",INDEX('_Datos'!$AQ$7:$AQ$200,$M72)+$N72*INDEX('_Datos'!$AP$7:$AP$200,$M72)*'Sprints'!$D$5-'Sprints'!$D$5)</f>
      </c>
      <c r="P72" s="202">
        <f>IF($M72="","",$O72*100000+65)</f>
      </c>
      <c r="Q72" s="202">
        <f>IFERROR(MATCH(SMALL($P$7:$P116,65+1),$P$7:$P116,0),"")</f>
      </c>
      <c r="R72" s="202">
        <f>IF($Q72="","",INDEX($M$7:$M116,$Q72))</f>
      </c>
      <c r="S72" s="202">
        <f>IF($Q72="","",INDEX($N$7:$N116,$Q72))</f>
      </c>
      <c r="T72" s="202">
        <f>IF($Q72="","",INDEX($O$7:$O116,$Q72))</f>
      </c>
      <c r="U72" s="202">
        <f>IF($R72="","",$S72=INDEX('_Datos'!$AV$7:$AV$200,$R72))</f>
      </c>
    </row>
    <row r="73">
      <c r="B73" s="207">
        <f>IF($Q73="","",$T73)</f>
      </c>
      <c r="C73" s="205">
        <f>IF($R73="","",INDEX('_Datos'!$F$7:$F$200,$R73))</f>
      </c>
      <c r="D73" s="204">
        <f>IF($R73="","",INDEX('_Datos'!$AO$7:$AO$200,$R73))</f>
      </c>
      <c r="E73" s="204">
        <f>IF($S73="","","S"&amp;$S73)</f>
      </c>
      <c r="F73" s="204">
        <f>IF($Q73="","",IF($U73,"● VIGENTE","Cerrado"))</f>
      </c>
      <c r="G73" s="205">
        <f>IF($Q73="","",IF($U73,INDEX('_Datos'!$AT$7:$AT$200,$R73),"→ pasó a S"&amp;($S73+1)))</f>
      </c>
      <c r="H73" s="208">
        <f>IF($Q73="","",IF($U73,INDEX('_Datos'!$I$7:$I$200,$R73),""))</f>
      </c>
      <c r="I73" s="207">
        <f>IF($Q73="","",IF($U73,IF(ISNUMBER(INDEX('Backlog General'!$O$7:$O$200,$R73)),INDEX('Backlog General'!$O$7:$O$200,$R73),""),""))</f>
      </c>
      <c r="L73" s="202">
        <f>IF(66&lt;SUM('_Datos'!$BN$7:$BN$200),SUMPRODUCT(('_Datos'!$BO$7:$BO$200&lt;=66)*(('_Datos'!$BO$7:$BO$200+'_Datos'!$BN$7:$BN$200)&gt;66)*('_Datos'!$BN$7:$BN$200&gt;0)*'_Datos'!$A$7:$A$200),"")</f>
      </c>
      <c r="M73" s="202">
        <f>IF($L73="","",$L73-6)</f>
      </c>
      <c r="N73" s="202">
        <f>IF($M73="","",INDEX('_Datos'!$AR$7:$AR$200,$M73)+(66-INDEX('_Datos'!$BO$7:$BO$200,$M73)))</f>
      </c>
      <c r="O73" s="202">
        <f>IF($M73="","",INDEX('_Datos'!$AQ$7:$AQ$200,$M73)+$N73*INDEX('_Datos'!$AP$7:$AP$200,$M73)*'Sprints'!$D$5-'Sprints'!$D$5)</f>
      </c>
      <c r="P73" s="202">
        <f>IF($M73="","",$O73*100000+66)</f>
      </c>
      <c r="Q73" s="202">
        <f>IFERROR(MATCH(SMALL($P$7:$P116,66+1),$P$7:$P116,0),"")</f>
      </c>
      <c r="R73" s="202">
        <f>IF($Q73="","",INDEX($M$7:$M116,$Q73))</f>
      </c>
      <c r="S73" s="202">
        <f>IF($Q73="","",INDEX($N$7:$N116,$Q73))</f>
      </c>
      <c r="T73" s="202">
        <f>IF($Q73="","",INDEX($O$7:$O116,$Q73))</f>
      </c>
      <c r="U73" s="202">
        <f>IF($R73="","",$S73=INDEX('_Datos'!$AV$7:$AV$200,$R73))</f>
      </c>
    </row>
    <row r="74">
      <c r="B74" s="207">
        <f>IF($Q74="","",$T74)</f>
      </c>
      <c r="C74" s="205">
        <f>IF($R74="","",INDEX('_Datos'!$F$7:$F$200,$R74))</f>
      </c>
      <c r="D74" s="204">
        <f>IF($R74="","",INDEX('_Datos'!$AO$7:$AO$200,$R74))</f>
      </c>
      <c r="E74" s="204">
        <f>IF($S74="","","S"&amp;$S74)</f>
      </c>
      <c r="F74" s="204">
        <f>IF($Q74="","",IF($U74,"● VIGENTE","Cerrado"))</f>
      </c>
      <c r="G74" s="205">
        <f>IF($Q74="","",IF($U74,INDEX('_Datos'!$AT$7:$AT$200,$R74),"→ pasó a S"&amp;($S74+1)))</f>
      </c>
      <c r="H74" s="208">
        <f>IF($Q74="","",IF($U74,INDEX('_Datos'!$I$7:$I$200,$R74),""))</f>
      </c>
      <c r="I74" s="207">
        <f>IF($Q74="","",IF($U74,IF(ISNUMBER(INDEX('Backlog General'!$O$7:$O$200,$R74)),INDEX('Backlog General'!$O$7:$O$200,$R74),""),""))</f>
      </c>
      <c r="L74" s="202">
        <f>IF(67&lt;SUM('_Datos'!$BN$7:$BN$200),SUMPRODUCT(('_Datos'!$BO$7:$BO$200&lt;=67)*(('_Datos'!$BO$7:$BO$200+'_Datos'!$BN$7:$BN$200)&gt;67)*('_Datos'!$BN$7:$BN$200&gt;0)*'_Datos'!$A$7:$A$200),"")</f>
      </c>
      <c r="M74" s="202">
        <f>IF($L74="","",$L74-6)</f>
      </c>
      <c r="N74" s="202">
        <f>IF($M74="","",INDEX('_Datos'!$AR$7:$AR$200,$M74)+(67-INDEX('_Datos'!$BO$7:$BO$200,$M74)))</f>
      </c>
      <c r="O74" s="202">
        <f>IF($M74="","",INDEX('_Datos'!$AQ$7:$AQ$200,$M74)+$N74*INDEX('_Datos'!$AP$7:$AP$200,$M74)*'Sprints'!$D$5-'Sprints'!$D$5)</f>
      </c>
      <c r="P74" s="202">
        <f>IF($M74="","",$O74*100000+67)</f>
      </c>
      <c r="Q74" s="202">
        <f>IFERROR(MATCH(SMALL($P$7:$P116,67+1),$P$7:$P116,0),"")</f>
      </c>
      <c r="R74" s="202">
        <f>IF($Q74="","",INDEX($M$7:$M116,$Q74))</f>
      </c>
      <c r="S74" s="202">
        <f>IF($Q74="","",INDEX($N$7:$N116,$Q74))</f>
      </c>
      <c r="T74" s="202">
        <f>IF($Q74="","",INDEX($O$7:$O116,$Q74))</f>
      </c>
      <c r="U74" s="202">
        <f>IF($R74="","",$S74=INDEX('_Datos'!$AV$7:$AV$200,$R74))</f>
      </c>
    </row>
    <row r="75">
      <c r="B75" s="207">
        <f>IF($Q75="","",$T75)</f>
      </c>
      <c r="C75" s="205">
        <f>IF($R75="","",INDEX('_Datos'!$F$7:$F$200,$R75))</f>
      </c>
      <c r="D75" s="204">
        <f>IF($R75="","",INDEX('_Datos'!$AO$7:$AO$200,$R75))</f>
      </c>
      <c r="E75" s="204">
        <f>IF($S75="","","S"&amp;$S75)</f>
      </c>
      <c r="F75" s="204">
        <f>IF($Q75="","",IF($U75,"● VIGENTE","Cerrado"))</f>
      </c>
      <c r="G75" s="205">
        <f>IF($Q75="","",IF($U75,INDEX('_Datos'!$AT$7:$AT$200,$R75),"→ pasó a S"&amp;($S75+1)))</f>
      </c>
      <c r="H75" s="208">
        <f>IF($Q75="","",IF($U75,INDEX('_Datos'!$I$7:$I$200,$R75),""))</f>
      </c>
      <c r="I75" s="207">
        <f>IF($Q75="","",IF($U75,IF(ISNUMBER(INDEX('Backlog General'!$O$7:$O$200,$R75)),INDEX('Backlog General'!$O$7:$O$200,$R75),""),""))</f>
      </c>
      <c r="L75" s="202">
        <f>IF(68&lt;SUM('_Datos'!$BN$7:$BN$200),SUMPRODUCT(('_Datos'!$BO$7:$BO$200&lt;=68)*(('_Datos'!$BO$7:$BO$200+'_Datos'!$BN$7:$BN$200)&gt;68)*('_Datos'!$BN$7:$BN$200&gt;0)*'_Datos'!$A$7:$A$200),"")</f>
      </c>
      <c r="M75" s="202">
        <f>IF($L75="","",$L75-6)</f>
      </c>
      <c r="N75" s="202">
        <f>IF($M75="","",INDEX('_Datos'!$AR$7:$AR$200,$M75)+(68-INDEX('_Datos'!$BO$7:$BO$200,$M75)))</f>
      </c>
      <c r="O75" s="202">
        <f>IF($M75="","",INDEX('_Datos'!$AQ$7:$AQ$200,$M75)+$N75*INDEX('_Datos'!$AP$7:$AP$200,$M75)*'Sprints'!$D$5-'Sprints'!$D$5)</f>
      </c>
      <c r="P75" s="202">
        <f>IF($M75="","",$O75*100000+68)</f>
      </c>
      <c r="Q75" s="202">
        <f>IFERROR(MATCH(SMALL($P$7:$P116,68+1),$P$7:$P116,0),"")</f>
      </c>
      <c r="R75" s="202">
        <f>IF($Q75="","",INDEX($M$7:$M116,$Q75))</f>
      </c>
      <c r="S75" s="202">
        <f>IF($Q75="","",INDEX($N$7:$N116,$Q75))</f>
      </c>
      <c r="T75" s="202">
        <f>IF($Q75="","",INDEX($O$7:$O116,$Q75))</f>
      </c>
      <c r="U75" s="202">
        <f>IF($R75="","",$S75=INDEX('_Datos'!$AV$7:$AV$200,$R75))</f>
      </c>
    </row>
    <row r="76">
      <c r="B76" s="207">
        <f>IF($Q76="","",$T76)</f>
      </c>
      <c r="C76" s="205">
        <f>IF($R76="","",INDEX('_Datos'!$F$7:$F$200,$R76))</f>
      </c>
      <c r="D76" s="204">
        <f>IF($R76="","",INDEX('_Datos'!$AO$7:$AO$200,$R76))</f>
      </c>
      <c r="E76" s="204">
        <f>IF($S76="","","S"&amp;$S76)</f>
      </c>
      <c r="F76" s="204">
        <f>IF($Q76="","",IF($U76,"● VIGENTE","Cerrado"))</f>
      </c>
      <c r="G76" s="205">
        <f>IF($Q76="","",IF($U76,INDEX('_Datos'!$AT$7:$AT$200,$R76),"→ pasó a S"&amp;($S76+1)))</f>
      </c>
      <c r="H76" s="208">
        <f>IF($Q76="","",IF($U76,INDEX('_Datos'!$I$7:$I$200,$R76),""))</f>
      </c>
      <c r="I76" s="207">
        <f>IF($Q76="","",IF($U76,IF(ISNUMBER(INDEX('Backlog General'!$O$7:$O$200,$R76)),INDEX('Backlog General'!$O$7:$O$200,$R76),""),""))</f>
      </c>
      <c r="L76" s="202">
        <f>IF(69&lt;SUM('_Datos'!$BN$7:$BN$200),SUMPRODUCT(('_Datos'!$BO$7:$BO$200&lt;=69)*(('_Datos'!$BO$7:$BO$200+'_Datos'!$BN$7:$BN$200)&gt;69)*('_Datos'!$BN$7:$BN$200&gt;0)*'_Datos'!$A$7:$A$200),"")</f>
      </c>
      <c r="M76" s="202">
        <f>IF($L76="","",$L76-6)</f>
      </c>
      <c r="N76" s="202">
        <f>IF($M76="","",INDEX('_Datos'!$AR$7:$AR$200,$M76)+(69-INDEX('_Datos'!$BO$7:$BO$200,$M76)))</f>
      </c>
      <c r="O76" s="202">
        <f>IF($M76="","",INDEX('_Datos'!$AQ$7:$AQ$200,$M76)+$N76*INDEX('_Datos'!$AP$7:$AP$200,$M76)*'Sprints'!$D$5-'Sprints'!$D$5)</f>
      </c>
      <c r="P76" s="202">
        <f>IF($M76="","",$O76*100000+69)</f>
      </c>
      <c r="Q76" s="202">
        <f>IFERROR(MATCH(SMALL($P$7:$P116,69+1),$P$7:$P116,0),"")</f>
      </c>
      <c r="R76" s="202">
        <f>IF($Q76="","",INDEX($M$7:$M116,$Q76))</f>
      </c>
      <c r="S76" s="202">
        <f>IF($Q76="","",INDEX($N$7:$N116,$Q76))</f>
      </c>
      <c r="T76" s="202">
        <f>IF($Q76="","",INDEX($O$7:$O116,$Q76))</f>
      </c>
      <c r="U76" s="202">
        <f>IF($R76="","",$S76=INDEX('_Datos'!$AV$7:$AV$200,$R76))</f>
      </c>
    </row>
    <row r="77">
      <c r="B77" s="207">
        <f>IF($Q77="","",$T77)</f>
      </c>
      <c r="C77" s="205">
        <f>IF($R77="","",INDEX('_Datos'!$F$7:$F$200,$R77))</f>
      </c>
      <c r="D77" s="204">
        <f>IF($R77="","",INDEX('_Datos'!$AO$7:$AO$200,$R77))</f>
      </c>
      <c r="E77" s="204">
        <f>IF($S77="","","S"&amp;$S77)</f>
      </c>
      <c r="F77" s="204">
        <f>IF($Q77="","",IF($U77,"● VIGENTE","Cerrado"))</f>
      </c>
      <c r="G77" s="205">
        <f>IF($Q77="","",IF($U77,INDEX('_Datos'!$AT$7:$AT$200,$R77),"→ pasó a S"&amp;($S77+1)))</f>
      </c>
      <c r="H77" s="208">
        <f>IF($Q77="","",IF($U77,INDEX('_Datos'!$I$7:$I$200,$R77),""))</f>
      </c>
      <c r="I77" s="207">
        <f>IF($Q77="","",IF($U77,IF(ISNUMBER(INDEX('Backlog General'!$O$7:$O$200,$R77)),INDEX('Backlog General'!$O$7:$O$200,$R77),""),""))</f>
      </c>
      <c r="L77" s="202">
        <f>IF(70&lt;SUM('_Datos'!$BN$7:$BN$200),SUMPRODUCT(('_Datos'!$BO$7:$BO$200&lt;=70)*(('_Datos'!$BO$7:$BO$200+'_Datos'!$BN$7:$BN$200)&gt;70)*('_Datos'!$BN$7:$BN$200&gt;0)*'_Datos'!$A$7:$A$200),"")</f>
      </c>
      <c r="M77" s="202">
        <f>IF($L77="","",$L77-6)</f>
      </c>
      <c r="N77" s="202">
        <f>IF($M77="","",INDEX('_Datos'!$AR$7:$AR$200,$M77)+(70-INDEX('_Datos'!$BO$7:$BO$200,$M77)))</f>
      </c>
      <c r="O77" s="202">
        <f>IF($M77="","",INDEX('_Datos'!$AQ$7:$AQ$200,$M77)+$N77*INDEX('_Datos'!$AP$7:$AP$200,$M77)*'Sprints'!$D$5-'Sprints'!$D$5)</f>
      </c>
      <c r="P77" s="202">
        <f>IF($M77="","",$O77*100000+70)</f>
      </c>
      <c r="Q77" s="202">
        <f>IFERROR(MATCH(SMALL($P$7:$P116,70+1),$P$7:$P116,0),"")</f>
      </c>
      <c r="R77" s="202">
        <f>IF($Q77="","",INDEX($M$7:$M116,$Q77))</f>
      </c>
      <c r="S77" s="202">
        <f>IF($Q77="","",INDEX($N$7:$N116,$Q77))</f>
      </c>
      <c r="T77" s="202">
        <f>IF($Q77="","",INDEX($O$7:$O116,$Q77))</f>
      </c>
      <c r="U77" s="202">
        <f>IF($R77="","",$S77=INDEX('_Datos'!$AV$7:$AV$200,$R77))</f>
      </c>
    </row>
    <row r="78">
      <c r="B78" s="207">
        <f>IF($Q78="","",$T78)</f>
      </c>
      <c r="C78" s="205">
        <f>IF($R78="","",INDEX('_Datos'!$F$7:$F$200,$R78))</f>
      </c>
      <c r="D78" s="204">
        <f>IF($R78="","",INDEX('_Datos'!$AO$7:$AO$200,$R78))</f>
      </c>
      <c r="E78" s="204">
        <f>IF($S78="","","S"&amp;$S78)</f>
      </c>
      <c r="F78" s="204">
        <f>IF($Q78="","",IF($U78,"● VIGENTE","Cerrado"))</f>
      </c>
      <c r="G78" s="205">
        <f>IF($Q78="","",IF($U78,INDEX('_Datos'!$AT$7:$AT$200,$R78),"→ pasó a S"&amp;($S78+1)))</f>
      </c>
      <c r="H78" s="208">
        <f>IF($Q78="","",IF($U78,INDEX('_Datos'!$I$7:$I$200,$R78),""))</f>
      </c>
      <c r="I78" s="207">
        <f>IF($Q78="","",IF($U78,IF(ISNUMBER(INDEX('Backlog General'!$O$7:$O$200,$R78)),INDEX('Backlog General'!$O$7:$O$200,$R78),""),""))</f>
      </c>
      <c r="L78" s="202">
        <f>IF(71&lt;SUM('_Datos'!$BN$7:$BN$200),SUMPRODUCT(('_Datos'!$BO$7:$BO$200&lt;=71)*(('_Datos'!$BO$7:$BO$200+'_Datos'!$BN$7:$BN$200)&gt;71)*('_Datos'!$BN$7:$BN$200&gt;0)*'_Datos'!$A$7:$A$200),"")</f>
      </c>
      <c r="M78" s="202">
        <f>IF($L78="","",$L78-6)</f>
      </c>
      <c r="N78" s="202">
        <f>IF($M78="","",INDEX('_Datos'!$AR$7:$AR$200,$M78)+(71-INDEX('_Datos'!$BO$7:$BO$200,$M78)))</f>
      </c>
      <c r="O78" s="202">
        <f>IF($M78="","",INDEX('_Datos'!$AQ$7:$AQ$200,$M78)+$N78*INDEX('_Datos'!$AP$7:$AP$200,$M78)*'Sprints'!$D$5-'Sprints'!$D$5)</f>
      </c>
      <c r="P78" s="202">
        <f>IF($M78="","",$O78*100000+71)</f>
      </c>
      <c r="Q78" s="202">
        <f>IFERROR(MATCH(SMALL($P$7:$P116,71+1),$P$7:$P116,0),"")</f>
      </c>
      <c r="R78" s="202">
        <f>IF($Q78="","",INDEX($M$7:$M116,$Q78))</f>
      </c>
      <c r="S78" s="202">
        <f>IF($Q78="","",INDEX($N$7:$N116,$Q78))</f>
      </c>
      <c r="T78" s="202">
        <f>IF($Q78="","",INDEX($O$7:$O116,$Q78))</f>
      </c>
      <c r="U78" s="202">
        <f>IF($R78="","",$S78=INDEX('_Datos'!$AV$7:$AV$200,$R78))</f>
      </c>
    </row>
    <row r="79">
      <c r="B79" s="207">
        <f>IF($Q79="","",$T79)</f>
      </c>
      <c r="C79" s="205">
        <f>IF($R79="","",INDEX('_Datos'!$F$7:$F$200,$R79))</f>
      </c>
      <c r="D79" s="204">
        <f>IF($R79="","",INDEX('_Datos'!$AO$7:$AO$200,$R79))</f>
      </c>
      <c r="E79" s="204">
        <f>IF($S79="","","S"&amp;$S79)</f>
      </c>
      <c r="F79" s="204">
        <f>IF($Q79="","",IF($U79,"● VIGENTE","Cerrado"))</f>
      </c>
      <c r="G79" s="205">
        <f>IF($Q79="","",IF($U79,INDEX('_Datos'!$AT$7:$AT$200,$R79),"→ pasó a S"&amp;($S79+1)))</f>
      </c>
      <c r="H79" s="208">
        <f>IF($Q79="","",IF($U79,INDEX('_Datos'!$I$7:$I$200,$R79),""))</f>
      </c>
      <c r="I79" s="207">
        <f>IF($Q79="","",IF($U79,IF(ISNUMBER(INDEX('Backlog General'!$O$7:$O$200,$R79)),INDEX('Backlog General'!$O$7:$O$200,$R79),""),""))</f>
      </c>
      <c r="L79" s="202">
        <f>IF(72&lt;SUM('_Datos'!$BN$7:$BN$200),SUMPRODUCT(('_Datos'!$BO$7:$BO$200&lt;=72)*(('_Datos'!$BO$7:$BO$200+'_Datos'!$BN$7:$BN$200)&gt;72)*('_Datos'!$BN$7:$BN$200&gt;0)*'_Datos'!$A$7:$A$200),"")</f>
      </c>
      <c r="M79" s="202">
        <f>IF($L79="","",$L79-6)</f>
      </c>
      <c r="N79" s="202">
        <f>IF($M79="","",INDEX('_Datos'!$AR$7:$AR$200,$M79)+(72-INDEX('_Datos'!$BO$7:$BO$200,$M79)))</f>
      </c>
      <c r="O79" s="202">
        <f>IF($M79="","",INDEX('_Datos'!$AQ$7:$AQ$200,$M79)+$N79*INDEX('_Datos'!$AP$7:$AP$200,$M79)*'Sprints'!$D$5-'Sprints'!$D$5)</f>
      </c>
      <c r="P79" s="202">
        <f>IF($M79="","",$O79*100000+72)</f>
      </c>
      <c r="Q79" s="202">
        <f>IFERROR(MATCH(SMALL($P$7:$P116,72+1),$P$7:$P116,0),"")</f>
      </c>
      <c r="R79" s="202">
        <f>IF($Q79="","",INDEX($M$7:$M116,$Q79))</f>
      </c>
      <c r="S79" s="202">
        <f>IF($Q79="","",INDEX($N$7:$N116,$Q79))</f>
      </c>
      <c r="T79" s="202">
        <f>IF($Q79="","",INDEX($O$7:$O116,$Q79))</f>
      </c>
      <c r="U79" s="202">
        <f>IF($R79="","",$S79=INDEX('_Datos'!$AV$7:$AV$200,$R79))</f>
      </c>
    </row>
    <row r="80">
      <c r="B80" s="207">
        <f>IF($Q80="","",$T80)</f>
      </c>
      <c r="C80" s="205">
        <f>IF($R80="","",INDEX('_Datos'!$F$7:$F$200,$R80))</f>
      </c>
      <c r="D80" s="204">
        <f>IF($R80="","",INDEX('_Datos'!$AO$7:$AO$200,$R80))</f>
      </c>
      <c r="E80" s="204">
        <f>IF($S80="","","S"&amp;$S80)</f>
      </c>
      <c r="F80" s="204">
        <f>IF($Q80="","",IF($U80,"● VIGENTE","Cerrado"))</f>
      </c>
      <c r="G80" s="205">
        <f>IF($Q80="","",IF($U80,INDEX('_Datos'!$AT$7:$AT$200,$R80),"→ pasó a S"&amp;($S80+1)))</f>
      </c>
      <c r="H80" s="208">
        <f>IF($Q80="","",IF($U80,INDEX('_Datos'!$I$7:$I$200,$R80),""))</f>
      </c>
      <c r="I80" s="207">
        <f>IF($Q80="","",IF($U80,IF(ISNUMBER(INDEX('Backlog General'!$O$7:$O$200,$R80)),INDEX('Backlog General'!$O$7:$O$200,$R80),""),""))</f>
      </c>
      <c r="L80" s="202">
        <f>IF(73&lt;SUM('_Datos'!$BN$7:$BN$200),SUMPRODUCT(('_Datos'!$BO$7:$BO$200&lt;=73)*(('_Datos'!$BO$7:$BO$200+'_Datos'!$BN$7:$BN$200)&gt;73)*('_Datos'!$BN$7:$BN$200&gt;0)*'_Datos'!$A$7:$A$200),"")</f>
      </c>
      <c r="M80" s="202">
        <f>IF($L80="","",$L80-6)</f>
      </c>
      <c r="N80" s="202">
        <f>IF($M80="","",INDEX('_Datos'!$AR$7:$AR$200,$M80)+(73-INDEX('_Datos'!$BO$7:$BO$200,$M80)))</f>
      </c>
      <c r="O80" s="202">
        <f>IF($M80="","",INDEX('_Datos'!$AQ$7:$AQ$200,$M80)+$N80*INDEX('_Datos'!$AP$7:$AP$200,$M80)*'Sprints'!$D$5-'Sprints'!$D$5)</f>
      </c>
      <c r="P80" s="202">
        <f>IF($M80="","",$O80*100000+73)</f>
      </c>
      <c r="Q80" s="202">
        <f>IFERROR(MATCH(SMALL($P$7:$P116,73+1),$P$7:$P116,0),"")</f>
      </c>
      <c r="R80" s="202">
        <f>IF($Q80="","",INDEX($M$7:$M116,$Q80))</f>
      </c>
      <c r="S80" s="202">
        <f>IF($Q80="","",INDEX($N$7:$N116,$Q80))</f>
      </c>
      <c r="T80" s="202">
        <f>IF($Q80="","",INDEX($O$7:$O116,$Q80))</f>
      </c>
      <c r="U80" s="202">
        <f>IF($R80="","",$S80=INDEX('_Datos'!$AV$7:$AV$200,$R80))</f>
      </c>
    </row>
    <row r="81">
      <c r="B81" s="207">
        <f>IF($Q81="","",$T81)</f>
      </c>
      <c r="C81" s="205">
        <f>IF($R81="","",INDEX('_Datos'!$F$7:$F$200,$R81))</f>
      </c>
      <c r="D81" s="204">
        <f>IF($R81="","",INDEX('_Datos'!$AO$7:$AO$200,$R81))</f>
      </c>
      <c r="E81" s="204">
        <f>IF($S81="","","S"&amp;$S81)</f>
      </c>
      <c r="F81" s="204">
        <f>IF($Q81="","",IF($U81,"● VIGENTE","Cerrado"))</f>
      </c>
      <c r="G81" s="205">
        <f>IF($Q81="","",IF($U81,INDEX('_Datos'!$AT$7:$AT$200,$R81),"→ pasó a S"&amp;($S81+1)))</f>
      </c>
      <c r="H81" s="208">
        <f>IF($Q81="","",IF($U81,INDEX('_Datos'!$I$7:$I$200,$R81),""))</f>
      </c>
      <c r="I81" s="207">
        <f>IF($Q81="","",IF($U81,IF(ISNUMBER(INDEX('Backlog General'!$O$7:$O$200,$R81)),INDEX('Backlog General'!$O$7:$O$200,$R81),""),""))</f>
      </c>
      <c r="L81" s="202">
        <f>IF(74&lt;SUM('_Datos'!$BN$7:$BN$200),SUMPRODUCT(('_Datos'!$BO$7:$BO$200&lt;=74)*(('_Datos'!$BO$7:$BO$200+'_Datos'!$BN$7:$BN$200)&gt;74)*('_Datos'!$BN$7:$BN$200&gt;0)*'_Datos'!$A$7:$A$200),"")</f>
      </c>
      <c r="M81" s="202">
        <f>IF($L81="","",$L81-6)</f>
      </c>
      <c r="N81" s="202">
        <f>IF($M81="","",INDEX('_Datos'!$AR$7:$AR$200,$M81)+(74-INDEX('_Datos'!$BO$7:$BO$200,$M81)))</f>
      </c>
      <c r="O81" s="202">
        <f>IF($M81="","",INDEX('_Datos'!$AQ$7:$AQ$200,$M81)+$N81*INDEX('_Datos'!$AP$7:$AP$200,$M81)*'Sprints'!$D$5-'Sprints'!$D$5)</f>
      </c>
      <c r="P81" s="202">
        <f>IF($M81="","",$O81*100000+74)</f>
      </c>
      <c r="Q81" s="202">
        <f>IFERROR(MATCH(SMALL($P$7:$P116,74+1),$P$7:$P116,0),"")</f>
      </c>
      <c r="R81" s="202">
        <f>IF($Q81="","",INDEX($M$7:$M116,$Q81))</f>
      </c>
      <c r="S81" s="202">
        <f>IF($Q81="","",INDEX($N$7:$N116,$Q81))</f>
      </c>
      <c r="T81" s="202">
        <f>IF($Q81="","",INDEX($O$7:$O116,$Q81))</f>
      </c>
      <c r="U81" s="202">
        <f>IF($R81="","",$S81=INDEX('_Datos'!$AV$7:$AV$200,$R81))</f>
      </c>
    </row>
    <row r="82">
      <c r="B82" s="207">
        <f>IF($Q82="","",$T82)</f>
      </c>
      <c r="C82" s="205">
        <f>IF($R82="","",INDEX('_Datos'!$F$7:$F$200,$R82))</f>
      </c>
      <c r="D82" s="204">
        <f>IF($R82="","",INDEX('_Datos'!$AO$7:$AO$200,$R82))</f>
      </c>
      <c r="E82" s="204">
        <f>IF($S82="","","S"&amp;$S82)</f>
      </c>
      <c r="F82" s="204">
        <f>IF($Q82="","",IF($U82,"● VIGENTE","Cerrado"))</f>
      </c>
      <c r="G82" s="205">
        <f>IF($Q82="","",IF($U82,INDEX('_Datos'!$AT$7:$AT$200,$R82),"→ pasó a S"&amp;($S82+1)))</f>
      </c>
      <c r="H82" s="208">
        <f>IF($Q82="","",IF($U82,INDEX('_Datos'!$I$7:$I$200,$R82),""))</f>
      </c>
      <c r="I82" s="207">
        <f>IF($Q82="","",IF($U82,IF(ISNUMBER(INDEX('Backlog General'!$O$7:$O$200,$R82)),INDEX('Backlog General'!$O$7:$O$200,$R82),""),""))</f>
      </c>
      <c r="L82" s="202">
        <f>IF(75&lt;SUM('_Datos'!$BN$7:$BN$200),SUMPRODUCT(('_Datos'!$BO$7:$BO$200&lt;=75)*(('_Datos'!$BO$7:$BO$200+'_Datos'!$BN$7:$BN$200)&gt;75)*('_Datos'!$BN$7:$BN$200&gt;0)*'_Datos'!$A$7:$A$200),"")</f>
      </c>
      <c r="M82" s="202">
        <f>IF($L82="","",$L82-6)</f>
      </c>
      <c r="N82" s="202">
        <f>IF($M82="","",INDEX('_Datos'!$AR$7:$AR$200,$M82)+(75-INDEX('_Datos'!$BO$7:$BO$200,$M82)))</f>
      </c>
      <c r="O82" s="202">
        <f>IF($M82="","",INDEX('_Datos'!$AQ$7:$AQ$200,$M82)+$N82*INDEX('_Datos'!$AP$7:$AP$200,$M82)*'Sprints'!$D$5-'Sprints'!$D$5)</f>
      </c>
      <c r="P82" s="202">
        <f>IF($M82="","",$O82*100000+75)</f>
      </c>
      <c r="Q82" s="202">
        <f>IFERROR(MATCH(SMALL($P$7:$P116,75+1),$P$7:$P116,0),"")</f>
      </c>
      <c r="R82" s="202">
        <f>IF($Q82="","",INDEX($M$7:$M116,$Q82))</f>
      </c>
      <c r="S82" s="202">
        <f>IF($Q82="","",INDEX($N$7:$N116,$Q82))</f>
      </c>
      <c r="T82" s="202">
        <f>IF($Q82="","",INDEX($O$7:$O116,$Q82))</f>
      </c>
      <c r="U82" s="202">
        <f>IF($R82="","",$S82=INDEX('_Datos'!$AV$7:$AV$200,$R82))</f>
      </c>
    </row>
    <row r="83">
      <c r="B83" s="207">
        <f>IF($Q83="","",$T83)</f>
      </c>
      <c r="C83" s="205">
        <f>IF($R83="","",INDEX('_Datos'!$F$7:$F$200,$R83))</f>
      </c>
      <c r="D83" s="204">
        <f>IF($R83="","",INDEX('_Datos'!$AO$7:$AO$200,$R83))</f>
      </c>
      <c r="E83" s="204">
        <f>IF($S83="","","S"&amp;$S83)</f>
      </c>
      <c r="F83" s="204">
        <f>IF($Q83="","",IF($U83,"● VIGENTE","Cerrado"))</f>
      </c>
      <c r="G83" s="205">
        <f>IF($Q83="","",IF($U83,INDEX('_Datos'!$AT$7:$AT$200,$R83),"→ pasó a S"&amp;($S83+1)))</f>
      </c>
      <c r="H83" s="208">
        <f>IF($Q83="","",IF($U83,INDEX('_Datos'!$I$7:$I$200,$R83),""))</f>
      </c>
      <c r="I83" s="207">
        <f>IF($Q83="","",IF($U83,IF(ISNUMBER(INDEX('Backlog General'!$O$7:$O$200,$R83)),INDEX('Backlog General'!$O$7:$O$200,$R83),""),""))</f>
      </c>
      <c r="L83" s="202">
        <f>IF(76&lt;SUM('_Datos'!$BN$7:$BN$200),SUMPRODUCT(('_Datos'!$BO$7:$BO$200&lt;=76)*(('_Datos'!$BO$7:$BO$200+'_Datos'!$BN$7:$BN$200)&gt;76)*('_Datos'!$BN$7:$BN$200&gt;0)*'_Datos'!$A$7:$A$200),"")</f>
      </c>
      <c r="M83" s="202">
        <f>IF($L83="","",$L83-6)</f>
      </c>
      <c r="N83" s="202">
        <f>IF($M83="","",INDEX('_Datos'!$AR$7:$AR$200,$M83)+(76-INDEX('_Datos'!$BO$7:$BO$200,$M83)))</f>
      </c>
      <c r="O83" s="202">
        <f>IF($M83="","",INDEX('_Datos'!$AQ$7:$AQ$200,$M83)+$N83*INDEX('_Datos'!$AP$7:$AP$200,$M83)*'Sprints'!$D$5-'Sprints'!$D$5)</f>
      </c>
      <c r="P83" s="202">
        <f>IF($M83="","",$O83*100000+76)</f>
      </c>
      <c r="Q83" s="202">
        <f>IFERROR(MATCH(SMALL($P$7:$P116,76+1),$P$7:$P116,0),"")</f>
      </c>
      <c r="R83" s="202">
        <f>IF($Q83="","",INDEX($M$7:$M116,$Q83))</f>
      </c>
      <c r="S83" s="202">
        <f>IF($Q83="","",INDEX($N$7:$N116,$Q83))</f>
      </c>
      <c r="T83" s="202">
        <f>IF($Q83="","",INDEX($O$7:$O116,$Q83))</f>
      </c>
      <c r="U83" s="202">
        <f>IF($R83="","",$S83=INDEX('_Datos'!$AV$7:$AV$200,$R83))</f>
      </c>
    </row>
    <row r="84">
      <c r="B84" s="207">
        <f>IF($Q84="","",$T84)</f>
      </c>
      <c r="C84" s="205">
        <f>IF($R84="","",INDEX('_Datos'!$F$7:$F$200,$R84))</f>
      </c>
      <c r="D84" s="204">
        <f>IF($R84="","",INDEX('_Datos'!$AO$7:$AO$200,$R84))</f>
      </c>
      <c r="E84" s="204">
        <f>IF($S84="","","S"&amp;$S84)</f>
      </c>
      <c r="F84" s="204">
        <f>IF($Q84="","",IF($U84,"● VIGENTE","Cerrado"))</f>
      </c>
      <c r="G84" s="205">
        <f>IF($Q84="","",IF($U84,INDEX('_Datos'!$AT$7:$AT$200,$R84),"→ pasó a S"&amp;($S84+1)))</f>
      </c>
      <c r="H84" s="208">
        <f>IF($Q84="","",IF($U84,INDEX('_Datos'!$I$7:$I$200,$R84),""))</f>
      </c>
      <c r="I84" s="207">
        <f>IF($Q84="","",IF($U84,IF(ISNUMBER(INDEX('Backlog General'!$O$7:$O$200,$R84)),INDEX('Backlog General'!$O$7:$O$200,$R84),""),""))</f>
      </c>
      <c r="L84" s="202">
        <f>IF(77&lt;SUM('_Datos'!$BN$7:$BN$200),SUMPRODUCT(('_Datos'!$BO$7:$BO$200&lt;=77)*(('_Datos'!$BO$7:$BO$200+'_Datos'!$BN$7:$BN$200)&gt;77)*('_Datos'!$BN$7:$BN$200&gt;0)*'_Datos'!$A$7:$A$200),"")</f>
      </c>
      <c r="M84" s="202">
        <f>IF($L84="","",$L84-6)</f>
      </c>
      <c r="N84" s="202">
        <f>IF($M84="","",INDEX('_Datos'!$AR$7:$AR$200,$M84)+(77-INDEX('_Datos'!$BO$7:$BO$200,$M84)))</f>
      </c>
      <c r="O84" s="202">
        <f>IF($M84="","",INDEX('_Datos'!$AQ$7:$AQ$200,$M84)+$N84*INDEX('_Datos'!$AP$7:$AP$200,$M84)*'Sprints'!$D$5-'Sprints'!$D$5)</f>
      </c>
      <c r="P84" s="202">
        <f>IF($M84="","",$O84*100000+77)</f>
      </c>
      <c r="Q84" s="202">
        <f>IFERROR(MATCH(SMALL($P$7:$P116,77+1),$P$7:$P116,0),"")</f>
      </c>
      <c r="R84" s="202">
        <f>IF($Q84="","",INDEX($M$7:$M116,$Q84))</f>
      </c>
      <c r="S84" s="202">
        <f>IF($Q84="","",INDEX($N$7:$N116,$Q84))</f>
      </c>
      <c r="T84" s="202">
        <f>IF($Q84="","",INDEX($O$7:$O116,$Q84))</f>
      </c>
      <c r="U84" s="202">
        <f>IF($R84="","",$S84=INDEX('_Datos'!$AV$7:$AV$200,$R84))</f>
      </c>
    </row>
    <row r="85">
      <c r="B85" s="207">
        <f>IF($Q85="","",$T85)</f>
      </c>
      <c r="C85" s="205">
        <f>IF($R85="","",INDEX('_Datos'!$F$7:$F$200,$R85))</f>
      </c>
      <c r="D85" s="204">
        <f>IF($R85="","",INDEX('_Datos'!$AO$7:$AO$200,$R85))</f>
      </c>
      <c r="E85" s="204">
        <f>IF($S85="","","S"&amp;$S85)</f>
      </c>
      <c r="F85" s="204">
        <f>IF($Q85="","",IF($U85,"● VIGENTE","Cerrado"))</f>
      </c>
      <c r="G85" s="205">
        <f>IF($Q85="","",IF($U85,INDEX('_Datos'!$AT$7:$AT$200,$R85),"→ pasó a S"&amp;($S85+1)))</f>
      </c>
      <c r="H85" s="208">
        <f>IF($Q85="","",IF($U85,INDEX('_Datos'!$I$7:$I$200,$R85),""))</f>
      </c>
      <c r="I85" s="207">
        <f>IF($Q85="","",IF($U85,IF(ISNUMBER(INDEX('Backlog General'!$O$7:$O$200,$R85)),INDEX('Backlog General'!$O$7:$O$200,$R85),""),""))</f>
      </c>
      <c r="L85" s="202">
        <f>IF(78&lt;SUM('_Datos'!$BN$7:$BN$200),SUMPRODUCT(('_Datos'!$BO$7:$BO$200&lt;=78)*(('_Datos'!$BO$7:$BO$200+'_Datos'!$BN$7:$BN$200)&gt;78)*('_Datos'!$BN$7:$BN$200&gt;0)*'_Datos'!$A$7:$A$200),"")</f>
      </c>
      <c r="M85" s="202">
        <f>IF($L85="","",$L85-6)</f>
      </c>
      <c r="N85" s="202">
        <f>IF($M85="","",INDEX('_Datos'!$AR$7:$AR$200,$M85)+(78-INDEX('_Datos'!$BO$7:$BO$200,$M85)))</f>
      </c>
      <c r="O85" s="202">
        <f>IF($M85="","",INDEX('_Datos'!$AQ$7:$AQ$200,$M85)+$N85*INDEX('_Datos'!$AP$7:$AP$200,$M85)*'Sprints'!$D$5-'Sprints'!$D$5)</f>
      </c>
      <c r="P85" s="202">
        <f>IF($M85="","",$O85*100000+78)</f>
      </c>
      <c r="Q85" s="202">
        <f>IFERROR(MATCH(SMALL($P$7:$P116,78+1),$P$7:$P116,0),"")</f>
      </c>
      <c r="R85" s="202">
        <f>IF($Q85="","",INDEX($M$7:$M116,$Q85))</f>
      </c>
      <c r="S85" s="202">
        <f>IF($Q85="","",INDEX($N$7:$N116,$Q85))</f>
      </c>
      <c r="T85" s="202">
        <f>IF($Q85="","",INDEX($O$7:$O116,$Q85))</f>
      </c>
      <c r="U85" s="202">
        <f>IF($R85="","",$S85=INDEX('_Datos'!$AV$7:$AV$200,$R85))</f>
      </c>
    </row>
    <row r="86">
      <c r="B86" s="207">
        <f>IF($Q86="","",$T86)</f>
      </c>
      <c r="C86" s="205">
        <f>IF($R86="","",INDEX('_Datos'!$F$7:$F$200,$R86))</f>
      </c>
      <c r="D86" s="204">
        <f>IF($R86="","",INDEX('_Datos'!$AO$7:$AO$200,$R86))</f>
      </c>
      <c r="E86" s="204">
        <f>IF($S86="","","S"&amp;$S86)</f>
      </c>
      <c r="F86" s="204">
        <f>IF($Q86="","",IF($U86,"● VIGENTE","Cerrado"))</f>
      </c>
      <c r="G86" s="205">
        <f>IF($Q86="","",IF($U86,INDEX('_Datos'!$AT$7:$AT$200,$R86),"→ pasó a S"&amp;($S86+1)))</f>
      </c>
      <c r="H86" s="208">
        <f>IF($Q86="","",IF($U86,INDEX('_Datos'!$I$7:$I$200,$R86),""))</f>
      </c>
      <c r="I86" s="207">
        <f>IF($Q86="","",IF($U86,IF(ISNUMBER(INDEX('Backlog General'!$O$7:$O$200,$R86)),INDEX('Backlog General'!$O$7:$O$200,$R86),""),""))</f>
      </c>
      <c r="L86" s="202">
        <f>IF(79&lt;SUM('_Datos'!$BN$7:$BN$200),SUMPRODUCT(('_Datos'!$BO$7:$BO$200&lt;=79)*(('_Datos'!$BO$7:$BO$200+'_Datos'!$BN$7:$BN$200)&gt;79)*('_Datos'!$BN$7:$BN$200&gt;0)*'_Datos'!$A$7:$A$200),"")</f>
      </c>
      <c r="M86" s="202">
        <f>IF($L86="","",$L86-6)</f>
      </c>
      <c r="N86" s="202">
        <f>IF($M86="","",INDEX('_Datos'!$AR$7:$AR$200,$M86)+(79-INDEX('_Datos'!$BO$7:$BO$200,$M86)))</f>
      </c>
      <c r="O86" s="202">
        <f>IF($M86="","",INDEX('_Datos'!$AQ$7:$AQ$200,$M86)+$N86*INDEX('_Datos'!$AP$7:$AP$200,$M86)*'Sprints'!$D$5-'Sprints'!$D$5)</f>
      </c>
      <c r="P86" s="202">
        <f>IF($M86="","",$O86*100000+79)</f>
      </c>
      <c r="Q86" s="202">
        <f>IFERROR(MATCH(SMALL($P$7:$P116,79+1),$P$7:$P116,0),"")</f>
      </c>
      <c r="R86" s="202">
        <f>IF($Q86="","",INDEX($M$7:$M116,$Q86))</f>
      </c>
      <c r="S86" s="202">
        <f>IF($Q86="","",INDEX($N$7:$N116,$Q86))</f>
      </c>
      <c r="T86" s="202">
        <f>IF($Q86="","",INDEX($O$7:$O116,$Q86))</f>
      </c>
      <c r="U86" s="202">
        <f>IF($R86="","",$S86=INDEX('_Datos'!$AV$7:$AV$200,$R86))</f>
      </c>
    </row>
    <row r="87">
      <c r="B87" s="207">
        <f>IF($Q87="","",$T87)</f>
      </c>
      <c r="C87" s="205">
        <f>IF($R87="","",INDEX('_Datos'!$F$7:$F$200,$R87))</f>
      </c>
      <c r="D87" s="204">
        <f>IF($R87="","",INDEX('_Datos'!$AO$7:$AO$200,$R87))</f>
      </c>
      <c r="E87" s="204">
        <f>IF($S87="","","S"&amp;$S87)</f>
      </c>
      <c r="F87" s="204">
        <f>IF($Q87="","",IF($U87,"● VIGENTE","Cerrado"))</f>
      </c>
      <c r="G87" s="205">
        <f>IF($Q87="","",IF($U87,INDEX('_Datos'!$AT$7:$AT$200,$R87),"→ pasó a S"&amp;($S87+1)))</f>
      </c>
      <c r="H87" s="208">
        <f>IF($Q87="","",IF($U87,INDEX('_Datos'!$I$7:$I$200,$R87),""))</f>
      </c>
      <c r="I87" s="207">
        <f>IF($Q87="","",IF($U87,IF(ISNUMBER(INDEX('Backlog General'!$O$7:$O$200,$R87)),INDEX('Backlog General'!$O$7:$O$200,$R87),""),""))</f>
      </c>
      <c r="L87" s="202">
        <f>IF(80&lt;SUM('_Datos'!$BN$7:$BN$200),SUMPRODUCT(('_Datos'!$BO$7:$BO$200&lt;=80)*(('_Datos'!$BO$7:$BO$200+'_Datos'!$BN$7:$BN$200)&gt;80)*('_Datos'!$BN$7:$BN$200&gt;0)*'_Datos'!$A$7:$A$200),"")</f>
      </c>
      <c r="M87" s="202">
        <f>IF($L87="","",$L87-6)</f>
      </c>
      <c r="N87" s="202">
        <f>IF($M87="","",INDEX('_Datos'!$AR$7:$AR$200,$M87)+(80-INDEX('_Datos'!$BO$7:$BO$200,$M87)))</f>
      </c>
      <c r="O87" s="202">
        <f>IF($M87="","",INDEX('_Datos'!$AQ$7:$AQ$200,$M87)+$N87*INDEX('_Datos'!$AP$7:$AP$200,$M87)*'Sprints'!$D$5-'Sprints'!$D$5)</f>
      </c>
      <c r="P87" s="202">
        <f>IF($M87="","",$O87*100000+80)</f>
      </c>
      <c r="Q87" s="202">
        <f>IFERROR(MATCH(SMALL($P$7:$P116,80+1),$P$7:$P116,0),"")</f>
      </c>
      <c r="R87" s="202">
        <f>IF($Q87="","",INDEX($M$7:$M116,$Q87))</f>
      </c>
      <c r="S87" s="202">
        <f>IF($Q87="","",INDEX($N$7:$N116,$Q87))</f>
      </c>
      <c r="T87" s="202">
        <f>IF($Q87="","",INDEX($O$7:$O116,$Q87))</f>
      </c>
      <c r="U87" s="202">
        <f>IF($R87="","",$S87=INDEX('_Datos'!$AV$7:$AV$200,$R87))</f>
      </c>
    </row>
    <row r="88">
      <c r="B88" s="207">
        <f>IF($Q88="","",$T88)</f>
      </c>
      <c r="C88" s="205">
        <f>IF($R88="","",INDEX('_Datos'!$F$7:$F$200,$R88))</f>
      </c>
      <c r="D88" s="204">
        <f>IF($R88="","",INDEX('_Datos'!$AO$7:$AO$200,$R88))</f>
      </c>
      <c r="E88" s="204">
        <f>IF($S88="","","S"&amp;$S88)</f>
      </c>
      <c r="F88" s="204">
        <f>IF($Q88="","",IF($U88,"● VIGENTE","Cerrado"))</f>
      </c>
      <c r="G88" s="205">
        <f>IF($Q88="","",IF($U88,INDEX('_Datos'!$AT$7:$AT$200,$R88),"→ pasó a S"&amp;($S88+1)))</f>
      </c>
      <c r="H88" s="208">
        <f>IF($Q88="","",IF($U88,INDEX('_Datos'!$I$7:$I$200,$R88),""))</f>
      </c>
      <c r="I88" s="207">
        <f>IF($Q88="","",IF($U88,IF(ISNUMBER(INDEX('Backlog General'!$O$7:$O$200,$R88)),INDEX('Backlog General'!$O$7:$O$200,$R88),""),""))</f>
      </c>
      <c r="L88" s="202">
        <f>IF(81&lt;SUM('_Datos'!$BN$7:$BN$200),SUMPRODUCT(('_Datos'!$BO$7:$BO$200&lt;=81)*(('_Datos'!$BO$7:$BO$200+'_Datos'!$BN$7:$BN$200)&gt;81)*('_Datos'!$BN$7:$BN$200&gt;0)*'_Datos'!$A$7:$A$200),"")</f>
      </c>
      <c r="M88" s="202">
        <f>IF($L88="","",$L88-6)</f>
      </c>
      <c r="N88" s="202">
        <f>IF($M88="","",INDEX('_Datos'!$AR$7:$AR$200,$M88)+(81-INDEX('_Datos'!$BO$7:$BO$200,$M88)))</f>
      </c>
      <c r="O88" s="202">
        <f>IF($M88="","",INDEX('_Datos'!$AQ$7:$AQ$200,$M88)+$N88*INDEX('_Datos'!$AP$7:$AP$200,$M88)*'Sprints'!$D$5-'Sprints'!$D$5)</f>
      </c>
      <c r="P88" s="202">
        <f>IF($M88="","",$O88*100000+81)</f>
      </c>
      <c r="Q88" s="202">
        <f>IFERROR(MATCH(SMALL($P$7:$P116,81+1),$P$7:$P116,0),"")</f>
      </c>
      <c r="R88" s="202">
        <f>IF($Q88="","",INDEX($M$7:$M116,$Q88))</f>
      </c>
      <c r="S88" s="202">
        <f>IF($Q88="","",INDEX($N$7:$N116,$Q88))</f>
      </c>
      <c r="T88" s="202">
        <f>IF($Q88="","",INDEX($O$7:$O116,$Q88))</f>
      </c>
      <c r="U88" s="202">
        <f>IF($R88="","",$S88=INDEX('_Datos'!$AV$7:$AV$200,$R88))</f>
      </c>
    </row>
    <row r="89">
      <c r="B89" s="207">
        <f>IF($Q89="","",$T89)</f>
      </c>
      <c r="C89" s="205">
        <f>IF($R89="","",INDEX('_Datos'!$F$7:$F$200,$R89))</f>
      </c>
      <c r="D89" s="204">
        <f>IF($R89="","",INDEX('_Datos'!$AO$7:$AO$200,$R89))</f>
      </c>
      <c r="E89" s="204">
        <f>IF($S89="","","S"&amp;$S89)</f>
      </c>
      <c r="F89" s="204">
        <f>IF($Q89="","",IF($U89,"● VIGENTE","Cerrado"))</f>
      </c>
      <c r="G89" s="205">
        <f>IF($Q89="","",IF($U89,INDEX('_Datos'!$AT$7:$AT$200,$R89),"→ pasó a S"&amp;($S89+1)))</f>
      </c>
      <c r="H89" s="208">
        <f>IF($Q89="","",IF($U89,INDEX('_Datos'!$I$7:$I$200,$R89),""))</f>
      </c>
      <c r="I89" s="207">
        <f>IF($Q89="","",IF($U89,IF(ISNUMBER(INDEX('Backlog General'!$O$7:$O$200,$R89)),INDEX('Backlog General'!$O$7:$O$200,$R89),""),""))</f>
      </c>
      <c r="L89" s="202">
        <f>IF(82&lt;SUM('_Datos'!$BN$7:$BN$200),SUMPRODUCT(('_Datos'!$BO$7:$BO$200&lt;=82)*(('_Datos'!$BO$7:$BO$200+'_Datos'!$BN$7:$BN$200)&gt;82)*('_Datos'!$BN$7:$BN$200&gt;0)*'_Datos'!$A$7:$A$200),"")</f>
      </c>
      <c r="M89" s="202">
        <f>IF($L89="","",$L89-6)</f>
      </c>
      <c r="N89" s="202">
        <f>IF($M89="","",INDEX('_Datos'!$AR$7:$AR$200,$M89)+(82-INDEX('_Datos'!$BO$7:$BO$200,$M89)))</f>
      </c>
      <c r="O89" s="202">
        <f>IF($M89="","",INDEX('_Datos'!$AQ$7:$AQ$200,$M89)+$N89*INDEX('_Datos'!$AP$7:$AP$200,$M89)*'Sprints'!$D$5-'Sprints'!$D$5)</f>
      </c>
      <c r="P89" s="202">
        <f>IF($M89="","",$O89*100000+82)</f>
      </c>
      <c r="Q89" s="202">
        <f>IFERROR(MATCH(SMALL($P$7:$P116,82+1),$P$7:$P116,0),"")</f>
      </c>
      <c r="R89" s="202">
        <f>IF($Q89="","",INDEX($M$7:$M116,$Q89))</f>
      </c>
      <c r="S89" s="202">
        <f>IF($Q89="","",INDEX($N$7:$N116,$Q89))</f>
      </c>
      <c r="T89" s="202">
        <f>IF($Q89="","",INDEX($O$7:$O116,$Q89))</f>
      </c>
      <c r="U89" s="202">
        <f>IF($R89="","",$S89=INDEX('_Datos'!$AV$7:$AV$200,$R89))</f>
      </c>
    </row>
    <row r="90">
      <c r="B90" s="207">
        <f>IF($Q90="","",$T90)</f>
      </c>
      <c r="C90" s="205">
        <f>IF($R90="","",INDEX('_Datos'!$F$7:$F$200,$R90))</f>
      </c>
      <c r="D90" s="204">
        <f>IF($R90="","",INDEX('_Datos'!$AO$7:$AO$200,$R90))</f>
      </c>
      <c r="E90" s="204">
        <f>IF($S90="","","S"&amp;$S90)</f>
      </c>
      <c r="F90" s="204">
        <f>IF($Q90="","",IF($U90,"● VIGENTE","Cerrado"))</f>
      </c>
      <c r="G90" s="205">
        <f>IF($Q90="","",IF($U90,INDEX('_Datos'!$AT$7:$AT$200,$R90),"→ pasó a S"&amp;($S90+1)))</f>
      </c>
      <c r="H90" s="208">
        <f>IF($Q90="","",IF($U90,INDEX('_Datos'!$I$7:$I$200,$R90),""))</f>
      </c>
      <c r="I90" s="207">
        <f>IF($Q90="","",IF($U90,IF(ISNUMBER(INDEX('Backlog General'!$O$7:$O$200,$R90)),INDEX('Backlog General'!$O$7:$O$200,$R90),""),""))</f>
      </c>
      <c r="L90" s="202">
        <f>IF(83&lt;SUM('_Datos'!$BN$7:$BN$200),SUMPRODUCT(('_Datos'!$BO$7:$BO$200&lt;=83)*(('_Datos'!$BO$7:$BO$200+'_Datos'!$BN$7:$BN$200)&gt;83)*('_Datos'!$BN$7:$BN$200&gt;0)*'_Datos'!$A$7:$A$200),"")</f>
      </c>
      <c r="M90" s="202">
        <f>IF($L90="","",$L90-6)</f>
      </c>
      <c r="N90" s="202">
        <f>IF($M90="","",INDEX('_Datos'!$AR$7:$AR$200,$M90)+(83-INDEX('_Datos'!$BO$7:$BO$200,$M90)))</f>
      </c>
      <c r="O90" s="202">
        <f>IF($M90="","",INDEX('_Datos'!$AQ$7:$AQ$200,$M90)+$N90*INDEX('_Datos'!$AP$7:$AP$200,$M90)*'Sprints'!$D$5-'Sprints'!$D$5)</f>
      </c>
      <c r="P90" s="202">
        <f>IF($M90="","",$O90*100000+83)</f>
      </c>
      <c r="Q90" s="202">
        <f>IFERROR(MATCH(SMALL($P$7:$P116,83+1),$P$7:$P116,0),"")</f>
      </c>
      <c r="R90" s="202">
        <f>IF($Q90="","",INDEX($M$7:$M116,$Q90))</f>
      </c>
      <c r="S90" s="202">
        <f>IF($Q90="","",INDEX($N$7:$N116,$Q90))</f>
      </c>
      <c r="T90" s="202">
        <f>IF($Q90="","",INDEX($O$7:$O116,$Q90))</f>
      </c>
      <c r="U90" s="202">
        <f>IF($R90="","",$S90=INDEX('_Datos'!$AV$7:$AV$200,$R90))</f>
      </c>
    </row>
    <row r="91">
      <c r="B91" s="207">
        <f>IF($Q91="","",$T91)</f>
      </c>
      <c r="C91" s="205">
        <f>IF($R91="","",INDEX('_Datos'!$F$7:$F$200,$R91))</f>
      </c>
      <c r="D91" s="204">
        <f>IF($R91="","",INDEX('_Datos'!$AO$7:$AO$200,$R91))</f>
      </c>
      <c r="E91" s="204">
        <f>IF($S91="","","S"&amp;$S91)</f>
      </c>
      <c r="F91" s="204">
        <f>IF($Q91="","",IF($U91,"● VIGENTE","Cerrado"))</f>
      </c>
      <c r="G91" s="205">
        <f>IF($Q91="","",IF($U91,INDEX('_Datos'!$AT$7:$AT$200,$R91),"→ pasó a S"&amp;($S91+1)))</f>
      </c>
      <c r="H91" s="208">
        <f>IF($Q91="","",IF($U91,INDEX('_Datos'!$I$7:$I$200,$R91),""))</f>
      </c>
      <c r="I91" s="207">
        <f>IF($Q91="","",IF($U91,IF(ISNUMBER(INDEX('Backlog General'!$O$7:$O$200,$R91)),INDEX('Backlog General'!$O$7:$O$200,$R91),""),""))</f>
      </c>
      <c r="L91" s="202">
        <f>IF(84&lt;SUM('_Datos'!$BN$7:$BN$200),SUMPRODUCT(('_Datos'!$BO$7:$BO$200&lt;=84)*(('_Datos'!$BO$7:$BO$200+'_Datos'!$BN$7:$BN$200)&gt;84)*('_Datos'!$BN$7:$BN$200&gt;0)*'_Datos'!$A$7:$A$200),"")</f>
      </c>
      <c r="M91" s="202">
        <f>IF($L91="","",$L91-6)</f>
      </c>
      <c r="N91" s="202">
        <f>IF($M91="","",INDEX('_Datos'!$AR$7:$AR$200,$M91)+(84-INDEX('_Datos'!$BO$7:$BO$200,$M91)))</f>
      </c>
      <c r="O91" s="202">
        <f>IF($M91="","",INDEX('_Datos'!$AQ$7:$AQ$200,$M91)+$N91*INDEX('_Datos'!$AP$7:$AP$200,$M91)*'Sprints'!$D$5-'Sprints'!$D$5)</f>
      </c>
      <c r="P91" s="202">
        <f>IF($M91="","",$O91*100000+84)</f>
      </c>
      <c r="Q91" s="202">
        <f>IFERROR(MATCH(SMALL($P$7:$P116,84+1),$P$7:$P116,0),"")</f>
      </c>
      <c r="R91" s="202">
        <f>IF($Q91="","",INDEX($M$7:$M116,$Q91))</f>
      </c>
      <c r="S91" s="202">
        <f>IF($Q91="","",INDEX($N$7:$N116,$Q91))</f>
      </c>
      <c r="T91" s="202">
        <f>IF($Q91="","",INDEX($O$7:$O116,$Q91))</f>
      </c>
      <c r="U91" s="202">
        <f>IF($R91="","",$S91=INDEX('_Datos'!$AV$7:$AV$200,$R91))</f>
      </c>
    </row>
    <row r="92">
      <c r="B92" s="207">
        <f>IF($Q92="","",$T92)</f>
      </c>
      <c r="C92" s="205">
        <f>IF($R92="","",INDEX('_Datos'!$F$7:$F$200,$R92))</f>
      </c>
      <c r="D92" s="204">
        <f>IF($R92="","",INDEX('_Datos'!$AO$7:$AO$200,$R92))</f>
      </c>
      <c r="E92" s="204">
        <f>IF($S92="","","S"&amp;$S92)</f>
      </c>
      <c r="F92" s="204">
        <f>IF($Q92="","",IF($U92,"● VIGENTE","Cerrado"))</f>
      </c>
      <c r="G92" s="205">
        <f>IF($Q92="","",IF($U92,INDEX('_Datos'!$AT$7:$AT$200,$R92),"→ pasó a S"&amp;($S92+1)))</f>
      </c>
      <c r="H92" s="208">
        <f>IF($Q92="","",IF($U92,INDEX('_Datos'!$I$7:$I$200,$R92),""))</f>
      </c>
      <c r="I92" s="207">
        <f>IF($Q92="","",IF($U92,IF(ISNUMBER(INDEX('Backlog General'!$O$7:$O$200,$R92)),INDEX('Backlog General'!$O$7:$O$200,$R92),""),""))</f>
      </c>
      <c r="L92" s="202">
        <f>IF(85&lt;SUM('_Datos'!$BN$7:$BN$200),SUMPRODUCT(('_Datos'!$BO$7:$BO$200&lt;=85)*(('_Datos'!$BO$7:$BO$200+'_Datos'!$BN$7:$BN$200)&gt;85)*('_Datos'!$BN$7:$BN$200&gt;0)*'_Datos'!$A$7:$A$200),"")</f>
      </c>
      <c r="M92" s="202">
        <f>IF($L92="","",$L92-6)</f>
      </c>
      <c r="N92" s="202">
        <f>IF($M92="","",INDEX('_Datos'!$AR$7:$AR$200,$M92)+(85-INDEX('_Datos'!$BO$7:$BO$200,$M92)))</f>
      </c>
      <c r="O92" s="202">
        <f>IF($M92="","",INDEX('_Datos'!$AQ$7:$AQ$200,$M92)+$N92*INDEX('_Datos'!$AP$7:$AP$200,$M92)*'Sprints'!$D$5-'Sprints'!$D$5)</f>
      </c>
      <c r="P92" s="202">
        <f>IF($M92="","",$O92*100000+85)</f>
      </c>
      <c r="Q92" s="202">
        <f>IFERROR(MATCH(SMALL($P$7:$P116,85+1),$P$7:$P116,0),"")</f>
      </c>
      <c r="R92" s="202">
        <f>IF($Q92="","",INDEX($M$7:$M116,$Q92))</f>
      </c>
      <c r="S92" s="202">
        <f>IF($Q92="","",INDEX($N$7:$N116,$Q92))</f>
      </c>
      <c r="T92" s="202">
        <f>IF($Q92="","",INDEX($O$7:$O116,$Q92))</f>
      </c>
      <c r="U92" s="202">
        <f>IF($R92="","",$S92=INDEX('_Datos'!$AV$7:$AV$200,$R92))</f>
      </c>
    </row>
    <row r="93">
      <c r="B93" s="207">
        <f>IF($Q93="","",$T93)</f>
      </c>
      <c r="C93" s="205">
        <f>IF($R93="","",INDEX('_Datos'!$F$7:$F$200,$R93))</f>
      </c>
      <c r="D93" s="204">
        <f>IF($R93="","",INDEX('_Datos'!$AO$7:$AO$200,$R93))</f>
      </c>
      <c r="E93" s="204">
        <f>IF($S93="","","S"&amp;$S93)</f>
      </c>
      <c r="F93" s="204">
        <f>IF($Q93="","",IF($U93,"● VIGENTE","Cerrado"))</f>
      </c>
      <c r="G93" s="205">
        <f>IF($Q93="","",IF($U93,INDEX('_Datos'!$AT$7:$AT$200,$R93),"→ pasó a S"&amp;($S93+1)))</f>
      </c>
      <c r="H93" s="208">
        <f>IF($Q93="","",IF($U93,INDEX('_Datos'!$I$7:$I$200,$R93),""))</f>
      </c>
      <c r="I93" s="207">
        <f>IF($Q93="","",IF($U93,IF(ISNUMBER(INDEX('Backlog General'!$O$7:$O$200,$R93)),INDEX('Backlog General'!$O$7:$O$200,$R93),""),""))</f>
      </c>
      <c r="L93" s="202">
        <f>IF(86&lt;SUM('_Datos'!$BN$7:$BN$200),SUMPRODUCT(('_Datos'!$BO$7:$BO$200&lt;=86)*(('_Datos'!$BO$7:$BO$200+'_Datos'!$BN$7:$BN$200)&gt;86)*('_Datos'!$BN$7:$BN$200&gt;0)*'_Datos'!$A$7:$A$200),"")</f>
      </c>
      <c r="M93" s="202">
        <f>IF($L93="","",$L93-6)</f>
      </c>
      <c r="N93" s="202">
        <f>IF($M93="","",INDEX('_Datos'!$AR$7:$AR$200,$M93)+(86-INDEX('_Datos'!$BO$7:$BO$200,$M93)))</f>
      </c>
      <c r="O93" s="202">
        <f>IF($M93="","",INDEX('_Datos'!$AQ$7:$AQ$200,$M93)+$N93*INDEX('_Datos'!$AP$7:$AP$200,$M93)*'Sprints'!$D$5-'Sprints'!$D$5)</f>
      </c>
      <c r="P93" s="202">
        <f>IF($M93="","",$O93*100000+86)</f>
      </c>
      <c r="Q93" s="202">
        <f>IFERROR(MATCH(SMALL($P$7:$P116,86+1),$P$7:$P116,0),"")</f>
      </c>
      <c r="R93" s="202">
        <f>IF($Q93="","",INDEX($M$7:$M116,$Q93))</f>
      </c>
      <c r="S93" s="202">
        <f>IF($Q93="","",INDEX($N$7:$N116,$Q93))</f>
      </c>
      <c r="T93" s="202">
        <f>IF($Q93="","",INDEX($O$7:$O116,$Q93))</f>
      </c>
      <c r="U93" s="202">
        <f>IF($R93="","",$S93=INDEX('_Datos'!$AV$7:$AV$200,$R93))</f>
      </c>
    </row>
    <row r="94">
      <c r="B94" s="207">
        <f>IF($Q94="","",$T94)</f>
      </c>
      <c r="C94" s="205">
        <f>IF($R94="","",INDEX('_Datos'!$F$7:$F$200,$R94))</f>
      </c>
      <c r="D94" s="204">
        <f>IF($R94="","",INDEX('_Datos'!$AO$7:$AO$200,$R94))</f>
      </c>
      <c r="E94" s="204">
        <f>IF($S94="","","S"&amp;$S94)</f>
      </c>
      <c r="F94" s="204">
        <f>IF($Q94="","",IF($U94,"● VIGENTE","Cerrado"))</f>
      </c>
      <c r="G94" s="205">
        <f>IF($Q94="","",IF($U94,INDEX('_Datos'!$AT$7:$AT$200,$R94),"→ pasó a S"&amp;($S94+1)))</f>
      </c>
      <c r="H94" s="208">
        <f>IF($Q94="","",IF($U94,INDEX('_Datos'!$I$7:$I$200,$R94),""))</f>
      </c>
      <c r="I94" s="207">
        <f>IF($Q94="","",IF($U94,IF(ISNUMBER(INDEX('Backlog General'!$O$7:$O$200,$R94)),INDEX('Backlog General'!$O$7:$O$200,$R94),""),""))</f>
      </c>
      <c r="L94" s="202">
        <f>IF(87&lt;SUM('_Datos'!$BN$7:$BN$200),SUMPRODUCT(('_Datos'!$BO$7:$BO$200&lt;=87)*(('_Datos'!$BO$7:$BO$200+'_Datos'!$BN$7:$BN$200)&gt;87)*('_Datos'!$BN$7:$BN$200&gt;0)*'_Datos'!$A$7:$A$200),"")</f>
      </c>
      <c r="M94" s="202">
        <f>IF($L94="","",$L94-6)</f>
      </c>
      <c r="N94" s="202">
        <f>IF($M94="","",INDEX('_Datos'!$AR$7:$AR$200,$M94)+(87-INDEX('_Datos'!$BO$7:$BO$200,$M94)))</f>
      </c>
      <c r="O94" s="202">
        <f>IF($M94="","",INDEX('_Datos'!$AQ$7:$AQ$200,$M94)+$N94*INDEX('_Datos'!$AP$7:$AP$200,$M94)*'Sprints'!$D$5-'Sprints'!$D$5)</f>
      </c>
      <c r="P94" s="202">
        <f>IF($M94="","",$O94*100000+87)</f>
      </c>
      <c r="Q94" s="202">
        <f>IFERROR(MATCH(SMALL($P$7:$P116,87+1),$P$7:$P116,0),"")</f>
      </c>
      <c r="R94" s="202">
        <f>IF($Q94="","",INDEX($M$7:$M116,$Q94))</f>
      </c>
      <c r="S94" s="202">
        <f>IF($Q94="","",INDEX($N$7:$N116,$Q94))</f>
      </c>
      <c r="T94" s="202">
        <f>IF($Q94="","",INDEX($O$7:$O116,$Q94))</f>
      </c>
      <c r="U94" s="202">
        <f>IF($R94="","",$S94=INDEX('_Datos'!$AV$7:$AV$200,$R94))</f>
      </c>
    </row>
    <row r="95">
      <c r="B95" s="207">
        <f>IF($Q95="","",$T95)</f>
      </c>
      <c r="C95" s="205">
        <f>IF($R95="","",INDEX('_Datos'!$F$7:$F$200,$R95))</f>
      </c>
      <c r="D95" s="204">
        <f>IF($R95="","",INDEX('_Datos'!$AO$7:$AO$200,$R95))</f>
      </c>
      <c r="E95" s="204">
        <f>IF($S95="","","S"&amp;$S95)</f>
      </c>
      <c r="F95" s="204">
        <f>IF($Q95="","",IF($U95,"● VIGENTE","Cerrado"))</f>
      </c>
      <c r="G95" s="205">
        <f>IF($Q95="","",IF($U95,INDEX('_Datos'!$AT$7:$AT$200,$R95),"→ pasó a S"&amp;($S95+1)))</f>
      </c>
      <c r="H95" s="208">
        <f>IF($Q95="","",IF($U95,INDEX('_Datos'!$I$7:$I$200,$R95),""))</f>
      </c>
      <c r="I95" s="207">
        <f>IF($Q95="","",IF($U95,IF(ISNUMBER(INDEX('Backlog General'!$O$7:$O$200,$R95)),INDEX('Backlog General'!$O$7:$O$200,$R95),""),""))</f>
      </c>
      <c r="L95" s="202">
        <f>IF(88&lt;SUM('_Datos'!$BN$7:$BN$200),SUMPRODUCT(('_Datos'!$BO$7:$BO$200&lt;=88)*(('_Datos'!$BO$7:$BO$200+'_Datos'!$BN$7:$BN$200)&gt;88)*('_Datos'!$BN$7:$BN$200&gt;0)*'_Datos'!$A$7:$A$200),"")</f>
      </c>
      <c r="M95" s="202">
        <f>IF($L95="","",$L95-6)</f>
      </c>
      <c r="N95" s="202">
        <f>IF($M95="","",INDEX('_Datos'!$AR$7:$AR$200,$M95)+(88-INDEX('_Datos'!$BO$7:$BO$200,$M95)))</f>
      </c>
      <c r="O95" s="202">
        <f>IF($M95="","",INDEX('_Datos'!$AQ$7:$AQ$200,$M95)+$N95*INDEX('_Datos'!$AP$7:$AP$200,$M95)*'Sprints'!$D$5-'Sprints'!$D$5)</f>
      </c>
      <c r="P95" s="202">
        <f>IF($M95="","",$O95*100000+88)</f>
      </c>
      <c r="Q95" s="202">
        <f>IFERROR(MATCH(SMALL($P$7:$P116,88+1),$P$7:$P116,0),"")</f>
      </c>
      <c r="R95" s="202">
        <f>IF($Q95="","",INDEX($M$7:$M116,$Q95))</f>
      </c>
      <c r="S95" s="202">
        <f>IF($Q95="","",INDEX($N$7:$N116,$Q95))</f>
      </c>
      <c r="T95" s="202">
        <f>IF($Q95="","",INDEX($O$7:$O116,$Q95))</f>
      </c>
      <c r="U95" s="202">
        <f>IF($R95="","",$S95=INDEX('_Datos'!$AV$7:$AV$200,$R95))</f>
      </c>
    </row>
    <row r="96">
      <c r="B96" s="207">
        <f>IF($Q96="","",$T96)</f>
      </c>
      <c r="C96" s="205">
        <f>IF($R96="","",INDEX('_Datos'!$F$7:$F$200,$R96))</f>
      </c>
      <c r="D96" s="204">
        <f>IF($R96="","",INDEX('_Datos'!$AO$7:$AO$200,$R96))</f>
      </c>
      <c r="E96" s="204">
        <f>IF($S96="","","S"&amp;$S96)</f>
      </c>
      <c r="F96" s="204">
        <f>IF($Q96="","",IF($U96,"● VIGENTE","Cerrado"))</f>
      </c>
      <c r="G96" s="205">
        <f>IF($Q96="","",IF($U96,INDEX('_Datos'!$AT$7:$AT$200,$R96),"→ pasó a S"&amp;($S96+1)))</f>
      </c>
      <c r="H96" s="208">
        <f>IF($Q96="","",IF($U96,INDEX('_Datos'!$I$7:$I$200,$R96),""))</f>
      </c>
      <c r="I96" s="207">
        <f>IF($Q96="","",IF($U96,IF(ISNUMBER(INDEX('Backlog General'!$O$7:$O$200,$R96)),INDEX('Backlog General'!$O$7:$O$200,$R96),""),""))</f>
      </c>
      <c r="L96" s="202">
        <f>IF(89&lt;SUM('_Datos'!$BN$7:$BN$200),SUMPRODUCT(('_Datos'!$BO$7:$BO$200&lt;=89)*(('_Datos'!$BO$7:$BO$200+'_Datos'!$BN$7:$BN$200)&gt;89)*('_Datos'!$BN$7:$BN$200&gt;0)*'_Datos'!$A$7:$A$200),"")</f>
      </c>
      <c r="M96" s="202">
        <f>IF($L96="","",$L96-6)</f>
      </c>
      <c r="N96" s="202">
        <f>IF($M96="","",INDEX('_Datos'!$AR$7:$AR$200,$M96)+(89-INDEX('_Datos'!$BO$7:$BO$200,$M96)))</f>
      </c>
      <c r="O96" s="202">
        <f>IF($M96="","",INDEX('_Datos'!$AQ$7:$AQ$200,$M96)+$N96*INDEX('_Datos'!$AP$7:$AP$200,$M96)*'Sprints'!$D$5-'Sprints'!$D$5)</f>
      </c>
      <c r="P96" s="202">
        <f>IF($M96="","",$O96*100000+89)</f>
      </c>
      <c r="Q96" s="202">
        <f>IFERROR(MATCH(SMALL($P$7:$P116,89+1),$P$7:$P116,0),"")</f>
      </c>
      <c r="R96" s="202">
        <f>IF($Q96="","",INDEX($M$7:$M116,$Q96))</f>
      </c>
      <c r="S96" s="202">
        <f>IF($Q96="","",INDEX($N$7:$N116,$Q96))</f>
      </c>
      <c r="T96" s="202">
        <f>IF($Q96="","",INDEX($O$7:$O116,$Q96))</f>
      </c>
      <c r="U96" s="202">
        <f>IF($R96="","",$S96=INDEX('_Datos'!$AV$7:$AV$200,$R96))</f>
      </c>
    </row>
    <row r="97">
      <c r="B97" s="207">
        <f>IF($Q97="","",$T97)</f>
      </c>
      <c r="C97" s="205">
        <f>IF($R97="","",INDEX('_Datos'!$F$7:$F$200,$R97))</f>
      </c>
      <c r="D97" s="204">
        <f>IF($R97="","",INDEX('_Datos'!$AO$7:$AO$200,$R97))</f>
      </c>
      <c r="E97" s="204">
        <f>IF($S97="","","S"&amp;$S97)</f>
      </c>
      <c r="F97" s="204">
        <f>IF($Q97="","",IF($U97,"● VIGENTE","Cerrado"))</f>
      </c>
      <c r="G97" s="205">
        <f>IF($Q97="","",IF($U97,INDEX('_Datos'!$AT$7:$AT$200,$R97),"→ pasó a S"&amp;($S97+1)))</f>
      </c>
      <c r="H97" s="208">
        <f>IF($Q97="","",IF($U97,INDEX('_Datos'!$I$7:$I$200,$R97),""))</f>
      </c>
      <c r="I97" s="207">
        <f>IF($Q97="","",IF($U97,IF(ISNUMBER(INDEX('Backlog General'!$O$7:$O$200,$R97)),INDEX('Backlog General'!$O$7:$O$200,$R97),""),""))</f>
      </c>
      <c r="L97" s="202">
        <f>IF(90&lt;SUM('_Datos'!$BN$7:$BN$200),SUMPRODUCT(('_Datos'!$BO$7:$BO$200&lt;=90)*(('_Datos'!$BO$7:$BO$200+'_Datos'!$BN$7:$BN$200)&gt;90)*('_Datos'!$BN$7:$BN$200&gt;0)*'_Datos'!$A$7:$A$200),"")</f>
      </c>
      <c r="M97" s="202">
        <f>IF($L97="","",$L97-6)</f>
      </c>
      <c r="N97" s="202">
        <f>IF($M97="","",INDEX('_Datos'!$AR$7:$AR$200,$M97)+(90-INDEX('_Datos'!$BO$7:$BO$200,$M97)))</f>
      </c>
      <c r="O97" s="202">
        <f>IF($M97="","",INDEX('_Datos'!$AQ$7:$AQ$200,$M97)+$N97*INDEX('_Datos'!$AP$7:$AP$200,$M97)*'Sprints'!$D$5-'Sprints'!$D$5)</f>
      </c>
      <c r="P97" s="202">
        <f>IF($M97="","",$O97*100000+90)</f>
      </c>
      <c r="Q97" s="202">
        <f>IFERROR(MATCH(SMALL($P$7:$P116,90+1),$P$7:$P116,0),"")</f>
      </c>
      <c r="R97" s="202">
        <f>IF($Q97="","",INDEX($M$7:$M116,$Q97))</f>
      </c>
      <c r="S97" s="202">
        <f>IF($Q97="","",INDEX($N$7:$N116,$Q97))</f>
      </c>
      <c r="T97" s="202">
        <f>IF($Q97="","",INDEX($O$7:$O116,$Q97))</f>
      </c>
      <c r="U97" s="202">
        <f>IF($R97="","",$S97=INDEX('_Datos'!$AV$7:$AV$200,$R97))</f>
      </c>
    </row>
    <row r="98">
      <c r="B98" s="207">
        <f>IF($Q98="","",$T98)</f>
      </c>
      <c r="C98" s="205">
        <f>IF($R98="","",INDEX('_Datos'!$F$7:$F$200,$R98))</f>
      </c>
      <c r="D98" s="204">
        <f>IF($R98="","",INDEX('_Datos'!$AO$7:$AO$200,$R98))</f>
      </c>
      <c r="E98" s="204">
        <f>IF($S98="","","S"&amp;$S98)</f>
      </c>
      <c r="F98" s="204">
        <f>IF($Q98="","",IF($U98,"● VIGENTE","Cerrado"))</f>
      </c>
      <c r="G98" s="205">
        <f>IF($Q98="","",IF($U98,INDEX('_Datos'!$AT$7:$AT$200,$R98),"→ pasó a S"&amp;($S98+1)))</f>
      </c>
      <c r="H98" s="208">
        <f>IF($Q98="","",IF($U98,INDEX('_Datos'!$I$7:$I$200,$R98),""))</f>
      </c>
      <c r="I98" s="207">
        <f>IF($Q98="","",IF($U98,IF(ISNUMBER(INDEX('Backlog General'!$O$7:$O$200,$R98)),INDEX('Backlog General'!$O$7:$O$200,$R98),""),""))</f>
      </c>
      <c r="L98" s="202">
        <f>IF(91&lt;SUM('_Datos'!$BN$7:$BN$200),SUMPRODUCT(('_Datos'!$BO$7:$BO$200&lt;=91)*(('_Datos'!$BO$7:$BO$200+'_Datos'!$BN$7:$BN$200)&gt;91)*('_Datos'!$BN$7:$BN$200&gt;0)*'_Datos'!$A$7:$A$200),"")</f>
      </c>
      <c r="M98" s="202">
        <f>IF($L98="","",$L98-6)</f>
      </c>
      <c r="N98" s="202">
        <f>IF($M98="","",INDEX('_Datos'!$AR$7:$AR$200,$M98)+(91-INDEX('_Datos'!$BO$7:$BO$200,$M98)))</f>
      </c>
      <c r="O98" s="202">
        <f>IF($M98="","",INDEX('_Datos'!$AQ$7:$AQ$200,$M98)+$N98*INDEX('_Datos'!$AP$7:$AP$200,$M98)*'Sprints'!$D$5-'Sprints'!$D$5)</f>
      </c>
      <c r="P98" s="202">
        <f>IF($M98="","",$O98*100000+91)</f>
      </c>
      <c r="Q98" s="202">
        <f>IFERROR(MATCH(SMALL($P$7:$P116,91+1),$P$7:$P116,0),"")</f>
      </c>
      <c r="R98" s="202">
        <f>IF($Q98="","",INDEX($M$7:$M116,$Q98))</f>
      </c>
      <c r="S98" s="202">
        <f>IF($Q98="","",INDEX($N$7:$N116,$Q98))</f>
      </c>
      <c r="T98" s="202">
        <f>IF($Q98="","",INDEX($O$7:$O116,$Q98))</f>
      </c>
      <c r="U98" s="202">
        <f>IF($R98="","",$S98=INDEX('_Datos'!$AV$7:$AV$200,$R98))</f>
      </c>
    </row>
    <row r="99">
      <c r="B99" s="207">
        <f>IF($Q99="","",$T99)</f>
      </c>
      <c r="C99" s="205">
        <f>IF($R99="","",INDEX('_Datos'!$F$7:$F$200,$R99))</f>
      </c>
      <c r="D99" s="204">
        <f>IF($R99="","",INDEX('_Datos'!$AO$7:$AO$200,$R99))</f>
      </c>
      <c r="E99" s="204">
        <f>IF($S99="","","S"&amp;$S99)</f>
      </c>
      <c r="F99" s="204">
        <f>IF($Q99="","",IF($U99,"● VIGENTE","Cerrado"))</f>
      </c>
      <c r="G99" s="205">
        <f>IF($Q99="","",IF($U99,INDEX('_Datos'!$AT$7:$AT$200,$R99),"→ pasó a S"&amp;($S99+1)))</f>
      </c>
      <c r="H99" s="208">
        <f>IF($Q99="","",IF($U99,INDEX('_Datos'!$I$7:$I$200,$R99),""))</f>
      </c>
      <c r="I99" s="207">
        <f>IF($Q99="","",IF($U99,IF(ISNUMBER(INDEX('Backlog General'!$O$7:$O$200,$R99)),INDEX('Backlog General'!$O$7:$O$200,$R99),""),""))</f>
      </c>
      <c r="L99" s="202">
        <f>IF(92&lt;SUM('_Datos'!$BN$7:$BN$200),SUMPRODUCT(('_Datos'!$BO$7:$BO$200&lt;=92)*(('_Datos'!$BO$7:$BO$200+'_Datos'!$BN$7:$BN$200)&gt;92)*('_Datos'!$BN$7:$BN$200&gt;0)*'_Datos'!$A$7:$A$200),"")</f>
      </c>
      <c r="M99" s="202">
        <f>IF($L99="","",$L99-6)</f>
      </c>
      <c r="N99" s="202">
        <f>IF($M99="","",INDEX('_Datos'!$AR$7:$AR$200,$M99)+(92-INDEX('_Datos'!$BO$7:$BO$200,$M99)))</f>
      </c>
      <c r="O99" s="202">
        <f>IF($M99="","",INDEX('_Datos'!$AQ$7:$AQ$200,$M99)+$N99*INDEX('_Datos'!$AP$7:$AP$200,$M99)*'Sprints'!$D$5-'Sprints'!$D$5)</f>
      </c>
      <c r="P99" s="202">
        <f>IF($M99="","",$O99*100000+92)</f>
      </c>
      <c r="Q99" s="202">
        <f>IFERROR(MATCH(SMALL($P$7:$P116,92+1),$P$7:$P116,0),"")</f>
      </c>
      <c r="R99" s="202">
        <f>IF($Q99="","",INDEX($M$7:$M116,$Q99))</f>
      </c>
      <c r="S99" s="202">
        <f>IF($Q99="","",INDEX($N$7:$N116,$Q99))</f>
      </c>
      <c r="T99" s="202">
        <f>IF($Q99="","",INDEX($O$7:$O116,$Q99))</f>
      </c>
      <c r="U99" s="202">
        <f>IF($R99="","",$S99=INDEX('_Datos'!$AV$7:$AV$200,$R99))</f>
      </c>
    </row>
    <row r="100">
      <c r="B100" s="207">
        <f>IF($Q100="","",$T100)</f>
      </c>
      <c r="C100" s="205">
        <f>IF($R100="","",INDEX('_Datos'!$F$7:$F$200,$R100))</f>
      </c>
      <c r="D100" s="204">
        <f>IF($R100="","",INDEX('_Datos'!$AO$7:$AO$200,$R100))</f>
      </c>
      <c r="E100" s="204">
        <f>IF($S100="","","S"&amp;$S100)</f>
      </c>
      <c r="F100" s="204">
        <f>IF($Q100="","",IF($U100,"● VIGENTE","Cerrado"))</f>
      </c>
      <c r="G100" s="205">
        <f>IF($Q100="","",IF($U100,INDEX('_Datos'!$AT$7:$AT$200,$R100),"→ pasó a S"&amp;($S100+1)))</f>
      </c>
      <c r="H100" s="208">
        <f>IF($Q100="","",IF($U100,INDEX('_Datos'!$I$7:$I$200,$R100),""))</f>
      </c>
      <c r="I100" s="207">
        <f>IF($Q100="","",IF($U100,IF(ISNUMBER(INDEX('Backlog General'!$O$7:$O$200,$R100)),INDEX('Backlog General'!$O$7:$O$200,$R100),""),""))</f>
      </c>
      <c r="L100" s="202">
        <f>IF(93&lt;SUM('_Datos'!$BN$7:$BN$200),SUMPRODUCT(('_Datos'!$BO$7:$BO$200&lt;=93)*(('_Datos'!$BO$7:$BO$200+'_Datos'!$BN$7:$BN$200)&gt;93)*('_Datos'!$BN$7:$BN$200&gt;0)*'_Datos'!$A$7:$A$200),"")</f>
      </c>
      <c r="M100" s="202">
        <f>IF($L100="","",$L100-6)</f>
      </c>
      <c r="N100" s="202">
        <f>IF($M100="","",INDEX('_Datos'!$AR$7:$AR$200,$M100)+(93-INDEX('_Datos'!$BO$7:$BO$200,$M100)))</f>
      </c>
      <c r="O100" s="202">
        <f>IF($M100="","",INDEX('_Datos'!$AQ$7:$AQ$200,$M100)+$N100*INDEX('_Datos'!$AP$7:$AP$200,$M100)*'Sprints'!$D$5-'Sprints'!$D$5)</f>
      </c>
      <c r="P100" s="202">
        <f>IF($M100="","",$O100*100000+93)</f>
      </c>
      <c r="Q100" s="202">
        <f>IFERROR(MATCH(SMALL($P$7:$P116,93+1),$P$7:$P116,0),"")</f>
      </c>
      <c r="R100" s="202">
        <f>IF($Q100="","",INDEX($M$7:$M116,$Q100))</f>
      </c>
      <c r="S100" s="202">
        <f>IF($Q100="","",INDEX($N$7:$N116,$Q100))</f>
      </c>
      <c r="T100" s="202">
        <f>IF($Q100="","",INDEX($O$7:$O116,$Q100))</f>
      </c>
      <c r="U100" s="202">
        <f>IF($R100="","",$S100=INDEX('_Datos'!$AV$7:$AV$200,$R100))</f>
      </c>
    </row>
    <row r="101">
      <c r="B101" s="207">
        <f>IF($Q101="","",$T101)</f>
      </c>
      <c r="C101" s="205">
        <f>IF($R101="","",INDEX('_Datos'!$F$7:$F$200,$R101))</f>
      </c>
      <c r="D101" s="204">
        <f>IF($R101="","",INDEX('_Datos'!$AO$7:$AO$200,$R101))</f>
      </c>
      <c r="E101" s="204">
        <f>IF($S101="","","S"&amp;$S101)</f>
      </c>
      <c r="F101" s="204">
        <f>IF($Q101="","",IF($U101,"● VIGENTE","Cerrado"))</f>
      </c>
      <c r="G101" s="205">
        <f>IF($Q101="","",IF($U101,INDEX('_Datos'!$AT$7:$AT$200,$R101),"→ pasó a S"&amp;($S101+1)))</f>
      </c>
      <c r="H101" s="208">
        <f>IF($Q101="","",IF($U101,INDEX('_Datos'!$I$7:$I$200,$R101),""))</f>
      </c>
      <c r="I101" s="207">
        <f>IF($Q101="","",IF($U101,IF(ISNUMBER(INDEX('Backlog General'!$O$7:$O$200,$R101)),INDEX('Backlog General'!$O$7:$O$200,$R101),""),""))</f>
      </c>
      <c r="L101" s="202">
        <f>IF(94&lt;SUM('_Datos'!$BN$7:$BN$200),SUMPRODUCT(('_Datos'!$BO$7:$BO$200&lt;=94)*(('_Datos'!$BO$7:$BO$200+'_Datos'!$BN$7:$BN$200)&gt;94)*('_Datos'!$BN$7:$BN$200&gt;0)*'_Datos'!$A$7:$A$200),"")</f>
      </c>
      <c r="M101" s="202">
        <f>IF($L101="","",$L101-6)</f>
      </c>
      <c r="N101" s="202">
        <f>IF($M101="","",INDEX('_Datos'!$AR$7:$AR$200,$M101)+(94-INDEX('_Datos'!$BO$7:$BO$200,$M101)))</f>
      </c>
      <c r="O101" s="202">
        <f>IF($M101="","",INDEX('_Datos'!$AQ$7:$AQ$200,$M101)+$N101*INDEX('_Datos'!$AP$7:$AP$200,$M101)*'Sprints'!$D$5-'Sprints'!$D$5)</f>
      </c>
      <c r="P101" s="202">
        <f>IF($M101="","",$O101*100000+94)</f>
      </c>
      <c r="Q101" s="202">
        <f>IFERROR(MATCH(SMALL($P$7:$P116,94+1),$P$7:$P116,0),"")</f>
      </c>
      <c r="R101" s="202">
        <f>IF($Q101="","",INDEX($M$7:$M116,$Q101))</f>
      </c>
      <c r="S101" s="202">
        <f>IF($Q101="","",INDEX($N$7:$N116,$Q101))</f>
      </c>
      <c r="T101" s="202">
        <f>IF($Q101="","",INDEX($O$7:$O116,$Q101))</f>
      </c>
      <c r="U101" s="202">
        <f>IF($R101="","",$S101=INDEX('_Datos'!$AV$7:$AV$200,$R101))</f>
      </c>
    </row>
    <row r="102">
      <c r="B102" s="207">
        <f>IF($Q102="","",$T102)</f>
      </c>
      <c r="C102" s="205">
        <f>IF($R102="","",INDEX('_Datos'!$F$7:$F$200,$R102))</f>
      </c>
      <c r="D102" s="204">
        <f>IF($R102="","",INDEX('_Datos'!$AO$7:$AO$200,$R102))</f>
      </c>
      <c r="E102" s="204">
        <f>IF($S102="","","S"&amp;$S102)</f>
      </c>
      <c r="F102" s="204">
        <f>IF($Q102="","",IF($U102,"● VIGENTE","Cerrado"))</f>
      </c>
      <c r="G102" s="205">
        <f>IF($Q102="","",IF($U102,INDEX('_Datos'!$AT$7:$AT$200,$R102),"→ pasó a S"&amp;($S102+1)))</f>
      </c>
      <c r="H102" s="208">
        <f>IF($Q102="","",IF($U102,INDEX('_Datos'!$I$7:$I$200,$R102),""))</f>
      </c>
      <c r="I102" s="207">
        <f>IF($Q102="","",IF($U102,IF(ISNUMBER(INDEX('Backlog General'!$O$7:$O$200,$R102)),INDEX('Backlog General'!$O$7:$O$200,$R102),""),""))</f>
      </c>
      <c r="L102" s="202">
        <f>IF(95&lt;SUM('_Datos'!$BN$7:$BN$200),SUMPRODUCT(('_Datos'!$BO$7:$BO$200&lt;=95)*(('_Datos'!$BO$7:$BO$200+'_Datos'!$BN$7:$BN$200)&gt;95)*('_Datos'!$BN$7:$BN$200&gt;0)*'_Datos'!$A$7:$A$200),"")</f>
      </c>
      <c r="M102" s="202">
        <f>IF($L102="","",$L102-6)</f>
      </c>
      <c r="N102" s="202">
        <f>IF($M102="","",INDEX('_Datos'!$AR$7:$AR$200,$M102)+(95-INDEX('_Datos'!$BO$7:$BO$200,$M102)))</f>
      </c>
      <c r="O102" s="202">
        <f>IF($M102="","",INDEX('_Datos'!$AQ$7:$AQ$200,$M102)+$N102*INDEX('_Datos'!$AP$7:$AP$200,$M102)*'Sprints'!$D$5-'Sprints'!$D$5)</f>
      </c>
      <c r="P102" s="202">
        <f>IF($M102="","",$O102*100000+95)</f>
      </c>
      <c r="Q102" s="202">
        <f>IFERROR(MATCH(SMALL($P$7:$P116,95+1),$P$7:$P116,0),"")</f>
      </c>
      <c r="R102" s="202">
        <f>IF($Q102="","",INDEX($M$7:$M116,$Q102))</f>
      </c>
      <c r="S102" s="202">
        <f>IF($Q102="","",INDEX($N$7:$N116,$Q102))</f>
      </c>
      <c r="T102" s="202">
        <f>IF($Q102="","",INDEX($O$7:$O116,$Q102))</f>
      </c>
      <c r="U102" s="202">
        <f>IF($R102="","",$S102=INDEX('_Datos'!$AV$7:$AV$200,$R102))</f>
      </c>
    </row>
    <row r="103">
      <c r="B103" s="207">
        <f>IF($Q103="","",$T103)</f>
      </c>
      <c r="C103" s="205">
        <f>IF($R103="","",INDEX('_Datos'!$F$7:$F$200,$R103))</f>
      </c>
      <c r="D103" s="204">
        <f>IF($R103="","",INDEX('_Datos'!$AO$7:$AO$200,$R103))</f>
      </c>
      <c r="E103" s="204">
        <f>IF($S103="","","S"&amp;$S103)</f>
      </c>
      <c r="F103" s="204">
        <f>IF($Q103="","",IF($U103,"● VIGENTE","Cerrado"))</f>
      </c>
      <c r="G103" s="205">
        <f>IF($Q103="","",IF($U103,INDEX('_Datos'!$AT$7:$AT$200,$R103),"→ pasó a S"&amp;($S103+1)))</f>
      </c>
      <c r="H103" s="208">
        <f>IF($Q103="","",IF($U103,INDEX('_Datos'!$I$7:$I$200,$R103),""))</f>
      </c>
      <c r="I103" s="207">
        <f>IF($Q103="","",IF($U103,IF(ISNUMBER(INDEX('Backlog General'!$O$7:$O$200,$R103)),INDEX('Backlog General'!$O$7:$O$200,$R103),""),""))</f>
      </c>
      <c r="L103" s="202">
        <f>IF(96&lt;SUM('_Datos'!$BN$7:$BN$200),SUMPRODUCT(('_Datos'!$BO$7:$BO$200&lt;=96)*(('_Datos'!$BO$7:$BO$200+'_Datos'!$BN$7:$BN$200)&gt;96)*('_Datos'!$BN$7:$BN$200&gt;0)*'_Datos'!$A$7:$A$200),"")</f>
      </c>
      <c r="M103" s="202">
        <f>IF($L103="","",$L103-6)</f>
      </c>
      <c r="N103" s="202">
        <f>IF($M103="","",INDEX('_Datos'!$AR$7:$AR$200,$M103)+(96-INDEX('_Datos'!$BO$7:$BO$200,$M103)))</f>
      </c>
      <c r="O103" s="202">
        <f>IF($M103="","",INDEX('_Datos'!$AQ$7:$AQ$200,$M103)+$N103*INDEX('_Datos'!$AP$7:$AP$200,$M103)*'Sprints'!$D$5-'Sprints'!$D$5)</f>
      </c>
      <c r="P103" s="202">
        <f>IF($M103="","",$O103*100000+96)</f>
      </c>
      <c r="Q103" s="202">
        <f>IFERROR(MATCH(SMALL($P$7:$P116,96+1),$P$7:$P116,0),"")</f>
      </c>
      <c r="R103" s="202">
        <f>IF($Q103="","",INDEX($M$7:$M116,$Q103))</f>
      </c>
      <c r="S103" s="202">
        <f>IF($Q103="","",INDEX($N$7:$N116,$Q103))</f>
      </c>
      <c r="T103" s="202">
        <f>IF($Q103="","",INDEX($O$7:$O116,$Q103))</f>
      </c>
      <c r="U103" s="202">
        <f>IF($R103="","",$S103=INDEX('_Datos'!$AV$7:$AV$200,$R103))</f>
      </c>
    </row>
    <row r="104">
      <c r="B104" s="207">
        <f>IF($Q104="","",$T104)</f>
      </c>
      <c r="C104" s="205">
        <f>IF($R104="","",INDEX('_Datos'!$F$7:$F$200,$R104))</f>
      </c>
      <c r="D104" s="204">
        <f>IF($R104="","",INDEX('_Datos'!$AO$7:$AO$200,$R104))</f>
      </c>
      <c r="E104" s="204">
        <f>IF($S104="","","S"&amp;$S104)</f>
      </c>
      <c r="F104" s="204">
        <f>IF($Q104="","",IF($U104,"● VIGENTE","Cerrado"))</f>
      </c>
      <c r="G104" s="205">
        <f>IF($Q104="","",IF($U104,INDEX('_Datos'!$AT$7:$AT$200,$R104),"→ pasó a S"&amp;($S104+1)))</f>
      </c>
      <c r="H104" s="208">
        <f>IF($Q104="","",IF($U104,INDEX('_Datos'!$I$7:$I$200,$R104),""))</f>
      </c>
      <c r="I104" s="207">
        <f>IF($Q104="","",IF($U104,IF(ISNUMBER(INDEX('Backlog General'!$O$7:$O$200,$R104)),INDEX('Backlog General'!$O$7:$O$200,$R104),""),""))</f>
      </c>
      <c r="L104" s="202">
        <f>IF(97&lt;SUM('_Datos'!$BN$7:$BN$200),SUMPRODUCT(('_Datos'!$BO$7:$BO$200&lt;=97)*(('_Datos'!$BO$7:$BO$200+'_Datos'!$BN$7:$BN$200)&gt;97)*('_Datos'!$BN$7:$BN$200&gt;0)*'_Datos'!$A$7:$A$200),"")</f>
      </c>
      <c r="M104" s="202">
        <f>IF($L104="","",$L104-6)</f>
      </c>
      <c r="N104" s="202">
        <f>IF($M104="","",INDEX('_Datos'!$AR$7:$AR$200,$M104)+(97-INDEX('_Datos'!$BO$7:$BO$200,$M104)))</f>
      </c>
      <c r="O104" s="202">
        <f>IF($M104="","",INDEX('_Datos'!$AQ$7:$AQ$200,$M104)+$N104*INDEX('_Datos'!$AP$7:$AP$200,$M104)*'Sprints'!$D$5-'Sprints'!$D$5)</f>
      </c>
      <c r="P104" s="202">
        <f>IF($M104="","",$O104*100000+97)</f>
      </c>
      <c r="Q104" s="202">
        <f>IFERROR(MATCH(SMALL($P$7:$P116,97+1),$P$7:$P116,0),"")</f>
      </c>
      <c r="R104" s="202">
        <f>IF($Q104="","",INDEX($M$7:$M116,$Q104))</f>
      </c>
      <c r="S104" s="202">
        <f>IF($Q104="","",INDEX($N$7:$N116,$Q104))</f>
      </c>
      <c r="T104" s="202">
        <f>IF($Q104="","",INDEX($O$7:$O116,$Q104))</f>
      </c>
      <c r="U104" s="202">
        <f>IF($R104="","",$S104=INDEX('_Datos'!$AV$7:$AV$200,$R104))</f>
      </c>
    </row>
    <row r="105">
      <c r="B105" s="207">
        <f>IF($Q105="","",$T105)</f>
      </c>
      <c r="C105" s="205">
        <f>IF($R105="","",INDEX('_Datos'!$F$7:$F$200,$R105))</f>
      </c>
      <c r="D105" s="204">
        <f>IF($R105="","",INDEX('_Datos'!$AO$7:$AO$200,$R105))</f>
      </c>
      <c r="E105" s="204">
        <f>IF($S105="","","S"&amp;$S105)</f>
      </c>
      <c r="F105" s="204">
        <f>IF($Q105="","",IF($U105,"● VIGENTE","Cerrado"))</f>
      </c>
      <c r="G105" s="205">
        <f>IF($Q105="","",IF($U105,INDEX('_Datos'!$AT$7:$AT$200,$R105),"→ pasó a S"&amp;($S105+1)))</f>
      </c>
      <c r="H105" s="208">
        <f>IF($Q105="","",IF($U105,INDEX('_Datos'!$I$7:$I$200,$R105),""))</f>
      </c>
      <c r="I105" s="207">
        <f>IF($Q105="","",IF($U105,IF(ISNUMBER(INDEX('Backlog General'!$O$7:$O$200,$R105)),INDEX('Backlog General'!$O$7:$O$200,$R105),""),""))</f>
      </c>
      <c r="L105" s="202">
        <f>IF(98&lt;SUM('_Datos'!$BN$7:$BN$200),SUMPRODUCT(('_Datos'!$BO$7:$BO$200&lt;=98)*(('_Datos'!$BO$7:$BO$200+'_Datos'!$BN$7:$BN$200)&gt;98)*('_Datos'!$BN$7:$BN$200&gt;0)*'_Datos'!$A$7:$A$200),"")</f>
      </c>
      <c r="M105" s="202">
        <f>IF($L105="","",$L105-6)</f>
      </c>
      <c r="N105" s="202">
        <f>IF($M105="","",INDEX('_Datos'!$AR$7:$AR$200,$M105)+(98-INDEX('_Datos'!$BO$7:$BO$200,$M105)))</f>
      </c>
      <c r="O105" s="202">
        <f>IF($M105="","",INDEX('_Datos'!$AQ$7:$AQ$200,$M105)+$N105*INDEX('_Datos'!$AP$7:$AP$200,$M105)*'Sprints'!$D$5-'Sprints'!$D$5)</f>
      </c>
      <c r="P105" s="202">
        <f>IF($M105="","",$O105*100000+98)</f>
      </c>
      <c r="Q105" s="202">
        <f>IFERROR(MATCH(SMALL($P$7:$P116,98+1),$P$7:$P116,0),"")</f>
      </c>
      <c r="R105" s="202">
        <f>IF($Q105="","",INDEX($M$7:$M116,$Q105))</f>
      </c>
      <c r="S105" s="202">
        <f>IF($Q105="","",INDEX($N$7:$N116,$Q105))</f>
      </c>
      <c r="T105" s="202">
        <f>IF($Q105="","",INDEX($O$7:$O116,$Q105))</f>
      </c>
      <c r="U105" s="202">
        <f>IF($R105="","",$S105=INDEX('_Datos'!$AV$7:$AV$200,$R105))</f>
      </c>
    </row>
    <row r="106">
      <c r="B106" s="207">
        <f>IF($Q106="","",$T106)</f>
      </c>
      <c r="C106" s="205">
        <f>IF($R106="","",INDEX('_Datos'!$F$7:$F$200,$R106))</f>
      </c>
      <c r="D106" s="204">
        <f>IF($R106="","",INDEX('_Datos'!$AO$7:$AO$200,$R106))</f>
      </c>
      <c r="E106" s="204">
        <f>IF($S106="","","S"&amp;$S106)</f>
      </c>
      <c r="F106" s="204">
        <f>IF($Q106="","",IF($U106,"● VIGENTE","Cerrado"))</f>
      </c>
      <c r="G106" s="205">
        <f>IF($Q106="","",IF($U106,INDEX('_Datos'!$AT$7:$AT$200,$R106),"→ pasó a S"&amp;($S106+1)))</f>
      </c>
      <c r="H106" s="208">
        <f>IF($Q106="","",IF($U106,INDEX('_Datos'!$I$7:$I$200,$R106),""))</f>
      </c>
      <c r="I106" s="207">
        <f>IF($Q106="","",IF($U106,IF(ISNUMBER(INDEX('Backlog General'!$O$7:$O$200,$R106)),INDEX('Backlog General'!$O$7:$O$200,$R106),""),""))</f>
      </c>
      <c r="L106" s="202">
        <f>IF(99&lt;SUM('_Datos'!$BN$7:$BN$200),SUMPRODUCT(('_Datos'!$BO$7:$BO$200&lt;=99)*(('_Datos'!$BO$7:$BO$200+'_Datos'!$BN$7:$BN$200)&gt;99)*('_Datos'!$BN$7:$BN$200&gt;0)*'_Datos'!$A$7:$A$200),"")</f>
      </c>
      <c r="M106" s="202">
        <f>IF($L106="","",$L106-6)</f>
      </c>
      <c r="N106" s="202">
        <f>IF($M106="","",INDEX('_Datos'!$AR$7:$AR$200,$M106)+(99-INDEX('_Datos'!$BO$7:$BO$200,$M106)))</f>
      </c>
      <c r="O106" s="202">
        <f>IF($M106="","",INDEX('_Datos'!$AQ$7:$AQ$200,$M106)+$N106*INDEX('_Datos'!$AP$7:$AP$200,$M106)*'Sprints'!$D$5-'Sprints'!$D$5)</f>
      </c>
      <c r="P106" s="202">
        <f>IF($M106="","",$O106*100000+99)</f>
      </c>
      <c r="Q106" s="202">
        <f>IFERROR(MATCH(SMALL($P$7:$P116,99+1),$P$7:$P116,0),"")</f>
      </c>
      <c r="R106" s="202">
        <f>IF($Q106="","",INDEX($M$7:$M116,$Q106))</f>
      </c>
      <c r="S106" s="202">
        <f>IF($Q106="","",INDEX($N$7:$N116,$Q106))</f>
      </c>
      <c r="T106" s="202">
        <f>IF($Q106="","",INDEX($O$7:$O116,$Q106))</f>
      </c>
      <c r="U106" s="202">
        <f>IF($R106="","",$S106=INDEX('_Datos'!$AV$7:$AV$200,$R106))</f>
      </c>
    </row>
    <row r="107">
      <c r="B107" s="207">
        <f>IF($Q107="","",$T107)</f>
      </c>
      <c r="C107" s="205">
        <f>IF($R107="","",INDEX('_Datos'!$F$7:$F$200,$R107))</f>
      </c>
      <c r="D107" s="204">
        <f>IF($R107="","",INDEX('_Datos'!$AO$7:$AO$200,$R107))</f>
      </c>
      <c r="E107" s="204">
        <f>IF($S107="","","S"&amp;$S107)</f>
      </c>
      <c r="F107" s="204">
        <f>IF($Q107="","",IF($U107,"● VIGENTE","Cerrado"))</f>
      </c>
      <c r="G107" s="205">
        <f>IF($Q107="","",IF($U107,INDEX('_Datos'!$AT$7:$AT$200,$R107),"→ pasó a S"&amp;($S107+1)))</f>
      </c>
      <c r="H107" s="208">
        <f>IF($Q107="","",IF($U107,INDEX('_Datos'!$I$7:$I$200,$R107),""))</f>
      </c>
      <c r="I107" s="207">
        <f>IF($Q107="","",IF($U107,IF(ISNUMBER(INDEX('Backlog General'!$O$7:$O$200,$R107)),INDEX('Backlog General'!$O$7:$O$200,$R107),""),""))</f>
      </c>
      <c r="L107" s="202">
        <f>IF(100&lt;SUM('_Datos'!$BN$7:$BN$200),SUMPRODUCT(('_Datos'!$BO$7:$BO$200&lt;=100)*(('_Datos'!$BO$7:$BO$200+'_Datos'!$BN$7:$BN$200)&gt;100)*('_Datos'!$BN$7:$BN$200&gt;0)*'_Datos'!$A$7:$A$200),"")</f>
      </c>
      <c r="M107" s="202">
        <f>IF($L107="","",$L107-6)</f>
      </c>
      <c r="N107" s="202">
        <f>IF($M107="","",INDEX('_Datos'!$AR$7:$AR$200,$M107)+(100-INDEX('_Datos'!$BO$7:$BO$200,$M107)))</f>
      </c>
      <c r="O107" s="202">
        <f>IF($M107="","",INDEX('_Datos'!$AQ$7:$AQ$200,$M107)+$N107*INDEX('_Datos'!$AP$7:$AP$200,$M107)*'Sprints'!$D$5-'Sprints'!$D$5)</f>
      </c>
      <c r="P107" s="202">
        <f>IF($M107="","",$O107*100000+100)</f>
      </c>
      <c r="Q107" s="202">
        <f>IFERROR(MATCH(SMALL($P$7:$P116,100+1),$P$7:$P116,0),"")</f>
      </c>
      <c r="R107" s="202">
        <f>IF($Q107="","",INDEX($M$7:$M116,$Q107))</f>
      </c>
      <c r="S107" s="202">
        <f>IF($Q107="","",INDEX($N$7:$N116,$Q107))</f>
      </c>
      <c r="T107" s="202">
        <f>IF($Q107="","",INDEX($O$7:$O116,$Q107))</f>
      </c>
      <c r="U107" s="202">
        <f>IF($R107="","",$S107=INDEX('_Datos'!$AV$7:$AV$200,$R107))</f>
      </c>
    </row>
    <row r="108">
      <c r="B108" s="207">
        <f>IF($Q108="","",$T108)</f>
      </c>
      <c r="C108" s="205">
        <f>IF($R108="","",INDEX('_Datos'!$F$7:$F$200,$R108))</f>
      </c>
      <c r="D108" s="204">
        <f>IF($R108="","",INDEX('_Datos'!$AO$7:$AO$200,$R108))</f>
      </c>
      <c r="E108" s="204">
        <f>IF($S108="","","S"&amp;$S108)</f>
      </c>
      <c r="F108" s="204">
        <f>IF($Q108="","",IF($U108,"● VIGENTE","Cerrado"))</f>
      </c>
      <c r="G108" s="205">
        <f>IF($Q108="","",IF($U108,INDEX('_Datos'!$AT$7:$AT$200,$R108),"→ pasó a S"&amp;($S108+1)))</f>
      </c>
      <c r="H108" s="208">
        <f>IF($Q108="","",IF($U108,INDEX('_Datos'!$I$7:$I$200,$R108),""))</f>
      </c>
      <c r="I108" s="207">
        <f>IF($Q108="","",IF($U108,IF(ISNUMBER(INDEX('Backlog General'!$O$7:$O$200,$R108)),INDEX('Backlog General'!$O$7:$O$200,$R108),""),""))</f>
      </c>
      <c r="L108" s="202">
        <f>IF(101&lt;SUM('_Datos'!$BN$7:$BN$200),SUMPRODUCT(('_Datos'!$BO$7:$BO$200&lt;=101)*(('_Datos'!$BO$7:$BO$200+'_Datos'!$BN$7:$BN$200)&gt;101)*('_Datos'!$BN$7:$BN$200&gt;0)*'_Datos'!$A$7:$A$200),"")</f>
      </c>
      <c r="M108" s="202">
        <f>IF($L108="","",$L108-6)</f>
      </c>
      <c r="N108" s="202">
        <f>IF($M108="","",INDEX('_Datos'!$AR$7:$AR$200,$M108)+(101-INDEX('_Datos'!$BO$7:$BO$200,$M108)))</f>
      </c>
      <c r="O108" s="202">
        <f>IF($M108="","",INDEX('_Datos'!$AQ$7:$AQ$200,$M108)+$N108*INDEX('_Datos'!$AP$7:$AP$200,$M108)*'Sprints'!$D$5-'Sprints'!$D$5)</f>
      </c>
      <c r="P108" s="202">
        <f>IF($M108="","",$O108*100000+101)</f>
      </c>
      <c r="Q108" s="202">
        <f>IFERROR(MATCH(SMALL($P$7:$P116,101+1),$P$7:$P116,0),"")</f>
      </c>
      <c r="R108" s="202">
        <f>IF($Q108="","",INDEX($M$7:$M116,$Q108))</f>
      </c>
      <c r="S108" s="202">
        <f>IF($Q108="","",INDEX($N$7:$N116,$Q108))</f>
      </c>
      <c r="T108" s="202">
        <f>IF($Q108="","",INDEX($O$7:$O116,$Q108))</f>
      </c>
      <c r="U108" s="202">
        <f>IF($R108="","",$S108=INDEX('_Datos'!$AV$7:$AV$200,$R108))</f>
      </c>
    </row>
    <row r="109">
      <c r="B109" s="207">
        <f>IF($Q109="","",$T109)</f>
      </c>
      <c r="C109" s="205">
        <f>IF($R109="","",INDEX('_Datos'!$F$7:$F$200,$R109))</f>
      </c>
      <c r="D109" s="204">
        <f>IF($R109="","",INDEX('_Datos'!$AO$7:$AO$200,$R109))</f>
      </c>
      <c r="E109" s="204">
        <f>IF($S109="","","S"&amp;$S109)</f>
      </c>
      <c r="F109" s="204">
        <f>IF($Q109="","",IF($U109,"● VIGENTE","Cerrado"))</f>
      </c>
      <c r="G109" s="205">
        <f>IF($Q109="","",IF($U109,INDEX('_Datos'!$AT$7:$AT$200,$R109),"→ pasó a S"&amp;($S109+1)))</f>
      </c>
      <c r="H109" s="208">
        <f>IF($Q109="","",IF($U109,INDEX('_Datos'!$I$7:$I$200,$R109),""))</f>
      </c>
      <c r="I109" s="207">
        <f>IF($Q109="","",IF($U109,IF(ISNUMBER(INDEX('Backlog General'!$O$7:$O$200,$R109)),INDEX('Backlog General'!$O$7:$O$200,$R109),""),""))</f>
      </c>
      <c r="L109" s="202">
        <f>IF(102&lt;SUM('_Datos'!$BN$7:$BN$200),SUMPRODUCT(('_Datos'!$BO$7:$BO$200&lt;=102)*(('_Datos'!$BO$7:$BO$200+'_Datos'!$BN$7:$BN$200)&gt;102)*('_Datos'!$BN$7:$BN$200&gt;0)*'_Datos'!$A$7:$A$200),"")</f>
      </c>
      <c r="M109" s="202">
        <f>IF($L109="","",$L109-6)</f>
      </c>
      <c r="N109" s="202">
        <f>IF($M109="","",INDEX('_Datos'!$AR$7:$AR$200,$M109)+(102-INDEX('_Datos'!$BO$7:$BO$200,$M109)))</f>
      </c>
      <c r="O109" s="202">
        <f>IF($M109="","",INDEX('_Datos'!$AQ$7:$AQ$200,$M109)+$N109*INDEX('_Datos'!$AP$7:$AP$200,$M109)*'Sprints'!$D$5-'Sprints'!$D$5)</f>
      </c>
      <c r="P109" s="202">
        <f>IF($M109="","",$O109*100000+102)</f>
      </c>
      <c r="Q109" s="202">
        <f>IFERROR(MATCH(SMALL($P$7:$P116,102+1),$P$7:$P116,0),"")</f>
      </c>
      <c r="R109" s="202">
        <f>IF($Q109="","",INDEX($M$7:$M116,$Q109))</f>
      </c>
      <c r="S109" s="202">
        <f>IF($Q109="","",INDEX($N$7:$N116,$Q109))</f>
      </c>
      <c r="T109" s="202">
        <f>IF($Q109="","",INDEX($O$7:$O116,$Q109))</f>
      </c>
      <c r="U109" s="202">
        <f>IF($R109="","",$S109=INDEX('_Datos'!$AV$7:$AV$200,$R109))</f>
      </c>
    </row>
    <row r="110">
      <c r="B110" s="207">
        <f>IF($Q110="","",$T110)</f>
      </c>
      <c r="C110" s="205">
        <f>IF($R110="","",INDEX('_Datos'!$F$7:$F$200,$R110))</f>
      </c>
      <c r="D110" s="204">
        <f>IF($R110="","",INDEX('_Datos'!$AO$7:$AO$200,$R110))</f>
      </c>
      <c r="E110" s="204">
        <f>IF($S110="","","S"&amp;$S110)</f>
      </c>
      <c r="F110" s="204">
        <f>IF($Q110="","",IF($U110,"● VIGENTE","Cerrado"))</f>
      </c>
      <c r="G110" s="205">
        <f>IF($Q110="","",IF($U110,INDEX('_Datos'!$AT$7:$AT$200,$R110),"→ pasó a S"&amp;($S110+1)))</f>
      </c>
      <c r="H110" s="208">
        <f>IF($Q110="","",IF($U110,INDEX('_Datos'!$I$7:$I$200,$R110),""))</f>
      </c>
      <c r="I110" s="207">
        <f>IF($Q110="","",IF($U110,IF(ISNUMBER(INDEX('Backlog General'!$O$7:$O$200,$R110)),INDEX('Backlog General'!$O$7:$O$200,$R110),""),""))</f>
      </c>
      <c r="L110" s="202">
        <f>IF(103&lt;SUM('_Datos'!$BN$7:$BN$200),SUMPRODUCT(('_Datos'!$BO$7:$BO$200&lt;=103)*(('_Datos'!$BO$7:$BO$200+'_Datos'!$BN$7:$BN$200)&gt;103)*('_Datos'!$BN$7:$BN$200&gt;0)*'_Datos'!$A$7:$A$200),"")</f>
      </c>
      <c r="M110" s="202">
        <f>IF($L110="","",$L110-6)</f>
      </c>
      <c r="N110" s="202">
        <f>IF($M110="","",INDEX('_Datos'!$AR$7:$AR$200,$M110)+(103-INDEX('_Datos'!$BO$7:$BO$200,$M110)))</f>
      </c>
      <c r="O110" s="202">
        <f>IF($M110="","",INDEX('_Datos'!$AQ$7:$AQ$200,$M110)+$N110*INDEX('_Datos'!$AP$7:$AP$200,$M110)*'Sprints'!$D$5-'Sprints'!$D$5)</f>
      </c>
      <c r="P110" s="202">
        <f>IF($M110="","",$O110*100000+103)</f>
      </c>
      <c r="Q110" s="202">
        <f>IFERROR(MATCH(SMALL($P$7:$P116,103+1),$P$7:$P116,0),"")</f>
      </c>
      <c r="R110" s="202">
        <f>IF($Q110="","",INDEX($M$7:$M116,$Q110))</f>
      </c>
      <c r="S110" s="202">
        <f>IF($Q110="","",INDEX($N$7:$N116,$Q110))</f>
      </c>
      <c r="T110" s="202">
        <f>IF($Q110="","",INDEX($O$7:$O116,$Q110))</f>
      </c>
      <c r="U110" s="202">
        <f>IF($R110="","",$S110=INDEX('_Datos'!$AV$7:$AV$200,$R110))</f>
      </c>
    </row>
    <row r="111">
      <c r="B111" s="207">
        <f>IF($Q111="","",$T111)</f>
      </c>
      <c r="C111" s="205">
        <f>IF($R111="","",INDEX('_Datos'!$F$7:$F$200,$R111))</f>
      </c>
      <c r="D111" s="204">
        <f>IF($R111="","",INDEX('_Datos'!$AO$7:$AO$200,$R111))</f>
      </c>
      <c r="E111" s="204">
        <f>IF($S111="","","S"&amp;$S111)</f>
      </c>
      <c r="F111" s="204">
        <f>IF($Q111="","",IF($U111,"● VIGENTE","Cerrado"))</f>
      </c>
      <c r="G111" s="205">
        <f>IF($Q111="","",IF($U111,INDEX('_Datos'!$AT$7:$AT$200,$R111),"→ pasó a S"&amp;($S111+1)))</f>
      </c>
      <c r="H111" s="208">
        <f>IF($Q111="","",IF($U111,INDEX('_Datos'!$I$7:$I$200,$R111),""))</f>
      </c>
      <c r="I111" s="207">
        <f>IF($Q111="","",IF($U111,IF(ISNUMBER(INDEX('Backlog General'!$O$7:$O$200,$R111)),INDEX('Backlog General'!$O$7:$O$200,$R111),""),""))</f>
      </c>
      <c r="L111" s="202">
        <f>IF(104&lt;SUM('_Datos'!$BN$7:$BN$200),SUMPRODUCT(('_Datos'!$BO$7:$BO$200&lt;=104)*(('_Datos'!$BO$7:$BO$200+'_Datos'!$BN$7:$BN$200)&gt;104)*('_Datos'!$BN$7:$BN$200&gt;0)*'_Datos'!$A$7:$A$200),"")</f>
      </c>
      <c r="M111" s="202">
        <f>IF($L111="","",$L111-6)</f>
      </c>
      <c r="N111" s="202">
        <f>IF($M111="","",INDEX('_Datos'!$AR$7:$AR$200,$M111)+(104-INDEX('_Datos'!$BO$7:$BO$200,$M111)))</f>
      </c>
      <c r="O111" s="202">
        <f>IF($M111="","",INDEX('_Datos'!$AQ$7:$AQ$200,$M111)+$N111*INDEX('_Datos'!$AP$7:$AP$200,$M111)*'Sprints'!$D$5-'Sprints'!$D$5)</f>
      </c>
      <c r="P111" s="202">
        <f>IF($M111="","",$O111*100000+104)</f>
      </c>
      <c r="Q111" s="202">
        <f>IFERROR(MATCH(SMALL($P$7:$P116,104+1),$P$7:$P116,0),"")</f>
      </c>
      <c r="R111" s="202">
        <f>IF($Q111="","",INDEX($M$7:$M116,$Q111))</f>
      </c>
      <c r="S111" s="202">
        <f>IF($Q111="","",INDEX($N$7:$N116,$Q111))</f>
      </c>
      <c r="T111" s="202">
        <f>IF($Q111="","",INDEX($O$7:$O116,$Q111))</f>
      </c>
      <c r="U111" s="202">
        <f>IF($R111="","",$S111=INDEX('_Datos'!$AV$7:$AV$200,$R111))</f>
      </c>
    </row>
    <row r="112">
      <c r="B112" s="207">
        <f>IF($Q112="","",$T112)</f>
      </c>
      <c r="C112" s="205">
        <f>IF($R112="","",INDEX('_Datos'!$F$7:$F$200,$R112))</f>
      </c>
      <c r="D112" s="204">
        <f>IF($R112="","",INDEX('_Datos'!$AO$7:$AO$200,$R112))</f>
      </c>
      <c r="E112" s="204">
        <f>IF($S112="","","S"&amp;$S112)</f>
      </c>
      <c r="F112" s="204">
        <f>IF($Q112="","",IF($U112,"● VIGENTE","Cerrado"))</f>
      </c>
      <c r="G112" s="205">
        <f>IF($Q112="","",IF($U112,INDEX('_Datos'!$AT$7:$AT$200,$R112),"→ pasó a S"&amp;($S112+1)))</f>
      </c>
      <c r="H112" s="208">
        <f>IF($Q112="","",IF($U112,INDEX('_Datos'!$I$7:$I$200,$R112),""))</f>
      </c>
      <c r="I112" s="207">
        <f>IF($Q112="","",IF($U112,IF(ISNUMBER(INDEX('Backlog General'!$O$7:$O$200,$R112)),INDEX('Backlog General'!$O$7:$O$200,$R112),""),""))</f>
      </c>
      <c r="L112" s="202">
        <f>IF(105&lt;SUM('_Datos'!$BN$7:$BN$200),SUMPRODUCT(('_Datos'!$BO$7:$BO$200&lt;=105)*(('_Datos'!$BO$7:$BO$200+'_Datos'!$BN$7:$BN$200)&gt;105)*('_Datos'!$BN$7:$BN$200&gt;0)*'_Datos'!$A$7:$A$200),"")</f>
      </c>
      <c r="M112" s="202">
        <f>IF($L112="","",$L112-6)</f>
      </c>
      <c r="N112" s="202">
        <f>IF($M112="","",INDEX('_Datos'!$AR$7:$AR$200,$M112)+(105-INDEX('_Datos'!$BO$7:$BO$200,$M112)))</f>
      </c>
      <c r="O112" s="202">
        <f>IF($M112="","",INDEX('_Datos'!$AQ$7:$AQ$200,$M112)+$N112*INDEX('_Datos'!$AP$7:$AP$200,$M112)*'Sprints'!$D$5-'Sprints'!$D$5)</f>
      </c>
      <c r="P112" s="202">
        <f>IF($M112="","",$O112*100000+105)</f>
      </c>
      <c r="Q112" s="202">
        <f>IFERROR(MATCH(SMALL($P$7:$P116,105+1),$P$7:$P116,0),"")</f>
      </c>
      <c r="R112" s="202">
        <f>IF($Q112="","",INDEX($M$7:$M116,$Q112))</f>
      </c>
      <c r="S112" s="202">
        <f>IF($Q112="","",INDEX($N$7:$N116,$Q112))</f>
      </c>
      <c r="T112" s="202">
        <f>IF($Q112="","",INDEX($O$7:$O116,$Q112))</f>
      </c>
      <c r="U112" s="202">
        <f>IF($R112="","",$S112=INDEX('_Datos'!$AV$7:$AV$200,$R112))</f>
      </c>
    </row>
    <row r="113">
      <c r="B113" s="207">
        <f>IF($Q113="","",$T113)</f>
      </c>
      <c r="C113" s="205">
        <f>IF($R113="","",INDEX('_Datos'!$F$7:$F$200,$R113))</f>
      </c>
      <c r="D113" s="204">
        <f>IF($R113="","",INDEX('_Datos'!$AO$7:$AO$200,$R113))</f>
      </c>
      <c r="E113" s="204">
        <f>IF($S113="","","S"&amp;$S113)</f>
      </c>
      <c r="F113" s="204">
        <f>IF($Q113="","",IF($U113,"● VIGENTE","Cerrado"))</f>
      </c>
      <c r="G113" s="205">
        <f>IF($Q113="","",IF($U113,INDEX('_Datos'!$AT$7:$AT$200,$R113),"→ pasó a S"&amp;($S113+1)))</f>
      </c>
      <c r="H113" s="208">
        <f>IF($Q113="","",IF($U113,INDEX('_Datos'!$I$7:$I$200,$R113),""))</f>
      </c>
      <c r="I113" s="207">
        <f>IF($Q113="","",IF($U113,IF(ISNUMBER(INDEX('Backlog General'!$O$7:$O$200,$R113)),INDEX('Backlog General'!$O$7:$O$200,$R113),""),""))</f>
      </c>
      <c r="L113" s="202">
        <f>IF(106&lt;SUM('_Datos'!$BN$7:$BN$200),SUMPRODUCT(('_Datos'!$BO$7:$BO$200&lt;=106)*(('_Datos'!$BO$7:$BO$200+'_Datos'!$BN$7:$BN$200)&gt;106)*('_Datos'!$BN$7:$BN$200&gt;0)*'_Datos'!$A$7:$A$200),"")</f>
      </c>
      <c r="M113" s="202">
        <f>IF($L113="","",$L113-6)</f>
      </c>
      <c r="N113" s="202">
        <f>IF($M113="","",INDEX('_Datos'!$AR$7:$AR$200,$M113)+(106-INDEX('_Datos'!$BO$7:$BO$200,$M113)))</f>
      </c>
      <c r="O113" s="202">
        <f>IF($M113="","",INDEX('_Datos'!$AQ$7:$AQ$200,$M113)+$N113*INDEX('_Datos'!$AP$7:$AP$200,$M113)*'Sprints'!$D$5-'Sprints'!$D$5)</f>
      </c>
      <c r="P113" s="202">
        <f>IF($M113="","",$O113*100000+106)</f>
      </c>
      <c r="Q113" s="202">
        <f>IFERROR(MATCH(SMALL($P$7:$P116,106+1),$P$7:$P116,0),"")</f>
      </c>
      <c r="R113" s="202">
        <f>IF($Q113="","",INDEX($M$7:$M116,$Q113))</f>
      </c>
      <c r="S113" s="202">
        <f>IF($Q113="","",INDEX($N$7:$N116,$Q113))</f>
      </c>
      <c r="T113" s="202">
        <f>IF($Q113="","",INDEX($O$7:$O116,$Q113))</f>
      </c>
      <c r="U113" s="202">
        <f>IF($R113="","",$S113=INDEX('_Datos'!$AV$7:$AV$200,$R113))</f>
      </c>
    </row>
    <row r="114">
      <c r="B114" s="207">
        <f>IF($Q114="","",$T114)</f>
      </c>
      <c r="C114" s="205">
        <f>IF($R114="","",INDEX('_Datos'!$F$7:$F$200,$R114))</f>
      </c>
      <c r="D114" s="204">
        <f>IF($R114="","",INDEX('_Datos'!$AO$7:$AO$200,$R114))</f>
      </c>
      <c r="E114" s="204">
        <f>IF($S114="","","S"&amp;$S114)</f>
      </c>
      <c r="F114" s="204">
        <f>IF($Q114="","",IF($U114,"● VIGENTE","Cerrado"))</f>
      </c>
      <c r="G114" s="205">
        <f>IF($Q114="","",IF($U114,INDEX('_Datos'!$AT$7:$AT$200,$R114),"→ pasó a S"&amp;($S114+1)))</f>
      </c>
      <c r="H114" s="208">
        <f>IF($Q114="","",IF($U114,INDEX('_Datos'!$I$7:$I$200,$R114),""))</f>
      </c>
      <c r="I114" s="207">
        <f>IF($Q114="","",IF($U114,IF(ISNUMBER(INDEX('Backlog General'!$O$7:$O$200,$R114)),INDEX('Backlog General'!$O$7:$O$200,$R114),""),""))</f>
      </c>
      <c r="L114" s="202">
        <f>IF(107&lt;SUM('_Datos'!$BN$7:$BN$200),SUMPRODUCT(('_Datos'!$BO$7:$BO$200&lt;=107)*(('_Datos'!$BO$7:$BO$200+'_Datos'!$BN$7:$BN$200)&gt;107)*('_Datos'!$BN$7:$BN$200&gt;0)*'_Datos'!$A$7:$A$200),"")</f>
      </c>
      <c r="M114" s="202">
        <f>IF($L114="","",$L114-6)</f>
      </c>
      <c r="N114" s="202">
        <f>IF($M114="","",INDEX('_Datos'!$AR$7:$AR$200,$M114)+(107-INDEX('_Datos'!$BO$7:$BO$200,$M114)))</f>
      </c>
      <c r="O114" s="202">
        <f>IF($M114="","",INDEX('_Datos'!$AQ$7:$AQ$200,$M114)+$N114*INDEX('_Datos'!$AP$7:$AP$200,$M114)*'Sprints'!$D$5-'Sprints'!$D$5)</f>
      </c>
      <c r="P114" s="202">
        <f>IF($M114="","",$O114*100000+107)</f>
      </c>
      <c r="Q114" s="202">
        <f>IFERROR(MATCH(SMALL($P$7:$P116,107+1),$P$7:$P116,0),"")</f>
      </c>
      <c r="R114" s="202">
        <f>IF($Q114="","",INDEX($M$7:$M116,$Q114))</f>
      </c>
      <c r="S114" s="202">
        <f>IF($Q114="","",INDEX($N$7:$N116,$Q114))</f>
      </c>
      <c r="T114" s="202">
        <f>IF($Q114="","",INDEX($O$7:$O116,$Q114))</f>
      </c>
      <c r="U114" s="202">
        <f>IF($R114="","",$S114=INDEX('_Datos'!$AV$7:$AV$200,$R114))</f>
      </c>
    </row>
    <row r="115">
      <c r="B115" s="207">
        <f>IF($Q115="","",$T115)</f>
      </c>
      <c r="C115" s="205">
        <f>IF($R115="","",INDEX('_Datos'!$F$7:$F$200,$R115))</f>
      </c>
      <c r="D115" s="204">
        <f>IF($R115="","",INDEX('_Datos'!$AO$7:$AO$200,$R115))</f>
      </c>
      <c r="E115" s="204">
        <f>IF($S115="","","S"&amp;$S115)</f>
      </c>
      <c r="F115" s="204">
        <f>IF($Q115="","",IF($U115,"● VIGENTE","Cerrado"))</f>
      </c>
      <c r="G115" s="205">
        <f>IF($Q115="","",IF($U115,INDEX('_Datos'!$AT$7:$AT$200,$R115),"→ pasó a S"&amp;($S115+1)))</f>
      </c>
      <c r="H115" s="208">
        <f>IF($Q115="","",IF($U115,INDEX('_Datos'!$I$7:$I$200,$R115),""))</f>
      </c>
      <c r="I115" s="207">
        <f>IF($Q115="","",IF($U115,IF(ISNUMBER(INDEX('Backlog General'!$O$7:$O$200,$R115)),INDEX('Backlog General'!$O$7:$O$200,$R115),""),""))</f>
      </c>
      <c r="L115" s="202">
        <f>IF(108&lt;SUM('_Datos'!$BN$7:$BN$200),SUMPRODUCT(('_Datos'!$BO$7:$BO$200&lt;=108)*(('_Datos'!$BO$7:$BO$200+'_Datos'!$BN$7:$BN$200)&gt;108)*('_Datos'!$BN$7:$BN$200&gt;0)*'_Datos'!$A$7:$A$200),"")</f>
      </c>
      <c r="M115" s="202">
        <f>IF($L115="","",$L115-6)</f>
      </c>
      <c r="N115" s="202">
        <f>IF($M115="","",INDEX('_Datos'!$AR$7:$AR$200,$M115)+(108-INDEX('_Datos'!$BO$7:$BO$200,$M115)))</f>
      </c>
      <c r="O115" s="202">
        <f>IF($M115="","",INDEX('_Datos'!$AQ$7:$AQ$200,$M115)+$N115*INDEX('_Datos'!$AP$7:$AP$200,$M115)*'Sprints'!$D$5-'Sprints'!$D$5)</f>
      </c>
      <c r="P115" s="202">
        <f>IF($M115="","",$O115*100000+108)</f>
      </c>
      <c r="Q115" s="202">
        <f>IFERROR(MATCH(SMALL($P$7:$P116,108+1),$P$7:$P116,0),"")</f>
      </c>
      <c r="R115" s="202">
        <f>IF($Q115="","",INDEX($M$7:$M116,$Q115))</f>
      </c>
      <c r="S115" s="202">
        <f>IF($Q115="","",INDEX($N$7:$N116,$Q115))</f>
      </c>
      <c r="T115" s="202">
        <f>IF($Q115="","",INDEX($O$7:$O116,$Q115))</f>
      </c>
      <c r="U115" s="202">
        <f>IF($R115="","",$S115=INDEX('_Datos'!$AV$7:$AV$200,$R115))</f>
      </c>
    </row>
    <row r="116">
      <c r="B116" s="207">
        <f>IF($Q116="","",$T116)</f>
      </c>
      <c r="C116" s="205">
        <f>IF($R116="","",INDEX('_Datos'!$F$7:$F$200,$R116))</f>
      </c>
      <c r="D116" s="204">
        <f>IF($R116="","",INDEX('_Datos'!$AO$7:$AO$200,$R116))</f>
      </c>
      <c r="E116" s="204">
        <f>IF($S116="","","S"&amp;$S116)</f>
      </c>
      <c r="F116" s="204">
        <f>IF($Q116="","",IF($U116,"● VIGENTE","Cerrado"))</f>
      </c>
      <c r="G116" s="205">
        <f>IF($Q116="","",IF($U116,INDEX('_Datos'!$AT$7:$AT$200,$R116),"→ pasó a S"&amp;($S116+1)))</f>
      </c>
      <c r="H116" s="208">
        <f>IF($Q116="","",IF($U116,INDEX('_Datos'!$I$7:$I$200,$R116),""))</f>
      </c>
      <c r="I116" s="207">
        <f>IF($Q116="","",IF($U116,IF(ISNUMBER(INDEX('Backlog General'!$O$7:$O$200,$R116)),INDEX('Backlog General'!$O$7:$O$200,$R116),""),""))</f>
      </c>
      <c r="L116" s="202">
        <f>IF(109&lt;SUM('_Datos'!$BN$7:$BN$200),SUMPRODUCT(('_Datos'!$BO$7:$BO$200&lt;=109)*(('_Datos'!$BO$7:$BO$200+'_Datos'!$BN$7:$BN$200)&gt;109)*('_Datos'!$BN$7:$BN$200&gt;0)*'_Datos'!$A$7:$A$200),"")</f>
      </c>
      <c r="M116" s="202">
        <f>IF($L116="","",$L116-6)</f>
      </c>
      <c r="N116" s="202">
        <f>IF($M116="","",INDEX('_Datos'!$AR$7:$AR$200,$M116)+(109-INDEX('_Datos'!$BO$7:$BO$200,$M116)))</f>
      </c>
      <c r="O116" s="202">
        <f>IF($M116="","",INDEX('_Datos'!$AQ$7:$AQ$200,$M116)+$N116*INDEX('_Datos'!$AP$7:$AP$200,$M116)*'Sprints'!$D$5-'Sprints'!$D$5)</f>
      </c>
      <c r="P116" s="202">
        <f>IF($M116="","",$O116*100000+109)</f>
      </c>
      <c r="Q116" s="202">
        <f>IFERROR(MATCH(SMALL($P$7:$P116,109+1),$P$7:$P116,0),"")</f>
      </c>
      <c r="R116" s="202">
        <f>IF($Q116="","",INDEX($M$7:$M116,$Q116))</f>
      </c>
      <c r="S116" s="202">
        <f>IF($Q116="","",INDEX($N$7:$N116,$Q116))</f>
      </c>
      <c r="T116" s="202">
        <f>IF($Q116="","",INDEX($O$7:$O116,$Q116))</f>
      </c>
      <c r="U116" s="202">
        <f>IF($R116="","",$S116=INDEX('_Datos'!$AV$7:$AV$200,$R116))</f>
      </c>
    </row>
  </sheetData>
  <autoFilter ref="B6:I116"/>
  <mergeCells count="2">
    <mergeCell ref="B1:I1"/>
    <mergeCell ref="B2:I2"/>
  </mergeCells>
  <conditionalFormatting sqref="C7:I116">
    <cfRule type="expression" dxfId="25" priority="9">
      <formula>$U7=TRUE</formula>
    </cfRule>
  </conditionalFormatting>
  <conditionalFormatting sqref="C7:I116">
    <cfRule type="expression" dxfId="30" priority="10">
      <formula>AND($Q7&lt;&gt;"",$U7=FALSE)</formula>
    </cfRule>
  </conditionalFormatting>
  <conditionalFormatting sqref="F7:F116">
    <cfRule type="expression" dxfId="26" priority="8">
      <formula>$U7=TRUE</formula>
    </cfRule>
  </conditionalFormatting>
  <conditionalFormatting sqref="B7:I116">
    <cfRule type="expression" dxfId="31" priority="11">
      <formula>AND($Q7&lt;&gt;"",$T7&lt;&gt;$T6)</formula>
    </cfRule>
  </conditionalFormatting>
  <conditionalFormatting sqref="B7:I116">
    <cfRule type="expression" dxfId="21" priority="40">
      <formula>$Q7&lt;&gt;""</formula>
    </cfRule>
  </conditionalFormatting>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