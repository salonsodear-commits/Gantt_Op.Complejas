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filterPrivacy="1" codeName="ThisWorkbook"/>
  <xr:revisionPtr revIDLastSave="0" documentId="13_ncr:2001_{64734002-F6A4-4A00-A294-0591EFC46632}" xr6:coauthVersionLast="47" xr6:coauthVersionMax="47" xr10:uidLastSave="{00000000-0000-0000-0000-000000000000}"/>
  <bookViews>
    <workbookView xWindow="28680" yWindow="-120" windowWidth="20730" windowHeight="11040" xr2:uid="{00000000-000D-0000-FFFF-FFFF00000000}"/>
  </bookViews>
  <sheets>
    <sheet name="Proyecto Datos (OKR´s)" sheetId="14" r:id="rId1"/>
    <sheet name="Proyecto Datos (Actual)" sheetId="13" state="hidden" r:id="rId2"/>
    <sheet name="Proyecto Datos" sheetId="11" state="hidden" r:id="rId3"/>
    <sheet name="Acerca de" sheetId="12" state="hidden" r:id="rId4"/>
    <sheet name="Backlog General" sheetId="20" r:id="rId16"/>
    <sheet name="Sprints" sheetId="19" r:id="rId15"/>
    <sheet name="Historial de Sprints" sheetId="21" r:id="rId17"/>
    <sheet name="Tablero" sheetId="15" r:id="rId12"/>
    <sheet name="Entregas Próximas" sheetId="16" r:id="rId13"/>
    <sheet name="_Datos" sheetId="18" state="hidden" r:id="rId14"/>
  </sheets>
  <definedNames>
    <definedName name="hoy" localSheetId="2">TODAY()</definedName>
    <definedName name="hoy" localSheetId="1">TODAY()</definedName>
    <definedName name="hoy" localSheetId="0">TODAY()</definedName>
    <definedName name="Inicio_del_proyecto" localSheetId="1">'Proyecto Datos (Actual)'!$E$3</definedName>
    <definedName name="Inicio_del_proyecto" localSheetId="0">'Proyecto Datos (OKR´s)'!$K$3</definedName>
    <definedName name="Inicio_del_proyecto">'Proyecto Datos'!$E$3</definedName>
    <definedName name="Semana_para_mostrar" localSheetId="1">'Proyecto Datos (Actual)'!$E$4</definedName>
    <definedName name="Semana_para_mostrar" localSheetId="0">'Proyecto Datos (OKR´s)'!$K$4</definedName>
    <definedName name="Semana_para_mostrar">'Proyecto Datos'!$E$4</definedName>
    <definedName name="task_end" localSheetId="2">'Proyecto Datos'!$F1</definedName>
    <definedName name="task_end" localSheetId="1">'Proyecto Datos (Actual)'!$F1</definedName>
    <definedName name="task_end" localSheetId="0">'Proyecto Datos (OKR´s)'!$L1</definedName>
    <definedName name="task_progress" localSheetId="2">'Proyecto Datos'!$D1</definedName>
    <definedName name="task_progress" localSheetId="1">'Proyecto Datos (Actual)'!$D1</definedName>
    <definedName name="task_progress" localSheetId="0">'Proyecto Datos (OKR´s)'!$J1</definedName>
    <definedName name="task_start" localSheetId="2">'Proyecto Datos'!$E1</definedName>
    <definedName name="task_start" localSheetId="1">'Proyecto Datos (Actual)'!$E1</definedName>
    <definedName name="task_start" localSheetId="0">'Proyecto Datos (OKR´s)'!$K1</definedName>
    <definedName name="_xlnm.Print_Titles" localSheetId="2">'Proyecto Datos'!$4:$6</definedName>
    <definedName name="_xlnm.Print_Titles" localSheetId="1">'Proyecto Datos (Actual)'!$4:$6</definedName>
    <definedName name="_xlnm.Print_Titles" localSheetId="0">'Proyecto Datos (OKR´s)'!$4:$6</definedName>
  </definedNames>
  <calcPr calcId="191029" iterate="1" fullCalcOnLoad="1"/>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G17" authorId="0" shapeId="0" xr:uid="{D846AD94-692F-47E5-B5E1-E83C2AC73A54}">
      <text>
        <r>
          <rPr>
            <sz val="8"/>
            <color indexed="81"/>
            <rFont val="Tahoma"/>
            <family val="2"/>
          </rPr>
          <t>No están vinculados a un cliente en particular, tienen un % de incidencia.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B21" authorId="0" shapeId="0" xr:uid="{2267CB23-C376-4C2A-9E6A-1AFF69443F5C}">
      <text>
        <r>
          <rPr>
            <sz val="8"/>
            <color indexed="81"/>
            <rFont val="Tahoma"/>
            <family val="2"/>
          </rPr>
          <t>No están vinculados a un cliente en particular, tienen un % de incidencia.</t>
        </r>
      </text>
    </comment>
    <comment ref="B22" authorId="0" shapeId="0" xr:uid="{228B4EF3-7575-4439-8F18-4FE6AE128B1B}">
      <text>
        <r>
          <rPr>
            <sz val="8"/>
            <color indexed="81"/>
            <rFont val="Tahoma"/>
            <family val="2"/>
          </rPr>
          <t>No están vinculados a un cliente en particular, tienen un % de incidencia.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B21" authorId="0" shapeId="0" xr:uid="{710DF7A7-BEF1-4BFB-A662-E13D634E83F1}">
      <text>
        <r>
          <rPr>
            <sz val="8"/>
            <color indexed="81"/>
            <rFont val="Tahoma"/>
            <family val="2"/>
          </rPr>
          <t>No están vinculados a un cliente en particular, tienen un % de incidencia.</t>
        </r>
      </text>
    </comment>
  </commentList>
</comments>
</file>

<file path=xl/sharedStrings.xml><?xml version="1.0" encoding="utf-8"?>
<sst xmlns="http://schemas.openxmlformats.org/spreadsheetml/2006/main" count="363" uniqueCount="145">
  <si>
    <t>Cree una programación para un proyecto en esta hoja de cálculo.
Escriba el título de este proyecto en la celda B1. 
Para obtener información sobre cómo usar esta hoja de cálculo, incluidas las instrucciones para lectores de pantalla y el nombre del autor de este libro, vea la hoja de cálculo Información.
Desplácese hacia abajo por la columna A para escuchar más instrucciones.</t>
  </si>
  <si>
    <t>Escriba el nombre de la compañía en la celda B2.</t>
  </si>
  <si>
    <t>Escriba el nombre del responsable del proyecto en la celda B3. Escriba la fecha de comienzo del proyecto en la celda E3. Inicio del proyecto: la etiqueta se encuentra en la celda C3.</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</si>
  <si>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</si>
  <si>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</si>
  <si>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</si>
  <si>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 xml:space="preserve">No elimine esta fila. Esta fila está oculta para conservar una fórmula que se usa para resaltar el día actual dentro de la programación del proyecto. </t>
  </si>
  <si>
    <t>La celda B8 contiene el título de ejemplo de la Fase 1. 
Escriba un nuevo título en la celda B8.
Escriba un nombre para asignar la fase, si se aplica para el proyecto, en la celda C8.
Escriba el progreso de la fase completa, si se aplica para el proyecto, en la celda D8.
Escriba las fechas de inicio y finalización de la fase completa, si se aplica para el proyecto, en las celdas E8 y F8. 
El gráfico de Gantt rellena automáticamente las fechas adecuadas y aplica un sombreado según el progreso especificado.
Para eliminar la fase y trabajar solo con las tareas, elimine esta fila.</t>
  </si>
  <si>
    <t xml:space="preserve">La celda B9 contiene la tarea de ejemplo "Tarea 1". 
Escriba un nuevo nombre de tarea en la celda B9.
Escriba una persona a la que asignar la tarea en la celda C9.
Escriba el progreso de la tarea en la celda D9. Aparece una barra de progreso en la celda y se sombrea según el número de la celda. Por ejemplo, un progreso del 50 por ciento aplicaría sombreado a la mitad de la celda.
Escriba la fecha de inicio de la tarea en la celda E9.
Escriba la fecha de finalización de la tarea en la celda F9.
Aparece una barra de estado con sombreado para las fechas especificadas en bloques comenzando desde la celda I9 hasta la BL9. </t>
  </si>
  <si>
    <t>Las filas de la 10 a la 13 repiten el patrón de la fila 9. 
Repita las instrucciones de la celda A9 para todas las filas de tareas en esta hoja de cálculo. Sobrescriba los datos de ejemplo.
Un ejemplo de otra fase empieza en la celda A14. 
Continue escribiendo tareas en las celdas de la A10 a la A13 o vaya a la celda A14 para obtener más información.</t>
  </si>
  <si>
    <t>La celda a la derecha contiene el título de ejemplo de la Fase 2. 
Puede crear una nueva fase en cualquier momento en la columna B. Esta programación de proyecto no necesita fases. Para quitar la fase, basta con eliminar la fila.
Para crear un bloque de fase nuevo en esta fila, escriba un nuevo título en la celda a la derecha.
Para continuar agregando tareas a la fase anterior, escriba una nueva fila encima de esta y rellene los datos de la tarea como se explica en la celda A9.
Actualice los detalles de la fase en la celda a la derecha como se explica en la celda A8.
Continúe navegando por las celdas de la columna A para obtener más información.
Si no ha agregado nuevas filas en esta hoja de cálculo, verá que se han creado automáticamente 2 bloques de fase de ejemplo adicionales en las celdas B20 y B26. En caso contrario, desplácese por las celdas de la columna A para buscar los bloques adicionales. 
Repita las instrucciones de las celdas A8 y A9 cuando lo necesite.</t>
  </si>
  <si>
    <t>Bloque de título fase de ejemplo</t>
  </si>
  <si>
    <t>TAREA</t>
  </si>
  <si>
    <t>Inicio del proyecto:</t>
  </si>
  <si>
    <t>Semana para mostrar:</t>
  </si>
  <si>
    <t>PROGRESO</t>
  </si>
  <si>
    <t>INICIO</t>
  </si>
  <si>
    <t>FIN</t>
  </si>
  <si>
    <t>DÍAS</t>
  </si>
  <si>
    <t>GRÁFICO GANTT SIMPLE de Vertex42.com</t>
  </si>
  <si>
    <t>https://www.vertex42.com/ExcelTemplates/simple-gantt-chart.html</t>
  </si>
  <si>
    <t>Información sobre esta plantilla</t>
  </si>
  <si>
    <t>Esta plantilla proporciona una forma sencilla de crear un diagrama de Gantt para ayudarle a visualizar su proyecto y realizar un seguimiento de este. Simplemente escriba sus tareas y fechas de inicio y finalización, no necesita fórmulas. Las barras del gráfico de Gantt representan la duración de la tarea y se muestran con formato condicional. Para insertar nuevas tareas, inserte filas nuevas.</t>
  </si>
  <si>
    <t>Guía para lectores de pantalla</t>
  </si>
  <si>
    <t>Hay 2 hojas de cálculo en este libro. 
ParteDeHoras
Información
Las instrucciones de las hojas de cálculo se encuentran en la columna A de cada hoja, a partir de la celda A1. Están escritas con texto oculto. Cada paso le guiará a través de la información de esa fila. Los pasos posteriores continúan en la celda A2, A3, y así sucesivamente, a menos que se indique de forma explícita. Por ejemplo, el texto de una instrucción podría ser “Vaya a la celda A6” para continuar con el siguiente paso. 
Este texto oculto no se imprimirá.
Para quitar las instrucciones de la hoja de cálculo, es suficiente con eliminar la columna A.</t>
  </si>
  <si>
    <t>Ayuda adicional</t>
  </si>
  <si>
    <t>Haga clic en el vínculo siguiente para visitar vertex42.com y obtener más información sobre cómo usar esta plantilla, como la forma de calcular los días laborales, crear dependencias de tareas, cambiar los colores de las barras, agregar una barra de desplazamiento para que sea más fácil cambiar la semana que se muestra, ampliar el intervalo de fechas que se muestran en el gráfico, etcétera.</t>
  </si>
  <si>
    <t>Cómo usar el gráfico de Gantt simple</t>
  </si>
  <si>
    <t>Más plantillas de administración de proyectos</t>
  </si>
  <si>
    <t>Visite Vertex42.com para descargar otras plantillas de administración de proyectos, como distintas programaciones de proyectos, diagramas de Gantt, listas de tareas, etcétera.</t>
  </si>
  <si>
    <t>Plantillas de administración de proyectos</t>
  </si>
  <si>
    <t>Información sobre Vertex42</t>
  </si>
  <si>
    <t>Vertex42.com ofrece más de 300 plantillas de hojas de cálculo de diseño profesional para empresas, hogares y centros educativos (la mayoría se puede descargar de forma gratuita). Su colección incluye una amplia variedad de calendarios, planificadores y programaciones, así como hojas de cálculo para las finanzas personales: para la administración de presupuestos, la reducción de deudas y la amortización de préstamos.</t>
  </si>
  <si>
    <t>Las empresas encontrarán plantillas de facturas, partes de horas, informes financieros, planificación de proyectos y plantillas para hacer un seguimiento del inventario. Los profesores y los estudiantes encontrarán recursos como programaciones de clases, libros de calificaciones y hojas de asistencia. Organice su vida familiar con planificadores de comidas, listas y registros de ejercicio. Cada plantilla ha sido cuidadosamente diseñada, perfeccionada y mejorada a lo largo del tiempo gracias a los comentarios de miles de usuarios.</t>
  </si>
  <si>
    <t>Proyecto Datos Op. Complejas</t>
  </si>
  <si>
    <t>IHSA S.A.</t>
  </si>
  <si>
    <t>Santiago Alonso</t>
  </si>
  <si>
    <t>1- Automatización de Tareas</t>
  </si>
  <si>
    <t>3- Planilla de Control</t>
  </si>
  <si>
    <t>Planilla DTM Estandarizada</t>
  </si>
  <si>
    <t>Polinómicas + Tarifario + Ev. Parámetros Precios</t>
  </si>
  <si>
    <t>Planilla Aeroevaciaciones</t>
  </si>
  <si>
    <t>Carpeta almacenamiento en Sharepoint p/ Datalake</t>
  </si>
  <si>
    <t>Días en Calle Calculado</t>
  </si>
  <si>
    <t>Aging Calculado</t>
  </si>
  <si>
    <t>Resumen Clientes Petróleo</t>
  </si>
  <si>
    <t>Resumen Clientes Minería</t>
  </si>
  <si>
    <t>Julio Tinelli</t>
  </si>
  <si>
    <t>Importe Pendiente Fc (Provisión)</t>
  </si>
  <si>
    <t>Importe Provisionado (Datalake --&gt; Clik Sense "Venta Bruta")</t>
  </si>
  <si>
    <t>Importe Facturado (Datalake --&gt; Clik Sense "Venta Bruta")</t>
  </si>
  <si>
    <t>Días en Calle (Sharepoint --&gt; Excel)</t>
  </si>
  <si>
    <t>Aging (Sharepoint  --&gt; Excel)</t>
  </si>
  <si>
    <t>Locaciones Geográficas Minería</t>
  </si>
  <si>
    <t>Locaciones Geográficas Op. Dedicadas</t>
  </si>
  <si>
    <t>Detalle Responsables (Comerciales + Analistas)</t>
  </si>
  <si>
    <t>Obtener información detallada de DTM x Service Desk</t>
  </si>
  <si>
    <t>Armado de Dashboard</t>
  </si>
  <si>
    <t>Planilla Activos Unificados (Nico Sifuentes) - Estandarizar</t>
  </si>
  <si>
    <t>Eliminar contratos obsoletos</t>
  </si>
  <si>
    <t>Estandarizar materíales de contratos</t>
  </si>
  <si>
    <t>Crear Boom´s para materiales que hacen alusión a US</t>
  </si>
  <si>
    <t>Armado de solicitudes extra x Módulos (Ej: Med. Laboral)</t>
  </si>
  <si>
    <t>Automatización Archivo Sueldos Petro</t>
  </si>
  <si>
    <t>Automatización Archivo Sueldos FATSA</t>
  </si>
  <si>
    <t>2- Cotizador Automático (Neuquén)</t>
  </si>
  <si>
    <t>Estandarización cotizaciones COMPRAS</t>
  </si>
  <si>
    <t>Crear estructura de Cotizador en base a modelo armado</t>
  </si>
  <si>
    <t>Diseño de Dashboard</t>
  </si>
  <si>
    <t>Armado de Dashboard + Diseño</t>
  </si>
  <si>
    <t>Automatización de Provisión</t>
  </si>
  <si>
    <t>Luis Barrozo/ Santiago Alonso</t>
  </si>
  <si>
    <r>
      <t xml:space="preserve">Locaciones Geográficas Pozos Petro (ver datos </t>
    </r>
    <r>
      <rPr>
        <b/>
        <i/>
        <u/>
        <sz val="11"/>
        <color theme="1"/>
        <rFont val="Calibri"/>
        <family val="2"/>
        <scheme val="minor"/>
      </rPr>
      <t>Secretaria de Energía</t>
    </r>
    <r>
      <rPr>
        <sz val="11"/>
        <color theme="1"/>
        <rFont val="Calibri"/>
        <family val="2"/>
        <scheme val="minor"/>
      </rPr>
      <t>)</t>
    </r>
  </si>
  <si>
    <t>Resumen Clientes Op. Dedicadas</t>
  </si>
  <si>
    <t>4- Contratos Salesforce</t>
  </si>
  <si>
    <t>ASIGNADO A</t>
  </si>
  <si>
    <t>Automatización de Certificaciones Mensuales</t>
  </si>
  <si>
    <t>Asociar Gastos de Estructura (% de incidencia)</t>
  </si>
  <si>
    <t>Crear estructura de Cotizador en base a modelo armado (migra a CLAUDE)</t>
  </si>
  <si>
    <t>Automatización Archivo Sueldos FATSA (PENDIENTE REVISIÓN GENERAL)</t>
  </si>
  <si>
    <t>Automatización Archivo Sueldos Petro (PENDIENTE REVISIÓN GENERAL)</t>
  </si>
  <si>
    <t>Asociar Gastos de Estructura (% de incidencia) --&gt; Pedir a Fran</t>
  </si>
  <si>
    <t>Estandarización cotizaciones COMPRAS (costos x provincia)</t>
  </si>
  <si>
    <t>Asociar Archivo Móviles y Tráilers (Nico Sifuentes)</t>
  </si>
  <si>
    <t>1- GOC: Módulo de Datos para Procesos de Certificación (Inteligencia Comercial)</t>
  </si>
  <si>
    <t>2- Cotizador de Operaciones Complejas</t>
  </si>
  <si>
    <t>Días Transcurridos=</t>
  </si>
  <si>
    <t>Ponderación OKR</t>
  </si>
  <si>
    <t>Disponibilidad de información centralizada en GOC (aguarda desarrollo)</t>
  </si>
  <si>
    <t>Lucila Pronzato</t>
  </si>
  <si>
    <t>Relevamiento Últimos Sueldos de referencia Monotributistas</t>
  </si>
  <si>
    <t>Estandarización cotizaciones COMPRAS (costos x provincia) - aguardo información</t>
  </si>
  <si>
    <t>Polinómicas y tarifario automático</t>
  </si>
  <si>
    <t>Certificados automáticos (ver si utilizar scripts)</t>
  </si>
  <si>
    <t>Provisión Automática</t>
  </si>
  <si>
    <t>Santiago Alonso/ Julio Tinelli</t>
  </si>
  <si>
    <t>Santiago Alonso/ Danna Basso/ Lucía Paciello</t>
  </si>
  <si>
    <t>Estandarizar materíales de contratos - ver si se puede realizarmasivo (Matias Viera - SF)</t>
  </si>
  <si>
    <t>Crear Backend ETL - ver con Claude Code</t>
  </si>
  <si>
    <t>Fecha Reunón Programada</t>
  </si>
  <si>
    <t>Comentarios</t>
  </si>
  <si>
    <t>Ok registro global Personas y Móviles (Habilitado/ Inhabilitado/ Dado de baja) + Vencimientos; Próximo: Diagrama (30/6 fecha estimada)</t>
  </si>
  <si>
    <t>Avance Nico Sifuentes</t>
  </si>
  <si>
    <t>pedir últimos a Carlos Hernández</t>
  </si>
  <si>
    <t>Reunión jue 11/6 - Avance Seba Oliver</t>
  </si>
  <si>
    <t>Sprint</t>
  </si>
  <si>
    <t>Periodicidad</t>
  </si>
  <si>
    <t>Mensual</t>
  </si>
  <si>
    <t>Fecha</t>
  </si>
  <si>
    <t>Asociar Archivo Masters de Medicación (Seba Oliver) + Capacitaciones + procedimiento</t>
  </si>
  <si>
    <t>Asociar Archivo Móviles y Tráilers (Nico Sifuentes) + procedimiento</t>
  </si>
  <si>
    <t>Semanal</t>
  </si>
  <si>
    <t>Planilla DTM Estandarizada+ Procedimiento</t>
  </si>
  <si>
    <t>Planilla Aeroevaciaciones + Procedimiento</t>
  </si>
  <si>
    <t>Procedimiento</t>
  </si>
  <si>
    <t>5- Tablero Control General - Op. Complejas</t>
  </si>
  <si>
    <t>Planilla Activos Unificados - Estandarizar + Procedimiento</t>
  </si>
  <si>
    <t>ok, pero sale de sistema. Terminar de relevar los inputs. (Nico Sifuentes)</t>
  </si>
  <si>
    <t>Relevar conveniencia de creación de Boom´s para materiales que hacen alusión a US</t>
  </si>
  <si>
    <t>Revisión de Gráfico en cascada: por desvío y desagregación por categorías.</t>
  </si>
  <si>
    <t>Armado de Procedimiento</t>
  </si>
  <si>
    <t>Revisión de viabilidad de incorporación datos Redash (input ZReal con clasificaciones automaticas por CECO - Directas e Indirectas)</t>
  </si>
  <si>
    <t>Relevamiento área de IA -  Repositorio (GitHub o AWS S3) + Seguridad</t>
  </si>
  <si>
    <t>mar 9/6 Reunión Torres, Huilen (Equipo IA)  - Definir con Nico Vazquez</t>
  </si>
  <si>
    <t>Deployar (URL Web)</t>
  </si>
  <si>
    <t>Input de datos desde Provisión mensual</t>
  </si>
  <si>
    <t>Creación detalle deuda YPF (ídem Excel)</t>
  </si>
  <si>
    <t>Creación detalle deuda Vista - Replicar Excel Deuda</t>
  </si>
  <si>
    <t>Revisar con Fran</t>
  </si>
  <si>
    <t>Martes 09/06</t>
  </si>
  <si>
    <t>Jueves 11/06</t>
  </si>
  <si>
    <t>Reunión con Danna Mar 16/06</t>
  </si>
  <si>
    <t>Martes 16/06</t>
  </si>
  <si>
    <t>Automatización Archivo Sueldos FATSA + Procedimientos</t>
  </si>
  <si>
    <t>Automatización Archivo Sueldos Petro + Procedimientos</t>
  </si>
  <si>
    <t>Quincenal</t>
  </si>
  <si>
    <t>3- Tablero BI OPEX - Real vs BO</t>
  </si>
  <si>
    <t>4- Tablero BI DEUDA</t>
  </si>
  <si>
    <t>6- Automatización de procesos: certificación, provisión,polinómicas</t>
  </si>
  <si>
    <t>7- Incorporación de Operaciones Complejas en sistemas de la compañía: Salesforce, SAP, etc.</t>
  </si>
  <si>
    <t>Dias en Calle - desde SharePoint</t>
  </si>
  <si>
    <t>Aging - desde SharePoint</t>
  </si>
  <si>
    <t>Revisión y Publicación de Tablero</t>
  </si>
  <si>
    <t>Analizar viabilidad de input Redash: Importe Facturado (Datalake --&gt; Clik Sense "Venta Bruta")</t>
  </si>
  <si>
    <t>Analizar viabilidad de input Redash: Importe Provisionado (Datalake --&gt; Clik Sense)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</si>
</sst>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44" formatCode="_-&quot;$&quot;\ * #,##0.00_-;\-&quot;$&quot;\ * #,##0.00_-;_-&quot;$&quot;\ * &quot;-&quot;??_-;_-@_-"/>
    <numFmt numFmtId="164" formatCode="_-* #,##0\ &quot;€&quot;_-;\-* #,##0\ &quot;€&quot;_-;_-* &quot;-&quot;\ &quot;€&quot;_-;_-@_-"/>
    <numFmt numFmtId="165" formatCode="_-* #,##0.00\ &quot;€&quot;_-;\-* #,##0.00\ &quot;€&quot;_-;_-* &quot;-&quot;??\ &quot;€&quot;_-;_-@_-"/>
    <numFmt numFmtId="166" formatCode="_(* #,##0_);_(* \(#,##0\);_(* &quot;-&quot;_);_(@_)"/>
    <numFmt numFmtId="167" formatCode="_(* #,##0.00_);_(* \(#,##0.00\);_(* &quot;-&quot;??_);_(@_)"/>
    <numFmt numFmtId="168" formatCode="ddd\,\ m/d/yyyy"/>
    <numFmt numFmtId="169" formatCode="[$-C0A]d\ &quot;de&quot;\ mmmm\ &quot;de&quot;\ yyyy;@"/>
    <numFmt numFmtId="170" formatCode="d\-m\-yy;@"/>
    <numFmt numFmtId="171" formatCode="d"/>
    <numFmt numFmtId="172" formatCode="ddd\,\ d/m/yyyy"/>
    <numFmt numFmtId="173" formatCode="dd/mm/yyyy"/>
    <numFmt numFmtId="174" formatCode="0&quot; d&quot;"/>
  </numFmts>
  <fonts count="76"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1"/>
      <name val="Calibri"/>
      <family val="2"/>
      <scheme val="minor"/>
    </font>
    <font>
      <b/>
      <sz val="11"/>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0"/>
      <color theme="0"/>
      <name val="Calibri"/>
      <family val="2"/>
      <scheme val="minor"/>
    </font>
    <font>
      <sz val="10"/>
      <color theme="1"/>
      <name val="Calibri"/>
      <family val="2"/>
      <scheme val="minor"/>
    </font>
    <font>
      <b/>
      <sz val="10"/>
      <color theme="0"/>
      <name val="Calibri"/>
      <family val="2"/>
      <scheme val="minor"/>
    </font>
    <font>
      <sz val="8"/>
      <color indexed="81"/>
      <name val="Tahoma"/>
      <family val="2"/>
    </font>
    <font>
      <b/>
      <i/>
      <u/>
      <sz val="11"/>
      <color theme="1"/>
      <name val="Calibri"/>
      <family val="2"/>
      <scheme val="minor"/>
    </font>
    <font>
      <b/>
      <sz val="12"/>
      <color rgb="FF1F3A52"/>
      <name val="Calibri"/>
      <family val="2"/>
      <scheme val="minor"/>
    </font>
    <font>
      <b/>
      <sz val="18"/>
      <color rgb="FF1F3A52"/>
      <name val="Calibri"/>
      <family val="2"/>
      <scheme val="minor"/>
    </font>
    <font>
      <sz val="10"/>
      <color rgb="FF4A7A9E"/>
      <name val="Calibri"/>
      <family val="2"/>
      <scheme val="minor"/>
    </font>
    <font>
      <b/>
      <sz val="13"/>
      <color rgb="FF1F3A52"/>
      <name val="Calibri"/>
      <family val="2"/>
      <scheme val="major"/>
    </font>
    <font>
      <sz val="11"/>
      <color rgb="FF3A3A3A"/>
      <name val="Calibri"/>
      <family val="2"/>
      <scheme val="minor"/>
    </font>
    <font>
      <u/>
      <sz val="11"/>
      <color rgb="FF2E5C7E"/>
      <name val="Calibri"/>
      <family val="2"/>
    </font>
    <font>
      <b/>
      <u/>
      <sz val="22"/>
      <color rgb="FF1F3A52"/>
      <name val="Calibri"/>
      <family val="2"/>
      <scheme val="major"/>
    </font>
    <font>
      <b/>
      <sz val="22"/>
      <color rgb="FF1F3A52"/>
      <name val="Calibri"/>
      <family val="2"/>
      <scheme val="major"/>
    </font>
    <font>
      <b/>
      <sz val="13"/>
      <color rgb="FF3A3A3A"/>
      <name val="Calibri"/>
      <family val="2"/>
      <scheme val="minor"/>
    </font>
    <font>
      <sz val="12"/>
      <color rgb="FF6B6B6B"/>
      <name val="Calibri"/>
      <family val="2"/>
      <scheme val="minor"/>
    </font>
    <font>
      <sz val="11"/>
      <color rgb="FF6B6B6B"/>
      <name val="Calibri"/>
      <family val="2"/>
      <scheme val="minor"/>
    </font>
    <font>
      <sz val="10"/>
      <color rgb="FF6B6B6B"/>
      <name val="Calibri"/>
      <family val="2"/>
      <scheme val="minor"/>
    </font>
    <font>
      <sz val="11"/>
      <color rgb="FF1F3A52"/>
      <name val="Calibri"/>
      <family val="2"/>
      <scheme val="minor"/>
    </font>
    <font>
      <b/>
      <sz val="11"/>
      <color rgb="FF1F3A52"/>
      <name val="Calibri"/>
      <family val="2"/>
      <scheme val="minor"/>
    </font>
    <font>
      <b/>
      <sz val="10"/>
      <color rgb="FFFFFFFF"/>
      <name val="Calibri"/>
      <family val="2"/>
      <scheme val="minor"/>
    </font>
    <font>
      <b/>
      <sz val="11"/>
      <color rgb="FFFFFFFF"/>
      <name val="Calibri"/>
      <family val="2"/>
      <scheme val="minor"/>
    </font>
    <font>
      <sz val="11"/>
      <color rgb="FFFFFFFF"/>
      <name val="Calibri"/>
      <family val="2"/>
      <scheme val="minor"/>
    </font>
    <font>
      <sz val="10"/>
      <color rgb="FFFFFFFF"/>
      <name val="Calibri"/>
      <family val="2"/>
      <scheme val="minor"/>
    </font>
    <font>
      <b/>
      <sz val="12"/>
      <color rgb="FFFFFFFF"/>
      <name val="Calibri"/>
      <family val="2"/>
      <scheme val="minor"/>
    </font>
    <font>
      <sz val="10"/>
      <color rgb="FF3A3A3A"/>
      <name val="Calibri"/>
      <family val="2"/>
      <scheme val="minor"/>
    </font>
    <font>
      <b/>
      <sz val="11"/>
      <color rgb="FF3A3A3A"/>
      <name val="Calibri"/>
      <family val="2"/>
      <scheme val="minor"/>
    </font>
    <font>
      <b/>
      <sz val="9"/>
      <color rgb="FF1F3A52"/>
      <name val="Calibri"/>
      <family val="2"/>
      <scheme val="minor"/>
    </font>
    <font>
      <sz val="9"/>
      <color rgb="FF6B6B6B"/>
      <name val="Calibri"/>
      <family val="2"/>
      <scheme val="minor"/>
    </font>
    <font>
      <b/>
      <sz val="9"/>
      <color rgb="FFFFFFFF"/>
      <name val="Calibri"/>
      <family val="2"/>
      <scheme val="minor"/>
    </font>
    <font>
      <strike/>
      <sz val="11"/>
      <color rgb="FF6B6B6B"/>
      <name val="Calibri"/>
      <family val="2"/>
      <scheme val="minor"/>
    </font>
    <font>
      <b/>
      <strike/>
      <sz val="11"/>
      <color rgb="FF1F3A52"/>
      <name val="Calibri"/>
      <family val="2"/>
      <scheme val="minor"/>
    </font>
    <font>
      <sz val="8"/>
      <name val="Calibri"/>
      <family val="2"/>
      <scheme val="minor"/>
    </font>
    <font>
      <b/>
      <sz val="16"/>
      <color rgb="FFFFFFFF"/>
      <name val="Calibri"/>
      <family val="2"/>
      <scheme val="minor"/>
    </font>
    <font>
      <sz val="10"/>
      <color rgb="FFD6E2F0"/>
      <name val="Calibri"/>
      <family val="2"/>
      <scheme val="minor"/>
    </font>
    <font>
      <b/>
      <sz val="10"/>
      <color rgb="FFFFFFFF"/>
      <name val="Calibri"/>
      <family val="2"/>
      <scheme val="minor"/>
    </font>
    <font>
      <b/>
      <sz val="12"/>
      <color rgb="FF1F3A52"/>
      <name val="Calibri"/>
      <family val="2"/>
      <scheme val="minor"/>
    </font>
    <font>
      <b/>
      <sz val="11"/>
      <color rgb="FF1F3A52"/>
      <name val="Calibri"/>
      <family val="2"/>
      <scheme val="minor"/>
    </font>
    <font>
      <i/>
      <sz val="9"/>
      <color rgb="FF7F7F7F"/>
      <name val="Calibri"/>
      <family val="2"/>
      <scheme val="minor"/>
    </font>
    <font>
      <b/>
      <sz val="22"/>
      <color rgb="FF1F3A52"/>
      <name val="Calibri"/>
      <family val="2"/>
      <scheme val="minor"/>
    </font>
    <font>
      <b/>
      <sz val="22"/>
      <color rgb="FFC0392B"/>
      <name val="Calibri"/>
      <family val="2"/>
      <scheme val="minor"/>
    </font>
    <font>
      <sz val="11"/>
      <color rgb="FF1F3A52"/>
      <name val="Calibri"/>
      <family val="2"/>
      <scheme val="minor"/>
    </font>
    <font>
      <sz val="10"/>
      <color rgb="FF404040"/>
      <name val="Calibri"/>
      <family val="2"/>
      <scheme val="minor"/>
    </font>
    <font>
      <sz val="9"/>
      <color rgb="FF595959"/>
      <name val="Calibri"/>
      <family val="2"/>
      <scheme val="minor"/>
    </font>
    <font>
      <b/>
      <sz val="9"/>
      <color rgb="FFFFFFFF"/>
      <name val="Calibri"/>
      <family val="2"/>
      <scheme val="minor"/>
    </font>
    <font>
      <b/>
      <sz val="14"/>
      <color rgb="FFFFFFFF"/>
      <name val="Calibri"/>
      <family val="2"/>
      <scheme val="minor"/>
    </font>
  </fonts>
  <fills count="59">
    <fill>
      <patternFill patternType="none"/>
    </fill>
    <fill>
      <patternFill patternType="gray125"/>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499984740745262"/>
        <bgColor theme="4"/>
      </patternFill>
    </fill>
    <fill>
      <patternFill patternType="solid">
        <fgColor theme="3" tint="-0.499984740745262"/>
        <bgColor indexed="64"/>
      </patternFill>
    </fill>
    <fill>
      <patternFill patternType="solid">
        <fgColor rgb="FFFFFFFF"/>
        <bgColor indexed="64"/>
      </patternFill>
    </fill>
    <fill>
      <patternFill patternType="solid">
        <fgColor rgb="FFEAF1F7"/>
        <bgColor indexed="64"/>
      </patternFill>
    </fill>
    <fill>
      <patternFill patternType="solid">
        <fgColor rgb="FF1F3A52"/>
        <bgColor indexed="64"/>
      </patternFill>
    </fill>
    <fill>
      <patternFill patternType="solid">
        <fgColor rgb="FF2E5C7E"/>
        <bgColor indexed="64"/>
      </patternFill>
    </fill>
    <fill>
      <patternFill patternType="solid">
        <fgColor rgb="FFD6E4EF"/>
        <bgColor indexed="64"/>
      </patternFill>
    </fill>
    <fill>
      <patternFill patternType="solid">
        <fgColor theme="8" tint="0.59999389629810485"/>
        <bgColor indexed="64"/>
      </patternFill>
    </fill>
    <fill>
      <patternFill patternType="solid">
        <fgColor rgb="FF1F3A52"/>
        <bgColor indexed="64"/>
      </patternFill>
    </fill>
    <fill>
      <patternFill patternType="solid">
        <fgColor rgb="FF2E5A87"/>
        <bgColor indexed="64"/>
      </patternFill>
    </fill>
    <fill>
      <patternFill patternType="solid">
        <fgColor rgb="FFEAF1F8"/>
        <bgColor indexed="64"/>
      </patternFill>
    </fill>
    <fill>
      <patternFill patternType="solid">
        <fgColor rgb="FFF4F8FC"/>
        <bgColor indexed="64"/>
      </patternFill>
    </fill>
    <fill>
      <patternFill patternType="solid">
        <fgColor rgb="FFF2F2F2"/>
        <bgColor indexed="64"/>
      </patternFill>
    </fill>
    <fill>
      <patternFill patternType="solid">
        <fgColor rgb="FFE06666"/>
        <bgColor indexed="64"/>
      </patternFill>
    </fill>
    <fill>
      <patternFill patternType="solid">
        <fgColor rgb="FFFFD966"/>
        <bgColor indexed="64"/>
      </patternFill>
    </fill>
    <fill>
      <patternFill patternType="solid">
        <fgColor rgb="FFD9EAD3"/>
        <bgColor indexed="64"/>
      </patternFill>
    </fill>
    <fill>
      <patternFill patternType="solid">
        <fgColor rgb="FF38761D"/>
        <bgColor indexed="64"/>
      </patternFill>
    </fill>
    <fill>
      <patternFill patternType="solid">
        <fgColor rgb="FFFFFFFF"/>
        <bgColor indexed="64"/>
      </patternFill>
    </fill>
    <fill>
      <patternFill patternType="solid">
        <fgColor rgb="FF2E75B6"/>
        <bgColor indexed="64"/>
      </patternFill>
    </fill>
    <fill>
      <patternFill patternType="solid">
        <fgColor rgb="FFD6E2F0"/>
        <bgColor indexed="64"/>
      </patternFill>
    </fill>
    <fill>
      <patternFill patternType="solid">
        <fgColor rgb="FFFFF2CC"/>
        <bgColor indexed="64"/>
      </patternFill>
    </fill>
  </fills>
  <borders count="41">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medium">
        <color theme="0" tint="-0.14996795556505021"/>
      </top>
      <bottom/>
      <diagonal/>
    </border>
    <border>
      <left/>
      <right/>
      <top style="thin">
        <color indexed="64"/>
      </top>
      <bottom/>
      <diagonal/>
    </border>
    <border>
      <left style="thin">
        <color theme="0" tint="-0.14993743705557422"/>
      </left>
      <right style="thin">
        <color theme="0" tint="-0.14993743705557422"/>
      </right>
      <top style="thin">
        <color indexed="64"/>
      </top>
      <bottom style="medium">
        <color theme="0" tint="-0.14996795556505021"/>
      </bottom>
      <diagonal/>
    </border>
    <border>
      <left/>
      <right/>
      <top/>
      <bottom style="thin">
        <color indexed="64"/>
      </bottom>
      <diagonal/>
    </border>
    <border>
      <left style="thin">
        <color theme="0" tint="-0.14993743705557422"/>
      </left>
      <right style="thin">
        <color theme="0" tint="-0.14993743705557422"/>
      </right>
      <top style="medium">
        <color theme="0" tint="-0.14996795556505021"/>
      </top>
      <bottom style="thin">
        <color indexed="64"/>
      </bottom>
      <diagonal/>
    </border>
    <border>
      <left style="thin">
        <color theme="0" tint="-0.14993743705557422"/>
      </left>
      <right style="thin">
        <color theme="0" tint="-0.14993743705557422"/>
      </right>
      <top style="thin">
        <color indexed="64"/>
      </top>
      <bottom style="thin">
        <color indexed="64"/>
      </bottom>
      <diagonal/>
    </border>
    <border>
      <left style="thin">
        <color indexed="64"/>
      </left>
      <right style="thin">
        <color indexed="64"/>
      </right>
      <top/>
      <bottom/>
      <diagonal/>
    </border>
    <border>
      <left/>
      <right/>
      <top/>
      <bottom style="thin">
        <color rgb="FFD9DEE3"/>
      </bottom>
      <diagonal/>
    </border>
    <border>
      <left/>
      <right/>
      <top style="thin">
        <color rgb="FF4A7A9E"/>
      </top>
      <bottom/>
      <diagonal/>
    </border>
    <border>
      <left/>
      <right/>
      <top/>
      <bottom style="medium">
        <color rgb="FF1F3A52"/>
      </bottom>
      <diagonal/>
    </border>
    <border>
      <left/>
      <right style="thin">
        <color theme="0" tint="-0.14993743705557422"/>
      </right>
      <top style="thin">
        <color indexed="64"/>
      </top>
      <bottom style="medium">
        <color theme="0" tint="-0.14996795556505021"/>
      </bottom>
      <diagonal/>
    </border>
    <border>
      <left/>
      <right style="thin">
        <color theme="0" tint="-0.14993743705557422"/>
      </right>
      <top style="medium">
        <color theme="0" tint="-0.14996795556505021"/>
      </top>
      <bottom style="medium">
        <color theme="0" tint="-0.14996795556505021"/>
      </bottom>
      <diagonal/>
    </border>
    <border>
      <left/>
      <right style="thin">
        <color theme="0" tint="-0.14993743705557422"/>
      </right>
      <top style="medium">
        <color theme="0" tint="-0.14996795556505021"/>
      </top>
      <bottom style="thin">
        <color indexed="64"/>
      </bottom>
      <diagonal/>
    </border>
    <border>
      <left/>
      <right style="thin">
        <color theme="0" tint="-0.34998626667073579"/>
      </right>
      <top/>
      <bottom style="medium">
        <color theme="0" tint="-0.14996795556505021"/>
      </bottom>
      <diagonal/>
    </border>
    <border>
      <left/>
      <right style="thin">
        <color theme="0" tint="-0.14993743705557422"/>
      </right>
      <top style="thin">
        <color indexed="64"/>
      </top>
      <bottom style="thin">
        <color indexed="64"/>
      </bottom>
      <diagonal/>
    </border>
    <border>
      <left/>
      <right/>
      <top style="medium">
        <color rgb="FF1F3A52"/>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1F3A52"/>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rgb="FFBFBFBF"/>
      </left>
      <right style="thin">
        <color rgb="FFBFBFBF"/>
      </right>
      <top style="thin">
        <color rgb="FFBFBFBF"/>
      </top>
      <bottom style="thin">
        <color rgb="FFBFBFBF"/>
      </bottom>
      <diagonal/>
    </border>
    <border>
      <left/>
      <right/>
      <top/>
      <bottom style="medium">
        <color rgb="FF1F3A52"/>
      </bottom>
      <diagonal/>
    </border>
    <border>
      <left style="thin">
        <color rgb="FFBDD7EE"/>
      </left>
      <right style="thin">
        <color rgb="FFBDD7EE"/>
      </right>
      <top style="thin">
        <color rgb="FFBDD7EE"/>
      </top>
      <bottom style="thin">
        <color rgb="FFBDD7EE"/>
      </bottom>
      <diagonal/>
    </border>
  </borders>
  <cellStyleXfs count="56">
    <xf numFmtId="0" fontId="0" fillId="0" borderId="0"/>
    <xf numFmtId="0" fontId="3" fillId="0" borderId="0" applyNumberFormat="0" applyFill="0" applyBorder="0" applyAlignment="0" applyProtection="0">
      <alignment vertical="top"/>
      <protection locked="0"/>
    </xf>
    <xf numFmtId="9" fontId="6" fillId="0" borderId="0" applyFont="0" applyFill="0" applyBorder="0" applyAlignment="0" applyProtection="0"/>
    <xf numFmtId="0" fontId="16" fillId="0" borderId="0"/>
    <xf numFmtId="167" fontId="6" fillId="0" borderId="3" applyFont="0" applyFill="0" applyAlignment="0" applyProtection="0"/>
    <xf numFmtId="0" fontId="9" fillId="0" borderId="0" applyNumberFormat="0" applyFill="0" applyBorder="0" applyAlignment="0" applyProtection="0"/>
    <xf numFmtId="0" fontId="7" fillId="0" borderId="0" applyNumberFormat="0" applyFill="0" applyAlignment="0" applyProtection="0"/>
    <xf numFmtId="0" fontId="7" fillId="0" borderId="0" applyNumberFormat="0" applyFill="0" applyProtection="0">
      <alignment vertical="top"/>
    </xf>
    <xf numFmtId="0" fontId="6" fillId="0" borderId="0" applyNumberFormat="0" applyFill="0" applyProtection="0">
      <alignment horizontal="right" indent="1"/>
    </xf>
    <xf numFmtId="168" fontId="6" fillId="0" borderId="3">
      <alignment horizontal="center" vertical="center"/>
    </xf>
    <xf numFmtId="170" fontId="6" fillId="0" borderId="2" applyFill="0">
      <alignment horizontal="center" vertical="center"/>
    </xf>
    <xf numFmtId="0" fontId="6" fillId="0" borderId="2" applyFill="0">
      <alignment horizontal="center" vertical="center"/>
    </xf>
    <xf numFmtId="0" fontId="6" fillId="0" borderId="2" applyFill="0">
      <alignment horizontal="left" vertical="center" indent="2"/>
    </xf>
    <xf numFmtId="0" fontId="19" fillId="0" borderId="0" applyNumberFormat="0" applyFill="0" applyBorder="0" applyAlignment="0" applyProtection="0"/>
    <xf numFmtId="166" fontId="6" fillId="0" borderId="0" applyFont="0" applyFill="0" applyBorder="0" applyAlignment="0" applyProtection="0"/>
    <xf numFmtId="165" fontId="6" fillId="0" borderId="0" applyFont="0" applyFill="0" applyBorder="0" applyAlignment="0" applyProtection="0"/>
    <xf numFmtId="164" fontId="6" fillId="0" borderId="0" applyFont="0" applyFill="0" applyBorder="0" applyAlignment="0" applyProtection="0"/>
    <xf numFmtId="0" fontId="20" fillId="0" borderId="0" applyNumberFormat="0" applyFill="0" applyBorder="0" applyAlignment="0" applyProtection="0"/>
    <xf numFmtId="0" fontId="21" fillId="7" borderId="0" applyNumberFormat="0" applyBorder="0" applyAlignment="0" applyProtection="0"/>
    <xf numFmtId="0" fontId="22" fillId="8" borderId="0" applyNumberFormat="0" applyBorder="0" applyAlignment="0" applyProtection="0"/>
    <xf numFmtId="0" fontId="23" fillId="9" borderId="0" applyNumberFormat="0" applyBorder="0" applyAlignment="0" applyProtection="0"/>
    <xf numFmtId="0" fontId="24" fillId="10" borderId="10" applyNumberFormat="0" applyAlignment="0" applyProtection="0"/>
    <xf numFmtId="0" fontId="25" fillId="11" borderId="11" applyNumberFormat="0" applyAlignment="0" applyProtection="0"/>
    <xf numFmtId="0" fontId="26" fillId="11" borderId="10" applyNumberFormat="0" applyAlignment="0" applyProtection="0"/>
    <xf numFmtId="0" fontId="27" fillId="0" borderId="12" applyNumberFormat="0" applyFill="0" applyAlignment="0" applyProtection="0"/>
    <xf numFmtId="0" fontId="28" fillId="12" borderId="13" applyNumberFormat="0" applyAlignment="0" applyProtection="0"/>
    <xf numFmtId="0" fontId="29" fillId="0" borderId="0" applyNumberFormat="0" applyFill="0" applyBorder="0" applyAlignment="0" applyProtection="0"/>
    <xf numFmtId="0" fontId="6" fillId="13" borderId="14" applyNumberFormat="0" applyFont="0" applyAlignment="0" applyProtection="0"/>
    <xf numFmtId="0" fontId="30" fillId="0" borderId="0" applyNumberFormat="0" applyFill="0" applyBorder="0" applyAlignment="0" applyProtection="0"/>
    <xf numFmtId="0" fontId="5" fillId="0" borderId="15" applyNumberFormat="0" applyFill="0" applyAlignment="0" applyProtection="0"/>
    <xf numFmtId="0" fontId="16" fillId="14" borderId="0" applyNumberFormat="0" applyBorder="0" applyAlignment="0" applyProtection="0"/>
    <xf numFmtId="0" fontId="6" fillId="15" borderId="0" applyNumberFormat="0" applyBorder="0" applyAlignment="0" applyProtection="0"/>
    <xf numFmtId="0" fontId="6" fillId="16" borderId="0" applyNumberFormat="0" applyBorder="0" applyAlignment="0" applyProtection="0"/>
    <xf numFmtId="0" fontId="6" fillId="17" borderId="0" applyNumberFormat="0" applyBorder="0" applyAlignment="0" applyProtection="0"/>
    <xf numFmtId="0" fontId="16" fillId="18" borderId="0" applyNumberFormat="0" applyBorder="0" applyAlignment="0" applyProtection="0"/>
    <xf numFmtId="0" fontId="6" fillId="19" borderId="0" applyNumberFormat="0" applyBorder="0" applyAlignment="0" applyProtection="0"/>
    <xf numFmtId="0" fontId="6" fillId="20" borderId="0" applyNumberFormat="0" applyBorder="0" applyAlignment="0" applyProtection="0"/>
    <xf numFmtId="0" fontId="6" fillId="21" borderId="0" applyNumberFormat="0" applyBorder="0" applyAlignment="0" applyProtection="0"/>
    <xf numFmtId="0" fontId="16" fillId="22"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6" fillId="25" borderId="0" applyNumberFormat="0" applyBorder="0" applyAlignment="0" applyProtection="0"/>
    <xf numFmtId="0" fontId="16" fillId="26"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6" fillId="29" borderId="0" applyNumberFormat="0" applyBorder="0" applyAlignment="0" applyProtection="0"/>
    <xf numFmtId="0" fontId="16" fillId="30"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6" fillId="33" borderId="0" applyNumberFormat="0" applyBorder="0" applyAlignment="0" applyProtection="0"/>
    <xf numFmtId="0" fontId="16" fillId="34" borderId="0" applyNumberFormat="0" applyBorder="0" applyAlignment="0" applyProtection="0"/>
    <xf numFmtId="0" fontId="6" fillId="35" borderId="0" applyNumberFormat="0" applyBorder="0" applyAlignment="0" applyProtection="0"/>
    <xf numFmtId="0" fontId="6" fillId="36" borderId="0" applyNumberFormat="0" applyBorder="0" applyAlignment="0" applyProtection="0"/>
    <xf numFmtId="0" fontId="6" fillId="37" borderId="0" applyNumberFormat="0" applyBorder="0" applyAlignment="0" applyProtection="0"/>
    <xf numFmtId="0" fontId="6" fillId="0" borderId="0"/>
    <xf numFmtId="44" fontId="6" fillId="0" borderId="0" applyFont="0" applyFill="0" applyBorder="0" applyAlignment="0" applyProtection="0"/>
  </cellStyleXfs>
  <cellXfs count="210">
    <xf numFmtId="0" fontId="0" fillId="0" borderId="0" xfId="0"/>
    <xf numFmtId="0" fontId="2" fillId="0" borderId="0" xfId="0" applyFont="1"/>
    <xf numFmtId="0" fontId="0" fillId="0" borderId="0" xfId="0" applyAlignment="1">
      <alignment horizontal="center"/>
    </xf>
    <xf numFmtId="0" fontId="0" fillId="0" borderId="0" xfId="0" applyAlignment="1">
      <alignment horizontal="right" vertical="center"/>
    </xf>
    <xf numFmtId="0" fontId="10" fillId="0" borderId="0" xfId="0" applyFont="1"/>
    <xf numFmtId="0" fontId="11" fillId="0" borderId="0" xfId="1" applyFont="1" applyAlignment="1" applyProtection="1"/>
    <xf numFmtId="0" fontId="0" fillId="0" borderId="9" xfId="0" applyBorder="1" applyAlignment="1">
      <alignment vertical="center"/>
    </xf>
    <xf numFmtId="0" fontId="0" fillId="0" borderId="9" xfId="0" applyBorder="1" applyAlignment="1">
      <alignment horizontal="right" vertical="center"/>
    </xf>
    <xf numFmtId="0" fontId="2" fillId="0" borderId="0" xfId="0" applyFont="1" applyAlignment="1">
      <alignment vertical="top"/>
    </xf>
    <xf numFmtId="0" fontId="12" fillId="0" borderId="0" xfId="0" applyFont="1" applyAlignment="1">
      <alignment horizontal="left" vertical="center"/>
    </xf>
    <xf numFmtId="0" fontId="13" fillId="0" borderId="0" xfId="0" applyFont="1" applyAlignment="1">
      <alignment horizontal="left" vertical="center"/>
    </xf>
    <xf numFmtId="0" fontId="15" fillId="0" borderId="0" xfId="0" applyFont="1"/>
    <xf numFmtId="0" fontId="2" fillId="0" borderId="0" xfId="0" applyFont="1" applyAlignment="1">
      <alignment horizontal="left" vertical="top"/>
    </xf>
    <xf numFmtId="0" fontId="14" fillId="0" borderId="0" xfId="0" applyFont="1" applyAlignment="1">
      <alignment vertical="top"/>
    </xf>
    <xf numFmtId="0" fontId="16" fillId="0" borderId="0" xfId="3"/>
    <xf numFmtId="0" fontId="16" fillId="0" borderId="0" xfId="0" applyFont="1" applyAlignment="1">
      <alignment horizontal="center"/>
    </xf>
    <xf numFmtId="0" fontId="0" fillId="0" borderId="0" xfId="0" applyAlignment="1">
      <alignment wrapText="1"/>
    </xf>
    <xf numFmtId="0" fontId="17" fillId="0" borderId="0" xfId="0" applyFont="1"/>
    <xf numFmtId="0" fontId="18" fillId="0" borderId="0" xfId="1" applyFont="1" applyProtection="1">
      <alignment vertical="top"/>
    </xf>
    <xf numFmtId="171" fontId="8" fillId="4" borderId="7" xfId="0" applyNumberFormat="1" applyFont="1" applyFill="1" applyBorder="1" applyAlignment="1">
      <alignment horizontal="center" vertical="center"/>
    </xf>
    <xf numFmtId="0" fontId="32" fillId="0" borderId="0" xfId="0" applyFont="1"/>
    <xf numFmtId="170" fontId="4" fillId="5" borderId="16" xfId="0" applyNumberFormat="1" applyFont="1" applyFill="1" applyBorder="1" applyAlignment="1">
      <alignment horizontal="center" vertical="center"/>
    </xf>
    <xf numFmtId="0" fontId="32" fillId="0" borderId="0" xfId="0" applyFont="1" applyAlignment="1">
      <alignment horizontal="center"/>
    </xf>
    <xf numFmtId="0" fontId="0" fillId="0" borderId="18" xfId="0" applyBorder="1" applyAlignment="1">
      <alignment vertical="center"/>
    </xf>
    <xf numFmtId="0" fontId="0" fillId="0" borderId="17" xfId="0" applyBorder="1" applyAlignment="1">
      <alignment vertical="center"/>
    </xf>
    <xf numFmtId="0" fontId="0" fillId="0" borderId="0" xfId="0" applyAlignment="1">
      <alignment vertical="center"/>
    </xf>
    <xf numFmtId="0" fontId="0" fillId="0" borderId="20" xfId="0" applyBorder="1" applyAlignment="1">
      <alignment vertical="center"/>
    </xf>
    <xf numFmtId="0" fontId="0" fillId="0" borderId="19" xfId="0" applyBorder="1" applyAlignment="1">
      <alignment vertical="center"/>
    </xf>
    <xf numFmtId="170" fontId="4" fillId="3" borderId="0" xfId="0" applyNumberFormat="1" applyFont="1" applyFill="1" applyAlignment="1">
      <alignment horizontal="center" vertical="center"/>
    </xf>
    <xf numFmtId="170" fontId="4" fillId="6" borderId="0" xfId="0" applyNumberFormat="1" applyFont="1" applyFill="1" applyAlignment="1">
      <alignment horizontal="center" vertical="center"/>
    </xf>
    <xf numFmtId="170" fontId="4" fillId="2" borderId="0" xfId="0" applyNumberFormat="1" applyFont="1" applyFill="1" applyAlignment="1">
      <alignment horizontal="center" vertical="center"/>
    </xf>
    <xf numFmtId="0" fontId="0" fillId="0" borderId="21" xfId="0" applyBorder="1" applyAlignment="1">
      <alignment vertical="center"/>
    </xf>
    <xf numFmtId="0" fontId="33" fillId="39" borderId="8" xfId="0" applyFont="1" applyFill="1" applyBorder="1" applyAlignment="1">
      <alignment horizontal="center" vertical="center" shrinkToFit="1"/>
    </xf>
    <xf numFmtId="0" fontId="37" fillId="40" borderId="0" xfId="0" applyFont="1" applyFill="1" applyAlignment="1">
      <alignment horizontal="left" vertical="center"/>
    </xf>
    <xf numFmtId="0" fontId="38" fillId="40" borderId="0" xfId="0" applyFont="1" applyFill="1" applyAlignment="1">
      <alignment horizontal="left" vertical="top"/>
    </xf>
    <xf numFmtId="0" fontId="40" fillId="40" borderId="0" xfId="0" applyFont="1" applyFill="1" applyAlignment="1">
      <alignment horizontal="left" vertical="top" wrapText="1" indent="1"/>
    </xf>
    <xf numFmtId="0" fontId="40" fillId="40" borderId="0" xfId="0" applyFont="1" applyFill="1" applyAlignment="1">
      <alignment horizontal="left" vertical="top" wrapText="1"/>
    </xf>
    <xf numFmtId="0" fontId="41" fillId="40" borderId="0" xfId="1" applyFont="1" applyFill="1" applyBorder="1" applyAlignment="1" applyProtection="1">
      <alignment horizontal="left" vertical="top"/>
    </xf>
    <xf numFmtId="0" fontId="39" fillId="40" borderId="23" xfId="0" applyFont="1" applyFill="1" applyBorder="1" applyAlignment="1">
      <alignment horizontal="left" vertical="center"/>
    </xf>
    <xf numFmtId="0" fontId="33" fillId="38" borderId="0" xfId="0" applyFont="1" applyFill="1" applyAlignment="1">
      <alignment horizontal="center" vertical="center" wrapText="1"/>
    </xf>
    <xf numFmtId="0" fontId="1" fillId="0" borderId="0" xfId="0" applyFont="1" applyAlignment="1">
      <alignment horizontal="left"/>
    </xf>
    <xf numFmtId="0" fontId="2" fillId="0" borderId="0" xfId="0" applyFont="1" applyAlignment="1">
      <alignment horizontal="center"/>
    </xf>
    <xf numFmtId="0" fontId="2" fillId="0" borderId="0" xfId="0" applyFont="1" applyAlignment="1">
      <alignment horizontal="center" vertical="center"/>
    </xf>
    <xf numFmtId="0" fontId="32" fillId="0" borderId="0" xfId="0" applyFont="1" applyAlignment="1">
      <alignment wrapText="1"/>
    </xf>
    <xf numFmtId="0" fontId="42" fillId="40" borderId="0" xfId="5" applyFont="1" applyFill="1" applyBorder="1" applyAlignment="1">
      <alignment horizontal="left" wrapText="1"/>
    </xf>
    <xf numFmtId="0" fontId="43" fillId="40" borderId="0" xfId="5" applyFont="1" applyFill="1" applyBorder="1" applyAlignment="1">
      <alignment horizontal="left" wrapText="1"/>
    </xf>
    <xf numFmtId="0" fontId="44" fillId="40" borderId="0" xfId="6" applyFont="1" applyFill="1" applyAlignment="1">
      <alignment horizontal="left" wrapText="1"/>
    </xf>
    <xf numFmtId="0" fontId="45" fillId="40" borderId="0" xfId="7" applyFont="1" applyFill="1" applyAlignment="1">
      <alignment horizontal="left" vertical="top" wrapText="1"/>
    </xf>
    <xf numFmtId="0" fontId="49" fillId="41" borderId="0" xfId="0" applyFont="1" applyFill="1" applyAlignment="1">
      <alignment horizontal="center" vertical="center"/>
    </xf>
    <xf numFmtId="0" fontId="49" fillId="41" borderId="24" xfId="0" applyFont="1" applyFill="1" applyBorder="1" applyAlignment="1">
      <alignment horizontal="center" vertical="center"/>
    </xf>
    <xf numFmtId="0" fontId="50" fillId="42" borderId="0" xfId="0" applyFont="1" applyFill="1" applyAlignment="1">
      <alignment horizontal="center" vertical="center" wrapText="1"/>
    </xf>
    <xf numFmtId="0" fontId="50" fillId="42" borderId="1" xfId="0" applyFont="1" applyFill="1" applyBorder="1" applyAlignment="1">
      <alignment horizontal="center" vertical="center" wrapText="1"/>
    </xf>
    <xf numFmtId="0" fontId="51" fillId="43" borderId="0" xfId="0" applyFont="1" applyFill="1" applyAlignment="1">
      <alignment horizontal="left" vertical="center" wrapText="1"/>
    </xf>
    <xf numFmtId="0" fontId="53" fillId="43" borderId="0" xfId="11" applyFont="1" applyFill="1" applyBorder="1">
      <alignment horizontal="center" vertical="center"/>
    </xf>
    <xf numFmtId="9" fontId="54" fillId="43" borderId="0" xfId="2" applyFont="1" applyFill="1" applyBorder="1" applyAlignment="1">
      <alignment horizontal="center" vertical="center"/>
    </xf>
    <xf numFmtId="170" fontId="53" fillId="43" borderId="0" xfId="0" applyNumberFormat="1" applyFont="1" applyFill="1" applyAlignment="1">
      <alignment horizontal="center" vertical="center" wrapText="1"/>
    </xf>
    <xf numFmtId="167" fontId="53" fillId="43" borderId="0" xfId="4" applyFont="1" applyFill="1" applyBorder="1" applyAlignment="1">
      <alignment horizontal="center" vertical="center"/>
    </xf>
    <xf numFmtId="170" fontId="52" fillId="43" borderId="0" xfId="0" applyNumberFormat="1" applyFont="1" applyFill="1" applyAlignment="1">
      <alignment horizontal="center" vertical="center"/>
    </xf>
    <xf numFmtId="170" fontId="53" fillId="43" borderId="0" xfId="0" applyNumberFormat="1" applyFont="1" applyFill="1" applyAlignment="1">
      <alignment horizontal="center" vertical="center"/>
    </xf>
    <xf numFmtId="0" fontId="51" fillId="43" borderId="25" xfId="0" applyFont="1" applyFill="1" applyBorder="1" applyAlignment="1">
      <alignment horizontal="left" vertical="center" wrapText="1"/>
    </xf>
    <xf numFmtId="9" fontId="54" fillId="43" borderId="25" xfId="2" applyFont="1" applyFill="1" applyBorder="1" applyAlignment="1">
      <alignment horizontal="center" vertical="center"/>
    </xf>
    <xf numFmtId="167" fontId="53" fillId="43" borderId="25" xfId="4" applyFont="1" applyFill="1" applyBorder="1" applyAlignment="1">
      <alignment horizontal="center" vertical="center"/>
    </xf>
    <xf numFmtId="170" fontId="52" fillId="43" borderId="25" xfId="0" applyNumberFormat="1" applyFont="1" applyFill="1" applyBorder="1" applyAlignment="1">
      <alignment horizontal="center" vertical="center"/>
    </xf>
    <xf numFmtId="170" fontId="53" fillId="43" borderId="25" xfId="0" applyNumberFormat="1" applyFont="1" applyFill="1" applyBorder="1" applyAlignment="1">
      <alignment horizontal="center" vertical="center"/>
    </xf>
    <xf numFmtId="0" fontId="0" fillId="0" borderId="26" xfId="0" applyBorder="1" applyAlignment="1">
      <alignment vertical="center"/>
    </xf>
    <xf numFmtId="170" fontId="40" fillId="44" borderId="0" xfId="10" applyFont="1" applyFill="1" applyBorder="1">
      <alignment horizontal="center" vertical="center"/>
    </xf>
    <xf numFmtId="0" fontId="40" fillId="44" borderId="0" xfId="0" applyFont="1" applyFill="1" applyAlignment="1">
      <alignment horizontal="center" vertical="center"/>
    </xf>
    <xf numFmtId="0" fontId="49" fillId="44" borderId="0" xfId="0" applyFont="1" applyFill="1" applyAlignment="1">
      <alignment horizontal="center" vertical="center"/>
    </xf>
    <xf numFmtId="0" fontId="0" fillId="0" borderId="27" xfId="0" applyBorder="1" applyAlignment="1">
      <alignment vertical="center"/>
    </xf>
    <xf numFmtId="170" fontId="50" fillId="43" borderId="25" xfId="0" applyNumberFormat="1" applyFont="1" applyFill="1" applyBorder="1" applyAlignment="1">
      <alignment horizontal="center" vertical="center"/>
    </xf>
    <xf numFmtId="0" fontId="40" fillId="41" borderId="0" xfId="12" applyFont="1" applyFill="1" applyBorder="1" applyAlignment="1">
      <alignment horizontal="left" vertical="center" wrapText="1"/>
    </xf>
    <xf numFmtId="9" fontId="40" fillId="41" borderId="0" xfId="2" applyFont="1" applyFill="1" applyBorder="1" applyAlignment="1">
      <alignment horizontal="center" vertical="center"/>
    </xf>
    <xf numFmtId="170" fontId="40" fillId="41" borderId="0" xfId="10" applyFont="1" applyFill="1" applyBorder="1">
      <alignment horizontal="center" vertical="center"/>
    </xf>
    <xf numFmtId="0" fontId="40" fillId="41" borderId="0" xfId="0" applyFont="1" applyFill="1" applyAlignment="1">
      <alignment horizontal="center" vertical="center"/>
    </xf>
    <xf numFmtId="0" fontId="40" fillId="40" borderId="0" xfId="12" applyFont="1" applyFill="1" applyBorder="1" applyAlignment="1">
      <alignment horizontal="left" vertical="center" wrapText="1"/>
    </xf>
    <xf numFmtId="9" fontId="40" fillId="40" borderId="0" xfId="2" applyFont="1" applyFill="1" applyBorder="1" applyAlignment="1">
      <alignment horizontal="center" vertical="center"/>
    </xf>
    <xf numFmtId="170" fontId="40" fillId="40" borderId="0" xfId="10" applyFont="1" applyFill="1" applyBorder="1">
      <alignment horizontal="center" vertical="center"/>
    </xf>
    <xf numFmtId="0" fontId="40" fillId="40" borderId="0" xfId="0" applyFont="1" applyFill="1" applyAlignment="1">
      <alignment horizontal="center" vertical="center"/>
    </xf>
    <xf numFmtId="0" fontId="49" fillId="40" borderId="0" xfId="0" applyFont="1" applyFill="1" applyAlignment="1">
      <alignment horizontal="center" vertical="center"/>
    </xf>
    <xf numFmtId="9" fontId="40" fillId="41" borderId="23" xfId="2" applyFont="1" applyFill="1" applyBorder="1" applyAlignment="1">
      <alignment horizontal="center" vertical="center"/>
    </xf>
    <xf numFmtId="170" fontId="40" fillId="41" borderId="23" xfId="10" applyFont="1" applyFill="1" applyBorder="1">
      <alignment horizontal="center" vertical="center"/>
    </xf>
    <xf numFmtId="0" fontId="40" fillId="41" borderId="23" xfId="0" applyFont="1" applyFill="1" applyBorder="1" applyAlignment="1">
      <alignment horizontal="center" vertical="center"/>
    </xf>
    <xf numFmtId="0" fontId="49" fillId="41" borderId="23" xfId="0" applyFont="1" applyFill="1" applyBorder="1" applyAlignment="1">
      <alignment horizontal="center" vertical="center"/>
    </xf>
    <xf numFmtId="0" fontId="0" fillId="0" borderId="28" xfId="0" applyBorder="1" applyAlignment="1">
      <alignment vertical="center"/>
    </xf>
    <xf numFmtId="9" fontId="40" fillId="40" borderId="23" xfId="2" applyFont="1" applyFill="1" applyBorder="1" applyAlignment="1">
      <alignment horizontal="center" vertical="center"/>
    </xf>
    <xf numFmtId="170" fontId="40" fillId="40" borderId="23" xfId="10" applyFont="1" applyFill="1" applyBorder="1">
      <alignment horizontal="center" vertical="center"/>
    </xf>
    <xf numFmtId="0" fontId="40" fillId="40" borderId="23" xfId="0" applyFont="1" applyFill="1" applyBorder="1" applyAlignment="1">
      <alignment horizontal="center" vertical="center"/>
    </xf>
    <xf numFmtId="0" fontId="49" fillId="40" borderId="23" xfId="0" applyFont="1" applyFill="1" applyBorder="1" applyAlignment="1">
      <alignment horizontal="center" vertical="center"/>
    </xf>
    <xf numFmtId="171" fontId="58" fillId="41" borderId="6" xfId="0" applyNumberFormat="1" applyFont="1" applyFill="1" applyBorder="1" applyAlignment="1">
      <alignment horizontal="center" vertical="center"/>
    </xf>
    <xf numFmtId="171" fontId="58" fillId="41" borderId="0" xfId="0" applyNumberFormat="1" applyFont="1" applyFill="1" applyAlignment="1">
      <alignment horizontal="center" vertical="center"/>
    </xf>
    <xf numFmtId="171" fontId="58" fillId="41" borderId="7" xfId="0" applyNumberFormat="1" applyFont="1" applyFill="1" applyBorder="1" applyAlignment="1">
      <alignment horizontal="center" vertical="center"/>
    </xf>
    <xf numFmtId="0" fontId="59" fillId="42" borderId="8" xfId="0" applyFont="1" applyFill="1" applyBorder="1" applyAlignment="1">
      <alignment horizontal="center" vertical="center" shrinkToFit="1"/>
    </xf>
    <xf numFmtId="0" fontId="43" fillId="40" borderId="0" xfId="5" applyFont="1" applyFill="1" applyBorder="1" applyAlignment="1">
      <alignment horizontal="left"/>
    </xf>
    <xf numFmtId="0" fontId="44" fillId="40" borderId="0" xfId="6" applyFont="1" applyFill="1" applyAlignment="1">
      <alignment horizontal="left"/>
    </xf>
    <xf numFmtId="0" fontId="45" fillId="40" borderId="0" xfId="7" applyFont="1" applyFill="1" applyAlignment="1">
      <alignment horizontal="left" vertical="top"/>
    </xf>
    <xf numFmtId="0" fontId="50" fillId="42" borderId="0" xfId="0" applyFont="1" applyFill="1" applyAlignment="1">
      <alignment horizontal="center" vertical="center"/>
    </xf>
    <xf numFmtId="0" fontId="55" fillId="40" borderId="0" xfId="0" applyFont="1" applyFill="1" applyAlignment="1">
      <alignment horizontal="center"/>
    </xf>
    <xf numFmtId="0" fontId="55" fillId="40" borderId="0" xfId="0" applyFont="1" applyFill="1" applyAlignment="1">
      <alignment horizontal="center" wrapText="1"/>
    </xf>
    <xf numFmtId="0" fontId="0" fillId="0" borderId="30" xfId="0" applyBorder="1" applyAlignment="1">
      <alignment vertical="center"/>
    </xf>
    <xf numFmtId="0" fontId="51" fillId="43" borderId="25" xfId="0" applyFont="1" applyFill="1" applyBorder="1" applyAlignment="1">
      <alignment horizontal="left" vertical="center" indent="1"/>
    </xf>
    <xf numFmtId="0" fontId="52" fillId="43" borderId="25" xfId="11" applyFont="1" applyFill="1" applyBorder="1">
      <alignment horizontal="center" vertical="center"/>
    </xf>
    <xf numFmtId="167" fontId="52" fillId="43" borderId="25" xfId="4" applyFont="1" applyFill="1" applyBorder="1" applyAlignment="1">
      <alignment horizontal="center" vertical="center"/>
    </xf>
    <xf numFmtId="170" fontId="51" fillId="43" borderId="25" xfId="0" applyNumberFormat="1" applyFont="1" applyFill="1" applyBorder="1" applyAlignment="1">
      <alignment horizontal="center" vertical="center"/>
    </xf>
    <xf numFmtId="0" fontId="40" fillId="40" borderId="0" xfId="12" applyFont="1" applyFill="1" applyBorder="1">
      <alignment horizontal="left" vertical="center" indent="2"/>
    </xf>
    <xf numFmtId="0" fontId="40" fillId="40" borderId="0" xfId="11" applyFont="1" applyFill="1" applyBorder="1">
      <alignment horizontal="center" vertical="center"/>
    </xf>
    <xf numFmtId="0" fontId="40" fillId="41" borderId="0" xfId="12" applyFont="1" applyFill="1" applyBorder="1">
      <alignment horizontal="left" vertical="center" indent="2"/>
    </xf>
    <xf numFmtId="0" fontId="40" fillId="41" borderId="0" xfId="11" applyFont="1" applyFill="1" applyBorder="1">
      <alignment horizontal="center" vertical="center"/>
    </xf>
    <xf numFmtId="0" fontId="40" fillId="40" borderId="0" xfId="12" applyFont="1" applyFill="1" applyBorder="1" applyAlignment="1">
      <alignment horizontal="left" vertical="center" wrapText="1" indent="2"/>
    </xf>
    <xf numFmtId="0" fontId="60" fillId="41" borderId="0" xfId="12" applyFont="1" applyFill="1" applyBorder="1">
      <alignment horizontal="left" vertical="center" indent="2"/>
    </xf>
    <xf numFmtId="0" fontId="60" fillId="41" borderId="0" xfId="11" applyFont="1" applyFill="1" applyBorder="1">
      <alignment horizontal="center" vertical="center"/>
    </xf>
    <xf numFmtId="9" fontId="60" fillId="41" borderId="0" xfId="2" applyFont="1" applyFill="1" applyBorder="1" applyAlignment="1">
      <alignment horizontal="center" vertical="center"/>
    </xf>
    <xf numFmtId="170" fontId="60" fillId="41" borderId="0" xfId="10" applyFont="1" applyFill="1" applyBorder="1">
      <alignment horizontal="center" vertical="center"/>
    </xf>
    <xf numFmtId="0" fontId="60" fillId="41" borderId="0" xfId="0" applyFont="1" applyFill="1" applyAlignment="1">
      <alignment horizontal="center" vertical="center"/>
    </xf>
    <xf numFmtId="0" fontId="61" fillId="41" borderId="0" xfId="0" applyFont="1" applyFill="1" applyAlignment="1">
      <alignment horizontal="center" vertical="center"/>
    </xf>
    <xf numFmtId="0" fontId="40" fillId="40" borderId="0" xfId="11" applyFont="1" applyFill="1" applyBorder="1" applyAlignment="1">
      <alignment horizontal="center" vertical="center" wrapText="1"/>
    </xf>
    <xf numFmtId="0" fontId="40" fillId="41" borderId="0" xfId="11" applyFont="1" applyFill="1" applyBorder="1" applyAlignment="1">
      <alignment horizontal="center" vertical="center" wrapText="1"/>
    </xf>
    <xf numFmtId="0" fontId="40" fillId="40" borderId="23" xfId="12" applyFont="1" applyFill="1" applyBorder="1">
      <alignment horizontal="left" vertical="center" indent="2"/>
    </xf>
    <xf numFmtId="0" fontId="40" fillId="40" borderId="23" xfId="11" applyFont="1" applyFill="1" applyBorder="1" applyAlignment="1">
      <alignment horizontal="center" vertical="center" wrapText="1"/>
    </xf>
    <xf numFmtId="0" fontId="59" fillId="42" borderId="29" xfId="0" applyFont="1" applyFill="1" applyBorder="1" applyAlignment="1">
      <alignment horizontal="center" vertical="center" shrinkToFit="1"/>
    </xf>
    <xf numFmtId="0" fontId="40" fillId="41" borderId="23" xfId="12" applyFont="1" applyFill="1" applyBorder="1">
      <alignment horizontal="left" vertical="center" indent="2"/>
    </xf>
    <xf numFmtId="0" fontId="40" fillId="41" borderId="23" xfId="11" applyFont="1" applyFill="1" applyBorder="1" applyAlignment="1">
      <alignment horizontal="center" vertical="center" wrapText="1"/>
    </xf>
    <xf numFmtId="0" fontId="16" fillId="0" borderId="0" xfId="3" applyAlignment="1">
      <alignment wrapText="1"/>
    </xf>
    <xf numFmtId="0" fontId="31" fillId="0" borderId="0" xfId="3" applyFont="1" applyAlignment="1">
      <alignment wrapText="1"/>
    </xf>
    <xf numFmtId="0" fontId="31" fillId="0" borderId="0" xfId="3" applyFont="1" applyAlignment="1">
      <alignment horizontal="center" wrapText="1"/>
    </xf>
    <xf numFmtId="0" fontId="49" fillId="40" borderId="31" xfId="0" applyFont="1" applyFill="1" applyBorder="1" applyAlignment="1">
      <alignment horizontal="right" wrapText="1"/>
    </xf>
    <xf numFmtId="0" fontId="48" fillId="40" borderId="31" xfId="0" applyFont="1" applyFill="1" applyBorder="1" applyAlignment="1">
      <alignment horizontal="center"/>
    </xf>
    <xf numFmtId="0" fontId="48" fillId="40" borderId="31" xfId="0" applyFont="1" applyFill="1" applyBorder="1" applyAlignment="1">
      <alignment horizontal="center" vertical="center"/>
    </xf>
    <xf numFmtId="9" fontId="36" fillId="40" borderId="32" xfId="2" applyFont="1" applyFill="1" applyBorder="1" applyAlignment="1">
      <alignment horizontal="center" vertical="center" wrapText="1"/>
    </xf>
    <xf numFmtId="0" fontId="4" fillId="0" borderId="0" xfId="3" applyFont="1" applyAlignment="1">
      <alignment wrapText="1"/>
    </xf>
    <xf numFmtId="0" fontId="4" fillId="0" borderId="0" xfId="3" applyFont="1"/>
    <xf numFmtId="0" fontId="2" fillId="0" borderId="0" xfId="3" applyFont="1" applyAlignment="1">
      <alignment wrapText="1"/>
    </xf>
    <xf numFmtId="0" fontId="62" fillId="0" borderId="0" xfId="3" applyFont="1" applyAlignment="1">
      <alignment horizontal="center" vertical="center" wrapText="1"/>
    </xf>
    <xf numFmtId="0" fontId="33" fillId="0" borderId="0" xfId="3" applyFont="1" applyAlignment="1">
      <alignment horizontal="center" vertical="center" wrapText="1"/>
    </xf>
    <xf numFmtId="0" fontId="5" fillId="0" borderId="0" xfId="0" applyFont="1" applyAlignment="1">
      <alignment horizontal="center" vertical="center"/>
    </xf>
    <xf numFmtId="0" fontId="62" fillId="0" borderId="36" xfId="3" applyFont="1" applyBorder="1" applyAlignment="1">
      <alignment horizontal="center" vertical="center" wrapText="1"/>
    </xf>
    <xf numFmtId="0" fontId="62" fillId="0" borderId="36" xfId="4" applyNumberFormat="1" applyFont="1" applyBorder="1" applyAlignment="1">
      <alignment horizontal="center" vertical="center" wrapText="1"/>
    </xf>
    <xf numFmtId="16" fontId="62" fillId="0" borderId="36" xfId="3" applyNumberFormat="1" applyFont="1" applyBorder="1" applyAlignment="1">
      <alignment horizontal="center" vertical="center" wrapText="1"/>
    </xf>
    <xf numFmtId="0" fontId="62" fillId="45" borderId="0" xfId="3" applyFont="1" applyFill="1" applyAlignment="1">
      <alignment horizontal="center" vertical="center" wrapText="1"/>
    </xf>
    <xf numFmtId="9" fontId="51" fillId="43" borderId="33" xfId="0" applyNumberFormat="1" applyFont="1" applyFill="1" applyBorder="1" applyAlignment="1">
      <alignment horizontal="center" vertical="center" wrapText="1"/>
    </xf>
    <xf numFmtId="9" fontId="51" fillId="43" borderId="34" xfId="0" applyNumberFormat="1" applyFont="1" applyFill="1" applyBorder="1" applyAlignment="1">
      <alignment horizontal="center" vertical="center" wrapText="1"/>
    </xf>
    <xf numFmtId="0" fontId="56" fillId="41" borderId="34" xfId="0" applyFont="1" applyFill="1" applyBorder="1" applyAlignment="1">
      <alignment horizontal="center" vertical="center" wrapText="1"/>
    </xf>
    <xf numFmtId="0" fontId="56" fillId="40" borderId="34" xfId="0" applyFont="1" applyFill="1" applyBorder="1" applyAlignment="1">
      <alignment horizontal="center" vertical="center" wrapText="1"/>
    </xf>
    <xf numFmtId="0" fontId="56" fillId="40" borderId="35" xfId="0" applyFont="1" applyFill="1" applyBorder="1" applyAlignment="1">
      <alignment horizontal="center" vertical="center" wrapText="1"/>
    </xf>
    <xf numFmtId="9" fontId="56" fillId="40" borderId="34" xfId="0" applyNumberFormat="1" applyFont="1" applyFill="1" applyBorder="1" applyAlignment="1">
      <alignment horizontal="center" vertical="center" wrapText="1"/>
    </xf>
    <xf numFmtId="9" fontId="56" fillId="41" borderId="34" xfId="0" applyNumberFormat="1" applyFont="1" applyFill="1" applyBorder="1" applyAlignment="1">
      <alignment horizontal="center" vertical="center" wrapText="1"/>
    </xf>
    <xf numFmtId="9" fontId="56" fillId="40" borderId="35" xfId="0" applyNumberFormat="1" applyFont="1" applyFill="1" applyBorder="1" applyAlignment="1">
      <alignment horizontal="center" vertical="center" wrapText="1"/>
    </xf>
    <xf numFmtId="9" fontId="56" fillId="41" borderId="35" xfId="0" applyNumberFormat="1" applyFont="1" applyFill="1" applyBorder="1" applyAlignment="1">
      <alignment horizontal="center" vertical="center" wrapText="1"/>
    </xf>
    <xf numFmtId="169" fontId="57" fillId="41" borderId="4" xfId="0" applyNumberFormat="1" applyFont="1" applyFill="1" applyBorder="1" applyAlignment="1">
      <alignment horizontal="center" vertical="center" wrapText="1" indent="1"/>
    </xf>
    <xf numFmtId="169" fontId="57" fillId="41" borderId="1" xfId="0" applyNumberFormat="1" applyFont="1" applyFill="1" applyBorder="1" applyAlignment="1">
      <alignment horizontal="center" vertical="center" wrapText="1" indent="1"/>
    </xf>
    <xf numFmtId="169" fontId="57" fillId="41" borderId="5" xfId="0" applyNumberFormat="1" applyFont="1" applyFill="1" applyBorder="1" applyAlignment="1">
      <alignment horizontal="center" vertical="center" wrapText="1" indent="1"/>
    </xf>
    <xf numFmtId="169" fontId="32" fillId="4" borderId="5" xfId="0" applyNumberFormat="1" applyFont="1" applyFill="1" applyBorder="1" applyAlignment="1">
      <alignment horizontal="left" vertical="center" wrapText="1" indent="1"/>
    </xf>
    <xf numFmtId="9" fontId="49" fillId="44" borderId="22" xfId="0" applyNumberFormat="1" applyFont="1" applyFill="1" applyBorder="1" applyAlignment="1">
      <alignment horizontal="center" vertical="center" wrapText="1"/>
    </xf>
    <xf numFmtId="0" fontId="47" fillId="40" borderId="0" xfId="8" applyFont="1" applyFill="1">
      <alignment horizontal="right" indent="1"/>
    </xf>
    <xf numFmtId="172" fontId="49" fillId="41" borderId="0" xfId="9" applyNumberFormat="1" applyFont="1" applyFill="1" applyBorder="1">
      <alignment horizontal="center" vertical="center"/>
    </xf>
    <xf numFmtId="172" fontId="6" fillId="0" borderId="0" xfId="9" applyNumberFormat="1" applyBorder="1">
      <alignment horizontal="center" vertical="center"/>
    </xf>
    <xf numFmtId="0" fontId="62" fillId="45" borderId="0" xfId="3" applyFont="1" applyFill="1" applyAlignment="1">
      <alignment vertical="center" wrapText="1"/>
    </xf>
    <xf numFmtId="0" fontId="62" fillId="0" borderId="0" xfId="3" applyFont="1" applyFill="1" applyAlignment="1">
      <alignment vertical="center" wrapText="1"/>
    </xf>
    <xf numFmtId="0" fontId="62" fillId="45" borderId="37" xfId="3" applyFont="1" applyFill="1" applyBorder="1" applyAlignment="1">
      <alignment horizontal="center" vertical="center" wrapText="1"/>
    </xf>
    <xf numFmtId="9" fontId="51" fillId="43" borderId="22" xfId="0" applyNumberFormat="1" applyFont="1" applyFill="1" applyBorder="1" applyAlignment="1">
      <alignment horizontal="center" vertical="center" wrapText="1"/>
    </xf>
    <xf numFmtId="0" fontId="50" fillId="42" borderId="36" xfId="0" applyFont="1" applyFill="1" applyBorder="1" applyAlignment="1">
      <alignment horizontal="center" vertical="center" wrapText="1"/>
    </xf>
    <xf numFmtId="0" fontId="1" fillId="0" borderId="0" xfId="0" applyFont="1" applyAlignment="1">
      <alignment horizontal="left" wrapText="1"/>
    </xf>
    <xf numFmtId="0" fontId="53" fillId="43" borderId="0" xfId="11" applyFont="1" applyFill="1" applyBorder="1" applyAlignment="1">
      <alignment horizontal="center" vertical="center" wrapText="1"/>
    </xf>
    <xf numFmtId="0" fontId="53" fillId="43" borderId="25" xfId="11" applyFont="1" applyFill="1" applyBorder="1" applyAlignment="1">
      <alignment horizontal="center" vertical="center" wrapText="1"/>
    </xf>
    <xf numFmtId="0" fontId="46" fillId="41" borderId="0" xfId="11" applyFont="1" applyFill="1" applyBorder="1" applyAlignment="1">
      <alignment horizontal="center" vertical="center" wrapText="1"/>
    </xf>
    <xf numFmtId="0" fontId="46" fillId="40" borderId="0" xfId="11" applyFont="1" applyFill="1" applyBorder="1" applyAlignment="1">
      <alignment horizontal="center" vertical="center" wrapText="1"/>
    </xf>
    <xf numFmtId="0" fontId="48" fillId="40" borderId="31" xfId="0" applyFont="1" applyFill="1" applyBorder="1" applyAlignment="1">
      <alignment horizontal="center" wrapText="1"/>
    </xf>
    <xf numFmtId="0" fontId="10" fillId="0" borderId="0" xfId="0" applyFont="1" applyAlignment="1">
      <alignment wrapText="1"/>
    </xf>
    <xf numFmtId="0" fontId="11" fillId="0" borderId="0" xfId="1" applyFont="1" applyAlignment="1" applyProtection="1">
      <alignment wrapText="1"/>
    </xf>
    <xf numFmtId="0" fontId="40" fillId="0" borderId="0" xfId="12" applyFont="1" applyFill="1" applyBorder="1" applyAlignment="1">
      <alignment horizontal="left" vertical="center" wrapText="1"/>
    </xf>
    <xf numFmtId="0" fontId="63" fillId="46" borderId="0" xfId="0" applyFont="1" applyFill="1" applyAlignment="1">
      <alignment horizontal="left" vertical="center"/>
    </xf>
    <xf numFmtId="0" fontId="64" fillId="46" borderId="0" xfId="0" applyFont="1" applyFill="1" applyAlignment="1">
      <alignment horizontal="left" vertical="center"/>
    </xf>
    <xf numFmtId="0" fontId="0" fillId="46" borderId="0" xfId="0" applyFill="1" applyAlignment="1">
      <alignment vertical="center"/>
    </xf>
    <xf numFmtId="0" fontId="66" fillId="48" borderId="39" xfId="0" applyFont="1" applyFill="1" applyBorder="1" applyAlignment="1">
      <alignment horizontal="left" vertical="center"/>
    </xf>
    <xf numFmtId="0" fontId="65" fillId="56" borderId="38" xfId="0" applyFont="1" applyFill="1" applyBorder="1" applyAlignment="1">
      <alignment horizontal="center" vertical="center" wrapText="1"/>
    </xf>
    <xf numFmtId="0" fontId="65" fillId="56" borderId="38" xfId="0" applyFont="1" applyFill="1" applyBorder="1" applyAlignment="1">
      <alignment horizontal="left" vertical="center" wrapText="1"/>
    </xf>
    <xf numFmtId="0" fontId="67" fillId="0" borderId="0" xfId="0" applyFont="1" applyAlignment="1">
      <alignment horizontal="left" vertical="center"/>
    </xf>
    <xf numFmtId="0" fontId="68" fillId="0" borderId="0" xfId="0" applyFont="1" applyAlignment="1">
      <alignment horizontal="left" vertical="center" wrapText="1"/>
    </xf>
    <xf numFmtId="0" fontId="71" fillId="0" borderId="38" xfId="0" applyFont="1" applyBorder="1" applyAlignment="1">
      <alignment horizontal="left" vertical="center" wrapText="1"/>
    </xf>
    <xf numFmtId="0" fontId="71" fillId="0" borderId="38" xfId="0" applyFont="1" applyBorder="1" applyAlignment="1">
      <alignment horizontal="center" vertical="center"/>
    </xf>
    <xf numFmtId="173" fontId="71" fillId="0" borderId="38" xfId="0" applyNumberFormat="1" applyFont="1" applyBorder="1" applyAlignment="1">
      <alignment horizontal="center" vertical="center"/>
    </xf>
    <xf numFmtId="9" fontId="71" fillId="0" borderId="38" xfId="0" applyNumberFormat="1" applyFont="1" applyBorder="1" applyAlignment="1">
      <alignment horizontal="center" vertical="center"/>
    </xf>
    <xf numFmtId="174" fontId="71" fillId="0" borderId="38" xfId="0" applyNumberFormat="1" applyFont="1" applyBorder="1" applyAlignment="1">
      <alignment horizontal="center" vertical="center"/>
    </xf>
    <xf numFmtId="1" fontId="71" fillId="0" borderId="38" xfId="0" applyNumberFormat="1" applyFont="1" applyBorder="1" applyAlignment="1">
      <alignment horizontal="center" vertical="center"/>
    </xf>
    <xf numFmtId="0" fontId="69" fillId="50" borderId="40" xfId="0" applyFont="1" applyFill="1" applyBorder="1" applyAlignment="1">
      <alignment horizontal="center" vertical="center"/>
    </xf>
    <xf numFmtId="0" fontId="70" fillId="50" borderId="40" xfId="0" applyFont="1" applyFill="1" applyBorder="1" applyAlignment="1">
      <alignment horizontal="center" vertical="center"/>
    </xf>
    <xf numFmtId="9" fontId="69" fillId="50" borderId="40" xfId="0" applyNumberFormat="1" applyFont="1" applyFill="1" applyBorder="1" applyAlignment="1">
      <alignment horizontal="center" vertical="center"/>
    </xf>
    <xf numFmtId="0" fontId="73" fillId="50" borderId="40" xfId="0" applyFont="1" applyFill="1" applyBorder="1" applyAlignment="1">
      <alignment horizontal="center" vertical="center" wrapText="1"/>
    </xf>
    <xf numFmtId="1" fontId="67" fillId="57" borderId="38" xfId="0" applyNumberFormat="1" applyFont="1" applyFill="1" applyBorder="1" applyAlignment="1">
      <alignment horizontal="center" vertical="center"/>
    </xf>
    <xf numFmtId="0" fontId="67" fillId="57" borderId="38" xfId="0" applyFont="1" applyFill="1" applyBorder="1" applyAlignment="1">
      <alignment horizontal="left" vertical="center"/>
    </xf>
    <xf numFmtId="9" fontId="67" fillId="57" borderId="38" xfId="0" applyNumberFormat="1" applyFont="1" applyFill="1" applyBorder="1" applyAlignment="1">
      <alignment horizontal="center" vertical="center"/>
    </xf>
    <xf numFmtId="173" fontId="67" fillId="57" borderId="38" xfId="0" applyNumberFormat="1" applyFont="1" applyFill="1" applyBorder="1" applyAlignment="1">
      <alignment horizontal="center" vertical="center"/>
    </xf>
    <xf numFmtId="1" fontId="67" fillId="58" borderId="38" xfId="0" applyNumberFormat="1" applyFont="1" applyFill="1" applyBorder="1" applyAlignment="1">
      <alignment horizontal="center" vertical="center"/>
    </xf>
    <xf numFmtId="173" fontId="67" fillId="58" borderId="38" xfId="0" applyNumberFormat="1" applyFont="1" applyFill="1" applyBorder="1" applyAlignment="1">
      <alignment horizontal="center" vertical="center"/>
    </xf>
    <xf numFmtId="0" fontId="67" fillId="58" borderId="38" xfId="0" applyFont="1" applyFill="1" applyBorder="1" applyAlignment="1">
      <alignment horizontal="left" vertical="center" wrapText="1"/>
    </xf>
    <xf numFmtId="0" fontId="74" fillId="51" borderId="38" xfId="0" applyFont="1" applyFill="1" applyBorder="1" applyAlignment="1">
      <alignment horizontal="center" vertical="center"/>
    </xf>
    <xf numFmtId="0" fontId="67" fillId="52" borderId="38" xfId="0" applyFont="1" applyFill="1" applyBorder="1" applyAlignment="1">
      <alignment horizontal="center" vertical="center"/>
    </xf>
    <xf numFmtId="0" fontId="67" fillId="53" borderId="38" xfId="0" applyFont="1" applyFill="1" applyBorder="1" applyAlignment="1">
      <alignment horizontal="center" vertical="center"/>
    </xf>
    <xf numFmtId="0" fontId="74" fillId="54" borderId="38" xfId="0" applyFont="1" applyFill="1" applyBorder="1" applyAlignment="1">
      <alignment horizontal="center" vertical="center"/>
    </xf>
    <xf numFmtId="0" fontId="75" fillId="46" borderId="0" xfId="0" applyFont="1" applyFill="1" applyAlignment="1">
      <alignment horizontal="left" vertical="center"/>
    </xf>
    <xf numFmtId="0" fontId="66" fillId="0" borderId="0" xfId="0" applyFont="1" applyAlignment="1">
      <alignment horizontal="left" vertical="center"/>
    </xf>
    <xf numFmtId="0" fontId="71" fillId="0" borderId="0" xfId="0" applyFont="1" applyAlignment="1">
      <alignment horizontal="left" vertical="center" wrapText="1"/>
    </xf>
    <xf numFmtId="0" fontId="67" fillId="0" borderId="0" xfId="0" applyFont="1" applyAlignment="1">
      <alignment horizontal="left" vertical="center" wrapText="1"/>
    </xf>
    <xf numFmtId="0" fontId="72" fillId="0" borderId="0" xfId="0" applyFont="1" applyAlignment="1">
      <alignment horizontal="center" vertical="center"/>
    </xf>
    <xf numFmtId="0" fontId="72" fillId="0" borderId="0" xfId="0" applyFont="1" applyAlignment="1">
      <alignment horizontal="left" vertical="center"/>
    </xf>
    <xf numFmtId="0" fontId="71" fillId="0" borderId="0" xfId="0" applyFont="1" applyAlignment="1">
      <alignment horizontal="center" vertical="center"/>
    </xf>
    <xf numFmtId="0" fontId="71" fillId="0" borderId="0" xfId="0" applyFont="1" applyAlignment="1">
      <alignment horizontal="left" vertical="center" wrapText="1"/>
    </xf>
    <xf numFmtId="9" fontId="71" fillId="0" borderId="0" xfId="0" applyNumberFormat="1" applyFont="1" applyAlignment="1">
      <alignment horizontal="center" vertical="center"/>
    </xf>
    <xf numFmtId="173" fontId="71" fillId="0" borderId="0" xfId="0" applyNumberFormat="1" applyFont="1" applyAlignment="1">
      <alignment horizontal="center" vertical="center"/>
    </xf>
    <xf numFmtId="9" fontId="71" fillId="0" borderId="0" xfId="0" applyNumberFormat="1" applyFont="1" applyAlignment="1">
      <alignment horizontal="center" vertical="center"/>
    </xf>
    <xf numFmtId="174" fontId="71" fillId="0" borderId="0" xfId="0" applyNumberFormat="1" applyFont="1" applyAlignment="1">
      <alignment horizontal="center" vertical="center"/>
    </xf>
  </cellXfs>
  <cellStyles count="56">
    <cellStyle name="20% - Énfasis1" xfId="31" builtinId="30" customBuiltin="1"/>
    <cellStyle name="20% - Énfasis2" xfId="35" builtinId="34" customBuiltin="1"/>
    <cellStyle name="20% - Énfasis3" xfId="39" builtinId="38" customBuiltin="1"/>
    <cellStyle name="20% - Énfasis4" xfId="43" builtinId="42" customBuiltin="1"/>
    <cellStyle name="20% - Énfasis5" xfId="47" builtinId="46" customBuiltin="1"/>
    <cellStyle name="20% - Énfasis6" xfId="51" builtinId="50" customBuiltin="1"/>
    <cellStyle name="40% - Énfasis1" xfId="32" builtinId="31" customBuiltin="1"/>
    <cellStyle name="40% - Énfasis2" xfId="36" builtinId="35" customBuiltin="1"/>
    <cellStyle name="40% - Énfasis3" xfId="40" builtinId="39" customBuiltin="1"/>
    <cellStyle name="40% - Énfasis4" xfId="44" builtinId="43" customBuiltin="1"/>
    <cellStyle name="40% - Énfasis5" xfId="48" builtinId="47" customBuiltin="1"/>
    <cellStyle name="40% - Énfasis6" xfId="52" builtinId="51" customBuiltin="1"/>
    <cellStyle name="60% - Énfasis1" xfId="33" builtinId="32" customBuiltin="1"/>
    <cellStyle name="60% - Énfasis2" xfId="37" builtinId="36" customBuiltin="1"/>
    <cellStyle name="60% - Énfasis3" xfId="41" builtinId="40" customBuiltin="1"/>
    <cellStyle name="60% - Énfasis4" xfId="45" builtinId="44" customBuiltin="1"/>
    <cellStyle name="60% - Énfasis5" xfId="49" builtinId="48" customBuiltin="1"/>
    <cellStyle name="60% - Énfasis6" xfId="53" builtinId="52" customBuiltin="1"/>
    <cellStyle name="Bueno" xfId="18" builtinId="26" customBuiltin="1"/>
    <cellStyle name="Cálculo" xfId="23" builtinId="22" customBuiltin="1"/>
    <cellStyle name="Celda de comprobación" xfId="25" builtinId="23" customBuiltin="1"/>
    <cellStyle name="Celda vinculada" xfId="24" builtinId="24" customBuiltin="1"/>
    <cellStyle name="Encabezado 1" xfId="6" builtinId="16" customBuiltin="1"/>
    <cellStyle name="Encabezado 4" xfId="17" builtinId="19" customBuiltin="1"/>
    <cellStyle name="Énfasis1" xfId="30" builtinId="29" customBuiltin="1"/>
    <cellStyle name="Énfasis2" xfId="34" builtinId="33" customBuiltin="1"/>
    <cellStyle name="Énfasis3" xfId="38" builtinId="37" customBuiltin="1"/>
    <cellStyle name="Énfasis4" xfId="42" builtinId="41" customBuiltin="1"/>
    <cellStyle name="Énfasis5" xfId="46" builtinId="45" customBuiltin="1"/>
    <cellStyle name="Énfasis6" xfId="50" builtinId="49" customBuiltin="1"/>
    <cellStyle name="Entrada" xfId="21" builtinId="20" customBuiltin="1"/>
    <cellStyle name="Fecha" xfId="10" xr:uid="{229918B6-DD13-4F5A-97B9-305F7E002AA3}"/>
    <cellStyle name="Hipervínculo" xfId="1" builtinId="8" customBuiltin="1"/>
    <cellStyle name="Hipervínculo visitado" xfId="13" builtinId="9" customBuiltin="1"/>
    <cellStyle name="Incorrecto" xfId="19" builtinId="27" customBuiltin="1"/>
    <cellStyle name="Inicio del proyecto" xfId="9" xr:uid="{8EB8A09A-C31C-40A3-B2C1-9449520178B8}"/>
    <cellStyle name="Millares" xfId="4" builtinId="3" customBuiltin="1"/>
    <cellStyle name="Millares [0]" xfId="14" builtinId="6" customBuiltin="1"/>
    <cellStyle name="Moneda" xfId="15" builtinId="4" customBuiltin="1"/>
    <cellStyle name="Moneda [0]" xfId="16" builtinId="7" customBuiltin="1"/>
    <cellStyle name="Moneda 5" xfId="55" xr:uid="{7539DEA7-AC3B-4557-8F64-10F32A80B746}"/>
    <cellStyle name="Neutral" xfId="20" builtinId="28" customBuiltin="1"/>
    <cellStyle name="Nombre" xfId="11" xr:uid="{B2D3C1EE-6B41-4801-AAFC-C2274E49E503}"/>
    <cellStyle name="Normal" xfId="0" builtinId="0" customBuiltin="1"/>
    <cellStyle name="Normal 2" xfId="54" xr:uid="{05E4BB33-962B-410C-9046-BE7798285F3A}"/>
    <cellStyle name="Notas" xfId="27" builtinId="10" customBuiltin="1"/>
    <cellStyle name="Porcentaje" xfId="2" builtinId="5" customBuiltin="1"/>
    <cellStyle name="Salida" xfId="22" builtinId="21" customBuiltin="1"/>
    <cellStyle name="Tarea" xfId="12" xr:uid="{6391D789-272B-4DD2-9BF3-2CDCF610FA41}"/>
    <cellStyle name="Texto de advertencia" xfId="26" builtinId="11" customBuiltin="1"/>
    <cellStyle name="Texto explicativo" xfId="28" builtinId="53" customBuiltin="1"/>
    <cellStyle name="Título" xfId="5" builtinId="15" customBuiltin="1"/>
    <cellStyle name="Título 2" xfId="7" builtinId="17" customBuiltin="1"/>
    <cellStyle name="Título 3" xfId="8" builtinId="18" customBuiltin="1"/>
    <cellStyle name="Total" xfId="29" builtinId="25" customBuiltin="1"/>
    <cellStyle name="zTextoOculto" xfId="3" xr:uid="{26E66EE6-E33F-4D77-BAE4-0FB4F5BBF673}"/>
  </cellStyles>
  <dxfs count="29">
    <dxf>
      <fill>
        <patternFill patternType="solid">
          <fgColor indexed="64"/>
          <bgColor rgb="FFA8C5DE"/>
        </patternFill>
      </fill>
      <border>
        <left/>
        <right/>
      </border>
    </dxf>
    <dxf>
      <fill>
        <patternFill patternType="solid">
          <fgColor indexed="64"/>
          <bgColor rgb="FF1F3A52"/>
        </patternFill>
      </fill>
    </dxf>
    <dxf>
      <border>
        <left style="thin">
          <color rgb="FFC00000"/>
        </left>
        <right style="thin">
          <color rgb="FFC00000"/>
        </right>
        <vertical/>
        <horizontal/>
      </border>
    </dxf>
    <dxf>
      <fill>
        <patternFill patternType="solid">
          <fgColor indexed="64"/>
          <bgColor rgb="FFA8C5DE"/>
        </patternFill>
      </fill>
      <border>
        <left/>
        <right/>
      </border>
    </dxf>
    <dxf>
      <fill>
        <patternFill patternType="solid">
          <fgColor indexed="64"/>
          <bgColor rgb="FF1F3A52"/>
        </patternFill>
      </fill>
    </dxf>
    <dxf>
      <border>
        <left style="thin">
          <color rgb="FFC00000"/>
        </left>
        <right style="thin">
          <color rgb="FFC00000"/>
        </right>
        <vertical/>
        <horizontal/>
      </border>
    </dxf>
    <dxf>
      <border>
        <left style="thin">
          <color rgb="FFC00000"/>
        </left>
        <right style="thin">
          <color rgb="FFC00000"/>
        </right>
        <vertical/>
        <horizontal/>
      </border>
    </dxf>
    <dxf>
      <fill>
        <patternFill patternType="solid">
          <fgColor indexed="64"/>
          <bgColor rgb="FFA8C5DE"/>
        </patternFill>
      </fill>
      <border>
        <left/>
        <right/>
      </border>
    </dxf>
    <dxf>
      <fill>
        <patternFill patternType="solid">
          <fgColor indexed="64"/>
          <bgColor rgb="FF1F3A52"/>
        </patternFill>
      </fill>
    </dxf>
    <dxf>
      <fill>
        <patternFill patternType="solid">
          <fgColor indexed="64"/>
          <bgColor rgb="FFA8C5DE"/>
        </patternFill>
      </fill>
      <border>
        <left/>
        <right/>
      </border>
    </dxf>
    <dxf>
      <fill>
        <patternFill patternType="solid">
          <fgColor indexed="64"/>
          <bgColor rgb="FF1F3A52"/>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
      <border>
        <left style="thin">
          <color rgb="FFBFBFBF"/>
        </left>
        <right style="thin">
          <color rgb="FFBFBFBF"/>
        </right>
        <top style="thin">
          <color rgb="FFBFBFBF"/>
        </top>
        <bottom style="thin">
          <color rgb="FFBFBFBF"/>
        </bottom>
      </border>
    </dxf>
    <dxf>
      <fill>
        <patternFill>
          <bgColor rgb="FFF4F8FC"/>
        </patternFill>
      </fill>
    </dxf>
    <dxf>
      <font>
        <b/>
        <color rgb="FFFFFFFF"/>
      </font>
      <fill>
        <patternFill>
          <bgColor rgb="FFE06666"/>
        </patternFill>
      </fill>
    </dxf>
    <dxf>
      <font>
        <b/>
        <color rgb="FF7F6000"/>
      </font>
      <fill>
        <patternFill>
          <bgColor rgb="FFFFD966"/>
        </patternFill>
      </fill>
    </dxf>
    <dxf>
      <font>
        <color rgb="FF274E13"/>
      </font>
      <fill>
        <patternFill>
          <bgColor rgb="FFD9EAD3"/>
        </patternFill>
      </fill>
    </dxf>
    <dxf>
      <font>
        <b/>
        <color rgb="FFFFFFFF"/>
      </font>
      <fill>
        <patternFill>
          <bgColor rgb="FF38761D"/>
        </patternFill>
      </fill>
    </dxf>
    <dxf>
      <fill>
        <patternFill>
          <bgColor rgb="FFFFF2CC"/>
        </patternFill>
      </fill>
    </dxf>
    <dxf>
      <font>
        <b/>
        <color rgb="FF1F3A52"/>
      </font>
      <fill>
        <patternFill>
          <bgColor rgb="FFD9E1F2"/>
        </patternFill>
      </fill>
    </dxf>
  </dxfs>
  <tableStyles count="1" defaultTableStyle="TableStyleMedium2" defaultPivotStyle="PivotStyleLight16">
    <tableStyle name="ListaTareasPendientes" pivot="0" count="9" xr9:uid="{00000000-0011-0000-FFFF-FFFF00000000}">
      <tableStyleElement type="wholeTable" dxfId="20"/>
      <tableStyleElement type="headerRow" dxfId="19"/>
      <tableStyleElement type="totalRow" dxfId="18"/>
      <tableStyleElement type="firstColumn" dxfId="17"/>
      <tableStyleElement type="lastColumn" dxfId="16"/>
      <tableStyleElement type="firstRowStripe" dxfId="15"/>
      <tableStyleElement type="secondRowStripe" dxfId="14"/>
      <tableStyleElement type="firstColumnStripe" dxfId="13"/>
      <tableStyleElement type="secondColumnStripe" dxfId="1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C0C0C0"/>
      <color rgb="FF000000"/>
      <color rgb="FF427FC2"/>
      <color rgb="FF215881"/>
      <color rgb="FF42648A"/>
      <color rgb="FF969696"/>
      <color rgb="FF44678E"/>
      <color rgb="FF4A6F9C"/>
      <color rgb="FF3969A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 Id="rId12" Type="http://schemas.openxmlformats.org/officeDocument/2006/relationships/worksheet" Target="worksheets/sheet5.xml"/><Relationship Id="rId13" Type="http://schemas.openxmlformats.org/officeDocument/2006/relationships/worksheet" Target="worksheets/sheet6.xml"/><Relationship Id="rId14" Type="http://schemas.openxmlformats.org/officeDocument/2006/relationships/worksheet" Target="worksheets/sheet7.xml"/><Relationship Id="rId15" Type="http://schemas.openxmlformats.org/officeDocument/2006/relationships/worksheet" Target="worksheets/sheet8.xml"/><Relationship Id="rId16" Type="http://schemas.openxmlformats.org/officeDocument/2006/relationships/worksheet" Target="worksheets/sheet9.xml"/><Relationship Id="rId17" Type="http://schemas.openxmlformats.org/officeDocument/2006/relationships/worksheet" Target="worksheets/sheet10.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520700</xdr:rowOff>
    </xdr:to>
    <xdr:pic>
      <xdr:nvPicPr>
        <xdr:cNvPr id="2" name="Imagen 1" descr="Logotipo de Vertex42">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5E04964-845D-49EA-AE40-B3D687E90185}">
  <we:reference id="WA200009404" version="1.0.0.8" store="Omex" storeType="OMEX"/>
  <we:alternateReferences>
    <we:reference id="WA200009404" version="1.0.0.8" store="WA200009404" storeType="OMEX"/>
  </we:alternateReferences>
  <we:properties>
    <we:property name="claude.fileId" value="&quot;cab32c97-b976-452e-9260-bf258651778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4.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CBA0BA-5F40-481C-A416-1CA5E04363A6}">
  <sheetPr>
    <pageSetUpPr fitToPage="1"/>
  </sheetPr>
  <dimension ref="A1:BR84"/>
  <sheetViews>
    <sheetView showGridLines="0" tabSelected="1" showRuler="0" topLeftCell="C1" zoomScale="80" zoomScaleNormal="80" zoomScalePageLayoutView="70" workbookViewId="0">
      <pane ySplit="6" topLeftCell="A7" activePane="bottomLeft" state="frozen"/>
      <selection pane="bottomLeft" activeCell="C37" sqref="C37"/>
    </sheetView>
  </sheetViews>
  <sheetFormatPr baseColWidth="10" defaultColWidth="9.1796875" defaultRowHeight="30" customHeight="1" x14ac:dyDescent="0.35"/>
  <cols>
    <col min="1" max="1" width="2.7265625" style="14" hidden="1" customWidth="1"/>
    <col min="2" max="2" width="12.26953125" style="129" bestFit="1" customWidth="1"/>
    <col min="3" max="3" width="26.54296875" style="131" customWidth="1"/>
    <col min="4" max="4" width="10.90625" style="131" customWidth="1"/>
    <col min="5" max="6" width="12.54296875" style="131" customWidth="1"/>
    <col min="7" max="7" width="74" style="16" customWidth="1"/>
    <col min="8" max="8" width="14.6328125" style="16" bestFit="1" customWidth="1"/>
    <col min="9" max="9" width="20.7265625" style="16" customWidth="1"/>
    <col min="10" max="10" width="9.26953125" bestFit="1" customWidth="1"/>
    <col min="11" max="11" width="15.7265625" style="2" bestFit="1" customWidth="1"/>
    <col min="12" max="12" width="9.08984375" bestFit="1" customWidth="1"/>
    <col min="13" max="13" width="2.7265625" customWidth="1"/>
    <col min="14" max="14" width="9.453125" hidden="1" customWidth="1"/>
    <col min="15" max="20" width="3.26953125" customWidth="1"/>
    <col min="21" max="21" width="8.453125" bestFit="1" customWidth="1"/>
    <col min="22" max="29" width="3.26953125" customWidth="1"/>
    <col min="30" max="30" width="4.08984375" customWidth="1"/>
    <col min="31" max="31" width="2.54296875" bestFit="1" customWidth="1"/>
    <col min="32" max="70" width="3.26953125" customWidth="1"/>
  </cols>
  <sheetData>
    <row r="1" spans="1:70" ht="30" customHeight="1" x14ac:dyDescent="0.65">
      <c r="A1" s="121" t="s">
        <v>0</v>
      </c>
      <c r="B1" s="128"/>
      <c r="G1" s="44" t="s">
        <v>34</v>
      </c>
      <c r="H1" s="45"/>
      <c r="I1" s="160"/>
      <c r="J1" s="1"/>
      <c r="K1" s="41"/>
      <c r="L1" s="42"/>
      <c r="N1" s="1"/>
      <c r="O1" s="17"/>
    </row>
    <row r="2" spans="1:70" ht="30" customHeight="1" x14ac:dyDescent="0.4">
      <c r="A2" s="14" t="s">
        <v>1</v>
      </c>
      <c r="G2" s="46" t="s">
        <v>35</v>
      </c>
      <c r="H2" s="47"/>
      <c r="O2" s="18"/>
    </row>
    <row r="3" spans="1:70" ht="30" customHeight="1" x14ac:dyDescent="0.35">
      <c r="A3" s="14" t="s">
        <v>2</v>
      </c>
      <c r="G3" s="47" t="s">
        <v>36</v>
      </c>
      <c r="H3" s="47"/>
      <c r="I3" s="152" t="s">
        <v>13</v>
      </c>
      <c r="J3" s="152"/>
      <c r="K3" s="153">
        <v>45958</v>
      </c>
      <c r="L3" s="154"/>
    </row>
    <row r="4" spans="1:70" ht="30" customHeight="1" x14ac:dyDescent="0.35">
      <c r="A4" s="122" t="s">
        <v>3</v>
      </c>
      <c r="B4" s="130"/>
      <c r="G4" s="43"/>
      <c r="H4" s="43"/>
      <c r="I4" s="152" t="s">
        <v>14</v>
      </c>
      <c r="J4" s="152"/>
      <c r="K4" s="49">
        <v>32</v>
      </c>
      <c r="L4" s="20"/>
      <c r="M4" s="20"/>
      <c r="N4" s="20"/>
      <c r="O4" s="147">
        <f>O5</f>
        <v>46174</v>
      </c>
      <c r="P4" s="148"/>
      <c r="Q4" s="148"/>
      <c r="R4" s="148"/>
      <c r="S4" s="148"/>
      <c r="T4" s="148"/>
      <c r="U4" s="149"/>
      <c r="V4" s="147">
        <f>V5</f>
        <v>46181</v>
      </c>
      <c r="W4" s="148"/>
      <c r="X4" s="148"/>
      <c r="Y4" s="148"/>
      <c r="Z4" s="148"/>
      <c r="AA4" s="148"/>
      <c r="AB4" s="149"/>
      <c r="AC4" s="147">
        <f>AC5</f>
        <v>46188</v>
      </c>
      <c r="AD4" s="148"/>
      <c r="AE4" s="148"/>
      <c r="AF4" s="148"/>
      <c r="AG4" s="148"/>
      <c r="AH4" s="148"/>
      <c r="AI4" s="149"/>
      <c r="AJ4" s="147">
        <f>AJ5</f>
        <v>46195</v>
      </c>
      <c r="AK4" s="148"/>
      <c r="AL4" s="148"/>
      <c r="AM4" s="148"/>
      <c r="AN4" s="148"/>
      <c r="AO4" s="148"/>
      <c r="AP4" s="149"/>
      <c r="AQ4" s="147">
        <f>AQ5</f>
        <v>46202</v>
      </c>
      <c r="AR4" s="148"/>
      <c r="AS4" s="148"/>
      <c r="AT4" s="148"/>
      <c r="AU4" s="148"/>
      <c r="AV4" s="148"/>
      <c r="AW4" s="149"/>
      <c r="AX4" s="147">
        <f>AX5</f>
        <v>46209</v>
      </c>
      <c r="AY4" s="148"/>
      <c r="AZ4" s="148"/>
      <c r="BA4" s="148"/>
      <c r="BB4" s="148"/>
      <c r="BC4" s="148"/>
      <c r="BD4" s="149"/>
      <c r="BE4" s="147">
        <f>BE5</f>
        <v>46216</v>
      </c>
      <c r="BF4" s="148"/>
      <c r="BG4" s="148"/>
      <c r="BH4" s="148"/>
      <c r="BI4" s="148"/>
      <c r="BJ4" s="148"/>
      <c r="BK4" s="149"/>
      <c r="BL4" s="147">
        <f>BL5</f>
        <v>46223</v>
      </c>
      <c r="BM4" s="148"/>
      <c r="BN4" s="148"/>
      <c r="BO4" s="148"/>
      <c r="BP4" s="148"/>
      <c r="BQ4" s="148"/>
      <c r="BR4" s="150"/>
    </row>
    <row r="5" spans="1:70" ht="15" customHeight="1" x14ac:dyDescent="0.35">
      <c r="A5" s="121" t="s">
        <v>4</v>
      </c>
      <c r="B5" s="128"/>
      <c r="K5"/>
      <c r="O5" s="88">
        <f>Inicio_del_proyecto-WEEKDAY(Inicio_del_proyecto,1)+2+7*(Semana_para_mostrar-1)</f>
        <v>46174</v>
      </c>
      <c r="P5" s="89">
        <f>O5+1</f>
        <v>46175</v>
      </c>
      <c r="Q5" s="89">
        <f t="shared" ref="Q5:BD5" si="0">P5+1</f>
        <v>46176</v>
      </c>
      <c r="R5" s="89">
        <f t="shared" si="0"/>
        <v>46177</v>
      </c>
      <c r="S5" s="89">
        <f t="shared" si="0"/>
        <v>46178</v>
      </c>
      <c r="T5" s="89">
        <f t="shared" si="0"/>
        <v>46179</v>
      </c>
      <c r="U5" s="90">
        <f t="shared" si="0"/>
        <v>46180</v>
      </c>
      <c r="V5" s="88">
        <f>U5+1</f>
        <v>46181</v>
      </c>
      <c r="W5" s="89">
        <f>V5+1</f>
        <v>46182</v>
      </c>
      <c r="X5" s="89">
        <f t="shared" si="0"/>
        <v>46183</v>
      </c>
      <c r="Y5" s="89">
        <f t="shared" si="0"/>
        <v>46184</v>
      </c>
      <c r="Z5" s="89">
        <f t="shared" si="0"/>
        <v>46185</v>
      </c>
      <c r="AA5" s="89">
        <f t="shared" si="0"/>
        <v>46186</v>
      </c>
      <c r="AB5" s="90">
        <f t="shared" si="0"/>
        <v>46187</v>
      </c>
      <c r="AC5" s="88">
        <f>AB5+1</f>
        <v>46188</v>
      </c>
      <c r="AD5" s="89">
        <f>AC5+1</f>
        <v>46189</v>
      </c>
      <c r="AE5" s="89">
        <f t="shared" si="0"/>
        <v>46190</v>
      </c>
      <c r="AF5" s="89">
        <f t="shared" si="0"/>
        <v>46191</v>
      </c>
      <c r="AG5" s="89">
        <f t="shared" si="0"/>
        <v>46192</v>
      </c>
      <c r="AH5" s="89">
        <f t="shared" si="0"/>
        <v>46193</v>
      </c>
      <c r="AI5" s="90">
        <f t="shared" si="0"/>
        <v>46194</v>
      </c>
      <c r="AJ5" s="88">
        <f>AI5+1</f>
        <v>46195</v>
      </c>
      <c r="AK5" s="89">
        <f>AJ5+1</f>
        <v>46196</v>
      </c>
      <c r="AL5" s="89">
        <f t="shared" si="0"/>
        <v>46197</v>
      </c>
      <c r="AM5" s="89">
        <f t="shared" si="0"/>
        <v>46198</v>
      </c>
      <c r="AN5" s="89">
        <f t="shared" si="0"/>
        <v>46199</v>
      </c>
      <c r="AO5" s="89">
        <f t="shared" si="0"/>
        <v>46200</v>
      </c>
      <c r="AP5" s="90">
        <f t="shared" si="0"/>
        <v>46201</v>
      </c>
      <c r="AQ5" s="88">
        <f>AP5+1</f>
        <v>46202</v>
      </c>
      <c r="AR5" s="89">
        <f>AQ5+1</f>
        <v>46203</v>
      </c>
      <c r="AS5" s="89">
        <f t="shared" si="0"/>
        <v>46204</v>
      </c>
      <c r="AT5" s="89">
        <f t="shared" si="0"/>
        <v>46205</v>
      </c>
      <c r="AU5" s="89">
        <f t="shared" si="0"/>
        <v>46206</v>
      </c>
      <c r="AV5" s="89">
        <f t="shared" si="0"/>
        <v>46207</v>
      </c>
      <c r="AW5" s="90">
        <f t="shared" si="0"/>
        <v>46208</v>
      </c>
      <c r="AX5" s="88">
        <f>AW5+1</f>
        <v>46209</v>
      </c>
      <c r="AY5" s="89">
        <f>AX5+1</f>
        <v>46210</v>
      </c>
      <c r="AZ5" s="89">
        <f t="shared" si="0"/>
        <v>46211</v>
      </c>
      <c r="BA5" s="89">
        <f t="shared" si="0"/>
        <v>46212</v>
      </c>
      <c r="BB5" s="89">
        <f t="shared" si="0"/>
        <v>46213</v>
      </c>
      <c r="BC5" s="89">
        <f t="shared" si="0"/>
        <v>46214</v>
      </c>
      <c r="BD5" s="90">
        <f t="shared" si="0"/>
        <v>46215</v>
      </c>
      <c r="BE5" s="88">
        <f t="shared" ref="BE5:BR5" si="1">BD5+1</f>
        <v>46216</v>
      </c>
      <c r="BF5" s="89">
        <f t="shared" si="1"/>
        <v>46217</v>
      </c>
      <c r="BG5" s="89">
        <f t="shared" si="1"/>
        <v>46218</v>
      </c>
      <c r="BH5" s="89">
        <f t="shared" si="1"/>
        <v>46219</v>
      </c>
      <c r="BI5" s="89">
        <f t="shared" si="1"/>
        <v>46220</v>
      </c>
      <c r="BJ5" s="89">
        <f t="shared" si="1"/>
        <v>46221</v>
      </c>
      <c r="BK5" s="90">
        <f t="shared" si="1"/>
        <v>46222</v>
      </c>
      <c r="BL5" s="88">
        <f t="shared" si="1"/>
        <v>46223</v>
      </c>
      <c r="BM5" s="89">
        <f t="shared" si="1"/>
        <v>46224</v>
      </c>
      <c r="BN5" s="89">
        <f t="shared" si="1"/>
        <v>46225</v>
      </c>
      <c r="BO5" s="89">
        <f t="shared" si="1"/>
        <v>46226</v>
      </c>
      <c r="BP5" s="89">
        <f t="shared" si="1"/>
        <v>46227</v>
      </c>
      <c r="BQ5" s="89">
        <f t="shared" si="1"/>
        <v>46228</v>
      </c>
      <c r="BR5" s="19">
        <f t="shared" si="1"/>
        <v>46229</v>
      </c>
    </row>
    <row r="6" spans="1:70" s="133" customFormat="1" ht="30" customHeight="1" thickBot="1" x14ac:dyDescent="0.4">
      <c r="A6" s="132" t="s">
        <v>5</v>
      </c>
      <c r="B6" s="159" t="s">
        <v>99</v>
      </c>
      <c r="C6" s="159" t="s">
        <v>100</v>
      </c>
      <c r="D6" s="159" t="s">
        <v>106</v>
      </c>
      <c r="E6" s="159" t="s">
        <v>105</v>
      </c>
      <c r="F6" s="159" t="s">
        <v>108</v>
      </c>
      <c r="G6" s="159" t="s">
        <v>12</v>
      </c>
      <c r="H6" s="159" t="s">
        <v>87</v>
      </c>
      <c r="I6" s="159" t="s">
        <v>75</v>
      </c>
      <c r="J6" s="159" t="s">
        <v>15</v>
      </c>
      <c r="K6" s="159" t="s">
        <v>16</v>
      </c>
      <c r="L6" s="159" t="s">
        <v>17</v>
      </c>
      <c r="M6" s="39"/>
      <c r="N6" s="51" t="s">
        <v>18</v>
      </c>
      <c r="O6" s="91" t="str">
        <f t="shared" ref="O6:BR6" si="2">LEFT(TEXT(O5,"ddd"),1)</f>
        <v>l</v>
      </c>
      <c r="P6" s="91" t="str">
        <f t="shared" si="2"/>
        <v>m</v>
      </c>
      <c r="Q6" s="91" t="str">
        <f t="shared" si="2"/>
        <v>m</v>
      </c>
      <c r="R6" s="91" t="str">
        <f t="shared" si="2"/>
        <v>j</v>
      </c>
      <c r="S6" s="91" t="str">
        <f t="shared" si="2"/>
        <v>v</v>
      </c>
      <c r="T6" s="91" t="str">
        <f t="shared" si="2"/>
        <v>s</v>
      </c>
      <c r="U6" s="91" t="str">
        <f t="shared" si="2"/>
        <v>d</v>
      </c>
      <c r="V6" s="91" t="str">
        <f t="shared" si="2"/>
        <v>l</v>
      </c>
      <c r="W6" s="91" t="str">
        <f t="shared" si="2"/>
        <v>m</v>
      </c>
      <c r="X6" s="91" t="str">
        <f t="shared" si="2"/>
        <v>m</v>
      </c>
      <c r="Y6" s="91" t="str">
        <f t="shared" si="2"/>
        <v>j</v>
      </c>
      <c r="Z6" s="91" t="str">
        <f t="shared" si="2"/>
        <v>v</v>
      </c>
      <c r="AA6" s="91" t="str">
        <f t="shared" si="2"/>
        <v>s</v>
      </c>
      <c r="AB6" s="91" t="str">
        <f t="shared" si="2"/>
        <v>d</v>
      </c>
      <c r="AC6" s="91" t="str">
        <f t="shared" si="2"/>
        <v>l</v>
      </c>
      <c r="AD6" s="91" t="str">
        <f t="shared" si="2"/>
        <v>m</v>
      </c>
      <c r="AE6" s="91" t="str">
        <f t="shared" si="2"/>
        <v>m</v>
      </c>
      <c r="AF6" s="91" t="str">
        <f t="shared" si="2"/>
        <v>j</v>
      </c>
      <c r="AG6" s="91" t="str">
        <f t="shared" si="2"/>
        <v>v</v>
      </c>
      <c r="AH6" s="91" t="str">
        <f t="shared" si="2"/>
        <v>s</v>
      </c>
      <c r="AI6" s="91" t="str">
        <f t="shared" si="2"/>
        <v>d</v>
      </c>
      <c r="AJ6" s="91" t="str">
        <f t="shared" si="2"/>
        <v>l</v>
      </c>
      <c r="AK6" s="91" t="str">
        <f t="shared" si="2"/>
        <v>m</v>
      </c>
      <c r="AL6" s="91" t="str">
        <f t="shared" si="2"/>
        <v>m</v>
      </c>
      <c r="AM6" s="91" t="str">
        <f t="shared" si="2"/>
        <v>j</v>
      </c>
      <c r="AN6" s="91" t="str">
        <f t="shared" si="2"/>
        <v>v</v>
      </c>
      <c r="AO6" s="91" t="str">
        <f t="shared" si="2"/>
        <v>s</v>
      </c>
      <c r="AP6" s="91" t="str">
        <f t="shared" si="2"/>
        <v>d</v>
      </c>
      <c r="AQ6" s="91" t="str">
        <f t="shared" si="2"/>
        <v>l</v>
      </c>
      <c r="AR6" s="91" t="str">
        <f t="shared" si="2"/>
        <v>m</v>
      </c>
      <c r="AS6" s="91" t="str">
        <f t="shared" si="2"/>
        <v>m</v>
      </c>
      <c r="AT6" s="91" t="str">
        <f t="shared" si="2"/>
        <v>j</v>
      </c>
      <c r="AU6" s="91" t="str">
        <f t="shared" si="2"/>
        <v>v</v>
      </c>
      <c r="AV6" s="91" t="str">
        <f t="shared" si="2"/>
        <v>s</v>
      </c>
      <c r="AW6" s="91" t="str">
        <f t="shared" si="2"/>
        <v>d</v>
      </c>
      <c r="AX6" s="91" t="str">
        <f t="shared" si="2"/>
        <v>l</v>
      </c>
      <c r="AY6" s="91" t="str">
        <f t="shared" si="2"/>
        <v>m</v>
      </c>
      <c r="AZ6" s="91" t="str">
        <f t="shared" si="2"/>
        <v>m</v>
      </c>
      <c r="BA6" s="91" t="str">
        <f t="shared" si="2"/>
        <v>j</v>
      </c>
      <c r="BB6" s="91" t="str">
        <f t="shared" si="2"/>
        <v>v</v>
      </c>
      <c r="BC6" s="91" t="str">
        <f t="shared" si="2"/>
        <v>s</v>
      </c>
      <c r="BD6" s="91" t="str">
        <f t="shared" si="2"/>
        <v>d</v>
      </c>
      <c r="BE6" s="91" t="str">
        <f t="shared" si="2"/>
        <v>l</v>
      </c>
      <c r="BF6" s="91" t="str">
        <f t="shared" si="2"/>
        <v>m</v>
      </c>
      <c r="BG6" s="91" t="str">
        <f t="shared" si="2"/>
        <v>m</v>
      </c>
      <c r="BH6" s="91" t="str">
        <f t="shared" si="2"/>
        <v>j</v>
      </c>
      <c r="BI6" s="91" t="str">
        <f t="shared" si="2"/>
        <v>v</v>
      </c>
      <c r="BJ6" s="91" t="str">
        <f t="shared" si="2"/>
        <v>s</v>
      </c>
      <c r="BK6" s="91" t="str">
        <f t="shared" si="2"/>
        <v>d</v>
      </c>
      <c r="BL6" s="91" t="str">
        <f t="shared" si="2"/>
        <v>l</v>
      </c>
      <c r="BM6" s="91" t="str">
        <f t="shared" si="2"/>
        <v>m</v>
      </c>
      <c r="BN6" s="91" t="str">
        <f t="shared" si="2"/>
        <v>m</v>
      </c>
      <c r="BO6" s="91" t="str">
        <f t="shared" si="2"/>
        <v>j</v>
      </c>
      <c r="BP6" s="91" t="str">
        <f t="shared" si="2"/>
        <v>v</v>
      </c>
      <c r="BQ6" s="91" t="str">
        <f t="shared" si="2"/>
        <v>s</v>
      </c>
      <c r="BR6" s="32" t="str">
        <f t="shared" si="2"/>
        <v>d</v>
      </c>
    </row>
    <row r="7" spans="1:70" ht="25" customHeight="1" x14ac:dyDescent="0.35">
      <c r="A7" s="121" t="s">
        <v>7</v>
      </c>
      <c r="B7" s="128"/>
      <c r="G7" s="52" t="s">
        <v>84</v>
      </c>
      <c r="H7" s="158">
        <v>0.05</v>
      </c>
      <c r="I7" s="161"/>
      <c r="J7" s="54">
        <f>+AVERAGE(J8:J8)</f>
        <v>0.2</v>
      </c>
      <c r="K7" s="55" t="s">
        <v>86</v>
      </c>
      <c r="L7" s="56">
        <f ca="1">TODAY()-MIN(K8)-139</f>
        <v>84</v>
      </c>
      <c r="M7" s="57"/>
      <c r="N7" s="58"/>
      <c r="O7" s="53"/>
      <c r="P7" s="53"/>
      <c r="Q7" s="53"/>
      <c r="R7" s="53"/>
      <c r="S7" s="53"/>
      <c r="T7" s="53"/>
      <c r="U7" s="53"/>
      <c r="V7" s="53"/>
      <c r="W7" s="53"/>
      <c r="X7" s="53"/>
      <c r="Y7" s="53"/>
      <c r="Z7" s="53"/>
      <c r="AA7" s="53"/>
      <c r="AB7" s="53"/>
      <c r="AC7" s="53"/>
      <c r="AD7" s="53"/>
      <c r="AE7" s="53"/>
      <c r="AF7" s="53"/>
      <c r="AG7" s="53"/>
      <c r="AH7" s="53"/>
      <c r="AI7" s="53"/>
      <c r="AJ7" s="53"/>
      <c r="AK7" s="53"/>
      <c r="AL7" s="53"/>
      <c r="AM7" s="53"/>
      <c r="AN7" s="53"/>
      <c r="AO7" s="53"/>
      <c r="AP7" s="53"/>
      <c r="AQ7" s="53"/>
      <c r="AR7" s="53"/>
      <c r="AS7" s="53"/>
      <c r="AT7" s="53"/>
      <c r="AU7" s="53"/>
      <c r="AV7" s="53"/>
      <c r="AW7" s="53"/>
      <c r="AX7" s="53"/>
      <c r="AY7" s="53"/>
      <c r="AZ7" s="53"/>
      <c r="BA7" s="53"/>
      <c r="BB7" s="53"/>
      <c r="BC7" s="53"/>
      <c r="BD7" s="53"/>
      <c r="BE7" s="53"/>
      <c r="BF7" s="53"/>
      <c r="BG7" s="53"/>
      <c r="BH7" s="53"/>
      <c r="BI7" s="53"/>
      <c r="BJ7" s="53"/>
      <c r="BK7" s="53"/>
      <c r="BL7" s="53"/>
      <c r="BM7" s="53"/>
      <c r="BN7" s="53"/>
      <c r="BO7" s="53"/>
      <c r="BP7" s="53"/>
      <c r="BQ7" s="53"/>
      <c r="BR7" s="53"/>
    </row>
    <row r="8" spans="1:70" ht="50" customHeight="1" thickBot="1" x14ac:dyDescent="0.4">
      <c r="A8" s="121" t="s">
        <v>8</v>
      </c>
      <c r="B8" s="128"/>
      <c r="C8" s="131" t="inlineStr">
        <is>
          <t xml:space="preserve">Ok registro global Personas y Móviles (Habilitado/ Inhabilitado/ Dado de baja) + Vencimientos; Próximo: Diagrama (30/6 fecha estimada); Se avanzó con módulo diagrama.</t>
        </is>
      </c>
      <c r="D8" s="134" t="s">
        <v>107</v>
      </c>
      <c r="E8" s="135">
        <v>1</v>
      </c>
      <c r="F8" s="136">
        <v>46203</v>
      </c>
      <c r="G8" s="74" t="s">
        <v>88</v>
      </c>
      <c r="H8" s="151"/>
      <c r="I8" s="163" t="s">
        <v>89</v>
      </c>
      <c r="J8" s="71">
        <v>0.2</v>
      </c>
      <c r="K8" s="65">
        <f>Inicio_del_proyecto</f>
        <v>45958</v>
      </c>
      <c r="L8" s="76">
        <f>IF(F8="",WORKDAY(L7,5),F8)</f>
        <v>46203</v>
      </c>
      <c r="M8" s="66"/>
      <c r="N8" s="67">
        <f t="shared" ref="N8:N59" si="3">IF(OR(ISBLANK(task_start),ISBLANK(task_end)),"",task_end-task_start+1)</f>
        <v>246</v>
      </c>
      <c r="O8" s="64"/>
      <c r="P8" s="23"/>
      <c r="Q8" s="23"/>
      <c r="R8" s="23"/>
      <c r="S8" s="23"/>
      <c r="T8" s="23"/>
      <c r="U8" s="23"/>
      <c r="V8" s="23"/>
      <c r="W8" s="23"/>
      <c r="X8" s="23"/>
      <c r="Y8" s="23"/>
      <c r="Z8" s="23"/>
      <c r="AA8" s="23"/>
      <c r="AB8" s="23"/>
      <c r="AC8" s="23"/>
      <c r="AD8" s="23"/>
      <c r="AE8" s="23"/>
      <c r="AF8" s="23"/>
      <c r="AG8" s="23"/>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3"/>
      <c r="BJ8" s="23"/>
      <c r="BK8" s="23"/>
      <c r="BL8" s="23"/>
      <c r="BM8" s="23"/>
      <c r="BN8" s="23"/>
      <c r="BO8" s="23"/>
      <c r="BP8" s="23"/>
      <c r="BQ8" s="23"/>
      <c r="BR8" s="23"/>
    </row>
    <row r="9" spans="1:70" ht="25" customHeight="1" thickBot="1" x14ac:dyDescent="0.4">
      <c r="A9" s="121" t="s">
        <v>10</v>
      </c>
      <c r="B9" s="128"/>
      <c r="G9" s="59" t="s">
        <v>85</v>
      </c>
      <c r="H9" s="138">
        <v>0.35</v>
      </c>
      <c r="I9" s="162"/>
      <c r="J9" s="60">
        <f>+AVERAGE(J10:J19)</f>
        <v>0.44000000000000006</v>
      </c>
      <c r="K9" s="63" t="str">
        <f>+$K$7</f>
        <v>Días Transcurridos=</v>
      </c>
      <c r="L9" s="56">
        <f ca="1">TODAY()-MIN(K10:K21)-139</f>
        <v>84</v>
      </c>
      <c r="M9" s="62"/>
      <c r="N9" s="69"/>
      <c r="O9" s="53"/>
      <c r="P9" s="53"/>
      <c r="Q9" s="53"/>
      <c r="R9" s="53"/>
      <c r="S9" s="53"/>
      <c r="T9" s="53"/>
      <c r="U9" s="53"/>
      <c r="V9" s="53"/>
      <c r="W9" s="53"/>
      <c r="X9" s="53"/>
      <c r="Y9" s="53"/>
      <c r="Z9" s="53"/>
      <c r="AA9" s="53"/>
      <c r="AB9" s="53"/>
      <c r="AC9" s="53"/>
      <c r="AD9" s="53"/>
      <c r="AE9" s="53"/>
      <c r="AF9" s="53"/>
      <c r="AG9" s="53"/>
      <c r="AH9" s="53"/>
      <c r="AI9" s="53"/>
      <c r="AJ9" s="53"/>
      <c r="AK9" s="53"/>
      <c r="AL9" s="53"/>
      <c r="AM9" s="53"/>
      <c r="AN9" s="53"/>
      <c r="AO9" s="53"/>
      <c r="AP9" s="53"/>
      <c r="AQ9" s="53"/>
      <c r="AR9" s="53"/>
      <c r="AS9" s="53"/>
      <c r="AT9" s="53"/>
      <c r="AU9" s="53"/>
      <c r="AV9" s="53"/>
      <c r="AW9" s="53"/>
      <c r="AX9" s="53"/>
      <c r="AY9" s="53"/>
      <c r="AZ9" s="53"/>
      <c r="BA9" s="53"/>
      <c r="BB9" s="53"/>
      <c r="BC9" s="53"/>
      <c r="BD9" s="53"/>
      <c r="BE9" s="53"/>
      <c r="BF9" s="53"/>
      <c r="BG9" s="53"/>
      <c r="BH9" s="53"/>
      <c r="BI9" s="53"/>
      <c r="BJ9" s="53"/>
      <c r="BK9" s="53"/>
      <c r="BL9" s="53"/>
      <c r="BM9" s="53"/>
      <c r="BN9" s="53"/>
      <c r="BO9" s="53"/>
      <c r="BP9" s="53"/>
      <c r="BQ9" s="53"/>
      <c r="BR9" s="53"/>
    </row>
    <row r="10" spans="1:70" ht="25" customHeight="1" thickBot="1" x14ac:dyDescent="0.4">
      <c r="A10" s="121"/>
      <c r="B10" s="128"/>
      <c r="D10" s="134" t="s">
        <v>135</v>
      </c>
      <c r="E10" s="135">
        <v>1</v>
      </c>
      <c r="F10" s="136">
        <v>46192</v>
      </c>
      <c r="G10" s="70" t="s">
        <v>78</v>
      </c>
      <c r="H10" s="144"/>
      <c r="I10" s="163" t="s">
        <v>36</v>
      </c>
      <c r="J10" s="71">
        <v>1</v>
      </c>
      <c r="K10" s="72">
        <v>45958</v>
      </c>
      <c r="L10" s="76">
        <f t="shared" ref="L10:L21" si="4">IF(F10="",WORKDAY(L9,5),F10)</f>
        <v>46192</v>
      </c>
      <c r="M10" s="73"/>
      <c r="N10" s="48">
        <f t="shared" si="3"/>
        <v>235</v>
      </c>
      <c r="O10" s="64"/>
      <c r="P10" s="23"/>
      <c r="Q10" s="23"/>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c r="BM10" s="23"/>
      <c r="BN10" s="23"/>
      <c r="BO10" s="23"/>
      <c r="BP10" s="23"/>
      <c r="BQ10" s="23"/>
      <c r="BR10" s="23"/>
    </row>
    <row r="11" spans="1:70" ht="25" customHeight="1" thickBot="1" x14ac:dyDescent="0.4">
      <c r="B11" s="137" t="s">
        <v>132</v>
      </c>
      <c r="C11" s="157" t="inlineStr">
        <is>
          <t xml:space="preserve">Reunión con Danna Mar 16/06; dependo de tiempos de Danna. Se avanzó pero falta ya que estamos realizando una automatización linea por linea.</t>
        </is>
      </c>
      <c r="D11" s="134" t="str">
        <f>+$D$10</f>
        <v>Quincenal</v>
      </c>
      <c r="E11" s="135">
        <v>1</v>
      </c>
      <c r="F11" s="136">
        <v>46192</v>
      </c>
      <c r="G11" s="74" t="s">
        <v>133</v>
      </c>
      <c r="H11" s="143"/>
      <c r="I11" s="164" t="s">
        <v>36</v>
      </c>
      <c r="J11" s="75">
        <v>0.75</v>
      </c>
      <c r="K11" s="76">
        <v>45958</v>
      </c>
      <c r="L11" s="76">
        <f t="shared" si="4"/>
        <v>46192</v>
      </c>
      <c r="M11" s="77"/>
      <c r="N11" s="78">
        <f t="shared" si="3"/>
        <v>235</v>
      </c>
      <c r="O11" s="68"/>
      <c r="P11" s="6"/>
      <c r="Q11" s="6"/>
      <c r="R11" s="6"/>
      <c r="S11" s="6"/>
      <c r="T11" s="6"/>
      <c r="U11" s="6"/>
      <c r="V11" s="6"/>
      <c r="W11" s="6"/>
      <c r="X11" s="6"/>
      <c r="Y11" s="6"/>
      <c r="Z11" s="6"/>
      <c r="AA11" s="6"/>
      <c r="AB11" s="6"/>
      <c r="AC11" s="6"/>
      <c r="AD11" s="6"/>
      <c r="AE11" s="6"/>
      <c r="AF11" s="6"/>
      <c r="AG11" s="6"/>
      <c r="AH11" s="6"/>
      <c r="AI11" s="6"/>
      <c r="AJ11" s="6"/>
      <c r="AK11" s="6"/>
      <c r="AL11" s="6"/>
      <c r="AM11" s="6"/>
      <c r="AN11" s="6"/>
      <c r="AO11" s="6"/>
      <c r="AP11" s="6"/>
      <c r="AQ11" s="6"/>
      <c r="AR11" s="6"/>
      <c r="AS11" s="6"/>
      <c r="AT11" s="6"/>
      <c r="AU11" s="6"/>
      <c r="AV11" s="6"/>
      <c r="AW11" s="6"/>
      <c r="AX11" s="6"/>
      <c r="AY11" s="6"/>
      <c r="AZ11" s="6"/>
      <c r="BA11" s="6"/>
      <c r="BB11" s="6"/>
      <c r="BC11" s="6"/>
      <c r="BD11" s="6"/>
      <c r="BE11" s="6"/>
      <c r="BF11" s="6"/>
      <c r="BG11" s="6"/>
      <c r="BH11" s="6"/>
      <c r="BI11" s="6"/>
      <c r="BJ11" s="6"/>
      <c r="BK11" s="6"/>
      <c r="BL11" s="6"/>
      <c r="BM11" s="6"/>
      <c r="BN11" s="6"/>
      <c r="BO11" s="6"/>
      <c r="BP11" s="6"/>
      <c r="BQ11" s="6"/>
      <c r="BR11" s="6"/>
    </row>
    <row r="12" spans="1:70" ht="25" customHeight="1" thickBot="1" x14ac:dyDescent="0.4">
      <c r="B12" s="137"/>
      <c r="C12" s="157"/>
      <c r="D12" s="134" t="str">
        <f t="shared" ref="D12:D21" si="5">+$D$10</f>
        <v>Quincenal</v>
      </c>
      <c r="E12" s="135">
        <v>1</v>
      </c>
      <c r="F12" s="136">
        <v>46192</v>
      </c>
      <c r="G12" s="70" t="s">
        <v>134</v>
      </c>
      <c r="H12" s="144"/>
      <c r="I12" s="163" t="s">
        <v>36</v>
      </c>
      <c r="J12" s="71">
        <v>0.75</v>
      </c>
      <c r="K12" s="72">
        <v>45978</v>
      </c>
      <c r="L12" s="76">
        <f t="shared" si="4"/>
        <v>46192</v>
      </c>
      <c r="M12" s="73"/>
      <c r="N12" s="48">
        <f t="shared" si="3"/>
        <v>215</v>
      </c>
      <c r="O12" s="68"/>
      <c r="P12" s="6"/>
      <c r="Q12" s="6"/>
      <c r="R12" s="6"/>
      <c r="S12" s="6"/>
      <c r="T12" s="6"/>
      <c r="U12" s="6"/>
      <c r="V12" s="6"/>
      <c r="W12" s="6"/>
      <c r="X12" s="6"/>
      <c r="Y12" s="6"/>
      <c r="Z12" s="6"/>
      <c r="AA12" s="6"/>
      <c r="AB12" s="6"/>
      <c r="AC12" s="6"/>
      <c r="AD12" s="6"/>
      <c r="AE12" s="7"/>
      <c r="AF12" s="6"/>
      <c r="AG12" s="6"/>
      <c r="AH12" s="6"/>
      <c r="AI12" s="6"/>
      <c r="AJ12" s="6"/>
      <c r="AK12" s="6"/>
      <c r="AL12" s="6"/>
      <c r="AM12" s="6"/>
      <c r="AN12" s="6"/>
      <c r="AO12" s="6"/>
      <c r="AP12" s="6"/>
      <c r="AQ12" s="6"/>
      <c r="AR12" s="6"/>
      <c r="AS12" s="6"/>
      <c r="AT12" s="6"/>
      <c r="AU12" s="6"/>
      <c r="AV12" s="6"/>
      <c r="AW12" s="6"/>
      <c r="AX12" s="6"/>
      <c r="AY12" s="6"/>
      <c r="AZ12" s="6"/>
      <c r="BA12" s="6"/>
      <c r="BB12" s="6"/>
      <c r="BC12" s="6"/>
      <c r="BD12" s="6"/>
      <c r="BE12" s="6"/>
      <c r="BF12" s="6"/>
      <c r="BG12" s="6"/>
      <c r="BH12" s="6"/>
      <c r="BI12" s="6"/>
      <c r="BJ12" s="6"/>
      <c r="BK12" s="6"/>
      <c r="BL12" s="6"/>
      <c r="BM12" s="6"/>
      <c r="BN12" s="6"/>
      <c r="BO12" s="6"/>
      <c r="BP12" s="6"/>
      <c r="BQ12" s="6"/>
      <c r="BR12" s="6"/>
    </row>
    <row r="13" spans="1:70" ht="25" customHeight="1" thickBot="1" x14ac:dyDescent="0.4">
      <c r="C13" s="131" t="inlineStr">
        <is>
          <t xml:space="preserve">pedir últimos a Carlos Hernández; no llegué</t>
        </is>
      </c>
      <c r="D13" s="134" t="str">
        <f t="shared" si="5"/>
        <v>Quincenal</v>
      </c>
      <c r="E13" s="135">
        <v>1</v>
      </c>
      <c r="F13" s="136">
        <v>46192</v>
      </c>
      <c r="G13" s="74" t="s">
        <v>90</v>
      </c>
      <c r="H13" s="143"/>
      <c r="I13" s="164" t="s">
        <v>36</v>
      </c>
      <c r="J13" s="75">
        <v>0.5</v>
      </c>
      <c r="K13" s="76">
        <v>46345</v>
      </c>
      <c r="L13" s="76">
        <f t="shared" si="4"/>
        <v>46192</v>
      </c>
      <c r="M13" s="77"/>
      <c r="N13" s="78"/>
      <c r="O13" s="68"/>
      <c r="P13" s="6"/>
      <c r="Q13" s="6"/>
      <c r="R13" s="6"/>
      <c r="S13" s="6"/>
      <c r="T13" s="6"/>
      <c r="U13" s="6"/>
      <c r="V13" s="6"/>
      <c r="W13" s="6"/>
      <c r="X13" s="6"/>
      <c r="Y13" s="6"/>
      <c r="Z13" s="6"/>
      <c r="AA13" s="6"/>
      <c r="AB13" s="6"/>
      <c r="AC13" s="6"/>
      <c r="AD13" s="6"/>
      <c r="AE13" s="7"/>
      <c r="AF13" s="6"/>
      <c r="AG13" s="6"/>
      <c r="AH13" s="6"/>
      <c r="AI13" s="6"/>
      <c r="AJ13" s="6"/>
      <c r="AK13" s="6"/>
      <c r="AL13" s="6"/>
      <c r="AM13" s="6"/>
      <c r="AN13" s="6"/>
      <c r="AO13" s="6"/>
      <c r="AP13" s="6"/>
      <c r="AQ13" s="6"/>
      <c r="AR13" s="6"/>
      <c r="AS13" s="6"/>
      <c r="AT13" s="6"/>
      <c r="AU13" s="6"/>
      <c r="AV13" s="6"/>
      <c r="AW13" s="6"/>
      <c r="AX13" s="6"/>
      <c r="AY13" s="6"/>
      <c r="AZ13" s="6"/>
      <c r="BA13" s="6"/>
      <c r="BB13" s="6"/>
      <c r="BC13" s="6"/>
      <c r="BD13" s="6"/>
      <c r="BE13" s="6"/>
      <c r="BF13" s="6"/>
      <c r="BG13" s="6"/>
      <c r="BH13" s="6"/>
      <c r="BI13" s="6"/>
      <c r="BJ13" s="6"/>
      <c r="BK13" s="6"/>
      <c r="BL13" s="6"/>
      <c r="BM13" s="6"/>
      <c r="BN13" s="6"/>
      <c r="BO13" s="6"/>
      <c r="BP13" s="6"/>
      <c r="BQ13" s="6"/>
      <c r="BR13" s="6"/>
    </row>
    <row r="14" spans="1:70" ht="25" customHeight="1" thickBot="1" x14ac:dyDescent="0.4">
      <c r="D14" s="134" t="str">
        <f t="shared" si="5"/>
        <v>Quincenal</v>
      </c>
      <c r="E14" s="135"/>
      <c r="F14" s="136"/>
      <c r="G14" s="70" t="s">
        <v>91</v>
      </c>
      <c r="H14" s="144"/>
      <c r="I14" s="163" t="s">
        <v>36</v>
      </c>
      <c r="J14" s="71">
        <v>0.2</v>
      </c>
      <c r="K14" s="72">
        <v>45959</v>
      </c>
      <c r="L14" s="76">
        <f t="shared" si="4"/>
        <v>46199</v>
      </c>
      <c r="M14" s="73"/>
      <c r="N14" s="48">
        <f t="shared" si="3"/>
        <v>241</v>
      </c>
      <c r="O14" s="68"/>
      <c r="P14" s="6"/>
      <c r="Q14" s="6"/>
      <c r="R14" s="6"/>
      <c r="S14" s="6"/>
      <c r="T14" s="6"/>
      <c r="U14" s="6"/>
      <c r="V14" s="6"/>
      <c r="W14" s="6"/>
      <c r="X14" s="6"/>
      <c r="Y14" s="6"/>
      <c r="Z14" s="6"/>
      <c r="AA14" s="7"/>
      <c r="AB14" s="7"/>
      <c r="AC14" s="6"/>
      <c r="AD14" s="6"/>
      <c r="AE14" s="6"/>
      <c r="AF14" s="6"/>
      <c r="AG14" s="6"/>
      <c r="AH14" s="6"/>
      <c r="AI14" s="6"/>
      <c r="AJ14" s="6"/>
      <c r="AK14" s="6"/>
      <c r="AL14" s="6"/>
      <c r="AM14" s="6"/>
      <c r="AN14" s="6"/>
      <c r="AO14" s="6"/>
      <c r="AP14" s="6"/>
      <c r="AQ14" s="6"/>
      <c r="AR14" s="6"/>
      <c r="AS14" s="6"/>
      <c r="AT14" s="6"/>
      <c r="AU14" s="6"/>
      <c r="AV14" s="6"/>
      <c r="AW14" s="6"/>
      <c r="AX14" s="6"/>
      <c r="AY14" s="6"/>
      <c r="AZ14" s="6"/>
      <c r="BA14" s="6"/>
      <c r="BB14" s="6"/>
      <c r="BC14" s="6"/>
      <c r="BD14" s="6"/>
      <c r="BE14" s="6"/>
      <c r="BF14" s="6"/>
      <c r="BG14" s="6"/>
      <c r="BH14" s="6"/>
      <c r="BI14" s="6"/>
      <c r="BJ14" s="6"/>
      <c r="BK14" s="6"/>
      <c r="BL14" s="6"/>
      <c r="BM14" s="6"/>
      <c r="BN14" s="6"/>
      <c r="BO14" s="6"/>
      <c r="BP14" s="6"/>
      <c r="BQ14" s="6"/>
      <c r="BR14" s="6"/>
    </row>
    <row r="15" spans="1:70" ht="25" customHeight="1" thickBot="1" x14ac:dyDescent="0.4">
      <c r="A15" s="121"/>
      <c r="B15" s="128"/>
      <c r="C15" s="131" t="inlineStr">
        <is>
          <t xml:space="preserve">Avance Nico Sifuentes; sólo pendiente procedimiento.</t>
        </is>
      </c>
      <c r="D15" s="134" t="str">
        <f t="shared" si="5"/>
        <v>Quincenal</v>
      </c>
      <c r="E15" s="135">
        <v>1</v>
      </c>
      <c r="F15" s="136">
        <v>46192</v>
      </c>
      <c r="G15" s="74" t="s">
        <v>110</v>
      </c>
      <c r="H15" s="143"/>
      <c r="I15" s="164" t="s">
        <v>36</v>
      </c>
      <c r="J15" s="75">
        <v>0.95</v>
      </c>
      <c r="K15" s="76">
        <v>45992</v>
      </c>
      <c r="L15" s="76">
        <f t="shared" si="4"/>
        <v>46192</v>
      </c>
      <c r="M15" s="77"/>
      <c r="N15" s="78">
        <f t="shared" si="3"/>
        <v>201</v>
      </c>
      <c r="O15" s="68"/>
      <c r="P15" s="6"/>
      <c r="Q15" s="6"/>
      <c r="R15" s="6"/>
      <c r="S15" s="6"/>
      <c r="T15" s="6"/>
      <c r="U15" s="6"/>
      <c r="V15" s="6"/>
      <c r="W15" s="6"/>
      <c r="X15" s="6"/>
      <c r="Y15" s="6"/>
      <c r="Z15" s="6"/>
      <c r="AA15" s="6"/>
      <c r="AB15" s="6"/>
      <c r="AC15" s="6"/>
      <c r="AD15" s="6"/>
      <c r="AE15" s="6"/>
      <c r="AF15" s="6"/>
      <c r="AG15" s="6"/>
      <c r="AH15" s="6"/>
      <c r="AI15" s="6"/>
      <c r="AJ15" s="6"/>
      <c r="AK15" s="6"/>
      <c r="AL15" s="6"/>
      <c r="AM15" s="6"/>
      <c r="AN15" s="6"/>
      <c r="AO15" s="6"/>
      <c r="AP15" s="6"/>
      <c r="AQ15" s="6"/>
      <c r="AR15" s="6"/>
      <c r="AS15" s="6"/>
      <c r="AT15" s="6"/>
      <c r="AU15" s="6"/>
      <c r="AV15" s="6"/>
      <c r="AW15" s="6"/>
      <c r="AX15" s="6"/>
      <c r="AY15" s="6"/>
      <c r="AZ15" s="6"/>
      <c r="BA15" s="6"/>
      <c r="BB15" s="6"/>
      <c r="BC15" s="6"/>
      <c r="BD15" s="6"/>
      <c r="BE15" s="6"/>
      <c r="BF15" s="6"/>
      <c r="BG15" s="6"/>
      <c r="BH15" s="6"/>
      <c r="BI15" s="6"/>
      <c r="BJ15" s="6"/>
      <c r="BK15" s="6"/>
      <c r="BL15" s="6"/>
      <c r="BM15" s="6"/>
      <c r="BN15" s="6"/>
      <c r="BO15" s="6"/>
      <c r="BP15" s="6"/>
      <c r="BQ15" s="6"/>
      <c r="BR15" s="6"/>
    </row>
    <row r="16" spans="1:70" ht="25" customHeight="1" thickBot="1" x14ac:dyDescent="0.4">
      <c r="A16" s="121"/>
      <c r="B16" s="155" t="s">
        <v>130</v>
      </c>
      <c r="C16" s="155" t="inlineStr">
        <is>
          <t xml:space="preserve">Reunión jue 11/6 - Avance Seba Oliver; sólo pendiente procedimiento.</t>
        </is>
      </c>
      <c r="D16" s="134" t="str">
        <f t="shared" si="5"/>
        <v>Quincenal</v>
      </c>
      <c r="E16" s="135">
        <v>1</v>
      </c>
      <c r="F16" s="136">
        <v>46192</v>
      </c>
      <c r="G16" s="74" t="s">
        <v>109</v>
      </c>
      <c r="H16" s="143"/>
      <c r="I16" s="164" t="s">
        <v>36</v>
      </c>
      <c r="J16" s="75">
        <v>0.65</v>
      </c>
      <c r="K16" s="76">
        <v>45992</v>
      </c>
      <c r="L16" s="76">
        <f t="shared" si="4"/>
        <v>46192</v>
      </c>
      <c r="M16" s="77"/>
      <c r="N16" s="78">
        <f t="shared" si="3"/>
        <v>201</v>
      </c>
      <c r="O16" s="68"/>
      <c r="P16" s="6"/>
      <c r="Q16" s="6"/>
      <c r="R16" s="6"/>
      <c r="S16" s="6"/>
      <c r="T16" s="6"/>
      <c r="U16" s="6"/>
      <c r="V16" s="6"/>
      <c r="W16" s="6"/>
      <c r="X16" s="6"/>
      <c r="Y16" s="6"/>
      <c r="Z16" s="6"/>
      <c r="AA16" s="6"/>
      <c r="AB16" s="6"/>
      <c r="AC16" s="6"/>
      <c r="AD16" s="6"/>
      <c r="AE16" s="6"/>
      <c r="AF16" s="6"/>
      <c r="AG16" s="6"/>
      <c r="AH16" s="6"/>
      <c r="AI16" s="6"/>
      <c r="AJ16" s="6"/>
      <c r="AK16" s="6"/>
      <c r="AL16" s="6"/>
      <c r="AM16" s="6"/>
      <c r="AN16" s="6"/>
      <c r="AO16" s="6"/>
      <c r="AP16" s="6"/>
      <c r="AQ16" s="6"/>
      <c r="AR16" s="6"/>
      <c r="AS16" s="6"/>
      <c r="AT16" s="6"/>
      <c r="AU16" s="6"/>
      <c r="AV16" s="6"/>
      <c r="AW16" s="6"/>
      <c r="AX16" s="6"/>
      <c r="AY16" s="6"/>
      <c r="AZ16" s="6"/>
      <c r="BA16" s="6"/>
      <c r="BB16" s="6"/>
      <c r="BC16" s="6"/>
      <c r="BD16" s="6"/>
      <c r="BE16" s="6"/>
      <c r="BF16" s="6"/>
      <c r="BG16" s="6"/>
      <c r="BH16" s="6"/>
      <c r="BI16" s="6"/>
      <c r="BJ16" s="6"/>
      <c r="BK16" s="6"/>
      <c r="BL16" s="6"/>
      <c r="BM16" s="6"/>
      <c r="BN16" s="6"/>
      <c r="BO16" s="6"/>
      <c r="BP16" s="6"/>
      <c r="BQ16" s="6"/>
      <c r="BR16" s="6"/>
    </row>
    <row r="17" spans="1:70" ht="25" customHeight="1" thickBot="1" x14ac:dyDescent="0.4">
      <c r="A17" s="121"/>
      <c r="B17" s="156"/>
      <c r="C17" s="131" t="s">
        <v>128</v>
      </c>
      <c r="D17" s="134" t="str">
        <f t="shared" si="5"/>
        <v>Quincenal</v>
      </c>
      <c r="E17" s="135"/>
      <c r="F17" s="136"/>
      <c r="G17" s="70" t="s">
        <v>77</v>
      </c>
      <c r="H17" s="144"/>
      <c r="I17" s="163" t="s">
        <v>36</v>
      </c>
      <c r="J17" s="71">
        <v>0</v>
      </c>
      <c r="K17" s="72">
        <f>+L14+1</f>
        <v>46200</v>
      </c>
      <c r="L17" s="76">
        <f>IF(F17="",WORKDAY(MAX(L10:L16),5),F17)</f>
        <v>46206</v>
      </c>
      <c r="M17" s="73"/>
      <c r="N17" s="48">
        <f t="shared" si="3"/>
        <v>7</v>
      </c>
      <c r="O17" s="68"/>
      <c r="P17" s="6"/>
      <c r="Q17" s="6"/>
      <c r="R17" s="6"/>
      <c r="S17" s="6"/>
      <c r="T17" s="6"/>
      <c r="U17" s="6"/>
      <c r="V17" s="6"/>
      <c r="W17" s="6"/>
      <c r="X17" s="6"/>
      <c r="Y17" s="6"/>
      <c r="Z17" s="6"/>
      <c r="AA17" s="6"/>
      <c r="AB17" s="6"/>
      <c r="AC17" s="6"/>
      <c r="AD17" s="6"/>
      <c r="AE17" s="6"/>
      <c r="AF17" s="6"/>
      <c r="AG17" s="6"/>
      <c r="AH17" s="6"/>
      <c r="AI17" s="6"/>
      <c r="AJ17" s="6"/>
      <c r="AK17" s="6"/>
      <c r="AL17" s="6"/>
      <c r="AM17" s="6"/>
      <c r="AN17" s="6"/>
      <c r="AO17" s="6"/>
      <c r="AP17" s="6"/>
      <c r="AQ17" s="6"/>
      <c r="AR17" s="6"/>
      <c r="AS17" s="6"/>
      <c r="AT17" s="6"/>
      <c r="AU17" s="6"/>
      <c r="AV17" s="6"/>
      <c r="AW17" s="6"/>
      <c r="AX17" s="6"/>
      <c r="AY17" s="6"/>
      <c r="AZ17" s="6"/>
      <c r="BA17" s="6"/>
      <c r="BB17" s="6"/>
      <c r="BC17" s="6"/>
      <c r="BD17" s="6"/>
      <c r="BE17" s="6"/>
      <c r="BF17" s="6"/>
      <c r="BG17" s="6"/>
      <c r="BH17" s="6"/>
      <c r="BI17" s="6"/>
      <c r="BJ17" s="6"/>
      <c r="BK17" s="6"/>
      <c r="BL17" s="6"/>
      <c r="BM17" s="6"/>
      <c r="BN17" s="6"/>
      <c r="BO17" s="6"/>
      <c r="BP17" s="6"/>
      <c r="BQ17" s="6"/>
      <c r="BR17" s="6"/>
    </row>
    <row r="18" spans="1:70" ht="25" customHeight="1" thickBot="1" x14ac:dyDescent="0.4">
      <c r="B18" s="156"/>
      <c r="D18" s="134" t="str">
        <f t="shared" si="5"/>
        <v>Quincenal</v>
      </c>
      <c r="E18" s="135"/>
      <c r="F18" s="136"/>
      <c r="G18" s="74" t="s">
        <v>62</v>
      </c>
      <c r="H18" s="143"/>
      <c r="I18" s="164" t="s">
        <v>36</v>
      </c>
      <c r="J18" s="75">
        <v>0</v>
      </c>
      <c r="K18" s="76">
        <f>+L12+1</f>
        <v>46193</v>
      </c>
      <c r="L18" s="76">
        <f>IF(F18="",WORKDAY(MAX(L11:L17),5),F18)</f>
        <v>46213</v>
      </c>
      <c r="M18" s="77"/>
      <c r="N18" s="78">
        <f t="shared" si="3"/>
        <v>21</v>
      </c>
      <c r="O18" s="68"/>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c r="BM18" s="6"/>
      <c r="BN18" s="6"/>
      <c r="BO18" s="6"/>
      <c r="BP18" s="6"/>
      <c r="BQ18" s="6"/>
      <c r="BR18" s="6"/>
    </row>
    <row r="19" spans="1:70" ht="25" customHeight="1" thickBot="1" x14ac:dyDescent="0.4">
      <c r="A19" s="121"/>
      <c r="B19" s="137" t="s">
        <v>129</v>
      </c>
      <c r="C19" s="137" t="inlineStr">
        <is>
          <t xml:space="preserve">mar 9/6 Reunión Torres, Huilen (Equipo IA)  - Definir con Nico Vazquez. En reunión se definió que una vez finalizado el proyecto, el backend, seguridad y deploy lo continúan en IT.</t>
        </is>
      </c>
      <c r="D19" s="134" t="str">
        <f t="shared" si="5"/>
        <v>Quincenal</v>
      </c>
      <c r="E19" s="135">
        <v>1</v>
      </c>
      <c r="F19" s="136">
        <v>46192</v>
      </c>
      <c r="G19" s="70" t="s">
        <v>122</v>
      </c>
      <c r="H19" s="144"/>
      <c r="I19" s="163" t="s">
        <v>36</v>
      </c>
      <c r="J19" s="71">
        <v>1</v>
      </c>
      <c r="K19" s="72">
        <v>46182</v>
      </c>
      <c r="L19" s="76">
        <f>IF(F19="",WORKDAY(MAX(L10:L18),5),F19)</f>
        <v>46192</v>
      </c>
      <c r="M19" s="73"/>
      <c r="N19" s="48">
        <f t="shared" si="3"/>
        <v>11</v>
      </c>
      <c r="O19" s="68"/>
      <c r="P19" s="26"/>
      <c r="Q19" s="26"/>
      <c r="R19" s="26"/>
      <c r="S19" s="26"/>
      <c r="T19" s="26"/>
      <c r="U19" s="26"/>
      <c r="V19" s="26"/>
      <c r="W19" s="26"/>
      <c r="X19" s="26"/>
      <c r="Y19" s="26"/>
      <c r="Z19" s="26"/>
      <c r="AA19" s="26"/>
      <c r="AB19" s="26"/>
      <c r="AC19" s="26"/>
      <c r="AD19" s="26"/>
      <c r="AE19" s="26"/>
      <c r="AF19" s="26"/>
      <c r="AG19" s="26"/>
      <c r="AH19" s="26"/>
      <c r="AI19" s="26"/>
      <c r="AJ19" s="26"/>
      <c r="AK19" s="26"/>
      <c r="AL19" s="26"/>
      <c r="AM19" s="26"/>
      <c r="AN19" s="26"/>
      <c r="AO19" s="26"/>
      <c r="AP19" s="26"/>
      <c r="AQ19" s="26"/>
      <c r="AR19" s="26"/>
      <c r="AS19" s="26"/>
      <c r="AT19" s="26"/>
      <c r="AU19" s="26"/>
      <c r="AV19" s="26"/>
      <c r="AW19" s="26"/>
      <c r="AX19" s="26"/>
      <c r="AY19" s="26"/>
      <c r="AZ19" s="26"/>
      <c r="BA19" s="26"/>
      <c r="BB19" s="26"/>
      <c r="BC19" s="26"/>
      <c r="BD19" s="26"/>
      <c r="BE19" s="26"/>
      <c r="BF19" s="26"/>
      <c r="BG19" s="26"/>
      <c r="BH19" s="26"/>
      <c r="BI19" s="26"/>
      <c r="BJ19" s="26"/>
      <c r="BK19" s="26"/>
      <c r="BL19" s="26"/>
      <c r="BM19" s="26"/>
      <c r="BN19" s="26"/>
      <c r="BO19" s="26"/>
      <c r="BP19" s="26"/>
      <c r="BQ19" s="26"/>
      <c r="BR19" s="26"/>
    </row>
    <row r="20" spans="1:70" ht="25" customHeight="1" thickBot="1" x14ac:dyDescent="0.4">
      <c r="A20" s="121"/>
      <c r="B20" s="137"/>
      <c r="C20" s="137"/>
      <c r="D20" s="134" t="str">
        <f t="shared" si="5"/>
        <v>Quincenal</v>
      </c>
      <c r="E20" s="135"/>
      <c r="F20" s="136"/>
      <c r="G20" s="74" t="s">
        <v>98</v>
      </c>
      <c r="H20" s="143"/>
      <c r="I20" s="164" t="s">
        <v>36</v>
      </c>
      <c r="J20" s="75">
        <v>0</v>
      </c>
      <c r="K20" s="76">
        <f>+L19+1</f>
        <v>46193</v>
      </c>
      <c r="L20" s="76">
        <f>IF(F20="",WORKDAY(MAX(L13:L19),5),F20)</f>
        <v>46220</v>
      </c>
      <c r="M20" s="77"/>
      <c r="N20" s="78">
        <f t="shared" si="3"/>
        <v>28</v>
      </c>
      <c r="O20" s="68"/>
      <c r="P20" s="26"/>
      <c r="Q20" s="26"/>
      <c r="R20" s="26"/>
      <c r="S20" s="26"/>
      <c r="T20" s="26"/>
      <c r="U20" s="26"/>
      <c r="V20" s="26"/>
      <c r="W20" s="26"/>
      <c r="X20" s="26"/>
      <c r="Y20" s="26"/>
      <c r="Z20" s="26"/>
      <c r="AA20" s="26"/>
      <c r="AB20" s="26"/>
      <c r="AC20" s="26"/>
      <c r="AD20" s="26"/>
      <c r="AE20" s="26"/>
      <c r="AF20" s="26"/>
      <c r="AG20" s="26"/>
      <c r="AH20" s="26"/>
      <c r="AI20" s="26"/>
      <c r="AJ20" s="26"/>
      <c r="AK20" s="26"/>
      <c r="AL20" s="26"/>
      <c r="AM20" s="26"/>
      <c r="AN20" s="26"/>
      <c r="AO20" s="26"/>
      <c r="AP20" s="26"/>
      <c r="AQ20" s="26"/>
      <c r="AR20" s="26"/>
      <c r="AS20" s="26"/>
      <c r="AT20" s="26"/>
      <c r="AU20" s="26"/>
      <c r="AV20" s="26"/>
      <c r="AW20" s="26"/>
      <c r="AX20" s="26"/>
      <c r="AY20" s="26"/>
      <c r="AZ20" s="26"/>
      <c r="BA20" s="26"/>
      <c r="BB20" s="26"/>
      <c r="BC20" s="26"/>
      <c r="BD20" s="26"/>
      <c r="BE20" s="26"/>
      <c r="BF20" s="26"/>
      <c r="BG20" s="26"/>
      <c r="BH20" s="26"/>
      <c r="BI20" s="26"/>
      <c r="BJ20" s="26"/>
      <c r="BK20" s="26"/>
      <c r="BL20" s="26"/>
      <c r="BM20" s="26"/>
      <c r="BN20" s="26"/>
      <c r="BO20" s="26"/>
      <c r="BP20" s="26"/>
      <c r="BQ20" s="26"/>
      <c r="BR20" s="26"/>
    </row>
    <row r="21" spans="1:70" ht="25" customHeight="1" thickBot="1" x14ac:dyDescent="0.4">
      <c r="A21" s="121"/>
      <c r="B21" s="137"/>
      <c r="C21" s="137"/>
      <c r="D21" s="134" t="str">
        <f t="shared" si="5"/>
        <v>Quincenal</v>
      </c>
      <c r="E21" s="135"/>
      <c r="F21" s="136"/>
      <c r="G21" s="70" t="s">
        <v>124</v>
      </c>
      <c r="H21" s="146"/>
      <c r="I21" s="163" t="s">
        <v>36</v>
      </c>
      <c r="J21" s="71">
        <v>0</v>
      </c>
      <c r="K21" s="72">
        <f>+L20+1</f>
        <v>46221</v>
      </c>
      <c r="L21" s="76">
        <f>IF(F21="",WORKDAY(MAX(L14:L20),5),F21)</f>
        <v>46227</v>
      </c>
      <c r="M21" s="73"/>
      <c r="N21" s="48">
        <f t="shared" si="3"/>
        <v>7</v>
      </c>
      <c r="O21" s="68"/>
      <c r="P21" s="26"/>
      <c r="Q21" s="26"/>
      <c r="R21" s="26"/>
      <c r="S21" s="26"/>
      <c r="T21" s="26"/>
      <c r="U21" s="26"/>
      <c r="V21" s="26"/>
      <c r="W21" s="26"/>
      <c r="X21" s="26"/>
      <c r="Y21" s="26"/>
      <c r="Z21" s="26"/>
      <c r="AA21" s="26"/>
      <c r="AB21" s="26"/>
      <c r="AC21" s="26"/>
      <c r="AD21" s="26"/>
      <c r="AE21" s="26"/>
      <c r="AF21" s="26"/>
      <c r="AG21" s="26"/>
      <c r="AH21" s="26"/>
      <c r="AI21" s="26"/>
      <c r="AJ21" s="26"/>
      <c r="AK21" s="26"/>
      <c r="AL21" s="26"/>
      <c r="AM21" s="26"/>
      <c r="AN21" s="26"/>
      <c r="AO21" s="26"/>
      <c r="AP21" s="26"/>
      <c r="AQ21" s="26"/>
      <c r="AR21" s="26"/>
      <c r="AS21" s="26"/>
      <c r="AT21" s="26"/>
      <c r="AU21" s="26"/>
      <c r="AV21" s="26"/>
      <c r="AW21" s="26"/>
      <c r="AX21" s="26"/>
      <c r="AY21" s="26"/>
      <c r="AZ21" s="26"/>
      <c r="BA21" s="26"/>
      <c r="BB21" s="26"/>
      <c r="BC21" s="26"/>
      <c r="BD21" s="26"/>
      <c r="BE21" s="26"/>
      <c r="BF21" s="26"/>
      <c r="BG21" s="26"/>
      <c r="BH21" s="26"/>
      <c r="BI21" s="26"/>
      <c r="BJ21" s="26"/>
      <c r="BK21" s="26"/>
      <c r="BL21" s="26"/>
      <c r="BM21" s="26"/>
      <c r="BN21" s="26"/>
      <c r="BO21" s="26"/>
      <c r="BP21" s="26"/>
      <c r="BQ21" s="26"/>
      <c r="BR21" s="26"/>
    </row>
    <row r="22" spans="1:70" ht="25" customHeight="1" thickBot="1" x14ac:dyDescent="0.4">
      <c r="A22" s="14" t="s">
        <v>11</v>
      </c>
      <c r="G22" s="59" t="s">
        <v>136</v>
      </c>
      <c r="H22" s="138">
        <v>0.25</v>
      </c>
      <c r="I22" s="162"/>
      <c r="J22" s="60">
        <f>+AVERAGE(J23:J26)</f>
        <v>0.875</v>
      </c>
      <c r="K22" s="63" t="str">
        <f>+$K$7</f>
        <v>Días Transcurridos=</v>
      </c>
      <c r="L22" s="56">
        <f ca="1">TODAY()-MIN(K23:K26)</f>
        <v>4</v>
      </c>
      <c r="M22" s="62"/>
      <c r="N22" s="69"/>
      <c r="O22" s="53"/>
      <c r="P22" s="53"/>
      <c r="Q22" s="53"/>
      <c r="R22" s="53"/>
      <c r="S22" s="53"/>
      <c r="T22" s="53"/>
      <c r="U22" s="53"/>
      <c r="V22" s="53"/>
      <c r="W22" s="53"/>
      <c r="X22" s="53"/>
      <c r="Y22" s="53"/>
      <c r="Z22" s="53"/>
      <c r="AA22" s="53"/>
      <c r="AB22" s="53"/>
      <c r="AC22" s="53"/>
      <c r="AD22" s="53"/>
      <c r="AE22" s="53"/>
      <c r="AF22" s="53"/>
      <c r="AG22" s="53"/>
      <c r="AH22" s="53"/>
      <c r="AI22" s="53"/>
      <c r="AJ22" s="53"/>
      <c r="AK22" s="53"/>
      <c r="AL22" s="53"/>
      <c r="AM22" s="53"/>
      <c r="AN22" s="53"/>
      <c r="AO22" s="53"/>
      <c r="AP22" s="53"/>
      <c r="AQ22" s="53"/>
      <c r="AR22" s="53"/>
      <c r="AS22" s="53"/>
      <c r="AT22" s="53"/>
      <c r="AU22" s="53"/>
      <c r="AV22" s="53"/>
      <c r="AW22" s="53"/>
      <c r="AX22" s="53"/>
      <c r="AY22" s="53"/>
      <c r="AZ22" s="53"/>
      <c r="BA22" s="53"/>
      <c r="BB22" s="53"/>
      <c r="BC22" s="53"/>
      <c r="BD22" s="53"/>
      <c r="BE22" s="53"/>
      <c r="BF22" s="53"/>
      <c r="BG22" s="53"/>
      <c r="BH22" s="53"/>
      <c r="BI22" s="53"/>
      <c r="BJ22" s="53"/>
      <c r="BK22" s="53"/>
      <c r="BL22" s="53"/>
      <c r="BM22" s="53"/>
      <c r="BN22" s="53"/>
      <c r="BO22" s="53"/>
      <c r="BP22" s="53"/>
      <c r="BQ22" s="53"/>
      <c r="BR22" s="53"/>
    </row>
    <row r="23" spans="1:70" ht="25" customHeight="1" thickBot="1" x14ac:dyDescent="0.4">
      <c r="A23" s="121" t="s">
        <v>9</v>
      </c>
      <c r="B23" s="128"/>
      <c r="D23" s="134" t="s">
        <v>111</v>
      </c>
      <c r="E23" s="135">
        <v>1</v>
      </c>
      <c r="F23" s="136">
        <v>46192</v>
      </c>
      <c r="G23" s="74" t="s">
        <v>120</v>
      </c>
      <c r="H23" s="139"/>
      <c r="I23" s="164" t="s">
        <v>36</v>
      </c>
      <c r="J23" s="75">
        <v>0.9</v>
      </c>
      <c r="K23" s="76">
        <v>46182</v>
      </c>
      <c r="L23" s="76">
        <f>IF(F23="",WORKDAY(L22,5),F23)</f>
        <v>46185</v>
      </c>
      <c r="M23" s="77"/>
      <c r="N23" s="78">
        <f t="shared" si="3"/>
        <v>4</v>
      </c>
      <c r="O23" s="68"/>
      <c r="P23" s="6"/>
      <c r="Q23" s="6"/>
      <c r="R23" s="6"/>
      <c r="S23" s="6"/>
      <c r="T23" s="6"/>
      <c r="U23" s="6"/>
      <c r="V23" s="6"/>
      <c r="W23" s="6"/>
      <c r="X23" s="6"/>
      <c r="Y23" s="6"/>
      <c r="Z23" s="6"/>
      <c r="AA23" s="7"/>
      <c r="AB23" s="7"/>
      <c r="AC23" s="6"/>
      <c r="AD23" s="6"/>
      <c r="AE23" s="6"/>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6"/>
      <c r="BI23" s="6"/>
      <c r="BJ23" s="6"/>
      <c r="BK23" s="6"/>
      <c r="BL23" s="6"/>
      <c r="BM23" s="6"/>
      <c r="BN23" s="6"/>
      <c r="BO23" s="6"/>
      <c r="BP23" s="6"/>
      <c r="BQ23" s="6"/>
      <c r="BR23" s="6"/>
    </row>
    <row r="24" spans="1:70" ht="25" customHeight="1" thickBot="1" x14ac:dyDescent="0.4">
      <c r="A24" s="121" t="s">
        <v>9</v>
      </c>
      <c r="B24" s="128"/>
      <c r="D24" s="134" t="str">
        <f>+$D$23</f>
        <v>Semanal</v>
      </c>
      <c r="E24" s="135">
        <v>1</v>
      </c>
      <c r="F24" s="136">
        <v>46192</v>
      </c>
      <c r="G24" s="74" t="s">
        <v>119</v>
      </c>
      <c r="H24" s="139"/>
      <c r="I24" s="164" t="s">
        <v>36</v>
      </c>
      <c r="J24" s="75">
        <v>0.9</v>
      </c>
      <c r="K24" s="76">
        <v>46177</v>
      </c>
      <c r="L24" s="76">
        <f>IF(F24="",WORKDAY(MAX(L23:L26),5),F24)</f>
        <v>46185</v>
      </c>
      <c r="M24" s="77"/>
      <c r="N24" s="78">
        <f t="shared" si="3"/>
        <v>9</v>
      </c>
      <c r="O24" s="68"/>
      <c r="P24" s="6"/>
      <c r="Q24" s="6"/>
      <c r="R24" s="6"/>
      <c r="S24" s="6"/>
      <c r="T24" s="6"/>
      <c r="U24" s="6"/>
      <c r="V24" s="6"/>
      <c r="W24" s="6"/>
      <c r="X24" s="6"/>
      <c r="Y24" s="6"/>
      <c r="Z24" s="6"/>
      <c r="AA24" s="7"/>
      <c r="AB24" s="7"/>
      <c r="AC24" s="6"/>
      <c r="AD24" s="6"/>
      <c r="AE24" s="6"/>
      <c r="AF24" s="6"/>
      <c r="AG24" s="6"/>
      <c r="AH24" s="6"/>
      <c r="AI24" s="6"/>
      <c r="AJ24" s="6"/>
      <c r="AK24" s="6"/>
      <c r="AL24" s="6"/>
      <c r="AM24" s="6"/>
      <c r="AN24" s="6"/>
      <c r="AO24" s="6"/>
      <c r="AP24" s="6"/>
      <c r="AQ24" s="6"/>
      <c r="AR24" s="6"/>
      <c r="AS24" s="6"/>
      <c r="AT24" s="6"/>
      <c r="AU24" s="6"/>
      <c r="AV24" s="6"/>
      <c r="AW24" s="6"/>
      <c r="AX24" s="6"/>
      <c r="AY24" s="6"/>
      <c r="AZ24" s="6"/>
      <c r="BA24" s="6"/>
      <c r="BB24" s="6"/>
      <c r="BC24" s="6"/>
      <c r="BD24" s="6"/>
      <c r="BE24" s="6"/>
      <c r="BF24" s="6"/>
      <c r="BG24" s="6"/>
      <c r="BH24" s="6"/>
      <c r="BI24" s="6"/>
      <c r="BJ24" s="6"/>
      <c r="BK24" s="6"/>
      <c r="BL24" s="6"/>
      <c r="BM24" s="6"/>
      <c r="BN24" s="6"/>
      <c r="BO24" s="6"/>
      <c r="BP24" s="6"/>
      <c r="BQ24" s="6"/>
      <c r="BR24" s="6"/>
    </row>
    <row r="25" spans="1:70" ht="25" customHeight="1" thickBot="1" x14ac:dyDescent="0.4">
      <c r="A25" s="121" t="s">
        <v>9</v>
      </c>
      <c r="B25" s="128"/>
      <c r="D25" s="134" t="str">
        <f>+$D$23</f>
        <v>Semanal</v>
      </c>
      <c r="E25" s="135">
        <v>1</v>
      </c>
      <c r="F25" s="136">
        <v>46188</v>
      </c>
      <c r="G25" s="74" t="s">
        <v>121</v>
      </c>
      <c r="H25" s="139"/>
      <c r="I25" s="164" t="s">
        <v>36</v>
      </c>
      <c r="J25" s="75">
        <v>0.9</v>
      </c>
      <c r="K25" s="76">
        <v>46177</v>
      </c>
      <c r="L25" s="76">
        <f>IF(F25="",WORKDAY(MAX($L$23:$L$26),5),F25)</f>
        <v>46185</v>
      </c>
      <c r="M25" s="77"/>
      <c r="N25" s="78">
        <f t="shared" si="3"/>
        <v>9</v>
      </c>
      <c r="O25" s="68"/>
      <c r="P25" s="6"/>
      <c r="Q25" s="6"/>
      <c r="R25" s="6"/>
      <c r="S25" s="6"/>
      <c r="T25" s="6"/>
      <c r="U25" s="6"/>
      <c r="V25" s="6"/>
      <c r="W25" s="6"/>
      <c r="X25" s="6"/>
      <c r="Y25" s="6"/>
      <c r="Z25" s="6"/>
      <c r="AA25" s="7"/>
      <c r="AB25" s="7"/>
      <c r="AC25" s="6"/>
      <c r="AD25" s="6"/>
      <c r="AE25" s="6"/>
      <c r="AF25" s="6"/>
      <c r="AG25" s="6"/>
      <c r="AH25" s="6"/>
      <c r="AI25" s="6"/>
      <c r="AJ25" s="6"/>
      <c r="AK25" s="6"/>
      <c r="AL25" s="6"/>
      <c r="AM25" s="6"/>
      <c r="AN25" s="6"/>
      <c r="AO25" s="6"/>
      <c r="AP25" s="6"/>
      <c r="AQ25" s="6"/>
      <c r="AR25" s="6"/>
      <c r="AS25" s="6"/>
      <c r="AT25" s="6"/>
      <c r="AU25" s="6"/>
      <c r="AV25" s="6"/>
      <c r="AW25" s="6"/>
      <c r="AX25" s="6"/>
      <c r="AY25" s="6"/>
      <c r="AZ25" s="6"/>
      <c r="BA25" s="6"/>
      <c r="BB25" s="6"/>
      <c r="BC25" s="6"/>
      <c r="BD25" s="6"/>
      <c r="BE25" s="6"/>
      <c r="BF25" s="6"/>
      <c r="BG25" s="6"/>
      <c r="BH25" s="6"/>
      <c r="BI25" s="6"/>
      <c r="BJ25" s="6"/>
      <c r="BK25" s="6"/>
      <c r="BL25" s="6"/>
      <c r="BM25" s="6"/>
      <c r="BN25" s="6"/>
      <c r="BO25" s="6"/>
      <c r="BP25" s="6"/>
      <c r="BQ25" s="6"/>
      <c r="BR25" s="6"/>
    </row>
    <row r="26" spans="1:70" ht="25" customHeight="1" thickBot="1" x14ac:dyDescent="0.4">
      <c r="A26" s="121" t="s">
        <v>9</v>
      </c>
      <c r="B26" s="128"/>
      <c r="D26" s="134"/>
      <c r="E26" s="135"/>
      <c r="F26" s="136"/>
      <c r="G26" s="74" t="s">
        <v>142</v>
      </c>
      <c r="H26" s="139"/>
      <c r="I26" s="164" t="s">
        <v>36</v>
      </c>
      <c r="J26" s="75">
        <v>0.8</v>
      </c>
      <c r="K26" s="76">
        <v>46188</v>
      </c>
      <c r="L26" s="76">
        <f>IF(F26="",WORKDAY(MAX($L$23:$L$25),5),F26)</f>
        <v>46192</v>
      </c>
      <c r="M26" s="77"/>
      <c r="N26" s="78">
        <f t="shared" si="3"/>
        <v>8</v>
      </c>
      <c r="O26" s="68"/>
      <c r="P26" s="6"/>
      <c r="Q26" s="6"/>
      <c r="R26" s="6"/>
      <c r="S26" s="6"/>
      <c r="T26" s="6"/>
      <c r="U26" s="6"/>
      <c r="V26" s="6"/>
      <c r="W26" s="6"/>
      <c r="X26" s="6"/>
      <c r="Y26" s="6"/>
      <c r="Z26" s="6"/>
      <c r="AA26" s="7"/>
      <c r="AB26" s="7"/>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c r="BM26" s="6"/>
      <c r="BN26" s="6"/>
      <c r="BO26" s="6"/>
      <c r="BP26" s="6"/>
      <c r="BQ26" s="6"/>
      <c r="BR26" s="6"/>
    </row>
    <row r="27" spans="1:70" ht="25" customHeight="1" thickBot="1" x14ac:dyDescent="0.4">
      <c r="A27" s="14" t="s">
        <v>11</v>
      </c>
      <c r="G27" s="59" t="s">
        <v>137</v>
      </c>
      <c r="H27" s="139"/>
      <c r="I27" s="162"/>
      <c r="J27" s="60">
        <f>+AVERAGE(J39:J53)</f>
        <v>0.37575757575757573</v>
      </c>
      <c r="K27" s="63" t="str">
        <f>+$K$7</f>
        <v>Días Transcurridos=</v>
      </c>
      <c r="L27" s="56">
        <f ca="1">TODAY()-MIN(K28:K35)-139</f>
        <v>50</v>
      </c>
      <c r="M27" s="62"/>
      <c r="N27" s="69"/>
      <c r="O27" s="53"/>
      <c r="P27" s="53"/>
      <c r="Q27" s="53"/>
      <c r="R27" s="53"/>
      <c r="S27" s="53"/>
      <c r="T27" s="53"/>
      <c r="U27" s="53"/>
      <c r="V27" s="53"/>
      <c r="W27" s="53"/>
      <c r="X27" s="53"/>
      <c r="Y27" s="53"/>
      <c r="Z27" s="53"/>
      <c r="AA27" s="53"/>
      <c r="AB27" s="53"/>
      <c r="AC27" s="53"/>
      <c r="AD27" s="53"/>
      <c r="AE27" s="53"/>
      <c r="AF27" s="53"/>
      <c r="AG27" s="53"/>
      <c r="AH27" s="53"/>
      <c r="AI27" s="53"/>
      <c r="AJ27" s="53"/>
      <c r="AK27" s="53"/>
      <c r="AL27" s="53"/>
      <c r="AM27" s="53"/>
      <c r="AN27" s="53"/>
      <c r="AO27" s="53"/>
      <c r="AP27" s="53"/>
      <c r="AQ27" s="53"/>
      <c r="AR27" s="53"/>
      <c r="AS27" s="53"/>
      <c r="AT27" s="53"/>
      <c r="AU27" s="53"/>
      <c r="AV27" s="53"/>
      <c r="AW27" s="53"/>
      <c r="AX27" s="53"/>
      <c r="AY27" s="53"/>
      <c r="AZ27" s="53"/>
      <c r="BA27" s="53"/>
      <c r="BB27" s="53"/>
      <c r="BC27" s="53"/>
      <c r="BD27" s="53"/>
      <c r="BE27" s="53"/>
      <c r="BF27" s="53"/>
      <c r="BG27" s="53"/>
      <c r="BH27" s="53"/>
      <c r="BI27" s="53"/>
      <c r="BJ27" s="53"/>
      <c r="BK27" s="53"/>
      <c r="BL27" s="53"/>
      <c r="BM27" s="53"/>
      <c r="BN27" s="53"/>
      <c r="BO27" s="53"/>
      <c r="BP27" s="53"/>
      <c r="BQ27" s="53"/>
      <c r="BR27" s="53"/>
    </row>
    <row r="28" spans="1:70" ht="25" customHeight="1" thickBot="1" x14ac:dyDescent="0.4">
      <c r="A28" s="121" t="s">
        <v>9</v>
      </c>
      <c r="B28" s="128"/>
      <c r="D28" s="134" t="s">
        <v>111</v>
      </c>
      <c r="E28" s="135">
        <v>1</v>
      </c>
      <c r="F28" s="136">
        <v>46188</v>
      </c>
      <c r="G28" s="74" t="s">
        <v>114</v>
      </c>
      <c r="H28" s="139"/>
      <c r="I28" s="164" t="s">
        <v>36</v>
      </c>
      <c r="J28" s="75">
        <v>0.9</v>
      </c>
      <c r="K28" s="76">
        <v>46181</v>
      </c>
      <c r="L28" s="76">
        <f t="shared" ref="L28:L33" si="6">IF(F28="",WORKDAY(L27,5),F28)</f>
        <v>46185</v>
      </c>
      <c r="M28" s="77"/>
      <c r="N28" s="78">
        <f t="shared" si="3"/>
        <v>5</v>
      </c>
      <c r="O28" s="68"/>
      <c r="P28" s="6"/>
      <c r="Q28" s="6"/>
      <c r="R28" s="6"/>
      <c r="S28" s="6"/>
      <c r="T28" s="6"/>
      <c r="U28" s="6"/>
      <c r="V28" s="6"/>
      <c r="W28" s="6"/>
      <c r="X28" s="6"/>
      <c r="Y28" s="6"/>
      <c r="Z28" s="6"/>
      <c r="AA28" s="7"/>
      <c r="AB28" s="7"/>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c r="BM28" s="6"/>
      <c r="BN28" s="6"/>
      <c r="BO28" s="6"/>
      <c r="BP28" s="6"/>
      <c r="BQ28" s="6"/>
      <c r="BR28" s="6"/>
    </row>
    <row r="29" spans="1:70" ht="25" customHeight="1" thickBot="1" x14ac:dyDescent="0.4">
      <c r="A29" s="121" t="s">
        <v>9</v>
      </c>
      <c r="B29" s="128"/>
      <c r="D29" s="134" t="str">
        <f>+$D$28</f>
        <v>Semanal</v>
      </c>
      <c r="E29" s="135">
        <v>1</v>
      </c>
      <c r="F29" s="136">
        <v>46188</v>
      </c>
      <c r="G29" s="74" t="s">
        <v>141</v>
      </c>
      <c r="H29" s="139"/>
      <c r="I29" s="164" t="s">
        <v>36</v>
      </c>
      <c r="J29" s="75">
        <v>0.9</v>
      </c>
      <c r="K29" s="76">
        <v>45992</v>
      </c>
      <c r="L29" s="76">
        <f t="shared" si="6"/>
        <v>46185</v>
      </c>
      <c r="M29" s="77"/>
      <c r="N29" s="78">
        <f t="shared" si="3"/>
        <v>194</v>
      </c>
      <c r="O29" s="68"/>
      <c r="P29" s="6"/>
      <c r="Q29" s="6"/>
      <c r="R29" s="6"/>
      <c r="S29" s="6"/>
      <c r="T29" s="6"/>
      <c r="U29" s="6"/>
      <c r="V29" s="6"/>
      <c r="W29" s="6"/>
      <c r="X29" s="6"/>
      <c r="Y29" s="6"/>
      <c r="Z29" s="6"/>
      <c r="AA29" s="7"/>
      <c r="AB29" s="7"/>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c r="BM29" s="6"/>
      <c r="BN29" s="6"/>
      <c r="BO29" s="6"/>
      <c r="BP29" s="6"/>
      <c r="BQ29" s="6"/>
      <c r="BR29" s="6"/>
    </row>
    <row r="30" spans="1:70" ht="25" customHeight="1" thickBot="1" x14ac:dyDescent="0.4">
      <c r="A30" s="121" t="s">
        <v>9</v>
      </c>
      <c r="B30" s="128"/>
      <c r="D30" s="134" t="str">
        <f t="shared" ref="D30:D35" si="7">+$D$28</f>
        <v>Semanal</v>
      </c>
      <c r="E30" s="135">
        <v>1</v>
      </c>
      <c r="F30" s="136">
        <v>46188</v>
      </c>
      <c r="G30" s="74" t="s">
        <v>140</v>
      </c>
      <c r="H30" s="139"/>
      <c r="I30" s="164" t="s">
        <v>36</v>
      </c>
      <c r="J30" s="75">
        <v>0.9</v>
      </c>
      <c r="K30" s="76">
        <v>45992</v>
      </c>
      <c r="L30" s="76">
        <f t="shared" si="6"/>
        <v>46185</v>
      </c>
      <c r="M30" s="77"/>
      <c r="N30" s="78">
        <f t="shared" si="3"/>
        <v>194</v>
      </c>
      <c r="O30" s="68"/>
      <c r="P30" s="6"/>
      <c r="Q30" s="6"/>
      <c r="R30" s="6"/>
      <c r="S30" s="6"/>
      <c r="T30" s="6"/>
      <c r="U30" s="6"/>
      <c r="V30" s="6"/>
      <c r="W30" s="6"/>
      <c r="X30" s="6"/>
      <c r="Y30" s="6"/>
      <c r="Z30" s="6"/>
      <c r="AA30" s="7"/>
      <c r="AB30" s="7"/>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c r="BM30" s="6"/>
      <c r="BN30" s="6"/>
      <c r="BO30" s="6"/>
      <c r="BP30" s="6"/>
      <c r="BQ30" s="6"/>
      <c r="BR30" s="6"/>
    </row>
    <row r="31" spans="1:70" ht="25" customHeight="1" thickBot="1" x14ac:dyDescent="0.4">
      <c r="A31" s="121" t="s">
        <v>9</v>
      </c>
      <c r="B31" s="128"/>
      <c r="D31" s="134" t="str">
        <f t="shared" si="7"/>
        <v>Semanal</v>
      </c>
      <c r="E31" s="135">
        <v>1</v>
      </c>
      <c r="F31" s="136">
        <v>46188</v>
      </c>
      <c r="G31" s="74" t="s">
        <v>125</v>
      </c>
      <c r="H31" s="139"/>
      <c r="I31" s="164" t="s">
        <v>36</v>
      </c>
      <c r="J31" s="75">
        <v>0.9</v>
      </c>
      <c r="K31" s="76">
        <v>46023</v>
      </c>
      <c r="L31" s="76">
        <f>IF(F31="",WORKDAY(L30,5),F31)</f>
        <v>46185</v>
      </c>
      <c r="M31" s="77"/>
      <c r="N31" s="78">
        <f t="shared" si="3"/>
        <v>163</v>
      </c>
      <c r="O31" s="68"/>
      <c r="P31" s="6"/>
      <c r="Q31" s="6"/>
      <c r="R31" s="6"/>
      <c r="S31" s="6"/>
      <c r="T31" s="6"/>
      <c r="U31" s="6"/>
      <c r="V31" s="6"/>
      <c r="W31" s="6"/>
      <c r="X31" s="6"/>
      <c r="Y31" s="6"/>
      <c r="Z31" s="6"/>
      <c r="AA31" s="7"/>
      <c r="AB31" s="7"/>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c r="BM31" s="6"/>
      <c r="BN31" s="6"/>
      <c r="BO31" s="6"/>
      <c r="BP31" s="6"/>
      <c r="BQ31" s="6"/>
      <c r="BR31" s="6"/>
    </row>
    <row r="32" spans="1:70" ht="25" customHeight="1" thickBot="1" x14ac:dyDescent="0.4">
      <c r="D32" s="134" t="str">
        <f t="shared" si="7"/>
        <v>Semanal</v>
      </c>
      <c r="E32" s="135"/>
      <c r="F32" s="136"/>
      <c r="G32" s="70" t="s">
        <v>144</v>
      </c>
      <c r="H32" s="139"/>
      <c r="I32" s="163" t="s">
        <v>36</v>
      </c>
      <c r="J32" s="71">
        <v>0.6</v>
      </c>
      <c r="K32" s="72">
        <v>46188</v>
      </c>
      <c r="L32" s="76">
        <f>IF(F32="",WORKDAY(L30,5),F32)</f>
        <v>46192</v>
      </c>
      <c r="M32" s="73"/>
      <c r="N32" s="48">
        <f t="shared" si="3"/>
        <v>5</v>
      </c>
      <c r="O32" s="68"/>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c r="BM32" s="6"/>
      <c r="BN32" s="6"/>
      <c r="BO32" s="6"/>
      <c r="BP32" s="6"/>
      <c r="BQ32" s="6"/>
      <c r="BR32" s="6"/>
    </row>
    <row r="33" spans="1:70" ht="25" customHeight="1" thickBot="1" x14ac:dyDescent="0.4">
      <c r="D33" s="134" t="str">
        <f t="shared" si="7"/>
        <v>Semanal</v>
      </c>
      <c r="E33" s="135"/>
      <c r="F33" s="136"/>
      <c r="G33" s="74" t="s">
        <v>143</v>
      </c>
      <c r="H33" s="139"/>
      <c r="I33" s="164" t="s">
        <v>36</v>
      </c>
      <c r="J33" s="75">
        <v>0.6</v>
      </c>
      <c r="K33" s="72">
        <v>46192</v>
      </c>
      <c r="L33" s="76">
        <f t="shared" si="6"/>
        <v>46199</v>
      </c>
      <c r="M33" s="77"/>
      <c r="N33" s="78">
        <f t="shared" si="3"/>
        <v>8</v>
      </c>
      <c r="O33" s="68"/>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c r="BM33" s="6"/>
      <c r="BN33" s="6"/>
      <c r="BO33" s="6"/>
      <c r="BP33" s="6"/>
      <c r="BQ33" s="6"/>
      <c r="BR33" s="6"/>
    </row>
    <row r="34" spans="1:70" ht="25" customHeight="1" thickBot="1" x14ac:dyDescent="0.4">
      <c r="D34" s="134" t="str">
        <f t="shared" si="7"/>
        <v>Semanal</v>
      </c>
      <c r="E34" s="135"/>
      <c r="F34" s="136"/>
      <c r="G34" s="70" t="s">
        <v>127</v>
      </c>
      <c r="H34" s="139"/>
      <c r="I34" s="163" t="s">
        <v>36</v>
      </c>
      <c r="J34" s="71">
        <v>0.5</v>
      </c>
      <c r="K34" s="72">
        <v>46188</v>
      </c>
      <c r="L34" s="76">
        <f>IF(F34="",WORKDAY(L32,5),F34)</f>
        <v>46199</v>
      </c>
      <c r="M34" s="73"/>
      <c r="N34" s="48">
        <f t="shared" si="3"/>
        <v>12</v>
      </c>
      <c r="O34" s="68"/>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c r="BM34" s="6"/>
      <c r="BN34" s="6"/>
      <c r="BO34" s="6"/>
      <c r="BP34" s="6"/>
      <c r="BQ34" s="6"/>
      <c r="BR34" s="6"/>
    </row>
    <row r="35" spans="1:70" ht="25" customHeight="1" thickBot="1" x14ac:dyDescent="0.4">
      <c r="D35" s="134" t="str">
        <f t="shared" si="7"/>
        <v>Semanal</v>
      </c>
      <c r="E35" s="135"/>
      <c r="F35" s="136"/>
      <c r="G35" s="70" t="s">
        <v>126</v>
      </c>
      <c r="H35" s="139"/>
      <c r="I35" s="163" t="s">
        <v>36</v>
      </c>
      <c r="J35" s="71">
        <v>0.5</v>
      </c>
      <c r="K35" s="72">
        <v>46192</v>
      </c>
      <c r="L35" s="76">
        <f>IF(F35="",WORKDAY(L33,5),F35)</f>
        <v>46206</v>
      </c>
      <c r="M35" s="73"/>
      <c r="N35" s="48">
        <f t="shared" si="3"/>
        <v>15</v>
      </c>
      <c r="O35" s="68"/>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c r="BM35" s="6"/>
      <c r="BN35" s="6"/>
      <c r="BO35" s="6"/>
      <c r="BP35" s="6"/>
      <c r="BQ35" s="6"/>
      <c r="BR35" s="6"/>
    </row>
    <row r="36" spans="1:70" ht="25" customHeight="1" thickBot="1" x14ac:dyDescent="0.4">
      <c r="A36" s="14" t="s">
        <v>11</v>
      </c>
      <c r="G36" s="59" t="s">
        <v>115</v>
      </c>
      <c r="H36" s="139"/>
      <c r="I36" s="162"/>
      <c r="J36" s="60">
        <f>+AVERAGE(J46:J60)</f>
        <v>0.16666666666666669</v>
      </c>
      <c r="K36" s="63" t="str">
        <f>+$K$7</f>
        <v>Días Transcurridos=</v>
      </c>
      <c r="L36" s="61">
        <f ca="1">+TODAY()-MIN($K$37:$K$47)-139</f>
        <v>50</v>
      </c>
      <c r="M36" s="62"/>
      <c r="N36" s="69"/>
      <c r="O36" s="53"/>
      <c r="P36" s="53"/>
      <c r="Q36" s="53"/>
      <c r="R36" s="53"/>
      <c r="S36" s="53"/>
      <c r="T36" s="53"/>
      <c r="U36" s="53"/>
      <c r="V36" s="53"/>
      <c r="W36" s="53"/>
      <c r="X36" s="53"/>
      <c r="Y36" s="53"/>
      <c r="Z36" s="53"/>
      <c r="AA36" s="53"/>
      <c r="AB36" s="53"/>
      <c r="AC36" s="53"/>
      <c r="AD36" s="53"/>
      <c r="AE36" s="53"/>
      <c r="AF36" s="53"/>
      <c r="AG36" s="53"/>
      <c r="AH36" s="53"/>
      <c r="AI36" s="53"/>
      <c r="AJ36" s="53"/>
      <c r="AK36" s="53"/>
      <c r="AL36" s="53"/>
      <c r="AM36" s="53"/>
      <c r="AN36" s="53"/>
      <c r="AO36" s="53"/>
      <c r="AP36" s="53"/>
      <c r="AQ36" s="53"/>
      <c r="AR36" s="53"/>
      <c r="AS36" s="53"/>
      <c r="AT36" s="53"/>
      <c r="AU36" s="53"/>
      <c r="AV36" s="53"/>
      <c r="AW36" s="53"/>
      <c r="AX36" s="53"/>
      <c r="AY36" s="53"/>
      <c r="AZ36" s="53"/>
      <c r="BA36" s="53"/>
      <c r="BB36" s="53"/>
      <c r="BC36" s="53"/>
      <c r="BD36" s="53"/>
      <c r="BE36" s="53"/>
      <c r="BF36" s="53"/>
      <c r="BG36" s="53"/>
      <c r="BH36" s="53"/>
      <c r="BI36" s="53"/>
      <c r="BJ36" s="53"/>
      <c r="BK36" s="53"/>
      <c r="BL36" s="53"/>
      <c r="BM36" s="53"/>
      <c r="BN36" s="53"/>
      <c r="BO36" s="53"/>
      <c r="BP36" s="53"/>
      <c r="BQ36" s="53"/>
      <c r="BR36" s="53"/>
    </row>
    <row r="37" spans="1:70" ht="25" customHeight="1" thickBot="1" x14ac:dyDescent="0.4">
      <c r="C37" s="131" t="inlineStr">
        <is>
          <t xml:space="preserve">No llegué por nuevas solicitudes: Tablero Forecast + Reuniones por tarifas YPF + Contratos SF</t>
        </is>
      </c>
      <c r="D37" s="134" t="s">
        <v>111</v>
      </c>
      <c r="E37" s="135">
        <v>1</v>
      </c>
      <c r="F37" s="136">
        <v>46188</v>
      </c>
      <c r="G37" s="168" t="s">
        <v>116</v>
      </c>
      <c r="H37" s="140"/>
      <c r="I37" s="163" t="s">
        <v>36</v>
      </c>
      <c r="J37" s="71">
        <v>0.2</v>
      </c>
      <c r="K37" s="72">
        <v>45992</v>
      </c>
      <c r="L37" s="76">
        <f>IF(F37="",WORKDAY(L36,5),F37)</f>
        <v>46185</v>
      </c>
      <c r="M37" s="73"/>
      <c r="N37" s="48">
        <f t="shared" si="3"/>
        <v>194</v>
      </c>
      <c r="O37" s="64"/>
      <c r="P37" s="23"/>
      <c r="Q37" s="23"/>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c r="AY37" s="23"/>
      <c r="AZ37" s="23"/>
      <c r="BA37" s="23"/>
      <c r="BB37" s="23"/>
      <c r="BC37" s="23"/>
      <c r="BD37" s="23"/>
      <c r="BE37" s="23"/>
      <c r="BF37" s="23"/>
      <c r="BG37" s="23"/>
      <c r="BH37" s="23"/>
      <c r="BI37" s="23"/>
      <c r="BJ37" s="23"/>
      <c r="BK37" s="23"/>
      <c r="BL37" s="23"/>
      <c r="BM37" s="23"/>
      <c r="BN37" s="23"/>
      <c r="BO37" s="23"/>
      <c r="BP37" s="23"/>
      <c r="BQ37" s="23"/>
      <c r="BR37" s="23"/>
    </row>
    <row r="38" spans="1:70" ht="25" customHeight="1" thickBot="1" x14ac:dyDescent="0.4">
      <c r="A38" s="121" t="s">
        <v>9</v>
      </c>
      <c r="B38" s="128"/>
      <c r="D38" s="134" t="str">
        <f>+$D$37</f>
        <v>Semanal</v>
      </c>
      <c r="E38" s="135">
        <v>1</v>
      </c>
      <c r="F38" s="136">
        <v>46188</v>
      </c>
      <c r="G38" s="168" t="s">
        <v>112</v>
      </c>
      <c r="H38" s="141"/>
      <c r="I38" s="164" t="s">
        <v>36</v>
      </c>
      <c r="J38" s="75">
        <v>0.9</v>
      </c>
      <c r="K38" s="76">
        <v>46023</v>
      </c>
      <c r="L38" s="76">
        <f>IF(F38="",WORKDAY(L37,5),F38)</f>
        <v>46185</v>
      </c>
      <c r="M38" s="77"/>
      <c r="N38" s="78">
        <f t="shared" si="3"/>
        <v>163</v>
      </c>
      <c r="O38" s="68"/>
      <c r="P38" s="6"/>
      <c r="Q38" s="6"/>
      <c r="R38" s="6"/>
      <c r="S38" s="6"/>
      <c r="T38" s="6"/>
      <c r="U38" s="6"/>
      <c r="V38" s="6"/>
      <c r="W38" s="6"/>
      <c r="X38" s="6"/>
      <c r="Y38" s="6"/>
      <c r="Z38" s="6"/>
      <c r="AA38" s="7"/>
      <c r="AB38" s="7"/>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c r="BM38" s="6"/>
      <c r="BN38" s="6"/>
      <c r="BO38" s="6"/>
      <c r="BP38" s="6"/>
      <c r="BQ38" s="6"/>
      <c r="BR38" s="6"/>
    </row>
    <row r="39" spans="1:70" ht="25" customHeight="1" thickBot="1" x14ac:dyDescent="0.4">
      <c r="D39" s="134" t="str">
        <f t="shared" ref="D39:D47" si="8">+$D$37</f>
        <v>Semanal</v>
      </c>
      <c r="E39" s="135">
        <v>1</v>
      </c>
      <c r="F39" s="136">
        <v>46188</v>
      </c>
      <c r="G39" s="168" t="s">
        <v>113</v>
      </c>
      <c r="H39" s="140"/>
      <c r="I39" s="163" t="s">
        <v>36</v>
      </c>
      <c r="J39" s="71">
        <v>0.95</v>
      </c>
      <c r="K39" s="72">
        <v>45992</v>
      </c>
      <c r="L39" s="76">
        <f>IF(F39="",WORKDAY(L38,5),F39)</f>
        <v>46185</v>
      </c>
      <c r="M39" s="73"/>
      <c r="N39" s="48">
        <f t="shared" si="3"/>
        <v>194</v>
      </c>
      <c r="O39" s="68"/>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c r="BM39" s="6"/>
      <c r="BN39" s="6"/>
      <c r="BO39" s="6"/>
      <c r="BP39" s="6"/>
      <c r="BQ39" s="6"/>
      <c r="BR39" s="6"/>
    </row>
    <row r="40" spans="1:70" ht="25" customHeight="1" thickBot="1" x14ac:dyDescent="0.4">
      <c r="D40" s="134" t="str">
        <f t="shared" si="8"/>
        <v>Semanal</v>
      </c>
      <c r="E40" s="135">
        <v>1</v>
      </c>
      <c r="F40" s="136">
        <v>46188</v>
      </c>
      <c r="G40" s="74" t="s">
        <v>45</v>
      </c>
      <c r="H40" s="141"/>
      <c r="I40" s="164" t="s">
        <v>36</v>
      </c>
      <c r="J40" s="75">
        <v>0.7</v>
      </c>
      <c r="K40" s="76">
        <v>46357</v>
      </c>
      <c r="L40" s="76">
        <f t="shared" ref="L40:L47" si="9">IF(F40="",WORKDAY(L39,5),F40)</f>
        <v>46185</v>
      </c>
      <c r="M40" s="77"/>
      <c r="N40" s="78">
        <f t="shared" si="3"/>
        <v>-171</v>
      </c>
      <c r="O40" s="68"/>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c r="BM40" s="6"/>
      <c r="BN40" s="6"/>
      <c r="BO40" s="6"/>
      <c r="BP40" s="6"/>
      <c r="BQ40" s="6"/>
      <c r="BR40" s="6"/>
    </row>
    <row r="41" spans="1:70" ht="25" customHeight="1" thickBot="1" x14ac:dyDescent="0.4">
      <c r="D41" s="134" t="str">
        <f t="shared" si="8"/>
        <v>Semanal</v>
      </c>
      <c r="E41" s="135">
        <v>1</v>
      </c>
      <c r="F41" s="136">
        <v>46188</v>
      </c>
      <c r="G41" s="70" t="s">
        <v>46</v>
      </c>
      <c r="H41" s="140"/>
      <c r="I41" s="163" t="s">
        <v>36</v>
      </c>
      <c r="J41" s="71">
        <v>0.5</v>
      </c>
      <c r="K41" s="72">
        <v>46188</v>
      </c>
      <c r="L41" s="76">
        <f t="shared" si="9"/>
        <v>46185</v>
      </c>
      <c r="M41" s="73"/>
      <c r="N41" s="48">
        <f t="shared" si="3"/>
        <v>-2</v>
      </c>
      <c r="O41" s="68"/>
      <c r="P41" s="6"/>
      <c r="Q41" s="6"/>
      <c r="R41" s="6"/>
      <c r="S41" s="6"/>
      <c r="T41" s="6"/>
      <c r="U41" s="6"/>
      <c r="V41" s="6"/>
      <c r="W41" s="6"/>
      <c r="X41" s="6"/>
      <c r="Y41" s="6"/>
      <c r="Z41" s="6"/>
      <c r="AA41" s="6"/>
      <c r="AB41" s="6"/>
      <c r="AC41" s="6"/>
      <c r="AD41" s="6"/>
      <c r="AE41" s="6"/>
      <c r="AF41" s="6"/>
      <c r="AG41" s="6"/>
      <c r="AH41" s="6"/>
      <c r="AI41" s="6"/>
      <c r="AJ41" s="6"/>
      <c r="AK41" s="6"/>
      <c r="AL41" s="6"/>
      <c r="AM41" s="6"/>
      <c r="AN41" s="6"/>
      <c r="AO41" s="6"/>
      <c r="AP41" s="6"/>
      <c r="AQ41" s="6"/>
      <c r="AR41" s="6"/>
      <c r="AS41" s="6"/>
      <c r="AT41" s="6"/>
      <c r="AU41" s="6"/>
      <c r="AV41" s="6"/>
      <c r="AW41" s="6"/>
      <c r="AX41" s="6"/>
      <c r="AY41" s="6"/>
      <c r="AZ41" s="6"/>
      <c r="BA41" s="6"/>
      <c r="BB41" s="6"/>
      <c r="BC41" s="6"/>
      <c r="BD41" s="6"/>
      <c r="BE41" s="6"/>
      <c r="BF41" s="6"/>
      <c r="BG41" s="6"/>
      <c r="BH41" s="6"/>
      <c r="BI41" s="6"/>
      <c r="BJ41" s="6"/>
      <c r="BK41" s="6"/>
      <c r="BL41" s="6"/>
      <c r="BM41" s="6"/>
      <c r="BN41" s="6"/>
      <c r="BO41" s="6"/>
      <c r="BP41" s="6"/>
      <c r="BQ41" s="6"/>
      <c r="BR41" s="6"/>
    </row>
    <row r="42" spans="1:70" ht="25" customHeight="1" thickBot="1" x14ac:dyDescent="0.4">
      <c r="D42" s="134" t="str">
        <f t="shared" si="8"/>
        <v>Semanal</v>
      </c>
      <c r="E42" s="135">
        <v>1</v>
      </c>
      <c r="F42" s="136">
        <v>46188</v>
      </c>
      <c r="G42" s="74" t="s">
        <v>73</v>
      </c>
      <c r="H42" s="141"/>
      <c r="I42" s="164" t="s">
        <v>36</v>
      </c>
      <c r="J42" s="75">
        <v>0.4</v>
      </c>
      <c r="K42" s="76">
        <v>46188</v>
      </c>
      <c r="L42" s="76">
        <f t="shared" si="9"/>
        <v>46185</v>
      </c>
      <c r="M42" s="77"/>
      <c r="N42" s="78">
        <f t="shared" si="3"/>
        <v>-2</v>
      </c>
      <c r="O42" s="68"/>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c r="AR42" s="6"/>
      <c r="AS42" s="6"/>
      <c r="AT42" s="6"/>
      <c r="AU42" s="6"/>
      <c r="AV42" s="6"/>
      <c r="AW42" s="6"/>
      <c r="AX42" s="6"/>
      <c r="AY42" s="6"/>
      <c r="AZ42" s="6"/>
      <c r="BA42" s="6"/>
      <c r="BB42" s="6"/>
      <c r="BC42" s="6"/>
      <c r="BD42" s="6"/>
      <c r="BE42" s="6"/>
      <c r="BF42" s="6"/>
      <c r="BG42" s="6"/>
      <c r="BH42" s="6"/>
      <c r="BI42" s="6"/>
      <c r="BJ42" s="6"/>
      <c r="BK42" s="6"/>
      <c r="BL42" s="6"/>
      <c r="BM42" s="6"/>
      <c r="BN42" s="6"/>
      <c r="BO42" s="6"/>
      <c r="BP42" s="6"/>
      <c r="BQ42" s="6"/>
      <c r="BR42" s="6"/>
    </row>
    <row r="43" spans="1:70" ht="25" customHeight="1" thickBot="1" x14ac:dyDescent="0.4">
      <c r="D43" s="134" t="str">
        <f t="shared" si="8"/>
        <v>Semanal</v>
      </c>
      <c r="E43" s="135"/>
      <c r="F43" s="136"/>
      <c r="G43" s="74" t="s">
        <v>72</v>
      </c>
      <c r="H43" s="141"/>
      <c r="I43" s="164" t="s">
        <v>36</v>
      </c>
      <c r="J43" s="75">
        <v>0.1</v>
      </c>
      <c r="K43" s="76">
        <v>46188</v>
      </c>
      <c r="L43" s="76">
        <f t="shared" si="9"/>
        <v>46192</v>
      </c>
      <c r="M43" s="77"/>
      <c r="N43" s="78"/>
      <c r="O43" s="68"/>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c r="BM43" s="6"/>
      <c r="BN43" s="6"/>
      <c r="BO43" s="6"/>
      <c r="BP43" s="6"/>
      <c r="BQ43" s="6"/>
      <c r="BR43" s="6"/>
    </row>
    <row r="44" spans="1:70" ht="25" customHeight="1" thickBot="1" x14ac:dyDescent="0.4">
      <c r="D44" s="134" t="str">
        <f t="shared" si="8"/>
        <v>Semanal</v>
      </c>
      <c r="E44" s="135"/>
      <c r="F44" s="136"/>
      <c r="G44" s="70" t="s">
        <v>53</v>
      </c>
      <c r="H44" s="140"/>
      <c r="I44" s="163" t="s">
        <v>36</v>
      </c>
      <c r="J44" s="71">
        <v>0</v>
      </c>
      <c r="K44" s="72">
        <v>46195</v>
      </c>
      <c r="L44" s="76">
        <f t="shared" si="9"/>
        <v>46199</v>
      </c>
      <c r="M44" s="73"/>
      <c r="N44" s="48"/>
      <c r="O44" s="68"/>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c r="BM44" s="6"/>
      <c r="BN44" s="6"/>
      <c r="BO44" s="6"/>
      <c r="BP44" s="6"/>
      <c r="BQ44" s="6"/>
      <c r="BR44" s="6"/>
    </row>
    <row r="45" spans="1:70" ht="25" customHeight="1" thickBot="1" x14ac:dyDescent="0.4">
      <c r="D45" s="134" t="str">
        <f t="shared" si="8"/>
        <v>Semanal</v>
      </c>
      <c r="E45" s="135"/>
      <c r="F45" s="136"/>
      <c r="G45" s="74" t="s">
        <v>54</v>
      </c>
      <c r="H45" s="141"/>
      <c r="I45" s="164" t="s">
        <v>36</v>
      </c>
      <c r="J45" s="75">
        <v>0</v>
      </c>
      <c r="K45" s="76">
        <v>46202</v>
      </c>
      <c r="L45" s="76">
        <f t="shared" si="9"/>
        <v>46206</v>
      </c>
      <c r="M45" s="77"/>
      <c r="N45" s="78"/>
      <c r="O45" s="68"/>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c r="AS45" s="6"/>
      <c r="AT45" s="6"/>
      <c r="AU45" s="6"/>
      <c r="AV45" s="6"/>
      <c r="AW45" s="6"/>
      <c r="AX45" s="6"/>
      <c r="AY45" s="6"/>
      <c r="AZ45" s="6"/>
      <c r="BA45" s="6"/>
      <c r="BB45" s="6"/>
      <c r="BC45" s="6"/>
      <c r="BD45" s="6"/>
      <c r="BE45" s="6"/>
      <c r="BF45" s="6"/>
      <c r="BG45" s="6"/>
      <c r="BH45" s="6"/>
      <c r="BI45" s="6"/>
      <c r="BJ45" s="6"/>
      <c r="BK45" s="6"/>
      <c r="BL45" s="6"/>
      <c r="BM45" s="6"/>
      <c r="BN45" s="6"/>
      <c r="BO45" s="6"/>
      <c r="BP45" s="6"/>
      <c r="BQ45" s="6"/>
      <c r="BR45" s="6"/>
    </row>
    <row r="46" spans="1:70" ht="25" customHeight="1" thickBot="1" x14ac:dyDescent="0.4">
      <c r="D46" s="134" t="str">
        <f t="shared" si="8"/>
        <v>Semanal</v>
      </c>
      <c r="E46" s="135">
        <v>1</v>
      </c>
      <c r="F46" s="136">
        <v>46188</v>
      </c>
      <c r="G46" s="70" t="s">
        <v>55</v>
      </c>
      <c r="H46" s="140"/>
      <c r="I46" s="163" t="s">
        <v>36</v>
      </c>
      <c r="J46" s="71">
        <v>0.5</v>
      </c>
      <c r="K46" s="72">
        <f t="shared" ref="K41:K47" si="10">+L45+1</f>
        <v>46207</v>
      </c>
      <c r="L46" s="76">
        <f t="shared" si="9"/>
        <v>46185</v>
      </c>
      <c r="M46" s="73"/>
      <c r="N46" s="48"/>
      <c r="O46" s="68"/>
      <c r="P46" s="6"/>
      <c r="Q46" s="6"/>
      <c r="R46" s="6"/>
      <c r="S46" s="6"/>
      <c r="T46" s="6"/>
      <c r="U46" s="6"/>
      <c r="V46" s="6"/>
      <c r="W46" s="6"/>
      <c r="X46" s="6"/>
      <c r="Y46" s="6"/>
      <c r="Z46" s="6"/>
      <c r="AA46" s="6"/>
      <c r="AB46" s="6"/>
      <c r="AC46" s="6"/>
      <c r="AD46" s="6"/>
      <c r="AE46" s="6"/>
      <c r="AF46" s="6"/>
      <c r="AG46" s="6"/>
      <c r="AH46" s="6"/>
      <c r="AI46" s="6"/>
      <c r="AJ46" s="6"/>
      <c r="AK46" s="6"/>
      <c r="AL46" s="6"/>
      <c r="AM46" s="6"/>
      <c r="AN46" s="6"/>
      <c r="AO46" s="6"/>
      <c r="AP46" s="6"/>
      <c r="AQ46" s="6"/>
      <c r="AR46" s="6"/>
      <c r="AS46" s="6"/>
      <c r="AT46" s="6"/>
      <c r="AU46" s="6"/>
      <c r="AV46" s="6"/>
      <c r="AW46" s="6"/>
      <c r="AX46" s="6"/>
      <c r="AY46" s="6"/>
      <c r="AZ46" s="6"/>
      <c r="BA46" s="6"/>
      <c r="BB46" s="6"/>
      <c r="BC46" s="6"/>
      <c r="BD46" s="6"/>
      <c r="BE46" s="6"/>
      <c r="BF46" s="6"/>
      <c r="BG46" s="6"/>
      <c r="BH46" s="6"/>
      <c r="BI46" s="6"/>
      <c r="BJ46" s="6"/>
      <c r="BK46" s="6"/>
      <c r="BL46" s="6"/>
      <c r="BM46" s="6"/>
      <c r="BN46" s="6"/>
      <c r="BO46" s="6"/>
      <c r="BP46" s="6"/>
      <c r="BQ46" s="6"/>
      <c r="BR46" s="6"/>
    </row>
    <row r="47" spans="1:70" ht="25" customHeight="1" x14ac:dyDescent="0.35">
      <c r="D47" s="134" t="str">
        <f t="shared" si="8"/>
        <v>Semanal</v>
      </c>
      <c r="E47" s="135">
        <v>1</v>
      </c>
      <c r="F47" s="136">
        <v>46188</v>
      </c>
      <c r="G47" s="74" t="s">
        <v>69</v>
      </c>
      <c r="H47" s="142"/>
      <c r="I47" s="164" t="s">
        <v>36</v>
      </c>
      <c r="J47" s="75">
        <v>0.5</v>
      </c>
      <c r="K47" s="76">
        <f t="shared" si="10"/>
        <v>46186</v>
      </c>
      <c r="L47" s="76">
        <f t="shared" si="9"/>
        <v>46185</v>
      </c>
      <c r="M47" s="77"/>
      <c r="N47" s="78">
        <f t="shared" si="3"/>
        <v>0</v>
      </c>
      <c r="O47" s="83"/>
      <c r="P47" s="26"/>
      <c r="Q47" s="26"/>
      <c r="R47" s="26"/>
      <c r="S47" s="26"/>
      <c r="T47" s="26"/>
      <c r="U47" s="26"/>
      <c r="V47" s="26"/>
      <c r="W47" s="26"/>
      <c r="X47" s="26"/>
      <c r="Y47" s="26"/>
      <c r="Z47" s="26"/>
      <c r="AA47" s="26"/>
      <c r="AB47" s="26"/>
      <c r="AC47" s="26"/>
      <c r="AD47" s="26"/>
      <c r="AE47" s="26"/>
      <c r="AF47" s="26"/>
      <c r="AG47" s="26"/>
      <c r="AH47" s="26"/>
      <c r="AI47" s="26"/>
      <c r="AJ47" s="26"/>
      <c r="AK47" s="26"/>
      <c r="AL47" s="26"/>
      <c r="AM47" s="26"/>
      <c r="AN47" s="26"/>
      <c r="AO47" s="26"/>
      <c r="AP47" s="26"/>
      <c r="AQ47" s="26"/>
      <c r="AR47" s="26"/>
      <c r="AS47" s="26"/>
      <c r="AT47" s="26"/>
      <c r="AU47" s="26"/>
      <c r="AV47" s="26"/>
      <c r="AW47" s="26"/>
      <c r="AX47" s="26"/>
      <c r="AY47" s="26"/>
      <c r="AZ47" s="26"/>
      <c r="BA47" s="26"/>
      <c r="BB47" s="26"/>
      <c r="BC47" s="26"/>
      <c r="BD47" s="26"/>
      <c r="BE47" s="26"/>
      <c r="BF47" s="26"/>
      <c r="BG47" s="26"/>
      <c r="BH47" s="26"/>
      <c r="BI47" s="26"/>
      <c r="BJ47" s="26"/>
      <c r="BK47" s="26"/>
      <c r="BL47" s="26"/>
      <c r="BM47" s="26"/>
      <c r="BN47" s="26"/>
      <c r="BO47" s="26"/>
      <c r="BP47" s="26"/>
      <c r="BQ47" s="26"/>
      <c r="BR47" s="26"/>
    </row>
    <row r="48" spans="1:70" ht="25" customHeight="1">
      <c r="G48" s="59" t="inlineStr">
        <is>
          <t xml:space="preserve">Tablero Forecast</t>
        </is>
      </c>
      <c r="K48" s="63" t="inlineStr">
        <is>
          <t xml:space="preserve">Solicitud NUEVA (semana del 16/06)</t>
        </is>
      </c>
    </row>
    <row r="49" spans="1:70" ht="25" customHeight="1">
      <c r="C49" s="74" t="inlineStr">
        <is>
          <t xml:space="preserve">Solicitud nueva de esta semana</t>
        </is>
      </c>
      <c r="D49" s="134" t="inlineStr">
        <is>
          <t xml:space="preserve">Semanal</t>
        </is>
      </c>
      <c r="E49" s="135">
        <v>1</v>
      </c>
      <c r="F49" s="136">
        <v>46192</v>
      </c>
      <c r="G49" s="74" t="inlineStr">
        <is>
          <t xml:space="preserve">Armado de Procedimiento</t>
        </is>
      </c>
      <c r="I49" s="164" t="inlineStr">
        <is>
          <t xml:space="preserve">Santiago Alonso</t>
        </is>
      </c>
      <c r="J49" s="75">
        <v>0</v>
      </c>
      <c r="K49" s="76">
        <v>46189</v>
      </c>
      <c r="L49" s="76">
        <f>F49</f>
      </c>
      <c r="N49" s="78">
        <f t="shared" si="3"/>
      </c>
    </row>
    <row r="50" spans="1:70" ht="25" customHeight="1">
      <c r="C50" s="74" t="inlineStr">
        <is>
          <t xml:space="preserve">Solicitud nueva de esta semana</t>
        </is>
      </c>
      <c r="D50" s="134" t="inlineStr">
        <is>
          <t xml:space="preserve">Semanal</t>
        </is>
      </c>
      <c r="E50" s="135">
        <v>1</v>
      </c>
      <c r="F50" s="136">
        <v>46192</v>
      </c>
      <c r="G50" s="74" t="inlineStr">
        <is>
          <t xml:space="preserve">Slicer funcional con % de incremento sobre venta con base en % definido en factores</t>
        </is>
      </c>
      <c r="I50" s="164" t="inlineStr">
        <is>
          <t xml:space="preserve">Santiago Alonso</t>
        </is>
      </c>
      <c r="J50" s="75">
        <v>0</v>
      </c>
      <c r="K50" s="76">
        <v>46189</v>
      </c>
      <c r="L50" s="76">
        <f>F50</f>
      </c>
      <c r="N50" s="78">
        <f t="shared" si="3"/>
      </c>
    </row>
    <row r="51" spans="1:70" ht="25" customHeight="1">
      <c r="C51" s="74" t="inlineStr">
        <is>
          <t xml:space="preserve">Solicitud nueva de esta semana</t>
        </is>
      </c>
      <c r="D51" s="134" t="inlineStr">
        <is>
          <t xml:space="preserve">Semanal</t>
        </is>
      </c>
      <c r="E51" s="135">
        <v>1</v>
      </c>
      <c r="F51" s="136">
        <v>46192</v>
      </c>
      <c r="G51" s="74" t="inlineStr">
        <is>
          <t xml:space="preserve">Factores de clientes con % de incremento sobre venta</t>
        </is>
      </c>
      <c r="I51" s="164" t="inlineStr">
        <is>
          <t xml:space="preserve">Santiago Alonso</t>
        </is>
      </c>
      <c r="J51" s="75">
        <v>0</v>
      </c>
      <c r="K51" s="76">
        <v>46189</v>
      </c>
      <c r="L51" s="76">
        <f>F51</f>
      </c>
      <c r="N51" s="78">
        <f t="shared" si="3"/>
      </c>
    </row>
    <row r="52" spans="1:70" ht="25" customHeight="1" thickBot="1" x14ac:dyDescent="0.4">
      <c r="A52" s="14" t="s">
        <v>11</v>
      </c>
      <c r="G52" s="59" t="s">
        <v>138</v>
      </c>
      <c r="H52" s="138">
        <v>0.25</v>
      </c>
      <c r="I52" s="162"/>
      <c r="J52" s="60">
        <f>+AVERAGE(J53:J55)</f>
        <v>0.13333333333333333</v>
      </c>
      <c r="K52" s="63" t="str">
        <f>+$K$7</f>
        <v>Días Transcurridos=</v>
      </c>
      <c r="L52" s="61">
        <f ca="1">+TODAY()-MIN($K$53:$K$55)-139</f>
        <v>84</v>
      </c>
      <c r="M52" s="62"/>
      <c r="N52" s="69"/>
      <c r="O52" s="53"/>
      <c r="P52" s="53"/>
      <c r="Q52" s="53"/>
      <c r="R52" s="53"/>
      <c r="S52" s="53"/>
      <c r="T52" s="53"/>
      <c r="U52" s="53"/>
      <c r="V52" s="53"/>
      <c r="W52" s="53"/>
      <c r="X52" s="53"/>
      <c r="Y52" s="53"/>
      <c r="Z52" s="53"/>
      <c r="AA52" s="53"/>
      <c r="AB52" s="53"/>
      <c r="AC52" s="53"/>
      <c r="AD52" s="53"/>
      <c r="AE52" s="53"/>
      <c r="AF52" s="53"/>
      <c r="AG52" s="53"/>
      <c r="AH52" s="53"/>
      <c r="AI52" s="53"/>
      <c r="AJ52" s="53"/>
      <c r="AK52" s="53"/>
      <c r="AL52" s="53"/>
      <c r="AM52" s="53"/>
      <c r="AN52" s="53"/>
      <c r="AO52" s="53"/>
      <c r="AP52" s="53"/>
      <c r="AQ52" s="53"/>
      <c r="AR52" s="53"/>
      <c r="AS52" s="53"/>
      <c r="AT52" s="53"/>
      <c r="AU52" s="53"/>
      <c r="AV52" s="53"/>
      <c r="AW52" s="53"/>
      <c r="AX52" s="53"/>
      <c r="AY52" s="53"/>
      <c r="AZ52" s="53"/>
      <c r="BA52" s="53"/>
      <c r="BB52" s="53"/>
      <c r="BC52" s="53"/>
      <c r="BD52" s="53"/>
      <c r="BE52" s="53"/>
      <c r="BF52" s="53"/>
      <c r="BG52" s="53"/>
      <c r="BH52" s="53"/>
      <c r="BI52" s="53"/>
      <c r="BJ52" s="53"/>
      <c r="BK52" s="53"/>
      <c r="BL52" s="53"/>
      <c r="BM52" s="53"/>
      <c r="BN52" s="53"/>
      <c r="BO52" s="53"/>
      <c r="BP52" s="53"/>
      <c r="BQ52" s="53"/>
      <c r="BR52" s="53"/>
    </row>
    <row r="53" spans="1:70" ht="25" customHeight="1" thickBot="1" x14ac:dyDescent="0.4">
      <c r="D53" s="134" t="s">
        <v>107</v>
      </c>
      <c r="E53" s="135"/>
      <c r="F53" s="136"/>
      <c r="G53" s="74" t="s">
        <v>92</v>
      </c>
      <c r="H53" s="143"/>
      <c r="I53" s="164" t="s">
        <v>36</v>
      </c>
      <c r="J53" s="75">
        <v>0.35</v>
      </c>
      <c r="K53" s="76">
        <v>45958</v>
      </c>
      <c r="L53" s="76">
        <v>46213</v>
      </c>
      <c r="M53" s="77"/>
      <c r="N53" s="78">
        <f t="shared" si="3"/>
        <v>256</v>
      </c>
      <c r="O53" s="64"/>
      <c r="P53" s="23"/>
      <c r="Q53" s="23"/>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c r="AY53" s="23"/>
      <c r="AZ53" s="23"/>
      <c r="BA53" s="23"/>
      <c r="BB53" s="23"/>
      <c r="BC53" s="23"/>
      <c r="BD53" s="23"/>
      <c r="BE53" s="23"/>
      <c r="BF53" s="23"/>
      <c r="BG53" s="23"/>
      <c r="BH53" s="23"/>
      <c r="BI53" s="23"/>
      <c r="BJ53" s="23"/>
      <c r="BK53" s="23"/>
      <c r="BL53" s="23"/>
      <c r="BM53" s="23"/>
      <c r="BN53" s="23"/>
      <c r="BO53" s="23"/>
      <c r="BP53" s="23"/>
      <c r="BQ53" s="23"/>
      <c r="BR53" s="23"/>
    </row>
    <row r="54" spans="1:70" ht="25" customHeight="1" thickBot="1" x14ac:dyDescent="0.4">
      <c r="D54" s="134" t="str">
        <f>+$D$53</f>
        <v>Mensual</v>
      </c>
      <c r="E54" s="135"/>
      <c r="F54" s="136"/>
      <c r="G54" s="70" t="s">
        <v>93</v>
      </c>
      <c r="H54" s="144"/>
      <c r="I54" s="163" t="s">
        <v>36</v>
      </c>
      <c r="J54" s="71">
        <v>0.05</v>
      </c>
      <c r="K54" s="72">
        <v>46209</v>
      </c>
      <c r="L54" s="76">
        <f>IF(F54="",WORKDAY(L53,5),F54)</f>
        <v>46220</v>
      </c>
      <c r="M54" s="73"/>
      <c r="N54" s="48">
        <f t="shared" si="3"/>
        <v>12</v>
      </c>
      <c r="O54" s="68"/>
      <c r="P54" s="6"/>
      <c r="Q54" s="6"/>
      <c r="R54" s="6"/>
      <c r="S54" s="6"/>
      <c r="T54" s="6"/>
      <c r="U54" s="6"/>
      <c r="V54" s="6"/>
      <c r="W54" s="6"/>
      <c r="X54" s="6"/>
      <c r="Y54" s="6"/>
      <c r="Z54" s="6"/>
      <c r="AA54" s="6"/>
      <c r="AB54" s="6"/>
      <c r="AC54" s="6"/>
      <c r="AD54" s="6"/>
      <c r="AE54" s="6"/>
      <c r="AF54" s="6"/>
      <c r="AG54" s="6"/>
      <c r="AH54" s="6"/>
      <c r="AI54" s="6"/>
      <c r="AJ54" s="6"/>
      <c r="AK54" s="6"/>
      <c r="AL54" s="6"/>
      <c r="AM54" s="6"/>
      <c r="AN54" s="6"/>
      <c r="AO54" s="6"/>
      <c r="AP54" s="6"/>
      <c r="AQ54" s="6"/>
      <c r="AR54" s="6"/>
      <c r="AS54" s="6"/>
      <c r="AT54" s="6"/>
      <c r="AU54" s="6"/>
      <c r="AV54" s="6"/>
      <c r="AW54" s="6"/>
      <c r="AX54" s="6"/>
      <c r="AY54" s="6"/>
      <c r="AZ54" s="6"/>
      <c r="BA54" s="6"/>
      <c r="BB54" s="6"/>
      <c r="BC54" s="6"/>
      <c r="BD54" s="6"/>
      <c r="BE54" s="6"/>
      <c r="BF54" s="6"/>
      <c r="BG54" s="6"/>
      <c r="BH54" s="6"/>
      <c r="BI54" s="6"/>
      <c r="BJ54" s="6"/>
      <c r="BK54" s="6"/>
      <c r="BL54" s="6"/>
      <c r="BM54" s="6"/>
      <c r="BN54" s="6"/>
      <c r="BO54" s="6"/>
      <c r="BP54" s="6"/>
      <c r="BQ54" s="6"/>
      <c r="BR54" s="6"/>
    </row>
    <row r="55" spans="1:70" ht="25" customHeight="1" x14ac:dyDescent="0.35">
      <c r="D55" s="134" t="str">
        <f>+$D$53</f>
        <v>Mensual</v>
      </c>
      <c r="E55" s="135"/>
      <c r="F55" s="136"/>
      <c r="G55" s="74" t="s">
        <v>94</v>
      </c>
      <c r="H55" s="145"/>
      <c r="I55" s="164" t="s">
        <v>95</v>
      </c>
      <c r="J55" s="75">
        <v>0</v>
      </c>
      <c r="K55" s="76">
        <v>46216</v>
      </c>
      <c r="L55" s="76">
        <f>IF(F55="",WORKDAY(L54,5),F55)</f>
        <v>46227</v>
      </c>
      <c r="M55" s="77"/>
      <c r="N55" s="78">
        <f t="shared" si="3"/>
        <v>12</v>
      </c>
      <c r="O55" s="83"/>
      <c r="P55" s="26"/>
      <c r="Q55" s="26"/>
      <c r="R55" s="26"/>
      <c r="S55" s="26"/>
      <c r="T55" s="26"/>
      <c r="U55" s="26"/>
      <c r="V55" s="26"/>
      <c r="W55" s="26"/>
      <c r="X55" s="26"/>
      <c r="Y55" s="26"/>
      <c r="Z55" s="26"/>
      <c r="AA55" s="26"/>
      <c r="AB55" s="26"/>
      <c r="AC55" s="26"/>
      <c r="AD55" s="26"/>
      <c r="AE55" s="26"/>
      <c r="AF55" s="26"/>
      <c r="AG55" s="26"/>
      <c r="AH55" s="26"/>
      <c r="AI55" s="26"/>
      <c r="AJ55" s="26"/>
      <c r="AK55" s="26"/>
      <c r="AL55" s="26"/>
      <c r="AM55" s="26"/>
      <c r="AN55" s="26"/>
      <c r="AO55" s="26"/>
      <c r="AP55" s="26"/>
      <c r="AQ55" s="26"/>
      <c r="AR55" s="26"/>
      <c r="AS55" s="26"/>
      <c r="AT55" s="26"/>
      <c r="AU55" s="26"/>
      <c r="AV55" s="26"/>
      <c r="AW55" s="26"/>
      <c r="AX55" s="26"/>
      <c r="AY55" s="26"/>
      <c r="AZ55" s="26"/>
      <c r="BA55" s="26"/>
      <c r="BB55" s="26"/>
      <c r="BC55" s="26"/>
      <c r="BD55" s="26"/>
      <c r="BE55" s="26"/>
      <c r="BF55" s="26"/>
      <c r="BG55" s="26"/>
      <c r="BH55" s="26"/>
      <c r="BI55" s="26"/>
      <c r="BJ55" s="26"/>
      <c r="BK55" s="26"/>
      <c r="BL55" s="26"/>
      <c r="BM55" s="26"/>
      <c r="BN55" s="26"/>
      <c r="BO55" s="26"/>
      <c r="BP55" s="26"/>
      <c r="BQ55" s="26"/>
      <c r="BR55" s="26"/>
    </row>
    <row r="56" spans="1:70" ht="25" customHeight="1" thickBot="1" x14ac:dyDescent="0.4">
      <c r="A56" s="14" t="s">
        <v>11</v>
      </c>
      <c r="G56" s="59" t="s">
        <v>139</v>
      </c>
      <c r="H56" s="138">
        <v>0.1</v>
      </c>
      <c r="I56" s="162"/>
      <c r="J56" s="60">
        <f>+AVERAGE(J57:J59)</f>
        <v>3.3333333333333333E-2</v>
      </c>
      <c r="K56" s="63" t="str">
        <f>+$K$7</f>
        <v>Días Transcurridos=</v>
      </c>
      <c r="L56" s="61">
        <f ca="1">+TODAY()-MIN($K$57:$K$59)-139</f>
        <v>84</v>
      </c>
      <c r="M56" s="62"/>
      <c r="N56" s="69"/>
      <c r="O56" s="53"/>
      <c r="P56" s="53"/>
      <c r="Q56" s="53"/>
      <c r="R56" s="53"/>
      <c r="S56" s="53"/>
      <c r="T56" s="53"/>
      <c r="U56" s="53"/>
      <c r="V56" s="53"/>
      <c r="W56" s="53"/>
      <c r="X56" s="53"/>
      <c r="Y56" s="53"/>
      <c r="Z56" s="53"/>
      <c r="AA56" s="53"/>
      <c r="AB56" s="53"/>
      <c r="AC56" s="53"/>
      <c r="AD56" s="53"/>
      <c r="AE56" s="53"/>
      <c r="AF56" s="53"/>
      <c r="AG56" s="53"/>
      <c r="AH56" s="53"/>
      <c r="AI56" s="53"/>
      <c r="AJ56" s="53"/>
      <c r="AK56" s="53"/>
      <c r="AL56" s="53"/>
      <c r="AM56" s="53"/>
      <c r="AN56" s="53"/>
      <c r="AO56" s="53"/>
      <c r="AP56" s="53"/>
      <c r="AQ56" s="53"/>
      <c r="AR56" s="53"/>
      <c r="AS56" s="53"/>
      <c r="AT56" s="53"/>
      <c r="AU56" s="53"/>
      <c r="AV56" s="53"/>
      <c r="AW56" s="53"/>
      <c r="AX56" s="53"/>
      <c r="AY56" s="53"/>
      <c r="AZ56" s="53"/>
      <c r="BA56" s="53"/>
      <c r="BB56" s="53"/>
      <c r="BC56" s="53"/>
      <c r="BD56" s="53"/>
      <c r="BE56" s="53"/>
      <c r="BF56" s="53"/>
      <c r="BG56" s="53"/>
      <c r="BH56" s="53"/>
      <c r="BI56" s="53"/>
      <c r="BJ56" s="53"/>
      <c r="BK56" s="53"/>
      <c r="BL56" s="53"/>
      <c r="BM56" s="53"/>
      <c r="BN56" s="53"/>
      <c r="BO56" s="53"/>
      <c r="BP56" s="53"/>
      <c r="BQ56" s="53"/>
      <c r="BR56" s="53"/>
    </row>
    <row r="57" spans="1:70" ht="44" thickBot="1" x14ac:dyDescent="0.4">
      <c r="D57" s="134" t="s">
        <v>107</v>
      </c>
      <c r="E57" s="135"/>
      <c r="F57" s="136"/>
      <c r="G57" s="74" t="s">
        <v>59</v>
      </c>
      <c r="H57" s="141"/>
      <c r="I57" s="164" t="s">
        <v>96</v>
      </c>
      <c r="J57" s="75">
        <v>0.1</v>
      </c>
      <c r="K57" s="76">
        <v>45958</v>
      </c>
      <c r="L57" s="76">
        <v>46213</v>
      </c>
      <c r="M57" s="77"/>
      <c r="N57" s="78">
        <f t="shared" si="3"/>
        <v>256</v>
      </c>
      <c r="O57" s="64"/>
      <c r="P57" s="23"/>
      <c r="Q57" s="23"/>
      <c r="R57" s="23"/>
      <c r="S57" s="23"/>
      <c r="T57" s="23"/>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c r="AT57" s="23"/>
      <c r="AU57" s="23"/>
      <c r="AV57" s="23"/>
      <c r="AW57" s="23"/>
      <c r="AX57" s="23"/>
      <c r="AY57" s="23"/>
      <c r="AZ57" s="23"/>
      <c r="BA57" s="23"/>
      <c r="BB57" s="23"/>
      <c r="BC57" s="23"/>
      <c r="BD57" s="23"/>
      <c r="BE57" s="23"/>
      <c r="BF57" s="23"/>
      <c r="BG57" s="23"/>
      <c r="BH57" s="23"/>
      <c r="BI57" s="23"/>
      <c r="BJ57" s="23"/>
      <c r="BK57" s="23"/>
      <c r="BL57" s="23"/>
      <c r="BM57" s="23"/>
      <c r="BN57" s="23"/>
      <c r="BO57" s="23"/>
      <c r="BP57" s="23"/>
      <c r="BQ57" s="23"/>
      <c r="BR57" s="23"/>
    </row>
    <row r="58" spans="1:70" ht="44" thickBot="1" x14ac:dyDescent="0.4">
      <c r="D58" s="134" t="str">
        <f>+$D$57</f>
        <v>Mensual</v>
      </c>
      <c r="E58" s="135"/>
      <c r="F58" s="136"/>
      <c r="G58" s="70" t="s">
        <v>97</v>
      </c>
      <c r="H58" s="140"/>
      <c r="I58" s="163" t="s">
        <v>96</v>
      </c>
      <c r="J58" s="71">
        <v>0</v>
      </c>
      <c r="K58" s="72">
        <v>46216</v>
      </c>
      <c r="L58" s="76">
        <f>IF(F58="",WORKDAY(L57,5),F58)</f>
        <v>46220</v>
      </c>
      <c r="M58" s="73"/>
      <c r="N58" s="48">
        <f t="shared" si="3"/>
        <v>5</v>
      </c>
      <c r="O58" s="68"/>
      <c r="P58" s="6"/>
      <c r="Q58" s="6"/>
      <c r="R58" s="6"/>
      <c r="S58" s="6"/>
      <c r="T58" s="6"/>
      <c r="U58" s="6"/>
      <c r="V58" s="6"/>
      <c r="W58" s="6"/>
      <c r="X58" s="6"/>
      <c r="Y58" s="6"/>
      <c r="Z58" s="6"/>
      <c r="AA58" s="6"/>
      <c r="AB58" s="6"/>
      <c r="AC58" s="6"/>
      <c r="AD58" s="6"/>
      <c r="AE58" s="6"/>
      <c r="AF58" s="6"/>
      <c r="AG58" s="6"/>
      <c r="AH58" s="6"/>
      <c r="AI58" s="6"/>
      <c r="AJ58" s="6"/>
      <c r="AK58" s="6"/>
      <c r="AL58" s="6"/>
      <c r="AM58" s="6"/>
      <c r="AN58" s="6"/>
      <c r="AO58" s="6"/>
      <c r="AP58" s="6"/>
      <c r="AQ58" s="6"/>
      <c r="AR58" s="6"/>
      <c r="AS58" s="6"/>
      <c r="AT58" s="6"/>
      <c r="AU58" s="6"/>
      <c r="AV58" s="6"/>
      <c r="AW58" s="6"/>
      <c r="AX58" s="6"/>
      <c r="AY58" s="6"/>
      <c r="AZ58" s="6"/>
      <c r="BA58" s="6"/>
      <c r="BB58" s="6"/>
      <c r="BC58" s="6"/>
      <c r="BD58" s="6"/>
      <c r="BE58" s="6"/>
      <c r="BF58" s="6"/>
      <c r="BG58" s="6"/>
      <c r="BH58" s="6"/>
      <c r="BI58" s="6"/>
      <c r="BJ58" s="6"/>
      <c r="BK58" s="6"/>
      <c r="BL58" s="6"/>
      <c r="BM58" s="6"/>
      <c r="BN58" s="6"/>
      <c r="BO58" s="6"/>
      <c r="BP58" s="6"/>
      <c r="BQ58" s="6"/>
      <c r="BR58" s="6"/>
    </row>
    <row r="59" spans="1:70" ht="44" thickBot="1" x14ac:dyDescent="0.4">
      <c r="D59" s="134" t="str">
        <f>+$D$57</f>
        <v>Mensual</v>
      </c>
      <c r="E59" s="135"/>
      <c r="F59" s="136"/>
      <c r="G59" s="74" t="s">
        <v>118</v>
      </c>
      <c r="H59" s="142"/>
      <c r="I59" s="164" t="s">
        <v>96</v>
      </c>
      <c r="J59" s="75">
        <v>0</v>
      </c>
      <c r="K59" s="76">
        <v>46223</v>
      </c>
      <c r="L59" s="76">
        <f>IF(F59="",WORKDAY(L58,5),F59)</f>
        <v>46227</v>
      </c>
      <c r="M59" s="77"/>
      <c r="N59" s="78">
        <f t="shared" si="3"/>
        <v>5</v>
      </c>
      <c r="O59" s="83"/>
      <c r="P59" s="26"/>
      <c r="Q59" s="26"/>
      <c r="R59" s="26"/>
      <c r="S59" s="26"/>
      <c r="T59" s="26"/>
      <c r="U59" s="26"/>
      <c r="V59" s="26"/>
      <c r="W59" s="26"/>
      <c r="X59" s="26"/>
      <c r="Y59" s="26"/>
      <c r="Z59" s="26"/>
      <c r="AA59" s="26"/>
      <c r="AB59" s="26"/>
      <c r="AC59" s="26"/>
      <c r="AD59" s="26"/>
      <c r="AE59" s="26"/>
      <c r="AF59" s="26"/>
      <c r="AG59" s="26"/>
      <c r="AH59" s="26"/>
      <c r="AI59" s="26"/>
      <c r="AJ59" s="26"/>
      <c r="AK59" s="26"/>
      <c r="AL59" s="26"/>
      <c r="AM59" s="26"/>
      <c r="AN59" s="26"/>
      <c r="AO59" s="26"/>
      <c r="AP59" s="26"/>
      <c r="AQ59" s="26"/>
      <c r="AR59" s="26"/>
      <c r="AS59" s="26"/>
      <c r="AT59" s="26"/>
      <c r="AU59" s="26"/>
      <c r="AV59" s="26"/>
      <c r="AW59" s="26"/>
      <c r="AX59" s="26"/>
      <c r="AY59" s="26"/>
      <c r="AZ59" s="26"/>
      <c r="BA59" s="26"/>
      <c r="BB59" s="26"/>
      <c r="BC59" s="26"/>
      <c r="BD59" s="26"/>
      <c r="BE59" s="26"/>
      <c r="BF59" s="26"/>
      <c r="BG59" s="26"/>
      <c r="BH59" s="26"/>
      <c r="BI59" s="26"/>
      <c r="BJ59" s="26"/>
      <c r="BK59" s="26"/>
      <c r="BL59" s="26"/>
      <c r="BM59" s="26"/>
      <c r="BN59" s="26"/>
      <c r="BO59" s="26"/>
      <c r="BP59" s="26"/>
      <c r="BQ59" s="26"/>
      <c r="BR59" s="26"/>
    </row>
    <row r="60" spans="1:70" ht="30" customHeight="1" x14ac:dyDescent="0.35">
      <c r="G60" s="124"/>
      <c r="H60" s="127">
        <f>+SUBTOTAL(9,H7:H59)</f>
        <v>0.99999999999999989</v>
      </c>
      <c r="I60" s="165"/>
      <c r="J60" s="125"/>
      <c r="K60" s="125"/>
      <c r="L60" s="125"/>
      <c r="M60" s="126"/>
      <c r="N60" s="125"/>
    </row>
    <row r="61" spans="1:70" ht="30" customHeight="1" x14ac:dyDescent="0.35">
      <c r="I61" s="166"/>
      <c r="L61" s="15"/>
    </row>
    <row r="62" spans="1:70" ht="30" customHeight="1" x14ac:dyDescent="0.35">
      <c r="I62" s="167"/>
    </row>
    <row r="83" spans="7:7" ht="30" customHeight="1" x14ac:dyDescent="0.35">
      <c r="G83" s="16" t="s">
        <v>73</v>
      </c>
    </row>
    <row r="84" spans="7:7" ht="30" customHeight="1" x14ac:dyDescent="0.35">
      <c r="G84" s="16" t="s">
        <v>57</v>
      </c>
    </row>
  </sheetData>
  <mergeCells count="20">
    <mergeCell ref="B19:B21"/>
    <mergeCell ref="C11:C12"/>
    <mergeCell ref="B11:B12"/>
    <mergeCell ref="H7:H8"/>
    <mergeCell ref="AC4:AI4"/>
    <mergeCell ref="I3:J3"/>
    <mergeCell ref="K3:L3"/>
    <mergeCell ref="I4:J4"/>
    <mergeCell ref="O4:U4"/>
    <mergeCell ref="V4:AB4"/>
    <mergeCell ref="AJ4:AP4"/>
    <mergeCell ref="AQ4:AW4"/>
    <mergeCell ref="AX4:BD4"/>
    <mergeCell ref="BE4:BK4"/>
    <mergeCell ref="BL4:BR4"/>
    <mergeCell ref="C19:C21"/>
    <mergeCell ref="H22:H51"/>
    <mergeCell ref="H52:H55"/>
    <mergeCell ref="H56:H59"/>
    <mergeCell ref="H9:H21"/>
  </mergeCells>
  <conditionalFormatting sqref="J7:J59">
    <cfRule type="dataBar" priority="10">
      <dataBar>
        <cfvo type="num" val="0"/>
        <cfvo type="num" val="1"/>
        <color theme="0" tint="-0.249977111117893"/>
      </dataBar>
      <extLst>
        <ext xmlns:x14="http://schemas.microsoft.com/office/spreadsheetml/2009/9/main" uri="{B025F937-C7B1-47D3-B67F-A62EFF666E3E}">
          <x14:id>{1ABDF043-8B59-48D1-8979-9A4A80F37E74}</x14:id>
        </ext>
      </extLst>
    </cfRule>
  </conditionalFormatting>
  <conditionalFormatting sqref="M8:BR8 O10:BR21 O37:BR47 O53:BR55 O57:BR59 O5:BR6 O23:BR26">
    <cfRule type="expression" dxfId="11" priority="13">
      <formula>AND(TODAY()&gt;=M$5,TODAY()&lt;N$5)</formula>
    </cfRule>
  </conditionalFormatting>
  <conditionalFormatting sqref="M8:BR8 O10:BR21 O37:BR47 O53:BR55 O57:BR59 O23:BR26">
    <cfRule type="expression" dxfId="10" priority="11">
      <formula>AND(task_start&lt;=M$5,ROUNDDOWN((task_end-task_start+1)*task_progress,0)+task_start-1&gt;=M$5)</formula>
    </cfRule>
    <cfRule type="expression" dxfId="9" priority="12" stopIfTrue="1">
      <formula>AND(task_end&gt;=M$5,task_start&lt;N$5)</formula>
    </cfRule>
  </conditionalFormatting>
  <conditionalFormatting sqref="O28:BR35">
    <cfRule type="expression" dxfId="8" priority="1">
      <formula>AND(task_start&lt;=O$5,ROUNDDOWN((task_end-task_start+1)*task_progress,0)+task_start-1&gt;=O$5)</formula>
    </cfRule>
    <cfRule type="expression" dxfId="7" priority="2" stopIfTrue="1">
      <formula>AND(task_end&gt;=O$5,task_start&lt;P$5)</formula>
    </cfRule>
    <cfRule type="expression" dxfId="6" priority="3">
      <formula>AND(TODAY()&gt;=O$5,TODAY()&lt;P$5)</formula>
    </cfRule>
  </conditionalFormatting>
  <conditionalFormatting sqref="F7:F200">
    <cfRule type="expression" dxfId="26" priority="20">
      <formula>AND(LEN($G7)&gt;0,NOT(ISTEXT($K7)),$J7&gt;=1)</formula>
    </cfRule>
    <cfRule type="expression" dxfId="23" priority="21">
      <formula>AND(LEN($G7)&gt;0,NOT(ISTEXT($K7)),ISNUMBER($F7),$F7&lt;TODAY(),$J7&lt;1)</formula>
    </cfRule>
    <cfRule type="expression" dxfId="24" priority="22">
      <formula>AND(LEN($G7)&gt;0,NOT(ISTEXT($K7)),ISNUMBER($F7),$F7-TODAY()&gt;=0,$F7-TODAY()&lt;=7,$J7&lt;1)</formula>
    </cfRule>
    <cfRule type="expression" dxfId="25" priority="23">
      <formula>AND(LEN($G7)&gt;0,NOT(ISTEXT($K7)),ISNUMBER($F7),$F7-TODAY()&gt;7,$J7&lt;1)</formula>
    </cfRule>
  </conditionalFormatting>
  <conditionalFormatting sqref="E7:E200">
    <cfRule type="colorScale" priority="24">
      <colorScale>
        <cfvo type="min"/>
        <cfvo type="max"/>
        <color rgb="FFDDEBF7"/>
        <color rgb="FF2E75B6"/>
      </colorScale>
    </cfRule>
  </conditionalFormatting>
  <conditionalFormatting sqref="O48:BR200">
    <cfRule type="expression" dxfId="8" priority="25">
      <formula>AND(task_start&lt;=O$5,ROUNDDOWN((task_end-task_start+1)*task_progress,0)+task_start-1&gt;=O$5)</formula>
    </cfRule>
    <cfRule type="expression" dxfId="7" priority="26" stopIfTrue="1">
      <formula>AND(task_end&gt;=O$5,task_start&lt;P$5)</formula>
    </cfRule>
    <cfRule type="expression" dxfId="6" priority="27">
      <formula>AND(TODAY()&gt;=O$5,TODAY()&lt;P$5)</formula>
    </cfRule>
  </conditionalFormatting>
  <dataValidations disablePrompts="1" count="1">
    <dataValidation type="whole" operator="greaterThanOrEqual" allowBlank="1" showInputMessage="1" promptTitle="Mostrar semana" prompt="Al cambiar este número, se desplazará la vista del diagrama de Gantt." sqref="K4" xr:uid="{A8CFA2FF-5A90-4731-BBE6-9585A5C78C31}">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ignoredErrors>
    <ignoredError sqref="L32:L33" formula="1"/>
  </ignoredErrors>
  <legacyDrawing r:id="rId2"/>
  <extLst>
    <ext xmlns:x14="http://schemas.microsoft.com/office/spreadsheetml/2009/9/main" uri="{78C0D931-6437-407d-A8EE-F0AAD7539E65}">
      <x14:conditionalFormattings>
        <x14:conditionalFormatting xmlns:xm="http://schemas.microsoft.com/office/excel/2006/main">
          <x14:cfRule type="dataBar" id="{1ABDF043-8B59-48D1-8979-9A4A80F37E74}">
            <x14:dataBar minLength="0" maxLength="100" gradient="0">
              <x14:cfvo type="num">
                <xm:f>0</xm:f>
              </x14:cfvo>
              <x14:cfvo type="num">
                <xm:f>1</xm:f>
              </x14:cfvo>
              <x14:negativeFillColor rgb="FFFF0000"/>
              <x14:axisColor rgb="FF000000"/>
            </x14:dataBar>
          </x14:cfRule>
          <xm:sqref>J7:J55</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F3F60-36D0-4B31-8741-D920D66702E2}">
  <sheetPr>
    <pageSetUpPr fitToPage="1"/>
  </sheetPr>
  <dimension ref="A1:BL70"/>
  <sheetViews>
    <sheetView showGridLines="0" showRuler="0" zoomScale="90" zoomScaleNormal="90" zoomScalePageLayoutView="70" workbookViewId="0">
      <pane ySplit="6" topLeftCell="A74" activePane="bottomLeft" state="frozen"/>
      <selection pane="bottomLeft" activeCell="C2" sqref="C2"/>
    </sheetView>
  </sheetViews>
  <sheetFormatPr baseColWidth="10" defaultColWidth="9.1796875" defaultRowHeight="30" customHeight="1" x14ac:dyDescent="0.35"/>
  <cols>
    <col min="1" max="1" width="2.7265625" style="14" customWidth="1"/>
    <col min="2" max="2" width="65.453125" bestFit="1" customWidth="1"/>
    <col min="3" max="3" width="26.1796875" bestFit="1" customWidth="1"/>
    <col min="4" max="4" width="10.7265625" customWidth="1"/>
    <col min="5" max="5" width="10.453125" style="2" customWidth="1"/>
    <col min="6" max="6" width="10.453125" customWidth="1"/>
    <col min="7" max="7" width="2.7265625" customWidth="1"/>
    <col min="8" max="8" width="9.453125" hidden="1" customWidth="1"/>
    <col min="9" max="23" width="3.26953125" customWidth="1"/>
    <col min="24" max="24" width="4.08984375" customWidth="1"/>
    <col min="25" max="25" width="2.54296875" bestFit="1" customWidth="1"/>
    <col min="26" max="64" width="3.26953125" customWidth="1"/>
  </cols>
  <sheetData>
    <row r="1" spans="1:64" ht="30" customHeight="1" x14ac:dyDescent="0.65">
      <c r="A1" s="121" t="s">
        <v>0</v>
      </c>
      <c r="B1" s="92" t="s">
        <v>34</v>
      </c>
      <c r="C1" s="40"/>
      <c r="D1" s="1"/>
      <c r="E1" s="41"/>
      <c r="F1" s="42"/>
      <c r="H1" s="1"/>
      <c r="I1" s="17"/>
    </row>
    <row r="2" spans="1:64" ht="30" customHeight="1" x14ac:dyDescent="0.4">
      <c r="A2" s="14" t="s">
        <v>1</v>
      </c>
      <c r="B2" s="93" t="s">
        <v>35</v>
      </c>
      <c r="I2" s="18"/>
    </row>
    <row r="3" spans="1:64" ht="30" customHeight="1" x14ac:dyDescent="0.35">
      <c r="A3" s="14" t="s">
        <v>2</v>
      </c>
      <c r="B3" s="94" t="s">
        <v>36</v>
      </c>
      <c r="C3" s="152" t="s">
        <v>13</v>
      </c>
      <c r="D3" s="152"/>
      <c r="E3" s="153">
        <v>45958</v>
      </c>
      <c r="F3" s="154"/>
    </row>
    <row r="4" spans="1:64" s="20" customFormat="1" ht="30" customHeight="1" x14ac:dyDescent="0.3">
      <c r="A4" s="122" t="s">
        <v>3</v>
      </c>
      <c r="C4" s="152" t="s">
        <v>14</v>
      </c>
      <c r="D4" s="152"/>
      <c r="E4" s="49">
        <v>25</v>
      </c>
      <c r="I4" s="148">
        <f>I5</f>
        <v>46125</v>
      </c>
      <c r="J4" s="148"/>
      <c r="K4" s="148"/>
      <c r="L4" s="148"/>
      <c r="M4" s="148"/>
      <c r="N4" s="148"/>
      <c r="O4" s="149"/>
      <c r="P4" s="147">
        <f>P5</f>
        <v>46132</v>
      </c>
      <c r="Q4" s="148"/>
      <c r="R4" s="148"/>
      <c r="S4" s="148"/>
      <c r="T4" s="148"/>
      <c r="U4" s="148"/>
      <c r="V4" s="149"/>
      <c r="W4" s="147">
        <f>W5</f>
        <v>46139</v>
      </c>
      <c r="X4" s="148"/>
      <c r="Y4" s="148"/>
      <c r="Z4" s="148"/>
      <c r="AA4" s="148"/>
      <c r="AB4" s="148"/>
      <c r="AC4" s="149"/>
      <c r="AD4" s="147">
        <f>AD5</f>
        <v>46146</v>
      </c>
      <c r="AE4" s="148"/>
      <c r="AF4" s="148"/>
      <c r="AG4" s="148"/>
      <c r="AH4" s="148"/>
      <c r="AI4" s="148"/>
      <c r="AJ4" s="149"/>
      <c r="AK4" s="147">
        <f>AK5</f>
        <v>46153</v>
      </c>
      <c r="AL4" s="148"/>
      <c r="AM4" s="148"/>
      <c r="AN4" s="148"/>
      <c r="AO4" s="148"/>
      <c r="AP4" s="148"/>
      <c r="AQ4" s="149"/>
      <c r="AR4" s="147">
        <f>AR5</f>
        <v>46160</v>
      </c>
      <c r="AS4" s="148"/>
      <c r="AT4" s="148"/>
      <c r="AU4" s="148"/>
      <c r="AV4" s="148"/>
      <c r="AW4" s="148"/>
      <c r="AX4" s="149"/>
      <c r="AY4" s="147">
        <f>AY5</f>
        <v>46167</v>
      </c>
      <c r="AZ4" s="148"/>
      <c r="BA4" s="148"/>
      <c r="BB4" s="148"/>
      <c r="BC4" s="148"/>
      <c r="BD4" s="148"/>
      <c r="BE4" s="149"/>
      <c r="BF4" s="147">
        <f>BF5</f>
        <v>46174</v>
      </c>
      <c r="BG4" s="148"/>
      <c r="BH4" s="148"/>
      <c r="BI4" s="148"/>
      <c r="BJ4" s="148"/>
      <c r="BK4" s="148"/>
      <c r="BL4" s="149"/>
    </row>
    <row r="5" spans="1:64" ht="15" customHeight="1" x14ac:dyDescent="0.35">
      <c r="A5" s="121" t="s">
        <v>4</v>
      </c>
      <c r="E5"/>
      <c r="I5" s="89">
        <f>Inicio_del_proyecto-WEEKDAY(Inicio_del_proyecto,1)+2+7*(Semana_para_mostrar-1)</f>
        <v>46125</v>
      </c>
      <c r="J5" s="89">
        <f>I5+1</f>
        <v>46126</v>
      </c>
      <c r="K5" s="89">
        <f t="shared" ref="K5:AX5" si="0">J5+1</f>
        <v>46127</v>
      </c>
      <c r="L5" s="89">
        <f t="shared" si="0"/>
        <v>46128</v>
      </c>
      <c r="M5" s="89">
        <f t="shared" si="0"/>
        <v>46129</v>
      </c>
      <c r="N5" s="89">
        <f t="shared" si="0"/>
        <v>46130</v>
      </c>
      <c r="O5" s="90">
        <f t="shared" si="0"/>
        <v>46131</v>
      </c>
      <c r="P5" s="88">
        <f>O5+1</f>
        <v>46132</v>
      </c>
      <c r="Q5" s="89">
        <f>P5+1</f>
        <v>46133</v>
      </c>
      <c r="R5" s="89">
        <f t="shared" si="0"/>
        <v>46134</v>
      </c>
      <c r="S5" s="89">
        <f t="shared" si="0"/>
        <v>46135</v>
      </c>
      <c r="T5" s="89">
        <f t="shared" si="0"/>
        <v>46136</v>
      </c>
      <c r="U5" s="89">
        <f t="shared" si="0"/>
        <v>46137</v>
      </c>
      <c r="V5" s="90">
        <f t="shared" si="0"/>
        <v>46138</v>
      </c>
      <c r="W5" s="88">
        <f>V5+1</f>
        <v>46139</v>
      </c>
      <c r="X5" s="89">
        <f>W5+1</f>
        <v>46140</v>
      </c>
      <c r="Y5" s="89">
        <f t="shared" si="0"/>
        <v>46141</v>
      </c>
      <c r="Z5" s="89">
        <f t="shared" si="0"/>
        <v>46142</v>
      </c>
      <c r="AA5" s="89">
        <f t="shared" si="0"/>
        <v>46143</v>
      </c>
      <c r="AB5" s="89">
        <f t="shared" si="0"/>
        <v>46144</v>
      </c>
      <c r="AC5" s="90">
        <f t="shared" si="0"/>
        <v>46145</v>
      </c>
      <c r="AD5" s="88">
        <f>AC5+1</f>
        <v>46146</v>
      </c>
      <c r="AE5" s="89">
        <f>AD5+1</f>
        <v>46147</v>
      </c>
      <c r="AF5" s="89">
        <f t="shared" si="0"/>
        <v>46148</v>
      </c>
      <c r="AG5" s="89">
        <f t="shared" si="0"/>
        <v>46149</v>
      </c>
      <c r="AH5" s="89">
        <f t="shared" si="0"/>
        <v>46150</v>
      </c>
      <c r="AI5" s="89">
        <f t="shared" si="0"/>
        <v>46151</v>
      </c>
      <c r="AJ5" s="90">
        <f t="shared" si="0"/>
        <v>46152</v>
      </c>
      <c r="AK5" s="88">
        <f>AJ5+1</f>
        <v>46153</v>
      </c>
      <c r="AL5" s="89">
        <f>AK5+1</f>
        <v>46154</v>
      </c>
      <c r="AM5" s="89">
        <f t="shared" si="0"/>
        <v>46155</v>
      </c>
      <c r="AN5" s="89">
        <f t="shared" si="0"/>
        <v>46156</v>
      </c>
      <c r="AO5" s="89">
        <f t="shared" si="0"/>
        <v>46157</v>
      </c>
      <c r="AP5" s="89">
        <f t="shared" si="0"/>
        <v>46158</v>
      </c>
      <c r="AQ5" s="90">
        <f t="shared" si="0"/>
        <v>46159</v>
      </c>
      <c r="AR5" s="88">
        <f>AQ5+1</f>
        <v>46160</v>
      </c>
      <c r="AS5" s="89">
        <f>AR5+1</f>
        <v>46161</v>
      </c>
      <c r="AT5" s="89">
        <f t="shared" si="0"/>
        <v>46162</v>
      </c>
      <c r="AU5" s="89">
        <f t="shared" si="0"/>
        <v>46163</v>
      </c>
      <c r="AV5" s="89">
        <f t="shared" si="0"/>
        <v>46164</v>
      </c>
      <c r="AW5" s="89">
        <f t="shared" si="0"/>
        <v>46165</v>
      </c>
      <c r="AX5" s="90">
        <f t="shared" si="0"/>
        <v>46166</v>
      </c>
      <c r="AY5" s="88">
        <f t="shared" ref="AY5:BL5" si="1">AX5+1</f>
        <v>46167</v>
      </c>
      <c r="AZ5" s="89">
        <f t="shared" si="1"/>
        <v>46168</v>
      </c>
      <c r="BA5" s="89">
        <f t="shared" si="1"/>
        <v>46169</v>
      </c>
      <c r="BB5" s="89">
        <f t="shared" si="1"/>
        <v>46170</v>
      </c>
      <c r="BC5" s="89">
        <f t="shared" si="1"/>
        <v>46171</v>
      </c>
      <c r="BD5" s="89">
        <f t="shared" si="1"/>
        <v>46172</v>
      </c>
      <c r="BE5" s="90">
        <f t="shared" si="1"/>
        <v>46173</v>
      </c>
      <c r="BF5" s="88">
        <f t="shared" si="1"/>
        <v>46174</v>
      </c>
      <c r="BG5" s="89">
        <f t="shared" si="1"/>
        <v>46175</v>
      </c>
      <c r="BH5" s="89">
        <f t="shared" si="1"/>
        <v>46176</v>
      </c>
      <c r="BI5" s="89">
        <f t="shared" si="1"/>
        <v>46177</v>
      </c>
      <c r="BJ5" s="89">
        <f t="shared" si="1"/>
        <v>46178</v>
      </c>
      <c r="BK5" s="89">
        <f t="shared" si="1"/>
        <v>46179</v>
      </c>
      <c r="BL5" s="90">
        <f t="shared" si="1"/>
        <v>46180</v>
      </c>
    </row>
    <row r="6" spans="1:64" s="22" customFormat="1" ht="30" customHeight="1" thickBot="1" x14ac:dyDescent="0.35">
      <c r="A6" s="123" t="s">
        <v>5</v>
      </c>
      <c r="B6" s="95" t="s">
        <v>12</v>
      </c>
      <c r="C6" s="50" t="s">
        <v>75</v>
      </c>
      <c r="D6" s="50" t="s">
        <v>15</v>
      </c>
      <c r="E6" s="50" t="s">
        <v>16</v>
      </c>
      <c r="F6" s="50" t="s">
        <v>17</v>
      </c>
      <c r="G6" s="50"/>
      <c r="H6" s="50" t="s">
        <v>18</v>
      </c>
      <c r="I6" s="118" t="str">
        <f t="shared" ref="I6:BL6" si="2">LEFT(TEXT(I5,"ddd"),1)</f>
        <v>l</v>
      </c>
      <c r="J6" s="91" t="str">
        <f t="shared" si="2"/>
        <v>m</v>
      </c>
      <c r="K6" s="91" t="str">
        <f t="shared" si="2"/>
        <v>m</v>
      </c>
      <c r="L6" s="91" t="str">
        <f t="shared" si="2"/>
        <v>j</v>
      </c>
      <c r="M6" s="91" t="str">
        <f t="shared" si="2"/>
        <v>v</v>
      </c>
      <c r="N6" s="91" t="str">
        <f t="shared" si="2"/>
        <v>s</v>
      </c>
      <c r="O6" s="91" t="str">
        <f t="shared" si="2"/>
        <v>d</v>
      </c>
      <c r="P6" s="91" t="str">
        <f t="shared" si="2"/>
        <v>l</v>
      </c>
      <c r="Q6" s="91" t="str">
        <f t="shared" si="2"/>
        <v>m</v>
      </c>
      <c r="R6" s="91" t="str">
        <f t="shared" si="2"/>
        <v>m</v>
      </c>
      <c r="S6" s="91" t="str">
        <f t="shared" si="2"/>
        <v>j</v>
      </c>
      <c r="T6" s="91" t="str">
        <f t="shared" si="2"/>
        <v>v</v>
      </c>
      <c r="U6" s="91" t="str">
        <f t="shared" si="2"/>
        <v>s</v>
      </c>
      <c r="V6" s="91" t="str">
        <f t="shared" si="2"/>
        <v>d</v>
      </c>
      <c r="W6" s="91" t="str">
        <f t="shared" si="2"/>
        <v>l</v>
      </c>
      <c r="X6" s="91" t="str">
        <f t="shared" si="2"/>
        <v>m</v>
      </c>
      <c r="Y6" s="91" t="str">
        <f t="shared" si="2"/>
        <v>m</v>
      </c>
      <c r="Z6" s="91" t="str">
        <f t="shared" si="2"/>
        <v>j</v>
      </c>
      <c r="AA6" s="91" t="str">
        <f t="shared" si="2"/>
        <v>v</v>
      </c>
      <c r="AB6" s="91" t="str">
        <f t="shared" si="2"/>
        <v>s</v>
      </c>
      <c r="AC6" s="91" t="str">
        <f t="shared" si="2"/>
        <v>d</v>
      </c>
      <c r="AD6" s="91" t="str">
        <f t="shared" si="2"/>
        <v>l</v>
      </c>
      <c r="AE6" s="91" t="str">
        <f t="shared" si="2"/>
        <v>m</v>
      </c>
      <c r="AF6" s="91" t="str">
        <f t="shared" si="2"/>
        <v>m</v>
      </c>
      <c r="AG6" s="91" t="str">
        <f t="shared" si="2"/>
        <v>j</v>
      </c>
      <c r="AH6" s="91" t="str">
        <f t="shared" si="2"/>
        <v>v</v>
      </c>
      <c r="AI6" s="91" t="str">
        <f t="shared" si="2"/>
        <v>s</v>
      </c>
      <c r="AJ6" s="91" t="str">
        <f t="shared" si="2"/>
        <v>d</v>
      </c>
      <c r="AK6" s="91" t="str">
        <f t="shared" si="2"/>
        <v>l</v>
      </c>
      <c r="AL6" s="91" t="str">
        <f t="shared" si="2"/>
        <v>m</v>
      </c>
      <c r="AM6" s="91" t="str">
        <f t="shared" si="2"/>
        <v>m</v>
      </c>
      <c r="AN6" s="91" t="str">
        <f t="shared" si="2"/>
        <v>j</v>
      </c>
      <c r="AO6" s="91" t="str">
        <f t="shared" si="2"/>
        <v>v</v>
      </c>
      <c r="AP6" s="91" t="str">
        <f t="shared" si="2"/>
        <v>s</v>
      </c>
      <c r="AQ6" s="91" t="str">
        <f t="shared" si="2"/>
        <v>d</v>
      </c>
      <c r="AR6" s="91" t="str">
        <f t="shared" si="2"/>
        <v>l</v>
      </c>
      <c r="AS6" s="91" t="str">
        <f t="shared" si="2"/>
        <v>m</v>
      </c>
      <c r="AT6" s="91" t="str">
        <f t="shared" si="2"/>
        <v>m</v>
      </c>
      <c r="AU6" s="91" t="str">
        <f t="shared" si="2"/>
        <v>j</v>
      </c>
      <c r="AV6" s="91" t="str">
        <f t="shared" si="2"/>
        <v>v</v>
      </c>
      <c r="AW6" s="91" t="str">
        <f t="shared" si="2"/>
        <v>s</v>
      </c>
      <c r="AX6" s="91" t="str">
        <f t="shared" si="2"/>
        <v>d</v>
      </c>
      <c r="AY6" s="91" t="str">
        <f t="shared" si="2"/>
        <v>l</v>
      </c>
      <c r="AZ6" s="91" t="str">
        <f t="shared" si="2"/>
        <v>m</v>
      </c>
      <c r="BA6" s="91" t="str">
        <f t="shared" si="2"/>
        <v>m</v>
      </c>
      <c r="BB6" s="91" t="str">
        <f t="shared" si="2"/>
        <v>j</v>
      </c>
      <c r="BC6" s="91" t="str">
        <f t="shared" si="2"/>
        <v>v</v>
      </c>
      <c r="BD6" s="91" t="str">
        <f t="shared" si="2"/>
        <v>s</v>
      </c>
      <c r="BE6" s="91" t="str">
        <f t="shared" si="2"/>
        <v>d</v>
      </c>
      <c r="BF6" s="91" t="str">
        <f t="shared" si="2"/>
        <v>l</v>
      </c>
      <c r="BG6" s="91" t="str">
        <f t="shared" si="2"/>
        <v>m</v>
      </c>
      <c r="BH6" s="91" t="str">
        <f t="shared" si="2"/>
        <v>m</v>
      </c>
      <c r="BI6" s="91" t="str">
        <f t="shared" si="2"/>
        <v>j</v>
      </c>
      <c r="BJ6" s="91" t="str">
        <f t="shared" si="2"/>
        <v>v</v>
      </c>
      <c r="BK6" s="91" t="str">
        <f t="shared" si="2"/>
        <v>s</v>
      </c>
      <c r="BL6" s="91" t="str">
        <f t="shared" si="2"/>
        <v>d</v>
      </c>
    </row>
    <row r="7" spans="1:64" ht="1.5" customHeight="1" thickBot="1" x14ac:dyDescent="0.4">
      <c r="A7" s="14" t="s">
        <v>6</v>
      </c>
      <c r="B7" s="96"/>
      <c r="C7" s="97"/>
      <c r="D7" s="96"/>
      <c r="E7" s="96"/>
      <c r="F7" s="96"/>
      <c r="G7" s="96"/>
      <c r="H7" s="96" t="str">
        <f>IF(OR(ISBLANK(task_start),ISBLANK(task_end)),"",task_end-task_start+1)</f>
        <v/>
      </c>
      <c r="I7" s="68"/>
      <c r="J7" s="6"/>
      <c r="K7" s="6"/>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row>
    <row r="8" spans="1:64" s="21" customFormat="1" ht="25" customHeight="1" thickBot="1" x14ac:dyDescent="0.4">
      <c r="A8" s="121" t="s">
        <v>7</v>
      </c>
      <c r="B8" s="99" t="s">
        <v>37</v>
      </c>
      <c r="C8" s="100"/>
      <c r="D8" s="60">
        <f>+AVERAGE(D9:D15)</f>
        <v>0.26428571428571429</v>
      </c>
      <c r="E8" s="62"/>
      <c r="F8" s="101">
        <f>+F15-E11+1</f>
        <v>212</v>
      </c>
      <c r="G8" s="62"/>
      <c r="H8" s="102"/>
    </row>
    <row r="9" spans="1:64" s="24" customFormat="1" ht="25" customHeight="1" thickBot="1" x14ac:dyDescent="0.4">
      <c r="A9" s="121" t="s">
        <v>8</v>
      </c>
      <c r="B9" s="103" t="s">
        <v>42</v>
      </c>
      <c r="C9" s="104" t="s">
        <v>47</v>
      </c>
      <c r="D9" s="75">
        <v>0.9</v>
      </c>
      <c r="E9" s="76">
        <f>Inicio_del_proyecto</f>
        <v>45958</v>
      </c>
      <c r="F9" s="76">
        <v>46173</v>
      </c>
      <c r="G9" s="77"/>
      <c r="H9" s="78">
        <f t="shared" ref="H9:H45" si="3">IF(OR(ISBLANK(task_start),ISBLANK(task_end)),"",task_end-task_start+1)</f>
        <v>216</v>
      </c>
      <c r="I9" s="64"/>
      <c r="J9" s="23"/>
      <c r="K9" s="23"/>
      <c r="L9" s="23"/>
      <c r="M9" s="23"/>
      <c r="N9" s="23"/>
      <c r="O9" s="23"/>
      <c r="P9" s="23"/>
      <c r="Q9" s="23"/>
      <c r="R9" s="23"/>
      <c r="S9" s="23"/>
      <c r="T9" s="23"/>
      <c r="U9" s="23"/>
      <c r="V9" s="23"/>
      <c r="W9" s="23"/>
      <c r="X9" s="23"/>
      <c r="Y9" s="23"/>
      <c r="Z9" s="23"/>
      <c r="AA9" s="23"/>
      <c r="AB9" s="23"/>
      <c r="AC9" s="23"/>
      <c r="AD9" s="23"/>
      <c r="AE9" s="23"/>
      <c r="AF9" s="23"/>
      <c r="AG9" s="23"/>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s="25" customFormat="1" ht="25" customHeight="1" thickBot="1" x14ac:dyDescent="0.4">
      <c r="A10" s="121" t="s">
        <v>8</v>
      </c>
      <c r="B10" s="105" t="s">
        <v>40</v>
      </c>
      <c r="C10" s="106" t="s">
        <v>36</v>
      </c>
      <c r="D10" s="71">
        <v>0.7</v>
      </c>
      <c r="E10" s="72">
        <v>45962</v>
      </c>
      <c r="F10" s="72">
        <v>46203</v>
      </c>
      <c r="G10" s="73"/>
      <c r="H10" s="48">
        <f t="shared" si="3"/>
        <v>242</v>
      </c>
      <c r="I10" s="64"/>
      <c r="J10" s="23"/>
      <c r="K10" s="23"/>
      <c r="L10" s="23"/>
      <c r="M10" s="23"/>
      <c r="N10" s="23"/>
      <c r="O10" s="23"/>
      <c r="P10" s="23"/>
      <c r="Q10" s="23"/>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s="25" customFormat="1" ht="25" customHeight="1" thickBot="1" x14ac:dyDescent="0.4">
      <c r="A11" s="121"/>
      <c r="B11" s="103" t="s">
        <v>56</v>
      </c>
      <c r="C11" s="104" t="s">
        <v>36</v>
      </c>
      <c r="D11" s="75">
        <v>0.25</v>
      </c>
      <c r="E11" s="76">
        <v>46023</v>
      </c>
      <c r="F11" s="76">
        <v>46203</v>
      </c>
      <c r="G11" s="77"/>
      <c r="H11" s="78"/>
      <c r="I11" s="64"/>
      <c r="J11" s="23"/>
      <c r="K11" s="23"/>
      <c r="L11" s="23"/>
      <c r="M11" s="23"/>
      <c r="N11" s="23"/>
      <c r="O11" s="23"/>
      <c r="P11" s="23"/>
      <c r="Q11" s="23"/>
      <c r="R11" s="23"/>
      <c r="S11" s="23"/>
      <c r="T11" s="23"/>
      <c r="U11" s="23"/>
      <c r="V11" s="23"/>
      <c r="W11" s="23"/>
      <c r="X11" s="23"/>
      <c r="Y11" s="23"/>
      <c r="Z11" s="23"/>
      <c r="AA11" s="23"/>
      <c r="AB11" s="23"/>
      <c r="AC11" s="23"/>
      <c r="AD11" s="23"/>
      <c r="AE11" s="23"/>
      <c r="AF11" s="23"/>
      <c r="AG11" s="23"/>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s="25" customFormat="1" ht="25" customHeight="1" thickBot="1" x14ac:dyDescent="0.4">
      <c r="A12" s="14"/>
      <c r="B12" s="105" t="s">
        <v>43</v>
      </c>
      <c r="C12" s="106" t="s">
        <v>36</v>
      </c>
      <c r="D12" s="71">
        <v>0</v>
      </c>
      <c r="E12" s="72">
        <f>+F11+1</f>
        <v>46204</v>
      </c>
      <c r="F12" s="72">
        <v>46295</v>
      </c>
      <c r="G12" s="73"/>
      <c r="H12" s="48">
        <f t="shared" si="3"/>
        <v>92</v>
      </c>
      <c r="I12" s="64"/>
      <c r="J12" s="23"/>
      <c r="K12" s="23"/>
      <c r="L12" s="23"/>
      <c r="M12" s="23"/>
      <c r="N12" s="23"/>
      <c r="O12" s="23"/>
      <c r="P12" s="23"/>
      <c r="Q12" s="23"/>
      <c r="R12" s="23"/>
      <c r="S12" s="23"/>
      <c r="T12" s="23"/>
      <c r="U12" s="23"/>
      <c r="V12" s="23"/>
      <c r="W12" s="23"/>
      <c r="X12" s="23"/>
      <c r="Y12" s="23"/>
      <c r="Z12" s="23"/>
      <c r="AA12" s="23"/>
      <c r="AB12" s="23"/>
      <c r="AC12" s="23"/>
      <c r="AD12" s="23"/>
      <c r="AE12" s="23"/>
      <c r="AF12" s="23"/>
      <c r="AG12" s="23"/>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s="25" customFormat="1" ht="25" customHeight="1" thickBot="1" x14ac:dyDescent="0.4">
      <c r="A13" s="14"/>
      <c r="B13" s="103" t="s">
        <v>44</v>
      </c>
      <c r="C13" s="104" t="s">
        <v>36</v>
      </c>
      <c r="D13" s="75">
        <v>0</v>
      </c>
      <c r="E13" s="76">
        <f>+F12+1</f>
        <v>46296</v>
      </c>
      <c r="F13" s="76">
        <f>+WORKDAY(E13,4)</f>
        <v>46302</v>
      </c>
      <c r="G13" s="77"/>
      <c r="H13" s="78">
        <f t="shared" si="3"/>
        <v>7</v>
      </c>
      <c r="I13" s="64"/>
      <c r="J13" s="23"/>
      <c r="K13" s="23"/>
      <c r="L13" s="23"/>
      <c r="M13" s="23"/>
      <c r="N13" s="23"/>
      <c r="O13" s="23"/>
      <c r="P13" s="23"/>
      <c r="Q13" s="23"/>
      <c r="R13" s="23"/>
      <c r="S13" s="23"/>
      <c r="T13" s="23"/>
      <c r="U13" s="23"/>
      <c r="V13" s="23"/>
      <c r="W13" s="2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s="25" customFormat="1" ht="25" customHeight="1" thickBot="1" x14ac:dyDescent="0.4">
      <c r="A14" s="14"/>
      <c r="B14" s="105" t="s">
        <v>70</v>
      </c>
      <c r="C14" s="106" t="s">
        <v>36</v>
      </c>
      <c r="D14" s="71">
        <v>0</v>
      </c>
      <c r="E14" s="72">
        <f>+F13+1</f>
        <v>46303</v>
      </c>
      <c r="F14" s="72">
        <f>+WORKDAY(E14,7)</f>
        <v>46314</v>
      </c>
      <c r="G14" s="73"/>
      <c r="H14" s="48"/>
      <c r="I14" s="64"/>
      <c r="J14" s="23"/>
      <c r="K14" s="23"/>
      <c r="L14" s="23"/>
      <c r="M14" s="23"/>
      <c r="N14" s="23"/>
      <c r="O14" s="23"/>
      <c r="P14" s="23"/>
      <c r="Q14" s="23"/>
      <c r="R14" s="23"/>
      <c r="S14" s="23"/>
      <c r="T14" s="23"/>
      <c r="U14" s="23"/>
      <c r="V14" s="23"/>
      <c r="W14" s="23"/>
      <c r="X14" s="23"/>
      <c r="Y14" s="23"/>
      <c r="Z14" s="23"/>
      <c r="AA14" s="23"/>
      <c r="AB14" s="23"/>
      <c r="AC14" s="23"/>
      <c r="AD14" s="23"/>
      <c r="AE14" s="23"/>
      <c r="AF14" s="23"/>
      <c r="AG14" s="23"/>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s="27" customFormat="1" ht="25" customHeight="1" x14ac:dyDescent="0.35">
      <c r="A15" s="14"/>
      <c r="B15" s="103" t="s">
        <v>76</v>
      </c>
      <c r="C15" s="104" t="s">
        <v>36</v>
      </c>
      <c r="D15" s="75">
        <v>0</v>
      </c>
      <c r="E15" s="76">
        <v>46160</v>
      </c>
      <c r="F15" s="76">
        <v>46234</v>
      </c>
      <c r="G15" s="77"/>
      <c r="H15" s="78"/>
      <c r="I15" s="98"/>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1"/>
      <c r="BD15" s="31"/>
      <c r="BE15" s="31"/>
      <c r="BF15" s="31"/>
      <c r="BG15" s="31"/>
      <c r="BH15" s="31"/>
      <c r="BI15" s="31"/>
      <c r="BJ15" s="31"/>
      <c r="BK15" s="31"/>
      <c r="BL15" s="31"/>
    </row>
    <row r="16" spans="1:64" s="29" customFormat="1" ht="25" customHeight="1" thickBot="1" x14ac:dyDescent="0.4">
      <c r="A16" s="121" t="s">
        <v>10</v>
      </c>
      <c r="B16" s="99" t="s">
        <v>65</v>
      </c>
      <c r="C16" s="100"/>
      <c r="D16" s="60">
        <f>+AVERAGE(D17:D24)</f>
        <v>0.41875000000000001</v>
      </c>
      <c r="E16" s="62"/>
      <c r="F16" s="101">
        <f>+F24-E17+1</f>
        <v>36</v>
      </c>
      <c r="G16" s="62"/>
      <c r="H16" s="102"/>
    </row>
    <row r="17" spans="1:64" s="24" customFormat="1" ht="25" customHeight="1" thickBot="1" x14ac:dyDescent="0.4">
      <c r="A17" s="121"/>
      <c r="B17" s="107" t="s">
        <v>78</v>
      </c>
      <c r="C17" s="104" t="s">
        <v>36</v>
      </c>
      <c r="D17" s="75">
        <v>0.9</v>
      </c>
      <c r="E17" s="76">
        <v>45958</v>
      </c>
      <c r="F17" s="76">
        <v>46173</v>
      </c>
      <c r="G17" s="77"/>
      <c r="H17" s="78">
        <f t="shared" si="3"/>
        <v>216</v>
      </c>
      <c r="I17" s="64"/>
      <c r="J17" s="23"/>
      <c r="K17" s="23"/>
      <c r="L17" s="23"/>
      <c r="M17" s="23"/>
      <c r="N17" s="23"/>
      <c r="O17" s="23"/>
      <c r="P17" s="23"/>
      <c r="Q17" s="23"/>
      <c r="R17" s="23"/>
      <c r="S17" s="23"/>
      <c r="T17" s="23"/>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s="25" customFormat="1" ht="25" customHeight="1" thickBot="1" x14ac:dyDescent="0.4">
      <c r="A18" s="14"/>
      <c r="B18" s="105" t="s">
        <v>79</v>
      </c>
      <c r="C18" s="106" t="s">
        <v>36</v>
      </c>
      <c r="D18" s="71">
        <v>0.85</v>
      </c>
      <c r="E18" s="72">
        <v>45958</v>
      </c>
      <c r="F18" s="72">
        <v>45991</v>
      </c>
      <c r="G18" s="73"/>
      <c r="H18" s="48">
        <f t="shared" si="3"/>
        <v>34</v>
      </c>
      <c r="I18" s="68"/>
      <c r="J18" s="6"/>
      <c r="K18" s="6"/>
      <c r="L18" s="6"/>
      <c r="M18" s="6"/>
      <c r="N18" s="6"/>
      <c r="O18" s="6"/>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row>
    <row r="19" spans="1:64" s="25" customFormat="1" ht="25" customHeight="1" thickBot="1" x14ac:dyDescent="0.4">
      <c r="A19" s="14"/>
      <c r="B19" s="103" t="s">
        <v>80</v>
      </c>
      <c r="C19" s="104" t="s">
        <v>36</v>
      </c>
      <c r="D19" s="75">
        <v>0.9</v>
      </c>
      <c r="E19" s="76">
        <v>45978</v>
      </c>
      <c r="F19" s="76">
        <f>+WORKDAY(E19,2)</f>
        <v>45980</v>
      </c>
      <c r="G19" s="77"/>
      <c r="H19" s="78">
        <f t="shared" si="3"/>
        <v>3</v>
      </c>
      <c r="I19" s="68"/>
      <c r="J19" s="6"/>
      <c r="K19" s="6"/>
      <c r="L19" s="6"/>
      <c r="M19" s="6"/>
      <c r="N19" s="6"/>
      <c r="O19" s="6"/>
      <c r="P19" s="6"/>
      <c r="Q19" s="6"/>
      <c r="R19" s="6"/>
      <c r="S19" s="6"/>
      <c r="T19" s="6"/>
      <c r="U19" s="6"/>
      <c r="V19" s="6"/>
      <c r="W19" s="6"/>
      <c r="X19" s="6"/>
      <c r="Y19" s="7"/>
      <c r="Z19" s="6"/>
      <c r="AA19" s="6"/>
      <c r="AB19" s="6"/>
      <c r="AC19" s="6"/>
      <c r="AD19" s="6"/>
      <c r="AE19" s="6"/>
      <c r="AF19" s="6"/>
      <c r="AG19" s="6"/>
      <c r="AH19" s="6"/>
      <c r="AI19" s="6"/>
      <c r="AJ19" s="6"/>
      <c r="AK19" s="6"/>
      <c r="AL19" s="6"/>
      <c r="AM19" s="6"/>
      <c r="AN19" s="6"/>
      <c r="AO19" s="6"/>
      <c r="AP19" s="6"/>
      <c r="AQ19" s="6"/>
      <c r="AR19" s="6"/>
      <c r="AS19" s="6"/>
      <c r="AT19" s="6"/>
      <c r="AU19" s="6"/>
      <c r="AV19" s="6"/>
      <c r="AW19" s="6"/>
      <c r="AX19" s="6"/>
      <c r="AY19" s="6"/>
      <c r="AZ19" s="6"/>
      <c r="BA19" s="6"/>
      <c r="BB19" s="6"/>
      <c r="BC19" s="6"/>
      <c r="BD19" s="6"/>
      <c r="BE19" s="6"/>
      <c r="BF19" s="6"/>
      <c r="BG19" s="6"/>
      <c r="BH19" s="6"/>
      <c r="BI19" s="6"/>
      <c r="BJ19" s="6"/>
      <c r="BK19" s="6"/>
      <c r="BL19" s="6"/>
    </row>
    <row r="20" spans="1:64" s="25" customFormat="1" ht="25" customHeight="1" thickBot="1" x14ac:dyDescent="0.4">
      <c r="A20" s="14"/>
      <c r="B20" s="105" t="s">
        <v>82</v>
      </c>
      <c r="C20" s="106" t="s">
        <v>36</v>
      </c>
      <c r="D20" s="71">
        <v>0.2</v>
      </c>
      <c r="E20" s="72">
        <v>45959</v>
      </c>
      <c r="F20" s="72">
        <f>+WORKDAY(E20,10)</f>
        <v>45973</v>
      </c>
      <c r="G20" s="73"/>
      <c r="H20" s="48">
        <f t="shared" si="3"/>
        <v>15</v>
      </c>
      <c r="I20" s="68"/>
      <c r="J20" s="6"/>
      <c r="K20" s="6"/>
      <c r="L20" s="6"/>
      <c r="M20" s="6"/>
      <c r="N20" s="6"/>
      <c r="O20" s="6"/>
      <c r="P20" s="6"/>
      <c r="Q20" s="6"/>
      <c r="R20" s="6"/>
      <c r="S20" s="6"/>
      <c r="T20" s="6"/>
      <c r="U20" s="7"/>
      <c r="V20" s="7"/>
      <c r="W20" s="6"/>
      <c r="X20" s="6"/>
      <c r="Y20" s="6"/>
      <c r="Z20" s="6"/>
      <c r="AA20" s="6"/>
      <c r="AB20" s="6"/>
      <c r="AC20" s="6"/>
      <c r="AD20" s="6"/>
      <c r="AE20" s="6"/>
      <c r="AF20" s="6"/>
      <c r="AG20" s="6"/>
      <c r="AH20" s="6"/>
      <c r="AI20" s="6"/>
      <c r="AJ20" s="6"/>
      <c r="AK20" s="6"/>
      <c r="AL20" s="6"/>
      <c r="AM20" s="6"/>
      <c r="AN20" s="6"/>
      <c r="AO20" s="6"/>
      <c r="AP20" s="6"/>
      <c r="AQ20" s="6"/>
      <c r="AR20" s="6"/>
      <c r="AS20" s="6"/>
      <c r="AT20" s="6"/>
      <c r="AU20" s="6"/>
      <c r="AV20" s="6"/>
      <c r="AW20" s="6"/>
      <c r="AX20" s="6"/>
      <c r="AY20" s="6"/>
      <c r="AZ20" s="6"/>
      <c r="BA20" s="6"/>
      <c r="BB20" s="6"/>
      <c r="BC20" s="6"/>
      <c r="BD20" s="6"/>
      <c r="BE20" s="6"/>
      <c r="BF20" s="6"/>
      <c r="BG20" s="6"/>
      <c r="BH20" s="6"/>
      <c r="BI20" s="6"/>
      <c r="BJ20" s="6"/>
      <c r="BK20" s="6"/>
      <c r="BL20" s="6"/>
    </row>
    <row r="21" spans="1:64" s="25" customFormat="1" ht="25" customHeight="1" thickBot="1" x14ac:dyDescent="0.4">
      <c r="A21" s="121"/>
      <c r="B21" s="103" t="s">
        <v>83</v>
      </c>
      <c r="C21" s="104" t="s">
        <v>36</v>
      </c>
      <c r="D21" s="75">
        <v>0.5</v>
      </c>
      <c r="E21" s="76">
        <v>45992</v>
      </c>
      <c r="F21" s="76">
        <v>46000</v>
      </c>
      <c r="G21" s="77"/>
      <c r="H21" s="78">
        <f t="shared" si="3"/>
        <v>9</v>
      </c>
      <c r="I21" s="68"/>
      <c r="J21" s="6"/>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V21" s="6"/>
      <c r="AW21" s="6"/>
      <c r="AX21" s="6"/>
      <c r="AY21" s="6"/>
      <c r="AZ21" s="6"/>
      <c r="BA21" s="6"/>
      <c r="BB21" s="6"/>
      <c r="BC21" s="6"/>
      <c r="BD21" s="6"/>
      <c r="BE21" s="6"/>
      <c r="BF21" s="6"/>
      <c r="BG21" s="6"/>
      <c r="BH21" s="6"/>
      <c r="BI21" s="6"/>
      <c r="BJ21" s="6"/>
      <c r="BK21" s="6"/>
      <c r="BL21" s="6"/>
    </row>
    <row r="22" spans="1:64" s="25" customFormat="1" ht="25" customHeight="1" thickBot="1" x14ac:dyDescent="0.4">
      <c r="A22" s="121"/>
      <c r="B22" s="105" t="s">
        <v>81</v>
      </c>
      <c r="C22" s="106" t="s">
        <v>36</v>
      </c>
      <c r="D22" s="71">
        <v>0</v>
      </c>
      <c r="E22" s="72">
        <f>+F20+1</f>
        <v>45974</v>
      </c>
      <c r="F22" s="72">
        <f>+WORKDAY(E22,4)</f>
        <v>45980</v>
      </c>
      <c r="G22" s="73"/>
      <c r="H22" s="48">
        <f t="shared" si="3"/>
        <v>7</v>
      </c>
      <c r="I22" s="68"/>
      <c r="J22" s="6"/>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V22" s="6"/>
      <c r="AW22" s="6"/>
      <c r="AX22" s="6"/>
      <c r="AY22" s="6"/>
      <c r="AZ22" s="6"/>
      <c r="BA22" s="6"/>
      <c r="BB22" s="6"/>
      <c r="BC22" s="6"/>
      <c r="BD22" s="6"/>
      <c r="BE22" s="6"/>
      <c r="BF22" s="6"/>
      <c r="BG22" s="6"/>
      <c r="BH22" s="6"/>
      <c r="BI22" s="6"/>
      <c r="BJ22" s="6"/>
      <c r="BK22" s="6"/>
      <c r="BL22" s="6"/>
    </row>
    <row r="23" spans="1:64" s="25" customFormat="1" ht="25" customHeight="1" thickBot="1" x14ac:dyDescent="0.4">
      <c r="A23" s="14"/>
      <c r="B23" s="103" t="s">
        <v>62</v>
      </c>
      <c r="C23" s="104" t="s">
        <v>36</v>
      </c>
      <c r="D23" s="75">
        <v>0</v>
      </c>
      <c r="E23" s="76">
        <f>+F19+1</f>
        <v>45981</v>
      </c>
      <c r="F23" s="76">
        <f>+WORKDAY(E23,3)</f>
        <v>45986</v>
      </c>
      <c r="G23" s="77"/>
      <c r="H23" s="78">
        <f t="shared" si="3"/>
        <v>6</v>
      </c>
      <c r="I23" s="68"/>
      <c r="J23" s="6"/>
      <c r="K23" s="6"/>
      <c r="L23" s="6"/>
      <c r="M23" s="6"/>
      <c r="N23" s="6"/>
      <c r="O23" s="6"/>
      <c r="P23" s="6"/>
      <c r="Q23" s="6"/>
      <c r="R23" s="6"/>
      <c r="S23" s="6"/>
      <c r="T23" s="6"/>
      <c r="U23" s="6"/>
      <c r="V23" s="6"/>
      <c r="W23" s="6"/>
      <c r="X23" s="6"/>
      <c r="Y23" s="6"/>
      <c r="Z23" s="6"/>
      <c r="AA23" s="6"/>
      <c r="AB23" s="6"/>
      <c r="AC23" s="6"/>
      <c r="AD23" s="6"/>
      <c r="AE23" s="6"/>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6"/>
      <c r="BI23" s="6"/>
      <c r="BJ23" s="6"/>
      <c r="BK23" s="6"/>
      <c r="BL23" s="6"/>
    </row>
    <row r="24" spans="1:64" s="27" customFormat="1" ht="25" customHeight="1" x14ac:dyDescent="0.35">
      <c r="A24" s="121"/>
      <c r="B24" s="108" t="s">
        <v>68</v>
      </c>
      <c r="C24" s="109" t="s">
        <v>36</v>
      </c>
      <c r="D24" s="110">
        <v>0</v>
      </c>
      <c r="E24" s="111">
        <f>+F23+1</f>
        <v>45987</v>
      </c>
      <c r="F24" s="111">
        <f>+WORKDAY(E24,4)</f>
        <v>45993</v>
      </c>
      <c r="G24" s="112"/>
      <c r="H24" s="113">
        <f t="shared" si="3"/>
        <v>7</v>
      </c>
      <c r="I24" s="83"/>
      <c r="J24" s="26"/>
      <c r="K24" s="26"/>
      <c r="L24" s="26"/>
      <c r="M24" s="26"/>
      <c r="N24" s="26"/>
      <c r="O24" s="26"/>
      <c r="P24" s="26"/>
      <c r="Q24" s="26"/>
      <c r="R24" s="26"/>
      <c r="S24" s="26"/>
      <c r="T24" s="26"/>
      <c r="U24" s="26"/>
      <c r="V24" s="26"/>
      <c r="W24" s="26"/>
      <c r="X24" s="26"/>
      <c r="Y24" s="26"/>
      <c r="Z24" s="26"/>
      <c r="AA24" s="26"/>
      <c r="AB24" s="26"/>
      <c r="AC24" s="26"/>
      <c r="AD24" s="26"/>
      <c r="AE24" s="26"/>
      <c r="AF24" s="26"/>
      <c r="AG24" s="26"/>
      <c r="AH24" s="26"/>
      <c r="AI24" s="26"/>
      <c r="AJ24" s="26"/>
      <c r="AK24" s="26"/>
      <c r="AL24" s="26"/>
      <c r="AM24" s="26"/>
      <c r="AN24" s="26"/>
      <c r="AO24" s="26"/>
      <c r="AP24" s="26"/>
      <c r="AQ24" s="26"/>
      <c r="AR24" s="26"/>
      <c r="AS24" s="26"/>
      <c r="AT24" s="26"/>
      <c r="AU24" s="26"/>
      <c r="AV24" s="26"/>
      <c r="AW24" s="26"/>
      <c r="AX24" s="26"/>
      <c r="AY24" s="26"/>
      <c r="AZ24" s="26"/>
      <c r="BA24" s="26"/>
      <c r="BB24" s="26"/>
      <c r="BC24" s="26"/>
      <c r="BD24" s="26"/>
      <c r="BE24" s="26"/>
      <c r="BF24" s="26"/>
      <c r="BG24" s="26"/>
      <c r="BH24" s="26"/>
      <c r="BI24" s="26"/>
      <c r="BJ24" s="26"/>
      <c r="BK24" s="26"/>
      <c r="BL24" s="26"/>
    </row>
    <row r="25" spans="1:64" s="28" customFormat="1" ht="25" customHeight="1" thickBot="1" x14ac:dyDescent="0.4">
      <c r="A25" s="14" t="s">
        <v>11</v>
      </c>
      <c r="B25" s="99" t="s">
        <v>38</v>
      </c>
      <c r="C25" s="100"/>
      <c r="D25" s="60">
        <f>+AVERAGE(D26:D41)</f>
        <v>0.39437499999999998</v>
      </c>
      <c r="E25" s="62"/>
      <c r="F25" s="101">
        <f>+F41-E26+1</f>
        <v>74</v>
      </c>
      <c r="G25" s="62"/>
      <c r="H25" s="102"/>
    </row>
    <row r="26" spans="1:64" s="24" customFormat="1" ht="25" customHeight="1" thickBot="1" x14ac:dyDescent="0.4">
      <c r="A26" s="14"/>
      <c r="B26" s="105" t="s">
        <v>58</v>
      </c>
      <c r="C26" s="106" t="s">
        <v>36</v>
      </c>
      <c r="D26" s="71">
        <v>0</v>
      </c>
      <c r="E26" s="72">
        <v>45962</v>
      </c>
      <c r="F26" s="72">
        <f>+WORKDAY(E26,4)</f>
        <v>45967</v>
      </c>
      <c r="G26" s="73"/>
      <c r="H26" s="48">
        <f t="shared" si="3"/>
        <v>6</v>
      </c>
      <c r="I26" s="64"/>
      <c r="J26" s="23"/>
      <c r="K26" s="23"/>
      <c r="L26" s="23"/>
      <c r="M26" s="23"/>
      <c r="N26" s="23"/>
      <c r="O26" s="23"/>
      <c r="P26" s="23"/>
      <c r="Q26" s="23"/>
      <c r="R26" s="23"/>
      <c r="S26" s="23"/>
      <c r="T26" s="23"/>
      <c r="U26" s="23"/>
      <c r="V26" s="23"/>
      <c r="W26" s="23"/>
      <c r="X26" s="23"/>
      <c r="Y26" s="23"/>
      <c r="Z26" s="23"/>
      <c r="AA26" s="23"/>
      <c r="AB26" s="23"/>
      <c r="AC26" s="23"/>
      <c r="AD26" s="23"/>
      <c r="AE26" s="23"/>
      <c r="AF26" s="23"/>
      <c r="AG26" s="23"/>
      <c r="AH26" s="23"/>
      <c r="AI26" s="23"/>
      <c r="AJ26" s="23"/>
      <c r="AK26" s="23"/>
      <c r="AL26" s="23"/>
      <c r="AM26" s="23"/>
      <c r="AN26" s="23"/>
      <c r="AO26" s="23"/>
      <c r="AP26" s="23"/>
      <c r="AQ26" s="23"/>
      <c r="AR26" s="23"/>
      <c r="AS26" s="23"/>
      <c r="AT26" s="23"/>
      <c r="AU26" s="23"/>
      <c r="AV26" s="23"/>
      <c r="AW26" s="23"/>
      <c r="AX26" s="23"/>
      <c r="AY26" s="23"/>
      <c r="AZ26" s="23"/>
      <c r="BA26" s="23"/>
      <c r="BB26" s="23"/>
      <c r="BC26" s="23"/>
      <c r="BD26" s="23"/>
      <c r="BE26" s="23"/>
      <c r="BF26" s="23"/>
      <c r="BG26" s="23"/>
      <c r="BH26" s="23"/>
      <c r="BI26" s="23"/>
      <c r="BJ26" s="23"/>
      <c r="BK26" s="23"/>
      <c r="BL26" s="23"/>
    </row>
    <row r="27" spans="1:64" s="25" customFormat="1" ht="25" customHeight="1" thickBot="1" x14ac:dyDescent="0.4">
      <c r="A27" s="121" t="s">
        <v>9</v>
      </c>
      <c r="B27" s="103" t="s">
        <v>39</v>
      </c>
      <c r="C27" s="104" t="s">
        <v>36</v>
      </c>
      <c r="D27" s="75">
        <v>0.9</v>
      </c>
      <c r="E27" s="76">
        <f>+F26</f>
        <v>45967</v>
      </c>
      <c r="F27" s="76">
        <f>+WORKDAY(E27,0)</f>
        <v>45967</v>
      </c>
      <c r="G27" s="77"/>
      <c r="H27" s="78">
        <f t="shared" si="3"/>
        <v>1</v>
      </c>
      <c r="I27" s="68"/>
      <c r="J27" s="6"/>
      <c r="K27" s="6"/>
      <c r="L27" s="6"/>
      <c r="M27" s="6"/>
      <c r="N27" s="6"/>
      <c r="O27" s="6"/>
      <c r="P27" s="6"/>
      <c r="Q27" s="6"/>
      <c r="R27" s="6"/>
      <c r="S27" s="6"/>
      <c r="T27" s="6"/>
      <c r="U27" s="7"/>
      <c r="V27" s="7"/>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row>
    <row r="28" spans="1:64" s="25" customFormat="1" ht="25" customHeight="1" thickBot="1" x14ac:dyDescent="0.4">
      <c r="A28" s="14"/>
      <c r="B28" s="105" t="s">
        <v>41</v>
      </c>
      <c r="C28" s="106" t="s">
        <v>36</v>
      </c>
      <c r="D28" s="71">
        <v>0.9</v>
      </c>
      <c r="E28" s="72">
        <f>+F27+0</f>
        <v>45967</v>
      </c>
      <c r="F28" s="72">
        <f>+WORKDAY(E28,0)</f>
        <v>45967</v>
      </c>
      <c r="G28" s="73"/>
      <c r="H28" s="48">
        <f t="shared" si="3"/>
        <v>1</v>
      </c>
      <c r="I28" s="68"/>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row>
    <row r="29" spans="1:64" s="25" customFormat="1" ht="25" customHeight="1" thickBot="1" x14ac:dyDescent="0.4">
      <c r="A29" s="14"/>
      <c r="B29" s="103" t="s">
        <v>45</v>
      </c>
      <c r="C29" s="104" t="s">
        <v>36</v>
      </c>
      <c r="D29" s="75">
        <v>0.7</v>
      </c>
      <c r="E29" s="76">
        <f>+F26+1</f>
        <v>45968</v>
      </c>
      <c r="F29" s="76">
        <f>+WORKDAY(E29,3)</f>
        <v>45973</v>
      </c>
      <c r="G29" s="77"/>
      <c r="H29" s="78">
        <f t="shared" si="3"/>
        <v>6</v>
      </c>
      <c r="I29" s="68"/>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row>
    <row r="30" spans="1:64" s="25" customFormat="1" ht="25" customHeight="1" thickBot="1" x14ac:dyDescent="0.4">
      <c r="A30" s="14"/>
      <c r="B30" s="105" t="s">
        <v>46</v>
      </c>
      <c r="C30" s="106" t="s">
        <v>36</v>
      </c>
      <c r="D30" s="71">
        <v>0.2</v>
      </c>
      <c r="E30" s="72">
        <f t="shared" ref="E30:E41" si="4">+F29+1</f>
        <v>45974</v>
      </c>
      <c r="F30" s="72">
        <f>+WORKDAY(E30,3)</f>
        <v>45979</v>
      </c>
      <c r="G30" s="73"/>
      <c r="H30" s="48">
        <f t="shared" si="3"/>
        <v>6</v>
      </c>
      <c r="I30" s="68"/>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row>
    <row r="31" spans="1:64" s="25" customFormat="1" ht="25" customHeight="1" thickBot="1" x14ac:dyDescent="0.4">
      <c r="A31" s="14"/>
      <c r="B31" s="103" t="s">
        <v>73</v>
      </c>
      <c r="C31" s="104" t="s">
        <v>36</v>
      </c>
      <c r="D31" s="75">
        <v>0.01</v>
      </c>
      <c r="E31" s="76">
        <f>+F30+1</f>
        <v>45980</v>
      </c>
      <c r="F31" s="76">
        <f>+WORKDAY(E31,1)</f>
        <v>45981</v>
      </c>
      <c r="G31" s="77"/>
      <c r="H31" s="78">
        <f t="shared" si="3"/>
        <v>2</v>
      </c>
      <c r="I31" s="68"/>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row>
    <row r="32" spans="1:64" s="25" customFormat="1" ht="25" customHeight="1" thickBot="1" x14ac:dyDescent="0.4">
      <c r="A32" s="14"/>
      <c r="B32" s="105" t="s">
        <v>51</v>
      </c>
      <c r="C32" s="106" t="s">
        <v>36</v>
      </c>
      <c r="D32" s="71">
        <v>0.5</v>
      </c>
      <c r="E32" s="72">
        <f t="shared" si="4"/>
        <v>45982</v>
      </c>
      <c r="F32" s="72">
        <f>+WORKDAY(E32,3)</f>
        <v>45987</v>
      </c>
      <c r="G32" s="73"/>
      <c r="H32" s="48">
        <f t="shared" si="3"/>
        <v>6</v>
      </c>
      <c r="I32" s="68"/>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row>
    <row r="33" spans="1:64" s="25" customFormat="1" ht="25" customHeight="1" thickBot="1" x14ac:dyDescent="0.4">
      <c r="A33" s="14"/>
      <c r="B33" s="103" t="s">
        <v>52</v>
      </c>
      <c r="C33" s="104" t="s">
        <v>36</v>
      </c>
      <c r="D33" s="75">
        <v>0.5</v>
      </c>
      <c r="E33" s="76">
        <f t="shared" si="4"/>
        <v>45988</v>
      </c>
      <c r="F33" s="76">
        <f>+WORKDAY(E33,3)</f>
        <v>45993</v>
      </c>
      <c r="G33" s="77"/>
      <c r="H33" s="78">
        <f t="shared" si="3"/>
        <v>6</v>
      </c>
      <c r="I33" s="68"/>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row>
    <row r="34" spans="1:64" s="25" customFormat="1" ht="25" customHeight="1" thickBot="1" x14ac:dyDescent="0.4">
      <c r="A34" s="14"/>
      <c r="B34" s="105" t="s">
        <v>49</v>
      </c>
      <c r="C34" s="106" t="s">
        <v>36</v>
      </c>
      <c r="D34" s="71">
        <v>0.5</v>
      </c>
      <c r="E34" s="72">
        <f t="shared" si="4"/>
        <v>45994</v>
      </c>
      <c r="F34" s="72">
        <f>+WORKDAY(E34,3)</f>
        <v>45999</v>
      </c>
      <c r="G34" s="73"/>
      <c r="H34" s="48">
        <f t="shared" si="3"/>
        <v>6</v>
      </c>
      <c r="I34" s="68"/>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row>
    <row r="35" spans="1:64" s="25" customFormat="1" ht="25" customHeight="1" thickBot="1" x14ac:dyDescent="0.4">
      <c r="A35" s="14"/>
      <c r="B35" s="103" t="s">
        <v>50</v>
      </c>
      <c r="C35" s="104" t="s">
        <v>36</v>
      </c>
      <c r="D35" s="75">
        <v>0.5</v>
      </c>
      <c r="E35" s="76">
        <f t="shared" si="4"/>
        <v>46000</v>
      </c>
      <c r="F35" s="76">
        <f>+WORKDAY(E35,3)</f>
        <v>46003</v>
      </c>
      <c r="G35" s="77"/>
      <c r="H35" s="78">
        <f t="shared" si="3"/>
        <v>4</v>
      </c>
      <c r="I35" s="68"/>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row>
    <row r="36" spans="1:64" s="25" customFormat="1" ht="25" customHeight="1" thickBot="1" x14ac:dyDescent="0.4">
      <c r="A36" s="14"/>
      <c r="B36" s="105" t="s">
        <v>48</v>
      </c>
      <c r="C36" s="106" t="s">
        <v>36</v>
      </c>
      <c r="D36" s="71">
        <v>0.8</v>
      </c>
      <c r="E36" s="72">
        <f t="shared" si="4"/>
        <v>46004</v>
      </c>
      <c r="F36" s="72">
        <f>+WORKDAY(E36,2)</f>
        <v>46007</v>
      </c>
      <c r="G36" s="73"/>
      <c r="H36" s="48">
        <f t="shared" si="3"/>
        <v>4</v>
      </c>
      <c r="I36" s="68"/>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row>
    <row r="37" spans="1:64" s="25" customFormat="1" ht="25" customHeight="1" thickBot="1" x14ac:dyDescent="0.4">
      <c r="A37" s="14"/>
      <c r="B37" s="103" t="s">
        <v>72</v>
      </c>
      <c r="C37" s="104" t="s">
        <v>36</v>
      </c>
      <c r="D37" s="75">
        <v>0.1</v>
      </c>
      <c r="E37" s="76">
        <f t="shared" si="4"/>
        <v>46008</v>
      </c>
      <c r="F37" s="76">
        <f>+WORKDAY(E37,3)</f>
        <v>46013</v>
      </c>
      <c r="G37" s="77"/>
      <c r="H37" s="78"/>
      <c r="I37" s="68"/>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row>
    <row r="38" spans="1:64" s="25" customFormat="1" ht="25" customHeight="1" thickBot="1" x14ac:dyDescent="0.4">
      <c r="A38" s="14"/>
      <c r="B38" s="105" t="s">
        <v>53</v>
      </c>
      <c r="C38" s="106" t="s">
        <v>36</v>
      </c>
      <c r="D38" s="71">
        <v>0</v>
      </c>
      <c r="E38" s="72">
        <f t="shared" si="4"/>
        <v>46014</v>
      </c>
      <c r="F38" s="72">
        <f>+WORKDAY(E38,3)</f>
        <v>46017</v>
      </c>
      <c r="G38" s="73"/>
      <c r="H38" s="48"/>
      <c r="I38" s="68"/>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row>
    <row r="39" spans="1:64" s="25" customFormat="1" ht="25" customHeight="1" thickBot="1" x14ac:dyDescent="0.4">
      <c r="A39" s="14"/>
      <c r="B39" s="103" t="s">
        <v>54</v>
      </c>
      <c r="C39" s="104" t="s">
        <v>36</v>
      </c>
      <c r="D39" s="75">
        <v>0</v>
      </c>
      <c r="E39" s="76">
        <f t="shared" si="4"/>
        <v>46018</v>
      </c>
      <c r="F39" s="76">
        <f>+WORKDAY(E39,3)</f>
        <v>46022</v>
      </c>
      <c r="G39" s="77"/>
      <c r="H39" s="78"/>
      <c r="I39" s="68"/>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row>
    <row r="40" spans="1:64" s="25" customFormat="1" ht="25" customHeight="1" thickBot="1" x14ac:dyDescent="0.4">
      <c r="A40" s="14"/>
      <c r="B40" s="105" t="s">
        <v>55</v>
      </c>
      <c r="C40" s="106" t="s">
        <v>36</v>
      </c>
      <c r="D40" s="71">
        <v>0.5</v>
      </c>
      <c r="E40" s="72">
        <f t="shared" si="4"/>
        <v>46023</v>
      </c>
      <c r="F40" s="72">
        <f>+WORKDAY(E40,1)</f>
        <v>46024</v>
      </c>
      <c r="G40" s="73"/>
      <c r="H40" s="48"/>
      <c r="I40" s="68"/>
      <c r="J40" s="6"/>
      <c r="K40" s="6"/>
      <c r="L40" s="6"/>
      <c r="M40" s="6"/>
      <c r="N40" s="6"/>
      <c r="O40" s="6"/>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row>
    <row r="41" spans="1:64" s="27" customFormat="1" ht="25" customHeight="1" x14ac:dyDescent="0.35">
      <c r="A41" s="14"/>
      <c r="B41" s="103" t="s">
        <v>69</v>
      </c>
      <c r="C41" s="104" t="s">
        <v>36</v>
      </c>
      <c r="D41" s="75">
        <v>0.2</v>
      </c>
      <c r="E41" s="76">
        <f t="shared" si="4"/>
        <v>46025</v>
      </c>
      <c r="F41" s="76">
        <f>+WORKDAY(E41,7)</f>
        <v>46035</v>
      </c>
      <c r="G41" s="77"/>
      <c r="H41" s="78">
        <f t="shared" si="3"/>
        <v>11</v>
      </c>
      <c r="I41" s="83"/>
      <c r="J41" s="26"/>
      <c r="K41" s="26"/>
      <c r="L41" s="26"/>
      <c r="M41" s="26"/>
      <c r="N41" s="26"/>
      <c r="O41" s="26"/>
      <c r="P41" s="26"/>
      <c r="Q41" s="26"/>
      <c r="R41" s="26"/>
      <c r="S41" s="26"/>
      <c r="T41" s="26"/>
      <c r="U41" s="26"/>
      <c r="V41" s="26"/>
      <c r="W41" s="26"/>
      <c r="X41" s="26"/>
      <c r="Y41" s="26"/>
      <c r="Z41" s="26"/>
      <c r="AA41" s="26"/>
      <c r="AB41" s="26"/>
      <c r="AC41" s="26"/>
      <c r="AD41" s="26"/>
      <c r="AE41" s="26"/>
      <c r="AF41" s="26"/>
      <c r="AG41" s="26"/>
      <c r="AH41" s="26"/>
      <c r="AI41" s="26"/>
      <c r="AJ41" s="26"/>
      <c r="AK41" s="26"/>
      <c r="AL41" s="26"/>
      <c r="AM41" s="26"/>
      <c r="AN41" s="26"/>
      <c r="AO41" s="26"/>
      <c r="AP41" s="26"/>
      <c r="AQ41" s="26"/>
      <c r="AR41" s="26"/>
      <c r="AS41" s="26"/>
      <c r="AT41" s="26"/>
      <c r="AU41" s="26"/>
      <c r="AV41" s="26"/>
      <c r="AW41" s="26"/>
      <c r="AX41" s="26"/>
      <c r="AY41" s="26"/>
      <c r="AZ41" s="26"/>
      <c r="BA41" s="26"/>
      <c r="BB41" s="26"/>
      <c r="BC41" s="26"/>
      <c r="BD41" s="26"/>
      <c r="BE41" s="26"/>
      <c r="BF41" s="26"/>
      <c r="BG41" s="26"/>
      <c r="BH41" s="26"/>
      <c r="BI41" s="26"/>
      <c r="BJ41" s="26"/>
      <c r="BK41" s="26"/>
      <c r="BL41" s="26"/>
    </row>
    <row r="42" spans="1:64" s="30" customFormat="1" ht="25" customHeight="1" thickBot="1" x14ac:dyDescent="0.4">
      <c r="A42" s="14" t="s">
        <v>11</v>
      </c>
      <c r="B42" s="99" t="s">
        <v>74</v>
      </c>
      <c r="C42" s="100"/>
      <c r="D42" s="60">
        <f>+AVERAGE(D43:D45)</f>
        <v>3.3333333333333333E-2</v>
      </c>
      <c r="E42" s="62"/>
      <c r="F42" s="101">
        <f>+F45-E43+1</f>
        <v>38</v>
      </c>
      <c r="G42" s="62"/>
      <c r="H42" s="102"/>
    </row>
    <row r="43" spans="1:64" s="24" customFormat="1" ht="25" customHeight="1" thickBot="1" x14ac:dyDescent="0.4">
      <c r="A43" s="14"/>
      <c r="B43" s="103" t="s">
        <v>59</v>
      </c>
      <c r="C43" s="114" t="s">
        <v>71</v>
      </c>
      <c r="D43" s="75">
        <v>0.1</v>
      </c>
      <c r="E43" s="76">
        <v>45958</v>
      </c>
      <c r="F43" s="76">
        <f>+WORKDAY(E43,5)</f>
        <v>45965</v>
      </c>
      <c r="G43" s="77"/>
      <c r="H43" s="78">
        <f t="shared" si="3"/>
        <v>8</v>
      </c>
      <c r="I43" s="64"/>
      <c r="J43" s="23"/>
      <c r="K43" s="23"/>
      <c r="L43" s="23"/>
      <c r="M43" s="23"/>
      <c r="N43" s="23"/>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c r="BA43" s="23"/>
      <c r="BB43" s="23"/>
      <c r="BC43" s="23"/>
      <c r="BD43" s="23"/>
      <c r="BE43" s="23"/>
      <c r="BF43" s="23"/>
      <c r="BG43" s="23"/>
      <c r="BH43" s="23"/>
      <c r="BI43" s="23"/>
      <c r="BJ43" s="23"/>
      <c r="BK43" s="23"/>
      <c r="BL43" s="23"/>
    </row>
    <row r="44" spans="1:64" s="25" customFormat="1" ht="25" customHeight="1" thickBot="1" x14ac:dyDescent="0.4">
      <c r="A44" s="14"/>
      <c r="B44" s="105" t="s">
        <v>60</v>
      </c>
      <c r="C44" s="115" t="s">
        <v>71</v>
      </c>
      <c r="D44" s="71">
        <v>0</v>
      </c>
      <c r="E44" s="72">
        <f>+F43+1</f>
        <v>45966</v>
      </c>
      <c r="F44" s="72">
        <f>+WORKDAY(E44,10)</f>
        <v>45980</v>
      </c>
      <c r="G44" s="73"/>
      <c r="H44" s="48">
        <f t="shared" si="3"/>
        <v>15</v>
      </c>
      <c r="I44" s="68"/>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row>
    <row r="45" spans="1:64" s="27" customFormat="1" ht="25" customHeight="1" x14ac:dyDescent="0.35">
      <c r="A45" s="14"/>
      <c r="B45" s="116" t="s">
        <v>61</v>
      </c>
      <c r="C45" s="117" t="s">
        <v>71</v>
      </c>
      <c r="D45" s="84">
        <v>0</v>
      </c>
      <c r="E45" s="85">
        <f>+F44+1</f>
        <v>45981</v>
      </c>
      <c r="F45" s="85">
        <f>+WORKDAY(E45,10)</f>
        <v>45995</v>
      </c>
      <c r="G45" s="86"/>
      <c r="H45" s="87">
        <f t="shared" si="3"/>
        <v>15</v>
      </c>
      <c r="I45" s="83"/>
      <c r="J45" s="26"/>
      <c r="K45" s="26"/>
      <c r="L45" s="26"/>
      <c r="M45" s="26"/>
      <c r="N45" s="26"/>
      <c r="O45" s="26"/>
      <c r="P45" s="26"/>
      <c r="Q45" s="26"/>
      <c r="R45" s="26"/>
      <c r="S45" s="26"/>
      <c r="T45" s="26"/>
      <c r="U45" s="26"/>
      <c r="V45" s="26"/>
      <c r="W45" s="26"/>
      <c r="X45" s="26"/>
      <c r="Y45" s="26"/>
      <c r="Z45" s="26"/>
      <c r="AA45" s="26"/>
      <c r="AB45" s="26"/>
      <c r="AC45" s="26"/>
      <c r="AD45" s="26"/>
      <c r="AE45" s="26"/>
      <c r="AF45" s="26"/>
      <c r="AG45" s="26"/>
      <c r="AH45" s="26"/>
      <c r="AI45" s="26"/>
      <c r="AJ45" s="26"/>
      <c r="AK45" s="26"/>
      <c r="AL45" s="26"/>
      <c r="AM45" s="26"/>
      <c r="AN45" s="26"/>
      <c r="AO45" s="26"/>
      <c r="AP45" s="26"/>
      <c r="AQ45" s="26"/>
      <c r="AR45" s="26"/>
      <c r="AS45" s="26"/>
      <c r="AT45" s="26"/>
      <c r="AU45" s="26"/>
      <c r="AV45" s="26"/>
      <c r="AW45" s="26"/>
      <c r="AX45" s="26"/>
      <c r="AY45" s="26"/>
      <c r="AZ45" s="26"/>
      <c r="BA45" s="26"/>
      <c r="BB45" s="26"/>
      <c r="BC45" s="26"/>
      <c r="BD45" s="26"/>
      <c r="BE45" s="26"/>
      <c r="BF45" s="26"/>
      <c r="BG45" s="26"/>
      <c r="BH45" s="26"/>
      <c r="BI45" s="26"/>
      <c r="BJ45" s="26"/>
      <c r="BK45" s="26"/>
      <c r="BL45" s="26"/>
    </row>
    <row r="46" spans="1:64" ht="30" customHeight="1" x14ac:dyDescent="0.35">
      <c r="G46" s="3"/>
    </row>
    <row r="47" spans="1:64" ht="30" customHeight="1" x14ac:dyDescent="0.35">
      <c r="C47" s="4"/>
      <c r="F47" s="15"/>
    </row>
    <row r="48" spans="1:64" ht="30" customHeight="1" x14ac:dyDescent="0.35">
      <c r="C48" s="5"/>
    </row>
    <row r="69" spans="2:2" ht="30" customHeight="1" x14ac:dyDescent="0.35">
      <c r="B69" t="s">
        <v>73</v>
      </c>
    </row>
    <row r="70" spans="2:2" ht="30" customHeight="1" x14ac:dyDescent="0.35">
      <c r="B70" t="s">
        <v>57</v>
      </c>
    </row>
  </sheetData>
  <mergeCells count="11">
    <mergeCell ref="AD4:AJ4"/>
    <mergeCell ref="AK4:AQ4"/>
    <mergeCell ref="AR4:AX4"/>
    <mergeCell ref="AY4:BE4"/>
    <mergeCell ref="BF4:BL4"/>
    <mergeCell ref="W4:AC4"/>
    <mergeCell ref="C3:D3"/>
    <mergeCell ref="E3:F3"/>
    <mergeCell ref="C4:D4"/>
    <mergeCell ref="I4:O4"/>
    <mergeCell ref="P4:V4"/>
  </mergeCells>
  <conditionalFormatting sqref="D7:D45">
    <cfRule type="dataBar" priority="1">
      <dataBar>
        <cfvo type="num" val="0"/>
        <cfvo type="num" val="1"/>
        <color theme="0" tint="-0.249977111117893"/>
      </dataBar>
      <extLst>
        <ext xmlns:x14="http://schemas.microsoft.com/office/spreadsheetml/2009/9/main" uri="{B025F937-C7B1-47D3-B67F-A62EFF666E3E}">
          <x14:id>{FF296BB3-51B8-4EB0-A97C-ADA584C50281}</x14:id>
        </ext>
      </extLst>
    </cfRule>
  </conditionalFormatting>
  <conditionalFormatting sqref="I5:BL7 G9:BL15 I16:BL24 I26:BL45">
    <cfRule type="expression" dxfId="5" priority="4">
      <formula>AND(TODAY()&gt;=G$5,TODAY()&lt;H$5)</formula>
    </cfRule>
  </conditionalFormatting>
  <conditionalFormatting sqref="I7:BL7 G9:BL15 I16:BL24 I26:BL45">
    <cfRule type="expression" dxfId="4" priority="2">
      <formula>AND(task_start&lt;=G$5,ROUNDDOWN((task_end-task_start+1)*task_progress,0)+task_start-1&gt;=G$5)</formula>
    </cfRule>
    <cfRule type="expression" dxfId="3" priority="3" stopIfTrue="1">
      <formula>AND(task_end&gt;=G$5,task_start&lt;H$5)</formula>
    </cfRule>
  </conditionalFormatting>
  <dataValidations count="1">
    <dataValidation type="whole" operator="greaterThanOrEqual" allowBlank="1" showInputMessage="1" promptTitle="Mostrar semana" prompt="Al cambiar este número, se desplazará la vista del diagrama de Gantt." sqref="E4" xr:uid="{FFB77F12-F107-4EC7-9D01-5842BC5525EE}">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legacyDrawing r:id="rId2"/>
  <extLst>
    <ext xmlns:x14="http://schemas.microsoft.com/office/spreadsheetml/2009/9/main" uri="{78C0D931-6437-407d-A8EE-F0AAD7539E65}">
      <x14:conditionalFormattings>
        <x14:conditionalFormatting xmlns:xm="http://schemas.microsoft.com/office/excel/2006/main">
          <x14:cfRule type="dataBar" id="{FF296BB3-51B8-4EB0-A97C-ADA584C50281}">
            <x14:dataBar minLength="0" maxLength="100" gradient="0">
              <x14:cfvo type="num">
                <xm:f>0</xm:f>
              </x14:cfvo>
              <x14:cfvo type="num">
                <xm:f>1</xm:f>
              </x14:cfvo>
              <x14:negativeFillColor rgb="FFFF0000"/>
              <x14:axisColor rgb="FF000000"/>
            </x14:dataBar>
          </x14:cfRule>
          <xm:sqref>D7:D45</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L69"/>
  <sheetViews>
    <sheetView showGridLines="0" showRuler="0" zoomScale="90" zoomScaleNormal="90" zoomScalePageLayoutView="70" workbookViewId="0">
      <pane ySplit="6" topLeftCell="A7" activePane="bottomLeft" state="frozen"/>
      <selection pane="bottomLeft" activeCell="K1" sqref="K1"/>
    </sheetView>
  </sheetViews>
  <sheetFormatPr baseColWidth="10" defaultColWidth="9.1796875" defaultRowHeight="30" customHeight="1" x14ac:dyDescent="0.35"/>
  <cols>
    <col min="1" max="1" width="2.7265625" style="14" customWidth="1"/>
    <col min="2" max="2" width="64.08984375" bestFit="1" customWidth="1"/>
    <col min="3" max="3" width="26.1796875" bestFit="1" customWidth="1"/>
    <col min="4" max="4" width="10.7265625" customWidth="1"/>
    <col min="5" max="5" width="10.453125" style="2" customWidth="1"/>
    <col min="6" max="6" width="10.453125" customWidth="1"/>
    <col min="7" max="7" width="2.7265625" customWidth="1"/>
    <col min="8" max="8" width="9.453125" hidden="1" customWidth="1"/>
    <col min="9" max="23" width="3.26953125" customWidth="1"/>
    <col min="24" max="24" width="4.08984375" customWidth="1"/>
    <col min="25" max="25" width="2.54296875" bestFit="1" customWidth="1"/>
    <col min="26" max="64" width="3.26953125" customWidth="1"/>
    <col min="69" max="70" width="10.26953125"/>
  </cols>
  <sheetData>
    <row r="1" spans="1:64" ht="30" customHeight="1" x14ac:dyDescent="0.65">
      <c r="A1" s="121" t="s">
        <v>0</v>
      </c>
      <c r="B1" s="92" t="s">
        <v>34</v>
      </c>
      <c r="C1" s="40"/>
      <c r="D1" s="1"/>
      <c r="E1" s="41"/>
      <c r="F1" s="42"/>
      <c r="H1" s="1"/>
      <c r="I1" s="17"/>
    </row>
    <row r="2" spans="1:64" ht="30" customHeight="1" x14ac:dyDescent="0.4">
      <c r="A2" s="14" t="s">
        <v>1</v>
      </c>
      <c r="B2" s="93" t="s">
        <v>35</v>
      </c>
      <c r="I2" s="18"/>
    </row>
    <row r="3" spans="1:64" ht="30" customHeight="1" x14ac:dyDescent="0.35">
      <c r="A3" s="14" t="s">
        <v>2</v>
      </c>
      <c r="B3" s="94" t="s">
        <v>36</v>
      </c>
      <c r="C3" s="152" t="s">
        <v>13</v>
      </c>
      <c r="D3" s="152"/>
      <c r="E3" s="153">
        <v>45958</v>
      </c>
      <c r="F3" s="154"/>
    </row>
    <row r="4" spans="1:64" s="20" customFormat="1" ht="30" customHeight="1" x14ac:dyDescent="0.3">
      <c r="A4" s="122" t="s">
        <v>3</v>
      </c>
      <c r="C4" s="152" t="s">
        <v>14</v>
      </c>
      <c r="D4" s="152"/>
      <c r="E4" s="49">
        <v>1</v>
      </c>
      <c r="I4" s="148">
        <f>I5</f>
        <v>45957</v>
      </c>
      <c r="J4" s="148"/>
      <c r="K4" s="148"/>
      <c r="L4" s="148"/>
      <c r="M4" s="148"/>
      <c r="N4" s="148"/>
      <c r="O4" s="149"/>
      <c r="P4" s="147">
        <f>P5</f>
        <v>45964</v>
      </c>
      <c r="Q4" s="148"/>
      <c r="R4" s="148"/>
      <c r="S4" s="148"/>
      <c r="T4" s="148"/>
      <c r="U4" s="148"/>
      <c r="V4" s="149"/>
      <c r="W4" s="147">
        <f>W5</f>
        <v>45971</v>
      </c>
      <c r="X4" s="148"/>
      <c r="Y4" s="148"/>
      <c r="Z4" s="148"/>
      <c r="AA4" s="148"/>
      <c r="AB4" s="148"/>
      <c r="AC4" s="149"/>
      <c r="AD4" s="147">
        <f>AD5</f>
        <v>45978</v>
      </c>
      <c r="AE4" s="148"/>
      <c r="AF4" s="148"/>
      <c r="AG4" s="148"/>
      <c r="AH4" s="148"/>
      <c r="AI4" s="148"/>
      <c r="AJ4" s="149"/>
      <c r="AK4" s="147">
        <f>AK5</f>
        <v>45985</v>
      </c>
      <c r="AL4" s="148"/>
      <c r="AM4" s="148"/>
      <c r="AN4" s="148"/>
      <c r="AO4" s="148"/>
      <c r="AP4" s="148"/>
      <c r="AQ4" s="149"/>
      <c r="AR4" s="147">
        <f>AR5</f>
        <v>45992</v>
      </c>
      <c r="AS4" s="148"/>
      <c r="AT4" s="148"/>
      <c r="AU4" s="148"/>
      <c r="AV4" s="148"/>
      <c r="AW4" s="148"/>
      <c r="AX4" s="149"/>
      <c r="AY4" s="147">
        <f>AY5</f>
        <v>45999</v>
      </c>
      <c r="AZ4" s="148"/>
      <c r="BA4" s="148"/>
      <c r="BB4" s="148"/>
      <c r="BC4" s="148"/>
      <c r="BD4" s="148"/>
      <c r="BE4" s="149"/>
      <c r="BF4" s="147">
        <f>BF5</f>
        <v>46006</v>
      </c>
      <c r="BG4" s="148"/>
      <c r="BH4" s="148"/>
      <c r="BI4" s="148"/>
      <c r="BJ4" s="148"/>
      <c r="BK4" s="148"/>
      <c r="BL4" s="149"/>
    </row>
    <row r="5" spans="1:64" ht="15" customHeight="1" x14ac:dyDescent="0.35">
      <c r="A5" s="121" t="s">
        <v>4</v>
      </c>
      <c r="E5"/>
      <c r="I5" s="89">
        <f>Inicio_del_proyecto-WEEKDAY(Inicio_del_proyecto,1)+2+7*(Semana_para_mostrar-1)</f>
        <v>45957</v>
      </c>
      <c r="J5" s="89">
        <f>I5+1</f>
        <v>45958</v>
      </c>
      <c r="K5" s="89">
        <f t="shared" ref="K5:AX5" si="0">J5+1</f>
        <v>45959</v>
      </c>
      <c r="L5" s="89">
        <f t="shared" si="0"/>
        <v>45960</v>
      </c>
      <c r="M5" s="89">
        <f t="shared" si="0"/>
        <v>45961</v>
      </c>
      <c r="N5" s="89">
        <f t="shared" si="0"/>
        <v>45962</v>
      </c>
      <c r="O5" s="90">
        <f t="shared" si="0"/>
        <v>45963</v>
      </c>
      <c r="P5" s="88">
        <f>O5+1</f>
        <v>45964</v>
      </c>
      <c r="Q5" s="89">
        <f>P5+1</f>
        <v>45965</v>
      </c>
      <c r="R5" s="89">
        <f t="shared" si="0"/>
        <v>45966</v>
      </c>
      <c r="S5" s="89">
        <f t="shared" si="0"/>
        <v>45967</v>
      </c>
      <c r="T5" s="89">
        <f t="shared" si="0"/>
        <v>45968</v>
      </c>
      <c r="U5" s="89">
        <f t="shared" si="0"/>
        <v>45969</v>
      </c>
      <c r="V5" s="90">
        <f t="shared" si="0"/>
        <v>45970</v>
      </c>
      <c r="W5" s="88">
        <f>V5+1</f>
        <v>45971</v>
      </c>
      <c r="X5" s="89">
        <f>W5+1</f>
        <v>45972</v>
      </c>
      <c r="Y5" s="89">
        <f t="shared" si="0"/>
        <v>45973</v>
      </c>
      <c r="Z5" s="89">
        <f t="shared" si="0"/>
        <v>45974</v>
      </c>
      <c r="AA5" s="89">
        <f t="shared" si="0"/>
        <v>45975</v>
      </c>
      <c r="AB5" s="89">
        <f t="shared" si="0"/>
        <v>45976</v>
      </c>
      <c r="AC5" s="90">
        <f t="shared" si="0"/>
        <v>45977</v>
      </c>
      <c r="AD5" s="88">
        <f>AC5+1</f>
        <v>45978</v>
      </c>
      <c r="AE5" s="89">
        <f>AD5+1</f>
        <v>45979</v>
      </c>
      <c r="AF5" s="89">
        <f t="shared" si="0"/>
        <v>45980</v>
      </c>
      <c r="AG5" s="89">
        <f t="shared" si="0"/>
        <v>45981</v>
      </c>
      <c r="AH5" s="89">
        <f t="shared" si="0"/>
        <v>45982</v>
      </c>
      <c r="AI5" s="89">
        <f t="shared" si="0"/>
        <v>45983</v>
      </c>
      <c r="AJ5" s="90">
        <f t="shared" si="0"/>
        <v>45984</v>
      </c>
      <c r="AK5" s="88">
        <f>AJ5+1</f>
        <v>45985</v>
      </c>
      <c r="AL5" s="89">
        <f>AK5+1</f>
        <v>45986</v>
      </c>
      <c r="AM5" s="89">
        <f t="shared" si="0"/>
        <v>45987</v>
      </c>
      <c r="AN5" s="89">
        <f t="shared" si="0"/>
        <v>45988</v>
      </c>
      <c r="AO5" s="89">
        <f t="shared" si="0"/>
        <v>45989</v>
      </c>
      <c r="AP5" s="89">
        <f t="shared" si="0"/>
        <v>45990</v>
      </c>
      <c r="AQ5" s="90">
        <f t="shared" si="0"/>
        <v>45991</v>
      </c>
      <c r="AR5" s="88">
        <f>AQ5+1</f>
        <v>45992</v>
      </c>
      <c r="AS5" s="89">
        <f>AR5+1</f>
        <v>45993</v>
      </c>
      <c r="AT5" s="89">
        <f t="shared" si="0"/>
        <v>45994</v>
      </c>
      <c r="AU5" s="89">
        <f t="shared" si="0"/>
        <v>45995</v>
      </c>
      <c r="AV5" s="89">
        <f t="shared" si="0"/>
        <v>45996</v>
      </c>
      <c r="AW5" s="89">
        <f t="shared" si="0"/>
        <v>45997</v>
      </c>
      <c r="AX5" s="90">
        <f t="shared" si="0"/>
        <v>45998</v>
      </c>
      <c r="AY5" s="88">
        <f t="shared" ref="AY5:BL5" si="1">AX5+1</f>
        <v>45999</v>
      </c>
      <c r="AZ5" s="89">
        <f t="shared" si="1"/>
        <v>46000</v>
      </c>
      <c r="BA5" s="89">
        <f t="shared" si="1"/>
        <v>46001</v>
      </c>
      <c r="BB5" s="89">
        <f t="shared" si="1"/>
        <v>46002</v>
      </c>
      <c r="BC5" s="89">
        <f t="shared" si="1"/>
        <v>46003</v>
      </c>
      <c r="BD5" s="89">
        <f t="shared" si="1"/>
        <v>46004</v>
      </c>
      <c r="BE5" s="90">
        <f t="shared" si="1"/>
        <v>46005</v>
      </c>
      <c r="BF5" s="88">
        <f t="shared" si="1"/>
        <v>46006</v>
      </c>
      <c r="BG5" s="89">
        <f t="shared" si="1"/>
        <v>46007</v>
      </c>
      <c r="BH5" s="89">
        <f t="shared" si="1"/>
        <v>46008</v>
      </c>
      <c r="BI5" s="89">
        <f t="shared" si="1"/>
        <v>46009</v>
      </c>
      <c r="BJ5" s="89">
        <f t="shared" si="1"/>
        <v>46010</v>
      </c>
      <c r="BK5" s="89">
        <f t="shared" si="1"/>
        <v>46011</v>
      </c>
      <c r="BL5" s="90">
        <f t="shared" si="1"/>
        <v>46012</v>
      </c>
    </row>
    <row r="6" spans="1:64" s="22" customFormat="1" ht="30" customHeight="1" thickBot="1" x14ac:dyDescent="0.35">
      <c r="A6" s="123" t="s">
        <v>5</v>
      </c>
      <c r="B6" s="95" t="s">
        <v>12</v>
      </c>
      <c r="C6" s="50" t="s">
        <v>75</v>
      </c>
      <c r="D6" s="50" t="s">
        <v>15</v>
      </c>
      <c r="E6" s="50" t="s">
        <v>16</v>
      </c>
      <c r="F6" s="50" t="s">
        <v>17</v>
      </c>
      <c r="G6" s="50"/>
      <c r="H6" s="50" t="s">
        <v>18</v>
      </c>
      <c r="I6" s="118" t="str">
        <f>LEFT(TEXT(I5,"ddd"),1)</f>
        <v>l</v>
      </c>
      <c r="J6" s="91" t="str">
        <f t="shared" ref="J6:AR6" si="2">LEFT(TEXT(J5,"ddd"),1)</f>
        <v>m</v>
      </c>
      <c r="K6" s="91" t="str">
        <f t="shared" si="2"/>
        <v>m</v>
      </c>
      <c r="L6" s="91" t="str">
        <f t="shared" si="2"/>
        <v>j</v>
      </c>
      <c r="M6" s="91" t="str">
        <f t="shared" si="2"/>
        <v>v</v>
      </c>
      <c r="N6" s="91" t="str">
        <f t="shared" si="2"/>
        <v>s</v>
      </c>
      <c r="O6" s="91" t="str">
        <f t="shared" si="2"/>
        <v>d</v>
      </c>
      <c r="P6" s="91" t="str">
        <f t="shared" si="2"/>
        <v>l</v>
      </c>
      <c r="Q6" s="91" t="str">
        <f t="shared" si="2"/>
        <v>m</v>
      </c>
      <c r="R6" s="91" t="str">
        <f t="shared" si="2"/>
        <v>m</v>
      </c>
      <c r="S6" s="91" t="str">
        <f t="shared" si="2"/>
        <v>j</v>
      </c>
      <c r="T6" s="91" t="str">
        <f t="shared" si="2"/>
        <v>v</v>
      </c>
      <c r="U6" s="91" t="str">
        <f t="shared" si="2"/>
        <v>s</v>
      </c>
      <c r="V6" s="91" t="str">
        <f t="shared" si="2"/>
        <v>d</v>
      </c>
      <c r="W6" s="91" t="str">
        <f t="shared" si="2"/>
        <v>l</v>
      </c>
      <c r="X6" s="91" t="str">
        <f t="shared" si="2"/>
        <v>m</v>
      </c>
      <c r="Y6" s="91" t="str">
        <f t="shared" si="2"/>
        <v>m</v>
      </c>
      <c r="Z6" s="91" t="str">
        <f t="shared" si="2"/>
        <v>j</v>
      </c>
      <c r="AA6" s="91" t="str">
        <f t="shared" si="2"/>
        <v>v</v>
      </c>
      <c r="AB6" s="91" t="str">
        <f t="shared" si="2"/>
        <v>s</v>
      </c>
      <c r="AC6" s="91" t="str">
        <f t="shared" si="2"/>
        <v>d</v>
      </c>
      <c r="AD6" s="91" t="str">
        <f t="shared" si="2"/>
        <v>l</v>
      </c>
      <c r="AE6" s="91" t="str">
        <f t="shared" si="2"/>
        <v>m</v>
      </c>
      <c r="AF6" s="91" t="str">
        <f t="shared" si="2"/>
        <v>m</v>
      </c>
      <c r="AG6" s="91" t="str">
        <f t="shared" si="2"/>
        <v>j</v>
      </c>
      <c r="AH6" s="91" t="str">
        <f t="shared" si="2"/>
        <v>v</v>
      </c>
      <c r="AI6" s="91" t="str">
        <f t="shared" si="2"/>
        <v>s</v>
      </c>
      <c r="AJ6" s="91" t="str">
        <f t="shared" si="2"/>
        <v>d</v>
      </c>
      <c r="AK6" s="91" t="str">
        <f t="shared" si="2"/>
        <v>l</v>
      </c>
      <c r="AL6" s="91" t="str">
        <f t="shared" si="2"/>
        <v>m</v>
      </c>
      <c r="AM6" s="91" t="str">
        <f t="shared" si="2"/>
        <v>m</v>
      </c>
      <c r="AN6" s="91" t="str">
        <f t="shared" si="2"/>
        <v>j</v>
      </c>
      <c r="AO6" s="91" t="str">
        <f t="shared" si="2"/>
        <v>v</v>
      </c>
      <c r="AP6" s="91" t="str">
        <f t="shared" si="2"/>
        <v>s</v>
      </c>
      <c r="AQ6" s="91" t="str">
        <f t="shared" si="2"/>
        <v>d</v>
      </c>
      <c r="AR6" s="91" t="str">
        <f t="shared" si="2"/>
        <v>l</v>
      </c>
      <c r="AS6" s="91" t="str">
        <f t="shared" ref="AS6:BL6" si="3">LEFT(TEXT(AS5,"ddd"),1)</f>
        <v>m</v>
      </c>
      <c r="AT6" s="91" t="str">
        <f t="shared" si="3"/>
        <v>m</v>
      </c>
      <c r="AU6" s="91" t="str">
        <f t="shared" si="3"/>
        <v>j</v>
      </c>
      <c r="AV6" s="91" t="str">
        <f t="shared" si="3"/>
        <v>v</v>
      </c>
      <c r="AW6" s="91" t="str">
        <f t="shared" si="3"/>
        <v>s</v>
      </c>
      <c r="AX6" s="91" t="str">
        <f t="shared" si="3"/>
        <v>d</v>
      </c>
      <c r="AY6" s="91" t="str">
        <f t="shared" si="3"/>
        <v>l</v>
      </c>
      <c r="AZ6" s="91" t="str">
        <f t="shared" si="3"/>
        <v>m</v>
      </c>
      <c r="BA6" s="91" t="str">
        <f t="shared" si="3"/>
        <v>m</v>
      </c>
      <c r="BB6" s="91" t="str">
        <f t="shared" si="3"/>
        <v>j</v>
      </c>
      <c r="BC6" s="91" t="str">
        <f t="shared" si="3"/>
        <v>v</v>
      </c>
      <c r="BD6" s="91" t="str">
        <f t="shared" si="3"/>
        <v>s</v>
      </c>
      <c r="BE6" s="91" t="str">
        <f t="shared" si="3"/>
        <v>d</v>
      </c>
      <c r="BF6" s="91" t="str">
        <f t="shared" si="3"/>
        <v>l</v>
      </c>
      <c r="BG6" s="91" t="str">
        <f t="shared" si="3"/>
        <v>m</v>
      </c>
      <c r="BH6" s="91" t="str">
        <f t="shared" si="3"/>
        <v>m</v>
      </c>
      <c r="BI6" s="91" t="str">
        <f t="shared" si="3"/>
        <v>j</v>
      </c>
      <c r="BJ6" s="91" t="str">
        <f t="shared" si="3"/>
        <v>v</v>
      </c>
      <c r="BK6" s="91" t="str">
        <f t="shared" si="3"/>
        <v>s</v>
      </c>
      <c r="BL6" s="91" t="str">
        <f t="shared" si="3"/>
        <v>d</v>
      </c>
    </row>
    <row r="7" spans="1:64" ht="1.5" customHeight="1" thickBot="1" x14ac:dyDescent="0.4">
      <c r="A7" s="14" t="s">
        <v>6</v>
      </c>
      <c r="B7" s="96"/>
      <c r="C7" s="97"/>
      <c r="D7" s="96"/>
      <c r="E7" s="96"/>
      <c r="F7" s="96"/>
      <c r="G7" s="96"/>
      <c r="H7" s="96" t="str">
        <f>IF(OR(ISBLANK(task_start),ISBLANK(task_end)),"",task_end-task_start+1)</f>
        <v/>
      </c>
      <c r="I7" s="68"/>
      <c r="J7" s="6"/>
      <c r="K7" s="6"/>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row>
    <row r="8" spans="1:64" s="21" customFormat="1" ht="25" customHeight="1" thickBot="1" x14ac:dyDescent="0.4">
      <c r="A8" s="121" t="s">
        <v>7</v>
      </c>
      <c r="B8" s="99" t="s">
        <v>37</v>
      </c>
      <c r="C8" s="100"/>
      <c r="D8" s="60">
        <f>+AVERAGE(D9:D15)</f>
        <v>0.16428571428571428</v>
      </c>
      <c r="E8" s="62"/>
      <c r="F8" s="101">
        <f>+F15-E11+1</f>
        <v>48</v>
      </c>
      <c r="G8" s="62"/>
      <c r="H8" s="102"/>
    </row>
    <row r="9" spans="1:64" s="24" customFormat="1" ht="25" customHeight="1" thickBot="1" x14ac:dyDescent="0.4">
      <c r="A9" s="121" t="s">
        <v>8</v>
      </c>
      <c r="B9" s="103" t="s">
        <v>42</v>
      </c>
      <c r="C9" s="104" t="s">
        <v>47</v>
      </c>
      <c r="D9" s="75">
        <v>0.2</v>
      </c>
      <c r="E9" s="76">
        <f>Inicio_del_proyecto</f>
        <v>45958</v>
      </c>
      <c r="F9" s="76">
        <f>+WORKDAY(E9,10)</f>
        <v>45972</v>
      </c>
      <c r="G9" s="77"/>
      <c r="H9" s="78">
        <f t="shared" ref="H9:H44" si="4">IF(OR(ISBLANK(task_start),ISBLANK(task_end)),"",task_end-task_start+1)</f>
        <v>15</v>
      </c>
      <c r="I9" s="64"/>
      <c r="J9" s="23"/>
      <c r="K9" s="23"/>
      <c r="L9" s="23"/>
      <c r="M9" s="23"/>
      <c r="N9" s="23"/>
      <c r="O9" s="23"/>
      <c r="P9" s="23"/>
      <c r="Q9" s="23"/>
      <c r="R9" s="23"/>
      <c r="S9" s="23"/>
      <c r="T9" s="23"/>
      <c r="U9" s="23"/>
      <c r="V9" s="23"/>
      <c r="W9" s="23"/>
      <c r="X9" s="23"/>
      <c r="Y9" s="23"/>
      <c r="Z9" s="23"/>
      <c r="AA9" s="23"/>
      <c r="AB9" s="23"/>
      <c r="AC9" s="23"/>
      <c r="AD9" s="23"/>
      <c r="AE9" s="23"/>
      <c r="AF9" s="23"/>
      <c r="AG9" s="23"/>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s="25" customFormat="1" ht="25" customHeight="1" thickBot="1" x14ac:dyDescent="0.4">
      <c r="A10" s="121" t="s">
        <v>8</v>
      </c>
      <c r="B10" s="105" t="s">
        <v>40</v>
      </c>
      <c r="C10" s="106" t="s">
        <v>36</v>
      </c>
      <c r="D10" s="71">
        <v>0.7</v>
      </c>
      <c r="E10" s="72">
        <v>45962</v>
      </c>
      <c r="F10" s="72">
        <f>+WORKDAY(E10,2)</f>
        <v>45965</v>
      </c>
      <c r="G10" s="73"/>
      <c r="H10" s="48">
        <f t="shared" si="4"/>
        <v>4</v>
      </c>
      <c r="I10" s="64"/>
      <c r="J10" s="23"/>
      <c r="K10" s="23"/>
      <c r="L10" s="23"/>
      <c r="M10" s="23"/>
      <c r="N10" s="23"/>
      <c r="O10" s="23"/>
      <c r="P10" s="23"/>
      <c r="Q10" s="23"/>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s="25" customFormat="1" ht="25" customHeight="1" thickBot="1" x14ac:dyDescent="0.4">
      <c r="A11" s="121"/>
      <c r="B11" s="103" t="s">
        <v>56</v>
      </c>
      <c r="C11" s="104" t="s">
        <v>36</v>
      </c>
      <c r="D11" s="75">
        <v>0.25</v>
      </c>
      <c r="E11" s="76">
        <v>46023</v>
      </c>
      <c r="F11" s="76">
        <f>+WORKDAY(E11,7)</f>
        <v>46034</v>
      </c>
      <c r="G11" s="77"/>
      <c r="H11" s="78"/>
      <c r="I11" s="64"/>
      <c r="J11" s="23"/>
      <c r="K11" s="23"/>
      <c r="L11" s="23"/>
      <c r="M11" s="23"/>
      <c r="N11" s="23"/>
      <c r="O11" s="23"/>
      <c r="P11" s="23"/>
      <c r="Q11" s="23"/>
      <c r="R11" s="23"/>
      <c r="S11" s="23"/>
      <c r="T11" s="23"/>
      <c r="U11" s="23"/>
      <c r="V11" s="23"/>
      <c r="W11" s="23"/>
      <c r="X11" s="23"/>
      <c r="Y11" s="23"/>
      <c r="Z11" s="23"/>
      <c r="AA11" s="23"/>
      <c r="AB11" s="23"/>
      <c r="AC11" s="23"/>
      <c r="AD11" s="23"/>
      <c r="AE11" s="23"/>
      <c r="AF11" s="23"/>
      <c r="AG11" s="23"/>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s="25" customFormat="1" ht="25" customHeight="1" thickBot="1" x14ac:dyDescent="0.4">
      <c r="A12" s="14"/>
      <c r="B12" s="105" t="s">
        <v>43</v>
      </c>
      <c r="C12" s="106" t="s">
        <v>36</v>
      </c>
      <c r="D12" s="71">
        <v>0</v>
      </c>
      <c r="E12" s="72">
        <f>+F11+1</f>
        <v>46035</v>
      </c>
      <c r="F12" s="72">
        <f>+WORKDAY(E12,4)</f>
        <v>46041</v>
      </c>
      <c r="G12" s="73"/>
      <c r="H12" s="48">
        <f t="shared" si="4"/>
        <v>7</v>
      </c>
      <c r="I12" s="64"/>
      <c r="J12" s="23"/>
      <c r="K12" s="23"/>
      <c r="L12" s="23"/>
      <c r="M12" s="23"/>
      <c r="N12" s="23"/>
      <c r="O12" s="23"/>
      <c r="P12" s="23"/>
      <c r="Q12" s="23"/>
      <c r="R12" s="23"/>
      <c r="S12" s="23"/>
      <c r="T12" s="23"/>
      <c r="U12" s="23"/>
      <c r="V12" s="23"/>
      <c r="W12" s="23"/>
      <c r="X12" s="23"/>
      <c r="Y12" s="23"/>
      <c r="Z12" s="23"/>
      <c r="AA12" s="23"/>
      <c r="AB12" s="23"/>
      <c r="AC12" s="23"/>
      <c r="AD12" s="23"/>
      <c r="AE12" s="23"/>
      <c r="AF12" s="23"/>
      <c r="AG12" s="23"/>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s="25" customFormat="1" ht="25" customHeight="1" thickBot="1" x14ac:dyDescent="0.4">
      <c r="A13" s="14"/>
      <c r="B13" s="103" t="s">
        <v>44</v>
      </c>
      <c r="C13" s="104" t="s">
        <v>36</v>
      </c>
      <c r="D13" s="75">
        <v>0</v>
      </c>
      <c r="E13" s="76">
        <f>+F12+1</f>
        <v>46042</v>
      </c>
      <c r="F13" s="76">
        <f>+WORKDAY(E13,4)</f>
        <v>46048</v>
      </c>
      <c r="G13" s="77"/>
      <c r="H13" s="78">
        <f t="shared" si="4"/>
        <v>7</v>
      </c>
      <c r="I13" s="64"/>
      <c r="J13" s="23"/>
      <c r="K13" s="23"/>
      <c r="L13" s="23"/>
      <c r="M13" s="23"/>
      <c r="N13" s="23"/>
      <c r="O13" s="23"/>
      <c r="P13" s="23"/>
      <c r="Q13" s="23"/>
      <c r="R13" s="23"/>
      <c r="S13" s="23"/>
      <c r="T13" s="23"/>
      <c r="U13" s="23"/>
      <c r="V13" s="23"/>
      <c r="W13" s="2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s="25" customFormat="1" ht="25" customHeight="1" thickBot="1" x14ac:dyDescent="0.4">
      <c r="A14" s="14"/>
      <c r="B14" s="105" t="s">
        <v>70</v>
      </c>
      <c r="C14" s="106" t="s">
        <v>36</v>
      </c>
      <c r="D14" s="71">
        <v>0</v>
      </c>
      <c r="E14" s="72">
        <f>+F13+1</f>
        <v>46049</v>
      </c>
      <c r="F14" s="72">
        <f>+WORKDAY(E14,7)</f>
        <v>46058</v>
      </c>
      <c r="G14" s="73"/>
      <c r="H14" s="48"/>
      <c r="I14" s="64"/>
      <c r="J14" s="23"/>
      <c r="K14" s="23"/>
      <c r="L14" s="23"/>
      <c r="M14" s="23"/>
      <c r="N14" s="23"/>
      <c r="O14" s="23"/>
      <c r="P14" s="23"/>
      <c r="Q14" s="23"/>
      <c r="R14" s="23"/>
      <c r="S14" s="23"/>
      <c r="T14" s="23"/>
      <c r="U14" s="23"/>
      <c r="V14" s="23"/>
      <c r="W14" s="23"/>
      <c r="X14" s="23"/>
      <c r="Y14" s="23"/>
      <c r="Z14" s="23"/>
      <c r="AA14" s="23"/>
      <c r="AB14" s="23"/>
      <c r="AC14" s="23"/>
      <c r="AD14" s="23"/>
      <c r="AE14" s="23"/>
      <c r="AF14" s="23"/>
      <c r="AG14" s="23"/>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s="27" customFormat="1" ht="25" customHeight="1" x14ac:dyDescent="0.35">
      <c r="A15" s="14"/>
      <c r="B15" s="103" t="s">
        <v>76</v>
      </c>
      <c r="C15" s="104" t="s">
        <v>36</v>
      </c>
      <c r="D15" s="75">
        <v>0</v>
      </c>
      <c r="E15" s="76">
        <f>+F14+1</f>
        <v>46059</v>
      </c>
      <c r="F15" s="76">
        <f>+WORKDAY(E15,7)</f>
        <v>46070</v>
      </c>
      <c r="G15" s="77"/>
      <c r="H15" s="78"/>
      <c r="I15" s="98"/>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1"/>
      <c r="BD15" s="31"/>
      <c r="BE15" s="31"/>
      <c r="BF15" s="31"/>
      <c r="BG15" s="31"/>
      <c r="BH15" s="31"/>
      <c r="BI15" s="31"/>
      <c r="BJ15" s="31"/>
      <c r="BK15" s="31"/>
      <c r="BL15" s="31"/>
    </row>
    <row r="16" spans="1:64" s="29" customFormat="1" ht="25" customHeight="1" thickBot="1" x14ac:dyDescent="0.4">
      <c r="A16" s="121" t="s">
        <v>10</v>
      </c>
      <c r="B16" s="99" t="s">
        <v>65</v>
      </c>
      <c r="C16" s="100"/>
      <c r="D16" s="60">
        <f>+AVERAGE(D17:D23)</f>
        <v>2.8571428571428574E-2</v>
      </c>
      <c r="E16" s="62"/>
      <c r="F16" s="101">
        <f>+F23-E17+1</f>
        <v>36</v>
      </c>
      <c r="G16" s="62"/>
      <c r="H16" s="102"/>
    </row>
    <row r="17" spans="1:64" s="24" customFormat="1" ht="25" customHeight="1" thickBot="1" x14ac:dyDescent="0.4">
      <c r="A17" s="121"/>
      <c r="B17" s="103" t="s">
        <v>67</v>
      </c>
      <c r="C17" s="104" t="s">
        <v>36</v>
      </c>
      <c r="D17" s="75">
        <v>0</v>
      </c>
      <c r="E17" s="76">
        <v>45958</v>
      </c>
      <c r="F17" s="76">
        <f>+WORKDAY(E17,60)</f>
        <v>46042</v>
      </c>
      <c r="G17" s="77"/>
      <c r="H17" s="78">
        <f t="shared" si="4"/>
        <v>85</v>
      </c>
      <c r="I17" s="64"/>
      <c r="J17" s="23"/>
      <c r="K17" s="23"/>
      <c r="L17" s="23"/>
      <c r="M17" s="23"/>
      <c r="N17" s="23"/>
      <c r="O17" s="23"/>
      <c r="P17" s="23"/>
      <c r="Q17" s="23"/>
      <c r="R17" s="23"/>
      <c r="S17" s="23"/>
      <c r="T17" s="23"/>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s="25" customFormat="1" ht="25" customHeight="1" thickBot="1" x14ac:dyDescent="0.4">
      <c r="A18" s="14"/>
      <c r="B18" s="105" t="s">
        <v>64</v>
      </c>
      <c r="C18" s="106" t="s">
        <v>36</v>
      </c>
      <c r="D18" s="71">
        <v>0</v>
      </c>
      <c r="E18" s="72">
        <v>45978</v>
      </c>
      <c r="F18" s="72">
        <f>+WORKDAY(E18,2)</f>
        <v>45980</v>
      </c>
      <c r="G18" s="73"/>
      <c r="H18" s="48">
        <f t="shared" si="4"/>
        <v>3</v>
      </c>
      <c r="I18" s="68"/>
      <c r="J18" s="6"/>
      <c r="K18" s="6"/>
      <c r="L18" s="6"/>
      <c r="M18" s="6"/>
      <c r="N18" s="6"/>
      <c r="O18" s="6"/>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row>
    <row r="19" spans="1:64" s="25" customFormat="1" ht="25" customHeight="1" thickBot="1" x14ac:dyDescent="0.4">
      <c r="A19" s="14"/>
      <c r="B19" s="103" t="s">
        <v>63</v>
      </c>
      <c r="C19" s="104" t="s">
        <v>36</v>
      </c>
      <c r="D19" s="75">
        <v>0</v>
      </c>
      <c r="E19" s="76">
        <v>45978</v>
      </c>
      <c r="F19" s="76">
        <f>+WORKDAY(E19,2)</f>
        <v>45980</v>
      </c>
      <c r="G19" s="77"/>
      <c r="H19" s="78">
        <f t="shared" si="4"/>
        <v>3</v>
      </c>
      <c r="I19" s="68"/>
      <c r="J19" s="6"/>
      <c r="K19" s="6"/>
      <c r="L19" s="6"/>
      <c r="M19" s="6"/>
      <c r="N19" s="6"/>
      <c r="O19" s="6"/>
      <c r="P19" s="6"/>
      <c r="Q19" s="6"/>
      <c r="R19" s="6"/>
      <c r="S19" s="6"/>
      <c r="T19" s="6"/>
      <c r="U19" s="6"/>
      <c r="V19" s="6"/>
      <c r="W19" s="6"/>
      <c r="X19" s="6"/>
      <c r="Y19" s="7"/>
      <c r="Z19" s="6"/>
      <c r="AA19" s="6"/>
      <c r="AB19" s="6"/>
      <c r="AC19" s="6"/>
      <c r="AD19" s="6"/>
      <c r="AE19" s="6"/>
      <c r="AF19" s="6"/>
      <c r="AG19" s="6"/>
      <c r="AH19" s="6"/>
      <c r="AI19" s="6"/>
      <c r="AJ19" s="6"/>
      <c r="AK19" s="6"/>
      <c r="AL19" s="6"/>
      <c r="AM19" s="6"/>
      <c r="AN19" s="6"/>
      <c r="AO19" s="6"/>
      <c r="AP19" s="6"/>
      <c r="AQ19" s="6"/>
      <c r="AR19" s="6"/>
      <c r="AS19" s="6"/>
      <c r="AT19" s="6"/>
      <c r="AU19" s="6"/>
      <c r="AV19" s="6"/>
      <c r="AW19" s="6"/>
      <c r="AX19" s="6"/>
      <c r="AY19" s="6"/>
      <c r="AZ19" s="6"/>
      <c r="BA19" s="6"/>
      <c r="BB19" s="6"/>
      <c r="BC19" s="6"/>
      <c r="BD19" s="6"/>
      <c r="BE19" s="6"/>
      <c r="BF19" s="6"/>
      <c r="BG19" s="6"/>
      <c r="BH19" s="6"/>
      <c r="BI19" s="6"/>
      <c r="BJ19" s="6"/>
      <c r="BK19" s="6"/>
      <c r="BL19" s="6"/>
    </row>
    <row r="20" spans="1:64" s="25" customFormat="1" ht="25" customHeight="1" thickBot="1" x14ac:dyDescent="0.4">
      <c r="A20" s="14"/>
      <c r="B20" s="105" t="s">
        <v>66</v>
      </c>
      <c r="C20" s="106" t="s">
        <v>36</v>
      </c>
      <c r="D20" s="71">
        <v>0.2</v>
      </c>
      <c r="E20" s="72">
        <v>45959</v>
      </c>
      <c r="F20" s="72">
        <f>+WORKDAY(E20,10)</f>
        <v>45973</v>
      </c>
      <c r="G20" s="73"/>
      <c r="H20" s="48">
        <f t="shared" si="4"/>
        <v>15</v>
      </c>
      <c r="I20" s="68"/>
      <c r="J20" s="6"/>
      <c r="K20" s="6"/>
      <c r="L20" s="6"/>
      <c r="M20" s="6"/>
      <c r="N20" s="6"/>
      <c r="O20" s="6"/>
      <c r="P20" s="6"/>
      <c r="Q20" s="6"/>
      <c r="R20" s="6"/>
      <c r="S20" s="6"/>
      <c r="T20" s="6"/>
      <c r="U20" s="7"/>
      <c r="V20" s="7"/>
      <c r="W20" s="6"/>
      <c r="X20" s="6"/>
      <c r="Y20" s="6"/>
      <c r="Z20" s="6"/>
      <c r="AA20" s="6"/>
      <c r="AB20" s="6"/>
      <c r="AC20" s="6"/>
      <c r="AD20" s="6"/>
      <c r="AE20" s="6"/>
      <c r="AF20" s="6"/>
      <c r="AG20" s="6"/>
      <c r="AH20" s="6"/>
      <c r="AI20" s="6"/>
      <c r="AJ20" s="6"/>
      <c r="AK20" s="6"/>
      <c r="AL20" s="6"/>
      <c r="AM20" s="6"/>
      <c r="AN20" s="6"/>
      <c r="AO20" s="6"/>
      <c r="AP20" s="6"/>
      <c r="AQ20" s="6"/>
      <c r="AR20" s="6"/>
      <c r="AS20" s="6"/>
      <c r="AT20" s="6"/>
      <c r="AU20" s="6"/>
      <c r="AV20" s="6"/>
      <c r="AW20" s="6"/>
      <c r="AX20" s="6"/>
      <c r="AY20" s="6"/>
      <c r="AZ20" s="6"/>
      <c r="BA20" s="6"/>
      <c r="BB20" s="6"/>
      <c r="BC20" s="6"/>
      <c r="BD20" s="6"/>
      <c r="BE20" s="6"/>
      <c r="BF20" s="6"/>
      <c r="BG20" s="6"/>
      <c r="BH20" s="6"/>
      <c r="BI20" s="6"/>
      <c r="BJ20" s="6"/>
      <c r="BK20" s="6"/>
      <c r="BL20" s="6"/>
    </row>
    <row r="21" spans="1:64" s="25" customFormat="1" ht="25" customHeight="1" thickBot="1" x14ac:dyDescent="0.4">
      <c r="A21" s="121"/>
      <c r="B21" s="103" t="s">
        <v>77</v>
      </c>
      <c r="C21" s="104" t="s">
        <v>36</v>
      </c>
      <c r="D21" s="75">
        <v>0</v>
      </c>
      <c r="E21" s="76">
        <f>+F20+1</f>
        <v>45974</v>
      </c>
      <c r="F21" s="76">
        <f>+WORKDAY(E21,4)</f>
        <v>45980</v>
      </c>
      <c r="G21" s="77"/>
      <c r="H21" s="78">
        <f t="shared" si="4"/>
        <v>7</v>
      </c>
      <c r="I21" s="68"/>
      <c r="J21" s="6"/>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V21" s="6"/>
      <c r="AW21" s="6"/>
      <c r="AX21" s="6"/>
      <c r="AY21" s="6"/>
      <c r="AZ21" s="6"/>
      <c r="BA21" s="6"/>
      <c r="BB21" s="6"/>
      <c r="BC21" s="6"/>
      <c r="BD21" s="6"/>
      <c r="BE21" s="6"/>
      <c r="BF21" s="6"/>
      <c r="BG21" s="6"/>
      <c r="BH21" s="6"/>
      <c r="BI21" s="6"/>
      <c r="BJ21" s="6"/>
      <c r="BK21" s="6"/>
      <c r="BL21" s="6"/>
    </row>
    <row r="22" spans="1:64" s="25" customFormat="1" ht="25" customHeight="1" thickBot="1" x14ac:dyDescent="0.4">
      <c r="A22" s="14"/>
      <c r="B22" s="105" t="s">
        <v>62</v>
      </c>
      <c r="C22" s="106" t="s">
        <v>36</v>
      </c>
      <c r="D22" s="71">
        <v>0</v>
      </c>
      <c r="E22" s="72">
        <f>+F19+1</f>
        <v>45981</v>
      </c>
      <c r="F22" s="72">
        <f>+WORKDAY(E22,3)</f>
        <v>45986</v>
      </c>
      <c r="G22" s="73"/>
      <c r="H22" s="48">
        <f t="shared" si="4"/>
        <v>6</v>
      </c>
      <c r="I22" s="68"/>
      <c r="J22" s="6"/>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V22" s="6"/>
      <c r="AW22" s="6"/>
      <c r="AX22" s="6"/>
      <c r="AY22" s="6"/>
      <c r="AZ22" s="6"/>
      <c r="BA22" s="6"/>
      <c r="BB22" s="6"/>
      <c r="BC22" s="6"/>
      <c r="BD22" s="6"/>
      <c r="BE22" s="6"/>
      <c r="BF22" s="6"/>
      <c r="BG22" s="6"/>
      <c r="BH22" s="6"/>
      <c r="BI22" s="6"/>
      <c r="BJ22" s="6"/>
      <c r="BK22" s="6"/>
      <c r="BL22" s="6"/>
    </row>
    <row r="23" spans="1:64" s="27" customFormat="1" ht="25" customHeight="1" x14ac:dyDescent="0.35">
      <c r="A23" s="121"/>
      <c r="B23" s="103" t="s">
        <v>68</v>
      </c>
      <c r="C23" s="104" t="s">
        <v>36</v>
      </c>
      <c r="D23" s="75">
        <v>0</v>
      </c>
      <c r="E23" s="76">
        <f>+F22+1</f>
        <v>45987</v>
      </c>
      <c r="F23" s="76">
        <f>+WORKDAY(E23,4)</f>
        <v>45993</v>
      </c>
      <c r="G23" s="77"/>
      <c r="H23" s="78">
        <f t="shared" si="4"/>
        <v>7</v>
      </c>
      <c r="I23" s="83"/>
      <c r="J23" s="26"/>
      <c r="K23" s="26"/>
      <c r="L23" s="26"/>
      <c r="M23" s="26"/>
      <c r="N23" s="26"/>
      <c r="O23" s="26"/>
      <c r="P23" s="26"/>
      <c r="Q23" s="26"/>
      <c r="R23" s="26"/>
      <c r="S23" s="26"/>
      <c r="T23" s="26"/>
      <c r="U23" s="26"/>
      <c r="V23" s="26"/>
      <c r="W23" s="26"/>
      <c r="X23" s="26"/>
      <c r="Y23" s="26"/>
      <c r="Z23" s="26"/>
      <c r="AA23" s="26"/>
      <c r="AB23" s="26"/>
      <c r="AC23" s="26"/>
      <c r="AD23" s="26"/>
      <c r="AE23" s="26"/>
      <c r="AF23" s="26"/>
      <c r="AG23" s="26"/>
      <c r="AH23" s="26"/>
      <c r="AI23" s="26"/>
      <c r="AJ23" s="26"/>
      <c r="AK23" s="26"/>
      <c r="AL23" s="26"/>
      <c r="AM23" s="26"/>
      <c r="AN23" s="26"/>
      <c r="AO23" s="26"/>
      <c r="AP23" s="26"/>
      <c r="AQ23" s="26"/>
      <c r="AR23" s="26"/>
      <c r="AS23" s="26"/>
      <c r="AT23" s="26"/>
      <c r="AU23" s="26"/>
      <c r="AV23" s="26"/>
      <c r="AW23" s="26"/>
      <c r="AX23" s="26"/>
      <c r="AY23" s="26"/>
      <c r="AZ23" s="26"/>
      <c r="BA23" s="26"/>
      <c r="BB23" s="26"/>
      <c r="BC23" s="26"/>
      <c r="BD23" s="26"/>
      <c r="BE23" s="26"/>
      <c r="BF23" s="26"/>
      <c r="BG23" s="26"/>
      <c r="BH23" s="26"/>
      <c r="BI23" s="26"/>
      <c r="BJ23" s="26"/>
      <c r="BK23" s="26"/>
      <c r="BL23" s="26"/>
    </row>
    <row r="24" spans="1:64" s="28" customFormat="1" ht="25" customHeight="1" thickBot="1" x14ac:dyDescent="0.4">
      <c r="A24" s="14" t="s">
        <v>11</v>
      </c>
      <c r="B24" s="99" t="s">
        <v>38</v>
      </c>
      <c r="C24" s="100"/>
      <c r="D24" s="60">
        <f>+AVERAGE(D25:D40)</f>
        <v>0.39437499999999998</v>
      </c>
      <c r="E24" s="62"/>
      <c r="F24" s="101">
        <f>+F40-E25+1</f>
        <v>74</v>
      </c>
      <c r="G24" s="62"/>
      <c r="H24" s="102"/>
    </row>
    <row r="25" spans="1:64" s="24" customFormat="1" ht="25" customHeight="1" thickBot="1" x14ac:dyDescent="0.4">
      <c r="A25" s="14"/>
      <c r="B25" s="103" t="s">
        <v>58</v>
      </c>
      <c r="C25" s="104" t="s">
        <v>36</v>
      </c>
      <c r="D25" s="75">
        <v>0</v>
      </c>
      <c r="E25" s="76">
        <v>45962</v>
      </c>
      <c r="F25" s="76">
        <f>+WORKDAY(E25,4)</f>
        <v>45967</v>
      </c>
      <c r="G25" s="77"/>
      <c r="H25" s="78">
        <f t="shared" si="4"/>
        <v>6</v>
      </c>
      <c r="I25" s="64"/>
      <c r="J25" s="23"/>
      <c r="K25" s="23"/>
      <c r="L25" s="23"/>
      <c r="M25" s="23"/>
      <c r="N25" s="23"/>
      <c r="O25" s="23"/>
      <c r="P25" s="23"/>
      <c r="Q25" s="23"/>
      <c r="R25" s="23"/>
      <c r="S25" s="23"/>
      <c r="T25" s="23"/>
      <c r="U25" s="23"/>
      <c r="V25" s="23"/>
      <c r="W25" s="23"/>
      <c r="X25" s="23"/>
      <c r="Y25" s="23"/>
      <c r="Z25" s="23"/>
      <c r="AA25" s="23"/>
      <c r="AB25" s="23"/>
      <c r="AC25" s="23"/>
      <c r="AD25" s="23"/>
      <c r="AE25" s="23"/>
      <c r="AF25" s="23"/>
      <c r="AG25" s="23"/>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row>
    <row r="26" spans="1:64" s="25" customFormat="1" ht="25" customHeight="1" thickBot="1" x14ac:dyDescent="0.4">
      <c r="A26" s="121" t="s">
        <v>9</v>
      </c>
      <c r="B26" s="105" t="s">
        <v>39</v>
      </c>
      <c r="C26" s="106" t="s">
        <v>36</v>
      </c>
      <c r="D26" s="71">
        <v>0.9</v>
      </c>
      <c r="E26" s="72">
        <f>+F25</f>
        <v>45967</v>
      </c>
      <c r="F26" s="72">
        <f>+WORKDAY(E26,0)</f>
        <v>45967</v>
      </c>
      <c r="G26" s="73"/>
      <c r="H26" s="48">
        <f t="shared" si="4"/>
        <v>1</v>
      </c>
      <c r="I26" s="68"/>
      <c r="J26" s="6"/>
      <c r="K26" s="6"/>
      <c r="L26" s="6"/>
      <c r="M26" s="6"/>
      <c r="N26" s="6"/>
      <c r="O26" s="6"/>
      <c r="P26" s="6"/>
      <c r="Q26" s="6"/>
      <c r="R26" s="6"/>
      <c r="S26" s="6"/>
      <c r="T26" s="6"/>
      <c r="U26" s="7"/>
      <c r="V26" s="7"/>
      <c r="W26" s="6"/>
      <c r="X26" s="6"/>
      <c r="Y26" s="6"/>
      <c r="Z26" s="6"/>
      <c r="AA26" s="6"/>
      <c r="AB26" s="6"/>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row>
    <row r="27" spans="1:64" s="25" customFormat="1" ht="25" customHeight="1" thickBot="1" x14ac:dyDescent="0.4">
      <c r="A27" s="14"/>
      <c r="B27" s="103" t="s">
        <v>41</v>
      </c>
      <c r="C27" s="104" t="s">
        <v>36</v>
      </c>
      <c r="D27" s="75">
        <v>0.9</v>
      </c>
      <c r="E27" s="76">
        <f>+F26+0</f>
        <v>45967</v>
      </c>
      <c r="F27" s="76">
        <f>+WORKDAY(E27,0)</f>
        <v>45967</v>
      </c>
      <c r="G27" s="77"/>
      <c r="H27" s="78">
        <f t="shared" si="4"/>
        <v>1</v>
      </c>
      <c r="I27" s="68"/>
      <c r="J27" s="6"/>
      <c r="K27" s="6"/>
      <c r="L27" s="6"/>
      <c r="M27" s="6"/>
      <c r="N27" s="6"/>
      <c r="O27" s="6"/>
      <c r="P27" s="6"/>
      <c r="Q27" s="6"/>
      <c r="R27" s="6"/>
      <c r="S27" s="6"/>
      <c r="T27" s="6"/>
      <c r="U27" s="6"/>
      <c r="V27" s="6"/>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row>
    <row r="28" spans="1:64" s="25" customFormat="1" ht="25" customHeight="1" thickBot="1" x14ac:dyDescent="0.4">
      <c r="A28" s="14"/>
      <c r="B28" s="105" t="s">
        <v>45</v>
      </c>
      <c r="C28" s="106" t="s">
        <v>36</v>
      </c>
      <c r="D28" s="71">
        <v>0.7</v>
      </c>
      <c r="E28" s="72">
        <f>+F25+1</f>
        <v>45968</v>
      </c>
      <c r="F28" s="72">
        <f>+WORKDAY(E28,3)</f>
        <v>45973</v>
      </c>
      <c r="G28" s="73"/>
      <c r="H28" s="48">
        <f t="shared" si="4"/>
        <v>6</v>
      </c>
      <c r="I28" s="68"/>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row>
    <row r="29" spans="1:64" s="25" customFormat="1" ht="25" customHeight="1" thickBot="1" x14ac:dyDescent="0.4">
      <c r="A29" s="14"/>
      <c r="B29" s="103" t="s">
        <v>46</v>
      </c>
      <c r="C29" s="104" t="s">
        <v>36</v>
      </c>
      <c r="D29" s="75">
        <v>0.2</v>
      </c>
      <c r="E29" s="76">
        <f t="shared" ref="E29:E40" si="5">+F28+1</f>
        <v>45974</v>
      </c>
      <c r="F29" s="76">
        <f>+WORKDAY(E29,3)</f>
        <v>45979</v>
      </c>
      <c r="G29" s="77"/>
      <c r="H29" s="78">
        <f t="shared" si="4"/>
        <v>6</v>
      </c>
      <c r="I29" s="68"/>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row>
    <row r="30" spans="1:64" s="25" customFormat="1" ht="25" customHeight="1" thickBot="1" x14ac:dyDescent="0.4">
      <c r="A30" s="14"/>
      <c r="B30" s="105" t="s">
        <v>73</v>
      </c>
      <c r="C30" s="106" t="s">
        <v>36</v>
      </c>
      <c r="D30" s="71">
        <v>0.01</v>
      </c>
      <c r="E30" s="72">
        <f>+F29+1</f>
        <v>45980</v>
      </c>
      <c r="F30" s="72">
        <f>+WORKDAY(E30,1)</f>
        <v>45981</v>
      </c>
      <c r="G30" s="73"/>
      <c r="H30" s="48">
        <f t="shared" si="4"/>
        <v>2</v>
      </c>
      <c r="I30" s="68"/>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row>
    <row r="31" spans="1:64" s="25" customFormat="1" ht="25" customHeight="1" thickBot="1" x14ac:dyDescent="0.4">
      <c r="A31" s="14"/>
      <c r="B31" s="103" t="s">
        <v>51</v>
      </c>
      <c r="C31" s="104" t="s">
        <v>36</v>
      </c>
      <c r="D31" s="75">
        <v>0.5</v>
      </c>
      <c r="E31" s="76">
        <f t="shared" si="5"/>
        <v>45982</v>
      </c>
      <c r="F31" s="76">
        <f>+WORKDAY(E31,3)</f>
        <v>45987</v>
      </c>
      <c r="G31" s="77"/>
      <c r="H31" s="78">
        <f t="shared" si="4"/>
        <v>6</v>
      </c>
      <c r="I31" s="68"/>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row>
    <row r="32" spans="1:64" s="25" customFormat="1" ht="25" customHeight="1" thickBot="1" x14ac:dyDescent="0.4">
      <c r="A32" s="14"/>
      <c r="B32" s="105" t="s">
        <v>52</v>
      </c>
      <c r="C32" s="106" t="s">
        <v>36</v>
      </c>
      <c r="D32" s="71">
        <v>0.5</v>
      </c>
      <c r="E32" s="72">
        <f t="shared" si="5"/>
        <v>45988</v>
      </c>
      <c r="F32" s="72">
        <f>+WORKDAY(E32,3)</f>
        <v>45993</v>
      </c>
      <c r="G32" s="73"/>
      <c r="H32" s="48">
        <f t="shared" si="4"/>
        <v>6</v>
      </c>
      <c r="I32" s="68"/>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row>
    <row r="33" spans="1:64" s="25" customFormat="1" ht="25" customHeight="1" thickBot="1" x14ac:dyDescent="0.4">
      <c r="A33" s="14"/>
      <c r="B33" s="103" t="s">
        <v>49</v>
      </c>
      <c r="C33" s="104" t="s">
        <v>36</v>
      </c>
      <c r="D33" s="75">
        <v>0.5</v>
      </c>
      <c r="E33" s="76">
        <f t="shared" si="5"/>
        <v>45994</v>
      </c>
      <c r="F33" s="76">
        <f>+WORKDAY(E33,3)</f>
        <v>45999</v>
      </c>
      <c r="G33" s="77"/>
      <c r="H33" s="78">
        <f t="shared" si="4"/>
        <v>6</v>
      </c>
      <c r="I33" s="68"/>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row>
    <row r="34" spans="1:64" s="25" customFormat="1" ht="25" customHeight="1" thickBot="1" x14ac:dyDescent="0.4">
      <c r="A34" s="14"/>
      <c r="B34" s="105" t="s">
        <v>50</v>
      </c>
      <c r="C34" s="106" t="s">
        <v>36</v>
      </c>
      <c r="D34" s="71">
        <v>0.5</v>
      </c>
      <c r="E34" s="72">
        <f t="shared" si="5"/>
        <v>46000</v>
      </c>
      <c r="F34" s="72">
        <f>+WORKDAY(E34,3)</f>
        <v>46003</v>
      </c>
      <c r="G34" s="73"/>
      <c r="H34" s="48">
        <f t="shared" si="4"/>
        <v>4</v>
      </c>
      <c r="I34" s="68"/>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row>
    <row r="35" spans="1:64" s="25" customFormat="1" ht="25" customHeight="1" thickBot="1" x14ac:dyDescent="0.4">
      <c r="A35" s="14"/>
      <c r="B35" s="103" t="s">
        <v>48</v>
      </c>
      <c r="C35" s="104" t="s">
        <v>36</v>
      </c>
      <c r="D35" s="75">
        <v>0.8</v>
      </c>
      <c r="E35" s="76">
        <f t="shared" si="5"/>
        <v>46004</v>
      </c>
      <c r="F35" s="76">
        <f>+WORKDAY(E35,2)</f>
        <v>46007</v>
      </c>
      <c r="G35" s="77"/>
      <c r="H35" s="78">
        <f t="shared" si="4"/>
        <v>4</v>
      </c>
      <c r="I35" s="68"/>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row>
    <row r="36" spans="1:64" s="25" customFormat="1" ht="25" customHeight="1" thickBot="1" x14ac:dyDescent="0.4">
      <c r="A36" s="14"/>
      <c r="B36" s="105" t="s">
        <v>72</v>
      </c>
      <c r="C36" s="106" t="s">
        <v>36</v>
      </c>
      <c r="D36" s="71">
        <v>0.1</v>
      </c>
      <c r="E36" s="72">
        <f t="shared" si="5"/>
        <v>46008</v>
      </c>
      <c r="F36" s="72">
        <f>+WORKDAY(E36,3)</f>
        <v>46013</v>
      </c>
      <c r="G36" s="73"/>
      <c r="H36" s="48"/>
      <c r="I36" s="68"/>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row>
    <row r="37" spans="1:64" s="25" customFormat="1" ht="25" customHeight="1" thickBot="1" x14ac:dyDescent="0.4">
      <c r="A37" s="14"/>
      <c r="B37" s="103" t="s">
        <v>53</v>
      </c>
      <c r="C37" s="104" t="s">
        <v>36</v>
      </c>
      <c r="D37" s="75">
        <v>0</v>
      </c>
      <c r="E37" s="76">
        <f t="shared" si="5"/>
        <v>46014</v>
      </c>
      <c r="F37" s="76">
        <f>+WORKDAY(E37,3)</f>
        <v>46017</v>
      </c>
      <c r="G37" s="77"/>
      <c r="H37" s="78"/>
      <c r="I37" s="68"/>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row>
    <row r="38" spans="1:64" s="25" customFormat="1" ht="25" customHeight="1" thickBot="1" x14ac:dyDescent="0.4">
      <c r="A38" s="14"/>
      <c r="B38" s="105" t="s">
        <v>54</v>
      </c>
      <c r="C38" s="106" t="s">
        <v>36</v>
      </c>
      <c r="D38" s="71">
        <v>0</v>
      </c>
      <c r="E38" s="72">
        <f t="shared" si="5"/>
        <v>46018</v>
      </c>
      <c r="F38" s="72">
        <f>+WORKDAY(E38,3)</f>
        <v>46022</v>
      </c>
      <c r="G38" s="73"/>
      <c r="H38" s="48"/>
      <c r="I38" s="68"/>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row>
    <row r="39" spans="1:64" s="25" customFormat="1" ht="25" customHeight="1" thickBot="1" x14ac:dyDescent="0.4">
      <c r="A39" s="14"/>
      <c r="B39" s="103" t="s">
        <v>55</v>
      </c>
      <c r="C39" s="104" t="s">
        <v>36</v>
      </c>
      <c r="D39" s="75">
        <v>0.5</v>
      </c>
      <c r="E39" s="76">
        <f t="shared" si="5"/>
        <v>46023</v>
      </c>
      <c r="F39" s="76">
        <f>+WORKDAY(E39,1)</f>
        <v>46024</v>
      </c>
      <c r="G39" s="77"/>
      <c r="H39" s="78"/>
      <c r="I39" s="68"/>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row>
    <row r="40" spans="1:64" s="27" customFormat="1" ht="25" customHeight="1" x14ac:dyDescent="0.35">
      <c r="A40" s="14"/>
      <c r="B40" s="105" t="s">
        <v>69</v>
      </c>
      <c r="C40" s="106" t="s">
        <v>36</v>
      </c>
      <c r="D40" s="71">
        <v>0.2</v>
      </c>
      <c r="E40" s="72">
        <f t="shared" si="5"/>
        <v>46025</v>
      </c>
      <c r="F40" s="72">
        <f>+WORKDAY(E40,7)</f>
        <v>46035</v>
      </c>
      <c r="G40" s="73"/>
      <c r="H40" s="48">
        <f t="shared" si="4"/>
        <v>11</v>
      </c>
      <c r="I40" s="83"/>
      <c r="J40" s="26"/>
      <c r="K40" s="26"/>
      <c r="L40" s="26"/>
      <c r="M40" s="26"/>
      <c r="N40" s="26"/>
      <c r="O40" s="26"/>
      <c r="P40" s="26"/>
      <c r="Q40" s="26"/>
      <c r="R40" s="26"/>
      <c r="S40" s="26"/>
      <c r="T40" s="26"/>
      <c r="U40" s="26"/>
      <c r="V40" s="26"/>
      <c r="W40" s="26"/>
      <c r="X40" s="26"/>
      <c r="Y40" s="26"/>
      <c r="Z40" s="26"/>
      <c r="AA40" s="26"/>
      <c r="AB40" s="26"/>
      <c r="AC40" s="26"/>
      <c r="AD40" s="26"/>
      <c r="AE40" s="26"/>
      <c r="AF40" s="26"/>
      <c r="AG40" s="26"/>
      <c r="AH40" s="26"/>
      <c r="AI40" s="26"/>
      <c r="AJ40" s="26"/>
      <c r="AK40" s="26"/>
      <c r="AL40" s="26"/>
      <c r="AM40" s="26"/>
      <c r="AN40" s="26"/>
      <c r="AO40" s="26"/>
      <c r="AP40" s="26"/>
      <c r="AQ40" s="26"/>
      <c r="AR40" s="26"/>
      <c r="AS40" s="26"/>
      <c r="AT40" s="26"/>
      <c r="AU40" s="26"/>
      <c r="AV40" s="26"/>
      <c r="AW40" s="26"/>
      <c r="AX40" s="26"/>
      <c r="AY40" s="26"/>
      <c r="AZ40" s="26"/>
      <c r="BA40" s="26"/>
      <c r="BB40" s="26"/>
      <c r="BC40" s="26"/>
      <c r="BD40" s="26"/>
      <c r="BE40" s="26"/>
      <c r="BF40" s="26"/>
      <c r="BG40" s="26"/>
      <c r="BH40" s="26"/>
      <c r="BI40" s="26"/>
      <c r="BJ40" s="26"/>
      <c r="BK40" s="26"/>
      <c r="BL40" s="26"/>
    </row>
    <row r="41" spans="1:64" s="30" customFormat="1" ht="25" customHeight="1" thickBot="1" x14ac:dyDescent="0.4">
      <c r="A41" s="14" t="s">
        <v>11</v>
      </c>
      <c r="B41" s="99" t="s">
        <v>74</v>
      </c>
      <c r="C41" s="100"/>
      <c r="D41" s="60">
        <f>+AVERAGE(D42:D44)</f>
        <v>3.3333333333333333E-2</v>
      </c>
      <c r="E41" s="62"/>
      <c r="F41" s="101">
        <f>+F44-E42+1</f>
        <v>38</v>
      </c>
      <c r="G41" s="62"/>
      <c r="H41" s="102"/>
    </row>
    <row r="42" spans="1:64" s="24" customFormat="1" ht="25" customHeight="1" thickBot="1" x14ac:dyDescent="0.4">
      <c r="A42" s="14"/>
      <c r="B42" s="105" t="s">
        <v>59</v>
      </c>
      <c r="C42" s="115" t="s">
        <v>71</v>
      </c>
      <c r="D42" s="71">
        <v>0.1</v>
      </c>
      <c r="E42" s="72">
        <v>45958</v>
      </c>
      <c r="F42" s="72">
        <f>+WORKDAY(E42,5)</f>
        <v>45965</v>
      </c>
      <c r="G42" s="73"/>
      <c r="H42" s="48">
        <f t="shared" si="4"/>
        <v>8</v>
      </c>
      <c r="I42" s="64"/>
      <c r="J42" s="23"/>
      <c r="K42" s="23"/>
      <c r="L42" s="23"/>
      <c r="M42" s="23"/>
      <c r="N42" s="23"/>
      <c r="O42" s="23"/>
      <c r="P42" s="23"/>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c r="AY42" s="23"/>
      <c r="AZ42" s="23"/>
      <c r="BA42" s="23"/>
      <c r="BB42" s="23"/>
      <c r="BC42" s="23"/>
      <c r="BD42" s="23"/>
      <c r="BE42" s="23"/>
      <c r="BF42" s="23"/>
      <c r="BG42" s="23"/>
      <c r="BH42" s="23"/>
      <c r="BI42" s="23"/>
      <c r="BJ42" s="23"/>
      <c r="BK42" s="23"/>
      <c r="BL42" s="23"/>
    </row>
    <row r="43" spans="1:64" s="25" customFormat="1" ht="25" customHeight="1" thickBot="1" x14ac:dyDescent="0.4">
      <c r="A43" s="14"/>
      <c r="B43" s="103" t="s">
        <v>60</v>
      </c>
      <c r="C43" s="114" t="s">
        <v>71</v>
      </c>
      <c r="D43" s="75">
        <v>0</v>
      </c>
      <c r="E43" s="76">
        <f>+F42+1</f>
        <v>45966</v>
      </c>
      <c r="F43" s="76">
        <f>+WORKDAY(E43,10)</f>
        <v>45980</v>
      </c>
      <c r="G43" s="77"/>
      <c r="H43" s="78">
        <f t="shared" si="4"/>
        <v>15</v>
      </c>
      <c r="I43" s="68"/>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row>
    <row r="44" spans="1:64" s="27" customFormat="1" ht="25" customHeight="1" x14ac:dyDescent="0.35">
      <c r="A44" s="14"/>
      <c r="B44" s="119" t="s">
        <v>61</v>
      </c>
      <c r="C44" s="120" t="s">
        <v>71</v>
      </c>
      <c r="D44" s="79">
        <v>0</v>
      </c>
      <c r="E44" s="80">
        <f>+F43+1</f>
        <v>45981</v>
      </c>
      <c r="F44" s="80">
        <f>+WORKDAY(E44,10)</f>
        <v>45995</v>
      </c>
      <c r="G44" s="81"/>
      <c r="H44" s="82">
        <f t="shared" si="4"/>
        <v>15</v>
      </c>
      <c r="I44" s="83"/>
      <c r="J44" s="26"/>
      <c r="K44" s="26"/>
      <c r="L44" s="26"/>
      <c r="M44" s="26"/>
      <c r="N44" s="26"/>
      <c r="O44" s="26"/>
      <c r="P44" s="26"/>
      <c r="Q44" s="26"/>
      <c r="R44" s="26"/>
      <c r="S44" s="26"/>
      <c r="T44" s="26"/>
      <c r="U44" s="26"/>
      <c r="V44" s="26"/>
      <c r="W44" s="26"/>
      <c r="X44" s="26"/>
      <c r="Y44" s="26"/>
      <c r="Z44" s="26"/>
      <c r="AA44" s="26"/>
      <c r="AB44" s="26"/>
      <c r="AC44" s="26"/>
      <c r="AD44" s="26"/>
      <c r="AE44" s="26"/>
      <c r="AF44" s="26"/>
      <c r="AG44" s="26"/>
      <c r="AH44" s="26"/>
      <c r="AI44" s="26"/>
      <c r="AJ44" s="26"/>
      <c r="AK44" s="26"/>
      <c r="AL44" s="26"/>
      <c r="AM44" s="26"/>
      <c r="AN44" s="26"/>
      <c r="AO44" s="26"/>
      <c r="AP44" s="26"/>
      <c r="AQ44" s="26"/>
      <c r="AR44" s="26"/>
      <c r="AS44" s="26"/>
      <c r="AT44" s="26"/>
      <c r="AU44" s="26"/>
      <c r="AV44" s="26"/>
      <c r="AW44" s="26"/>
      <c r="AX44" s="26"/>
      <c r="AY44" s="26"/>
      <c r="AZ44" s="26"/>
      <c r="BA44" s="26"/>
      <c r="BB44" s="26"/>
      <c r="BC44" s="26"/>
      <c r="BD44" s="26"/>
      <c r="BE44" s="26"/>
      <c r="BF44" s="26"/>
      <c r="BG44" s="26"/>
      <c r="BH44" s="26"/>
      <c r="BI44" s="26"/>
      <c r="BJ44" s="26"/>
      <c r="BK44" s="26"/>
      <c r="BL44" s="26"/>
    </row>
    <row r="45" spans="1:64" ht="30" customHeight="1" x14ac:dyDescent="0.35">
      <c r="G45" s="3"/>
    </row>
    <row r="46" spans="1:64" ht="30" customHeight="1" x14ac:dyDescent="0.35">
      <c r="C46" s="4"/>
      <c r="F46" s="15"/>
    </row>
    <row r="47" spans="1:64" ht="30" customHeight="1" x14ac:dyDescent="0.35">
      <c r="C47" s="5"/>
    </row>
    <row r="68" spans="2:2" ht="30" customHeight="1" x14ac:dyDescent="0.35">
      <c r="B68" t="s">
        <v>73</v>
      </c>
    </row>
    <row r="69" spans="2:2" ht="30" customHeight="1" x14ac:dyDescent="0.35">
      <c r="B69" t="s">
        <v>57</v>
      </c>
    </row>
  </sheetData>
  <mergeCells count="11">
    <mergeCell ref="BF4:BL4"/>
    <mergeCell ref="E3:F3"/>
    <mergeCell ref="I4:O4"/>
    <mergeCell ref="P4:V4"/>
    <mergeCell ref="W4:AC4"/>
    <mergeCell ref="AD4:AJ4"/>
    <mergeCell ref="C3:D3"/>
    <mergeCell ref="C4:D4"/>
    <mergeCell ref="AK4:AQ4"/>
    <mergeCell ref="AR4:AX4"/>
    <mergeCell ref="AY4:BE4"/>
  </mergeCells>
  <conditionalFormatting sqref="D7:D44">
    <cfRule type="dataBar" priority="14">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7 G9:BL15 I16:BL23 I25:BL44">
    <cfRule type="expression" dxfId="2" priority="33">
      <formula>AND(TODAY()&gt;=G$5,TODAY()&lt;H$5)</formula>
    </cfRule>
  </conditionalFormatting>
  <conditionalFormatting sqref="I7:BL7 G9:BL15 I16:BL23 I25:BL44">
    <cfRule type="expression" dxfId="1" priority="27">
      <formula>AND(task_start&lt;=G$5,ROUNDDOWN((task_end-task_start+1)*task_progress,0)+task_start-1&gt;=G$5)</formula>
    </cfRule>
    <cfRule type="expression" dxfId="0" priority="28" stopIfTrue="1">
      <formula>AND(task_end&gt;=G$5,task_start&lt;H$5)</formula>
    </cfRule>
  </conditionalFormatting>
  <dataValidations count="1">
    <dataValidation type="whole" operator="greaterThanOrEqual" allowBlank="1" showInputMessage="1" promptTitle="Mostrar semana" prompt="Al cambiar este número, se desplazará la vista del diagrama de Gantt." sqref="E4" xr:uid="{00000000-0002-0000-0000-000000000000}">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ignoredErrors>
    <ignoredError sqref="F30" formula="1"/>
  </ignoredErrors>
  <legacyDrawing r:id="rId2"/>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D7:D44</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topLeftCell="A12" zoomScaleNormal="100" workbookViewId="0"/>
  </sheetViews>
  <sheetFormatPr baseColWidth="10" defaultColWidth="9.1796875" defaultRowHeight="13" x14ac:dyDescent="0.3"/>
  <cols>
    <col min="1" max="1" width="87.1796875" style="8" customWidth="1"/>
    <col min="2" max="16384" width="9.1796875" style="1"/>
  </cols>
  <sheetData>
    <row r="1" spans="1:2" ht="46.5" customHeight="1" x14ac:dyDescent="0.3"/>
    <row r="2" spans="1:2" s="10" customFormat="1" ht="23.5" x14ac:dyDescent="0.35">
      <c r="A2" s="33" t="s">
        <v>19</v>
      </c>
      <c r="B2" s="9"/>
    </row>
    <row r="3" spans="1:2" s="12" customFormat="1" ht="27" customHeight="1" x14ac:dyDescent="0.35">
      <c r="A3" s="34" t="s">
        <v>20</v>
      </c>
      <c r="B3" s="13"/>
    </row>
    <row r="4" spans="1:2" s="11" customFormat="1" ht="26" x14ac:dyDescent="0.6">
      <c r="A4" s="38" t="s">
        <v>21</v>
      </c>
    </row>
    <row r="5" spans="1:2" ht="74.150000000000006" customHeight="1" x14ac:dyDescent="0.3">
      <c r="A5" s="35" t="s">
        <v>22</v>
      </c>
    </row>
    <row r="6" spans="1:2" ht="26.25" customHeight="1" x14ac:dyDescent="0.3">
      <c r="A6" s="38" t="s">
        <v>23</v>
      </c>
    </row>
    <row r="7" spans="1:2" s="8" customFormat="1" ht="215.25" customHeight="1" x14ac:dyDescent="0.35">
      <c r="A7" s="36" t="s">
        <v>24</v>
      </c>
    </row>
    <row r="8" spans="1:2" s="11" customFormat="1" ht="26" x14ac:dyDescent="0.6">
      <c r="A8" s="38" t="s">
        <v>25</v>
      </c>
    </row>
    <row r="9" spans="1:2" ht="72.5" x14ac:dyDescent="0.3">
      <c r="A9" s="35" t="s">
        <v>26</v>
      </c>
    </row>
    <row r="10" spans="1:2" s="8" customFormat="1" ht="28" customHeight="1" x14ac:dyDescent="0.35">
      <c r="A10" s="37" t="s">
        <v>27</v>
      </c>
    </row>
    <row r="11" spans="1:2" s="11" customFormat="1" ht="26" x14ac:dyDescent="0.6">
      <c r="A11" s="38" t="s">
        <v>28</v>
      </c>
    </row>
    <row r="12" spans="1:2" ht="29" x14ac:dyDescent="0.3">
      <c r="A12" s="35" t="s">
        <v>29</v>
      </c>
    </row>
    <row r="13" spans="1:2" s="8" customFormat="1" ht="28" customHeight="1" x14ac:dyDescent="0.35">
      <c r="A13" s="37" t="s">
        <v>30</v>
      </c>
    </row>
    <row r="14" spans="1:2" s="11" customFormat="1" ht="26" x14ac:dyDescent="0.6">
      <c r="A14" s="38" t="s">
        <v>31</v>
      </c>
    </row>
    <row r="15" spans="1:2" ht="96.75" customHeight="1" x14ac:dyDescent="0.3">
      <c r="A15" s="35" t="s">
        <v>32</v>
      </c>
    </row>
    <row r="16" spans="1:2" ht="87" x14ac:dyDescent="0.3">
      <c r="A16" s="35" t="s">
        <v>33</v>
      </c>
    </row>
  </sheetData>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drawing r:id="rId6"/>
</worksheet>
</file>

<file path=xl/worksheets/sheet5.xml><?xml version="1.0" encoding="utf-8"?>
<worksheet xmlns="http://schemas.openxmlformats.org/spreadsheetml/2006/main" xmlns:r="http://schemas.openxmlformats.org/officeDocument/2006/relationships">
  <dimension ref="A1:K30"/>
  <sheetViews>
    <sheetView showGridLines="0" workbookViewId="0"/>
  </sheetViews>
  <sheetFormatPr defaultRowHeight="15"/>
  <cols>
    <col min="1" max="1" width="2.5" customWidth="1"/>
    <col min="2" max="2" width="22" customWidth="1"/>
    <col min="3" max="8" width="13" customWidth="1"/>
    <col min="9" max="9" width="14" customWidth="1"/>
    <col min="11" max="11" width="9" hidden="1"/>
  </cols>
  <sheetData>
    <row r="1" ht="28" customHeight="1">
      <c r="B1" s="169" t="inlineStr">
        <is>
          <t xml:space="preserve">TABLERO EJECUTIVO — PROYECTO DATOS OP. COMPLEJAS</t>
        </is>
      </c>
      <c r="C1" s="169"/>
      <c r="D1" s="169"/>
      <c r="E1" s="169"/>
      <c r="F1" s="169"/>
      <c r="G1" s="169"/>
      <c r="H1" s="169"/>
      <c r="I1" s="169"/>
    </row>
    <row r="2" ht="16" customHeight="1">
      <c r="B2" s="170" t="str">
        <f>"IHSA S.A.  ·  Responsable: "&amp;'Proyecto Datos (OKR´s)'!$G$3&amp;"  ·  Inicio: "&amp;TEXT('Proyecto Datos (OKR´s)'!$K$3,"dd/mm/yyyy")&amp;"  ·  Actualizado al "&amp;TEXT(TODAY(),"dd/mm/yyyy")</f>
        <v>IHSA S.A.  ·  Responsable: Santiago Alonso  ·  Inicio: 28/10/2025  ·  Actualizado al 23/06/2026</v>
      </c>
      <c r="C2" s="170"/>
      <c r="D2" s="170"/>
      <c r="E2" s="170"/>
      <c r="F2" s="170"/>
      <c r="G2" s="170"/>
      <c r="H2" s="170"/>
      <c r="I2" s="170"/>
    </row>
    <row r="4" ht="16" customHeight="1">
      <c r="B4" s="186" t="inlineStr">
        <is>
          <t xml:space="preserve">Avance Global</t>
        </is>
      </c>
      <c r="C4" s="186"/>
      <c r="D4" s="186" t="inlineStr">
        <is>
          <t xml:space="preserve">Tareas</t>
        </is>
      </c>
      <c r="E4" s="186" t="inlineStr">
        <is>
          <t xml:space="preserve">Completadas</t>
        </is>
      </c>
      <c r="F4" s="186" t="inlineStr">
        <is>
          <t xml:space="preserve">En curso</t>
        </is>
      </c>
      <c r="G4" s="186" t="inlineStr">
        <is>
          <t xml:space="preserve">Próximas (≤7d)</t>
        </is>
      </c>
      <c r="H4" s="186" t="inlineStr">
        <is>
          <t xml:space="preserve">Vencidas</t>
        </is>
      </c>
      <c r="I4" s="186"/>
    </row>
    <row r="5" ht="30" customHeight="1">
      <c r="B5" s="185">
        <f>IFERROR(AVERAGE('_Datos'!$I$7:$I$200),0)</f>
        <v>0.44886363636363635</v>
      </c>
      <c r="C5" s="183"/>
      <c r="D5" s="183">
        <f>COUNT('_Datos'!$H$7:$H$200)</f>
        <v>26</v>
      </c>
      <c r="E5" s="183">
        <f>COUNTIF('_Datos'!$J$7:$J$200,"Completado")</f>
        <v>2</v>
      </c>
      <c r="F5" s="183">
        <f>COUNTIF('_Datos'!$J$7:$J$200,"En curso")</f>
        <v>0</v>
      </c>
      <c r="G5" s="183">
        <f>COUNTIF('_Datos'!$J$7:$J$200,"Próximo a vencer")</f>
        <v>1</v>
      </c>
      <c r="H5" s="184">
        <f>COUNTIF('_Datos'!$J$7:$J$200,"Vencido")</f>
        <v>23</v>
      </c>
      <c r="I5" s="183"/>
    </row>
    <row r="8">
      <c r="B8" s="172" t="inlineStr">
        <is>
          <t xml:space="preserve">AVANCE POR MÓDULO (OKR)</t>
        </is>
      </c>
      <c r="C8" s="172"/>
      <c r="D8" s="172"/>
      <c r="E8" s="172"/>
      <c r="F8" s="172"/>
      <c r="G8" s="172"/>
      <c r="H8" s="172"/>
      <c r="I8" s="172"/>
    </row>
    <row r="9">
      <c r="B9" s="174" t="inlineStr">
        <is>
          <t xml:space="preserve">Módulo / Entregable</t>
        </is>
      </c>
      <c r="C9" s="173"/>
      <c r="D9" s="173"/>
      <c r="E9" s="173"/>
      <c r="F9" s="173"/>
      <c r="G9" s="173" t="inlineStr">
        <is>
          <t xml:space="preserve">Tareas</t>
        </is>
      </c>
      <c r="H9" s="173" t="inlineStr">
        <is>
          <t xml:space="preserve">% Avance</t>
        </is>
      </c>
      <c r="I9" s="173" t="inlineStr">
        <is>
          <t xml:space="preserve">Avance</t>
        </is>
      </c>
    </row>
    <row r="10">
      <c r="B10" s="205" t="str">
        <f>'Proyecto Datos (OKR´s)'!$G$7</f>
        <v>1- GOC: Módulo de Datos para Procesos de Certificación (Inteligencia Comercial)</v>
      </c>
      <c r="C10" s="205"/>
      <c r="D10" s="205"/>
      <c r="E10" s="205"/>
      <c r="F10" s="205"/>
      <c r="G10" s="178">
        <f>COUNTIF('_Datos'!$D$7:$D$200,$B10)</f>
        <v>1</v>
      </c>
      <c r="H10" s="180">
        <f>IFERROR(AVERAGEIF('_Datos'!$D$7:$D$200,$B10,'_Datos'!$I$7:$I$200),"")</f>
        <v>0.2</v>
      </c>
      <c r="I10" s="180">
        <f>IFERROR(AVERAGEIF('_Datos'!$D$7:$D$200,$B10,'_Datos'!$I$7:$I$200),"")</f>
        <v>0.2</v>
      </c>
    </row>
    <row r="11">
      <c r="B11" s="205" t="str">
        <f>'Proyecto Datos (OKR´s)'!$G$9</f>
        <v>2- Cotizador de Operaciones Complejas</v>
      </c>
      <c r="C11" s="205"/>
      <c r="D11" s="205"/>
      <c r="E11" s="205"/>
      <c r="F11" s="205"/>
      <c r="G11" s="178">
        <f>COUNTIF('_Datos'!$D$7:$D$200,$B11)</f>
        <v>12</v>
      </c>
      <c r="H11" s="180">
        <f>IFERROR(AVERAGEIF('_Datos'!$D$7:$D$200,$B11,'_Datos'!$I$7:$I$200),"")</f>
        <v>0.48333333333333334</v>
      </c>
      <c r="I11" s="180">
        <f>IFERROR(AVERAGEIF('_Datos'!$D$7:$D$200,$B11,'_Datos'!$I$7:$I$200),"")</f>
        <v>0.48333333333333334</v>
      </c>
    </row>
    <row r="12">
      <c r="B12" s="205" t="str">
        <f>'Proyecto Datos (OKR´s)'!$G$22</f>
        <v>3- Tablero BI OPEX - Real vs BO</v>
      </c>
      <c r="C12" s="205"/>
      <c r="D12" s="205"/>
      <c r="E12" s="205"/>
      <c r="F12" s="205"/>
      <c r="G12" s="178">
        <f>COUNTIF('_Datos'!$D$7:$D$200,$B12)</f>
        <v>3</v>
      </c>
      <c r="H12" s="180">
        <f>IFERROR(AVERAGEIF('_Datos'!$D$7:$D$200,$B12,'_Datos'!$I$7:$I$200),"")</f>
        <v>0.9</v>
      </c>
      <c r="I12" s="180">
        <f>IFERROR(AVERAGEIF('_Datos'!$D$7:$D$200,$B12,'_Datos'!$I$7:$I$200),"")</f>
        <v>0.9</v>
      </c>
    </row>
    <row r="13">
      <c r="B13" s="205" t="str">
        <f>'Proyecto Datos (OKR´s)'!$G$27</f>
        <v>4- Tablero BI DEUDA</v>
      </c>
      <c r="C13" s="205"/>
      <c r="D13" s="205"/>
      <c r="E13" s="205"/>
      <c r="F13" s="205"/>
      <c r="G13" s="178">
        <f>COUNTIF('_Datos'!$D$7:$D$200,$B13)</f>
        <v>8</v>
      </c>
      <c r="H13" s="180">
        <f>IFERROR(AVERAGEIF('_Datos'!$D$7:$D$200,$B13,'_Datos'!$I$7:$I$200),"")</f>
        <v>0.7250000000000001</v>
      </c>
      <c r="I13" s="180">
        <f>IFERROR(AVERAGEIF('_Datos'!$D$7:$D$200,$B13,'_Datos'!$I$7:$I$200),"")</f>
        <v>0.7250000000000001</v>
      </c>
    </row>
    <row r="14">
      <c r="B14" s="205" t="str">
        <f>'Proyecto Datos (OKR´s)'!$G$36</f>
        <v>5- Tablero Control General - Op. Complejas</v>
      </c>
      <c r="C14" s="205"/>
      <c r="D14" s="205"/>
      <c r="E14" s="205"/>
      <c r="F14" s="205"/>
      <c r="G14" s="178">
        <f>COUNTIF('_Datos'!$D$7:$D$200,$B14)</f>
        <v>11</v>
      </c>
      <c r="H14" s="180">
        <f>IFERROR(AVERAGEIF('_Datos'!$D$7:$D$200,$B14,'_Datos'!$I$7:$I$200),"")</f>
        <v>0.4318181818181818</v>
      </c>
      <c r="I14" s="180">
        <f>IFERROR(AVERAGEIF('_Datos'!$D$7:$D$200,$B14,'_Datos'!$I$7:$I$200),"")</f>
        <v>0.4318181818181818</v>
      </c>
    </row>
    <row r="15">
      <c r="B15" s="205" t="str">
        <f>'Proyecto Datos (OKR´s)'!$G$48</f>
        <v>Tablero Forecast</v>
      </c>
      <c r="C15" s="205"/>
      <c r="D15" s="205"/>
      <c r="E15" s="205"/>
      <c r="F15" s="205"/>
      <c r="G15" s="178">
        <f>COUNTIF('_Datos'!$D$7:$D$200,$B15)</f>
        <v>3</v>
      </c>
      <c r="H15" s="180">
        <f>IFERROR(AVERAGEIF('_Datos'!$D$7:$D$200,$B15,'_Datos'!$I$7:$I$200),"")</f>
        <v>0</v>
      </c>
      <c r="I15" s="180">
        <f>IFERROR(AVERAGEIF('_Datos'!$D$7:$D$200,$B15,'_Datos'!$I$7:$I$200),"")</f>
        <v>0</v>
      </c>
    </row>
    <row r="16">
      <c r="B16" s="205" t="str">
        <f>'Proyecto Datos (OKR´s)'!$G$52</f>
        <v>6- Automatización de procesos: certificación, provisión,polinómicas</v>
      </c>
      <c r="C16" s="205"/>
      <c r="D16" s="205"/>
      <c r="E16" s="205"/>
      <c r="F16" s="205"/>
      <c r="G16" s="178">
        <f>COUNTIF('_Datos'!$D$7:$D$200,$B16)</f>
        <v>3</v>
      </c>
      <c r="H16" s="180">
        <f>IFERROR(AVERAGEIF('_Datos'!$D$7:$D$200,$B16,'_Datos'!$I$7:$I$200),"")</f>
        <v>0.13333333333333333</v>
      </c>
      <c r="I16" s="180">
        <f>IFERROR(AVERAGEIF('_Datos'!$D$7:$D$200,$B16,'_Datos'!$I$7:$I$200),"")</f>
        <v>0.13333333333333333</v>
      </c>
    </row>
    <row r="17">
      <c r="B17" s="205" t="str">
        <f>'Proyecto Datos (OKR´s)'!$G$56</f>
        <v>7- Incorporación de Operaciones Complejas en sistemas de la compañía: Salesforce, SAP, etc.</v>
      </c>
      <c r="C17" s="205"/>
      <c r="D17" s="205"/>
      <c r="E17" s="205"/>
      <c r="F17" s="205"/>
      <c r="G17" s="178">
        <f>COUNTIF('_Datos'!$D$7:$D$200,$B17)</f>
        <v>3</v>
      </c>
      <c r="H17" s="180">
        <f>IFERROR(AVERAGEIF('_Datos'!$D$7:$D$200,$B17,'_Datos'!$I$7:$I$200),"")</f>
        <v>0.03333333333333333</v>
      </c>
      <c r="I17" s="180">
        <f>IFERROR(AVERAGEIF('_Datos'!$D$7:$D$200,$B17,'_Datos'!$I$7:$I$200),"")</f>
        <v>0.03333333333333333</v>
      </c>
    </row>
    <row r="19">
      <c r="B19" s="172" t="inlineStr">
        <is>
          <t xml:space="preserve">AVANCE POR FRECUENCIA (sprints)</t>
        </is>
      </c>
      <c r="C19" s="172"/>
      <c r="D19" s="172"/>
      <c r="E19" s="172"/>
      <c r="F19" s="172"/>
      <c r="G19" s="172"/>
      <c r="H19" s="172"/>
      <c r="I19" s="172"/>
    </row>
    <row r="20">
      <c r="B20" s="173" t="inlineStr">
        <is>
          <t xml:space="preserve">Frecuencia</t>
        </is>
      </c>
      <c r="C20" s="173" t="inlineStr">
        <is>
          <t xml:space="preserve">Tareas</t>
        </is>
      </c>
      <c r="D20" s="173" t="inlineStr">
        <is>
          <t xml:space="preserve">Completas</t>
        </is>
      </c>
      <c r="E20" s="173" t="inlineStr">
        <is>
          <t xml:space="preserve">Pendientes</t>
        </is>
      </c>
      <c r="F20" s="173" t="inlineStr">
        <is>
          <t xml:space="preserve">Vencidas</t>
        </is>
      </c>
      <c r="G20" s="173" t="inlineStr">
        <is>
          <t xml:space="preserve">Baja prior.</t>
        </is>
      </c>
      <c r="H20" s="173" t="inlineStr">
        <is>
          <t xml:space="preserve">% Avance</t>
        </is>
      </c>
    </row>
    <row r="21">
      <c r="B21" s="204" t="inlineStr">
        <is>
          <t xml:space="preserve">Semanal</t>
        </is>
      </c>
      <c r="C21" s="204">
        <f>COUNTIF('_Datos'!$AO$7:$AO$200,"Semanal")</f>
        <v>25</v>
      </c>
      <c r="D21" s="204">
        <f>COUNTIFS('_Datos'!$AO$7:$AO$200,"Semanal",'_Datos'!$AY$7:$AY$200,"Completo")</f>
        <v>0</v>
      </c>
      <c r="E21" s="204">
        <f>COUNTIFS('_Datos'!$AO$7:$AO$200,"Semanal",'_Datos'!$AY$7:$AY$200,"Pendiente")+COUNTIFS('_Datos'!$AO$7:$AO$200,"Semanal",'_Datos'!$AY$7:$AY$200,"Vencida")</f>
        <v>18</v>
      </c>
      <c r="F21" s="204">
        <f>COUNTIFS('_Datos'!$AO$7:$AO$200,"Semanal",'_Datos'!$AY$7:$AY$200,"Vencida")</f>
        <v>18</v>
      </c>
      <c r="G21" s="204">
        <f>COUNTIFS('_Datos'!$AO$7:$AO$200,"Semanal",'_Datos'!$AY$7:$AY$200,"Baja prioridad")</f>
        <v>0</v>
      </c>
      <c r="H21" s="208">
        <f>IFERROR(AVERAGEIF('_Datos'!$AO$7:$AO$200,"Semanal",'_Datos'!$I$7:$I$200),"")</f>
        <v>0.53</v>
      </c>
      <c r="I21" s="204"/>
    </row>
    <row r="22">
      <c r="B22" s="204" t="inlineStr">
        <is>
          <t xml:space="preserve">Quincenal</t>
        </is>
      </c>
      <c r="C22" s="204">
        <f>COUNTIF('_Datos'!$AO$7:$AO$200,"Quincenal")</f>
        <v>12</v>
      </c>
      <c r="D22" s="204">
        <f>COUNTIFS('_Datos'!$AO$7:$AO$200,"Quincenal",'_Datos'!$AY$7:$AY$200,"Completo")</f>
        <v>0</v>
      </c>
      <c r="E22" s="204">
        <f>COUNTIFS('_Datos'!$AO$7:$AO$200,"Quincenal",'_Datos'!$AY$7:$AY$200,"Pendiente")+COUNTIFS('_Datos'!$AO$7:$AO$200,"Quincenal",'_Datos'!$AY$7:$AY$200,"Vencida")</f>
        <v>7</v>
      </c>
      <c r="F22" s="204">
        <f>COUNTIFS('_Datos'!$AO$7:$AO$200,"Quincenal",'_Datos'!$AY$7:$AY$200,"Vencida")</f>
        <v>0</v>
      </c>
      <c r="G22" s="204">
        <f>COUNTIFS('_Datos'!$AO$7:$AO$200,"Quincenal",'_Datos'!$AY$7:$AY$200,"Baja prioridad")</f>
        <v>0</v>
      </c>
      <c r="H22" s="208">
        <f>IFERROR(AVERAGEIF('_Datos'!$AO$7:$AO$200,"Quincenal",'_Datos'!$I$7:$I$200),"")</f>
        <v>0.48333333333333334</v>
      </c>
      <c r="I22" s="204"/>
    </row>
    <row r="23">
      <c r="B23" s="204" t="inlineStr">
        <is>
          <t xml:space="preserve">Mensual</t>
        </is>
      </c>
      <c r="C23" s="204">
        <f>COUNTIF('_Datos'!$AO$7:$AO$200,"Mensual")</f>
        <v>7</v>
      </c>
      <c r="D23" s="204">
        <f>COUNTIFS('_Datos'!$AO$7:$AO$200,"Mensual",'_Datos'!$AY$7:$AY$200,"Completo")</f>
        <v>0</v>
      </c>
      <c r="E23" s="204">
        <f>COUNTIFS('_Datos'!$AO$7:$AO$200,"Mensual",'_Datos'!$AY$7:$AY$200,"Pendiente")+COUNTIFS('_Datos'!$AO$7:$AO$200,"Mensual",'_Datos'!$AY$7:$AY$200,"Vencida")</f>
        <v>1</v>
      </c>
      <c r="F23" s="204">
        <f>COUNTIFS('_Datos'!$AO$7:$AO$200,"Mensual",'_Datos'!$AY$7:$AY$200,"Vencida")</f>
        <v>0</v>
      </c>
      <c r="G23" s="204">
        <f>COUNTIFS('_Datos'!$AO$7:$AO$200,"Mensual",'_Datos'!$AY$7:$AY$200,"Baja prioridad")</f>
        <v>0</v>
      </c>
      <c r="H23" s="208">
        <f>IFERROR(AVERAGEIF('_Datos'!$AO$7:$AO$200,"Mensual",'_Datos'!$I$7:$I$200),"")</f>
        <v>0.1</v>
      </c>
      <c r="I23" s="204"/>
    </row>
    <row r="25">
      <c r="B25" s="172" t="inlineStr">
        <is>
          <t xml:space="preserve">ALERTAS / CUELLOS DE BOTELLA</t>
        </is>
      </c>
      <c r="C25" s="172"/>
      <c r="D25" s="172"/>
      <c r="E25" s="172"/>
      <c r="F25" s="172"/>
      <c r="G25" s="172"/>
      <c r="H25" s="172"/>
      <c r="I25" s="172"/>
    </row>
    <row r="26">
      <c r="B26" s="186" t="inlineStr">
        <is>
          <t xml:space="preserve">Críticas</t>
        </is>
      </c>
      <c r="C26" s="186" t="inlineStr">
        <is>
          <t xml:space="preserve">Bloqueadas</t>
        </is>
      </c>
      <c r="D26" s="186" t="inlineStr">
        <is>
          <t xml:space="preserve">Atrasadas</t>
        </is>
      </c>
      <c r="E26" s="186" t="inlineStr">
        <is>
          <t xml:space="preserve">Sobrecarga</t>
        </is>
      </c>
    </row>
    <row r="27">
      <c r="B27" s="184">
        <f>COUNTIF('_Datos'!$AB$7:$AB$200,"Crítica")</f>
        <v>4</v>
      </c>
      <c r="C27" s="183">
        <f>COUNTIF('_Datos'!$Z$7:$Z$200,TRUE)</f>
        <v>6</v>
      </c>
      <c r="D27" s="183">
        <f>COUNTIF('_Datos'!$W$7:$W$200,"&gt;0")</f>
        <v>23</v>
      </c>
      <c r="E27" s="183">
        <f>COUNTIF('_Datos'!$AC$7:$AC$200,"*SOBRECARGA*")</f>
        <v>0</v>
      </c>
    </row>
    <row r="28">
      <c r="B28" s="176" t="inlineStr">
        <is>
          <t xml:space="preserve">Bloqueada = debía iniciar y sigue en 0%. Atrasada = pasó la fecha objetivo sin completar. Sobrecarga = responsable con &gt;8 tareas pendientes. La lista priorizada completa está en 'Entregas Próximas'.</t>
        </is>
      </c>
    </row>
    <row r="30">
      <c r="B30" s="176" t="inlineStr">
        <is>
          <t xml:space="preserve">Las métricas se recalculan solas desde la hoja Gantt. Los sprints (vigentes) aparecen automáticamente al usarse y conservan el histórico. El % por módulo se recalcula de forma independiente (no usa las celdas de promedio de las filas de fase).</t>
        </is>
      </c>
    </row>
  </sheetData>
  <mergeCells count="18">
    <mergeCell ref="B1:I1"/>
    <mergeCell ref="B2:I2"/>
    <mergeCell ref="B4:C4"/>
    <mergeCell ref="B5:C5"/>
    <mergeCell ref="B8:I8"/>
    <mergeCell ref="B9:F9"/>
    <mergeCell ref="B10:F10"/>
    <mergeCell ref="B11:F11"/>
    <mergeCell ref="B12:F12"/>
    <mergeCell ref="B13:F13"/>
    <mergeCell ref="B14:F14"/>
    <mergeCell ref="B15:F15"/>
    <mergeCell ref="B16:F16"/>
    <mergeCell ref="B17:F17"/>
    <mergeCell ref="B19:I19"/>
    <mergeCell ref="B25:I25"/>
    <mergeCell ref="B28:I28"/>
    <mergeCell ref="B30:I30"/>
  </mergeCells>
  <conditionalFormatting sqref="H10:H17">
    <cfRule type="dataBar" priority="10">
      <dataBar>
        <cfvo type="num" val="0"/>
        <cfvo type="num" val="1"/>
        <color rgb="FF2E75B6"/>
      </dataBar>
    </cfRule>
  </conditionalFormatting>
  <conditionalFormatting sqref="I10:I17">
    <cfRule type="dataBar" priority="11">
      <dataBar showValue="0">
        <cfvo type="num" val="0"/>
        <cfvo type="num" val="1"/>
        <color rgb="FF9DC3E6"/>
      </dataBar>
    </cfRule>
  </conditionalFormatting>
  <conditionalFormatting sqref="H21:H23">
    <cfRule type="dataBar" priority="12">
      <dataBar>
        <cfvo type="num" val="0"/>
        <cfvo type="num" val="1"/>
        <color rgb="FF2E75B6"/>
      </dataBar>
    </cfRule>
  </conditionalFormatting>
  <conditionalFormatting sqref="B10:I17">
    <cfRule type="expression" dxfId="21" priority="13">
      <formula>$B10&lt;&gt;""</formula>
    </cfRule>
  </conditionalFormatting>
  <conditionalFormatting sqref="B21:H23">
    <cfRule type="expression" dxfId="21" priority="14">
      <formula>$B21&lt;&gt;""</formula>
    </cfRule>
  </conditionalFormatting>
  <pageMargins left="0.4" right="0.4" top="0.5" bottom="0.5" header="0.3" footer="0.3"/>
</worksheet>
</file>

<file path=xl/worksheets/sheet6.xml><?xml version="1.0" encoding="utf-8"?>
<worksheet xmlns="http://schemas.openxmlformats.org/spreadsheetml/2006/main" xmlns:r="http://schemas.openxmlformats.org/officeDocument/2006/relationships">
  <dimension ref="A1:P156"/>
  <sheetViews>
    <sheetView showGridLines="0" workbookViewId="0">
      <pane ySplit="6" topLeftCell="A7" activePane="bottomLeft" state="frozen"/>
      <selection pane="bottomLeft" activeCell="B7" sqref="B7"/>
    </sheetView>
  </sheetViews>
  <sheetFormatPr defaultRowHeight="15"/>
  <cols>
    <col min="1" max="1" width="2.5" customWidth="1"/>
    <col min="2" max="2" width="11" customWidth="1"/>
    <col min="3" max="3" width="9" customWidth="1"/>
    <col min="4" max="4" width="46" customWidth="1"/>
    <col min="5" max="5" width="20" customWidth="1"/>
    <col min="6" max="6" width="12" customWidth="1"/>
    <col min="7" max="7" width="16" customWidth="1"/>
    <col min="8" max="8" width="9" customWidth="1"/>
    <col min="9" max="9" width="8" customWidth="1"/>
    <col min="10" max="10" width="8" customWidth="1"/>
    <col min="11" max="11" width="10" customWidth="1"/>
    <col min="12" max="12" width="8" customWidth="1"/>
    <col min="13" max="13" width="24" customWidth="1"/>
    <col min="16" max="16" width="9" hidden="1"/>
  </cols>
  <sheetData>
    <row r="1" ht="26" customHeight="1">
      <c r="B1" s="169" t="inlineStr">
        <is>
          <t xml:space="preserve">ENTREGAS PRÓXIMAS — PRIORIZADAS</t>
        </is>
      </c>
      <c r="C1" s="169"/>
      <c r="D1" s="169"/>
      <c r="E1" s="169"/>
      <c r="F1" s="169"/>
      <c r="G1" s="169"/>
      <c r="H1" s="169"/>
      <c r="I1" s="169"/>
      <c r="J1" s="169"/>
      <c r="K1" s="169"/>
      <c r="L1" s="169"/>
      <c r="M1" s="169"/>
    </row>
    <row r="2" ht="16" customHeight="1">
      <c r="B2" s="170" t="str">
        <f>"Proyecto Datos Op. Complejas · IHSA S.A. · Hoy "&amp;TEXT(TODAY(),"dd/mm/yyyy")&amp;"   |   Entregas: "&amp;COUNT('_Datos'!$H$7:$H$200)&amp;"   |   Críticas: "&amp;COUNTIF('_Datos'!$AB$7:$AB$200,"Crítica")&amp;"   |   Vencidas: "&amp;COUNTIF('_Datos'!$J$7:$J$200,"Vencido")&amp;"   |   Próximas: "&amp;COUNTIF('_Datos'!$J$7:$J$200,"Próximo a vencer")&amp;"   |   Bloqueadas: "&amp;COUNTIF('_Datos'!$Z$7:$Z$200,TRUE)&amp;"   |   Avance: "&amp;TEXT(IFERROR(AVERAGE('_Datos'!$I$7:$I$200),0),"0%")</f>
        <v>Proyecto Datos Op. Complejas · IHSA S.A. · Hoy 23/06/2026   |   Entregas: 26   |   Críticas: 4   |   Vencidas: 23   |   Próximas: 1   |   Bloqueadas: 6   |   Avance: 45%</v>
      </c>
      <c r="C2" s="170"/>
      <c r="D2" s="170"/>
      <c r="E2" s="170"/>
      <c r="F2" s="170"/>
      <c r="G2" s="170"/>
      <c r="H2" s="170"/>
      <c r="I2" s="170"/>
      <c r="J2" s="170"/>
      <c r="K2" s="170"/>
      <c r="L2" s="170"/>
      <c r="M2" s="170"/>
    </row>
    <row r="3">
      <c r="B3" s="175" t="inlineStr">
        <is>
          <t xml:space="preserve">Estados:</t>
        </is>
      </c>
      <c r="C3" s="194" t="inlineStr">
        <is>
          <t xml:space="preserve">Vencido</t>
        </is>
      </c>
      <c r="D3" s="194"/>
      <c r="E3" s="195" t="inlineStr">
        <is>
          <t xml:space="preserve">Próximo a vencer</t>
        </is>
      </c>
      <c r="F3" s="196" t="inlineStr">
        <is>
          <t xml:space="preserve">En curso</t>
        </is>
      </c>
      <c r="G3" s="196"/>
      <c r="H3" s="197" t="inlineStr">
        <is>
          <t xml:space="preserve">Completado</t>
        </is>
      </c>
      <c r="I3" s="197"/>
      <c r="K3" s="175" t="inlineStr">
        <is>
          <t xml:space="preserve">Umbral 'Próximo' (días):</t>
        </is>
      </c>
      <c r="L3" s="175"/>
      <c r="M3" s="191">
        <v>7</v>
      </c>
    </row>
    <row r="5">
      <c r="B5" s="172" t="inlineStr">
        <is>
          <t xml:space="preserve">DETALLE DE ENTREGAS  (ordenado por PRIORIDAD: urgencia + atraso + riesgo + carga)</t>
        </is>
      </c>
      <c r="C5" s="172"/>
      <c r="D5" s="172"/>
      <c r="E5" s="172"/>
      <c r="F5" s="172"/>
      <c r="G5" s="172"/>
      <c r="H5" s="172"/>
      <c r="I5" s="172"/>
      <c r="J5" s="172"/>
      <c r="K5" s="172"/>
      <c r="L5" s="172"/>
      <c r="M5" s="172"/>
    </row>
    <row r="6">
      <c r="B6" s="173" t="inlineStr">
        <is>
          <t xml:space="preserve">Prioridad</t>
        </is>
      </c>
      <c r="C6" s="173" t="inlineStr">
        <is>
          <t xml:space="preserve">Sprint</t>
        </is>
      </c>
      <c r="D6" s="173" t="inlineStr">
        <is>
          <t xml:space="preserve">Tarea</t>
        </is>
      </c>
      <c r="E6" s="173" t="inlineStr">
        <is>
          <t xml:space="preserve">Responsable</t>
        </is>
      </c>
      <c r="F6" s="173" t="inlineStr">
        <is>
          <t xml:space="preserve">Fecha obj.</t>
        </is>
      </c>
      <c r="G6" s="173" t="inlineStr">
        <is>
          <t xml:space="preserve">Estado</t>
        </is>
      </c>
      <c r="H6" s="173" t="inlineStr">
        <is>
          <t xml:space="preserve">Días rest.</t>
        </is>
      </c>
      <c r="I6" s="173" t="inlineStr">
        <is>
          <t xml:space="preserve">Dur.est.</t>
        </is>
      </c>
      <c r="J6" s="173" t="inlineStr">
        <is>
          <t xml:space="preserve">Días real</t>
        </is>
      </c>
      <c r="K6" s="173" t="inlineStr">
        <is>
          <t xml:space="preserve">Variación</t>
        </is>
      </c>
      <c r="L6" s="173" t="inlineStr">
        <is>
          <t xml:space="preserve">Atraso(d)</t>
        </is>
      </c>
      <c r="M6" s="173" t="inlineStr">
        <is>
          <t xml:space="preserve">Alerta / Cuello de botella</t>
        </is>
      </c>
    </row>
    <row r="7">
      <c r="B7" s="204" t="str">
        <f>IF($P7="","",INDEX('_Datos'!$AB$7:$AB$200,$P7))</f>
        <v>Crítica</v>
      </c>
      <c r="C7" s="204" t="str">
        <f>IF($P7="","",INDEX('_Datos'!$AE$7:$AE$200,$P7))</f>
        <v>Semanal · S2</v>
      </c>
      <c r="D7" s="205" t="str">
        <f>IF($P7="","",INDEX('_Datos'!$F$7:$F$200,$P7))</f>
        <v>Armado de Procedimiento</v>
      </c>
      <c r="E7" s="205" t="str">
        <f>IF($P7="","",INDEX('_Datos'!$G$7:$G$200,$P7))</f>
        <v>Santiago Alonso</v>
      </c>
      <c r="F7" s="207">
        <f>IF($P7="","",INDEX('_Datos'!$H$7:$H$200,$P7))</f>
        <v>46192</v>
      </c>
      <c r="G7" s="204" t="str">
        <f>IF($P7="","",INDEX('_Datos'!$J$7:$J$200,$P7))</f>
        <v>Vencido</v>
      </c>
      <c r="H7" s="209">
        <f>IF($P7="","",INDEX('_Datos'!$K$7:$K$200,$P7))</f>
        <v>-4</v>
      </c>
      <c r="I7" s="209">
        <f>IF($P7="","",INDEX('_Datos'!$S$7:$S$200,$P7))</f>
        <v>4</v>
      </c>
      <c r="J7" s="209">
        <f>IF($P7="","",INDEX('_Datos'!$T$7:$T$200,$P7))</f>
        <v>7</v>
      </c>
      <c r="K7" s="208">
        <f>IF($P7="","",INDEX('_Datos'!$V$7:$V$200,$P7))</f>
        <v>-1</v>
      </c>
      <c r="L7" s="209">
        <f>IF($P7="","",INDEX('_Datos'!$W$7:$W$200,$P7))</f>
        <v>4</v>
      </c>
      <c r="M7" s="205" t="str">
        <f>IF($P7="","",INDEX('_Datos'!$AC$7:$AC$200,$P7))</f>
        <v>ATRASO BLOQUEO</v>
      </c>
      <c r="P7" s="202">
        <f>IFERROR(MATCH(LARGE('_Datos'!$AJ$7:$AJ$200,ROW()-7+1),'_Datos'!$AJ$7:$AJ$200,0),"")</f>
        <v>43</v>
      </c>
    </row>
    <row r="8">
      <c r="B8" s="204" t="str">
        <f>IF($P8="","",INDEX('_Datos'!$AB$7:$AB$200,$P8))</f>
        <v>Crítica</v>
      </c>
      <c r="C8" s="204" t="str">
        <f>IF($P8="","",INDEX('_Datos'!$AE$7:$AE$200,$P8))</f>
        <v>Semanal · S2</v>
      </c>
      <c r="D8" s="205" t="str">
        <f>IF($P8="","",INDEX('_Datos'!$F$7:$F$200,$P8))</f>
        <v>Slicer funcional con % de incremento sobre venta con base en % definido en factores</v>
      </c>
      <c r="E8" s="205" t="str">
        <f>IF($P8="","",INDEX('_Datos'!$G$7:$G$200,$P8))</f>
        <v>Santiago Alonso</v>
      </c>
      <c r="F8" s="207">
        <f>IF($P8="","",INDEX('_Datos'!$H$7:$H$200,$P8))</f>
        <v>46192</v>
      </c>
      <c r="G8" s="204" t="str">
        <f>IF($P8="","",INDEX('_Datos'!$J$7:$J$200,$P8))</f>
        <v>Vencido</v>
      </c>
      <c r="H8" s="209">
        <f>IF($P8="","",INDEX('_Datos'!$K$7:$K$200,$P8))</f>
        <v>-4</v>
      </c>
      <c r="I8" s="209">
        <f>IF($P8="","",INDEX('_Datos'!$S$7:$S$200,$P8))</f>
        <v>4</v>
      </c>
      <c r="J8" s="209">
        <f>IF($P8="","",INDEX('_Datos'!$T$7:$T$200,$P8))</f>
        <v>7</v>
      </c>
      <c r="K8" s="208">
        <f>IF($P8="","",INDEX('_Datos'!$V$7:$V$200,$P8))</f>
        <v>-1</v>
      </c>
      <c r="L8" s="209">
        <f>IF($P8="","",INDEX('_Datos'!$W$7:$W$200,$P8))</f>
        <v>4</v>
      </c>
      <c r="M8" s="205" t="str">
        <f>IF($P8="","",INDEX('_Datos'!$AC$7:$AC$200,$P8))</f>
        <v>ATRASO BLOQUEO</v>
      </c>
      <c r="P8" s="202">
        <f>IFERROR(MATCH(LARGE('_Datos'!$AJ$7:$AJ$200,ROW()-7+1),'_Datos'!$AJ$7:$AJ$200,0),"")</f>
        <v>44</v>
      </c>
    </row>
    <row r="9">
      <c r="B9" s="204" t="str">
        <f>IF($P9="","",INDEX('_Datos'!$AB$7:$AB$200,$P9))</f>
        <v>Crítica</v>
      </c>
      <c r="C9" s="204" t="str">
        <f>IF($P9="","",INDEX('_Datos'!$AE$7:$AE$200,$P9))</f>
        <v>Semanal · S2</v>
      </c>
      <c r="D9" s="205" t="str">
        <f>IF($P9="","",INDEX('_Datos'!$F$7:$F$200,$P9))</f>
        <v>Factores de clientes con % de incremento sobre venta</v>
      </c>
      <c r="E9" s="205" t="str">
        <f>IF($P9="","",INDEX('_Datos'!$G$7:$G$200,$P9))</f>
        <v>Santiago Alonso</v>
      </c>
      <c r="F9" s="207">
        <f>IF($P9="","",INDEX('_Datos'!$H$7:$H$200,$P9))</f>
        <v>46192</v>
      </c>
      <c r="G9" s="204" t="str">
        <f>IF($P9="","",INDEX('_Datos'!$J$7:$J$200,$P9))</f>
        <v>Vencido</v>
      </c>
      <c r="H9" s="209">
        <f>IF($P9="","",INDEX('_Datos'!$K$7:$K$200,$P9))</f>
        <v>-4</v>
      </c>
      <c r="I9" s="209">
        <f>IF($P9="","",INDEX('_Datos'!$S$7:$S$200,$P9))</f>
        <v>4</v>
      </c>
      <c r="J9" s="209">
        <f>IF($P9="","",INDEX('_Datos'!$T$7:$T$200,$P9))</f>
        <v>7</v>
      </c>
      <c r="K9" s="208">
        <f>IF($P9="","",INDEX('_Datos'!$V$7:$V$200,$P9))</f>
        <v>-1</v>
      </c>
      <c r="L9" s="209">
        <f>IF($P9="","",INDEX('_Datos'!$W$7:$W$200,$P9))</f>
        <v>4</v>
      </c>
      <c r="M9" s="205" t="str">
        <f>IF($P9="","",INDEX('_Datos'!$AC$7:$AC$200,$P9))</f>
        <v>ATRASO BLOQUEO</v>
      </c>
      <c r="P9" s="202">
        <f>IFERROR(MATCH(LARGE('_Datos'!$AJ$7:$AJ$200,ROW()-7+1),'_Datos'!$AJ$7:$AJ$200,0),"")</f>
        <v>45</v>
      </c>
    </row>
    <row r="10">
      <c r="B10" s="204" t="str">
        <f>IF($P10="","",INDEX('_Datos'!$AB$7:$AB$200,$P10))</f>
        <v>Crítica</v>
      </c>
      <c r="C10" s="204" t="str">
        <f>IF($P10="","",INDEX('_Datos'!$AE$7:$AE$200,$P10))</f>
        <v>Semanal · S2</v>
      </c>
      <c r="D10" s="205" t="str">
        <f>IF($P10="","",INDEX('_Datos'!$F$7:$F$200,$P10))</f>
        <v>Planilla Activos Unificados - Estandarizar + Procedimiento</v>
      </c>
      <c r="E10" s="205" t="str">
        <f>IF($P10="","",INDEX('_Datos'!$G$7:$G$200,$P10))</f>
        <v>Santiago Alonso</v>
      </c>
      <c r="F10" s="207">
        <f>IF($P10="","",INDEX('_Datos'!$H$7:$H$200,$P10))</f>
        <v>46188</v>
      </c>
      <c r="G10" s="204" t="str">
        <f>IF($P10="","",INDEX('_Datos'!$J$7:$J$200,$P10))</f>
        <v>Vencido</v>
      </c>
      <c r="H10" s="209">
        <f>IF($P10="","",INDEX('_Datos'!$K$7:$K$200,$P10))</f>
        <v>-8</v>
      </c>
      <c r="I10" s="209">
        <f>IF($P10="","",INDEX('_Datos'!$S$7:$S$200,$P10))</f>
        <v>197</v>
      </c>
      <c r="J10" s="209">
        <f>IF($P10="","",INDEX('_Datos'!$T$7:$T$200,$P10))</f>
        <v>204</v>
      </c>
      <c r="K10" s="208">
        <f>IF($P10="","",INDEX('_Datos'!$V$7:$V$200,$P10))</f>
        <v>-0.8</v>
      </c>
      <c r="L10" s="209">
        <f>IF($P10="","",INDEX('_Datos'!$W$7:$W$200,$P10))</f>
        <v>8</v>
      </c>
      <c r="M10" s="205" t="str">
        <f>IF($P10="","",INDEX('_Datos'!$AC$7:$AC$200,$P10))</f>
        <v>ATRASO</v>
      </c>
      <c r="P10" s="202">
        <f>IFERROR(MATCH(LARGE('_Datos'!$AJ$7:$AJ$200,ROW()-7+1),'_Datos'!$AJ$7:$AJ$200,0),"")</f>
        <v>31</v>
      </c>
    </row>
    <row r="11">
      <c r="B11" s="204" t="str">
        <f>IF($P11="","",INDEX('_Datos'!$AB$7:$AB$200,$P11))</f>
        <v>Alta</v>
      </c>
      <c r="C11" s="204" t="str">
        <f>IF($P11="","",INDEX('_Datos'!$AE$7:$AE$200,$P11))</f>
        <v>Semanal · S2</v>
      </c>
      <c r="D11" s="205" t="str">
        <f>IF($P11="","",INDEX('_Datos'!$F$7:$F$200,$P11))</f>
        <v>Resumen Clientes Op. Dedicadas</v>
      </c>
      <c r="E11" s="205" t="str">
        <f>IF($P11="","",INDEX('_Datos'!$G$7:$G$200,$P11))</f>
        <v>Santiago Alonso</v>
      </c>
      <c r="F11" s="207">
        <f>IF($P11="","",INDEX('_Datos'!$H$7:$H$200,$P11))</f>
        <v>46188</v>
      </c>
      <c r="G11" s="204" t="str">
        <f>IF($P11="","",INDEX('_Datos'!$J$7:$J$200,$P11))</f>
        <v>Vencido</v>
      </c>
      <c r="H11" s="209">
        <f>IF($P11="","",INDEX('_Datos'!$K$7:$K$200,$P11))</f>
        <v>-8</v>
      </c>
      <c r="I11" s="209">
        <f>IF($P11="","",INDEX('_Datos'!$S$7:$S$200,$P11))</f>
        <v>1</v>
      </c>
      <c r="J11" s="209">
        <f>IF($P11="","",INDEX('_Datos'!$T$7:$T$200,$P11))</f>
        <v>8</v>
      </c>
      <c r="K11" s="208">
        <f>IF($P11="","",INDEX('_Datos'!$V$7:$V$200,$P11))</f>
        <v>-0.6</v>
      </c>
      <c r="L11" s="209">
        <f>IF($P11="","",INDEX('_Datos'!$W$7:$W$200,$P11))</f>
        <v>8</v>
      </c>
      <c r="M11" s="205" t="str">
        <f>IF($P11="","",INDEX('_Datos'!$AC$7:$AC$200,$P11))</f>
        <v>ATRASO</v>
      </c>
      <c r="P11" s="202">
        <f>IFERROR(MATCH(LARGE('_Datos'!$AJ$7:$AJ$200,ROW()-7+1),'_Datos'!$AJ$7:$AJ$200,0),"")</f>
        <v>36</v>
      </c>
    </row>
    <row r="12">
      <c r="B12" s="204" t="str">
        <f>IF($P12="","",INDEX('_Datos'!$AB$7:$AB$200,$P12))</f>
        <v>Alta</v>
      </c>
      <c r="C12" s="204" t="str">
        <f>IF($P12="","",INDEX('_Datos'!$AE$7:$AE$200,$P12))</f>
        <v>Mensual · S1</v>
      </c>
      <c r="D12" s="205" t="str">
        <f>IF($P12="","",INDEX('_Datos'!$F$7:$F$200,$P12))</f>
        <v>Disponibilidad de información centralizada en GOC (aguarda desarrollo)</v>
      </c>
      <c r="E12" s="205" t="str">
        <f>IF($P12="","",INDEX('_Datos'!$G$7:$G$200,$P12))</f>
        <v>Lucila Pronzato</v>
      </c>
      <c r="F12" s="207">
        <f>IF($P12="","",INDEX('_Datos'!$H$7:$H$200,$P12))</f>
        <v>46203</v>
      </c>
      <c r="G12" s="204" t="str">
        <f>IF($P12="","",INDEX('_Datos'!$J$7:$J$200,$P12))</f>
        <v>Próximo a vencer</v>
      </c>
      <c r="H12" s="209">
        <f>IF($P12="","",INDEX('_Datos'!$K$7:$K$200,$P12))</f>
        <v>7</v>
      </c>
      <c r="I12" s="209">
        <f>IF($P12="","",INDEX('_Datos'!$S$7:$S$200,$P12))</f>
        <v>246</v>
      </c>
      <c r="J12" s="209">
        <f>IF($P12="","",INDEX('_Datos'!$T$7:$T$200,$P12))</f>
        <v>238</v>
      </c>
      <c r="K12" s="208">
        <f>IF($P12="","",INDEX('_Datos'!$V$7:$V$200,$P12))</f>
        <v>-0.7714285714285714</v>
      </c>
      <c r="L12" s="209">
        <f>IF($P12="","",INDEX('_Datos'!$W$7:$W$200,$P12))</f>
        <v>0</v>
      </c>
      <c r="M12" s="205" t="str">
        <f>IF($P12="","",INDEX('_Datos'!$AC$7:$AC$200,$P12))</f>
        <v>ATRASO</v>
      </c>
      <c r="P12" s="202">
        <f>IFERROR(MATCH(LARGE('_Datos'!$AJ$7:$AJ$200,ROW()-7+1),'_Datos'!$AJ$7:$AJ$200,0),"")</f>
        <v>2</v>
      </c>
    </row>
    <row r="13">
      <c r="B13" s="204" t="str">
        <f>IF($P13="","",INDEX('_Datos'!$AB$7:$AB$200,$P13))</f>
        <v>Alta</v>
      </c>
      <c r="C13" s="204" t="str">
        <f>IF($P13="","",INDEX('_Datos'!$AE$7:$AE$200,$P13))</f>
        <v>Semanal · S2</v>
      </c>
      <c r="D13" s="205" t="str">
        <f>IF($P13="","",INDEX('_Datos'!$F$7:$F$200,$P13))</f>
        <v>Resumen Clientes Minería</v>
      </c>
      <c r="E13" s="205" t="str">
        <f>IF($P13="","",INDEX('_Datos'!$G$7:$G$200,$P13))</f>
        <v>Santiago Alonso</v>
      </c>
      <c r="F13" s="207">
        <f>IF($P13="","",INDEX('_Datos'!$H$7:$H$200,$P13))</f>
        <v>46188</v>
      </c>
      <c r="G13" s="204" t="str">
        <f>IF($P13="","",INDEX('_Datos'!$J$7:$J$200,$P13))</f>
        <v>Vencido</v>
      </c>
      <c r="H13" s="209">
        <f>IF($P13="","",INDEX('_Datos'!$K$7:$K$200,$P13))</f>
        <v>-8</v>
      </c>
      <c r="I13" s="209">
        <f>IF($P13="","",INDEX('_Datos'!$S$7:$S$200,$P13))</f>
        <v>1</v>
      </c>
      <c r="J13" s="209">
        <f>IF($P13="","",INDEX('_Datos'!$T$7:$T$200,$P13))</f>
        <v>8</v>
      </c>
      <c r="K13" s="208">
        <f>IF($P13="","",INDEX('_Datos'!$V$7:$V$200,$P13))</f>
        <v>-0.5</v>
      </c>
      <c r="L13" s="209">
        <f>IF($P13="","",INDEX('_Datos'!$W$7:$W$200,$P13))</f>
        <v>8</v>
      </c>
      <c r="M13" s="205" t="str">
        <f>IF($P13="","",INDEX('_Datos'!$AC$7:$AC$200,$P13))</f>
        <v>ATRASO</v>
      </c>
      <c r="P13" s="202">
        <f>IFERROR(MATCH(LARGE('_Datos'!$AJ$7:$AJ$200,ROW()-7+1),'_Datos'!$AJ$7:$AJ$200,0),"")</f>
        <v>35</v>
      </c>
    </row>
    <row r="14">
      <c r="B14" s="204" t="str">
        <f>IF($P14="","",INDEX('_Datos'!$AB$7:$AB$200,$P14))</f>
        <v>Alta</v>
      </c>
      <c r="C14" s="204" t="str">
        <f>IF($P14="","",INDEX('_Datos'!$AE$7:$AE$200,$P14))</f>
        <v>Semanal · S2</v>
      </c>
      <c r="D14" s="205" t="str">
        <f>IF($P14="","",INDEX('_Datos'!$F$7:$F$200,$P14))</f>
        <v>Armado de Dashboard + Diseño</v>
      </c>
      <c r="E14" s="205" t="str">
        <f>IF($P14="","",INDEX('_Datos'!$G$7:$G$200,$P14))</f>
        <v>Santiago Alonso</v>
      </c>
      <c r="F14" s="207">
        <f>IF($P14="","",INDEX('_Datos'!$H$7:$H$200,$P14))</f>
        <v>46188</v>
      </c>
      <c r="G14" s="204" t="str">
        <f>IF($P14="","",INDEX('_Datos'!$J$7:$J$200,$P14))</f>
        <v>Vencido</v>
      </c>
      <c r="H14" s="209">
        <f>IF($P14="","",INDEX('_Datos'!$K$7:$K$200,$P14))</f>
        <v>-8</v>
      </c>
      <c r="I14" s="209">
        <f>IF($P14="","",INDEX('_Datos'!$S$7:$S$200,$P14))</f>
        <v>0</v>
      </c>
      <c r="J14" s="209">
        <f>IF($P14="","",INDEX('_Datos'!$T$7:$T$200,$P14))</f>
        <v>7</v>
      </c>
      <c r="K14" s="208">
        <f>IF($P14="","",INDEX('_Datos'!$V$7:$V$200,$P14))</f>
        <v>-0.5</v>
      </c>
      <c r="L14" s="209">
        <f>IF($P14="","",INDEX('_Datos'!$W$7:$W$200,$P14))</f>
        <v>8</v>
      </c>
      <c r="M14" s="205" t="str">
        <f>IF($P14="","",INDEX('_Datos'!$AC$7:$AC$200,$P14))</f>
        <v>ATRASO</v>
      </c>
      <c r="P14" s="202">
        <f>IFERROR(MATCH(LARGE('_Datos'!$AJ$7:$AJ$200,ROW()-7+1),'_Datos'!$AJ$7:$AJ$200,0),"")</f>
        <v>41</v>
      </c>
    </row>
    <row r="15">
      <c r="B15" s="204" t="str">
        <f>IF($P15="","",INDEX('_Datos'!$AB$7:$AB$200,$P15))</f>
        <v>Alta</v>
      </c>
      <c r="C15" s="204" t="str">
        <f>IF($P15="","",INDEX('_Datos'!$AE$7:$AE$200,$P15))</f>
        <v>Quincenal · S1</v>
      </c>
      <c r="D15" s="205" t="str">
        <f>IF($P15="","",INDEX('_Datos'!$F$7:$F$200,$P15))</f>
        <v>Asociar Archivo Masters de Medicación (Seba Oliver) + Capacitaciones + procedimiento</v>
      </c>
      <c r="E15" s="205" t="str">
        <f>IF($P15="","",INDEX('_Datos'!$G$7:$G$200,$P15))</f>
        <v>Santiago Alonso</v>
      </c>
      <c r="F15" s="207">
        <f>IF($P15="","",INDEX('_Datos'!$H$7:$H$200,$P15))</f>
        <v>46192</v>
      </c>
      <c r="G15" s="204" t="str">
        <f>IF($P15="","",INDEX('_Datos'!$J$7:$J$200,$P15))</f>
        <v>Vencido</v>
      </c>
      <c r="H15" s="209">
        <f>IF($P15="","",INDEX('_Datos'!$K$7:$K$200,$P15))</f>
        <v>-4</v>
      </c>
      <c r="I15" s="209">
        <f>IF($P15="","",INDEX('_Datos'!$S$7:$S$200,$P15))</f>
        <v>201</v>
      </c>
      <c r="J15" s="209">
        <f>IF($P15="","",INDEX('_Datos'!$T$7:$T$200,$P15))</f>
        <v>204</v>
      </c>
      <c r="K15" s="208">
        <f>IF($P15="","",INDEX('_Datos'!$V$7:$V$200,$P15))</f>
        <v>-0.35</v>
      </c>
      <c r="L15" s="209">
        <f>IF($P15="","",INDEX('_Datos'!$W$7:$W$200,$P15))</f>
        <v>4</v>
      </c>
      <c r="M15" s="205" t="str">
        <f>IF($P15="","",INDEX('_Datos'!$AC$7:$AC$200,$P15))</f>
        <v>ATRASO</v>
      </c>
      <c r="P15" s="202">
        <f>IFERROR(MATCH(LARGE('_Datos'!$AJ$7:$AJ$200,ROW()-7+1),'_Datos'!$AJ$7:$AJ$200,0),"")</f>
        <v>10</v>
      </c>
    </row>
    <row r="16">
      <c r="B16" s="204" t="str">
        <f>IF($P16="","",INDEX('_Datos'!$AB$7:$AB$200,$P16))</f>
        <v>Alta</v>
      </c>
      <c r="C16" s="204" t="str">
        <f>IF($P16="","",INDEX('_Datos'!$AE$7:$AE$200,$P16))</f>
        <v>Semanal · S2</v>
      </c>
      <c r="D16" s="205" t="str">
        <f>IF($P16="","",INDEX('_Datos'!$F$7:$F$200,$P16))</f>
        <v>Revisión de viabilidad de incorporación datos Redash (input ZReal con clasificaciones automaticas por CECO - Directas e Indirectas)</v>
      </c>
      <c r="E16" s="205" t="str">
        <f>IF($P16="","",INDEX('_Datos'!$G$7:$G$200,$P16))</f>
        <v>Santiago Alonso</v>
      </c>
      <c r="F16" s="207">
        <f>IF($P16="","",INDEX('_Datos'!$H$7:$H$200,$P16))</f>
        <v>46188</v>
      </c>
      <c r="G16" s="204" t="str">
        <f>IF($P16="","",INDEX('_Datos'!$J$7:$J$200,$P16))</f>
        <v>Vencido</v>
      </c>
      <c r="H16" s="209">
        <f>IF($P16="","",INDEX('_Datos'!$K$7:$K$200,$P16))</f>
        <v>-8</v>
      </c>
      <c r="I16" s="209">
        <f>IF($P16="","",INDEX('_Datos'!$S$7:$S$200,$P16))</f>
        <v>12</v>
      </c>
      <c r="J16" s="209">
        <f>IF($P16="","",INDEX('_Datos'!$T$7:$T$200,$P16))</f>
        <v>19</v>
      </c>
      <c r="K16" s="208">
        <f>IF($P16="","",INDEX('_Datos'!$V$7:$V$200,$P16))</f>
        <v>-0.09999999999999998</v>
      </c>
      <c r="L16" s="209">
        <f>IF($P16="","",INDEX('_Datos'!$W$7:$W$200,$P16))</f>
        <v>8</v>
      </c>
      <c r="M16" s="205" t="str">
        <f>IF($P16="","",INDEX('_Datos'!$AC$7:$AC$200,$P16))</f>
        <v>ATRASO</v>
      </c>
      <c r="P16" s="202">
        <f>IFERROR(MATCH(LARGE('_Datos'!$AJ$7:$AJ$200,ROW()-7+1),'_Datos'!$AJ$7:$AJ$200,0),"")</f>
        <v>19</v>
      </c>
    </row>
    <row r="17">
      <c r="B17" s="204" t="str">
        <f>IF($P17="","",INDEX('_Datos'!$AB$7:$AB$200,$P17))</f>
        <v>Alta</v>
      </c>
      <c r="C17" s="204" t="str">
        <f>IF($P17="","",INDEX('_Datos'!$AE$7:$AE$200,$P17))</f>
        <v>Semanal · S2</v>
      </c>
      <c r="D17" s="205" t="str">
        <f>IF($P17="","",INDEX('_Datos'!$F$7:$F$200,$P17))</f>
        <v>Procedimiento</v>
      </c>
      <c r="E17" s="205" t="str">
        <f>IF($P17="","",INDEX('_Datos'!$G$7:$G$200,$P17))</f>
        <v>Santiago Alonso</v>
      </c>
      <c r="F17" s="207">
        <f>IF($P17="","",INDEX('_Datos'!$H$7:$H$200,$P17))</f>
        <v>46188</v>
      </c>
      <c r="G17" s="204" t="str">
        <f>IF($P17="","",INDEX('_Datos'!$J$7:$J$200,$P17))</f>
        <v>Vencido</v>
      </c>
      <c r="H17" s="209">
        <f>IF($P17="","",INDEX('_Datos'!$K$7:$K$200,$P17))</f>
        <v>-8</v>
      </c>
      <c r="I17" s="209">
        <f>IF($P17="","",INDEX('_Datos'!$S$7:$S$200,$P17))</f>
        <v>8</v>
      </c>
      <c r="J17" s="209">
        <f>IF($P17="","",INDEX('_Datos'!$T$7:$T$200,$P17))</f>
        <v>15</v>
      </c>
      <c r="K17" s="208">
        <f>IF($P17="","",INDEX('_Datos'!$V$7:$V$200,$P17))</f>
        <v>-0.09999999999999998</v>
      </c>
      <c r="L17" s="209">
        <f>IF($P17="","",INDEX('_Datos'!$W$7:$W$200,$P17))</f>
        <v>8</v>
      </c>
      <c r="M17" s="205" t="str">
        <f>IF($P17="","",INDEX('_Datos'!$AC$7:$AC$200,$P17))</f>
        <v>ATRASO</v>
      </c>
      <c r="P17" s="202">
        <f>IFERROR(MATCH(LARGE('_Datos'!$AJ$7:$AJ$200,ROW()-7+1),'_Datos'!$AJ$7:$AJ$200,0),"")</f>
        <v>22</v>
      </c>
    </row>
    <row r="18">
      <c r="B18" s="204" t="str">
        <f>IF($P18="","",INDEX('_Datos'!$AB$7:$AB$200,$P18))</f>
        <v>Alta</v>
      </c>
      <c r="C18" s="204" t="str">
        <f>IF($P18="","",INDEX('_Datos'!$AE$7:$AE$200,$P18))</f>
        <v>Semanal · S2</v>
      </c>
      <c r="D18" s="205" t="str">
        <f>IF($P18="","",INDEX('_Datos'!$F$7:$F$200,$P18))</f>
        <v>Aging - desde SharePoint</v>
      </c>
      <c r="E18" s="205" t="str">
        <f>IF($P18="","",INDEX('_Datos'!$G$7:$G$200,$P18))</f>
        <v>Santiago Alonso</v>
      </c>
      <c r="F18" s="207">
        <f>IF($P18="","",INDEX('_Datos'!$H$7:$H$200,$P18))</f>
        <v>46188</v>
      </c>
      <c r="G18" s="204" t="str">
        <f>IF($P18="","",INDEX('_Datos'!$J$7:$J$200,$P18))</f>
        <v>Vencido</v>
      </c>
      <c r="H18" s="209">
        <f>IF($P18="","",INDEX('_Datos'!$K$7:$K$200,$P18))</f>
        <v>-8</v>
      </c>
      <c r="I18" s="209">
        <f>IF($P18="","",INDEX('_Datos'!$S$7:$S$200,$P18))</f>
        <v>197</v>
      </c>
      <c r="J18" s="209">
        <f>IF($P18="","",INDEX('_Datos'!$T$7:$T$200,$P18))</f>
        <v>204</v>
      </c>
      <c r="K18" s="208">
        <f>IF($P18="","",INDEX('_Datos'!$V$7:$V$200,$P18))</f>
        <v>-0.09999999999999998</v>
      </c>
      <c r="L18" s="209">
        <f>IF($P18="","",INDEX('_Datos'!$W$7:$W$200,$P18))</f>
        <v>8</v>
      </c>
      <c r="M18" s="205" t="str">
        <f>IF($P18="","",INDEX('_Datos'!$AC$7:$AC$200,$P18))</f>
        <v>ATRASO</v>
      </c>
      <c r="P18" s="202">
        <f>IFERROR(MATCH(LARGE('_Datos'!$AJ$7:$AJ$200,ROW()-7+1),'_Datos'!$AJ$7:$AJ$200,0),"")</f>
        <v>23</v>
      </c>
    </row>
    <row r="19">
      <c r="B19" s="204" t="str">
        <f>IF($P19="","",INDEX('_Datos'!$AB$7:$AB$200,$P19))</f>
        <v>Alta</v>
      </c>
      <c r="C19" s="204" t="str">
        <f>IF($P19="","",INDEX('_Datos'!$AE$7:$AE$200,$P19))</f>
        <v>Semanal · S2</v>
      </c>
      <c r="D19" s="205" t="str">
        <f>IF($P19="","",INDEX('_Datos'!$F$7:$F$200,$P19))</f>
        <v>Dias en Calle - desde SharePoint</v>
      </c>
      <c r="E19" s="205" t="str">
        <f>IF($P19="","",INDEX('_Datos'!$G$7:$G$200,$P19))</f>
        <v>Santiago Alonso</v>
      </c>
      <c r="F19" s="207">
        <f>IF($P19="","",INDEX('_Datos'!$H$7:$H$200,$P19))</f>
        <v>46188</v>
      </c>
      <c r="G19" s="204" t="str">
        <f>IF($P19="","",INDEX('_Datos'!$J$7:$J$200,$P19))</f>
        <v>Vencido</v>
      </c>
      <c r="H19" s="209">
        <f>IF($P19="","",INDEX('_Datos'!$K$7:$K$200,$P19))</f>
        <v>-8</v>
      </c>
      <c r="I19" s="209">
        <f>IF($P19="","",INDEX('_Datos'!$S$7:$S$200,$P19))</f>
        <v>197</v>
      </c>
      <c r="J19" s="209">
        <f>IF($P19="","",INDEX('_Datos'!$T$7:$T$200,$P19))</f>
        <v>204</v>
      </c>
      <c r="K19" s="208">
        <f>IF($P19="","",INDEX('_Datos'!$V$7:$V$200,$P19))</f>
        <v>-0.09999999999999998</v>
      </c>
      <c r="L19" s="209">
        <f>IF($P19="","",INDEX('_Datos'!$W$7:$W$200,$P19))</f>
        <v>8</v>
      </c>
      <c r="M19" s="205" t="str">
        <f>IF($P19="","",INDEX('_Datos'!$AC$7:$AC$200,$P19))</f>
        <v>ATRASO</v>
      </c>
      <c r="P19" s="202">
        <f>IFERROR(MATCH(LARGE('_Datos'!$AJ$7:$AJ$200,ROW()-7+1),'_Datos'!$AJ$7:$AJ$200,0),"")</f>
        <v>24</v>
      </c>
    </row>
    <row r="20">
      <c r="B20" s="204" t="str">
        <f>IF($P20="","",INDEX('_Datos'!$AB$7:$AB$200,$P20))</f>
        <v>Alta</v>
      </c>
      <c r="C20" s="204" t="str">
        <f>IF($P20="","",INDEX('_Datos'!$AE$7:$AE$200,$P20))</f>
        <v>Semanal · S2</v>
      </c>
      <c r="D20" s="205" t="str">
        <f>IF($P20="","",INDEX('_Datos'!$F$7:$F$200,$P20))</f>
        <v>Input de datos desde Provisión mensual</v>
      </c>
      <c r="E20" s="205" t="str">
        <f>IF($P20="","",INDEX('_Datos'!$G$7:$G$200,$P20))</f>
        <v>Santiago Alonso</v>
      </c>
      <c r="F20" s="207">
        <f>IF($P20="","",INDEX('_Datos'!$H$7:$H$200,$P20))</f>
        <v>46188</v>
      </c>
      <c r="G20" s="204" t="str">
        <f>IF($P20="","",INDEX('_Datos'!$J$7:$J$200,$P20))</f>
        <v>Vencido</v>
      </c>
      <c r="H20" s="209">
        <f>IF($P20="","",INDEX('_Datos'!$K$7:$K$200,$P20))</f>
        <v>-8</v>
      </c>
      <c r="I20" s="209">
        <f>IF($P20="","",INDEX('_Datos'!$S$7:$S$200,$P20))</f>
        <v>166</v>
      </c>
      <c r="J20" s="209">
        <f>IF($P20="","",INDEX('_Datos'!$T$7:$T$200,$P20))</f>
        <v>173</v>
      </c>
      <c r="K20" s="208">
        <f>IF($P20="","",INDEX('_Datos'!$V$7:$V$200,$P20))</f>
        <v>-0.09999999999999998</v>
      </c>
      <c r="L20" s="209">
        <f>IF($P20="","",INDEX('_Datos'!$W$7:$W$200,$P20))</f>
        <v>8</v>
      </c>
      <c r="M20" s="205" t="str">
        <f>IF($P20="","",INDEX('_Datos'!$AC$7:$AC$200,$P20))</f>
        <v>ATRASO</v>
      </c>
      <c r="P20" s="202">
        <f>IFERROR(MATCH(LARGE('_Datos'!$AJ$7:$AJ$200,ROW()-7+1),'_Datos'!$AJ$7:$AJ$200,0),"")</f>
        <v>25</v>
      </c>
    </row>
    <row r="21">
      <c r="B21" s="204" t="str">
        <f>IF($P21="","",INDEX('_Datos'!$AB$7:$AB$200,$P21))</f>
        <v>Alta</v>
      </c>
      <c r="C21" s="204" t="str">
        <f>IF($P21="","",INDEX('_Datos'!$AE$7:$AE$200,$P21))</f>
        <v>Semanal · S2</v>
      </c>
      <c r="D21" s="205" t="str">
        <f>IF($P21="","",INDEX('_Datos'!$F$7:$F$200,$P21))</f>
        <v>Planilla DTM Estandarizada+ Procedimiento</v>
      </c>
      <c r="E21" s="205" t="str">
        <f>IF($P21="","",INDEX('_Datos'!$G$7:$G$200,$P21))</f>
        <v>Santiago Alonso</v>
      </c>
      <c r="F21" s="207">
        <f>IF($P21="","",INDEX('_Datos'!$H$7:$H$200,$P21))</f>
        <v>46188</v>
      </c>
      <c r="G21" s="204" t="str">
        <f>IF($P21="","",INDEX('_Datos'!$J$7:$J$200,$P21))</f>
        <v>Vencido</v>
      </c>
      <c r="H21" s="209">
        <f>IF($P21="","",INDEX('_Datos'!$K$7:$K$200,$P21))</f>
        <v>-8</v>
      </c>
      <c r="I21" s="209">
        <f>IF($P21="","",INDEX('_Datos'!$S$7:$S$200,$P21))</f>
        <v>166</v>
      </c>
      <c r="J21" s="209">
        <f>IF($P21="","",INDEX('_Datos'!$T$7:$T$200,$P21))</f>
        <v>173</v>
      </c>
      <c r="K21" s="208">
        <f>IF($P21="","",INDEX('_Datos'!$V$7:$V$200,$P21))</f>
        <v>-0.09999999999999998</v>
      </c>
      <c r="L21" s="209">
        <f>IF($P21="","",INDEX('_Datos'!$W$7:$W$200,$P21))</f>
        <v>8</v>
      </c>
      <c r="M21" s="205" t="str">
        <f>IF($P21="","",INDEX('_Datos'!$AC$7:$AC$200,$P21))</f>
        <v>ATRASO</v>
      </c>
      <c r="P21" s="202">
        <f>IFERROR(MATCH(LARGE('_Datos'!$AJ$7:$AJ$200,ROW()-7+1),'_Datos'!$AJ$7:$AJ$200,0),"")</f>
        <v>32</v>
      </c>
    </row>
    <row r="22">
      <c r="B22" s="204" t="str">
        <f>IF($P22="","",INDEX('_Datos'!$AB$7:$AB$200,$P22))</f>
        <v>Alta</v>
      </c>
      <c r="C22" s="204" t="str">
        <f>IF($P22="","",INDEX('_Datos'!$AE$7:$AE$200,$P22))</f>
        <v>Semanal · S2</v>
      </c>
      <c r="D22" s="205" t="str">
        <f>IF($P22="","",INDEX('_Datos'!$F$7:$F$200,$P22))</f>
        <v>Planilla Aeroevaciaciones + Procedimiento</v>
      </c>
      <c r="E22" s="205" t="str">
        <f>IF($P22="","",INDEX('_Datos'!$G$7:$G$200,$P22))</f>
        <v>Santiago Alonso</v>
      </c>
      <c r="F22" s="207">
        <f>IF($P22="","",INDEX('_Datos'!$H$7:$H$200,$P22))</f>
        <v>46188</v>
      </c>
      <c r="G22" s="204" t="str">
        <f>IF($P22="","",INDEX('_Datos'!$J$7:$J$200,$P22))</f>
        <v>Vencido</v>
      </c>
      <c r="H22" s="209">
        <f>IF($P22="","",INDEX('_Datos'!$K$7:$K$200,$P22))</f>
        <v>-8</v>
      </c>
      <c r="I22" s="209">
        <f>IF($P22="","",INDEX('_Datos'!$S$7:$S$200,$P22))</f>
        <v>197</v>
      </c>
      <c r="J22" s="209">
        <f>IF($P22="","",INDEX('_Datos'!$T$7:$T$200,$P22))</f>
        <v>204</v>
      </c>
      <c r="K22" s="208">
        <f>IF($P22="","",INDEX('_Datos'!$V$7:$V$200,$P22))</f>
        <v>-0.050000000000000044</v>
      </c>
      <c r="L22" s="209">
        <f>IF($P22="","",INDEX('_Datos'!$W$7:$W$200,$P22))</f>
        <v>8</v>
      </c>
      <c r="M22" s="205" t="str">
        <f>IF($P22="","",INDEX('_Datos'!$AC$7:$AC$200,$P22))</f>
        <v>ATRASO</v>
      </c>
      <c r="P22" s="202">
        <f>IFERROR(MATCH(LARGE('_Datos'!$AJ$7:$AJ$200,ROW()-7+1),'_Datos'!$AJ$7:$AJ$200,0),"")</f>
        <v>33</v>
      </c>
    </row>
    <row r="23">
      <c r="B23" s="204" t="str">
        <f>IF($P23="","",INDEX('_Datos'!$AB$7:$AB$200,$P23))</f>
        <v>Alta</v>
      </c>
      <c r="C23" s="204" t="str">
        <f>IF($P23="","",INDEX('_Datos'!$AE$7:$AE$200,$P23))</f>
        <v>Semanal · S2</v>
      </c>
      <c r="D23" s="205" t="str">
        <f>IF($P23="","",INDEX('_Datos'!$F$7:$F$200,$P23))</f>
        <v>Resumen Clientes Petróleo</v>
      </c>
      <c r="E23" s="205" t="str">
        <f>IF($P23="","",INDEX('_Datos'!$G$7:$G$200,$P23))</f>
        <v>Santiago Alonso</v>
      </c>
      <c r="F23" s="207">
        <f>IF($P23="","",INDEX('_Datos'!$H$7:$H$200,$P23))</f>
        <v>46188</v>
      </c>
      <c r="G23" s="204" t="str">
        <f>IF($P23="","",INDEX('_Datos'!$J$7:$J$200,$P23))</f>
        <v>Vencido</v>
      </c>
      <c r="H23" s="209">
        <f>IF($P23="","",INDEX('_Datos'!$K$7:$K$200,$P23))</f>
        <v>-8</v>
      </c>
      <c r="I23" s="209">
        <f>IF($P23="","",INDEX('_Datos'!$S$7:$S$200,$P23))</f>
        <v>-168</v>
      </c>
      <c r="J23" s="209">
        <f>IF($P23="","",INDEX('_Datos'!$T$7:$T$200,$P23))</f>
        <v>0</v>
      </c>
      <c r="K23" s="208">
        <f>IF($P23="","",INDEX('_Datos'!$V$7:$V$200,$P23))</f>
        <v>0.7</v>
      </c>
      <c r="L23" s="209">
        <f>IF($P23="","",INDEX('_Datos'!$W$7:$W$200,$P23))</f>
        <v>8</v>
      </c>
      <c r="M23" s="205" t="str">
        <f>IF($P23="","",INDEX('_Datos'!$AC$7:$AC$200,$P23))</f>
        <v>ATRASO</v>
      </c>
      <c r="P23" s="202">
        <f>IFERROR(MATCH(LARGE('_Datos'!$AJ$7:$AJ$200,ROW()-7+1),'_Datos'!$AJ$7:$AJ$200,0),"")</f>
        <v>34</v>
      </c>
    </row>
    <row r="24">
      <c r="B24" s="204" t="str">
        <f>IF($P24="","",INDEX('_Datos'!$AB$7:$AB$200,$P24))</f>
        <v>Alta</v>
      </c>
      <c r="C24" s="204" t="str">
        <f>IF($P24="","",INDEX('_Datos'!$AE$7:$AE$200,$P24))</f>
        <v>Semanal · S2</v>
      </c>
      <c r="D24" s="205" t="str">
        <f>IF($P24="","",INDEX('_Datos'!$F$7:$F$200,$P24))</f>
        <v>Detalle Responsables (Comerciales + Analistas)</v>
      </c>
      <c r="E24" s="205" t="str">
        <f>IF($P24="","",INDEX('_Datos'!$G$7:$G$200,$P24))</f>
        <v>Santiago Alonso</v>
      </c>
      <c r="F24" s="207">
        <f>IF($P24="","",INDEX('_Datos'!$H$7:$H$200,$P24))</f>
        <v>46188</v>
      </c>
      <c r="G24" s="204" t="str">
        <f>IF($P24="","",INDEX('_Datos'!$J$7:$J$200,$P24))</f>
        <v>Vencido</v>
      </c>
      <c r="H24" s="209">
        <f>IF($P24="","",INDEX('_Datos'!$K$7:$K$200,$P24))</f>
        <v>-8</v>
      </c>
      <c r="I24" s="209">
        <f>IF($P24="","",INDEX('_Datos'!$S$7:$S$200,$P24))</f>
        <v>-21</v>
      </c>
      <c r="J24" s="209">
        <f>IF($P24="","",INDEX('_Datos'!$T$7:$T$200,$P24))</f>
        <v>0</v>
      </c>
      <c r="K24" s="208">
        <f>IF($P24="","",INDEX('_Datos'!$V$7:$V$200,$P24))</f>
        <v>0.5</v>
      </c>
      <c r="L24" s="209">
        <f>IF($P24="","",INDEX('_Datos'!$W$7:$W$200,$P24))</f>
        <v>8</v>
      </c>
      <c r="M24" s="205" t="str">
        <f>IF($P24="","",INDEX('_Datos'!$AC$7:$AC$200,$P24))</f>
        <v>ATRASO</v>
      </c>
      <c r="P24" s="202">
        <f>IFERROR(MATCH(LARGE('_Datos'!$AJ$7:$AJ$200,ROW()-7+1),'_Datos'!$AJ$7:$AJ$200,0),"")</f>
        <v>40</v>
      </c>
    </row>
    <row r="25">
      <c r="B25" s="204" t="str">
        <f>IF($P25="","",INDEX('_Datos'!$AB$7:$AB$200,$P25))</f>
        <v>Alta</v>
      </c>
      <c r="C25" s="204" t="str">
        <f>IF($P25="","",INDEX('_Datos'!$AE$7:$AE$200,$P25))</f>
        <v>Quincenal · S1</v>
      </c>
      <c r="D25" s="205" t="str">
        <f>IF($P25="","",INDEX('_Datos'!$F$7:$F$200,$P25))</f>
        <v>Automatización Archivo Sueldos FATSA + Procedimientos</v>
      </c>
      <c r="E25" s="205" t="str">
        <f>IF($P25="","",INDEX('_Datos'!$G$7:$G$200,$P25))</f>
        <v>Santiago Alonso</v>
      </c>
      <c r="F25" s="207">
        <f>IF($P25="","",INDEX('_Datos'!$H$7:$H$200,$P25))</f>
        <v>46192</v>
      </c>
      <c r="G25" s="204" t="str">
        <f>IF($P25="","",INDEX('_Datos'!$J$7:$J$200,$P25))</f>
        <v>Vencido</v>
      </c>
      <c r="H25" s="209">
        <f>IF($P25="","",INDEX('_Datos'!$K$7:$K$200,$P25))</f>
        <v>-4</v>
      </c>
      <c r="I25" s="209">
        <f>IF($P25="","",INDEX('_Datos'!$S$7:$S$200,$P25))</f>
        <v>235</v>
      </c>
      <c r="J25" s="209">
        <f>IF($P25="","",INDEX('_Datos'!$T$7:$T$200,$P25))</f>
        <v>238</v>
      </c>
      <c r="K25" s="208">
        <f>IF($P25="","",INDEX('_Datos'!$V$7:$V$200,$P25))</f>
        <v>-0.25</v>
      </c>
      <c r="L25" s="209">
        <f>IF($P25="","",INDEX('_Datos'!$W$7:$W$200,$P25))</f>
        <v>4</v>
      </c>
      <c r="M25" s="205" t="str">
        <f>IF($P25="","",INDEX('_Datos'!$AC$7:$AC$200,$P25))</f>
        <v>ATRASO</v>
      </c>
      <c r="P25" s="202">
        <f>IFERROR(MATCH(LARGE('_Datos'!$AJ$7:$AJ$200,ROW()-7+1),'_Datos'!$AJ$7:$AJ$200,0),"")</f>
        <v>5</v>
      </c>
    </row>
    <row r="26">
      <c r="B26" s="204" t="str">
        <f>IF($P26="","",INDEX('_Datos'!$AB$7:$AB$200,$P26))</f>
        <v>Alta</v>
      </c>
      <c r="C26" s="204" t="str">
        <f>IF($P26="","",INDEX('_Datos'!$AE$7:$AE$200,$P26))</f>
        <v>Quincenal · S1</v>
      </c>
      <c r="D26" s="205" t="str">
        <f>IF($P26="","",INDEX('_Datos'!$F$7:$F$200,$P26))</f>
        <v>Automatización Archivo Sueldos Petro + Procedimientos</v>
      </c>
      <c r="E26" s="205" t="str">
        <f>IF($P26="","",INDEX('_Datos'!$G$7:$G$200,$P26))</f>
        <v>Santiago Alonso</v>
      </c>
      <c r="F26" s="207">
        <f>IF($P26="","",INDEX('_Datos'!$H$7:$H$200,$P26))</f>
        <v>46192</v>
      </c>
      <c r="G26" s="204" t="str">
        <f>IF($P26="","",INDEX('_Datos'!$J$7:$J$200,$P26))</f>
        <v>Vencido</v>
      </c>
      <c r="H26" s="209">
        <f>IF($P26="","",INDEX('_Datos'!$K$7:$K$200,$P26))</f>
        <v>-4</v>
      </c>
      <c r="I26" s="209">
        <f>IF($P26="","",INDEX('_Datos'!$S$7:$S$200,$P26))</f>
        <v>215</v>
      </c>
      <c r="J26" s="209">
        <f>IF($P26="","",INDEX('_Datos'!$T$7:$T$200,$P26))</f>
        <v>218</v>
      </c>
      <c r="K26" s="208">
        <f>IF($P26="","",INDEX('_Datos'!$V$7:$V$200,$P26))</f>
        <v>-0.25</v>
      </c>
      <c r="L26" s="209">
        <f>IF($P26="","",INDEX('_Datos'!$W$7:$W$200,$P26))</f>
        <v>4</v>
      </c>
      <c r="M26" s="205" t="str">
        <f>IF($P26="","",INDEX('_Datos'!$AC$7:$AC$200,$P26))</f>
        <v>ATRASO</v>
      </c>
      <c r="P26" s="202">
        <f>IFERROR(MATCH(LARGE('_Datos'!$AJ$7:$AJ$200,ROW()-7+1),'_Datos'!$AJ$7:$AJ$200,0),"")</f>
        <v>6</v>
      </c>
    </row>
    <row r="27">
      <c r="B27" s="204" t="str">
        <f>IF($P27="","",INDEX('_Datos'!$AB$7:$AB$200,$P27))</f>
        <v>Alta</v>
      </c>
      <c r="C27" s="204" t="str">
        <f>IF($P27="","",INDEX('_Datos'!$AE$7:$AE$200,$P27))</f>
        <v>Quincenal · S1</v>
      </c>
      <c r="D27" s="205" t="str">
        <f>IF($P27="","",INDEX('_Datos'!$F$7:$F$200,$P27))</f>
        <v>Relevamiento Últimos Sueldos de referencia Monotributistas</v>
      </c>
      <c r="E27" s="205" t="str">
        <f>IF($P27="","",INDEX('_Datos'!$G$7:$G$200,$P27))</f>
        <v>Santiago Alonso</v>
      </c>
      <c r="F27" s="207">
        <f>IF($P27="","",INDEX('_Datos'!$H$7:$H$200,$P27))</f>
        <v>46192</v>
      </c>
      <c r="G27" s="204" t="str">
        <f>IF($P27="","",INDEX('_Datos'!$J$7:$J$200,$P27))</f>
        <v>Vencido</v>
      </c>
      <c r="H27" s="209">
        <f>IF($P27="","",INDEX('_Datos'!$K$7:$K$200,$P27))</f>
        <v>-4</v>
      </c>
      <c r="I27" s="209">
        <f>IF($P27="","",INDEX('_Datos'!$S$7:$S$200,$P27))</f>
        <v>-152</v>
      </c>
      <c r="J27" s="209">
        <f>IF($P27="","",INDEX('_Datos'!$T$7:$T$200,$P27))</f>
        <v>0</v>
      </c>
      <c r="K27" s="208">
        <f>IF($P27="","",INDEX('_Datos'!$V$7:$V$200,$P27))</f>
        <v>0.5</v>
      </c>
      <c r="L27" s="209">
        <f>IF($P27="","",INDEX('_Datos'!$W$7:$W$200,$P27))</f>
        <v>4</v>
      </c>
      <c r="M27" s="205" t="str">
        <f>IF($P27="","",INDEX('_Datos'!$AC$7:$AC$200,$P27))</f>
        <v>ATRASO</v>
      </c>
      <c r="P27" s="202">
        <f>IFERROR(MATCH(LARGE('_Datos'!$AJ$7:$AJ$200,ROW()-7+1),'_Datos'!$AJ$7:$AJ$200,0),"")</f>
        <v>7</v>
      </c>
    </row>
    <row r="28">
      <c r="B28" s="204" t="str">
        <f>IF($P28="","",INDEX('_Datos'!$AB$7:$AB$200,$P28))</f>
        <v>Alta</v>
      </c>
      <c r="C28" s="204" t="str">
        <f>IF($P28="","",INDEX('_Datos'!$AE$7:$AE$200,$P28))</f>
        <v>Quincenal · S1</v>
      </c>
      <c r="D28" s="205" t="str">
        <f>IF($P28="","",INDEX('_Datos'!$F$7:$F$200,$P28))</f>
        <v>Asociar Archivo Móviles y Tráilers (Nico Sifuentes) + procedimiento</v>
      </c>
      <c r="E28" s="205" t="str">
        <f>IF($P28="","",INDEX('_Datos'!$G$7:$G$200,$P28))</f>
        <v>Santiago Alonso</v>
      </c>
      <c r="F28" s="207">
        <f>IF($P28="","",INDEX('_Datos'!$H$7:$H$200,$P28))</f>
        <v>46192</v>
      </c>
      <c r="G28" s="204" t="str">
        <f>IF($P28="","",INDEX('_Datos'!$J$7:$J$200,$P28))</f>
        <v>Vencido</v>
      </c>
      <c r="H28" s="209">
        <f>IF($P28="","",INDEX('_Datos'!$K$7:$K$200,$P28))</f>
        <v>-4</v>
      </c>
      <c r="I28" s="209">
        <f>IF($P28="","",INDEX('_Datos'!$S$7:$S$200,$P28))</f>
        <v>201</v>
      </c>
      <c r="J28" s="209">
        <f>IF($P28="","",INDEX('_Datos'!$T$7:$T$200,$P28))</f>
        <v>204</v>
      </c>
      <c r="K28" s="208">
        <f>IF($P28="","",INDEX('_Datos'!$V$7:$V$200,$P28))</f>
        <v>-0.050000000000000044</v>
      </c>
      <c r="L28" s="209">
        <f>IF($P28="","",INDEX('_Datos'!$W$7:$W$200,$P28))</f>
        <v>4</v>
      </c>
      <c r="M28" s="205" t="str">
        <f>IF($P28="","",INDEX('_Datos'!$AC$7:$AC$200,$P28))</f>
        <v>ATRASO</v>
      </c>
      <c r="P28" s="202">
        <f>IFERROR(MATCH(LARGE('_Datos'!$AJ$7:$AJ$200,ROW()-7+1),'_Datos'!$AJ$7:$AJ$200,0),"")</f>
        <v>9</v>
      </c>
    </row>
    <row r="29">
      <c r="B29" s="204" t="str">
        <f>IF($P29="","",INDEX('_Datos'!$AB$7:$AB$200,$P29))</f>
        <v>Alta</v>
      </c>
      <c r="C29" s="204" t="str">
        <f>IF($P29="","",INDEX('_Datos'!$AE$7:$AE$200,$P29))</f>
        <v>Semanal · S2</v>
      </c>
      <c r="D29" s="205" t="str">
        <f>IF($P29="","",INDEX('_Datos'!$F$7:$F$200,$P29))</f>
        <v>Armado de Procedimiento</v>
      </c>
      <c r="E29" s="205" t="str">
        <f>IF($P29="","",INDEX('_Datos'!$G$7:$G$200,$P29))</f>
        <v>Santiago Alonso</v>
      </c>
      <c r="F29" s="207">
        <f>IF($P29="","",INDEX('_Datos'!$H$7:$H$200,$P29))</f>
        <v>46192</v>
      </c>
      <c r="G29" s="204" t="str">
        <f>IF($P29="","",INDEX('_Datos'!$J$7:$J$200,$P29))</f>
        <v>Vencido</v>
      </c>
      <c r="H29" s="209">
        <f>IF($P29="","",INDEX('_Datos'!$K$7:$K$200,$P29))</f>
        <v>-4</v>
      </c>
      <c r="I29" s="209">
        <f>IF($P29="","",INDEX('_Datos'!$S$7:$S$200,$P29))</f>
        <v>11</v>
      </c>
      <c r="J29" s="209">
        <f>IF($P29="","",INDEX('_Datos'!$T$7:$T$200,$P29))</f>
        <v>14</v>
      </c>
      <c r="K29" s="208">
        <f>IF($P29="","",INDEX('_Datos'!$V$7:$V$200,$P29))</f>
        <v>-0.09999999999999998</v>
      </c>
      <c r="L29" s="209">
        <f>IF($P29="","",INDEX('_Datos'!$W$7:$W$200,$P29))</f>
        <v>4</v>
      </c>
      <c r="M29" s="205" t="str">
        <f>IF($P29="","",INDEX('_Datos'!$AC$7:$AC$200,$P29))</f>
        <v>ATRASO</v>
      </c>
      <c r="P29" s="202">
        <f>IFERROR(MATCH(LARGE('_Datos'!$AJ$7:$AJ$200,ROW()-7+1),'_Datos'!$AJ$7:$AJ$200,0),"")</f>
        <v>17</v>
      </c>
    </row>
    <row r="30">
      <c r="B30" s="204" t="str">
        <f>IF($P30="","",INDEX('_Datos'!$AB$7:$AB$200,$P30))</f>
        <v>Alta</v>
      </c>
      <c r="C30" s="204" t="str">
        <f>IF($P30="","",INDEX('_Datos'!$AE$7:$AE$200,$P30))</f>
        <v>Semanal · S2</v>
      </c>
      <c r="D30" s="205" t="str">
        <f>IF($P30="","",INDEX('_Datos'!$F$7:$F$200,$P30))</f>
        <v>Revisión de Gráfico en cascada: por desvío y desagregación por categorías.</v>
      </c>
      <c r="E30" s="205" t="str">
        <f>IF($P30="","",INDEX('_Datos'!$G$7:$G$200,$P30))</f>
        <v>Santiago Alonso</v>
      </c>
      <c r="F30" s="207">
        <f>IF($P30="","",INDEX('_Datos'!$H$7:$H$200,$P30))</f>
        <v>46192</v>
      </c>
      <c r="G30" s="204" t="str">
        <f>IF($P30="","",INDEX('_Datos'!$J$7:$J$200,$P30))</f>
        <v>Vencido</v>
      </c>
      <c r="H30" s="209">
        <f>IF($P30="","",INDEX('_Datos'!$K$7:$K$200,$P30))</f>
        <v>-4</v>
      </c>
      <c r="I30" s="209">
        <f>IF($P30="","",INDEX('_Datos'!$S$7:$S$200,$P30))</f>
        <v>16</v>
      </c>
      <c r="J30" s="209">
        <f>IF($P30="","",INDEX('_Datos'!$T$7:$T$200,$P30))</f>
        <v>19</v>
      </c>
      <c r="K30" s="208">
        <f>IF($P30="","",INDEX('_Datos'!$V$7:$V$200,$P30))</f>
        <v>-0.09999999999999998</v>
      </c>
      <c r="L30" s="209">
        <f>IF($P30="","",INDEX('_Datos'!$W$7:$W$200,$P30))</f>
        <v>4</v>
      </c>
      <c r="M30" s="205" t="str">
        <f>IF($P30="","",INDEX('_Datos'!$AC$7:$AC$200,$P30))</f>
        <v>ATRASO</v>
      </c>
      <c r="P30" s="202">
        <f>IFERROR(MATCH(LARGE('_Datos'!$AJ$7:$AJ$200,ROW()-7+1),'_Datos'!$AJ$7:$AJ$200,0),"")</f>
        <v>18</v>
      </c>
    </row>
    <row r="31">
      <c r="B31" s="204" t="str">
        <f>IF($P31="","",INDEX('_Datos'!$AB$7:$AB$200,$P31))</f>
        <v>—</v>
      </c>
      <c r="C31" s="204" t="str">
        <f>IF($P31="","",INDEX('_Datos'!$AE$7:$AE$200,$P31))</f>
        <v>Quincenal · S1</v>
      </c>
      <c r="D31" s="205" t="str">
        <f>IF($P31="","",INDEX('_Datos'!$F$7:$F$200,$P31))</f>
        <v>Crear estructura de Cotizador en base a modelo armado (migra a CLAUDE)</v>
      </c>
      <c r="E31" s="205" t="str">
        <f>IF($P31="","",INDEX('_Datos'!$G$7:$G$200,$P31))</f>
        <v>Santiago Alonso</v>
      </c>
      <c r="F31" s="207">
        <f>IF($P31="","",INDEX('_Datos'!$H$7:$H$200,$P31))</f>
        <v>46192</v>
      </c>
      <c r="G31" s="204" t="str">
        <f>IF($P31="","",INDEX('_Datos'!$J$7:$J$200,$P31))</f>
        <v>Completado</v>
      </c>
      <c r="H31" s="209">
        <f>IF($P31="","",INDEX('_Datos'!$K$7:$K$200,$P31))</f>
        <v>-4</v>
      </c>
      <c r="I31" s="209">
        <f>IF($P31="","",INDEX('_Datos'!$S$7:$S$200,$P31))</f>
        <v>235</v>
      </c>
      <c r="J31" s="209">
        <f>IF($P31="","",INDEX('_Datos'!$T$7:$T$200,$P31))</f>
        <v>238</v>
      </c>
      <c r="K31" s="208">
        <f>IF($P31="","",INDEX('_Datos'!$V$7:$V$200,$P31))</f>
        <v>0</v>
      </c>
      <c r="L31" s="209">
        <f>IF($P31="","",INDEX('_Datos'!$W$7:$W$200,$P31))</f>
        <v>0</v>
      </c>
      <c r="M31" s="205" t="str">
        <f>IF($P31="","",INDEX('_Datos'!$AC$7:$AC$200,$P31))</f>
        <v>—</v>
      </c>
      <c r="P31" s="202">
        <f>IFERROR(MATCH(LARGE('_Datos'!$AJ$7:$AJ$200,ROW()-7+1),'_Datos'!$AJ$7:$AJ$200,0),"")</f>
        <v>4</v>
      </c>
    </row>
    <row r="32">
      <c r="B32" s="204" t="str">
        <f>IF($P32="","",INDEX('_Datos'!$AB$7:$AB$200,$P32))</f>
        <v>—</v>
      </c>
      <c r="C32" s="204" t="str">
        <f>IF($P32="","",INDEX('_Datos'!$AE$7:$AE$200,$P32))</f>
        <v>Quincenal · S1</v>
      </c>
      <c r="D32" s="205" t="str">
        <f>IF($P32="","",INDEX('_Datos'!$F$7:$F$200,$P32))</f>
        <v>Relevamiento área de IA -  Repositorio (GitHub o AWS S3) + Seguridad</v>
      </c>
      <c r="E32" s="205" t="str">
        <f>IF($P32="","",INDEX('_Datos'!$G$7:$G$200,$P32))</f>
        <v>Santiago Alonso</v>
      </c>
      <c r="F32" s="207">
        <f>IF($P32="","",INDEX('_Datos'!$H$7:$H$200,$P32))</f>
        <v>46192</v>
      </c>
      <c r="G32" s="204" t="str">
        <f>IF($P32="","",INDEX('_Datos'!$J$7:$J$200,$P32))</f>
        <v>Completado</v>
      </c>
      <c r="H32" s="209">
        <f>IF($P32="","",INDEX('_Datos'!$K$7:$K$200,$P32))</f>
        <v>-4</v>
      </c>
      <c r="I32" s="209">
        <f>IF($P32="","",INDEX('_Datos'!$S$7:$S$200,$P32))</f>
        <v>11</v>
      </c>
      <c r="J32" s="209">
        <f>IF($P32="","",INDEX('_Datos'!$T$7:$T$200,$P32))</f>
        <v>14</v>
      </c>
      <c r="K32" s="208">
        <f>IF($P32="","",INDEX('_Datos'!$V$7:$V$200,$P32))</f>
        <v>0</v>
      </c>
      <c r="L32" s="209">
        <f>IF($P32="","",INDEX('_Datos'!$W$7:$W$200,$P32))</f>
        <v>0</v>
      </c>
      <c r="M32" s="205" t="str">
        <f>IF($P32="","",INDEX('_Datos'!$AC$7:$AC$200,$P32))</f>
        <v>—</v>
      </c>
      <c r="P32" s="202">
        <f>IFERROR(MATCH(LARGE('_Datos'!$AJ$7:$AJ$200,ROW()-7+1),'_Datos'!$AJ$7:$AJ$200,0),"")</f>
        <v>13</v>
      </c>
    </row>
    <row r="33">
      <c r="B33" s="204">
        <f>IF($P33="","",INDEX('_Datos'!$AB$7:$AB$200,$P33))</f>
      </c>
      <c r="C33" s="204">
        <f>IF($P33="","",INDEX('_Datos'!$AE$7:$AE$200,$P33))</f>
      </c>
      <c r="D33" s="205">
        <f>IF($P33="","",INDEX('_Datos'!$F$7:$F$200,$P33))</f>
      </c>
      <c r="E33" s="205">
        <f>IF($P33="","",INDEX('_Datos'!$G$7:$G$200,$P33))</f>
      </c>
      <c r="F33" s="207">
        <f>IF($P33="","",INDEX('_Datos'!$H$7:$H$200,$P33))</f>
      </c>
      <c r="G33" s="204">
        <f>IF($P33="","",INDEX('_Datos'!$J$7:$J$200,$P33))</f>
      </c>
      <c r="H33" s="209">
        <f>IF($P33="","",INDEX('_Datos'!$K$7:$K$200,$P33))</f>
      </c>
      <c r="I33" s="209">
        <f>IF($P33="","",INDEX('_Datos'!$S$7:$S$200,$P33))</f>
      </c>
      <c r="J33" s="209">
        <f>IF($P33="","",INDEX('_Datos'!$T$7:$T$200,$P33))</f>
      </c>
      <c r="K33" s="208">
        <f>IF($P33="","",INDEX('_Datos'!$V$7:$V$200,$P33))</f>
      </c>
      <c r="L33" s="209">
        <f>IF($P33="","",INDEX('_Datos'!$W$7:$W$200,$P33))</f>
      </c>
      <c r="M33" s="205">
        <f>IF($P33="","",INDEX('_Datos'!$AC$7:$AC$200,$P33))</f>
      </c>
      <c r="P33" s="202">
        <f>IFERROR(MATCH(LARGE('_Datos'!$AJ$7:$AJ$200,ROW()-7+1),'_Datos'!$AJ$7:$AJ$200,0),"")</f>
      </c>
    </row>
    <row r="34">
      <c r="B34" s="204">
        <f>IF($P34="","",INDEX('_Datos'!$AB$7:$AB$200,$P34))</f>
      </c>
      <c r="C34" s="204">
        <f>IF($P34="","",INDEX('_Datos'!$AE$7:$AE$200,$P34))</f>
      </c>
      <c r="D34" s="205">
        <f>IF($P34="","",INDEX('_Datos'!$F$7:$F$200,$P34))</f>
      </c>
      <c r="E34" s="205">
        <f>IF($P34="","",INDEX('_Datos'!$G$7:$G$200,$P34))</f>
      </c>
      <c r="F34" s="207">
        <f>IF($P34="","",INDEX('_Datos'!$H$7:$H$200,$P34))</f>
      </c>
      <c r="G34" s="204">
        <f>IF($P34="","",INDEX('_Datos'!$J$7:$J$200,$P34))</f>
      </c>
      <c r="H34" s="209">
        <f>IF($P34="","",INDEX('_Datos'!$K$7:$K$200,$P34))</f>
      </c>
      <c r="I34" s="209">
        <f>IF($P34="","",INDEX('_Datos'!$S$7:$S$200,$P34))</f>
      </c>
      <c r="J34" s="209">
        <f>IF($P34="","",INDEX('_Datos'!$T$7:$T$200,$P34))</f>
      </c>
      <c r="K34" s="208">
        <f>IF($P34="","",INDEX('_Datos'!$V$7:$V$200,$P34))</f>
      </c>
      <c r="L34" s="209">
        <f>IF($P34="","",INDEX('_Datos'!$W$7:$W$200,$P34))</f>
      </c>
      <c r="M34" s="205">
        <f>IF($P34="","",INDEX('_Datos'!$AC$7:$AC$200,$P34))</f>
      </c>
      <c r="P34" s="202">
        <f>IFERROR(MATCH(LARGE('_Datos'!$AJ$7:$AJ$200,ROW()-7+1),'_Datos'!$AJ$7:$AJ$200,0),"")</f>
      </c>
    </row>
    <row r="35">
      <c r="B35" s="204">
        <f>IF($P35="","",INDEX('_Datos'!$AB$7:$AB$200,$P35))</f>
      </c>
      <c r="C35" s="204">
        <f>IF($P35="","",INDEX('_Datos'!$AE$7:$AE$200,$P35))</f>
      </c>
      <c r="D35" s="205">
        <f>IF($P35="","",INDEX('_Datos'!$F$7:$F$200,$P35))</f>
      </c>
      <c r="E35" s="205">
        <f>IF($P35="","",INDEX('_Datos'!$G$7:$G$200,$P35))</f>
      </c>
      <c r="F35" s="207">
        <f>IF($P35="","",INDEX('_Datos'!$H$7:$H$200,$P35))</f>
      </c>
      <c r="G35" s="204">
        <f>IF($P35="","",INDEX('_Datos'!$J$7:$J$200,$P35))</f>
      </c>
      <c r="H35" s="209">
        <f>IF($P35="","",INDEX('_Datos'!$K$7:$K$200,$P35))</f>
      </c>
      <c r="I35" s="209">
        <f>IF($P35="","",INDEX('_Datos'!$S$7:$S$200,$P35))</f>
      </c>
      <c r="J35" s="209">
        <f>IF($P35="","",INDEX('_Datos'!$T$7:$T$200,$P35))</f>
      </c>
      <c r="K35" s="208">
        <f>IF($P35="","",INDEX('_Datos'!$V$7:$V$200,$P35))</f>
      </c>
      <c r="L35" s="209">
        <f>IF($P35="","",INDEX('_Datos'!$W$7:$W$200,$P35))</f>
      </c>
      <c r="M35" s="205">
        <f>IF($P35="","",INDEX('_Datos'!$AC$7:$AC$200,$P35))</f>
      </c>
      <c r="P35" s="202">
        <f>IFERROR(MATCH(LARGE('_Datos'!$AJ$7:$AJ$200,ROW()-7+1),'_Datos'!$AJ$7:$AJ$200,0),"")</f>
      </c>
    </row>
    <row r="36">
      <c r="B36" s="204">
        <f>IF($P36="","",INDEX('_Datos'!$AB$7:$AB$200,$P36))</f>
      </c>
      <c r="C36" s="204">
        <f>IF($P36="","",INDEX('_Datos'!$AE$7:$AE$200,$P36))</f>
      </c>
      <c r="D36" s="205">
        <f>IF($P36="","",INDEX('_Datos'!$F$7:$F$200,$P36))</f>
      </c>
      <c r="E36" s="205">
        <f>IF($P36="","",INDEX('_Datos'!$G$7:$G$200,$P36))</f>
      </c>
      <c r="F36" s="207">
        <f>IF($P36="","",INDEX('_Datos'!$H$7:$H$200,$P36))</f>
      </c>
      <c r="G36" s="204">
        <f>IF($P36="","",INDEX('_Datos'!$J$7:$J$200,$P36))</f>
      </c>
      <c r="H36" s="209">
        <f>IF($P36="","",INDEX('_Datos'!$K$7:$K$200,$P36))</f>
      </c>
      <c r="I36" s="209">
        <f>IF($P36="","",INDEX('_Datos'!$S$7:$S$200,$P36))</f>
      </c>
      <c r="J36" s="209">
        <f>IF($P36="","",INDEX('_Datos'!$T$7:$T$200,$P36))</f>
      </c>
      <c r="K36" s="208">
        <f>IF($P36="","",INDEX('_Datos'!$V$7:$V$200,$P36))</f>
      </c>
      <c r="L36" s="209">
        <f>IF($P36="","",INDEX('_Datos'!$W$7:$W$200,$P36))</f>
      </c>
      <c r="M36" s="205">
        <f>IF($P36="","",INDEX('_Datos'!$AC$7:$AC$200,$P36))</f>
      </c>
      <c r="P36" s="202">
        <f>IFERROR(MATCH(LARGE('_Datos'!$AJ$7:$AJ$200,ROW()-7+1),'_Datos'!$AJ$7:$AJ$200,0),"")</f>
      </c>
    </row>
    <row r="37">
      <c r="B37" s="204">
        <f>IF($P37="","",INDEX('_Datos'!$AB$7:$AB$200,$P37))</f>
      </c>
      <c r="C37" s="204">
        <f>IF($P37="","",INDEX('_Datos'!$AE$7:$AE$200,$P37))</f>
      </c>
      <c r="D37" s="205">
        <f>IF($P37="","",INDEX('_Datos'!$F$7:$F$200,$P37))</f>
      </c>
      <c r="E37" s="205">
        <f>IF($P37="","",INDEX('_Datos'!$G$7:$G$200,$P37))</f>
      </c>
      <c r="F37" s="207">
        <f>IF($P37="","",INDEX('_Datos'!$H$7:$H$200,$P37))</f>
      </c>
      <c r="G37" s="204">
        <f>IF($P37="","",INDEX('_Datos'!$J$7:$J$200,$P37))</f>
      </c>
      <c r="H37" s="209">
        <f>IF($P37="","",INDEX('_Datos'!$K$7:$K$200,$P37))</f>
      </c>
      <c r="I37" s="209">
        <f>IF($P37="","",INDEX('_Datos'!$S$7:$S$200,$P37))</f>
      </c>
      <c r="J37" s="209">
        <f>IF($P37="","",INDEX('_Datos'!$T$7:$T$200,$P37))</f>
      </c>
      <c r="K37" s="208">
        <f>IF($P37="","",INDEX('_Datos'!$V$7:$V$200,$P37))</f>
      </c>
      <c r="L37" s="209">
        <f>IF($P37="","",INDEX('_Datos'!$W$7:$W$200,$P37))</f>
      </c>
      <c r="M37" s="205">
        <f>IF($P37="","",INDEX('_Datos'!$AC$7:$AC$200,$P37))</f>
      </c>
      <c r="P37" s="202">
        <f>IFERROR(MATCH(LARGE('_Datos'!$AJ$7:$AJ$200,ROW()-7+1),'_Datos'!$AJ$7:$AJ$200,0),"")</f>
      </c>
    </row>
    <row r="38">
      <c r="B38" s="204">
        <f>IF($P38="","",INDEX('_Datos'!$AB$7:$AB$200,$P38))</f>
      </c>
      <c r="C38" s="204">
        <f>IF($P38="","",INDEX('_Datos'!$AE$7:$AE$200,$P38))</f>
      </c>
      <c r="D38" s="205">
        <f>IF($P38="","",INDEX('_Datos'!$F$7:$F$200,$P38))</f>
      </c>
      <c r="E38" s="205">
        <f>IF($P38="","",INDEX('_Datos'!$G$7:$G$200,$P38))</f>
      </c>
      <c r="F38" s="207">
        <f>IF($P38="","",INDEX('_Datos'!$H$7:$H$200,$P38))</f>
      </c>
      <c r="G38" s="204">
        <f>IF($P38="","",INDEX('_Datos'!$J$7:$J$200,$P38))</f>
      </c>
      <c r="H38" s="209">
        <f>IF($P38="","",INDEX('_Datos'!$K$7:$K$200,$P38))</f>
      </c>
      <c r="I38" s="209">
        <f>IF($P38="","",INDEX('_Datos'!$S$7:$S$200,$P38))</f>
      </c>
      <c r="J38" s="209">
        <f>IF($P38="","",INDEX('_Datos'!$T$7:$T$200,$P38))</f>
      </c>
      <c r="K38" s="208">
        <f>IF($P38="","",INDEX('_Datos'!$V$7:$V$200,$P38))</f>
      </c>
      <c r="L38" s="209">
        <f>IF($P38="","",INDEX('_Datos'!$W$7:$W$200,$P38))</f>
      </c>
      <c r="M38" s="205">
        <f>IF($P38="","",INDEX('_Datos'!$AC$7:$AC$200,$P38))</f>
      </c>
      <c r="P38" s="202">
        <f>IFERROR(MATCH(LARGE('_Datos'!$AJ$7:$AJ$200,ROW()-7+1),'_Datos'!$AJ$7:$AJ$200,0),"")</f>
      </c>
    </row>
    <row r="39">
      <c r="B39" s="204">
        <f>IF($P39="","",INDEX('_Datos'!$AB$7:$AB$200,$P39))</f>
      </c>
      <c r="C39" s="204">
        <f>IF($P39="","",INDEX('_Datos'!$AE$7:$AE$200,$P39))</f>
      </c>
      <c r="D39" s="205">
        <f>IF($P39="","",INDEX('_Datos'!$F$7:$F$200,$P39))</f>
      </c>
      <c r="E39" s="205">
        <f>IF($P39="","",INDEX('_Datos'!$G$7:$G$200,$P39))</f>
      </c>
      <c r="F39" s="207">
        <f>IF($P39="","",INDEX('_Datos'!$H$7:$H$200,$P39))</f>
      </c>
      <c r="G39" s="204">
        <f>IF($P39="","",INDEX('_Datos'!$J$7:$J$200,$P39))</f>
      </c>
      <c r="H39" s="209">
        <f>IF($P39="","",INDEX('_Datos'!$K$7:$K$200,$P39))</f>
      </c>
      <c r="I39" s="209">
        <f>IF($P39="","",INDEX('_Datos'!$S$7:$S$200,$P39))</f>
      </c>
      <c r="J39" s="209">
        <f>IF($P39="","",INDEX('_Datos'!$T$7:$T$200,$P39))</f>
      </c>
      <c r="K39" s="208">
        <f>IF($P39="","",INDEX('_Datos'!$V$7:$V$200,$P39))</f>
      </c>
      <c r="L39" s="209">
        <f>IF($P39="","",INDEX('_Datos'!$W$7:$W$200,$P39))</f>
      </c>
      <c r="M39" s="205">
        <f>IF($P39="","",INDEX('_Datos'!$AC$7:$AC$200,$P39))</f>
      </c>
      <c r="P39" s="202">
        <f>IFERROR(MATCH(LARGE('_Datos'!$AJ$7:$AJ$200,ROW()-7+1),'_Datos'!$AJ$7:$AJ$200,0),"")</f>
      </c>
    </row>
    <row r="40">
      <c r="B40" s="204">
        <f>IF($P40="","",INDEX('_Datos'!$AB$7:$AB$200,$P40))</f>
      </c>
      <c r="C40" s="204">
        <f>IF($P40="","",INDEX('_Datos'!$AE$7:$AE$200,$P40))</f>
      </c>
      <c r="D40" s="205">
        <f>IF($P40="","",INDEX('_Datos'!$F$7:$F$200,$P40))</f>
      </c>
      <c r="E40" s="205">
        <f>IF($P40="","",INDEX('_Datos'!$G$7:$G$200,$P40))</f>
      </c>
      <c r="F40" s="207">
        <f>IF($P40="","",INDEX('_Datos'!$H$7:$H$200,$P40))</f>
      </c>
      <c r="G40" s="204">
        <f>IF($P40="","",INDEX('_Datos'!$J$7:$J$200,$P40))</f>
      </c>
      <c r="H40" s="209">
        <f>IF($P40="","",INDEX('_Datos'!$K$7:$K$200,$P40))</f>
      </c>
      <c r="I40" s="209">
        <f>IF($P40="","",INDEX('_Datos'!$S$7:$S$200,$P40))</f>
      </c>
      <c r="J40" s="209">
        <f>IF($P40="","",INDEX('_Datos'!$T$7:$T$200,$P40))</f>
      </c>
      <c r="K40" s="208">
        <f>IF($P40="","",INDEX('_Datos'!$V$7:$V$200,$P40))</f>
      </c>
      <c r="L40" s="209">
        <f>IF($P40="","",INDEX('_Datos'!$W$7:$W$200,$P40))</f>
      </c>
      <c r="M40" s="205">
        <f>IF($P40="","",INDEX('_Datos'!$AC$7:$AC$200,$P40))</f>
      </c>
      <c r="P40" s="202">
        <f>IFERROR(MATCH(LARGE('_Datos'!$AJ$7:$AJ$200,ROW()-7+1),'_Datos'!$AJ$7:$AJ$200,0),"")</f>
      </c>
    </row>
    <row r="41">
      <c r="B41" s="204">
        <f>IF($P41="","",INDEX('_Datos'!$AB$7:$AB$200,$P41))</f>
      </c>
      <c r="C41" s="204">
        <f>IF($P41="","",INDEX('_Datos'!$AE$7:$AE$200,$P41))</f>
      </c>
      <c r="D41" s="205">
        <f>IF($P41="","",INDEX('_Datos'!$F$7:$F$200,$P41))</f>
      </c>
      <c r="E41" s="205">
        <f>IF($P41="","",INDEX('_Datos'!$G$7:$G$200,$P41))</f>
      </c>
      <c r="F41" s="207">
        <f>IF($P41="","",INDEX('_Datos'!$H$7:$H$200,$P41))</f>
      </c>
      <c r="G41" s="204">
        <f>IF($P41="","",INDEX('_Datos'!$J$7:$J$200,$P41))</f>
      </c>
      <c r="H41" s="209">
        <f>IF($P41="","",INDEX('_Datos'!$K$7:$K$200,$P41))</f>
      </c>
      <c r="I41" s="209">
        <f>IF($P41="","",INDEX('_Datos'!$S$7:$S$200,$P41))</f>
      </c>
      <c r="J41" s="209">
        <f>IF($P41="","",INDEX('_Datos'!$T$7:$T$200,$P41))</f>
      </c>
      <c r="K41" s="208">
        <f>IF($P41="","",INDEX('_Datos'!$V$7:$V$200,$P41))</f>
      </c>
      <c r="L41" s="209">
        <f>IF($P41="","",INDEX('_Datos'!$W$7:$W$200,$P41))</f>
      </c>
      <c r="M41" s="205">
        <f>IF($P41="","",INDEX('_Datos'!$AC$7:$AC$200,$P41))</f>
      </c>
      <c r="P41" s="202">
        <f>IFERROR(MATCH(LARGE('_Datos'!$AJ$7:$AJ$200,ROW()-7+1),'_Datos'!$AJ$7:$AJ$200,0),"")</f>
      </c>
    </row>
    <row r="42">
      <c r="B42" s="204">
        <f>IF($P42="","",INDEX('_Datos'!$AB$7:$AB$200,$P42))</f>
      </c>
      <c r="C42" s="204">
        <f>IF($P42="","",INDEX('_Datos'!$AE$7:$AE$200,$P42))</f>
      </c>
      <c r="D42" s="205">
        <f>IF($P42="","",INDEX('_Datos'!$F$7:$F$200,$P42))</f>
      </c>
      <c r="E42" s="205">
        <f>IF($P42="","",INDEX('_Datos'!$G$7:$G$200,$P42))</f>
      </c>
      <c r="F42" s="207">
        <f>IF($P42="","",INDEX('_Datos'!$H$7:$H$200,$P42))</f>
      </c>
      <c r="G42" s="204">
        <f>IF($P42="","",INDEX('_Datos'!$J$7:$J$200,$P42))</f>
      </c>
      <c r="H42" s="209">
        <f>IF($P42="","",INDEX('_Datos'!$K$7:$K$200,$P42))</f>
      </c>
      <c r="I42" s="209">
        <f>IF($P42="","",INDEX('_Datos'!$S$7:$S$200,$P42))</f>
      </c>
      <c r="J42" s="209">
        <f>IF($P42="","",INDEX('_Datos'!$T$7:$T$200,$P42))</f>
      </c>
      <c r="K42" s="208">
        <f>IF($P42="","",INDEX('_Datos'!$V$7:$V$200,$P42))</f>
      </c>
      <c r="L42" s="209">
        <f>IF($P42="","",INDEX('_Datos'!$W$7:$W$200,$P42))</f>
      </c>
      <c r="M42" s="205">
        <f>IF($P42="","",INDEX('_Datos'!$AC$7:$AC$200,$P42))</f>
      </c>
      <c r="P42" s="202">
        <f>IFERROR(MATCH(LARGE('_Datos'!$AJ$7:$AJ$200,ROW()-7+1),'_Datos'!$AJ$7:$AJ$200,0),"")</f>
      </c>
    </row>
    <row r="43">
      <c r="B43" s="204">
        <f>IF($P43="","",INDEX('_Datos'!$AB$7:$AB$200,$P43))</f>
      </c>
      <c r="C43" s="204">
        <f>IF($P43="","",INDEX('_Datos'!$AE$7:$AE$200,$P43))</f>
      </c>
      <c r="D43" s="205">
        <f>IF($P43="","",INDEX('_Datos'!$F$7:$F$200,$P43))</f>
      </c>
      <c r="E43" s="205">
        <f>IF($P43="","",INDEX('_Datos'!$G$7:$G$200,$P43))</f>
      </c>
      <c r="F43" s="207">
        <f>IF($P43="","",INDEX('_Datos'!$H$7:$H$200,$P43))</f>
      </c>
      <c r="G43" s="204">
        <f>IF($P43="","",INDEX('_Datos'!$J$7:$J$200,$P43))</f>
      </c>
      <c r="H43" s="209">
        <f>IF($P43="","",INDEX('_Datos'!$K$7:$K$200,$P43))</f>
      </c>
      <c r="I43" s="209">
        <f>IF($P43="","",INDEX('_Datos'!$S$7:$S$200,$P43))</f>
      </c>
      <c r="J43" s="209">
        <f>IF($P43="","",INDEX('_Datos'!$T$7:$T$200,$P43))</f>
      </c>
      <c r="K43" s="208">
        <f>IF($P43="","",INDEX('_Datos'!$V$7:$V$200,$P43))</f>
      </c>
      <c r="L43" s="209">
        <f>IF($P43="","",INDEX('_Datos'!$W$7:$W$200,$P43))</f>
      </c>
      <c r="M43" s="205">
        <f>IF($P43="","",INDEX('_Datos'!$AC$7:$AC$200,$P43))</f>
      </c>
      <c r="P43" s="202">
        <f>IFERROR(MATCH(LARGE('_Datos'!$AJ$7:$AJ$200,ROW()-7+1),'_Datos'!$AJ$7:$AJ$200,0),"")</f>
      </c>
    </row>
    <row r="44">
      <c r="B44" s="204">
        <f>IF($P44="","",INDEX('_Datos'!$AB$7:$AB$200,$P44))</f>
      </c>
      <c r="C44" s="204">
        <f>IF($P44="","",INDEX('_Datos'!$AE$7:$AE$200,$P44))</f>
      </c>
      <c r="D44" s="205">
        <f>IF($P44="","",INDEX('_Datos'!$F$7:$F$200,$P44))</f>
      </c>
      <c r="E44" s="205">
        <f>IF($P44="","",INDEX('_Datos'!$G$7:$G$200,$P44))</f>
      </c>
      <c r="F44" s="207">
        <f>IF($P44="","",INDEX('_Datos'!$H$7:$H$200,$P44))</f>
      </c>
      <c r="G44" s="204">
        <f>IF($P44="","",INDEX('_Datos'!$J$7:$J$200,$P44))</f>
      </c>
      <c r="H44" s="209">
        <f>IF($P44="","",INDEX('_Datos'!$K$7:$K$200,$P44))</f>
      </c>
      <c r="I44" s="209">
        <f>IF($P44="","",INDEX('_Datos'!$S$7:$S$200,$P44))</f>
      </c>
      <c r="J44" s="209">
        <f>IF($P44="","",INDEX('_Datos'!$T$7:$T$200,$P44))</f>
      </c>
      <c r="K44" s="208">
        <f>IF($P44="","",INDEX('_Datos'!$V$7:$V$200,$P44))</f>
      </c>
      <c r="L44" s="209">
        <f>IF($P44="","",INDEX('_Datos'!$W$7:$W$200,$P44))</f>
      </c>
      <c r="M44" s="205">
        <f>IF($P44="","",INDEX('_Datos'!$AC$7:$AC$200,$P44))</f>
      </c>
      <c r="P44" s="202">
        <f>IFERROR(MATCH(LARGE('_Datos'!$AJ$7:$AJ$200,ROW()-7+1),'_Datos'!$AJ$7:$AJ$200,0),"")</f>
      </c>
    </row>
    <row r="45">
      <c r="B45" s="204">
        <f>IF($P45="","",INDEX('_Datos'!$AB$7:$AB$200,$P45))</f>
      </c>
      <c r="C45" s="204">
        <f>IF($P45="","",INDEX('_Datos'!$AE$7:$AE$200,$P45))</f>
      </c>
      <c r="D45" s="205">
        <f>IF($P45="","",INDEX('_Datos'!$F$7:$F$200,$P45))</f>
      </c>
      <c r="E45" s="205">
        <f>IF($P45="","",INDEX('_Datos'!$G$7:$G$200,$P45))</f>
      </c>
      <c r="F45" s="207">
        <f>IF($P45="","",INDEX('_Datos'!$H$7:$H$200,$P45))</f>
      </c>
      <c r="G45" s="204">
        <f>IF($P45="","",INDEX('_Datos'!$J$7:$J$200,$P45))</f>
      </c>
      <c r="H45" s="209">
        <f>IF($P45="","",INDEX('_Datos'!$K$7:$K$200,$P45))</f>
      </c>
      <c r="I45" s="209">
        <f>IF($P45="","",INDEX('_Datos'!$S$7:$S$200,$P45))</f>
      </c>
      <c r="J45" s="209">
        <f>IF($P45="","",INDEX('_Datos'!$T$7:$T$200,$P45))</f>
      </c>
      <c r="K45" s="208">
        <f>IF($P45="","",INDEX('_Datos'!$V$7:$V$200,$P45))</f>
      </c>
      <c r="L45" s="209">
        <f>IF($P45="","",INDEX('_Datos'!$W$7:$W$200,$P45))</f>
      </c>
      <c r="M45" s="205">
        <f>IF($P45="","",INDEX('_Datos'!$AC$7:$AC$200,$P45))</f>
      </c>
      <c r="P45" s="202">
        <f>IFERROR(MATCH(LARGE('_Datos'!$AJ$7:$AJ$200,ROW()-7+1),'_Datos'!$AJ$7:$AJ$200,0),"")</f>
      </c>
    </row>
    <row r="46">
      <c r="B46" s="204">
        <f>IF($P46="","",INDEX('_Datos'!$AB$7:$AB$200,$P46))</f>
      </c>
      <c r="C46" s="204">
        <f>IF($P46="","",INDEX('_Datos'!$AE$7:$AE$200,$P46))</f>
      </c>
      <c r="D46" s="205">
        <f>IF($P46="","",INDEX('_Datos'!$F$7:$F$200,$P46))</f>
      </c>
      <c r="E46" s="205">
        <f>IF($P46="","",INDEX('_Datos'!$G$7:$G$200,$P46))</f>
      </c>
      <c r="F46" s="207">
        <f>IF($P46="","",INDEX('_Datos'!$H$7:$H$200,$P46))</f>
      </c>
      <c r="G46" s="204">
        <f>IF($P46="","",INDEX('_Datos'!$J$7:$J$200,$P46))</f>
      </c>
      <c r="H46" s="209">
        <f>IF($P46="","",INDEX('_Datos'!$K$7:$K$200,$P46))</f>
      </c>
      <c r="I46" s="209">
        <f>IF($P46="","",INDEX('_Datos'!$S$7:$S$200,$P46))</f>
      </c>
      <c r="J46" s="209">
        <f>IF($P46="","",INDEX('_Datos'!$T$7:$T$200,$P46))</f>
      </c>
      <c r="K46" s="208">
        <f>IF($P46="","",INDEX('_Datos'!$V$7:$V$200,$P46))</f>
      </c>
      <c r="L46" s="209">
        <f>IF($P46="","",INDEX('_Datos'!$W$7:$W$200,$P46))</f>
      </c>
      <c r="M46" s="205">
        <f>IF($P46="","",INDEX('_Datos'!$AC$7:$AC$200,$P46))</f>
      </c>
      <c r="P46" s="202">
        <f>IFERROR(MATCH(LARGE('_Datos'!$AJ$7:$AJ$200,ROW()-7+1),'_Datos'!$AJ$7:$AJ$200,0),"")</f>
      </c>
    </row>
    <row r="47">
      <c r="B47" s="204">
        <f>IF($P47="","",INDEX('_Datos'!$AB$7:$AB$200,$P47))</f>
      </c>
      <c r="C47" s="204">
        <f>IF($P47="","",INDEX('_Datos'!$AE$7:$AE$200,$P47))</f>
      </c>
      <c r="D47" s="205">
        <f>IF($P47="","",INDEX('_Datos'!$F$7:$F$200,$P47))</f>
      </c>
      <c r="E47" s="205">
        <f>IF($P47="","",INDEX('_Datos'!$G$7:$G$200,$P47))</f>
      </c>
      <c r="F47" s="207">
        <f>IF($P47="","",INDEX('_Datos'!$H$7:$H$200,$P47))</f>
      </c>
      <c r="G47" s="204">
        <f>IF($P47="","",INDEX('_Datos'!$J$7:$J$200,$P47))</f>
      </c>
      <c r="H47" s="209">
        <f>IF($P47="","",INDEX('_Datos'!$K$7:$K$200,$P47))</f>
      </c>
      <c r="I47" s="209">
        <f>IF($P47="","",INDEX('_Datos'!$S$7:$S$200,$P47))</f>
      </c>
      <c r="J47" s="209">
        <f>IF($P47="","",INDEX('_Datos'!$T$7:$T$200,$P47))</f>
      </c>
      <c r="K47" s="208">
        <f>IF($P47="","",INDEX('_Datos'!$V$7:$V$200,$P47))</f>
      </c>
      <c r="L47" s="209">
        <f>IF($P47="","",INDEX('_Datos'!$W$7:$W$200,$P47))</f>
      </c>
      <c r="M47" s="205">
        <f>IF($P47="","",INDEX('_Datos'!$AC$7:$AC$200,$P47))</f>
      </c>
      <c r="P47" s="202">
        <f>IFERROR(MATCH(LARGE('_Datos'!$AJ$7:$AJ$200,ROW()-7+1),'_Datos'!$AJ$7:$AJ$200,0),"")</f>
      </c>
    </row>
    <row r="48">
      <c r="B48" s="204">
        <f>IF($P48="","",INDEX('_Datos'!$AB$7:$AB$200,$P48))</f>
      </c>
      <c r="C48" s="204">
        <f>IF($P48="","",INDEX('_Datos'!$AE$7:$AE$200,$P48))</f>
      </c>
      <c r="D48" s="205">
        <f>IF($P48="","",INDEX('_Datos'!$F$7:$F$200,$P48))</f>
      </c>
      <c r="E48" s="205">
        <f>IF($P48="","",INDEX('_Datos'!$G$7:$G$200,$P48))</f>
      </c>
      <c r="F48" s="207">
        <f>IF($P48="","",INDEX('_Datos'!$H$7:$H$200,$P48))</f>
      </c>
      <c r="G48" s="204">
        <f>IF($P48="","",INDEX('_Datos'!$J$7:$J$200,$P48))</f>
      </c>
      <c r="H48" s="209">
        <f>IF($P48="","",INDEX('_Datos'!$K$7:$K$200,$P48))</f>
      </c>
      <c r="I48" s="209">
        <f>IF($P48="","",INDEX('_Datos'!$S$7:$S$200,$P48))</f>
      </c>
      <c r="J48" s="209">
        <f>IF($P48="","",INDEX('_Datos'!$T$7:$T$200,$P48))</f>
      </c>
      <c r="K48" s="208">
        <f>IF($P48="","",INDEX('_Datos'!$V$7:$V$200,$P48))</f>
      </c>
      <c r="L48" s="209">
        <f>IF($P48="","",INDEX('_Datos'!$W$7:$W$200,$P48))</f>
      </c>
      <c r="M48" s="205">
        <f>IF($P48="","",INDEX('_Datos'!$AC$7:$AC$200,$P48))</f>
      </c>
      <c r="P48" s="202">
        <f>IFERROR(MATCH(LARGE('_Datos'!$AJ$7:$AJ$200,ROW()-7+1),'_Datos'!$AJ$7:$AJ$200,0),"")</f>
      </c>
    </row>
    <row r="49">
      <c r="B49" s="204">
        <f>IF($P49="","",INDEX('_Datos'!$AB$7:$AB$200,$P49))</f>
      </c>
      <c r="C49" s="204">
        <f>IF($P49="","",INDEX('_Datos'!$AE$7:$AE$200,$P49))</f>
      </c>
      <c r="D49" s="205">
        <f>IF($P49="","",INDEX('_Datos'!$F$7:$F$200,$P49))</f>
      </c>
      <c r="E49" s="205">
        <f>IF($P49="","",INDEX('_Datos'!$G$7:$G$200,$P49))</f>
      </c>
      <c r="F49" s="207">
        <f>IF($P49="","",INDEX('_Datos'!$H$7:$H$200,$P49))</f>
      </c>
      <c r="G49" s="204">
        <f>IF($P49="","",INDEX('_Datos'!$J$7:$J$200,$P49))</f>
      </c>
      <c r="H49" s="209">
        <f>IF($P49="","",INDEX('_Datos'!$K$7:$K$200,$P49))</f>
      </c>
      <c r="I49" s="209">
        <f>IF($P49="","",INDEX('_Datos'!$S$7:$S$200,$P49))</f>
      </c>
      <c r="J49" s="209">
        <f>IF($P49="","",INDEX('_Datos'!$T$7:$T$200,$P49))</f>
      </c>
      <c r="K49" s="208">
        <f>IF($P49="","",INDEX('_Datos'!$V$7:$V$200,$P49))</f>
      </c>
      <c r="L49" s="209">
        <f>IF($P49="","",INDEX('_Datos'!$W$7:$W$200,$P49))</f>
      </c>
      <c r="M49" s="205">
        <f>IF($P49="","",INDEX('_Datos'!$AC$7:$AC$200,$P49))</f>
      </c>
      <c r="P49" s="202">
        <f>IFERROR(MATCH(LARGE('_Datos'!$AJ$7:$AJ$200,ROW()-7+1),'_Datos'!$AJ$7:$AJ$200,0),"")</f>
      </c>
    </row>
    <row r="50">
      <c r="B50" s="204">
        <f>IF($P50="","",INDEX('_Datos'!$AB$7:$AB$200,$P50))</f>
      </c>
      <c r="C50" s="204">
        <f>IF($P50="","",INDEX('_Datos'!$AE$7:$AE$200,$P50))</f>
      </c>
      <c r="D50" s="205">
        <f>IF($P50="","",INDEX('_Datos'!$F$7:$F$200,$P50))</f>
      </c>
      <c r="E50" s="205">
        <f>IF($P50="","",INDEX('_Datos'!$G$7:$G$200,$P50))</f>
      </c>
      <c r="F50" s="207">
        <f>IF($P50="","",INDEX('_Datos'!$H$7:$H$200,$P50))</f>
      </c>
      <c r="G50" s="204">
        <f>IF($P50="","",INDEX('_Datos'!$J$7:$J$200,$P50))</f>
      </c>
      <c r="H50" s="209">
        <f>IF($P50="","",INDEX('_Datos'!$K$7:$K$200,$P50))</f>
      </c>
      <c r="I50" s="209">
        <f>IF($P50="","",INDEX('_Datos'!$S$7:$S$200,$P50))</f>
      </c>
      <c r="J50" s="209">
        <f>IF($P50="","",INDEX('_Datos'!$T$7:$T$200,$P50))</f>
      </c>
      <c r="K50" s="208">
        <f>IF($P50="","",INDEX('_Datos'!$V$7:$V$200,$P50))</f>
      </c>
      <c r="L50" s="209">
        <f>IF($P50="","",INDEX('_Datos'!$W$7:$W$200,$P50))</f>
      </c>
      <c r="M50" s="205">
        <f>IF($P50="","",INDEX('_Datos'!$AC$7:$AC$200,$P50))</f>
      </c>
      <c r="P50" s="202">
        <f>IFERROR(MATCH(LARGE('_Datos'!$AJ$7:$AJ$200,ROW()-7+1),'_Datos'!$AJ$7:$AJ$200,0),"")</f>
      </c>
    </row>
    <row r="51">
      <c r="B51" s="204">
        <f>IF($P51="","",INDEX('_Datos'!$AB$7:$AB$200,$P51))</f>
      </c>
      <c r="C51" s="204">
        <f>IF($P51="","",INDEX('_Datos'!$AE$7:$AE$200,$P51))</f>
      </c>
      <c r="D51" s="205">
        <f>IF($P51="","",INDEX('_Datos'!$F$7:$F$200,$P51))</f>
      </c>
      <c r="E51" s="205">
        <f>IF($P51="","",INDEX('_Datos'!$G$7:$G$200,$P51))</f>
      </c>
      <c r="F51" s="207">
        <f>IF($P51="","",INDEX('_Datos'!$H$7:$H$200,$P51))</f>
      </c>
      <c r="G51" s="204">
        <f>IF($P51="","",INDEX('_Datos'!$J$7:$J$200,$P51))</f>
      </c>
      <c r="H51" s="209">
        <f>IF($P51="","",INDEX('_Datos'!$K$7:$K$200,$P51))</f>
      </c>
      <c r="I51" s="209">
        <f>IF($P51="","",INDEX('_Datos'!$S$7:$S$200,$P51))</f>
      </c>
      <c r="J51" s="209">
        <f>IF($P51="","",INDEX('_Datos'!$T$7:$T$200,$P51))</f>
      </c>
      <c r="K51" s="208">
        <f>IF($P51="","",INDEX('_Datos'!$V$7:$V$200,$P51))</f>
      </c>
      <c r="L51" s="209">
        <f>IF($P51="","",INDEX('_Datos'!$W$7:$W$200,$P51))</f>
      </c>
      <c r="M51" s="205">
        <f>IF($P51="","",INDEX('_Datos'!$AC$7:$AC$200,$P51))</f>
      </c>
      <c r="P51" s="202">
        <f>IFERROR(MATCH(LARGE('_Datos'!$AJ$7:$AJ$200,ROW()-7+1),'_Datos'!$AJ$7:$AJ$200,0),"")</f>
      </c>
    </row>
    <row r="52">
      <c r="B52" s="204">
        <f>IF($P52="","",INDEX('_Datos'!$AB$7:$AB$200,$P52))</f>
      </c>
      <c r="C52" s="204">
        <f>IF($P52="","",INDEX('_Datos'!$AE$7:$AE$200,$P52))</f>
      </c>
      <c r="D52" s="205">
        <f>IF($P52="","",INDEX('_Datos'!$F$7:$F$200,$P52))</f>
      </c>
      <c r="E52" s="205">
        <f>IF($P52="","",INDEX('_Datos'!$G$7:$G$200,$P52))</f>
      </c>
      <c r="F52" s="207">
        <f>IF($P52="","",INDEX('_Datos'!$H$7:$H$200,$P52))</f>
      </c>
      <c r="G52" s="204">
        <f>IF($P52="","",INDEX('_Datos'!$J$7:$J$200,$P52))</f>
      </c>
      <c r="H52" s="209">
        <f>IF($P52="","",INDEX('_Datos'!$K$7:$K$200,$P52))</f>
      </c>
      <c r="I52" s="209">
        <f>IF($P52="","",INDEX('_Datos'!$S$7:$S$200,$P52))</f>
      </c>
      <c r="J52" s="209">
        <f>IF($P52="","",INDEX('_Datos'!$T$7:$T$200,$P52))</f>
      </c>
      <c r="K52" s="208">
        <f>IF($P52="","",INDEX('_Datos'!$V$7:$V$200,$P52))</f>
      </c>
      <c r="L52" s="209">
        <f>IF($P52="","",INDEX('_Datos'!$W$7:$W$200,$P52))</f>
      </c>
      <c r="M52" s="205">
        <f>IF($P52="","",INDEX('_Datos'!$AC$7:$AC$200,$P52))</f>
      </c>
      <c r="P52" s="202">
        <f>IFERROR(MATCH(LARGE('_Datos'!$AJ$7:$AJ$200,ROW()-7+1),'_Datos'!$AJ$7:$AJ$200,0),"")</f>
      </c>
    </row>
    <row r="53">
      <c r="B53" s="204">
        <f>IF($P53="","",INDEX('_Datos'!$AB$7:$AB$200,$P53))</f>
      </c>
      <c r="C53" s="204">
        <f>IF($P53="","",INDEX('_Datos'!$AE$7:$AE$200,$P53))</f>
      </c>
      <c r="D53" s="205">
        <f>IF($P53="","",INDEX('_Datos'!$F$7:$F$200,$P53))</f>
      </c>
      <c r="E53" s="205">
        <f>IF($P53="","",INDEX('_Datos'!$G$7:$G$200,$P53))</f>
      </c>
      <c r="F53" s="207">
        <f>IF($P53="","",INDEX('_Datos'!$H$7:$H$200,$P53))</f>
      </c>
      <c r="G53" s="204">
        <f>IF($P53="","",INDEX('_Datos'!$J$7:$J$200,$P53))</f>
      </c>
      <c r="H53" s="209">
        <f>IF($P53="","",INDEX('_Datos'!$K$7:$K$200,$P53))</f>
      </c>
      <c r="I53" s="209">
        <f>IF($P53="","",INDEX('_Datos'!$S$7:$S$200,$P53))</f>
      </c>
      <c r="J53" s="209">
        <f>IF($P53="","",INDEX('_Datos'!$T$7:$T$200,$P53))</f>
      </c>
      <c r="K53" s="208">
        <f>IF($P53="","",INDEX('_Datos'!$V$7:$V$200,$P53))</f>
      </c>
      <c r="L53" s="209">
        <f>IF($P53="","",INDEX('_Datos'!$W$7:$W$200,$P53))</f>
      </c>
      <c r="M53" s="205">
        <f>IF($P53="","",INDEX('_Datos'!$AC$7:$AC$200,$P53))</f>
      </c>
      <c r="P53" s="202">
        <f>IFERROR(MATCH(LARGE('_Datos'!$AJ$7:$AJ$200,ROW()-7+1),'_Datos'!$AJ$7:$AJ$200,0),"")</f>
      </c>
    </row>
    <row r="54">
      <c r="B54" s="204">
        <f>IF($P54="","",INDEX('_Datos'!$AB$7:$AB$200,$P54))</f>
      </c>
      <c r="C54" s="204">
        <f>IF($P54="","",INDEX('_Datos'!$AE$7:$AE$200,$P54))</f>
      </c>
      <c r="D54" s="205">
        <f>IF($P54="","",INDEX('_Datos'!$F$7:$F$200,$P54))</f>
      </c>
      <c r="E54" s="205">
        <f>IF($P54="","",INDEX('_Datos'!$G$7:$G$200,$P54))</f>
      </c>
      <c r="F54" s="207">
        <f>IF($P54="","",INDEX('_Datos'!$H$7:$H$200,$P54))</f>
      </c>
      <c r="G54" s="204">
        <f>IF($P54="","",INDEX('_Datos'!$J$7:$J$200,$P54))</f>
      </c>
      <c r="H54" s="209">
        <f>IF($P54="","",INDEX('_Datos'!$K$7:$K$200,$P54))</f>
      </c>
      <c r="I54" s="209">
        <f>IF($P54="","",INDEX('_Datos'!$S$7:$S$200,$P54))</f>
      </c>
      <c r="J54" s="209">
        <f>IF($P54="","",INDEX('_Datos'!$T$7:$T$200,$P54))</f>
      </c>
      <c r="K54" s="208">
        <f>IF($P54="","",INDEX('_Datos'!$V$7:$V$200,$P54))</f>
      </c>
      <c r="L54" s="209">
        <f>IF($P54="","",INDEX('_Datos'!$W$7:$W$200,$P54))</f>
      </c>
      <c r="M54" s="205">
        <f>IF($P54="","",INDEX('_Datos'!$AC$7:$AC$200,$P54))</f>
      </c>
      <c r="P54" s="202">
        <f>IFERROR(MATCH(LARGE('_Datos'!$AJ$7:$AJ$200,ROW()-7+1),'_Datos'!$AJ$7:$AJ$200,0),"")</f>
      </c>
    </row>
    <row r="55">
      <c r="B55" s="204">
        <f>IF($P55="","",INDEX('_Datos'!$AB$7:$AB$200,$P55))</f>
      </c>
      <c r="C55" s="204">
        <f>IF($P55="","",INDEX('_Datos'!$AE$7:$AE$200,$P55))</f>
      </c>
      <c r="D55" s="205">
        <f>IF($P55="","",INDEX('_Datos'!$F$7:$F$200,$P55))</f>
      </c>
      <c r="E55" s="205">
        <f>IF($P55="","",INDEX('_Datos'!$G$7:$G$200,$P55))</f>
      </c>
      <c r="F55" s="207">
        <f>IF($P55="","",INDEX('_Datos'!$H$7:$H$200,$P55))</f>
      </c>
      <c r="G55" s="204">
        <f>IF($P55="","",INDEX('_Datos'!$J$7:$J$200,$P55))</f>
      </c>
      <c r="H55" s="209">
        <f>IF($P55="","",INDEX('_Datos'!$K$7:$K$200,$P55))</f>
      </c>
      <c r="I55" s="209">
        <f>IF($P55="","",INDEX('_Datos'!$S$7:$S$200,$P55))</f>
      </c>
      <c r="J55" s="209">
        <f>IF($P55="","",INDEX('_Datos'!$T$7:$T$200,$P55))</f>
      </c>
      <c r="K55" s="208">
        <f>IF($P55="","",INDEX('_Datos'!$V$7:$V$200,$P55))</f>
      </c>
      <c r="L55" s="209">
        <f>IF($P55="","",INDEX('_Datos'!$W$7:$W$200,$P55))</f>
      </c>
      <c r="M55" s="205">
        <f>IF($P55="","",INDEX('_Datos'!$AC$7:$AC$200,$P55))</f>
      </c>
      <c r="P55" s="202">
        <f>IFERROR(MATCH(LARGE('_Datos'!$AJ$7:$AJ$200,ROW()-7+1),'_Datos'!$AJ$7:$AJ$200,0),"")</f>
      </c>
    </row>
    <row r="56">
      <c r="B56" s="204">
        <f>IF($P56="","",INDEX('_Datos'!$AB$7:$AB$200,$P56))</f>
      </c>
      <c r="C56" s="204">
        <f>IF($P56="","",INDEX('_Datos'!$AE$7:$AE$200,$P56))</f>
      </c>
      <c r="D56" s="205">
        <f>IF($P56="","",INDEX('_Datos'!$F$7:$F$200,$P56))</f>
      </c>
      <c r="E56" s="205">
        <f>IF($P56="","",INDEX('_Datos'!$G$7:$G$200,$P56))</f>
      </c>
      <c r="F56" s="207">
        <f>IF($P56="","",INDEX('_Datos'!$H$7:$H$200,$P56))</f>
      </c>
      <c r="G56" s="204">
        <f>IF($P56="","",INDEX('_Datos'!$J$7:$J$200,$P56))</f>
      </c>
      <c r="H56" s="209">
        <f>IF($P56="","",INDEX('_Datos'!$K$7:$K$200,$P56))</f>
      </c>
      <c r="I56" s="209">
        <f>IF($P56="","",INDEX('_Datos'!$S$7:$S$200,$P56))</f>
      </c>
      <c r="J56" s="209">
        <f>IF($P56="","",INDEX('_Datos'!$T$7:$T$200,$P56))</f>
      </c>
      <c r="K56" s="208">
        <f>IF($P56="","",INDEX('_Datos'!$V$7:$V$200,$P56))</f>
      </c>
      <c r="L56" s="209">
        <f>IF($P56="","",INDEX('_Datos'!$W$7:$W$200,$P56))</f>
      </c>
      <c r="M56" s="205">
        <f>IF($P56="","",INDEX('_Datos'!$AC$7:$AC$200,$P56))</f>
      </c>
      <c r="P56" s="202">
        <f>IFERROR(MATCH(LARGE('_Datos'!$AJ$7:$AJ$200,ROW()-7+1),'_Datos'!$AJ$7:$AJ$200,0),"")</f>
      </c>
    </row>
    <row r="57">
      <c r="B57" s="204">
        <f>IF($P57="","",INDEX('_Datos'!$AB$7:$AB$200,$P57))</f>
      </c>
      <c r="C57" s="204">
        <f>IF($P57="","",INDEX('_Datos'!$AE$7:$AE$200,$P57))</f>
      </c>
      <c r="D57" s="205">
        <f>IF($P57="","",INDEX('_Datos'!$F$7:$F$200,$P57))</f>
      </c>
      <c r="E57" s="205">
        <f>IF($P57="","",INDEX('_Datos'!$G$7:$G$200,$P57))</f>
      </c>
      <c r="F57" s="207">
        <f>IF($P57="","",INDEX('_Datos'!$H$7:$H$200,$P57))</f>
      </c>
      <c r="G57" s="204">
        <f>IF($P57="","",INDEX('_Datos'!$J$7:$J$200,$P57))</f>
      </c>
      <c r="H57" s="209">
        <f>IF($P57="","",INDEX('_Datos'!$K$7:$K$200,$P57))</f>
      </c>
      <c r="I57" s="209">
        <f>IF($P57="","",INDEX('_Datos'!$S$7:$S$200,$P57))</f>
      </c>
      <c r="J57" s="209">
        <f>IF($P57="","",INDEX('_Datos'!$T$7:$T$200,$P57))</f>
      </c>
      <c r="K57" s="208">
        <f>IF($P57="","",INDEX('_Datos'!$V$7:$V$200,$P57))</f>
      </c>
      <c r="L57" s="209">
        <f>IF($P57="","",INDEX('_Datos'!$W$7:$W$200,$P57))</f>
      </c>
      <c r="M57" s="205">
        <f>IF($P57="","",INDEX('_Datos'!$AC$7:$AC$200,$P57))</f>
      </c>
      <c r="P57" s="202">
        <f>IFERROR(MATCH(LARGE('_Datos'!$AJ$7:$AJ$200,ROW()-7+1),'_Datos'!$AJ$7:$AJ$200,0),"")</f>
      </c>
    </row>
    <row r="58">
      <c r="B58" s="204">
        <f>IF($P58="","",INDEX('_Datos'!$AB$7:$AB$200,$P58))</f>
      </c>
      <c r="C58" s="204">
        <f>IF($P58="","",INDEX('_Datos'!$AE$7:$AE$200,$P58))</f>
      </c>
      <c r="D58" s="205">
        <f>IF($P58="","",INDEX('_Datos'!$F$7:$F$200,$P58))</f>
      </c>
      <c r="E58" s="205">
        <f>IF($P58="","",INDEX('_Datos'!$G$7:$G$200,$P58))</f>
      </c>
      <c r="F58" s="207">
        <f>IF($P58="","",INDEX('_Datos'!$H$7:$H$200,$P58))</f>
      </c>
      <c r="G58" s="204">
        <f>IF($P58="","",INDEX('_Datos'!$J$7:$J$200,$P58))</f>
      </c>
      <c r="H58" s="209">
        <f>IF($P58="","",INDEX('_Datos'!$K$7:$K$200,$P58))</f>
      </c>
      <c r="I58" s="209">
        <f>IF($P58="","",INDEX('_Datos'!$S$7:$S$200,$P58))</f>
      </c>
      <c r="J58" s="209">
        <f>IF($P58="","",INDEX('_Datos'!$T$7:$T$200,$P58))</f>
      </c>
      <c r="K58" s="208">
        <f>IF($P58="","",INDEX('_Datos'!$V$7:$V$200,$P58))</f>
      </c>
      <c r="L58" s="209">
        <f>IF($P58="","",INDEX('_Datos'!$W$7:$W$200,$P58))</f>
      </c>
      <c r="M58" s="205">
        <f>IF($P58="","",INDEX('_Datos'!$AC$7:$AC$200,$P58))</f>
      </c>
      <c r="P58" s="202">
        <f>IFERROR(MATCH(LARGE('_Datos'!$AJ$7:$AJ$200,ROW()-7+1),'_Datos'!$AJ$7:$AJ$200,0),"")</f>
      </c>
    </row>
    <row r="59">
      <c r="B59" s="204">
        <f>IF($P59="","",INDEX('_Datos'!$AB$7:$AB$200,$P59))</f>
      </c>
      <c r="C59" s="204">
        <f>IF($P59="","",INDEX('_Datos'!$AE$7:$AE$200,$P59))</f>
      </c>
      <c r="D59" s="205">
        <f>IF($P59="","",INDEX('_Datos'!$F$7:$F$200,$P59))</f>
      </c>
      <c r="E59" s="205">
        <f>IF($P59="","",INDEX('_Datos'!$G$7:$G$200,$P59))</f>
      </c>
      <c r="F59" s="207">
        <f>IF($P59="","",INDEX('_Datos'!$H$7:$H$200,$P59))</f>
      </c>
      <c r="G59" s="204">
        <f>IF($P59="","",INDEX('_Datos'!$J$7:$J$200,$P59))</f>
      </c>
      <c r="H59" s="209">
        <f>IF($P59="","",INDEX('_Datos'!$K$7:$K$200,$P59))</f>
      </c>
      <c r="I59" s="209">
        <f>IF($P59="","",INDEX('_Datos'!$S$7:$S$200,$P59))</f>
      </c>
      <c r="J59" s="209">
        <f>IF($P59="","",INDEX('_Datos'!$T$7:$T$200,$P59))</f>
      </c>
      <c r="K59" s="208">
        <f>IF($P59="","",INDEX('_Datos'!$V$7:$V$200,$P59))</f>
      </c>
      <c r="L59" s="209">
        <f>IF($P59="","",INDEX('_Datos'!$W$7:$W$200,$P59))</f>
      </c>
      <c r="M59" s="205">
        <f>IF($P59="","",INDEX('_Datos'!$AC$7:$AC$200,$P59))</f>
      </c>
      <c r="P59" s="202">
        <f>IFERROR(MATCH(LARGE('_Datos'!$AJ$7:$AJ$200,ROW()-7+1),'_Datos'!$AJ$7:$AJ$200,0),"")</f>
      </c>
    </row>
    <row r="60">
      <c r="B60" s="204">
        <f>IF($P60="","",INDEX('_Datos'!$AB$7:$AB$200,$P60))</f>
      </c>
      <c r="C60" s="204">
        <f>IF($P60="","",INDEX('_Datos'!$AE$7:$AE$200,$P60))</f>
      </c>
      <c r="D60" s="205">
        <f>IF($P60="","",INDEX('_Datos'!$F$7:$F$200,$P60))</f>
      </c>
      <c r="E60" s="205">
        <f>IF($P60="","",INDEX('_Datos'!$G$7:$G$200,$P60))</f>
      </c>
      <c r="F60" s="207">
        <f>IF($P60="","",INDEX('_Datos'!$H$7:$H$200,$P60))</f>
      </c>
      <c r="G60" s="204">
        <f>IF($P60="","",INDEX('_Datos'!$J$7:$J$200,$P60))</f>
      </c>
      <c r="H60" s="209">
        <f>IF($P60="","",INDEX('_Datos'!$K$7:$K$200,$P60))</f>
      </c>
      <c r="I60" s="209">
        <f>IF($P60="","",INDEX('_Datos'!$S$7:$S$200,$P60))</f>
      </c>
      <c r="J60" s="209">
        <f>IF($P60="","",INDEX('_Datos'!$T$7:$T$200,$P60))</f>
      </c>
      <c r="K60" s="208">
        <f>IF($P60="","",INDEX('_Datos'!$V$7:$V$200,$P60))</f>
      </c>
      <c r="L60" s="209">
        <f>IF($P60="","",INDEX('_Datos'!$W$7:$W$200,$P60))</f>
      </c>
      <c r="M60" s="205">
        <f>IF($P60="","",INDEX('_Datos'!$AC$7:$AC$200,$P60))</f>
      </c>
      <c r="P60" s="202">
        <f>IFERROR(MATCH(LARGE('_Datos'!$AJ$7:$AJ$200,ROW()-7+1),'_Datos'!$AJ$7:$AJ$200,0),"")</f>
      </c>
    </row>
    <row r="61">
      <c r="B61" s="204">
        <f>IF($P61="","",INDEX('_Datos'!$AB$7:$AB$200,$P61))</f>
      </c>
      <c r="C61" s="204">
        <f>IF($P61="","",INDEX('_Datos'!$AE$7:$AE$200,$P61))</f>
      </c>
      <c r="D61" s="205">
        <f>IF($P61="","",INDEX('_Datos'!$F$7:$F$200,$P61))</f>
      </c>
      <c r="E61" s="205">
        <f>IF($P61="","",INDEX('_Datos'!$G$7:$G$200,$P61))</f>
      </c>
      <c r="F61" s="207">
        <f>IF($P61="","",INDEX('_Datos'!$H$7:$H$200,$P61))</f>
      </c>
      <c r="G61" s="204">
        <f>IF($P61="","",INDEX('_Datos'!$J$7:$J$200,$P61))</f>
      </c>
      <c r="H61" s="209">
        <f>IF($P61="","",INDEX('_Datos'!$K$7:$K$200,$P61))</f>
      </c>
      <c r="I61" s="209">
        <f>IF($P61="","",INDEX('_Datos'!$S$7:$S$200,$P61))</f>
      </c>
      <c r="J61" s="209">
        <f>IF($P61="","",INDEX('_Datos'!$T$7:$T$200,$P61))</f>
      </c>
      <c r="K61" s="208">
        <f>IF($P61="","",INDEX('_Datos'!$V$7:$V$200,$P61))</f>
      </c>
      <c r="L61" s="209">
        <f>IF($P61="","",INDEX('_Datos'!$W$7:$W$200,$P61))</f>
      </c>
      <c r="M61" s="205">
        <f>IF($P61="","",INDEX('_Datos'!$AC$7:$AC$200,$P61))</f>
      </c>
      <c r="P61" s="202">
        <f>IFERROR(MATCH(LARGE('_Datos'!$AJ$7:$AJ$200,ROW()-7+1),'_Datos'!$AJ$7:$AJ$200,0),"")</f>
      </c>
    </row>
    <row r="62">
      <c r="B62" s="204">
        <f>IF($P62="","",INDEX('_Datos'!$AB$7:$AB$200,$P62))</f>
      </c>
      <c r="C62" s="204">
        <f>IF($P62="","",INDEX('_Datos'!$AE$7:$AE$200,$P62))</f>
      </c>
      <c r="D62" s="205">
        <f>IF($P62="","",INDEX('_Datos'!$F$7:$F$200,$P62))</f>
      </c>
      <c r="E62" s="205">
        <f>IF($P62="","",INDEX('_Datos'!$G$7:$G$200,$P62))</f>
      </c>
      <c r="F62" s="207">
        <f>IF($P62="","",INDEX('_Datos'!$H$7:$H$200,$P62))</f>
      </c>
      <c r="G62" s="204">
        <f>IF($P62="","",INDEX('_Datos'!$J$7:$J$200,$P62))</f>
      </c>
      <c r="H62" s="209">
        <f>IF($P62="","",INDEX('_Datos'!$K$7:$K$200,$P62))</f>
      </c>
      <c r="I62" s="209">
        <f>IF($P62="","",INDEX('_Datos'!$S$7:$S$200,$P62))</f>
      </c>
      <c r="J62" s="209">
        <f>IF($P62="","",INDEX('_Datos'!$T$7:$T$200,$P62))</f>
      </c>
      <c r="K62" s="208">
        <f>IF($P62="","",INDEX('_Datos'!$V$7:$V$200,$P62))</f>
      </c>
      <c r="L62" s="209">
        <f>IF($P62="","",INDEX('_Datos'!$W$7:$W$200,$P62))</f>
      </c>
      <c r="M62" s="205">
        <f>IF($P62="","",INDEX('_Datos'!$AC$7:$AC$200,$P62))</f>
      </c>
      <c r="P62" s="202">
        <f>IFERROR(MATCH(LARGE('_Datos'!$AJ$7:$AJ$200,ROW()-7+1),'_Datos'!$AJ$7:$AJ$200,0),"")</f>
      </c>
    </row>
    <row r="63">
      <c r="B63" s="204">
        <f>IF($P63="","",INDEX('_Datos'!$AB$7:$AB$200,$P63))</f>
      </c>
      <c r="C63" s="204">
        <f>IF($P63="","",INDEX('_Datos'!$AE$7:$AE$200,$P63))</f>
      </c>
      <c r="D63" s="205">
        <f>IF($P63="","",INDEX('_Datos'!$F$7:$F$200,$P63))</f>
      </c>
      <c r="E63" s="205">
        <f>IF($P63="","",INDEX('_Datos'!$G$7:$G$200,$P63))</f>
      </c>
      <c r="F63" s="207">
        <f>IF($P63="","",INDEX('_Datos'!$H$7:$H$200,$P63))</f>
      </c>
      <c r="G63" s="204">
        <f>IF($P63="","",INDEX('_Datos'!$J$7:$J$200,$P63))</f>
      </c>
      <c r="H63" s="209">
        <f>IF($P63="","",INDEX('_Datos'!$K$7:$K$200,$P63))</f>
      </c>
      <c r="I63" s="209">
        <f>IF($P63="","",INDEX('_Datos'!$S$7:$S$200,$P63))</f>
      </c>
      <c r="J63" s="209">
        <f>IF($P63="","",INDEX('_Datos'!$T$7:$T$200,$P63))</f>
      </c>
      <c r="K63" s="208">
        <f>IF($P63="","",INDEX('_Datos'!$V$7:$V$200,$P63))</f>
      </c>
      <c r="L63" s="209">
        <f>IF($P63="","",INDEX('_Datos'!$W$7:$W$200,$P63))</f>
      </c>
      <c r="M63" s="205">
        <f>IF($P63="","",INDEX('_Datos'!$AC$7:$AC$200,$P63))</f>
      </c>
      <c r="P63" s="202">
        <f>IFERROR(MATCH(LARGE('_Datos'!$AJ$7:$AJ$200,ROW()-7+1),'_Datos'!$AJ$7:$AJ$200,0),"")</f>
      </c>
    </row>
    <row r="64">
      <c r="B64" s="204">
        <f>IF($P64="","",INDEX('_Datos'!$AB$7:$AB$200,$P64))</f>
      </c>
      <c r="C64" s="204">
        <f>IF($P64="","",INDEX('_Datos'!$AE$7:$AE$200,$P64))</f>
      </c>
      <c r="D64" s="205">
        <f>IF($P64="","",INDEX('_Datos'!$F$7:$F$200,$P64))</f>
      </c>
      <c r="E64" s="205">
        <f>IF($P64="","",INDEX('_Datos'!$G$7:$G$200,$P64))</f>
      </c>
      <c r="F64" s="207">
        <f>IF($P64="","",INDEX('_Datos'!$H$7:$H$200,$P64))</f>
      </c>
      <c r="G64" s="204">
        <f>IF($P64="","",INDEX('_Datos'!$J$7:$J$200,$P64))</f>
      </c>
      <c r="H64" s="209">
        <f>IF($P64="","",INDEX('_Datos'!$K$7:$K$200,$P64))</f>
      </c>
      <c r="I64" s="209">
        <f>IF($P64="","",INDEX('_Datos'!$S$7:$S$200,$P64))</f>
      </c>
      <c r="J64" s="209">
        <f>IF($P64="","",INDEX('_Datos'!$T$7:$T$200,$P64))</f>
      </c>
      <c r="K64" s="208">
        <f>IF($P64="","",INDEX('_Datos'!$V$7:$V$200,$P64))</f>
      </c>
      <c r="L64" s="209">
        <f>IF($P64="","",INDEX('_Datos'!$W$7:$W$200,$P64))</f>
      </c>
      <c r="M64" s="205">
        <f>IF($P64="","",INDEX('_Datos'!$AC$7:$AC$200,$P64))</f>
      </c>
      <c r="P64" s="202">
        <f>IFERROR(MATCH(LARGE('_Datos'!$AJ$7:$AJ$200,ROW()-7+1),'_Datos'!$AJ$7:$AJ$200,0),"")</f>
      </c>
    </row>
    <row r="65">
      <c r="B65" s="204">
        <f>IF($P65="","",INDEX('_Datos'!$AB$7:$AB$200,$P65))</f>
      </c>
      <c r="C65" s="204">
        <f>IF($P65="","",INDEX('_Datos'!$AE$7:$AE$200,$P65))</f>
      </c>
      <c r="D65" s="205">
        <f>IF($P65="","",INDEX('_Datos'!$F$7:$F$200,$P65))</f>
      </c>
      <c r="E65" s="205">
        <f>IF($P65="","",INDEX('_Datos'!$G$7:$G$200,$P65))</f>
      </c>
      <c r="F65" s="207">
        <f>IF($P65="","",INDEX('_Datos'!$H$7:$H$200,$P65))</f>
      </c>
      <c r="G65" s="204">
        <f>IF($P65="","",INDEX('_Datos'!$J$7:$J$200,$P65))</f>
      </c>
      <c r="H65" s="209">
        <f>IF($P65="","",INDEX('_Datos'!$K$7:$K$200,$P65))</f>
      </c>
      <c r="I65" s="209">
        <f>IF($P65="","",INDEX('_Datos'!$S$7:$S$200,$P65))</f>
      </c>
      <c r="J65" s="209">
        <f>IF($P65="","",INDEX('_Datos'!$T$7:$T$200,$P65))</f>
      </c>
      <c r="K65" s="208">
        <f>IF($P65="","",INDEX('_Datos'!$V$7:$V$200,$P65))</f>
      </c>
      <c r="L65" s="209">
        <f>IF($P65="","",INDEX('_Datos'!$W$7:$W$200,$P65))</f>
      </c>
      <c r="M65" s="205">
        <f>IF($P65="","",INDEX('_Datos'!$AC$7:$AC$200,$P65))</f>
      </c>
      <c r="P65" s="202">
        <f>IFERROR(MATCH(LARGE('_Datos'!$AJ$7:$AJ$200,ROW()-7+1),'_Datos'!$AJ$7:$AJ$200,0),"")</f>
      </c>
    </row>
    <row r="66">
      <c r="B66" s="204">
        <f>IF($P66="","",INDEX('_Datos'!$AB$7:$AB$200,$P66))</f>
      </c>
      <c r="C66" s="204">
        <f>IF($P66="","",INDEX('_Datos'!$AE$7:$AE$200,$P66))</f>
      </c>
      <c r="D66" s="205">
        <f>IF($P66="","",INDEX('_Datos'!$F$7:$F$200,$P66))</f>
      </c>
      <c r="E66" s="205">
        <f>IF($P66="","",INDEX('_Datos'!$G$7:$G$200,$P66))</f>
      </c>
      <c r="F66" s="207">
        <f>IF($P66="","",INDEX('_Datos'!$H$7:$H$200,$P66))</f>
      </c>
      <c r="G66" s="204">
        <f>IF($P66="","",INDEX('_Datos'!$J$7:$J$200,$P66))</f>
      </c>
      <c r="H66" s="209">
        <f>IF($P66="","",INDEX('_Datos'!$K$7:$K$200,$P66))</f>
      </c>
      <c r="I66" s="209">
        <f>IF($P66="","",INDEX('_Datos'!$S$7:$S$200,$P66))</f>
      </c>
      <c r="J66" s="209">
        <f>IF($P66="","",INDEX('_Datos'!$T$7:$T$200,$P66))</f>
      </c>
      <c r="K66" s="208">
        <f>IF($P66="","",INDEX('_Datos'!$V$7:$V$200,$P66))</f>
      </c>
      <c r="L66" s="209">
        <f>IF($P66="","",INDEX('_Datos'!$W$7:$W$200,$P66))</f>
      </c>
      <c r="M66" s="205">
        <f>IF($P66="","",INDEX('_Datos'!$AC$7:$AC$200,$P66))</f>
      </c>
      <c r="P66" s="202">
        <f>IFERROR(MATCH(LARGE('_Datos'!$AJ$7:$AJ$200,ROW()-7+1),'_Datos'!$AJ$7:$AJ$200,0),"")</f>
      </c>
    </row>
    <row r="67">
      <c r="B67" s="204">
        <f>IF($P67="","",INDEX('_Datos'!$AB$7:$AB$200,$P67))</f>
      </c>
      <c r="C67" s="204">
        <f>IF($P67="","",INDEX('_Datos'!$AE$7:$AE$200,$P67))</f>
      </c>
      <c r="D67" s="205">
        <f>IF($P67="","",INDEX('_Datos'!$F$7:$F$200,$P67))</f>
      </c>
      <c r="E67" s="205">
        <f>IF($P67="","",INDEX('_Datos'!$G$7:$G$200,$P67))</f>
      </c>
      <c r="F67" s="207">
        <f>IF($P67="","",INDEX('_Datos'!$H$7:$H$200,$P67))</f>
      </c>
      <c r="G67" s="204">
        <f>IF($P67="","",INDEX('_Datos'!$J$7:$J$200,$P67))</f>
      </c>
      <c r="H67" s="209">
        <f>IF($P67="","",INDEX('_Datos'!$K$7:$K$200,$P67))</f>
      </c>
      <c r="I67" s="209">
        <f>IF($P67="","",INDEX('_Datos'!$S$7:$S$200,$P67))</f>
      </c>
      <c r="J67" s="209">
        <f>IF($P67="","",INDEX('_Datos'!$T$7:$T$200,$P67))</f>
      </c>
      <c r="K67" s="208">
        <f>IF($P67="","",INDEX('_Datos'!$V$7:$V$200,$P67))</f>
      </c>
      <c r="L67" s="209">
        <f>IF($P67="","",INDEX('_Datos'!$W$7:$W$200,$P67))</f>
      </c>
      <c r="M67" s="205">
        <f>IF($P67="","",INDEX('_Datos'!$AC$7:$AC$200,$P67))</f>
      </c>
      <c r="P67" s="202">
        <f>IFERROR(MATCH(LARGE('_Datos'!$AJ$7:$AJ$200,ROW()-7+1),'_Datos'!$AJ$7:$AJ$200,0),"")</f>
      </c>
    </row>
    <row r="68">
      <c r="B68" s="204">
        <f>IF($P68="","",INDEX('_Datos'!$AB$7:$AB$200,$P68))</f>
      </c>
      <c r="C68" s="204">
        <f>IF($P68="","",INDEX('_Datos'!$AE$7:$AE$200,$P68))</f>
      </c>
      <c r="D68" s="205">
        <f>IF($P68="","",INDEX('_Datos'!$F$7:$F$200,$P68))</f>
      </c>
      <c r="E68" s="205">
        <f>IF($P68="","",INDEX('_Datos'!$G$7:$G$200,$P68))</f>
      </c>
      <c r="F68" s="207">
        <f>IF($P68="","",INDEX('_Datos'!$H$7:$H$200,$P68))</f>
      </c>
      <c r="G68" s="204">
        <f>IF($P68="","",INDEX('_Datos'!$J$7:$J$200,$P68))</f>
      </c>
      <c r="H68" s="209">
        <f>IF($P68="","",INDEX('_Datos'!$K$7:$K$200,$P68))</f>
      </c>
      <c r="I68" s="209">
        <f>IF($P68="","",INDEX('_Datos'!$S$7:$S$200,$P68))</f>
      </c>
      <c r="J68" s="209">
        <f>IF($P68="","",INDEX('_Datos'!$T$7:$T$200,$P68))</f>
      </c>
      <c r="K68" s="208">
        <f>IF($P68="","",INDEX('_Datos'!$V$7:$V$200,$P68))</f>
      </c>
      <c r="L68" s="209">
        <f>IF($P68="","",INDEX('_Datos'!$W$7:$W$200,$P68))</f>
      </c>
      <c r="M68" s="205">
        <f>IF($P68="","",INDEX('_Datos'!$AC$7:$AC$200,$P68))</f>
      </c>
      <c r="P68" s="202">
        <f>IFERROR(MATCH(LARGE('_Datos'!$AJ$7:$AJ$200,ROW()-7+1),'_Datos'!$AJ$7:$AJ$200,0),"")</f>
      </c>
    </row>
    <row r="69">
      <c r="B69" s="204">
        <f>IF($P69="","",INDEX('_Datos'!$AB$7:$AB$200,$P69))</f>
      </c>
      <c r="C69" s="204">
        <f>IF($P69="","",INDEX('_Datos'!$AE$7:$AE$200,$P69))</f>
      </c>
      <c r="D69" s="205">
        <f>IF($P69="","",INDEX('_Datos'!$F$7:$F$200,$P69))</f>
      </c>
      <c r="E69" s="205">
        <f>IF($P69="","",INDEX('_Datos'!$G$7:$G$200,$P69))</f>
      </c>
      <c r="F69" s="207">
        <f>IF($P69="","",INDEX('_Datos'!$H$7:$H$200,$P69))</f>
      </c>
      <c r="G69" s="204">
        <f>IF($P69="","",INDEX('_Datos'!$J$7:$J$200,$P69))</f>
      </c>
      <c r="H69" s="209">
        <f>IF($P69="","",INDEX('_Datos'!$K$7:$K$200,$P69))</f>
      </c>
      <c r="I69" s="209">
        <f>IF($P69="","",INDEX('_Datos'!$S$7:$S$200,$P69))</f>
      </c>
      <c r="J69" s="209">
        <f>IF($P69="","",INDEX('_Datos'!$T$7:$T$200,$P69))</f>
      </c>
      <c r="K69" s="208">
        <f>IF($P69="","",INDEX('_Datos'!$V$7:$V$200,$P69))</f>
      </c>
      <c r="L69" s="209">
        <f>IF($P69="","",INDEX('_Datos'!$W$7:$W$200,$P69))</f>
      </c>
      <c r="M69" s="205">
        <f>IF($P69="","",INDEX('_Datos'!$AC$7:$AC$200,$P69))</f>
      </c>
      <c r="P69" s="202">
        <f>IFERROR(MATCH(LARGE('_Datos'!$AJ$7:$AJ$200,ROW()-7+1),'_Datos'!$AJ$7:$AJ$200,0),"")</f>
      </c>
    </row>
    <row r="70">
      <c r="B70" s="204">
        <f>IF($P70="","",INDEX('_Datos'!$AB$7:$AB$200,$P70))</f>
      </c>
      <c r="C70" s="204">
        <f>IF($P70="","",INDEX('_Datos'!$AE$7:$AE$200,$P70))</f>
      </c>
      <c r="D70" s="205">
        <f>IF($P70="","",INDEX('_Datos'!$F$7:$F$200,$P70))</f>
      </c>
      <c r="E70" s="205">
        <f>IF($P70="","",INDEX('_Datos'!$G$7:$G$200,$P70))</f>
      </c>
      <c r="F70" s="207">
        <f>IF($P70="","",INDEX('_Datos'!$H$7:$H$200,$P70))</f>
      </c>
      <c r="G70" s="204">
        <f>IF($P70="","",INDEX('_Datos'!$J$7:$J$200,$P70))</f>
      </c>
      <c r="H70" s="209">
        <f>IF($P70="","",INDEX('_Datos'!$K$7:$K$200,$P70))</f>
      </c>
      <c r="I70" s="209">
        <f>IF($P70="","",INDEX('_Datos'!$S$7:$S$200,$P70))</f>
      </c>
      <c r="J70" s="209">
        <f>IF($P70="","",INDEX('_Datos'!$T$7:$T$200,$P70))</f>
      </c>
      <c r="K70" s="208">
        <f>IF($P70="","",INDEX('_Datos'!$V$7:$V$200,$P70))</f>
      </c>
      <c r="L70" s="209">
        <f>IF($P70="","",INDEX('_Datos'!$W$7:$W$200,$P70))</f>
      </c>
      <c r="M70" s="205">
        <f>IF($P70="","",INDEX('_Datos'!$AC$7:$AC$200,$P70))</f>
      </c>
      <c r="P70" s="202">
        <f>IFERROR(MATCH(LARGE('_Datos'!$AJ$7:$AJ$200,ROW()-7+1),'_Datos'!$AJ$7:$AJ$200,0),"")</f>
      </c>
    </row>
    <row r="71">
      <c r="B71" s="204">
        <f>IF($P71="","",INDEX('_Datos'!$AB$7:$AB$200,$P71))</f>
      </c>
      <c r="C71" s="204">
        <f>IF($P71="","",INDEX('_Datos'!$AE$7:$AE$200,$P71))</f>
      </c>
      <c r="D71" s="205">
        <f>IF($P71="","",INDEX('_Datos'!$F$7:$F$200,$P71))</f>
      </c>
      <c r="E71" s="205">
        <f>IF($P71="","",INDEX('_Datos'!$G$7:$G$200,$P71))</f>
      </c>
      <c r="F71" s="207">
        <f>IF($P71="","",INDEX('_Datos'!$H$7:$H$200,$P71))</f>
      </c>
      <c r="G71" s="204">
        <f>IF($P71="","",INDEX('_Datos'!$J$7:$J$200,$P71))</f>
      </c>
      <c r="H71" s="209">
        <f>IF($P71="","",INDEX('_Datos'!$K$7:$K$200,$P71))</f>
      </c>
      <c r="I71" s="209">
        <f>IF($P71="","",INDEX('_Datos'!$S$7:$S$200,$P71))</f>
      </c>
      <c r="J71" s="209">
        <f>IF($P71="","",INDEX('_Datos'!$T$7:$T$200,$P71))</f>
      </c>
      <c r="K71" s="208">
        <f>IF($P71="","",INDEX('_Datos'!$V$7:$V$200,$P71))</f>
      </c>
      <c r="L71" s="209">
        <f>IF($P71="","",INDEX('_Datos'!$W$7:$W$200,$P71))</f>
      </c>
      <c r="M71" s="205">
        <f>IF($P71="","",INDEX('_Datos'!$AC$7:$AC$200,$P71))</f>
      </c>
      <c r="P71" s="202">
        <f>IFERROR(MATCH(LARGE('_Datos'!$AJ$7:$AJ$200,ROW()-7+1),'_Datos'!$AJ$7:$AJ$200,0),"")</f>
      </c>
    </row>
    <row r="72">
      <c r="B72" s="204">
        <f>IF($P72="","",INDEX('_Datos'!$AB$7:$AB$200,$P72))</f>
      </c>
      <c r="C72" s="204">
        <f>IF($P72="","",INDEX('_Datos'!$AE$7:$AE$200,$P72))</f>
      </c>
      <c r="D72" s="205">
        <f>IF($P72="","",INDEX('_Datos'!$F$7:$F$200,$P72))</f>
      </c>
      <c r="E72" s="205">
        <f>IF($P72="","",INDEX('_Datos'!$G$7:$G$200,$P72))</f>
      </c>
      <c r="F72" s="207">
        <f>IF($P72="","",INDEX('_Datos'!$H$7:$H$200,$P72))</f>
      </c>
      <c r="G72" s="204">
        <f>IF($P72="","",INDEX('_Datos'!$J$7:$J$200,$P72))</f>
      </c>
      <c r="H72" s="209">
        <f>IF($P72="","",INDEX('_Datos'!$K$7:$K$200,$P72))</f>
      </c>
      <c r="I72" s="209">
        <f>IF($P72="","",INDEX('_Datos'!$S$7:$S$200,$P72))</f>
      </c>
      <c r="J72" s="209">
        <f>IF($P72="","",INDEX('_Datos'!$T$7:$T$200,$P72))</f>
      </c>
      <c r="K72" s="208">
        <f>IF($P72="","",INDEX('_Datos'!$V$7:$V$200,$P72))</f>
      </c>
      <c r="L72" s="209">
        <f>IF($P72="","",INDEX('_Datos'!$W$7:$W$200,$P72))</f>
      </c>
      <c r="M72" s="205">
        <f>IF($P72="","",INDEX('_Datos'!$AC$7:$AC$200,$P72))</f>
      </c>
      <c r="P72" s="202">
        <f>IFERROR(MATCH(LARGE('_Datos'!$AJ$7:$AJ$200,ROW()-7+1),'_Datos'!$AJ$7:$AJ$200,0),"")</f>
      </c>
    </row>
    <row r="73">
      <c r="B73" s="204">
        <f>IF($P73="","",INDEX('_Datos'!$AB$7:$AB$200,$P73))</f>
      </c>
      <c r="C73" s="204">
        <f>IF($P73="","",INDEX('_Datos'!$AE$7:$AE$200,$P73))</f>
      </c>
      <c r="D73" s="205">
        <f>IF($P73="","",INDEX('_Datos'!$F$7:$F$200,$P73))</f>
      </c>
      <c r="E73" s="205">
        <f>IF($P73="","",INDEX('_Datos'!$G$7:$G$200,$P73))</f>
      </c>
      <c r="F73" s="207">
        <f>IF($P73="","",INDEX('_Datos'!$H$7:$H$200,$P73))</f>
      </c>
      <c r="G73" s="204">
        <f>IF($P73="","",INDEX('_Datos'!$J$7:$J$200,$P73))</f>
      </c>
      <c r="H73" s="209">
        <f>IF($P73="","",INDEX('_Datos'!$K$7:$K$200,$P73))</f>
      </c>
      <c r="I73" s="209">
        <f>IF($P73="","",INDEX('_Datos'!$S$7:$S$200,$P73))</f>
      </c>
      <c r="J73" s="209">
        <f>IF($P73="","",INDEX('_Datos'!$T$7:$T$200,$P73))</f>
      </c>
      <c r="K73" s="208">
        <f>IF($P73="","",INDEX('_Datos'!$V$7:$V$200,$P73))</f>
      </c>
      <c r="L73" s="209">
        <f>IF($P73="","",INDEX('_Datos'!$W$7:$W$200,$P73))</f>
      </c>
      <c r="M73" s="205">
        <f>IF($P73="","",INDEX('_Datos'!$AC$7:$AC$200,$P73))</f>
      </c>
      <c r="P73" s="202">
        <f>IFERROR(MATCH(LARGE('_Datos'!$AJ$7:$AJ$200,ROW()-7+1),'_Datos'!$AJ$7:$AJ$200,0),"")</f>
      </c>
    </row>
    <row r="74">
      <c r="B74" s="204">
        <f>IF($P74="","",INDEX('_Datos'!$AB$7:$AB$200,$P74))</f>
      </c>
      <c r="C74" s="204">
        <f>IF($P74="","",INDEX('_Datos'!$AE$7:$AE$200,$P74))</f>
      </c>
      <c r="D74" s="205">
        <f>IF($P74="","",INDEX('_Datos'!$F$7:$F$200,$P74))</f>
      </c>
      <c r="E74" s="205">
        <f>IF($P74="","",INDEX('_Datos'!$G$7:$G$200,$P74))</f>
      </c>
      <c r="F74" s="207">
        <f>IF($P74="","",INDEX('_Datos'!$H$7:$H$200,$P74))</f>
      </c>
      <c r="G74" s="204">
        <f>IF($P74="","",INDEX('_Datos'!$J$7:$J$200,$P74))</f>
      </c>
      <c r="H74" s="209">
        <f>IF($P74="","",INDEX('_Datos'!$K$7:$K$200,$P74))</f>
      </c>
      <c r="I74" s="209">
        <f>IF($P74="","",INDEX('_Datos'!$S$7:$S$200,$P74))</f>
      </c>
      <c r="J74" s="209">
        <f>IF($P74="","",INDEX('_Datos'!$T$7:$T$200,$P74))</f>
      </c>
      <c r="K74" s="208">
        <f>IF($P74="","",INDEX('_Datos'!$V$7:$V$200,$P74))</f>
      </c>
      <c r="L74" s="209">
        <f>IF($P74="","",INDEX('_Datos'!$W$7:$W$200,$P74))</f>
      </c>
      <c r="M74" s="205">
        <f>IF($P74="","",INDEX('_Datos'!$AC$7:$AC$200,$P74))</f>
      </c>
      <c r="P74" s="202">
        <f>IFERROR(MATCH(LARGE('_Datos'!$AJ$7:$AJ$200,ROW()-7+1),'_Datos'!$AJ$7:$AJ$200,0),"")</f>
      </c>
    </row>
    <row r="75">
      <c r="B75" s="204">
        <f>IF($P75="","",INDEX('_Datos'!$AB$7:$AB$200,$P75))</f>
      </c>
      <c r="C75" s="204">
        <f>IF($P75="","",INDEX('_Datos'!$AE$7:$AE$200,$P75))</f>
      </c>
      <c r="D75" s="205">
        <f>IF($P75="","",INDEX('_Datos'!$F$7:$F$200,$P75))</f>
      </c>
      <c r="E75" s="205">
        <f>IF($P75="","",INDEX('_Datos'!$G$7:$G$200,$P75))</f>
      </c>
      <c r="F75" s="207">
        <f>IF($P75="","",INDEX('_Datos'!$H$7:$H$200,$P75))</f>
      </c>
      <c r="G75" s="204">
        <f>IF($P75="","",INDEX('_Datos'!$J$7:$J$200,$P75))</f>
      </c>
      <c r="H75" s="209">
        <f>IF($P75="","",INDEX('_Datos'!$K$7:$K$200,$P75))</f>
      </c>
      <c r="I75" s="209">
        <f>IF($P75="","",INDEX('_Datos'!$S$7:$S$200,$P75))</f>
      </c>
      <c r="J75" s="209">
        <f>IF($P75="","",INDEX('_Datos'!$T$7:$T$200,$P75))</f>
      </c>
      <c r="K75" s="208">
        <f>IF($P75="","",INDEX('_Datos'!$V$7:$V$200,$P75))</f>
      </c>
      <c r="L75" s="209">
        <f>IF($P75="","",INDEX('_Datos'!$W$7:$W$200,$P75))</f>
      </c>
      <c r="M75" s="205">
        <f>IF($P75="","",INDEX('_Datos'!$AC$7:$AC$200,$P75))</f>
      </c>
      <c r="P75" s="202">
        <f>IFERROR(MATCH(LARGE('_Datos'!$AJ$7:$AJ$200,ROW()-7+1),'_Datos'!$AJ$7:$AJ$200,0),"")</f>
      </c>
    </row>
    <row r="76">
      <c r="B76" s="204">
        <f>IF($P76="","",INDEX('_Datos'!$AB$7:$AB$200,$P76))</f>
      </c>
      <c r="C76" s="204">
        <f>IF($P76="","",INDEX('_Datos'!$AE$7:$AE$200,$P76))</f>
      </c>
      <c r="D76" s="205">
        <f>IF($P76="","",INDEX('_Datos'!$F$7:$F$200,$P76))</f>
      </c>
      <c r="E76" s="205">
        <f>IF($P76="","",INDEX('_Datos'!$G$7:$G$200,$P76))</f>
      </c>
      <c r="F76" s="207">
        <f>IF($P76="","",INDEX('_Datos'!$H$7:$H$200,$P76))</f>
      </c>
      <c r="G76" s="204">
        <f>IF($P76="","",INDEX('_Datos'!$J$7:$J$200,$P76))</f>
      </c>
      <c r="H76" s="209">
        <f>IF($P76="","",INDEX('_Datos'!$K$7:$K$200,$P76))</f>
      </c>
      <c r="I76" s="209">
        <f>IF($P76="","",INDEX('_Datos'!$S$7:$S$200,$P76))</f>
      </c>
      <c r="J76" s="209">
        <f>IF($P76="","",INDEX('_Datos'!$T$7:$T$200,$P76))</f>
      </c>
      <c r="K76" s="208">
        <f>IF($P76="","",INDEX('_Datos'!$V$7:$V$200,$P76))</f>
      </c>
      <c r="L76" s="209">
        <f>IF($P76="","",INDEX('_Datos'!$W$7:$W$200,$P76))</f>
      </c>
      <c r="M76" s="205">
        <f>IF($P76="","",INDEX('_Datos'!$AC$7:$AC$200,$P76))</f>
      </c>
      <c r="P76" s="202">
        <f>IFERROR(MATCH(LARGE('_Datos'!$AJ$7:$AJ$200,ROW()-7+1),'_Datos'!$AJ$7:$AJ$200,0),"")</f>
      </c>
    </row>
    <row r="77">
      <c r="B77" s="204">
        <f>IF($P77="","",INDEX('_Datos'!$AB$7:$AB$200,$P77))</f>
      </c>
      <c r="C77" s="204">
        <f>IF($P77="","",INDEX('_Datos'!$AE$7:$AE$200,$P77))</f>
      </c>
      <c r="D77" s="205">
        <f>IF($P77="","",INDEX('_Datos'!$F$7:$F$200,$P77))</f>
      </c>
      <c r="E77" s="205">
        <f>IF($P77="","",INDEX('_Datos'!$G$7:$G$200,$P77))</f>
      </c>
      <c r="F77" s="207">
        <f>IF($P77="","",INDEX('_Datos'!$H$7:$H$200,$P77))</f>
      </c>
      <c r="G77" s="204">
        <f>IF($P77="","",INDEX('_Datos'!$J$7:$J$200,$P77))</f>
      </c>
      <c r="H77" s="209">
        <f>IF($P77="","",INDEX('_Datos'!$K$7:$K$200,$P77))</f>
      </c>
      <c r="I77" s="209">
        <f>IF($P77="","",INDEX('_Datos'!$S$7:$S$200,$P77))</f>
      </c>
      <c r="J77" s="209">
        <f>IF($P77="","",INDEX('_Datos'!$T$7:$T$200,$P77))</f>
      </c>
      <c r="K77" s="208">
        <f>IF($P77="","",INDEX('_Datos'!$V$7:$V$200,$P77))</f>
      </c>
      <c r="L77" s="209">
        <f>IF($P77="","",INDEX('_Datos'!$W$7:$W$200,$P77))</f>
      </c>
      <c r="M77" s="205">
        <f>IF($P77="","",INDEX('_Datos'!$AC$7:$AC$200,$P77))</f>
      </c>
      <c r="P77" s="202">
        <f>IFERROR(MATCH(LARGE('_Datos'!$AJ$7:$AJ$200,ROW()-7+1),'_Datos'!$AJ$7:$AJ$200,0),"")</f>
      </c>
    </row>
    <row r="78">
      <c r="B78" s="204">
        <f>IF($P78="","",INDEX('_Datos'!$AB$7:$AB$200,$P78))</f>
      </c>
      <c r="C78" s="204">
        <f>IF($P78="","",INDEX('_Datos'!$AE$7:$AE$200,$P78))</f>
      </c>
      <c r="D78" s="205">
        <f>IF($P78="","",INDEX('_Datos'!$F$7:$F$200,$P78))</f>
      </c>
      <c r="E78" s="205">
        <f>IF($P78="","",INDEX('_Datos'!$G$7:$G$200,$P78))</f>
      </c>
      <c r="F78" s="207">
        <f>IF($P78="","",INDEX('_Datos'!$H$7:$H$200,$P78))</f>
      </c>
      <c r="G78" s="204">
        <f>IF($P78="","",INDEX('_Datos'!$J$7:$J$200,$P78))</f>
      </c>
      <c r="H78" s="209">
        <f>IF($P78="","",INDEX('_Datos'!$K$7:$K$200,$P78))</f>
      </c>
      <c r="I78" s="209">
        <f>IF($P78="","",INDEX('_Datos'!$S$7:$S$200,$P78))</f>
      </c>
      <c r="J78" s="209">
        <f>IF($P78="","",INDEX('_Datos'!$T$7:$T$200,$P78))</f>
      </c>
      <c r="K78" s="208">
        <f>IF($P78="","",INDEX('_Datos'!$V$7:$V$200,$P78))</f>
      </c>
      <c r="L78" s="209">
        <f>IF($P78="","",INDEX('_Datos'!$W$7:$W$200,$P78))</f>
      </c>
      <c r="M78" s="205">
        <f>IF($P78="","",INDEX('_Datos'!$AC$7:$AC$200,$P78))</f>
      </c>
      <c r="P78" s="202">
        <f>IFERROR(MATCH(LARGE('_Datos'!$AJ$7:$AJ$200,ROW()-7+1),'_Datos'!$AJ$7:$AJ$200,0),"")</f>
      </c>
    </row>
    <row r="79">
      <c r="B79" s="204">
        <f>IF($P79="","",INDEX('_Datos'!$AB$7:$AB$200,$P79))</f>
      </c>
      <c r="C79" s="204">
        <f>IF($P79="","",INDEX('_Datos'!$AE$7:$AE$200,$P79))</f>
      </c>
      <c r="D79" s="205">
        <f>IF($P79="","",INDEX('_Datos'!$F$7:$F$200,$P79))</f>
      </c>
      <c r="E79" s="205">
        <f>IF($P79="","",INDEX('_Datos'!$G$7:$G$200,$P79))</f>
      </c>
      <c r="F79" s="207">
        <f>IF($P79="","",INDEX('_Datos'!$H$7:$H$200,$P79))</f>
      </c>
      <c r="G79" s="204">
        <f>IF($P79="","",INDEX('_Datos'!$J$7:$J$200,$P79))</f>
      </c>
      <c r="H79" s="209">
        <f>IF($P79="","",INDEX('_Datos'!$K$7:$K$200,$P79))</f>
      </c>
      <c r="I79" s="209">
        <f>IF($P79="","",INDEX('_Datos'!$S$7:$S$200,$P79))</f>
      </c>
      <c r="J79" s="209">
        <f>IF($P79="","",INDEX('_Datos'!$T$7:$T$200,$P79))</f>
      </c>
      <c r="K79" s="208">
        <f>IF($P79="","",INDEX('_Datos'!$V$7:$V$200,$P79))</f>
      </c>
      <c r="L79" s="209">
        <f>IF($P79="","",INDEX('_Datos'!$W$7:$W$200,$P79))</f>
      </c>
      <c r="M79" s="205">
        <f>IF($P79="","",INDEX('_Datos'!$AC$7:$AC$200,$P79))</f>
      </c>
      <c r="P79" s="202">
        <f>IFERROR(MATCH(LARGE('_Datos'!$AJ$7:$AJ$200,ROW()-7+1),'_Datos'!$AJ$7:$AJ$200,0),"")</f>
      </c>
    </row>
    <row r="80">
      <c r="B80" s="204">
        <f>IF($P80="","",INDEX('_Datos'!$AB$7:$AB$200,$P80))</f>
      </c>
      <c r="C80" s="204">
        <f>IF($P80="","",INDEX('_Datos'!$AE$7:$AE$200,$P80))</f>
      </c>
      <c r="D80" s="205">
        <f>IF($P80="","",INDEX('_Datos'!$F$7:$F$200,$P80))</f>
      </c>
      <c r="E80" s="205">
        <f>IF($P80="","",INDEX('_Datos'!$G$7:$G$200,$P80))</f>
      </c>
      <c r="F80" s="207">
        <f>IF($P80="","",INDEX('_Datos'!$H$7:$H$200,$P80))</f>
      </c>
      <c r="G80" s="204">
        <f>IF($P80="","",INDEX('_Datos'!$J$7:$J$200,$P80))</f>
      </c>
      <c r="H80" s="209">
        <f>IF($P80="","",INDEX('_Datos'!$K$7:$K$200,$P80))</f>
      </c>
      <c r="I80" s="209">
        <f>IF($P80="","",INDEX('_Datos'!$S$7:$S$200,$P80))</f>
      </c>
      <c r="J80" s="209">
        <f>IF($P80="","",INDEX('_Datos'!$T$7:$T$200,$P80))</f>
      </c>
      <c r="K80" s="208">
        <f>IF($P80="","",INDEX('_Datos'!$V$7:$V$200,$P80))</f>
      </c>
      <c r="L80" s="209">
        <f>IF($P80="","",INDEX('_Datos'!$W$7:$W$200,$P80))</f>
      </c>
      <c r="M80" s="205">
        <f>IF($P80="","",INDEX('_Datos'!$AC$7:$AC$200,$P80))</f>
      </c>
      <c r="P80" s="202">
        <f>IFERROR(MATCH(LARGE('_Datos'!$AJ$7:$AJ$200,ROW()-7+1),'_Datos'!$AJ$7:$AJ$200,0),"")</f>
      </c>
    </row>
    <row r="81">
      <c r="B81" s="204">
        <f>IF($P81="","",INDEX('_Datos'!$AB$7:$AB$200,$P81))</f>
      </c>
      <c r="C81" s="204">
        <f>IF($P81="","",INDEX('_Datos'!$AE$7:$AE$200,$P81))</f>
      </c>
      <c r="D81" s="205">
        <f>IF($P81="","",INDEX('_Datos'!$F$7:$F$200,$P81))</f>
      </c>
      <c r="E81" s="205">
        <f>IF($P81="","",INDEX('_Datos'!$G$7:$G$200,$P81))</f>
      </c>
      <c r="F81" s="207">
        <f>IF($P81="","",INDEX('_Datos'!$H$7:$H$200,$P81))</f>
      </c>
      <c r="G81" s="204">
        <f>IF($P81="","",INDEX('_Datos'!$J$7:$J$200,$P81))</f>
      </c>
      <c r="H81" s="209">
        <f>IF($P81="","",INDEX('_Datos'!$K$7:$K$200,$P81))</f>
      </c>
      <c r="I81" s="209">
        <f>IF($P81="","",INDEX('_Datos'!$S$7:$S$200,$P81))</f>
      </c>
      <c r="J81" s="209">
        <f>IF($P81="","",INDEX('_Datos'!$T$7:$T$200,$P81))</f>
      </c>
      <c r="K81" s="208">
        <f>IF($P81="","",INDEX('_Datos'!$V$7:$V$200,$P81))</f>
      </c>
      <c r="L81" s="209">
        <f>IF($P81="","",INDEX('_Datos'!$W$7:$W$200,$P81))</f>
      </c>
      <c r="M81" s="205">
        <f>IF($P81="","",INDEX('_Datos'!$AC$7:$AC$200,$P81))</f>
      </c>
      <c r="P81" s="202">
        <f>IFERROR(MATCH(LARGE('_Datos'!$AJ$7:$AJ$200,ROW()-7+1),'_Datos'!$AJ$7:$AJ$200,0),"")</f>
      </c>
    </row>
    <row r="82">
      <c r="B82" s="204">
        <f>IF($P82="","",INDEX('_Datos'!$AB$7:$AB$200,$P82))</f>
      </c>
      <c r="C82" s="204">
        <f>IF($P82="","",INDEX('_Datos'!$AE$7:$AE$200,$P82))</f>
      </c>
      <c r="D82" s="205">
        <f>IF($P82="","",INDEX('_Datos'!$F$7:$F$200,$P82))</f>
      </c>
      <c r="E82" s="205">
        <f>IF($P82="","",INDEX('_Datos'!$G$7:$G$200,$P82))</f>
      </c>
      <c r="F82" s="207">
        <f>IF($P82="","",INDEX('_Datos'!$H$7:$H$200,$P82))</f>
      </c>
      <c r="G82" s="204">
        <f>IF($P82="","",INDEX('_Datos'!$J$7:$J$200,$P82))</f>
      </c>
      <c r="H82" s="209">
        <f>IF($P82="","",INDEX('_Datos'!$K$7:$K$200,$P82))</f>
      </c>
      <c r="I82" s="209">
        <f>IF($P82="","",INDEX('_Datos'!$S$7:$S$200,$P82))</f>
      </c>
      <c r="J82" s="209">
        <f>IF($P82="","",INDEX('_Datos'!$T$7:$T$200,$P82))</f>
      </c>
      <c r="K82" s="208">
        <f>IF($P82="","",INDEX('_Datos'!$V$7:$V$200,$P82))</f>
      </c>
      <c r="L82" s="209">
        <f>IF($P82="","",INDEX('_Datos'!$W$7:$W$200,$P82))</f>
      </c>
      <c r="M82" s="205">
        <f>IF($P82="","",INDEX('_Datos'!$AC$7:$AC$200,$P82))</f>
      </c>
      <c r="P82" s="202">
        <f>IFERROR(MATCH(LARGE('_Datos'!$AJ$7:$AJ$200,ROW()-7+1),'_Datos'!$AJ$7:$AJ$200,0),"")</f>
      </c>
    </row>
    <row r="83">
      <c r="B83" s="204">
        <f>IF($P83="","",INDEX('_Datos'!$AB$7:$AB$200,$P83))</f>
      </c>
      <c r="C83" s="204">
        <f>IF($P83="","",INDEX('_Datos'!$AE$7:$AE$200,$P83))</f>
      </c>
      <c r="D83" s="205">
        <f>IF($P83="","",INDEX('_Datos'!$F$7:$F$200,$P83))</f>
      </c>
      <c r="E83" s="205">
        <f>IF($P83="","",INDEX('_Datos'!$G$7:$G$200,$P83))</f>
      </c>
      <c r="F83" s="207">
        <f>IF($P83="","",INDEX('_Datos'!$H$7:$H$200,$P83))</f>
      </c>
      <c r="G83" s="204">
        <f>IF($P83="","",INDEX('_Datos'!$J$7:$J$200,$P83))</f>
      </c>
      <c r="H83" s="209">
        <f>IF($P83="","",INDEX('_Datos'!$K$7:$K$200,$P83))</f>
      </c>
      <c r="I83" s="209">
        <f>IF($P83="","",INDEX('_Datos'!$S$7:$S$200,$P83))</f>
      </c>
      <c r="J83" s="209">
        <f>IF($P83="","",INDEX('_Datos'!$T$7:$T$200,$P83))</f>
      </c>
      <c r="K83" s="208">
        <f>IF($P83="","",INDEX('_Datos'!$V$7:$V$200,$P83))</f>
      </c>
      <c r="L83" s="209">
        <f>IF($P83="","",INDEX('_Datos'!$W$7:$W$200,$P83))</f>
      </c>
      <c r="M83" s="205">
        <f>IF($P83="","",INDEX('_Datos'!$AC$7:$AC$200,$P83))</f>
      </c>
      <c r="P83" s="202">
        <f>IFERROR(MATCH(LARGE('_Datos'!$AJ$7:$AJ$200,ROW()-7+1),'_Datos'!$AJ$7:$AJ$200,0),"")</f>
      </c>
    </row>
    <row r="84">
      <c r="B84" s="204">
        <f>IF($P84="","",INDEX('_Datos'!$AB$7:$AB$200,$P84))</f>
      </c>
      <c r="C84" s="204">
        <f>IF($P84="","",INDEX('_Datos'!$AE$7:$AE$200,$P84))</f>
      </c>
      <c r="D84" s="205">
        <f>IF($P84="","",INDEX('_Datos'!$F$7:$F$200,$P84))</f>
      </c>
      <c r="E84" s="205">
        <f>IF($P84="","",INDEX('_Datos'!$G$7:$G$200,$P84))</f>
      </c>
      <c r="F84" s="207">
        <f>IF($P84="","",INDEX('_Datos'!$H$7:$H$200,$P84))</f>
      </c>
      <c r="G84" s="204">
        <f>IF($P84="","",INDEX('_Datos'!$J$7:$J$200,$P84))</f>
      </c>
      <c r="H84" s="209">
        <f>IF($P84="","",INDEX('_Datos'!$K$7:$K$200,$P84))</f>
      </c>
      <c r="I84" s="209">
        <f>IF($P84="","",INDEX('_Datos'!$S$7:$S$200,$P84))</f>
      </c>
      <c r="J84" s="209">
        <f>IF($P84="","",INDEX('_Datos'!$T$7:$T$200,$P84))</f>
      </c>
      <c r="K84" s="208">
        <f>IF($P84="","",INDEX('_Datos'!$V$7:$V$200,$P84))</f>
      </c>
      <c r="L84" s="209">
        <f>IF($P84="","",INDEX('_Datos'!$W$7:$W$200,$P84))</f>
      </c>
      <c r="M84" s="205">
        <f>IF($P84="","",INDEX('_Datos'!$AC$7:$AC$200,$P84))</f>
      </c>
      <c r="P84" s="202">
        <f>IFERROR(MATCH(LARGE('_Datos'!$AJ$7:$AJ$200,ROW()-7+1),'_Datos'!$AJ$7:$AJ$200,0),"")</f>
      </c>
    </row>
    <row r="85">
      <c r="B85" s="204">
        <f>IF($P85="","",INDEX('_Datos'!$AB$7:$AB$200,$P85))</f>
      </c>
      <c r="C85" s="204">
        <f>IF($P85="","",INDEX('_Datos'!$AE$7:$AE$200,$P85))</f>
      </c>
      <c r="D85" s="205">
        <f>IF($P85="","",INDEX('_Datos'!$F$7:$F$200,$P85))</f>
      </c>
      <c r="E85" s="205">
        <f>IF($P85="","",INDEX('_Datos'!$G$7:$G$200,$P85))</f>
      </c>
      <c r="F85" s="207">
        <f>IF($P85="","",INDEX('_Datos'!$H$7:$H$200,$P85))</f>
      </c>
      <c r="G85" s="204">
        <f>IF($P85="","",INDEX('_Datos'!$J$7:$J$200,$P85))</f>
      </c>
      <c r="H85" s="209">
        <f>IF($P85="","",INDEX('_Datos'!$K$7:$K$200,$P85))</f>
      </c>
      <c r="I85" s="209">
        <f>IF($P85="","",INDEX('_Datos'!$S$7:$S$200,$P85))</f>
      </c>
      <c r="J85" s="209">
        <f>IF($P85="","",INDEX('_Datos'!$T$7:$T$200,$P85))</f>
      </c>
      <c r="K85" s="208">
        <f>IF($P85="","",INDEX('_Datos'!$V$7:$V$200,$P85))</f>
      </c>
      <c r="L85" s="209">
        <f>IF($P85="","",INDEX('_Datos'!$W$7:$W$200,$P85))</f>
      </c>
      <c r="M85" s="205">
        <f>IF($P85="","",INDEX('_Datos'!$AC$7:$AC$200,$P85))</f>
      </c>
      <c r="P85" s="202">
        <f>IFERROR(MATCH(LARGE('_Datos'!$AJ$7:$AJ$200,ROW()-7+1),'_Datos'!$AJ$7:$AJ$200,0),"")</f>
      </c>
    </row>
    <row r="86">
      <c r="B86" s="204">
        <f>IF($P86="","",INDEX('_Datos'!$AB$7:$AB$200,$P86))</f>
      </c>
      <c r="C86" s="204">
        <f>IF($P86="","",INDEX('_Datos'!$AE$7:$AE$200,$P86))</f>
      </c>
      <c r="D86" s="205">
        <f>IF($P86="","",INDEX('_Datos'!$F$7:$F$200,$P86))</f>
      </c>
      <c r="E86" s="205">
        <f>IF($P86="","",INDEX('_Datos'!$G$7:$G$200,$P86))</f>
      </c>
      <c r="F86" s="207">
        <f>IF($P86="","",INDEX('_Datos'!$H$7:$H$200,$P86))</f>
      </c>
      <c r="G86" s="204">
        <f>IF($P86="","",INDEX('_Datos'!$J$7:$J$200,$P86))</f>
      </c>
      <c r="H86" s="209">
        <f>IF($P86="","",INDEX('_Datos'!$K$7:$K$200,$P86))</f>
      </c>
      <c r="I86" s="209">
        <f>IF($P86="","",INDEX('_Datos'!$S$7:$S$200,$P86))</f>
      </c>
      <c r="J86" s="209">
        <f>IF($P86="","",INDEX('_Datos'!$T$7:$T$200,$P86))</f>
      </c>
      <c r="K86" s="208">
        <f>IF($P86="","",INDEX('_Datos'!$V$7:$V$200,$P86))</f>
      </c>
      <c r="L86" s="209">
        <f>IF($P86="","",INDEX('_Datos'!$W$7:$W$200,$P86))</f>
      </c>
      <c r="M86" s="205">
        <f>IF($P86="","",INDEX('_Datos'!$AC$7:$AC$200,$P86))</f>
      </c>
      <c r="P86" s="202">
        <f>IFERROR(MATCH(LARGE('_Datos'!$AJ$7:$AJ$200,ROW()-7+1),'_Datos'!$AJ$7:$AJ$200,0),"")</f>
      </c>
    </row>
    <row r="87">
      <c r="B87" s="204">
        <f>IF($P87="","",INDEX('_Datos'!$AB$7:$AB$200,$P87))</f>
      </c>
      <c r="C87" s="204">
        <f>IF($P87="","",INDEX('_Datos'!$AE$7:$AE$200,$P87))</f>
      </c>
      <c r="D87" s="205">
        <f>IF($P87="","",INDEX('_Datos'!$F$7:$F$200,$P87))</f>
      </c>
      <c r="E87" s="205">
        <f>IF($P87="","",INDEX('_Datos'!$G$7:$G$200,$P87))</f>
      </c>
      <c r="F87" s="207">
        <f>IF($P87="","",INDEX('_Datos'!$H$7:$H$200,$P87))</f>
      </c>
      <c r="G87" s="204">
        <f>IF($P87="","",INDEX('_Datos'!$J$7:$J$200,$P87))</f>
      </c>
      <c r="H87" s="209">
        <f>IF($P87="","",INDEX('_Datos'!$K$7:$K$200,$P87))</f>
      </c>
      <c r="I87" s="209">
        <f>IF($P87="","",INDEX('_Datos'!$S$7:$S$200,$P87))</f>
      </c>
      <c r="J87" s="209">
        <f>IF($P87="","",INDEX('_Datos'!$T$7:$T$200,$P87))</f>
      </c>
      <c r="K87" s="208">
        <f>IF($P87="","",INDEX('_Datos'!$V$7:$V$200,$P87))</f>
      </c>
      <c r="L87" s="209">
        <f>IF($P87="","",INDEX('_Datos'!$W$7:$W$200,$P87))</f>
      </c>
      <c r="M87" s="205">
        <f>IF($P87="","",INDEX('_Datos'!$AC$7:$AC$200,$P87))</f>
      </c>
      <c r="P87" s="202">
        <f>IFERROR(MATCH(LARGE('_Datos'!$AJ$7:$AJ$200,ROW()-7+1),'_Datos'!$AJ$7:$AJ$200,0),"")</f>
      </c>
    </row>
    <row r="88">
      <c r="B88" s="204">
        <f>IF($P88="","",INDEX('_Datos'!$AB$7:$AB$200,$P88))</f>
      </c>
      <c r="C88" s="204">
        <f>IF($P88="","",INDEX('_Datos'!$AE$7:$AE$200,$P88))</f>
      </c>
      <c r="D88" s="205">
        <f>IF($P88="","",INDEX('_Datos'!$F$7:$F$200,$P88))</f>
      </c>
      <c r="E88" s="205">
        <f>IF($P88="","",INDEX('_Datos'!$G$7:$G$200,$P88))</f>
      </c>
      <c r="F88" s="207">
        <f>IF($P88="","",INDEX('_Datos'!$H$7:$H$200,$P88))</f>
      </c>
      <c r="G88" s="204">
        <f>IF($P88="","",INDEX('_Datos'!$J$7:$J$200,$P88))</f>
      </c>
      <c r="H88" s="209">
        <f>IF($P88="","",INDEX('_Datos'!$K$7:$K$200,$P88))</f>
      </c>
      <c r="I88" s="209">
        <f>IF($P88="","",INDEX('_Datos'!$S$7:$S$200,$P88))</f>
      </c>
      <c r="J88" s="209">
        <f>IF($P88="","",INDEX('_Datos'!$T$7:$T$200,$P88))</f>
      </c>
      <c r="K88" s="208">
        <f>IF($P88="","",INDEX('_Datos'!$V$7:$V$200,$P88))</f>
      </c>
      <c r="L88" s="209">
        <f>IF($P88="","",INDEX('_Datos'!$W$7:$W$200,$P88))</f>
      </c>
      <c r="M88" s="205">
        <f>IF($P88="","",INDEX('_Datos'!$AC$7:$AC$200,$P88))</f>
      </c>
      <c r="P88" s="202">
        <f>IFERROR(MATCH(LARGE('_Datos'!$AJ$7:$AJ$200,ROW()-7+1),'_Datos'!$AJ$7:$AJ$200,0),"")</f>
      </c>
    </row>
    <row r="89">
      <c r="B89" s="204">
        <f>IF($P89="","",INDEX('_Datos'!$AB$7:$AB$200,$P89))</f>
      </c>
      <c r="C89" s="204">
        <f>IF($P89="","",INDEX('_Datos'!$AE$7:$AE$200,$P89))</f>
      </c>
      <c r="D89" s="205">
        <f>IF($P89="","",INDEX('_Datos'!$F$7:$F$200,$P89))</f>
      </c>
      <c r="E89" s="205">
        <f>IF($P89="","",INDEX('_Datos'!$G$7:$G$200,$P89))</f>
      </c>
      <c r="F89" s="207">
        <f>IF($P89="","",INDEX('_Datos'!$H$7:$H$200,$P89))</f>
      </c>
      <c r="G89" s="204">
        <f>IF($P89="","",INDEX('_Datos'!$J$7:$J$200,$P89))</f>
      </c>
      <c r="H89" s="209">
        <f>IF($P89="","",INDEX('_Datos'!$K$7:$K$200,$P89))</f>
      </c>
      <c r="I89" s="209">
        <f>IF($P89="","",INDEX('_Datos'!$S$7:$S$200,$P89))</f>
      </c>
      <c r="J89" s="209">
        <f>IF($P89="","",INDEX('_Datos'!$T$7:$T$200,$P89))</f>
      </c>
      <c r="K89" s="208">
        <f>IF($P89="","",INDEX('_Datos'!$V$7:$V$200,$P89))</f>
      </c>
      <c r="L89" s="209">
        <f>IF($P89="","",INDEX('_Datos'!$W$7:$W$200,$P89))</f>
      </c>
      <c r="M89" s="205">
        <f>IF($P89="","",INDEX('_Datos'!$AC$7:$AC$200,$P89))</f>
      </c>
      <c r="P89" s="202">
        <f>IFERROR(MATCH(LARGE('_Datos'!$AJ$7:$AJ$200,ROW()-7+1),'_Datos'!$AJ$7:$AJ$200,0),"")</f>
      </c>
    </row>
    <row r="90">
      <c r="B90" s="204">
        <f>IF($P90="","",INDEX('_Datos'!$AB$7:$AB$200,$P90))</f>
      </c>
      <c r="C90" s="204">
        <f>IF($P90="","",INDEX('_Datos'!$AE$7:$AE$200,$P90))</f>
      </c>
      <c r="D90" s="205">
        <f>IF($P90="","",INDEX('_Datos'!$F$7:$F$200,$P90))</f>
      </c>
      <c r="E90" s="205">
        <f>IF($P90="","",INDEX('_Datos'!$G$7:$G$200,$P90))</f>
      </c>
      <c r="F90" s="207">
        <f>IF($P90="","",INDEX('_Datos'!$H$7:$H$200,$P90))</f>
      </c>
      <c r="G90" s="204">
        <f>IF($P90="","",INDEX('_Datos'!$J$7:$J$200,$P90))</f>
      </c>
      <c r="H90" s="209">
        <f>IF($P90="","",INDEX('_Datos'!$K$7:$K$200,$P90))</f>
      </c>
      <c r="I90" s="209">
        <f>IF($P90="","",INDEX('_Datos'!$S$7:$S$200,$P90))</f>
      </c>
      <c r="J90" s="209">
        <f>IF($P90="","",INDEX('_Datos'!$T$7:$T$200,$P90))</f>
      </c>
      <c r="K90" s="208">
        <f>IF($P90="","",INDEX('_Datos'!$V$7:$V$200,$P90))</f>
      </c>
      <c r="L90" s="209">
        <f>IF($P90="","",INDEX('_Datos'!$W$7:$W$200,$P90))</f>
      </c>
      <c r="M90" s="205">
        <f>IF($P90="","",INDEX('_Datos'!$AC$7:$AC$200,$P90))</f>
      </c>
      <c r="P90" s="202">
        <f>IFERROR(MATCH(LARGE('_Datos'!$AJ$7:$AJ$200,ROW()-7+1),'_Datos'!$AJ$7:$AJ$200,0),"")</f>
      </c>
    </row>
    <row r="91">
      <c r="B91" s="204">
        <f>IF($P91="","",INDEX('_Datos'!$AB$7:$AB$200,$P91))</f>
      </c>
      <c r="C91" s="204">
        <f>IF($P91="","",INDEX('_Datos'!$AE$7:$AE$200,$P91))</f>
      </c>
      <c r="D91" s="205">
        <f>IF($P91="","",INDEX('_Datos'!$F$7:$F$200,$P91))</f>
      </c>
      <c r="E91" s="205">
        <f>IF($P91="","",INDEX('_Datos'!$G$7:$G$200,$P91))</f>
      </c>
      <c r="F91" s="207">
        <f>IF($P91="","",INDEX('_Datos'!$H$7:$H$200,$P91))</f>
      </c>
      <c r="G91" s="204">
        <f>IF($P91="","",INDEX('_Datos'!$J$7:$J$200,$P91))</f>
      </c>
      <c r="H91" s="209">
        <f>IF($P91="","",INDEX('_Datos'!$K$7:$K$200,$P91))</f>
      </c>
      <c r="I91" s="209">
        <f>IF($P91="","",INDEX('_Datos'!$S$7:$S$200,$P91))</f>
      </c>
      <c r="J91" s="209">
        <f>IF($P91="","",INDEX('_Datos'!$T$7:$T$200,$P91))</f>
      </c>
      <c r="K91" s="208">
        <f>IF($P91="","",INDEX('_Datos'!$V$7:$V$200,$P91))</f>
      </c>
      <c r="L91" s="209">
        <f>IF($P91="","",INDEX('_Datos'!$W$7:$W$200,$P91))</f>
      </c>
      <c r="M91" s="205">
        <f>IF($P91="","",INDEX('_Datos'!$AC$7:$AC$200,$P91))</f>
      </c>
      <c r="P91" s="202">
        <f>IFERROR(MATCH(LARGE('_Datos'!$AJ$7:$AJ$200,ROW()-7+1),'_Datos'!$AJ$7:$AJ$200,0),"")</f>
      </c>
    </row>
    <row r="92">
      <c r="B92" s="204">
        <f>IF($P92="","",INDEX('_Datos'!$AB$7:$AB$200,$P92))</f>
      </c>
      <c r="C92" s="204">
        <f>IF($P92="","",INDEX('_Datos'!$AE$7:$AE$200,$P92))</f>
      </c>
      <c r="D92" s="205">
        <f>IF($P92="","",INDEX('_Datos'!$F$7:$F$200,$P92))</f>
      </c>
      <c r="E92" s="205">
        <f>IF($P92="","",INDEX('_Datos'!$G$7:$G$200,$P92))</f>
      </c>
      <c r="F92" s="207">
        <f>IF($P92="","",INDEX('_Datos'!$H$7:$H$200,$P92))</f>
      </c>
      <c r="G92" s="204">
        <f>IF($P92="","",INDEX('_Datos'!$J$7:$J$200,$P92))</f>
      </c>
      <c r="H92" s="209">
        <f>IF($P92="","",INDEX('_Datos'!$K$7:$K$200,$P92))</f>
      </c>
      <c r="I92" s="209">
        <f>IF($P92="","",INDEX('_Datos'!$S$7:$S$200,$P92))</f>
      </c>
      <c r="J92" s="209">
        <f>IF($P92="","",INDEX('_Datos'!$T$7:$T$200,$P92))</f>
      </c>
      <c r="K92" s="208">
        <f>IF($P92="","",INDEX('_Datos'!$V$7:$V$200,$P92))</f>
      </c>
      <c r="L92" s="209">
        <f>IF($P92="","",INDEX('_Datos'!$W$7:$W$200,$P92))</f>
      </c>
      <c r="M92" s="205">
        <f>IF($P92="","",INDEX('_Datos'!$AC$7:$AC$200,$P92))</f>
      </c>
      <c r="P92" s="202">
        <f>IFERROR(MATCH(LARGE('_Datos'!$AJ$7:$AJ$200,ROW()-7+1),'_Datos'!$AJ$7:$AJ$200,0),"")</f>
      </c>
    </row>
    <row r="93">
      <c r="B93" s="204">
        <f>IF($P93="","",INDEX('_Datos'!$AB$7:$AB$200,$P93))</f>
      </c>
      <c r="C93" s="204">
        <f>IF($P93="","",INDEX('_Datos'!$AE$7:$AE$200,$P93))</f>
      </c>
      <c r="D93" s="205">
        <f>IF($P93="","",INDEX('_Datos'!$F$7:$F$200,$P93))</f>
      </c>
      <c r="E93" s="205">
        <f>IF($P93="","",INDEX('_Datos'!$G$7:$G$200,$P93))</f>
      </c>
      <c r="F93" s="207">
        <f>IF($P93="","",INDEX('_Datos'!$H$7:$H$200,$P93))</f>
      </c>
      <c r="G93" s="204">
        <f>IF($P93="","",INDEX('_Datos'!$J$7:$J$200,$P93))</f>
      </c>
      <c r="H93" s="209">
        <f>IF($P93="","",INDEX('_Datos'!$K$7:$K$200,$P93))</f>
      </c>
      <c r="I93" s="209">
        <f>IF($P93="","",INDEX('_Datos'!$S$7:$S$200,$P93))</f>
      </c>
      <c r="J93" s="209">
        <f>IF($P93="","",INDEX('_Datos'!$T$7:$T$200,$P93))</f>
      </c>
      <c r="K93" s="208">
        <f>IF($P93="","",INDEX('_Datos'!$V$7:$V$200,$P93))</f>
      </c>
      <c r="L93" s="209">
        <f>IF($P93="","",INDEX('_Datos'!$W$7:$W$200,$P93))</f>
      </c>
      <c r="M93" s="205">
        <f>IF($P93="","",INDEX('_Datos'!$AC$7:$AC$200,$P93))</f>
      </c>
      <c r="P93" s="202">
        <f>IFERROR(MATCH(LARGE('_Datos'!$AJ$7:$AJ$200,ROW()-7+1),'_Datos'!$AJ$7:$AJ$200,0),"")</f>
      </c>
    </row>
    <row r="94">
      <c r="B94" s="204">
        <f>IF($P94="","",INDEX('_Datos'!$AB$7:$AB$200,$P94))</f>
      </c>
      <c r="C94" s="204">
        <f>IF($P94="","",INDEX('_Datos'!$AE$7:$AE$200,$P94))</f>
      </c>
      <c r="D94" s="205">
        <f>IF($P94="","",INDEX('_Datos'!$F$7:$F$200,$P94))</f>
      </c>
      <c r="E94" s="205">
        <f>IF($P94="","",INDEX('_Datos'!$G$7:$G$200,$P94))</f>
      </c>
      <c r="F94" s="207">
        <f>IF($P94="","",INDEX('_Datos'!$H$7:$H$200,$P94))</f>
      </c>
      <c r="G94" s="204">
        <f>IF($P94="","",INDEX('_Datos'!$J$7:$J$200,$P94))</f>
      </c>
      <c r="H94" s="209">
        <f>IF($P94="","",INDEX('_Datos'!$K$7:$K$200,$P94))</f>
      </c>
      <c r="I94" s="209">
        <f>IF($P94="","",INDEX('_Datos'!$S$7:$S$200,$P94))</f>
      </c>
      <c r="J94" s="209">
        <f>IF($P94="","",INDEX('_Datos'!$T$7:$T$200,$P94))</f>
      </c>
      <c r="K94" s="208">
        <f>IF($P94="","",INDEX('_Datos'!$V$7:$V$200,$P94))</f>
      </c>
      <c r="L94" s="209">
        <f>IF($P94="","",INDEX('_Datos'!$W$7:$W$200,$P94))</f>
      </c>
      <c r="M94" s="205">
        <f>IF($P94="","",INDEX('_Datos'!$AC$7:$AC$200,$P94))</f>
      </c>
      <c r="P94" s="202">
        <f>IFERROR(MATCH(LARGE('_Datos'!$AJ$7:$AJ$200,ROW()-7+1),'_Datos'!$AJ$7:$AJ$200,0),"")</f>
      </c>
    </row>
    <row r="95">
      <c r="B95" s="204">
        <f>IF($P95="","",INDEX('_Datos'!$AB$7:$AB$200,$P95))</f>
      </c>
      <c r="C95" s="204">
        <f>IF($P95="","",INDEX('_Datos'!$AE$7:$AE$200,$P95))</f>
      </c>
      <c r="D95" s="205">
        <f>IF($P95="","",INDEX('_Datos'!$F$7:$F$200,$P95))</f>
      </c>
      <c r="E95" s="205">
        <f>IF($P95="","",INDEX('_Datos'!$G$7:$G$200,$P95))</f>
      </c>
      <c r="F95" s="207">
        <f>IF($P95="","",INDEX('_Datos'!$H$7:$H$200,$P95))</f>
      </c>
      <c r="G95" s="204">
        <f>IF($P95="","",INDEX('_Datos'!$J$7:$J$200,$P95))</f>
      </c>
      <c r="H95" s="209">
        <f>IF($P95="","",INDEX('_Datos'!$K$7:$K$200,$P95))</f>
      </c>
      <c r="I95" s="209">
        <f>IF($P95="","",INDEX('_Datos'!$S$7:$S$200,$P95))</f>
      </c>
      <c r="J95" s="209">
        <f>IF($P95="","",INDEX('_Datos'!$T$7:$T$200,$P95))</f>
      </c>
      <c r="K95" s="208">
        <f>IF($P95="","",INDEX('_Datos'!$V$7:$V$200,$P95))</f>
      </c>
      <c r="L95" s="209">
        <f>IF($P95="","",INDEX('_Datos'!$W$7:$W$200,$P95))</f>
      </c>
      <c r="M95" s="205">
        <f>IF($P95="","",INDEX('_Datos'!$AC$7:$AC$200,$P95))</f>
      </c>
      <c r="P95" s="202">
        <f>IFERROR(MATCH(LARGE('_Datos'!$AJ$7:$AJ$200,ROW()-7+1),'_Datos'!$AJ$7:$AJ$200,0),"")</f>
      </c>
    </row>
    <row r="96">
      <c r="B96" s="204">
        <f>IF($P96="","",INDEX('_Datos'!$AB$7:$AB$200,$P96))</f>
      </c>
      <c r="C96" s="204">
        <f>IF($P96="","",INDEX('_Datos'!$AE$7:$AE$200,$P96))</f>
      </c>
      <c r="D96" s="205">
        <f>IF($P96="","",INDEX('_Datos'!$F$7:$F$200,$P96))</f>
      </c>
      <c r="E96" s="205">
        <f>IF($P96="","",INDEX('_Datos'!$G$7:$G$200,$P96))</f>
      </c>
      <c r="F96" s="207">
        <f>IF($P96="","",INDEX('_Datos'!$H$7:$H$200,$P96))</f>
      </c>
      <c r="G96" s="204">
        <f>IF($P96="","",INDEX('_Datos'!$J$7:$J$200,$P96))</f>
      </c>
      <c r="H96" s="209">
        <f>IF($P96="","",INDEX('_Datos'!$K$7:$K$200,$P96))</f>
      </c>
      <c r="I96" s="209">
        <f>IF($P96="","",INDEX('_Datos'!$S$7:$S$200,$P96))</f>
      </c>
      <c r="J96" s="209">
        <f>IF($P96="","",INDEX('_Datos'!$T$7:$T$200,$P96))</f>
      </c>
      <c r="K96" s="208">
        <f>IF($P96="","",INDEX('_Datos'!$V$7:$V$200,$P96))</f>
      </c>
      <c r="L96" s="209">
        <f>IF($P96="","",INDEX('_Datos'!$W$7:$W$200,$P96))</f>
      </c>
      <c r="M96" s="205">
        <f>IF($P96="","",INDEX('_Datos'!$AC$7:$AC$200,$P96))</f>
      </c>
      <c r="P96" s="202">
        <f>IFERROR(MATCH(LARGE('_Datos'!$AJ$7:$AJ$200,ROW()-7+1),'_Datos'!$AJ$7:$AJ$200,0),"")</f>
      </c>
    </row>
    <row r="97">
      <c r="B97" s="204">
        <f>IF($P97="","",INDEX('_Datos'!$AB$7:$AB$200,$P97))</f>
      </c>
      <c r="C97" s="204">
        <f>IF($P97="","",INDEX('_Datos'!$AE$7:$AE$200,$P97))</f>
      </c>
      <c r="D97" s="205">
        <f>IF($P97="","",INDEX('_Datos'!$F$7:$F$200,$P97))</f>
      </c>
      <c r="E97" s="205">
        <f>IF($P97="","",INDEX('_Datos'!$G$7:$G$200,$P97))</f>
      </c>
      <c r="F97" s="207">
        <f>IF($P97="","",INDEX('_Datos'!$H$7:$H$200,$P97))</f>
      </c>
      <c r="G97" s="204">
        <f>IF($P97="","",INDEX('_Datos'!$J$7:$J$200,$P97))</f>
      </c>
      <c r="H97" s="209">
        <f>IF($P97="","",INDEX('_Datos'!$K$7:$K$200,$P97))</f>
      </c>
      <c r="I97" s="209">
        <f>IF($P97="","",INDEX('_Datos'!$S$7:$S$200,$P97))</f>
      </c>
      <c r="J97" s="209">
        <f>IF($P97="","",INDEX('_Datos'!$T$7:$T$200,$P97))</f>
      </c>
      <c r="K97" s="208">
        <f>IF($P97="","",INDEX('_Datos'!$V$7:$V$200,$P97))</f>
      </c>
      <c r="L97" s="209">
        <f>IF($P97="","",INDEX('_Datos'!$W$7:$W$200,$P97))</f>
      </c>
      <c r="M97" s="205">
        <f>IF($P97="","",INDEX('_Datos'!$AC$7:$AC$200,$P97))</f>
      </c>
      <c r="P97" s="202">
        <f>IFERROR(MATCH(LARGE('_Datos'!$AJ$7:$AJ$200,ROW()-7+1),'_Datos'!$AJ$7:$AJ$200,0),"")</f>
      </c>
    </row>
    <row r="98">
      <c r="B98" s="204">
        <f>IF($P98="","",INDEX('_Datos'!$AB$7:$AB$200,$P98))</f>
      </c>
      <c r="C98" s="204">
        <f>IF($P98="","",INDEX('_Datos'!$AE$7:$AE$200,$P98))</f>
      </c>
      <c r="D98" s="205">
        <f>IF($P98="","",INDEX('_Datos'!$F$7:$F$200,$P98))</f>
      </c>
      <c r="E98" s="205">
        <f>IF($P98="","",INDEX('_Datos'!$G$7:$G$200,$P98))</f>
      </c>
      <c r="F98" s="207">
        <f>IF($P98="","",INDEX('_Datos'!$H$7:$H$200,$P98))</f>
      </c>
      <c r="G98" s="204">
        <f>IF($P98="","",INDEX('_Datos'!$J$7:$J$200,$P98))</f>
      </c>
      <c r="H98" s="209">
        <f>IF($P98="","",INDEX('_Datos'!$K$7:$K$200,$P98))</f>
      </c>
      <c r="I98" s="209">
        <f>IF($P98="","",INDEX('_Datos'!$S$7:$S$200,$P98))</f>
      </c>
      <c r="J98" s="209">
        <f>IF($P98="","",INDEX('_Datos'!$T$7:$T$200,$P98))</f>
      </c>
      <c r="K98" s="208">
        <f>IF($P98="","",INDEX('_Datos'!$V$7:$V$200,$P98))</f>
      </c>
      <c r="L98" s="209">
        <f>IF($P98="","",INDEX('_Datos'!$W$7:$W$200,$P98))</f>
      </c>
      <c r="M98" s="205">
        <f>IF($P98="","",INDEX('_Datos'!$AC$7:$AC$200,$P98))</f>
      </c>
      <c r="P98" s="202">
        <f>IFERROR(MATCH(LARGE('_Datos'!$AJ$7:$AJ$200,ROW()-7+1),'_Datos'!$AJ$7:$AJ$200,0),"")</f>
      </c>
    </row>
    <row r="99">
      <c r="B99" s="204">
        <f>IF($P99="","",INDEX('_Datos'!$AB$7:$AB$200,$P99))</f>
      </c>
      <c r="C99" s="204">
        <f>IF($P99="","",INDEX('_Datos'!$AE$7:$AE$200,$P99))</f>
      </c>
      <c r="D99" s="205">
        <f>IF($P99="","",INDEX('_Datos'!$F$7:$F$200,$P99))</f>
      </c>
      <c r="E99" s="205">
        <f>IF($P99="","",INDEX('_Datos'!$G$7:$G$200,$P99))</f>
      </c>
      <c r="F99" s="207">
        <f>IF($P99="","",INDEX('_Datos'!$H$7:$H$200,$P99))</f>
      </c>
      <c r="G99" s="204">
        <f>IF($P99="","",INDEX('_Datos'!$J$7:$J$200,$P99))</f>
      </c>
      <c r="H99" s="209">
        <f>IF($P99="","",INDEX('_Datos'!$K$7:$K$200,$P99))</f>
      </c>
      <c r="I99" s="209">
        <f>IF($P99="","",INDEX('_Datos'!$S$7:$S$200,$P99))</f>
      </c>
      <c r="J99" s="209">
        <f>IF($P99="","",INDEX('_Datos'!$T$7:$T$200,$P99))</f>
      </c>
      <c r="K99" s="208">
        <f>IF($P99="","",INDEX('_Datos'!$V$7:$V$200,$P99))</f>
      </c>
      <c r="L99" s="209">
        <f>IF($P99="","",INDEX('_Datos'!$W$7:$W$200,$P99))</f>
      </c>
      <c r="M99" s="205">
        <f>IF($P99="","",INDEX('_Datos'!$AC$7:$AC$200,$P99))</f>
      </c>
      <c r="P99" s="202">
        <f>IFERROR(MATCH(LARGE('_Datos'!$AJ$7:$AJ$200,ROW()-7+1),'_Datos'!$AJ$7:$AJ$200,0),"")</f>
      </c>
    </row>
    <row r="100">
      <c r="B100" s="204">
        <f>IF($P100="","",INDEX('_Datos'!$AB$7:$AB$200,$P100))</f>
      </c>
      <c r="C100" s="204">
        <f>IF($P100="","",INDEX('_Datos'!$AE$7:$AE$200,$P100))</f>
      </c>
      <c r="D100" s="205">
        <f>IF($P100="","",INDEX('_Datos'!$F$7:$F$200,$P100))</f>
      </c>
      <c r="E100" s="205">
        <f>IF($P100="","",INDEX('_Datos'!$G$7:$G$200,$P100))</f>
      </c>
      <c r="F100" s="207">
        <f>IF($P100="","",INDEX('_Datos'!$H$7:$H$200,$P100))</f>
      </c>
      <c r="G100" s="204">
        <f>IF($P100="","",INDEX('_Datos'!$J$7:$J$200,$P100))</f>
      </c>
      <c r="H100" s="209">
        <f>IF($P100="","",INDEX('_Datos'!$K$7:$K$200,$P100))</f>
      </c>
      <c r="I100" s="209">
        <f>IF($P100="","",INDEX('_Datos'!$S$7:$S$200,$P100))</f>
      </c>
      <c r="J100" s="209">
        <f>IF($P100="","",INDEX('_Datos'!$T$7:$T$200,$P100))</f>
      </c>
      <c r="K100" s="208">
        <f>IF($P100="","",INDEX('_Datos'!$V$7:$V$200,$P100))</f>
      </c>
      <c r="L100" s="209">
        <f>IF($P100="","",INDEX('_Datos'!$W$7:$W$200,$P100))</f>
      </c>
      <c r="M100" s="205">
        <f>IF($P100="","",INDEX('_Datos'!$AC$7:$AC$200,$P100))</f>
      </c>
      <c r="P100" s="202">
        <f>IFERROR(MATCH(LARGE('_Datos'!$AJ$7:$AJ$200,ROW()-7+1),'_Datos'!$AJ$7:$AJ$200,0),"")</f>
      </c>
    </row>
    <row r="101">
      <c r="B101" s="204">
        <f>IF($P101="","",INDEX('_Datos'!$AB$7:$AB$200,$P101))</f>
      </c>
      <c r="C101" s="204">
        <f>IF($P101="","",INDEX('_Datos'!$AE$7:$AE$200,$P101))</f>
      </c>
      <c r="D101" s="205">
        <f>IF($P101="","",INDEX('_Datos'!$F$7:$F$200,$P101))</f>
      </c>
      <c r="E101" s="205">
        <f>IF($P101="","",INDEX('_Datos'!$G$7:$G$200,$P101))</f>
      </c>
      <c r="F101" s="207">
        <f>IF($P101="","",INDEX('_Datos'!$H$7:$H$200,$P101))</f>
      </c>
      <c r="G101" s="204">
        <f>IF($P101="","",INDEX('_Datos'!$J$7:$J$200,$P101))</f>
      </c>
      <c r="H101" s="209">
        <f>IF($P101="","",INDEX('_Datos'!$K$7:$K$200,$P101))</f>
      </c>
      <c r="I101" s="209">
        <f>IF($P101="","",INDEX('_Datos'!$S$7:$S$200,$P101))</f>
      </c>
      <c r="J101" s="209">
        <f>IF($P101="","",INDEX('_Datos'!$T$7:$T$200,$P101))</f>
      </c>
      <c r="K101" s="208">
        <f>IF($P101="","",INDEX('_Datos'!$V$7:$V$200,$P101))</f>
      </c>
      <c r="L101" s="209">
        <f>IF($P101="","",INDEX('_Datos'!$W$7:$W$200,$P101))</f>
      </c>
      <c r="M101" s="205">
        <f>IF($P101="","",INDEX('_Datos'!$AC$7:$AC$200,$P101))</f>
      </c>
      <c r="P101" s="202">
        <f>IFERROR(MATCH(LARGE('_Datos'!$AJ$7:$AJ$200,ROW()-7+1),'_Datos'!$AJ$7:$AJ$200,0),"")</f>
      </c>
    </row>
    <row r="102">
      <c r="B102" s="204">
        <f>IF($P102="","",INDEX('_Datos'!$AB$7:$AB$200,$P102))</f>
      </c>
      <c r="C102" s="204">
        <f>IF($P102="","",INDEX('_Datos'!$AE$7:$AE$200,$P102))</f>
      </c>
      <c r="D102" s="205">
        <f>IF($P102="","",INDEX('_Datos'!$F$7:$F$200,$P102))</f>
      </c>
      <c r="E102" s="205">
        <f>IF($P102="","",INDEX('_Datos'!$G$7:$G$200,$P102))</f>
      </c>
      <c r="F102" s="207">
        <f>IF($P102="","",INDEX('_Datos'!$H$7:$H$200,$P102))</f>
      </c>
      <c r="G102" s="204">
        <f>IF($P102="","",INDEX('_Datos'!$J$7:$J$200,$P102))</f>
      </c>
      <c r="H102" s="209">
        <f>IF($P102="","",INDEX('_Datos'!$K$7:$K$200,$P102))</f>
      </c>
      <c r="I102" s="209">
        <f>IF($P102="","",INDEX('_Datos'!$S$7:$S$200,$P102))</f>
      </c>
      <c r="J102" s="209">
        <f>IF($P102="","",INDEX('_Datos'!$T$7:$T$200,$P102))</f>
      </c>
      <c r="K102" s="208">
        <f>IF($P102="","",INDEX('_Datos'!$V$7:$V$200,$P102))</f>
      </c>
      <c r="L102" s="209">
        <f>IF($P102="","",INDEX('_Datos'!$W$7:$W$200,$P102))</f>
      </c>
      <c r="M102" s="205">
        <f>IF($P102="","",INDEX('_Datos'!$AC$7:$AC$200,$P102))</f>
      </c>
      <c r="P102" s="202">
        <f>IFERROR(MATCH(LARGE('_Datos'!$AJ$7:$AJ$200,ROW()-7+1),'_Datos'!$AJ$7:$AJ$200,0),"")</f>
      </c>
    </row>
    <row r="103">
      <c r="B103" s="204">
        <f>IF($P103="","",INDEX('_Datos'!$AB$7:$AB$200,$P103))</f>
      </c>
      <c r="C103" s="204">
        <f>IF($P103="","",INDEX('_Datos'!$AE$7:$AE$200,$P103))</f>
      </c>
      <c r="D103" s="205">
        <f>IF($P103="","",INDEX('_Datos'!$F$7:$F$200,$P103))</f>
      </c>
      <c r="E103" s="205">
        <f>IF($P103="","",INDEX('_Datos'!$G$7:$G$200,$P103))</f>
      </c>
      <c r="F103" s="207">
        <f>IF($P103="","",INDEX('_Datos'!$H$7:$H$200,$P103))</f>
      </c>
      <c r="G103" s="204">
        <f>IF($P103="","",INDEX('_Datos'!$J$7:$J$200,$P103))</f>
      </c>
      <c r="H103" s="209">
        <f>IF($P103="","",INDEX('_Datos'!$K$7:$K$200,$P103))</f>
      </c>
      <c r="I103" s="209">
        <f>IF($P103="","",INDEX('_Datos'!$S$7:$S$200,$P103))</f>
      </c>
      <c r="J103" s="209">
        <f>IF($P103="","",INDEX('_Datos'!$T$7:$T$200,$P103))</f>
      </c>
      <c r="K103" s="208">
        <f>IF($P103="","",INDEX('_Datos'!$V$7:$V$200,$P103))</f>
      </c>
      <c r="L103" s="209">
        <f>IF($P103="","",INDEX('_Datos'!$W$7:$W$200,$P103))</f>
      </c>
      <c r="M103" s="205">
        <f>IF($P103="","",INDEX('_Datos'!$AC$7:$AC$200,$P103))</f>
      </c>
      <c r="P103" s="202">
        <f>IFERROR(MATCH(LARGE('_Datos'!$AJ$7:$AJ$200,ROW()-7+1),'_Datos'!$AJ$7:$AJ$200,0),"")</f>
      </c>
    </row>
    <row r="104">
      <c r="B104" s="204">
        <f>IF($P104="","",INDEX('_Datos'!$AB$7:$AB$200,$P104))</f>
      </c>
      <c r="C104" s="204">
        <f>IF($P104="","",INDEX('_Datos'!$AE$7:$AE$200,$P104))</f>
      </c>
      <c r="D104" s="205">
        <f>IF($P104="","",INDEX('_Datos'!$F$7:$F$200,$P104))</f>
      </c>
      <c r="E104" s="205">
        <f>IF($P104="","",INDEX('_Datos'!$G$7:$G$200,$P104))</f>
      </c>
      <c r="F104" s="207">
        <f>IF($P104="","",INDEX('_Datos'!$H$7:$H$200,$P104))</f>
      </c>
      <c r="G104" s="204">
        <f>IF($P104="","",INDEX('_Datos'!$J$7:$J$200,$P104))</f>
      </c>
      <c r="H104" s="209">
        <f>IF($P104="","",INDEX('_Datos'!$K$7:$K$200,$P104))</f>
      </c>
      <c r="I104" s="209">
        <f>IF($P104="","",INDEX('_Datos'!$S$7:$S$200,$P104))</f>
      </c>
      <c r="J104" s="209">
        <f>IF($P104="","",INDEX('_Datos'!$T$7:$T$200,$P104))</f>
      </c>
      <c r="K104" s="208">
        <f>IF($P104="","",INDEX('_Datos'!$V$7:$V$200,$P104))</f>
      </c>
      <c r="L104" s="209">
        <f>IF($P104="","",INDEX('_Datos'!$W$7:$W$200,$P104))</f>
      </c>
      <c r="M104" s="205">
        <f>IF($P104="","",INDEX('_Datos'!$AC$7:$AC$200,$P104))</f>
      </c>
      <c r="P104" s="202">
        <f>IFERROR(MATCH(LARGE('_Datos'!$AJ$7:$AJ$200,ROW()-7+1),'_Datos'!$AJ$7:$AJ$200,0),"")</f>
      </c>
    </row>
    <row r="105">
      <c r="B105" s="204">
        <f>IF($P105="","",INDEX('_Datos'!$AB$7:$AB$200,$P105))</f>
      </c>
      <c r="C105" s="204">
        <f>IF($P105="","",INDEX('_Datos'!$AE$7:$AE$200,$P105))</f>
      </c>
      <c r="D105" s="205">
        <f>IF($P105="","",INDEX('_Datos'!$F$7:$F$200,$P105))</f>
      </c>
      <c r="E105" s="205">
        <f>IF($P105="","",INDEX('_Datos'!$G$7:$G$200,$P105))</f>
      </c>
      <c r="F105" s="207">
        <f>IF($P105="","",INDEX('_Datos'!$H$7:$H$200,$P105))</f>
      </c>
      <c r="G105" s="204">
        <f>IF($P105="","",INDEX('_Datos'!$J$7:$J$200,$P105))</f>
      </c>
      <c r="H105" s="209">
        <f>IF($P105="","",INDEX('_Datos'!$K$7:$K$200,$P105))</f>
      </c>
      <c r="I105" s="209">
        <f>IF($P105="","",INDEX('_Datos'!$S$7:$S$200,$P105))</f>
      </c>
      <c r="J105" s="209">
        <f>IF($P105="","",INDEX('_Datos'!$T$7:$T$200,$P105))</f>
      </c>
      <c r="K105" s="208">
        <f>IF($P105="","",INDEX('_Datos'!$V$7:$V$200,$P105))</f>
      </c>
      <c r="L105" s="209">
        <f>IF($P105="","",INDEX('_Datos'!$W$7:$W$200,$P105))</f>
      </c>
      <c r="M105" s="205">
        <f>IF($P105="","",INDEX('_Datos'!$AC$7:$AC$200,$P105))</f>
      </c>
      <c r="P105" s="202">
        <f>IFERROR(MATCH(LARGE('_Datos'!$AJ$7:$AJ$200,ROW()-7+1),'_Datos'!$AJ$7:$AJ$200,0),"")</f>
      </c>
    </row>
    <row r="106">
      <c r="B106" s="204">
        <f>IF($P106="","",INDEX('_Datos'!$AB$7:$AB$200,$P106))</f>
      </c>
      <c r="C106" s="204">
        <f>IF($P106="","",INDEX('_Datos'!$AE$7:$AE$200,$P106))</f>
      </c>
      <c r="D106" s="205">
        <f>IF($P106="","",INDEX('_Datos'!$F$7:$F$200,$P106))</f>
      </c>
      <c r="E106" s="205">
        <f>IF($P106="","",INDEX('_Datos'!$G$7:$G$200,$P106))</f>
      </c>
      <c r="F106" s="207">
        <f>IF($P106="","",INDEX('_Datos'!$H$7:$H$200,$P106))</f>
      </c>
      <c r="G106" s="204">
        <f>IF($P106="","",INDEX('_Datos'!$J$7:$J$200,$P106))</f>
      </c>
      <c r="H106" s="209">
        <f>IF($P106="","",INDEX('_Datos'!$K$7:$K$200,$P106))</f>
      </c>
      <c r="I106" s="209">
        <f>IF($P106="","",INDEX('_Datos'!$S$7:$S$200,$P106))</f>
      </c>
      <c r="J106" s="209">
        <f>IF($P106="","",INDEX('_Datos'!$T$7:$T$200,$P106))</f>
      </c>
      <c r="K106" s="208">
        <f>IF($P106="","",INDEX('_Datos'!$V$7:$V$200,$P106))</f>
      </c>
      <c r="L106" s="209">
        <f>IF($P106="","",INDEX('_Datos'!$W$7:$W$200,$P106))</f>
      </c>
      <c r="M106" s="205">
        <f>IF($P106="","",INDEX('_Datos'!$AC$7:$AC$200,$P106))</f>
      </c>
      <c r="P106" s="202">
        <f>IFERROR(MATCH(LARGE('_Datos'!$AJ$7:$AJ$200,ROW()-7+1),'_Datos'!$AJ$7:$AJ$200,0),"")</f>
      </c>
    </row>
    <row r="107">
      <c r="B107" s="204">
        <f>IF($P107="","",INDEX('_Datos'!$AB$7:$AB$200,$P107))</f>
      </c>
      <c r="C107" s="204">
        <f>IF($P107="","",INDEX('_Datos'!$AE$7:$AE$200,$P107))</f>
      </c>
      <c r="D107" s="205">
        <f>IF($P107="","",INDEX('_Datos'!$F$7:$F$200,$P107))</f>
      </c>
      <c r="E107" s="205">
        <f>IF($P107="","",INDEX('_Datos'!$G$7:$G$200,$P107))</f>
      </c>
      <c r="F107" s="207">
        <f>IF($P107="","",INDEX('_Datos'!$H$7:$H$200,$P107))</f>
      </c>
      <c r="G107" s="204">
        <f>IF($P107="","",INDEX('_Datos'!$J$7:$J$200,$P107))</f>
      </c>
      <c r="H107" s="209">
        <f>IF($P107="","",INDEX('_Datos'!$K$7:$K$200,$P107))</f>
      </c>
      <c r="I107" s="209">
        <f>IF($P107="","",INDEX('_Datos'!$S$7:$S$200,$P107))</f>
      </c>
      <c r="J107" s="209">
        <f>IF($P107="","",INDEX('_Datos'!$T$7:$T$200,$P107))</f>
      </c>
      <c r="K107" s="208">
        <f>IF($P107="","",INDEX('_Datos'!$V$7:$V$200,$P107))</f>
      </c>
      <c r="L107" s="209">
        <f>IF($P107="","",INDEX('_Datos'!$W$7:$W$200,$P107))</f>
      </c>
      <c r="M107" s="205">
        <f>IF($P107="","",INDEX('_Datos'!$AC$7:$AC$200,$P107))</f>
      </c>
      <c r="P107" s="202">
        <f>IFERROR(MATCH(LARGE('_Datos'!$AJ$7:$AJ$200,ROW()-7+1),'_Datos'!$AJ$7:$AJ$200,0),"")</f>
      </c>
    </row>
    <row r="108">
      <c r="B108" s="204">
        <f>IF($P108="","",INDEX('_Datos'!$AB$7:$AB$200,$P108))</f>
      </c>
      <c r="C108" s="204">
        <f>IF($P108="","",INDEX('_Datos'!$AE$7:$AE$200,$P108))</f>
      </c>
      <c r="D108" s="205">
        <f>IF($P108="","",INDEX('_Datos'!$F$7:$F$200,$P108))</f>
      </c>
      <c r="E108" s="205">
        <f>IF($P108="","",INDEX('_Datos'!$G$7:$G$200,$P108))</f>
      </c>
      <c r="F108" s="207">
        <f>IF($P108="","",INDEX('_Datos'!$H$7:$H$200,$P108))</f>
      </c>
      <c r="G108" s="204">
        <f>IF($P108="","",INDEX('_Datos'!$J$7:$J$200,$P108))</f>
      </c>
      <c r="H108" s="209">
        <f>IF($P108="","",INDEX('_Datos'!$K$7:$K$200,$P108))</f>
      </c>
      <c r="I108" s="209">
        <f>IF($P108="","",INDEX('_Datos'!$S$7:$S$200,$P108))</f>
      </c>
      <c r="J108" s="209">
        <f>IF($P108="","",INDEX('_Datos'!$T$7:$T$200,$P108))</f>
      </c>
      <c r="K108" s="208">
        <f>IF($P108="","",INDEX('_Datos'!$V$7:$V$200,$P108))</f>
      </c>
      <c r="L108" s="209">
        <f>IF($P108="","",INDEX('_Datos'!$W$7:$W$200,$P108))</f>
      </c>
      <c r="M108" s="205">
        <f>IF($P108="","",INDEX('_Datos'!$AC$7:$AC$200,$P108))</f>
      </c>
      <c r="P108" s="202">
        <f>IFERROR(MATCH(LARGE('_Datos'!$AJ$7:$AJ$200,ROW()-7+1),'_Datos'!$AJ$7:$AJ$200,0),"")</f>
      </c>
    </row>
    <row r="109">
      <c r="B109" s="204">
        <f>IF($P109="","",INDEX('_Datos'!$AB$7:$AB$200,$P109))</f>
      </c>
      <c r="C109" s="204">
        <f>IF($P109="","",INDEX('_Datos'!$AE$7:$AE$200,$P109))</f>
      </c>
      <c r="D109" s="205">
        <f>IF($P109="","",INDEX('_Datos'!$F$7:$F$200,$P109))</f>
      </c>
      <c r="E109" s="205">
        <f>IF($P109="","",INDEX('_Datos'!$G$7:$G$200,$P109))</f>
      </c>
      <c r="F109" s="207">
        <f>IF($P109="","",INDEX('_Datos'!$H$7:$H$200,$P109))</f>
      </c>
      <c r="G109" s="204">
        <f>IF($P109="","",INDEX('_Datos'!$J$7:$J$200,$P109))</f>
      </c>
      <c r="H109" s="209">
        <f>IF($P109="","",INDEX('_Datos'!$K$7:$K$200,$P109))</f>
      </c>
      <c r="I109" s="209">
        <f>IF($P109="","",INDEX('_Datos'!$S$7:$S$200,$P109))</f>
      </c>
      <c r="J109" s="209">
        <f>IF($P109="","",INDEX('_Datos'!$T$7:$T$200,$P109))</f>
      </c>
      <c r="K109" s="208">
        <f>IF($P109="","",INDEX('_Datos'!$V$7:$V$200,$P109))</f>
      </c>
      <c r="L109" s="209">
        <f>IF($P109="","",INDEX('_Datos'!$W$7:$W$200,$P109))</f>
      </c>
      <c r="M109" s="205">
        <f>IF($P109="","",INDEX('_Datos'!$AC$7:$AC$200,$P109))</f>
      </c>
      <c r="P109" s="202">
        <f>IFERROR(MATCH(LARGE('_Datos'!$AJ$7:$AJ$200,ROW()-7+1),'_Datos'!$AJ$7:$AJ$200,0),"")</f>
      </c>
    </row>
    <row r="110">
      <c r="B110" s="204">
        <f>IF($P110="","",INDEX('_Datos'!$AB$7:$AB$200,$P110))</f>
      </c>
      <c r="C110" s="204">
        <f>IF($P110="","",INDEX('_Datos'!$AE$7:$AE$200,$P110))</f>
      </c>
      <c r="D110" s="205">
        <f>IF($P110="","",INDEX('_Datos'!$F$7:$F$200,$P110))</f>
      </c>
      <c r="E110" s="205">
        <f>IF($P110="","",INDEX('_Datos'!$G$7:$G$200,$P110))</f>
      </c>
      <c r="F110" s="207">
        <f>IF($P110="","",INDEX('_Datos'!$H$7:$H$200,$P110))</f>
      </c>
      <c r="G110" s="204">
        <f>IF($P110="","",INDEX('_Datos'!$J$7:$J$200,$P110))</f>
      </c>
      <c r="H110" s="209">
        <f>IF($P110="","",INDEX('_Datos'!$K$7:$K$200,$P110))</f>
      </c>
      <c r="I110" s="209">
        <f>IF($P110="","",INDEX('_Datos'!$S$7:$S$200,$P110))</f>
      </c>
      <c r="J110" s="209">
        <f>IF($P110="","",INDEX('_Datos'!$T$7:$T$200,$P110))</f>
      </c>
      <c r="K110" s="208">
        <f>IF($P110="","",INDEX('_Datos'!$V$7:$V$200,$P110))</f>
      </c>
      <c r="L110" s="209">
        <f>IF($P110="","",INDEX('_Datos'!$W$7:$W$200,$P110))</f>
      </c>
      <c r="M110" s="205">
        <f>IF($P110="","",INDEX('_Datos'!$AC$7:$AC$200,$P110))</f>
      </c>
      <c r="P110" s="202">
        <f>IFERROR(MATCH(LARGE('_Datos'!$AJ$7:$AJ$200,ROW()-7+1),'_Datos'!$AJ$7:$AJ$200,0),"")</f>
      </c>
    </row>
    <row r="111">
      <c r="B111" s="204">
        <f>IF($P111="","",INDEX('_Datos'!$AB$7:$AB$200,$P111))</f>
      </c>
      <c r="C111" s="204">
        <f>IF($P111="","",INDEX('_Datos'!$AE$7:$AE$200,$P111))</f>
      </c>
      <c r="D111" s="205">
        <f>IF($P111="","",INDEX('_Datos'!$F$7:$F$200,$P111))</f>
      </c>
      <c r="E111" s="205">
        <f>IF($P111="","",INDEX('_Datos'!$G$7:$G$200,$P111))</f>
      </c>
      <c r="F111" s="207">
        <f>IF($P111="","",INDEX('_Datos'!$H$7:$H$200,$P111))</f>
      </c>
      <c r="G111" s="204">
        <f>IF($P111="","",INDEX('_Datos'!$J$7:$J$200,$P111))</f>
      </c>
      <c r="H111" s="209">
        <f>IF($P111="","",INDEX('_Datos'!$K$7:$K$200,$P111))</f>
      </c>
      <c r="I111" s="209">
        <f>IF($P111="","",INDEX('_Datos'!$S$7:$S$200,$P111))</f>
      </c>
      <c r="J111" s="209">
        <f>IF($P111="","",INDEX('_Datos'!$T$7:$T$200,$P111))</f>
      </c>
      <c r="K111" s="208">
        <f>IF($P111="","",INDEX('_Datos'!$V$7:$V$200,$P111))</f>
      </c>
      <c r="L111" s="209">
        <f>IF($P111="","",INDEX('_Datos'!$W$7:$W$200,$P111))</f>
      </c>
      <c r="M111" s="205">
        <f>IF($P111="","",INDEX('_Datos'!$AC$7:$AC$200,$P111))</f>
      </c>
      <c r="P111" s="202">
        <f>IFERROR(MATCH(LARGE('_Datos'!$AJ$7:$AJ$200,ROW()-7+1),'_Datos'!$AJ$7:$AJ$200,0),"")</f>
      </c>
    </row>
    <row r="112">
      <c r="B112" s="204">
        <f>IF($P112="","",INDEX('_Datos'!$AB$7:$AB$200,$P112))</f>
      </c>
      <c r="C112" s="204">
        <f>IF($P112="","",INDEX('_Datos'!$AE$7:$AE$200,$P112))</f>
      </c>
      <c r="D112" s="205">
        <f>IF($P112="","",INDEX('_Datos'!$F$7:$F$200,$P112))</f>
      </c>
      <c r="E112" s="205">
        <f>IF($P112="","",INDEX('_Datos'!$G$7:$G$200,$P112))</f>
      </c>
      <c r="F112" s="207">
        <f>IF($P112="","",INDEX('_Datos'!$H$7:$H$200,$P112))</f>
      </c>
      <c r="G112" s="204">
        <f>IF($P112="","",INDEX('_Datos'!$J$7:$J$200,$P112))</f>
      </c>
      <c r="H112" s="209">
        <f>IF($P112="","",INDEX('_Datos'!$K$7:$K$200,$P112))</f>
      </c>
      <c r="I112" s="209">
        <f>IF($P112="","",INDEX('_Datos'!$S$7:$S$200,$P112))</f>
      </c>
      <c r="J112" s="209">
        <f>IF($P112="","",INDEX('_Datos'!$T$7:$T$200,$P112))</f>
      </c>
      <c r="K112" s="208">
        <f>IF($P112="","",INDEX('_Datos'!$V$7:$V$200,$P112))</f>
      </c>
      <c r="L112" s="209">
        <f>IF($P112="","",INDEX('_Datos'!$W$7:$W$200,$P112))</f>
      </c>
      <c r="M112" s="205">
        <f>IF($P112="","",INDEX('_Datos'!$AC$7:$AC$200,$P112))</f>
      </c>
      <c r="P112" s="202">
        <f>IFERROR(MATCH(LARGE('_Datos'!$AJ$7:$AJ$200,ROW()-7+1),'_Datos'!$AJ$7:$AJ$200,0),"")</f>
      </c>
    </row>
    <row r="113">
      <c r="B113" s="204">
        <f>IF($P113="","",INDEX('_Datos'!$AB$7:$AB$200,$P113))</f>
      </c>
      <c r="C113" s="204">
        <f>IF($P113="","",INDEX('_Datos'!$AE$7:$AE$200,$P113))</f>
      </c>
      <c r="D113" s="205">
        <f>IF($P113="","",INDEX('_Datos'!$F$7:$F$200,$P113))</f>
      </c>
      <c r="E113" s="205">
        <f>IF($P113="","",INDEX('_Datos'!$G$7:$G$200,$P113))</f>
      </c>
      <c r="F113" s="207">
        <f>IF($P113="","",INDEX('_Datos'!$H$7:$H$200,$P113))</f>
      </c>
      <c r="G113" s="204">
        <f>IF($P113="","",INDEX('_Datos'!$J$7:$J$200,$P113))</f>
      </c>
      <c r="H113" s="209">
        <f>IF($P113="","",INDEX('_Datos'!$K$7:$K$200,$P113))</f>
      </c>
      <c r="I113" s="209">
        <f>IF($P113="","",INDEX('_Datos'!$S$7:$S$200,$P113))</f>
      </c>
      <c r="J113" s="209">
        <f>IF($P113="","",INDEX('_Datos'!$T$7:$T$200,$P113))</f>
      </c>
      <c r="K113" s="208">
        <f>IF($P113="","",INDEX('_Datos'!$V$7:$V$200,$P113))</f>
      </c>
      <c r="L113" s="209">
        <f>IF($P113="","",INDEX('_Datos'!$W$7:$W$200,$P113))</f>
      </c>
      <c r="M113" s="205">
        <f>IF($P113="","",INDEX('_Datos'!$AC$7:$AC$200,$P113))</f>
      </c>
      <c r="P113" s="202">
        <f>IFERROR(MATCH(LARGE('_Datos'!$AJ$7:$AJ$200,ROW()-7+1),'_Datos'!$AJ$7:$AJ$200,0),"")</f>
      </c>
    </row>
    <row r="114">
      <c r="B114" s="204">
        <f>IF($P114="","",INDEX('_Datos'!$AB$7:$AB$200,$P114))</f>
      </c>
      <c r="C114" s="204">
        <f>IF($P114="","",INDEX('_Datos'!$AE$7:$AE$200,$P114))</f>
      </c>
      <c r="D114" s="205">
        <f>IF($P114="","",INDEX('_Datos'!$F$7:$F$200,$P114))</f>
      </c>
      <c r="E114" s="205">
        <f>IF($P114="","",INDEX('_Datos'!$G$7:$G$200,$P114))</f>
      </c>
      <c r="F114" s="207">
        <f>IF($P114="","",INDEX('_Datos'!$H$7:$H$200,$P114))</f>
      </c>
      <c r="G114" s="204">
        <f>IF($P114="","",INDEX('_Datos'!$J$7:$J$200,$P114))</f>
      </c>
      <c r="H114" s="209">
        <f>IF($P114="","",INDEX('_Datos'!$K$7:$K$200,$P114))</f>
      </c>
      <c r="I114" s="209">
        <f>IF($P114="","",INDEX('_Datos'!$S$7:$S$200,$P114))</f>
      </c>
      <c r="J114" s="209">
        <f>IF($P114="","",INDEX('_Datos'!$T$7:$T$200,$P114))</f>
      </c>
      <c r="K114" s="208">
        <f>IF($P114="","",INDEX('_Datos'!$V$7:$V$200,$P114))</f>
      </c>
      <c r="L114" s="209">
        <f>IF($P114="","",INDEX('_Datos'!$W$7:$W$200,$P114))</f>
      </c>
      <c r="M114" s="205">
        <f>IF($P114="","",INDEX('_Datos'!$AC$7:$AC$200,$P114))</f>
      </c>
      <c r="P114" s="202">
        <f>IFERROR(MATCH(LARGE('_Datos'!$AJ$7:$AJ$200,ROW()-7+1),'_Datos'!$AJ$7:$AJ$200,0),"")</f>
      </c>
    </row>
    <row r="115">
      <c r="B115" s="204">
        <f>IF($P115="","",INDEX('_Datos'!$AB$7:$AB$200,$P115))</f>
      </c>
      <c r="C115" s="204">
        <f>IF($P115="","",INDEX('_Datos'!$AE$7:$AE$200,$P115))</f>
      </c>
      <c r="D115" s="205">
        <f>IF($P115="","",INDEX('_Datos'!$F$7:$F$200,$P115))</f>
      </c>
      <c r="E115" s="205">
        <f>IF($P115="","",INDEX('_Datos'!$G$7:$G$200,$P115))</f>
      </c>
      <c r="F115" s="207">
        <f>IF($P115="","",INDEX('_Datos'!$H$7:$H$200,$P115))</f>
      </c>
      <c r="G115" s="204">
        <f>IF($P115="","",INDEX('_Datos'!$J$7:$J$200,$P115))</f>
      </c>
      <c r="H115" s="209">
        <f>IF($P115="","",INDEX('_Datos'!$K$7:$K$200,$P115))</f>
      </c>
      <c r="I115" s="209">
        <f>IF($P115="","",INDEX('_Datos'!$S$7:$S$200,$P115))</f>
      </c>
      <c r="J115" s="209">
        <f>IF($P115="","",INDEX('_Datos'!$T$7:$T$200,$P115))</f>
      </c>
      <c r="K115" s="208">
        <f>IF($P115="","",INDEX('_Datos'!$V$7:$V$200,$P115))</f>
      </c>
      <c r="L115" s="209">
        <f>IF($P115="","",INDEX('_Datos'!$W$7:$W$200,$P115))</f>
      </c>
      <c r="M115" s="205">
        <f>IF($P115="","",INDEX('_Datos'!$AC$7:$AC$200,$P115))</f>
      </c>
      <c r="P115" s="202">
        <f>IFERROR(MATCH(LARGE('_Datos'!$AJ$7:$AJ$200,ROW()-7+1),'_Datos'!$AJ$7:$AJ$200,0),"")</f>
      </c>
    </row>
    <row r="116">
      <c r="B116" s="204">
        <f>IF($P116="","",INDEX('_Datos'!$AB$7:$AB$200,$P116))</f>
      </c>
      <c r="C116" s="204">
        <f>IF($P116="","",INDEX('_Datos'!$AE$7:$AE$200,$P116))</f>
      </c>
      <c r="D116" s="205">
        <f>IF($P116="","",INDEX('_Datos'!$F$7:$F$200,$P116))</f>
      </c>
      <c r="E116" s="205">
        <f>IF($P116="","",INDEX('_Datos'!$G$7:$G$200,$P116))</f>
      </c>
      <c r="F116" s="207">
        <f>IF($P116="","",INDEX('_Datos'!$H$7:$H$200,$P116))</f>
      </c>
      <c r="G116" s="204">
        <f>IF($P116="","",INDEX('_Datos'!$J$7:$J$200,$P116))</f>
      </c>
      <c r="H116" s="209">
        <f>IF($P116="","",INDEX('_Datos'!$K$7:$K$200,$P116))</f>
      </c>
      <c r="I116" s="209">
        <f>IF($P116="","",INDEX('_Datos'!$S$7:$S$200,$P116))</f>
      </c>
      <c r="J116" s="209">
        <f>IF($P116="","",INDEX('_Datos'!$T$7:$T$200,$P116))</f>
      </c>
      <c r="K116" s="208">
        <f>IF($P116="","",INDEX('_Datos'!$V$7:$V$200,$P116))</f>
      </c>
      <c r="L116" s="209">
        <f>IF($P116="","",INDEX('_Datos'!$W$7:$W$200,$P116))</f>
      </c>
      <c r="M116" s="205">
        <f>IF($P116="","",INDEX('_Datos'!$AC$7:$AC$200,$P116))</f>
      </c>
      <c r="P116" s="202">
        <f>IFERROR(MATCH(LARGE('_Datos'!$AJ$7:$AJ$200,ROW()-7+1),'_Datos'!$AJ$7:$AJ$200,0),"")</f>
      </c>
    </row>
    <row r="117">
      <c r="B117" s="204">
        <f>IF($P117="","",INDEX('_Datos'!$AB$7:$AB$200,$P117))</f>
      </c>
      <c r="C117" s="204">
        <f>IF($P117="","",INDEX('_Datos'!$AE$7:$AE$200,$P117))</f>
      </c>
      <c r="D117" s="205">
        <f>IF($P117="","",INDEX('_Datos'!$F$7:$F$200,$P117))</f>
      </c>
      <c r="E117" s="205">
        <f>IF($P117="","",INDEX('_Datos'!$G$7:$G$200,$P117))</f>
      </c>
      <c r="F117" s="207">
        <f>IF($P117="","",INDEX('_Datos'!$H$7:$H$200,$P117))</f>
      </c>
      <c r="G117" s="204">
        <f>IF($P117="","",INDEX('_Datos'!$J$7:$J$200,$P117))</f>
      </c>
      <c r="H117" s="209">
        <f>IF($P117="","",INDEX('_Datos'!$K$7:$K$200,$P117))</f>
      </c>
      <c r="I117" s="209">
        <f>IF($P117="","",INDEX('_Datos'!$S$7:$S$200,$P117))</f>
      </c>
      <c r="J117" s="209">
        <f>IF($P117="","",INDEX('_Datos'!$T$7:$T$200,$P117))</f>
      </c>
      <c r="K117" s="208">
        <f>IF($P117="","",INDEX('_Datos'!$V$7:$V$200,$P117))</f>
      </c>
      <c r="L117" s="209">
        <f>IF($P117="","",INDEX('_Datos'!$W$7:$W$200,$P117))</f>
      </c>
      <c r="M117" s="205">
        <f>IF($P117="","",INDEX('_Datos'!$AC$7:$AC$200,$P117))</f>
      </c>
      <c r="P117" s="202">
        <f>IFERROR(MATCH(LARGE('_Datos'!$AJ$7:$AJ$200,ROW()-7+1),'_Datos'!$AJ$7:$AJ$200,0),"")</f>
      </c>
    </row>
    <row r="118">
      <c r="B118" s="204">
        <f>IF($P118="","",INDEX('_Datos'!$AB$7:$AB$200,$P118))</f>
      </c>
      <c r="C118" s="204">
        <f>IF($P118="","",INDEX('_Datos'!$AE$7:$AE$200,$P118))</f>
      </c>
      <c r="D118" s="205">
        <f>IF($P118="","",INDEX('_Datos'!$F$7:$F$200,$P118))</f>
      </c>
      <c r="E118" s="205">
        <f>IF($P118="","",INDEX('_Datos'!$G$7:$G$200,$P118))</f>
      </c>
      <c r="F118" s="207">
        <f>IF($P118="","",INDEX('_Datos'!$H$7:$H$200,$P118))</f>
      </c>
      <c r="G118" s="204">
        <f>IF($P118="","",INDEX('_Datos'!$J$7:$J$200,$P118))</f>
      </c>
      <c r="H118" s="209">
        <f>IF($P118="","",INDEX('_Datos'!$K$7:$K$200,$P118))</f>
      </c>
      <c r="I118" s="209">
        <f>IF($P118="","",INDEX('_Datos'!$S$7:$S$200,$P118))</f>
      </c>
      <c r="J118" s="209">
        <f>IF($P118="","",INDEX('_Datos'!$T$7:$T$200,$P118))</f>
      </c>
      <c r="K118" s="208">
        <f>IF($P118="","",INDEX('_Datos'!$V$7:$V$200,$P118))</f>
      </c>
      <c r="L118" s="209">
        <f>IF($P118="","",INDEX('_Datos'!$W$7:$W$200,$P118))</f>
      </c>
      <c r="M118" s="205">
        <f>IF($P118="","",INDEX('_Datos'!$AC$7:$AC$200,$P118))</f>
      </c>
      <c r="P118" s="202">
        <f>IFERROR(MATCH(LARGE('_Datos'!$AJ$7:$AJ$200,ROW()-7+1),'_Datos'!$AJ$7:$AJ$200,0),"")</f>
      </c>
    </row>
    <row r="119">
      <c r="B119" s="204">
        <f>IF($P119="","",INDEX('_Datos'!$AB$7:$AB$200,$P119))</f>
      </c>
      <c r="C119" s="204">
        <f>IF($P119="","",INDEX('_Datos'!$AE$7:$AE$200,$P119))</f>
      </c>
      <c r="D119" s="205">
        <f>IF($P119="","",INDEX('_Datos'!$F$7:$F$200,$P119))</f>
      </c>
      <c r="E119" s="205">
        <f>IF($P119="","",INDEX('_Datos'!$G$7:$G$200,$P119))</f>
      </c>
      <c r="F119" s="207">
        <f>IF($P119="","",INDEX('_Datos'!$H$7:$H$200,$P119))</f>
      </c>
      <c r="G119" s="204">
        <f>IF($P119="","",INDEX('_Datos'!$J$7:$J$200,$P119))</f>
      </c>
      <c r="H119" s="209">
        <f>IF($P119="","",INDEX('_Datos'!$K$7:$K$200,$P119))</f>
      </c>
      <c r="I119" s="209">
        <f>IF($P119="","",INDEX('_Datos'!$S$7:$S$200,$P119))</f>
      </c>
      <c r="J119" s="209">
        <f>IF($P119="","",INDEX('_Datos'!$T$7:$T$200,$P119))</f>
      </c>
      <c r="K119" s="208">
        <f>IF($P119="","",INDEX('_Datos'!$V$7:$V$200,$P119))</f>
      </c>
      <c r="L119" s="209">
        <f>IF($P119="","",INDEX('_Datos'!$W$7:$W$200,$P119))</f>
      </c>
      <c r="M119" s="205">
        <f>IF($P119="","",INDEX('_Datos'!$AC$7:$AC$200,$P119))</f>
      </c>
      <c r="P119" s="202">
        <f>IFERROR(MATCH(LARGE('_Datos'!$AJ$7:$AJ$200,ROW()-7+1),'_Datos'!$AJ$7:$AJ$200,0),"")</f>
      </c>
    </row>
    <row r="120">
      <c r="B120" s="204">
        <f>IF($P120="","",INDEX('_Datos'!$AB$7:$AB$200,$P120))</f>
      </c>
      <c r="C120" s="204">
        <f>IF($P120="","",INDEX('_Datos'!$AE$7:$AE$200,$P120))</f>
      </c>
      <c r="D120" s="205">
        <f>IF($P120="","",INDEX('_Datos'!$F$7:$F$200,$P120))</f>
      </c>
      <c r="E120" s="205">
        <f>IF($P120="","",INDEX('_Datos'!$G$7:$G$200,$P120))</f>
      </c>
      <c r="F120" s="207">
        <f>IF($P120="","",INDEX('_Datos'!$H$7:$H$200,$P120))</f>
      </c>
      <c r="G120" s="204">
        <f>IF($P120="","",INDEX('_Datos'!$J$7:$J$200,$P120))</f>
      </c>
      <c r="H120" s="209">
        <f>IF($P120="","",INDEX('_Datos'!$K$7:$K$200,$P120))</f>
      </c>
      <c r="I120" s="209">
        <f>IF($P120="","",INDEX('_Datos'!$S$7:$S$200,$P120))</f>
      </c>
      <c r="J120" s="209">
        <f>IF($P120="","",INDEX('_Datos'!$T$7:$T$200,$P120))</f>
      </c>
      <c r="K120" s="208">
        <f>IF($P120="","",INDEX('_Datos'!$V$7:$V$200,$P120))</f>
      </c>
      <c r="L120" s="209">
        <f>IF($P120="","",INDEX('_Datos'!$W$7:$W$200,$P120))</f>
      </c>
      <c r="M120" s="205">
        <f>IF($P120="","",INDEX('_Datos'!$AC$7:$AC$200,$P120))</f>
      </c>
      <c r="P120" s="202">
        <f>IFERROR(MATCH(LARGE('_Datos'!$AJ$7:$AJ$200,ROW()-7+1),'_Datos'!$AJ$7:$AJ$200,0),"")</f>
      </c>
    </row>
    <row r="121">
      <c r="B121" s="204">
        <f>IF($P121="","",INDEX('_Datos'!$AB$7:$AB$200,$P121))</f>
      </c>
      <c r="C121" s="204">
        <f>IF($P121="","",INDEX('_Datos'!$AE$7:$AE$200,$P121))</f>
      </c>
      <c r="D121" s="205">
        <f>IF($P121="","",INDEX('_Datos'!$F$7:$F$200,$P121))</f>
      </c>
      <c r="E121" s="205">
        <f>IF($P121="","",INDEX('_Datos'!$G$7:$G$200,$P121))</f>
      </c>
      <c r="F121" s="207">
        <f>IF($P121="","",INDEX('_Datos'!$H$7:$H$200,$P121))</f>
      </c>
      <c r="G121" s="204">
        <f>IF($P121="","",INDEX('_Datos'!$J$7:$J$200,$P121))</f>
      </c>
      <c r="H121" s="209">
        <f>IF($P121="","",INDEX('_Datos'!$K$7:$K$200,$P121))</f>
      </c>
      <c r="I121" s="209">
        <f>IF($P121="","",INDEX('_Datos'!$S$7:$S$200,$P121))</f>
      </c>
      <c r="J121" s="209">
        <f>IF($P121="","",INDEX('_Datos'!$T$7:$T$200,$P121))</f>
      </c>
      <c r="K121" s="208">
        <f>IF($P121="","",INDEX('_Datos'!$V$7:$V$200,$P121))</f>
      </c>
      <c r="L121" s="209">
        <f>IF($P121="","",INDEX('_Datos'!$W$7:$W$200,$P121))</f>
      </c>
      <c r="M121" s="205">
        <f>IF($P121="","",INDEX('_Datos'!$AC$7:$AC$200,$P121))</f>
      </c>
      <c r="P121" s="202">
        <f>IFERROR(MATCH(LARGE('_Datos'!$AJ$7:$AJ$200,ROW()-7+1),'_Datos'!$AJ$7:$AJ$200,0),"")</f>
      </c>
    </row>
    <row r="122">
      <c r="B122" s="204">
        <f>IF($P122="","",INDEX('_Datos'!$AB$7:$AB$200,$P122))</f>
      </c>
      <c r="C122" s="204">
        <f>IF($P122="","",INDEX('_Datos'!$AE$7:$AE$200,$P122))</f>
      </c>
      <c r="D122" s="205">
        <f>IF($P122="","",INDEX('_Datos'!$F$7:$F$200,$P122))</f>
      </c>
      <c r="E122" s="205">
        <f>IF($P122="","",INDEX('_Datos'!$G$7:$G$200,$P122))</f>
      </c>
      <c r="F122" s="207">
        <f>IF($P122="","",INDEX('_Datos'!$H$7:$H$200,$P122))</f>
      </c>
      <c r="G122" s="204">
        <f>IF($P122="","",INDEX('_Datos'!$J$7:$J$200,$P122))</f>
      </c>
      <c r="H122" s="209">
        <f>IF($P122="","",INDEX('_Datos'!$K$7:$K$200,$P122))</f>
      </c>
      <c r="I122" s="209">
        <f>IF($P122="","",INDEX('_Datos'!$S$7:$S$200,$P122))</f>
      </c>
      <c r="J122" s="209">
        <f>IF($P122="","",INDEX('_Datos'!$T$7:$T$200,$P122))</f>
      </c>
      <c r="K122" s="208">
        <f>IF($P122="","",INDEX('_Datos'!$V$7:$V$200,$P122))</f>
      </c>
      <c r="L122" s="209">
        <f>IF($P122="","",INDEX('_Datos'!$W$7:$W$200,$P122))</f>
      </c>
      <c r="M122" s="205">
        <f>IF($P122="","",INDEX('_Datos'!$AC$7:$AC$200,$P122))</f>
      </c>
      <c r="P122" s="202">
        <f>IFERROR(MATCH(LARGE('_Datos'!$AJ$7:$AJ$200,ROW()-7+1),'_Datos'!$AJ$7:$AJ$200,0),"")</f>
      </c>
    </row>
    <row r="123">
      <c r="B123" s="204">
        <f>IF($P123="","",INDEX('_Datos'!$AB$7:$AB$200,$P123))</f>
      </c>
      <c r="C123" s="204">
        <f>IF($P123="","",INDEX('_Datos'!$AE$7:$AE$200,$P123))</f>
      </c>
      <c r="D123" s="205">
        <f>IF($P123="","",INDEX('_Datos'!$F$7:$F$200,$P123))</f>
      </c>
      <c r="E123" s="205">
        <f>IF($P123="","",INDEX('_Datos'!$G$7:$G$200,$P123))</f>
      </c>
      <c r="F123" s="207">
        <f>IF($P123="","",INDEX('_Datos'!$H$7:$H$200,$P123))</f>
      </c>
      <c r="G123" s="204">
        <f>IF($P123="","",INDEX('_Datos'!$J$7:$J$200,$P123))</f>
      </c>
      <c r="H123" s="209">
        <f>IF($P123="","",INDEX('_Datos'!$K$7:$K$200,$P123))</f>
      </c>
      <c r="I123" s="209">
        <f>IF($P123="","",INDEX('_Datos'!$S$7:$S$200,$P123))</f>
      </c>
      <c r="J123" s="209">
        <f>IF($P123="","",INDEX('_Datos'!$T$7:$T$200,$P123))</f>
      </c>
      <c r="K123" s="208">
        <f>IF($P123="","",INDEX('_Datos'!$V$7:$V$200,$P123))</f>
      </c>
      <c r="L123" s="209">
        <f>IF($P123="","",INDEX('_Datos'!$W$7:$W$200,$P123))</f>
      </c>
      <c r="M123" s="205">
        <f>IF($P123="","",INDEX('_Datos'!$AC$7:$AC$200,$P123))</f>
      </c>
      <c r="P123" s="202">
        <f>IFERROR(MATCH(LARGE('_Datos'!$AJ$7:$AJ$200,ROW()-7+1),'_Datos'!$AJ$7:$AJ$200,0),"")</f>
      </c>
    </row>
    <row r="124">
      <c r="B124" s="204">
        <f>IF($P124="","",INDEX('_Datos'!$AB$7:$AB$200,$P124))</f>
      </c>
      <c r="C124" s="204">
        <f>IF($P124="","",INDEX('_Datos'!$AE$7:$AE$200,$P124))</f>
      </c>
      <c r="D124" s="205">
        <f>IF($P124="","",INDEX('_Datos'!$F$7:$F$200,$P124))</f>
      </c>
      <c r="E124" s="205">
        <f>IF($P124="","",INDEX('_Datos'!$G$7:$G$200,$P124))</f>
      </c>
      <c r="F124" s="207">
        <f>IF($P124="","",INDEX('_Datos'!$H$7:$H$200,$P124))</f>
      </c>
      <c r="G124" s="204">
        <f>IF($P124="","",INDEX('_Datos'!$J$7:$J$200,$P124))</f>
      </c>
      <c r="H124" s="209">
        <f>IF($P124="","",INDEX('_Datos'!$K$7:$K$200,$P124))</f>
      </c>
      <c r="I124" s="209">
        <f>IF($P124="","",INDEX('_Datos'!$S$7:$S$200,$P124))</f>
      </c>
      <c r="J124" s="209">
        <f>IF($P124="","",INDEX('_Datos'!$T$7:$T$200,$P124))</f>
      </c>
      <c r="K124" s="208">
        <f>IF($P124="","",INDEX('_Datos'!$V$7:$V$200,$P124))</f>
      </c>
      <c r="L124" s="209">
        <f>IF($P124="","",INDEX('_Datos'!$W$7:$W$200,$P124))</f>
      </c>
      <c r="M124" s="205">
        <f>IF($P124="","",INDEX('_Datos'!$AC$7:$AC$200,$P124))</f>
      </c>
      <c r="P124" s="202">
        <f>IFERROR(MATCH(LARGE('_Datos'!$AJ$7:$AJ$200,ROW()-7+1),'_Datos'!$AJ$7:$AJ$200,0),"")</f>
      </c>
    </row>
    <row r="125">
      <c r="B125" s="204">
        <f>IF($P125="","",INDEX('_Datos'!$AB$7:$AB$200,$P125))</f>
      </c>
      <c r="C125" s="204">
        <f>IF($P125="","",INDEX('_Datos'!$AE$7:$AE$200,$P125))</f>
      </c>
      <c r="D125" s="205">
        <f>IF($P125="","",INDEX('_Datos'!$F$7:$F$200,$P125))</f>
      </c>
      <c r="E125" s="205">
        <f>IF($P125="","",INDEX('_Datos'!$G$7:$G$200,$P125))</f>
      </c>
      <c r="F125" s="207">
        <f>IF($P125="","",INDEX('_Datos'!$H$7:$H$200,$P125))</f>
      </c>
      <c r="G125" s="204">
        <f>IF($P125="","",INDEX('_Datos'!$J$7:$J$200,$P125))</f>
      </c>
      <c r="H125" s="209">
        <f>IF($P125="","",INDEX('_Datos'!$K$7:$K$200,$P125))</f>
      </c>
      <c r="I125" s="209">
        <f>IF($P125="","",INDEX('_Datos'!$S$7:$S$200,$P125))</f>
      </c>
      <c r="J125" s="209">
        <f>IF($P125="","",INDEX('_Datos'!$T$7:$T$200,$P125))</f>
      </c>
      <c r="K125" s="208">
        <f>IF($P125="","",INDEX('_Datos'!$V$7:$V$200,$P125))</f>
      </c>
      <c r="L125" s="209">
        <f>IF($P125="","",INDEX('_Datos'!$W$7:$W$200,$P125))</f>
      </c>
      <c r="M125" s="205">
        <f>IF($P125="","",INDEX('_Datos'!$AC$7:$AC$200,$P125))</f>
      </c>
      <c r="P125" s="202">
        <f>IFERROR(MATCH(LARGE('_Datos'!$AJ$7:$AJ$200,ROW()-7+1),'_Datos'!$AJ$7:$AJ$200,0),"")</f>
      </c>
    </row>
    <row r="126">
      <c r="B126" s="204">
        <f>IF($P126="","",INDEX('_Datos'!$AB$7:$AB$200,$P126))</f>
      </c>
      <c r="C126" s="204">
        <f>IF($P126="","",INDEX('_Datos'!$AE$7:$AE$200,$P126))</f>
      </c>
      <c r="D126" s="205">
        <f>IF($P126="","",INDEX('_Datos'!$F$7:$F$200,$P126))</f>
      </c>
      <c r="E126" s="205">
        <f>IF($P126="","",INDEX('_Datos'!$G$7:$G$200,$P126))</f>
      </c>
      <c r="F126" s="207">
        <f>IF($P126="","",INDEX('_Datos'!$H$7:$H$200,$P126))</f>
      </c>
      <c r="G126" s="204">
        <f>IF($P126="","",INDEX('_Datos'!$J$7:$J$200,$P126))</f>
      </c>
      <c r="H126" s="209">
        <f>IF($P126="","",INDEX('_Datos'!$K$7:$K$200,$P126))</f>
      </c>
      <c r="I126" s="209">
        <f>IF($P126="","",INDEX('_Datos'!$S$7:$S$200,$P126))</f>
      </c>
      <c r="J126" s="209">
        <f>IF($P126="","",INDEX('_Datos'!$T$7:$T$200,$P126))</f>
      </c>
      <c r="K126" s="208">
        <f>IF($P126="","",INDEX('_Datos'!$V$7:$V$200,$P126))</f>
      </c>
      <c r="L126" s="209">
        <f>IF($P126="","",INDEX('_Datos'!$W$7:$W$200,$P126))</f>
      </c>
      <c r="M126" s="205">
        <f>IF($P126="","",INDEX('_Datos'!$AC$7:$AC$200,$P126))</f>
      </c>
      <c r="P126" s="202">
        <f>IFERROR(MATCH(LARGE('_Datos'!$AJ$7:$AJ$200,ROW()-7+1),'_Datos'!$AJ$7:$AJ$200,0),"")</f>
      </c>
    </row>
    <row r="127">
      <c r="B127" s="204">
        <f>IF($P127="","",INDEX('_Datos'!$AB$7:$AB$200,$P127))</f>
      </c>
      <c r="C127" s="204">
        <f>IF($P127="","",INDEX('_Datos'!$AE$7:$AE$200,$P127))</f>
      </c>
      <c r="D127" s="205">
        <f>IF($P127="","",INDEX('_Datos'!$F$7:$F$200,$P127))</f>
      </c>
      <c r="E127" s="205">
        <f>IF($P127="","",INDEX('_Datos'!$G$7:$G$200,$P127))</f>
      </c>
      <c r="F127" s="207">
        <f>IF($P127="","",INDEX('_Datos'!$H$7:$H$200,$P127))</f>
      </c>
      <c r="G127" s="204">
        <f>IF($P127="","",INDEX('_Datos'!$J$7:$J$200,$P127))</f>
      </c>
      <c r="H127" s="209">
        <f>IF($P127="","",INDEX('_Datos'!$K$7:$K$200,$P127))</f>
      </c>
      <c r="I127" s="209">
        <f>IF($P127="","",INDEX('_Datos'!$S$7:$S$200,$P127))</f>
      </c>
      <c r="J127" s="209">
        <f>IF($P127="","",INDEX('_Datos'!$T$7:$T$200,$P127))</f>
      </c>
      <c r="K127" s="208">
        <f>IF($P127="","",INDEX('_Datos'!$V$7:$V$200,$P127))</f>
      </c>
      <c r="L127" s="209">
        <f>IF($P127="","",INDEX('_Datos'!$W$7:$W$200,$P127))</f>
      </c>
      <c r="M127" s="205">
        <f>IF($P127="","",INDEX('_Datos'!$AC$7:$AC$200,$P127))</f>
      </c>
      <c r="P127" s="202">
        <f>IFERROR(MATCH(LARGE('_Datos'!$AJ$7:$AJ$200,ROW()-7+1),'_Datos'!$AJ$7:$AJ$200,0),"")</f>
      </c>
    </row>
    <row r="128">
      <c r="B128" s="204">
        <f>IF($P128="","",INDEX('_Datos'!$AB$7:$AB$200,$P128))</f>
      </c>
      <c r="C128" s="204">
        <f>IF($P128="","",INDEX('_Datos'!$AE$7:$AE$200,$P128))</f>
      </c>
      <c r="D128" s="205">
        <f>IF($P128="","",INDEX('_Datos'!$F$7:$F$200,$P128))</f>
      </c>
      <c r="E128" s="205">
        <f>IF($P128="","",INDEX('_Datos'!$G$7:$G$200,$P128))</f>
      </c>
      <c r="F128" s="207">
        <f>IF($P128="","",INDEX('_Datos'!$H$7:$H$200,$P128))</f>
      </c>
      <c r="G128" s="204">
        <f>IF($P128="","",INDEX('_Datos'!$J$7:$J$200,$P128))</f>
      </c>
      <c r="H128" s="209">
        <f>IF($P128="","",INDEX('_Datos'!$K$7:$K$200,$P128))</f>
      </c>
      <c r="I128" s="209">
        <f>IF($P128="","",INDEX('_Datos'!$S$7:$S$200,$P128))</f>
      </c>
      <c r="J128" s="209">
        <f>IF($P128="","",INDEX('_Datos'!$T$7:$T$200,$P128))</f>
      </c>
      <c r="K128" s="208">
        <f>IF($P128="","",INDEX('_Datos'!$V$7:$V$200,$P128))</f>
      </c>
      <c r="L128" s="209">
        <f>IF($P128="","",INDEX('_Datos'!$W$7:$W$200,$P128))</f>
      </c>
      <c r="M128" s="205">
        <f>IF($P128="","",INDEX('_Datos'!$AC$7:$AC$200,$P128))</f>
      </c>
      <c r="P128" s="202">
        <f>IFERROR(MATCH(LARGE('_Datos'!$AJ$7:$AJ$200,ROW()-7+1),'_Datos'!$AJ$7:$AJ$200,0),"")</f>
      </c>
    </row>
    <row r="129">
      <c r="B129" s="204">
        <f>IF($P129="","",INDEX('_Datos'!$AB$7:$AB$200,$P129))</f>
      </c>
      <c r="C129" s="204">
        <f>IF($P129="","",INDEX('_Datos'!$AE$7:$AE$200,$P129))</f>
      </c>
      <c r="D129" s="205">
        <f>IF($P129="","",INDEX('_Datos'!$F$7:$F$200,$P129))</f>
      </c>
      <c r="E129" s="205">
        <f>IF($P129="","",INDEX('_Datos'!$G$7:$G$200,$P129))</f>
      </c>
      <c r="F129" s="207">
        <f>IF($P129="","",INDEX('_Datos'!$H$7:$H$200,$P129))</f>
      </c>
      <c r="G129" s="204">
        <f>IF($P129="","",INDEX('_Datos'!$J$7:$J$200,$P129))</f>
      </c>
      <c r="H129" s="209">
        <f>IF($P129="","",INDEX('_Datos'!$K$7:$K$200,$P129))</f>
      </c>
      <c r="I129" s="209">
        <f>IF($P129="","",INDEX('_Datos'!$S$7:$S$200,$P129))</f>
      </c>
      <c r="J129" s="209">
        <f>IF($P129="","",INDEX('_Datos'!$T$7:$T$200,$P129))</f>
      </c>
      <c r="K129" s="208">
        <f>IF($P129="","",INDEX('_Datos'!$V$7:$V$200,$P129))</f>
      </c>
      <c r="L129" s="209">
        <f>IF($P129="","",INDEX('_Datos'!$W$7:$W$200,$P129))</f>
      </c>
      <c r="M129" s="205">
        <f>IF($P129="","",INDEX('_Datos'!$AC$7:$AC$200,$P129))</f>
      </c>
      <c r="P129" s="202">
        <f>IFERROR(MATCH(LARGE('_Datos'!$AJ$7:$AJ$200,ROW()-7+1),'_Datos'!$AJ$7:$AJ$200,0),"")</f>
      </c>
    </row>
    <row r="130">
      <c r="B130" s="204">
        <f>IF($P130="","",INDEX('_Datos'!$AB$7:$AB$200,$P130))</f>
      </c>
      <c r="C130" s="204">
        <f>IF($P130="","",INDEX('_Datos'!$AE$7:$AE$200,$P130))</f>
      </c>
      <c r="D130" s="205">
        <f>IF($P130="","",INDEX('_Datos'!$F$7:$F$200,$P130))</f>
      </c>
      <c r="E130" s="205">
        <f>IF($P130="","",INDEX('_Datos'!$G$7:$G$200,$P130))</f>
      </c>
      <c r="F130" s="207">
        <f>IF($P130="","",INDEX('_Datos'!$H$7:$H$200,$P130))</f>
      </c>
      <c r="G130" s="204">
        <f>IF($P130="","",INDEX('_Datos'!$J$7:$J$200,$P130))</f>
      </c>
      <c r="H130" s="209">
        <f>IF($P130="","",INDEX('_Datos'!$K$7:$K$200,$P130))</f>
      </c>
      <c r="I130" s="209">
        <f>IF($P130="","",INDEX('_Datos'!$S$7:$S$200,$P130))</f>
      </c>
      <c r="J130" s="209">
        <f>IF($P130="","",INDEX('_Datos'!$T$7:$T$200,$P130))</f>
      </c>
      <c r="K130" s="208">
        <f>IF($P130="","",INDEX('_Datos'!$V$7:$V$200,$P130))</f>
      </c>
      <c r="L130" s="209">
        <f>IF($P130="","",INDEX('_Datos'!$W$7:$W$200,$P130))</f>
      </c>
      <c r="M130" s="205">
        <f>IF($P130="","",INDEX('_Datos'!$AC$7:$AC$200,$P130))</f>
      </c>
      <c r="P130" s="202">
        <f>IFERROR(MATCH(LARGE('_Datos'!$AJ$7:$AJ$200,ROW()-7+1),'_Datos'!$AJ$7:$AJ$200,0),"")</f>
      </c>
    </row>
    <row r="131">
      <c r="B131" s="204">
        <f>IF($P131="","",INDEX('_Datos'!$AB$7:$AB$200,$P131))</f>
      </c>
      <c r="C131" s="204">
        <f>IF($P131="","",INDEX('_Datos'!$AE$7:$AE$200,$P131))</f>
      </c>
      <c r="D131" s="205">
        <f>IF($P131="","",INDEX('_Datos'!$F$7:$F$200,$P131))</f>
      </c>
      <c r="E131" s="205">
        <f>IF($P131="","",INDEX('_Datos'!$G$7:$G$200,$P131))</f>
      </c>
      <c r="F131" s="207">
        <f>IF($P131="","",INDEX('_Datos'!$H$7:$H$200,$P131))</f>
      </c>
      <c r="G131" s="204">
        <f>IF($P131="","",INDEX('_Datos'!$J$7:$J$200,$P131))</f>
      </c>
      <c r="H131" s="209">
        <f>IF($P131="","",INDEX('_Datos'!$K$7:$K$200,$P131))</f>
      </c>
      <c r="I131" s="209">
        <f>IF($P131="","",INDEX('_Datos'!$S$7:$S$200,$P131))</f>
      </c>
      <c r="J131" s="209">
        <f>IF($P131="","",INDEX('_Datos'!$T$7:$T$200,$P131))</f>
      </c>
      <c r="K131" s="208">
        <f>IF($P131="","",INDEX('_Datos'!$V$7:$V$200,$P131))</f>
      </c>
      <c r="L131" s="209">
        <f>IF($P131="","",INDEX('_Datos'!$W$7:$W$200,$P131))</f>
      </c>
      <c r="M131" s="205">
        <f>IF($P131="","",INDEX('_Datos'!$AC$7:$AC$200,$P131))</f>
      </c>
      <c r="P131" s="202">
        <f>IFERROR(MATCH(LARGE('_Datos'!$AJ$7:$AJ$200,ROW()-7+1),'_Datos'!$AJ$7:$AJ$200,0),"")</f>
      </c>
    </row>
    <row r="132">
      <c r="B132" s="204">
        <f>IF($P132="","",INDEX('_Datos'!$AB$7:$AB$200,$P132))</f>
      </c>
      <c r="C132" s="204">
        <f>IF($P132="","",INDEX('_Datos'!$AE$7:$AE$200,$P132))</f>
      </c>
      <c r="D132" s="205">
        <f>IF($P132="","",INDEX('_Datos'!$F$7:$F$200,$P132))</f>
      </c>
      <c r="E132" s="205">
        <f>IF($P132="","",INDEX('_Datos'!$G$7:$G$200,$P132))</f>
      </c>
      <c r="F132" s="207">
        <f>IF($P132="","",INDEX('_Datos'!$H$7:$H$200,$P132))</f>
      </c>
      <c r="G132" s="204">
        <f>IF($P132="","",INDEX('_Datos'!$J$7:$J$200,$P132))</f>
      </c>
      <c r="H132" s="209">
        <f>IF($P132="","",INDEX('_Datos'!$K$7:$K$200,$P132))</f>
      </c>
      <c r="I132" s="209">
        <f>IF($P132="","",INDEX('_Datos'!$S$7:$S$200,$P132))</f>
      </c>
      <c r="J132" s="209">
        <f>IF($P132="","",INDEX('_Datos'!$T$7:$T$200,$P132))</f>
      </c>
      <c r="K132" s="208">
        <f>IF($P132="","",INDEX('_Datos'!$V$7:$V$200,$P132))</f>
      </c>
      <c r="L132" s="209">
        <f>IF($P132="","",INDEX('_Datos'!$W$7:$W$200,$P132))</f>
      </c>
      <c r="M132" s="205">
        <f>IF($P132="","",INDEX('_Datos'!$AC$7:$AC$200,$P132))</f>
      </c>
      <c r="P132" s="202">
        <f>IFERROR(MATCH(LARGE('_Datos'!$AJ$7:$AJ$200,ROW()-7+1),'_Datos'!$AJ$7:$AJ$200,0),"")</f>
      </c>
    </row>
    <row r="133">
      <c r="B133" s="204">
        <f>IF($P133="","",INDEX('_Datos'!$AB$7:$AB$200,$P133))</f>
      </c>
      <c r="C133" s="204">
        <f>IF($P133="","",INDEX('_Datos'!$AE$7:$AE$200,$P133))</f>
      </c>
      <c r="D133" s="205">
        <f>IF($P133="","",INDEX('_Datos'!$F$7:$F$200,$P133))</f>
      </c>
      <c r="E133" s="205">
        <f>IF($P133="","",INDEX('_Datos'!$G$7:$G$200,$P133))</f>
      </c>
      <c r="F133" s="207">
        <f>IF($P133="","",INDEX('_Datos'!$H$7:$H$200,$P133))</f>
      </c>
      <c r="G133" s="204">
        <f>IF($P133="","",INDEX('_Datos'!$J$7:$J$200,$P133))</f>
      </c>
      <c r="H133" s="209">
        <f>IF($P133="","",INDEX('_Datos'!$K$7:$K$200,$P133))</f>
      </c>
      <c r="I133" s="209">
        <f>IF($P133="","",INDEX('_Datos'!$S$7:$S$200,$P133))</f>
      </c>
      <c r="J133" s="209">
        <f>IF($P133="","",INDEX('_Datos'!$T$7:$T$200,$P133))</f>
      </c>
      <c r="K133" s="208">
        <f>IF($P133="","",INDEX('_Datos'!$V$7:$V$200,$P133))</f>
      </c>
      <c r="L133" s="209">
        <f>IF($P133="","",INDEX('_Datos'!$W$7:$W$200,$P133))</f>
      </c>
      <c r="M133" s="205">
        <f>IF($P133="","",INDEX('_Datos'!$AC$7:$AC$200,$P133))</f>
      </c>
      <c r="P133" s="202">
        <f>IFERROR(MATCH(LARGE('_Datos'!$AJ$7:$AJ$200,ROW()-7+1),'_Datos'!$AJ$7:$AJ$200,0),"")</f>
      </c>
    </row>
    <row r="134">
      <c r="B134" s="204">
        <f>IF($P134="","",INDEX('_Datos'!$AB$7:$AB$200,$P134))</f>
      </c>
      <c r="C134" s="204">
        <f>IF($P134="","",INDEX('_Datos'!$AE$7:$AE$200,$P134))</f>
      </c>
      <c r="D134" s="205">
        <f>IF($P134="","",INDEX('_Datos'!$F$7:$F$200,$P134))</f>
      </c>
      <c r="E134" s="205">
        <f>IF($P134="","",INDEX('_Datos'!$G$7:$G$200,$P134))</f>
      </c>
      <c r="F134" s="207">
        <f>IF($P134="","",INDEX('_Datos'!$H$7:$H$200,$P134))</f>
      </c>
      <c r="G134" s="204">
        <f>IF($P134="","",INDEX('_Datos'!$J$7:$J$200,$P134))</f>
      </c>
      <c r="H134" s="209">
        <f>IF($P134="","",INDEX('_Datos'!$K$7:$K$200,$P134))</f>
      </c>
      <c r="I134" s="209">
        <f>IF($P134="","",INDEX('_Datos'!$S$7:$S$200,$P134))</f>
      </c>
      <c r="J134" s="209">
        <f>IF($P134="","",INDEX('_Datos'!$T$7:$T$200,$P134))</f>
      </c>
      <c r="K134" s="208">
        <f>IF($P134="","",INDEX('_Datos'!$V$7:$V$200,$P134))</f>
      </c>
      <c r="L134" s="209">
        <f>IF($P134="","",INDEX('_Datos'!$W$7:$W$200,$P134))</f>
      </c>
      <c r="M134" s="205">
        <f>IF($P134="","",INDEX('_Datos'!$AC$7:$AC$200,$P134))</f>
      </c>
      <c r="P134" s="202">
        <f>IFERROR(MATCH(LARGE('_Datos'!$AJ$7:$AJ$200,ROW()-7+1),'_Datos'!$AJ$7:$AJ$200,0),"")</f>
      </c>
    </row>
    <row r="135">
      <c r="B135" s="204">
        <f>IF($P135="","",INDEX('_Datos'!$AB$7:$AB$200,$P135))</f>
      </c>
      <c r="C135" s="204">
        <f>IF($P135="","",INDEX('_Datos'!$AE$7:$AE$200,$P135))</f>
      </c>
      <c r="D135" s="205">
        <f>IF($P135="","",INDEX('_Datos'!$F$7:$F$200,$P135))</f>
      </c>
      <c r="E135" s="205">
        <f>IF($P135="","",INDEX('_Datos'!$G$7:$G$200,$P135))</f>
      </c>
      <c r="F135" s="207">
        <f>IF($P135="","",INDEX('_Datos'!$H$7:$H$200,$P135))</f>
      </c>
      <c r="G135" s="204">
        <f>IF($P135="","",INDEX('_Datos'!$J$7:$J$200,$P135))</f>
      </c>
      <c r="H135" s="209">
        <f>IF($P135="","",INDEX('_Datos'!$K$7:$K$200,$P135))</f>
      </c>
      <c r="I135" s="209">
        <f>IF($P135="","",INDEX('_Datos'!$S$7:$S$200,$P135))</f>
      </c>
      <c r="J135" s="209">
        <f>IF($P135="","",INDEX('_Datos'!$T$7:$T$200,$P135))</f>
      </c>
      <c r="K135" s="208">
        <f>IF($P135="","",INDEX('_Datos'!$V$7:$V$200,$P135))</f>
      </c>
      <c r="L135" s="209">
        <f>IF($P135="","",INDEX('_Datos'!$W$7:$W$200,$P135))</f>
      </c>
      <c r="M135" s="205">
        <f>IF($P135="","",INDEX('_Datos'!$AC$7:$AC$200,$P135))</f>
      </c>
      <c r="P135" s="202">
        <f>IFERROR(MATCH(LARGE('_Datos'!$AJ$7:$AJ$200,ROW()-7+1),'_Datos'!$AJ$7:$AJ$200,0),"")</f>
      </c>
    </row>
    <row r="136">
      <c r="B136" s="204">
        <f>IF($P136="","",INDEX('_Datos'!$AB$7:$AB$200,$P136))</f>
      </c>
      <c r="C136" s="204">
        <f>IF($P136="","",INDEX('_Datos'!$AE$7:$AE$200,$P136))</f>
      </c>
      <c r="D136" s="205">
        <f>IF($P136="","",INDEX('_Datos'!$F$7:$F$200,$P136))</f>
      </c>
      <c r="E136" s="205">
        <f>IF($P136="","",INDEX('_Datos'!$G$7:$G$200,$P136))</f>
      </c>
      <c r="F136" s="207">
        <f>IF($P136="","",INDEX('_Datos'!$H$7:$H$200,$P136))</f>
      </c>
      <c r="G136" s="204">
        <f>IF($P136="","",INDEX('_Datos'!$J$7:$J$200,$P136))</f>
      </c>
      <c r="H136" s="209">
        <f>IF($P136="","",INDEX('_Datos'!$K$7:$K$200,$P136))</f>
      </c>
      <c r="I136" s="209">
        <f>IF($P136="","",INDEX('_Datos'!$S$7:$S$200,$P136))</f>
      </c>
      <c r="J136" s="209">
        <f>IF($P136="","",INDEX('_Datos'!$T$7:$T$200,$P136))</f>
      </c>
      <c r="K136" s="208">
        <f>IF($P136="","",INDEX('_Datos'!$V$7:$V$200,$P136))</f>
      </c>
      <c r="L136" s="209">
        <f>IF($P136="","",INDEX('_Datos'!$W$7:$W$200,$P136))</f>
      </c>
      <c r="M136" s="205">
        <f>IF($P136="","",INDEX('_Datos'!$AC$7:$AC$200,$P136))</f>
      </c>
      <c r="P136" s="202">
        <f>IFERROR(MATCH(LARGE('_Datos'!$AJ$7:$AJ$200,ROW()-7+1),'_Datos'!$AJ$7:$AJ$200,0),"")</f>
      </c>
    </row>
    <row r="137">
      <c r="B137" s="204">
        <f>IF($P137="","",INDEX('_Datos'!$AB$7:$AB$200,$P137))</f>
      </c>
      <c r="C137" s="204">
        <f>IF($P137="","",INDEX('_Datos'!$AE$7:$AE$200,$P137))</f>
      </c>
      <c r="D137" s="205">
        <f>IF($P137="","",INDEX('_Datos'!$F$7:$F$200,$P137))</f>
      </c>
      <c r="E137" s="205">
        <f>IF($P137="","",INDEX('_Datos'!$G$7:$G$200,$P137))</f>
      </c>
      <c r="F137" s="207">
        <f>IF($P137="","",INDEX('_Datos'!$H$7:$H$200,$P137))</f>
      </c>
      <c r="G137" s="204">
        <f>IF($P137="","",INDEX('_Datos'!$J$7:$J$200,$P137))</f>
      </c>
      <c r="H137" s="209">
        <f>IF($P137="","",INDEX('_Datos'!$K$7:$K$200,$P137))</f>
      </c>
      <c r="I137" s="209">
        <f>IF($P137="","",INDEX('_Datos'!$S$7:$S$200,$P137))</f>
      </c>
      <c r="J137" s="209">
        <f>IF($P137="","",INDEX('_Datos'!$T$7:$T$200,$P137))</f>
      </c>
      <c r="K137" s="208">
        <f>IF($P137="","",INDEX('_Datos'!$V$7:$V$200,$P137))</f>
      </c>
      <c r="L137" s="209">
        <f>IF($P137="","",INDEX('_Datos'!$W$7:$W$200,$P137))</f>
      </c>
      <c r="M137" s="205">
        <f>IF($P137="","",INDEX('_Datos'!$AC$7:$AC$200,$P137))</f>
      </c>
      <c r="P137" s="202">
        <f>IFERROR(MATCH(LARGE('_Datos'!$AJ$7:$AJ$200,ROW()-7+1),'_Datos'!$AJ$7:$AJ$200,0),"")</f>
      </c>
    </row>
    <row r="138">
      <c r="B138" s="204">
        <f>IF($P138="","",INDEX('_Datos'!$AB$7:$AB$200,$P138))</f>
      </c>
      <c r="C138" s="204">
        <f>IF($P138="","",INDEX('_Datos'!$AE$7:$AE$200,$P138))</f>
      </c>
      <c r="D138" s="205">
        <f>IF($P138="","",INDEX('_Datos'!$F$7:$F$200,$P138))</f>
      </c>
      <c r="E138" s="205">
        <f>IF($P138="","",INDEX('_Datos'!$G$7:$G$200,$P138))</f>
      </c>
      <c r="F138" s="207">
        <f>IF($P138="","",INDEX('_Datos'!$H$7:$H$200,$P138))</f>
      </c>
      <c r="G138" s="204">
        <f>IF($P138="","",INDEX('_Datos'!$J$7:$J$200,$P138))</f>
      </c>
      <c r="H138" s="209">
        <f>IF($P138="","",INDEX('_Datos'!$K$7:$K$200,$P138))</f>
      </c>
      <c r="I138" s="209">
        <f>IF($P138="","",INDEX('_Datos'!$S$7:$S$200,$P138))</f>
      </c>
      <c r="J138" s="209">
        <f>IF($P138="","",INDEX('_Datos'!$T$7:$T$200,$P138))</f>
      </c>
      <c r="K138" s="208">
        <f>IF($P138="","",INDEX('_Datos'!$V$7:$V$200,$P138))</f>
      </c>
      <c r="L138" s="209">
        <f>IF($P138="","",INDEX('_Datos'!$W$7:$W$200,$P138))</f>
      </c>
      <c r="M138" s="205">
        <f>IF($P138="","",INDEX('_Datos'!$AC$7:$AC$200,$P138))</f>
      </c>
      <c r="P138" s="202">
        <f>IFERROR(MATCH(LARGE('_Datos'!$AJ$7:$AJ$200,ROW()-7+1),'_Datos'!$AJ$7:$AJ$200,0),"")</f>
      </c>
    </row>
    <row r="139">
      <c r="B139" s="204">
        <f>IF($P139="","",INDEX('_Datos'!$AB$7:$AB$200,$P139))</f>
      </c>
      <c r="C139" s="204">
        <f>IF($P139="","",INDEX('_Datos'!$AE$7:$AE$200,$P139))</f>
      </c>
      <c r="D139" s="205">
        <f>IF($P139="","",INDEX('_Datos'!$F$7:$F$200,$P139))</f>
      </c>
      <c r="E139" s="205">
        <f>IF($P139="","",INDEX('_Datos'!$G$7:$G$200,$P139))</f>
      </c>
      <c r="F139" s="207">
        <f>IF($P139="","",INDEX('_Datos'!$H$7:$H$200,$P139))</f>
      </c>
      <c r="G139" s="204">
        <f>IF($P139="","",INDEX('_Datos'!$J$7:$J$200,$P139))</f>
      </c>
      <c r="H139" s="209">
        <f>IF($P139="","",INDEX('_Datos'!$K$7:$K$200,$P139))</f>
      </c>
      <c r="I139" s="209">
        <f>IF($P139="","",INDEX('_Datos'!$S$7:$S$200,$P139))</f>
      </c>
      <c r="J139" s="209">
        <f>IF($P139="","",INDEX('_Datos'!$T$7:$T$200,$P139))</f>
      </c>
      <c r="K139" s="208">
        <f>IF($P139="","",INDEX('_Datos'!$V$7:$V$200,$P139))</f>
      </c>
      <c r="L139" s="209">
        <f>IF($P139="","",INDEX('_Datos'!$W$7:$W$200,$P139))</f>
      </c>
      <c r="M139" s="205">
        <f>IF($P139="","",INDEX('_Datos'!$AC$7:$AC$200,$P139))</f>
      </c>
      <c r="P139" s="202">
        <f>IFERROR(MATCH(LARGE('_Datos'!$AJ$7:$AJ$200,ROW()-7+1),'_Datos'!$AJ$7:$AJ$200,0),"")</f>
      </c>
    </row>
    <row r="140">
      <c r="B140" s="204">
        <f>IF($P140="","",INDEX('_Datos'!$AB$7:$AB$200,$P140))</f>
      </c>
      <c r="C140" s="204">
        <f>IF($P140="","",INDEX('_Datos'!$AE$7:$AE$200,$P140))</f>
      </c>
      <c r="D140" s="205">
        <f>IF($P140="","",INDEX('_Datos'!$F$7:$F$200,$P140))</f>
      </c>
      <c r="E140" s="205">
        <f>IF($P140="","",INDEX('_Datos'!$G$7:$G$200,$P140))</f>
      </c>
      <c r="F140" s="207">
        <f>IF($P140="","",INDEX('_Datos'!$H$7:$H$200,$P140))</f>
      </c>
      <c r="G140" s="204">
        <f>IF($P140="","",INDEX('_Datos'!$J$7:$J$200,$P140))</f>
      </c>
      <c r="H140" s="209">
        <f>IF($P140="","",INDEX('_Datos'!$K$7:$K$200,$P140))</f>
      </c>
      <c r="I140" s="209">
        <f>IF($P140="","",INDEX('_Datos'!$S$7:$S$200,$P140))</f>
      </c>
      <c r="J140" s="209">
        <f>IF($P140="","",INDEX('_Datos'!$T$7:$T$200,$P140))</f>
      </c>
      <c r="K140" s="208">
        <f>IF($P140="","",INDEX('_Datos'!$V$7:$V$200,$P140))</f>
      </c>
      <c r="L140" s="209">
        <f>IF($P140="","",INDEX('_Datos'!$W$7:$W$200,$P140))</f>
      </c>
      <c r="M140" s="205">
        <f>IF($P140="","",INDEX('_Datos'!$AC$7:$AC$200,$P140))</f>
      </c>
      <c r="P140" s="202">
        <f>IFERROR(MATCH(LARGE('_Datos'!$AJ$7:$AJ$200,ROW()-7+1),'_Datos'!$AJ$7:$AJ$200,0),"")</f>
      </c>
    </row>
    <row r="141">
      <c r="B141" s="204">
        <f>IF($P141="","",INDEX('_Datos'!$AB$7:$AB$200,$P141))</f>
      </c>
      <c r="C141" s="204">
        <f>IF($P141="","",INDEX('_Datos'!$AE$7:$AE$200,$P141))</f>
      </c>
      <c r="D141" s="205">
        <f>IF($P141="","",INDEX('_Datos'!$F$7:$F$200,$P141))</f>
      </c>
      <c r="E141" s="205">
        <f>IF($P141="","",INDEX('_Datos'!$G$7:$G$200,$P141))</f>
      </c>
      <c r="F141" s="207">
        <f>IF($P141="","",INDEX('_Datos'!$H$7:$H$200,$P141))</f>
      </c>
      <c r="G141" s="204">
        <f>IF($P141="","",INDEX('_Datos'!$J$7:$J$200,$P141))</f>
      </c>
      <c r="H141" s="209">
        <f>IF($P141="","",INDEX('_Datos'!$K$7:$K$200,$P141))</f>
      </c>
      <c r="I141" s="209">
        <f>IF($P141="","",INDEX('_Datos'!$S$7:$S$200,$P141))</f>
      </c>
      <c r="J141" s="209">
        <f>IF($P141="","",INDEX('_Datos'!$T$7:$T$200,$P141))</f>
      </c>
      <c r="K141" s="208">
        <f>IF($P141="","",INDEX('_Datos'!$V$7:$V$200,$P141))</f>
      </c>
      <c r="L141" s="209">
        <f>IF($P141="","",INDEX('_Datos'!$W$7:$W$200,$P141))</f>
      </c>
      <c r="M141" s="205">
        <f>IF($P141="","",INDEX('_Datos'!$AC$7:$AC$200,$P141))</f>
      </c>
      <c r="P141" s="202">
        <f>IFERROR(MATCH(LARGE('_Datos'!$AJ$7:$AJ$200,ROW()-7+1),'_Datos'!$AJ$7:$AJ$200,0),"")</f>
      </c>
    </row>
    <row r="142">
      <c r="B142" s="204">
        <f>IF($P142="","",INDEX('_Datos'!$AB$7:$AB$200,$P142))</f>
      </c>
      <c r="C142" s="204">
        <f>IF($P142="","",INDEX('_Datos'!$AE$7:$AE$200,$P142))</f>
      </c>
      <c r="D142" s="205">
        <f>IF($P142="","",INDEX('_Datos'!$F$7:$F$200,$P142))</f>
      </c>
      <c r="E142" s="205">
        <f>IF($P142="","",INDEX('_Datos'!$G$7:$G$200,$P142))</f>
      </c>
      <c r="F142" s="207">
        <f>IF($P142="","",INDEX('_Datos'!$H$7:$H$200,$P142))</f>
      </c>
      <c r="G142" s="204">
        <f>IF($P142="","",INDEX('_Datos'!$J$7:$J$200,$P142))</f>
      </c>
      <c r="H142" s="209">
        <f>IF($P142="","",INDEX('_Datos'!$K$7:$K$200,$P142))</f>
      </c>
      <c r="I142" s="209">
        <f>IF($P142="","",INDEX('_Datos'!$S$7:$S$200,$P142))</f>
      </c>
      <c r="J142" s="209">
        <f>IF($P142="","",INDEX('_Datos'!$T$7:$T$200,$P142))</f>
      </c>
      <c r="K142" s="208">
        <f>IF($P142="","",INDEX('_Datos'!$V$7:$V$200,$P142))</f>
      </c>
      <c r="L142" s="209">
        <f>IF($P142="","",INDEX('_Datos'!$W$7:$W$200,$P142))</f>
      </c>
      <c r="M142" s="205">
        <f>IF($P142="","",INDEX('_Datos'!$AC$7:$AC$200,$P142))</f>
      </c>
      <c r="P142" s="202">
        <f>IFERROR(MATCH(LARGE('_Datos'!$AJ$7:$AJ$200,ROW()-7+1),'_Datos'!$AJ$7:$AJ$200,0),"")</f>
      </c>
    </row>
    <row r="143">
      <c r="B143" s="204">
        <f>IF($P143="","",INDEX('_Datos'!$AB$7:$AB$200,$P143))</f>
      </c>
      <c r="C143" s="204">
        <f>IF($P143="","",INDEX('_Datos'!$AE$7:$AE$200,$P143))</f>
      </c>
      <c r="D143" s="205">
        <f>IF($P143="","",INDEX('_Datos'!$F$7:$F$200,$P143))</f>
      </c>
      <c r="E143" s="205">
        <f>IF($P143="","",INDEX('_Datos'!$G$7:$G$200,$P143))</f>
      </c>
      <c r="F143" s="207">
        <f>IF($P143="","",INDEX('_Datos'!$H$7:$H$200,$P143))</f>
      </c>
      <c r="G143" s="204">
        <f>IF($P143="","",INDEX('_Datos'!$J$7:$J$200,$P143))</f>
      </c>
      <c r="H143" s="209">
        <f>IF($P143="","",INDEX('_Datos'!$K$7:$K$200,$P143))</f>
      </c>
      <c r="I143" s="209">
        <f>IF($P143="","",INDEX('_Datos'!$S$7:$S$200,$P143))</f>
      </c>
      <c r="J143" s="209">
        <f>IF($P143="","",INDEX('_Datos'!$T$7:$T$200,$P143))</f>
      </c>
      <c r="K143" s="208">
        <f>IF($P143="","",INDEX('_Datos'!$V$7:$V$200,$P143))</f>
      </c>
      <c r="L143" s="209">
        <f>IF($P143="","",INDEX('_Datos'!$W$7:$W$200,$P143))</f>
      </c>
      <c r="M143" s="205">
        <f>IF($P143="","",INDEX('_Datos'!$AC$7:$AC$200,$P143))</f>
      </c>
      <c r="P143" s="202">
        <f>IFERROR(MATCH(LARGE('_Datos'!$AJ$7:$AJ$200,ROW()-7+1),'_Datos'!$AJ$7:$AJ$200,0),"")</f>
      </c>
    </row>
    <row r="144">
      <c r="B144" s="204">
        <f>IF($P144="","",INDEX('_Datos'!$AB$7:$AB$200,$P144))</f>
      </c>
      <c r="C144" s="204">
        <f>IF($P144="","",INDEX('_Datos'!$AE$7:$AE$200,$P144))</f>
      </c>
      <c r="D144" s="205">
        <f>IF($P144="","",INDEX('_Datos'!$F$7:$F$200,$P144))</f>
      </c>
      <c r="E144" s="205">
        <f>IF($P144="","",INDEX('_Datos'!$G$7:$G$200,$P144))</f>
      </c>
      <c r="F144" s="207">
        <f>IF($P144="","",INDEX('_Datos'!$H$7:$H$200,$P144))</f>
      </c>
      <c r="G144" s="204">
        <f>IF($P144="","",INDEX('_Datos'!$J$7:$J$200,$P144))</f>
      </c>
      <c r="H144" s="209">
        <f>IF($P144="","",INDEX('_Datos'!$K$7:$K$200,$P144))</f>
      </c>
      <c r="I144" s="209">
        <f>IF($P144="","",INDEX('_Datos'!$S$7:$S$200,$P144))</f>
      </c>
      <c r="J144" s="209">
        <f>IF($P144="","",INDEX('_Datos'!$T$7:$T$200,$P144))</f>
      </c>
      <c r="K144" s="208">
        <f>IF($P144="","",INDEX('_Datos'!$V$7:$V$200,$P144))</f>
      </c>
      <c r="L144" s="209">
        <f>IF($P144="","",INDEX('_Datos'!$W$7:$W$200,$P144))</f>
      </c>
      <c r="M144" s="205">
        <f>IF($P144="","",INDEX('_Datos'!$AC$7:$AC$200,$P144))</f>
      </c>
      <c r="P144" s="202">
        <f>IFERROR(MATCH(LARGE('_Datos'!$AJ$7:$AJ$200,ROW()-7+1),'_Datos'!$AJ$7:$AJ$200,0),"")</f>
      </c>
    </row>
    <row r="145">
      <c r="B145" s="204">
        <f>IF($P145="","",INDEX('_Datos'!$AB$7:$AB$200,$P145))</f>
      </c>
      <c r="C145" s="204">
        <f>IF($P145="","",INDEX('_Datos'!$AE$7:$AE$200,$P145))</f>
      </c>
      <c r="D145" s="205">
        <f>IF($P145="","",INDEX('_Datos'!$F$7:$F$200,$P145))</f>
      </c>
      <c r="E145" s="205">
        <f>IF($P145="","",INDEX('_Datos'!$G$7:$G$200,$P145))</f>
      </c>
      <c r="F145" s="207">
        <f>IF($P145="","",INDEX('_Datos'!$H$7:$H$200,$P145))</f>
      </c>
      <c r="G145" s="204">
        <f>IF($P145="","",INDEX('_Datos'!$J$7:$J$200,$P145))</f>
      </c>
      <c r="H145" s="209">
        <f>IF($P145="","",INDEX('_Datos'!$K$7:$K$200,$P145))</f>
      </c>
      <c r="I145" s="209">
        <f>IF($P145="","",INDEX('_Datos'!$S$7:$S$200,$P145))</f>
      </c>
      <c r="J145" s="209">
        <f>IF($P145="","",INDEX('_Datos'!$T$7:$T$200,$P145))</f>
      </c>
      <c r="K145" s="208">
        <f>IF($P145="","",INDEX('_Datos'!$V$7:$V$200,$P145))</f>
      </c>
      <c r="L145" s="209">
        <f>IF($P145="","",INDEX('_Datos'!$W$7:$W$200,$P145))</f>
      </c>
      <c r="M145" s="205">
        <f>IF($P145="","",INDEX('_Datos'!$AC$7:$AC$200,$P145))</f>
      </c>
      <c r="P145" s="202">
        <f>IFERROR(MATCH(LARGE('_Datos'!$AJ$7:$AJ$200,ROW()-7+1),'_Datos'!$AJ$7:$AJ$200,0),"")</f>
      </c>
    </row>
    <row r="146">
      <c r="B146" s="204">
        <f>IF($P146="","",INDEX('_Datos'!$AB$7:$AB$200,$P146))</f>
      </c>
      <c r="C146" s="204">
        <f>IF($P146="","",INDEX('_Datos'!$AE$7:$AE$200,$P146))</f>
      </c>
      <c r="D146" s="205">
        <f>IF($P146="","",INDEX('_Datos'!$F$7:$F$200,$P146))</f>
      </c>
      <c r="E146" s="205">
        <f>IF($P146="","",INDEX('_Datos'!$G$7:$G$200,$P146))</f>
      </c>
      <c r="F146" s="207">
        <f>IF($P146="","",INDEX('_Datos'!$H$7:$H$200,$P146))</f>
      </c>
      <c r="G146" s="204">
        <f>IF($P146="","",INDEX('_Datos'!$J$7:$J$200,$P146))</f>
      </c>
      <c r="H146" s="209">
        <f>IF($P146="","",INDEX('_Datos'!$K$7:$K$200,$P146))</f>
      </c>
      <c r="I146" s="209">
        <f>IF($P146="","",INDEX('_Datos'!$S$7:$S$200,$P146))</f>
      </c>
      <c r="J146" s="209">
        <f>IF($P146="","",INDEX('_Datos'!$T$7:$T$200,$P146))</f>
      </c>
      <c r="K146" s="208">
        <f>IF($P146="","",INDEX('_Datos'!$V$7:$V$200,$P146))</f>
      </c>
      <c r="L146" s="209">
        <f>IF($P146="","",INDEX('_Datos'!$W$7:$W$200,$P146))</f>
      </c>
      <c r="M146" s="205">
        <f>IF($P146="","",INDEX('_Datos'!$AC$7:$AC$200,$P146))</f>
      </c>
      <c r="P146" s="202">
        <f>IFERROR(MATCH(LARGE('_Datos'!$AJ$7:$AJ$200,ROW()-7+1),'_Datos'!$AJ$7:$AJ$200,0),"")</f>
      </c>
    </row>
    <row r="147">
      <c r="B147" s="204">
        <f>IF($P147="","",INDEX('_Datos'!$AB$7:$AB$200,$P147))</f>
      </c>
      <c r="C147" s="204">
        <f>IF($P147="","",INDEX('_Datos'!$AE$7:$AE$200,$P147))</f>
      </c>
      <c r="D147" s="205">
        <f>IF($P147="","",INDEX('_Datos'!$F$7:$F$200,$P147))</f>
      </c>
      <c r="E147" s="205">
        <f>IF($P147="","",INDEX('_Datos'!$G$7:$G$200,$P147))</f>
      </c>
      <c r="F147" s="207">
        <f>IF($P147="","",INDEX('_Datos'!$H$7:$H$200,$P147))</f>
      </c>
      <c r="G147" s="204">
        <f>IF($P147="","",INDEX('_Datos'!$J$7:$J$200,$P147))</f>
      </c>
      <c r="H147" s="209">
        <f>IF($P147="","",INDEX('_Datos'!$K$7:$K$200,$P147))</f>
      </c>
      <c r="I147" s="209">
        <f>IF($P147="","",INDEX('_Datos'!$S$7:$S$200,$P147))</f>
      </c>
      <c r="J147" s="209">
        <f>IF($P147="","",INDEX('_Datos'!$T$7:$T$200,$P147))</f>
      </c>
      <c r="K147" s="208">
        <f>IF($P147="","",INDEX('_Datos'!$V$7:$V$200,$P147))</f>
      </c>
      <c r="L147" s="209">
        <f>IF($P147="","",INDEX('_Datos'!$W$7:$W$200,$P147))</f>
      </c>
      <c r="M147" s="205">
        <f>IF($P147="","",INDEX('_Datos'!$AC$7:$AC$200,$P147))</f>
      </c>
      <c r="P147" s="202">
        <f>IFERROR(MATCH(LARGE('_Datos'!$AJ$7:$AJ$200,ROW()-7+1),'_Datos'!$AJ$7:$AJ$200,0),"")</f>
      </c>
    </row>
    <row r="148">
      <c r="B148" s="204">
        <f>IF($P148="","",INDEX('_Datos'!$AB$7:$AB$200,$P148))</f>
      </c>
      <c r="C148" s="204">
        <f>IF($P148="","",INDEX('_Datos'!$AE$7:$AE$200,$P148))</f>
      </c>
      <c r="D148" s="205">
        <f>IF($P148="","",INDEX('_Datos'!$F$7:$F$200,$P148))</f>
      </c>
      <c r="E148" s="205">
        <f>IF($P148="","",INDEX('_Datos'!$G$7:$G$200,$P148))</f>
      </c>
      <c r="F148" s="207">
        <f>IF($P148="","",INDEX('_Datos'!$H$7:$H$200,$P148))</f>
      </c>
      <c r="G148" s="204">
        <f>IF($P148="","",INDEX('_Datos'!$J$7:$J$200,$P148))</f>
      </c>
      <c r="H148" s="209">
        <f>IF($P148="","",INDEX('_Datos'!$K$7:$K$200,$P148))</f>
      </c>
      <c r="I148" s="209">
        <f>IF($P148="","",INDEX('_Datos'!$S$7:$S$200,$P148))</f>
      </c>
      <c r="J148" s="209">
        <f>IF($P148="","",INDEX('_Datos'!$T$7:$T$200,$P148))</f>
      </c>
      <c r="K148" s="208">
        <f>IF($P148="","",INDEX('_Datos'!$V$7:$V$200,$P148))</f>
      </c>
      <c r="L148" s="209">
        <f>IF($P148="","",INDEX('_Datos'!$W$7:$W$200,$P148))</f>
      </c>
      <c r="M148" s="205">
        <f>IF($P148="","",INDEX('_Datos'!$AC$7:$AC$200,$P148))</f>
      </c>
      <c r="P148" s="202">
        <f>IFERROR(MATCH(LARGE('_Datos'!$AJ$7:$AJ$200,ROW()-7+1),'_Datos'!$AJ$7:$AJ$200,0),"")</f>
      </c>
    </row>
    <row r="149">
      <c r="B149" s="204">
        <f>IF($P149="","",INDEX('_Datos'!$AB$7:$AB$200,$P149))</f>
      </c>
      <c r="C149" s="204">
        <f>IF($P149="","",INDEX('_Datos'!$AE$7:$AE$200,$P149))</f>
      </c>
      <c r="D149" s="205">
        <f>IF($P149="","",INDEX('_Datos'!$F$7:$F$200,$P149))</f>
      </c>
      <c r="E149" s="205">
        <f>IF($P149="","",INDEX('_Datos'!$G$7:$G$200,$P149))</f>
      </c>
      <c r="F149" s="207">
        <f>IF($P149="","",INDEX('_Datos'!$H$7:$H$200,$P149))</f>
      </c>
      <c r="G149" s="204">
        <f>IF($P149="","",INDEX('_Datos'!$J$7:$J$200,$P149))</f>
      </c>
      <c r="H149" s="209">
        <f>IF($P149="","",INDEX('_Datos'!$K$7:$K$200,$P149))</f>
      </c>
      <c r="I149" s="209">
        <f>IF($P149="","",INDEX('_Datos'!$S$7:$S$200,$P149))</f>
      </c>
      <c r="J149" s="209">
        <f>IF($P149="","",INDEX('_Datos'!$T$7:$T$200,$P149))</f>
      </c>
      <c r="K149" s="208">
        <f>IF($P149="","",INDEX('_Datos'!$V$7:$V$200,$P149))</f>
      </c>
      <c r="L149" s="209">
        <f>IF($P149="","",INDEX('_Datos'!$W$7:$W$200,$P149))</f>
      </c>
      <c r="M149" s="205">
        <f>IF($P149="","",INDEX('_Datos'!$AC$7:$AC$200,$P149))</f>
      </c>
      <c r="P149" s="202">
        <f>IFERROR(MATCH(LARGE('_Datos'!$AJ$7:$AJ$200,ROW()-7+1),'_Datos'!$AJ$7:$AJ$200,0),"")</f>
      </c>
    </row>
    <row r="150">
      <c r="B150" s="204">
        <f>IF($P150="","",INDEX('_Datos'!$AB$7:$AB$200,$P150))</f>
      </c>
      <c r="C150" s="204">
        <f>IF($P150="","",INDEX('_Datos'!$AE$7:$AE$200,$P150))</f>
      </c>
      <c r="D150" s="205">
        <f>IF($P150="","",INDEX('_Datos'!$F$7:$F$200,$P150))</f>
      </c>
      <c r="E150" s="205">
        <f>IF($P150="","",INDEX('_Datos'!$G$7:$G$200,$P150))</f>
      </c>
      <c r="F150" s="207">
        <f>IF($P150="","",INDEX('_Datos'!$H$7:$H$200,$P150))</f>
      </c>
      <c r="G150" s="204">
        <f>IF($P150="","",INDEX('_Datos'!$J$7:$J$200,$P150))</f>
      </c>
      <c r="H150" s="209">
        <f>IF($P150="","",INDEX('_Datos'!$K$7:$K$200,$P150))</f>
      </c>
      <c r="I150" s="209">
        <f>IF($P150="","",INDEX('_Datos'!$S$7:$S$200,$P150))</f>
      </c>
      <c r="J150" s="209">
        <f>IF($P150="","",INDEX('_Datos'!$T$7:$T$200,$P150))</f>
      </c>
      <c r="K150" s="208">
        <f>IF($P150="","",INDEX('_Datos'!$V$7:$V$200,$P150))</f>
      </c>
      <c r="L150" s="209">
        <f>IF($P150="","",INDEX('_Datos'!$W$7:$W$200,$P150))</f>
      </c>
      <c r="M150" s="205">
        <f>IF($P150="","",INDEX('_Datos'!$AC$7:$AC$200,$P150))</f>
      </c>
      <c r="P150" s="202">
        <f>IFERROR(MATCH(LARGE('_Datos'!$AJ$7:$AJ$200,ROW()-7+1),'_Datos'!$AJ$7:$AJ$200,0),"")</f>
      </c>
    </row>
    <row r="151">
      <c r="B151" s="204">
        <f>IF($P151="","",INDEX('_Datos'!$AB$7:$AB$200,$P151))</f>
      </c>
      <c r="C151" s="204">
        <f>IF($P151="","",INDEX('_Datos'!$AE$7:$AE$200,$P151))</f>
      </c>
      <c r="D151" s="205">
        <f>IF($P151="","",INDEX('_Datos'!$F$7:$F$200,$P151))</f>
      </c>
      <c r="E151" s="205">
        <f>IF($P151="","",INDEX('_Datos'!$G$7:$G$200,$P151))</f>
      </c>
      <c r="F151" s="207">
        <f>IF($P151="","",INDEX('_Datos'!$H$7:$H$200,$P151))</f>
      </c>
      <c r="G151" s="204">
        <f>IF($P151="","",INDEX('_Datos'!$J$7:$J$200,$P151))</f>
      </c>
      <c r="H151" s="209">
        <f>IF($P151="","",INDEX('_Datos'!$K$7:$K$200,$P151))</f>
      </c>
      <c r="I151" s="209">
        <f>IF($P151="","",INDEX('_Datos'!$S$7:$S$200,$P151))</f>
      </c>
      <c r="J151" s="209">
        <f>IF($P151="","",INDEX('_Datos'!$T$7:$T$200,$P151))</f>
      </c>
      <c r="K151" s="208">
        <f>IF($P151="","",INDEX('_Datos'!$V$7:$V$200,$P151))</f>
      </c>
      <c r="L151" s="209">
        <f>IF($P151="","",INDEX('_Datos'!$W$7:$W$200,$P151))</f>
      </c>
      <c r="M151" s="205">
        <f>IF($P151="","",INDEX('_Datos'!$AC$7:$AC$200,$P151))</f>
      </c>
      <c r="P151" s="202">
        <f>IFERROR(MATCH(LARGE('_Datos'!$AJ$7:$AJ$200,ROW()-7+1),'_Datos'!$AJ$7:$AJ$200,0),"")</f>
      </c>
    </row>
    <row r="152">
      <c r="B152" s="204">
        <f>IF($P152="","",INDEX('_Datos'!$AB$7:$AB$200,$P152))</f>
      </c>
      <c r="C152" s="204">
        <f>IF($P152="","",INDEX('_Datos'!$AE$7:$AE$200,$P152))</f>
      </c>
      <c r="D152" s="205">
        <f>IF($P152="","",INDEX('_Datos'!$F$7:$F$200,$P152))</f>
      </c>
      <c r="E152" s="205">
        <f>IF($P152="","",INDEX('_Datos'!$G$7:$G$200,$P152))</f>
      </c>
      <c r="F152" s="207">
        <f>IF($P152="","",INDEX('_Datos'!$H$7:$H$200,$P152))</f>
      </c>
      <c r="G152" s="204">
        <f>IF($P152="","",INDEX('_Datos'!$J$7:$J$200,$P152))</f>
      </c>
      <c r="H152" s="209">
        <f>IF($P152="","",INDEX('_Datos'!$K$7:$K$200,$P152))</f>
      </c>
      <c r="I152" s="209">
        <f>IF($P152="","",INDEX('_Datos'!$S$7:$S$200,$P152))</f>
      </c>
      <c r="J152" s="209">
        <f>IF($P152="","",INDEX('_Datos'!$T$7:$T$200,$P152))</f>
      </c>
      <c r="K152" s="208">
        <f>IF($P152="","",INDEX('_Datos'!$V$7:$V$200,$P152))</f>
      </c>
      <c r="L152" s="209">
        <f>IF($P152="","",INDEX('_Datos'!$W$7:$W$200,$P152))</f>
      </c>
      <c r="M152" s="205">
        <f>IF($P152="","",INDEX('_Datos'!$AC$7:$AC$200,$P152))</f>
      </c>
      <c r="P152" s="202">
        <f>IFERROR(MATCH(LARGE('_Datos'!$AJ$7:$AJ$200,ROW()-7+1),'_Datos'!$AJ$7:$AJ$200,0),"")</f>
      </c>
    </row>
    <row r="153">
      <c r="B153" s="204">
        <f>IF($P153="","",INDEX('_Datos'!$AB$7:$AB$200,$P153))</f>
      </c>
      <c r="C153" s="204">
        <f>IF($P153="","",INDEX('_Datos'!$AE$7:$AE$200,$P153))</f>
      </c>
      <c r="D153" s="205">
        <f>IF($P153="","",INDEX('_Datos'!$F$7:$F$200,$P153))</f>
      </c>
      <c r="E153" s="205">
        <f>IF($P153="","",INDEX('_Datos'!$G$7:$G$200,$P153))</f>
      </c>
      <c r="F153" s="207">
        <f>IF($P153="","",INDEX('_Datos'!$H$7:$H$200,$P153))</f>
      </c>
      <c r="G153" s="204">
        <f>IF($P153="","",INDEX('_Datos'!$J$7:$J$200,$P153))</f>
      </c>
      <c r="H153" s="209">
        <f>IF($P153="","",INDEX('_Datos'!$K$7:$K$200,$P153))</f>
      </c>
      <c r="I153" s="209">
        <f>IF($P153="","",INDEX('_Datos'!$S$7:$S$200,$P153))</f>
      </c>
      <c r="J153" s="209">
        <f>IF($P153="","",INDEX('_Datos'!$T$7:$T$200,$P153))</f>
      </c>
      <c r="K153" s="208">
        <f>IF($P153="","",INDEX('_Datos'!$V$7:$V$200,$P153))</f>
      </c>
      <c r="L153" s="209">
        <f>IF($P153="","",INDEX('_Datos'!$W$7:$W$200,$P153))</f>
      </c>
      <c r="M153" s="205">
        <f>IF($P153="","",INDEX('_Datos'!$AC$7:$AC$200,$P153))</f>
      </c>
      <c r="P153" s="202">
        <f>IFERROR(MATCH(LARGE('_Datos'!$AJ$7:$AJ$200,ROW()-7+1),'_Datos'!$AJ$7:$AJ$200,0),"")</f>
      </c>
    </row>
    <row r="154">
      <c r="B154" s="204">
        <f>IF($P154="","",INDEX('_Datos'!$AB$7:$AB$200,$P154))</f>
      </c>
      <c r="C154" s="204">
        <f>IF($P154="","",INDEX('_Datos'!$AE$7:$AE$200,$P154))</f>
      </c>
      <c r="D154" s="205">
        <f>IF($P154="","",INDEX('_Datos'!$F$7:$F$200,$P154))</f>
      </c>
      <c r="E154" s="205">
        <f>IF($P154="","",INDEX('_Datos'!$G$7:$G$200,$P154))</f>
      </c>
      <c r="F154" s="207">
        <f>IF($P154="","",INDEX('_Datos'!$H$7:$H$200,$P154))</f>
      </c>
      <c r="G154" s="204">
        <f>IF($P154="","",INDEX('_Datos'!$J$7:$J$200,$P154))</f>
      </c>
      <c r="H154" s="209">
        <f>IF($P154="","",INDEX('_Datos'!$K$7:$K$200,$P154))</f>
      </c>
      <c r="I154" s="209">
        <f>IF($P154="","",INDEX('_Datos'!$S$7:$S$200,$P154))</f>
      </c>
      <c r="J154" s="209">
        <f>IF($P154="","",INDEX('_Datos'!$T$7:$T$200,$P154))</f>
      </c>
      <c r="K154" s="208">
        <f>IF($P154="","",INDEX('_Datos'!$V$7:$V$200,$P154))</f>
      </c>
      <c r="L154" s="209">
        <f>IF($P154="","",INDEX('_Datos'!$W$7:$W$200,$P154))</f>
      </c>
      <c r="M154" s="205">
        <f>IF($P154="","",INDEX('_Datos'!$AC$7:$AC$200,$P154))</f>
      </c>
      <c r="P154" s="202">
        <f>IFERROR(MATCH(LARGE('_Datos'!$AJ$7:$AJ$200,ROW()-7+1),'_Datos'!$AJ$7:$AJ$200,0),"")</f>
      </c>
    </row>
    <row r="155">
      <c r="B155" s="204">
        <f>IF($P155="","",INDEX('_Datos'!$AB$7:$AB$200,$P155))</f>
      </c>
      <c r="C155" s="204">
        <f>IF($P155="","",INDEX('_Datos'!$AE$7:$AE$200,$P155))</f>
      </c>
      <c r="D155" s="205">
        <f>IF($P155="","",INDEX('_Datos'!$F$7:$F$200,$P155))</f>
      </c>
      <c r="E155" s="205">
        <f>IF($P155="","",INDEX('_Datos'!$G$7:$G$200,$P155))</f>
      </c>
      <c r="F155" s="207">
        <f>IF($P155="","",INDEX('_Datos'!$H$7:$H$200,$P155))</f>
      </c>
      <c r="G155" s="204">
        <f>IF($P155="","",INDEX('_Datos'!$J$7:$J$200,$P155))</f>
      </c>
      <c r="H155" s="209">
        <f>IF($P155="","",INDEX('_Datos'!$K$7:$K$200,$P155))</f>
      </c>
      <c r="I155" s="209">
        <f>IF($P155="","",INDEX('_Datos'!$S$7:$S$200,$P155))</f>
      </c>
      <c r="J155" s="209">
        <f>IF($P155="","",INDEX('_Datos'!$T$7:$T$200,$P155))</f>
      </c>
      <c r="K155" s="208">
        <f>IF($P155="","",INDEX('_Datos'!$V$7:$V$200,$P155))</f>
      </c>
      <c r="L155" s="209">
        <f>IF($P155="","",INDEX('_Datos'!$W$7:$W$200,$P155))</f>
      </c>
      <c r="M155" s="205">
        <f>IF($P155="","",INDEX('_Datos'!$AC$7:$AC$200,$P155))</f>
      </c>
      <c r="P155" s="202">
        <f>IFERROR(MATCH(LARGE('_Datos'!$AJ$7:$AJ$200,ROW()-7+1),'_Datos'!$AJ$7:$AJ$200,0),"")</f>
      </c>
    </row>
    <row r="156">
      <c r="B156" s="204">
        <f>IF($P156="","",INDEX('_Datos'!$AB$7:$AB$200,$P156))</f>
      </c>
      <c r="C156" s="204">
        <f>IF($P156="","",INDEX('_Datos'!$AE$7:$AE$200,$P156))</f>
      </c>
      <c r="D156" s="205">
        <f>IF($P156="","",INDEX('_Datos'!$F$7:$F$200,$P156))</f>
      </c>
      <c r="E156" s="205">
        <f>IF($P156="","",INDEX('_Datos'!$G$7:$G$200,$P156))</f>
      </c>
      <c r="F156" s="207">
        <f>IF($P156="","",INDEX('_Datos'!$H$7:$H$200,$P156))</f>
      </c>
      <c r="G156" s="204">
        <f>IF($P156="","",INDEX('_Datos'!$J$7:$J$200,$P156))</f>
      </c>
      <c r="H156" s="209">
        <f>IF($P156="","",INDEX('_Datos'!$K$7:$K$200,$P156))</f>
      </c>
      <c r="I156" s="209">
        <f>IF($P156="","",INDEX('_Datos'!$S$7:$S$200,$P156))</f>
      </c>
      <c r="J156" s="209">
        <f>IF($P156="","",INDEX('_Datos'!$T$7:$T$200,$P156))</f>
      </c>
      <c r="K156" s="208">
        <f>IF($P156="","",INDEX('_Datos'!$V$7:$V$200,$P156))</f>
      </c>
      <c r="L156" s="209">
        <f>IF($P156="","",INDEX('_Datos'!$W$7:$W$200,$P156))</f>
      </c>
      <c r="M156" s="205">
        <f>IF($P156="","",INDEX('_Datos'!$AC$7:$AC$200,$P156))</f>
      </c>
      <c r="P156" s="202">
        <f>IFERROR(MATCH(LARGE('_Datos'!$AJ$7:$AJ$200,ROW()-7+1),'_Datos'!$AJ$7:$AJ$200,0),"")</f>
      </c>
    </row>
  </sheetData>
  <mergeCells count="7">
    <mergeCell ref="B1:M1"/>
    <mergeCell ref="B2:M2"/>
    <mergeCell ref="C3:D3"/>
    <mergeCell ref="F3:G3"/>
    <mergeCell ref="H3:I3"/>
    <mergeCell ref="K3:L3"/>
    <mergeCell ref="B5:M5"/>
  </mergeCells>
  <conditionalFormatting sqref="B7:B156">
    <cfRule type="expression" dxfId="23" priority="11">
      <formula>$B7="Crítica"</formula>
    </cfRule>
    <cfRule type="expression" dxfId="24" priority="12">
      <formula>$B7="Alta"</formula>
    </cfRule>
    <cfRule type="expression" dxfId="25" priority="13">
      <formula>$B7="Media"</formula>
    </cfRule>
  </conditionalFormatting>
  <conditionalFormatting sqref="G7:G156">
    <cfRule type="expression" dxfId="23" priority="21">
      <formula>$G7="Vencido"</formula>
    </cfRule>
    <cfRule type="expression" dxfId="24" priority="22">
      <formula>$G7="Próximo a vencer"</formula>
    </cfRule>
    <cfRule type="expression" dxfId="25" priority="23">
      <formula>$G7="En curso"</formula>
    </cfRule>
    <cfRule type="expression" dxfId="26" priority="24">
      <formula>$G7="Completado"</formula>
    </cfRule>
  </conditionalFormatting>
  <conditionalFormatting sqref="B7:M156">
    <cfRule type="expression" dxfId="21" priority="40">
      <formula>$D7&lt;&gt;""</formula>
    </cfRule>
  </conditionalFormatting>
  <pageMargins left="0.4" right="0.4" top="0.5" bottom="0.5" header="0.3" footer="0.3"/>
</worksheet>
</file>

<file path=xl/worksheets/sheet7.xml><?xml version="1.0" encoding="utf-8"?>
<worksheet xmlns="http://schemas.openxmlformats.org/spreadsheetml/2006/main" xmlns:r="http://schemas.openxmlformats.org/officeDocument/2006/relationships">
  <dimension ref="A1:BH200"/>
  <sheetFormatPr defaultRowHeight="15"/>
  <cols>
    <col min="1" max="1" width="6" customWidth="1"/>
    <col min="2" max="3" width="8" customWidth="1"/>
    <col min="4" max="4" width="36" customWidth="1"/>
    <col min="5" max="5" width="7" customWidth="1"/>
    <col min="6" max="6" width="36" customWidth="1"/>
    <col min="7" max="7" width="18" customWidth="1"/>
    <col min="8" max="40" width="11" customWidth="1"/>
  </cols>
  <sheetData>
    <row r="1">
      <c r="A1" s="201" t="inlineStr">
        <is>
          <t xml:space="preserve">HOJA AUXILIAR — Motor de cálculo (no editar). Alimenta Tablero, Entregas Próximas e Historial de Sprints.</t>
        </is>
      </c>
    </row>
    <row r="6">
      <c r="A6" s="173" t="inlineStr">
        <is>
          <t xml:space="preserve">Fila</t>
        </is>
      </c>
      <c r="B6" s="173" t="inlineStr">
        <is>
          <t xml:space="preserve">EsFase</t>
        </is>
      </c>
      <c r="C6" s="173" t="inlineStr">
        <is>
          <t xml:space="preserve">EsTarea</t>
        </is>
      </c>
      <c r="D6" s="173" t="inlineStr">
        <is>
          <t xml:space="preserve">Módulo</t>
        </is>
      </c>
      <c r="E6" s="173" t="inlineStr">
        <is>
          <t xml:space="preserve">SprintRaw</t>
        </is>
      </c>
      <c r="F6" s="173" t="inlineStr">
        <is>
          <t xml:space="preserve">Tarea</t>
        </is>
      </c>
      <c r="G6" s="173" t="inlineStr">
        <is>
          <t xml:space="preserve">Responsable</t>
        </is>
      </c>
      <c r="H6" s="173" t="inlineStr">
        <is>
          <t xml:space="preserve">FechaObj</t>
        </is>
      </c>
      <c r="I6" s="173" t="inlineStr">
        <is>
          <t xml:space="preserve">Progreso</t>
        </is>
      </c>
      <c r="J6" s="173" t="inlineStr">
        <is>
          <t xml:space="preserve">Estado</t>
        </is>
      </c>
      <c r="K6" s="173" t="inlineStr">
        <is>
          <t xml:space="preserve">DíasRest</t>
        </is>
      </c>
      <c r="L6" s="173" t="inlineStr">
        <is>
          <t xml:space="preserve">ClaveOrden</t>
        </is>
      </c>
      <c r="M6" s="173" t="inlineStr">
        <is>
          <t xml:space="preserve">SprintKey</t>
        </is>
      </c>
      <c r="N6" s="173" t="inlineStr">
        <is>
          <t xml:space="preserve">SprintNum</t>
        </is>
      </c>
      <c r="O6" s="173" t="inlineStr">
        <is>
          <t xml:space="preserve">ID</t>
        </is>
      </c>
      <c r="P6" s="173" t="inlineStr">
        <is>
          <t xml:space="preserve">CandSpr</t>
        </is>
      </c>
      <c r="Q6" s="173" t="inlineStr">
        <is>
          <t xml:space="preserve">SprExiste</t>
        </is>
      </c>
      <c r="R6" s="173" t="inlineStr">
        <is>
          <t xml:space="preserve">FinPlan</t>
        </is>
      </c>
      <c r="S6" s="173" t="inlineStr">
        <is>
          <t xml:space="preserve">DurEst</t>
        </is>
      </c>
      <c r="T6" s="173" t="inlineStr">
        <is>
          <t xml:space="preserve">DíasTransc</t>
        </is>
      </c>
      <c r="U6" s="173" t="inlineStr">
        <is>
          <t xml:space="preserve">AvEsper</t>
        </is>
      </c>
      <c r="V6" s="173" t="inlineStr">
        <is>
          <t xml:space="preserve">VarAvance</t>
        </is>
      </c>
      <c r="W6" s="173" t="inlineStr">
        <is>
          <t xml:space="preserve">Atraso</t>
        </is>
      </c>
      <c r="X6" s="173" t="inlineStr">
        <is>
          <t xml:space="preserve">DesvíoPlan</t>
        </is>
      </c>
      <c r="Y6" s="173" t="inlineStr">
        <is>
          <t xml:space="preserve">CargaResp</t>
        </is>
      </c>
      <c r="Z6" s="173" t="inlineStr">
        <is>
          <t xml:space="preserve">Bloqueo</t>
        </is>
      </c>
      <c r="AA6" s="173" t="inlineStr">
        <is>
          <t xml:space="preserve">Score</t>
        </is>
      </c>
      <c r="AB6" s="173" t="inlineStr">
        <is>
          <t xml:space="preserve">Prioridad</t>
        </is>
      </c>
      <c r="AC6" s="173" t="inlineStr">
        <is>
          <t xml:space="preserve">Alertas</t>
        </is>
      </c>
      <c r="AD6" s="173" t="inlineStr">
        <is>
          <t xml:space="preserve">SprVigente</t>
        </is>
      </c>
      <c r="AE6" s="173" t="inlineStr">
        <is>
          <t xml:space="preserve">SprVigKey</t>
        </is>
      </c>
      <c r="AF6" s="173" t="inlineStr">
        <is>
          <t xml:space="preserve">Movido</t>
        </is>
      </c>
      <c r="AG6" s="173" t="inlineStr">
        <is>
          <t xml:space="preserve">FechaMov</t>
        </is>
      </c>
      <c r="AH6" s="173" t="inlineStr">
        <is>
          <t xml:space="preserve">Comentario</t>
        </is>
      </c>
      <c r="AI6" s="173" t="inlineStr">
        <is>
          <t xml:space="preserve">Aux</t>
        </is>
      </c>
      <c r="AJ6" s="173" t="inlineStr">
        <is>
          <t xml:space="preserve">ClavePri</t>
        </is>
      </c>
      <c r="AK6" s="173" t="inlineStr">
        <is>
          <t xml:space="preserve">urg</t>
        </is>
      </c>
      <c r="AL6" s="173" t="inlineStr">
        <is>
          <t xml:space="preserve">atr</t>
        </is>
      </c>
      <c r="AM6" s="173" t="inlineStr">
        <is>
          <t xml:space="preserve">rsk</t>
        </is>
      </c>
      <c r="AN6" s="173" t="inlineStr">
        <is>
          <t xml:space="preserve">AlertRaw</t>
        </is>
      </c>
      <c r="AO6" s="173" t="inlineStr">
        <is>
          <t xml:space="preserve">Frecuencia</t>
        </is>
      </c>
      <c r="AP6" s="173" t="inlineStr">
        <is>
          <t xml:space="preserve">FreqLen</t>
        </is>
      </c>
      <c r="AQ6" s="173" t="inlineStr">
        <is>
          <t xml:space="preserve">FreqStart</t>
        </is>
      </c>
      <c r="AR6" s="173" t="inlineStr">
        <is>
          <t xml:space="preserve">SprPlanF</t>
        </is>
      </c>
      <c r="AS6" s="173" t="inlineStr">
        <is>
          <t xml:space="preserve">SprActF</t>
        </is>
      </c>
      <c r="AT6" s="173" t="inlineStr">
        <is>
          <t xml:space="preserve">EstadoIn</t>
        </is>
      </c>
      <c r="AU6" s="173" t="inlineStr">
        <is>
          <t xml:space="preserve">AccionIn</t>
        </is>
      </c>
      <c r="AV6" s="173" t="inlineStr">
        <is>
          <t xml:space="preserve">SprVigF</t>
        </is>
      </c>
      <c r="AW6" s="173" t="inlineStr">
        <is>
          <t xml:space="preserve">CierreF</t>
        </is>
      </c>
      <c r="AX6" s="173" t="inlineStr">
        <is>
          <t xml:space="preserve">MoraF</t>
        </is>
      </c>
      <c r="AY6" s="173" t="inlineStr">
        <is>
          <t xml:space="preserve">EstadoBoard</t>
        </is>
      </c>
      <c r="AZ6" s="173" t="inlineStr">
        <is>
          <t xml:space="preserve">SprKeyF</t>
        </is>
      </c>
      <c r="BA6" s="173" t="inlineStr">
        <is>
          <t xml:space="preserve">Nuevo</t>
        </is>
      </c>
      <c r="BB6" s="173" t="inlineStr">
        <is>
          <t xml:space="preserve">keySem</t>
        </is>
      </c>
      <c r="BC6" s="173" t="inlineStr">
        <is>
          <t xml:space="preserve">keyQui</t>
        </is>
      </c>
      <c r="BD6" s="173" t="inlineStr">
        <is>
          <t xml:space="preserve">keyMen</t>
        </is>
      </c>
      <c r="BE6" s="173" t="inlineStr">
        <is>
          <t xml:space="preserve">MotivoVal</t>
        </is>
      </c>
      <c r="BF6" s="173" t="inlineStr">
        <is>
          <t xml:space="preserve">MotivoFull</t>
        </is>
      </c>
      <c r="BG6" s="173" t="inlineStr">
        <is>
          <t xml:space="preserve">Completada</t>
        </is>
      </c>
      <c r="BH6" s="173" t="inlineStr">
        <is>
          <t xml:space="preserve">keyHist</t>
        </is>
      </c>
    </row>
    <row r="7">
      <c r="A7" s="202">
        <f>ROW()</f>
        <v>7</v>
      </c>
      <c r="B7" s="202" t="b">
        <f>ISTEXT('Proyecto Datos (OKR´s)'!$K7)</f>
        <v>1</v>
      </c>
      <c r="C7" s="202" t="b">
        <f>AND(LEN('Proyecto Datos (OKR´s)'!$G7)&gt;0,NOT($B7),OR(ISNUMBER('Proyecto Datos (OKR´s)'!$F7),ISNUMBER('Proyecto Datos (OKR´s)'!$L7)))</f>
        <v>0</v>
      </c>
      <c r="D7" s="203">
        <f>IF($C7,IFERROR(LOOKUP(2,1/((ISTEXT('Proyecto Datos (OKR´s)'!$K$7:$K7))*(LEN('Proyecto Datos (OKR´s)'!$G$7:$G7)&gt;0)),'Proyecto Datos (OKR´s)'!$G$7:$G7),""),"")</f>
      </c>
      <c r="E7" s="202">
        <f>IF($C7,'Proyecto Datos (OKR´s)'!$E7,"")</f>
      </c>
      <c r="F7" s="203">
        <f>IF($C7,'Proyecto Datos (OKR´s)'!$G7,"")</f>
      </c>
      <c r="G7" s="203">
        <f>IF($C7,IF('Proyecto Datos (OKR´s)'!$I7="","(Sin asignar)",'Proyecto Datos (OKR´s)'!$I7),"")</f>
      </c>
      <c r="H7" s="202">
        <f>IF($C7,IF(ISNUMBER('Proyecto Datos (OKR´s)'!$F7),'Proyecto Datos (OKR´s)'!$F7,""),"")</f>
      </c>
      <c r="I7" s="202">
        <f>IF($C7,'Proyecto Datos (OKR´s)'!$J7,"")</f>
      </c>
      <c r="J7" s="203">
        <f>IF($C7,IF($I7&gt;=1,"Completado",IF(NOT(ISNUMBER($H7)),"Sin fecha",IF($H7&lt;TODAY(),"Vencido",IF(($H7-TODAY())&lt;='Entregas Próximas'!$M$3,"Próximo a vencer","En curso")))),"")</f>
      </c>
      <c r="K7" s="202">
        <f>IF(AND($C7,ISNUMBER($H7)),$H7-TODAY(),"")</f>
      </c>
      <c r="L7" s="202">
        <f>IF(AND($C7,ISNUMBER($H7)),$AD7*1000000+$H7+ROW()/100000,"")</f>
      </c>
      <c r="M7" s="202">
        <f>IF($C7,IF($AD7=9999,"(Sin sprint)",$AD7),"")</f>
      </c>
      <c r="N7" s="202">
        <f>IF($C7,IF('Proyecto Datos (OKR´s)'!$E7="",9999,'Proyecto Datos (OKR´s)'!$E7),"")</f>
      </c>
      <c r="O7" s="202">
        <f>IF($C7,"T"&amp;TEXT(ROW(),"000"),"")</f>
      </c>
      <c r="P7" s="202">
        <f>ROW()-6</f>
        <v>1</v>
      </c>
      <c r="Q7" s="202">
        <f>IF(COUNTIF($AD$7:$AD$200,$P7)&gt;0,$P7,"")</f>
        <v>1</v>
      </c>
      <c r="R7" s="202">
        <f>IF($C7,IF(ISNUMBER('Proyecto Datos (OKR´s)'!$L7),'Proyecto Datos (OKR´s)'!$L7,$H7),"")</f>
      </c>
      <c r="S7" s="202">
        <f>IF($C7,$R7-'Proyecto Datos (OKR´s)'!$K7+1,"")</f>
      </c>
      <c r="T7" s="202">
        <f>IF($C7,MAX(0,TODAY()-'Proyecto Datos (OKR´s)'!$K7),"")</f>
      </c>
      <c r="U7" s="202">
        <f>IF($C7,MEDIAN(0,(TODAY()-'Proyecto Datos (OKR´s)'!$K7)/MAX(1,$R7-'Proyecto Datos (OKR´s)'!$K7),1),"")</f>
      </c>
      <c r="V7" s="202">
        <f>IF($C7,$I7-$U7,"")</f>
      </c>
      <c r="W7" s="202">
        <f>IF($C7,IF(OR($J7="Completado",NOT(ISNUMBER($H7))),0,MAX(0,TODAY()-$H7)),"")</f>
      </c>
      <c r="X7" s="202">
        <f>IF($C7,IF(ISNUMBER($H7),$R7-$H7,0),"")</f>
      </c>
      <c r="Y7" s="202">
        <f>IF($C7,COUNTIFS($G$7:$G$200,$G7,$J$7:$J$200,"&lt;&gt;Completado",$J$7:$J$200,"&lt;&gt;"),"")</f>
      </c>
      <c r="Z7" s="202">
        <f>IF($C7,AND($I7=0,'Proyecto Datos (OKR´s)'!$K7&lt;=TODAY(),$J7&lt;&gt;"Completado"),"")</f>
      </c>
      <c r="AA7" s="202">
        <f>IF($C7,ROUND(100*(0.35*$AK7+0.3*$AL7+0.2*$AM7+0.15*MEDIAN(0,($Y7-4)/8,1)),0),"")</f>
      </c>
      <c r="AB7" s="203">
        <f>IF($C7,IF(OR($J7="Completado",$J7="Sin fecha"),"—",IF($AA7&gt;=70,"Crítica",IF($AA7&gt;=45,"Alta",IF($AA7&gt;=25,"Media","Baja")))),"")</f>
      </c>
      <c r="AC7" s="203">
        <f>IF($C7,IF(LEN(TRIM($AN7))=0,"—",TRIM($AN7)),"")</f>
      </c>
      <c r="AD7" s="202">
        <f>IF($C7,$AV7,"")</f>
      </c>
      <c r="AE7" s="202">
        <f>IF($C7,$AZ7,"")</f>
      </c>
      <c r="AF7" s="202" t="b">
        <f>IF($C7,$AV7&lt;&gt;$AR7,FALSE)</f>
        <v>0</v>
      </c>
      <c r="AG7" s="202">
        <f>IF($C7,IF($AV7&lt;&gt;$AR7,$AW7,""),"")</f>
      </c>
      <c r="AH7" s="203">
        <f>IF($C7,IF(ISBLANK('Backlog General'!$K7),"",'Backlog General'!$K7),"")</f>
      </c>
      <c r="AI7" s="202">
        <f>IF($C7,$AV7*100000+ROW(),"")</f>
      </c>
      <c r="AJ7" s="202">
        <f>IF(AND($C7,ISNUMBER($H7)),$AA7*1000000-MEDIAN(-9999,$K7,9999)*100+(300-ROW()),"")</f>
      </c>
      <c r="AK7" s="202">
        <f>IF($C7,IF($J7="Completado",0,IF($K7&lt;0,1,IF($K7&lt;=3,0.9,IF($K7&lt;=7,0.7,IF($K7&lt;=14,0.45,0.2))))),"")</f>
      </c>
      <c r="AL7" s="202">
        <f>IF($C7,IF($J7="Completado",0,MEDIAN(0,MAX(-$V7,$W7/30),1)),"")</f>
      </c>
      <c r="AM7" s="202">
        <f>IF($C7,IF($J7="Completado",0,IF($Z7,1,IF(AND($I7&lt;0.5,$K7&lt;=7),0.7,0.3))),"")</f>
      </c>
      <c r="AN7" s="203">
        <f>IF($C7,IF(OR($V7&lt;-0.2,$W7&gt;0),"ATRASO ","")&amp;IF($Z7,"BLOQUEO ","")&amp;IF($Y7&gt;8,"SOBRECARGA ","")&amp;IF($X7&gt;0,"DESVÍO-PLAN ",""),"")</f>
      </c>
      <c r="AO7" s="203">
        <f>IF($C7,IFERROR(VLOOKUP($D7,'Sprints'!$I$5:$J$12,2,FALSE),"Semanal"),"")</f>
      </c>
      <c r="AP7" s="202">
        <f>IF($C7,IFERROR(VLOOKUP($AO7,'Sprints'!$B$9:$C$11,2,FALSE),1),"")</f>
      </c>
      <c r="AQ7" s="202">
        <f>IF($C7,'Sprints'!$C$5,"")</f>
      </c>
      <c r="AR7" s="202">
        <f>IF(AND($C7,ISNUMBER($H7)),CEILING(MAX(1,INT(($H7-$AQ7+'Sprints'!$D$5-1)/'Sprints'!$D$5)+1)/$AP7,1),"")</f>
      </c>
      <c r="AS7" s="202">
        <f>IF($C7,CEILING(MAX(1,INT((TODAY()-$AQ7+'Sprints'!$D$5-1)/'Sprints'!$D$5)+1)/$AP7,1),"")</f>
      </c>
      <c r="AT7" s="203">
        <f>IF($C7,'Backlog General'!$G7,"")</f>
      </c>
      <c r="AU7" s="203">
        <f>IF($C7,'Backlog General'!$H7,"")</f>
      </c>
      <c r="AV7" s="202">
        <f>IF(AND($C7,ISNUMBER($AR7)),IF(OR($AT7="Completo",$AU7="Cancelado",$AU7="Baja prioridad"),$AR7,IF($AU7="Pasa al siguiente",MAX($AR7+1,$AS7),MAX($AR7,$AS7))),"")</f>
      </c>
      <c r="AW7" s="202">
        <f>IF(AND($C7,ISNUMBER($AR7)),$AQ7+$AR7*$AP7*'Sprints'!$D$5-'Sprints'!$D$5,"")</f>
      </c>
      <c r="AX7" s="202">
        <f>IF($C7,IF(OR($AT7="Completo",$AU7="Cancelado",$AU7="Baja prioridad",NOT(ISNUMBER($AW7))),0,IF(TODAY()&gt;$AW7,NETWORKDAYS($AW7,TODAY(),'Sprints'!$L$5:$L$40)-1,0)),"")</f>
      </c>
      <c r="AY7" s="203">
        <f>IF($C7,IF(NOT(ISNUMBER($AR7)),"Sin fecha",IF($AT7="Completo","Completo",IF($AU7="Cancelado","Cancelado",IF($AU7="Baja prioridad","Baja prioridad",IF($AX7&gt;0,"Vencida","Pendiente"))))),"")</f>
      </c>
      <c r="AZ7" s="203">
        <f>IF($C7,IF(ISNUMBER($AV7),$AO7&amp;" · S"&amp;$AV7,"(Sin fecha)"),"")</f>
      </c>
      <c r="BA7" s="202">
        <f>IF($C7,IF(AND(ISNUMBER('Backlog General'!$M7),'Backlog General'!$M7=$AS7),"Nuevo S"&amp;'Backlog General'!$M7,""),"")</f>
      </c>
      <c r="BB7" s="202">
        <f>IF(AND($C7,$AO7="Semanal",ISNUMBER($AV7)),$AV7*100000+ROW(),"")</f>
      </c>
      <c r="BC7" s="202">
        <f>IF(AND($C7,$AO7="Quincenal",ISNUMBER($AV7)),$AV7*100000+ROW(),"")</f>
      </c>
      <c r="BD7" s="202">
        <f>IF(AND($C7,$AO7="Mensual",ISNUMBER($AV7)),$AV7*100000+ROW(),"")</f>
      </c>
      <c r="BE7" s="203">
        <f>IF($C7,IF(ISBLANK('Backlog General'!$J7),"",'Backlog General'!$J7),"")</f>
      </c>
      <c r="BF7" s="203">
        <f>IF($C7,IF($BE7="","",$BE7)&amp;IF(AND($BE7&lt;&gt;"",$AH7&lt;&gt;"")," · ","")&amp;IF($AH7="","",$AH7),"")</f>
      </c>
      <c r="BG7" s="203">
        <f>IF($C7,IF($J7="Completado","Sí","No"),"")</f>
      </c>
      <c r="BH7" s="202">
        <f>IF(AND($C7,ISNUMBER($AR7)),IF($AO7="Semanal",1,IF($AO7="Quincenal",2,3))*1000000000+$AR7*100000+ROW(),"")</f>
      </c>
    </row>
    <row r="8">
      <c r="A8" s="202">
        <f>ROW()</f>
        <v>8</v>
      </c>
      <c r="B8" s="202" t="b">
        <f>ISTEXT('Proyecto Datos (OKR´s)'!$K8)</f>
        <v>0</v>
      </c>
      <c r="C8" s="202" t="b">
        <f>AND(LEN('Proyecto Datos (OKR´s)'!$G8)&gt;0,NOT($B8),OR(ISNUMBER('Proyecto Datos (OKR´s)'!$F8),ISNUMBER('Proyecto Datos (OKR´s)'!$L8)))</f>
        <v>1</v>
      </c>
      <c r="D8" s="203" t="str">
        <f>IF($C8,IFERROR(LOOKUP(2,1/((ISTEXT('Proyecto Datos (OKR´s)'!$K$7:$K8))*(LEN('Proyecto Datos (OKR´s)'!$G$7:$G8)&gt;0)),'Proyecto Datos (OKR´s)'!$G$7:$G8),""),"")</f>
        <v>1- GOC: Módulo de Datos para Procesos de Certificación (Inteligencia Comercial)</v>
      </c>
      <c r="E8" s="202">
        <f>IF($C8,'Proyecto Datos (OKR´s)'!$E8,"")</f>
        <v>1</v>
      </c>
      <c r="F8" s="203" t="str">
        <f>IF($C8,'Proyecto Datos (OKR´s)'!$G8,"")</f>
        <v>Disponibilidad de información centralizada en GOC (aguarda desarrollo)</v>
      </c>
      <c r="G8" s="203" t="str">
        <f>IF($C8,IF('Proyecto Datos (OKR´s)'!$I8="","(Sin asignar)",'Proyecto Datos (OKR´s)'!$I8),"")</f>
        <v>Lucila Pronzato</v>
      </c>
      <c r="H8" s="202">
        <f>IF($C8,IF(ISNUMBER('Proyecto Datos (OKR´s)'!$F8),'Proyecto Datos (OKR´s)'!$F8,""),"")</f>
        <v>46203</v>
      </c>
      <c r="I8" s="202">
        <f>IF($C8,'Proyecto Datos (OKR´s)'!$J8,"")</f>
        <v>0.2</v>
      </c>
      <c r="J8" s="203" t="str">
        <f>IF($C8,IF($I8&gt;=1,"Completado",IF(NOT(ISNUMBER($H8)),"Sin fecha",IF($H8&lt;TODAY(),"Vencido",IF(($H8-TODAY())&lt;='Entregas Próximas'!$M$3,"Próximo a vencer","En curso")))),"")</f>
        <v>Próximo a vencer</v>
      </c>
      <c r="K8" s="202">
        <f>IF(AND($C8,ISNUMBER($H8)),$H8-TODAY(),"")</f>
        <v>7</v>
      </c>
      <c r="L8" s="202">
        <f>IF(AND($C8,ISNUMBER($H8)),$AD8*1000000+$H8+ROW()/100000,"")</f>
        <v>1046203.00008</v>
      </c>
      <c r="M8" s="202">
        <f>IF($C8,IF($AD8=9999,"(Sin sprint)",$AD8),"")</f>
        <v>1</v>
      </c>
      <c r="N8" s="202">
        <f>IF($C8,IF('Proyecto Datos (OKR´s)'!$E8="",9999,'Proyecto Datos (OKR´s)'!$E8),"")</f>
        <v>1</v>
      </c>
      <c r="O8" s="202" t="str">
        <f>IF($C8,"T"&amp;TEXT(ROW(),"000"),"")</f>
        <v>T008</v>
      </c>
      <c r="P8" s="202">
        <f>ROW()-6</f>
        <v>2</v>
      </c>
      <c r="Q8" s="202">
        <f>IF(COUNTIF($AD$7:$AD$200,$P8)&gt;0,$P8,"")</f>
        <v>2</v>
      </c>
      <c r="R8" s="202">
        <f>IF($C8,IF(ISNUMBER('Proyecto Datos (OKR´s)'!$L8),'Proyecto Datos (OKR´s)'!$L8,$H8),"")</f>
        <v>46203</v>
      </c>
      <c r="S8" s="202">
        <f>IF($C8,$R8-'Proyecto Datos (OKR´s)'!$K8+1,"")</f>
        <v>246</v>
      </c>
      <c r="T8" s="202">
        <f>IF($C8,MAX(0,TODAY()-'Proyecto Datos (OKR´s)'!$K8),"")</f>
        <v>238</v>
      </c>
      <c r="U8" s="202">
        <f>IF($C8,MEDIAN(0,(TODAY()-'Proyecto Datos (OKR´s)'!$K8)/MAX(1,$R8-'Proyecto Datos (OKR´s)'!$K8),1),"")</f>
        <v>0.9714285714285714</v>
      </c>
      <c r="V8" s="202">
        <f>IF($C8,$I8-$U8,"")</f>
        <v>-0.7714285714285714</v>
      </c>
      <c r="W8" s="202">
        <f>IF($C8,IF(OR($J8="Completado",NOT(ISNUMBER($H8))),0,MAX(0,TODAY()-$H8)),"")</f>
        <v>0</v>
      </c>
      <c r="X8" s="202">
        <f>IF($C8,IF(ISNUMBER($H8),$R8-$H8,0),"")</f>
        <v>0</v>
      </c>
      <c r="Y8" s="202">
        <f>IF($C8,COUNTIFS($G$7:$G$200,$G8,$J$7:$J$200,"&lt;&gt;Completado",$J$7:$J$200,"&lt;&gt;"),"")</f>
        <v>0</v>
      </c>
      <c r="Z8" s="202" t="b">
        <f>IF($C8,AND($I8=0,'Proyecto Datos (OKR´s)'!$K8&lt;=TODAY(),$J8&lt;&gt;"Completado"),"")</f>
        <v>0</v>
      </c>
      <c r="AA8" s="202">
        <f>IF($C8,ROUND(100*(0.35*$AK8+0.3*$AL8+0.2*$AM8+0.15*MEDIAN(0,($Y8-4)/8,1)),0),"")</f>
        <v>62</v>
      </c>
      <c r="AB8" s="203" t="str">
        <f>IF($C8,IF(OR($J8="Completado",$J8="Sin fecha"),"—",IF($AA8&gt;=70,"Crítica",IF($AA8&gt;=45,"Alta",IF($AA8&gt;=25,"Media","Baja")))),"")</f>
        <v>Alta</v>
      </c>
      <c r="AC8" s="203" t="str">
        <f>IF($C8,IF(LEN(TRIM($AN8))=0,"—",TRIM($AN8)),"")</f>
        <v>ATRASO</v>
      </c>
      <c r="AD8" s="202">
        <f>IF($C8,$AV8,"")</f>
        <v>1</v>
      </c>
      <c r="AE8" s="202" t="str">
        <f>IF($C8,$AZ8,"")</f>
        <v>Mensual · S1</v>
      </c>
      <c r="AF8" s="202" t="b">
        <f>IF($C8,$AV8&lt;&gt;$AR8,FALSE)</f>
        <v>0</v>
      </c>
      <c r="AG8" s="202">
        <f>IF($C8,IF($AV8&lt;&gt;$AR8,$AW8,""),"")</f>
      </c>
      <c r="AH8" s="203">
        <f>IF($C8,IF(ISBLANK('Backlog General'!$K8),"",'Backlog General'!$K8),"")</f>
      </c>
      <c r="AI8" s="202">
        <f>IF($C8,$AV8*100000+ROW(),"")</f>
        <v>100008</v>
      </c>
      <c r="AJ8" s="202">
        <f>IF(AND($C8,ISNUMBER($H8)),$AA8*1000000-MEDIAN(-9999,$K8,9999)*100+(300-ROW()),"")</f>
        <v>61999592</v>
      </c>
      <c r="AK8" s="202">
        <f>IF($C8,IF($J8="Completado",0,IF($K8&lt;0,1,IF($K8&lt;=3,0.9,IF($K8&lt;=7,0.7,IF($K8&lt;=14,0.45,0.2))))),"")</f>
        <v>0.7</v>
      </c>
      <c r="AL8" s="202">
        <f>IF($C8,IF($J8="Completado",0,MEDIAN(0,MAX(-$V8,$W8/30),1)),"")</f>
        <v>0.7714285714285714</v>
      </c>
      <c r="AM8" s="202">
        <f>IF($C8,IF($J8="Completado",0,IF($Z8,1,IF(AND($I8&lt;0.5,$K8&lt;=7),0.7,0.3))),"")</f>
        <v>0.7</v>
      </c>
      <c r="AN8" s="203" t="str">
        <f>IF($C8,IF(OR($V8&lt;-0.2,$W8&gt;0),"ATRASO ","")&amp;IF($Z8,"BLOQUEO ","")&amp;IF($Y8&gt;8,"SOBRECARGA ","")&amp;IF($X8&gt;0,"DESVÍO-PLAN ",""),"")</f>
        <v>ATRASO </v>
      </c>
      <c r="AO8" s="203" t="str">
        <f>IF($C8,IFERROR(VLOOKUP($D8,'Sprints'!$I$5:$J$12,2,FALSE),"Semanal"),"")</f>
        <v>Mensual</v>
      </c>
      <c r="AP8" s="202">
        <f>IF($C8,IFERROR(VLOOKUP($AO8,'Sprints'!$B$9:$C$11,2,FALSE),1),"")</f>
        <v>4</v>
      </c>
      <c r="AQ8" s="202">
        <f>IF($C8,'Sprints'!$C$5,"")</f>
        <v>46192</v>
      </c>
      <c r="AR8" s="202">
        <f>IF(AND($C8,ISNUMBER($H8)),CEILING(MAX(1,INT(($H8-$AQ8+'Sprints'!$D$5-1)/'Sprints'!$D$5)+1)/$AP8,1),"")</f>
        <v>1</v>
      </c>
      <c r="AS8" s="202">
        <f>IF($C8,CEILING(MAX(1,INT((TODAY()-$AQ8+'Sprints'!$D$5-1)/'Sprints'!$D$5)+1)/$AP8,1),"")</f>
        <v>1</v>
      </c>
      <c r="AT8" s="203">
        <f>IF($C8,'Backlog General'!$G8,"")</f>
        <v>0</v>
      </c>
      <c r="AU8" s="203">
        <f>IF($C8,'Backlog General'!$H8,"")</f>
        <v>0</v>
      </c>
      <c r="AV8" s="202">
        <f>IF(AND($C8,ISNUMBER($AR8)),IF(OR($AT8="Completo",$AU8="Cancelado",$AU8="Baja prioridad"),$AR8,IF($AU8="Pasa al siguiente",MAX($AR8+1,$AS8),MAX($AR8,$AS8))),"")</f>
        <v>1</v>
      </c>
      <c r="AW8" s="202">
        <f>IF(AND($C8,ISNUMBER($AR8)),$AQ8+$AR8*$AP8*'Sprints'!$D$5-'Sprints'!$D$5,"")</f>
        <v>46213</v>
      </c>
      <c r="AX8" s="202">
        <f>IF($C8,IF(OR($AT8="Completo",$AU8="Cancelado",$AU8="Baja prioridad",NOT(ISNUMBER($AW8))),0,IF(TODAY()&gt;$AW8,NETWORKDAYS($AW8,TODAY(),'Sprints'!$L$5:$L$40)-1,0)),"")</f>
        <v>0</v>
      </c>
      <c r="AY8" s="203" t="str">
        <f>IF($C8,IF(NOT(ISNUMBER($AR8)),"Sin fecha",IF($AT8="Completo","Completo",IF($AU8="Cancelado","Cancelado",IF($AU8="Baja prioridad","Baja prioridad",IF($AX8&gt;0,"Vencida","Pendiente"))))),"")</f>
        <v>Pendiente</v>
      </c>
      <c r="AZ8" s="203" t="str">
        <f>IF($C8,IF(ISNUMBER($AV8),$AO8&amp;" · S"&amp;$AV8,"(Sin fecha)"),"")</f>
        <v>Mensual · S1</v>
      </c>
      <c r="BA8" s="202">
        <f>IF($C8,IF(AND(ISNUMBER('Backlog General'!$M8),'Backlog General'!$M8=$AS8),"Nuevo S"&amp;'Backlog General'!$M8,""),"")</f>
      </c>
      <c r="BB8" s="202">
        <f>IF(AND($C8,$AO8="Semanal",ISNUMBER($AV8)),$AV8*100000+ROW(),"")</f>
      </c>
      <c r="BC8" s="202">
        <f>IF(AND($C8,$AO8="Quincenal",ISNUMBER($AV8)),$AV8*100000+ROW(),"")</f>
      </c>
      <c r="BD8" s="202">
        <f>IF(AND($C8,$AO8="Mensual",ISNUMBER($AV8)),$AV8*100000+ROW(),"")</f>
        <v>100008</v>
      </c>
      <c r="BE8" s="203">
        <f>IF($C8,IF(ISBLANK('Backlog General'!$J8),"",'Backlog General'!$J8),"")</f>
      </c>
      <c r="BF8" s="203">
        <f>IF($C8,IF($BE8="","",$BE8)&amp;IF(AND($BE8&lt;&gt;"",$AH8&lt;&gt;"")," · ","")&amp;IF($AH8="","",$AH8),"")</f>
      </c>
      <c r="BG8" s="203" t="str">
        <f>IF($C8,IF($J8="Completado","Sí","No"),"")</f>
        <v>No</v>
      </c>
      <c r="BH8" s="202">
        <f>IF(AND($C8,ISNUMBER($AR8)),IF($AO8="Semanal",1,IF($AO8="Quincenal",2,3))*1000000000+$AR8*100000+ROW(),"")</f>
        <v>3000100008</v>
      </c>
    </row>
    <row r="9">
      <c r="A9" s="202">
        <f>ROW()</f>
        <v>9</v>
      </c>
      <c r="B9" s="202" t="b">
        <f>ISTEXT('Proyecto Datos (OKR´s)'!$K9)</f>
        <v>1</v>
      </c>
      <c r="C9" s="202" t="b">
        <f>AND(LEN('Proyecto Datos (OKR´s)'!$G9)&gt;0,NOT($B9),OR(ISNUMBER('Proyecto Datos (OKR´s)'!$F9),ISNUMBER('Proyecto Datos (OKR´s)'!$L9)))</f>
        <v>0</v>
      </c>
      <c r="D9" s="203">
        <f>IF($C9,IFERROR(LOOKUP(2,1/((ISTEXT('Proyecto Datos (OKR´s)'!$K$7:$K9))*(LEN('Proyecto Datos (OKR´s)'!$G$7:$G9)&gt;0)),'Proyecto Datos (OKR´s)'!$G$7:$G9),""),"")</f>
      </c>
      <c r="E9" s="202">
        <f>IF($C9,'Proyecto Datos (OKR´s)'!$E9,"")</f>
      </c>
      <c r="F9" s="203">
        <f>IF($C9,'Proyecto Datos (OKR´s)'!$G9,"")</f>
      </c>
      <c r="G9" s="203">
        <f>IF($C9,IF('Proyecto Datos (OKR´s)'!$I9="","(Sin asignar)",'Proyecto Datos (OKR´s)'!$I9),"")</f>
      </c>
      <c r="H9" s="202">
        <f>IF($C9,IF(ISNUMBER('Proyecto Datos (OKR´s)'!$F9),'Proyecto Datos (OKR´s)'!$F9,""),"")</f>
      </c>
      <c r="I9" s="202">
        <f>IF($C9,'Proyecto Datos (OKR´s)'!$J9,"")</f>
      </c>
      <c r="J9" s="203">
        <f>IF($C9,IF($I9&gt;=1,"Completado",IF(NOT(ISNUMBER($H9)),"Sin fecha",IF($H9&lt;TODAY(),"Vencido",IF(($H9-TODAY())&lt;='Entregas Próximas'!$M$3,"Próximo a vencer","En curso")))),"")</f>
      </c>
      <c r="K9" s="202">
        <f>IF(AND($C9,ISNUMBER($H9)),$H9-TODAY(),"")</f>
      </c>
      <c r="L9" s="202">
        <f>IF(AND($C9,ISNUMBER($H9)),$AD9*1000000+$H9+ROW()/100000,"")</f>
      </c>
      <c r="M9" s="202">
        <f>IF($C9,IF($AD9=9999,"(Sin sprint)",$AD9),"")</f>
      </c>
      <c r="N9" s="202">
        <f>IF($C9,IF('Proyecto Datos (OKR´s)'!$E9="",9999,'Proyecto Datos (OKR´s)'!$E9),"")</f>
      </c>
      <c r="O9" s="202">
        <f>IF($C9,"T"&amp;TEXT(ROW(),"000"),"")</f>
      </c>
      <c r="P9" s="202">
        <f>ROW()-6</f>
        <v>3</v>
      </c>
      <c r="Q9" s="202">
        <f>IF(COUNTIF($AD$7:$AD$200,$P9)&gt;0,$P9,"")</f>
      </c>
      <c r="R9" s="202">
        <f>IF($C9,IF(ISNUMBER('Proyecto Datos (OKR´s)'!$L9),'Proyecto Datos (OKR´s)'!$L9,$H9),"")</f>
      </c>
      <c r="S9" s="202">
        <f>IF($C9,$R9-'Proyecto Datos (OKR´s)'!$K9+1,"")</f>
      </c>
      <c r="T9" s="202">
        <f>IF($C9,MAX(0,TODAY()-'Proyecto Datos (OKR´s)'!$K9),"")</f>
      </c>
      <c r="U9" s="202">
        <f>IF($C9,MEDIAN(0,(TODAY()-'Proyecto Datos (OKR´s)'!$K9)/MAX(1,$R9-'Proyecto Datos (OKR´s)'!$K9),1),"")</f>
      </c>
      <c r="V9" s="202">
        <f>IF($C9,$I9-$U9,"")</f>
      </c>
      <c r="W9" s="202">
        <f>IF($C9,IF(OR($J9="Completado",NOT(ISNUMBER($H9))),0,MAX(0,TODAY()-$H9)),"")</f>
      </c>
      <c r="X9" s="202">
        <f>IF($C9,IF(ISNUMBER($H9),$R9-$H9,0),"")</f>
      </c>
      <c r="Y9" s="202">
        <f>IF($C9,COUNTIFS($G$7:$G$200,$G9,$J$7:$J$200,"&lt;&gt;Completado",$J$7:$J$200,"&lt;&gt;"),"")</f>
      </c>
      <c r="Z9" s="202">
        <f>IF($C9,AND($I9=0,'Proyecto Datos (OKR´s)'!$K9&lt;=TODAY(),$J9&lt;&gt;"Completado"),"")</f>
      </c>
      <c r="AA9" s="202">
        <f>IF($C9,ROUND(100*(0.35*$AK9+0.3*$AL9+0.2*$AM9+0.15*MEDIAN(0,($Y9-4)/8,1)),0),"")</f>
      </c>
      <c r="AB9" s="203">
        <f>IF($C9,IF(OR($J9="Completado",$J9="Sin fecha"),"—",IF($AA9&gt;=70,"Crítica",IF($AA9&gt;=45,"Alta",IF($AA9&gt;=25,"Media","Baja")))),"")</f>
      </c>
      <c r="AC9" s="203">
        <f>IF($C9,IF(LEN(TRIM($AN9))=0,"—",TRIM($AN9)),"")</f>
      </c>
      <c r="AD9" s="202">
        <f>IF($C9,$AV9,"")</f>
      </c>
      <c r="AE9" s="202">
        <f>IF($C9,$AZ9,"")</f>
      </c>
      <c r="AF9" s="202" t="b">
        <f>IF($C9,$AV9&lt;&gt;$AR9,FALSE)</f>
        <v>0</v>
      </c>
      <c r="AG9" s="202">
        <f>IF($C9,IF($AV9&lt;&gt;$AR9,$AW9,""),"")</f>
      </c>
      <c r="AH9" s="203">
        <f>IF($C9,IF(ISBLANK('Backlog General'!$K9),"",'Backlog General'!$K9),"")</f>
      </c>
      <c r="AI9" s="202">
        <f>IF($C9,$AV9*100000+ROW(),"")</f>
      </c>
      <c r="AJ9" s="202">
        <f>IF(AND($C9,ISNUMBER($H9)),$AA9*1000000-MEDIAN(-9999,$K9,9999)*100+(300-ROW()),"")</f>
      </c>
      <c r="AK9" s="202">
        <f>IF($C9,IF($J9="Completado",0,IF($K9&lt;0,1,IF($K9&lt;=3,0.9,IF($K9&lt;=7,0.7,IF($K9&lt;=14,0.45,0.2))))),"")</f>
      </c>
      <c r="AL9" s="202">
        <f>IF($C9,IF($J9="Completado",0,MEDIAN(0,MAX(-$V9,$W9/30),1)),"")</f>
      </c>
      <c r="AM9" s="202">
        <f>IF($C9,IF($J9="Completado",0,IF($Z9,1,IF(AND($I9&lt;0.5,$K9&lt;=7),0.7,0.3))),"")</f>
      </c>
      <c r="AN9" s="203">
        <f>IF($C9,IF(OR($V9&lt;-0.2,$W9&gt;0),"ATRASO ","")&amp;IF($Z9,"BLOQUEO ","")&amp;IF($Y9&gt;8,"SOBRECARGA ","")&amp;IF($X9&gt;0,"DESVÍO-PLAN ",""),"")</f>
      </c>
      <c r="AO9" s="203">
        <f>IF($C9,IFERROR(VLOOKUP($D9,'Sprints'!$I$5:$J$12,2,FALSE),"Semanal"),"")</f>
      </c>
      <c r="AP9" s="202">
        <f>IF($C9,IFERROR(VLOOKUP($AO9,'Sprints'!$B$9:$C$11,2,FALSE),1),"")</f>
      </c>
      <c r="AQ9" s="202">
        <f>IF($C9,'Sprints'!$C$5,"")</f>
      </c>
      <c r="AR9" s="202">
        <f>IF(AND($C9,ISNUMBER($H9)),CEILING(MAX(1,INT(($H9-$AQ9+'Sprints'!$D$5-1)/'Sprints'!$D$5)+1)/$AP9,1),"")</f>
      </c>
      <c r="AS9" s="202">
        <f>IF($C9,CEILING(MAX(1,INT((TODAY()-$AQ9+'Sprints'!$D$5-1)/'Sprints'!$D$5)+1)/$AP9,1),"")</f>
      </c>
      <c r="AT9" s="203">
        <f>IF($C9,'Backlog General'!$G9,"")</f>
      </c>
      <c r="AU9" s="203">
        <f>IF($C9,'Backlog General'!$H9,"")</f>
      </c>
      <c r="AV9" s="202">
        <f>IF(AND($C9,ISNUMBER($AR9)),IF(OR($AT9="Completo",$AU9="Cancelado",$AU9="Baja prioridad"),$AR9,IF($AU9="Pasa al siguiente",MAX($AR9+1,$AS9),MAX($AR9,$AS9))),"")</f>
      </c>
      <c r="AW9" s="202">
        <f>IF(AND($C9,ISNUMBER($AR9)),$AQ9+$AR9*$AP9*'Sprints'!$D$5-'Sprints'!$D$5,"")</f>
      </c>
      <c r="AX9" s="202">
        <f>IF($C9,IF(OR($AT9="Completo",$AU9="Cancelado",$AU9="Baja prioridad",NOT(ISNUMBER($AW9))),0,IF(TODAY()&gt;$AW9,NETWORKDAYS($AW9,TODAY(),'Sprints'!$L$5:$L$40)-1,0)),"")</f>
      </c>
      <c r="AY9" s="203">
        <f>IF($C9,IF(NOT(ISNUMBER($AR9)),"Sin fecha",IF($AT9="Completo","Completo",IF($AU9="Cancelado","Cancelado",IF($AU9="Baja prioridad","Baja prioridad",IF($AX9&gt;0,"Vencida","Pendiente"))))),"")</f>
      </c>
      <c r="AZ9" s="203">
        <f>IF($C9,IF(ISNUMBER($AV9),$AO9&amp;" · S"&amp;$AV9,"(Sin fecha)"),"")</f>
      </c>
      <c r="BA9" s="202">
        <f>IF($C9,IF(AND(ISNUMBER('Backlog General'!$M9),'Backlog General'!$M9=$AS9),"Nuevo S"&amp;'Backlog General'!$M9,""),"")</f>
      </c>
      <c r="BB9" s="202">
        <f>IF(AND($C9,$AO9="Semanal",ISNUMBER($AV9)),$AV9*100000+ROW(),"")</f>
      </c>
      <c r="BC9" s="202">
        <f>IF(AND($C9,$AO9="Quincenal",ISNUMBER($AV9)),$AV9*100000+ROW(),"")</f>
      </c>
      <c r="BD9" s="202">
        <f>IF(AND($C9,$AO9="Mensual",ISNUMBER($AV9)),$AV9*100000+ROW(),"")</f>
      </c>
      <c r="BE9" s="203">
        <f>IF($C9,IF(ISBLANK('Backlog General'!$J9),"",'Backlog General'!$J9),"")</f>
      </c>
      <c r="BF9" s="203">
        <f>IF($C9,IF($BE9="","",$BE9)&amp;IF(AND($BE9&lt;&gt;"",$AH9&lt;&gt;"")," · ","")&amp;IF($AH9="","",$AH9),"")</f>
      </c>
      <c r="BG9" s="203">
        <f>IF($C9,IF($J9="Completado","Sí","No"),"")</f>
      </c>
      <c r="BH9" s="202">
        <f>IF(AND($C9,ISNUMBER($AR9)),IF($AO9="Semanal",1,IF($AO9="Quincenal",2,3))*1000000000+$AR9*100000+ROW(),"")</f>
      </c>
    </row>
    <row r="10">
      <c r="A10" s="202">
        <f>ROW()</f>
        <v>10</v>
      </c>
      <c r="B10" s="202" t="b">
        <f>ISTEXT('Proyecto Datos (OKR´s)'!$K10)</f>
        <v>0</v>
      </c>
      <c r="C10" s="202" t="b">
        <f>AND(LEN('Proyecto Datos (OKR´s)'!$G10)&gt;0,NOT($B10),OR(ISNUMBER('Proyecto Datos (OKR´s)'!$F10),ISNUMBER('Proyecto Datos (OKR´s)'!$L10)))</f>
        <v>1</v>
      </c>
      <c r="D10" s="203" t="str">
        <f>IF($C10,IFERROR(LOOKUP(2,1/((ISTEXT('Proyecto Datos (OKR´s)'!$K$7:$K10))*(LEN('Proyecto Datos (OKR´s)'!$G$7:$G10)&gt;0)),'Proyecto Datos (OKR´s)'!$G$7:$G10),""),"")</f>
        <v>2- Cotizador de Operaciones Complejas</v>
      </c>
      <c r="E10" s="202">
        <f>IF($C10,'Proyecto Datos (OKR´s)'!$E10,"")</f>
        <v>1</v>
      </c>
      <c r="F10" s="203" t="str">
        <f>IF($C10,'Proyecto Datos (OKR´s)'!$G10,"")</f>
        <v>Crear estructura de Cotizador en base a modelo armado (migra a CLAUDE)</v>
      </c>
      <c r="G10" s="203" t="str">
        <f>IF($C10,IF('Proyecto Datos (OKR´s)'!$I10="","(Sin asignar)",'Proyecto Datos (OKR´s)'!$I10),"")</f>
        <v>Santiago Alonso</v>
      </c>
      <c r="H10" s="202">
        <f>IF($C10,IF(ISNUMBER('Proyecto Datos (OKR´s)'!$F10),'Proyecto Datos (OKR´s)'!$F10,""),"")</f>
        <v>46192</v>
      </c>
      <c r="I10" s="202">
        <f>IF($C10,'Proyecto Datos (OKR´s)'!$J10,"")</f>
        <v>1</v>
      </c>
      <c r="J10" s="203" t="str">
        <f>IF($C10,IF($I10&gt;=1,"Completado",IF(NOT(ISNUMBER($H10)),"Sin fecha",IF($H10&lt;TODAY(),"Vencido",IF(($H10-TODAY())&lt;='Entregas Próximas'!$M$3,"Próximo a vencer","En curso")))),"")</f>
        <v>Completado</v>
      </c>
      <c r="K10" s="202">
        <f>IF(AND($C10,ISNUMBER($H10)),$H10-TODAY(),"")</f>
        <v>-4</v>
      </c>
      <c r="L10" s="202">
        <f>IF(AND($C10,ISNUMBER($H10)),$AD10*1000000+$H10+ROW()/100000,"")</f>
        <v>1046192.0001</v>
      </c>
      <c r="M10" s="202">
        <f>IF($C10,IF($AD10=9999,"(Sin sprint)",$AD10),"")</f>
        <v>1</v>
      </c>
      <c r="N10" s="202">
        <f>IF($C10,IF('Proyecto Datos (OKR´s)'!$E10="",9999,'Proyecto Datos (OKR´s)'!$E10),"")</f>
        <v>1</v>
      </c>
      <c r="O10" s="202" t="str">
        <f>IF($C10,"T"&amp;TEXT(ROW(),"000"),"")</f>
        <v>T010</v>
      </c>
      <c r="P10" s="202">
        <f>ROW()-6</f>
        <v>4</v>
      </c>
      <c r="Q10" s="202">
        <f>IF(COUNTIF($AD$7:$AD$200,$P10)&gt;0,$P10,"")</f>
      </c>
      <c r="R10" s="202">
        <f>IF($C10,IF(ISNUMBER('Proyecto Datos (OKR´s)'!$L10),'Proyecto Datos (OKR´s)'!$L10,$H10),"")</f>
        <v>46192</v>
      </c>
      <c r="S10" s="202">
        <f>IF($C10,$R10-'Proyecto Datos (OKR´s)'!$K10+1,"")</f>
        <v>235</v>
      </c>
      <c r="T10" s="202">
        <f>IF($C10,MAX(0,TODAY()-'Proyecto Datos (OKR´s)'!$K10),"")</f>
        <v>238</v>
      </c>
      <c r="U10" s="202">
        <f>IF($C10,MEDIAN(0,(TODAY()-'Proyecto Datos (OKR´s)'!$K10)/MAX(1,$R10-'Proyecto Datos (OKR´s)'!$K10),1),"")</f>
        <v>1</v>
      </c>
      <c r="V10" s="202">
        <f>IF($C10,$I10-$U10,"")</f>
        <v>0</v>
      </c>
      <c r="W10" s="202">
        <f>IF($C10,IF(OR($J10="Completado",NOT(ISNUMBER($H10))),0,MAX(0,TODAY()-$H10)),"")</f>
        <v>0</v>
      </c>
      <c r="X10" s="202">
        <f>IF($C10,IF(ISNUMBER($H10),$R10-$H10,0),"")</f>
        <v>0</v>
      </c>
      <c r="Y10" s="202">
        <f>IF($C10,COUNTIFS($G$7:$G$200,$G10,$J$7:$J$200,"&lt;&gt;Completado",$J$7:$J$200,"&lt;&gt;"),"")</f>
        <v>0</v>
      </c>
      <c r="Z10" s="202" t="b">
        <f>IF($C10,AND($I10=0,'Proyecto Datos (OKR´s)'!$K10&lt;=TODAY(),$J10&lt;&gt;"Completado"),"")</f>
        <v>0</v>
      </c>
      <c r="AA10" s="202">
        <f>IF($C10,ROUND(100*(0.35*$AK10+0.3*$AL10+0.2*$AM10+0.15*MEDIAN(0,($Y10-4)/8,1)),0),"")</f>
        <v>0</v>
      </c>
      <c r="AB10" s="203" t="str">
        <f>IF($C10,IF(OR($J10="Completado",$J10="Sin fecha"),"—",IF($AA10&gt;=70,"Crítica",IF($AA10&gt;=45,"Alta",IF($AA10&gt;=25,"Media","Baja")))),"")</f>
        <v>—</v>
      </c>
      <c r="AC10" s="203" t="str">
        <f>IF($C10,IF(LEN(TRIM($AN10))=0,"—",TRIM($AN10)),"")</f>
        <v>—</v>
      </c>
      <c r="AD10" s="202">
        <f>IF($C10,$AV10,"")</f>
        <v>1</v>
      </c>
      <c r="AE10" s="202" t="str">
        <f>IF($C10,$AZ10,"")</f>
        <v>Quincenal · S1</v>
      </c>
      <c r="AF10" s="202" t="b">
        <f>IF($C10,$AV10&lt;&gt;$AR10,FALSE)</f>
        <v>0</v>
      </c>
      <c r="AG10" s="202">
        <f>IF($C10,IF($AV10&lt;&gt;$AR10,$AW10,""),"")</f>
      </c>
      <c r="AH10" s="203">
        <f>IF($C10,IF(ISBLANK('Backlog General'!$K10),"",'Backlog General'!$K10),"")</f>
      </c>
      <c r="AI10" s="202">
        <f>IF($C10,$AV10*100000+ROW(),"")</f>
        <v>100010</v>
      </c>
      <c r="AJ10" s="202">
        <f>IF(AND($C10,ISNUMBER($H10)),$AA10*1000000-MEDIAN(-9999,$K10,9999)*100+(300-ROW()),"")</f>
        <v>690</v>
      </c>
      <c r="AK10" s="202">
        <f>IF($C10,IF($J10="Completado",0,IF($K10&lt;0,1,IF($K10&lt;=3,0.9,IF($K10&lt;=7,0.7,IF($K10&lt;=14,0.45,0.2))))),"")</f>
        <v>0</v>
      </c>
      <c r="AL10" s="202">
        <f>IF($C10,IF($J10="Completado",0,MEDIAN(0,MAX(-$V10,$W10/30),1)),"")</f>
        <v>0</v>
      </c>
      <c r="AM10" s="202">
        <f>IF($C10,IF($J10="Completado",0,IF($Z10,1,IF(AND($I10&lt;0.5,$K10&lt;=7),0.7,0.3))),"")</f>
        <v>0</v>
      </c>
      <c r="AN10" s="203">
        <f>IF($C10,IF(OR($V10&lt;-0.2,$W10&gt;0),"ATRASO ","")&amp;IF($Z10,"BLOQUEO ","")&amp;IF($Y10&gt;8,"SOBRECARGA ","")&amp;IF($X10&gt;0,"DESVÍO-PLAN ",""),"")</f>
      </c>
      <c r="AO10" s="203" t="str">
        <f>IF($C10,IFERROR(VLOOKUP($D10,'Sprints'!$I$5:$J$12,2,FALSE),"Semanal"),"")</f>
        <v>Quincenal</v>
      </c>
      <c r="AP10" s="202">
        <f>IF($C10,IFERROR(VLOOKUP($AO10,'Sprints'!$B$9:$C$11,2,FALSE),1),"")</f>
        <v>2</v>
      </c>
      <c r="AQ10" s="202">
        <f>IF($C10,'Sprints'!$C$5,"")</f>
        <v>46192</v>
      </c>
      <c r="AR10" s="202">
        <f>IF(AND($C10,ISNUMBER($H10)),CEILING(MAX(1,INT(($H10-$AQ10+'Sprints'!$D$5-1)/'Sprints'!$D$5)+1)/$AP10,1),"")</f>
        <v>1</v>
      </c>
      <c r="AS10" s="202">
        <f>IF($C10,CEILING(MAX(1,INT((TODAY()-$AQ10+'Sprints'!$D$5-1)/'Sprints'!$D$5)+1)/$AP10,1),"")</f>
        <v>1</v>
      </c>
      <c r="AT10" s="203">
        <f>IF($C10,'Backlog General'!$G10,"")</f>
        <v>0</v>
      </c>
      <c r="AU10" s="203">
        <f>IF($C10,'Backlog General'!$H10,"")</f>
        <v>0</v>
      </c>
      <c r="AV10" s="202">
        <f>IF(AND($C10,ISNUMBER($AR10)),IF(OR($AT10="Completo",$AU10="Cancelado",$AU10="Baja prioridad"),$AR10,IF($AU10="Pasa al siguiente",MAX($AR10+1,$AS10),MAX($AR10,$AS10))),"")</f>
        <v>1</v>
      </c>
      <c r="AW10" s="202">
        <f>IF(AND($C10,ISNUMBER($AR10)),$AQ10+$AR10*$AP10*'Sprints'!$D$5-'Sprints'!$D$5,"")</f>
        <v>46199</v>
      </c>
      <c r="AX10" s="202">
        <f>IF($C10,IF(OR($AT10="Completo",$AU10="Cancelado",$AU10="Baja prioridad",NOT(ISNUMBER($AW10))),0,IF(TODAY()&gt;$AW10,NETWORKDAYS($AW10,TODAY(),'Sprints'!$L$5:$L$40)-1,0)),"")</f>
        <v>0</v>
      </c>
      <c r="AY10" s="203" t="str">
        <f>IF($C10,IF(NOT(ISNUMBER($AR10)),"Sin fecha",IF($AT10="Completo","Completo",IF($AU10="Cancelado","Cancelado",IF($AU10="Baja prioridad","Baja prioridad",IF($AX10&gt;0,"Vencida","Pendiente"))))),"")</f>
        <v>Pendiente</v>
      </c>
      <c r="AZ10" s="203" t="str">
        <f>IF($C10,IF(ISNUMBER($AV10),$AO10&amp;" · S"&amp;$AV10,"(Sin fecha)"),"")</f>
        <v>Quincenal · S1</v>
      </c>
      <c r="BA10" s="202">
        <f>IF($C10,IF(AND(ISNUMBER('Backlog General'!$M10),'Backlog General'!$M10=$AS10),"Nuevo S"&amp;'Backlog General'!$M10,""),"")</f>
      </c>
      <c r="BB10" s="202">
        <f>IF(AND($C10,$AO10="Semanal",ISNUMBER($AV10)),$AV10*100000+ROW(),"")</f>
      </c>
      <c r="BC10" s="202">
        <f>IF(AND($C10,$AO10="Quincenal",ISNUMBER($AV10)),$AV10*100000+ROW(),"")</f>
        <v>100010</v>
      </c>
      <c r="BD10" s="202">
        <f>IF(AND($C10,$AO10="Mensual",ISNUMBER($AV10)),$AV10*100000+ROW(),"")</f>
      </c>
      <c r="BE10" s="203">
        <f>IF($C10,IF(ISBLANK('Backlog General'!$J10),"",'Backlog General'!$J10),"")</f>
      </c>
      <c r="BF10" s="203">
        <f>IF($C10,IF($BE10="","",$BE10)&amp;IF(AND($BE10&lt;&gt;"",$AH10&lt;&gt;"")," · ","")&amp;IF($AH10="","",$AH10),"")</f>
      </c>
      <c r="BG10" s="203" t="str">
        <f>IF($C10,IF($J10="Completado","Sí","No"),"")</f>
        <v>Sí</v>
      </c>
      <c r="BH10" s="202">
        <f>IF(AND($C10,ISNUMBER($AR10)),IF($AO10="Semanal",1,IF($AO10="Quincenal",2,3))*1000000000+$AR10*100000+ROW(),"")</f>
        <v>2000100010</v>
      </c>
    </row>
    <row r="11">
      <c r="A11" s="202">
        <f>ROW()</f>
        <v>11</v>
      </c>
      <c r="B11" s="202" t="b">
        <f>ISTEXT('Proyecto Datos (OKR´s)'!$K11)</f>
        <v>0</v>
      </c>
      <c r="C11" s="202" t="b">
        <f>AND(LEN('Proyecto Datos (OKR´s)'!$G11)&gt;0,NOT($B11),OR(ISNUMBER('Proyecto Datos (OKR´s)'!$F11),ISNUMBER('Proyecto Datos (OKR´s)'!$L11)))</f>
        <v>1</v>
      </c>
      <c r="D11" s="203" t="str">
        <f>IF($C11,IFERROR(LOOKUP(2,1/((ISTEXT('Proyecto Datos (OKR´s)'!$K$7:$K11))*(LEN('Proyecto Datos (OKR´s)'!$G$7:$G11)&gt;0)),'Proyecto Datos (OKR´s)'!$G$7:$G11),""),"")</f>
        <v>2- Cotizador de Operaciones Complejas</v>
      </c>
      <c r="E11" s="202">
        <f>IF($C11,'Proyecto Datos (OKR´s)'!$E11,"")</f>
        <v>1</v>
      </c>
      <c r="F11" s="203" t="str">
        <f>IF($C11,'Proyecto Datos (OKR´s)'!$G11,"")</f>
        <v>Automatización Archivo Sueldos FATSA + Procedimientos</v>
      </c>
      <c r="G11" s="203" t="str">
        <f>IF($C11,IF('Proyecto Datos (OKR´s)'!$I11="","(Sin asignar)",'Proyecto Datos (OKR´s)'!$I11),"")</f>
        <v>Santiago Alonso</v>
      </c>
      <c r="H11" s="202">
        <f>IF($C11,IF(ISNUMBER('Proyecto Datos (OKR´s)'!$F11),'Proyecto Datos (OKR´s)'!$F11,""),"")</f>
        <v>46192</v>
      </c>
      <c r="I11" s="202">
        <f>IF($C11,'Proyecto Datos (OKR´s)'!$J11,"")</f>
        <v>0.75</v>
      </c>
      <c r="J11" s="203" t="str">
        <f>IF($C11,IF($I11&gt;=1,"Completado",IF(NOT(ISNUMBER($H11)),"Sin fecha",IF($H11&lt;TODAY(),"Vencido",IF(($H11-TODAY())&lt;='Entregas Próximas'!$M$3,"Próximo a vencer","En curso")))),"")</f>
        <v>Vencido</v>
      </c>
      <c r="K11" s="202">
        <f>IF(AND($C11,ISNUMBER($H11)),$H11-TODAY(),"")</f>
        <v>-4</v>
      </c>
      <c r="L11" s="202">
        <f>IF(AND($C11,ISNUMBER($H11)),$AD11*1000000+$H11+ROW()/100000,"")</f>
        <v>1046192.00011</v>
      </c>
      <c r="M11" s="202">
        <f>IF($C11,IF($AD11=9999,"(Sin sprint)",$AD11),"")</f>
        <v>1</v>
      </c>
      <c r="N11" s="202">
        <f>IF($C11,IF('Proyecto Datos (OKR´s)'!$E11="",9999,'Proyecto Datos (OKR´s)'!$E11),"")</f>
        <v>1</v>
      </c>
      <c r="O11" s="202" t="str">
        <f>IF($C11,"T"&amp;TEXT(ROW(),"000"),"")</f>
        <v>T011</v>
      </c>
      <c r="P11" s="202">
        <f>ROW()-6</f>
        <v>5</v>
      </c>
      <c r="Q11" s="202">
        <f>IF(COUNTIF($AD$7:$AD$200,$P11)&gt;0,$P11,"")</f>
      </c>
      <c r="R11" s="202">
        <f>IF($C11,IF(ISNUMBER('Proyecto Datos (OKR´s)'!$L11),'Proyecto Datos (OKR´s)'!$L11,$H11),"")</f>
        <v>46192</v>
      </c>
      <c r="S11" s="202">
        <f>IF($C11,$R11-'Proyecto Datos (OKR´s)'!$K11+1,"")</f>
        <v>235</v>
      </c>
      <c r="T11" s="202">
        <f>IF($C11,MAX(0,TODAY()-'Proyecto Datos (OKR´s)'!$K11),"")</f>
        <v>238</v>
      </c>
      <c r="U11" s="202">
        <f>IF($C11,MEDIAN(0,(TODAY()-'Proyecto Datos (OKR´s)'!$K11)/MAX(1,$R11-'Proyecto Datos (OKR´s)'!$K11),1),"")</f>
        <v>1</v>
      </c>
      <c r="V11" s="202">
        <f>IF($C11,$I11-$U11,"")</f>
        <v>-0.25</v>
      </c>
      <c r="W11" s="202">
        <f>IF($C11,IF(OR($J11="Completado",NOT(ISNUMBER($H11))),0,MAX(0,TODAY()-$H11)),"")</f>
        <v>4</v>
      </c>
      <c r="X11" s="202">
        <f>IF($C11,IF(ISNUMBER($H11),$R11-$H11,0),"")</f>
        <v>0</v>
      </c>
      <c r="Y11" s="202">
        <f>IF($C11,COUNTIFS($G$7:$G$200,$G11,$J$7:$J$200,"&lt;&gt;Completado",$J$7:$J$200,"&lt;&gt;"),"")</f>
        <v>0</v>
      </c>
      <c r="Z11" s="202" t="b">
        <f>IF($C11,AND($I11=0,'Proyecto Datos (OKR´s)'!$K11&lt;=TODAY(),$J11&lt;&gt;"Completado"),"")</f>
        <v>0</v>
      </c>
      <c r="AA11" s="202">
        <f>IF($C11,ROUND(100*(0.35*$AK11+0.3*$AL11+0.2*$AM11+0.15*MEDIAN(0,($Y11-4)/8,1)),0),"")</f>
        <v>49</v>
      </c>
      <c r="AB11" s="203" t="str">
        <f>IF($C11,IF(OR($J11="Completado",$J11="Sin fecha"),"—",IF($AA11&gt;=70,"Crítica",IF($AA11&gt;=45,"Alta",IF($AA11&gt;=25,"Media","Baja")))),"")</f>
        <v>Alta</v>
      </c>
      <c r="AC11" s="203" t="str">
        <f>IF($C11,IF(LEN(TRIM($AN11))=0,"—",TRIM($AN11)),"")</f>
        <v>ATRASO</v>
      </c>
      <c r="AD11" s="202">
        <f>IF($C11,$AV11,"")</f>
        <v>1</v>
      </c>
      <c r="AE11" s="202" t="str">
        <f>IF($C11,$AZ11,"")</f>
        <v>Quincenal · S1</v>
      </c>
      <c r="AF11" s="202" t="b">
        <f>IF($C11,$AV11&lt;&gt;$AR11,FALSE)</f>
        <v>0</v>
      </c>
      <c r="AG11" s="202">
        <f>IF($C11,IF($AV11&lt;&gt;$AR11,$AW11,""),"")</f>
      </c>
      <c r="AH11" s="203">
        <f>IF($C11,IF(ISBLANK('Backlog General'!$K11),"",'Backlog General'!$K11),"")</f>
      </c>
      <c r="AI11" s="202">
        <f>IF($C11,$AV11*100000+ROW(),"")</f>
        <v>100011</v>
      </c>
      <c r="AJ11" s="202">
        <f>IF(AND($C11,ISNUMBER($H11)),$AA11*1000000-MEDIAN(-9999,$K11,9999)*100+(300-ROW()),"")</f>
        <v>49000689</v>
      </c>
      <c r="AK11" s="202">
        <f>IF($C11,IF($J11="Completado",0,IF($K11&lt;0,1,IF($K11&lt;=3,0.9,IF($K11&lt;=7,0.7,IF($K11&lt;=14,0.45,0.2))))),"")</f>
        <v>1</v>
      </c>
      <c r="AL11" s="202">
        <f>IF($C11,IF($J11="Completado",0,MEDIAN(0,MAX(-$V11,$W11/30),1)),"")</f>
        <v>0.25</v>
      </c>
      <c r="AM11" s="202">
        <f>IF($C11,IF($J11="Completado",0,IF($Z11,1,IF(AND($I11&lt;0.5,$K11&lt;=7),0.7,0.3))),"")</f>
        <v>0.3</v>
      </c>
      <c r="AN11" s="203" t="str">
        <f>IF($C11,IF(OR($V11&lt;-0.2,$W11&gt;0),"ATRASO ","")&amp;IF($Z11,"BLOQUEO ","")&amp;IF($Y11&gt;8,"SOBRECARGA ","")&amp;IF($X11&gt;0,"DESVÍO-PLAN ",""),"")</f>
        <v>ATRASO </v>
      </c>
      <c r="AO11" s="203" t="str">
        <f>IF($C11,IFERROR(VLOOKUP($D11,'Sprints'!$I$5:$J$12,2,FALSE),"Semanal"),"")</f>
        <v>Quincenal</v>
      </c>
      <c r="AP11" s="202">
        <f>IF($C11,IFERROR(VLOOKUP($AO11,'Sprints'!$B$9:$C$11,2,FALSE),1),"")</f>
        <v>2</v>
      </c>
      <c r="AQ11" s="202">
        <f>IF($C11,'Sprints'!$C$5,"")</f>
        <v>46192</v>
      </c>
      <c r="AR11" s="202">
        <f>IF(AND($C11,ISNUMBER($H11)),CEILING(MAX(1,INT(($H11-$AQ11+'Sprints'!$D$5-1)/'Sprints'!$D$5)+1)/$AP11,1),"")</f>
        <v>1</v>
      </c>
      <c r="AS11" s="202">
        <f>IF($C11,CEILING(MAX(1,INT((TODAY()-$AQ11+'Sprints'!$D$5-1)/'Sprints'!$D$5)+1)/$AP11,1),"")</f>
        <v>1</v>
      </c>
      <c r="AT11" s="203">
        <f>IF($C11,'Backlog General'!$G11,"")</f>
        <v>0</v>
      </c>
      <c r="AU11" s="203">
        <f>IF($C11,'Backlog General'!$H11,"")</f>
        <v>0</v>
      </c>
      <c r="AV11" s="202">
        <f>IF(AND($C11,ISNUMBER($AR11)),IF(OR($AT11="Completo",$AU11="Cancelado",$AU11="Baja prioridad"),$AR11,IF($AU11="Pasa al siguiente",MAX($AR11+1,$AS11),MAX($AR11,$AS11))),"")</f>
        <v>1</v>
      </c>
      <c r="AW11" s="202">
        <f>IF(AND($C11,ISNUMBER($AR11)),$AQ11+$AR11*$AP11*'Sprints'!$D$5-'Sprints'!$D$5,"")</f>
        <v>46199</v>
      </c>
      <c r="AX11" s="202">
        <f>IF($C11,IF(OR($AT11="Completo",$AU11="Cancelado",$AU11="Baja prioridad",NOT(ISNUMBER($AW11))),0,IF(TODAY()&gt;$AW11,NETWORKDAYS($AW11,TODAY(),'Sprints'!$L$5:$L$40)-1,0)),"")</f>
        <v>0</v>
      </c>
      <c r="AY11" s="203" t="str">
        <f>IF($C11,IF(NOT(ISNUMBER($AR11)),"Sin fecha",IF($AT11="Completo","Completo",IF($AU11="Cancelado","Cancelado",IF($AU11="Baja prioridad","Baja prioridad",IF($AX11&gt;0,"Vencida","Pendiente"))))),"")</f>
        <v>Pendiente</v>
      </c>
      <c r="AZ11" s="203" t="str">
        <f>IF($C11,IF(ISNUMBER($AV11),$AO11&amp;" · S"&amp;$AV11,"(Sin fecha)"),"")</f>
        <v>Quincenal · S1</v>
      </c>
      <c r="BA11" s="202">
        <f>IF($C11,IF(AND(ISNUMBER('Backlog General'!$M11),'Backlog General'!$M11=$AS11),"Nuevo S"&amp;'Backlog General'!$M11,""),"")</f>
      </c>
      <c r="BB11" s="202">
        <f>IF(AND($C11,$AO11="Semanal",ISNUMBER($AV11)),$AV11*100000+ROW(),"")</f>
      </c>
      <c r="BC11" s="202">
        <f>IF(AND($C11,$AO11="Quincenal",ISNUMBER($AV11)),$AV11*100000+ROW(),"")</f>
        <v>100011</v>
      </c>
      <c r="BD11" s="202">
        <f>IF(AND($C11,$AO11="Mensual",ISNUMBER($AV11)),$AV11*100000+ROW(),"")</f>
      </c>
      <c r="BE11" s="203">
        <f>IF($C11,IF(ISBLANK('Backlog General'!$J11),"",'Backlog General'!$J11),"")</f>
      </c>
      <c r="BF11" s="203">
        <f>IF($C11,IF($BE11="","",$BE11)&amp;IF(AND($BE11&lt;&gt;"",$AH11&lt;&gt;"")," · ","")&amp;IF($AH11="","",$AH11),"")</f>
      </c>
      <c r="BG11" s="203" t="str">
        <f>IF($C11,IF($J11="Completado","Sí","No"),"")</f>
        <v>No</v>
      </c>
      <c r="BH11" s="202">
        <f>IF(AND($C11,ISNUMBER($AR11)),IF($AO11="Semanal",1,IF($AO11="Quincenal",2,3))*1000000000+$AR11*100000+ROW(),"")</f>
        <v>2000100011</v>
      </c>
    </row>
    <row r="12">
      <c r="A12" s="202">
        <f>ROW()</f>
        <v>12</v>
      </c>
      <c r="B12" s="202" t="b">
        <f>ISTEXT('Proyecto Datos (OKR´s)'!$K12)</f>
        <v>0</v>
      </c>
      <c r="C12" s="202" t="b">
        <f>AND(LEN('Proyecto Datos (OKR´s)'!$G12)&gt;0,NOT($B12),OR(ISNUMBER('Proyecto Datos (OKR´s)'!$F12),ISNUMBER('Proyecto Datos (OKR´s)'!$L12)))</f>
        <v>1</v>
      </c>
      <c r="D12" s="203" t="str">
        <f>IF($C12,IFERROR(LOOKUP(2,1/((ISTEXT('Proyecto Datos (OKR´s)'!$K$7:$K12))*(LEN('Proyecto Datos (OKR´s)'!$G$7:$G12)&gt;0)),'Proyecto Datos (OKR´s)'!$G$7:$G12),""),"")</f>
        <v>2- Cotizador de Operaciones Complejas</v>
      </c>
      <c r="E12" s="202">
        <f>IF($C12,'Proyecto Datos (OKR´s)'!$E12,"")</f>
        <v>1</v>
      </c>
      <c r="F12" s="203" t="str">
        <f>IF($C12,'Proyecto Datos (OKR´s)'!$G12,"")</f>
        <v>Automatización Archivo Sueldos Petro + Procedimientos</v>
      </c>
      <c r="G12" s="203" t="str">
        <f>IF($C12,IF('Proyecto Datos (OKR´s)'!$I12="","(Sin asignar)",'Proyecto Datos (OKR´s)'!$I12),"")</f>
        <v>Santiago Alonso</v>
      </c>
      <c r="H12" s="202">
        <f>IF($C12,IF(ISNUMBER('Proyecto Datos (OKR´s)'!$F12),'Proyecto Datos (OKR´s)'!$F12,""),"")</f>
        <v>46192</v>
      </c>
      <c r="I12" s="202">
        <f>IF($C12,'Proyecto Datos (OKR´s)'!$J12,"")</f>
        <v>0.75</v>
      </c>
      <c r="J12" s="203" t="str">
        <f>IF($C12,IF($I12&gt;=1,"Completado",IF(NOT(ISNUMBER($H12)),"Sin fecha",IF($H12&lt;TODAY(),"Vencido",IF(($H12-TODAY())&lt;='Entregas Próximas'!$M$3,"Próximo a vencer","En curso")))),"")</f>
        <v>Vencido</v>
      </c>
      <c r="K12" s="202">
        <f>IF(AND($C12,ISNUMBER($H12)),$H12-TODAY(),"")</f>
        <v>-4</v>
      </c>
      <c r="L12" s="202">
        <f>IF(AND($C12,ISNUMBER($H12)),$AD12*1000000+$H12+ROW()/100000,"")</f>
        <v>1046192.00012</v>
      </c>
      <c r="M12" s="202">
        <f>IF($C12,IF($AD12=9999,"(Sin sprint)",$AD12),"")</f>
        <v>1</v>
      </c>
      <c r="N12" s="202">
        <f>IF($C12,IF('Proyecto Datos (OKR´s)'!$E12="",9999,'Proyecto Datos (OKR´s)'!$E12),"")</f>
        <v>1</v>
      </c>
      <c r="O12" s="202" t="str">
        <f>IF($C12,"T"&amp;TEXT(ROW(),"000"),"")</f>
        <v>T012</v>
      </c>
      <c r="P12" s="202">
        <f>ROW()-6</f>
        <v>6</v>
      </c>
      <c r="Q12" s="202">
        <f>IF(COUNTIF($AD$7:$AD$200,$P12)&gt;0,$P12,"")</f>
      </c>
      <c r="R12" s="202">
        <f>IF($C12,IF(ISNUMBER('Proyecto Datos (OKR´s)'!$L12),'Proyecto Datos (OKR´s)'!$L12,$H12),"")</f>
        <v>46192</v>
      </c>
      <c r="S12" s="202">
        <f>IF($C12,$R12-'Proyecto Datos (OKR´s)'!$K12+1,"")</f>
        <v>215</v>
      </c>
      <c r="T12" s="202">
        <f>IF($C12,MAX(0,TODAY()-'Proyecto Datos (OKR´s)'!$K12),"")</f>
        <v>218</v>
      </c>
      <c r="U12" s="202">
        <f>IF($C12,MEDIAN(0,(TODAY()-'Proyecto Datos (OKR´s)'!$K12)/MAX(1,$R12-'Proyecto Datos (OKR´s)'!$K12),1),"")</f>
        <v>1</v>
      </c>
      <c r="V12" s="202">
        <f>IF($C12,$I12-$U12,"")</f>
        <v>-0.25</v>
      </c>
      <c r="W12" s="202">
        <f>IF($C12,IF(OR($J12="Completado",NOT(ISNUMBER($H12))),0,MAX(0,TODAY()-$H12)),"")</f>
        <v>4</v>
      </c>
      <c r="X12" s="202">
        <f>IF($C12,IF(ISNUMBER($H12),$R12-$H12,0),"")</f>
        <v>0</v>
      </c>
      <c r="Y12" s="202">
        <f>IF($C12,COUNTIFS($G$7:$G$200,$G12,$J$7:$J$200,"&lt;&gt;Completado",$J$7:$J$200,"&lt;&gt;"),"")</f>
        <v>0</v>
      </c>
      <c r="Z12" s="202" t="b">
        <f>IF($C12,AND($I12=0,'Proyecto Datos (OKR´s)'!$K12&lt;=TODAY(),$J12&lt;&gt;"Completado"),"")</f>
        <v>0</v>
      </c>
      <c r="AA12" s="202">
        <f>IF($C12,ROUND(100*(0.35*$AK12+0.3*$AL12+0.2*$AM12+0.15*MEDIAN(0,($Y12-4)/8,1)),0),"")</f>
        <v>49</v>
      </c>
      <c r="AB12" s="203" t="str">
        <f>IF($C12,IF(OR($J12="Completado",$J12="Sin fecha"),"—",IF($AA12&gt;=70,"Crítica",IF($AA12&gt;=45,"Alta",IF($AA12&gt;=25,"Media","Baja")))),"")</f>
        <v>Alta</v>
      </c>
      <c r="AC12" s="203" t="str">
        <f>IF($C12,IF(LEN(TRIM($AN12))=0,"—",TRIM($AN12)),"")</f>
        <v>ATRASO</v>
      </c>
      <c r="AD12" s="202">
        <f>IF($C12,$AV12,"")</f>
        <v>1</v>
      </c>
      <c r="AE12" s="202" t="str">
        <f>IF($C12,$AZ12,"")</f>
        <v>Quincenal · S1</v>
      </c>
      <c r="AF12" s="202" t="b">
        <f>IF($C12,$AV12&lt;&gt;$AR12,FALSE)</f>
        <v>0</v>
      </c>
      <c r="AG12" s="202">
        <f>IF($C12,IF($AV12&lt;&gt;$AR12,$AW12,""),"")</f>
      </c>
      <c r="AH12" s="203">
        <f>IF($C12,IF(ISBLANK('Backlog General'!$K12),"",'Backlog General'!$K12),"")</f>
      </c>
      <c r="AI12" s="202">
        <f>IF($C12,$AV12*100000+ROW(),"")</f>
        <v>100012</v>
      </c>
      <c r="AJ12" s="202">
        <f>IF(AND($C12,ISNUMBER($H12)),$AA12*1000000-MEDIAN(-9999,$K12,9999)*100+(300-ROW()),"")</f>
        <v>49000688</v>
      </c>
      <c r="AK12" s="202">
        <f>IF($C12,IF($J12="Completado",0,IF($K12&lt;0,1,IF($K12&lt;=3,0.9,IF($K12&lt;=7,0.7,IF($K12&lt;=14,0.45,0.2))))),"")</f>
        <v>1</v>
      </c>
      <c r="AL12" s="202">
        <f>IF($C12,IF($J12="Completado",0,MEDIAN(0,MAX(-$V12,$W12/30),1)),"")</f>
        <v>0.25</v>
      </c>
      <c r="AM12" s="202">
        <f>IF($C12,IF($J12="Completado",0,IF($Z12,1,IF(AND($I12&lt;0.5,$K12&lt;=7),0.7,0.3))),"")</f>
        <v>0.3</v>
      </c>
      <c r="AN12" s="203" t="str">
        <f>IF($C12,IF(OR($V12&lt;-0.2,$W12&gt;0),"ATRASO ","")&amp;IF($Z12,"BLOQUEO ","")&amp;IF($Y12&gt;8,"SOBRECARGA ","")&amp;IF($X12&gt;0,"DESVÍO-PLAN ",""),"")</f>
        <v>ATRASO </v>
      </c>
      <c r="AO12" s="203" t="str">
        <f>IF($C12,IFERROR(VLOOKUP($D12,'Sprints'!$I$5:$J$12,2,FALSE),"Semanal"),"")</f>
        <v>Quincenal</v>
      </c>
      <c r="AP12" s="202">
        <f>IF($C12,IFERROR(VLOOKUP($AO12,'Sprints'!$B$9:$C$11,2,FALSE),1),"")</f>
        <v>2</v>
      </c>
      <c r="AQ12" s="202">
        <f>IF($C12,'Sprints'!$C$5,"")</f>
        <v>46192</v>
      </c>
      <c r="AR12" s="202">
        <f>IF(AND($C12,ISNUMBER($H12)),CEILING(MAX(1,INT(($H12-$AQ12+'Sprints'!$D$5-1)/'Sprints'!$D$5)+1)/$AP12,1),"")</f>
        <v>1</v>
      </c>
      <c r="AS12" s="202">
        <f>IF($C12,CEILING(MAX(1,INT((TODAY()-$AQ12+'Sprints'!$D$5-1)/'Sprints'!$D$5)+1)/$AP12,1),"")</f>
        <v>1</v>
      </c>
      <c r="AT12" s="203">
        <f>IF($C12,'Backlog General'!$G12,"")</f>
        <v>0</v>
      </c>
      <c r="AU12" s="203">
        <f>IF($C12,'Backlog General'!$H12,"")</f>
        <v>0</v>
      </c>
      <c r="AV12" s="202">
        <f>IF(AND($C12,ISNUMBER($AR12)),IF(OR($AT12="Completo",$AU12="Cancelado",$AU12="Baja prioridad"),$AR12,IF($AU12="Pasa al siguiente",MAX($AR12+1,$AS12),MAX($AR12,$AS12))),"")</f>
        <v>1</v>
      </c>
      <c r="AW12" s="202">
        <f>IF(AND($C12,ISNUMBER($AR12)),$AQ12+$AR12*$AP12*'Sprints'!$D$5-'Sprints'!$D$5,"")</f>
        <v>46199</v>
      </c>
      <c r="AX12" s="202">
        <f>IF($C12,IF(OR($AT12="Completo",$AU12="Cancelado",$AU12="Baja prioridad",NOT(ISNUMBER($AW12))),0,IF(TODAY()&gt;$AW12,NETWORKDAYS($AW12,TODAY(),'Sprints'!$L$5:$L$40)-1,0)),"")</f>
        <v>0</v>
      </c>
      <c r="AY12" s="203" t="str">
        <f>IF($C12,IF(NOT(ISNUMBER($AR12)),"Sin fecha",IF($AT12="Completo","Completo",IF($AU12="Cancelado","Cancelado",IF($AU12="Baja prioridad","Baja prioridad",IF($AX12&gt;0,"Vencida","Pendiente"))))),"")</f>
        <v>Pendiente</v>
      </c>
      <c r="AZ12" s="203" t="str">
        <f>IF($C12,IF(ISNUMBER($AV12),$AO12&amp;" · S"&amp;$AV12,"(Sin fecha)"),"")</f>
        <v>Quincenal · S1</v>
      </c>
      <c r="BA12" s="202">
        <f>IF($C12,IF(AND(ISNUMBER('Backlog General'!$M12),'Backlog General'!$M12=$AS12),"Nuevo S"&amp;'Backlog General'!$M12,""),"")</f>
      </c>
      <c r="BB12" s="202">
        <f>IF(AND($C12,$AO12="Semanal",ISNUMBER($AV12)),$AV12*100000+ROW(),"")</f>
      </c>
      <c r="BC12" s="202">
        <f>IF(AND($C12,$AO12="Quincenal",ISNUMBER($AV12)),$AV12*100000+ROW(),"")</f>
        <v>100012</v>
      </c>
      <c r="BD12" s="202">
        <f>IF(AND($C12,$AO12="Mensual",ISNUMBER($AV12)),$AV12*100000+ROW(),"")</f>
      </c>
      <c r="BE12" s="203">
        <f>IF($C12,IF(ISBLANK('Backlog General'!$J12),"",'Backlog General'!$J12),"")</f>
      </c>
      <c r="BF12" s="203">
        <f>IF($C12,IF($BE12="","",$BE12)&amp;IF(AND($BE12&lt;&gt;"",$AH12&lt;&gt;"")," · ","")&amp;IF($AH12="","",$AH12),"")</f>
      </c>
      <c r="BG12" s="203" t="str">
        <f>IF($C12,IF($J12="Completado","Sí","No"),"")</f>
        <v>No</v>
      </c>
      <c r="BH12" s="202">
        <f>IF(AND($C12,ISNUMBER($AR12)),IF($AO12="Semanal",1,IF($AO12="Quincenal",2,3))*1000000000+$AR12*100000+ROW(),"")</f>
        <v>2000100012</v>
      </c>
    </row>
    <row r="13">
      <c r="A13" s="202">
        <f>ROW()</f>
        <v>13</v>
      </c>
      <c r="B13" s="202" t="b">
        <f>ISTEXT('Proyecto Datos (OKR´s)'!$K13)</f>
        <v>0</v>
      </c>
      <c r="C13" s="202" t="b">
        <f>AND(LEN('Proyecto Datos (OKR´s)'!$G13)&gt;0,NOT($B13),OR(ISNUMBER('Proyecto Datos (OKR´s)'!$F13),ISNUMBER('Proyecto Datos (OKR´s)'!$L13)))</f>
        <v>1</v>
      </c>
      <c r="D13" s="203" t="str">
        <f>IF($C13,IFERROR(LOOKUP(2,1/((ISTEXT('Proyecto Datos (OKR´s)'!$K$7:$K13))*(LEN('Proyecto Datos (OKR´s)'!$G$7:$G13)&gt;0)),'Proyecto Datos (OKR´s)'!$G$7:$G13),""),"")</f>
        <v>2- Cotizador de Operaciones Complejas</v>
      </c>
      <c r="E13" s="202">
        <f>IF($C13,'Proyecto Datos (OKR´s)'!$E13,"")</f>
        <v>1</v>
      </c>
      <c r="F13" s="203" t="str">
        <f>IF($C13,'Proyecto Datos (OKR´s)'!$G13,"")</f>
        <v>Relevamiento Últimos Sueldos de referencia Monotributistas</v>
      </c>
      <c r="G13" s="203" t="str">
        <f>IF($C13,IF('Proyecto Datos (OKR´s)'!$I13="","(Sin asignar)",'Proyecto Datos (OKR´s)'!$I13),"")</f>
        <v>Santiago Alonso</v>
      </c>
      <c r="H13" s="202">
        <f>IF($C13,IF(ISNUMBER('Proyecto Datos (OKR´s)'!$F13),'Proyecto Datos (OKR´s)'!$F13,""),"")</f>
        <v>46192</v>
      </c>
      <c r="I13" s="202">
        <f>IF($C13,'Proyecto Datos (OKR´s)'!$J13,"")</f>
        <v>0.5</v>
      </c>
      <c r="J13" s="203" t="str">
        <f>IF($C13,IF($I13&gt;=1,"Completado",IF(NOT(ISNUMBER($H13)),"Sin fecha",IF($H13&lt;TODAY(),"Vencido",IF(($H13-TODAY())&lt;='Entregas Próximas'!$M$3,"Próximo a vencer","En curso")))),"")</f>
        <v>Vencido</v>
      </c>
      <c r="K13" s="202">
        <f>IF(AND($C13,ISNUMBER($H13)),$H13-TODAY(),"")</f>
        <v>-4</v>
      </c>
      <c r="L13" s="202">
        <f>IF(AND($C13,ISNUMBER($H13)),$AD13*1000000+$H13+ROW()/100000,"")</f>
        <v>1046192.00013</v>
      </c>
      <c r="M13" s="202">
        <f>IF($C13,IF($AD13=9999,"(Sin sprint)",$AD13),"")</f>
        <v>1</v>
      </c>
      <c r="N13" s="202">
        <f>IF($C13,IF('Proyecto Datos (OKR´s)'!$E13="",9999,'Proyecto Datos (OKR´s)'!$E13),"")</f>
        <v>1</v>
      </c>
      <c r="O13" s="202" t="str">
        <f>IF($C13,"T"&amp;TEXT(ROW(),"000"),"")</f>
        <v>T013</v>
      </c>
      <c r="P13" s="202">
        <f>ROW()-6</f>
        <v>7</v>
      </c>
      <c r="Q13" s="202">
        <f>IF(COUNTIF($AD$7:$AD$200,$P13)&gt;0,$P13,"")</f>
      </c>
      <c r="R13" s="202">
        <f>IF($C13,IF(ISNUMBER('Proyecto Datos (OKR´s)'!$L13),'Proyecto Datos (OKR´s)'!$L13,$H13),"")</f>
        <v>46192</v>
      </c>
      <c r="S13" s="202">
        <f>IF($C13,$R13-'Proyecto Datos (OKR´s)'!$K13+1,"")</f>
        <v>-152</v>
      </c>
      <c r="T13" s="202">
        <f>IF($C13,MAX(0,TODAY()-'Proyecto Datos (OKR´s)'!$K13),"")</f>
        <v>0</v>
      </c>
      <c r="U13" s="202">
        <f>IF($C13,MEDIAN(0,(TODAY()-'Proyecto Datos (OKR´s)'!$K13)/MAX(1,$R13-'Proyecto Datos (OKR´s)'!$K13),1),"")</f>
        <v>0</v>
      </c>
      <c r="V13" s="202">
        <f>IF($C13,$I13-$U13,"")</f>
        <v>0.5</v>
      </c>
      <c r="W13" s="202">
        <f>IF($C13,IF(OR($J13="Completado",NOT(ISNUMBER($H13))),0,MAX(0,TODAY()-$H13)),"")</f>
        <v>4</v>
      </c>
      <c r="X13" s="202">
        <f>IF($C13,IF(ISNUMBER($H13),$R13-$H13,0),"")</f>
        <v>0</v>
      </c>
      <c r="Y13" s="202">
        <f>IF($C13,COUNTIFS($G$7:$G$200,$G13,$J$7:$J$200,"&lt;&gt;Completado",$J$7:$J$200,"&lt;&gt;"),"")</f>
        <v>0</v>
      </c>
      <c r="Z13" s="202" t="b">
        <f>IF($C13,AND($I13=0,'Proyecto Datos (OKR´s)'!$K13&lt;=TODAY(),$J13&lt;&gt;"Completado"),"")</f>
        <v>0</v>
      </c>
      <c r="AA13" s="202">
        <f>IF($C13,ROUND(100*(0.35*$AK13+0.3*$AL13+0.2*$AM13+0.15*MEDIAN(0,($Y13-4)/8,1)),0),"")</f>
        <v>45</v>
      </c>
      <c r="AB13" s="203" t="str">
        <f>IF($C13,IF(OR($J13="Completado",$J13="Sin fecha"),"—",IF($AA13&gt;=70,"Crítica",IF($AA13&gt;=45,"Alta",IF($AA13&gt;=25,"Media","Baja")))),"")</f>
        <v>Alta</v>
      </c>
      <c r="AC13" s="203" t="str">
        <f>IF($C13,IF(LEN(TRIM($AN13))=0,"—",TRIM($AN13)),"")</f>
        <v>ATRASO</v>
      </c>
      <c r="AD13" s="202">
        <f>IF($C13,$AV13,"")</f>
        <v>1</v>
      </c>
      <c r="AE13" s="202" t="str">
        <f>IF($C13,$AZ13,"")</f>
        <v>Quincenal · S1</v>
      </c>
      <c r="AF13" s="202" t="b">
        <f>IF($C13,$AV13&lt;&gt;$AR13,FALSE)</f>
        <v>0</v>
      </c>
      <c r="AG13" s="202">
        <f>IF($C13,IF($AV13&lt;&gt;$AR13,$AW13,""),"")</f>
      </c>
      <c r="AH13" s="203">
        <f>IF($C13,IF(ISBLANK('Backlog General'!$K13),"",'Backlog General'!$K13),"")</f>
      </c>
      <c r="AI13" s="202">
        <f>IF($C13,$AV13*100000+ROW(),"")</f>
        <v>100013</v>
      </c>
      <c r="AJ13" s="202">
        <f>IF(AND($C13,ISNUMBER($H13)),$AA13*1000000-MEDIAN(-9999,$K13,9999)*100+(300-ROW()),"")</f>
        <v>45000687</v>
      </c>
      <c r="AK13" s="202">
        <f>IF($C13,IF($J13="Completado",0,IF($K13&lt;0,1,IF($K13&lt;=3,0.9,IF($K13&lt;=7,0.7,IF($K13&lt;=14,0.45,0.2))))),"")</f>
        <v>1</v>
      </c>
      <c r="AL13" s="202">
        <f>IF($C13,IF($J13="Completado",0,MEDIAN(0,MAX(-$V13,$W13/30),1)),"")</f>
        <v>0.13333333333333333</v>
      </c>
      <c r="AM13" s="202">
        <f>IF($C13,IF($J13="Completado",0,IF($Z13,1,IF(AND($I13&lt;0.5,$K13&lt;=7),0.7,0.3))),"")</f>
        <v>0.3</v>
      </c>
      <c r="AN13" s="203" t="str">
        <f>IF($C13,IF(OR($V13&lt;-0.2,$W13&gt;0),"ATRASO ","")&amp;IF($Z13,"BLOQUEO ","")&amp;IF($Y13&gt;8,"SOBRECARGA ","")&amp;IF($X13&gt;0,"DESVÍO-PLAN ",""),"")</f>
        <v>ATRASO </v>
      </c>
      <c r="AO13" s="203" t="str">
        <f>IF($C13,IFERROR(VLOOKUP($D13,'Sprints'!$I$5:$J$12,2,FALSE),"Semanal"),"")</f>
        <v>Quincenal</v>
      </c>
      <c r="AP13" s="202">
        <f>IF($C13,IFERROR(VLOOKUP($AO13,'Sprints'!$B$9:$C$11,2,FALSE),1),"")</f>
        <v>2</v>
      </c>
      <c r="AQ13" s="202">
        <f>IF($C13,'Sprints'!$C$5,"")</f>
        <v>46192</v>
      </c>
      <c r="AR13" s="202">
        <f>IF(AND($C13,ISNUMBER($H13)),CEILING(MAX(1,INT(($H13-$AQ13+'Sprints'!$D$5-1)/'Sprints'!$D$5)+1)/$AP13,1),"")</f>
        <v>1</v>
      </c>
      <c r="AS13" s="202">
        <f>IF($C13,CEILING(MAX(1,INT((TODAY()-$AQ13+'Sprints'!$D$5-1)/'Sprints'!$D$5)+1)/$AP13,1),"")</f>
        <v>1</v>
      </c>
      <c r="AT13" s="203">
        <f>IF($C13,'Backlog General'!$G13,"")</f>
        <v>0</v>
      </c>
      <c r="AU13" s="203">
        <f>IF($C13,'Backlog General'!$H13,"")</f>
        <v>0</v>
      </c>
      <c r="AV13" s="202">
        <f>IF(AND($C13,ISNUMBER($AR13)),IF(OR($AT13="Completo",$AU13="Cancelado",$AU13="Baja prioridad"),$AR13,IF($AU13="Pasa al siguiente",MAX($AR13+1,$AS13),MAX($AR13,$AS13))),"")</f>
        <v>1</v>
      </c>
      <c r="AW13" s="202">
        <f>IF(AND($C13,ISNUMBER($AR13)),$AQ13+$AR13*$AP13*'Sprints'!$D$5-'Sprints'!$D$5,"")</f>
        <v>46199</v>
      </c>
      <c r="AX13" s="202">
        <f>IF($C13,IF(OR($AT13="Completo",$AU13="Cancelado",$AU13="Baja prioridad",NOT(ISNUMBER($AW13))),0,IF(TODAY()&gt;$AW13,NETWORKDAYS($AW13,TODAY(),'Sprints'!$L$5:$L$40)-1,0)),"")</f>
        <v>0</v>
      </c>
      <c r="AY13" s="203" t="str">
        <f>IF($C13,IF(NOT(ISNUMBER($AR13)),"Sin fecha",IF($AT13="Completo","Completo",IF($AU13="Cancelado","Cancelado",IF($AU13="Baja prioridad","Baja prioridad",IF($AX13&gt;0,"Vencida","Pendiente"))))),"")</f>
        <v>Pendiente</v>
      </c>
      <c r="AZ13" s="203" t="str">
        <f>IF($C13,IF(ISNUMBER($AV13),$AO13&amp;" · S"&amp;$AV13,"(Sin fecha)"),"")</f>
        <v>Quincenal · S1</v>
      </c>
      <c r="BA13" s="202">
        <f>IF($C13,IF(AND(ISNUMBER('Backlog General'!$M13),'Backlog General'!$M13=$AS13),"Nuevo S"&amp;'Backlog General'!$M13,""),"")</f>
      </c>
      <c r="BB13" s="202">
        <f>IF(AND($C13,$AO13="Semanal",ISNUMBER($AV13)),$AV13*100000+ROW(),"")</f>
      </c>
      <c r="BC13" s="202">
        <f>IF(AND($C13,$AO13="Quincenal",ISNUMBER($AV13)),$AV13*100000+ROW(),"")</f>
        <v>100013</v>
      </c>
      <c r="BD13" s="202">
        <f>IF(AND($C13,$AO13="Mensual",ISNUMBER($AV13)),$AV13*100000+ROW(),"")</f>
      </c>
      <c r="BE13" s="203">
        <f>IF($C13,IF(ISBLANK('Backlog General'!$J13),"",'Backlog General'!$J13),"")</f>
      </c>
      <c r="BF13" s="203">
        <f>IF($C13,IF($BE13="","",$BE13)&amp;IF(AND($BE13&lt;&gt;"",$AH13&lt;&gt;"")," · ","")&amp;IF($AH13="","",$AH13),"")</f>
      </c>
      <c r="BG13" s="203" t="str">
        <f>IF($C13,IF($J13="Completado","Sí","No"),"")</f>
        <v>No</v>
      </c>
      <c r="BH13" s="202">
        <f>IF(AND($C13,ISNUMBER($AR13)),IF($AO13="Semanal",1,IF($AO13="Quincenal",2,3))*1000000000+$AR13*100000+ROW(),"")</f>
        <v>2000100013</v>
      </c>
    </row>
    <row r="14">
      <c r="A14" s="202">
        <f>ROW()</f>
        <v>14</v>
      </c>
      <c r="B14" s="202" t="b">
        <f>ISTEXT('Proyecto Datos (OKR´s)'!$K14)</f>
        <v>0</v>
      </c>
      <c r="C14" s="202" t="b">
        <f>AND(LEN('Proyecto Datos (OKR´s)'!$G14)&gt;0,NOT($B14),OR(ISNUMBER('Proyecto Datos (OKR´s)'!$F14),ISNUMBER('Proyecto Datos (OKR´s)'!$L14)))</f>
        <v>1</v>
      </c>
      <c r="D14" s="203" t="str">
        <f>IF($C14,IFERROR(LOOKUP(2,1/((ISTEXT('Proyecto Datos (OKR´s)'!$K$7:$K14))*(LEN('Proyecto Datos (OKR´s)'!$G$7:$G14)&gt;0)),'Proyecto Datos (OKR´s)'!$G$7:$G14),""),"")</f>
        <v>2- Cotizador de Operaciones Complejas</v>
      </c>
      <c r="E14" s="202">
        <f>IF($C14,'Proyecto Datos (OKR´s)'!$E14,"")</f>
        <v>0</v>
      </c>
      <c r="F14" s="203" t="str">
        <f>IF($C14,'Proyecto Datos (OKR´s)'!$G14,"")</f>
        <v>Estandarización cotizaciones COMPRAS (costos x provincia) - aguardo información</v>
      </c>
      <c r="G14" s="203" t="str">
        <f>IF($C14,IF('Proyecto Datos (OKR´s)'!$I14="","(Sin asignar)",'Proyecto Datos (OKR´s)'!$I14),"")</f>
        <v>Santiago Alonso</v>
      </c>
      <c r="H14" s="202">
        <f>IF($C14,IF(ISNUMBER('Proyecto Datos (OKR´s)'!$F14),'Proyecto Datos (OKR´s)'!$F14,""),"")</f>
      </c>
      <c r="I14" s="202">
        <f>IF($C14,'Proyecto Datos (OKR´s)'!$J14,"")</f>
        <v>0.2</v>
      </c>
      <c r="J14" s="203" t="str">
        <f>IF($C14,IF($I14&gt;=1,"Completado",IF(NOT(ISNUMBER($H14)),"Sin fecha",IF($H14&lt;TODAY(),"Vencido",IF(($H14-TODAY())&lt;='Entregas Próximas'!$M$3,"Próximo a vencer","En curso")))),"")</f>
        <v>Sin fecha</v>
      </c>
      <c r="K14" s="202">
        <f>IF(AND($C14,ISNUMBER($H14)),$H14-TODAY(),"")</f>
      </c>
      <c r="L14" s="202">
        <f>IF(AND($C14,ISNUMBER($H14)),$AD14*1000000+$H14+ROW()/100000,"")</f>
      </c>
      <c r="M14" s="202">
        <f>IF($C14,IF($AD14=9999,"(Sin sprint)",$AD14),"")</f>
      </c>
      <c r="N14" s="202">
        <f>IF($C14,IF('Proyecto Datos (OKR´s)'!$E14="",9999,'Proyecto Datos (OKR´s)'!$E14),"")</f>
        <v>9999</v>
      </c>
      <c r="O14" s="202" t="str">
        <f>IF($C14,"T"&amp;TEXT(ROW(),"000"),"")</f>
        <v>T014</v>
      </c>
      <c r="P14" s="202">
        <f>ROW()-6</f>
        <v>8</v>
      </c>
      <c r="Q14" s="202">
        <f>IF(COUNTIF($AD$7:$AD$200,$P14)&gt;0,$P14,"")</f>
      </c>
      <c r="R14" s="202">
        <f>IF($C14,IF(ISNUMBER('Proyecto Datos (OKR´s)'!$L14),'Proyecto Datos (OKR´s)'!$L14,$H14),"")</f>
        <v>46199</v>
      </c>
      <c r="S14" s="202">
        <f>IF($C14,$R14-'Proyecto Datos (OKR´s)'!$K14+1,"")</f>
        <v>241</v>
      </c>
      <c r="T14" s="202">
        <f>IF($C14,MAX(0,TODAY()-'Proyecto Datos (OKR´s)'!$K14),"")</f>
        <v>237</v>
      </c>
      <c r="U14" s="202">
        <f>IF($C14,MEDIAN(0,(TODAY()-'Proyecto Datos (OKR´s)'!$K14)/MAX(1,$R14-'Proyecto Datos (OKR´s)'!$K14),1),"")</f>
        <v>0.9875</v>
      </c>
      <c r="V14" s="202">
        <f>IF($C14,$I14-$U14,"")</f>
        <v>-0.7875000000000001</v>
      </c>
      <c r="W14" s="202">
        <f>IF($C14,IF(OR($J14="Completado",NOT(ISNUMBER($H14))),0,MAX(0,TODAY()-$H14)),"")</f>
        <v>0</v>
      </c>
      <c r="X14" s="202">
        <f>IF($C14,IF(ISNUMBER($H14),$R14-$H14,0),"")</f>
        <v>0</v>
      </c>
      <c r="Y14" s="202">
        <f>IF($C14,COUNTIFS($G$7:$G$200,$G14,$J$7:$J$200,"&lt;&gt;Completado",$J$7:$J$200,"&lt;&gt;"),"")</f>
        <v>0</v>
      </c>
      <c r="Z14" s="202" t="b">
        <f>IF($C14,AND($I14=0,'Proyecto Datos (OKR´s)'!$K14&lt;=TODAY(),$J14&lt;&gt;"Completado"),"")</f>
        <v>0</v>
      </c>
      <c r="AA14" s="202">
        <f>IF($C14,ROUND(100*(0.35*$AK14+0.3*$AL14+0.2*$AM14+0.15*MEDIAN(0,($Y14-4)/8,1)),0),"")</f>
        <v>37</v>
      </c>
      <c r="AB14" s="203" t="str">
        <f>IF($C14,IF(OR($J14="Completado",$J14="Sin fecha"),"—",IF($AA14&gt;=70,"Crítica",IF($AA14&gt;=45,"Alta",IF($AA14&gt;=25,"Media","Baja")))),"")</f>
        <v>—</v>
      </c>
      <c r="AC14" s="203" t="str">
        <f>IF($C14,IF(LEN(TRIM($AN14))=0,"—",TRIM($AN14)),"")</f>
        <v>ATRASO</v>
      </c>
      <c r="AD14" s="202">
        <f>IF($C14,$AV14,"")</f>
      </c>
      <c r="AE14" s="202" t="str">
        <f>IF($C14,$AZ14,"")</f>
        <v>(Sin fecha)</v>
      </c>
      <c r="AF14" s="202" t="b">
        <f>IF($C14,$AV14&lt;&gt;$AR14,FALSE)</f>
        <v>0</v>
      </c>
      <c r="AG14" s="202">
        <f>IF($C14,IF($AV14&lt;&gt;$AR14,$AW14,""),"")</f>
      </c>
      <c r="AH14" s="203">
        <f>IF($C14,IF(ISBLANK('Backlog General'!$K14),"",'Backlog General'!$K14),"")</f>
      </c>
      <c r="AI14" s="202">
        <f>IF($C14,$AV14*100000+ROW(),"")</f>
      </c>
      <c r="AJ14" s="202">
        <f>IF(AND($C14,ISNUMBER($H14)),$AA14*1000000-MEDIAN(-9999,$K14,9999)*100+(300-ROW()),"")</f>
      </c>
      <c r="AK14" s="202">
        <f>IF($C14,IF($J14="Completado",0,IF($K14&lt;0,1,IF($K14&lt;=3,0.9,IF($K14&lt;=7,0.7,IF($K14&lt;=14,0.45,0.2))))),"")</f>
        <v>0.2</v>
      </c>
      <c r="AL14" s="202">
        <f>IF($C14,IF($J14="Completado",0,MEDIAN(0,MAX(-$V14,$W14/30),1)),"")</f>
        <v>0.7875000000000001</v>
      </c>
      <c r="AM14" s="202">
        <f>IF($C14,IF($J14="Completado",0,IF($Z14,1,IF(AND($I14&lt;0.5,$K14&lt;=7),0.7,0.3))),"")</f>
        <v>0.3</v>
      </c>
      <c r="AN14" s="203" t="str">
        <f>IF($C14,IF(OR($V14&lt;-0.2,$W14&gt;0),"ATRASO ","")&amp;IF($Z14,"BLOQUEO ","")&amp;IF($Y14&gt;8,"SOBRECARGA ","")&amp;IF($X14&gt;0,"DESVÍO-PLAN ",""),"")</f>
        <v>ATRASO </v>
      </c>
      <c r="AO14" s="203" t="str">
        <f>IF($C14,IFERROR(VLOOKUP($D14,'Sprints'!$I$5:$J$12,2,FALSE),"Semanal"),"")</f>
        <v>Quincenal</v>
      </c>
      <c r="AP14" s="202">
        <f>IF($C14,IFERROR(VLOOKUP($AO14,'Sprints'!$B$9:$C$11,2,FALSE),1),"")</f>
        <v>2</v>
      </c>
      <c r="AQ14" s="202">
        <f>IF($C14,'Sprints'!$C$5,"")</f>
        <v>46192</v>
      </c>
      <c r="AR14" s="202">
        <f>IF(AND($C14,ISNUMBER($H14)),CEILING(MAX(1,INT(($H14-$AQ14+'Sprints'!$D$5-1)/'Sprints'!$D$5)+1)/$AP14,1),"")</f>
      </c>
      <c r="AS14" s="202">
        <f>IF($C14,CEILING(MAX(1,INT((TODAY()-$AQ14+'Sprints'!$D$5-1)/'Sprints'!$D$5)+1)/$AP14,1),"")</f>
        <v>1</v>
      </c>
      <c r="AT14" s="203">
        <f>IF($C14,'Backlog General'!$G14,"")</f>
        <v>0</v>
      </c>
      <c r="AU14" s="203">
        <f>IF($C14,'Backlog General'!$H14,"")</f>
        <v>0</v>
      </c>
      <c r="AV14" s="202">
        <f>IF(AND($C14,ISNUMBER($AR14)),IF(OR($AT14="Completo",$AU14="Cancelado",$AU14="Baja prioridad"),$AR14,IF($AU14="Pasa al siguiente",MAX($AR14+1,$AS14),MAX($AR14,$AS14))),"")</f>
      </c>
      <c r="AW14" s="202">
        <f>IF(AND($C14,ISNUMBER($AR14)),$AQ14+$AR14*$AP14*'Sprints'!$D$5-'Sprints'!$D$5,"")</f>
      </c>
      <c r="AX14" s="202">
        <f>IF($C14,IF(OR($AT14="Completo",$AU14="Cancelado",$AU14="Baja prioridad",NOT(ISNUMBER($AW14))),0,IF(TODAY()&gt;$AW14,NETWORKDAYS($AW14,TODAY(),'Sprints'!$L$5:$L$40)-1,0)),"")</f>
        <v>0</v>
      </c>
      <c r="AY14" s="203" t="str">
        <f>IF($C14,IF(NOT(ISNUMBER($AR14)),"Sin fecha",IF($AT14="Completo","Completo",IF($AU14="Cancelado","Cancelado",IF($AU14="Baja prioridad","Baja prioridad",IF($AX14&gt;0,"Vencida","Pendiente"))))),"")</f>
        <v>Sin fecha</v>
      </c>
      <c r="AZ14" s="203" t="str">
        <f>IF($C14,IF(ISNUMBER($AV14),$AO14&amp;" · S"&amp;$AV14,"(Sin fecha)"),"")</f>
        <v>(Sin fecha)</v>
      </c>
      <c r="BA14" s="202">
        <f>IF($C14,IF(AND(ISNUMBER('Backlog General'!$M14),'Backlog General'!$M14=$AS14),"Nuevo S"&amp;'Backlog General'!$M14,""),"")</f>
      </c>
      <c r="BB14" s="202">
        <f>IF(AND($C14,$AO14="Semanal",ISNUMBER($AV14)),$AV14*100000+ROW(),"")</f>
      </c>
      <c r="BC14" s="202">
        <f>IF(AND($C14,$AO14="Quincenal",ISNUMBER($AV14)),$AV14*100000+ROW(),"")</f>
      </c>
      <c r="BD14" s="202">
        <f>IF(AND($C14,$AO14="Mensual",ISNUMBER($AV14)),$AV14*100000+ROW(),"")</f>
      </c>
      <c r="BE14" s="203">
        <f>IF($C14,IF(ISBLANK('Backlog General'!$J14),"",'Backlog General'!$J14),"")</f>
      </c>
      <c r="BF14" s="203">
        <f>IF($C14,IF($BE14="","",$BE14)&amp;IF(AND($BE14&lt;&gt;"",$AH14&lt;&gt;"")," · ","")&amp;IF($AH14="","",$AH14),"")</f>
      </c>
      <c r="BG14" s="203" t="str">
        <f>IF($C14,IF($J14="Completado","Sí","No"),"")</f>
        <v>No</v>
      </c>
      <c r="BH14" s="202">
        <f>IF(AND($C14,ISNUMBER($AR14)),IF($AO14="Semanal",1,IF($AO14="Quincenal",2,3))*1000000000+$AR14*100000+ROW(),"")</f>
      </c>
    </row>
    <row r="15">
      <c r="A15" s="202">
        <f>ROW()</f>
        <v>15</v>
      </c>
      <c r="B15" s="202" t="b">
        <f>ISTEXT('Proyecto Datos (OKR´s)'!$K15)</f>
        <v>0</v>
      </c>
      <c r="C15" s="202" t="b">
        <f>AND(LEN('Proyecto Datos (OKR´s)'!$G15)&gt;0,NOT($B15),OR(ISNUMBER('Proyecto Datos (OKR´s)'!$F15),ISNUMBER('Proyecto Datos (OKR´s)'!$L15)))</f>
        <v>1</v>
      </c>
      <c r="D15" s="203" t="str">
        <f>IF($C15,IFERROR(LOOKUP(2,1/((ISTEXT('Proyecto Datos (OKR´s)'!$K$7:$K15))*(LEN('Proyecto Datos (OKR´s)'!$G$7:$G15)&gt;0)),'Proyecto Datos (OKR´s)'!$G$7:$G15),""),"")</f>
        <v>2- Cotizador de Operaciones Complejas</v>
      </c>
      <c r="E15" s="202">
        <f>IF($C15,'Proyecto Datos (OKR´s)'!$E15,"")</f>
        <v>1</v>
      </c>
      <c r="F15" s="203" t="str">
        <f>IF($C15,'Proyecto Datos (OKR´s)'!$G15,"")</f>
        <v>Asociar Archivo Móviles y Tráilers (Nico Sifuentes) + procedimiento</v>
      </c>
      <c r="G15" s="203" t="str">
        <f>IF($C15,IF('Proyecto Datos (OKR´s)'!$I15="","(Sin asignar)",'Proyecto Datos (OKR´s)'!$I15),"")</f>
        <v>Santiago Alonso</v>
      </c>
      <c r="H15" s="202">
        <f>IF($C15,IF(ISNUMBER('Proyecto Datos (OKR´s)'!$F15),'Proyecto Datos (OKR´s)'!$F15,""),"")</f>
        <v>46192</v>
      </c>
      <c r="I15" s="202">
        <f>IF($C15,'Proyecto Datos (OKR´s)'!$J15,"")</f>
        <v>0.95</v>
      </c>
      <c r="J15" s="203" t="str">
        <f>IF($C15,IF($I15&gt;=1,"Completado",IF(NOT(ISNUMBER($H15)),"Sin fecha",IF($H15&lt;TODAY(),"Vencido",IF(($H15-TODAY())&lt;='Entregas Próximas'!$M$3,"Próximo a vencer","En curso")))),"")</f>
        <v>Vencido</v>
      </c>
      <c r="K15" s="202">
        <f>IF(AND($C15,ISNUMBER($H15)),$H15-TODAY(),"")</f>
        <v>-4</v>
      </c>
      <c r="L15" s="202">
        <f>IF(AND($C15,ISNUMBER($H15)),$AD15*1000000+$H15+ROW()/100000,"")</f>
        <v>1046192.00015</v>
      </c>
      <c r="M15" s="202">
        <f>IF($C15,IF($AD15=9999,"(Sin sprint)",$AD15),"")</f>
        <v>1</v>
      </c>
      <c r="N15" s="202">
        <f>IF($C15,IF('Proyecto Datos (OKR´s)'!$E15="",9999,'Proyecto Datos (OKR´s)'!$E15),"")</f>
        <v>1</v>
      </c>
      <c r="O15" s="202" t="str">
        <f>IF($C15,"T"&amp;TEXT(ROW(),"000"),"")</f>
        <v>T015</v>
      </c>
      <c r="P15" s="202">
        <f>ROW()-6</f>
        <v>9</v>
      </c>
      <c r="Q15" s="202">
        <f>IF(COUNTIF($AD$7:$AD$200,$P15)&gt;0,$P15,"")</f>
      </c>
      <c r="R15" s="202">
        <f>IF($C15,IF(ISNUMBER('Proyecto Datos (OKR´s)'!$L15),'Proyecto Datos (OKR´s)'!$L15,$H15),"")</f>
        <v>46192</v>
      </c>
      <c r="S15" s="202">
        <f>IF($C15,$R15-'Proyecto Datos (OKR´s)'!$K15+1,"")</f>
        <v>201</v>
      </c>
      <c r="T15" s="202">
        <f>IF($C15,MAX(0,TODAY()-'Proyecto Datos (OKR´s)'!$K15),"")</f>
        <v>204</v>
      </c>
      <c r="U15" s="202">
        <f>IF($C15,MEDIAN(0,(TODAY()-'Proyecto Datos (OKR´s)'!$K15)/MAX(1,$R15-'Proyecto Datos (OKR´s)'!$K15),1),"")</f>
        <v>1</v>
      </c>
      <c r="V15" s="202">
        <f>IF($C15,$I15-$U15,"")</f>
        <v>-0.050000000000000044</v>
      </c>
      <c r="W15" s="202">
        <f>IF($C15,IF(OR($J15="Completado",NOT(ISNUMBER($H15))),0,MAX(0,TODAY()-$H15)),"")</f>
        <v>4</v>
      </c>
      <c r="X15" s="202">
        <f>IF($C15,IF(ISNUMBER($H15),$R15-$H15,0),"")</f>
        <v>0</v>
      </c>
      <c r="Y15" s="202">
        <f>IF($C15,COUNTIFS($G$7:$G$200,$G15,$J$7:$J$200,"&lt;&gt;Completado",$J$7:$J$200,"&lt;&gt;"),"")</f>
        <v>0</v>
      </c>
      <c r="Z15" s="202" t="b">
        <f>IF($C15,AND($I15=0,'Proyecto Datos (OKR´s)'!$K15&lt;=TODAY(),$J15&lt;&gt;"Completado"),"")</f>
        <v>0</v>
      </c>
      <c r="AA15" s="202">
        <f>IF($C15,ROUND(100*(0.35*$AK15+0.3*$AL15+0.2*$AM15+0.15*MEDIAN(0,($Y15-4)/8,1)),0),"")</f>
        <v>45</v>
      </c>
      <c r="AB15" s="203" t="str">
        <f>IF($C15,IF(OR($J15="Completado",$J15="Sin fecha"),"—",IF($AA15&gt;=70,"Crítica",IF($AA15&gt;=45,"Alta",IF($AA15&gt;=25,"Media","Baja")))),"")</f>
        <v>Alta</v>
      </c>
      <c r="AC15" s="203" t="str">
        <f>IF($C15,IF(LEN(TRIM($AN15))=0,"—",TRIM($AN15)),"")</f>
        <v>ATRASO</v>
      </c>
      <c r="AD15" s="202">
        <f>IF($C15,$AV15,"")</f>
        <v>1</v>
      </c>
      <c r="AE15" s="202" t="str">
        <f>IF($C15,$AZ15,"")</f>
        <v>Quincenal · S1</v>
      </c>
      <c r="AF15" s="202" t="b">
        <f>IF($C15,$AV15&lt;&gt;$AR15,FALSE)</f>
        <v>0</v>
      </c>
      <c r="AG15" s="202">
        <f>IF($C15,IF($AV15&lt;&gt;$AR15,$AW15,""),"")</f>
      </c>
      <c r="AH15" s="203">
        <f>IF($C15,IF(ISBLANK('Backlog General'!$K15),"",'Backlog General'!$K15),"")</f>
      </c>
      <c r="AI15" s="202">
        <f>IF($C15,$AV15*100000+ROW(),"")</f>
        <v>100015</v>
      </c>
      <c r="AJ15" s="202">
        <f>IF(AND($C15,ISNUMBER($H15)),$AA15*1000000-MEDIAN(-9999,$K15,9999)*100+(300-ROW()),"")</f>
        <v>45000685</v>
      </c>
      <c r="AK15" s="202">
        <f>IF($C15,IF($J15="Completado",0,IF($K15&lt;0,1,IF($K15&lt;=3,0.9,IF($K15&lt;=7,0.7,IF($K15&lt;=14,0.45,0.2))))),"")</f>
        <v>1</v>
      </c>
      <c r="AL15" s="202">
        <f>IF($C15,IF($J15="Completado",0,MEDIAN(0,MAX(-$V15,$W15/30),1)),"")</f>
        <v>0.13333333333333333</v>
      </c>
      <c r="AM15" s="202">
        <f>IF($C15,IF($J15="Completado",0,IF($Z15,1,IF(AND($I15&lt;0.5,$K15&lt;=7),0.7,0.3))),"")</f>
        <v>0.3</v>
      </c>
      <c r="AN15" s="203" t="str">
        <f>IF($C15,IF(OR($V15&lt;-0.2,$W15&gt;0),"ATRASO ","")&amp;IF($Z15,"BLOQUEO ","")&amp;IF($Y15&gt;8,"SOBRECARGA ","")&amp;IF($X15&gt;0,"DESVÍO-PLAN ",""),"")</f>
        <v>ATRASO </v>
      </c>
      <c r="AO15" s="203" t="str">
        <f>IF($C15,IFERROR(VLOOKUP($D15,'Sprints'!$I$5:$J$12,2,FALSE),"Semanal"),"")</f>
        <v>Quincenal</v>
      </c>
      <c r="AP15" s="202">
        <f>IF($C15,IFERROR(VLOOKUP($AO15,'Sprints'!$B$9:$C$11,2,FALSE),1),"")</f>
        <v>2</v>
      </c>
      <c r="AQ15" s="202">
        <f>IF($C15,'Sprints'!$C$5,"")</f>
        <v>46192</v>
      </c>
      <c r="AR15" s="202">
        <f>IF(AND($C15,ISNUMBER($H15)),CEILING(MAX(1,INT(($H15-$AQ15+'Sprints'!$D$5-1)/'Sprints'!$D$5)+1)/$AP15,1),"")</f>
        <v>1</v>
      </c>
      <c r="AS15" s="202">
        <f>IF($C15,CEILING(MAX(1,INT((TODAY()-$AQ15+'Sprints'!$D$5-1)/'Sprints'!$D$5)+1)/$AP15,1),"")</f>
        <v>1</v>
      </c>
      <c r="AT15" s="203">
        <f>IF($C15,'Backlog General'!$G15,"")</f>
        <v>0</v>
      </c>
      <c r="AU15" s="203">
        <f>IF($C15,'Backlog General'!$H15,"")</f>
        <v>0</v>
      </c>
      <c r="AV15" s="202">
        <f>IF(AND($C15,ISNUMBER($AR15)),IF(OR($AT15="Completo",$AU15="Cancelado",$AU15="Baja prioridad"),$AR15,IF($AU15="Pasa al siguiente",MAX($AR15+1,$AS15),MAX($AR15,$AS15))),"")</f>
        <v>1</v>
      </c>
      <c r="AW15" s="202">
        <f>IF(AND($C15,ISNUMBER($AR15)),$AQ15+$AR15*$AP15*'Sprints'!$D$5-'Sprints'!$D$5,"")</f>
        <v>46199</v>
      </c>
      <c r="AX15" s="202">
        <f>IF($C15,IF(OR($AT15="Completo",$AU15="Cancelado",$AU15="Baja prioridad",NOT(ISNUMBER($AW15))),0,IF(TODAY()&gt;$AW15,NETWORKDAYS($AW15,TODAY(),'Sprints'!$L$5:$L$40)-1,0)),"")</f>
        <v>0</v>
      </c>
      <c r="AY15" s="203" t="str">
        <f>IF($C15,IF(NOT(ISNUMBER($AR15)),"Sin fecha",IF($AT15="Completo","Completo",IF($AU15="Cancelado","Cancelado",IF($AU15="Baja prioridad","Baja prioridad",IF($AX15&gt;0,"Vencida","Pendiente"))))),"")</f>
        <v>Pendiente</v>
      </c>
      <c r="AZ15" s="203" t="str">
        <f>IF($C15,IF(ISNUMBER($AV15),$AO15&amp;" · S"&amp;$AV15,"(Sin fecha)"),"")</f>
        <v>Quincenal · S1</v>
      </c>
      <c r="BA15" s="202">
        <f>IF($C15,IF(AND(ISNUMBER('Backlog General'!$M15),'Backlog General'!$M15=$AS15),"Nuevo S"&amp;'Backlog General'!$M15,""),"")</f>
      </c>
      <c r="BB15" s="202">
        <f>IF(AND($C15,$AO15="Semanal",ISNUMBER($AV15)),$AV15*100000+ROW(),"")</f>
      </c>
      <c r="BC15" s="202">
        <f>IF(AND($C15,$AO15="Quincenal",ISNUMBER($AV15)),$AV15*100000+ROW(),"")</f>
        <v>100015</v>
      </c>
      <c r="BD15" s="202">
        <f>IF(AND($C15,$AO15="Mensual",ISNUMBER($AV15)),$AV15*100000+ROW(),"")</f>
      </c>
      <c r="BE15" s="203">
        <f>IF($C15,IF(ISBLANK('Backlog General'!$J15),"",'Backlog General'!$J15),"")</f>
      </c>
      <c r="BF15" s="203">
        <f>IF($C15,IF($BE15="","",$BE15)&amp;IF(AND($BE15&lt;&gt;"",$AH15&lt;&gt;"")," · ","")&amp;IF($AH15="","",$AH15),"")</f>
      </c>
      <c r="BG15" s="203" t="str">
        <f>IF($C15,IF($J15="Completado","Sí","No"),"")</f>
        <v>No</v>
      </c>
      <c r="BH15" s="202">
        <f>IF(AND($C15,ISNUMBER($AR15)),IF($AO15="Semanal",1,IF($AO15="Quincenal",2,3))*1000000000+$AR15*100000+ROW(),"")</f>
        <v>2000100015</v>
      </c>
    </row>
    <row r="16">
      <c r="A16" s="202">
        <f>ROW()</f>
        <v>16</v>
      </c>
      <c r="B16" s="202" t="b">
        <f>ISTEXT('Proyecto Datos (OKR´s)'!$K16)</f>
        <v>0</v>
      </c>
      <c r="C16" s="202" t="b">
        <f>AND(LEN('Proyecto Datos (OKR´s)'!$G16)&gt;0,NOT($B16),OR(ISNUMBER('Proyecto Datos (OKR´s)'!$F16),ISNUMBER('Proyecto Datos (OKR´s)'!$L16)))</f>
        <v>1</v>
      </c>
      <c r="D16" s="203" t="str">
        <f>IF($C16,IFERROR(LOOKUP(2,1/((ISTEXT('Proyecto Datos (OKR´s)'!$K$7:$K16))*(LEN('Proyecto Datos (OKR´s)'!$G$7:$G16)&gt;0)),'Proyecto Datos (OKR´s)'!$G$7:$G16),""),"")</f>
        <v>2- Cotizador de Operaciones Complejas</v>
      </c>
      <c r="E16" s="202">
        <f>IF($C16,'Proyecto Datos (OKR´s)'!$E16,"")</f>
        <v>1</v>
      </c>
      <c r="F16" s="203" t="str">
        <f>IF($C16,'Proyecto Datos (OKR´s)'!$G16,"")</f>
        <v>Asociar Archivo Masters de Medicación (Seba Oliver) + Capacitaciones + procedimiento</v>
      </c>
      <c r="G16" s="203" t="str">
        <f>IF($C16,IF('Proyecto Datos (OKR´s)'!$I16="","(Sin asignar)",'Proyecto Datos (OKR´s)'!$I16),"")</f>
        <v>Santiago Alonso</v>
      </c>
      <c r="H16" s="202">
        <f>IF($C16,IF(ISNUMBER('Proyecto Datos (OKR´s)'!$F16),'Proyecto Datos (OKR´s)'!$F16,""),"")</f>
        <v>46192</v>
      </c>
      <c r="I16" s="202">
        <f>IF($C16,'Proyecto Datos (OKR´s)'!$J16,"")</f>
        <v>0.65</v>
      </c>
      <c r="J16" s="203" t="str">
        <f>IF($C16,IF($I16&gt;=1,"Completado",IF(NOT(ISNUMBER($H16)),"Sin fecha",IF($H16&lt;TODAY(),"Vencido",IF(($H16-TODAY())&lt;='Entregas Próximas'!$M$3,"Próximo a vencer","En curso")))),"")</f>
        <v>Vencido</v>
      </c>
      <c r="K16" s="202">
        <f>IF(AND($C16,ISNUMBER($H16)),$H16-TODAY(),"")</f>
        <v>-4</v>
      </c>
      <c r="L16" s="202">
        <f>IF(AND($C16,ISNUMBER($H16)),$AD16*1000000+$H16+ROW()/100000,"")</f>
        <v>1046192.00016</v>
      </c>
      <c r="M16" s="202">
        <f>IF($C16,IF($AD16=9999,"(Sin sprint)",$AD16),"")</f>
        <v>1</v>
      </c>
      <c r="N16" s="202">
        <f>IF($C16,IF('Proyecto Datos (OKR´s)'!$E16="",9999,'Proyecto Datos (OKR´s)'!$E16),"")</f>
        <v>1</v>
      </c>
      <c r="O16" s="202" t="str">
        <f>IF($C16,"T"&amp;TEXT(ROW(),"000"),"")</f>
        <v>T016</v>
      </c>
      <c r="P16" s="202">
        <f>ROW()-6</f>
        <v>10</v>
      </c>
      <c r="Q16" s="202">
        <f>IF(COUNTIF($AD$7:$AD$200,$P16)&gt;0,$P16,"")</f>
      </c>
      <c r="R16" s="202">
        <f>IF($C16,IF(ISNUMBER('Proyecto Datos (OKR´s)'!$L16),'Proyecto Datos (OKR´s)'!$L16,$H16),"")</f>
        <v>46192</v>
      </c>
      <c r="S16" s="202">
        <f>IF($C16,$R16-'Proyecto Datos (OKR´s)'!$K16+1,"")</f>
        <v>201</v>
      </c>
      <c r="T16" s="202">
        <f>IF($C16,MAX(0,TODAY()-'Proyecto Datos (OKR´s)'!$K16),"")</f>
        <v>204</v>
      </c>
      <c r="U16" s="202">
        <f>IF($C16,MEDIAN(0,(TODAY()-'Proyecto Datos (OKR´s)'!$K16)/MAX(1,$R16-'Proyecto Datos (OKR´s)'!$K16),1),"")</f>
        <v>1</v>
      </c>
      <c r="V16" s="202">
        <f>IF($C16,$I16-$U16,"")</f>
        <v>-0.35</v>
      </c>
      <c r="W16" s="202">
        <f>IF($C16,IF(OR($J16="Completado",NOT(ISNUMBER($H16))),0,MAX(0,TODAY()-$H16)),"")</f>
        <v>4</v>
      </c>
      <c r="X16" s="202">
        <f>IF($C16,IF(ISNUMBER($H16),$R16-$H16,0),"")</f>
        <v>0</v>
      </c>
      <c r="Y16" s="202">
        <f>IF($C16,COUNTIFS($G$7:$G$200,$G16,$J$7:$J$200,"&lt;&gt;Completado",$J$7:$J$200,"&lt;&gt;"),"")</f>
        <v>0</v>
      </c>
      <c r="Z16" s="202" t="b">
        <f>IF($C16,AND($I16=0,'Proyecto Datos (OKR´s)'!$K16&lt;=TODAY(),$J16&lt;&gt;"Completado"),"")</f>
        <v>0</v>
      </c>
      <c r="AA16" s="202">
        <f>IF($C16,ROUND(100*(0.35*$AK16+0.3*$AL16+0.2*$AM16+0.15*MEDIAN(0,($Y16-4)/8,1)),0),"")</f>
        <v>51</v>
      </c>
      <c r="AB16" s="203" t="str">
        <f>IF($C16,IF(OR($J16="Completado",$J16="Sin fecha"),"—",IF($AA16&gt;=70,"Crítica",IF($AA16&gt;=45,"Alta",IF($AA16&gt;=25,"Media","Baja")))),"")</f>
        <v>Alta</v>
      </c>
      <c r="AC16" s="203" t="str">
        <f>IF($C16,IF(LEN(TRIM($AN16))=0,"—",TRIM($AN16)),"")</f>
        <v>ATRASO</v>
      </c>
      <c r="AD16" s="202">
        <f>IF($C16,$AV16,"")</f>
        <v>1</v>
      </c>
      <c r="AE16" s="202" t="str">
        <f>IF($C16,$AZ16,"")</f>
        <v>Quincenal · S1</v>
      </c>
      <c r="AF16" s="202" t="b">
        <f>IF($C16,$AV16&lt;&gt;$AR16,FALSE)</f>
        <v>0</v>
      </c>
      <c r="AG16" s="202">
        <f>IF($C16,IF($AV16&lt;&gt;$AR16,$AW16,""),"")</f>
      </c>
      <c r="AH16" s="203">
        <f>IF($C16,IF(ISBLANK('Backlog General'!$K16),"",'Backlog General'!$K16),"")</f>
      </c>
      <c r="AI16" s="202">
        <f>IF($C16,$AV16*100000+ROW(),"")</f>
        <v>100016</v>
      </c>
      <c r="AJ16" s="202">
        <f>IF(AND($C16,ISNUMBER($H16)),$AA16*1000000-MEDIAN(-9999,$K16,9999)*100+(300-ROW()),"")</f>
        <v>51000684</v>
      </c>
      <c r="AK16" s="202">
        <f>IF($C16,IF($J16="Completado",0,IF($K16&lt;0,1,IF($K16&lt;=3,0.9,IF($K16&lt;=7,0.7,IF($K16&lt;=14,0.45,0.2))))),"")</f>
        <v>1</v>
      </c>
      <c r="AL16" s="202">
        <f>IF($C16,IF($J16="Completado",0,MEDIAN(0,MAX(-$V16,$W16/30),1)),"")</f>
        <v>0.35</v>
      </c>
      <c r="AM16" s="202">
        <f>IF($C16,IF($J16="Completado",0,IF($Z16,1,IF(AND($I16&lt;0.5,$K16&lt;=7),0.7,0.3))),"")</f>
        <v>0.3</v>
      </c>
      <c r="AN16" s="203" t="str">
        <f>IF($C16,IF(OR($V16&lt;-0.2,$W16&gt;0),"ATRASO ","")&amp;IF($Z16,"BLOQUEO ","")&amp;IF($Y16&gt;8,"SOBRECARGA ","")&amp;IF($X16&gt;0,"DESVÍO-PLAN ",""),"")</f>
        <v>ATRASO </v>
      </c>
      <c r="AO16" s="203" t="str">
        <f>IF($C16,IFERROR(VLOOKUP($D16,'Sprints'!$I$5:$J$12,2,FALSE),"Semanal"),"")</f>
        <v>Quincenal</v>
      </c>
      <c r="AP16" s="202">
        <f>IF($C16,IFERROR(VLOOKUP($AO16,'Sprints'!$B$9:$C$11,2,FALSE),1),"")</f>
        <v>2</v>
      </c>
      <c r="AQ16" s="202">
        <f>IF($C16,'Sprints'!$C$5,"")</f>
        <v>46192</v>
      </c>
      <c r="AR16" s="202">
        <f>IF(AND($C16,ISNUMBER($H16)),CEILING(MAX(1,INT(($H16-$AQ16+'Sprints'!$D$5-1)/'Sprints'!$D$5)+1)/$AP16,1),"")</f>
        <v>1</v>
      </c>
      <c r="AS16" s="202">
        <f>IF($C16,CEILING(MAX(1,INT((TODAY()-$AQ16+'Sprints'!$D$5-1)/'Sprints'!$D$5)+1)/$AP16,1),"")</f>
        <v>1</v>
      </c>
      <c r="AT16" s="203">
        <f>IF($C16,'Backlog General'!$G16,"")</f>
        <v>0</v>
      </c>
      <c r="AU16" s="203">
        <f>IF($C16,'Backlog General'!$H16,"")</f>
        <v>0</v>
      </c>
      <c r="AV16" s="202">
        <f>IF(AND($C16,ISNUMBER($AR16)),IF(OR($AT16="Completo",$AU16="Cancelado",$AU16="Baja prioridad"),$AR16,IF($AU16="Pasa al siguiente",MAX($AR16+1,$AS16),MAX($AR16,$AS16))),"")</f>
        <v>1</v>
      </c>
      <c r="AW16" s="202">
        <f>IF(AND($C16,ISNUMBER($AR16)),$AQ16+$AR16*$AP16*'Sprints'!$D$5-'Sprints'!$D$5,"")</f>
        <v>46199</v>
      </c>
      <c r="AX16" s="202">
        <f>IF($C16,IF(OR($AT16="Completo",$AU16="Cancelado",$AU16="Baja prioridad",NOT(ISNUMBER($AW16))),0,IF(TODAY()&gt;$AW16,NETWORKDAYS($AW16,TODAY(),'Sprints'!$L$5:$L$40)-1,0)),"")</f>
        <v>0</v>
      </c>
      <c r="AY16" s="203" t="str">
        <f>IF($C16,IF(NOT(ISNUMBER($AR16)),"Sin fecha",IF($AT16="Completo","Completo",IF($AU16="Cancelado","Cancelado",IF($AU16="Baja prioridad","Baja prioridad",IF($AX16&gt;0,"Vencida","Pendiente"))))),"")</f>
        <v>Pendiente</v>
      </c>
      <c r="AZ16" s="203" t="str">
        <f>IF($C16,IF(ISNUMBER($AV16),$AO16&amp;" · S"&amp;$AV16,"(Sin fecha)"),"")</f>
        <v>Quincenal · S1</v>
      </c>
      <c r="BA16" s="202">
        <f>IF($C16,IF(AND(ISNUMBER('Backlog General'!$M16),'Backlog General'!$M16=$AS16),"Nuevo S"&amp;'Backlog General'!$M16,""),"")</f>
      </c>
      <c r="BB16" s="202">
        <f>IF(AND($C16,$AO16="Semanal",ISNUMBER($AV16)),$AV16*100000+ROW(),"")</f>
      </c>
      <c r="BC16" s="202">
        <f>IF(AND($C16,$AO16="Quincenal",ISNUMBER($AV16)),$AV16*100000+ROW(),"")</f>
        <v>100016</v>
      </c>
      <c r="BD16" s="202">
        <f>IF(AND($C16,$AO16="Mensual",ISNUMBER($AV16)),$AV16*100000+ROW(),"")</f>
      </c>
      <c r="BE16" s="203">
        <f>IF($C16,IF(ISBLANK('Backlog General'!$J16),"",'Backlog General'!$J16),"")</f>
      </c>
      <c r="BF16" s="203">
        <f>IF($C16,IF($BE16="","",$BE16)&amp;IF(AND($BE16&lt;&gt;"",$AH16&lt;&gt;"")," · ","")&amp;IF($AH16="","",$AH16),"")</f>
      </c>
      <c r="BG16" s="203" t="str">
        <f>IF($C16,IF($J16="Completado","Sí","No"),"")</f>
        <v>No</v>
      </c>
      <c r="BH16" s="202">
        <f>IF(AND($C16,ISNUMBER($AR16)),IF($AO16="Semanal",1,IF($AO16="Quincenal",2,3))*1000000000+$AR16*100000+ROW(),"")</f>
        <v>2000100016</v>
      </c>
    </row>
    <row r="17">
      <c r="A17" s="202">
        <f>ROW()</f>
        <v>17</v>
      </c>
      <c r="B17" s="202" t="b">
        <f>ISTEXT('Proyecto Datos (OKR´s)'!$K17)</f>
        <v>0</v>
      </c>
      <c r="C17" s="202" t="b">
        <f>AND(LEN('Proyecto Datos (OKR´s)'!$G17)&gt;0,NOT($B17),OR(ISNUMBER('Proyecto Datos (OKR´s)'!$F17),ISNUMBER('Proyecto Datos (OKR´s)'!$L17)))</f>
        <v>1</v>
      </c>
      <c r="D17" s="203" t="str">
        <f>IF($C17,IFERROR(LOOKUP(2,1/((ISTEXT('Proyecto Datos (OKR´s)'!$K$7:$K17))*(LEN('Proyecto Datos (OKR´s)'!$G$7:$G17)&gt;0)),'Proyecto Datos (OKR´s)'!$G$7:$G17),""),"")</f>
        <v>2- Cotizador de Operaciones Complejas</v>
      </c>
      <c r="E17" s="202">
        <f>IF($C17,'Proyecto Datos (OKR´s)'!$E17,"")</f>
        <v>0</v>
      </c>
      <c r="F17" s="203" t="str">
        <f>IF($C17,'Proyecto Datos (OKR´s)'!$G17,"")</f>
        <v>Asociar Gastos de Estructura (% de incidencia)</v>
      </c>
      <c r="G17" s="203" t="str">
        <f>IF($C17,IF('Proyecto Datos (OKR´s)'!$I17="","(Sin asignar)",'Proyecto Datos (OKR´s)'!$I17),"")</f>
        <v>Santiago Alonso</v>
      </c>
      <c r="H17" s="202">
        <f>IF($C17,IF(ISNUMBER('Proyecto Datos (OKR´s)'!$F17),'Proyecto Datos (OKR´s)'!$F17,""),"")</f>
      </c>
      <c r="I17" s="202">
        <f>IF($C17,'Proyecto Datos (OKR´s)'!$J17,"")</f>
        <v>0</v>
      </c>
      <c r="J17" s="203" t="str">
        <f>IF($C17,IF($I17&gt;=1,"Completado",IF(NOT(ISNUMBER($H17)),"Sin fecha",IF($H17&lt;TODAY(),"Vencido",IF(($H17-TODAY())&lt;='Entregas Próximas'!$M$3,"Próximo a vencer","En curso")))),"")</f>
        <v>Sin fecha</v>
      </c>
      <c r="K17" s="202">
        <f>IF(AND($C17,ISNUMBER($H17)),$H17-TODAY(),"")</f>
      </c>
      <c r="L17" s="202">
        <f>IF(AND($C17,ISNUMBER($H17)),$AD17*1000000+$H17+ROW()/100000,"")</f>
      </c>
      <c r="M17" s="202">
        <f>IF($C17,IF($AD17=9999,"(Sin sprint)",$AD17),"")</f>
      </c>
      <c r="N17" s="202">
        <f>IF($C17,IF('Proyecto Datos (OKR´s)'!$E17="",9999,'Proyecto Datos (OKR´s)'!$E17),"")</f>
        <v>9999</v>
      </c>
      <c r="O17" s="202" t="str">
        <f>IF($C17,"T"&amp;TEXT(ROW(),"000"),"")</f>
        <v>T017</v>
      </c>
      <c r="P17" s="202">
        <f>ROW()-6</f>
        <v>11</v>
      </c>
      <c r="Q17" s="202">
        <f>IF(COUNTIF($AD$7:$AD$200,$P17)&gt;0,$P17,"")</f>
      </c>
      <c r="R17" s="202">
        <f>IF($C17,IF(ISNUMBER('Proyecto Datos (OKR´s)'!$L17),'Proyecto Datos (OKR´s)'!$L17,$H17),"")</f>
        <v>46206</v>
      </c>
      <c r="S17" s="202">
        <f>IF($C17,$R17-'Proyecto Datos (OKR´s)'!$K17+1,"")</f>
        <v>7</v>
      </c>
      <c r="T17" s="202">
        <f>IF($C17,MAX(0,TODAY()-'Proyecto Datos (OKR´s)'!$K17),"")</f>
        <v>0</v>
      </c>
      <c r="U17" s="202">
        <f>IF($C17,MEDIAN(0,(TODAY()-'Proyecto Datos (OKR´s)'!$K17)/MAX(1,$R17-'Proyecto Datos (OKR´s)'!$K17),1),"")</f>
        <v>0</v>
      </c>
      <c r="V17" s="202">
        <f>IF($C17,$I17-$U17,"")</f>
        <v>0</v>
      </c>
      <c r="W17" s="202">
        <f>IF($C17,IF(OR($J17="Completado",NOT(ISNUMBER($H17))),0,MAX(0,TODAY()-$H17)),"")</f>
        <v>0</v>
      </c>
      <c r="X17" s="202">
        <f>IF($C17,IF(ISNUMBER($H17),$R17-$H17,0),"")</f>
        <v>0</v>
      </c>
      <c r="Y17" s="202">
        <f>IF($C17,COUNTIFS($G$7:$G$200,$G17,$J$7:$J$200,"&lt;&gt;Completado",$J$7:$J$200,"&lt;&gt;"),"")</f>
        <v>0</v>
      </c>
      <c r="Z17" s="202" t="b">
        <f>IF($C17,AND($I17=0,'Proyecto Datos (OKR´s)'!$K17&lt;=TODAY(),$J17&lt;&gt;"Completado"),"")</f>
        <v>0</v>
      </c>
      <c r="AA17" s="202">
        <f>IF($C17,ROUND(100*(0.35*$AK17+0.3*$AL17+0.2*$AM17+0.15*MEDIAN(0,($Y17-4)/8,1)),0),"")</f>
        <v>13</v>
      </c>
      <c r="AB17" s="203" t="str">
        <f>IF($C17,IF(OR($J17="Completado",$J17="Sin fecha"),"—",IF($AA17&gt;=70,"Crítica",IF($AA17&gt;=45,"Alta",IF($AA17&gt;=25,"Media","Baja")))),"")</f>
        <v>—</v>
      </c>
      <c r="AC17" s="203" t="str">
        <f>IF($C17,IF(LEN(TRIM($AN17))=0,"—",TRIM($AN17)),"")</f>
        <v>—</v>
      </c>
      <c r="AD17" s="202">
        <f>IF($C17,$AV17,"")</f>
      </c>
      <c r="AE17" s="202" t="str">
        <f>IF($C17,$AZ17,"")</f>
        <v>(Sin fecha)</v>
      </c>
      <c r="AF17" s="202" t="b">
        <f>IF($C17,$AV17&lt;&gt;$AR17,FALSE)</f>
        <v>0</v>
      </c>
      <c r="AG17" s="202">
        <f>IF($C17,IF($AV17&lt;&gt;$AR17,$AW17,""),"")</f>
      </c>
      <c r="AH17" s="203">
        <f>IF($C17,IF(ISBLANK('Backlog General'!$K17),"",'Backlog General'!$K17),"")</f>
      </c>
      <c r="AI17" s="202">
        <f>IF($C17,$AV17*100000+ROW(),"")</f>
      </c>
      <c r="AJ17" s="202">
        <f>IF(AND($C17,ISNUMBER($H17)),$AA17*1000000-MEDIAN(-9999,$K17,9999)*100+(300-ROW()),"")</f>
      </c>
      <c r="AK17" s="202">
        <f>IF($C17,IF($J17="Completado",0,IF($K17&lt;0,1,IF($K17&lt;=3,0.9,IF($K17&lt;=7,0.7,IF($K17&lt;=14,0.45,0.2))))),"")</f>
        <v>0.2</v>
      </c>
      <c r="AL17" s="202">
        <f>IF($C17,IF($J17="Completado",0,MEDIAN(0,MAX(-$V17,$W17/30),1)),"")</f>
        <v>0</v>
      </c>
      <c r="AM17" s="202">
        <f>IF($C17,IF($J17="Completado",0,IF($Z17,1,IF(AND($I17&lt;0.5,$K17&lt;=7),0.7,0.3))),"")</f>
        <v>0.3</v>
      </c>
      <c r="AN17" s="203">
        <f>IF($C17,IF(OR($V17&lt;-0.2,$W17&gt;0),"ATRASO ","")&amp;IF($Z17,"BLOQUEO ","")&amp;IF($Y17&gt;8,"SOBRECARGA ","")&amp;IF($X17&gt;0,"DESVÍO-PLAN ",""),"")</f>
      </c>
      <c r="AO17" s="203" t="str">
        <f>IF($C17,IFERROR(VLOOKUP($D17,'Sprints'!$I$5:$J$12,2,FALSE),"Semanal"),"")</f>
        <v>Quincenal</v>
      </c>
      <c r="AP17" s="202">
        <f>IF($C17,IFERROR(VLOOKUP($AO17,'Sprints'!$B$9:$C$11,2,FALSE),1),"")</f>
        <v>2</v>
      </c>
      <c r="AQ17" s="202">
        <f>IF($C17,'Sprints'!$C$5,"")</f>
        <v>46192</v>
      </c>
      <c r="AR17" s="202">
        <f>IF(AND($C17,ISNUMBER($H17)),CEILING(MAX(1,INT(($H17-$AQ17+'Sprints'!$D$5-1)/'Sprints'!$D$5)+1)/$AP17,1),"")</f>
      </c>
      <c r="AS17" s="202">
        <f>IF($C17,CEILING(MAX(1,INT((TODAY()-$AQ17+'Sprints'!$D$5-1)/'Sprints'!$D$5)+1)/$AP17,1),"")</f>
        <v>1</v>
      </c>
      <c r="AT17" s="203">
        <f>IF($C17,'Backlog General'!$G17,"")</f>
        <v>0</v>
      </c>
      <c r="AU17" s="203">
        <f>IF($C17,'Backlog General'!$H17,"")</f>
        <v>0</v>
      </c>
      <c r="AV17" s="202">
        <f>IF(AND($C17,ISNUMBER($AR17)),IF(OR($AT17="Completo",$AU17="Cancelado",$AU17="Baja prioridad"),$AR17,IF($AU17="Pasa al siguiente",MAX($AR17+1,$AS17),MAX($AR17,$AS17))),"")</f>
      </c>
      <c r="AW17" s="202">
        <f>IF(AND($C17,ISNUMBER($AR17)),$AQ17+$AR17*$AP17*'Sprints'!$D$5-'Sprints'!$D$5,"")</f>
      </c>
      <c r="AX17" s="202">
        <f>IF($C17,IF(OR($AT17="Completo",$AU17="Cancelado",$AU17="Baja prioridad",NOT(ISNUMBER($AW17))),0,IF(TODAY()&gt;$AW17,NETWORKDAYS($AW17,TODAY(),'Sprints'!$L$5:$L$40)-1,0)),"")</f>
        <v>0</v>
      </c>
      <c r="AY17" s="203" t="str">
        <f>IF($C17,IF(NOT(ISNUMBER($AR17)),"Sin fecha",IF($AT17="Completo","Completo",IF($AU17="Cancelado","Cancelado",IF($AU17="Baja prioridad","Baja prioridad",IF($AX17&gt;0,"Vencida","Pendiente"))))),"")</f>
        <v>Sin fecha</v>
      </c>
      <c r="AZ17" s="203" t="str">
        <f>IF($C17,IF(ISNUMBER($AV17),$AO17&amp;" · S"&amp;$AV17,"(Sin fecha)"),"")</f>
        <v>(Sin fecha)</v>
      </c>
      <c r="BA17" s="202">
        <f>IF($C17,IF(AND(ISNUMBER('Backlog General'!$M17),'Backlog General'!$M17=$AS17),"Nuevo S"&amp;'Backlog General'!$M17,""),"")</f>
      </c>
      <c r="BB17" s="202">
        <f>IF(AND($C17,$AO17="Semanal",ISNUMBER($AV17)),$AV17*100000+ROW(),"")</f>
      </c>
      <c r="BC17" s="202">
        <f>IF(AND($C17,$AO17="Quincenal",ISNUMBER($AV17)),$AV17*100000+ROW(),"")</f>
      </c>
      <c r="BD17" s="202">
        <f>IF(AND($C17,$AO17="Mensual",ISNUMBER($AV17)),$AV17*100000+ROW(),"")</f>
      </c>
      <c r="BE17" s="203">
        <f>IF($C17,IF(ISBLANK('Backlog General'!$J17),"",'Backlog General'!$J17),"")</f>
      </c>
      <c r="BF17" s="203">
        <f>IF($C17,IF($BE17="","",$BE17)&amp;IF(AND($BE17&lt;&gt;"",$AH17&lt;&gt;"")," · ","")&amp;IF($AH17="","",$AH17),"")</f>
      </c>
      <c r="BG17" s="203" t="str">
        <f>IF($C17,IF($J17="Completado","Sí","No"),"")</f>
        <v>No</v>
      </c>
      <c r="BH17" s="202">
        <f>IF(AND($C17,ISNUMBER($AR17)),IF($AO17="Semanal",1,IF($AO17="Quincenal",2,3))*1000000000+$AR17*100000+ROW(),"")</f>
      </c>
    </row>
    <row r="18">
      <c r="A18" s="202">
        <f>ROW()</f>
        <v>18</v>
      </c>
      <c r="B18" s="202" t="b">
        <f>ISTEXT('Proyecto Datos (OKR´s)'!$K18)</f>
        <v>0</v>
      </c>
      <c r="C18" s="202" t="b">
        <f>AND(LEN('Proyecto Datos (OKR´s)'!$G18)&gt;0,NOT($B18),OR(ISNUMBER('Proyecto Datos (OKR´s)'!$F18),ISNUMBER('Proyecto Datos (OKR´s)'!$L18)))</f>
        <v>1</v>
      </c>
      <c r="D18" s="203" t="str">
        <f>IF($C18,IFERROR(LOOKUP(2,1/((ISTEXT('Proyecto Datos (OKR´s)'!$K$7:$K18))*(LEN('Proyecto Datos (OKR´s)'!$G$7:$G18)&gt;0)),'Proyecto Datos (OKR´s)'!$G$7:$G18),""),"")</f>
        <v>2- Cotizador de Operaciones Complejas</v>
      </c>
      <c r="E18" s="202">
        <f>IF($C18,'Proyecto Datos (OKR´s)'!$E18,"")</f>
        <v>0</v>
      </c>
      <c r="F18" s="203" t="str">
        <f>IF($C18,'Proyecto Datos (OKR´s)'!$G18,"")</f>
        <v>Armado de solicitudes extra x Módulos (Ej: Med. Laboral)</v>
      </c>
      <c r="G18" s="203" t="str">
        <f>IF($C18,IF('Proyecto Datos (OKR´s)'!$I18="","(Sin asignar)",'Proyecto Datos (OKR´s)'!$I18),"")</f>
        <v>Santiago Alonso</v>
      </c>
      <c r="H18" s="202">
        <f>IF($C18,IF(ISNUMBER('Proyecto Datos (OKR´s)'!$F18),'Proyecto Datos (OKR´s)'!$F18,""),"")</f>
      </c>
      <c r="I18" s="202">
        <f>IF($C18,'Proyecto Datos (OKR´s)'!$J18,"")</f>
        <v>0</v>
      </c>
      <c r="J18" s="203" t="str">
        <f>IF($C18,IF($I18&gt;=1,"Completado",IF(NOT(ISNUMBER($H18)),"Sin fecha",IF($H18&lt;TODAY(),"Vencido",IF(($H18-TODAY())&lt;='Entregas Próximas'!$M$3,"Próximo a vencer","En curso")))),"")</f>
        <v>Sin fecha</v>
      </c>
      <c r="K18" s="202">
        <f>IF(AND($C18,ISNUMBER($H18)),$H18-TODAY(),"")</f>
      </c>
      <c r="L18" s="202">
        <f>IF(AND($C18,ISNUMBER($H18)),$AD18*1000000+$H18+ROW()/100000,"")</f>
      </c>
      <c r="M18" s="202">
        <f>IF($C18,IF($AD18=9999,"(Sin sprint)",$AD18),"")</f>
      </c>
      <c r="N18" s="202">
        <f>IF($C18,IF('Proyecto Datos (OKR´s)'!$E18="",9999,'Proyecto Datos (OKR´s)'!$E18),"")</f>
        <v>9999</v>
      </c>
      <c r="O18" s="202" t="str">
        <f>IF($C18,"T"&amp;TEXT(ROW(),"000"),"")</f>
        <v>T018</v>
      </c>
      <c r="P18" s="202">
        <f>ROW()-6</f>
        <v>12</v>
      </c>
      <c r="Q18" s="202">
        <f>IF(COUNTIF($AD$7:$AD$200,$P18)&gt;0,$P18,"")</f>
      </c>
      <c r="R18" s="202">
        <f>IF($C18,IF(ISNUMBER('Proyecto Datos (OKR´s)'!$L18),'Proyecto Datos (OKR´s)'!$L18,$H18),"")</f>
        <v>46213</v>
      </c>
      <c r="S18" s="202">
        <f>IF($C18,$R18-'Proyecto Datos (OKR´s)'!$K18+1,"")</f>
        <v>21</v>
      </c>
      <c r="T18" s="202">
        <f>IF($C18,MAX(0,TODAY()-'Proyecto Datos (OKR´s)'!$K18),"")</f>
        <v>3</v>
      </c>
      <c r="U18" s="202">
        <f>IF($C18,MEDIAN(0,(TODAY()-'Proyecto Datos (OKR´s)'!$K18)/MAX(1,$R18-'Proyecto Datos (OKR´s)'!$K18),1),"")</f>
        <v>0.15</v>
      </c>
      <c r="V18" s="202">
        <f>IF($C18,$I18-$U18,"")</f>
        <v>-0.15</v>
      </c>
      <c r="W18" s="202">
        <f>IF($C18,IF(OR($J18="Completado",NOT(ISNUMBER($H18))),0,MAX(0,TODAY()-$H18)),"")</f>
        <v>0</v>
      </c>
      <c r="X18" s="202">
        <f>IF($C18,IF(ISNUMBER($H18),$R18-$H18,0),"")</f>
        <v>0</v>
      </c>
      <c r="Y18" s="202">
        <f>IF($C18,COUNTIFS($G$7:$G$200,$G18,$J$7:$J$200,"&lt;&gt;Completado",$J$7:$J$200,"&lt;&gt;"),"")</f>
        <v>0</v>
      </c>
      <c r="Z18" s="202" t="b">
        <f>IF($C18,AND($I18=0,'Proyecto Datos (OKR´s)'!$K18&lt;=TODAY(),$J18&lt;&gt;"Completado"),"")</f>
        <v>1</v>
      </c>
      <c r="AA18" s="202">
        <f>IF($C18,ROUND(100*(0.35*$AK18+0.3*$AL18+0.2*$AM18+0.15*MEDIAN(0,($Y18-4)/8,1)),0),"")</f>
        <v>32</v>
      </c>
      <c r="AB18" s="203" t="str">
        <f>IF($C18,IF(OR($J18="Completado",$J18="Sin fecha"),"—",IF($AA18&gt;=70,"Crítica",IF($AA18&gt;=45,"Alta",IF($AA18&gt;=25,"Media","Baja")))),"")</f>
        <v>—</v>
      </c>
      <c r="AC18" s="203" t="str">
        <f>IF($C18,IF(LEN(TRIM($AN18))=0,"—",TRIM($AN18)),"")</f>
        <v>BLOQUEO</v>
      </c>
      <c r="AD18" s="202">
        <f>IF($C18,$AV18,"")</f>
      </c>
      <c r="AE18" s="202" t="str">
        <f>IF($C18,$AZ18,"")</f>
        <v>(Sin fecha)</v>
      </c>
      <c r="AF18" s="202" t="b">
        <f>IF($C18,$AV18&lt;&gt;$AR18,FALSE)</f>
        <v>0</v>
      </c>
      <c r="AG18" s="202">
        <f>IF($C18,IF($AV18&lt;&gt;$AR18,$AW18,""),"")</f>
      </c>
      <c r="AH18" s="203">
        <f>IF($C18,IF(ISBLANK('Backlog General'!$K18),"",'Backlog General'!$K18),"")</f>
      </c>
      <c r="AI18" s="202">
        <f>IF($C18,$AV18*100000+ROW(),"")</f>
      </c>
      <c r="AJ18" s="202">
        <f>IF(AND($C18,ISNUMBER($H18)),$AA18*1000000-MEDIAN(-9999,$K18,9999)*100+(300-ROW()),"")</f>
      </c>
      <c r="AK18" s="202">
        <f>IF($C18,IF($J18="Completado",0,IF($K18&lt;0,1,IF($K18&lt;=3,0.9,IF($K18&lt;=7,0.7,IF($K18&lt;=14,0.45,0.2))))),"")</f>
        <v>0.2</v>
      </c>
      <c r="AL18" s="202">
        <f>IF($C18,IF($J18="Completado",0,MEDIAN(0,MAX(-$V18,$W18/30),1)),"")</f>
        <v>0.15</v>
      </c>
      <c r="AM18" s="202">
        <f>IF($C18,IF($J18="Completado",0,IF($Z18,1,IF(AND($I18&lt;0.5,$K18&lt;=7),0.7,0.3))),"")</f>
        <v>1</v>
      </c>
      <c r="AN18" s="203" t="str">
        <f>IF($C18,IF(OR($V18&lt;-0.2,$W18&gt;0),"ATRASO ","")&amp;IF($Z18,"BLOQUEO ","")&amp;IF($Y18&gt;8,"SOBRECARGA ","")&amp;IF($X18&gt;0,"DESVÍO-PLAN ",""),"")</f>
        <v>BLOQUEO </v>
      </c>
      <c r="AO18" s="203" t="str">
        <f>IF($C18,IFERROR(VLOOKUP($D18,'Sprints'!$I$5:$J$12,2,FALSE),"Semanal"),"")</f>
        <v>Quincenal</v>
      </c>
      <c r="AP18" s="202">
        <f>IF($C18,IFERROR(VLOOKUP($AO18,'Sprints'!$B$9:$C$11,2,FALSE),1),"")</f>
        <v>2</v>
      </c>
      <c r="AQ18" s="202">
        <f>IF($C18,'Sprints'!$C$5,"")</f>
        <v>46192</v>
      </c>
      <c r="AR18" s="202">
        <f>IF(AND($C18,ISNUMBER($H18)),CEILING(MAX(1,INT(($H18-$AQ18+'Sprints'!$D$5-1)/'Sprints'!$D$5)+1)/$AP18,1),"")</f>
      </c>
      <c r="AS18" s="202">
        <f>IF($C18,CEILING(MAX(1,INT((TODAY()-$AQ18+'Sprints'!$D$5-1)/'Sprints'!$D$5)+1)/$AP18,1),"")</f>
        <v>1</v>
      </c>
      <c r="AT18" s="203">
        <f>IF($C18,'Backlog General'!$G18,"")</f>
        <v>0</v>
      </c>
      <c r="AU18" s="203">
        <f>IF($C18,'Backlog General'!$H18,"")</f>
        <v>0</v>
      </c>
      <c r="AV18" s="202">
        <f>IF(AND($C18,ISNUMBER($AR18)),IF(OR($AT18="Completo",$AU18="Cancelado",$AU18="Baja prioridad"),$AR18,IF($AU18="Pasa al siguiente",MAX($AR18+1,$AS18),MAX($AR18,$AS18))),"")</f>
      </c>
      <c r="AW18" s="202">
        <f>IF(AND($C18,ISNUMBER($AR18)),$AQ18+$AR18*$AP18*'Sprints'!$D$5-'Sprints'!$D$5,"")</f>
      </c>
      <c r="AX18" s="202">
        <f>IF($C18,IF(OR($AT18="Completo",$AU18="Cancelado",$AU18="Baja prioridad",NOT(ISNUMBER($AW18))),0,IF(TODAY()&gt;$AW18,NETWORKDAYS($AW18,TODAY(),'Sprints'!$L$5:$L$40)-1,0)),"")</f>
        <v>0</v>
      </c>
      <c r="AY18" s="203" t="str">
        <f>IF($C18,IF(NOT(ISNUMBER($AR18)),"Sin fecha",IF($AT18="Completo","Completo",IF($AU18="Cancelado","Cancelado",IF($AU18="Baja prioridad","Baja prioridad",IF($AX18&gt;0,"Vencida","Pendiente"))))),"")</f>
        <v>Sin fecha</v>
      </c>
      <c r="AZ18" s="203" t="str">
        <f>IF($C18,IF(ISNUMBER($AV18),$AO18&amp;" · S"&amp;$AV18,"(Sin fecha)"),"")</f>
        <v>(Sin fecha)</v>
      </c>
      <c r="BA18" s="202">
        <f>IF($C18,IF(AND(ISNUMBER('Backlog General'!$M18),'Backlog General'!$M18=$AS18),"Nuevo S"&amp;'Backlog General'!$M18,""),"")</f>
      </c>
      <c r="BB18" s="202">
        <f>IF(AND($C18,$AO18="Semanal",ISNUMBER($AV18)),$AV18*100000+ROW(),"")</f>
      </c>
      <c r="BC18" s="202">
        <f>IF(AND($C18,$AO18="Quincenal",ISNUMBER($AV18)),$AV18*100000+ROW(),"")</f>
      </c>
      <c r="BD18" s="202">
        <f>IF(AND($C18,$AO18="Mensual",ISNUMBER($AV18)),$AV18*100000+ROW(),"")</f>
      </c>
      <c r="BE18" s="203">
        <f>IF($C18,IF(ISBLANK('Backlog General'!$J18),"",'Backlog General'!$J18),"")</f>
      </c>
      <c r="BF18" s="203">
        <f>IF($C18,IF($BE18="","",$BE18)&amp;IF(AND($BE18&lt;&gt;"",$AH18&lt;&gt;"")," · ","")&amp;IF($AH18="","",$AH18),"")</f>
      </c>
      <c r="BG18" s="203" t="str">
        <f>IF($C18,IF($J18="Completado","Sí","No"),"")</f>
        <v>No</v>
      </c>
      <c r="BH18" s="202">
        <f>IF(AND($C18,ISNUMBER($AR18)),IF($AO18="Semanal",1,IF($AO18="Quincenal",2,3))*1000000000+$AR18*100000+ROW(),"")</f>
      </c>
    </row>
    <row r="19">
      <c r="A19" s="202">
        <f>ROW()</f>
        <v>19</v>
      </c>
      <c r="B19" s="202" t="b">
        <f>ISTEXT('Proyecto Datos (OKR´s)'!$K19)</f>
        <v>0</v>
      </c>
      <c r="C19" s="202" t="b">
        <f>AND(LEN('Proyecto Datos (OKR´s)'!$G19)&gt;0,NOT($B19),OR(ISNUMBER('Proyecto Datos (OKR´s)'!$F19),ISNUMBER('Proyecto Datos (OKR´s)'!$L19)))</f>
        <v>1</v>
      </c>
      <c r="D19" s="203" t="str">
        <f>IF($C19,IFERROR(LOOKUP(2,1/((ISTEXT('Proyecto Datos (OKR´s)'!$K$7:$K19))*(LEN('Proyecto Datos (OKR´s)'!$G$7:$G19)&gt;0)),'Proyecto Datos (OKR´s)'!$G$7:$G19),""),"")</f>
        <v>2- Cotizador de Operaciones Complejas</v>
      </c>
      <c r="E19" s="202">
        <f>IF($C19,'Proyecto Datos (OKR´s)'!$E19,"")</f>
        <v>1</v>
      </c>
      <c r="F19" s="203" t="str">
        <f>IF($C19,'Proyecto Datos (OKR´s)'!$G19,"")</f>
        <v>Relevamiento área de IA -  Repositorio (GitHub o AWS S3) + Seguridad</v>
      </c>
      <c r="G19" s="203" t="str">
        <f>IF($C19,IF('Proyecto Datos (OKR´s)'!$I19="","(Sin asignar)",'Proyecto Datos (OKR´s)'!$I19),"")</f>
        <v>Santiago Alonso</v>
      </c>
      <c r="H19" s="202">
        <f>IF($C19,IF(ISNUMBER('Proyecto Datos (OKR´s)'!$F19),'Proyecto Datos (OKR´s)'!$F19,""),"")</f>
        <v>46192</v>
      </c>
      <c r="I19" s="202">
        <f>IF($C19,'Proyecto Datos (OKR´s)'!$J19,"")</f>
        <v>1</v>
      </c>
      <c r="J19" s="203" t="str">
        <f>IF($C19,IF($I19&gt;=1,"Completado",IF(NOT(ISNUMBER($H19)),"Sin fecha",IF($H19&lt;TODAY(),"Vencido",IF(($H19-TODAY())&lt;='Entregas Próximas'!$M$3,"Próximo a vencer","En curso")))),"")</f>
        <v>Completado</v>
      </c>
      <c r="K19" s="202">
        <f>IF(AND($C19,ISNUMBER($H19)),$H19-TODAY(),"")</f>
        <v>-4</v>
      </c>
      <c r="L19" s="202">
        <f>IF(AND($C19,ISNUMBER($H19)),$AD19*1000000+$H19+ROW()/100000,"")</f>
        <v>1046192.00019</v>
      </c>
      <c r="M19" s="202">
        <f>IF($C19,IF($AD19=9999,"(Sin sprint)",$AD19),"")</f>
        <v>1</v>
      </c>
      <c r="N19" s="202">
        <f>IF($C19,IF('Proyecto Datos (OKR´s)'!$E19="",9999,'Proyecto Datos (OKR´s)'!$E19),"")</f>
        <v>1</v>
      </c>
      <c r="O19" s="202" t="str">
        <f>IF($C19,"T"&amp;TEXT(ROW(),"000"),"")</f>
        <v>T019</v>
      </c>
      <c r="P19" s="202">
        <f>ROW()-6</f>
        <v>13</v>
      </c>
      <c r="Q19" s="202">
        <f>IF(COUNTIF($AD$7:$AD$200,$P19)&gt;0,$P19,"")</f>
      </c>
      <c r="R19" s="202">
        <f>IF($C19,IF(ISNUMBER('Proyecto Datos (OKR´s)'!$L19),'Proyecto Datos (OKR´s)'!$L19,$H19),"")</f>
        <v>46192</v>
      </c>
      <c r="S19" s="202">
        <f>IF($C19,$R19-'Proyecto Datos (OKR´s)'!$K19+1,"")</f>
        <v>11</v>
      </c>
      <c r="T19" s="202">
        <f>IF($C19,MAX(0,TODAY()-'Proyecto Datos (OKR´s)'!$K19),"")</f>
        <v>14</v>
      </c>
      <c r="U19" s="202">
        <f>IF($C19,MEDIAN(0,(TODAY()-'Proyecto Datos (OKR´s)'!$K19)/MAX(1,$R19-'Proyecto Datos (OKR´s)'!$K19),1),"")</f>
        <v>1</v>
      </c>
      <c r="V19" s="202">
        <f>IF($C19,$I19-$U19,"")</f>
        <v>0</v>
      </c>
      <c r="W19" s="202">
        <f>IF($C19,IF(OR($J19="Completado",NOT(ISNUMBER($H19))),0,MAX(0,TODAY()-$H19)),"")</f>
        <v>0</v>
      </c>
      <c r="X19" s="202">
        <f>IF($C19,IF(ISNUMBER($H19),$R19-$H19,0),"")</f>
        <v>0</v>
      </c>
      <c r="Y19" s="202">
        <f>IF($C19,COUNTIFS($G$7:$G$200,$G19,$J$7:$J$200,"&lt;&gt;Completado",$J$7:$J$200,"&lt;&gt;"),"")</f>
        <v>0</v>
      </c>
      <c r="Z19" s="202" t="b">
        <f>IF($C19,AND($I19=0,'Proyecto Datos (OKR´s)'!$K19&lt;=TODAY(),$J19&lt;&gt;"Completado"),"")</f>
        <v>0</v>
      </c>
      <c r="AA19" s="202">
        <f>IF($C19,ROUND(100*(0.35*$AK19+0.3*$AL19+0.2*$AM19+0.15*MEDIAN(0,($Y19-4)/8,1)),0),"")</f>
        <v>0</v>
      </c>
      <c r="AB19" s="203" t="str">
        <f>IF($C19,IF(OR($J19="Completado",$J19="Sin fecha"),"—",IF($AA19&gt;=70,"Crítica",IF($AA19&gt;=45,"Alta",IF($AA19&gt;=25,"Media","Baja")))),"")</f>
        <v>—</v>
      </c>
      <c r="AC19" s="203" t="str">
        <f>IF($C19,IF(LEN(TRIM($AN19))=0,"—",TRIM($AN19)),"")</f>
        <v>—</v>
      </c>
      <c r="AD19" s="202">
        <f>IF($C19,$AV19,"")</f>
        <v>1</v>
      </c>
      <c r="AE19" s="202" t="str">
        <f>IF($C19,$AZ19,"")</f>
        <v>Quincenal · S1</v>
      </c>
      <c r="AF19" s="202" t="b">
        <f>IF($C19,$AV19&lt;&gt;$AR19,FALSE)</f>
        <v>0</v>
      </c>
      <c r="AG19" s="202">
        <f>IF($C19,IF($AV19&lt;&gt;$AR19,$AW19,""),"")</f>
      </c>
      <c r="AH19" s="203">
        <f>IF($C19,IF(ISBLANK('Backlog General'!$K19),"",'Backlog General'!$K19),"")</f>
      </c>
      <c r="AI19" s="202">
        <f>IF($C19,$AV19*100000+ROW(),"")</f>
        <v>100019</v>
      </c>
      <c r="AJ19" s="202">
        <f>IF(AND($C19,ISNUMBER($H19)),$AA19*1000000-MEDIAN(-9999,$K19,9999)*100+(300-ROW()),"")</f>
        <v>681</v>
      </c>
      <c r="AK19" s="202">
        <f>IF($C19,IF($J19="Completado",0,IF($K19&lt;0,1,IF($K19&lt;=3,0.9,IF($K19&lt;=7,0.7,IF($K19&lt;=14,0.45,0.2))))),"")</f>
        <v>0</v>
      </c>
      <c r="AL19" s="202">
        <f>IF($C19,IF($J19="Completado",0,MEDIAN(0,MAX(-$V19,$W19/30),1)),"")</f>
        <v>0</v>
      </c>
      <c r="AM19" s="202">
        <f>IF($C19,IF($J19="Completado",0,IF($Z19,1,IF(AND($I19&lt;0.5,$K19&lt;=7),0.7,0.3))),"")</f>
        <v>0</v>
      </c>
      <c r="AN19" s="203">
        <f>IF($C19,IF(OR($V19&lt;-0.2,$W19&gt;0),"ATRASO ","")&amp;IF($Z19,"BLOQUEO ","")&amp;IF($Y19&gt;8,"SOBRECARGA ","")&amp;IF($X19&gt;0,"DESVÍO-PLAN ",""),"")</f>
      </c>
      <c r="AO19" s="203" t="str">
        <f>IF($C19,IFERROR(VLOOKUP($D19,'Sprints'!$I$5:$J$12,2,FALSE),"Semanal"),"")</f>
        <v>Quincenal</v>
      </c>
      <c r="AP19" s="202">
        <f>IF($C19,IFERROR(VLOOKUP($AO19,'Sprints'!$B$9:$C$11,2,FALSE),1),"")</f>
        <v>2</v>
      </c>
      <c r="AQ19" s="202">
        <f>IF($C19,'Sprints'!$C$5,"")</f>
        <v>46192</v>
      </c>
      <c r="AR19" s="202">
        <f>IF(AND($C19,ISNUMBER($H19)),CEILING(MAX(1,INT(($H19-$AQ19+'Sprints'!$D$5-1)/'Sprints'!$D$5)+1)/$AP19,1),"")</f>
        <v>1</v>
      </c>
      <c r="AS19" s="202">
        <f>IF($C19,CEILING(MAX(1,INT((TODAY()-$AQ19+'Sprints'!$D$5-1)/'Sprints'!$D$5)+1)/$AP19,1),"")</f>
        <v>1</v>
      </c>
      <c r="AT19" s="203">
        <f>IF($C19,'Backlog General'!$G19,"")</f>
        <v>0</v>
      </c>
      <c r="AU19" s="203">
        <f>IF($C19,'Backlog General'!$H19,"")</f>
        <v>0</v>
      </c>
      <c r="AV19" s="202">
        <f>IF(AND($C19,ISNUMBER($AR19)),IF(OR($AT19="Completo",$AU19="Cancelado",$AU19="Baja prioridad"),$AR19,IF($AU19="Pasa al siguiente",MAX($AR19+1,$AS19),MAX($AR19,$AS19))),"")</f>
        <v>1</v>
      </c>
      <c r="AW19" s="202">
        <f>IF(AND($C19,ISNUMBER($AR19)),$AQ19+$AR19*$AP19*'Sprints'!$D$5-'Sprints'!$D$5,"")</f>
        <v>46199</v>
      </c>
      <c r="AX19" s="202">
        <f>IF($C19,IF(OR($AT19="Completo",$AU19="Cancelado",$AU19="Baja prioridad",NOT(ISNUMBER($AW19))),0,IF(TODAY()&gt;$AW19,NETWORKDAYS($AW19,TODAY(),'Sprints'!$L$5:$L$40)-1,0)),"")</f>
        <v>0</v>
      </c>
      <c r="AY19" s="203" t="str">
        <f>IF($C19,IF(NOT(ISNUMBER($AR19)),"Sin fecha",IF($AT19="Completo","Completo",IF($AU19="Cancelado","Cancelado",IF($AU19="Baja prioridad","Baja prioridad",IF($AX19&gt;0,"Vencida","Pendiente"))))),"")</f>
        <v>Pendiente</v>
      </c>
      <c r="AZ19" s="203" t="str">
        <f>IF($C19,IF(ISNUMBER($AV19),$AO19&amp;" · S"&amp;$AV19,"(Sin fecha)"),"")</f>
        <v>Quincenal · S1</v>
      </c>
      <c r="BA19" s="202">
        <f>IF($C19,IF(AND(ISNUMBER('Backlog General'!$M19),'Backlog General'!$M19=$AS19),"Nuevo S"&amp;'Backlog General'!$M19,""),"")</f>
      </c>
      <c r="BB19" s="202">
        <f>IF(AND($C19,$AO19="Semanal",ISNUMBER($AV19)),$AV19*100000+ROW(),"")</f>
      </c>
      <c r="BC19" s="202">
        <f>IF(AND($C19,$AO19="Quincenal",ISNUMBER($AV19)),$AV19*100000+ROW(),"")</f>
        <v>100019</v>
      </c>
      <c r="BD19" s="202">
        <f>IF(AND($C19,$AO19="Mensual",ISNUMBER($AV19)),$AV19*100000+ROW(),"")</f>
      </c>
      <c r="BE19" s="203">
        <f>IF($C19,IF(ISBLANK('Backlog General'!$J19),"",'Backlog General'!$J19),"")</f>
      </c>
      <c r="BF19" s="203">
        <f>IF($C19,IF($BE19="","",$BE19)&amp;IF(AND($BE19&lt;&gt;"",$AH19&lt;&gt;"")," · ","")&amp;IF($AH19="","",$AH19),"")</f>
      </c>
      <c r="BG19" s="203" t="str">
        <f>IF($C19,IF($J19="Completado","Sí","No"),"")</f>
        <v>Sí</v>
      </c>
      <c r="BH19" s="202">
        <f>IF(AND($C19,ISNUMBER($AR19)),IF($AO19="Semanal",1,IF($AO19="Quincenal",2,3))*1000000000+$AR19*100000+ROW(),"")</f>
        <v>2000100019</v>
      </c>
    </row>
    <row r="20">
      <c r="A20" s="202">
        <f>ROW()</f>
        <v>20</v>
      </c>
      <c r="B20" s="202" t="b">
        <f>ISTEXT('Proyecto Datos (OKR´s)'!$K20)</f>
        <v>0</v>
      </c>
      <c r="C20" s="202" t="b">
        <f>AND(LEN('Proyecto Datos (OKR´s)'!$G20)&gt;0,NOT($B20),OR(ISNUMBER('Proyecto Datos (OKR´s)'!$F20),ISNUMBER('Proyecto Datos (OKR´s)'!$L20)))</f>
        <v>1</v>
      </c>
      <c r="D20" s="203" t="str">
        <f>IF($C20,IFERROR(LOOKUP(2,1/((ISTEXT('Proyecto Datos (OKR´s)'!$K$7:$K20))*(LEN('Proyecto Datos (OKR´s)'!$G$7:$G20)&gt;0)),'Proyecto Datos (OKR´s)'!$G$7:$G20),""),"")</f>
        <v>2- Cotizador de Operaciones Complejas</v>
      </c>
      <c r="E20" s="202">
        <f>IF($C20,'Proyecto Datos (OKR´s)'!$E20,"")</f>
        <v>0</v>
      </c>
      <c r="F20" s="203" t="str">
        <f>IF($C20,'Proyecto Datos (OKR´s)'!$G20,"")</f>
        <v>Crear Backend ETL - ver con Claude Code</v>
      </c>
      <c r="G20" s="203" t="str">
        <f>IF($C20,IF('Proyecto Datos (OKR´s)'!$I20="","(Sin asignar)",'Proyecto Datos (OKR´s)'!$I20),"")</f>
        <v>Santiago Alonso</v>
      </c>
      <c r="H20" s="202">
        <f>IF($C20,IF(ISNUMBER('Proyecto Datos (OKR´s)'!$F20),'Proyecto Datos (OKR´s)'!$F20,""),"")</f>
      </c>
      <c r="I20" s="202">
        <f>IF($C20,'Proyecto Datos (OKR´s)'!$J20,"")</f>
        <v>0</v>
      </c>
      <c r="J20" s="203" t="str">
        <f>IF($C20,IF($I20&gt;=1,"Completado",IF(NOT(ISNUMBER($H20)),"Sin fecha",IF($H20&lt;TODAY(),"Vencido",IF(($H20-TODAY())&lt;='Entregas Próximas'!$M$3,"Próximo a vencer","En curso")))),"")</f>
        <v>Sin fecha</v>
      </c>
      <c r="K20" s="202">
        <f>IF(AND($C20,ISNUMBER($H20)),$H20-TODAY(),"")</f>
      </c>
      <c r="L20" s="202">
        <f>IF(AND($C20,ISNUMBER($H20)),$AD20*1000000+$H20+ROW()/100000,"")</f>
      </c>
      <c r="M20" s="202">
        <f>IF($C20,IF($AD20=9999,"(Sin sprint)",$AD20),"")</f>
      </c>
      <c r="N20" s="202">
        <f>IF($C20,IF('Proyecto Datos (OKR´s)'!$E20="",9999,'Proyecto Datos (OKR´s)'!$E20),"")</f>
        <v>9999</v>
      </c>
      <c r="O20" s="202" t="str">
        <f>IF($C20,"T"&amp;TEXT(ROW(),"000"),"")</f>
        <v>T020</v>
      </c>
      <c r="P20" s="202">
        <f>ROW()-6</f>
        <v>14</v>
      </c>
      <c r="Q20" s="202">
        <f>IF(COUNTIF($AD$7:$AD$200,$P20)&gt;0,$P20,"")</f>
      </c>
      <c r="R20" s="202">
        <f>IF($C20,IF(ISNUMBER('Proyecto Datos (OKR´s)'!$L20),'Proyecto Datos (OKR´s)'!$L20,$H20),"")</f>
        <v>46220</v>
      </c>
      <c r="S20" s="202">
        <f>IF($C20,$R20-'Proyecto Datos (OKR´s)'!$K20+1,"")</f>
        <v>28</v>
      </c>
      <c r="T20" s="202">
        <f>IF($C20,MAX(0,TODAY()-'Proyecto Datos (OKR´s)'!$K20),"")</f>
        <v>3</v>
      </c>
      <c r="U20" s="202">
        <f>IF($C20,MEDIAN(0,(TODAY()-'Proyecto Datos (OKR´s)'!$K20)/MAX(1,$R20-'Proyecto Datos (OKR´s)'!$K20),1),"")</f>
        <v>0.1111111111111111</v>
      </c>
      <c r="V20" s="202">
        <f>IF($C20,$I20-$U20,"")</f>
        <v>-0.1111111111111111</v>
      </c>
      <c r="W20" s="202">
        <f>IF($C20,IF(OR($J20="Completado",NOT(ISNUMBER($H20))),0,MAX(0,TODAY()-$H20)),"")</f>
        <v>0</v>
      </c>
      <c r="X20" s="202">
        <f>IF($C20,IF(ISNUMBER($H20),$R20-$H20,0),"")</f>
        <v>0</v>
      </c>
      <c r="Y20" s="202">
        <f>IF($C20,COUNTIFS($G$7:$G$200,$G20,$J$7:$J$200,"&lt;&gt;Completado",$J$7:$J$200,"&lt;&gt;"),"")</f>
        <v>0</v>
      </c>
      <c r="Z20" s="202" t="b">
        <f>IF($C20,AND($I20=0,'Proyecto Datos (OKR´s)'!$K20&lt;=TODAY(),$J20&lt;&gt;"Completado"),"")</f>
        <v>1</v>
      </c>
      <c r="AA20" s="202">
        <f>IF($C20,ROUND(100*(0.35*$AK20+0.3*$AL20+0.2*$AM20+0.15*MEDIAN(0,($Y20-4)/8,1)),0),"")</f>
        <v>30</v>
      </c>
      <c r="AB20" s="203" t="str">
        <f>IF($C20,IF(OR($J20="Completado",$J20="Sin fecha"),"—",IF($AA20&gt;=70,"Crítica",IF($AA20&gt;=45,"Alta",IF($AA20&gt;=25,"Media","Baja")))),"")</f>
        <v>—</v>
      </c>
      <c r="AC20" s="203" t="str">
        <f>IF($C20,IF(LEN(TRIM($AN20))=0,"—",TRIM($AN20)),"")</f>
        <v>BLOQUEO</v>
      </c>
      <c r="AD20" s="202">
        <f>IF($C20,$AV20,"")</f>
      </c>
      <c r="AE20" s="202" t="str">
        <f>IF($C20,$AZ20,"")</f>
        <v>(Sin fecha)</v>
      </c>
      <c r="AF20" s="202" t="b">
        <f>IF($C20,$AV20&lt;&gt;$AR20,FALSE)</f>
        <v>0</v>
      </c>
      <c r="AG20" s="202">
        <f>IF($C20,IF($AV20&lt;&gt;$AR20,$AW20,""),"")</f>
      </c>
      <c r="AH20" s="203">
        <f>IF($C20,IF(ISBLANK('Backlog General'!$K20),"",'Backlog General'!$K20),"")</f>
      </c>
      <c r="AI20" s="202">
        <f>IF($C20,$AV20*100000+ROW(),"")</f>
      </c>
      <c r="AJ20" s="202">
        <f>IF(AND($C20,ISNUMBER($H20)),$AA20*1000000-MEDIAN(-9999,$K20,9999)*100+(300-ROW()),"")</f>
      </c>
      <c r="AK20" s="202">
        <f>IF($C20,IF($J20="Completado",0,IF($K20&lt;0,1,IF($K20&lt;=3,0.9,IF($K20&lt;=7,0.7,IF($K20&lt;=14,0.45,0.2))))),"")</f>
        <v>0.2</v>
      </c>
      <c r="AL20" s="202">
        <f>IF($C20,IF($J20="Completado",0,MEDIAN(0,MAX(-$V20,$W20/30),1)),"")</f>
        <v>0.1111111111111111</v>
      </c>
      <c r="AM20" s="202">
        <f>IF($C20,IF($J20="Completado",0,IF($Z20,1,IF(AND($I20&lt;0.5,$K20&lt;=7),0.7,0.3))),"")</f>
        <v>1</v>
      </c>
      <c r="AN20" s="203" t="str">
        <f>IF($C20,IF(OR($V20&lt;-0.2,$W20&gt;0),"ATRASO ","")&amp;IF($Z20,"BLOQUEO ","")&amp;IF($Y20&gt;8,"SOBRECARGA ","")&amp;IF($X20&gt;0,"DESVÍO-PLAN ",""),"")</f>
        <v>BLOQUEO </v>
      </c>
      <c r="AO20" s="203" t="str">
        <f>IF($C20,IFERROR(VLOOKUP($D20,'Sprints'!$I$5:$J$12,2,FALSE),"Semanal"),"")</f>
        <v>Quincenal</v>
      </c>
      <c r="AP20" s="202">
        <f>IF($C20,IFERROR(VLOOKUP($AO20,'Sprints'!$B$9:$C$11,2,FALSE),1),"")</f>
        <v>2</v>
      </c>
      <c r="AQ20" s="202">
        <f>IF($C20,'Sprints'!$C$5,"")</f>
        <v>46192</v>
      </c>
      <c r="AR20" s="202">
        <f>IF(AND($C20,ISNUMBER($H20)),CEILING(MAX(1,INT(($H20-$AQ20+'Sprints'!$D$5-1)/'Sprints'!$D$5)+1)/$AP20,1),"")</f>
      </c>
      <c r="AS20" s="202">
        <f>IF($C20,CEILING(MAX(1,INT((TODAY()-$AQ20+'Sprints'!$D$5-1)/'Sprints'!$D$5)+1)/$AP20,1),"")</f>
        <v>1</v>
      </c>
      <c r="AT20" s="203">
        <f>IF($C20,'Backlog General'!$G20,"")</f>
        <v>0</v>
      </c>
      <c r="AU20" s="203">
        <f>IF($C20,'Backlog General'!$H20,"")</f>
        <v>0</v>
      </c>
      <c r="AV20" s="202">
        <f>IF(AND($C20,ISNUMBER($AR20)),IF(OR($AT20="Completo",$AU20="Cancelado",$AU20="Baja prioridad"),$AR20,IF($AU20="Pasa al siguiente",MAX($AR20+1,$AS20),MAX($AR20,$AS20))),"")</f>
      </c>
      <c r="AW20" s="202">
        <f>IF(AND($C20,ISNUMBER($AR20)),$AQ20+$AR20*$AP20*'Sprints'!$D$5-'Sprints'!$D$5,"")</f>
      </c>
      <c r="AX20" s="202">
        <f>IF($C20,IF(OR($AT20="Completo",$AU20="Cancelado",$AU20="Baja prioridad",NOT(ISNUMBER($AW20))),0,IF(TODAY()&gt;$AW20,NETWORKDAYS($AW20,TODAY(),'Sprints'!$L$5:$L$40)-1,0)),"")</f>
        <v>0</v>
      </c>
      <c r="AY20" s="203" t="str">
        <f>IF($C20,IF(NOT(ISNUMBER($AR20)),"Sin fecha",IF($AT20="Completo","Completo",IF($AU20="Cancelado","Cancelado",IF($AU20="Baja prioridad","Baja prioridad",IF($AX20&gt;0,"Vencida","Pendiente"))))),"")</f>
        <v>Sin fecha</v>
      </c>
      <c r="AZ20" s="203" t="str">
        <f>IF($C20,IF(ISNUMBER($AV20),$AO20&amp;" · S"&amp;$AV20,"(Sin fecha)"),"")</f>
        <v>(Sin fecha)</v>
      </c>
      <c r="BA20" s="202">
        <f>IF($C20,IF(AND(ISNUMBER('Backlog General'!$M20),'Backlog General'!$M20=$AS20),"Nuevo S"&amp;'Backlog General'!$M20,""),"")</f>
      </c>
      <c r="BB20" s="202">
        <f>IF(AND($C20,$AO20="Semanal",ISNUMBER($AV20)),$AV20*100000+ROW(),"")</f>
      </c>
      <c r="BC20" s="202">
        <f>IF(AND($C20,$AO20="Quincenal",ISNUMBER($AV20)),$AV20*100000+ROW(),"")</f>
      </c>
      <c r="BD20" s="202">
        <f>IF(AND($C20,$AO20="Mensual",ISNUMBER($AV20)),$AV20*100000+ROW(),"")</f>
      </c>
      <c r="BE20" s="203">
        <f>IF($C20,IF(ISBLANK('Backlog General'!$J20),"",'Backlog General'!$J20),"")</f>
      </c>
      <c r="BF20" s="203">
        <f>IF($C20,IF($BE20="","",$BE20)&amp;IF(AND($BE20&lt;&gt;"",$AH20&lt;&gt;"")," · ","")&amp;IF($AH20="","",$AH20),"")</f>
      </c>
      <c r="BG20" s="203" t="str">
        <f>IF($C20,IF($J20="Completado","Sí","No"),"")</f>
        <v>No</v>
      </c>
      <c r="BH20" s="202">
        <f>IF(AND($C20,ISNUMBER($AR20)),IF($AO20="Semanal",1,IF($AO20="Quincenal",2,3))*1000000000+$AR20*100000+ROW(),"")</f>
      </c>
    </row>
    <row r="21">
      <c r="A21" s="202">
        <f>ROW()</f>
        <v>21</v>
      </c>
      <c r="B21" s="202" t="b">
        <f>ISTEXT('Proyecto Datos (OKR´s)'!$K21)</f>
        <v>0</v>
      </c>
      <c r="C21" s="202" t="b">
        <f>AND(LEN('Proyecto Datos (OKR´s)'!$G21)&gt;0,NOT($B21),OR(ISNUMBER('Proyecto Datos (OKR´s)'!$F21),ISNUMBER('Proyecto Datos (OKR´s)'!$L21)))</f>
        <v>1</v>
      </c>
      <c r="D21" s="203" t="str">
        <f>IF($C21,IFERROR(LOOKUP(2,1/((ISTEXT('Proyecto Datos (OKR´s)'!$K$7:$K21))*(LEN('Proyecto Datos (OKR´s)'!$G$7:$G21)&gt;0)),'Proyecto Datos (OKR´s)'!$G$7:$G21),""),"")</f>
        <v>2- Cotizador de Operaciones Complejas</v>
      </c>
      <c r="E21" s="202">
        <f>IF($C21,'Proyecto Datos (OKR´s)'!$E21,"")</f>
        <v>0</v>
      </c>
      <c r="F21" s="203" t="str">
        <f>IF($C21,'Proyecto Datos (OKR´s)'!$G21,"")</f>
        <v>Deployar (URL Web)</v>
      </c>
      <c r="G21" s="203" t="str">
        <f>IF($C21,IF('Proyecto Datos (OKR´s)'!$I21="","(Sin asignar)",'Proyecto Datos (OKR´s)'!$I21),"")</f>
        <v>Santiago Alonso</v>
      </c>
      <c r="H21" s="202">
        <f>IF($C21,IF(ISNUMBER('Proyecto Datos (OKR´s)'!$F21),'Proyecto Datos (OKR´s)'!$F21,""),"")</f>
      </c>
      <c r="I21" s="202">
        <f>IF($C21,'Proyecto Datos (OKR´s)'!$J21,"")</f>
        <v>0</v>
      </c>
      <c r="J21" s="203" t="str">
        <f>IF($C21,IF($I21&gt;=1,"Completado",IF(NOT(ISNUMBER($H21)),"Sin fecha",IF($H21&lt;TODAY(),"Vencido",IF(($H21-TODAY())&lt;='Entregas Próximas'!$M$3,"Próximo a vencer","En curso")))),"")</f>
        <v>Sin fecha</v>
      </c>
      <c r="K21" s="202">
        <f>IF(AND($C21,ISNUMBER($H21)),$H21-TODAY(),"")</f>
      </c>
      <c r="L21" s="202">
        <f>IF(AND($C21,ISNUMBER($H21)),$AD21*1000000+$H21+ROW()/100000,"")</f>
      </c>
      <c r="M21" s="202">
        <f>IF($C21,IF($AD21=9999,"(Sin sprint)",$AD21),"")</f>
      </c>
      <c r="N21" s="202">
        <f>IF($C21,IF('Proyecto Datos (OKR´s)'!$E21="",9999,'Proyecto Datos (OKR´s)'!$E21),"")</f>
        <v>9999</v>
      </c>
      <c r="O21" s="202" t="str">
        <f>IF($C21,"T"&amp;TEXT(ROW(),"000"),"")</f>
        <v>T021</v>
      </c>
      <c r="P21" s="202">
        <f>ROW()-6</f>
        <v>15</v>
      </c>
      <c r="Q21" s="202">
        <f>IF(COUNTIF($AD$7:$AD$200,$P21)&gt;0,$P21,"")</f>
      </c>
      <c r="R21" s="202">
        <f>IF($C21,IF(ISNUMBER('Proyecto Datos (OKR´s)'!$L21),'Proyecto Datos (OKR´s)'!$L21,$H21),"")</f>
        <v>46227</v>
      </c>
      <c r="S21" s="202">
        <f>IF($C21,$R21-'Proyecto Datos (OKR´s)'!$K21+1,"")</f>
        <v>7</v>
      </c>
      <c r="T21" s="202">
        <f>IF($C21,MAX(0,TODAY()-'Proyecto Datos (OKR´s)'!$K21),"")</f>
        <v>0</v>
      </c>
      <c r="U21" s="202">
        <f>IF($C21,MEDIAN(0,(TODAY()-'Proyecto Datos (OKR´s)'!$K21)/MAX(1,$R21-'Proyecto Datos (OKR´s)'!$K21),1),"")</f>
        <v>0</v>
      </c>
      <c r="V21" s="202">
        <f>IF($C21,$I21-$U21,"")</f>
        <v>0</v>
      </c>
      <c r="W21" s="202">
        <f>IF($C21,IF(OR($J21="Completado",NOT(ISNUMBER($H21))),0,MAX(0,TODAY()-$H21)),"")</f>
        <v>0</v>
      </c>
      <c r="X21" s="202">
        <f>IF($C21,IF(ISNUMBER($H21),$R21-$H21,0),"")</f>
        <v>0</v>
      </c>
      <c r="Y21" s="202">
        <f>IF($C21,COUNTIFS($G$7:$G$200,$G21,$J$7:$J$200,"&lt;&gt;Completado",$J$7:$J$200,"&lt;&gt;"),"")</f>
        <v>0</v>
      </c>
      <c r="Z21" s="202" t="b">
        <f>IF($C21,AND($I21=0,'Proyecto Datos (OKR´s)'!$K21&lt;=TODAY(),$J21&lt;&gt;"Completado"),"")</f>
        <v>0</v>
      </c>
      <c r="AA21" s="202">
        <f>IF($C21,ROUND(100*(0.35*$AK21+0.3*$AL21+0.2*$AM21+0.15*MEDIAN(0,($Y21-4)/8,1)),0),"")</f>
        <v>13</v>
      </c>
      <c r="AB21" s="203" t="str">
        <f>IF($C21,IF(OR($J21="Completado",$J21="Sin fecha"),"—",IF($AA21&gt;=70,"Crítica",IF($AA21&gt;=45,"Alta",IF($AA21&gt;=25,"Media","Baja")))),"")</f>
        <v>—</v>
      </c>
      <c r="AC21" s="203" t="str">
        <f>IF($C21,IF(LEN(TRIM($AN21))=0,"—",TRIM($AN21)),"")</f>
        <v>—</v>
      </c>
      <c r="AD21" s="202">
        <f>IF($C21,$AV21,"")</f>
      </c>
      <c r="AE21" s="202" t="str">
        <f>IF($C21,$AZ21,"")</f>
        <v>(Sin fecha)</v>
      </c>
      <c r="AF21" s="202" t="b">
        <f>IF($C21,$AV21&lt;&gt;$AR21,FALSE)</f>
        <v>0</v>
      </c>
      <c r="AG21" s="202">
        <f>IF($C21,IF($AV21&lt;&gt;$AR21,$AW21,""),"")</f>
      </c>
      <c r="AH21" s="203">
        <f>IF($C21,IF(ISBLANK('Backlog General'!$K21),"",'Backlog General'!$K21),"")</f>
      </c>
      <c r="AI21" s="202">
        <f>IF($C21,$AV21*100000+ROW(),"")</f>
      </c>
      <c r="AJ21" s="202">
        <f>IF(AND($C21,ISNUMBER($H21)),$AA21*1000000-MEDIAN(-9999,$K21,9999)*100+(300-ROW()),"")</f>
      </c>
      <c r="AK21" s="202">
        <f>IF($C21,IF($J21="Completado",0,IF($K21&lt;0,1,IF($K21&lt;=3,0.9,IF($K21&lt;=7,0.7,IF($K21&lt;=14,0.45,0.2))))),"")</f>
        <v>0.2</v>
      </c>
      <c r="AL21" s="202">
        <f>IF($C21,IF($J21="Completado",0,MEDIAN(0,MAX(-$V21,$W21/30),1)),"")</f>
        <v>0</v>
      </c>
      <c r="AM21" s="202">
        <f>IF($C21,IF($J21="Completado",0,IF($Z21,1,IF(AND($I21&lt;0.5,$K21&lt;=7),0.7,0.3))),"")</f>
        <v>0.3</v>
      </c>
      <c r="AN21" s="203">
        <f>IF($C21,IF(OR($V21&lt;-0.2,$W21&gt;0),"ATRASO ","")&amp;IF($Z21,"BLOQUEO ","")&amp;IF($Y21&gt;8,"SOBRECARGA ","")&amp;IF($X21&gt;0,"DESVÍO-PLAN ",""),"")</f>
      </c>
      <c r="AO21" s="203" t="str">
        <f>IF($C21,IFERROR(VLOOKUP($D21,'Sprints'!$I$5:$J$12,2,FALSE),"Semanal"),"")</f>
        <v>Quincenal</v>
      </c>
      <c r="AP21" s="202">
        <f>IF($C21,IFERROR(VLOOKUP($AO21,'Sprints'!$B$9:$C$11,2,FALSE),1),"")</f>
        <v>2</v>
      </c>
      <c r="AQ21" s="202">
        <f>IF($C21,'Sprints'!$C$5,"")</f>
        <v>46192</v>
      </c>
      <c r="AR21" s="202">
        <f>IF(AND($C21,ISNUMBER($H21)),CEILING(MAX(1,INT(($H21-$AQ21+'Sprints'!$D$5-1)/'Sprints'!$D$5)+1)/$AP21,1),"")</f>
      </c>
      <c r="AS21" s="202">
        <f>IF($C21,CEILING(MAX(1,INT((TODAY()-$AQ21+'Sprints'!$D$5-1)/'Sprints'!$D$5)+1)/$AP21,1),"")</f>
        <v>1</v>
      </c>
      <c r="AT21" s="203">
        <f>IF($C21,'Backlog General'!$G21,"")</f>
        <v>0</v>
      </c>
      <c r="AU21" s="203">
        <f>IF($C21,'Backlog General'!$H21,"")</f>
        <v>0</v>
      </c>
      <c r="AV21" s="202">
        <f>IF(AND($C21,ISNUMBER($AR21)),IF(OR($AT21="Completo",$AU21="Cancelado",$AU21="Baja prioridad"),$AR21,IF($AU21="Pasa al siguiente",MAX($AR21+1,$AS21),MAX($AR21,$AS21))),"")</f>
      </c>
      <c r="AW21" s="202">
        <f>IF(AND($C21,ISNUMBER($AR21)),$AQ21+$AR21*$AP21*'Sprints'!$D$5-'Sprints'!$D$5,"")</f>
      </c>
      <c r="AX21" s="202">
        <f>IF($C21,IF(OR($AT21="Completo",$AU21="Cancelado",$AU21="Baja prioridad",NOT(ISNUMBER($AW21))),0,IF(TODAY()&gt;$AW21,NETWORKDAYS($AW21,TODAY(),'Sprints'!$L$5:$L$40)-1,0)),"")</f>
        <v>0</v>
      </c>
      <c r="AY21" s="203" t="str">
        <f>IF($C21,IF(NOT(ISNUMBER($AR21)),"Sin fecha",IF($AT21="Completo","Completo",IF($AU21="Cancelado","Cancelado",IF($AU21="Baja prioridad","Baja prioridad",IF($AX21&gt;0,"Vencida","Pendiente"))))),"")</f>
        <v>Sin fecha</v>
      </c>
      <c r="AZ21" s="203" t="str">
        <f>IF($C21,IF(ISNUMBER($AV21),$AO21&amp;" · S"&amp;$AV21,"(Sin fecha)"),"")</f>
        <v>(Sin fecha)</v>
      </c>
      <c r="BA21" s="202">
        <f>IF($C21,IF(AND(ISNUMBER('Backlog General'!$M21),'Backlog General'!$M21=$AS21),"Nuevo S"&amp;'Backlog General'!$M21,""),"")</f>
      </c>
      <c r="BB21" s="202">
        <f>IF(AND($C21,$AO21="Semanal",ISNUMBER($AV21)),$AV21*100000+ROW(),"")</f>
      </c>
      <c r="BC21" s="202">
        <f>IF(AND($C21,$AO21="Quincenal",ISNUMBER($AV21)),$AV21*100000+ROW(),"")</f>
      </c>
      <c r="BD21" s="202">
        <f>IF(AND($C21,$AO21="Mensual",ISNUMBER($AV21)),$AV21*100000+ROW(),"")</f>
      </c>
      <c r="BE21" s="203">
        <f>IF($C21,IF(ISBLANK('Backlog General'!$J21),"",'Backlog General'!$J21),"")</f>
      </c>
      <c r="BF21" s="203">
        <f>IF($C21,IF($BE21="","",$BE21)&amp;IF(AND($BE21&lt;&gt;"",$AH21&lt;&gt;"")," · ","")&amp;IF($AH21="","",$AH21),"")</f>
      </c>
      <c r="BG21" s="203" t="str">
        <f>IF($C21,IF($J21="Completado","Sí","No"),"")</f>
        <v>No</v>
      </c>
      <c r="BH21" s="202">
        <f>IF(AND($C21,ISNUMBER($AR21)),IF($AO21="Semanal",1,IF($AO21="Quincenal",2,3))*1000000000+$AR21*100000+ROW(),"")</f>
      </c>
    </row>
    <row r="22">
      <c r="A22" s="202">
        <f>ROW()</f>
        <v>22</v>
      </c>
      <c r="B22" s="202" t="b">
        <f>ISTEXT('Proyecto Datos (OKR´s)'!$K22)</f>
        <v>1</v>
      </c>
      <c r="C22" s="202" t="b">
        <f>AND(LEN('Proyecto Datos (OKR´s)'!$G22)&gt;0,NOT($B22),OR(ISNUMBER('Proyecto Datos (OKR´s)'!$F22),ISNUMBER('Proyecto Datos (OKR´s)'!$L22)))</f>
        <v>0</v>
      </c>
      <c r="D22" s="203">
        <f>IF($C22,IFERROR(LOOKUP(2,1/((ISTEXT('Proyecto Datos (OKR´s)'!$K$7:$K22))*(LEN('Proyecto Datos (OKR´s)'!$G$7:$G22)&gt;0)),'Proyecto Datos (OKR´s)'!$G$7:$G22),""),"")</f>
      </c>
      <c r="E22" s="202">
        <f>IF($C22,'Proyecto Datos (OKR´s)'!$E22,"")</f>
      </c>
      <c r="F22" s="203">
        <f>IF($C22,'Proyecto Datos (OKR´s)'!$G22,"")</f>
      </c>
      <c r="G22" s="203">
        <f>IF($C22,IF('Proyecto Datos (OKR´s)'!$I22="","(Sin asignar)",'Proyecto Datos (OKR´s)'!$I22),"")</f>
      </c>
      <c r="H22" s="202">
        <f>IF($C22,IF(ISNUMBER('Proyecto Datos (OKR´s)'!$F22),'Proyecto Datos (OKR´s)'!$F22,""),"")</f>
      </c>
      <c r="I22" s="202">
        <f>IF($C22,'Proyecto Datos (OKR´s)'!$J22,"")</f>
      </c>
      <c r="J22" s="203">
        <f>IF($C22,IF($I22&gt;=1,"Completado",IF(NOT(ISNUMBER($H22)),"Sin fecha",IF($H22&lt;TODAY(),"Vencido",IF(($H22-TODAY())&lt;='Entregas Próximas'!$M$3,"Próximo a vencer","En curso")))),"")</f>
      </c>
      <c r="K22" s="202">
        <f>IF(AND($C22,ISNUMBER($H22)),$H22-TODAY(),"")</f>
      </c>
      <c r="L22" s="202">
        <f>IF(AND($C22,ISNUMBER($H22)),$AD22*1000000+$H22+ROW()/100000,"")</f>
      </c>
      <c r="M22" s="202">
        <f>IF($C22,IF($AD22=9999,"(Sin sprint)",$AD22),"")</f>
      </c>
      <c r="N22" s="202">
        <f>IF($C22,IF('Proyecto Datos (OKR´s)'!$E22="",9999,'Proyecto Datos (OKR´s)'!$E22),"")</f>
      </c>
      <c r="O22" s="202">
        <f>IF($C22,"T"&amp;TEXT(ROW(),"000"),"")</f>
      </c>
      <c r="P22" s="202">
        <f>ROW()-6</f>
        <v>16</v>
      </c>
      <c r="Q22" s="202">
        <f>IF(COUNTIF($AD$7:$AD$200,$P22)&gt;0,$P22,"")</f>
      </c>
      <c r="R22" s="202">
        <f>IF($C22,IF(ISNUMBER('Proyecto Datos (OKR´s)'!$L22),'Proyecto Datos (OKR´s)'!$L22,$H22),"")</f>
      </c>
      <c r="S22" s="202">
        <f>IF($C22,$R22-'Proyecto Datos (OKR´s)'!$K22+1,"")</f>
      </c>
      <c r="T22" s="202">
        <f>IF($C22,MAX(0,TODAY()-'Proyecto Datos (OKR´s)'!$K22),"")</f>
      </c>
      <c r="U22" s="202">
        <f>IF($C22,MEDIAN(0,(TODAY()-'Proyecto Datos (OKR´s)'!$K22)/MAX(1,$R22-'Proyecto Datos (OKR´s)'!$K22),1),"")</f>
      </c>
      <c r="V22" s="202">
        <f>IF($C22,$I22-$U22,"")</f>
      </c>
      <c r="W22" s="202">
        <f>IF($C22,IF(OR($J22="Completado",NOT(ISNUMBER($H22))),0,MAX(0,TODAY()-$H22)),"")</f>
      </c>
      <c r="X22" s="202">
        <f>IF($C22,IF(ISNUMBER($H22),$R22-$H22,0),"")</f>
      </c>
      <c r="Y22" s="202">
        <f>IF($C22,COUNTIFS($G$7:$G$200,$G22,$J$7:$J$200,"&lt;&gt;Completado",$J$7:$J$200,"&lt;&gt;"),"")</f>
      </c>
      <c r="Z22" s="202">
        <f>IF($C22,AND($I22=0,'Proyecto Datos (OKR´s)'!$K22&lt;=TODAY(),$J22&lt;&gt;"Completado"),"")</f>
      </c>
      <c r="AA22" s="202">
        <f>IF($C22,ROUND(100*(0.35*$AK22+0.3*$AL22+0.2*$AM22+0.15*MEDIAN(0,($Y22-4)/8,1)),0),"")</f>
      </c>
      <c r="AB22" s="203">
        <f>IF($C22,IF(OR($J22="Completado",$J22="Sin fecha"),"—",IF($AA22&gt;=70,"Crítica",IF($AA22&gt;=45,"Alta",IF($AA22&gt;=25,"Media","Baja")))),"")</f>
      </c>
      <c r="AC22" s="203">
        <f>IF($C22,IF(LEN(TRIM($AN22))=0,"—",TRIM($AN22)),"")</f>
      </c>
      <c r="AD22" s="202">
        <f>IF($C22,$AV22,"")</f>
      </c>
      <c r="AE22" s="202">
        <f>IF($C22,$AZ22,"")</f>
      </c>
      <c r="AF22" s="202" t="b">
        <f>IF($C22,$AV22&lt;&gt;$AR22,FALSE)</f>
        <v>0</v>
      </c>
      <c r="AG22" s="202">
        <f>IF($C22,IF($AV22&lt;&gt;$AR22,$AW22,""),"")</f>
      </c>
      <c r="AH22" s="203">
        <f>IF($C22,IF(ISBLANK('Backlog General'!$K22),"",'Backlog General'!$K22),"")</f>
      </c>
      <c r="AI22" s="202">
        <f>IF($C22,$AV22*100000+ROW(),"")</f>
      </c>
      <c r="AJ22" s="202">
        <f>IF(AND($C22,ISNUMBER($H22)),$AA22*1000000-MEDIAN(-9999,$K22,9999)*100+(300-ROW()),"")</f>
      </c>
      <c r="AK22" s="202">
        <f>IF($C22,IF($J22="Completado",0,IF($K22&lt;0,1,IF($K22&lt;=3,0.9,IF($K22&lt;=7,0.7,IF($K22&lt;=14,0.45,0.2))))),"")</f>
      </c>
      <c r="AL22" s="202">
        <f>IF($C22,IF($J22="Completado",0,MEDIAN(0,MAX(-$V22,$W22/30),1)),"")</f>
      </c>
      <c r="AM22" s="202">
        <f>IF($C22,IF($J22="Completado",0,IF($Z22,1,IF(AND($I22&lt;0.5,$K22&lt;=7),0.7,0.3))),"")</f>
      </c>
      <c r="AN22" s="203">
        <f>IF($C22,IF(OR($V22&lt;-0.2,$W22&gt;0),"ATRASO ","")&amp;IF($Z22,"BLOQUEO ","")&amp;IF($Y22&gt;8,"SOBRECARGA ","")&amp;IF($X22&gt;0,"DESVÍO-PLAN ",""),"")</f>
      </c>
      <c r="AO22" s="203">
        <f>IF($C22,IFERROR(VLOOKUP($D22,'Sprints'!$I$5:$J$12,2,FALSE),"Semanal"),"")</f>
      </c>
      <c r="AP22" s="202">
        <f>IF($C22,IFERROR(VLOOKUP($AO22,'Sprints'!$B$9:$C$11,2,FALSE),1),"")</f>
      </c>
      <c r="AQ22" s="202">
        <f>IF($C22,'Sprints'!$C$5,"")</f>
      </c>
      <c r="AR22" s="202">
        <f>IF(AND($C22,ISNUMBER($H22)),CEILING(MAX(1,INT(($H22-$AQ22+'Sprints'!$D$5-1)/'Sprints'!$D$5)+1)/$AP22,1),"")</f>
      </c>
      <c r="AS22" s="202">
        <f>IF($C22,CEILING(MAX(1,INT((TODAY()-$AQ22+'Sprints'!$D$5-1)/'Sprints'!$D$5)+1)/$AP22,1),"")</f>
      </c>
      <c r="AT22" s="203">
        <f>IF($C22,'Backlog General'!$G22,"")</f>
      </c>
      <c r="AU22" s="203">
        <f>IF($C22,'Backlog General'!$H22,"")</f>
      </c>
      <c r="AV22" s="202">
        <f>IF(AND($C22,ISNUMBER($AR22)),IF(OR($AT22="Completo",$AU22="Cancelado",$AU22="Baja prioridad"),$AR22,IF($AU22="Pasa al siguiente",MAX($AR22+1,$AS22),MAX($AR22,$AS22))),"")</f>
      </c>
      <c r="AW22" s="202">
        <f>IF(AND($C22,ISNUMBER($AR22)),$AQ22+$AR22*$AP22*'Sprints'!$D$5-'Sprints'!$D$5,"")</f>
      </c>
      <c r="AX22" s="202">
        <f>IF($C22,IF(OR($AT22="Completo",$AU22="Cancelado",$AU22="Baja prioridad",NOT(ISNUMBER($AW22))),0,IF(TODAY()&gt;$AW22,NETWORKDAYS($AW22,TODAY(),'Sprints'!$L$5:$L$40)-1,0)),"")</f>
      </c>
      <c r="AY22" s="203">
        <f>IF($C22,IF(NOT(ISNUMBER($AR22)),"Sin fecha",IF($AT22="Completo","Completo",IF($AU22="Cancelado","Cancelado",IF($AU22="Baja prioridad","Baja prioridad",IF($AX22&gt;0,"Vencida","Pendiente"))))),"")</f>
      </c>
      <c r="AZ22" s="203">
        <f>IF($C22,IF(ISNUMBER($AV22),$AO22&amp;" · S"&amp;$AV22,"(Sin fecha)"),"")</f>
      </c>
      <c r="BA22" s="202">
        <f>IF($C22,IF(AND(ISNUMBER('Backlog General'!$M22),'Backlog General'!$M22=$AS22),"Nuevo S"&amp;'Backlog General'!$M22,""),"")</f>
      </c>
      <c r="BB22" s="202">
        <f>IF(AND($C22,$AO22="Semanal",ISNUMBER($AV22)),$AV22*100000+ROW(),"")</f>
      </c>
      <c r="BC22" s="202">
        <f>IF(AND($C22,$AO22="Quincenal",ISNUMBER($AV22)),$AV22*100000+ROW(),"")</f>
      </c>
      <c r="BD22" s="202">
        <f>IF(AND($C22,$AO22="Mensual",ISNUMBER($AV22)),$AV22*100000+ROW(),"")</f>
      </c>
      <c r="BE22" s="203">
        <f>IF($C22,IF(ISBLANK('Backlog General'!$J22),"",'Backlog General'!$J22),"")</f>
      </c>
      <c r="BF22" s="203">
        <f>IF($C22,IF($BE22="","",$BE22)&amp;IF(AND($BE22&lt;&gt;"",$AH22&lt;&gt;"")," · ","")&amp;IF($AH22="","",$AH22),"")</f>
      </c>
      <c r="BG22" s="203">
        <f>IF($C22,IF($J22="Completado","Sí","No"),"")</f>
      </c>
      <c r="BH22" s="202">
        <f>IF(AND($C22,ISNUMBER($AR22)),IF($AO22="Semanal",1,IF($AO22="Quincenal",2,3))*1000000000+$AR22*100000+ROW(),"")</f>
      </c>
    </row>
    <row r="23">
      <c r="A23" s="202">
        <f>ROW()</f>
        <v>23</v>
      </c>
      <c r="B23" s="202" t="b">
        <f>ISTEXT('Proyecto Datos (OKR´s)'!$K23)</f>
        <v>0</v>
      </c>
      <c r="C23" s="202" t="b">
        <f>AND(LEN('Proyecto Datos (OKR´s)'!$G23)&gt;0,NOT($B23),OR(ISNUMBER('Proyecto Datos (OKR´s)'!$F23),ISNUMBER('Proyecto Datos (OKR´s)'!$L23)))</f>
        <v>1</v>
      </c>
      <c r="D23" s="203" t="str">
        <f>IF($C23,IFERROR(LOOKUP(2,1/((ISTEXT('Proyecto Datos (OKR´s)'!$K$7:$K23))*(LEN('Proyecto Datos (OKR´s)'!$G$7:$G23)&gt;0)),'Proyecto Datos (OKR´s)'!$G$7:$G23),""),"")</f>
        <v>3- Tablero BI OPEX - Real vs BO</v>
      </c>
      <c r="E23" s="202">
        <f>IF($C23,'Proyecto Datos (OKR´s)'!$E23,"")</f>
        <v>1</v>
      </c>
      <c r="F23" s="203" t="str">
        <f>IF($C23,'Proyecto Datos (OKR´s)'!$G23,"")</f>
        <v>Armado de Procedimiento</v>
      </c>
      <c r="G23" s="203" t="str">
        <f>IF($C23,IF('Proyecto Datos (OKR´s)'!$I23="","(Sin asignar)",'Proyecto Datos (OKR´s)'!$I23),"")</f>
        <v>Santiago Alonso</v>
      </c>
      <c r="H23" s="202">
        <f>IF($C23,IF(ISNUMBER('Proyecto Datos (OKR´s)'!$F23),'Proyecto Datos (OKR´s)'!$F23,""),"")</f>
        <v>46192</v>
      </c>
      <c r="I23" s="202">
        <f>IF($C23,'Proyecto Datos (OKR´s)'!$J23,"")</f>
        <v>0.9</v>
      </c>
      <c r="J23" s="203" t="str">
        <f>IF($C23,IF($I23&gt;=1,"Completado",IF(NOT(ISNUMBER($H23)),"Sin fecha",IF($H23&lt;TODAY(),"Vencido",IF(($H23-TODAY())&lt;='Entregas Próximas'!$M$3,"Próximo a vencer","En curso")))),"")</f>
        <v>Vencido</v>
      </c>
      <c r="K23" s="202">
        <f>IF(AND($C23,ISNUMBER($H23)),$H23-TODAY(),"")</f>
        <v>-4</v>
      </c>
      <c r="L23" s="202">
        <f>IF(AND($C23,ISNUMBER($H23)),$AD23*1000000+$H23+ROW()/100000,"")</f>
        <v>2046192.00023</v>
      </c>
      <c r="M23" s="202">
        <f>IF($C23,IF($AD23=9999,"(Sin sprint)",$AD23),"")</f>
        <v>2</v>
      </c>
      <c r="N23" s="202">
        <f>IF($C23,IF('Proyecto Datos (OKR´s)'!$E23="",9999,'Proyecto Datos (OKR´s)'!$E23),"")</f>
        <v>1</v>
      </c>
      <c r="O23" s="202" t="str">
        <f>IF($C23,"T"&amp;TEXT(ROW(),"000"),"")</f>
        <v>T023</v>
      </c>
      <c r="P23" s="202">
        <f>ROW()-6</f>
        <v>17</v>
      </c>
      <c r="Q23" s="202">
        <f>IF(COUNTIF($AD$7:$AD$200,$P23)&gt;0,$P23,"")</f>
      </c>
      <c r="R23" s="202">
        <f>IF($C23,IF(ISNUMBER('Proyecto Datos (OKR´s)'!$L23),'Proyecto Datos (OKR´s)'!$L23,$H23),"")</f>
        <v>46192</v>
      </c>
      <c r="S23" s="202">
        <f>IF($C23,$R23-'Proyecto Datos (OKR´s)'!$K23+1,"")</f>
        <v>11</v>
      </c>
      <c r="T23" s="202">
        <f>IF($C23,MAX(0,TODAY()-'Proyecto Datos (OKR´s)'!$K23),"")</f>
        <v>14</v>
      </c>
      <c r="U23" s="202">
        <f>IF($C23,MEDIAN(0,(TODAY()-'Proyecto Datos (OKR´s)'!$K23)/MAX(1,$R23-'Proyecto Datos (OKR´s)'!$K23),1),"")</f>
        <v>1</v>
      </c>
      <c r="V23" s="202">
        <f>IF($C23,$I23-$U23,"")</f>
        <v>-0.09999999999999998</v>
      </c>
      <c r="W23" s="202">
        <f>IF($C23,IF(OR($J23="Completado",NOT(ISNUMBER($H23))),0,MAX(0,TODAY()-$H23)),"")</f>
        <v>4</v>
      </c>
      <c r="X23" s="202">
        <f>IF($C23,IF(ISNUMBER($H23),$R23-$H23,0),"")</f>
        <v>0</v>
      </c>
      <c r="Y23" s="202">
        <f>IF($C23,COUNTIFS($G$7:$G$200,$G23,$J$7:$J$200,"&lt;&gt;Completado",$J$7:$J$200,"&lt;&gt;"),"")</f>
        <v>0</v>
      </c>
      <c r="Z23" s="202" t="b">
        <f>IF($C23,AND($I23=0,'Proyecto Datos (OKR´s)'!$K23&lt;=TODAY(),$J23&lt;&gt;"Completado"),"")</f>
        <v>0</v>
      </c>
      <c r="AA23" s="202">
        <f>IF($C23,ROUND(100*(0.35*$AK23+0.3*$AL23+0.2*$AM23+0.15*MEDIAN(0,($Y23-4)/8,1)),0),"")</f>
        <v>45</v>
      </c>
      <c r="AB23" s="203" t="str">
        <f>IF($C23,IF(OR($J23="Completado",$J23="Sin fecha"),"—",IF($AA23&gt;=70,"Crítica",IF($AA23&gt;=45,"Alta",IF($AA23&gt;=25,"Media","Baja")))),"")</f>
        <v>Alta</v>
      </c>
      <c r="AC23" s="203" t="str">
        <f>IF($C23,IF(LEN(TRIM($AN23))=0,"—",TRIM($AN23)),"")</f>
        <v>ATRASO</v>
      </c>
      <c r="AD23" s="202">
        <f>IF($C23,$AV23,"")</f>
        <v>2</v>
      </c>
      <c r="AE23" s="202" t="str">
        <f>IF($C23,$AZ23,"")</f>
        <v>Semanal · S2</v>
      </c>
      <c r="AF23" s="202" t="b">
        <f>IF($C23,$AV23&lt;&gt;$AR23,FALSE)</f>
        <v>1</v>
      </c>
      <c r="AG23" s="202">
        <f>IF($C23,IF($AV23&lt;&gt;$AR23,$AW23,""),"")</f>
        <v>46192</v>
      </c>
      <c r="AH23" s="203">
        <f>IF($C23,IF(ISBLANK('Backlog General'!$K23),"",'Backlog General'!$K23),"")</f>
      </c>
      <c r="AI23" s="202">
        <f>IF($C23,$AV23*100000+ROW(),"")</f>
        <v>200023</v>
      </c>
      <c r="AJ23" s="202">
        <f>IF(AND($C23,ISNUMBER($H23)),$AA23*1000000-MEDIAN(-9999,$K23,9999)*100+(300-ROW()),"")</f>
        <v>45000677</v>
      </c>
      <c r="AK23" s="202">
        <f>IF($C23,IF($J23="Completado",0,IF($K23&lt;0,1,IF($K23&lt;=3,0.9,IF($K23&lt;=7,0.7,IF($K23&lt;=14,0.45,0.2))))),"")</f>
        <v>1</v>
      </c>
      <c r="AL23" s="202">
        <f>IF($C23,IF($J23="Completado",0,MEDIAN(0,MAX(-$V23,$W23/30),1)),"")</f>
        <v>0.13333333333333333</v>
      </c>
      <c r="AM23" s="202">
        <f>IF($C23,IF($J23="Completado",0,IF($Z23,1,IF(AND($I23&lt;0.5,$K23&lt;=7),0.7,0.3))),"")</f>
        <v>0.3</v>
      </c>
      <c r="AN23" s="203" t="str">
        <f>IF($C23,IF(OR($V23&lt;-0.2,$W23&gt;0),"ATRASO ","")&amp;IF($Z23,"BLOQUEO ","")&amp;IF($Y23&gt;8,"SOBRECARGA ","")&amp;IF($X23&gt;0,"DESVÍO-PLAN ",""),"")</f>
        <v>ATRASO </v>
      </c>
      <c r="AO23" s="203" t="str">
        <f>IF($C23,IFERROR(VLOOKUP($D23,'Sprints'!$I$5:$J$12,2,FALSE),"Semanal"),"")</f>
        <v>Semanal</v>
      </c>
      <c r="AP23" s="202">
        <f>IF($C23,IFERROR(VLOOKUP($AO23,'Sprints'!$B$9:$C$11,2,FALSE),1),"")</f>
        <v>1</v>
      </c>
      <c r="AQ23" s="202">
        <f>IF($C23,'Sprints'!$C$5,"")</f>
        <v>46192</v>
      </c>
      <c r="AR23" s="202">
        <f>IF(AND($C23,ISNUMBER($H23)),CEILING(MAX(1,INT(($H23-$AQ23+'Sprints'!$D$5-1)/'Sprints'!$D$5)+1)/$AP23,1),"")</f>
        <v>1</v>
      </c>
      <c r="AS23" s="202">
        <f>IF($C23,CEILING(MAX(1,INT((TODAY()-$AQ23+'Sprints'!$D$5-1)/'Sprints'!$D$5)+1)/$AP23,1),"")</f>
        <v>2</v>
      </c>
      <c r="AT23" s="203">
        <f>IF($C23,'Backlog General'!$G23,"")</f>
        <v>0</v>
      </c>
      <c r="AU23" s="203">
        <f>IF($C23,'Backlog General'!$H23,"")</f>
        <v>0</v>
      </c>
      <c r="AV23" s="202">
        <f>IF(AND($C23,ISNUMBER($AR23)),IF(OR($AT23="Completo",$AU23="Cancelado",$AU23="Baja prioridad"),$AR23,IF($AU23="Pasa al siguiente",MAX($AR23+1,$AS23),MAX($AR23,$AS23))),"")</f>
        <v>2</v>
      </c>
      <c r="AW23" s="202">
        <f>IF(AND($C23,ISNUMBER($AR23)),$AQ23+$AR23*$AP23*'Sprints'!$D$5-'Sprints'!$D$5,"")</f>
        <v>46192</v>
      </c>
      <c r="AX23" s="202">
        <f>IF($C23,IF(OR($AT23="Completo",$AU23="Cancelado",$AU23="Baja prioridad",NOT(ISNUMBER($AW23))),0,IF(TODAY()&gt;$AW23,NETWORKDAYS($AW23,TODAY(),'Sprints'!$L$5:$L$40)-1,0)),"")</f>
        <v>2</v>
      </c>
      <c r="AY23" s="203" t="str">
        <f>IF($C23,IF(NOT(ISNUMBER($AR23)),"Sin fecha",IF($AT23="Completo","Completo",IF($AU23="Cancelado","Cancelado",IF($AU23="Baja prioridad","Baja prioridad",IF($AX23&gt;0,"Vencida","Pendiente"))))),"")</f>
        <v>Vencida</v>
      </c>
      <c r="AZ23" s="203" t="str">
        <f>IF($C23,IF(ISNUMBER($AV23),$AO23&amp;" · S"&amp;$AV23,"(Sin fecha)"),"")</f>
        <v>Semanal · S2</v>
      </c>
      <c r="BA23" s="202">
        <f>IF($C23,IF(AND(ISNUMBER('Backlog General'!$M23),'Backlog General'!$M23=$AS23),"Nuevo S"&amp;'Backlog General'!$M23,""),"")</f>
      </c>
      <c r="BB23" s="202">
        <f>IF(AND($C23,$AO23="Semanal",ISNUMBER($AV23)),$AV23*100000+ROW(),"")</f>
        <v>200023</v>
      </c>
      <c r="BC23" s="202">
        <f>IF(AND($C23,$AO23="Quincenal",ISNUMBER($AV23)),$AV23*100000+ROW(),"")</f>
      </c>
      <c r="BD23" s="202">
        <f>IF(AND($C23,$AO23="Mensual",ISNUMBER($AV23)),$AV23*100000+ROW(),"")</f>
      </c>
      <c r="BE23" s="203">
        <f>IF($C23,IF(ISBLANK('Backlog General'!$J23),"",'Backlog General'!$J23),"")</f>
      </c>
      <c r="BF23" s="203">
        <f>IF($C23,IF($BE23="","",$BE23)&amp;IF(AND($BE23&lt;&gt;"",$AH23&lt;&gt;"")," · ","")&amp;IF($AH23="","",$AH23),"")</f>
      </c>
      <c r="BG23" s="203" t="str">
        <f>IF($C23,IF($J23="Completado","Sí","No"),"")</f>
        <v>No</v>
      </c>
      <c r="BH23" s="202">
        <f>IF(AND($C23,ISNUMBER($AR23)),IF($AO23="Semanal",1,IF($AO23="Quincenal",2,3))*1000000000+$AR23*100000+ROW(),"")</f>
        <v>1000100023</v>
      </c>
    </row>
    <row r="24">
      <c r="A24" s="202">
        <f>ROW()</f>
        <v>24</v>
      </c>
      <c r="B24" s="202" t="b">
        <f>ISTEXT('Proyecto Datos (OKR´s)'!$K24)</f>
        <v>0</v>
      </c>
      <c r="C24" s="202" t="b">
        <f>AND(LEN('Proyecto Datos (OKR´s)'!$G24)&gt;0,NOT($B24),OR(ISNUMBER('Proyecto Datos (OKR´s)'!$F24),ISNUMBER('Proyecto Datos (OKR´s)'!$L24)))</f>
        <v>1</v>
      </c>
      <c r="D24" s="203" t="str">
        <f>IF($C24,IFERROR(LOOKUP(2,1/((ISTEXT('Proyecto Datos (OKR´s)'!$K$7:$K24))*(LEN('Proyecto Datos (OKR´s)'!$G$7:$G24)&gt;0)),'Proyecto Datos (OKR´s)'!$G$7:$G24),""),"")</f>
        <v>3- Tablero BI OPEX - Real vs BO</v>
      </c>
      <c r="E24" s="202">
        <f>IF($C24,'Proyecto Datos (OKR´s)'!$E24,"")</f>
        <v>1</v>
      </c>
      <c r="F24" s="203" t="str">
        <f>IF($C24,'Proyecto Datos (OKR´s)'!$G24,"")</f>
        <v>Revisión de Gráfico en cascada: por desvío y desagregación por categorías.</v>
      </c>
      <c r="G24" s="203" t="str">
        <f>IF($C24,IF('Proyecto Datos (OKR´s)'!$I24="","(Sin asignar)",'Proyecto Datos (OKR´s)'!$I24),"")</f>
        <v>Santiago Alonso</v>
      </c>
      <c r="H24" s="202">
        <f>IF($C24,IF(ISNUMBER('Proyecto Datos (OKR´s)'!$F24),'Proyecto Datos (OKR´s)'!$F24,""),"")</f>
        <v>46192</v>
      </c>
      <c r="I24" s="202">
        <f>IF($C24,'Proyecto Datos (OKR´s)'!$J24,"")</f>
        <v>0.9</v>
      </c>
      <c r="J24" s="203" t="str">
        <f>IF($C24,IF($I24&gt;=1,"Completado",IF(NOT(ISNUMBER($H24)),"Sin fecha",IF($H24&lt;TODAY(),"Vencido",IF(($H24-TODAY())&lt;='Entregas Próximas'!$M$3,"Próximo a vencer","En curso")))),"")</f>
        <v>Vencido</v>
      </c>
      <c r="K24" s="202">
        <f>IF(AND($C24,ISNUMBER($H24)),$H24-TODAY(),"")</f>
        <v>-4</v>
      </c>
      <c r="L24" s="202">
        <f>IF(AND($C24,ISNUMBER($H24)),$AD24*1000000+$H24+ROW()/100000,"")</f>
        <v>2046192.00024</v>
      </c>
      <c r="M24" s="202">
        <f>IF($C24,IF($AD24=9999,"(Sin sprint)",$AD24),"")</f>
        <v>2</v>
      </c>
      <c r="N24" s="202">
        <f>IF($C24,IF('Proyecto Datos (OKR´s)'!$E24="",9999,'Proyecto Datos (OKR´s)'!$E24),"")</f>
        <v>1</v>
      </c>
      <c r="O24" s="202" t="str">
        <f>IF($C24,"T"&amp;TEXT(ROW(),"000"),"")</f>
        <v>T024</v>
      </c>
      <c r="P24" s="202">
        <f>ROW()-6</f>
        <v>18</v>
      </c>
      <c r="Q24" s="202">
        <f>IF(COUNTIF($AD$7:$AD$200,$P24)&gt;0,$P24,"")</f>
      </c>
      <c r="R24" s="202">
        <f>IF($C24,IF(ISNUMBER('Proyecto Datos (OKR´s)'!$L24),'Proyecto Datos (OKR´s)'!$L24,$H24),"")</f>
        <v>46192</v>
      </c>
      <c r="S24" s="202">
        <f>IF($C24,$R24-'Proyecto Datos (OKR´s)'!$K24+1,"")</f>
        <v>16</v>
      </c>
      <c r="T24" s="202">
        <f>IF($C24,MAX(0,TODAY()-'Proyecto Datos (OKR´s)'!$K24),"")</f>
        <v>19</v>
      </c>
      <c r="U24" s="202">
        <f>IF($C24,MEDIAN(0,(TODAY()-'Proyecto Datos (OKR´s)'!$K24)/MAX(1,$R24-'Proyecto Datos (OKR´s)'!$K24),1),"")</f>
        <v>1</v>
      </c>
      <c r="V24" s="202">
        <f>IF($C24,$I24-$U24,"")</f>
        <v>-0.09999999999999998</v>
      </c>
      <c r="W24" s="202">
        <f>IF($C24,IF(OR($J24="Completado",NOT(ISNUMBER($H24))),0,MAX(0,TODAY()-$H24)),"")</f>
        <v>4</v>
      </c>
      <c r="X24" s="202">
        <f>IF($C24,IF(ISNUMBER($H24),$R24-$H24,0),"")</f>
        <v>0</v>
      </c>
      <c r="Y24" s="202">
        <f>IF($C24,COUNTIFS($G$7:$G$200,$G24,$J$7:$J$200,"&lt;&gt;Completado",$J$7:$J$200,"&lt;&gt;"),"")</f>
        <v>0</v>
      </c>
      <c r="Z24" s="202" t="b">
        <f>IF($C24,AND($I24=0,'Proyecto Datos (OKR´s)'!$K24&lt;=TODAY(),$J24&lt;&gt;"Completado"),"")</f>
        <v>0</v>
      </c>
      <c r="AA24" s="202">
        <f>IF($C24,ROUND(100*(0.35*$AK24+0.3*$AL24+0.2*$AM24+0.15*MEDIAN(0,($Y24-4)/8,1)),0),"")</f>
        <v>45</v>
      </c>
      <c r="AB24" s="203" t="str">
        <f>IF($C24,IF(OR($J24="Completado",$J24="Sin fecha"),"—",IF($AA24&gt;=70,"Crítica",IF($AA24&gt;=45,"Alta",IF($AA24&gt;=25,"Media","Baja")))),"")</f>
        <v>Alta</v>
      </c>
      <c r="AC24" s="203" t="str">
        <f>IF($C24,IF(LEN(TRIM($AN24))=0,"—",TRIM($AN24)),"")</f>
        <v>ATRASO</v>
      </c>
      <c r="AD24" s="202">
        <f>IF($C24,$AV24,"")</f>
        <v>2</v>
      </c>
      <c r="AE24" s="202" t="str">
        <f>IF($C24,$AZ24,"")</f>
        <v>Semanal · S2</v>
      </c>
      <c r="AF24" s="202" t="b">
        <f>IF($C24,$AV24&lt;&gt;$AR24,FALSE)</f>
        <v>1</v>
      </c>
      <c r="AG24" s="202">
        <f>IF($C24,IF($AV24&lt;&gt;$AR24,$AW24,""),"")</f>
        <v>46192</v>
      </c>
      <c r="AH24" s="203">
        <f>IF($C24,IF(ISBLANK('Backlog General'!$K24),"",'Backlog General'!$K24),"")</f>
      </c>
      <c r="AI24" s="202">
        <f>IF($C24,$AV24*100000+ROW(),"")</f>
        <v>200024</v>
      </c>
      <c r="AJ24" s="202">
        <f>IF(AND($C24,ISNUMBER($H24)),$AA24*1000000-MEDIAN(-9999,$K24,9999)*100+(300-ROW()),"")</f>
        <v>45000676</v>
      </c>
      <c r="AK24" s="202">
        <f>IF($C24,IF($J24="Completado",0,IF($K24&lt;0,1,IF($K24&lt;=3,0.9,IF($K24&lt;=7,0.7,IF($K24&lt;=14,0.45,0.2))))),"")</f>
        <v>1</v>
      </c>
      <c r="AL24" s="202">
        <f>IF($C24,IF($J24="Completado",0,MEDIAN(0,MAX(-$V24,$W24/30),1)),"")</f>
        <v>0.13333333333333333</v>
      </c>
      <c r="AM24" s="202">
        <f>IF($C24,IF($J24="Completado",0,IF($Z24,1,IF(AND($I24&lt;0.5,$K24&lt;=7),0.7,0.3))),"")</f>
        <v>0.3</v>
      </c>
      <c r="AN24" s="203" t="str">
        <f>IF($C24,IF(OR($V24&lt;-0.2,$W24&gt;0),"ATRASO ","")&amp;IF($Z24,"BLOQUEO ","")&amp;IF($Y24&gt;8,"SOBRECARGA ","")&amp;IF($X24&gt;0,"DESVÍO-PLAN ",""),"")</f>
        <v>ATRASO </v>
      </c>
      <c r="AO24" s="203" t="str">
        <f>IF($C24,IFERROR(VLOOKUP($D24,'Sprints'!$I$5:$J$12,2,FALSE),"Semanal"),"")</f>
        <v>Semanal</v>
      </c>
      <c r="AP24" s="202">
        <f>IF($C24,IFERROR(VLOOKUP($AO24,'Sprints'!$B$9:$C$11,2,FALSE),1),"")</f>
        <v>1</v>
      </c>
      <c r="AQ24" s="202">
        <f>IF($C24,'Sprints'!$C$5,"")</f>
        <v>46192</v>
      </c>
      <c r="AR24" s="202">
        <f>IF(AND($C24,ISNUMBER($H24)),CEILING(MAX(1,INT(($H24-$AQ24+'Sprints'!$D$5-1)/'Sprints'!$D$5)+1)/$AP24,1),"")</f>
        <v>1</v>
      </c>
      <c r="AS24" s="202">
        <f>IF($C24,CEILING(MAX(1,INT((TODAY()-$AQ24+'Sprints'!$D$5-1)/'Sprints'!$D$5)+1)/$AP24,1),"")</f>
        <v>2</v>
      </c>
      <c r="AT24" s="203">
        <f>IF($C24,'Backlog General'!$G24,"")</f>
        <v>0</v>
      </c>
      <c r="AU24" s="203">
        <f>IF($C24,'Backlog General'!$H24,"")</f>
        <v>0</v>
      </c>
      <c r="AV24" s="202">
        <f>IF(AND($C24,ISNUMBER($AR24)),IF(OR($AT24="Completo",$AU24="Cancelado",$AU24="Baja prioridad"),$AR24,IF($AU24="Pasa al siguiente",MAX($AR24+1,$AS24),MAX($AR24,$AS24))),"")</f>
        <v>2</v>
      </c>
      <c r="AW24" s="202">
        <f>IF(AND($C24,ISNUMBER($AR24)),$AQ24+$AR24*$AP24*'Sprints'!$D$5-'Sprints'!$D$5,"")</f>
        <v>46192</v>
      </c>
      <c r="AX24" s="202">
        <f>IF($C24,IF(OR($AT24="Completo",$AU24="Cancelado",$AU24="Baja prioridad",NOT(ISNUMBER($AW24))),0,IF(TODAY()&gt;$AW24,NETWORKDAYS($AW24,TODAY(),'Sprints'!$L$5:$L$40)-1,0)),"")</f>
        <v>2</v>
      </c>
      <c r="AY24" s="203" t="str">
        <f>IF($C24,IF(NOT(ISNUMBER($AR24)),"Sin fecha",IF($AT24="Completo","Completo",IF($AU24="Cancelado","Cancelado",IF($AU24="Baja prioridad","Baja prioridad",IF($AX24&gt;0,"Vencida","Pendiente"))))),"")</f>
        <v>Vencida</v>
      </c>
      <c r="AZ24" s="203" t="str">
        <f>IF($C24,IF(ISNUMBER($AV24),$AO24&amp;" · S"&amp;$AV24,"(Sin fecha)"),"")</f>
        <v>Semanal · S2</v>
      </c>
      <c r="BA24" s="202">
        <f>IF($C24,IF(AND(ISNUMBER('Backlog General'!$M24),'Backlog General'!$M24=$AS24),"Nuevo S"&amp;'Backlog General'!$M24,""),"")</f>
      </c>
      <c r="BB24" s="202">
        <f>IF(AND($C24,$AO24="Semanal",ISNUMBER($AV24)),$AV24*100000+ROW(),"")</f>
        <v>200024</v>
      </c>
      <c r="BC24" s="202">
        <f>IF(AND($C24,$AO24="Quincenal",ISNUMBER($AV24)),$AV24*100000+ROW(),"")</f>
      </c>
      <c r="BD24" s="202">
        <f>IF(AND($C24,$AO24="Mensual",ISNUMBER($AV24)),$AV24*100000+ROW(),"")</f>
      </c>
      <c r="BE24" s="203">
        <f>IF($C24,IF(ISBLANK('Backlog General'!$J24),"",'Backlog General'!$J24),"")</f>
      </c>
      <c r="BF24" s="203">
        <f>IF($C24,IF($BE24="","",$BE24)&amp;IF(AND($BE24&lt;&gt;"",$AH24&lt;&gt;"")," · ","")&amp;IF($AH24="","",$AH24),"")</f>
      </c>
      <c r="BG24" s="203" t="str">
        <f>IF($C24,IF($J24="Completado","Sí","No"),"")</f>
        <v>No</v>
      </c>
      <c r="BH24" s="202">
        <f>IF(AND($C24,ISNUMBER($AR24)),IF($AO24="Semanal",1,IF($AO24="Quincenal",2,3))*1000000000+$AR24*100000+ROW(),"")</f>
        <v>1000100024</v>
      </c>
    </row>
    <row r="25">
      <c r="A25" s="202">
        <f>ROW()</f>
        <v>25</v>
      </c>
      <c r="B25" s="202" t="b">
        <f>ISTEXT('Proyecto Datos (OKR´s)'!$K25)</f>
        <v>0</v>
      </c>
      <c r="C25" s="202" t="b">
        <f>AND(LEN('Proyecto Datos (OKR´s)'!$G25)&gt;0,NOT($B25),OR(ISNUMBER('Proyecto Datos (OKR´s)'!$F25),ISNUMBER('Proyecto Datos (OKR´s)'!$L25)))</f>
        <v>1</v>
      </c>
      <c r="D25" s="203" t="str">
        <f>IF($C25,IFERROR(LOOKUP(2,1/((ISTEXT('Proyecto Datos (OKR´s)'!$K$7:$K25))*(LEN('Proyecto Datos (OKR´s)'!$G$7:$G25)&gt;0)),'Proyecto Datos (OKR´s)'!$G$7:$G25),""),"")</f>
        <v>3- Tablero BI OPEX - Real vs BO</v>
      </c>
      <c r="E25" s="202">
        <f>IF($C25,'Proyecto Datos (OKR´s)'!$E25,"")</f>
        <v>1</v>
      </c>
      <c r="F25" s="203" t="str">
        <f>IF($C25,'Proyecto Datos (OKR´s)'!$G25,"")</f>
        <v>Revisión de viabilidad de incorporación datos Redash (input ZReal con clasificaciones automaticas por CECO - Directas e Indirectas)</v>
      </c>
      <c r="G25" s="203" t="str">
        <f>IF($C25,IF('Proyecto Datos (OKR´s)'!$I25="","(Sin asignar)",'Proyecto Datos (OKR´s)'!$I25),"")</f>
        <v>Santiago Alonso</v>
      </c>
      <c r="H25" s="202">
        <f>IF($C25,IF(ISNUMBER('Proyecto Datos (OKR´s)'!$F25),'Proyecto Datos (OKR´s)'!$F25,""),"")</f>
        <v>46188</v>
      </c>
      <c r="I25" s="202">
        <f>IF($C25,'Proyecto Datos (OKR´s)'!$J25,"")</f>
        <v>0.9</v>
      </c>
      <c r="J25" s="203" t="str">
        <f>IF($C25,IF($I25&gt;=1,"Completado",IF(NOT(ISNUMBER($H25)),"Sin fecha",IF($H25&lt;TODAY(),"Vencido",IF(($H25-TODAY())&lt;='Entregas Próximas'!$M$3,"Próximo a vencer","En curso")))),"")</f>
        <v>Vencido</v>
      </c>
      <c r="K25" s="202">
        <f>IF(AND($C25,ISNUMBER($H25)),$H25-TODAY(),"")</f>
        <v>-8</v>
      </c>
      <c r="L25" s="202">
        <f>IF(AND($C25,ISNUMBER($H25)),$AD25*1000000+$H25+ROW()/100000,"")</f>
        <v>2046188.00025</v>
      </c>
      <c r="M25" s="202">
        <f>IF($C25,IF($AD25=9999,"(Sin sprint)",$AD25),"")</f>
        <v>2</v>
      </c>
      <c r="N25" s="202">
        <f>IF($C25,IF('Proyecto Datos (OKR´s)'!$E25="",9999,'Proyecto Datos (OKR´s)'!$E25),"")</f>
        <v>1</v>
      </c>
      <c r="O25" s="202" t="str">
        <f>IF($C25,"T"&amp;TEXT(ROW(),"000"),"")</f>
        <v>T025</v>
      </c>
      <c r="P25" s="202">
        <f>ROW()-6</f>
        <v>19</v>
      </c>
      <c r="Q25" s="202">
        <f>IF(COUNTIF($AD$7:$AD$200,$P25)&gt;0,$P25,"")</f>
      </c>
      <c r="R25" s="202">
        <f>IF($C25,IF(ISNUMBER('Proyecto Datos (OKR´s)'!$L25),'Proyecto Datos (OKR´s)'!$L25,$H25),"")</f>
        <v>46188</v>
      </c>
      <c r="S25" s="202">
        <f>IF($C25,$R25-'Proyecto Datos (OKR´s)'!$K25+1,"")</f>
        <v>12</v>
      </c>
      <c r="T25" s="202">
        <f>IF($C25,MAX(0,TODAY()-'Proyecto Datos (OKR´s)'!$K25),"")</f>
        <v>19</v>
      </c>
      <c r="U25" s="202">
        <f>IF($C25,MEDIAN(0,(TODAY()-'Proyecto Datos (OKR´s)'!$K25)/MAX(1,$R25-'Proyecto Datos (OKR´s)'!$K25),1),"")</f>
        <v>1</v>
      </c>
      <c r="V25" s="202">
        <f>IF($C25,$I25-$U25,"")</f>
        <v>-0.09999999999999998</v>
      </c>
      <c r="W25" s="202">
        <f>IF($C25,IF(OR($J25="Completado",NOT(ISNUMBER($H25))),0,MAX(0,TODAY()-$H25)),"")</f>
        <v>8</v>
      </c>
      <c r="X25" s="202">
        <f>IF($C25,IF(ISNUMBER($H25),$R25-$H25,0),"")</f>
        <v>0</v>
      </c>
      <c r="Y25" s="202">
        <f>IF($C25,COUNTIFS($G$7:$G$200,$G25,$J$7:$J$200,"&lt;&gt;Completado",$J$7:$J$200,"&lt;&gt;"),"")</f>
        <v>0</v>
      </c>
      <c r="Z25" s="202" t="b">
        <f>IF($C25,AND($I25=0,'Proyecto Datos (OKR´s)'!$K25&lt;=TODAY(),$J25&lt;&gt;"Completado"),"")</f>
        <v>0</v>
      </c>
      <c r="AA25" s="202">
        <f>IF($C25,ROUND(100*(0.35*$AK25+0.3*$AL25+0.2*$AM25+0.15*MEDIAN(0,($Y25-4)/8,1)),0),"")</f>
        <v>49</v>
      </c>
      <c r="AB25" s="203" t="str">
        <f>IF($C25,IF(OR($J25="Completado",$J25="Sin fecha"),"—",IF($AA25&gt;=70,"Crítica",IF($AA25&gt;=45,"Alta",IF($AA25&gt;=25,"Media","Baja")))),"")</f>
        <v>Alta</v>
      </c>
      <c r="AC25" s="203" t="str">
        <f>IF($C25,IF(LEN(TRIM($AN25))=0,"—",TRIM($AN25)),"")</f>
        <v>ATRASO</v>
      </c>
      <c r="AD25" s="202">
        <f>IF($C25,$AV25,"")</f>
        <v>2</v>
      </c>
      <c r="AE25" s="202" t="str">
        <f>IF($C25,$AZ25,"")</f>
        <v>Semanal · S2</v>
      </c>
      <c r="AF25" s="202" t="b">
        <f>IF($C25,$AV25&lt;&gt;$AR25,FALSE)</f>
        <v>1</v>
      </c>
      <c r="AG25" s="202">
        <f>IF($C25,IF($AV25&lt;&gt;$AR25,$AW25,""),"")</f>
        <v>46192</v>
      </c>
      <c r="AH25" s="203">
        <f>IF($C25,IF(ISBLANK('Backlog General'!$K25),"",'Backlog General'!$K25),"")</f>
      </c>
      <c r="AI25" s="202">
        <f>IF($C25,$AV25*100000+ROW(),"")</f>
        <v>200025</v>
      </c>
      <c r="AJ25" s="202">
        <f>IF(AND($C25,ISNUMBER($H25)),$AA25*1000000-MEDIAN(-9999,$K25,9999)*100+(300-ROW()),"")</f>
        <v>49001075</v>
      </c>
      <c r="AK25" s="202">
        <f>IF($C25,IF($J25="Completado",0,IF($K25&lt;0,1,IF($K25&lt;=3,0.9,IF($K25&lt;=7,0.7,IF($K25&lt;=14,0.45,0.2))))),"")</f>
        <v>1</v>
      </c>
      <c r="AL25" s="202">
        <f>IF($C25,IF($J25="Completado",0,MEDIAN(0,MAX(-$V25,$W25/30),1)),"")</f>
        <v>0.26666666666666666</v>
      </c>
      <c r="AM25" s="202">
        <f>IF($C25,IF($J25="Completado",0,IF($Z25,1,IF(AND($I25&lt;0.5,$K25&lt;=7),0.7,0.3))),"")</f>
        <v>0.3</v>
      </c>
      <c r="AN25" s="203" t="str">
        <f>IF($C25,IF(OR($V25&lt;-0.2,$W25&gt;0),"ATRASO ","")&amp;IF($Z25,"BLOQUEO ","")&amp;IF($Y25&gt;8,"SOBRECARGA ","")&amp;IF($X25&gt;0,"DESVÍO-PLAN ",""),"")</f>
        <v>ATRASO </v>
      </c>
      <c r="AO25" s="203" t="str">
        <f>IF($C25,IFERROR(VLOOKUP($D25,'Sprints'!$I$5:$J$12,2,FALSE),"Semanal"),"")</f>
        <v>Semanal</v>
      </c>
      <c r="AP25" s="202">
        <f>IF($C25,IFERROR(VLOOKUP($AO25,'Sprints'!$B$9:$C$11,2,FALSE),1),"")</f>
        <v>1</v>
      </c>
      <c r="AQ25" s="202">
        <f>IF($C25,'Sprints'!$C$5,"")</f>
        <v>46192</v>
      </c>
      <c r="AR25" s="202">
        <f>IF(AND($C25,ISNUMBER($H25)),CEILING(MAX(1,INT(($H25-$AQ25+'Sprints'!$D$5-1)/'Sprints'!$D$5)+1)/$AP25,1),"")</f>
        <v>1</v>
      </c>
      <c r="AS25" s="202">
        <f>IF($C25,CEILING(MAX(1,INT((TODAY()-$AQ25+'Sprints'!$D$5-1)/'Sprints'!$D$5)+1)/$AP25,1),"")</f>
        <v>2</v>
      </c>
      <c r="AT25" s="203">
        <f>IF($C25,'Backlog General'!$G25,"")</f>
        <v>0</v>
      </c>
      <c r="AU25" s="203">
        <f>IF($C25,'Backlog General'!$H25,"")</f>
        <v>0</v>
      </c>
      <c r="AV25" s="202">
        <f>IF(AND($C25,ISNUMBER($AR25)),IF(OR($AT25="Completo",$AU25="Cancelado",$AU25="Baja prioridad"),$AR25,IF($AU25="Pasa al siguiente",MAX($AR25+1,$AS25),MAX($AR25,$AS25))),"")</f>
        <v>2</v>
      </c>
      <c r="AW25" s="202">
        <f>IF(AND($C25,ISNUMBER($AR25)),$AQ25+$AR25*$AP25*'Sprints'!$D$5-'Sprints'!$D$5,"")</f>
        <v>46192</v>
      </c>
      <c r="AX25" s="202">
        <f>IF($C25,IF(OR($AT25="Completo",$AU25="Cancelado",$AU25="Baja prioridad",NOT(ISNUMBER($AW25))),0,IF(TODAY()&gt;$AW25,NETWORKDAYS($AW25,TODAY(),'Sprints'!$L$5:$L$40)-1,0)),"")</f>
        <v>2</v>
      </c>
      <c r="AY25" s="203" t="str">
        <f>IF($C25,IF(NOT(ISNUMBER($AR25)),"Sin fecha",IF($AT25="Completo","Completo",IF($AU25="Cancelado","Cancelado",IF($AU25="Baja prioridad","Baja prioridad",IF($AX25&gt;0,"Vencida","Pendiente"))))),"")</f>
        <v>Vencida</v>
      </c>
      <c r="AZ25" s="203" t="str">
        <f>IF($C25,IF(ISNUMBER($AV25),$AO25&amp;" · S"&amp;$AV25,"(Sin fecha)"),"")</f>
        <v>Semanal · S2</v>
      </c>
      <c r="BA25" s="202">
        <f>IF($C25,IF(AND(ISNUMBER('Backlog General'!$M25),'Backlog General'!$M25=$AS25),"Nuevo S"&amp;'Backlog General'!$M25,""),"")</f>
      </c>
      <c r="BB25" s="202">
        <f>IF(AND($C25,$AO25="Semanal",ISNUMBER($AV25)),$AV25*100000+ROW(),"")</f>
        <v>200025</v>
      </c>
      <c r="BC25" s="202">
        <f>IF(AND($C25,$AO25="Quincenal",ISNUMBER($AV25)),$AV25*100000+ROW(),"")</f>
      </c>
      <c r="BD25" s="202">
        <f>IF(AND($C25,$AO25="Mensual",ISNUMBER($AV25)),$AV25*100000+ROW(),"")</f>
      </c>
      <c r="BE25" s="203">
        <f>IF($C25,IF(ISBLANK('Backlog General'!$J25),"",'Backlog General'!$J25),"")</f>
      </c>
      <c r="BF25" s="203">
        <f>IF($C25,IF($BE25="","",$BE25)&amp;IF(AND($BE25&lt;&gt;"",$AH25&lt;&gt;"")," · ","")&amp;IF($AH25="","",$AH25),"")</f>
      </c>
      <c r="BG25" s="203" t="str">
        <f>IF($C25,IF($J25="Completado","Sí","No"),"")</f>
        <v>No</v>
      </c>
      <c r="BH25" s="202">
        <f>IF(AND($C25,ISNUMBER($AR25)),IF($AO25="Semanal",1,IF($AO25="Quincenal",2,3))*1000000000+$AR25*100000+ROW(),"")</f>
        <v>1000100025</v>
      </c>
    </row>
    <row r="26">
      <c r="A26" s="202">
        <f>ROW()</f>
        <v>26</v>
      </c>
      <c r="B26" s="202" t="b">
        <f>ISTEXT('Proyecto Datos (OKR´s)'!$K26)</f>
        <v>0</v>
      </c>
      <c r="C26" s="202" t="b">
        <f>AND(LEN('Proyecto Datos (OKR´s)'!$G26)&gt;0,NOT($B26),OR(ISNUMBER('Proyecto Datos (OKR´s)'!$F26),ISNUMBER('Proyecto Datos (OKR´s)'!$L26)))</f>
        <v>0</v>
      </c>
      <c r="D26" s="203">
        <f>IF($C26,IFERROR(LOOKUP(2,1/((ISTEXT('Proyecto Datos (OKR´s)'!$K$7:$K26))*(LEN('Proyecto Datos (OKR´s)'!$G$7:$G26)&gt;0)),'Proyecto Datos (OKR´s)'!$G$7:$G26),""),"")</f>
      </c>
      <c r="E26" s="202">
        <f>IF($C26,'Proyecto Datos (OKR´s)'!$E26,"")</f>
      </c>
      <c r="F26" s="203">
        <f>IF($C26,'Proyecto Datos (OKR´s)'!$G26,"")</f>
      </c>
      <c r="G26" s="203">
        <f>IF($C26,IF('Proyecto Datos (OKR´s)'!$I26="","(Sin asignar)",'Proyecto Datos (OKR´s)'!$I26),"")</f>
      </c>
      <c r="H26" s="202">
        <f>IF($C26,IF(ISNUMBER('Proyecto Datos (OKR´s)'!$F26),'Proyecto Datos (OKR´s)'!$F26,""),"")</f>
      </c>
      <c r="I26" s="202">
        <f>IF($C26,'Proyecto Datos (OKR´s)'!$J26,"")</f>
      </c>
      <c r="J26" s="203">
        <f>IF($C26,IF($I26&gt;=1,"Completado",IF(NOT(ISNUMBER($H26)),"Sin fecha",IF($H26&lt;TODAY(),"Vencido",IF(($H26-TODAY())&lt;='Entregas Próximas'!$M$3,"Próximo a vencer","En curso")))),"")</f>
      </c>
      <c r="K26" s="202">
        <f>IF(AND($C26,ISNUMBER($H26)),$H26-TODAY(),"")</f>
      </c>
      <c r="L26" s="202">
        <f>IF(AND($C26,ISNUMBER($H26)),$AD26*1000000+$H26+ROW()/100000,"")</f>
      </c>
      <c r="M26" s="202">
        <f>IF($C26,IF($AD26=9999,"(Sin sprint)",$AD26),"")</f>
      </c>
      <c r="N26" s="202">
        <f>IF($C26,IF('Proyecto Datos (OKR´s)'!$E26="",9999,'Proyecto Datos (OKR´s)'!$E26),"")</f>
      </c>
      <c r="O26" s="202">
        <f>IF($C26,"T"&amp;TEXT(ROW(),"000"),"")</f>
      </c>
      <c r="P26" s="202">
        <f>ROW()-6</f>
        <v>20</v>
      </c>
      <c r="Q26" s="202">
        <f>IF(COUNTIF($AD$7:$AD$200,$P26)&gt;0,$P26,"")</f>
      </c>
      <c r="R26" s="202">
        <f>IF($C26,IF(ISNUMBER('Proyecto Datos (OKR´s)'!$L26),'Proyecto Datos (OKR´s)'!$L26,$H26),"")</f>
      </c>
      <c r="S26" s="202">
        <f>IF($C26,$R26-'Proyecto Datos (OKR´s)'!$K26+1,"")</f>
      </c>
      <c r="T26" s="202">
        <f>IF($C26,MAX(0,TODAY()-'Proyecto Datos (OKR´s)'!$K26),"")</f>
      </c>
      <c r="U26" s="202">
        <f>IF($C26,MEDIAN(0,(TODAY()-'Proyecto Datos (OKR´s)'!$K26)/MAX(1,$R26-'Proyecto Datos (OKR´s)'!$K26),1),"")</f>
      </c>
      <c r="V26" s="202">
        <f>IF($C26,$I26-$U26,"")</f>
      </c>
      <c r="W26" s="202">
        <f>IF($C26,IF(OR($J26="Completado",NOT(ISNUMBER($H26))),0,MAX(0,TODAY()-$H26)),"")</f>
      </c>
      <c r="X26" s="202">
        <f>IF($C26,IF(ISNUMBER($H26),$R26-$H26,0),"")</f>
      </c>
      <c r="Y26" s="202">
        <f>IF($C26,COUNTIFS($G$7:$G$200,$G26,$J$7:$J$200,"&lt;&gt;Completado",$J$7:$J$200,"&lt;&gt;"),"")</f>
      </c>
      <c r="Z26" s="202">
        <f>IF($C26,AND($I26=0,'Proyecto Datos (OKR´s)'!$K26&lt;=TODAY(),$J26&lt;&gt;"Completado"),"")</f>
      </c>
      <c r="AA26" s="202">
        <f>IF($C26,ROUND(100*(0.35*$AK26+0.3*$AL26+0.2*$AM26+0.15*MEDIAN(0,($Y26-4)/8,1)),0),"")</f>
      </c>
      <c r="AB26" s="203">
        <f>IF($C26,IF(OR($J26="Completado",$J26="Sin fecha"),"—",IF($AA26&gt;=70,"Crítica",IF($AA26&gt;=45,"Alta",IF($AA26&gt;=25,"Media","Baja")))),"")</f>
      </c>
      <c r="AC26" s="203">
        <f>IF($C26,IF(LEN(TRIM($AN26))=0,"—",TRIM($AN26)),"")</f>
      </c>
      <c r="AD26" s="202">
        <f>IF($C26,$AV26,"")</f>
      </c>
      <c r="AE26" s="202">
        <f>IF($C26,$AZ26,"")</f>
      </c>
      <c r="AF26" s="202" t="b">
        <f>IF($C26,$AV26&lt;&gt;$AR26,FALSE)</f>
        <v>0</v>
      </c>
      <c r="AG26" s="202">
        <f>IF($C26,IF($AV26&lt;&gt;$AR26,$AW26,""),"")</f>
      </c>
      <c r="AH26" s="203">
        <f>IF($C26,IF(ISBLANK('Backlog General'!$K26),"",'Backlog General'!$K26),"")</f>
      </c>
      <c r="AI26" s="202">
        <f>IF($C26,$AV26*100000+ROW(),"")</f>
      </c>
      <c r="AJ26" s="202">
        <f>IF(AND($C26,ISNUMBER($H26)),$AA26*1000000-MEDIAN(-9999,$K26,9999)*100+(300-ROW()),"")</f>
      </c>
      <c r="AK26" s="202">
        <f>IF($C26,IF($J26="Completado",0,IF($K26&lt;0,1,IF($K26&lt;=3,0.9,IF($K26&lt;=7,0.7,IF($K26&lt;=14,0.45,0.2))))),"")</f>
      </c>
      <c r="AL26" s="202">
        <f>IF($C26,IF($J26="Completado",0,MEDIAN(0,MAX(-$V26,$W26/30),1)),"")</f>
      </c>
      <c r="AM26" s="202">
        <f>IF($C26,IF($J26="Completado",0,IF($Z26,1,IF(AND($I26&lt;0.5,$K26&lt;=7),0.7,0.3))),"")</f>
      </c>
      <c r="AN26" s="203">
        <f>IF($C26,IF(OR($V26&lt;-0.2,$W26&gt;0),"ATRASO ","")&amp;IF($Z26,"BLOQUEO ","")&amp;IF($Y26&gt;8,"SOBRECARGA ","")&amp;IF($X26&gt;0,"DESVÍO-PLAN ",""),"")</f>
      </c>
      <c r="AO26" s="203">
        <f>IF($C26,IFERROR(VLOOKUP($D26,'Sprints'!$I$5:$J$12,2,FALSE),"Semanal"),"")</f>
      </c>
      <c r="AP26" s="202">
        <f>IF($C26,IFERROR(VLOOKUP($AO26,'Sprints'!$B$9:$C$11,2,FALSE),1),"")</f>
      </c>
      <c r="AQ26" s="202">
        <f>IF($C26,'Sprints'!$C$5,"")</f>
      </c>
      <c r="AR26" s="202">
        <f>IF(AND($C26,ISNUMBER($H26)),CEILING(MAX(1,INT(($H26-$AQ26+'Sprints'!$D$5-1)/'Sprints'!$D$5)+1)/$AP26,1),"")</f>
      </c>
      <c r="AS26" s="202">
        <f>IF($C26,CEILING(MAX(1,INT((TODAY()-$AQ26+'Sprints'!$D$5-1)/'Sprints'!$D$5)+1)/$AP26,1),"")</f>
      </c>
      <c r="AT26" s="203">
        <f>IF($C26,'Backlog General'!$G26,"")</f>
      </c>
      <c r="AU26" s="203">
        <f>IF($C26,'Backlog General'!$H26,"")</f>
      </c>
      <c r="AV26" s="202">
        <f>IF(AND($C26,ISNUMBER($AR26)),IF(OR($AT26="Completo",$AU26="Cancelado",$AU26="Baja prioridad"),$AR26,IF($AU26="Pasa al siguiente",MAX($AR26+1,$AS26),MAX($AR26,$AS26))),"")</f>
      </c>
      <c r="AW26" s="202">
        <f>IF(AND($C26,ISNUMBER($AR26)),$AQ26+$AR26*$AP26*'Sprints'!$D$5-'Sprints'!$D$5,"")</f>
      </c>
      <c r="AX26" s="202">
        <f>IF($C26,IF(OR($AT26="Completo",$AU26="Cancelado",$AU26="Baja prioridad",NOT(ISNUMBER($AW26))),0,IF(TODAY()&gt;$AW26,NETWORKDAYS($AW26,TODAY(),'Sprints'!$L$5:$L$40)-1,0)),"")</f>
      </c>
      <c r="AY26" s="203">
        <f>IF($C26,IF(NOT(ISNUMBER($AR26)),"Sin fecha",IF($AT26="Completo","Completo",IF($AU26="Cancelado","Cancelado",IF($AU26="Baja prioridad","Baja prioridad",IF($AX26&gt;0,"Vencida","Pendiente"))))),"")</f>
      </c>
      <c r="AZ26" s="203">
        <f>IF($C26,IF(ISNUMBER($AV26),$AO26&amp;" · S"&amp;$AV26,"(Sin fecha)"),"")</f>
      </c>
      <c r="BA26" s="202">
        <f>IF($C26,IF(AND(ISNUMBER('Backlog General'!$M26),'Backlog General'!$M26=$AS26),"Nuevo S"&amp;'Backlog General'!$M26,""),"")</f>
      </c>
      <c r="BB26" s="202">
        <f>IF(AND($C26,$AO26="Semanal",ISNUMBER($AV26)),$AV26*100000+ROW(),"")</f>
      </c>
      <c r="BC26" s="202">
        <f>IF(AND($C26,$AO26="Quincenal",ISNUMBER($AV26)),$AV26*100000+ROW(),"")</f>
      </c>
      <c r="BD26" s="202">
        <f>IF(AND($C26,$AO26="Mensual",ISNUMBER($AV26)),$AV26*100000+ROW(),"")</f>
      </c>
      <c r="BE26" s="203">
        <f>IF($C26,IF(ISBLANK('Backlog General'!$J26),"",'Backlog General'!$J26),"")</f>
      </c>
      <c r="BF26" s="203">
        <f>IF($C26,IF($BE26="","",$BE26)&amp;IF(AND($BE26&lt;&gt;"",$AH26&lt;&gt;"")," · ","")&amp;IF($AH26="","",$AH26),"")</f>
      </c>
      <c r="BG26" s="203">
        <f>IF($C26,IF($J26="Completado","Sí","No"),"")</f>
      </c>
      <c r="BH26" s="202">
        <f>IF(AND($C26,ISNUMBER($AR26)),IF($AO26="Semanal",1,IF($AO26="Quincenal",2,3))*1000000000+$AR26*100000+ROW(),"")</f>
      </c>
    </row>
    <row r="27">
      <c r="A27" s="202">
        <f>ROW()</f>
        <v>27</v>
      </c>
      <c r="B27" s="202" t="b">
        <f>ISTEXT('Proyecto Datos (OKR´s)'!$K27)</f>
        <v>1</v>
      </c>
      <c r="C27" s="202" t="b">
        <f>AND(LEN('Proyecto Datos (OKR´s)'!$G27)&gt;0,NOT($B27),OR(ISNUMBER('Proyecto Datos (OKR´s)'!$F27),ISNUMBER('Proyecto Datos (OKR´s)'!$L27)))</f>
        <v>0</v>
      </c>
      <c r="D27" s="203">
        <f>IF($C27,IFERROR(LOOKUP(2,1/((ISTEXT('Proyecto Datos (OKR´s)'!$K$7:$K27))*(LEN('Proyecto Datos (OKR´s)'!$G$7:$G27)&gt;0)),'Proyecto Datos (OKR´s)'!$G$7:$G27),""),"")</f>
      </c>
      <c r="E27" s="202">
        <f>IF($C27,'Proyecto Datos (OKR´s)'!$E27,"")</f>
      </c>
      <c r="F27" s="203">
        <f>IF($C27,'Proyecto Datos (OKR´s)'!$G27,"")</f>
      </c>
      <c r="G27" s="203">
        <f>IF($C27,IF('Proyecto Datos (OKR´s)'!$I27="","(Sin asignar)",'Proyecto Datos (OKR´s)'!$I27),"")</f>
      </c>
      <c r="H27" s="202">
        <f>IF($C27,IF(ISNUMBER('Proyecto Datos (OKR´s)'!$F27),'Proyecto Datos (OKR´s)'!$F27,""),"")</f>
      </c>
      <c r="I27" s="202">
        <f>IF($C27,'Proyecto Datos (OKR´s)'!$J27,"")</f>
      </c>
      <c r="J27" s="203">
        <f>IF($C27,IF($I27&gt;=1,"Completado",IF(NOT(ISNUMBER($H27)),"Sin fecha",IF($H27&lt;TODAY(),"Vencido",IF(($H27-TODAY())&lt;='Entregas Próximas'!$M$3,"Próximo a vencer","En curso")))),"")</f>
      </c>
      <c r="K27" s="202">
        <f>IF(AND($C27,ISNUMBER($H27)),$H27-TODAY(),"")</f>
      </c>
      <c r="L27" s="202">
        <f>IF(AND($C27,ISNUMBER($H27)),$AD27*1000000+$H27+ROW()/100000,"")</f>
      </c>
      <c r="M27" s="202">
        <f>IF($C27,IF($AD27=9999,"(Sin sprint)",$AD27),"")</f>
      </c>
      <c r="N27" s="202">
        <f>IF($C27,IF('Proyecto Datos (OKR´s)'!$E27="",9999,'Proyecto Datos (OKR´s)'!$E27),"")</f>
      </c>
      <c r="O27" s="202">
        <f>IF($C27,"T"&amp;TEXT(ROW(),"000"),"")</f>
      </c>
      <c r="P27" s="202">
        <f>ROW()-6</f>
        <v>21</v>
      </c>
      <c r="Q27" s="202">
        <f>IF(COUNTIF($AD$7:$AD$200,$P27)&gt;0,$P27,"")</f>
      </c>
      <c r="R27" s="202">
        <f>IF($C27,IF(ISNUMBER('Proyecto Datos (OKR´s)'!$L27),'Proyecto Datos (OKR´s)'!$L27,$H27),"")</f>
      </c>
      <c r="S27" s="202">
        <f>IF($C27,$R27-'Proyecto Datos (OKR´s)'!$K27+1,"")</f>
      </c>
      <c r="T27" s="202">
        <f>IF($C27,MAX(0,TODAY()-'Proyecto Datos (OKR´s)'!$K27),"")</f>
      </c>
      <c r="U27" s="202">
        <f>IF($C27,MEDIAN(0,(TODAY()-'Proyecto Datos (OKR´s)'!$K27)/MAX(1,$R27-'Proyecto Datos (OKR´s)'!$K27),1),"")</f>
      </c>
      <c r="V27" s="202">
        <f>IF($C27,$I27-$U27,"")</f>
      </c>
      <c r="W27" s="202">
        <f>IF($C27,IF(OR($J27="Completado",NOT(ISNUMBER($H27))),0,MAX(0,TODAY()-$H27)),"")</f>
      </c>
      <c r="X27" s="202">
        <f>IF($C27,IF(ISNUMBER($H27),$R27-$H27,0),"")</f>
      </c>
      <c r="Y27" s="202">
        <f>IF($C27,COUNTIFS($G$7:$G$200,$G27,$J$7:$J$200,"&lt;&gt;Completado",$J$7:$J$200,"&lt;&gt;"),"")</f>
      </c>
      <c r="Z27" s="202">
        <f>IF($C27,AND($I27=0,'Proyecto Datos (OKR´s)'!$K27&lt;=TODAY(),$J27&lt;&gt;"Completado"),"")</f>
      </c>
      <c r="AA27" s="202">
        <f>IF($C27,ROUND(100*(0.35*$AK27+0.3*$AL27+0.2*$AM27+0.15*MEDIAN(0,($Y27-4)/8,1)),0),"")</f>
      </c>
      <c r="AB27" s="203">
        <f>IF($C27,IF(OR($J27="Completado",$J27="Sin fecha"),"—",IF($AA27&gt;=70,"Crítica",IF($AA27&gt;=45,"Alta",IF($AA27&gt;=25,"Media","Baja")))),"")</f>
      </c>
      <c r="AC27" s="203">
        <f>IF($C27,IF(LEN(TRIM($AN27))=0,"—",TRIM($AN27)),"")</f>
      </c>
      <c r="AD27" s="202">
        <f>IF($C27,$AV27,"")</f>
      </c>
      <c r="AE27" s="202">
        <f>IF($C27,$AZ27,"")</f>
      </c>
      <c r="AF27" s="202" t="b">
        <f>IF($C27,$AV27&lt;&gt;$AR27,FALSE)</f>
        <v>0</v>
      </c>
      <c r="AG27" s="202">
        <f>IF($C27,IF($AV27&lt;&gt;$AR27,$AW27,""),"")</f>
      </c>
      <c r="AH27" s="203">
        <f>IF($C27,IF(ISBLANK('Backlog General'!$K27),"",'Backlog General'!$K27),"")</f>
      </c>
      <c r="AI27" s="202">
        <f>IF($C27,$AV27*100000+ROW(),"")</f>
      </c>
      <c r="AJ27" s="202">
        <f>IF(AND($C27,ISNUMBER($H27)),$AA27*1000000-MEDIAN(-9999,$K27,9999)*100+(300-ROW()),"")</f>
      </c>
      <c r="AK27" s="202">
        <f>IF($C27,IF($J27="Completado",0,IF($K27&lt;0,1,IF($K27&lt;=3,0.9,IF($K27&lt;=7,0.7,IF($K27&lt;=14,0.45,0.2))))),"")</f>
      </c>
      <c r="AL27" s="202">
        <f>IF($C27,IF($J27="Completado",0,MEDIAN(0,MAX(-$V27,$W27/30),1)),"")</f>
      </c>
      <c r="AM27" s="202">
        <f>IF($C27,IF($J27="Completado",0,IF($Z27,1,IF(AND($I27&lt;0.5,$K27&lt;=7),0.7,0.3))),"")</f>
      </c>
      <c r="AN27" s="203">
        <f>IF($C27,IF(OR($V27&lt;-0.2,$W27&gt;0),"ATRASO ","")&amp;IF($Z27,"BLOQUEO ","")&amp;IF($Y27&gt;8,"SOBRECARGA ","")&amp;IF($X27&gt;0,"DESVÍO-PLAN ",""),"")</f>
      </c>
      <c r="AO27" s="203">
        <f>IF($C27,IFERROR(VLOOKUP($D27,'Sprints'!$I$5:$J$12,2,FALSE),"Semanal"),"")</f>
      </c>
      <c r="AP27" s="202">
        <f>IF($C27,IFERROR(VLOOKUP($AO27,'Sprints'!$B$9:$C$11,2,FALSE),1),"")</f>
      </c>
      <c r="AQ27" s="202">
        <f>IF($C27,'Sprints'!$C$5,"")</f>
      </c>
      <c r="AR27" s="202">
        <f>IF(AND($C27,ISNUMBER($H27)),CEILING(MAX(1,INT(($H27-$AQ27+'Sprints'!$D$5-1)/'Sprints'!$D$5)+1)/$AP27,1),"")</f>
      </c>
      <c r="AS27" s="202">
        <f>IF($C27,CEILING(MAX(1,INT((TODAY()-$AQ27+'Sprints'!$D$5-1)/'Sprints'!$D$5)+1)/$AP27,1),"")</f>
      </c>
      <c r="AT27" s="203">
        <f>IF($C27,'Backlog General'!$G27,"")</f>
      </c>
      <c r="AU27" s="203">
        <f>IF($C27,'Backlog General'!$H27,"")</f>
      </c>
      <c r="AV27" s="202">
        <f>IF(AND($C27,ISNUMBER($AR27)),IF(OR($AT27="Completo",$AU27="Cancelado",$AU27="Baja prioridad"),$AR27,IF($AU27="Pasa al siguiente",MAX($AR27+1,$AS27),MAX($AR27,$AS27))),"")</f>
      </c>
      <c r="AW27" s="202">
        <f>IF(AND($C27,ISNUMBER($AR27)),$AQ27+$AR27*$AP27*'Sprints'!$D$5-'Sprints'!$D$5,"")</f>
      </c>
      <c r="AX27" s="202">
        <f>IF($C27,IF(OR($AT27="Completo",$AU27="Cancelado",$AU27="Baja prioridad",NOT(ISNUMBER($AW27))),0,IF(TODAY()&gt;$AW27,NETWORKDAYS($AW27,TODAY(),'Sprints'!$L$5:$L$40)-1,0)),"")</f>
      </c>
      <c r="AY27" s="203">
        <f>IF($C27,IF(NOT(ISNUMBER($AR27)),"Sin fecha",IF($AT27="Completo","Completo",IF($AU27="Cancelado","Cancelado",IF($AU27="Baja prioridad","Baja prioridad",IF($AX27&gt;0,"Vencida","Pendiente"))))),"")</f>
      </c>
      <c r="AZ27" s="203">
        <f>IF($C27,IF(ISNUMBER($AV27),$AO27&amp;" · S"&amp;$AV27,"(Sin fecha)"),"")</f>
      </c>
      <c r="BA27" s="202">
        <f>IF($C27,IF(AND(ISNUMBER('Backlog General'!$M27),'Backlog General'!$M27=$AS27),"Nuevo S"&amp;'Backlog General'!$M27,""),"")</f>
      </c>
      <c r="BB27" s="202">
        <f>IF(AND($C27,$AO27="Semanal",ISNUMBER($AV27)),$AV27*100000+ROW(),"")</f>
      </c>
      <c r="BC27" s="202">
        <f>IF(AND($C27,$AO27="Quincenal",ISNUMBER($AV27)),$AV27*100000+ROW(),"")</f>
      </c>
      <c r="BD27" s="202">
        <f>IF(AND($C27,$AO27="Mensual",ISNUMBER($AV27)),$AV27*100000+ROW(),"")</f>
      </c>
      <c r="BE27" s="203">
        <f>IF($C27,IF(ISBLANK('Backlog General'!$J27),"",'Backlog General'!$J27),"")</f>
      </c>
      <c r="BF27" s="203">
        <f>IF($C27,IF($BE27="","",$BE27)&amp;IF(AND($BE27&lt;&gt;"",$AH27&lt;&gt;"")," · ","")&amp;IF($AH27="","",$AH27),"")</f>
      </c>
      <c r="BG27" s="203">
        <f>IF($C27,IF($J27="Completado","Sí","No"),"")</f>
      </c>
      <c r="BH27" s="202">
        <f>IF(AND($C27,ISNUMBER($AR27)),IF($AO27="Semanal",1,IF($AO27="Quincenal",2,3))*1000000000+$AR27*100000+ROW(),"")</f>
      </c>
    </row>
    <row r="28">
      <c r="A28" s="202">
        <f>ROW()</f>
        <v>28</v>
      </c>
      <c r="B28" s="202" t="b">
        <f>ISTEXT('Proyecto Datos (OKR´s)'!$K28)</f>
        <v>0</v>
      </c>
      <c r="C28" s="202" t="b">
        <f>AND(LEN('Proyecto Datos (OKR´s)'!$G28)&gt;0,NOT($B28),OR(ISNUMBER('Proyecto Datos (OKR´s)'!$F28),ISNUMBER('Proyecto Datos (OKR´s)'!$L28)))</f>
        <v>1</v>
      </c>
      <c r="D28" s="203" t="str">
        <f>IF($C28,IFERROR(LOOKUP(2,1/((ISTEXT('Proyecto Datos (OKR´s)'!$K$7:$K28))*(LEN('Proyecto Datos (OKR´s)'!$G$7:$G28)&gt;0)),'Proyecto Datos (OKR´s)'!$G$7:$G28),""),"")</f>
        <v>4- Tablero BI DEUDA</v>
      </c>
      <c r="E28" s="202">
        <f>IF($C28,'Proyecto Datos (OKR´s)'!$E28,"")</f>
        <v>1</v>
      </c>
      <c r="F28" s="203" t="str">
        <f>IF($C28,'Proyecto Datos (OKR´s)'!$G28,"")</f>
        <v>Procedimiento</v>
      </c>
      <c r="G28" s="203" t="str">
        <f>IF($C28,IF('Proyecto Datos (OKR´s)'!$I28="","(Sin asignar)",'Proyecto Datos (OKR´s)'!$I28),"")</f>
        <v>Santiago Alonso</v>
      </c>
      <c r="H28" s="202">
        <f>IF($C28,IF(ISNUMBER('Proyecto Datos (OKR´s)'!$F28),'Proyecto Datos (OKR´s)'!$F28,""),"")</f>
        <v>46188</v>
      </c>
      <c r="I28" s="202">
        <f>IF($C28,'Proyecto Datos (OKR´s)'!$J28,"")</f>
        <v>0.9</v>
      </c>
      <c r="J28" s="203" t="str">
        <f>IF($C28,IF($I28&gt;=1,"Completado",IF(NOT(ISNUMBER($H28)),"Sin fecha",IF($H28&lt;TODAY(),"Vencido",IF(($H28-TODAY())&lt;='Entregas Próximas'!$M$3,"Próximo a vencer","En curso")))),"")</f>
        <v>Vencido</v>
      </c>
      <c r="K28" s="202">
        <f>IF(AND($C28,ISNUMBER($H28)),$H28-TODAY(),"")</f>
        <v>-8</v>
      </c>
      <c r="L28" s="202">
        <f>IF(AND($C28,ISNUMBER($H28)),$AD28*1000000+$H28+ROW()/100000,"")</f>
        <v>2046188.00028</v>
      </c>
      <c r="M28" s="202">
        <f>IF($C28,IF($AD28=9999,"(Sin sprint)",$AD28),"")</f>
        <v>2</v>
      </c>
      <c r="N28" s="202">
        <f>IF($C28,IF('Proyecto Datos (OKR´s)'!$E28="",9999,'Proyecto Datos (OKR´s)'!$E28),"")</f>
        <v>1</v>
      </c>
      <c r="O28" s="202" t="str">
        <f>IF($C28,"T"&amp;TEXT(ROW(),"000"),"")</f>
        <v>T028</v>
      </c>
      <c r="P28" s="202">
        <f>ROW()-6</f>
        <v>22</v>
      </c>
      <c r="Q28" s="202">
        <f>IF(COUNTIF($AD$7:$AD$200,$P28)&gt;0,$P28,"")</f>
      </c>
      <c r="R28" s="202">
        <f>IF($C28,IF(ISNUMBER('Proyecto Datos (OKR´s)'!$L28),'Proyecto Datos (OKR´s)'!$L28,$H28),"")</f>
        <v>46188</v>
      </c>
      <c r="S28" s="202">
        <f>IF($C28,$R28-'Proyecto Datos (OKR´s)'!$K28+1,"")</f>
        <v>8</v>
      </c>
      <c r="T28" s="202">
        <f>IF($C28,MAX(0,TODAY()-'Proyecto Datos (OKR´s)'!$K28),"")</f>
        <v>15</v>
      </c>
      <c r="U28" s="202">
        <f>IF($C28,MEDIAN(0,(TODAY()-'Proyecto Datos (OKR´s)'!$K28)/MAX(1,$R28-'Proyecto Datos (OKR´s)'!$K28),1),"")</f>
        <v>1</v>
      </c>
      <c r="V28" s="202">
        <f>IF($C28,$I28-$U28,"")</f>
        <v>-0.09999999999999998</v>
      </c>
      <c r="W28" s="202">
        <f>IF($C28,IF(OR($J28="Completado",NOT(ISNUMBER($H28))),0,MAX(0,TODAY()-$H28)),"")</f>
        <v>8</v>
      </c>
      <c r="X28" s="202">
        <f>IF($C28,IF(ISNUMBER($H28),$R28-$H28,0),"")</f>
        <v>0</v>
      </c>
      <c r="Y28" s="202">
        <f>IF($C28,COUNTIFS($G$7:$G$200,$G28,$J$7:$J$200,"&lt;&gt;Completado",$J$7:$J$200,"&lt;&gt;"),"")</f>
        <v>0</v>
      </c>
      <c r="Z28" s="202" t="b">
        <f>IF($C28,AND($I28=0,'Proyecto Datos (OKR´s)'!$K28&lt;=TODAY(),$J28&lt;&gt;"Completado"),"")</f>
        <v>0</v>
      </c>
      <c r="AA28" s="202">
        <f>IF($C28,ROUND(100*(0.35*$AK28+0.3*$AL28+0.2*$AM28+0.15*MEDIAN(0,($Y28-4)/8,1)),0),"")</f>
        <v>49</v>
      </c>
      <c r="AB28" s="203" t="str">
        <f>IF($C28,IF(OR($J28="Completado",$J28="Sin fecha"),"—",IF($AA28&gt;=70,"Crítica",IF($AA28&gt;=45,"Alta",IF($AA28&gt;=25,"Media","Baja")))),"")</f>
        <v>Alta</v>
      </c>
      <c r="AC28" s="203" t="str">
        <f>IF($C28,IF(LEN(TRIM($AN28))=0,"—",TRIM($AN28)),"")</f>
        <v>ATRASO</v>
      </c>
      <c r="AD28" s="202">
        <f>IF($C28,$AV28,"")</f>
        <v>2</v>
      </c>
      <c r="AE28" s="202" t="str">
        <f>IF($C28,$AZ28,"")</f>
        <v>Semanal · S2</v>
      </c>
      <c r="AF28" s="202" t="b">
        <f>IF($C28,$AV28&lt;&gt;$AR28,FALSE)</f>
        <v>1</v>
      </c>
      <c r="AG28" s="202">
        <f>IF($C28,IF($AV28&lt;&gt;$AR28,$AW28,""),"")</f>
        <v>46192</v>
      </c>
      <c r="AH28" s="203">
        <f>IF($C28,IF(ISBLANK('Backlog General'!$K28),"",'Backlog General'!$K28),"")</f>
      </c>
      <c r="AI28" s="202">
        <f>IF($C28,$AV28*100000+ROW(),"")</f>
        <v>200028</v>
      </c>
      <c r="AJ28" s="202">
        <f>IF(AND($C28,ISNUMBER($H28)),$AA28*1000000-MEDIAN(-9999,$K28,9999)*100+(300-ROW()),"")</f>
        <v>49001072</v>
      </c>
      <c r="AK28" s="202">
        <f>IF($C28,IF($J28="Completado",0,IF($K28&lt;0,1,IF($K28&lt;=3,0.9,IF($K28&lt;=7,0.7,IF($K28&lt;=14,0.45,0.2))))),"")</f>
        <v>1</v>
      </c>
      <c r="AL28" s="202">
        <f>IF($C28,IF($J28="Completado",0,MEDIAN(0,MAX(-$V28,$W28/30),1)),"")</f>
        <v>0.26666666666666666</v>
      </c>
      <c r="AM28" s="202">
        <f>IF($C28,IF($J28="Completado",0,IF($Z28,1,IF(AND($I28&lt;0.5,$K28&lt;=7),0.7,0.3))),"")</f>
        <v>0.3</v>
      </c>
      <c r="AN28" s="203" t="str">
        <f>IF($C28,IF(OR($V28&lt;-0.2,$W28&gt;0),"ATRASO ","")&amp;IF($Z28,"BLOQUEO ","")&amp;IF($Y28&gt;8,"SOBRECARGA ","")&amp;IF($X28&gt;0,"DESVÍO-PLAN ",""),"")</f>
        <v>ATRASO </v>
      </c>
      <c r="AO28" s="203" t="str">
        <f>IF($C28,IFERROR(VLOOKUP($D28,'Sprints'!$I$5:$J$12,2,FALSE),"Semanal"),"")</f>
        <v>Semanal</v>
      </c>
      <c r="AP28" s="202">
        <f>IF($C28,IFERROR(VLOOKUP($AO28,'Sprints'!$B$9:$C$11,2,FALSE),1),"")</f>
        <v>1</v>
      </c>
      <c r="AQ28" s="202">
        <f>IF($C28,'Sprints'!$C$5,"")</f>
        <v>46192</v>
      </c>
      <c r="AR28" s="202">
        <f>IF(AND($C28,ISNUMBER($H28)),CEILING(MAX(1,INT(($H28-$AQ28+'Sprints'!$D$5-1)/'Sprints'!$D$5)+1)/$AP28,1),"")</f>
        <v>1</v>
      </c>
      <c r="AS28" s="202">
        <f>IF($C28,CEILING(MAX(1,INT((TODAY()-$AQ28+'Sprints'!$D$5-1)/'Sprints'!$D$5)+1)/$AP28,1),"")</f>
        <v>2</v>
      </c>
      <c r="AT28" s="203">
        <f>IF($C28,'Backlog General'!$G28,"")</f>
        <v>0</v>
      </c>
      <c r="AU28" s="203">
        <f>IF($C28,'Backlog General'!$H28,"")</f>
        <v>0</v>
      </c>
      <c r="AV28" s="202">
        <f>IF(AND($C28,ISNUMBER($AR28)),IF(OR($AT28="Completo",$AU28="Cancelado",$AU28="Baja prioridad"),$AR28,IF($AU28="Pasa al siguiente",MAX($AR28+1,$AS28),MAX($AR28,$AS28))),"")</f>
        <v>2</v>
      </c>
      <c r="AW28" s="202">
        <f>IF(AND($C28,ISNUMBER($AR28)),$AQ28+$AR28*$AP28*'Sprints'!$D$5-'Sprints'!$D$5,"")</f>
        <v>46192</v>
      </c>
      <c r="AX28" s="202">
        <f>IF($C28,IF(OR($AT28="Completo",$AU28="Cancelado",$AU28="Baja prioridad",NOT(ISNUMBER($AW28))),0,IF(TODAY()&gt;$AW28,NETWORKDAYS($AW28,TODAY(),'Sprints'!$L$5:$L$40)-1,0)),"")</f>
        <v>2</v>
      </c>
      <c r="AY28" s="203" t="str">
        <f>IF($C28,IF(NOT(ISNUMBER($AR28)),"Sin fecha",IF($AT28="Completo","Completo",IF($AU28="Cancelado","Cancelado",IF($AU28="Baja prioridad","Baja prioridad",IF($AX28&gt;0,"Vencida","Pendiente"))))),"")</f>
        <v>Vencida</v>
      </c>
      <c r="AZ28" s="203" t="str">
        <f>IF($C28,IF(ISNUMBER($AV28),$AO28&amp;" · S"&amp;$AV28,"(Sin fecha)"),"")</f>
        <v>Semanal · S2</v>
      </c>
      <c r="BA28" s="202">
        <f>IF($C28,IF(AND(ISNUMBER('Backlog General'!$M28),'Backlog General'!$M28=$AS28),"Nuevo S"&amp;'Backlog General'!$M28,""),"")</f>
      </c>
      <c r="BB28" s="202">
        <f>IF(AND($C28,$AO28="Semanal",ISNUMBER($AV28)),$AV28*100000+ROW(),"")</f>
        <v>200028</v>
      </c>
      <c r="BC28" s="202">
        <f>IF(AND($C28,$AO28="Quincenal",ISNUMBER($AV28)),$AV28*100000+ROW(),"")</f>
      </c>
      <c r="BD28" s="202">
        <f>IF(AND($C28,$AO28="Mensual",ISNUMBER($AV28)),$AV28*100000+ROW(),"")</f>
      </c>
      <c r="BE28" s="203">
        <f>IF($C28,IF(ISBLANK('Backlog General'!$J28),"",'Backlog General'!$J28),"")</f>
      </c>
      <c r="BF28" s="203">
        <f>IF($C28,IF($BE28="","",$BE28)&amp;IF(AND($BE28&lt;&gt;"",$AH28&lt;&gt;"")," · ","")&amp;IF($AH28="","",$AH28),"")</f>
      </c>
      <c r="BG28" s="203" t="str">
        <f>IF($C28,IF($J28="Completado","Sí","No"),"")</f>
        <v>No</v>
      </c>
      <c r="BH28" s="202">
        <f>IF(AND($C28,ISNUMBER($AR28)),IF($AO28="Semanal",1,IF($AO28="Quincenal",2,3))*1000000000+$AR28*100000+ROW(),"")</f>
        <v>1000100028</v>
      </c>
    </row>
    <row r="29">
      <c r="A29" s="202">
        <f>ROW()</f>
        <v>29</v>
      </c>
      <c r="B29" s="202" t="b">
        <f>ISTEXT('Proyecto Datos (OKR´s)'!$K29)</f>
        <v>0</v>
      </c>
      <c r="C29" s="202" t="b">
        <f>AND(LEN('Proyecto Datos (OKR´s)'!$G29)&gt;0,NOT($B29),OR(ISNUMBER('Proyecto Datos (OKR´s)'!$F29),ISNUMBER('Proyecto Datos (OKR´s)'!$L29)))</f>
        <v>1</v>
      </c>
      <c r="D29" s="203" t="str">
        <f>IF($C29,IFERROR(LOOKUP(2,1/((ISTEXT('Proyecto Datos (OKR´s)'!$K$7:$K29))*(LEN('Proyecto Datos (OKR´s)'!$G$7:$G29)&gt;0)),'Proyecto Datos (OKR´s)'!$G$7:$G29),""),"")</f>
        <v>4- Tablero BI DEUDA</v>
      </c>
      <c r="E29" s="202">
        <f>IF($C29,'Proyecto Datos (OKR´s)'!$E29,"")</f>
        <v>1</v>
      </c>
      <c r="F29" s="203" t="str">
        <f>IF($C29,'Proyecto Datos (OKR´s)'!$G29,"")</f>
        <v>Aging - desde SharePoint</v>
      </c>
      <c r="G29" s="203" t="str">
        <f>IF($C29,IF('Proyecto Datos (OKR´s)'!$I29="","(Sin asignar)",'Proyecto Datos (OKR´s)'!$I29),"")</f>
        <v>Santiago Alonso</v>
      </c>
      <c r="H29" s="202">
        <f>IF($C29,IF(ISNUMBER('Proyecto Datos (OKR´s)'!$F29),'Proyecto Datos (OKR´s)'!$F29,""),"")</f>
        <v>46188</v>
      </c>
      <c r="I29" s="202">
        <f>IF($C29,'Proyecto Datos (OKR´s)'!$J29,"")</f>
        <v>0.9</v>
      </c>
      <c r="J29" s="203" t="str">
        <f>IF($C29,IF($I29&gt;=1,"Completado",IF(NOT(ISNUMBER($H29)),"Sin fecha",IF($H29&lt;TODAY(),"Vencido",IF(($H29-TODAY())&lt;='Entregas Próximas'!$M$3,"Próximo a vencer","En curso")))),"")</f>
        <v>Vencido</v>
      </c>
      <c r="K29" s="202">
        <f>IF(AND($C29,ISNUMBER($H29)),$H29-TODAY(),"")</f>
        <v>-8</v>
      </c>
      <c r="L29" s="202">
        <f>IF(AND($C29,ISNUMBER($H29)),$AD29*1000000+$H29+ROW()/100000,"")</f>
        <v>2046188.00029</v>
      </c>
      <c r="M29" s="202">
        <f>IF($C29,IF($AD29=9999,"(Sin sprint)",$AD29),"")</f>
        <v>2</v>
      </c>
      <c r="N29" s="202">
        <f>IF($C29,IF('Proyecto Datos (OKR´s)'!$E29="",9999,'Proyecto Datos (OKR´s)'!$E29),"")</f>
        <v>1</v>
      </c>
      <c r="O29" s="202" t="str">
        <f>IF($C29,"T"&amp;TEXT(ROW(),"000"),"")</f>
        <v>T029</v>
      </c>
      <c r="P29" s="202">
        <f>ROW()-6</f>
        <v>23</v>
      </c>
      <c r="Q29" s="202">
        <f>IF(COUNTIF($AD$7:$AD$200,$P29)&gt;0,$P29,"")</f>
      </c>
      <c r="R29" s="202">
        <f>IF($C29,IF(ISNUMBER('Proyecto Datos (OKR´s)'!$L29),'Proyecto Datos (OKR´s)'!$L29,$H29),"")</f>
        <v>46188</v>
      </c>
      <c r="S29" s="202">
        <f>IF($C29,$R29-'Proyecto Datos (OKR´s)'!$K29+1,"")</f>
        <v>197</v>
      </c>
      <c r="T29" s="202">
        <f>IF($C29,MAX(0,TODAY()-'Proyecto Datos (OKR´s)'!$K29),"")</f>
        <v>204</v>
      </c>
      <c r="U29" s="202">
        <f>IF($C29,MEDIAN(0,(TODAY()-'Proyecto Datos (OKR´s)'!$K29)/MAX(1,$R29-'Proyecto Datos (OKR´s)'!$K29),1),"")</f>
        <v>1</v>
      </c>
      <c r="V29" s="202">
        <f>IF($C29,$I29-$U29,"")</f>
        <v>-0.09999999999999998</v>
      </c>
      <c r="W29" s="202">
        <f>IF($C29,IF(OR($J29="Completado",NOT(ISNUMBER($H29))),0,MAX(0,TODAY()-$H29)),"")</f>
        <v>8</v>
      </c>
      <c r="X29" s="202">
        <f>IF($C29,IF(ISNUMBER($H29),$R29-$H29,0),"")</f>
        <v>0</v>
      </c>
      <c r="Y29" s="202">
        <f>IF($C29,COUNTIFS($G$7:$G$200,$G29,$J$7:$J$200,"&lt;&gt;Completado",$J$7:$J$200,"&lt;&gt;"),"")</f>
        <v>0</v>
      </c>
      <c r="Z29" s="202" t="b">
        <f>IF($C29,AND($I29=0,'Proyecto Datos (OKR´s)'!$K29&lt;=TODAY(),$J29&lt;&gt;"Completado"),"")</f>
        <v>0</v>
      </c>
      <c r="AA29" s="202">
        <f>IF($C29,ROUND(100*(0.35*$AK29+0.3*$AL29+0.2*$AM29+0.15*MEDIAN(0,($Y29-4)/8,1)),0),"")</f>
        <v>49</v>
      </c>
      <c r="AB29" s="203" t="str">
        <f>IF($C29,IF(OR($J29="Completado",$J29="Sin fecha"),"—",IF($AA29&gt;=70,"Crítica",IF($AA29&gt;=45,"Alta",IF($AA29&gt;=25,"Media","Baja")))),"")</f>
        <v>Alta</v>
      </c>
      <c r="AC29" s="203" t="str">
        <f>IF($C29,IF(LEN(TRIM($AN29))=0,"—",TRIM($AN29)),"")</f>
        <v>ATRASO</v>
      </c>
      <c r="AD29" s="202">
        <f>IF($C29,$AV29,"")</f>
        <v>2</v>
      </c>
      <c r="AE29" s="202" t="str">
        <f>IF($C29,$AZ29,"")</f>
        <v>Semanal · S2</v>
      </c>
      <c r="AF29" s="202" t="b">
        <f>IF($C29,$AV29&lt;&gt;$AR29,FALSE)</f>
        <v>1</v>
      </c>
      <c r="AG29" s="202">
        <f>IF($C29,IF($AV29&lt;&gt;$AR29,$AW29,""),"")</f>
        <v>46192</v>
      </c>
      <c r="AH29" s="203">
        <f>IF($C29,IF(ISBLANK('Backlog General'!$K29),"",'Backlog General'!$K29),"")</f>
      </c>
      <c r="AI29" s="202">
        <f>IF($C29,$AV29*100000+ROW(),"")</f>
        <v>200029</v>
      </c>
      <c r="AJ29" s="202">
        <f>IF(AND($C29,ISNUMBER($H29)),$AA29*1000000-MEDIAN(-9999,$K29,9999)*100+(300-ROW()),"")</f>
        <v>49001071</v>
      </c>
      <c r="AK29" s="202">
        <f>IF($C29,IF($J29="Completado",0,IF($K29&lt;0,1,IF($K29&lt;=3,0.9,IF($K29&lt;=7,0.7,IF($K29&lt;=14,0.45,0.2))))),"")</f>
        <v>1</v>
      </c>
      <c r="AL29" s="202">
        <f>IF($C29,IF($J29="Completado",0,MEDIAN(0,MAX(-$V29,$W29/30),1)),"")</f>
        <v>0.26666666666666666</v>
      </c>
      <c r="AM29" s="202">
        <f>IF($C29,IF($J29="Completado",0,IF($Z29,1,IF(AND($I29&lt;0.5,$K29&lt;=7),0.7,0.3))),"")</f>
        <v>0.3</v>
      </c>
      <c r="AN29" s="203" t="str">
        <f>IF($C29,IF(OR($V29&lt;-0.2,$W29&gt;0),"ATRASO ","")&amp;IF($Z29,"BLOQUEO ","")&amp;IF($Y29&gt;8,"SOBRECARGA ","")&amp;IF($X29&gt;0,"DESVÍO-PLAN ",""),"")</f>
        <v>ATRASO </v>
      </c>
      <c r="AO29" s="203" t="str">
        <f>IF($C29,IFERROR(VLOOKUP($D29,'Sprints'!$I$5:$J$12,2,FALSE),"Semanal"),"")</f>
        <v>Semanal</v>
      </c>
      <c r="AP29" s="202">
        <f>IF($C29,IFERROR(VLOOKUP($AO29,'Sprints'!$B$9:$C$11,2,FALSE),1),"")</f>
        <v>1</v>
      </c>
      <c r="AQ29" s="202">
        <f>IF($C29,'Sprints'!$C$5,"")</f>
        <v>46192</v>
      </c>
      <c r="AR29" s="202">
        <f>IF(AND($C29,ISNUMBER($H29)),CEILING(MAX(1,INT(($H29-$AQ29+'Sprints'!$D$5-1)/'Sprints'!$D$5)+1)/$AP29,1),"")</f>
        <v>1</v>
      </c>
      <c r="AS29" s="202">
        <f>IF($C29,CEILING(MAX(1,INT((TODAY()-$AQ29+'Sprints'!$D$5-1)/'Sprints'!$D$5)+1)/$AP29,1),"")</f>
        <v>2</v>
      </c>
      <c r="AT29" s="203">
        <f>IF($C29,'Backlog General'!$G29,"")</f>
        <v>0</v>
      </c>
      <c r="AU29" s="203">
        <f>IF($C29,'Backlog General'!$H29,"")</f>
        <v>0</v>
      </c>
      <c r="AV29" s="202">
        <f>IF(AND($C29,ISNUMBER($AR29)),IF(OR($AT29="Completo",$AU29="Cancelado",$AU29="Baja prioridad"),$AR29,IF($AU29="Pasa al siguiente",MAX($AR29+1,$AS29),MAX($AR29,$AS29))),"")</f>
        <v>2</v>
      </c>
      <c r="AW29" s="202">
        <f>IF(AND($C29,ISNUMBER($AR29)),$AQ29+$AR29*$AP29*'Sprints'!$D$5-'Sprints'!$D$5,"")</f>
        <v>46192</v>
      </c>
      <c r="AX29" s="202">
        <f>IF($C29,IF(OR($AT29="Completo",$AU29="Cancelado",$AU29="Baja prioridad",NOT(ISNUMBER($AW29))),0,IF(TODAY()&gt;$AW29,NETWORKDAYS($AW29,TODAY(),'Sprints'!$L$5:$L$40)-1,0)),"")</f>
        <v>2</v>
      </c>
      <c r="AY29" s="203" t="str">
        <f>IF($C29,IF(NOT(ISNUMBER($AR29)),"Sin fecha",IF($AT29="Completo","Completo",IF($AU29="Cancelado","Cancelado",IF($AU29="Baja prioridad","Baja prioridad",IF($AX29&gt;0,"Vencida","Pendiente"))))),"")</f>
        <v>Vencida</v>
      </c>
      <c r="AZ29" s="203" t="str">
        <f>IF($C29,IF(ISNUMBER($AV29),$AO29&amp;" · S"&amp;$AV29,"(Sin fecha)"),"")</f>
        <v>Semanal · S2</v>
      </c>
      <c r="BA29" s="202">
        <f>IF($C29,IF(AND(ISNUMBER('Backlog General'!$M29),'Backlog General'!$M29=$AS29),"Nuevo S"&amp;'Backlog General'!$M29,""),"")</f>
      </c>
      <c r="BB29" s="202">
        <f>IF(AND($C29,$AO29="Semanal",ISNUMBER($AV29)),$AV29*100000+ROW(),"")</f>
        <v>200029</v>
      </c>
      <c r="BC29" s="202">
        <f>IF(AND($C29,$AO29="Quincenal",ISNUMBER($AV29)),$AV29*100000+ROW(),"")</f>
      </c>
      <c r="BD29" s="202">
        <f>IF(AND($C29,$AO29="Mensual",ISNUMBER($AV29)),$AV29*100000+ROW(),"")</f>
      </c>
      <c r="BE29" s="203">
        <f>IF($C29,IF(ISBLANK('Backlog General'!$J29),"",'Backlog General'!$J29),"")</f>
      </c>
      <c r="BF29" s="203">
        <f>IF($C29,IF($BE29="","",$BE29)&amp;IF(AND($BE29&lt;&gt;"",$AH29&lt;&gt;"")," · ","")&amp;IF($AH29="","",$AH29),"")</f>
      </c>
      <c r="BG29" s="203" t="str">
        <f>IF($C29,IF($J29="Completado","Sí","No"),"")</f>
        <v>No</v>
      </c>
      <c r="BH29" s="202">
        <f>IF(AND($C29,ISNUMBER($AR29)),IF($AO29="Semanal",1,IF($AO29="Quincenal",2,3))*1000000000+$AR29*100000+ROW(),"")</f>
        <v>1000100029</v>
      </c>
    </row>
    <row r="30">
      <c r="A30" s="202">
        <f>ROW()</f>
        <v>30</v>
      </c>
      <c r="B30" s="202" t="b">
        <f>ISTEXT('Proyecto Datos (OKR´s)'!$K30)</f>
        <v>0</v>
      </c>
      <c r="C30" s="202" t="b">
        <f>AND(LEN('Proyecto Datos (OKR´s)'!$G30)&gt;0,NOT($B30),OR(ISNUMBER('Proyecto Datos (OKR´s)'!$F30),ISNUMBER('Proyecto Datos (OKR´s)'!$L30)))</f>
        <v>1</v>
      </c>
      <c r="D30" s="203" t="str">
        <f>IF($C30,IFERROR(LOOKUP(2,1/((ISTEXT('Proyecto Datos (OKR´s)'!$K$7:$K30))*(LEN('Proyecto Datos (OKR´s)'!$G$7:$G30)&gt;0)),'Proyecto Datos (OKR´s)'!$G$7:$G30),""),"")</f>
        <v>4- Tablero BI DEUDA</v>
      </c>
      <c r="E30" s="202">
        <f>IF($C30,'Proyecto Datos (OKR´s)'!$E30,"")</f>
        <v>1</v>
      </c>
      <c r="F30" s="203" t="str">
        <f>IF($C30,'Proyecto Datos (OKR´s)'!$G30,"")</f>
        <v>Dias en Calle - desde SharePoint</v>
      </c>
      <c r="G30" s="203" t="str">
        <f>IF($C30,IF('Proyecto Datos (OKR´s)'!$I30="","(Sin asignar)",'Proyecto Datos (OKR´s)'!$I30),"")</f>
        <v>Santiago Alonso</v>
      </c>
      <c r="H30" s="202">
        <f>IF($C30,IF(ISNUMBER('Proyecto Datos (OKR´s)'!$F30),'Proyecto Datos (OKR´s)'!$F30,""),"")</f>
        <v>46188</v>
      </c>
      <c r="I30" s="202">
        <f>IF($C30,'Proyecto Datos (OKR´s)'!$J30,"")</f>
        <v>0.9</v>
      </c>
      <c r="J30" s="203" t="str">
        <f>IF($C30,IF($I30&gt;=1,"Completado",IF(NOT(ISNUMBER($H30)),"Sin fecha",IF($H30&lt;TODAY(),"Vencido",IF(($H30-TODAY())&lt;='Entregas Próximas'!$M$3,"Próximo a vencer","En curso")))),"")</f>
        <v>Vencido</v>
      </c>
      <c r="K30" s="202">
        <f>IF(AND($C30,ISNUMBER($H30)),$H30-TODAY(),"")</f>
        <v>-8</v>
      </c>
      <c r="L30" s="202">
        <f>IF(AND($C30,ISNUMBER($H30)),$AD30*1000000+$H30+ROW()/100000,"")</f>
        <v>2046188.0003</v>
      </c>
      <c r="M30" s="202">
        <f>IF($C30,IF($AD30=9999,"(Sin sprint)",$AD30),"")</f>
        <v>2</v>
      </c>
      <c r="N30" s="202">
        <f>IF($C30,IF('Proyecto Datos (OKR´s)'!$E30="",9999,'Proyecto Datos (OKR´s)'!$E30),"")</f>
        <v>1</v>
      </c>
      <c r="O30" s="202" t="str">
        <f>IF($C30,"T"&amp;TEXT(ROW(),"000"),"")</f>
        <v>T030</v>
      </c>
      <c r="P30" s="202">
        <f>ROW()-6</f>
        <v>24</v>
      </c>
      <c r="Q30" s="202">
        <f>IF(COUNTIF($AD$7:$AD$200,$P30)&gt;0,$P30,"")</f>
      </c>
      <c r="R30" s="202">
        <f>IF($C30,IF(ISNUMBER('Proyecto Datos (OKR´s)'!$L30),'Proyecto Datos (OKR´s)'!$L30,$H30),"")</f>
        <v>46188</v>
      </c>
      <c r="S30" s="202">
        <f>IF($C30,$R30-'Proyecto Datos (OKR´s)'!$K30+1,"")</f>
        <v>197</v>
      </c>
      <c r="T30" s="202">
        <f>IF($C30,MAX(0,TODAY()-'Proyecto Datos (OKR´s)'!$K30),"")</f>
        <v>204</v>
      </c>
      <c r="U30" s="202">
        <f>IF($C30,MEDIAN(0,(TODAY()-'Proyecto Datos (OKR´s)'!$K30)/MAX(1,$R30-'Proyecto Datos (OKR´s)'!$K30),1),"")</f>
        <v>1</v>
      </c>
      <c r="V30" s="202">
        <f>IF($C30,$I30-$U30,"")</f>
        <v>-0.09999999999999998</v>
      </c>
      <c r="W30" s="202">
        <f>IF($C30,IF(OR($J30="Completado",NOT(ISNUMBER($H30))),0,MAX(0,TODAY()-$H30)),"")</f>
        <v>8</v>
      </c>
      <c r="X30" s="202">
        <f>IF($C30,IF(ISNUMBER($H30),$R30-$H30,0),"")</f>
        <v>0</v>
      </c>
      <c r="Y30" s="202">
        <f>IF($C30,COUNTIFS($G$7:$G$200,$G30,$J$7:$J$200,"&lt;&gt;Completado",$J$7:$J$200,"&lt;&gt;"),"")</f>
        <v>0</v>
      </c>
      <c r="Z30" s="202" t="b">
        <f>IF($C30,AND($I30=0,'Proyecto Datos (OKR´s)'!$K30&lt;=TODAY(),$J30&lt;&gt;"Completado"),"")</f>
        <v>0</v>
      </c>
      <c r="AA30" s="202">
        <f>IF($C30,ROUND(100*(0.35*$AK30+0.3*$AL30+0.2*$AM30+0.15*MEDIAN(0,($Y30-4)/8,1)),0),"")</f>
        <v>49</v>
      </c>
      <c r="AB30" s="203" t="str">
        <f>IF($C30,IF(OR($J30="Completado",$J30="Sin fecha"),"—",IF($AA30&gt;=70,"Crítica",IF($AA30&gt;=45,"Alta",IF($AA30&gt;=25,"Media","Baja")))),"")</f>
        <v>Alta</v>
      </c>
      <c r="AC30" s="203" t="str">
        <f>IF($C30,IF(LEN(TRIM($AN30))=0,"—",TRIM($AN30)),"")</f>
        <v>ATRASO</v>
      </c>
      <c r="AD30" s="202">
        <f>IF($C30,$AV30,"")</f>
        <v>2</v>
      </c>
      <c r="AE30" s="202" t="str">
        <f>IF($C30,$AZ30,"")</f>
        <v>Semanal · S2</v>
      </c>
      <c r="AF30" s="202" t="b">
        <f>IF($C30,$AV30&lt;&gt;$AR30,FALSE)</f>
        <v>1</v>
      </c>
      <c r="AG30" s="202">
        <f>IF($C30,IF($AV30&lt;&gt;$AR30,$AW30,""),"")</f>
        <v>46192</v>
      </c>
      <c r="AH30" s="203">
        <f>IF($C30,IF(ISBLANK('Backlog General'!$K30),"",'Backlog General'!$K30),"")</f>
      </c>
      <c r="AI30" s="202">
        <f>IF($C30,$AV30*100000+ROW(),"")</f>
        <v>200030</v>
      </c>
      <c r="AJ30" s="202">
        <f>IF(AND($C30,ISNUMBER($H30)),$AA30*1000000-MEDIAN(-9999,$K30,9999)*100+(300-ROW()),"")</f>
        <v>49001070</v>
      </c>
      <c r="AK30" s="202">
        <f>IF($C30,IF($J30="Completado",0,IF($K30&lt;0,1,IF($K30&lt;=3,0.9,IF($K30&lt;=7,0.7,IF($K30&lt;=14,0.45,0.2))))),"")</f>
        <v>1</v>
      </c>
      <c r="AL30" s="202">
        <f>IF($C30,IF($J30="Completado",0,MEDIAN(0,MAX(-$V30,$W30/30),1)),"")</f>
        <v>0.26666666666666666</v>
      </c>
      <c r="AM30" s="202">
        <f>IF($C30,IF($J30="Completado",0,IF($Z30,1,IF(AND($I30&lt;0.5,$K30&lt;=7),0.7,0.3))),"")</f>
        <v>0.3</v>
      </c>
      <c r="AN30" s="203" t="str">
        <f>IF($C30,IF(OR($V30&lt;-0.2,$W30&gt;0),"ATRASO ","")&amp;IF($Z30,"BLOQUEO ","")&amp;IF($Y30&gt;8,"SOBRECARGA ","")&amp;IF($X30&gt;0,"DESVÍO-PLAN ",""),"")</f>
        <v>ATRASO </v>
      </c>
      <c r="AO30" s="203" t="str">
        <f>IF($C30,IFERROR(VLOOKUP($D30,'Sprints'!$I$5:$J$12,2,FALSE),"Semanal"),"")</f>
        <v>Semanal</v>
      </c>
      <c r="AP30" s="202">
        <f>IF($C30,IFERROR(VLOOKUP($AO30,'Sprints'!$B$9:$C$11,2,FALSE),1),"")</f>
        <v>1</v>
      </c>
      <c r="AQ30" s="202">
        <f>IF($C30,'Sprints'!$C$5,"")</f>
        <v>46192</v>
      </c>
      <c r="AR30" s="202">
        <f>IF(AND($C30,ISNUMBER($H30)),CEILING(MAX(1,INT(($H30-$AQ30+'Sprints'!$D$5-1)/'Sprints'!$D$5)+1)/$AP30,1),"")</f>
        <v>1</v>
      </c>
      <c r="AS30" s="202">
        <f>IF($C30,CEILING(MAX(1,INT((TODAY()-$AQ30+'Sprints'!$D$5-1)/'Sprints'!$D$5)+1)/$AP30,1),"")</f>
        <v>2</v>
      </c>
      <c r="AT30" s="203">
        <f>IF($C30,'Backlog General'!$G30,"")</f>
        <v>0</v>
      </c>
      <c r="AU30" s="203">
        <f>IF($C30,'Backlog General'!$H30,"")</f>
        <v>0</v>
      </c>
      <c r="AV30" s="202">
        <f>IF(AND($C30,ISNUMBER($AR30)),IF(OR($AT30="Completo",$AU30="Cancelado",$AU30="Baja prioridad"),$AR30,IF($AU30="Pasa al siguiente",MAX($AR30+1,$AS30),MAX($AR30,$AS30))),"")</f>
        <v>2</v>
      </c>
      <c r="AW30" s="202">
        <f>IF(AND($C30,ISNUMBER($AR30)),$AQ30+$AR30*$AP30*'Sprints'!$D$5-'Sprints'!$D$5,"")</f>
        <v>46192</v>
      </c>
      <c r="AX30" s="202">
        <f>IF($C30,IF(OR($AT30="Completo",$AU30="Cancelado",$AU30="Baja prioridad",NOT(ISNUMBER($AW30))),0,IF(TODAY()&gt;$AW30,NETWORKDAYS($AW30,TODAY(),'Sprints'!$L$5:$L$40)-1,0)),"")</f>
        <v>2</v>
      </c>
      <c r="AY30" s="203" t="str">
        <f>IF($C30,IF(NOT(ISNUMBER($AR30)),"Sin fecha",IF($AT30="Completo","Completo",IF($AU30="Cancelado","Cancelado",IF($AU30="Baja prioridad","Baja prioridad",IF($AX30&gt;0,"Vencida","Pendiente"))))),"")</f>
        <v>Vencida</v>
      </c>
      <c r="AZ30" s="203" t="str">
        <f>IF($C30,IF(ISNUMBER($AV30),$AO30&amp;" · S"&amp;$AV30,"(Sin fecha)"),"")</f>
        <v>Semanal · S2</v>
      </c>
      <c r="BA30" s="202">
        <f>IF($C30,IF(AND(ISNUMBER('Backlog General'!$M30),'Backlog General'!$M30=$AS30),"Nuevo S"&amp;'Backlog General'!$M30,""),"")</f>
      </c>
      <c r="BB30" s="202">
        <f>IF(AND($C30,$AO30="Semanal",ISNUMBER($AV30)),$AV30*100000+ROW(),"")</f>
        <v>200030</v>
      </c>
      <c r="BC30" s="202">
        <f>IF(AND($C30,$AO30="Quincenal",ISNUMBER($AV30)),$AV30*100000+ROW(),"")</f>
      </c>
      <c r="BD30" s="202">
        <f>IF(AND($C30,$AO30="Mensual",ISNUMBER($AV30)),$AV30*100000+ROW(),"")</f>
      </c>
      <c r="BE30" s="203">
        <f>IF($C30,IF(ISBLANK('Backlog General'!$J30),"",'Backlog General'!$J30),"")</f>
      </c>
      <c r="BF30" s="203">
        <f>IF($C30,IF($BE30="","",$BE30)&amp;IF(AND($BE30&lt;&gt;"",$AH30&lt;&gt;"")," · ","")&amp;IF($AH30="","",$AH30),"")</f>
      </c>
      <c r="BG30" s="203" t="str">
        <f>IF($C30,IF($J30="Completado","Sí","No"),"")</f>
        <v>No</v>
      </c>
      <c r="BH30" s="202">
        <f>IF(AND($C30,ISNUMBER($AR30)),IF($AO30="Semanal",1,IF($AO30="Quincenal",2,3))*1000000000+$AR30*100000+ROW(),"")</f>
        <v>1000100030</v>
      </c>
    </row>
    <row r="31">
      <c r="A31" s="202">
        <f>ROW()</f>
        <v>31</v>
      </c>
      <c r="B31" s="202" t="b">
        <f>ISTEXT('Proyecto Datos (OKR´s)'!$K31)</f>
        <v>0</v>
      </c>
      <c r="C31" s="202" t="b">
        <f>AND(LEN('Proyecto Datos (OKR´s)'!$G31)&gt;0,NOT($B31),OR(ISNUMBER('Proyecto Datos (OKR´s)'!$F31),ISNUMBER('Proyecto Datos (OKR´s)'!$L31)))</f>
        <v>1</v>
      </c>
      <c r="D31" s="203" t="str">
        <f>IF($C31,IFERROR(LOOKUP(2,1/((ISTEXT('Proyecto Datos (OKR´s)'!$K$7:$K31))*(LEN('Proyecto Datos (OKR´s)'!$G$7:$G31)&gt;0)),'Proyecto Datos (OKR´s)'!$G$7:$G31),""),"")</f>
        <v>4- Tablero BI DEUDA</v>
      </c>
      <c r="E31" s="202">
        <f>IF($C31,'Proyecto Datos (OKR´s)'!$E31,"")</f>
        <v>1</v>
      </c>
      <c r="F31" s="203" t="str">
        <f>IF($C31,'Proyecto Datos (OKR´s)'!$G31,"")</f>
        <v>Input de datos desde Provisión mensual</v>
      </c>
      <c r="G31" s="203" t="str">
        <f>IF($C31,IF('Proyecto Datos (OKR´s)'!$I31="","(Sin asignar)",'Proyecto Datos (OKR´s)'!$I31),"")</f>
        <v>Santiago Alonso</v>
      </c>
      <c r="H31" s="202">
        <f>IF($C31,IF(ISNUMBER('Proyecto Datos (OKR´s)'!$F31),'Proyecto Datos (OKR´s)'!$F31,""),"")</f>
        <v>46188</v>
      </c>
      <c r="I31" s="202">
        <f>IF($C31,'Proyecto Datos (OKR´s)'!$J31,"")</f>
        <v>0.9</v>
      </c>
      <c r="J31" s="203" t="str">
        <f>IF($C31,IF($I31&gt;=1,"Completado",IF(NOT(ISNUMBER($H31)),"Sin fecha",IF($H31&lt;TODAY(),"Vencido",IF(($H31-TODAY())&lt;='Entregas Próximas'!$M$3,"Próximo a vencer","En curso")))),"")</f>
        <v>Vencido</v>
      </c>
      <c r="K31" s="202">
        <f>IF(AND($C31,ISNUMBER($H31)),$H31-TODAY(),"")</f>
        <v>-8</v>
      </c>
      <c r="L31" s="202">
        <f>IF(AND($C31,ISNUMBER($H31)),$AD31*1000000+$H31+ROW()/100000,"")</f>
        <v>2046188.00031</v>
      </c>
      <c r="M31" s="202">
        <f>IF($C31,IF($AD31=9999,"(Sin sprint)",$AD31),"")</f>
        <v>2</v>
      </c>
      <c r="N31" s="202">
        <f>IF($C31,IF('Proyecto Datos (OKR´s)'!$E31="",9999,'Proyecto Datos (OKR´s)'!$E31),"")</f>
        <v>1</v>
      </c>
      <c r="O31" s="202" t="str">
        <f>IF($C31,"T"&amp;TEXT(ROW(),"000"),"")</f>
        <v>T031</v>
      </c>
      <c r="P31" s="202">
        <f>ROW()-6</f>
        <v>25</v>
      </c>
      <c r="Q31" s="202">
        <f>IF(COUNTIF($AD$7:$AD$200,$P31)&gt;0,$P31,"")</f>
      </c>
      <c r="R31" s="202">
        <f>IF($C31,IF(ISNUMBER('Proyecto Datos (OKR´s)'!$L31),'Proyecto Datos (OKR´s)'!$L31,$H31),"")</f>
        <v>46188</v>
      </c>
      <c r="S31" s="202">
        <f>IF($C31,$R31-'Proyecto Datos (OKR´s)'!$K31+1,"")</f>
        <v>166</v>
      </c>
      <c r="T31" s="202">
        <f>IF($C31,MAX(0,TODAY()-'Proyecto Datos (OKR´s)'!$K31),"")</f>
        <v>173</v>
      </c>
      <c r="U31" s="202">
        <f>IF($C31,MEDIAN(0,(TODAY()-'Proyecto Datos (OKR´s)'!$K31)/MAX(1,$R31-'Proyecto Datos (OKR´s)'!$K31),1),"")</f>
        <v>1</v>
      </c>
      <c r="V31" s="202">
        <f>IF($C31,$I31-$U31,"")</f>
        <v>-0.09999999999999998</v>
      </c>
      <c r="W31" s="202">
        <f>IF($C31,IF(OR($J31="Completado",NOT(ISNUMBER($H31))),0,MAX(0,TODAY()-$H31)),"")</f>
        <v>8</v>
      </c>
      <c r="X31" s="202">
        <f>IF($C31,IF(ISNUMBER($H31),$R31-$H31,0),"")</f>
        <v>0</v>
      </c>
      <c r="Y31" s="202">
        <f>IF($C31,COUNTIFS($G$7:$G$200,$G31,$J$7:$J$200,"&lt;&gt;Completado",$J$7:$J$200,"&lt;&gt;"),"")</f>
        <v>0</v>
      </c>
      <c r="Z31" s="202" t="b">
        <f>IF($C31,AND($I31=0,'Proyecto Datos (OKR´s)'!$K31&lt;=TODAY(),$J31&lt;&gt;"Completado"),"")</f>
        <v>0</v>
      </c>
      <c r="AA31" s="202">
        <f>IF($C31,ROUND(100*(0.35*$AK31+0.3*$AL31+0.2*$AM31+0.15*MEDIAN(0,($Y31-4)/8,1)),0),"")</f>
        <v>49</v>
      </c>
      <c r="AB31" s="203" t="str">
        <f>IF($C31,IF(OR($J31="Completado",$J31="Sin fecha"),"—",IF($AA31&gt;=70,"Crítica",IF($AA31&gt;=45,"Alta",IF($AA31&gt;=25,"Media","Baja")))),"")</f>
        <v>Alta</v>
      </c>
      <c r="AC31" s="203" t="str">
        <f>IF($C31,IF(LEN(TRIM($AN31))=0,"—",TRIM($AN31)),"")</f>
        <v>ATRASO</v>
      </c>
      <c r="AD31" s="202">
        <f>IF($C31,$AV31,"")</f>
        <v>2</v>
      </c>
      <c r="AE31" s="202" t="str">
        <f>IF($C31,$AZ31,"")</f>
        <v>Semanal · S2</v>
      </c>
      <c r="AF31" s="202" t="b">
        <f>IF($C31,$AV31&lt;&gt;$AR31,FALSE)</f>
        <v>1</v>
      </c>
      <c r="AG31" s="202">
        <f>IF($C31,IF($AV31&lt;&gt;$AR31,$AW31,""),"")</f>
        <v>46192</v>
      </c>
      <c r="AH31" s="203">
        <f>IF($C31,IF(ISBLANK('Backlog General'!$K31),"",'Backlog General'!$K31),"")</f>
      </c>
      <c r="AI31" s="202">
        <f>IF($C31,$AV31*100000+ROW(),"")</f>
        <v>200031</v>
      </c>
      <c r="AJ31" s="202">
        <f>IF(AND($C31,ISNUMBER($H31)),$AA31*1000000-MEDIAN(-9999,$K31,9999)*100+(300-ROW()),"")</f>
        <v>49001069</v>
      </c>
      <c r="AK31" s="202">
        <f>IF($C31,IF($J31="Completado",0,IF($K31&lt;0,1,IF($K31&lt;=3,0.9,IF($K31&lt;=7,0.7,IF($K31&lt;=14,0.45,0.2))))),"")</f>
        <v>1</v>
      </c>
      <c r="AL31" s="202">
        <f>IF($C31,IF($J31="Completado",0,MEDIAN(0,MAX(-$V31,$W31/30),1)),"")</f>
        <v>0.26666666666666666</v>
      </c>
      <c r="AM31" s="202">
        <f>IF($C31,IF($J31="Completado",0,IF($Z31,1,IF(AND($I31&lt;0.5,$K31&lt;=7),0.7,0.3))),"")</f>
        <v>0.3</v>
      </c>
      <c r="AN31" s="203" t="str">
        <f>IF($C31,IF(OR($V31&lt;-0.2,$W31&gt;0),"ATRASO ","")&amp;IF($Z31,"BLOQUEO ","")&amp;IF($Y31&gt;8,"SOBRECARGA ","")&amp;IF($X31&gt;0,"DESVÍO-PLAN ",""),"")</f>
        <v>ATRASO </v>
      </c>
      <c r="AO31" s="203" t="str">
        <f>IF($C31,IFERROR(VLOOKUP($D31,'Sprints'!$I$5:$J$12,2,FALSE),"Semanal"),"")</f>
        <v>Semanal</v>
      </c>
      <c r="AP31" s="202">
        <f>IF($C31,IFERROR(VLOOKUP($AO31,'Sprints'!$B$9:$C$11,2,FALSE),1),"")</f>
        <v>1</v>
      </c>
      <c r="AQ31" s="202">
        <f>IF($C31,'Sprints'!$C$5,"")</f>
        <v>46192</v>
      </c>
      <c r="AR31" s="202">
        <f>IF(AND($C31,ISNUMBER($H31)),CEILING(MAX(1,INT(($H31-$AQ31+'Sprints'!$D$5-1)/'Sprints'!$D$5)+1)/$AP31,1),"")</f>
        <v>1</v>
      </c>
      <c r="AS31" s="202">
        <f>IF($C31,CEILING(MAX(1,INT((TODAY()-$AQ31+'Sprints'!$D$5-1)/'Sprints'!$D$5)+1)/$AP31,1),"")</f>
        <v>2</v>
      </c>
      <c r="AT31" s="203">
        <f>IF($C31,'Backlog General'!$G31,"")</f>
        <v>0</v>
      </c>
      <c r="AU31" s="203">
        <f>IF($C31,'Backlog General'!$H31,"")</f>
        <v>0</v>
      </c>
      <c r="AV31" s="202">
        <f>IF(AND($C31,ISNUMBER($AR31)),IF(OR($AT31="Completo",$AU31="Cancelado",$AU31="Baja prioridad"),$AR31,IF($AU31="Pasa al siguiente",MAX($AR31+1,$AS31),MAX($AR31,$AS31))),"")</f>
        <v>2</v>
      </c>
      <c r="AW31" s="202">
        <f>IF(AND($C31,ISNUMBER($AR31)),$AQ31+$AR31*$AP31*'Sprints'!$D$5-'Sprints'!$D$5,"")</f>
        <v>46192</v>
      </c>
      <c r="AX31" s="202">
        <f>IF($C31,IF(OR($AT31="Completo",$AU31="Cancelado",$AU31="Baja prioridad",NOT(ISNUMBER($AW31))),0,IF(TODAY()&gt;$AW31,NETWORKDAYS($AW31,TODAY(),'Sprints'!$L$5:$L$40)-1,0)),"")</f>
        <v>2</v>
      </c>
      <c r="AY31" s="203" t="str">
        <f>IF($C31,IF(NOT(ISNUMBER($AR31)),"Sin fecha",IF($AT31="Completo","Completo",IF($AU31="Cancelado","Cancelado",IF($AU31="Baja prioridad","Baja prioridad",IF($AX31&gt;0,"Vencida","Pendiente"))))),"")</f>
        <v>Vencida</v>
      </c>
      <c r="AZ31" s="203" t="str">
        <f>IF($C31,IF(ISNUMBER($AV31),$AO31&amp;" · S"&amp;$AV31,"(Sin fecha)"),"")</f>
        <v>Semanal · S2</v>
      </c>
      <c r="BA31" s="202">
        <f>IF($C31,IF(AND(ISNUMBER('Backlog General'!$M31),'Backlog General'!$M31=$AS31),"Nuevo S"&amp;'Backlog General'!$M31,""),"")</f>
      </c>
      <c r="BB31" s="202">
        <f>IF(AND($C31,$AO31="Semanal",ISNUMBER($AV31)),$AV31*100000+ROW(),"")</f>
        <v>200031</v>
      </c>
      <c r="BC31" s="202">
        <f>IF(AND($C31,$AO31="Quincenal",ISNUMBER($AV31)),$AV31*100000+ROW(),"")</f>
      </c>
      <c r="BD31" s="202">
        <f>IF(AND($C31,$AO31="Mensual",ISNUMBER($AV31)),$AV31*100000+ROW(),"")</f>
      </c>
      <c r="BE31" s="203">
        <f>IF($C31,IF(ISBLANK('Backlog General'!$J31),"",'Backlog General'!$J31),"")</f>
      </c>
      <c r="BF31" s="203">
        <f>IF($C31,IF($BE31="","",$BE31)&amp;IF(AND($BE31&lt;&gt;"",$AH31&lt;&gt;"")," · ","")&amp;IF($AH31="","",$AH31),"")</f>
      </c>
      <c r="BG31" s="203" t="str">
        <f>IF($C31,IF($J31="Completado","Sí","No"),"")</f>
        <v>No</v>
      </c>
      <c r="BH31" s="202">
        <f>IF(AND($C31,ISNUMBER($AR31)),IF($AO31="Semanal",1,IF($AO31="Quincenal",2,3))*1000000000+$AR31*100000+ROW(),"")</f>
        <v>1000100031</v>
      </c>
    </row>
    <row r="32">
      <c r="A32" s="202">
        <f>ROW()</f>
        <v>32</v>
      </c>
      <c r="B32" s="202" t="b">
        <f>ISTEXT('Proyecto Datos (OKR´s)'!$K32)</f>
        <v>0</v>
      </c>
      <c r="C32" s="202" t="b">
        <f>AND(LEN('Proyecto Datos (OKR´s)'!$G32)&gt;0,NOT($B32),OR(ISNUMBER('Proyecto Datos (OKR´s)'!$F32),ISNUMBER('Proyecto Datos (OKR´s)'!$L32)))</f>
        <v>1</v>
      </c>
      <c r="D32" s="203" t="str">
        <f>IF($C32,IFERROR(LOOKUP(2,1/((ISTEXT('Proyecto Datos (OKR´s)'!$K$7:$K32))*(LEN('Proyecto Datos (OKR´s)'!$G$7:$G32)&gt;0)),'Proyecto Datos (OKR´s)'!$G$7:$G32),""),"")</f>
        <v>4- Tablero BI DEUDA</v>
      </c>
      <c r="E32" s="202">
        <f>IF($C32,'Proyecto Datos (OKR´s)'!$E32,"")</f>
        <v>0</v>
      </c>
      <c r="F32" s="203" t="str">
        <f>IF($C32,'Proyecto Datos (OKR´s)'!$G32,"")</f>
        <v>Analizar viabilidad de input Redash: Importe Provisionado (Datalake --&gt; Clik Sense)</v>
      </c>
      <c r="G32" s="203" t="str">
        <f>IF($C32,IF('Proyecto Datos (OKR´s)'!$I32="","(Sin asignar)",'Proyecto Datos (OKR´s)'!$I32),"")</f>
        <v>Santiago Alonso</v>
      </c>
      <c r="H32" s="202">
        <f>IF($C32,IF(ISNUMBER('Proyecto Datos (OKR´s)'!$F32),'Proyecto Datos (OKR´s)'!$F32,""),"")</f>
      </c>
      <c r="I32" s="202">
        <f>IF($C32,'Proyecto Datos (OKR´s)'!$J32,"")</f>
        <v>0.6</v>
      </c>
      <c r="J32" s="203" t="str">
        <f>IF($C32,IF($I32&gt;=1,"Completado",IF(NOT(ISNUMBER($H32)),"Sin fecha",IF($H32&lt;TODAY(),"Vencido",IF(($H32-TODAY())&lt;='Entregas Próximas'!$M$3,"Próximo a vencer","En curso")))),"")</f>
        <v>Sin fecha</v>
      </c>
      <c r="K32" s="202">
        <f>IF(AND($C32,ISNUMBER($H32)),$H32-TODAY(),"")</f>
      </c>
      <c r="L32" s="202">
        <f>IF(AND($C32,ISNUMBER($H32)),$AD32*1000000+$H32+ROW()/100000,"")</f>
      </c>
      <c r="M32" s="202">
        <f>IF($C32,IF($AD32=9999,"(Sin sprint)",$AD32),"")</f>
      </c>
      <c r="N32" s="202">
        <f>IF($C32,IF('Proyecto Datos (OKR´s)'!$E32="",9999,'Proyecto Datos (OKR´s)'!$E32),"")</f>
        <v>9999</v>
      </c>
      <c r="O32" s="202" t="str">
        <f>IF($C32,"T"&amp;TEXT(ROW(),"000"),"")</f>
        <v>T032</v>
      </c>
      <c r="P32" s="202">
        <f>ROW()-6</f>
        <v>26</v>
      </c>
      <c r="Q32" s="202">
        <f>IF(COUNTIF($AD$7:$AD$200,$P32)&gt;0,$P32,"")</f>
      </c>
      <c r="R32" s="202">
        <f>IF($C32,IF(ISNUMBER('Proyecto Datos (OKR´s)'!$L32),'Proyecto Datos (OKR´s)'!$L32,$H32),"")</f>
        <v>46195</v>
      </c>
      <c r="S32" s="202">
        <f>IF($C32,$R32-'Proyecto Datos (OKR´s)'!$K32+1,"")</f>
        <v>8</v>
      </c>
      <c r="T32" s="202">
        <f>IF($C32,MAX(0,TODAY()-'Proyecto Datos (OKR´s)'!$K32),"")</f>
        <v>8</v>
      </c>
      <c r="U32" s="202">
        <f>IF($C32,MEDIAN(0,(TODAY()-'Proyecto Datos (OKR´s)'!$K32)/MAX(1,$R32-'Proyecto Datos (OKR´s)'!$K32),1),"")</f>
        <v>1</v>
      </c>
      <c r="V32" s="202">
        <f>IF($C32,$I32-$U32,"")</f>
        <v>-0.4</v>
      </c>
      <c r="W32" s="202">
        <f>IF($C32,IF(OR($J32="Completado",NOT(ISNUMBER($H32))),0,MAX(0,TODAY()-$H32)),"")</f>
        <v>0</v>
      </c>
      <c r="X32" s="202">
        <f>IF($C32,IF(ISNUMBER($H32),$R32-$H32,0),"")</f>
        <v>0</v>
      </c>
      <c r="Y32" s="202">
        <f>IF($C32,COUNTIFS($G$7:$G$200,$G32,$J$7:$J$200,"&lt;&gt;Completado",$J$7:$J$200,"&lt;&gt;"),"")</f>
        <v>0</v>
      </c>
      <c r="Z32" s="202" t="b">
        <f>IF($C32,AND($I32=0,'Proyecto Datos (OKR´s)'!$K32&lt;=TODAY(),$J32&lt;&gt;"Completado"),"")</f>
        <v>0</v>
      </c>
      <c r="AA32" s="202">
        <f>IF($C32,ROUND(100*(0.35*$AK32+0.3*$AL32+0.2*$AM32+0.15*MEDIAN(0,($Y32-4)/8,1)),0),"")</f>
        <v>25</v>
      </c>
      <c r="AB32" s="203" t="str">
        <f>IF($C32,IF(OR($J32="Completado",$J32="Sin fecha"),"—",IF($AA32&gt;=70,"Crítica",IF($AA32&gt;=45,"Alta",IF($AA32&gt;=25,"Media","Baja")))),"")</f>
        <v>—</v>
      </c>
      <c r="AC32" s="203" t="str">
        <f>IF($C32,IF(LEN(TRIM($AN32))=0,"—",TRIM($AN32)),"")</f>
        <v>ATRASO</v>
      </c>
      <c r="AD32" s="202">
        <f>IF($C32,$AV32,"")</f>
      </c>
      <c r="AE32" s="202" t="str">
        <f>IF($C32,$AZ32,"")</f>
        <v>(Sin fecha)</v>
      </c>
      <c r="AF32" s="202" t="b">
        <f>IF($C32,$AV32&lt;&gt;$AR32,FALSE)</f>
        <v>0</v>
      </c>
      <c r="AG32" s="202">
        <f>IF($C32,IF($AV32&lt;&gt;$AR32,$AW32,""),"")</f>
      </c>
      <c r="AH32" s="203">
        <f>IF($C32,IF(ISBLANK('Backlog General'!$K32),"",'Backlog General'!$K32),"")</f>
      </c>
      <c r="AI32" s="202">
        <f>IF($C32,$AV32*100000+ROW(),"")</f>
      </c>
      <c r="AJ32" s="202">
        <f>IF(AND($C32,ISNUMBER($H32)),$AA32*1000000-MEDIAN(-9999,$K32,9999)*100+(300-ROW()),"")</f>
      </c>
      <c r="AK32" s="202">
        <f>IF($C32,IF($J32="Completado",0,IF($K32&lt;0,1,IF($K32&lt;=3,0.9,IF($K32&lt;=7,0.7,IF($K32&lt;=14,0.45,0.2))))),"")</f>
        <v>0.2</v>
      </c>
      <c r="AL32" s="202">
        <f>IF($C32,IF($J32="Completado",0,MEDIAN(0,MAX(-$V32,$W32/30),1)),"")</f>
        <v>0.4</v>
      </c>
      <c r="AM32" s="202">
        <f>IF($C32,IF($J32="Completado",0,IF($Z32,1,IF(AND($I32&lt;0.5,$K32&lt;=7),0.7,0.3))),"")</f>
        <v>0.3</v>
      </c>
      <c r="AN32" s="203" t="str">
        <f>IF($C32,IF(OR($V32&lt;-0.2,$W32&gt;0),"ATRASO ","")&amp;IF($Z32,"BLOQUEO ","")&amp;IF($Y32&gt;8,"SOBRECARGA ","")&amp;IF($X32&gt;0,"DESVÍO-PLAN ",""),"")</f>
        <v>ATRASO </v>
      </c>
      <c r="AO32" s="203" t="str">
        <f>IF($C32,IFERROR(VLOOKUP($D32,'Sprints'!$I$5:$J$12,2,FALSE),"Semanal"),"")</f>
        <v>Semanal</v>
      </c>
      <c r="AP32" s="202">
        <f>IF($C32,IFERROR(VLOOKUP($AO32,'Sprints'!$B$9:$C$11,2,FALSE),1),"")</f>
        <v>1</v>
      </c>
      <c r="AQ32" s="202">
        <f>IF($C32,'Sprints'!$C$5,"")</f>
        <v>46192</v>
      </c>
      <c r="AR32" s="202">
        <f>IF(AND($C32,ISNUMBER($H32)),CEILING(MAX(1,INT(($H32-$AQ32+'Sprints'!$D$5-1)/'Sprints'!$D$5)+1)/$AP32,1),"")</f>
      </c>
      <c r="AS32" s="202">
        <f>IF($C32,CEILING(MAX(1,INT((TODAY()-$AQ32+'Sprints'!$D$5-1)/'Sprints'!$D$5)+1)/$AP32,1),"")</f>
        <v>2</v>
      </c>
      <c r="AT32" s="203">
        <f>IF($C32,'Backlog General'!$G32,"")</f>
        <v>0</v>
      </c>
      <c r="AU32" s="203">
        <f>IF($C32,'Backlog General'!$H32,"")</f>
        <v>0</v>
      </c>
      <c r="AV32" s="202">
        <f>IF(AND($C32,ISNUMBER($AR32)),IF(OR($AT32="Completo",$AU32="Cancelado",$AU32="Baja prioridad"),$AR32,IF($AU32="Pasa al siguiente",MAX($AR32+1,$AS32),MAX($AR32,$AS32))),"")</f>
      </c>
      <c r="AW32" s="202">
        <f>IF(AND($C32,ISNUMBER($AR32)),$AQ32+$AR32*$AP32*'Sprints'!$D$5-'Sprints'!$D$5,"")</f>
      </c>
      <c r="AX32" s="202">
        <f>IF($C32,IF(OR($AT32="Completo",$AU32="Cancelado",$AU32="Baja prioridad",NOT(ISNUMBER($AW32))),0,IF(TODAY()&gt;$AW32,NETWORKDAYS($AW32,TODAY(),'Sprints'!$L$5:$L$40)-1,0)),"")</f>
        <v>0</v>
      </c>
      <c r="AY32" s="203" t="str">
        <f>IF($C32,IF(NOT(ISNUMBER($AR32)),"Sin fecha",IF($AT32="Completo","Completo",IF($AU32="Cancelado","Cancelado",IF($AU32="Baja prioridad","Baja prioridad",IF($AX32&gt;0,"Vencida","Pendiente"))))),"")</f>
        <v>Sin fecha</v>
      </c>
      <c r="AZ32" s="203" t="str">
        <f>IF($C32,IF(ISNUMBER($AV32),$AO32&amp;" · S"&amp;$AV32,"(Sin fecha)"),"")</f>
        <v>(Sin fecha)</v>
      </c>
      <c r="BA32" s="202">
        <f>IF($C32,IF(AND(ISNUMBER('Backlog General'!$M32),'Backlog General'!$M32=$AS32),"Nuevo S"&amp;'Backlog General'!$M32,""),"")</f>
      </c>
      <c r="BB32" s="202">
        <f>IF(AND($C32,$AO32="Semanal",ISNUMBER($AV32)),$AV32*100000+ROW(),"")</f>
      </c>
      <c r="BC32" s="202">
        <f>IF(AND($C32,$AO32="Quincenal",ISNUMBER($AV32)),$AV32*100000+ROW(),"")</f>
      </c>
      <c r="BD32" s="202">
        <f>IF(AND($C32,$AO32="Mensual",ISNUMBER($AV32)),$AV32*100000+ROW(),"")</f>
      </c>
      <c r="BE32" s="203">
        <f>IF($C32,IF(ISBLANK('Backlog General'!$J32),"",'Backlog General'!$J32),"")</f>
      </c>
      <c r="BF32" s="203">
        <f>IF($C32,IF($BE32="","",$BE32)&amp;IF(AND($BE32&lt;&gt;"",$AH32&lt;&gt;"")," · ","")&amp;IF($AH32="","",$AH32),"")</f>
      </c>
      <c r="BG32" s="203" t="str">
        <f>IF($C32,IF($J32="Completado","Sí","No"),"")</f>
        <v>No</v>
      </c>
      <c r="BH32" s="202">
        <f>IF(AND($C32,ISNUMBER($AR32)),IF($AO32="Semanal",1,IF($AO32="Quincenal",2,3))*1000000000+$AR32*100000+ROW(),"")</f>
      </c>
    </row>
    <row r="33">
      <c r="A33" s="202">
        <f>ROW()</f>
        <v>33</v>
      </c>
      <c r="B33" s="202" t="b">
        <f>ISTEXT('Proyecto Datos (OKR´s)'!$K33)</f>
        <v>0</v>
      </c>
      <c r="C33" s="202" t="b">
        <f>AND(LEN('Proyecto Datos (OKR´s)'!$G33)&gt;0,NOT($B33),OR(ISNUMBER('Proyecto Datos (OKR´s)'!$F33),ISNUMBER('Proyecto Datos (OKR´s)'!$L33)))</f>
        <v>1</v>
      </c>
      <c r="D33" s="203" t="str">
        <f>IF($C33,IFERROR(LOOKUP(2,1/((ISTEXT('Proyecto Datos (OKR´s)'!$K$7:$K33))*(LEN('Proyecto Datos (OKR´s)'!$G$7:$G33)&gt;0)),'Proyecto Datos (OKR´s)'!$G$7:$G33),""),"")</f>
        <v>4- Tablero BI DEUDA</v>
      </c>
      <c r="E33" s="202">
        <f>IF($C33,'Proyecto Datos (OKR´s)'!$E33,"")</f>
        <v>0</v>
      </c>
      <c r="F33" s="203" t="str">
        <f>IF($C33,'Proyecto Datos (OKR´s)'!$G33,"")</f>
        <v>Analizar viabilidad de input Redash: Importe Facturado (Datalake --&gt; Clik Sense "Venta Bruta")</v>
      </c>
      <c r="G33" s="203" t="str">
        <f>IF($C33,IF('Proyecto Datos (OKR´s)'!$I33="","(Sin asignar)",'Proyecto Datos (OKR´s)'!$I33),"")</f>
        <v>Santiago Alonso</v>
      </c>
      <c r="H33" s="202">
        <f>IF($C33,IF(ISNUMBER('Proyecto Datos (OKR´s)'!$F33),'Proyecto Datos (OKR´s)'!$F33,""),"")</f>
      </c>
      <c r="I33" s="202">
        <f>IF($C33,'Proyecto Datos (OKR´s)'!$J33,"")</f>
        <v>0.6</v>
      </c>
      <c r="J33" s="203" t="str">
        <f>IF($C33,IF($I33&gt;=1,"Completado",IF(NOT(ISNUMBER($H33)),"Sin fecha",IF($H33&lt;TODAY(),"Vencido",IF(($H33-TODAY())&lt;='Entregas Próximas'!$M$3,"Próximo a vencer","En curso")))),"")</f>
        <v>Sin fecha</v>
      </c>
      <c r="K33" s="202">
        <f>IF(AND($C33,ISNUMBER($H33)),$H33-TODAY(),"")</f>
      </c>
      <c r="L33" s="202">
        <f>IF(AND($C33,ISNUMBER($H33)),$AD33*1000000+$H33+ROW()/100000,"")</f>
      </c>
      <c r="M33" s="202">
        <f>IF($C33,IF($AD33=9999,"(Sin sprint)",$AD33),"")</f>
      </c>
      <c r="N33" s="202">
        <f>IF($C33,IF('Proyecto Datos (OKR´s)'!$E33="",9999,'Proyecto Datos (OKR´s)'!$E33),"")</f>
        <v>9999</v>
      </c>
      <c r="O33" s="202" t="str">
        <f>IF($C33,"T"&amp;TEXT(ROW(),"000"),"")</f>
        <v>T033</v>
      </c>
      <c r="P33" s="202">
        <f>ROW()-6</f>
        <v>27</v>
      </c>
      <c r="Q33" s="202">
        <f>IF(COUNTIF($AD$7:$AD$200,$P33)&gt;0,$P33,"")</f>
      </c>
      <c r="R33" s="202">
        <f>IF($C33,IF(ISNUMBER('Proyecto Datos (OKR´s)'!$L33),'Proyecto Datos (OKR´s)'!$L33,$H33),"")</f>
        <v>46202</v>
      </c>
      <c r="S33" s="202">
        <f>IF($C33,$R33-'Proyecto Datos (OKR´s)'!$K33+1,"")</f>
        <v>11</v>
      </c>
      <c r="T33" s="202">
        <f>IF($C33,MAX(0,TODAY()-'Proyecto Datos (OKR´s)'!$K33),"")</f>
        <v>4</v>
      </c>
      <c r="U33" s="202">
        <f>IF($C33,MEDIAN(0,(TODAY()-'Proyecto Datos (OKR´s)'!$K33)/MAX(1,$R33-'Proyecto Datos (OKR´s)'!$K33),1),"")</f>
        <v>0.4</v>
      </c>
      <c r="V33" s="202">
        <f>IF($C33,$I33-$U33,"")</f>
        <v>0.19999999999999996</v>
      </c>
      <c r="W33" s="202">
        <f>IF($C33,IF(OR($J33="Completado",NOT(ISNUMBER($H33))),0,MAX(0,TODAY()-$H33)),"")</f>
        <v>0</v>
      </c>
      <c r="X33" s="202">
        <f>IF($C33,IF(ISNUMBER($H33),$R33-$H33,0),"")</f>
        <v>0</v>
      </c>
      <c r="Y33" s="202">
        <f>IF($C33,COUNTIFS($G$7:$G$200,$G33,$J$7:$J$200,"&lt;&gt;Completado",$J$7:$J$200,"&lt;&gt;"),"")</f>
        <v>0</v>
      </c>
      <c r="Z33" s="202" t="b">
        <f>IF($C33,AND($I33=0,'Proyecto Datos (OKR´s)'!$K33&lt;=TODAY(),$J33&lt;&gt;"Completado"),"")</f>
        <v>0</v>
      </c>
      <c r="AA33" s="202">
        <f>IF($C33,ROUND(100*(0.35*$AK33+0.3*$AL33+0.2*$AM33+0.15*MEDIAN(0,($Y33-4)/8,1)),0),"")</f>
        <v>13</v>
      </c>
      <c r="AB33" s="203" t="str">
        <f>IF($C33,IF(OR($J33="Completado",$J33="Sin fecha"),"—",IF($AA33&gt;=70,"Crítica",IF($AA33&gt;=45,"Alta",IF($AA33&gt;=25,"Media","Baja")))),"")</f>
        <v>—</v>
      </c>
      <c r="AC33" s="203" t="str">
        <f>IF($C33,IF(LEN(TRIM($AN33))=0,"—",TRIM($AN33)),"")</f>
        <v>—</v>
      </c>
      <c r="AD33" s="202">
        <f>IF($C33,$AV33,"")</f>
      </c>
      <c r="AE33" s="202" t="str">
        <f>IF($C33,$AZ33,"")</f>
        <v>(Sin fecha)</v>
      </c>
      <c r="AF33" s="202" t="b">
        <f>IF($C33,$AV33&lt;&gt;$AR33,FALSE)</f>
        <v>0</v>
      </c>
      <c r="AG33" s="202">
        <f>IF($C33,IF($AV33&lt;&gt;$AR33,$AW33,""),"")</f>
      </c>
      <c r="AH33" s="203">
        <f>IF($C33,IF(ISBLANK('Backlog General'!$K33),"",'Backlog General'!$K33),"")</f>
      </c>
      <c r="AI33" s="202">
        <f>IF($C33,$AV33*100000+ROW(),"")</f>
      </c>
      <c r="AJ33" s="202">
        <f>IF(AND($C33,ISNUMBER($H33)),$AA33*1000000-MEDIAN(-9999,$K33,9999)*100+(300-ROW()),"")</f>
      </c>
      <c r="AK33" s="202">
        <f>IF($C33,IF($J33="Completado",0,IF($K33&lt;0,1,IF($K33&lt;=3,0.9,IF($K33&lt;=7,0.7,IF($K33&lt;=14,0.45,0.2))))),"")</f>
        <v>0.2</v>
      </c>
      <c r="AL33" s="202">
        <f>IF($C33,IF($J33="Completado",0,MEDIAN(0,MAX(-$V33,$W33/30),1)),"")</f>
        <v>0</v>
      </c>
      <c r="AM33" s="202">
        <f>IF($C33,IF($J33="Completado",0,IF($Z33,1,IF(AND($I33&lt;0.5,$K33&lt;=7),0.7,0.3))),"")</f>
        <v>0.3</v>
      </c>
      <c r="AN33" s="203">
        <f>IF($C33,IF(OR($V33&lt;-0.2,$W33&gt;0),"ATRASO ","")&amp;IF($Z33,"BLOQUEO ","")&amp;IF($Y33&gt;8,"SOBRECARGA ","")&amp;IF($X33&gt;0,"DESVÍO-PLAN ",""),"")</f>
      </c>
      <c r="AO33" s="203" t="str">
        <f>IF($C33,IFERROR(VLOOKUP($D33,'Sprints'!$I$5:$J$12,2,FALSE),"Semanal"),"")</f>
        <v>Semanal</v>
      </c>
      <c r="AP33" s="202">
        <f>IF($C33,IFERROR(VLOOKUP($AO33,'Sprints'!$B$9:$C$11,2,FALSE),1),"")</f>
        <v>1</v>
      </c>
      <c r="AQ33" s="202">
        <f>IF($C33,'Sprints'!$C$5,"")</f>
        <v>46192</v>
      </c>
      <c r="AR33" s="202">
        <f>IF(AND($C33,ISNUMBER($H33)),CEILING(MAX(1,INT(($H33-$AQ33+'Sprints'!$D$5-1)/'Sprints'!$D$5)+1)/$AP33,1),"")</f>
      </c>
      <c r="AS33" s="202">
        <f>IF($C33,CEILING(MAX(1,INT((TODAY()-$AQ33+'Sprints'!$D$5-1)/'Sprints'!$D$5)+1)/$AP33,1),"")</f>
        <v>2</v>
      </c>
      <c r="AT33" s="203">
        <f>IF($C33,'Backlog General'!$G33,"")</f>
        <v>0</v>
      </c>
      <c r="AU33" s="203">
        <f>IF($C33,'Backlog General'!$H33,"")</f>
        <v>0</v>
      </c>
      <c r="AV33" s="202">
        <f>IF(AND($C33,ISNUMBER($AR33)),IF(OR($AT33="Completo",$AU33="Cancelado",$AU33="Baja prioridad"),$AR33,IF($AU33="Pasa al siguiente",MAX($AR33+1,$AS33),MAX($AR33,$AS33))),"")</f>
      </c>
      <c r="AW33" s="202">
        <f>IF(AND($C33,ISNUMBER($AR33)),$AQ33+$AR33*$AP33*'Sprints'!$D$5-'Sprints'!$D$5,"")</f>
      </c>
      <c r="AX33" s="202">
        <f>IF($C33,IF(OR($AT33="Completo",$AU33="Cancelado",$AU33="Baja prioridad",NOT(ISNUMBER($AW33))),0,IF(TODAY()&gt;$AW33,NETWORKDAYS($AW33,TODAY(),'Sprints'!$L$5:$L$40)-1,0)),"")</f>
        <v>0</v>
      </c>
      <c r="AY33" s="203" t="str">
        <f>IF($C33,IF(NOT(ISNUMBER($AR33)),"Sin fecha",IF($AT33="Completo","Completo",IF($AU33="Cancelado","Cancelado",IF($AU33="Baja prioridad","Baja prioridad",IF($AX33&gt;0,"Vencida","Pendiente"))))),"")</f>
        <v>Sin fecha</v>
      </c>
      <c r="AZ33" s="203" t="str">
        <f>IF($C33,IF(ISNUMBER($AV33),$AO33&amp;" · S"&amp;$AV33,"(Sin fecha)"),"")</f>
        <v>(Sin fecha)</v>
      </c>
      <c r="BA33" s="202">
        <f>IF($C33,IF(AND(ISNUMBER('Backlog General'!$M33),'Backlog General'!$M33=$AS33),"Nuevo S"&amp;'Backlog General'!$M33,""),"")</f>
      </c>
      <c r="BB33" s="202">
        <f>IF(AND($C33,$AO33="Semanal",ISNUMBER($AV33)),$AV33*100000+ROW(),"")</f>
      </c>
      <c r="BC33" s="202">
        <f>IF(AND($C33,$AO33="Quincenal",ISNUMBER($AV33)),$AV33*100000+ROW(),"")</f>
      </c>
      <c r="BD33" s="202">
        <f>IF(AND($C33,$AO33="Mensual",ISNUMBER($AV33)),$AV33*100000+ROW(),"")</f>
      </c>
      <c r="BE33" s="203">
        <f>IF($C33,IF(ISBLANK('Backlog General'!$J33),"",'Backlog General'!$J33),"")</f>
      </c>
      <c r="BF33" s="203">
        <f>IF($C33,IF($BE33="","",$BE33)&amp;IF(AND($BE33&lt;&gt;"",$AH33&lt;&gt;"")," · ","")&amp;IF($AH33="","",$AH33),"")</f>
      </c>
      <c r="BG33" s="203" t="str">
        <f>IF($C33,IF($J33="Completado","Sí","No"),"")</f>
        <v>No</v>
      </c>
      <c r="BH33" s="202">
        <f>IF(AND($C33,ISNUMBER($AR33)),IF($AO33="Semanal",1,IF($AO33="Quincenal",2,3))*1000000000+$AR33*100000+ROW(),"")</f>
      </c>
    </row>
    <row r="34">
      <c r="A34" s="202">
        <f>ROW()</f>
        <v>34</v>
      </c>
      <c r="B34" s="202" t="b">
        <f>ISTEXT('Proyecto Datos (OKR´s)'!$K34)</f>
        <v>0</v>
      </c>
      <c r="C34" s="202" t="b">
        <f>AND(LEN('Proyecto Datos (OKR´s)'!$G34)&gt;0,NOT($B34),OR(ISNUMBER('Proyecto Datos (OKR´s)'!$F34),ISNUMBER('Proyecto Datos (OKR´s)'!$L34)))</f>
        <v>1</v>
      </c>
      <c r="D34" s="203" t="str">
        <f>IF($C34,IFERROR(LOOKUP(2,1/((ISTEXT('Proyecto Datos (OKR´s)'!$K$7:$K34))*(LEN('Proyecto Datos (OKR´s)'!$G$7:$G34)&gt;0)),'Proyecto Datos (OKR´s)'!$G$7:$G34),""),"")</f>
        <v>4- Tablero BI DEUDA</v>
      </c>
      <c r="E34" s="202">
        <f>IF($C34,'Proyecto Datos (OKR´s)'!$E34,"")</f>
        <v>0</v>
      </c>
      <c r="F34" s="203" t="str">
        <f>IF($C34,'Proyecto Datos (OKR´s)'!$G34,"")</f>
        <v>Creación detalle deuda Vista - Replicar Excel Deuda</v>
      </c>
      <c r="G34" s="203" t="str">
        <f>IF($C34,IF('Proyecto Datos (OKR´s)'!$I34="","(Sin asignar)",'Proyecto Datos (OKR´s)'!$I34),"")</f>
        <v>Santiago Alonso</v>
      </c>
      <c r="H34" s="202">
        <f>IF($C34,IF(ISNUMBER('Proyecto Datos (OKR´s)'!$F34),'Proyecto Datos (OKR´s)'!$F34,""),"")</f>
      </c>
      <c r="I34" s="202">
        <f>IF($C34,'Proyecto Datos (OKR´s)'!$J34,"")</f>
        <v>0.5</v>
      </c>
      <c r="J34" s="203" t="str">
        <f>IF($C34,IF($I34&gt;=1,"Completado",IF(NOT(ISNUMBER($H34)),"Sin fecha",IF($H34&lt;TODAY(),"Vencido",IF(($H34-TODAY())&lt;='Entregas Próximas'!$M$3,"Próximo a vencer","En curso")))),"")</f>
        <v>Sin fecha</v>
      </c>
      <c r="K34" s="202">
        <f>IF(AND($C34,ISNUMBER($H34)),$H34-TODAY(),"")</f>
      </c>
      <c r="L34" s="202">
        <f>IF(AND($C34,ISNUMBER($H34)),$AD34*1000000+$H34+ROW()/100000,"")</f>
      </c>
      <c r="M34" s="202">
        <f>IF($C34,IF($AD34=9999,"(Sin sprint)",$AD34),"")</f>
      </c>
      <c r="N34" s="202">
        <f>IF($C34,IF('Proyecto Datos (OKR´s)'!$E34="",9999,'Proyecto Datos (OKR´s)'!$E34),"")</f>
        <v>9999</v>
      </c>
      <c r="O34" s="202" t="str">
        <f>IF($C34,"T"&amp;TEXT(ROW(),"000"),"")</f>
        <v>T034</v>
      </c>
      <c r="P34" s="202">
        <f>ROW()-6</f>
        <v>28</v>
      </c>
      <c r="Q34" s="202">
        <f>IF(COUNTIF($AD$7:$AD$200,$P34)&gt;0,$P34,"")</f>
      </c>
      <c r="R34" s="202">
        <f>IF($C34,IF(ISNUMBER('Proyecto Datos (OKR´s)'!$L34),'Proyecto Datos (OKR´s)'!$L34,$H34),"")</f>
        <v>46202</v>
      </c>
      <c r="S34" s="202">
        <f>IF($C34,$R34-'Proyecto Datos (OKR´s)'!$K34+1,"")</f>
        <v>15</v>
      </c>
      <c r="T34" s="202">
        <f>IF($C34,MAX(0,TODAY()-'Proyecto Datos (OKR´s)'!$K34),"")</f>
        <v>8</v>
      </c>
      <c r="U34" s="202">
        <f>IF($C34,MEDIAN(0,(TODAY()-'Proyecto Datos (OKR´s)'!$K34)/MAX(1,$R34-'Proyecto Datos (OKR´s)'!$K34),1),"")</f>
        <v>0.5714285714285714</v>
      </c>
      <c r="V34" s="202">
        <f>IF($C34,$I34-$U34,"")</f>
        <v>-0.0714285714285714</v>
      </c>
      <c r="W34" s="202">
        <f>IF($C34,IF(OR($J34="Completado",NOT(ISNUMBER($H34))),0,MAX(0,TODAY()-$H34)),"")</f>
        <v>0</v>
      </c>
      <c r="X34" s="202">
        <f>IF($C34,IF(ISNUMBER($H34),$R34-$H34,0),"")</f>
        <v>0</v>
      </c>
      <c r="Y34" s="202">
        <f>IF($C34,COUNTIFS($G$7:$G$200,$G34,$J$7:$J$200,"&lt;&gt;Completado",$J$7:$J$200,"&lt;&gt;"),"")</f>
        <v>0</v>
      </c>
      <c r="Z34" s="202" t="b">
        <f>IF($C34,AND($I34=0,'Proyecto Datos (OKR´s)'!$K34&lt;=TODAY(),$J34&lt;&gt;"Completado"),"")</f>
        <v>0</v>
      </c>
      <c r="AA34" s="202">
        <f>IF($C34,ROUND(100*(0.35*$AK34+0.3*$AL34+0.2*$AM34+0.15*MEDIAN(0,($Y34-4)/8,1)),0),"")</f>
        <v>15</v>
      </c>
      <c r="AB34" s="203" t="str">
        <f>IF($C34,IF(OR($J34="Completado",$J34="Sin fecha"),"—",IF($AA34&gt;=70,"Crítica",IF($AA34&gt;=45,"Alta",IF($AA34&gt;=25,"Media","Baja")))),"")</f>
        <v>—</v>
      </c>
      <c r="AC34" s="203" t="str">
        <f>IF($C34,IF(LEN(TRIM($AN34))=0,"—",TRIM($AN34)),"")</f>
        <v>—</v>
      </c>
      <c r="AD34" s="202">
        <f>IF($C34,$AV34,"")</f>
      </c>
      <c r="AE34" s="202" t="str">
        <f>IF($C34,$AZ34,"")</f>
        <v>(Sin fecha)</v>
      </c>
      <c r="AF34" s="202" t="b">
        <f>IF($C34,$AV34&lt;&gt;$AR34,FALSE)</f>
        <v>0</v>
      </c>
      <c r="AG34" s="202">
        <f>IF($C34,IF($AV34&lt;&gt;$AR34,$AW34,""),"")</f>
      </c>
      <c r="AH34" s="203">
        <f>IF($C34,IF(ISBLANK('Backlog General'!$K34),"",'Backlog General'!$K34),"")</f>
      </c>
      <c r="AI34" s="202">
        <f>IF($C34,$AV34*100000+ROW(),"")</f>
      </c>
      <c r="AJ34" s="202">
        <f>IF(AND($C34,ISNUMBER($H34)),$AA34*1000000-MEDIAN(-9999,$K34,9999)*100+(300-ROW()),"")</f>
      </c>
      <c r="AK34" s="202">
        <f>IF($C34,IF($J34="Completado",0,IF($K34&lt;0,1,IF($K34&lt;=3,0.9,IF($K34&lt;=7,0.7,IF($K34&lt;=14,0.45,0.2))))),"")</f>
        <v>0.2</v>
      </c>
      <c r="AL34" s="202">
        <f>IF($C34,IF($J34="Completado",0,MEDIAN(0,MAX(-$V34,$W34/30),1)),"")</f>
        <v>0.0714285714285714</v>
      </c>
      <c r="AM34" s="202">
        <f>IF($C34,IF($J34="Completado",0,IF($Z34,1,IF(AND($I34&lt;0.5,$K34&lt;=7),0.7,0.3))),"")</f>
        <v>0.3</v>
      </c>
      <c r="AN34" s="203">
        <f>IF($C34,IF(OR($V34&lt;-0.2,$W34&gt;0),"ATRASO ","")&amp;IF($Z34,"BLOQUEO ","")&amp;IF($Y34&gt;8,"SOBRECARGA ","")&amp;IF($X34&gt;0,"DESVÍO-PLAN ",""),"")</f>
      </c>
      <c r="AO34" s="203" t="str">
        <f>IF($C34,IFERROR(VLOOKUP($D34,'Sprints'!$I$5:$J$12,2,FALSE),"Semanal"),"")</f>
        <v>Semanal</v>
      </c>
      <c r="AP34" s="202">
        <f>IF($C34,IFERROR(VLOOKUP($AO34,'Sprints'!$B$9:$C$11,2,FALSE),1),"")</f>
        <v>1</v>
      </c>
      <c r="AQ34" s="202">
        <f>IF($C34,'Sprints'!$C$5,"")</f>
        <v>46192</v>
      </c>
      <c r="AR34" s="202">
        <f>IF(AND($C34,ISNUMBER($H34)),CEILING(MAX(1,INT(($H34-$AQ34+'Sprints'!$D$5-1)/'Sprints'!$D$5)+1)/$AP34,1),"")</f>
      </c>
      <c r="AS34" s="202">
        <f>IF($C34,CEILING(MAX(1,INT((TODAY()-$AQ34+'Sprints'!$D$5-1)/'Sprints'!$D$5)+1)/$AP34,1),"")</f>
        <v>2</v>
      </c>
      <c r="AT34" s="203">
        <f>IF($C34,'Backlog General'!$G34,"")</f>
        <v>0</v>
      </c>
      <c r="AU34" s="203">
        <f>IF($C34,'Backlog General'!$H34,"")</f>
        <v>0</v>
      </c>
      <c r="AV34" s="202">
        <f>IF(AND($C34,ISNUMBER($AR34)),IF(OR($AT34="Completo",$AU34="Cancelado",$AU34="Baja prioridad"),$AR34,IF($AU34="Pasa al siguiente",MAX($AR34+1,$AS34),MAX($AR34,$AS34))),"")</f>
      </c>
      <c r="AW34" s="202">
        <f>IF(AND($C34,ISNUMBER($AR34)),$AQ34+$AR34*$AP34*'Sprints'!$D$5-'Sprints'!$D$5,"")</f>
      </c>
      <c r="AX34" s="202">
        <f>IF($C34,IF(OR($AT34="Completo",$AU34="Cancelado",$AU34="Baja prioridad",NOT(ISNUMBER($AW34))),0,IF(TODAY()&gt;$AW34,NETWORKDAYS($AW34,TODAY(),'Sprints'!$L$5:$L$40)-1,0)),"")</f>
        <v>0</v>
      </c>
      <c r="AY34" s="203" t="str">
        <f>IF($C34,IF(NOT(ISNUMBER($AR34)),"Sin fecha",IF($AT34="Completo","Completo",IF($AU34="Cancelado","Cancelado",IF($AU34="Baja prioridad","Baja prioridad",IF($AX34&gt;0,"Vencida","Pendiente"))))),"")</f>
        <v>Sin fecha</v>
      </c>
      <c r="AZ34" s="203" t="str">
        <f>IF($C34,IF(ISNUMBER($AV34),$AO34&amp;" · S"&amp;$AV34,"(Sin fecha)"),"")</f>
        <v>(Sin fecha)</v>
      </c>
      <c r="BA34" s="202">
        <f>IF($C34,IF(AND(ISNUMBER('Backlog General'!$M34),'Backlog General'!$M34=$AS34),"Nuevo S"&amp;'Backlog General'!$M34,""),"")</f>
      </c>
      <c r="BB34" s="202">
        <f>IF(AND($C34,$AO34="Semanal",ISNUMBER($AV34)),$AV34*100000+ROW(),"")</f>
      </c>
      <c r="BC34" s="202">
        <f>IF(AND($C34,$AO34="Quincenal",ISNUMBER($AV34)),$AV34*100000+ROW(),"")</f>
      </c>
      <c r="BD34" s="202">
        <f>IF(AND($C34,$AO34="Mensual",ISNUMBER($AV34)),$AV34*100000+ROW(),"")</f>
      </c>
      <c r="BE34" s="203">
        <f>IF($C34,IF(ISBLANK('Backlog General'!$J34),"",'Backlog General'!$J34),"")</f>
      </c>
      <c r="BF34" s="203">
        <f>IF($C34,IF($BE34="","",$BE34)&amp;IF(AND($BE34&lt;&gt;"",$AH34&lt;&gt;"")," · ","")&amp;IF($AH34="","",$AH34),"")</f>
      </c>
      <c r="BG34" s="203" t="str">
        <f>IF($C34,IF($J34="Completado","Sí","No"),"")</f>
        <v>No</v>
      </c>
      <c r="BH34" s="202">
        <f>IF(AND($C34,ISNUMBER($AR34)),IF($AO34="Semanal",1,IF($AO34="Quincenal",2,3))*1000000000+$AR34*100000+ROW(),"")</f>
      </c>
    </row>
    <row r="35">
      <c r="A35" s="202">
        <f>ROW()</f>
        <v>35</v>
      </c>
      <c r="B35" s="202" t="b">
        <f>ISTEXT('Proyecto Datos (OKR´s)'!$K35)</f>
        <v>0</v>
      </c>
      <c r="C35" s="202" t="b">
        <f>AND(LEN('Proyecto Datos (OKR´s)'!$G35)&gt;0,NOT($B35),OR(ISNUMBER('Proyecto Datos (OKR´s)'!$F35),ISNUMBER('Proyecto Datos (OKR´s)'!$L35)))</f>
        <v>1</v>
      </c>
      <c r="D35" s="203" t="str">
        <f>IF($C35,IFERROR(LOOKUP(2,1/((ISTEXT('Proyecto Datos (OKR´s)'!$K$7:$K35))*(LEN('Proyecto Datos (OKR´s)'!$G$7:$G35)&gt;0)),'Proyecto Datos (OKR´s)'!$G$7:$G35),""),"")</f>
        <v>4- Tablero BI DEUDA</v>
      </c>
      <c r="E35" s="202">
        <f>IF($C35,'Proyecto Datos (OKR´s)'!$E35,"")</f>
        <v>0</v>
      </c>
      <c r="F35" s="203" t="str">
        <f>IF($C35,'Proyecto Datos (OKR´s)'!$G35,"")</f>
        <v>Creación detalle deuda YPF (ídem Excel)</v>
      </c>
      <c r="G35" s="203" t="str">
        <f>IF($C35,IF('Proyecto Datos (OKR´s)'!$I35="","(Sin asignar)",'Proyecto Datos (OKR´s)'!$I35),"")</f>
        <v>Santiago Alonso</v>
      </c>
      <c r="H35" s="202">
        <f>IF($C35,IF(ISNUMBER('Proyecto Datos (OKR´s)'!$F35),'Proyecto Datos (OKR´s)'!$F35,""),"")</f>
      </c>
      <c r="I35" s="202">
        <f>IF($C35,'Proyecto Datos (OKR´s)'!$J35,"")</f>
        <v>0.5</v>
      </c>
      <c r="J35" s="203" t="str">
        <f>IF($C35,IF($I35&gt;=1,"Completado",IF(NOT(ISNUMBER($H35)),"Sin fecha",IF($H35&lt;TODAY(),"Vencido",IF(($H35-TODAY())&lt;='Entregas Próximas'!$M$3,"Próximo a vencer","En curso")))),"")</f>
        <v>Sin fecha</v>
      </c>
      <c r="K35" s="202">
        <f>IF(AND($C35,ISNUMBER($H35)),$H35-TODAY(),"")</f>
      </c>
      <c r="L35" s="202">
        <f>IF(AND($C35,ISNUMBER($H35)),$AD35*1000000+$H35+ROW()/100000,"")</f>
      </c>
      <c r="M35" s="202">
        <f>IF($C35,IF($AD35=9999,"(Sin sprint)",$AD35),"")</f>
      </c>
      <c r="N35" s="202">
        <f>IF($C35,IF('Proyecto Datos (OKR´s)'!$E35="",9999,'Proyecto Datos (OKR´s)'!$E35),"")</f>
        <v>9999</v>
      </c>
      <c r="O35" s="202" t="str">
        <f>IF($C35,"T"&amp;TEXT(ROW(),"000"),"")</f>
        <v>T035</v>
      </c>
      <c r="P35" s="202">
        <f>ROW()-6</f>
        <v>29</v>
      </c>
      <c r="Q35" s="202">
        <f>IF(COUNTIF($AD$7:$AD$200,$P35)&gt;0,$P35,"")</f>
      </c>
      <c r="R35" s="202">
        <f>IF($C35,IF(ISNUMBER('Proyecto Datos (OKR´s)'!$L35),'Proyecto Datos (OKR´s)'!$L35,$H35),"")</f>
        <v>46209</v>
      </c>
      <c r="S35" s="202">
        <f>IF($C35,$R35-'Proyecto Datos (OKR´s)'!$K35+1,"")</f>
        <v>18</v>
      </c>
      <c r="T35" s="202">
        <f>IF($C35,MAX(0,TODAY()-'Proyecto Datos (OKR´s)'!$K35),"")</f>
        <v>4</v>
      </c>
      <c r="U35" s="202">
        <f>IF($C35,MEDIAN(0,(TODAY()-'Proyecto Datos (OKR´s)'!$K35)/MAX(1,$R35-'Proyecto Datos (OKR´s)'!$K35),1),"")</f>
        <v>0.23529411764705882</v>
      </c>
      <c r="V35" s="202">
        <f>IF($C35,$I35-$U35,"")</f>
        <v>0.2647058823529412</v>
      </c>
      <c r="W35" s="202">
        <f>IF($C35,IF(OR($J35="Completado",NOT(ISNUMBER($H35))),0,MAX(0,TODAY()-$H35)),"")</f>
        <v>0</v>
      </c>
      <c r="X35" s="202">
        <f>IF($C35,IF(ISNUMBER($H35),$R35-$H35,0),"")</f>
        <v>0</v>
      </c>
      <c r="Y35" s="202">
        <f>IF($C35,COUNTIFS($G$7:$G$200,$G35,$J$7:$J$200,"&lt;&gt;Completado",$J$7:$J$200,"&lt;&gt;"),"")</f>
        <v>0</v>
      </c>
      <c r="Z35" s="202" t="b">
        <f>IF($C35,AND($I35=0,'Proyecto Datos (OKR´s)'!$K35&lt;=TODAY(),$J35&lt;&gt;"Completado"),"")</f>
        <v>0</v>
      </c>
      <c r="AA35" s="202">
        <f>IF($C35,ROUND(100*(0.35*$AK35+0.3*$AL35+0.2*$AM35+0.15*MEDIAN(0,($Y35-4)/8,1)),0),"")</f>
        <v>13</v>
      </c>
      <c r="AB35" s="203" t="str">
        <f>IF($C35,IF(OR($J35="Completado",$J35="Sin fecha"),"—",IF($AA35&gt;=70,"Crítica",IF($AA35&gt;=45,"Alta",IF($AA35&gt;=25,"Media","Baja")))),"")</f>
        <v>—</v>
      </c>
      <c r="AC35" s="203" t="str">
        <f>IF($C35,IF(LEN(TRIM($AN35))=0,"—",TRIM($AN35)),"")</f>
        <v>—</v>
      </c>
      <c r="AD35" s="202">
        <f>IF($C35,$AV35,"")</f>
      </c>
      <c r="AE35" s="202" t="str">
        <f>IF($C35,$AZ35,"")</f>
        <v>(Sin fecha)</v>
      </c>
      <c r="AF35" s="202" t="b">
        <f>IF($C35,$AV35&lt;&gt;$AR35,FALSE)</f>
        <v>0</v>
      </c>
      <c r="AG35" s="202">
        <f>IF($C35,IF($AV35&lt;&gt;$AR35,$AW35,""),"")</f>
      </c>
      <c r="AH35" s="203">
        <f>IF($C35,IF(ISBLANK('Backlog General'!$K35),"",'Backlog General'!$K35),"")</f>
      </c>
      <c r="AI35" s="202">
        <f>IF($C35,$AV35*100000+ROW(),"")</f>
      </c>
      <c r="AJ35" s="202">
        <f>IF(AND($C35,ISNUMBER($H35)),$AA35*1000000-MEDIAN(-9999,$K35,9999)*100+(300-ROW()),"")</f>
      </c>
      <c r="AK35" s="202">
        <f>IF($C35,IF($J35="Completado",0,IF($K35&lt;0,1,IF($K35&lt;=3,0.9,IF($K35&lt;=7,0.7,IF($K35&lt;=14,0.45,0.2))))),"")</f>
        <v>0.2</v>
      </c>
      <c r="AL35" s="202">
        <f>IF($C35,IF($J35="Completado",0,MEDIAN(0,MAX(-$V35,$W35/30),1)),"")</f>
        <v>0</v>
      </c>
      <c r="AM35" s="202">
        <f>IF($C35,IF($J35="Completado",0,IF($Z35,1,IF(AND($I35&lt;0.5,$K35&lt;=7),0.7,0.3))),"")</f>
        <v>0.3</v>
      </c>
      <c r="AN35" s="203">
        <f>IF($C35,IF(OR($V35&lt;-0.2,$W35&gt;0),"ATRASO ","")&amp;IF($Z35,"BLOQUEO ","")&amp;IF($Y35&gt;8,"SOBRECARGA ","")&amp;IF($X35&gt;0,"DESVÍO-PLAN ",""),"")</f>
      </c>
      <c r="AO35" s="203" t="str">
        <f>IF($C35,IFERROR(VLOOKUP($D35,'Sprints'!$I$5:$J$12,2,FALSE),"Semanal"),"")</f>
        <v>Semanal</v>
      </c>
      <c r="AP35" s="202">
        <f>IF($C35,IFERROR(VLOOKUP($AO35,'Sprints'!$B$9:$C$11,2,FALSE),1),"")</f>
        <v>1</v>
      </c>
      <c r="AQ35" s="202">
        <f>IF($C35,'Sprints'!$C$5,"")</f>
        <v>46192</v>
      </c>
      <c r="AR35" s="202">
        <f>IF(AND($C35,ISNUMBER($H35)),CEILING(MAX(1,INT(($H35-$AQ35+'Sprints'!$D$5-1)/'Sprints'!$D$5)+1)/$AP35,1),"")</f>
      </c>
      <c r="AS35" s="202">
        <f>IF($C35,CEILING(MAX(1,INT((TODAY()-$AQ35+'Sprints'!$D$5-1)/'Sprints'!$D$5)+1)/$AP35,1),"")</f>
        <v>2</v>
      </c>
      <c r="AT35" s="203">
        <f>IF($C35,'Backlog General'!$G35,"")</f>
        <v>0</v>
      </c>
      <c r="AU35" s="203">
        <f>IF($C35,'Backlog General'!$H35,"")</f>
        <v>0</v>
      </c>
      <c r="AV35" s="202">
        <f>IF(AND($C35,ISNUMBER($AR35)),IF(OR($AT35="Completo",$AU35="Cancelado",$AU35="Baja prioridad"),$AR35,IF($AU35="Pasa al siguiente",MAX($AR35+1,$AS35),MAX($AR35,$AS35))),"")</f>
      </c>
      <c r="AW35" s="202">
        <f>IF(AND($C35,ISNUMBER($AR35)),$AQ35+$AR35*$AP35*'Sprints'!$D$5-'Sprints'!$D$5,"")</f>
      </c>
      <c r="AX35" s="202">
        <f>IF($C35,IF(OR($AT35="Completo",$AU35="Cancelado",$AU35="Baja prioridad",NOT(ISNUMBER($AW35))),0,IF(TODAY()&gt;$AW35,NETWORKDAYS($AW35,TODAY(),'Sprints'!$L$5:$L$40)-1,0)),"")</f>
        <v>0</v>
      </c>
      <c r="AY35" s="203" t="str">
        <f>IF($C35,IF(NOT(ISNUMBER($AR35)),"Sin fecha",IF($AT35="Completo","Completo",IF($AU35="Cancelado","Cancelado",IF($AU35="Baja prioridad","Baja prioridad",IF($AX35&gt;0,"Vencida","Pendiente"))))),"")</f>
        <v>Sin fecha</v>
      </c>
      <c r="AZ35" s="203" t="str">
        <f>IF($C35,IF(ISNUMBER($AV35),$AO35&amp;" · S"&amp;$AV35,"(Sin fecha)"),"")</f>
        <v>(Sin fecha)</v>
      </c>
      <c r="BA35" s="202">
        <f>IF($C35,IF(AND(ISNUMBER('Backlog General'!$M35),'Backlog General'!$M35=$AS35),"Nuevo S"&amp;'Backlog General'!$M35,""),"")</f>
      </c>
      <c r="BB35" s="202">
        <f>IF(AND($C35,$AO35="Semanal",ISNUMBER($AV35)),$AV35*100000+ROW(),"")</f>
      </c>
      <c r="BC35" s="202">
        <f>IF(AND($C35,$AO35="Quincenal",ISNUMBER($AV35)),$AV35*100000+ROW(),"")</f>
      </c>
      <c r="BD35" s="202">
        <f>IF(AND($C35,$AO35="Mensual",ISNUMBER($AV35)),$AV35*100000+ROW(),"")</f>
      </c>
      <c r="BE35" s="203">
        <f>IF($C35,IF(ISBLANK('Backlog General'!$J35),"",'Backlog General'!$J35),"")</f>
      </c>
      <c r="BF35" s="203">
        <f>IF($C35,IF($BE35="","",$BE35)&amp;IF(AND($BE35&lt;&gt;"",$AH35&lt;&gt;"")," · ","")&amp;IF($AH35="","",$AH35),"")</f>
      </c>
      <c r="BG35" s="203" t="str">
        <f>IF($C35,IF($J35="Completado","Sí","No"),"")</f>
        <v>No</v>
      </c>
      <c r="BH35" s="202">
        <f>IF(AND($C35,ISNUMBER($AR35)),IF($AO35="Semanal",1,IF($AO35="Quincenal",2,3))*1000000000+$AR35*100000+ROW(),"")</f>
      </c>
    </row>
    <row r="36">
      <c r="A36" s="202">
        <f>ROW()</f>
        <v>36</v>
      </c>
      <c r="B36" s="202" t="b">
        <f>ISTEXT('Proyecto Datos (OKR´s)'!$K36)</f>
        <v>1</v>
      </c>
      <c r="C36" s="202" t="b">
        <f>AND(LEN('Proyecto Datos (OKR´s)'!$G36)&gt;0,NOT($B36),OR(ISNUMBER('Proyecto Datos (OKR´s)'!$F36),ISNUMBER('Proyecto Datos (OKR´s)'!$L36)))</f>
        <v>0</v>
      </c>
      <c r="D36" s="203">
        <f>IF($C36,IFERROR(LOOKUP(2,1/((ISTEXT('Proyecto Datos (OKR´s)'!$K$7:$K36))*(LEN('Proyecto Datos (OKR´s)'!$G$7:$G36)&gt;0)),'Proyecto Datos (OKR´s)'!$G$7:$G36),""),"")</f>
      </c>
      <c r="E36" s="202">
        <f>IF($C36,'Proyecto Datos (OKR´s)'!$E36,"")</f>
      </c>
      <c r="F36" s="203">
        <f>IF($C36,'Proyecto Datos (OKR´s)'!$G36,"")</f>
      </c>
      <c r="G36" s="203">
        <f>IF($C36,IF('Proyecto Datos (OKR´s)'!$I36="","(Sin asignar)",'Proyecto Datos (OKR´s)'!$I36),"")</f>
      </c>
      <c r="H36" s="202">
        <f>IF($C36,IF(ISNUMBER('Proyecto Datos (OKR´s)'!$F36),'Proyecto Datos (OKR´s)'!$F36,""),"")</f>
      </c>
      <c r="I36" s="202">
        <f>IF($C36,'Proyecto Datos (OKR´s)'!$J36,"")</f>
      </c>
      <c r="J36" s="203">
        <f>IF($C36,IF($I36&gt;=1,"Completado",IF(NOT(ISNUMBER($H36)),"Sin fecha",IF($H36&lt;TODAY(),"Vencido",IF(($H36-TODAY())&lt;='Entregas Próximas'!$M$3,"Próximo a vencer","En curso")))),"")</f>
      </c>
      <c r="K36" s="202">
        <f>IF(AND($C36,ISNUMBER($H36)),$H36-TODAY(),"")</f>
      </c>
      <c r="L36" s="202">
        <f>IF(AND($C36,ISNUMBER($H36)),$AD36*1000000+$H36+ROW()/100000,"")</f>
      </c>
      <c r="M36" s="202">
        <f>IF($C36,IF($AD36=9999,"(Sin sprint)",$AD36),"")</f>
      </c>
      <c r="N36" s="202">
        <f>IF($C36,IF('Proyecto Datos (OKR´s)'!$E36="",9999,'Proyecto Datos (OKR´s)'!$E36),"")</f>
      </c>
      <c r="O36" s="202">
        <f>IF($C36,"T"&amp;TEXT(ROW(),"000"),"")</f>
      </c>
      <c r="P36" s="202">
        <f>ROW()-6</f>
        <v>30</v>
      </c>
      <c r="Q36" s="202">
        <f>IF(COUNTIF($AD$7:$AD$200,$P36)&gt;0,$P36,"")</f>
      </c>
      <c r="R36" s="202">
        <f>IF($C36,IF(ISNUMBER('Proyecto Datos (OKR´s)'!$L36),'Proyecto Datos (OKR´s)'!$L36,$H36),"")</f>
      </c>
      <c r="S36" s="202">
        <f>IF($C36,$R36-'Proyecto Datos (OKR´s)'!$K36+1,"")</f>
      </c>
      <c r="T36" s="202">
        <f>IF($C36,MAX(0,TODAY()-'Proyecto Datos (OKR´s)'!$K36),"")</f>
      </c>
      <c r="U36" s="202">
        <f>IF($C36,MEDIAN(0,(TODAY()-'Proyecto Datos (OKR´s)'!$K36)/MAX(1,$R36-'Proyecto Datos (OKR´s)'!$K36),1),"")</f>
      </c>
      <c r="V36" s="202">
        <f>IF($C36,$I36-$U36,"")</f>
      </c>
      <c r="W36" s="202">
        <f>IF($C36,IF(OR($J36="Completado",NOT(ISNUMBER($H36))),0,MAX(0,TODAY()-$H36)),"")</f>
      </c>
      <c r="X36" s="202">
        <f>IF($C36,IF(ISNUMBER($H36),$R36-$H36,0),"")</f>
      </c>
      <c r="Y36" s="202">
        <f>IF($C36,COUNTIFS($G$7:$G$200,$G36,$J$7:$J$200,"&lt;&gt;Completado",$J$7:$J$200,"&lt;&gt;"),"")</f>
      </c>
      <c r="Z36" s="202">
        <f>IF($C36,AND($I36=0,'Proyecto Datos (OKR´s)'!$K36&lt;=TODAY(),$J36&lt;&gt;"Completado"),"")</f>
      </c>
      <c r="AA36" s="202">
        <f>IF($C36,ROUND(100*(0.35*$AK36+0.3*$AL36+0.2*$AM36+0.15*MEDIAN(0,($Y36-4)/8,1)),0),"")</f>
      </c>
      <c r="AB36" s="203">
        <f>IF($C36,IF(OR($J36="Completado",$J36="Sin fecha"),"—",IF($AA36&gt;=70,"Crítica",IF($AA36&gt;=45,"Alta",IF($AA36&gt;=25,"Media","Baja")))),"")</f>
      </c>
      <c r="AC36" s="203">
        <f>IF($C36,IF(LEN(TRIM($AN36))=0,"—",TRIM($AN36)),"")</f>
      </c>
      <c r="AD36" s="202">
        <f>IF($C36,$AV36,"")</f>
      </c>
      <c r="AE36" s="202">
        <f>IF($C36,$AZ36,"")</f>
      </c>
      <c r="AF36" s="202" t="b">
        <f>IF($C36,$AV36&lt;&gt;$AR36,FALSE)</f>
        <v>0</v>
      </c>
      <c r="AG36" s="202">
        <f>IF($C36,IF($AV36&lt;&gt;$AR36,$AW36,""),"")</f>
      </c>
      <c r="AH36" s="203">
        <f>IF($C36,IF(ISBLANK('Backlog General'!$K36),"",'Backlog General'!$K36),"")</f>
      </c>
      <c r="AI36" s="202">
        <f>IF($C36,$AV36*100000+ROW(),"")</f>
      </c>
      <c r="AJ36" s="202">
        <f>IF(AND($C36,ISNUMBER($H36)),$AA36*1000000-MEDIAN(-9999,$K36,9999)*100+(300-ROW()),"")</f>
      </c>
      <c r="AK36" s="202">
        <f>IF($C36,IF($J36="Completado",0,IF($K36&lt;0,1,IF($K36&lt;=3,0.9,IF($K36&lt;=7,0.7,IF($K36&lt;=14,0.45,0.2))))),"")</f>
      </c>
      <c r="AL36" s="202">
        <f>IF($C36,IF($J36="Completado",0,MEDIAN(0,MAX(-$V36,$W36/30),1)),"")</f>
      </c>
      <c r="AM36" s="202">
        <f>IF($C36,IF($J36="Completado",0,IF($Z36,1,IF(AND($I36&lt;0.5,$K36&lt;=7),0.7,0.3))),"")</f>
      </c>
      <c r="AN36" s="203">
        <f>IF($C36,IF(OR($V36&lt;-0.2,$W36&gt;0),"ATRASO ","")&amp;IF($Z36,"BLOQUEO ","")&amp;IF($Y36&gt;8,"SOBRECARGA ","")&amp;IF($X36&gt;0,"DESVÍO-PLAN ",""),"")</f>
      </c>
      <c r="AO36" s="203">
        <f>IF($C36,IFERROR(VLOOKUP($D36,'Sprints'!$I$5:$J$12,2,FALSE),"Semanal"),"")</f>
      </c>
      <c r="AP36" s="202">
        <f>IF($C36,IFERROR(VLOOKUP($AO36,'Sprints'!$B$9:$C$11,2,FALSE),1),"")</f>
      </c>
      <c r="AQ36" s="202">
        <f>IF($C36,'Sprints'!$C$5,"")</f>
      </c>
      <c r="AR36" s="202">
        <f>IF(AND($C36,ISNUMBER($H36)),CEILING(MAX(1,INT(($H36-$AQ36+'Sprints'!$D$5-1)/'Sprints'!$D$5)+1)/$AP36,1),"")</f>
      </c>
      <c r="AS36" s="202">
        <f>IF($C36,CEILING(MAX(1,INT((TODAY()-$AQ36+'Sprints'!$D$5-1)/'Sprints'!$D$5)+1)/$AP36,1),"")</f>
      </c>
      <c r="AT36" s="203">
        <f>IF($C36,'Backlog General'!$G36,"")</f>
      </c>
      <c r="AU36" s="203">
        <f>IF($C36,'Backlog General'!$H36,"")</f>
      </c>
      <c r="AV36" s="202">
        <f>IF(AND($C36,ISNUMBER($AR36)),IF(OR($AT36="Completo",$AU36="Cancelado",$AU36="Baja prioridad"),$AR36,IF($AU36="Pasa al siguiente",MAX($AR36+1,$AS36),MAX($AR36,$AS36))),"")</f>
      </c>
      <c r="AW36" s="202">
        <f>IF(AND($C36,ISNUMBER($AR36)),$AQ36+$AR36*$AP36*'Sprints'!$D$5-'Sprints'!$D$5,"")</f>
      </c>
      <c r="AX36" s="202">
        <f>IF($C36,IF(OR($AT36="Completo",$AU36="Cancelado",$AU36="Baja prioridad",NOT(ISNUMBER($AW36))),0,IF(TODAY()&gt;$AW36,NETWORKDAYS($AW36,TODAY(),'Sprints'!$L$5:$L$40)-1,0)),"")</f>
      </c>
      <c r="AY36" s="203">
        <f>IF($C36,IF(NOT(ISNUMBER($AR36)),"Sin fecha",IF($AT36="Completo","Completo",IF($AU36="Cancelado","Cancelado",IF($AU36="Baja prioridad","Baja prioridad",IF($AX36&gt;0,"Vencida","Pendiente"))))),"")</f>
      </c>
      <c r="AZ36" s="203">
        <f>IF($C36,IF(ISNUMBER($AV36),$AO36&amp;" · S"&amp;$AV36,"(Sin fecha)"),"")</f>
      </c>
      <c r="BA36" s="202">
        <f>IF($C36,IF(AND(ISNUMBER('Backlog General'!$M36),'Backlog General'!$M36=$AS36),"Nuevo S"&amp;'Backlog General'!$M36,""),"")</f>
      </c>
      <c r="BB36" s="202">
        <f>IF(AND($C36,$AO36="Semanal",ISNUMBER($AV36)),$AV36*100000+ROW(),"")</f>
      </c>
      <c r="BC36" s="202">
        <f>IF(AND($C36,$AO36="Quincenal",ISNUMBER($AV36)),$AV36*100000+ROW(),"")</f>
      </c>
      <c r="BD36" s="202">
        <f>IF(AND($C36,$AO36="Mensual",ISNUMBER($AV36)),$AV36*100000+ROW(),"")</f>
      </c>
      <c r="BE36" s="203">
        <f>IF($C36,IF(ISBLANK('Backlog General'!$J36),"",'Backlog General'!$J36),"")</f>
      </c>
      <c r="BF36" s="203">
        <f>IF($C36,IF($BE36="","",$BE36)&amp;IF(AND($BE36&lt;&gt;"",$AH36&lt;&gt;"")," · ","")&amp;IF($AH36="","",$AH36),"")</f>
      </c>
      <c r="BG36" s="203">
        <f>IF($C36,IF($J36="Completado","Sí","No"),"")</f>
      </c>
      <c r="BH36" s="202">
        <f>IF(AND($C36,ISNUMBER($AR36)),IF($AO36="Semanal",1,IF($AO36="Quincenal",2,3))*1000000000+$AR36*100000+ROW(),"")</f>
      </c>
    </row>
    <row r="37">
      <c r="A37" s="202">
        <f>ROW()</f>
        <v>37</v>
      </c>
      <c r="B37" s="202" t="b">
        <f>ISTEXT('Proyecto Datos (OKR´s)'!$K37)</f>
        <v>0</v>
      </c>
      <c r="C37" s="202" t="b">
        <f>AND(LEN('Proyecto Datos (OKR´s)'!$G37)&gt;0,NOT($B37),OR(ISNUMBER('Proyecto Datos (OKR´s)'!$F37),ISNUMBER('Proyecto Datos (OKR´s)'!$L37)))</f>
        <v>1</v>
      </c>
      <c r="D37" s="203" t="str">
        <f>IF($C37,IFERROR(LOOKUP(2,1/((ISTEXT('Proyecto Datos (OKR´s)'!$K$7:$K37))*(LEN('Proyecto Datos (OKR´s)'!$G$7:$G37)&gt;0)),'Proyecto Datos (OKR´s)'!$G$7:$G37),""),"")</f>
        <v>5- Tablero Control General - Op. Complejas</v>
      </c>
      <c r="E37" s="202">
        <f>IF($C37,'Proyecto Datos (OKR´s)'!$E37,"")</f>
        <v>1</v>
      </c>
      <c r="F37" s="203" t="str">
        <f>IF($C37,'Proyecto Datos (OKR´s)'!$G37,"")</f>
        <v>Planilla Activos Unificados - Estandarizar + Procedimiento</v>
      </c>
      <c r="G37" s="203" t="str">
        <f>IF($C37,IF('Proyecto Datos (OKR´s)'!$I37="","(Sin asignar)",'Proyecto Datos (OKR´s)'!$I37),"")</f>
        <v>Santiago Alonso</v>
      </c>
      <c r="H37" s="202">
        <f>IF($C37,IF(ISNUMBER('Proyecto Datos (OKR´s)'!$F37),'Proyecto Datos (OKR´s)'!$F37,""),"")</f>
        <v>46188</v>
      </c>
      <c r="I37" s="202">
        <f>IF($C37,'Proyecto Datos (OKR´s)'!$J37,"")</f>
        <v>0.2</v>
      </c>
      <c r="J37" s="203" t="str">
        <f>IF($C37,IF($I37&gt;=1,"Completado",IF(NOT(ISNUMBER($H37)),"Sin fecha",IF($H37&lt;TODAY(),"Vencido",IF(($H37-TODAY())&lt;='Entregas Próximas'!$M$3,"Próximo a vencer","En curso")))),"")</f>
        <v>Vencido</v>
      </c>
      <c r="K37" s="202">
        <f>IF(AND($C37,ISNUMBER($H37)),$H37-TODAY(),"")</f>
        <v>-8</v>
      </c>
      <c r="L37" s="202">
        <f>IF(AND($C37,ISNUMBER($H37)),$AD37*1000000+$H37+ROW()/100000,"")</f>
        <v>2046188.00037</v>
      </c>
      <c r="M37" s="202">
        <f>IF($C37,IF($AD37=9999,"(Sin sprint)",$AD37),"")</f>
        <v>2</v>
      </c>
      <c r="N37" s="202">
        <f>IF($C37,IF('Proyecto Datos (OKR´s)'!$E37="",9999,'Proyecto Datos (OKR´s)'!$E37),"")</f>
        <v>1</v>
      </c>
      <c r="O37" s="202" t="str">
        <f>IF($C37,"T"&amp;TEXT(ROW(),"000"),"")</f>
        <v>T037</v>
      </c>
      <c r="P37" s="202">
        <v>9999</v>
      </c>
      <c r="Q37" s="202">
        <f>IF(COUNTIF($AD$7:$AD$200,9999)&gt;0,9999,"")</f>
      </c>
      <c r="R37" s="202">
        <f>IF($C37,IF(ISNUMBER('Proyecto Datos (OKR´s)'!$L37),'Proyecto Datos (OKR´s)'!$L37,$H37),"")</f>
        <v>46188</v>
      </c>
      <c r="S37" s="202">
        <f>IF($C37,$R37-'Proyecto Datos (OKR´s)'!$K37+1,"")</f>
        <v>197</v>
      </c>
      <c r="T37" s="202">
        <f>IF($C37,MAX(0,TODAY()-'Proyecto Datos (OKR´s)'!$K37),"")</f>
        <v>204</v>
      </c>
      <c r="U37" s="202">
        <f>IF($C37,MEDIAN(0,(TODAY()-'Proyecto Datos (OKR´s)'!$K37)/MAX(1,$R37-'Proyecto Datos (OKR´s)'!$K37),1),"")</f>
        <v>1</v>
      </c>
      <c r="V37" s="202">
        <f>IF($C37,$I37-$U37,"")</f>
        <v>-0.8</v>
      </c>
      <c r="W37" s="202">
        <f>IF($C37,IF(OR($J37="Completado",NOT(ISNUMBER($H37))),0,MAX(0,TODAY()-$H37)),"")</f>
        <v>8</v>
      </c>
      <c r="X37" s="202">
        <f>IF($C37,IF(ISNUMBER($H37),$R37-$H37,0),"")</f>
        <v>0</v>
      </c>
      <c r="Y37" s="202">
        <f>IF($C37,COUNTIFS($G$7:$G$200,$G37,$J$7:$J$200,"&lt;&gt;Completado",$J$7:$J$200,"&lt;&gt;"),"")</f>
        <v>0</v>
      </c>
      <c r="Z37" s="202" t="b">
        <f>IF($C37,AND($I37=0,'Proyecto Datos (OKR´s)'!$K37&lt;=TODAY(),$J37&lt;&gt;"Completado"),"")</f>
        <v>0</v>
      </c>
      <c r="AA37" s="202">
        <f>IF($C37,ROUND(100*(0.35*$AK37+0.3*$AL37+0.2*$AM37+0.15*MEDIAN(0,($Y37-4)/8,1)),0),"")</f>
        <v>73</v>
      </c>
      <c r="AB37" s="203" t="str">
        <f>IF($C37,IF(OR($J37="Completado",$J37="Sin fecha"),"—",IF($AA37&gt;=70,"Crítica",IF($AA37&gt;=45,"Alta",IF($AA37&gt;=25,"Media","Baja")))),"")</f>
        <v>Crítica</v>
      </c>
      <c r="AC37" s="203" t="str">
        <f>IF($C37,IF(LEN(TRIM($AN37))=0,"—",TRIM($AN37)),"")</f>
        <v>ATRASO</v>
      </c>
      <c r="AD37" s="202">
        <f>IF($C37,$AV37,"")</f>
        <v>2</v>
      </c>
      <c r="AE37" s="202" t="str">
        <f>IF($C37,$AZ37,"")</f>
        <v>Semanal · S2</v>
      </c>
      <c r="AF37" s="202" t="b">
        <f>IF($C37,$AV37&lt;&gt;$AR37,FALSE)</f>
        <v>1</v>
      </c>
      <c r="AG37" s="202">
        <f>IF($C37,IF($AV37&lt;&gt;$AR37,$AW37,""),"")</f>
        <v>46192</v>
      </c>
      <c r="AH37" s="203">
        <f>IF($C37,IF(ISBLANK('Backlog General'!$K37),"",'Backlog General'!$K37),"")</f>
      </c>
      <c r="AI37" s="202">
        <f>IF($C37,$AV37*100000+ROW(),"")</f>
        <v>200037</v>
      </c>
      <c r="AJ37" s="202">
        <f>IF(AND($C37,ISNUMBER($H37)),$AA37*1000000-MEDIAN(-9999,$K37,9999)*100+(300-ROW()),"")</f>
        <v>73001063</v>
      </c>
      <c r="AK37" s="202">
        <f>IF($C37,IF($J37="Completado",0,IF($K37&lt;0,1,IF($K37&lt;=3,0.9,IF($K37&lt;=7,0.7,IF($K37&lt;=14,0.45,0.2))))),"")</f>
        <v>1</v>
      </c>
      <c r="AL37" s="202">
        <f>IF($C37,IF($J37="Completado",0,MEDIAN(0,MAX(-$V37,$W37/30),1)),"")</f>
        <v>0.8</v>
      </c>
      <c r="AM37" s="202">
        <f>IF($C37,IF($J37="Completado",0,IF($Z37,1,IF(AND($I37&lt;0.5,$K37&lt;=7),0.7,0.3))),"")</f>
        <v>0.7</v>
      </c>
      <c r="AN37" s="203" t="str">
        <f>IF($C37,IF(OR($V37&lt;-0.2,$W37&gt;0),"ATRASO ","")&amp;IF($Z37,"BLOQUEO ","")&amp;IF($Y37&gt;8,"SOBRECARGA ","")&amp;IF($X37&gt;0,"DESVÍO-PLAN ",""),"")</f>
        <v>ATRASO </v>
      </c>
      <c r="AO37" s="203" t="str">
        <f>IF($C37,IFERROR(VLOOKUP($D37,'Sprints'!$I$5:$J$12,2,FALSE),"Semanal"),"")</f>
        <v>Semanal</v>
      </c>
      <c r="AP37" s="202">
        <f>IF($C37,IFERROR(VLOOKUP($AO37,'Sprints'!$B$9:$C$11,2,FALSE),1),"")</f>
        <v>1</v>
      </c>
      <c r="AQ37" s="202">
        <f>IF($C37,'Sprints'!$C$5,"")</f>
        <v>46192</v>
      </c>
      <c r="AR37" s="202">
        <f>IF(AND($C37,ISNUMBER($H37)),CEILING(MAX(1,INT(($H37-$AQ37+'Sprints'!$D$5-1)/'Sprints'!$D$5)+1)/$AP37,1),"")</f>
        <v>1</v>
      </c>
      <c r="AS37" s="202">
        <f>IF($C37,CEILING(MAX(1,INT((TODAY()-$AQ37+'Sprints'!$D$5-1)/'Sprints'!$D$5)+1)/$AP37,1),"")</f>
        <v>2</v>
      </c>
      <c r="AT37" s="203">
        <f>IF($C37,'Backlog General'!$G37,"")</f>
        <v>0</v>
      </c>
      <c r="AU37" s="203">
        <f>IF($C37,'Backlog General'!$H37,"")</f>
        <v>0</v>
      </c>
      <c r="AV37" s="202">
        <f>IF(AND($C37,ISNUMBER($AR37)),IF(OR($AT37="Completo",$AU37="Cancelado",$AU37="Baja prioridad"),$AR37,IF($AU37="Pasa al siguiente",MAX($AR37+1,$AS37),MAX($AR37,$AS37))),"")</f>
        <v>2</v>
      </c>
      <c r="AW37" s="202">
        <f>IF(AND($C37,ISNUMBER($AR37)),$AQ37+$AR37*$AP37*'Sprints'!$D$5-'Sprints'!$D$5,"")</f>
        <v>46192</v>
      </c>
      <c r="AX37" s="202">
        <f>IF($C37,IF(OR($AT37="Completo",$AU37="Cancelado",$AU37="Baja prioridad",NOT(ISNUMBER($AW37))),0,IF(TODAY()&gt;$AW37,NETWORKDAYS($AW37,TODAY(),'Sprints'!$L$5:$L$40)-1,0)),"")</f>
        <v>2</v>
      </c>
      <c r="AY37" s="203" t="str">
        <f>IF($C37,IF(NOT(ISNUMBER($AR37)),"Sin fecha",IF($AT37="Completo","Completo",IF($AU37="Cancelado","Cancelado",IF($AU37="Baja prioridad","Baja prioridad",IF($AX37&gt;0,"Vencida","Pendiente"))))),"")</f>
        <v>Vencida</v>
      </c>
      <c r="AZ37" s="203" t="str">
        <f>IF($C37,IF(ISNUMBER($AV37),$AO37&amp;" · S"&amp;$AV37,"(Sin fecha)"),"")</f>
        <v>Semanal · S2</v>
      </c>
      <c r="BA37" s="202">
        <f>IF($C37,IF(AND(ISNUMBER('Backlog General'!$M37),'Backlog General'!$M37=$AS37),"Nuevo S"&amp;'Backlog General'!$M37,""),"")</f>
      </c>
      <c r="BB37" s="202">
        <f>IF(AND($C37,$AO37="Semanal",ISNUMBER($AV37)),$AV37*100000+ROW(),"")</f>
        <v>200037</v>
      </c>
      <c r="BC37" s="202">
        <f>IF(AND($C37,$AO37="Quincenal",ISNUMBER($AV37)),$AV37*100000+ROW(),"")</f>
      </c>
      <c r="BD37" s="202">
        <f>IF(AND($C37,$AO37="Mensual",ISNUMBER($AV37)),$AV37*100000+ROW(),"")</f>
      </c>
      <c r="BE37" s="203">
        <f>IF($C37,IF(ISBLANK('Backlog General'!$J37),"",'Backlog General'!$J37),"")</f>
      </c>
      <c r="BF37" s="203">
        <f>IF($C37,IF($BE37="","",$BE37)&amp;IF(AND($BE37&lt;&gt;"",$AH37&lt;&gt;"")," · ","")&amp;IF($AH37="","",$AH37),"")</f>
      </c>
      <c r="BG37" s="203" t="str">
        <f>IF($C37,IF($J37="Completado","Sí","No"),"")</f>
        <v>No</v>
      </c>
      <c r="BH37" s="202">
        <f>IF(AND($C37,ISNUMBER($AR37)),IF($AO37="Semanal",1,IF($AO37="Quincenal",2,3))*1000000000+$AR37*100000+ROW(),"")</f>
        <v>1000100037</v>
      </c>
    </row>
    <row r="38">
      <c r="A38" s="202">
        <f>ROW()</f>
        <v>38</v>
      </c>
      <c r="B38" s="202" t="b">
        <f>ISTEXT('Proyecto Datos (OKR´s)'!$K38)</f>
        <v>0</v>
      </c>
      <c r="C38" s="202" t="b">
        <f>AND(LEN('Proyecto Datos (OKR´s)'!$G38)&gt;0,NOT($B38),OR(ISNUMBER('Proyecto Datos (OKR´s)'!$F38),ISNUMBER('Proyecto Datos (OKR´s)'!$L38)))</f>
        <v>1</v>
      </c>
      <c r="D38" s="203" t="str">
        <f>IF($C38,IFERROR(LOOKUP(2,1/((ISTEXT('Proyecto Datos (OKR´s)'!$K$7:$K38))*(LEN('Proyecto Datos (OKR´s)'!$G$7:$G38)&gt;0)),'Proyecto Datos (OKR´s)'!$G$7:$G38),""),"")</f>
        <v>5- Tablero Control General - Op. Complejas</v>
      </c>
      <c r="E38" s="202">
        <f>IF($C38,'Proyecto Datos (OKR´s)'!$E38,"")</f>
        <v>1</v>
      </c>
      <c r="F38" s="203" t="str">
        <f>IF($C38,'Proyecto Datos (OKR´s)'!$G38,"")</f>
        <v>Planilla DTM Estandarizada+ Procedimiento</v>
      </c>
      <c r="G38" s="203" t="str">
        <f>IF($C38,IF('Proyecto Datos (OKR´s)'!$I38="","(Sin asignar)",'Proyecto Datos (OKR´s)'!$I38),"")</f>
        <v>Santiago Alonso</v>
      </c>
      <c r="H38" s="202">
        <f>IF($C38,IF(ISNUMBER('Proyecto Datos (OKR´s)'!$F38),'Proyecto Datos (OKR´s)'!$F38,""),"")</f>
        <v>46188</v>
      </c>
      <c r="I38" s="202">
        <f>IF($C38,'Proyecto Datos (OKR´s)'!$J38,"")</f>
        <v>0.9</v>
      </c>
      <c r="J38" s="203" t="str">
        <f>IF($C38,IF($I38&gt;=1,"Completado",IF(NOT(ISNUMBER($H38)),"Sin fecha",IF($H38&lt;TODAY(),"Vencido",IF(($H38-TODAY())&lt;='Entregas Próximas'!$M$3,"Próximo a vencer","En curso")))),"")</f>
        <v>Vencido</v>
      </c>
      <c r="K38" s="202">
        <f>IF(AND($C38,ISNUMBER($H38)),$H38-TODAY(),"")</f>
        <v>-8</v>
      </c>
      <c r="L38" s="202">
        <f>IF(AND($C38,ISNUMBER($H38)),$AD38*1000000+$H38+ROW()/100000,"")</f>
        <v>2046188.00038</v>
      </c>
      <c r="M38" s="202">
        <f>IF($C38,IF($AD38=9999,"(Sin sprint)",$AD38),"")</f>
        <v>2</v>
      </c>
      <c r="N38" s="202">
        <f>IF($C38,IF('Proyecto Datos (OKR´s)'!$E38="",9999,'Proyecto Datos (OKR´s)'!$E38),"")</f>
        <v>1</v>
      </c>
      <c r="O38" s="202" t="str">
        <f>IF($C38,"T"&amp;TEXT(ROW(),"000"),"")</f>
        <v>T038</v>
      </c>
      <c r="R38" s="202">
        <f>IF($C38,IF(ISNUMBER('Proyecto Datos (OKR´s)'!$L38),'Proyecto Datos (OKR´s)'!$L38,$H38),"")</f>
        <v>46188</v>
      </c>
      <c r="S38" s="202">
        <f>IF($C38,$R38-'Proyecto Datos (OKR´s)'!$K38+1,"")</f>
        <v>166</v>
      </c>
      <c r="T38" s="202">
        <f>IF($C38,MAX(0,TODAY()-'Proyecto Datos (OKR´s)'!$K38),"")</f>
        <v>173</v>
      </c>
      <c r="U38" s="202">
        <f>IF($C38,MEDIAN(0,(TODAY()-'Proyecto Datos (OKR´s)'!$K38)/MAX(1,$R38-'Proyecto Datos (OKR´s)'!$K38),1),"")</f>
        <v>1</v>
      </c>
      <c r="V38" s="202">
        <f>IF($C38,$I38-$U38,"")</f>
        <v>-0.09999999999999998</v>
      </c>
      <c r="W38" s="202">
        <f>IF($C38,IF(OR($J38="Completado",NOT(ISNUMBER($H38))),0,MAX(0,TODAY()-$H38)),"")</f>
        <v>8</v>
      </c>
      <c r="X38" s="202">
        <f>IF($C38,IF(ISNUMBER($H38),$R38-$H38,0),"")</f>
        <v>0</v>
      </c>
      <c r="Y38" s="202">
        <f>IF($C38,COUNTIFS($G$7:$G$200,$G38,$J$7:$J$200,"&lt;&gt;Completado",$J$7:$J$200,"&lt;&gt;"),"")</f>
        <v>0</v>
      </c>
      <c r="Z38" s="202" t="b">
        <f>IF($C38,AND($I38=0,'Proyecto Datos (OKR´s)'!$K38&lt;=TODAY(),$J38&lt;&gt;"Completado"),"")</f>
        <v>0</v>
      </c>
      <c r="AA38" s="202">
        <f>IF($C38,ROUND(100*(0.35*$AK38+0.3*$AL38+0.2*$AM38+0.15*MEDIAN(0,($Y38-4)/8,1)),0),"")</f>
        <v>49</v>
      </c>
      <c r="AB38" s="203" t="str">
        <f>IF($C38,IF(OR($J38="Completado",$J38="Sin fecha"),"—",IF($AA38&gt;=70,"Crítica",IF($AA38&gt;=45,"Alta",IF($AA38&gt;=25,"Media","Baja")))),"")</f>
        <v>Alta</v>
      </c>
      <c r="AC38" s="203" t="str">
        <f>IF($C38,IF(LEN(TRIM($AN38))=0,"—",TRIM($AN38)),"")</f>
        <v>ATRASO</v>
      </c>
      <c r="AD38" s="202">
        <f>IF($C38,$AV38,"")</f>
        <v>2</v>
      </c>
      <c r="AE38" s="202" t="str">
        <f>IF($C38,$AZ38,"")</f>
        <v>Semanal · S2</v>
      </c>
      <c r="AF38" s="202" t="b">
        <f>IF($C38,$AV38&lt;&gt;$AR38,FALSE)</f>
        <v>1</v>
      </c>
      <c r="AG38" s="202">
        <f>IF($C38,IF($AV38&lt;&gt;$AR38,$AW38,""),"")</f>
        <v>46192</v>
      </c>
      <c r="AH38" s="203">
        <f>IF($C38,IF(ISBLANK('Backlog General'!$K38),"",'Backlog General'!$K38),"")</f>
      </c>
      <c r="AI38" s="202">
        <f>IF($C38,$AV38*100000+ROW(),"")</f>
        <v>200038</v>
      </c>
      <c r="AJ38" s="202">
        <f>IF(AND($C38,ISNUMBER($H38)),$AA38*1000000-MEDIAN(-9999,$K38,9999)*100+(300-ROW()),"")</f>
        <v>49001062</v>
      </c>
      <c r="AK38" s="202">
        <f>IF($C38,IF($J38="Completado",0,IF($K38&lt;0,1,IF($K38&lt;=3,0.9,IF($K38&lt;=7,0.7,IF($K38&lt;=14,0.45,0.2))))),"")</f>
        <v>1</v>
      </c>
      <c r="AL38" s="202">
        <f>IF($C38,IF($J38="Completado",0,MEDIAN(0,MAX(-$V38,$W38/30),1)),"")</f>
        <v>0.26666666666666666</v>
      </c>
      <c r="AM38" s="202">
        <f>IF($C38,IF($J38="Completado",0,IF($Z38,1,IF(AND($I38&lt;0.5,$K38&lt;=7),0.7,0.3))),"")</f>
        <v>0.3</v>
      </c>
      <c r="AN38" s="203" t="str">
        <f>IF($C38,IF(OR($V38&lt;-0.2,$W38&gt;0),"ATRASO ","")&amp;IF($Z38,"BLOQUEO ","")&amp;IF($Y38&gt;8,"SOBRECARGA ","")&amp;IF($X38&gt;0,"DESVÍO-PLAN ",""),"")</f>
        <v>ATRASO </v>
      </c>
      <c r="AO38" s="203" t="str">
        <f>IF($C38,IFERROR(VLOOKUP($D38,'Sprints'!$I$5:$J$12,2,FALSE),"Semanal"),"")</f>
        <v>Semanal</v>
      </c>
      <c r="AP38" s="202">
        <f>IF($C38,IFERROR(VLOOKUP($AO38,'Sprints'!$B$9:$C$11,2,FALSE),1),"")</f>
        <v>1</v>
      </c>
      <c r="AQ38" s="202">
        <f>IF($C38,'Sprints'!$C$5,"")</f>
        <v>46192</v>
      </c>
      <c r="AR38" s="202">
        <f>IF(AND($C38,ISNUMBER($H38)),CEILING(MAX(1,INT(($H38-$AQ38+'Sprints'!$D$5-1)/'Sprints'!$D$5)+1)/$AP38,1),"")</f>
        <v>1</v>
      </c>
      <c r="AS38" s="202">
        <f>IF($C38,CEILING(MAX(1,INT((TODAY()-$AQ38+'Sprints'!$D$5-1)/'Sprints'!$D$5)+1)/$AP38,1),"")</f>
        <v>2</v>
      </c>
      <c r="AT38" s="203">
        <f>IF($C38,'Backlog General'!$G38,"")</f>
        <v>0</v>
      </c>
      <c r="AU38" s="203">
        <f>IF($C38,'Backlog General'!$H38,"")</f>
        <v>0</v>
      </c>
      <c r="AV38" s="202">
        <f>IF(AND($C38,ISNUMBER($AR38)),IF(OR($AT38="Completo",$AU38="Cancelado",$AU38="Baja prioridad"),$AR38,IF($AU38="Pasa al siguiente",MAX($AR38+1,$AS38),MAX($AR38,$AS38))),"")</f>
        <v>2</v>
      </c>
      <c r="AW38" s="202">
        <f>IF(AND($C38,ISNUMBER($AR38)),$AQ38+$AR38*$AP38*'Sprints'!$D$5-'Sprints'!$D$5,"")</f>
        <v>46192</v>
      </c>
      <c r="AX38" s="202">
        <f>IF($C38,IF(OR($AT38="Completo",$AU38="Cancelado",$AU38="Baja prioridad",NOT(ISNUMBER($AW38))),0,IF(TODAY()&gt;$AW38,NETWORKDAYS($AW38,TODAY(),'Sprints'!$L$5:$L$40)-1,0)),"")</f>
        <v>2</v>
      </c>
      <c r="AY38" s="203" t="str">
        <f>IF($C38,IF(NOT(ISNUMBER($AR38)),"Sin fecha",IF($AT38="Completo","Completo",IF($AU38="Cancelado","Cancelado",IF($AU38="Baja prioridad","Baja prioridad",IF($AX38&gt;0,"Vencida","Pendiente"))))),"")</f>
        <v>Vencida</v>
      </c>
      <c r="AZ38" s="203" t="str">
        <f>IF($C38,IF(ISNUMBER($AV38),$AO38&amp;" · S"&amp;$AV38,"(Sin fecha)"),"")</f>
        <v>Semanal · S2</v>
      </c>
      <c r="BA38" s="202">
        <f>IF($C38,IF(AND(ISNUMBER('Backlog General'!$M38),'Backlog General'!$M38=$AS38),"Nuevo S"&amp;'Backlog General'!$M38,""),"")</f>
      </c>
      <c r="BB38" s="202">
        <f>IF(AND($C38,$AO38="Semanal",ISNUMBER($AV38)),$AV38*100000+ROW(),"")</f>
        <v>200038</v>
      </c>
      <c r="BC38" s="202">
        <f>IF(AND($C38,$AO38="Quincenal",ISNUMBER($AV38)),$AV38*100000+ROW(),"")</f>
      </c>
      <c r="BD38" s="202">
        <f>IF(AND($C38,$AO38="Mensual",ISNUMBER($AV38)),$AV38*100000+ROW(),"")</f>
      </c>
      <c r="BE38" s="203">
        <f>IF($C38,IF(ISBLANK('Backlog General'!$J38),"",'Backlog General'!$J38),"")</f>
      </c>
      <c r="BF38" s="203">
        <f>IF($C38,IF($BE38="","",$BE38)&amp;IF(AND($BE38&lt;&gt;"",$AH38&lt;&gt;"")," · ","")&amp;IF($AH38="","",$AH38),"")</f>
      </c>
      <c r="BG38" s="203" t="str">
        <f>IF($C38,IF($J38="Completado","Sí","No"),"")</f>
        <v>No</v>
      </c>
      <c r="BH38" s="202">
        <f>IF(AND($C38,ISNUMBER($AR38)),IF($AO38="Semanal",1,IF($AO38="Quincenal",2,3))*1000000000+$AR38*100000+ROW(),"")</f>
        <v>1000100038</v>
      </c>
    </row>
    <row r="39">
      <c r="A39" s="202">
        <f>ROW()</f>
        <v>39</v>
      </c>
      <c r="B39" s="202" t="b">
        <f>ISTEXT('Proyecto Datos (OKR´s)'!$K39)</f>
        <v>0</v>
      </c>
      <c r="C39" s="202" t="b">
        <f>AND(LEN('Proyecto Datos (OKR´s)'!$G39)&gt;0,NOT($B39),OR(ISNUMBER('Proyecto Datos (OKR´s)'!$F39),ISNUMBER('Proyecto Datos (OKR´s)'!$L39)))</f>
        <v>1</v>
      </c>
      <c r="D39" s="203" t="str">
        <f>IF($C39,IFERROR(LOOKUP(2,1/((ISTEXT('Proyecto Datos (OKR´s)'!$K$7:$K39))*(LEN('Proyecto Datos (OKR´s)'!$G$7:$G39)&gt;0)),'Proyecto Datos (OKR´s)'!$G$7:$G39),""),"")</f>
        <v>5- Tablero Control General - Op. Complejas</v>
      </c>
      <c r="E39" s="202">
        <f>IF($C39,'Proyecto Datos (OKR´s)'!$E39,"")</f>
        <v>1</v>
      </c>
      <c r="F39" s="203" t="str">
        <f>IF($C39,'Proyecto Datos (OKR´s)'!$G39,"")</f>
        <v>Planilla Aeroevaciaciones + Procedimiento</v>
      </c>
      <c r="G39" s="203" t="str">
        <f>IF($C39,IF('Proyecto Datos (OKR´s)'!$I39="","(Sin asignar)",'Proyecto Datos (OKR´s)'!$I39),"")</f>
        <v>Santiago Alonso</v>
      </c>
      <c r="H39" s="202">
        <f>IF($C39,IF(ISNUMBER('Proyecto Datos (OKR´s)'!$F39),'Proyecto Datos (OKR´s)'!$F39,""),"")</f>
        <v>46188</v>
      </c>
      <c r="I39" s="202">
        <f>IF($C39,'Proyecto Datos (OKR´s)'!$J39,"")</f>
        <v>0.95</v>
      </c>
      <c r="J39" s="203" t="str">
        <f>IF($C39,IF($I39&gt;=1,"Completado",IF(NOT(ISNUMBER($H39)),"Sin fecha",IF($H39&lt;TODAY(),"Vencido",IF(($H39-TODAY())&lt;='Entregas Próximas'!$M$3,"Próximo a vencer","En curso")))),"")</f>
        <v>Vencido</v>
      </c>
      <c r="K39" s="202">
        <f>IF(AND($C39,ISNUMBER($H39)),$H39-TODAY(),"")</f>
        <v>-8</v>
      </c>
      <c r="L39" s="202">
        <f>IF(AND($C39,ISNUMBER($H39)),$AD39*1000000+$H39+ROW()/100000,"")</f>
        <v>2046188.00039</v>
      </c>
      <c r="M39" s="202">
        <f>IF($C39,IF($AD39=9999,"(Sin sprint)",$AD39),"")</f>
        <v>2</v>
      </c>
      <c r="N39" s="202">
        <f>IF($C39,IF('Proyecto Datos (OKR´s)'!$E39="",9999,'Proyecto Datos (OKR´s)'!$E39),"")</f>
        <v>1</v>
      </c>
      <c r="O39" s="202" t="str">
        <f>IF($C39,"T"&amp;TEXT(ROW(),"000"),"")</f>
        <v>T039</v>
      </c>
      <c r="R39" s="202">
        <f>IF($C39,IF(ISNUMBER('Proyecto Datos (OKR´s)'!$L39),'Proyecto Datos (OKR´s)'!$L39,$H39),"")</f>
        <v>46188</v>
      </c>
      <c r="S39" s="202">
        <f>IF($C39,$R39-'Proyecto Datos (OKR´s)'!$K39+1,"")</f>
        <v>197</v>
      </c>
      <c r="T39" s="202">
        <f>IF($C39,MAX(0,TODAY()-'Proyecto Datos (OKR´s)'!$K39),"")</f>
        <v>204</v>
      </c>
      <c r="U39" s="202">
        <f>IF($C39,MEDIAN(0,(TODAY()-'Proyecto Datos (OKR´s)'!$K39)/MAX(1,$R39-'Proyecto Datos (OKR´s)'!$K39),1),"")</f>
        <v>1</v>
      </c>
      <c r="V39" s="202">
        <f>IF($C39,$I39-$U39,"")</f>
        <v>-0.050000000000000044</v>
      </c>
      <c r="W39" s="202">
        <f>IF($C39,IF(OR($J39="Completado",NOT(ISNUMBER($H39))),0,MAX(0,TODAY()-$H39)),"")</f>
        <v>8</v>
      </c>
      <c r="X39" s="202">
        <f>IF($C39,IF(ISNUMBER($H39),$R39-$H39,0),"")</f>
        <v>0</v>
      </c>
      <c r="Y39" s="202">
        <f>IF($C39,COUNTIFS($G$7:$G$200,$G39,$J$7:$J$200,"&lt;&gt;Completado",$J$7:$J$200,"&lt;&gt;"),"")</f>
        <v>0</v>
      </c>
      <c r="Z39" s="202" t="b">
        <f>IF($C39,AND($I39=0,'Proyecto Datos (OKR´s)'!$K39&lt;=TODAY(),$J39&lt;&gt;"Completado"),"")</f>
        <v>0</v>
      </c>
      <c r="AA39" s="202">
        <f>IF($C39,ROUND(100*(0.35*$AK39+0.3*$AL39+0.2*$AM39+0.15*MEDIAN(0,($Y39-4)/8,1)),0),"")</f>
        <v>49</v>
      </c>
      <c r="AB39" s="203" t="str">
        <f>IF($C39,IF(OR($J39="Completado",$J39="Sin fecha"),"—",IF($AA39&gt;=70,"Crítica",IF($AA39&gt;=45,"Alta",IF($AA39&gt;=25,"Media","Baja")))),"")</f>
        <v>Alta</v>
      </c>
      <c r="AC39" s="203" t="str">
        <f>IF($C39,IF(LEN(TRIM($AN39))=0,"—",TRIM($AN39)),"")</f>
        <v>ATRASO</v>
      </c>
      <c r="AD39" s="202">
        <f>IF($C39,$AV39,"")</f>
        <v>2</v>
      </c>
      <c r="AE39" s="202" t="str">
        <f>IF($C39,$AZ39,"")</f>
        <v>Semanal · S2</v>
      </c>
      <c r="AF39" s="202" t="b">
        <f>IF($C39,$AV39&lt;&gt;$AR39,FALSE)</f>
        <v>1</v>
      </c>
      <c r="AG39" s="202">
        <f>IF($C39,IF($AV39&lt;&gt;$AR39,$AW39,""),"")</f>
        <v>46192</v>
      </c>
      <c r="AH39" s="203">
        <f>IF($C39,IF(ISBLANK('Backlog General'!$K39),"",'Backlog General'!$K39),"")</f>
      </c>
      <c r="AI39" s="202">
        <f>IF($C39,$AV39*100000+ROW(),"")</f>
        <v>200039</v>
      </c>
      <c r="AJ39" s="202">
        <f>IF(AND($C39,ISNUMBER($H39)),$AA39*1000000-MEDIAN(-9999,$K39,9999)*100+(300-ROW()),"")</f>
        <v>49001061</v>
      </c>
      <c r="AK39" s="202">
        <f>IF($C39,IF($J39="Completado",0,IF($K39&lt;0,1,IF($K39&lt;=3,0.9,IF($K39&lt;=7,0.7,IF($K39&lt;=14,0.45,0.2))))),"")</f>
        <v>1</v>
      </c>
      <c r="AL39" s="202">
        <f>IF($C39,IF($J39="Completado",0,MEDIAN(0,MAX(-$V39,$W39/30),1)),"")</f>
        <v>0.26666666666666666</v>
      </c>
      <c r="AM39" s="202">
        <f>IF($C39,IF($J39="Completado",0,IF($Z39,1,IF(AND($I39&lt;0.5,$K39&lt;=7),0.7,0.3))),"")</f>
        <v>0.3</v>
      </c>
      <c r="AN39" s="203" t="str">
        <f>IF($C39,IF(OR($V39&lt;-0.2,$W39&gt;0),"ATRASO ","")&amp;IF($Z39,"BLOQUEO ","")&amp;IF($Y39&gt;8,"SOBRECARGA ","")&amp;IF($X39&gt;0,"DESVÍO-PLAN ",""),"")</f>
        <v>ATRASO </v>
      </c>
      <c r="AO39" s="203" t="str">
        <f>IF($C39,IFERROR(VLOOKUP($D39,'Sprints'!$I$5:$J$12,2,FALSE),"Semanal"),"")</f>
        <v>Semanal</v>
      </c>
      <c r="AP39" s="202">
        <f>IF($C39,IFERROR(VLOOKUP($AO39,'Sprints'!$B$9:$C$11,2,FALSE),1),"")</f>
        <v>1</v>
      </c>
      <c r="AQ39" s="202">
        <f>IF($C39,'Sprints'!$C$5,"")</f>
        <v>46192</v>
      </c>
      <c r="AR39" s="202">
        <f>IF(AND($C39,ISNUMBER($H39)),CEILING(MAX(1,INT(($H39-$AQ39+'Sprints'!$D$5-1)/'Sprints'!$D$5)+1)/$AP39,1),"")</f>
        <v>1</v>
      </c>
      <c r="AS39" s="202">
        <f>IF($C39,CEILING(MAX(1,INT((TODAY()-$AQ39+'Sprints'!$D$5-1)/'Sprints'!$D$5)+1)/$AP39,1),"")</f>
        <v>2</v>
      </c>
      <c r="AT39" s="203">
        <f>IF($C39,'Backlog General'!$G39,"")</f>
        <v>0</v>
      </c>
      <c r="AU39" s="203">
        <f>IF($C39,'Backlog General'!$H39,"")</f>
        <v>0</v>
      </c>
      <c r="AV39" s="202">
        <f>IF(AND($C39,ISNUMBER($AR39)),IF(OR($AT39="Completo",$AU39="Cancelado",$AU39="Baja prioridad"),$AR39,IF($AU39="Pasa al siguiente",MAX($AR39+1,$AS39),MAX($AR39,$AS39))),"")</f>
        <v>2</v>
      </c>
      <c r="AW39" s="202">
        <f>IF(AND($C39,ISNUMBER($AR39)),$AQ39+$AR39*$AP39*'Sprints'!$D$5-'Sprints'!$D$5,"")</f>
        <v>46192</v>
      </c>
      <c r="AX39" s="202">
        <f>IF($C39,IF(OR($AT39="Completo",$AU39="Cancelado",$AU39="Baja prioridad",NOT(ISNUMBER($AW39))),0,IF(TODAY()&gt;$AW39,NETWORKDAYS($AW39,TODAY(),'Sprints'!$L$5:$L$40)-1,0)),"")</f>
        <v>2</v>
      </c>
      <c r="AY39" s="203" t="str">
        <f>IF($C39,IF(NOT(ISNUMBER($AR39)),"Sin fecha",IF($AT39="Completo","Completo",IF($AU39="Cancelado","Cancelado",IF($AU39="Baja prioridad","Baja prioridad",IF($AX39&gt;0,"Vencida","Pendiente"))))),"")</f>
        <v>Vencida</v>
      </c>
      <c r="AZ39" s="203" t="str">
        <f>IF($C39,IF(ISNUMBER($AV39),$AO39&amp;" · S"&amp;$AV39,"(Sin fecha)"),"")</f>
        <v>Semanal · S2</v>
      </c>
      <c r="BA39" s="202">
        <f>IF($C39,IF(AND(ISNUMBER('Backlog General'!$M39),'Backlog General'!$M39=$AS39),"Nuevo S"&amp;'Backlog General'!$M39,""),"")</f>
      </c>
      <c r="BB39" s="202">
        <f>IF(AND($C39,$AO39="Semanal",ISNUMBER($AV39)),$AV39*100000+ROW(),"")</f>
        <v>200039</v>
      </c>
      <c r="BC39" s="202">
        <f>IF(AND($C39,$AO39="Quincenal",ISNUMBER($AV39)),$AV39*100000+ROW(),"")</f>
      </c>
      <c r="BD39" s="202">
        <f>IF(AND($C39,$AO39="Mensual",ISNUMBER($AV39)),$AV39*100000+ROW(),"")</f>
      </c>
      <c r="BE39" s="203">
        <f>IF($C39,IF(ISBLANK('Backlog General'!$J39),"",'Backlog General'!$J39),"")</f>
      </c>
      <c r="BF39" s="203">
        <f>IF($C39,IF($BE39="","",$BE39)&amp;IF(AND($BE39&lt;&gt;"",$AH39&lt;&gt;"")," · ","")&amp;IF($AH39="","",$AH39),"")</f>
      </c>
      <c r="BG39" s="203" t="str">
        <f>IF($C39,IF($J39="Completado","Sí","No"),"")</f>
        <v>No</v>
      </c>
      <c r="BH39" s="202">
        <f>IF(AND($C39,ISNUMBER($AR39)),IF($AO39="Semanal",1,IF($AO39="Quincenal",2,3))*1000000000+$AR39*100000+ROW(),"")</f>
        <v>1000100039</v>
      </c>
    </row>
    <row r="40">
      <c r="A40" s="202">
        <f>ROW()</f>
        <v>40</v>
      </c>
      <c r="B40" s="202" t="b">
        <f>ISTEXT('Proyecto Datos (OKR´s)'!$K40)</f>
        <v>0</v>
      </c>
      <c r="C40" s="202" t="b">
        <f>AND(LEN('Proyecto Datos (OKR´s)'!$G40)&gt;0,NOT($B40),OR(ISNUMBER('Proyecto Datos (OKR´s)'!$F40),ISNUMBER('Proyecto Datos (OKR´s)'!$L40)))</f>
        <v>1</v>
      </c>
      <c r="D40" s="203" t="str">
        <f>IF($C40,IFERROR(LOOKUP(2,1/((ISTEXT('Proyecto Datos (OKR´s)'!$K$7:$K40))*(LEN('Proyecto Datos (OKR´s)'!$G$7:$G40)&gt;0)),'Proyecto Datos (OKR´s)'!$G$7:$G40),""),"")</f>
        <v>5- Tablero Control General - Op. Complejas</v>
      </c>
      <c r="E40" s="202">
        <f>IF($C40,'Proyecto Datos (OKR´s)'!$E40,"")</f>
        <v>1</v>
      </c>
      <c r="F40" s="203" t="str">
        <f>IF($C40,'Proyecto Datos (OKR´s)'!$G40,"")</f>
        <v>Resumen Clientes Petróleo</v>
      </c>
      <c r="G40" s="203" t="str">
        <f>IF($C40,IF('Proyecto Datos (OKR´s)'!$I40="","(Sin asignar)",'Proyecto Datos (OKR´s)'!$I40),"")</f>
        <v>Santiago Alonso</v>
      </c>
      <c r="H40" s="202">
        <f>IF($C40,IF(ISNUMBER('Proyecto Datos (OKR´s)'!$F40),'Proyecto Datos (OKR´s)'!$F40,""),"")</f>
        <v>46188</v>
      </c>
      <c r="I40" s="202">
        <f>IF($C40,'Proyecto Datos (OKR´s)'!$J40,"")</f>
        <v>0.7</v>
      </c>
      <c r="J40" s="203" t="str">
        <f>IF($C40,IF($I40&gt;=1,"Completado",IF(NOT(ISNUMBER($H40)),"Sin fecha",IF($H40&lt;TODAY(),"Vencido",IF(($H40-TODAY())&lt;='Entregas Próximas'!$M$3,"Próximo a vencer","En curso")))),"")</f>
        <v>Vencido</v>
      </c>
      <c r="K40" s="202">
        <f>IF(AND($C40,ISNUMBER($H40)),$H40-TODAY(),"")</f>
        <v>-8</v>
      </c>
      <c r="L40" s="202">
        <f>IF(AND($C40,ISNUMBER($H40)),$AD40*1000000+$H40+ROW()/100000,"")</f>
        <v>2046188.0004</v>
      </c>
      <c r="M40" s="202">
        <f>IF($C40,IF($AD40=9999,"(Sin sprint)",$AD40),"")</f>
        <v>2</v>
      </c>
      <c r="N40" s="202">
        <f>IF($C40,IF('Proyecto Datos (OKR´s)'!$E40="",9999,'Proyecto Datos (OKR´s)'!$E40),"")</f>
        <v>1</v>
      </c>
      <c r="O40" s="202" t="str">
        <f>IF($C40,"T"&amp;TEXT(ROW(),"000"),"")</f>
        <v>T040</v>
      </c>
      <c r="R40" s="202">
        <f>IF($C40,IF(ISNUMBER('Proyecto Datos (OKR´s)'!$L40),'Proyecto Datos (OKR´s)'!$L40,$H40),"")</f>
        <v>46188</v>
      </c>
      <c r="S40" s="202">
        <f>IF($C40,$R40-'Proyecto Datos (OKR´s)'!$K40+1,"")</f>
        <v>-168</v>
      </c>
      <c r="T40" s="202">
        <f>IF($C40,MAX(0,TODAY()-'Proyecto Datos (OKR´s)'!$K40),"")</f>
        <v>0</v>
      </c>
      <c r="U40" s="202">
        <f>IF($C40,MEDIAN(0,(TODAY()-'Proyecto Datos (OKR´s)'!$K40)/MAX(1,$R40-'Proyecto Datos (OKR´s)'!$K40),1),"")</f>
        <v>0</v>
      </c>
      <c r="V40" s="202">
        <f>IF($C40,$I40-$U40,"")</f>
        <v>0.7</v>
      </c>
      <c r="W40" s="202">
        <f>IF($C40,IF(OR($J40="Completado",NOT(ISNUMBER($H40))),0,MAX(0,TODAY()-$H40)),"")</f>
        <v>8</v>
      </c>
      <c r="X40" s="202">
        <f>IF($C40,IF(ISNUMBER($H40),$R40-$H40,0),"")</f>
        <v>0</v>
      </c>
      <c r="Y40" s="202">
        <f>IF($C40,COUNTIFS($G$7:$G$200,$G40,$J$7:$J$200,"&lt;&gt;Completado",$J$7:$J$200,"&lt;&gt;"),"")</f>
        <v>0</v>
      </c>
      <c r="Z40" s="202" t="b">
        <f>IF($C40,AND($I40=0,'Proyecto Datos (OKR´s)'!$K40&lt;=TODAY(),$J40&lt;&gt;"Completado"),"")</f>
        <v>0</v>
      </c>
      <c r="AA40" s="202">
        <f>IF($C40,ROUND(100*(0.35*$AK40+0.3*$AL40+0.2*$AM40+0.15*MEDIAN(0,($Y40-4)/8,1)),0),"")</f>
        <v>49</v>
      </c>
      <c r="AB40" s="203" t="str">
        <f>IF($C40,IF(OR($J40="Completado",$J40="Sin fecha"),"—",IF($AA40&gt;=70,"Crítica",IF($AA40&gt;=45,"Alta",IF($AA40&gt;=25,"Media","Baja")))),"")</f>
        <v>Alta</v>
      </c>
      <c r="AC40" s="203" t="str">
        <f>IF($C40,IF(LEN(TRIM($AN40))=0,"—",TRIM($AN40)),"")</f>
        <v>ATRASO</v>
      </c>
      <c r="AD40" s="202">
        <f>IF($C40,$AV40,"")</f>
        <v>2</v>
      </c>
      <c r="AE40" s="202" t="str">
        <f>IF($C40,$AZ40,"")</f>
        <v>Semanal · S2</v>
      </c>
      <c r="AF40" s="202" t="b">
        <f>IF($C40,$AV40&lt;&gt;$AR40,FALSE)</f>
        <v>1</v>
      </c>
      <c r="AG40" s="202">
        <f>IF($C40,IF($AV40&lt;&gt;$AR40,$AW40,""),"")</f>
        <v>46192</v>
      </c>
      <c r="AH40" s="203">
        <f>IF($C40,IF(ISBLANK('Backlog General'!$K40),"",'Backlog General'!$K40),"")</f>
      </c>
      <c r="AI40" s="202">
        <f>IF($C40,$AV40*100000+ROW(),"")</f>
        <v>200040</v>
      </c>
      <c r="AJ40" s="202">
        <f>IF(AND($C40,ISNUMBER($H40)),$AA40*1000000-MEDIAN(-9999,$K40,9999)*100+(300-ROW()),"")</f>
        <v>49001060</v>
      </c>
      <c r="AK40" s="202">
        <f>IF($C40,IF($J40="Completado",0,IF($K40&lt;0,1,IF($K40&lt;=3,0.9,IF($K40&lt;=7,0.7,IF($K40&lt;=14,0.45,0.2))))),"")</f>
        <v>1</v>
      </c>
      <c r="AL40" s="202">
        <f>IF($C40,IF($J40="Completado",0,MEDIAN(0,MAX(-$V40,$W40/30),1)),"")</f>
        <v>0.26666666666666666</v>
      </c>
      <c r="AM40" s="202">
        <f>IF($C40,IF($J40="Completado",0,IF($Z40,1,IF(AND($I40&lt;0.5,$K40&lt;=7),0.7,0.3))),"")</f>
        <v>0.3</v>
      </c>
      <c r="AN40" s="203" t="str">
        <f>IF($C40,IF(OR($V40&lt;-0.2,$W40&gt;0),"ATRASO ","")&amp;IF($Z40,"BLOQUEO ","")&amp;IF($Y40&gt;8,"SOBRECARGA ","")&amp;IF($X40&gt;0,"DESVÍO-PLAN ",""),"")</f>
        <v>ATRASO </v>
      </c>
      <c r="AO40" s="203" t="str">
        <f>IF($C40,IFERROR(VLOOKUP($D40,'Sprints'!$I$5:$J$12,2,FALSE),"Semanal"),"")</f>
        <v>Semanal</v>
      </c>
      <c r="AP40" s="202">
        <f>IF($C40,IFERROR(VLOOKUP($AO40,'Sprints'!$B$9:$C$11,2,FALSE),1),"")</f>
        <v>1</v>
      </c>
      <c r="AQ40" s="202">
        <f>IF($C40,'Sprints'!$C$5,"")</f>
        <v>46192</v>
      </c>
      <c r="AR40" s="202">
        <f>IF(AND($C40,ISNUMBER($H40)),CEILING(MAX(1,INT(($H40-$AQ40+'Sprints'!$D$5-1)/'Sprints'!$D$5)+1)/$AP40,1),"")</f>
        <v>1</v>
      </c>
      <c r="AS40" s="202">
        <f>IF($C40,CEILING(MAX(1,INT((TODAY()-$AQ40+'Sprints'!$D$5-1)/'Sprints'!$D$5)+1)/$AP40,1),"")</f>
        <v>2</v>
      </c>
      <c r="AT40" s="203">
        <f>IF($C40,'Backlog General'!$G40,"")</f>
        <v>0</v>
      </c>
      <c r="AU40" s="203">
        <f>IF($C40,'Backlog General'!$H40,"")</f>
        <v>0</v>
      </c>
      <c r="AV40" s="202">
        <f>IF(AND($C40,ISNUMBER($AR40)),IF(OR($AT40="Completo",$AU40="Cancelado",$AU40="Baja prioridad"),$AR40,IF($AU40="Pasa al siguiente",MAX($AR40+1,$AS40),MAX($AR40,$AS40))),"")</f>
        <v>2</v>
      </c>
      <c r="AW40" s="202">
        <f>IF(AND($C40,ISNUMBER($AR40)),$AQ40+$AR40*$AP40*'Sprints'!$D$5-'Sprints'!$D$5,"")</f>
        <v>46192</v>
      </c>
      <c r="AX40" s="202">
        <f>IF($C40,IF(OR($AT40="Completo",$AU40="Cancelado",$AU40="Baja prioridad",NOT(ISNUMBER($AW40))),0,IF(TODAY()&gt;$AW40,NETWORKDAYS($AW40,TODAY(),'Sprints'!$L$5:$L$40)-1,0)),"")</f>
        <v>2</v>
      </c>
      <c r="AY40" s="203" t="str">
        <f>IF($C40,IF(NOT(ISNUMBER($AR40)),"Sin fecha",IF($AT40="Completo","Completo",IF($AU40="Cancelado","Cancelado",IF($AU40="Baja prioridad","Baja prioridad",IF($AX40&gt;0,"Vencida","Pendiente"))))),"")</f>
        <v>Vencida</v>
      </c>
      <c r="AZ40" s="203" t="str">
        <f>IF($C40,IF(ISNUMBER($AV40),$AO40&amp;" · S"&amp;$AV40,"(Sin fecha)"),"")</f>
        <v>Semanal · S2</v>
      </c>
      <c r="BA40" s="202">
        <f>IF($C40,IF(AND(ISNUMBER('Backlog General'!$M40),'Backlog General'!$M40=$AS40),"Nuevo S"&amp;'Backlog General'!$M40,""),"")</f>
      </c>
      <c r="BB40" s="202">
        <f>IF(AND($C40,$AO40="Semanal",ISNUMBER($AV40)),$AV40*100000+ROW(),"")</f>
        <v>200040</v>
      </c>
      <c r="BC40" s="202">
        <f>IF(AND($C40,$AO40="Quincenal",ISNUMBER($AV40)),$AV40*100000+ROW(),"")</f>
      </c>
      <c r="BD40" s="202">
        <f>IF(AND($C40,$AO40="Mensual",ISNUMBER($AV40)),$AV40*100000+ROW(),"")</f>
      </c>
      <c r="BE40" s="203">
        <f>IF($C40,IF(ISBLANK('Backlog General'!$J40),"",'Backlog General'!$J40),"")</f>
      </c>
      <c r="BF40" s="203">
        <f>IF($C40,IF($BE40="","",$BE40)&amp;IF(AND($BE40&lt;&gt;"",$AH40&lt;&gt;"")," · ","")&amp;IF($AH40="","",$AH40),"")</f>
      </c>
      <c r="BG40" s="203" t="str">
        <f>IF($C40,IF($J40="Completado","Sí","No"),"")</f>
        <v>No</v>
      </c>
      <c r="BH40" s="202">
        <f>IF(AND($C40,ISNUMBER($AR40)),IF($AO40="Semanal",1,IF($AO40="Quincenal",2,3))*1000000000+$AR40*100000+ROW(),"")</f>
        <v>1000100040</v>
      </c>
    </row>
    <row r="41">
      <c r="A41" s="202">
        <f>ROW()</f>
        <v>41</v>
      </c>
      <c r="B41" s="202" t="b">
        <f>ISTEXT('Proyecto Datos (OKR´s)'!$K41)</f>
        <v>0</v>
      </c>
      <c r="C41" s="202" t="b">
        <f>AND(LEN('Proyecto Datos (OKR´s)'!$G41)&gt;0,NOT($B41),OR(ISNUMBER('Proyecto Datos (OKR´s)'!$F41),ISNUMBER('Proyecto Datos (OKR´s)'!$L41)))</f>
        <v>1</v>
      </c>
      <c r="D41" s="203" t="str">
        <f>IF($C41,IFERROR(LOOKUP(2,1/((ISTEXT('Proyecto Datos (OKR´s)'!$K$7:$K41))*(LEN('Proyecto Datos (OKR´s)'!$G$7:$G41)&gt;0)),'Proyecto Datos (OKR´s)'!$G$7:$G41),""),"")</f>
        <v>5- Tablero Control General - Op. Complejas</v>
      </c>
      <c r="E41" s="202">
        <f>IF($C41,'Proyecto Datos (OKR´s)'!$E41,"")</f>
        <v>1</v>
      </c>
      <c r="F41" s="203" t="str">
        <f>IF($C41,'Proyecto Datos (OKR´s)'!$G41,"")</f>
        <v>Resumen Clientes Minería</v>
      </c>
      <c r="G41" s="203" t="str">
        <f>IF($C41,IF('Proyecto Datos (OKR´s)'!$I41="","(Sin asignar)",'Proyecto Datos (OKR´s)'!$I41),"")</f>
        <v>Santiago Alonso</v>
      </c>
      <c r="H41" s="202">
        <f>IF($C41,IF(ISNUMBER('Proyecto Datos (OKR´s)'!$F41),'Proyecto Datos (OKR´s)'!$F41,""),"")</f>
        <v>46188</v>
      </c>
      <c r="I41" s="202">
        <f>IF($C41,'Proyecto Datos (OKR´s)'!$J41,"")</f>
        <v>0.5</v>
      </c>
      <c r="J41" s="203" t="str">
        <f>IF($C41,IF($I41&gt;=1,"Completado",IF(NOT(ISNUMBER($H41)),"Sin fecha",IF($H41&lt;TODAY(),"Vencido",IF(($H41-TODAY())&lt;='Entregas Próximas'!$M$3,"Próximo a vencer","En curso")))),"")</f>
        <v>Vencido</v>
      </c>
      <c r="K41" s="202">
        <f>IF(AND($C41,ISNUMBER($H41)),$H41-TODAY(),"")</f>
        <v>-8</v>
      </c>
      <c r="L41" s="202">
        <f>IF(AND($C41,ISNUMBER($H41)),$AD41*1000000+$H41+ROW()/100000,"")</f>
        <v>2046188.00041</v>
      </c>
      <c r="M41" s="202">
        <f>IF($C41,IF($AD41=9999,"(Sin sprint)",$AD41),"")</f>
        <v>2</v>
      </c>
      <c r="N41" s="202">
        <f>IF($C41,IF('Proyecto Datos (OKR´s)'!$E41="",9999,'Proyecto Datos (OKR´s)'!$E41),"")</f>
        <v>1</v>
      </c>
      <c r="O41" s="202" t="str">
        <f>IF($C41,"T"&amp;TEXT(ROW(),"000"),"")</f>
        <v>T041</v>
      </c>
      <c r="R41" s="202">
        <f>IF($C41,IF(ISNUMBER('Proyecto Datos (OKR´s)'!$L41),'Proyecto Datos (OKR´s)'!$L41,$H41),"")</f>
        <v>46188</v>
      </c>
      <c r="S41" s="202">
        <f>IF($C41,$R41-'Proyecto Datos (OKR´s)'!$K41+1,"")</f>
        <v>1</v>
      </c>
      <c r="T41" s="202">
        <f>IF($C41,MAX(0,TODAY()-'Proyecto Datos (OKR´s)'!$K41),"")</f>
        <v>8</v>
      </c>
      <c r="U41" s="202">
        <f>IF($C41,MEDIAN(0,(TODAY()-'Proyecto Datos (OKR´s)'!$K41)/MAX(1,$R41-'Proyecto Datos (OKR´s)'!$K41),1),"")</f>
        <v>1</v>
      </c>
      <c r="V41" s="202">
        <f>IF($C41,$I41-$U41,"")</f>
        <v>-0.5</v>
      </c>
      <c r="W41" s="202">
        <f>IF($C41,IF(OR($J41="Completado",NOT(ISNUMBER($H41))),0,MAX(0,TODAY()-$H41)),"")</f>
        <v>8</v>
      </c>
      <c r="X41" s="202">
        <f>IF($C41,IF(ISNUMBER($H41),$R41-$H41,0),"")</f>
        <v>0</v>
      </c>
      <c r="Y41" s="202">
        <f>IF($C41,COUNTIFS($G$7:$G$200,$G41,$J$7:$J$200,"&lt;&gt;Completado",$J$7:$J$200,"&lt;&gt;"),"")</f>
        <v>0</v>
      </c>
      <c r="Z41" s="202" t="b">
        <f>IF($C41,AND($I41=0,'Proyecto Datos (OKR´s)'!$K41&lt;=TODAY(),$J41&lt;&gt;"Completado"),"")</f>
        <v>0</v>
      </c>
      <c r="AA41" s="202">
        <f>IF($C41,ROUND(100*(0.35*$AK41+0.3*$AL41+0.2*$AM41+0.15*MEDIAN(0,($Y41-4)/8,1)),0),"")</f>
        <v>56</v>
      </c>
      <c r="AB41" s="203" t="str">
        <f>IF($C41,IF(OR($J41="Completado",$J41="Sin fecha"),"—",IF($AA41&gt;=70,"Crítica",IF($AA41&gt;=45,"Alta",IF($AA41&gt;=25,"Media","Baja")))),"")</f>
        <v>Alta</v>
      </c>
      <c r="AC41" s="203" t="str">
        <f>IF($C41,IF(LEN(TRIM($AN41))=0,"—",TRIM($AN41)),"")</f>
        <v>ATRASO</v>
      </c>
      <c r="AD41" s="202">
        <f>IF($C41,$AV41,"")</f>
        <v>2</v>
      </c>
      <c r="AE41" s="202" t="str">
        <f>IF($C41,$AZ41,"")</f>
        <v>Semanal · S2</v>
      </c>
      <c r="AF41" s="202" t="b">
        <f>IF($C41,$AV41&lt;&gt;$AR41,FALSE)</f>
        <v>1</v>
      </c>
      <c r="AG41" s="202">
        <f>IF($C41,IF($AV41&lt;&gt;$AR41,$AW41,""),"")</f>
        <v>46192</v>
      </c>
      <c r="AH41" s="203">
        <f>IF($C41,IF(ISBLANK('Backlog General'!$K41),"",'Backlog General'!$K41),"")</f>
      </c>
      <c r="AI41" s="202">
        <f>IF($C41,$AV41*100000+ROW(),"")</f>
        <v>200041</v>
      </c>
      <c r="AJ41" s="202">
        <f>IF(AND($C41,ISNUMBER($H41)),$AA41*1000000-MEDIAN(-9999,$K41,9999)*100+(300-ROW()),"")</f>
        <v>56001059</v>
      </c>
      <c r="AK41" s="202">
        <f>IF($C41,IF($J41="Completado",0,IF($K41&lt;0,1,IF($K41&lt;=3,0.9,IF($K41&lt;=7,0.7,IF($K41&lt;=14,0.45,0.2))))),"")</f>
        <v>1</v>
      </c>
      <c r="AL41" s="202">
        <f>IF($C41,IF($J41="Completado",0,MEDIAN(0,MAX(-$V41,$W41/30),1)),"")</f>
        <v>0.5</v>
      </c>
      <c r="AM41" s="202">
        <f>IF($C41,IF($J41="Completado",0,IF($Z41,1,IF(AND($I41&lt;0.5,$K41&lt;=7),0.7,0.3))),"")</f>
        <v>0.3</v>
      </c>
      <c r="AN41" s="203" t="str">
        <f>IF($C41,IF(OR($V41&lt;-0.2,$W41&gt;0),"ATRASO ","")&amp;IF($Z41,"BLOQUEO ","")&amp;IF($Y41&gt;8,"SOBRECARGA ","")&amp;IF($X41&gt;0,"DESVÍO-PLAN ",""),"")</f>
        <v>ATRASO </v>
      </c>
      <c r="AO41" s="203" t="str">
        <f>IF($C41,IFERROR(VLOOKUP($D41,'Sprints'!$I$5:$J$12,2,FALSE),"Semanal"),"")</f>
        <v>Semanal</v>
      </c>
      <c r="AP41" s="202">
        <f>IF($C41,IFERROR(VLOOKUP($AO41,'Sprints'!$B$9:$C$11,2,FALSE),1),"")</f>
        <v>1</v>
      </c>
      <c r="AQ41" s="202">
        <f>IF($C41,'Sprints'!$C$5,"")</f>
        <v>46192</v>
      </c>
      <c r="AR41" s="202">
        <f>IF(AND($C41,ISNUMBER($H41)),CEILING(MAX(1,INT(($H41-$AQ41+'Sprints'!$D$5-1)/'Sprints'!$D$5)+1)/$AP41,1),"")</f>
        <v>1</v>
      </c>
      <c r="AS41" s="202">
        <f>IF($C41,CEILING(MAX(1,INT((TODAY()-$AQ41+'Sprints'!$D$5-1)/'Sprints'!$D$5)+1)/$AP41,1),"")</f>
        <v>2</v>
      </c>
      <c r="AT41" s="203">
        <f>IF($C41,'Backlog General'!$G41,"")</f>
        <v>0</v>
      </c>
      <c r="AU41" s="203">
        <f>IF($C41,'Backlog General'!$H41,"")</f>
        <v>0</v>
      </c>
      <c r="AV41" s="202">
        <f>IF(AND($C41,ISNUMBER($AR41)),IF(OR($AT41="Completo",$AU41="Cancelado",$AU41="Baja prioridad"),$AR41,IF($AU41="Pasa al siguiente",MAX($AR41+1,$AS41),MAX($AR41,$AS41))),"")</f>
        <v>2</v>
      </c>
      <c r="AW41" s="202">
        <f>IF(AND($C41,ISNUMBER($AR41)),$AQ41+$AR41*$AP41*'Sprints'!$D$5-'Sprints'!$D$5,"")</f>
        <v>46192</v>
      </c>
      <c r="AX41" s="202">
        <f>IF($C41,IF(OR($AT41="Completo",$AU41="Cancelado",$AU41="Baja prioridad",NOT(ISNUMBER($AW41))),0,IF(TODAY()&gt;$AW41,NETWORKDAYS($AW41,TODAY(),'Sprints'!$L$5:$L$40)-1,0)),"")</f>
        <v>2</v>
      </c>
      <c r="AY41" s="203" t="str">
        <f>IF($C41,IF(NOT(ISNUMBER($AR41)),"Sin fecha",IF($AT41="Completo","Completo",IF($AU41="Cancelado","Cancelado",IF($AU41="Baja prioridad","Baja prioridad",IF($AX41&gt;0,"Vencida","Pendiente"))))),"")</f>
        <v>Vencida</v>
      </c>
      <c r="AZ41" s="203" t="str">
        <f>IF($C41,IF(ISNUMBER($AV41),$AO41&amp;" · S"&amp;$AV41,"(Sin fecha)"),"")</f>
        <v>Semanal · S2</v>
      </c>
      <c r="BA41" s="202">
        <f>IF($C41,IF(AND(ISNUMBER('Backlog General'!$M41),'Backlog General'!$M41=$AS41),"Nuevo S"&amp;'Backlog General'!$M41,""),"")</f>
      </c>
      <c r="BB41" s="202">
        <f>IF(AND($C41,$AO41="Semanal",ISNUMBER($AV41)),$AV41*100000+ROW(),"")</f>
        <v>200041</v>
      </c>
      <c r="BC41" s="202">
        <f>IF(AND($C41,$AO41="Quincenal",ISNUMBER($AV41)),$AV41*100000+ROW(),"")</f>
      </c>
      <c r="BD41" s="202">
        <f>IF(AND($C41,$AO41="Mensual",ISNUMBER($AV41)),$AV41*100000+ROW(),"")</f>
      </c>
      <c r="BE41" s="203">
        <f>IF($C41,IF(ISBLANK('Backlog General'!$J41),"",'Backlog General'!$J41),"")</f>
      </c>
      <c r="BF41" s="203">
        <f>IF($C41,IF($BE41="","",$BE41)&amp;IF(AND($BE41&lt;&gt;"",$AH41&lt;&gt;"")," · ","")&amp;IF($AH41="","",$AH41),"")</f>
      </c>
      <c r="BG41" s="203" t="str">
        <f>IF($C41,IF($J41="Completado","Sí","No"),"")</f>
        <v>No</v>
      </c>
      <c r="BH41" s="202">
        <f>IF(AND($C41,ISNUMBER($AR41)),IF($AO41="Semanal",1,IF($AO41="Quincenal",2,3))*1000000000+$AR41*100000+ROW(),"")</f>
        <v>1000100041</v>
      </c>
    </row>
    <row r="42">
      <c r="A42" s="202">
        <f>ROW()</f>
        <v>42</v>
      </c>
      <c r="B42" s="202" t="b">
        <f>ISTEXT('Proyecto Datos (OKR´s)'!$K42)</f>
        <v>0</v>
      </c>
      <c r="C42" s="202" t="b">
        <f>AND(LEN('Proyecto Datos (OKR´s)'!$G42)&gt;0,NOT($B42),OR(ISNUMBER('Proyecto Datos (OKR´s)'!$F42),ISNUMBER('Proyecto Datos (OKR´s)'!$L42)))</f>
        <v>1</v>
      </c>
      <c r="D42" s="203" t="str">
        <f>IF($C42,IFERROR(LOOKUP(2,1/((ISTEXT('Proyecto Datos (OKR´s)'!$K$7:$K42))*(LEN('Proyecto Datos (OKR´s)'!$G$7:$G42)&gt;0)),'Proyecto Datos (OKR´s)'!$G$7:$G42),""),"")</f>
        <v>5- Tablero Control General - Op. Complejas</v>
      </c>
      <c r="E42" s="202">
        <f>IF($C42,'Proyecto Datos (OKR´s)'!$E42,"")</f>
        <v>1</v>
      </c>
      <c r="F42" s="203" t="str">
        <f>IF($C42,'Proyecto Datos (OKR´s)'!$G42,"")</f>
        <v>Resumen Clientes Op. Dedicadas</v>
      </c>
      <c r="G42" s="203" t="str">
        <f>IF($C42,IF('Proyecto Datos (OKR´s)'!$I42="","(Sin asignar)",'Proyecto Datos (OKR´s)'!$I42),"")</f>
        <v>Santiago Alonso</v>
      </c>
      <c r="H42" s="202">
        <f>IF($C42,IF(ISNUMBER('Proyecto Datos (OKR´s)'!$F42),'Proyecto Datos (OKR´s)'!$F42,""),"")</f>
        <v>46188</v>
      </c>
      <c r="I42" s="202">
        <f>IF($C42,'Proyecto Datos (OKR´s)'!$J42,"")</f>
        <v>0.4</v>
      </c>
      <c r="J42" s="203" t="str">
        <f>IF($C42,IF($I42&gt;=1,"Completado",IF(NOT(ISNUMBER($H42)),"Sin fecha",IF($H42&lt;TODAY(),"Vencido",IF(($H42-TODAY())&lt;='Entregas Próximas'!$M$3,"Próximo a vencer","En curso")))),"")</f>
        <v>Vencido</v>
      </c>
      <c r="K42" s="202">
        <f>IF(AND($C42,ISNUMBER($H42)),$H42-TODAY(),"")</f>
        <v>-8</v>
      </c>
      <c r="L42" s="202">
        <f>IF(AND($C42,ISNUMBER($H42)),$AD42*1000000+$H42+ROW()/100000,"")</f>
        <v>2046188.00042</v>
      </c>
      <c r="M42" s="202">
        <f>IF($C42,IF($AD42=9999,"(Sin sprint)",$AD42),"")</f>
        <v>2</v>
      </c>
      <c r="N42" s="202">
        <f>IF($C42,IF('Proyecto Datos (OKR´s)'!$E42="",9999,'Proyecto Datos (OKR´s)'!$E42),"")</f>
        <v>1</v>
      </c>
      <c r="O42" s="202" t="str">
        <f>IF($C42,"T"&amp;TEXT(ROW(),"000"),"")</f>
        <v>T042</v>
      </c>
      <c r="R42" s="202">
        <f>IF($C42,IF(ISNUMBER('Proyecto Datos (OKR´s)'!$L42),'Proyecto Datos (OKR´s)'!$L42,$H42),"")</f>
        <v>46188</v>
      </c>
      <c r="S42" s="202">
        <f>IF($C42,$R42-'Proyecto Datos (OKR´s)'!$K42+1,"")</f>
        <v>1</v>
      </c>
      <c r="T42" s="202">
        <f>IF($C42,MAX(0,TODAY()-'Proyecto Datos (OKR´s)'!$K42),"")</f>
        <v>8</v>
      </c>
      <c r="U42" s="202">
        <f>IF($C42,MEDIAN(0,(TODAY()-'Proyecto Datos (OKR´s)'!$K42)/MAX(1,$R42-'Proyecto Datos (OKR´s)'!$K42),1),"")</f>
        <v>1</v>
      </c>
      <c r="V42" s="202">
        <f>IF($C42,$I42-$U42,"")</f>
        <v>-0.6</v>
      </c>
      <c r="W42" s="202">
        <f>IF($C42,IF(OR($J42="Completado",NOT(ISNUMBER($H42))),0,MAX(0,TODAY()-$H42)),"")</f>
        <v>8</v>
      </c>
      <c r="X42" s="202">
        <f>IF($C42,IF(ISNUMBER($H42),$R42-$H42,0),"")</f>
        <v>0</v>
      </c>
      <c r="Y42" s="202">
        <f>IF($C42,COUNTIFS($G$7:$G$200,$G42,$J$7:$J$200,"&lt;&gt;Completado",$J$7:$J$200,"&lt;&gt;"),"")</f>
        <v>0</v>
      </c>
      <c r="Z42" s="202" t="b">
        <f>IF($C42,AND($I42=0,'Proyecto Datos (OKR´s)'!$K42&lt;=TODAY(),$J42&lt;&gt;"Completado"),"")</f>
        <v>0</v>
      </c>
      <c r="AA42" s="202">
        <f>IF($C42,ROUND(100*(0.35*$AK42+0.3*$AL42+0.2*$AM42+0.15*MEDIAN(0,($Y42-4)/8,1)),0),"")</f>
        <v>67</v>
      </c>
      <c r="AB42" s="203" t="str">
        <f>IF($C42,IF(OR($J42="Completado",$J42="Sin fecha"),"—",IF($AA42&gt;=70,"Crítica",IF($AA42&gt;=45,"Alta",IF($AA42&gt;=25,"Media","Baja")))),"")</f>
        <v>Alta</v>
      </c>
      <c r="AC42" s="203" t="str">
        <f>IF($C42,IF(LEN(TRIM($AN42))=0,"—",TRIM($AN42)),"")</f>
        <v>ATRASO</v>
      </c>
      <c r="AD42" s="202">
        <f>IF($C42,$AV42,"")</f>
        <v>2</v>
      </c>
      <c r="AE42" s="202" t="str">
        <f>IF($C42,$AZ42,"")</f>
        <v>Semanal · S2</v>
      </c>
      <c r="AF42" s="202" t="b">
        <f>IF($C42,$AV42&lt;&gt;$AR42,FALSE)</f>
        <v>1</v>
      </c>
      <c r="AG42" s="202">
        <f>IF($C42,IF($AV42&lt;&gt;$AR42,$AW42,""),"")</f>
        <v>46192</v>
      </c>
      <c r="AH42" s="203">
        <f>IF($C42,IF(ISBLANK('Backlog General'!$K42),"",'Backlog General'!$K42),"")</f>
      </c>
      <c r="AI42" s="202">
        <f>IF($C42,$AV42*100000+ROW(),"")</f>
        <v>200042</v>
      </c>
      <c r="AJ42" s="202">
        <f>IF(AND($C42,ISNUMBER($H42)),$AA42*1000000-MEDIAN(-9999,$K42,9999)*100+(300-ROW()),"")</f>
        <v>67001058</v>
      </c>
      <c r="AK42" s="202">
        <f>IF($C42,IF($J42="Completado",0,IF($K42&lt;0,1,IF($K42&lt;=3,0.9,IF($K42&lt;=7,0.7,IF($K42&lt;=14,0.45,0.2))))),"")</f>
        <v>1</v>
      </c>
      <c r="AL42" s="202">
        <f>IF($C42,IF($J42="Completado",0,MEDIAN(0,MAX(-$V42,$W42/30),1)),"")</f>
        <v>0.6</v>
      </c>
      <c r="AM42" s="202">
        <f>IF($C42,IF($J42="Completado",0,IF($Z42,1,IF(AND($I42&lt;0.5,$K42&lt;=7),0.7,0.3))),"")</f>
        <v>0.7</v>
      </c>
      <c r="AN42" s="203" t="str">
        <f>IF($C42,IF(OR($V42&lt;-0.2,$W42&gt;0),"ATRASO ","")&amp;IF($Z42,"BLOQUEO ","")&amp;IF($Y42&gt;8,"SOBRECARGA ","")&amp;IF($X42&gt;0,"DESVÍO-PLAN ",""),"")</f>
        <v>ATRASO </v>
      </c>
      <c r="AO42" s="203" t="str">
        <f>IF($C42,IFERROR(VLOOKUP($D42,'Sprints'!$I$5:$J$12,2,FALSE),"Semanal"),"")</f>
        <v>Semanal</v>
      </c>
      <c r="AP42" s="202">
        <f>IF($C42,IFERROR(VLOOKUP($AO42,'Sprints'!$B$9:$C$11,2,FALSE),1),"")</f>
        <v>1</v>
      </c>
      <c r="AQ42" s="202">
        <f>IF($C42,'Sprints'!$C$5,"")</f>
        <v>46192</v>
      </c>
      <c r="AR42" s="202">
        <f>IF(AND($C42,ISNUMBER($H42)),CEILING(MAX(1,INT(($H42-$AQ42+'Sprints'!$D$5-1)/'Sprints'!$D$5)+1)/$AP42,1),"")</f>
        <v>1</v>
      </c>
      <c r="AS42" s="202">
        <f>IF($C42,CEILING(MAX(1,INT((TODAY()-$AQ42+'Sprints'!$D$5-1)/'Sprints'!$D$5)+1)/$AP42,1),"")</f>
        <v>2</v>
      </c>
      <c r="AT42" s="203">
        <f>IF($C42,'Backlog General'!$G42,"")</f>
        <v>0</v>
      </c>
      <c r="AU42" s="203">
        <f>IF($C42,'Backlog General'!$H42,"")</f>
        <v>0</v>
      </c>
      <c r="AV42" s="202">
        <f>IF(AND($C42,ISNUMBER($AR42)),IF(OR($AT42="Completo",$AU42="Cancelado",$AU42="Baja prioridad"),$AR42,IF($AU42="Pasa al siguiente",MAX($AR42+1,$AS42),MAX($AR42,$AS42))),"")</f>
        <v>2</v>
      </c>
      <c r="AW42" s="202">
        <f>IF(AND($C42,ISNUMBER($AR42)),$AQ42+$AR42*$AP42*'Sprints'!$D$5-'Sprints'!$D$5,"")</f>
        <v>46192</v>
      </c>
      <c r="AX42" s="202">
        <f>IF($C42,IF(OR($AT42="Completo",$AU42="Cancelado",$AU42="Baja prioridad",NOT(ISNUMBER($AW42))),0,IF(TODAY()&gt;$AW42,NETWORKDAYS($AW42,TODAY(),'Sprints'!$L$5:$L$40)-1,0)),"")</f>
        <v>2</v>
      </c>
      <c r="AY42" s="203" t="str">
        <f>IF($C42,IF(NOT(ISNUMBER($AR42)),"Sin fecha",IF($AT42="Completo","Completo",IF($AU42="Cancelado","Cancelado",IF($AU42="Baja prioridad","Baja prioridad",IF($AX42&gt;0,"Vencida","Pendiente"))))),"")</f>
        <v>Vencida</v>
      </c>
      <c r="AZ42" s="203" t="str">
        <f>IF($C42,IF(ISNUMBER($AV42),$AO42&amp;" · S"&amp;$AV42,"(Sin fecha)"),"")</f>
        <v>Semanal · S2</v>
      </c>
      <c r="BA42" s="202">
        <f>IF($C42,IF(AND(ISNUMBER('Backlog General'!$M42),'Backlog General'!$M42=$AS42),"Nuevo S"&amp;'Backlog General'!$M42,""),"")</f>
      </c>
      <c r="BB42" s="202">
        <f>IF(AND($C42,$AO42="Semanal",ISNUMBER($AV42)),$AV42*100000+ROW(),"")</f>
        <v>200042</v>
      </c>
      <c r="BC42" s="202">
        <f>IF(AND($C42,$AO42="Quincenal",ISNUMBER($AV42)),$AV42*100000+ROW(),"")</f>
      </c>
      <c r="BD42" s="202">
        <f>IF(AND($C42,$AO42="Mensual",ISNUMBER($AV42)),$AV42*100000+ROW(),"")</f>
      </c>
      <c r="BE42" s="203">
        <f>IF($C42,IF(ISBLANK('Backlog General'!$J42),"",'Backlog General'!$J42),"")</f>
      </c>
      <c r="BF42" s="203">
        <f>IF($C42,IF($BE42="","",$BE42)&amp;IF(AND($BE42&lt;&gt;"",$AH42&lt;&gt;"")," · ","")&amp;IF($AH42="","",$AH42),"")</f>
      </c>
      <c r="BG42" s="203" t="str">
        <f>IF($C42,IF($J42="Completado","Sí","No"),"")</f>
        <v>No</v>
      </c>
      <c r="BH42" s="202">
        <f>IF(AND($C42,ISNUMBER($AR42)),IF($AO42="Semanal",1,IF($AO42="Quincenal",2,3))*1000000000+$AR42*100000+ROW(),"")</f>
        <v>1000100042</v>
      </c>
    </row>
    <row r="43">
      <c r="A43" s="202">
        <f>ROW()</f>
        <v>43</v>
      </c>
      <c r="B43" s="202" t="b">
        <f>ISTEXT('Proyecto Datos (OKR´s)'!$K43)</f>
        <v>0</v>
      </c>
      <c r="C43" s="202" t="b">
        <f>AND(LEN('Proyecto Datos (OKR´s)'!$G43)&gt;0,NOT($B43),OR(ISNUMBER('Proyecto Datos (OKR´s)'!$F43),ISNUMBER('Proyecto Datos (OKR´s)'!$L43)))</f>
        <v>1</v>
      </c>
      <c r="D43" s="203" t="str">
        <f>IF($C43,IFERROR(LOOKUP(2,1/((ISTEXT('Proyecto Datos (OKR´s)'!$K$7:$K43))*(LEN('Proyecto Datos (OKR´s)'!$G$7:$G43)&gt;0)),'Proyecto Datos (OKR´s)'!$G$7:$G43),""),"")</f>
        <v>5- Tablero Control General - Op. Complejas</v>
      </c>
      <c r="E43" s="202">
        <f>IF($C43,'Proyecto Datos (OKR´s)'!$E43,"")</f>
        <v>0</v>
      </c>
      <c r="F43" s="203" t="str">
        <f>IF($C43,'Proyecto Datos (OKR´s)'!$G43,"")</f>
        <v>Locaciones Geográficas Pozos Petro (ver datos Secretaria de Energía)</v>
      </c>
      <c r="G43" s="203" t="str">
        <f>IF($C43,IF('Proyecto Datos (OKR´s)'!$I43="","(Sin asignar)",'Proyecto Datos (OKR´s)'!$I43),"")</f>
        <v>Santiago Alonso</v>
      </c>
      <c r="H43" s="202">
        <f>IF($C43,IF(ISNUMBER('Proyecto Datos (OKR´s)'!$F43),'Proyecto Datos (OKR´s)'!$F43,""),"")</f>
      </c>
      <c r="I43" s="202">
        <f>IF($C43,'Proyecto Datos (OKR´s)'!$J43,"")</f>
        <v>0.1</v>
      </c>
      <c r="J43" s="203" t="str">
        <f>IF($C43,IF($I43&gt;=1,"Completado",IF(NOT(ISNUMBER($H43)),"Sin fecha",IF($H43&lt;TODAY(),"Vencido",IF(($H43-TODAY())&lt;='Entregas Próximas'!$M$3,"Próximo a vencer","En curso")))),"")</f>
        <v>Sin fecha</v>
      </c>
      <c r="K43" s="202">
        <f>IF(AND($C43,ISNUMBER($H43)),$H43-TODAY(),"")</f>
      </c>
      <c r="L43" s="202">
        <f>IF(AND($C43,ISNUMBER($H43)),$AD43*1000000+$H43+ROW()/100000,"")</f>
      </c>
      <c r="M43" s="202">
        <f>IF($C43,IF($AD43=9999,"(Sin sprint)",$AD43),"")</f>
      </c>
      <c r="N43" s="202">
        <f>IF($C43,IF('Proyecto Datos (OKR´s)'!$E43="",9999,'Proyecto Datos (OKR´s)'!$E43),"")</f>
        <v>9999</v>
      </c>
      <c r="O43" s="202" t="str">
        <f>IF($C43,"T"&amp;TEXT(ROW(),"000"),"")</f>
        <v>T043</v>
      </c>
      <c r="R43" s="202">
        <f>IF($C43,IF(ISNUMBER('Proyecto Datos (OKR´s)'!$L43),'Proyecto Datos (OKR´s)'!$L43,$H43),"")</f>
        <v>46195</v>
      </c>
      <c r="S43" s="202">
        <f>IF($C43,$R43-'Proyecto Datos (OKR´s)'!$K43+1,"")</f>
        <v>8</v>
      </c>
      <c r="T43" s="202">
        <f>IF($C43,MAX(0,TODAY()-'Proyecto Datos (OKR´s)'!$K43),"")</f>
        <v>8</v>
      </c>
      <c r="U43" s="202">
        <f>IF($C43,MEDIAN(0,(TODAY()-'Proyecto Datos (OKR´s)'!$K43)/MAX(1,$R43-'Proyecto Datos (OKR´s)'!$K43),1),"")</f>
        <v>1</v>
      </c>
      <c r="V43" s="202">
        <f>IF($C43,$I43-$U43,"")</f>
        <v>-0.9</v>
      </c>
      <c r="W43" s="202">
        <f>IF($C43,IF(OR($J43="Completado",NOT(ISNUMBER($H43))),0,MAX(0,TODAY()-$H43)),"")</f>
        <v>0</v>
      </c>
      <c r="X43" s="202">
        <f>IF($C43,IF(ISNUMBER($H43),$R43-$H43,0),"")</f>
        <v>0</v>
      </c>
      <c r="Y43" s="202">
        <f>IF($C43,COUNTIFS($G$7:$G$200,$G43,$J$7:$J$200,"&lt;&gt;Completado",$J$7:$J$200,"&lt;&gt;"),"")</f>
        <v>0</v>
      </c>
      <c r="Z43" s="202" t="b">
        <f>IF($C43,AND($I43=0,'Proyecto Datos (OKR´s)'!$K43&lt;=TODAY(),$J43&lt;&gt;"Completado"),"")</f>
        <v>0</v>
      </c>
      <c r="AA43" s="202">
        <f>IF($C43,ROUND(100*(0.35*$AK43+0.3*$AL43+0.2*$AM43+0.15*MEDIAN(0,($Y43-4)/8,1)),0),"")</f>
        <v>40</v>
      </c>
      <c r="AB43" s="203" t="str">
        <f>IF($C43,IF(OR($J43="Completado",$J43="Sin fecha"),"—",IF($AA43&gt;=70,"Crítica",IF($AA43&gt;=45,"Alta",IF($AA43&gt;=25,"Media","Baja")))),"")</f>
        <v>—</v>
      </c>
      <c r="AC43" s="203" t="str">
        <f>IF($C43,IF(LEN(TRIM($AN43))=0,"—",TRIM($AN43)),"")</f>
        <v>ATRASO</v>
      </c>
      <c r="AD43" s="202">
        <f>IF($C43,$AV43,"")</f>
      </c>
      <c r="AE43" s="202" t="str">
        <f>IF($C43,$AZ43,"")</f>
        <v>(Sin fecha)</v>
      </c>
      <c r="AF43" s="202" t="b">
        <f>IF($C43,$AV43&lt;&gt;$AR43,FALSE)</f>
        <v>0</v>
      </c>
      <c r="AG43" s="202">
        <f>IF($C43,IF($AV43&lt;&gt;$AR43,$AW43,""),"")</f>
      </c>
      <c r="AH43" s="203">
        <f>IF($C43,IF(ISBLANK('Backlog General'!$K43),"",'Backlog General'!$K43),"")</f>
      </c>
      <c r="AI43" s="202">
        <f>IF($C43,$AV43*100000+ROW(),"")</f>
      </c>
      <c r="AJ43" s="202">
        <f>IF(AND($C43,ISNUMBER($H43)),$AA43*1000000-MEDIAN(-9999,$K43,9999)*100+(300-ROW()),"")</f>
      </c>
      <c r="AK43" s="202">
        <f>IF($C43,IF($J43="Completado",0,IF($K43&lt;0,1,IF($K43&lt;=3,0.9,IF($K43&lt;=7,0.7,IF($K43&lt;=14,0.45,0.2))))),"")</f>
        <v>0.2</v>
      </c>
      <c r="AL43" s="202">
        <f>IF($C43,IF($J43="Completado",0,MEDIAN(0,MAX(-$V43,$W43/30),1)),"")</f>
        <v>0.9</v>
      </c>
      <c r="AM43" s="202">
        <f>IF($C43,IF($J43="Completado",0,IF($Z43,1,IF(AND($I43&lt;0.5,$K43&lt;=7),0.7,0.3))),"")</f>
        <v>0.3</v>
      </c>
      <c r="AN43" s="203" t="str">
        <f>IF($C43,IF(OR($V43&lt;-0.2,$W43&gt;0),"ATRASO ","")&amp;IF($Z43,"BLOQUEO ","")&amp;IF($Y43&gt;8,"SOBRECARGA ","")&amp;IF($X43&gt;0,"DESVÍO-PLAN ",""),"")</f>
        <v>ATRASO </v>
      </c>
      <c r="AO43" s="203" t="str">
        <f>IF($C43,IFERROR(VLOOKUP($D43,'Sprints'!$I$5:$J$12,2,FALSE),"Semanal"),"")</f>
        <v>Semanal</v>
      </c>
      <c r="AP43" s="202">
        <f>IF($C43,IFERROR(VLOOKUP($AO43,'Sprints'!$B$9:$C$11,2,FALSE),1),"")</f>
        <v>1</v>
      </c>
      <c r="AQ43" s="202">
        <f>IF($C43,'Sprints'!$C$5,"")</f>
        <v>46192</v>
      </c>
      <c r="AR43" s="202">
        <f>IF(AND($C43,ISNUMBER($H43)),CEILING(MAX(1,INT(($H43-$AQ43+'Sprints'!$D$5-1)/'Sprints'!$D$5)+1)/$AP43,1),"")</f>
      </c>
      <c r="AS43" s="202">
        <f>IF($C43,CEILING(MAX(1,INT((TODAY()-$AQ43+'Sprints'!$D$5-1)/'Sprints'!$D$5)+1)/$AP43,1),"")</f>
        <v>2</v>
      </c>
      <c r="AT43" s="203">
        <f>IF($C43,'Backlog General'!$G43,"")</f>
        <v>0</v>
      </c>
      <c r="AU43" s="203">
        <f>IF($C43,'Backlog General'!$H43,"")</f>
        <v>0</v>
      </c>
      <c r="AV43" s="202">
        <f>IF(AND($C43,ISNUMBER($AR43)),IF(OR($AT43="Completo",$AU43="Cancelado",$AU43="Baja prioridad"),$AR43,IF($AU43="Pasa al siguiente",MAX($AR43+1,$AS43),MAX($AR43,$AS43))),"")</f>
      </c>
      <c r="AW43" s="202">
        <f>IF(AND($C43,ISNUMBER($AR43)),$AQ43+$AR43*$AP43*'Sprints'!$D$5-'Sprints'!$D$5,"")</f>
      </c>
      <c r="AX43" s="202">
        <f>IF($C43,IF(OR($AT43="Completo",$AU43="Cancelado",$AU43="Baja prioridad",NOT(ISNUMBER($AW43))),0,IF(TODAY()&gt;$AW43,NETWORKDAYS($AW43,TODAY(),'Sprints'!$L$5:$L$40)-1,0)),"")</f>
        <v>0</v>
      </c>
      <c r="AY43" s="203" t="str">
        <f>IF($C43,IF(NOT(ISNUMBER($AR43)),"Sin fecha",IF($AT43="Completo","Completo",IF($AU43="Cancelado","Cancelado",IF($AU43="Baja prioridad","Baja prioridad",IF($AX43&gt;0,"Vencida","Pendiente"))))),"")</f>
        <v>Sin fecha</v>
      </c>
      <c r="AZ43" s="203" t="str">
        <f>IF($C43,IF(ISNUMBER($AV43),$AO43&amp;" · S"&amp;$AV43,"(Sin fecha)"),"")</f>
        <v>(Sin fecha)</v>
      </c>
      <c r="BA43" s="202">
        <f>IF($C43,IF(AND(ISNUMBER('Backlog General'!$M43),'Backlog General'!$M43=$AS43),"Nuevo S"&amp;'Backlog General'!$M43,""),"")</f>
      </c>
      <c r="BB43" s="202">
        <f>IF(AND($C43,$AO43="Semanal",ISNUMBER($AV43)),$AV43*100000+ROW(),"")</f>
      </c>
      <c r="BC43" s="202">
        <f>IF(AND($C43,$AO43="Quincenal",ISNUMBER($AV43)),$AV43*100000+ROW(),"")</f>
      </c>
      <c r="BD43" s="202">
        <f>IF(AND($C43,$AO43="Mensual",ISNUMBER($AV43)),$AV43*100000+ROW(),"")</f>
      </c>
      <c r="BE43" s="203">
        <f>IF($C43,IF(ISBLANK('Backlog General'!$J43),"",'Backlog General'!$J43),"")</f>
      </c>
      <c r="BF43" s="203">
        <f>IF($C43,IF($BE43="","",$BE43)&amp;IF(AND($BE43&lt;&gt;"",$AH43&lt;&gt;"")," · ","")&amp;IF($AH43="","",$AH43),"")</f>
      </c>
      <c r="BG43" s="203" t="str">
        <f>IF($C43,IF($J43="Completado","Sí","No"),"")</f>
        <v>No</v>
      </c>
      <c r="BH43" s="202">
        <f>IF(AND($C43,ISNUMBER($AR43)),IF($AO43="Semanal",1,IF($AO43="Quincenal",2,3))*1000000000+$AR43*100000+ROW(),"")</f>
      </c>
    </row>
    <row r="44">
      <c r="A44" s="202">
        <f>ROW()</f>
        <v>44</v>
      </c>
      <c r="B44" s="202" t="b">
        <f>ISTEXT('Proyecto Datos (OKR´s)'!$K44)</f>
        <v>0</v>
      </c>
      <c r="C44" s="202" t="b">
        <f>AND(LEN('Proyecto Datos (OKR´s)'!$G44)&gt;0,NOT($B44),OR(ISNUMBER('Proyecto Datos (OKR´s)'!$F44),ISNUMBER('Proyecto Datos (OKR´s)'!$L44)))</f>
        <v>1</v>
      </c>
      <c r="D44" s="203" t="str">
        <f>IF($C44,IFERROR(LOOKUP(2,1/((ISTEXT('Proyecto Datos (OKR´s)'!$K$7:$K44))*(LEN('Proyecto Datos (OKR´s)'!$G$7:$G44)&gt;0)),'Proyecto Datos (OKR´s)'!$G$7:$G44),""),"")</f>
        <v>5- Tablero Control General - Op. Complejas</v>
      </c>
      <c r="E44" s="202">
        <f>IF($C44,'Proyecto Datos (OKR´s)'!$E44,"")</f>
        <v>0</v>
      </c>
      <c r="F44" s="203" t="str">
        <f>IF($C44,'Proyecto Datos (OKR´s)'!$G44,"")</f>
        <v>Locaciones Geográficas Minería</v>
      </c>
      <c r="G44" s="203" t="str">
        <f>IF($C44,IF('Proyecto Datos (OKR´s)'!$I44="","(Sin asignar)",'Proyecto Datos (OKR´s)'!$I44),"")</f>
        <v>Santiago Alonso</v>
      </c>
      <c r="H44" s="202">
        <f>IF($C44,IF(ISNUMBER('Proyecto Datos (OKR´s)'!$F44),'Proyecto Datos (OKR´s)'!$F44,""),"")</f>
      </c>
      <c r="I44" s="202">
        <f>IF($C44,'Proyecto Datos (OKR´s)'!$J44,"")</f>
        <v>0</v>
      </c>
      <c r="J44" s="203" t="str">
        <f>IF($C44,IF($I44&gt;=1,"Completado",IF(NOT(ISNUMBER($H44)),"Sin fecha",IF($H44&lt;TODAY(),"Vencido",IF(($H44-TODAY())&lt;='Entregas Próximas'!$M$3,"Próximo a vencer","En curso")))),"")</f>
        <v>Sin fecha</v>
      </c>
      <c r="K44" s="202">
        <f>IF(AND($C44,ISNUMBER($H44)),$H44-TODAY(),"")</f>
      </c>
      <c r="L44" s="202">
        <f>IF(AND($C44,ISNUMBER($H44)),$AD44*1000000+$H44+ROW()/100000,"")</f>
      </c>
      <c r="M44" s="202">
        <f>IF($C44,IF($AD44=9999,"(Sin sprint)",$AD44),"")</f>
      </c>
      <c r="N44" s="202">
        <f>IF($C44,IF('Proyecto Datos (OKR´s)'!$E44="",9999,'Proyecto Datos (OKR´s)'!$E44),"")</f>
        <v>9999</v>
      </c>
      <c r="O44" s="202" t="str">
        <f>IF($C44,"T"&amp;TEXT(ROW(),"000"),"")</f>
        <v>T044</v>
      </c>
      <c r="R44" s="202">
        <f>IF($C44,IF(ISNUMBER('Proyecto Datos (OKR´s)'!$L44),'Proyecto Datos (OKR´s)'!$L44,$H44),"")</f>
        <v>46202</v>
      </c>
      <c r="S44" s="202">
        <f>IF($C44,$R44-'Proyecto Datos (OKR´s)'!$K44+1,"")</f>
        <v>8</v>
      </c>
      <c r="T44" s="202">
        <f>IF($C44,MAX(0,TODAY()-'Proyecto Datos (OKR´s)'!$K44),"")</f>
        <v>1</v>
      </c>
      <c r="U44" s="202">
        <f>IF($C44,MEDIAN(0,(TODAY()-'Proyecto Datos (OKR´s)'!$K44)/MAX(1,$R44-'Proyecto Datos (OKR´s)'!$K44),1),"")</f>
        <v>0.14285714285714285</v>
      </c>
      <c r="V44" s="202">
        <f>IF($C44,$I44-$U44,"")</f>
        <v>-0.14285714285714285</v>
      </c>
      <c r="W44" s="202">
        <f>IF($C44,IF(OR($J44="Completado",NOT(ISNUMBER($H44))),0,MAX(0,TODAY()-$H44)),"")</f>
        <v>0</v>
      </c>
      <c r="X44" s="202">
        <f>IF($C44,IF(ISNUMBER($H44),$R44-$H44,0),"")</f>
        <v>0</v>
      </c>
      <c r="Y44" s="202">
        <f>IF($C44,COUNTIFS($G$7:$G$200,$G44,$J$7:$J$200,"&lt;&gt;Completado",$J$7:$J$200,"&lt;&gt;"),"")</f>
        <v>0</v>
      </c>
      <c r="Z44" s="202" t="b">
        <f>IF($C44,AND($I44=0,'Proyecto Datos (OKR´s)'!$K44&lt;=TODAY(),$J44&lt;&gt;"Completado"),"")</f>
        <v>1</v>
      </c>
      <c r="AA44" s="202">
        <f>IF($C44,ROUND(100*(0.35*$AK44+0.3*$AL44+0.2*$AM44+0.15*MEDIAN(0,($Y44-4)/8,1)),0),"")</f>
        <v>31</v>
      </c>
      <c r="AB44" s="203" t="str">
        <f>IF($C44,IF(OR($J44="Completado",$J44="Sin fecha"),"—",IF($AA44&gt;=70,"Crítica",IF($AA44&gt;=45,"Alta",IF($AA44&gt;=25,"Media","Baja")))),"")</f>
        <v>—</v>
      </c>
      <c r="AC44" s="203" t="str">
        <f>IF($C44,IF(LEN(TRIM($AN44))=0,"—",TRIM($AN44)),"")</f>
        <v>BLOQUEO</v>
      </c>
      <c r="AD44" s="202">
        <f>IF($C44,$AV44,"")</f>
      </c>
      <c r="AE44" s="202" t="str">
        <f>IF($C44,$AZ44,"")</f>
        <v>(Sin fecha)</v>
      </c>
      <c r="AF44" s="202" t="b">
        <f>IF($C44,$AV44&lt;&gt;$AR44,FALSE)</f>
        <v>0</v>
      </c>
      <c r="AG44" s="202">
        <f>IF($C44,IF($AV44&lt;&gt;$AR44,$AW44,""),"")</f>
      </c>
      <c r="AH44" s="203">
        <f>IF($C44,IF(ISBLANK('Backlog General'!$K44),"",'Backlog General'!$K44),"")</f>
      </c>
      <c r="AI44" s="202">
        <f>IF($C44,$AV44*100000+ROW(),"")</f>
      </c>
      <c r="AJ44" s="202">
        <f>IF(AND($C44,ISNUMBER($H44)),$AA44*1000000-MEDIAN(-9999,$K44,9999)*100+(300-ROW()),"")</f>
      </c>
      <c r="AK44" s="202">
        <f>IF($C44,IF($J44="Completado",0,IF($K44&lt;0,1,IF($K44&lt;=3,0.9,IF($K44&lt;=7,0.7,IF($K44&lt;=14,0.45,0.2))))),"")</f>
        <v>0.2</v>
      </c>
      <c r="AL44" s="202">
        <f>IF($C44,IF($J44="Completado",0,MEDIAN(0,MAX(-$V44,$W44/30),1)),"")</f>
        <v>0.14285714285714285</v>
      </c>
      <c r="AM44" s="202">
        <f>IF($C44,IF($J44="Completado",0,IF($Z44,1,IF(AND($I44&lt;0.5,$K44&lt;=7),0.7,0.3))),"")</f>
        <v>1</v>
      </c>
      <c r="AN44" s="203" t="str">
        <f>IF($C44,IF(OR($V44&lt;-0.2,$W44&gt;0),"ATRASO ","")&amp;IF($Z44,"BLOQUEO ","")&amp;IF($Y44&gt;8,"SOBRECARGA ","")&amp;IF($X44&gt;0,"DESVÍO-PLAN ",""),"")</f>
        <v>BLOQUEO </v>
      </c>
      <c r="AO44" s="203" t="str">
        <f>IF($C44,IFERROR(VLOOKUP($D44,'Sprints'!$I$5:$J$12,2,FALSE),"Semanal"),"")</f>
        <v>Semanal</v>
      </c>
      <c r="AP44" s="202">
        <f>IF($C44,IFERROR(VLOOKUP($AO44,'Sprints'!$B$9:$C$11,2,FALSE),1),"")</f>
        <v>1</v>
      </c>
      <c r="AQ44" s="202">
        <f>IF($C44,'Sprints'!$C$5,"")</f>
        <v>46192</v>
      </c>
      <c r="AR44" s="202">
        <f>IF(AND($C44,ISNUMBER($H44)),CEILING(MAX(1,INT(($H44-$AQ44+'Sprints'!$D$5-1)/'Sprints'!$D$5)+1)/$AP44,1),"")</f>
      </c>
      <c r="AS44" s="202">
        <f>IF($C44,CEILING(MAX(1,INT((TODAY()-$AQ44+'Sprints'!$D$5-1)/'Sprints'!$D$5)+1)/$AP44,1),"")</f>
        <v>2</v>
      </c>
      <c r="AT44" s="203">
        <f>IF($C44,'Backlog General'!$G44,"")</f>
        <v>0</v>
      </c>
      <c r="AU44" s="203">
        <f>IF($C44,'Backlog General'!$H44,"")</f>
        <v>0</v>
      </c>
      <c r="AV44" s="202">
        <f>IF(AND($C44,ISNUMBER($AR44)),IF(OR($AT44="Completo",$AU44="Cancelado",$AU44="Baja prioridad"),$AR44,IF($AU44="Pasa al siguiente",MAX($AR44+1,$AS44),MAX($AR44,$AS44))),"")</f>
      </c>
      <c r="AW44" s="202">
        <f>IF(AND($C44,ISNUMBER($AR44)),$AQ44+$AR44*$AP44*'Sprints'!$D$5-'Sprints'!$D$5,"")</f>
      </c>
      <c r="AX44" s="202">
        <f>IF($C44,IF(OR($AT44="Completo",$AU44="Cancelado",$AU44="Baja prioridad",NOT(ISNUMBER($AW44))),0,IF(TODAY()&gt;$AW44,NETWORKDAYS($AW44,TODAY(),'Sprints'!$L$5:$L$40)-1,0)),"")</f>
        <v>0</v>
      </c>
      <c r="AY44" s="203" t="str">
        <f>IF($C44,IF(NOT(ISNUMBER($AR44)),"Sin fecha",IF($AT44="Completo","Completo",IF($AU44="Cancelado","Cancelado",IF($AU44="Baja prioridad","Baja prioridad",IF($AX44&gt;0,"Vencida","Pendiente"))))),"")</f>
        <v>Sin fecha</v>
      </c>
      <c r="AZ44" s="203" t="str">
        <f>IF($C44,IF(ISNUMBER($AV44),$AO44&amp;" · S"&amp;$AV44,"(Sin fecha)"),"")</f>
        <v>(Sin fecha)</v>
      </c>
      <c r="BA44" s="202">
        <f>IF($C44,IF(AND(ISNUMBER('Backlog General'!$M44),'Backlog General'!$M44=$AS44),"Nuevo S"&amp;'Backlog General'!$M44,""),"")</f>
      </c>
      <c r="BB44" s="202">
        <f>IF(AND($C44,$AO44="Semanal",ISNUMBER($AV44)),$AV44*100000+ROW(),"")</f>
      </c>
      <c r="BC44" s="202">
        <f>IF(AND($C44,$AO44="Quincenal",ISNUMBER($AV44)),$AV44*100000+ROW(),"")</f>
      </c>
      <c r="BD44" s="202">
        <f>IF(AND($C44,$AO44="Mensual",ISNUMBER($AV44)),$AV44*100000+ROW(),"")</f>
      </c>
      <c r="BE44" s="203">
        <f>IF($C44,IF(ISBLANK('Backlog General'!$J44),"",'Backlog General'!$J44),"")</f>
      </c>
      <c r="BF44" s="203">
        <f>IF($C44,IF($BE44="","",$BE44)&amp;IF(AND($BE44&lt;&gt;"",$AH44&lt;&gt;"")," · ","")&amp;IF($AH44="","",$AH44),"")</f>
      </c>
      <c r="BG44" s="203" t="str">
        <f>IF($C44,IF($J44="Completado","Sí","No"),"")</f>
        <v>No</v>
      </c>
      <c r="BH44" s="202">
        <f>IF(AND($C44,ISNUMBER($AR44)),IF($AO44="Semanal",1,IF($AO44="Quincenal",2,3))*1000000000+$AR44*100000+ROW(),"")</f>
      </c>
    </row>
    <row r="45">
      <c r="A45" s="202">
        <f>ROW()</f>
        <v>45</v>
      </c>
      <c r="B45" s="202" t="b">
        <f>ISTEXT('Proyecto Datos (OKR´s)'!$K45)</f>
        <v>0</v>
      </c>
      <c r="C45" s="202" t="b">
        <f>AND(LEN('Proyecto Datos (OKR´s)'!$G45)&gt;0,NOT($B45),OR(ISNUMBER('Proyecto Datos (OKR´s)'!$F45),ISNUMBER('Proyecto Datos (OKR´s)'!$L45)))</f>
        <v>1</v>
      </c>
      <c r="D45" s="203" t="str">
        <f>IF($C45,IFERROR(LOOKUP(2,1/((ISTEXT('Proyecto Datos (OKR´s)'!$K$7:$K45))*(LEN('Proyecto Datos (OKR´s)'!$G$7:$G45)&gt;0)),'Proyecto Datos (OKR´s)'!$G$7:$G45),""),"")</f>
        <v>5- Tablero Control General - Op. Complejas</v>
      </c>
      <c r="E45" s="202">
        <f>IF($C45,'Proyecto Datos (OKR´s)'!$E45,"")</f>
        <v>0</v>
      </c>
      <c r="F45" s="203" t="str">
        <f>IF($C45,'Proyecto Datos (OKR´s)'!$G45,"")</f>
        <v>Locaciones Geográficas Op. Dedicadas</v>
      </c>
      <c r="G45" s="203" t="str">
        <f>IF($C45,IF('Proyecto Datos (OKR´s)'!$I45="","(Sin asignar)",'Proyecto Datos (OKR´s)'!$I45),"")</f>
        <v>Santiago Alonso</v>
      </c>
      <c r="H45" s="202">
        <f>IF($C45,IF(ISNUMBER('Proyecto Datos (OKR´s)'!$F45),'Proyecto Datos (OKR´s)'!$F45,""),"")</f>
      </c>
      <c r="I45" s="202">
        <f>IF($C45,'Proyecto Datos (OKR´s)'!$J45,"")</f>
        <v>0</v>
      </c>
      <c r="J45" s="203" t="str">
        <f>IF($C45,IF($I45&gt;=1,"Completado",IF(NOT(ISNUMBER($H45)),"Sin fecha",IF($H45&lt;TODAY(),"Vencido",IF(($H45-TODAY())&lt;='Entregas Próximas'!$M$3,"Próximo a vencer","En curso")))),"")</f>
        <v>Sin fecha</v>
      </c>
      <c r="K45" s="202">
        <f>IF(AND($C45,ISNUMBER($H45)),$H45-TODAY(),"")</f>
      </c>
      <c r="L45" s="202">
        <f>IF(AND($C45,ISNUMBER($H45)),$AD45*1000000+$H45+ROW()/100000,"")</f>
      </c>
      <c r="M45" s="202">
        <f>IF($C45,IF($AD45=9999,"(Sin sprint)",$AD45),"")</f>
      </c>
      <c r="N45" s="202">
        <f>IF($C45,IF('Proyecto Datos (OKR´s)'!$E45="",9999,'Proyecto Datos (OKR´s)'!$E45),"")</f>
        <v>9999</v>
      </c>
      <c r="O45" s="202" t="str">
        <f>IF($C45,"T"&amp;TEXT(ROW(),"000"),"")</f>
        <v>T045</v>
      </c>
      <c r="R45" s="202">
        <f>IF($C45,IF(ISNUMBER('Proyecto Datos (OKR´s)'!$L45),'Proyecto Datos (OKR´s)'!$L45,$H45),"")</f>
        <v>46209</v>
      </c>
      <c r="S45" s="202">
        <f>IF($C45,$R45-'Proyecto Datos (OKR´s)'!$K45+1,"")</f>
        <v>8</v>
      </c>
      <c r="T45" s="202">
        <f>IF($C45,MAX(0,TODAY()-'Proyecto Datos (OKR´s)'!$K45),"")</f>
        <v>0</v>
      </c>
      <c r="U45" s="202">
        <f>IF($C45,MEDIAN(0,(TODAY()-'Proyecto Datos (OKR´s)'!$K45)/MAX(1,$R45-'Proyecto Datos (OKR´s)'!$K45),1),"")</f>
        <v>0</v>
      </c>
      <c r="V45" s="202">
        <f>IF($C45,$I45-$U45,"")</f>
        <v>0</v>
      </c>
      <c r="W45" s="202">
        <f>IF($C45,IF(OR($J45="Completado",NOT(ISNUMBER($H45))),0,MAX(0,TODAY()-$H45)),"")</f>
        <v>0</v>
      </c>
      <c r="X45" s="202">
        <f>IF($C45,IF(ISNUMBER($H45),$R45-$H45,0),"")</f>
        <v>0</v>
      </c>
      <c r="Y45" s="202">
        <f>IF($C45,COUNTIFS($G$7:$G$200,$G45,$J$7:$J$200,"&lt;&gt;Completado",$J$7:$J$200,"&lt;&gt;"),"")</f>
        <v>0</v>
      </c>
      <c r="Z45" s="202" t="b">
        <f>IF($C45,AND($I45=0,'Proyecto Datos (OKR´s)'!$K45&lt;=TODAY(),$J45&lt;&gt;"Completado"),"")</f>
        <v>0</v>
      </c>
      <c r="AA45" s="202">
        <f>IF($C45,ROUND(100*(0.35*$AK45+0.3*$AL45+0.2*$AM45+0.15*MEDIAN(0,($Y45-4)/8,1)),0),"")</f>
        <v>13</v>
      </c>
      <c r="AB45" s="203" t="str">
        <f>IF($C45,IF(OR($J45="Completado",$J45="Sin fecha"),"—",IF($AA45&gt;=70,"Crítica",IF($AA45&gt;=45,"Alta",IF($AA45&gt;=25,"Media","Baja")))),"")</f>
        <v>—</v>
      </c>
      <c r="AC45" s="203" t="str">
        <f>IF($C45,IF(LEN(TRIM($AN45))=0,"—",TRIM($AN45)),"")</f>
        <v>—</v>
      </c>
      <c r="AD45" s="202">
        <f>IF($C45,$AV45,"")</f>
      </c>
      <c r="AE45" s="202" t="str">
        <f>IF($C45,$AZ45,"")</f>
        <v>(Sin fecha)</v>
      </c>
      <c r="AF45" s="202" t="b">
        <f>IF($C45,$AV45&lt;&gt;$AR45,FALSE)</f>
        <v>0</v>
      </c>
      <c r="AG45" s="202">
        <f>IF($C45,IF($AV45&lt;&gt;$AR45,$AW45,""),"")</f>
      </c>
      <c r="AH45" s="203">
        <f>IF($C45,IF(ISBLANK('Backlog General'!$K45),"",'Backlog General'!$K45),"")</f>
      </c>
      <c r="AI45" s="202">
        <f>IF($C45,$AV45*100000+ROW(),"")</f>
      </c>
      <c r="AJ45" s="202">
        <f>IF(AND($C45,ISNUMBER($H45)),$AA45*1000000-MEDIAN(-9999,$K45,9999)*100+(300-ROW()),"")</f>
      </c>
      <c r="AK45" s="202">
        <f>IF($C45,IF($J45="Completado",0,IF($K45&lt;0,1,IF($K45&lt;=3,0.9,IF($K45&lt;=7,0.7,IF($K45&lt;=14,0.45,0.2))))),"")</f>
        <v>0.2</v>
      </c>
      <c r="AL45" s="202">
        <f>IF($C45,IF($J45="Completado",0,MEDIAN(0,MAX(-$V45,$W45/30),1)),"")</f>
        <v>0</v>
      </c>
      <c r="AM45" s="202">
        <f>IF($C45,IF($J45="Completado",0,IF($Z45,1,IF(AND($I45&lt;0.5,$K45&lt;=7),0.7,0.3))),"")</f>
        <v>0.3</v>
      </c>
      <c r="AN45" s="203">
        <f>IF($C45,IF(OR($V45&lt;-0.2,$W45&gt;0),"ATRASO ","")&amp;IF($Z45,"BLOQUEO ","")&amp;IF($Y45&gt;8,"SOBRECARGA ","")&amp;IF($X45&gt;0,"DESVÍO-PLAN ",""),"")</f>
      </c>
      <c r="AO45" s="203" t="str">
        <f>IF($C45,IFERROR(VLOOKUP($D45,'Sprints'!$I$5:$J$12,2,FALSE),"Semanal"),"")</f>
        <v>Semanal</v>
      </c>
      <c r="AP45" s="202">
        <f>IF($C45,IFERROR(VLOOKUP($AO45,'Sprints'!$B$9:$C$11,2,FALSE),1),"")</f>
        <v>1</v>
      </c>
      <c r="AQ45" s="202">
        <f>IF($C45,'Sprints'!$C$5,"")</f>
        <v>46192</v>
      </c>
      <c r="AR45" s="202">
        <f>IF(AND($C45,ISNUMBER($H45)),CEILING(MAX(1,INT(($H45-$AQ45+'Sprints'!$D$5-1)/'Sprints'!$D$5)+1)/$AP45,1),"")</f>
      </c>
      <c r="AS45" s="202">
        <f>IF($C45,CEILING(MAX(1,INT((TODAY()-$AQ45+'Sprints'!$D$5-1)/'Sprints'!$D$5)+1)/$AP45,1),"")</f>
        <v>2</v>
      </c>
      <c r="AT45" s="203">
        <f>IF($C45,'Backlog General'!$G45,"")</f>
        <v>0</v>
      </c>
      <c r="AU45" s="203">
        <f>IF($C45,'Backlog General'!$H45,"")</f>
        <v>0</v>
      </c>
      <c r="AV45" s="202">
        <f>IF(AND($C45,ISNUMBER($AR45)),IF(OR($AT45="Completo",$AU45="Cancelado",$AU45="Baja prioridad"),$AR45,IF($AU45="Pasa al siguiente",MAX($AR45+1,$AS45),MAX($AR45,$AS45))),"")</f>
      </c>
      <c r="AW45" s="202">
        <f>IF(AND($C45,ISNUMBER($AR45)),$AQ45+$AR45*$AP45*'Sprints'!$D$5-'Sprints'!$D$5,"")</f>
      </c>
      <c r="AX45" s="202">
        <f>IF($C45,IF(OR($AT45="Completo",$AU45="Cancelado",$AU45="Baja prioridad",NOT(ISNUMBER($AW45))),0,IF(TODAY()&gt;$AW45,NETWORKDAYS($AW45,TODAY(),'Sprints'!$L$5:$L$40)-1,0)),"")</f>
        <v>0</v>
      </c>
      <c r="AY45" s="203" t="str">
        <f>IF($C45,IF(NOT(ISNUMBER($AR45)),"Sin fecha",IF($AT45="Completo","Completo",IF($AU45="Cancelado","Cancelado",IF($AU45="Baja prioridad","Baja prioridad",IF($AX45&gt;0,"Vencida","Pendiente"))))),"")</f>
        <v>Sin fecha</v>
      </c>
      <c r="AZ45" s="203" t="str">
        <f>IF($C45,IF(ISNUMBER($AV45),$AO45&amp;" · S"&amp;$AV45,"(Sin fecha)"),"")</f>
        <v>(Sin fecha)</v>
      </c>
      <c r="BA45" s="202">
        <f>IF($C45,IF(AND(ISNUMBER('Backlog General'!$M45),'Backlog General'!$M45=$AS45),"Nuevo S"&amp;'Backlog General'!$M45,""),"")</f>
      </c>
      <c r="BB45" s="202">
        <f>IF(AND($C45,$AO45="Semanal",ISNUMBER($AV45)),$AV45*100000+ROW(),"")</f>
      </c>
      <c r="BC45" s="202">
        <f>IF(AND($C45,$AO45="Quincenal",ISNUMBER($AV45)),$AV45*100000+ROW(),"")</f>
      </c>
      <c r="BD45" s="202">
        <f>IF(AND($C45,$AO45="Mensual",ISNUMBER($AV45)),$AV45*100000+ROW(),"")</f>
      </c>
      <c r="BE45" s="203">
        <f>IF($C45,IF(ISBLANK('Backlog General'!$J45),"",'Backlog General'!$J45),"")</f>
      </c>
      <c r="BF45" s="203">
        <f>IF($C45,IF($BE45="","",$BE45)&amp;IF(AND($BE45&lt;&gt;"",$AH45&lt;&gt;"")," · ","")&amp;IF($AH45="","",$AH45),"")</f>
      </c>
      <c r="BG45" s="203" t="str">
        <f>IF($C45,IF($J45="Completado","Sí","No"),"")</f>
        <v>No</v>
      </c>
      <c r="BH45" s="202">
        <f>IF(AND($C45,ISNUMBER($AR45)),IF($AO45="Semanal",1,IF($AO45="Quincenal",2,3))*1000000000+$AR45*100000+ROW(),"")</f>
      </c>
    </row>
    <row r="46">
      <c r="A46" s="202">
        <f>ROW()</f>
        <v>46</v>
      </c>
      <c r="B46" s="202" t="b">
        <f>ISTEXT('Proyecto Datos (OKR´s)'!$K46)</f>
        <v>0</v>
      </c>
      <c r="C46" s="202" t="b">
        <f>AND(LEN('Proyecto Datos (OKR´s)'!$G46)&gt;0,NOT($B46),OR(ISNUMBER('Proyecto Datos (OKR´s)'!$F46),ISNUMBER('Proyecto Datos (OKR´s)'!$L46)))</f>
        <v>1</v>
      </c>
      <c r="D46" s="203" t="str">
        <f>IF($C46,IFERROR(LOOKUP(2,1/((ISTEXT('Proyecto Datos (OKR´s)'!$K$7:$K46))*(LEN('Proyecto Datos (OKR´s)'!$G$7:$G46)&gt;0)),'Proyecto Datos (OKR´s)'!$G$7:$G46),""),"")</f>
        <v>5- Tablero Control General - Op. Complejas</v>
      </c>
      <c r="E46" s="202">
        <f>IF($C46,'Proyecto Datos (OKR´s)'!$E46,"")</f>
        <v>1</v>
      </c>
      <c r="F46" s="203" t="str">
        <f>IF($C46,'Proyecto Datos (OKR´s)'!$G46,"")</f>
        <v>Detalle Responsables (Comerciales + Analistas)</v>
      </c>
      <c r="G46" s="203" t="str">
        <f>IF($C46,IF('Proyecto Datos (OKR´s)'!$I46="","(Sin asignar)",'Proyecto Datos (OKR´s)'!$I46),"")</f>
        <v>Santiago Alonso</v>
      </c>
      <c r="H46" s="202">
        <f>IF($C46,IF(ISNUMBER('Proyecto Datos (OKR´s)'!$F46),'Proyecto Datos (OKR´s)'!$F46,""),"")</f>
        <v>46188</v>
      </c>
      <c r="I46" s="202">
        <f>IF($C46,'Proyecto Datos (OKR´s)'!$J46,"")</f>
        <v>0.5</v>
      </c>
      <c r="J46" s="203" t="str">
        <f>IF($C46,IF($I46&gt;=1,"Completado",IF(NOT(ISNUMBER($H46)),"Sin fecha",IF($H46&lt;TODAY(),"Vencido",IF(($H46-TODAY())&lt;='Entregas Próximas'!$M$3,"Próximo a vencer","En curso")))),"")</f>
        <v>Vencido</v>
      </c>
      <c r="K46" s="202">
        <f>IF(AND($C46,ISNUMBER($H46)),$H46-TODAY(),"")</f>
        <v>-8</v>
      </c>
      <c r="L46" s="202">
        <f>IF(AND($C46,ISNUMBER($H46)),$AD46*1000000+$H46+ROW()/100000,"")</f>
        <v>2046188.00046</v>
      </c>
      <c r="M46" s="202">
        <f>IF($C46,IF($AD46=9999,"(Sin sprint)",$AD46),"")</f>
        <v>2</v>
      </c>
      <c r="N46" s="202">
        <f>IF($C46,IF('Proyecto Datos (OKR´s)'!$E46="",9999,'Proyecto Datos (OKR´s)'!$E46),"")</f>
        <v>1</v>
      </c>
      <c r="O46" s="202" t="str">
        <f>IF($C46,"T"&amp;TEXT(ROW(),"000"),"")</f>
        <v>T046</v>
      </c>
      <c r="R46" s="202">
        <f>IF($C46,IF(ISNUMBER('Proyecto Datos (OKR´s)'!$L46),'Proyecto Datos (OKR´s)'!$L46,$H46),"")</f>
        <v>46188</v>
      </c>
      <c r="S46" s="202">
        <f>IF($C46,$R46-'Proyecto Datos (OKR´s)'!$K46+1,"")</f>
        <v>-21</v>
      </c>
      <c r="T46" s="202">
        <f>IF($C46,MAX(0,TODAY()-'Proyecto Datos (OKR´s)'!$K46),"")</f>
        <v>0</v>
      </c>
      <c r="U46" s="202">
        <f>IF($C46,MEDIAN(0,(TODAY()-'Proyecto Datos (OKR´s)'!$K46)/MAX(1,$R46-'Proyecto Datos (OKR´s)'!$K46),1),"")</f>
        <v>0</v>
      </c>
      <c r="V46" s="202">
        <f>IF($C46,$I46-$U46,"")</f>
        <v>0.5</v>
      </c>
      <c r="W46" s="202">
        <f>IF($C46,IF(OR($J46="Completado",NOT(ISNUMBER($H46))),0,MAX(0,TODAY()-$H46)),"")</f>
        <v>8</v>
      </c>
      <c r="X46" s="202">
        <f>IF($C46,IF(ISNUMBER($H46),$R46-$H46,0),"")</f>
        <v>0</v>
      </c>
      <c r="Y46" s="202">
        <f>IF($C46,COUNTIFS($G$7:$G$200,$G46,$J$7:$J$200,"&lt;&gt;Completado",$J$7:$J$200,"&lt;&gt;"),"")</f>
        <v>0</v>
      </c>
      <c r="Z46" s="202" t="b">
        <f>IF($C46,AND($I46=0,'Proyecto Datos (OKR´s)'!$K46&lt;=TODAY(),$J46&lt;&gt;"Completado"),"")</f>
        <v>0</v>
      </c>
      <c r="AA46" s="202">
        <f>IF($C46,ROUND(100*(0.35*$AK46+0.3*$AL46+0.2*$AM46+0.15*MEDIAN(0,($Y46-4)/8,1)),0),"")</f>
        <v>49</v>
      </c>
      <c r="AB46" s="203" t="str">
        <f>IF($C46,IF(OR($J46="Completado",$J46="Sin fecha"),"—",IF($AA46&gt;=70,"Crítica",IF($AA46&gt;=45,"Alta",IF($AA46&gt;=25,"Media","Baja")))),"")</f>
        <v>Alta</v>
      </c>
      <c r="AC46" s="203" t="str">
        <f>IF($C46,IF(LEN(TRIM($AN46))=0,"—",TRIM($AN46)),"")</f>
        <v>ATRASO</v>
      </c>
      <c r="AD46" s="202">
        <f>IF($C46,$AV46,"")</f>
        <v>2</v>
      </c>
      <c r="AE46" s="202" t="str">
        <f>IF($C46,$AZ46,"")</f>
        <v>Semanal · S2</v>
      </c>
      <c r="AF46" s="202" t="b">
        <f>IF($C46,$AV46&lt;&gt;$AR46,FALSE)</f>
        <v>1</v>
      </c>
      <c r="AG46" s="202">
        <f>IF($C46,IF($AV46&lt;&gt;$AR46,$AW46,""),"")</f>
        <v>46192</v>
      </c>
      <c r="AH46" s="203">
        <f>IF($C46,IF(ISBLANK('Backlog General'!$K46),"",'Backlog General'!$K46),"")</f>
      </c>
      <c r="AI46" s="202">
        <f>IF($C46,$AV46*100000+ROW(),"")</f>
        <v>200046</v>
      </c>
      <c r="AJ46" s="202">
        <f>IF(AND($C46,ISNUMBER($H46)),$AA46*1000000-MEDIAN(-9999,$K46,9999)*100+(300-ROW()),"")</f>
        <v>49001054</v>
      </c>
      <c r="AK46" s="202">
        <f>IF($C46,IF($J46="Completado",0,IF($K46&lt;0,1,IF($K46&lt;=3,0.9,IF($K46&lt;=7,0.7,IF($K46&lt;=14,0.45,0.2))))),"")</f>
        <v>1</v>
      </c>
      <c r="AL46" s="202">
        <f>IF($C46,IF($J46="Completado",0,MEDIAN(0,MAX(-$V46,$W46/30),1)),"")</f>
        <v>0.26666666666666666</v>
      </c>
      <c r="AM46" s="202">
        <f>IF($C46,IF($J46="Completado",0,IF($Z46,1,IF(AND($I46&lt;0.5,$K46&lt;=7),0.7,0.3))),"")</f>
        <v>0.3</v>
      </c>
      <c r="AN46" s="203" t="str">
        <f>IF($C46,IF(OR($V46&lt;-0.2,$W46&gt;0),"ATRASO ","")&amp;IF($Z46,"BLOQUEO ","")&amp;IF($Y46&gt;8,"SOBRECARGA ","")&amp;IF($X46&gt;0,"DESVÍO-PLAN ",""),"")</f>
        <v>ATRASO </v>
      </c>
      <c r="AO46" s="203" t="str">
        <f>IF($C46,IFERROR(VLOOKUP($D46,'Sprints'!$I$5:$J$12,2,FALSE),"Semanal"),"")</f>
        <v>Semanal</v>
      </c>
      <c r="AP46" s="202">
        <f>IF($C46,IFERROR(VLOOKUP($AO46,'Sprints'!$B$9:$C$11,2,FALSE),1),"")</f>
        <v>1</v>
      </c>
      <c r="AQ46" s="202">
        <f>IF($C46,'Sprints'!$C$5,"")</f>
        <v>46192</v>
      </c>
      <c r="AR46" s="202">
        <f>IF(AND($C46,ISNUMBER($H46)),CEILING(MAX(1,INT(($H46-$AQ46+'Sprints'!$D$5-1)/'Sprints'!$D$5)+1)/$AP46,1),"")</f>
        <v>1</v>
      </c>
      <c r="AS46" s="202">
        <f>IF($C46,CEILING(MAX(1,INT((TODAY()-$AQ46+'Sprints'!$D$5-1)/'Sprints'!$D$5)+1)/$AP46,1),"")</f>
        <v>2</v>
      </c>
      <c r="AT46" s="203">
        <f>IF($C46,'Backlog General'!$G46,"")</f>
        <v>0</v>
      </c>
      <c r="AU46" s="203">
        <f>IF($C46,'Backlog General'!$H46,"")</f>
        <v>0</v>
      </c>
      <c r="AV46" s="202">
        <f>IF(AND($C46,ISNUMBER($AR46)),IF(OR($AT46="Completo",$AU46="Cancelado",$AU46="Baja prioridad"),$AR46,IF($AU46="Pasa al siguiente",MAX($AR46+1,$AS46),MAX($AR46,$AS46))),"")</f>
        <v>2</v>
      </c>
      <c r="AW46" s="202">
        <f>IF(AND($C46,ISNUMBER($AR46)),$AQ46+$AR46*$AP46*'Sprints'!$D$5-'Sprints'!$D$5,"")</f>
        <v>46192</v>
      </c>
      <c r="AX46" s="202">
        <f>IF($C46,IF(OR($AT46="Completo",$AU46="Cancelado",$AU46="Baja prioridad",NOT(ISNUMBER($AW46))),0,IF(TODAY()&gt;$AW46,NETWORKDAYS($AW46,TODAY(),'Sprints'!$L$5:$L$40)-1,0)),"")</f>
        <v>2</v>
      </c>
      <c r="AY46" s="203" t="str">
        <f>IF($C46,IF(NOT(ISNUMBER($AR46)),"Sin fecha",IF($AT46="Completo","Completo",IF($AU46="Cancelado","Cancelado",IF($AU46="Baja prioridad","Baja prioridad",IF($AX46&gt;0,"Vencida","Pendiente"))))),"")</f>
        <v>Vencida</v>
      </c>
      <c r="AZ46" s="203" t="str">
        <f>IF($C46,IF(ISNUMBER($AV46),$AO46&amp;" · S"&amp;$AV46,"(Sin fecha)"),"")</f>
        <v>Semanal · S2</v>
      </c>
      <c r="BA46" s="202">
        <f>IF($C46,IF(AND(ISNUMBER('Backlog General'!$M46),'Backlog General'!$M46=$AS46),"Nuevo S"&amp;'Backlog General'!$M46,""),"")</f>
      </c>
      <c r="BB46" s="202">
        <f>IF(AND($C46,$AO46="Semanal",ISNUMBER($AV46)),$AV46*100000+ROW(),"")</f>
        <v>200046</v>
      </c>
      <c r="BC46" s="202">
        <f>IF(AND($C46,$AO46="Quincenal",ISNUMBER($AV46)),$AV46*100000+ROW(),"")</f>
      </c>
      <c r="BD46" s="202">
        <f>IF(AND($C46,$AO46="Mensual",ISNUMBER($AV46)),$AV46*100000+ROW(),"")</f>
      </c>
      <c r="BE46" s="203">
        <f>IF($C46,IF(ISBLANK('Backlog General'!$J46),"",'Backlog General'!$J46),"")</f>
      </c>
      <c r="BF46" s="203">
        <f>IF($C46,IF($BE46="","",$BE46)&amp;IF(AND($BE46&lt;&gt;"",$AH46&lt;&gt;"")," · ","")&amp;IF($AH46="","",$AH46),"")</f>
      </c>
      <c r="BG46" s="203" t="str">
        <f>IF($C46,IF($J46="Completado","Sí","No"),"")</f>
        <v>No</v>
      </c>
      <c r="BH46" s="202">
        <f>IF(AND($C46,ISNUMBER($AR46)),IF($AO46="Semanal",1,IF($AO46="Quincenal",2,3))*1000000000+$AR46*100000+ROW(),"")</f>
        <v>1000100046</v>
      </c>
    </row>
    <row r="47">
      <c r="A47" s="202">
        <f>ROW()</f>
        <v>47</v>
      </c>
      <c r="B47" s="202" t="b">
        <f>ISTEXT('Proyecto Datos (OKR´s)'!$K47)</f>
        <v>0</v>
      </c>
      <c r="C47" s="202" t="b">
        <f>AND(LEN('Proyecto Datos (OKR´s)'!$G47)&gt;0,NOT($B47),OR(ISNUMBER('Proyecto Datos (OKR´s)'!$F47),ISNUMBER('Proyecto Datos (OKR´s)'!$L47)))</f>
        <v>1</v>
      </c>
      <c r="D47" s="203" t="str">
        <f>IF($C47,IFERROR(LOOKUP(2,1/((ISTEXT('Proyecto Datos (OKR´s)'!$K$7:$K47))*(LEN('Proyecto Datos (OKR´s)'!$G$7:$G47)&gt;0)),'Proyecto Datos (OKR´s)'!$G$7:$G47),""),"")</f>
        <v>5- Tablero Control General - Op. Complejas</v>
      </c>
      <c r="E47" s="202">
        <f>IF($C47,'Proyecto Datos (OKR´s)'!$E47,"")</f>
        <v>1</v>
      </c>
      <c r="F47" s="203" t="str">
        <f>IF($C47,'Proyecto Datos (OKR´s)'!$G47,"")</f>
        <v>Armado de Dashboard + Diseño</v>
      </c>
      <c r="G47" s="203" t="str">
        <f>IF($C47,IF('Proyecto Datos (OKR´s)'!$I47="","(Sin asignar)",'Proyecto Datos (OKR´s)'!$I47),"")</f>
        <v>Santiago Alonso</v>
      </c>
      <c r="H47" s="202">
        <f>IF($C47,IF(ISNUMBER('Proyecto Datos (OKR´s)'!$F47),'Proyecto Datos (OKR´s)'!$F47,""),"")</f>
        <v>46188</v>
      </c>
      <c r="I47" s="202">
        <f>IF($C47,'Proyecto Datos (OKR´s)'!$J47,"")</f>
        <v>0.5</v>
      </c>
      <c r="J47" s="203" t="str">
        <f>IF($C47,IF($I47&gt;=1,"Completado",IF(NOT(ISNUMBER($H47)),"Sin fecha",IF($H47&lt;TODAY(),"Vencido",IF(($H47-TODAY())&lt;='Entregas Próximas'!$M$3,"Próximo a vencer","En curso")))),"")</f>
        <v>Vencido</v>
      </c>
      <c r="K47" s="202">
        <f>IF(AND($C47,ISNUMBER($H47)),$H47-TODAY(),"")</f>
        <v>-8</v>
      </c>
      <c r="L47" s="202">
        <f>IF(AND($C47,ISNUMBER($H47)),$AD47*1000000+$H47+ROW()/100000,"")</f>
        <v>2046188.00047</v>
      </c>
      <c r="M47" s="202">
        <f>IF($C47,IF($AD47=9999,"(Sin sprint)",$AD47),"")</f>
        <v>2</v>
      </c>
      <c r="N47" s="202">
        <f>IF($C47,IF('Proyecto Datos (OKR´s)'!$E47="",9999,'Proyecto Datos (OKR´s)'!$E47),"")</f>
        <v>1</v>
      </c>
      <c r="O47" s="202" t="str">
        <f>IF($C47,"T"&amp;TEXT(ROW(),"000"),"")</f>
        <v>T047</v>
      </c>
      <c r="R47" s="202">
        <f>IF($C47,IF(ISNUMBER('Proyecto Datos (OKR´s)'!$L47),'Proyecto Datos (OKR´s)'!$L47,$H47),"")</f>
        <v>46188</v>
      </c>
      <c r="S47" s="202">
        <f>IF($C47,$R47-'Proyecto Datos (OKR´s)'!$K47+1,"")</f>
        <v>0</v>
      </c>
      <c r="T47" s="202">
        <f>IF($C47,MAX(0,TODAY()-'Proyecto Datos (OKR´s)'!$K47),"")</f>
        <v>7</v>
      </c>
      <c r="U47" s="202">
        <f>IF($C47,MEDIAN(0,(TODAY()-'Proyecto Datos (OKR´s)'!$K47)/MAX(1,$R47-'Proyecto Datos (OKR´s)'!$K47),1),"")</f>
        <v>1</v>
      </c>
      <c r="V47" s="202">
        <f>IF($C47,$I47-$U47,"")</f>
        <v>-0.5</v>
      </c>
      <c r="W47" s="202">
        <f>IF($C47,IF(OR($J47="Completado",NOT(ISNUMBER($H47))),0,MAX(0,TODAY()-$H47)),"")</f>
        <v>8</v>
      </c>
      <c r="X47" s="202">
        <f>IF($C47,IF(ISNUMBER($H47),$R47-$H47,0),"")</f>
        <v>0</v>
      </c>
      <c r="Y47" s="202">
        <f>IF($C47,COUNTIFS($G$7:$G$200,$G47,$J$7:$J$200,"&lt;&gt;Completado",$J$7:$J$200,"&lt;&gt;"),"")</f>
        <v>0</v>
      </c>
      <c r="Z47" s="202" t="b">
        <f>IF($C47,AND($I47=0,'Proyecto Datos (OKR´s)'!$K47&lt;=TODAY(),$J47&lt;&gt;"Completado"),"")</f>
        <v>0</v>
      </c>
      <c r="AA47" s="202">
        <f>IF($C47,ROUND(100*(0.35*$AK47+0.3*$AL47+0.2*$AM47+0.15*MEDIAN(0,($Y47-4)/8,1)),0),"")</f>
        <v>56</v>
      </c>
      <c r="AB47" s="203" t="str">
        <f>IF($C47,IF(OR($J47="Completado",$J47="Sin fecha"),"—",IF($AA47&gt;=70,"Crítica",IF($AA47&gt;=45,"Alta",IF($AA47&gt;=25,"Media","Baja")))),"")</f>
        <v>Alta</v>
      </c>
      <c r="AC47" s="203" t="str">
        <f>IF($C47,IF(LEN(TRIM($AN47))=0,"—",TRIM($AN47)),"")</f>
        <v>ATRASO</v>
      </c>
      <c r="AD47" s="202">
        <f>IF($C47,$AV47,"")</f>
        <v>2</v>
      </c>
      <c r="AE47" s="202" t="str">
        <f>IF($C47,$AZ47,"")</f>
        <v>Semanal · S2</v>
      </c>
      <c r="AF47" s="202" t="b">
        <f>IF($C47,$AV47&lt;&gt;$AR47,FALSE)</f>
        <v>1</v>
      </c>
      <c r="AG47" s="202">
        <f>IF($C47,IF($AV47&lt;&gt;$AR47,$AW47,""),"")</f>
        <v>46192</v>
      </c>
      <c r="AH47" s="203">
        <f>IF($C47,IF(ISBLANK('Backlog General'!$K47),"",'Backlog General'!$K47),"")</f>
      </c>
      <c r="AI47" s="202">
        <f>IF($C47,$AV47*100000+ROW(),"")</f>
        <v>200047</v>
      </c>
      <c r="AJ47" s="202">
        <f>IF(AND($C47,ISNUMBER($H47)),$AA47*1000000-MEDIAN(-9999,$K47,9999)*100+(300-ROW()),"")</f>
        <v>56001053</v>
      </c>
      <c r="AK47" s="202">
        <f>IF($C47,IF($J47="Completado",0,IF($K47&lt;0,1,IF($K47&lt;=3,0.9,IF($K47&lt;=7,0.7,IF($K47&lt;=14,0.45,0.2))))),"")</f>
        <v>1</v>
      </c>
      <c r="AL47" s="202">
        <f>IF($C47,IF($J47="Completado",0,MEDIAN(0,MAX(-$V47,$W47/30),1)),"")</f>
        <v>0.5</v>
      </c>
      <c r="AM47" s="202">
        <f>IF($C47,IF($J47="Completado",0,IF($Z47,1,IF(AND($I47&lt;0.5,$K47&lt;=7),0.7,0.3))),"")</f>
        <v>0.3</v>
      </c>
      <c r="AN47" s="203" t="str">
        <f>IF($C47,IF(OR($V47&lt;-0.2,$W47&gt;0),"ATRASO ","")&amp;IF($Z47,"BLOQUEO ","")&amp;IF($Y47&gt;8,"SOBRECARGA ","")&amp;IF($X47&gt;0,"DESVÍO-PLAN ",""),"")</f>
        <v>ATRASO </v>
      </c>
      <c r="AO47" s="203" t="str">
        <f>IF($C47,IFERROR(VLOOKUP($D47,'Sprints'!$I$5:$J$12,2,FALSE),"Semanal"),"")</f>
        <v>Semanal</v>
      </c>
      <c r="AP47" s="202">
        <f>IF($C47,IFERROR(VLOOKUP($AO47,'Sprints'!$B$9:$C$11,2,FALSE),1),"")</f>
        <v>1</v>
      </c>
      <c r="AQ47" s="202">
        <f>IF($C47,'Sprints'!$C$5,"")</f>
        <v>46192</v>
      </c>
      <c r="AR47" s="202">
        <f>IF(AND($C47,ISNUMBER($H47)),CEILING(MAX(1,INT(($H47-$AQ47+'Sprints'!$D$5-1)/'Sprints'!$D$5)+1)/$AP47,1),"")</f>
        <v>1</v>
      </c>
      <c r="AS47" s="202">
        <f>IF($C47,CEILING(MAX(1,INT((TODAY()-$AQ47+'Sprints'!$D$5-1)/'Sprints'!$D$5)+1)/$AP47,1),"")</f>
        <v>2</v>
      </c>
      <c r="AT47" s="203">
        <f>IF($C47,'Backlog General'!$G47,"")</f>
        <v>0</v>
      </c>
      <c r="AU47" s="203">
        <f>IF($C47,'Backlog General'!$H47,"")</f>
        <v>0</v>
      </c>
      <c r="AV47" s="202">
        <f>IF(AND($C47,ISNUMBER($AR47)),IF(OR($AT47="Completo",$AU47="Cancelado",$AU47="Baja prioridad"),$AR47,IF($AU47="Pasa al siguiente",MAX($AR47+1,$AS47),MAX($AR47,$AS47))),"")</f>
        <v>2</v>
      </c>
      <c r="AW47" s="202">
        <f>IF(AND($C47,ISNUMBER($AR47)),$AQ47+$AR47*$AP47*'Sprints'!$D$5-'Sprints'!$D$5,"")</f>
        <v>46192</v>
      </c>
      <c r="AX47" s="202">
        <f>IF($C47,IF(OR($AT47="Completo",$AU47="Cancelado",$AU47="Baja prioridad",NOT(ISNUMBER($AW47))),0,IF(TODAY()&gt;$AW47,NETWORKDAYS($AW47,TODAY(),'Sprints'!$L$5:$L$40)-1,0)),"")</f>
        <v>2</v>
      </c>
      <c r="AY47" s="203" t="str">
        <f>IF($C47,IF(NOT(ISNUMBER($AR47)),"Sin fecha",IF($AT47="Completo","Completo",IF($AU47="Cancelado","Cancelado",IF($AU47="Baja prioridad","Baja prioridad",IF($AX47&gt;0,"Vencida","Pendiente"))))),"")</f>
        <v>Vencida</v>
      </c>
      <c r="AZ47" s="203" t="str">
        <f>IF($C47,IF(ISNUMBER($AV47),$AO47&amp;" · S"&amp;$AV47,"(Sin fecha)"),"")</f>
        <v>Semanal · S2</v>
      </c>
      <c r="BA47" s="202">
        <f>IF($C47,IF(AND(ISNUMBER('Backlog General'!$M47),'Backlog General'!$M47=$AS47),"Nuevo S"&amp;'Backlog General'!$M47,""),"")</f>
      </c>
      <c r="BB47" s="202">
        <f>IF(AND($C47,$AO47="Semanal",ISNUMBER($AV47)),$AV47*100000+ROW(),"")</f>
        <v>200047</v>
      </c>
      <c r="BC47" s="202">
        <f>IF(AND($C47,$AO47="Quincenal",ISNUMBER($AV47)),$AV47*100000+ROW(),"")</f>
      </c>
      <c r="BD47" s="202">
        <f>IF(AND($C47,$AO47="Mensual",ISNUMBER($AV47)),$AV47*100000+ROW(),"")</f>
      </c>
      <c r="BE47" s="203">
        <f>IF($C47,IF(ISBLANK('Backlog General'!$J47),"",'Backlog General'!$J47),"")</f>
      </c>
      <c r="BF47" s="203">
        <f>IF($C47,IF($BE47="","",$BE47)&amp;IF(AND($BE47&lt;&gt;"",$AH47&lt;&gt;"")," · ","")&amp;IF($AH47="","",$AH47),"")</f>
      </c>
      <c r="BG47" s="203" t="str">
        <f>IF($C47,IF($J47="Completado","Sí","No"),"")</f>
        <v>No</v>
      </c>
      <c r="BH47" s="202">
        <f>IF(AND($C47,ISNUMBER($AR47)),IF($AO47="Semanal",1,IF($AO47="Quincenal",2,3))*1000000000+$AR47*100000+ROW(),"")</f>
        <v>1000100047</v>
      </c>
    </row>
    <row r="48">
      <c r="A48" s="202">
        <f>ROW()</f>
        <v>48</v>
      </c>
      <c r="B48" s="202" t="b">
        <f>ISTEXT('Proyecto Datos (OKR´s)'!$K48)</f>
        <v>1</v>
      </c>
      <c r="C48" s="202" t="b">
        <f>AND(LEN('Proyecto Datos (OKR´s)'!$G48)&gt;0,NOT($B48),OR(ISNUMBER('Proyecto Datos (OKR´s)'!$F48),ISNUMBER('Proyecto Datos (OKR´s)'!$L48)))</f>
        <v>0</v>
      </c>
      <c r="D48" s="203">
        <f>IF($C48,IFERROR(LOOKUP(2,1/((ISTEXT('Proyecto Datos (OKR´s)'!$K$7:$K48))*(LEN('Proyecto Datos (OKR´s)'!$G$7:$G48)&gt;0)),'Proyecto Datos (OKR´s)'!$G$7:$G48),""),"")</f>
      </c>
      <c r="E48" s="202">
        <f>IF($C48,'Proyecto Datos (OKR´s)'!$E48,"")</f>
      </c>
      <c r="F48" s="203">
        <f>IF($C48,'Proyecto Datos (OKR´s)'!$G48,"")</f>
      </c>
      <c r="G48" s="203">
        <f>IF($C48,IF('Proyecto Datos (OKR´s)'!$I48="","(Sin asignar)",'Proyecto Datos (OKR´s)'!$I48),"")</f>
      </c>
      <c r="H48" s="202">
        <f>IF($C48,IF(ISNUMBER('Proyecto Datos (OKR´s)'!$F48),'Proyecto Datos (OKR´s)'!$F48,""),"")</f>
      </c>
      <c r="I48" s="202">
        <f>IF($C48,'Proyecto Datos (OKR´s)'!$J48,"")</f>
      </c>
      <c r="J48" s="203">
        <f>IF($C48,IF($I48&gt;=1,"Completado",IF(NOT(ISNUMBER($H48)),"Sin fecha",IF($H48&lt;TODAY(),"Vencido",IF(($H48-TODAY())&lt;='Entregas Próximas'!$M$3,"Próximo a vencer","En curso")))),"")</f>
      </c>
      <c r="K48" s="202">
        <f>IF(AND($C48,ISNUMBER($H48)),$H48-TODAY(),"")</f>
      </c>
      <c r="L48" s="202">
        <f>IF(AND($C48,ISNUMBER($H48)),$AD48*1000000+$H48+ROW()/100000,"")</f>
      </c>
      <c r="M48" s="202">
        <f>IF($C48,IF($AD48=9999,"(Sin sprint)",$AD48),"")</f>
      </c>
      <c r="N48" s="202">
        <f>IF($C48,IF('Proyecto Datos (OKR´s)'!$E48="",9999,'Proyecto Datos (OKR´s)'!$E48),"")</f>
      </c>
      <c r="O48" s="202">
        <f>IF($C48,"T"&amp;TEXT(ROW(),"000"),"")</f>
      </c>
      <c r="R48" s="202">
        <f>IF($C48,IF(ISNUMBER('Proyecto Datos (OKR´s)'!$L48),'Proyecto Datos (OKR´s)'!$L48,$H48),"")</f>
      </c>
      <c r="S48" s="202">
        <f>IF($C48,$R48-'Proyecto Datos (OKR´s)'!$K48+1,"")</f>
      </c>
      <c r="T48" s="202">
        <f>IF($C48,MAX(0,TODAY()-'Proyecto Datos (OKR´s)'!$K48),"")</f>
      </c>
      <c r="U48" s="202">
        <f>IF($C48,MEDIAN(0,(TODAY()-'Proyecto Datos (OKR´s)'!$K48)/MAX(1,$R48-'Proyecto Datos (OKR´s)'!$K48),1),"")</f>
      </c>
      <c r="V48" s="202">
        <f>IF($C48,$I48-$U48,"")</f>
      </c>
      <c r="W48" s="202">
        <f>IF($C48,IF(OR($J48="Completado",NOT(ISNUMBER($H48))),0,MAX(0,TODAY()-$H48)),"")</f>
      </c>
      <c r="X48" s="202">
        <f>IF($C48,IF(ISNUMBER($H48),$R48-$H48,0),"")</f>
      </c>
      <c r="Y48" s="202">
        <f>IF($C48,COUNTIFS($G$7:$G$200,$G48,$J$7:$J$200,"&lt;&gt;Completado",$J$7:$J$200,"&lt;&gt;"),"")</f>
      </c>
      <c r="Z48" s="202">
        <f>IF($C48,AND($I48=0,'Proyecto Datos (OKR´s)'!$K48&lt;=TODAY(),$J48&lt;&gt;"Completado"),"")</f>
      </c>
      <c r="AA48" s="202">
        <f>IF($C48,ROUND(100*(0.35*$AK48+0.3*$AL48+0.2*$AM48+0.15*MEDIAN(0,($Y48-4)/8,1)),0),"")</f>
      </c>
      <c r="AB48" s="203">
        <f>IF($C48,IF(OR($J48="Completado",$J48="Sin fecha"),"—",IF($AA48&gt;=70,"Crítica",IF($AA48&gt;=45,"Alta",IF($AA48&gt;=25,"Media","Baja")))),"")</f>
      </c>
      <c r="AC48" s="203">
        <f>IF($C48,IF(LEN(TRIM($AN48))=0,"—",TRIM($AN48)),"")</f>
      </c>
      <c r="AD48" s="202">
        <f>IF($C48,$AV48,"")</f>
      </c>
      <c r="AE48" s="202">
        <f>IF($C48,$AZ48,"")</f>
      </c>
      <c r="AF48" s="202" t="b">
        <f>IF($C48,$AV48&lt;&gt;$AR48,FALSE)</f>
        <v>0</v>
      </c>
      <c r="AG48" s="202">
        <f>IF($C48,IF($AV48&lt;&gt;$AR48,$AW48,""),"")</f>
      </c>
      <c r="AH48" s="203">
        <f>IF($C48,IF(ISBLANK('Backlog General'!$K48),"",'Backlog General'!$K48),"")</f>
      </c>
      <c r="AI48" s="202">
        <f>IF($C48,$AV48*100000+ROW(),"")</f>
      </c>
      <c r="AJ48" s="202">
        <f>IF(AND($C48,ISNUMBER($H48)),$AA48*1000000-MEDIAN(-9999,$K48,9999)*100+(300-ROW()),"")</f>
      </c>
      <c r="AK48" s="202">
        <f>IF($C48,IF($J48="Completado",0,IF($K48&lt;0,1,IF($K48&lt;=3,0.9,IF($K48&lt;=7,0.7,IF($K48&lt;=14,0.45,0.2))))),"")</f>
      </c>
      <c r="AL48" s="202">
        <f>IF($C48,IF($J48="Completado",0,MEDIAN(0,MAX(-$V48,$W48/30),1)),"")</f>
      </c>
      <c r="AM48" s="202">
        <f>IF($C48,IF($J48="Completado",0,IF($Z48,1,IF(AND($I48&lt;0.5,$K48&lt;=7),0.7,0.3))),"")</f>
      </c>
      <c r="AN48" s="203">
        <f>IF($C48,IF(OR($V48&lt;-0.2,$W48&gt;0),"ATRASO ","")&amp;IF($Z48,"BLOQUEO ","")&amp;IF($Y48&gt;8,"SOBRECARGA ","")&amp;IF($X48&gt;0,"DESVÍO-PLAN ",""),"")</f>
      </c>
      <c r="AO48" s="203">
        <f>IF($C48,IFERROR(VLOOKUP($D48,'Sprints'!$I$5:$J$12,2,FALSE),"Semanal"),"")</f>
      </c>
      <c r="AP48" s="202">
        <f>IF($C48,IFERROR(VLOOKUP($AO48,'Sprints'!$B$9:$C$11,2,FALSE),1),"")</f>
      </c>
      <c r="AQ48" s="202">
        <f>IF($C48,'Sprints'!$C$5,"")</f>
      </c>
      <c r="AR48" s="202">
        <f>IF(AND($C48,ISNUMBER($H48)),CEILING(MAX(1,INT(($H48-$AQ48+'Sprints'!$D$5-1)/'Sprints'!$D$5)+1)/$AP48,1),"")</f>
      </c>
      <c r="AS48" s="202">
        <f>IF($C48,CEILING(MAX(1,INT((TODAY()-$AQ48+'Sprints'!$D$5-1)/'Sprints'!$D$5)+1)/$AP48,1),"")</f>
      </c>
      <c r="AT48" s="203">
        <f>IF($C48,'Backlog General'!$G48,"")</f>
      </c>
      <c r="AU48" s="203">
        <f>IF($C48,'Backlog General'!$H48,"")</f>
      </c>
      <c r="AV48" s="202">
        <f>IF(AND($C48,ISNUMBER($AR48)),IF(OR($AT48="Completo",$AU48="Cancelado",$AU48="Baja prioridad"),$AR48,IF($AU48="Pasa al siguiente",MAX($AR48+1,$AS48),MAX($AR48,$AS48))),"")</f>
      </c>
      <c r="AW48" s="202">
        <f>IF(AND($C48,ISNUMBER($AR48)),$AQ48+$AR48*$AP48*'Sprints'!$D$5-'Sprints'!$D$5,"")</f>
      </c>
      <c r="AX48" s="202">
        <f>IF($C48,IF(OR($AT48="Completo",$AU48="Cancelado",$AU48="Baja prioridad",NOT(ISNUMBER($AW48))),0,IF(TODAY()&gt;$AW48,NETWORKDAYS($AW48,TODAY(),'Sprints'!$L$5:$L$40)-1,0)),"")</f>
      </c>
      <c r="AY48" s="203">
        <f>IF($C48,IF(NOT(ISNUMBER($AR48)),"Sin fecha",IF($AT48="Completo","Completo",IF($AU48="Cancelado","Cancelado",IF($AU48="Baja prioridad","Baja prioridad",IF($AX48&gt;0,"Vencida","Pendiente"))))),"")</f>
      </c>
      <c r="AZ48" s="203">
        <f>IF($C48,IF(ISNUMBER($AV48),$AO48&amp;" · S"&amp;$AV48,"(Sin fecha)"),"")</f>
      </c>
      <c r="BA48" s="202">
        <f>IF($C48,IF(AND(ISNUMBER('Backlog General'!$M48),'Backlog General'!$M48=$AS48),"Nuevo S"&amp;'Backlog General'!$M48,""),"")</f>
      </c>
      <c r="BB48" s="202">
        <f>IF(AND($C48,$AO48="Semanal",ISNUMBER($AV48)),$AV48*100000+ROW(),"")</f>
      </c>
      <c r="BC48" s="202">
        <f>IF(AND($C48,$AO48="Quincenal",ISNUMBER($AV48)),$AV48*100000+ROW(),"")</f>
      </c>
      <c r="BD48" s="202">
        <f>IF(AND($C48,$AO48="Mensual",ISNUMBER($AV48)),$AV48*100000+ROW(),"")</f>
      </c>
      <c r="BE48" s="203">
        <f>IF($C48,IF(ISBLANK('Backlog General'!$J48),"",'Backlog General'!$J48),"")</f>
      </c>
      <c r="BF48" s="203">
        <f>IF($C48,IF($BE48="","",$BE48)&amp;IF(AND($BE48&lt;&gt;"",$AH48&lt;&gt;"")," · ","")&amp;IF($AH48="","",$AH48),"")</f>
      </c>
      <c r="BG48" s="203">
        <f>IF($C48,IF($J48="Completado","Sí","No"),"")</f>
      </c>
      <c r="BH48" s="202">
        <f>IF(AND($C48,ISNUMBER($AR48)),IF($AO48="Semanal",1,IF($AO48="Quincenal",2,3))*1000000000+$AR48*100000+ROW(),"")</f>
      </c>
    </row>
    <row r="49">
      <c r="A49" s="202">
        <f>ROW()</f>
        <v>49</v>
      </c>
      <c r="B49" s="202" t="b">
        <f>ISTEXT('Proyecto Datos (OKR´s)'!$K49)</f>
        <v>0</v>
      </c>
      <c r="C49" s="202" t="b">
        <f>AND(LEN('Proyecto Datos (OKR´s)'!$G49)&gt;0,NOT($B49),OR(ISNUMBER('Proyecto Datos (OKR´s)'!$F49),ISNUMBER('Proyecto Datos (OKR´s)'!$L49)))</f>
        <v>1</v>
      </c>
      <c r="D49" s="203" t="str">
        <f>IF($C49,IFERROR(LOOKUP(2,1/((ISTEXT('Proyecto Datos (OKR´s)'!$K$7:$K49))*(LEN('Proyecto Datos (OKR´s)'!$G$7:$G49)&gt;0)),'Proyecto Datos (OKR´s)'!$G$7:$G49),""),"")</f>
        <v>Tablero Forecast</v>
      </c>
      <c r="E49" s="202">
        <f>IF($C49,'Proyecto Datos (OKR´s)'!$E49,"")</f>
        <v>1</v>
      </c>
      <c r="F49" s="203" t="str">
        <f>IF($C49,'Proyecto Datos (OKR´s)'!$G49,"")</f>
        <v>Armado de Procedimiento</v>
      </c>
      <c r="G49" s="203" t="str">
        <f>IF($C49,IF('Proyecto Datos (OKR´s)'!$I49="","(Sin asignar)",'Proyecto Datos (OKR´s)'!$I49),"")</f>
        <v>Santiago Alonso</v>
      </c>
      <c r="H49" s="202">
        <f>IF($C49,IF(ISNUMBER('Proyecto Datos (OKR´s)'!$F49),'Proyecto Datos (OKR´s)'!$F49,""),"")</f>
        <v>46192</v>
      </c>
      <c r="I49" s="202">
        <f>IF($C49,'Proyecto Datos (OKR´s)'!$J49,"")</f>
        <v>0</v>
      </c>
      <c r="J49" s="203" t="str">
        <f>IF($C49,IF($I49&gt;=1,"Completado",IF(NOT(ISNUMBER($H49)),"Sin fecha",IF($H49&lt;TODAY(),"Vencido",IF(($H49-TODAY())&lt;='Entregas Próximas'!$M$3,"Próximo a vencer","En curso")))),"")</f>
        <v>Vencido</v>
      </c>
      <c r="K49" s="202">
        <f>IF(AND($C49,ISNUMBER($H49)),$H49-TODAY(),"")</f>
        <v>-4</v>
      </c>
      <c r="L49" s="202">
        <f>IF(AND($C49,ISNUMBER($H49)),$AD49*1000000+$H49+ROW()/100000,"")</f>
        <v>2046192.00049</v>
      </c>
      <c r="M49" s="202">
        <f>IF($C49,IF($AD49=9999,"(Sin sprint)",$AD49),"")</f>
        <v>2</v>
      </c>
      <c r="N49" s="202">
        <f>IF($C49,IF('Proyecto Datos (OKR´s)'!$E49="",9999,'Proyecto Datos (OKR´s)'!$E49),"")</f>
        <v>1</v>
      </c>
      <c r="O49" s="202" t="str">
        <f>IF($C49,"T"&amp;TEXT(ROW(),"000"),"")</f>
        <v>T049</v>
      </c>
      <c r="R49" s="202">
        <f>IF($C49,IF(ISNUMBER('Proyecto Datos (OKR´s)'!$L49),'Proyecto Datos (OKR´s)'!$L49,$H49),"")</f>
        <v>46192</v>
      </c>
      <c r="S49" s="202">
        <f>IF($C49,$R49-'Proyecto Datos (OKR´s)'!$K49+1,"")</f>
        <v>4</v>
      </c>
      <c r="T49" s="202">
        <f>IF($C49,MAX(0,TODAY()-'Proyecto Datos (OKR´s)'!$K49),"")</f>
        <v>7</v>
      </c>
      <c r="U49" s="202">
        <f>IF($C49,MEDIAN(0,(TODAY()-'Proyecto Datos (OKR´s)'!$K49)/MAX(1,$R49-'Proyecto Datos (OKR´s)'!$K49),1),"")</f>
        <v>1</v>
      </c>
      <c r="V49" s="202">
        <f>IF($C49,$I49-$U49,"")</f>
        <v>-1</v>
      </c>
      <c r="W49" s="202">
        <f>IF($C49,IF(OR($J49="Completado",NOT(ISNUMBER($H49))),0,MAX(0,TODAY()-$H49)),"")</f>
        <v>4</v>
      </c>
      <c r="X49" s="202">
        <f>IF($C49,IF(ISNUMBER($H49),$R49-$H49,0),"")</f>
        <v>0</v>
      </c>
      <c r="Y49" s="202">
        <f>IF($C49,COUNTIFS($G$7:$G$200,$G49,$J$7:$J$200,"&lt;&gt;Completado",$J$7:$J$200,"&lt;&gt;"),"")</f>
        <v>0</v>
      </c>
      <c r="Z49" s="202" t="b">
        <f>IF($C49,AND($I49=0,'Proyecto Datos (OKR´s)'!$K49&lt;=TODAY(),$J49&lt;&gt;"Completado"),"")</f>
        <v>1</v>
      </c>
      <c r="AA49" s="202">
        <f>IF($C49,ROUND(100*(0.35*$AK49+0.3*$AL49+0.2*$AM49+0.15*MEDIAN(0,($Y49-4)/8,1)),0),"")</f>
        <v>85</v>
      </c>
      <c r="AB49" s="203" t="str">
        <f>IF($C49,IF(OR($J49="Completado",$J49="Sin fecha"),"—",IF($AA49&gt;=70,"Crítica",IF($AA49&gt;=45,"Alta",IF($AA49&gt;=25,"Media","Baja")))),"")</f>
        <v>Crítica</v>
      </c>
      <c r="AC49" s="203" t="str">
        <f>IF($C49,IF(LEN(TRIM($AN49))=0,"—",TRIM($AN49)),"")</f>
        <v>ATRASO BLOQUEO</v>
      </c>
      <c r="AD49" s="202">
        <f>IF($C49,$AV49,"")</f>
        <v>2</v>
      </c>
      <c r="AE49" s="202" t="str">
        <f>IF($C49,$AZ49,"")</f>
        <v>Semanal · S2</v>
      </c>
      <c r="AF49" s="202" t="b">
        <f>IF($C49,$AV49&lt;&gt;$AR49,FALSE)</f>
        <v>1</v>
      </c>
      <c r="AG49" s="202">
        <f>IF($C49,IF($AV49&lt;&gt;$AR49,$AW49,""),"")</f>
        <v>46192</v>
      </c>
      <c r="AH49" s="203">
        <f>IF($C49,IF(ISBLANK('Backlog General'!$K49),"",'Backlog General'!$K49),"")</f>
      </c>
      <c r="AI49" s="202">
        <f>IF($C49,$AV49*100000+ROW(),"")</f>
        <v>200049</v>
      </c>
      <c r="AJ49" s="202">
        <f>IF(AND($C49,ISNUMBER($H49)),$AA49*1000000-MEDIAN(-9999,$K49,9999)*100+(300-ROW()),"")</f>
        <v>85000651</v>
      </c>
      <c r="AK49" s="202">
        <f>IF($C49,IF($J49="Completado",0,IF($K49&lt;0,1,IF($K49&lt;=3,0.9,IF($K49&lt;=7,0.7,IF($K49&lt;=14,0.45,0.2))))),"")</f>
        <v>1</v>
      </c>
      <c r="AL49" s="202">
        <f>IF($C49,IF($J49="Completado",0,MEDIAN(0,MAX(-$V49,$W49/30),1)),"")</f>
        <v>1</v>
      </c>
      <c r="AM49" s="202">
        <f>IF($C49,IF($J49="Completado",0,IF($Z49,1,IF(AND($I49&lt;0.5,$K49&lt;=7),0.7,0.3))),"")</f>
        <v>1</v>
      </c>
      <c r="AN49" s="203" t="str">
        <f>IF($C49,IF(OR($V49&lt;-0.2,$W49&gt;0),"ATRASO ","")&amp;IF($Z49,"BLOQUEO ","")&amp;IF($Y49&gt;8,"SOBRECARGA ","")&amp;IF($X49&gt;0,"DESVÍO-PLAN ",""),"")</f>
        <v>ATRASO BLOQUEO </v>
      </c>
      <c r="AO49" s="203" t="str">
        <f>IF($C49,IFERROR(VLOOKUP($D49,'Sprints'!$I$5:$J$12,2,FALSE),"Semanal"),"")</f>
        <v>Semanal</v>
      </c>
      <c r="AP49" s="202">
        <f>IF($C49,IFERROR(VLOOKUP($AO49,'Sprints'!$B$9:$C$11,2,FALSE),1),"")</f>
        <v>1</v>
      </c>
      <c r="AQ49" s="202">
        <f>IF($C49,'Sprints'!$C$5,"")</f>
        <v>46192</v>
      </c>
      <c r="AR49" s="202">
        <f>IF(AND($C49,ISNUMBER($H49)),CEILING(MAX(1,INT(($H49-$AQ49+'Sprints'!$D$5-1)/'Sprints'!$D$5)+1)/$AP49,1),"")</f>
        <v>1</v>
      </c>
      <c r="AS49" s="202">
        <f>IF($C49,CEILING(MAX(1,INT((TODAY()-$AQ49+'Sprints'!$D$5-1)/'Sprints'!$D$5)+1)/$AP49,1),"")</f>
        <v>2</v>
      </c>
      <c r="AT49" s="203">
        <f>IF($C49,'Backlog General'!$G49,"")</f>
        <v>0</v>
      </c>
      <c r="AU49" s="203">
        <f>IF($C49,'Backlog General'!$H49,"")</f>
        <v>0</v>
      </c>
      <c r="AV49" s="202">
        <f>IF(AND($C49,ISNUMBER($AR49)),IF(OR($AT49="Completo",$AU49="Cancelado",$AU49="Baja prioridad"),$AR49,IF($AU49="Pasa al siguiente",MAX($AR49+1,$AS49),MAX($AR49,$AS49))),"")</f>
        <v>2</v>
      </c>
      <c r="AW49" s="202">
        <f>IF(AND($C49,ISNUMBER($AR49)),$AQ49+$AR49*$AP49*'Sprints'!$D$5-'Sprints'!$D$5,"")</f>
        <v>46192</v>
      </c>
      <c r="AX49" s="202">
        <f>IF($C49,IF(OR($AT49="Completo",$AU49="Cancelado",$AU49="Baja prioridad",NOT(ISNUMBER($AW49))),0,IF(TODAY()&gt;$AW49,NETWORKDAYS($AW49,TODAY(),'Sprints'!$L$5:$L$40)-1,0)),"")</f>
        <v>2</v>
      </c>
      <c r="AY49" s="203" t="str">
        <f>IF($C49,IF(NOT(ISNUMBER($AR49)),"Sin fecha",IF($AT49="Completo","Completo",IF($AU49="Cancelado","Cancelado",IF($AU49="Baja prioridad","Baja prioridad",IF($AX49&gt;0,"Vencida","Pendiente"))))),"")</f>
        <v>Vencida</v>
      </c>
      <c r="AZ49" s="203" t="str">
        <f>IF($C49,IF(ISNUMBER($AV49),$AO49&amp;" · S"&amp;$AV49,"(Sin fecha)"),"")</f>
        <v>Semanal · S2</v>
      </c>
      <c r="BA49" s="202">
        <f>IF($C49,IF(AND(ISNUMBER('Backlog General'!$M49),'Backlog General'!$M49=$AS49),"Nuevo S"&amp;'Backlog General'!$M49,""),"")</f>
      </c>
      <c r="BB49" s="202">
        <f>IF(AND($C49,$AO49="Semanal",ISNUMBER($AV49)),$AV49*100000+ROW(),"")</f>
        <v>200049</v>
      </c>
      <c r="BC49" s="202">
        <f>IF(AND($C49,$AO49="Quincenal",ISNUMBER($AV49)),$AV49*100000+ROW(),"")</f>
      </c>
      <c r="BD49" s="202">
        <f>IF(AND($C49,$AO49="Mensual",ISNUMBER($AV49)),$AV49*100000+ROW(),"")</f>
      </c>
      <c r="BE49" s="203">
        <f>IF($C49,IF(ISBLANK('Backlog General'!$J49),"",'Backlog General'!$J49),"")</f>
      </c>
      <c r="BF49" s="203">
        <f>IF($C49,IF($BE49="","",$BE49)&amp;IF(AND($BE49&lt;&gt;"",$AH49&lt;&gt;"")," · ","")&amp;IF($AH49="","",$AH49),"")</f>
      </c>
      <c r="BG49" s="203" t="str">
        <f>IF($C49,IF($J49="Completado","Sí","No"),"")</f>
        <v>No</v>
      </c>
      <c r="BH49" s="202">
        <f>IF(AND($C49,ISNUMBER($AR49)),IF($AO49="Semanal",1,IF($AO49="Quincenal",2,3))*1000000000+$AR49*100000+ROW(),"")</f>
        <v>1000100049</v>
      </c>
    </row>
    <row r="50">
      <c r="A50" s="202">
        <f>ROW()</f>
        <v>50</v>
      </c>
      <c r="B50" s="202" t="b">
        <f>ISTEXT('Proyecto Datos (OKR´s)'!$K50)</f>
        <v>0</v>
      </c>
      <c r="C50" s="202" t="b">
        <f>AND(LEN('Proyecto Datos (OKR´s)'!$G50)&gt;0,NOT($B50),OR(ISNUMBER('Proyecto Datos (OKR´s)'!$F50),ISNUMBER('Proyecto Datos (OKR´s)'!$L50)))</f>
        <v>1</v>
      </c>
      <c r="D50" s="203" t="str">
        <f>IF($C50,IFERROR(LOOKUP(2,1/((ISTEXT('Proyecto Datos (OKR´s)'!$K$7:$K50))*(LEN('Proyecto Datos (OKR´s)'!$G$7:$G50)&gt;0)),'Proyecto Datos (OKR´s)'!$G$7:$G50),""),"")</f>
        <v>Tablero Forecast</v>
      </c>
      <c r="E50" s="202">
        <f>IF($C50,'Proyecto Datos (OKR´s)'!$E50,"")</f>
        <v>1</v>
      </c>
      <c r="F50" s="203" t="str">
        <f>IF($C50,'Proyecto Datos (OKR´s)'!$G50,"")</f>
        <v>Slicer funcional con % de incremento sobre venta con base en % definido en factores</v>
      </c>
      <c r="G50" s="203" t="str">
        <f>IF($C50,IF('Proyecto Datos (OKR´s)'!$I50="","(Sin asignar)",'Proyecto Datos (OKR´s)'!$I50),"")</f>
        <v>Santiago Alonso</v>
      </c>
      <c r="H50" s="202">
        <f>IF($C50,IF(ISNUMBER('Proyecto Datos (OKR´s)'!$F50),'Proyecto Datos (OKR´s)'!$F50,""),"")</f>
        <v>46192</v>
      </c>
      <c r="I50" s="202">
        <f>IF($C50,'Proyecto Datos (OKR´s)'!$J50,"")</f>
        <v>0</v>
      </c>
      <c r="J50" s="203" t="str">
        <f>IF($C50,IF($I50&gt;=1,"Completado",IF(NOT(ISNUMBER($H50)),"Sin fecha",IF($H50&lt;TODAY(),"Vencido",IF(($H50-TODAY())&lt;='Entregas Próximas'!$M$3,"Próximo a vencer","En curso")))),"")</f>
        <v>Vencido</v>
      </c>
      <c r="K50" s="202">
        <f>IF(AND($C50,ISNUMBER($H50)),$H50-TODAY(),"")</f>
        <v>-4</v>
      </c>
      <c r="L50" s="202">
        <f>IF(AND($C50,ISNUMBER($H50)),$AD50*1000000+$H50+ROW()/100000,"")</f>
        <v>2046192.0005</v>
      </c>
      <c r="M50" s="202">
        <f>IF($C50,IF($AD50=9999,"(Sin sprint)",$AD50),"")</f>
        <v>2</v>
      </c>
      <c r="N50" s="202">
        <f>IF($C50,IF('Proyecto Datos (OKR´s)'!$E50="",9999,'Proyecto Datos (OKR´s)'!$E50),"")</f>
        <v>1</v>
      </c>
      <c r="O50" s="202" t="str">
        <f>IF($C50,"T"&amp;TEXT(ROW(),"000"),"")</f>
        <v>T050</v>
      </c>
      <c r="R50" s="202">
        <f>IF($C50,IF(ISNUMBER('Proyecto Datos (OKR´s)'!$L50),'Proyecto Datos (OKR´s)'!$L50,$H50),"")</f>
        <v>46192</v>
      </c>
      <c r="S50" s="202">
        <f>IF($C50,$R50-'Proyecto Datos (OKR´s)'!$K50+1,"")</f>
        <v>4</v>
      </c>
      <c r="T50" s="202">
        <f>IF($C50,MAX(0,TODAY()-'Proyecto Datos (OKR´s)'!$K50),"")</f>
        <v>7</v>
      </c>
      <c r="U50" s="202">
        <f>IF($C50,MEDIAN(0,(TODAY()-'Proyecto Datos (OKR´s)'!$K50)/MAX(1,$R50-'Proyecto Datos (OKR´s)'!$K50),1),"")</f>
        <v>1</v>
      </c>
      <c r="V50" s="202">
        <f>IF($C50,$I50-$U50,"")</f>
        <v>-1</v>
      </c>
      <c r="W50" s="202">
        <f>IF($C50,IF(OR($J50="Completado",NOT(ISNUMBER($H50))),0,MAX(0,TODAY()-$H50)),"")</f>
        <v>4</v>
      </c>
      <c r="X50" s="202">
        <f>IF($C50,IF(ISNUMBER($H50),$R50-$H50,0),"")</f>
        <v>0</v>
      </c>
      <c r="Y50" s="202">
        <f>IF($C50,COUNTIFS($G$7:$G$200,$G50,$J$7:$J$200,"&lt;&gt;Completado",$J$7:$J$200,"&lt;&gt;"),"")</f>
        <v>0</v>
      </c>
      <c r="Z50" s="202" t="b">
        <f>IF($C50,AND($I50=0,'Proyecto Datos (OKR´s)'!$K50&lt;=TODAY(),$J50&lt;&gt;"Completado"),"")</f>
        <v>1</v>
      </c>
      <c r="AA50" s="202">
        <f>IF($C50,ROUND(100*(0.35*$AK50+0.3*$AL50+0.2*$AM50+0.15*MEDIAN(0,($Y50-4)/8,1)),0),"")</f>
        <v>85</v>
      </c>
      <c r="AB50" s="203" t="str">
        <f>IF($C50,IF(OR($J50="Completado",$J50="Sin fecha"),"—",IF($AA50&gt;=70,"Crítica",IF($AA50&gt;=45,"Alta",IF($AA50&gt;=25,"Media","Baja")))),"")</f>
        <v>Crítica</v>
      </c>
      <c r="AC50" s="203" t="str">
        <f>IF($C50,IF(LEN(TRIM($AN50))=0,"—",TRIM($AN50)),"")</f>
        <v>ATRASO BLOQUEO</v>
      </c>
      <c r="AD50" s="202">
        <f>IF($C50,$AV50,"")</f>
        <v>2</v>
      </c>
      <c r="AE50" s="202" t="str">
        <f>IF($C50,$AZ50,"")</f>
        <v>Semanal · S2</v>
      </c>
      <c r="AF50" s="202" t="b">
        <f>IF($C50,$AV50&lt;&gt;$AR50,FALSE)</f>
        <v>1</v>
      </c>
      <c r="AG50" s="202">
        <f>IF($C50,IF($AV50&lt;&gt;$AR50,$AW50,""),"")</f>
        <v>46192</v>
      </c>
      <c r="AH50" s="203">
        <f>IF($C50,IF(ISBLANK('Backlog General'!$K50),"",'Backlog General'!$K50),"")</f>
      </c>
      <c r="AI50" s="202">
        <f>IF($C50,$AV50*100000+ROW(),"")</f>
        <v>200050</v>
      </c>
      <c r="AJ50" s="202">
        <f>IF(AND($C50,ISNUMBER($H50)),$AA50*1000000-MEDIAN(-9999,$K50,9999)*100+(300-ROW()),"")</f>
        <v>85000650</v>
      </c>
      <c r="AK50" s="202">
        <f>IF($C50,IF($J50="Completado",0,IF($K50&lt;0,1,IF($K50&lt;=3,0.9,IF($K50&lt;=7,0.7,IF($K50&lt;=14,0.45,0.2))))),"")</f>
        <v>1</v>
      </c>
      <c r="AL50" s="202">
        <f>IF($C50,IF($J50="Completado",0,MEDIAN(0,MAX(-$V50,$W50/30),1)),"")</f>
        <v>1</v>
      </c>
      <c r="AM50" s="202">
        <f>IF($C50,IF($J50="Completado",0,IF($Z50,1,IF(AND($I50&lt;0.5,$K50&lt;=7),0.7,0.3))),"")</f>
        <v>1</v>
      </c>
      <c r="AN50" s="203" t="str">
        <f>IF($C50,IF(OR($V50&lt;-0.2,$W50&gt;0),"ATRASO ","")&amp;IF($Z50,"BLOQUEO ","")&amp;IF($Y50&gt;8,"SOBRECARGA ","")&amp;IF($X50&gt;0,"DESVÍO-PLAN ",""),"")</f>
        <v>ATRASO BLOQUEO </v>
      </c>
      <c r="AO50" s="203" t="str">
        <f>IF($C50,IFERROR(VLOOKUP($D50,'Sprints'!$I$5:$J$12,2,FALSE),"Semanal"),"")</f>
        <v>Semanal</v>
      </c>
      <c r="AP50" s="202">
        <f>IF($C50,IFERROR(VLOOKUP($AO50,'Sprints'!$B$9:$C$11,2,FALSE),1),"")</f>
        <v>1</v>
      </c>
      <c r="AQ50" s="202">
        <f>IF($C50,'Sprints'!$C$5,"")</f>
        <v>46192</v>
      </c>
      <c r="AR50" s="202">
        <f>IF(AND($C50,ISNUMBER($H50)),CEILING(MAX(1,INT(($H50-$AQ50+'Sprints'!$D$5-1)/'Sprints'!$D$5)+1)/$AP50,1),"")</f>
        <v>1</v>
      </c>
      <c r="AS50" s="202">
        <f>IF($C50,CEILING(MAX(1,INT((TODAY()-$AQ50+'Sprints'!$D$5-1)/'Sprints'!$D$5)+1)/$AP50,1),"")</f>
        <v>2</v>
      </c>
      <c r="AT50" s="203">
        <f>IF($C50,'Backlog General'!$G50,"")</f>
        <v>0</v>
      </c>
      <c r="AU50" s="203">
        <f>IF($C50,'Backlog General'!$H50,"")</f>
        <v>0</v>
      </c>
      <c r="AV50" s="202">
        <f>IF(AND($C50,ISNUMBER($AR50)),IF(OR($AT50="Completo",$AU50="Cancelado",$AU50="Baja prioridad"),$AR50,IF($AU50="Pasa al siguiente",MAX($AR50+1,$AS50),MAX($AR50,$AS50))),"")</f>
        <v>2</v>
      </c>
      <c r="AW50" s="202">
        <f>IF(AND($C50,ISNUMBER($AR50)),$AQ50+$AR50*$AP50*'Sprints'!$D$5-'Sprints'!$D$5,"")</f>
        <v>46192</v>
      </c>
      <c r="AX50" s="202">
        <f>IF($C50,IF(OR($AT50="Completo",$AU50="Cancelado",$AU50="Baja prioridad",NOT(ISNUMBER($AW50))),0,IF(TODAY()&gt;$AW50,NETWORKDAYS($AW50,TODAY(),'Sprints'!$L$5:$L$40)-1,0)),"")</f>
        <v>2</v>
      </c>
      <c r="AY50" s="203" t="str">
        <f>IF($C50,IF(NOT(ISNUMBER($AR50)),"Sin fecha",IF($AT50="Completo","Completo",IF($AU50="Cancelado","Cancelado",IF($AU50="Baja prioridad","Baja prioridad",IF($AX50&gt;0,"Vencida","Pendiente"))))),"")</f>
        <v>Vencida</v>
      </c>
      <c r="AZ50" s="203" t="str">
        <f>IF($C50,IF(ISNUMBER($AV50),$AO50&amp;" · S"&amp;$AV50,"(Sin fecha)"),"")</f>
        <v>Semanal · S2</v>
      </c>
      <c r="BA50" s="202">
        <f>IF($C50,IF(AND(ISNUMBER('Backlog General'!$M50),'Backlog General'!$M50=$AS50),"Nuevo S"&amp;'Backlog General'!$M50,""),"")</f>
      </c>
      <c r="BB50" s="202">
        <f>IF(AND($C50,$AO50="Semanal",ISNUMBER($AV50)),$AV50*100000+ROW(),"")</f>
        <v>200050</v>
      </c>
      <c r="BC50" s="202">
        <f>IF(AND($C50,$AO50="Quincenal",ISNUMBER($AV50)),$AV50*100000+ROW(),"")</f>
      </c>
      <c r="BD50" s="202">
        <f>IF(AND($C50,$AO50="Mensual",ISNUMBER($AV50)),$AV50*100000+ROW(),"")</f>
      </c>
      <c r="BE50" s="203">
        <f>IF($C50,IF(ISBLANK('Backlog General'!$J50),"",'Backlog General'!$J50),"")</f>
      </c>
      <c r="BF50" s="203">
        <f>IF($C50,IF($BE50="","",$BE50)&amp;IF(AND($BE50&lt;&gt;"",$AH50&lt;&gt;"")," · ","")&amp;IF($AH50="","",$AH50),"")</f>
      </c>
      <c r="BG50" s="203" t="str">
        <f>IF($C50,IF($J50="Completado","Sí","No"),"")</f>
        <v>No</v>
      </c>
      <c r="BH50" s="202">
        <f>IF(AND($C50,ISNUMBER($AR50)),IF($AO50="Semanal",1,IF($AO50="Quincenal",2,3))*1000000000+$AR50*100000+ROW(),"")</f>
        <v>1000100050</v>
      </c>
    </row>
    <row r="51">
      <c r="A51" s="202">
        <f>ROW()</f>
        <v>51</v>
      </c>
      <c r="B51" s="202" t="b">
        <f>ISTEXT('Proyecto Datos (OKR´s)'!$K51)</f>
        <v>0</v>
      </c>
      <c r="C51" s="202" t="b">
        <f>AND(LEN('Proyecto Datos (OKR´s)'!$G51)&gt;0,NOT($B51),OR(ISNUMBER('Proyecto Datos (OKR´s)'!$F51),ISNUMBER('Proyecto Datos (OKR´s)'!$L51)))</f>
        <v>1</v>
      </c>
      <c r="D51" s="203" t="str">
        <f>IF($C51,IFERROR(LOOKUP(2,1/((ISTEXT('Proyecto Datos (OKR´s)'!$K$7:$K51))*(LEN('Proyecto Datos (OKR´s)'!$G$7:$G51)&gt;0)),'Proyecto Datos (OKR´s)'!$G$7:$G51),""),"")</f>
        <v>Tablero Forecast</v>
      </c>
      <c r="E51" s="202">
        <f>IF($C51,'Proyecto Datos (OKR´s)'!$E51,"")</f>
        <v>1</v>
      </c>
      <c r="F51" s="203" t="str">
        <f>IF($C51,'Proyecto Datos (OKR´s)'!$G51,"")</f>
        <v>Factores de clientes con % de incremento sobre venta</v>
      </c>
      <c r="G51" s="203" t="str">
        <f>IF($C51,IF('Proyecto Datos (OKR´s)'!$I51="","(Sin asignar)",'Proyecto Datos (OKR´s)'!$I51),"")</f>
        <v>Santiago Alonso</v>
      </c>
      <c r="H51" s="202">
        <f>IF($C51,IF(ISNUMBER('Proyecto Datos (OKR´s)'!$F51),'Proyecto Datos (OKR´s)'!$F51,""),"")</f>
        <v>46192</v>
      </c>
      <c r="I51" s="202">
        <f>IF($C51,'Proyecto Datos (OKR´s)'!$J51,"")</f>
        <v>0</v>
      </c>
      <c r="J51" s="203" t="str">
        <f>IF($C51,IF($I51&gt;=1,"Completado",IF(NOT(ISNUMBER($H51)),"Sin fecha",IF($H51&lt;TODAY(),"Vencido",IF(($H51-TODAY())&lt;='Entregas Próximas'!$M$3,"Próximo a vencer","En curso")))),"")</f>
        <v>Vencido</v>
      </c>
      <c r="K51" s="202">
        <f>IF(AND($C51,ISNUMBER($H51)),$H51-TODAY(),"")</f>
        <v>-4</v>
      </c>
      <c r="L51" s="202">
        <f>IF(AND($C51,ISNUMBER($H51)),$AD51*1000000+$H51+ROW()/100000,"")</f>
        <v>2046192.00051</v>
      </c>
      <c r="M51" s="202">
        <f>IF($C51,IF($AD51=9999,"(Sin sprint)",$AD51),"")</f>
        <v>2</v>
      </c>
      <c r="N51" s="202">
        <f>IF($C51,IF('Proyecto Datos (OKR´s)'!$E51="",9999,'Proyecto Datos (OKR´s)'!$E51),"")</f>
        <v>1</v>
      </c>
      <c r="O51" s="202" t="str">
        <f>IF($C51,"T"&amp;TEXT(ROW(),"000"),"")</f>
        <v>T051</v>
      </c>
      <c r="R51" s="202">
        <f>IF($C51,IF(ISNUMBER('Proyecto Datos (OKR´s)'!$L51),'Proyecto Datos (OKR´s)'!$L51,$H51),"")</f>
        <v>46192</v>
      </c>
      <c r="S51" s="202">
        <f>IF($C51,$R51-'Proyecto Datos (OKR´s)'!$K51+1,"")</f>
        <v>4</v>
      </c>
      <c r="T51" s="202">
        <f>IF($C51,MAX(0,TODAY()-'Proyecto Datos (OKR´s)'!$K51),"")</f>
        <v>7</v>
      </c>
      <c r="U51" s="202">
        <f>IF($C51,MEDIAN(0,(TODAY()-'Proyecto Datos (OKR´s)'!$K51)/MAX(1,$R51-'Proyecto Datos (OKR´s)'!$K51),1),"")</f>
        <v>1</v>
      </c>
      <c r="V51" s="202">
        <f>IF($C51,$I51-$U51,"")</f>
        <v>-1</v>
      </c>
      <c r="W51" s="202">
        <f>IF($C51,IF(OR($J51="Completado",NOT(ISNUMBER($H51))),0,MAX(0,TODAY()-$H51)),"")</f>
        <v>4</v>
      </c>
      <c r="X51" s="202">
        <f>IF($C51,IF(ISNUMBER($H51),$R51-$H51,0),"")</f>
        <v>0</v>
      </c>
      <c r="Y51" s="202">
        <f>IF($C51,COUNTIFS($G$7:$G$200,$G51,$J$7:$J$200,"&lt;&gt;Completado",$J$7:$J$200,"&lt;&gt;"),"")</f>
        <v>0</v>
      </c>
      <c r="Z51" s="202" t="b">
        <f>IF($C51,AND($I51=0,'Proyecto Datos (OKR´s)'!$K51&lt;=TODAY(),$J51&lt;&gt;"Completado"),"")</f>
        <v>1</v>
      </c>
      <c r="AA51" s="202">
        <f>IF($C51,ROUND(100*(0.35*$AK51+0.3*$AL51+0.2*$AM51+0.15*MEDIAN(0,($Y51-4)/8,1)),0),"")</f>
        <v>85</v>
      </c>
      <c r="AB51" s="203" t="str">
        <f>IF($C51,IF(OR($J51="Completado",$J51="Sin fecha"),"—",IF($AA51&gt;=70,"Crítica",IF($AA51&gt;=45,"Alta",IF($AA51&gt;=25,"Media","Baja")))),"")</f>
        <v>Crítica</v>
      </c>
      <c r="AC51" s="203" t="str">
        <f>IF($C51,IF(LEN(TRIM($AN51))=0,"—",TRIM($AN51)),"")</f>
        <v>ATRASO BLOQUEO</v>
      </c>
      <c r="AD51" s="202">
        <f>IF($C51,$AV51,"")</f>
        <v>2</v>
      </c>
      <c r="AE51" s="202" t="str">
        <f>IF($C51,$AZ51,"")</f>
        <v>Semanal · S2</v>
      </c>
      <c r="AF51" s="202" t="b">
        <f>IF($C51,$AV51&lt;&gt;$AR51,FALSE)</f>
        <v>1</v>
      </c>
      <c r="AG51" s="202">
        <f>IF($C51,IF($AV51&lt;&gt;$AR51,$AW51,""),"")</f>
        <v>46192</v>
      </c>
      <c r="AH51" s="203">
        <f>IF($C51,IF(ISBLANK('Backlog General'!$K51),"",'Backlog General'!$K51),"")</f>
      </c>
      <c r="AI51" s="202">
        <f>IF($C51,$AV51*100000+ROW(),"")</f>
        <v>200051</v>
      </c>
      <c r="AJ51" s="202">
        <f>IF(AND($C51,ISNUMBER($H51)),$AA51*1000000-MEDIAN(-9999,$K51,9999)*100+(300-ROW()),"")</f>
        <v>85000649</v>
      </c>
      <c r="AK51" s="202">
        <f>IF($C51,IF($J51="Completado",0,IF($K51&lt;0,1,IF($K51&lt;=3,0.9,IF($K51&lt;=7,0.7,IF($K51&lt;=14,0.45,0.2))))),"")</f>
        <v>1</v>
      </c>
      <c r="AL51" s="202">
        <f>IF($C51,IF($J51="Completado",0,MEDIAN(0,MAX(-$V51,$W51/30),1)),"")</f>
        <v>1</v>
      </c>
      <c r="AM51" s="202">
        <f>IF($C51,IF($J51="Completado",0,IF($Z51,1,IF(AND($I51&lt;0.5,$K51&lt;=7),0.7,0.3))),"")</f>
        <v>1</v>
      </c>
      <c r="AN51" s="203" t="str">
        <f>IF($C51,IF(OR($V51&lt;-0.2,$W51&gt;0),"ATRASO ","")&amp;IF($Z51,"BLOQUEO ","")&amp;IF($Y51&gt;8,"SOBRECARGA ","")&amp;IF($X51&gt;0,"DESVÍO-PLAN ",""),"")</f>
        <v>ATRASO BLOQUEO </v>
      </c>
      <c r="AO51" s="203" t="str">
        <f>IF($C51,IFERROR(VLOOKUP($D51,'Sprints'!$I$5:$J$12,2,FALSE),"Semanal"),"")</f>
        <v>Semanal</v>
      </c>
      <c r="AP51" s="202">
        <f>IF($C51,IFERROR(VLOOKUP($AO51,'Sprints'!$B$9:$C$11,2,FALSE),1),"")</f>
        <v>1</v>
      </c>
      <c r="AQ51" s="202">
        <f>IF($C51,'Sprints'!$C$5,"")</f>
        <v>46192</v>
      </c>
      <c r="AR51" s="202">
        <f>IF(AND($C51,ISNUMBER($H51)),CEILING(MAX(1,INT(($H51-$AQ51+'Sprints'!$D$5-1)/'Sprints'!$D$5)+1)/$AP51,1),"")</f>
        <v>1</v>
      </c>
      <c r="AS51" s="202">
        <f>IF($C51,CEILING(MAX(1,INT((TODAY()-$AQ51+'Sprints'!$D$5-1)/'Sprints'!$D$5)+1)/$AP51,1),"")</f>
        <v>2</v>
      </c>
      <c r="AT51" s="203">
        <f>IF($C51,'Backlog General'!$G51,"")</f>
        <v>0</v>
      </c>
      <c r="AU51" s="203">
        <f>IF($C51,'Backlog General'!$H51,"")</f>
        <v>0</v>
      </c>
      <c r="AV51" s="202">
        <f>IF(AND($C51,ISNUMBER($AR51)),IF(OR($AT51="Completo",$AU51="Cancelado",$AU51="Baja prioridad"),$AR51,IF($AU51="Pasa al siguiente",MAX($AR51+1,$AS51),MAX($AR51,$AS51))),"")</f>
        <v>2</v>
      </c>
      <c r="AW51" s="202">
        <f>IF(AND($C51,ISNUMBER($AR51)),$AQ51+$AR51*$AP51*'Sprints'!$D$5-'Sprints'!$D$5,"")</f>
        <v>46192</v>
      </c>
      <c r="AX51" s="202">
        <f>IF($C51,IF(OR($AT51="Completo",$AU51="Cancelado",$AU51="Baja prioridad",NOT(ISNUMBER($AW51))),0,IF(TODAY()&gt;$AW51,NETWORKDAYS($AW51,TODAY(),'Sprints'!$L$5:$L$40)-1,0)),"")</f>
        <v>2</v>
      </c>
      <c r="AY51" s="203" t="str">
        <f>IF($C51,IF(NOT(ISNUMBER($AR51)),"Sin fecha",IF($AT51="Completo","Completo",IF($AU51="Cancelado","Cancelado",IF($AU51="Baja prioridad","Baja prioridad",IF($AX51&gt;0,"Vencida","Pendiente"))))),"")</f>
        <v>Vencida</v>
      </c>
      <c r="AZ51" s="203" t="str">
        <f>IF($C51,IF(ISNUMBER($AV51),$AO51&amp;" · S"&amp;$AV51,"(Sin fecha)"),"")</f>
        <v>Semanal · S2</v>
      </c>
      <c r="BA51" s="202">
        <f>IF($C51,IF(AND(ISNUMBER('Backlog General'!$M51),'Backlog General'!$M51=$AS51),"Nuevo S"&amp;'Backlog General'!$M51,""),"")</f>
      </c>
      <c r="BB51" s="202">
        <f>IF(AND($C51,$AO51="Semanal",ISNUMBER($AV51)),$AV51*100000+ROW(),"")</f>
        <v>200051</v>
      </c>
      <c r="BC51" s="202">
        <f>IF(AND($C51,$AO51="Quincenal",ISNUMBER($AV51)),$AV51*100000+ROW(),"")</f>
      </c>
      <c r="BD51" s="202">
        <f>IF(AND($C51,$AO51="Mensual",ISNUMBER($AV51)),$AV51*100000+ROW(),"")</f>
      </c>
      <c r="BE51" s="203">
        <f>IF($C51,IF(ISBLANK('Backlog General'!$J51),"",'Backlog General'!$J51),"")</f>
      </c>
      <c r="BF51" s="203">
        <f>IF($C51,IF($BE51="","",$BE51)&amp;IF(AND($BE51&lt;&gt;"",$AH51&lt;&gt;"")," · ","")&amp;IF($AH51="","",$AH51),"")</f>
      </c>
      <c r="BG51" s="203" t="str">
        <f>IF($C51,IF($J51="Completado","Sí","No"),"")</f>
        <v>No</v>
      </c>
      <c r="BH51" s="202">
        <f>IF(AND($C51,ISNUMBER($AR51)),IF($AO51="Semanal",1,IF($AO51="Quincenal",2,3))*1000000000+$AR51*100000+ROW(),"")</f>
        <v>1000100051</v>
      </c>
    </row>
    <row r="52">
      <c r="A52" s="202">
        <f>ROW()</f>
        <v>52</v>
      </c>
      <c r="B52" s="202" t="b">
        <f>ISTEXT('Proyecto Datos (OKR´s)'!$K52)</f>
        <v>1</v>
      </c>
      <c r="C52" s="202" t="b">
        <f>AND(LEN('Proyecto Datos (OKR´s)'!$G52)&gt;0,NOT($B52),OR(ISNUMBER('Proyecto Datos (OKR´s)'!$F52),ISNUMBER('Proyecto Datos (OKR´s)'!$L52)))</f>
        <v>0</v>
      </c>
      <c r="D52" s="203">
        <f>IF($C52,IFERROR(LOOKUP(2,1/((ISTEXT('Proyecto Datos (OKR´s)'!$K$7:$K52))*(LEN('Proyecto Datos (OKR´s)'!$G$7:$G52)&gt;0)),'Proyecto Datos (OKR´s)'!$G$7:$G52),""),"")</f>
      </c>
      <c r="E52" s="202">
        <f>IF($C52,'Proyecto Datos (OKR´s)'!$E52,"")</f>
      </c>
      <c r="F52" s="203">
        <f>IF($C52,'Proyecto Datos (OKR´s)'!$G52,"")</f>
      </c>
      <c r="G52" s="203">
        <f>IF($C52,IF('Proyecto Datos (OKR´s)'!$I52="","(Sin asignar)",'Proyecto Datos (OKR´s)'!$I52),"")</f>
      </c>
      <c r="H52" s="202">
        <f>IF($C52,IF(ISNUMBER('Proyecto Datos (OKR´s)'!$F52),'Proyecto Datos (OKR´s)'!$F52,""),"")</f>
      </c>
      <c r="I52" s="202">
        <f>IF($C52,'Proyecto Datos (OKR´s)'!$J52,"")</f>
      </c>
      <c r="J52" s="203">
        <f>IF($C52,IF($I52&gt;=1,"Completado",IF(NOT(ISNUMBER($H52)),"Sin fecha",IF($H52&lt;TODAY(),"Vencido",IF(($H52-TODAY())&lt;='Entregas Próximas'!$M$3,"Próximo a vencer","En curso")))),"")</f>
      </c>
      <c r="K52" s="202">
        <f>IF(AND($C52,ISNUMBER($H52)),$H52-TODAY(),"")</f>
      </c>
      <c r="L52" s="202">
        <f>IF(AND($C52,ISNUMBER($H52)),$AD52*1000000+$H52+ROW()/100000,"")</f>
      </c>
      <c r="M52" s="202">
        <f>IF($C52,IF($AD52=9999,"(Sin sprint)",$AD52),"")</f>
      </c>
      <c r="N52" s="202">
        <f>IF($C52,IF('Proyecto Datos (OKR´s)'!$E52="",9999,'Proyecto Datos (OKR´s)'!$E52),"")</f>
      </c>
      <c r="O52" s="202">
        <f>IF($C52,"T"&amp;TEXT(ROW(),"000"),"")</f>
      </c>
      <c r="R52" s="202">
        <f>IF($C52,IF(ISNUMBER('Proyecto Datos (OKR´s)'!$L52),'Proyecto Datos (OKR´s)'!$L52,$H52),"")</f>
      </c>
      <c r="S52" s="202">
        <f>IF($C52,$R52-'Proyecto Datos (OKR´s)'!$K52+1,"")</f>
      </c>
      <c r="T52" s="202">
        <f>IF($C52,MAX(0,TODAY()-'Proyecto Datos (OKR´s)'!$K52),"")</f>
      </c>
      <c r="U52" s="202">
        <f>IF($C52,MEDIAN(0,(TODAY()-'Proyecto Datos (OKR´s)'!$K52)/MAX(1,$R52-'Proyecto Datos (OKR´s)'!$K52),1),"")</f>
      </c>
      <c r="V52" s="202">
        <f>IF($C52,$I52-$U52,"")</f>
      </c>
      <c r="W52" s="202">
        <f>IF($C52,IF(OR($J52="Completado",NOT(ISNUMBER($H52))),0,MAX(0,TODAY()-$H52)),"")</f>
      </c>
      <c r="X52" s="202">
        <f>IF($C52,IF(ISNUMBER($H52),$R52-$H52,0),"")</f>
      </c>
      <c r="Y52" s="202">
        <f>IF($C52,COUNTIFS($G$7:$G$200,$G52,$J$7:$J$200,"&lt;&gt;Completado",$J$7:$J$200,"&lt;&gt;"),"")</f>
      </c>
      <c r="Z52" s="202">
        <f>IF($C52,AND($I52=0,'Proyecto Datos (OKR´s)'!$K52&lt;=TODAY(),$J52&lt;&gt;"Completado"),"")</f>
      </c>
      <c r="AA52" s="202">
        <f>IF($C52,ROUND(100*(0.35*$AK52+0.3*$AL52+0.2*$AM52+0.15*MEDIAN(0,($Y52-4)/8,1)),0),"")</f>
      </c>
      <c r="AB52" s="203">
        <f>IF($C52,IF(OR($J52="Completado",$J52="Sin fecha"),"—",IF($AA52&gt;=70,"Crítica",IF($AA52&gt;=45,"Alta",IF($AA52&gt;=25,"Media","Baja")))),"")</f>
      </c>
      <c r="AC52" s="203">
        <f>IF($C52,IF(LEN(TRIM($AN52))=0,"—",TRIM($AN52)),"")</f>
      </c>
      <c r="AD52" s="202">
        <f>IF($C52,$AV52,"")</f>
      </c>
      <c r="AE52" s="202">
        <f>IF($C52,$AZ52,"")</f>
      </c>
      <c r="AF52" s="202" t="b">
        <f>IF($C52,$AV52&lt;&gt;$AR52,FALSE)</f>
        <v>0</v>
      </c>
      <c r="AG52" s="202">
        <f>IF($C52,IF($AV52&lt;&gt;$AR52,$AW52,""),"")</f>
      </c>
      <c r="AH52" s="203">
        <f>IF($C52,IF(ISBLANK('Backlog General'!$K52),"",'Backlog General'!$K52),"")</f>
      </c>
      <c r="AI52" s="202">
        <f>IF($C52,$AV52*100000+ROW(),"")</f>
      </c>
      <c r="AJ52" s="202">
        <f>IF(AND($C52,ISNUMBER($H52)),$AA52*1000000-MEDIAN(-9999,$K52,9999)*100+(300-ROW()),"")</f>
      </c>
      <c r="AK52" s="202">
        <f>IF($C52,IF($J52="Completado",0,IF($K52&lt;0,1,IF($K52&lt;=3,0.9,IF($K52&lt;=7,0.7,IF($K52&lt;=14,0.45,0.2))))),"")</f>
      </c>
      <c r="AL52" s="202">
        <f>IF($C52,IF($J52="Completado",0,MEDIAN(0,MAX(-$V52,$W52/30),1)),"")</f>
      </c>
      <c r="AM52" s="202">
        <f>IF($C52,IF($J52="Completado",0,IF($Z52,1,IF(AND($I52&lt;0.5,$K52&lt;=7),0.7,0.3))),"")</f>
      </c>
      <c r="AN52" s="203">
        <f>IF($C52,IF(OR($V52&lt;-0.2,$W52&gt;0),"ATRASO ","")&amp;IF($Z52,"BLOQUEO ","")&amp;IF($Y52&gt;8,"SOBRECARGA ","")&amp;IF($X52&gt;0,"DESVÍO-PLAN ",""),"")</f>
      </c>
      <c r="AO52" s="203">
        <f>IF($C52,IFERROR(VLOOKUP($D52,'Sprints'!$I$5:$J$12,2,FALSE),"Semanal"),"")</f>
      </c>
      <c r="AP52" s="202">
        <f>IF($C52,IFERROR(VLOOKUP($AO52,'Sprints'!$B$9:$C$11,2,FALSE),1),"")</f>
      </c>
      <c r="AQ52" s="202">
        <f>IF($C52,'Sprints'!$C$5,"")</f>
      </c>
      <c r="AR52" s="202">
        <f>IF(AND($C52,ISNUMBER($H52)),CEILING(MAX(1,INT(($H52-$AQ52+'Sprints'!$D$5-1)/'Sprints'!$D$5)+1)/$AP52,1),"")</f>
      </c>
      <c r="AS52" s="202">
        <f>IF($C52,CEILING(MAX(1,INT((TODAY()-$AQ52+'Sprints'!$D$5-1)/'Sprints'!$D$5)+1)/$AP52,1),"")</f>
      </c>
      <c r="AT52" s="203">
        <f>IF($C52,'Backlog General'!$G52,"")</f>
      </c>
      <c r="AU52" s="203">
        <f>IF($C52,'Backlog General'!$H52,"")</f>
      </c>
      <c r="AV52" s="202">
        <f>IF(AND($C52,ISNUMBER($AR52)),IF(OR($AT52="Completo",$AU52="Cancelado",$AU52="Baja prioridad"),$AR52,IF($AU52="Pasa al siguiente",MAX($AR52+1,$AS52),MAX($AR52,$AS52))),"")</f>
      </c>
      <c r="AW52" s="202">
        <f>IF(AND($C52,ISNUMBER($AR52)),$AQ52+$AR52*$AP52*'Sprints'!$D$5-'Sprints'!$D$5,"")</f>
      </c>
      <c r="AX52" s="202">
        <f>IF($C52,IF(OR($AT52="Completo",$AU52="Cancelado",$AU52="Baja prioridad",NOT(ISNUMBER($AW52))),0,IF(TODAY()&gt;$AW52,NETWORKDAYS($AW52,TODAY(),'Sprints'!$L$5:$L$40)-1,0)),"")</f>
      </c>
      <c r="AY52" s="203">
        <f>IF($C52,IF(NOT(ISNUMBER($AR52)),"Sin fecha",IF($AT52="Completo","Completo",IF($AU52="Cancelado","Cancelado",IF($AU52="Baja prioridad","Baja prioridad",IF($AX52&gt;0,"Vencida","Pendiente"))))),"")</f>
      </c>
      <c r="AZ52" s="203">
        <f>IF($C52,IF(ISNUMBER($AV52),$AO52&amp;" · S"&amp;$AV52,"(Sin fecha)"),"")</f>
      </c>
      <c r="BA52" s="202">
        <f>IF($C52,IF(AND(ISNUMBER('Backlog General'!$M52),'Backlog General'!$M52=$AS52),"Nuevo S"&amp;'Backlog General'!$M52,""),"")</f>
      </c>
      <c r="BB52" s="202">
        <f>IF(AND($C52,$AO52="Semanal",ISNUMBER($AV52)),$AV52*100000+ROW(),"")</f>
      </c>
      <c r="BC52" s="202">
        <f>IF(AND($C52,$AO52="Quincenal",ISNUMBER($AV52)),$AV52*100000+ROW(),"")</f>
      </c>
      <c r="BD52" s="202">
        <f>IF(AND($C52,$AO52="Mensual",ISNUMBER($AV52)),$AV52*100000+ROW(),"")</f>
      </c>
      <c r="BE52" s="203">
        <f>IF($C52,IF(ISBLANK('Backlog General'!$J52),"",'Backlog General'!$J52),"")</f>
      </c>
      <c r="BF52" s="203">
        <f>IF($C52,IF($BE52="","",$BE52)&amp;IF(AND($BE52&lt;&gt;"",$AH52&lt;&gt;"")," · ","")&amp;IF($AH52="","",$AH52),"")</f>
      </c>
      <c r="BG52" s="203">
        <f>IF($C52,IF($J52="Completado","Sí","No"),"")</f>
      </c>
      <c r="BH52" s="202">
        <f>IF(AND($C52,ISNUMBER($AR52)),IF($AO52="Semanal",1,IF($AO52="Quincenal",2,3))*1000000000+$AR52*100000+ROW(),"")</f>
      </c>
    </row>
    <row r="53">
      <c r="A53" s="202">
        <f>ROW()</f>
        <v>53</v>
      </c>
      <c r="B53" s="202" t="b">
        <f>ISTEXT('Proyecto Datos (OKR´s)'!$K53)</f>
        <v>0</v>
      </c>
      <c r="C53" s="202" t="b">
        <f>AND(LEN('Proyecto Datos (OKR´s)'!$G53)&gt;0,NOT($B53),OR(ISNUMBER('Proyecto Datos (OKR´s)'!$F53),ISNUMBER('Proyecto Datos (OKR´s)'!$L53)))</f>
        <v>1</v>
      </c>
      <c r="D53" s="203" t="str">
        <f>IF($C53,IFERROR(LOOKUP(2,1/((ISTEXT('Proyecto Datos (OKR´s)'!$K$7:$K53))*(LEN('Proyecto Datos (OKR´s)'!$G$7:$G53)&gt;0)),'Proyecto Datos (OKR´s)'!$G$7:$G53),""),"")</f>
        <v>6- Automatización de procesos: certificación, provisión,polinómicas</v>
      </c>
      <c r="E53" s="202">
        <f>IF($C53,'Proyecto Datos (OKR´s)'!$E53,"")</f>
        <v>0</v>
      </c>
      <c r="F53" s="203" t="str">
        <f>IF($C53,'Proyecto Datos (OKR´s)'!$G53,"")</f>
        <v>Polinómicas y tarifario automático</v>
      </c>
      <c r="G53" s="203" t="str">
        <f>IF($C53,IF('Proyecto Datos (OKR´s)'!$I53="","(Sin asignar)",'Proyecto Datos (OKR´s)'!$I53),"")</f>
        <v>Santiago Alonso</v>
      </c>
      <c r="H53" s="202">
        <f>IF($C53,IF(ISNUMBER('Proyecto Datos (OKR´s)'!$F53),'Proyecto Datos (OKR´s)'!$F53,""),"")</f>
      </c>
      <c r="I53" s="202">
        <f>IF($C53,'Proyecto Datos (OKR´s)'!$J53,"")</f>
        <v>0.35</v>
      </c>
      <c r="J53" s="203" t="str">
        <f>IF($C53,IF($I53&gt;=1,"Completado",IF(NOT(ISNUMBER($H53)),"Sin fecha",IF($H53&lt;TODAY(),"Vencido",IF(($H53-TODAY())&lt;='Entregas Próximas'!$M$3,"Próximo a vencer","En curso")))),"")</f>
        <v>Sin fecha</v>
      </c>
      <c r="K53" s="202">
        <f>IF(AND($C53,ISNUMBER($H53)),$H53-TODAY(),"")</f>
      </c>
      <c r="L53" s="202">
        <f>IF(AND($C53,ISNUMBER($H53)),$AD53*1000000+$H53+ROW()/100000,"")</f>
      </c>
      <c r="M53" s="202">
        <f>IF($C53,IF($AD53=9999,"(Sin sprint)",$AD53),"")</f>
      </c>
      <c r="N53" s="202">
        <f>IF($C53,IF('Proyecto Datos (OKR´s)'!$E53="",9999,'Proyecto Datos (OKR´s)'!$E53),"")</f>
        <v>9999</v>
      </c>
      <c r="O53" s="202" t="str">
        <f>IF($C53,"T"&amp;TEXT(ROW(),"000"),"")</f>
        <v>T053</v>
      </c>
      <c r="R53" s="202">
        <f>IF($C53,IF(ISNUMBER('Proyecto Datos (OKR´s)'!$L53),'Proyecto Datos (OKR´s)'!$L53,$H53),"")</f>
        <v>46213</v>
      </c>
      <c r="S53" s="202">
        <f>IF($C53,$R53-'Proyecto Datos (OKR´s)'!$K53+1,"")</f>
        <v>256</v>
      </c>
      <c r="T53" s="202">
        <f>IF($C53,MAX(0,TODAY()-'Proyecto Datos (OKR´s)'!$K53),"")</f>
        <v>238</v>
      </c>
      <c r="U53" s="202">
        <f>IF($C53,MEDIAN(0,(TODAY()-'Proyecto Datos (OKR´s)'!$K53)/MAX(1,$R53-'Proyecto Datos (OKR´s)'!$K53),1),"")</f>
        <v>0.9333333333333333</v>
      </c>
      <c r="V53" s="202">
        <f>IF($C53,$I53-$U53,"")</f>
        <v>-0.5833333333333334</v>
      </c>
      <c r="W53" s="202">
        <f>IF($C53,IF(OR($J53="Completado",NOT(ISNUMBER($H53))),0,MAX(0,TODAY()-$H53)),"")</f>
        <v>0</v>
      </c>
      <c r="X53" s="202">
        <f>IF($C53,IF(ISNUMBER($H53),$R53-$H53,0),"")</f>
        <v>0</v>
      </c>
      <c r="Y53" s="202">
        <f>IF($C53,COUNTIFS($G$7:$G$200,$G53,$J$7:$J$200,"&lt;&gt;Completado",$J$7:$J$200,"&lt;&gt;"),"")</f>
        <v>0</v>
      </c>
      <c r="Z53" s="202" t="b">
        <f>IF($C53,AND($I53=0,'Proyecto Datos (OKR´s)'!$K53&lt;=TODAY(),$J53&lt;&gt;"Completado"),"")</f>
        <v>0</v>
      </c>
      <c r="AA53" s="202">
        <f>IF($C53,ROUND(100*(0.35*$AK53+0.3*$AL53+0.2*$AM53+0.15*MEDIAN(0,($Y53-4)/8,1)),0),"")</f>
        <v>31</v>
      </c>
      <c r="AB53" s="203" t="str">
        <f>IF($C53,IF(OR($J53="Completado",$J53="Sin fecha"),"—",IF($AA53&gt;=70,"Crítica",IF($AA53&gt;=45,"Alta",IF($AA53&gt;=25,"Media","Baja")))),"")</f>
        <v>—</v>
      </c>
      <c r="AC53" s="203" t="str">
        <f>IF($C53,IF(LEN(TRIM($AN53))=0,"—",TRIM($AN53)),"")</f>
        <v>ATRASO</v>
      </c>
      <c r="AD53" s="202">
        <f>IF($C53,$AV53,"")</f>
      </c>
      <c r="AE53" s="202" t="str">
        <f>IF($C53,$AZ53,"")</f>
        <v>(Sin fecha)</v>
      </c>
      <c r="AF53" s="202" t="b">
        <f>IF($C53,$AV53&lt;&gt;$AR53,FALSE)</f>
        <v>0</v>
      </c>
      <c r="AG53" s="202">
        <f>IF($C53,IF($AV53&lt;&gt;$AR53,$AW53,""),"")</f>
      </c>
      <c r="AH53" s="203">
        <f>IF($C53,IF(ISBLANK('Backlog General'!$K53),"",'Backlog General'!$K53),"")</f>
      </c>
      <c r="AI53" s="202">
        <f>IF($C53,$AV53*100000+ROW(),"")</f>
      </c>
      <c r="AJ53" s="202">
        <f>IF(AND($C53,ISNUMBER($H53)),$AA53*1000000-MEDIAN(-9999,$K53,9999)*100+(300-ROW()),"")</f>
      </c>
      <c r="AK53" s="202">
        <f>IF($C53,IF($J53="Completado",0,IF($K53&lt;0,1,IF($K53&lt;=3,0.9,IF($K53&lt;=7,0.7,IF($K53&lt;=14,0.45,0.2))))),"")</f>
        <v>0.2</v>
      </c>
      <c r="AL53" s="202">
        <f>IF($C53,IF($J53="Completado",0,MEDIAN(0,MAX(-$V53,$W53/30),1)),"")</f>
        <v>0.5833333333333334</v>
      </c>
      <c r="AM53" s="202">
        <f>IF($C53,IF($J53="Completado",0,IF($Z53,1,IF(AND($I53&lt;0.5,$K53&lt;=7),0.7,0.3))),"")</f>
        <v>0.3</v>
      </c>
      <c r="AN53" s="203" t="str">
        <f>IF($C53,IF(OR($V53&lt;-0.2,$W53&gt;0),"ATRASO ","")&amp;IF($Z53,"BLOQUEO ","")&amp;IF($Y53&gt;8,"SOBRECARGA ","")&amp;IF($X53&gt;0,"DESVÍO-PLAN ",""),"")</f>
        <v>ATRASO </v>
      </c>
      <c r="AO53" s="203" t="str">
        <f>IF($C53,IFERROR(VLOOKUP($D53,'Sprints'!$I$5:$J$12,2,FALSE),"Semanal"),"")</f>
        <v>Mensual</v>
      </c>
      <c r="AP53" s="202">
        <f>IF($C53,IFERROR(VLOOKUP($AO53,'Sprints'!$B$9:$C$11,2,FALSE),1),"")</f>
        <v>4</v>
      </c>
      <c r="AQ53" s="202">
        <f>IF($C53,'Sprints'!$C$5,"")</f>
        <v>46192</v>
      </c>
      <c r="AR53" s="202">
        <f>IF(AND($C53,ISNUMBER($H53)),CEILING(MAX(1,INT(($H53-$AQ53+'Sprints'!$D$5-1)/'Sprints'!$D$5)+1)/$AP53,1),"")</f>
      </c>
      <c r="AS53" s="202">
        <f>IF($C53,CEILING(MAX(1,INT((TODAY()-$AQ53+'Sprints'!$D$5-1)/'Sprints'!$D$5)+1)/$AP53,1),"")</f>
        <v>1</v>
      </c>
      <c r="AT53" s="203">
        <f>IF($C53,'Backlog General'!$G53,"")</f>
        <v>0</v>
      </c>
      <c r="AU53" s="203">
        <f>IF($C53,'Backlog General'!$H53,"")</f>
        <v>0</v>
      </c>
      <c r="AV53" s="202">
        <f>IF(AND($C53,ISNUMBER($AR53)),IF(OR($AT53="Completo",$AU53="Cancelado",$AU53="Baja prioridad"),$AR53,IF($AU53="Pasa al siguiente",MAX($AR53+1,$AS53),MAX($AR53,$AS53))),"")</f>
      </c>
      <c r="AW53" s="202">
        <f>IF(AND($C53,ISNUMBER($AR53)),$AQ53+$AR53*$AP53*'Sprints'!$D$5-'Sprints'!$D$5,"")</f>
      </c>
      <c r="AX53" s="202">
        <f>IF($C53,IF(OR($AT53="Completo",$AU53="Cancelado",$AU53="Baja prioridad",NOT(ISNUMBER($AW53))),0,IF(TODAY()&gt;$AW53,NETWORKDAYS($AW53,TODAY(),'Sprints'!$L$5:$L$40)-1,0)),"")</f>
        <v>0</v>
      </c>
      <c r="AY53" s="203" t="str">
        <f>IF($C53,IF(NOT(ISNUMBER($AR53)),"Sin fecha",IF($AT53="Completo","Completo",IF($AU53="Cancelado","Cancelado",IF($AU53="Baja prioridad","Baja prioridad",IF($AX53&gt;0,"Vencida","Pendiente"))))),"")</f>
        <v>Sin fecha</v>
      </c>
      <c r="AZ53" s="203" t="str">
        <f>IF($C53,IF(ISNUMBER($AV53),$AO53&amp;" · S"&amp;$AV53,"(Sin fecha)"),"")</f>
        <v>(Sin fecha)</v>
      </c>
      <c r="BA53" s="202">
        <f>IF($C53,IF(AND(ISNUMBER('Backlog General'!$M53),'Backlog General'!$M53=$AS53),"Nuevo S"&amp;'Backlog General'!$M53,""),"")</f>
      </c>
      <c r="BB53" s="202">
        <f>IF(AND($C53,$AO53="Semanal",ISNUMBER($AV53)),$AV53*100000+ROW(),"")</f>
      </c>
      <c r="BC53" s="202">
        <f>IF(AND($C53,$AO53="Quincenal",ISNUMBER($AV53)),$AV53*100000+ROW(),"")</f>
      </c>
      <c r="BD53" s="202">
        <f>IF(AND($C53,$AO53="Mensual",ISNUMBER($AV53)),$AV53*100000+ROW(),"")</f>
      </c>
      <c r="BE53" s="203">
        <f>IF($C53,IF(ISBLANK('Backlog General'!$J53),"",'Backlog General'!$J53),"")</f>
      </c>
      <c r="BF53" s="203">
        <f>IF($C53,IF($BE53="","",$BE53)&amp;IF(AND($BE53&lt;&gt;"",$AH53&lt;&gt;"")," · ","")&amp;IF($AH53="","",$AH53),"")</f>
      </c>
      <c r="BG53" s="203" t="str">
        <f>IF($C53,IF($J53="Completado","Sí","No"),"")</f>
        <v>No</v>
      </c>
      <c r="BH53" s="202">
        <f>IF(AND($C53,ISNUMBER($AR53)),IF($AO53="Semanal",1,IF($AO53="Quincenal",2,3))*1000000000+$AR53*100000+ROW(),"")</f>
      </c>
    </row>
    <row r="54">
      <c r="A54" s="202">
        <f>ROW()</f>
        <v>54</v>
      </c>
      <c r="B54" s="202" t="b">
        <f>ISTEXT('Proyecto Datos (OKR´s)'!$K54)</f>
        <v>0</v>
      </c>
      <c r="C54" s="202" t="b">
        <f>AND(LEN('Proyecto Datos (OKR´s)'!$G54)&gt;0,NOT($B54),OR(ISNUMBER('Proyecto Datos (OKR´s)'!$F54),ISNUMBER('Proyecto Datos (OKR´s)'!$L54)))</f>
        <v>1</v>
      </c>
      <c r="D54" s="203" t="str">
        <f>IF($C54,IFERROR(LOOKUP(2,1/((ISTEXT('Proyecto Datos (OKR´s)'!$K$7:$K54))*(LEN('Proyecto Datos (OKR´s)'!$G$7:$G54)&gt;0)),'Proyecto Datos (OKR´s)'!$G$7:$G54),""),"")</f>
        <v>6- Automatización de procesos: certificación, provisión,polinómicas</v>
      </c>
      <c r="E54" s="202">
        <f>IF($C54,'Proyecto Datos (OKR´s)'!$E54,"")</f>
        <v>0</v>
      </c>
      <c r="F54" s="203" t="str">
        <f>IF($C54,'Proyecto Datos (OKR´s)'!$G54,"")</f>
        <v>Certificados automáticos (ver si utilizar scripts)</v>
      </c>
      <c r="G54" s="203" t="str">
        <f>IF($C54,IF('Proyecto Datos (OKR´s)'!$I54="","(Sin asignar)",'Proyecto Datos (OKR´s)'!$I54),"")</f>
        <v>Santiago Alonso</v>
      </c>
      <c r="H54" s="202">
        <f>IF($C54,IF(ISNUMBER('Proyecto Datos (OKR´s)'!$F54),'Proyecto Datos (OKR´s)'!$F54,""),"")</f>
      </c>
      <c r="I54" s="202">
        <f>IF($C54,'Proyecto Datos (OKR´s)'!$J54,"")</f>
        <v>0.05</v>
      </c>
      <c r="J54" s="203" t="str">
        <f>IF($C54,IF($I54&gt;=1,"Completado",IF(NOT(ISNUMBER($H54)),"Sin fecha",IF($H54&lt;TODAY(),"Vencido",IF(($H54-TODAY())&lt;='Entregas Próximas'!$M$3,"Próximo a vencer","En curso")))),"")</f>
        <v>Sin fecha</v>
      </c>
      <c r="K54" s="202">
        <f>IF(AND($C54,ISNUMBER($H54)),$H54-TODAY(),"")</f>
      </c>
      <c r="L54" s="202">
        <f>IF(AND($C54,ISNUMBER($H54)),$AD54*1000000+$H54+ROW()/100000,"")</f>
      </c>
      <c r="M54" s="202">
        <f>IF($C54,IF($AD54=9999,"(Sin sprint)",$AD54),"")</f>
      </c>
      <c r="N54" s="202">
        <f>IF($C54,IF('Proyecto Datos (OKR´s)'!$E54="",9999,'Proyecto Datos (OKR´s)'!$E54),"")</f>
        <v>9999</v>
      </c>
      <c r="O54" s="202" t="str">
        <f>IF($C54,"T"&amp;TEXT(ROW(),"000"),"")</f>
        <v>T054</v>
      </c>
      <c r="R54" s="202">
        <f>IF($C54,IF(ISNUMBER('Proyecto Datos (OKR´s)'!$L54),'Proyecto Datos (OKR´s)'!$L54,$H54),"")</f>
        <v>46220</v>
      </c>
      <c r="S54" s="202">
        <f>IF($C54,$R54-'Proyecto Datos (OKR´s)'!$K54+1,"")</f>
        <v>12</v>
      </c>
      <c r="T54" s="202">
        <f>IF($C54,MAX(0,TODAY()-'Proyecto Datos (OKR´s)'!$K54),"")</f>
        <v>0</v>
      </c>
      <c r="U54" s="202">
        <f>IF($C54,MEDIAN(0,(TODAY()-'Proyecto Datos (OKR´s)'!$K54)/MAX(1,$R54-'Proyecto Datos (OKR´s)'!$K54),1),"")</f>
        <v>0</v>
      </c>
      <c r="V54" s="202">
        <f>IF($C54,$I54-$U54,"")</f>
        <v>0.05</v>
      </c>
      <c r="W54" s="202">
        <f>IF($C54,IF(OR($J54="Completado",NOT(ISNUMBER($H54))),0,MAX(0,TODAY()-$H54)),"")</f>
        <v>0</v>
      </c>
      <c r="X54" s="202">
        <f>IF($C54,IF(ISNUMBER($H54),$R54-$H54,0),"")</f>
        <v>0</v>
      </c>
      <c r="Y54" s="202">
        <f>IF($C54,COUNTIFS($G$7:$G$200,$G54,$J$7:$J$200,"&lt;&gt;Completado",$J$7:$J$200,"&lt;&gt;"),"")</f>
        <v>0</v>
      </c>
      <c r="Z54" s="202" t="b">
        <f>IF($C54,AND($I54=0,'Proyecto Datos (OKR´s)'!$K54&lt;=TODAY(),$J54&lt;&gt;"Completado"),"")</f>
        <v>0</v>
      </c>
      <c r="AA54" s="202">
        <f>IF($C54,ROUND(100*(0.35*$AK54+0.3*$AL54+0.2*$AM54+0.15*MEDIAN(0,($Y54-4)/8,1)),0),"")</f>
        <v>13</v>
      </c>
      <c r="AB54" s="203" t="str">
        <f>IF($C54,IF(OR($J54="Completado",$J54="Sin fecha"),"—",IF($AA54&gt;=70,"Crítica",IF($AA54&gt;=45,"Alta",IF($AA54&gt;=25,"Media","Baja")))),"")</f>
        <v>—</v>
      </c>
      <c r="AC54" s="203" t="str">
        <f>IF($C54,IF(LEN(TRIM($AN54))=0,"—",TRIM($AN54)),"")</f>
        <v>—</v>
      </c>
      <c r="AD54" s="202">
        <f>IF($C54,$AV54,"")</f>
      </c>
      <c r="AE54" s="202" t="str">
        <f>IF($C54,$AZ54,"")</f>
        <v>(Sin fecha)</v>
      </c>
      <c r="AF54" s="202" t="b">
        <f>IF($C54,$AV54&lt;&gt;$AR54,FALSE)</f>
        <v>0</v>
      </c>
      <c r="AG54" s="202">
        <f>IF($C54,IF($AV54&lt;&gt;$AR54,$AW54,""),"")</f>
      </c>
      <c r="AH54" s="203">
        <f>IF($C54,IF(ISBLANK('Backlog General'!$K54),"",'Backlog General'!$K54),"")</f>
      </c>
      <c r="AI54" s="202">
        <f>IF($C54,$AV54*100000+ROW(),"")</f>
      </c>
      <c r="AJ54" s="202">
        <f>IF(AND($C54,ISNUMBER($H54)),$AA54*1000000-MEDIAN(-9999,$K54,9999)*100+(300-ROW()),"")</f>
      </c>
      <c r="AK54" s="202">
        <f>IF($C54,IF($J54="Completado",0,IF($K54&lt;0,1,IF($K54&lt;=3,0.9,IF($K54&lt;=7,0.7,IF($K54&lt;=14,0.45,0.2))))),"")</f>
        <v>0.2</v>
      </c>
      <c r="AL54" s="202">
        <f>IF($C54,IF($J54="Completado",0,MEDIAN(0,MAX(-$V54,$W54/30),1)),"")</f>
        <v>0</v>
      </c>
      <c r="AM54" s="202">
        <f>IF($C54,IF($J54="Completado",0,IF($Z54,1,IF(AND($I54&lt;0.5,$K54&lt;=7),0.7,0.3))),"")</f>
        <v>0.3</v>
      </c>
      <c r="AN54" s="203">
        <f>IF($C54,IF(OR($V54&lt;-0.2,$W54&gt;0),"ATRASO ","")&amp;IF($Z54,"BLOQUEO ","")&amp;IF($Y54&gt;8,"SOBRECARGA ","")&amp;IF($X54&gt;0,"DESVÍO-PLAN ",""),"")</f>
      </c>
      <c r="AO54" s="203" t="str">
        <f>IF($C54,IFERROR(VLOOKUP($D54,'Sprints'!$I$5:$J$12,2,FALSE),"Semanal"),"")</f>
        <v>Mensual</v>
      </c>
      <c r="AP54" s="202">
        <f>IF($C54,IFERROR(VLOOKUP($AO54,'Sprints'!$B$9:$C$11,2,FALSE),1),"")</f>
        <v>4</v>
      </c>
      <c r="AQ54" s="202">
        <f>IF($C54,'Sprints'!$C$5,"")</f>
        <v>46192</v>
      </c>
      <c r="AR54" s="202">
        <f>IF(AND($C54,ISNUMBER($H54)),CEILING(MAX(1,INT(($H54-$AQ54+'Sprints'!$D$5-1)/'Sprints'!$D$5)+1)/$AP54,1),"")</f>
      </c>
      <c r="AS54" s="202">
        <f>IF($C54,CEILING(MAX(1,INT((TODAY()-$AQ54+'Sprints'!$D$5-1)/'Sprints'!$D$5)+1)/$AP54,1),"")</f>
        <v>1</v>
      </c>
      <c r="AT54" s="203">
        <f>IF($C54,'Backlog General'!$G54,"")</f>
        <v>0</v>
      </c>
      <c r="AU54" s="203">
        <f>IF($C54,'Backlog General'!$H54,"")</f>
        <v>0</v>
      </c>
      <c r="AV54" s="202">
        <f>IF(AND($C54,ISNUMBER($AR54)),IF(OR($AT54="Completo",$AU54="Cancelado",$AU54="Baja prioridad"),$AR54,IF($AU54="Pasa al siguiente",MAX($AR54+1,$AS54),MAX($AR54,$AS54))),"")</f>
      </c>
      <c r="AW54" s="202">
        <f>IF(AND($C54,ISNUMBER($AR54)),$AQ54+$AR54*$AP54*'Sprints'!$D$5-'Sprints'!$D$5,"")</f>
      </c>
      <c r="AX54" s="202">
        <f>IF($C54,IF(OR($AT54="Completo",$AU54="Cancelado",$AU54="Baja prioridad",NOT(ISNUMBER($AW54))),0,IF(TODAY()&gt;$AW54,NETWORKDAYS($AW54,TODAY(),'Sprints'!$L$5:$L$40)-1,0)),"")</f>
        <v>0</v>
      </c>
      <c r="AY54" s="203" t="str">
        <f>IF($C54,IF(NOT(ISNUMBER($AR54)),"Sin fecha",IF($AT54="Completo","Completo",IF($AU54="Cancelado","Cancelado",IF($AU54="Baja prioridad","Baja prioridad",IF($AX54&gt;0,"Vencida","Pendiente"))))),"")</f>
        <v>Sin fecha</v>
      </c>
      <c r="AZ54" s="203" t="str">
        <f>IF($C54,IF(ISNUMBER($AV54),$AO54&amp;" · S"&amp;$AV54,"(Sin fecha)"),"")</f>
        <v>(Sin fecha)</v>
      </c>
      <c r="BA54" s="202">
        <f>IF($C54,IF(AND(ISNUMBER('Backlog General'!$M54),'Backlog General'!$M54=$AS54),"Nuevo S"&amp;'Backlog General'!$M54,""),"")</f>
      </c>
      <c r="BB54" s="202">
        <f>IF(AND($C54,$AO54="Semanal",ISNUMBER($AV54)),$AV54*100000+ROW(),"")</f>
      </c>
      <c r="BC54" s="202">
        <f>IF(AND($C54,$AO54="Quincenal",ISNUMBER($AV54)),$AV54*100000+ROW(),"")</f>
      </c>
      <c r="BD54" s="202">
        <f>IF(AND($C54,$AO54="Mensual",ISNUMBER($AV54)),$AV54*100000+ROW(),"")</f>
      </c>
      <c r="BE54" s="203">
        <f>IF($C54,IF(ISBLANK('Backlog General'!$J54),"",'Backlog General'!$J54),"")</f>
      </c>
      <c r="BF54" s="203">
        <f>IF($C54,IF($BE54="","",$BE54)&amp;IF(AND($BE54&lt;&gt;"",$AH54&lt;&gt;"")," · ","")&amp;IF($AH54="","",$AH54),"")</f>
      </c>
      <c r="BG54" s="203" t="str">
        <f>IF($C54,IF($J54="Completado","Sí","No"),"")</f>
        <v>No</v>
      </c>
      <c r="BH54" s="202">
        <f>IF(AND($C54,ISNUMBER($AR54)),IF($AO54="Semanal",1,IF($AO54="Quincenal",2,3))*1000000000+$AR54*100000+ROW(),"")</f>
      </c>
    </row>
    <row r="55">
      <c r="A55" s="202">
        <f>ROW()</f>
        <v>55</v>
      </c>
      <c r="B55" s="202" t="b">
        <f>ISTEXT('Proyecto Datos (OKR´s)'!$K55)</f>
        <v>0</v>
      </c>
      <c r="C55" s="202" t="b">
        <f>AND(LEN('Proyecto Datos (OKR´s)'!$G55)&gt;0,NOT($B55),OR(ISNUMBER('Proyecto Datos (OKR´s)'!$F55),ISNUMBER('Proyecto Datos (OKR´s)'!$L55)))</f>
        <v>1</v>
      </c>
      <c r="D55" s="203" t="str">
        <f>IF($C55,IFERROR(LOOKUP(2,1/((ISTEXT('Proyecto Datos (OKR´s)'!$K$7:$K55))*(LEN('Proyecto Datos (OKR´s)'!$G$7:$G55)&gt;0)),'Proyecto Datos (OKR´s)'!$G$7:$G55),""),"")</f>
        <v>6- Automatización de procesos: certificación, provisión,polinómicas</v>
      </c>
      <c r="E55" s="202">
        <f>IF($C55,'Proyecto Datos (OKR´s)'!$E55,"")</f>
        <v>0</v>
      </c>
      <c r="F55" s="203" t="str">
        <f>IF($C55,'Proyecto Datos (OKR´s)'!$G55,"")</f>
        <v>Provisión Automática</v>
      </c>
      <c r="G55" s="203" t="str">
        <f>IF($C55,IF('Proyecto Datos (OKR´s)'!$I55="","(Sin asignar)",'Proyecto Datos (OKR´s)'!$I55),"")</f>
        <v>Santiago Alonso/ Julio Tinelli</v>
      </c>
      <c r="H55" s="202">
        <f>IF($C55,IF(ISNUMBER('Proyecto Datos (OKR´s)'!$F55),'Proyecto Datos (OKR´s)'!$F55,""),"")</f>
      </c>
      <c r="I55" s="202">
        <f>IF($C55,'Proyecto Datos (OKR´s)'!$J55,"")</f>
        <v>0</v>
      </c>
      <c r="J55" s="203" t="str">
        <f>IF($C55,IF($I55&gt;=1,"Completado",IF(NOT(ISNUMBER($H55)),"Sin fecha",IF($H55&lt;TODAY(),"Vencido",IF(($H55-TODAY())&lt;='Entregas Próximas'!$M$3,"Próximo a vencer","En curso")))),"")</f>
        <v>Sin fecha</v>
      </c>
      <c r="K55" s="202">
        <f>IF(AND($C55,ISNUMBER($H55)),$H55-TODAY(),"")</f>
      </c>
      <c r="L55" s="202">
        <f>IF(AND($C55,ISNUMBER($H55)),$AD55*1000000+$H55+ROW()/100000,"")</f>
      </c>
      <c r="M55" s="202">
        <f>IF($C55,IF($AD55=9999,"(Sin sprint)",$AD55),"")</f>
      </c>
      <c r="N55" s="202">
        <f>IF($C55,IF('Proyecto Datos (OKR´s)'!$E55="",9999,'Proyecto Datos (OKR´s)'!$E55),"")</f>
        <v>9999</v>
      </c>
      <c r="O55" s="202" t="str">
        <f>IF($C55,"T"&amp;TEXT(ROW(),"000"),"")</f>
        <v>T055</v>
      </c>
      <c r="R55" s="202">
        <f>IF($C55,IF(ISNUMBER('Proyecto Datos (OKR´s)'!$L55),'Proyecto Datos (OKR´s)'!$L55,$H55),"")</f>
        <v>46227</v>
      </c>
      <c r="S55" s="202">
        <f>IF($C55,$R55-'Proyecto Datos (OKR´s)'!$K55+1,"")</f>
        <v>12</v>
      </c>
      <c r="T55" s="202">
        <f>IF($C55,MAX(0,TODAY()-'Proyecto Datos (OKR´s)'!$K55),"")</f>
        <v>0</v>
      </c>
      <c r="U55" s="202">
        <f>IF($C55,MEDIAN(0,(TODAY()-'Proyecto Datos (OKR´s)'!$K55)/MAX(1,$R55-'Proyecto Datos (OKR´s)'!$K55),1),"")</f>
        <v>0</v>
      </c>
      <c r="V55" s="202">
        <f>IF($C55,$I55-$U55,"")</f>
        <v>0</v>
      </c>
      <c r="W55" s="202">
        <f>IF($C55,IF(OR($J55="Completado",NOT(ISNUMBER($H55))),0,MAX(0,TODAY()-$H55)),"")</f>
        <v>0</v>
      </c>
      <c r="X55" s="202">
        <f>IF($C55,IF(ISNUMBER($H55),$R55-$H55,0),"")</f>
        <v>0</v>
      </c>
      <c r="Y55" s="202">
        <f>IF($C55,COUNTIFS($G$7:$G$200,$G55,$J$7:$J$200,"&lt;&gt;Completado",$J$7:$J$200,"&lt;&gt;"),"")</f>
        <v>0</v>
      </c>
      <c r="Z55" s="202" t="b">
        <f>IF($C55,AND($I55=0,'Proyecto Datos (OKR´s)'!$K55&lt;=TODAY(),$J55&lt;&gt;"Completado"),"")</f>
        <v>0</v>
      </c>
      <c r="AA55" s="202">
        <f>IF($C55,ROUND(100*(0.35*$AK55+0.3*$AL55+0.2*$AM55+0.15*MEDIAN(0,($Y55-4)/8,1)),0),"")</f>
        <v>13</v>
      </c>
      <c r="AB55" s="203" t="str">
        <f>IF($C55,IF(OR($J55="Completado",$J55="Sin fecha"),"—",IF($AA55&gt;=70,"Crítica",IF($AA55&gt;=45,"Alta",IF($AA55&gt;=25,"Media","Baja")))),"")</f>
        <v>—</v>
      </c>
      <c r="AC55" s="203" t="str">
        <f>IF($C55,IF(LEN(TRIM($AN55))=0,"—",TRIM($AN55)),"")</f>
        <v>—</v>
      </c>
      <c r="AD55" s="202">
        <f>IF($C55,$AV55,"")</f>
      </c>
      <c r="AE55" s="202" t="str">
        <f>IF($C55,$AZ55,"")</f>
        <v>(Sin fecha)</v>
      </c>
      <c r="AF55" s="202" t="b">
        <f>IF($C55,$AV55&lt;&gt;$AR55,FALSE)</f>
        <v>0</v>
      </c>
      <c r="AG55" s="202">
        <f>IF($C55,IF($AV55&lt;&gt;$AR55,$AW55,""),"")</f>
      </c>
      <c r="AH55" s="203">
        <f>IF($C55,IF(ISBLANK('Backlog General'!$K55),"",'Backlog General'!$K55),"")</f>
      </c>
      <c r="AI55" s="202">
        <f>IF($C55,$AV55*100000+ROW(),"")</f>
      </c>
      <c r="AJ55" s="202">
        <f>IF(AND($C55,ISNUMBER($H55)),$AA55*1000000-MEDIAN(-9999,$K55,9999)*100+(300-ROW()),"")</f>
      </c>
      <c r="AK55" s="202">
        <f>IF($C55,IF($J55="Completado",0,IF($K55&lt;0,1,IF($K55&lt;=3,0.9,IF($K55&lt;=7,0.7,IF($K55&lt;=14,0.45,0.2))))),"")</f>
        <v>0.2</v>
      </c>
      <c r="AL55" s="202">
        <f>IF($C55,IF($J55="Completado",0,MEDIAN(0,MAX(-$V55,$W55/30),1)),"")</f>
        <v>0</v>
      </c>
      <c r="AM55" s="202">
        <f>IF($C55,IF($J55="Completado",0,IF($Z55,1,IF(AND($I55&lt;0.5,$K55&lt;=7),0.7,0.3))),"")</f>
        <v>0.3</v>
      </c>
      <c r="AN55" s="203">
        <f>IF($C55,IF(OR($V55&lt;-0.2,$W55&gt;0),"ATRASO ","")&amp;IF($Z55,"BLOQUEO ","")&amp;IF($Y55&gt;8,"SOBRECARGA ","")&amp;IF($X55&gt;0,"DESVÍO-PLAN ",""),"")</f>
      </c>
      <c r="AO55" s="203" t="str">
        <f>IF($C55,IFERROR(VLOOKUP($D55,'Sprints'!$I$5:$J$12,2,FALSE),"Semanal"),"")</f>
        <v>Mensual</v>
      </c>
      <c r="AP55" s="202">
        <f>IF($C55,IFERROR(VLOOKUP($AO55,'Sprints'!$B$9:$C$11,2,FALSE),1),"")</f>
        <v>4</v>
      </c>
      <c r="AQ55" s="202">
        <f>IF($C55,'Sprints'!$C$5,"")</f>
        <v>46192</v>
      </c>
      <c r="AR55" s="202">
        <f>IF(AND($C55,ISNUMBER($H55)),CEILING(MAX(1,INT(($H55-$AQ55+'Sprints'!$D$5-1)/'Sprints'!$D$5)+1)/$AP55,1),"")</f>
      </c>
      <c r="AS55" s="202">
        <f>IF($C55,CEILING(MAX(1,INT((TODAY()-$AQ55+'Sprints'!$D$5-1)/'Sprints'!$D$5)+1)/$AP55,1),"")</f>
        <v>1</v>
      </c>
      <c r="AT55" s="203">
        <f>IF($C55,'Backlog General'!$G55,"")</f>
        <v>0</v>
      </c>
      <c r="AU55" s="203">
        <f>IF($C55,'Backlog General'!$H55,"")</f>
        <v>0</v>
      </c>
      <c r="AV55" s="202">
        <f>IF(AND($C55,ISNUMBER($AR55)),IF(OR($AT55="Completo",$AU55="Cancelado",$AU55="Baja prioridad"),$AR55,IF($AU55="Pasa al siguiente",MAX($AR55+1,$AS55),MAX($AR55,$AS55))),"")</f>
      </c>
      <c r="AW55" s="202">
        <f>IF(AND($C55,ISNUMBER($AR55)),$AQ55+$AR55*$AP55*'Sprints'!$D$5-'Sprints'!$D$5,"")</f>
      </c>
      <c r="AX55" s="202">
        <f>IF($C55,IF(OR($AT55="Completo",$AU55="Cancelado",$AU55="Baja prioridad",NOT(ISNUMBER($AW55))),0,IF(TODAY()&gt;$AW55,NETWORKDAYS($AW55,TODAY(),'Sprints'!$L$5:$L$40)-1,0)),"")</f>
        <v>0</v>
      </c>
      <c r="AY55" s="203" t="str">
        <f>IF($C55,IF(NOT(ISNUMBER($AR55)),"Sin fecha",IF($AT55="Completo","Completo",IF($AU55="Cancelado","Cancelado",IF($AU55="Baja prioridad","Baja prioridad",IF($AX55&gt;0,"Vencida","Pendiente"))))),"")</f>
        <v>Sin fecha</v>
      </c>
      <c r="AZ55" s="203" t="str">
        <f>IF($C55,IF(ISNUMBER($AV55),$AO55&amp;" · S"&amp;$AV55,"(Sin fecha)"),"")</f>
        <v>(Sin fecha)</v>
      </c>
      <c r="BA55" s="202">
        <f>IF($C55,IF(AND(ISNUMBER('Backlog General'!$M55),'Backlog General'!$M55=$AS55),"Nuevo S"&amp;'Backlog General'!$M55,""),"")</f>
      </c>
      <c r="BB55" s="202">
        <f>IF(AND($C55,$AO55="Semanal",ISNUMBER($AV55)),$AV55*100000+ROW(),"")</f>
      </c>
      <c r="BC55" s="202">
        <f>IF(AND($C55,$AO55="Quincenal",ISNUMBER($AV55)),$AV55*100000+ROW(),"")</f>
      </c>
      <c r="BD55" s="202">
        <f>IF(AND($C55,$AO55="Mensual",ISNUMBER($AV55)),$AV55*100000+ROW(),"")</f>
      </c>
      <c r="BE55" s="203">
        <f>IF($C55,IF(ISBLANK('Backlog General'!$J55),"",'Backlog General'!$J55),"")</f>
      </c>
      <c r="BF55" s="203">
        <f>IF($C55,IF($BE55="","",$BE55)&amp;IF(AND($BE55&lt;&gt;"",$AH55&lt;&gt;"")," · ","")&amp;IF($AH55="","",$AH55),"")</f>
      </c>
      <c r="BG55" s="203" t="str">
        <f>IF($C55,IF($J55="Completado","Sí","No"),"")</f>
        <v>No</v>
      </c>
      <c r="BH55" s="202">
        <f>IF(AND($C55,ISNUMBER($AR55)),IF($AO55="Semanal",1,IF($AO55="Quincenal",2,3))*1000000000+$AR55*100000+ROW(),"")</f>
      </c>
    </row>
    <row r="56">
      <c r="A56" s="202">
        <f>ROW()</f>
        <v>56</v>
      </c>
      <c r="B56" s="202" t="b">
        <f>ISTEXT('Proyecto Datos (OKR´s)'!$K56)</f>
        <v>1</v>
      </c>
      <c r="C56" s="202" t="b">
        <f>AND(LEN('Proyecto Datos (OKR´s)'!$G56)&gt;0,NOT($B56),OR(ISNUMBER('Proyecto Datos (OKR´s)'!$F56),ISNUMBER('Proyecto Datos (OKR´s)'!$L56)))</f>
        <v>0</v>
      </c>
      <c r="D56" s="203">
        <f>IF($C56,IFERROR(LOOKUP(2,1/((ISTEXT('Proyecto Datos (OKR´s)'!$K$7:$K56))*(LEN('Proyecto Datos (OKR´s)'!$G$7:$G56)&gt;0)),'Proyecto Datos (OKR´s)'!$G$7:$G56),""),"")</f>
      </c>
      <c r="E56" s="202">
        <f>IF($C56,'Proyecto Datos (OKR´s)'!$E56,"")</f>
      </c>
      <c r="F56" s="203">
        <f>IF($C56,'Proyecto Datos (OKR´s)'!$G56,"")</f>
      </c>
      <c r="G56" s="203">
        <f>IF($C56,IF('Proyecto Datos (OKR´s)'!$I56="","(Sin asignar)",'Proyecto Datos (OKR´s)'!$I56),"")</f>
      </c>
      <c r="H56" s="202">
        <f>IF($C56,IF(ISNUMBER('Proyecto Datos (OKR´s)'!$F56),'Proyecto Datos (OKR´s)'!$F56,""),"")</f>
      </c>
      <c r="I56" s="202">
        <f>IF($C56,'Proyecto Datos (OKR´s)'!$J56,"")</f>
      </c>
      <c r="J56" s="203">
        <f>IF($C56,IF($I56&gt;=1,"Completado",IF(NOT(ISNUMBER($H56)),"Sin fecha",IF($H56&lt;TODAY(),"Vencido",IF(($H56-TODAY())&lt;='Entregas Próximas'!$M$3,"Próximo a vencer","En curso")))),"")</f>
      </c>
      <c r="K56" s="202">
        <f>IF(AND($C56,ISNUMBER($H56)),$H56-TODAY(),"")</f>
      </c>
      <c r="L56" s="202">
        <f>IF(AND($C56,ISNUMBER($H56)),$AD56*1000000+$H56+ROW()/100000,"")</f>
      </c>
      <c r="M56" s="202">
        <f>IF($C56,IF($AD56=9999,"(Sin sprint)",$AD56),"")</f>
      </c>
      <c r="N56" s="202">
        <f>IF($C56,IF('Proyecto Datos (OKR´s)'!$E56="",9999,'Proyecto Datos (OKR´s)'!$E56),"")</f>
      </c>
      <c r="O56" s="202">
        <f>IF($C56,"T"&amp;TEXT(ROW(),"000"),"")</f>
      </c>
      <c r="R56" s="202">
        <f>IF($C56,IF(ISNUMBER('Proyecto Datos (OKR´s)'!$L56),'Proyecto Datos (OKR´s)'!$L56,$H56),"")</f>
      </c>
      <c r="S56" s="202">
        <f>IF($C56,$R56-'Proyecto Datos (OKR´s)'!$K56+1,"")</f>
      </c>
      <c r="T56" s="202">
        <f>IF($C56,MAX(0,TODAY()-'Proyecto Datos (OKR´s)'!$K56),"")</f>
      </c>
      <c r="U56" s="202">
        <f>IF($C56,MEDIAN(0,(TODAY()-'Proyecto Datos (OKR´s)'!$K56)/MAX(1,$R56-'Proyecto Datos (OKR´s)'!$K56),1),"")</f>
      </c>
      <c r="V56" s="202">
        <f>IF($C56,$I56-$U56,"")</f>
      </c>
      <c r="W56" s="202">
        <f>IF($C56,IF(OR($J56="Completado",NOT(ISNUMBER($H56))),0,MAX(0,TODAY()-$H56)),"")</f>
      </c>
      <c r="X56" s="202">
        <f>IF($C56,IF(ISNUMBER($H56),$R56-$H56,0),"")</f>
      </c>
      <c r="Y56" s="202">
        <f>IF($C56,COUNTIFS($G$7:$G$200,$G56,$J$7:$J$200,"&lt;&gt;Completado",$J$7:$J$200,"&lt;&gt;"),"")</f>
      </c>
      <c r="Z56" s="202">
        <f>IF($C56,AND($I56=0,'Proyecto Datos (OKR´s)'!$K56&lt;=TODAY(),$J56&lt;&gt;"Completado"),"")</f>
      </c>
      <c r="AA56" s="202">
        <f>IF($C56,ROUND(100*(0.35*$AK56+0.3*$AL56+0.2*$AM56+0.15*MEDIAN(0,($Y56-4)/8,1)),0),"")</f>
      </c>
      <c r="AB56" s="203">
        <f>IF($C56,IF(OR($J56="Completado",$J56="Sin fecha"),"—",IF($AA56&gt;=70,"Crítica",IF($AA56&gt;=45,"Alta",IF($AA56&gt;=25,"Media","Baja")))),"")</f>
      </c>
      <c r="AC56" s="203">
        <f>IF($C56,IF(LEN(TRIM($AN56))=0,"—",TRIM($AN56)),"")</f>
      </c>
      <c r="AD56" s="202">
        <f>IF($C56,$AV56,"")</f>
      </c>
      <c r="AE56" s="202">
        <f>IF($C56,$AZ56,"")</f>
      </c>
      <c r="AF56" s="202" t="b">
        <f>IF($C56,$AV56&lt;&gt;$AR56,FALSE)</f>
        <v>0</v>
      </c>
      <c r="AG56" s="202">
        <f>IF($C56,IF($AV56&lt;&gt;$AR56,$AW56,""),"")</f>
      </c>
      <c r="AH56" s="203">
        <f>IF($C56,IF(ISBLANK('Backlog General'!$K56),"",'Backlog General'!$K56),"")</f>
      </c>
      <c r="AI56" s="202">
        <f>IF($C56,$AV56*100000+ROW(),"")</f>
      </c>
      <c r="AJ56" s="202">
        <f>IF(AND($C56,ISNUMBER($H56)),$AA56*1000000-MEDIAN(-9999,$K56,9999)*100+(300-ROW()),"")</f>
      </c>
      <c r="AK56" s="202">
        <f>IF($C56,IF($J56="Completado",0,IF($K56&lt;0,1,IF($K56&lt;=3,0.9,IF($K56&lt;=7,0.7,IF($K56&lt;=14,0.45,0.2))))),"")</f>
      </c>
      <c r="AL56" s="202">
        <f>IF($C56,IF($J56="Completado",0,MEDIAN(0,MAX(-$V56,$W56/30),1)),"")</f>
      </c>
      <c r="AM56" s="202">
        <f>IF($C56,IF($J56="Completado",0,IF($Z56,1,IF(AND($I56&lt;0.5,$K56&lt;=7),0.7,0.3))),"")</f>
      </c>
      <c r="AN56" s="203">
        <f>IF($C56,IF(OR($V56&lt;-0.2,$W56&gt;0),"ATRASO ","")&amp;IF($Z56,"BLOQUEO ","")&amp;IF($Y56&gt;8,"SOBRECARGA ","")&amp;IF($X56&gt;0,"DESVÍO-PLAN ",""),"")</f>
      </c>
      <c r="AO56" s="203">
        <f>IF($C56,IFERROR(VLOOKUP($D56,'Sprints'!$I$5:$J$12,2,FALSE),"Semanal"),"")</f>
      </c>
      <c r="AP56" s="202">
        <f>IF($C56,IFERROR(VLOOKUP($AO56,'Sprints'!$B$9:$C$11,2,FALSE),1),"")</f>
      </c>
      <c r="AQ56" s="202">
        <f>IF($C56,'Sprints'!$C$5,"")</f>
      </c>
      <c r="AR56" s="202">
        <f>IF(AND($C56,ISNUMBER($H56)),CEILING(MAX(1,INT(($H56-$AQ56+'Sprints'!$D$5-1)/'Sprints'!$D$5)+1)/$AP56,1),"")</f>
      </c>
      <c r="AS56" s="202">
        <f>IF($C56,CEILING(MAX(1,INT((TODAY()-$AQ56+'Sprints'!$D$5-1)/'Sprints'!$D$5)+1)/$AP56,1),"")</f>
      </c>
      <c r="AT56" s="203">
        <f>IF($C56,'Backlog General'!$G56,"")</f>
      </c>
      <c r="AU56" s="203">
        <f>IF($C56,'Backlog General'!$H56,"")</f>
      </c>
      <c r="AV56" s="202">
        <f>IF(AND($C56,ISNUMBER($AR56)),IF(OR($AT56="Completo",$AU56="Cancelado",$AU56="Baja prioridad"),$AR56,IF($AU56="Pasa al siguiente",MAX($AR56+1,$AS56),MAX($AR56,$AS56))),"")</f>
      </c>
      <c r="AW56" s="202">
        <f>IF(AND($C56,ISNUMBER($AR56)),$AQ56+$AR56*$AP56*'Sprints'!$D$5-'Sprints'!$D$5,"")</f>
      </c>
      <c r="AX56" s="202">
        <f>IF($C56,IF(OR($AT56="Completo",$AU56="Cancelado",$AU56="Baja prioridad",NOT(ISNUMBER($AW56))),0,IF(TODAY()&gt;$AW56,NETWORKDAYS($AW56,TODAY(),'Sprints'!$L$5:$L$40)-1,0)),"")</f>
      </c>
      <c r="AY56" s="203">
        <f>IF($C56,IF(NOT(ISNUMBER($AR56)),"Sin fecha",IF($AT56="Completo","Completo",IF($AU56="Cancelado","Cancelado",IF($AU56="Baja prioridad","Baja prioridad",IF($AX56&gt;0,"Vencida","Pendiente"))))),"")</f>
      </c>
      <c r="AZ56" s="203">
        <f>IF($C56,IF(ISNUMBER($AV56),$AO56&amp;" · S"&amp;$AV56,"(Sin fecha)"),"")</f>
      </c>
      <c r="BA56" s="202">
        <f>IF($C56,IF(AND(ISNUMBER('Backlog General'!$M56),'Backlog General'!$M56=$AS56),"Nuevo S"&amp;'Backlog General'!$M56,""),"")</f>
      </c>
      <c r="BB56" s="202">
        <f>IF(AND($C56,$AO56="Semanal",ISNUMBER($AV56)),$AV56*100000+ROW(),"")</f>
      </c>
      <c r="BC56" s="202">
        <f>IF(AND($C56,$AO56="Quincenal",ISNUMBER($AV56)),$AV56*100000+ROW(),"")</f>
      </c>
      <c r="BD56" s="202">
        <f>IF(AND($C56,$AO56="Mensual",ISNUMBER($AV56)),$AV56*100000+ROW(),"")</f>
      </c>
      <c r="BE56" s="203">
        <f>IF($C56,IF(ISBLANK('Backlog General'!$J56),"",'Backlog General'!$J56),"")</f>
      </c>
      <c r="BF56" s="203">
        <f>IF($C56,IF($BE56="","",$BE56)&amp;IF(AND($BE56&lt;&gt;"",$AH56&lt;&gt;"")," · ","")&amp;IF($AH56="","",$AH56),"")</f>
      </c>
      <c r="BG56" s="203">
        <f>IF($C56,IF($J56="Completado","Sí","No"),"")</f>
      </c>
      <c r="BH56" s="202">
        <f>IF(AND($C56,ISNUMBER($AR56)),IF($AO56="Semanal",1,IF($AO56="Quincenal",2,3))*1000000000+$AR56*100000+ROW(),"")</f>
      </c>
    </row>
    <row r="57">
      <c r="A57" s="202">
        <f>ROW()</f>
        <v>57</v>
      </c>
      <c r="B57" s="202" t="b">
        <f>ISTEXT('Proyecto Datos (OKR´s)'!$K57)</f>
        <v>0</v>
      </c>
      <c r="C57" s="202" t="b">
        <f>AND(LEN('Proyecto Datos (OKR´s)'!$G57)&gt;0,NOT($B57),OR(ISNUMBER('Proyecto Datos (OKR´s)'!$F57),ISNUMBER('Proyecto Datos (OKR´s)'!$L57)))</f>
        <v>1</v>
      </c>
      <c r="D57" s="203" t="str">
        <f>IF($C57,IFERROR(LOOKUP(2,1/((ISTEXT('Proyecto Datos (OKR´s)'!$K$7:$K57))*(LEN('Proyecto Datos (OKR´s)'!$G$7:$G57)&gt;0)),'Proyecto Datos (OKR´s)'!$G$7:$G57),""),"")</f>
        <v>7- Incorporación de Operaciones Complejas en sistemas de la compañía: Salesforce, SAP, etc.</v>
      </c>
      <c r="E57" s="202">
        <f>IF($C57,'Proyecto Datos (OKR´s)'!$E57,"")</f>
        <v>0</v>
      </c>
      <c r="F57" s="203" t="str">
        <f>IF($C57,'Proyecto Datos (OKR´s)'!$G57,"")</f>
        <v>Eliminar contratos obsoletos</v>
      </c>
      <c r="G57" s="203" t="str">
        <f>IF($C57,IF('Proyecto Datos (OKR´s)'!$I57="","(Sin asignar)",'Proyecto Datos (OKR´s)'!$I57),"")</f>
        <v>Santiago Alonso/ Danna Basso/ Lucía Paciello</v>
      </c>
      <c r="H57" s="202">
        <f>IF($C57,IF(ISNUMBER('Proyecto Datos (OKR´s)'!$F57),'Proyecto Datos (OKR´s)'!$F57,""),"")</f>
      </c>
      <c r="I57" s="202">
        <f>IF($C57,'Proyecto Datos (OKR´s)'!$J57,"")</f>
        <v>0.1</v>
      </c>
      <c r="J57" s="203" t="str">
        <f>IF($C57,IF($I57&gt;=1,"Completado",IF(NOT(ISNUMBER($H57)),"Sin fecha",IF($H57&lt;TODAY(),"Vencido",IF(($H57-TODAY())&lt;='Entregas Próximas'!$M$3,"Próximo a vencer","En curso")))),"")</f>
        <v>Sin fecha</v>
      </c>
      <c r="K57" s="202">
        <f>IF(AND($C57,ISNUMBER($H57)),$H57-TODAY(),"")</f>
      </c>
      <c r="L57" s="202">
        <f>IF(AND($C57,ISNUMBER($H57)),$AD57*1000000+$H57+ROW()/100000,"")</f>
      </c>
      <c r="M57" s="202">
        <f>IF($C57,IF($AD57=9999,"(Sin sprint)",$AD57),"")</f>
      </c>
      <c r="N57" s="202">
        <f>IF($C57,IF('Proyecto Datos (OKR´s)'!$E57="",9999,'Proyecto Datos (OKR´s)'!$E57),"")</f>
        <v>9999</v>
      </c>
      <c r="O57" s="202" t="str">
        <f>IF($C57,"T"&amp;TEXT(ROW(),"000"),"")</f>
        <v>T057</v>
      </c>
      <c r="R57" s="202">
        <f>IF($C57,IF(ISNUMBER('Proyecto Datos (OKR´s)'!$L57),'Proyecto Datos (OKR´s)'!$L57,$H57),"")</f>
        <v>46213</v>
      </c>
      <c r="S57" s="202">
        <f>IF($C57,$R57-'Proyecto Datos (OKR´s)'!$K57+1,"")</f>
        <v>256</v>
      </c>
      <c r="T57" s="202">
        <f>IF($C57,MAX(0,TODAY()-'Proyecto Datos (OKR´s)'!$K57),"")</f>
        <v>238</v>
      </c>
      <c r="U57" s="202">
        <f>IF($C57,MEDIAN(0,(TODAY()-'Proyecto Datos (OKR´s)'!$K57)/MAX(1,$R57-'Proyecto Datos (OKR´s)'!$K57),1),"")</f>
        <v>0.9333333333333333</v>
      </c>
      <c r="V57" s="202">
        <f>IF($C57,$I57-$U57,"")</f>
        <v>-0.8333333333333334</v>
      </c>
      <c r="W57" s="202">
        <f>IF($C57,IF(OR($J57="Completado",NOT(ISNUMBER($H57))),0,MAX(0,TODAY()-$H57)),"")</f>
        <v>0</v>
      </c>
      <c r="X57" s="202">
        <f>IF($C57,IF(ISNUMBER($H57),$R57-$H57,0),"")</f>
        <v>0</v>
      </c>
      <c r="Y57" s="202">
        <f>IF($C57,COUNTIFS($G$7:$G$200,$G57,$J$7:$J$200,"&lt;&gt;Completado",$J$7:$J$200,"&lt;&gt;"),"")</f>
        <v>0</v>
      </c>
      <c r="Z57" s="202" t="b">
        <f>IF($C57,AND($I57=0,'Proyecto Datos (OKR´s)'!$K57&lt;=TODAY(),$J57&lt;&gt;"Completado"),"")</f>
        <v>0</v>
      </c>
      <c r="AA57" s="202">
        <f>IF($C57,ROUND(100*(0.35*$AK57+0.3*$AL57+0.2*$AM57+0.15*MEDIAN(0,($Y57-4)/8,1)),0),"")</f>
        <v>38</v>
      </c>
      <c r="AB57" s="203" t="str">
        <f>IF($C57,IF(OR($J57="Completado",$J57="Sin fecha"),"—",IF($AA57&gt;=70,"Crítica",IF($AA57&gt;=45,"Alta",IF($AA57&gt;=25,"Media","Baja")))),"")</f>
        <v>—</v>
      </c>
      <c r="AC57" s="203" t="str">
        <f>IF($C57,IF(LEN(TRIM($AN57))=0,"—",TRIM($AN57)),"")</f>
        <v>ATRASO</v>
      </c>
      <c r="AD57" s="202">
        <f>IF($C57,$AV57,"")</f>
      </c>
      <c r="AE57" s="202" t="str">
        <f>IF($C57,$AZ57,"")</f>
        <v>(Sin fecha)</v>
      </c>
      <c r="AF57" s="202" t="b">
        <f>IF($C57,$AV57&lt;&gt;$AR57,FALSE)</f>
        <v>0</v>
      </c>
      <c r="AG57" s="202">
        <f>IF($C57,IF($AV57&lt;&gt;$AR57,$AW57,""),"")</f>
      </c>
      <c r="AH57" s="203">
        <f>IF($C57,IF(ISBLANK('Backlog General'!$K57),"",'Backlog General'!$K57),"")</f>
      </c>
      <c r="AI57" s="202">
        <f>IF($C57,$AV57*100000+ROW(),"")</f>
      </c>
      <c r="AJ57" s="202">
        <f>IF(AND($C57,ISNUMBER($H57)),$AA57*1000000-MEDIAN(-9999,$K57,9999)*100+(300-ROW()),"")</f>
      </c>
      <c r="AK57" s="202">
        <f>IF($C57,IF($J57="Completado",0,IF($K57&lt;0,1,IF($K57&lt;=3,0.9,IF($K57&lt;=7,0.7,IF($K57&lt;=14,0.45,0.2))))),"")</f>
        <v>0.2</v>
      </c>
      <c r="AL57" s="202">
        <f>IF($C57,IF($J57="Completado",0,MEDIAN(0,MAX(-$V57,$W57/30),1)),"")</f>
        <v>0.8333333333333334</v>
      </c>
      <c r="AM57" s="202">
        <f>IF($C57,IF($J57="Completado",0,IF($Z57,1,IF(AND($I57&lt;0.5,$K57&lt;=7),0.7,0.3))),"")</f>
        <v>0.3</v>
      </c>
      <c r="AN57" s="203" t="str">
        <f>IF($C57,IF(OR($V57&lt;-0.2,$W57&gt;0),"ATRASO ","")&amp;IF($Z57,"BLOQUEO ","")&amp;IF($Y57&gt;8,"SOBRECARGA ","")&amp;IF($X57&gt;0,"DESVÍO-PLAN ",""),"")</f>
        <v>ATRASO </v>
      </c>
      <c r="AO57" s="203" t="str">
        <f>IF($C57,IFERROR(VLOOKUP($D57,'Sprints'!$I$5:$J$12,2,FALSE),"Semanal"),"")</f>
        <v>Mensual</v>
      </c>
      <c r="AP57" s="202">
        <f>IF($C57,IFERROR(VLOOKUP($AO57,'Sprints'!$B$9:$C$11,2,FALSE),1),"")</f>
        <v>4</v>
      </c>
      <c r="AQ57" s="202">
        <f>IF($C57,'Sprints'!$C$5,"")</f>
        <v>46192</v>
      </c>
      <c r="AR57" s="202">
        <f>IF(AND($C57,ISNUMBER($H57)),CEILING(MAX(1,INT(($H57-$AQ57+'Sprints'!$D$5-1)/'Sprints'!$D$5)+1)/$AP57,1),"")</f>
      </c>
      <c r="AS57" s="202">
        <f>IF($C57,CEILING(MAX(1,INT((TODAY()-$AQ57+'Sprints'!$D$5-1)/'Sprints'!$D$5)+1)/$AP57,1),"")</f>
        <v>1</v>
      </c>
      <c r="AT57" s="203">
        <f>IF($C57,'Backlog General'!$G57,"")</f>
        <v>0</v>
      </c>
      <c r="AU57" s="203">
        <f>IF($C57,'Backlog General'!$H57,"")</f>
        <v>0</v>
      </c>
      <c r="AV57" s="202">
        <f>IF(AND($C57,ISNUMBER($AR57)),IF(OR($AT57="Completo",$AU57="Cancelado",$AU57="Baja prioridad"),$AR57,IF($AU57="Pasa al siguiente",MAX($AR57+1,$AS57),MAX($AR57,$AS57))),"")</f>
      </c>
      <c r="AW57" s="202">
        <f>IF(AND($C57,ISNUMBER($AR57)),$AQ57+$AR57*$AP57*'Sprints'!$D$5-'Sprints'!$D$5,"")</f>
      </c>
      <c r="AX57" s="202">
        <f>IF($C57,IF(OR($AT57="Completo",$AU57="Cancelado",$AU57="Baja prioridad",NOT(ISNUMBER($AW57))),0,IF(TODAY()&gt;$AW57,NETWORKDAYS($AW57,TODAY(),'Sprints'!$L$5:$L$40)-1,0)),"")</f>
        <v>0</v>
      </c>
      <c r="AY57" s="203" t="str">
        <f>IF($C57,IF(NOT(ISNUMBER($AR57)),"Sin fecha",IF($AT57="Completo","Completo",IF($AU57="Cancelado","Cancelado",IF($AU57="Baja prioridad","Baja prioridad",IF($AX57&gt;0,"Vencida","Pendiente"))))),"")</f>
        <v>Sin fecha</v>
      </c>
      <c r="AZ57" s="203" t="str">
        <f>IF($C57,IF(ISNUMBER($AV57),$AO57&amp;" · S"&amp;$AV57,"(Sin fecha)"),"")</f>
        <v>(Sin fecha)</v>
      </c>
      <c r="BA57" s="202">
        <f>IF($C57,IF(AND(ISNUMBER('Backlog General'!$M57),'Backlog General'!$M57=$AS57),"Nuevo S"&amp;'Backlog General'!$M57,""),"")</f>
      </c>
      <c r="BB57" s="202">
        <f>IF(AND($C57,$AO57="Semanal",ISNUMBER($AV57)),$AV57*100000+ROW(),"")</f>
      </c>
      <c r="BC57" s="202">
        <f>IF(AND($C57,$AO57="Quincenal",ISNUMBER($AV57)),$AV57*100000+ROW(),"")</f>
      </c>
      <c r="BD57" s="202">
        <f>IF(AND($C57,$AO57="Mensual",ISNUMBER($AV57)),$AV57*100000+ROW(),"")</f>
      </c>
      <c r="BE57" s="203">
        <f>IF($C57,IF(ISBLANK('Backlog General'!$J57),"",'Backlog General'!$J57),"")</f>
      </c>
      <c r="BF57" s="203">
        <f>IF($C57,IF($BE57="","",$BE57)&amp;IF(AND($BE57&lt;&gt;"",$AH57&lt;&gt;"")," · ","")&amp;IF($AH57="","",$AH57),"")</f>
      </c>
      <c r="BG57" s="203" t="str">
        <f>IF($C57,IF($J57="Completado","Sí","No"),"")</f>
        <v>No</v>
      </c>
      <c r="BH57" s="202">
        <f>IF(AND($C57,ISNUMBER($AR57)),IF($AO57="Semanal",1,IF($AO57="Quincenal",2,3))*1000000000+$AR57*100000+ROW(),"")</f>
      </c>
    </row>
    <row r="58">
      <c r="A58" s="202">
        <f>ROW()</f>
        <v>58</v>
      </c>
      <c r="B58" s="202" t="b">
        <f>ISTEXT('Proyecto Datos (OKR´s)'!$K58)</f>
        <v>0</v>
      </c>
      <c r="C58" s="202" t="b">
        <f>AND(LEN('Proyecto Datos (OKR´s)'!$G58)&gt;0,NOT($B58),OR(ISNUMBER('Proyecto Datos (OKR´s)'!$F58),ISNUMBER('Proyecto Datos (OKR´s)'!$L58)))</f>
        <v>1</v>
      </c>
      <c r="D58" s="203" t="str">
        <f>IF($C58,IFERROR(LOOKUP(2,1/((ISTEXT('Proyecto Datos (OKR´s)'!$K$7:$K58))*(LEN('Proyecto Datos (OKR´s)'!$G$7:$G58)&gt;0)),'Proyecto Datos (OKR´s)'!$G$7:$G58),""),"")</f>
        <v>7- Incorporación de Operaciones Complejas en sistemas de la compañía: Salesforce, SAP, etc.</v>
      </c>
      <c r="E58" s="202">
        <f>IF($C58,'Proyecto Datos (OKR´s)'!$E58,"")</f>
        <v>0</v>
      </c>
      <c r="F58" s="203" t="str">
        <f>IF($C58,'Proyecto Datos (OKR´s)'!$G58,"")</f>
        <v>Estandarizar materíales de contratos - ver si se puede realizarmasivo (Matias Viera - SF)</v>
      </c>
      <c r="G58" s="203" t="str">
        <f>IF($C58,IF('Proyecto Datos (OKR´s)'!$I58="","(Sin asignar)",'Proyecto Datos (OKR´s)'!$I58),"")</f>
        <v>Santiago Alonso/ Danna Basso/ Lucía Paciello</v>
      </c>
      <c r="H58" s="202">
        <f>IF($C58,IF(ISNUMBER('Proyecto Datos (OKR´s)'!$F58),'Proyecto Datos (OKR´s)'!$F58,""),"")</f>
      </c>
      <c r="I58" s="202">
        <f>IF($C58,'Proyecto Datos (OKR´s)'!$J58,"")</f>
        <v>0</v>
      </c>
      <c r="J58" s="203" t="str">
        <f>IF($C58,IF($I58&gt;=1,"Completado",IF(NOT(ISNUMBER($H58)),"Sin fecha",IF($H58&lt;TODAY(),"Vencido",IF(($H58-TODAY())&lt;='Entregas Próximas'!$M$3,"Próximo a vencer","En curso")))),"")</f>
        <v>Sin fecha</v>
      </c>
      <c r="K58" s="202">
        <f>IF(AND($C58,ISNUMBER($H58)),$H58-TODAY(),"")</f>
      </c>
      <c r="L58" s="202">
        <f>IF(AND($C58,ISNUMBER($H58)),$AD58*1000000+$H58+ROW()/100000,"")</f>
      </c>
      <c r="M58" s="202">
        <f>IF($C58,IF($AD58=9999,"(Sin sprint)",$AD58),"")</f>
      </c>
      <c r="N58" s="202">
        <f>IF($C58,IF('Proyecto Datos (OKR´s)'!$E58="",9999,'Proyecto Datos (OKR´s)'!$E58),"")</f>
        <v>9999</v>
      </c>
      <c r="O58" s="202" t="str">
        <f>IF($C58,"T"&amp;TEXT(ROW(),"000"),"")</f>
        <v>T058</v>
      </c>
      <c r="R58" s="202">
        <f>IF($C58,IF(ISNUMBER('Proyecto Datos (OKR´s)'!$L58),'Proyecto Datos (OKR´s)'!$L58,$H58),"")</f>
        <v>46220</v>
      </c>
      <c r="S58" s="202">
        <f>IF($C58,$R58-'Proyecto Datos (OKR´s)'!$K58+1,"")</f>
        <v>5</v>
      </c>
      <c r="T58" s="202">
        <f>IF($C58,MAX(0,TODAY()-'Proyecto Datos (OKR´s)'!$K58),"")</f>
        <v>0</v>
      </c>
      <c r="U58" s="202">
        <f>IF($C58,MEDIAN(0,(TODAY()-'Proyecto Datos (OKR´s)'!$K58)/MAX(1,$R58-'Proyecto Datos (OKR´s)'!$K58),1),"")</f>
        <v>0</v>
      </c>
      <c r="V58" s="202">
        <f>IF($C58,$I58-$U58,"")</f>
        <v>0</v>
      </c>
      <c r="W58" s="202">
        <f>IF($C58,IF(OR($J58="Completado",NOT(ISNUMBER($H58))),0,MAX(0,TODAY()-$H58)),"")</f>
        <v>0</v>
      </c>
      <c r="X58" s="202">
        <f>IF($C58,IF(ISNUMBER($H58),$R58-$H58,0),"")</f>
        <v>0</v>
      </c>
      <c r="Y58" s="202">
        <f>IF($C58,COUNTIFS($G$7:$G$200,$G58,$J$7:$J$200,"&lt;&gt;Completado",$J$7:$J$200,"&lt;&gt;"),"")</f>
        <v>0</v>
      </c>
      <c r="Z58" s="202" t="b">
        <f>IF($C58,AND($I58=0,'Proyecto Datos (OKR´s)'!$K58&lt;=TODAY(),$J58&lt;&gt;"Completado"),"")</f>
        <v>0</v>
      </c>
      <c r="AA58" s="202">
        <f>IF($C58,ROUND(100*(0.35*$AK58+0.3*$AL58+0.2*$AM58+0.15*MEDIAN(0,($Y58-4)/8,1)),0),"")</f>
        <v>13</v>
      </c>
      <c r="AB58" s="203" t="str">
        <f>IF($C58,IF(OR($J58="Completado",$J58="Sin fecha"),"—",IF($AA58&gt;=70,"Crítica",IF($AA58&gt;=45,"Alta",IF($AA58&gt;=25,"Media","Baja")))),"")</f>
        <v>—</v>
      </c>
      <c r="AC58" s="203" t="str">
        <f>IF($C58,IF(LEN(TRIM($AN58))=0,"—",TRIM($AN58)),"")</f>
        <v>—</v>
      </c>
      <c r="AD58" s="202">
        <f>IF($C58,$AV58,"")</f>
      </c>
      <c r="AE58" s="202" t="str">
        <f>IF($C58,$AZ58,"")</f>
        <v>(Sin fecha)</v>
      </c>
      <c r="AF58" s="202" t="b">
        <f>IF($C58,$AV58&lt;&gt;$AR58,FALSE)</f>
        <v>0</v>
      </c>
      <c r="AG58" s="202">
        <f>IF($C58,IF($AV58&lt;&gt;$AR58,$AW58,""),"")</f>
      </c>
      <c r="AH58" s="203">
        <f>IF($C58,IF(ISBLANK('Backlog General'!$K58),"",'Backlog General'!$K58),"")</f>
      </c>
      <c r="AI58" s="202">
        <f>IF($C58,$AV58*100000+ROW(),"")</f>
      </c>
      <c r="AJ58" s="202">
        <f>IF(AND($C58,ISNUMBER($H58)),$AA58*1000000-MEDIAN(-9999,$K58,9999)*100+(300-ROW()),"")</f>
      </c>
      <c r="AK58" s="202">
        <f>IF($C58,IF($J58="Completado",0,IF($K58&lt;0,1,IF($K58&lt;=3,0.9,IF($K58&lt;=7,0.7,IF($K58&lt;=14,0.45,0.2))))),"")</f>
        <v>0.2</v>
      </c>
      <c r="AL58" s="202">
        <f>IF($C58,IF($J58="Completado",0,MEDIAN(0,MAX(-$V58,$W58/30),1)),"")</f>
        <v>0</v>
      </c>
      <c r="AM58" s="202">
        <f>IF($C58,IF($J58="Completado",0,IF($Z58,1,IF(AND($I58&lt;0.5,$K58&lt;=7),0.7,0.3))),"")</f>
        <v>0.3</v>
      </c>
      <c r="AN58" s="203">
        <f>IF($C58,IF(OR($V58&lt;-0.2,$W58&gt;0),"ATRASO ","")&amp;IF($Z58,"BLOQUEO ","")&amp;IF($Y58&gt;8,"SOBRECARGA ","")&amp;IF($X58&gt;0,"DESVÍO-PLAN ",""),"")</f>
      </c>
      <c r="AO58" s="203" t="str">
        <f>IF($C58,IFERROR(VLOOKUP($D58,'Sprints'!$I$5:$J$12,2,FALSE),"Semanal"),"")</f>
        <v>Mensual</v>
      </c>
      <c r="AP58" s="202">
        <f>IF($C58,IFERROR(VLOOKUP($AO58,'Sprints'!$B$9:$C$11,2,FALSE),1),"")</f>
        <v>4</v>
      </c>
      <c r="AQ58" s="202">
        <f>IF($C58,'Sprints'!$C$5,"")</f>
        <v>46192</v>
      </c>
      <c r="AR58" s="202">
        <f>IF(AND($C58,ISNUMBER($H58)),CEILING(MAX(1,INT(($H58-$AQ58+'Sprints'!$D$5-1)/'Sprints'!$D$5)+1)/$AP58,1),"")</f>
      </c>
      <c r="AS58" s="202">
        <f>IF($C58,CEILING(MAX(1,INT((TODAY()-$AQ58+'Sprints'!$D$5-1)/'Sprints'!$D$5)+1)/$AP58,1),"")</f>
        <v>1</v>
      </c>
      <c r="AT58" s="203">
        <f>IF($C58,'Backlog General'!$G58,"")</f>
        <v>0</v>
      </c>
      <c r="AU58" s="203">
        <f>IF($C58,'Backlog General'!$H58,"")</f>
        <v>0</v>
      </c>
      <c r="AV58" s="202">
        <f>IF(AND($C58,ISNUMBER($AR58)),IF(OR($AT58="Completo",$AU58="Cancelado",$AU58="Baja prioridad"),$AR58,IF($AU58="Pasa al siguiente",MAX($AR58+1,$AS58),MAX($AR58,$AS58))),"")</f>
      </c>
      <c r="AW58" s="202">
        <f>IF(AND($C58,ISNUMBER($AR58)),$AQ58+$AR58*$AP58*'Sprints'!$D$5-'Sprints'!$D$5,"")</f>
      </c>
      <c r="AX58" s="202">
        <f>IF($C58,IF(OR($AT58="Completo",$AU58="Cancelado",$AU58="Baja prioridad",NOT(ISNUMBER($AW58))),0,IF(TODAY()&gt;$AW58,NETWORKDAYS($AW58,TODAY(),'Sprints'!$L$5:$L$40)-1,0)),"")</f>
        <v>0</v>
      </c>
      <c r="AY58" s="203" t="str">
        <f>IF($C58,IF(NOT(ISNUMBER($AR58)),"Sin fecha",IF($AT58="Completo","Completo",IF($AU58="Cancelado","Cancelado",IF($AU58="Baja prioridad","Baja prioridad",IF($AX58&gt;0,"Vencida","Pendiente"))))),"")</f>
        <v>Sin fecha</v>
      </c>
      <c r="AZ58" s="203" t="str">
        <f>IF($C58,IF(ISNUMBER($AV58),$AO58&amp;" · S"&amp;$AV58,"(Sin fecha)"),"")</f>
        <v>(Sin fecha)</v>
      </c>
      <c r="BA58" s="202">
        <f>IF($C58,IF(AND(ISNUMBER('Backlog General'!$M58),'Backlog General'!$M58=$AS58),"Nuevo S"&amp;'Backlog General'!$M58,""),"")</f>
      </c>
      <c r="BB58" s="202">
        <f>IF(AND($C58,$AO58="Semanal",ISNUMBER($AV58)),$AV58*100000+ROW(),"")</f>
      </c>
      <c r="BC58" s="202">
        <f>IF(AND($C58,$AO58="Quincenal",ISNUMBER($AV58)),$AV58*100000+ROW(),"")</f>
      </c>
      <c r="BD58" s="202">
        <f>IF(AND($C58,$AO58="Mensual",ISNUMBER($AV58)),$AV58*100000+ROW(),"")</f>
      </c>
      <c r="BE58" s="203">
        <f>IF($C58,IF(ISBLANK('Backlog General'!$J58),"",'Backlog General'!$J58),"")</f>
      </c>
      <c r="BF58" s="203">
        <f>IF($C58,IF($BE58="","",$BE58)&amp;IF(AND($BE58&lt;&gt;"",$AH58&lt;&gt;"")," · ","")&amp;IF($AH58="","",$AH58),"")</f>
      </c>
      <c r="BG58" s="203" t="str">
        <f>IF($C58,IF($J58="Completado","Sí","No"),"")</f>
        <v>No</v>
      </c>
      <c r="BH58" s="202">
        <f>IF(AND($C58,ISNUMBER($AR58)),IF($AO58="Semanal",1,IF($AO58="Quincenal",2,3))*1000000000+$AR58*100000+ROW(),"")</f>
      </c>
    </row>
    <row r="59">
      <c r="A59" s="202">
        <f>ROW()</f>
        <v>59</v>
      </c>
      <c r="B59" s="202" t="b">
        <f>ISTEXT('Proyecto Datos (OKR´s)'!$K59)</f>
        <v>0</v>
      </c>
      <c r="C59" s="202" t="b">
        <f>AND(LEN('Proyecto Datos (OKR´s)'!$G59)&gt;0,NOT($B59),OR(ISNUMBER('Proyecto Datos (OKR´s)'!$F59),ISNUMBER('Proyecto Datos (OKR´s)'!$L59)))</f>
        <v>1</v>
      </c>
      <c r="D59" s="203" t="str">
        <f>IF($C59,IFERROR(LOOKUP(2,1/((ISTEXT('Proyecto Datos (OKR´s)'!$K$7:$K59))*(LEN('Proyecto Datos (OKR´s)'!$G$7:$G59)&gt;0)),'Proyecto Datos (OKR´s)'!$G$7:$G59),""),"")</f>
        <v>7- Incorporación de Operaciones Complejas en sistemas de la compañía: Salesforce, SAP, etc.</v>
      </c>
      <c r="E59" s="202">
        <f>IF($C59,'Proyecto Datos (OKR´s)'!$E59,"")</f>
        <v>0</v>
      </c>
      <c r="F59" s="203" t="str">
        <f>IF($C59,'Proyecto Datos (OKR´s)'!$G59,"")</f>
        <v>Relevar conveniencia de creación de Boom´s para materiales que hacen alusión a US</v>
      </c>
      <c r="G59" s="203" t="str">
        <f>IF($C59,IF('Proyecto Datos (OKR´s)'!$I59="","(Sin asignar)",'Proyecto Datos (OKR´s)'!$I59),"")</f>
        <v>Santiago Alonso/ Danna Basso/ Lucía Paciello</v>
      </c>
      <c r="H59" s="202">
        <f>IF($C59,IF(ISNUMBER('Proyecto Datos (OKR´s)'!$F59),'Proyecto Datos (OKR´s)'!$F59,""),"")</f>
      </c>
      <c r="I59" s="202">
        <f>IF($C59,'Proyecto Datos (OKR´s)'!$J59,"")</f>
        <v>0</v>
      </c>
      <c r="J59" s="203" t="str">
        <f>IF($C59,IF($I59&gt;=1,"Completado",IF(NOT(ISNUMBER($H59)),"Sin fecha",IF($H59&lt;TODAY(),"Vencido",IF(($H59-TODAY())&lt;='Entregas Próximas'!$M$3,"Próximo a vencer","En curso")))),"")</f>
        <v>Sin fecha</v>
      </c>
      <c r="K59" s="202">
        <f>IF(AND($C59,ISNUMBER($H59)),$H59-TODAY(),"")</f>
      </c>
      <c r="L59" s="202">
        <f>IF(AND($C59,ISNUMBER($H59)),$AD59*1000000+$H59+ROW()/100000,"")</f>
      </c>
      <c r="M59" s="202">
        <f>IF($C59,IF($AD59=9999,"(Sin sprint)",$AD59),"")</f>
      </c>
      <c r="N59" s="202">
        <f>IF($C59,IF('Proyecto Datos (OKR´s)'!$E59="",9999,'Proyecto Datos (OKR´s)'!$E59),"")</f>
        <v>9999</v>
      </c>
      <c r="O59" s="202" t="str">
        <f>IF($C59,"T"&amp;TEXT(ROW(),"000"),"")</f>
        <v>T059</v>
      </c>
      <c r="R59" s="202">
        <f>IF($C59,IF(ISNUMBER('Proyecto Datos (OKR´s)'!$L59),'Proyecto Datos (OKR´s)'!$L59,$H59),"")</f>
        <v>46227</v>
      </c>
      <c r="S59" s="202">
        <f>IF($C59,$R59-'Proyecto Datos (OKR´s)'!$K59+1,"")</f>
        <v>5</v>
      </c>
      <c r="T59" s="202">
        <f>IF($C59,MAX(0,TODAY()-'Proyecto Datos (OKR´s)'!$K59),"")</f>
        <v>0</v>
      </c>
      <c r="U59" s="202">
        <f>IF($C59,MEDIAN(0,(TODAY()-'Proyecto Datos (OKR´s)'!$K59)/MAX(1,$R59-'Proyecto Datos (OKR´s)'!$K59),1),"")</f>
        <v>0</v>
      </c>
      <c r="V59" s="202">
        <f>IF($C59,$I59-$U59,"")</f>
        <v>0</v>
      </c>
      <c r="W59" s="202">
        <f>IF($C59,IF(OR($J59="Completado",NOT(ISNUMBER($H59))),0,MAX(0,TODAY()-$H59)),"")</f>
        <v>0</v>
      </c>
      <c r="X59" s="202">
        <f>IF($C59,IF(ISNUMBER($H59),$R59-$H59,0),"")</f>
        <v>0</v>
      </c>
      <c r="Y59" s="202">
        <f>IF($C59,COUNTIFS($G$7:$G$200,$G59,$J$7:$J$200,"&lt;&gt;Completado",$J$7:$J$200,"&lt;&gt;"),"")</f>
        <v>0</v>
      </c>
      <c r="Z59" s="202" t="b">
        <f>IF($C59,AND($I59=0,'Proyecto Datos (OKR´s)'!$K59&lt;=TODAY(),$J59&lt;&gt;"Completado"),"")</f>
        <v>0</v>
      </c>
      <c r="AA59" s="202">
        <f>IF($C59,ROUND(100*(0.35*$AK59+0.3*$AL59+0.2*$AM59+0.15*MEDIAN(0,($Y59-4)/8,1)),0),"")</f>
        <v>13</v>
      </c>
      <c r="AB59" s="203" t="str">
        <f>IF($C59,IF(OR($J59="Completado",$J59="Sin fecha"),"—",IF($AA59&gt;=70,"Crítica",IF($AA59&gt;=45,"Alta",IF($AA59&gt;=25,"Media","Baja")))),"")</f>
        <v>—</v>
      </c>
      <c r="AC59" s="203" t="str">
        <f>IF($C59,IF(LEN(TRIM($AN59))=0,"—",TRIM($AN59)),"")</f>
        <v>—</v>
      </c>
      <c r="AD59" s="202">
        <f>IF($C59,$AV59,"")</f>
      </c>
      <c r="AE59" s="202" t="str">
        <f>IF($C59,$AZ59,"")</f>
        <v>(Sin fecha)</v>
      </c>
      <c r="AF59" s="202" t="b">
        <f>IF($C59,$AV59&lt;&gt;$AR59,FALSE)</f>
        <v>0</v>
      </c>
      <c r="AG59" s="202">
        <f>IF($C59,IF($AV59&lt;&gt;$AR59,$AW59,""),"")</f>
      </c>
      <c r="AH59" s="203">
        <f>IF($C59,IF(ISBLANK('Backlog General'!$K59),"",'Backlog General'!$K59),"")</f>
      </c>
      <c r="AI59" s="202">
        <f>IF($C59,$AV59*100000+ROW(),"")</f>
      </c>
      <c r="AJ59" s="202">
        <f>IF(AND($C59,ISNUMBER($H59)),$AA59*1000000-MEDIAN(-9999,$K59,9999)*100+(300-ROW()),"")</f>
      </c>
      <c r="AK59" s="202">
        <f>IF($C59,IF($J59="Completado",0,IF($K59&lt;0,1,IF($K59&lt;=3,0.9,IF($K59&lt;=7,0.7,IF($K59&lt;=14,0.45,0.2))))),"")</f>
        <v>0.2</v>
      </c>
      <c r="AL59" s="202">
        <f>IF($C59,IF($J59="Completado",0,MEDIAN(0,MAX(-$V59,$W59/30),1)),"")</f>
        <v>0</v>
      </c>
      <c r="AM59" s="202">
        <f>IF($C59,IF($J59="Completado",0,IF($Z59,1,IF(AND($I59&lt;0.5,$K59&lt;=7),0.7,0.3))),"")</f>
        <v>0.3</v>
      </c>
      <c r="AN59" s="203">
        <f>IF($C59,IF(OR($V59&lt;-0.2,$W59&gt;0),"ATRASO ","")&amp;IF($Z59,"BLOQUEO ","")&amp;IF($Y59&gt;8,"SOBRECARGA ","")&amp;IF($X59&gt;0,"DESVÍO-PLAN ",""),"")</f>
      </c>
      <c r="AO59" s="203" t="str">
        <f>IF($C59,IFERROR(VLOOKUP($D59,'Sprints'!$I$5:$J$12,2,FALSE),"Semanal"),"")</f>
        <v>Mensual</v>
      </c>
      <c r="AP59" s="202">
        <f>IF($C59,IFERROR(VLOOKUP($AO59,'Sprints'!$B$9:$C$11,2,FALSE),1),"")</f>
        <v>4</v>
      </c>
      <c r="AQ59" s="202">
        <f>IF($C59,'Sprints'!$C$5,"")</f>
        <v>46192</v>
      </c>
      <c r="AR59" s="202">
        <f>IF(AND($C59,ISNUMBER($H59)),CEILING(MAX(1,INT(($H59-$AQ59+'Sprints'!$D$5-1)/'Sprints'!$D$5)+1)/$AP59,1),"")</f>
      </c>
      <c r="AS59" s="202">
        <f>IF($C59,CEILING(MAX(1,INT((TODAY()-$AQ59+'Sprints'!$D$5-1)/'Sprints'!$D$5)+1)/$AP59,1),"")</f>
        <v>1</v>
      </c>
      <c r="AT59" s="203">
        <f>IF($C59,'Backlog General'!$G59,"")</f>
        <v>0</v>
      </c>
      <c r="AU59" s="203">
        <f>IF($C59,'Backlog General'!$H59,"")</f>
        <v>0</v>
      </c>
      <c r="AV59" s="202">
        <f>IF(AND($C59,ISNUMBER($AR59)),IF(OR($AT59="Completo",$AU59="Cancelado",$AU59="Baja prioridad"),$AR59,IF($AU59="Pasa al siguiente",MAX($AR59+1,$AS59),MAX($AR59,$AS59))),"")</f>
      </c>
      <c r="AW59" s="202">
        <f>IF(AND($C59,ISNUMBER($AR59)),$AQ59+$AR59*$AP59*'Sprints'!$D$5-'Sprints'!$D$5,"")</f>
      </c>
      <c r="AX59" s="202">
        <f>IF($C59,IF(OR($AT59="Completo",$AU59="Cancelado",$AU59="Baja prioridad",NOT(ISNUMBER($AW59))),0,IF(TODAY()&gt;$AW59,NETWORKDAYS($AW59,TODAY(),'Sprints'!$L$5:$L$40)-1,0)),"")</f>
        <v>0</v>
      </c>
      <c r="AY59" s="203" t="str">
        <f>IF($C59,IF(NOT(ISNUMBER($AR59)),"Sin fecha",IF($AT59="Completo","Completo",IF($AU59="Cancelado","Cancelado",IF($AU59="Baja prioridad","Baja prioridad",IF($AX59&gt;0,"Vencida","Pendiente"))))),"")</f>
        <v>Sin fecha</v>
      </c>
      <c r="AZ59" s="203" t="str">
        <f>IF($C59,IF(ISNUMBER($AV59),$AO59&amp;" · S"&amp;$AV59,"(Sin fecha)"),"")</f>
        <v>(Sin fecha)</v>
      </c>
      <c r="BA59" s="202">
        <f>IF($C59,IF(AND(ISNUMBER('Backlog General'!$M59),'Backlog General'!$M59=$AS59),"Nuevo S"&amp;'Backlog General'!$M59,""),"")</f>
      </c>
      <c r="BB59" s="202">
        <f>IF(AND($C59,$AO59="Semanal",ISNUMBER($AV59)),$AV59*100000+ROW(),"")</f>
      </c>
      <c r="BC59" s="202">
        <f>IF(AND($C59,$AO59="Quincenal",ISNUMBER($AV59)),$AV59*100000+ROW(),"")</f>
      </c>
      <c r="BD59" s="202">
        <f>IF(AND($C59,$AO59="Mensual",ISNUMBER($AV59)),$AV59*100000+ROW(),"")</f>
      </c>
      <c r="BE59" s="203">
        <f>IF($C59,IF(ISBLANK('Backlog General'!$J59),"",'Backlog General'!$J59),"")</f>
      </c>
      <c r="BF59" s="203">
        <f>IF($C59,IF($BE59="","",$BE59)&amp;IF(AND($BE59&lt;&gt;"",$AH59&lt;&gt;"")," · ","")&amp;IF($AH59="","",$AH59),"")</f>
      </c>
      <c r="BG59" s="203" t="str">
        <f>IF($C59,IF($J59="Completado","Sí","No"),"")</f>
        <v>No</v>
      </c>
      <c r="BH59" s="202">
        <f>IF(AND($C59,ISNUMBER($AR59)),IF($AO59="Semanal",1,IF($AO59="Quincenal",2,3))*1000000000+$AR59*100000+ROW(),"")</f>
      </c>
    </row>
    <row r="60">
      <c r="A60" s="202">
        <f>ROW()</f>
        <v>60</v>
      </c>
      <c r="B60" s="202" t="b">
        <f>ISTEXT('Proyecto Datos (OKR´s)'!$K60)</f>
        <v>0</v>
      </c>
      <c r="C60" s="202" t="b">
        <f>AND(LEN('Proyecto Datos (OKR´s)'!$G60)&gt;0,NOT($B60),OR(ISNUMBER('Proyecto Datos (OKR´s)'!$F60),ISNUMBER('Proyecto Datos (OKR´s)'!$L60)))</f>
        <v>0</v>
      </c>
      <c r="D60" s="203">
        <f>IF($C60,IFERROR(LOOKUP(2,1/((ISTEXT('Proyecto Datos (OKR´s)'!$K$7:$K60))*(LEN('Proyecto Datos (OKR´s)'!$G$7:$G60)&gt;0)),'Proyecto Datos (OKR´s)'!$G$7:$G60),""),"")</f>
      </c>
      <c r="E60" s="202">
        <f>IF($C60,'Proyecto Datos (OKR´s)'!$E60,"")</f>
      </c>
      <c r="F60" s="203">
        <f>IF($C60,'Proyecto Datos (OKR´s)'!$G60,"")</f>
      </c>
      <c r="G60" s="203">
        <f>IF($C60,IF('Proyecto Datos (OKR´s)'!$I60="","(Sin asignar)",'Proyecto Datos (OKR´s)'!$I60),"")</f>
      </c>
      <c r="H60" s="202">
        <f>IF($C60,IF(ISNUMBER('Proyecto Datos (OKR´s)'!$F60),'Proyecto Datos (OKR´s)'!$F60,""),"")</f>
      </c>
      <c r="I60" s="202">
        <f>IF($C60,'Proyecto Datos (OKR´s)'!$J60,"")</f>
      </c>
      <c r="J60" s="203">
        <f>IF($C60,IF($I60&gt;=1,"Completado",IF(NOT(ISNUMBER($H60)),"Sin fecha",IF($H60&lt;TODAY(),"Vencido",IF(($H60-TODAY())&lt;='Entregas Próximas'!$M$3,"Próximo a vencer","En curso")))),"")</f>
      </c>
      <c r="K60" s="202">
        <f>IF(AND($C60,ISNUMBER($H60)),$H60-TODAY(),"")</f>
      </c>
      <c r="L60" s="202">
        <f>IF(AND($C60,ISNUMBER($H60)),$AD60*1000000+$H60+ROW()/100000,"")</f>
      </c>
      <c r="M60" s="202">
        <f>IF($C60,IF($AD60=9999,"(Sin sprint)",$AD60),"")</f>
      </c>
      <c r="N60" s="202">
        <f>IF($C60,IF('Proyecto Datos (OKR´s)'!$E60="",9999,'Proyecto Datos (OKR´s)'!$E60),"")</f>
      </c>
      <c r="O60" s="202">
        <f>IF($C60,"T"&amp;TEXT(ROW(),"000"),"")</f>
      </c>
      <c r="R60" s="202">
        <f>IF($C60,IF(ISNUMBER('Proyecto Datos (OKR´s)'!$L60),'Proyecto Datos (OKR´s)'!$L60,$H60),"")</f>
      </c>
      <c r="S60" s="202">
        <f>IF($C60,$R60-'Proyecto Datos (OKR´s)'!$K60+1,"")</f>
      </c>
      <c r="T60" s="202">
        <f>IF($C60,MAX(0,TODAY()-'Proyecto Datos (OKR´s)'!$K60),"")</f>
      </c>
      <c r="U60" s="202">
        <f>IF($C60,MEDIAN(0,(TODAY()-'Proyecto Datos (OKR´s)'!$K60)/MAX(1,$R60-'Proyecto Datos (OKR´s)'!$K60),1),"")</f>
      </c>
      <c r="V60" s="202">
        <f>IF($C60,$I60-$U60,"")</f>
      </c>
      <c r="W60" s="202">
        <f>IF($C60,IF(OR($J60="Completado",NOT(ISNUMBER($H60))),0,MAX(0,TODAY()-$H60)),"")</f>
      </c>
      <c r="X60" s="202">
        <f>IF($C60,IF(ISNUMBER($H60),$R60-$H60,0),"")</f>
      </c>
      <c r="Y60" s="202">
        <f>IF($C60,COUNTIFS($G$7:$G$200,$G60,$J$7:$J$200,"&lt;&gt;Completado",$J$7:$J$200,"&lt;&gt;"),"")</f>
      </c>
      <c r="Z60" s="202">
        <f>IF($C60,AND($I60=0,'Proyecto Datos (OKR´s)'!$K60&lt;=TODAY(),$J60&lt;&gt;"Completado"),"")</f>
      </c>
      <c r="AA60" s="202">
        <f>IF($C60,ROUND(100*(0.35*$AK60+0.3*$AL60+0.2*$AM60+0.15*MEDIAN(0,($Y60-4)/8,1)),0),"")</f>
      </c>
      <c r="AB60" s="203">
        <f>IF($C60,IF(OR($J60="Completado",$J60="Sin fecha"),"—",IF($AA60&gt;=70,"Crítica",IF($AA60&gt;=45,"Alta",IF($AA60&gt;=25,"Media","Baja")))),"")</f>
      </c>
      <c r="AC60" s="203">
        <f>IF($C60,IF(LEN(TRIM($AN60))=0,"—",TRIM($AN60)),"")</f>
      </c>
      <c r="AD60" s="202">
        <f>IF($C60,$AV60,"")</f>
      </c>
      <c r="AE60" s="202">
        <f>IF($C60,$AZ60,"")</f>
      </c>
      <c r="AF60" s="202" t="b">
        <f>IF($C60,$AV60&lt;&gt;$AR60,FALSE)</f>
        <v>0</v>
      </c>
      <c r="AG60" s="202">
        <f>IF($C60,IF($AV60&lt;&gt;$AR60,$AW60,""),"")</f>
      </c>
      <c r="AH60" s="203">
        <f>IF($C60,IF(ISBLANK('Backlog General'!$K60),"",'Backlog General'!$K60),"")</f>
      </c>
      <c r="AI60" s="202">
        <f>IF($C60,$AV60*100000+ROW(),"")</f>
      </c>
      <c r="AJ60" s="202">
        <f>IF(AND($C60,ISNUMBER($H60)),$AA60*1000000-MEDIAN(-9999,$K60,9999)*100+(300-ROW()),"")</f>
      </c>
      <c r="AK60" s="202">
        <f>IF($C60,IF($J60="Completado",0,IF($K60&lt;0,1,IF($K60&lt;=3,0.9,IF($K60&lt;=7,0.7,IF($K60&lt;=14,0.45,0.2))))),"")</f>
      </c>
      <c r="AL60" s="202">
        <f>IF($C60,IF($J60="Completado",0,MEDIAN(0,MAX(-$V60,$W60/30),1)),"")</f>
      </c>
      <c r="AM60" s="202">
        <f>IF($C60,IF($J60="Completado",0,IF($Z60,1,IF(AND($I60&lt;0.5,$K60&lt;=7),0.7,0.3))),"")</f>
      </c>
      <c r="AN60" s="203">
        <f>IF($C60,IF(OR($V60&lt;-0.2,$W60&gt;0),"ATRASO ","")&amp;IF($Z60,"BLOQUEO ","")&amp;IF($Y60&gt;8,"SOBRECARGA ","")&amp;IF($X60&gt;0,"DESVÍO-PLAN ",""),"")</f>
      </c>
      <c r="AO60" s="203">
        <f>IF($C60,IFERROR(VLOOKUP($D60,'Sprints'!$I$5:$J$12,2,FALSE),"Semanal"),"")</f>
      </c>
      <c r="AP60" s="202">
        <f>IF($C60,IFERROR(VLOOKUP($AO60,'Sprints'!$B$9:$C$11,2,FALSE),1),"")</f>
      </c>
      <c r="AQ60" s="202">
        <f>IF($C60,'Sprints'!$C$5,"")</f>
      </c>
      <c r="AR60" s="202">
        <f>IF(AND($C60,ISNUMBER($H60)),CEILING(MAX(1,INT(($H60-$AQ60+'Sprints'!$D$5-1)/'Sprints'!$D$5)+1)/$AP60,1),"")</f>
      </c>
      <c r="AS60" s="202">
        <f>IF($C60,CEILING(MAX(1,INT((TODAY()-$AQ60+'Sprints'!$D$5-1)/'Sprints'!$D$5)+1)/$AP60,1),"")</f>
      </c>
      <c r="AT60" s="203">
        <f>IF($C60,'Backlog General'!$G60,"")</f>
      </c>
      <c r="AU60" s="203">
        <f>IF($C60,'Backlog General'!$H60,"")</f>
      </c>
      <c r="AV60" s="202">
        <f>IF(AND($C60,ISNUMBER($AR60)),IF(OR($AT60="Completo",$AU60="Cancelado",$AU60="Baja prioridad"),$AR60,IF($AU60="Pasa al siguiente",MAX($AR60+1,$AS60),MAX($AR60,$AS60))),"")</f>
      </c>
      <c r="AW60" s="202">
        <f>IF(AND($C60,ISNUMBER($AR60)),$AQ60+$AR60*$AP60*'Sprints'!$D$5-'Sprints'!$D$5,"")</f>
      </c>
      <c r="AX60" s="202">
        <f>IF($C60,IF(OR($AT60="Completo",$AU60="Cancelado",$AU60="Baja prioridad",NOT(ISNUMBER($AW60))),0,IF(TODAY()&gt;$AW60,NETWORKDAYS($AW60,TODAY(),'Sprints'!$L$5:$L$40)-1,0)),"")</f>
      </c>
      <c r="AY60" s="203">
        <f>IF($C60,IF(NOT(ISNUMBER($AR60)),"Sin fecha",IF($AT60="Completo","Completo",IF($AU60="Cancelado","Cancelado",IF($AU60="Baja prioridad","Baja prioridad",IF($AX60&gt;0,"Vencida","Pendiente"))))),"")</f>
      </c>
      <c r="AZ60" s="203">
        <f>IF($C60,IF(ISNUMBER($AV60),$AO60&amp;" · S"&amp;$AV60,"(Sin fecha)"),"")</f>
      </c>
      <c r="BA60" s="202">
        <f>IF($C60,IF(AND(ISNUMBER('Backlog General'!$M60),'Backlog General'!$M60=$AS60),"Nuevo S"&amp;'Backlog General'!$M60,""),"")</f>
      </c>
      <c r="BB60" s="202">
        <f>IF(AND($C60,$AO60="Semanal",ISNUMBER($AV60)),$AV60*100000+ROW(),"")</f>
      </c>
      <c r="BC60" s="202">
        <f>IF(AND($C60,$AO60="Quincenal",ISNUMBER($AV60)),$AV60*100000+ROW(),"")</f>
      </c>
      <c r="BD60" s="202">
        <f>IF(AND($C60,$AO60="Mensual",ISNUMBER($AV60)),$AV60*100000+ROW(),"")</f>
      </c>
      <c r="BE60" s="203">
        <f>IF($C60,IF(ISBLANK('Backlog General'!$J60),"",'Backlog General'!$J60),"")</f>
      </c>
      <c r="BF60" s="203">
        <f>IF($C60,IF($BE60="","",$BE60)&amp;IF(AND($BE60&lt;&gt;"",$AH60&lt;&gt;"")," · ","")&amp;IF($AH60="","",$AH60),"")</f>
      </c>
      <c r="BG60" s="203">
        <f>IF($C60,IF($J60="Completado","Sí","No"),"")</f>
      </c>
      <c r="BH60" s="202">
        <f>IF(AND($C60,ISNUMBER($AR60)),IF($AO60="Semanal",1,IF($AO60="Quincenal",2,3))*1000000000+$AR60*100000+ROW(),"")</f>
      </c>
    </row>
    <row r="61">
      <c r="A61" s="202">
        <f>ROW()</f>
        <v>61</v>
      </c>
      <c r="B61" s="202" t="b">
        <f>ISTEXT('Proyecto Datos (OKR´s)'!$K61)</f>
        <v>0</v>
      </c>
      <c r="C61" s="202" t="b">
        <f>AND(LEN('Proyecto Datos (OKR´s)'!$G61)&gt;0,NOT($B61),OR(ISNUMBER('Proyecto Datos (OKR´s)'!$F61),ISNUMBER('Proyecto Datos (OKR´s)'!$L61)))</f>
        <v>0</v>
      </c>
      <c r="D61" s="203">
        <f>IF($C61,IFERROR(LOOKUP(2,1/((ISTEXT('Proyecto Datos (OKR´s)'!$K$7:$K61))*(LEN('Proyecto Datos (OKR´s)'!$G$7:$G61)&gt;0)),'Proyecto Datos (OKR´s)'!$G$7:$G61),""),"")</f>
      </c>
      <c r="E61" s="202">
        <f>IF($C61,'Proyecto Datos (OKR´s)'!$E61,"")</f>
      </c>
      <c r="F61" s="203">
        <f>IF($C61,'Proyecto Datos (OKR´s)'!$G61,"")</f>
      </c>
      <c r="G61" s="203">
        <f>IF($C61,IF('Proyecto Datos (OKR´s)'!$I61="","(Sin asignar)",'Proyecto Datos (OKR´s)'!$I61),"")</f>
      </c>
      <c r="H61" s="202">
        <f>IF($C61,IF(ISNUMBER('Proyecto Datos (OKR´s)'!$F61),'Proyecto Datos (OKR´s)'!$F61,""),"")</f>
      </c>
      <c r="I61" s="202">
        <f>IF($C61,'Proyecto Datos (OKR´s)'!$J61,"")</f>
      </c>
      <c r="J61" s="203">
        <f>IF($C61,IF($I61&gt;=1,"Completado",IF(NOT(ISNUMBER($H61)),"Sin fecha",IF($H61&lt;TODAY(),"Vencido",IF(($H61-TODAY())&lt;='Entregas Próximas'!$M$3,"Próximo a vencer","En curso")))),"")</f>
      </c>
      <c r="K61" s="202">
        <f>IF(AND($C61,ISNUMBER($H61)),$H61-TODAY(),"")</f>
      </c>
      <c r="L61" s="202">
        <f>IF(AND($C61,ISNUMBER($H61)),$AD61*1000000+$H61+ROW()/100000,"")</f>
      </c>
      <c r="M61" s="202">
        <f>IF($C61,IF($AD61=9999,"(Sin sprint)",$AD61),"")</f>
      </c>
      <c r="N61" s="202">
        <f>IF($C61,IF('Proyecto Datos (OKR´s)'!$E61="",9999,'Proyecto Datos (OKR´s)'!$E61),"")</f>
      </c>
      <c r="O61" s="202">
        <f>IF($C61,"T"&amp;TEXT(ROW(),"000"),"")</f>
      </c>
      <c r="R61" s="202">
        <f>IF($C61,IF(ISNUMBER('Proyecto Datos (OKR´s)'!$L61),'Proyecto Datos (OKR´s)'!$L61,$H61),"")</f>
      </c>
      <c r="S61" s="202">
        <f>IF($C61,$R61-'Proyecto Datos (OKR´s)'!$K61+1,"")</f>
      </c>
      <c r="T61" s="202">
        <f>IF($C61,MAX(0,TODAY()-'Proyecto Datos (OKR´s)'!$K61),"")</f>
      </c>
      <c r="U61" s="202">
        <f>IF($C61,MEDIAN(0,(TODAY()-'Proyecto Datos (OKR´s)'!$K61)/MAX(1,$R61-'Proyecto Datos (OKR´s)'!$K61),1),"")</f>
      </c>
      <c r="V61" s="202">
        <f>IF($C61,$I61-$U61,"")</f>
      </c>
      <c r="W61" s="202">
        <f>IF($C61,IF(OR($J61="Completado",NOT(ISNUMBER($H61))),0,MAX(0,TODAY()-$H61)),"")</f>
      </c>
      <c r="X61" s="202">
        <f>IF($C61,IF(ISNUMBER($H61),$R61-$H61,0),"")</f>
      </c>
      <c r="Y61" s="202">
        <f>IF($C61,COUNTIFS($G$7:$G$200,$G61,$J$7:$J$200,"&lt;&gt;Completado",$J$7:$J$200,"&lt;&gt;"),"")</f>
      </c>
      <c r="Z61" s="202">
        <f>IF($C61,AND($I61=0,'Proyecto Datos (OKR´s)'!$K61&lt;=TODAY(),$J61&lt;&gt;"Completado"),"")</f>
      </c>
      <c r="AA61" s="202">
        <f>IF($C61,ROUND(100*(0.35*$AK61+0.3*$AL61+0.2*$AM61+0.15*MEDIAN(0,($Y61-4)/8,1)),0),"")</f>
      </c>
      <c r="AB61" s="203">
        <f>IF($C61,IF(OR($J61="Completado",$J61="Sin fecha"),"—",IF($AA61&gt;=70,"Crítica",IF($AA61&gt;=45,"Alta",IF($AA61&gt;=25,"Media","Baja")))),"")</f>
      </c>
      <c r="AC61" s="203">
        <f>IF($C61,IF(LEN(TRIM($AN61))=0,"—",TRIM($AN61)),"")</f>
      </c>
      <c r="AD61" s="202">
        <f>IF($C61,$AV61,"")</f>
      </c>
      <c r="AE61" s="202">
        <f>IF($C61,$AZ61,"")</f>
      </c>
      <c r="AF61" s="202" t="b">
        <f>IF($C61,$AV61&lt;&gt;$AR61,FALSE)</f>
        <v>0</v>
      </c>
      <c r="AG61" s="202">
        <f>IF($C61,IF($AV61&lt;&gt;$AR61,$AW61,""),"")</f>
      </c>
      <c r="AH61" s="203">
        <f>IF($C61,IF(ISBLANK('Backlog General'!$K61),"",'Backlog General'!$K61),"")</f>
      </c>
      <c r="AI61" s="202">
        <f>IF($C61,$AV61*100000+ROW(),"")</f>
      </c>
      <c r="AJ61" s="202">
        <f>IF(AND($C61,ISNUMBER($H61)),$AA61*1000000-MEDIAN(-9999,$K61,9999)*100+(300-ROW()),"")</f>
      </c>
      <c r="AK61" s="202">
        <f>IF($C61,IF($J61="Completado",0,IF($K61&lt;0,1,IF($K61&lt;=3,0.9,IF($K61&lt;=7,0.7,IF($K61&lt;=14,0.45,0.2))))),"")</f>
      </c>
      <c r="AL61" s="202">
        <f>IF($C61,IF($J61="Completado",0,MEDIAN(0,MAX(-$V61,$W61/30),1)),"")</f>
      </c>
      <c r="AM61" s="202">
        <f>IF($C61,IF($J61="Completado",0,IF($Z61,1,IF(AND($I61&lt;0.5,$K61&lt;=7),0.7,0.3))),"")</f>
      </c>
      <c r="AN61" s="203">
        <f>IF($C61,IF(OR($V61&lt;-0.2,$W61&gt;0),"ATRASO ","")&amp;IF($Z61,"BLOQUEO ","")&amp;IF($Y61&gt;8,"SOBRECARGA ","")&amp;IF($X61&gt;0,"DESVÍO-PLAN ",""),"")</f>
      </c>
      <c r="AO61" s="203">
        <f>IF($C61,IFERROR(VLOOKUP($D61,'Sprints'!$I$5:$J$12,2,FALSE),"Semanal"),"")</f>
      </c>
      <c r="AP61" s="202">
        <f>IF($C61,IFERROR(VLOOKUP($AO61,'Sprints'!$B$9:$C$11,2,FALSE),1),"")</f>
      </c>
      <c r="AQ61" s="202">
        <f>IF($C61,'Sprints'!$C$5,"")</f>
      </c>
      <c r="AR61" s="202">
        <f>IF(AND($C61,ISNUMBER($H61)),CEILING(MAX(1,INT(($H61-$AQ61+'Sprints'!$D$5-1)/'Sprints'!$D$5)+1)/$AP61,1),"")</f>
      </c>
      <c r="AS61" s="202">
        <f>IF($C61,CEILING(MAX(1,INT((TODAY()-$AQ61+'Sprints'!$D$5-1)/'Sprints'!$D$5)+1)/$AP61,1),"")</f>
      </c>
      <c r="AT61" s="203">
        <f>IF($C61,'Backlog General'!$G61,"")</f>
      </c>
      <c r="AU61" s="203">
        <f>IF($C61,'Backlog General'!$H61,"")</f>
      </c>
      <c r="AV61" s="202">
        <f>IF(AND($C61,ISNUMBER($AR61)),IF(OR($AT61="Completo",$AU61="Cancelado",$AU61="Baja prioridad"),$AR61,IF($AU61="Pasa al siguiente",MAX($AR61+1,$AS61),MAX($AR61,$AS61))),"")</f>
      </c>
      <c r="AW61" s="202">
        <f>IF(AND($C61,ISNUMBER($AR61)),$AQ61+$AR61*$AP61*'Sprints'!$D$5-'Sprints'!$D$5,"")</f>
      </c>
      <c r="AX61" s="202">
        <f>IF($C61,IF(OR($AT61="Completo",$AU61="Cancelado",$AU61="Baja prioridad",NOT(ISNUMBER($AW61))),0,IF(TODAY()&gt;$AW61,NETWORKDAYS($AW61,TODAY(),'Sprints'!$L$5:$L$40)-1,0)),"")</f>
      </c>
      <c r="AY61" s="203">
        <f>IF($C61,IF(NOT(ISNUMBER($AR61)),"Sin fecha",IF($AT61="Completo","Completo",IF($AU61="Cancelado","Cancelado",IF($AU61="Baja prioridad","Baja prioridad",IF($AX61&gt;0,"Vencida","Pendiente"))))),"")</f>
      </c>
      <c r="AZ61" s="203">
        <f>IF($C61,IF(ISNUMBER($AV61),$AO61&amp;" · S"&amp;$AV61,"(Sin fecha)"),"")</f>
      </c>
      <c r="BA61" s="202">
        <f>IF($C61,IF(AND(ISNUMBER('Backlog General'!$M61),'Backlog General'!$M61=$AS61),"Nuevo S"&amp;'Backlog General'!$M61,""),"")</f>
      </c>
      <c r="BB61" s="202">
        <f>IF(AND($C61,$AO61="Semanal",ISNUMBER($AV61)),$AV61*100000+ROW(),"")</f>
      </c>
      <c r="BC61" s="202">
        <f>IF(AND($C61,$AO61="Quincenal",ISNUMBER($AV61)),$AV61*100000+ROW(),"")</f>
      </c>
      <c r="BD61" s="202">
        <f>IF(AND($C61,$AO61="Mensual",ISNUMBER($AV61)),$AV61*100000+ROW(),"")</f>
      </c>
      <c r="BE61" s="203">
        <f>IF($C61,IF(ISBLANK('Backlog General'!$J61),"",'Backlog General'!$J61),"")</f>
      </c>
      <c r="BF61" s="203">
        <f>IF($C61,IF($BE61="","",$BE61)&amp;IF(AND($BE61&lt;&gt;"",$AH61&lt;&gt;"")," · ","")&amp;IF($AH61="","",$AH61),"")</f>
      </c>
      <c r="BG61" s="203">
        <f>IF($C61,IF($J61="Completado","Sí","No"),"")</f>
      </c>
      <c r="BH61" s="202">
        <f>IF(AND($C61,ISNUMBER($AR61)),IF($AO61="Semanal",1,IF($AO61="Quincenal",2,3))*1000000000+$AR61*100000+ROW(),"")</f>
      </c>
    </row>
    <row r="62">
      <c r="A62" s="202">
        <f>ROW()</f>
        <v>62</v>
      </c>
      <c r="B62" s="202" t="b">
        <f>ISTEXT('Proyecto Datos (OKR´s)'!$K62)</f>
        <v>0</v>
      </c>
      <c r="C62" s="202" t="b">
        <f>AND(LEN('Proyecto Datos (OKR´s)'!$G62)&gt;0,NOT($B62),OR(ISNUMBER('Proyecto Datos (OKR´s)'!$F62),ISNUMBER('Proyecto Datos (OKR´s)'!$L62)))</f>
        <v>0</v>
      </c>
      <c r="D62" s="203">
        <f>IF($C62,IFERROR(LOOKUP(2,1/((ISTEXT('Proyecto Datos (OKR´s)'!$K$7:$K62))*(LEN('Proyecto Datos (OKR´s)'!$G$7:$G62)&gt;0)),'Proyecto Datos (OKR´s)'!$G$7:$G62),""),"")</f>
      </c>
      <c r="E62" s="202">
        <f>IF($C62,'Proyecto Datos (OKR´s)'!$E62,"")</f>
      </c>
      <c r="F62" s="203">
        <f>IF($C62,'Proyecto Datos (OKR´s)'!$G62,"")</f>
      </c>
      <c r="G62" s="203">
        <f>IF($C62,IF('Proyecto Datos (OKR´s)'!$I62="","(Sin asignar)",'Proyecto Datos (OKR´s)'!$I62),"")</f>
      </c>
      <c r="H62" s="202">
        <f>IF($C62,IF(ISNUMBER('Proyecto Datos (OKR´s)'!$F62),'Proyecto Datos (OKR´s)'!$F62,""),"")</f>
      </c>
      <c r="I62" s="202">
        <f>IF($C62,'Proyecto Datos (OKR´s)'!$J62,"")</f>
      </c>
      <c r="J62" s="203">
        <f>IF($C62,IF($I62&gt;=1,"Completado",IF(NOT(ISNUMBER($H62)),"Sin fecha",IF($H62&lt;TODAY(),"Vencido",IF(($H62-TODAY())&lt;='Entregas Próximas'!$M$3,"Próximo a vencer","En curso")))),"")</f>
      </c>
      <c r="K62" s="202">
        <f>IF(AND($C62,ISNUMBER($H62)),$H62-TODAY(),"")</f>
      </c>
      <c r="L62" s="202">
        <f>IF(AND($C62,ISNUMBER($H62)),$AD62*1000000+$H62+ROW()/100000,"")</f>
      </c>
      <c r="M62" s="202">
        <f>IF($C62,IF($AD62=9999,"(Sin sprint)",$AD62),"")</f>
      </c>
      <c r="N62" s="202">
        <f>IF($C62,IF('Proyecto Datos (OKR´s)'!$E62="",9999,'Proyecto Datos (OKR´s)'!$E62),"")</f>
      </c>
      <c r="O62" s="202">
        <f>IF($C62,"T"&amp;TEXT(ROW(),"000"),"")</f>
      </c>
      <c r="R62" s="202">
        <f>IF($C62,IF(ISNUMBER('Proyecto Datos (OKR´s)'!$L62),'Proyecto Datos (OKR´s)'!$L62,$H62),"")</f>
      </c>
      <c r="S62" s="202">
        <f>IF($C62,$R62-'Proyecto Datos (OKR´s)'!$K62+1,"")</f>
      </c>
      <c r="T62" s="202">
        <f>IF($C62,MAX(0,TODAY()-'Proyecto Datos (OKR´s)'!$K62),"")</f>
      </c>
      <c r="U62" s="202">
        <f>IF($C62,MEDIAN(0,(TODAY()-'Proyecto Datos (OKR´s)'!$K62)/MAX(1,$R62-'Proyecto Datos (OKR´s)'!$K62),1),"")</f>
      </c>
      <c r="V62" s="202">
        <f>IF($C62,$I62-$U62,"")</f>
      </c>
      <c r="W62" s="202">
        <f>IF($C62,IF(OR($J62="Completado",NOT(ISNUMBER($H62))),0,MAX(0,TODAY()-$H62)),"")</f>
      </c>
      <c r="X62" s="202">
        <f>IF($C62,IF(ISNUMBER($H62),$R62-$H62,0),"")</f>
      </c>
      <c r="Y62" s="202">
        <f>IF($C62,COUNTIFS($G$7:$G$200,$G62,$J$7:$J$200,"&lt;&gt;Completado",$J$7:$J$200,"&lt;&gt;"),"")</f>
      </c>
      <c r="Z62" s="202">
        <f>IF($C62,AND($I62=0,'Proyecto Datos (OKR´s)'!$K62&lt;=TODAY(),$J62&lt;&gt;"Completado"),"")</f>
      </c>
      <c r="AA62" s="202">
        <f>IF($C62,ROUND(100*(0.35*$AK62+0.3*$AL62+0.2*$AM62+0.15*MEDIAN(0,($Y62-4)/8,1)),0),"")</f>
      </c>
      <c r="AB62" s="203">
        <f>IF($C62,IF(OR($J62="Completado",$J62="Sin fecha"),"—",IF($AA62&gt;=70,"Crítica",IF($AA62&gt;=45,"Alta",IF($AA62&gt;=25,"Media","Baja")))),"")</f>
      </c>
      <c r="AC62" s="203">
        <f>IF($C62,IF(LEN(TRIM($AN62))=0,"—",TRIM($AN62)),"")</f>
      </c>
      <c r="AD62" s="202">
        <f>IF($C62,$AV62,"")</f>
      </c>
      <c r="AE62" s="202">
        <f>IF($C62,$AZ62,"")</f>
      </c>
      <c r="AF62" s="202" t="b">
        <f>IF($C62,$AV62&lt;&gt;$AR62,FALSE)</f>
        <v>0</v>
      </c>
      <c r="AG62" s="202">
        <f>IF($C62,IF($AV62&lt;&gt;$AR62,$AW62,""),"")</f>
      </c>
      <c r="AH62" s="203">
        <f>IF($C62,IF(ISBLANK('Backlog General'!$K62),"",'Backlog General'!$K62),"")</f>
      </c>
      <c r="AI62" s="202">
        <f>IF($C62,$AV62*100000+ROW(),"")</f>
      </c>
      <c r="AJ62" s="202">
        <f>IF(AND($C62,ISNUMBER($H62)),$AA62*1000000-MEDIAN(-9999,$K62,9999)*100+(300-ROW()),"")</f>
      </c>
      <c r="AK62" s="202">
        <f>IF($C62,IF($J62="Completado",0,IF($K62&lt;0,1,IF($K62&lt;=3,0.9,IF($K62&lt;=7,0.7,IF($K62&lt;=14,0.45,0.2))))),"")</f>
      </c>
      <c r="AL62" s="202">
        <f>IF($C62,IF($J62="Completado",0,MEDIAN(0,MAX(-$V62,$W62/30),1)),"")</f>
      </c>
      <c r="AM62" s="202">
        <f>IF($C62,IF($J62="Completado",0,IF($Z62,1,IF(AND($I62&lt;0.5,$K62&lt;=7),0.7,0.3))),"")</f>
      </c>
      <c r="AN62" s="203">
        <f>IF($C62,IF(OR($V62&lt;-0.2,$W62&gt;0),"ATRASO ","")&amp;IF($Z62,"BLOQUEO ","")&amp;IF($Y62&gt;8,"SOBRECARGA ","")&amp;IF($X62&gt;0,"DESVÍO-PLAN ",""),"")</f>
      </c>
      <c r="AO62" s="203">
        <f>IF($C62,IFERROR(VLOOKUP($D62,'Sprints'!$I$5:$J$12,2,FALSE),"Semanal"),"")</f>
      </c>
      <c r="AP62" s="202">
        <f>IF($C62,IFERROR(VLOOKUP($AO62,'Sprints'!$B$9:$C$11,2,FALSE),1),"")</f>
      </c>
      <c r="AQ62" s="202">
        <f>IF($C62,'Sprints'!$C$5,"")</f>
      </c>
      <c r="AR62" s="202">
        <f>IF(AND($C62,ISNUMBER($H62)),CEILING(MAX(1,INT(($H62-$AQ62+'Sprints'!$D$5-1)/'Sprints'!$D$5)+1)/$AP62,1),"")</f>
      </c>
      <c r="AS62" s="202">
        <f>IF($C62,CEILING(MAX(1,INT((TODAY()-$AQ62+'Sprints'!$D$5-1)/'Sprints'!$D$5)+1)/$AP62,1),"")</f>
      </c>
      <c r="AT62" s="203">
        <f>IF($C62,'Backlog General'!$G62,"")</f>
      </c>
      <c r="AU62" s="203">
        <f>IF($C62,'Backlog General'!$H62,"")</f>
      </c>
      <c r="AV62" s="202">
        <f>IF(AND($C62,ISNUMBER($AR62)),IF(OR($AT62="Completo",$AU62="Cancelado",$AU62="Baja prioridad"),$AR62,IF($AU62="Pasa al siguiente",MAX($AR62+1,$AS62),MAX($AR62,$AS62))),"")</f>
      </c>
      <c r="AW62" s="202">
        <f>IF(AND($C62,ISNUMBER($AR62)),$AQ62+$AR62*$AP62*'Sprints'!$D$5-'Sprints'!$D$5,"")</f>
      </c>
      <c r="AX62" s="202">
        <f>IF($C62,IF(OR($AT62="Completo",$AU62="Cancelado",$AU62="Baja prioridad",NOT(ISNUMBER($AW62))),0,IF(TODAY()&gt;$AW62,NETWORKDAYS($AW62,TODAY(),'Sprints'!$L$5:$L$40)-1,0)),"")</f>
      </c>
      <c r="AY62" s="203">
        <f>IF($C62,IF(NOT(ISNUMBER($AR62)),"Sin fecha",IF($AT62="Completo","Completo",IF($AU62="Cancelado","Cancelado",IF($AU62="Baja prioridad","Baja prioridad",IF($AX62&gt;0,"Vencida","Pendiente"))))),"")</f>
      </c>
      <c r="AZ62" s="203">
        <f>IF($C62,IF(ISNUMBER($AV62),$AO62&amp;" · S"&amp;$AV62,"(Sin fecha)"),"")</f>
      </c>
      <c r="BA62" s="202">
        <f>IF($C62,IF(AND(ISNUMBER('Backlog General'!$M62),'Backlog General'!$M62=$AS62),"Nuevo S"&amp;'Backlog General'!$M62,""),"")</f>
      </c>
      <c r="BB62" s="202">
        <f>IF(AND($C62,$AO62="Semanal",ISNUMBER($AV62)),$AV62*100000+ROW(),"")</f>
      </c>
      <c r="BC62" s="202">
        <f>IF(AND($C62,$AO62="Quincenal",ISNUMBER($AV62)),$AV62*100000+ROW(),"")</f>
      </c>
      <c r="BD62" s="202">
        <f>IF(AND($C62,$AO62="Mensual",ISNUMBER($AV62)),$AV62*100000+ROW(),"")</f>
      </c>
      <c r="BE62" s="203">
        <f>IF($C62,IF(ISBLANK('Backlog General'!$J62),"",'Backlog General'!$J62),"")</f>
      </c>
      <c r="BF62" s="203">
        <f>IF($C62,IF($BE62="","",$BE62)&amp;IF(AND($BE62&lt;&gt;"",$AH62&lt;&gt;"")," · ","")&amp;IF($AH62="","",$AH62),"")</f>
      </c>
      <c r="BG62" s="203">
        <f>IF($C62,IF($J62="Completado","Sí","No"),"")</f>
      </c>
      <c r="BH62" s="202">
        <f>IF(AND($C62,ISNUMBER($AR62)),IF($AO62="Semanal",1,IF($AO62="Quincenal",2,3))*1000000000+$AR62*100000+ROW(),"")</f>
      </c>
    </row>
    <row r="63">
      <c r="A63" s="202">
        <f>ROW()</f>
        <v>63</v>
      </c>
      <c r="B63" s="202" t="b">
        <f>ISTEXT('Proyecto Datos (OKR´s)'!$K63)</f>
        <v>0</v>
      </c>
      <c r="C63" s="202" t="b">
        <f>AND(LEN('Proyecto Datos (OKR´s)'!$G63)&gt;0,NOT($B63),OR(ISNUMBER('Proyecto Datos (OKR´s)'!$F63),ISNUMBER('Proyecto Datos (OKR´s)'!$L63)))</f>
        <v>0</v>
      </c>
      <c r="D63" s="203">
        <f>IF($C63,IFERROR(LOOKUP(2,1/((ISTEXT('Proyecto Datos (OKR´s)'!$K$7:$K63))*(LEN('Proyecto Datos (OKR´s)'!$G$7:$G63)&gt;0)),'Proyecto Datos (OKR´s)'!$G$7:$G63),""),"")</f>
      </c>
      <c r="E63" s="202">
        <f>IF($C63,'Proyecto Datos (OKR´s)'!$E63,"")</f>
      </c>
      <c r="F63" s="203">
        <f>IF($C63,'Proyecto Datos (OKR´s)'!$G63,"")</f>
      </c>
      <c r="G63" s="203">
        <f>IF($C63,IF('Proyecto Datos (OKR´s)'!$I63="","(Sin asignar)",'Proyecto Datos (OKR´s)'!$I63),"")</f>
      </c>
      <c r="H63" s="202">
        <f>IF($C63,IF(ISNUMBER('Proyecto Datos (OKR´s)'!$F63),'Proyecto Datos (OKR´s)'!$F63,""),"")</f>
      </c>
      <c r="I63" s="202">
        <f>IF($C63,'Proyecto Datos (OKR´s)'!$J63,"")</f>
      </c>
      <c r="J63" s="203">
        <f>IF($C63,IF($I63&gt;=1,"Completado",IF(NOT(ISNUMBER($H63)),"Sin fecha",IF($H63&lt;TODAY(),"Vencido",IF(($H63-TODAY())&lt;='Entregas Próximas'!$M$3,"Próximo a vencer","En curso")))),"")</f>
      </c>
      <c r="K63" s="202">
        <f>IF(AND($C63,ISNUMBER($H63)),$H63-TODAY(),"")</f>
      </c>
      <c r="L63" s="202">
        <f>IF(AND($C63,ISNUMBER($H63)),$AD63*1000000+$H63+ROW()/100000,"")</f>
      </c>
      <c r="M63" s="202">
        <f>IF($C63,IF($AD63=9999,"(Sin sprint)",$AD63),"")</f>
      </c>
      <c r="N63" s="202">
        <f>IF($C63,IF('Proyecto Datos (OKR´s)'!$E63="",9999,'Proyecto Datos (OKR´s)'!$E63),"")</f>
      </c>
      <c r="O63" s="202">
        <f>IF($C63,"T"&amp;TEXT(ROW(),"000"),"")</f>
      </c>
      <c r="R63" s="202">
        <f>IF($C63,IF(ISNUMBER('Proyecto Datos (OKR´s)'!$L63),'Proyecto Datos (OKR´s)'!$L63,$H63),"")</f>
      </c>
      <c r="S63" s="202">
        <f>IF($C63,$R63-'Proyecto Datos (OKR´s)'!$K63+1,"")</f>
      </c>
      <c r="T63" s="202">
        <f>IF($C63,MAX(0,TODAY()-'Proyecto Datos (OKR´s)'!$K63),"")</f>
      </c>
      <c r="U63" s="202">
        <f>IF($C63,MEDIAN(0,(TODAY()-'Proyecto Datos (OKR´s)'!$K63)/MAX(1,$R63-'Proyecto Datos (OKR´s)'!$K63),1),"")</f>
      </c>
      <c r="V63" s="202">
        <f>IF($C63,$I63-$U63,"")</f>
      </c>
      <c r="W63" s="202">
        <f>IF($C63,IF(OR($J63="Completado",NOT(ISNUMBER($H63))),0,MAX(0,TODAY()-$H63)),"")</f>
      </c>
      <c r="X63" s="202">
        <f>IF($C63,IF(ISNUMBER($H63),$R63-$H63,0),"")</f>
      </c>
      <c r="Y63" s="202">
        <f>IF($C63,COUNTIFS($G$7:$G$200,$G63,$J$7:$J$200,"&lt;&gt;Completado",$J$7:$J$200,"&lt;&gt;"),"")</f>
      </c>
      <c r="Z63" s="202">
        <f>IF($C63,AND($I63=0,'Proyecto Datos (OKR´s)'!$K63&lt;=TODAY(),$J63&lt;&gt;"Completado"),"")</f>
      </c>
      <c r="AA63" s="202">
        <f>IF($C63,ROUND(100*(0.35*$AK63+0.3*$AL63+0.2*$AM63+0.15*MEDIAN(0,($Y63-4)/8,1)),0),"")</f>
      </c>
      <c r="AB63" s="203">
        <f>IF($C63,IF(OR($J63="Completado",$J63="Sin fecha"),"—",IF($AA63&gt;=70,"Crítica",IF($AA63&gt;=45,"Alta",IF($AA63&gt;=25,"Media","Baja")))),"")</f>
      </c>
      <c r="AC63" s="203">
        <f>IF($C63,IF(LEN(TRIM($AN63))=0,"—",TRIM($AN63)),"")</f>
      </c>
      <c r="AD63" s="202">
        <f>IF($C63,$AV63,"")</f>
      </c>
      <c r="AE63" s="202">
        <f>IF($C63,$AZ63,"")</f>
      </c>
      <c r="AF63" s="202" t="b">
        <f>IF($C63,$AV63&lt;&gt;$AR63,FALSE)</f>
        <v>0</v>
      </c>
      <c r="AG63" s="202">
        <f>IF($C63,IF($AV63&lt;&gt;$AR63,$AW63,""),"")</f>
      </c>
      <c r="AH63" s="203">
        <f>IF($C63,IF(ISBLANK('Backlog General'!$K63),"",'Backlog General'!$K63),"")</f>
      </c>
      <c r="AI63" s="202">
        <f>IF($C63,$AV63*100000+ROW(),"")</f>
      </c>
      <c r="AJ63" s="202">
        <f>IF(AND($C63,ISNUMBER($H63)),$AA63*1000000-MEDIAN(-9999,$K63,9999)*100+(300-ROW()),"")</f>
      </c>
      <c r="AK63" s="202">
        <f>IF($C63,IF($J63="Completado",0,IF($K63&lt;0,1,IF($K63&lt;=3,0.9,IF($K63&lt;=7,0.7,IF($K63&lt;=14,0.45,0.2))))),"")</f>
      </c>
      <c r="AL63" s="202">
        <f>IF($C63,IF($J63="Completado",0,MEDIAN(0,MAX(-$V63,$W63/30),1)),"")</f>
      </c>
      <c r="AM63" s="202">
        <f>IF($C63,IF($J63="Completado",0,IF($Z63,1,IF(AND($I63&lt;0.5,$K63&lt;=7),0.7,0.3))),"")</f>
      </c>
      <c r="AN63" s="203">
        <f>IF($C63,IF(OR($V63&lt;-0.2,$W63&gt;0),"ATRASO ","")&amp;IF($Z63,"BLOQUEO ","")&amp;IF($Y63&gt;8,"SOBRECARGA ","")&amp;IF($X63&gt;0,"DESVÍO-PLAN ",""),"")</f>
      </c>
      <c r="AO63" s="203">
        <f>IF($C63,IFERROR(VLOOKUP($D63,'Sprints'!$I$5:$J$12,2,FALSE),"Semanal"),"")</f>
      </c>
      <c r="AP63" s="202">
        <f>IF($C63,IFERROR(VLOOKUP($AO63,'Sprints'!$B$9:$C$11,2,FALSE),1),"")</f>
      </c>
      <c r="AQ63" s="202">
        <f>IF($C63,'Sprints'!$C$5,"")</f>
      </c>
      <c r="AR63" s="202">
        <f>IF(AND($C63,ISNUMBER($H63)),CEILING(MAX(1,INT(($H63-$AQ63+'Sprints'!$D$5-1)/'Sprints'!$D$5)+1)/$AP63,1),"")</f>
      </c>
      <c r="AS63" s="202">
        <f>IF($C63,CEILING(MAX(1,INT((TODAY()-$AQ63+'Sprints'!$D$5-1)/'Sprints'!$D$5)+1)/$AP63,1),"")</f>
      </c>
      <c r="AT63" s="203">
        <f>IF($C63,'Backlog General'!$G63,"")</f>
      </c>
      <c r="AU63" s="203">
        <f>IF($C63,'Backlog General'!$H63,"")</f>
      </c>
      <c r="AV63" s="202">
        <f>IF(AND($C63,ISNUMBER($AR63)),IF(OR($AT63="Completo",$AU63="Cancelado",$AU63="Baja prioridad"),$AR63,IF($AU63="Pasa al siguiente",MAX($AR63+1,$AS63),MAX($AR63,$AS63))),"")</f>
      </c>
      <c r="AW63" s="202">
        <f>IF(AND($C63,ISNUMBER($AR63)),$AQ63+$AR63*$AP63*'Sprints'!$D$5-'Sprints'!$D$5,"")</f>
      </c>
      <c r="AX63" s="202">
        <f>IF($C63,IF(OR($AT63="Completo",$AU63="Cancelado",$AU63="Baja prioridad",NOT(ISNUMBER($AW63))),0,IF(TODAY()&gt;$AW63,NETWORKDAYS($AW63,TODAY(),'Sprints'!$L$5:$L$40)-1,0)),"")</f>
      </c>
      <c r="AY63" s="203">
        <f>IF($C63,IF(NOT(ISNUMBER($AR63)),"Sin fecha",IF($AT63="Completo","Completo",IF($AU63="Cancelado","Cancelado",IF($AU63="Baja prioridad","Baja prioridad",IF($AX63&gt;0,"Vencida","Pendiente"))))),"")</f>
      </c>
      <c r="AZ63" s="203">
        <f>IF($C63,IF(ISNUMBER($AV63),$AO63&amp;" · S"&amp;$AV63,"(Sin fecha)"),"")</f>
      </c>
      <c r="BA63" s="202">
        <f>IF($C63,IF(AND(ISNUMBER('Backlog General'!$M63),'Backlog General'!$M63=$AS63),"Nuevo S"&amp;'Backlog General'!$M63,""),"")</f>
      </c>
      <c r="BB63" s="202">
        <f>IF(AND($C63,$AO63="Semanal",ISNUMBER($AV63)),$AV63*100000+ROW(),"")</f>
      </c>
      <c r="BC63" s="202">
        <f>IF(AND($C63,$AO63="Quincenal",ISNUMBER($AV63)),$AV63*100000+ROW(),"")</f>
      </c>
      <c r="BD63" s="202">
        <f>IF(AND($C63,$AO63="Mensual",ISNUMBER($AV63)),$AV63*100000+ROW(),"")</f>
      </c>
      <c r="BE63" s="203">
        <f>IF($C63,IF(ISBLANK('Backlog General'!$J63),"",'Backlog General'!$J63),"")</f>
      </c>
      <c r="BF63" s="203">
        <f>IF($C63,IF($BE63="","",$BE63)&amp;IF(AND($BE63&lt;&gt;"",$AH63&lt;&gt;"")," · ","")&amp;IF($AH63="","",$AH63),"")</f>
      </c>
      <c r="BG63" s="203">
        <f>IF($C63,IF($J63="Completado","Sí","No"),"")</f>
      </c>
      <c r="BH63" s="202">
        <f>IF(AND($C63,ISNUMBER($AR63)),IF($AO63="Semanal",1,IF($AO63="Quincenal",2,3))*1000000000+$AR63*100000+ROW(),"")</f>
      </c>
    </row>
    <row r="64">
      <c r="A64" s="202">
        <f>ROW()</f>
        <v>64</v>
      </c>
      <c r="B64" s="202" t="b">
        <f>ISTEXT('Proyecto Datos (OKR´s)'!$K64)</f>
        <v>0</v>
      </c>
      <c r="C64" s="202" t="b">
        <f>AND(LEN('Proyecto Datos (OKR´s)'!$G64)&gt;0,NOT($B64),OR(ISNUMBER('Proyecto Datos (OKR´s)'!$F64),ISNUMBER('Proyecto Datos (OKR´s)'!$L64)))</f>
        <v>0</v>
      </c>
      <c r="D64" s="203">
        <f>IF($C64,IFERROR(LOOKUP(2,1/((ISTEXT('Proyecto Datos (OKR´s)'!$K$7:$K64))*(LEN('Proyecto Datos (OKR´s)'!$G$7:$G64)&gt;0)),'Proyecto Datos (OKR´s)'!$G$7:$G64),""),"")</f>
      </c>
      <c r="E64" s="202">
        <f>IF($C64,'Proyecto Datos (OKR´s)'!$E64,"")</f>
      </c>
      <c r="F64" s="203">
        <f>IF($C64,'Proyecto Datos (OKR´s)'!$G64,"")</f>
      </c>
      <c r="G64" s="203">
        <f>IF($C64,IF('Proyecto Datos (OKR´s)'!$I64="","(Sin asignar)",'Proyecto Datos (OKR´s)'!$I64),"")</f>
      </c>
      <c r="H64" s="202">
        <f>IF($C64,IF(ISNUMBER('Proyecto Datos (OKR´s)'!$F64),'Proyecto Datos (OKR´s)'!$F64,""),"")</f>
      </c>
      <c r="I64" s="202">
        <f>IF($C64,'Proyecto Datos (OKR´s)'!$J64,"")</f>
      </c>
      <c r="J64" s="203">
        <f>IF($C64,IF($I64&gt;=1,"Completado",IF(NOT(ISNUMBER($H64)),"Sin fecha",IF($H64&lt;TODAY(),"Vencido",IF(($H64-TODAY())&lt;='Entregas Próximas'!$M$3,"Próximo a vencer","En curso")))),"")</f>
      </c>
      <c r="K64" s="202">
        <f>IF(AND($C64,ISNUMBER($H64)),$H64-TODAY(),"")</f>
      </c>
      <c r="L64" s="202">
        <f>IF(AND($C64,ISNUMBER($H64)),$AD64*1000000+$H64+ROW()/100000,"")</f>
      </c>
      <c r="M64" s="202">
        <f>IF($C64,IF($AD64=9999,"(Sin sprint)",$AD64),"")</f>
      </c>
      <c r="N64" s="202">
        <f>IF($C64,IF('Proyecto Datos (OKR´s)'!$E64="",9999,'Proyecto Datos (OKR´s)'!$E64),"")</f>
      </c>
      <c r="O64" s="202">
        <f>IF($C64,"T"&amp;TEXT(ROW(),"000"),"")</f>
      </c>
      <c r="R64" s="202">
        <f>IF($C64,IF(ISNUMBER('Proyecto Datos (OKR´s)'!$L64),'Proyecto Datos (OKR´s)'!$L64,$H64),"")</f>
      </c>
      <c r="S64" s="202">
        <f>IF($C64,$R64-'Proyecto Datos (OKR´s)'!$K64+1,"")</f>
      </c>
      <c r="T64" s="202">
        <f>IF($C64,MAX(0,TODAY()-'Proyecto Datos (OKR´s)'!$K64),"")</f>
      </c>
      <c r="U64" s="202">
        <f>IF($C64,MEDIAN(0,(TODAY()-'Proyecto Datos (OKR´s)'!$K64)/MAX(1,$R64-'Proyecto Datos (OKR´s)'!$K64),1),"")</f>
      </c>
      <c r="V64" s="202">
        <f>IF($C64,$I64-$U64,"")</f>
      </c>
      <c r="W64" s="202">
        <f>IF($C64,IF(OR($J64="Completado",NOT(ISNUMBER($H64))),0,MAX(0,TODAY()-$H64)),"")</f>
      </c>
      <c r="X64" s="202">
        <f>IF($C64,IF(ISNUMBER($H64),$R64-$H64,0),"")</f>
      </c>
      <c r="Y64" s="202">
        <f>IF($C64,COUNTIFS($G$7:$G$200,$G64,$J$7:$J$200,"&lt;&gt;Completado",$J$7:$J$200,"&lt;&gt;"),"")</f>
      </c>
      <c r="Z64" s="202">
        <f>IF($C64,AND($I64=0,'Proyecto Datos (OKR´s)'!$K64&lt;=TODAY(),$J64&lt;&gt;"Completado"),"")</f>
      </c>
      <c r="AA64" s="202">
        <f>IF($C64,ROUND(100*(0.35*$AK64+0.3*$AL64+0.2*$AM64+0.15*MEDIAN(0,($Y64-4)/8,1)),0),"")</f>
      </c>
      <c r="AB64" s="203">
        <f>IF($C64,IF(OR($J64="Completado",$J64="Sin fecha"),"—",IF($AA64&gt;=70,"Crítica",IF($AA64&gt;=45,"Alta",IF($AA64&gt;=25,"Media","Baja")))),"")</f>
      </c>
      <c r="AC64" s="203">
        <f>IF($C64,IF(LEN(TRIM($AN64))=0,"—",TRIM($AN64)),"")</f>
      </c>
      <c r="AD64" s="202">
        <f>IF($C64,$AV64,"")</f>
      </c>
      <c r="AE64" s="202">
        <f>IF($C64,$AZ64,"")</f>
      </c>
      <c r="AF64" s="202" t="b">
        <f>IF($C64,$AV64&lt;&gt;$AR64,FALSE)</f>
        <v>0</v>
      </c>
      <c r="AG64" s="202">
        <f>IF($C64,IF($AV64&lt;&gt;$AR64,$AW64,""),"")</f>
      </c>
      <c r="AH64" s="203">
        <f>IF($C64,IF(ISBLANK('Backlog General'!$K64),"",'Backlog General'!$K64),"")</f>
      </c>
      <c r="AI64" s="202">
        <f>IF($C64,$AV64*100000+ROW(),"")</f>
      </c>
      <c r="AJ64" s="202">
        <f>IF(AND($C64,ISNUMBER($H64)),$AA64*1000000-MEDIAN(-9999,$K64,9999)*100+(300-ROW()),"")</f>
      </c>
      <c r="AK64" s="202">
        <f>IF($C64,IF($J64="Completado",0,IF($K64&lt;0,1,IF($K64&lt;=3,0.9,IF($K64&lt;=7,0.7,IF($K64&lt;=14,0.45,0.2))))),"")</f>
      </c>
      <c r="AL64" s="202">
        <f>IF($C64,IF($J64="Completado",0,MEDIAN(0,MAX(-$V64,$W64/30),1)),"")</f>
      </c>
      <c r="AM64" s="202">
        <f>IF($C64,IF($J64="Completado",0,IF($Z64,1,IF(AND($I64&lt;0.5,$K64&lt;=7),0.7,0.3))),"")</f>
      </c>
      <c r="AN64" s="203">
        <f>IF($C64,IF(OR($V64&lt;-0.2,$W64&gt;0),"ATRASO ","")&amp;IF($Z64,"BLOQUEO ","")&amp;IF($Y64&gt;8,"SOBRECARGA ","")&amp;IF($X64&gt;0,"DESVÍO-PLAN ",""),"")</f>
      </c>
      <c r="AO64" s="203">
        <f>IF($C64,IFERROR(VLOOKUP($D64,'Sprints'!$I$5:$J$12,2,FALSE),"Semanal"),"")</f>
      </c>
      <c r="AP64" s="202">
        <f>IF($C64,IFERROR(VLOOKUP($AO64,'Sprints'!$B$9:$C$11,2,FALSE),1),"")</f>
      </c>
      <c r="AQ64" s="202">
        <f>IF($C64,'Sprints'!$C$5,"")</f>
      </c>
      <c r="AR64" s="202">
        <f>IF(AND($C64,ISNUMBER($H64)),CEILING(MAX(1,INT(($H64-$AQ64+'Sprints'!$D$5-1)/'Sprints'!$D$5)+1)/$AP64,1),"")</f>
      </c>
      <c r="AS64" s="202">
        <f>IF($C64,CEILING(MAX(1,INT((TODAY()-$AQ64+'Sprints'!$D$5-1)/'Sprints'!$D$5)+1)/$AP64,1),"")</f>
      </c>
      <c r="AT64" s="203">
        <f>IF($C64,'Backlog General'!$G64,"")</f>
      </c>
      <c r="AU64" s="203">
        <f>IF($C64,'Backlog General'!$H64,"")</f>
      </c>
      <c r="AV64" s="202">
        <f>IF(AND($C64,ISNUMBER($AR64)),IF(OR($AT64="Completo",$AU64="Cancelado",$AU64="Baja prioridad"),$AR64,IF($AU64="Pasa al siguiente",MAX($AR64+1,$AS64),MAX($AR64,$AS64))),"")</f>
      </c>
      <c r="AW64" s="202">
        <f>IF(AND($C64,ISNUMBER($AR64)),$AQ64+$AR64*$AP64*'Sprints'!$D$5-'Sprints'!$D$5,"")</f>
      </c>
      <c r="AX64" s="202">
        <f>IF($C64,IF(OR($AT64="Completo",$AU64="Cancelado",$AU64="Baja prioridad",NOT(ISNUMBER($AW64))),0,IF(TODAY()&gt;$AW64,NETWORKDAYS($AW64,TODAY(),'Sprints'!$L$5:$L$40)-1,0)),"")</f>
      </c>
      <c r="AY64" s="203">
        <f>IF($C64,IF(NOT(ISNUMBER($AR64)),"Sin fecha",IF($AT64="Completo","Completo",IF($AU64="Cancelado","Cancelado",IF($AU64="Baja prioridad","Baja prioridad",IF($AX64&gt;0,"Vencida","Pendiente"))))),"")</f>
      </c>
      <c r="AZ64" s="203">
        <f>IF($C64,IF(ISNUMBER($AV64),$AO64&amp;" · S"&amp;$AV64,"(Sin fecha)"),"")</f>
      </c>
      <c r="BA64" s="202">
        <f>IF($C64,IF(AND(ISNUMBER('Backlog General'!$M64),'Backlog General'!$M64=$AS64),"Nuevo S"&amp;'Backlog General'!$M64,""),"")</f>
      </c>
      <c r="BB64" s="202">
        <f>IF(AND($C64,$AO64="Semanal",ISNUMBER($AV64)),$AV64*100000+ROW(),"")</f>
      </c>
      <c r="BC64" s="202">
        <f>IF(AND($C64,$AO64="Quincenal",ISNUMBER($AV64)),$AV64*100000+ROW(),"")</f>
      </c>
      <c r="BD64" s="202">
        <f>IF(AND($C64,$AO64="Mensual",ISNUMBER($AV64)),$AV64*100000+ROW(),"")</f>
      </c>
      <c r="BE64" s="203">
        <f>IF($C64,IF(ISBLANK('Backlog General'!$J64),"",'Backlog General'!$J64),"")</f>
      </c>
      <c r="BF64" s="203">
        <f>IF($C64,IF($BE64="","",$BE64)&amp;IF(AND($BE64&lt;&gt;"",$AH64&lt;&gt;"")," · ","")&amp;IF($AH64="","",$AH64),"")</f>
      </c>
      <c r="BG64" s="203">
        <f>IF($C64,IF($J64="Completado","Sí","No"),"")</f>
      </c>
      <c r="BH64" s="202">
        <f>IF(AND($C64,ISNUMBER($AR64)),IF($AO64="Semanal",1,IF($AO64="Quincenal",2,3))*1000000000+$AR64*100000+ROW(),"")</f>
      </c>
    </row>
    <row r="65">
      <c r="A65" s="202">
        <f>ROW()</f>
        <v>65</v>
      </c>
      <c r="B65" s="202" t="b">
        <f>ISTEXT('Proyecto Datos (OKR´s)'!$K65)</f>
        <v>0</v>
      </c>
      <c r="C65" s="202" t="b">
        <f>AND(LEN('Proyecto Datos (OKR´s)'!$G65)&gt;0,NOT($B65),OR(ISNUMBER('Proyecto Datos (OKR´s)'!$F65),ISNUMBER('Proyecto Datos (OKR´s)'!$L65)))</f>
        <v>0</v>
      </c>
      <c r="D65" s="203">
        <f>IF($C65,IFERROR(LOOKUP(2,1/((ISTEXT('Proyecto Datos (OKR´s)'!$K$7:$K65))*(LEN('Proyecto Datos (OKR´s)'!$G$7:$G65)&gt;0)),'Proyecto Datos (OKR´s)'!$G$7:$G65),""),"")</f>
      </c>
      <c r="E65" s="202">
        <f>IF($C65,'Proyecto Datos (OKR´s)'!$E65,"")</f>
      </c>
      <c r="F65" s="203">
        <f>IF($C65,'Proyecto Datos (OKR´s)'!$G65,"")</f>
      </c>
      <c r="G65" s="203">
        <f>IF($C65,IF('Proyecto Datos (OKR´s)'!$I65="","(Sin asignar)",'Proyecto Datos (OKR´s)'!$I65),"")</f>
      </c>
      <c r="H65" s="202">
        <f>IF($C65,IF(ISNUMBER('Proyecto Datos (OKR´s)'!$F65),'Proyecto Datos (OKR´s)'!$F65,""),"")</f>
      </c>
      <c r="I65" s="202">
        <f>IF($C65,'Proyecto Datos (OKR´s)'!$J65,"")</f>
      </c>
      <c r="J65" s="203">
        <f>IF($C65,IF($I65&gt;=1,"Completado",IF(NOT(ISNUMBER($H65)),"Sin fecha",IF($H65&lt;TODAY(),"Vencido",IF(($H65-TODAY())&lt;='Entregas Próximas'!$M$3,"Próximo a vencer","En curso")))),"")</f>
      </c>
      <c r="K65" s="202">
        <f>IF(AND($C65,ISNUMBER($H65)),$H65-TODAY(),"")</f>
      </c>
      <c r="L65" s="202">
        <f>IF(AND($C65,ISNUMBER($H65)),$AD65*1000000+$H65+ROW()/100000,"")</f>
      </c>
      <c r="M65" s="202">
        <f>IF($C65,IF($AD65=9999,"(Sin sprint)",$AD65),"")</f>
      </c>
      <c r="N65" s="202">
        <f>IF($C65,IF('Proyecto Datos (OKR´s)'!$E65="",9999,'Proyecto Datos (OKR´s)'!$E65),"")</f>
      </c>
      <c r="O65" s="202">
        <f>IF($C65,"T"&amp;TEXT(ROW(),"000"),"")</f>
      </c>
      <c r="R65" s="202">
        <f>IF($C65,IF(ISNUMBER('Proyecto Datos (OKR´s)'!$L65),'Proyecto Datos (OKR´s)'!$L65,$H65),"")</f>
      </c>
      <c r="S65" s="202">
        <f>IF($C65,$R65-'Proyecto Datos (OKR´s)'!$K65+1,"")</f>
      </c>
      <c r="T65" s="202">
        <f>IF($C65,MAX(0,TODAY()-'Proyecto Datos (OKR´s)'!$K65),"")</f>
      </c>
      <c r="U65" s="202">
        <f>IF($C65,MEDIAN(0,(TODAY()-'Proyecto Datos (OKR´s)'!$K65)/MAX(1,$R65-'Proyecto Datos (OKR´s)'!$K65),1),"")</f>
      </c>
      <c r="V65" s="202">
        <f>IF($C65,$I65-$U65,"")</f>
      </c>
      <c r="W65" s="202">
        <f>IF($C65,IF(OR($J65="Completado",NOT(ISNUMBER($H65))),0,MAX(0,TODAY()-$H65)),"")</f>
      </c>
      <c r="X65" s="202">
        <f>IF($C65,IF(ISNUMBER($H65),$R65-$H65,0),"")</f>
      </c>
      <c r="Y65" s="202">
        <f>IF($C65,COUNTIFS($G$7:$G$200,$G65,$J$7:$J$200,"&lt;&gt;Completado",$J$7:$J$200,"&lt;&gt;"),"")</f>
      </c>
      <c r="Z65" s="202">
        <f>IF($C65,AND($I65=0,'Proyecto Datos (OKR´s)'!$K65&lt;=TODAY(),$J65&lt;&gt;"Completado"),"")</f>
      </c>
      <c r="AA65" s="202">
        <f>IF($C65,ROUND(100*(0.35*$AK65+0.3*$AL65+0.2*$AM65+0.15*MEDIAN(0,($Y65-4)/8,1)),0),"")</f>
      </c>
      <c r="AB65" s="203">
        <f>IF($C65,IF(OR($J65="Completado",$J65="Sin fecha"),"—",IF($AA65&gt;=70,"Crítica",IF($AA65&gt;=45,"Alta",IF($AA65&gt;=25,"Media","Baja")))),"")</f>
      </c>
      <c r="AC65" s="203">
        <f>IF($C65,IF(LEN(TRIM($AN65))=0,"—",TRIM($AN65)),"")</f>
      </c>
      <c r="AD65" s="202">
        <f>IF($C65,$AV65,"")</f>
      </c>
      <c r="AE65" s="202">
        <f>IF($C65,$AZ65,"")</f>
      </c>
      <c r="AF65" s="202" t="b">
        <f>IF($C65,$AV65&lt;&gt;$AR65,FALSE)</f>
        <v>0</v>
      </c>
      <c r="AG65" s="202">
        <f>IF($C65,IF($AV65&lt;&gt;$AR65,$AW65,""),"")</f>
      </c>
      <c r="AH65" s="203">
        <f>IF($C65,IF(ISBLANK('Backlog General'!$K65),"",'Backlog General'!$K65),"")</f>
      </c>
      <c r="AI65" s="202">
        <f>IF($C65,$AV65*100000+ROW(),"")</f>
      </c>
      <c r="AJ65" s="202">
        <f>IF(AND($C65,ISNUMBER($H65)),$AA65*1000000-MEDIAN(-9999,$K65,9999)*100+(300-ROW()),"")</f>
      </c>
      <c r="AK65" s="202">
        <f>IF($C65,IF($J65="Completado",0,IF($K65&lt;0,1,IF($K65&lt;=3,0.9,IF($K65&lt;=7,0.7,IF($K65&lt;=14,0.45,0.2))))),"")</f>
      </c>
      <c r="AL65" s="202">
        <f>IF($C65,IF($J65="Completado",0,MEDIAN(0,MAX(-$V65,$W65/30),1)),"")</f>
      </c>
      <c r="AM65" s="202">
        <f>IF($C65,IF($J65="Completado",0,IF($Z65,1,IF(AND($I65&lt;0.5,$K65&lt;=7),0.7,0.3))),"")</f>
      </c>
      <c r="AN65" s="203">
        <f>IF($C65,IF(OR($V65&lt;-0.2,$W65&gt;0),"ATRASO ","")&amp;IF($Z65,"BLOQUEO ","")&amp;IF($Y65&gt;8,"SOBRECARGA ","")&amp;IF($X65&gt;0,"DESVÍO-PLAN ",""),"")</f>
      </c>
      <c r="AO65" s="203">
        <f>IF($C65,IFERROR(VLOOKUP($D65,'Sprints'!$I$5:$J$12,2,FALSE),"Semanal"),"")</f>
      </c>
      <c r="AP65" s="202">
        <f>IF($C65,IFERROR(VLOOKUP($AO65,'Sprints'!$B$9:$C$11,2,FALSE),1),"")</f>
      </c>
      <c r="AQ65" s="202">
        <f>IF($C65,'Sprints'!$C$5,"")</f>
      </c>
      <c r="AR65" s="202">
        <f>IF(AND($C65,ISNUMBER($H65)),CEILING(MAX(1,INT(($H65-$AQ65+'Sprints'!$D$5-1)/'Sprints'!$D$5)+1)/$AP65,1),"")</f>
      </c>
      <c r="AS65" s="202">
        <f>IF($C65,CEILING(MAX(1,INT((TODAY()-$AQ65+'Sprints'!$D$5-1)/'Sprints'!$D$5)+1)/$AP65,1),"")</f>
      </c>
      <c r="AT65" s="203">
        <f>IF($C65,'Backlog General'!$G65,"")</f>
      </c>
      <c r="AU65" s="203">
        <f>IF($C65,'Backlog General'!$H65,"")</f>
      </c>
      <c r="AV65" s="202">
        <f>IF(AND($C65,ISNUMBER($AR65)),IF(OR($AT65="Completo",$AU65="Cancelado",$AU65="Baja prioridad"),$AR65,IF($AU65="Pasa al siguiente",MAX($AR65+1,$AS65),MAX($AR65,$AS65))),"")</f>
      </c>
      <c r="AW65" s="202">
        <f>IF(AND($C65,ISNUMBER($AR65)),$AQ65+$AR65*$AP65*'Sprints'!$D$5-'Sprints'!$D$5,"")</f>
      </c>
      <c r="AX65" s="202">
        <f>IF($C65,IF(OR($AT65="Completo",$AU65="Cancelado",$AU65="Baja prioridad",NOT(ISNUMBER($AW65))),0,IF(TODAY()&gt;$AW65,NETWORKDAYS($AW65,TODAY(),'Sprints'!$L$5:$L$40)-1,0)),"")</f>
      </c>
      <c r="AY65" s="203">
        <f>IF($C65,IF(NOT(ISNUMBER($AR65)),"Sin fecha",IF($AT65="Completo","Completo",IF($AU65="Cancelado","Cancelado",IF($AU65="Baja prioridad","Baja prioridad",IF($AX65&gt;0,"Vencida","Pendiente"))))),"")</f>
      </c>
      <c r="AZ65" s="203">
        <f>IF($C65,IF(ISNUMBER($AV65),$AO65&amp;" · S"&amp;$AV65,"(Sin fecha)"),"")</f>
      </c>
      <c r="BA65" s="202">
        <f>IF($C65,IF(AND(ISNUMBER('Backlog General'!$M65),'Backlog General'!$M65=$AS65),"Nuevo S"&amp;'Backlog General'!$M65,""),"")</f>
      </c>
      <c r="BB65" s="202">
        <f>IF(AND($C65,$AO65="Semanal",ISNUMBER($AV65)),$AV65*100000+ROW(),"")</f>
      </c>
      <c r="BC65" s="202">
        <f>IF(AND($C65,$AO65="Quincenal",ISNUMBER($AV65)),$AV65*100000+ROW(),"")</f>
      </c>
      <c r="BD65" s="202">
        <f>IF(AND($C65,$AO65="Mensual",ISNUMBER($AV65)),$AV65*100000+ROW(),"")</f>
      </c>
      <c r="BE65" s="203">
        <f>IF($C65,IF(ISBLANK('Backlog General'!$J65),"",'Backlog General'!$J65),"")</f>
      </c>
      <c r="BF65" s="203">
        <f>IF($C65,IF($BE65="","",$BE65)&amp;IF(AND($BE65&lt;&gt;"",$AH65&lt;&gt;"")," · ","")&amp;IF($AH65="","",$AH65),"")</f>
      </c>
      <c r="BG65" s="203">
        <f>IF($C65,IF($J65="Completado","Sí","No"),"")</f>
      </c>
      <c r="BH65" s="202">
        <f>IF(AND($C65,ISNUMBER($AR65)),IF($AO65="Semanal",1,IF($AO65="Quincenal",2,3))*1000000000+$AR65*100000+ROW(),"")</f>
      </c>
    </row>
    <row r="66">
      <c r="A66" s="202">
        <f>ROW()</f>
        <v>66</v>
      </c>
      <c r="B66" s="202" t="b">
        <f>ISTEXT('Proyecto Datos (OKR´s)'!$K66)</f>
        <v>0</v>
      </c>
      <c r="C66" s="202" t="b">
        <f>AND(LEN('Proyecto Datos (OKR´s)'!$G66)&gt;0,NOT($B66),OR(ISNUMBER('Proyecto Datos (OKR´s)'!$F66),ISNUMBER('Proyecto Datos (OKR´s)'!$L66)))</f>
        <v>0</v>
      </c>
      <c r="D66" s="203">
        <f>IF($C66,IFERROR(LOOKUP(2,1/((ISTEXT('Proyecto Datos (OKR´s)'!$K$7:$K66))*(LEN('Proyecto Datos (OKR´s)'!$G$7:$G66)&gt;0)),'Proyecto Datos (OKR´s)'!$G$7:$G66),""),"")</f>
      </c>
      <c r="E66" s="202">
        <f>IF($C66,'Proyecto Datos (OKR´s)'!$E66,"")</f>
      </c>
      <c r="F66" s="203">
        <f>IF($C66,'Proyecto Datos (OKR´s)'!$G66,"")</f>
      </c>
      <c r="G66" s="203">
        <f>IF($C66,IF('Proyecto Datos (OKR´s)'!$I66="","(Sin asignar)",'Proyecto Datos (OKR´s)'!$I66),"")</f>
      </c>
      <c r="H66" s="202">
        <f>IF($C66,IF(ISNUMBER('Proyecto Datos (OKR´s)'!$F66),'Proyecto Datos (OKR´s)'!$F66,""),"")</f>
      </c>
      <c r="I66" s="202">
        <f>IF($C66,'Proyecto Datos (OKR´s)'!$J66,"")</f>
      </c>
      <c r="J66" s="203">
        <f>IF($C66,IF($I66&gt;=1,"Completado",IF(NOT(ISNUMBER($H66)),"Sin fecha",IF($H66&lt;TODAY(),"Vencido",IF(($H66-TODAY())&lt;='Entregas Próximas'!$M$3,"Próximo a vencer","En curso")))),"")</f>
      </c>
      <c r="K66" s="202">
        <f>IF(AND($C66,ISNUMBER($H66)),$H66-TODAY(),"")</f>
      </c>
      <c r="L66" s="202">
        <f>IF(AND($C66,ISNUMBER($H66)),$AD66*1000000+$H66+ROW()/100000,"")</f>
      </c>
      <c r="M66" s="202">
        <f>IF($C66,IF($AD66=9999,"(Sin sprint)",$AD66),"")</f>
      </c>
      <c r="N66" s="202">
        <f>IF($C66,IF('Proyecto Datos (OKR´s)'!$E66="",9999,'Proyecto Datos (OKR´s)'!$E66),"")</f>
      </c>
      <c r="O66" s="202">
        <f>IF($C66,"T"&amp;TEXT(ROW(),"000"),"")</f>
      </c>
      <c r="R66" s="202">
        <f>IF($C66,IF(ISNUMBER('Proyecto Datos (OKR´s)'!$L66),'Proyecto Datos (OKR´s)'!$L66,$H66),"")</f>
      </c>
      <c r="S66" s="202">
        <f>IF($C66,$R66-'Proyecto Datos (OKR´s)'!$K66+1,"")</f>
      </c>
      <c r="T66" s="202">
        <f>IF($C66,MAX(0,TODAY()-'Proyecto Datos (OKR´s)'!$K66),"")</f>
      </c>
      <c r="U66" s="202">
        <f>IF($C66,MEDIAN(0,(TODAY()-'Proyecto Datos (OKR´s)'!$K66)/MAX(1,$R66-'Proyecto Datos (OKR´s)'!$K66),1),"")</f>
      </c>
      <c r="V66" s="202">
        <f>IF($C66,$I66-$U66,"")</f>
      </c>
      <c r="W66" s="202">
        <f>IF($C66,IF(OR($J66="Completado",NOT(ISNUMBER($H66))),0,MAX(0,TODAY()-$H66)),"")</f>
      </c>
      <c r="X66" s="202">
        <f>IF($C66,IF(ISNUMBER($H66),$R66-$H66,0),"")</f>
      </c>
      <c r="Y66" s="202">
        <f>IF($C66,COUNTIFS($G$7:$G$200,$G66,$J$7:$J$200,"&lt;&gt;Completado",$J$7:$J$200,"&lt;&gt;"),"")</f>
      </c>
      <c r="Z66" s="202">
        <f>IF($C66,AND($I66=0,'Proyecto Datos (OKR´s)'!$K66&lt;=TODAY(),$J66&lt;&gt;"Completado"),"")</f>
      </c>
      <c r="AA66" s="202">
        <f>IF($C66,ROUND(100*(0.35*$AK66+0.3*$AL66+0.2*$AM66+0.15*MEDIAN(0,($Y66-4)/8,1)),0),"")</f>
      </c>
      <c r="AB66" s="203">
        <f>IF($C66,IF(OR($J66="Completado",$J66="Sin fecha"),"—",IF($AA66&gt;=70,"Crítica",IF($AA66&gt;=45,"Alta",IF($AA66&gt;=25,"Media","Baja")))),"")</f>
      </c>
      <c r="AC66" s="203">
        <f>IF($C66,IF(LEN(TRIM($AN66))=0,"—",TRIM($AN66)),"")</f>
      </c>
      <c r="AD66" s="202">
        <f>IF($C66,$AV66,"")</f>
      </c>
      <c r="AE66" s="202">
        <f>IF($C66,$AZ66,"")</f>
      </c>
      <c r="AF66" s="202" t="b">
        <f>IF($C66,$AV66&lt;&gt;$AR66,FALSE)</f>
        <v>0</v>
      </c>
      <c r="AG66" s="202">
        <f>IF($C66,IF($AV66&lt;&gt;$AR66,$AW66,""),"")</f>
      </c>
      <c r="AH66" s="203">
        <f>IF($C66,IF(ISBLANK('Backlog General'!$K66),"",'Backlog General'!$K66),"")</f>
      </c>
      <c r="AI66" s="202">
        <f>IF($C66,$AV66*100000+ROW(),"")</f>
      </c>
      <c r="AJ66" s="202">
        <f>IF(AND($C66,ISNUMBER($H66)),$AA66*1000000-MEDIAN(-9999,$K66,9999)*100+(300-ROW()),"")</f>
      </c>
      <c r="AK66" s="202">
        <f>IF($C66,IF($J66="Completado",0,IF($K66&lt;0,1,IF($K66&lt;=3,0.9,IF($K66&lt;=7,0.7,IF($K66&lt;=14,0.45,0.2))))),"")</f>
      </c>
      <c r="AL66" s="202">
        <f>IF($C66,IF($J66="Completado",0,MEDIAN(0,MAX(-$V66,$W66/30),1)),"")</f>
      </c>
      <c r="AM66" s="202">
        <f>IF($C66,IF($J66="Completado",0,IF($Z66,1,IF(AND($I66&lt;0.5,$K66&lt;=7),0.7,0.3))),"")</f>
      </c>
      <c r="AN66" s="203">
        <f>IF($C66,IF(OR($V66&lt;-0.2,$W66&gt;0),"ATRASO ","")&amp;IF($Z66,"BLOQUEO ","")&amp;IF($Y66&gt;8,"SOBRECARGA ","")&amp;IF($X66&gt;0,"DESVÍO-PLAN ",""),"")</f>
      </c>
      <c r="AO66" s="203">
        <f>IF($C66,IFERROR(VLOOKUP($D66,'Sprints'!$I$5:$J$12,2,FALSE),"Semanal"),"")</f>
      </c>
      <c r="AP66" s="202">
        <f>IF($C66,IFERROR(VLOOKUP($AO66,'Sprints'!$B$9:$C$11,2,FALSE),1),"")</f>
      </c>
      <c r="AQ66" s="202">
        <f>IF($C66,'Sprints'!$C$5,"")</f>
      </c>
      <c r="AR66" s="202">
        <f>IF(AND($C66,ISNUMBER($H66)),CEILING(MAX(1,INT(($H66-$AQ66+'Sprints'!$D$5-1)/'Sprints'!$D$5)+1)/$AP66,1),"")</f>
      </c>
      <c r="AS66" s="202">
        <f>IF($C66,CEILING(MAX(1,INT((TODAY()-$AQ66+'Sprints'!$D$5-1)/'Sprints'!$D$5)+1)/$AP66,1),"")</f>
      </c>
      <c r="AT66" s="203">
        <f>IF($C66,'Backlog General'!$G66,"")</f>
      </c>
      <c r="AU66" s="203">
        <f>IF($C66,'Backlog General'!$H66,"")</f>
      </c>
      <c r="AV66" s="202">
        <f>IF(AND($C66,ISNUMBER($AR66)),IF(OR($AT66="Completo",$AU66="Cancelado",$AU66="Baja prioridad"),$AR66,IF($AU66="Pasa al siguiente",MAX($AR66+1,$AS66),MAX($AR66,$AS66))),"")</f>
      </c>
      <c r="AW66" s="202">
        <f>IF(AND($C66,ISNUMBER($AR66)),$AQ66+$AR66*$AP66*'Sprints'!$D$5-'Sprints'!$D$5,"")</f>
      </c>
      <c r="AX66" s="202">
        <f>IF($C66,IF(OR($AT66="Completo",$AU66="Cancelado",$AU66="Baja prioridad",NOT(ISNUMBER($AW66))),0,IF(TODAY()&gt;$AW66,NETWORKDAYS($AW66,TODAY(),'Sprints'!$L$5:$L$40)-1,0)),"")</f>
      </c>
      <c r="AY66" s="203">
        <f>IF($C66,IF(NOT(ISNUMBER($AR66)),"Sin fecha",IF($AT66="Completo","Completo",IF($AU66="Cancelado","Cancelado",IF($AU66="Baja prioridad","Baja prioridad",IF($AX66&gt;0,"Vencida","Pendiente"))))),"")</f>
      </c>
      <c r="AZ66" s="203">
        <f>IF($C66,IF(ISNUMBER($AV66),$AO66&amp;" · S"&amp;$AV66,"(Sin fecha)"),"")</f>
      </c>
      <c r="BA66" s="202">
        <f>IF($C66,IF(AND(ISNUMBER('Backlog General'!$M66),'Backlog General'!$M66=$AS66),"Nuevo S"&amp;'Backlog General'!$M66,""),"")</f>
      </c>
      <c r="BB66" s="202">
        <f>IF(AND($C66,$AO66="Semanal",ISNUMBER($AV66)),$AV66*100000+ROW(),"")</f>
      </c>
      <c r="BC66" s="202">
        <f>IF(AND($C66,$AO66="Quincenal",ISNUMBER($AV66)),$AV66*100000+ROW(),"")</f>
      </c>
      <c r="BD66" s="202">
        <f>IF(AND($C66,$AO66="Mensual",ISNUMBER($AV66)),$AV66*100000+ROW(),"")</f>
      </c>
      <c r="BE66" s="203">
        <f>IF($C66,IF(ISBLANK('Backlog General'!$J66),"",'Backlog General'!$J66),"")</f>
      </c>
      <c r="BF66" s="203">
        <f>IF($C66,IF($BE66="","",$BE66)&amp;IF(AND($BE66&lt;&gt;"",$AH66&lt;&gt;"")," · ","")&amp;IF($AH66="","",$AH66),"")</f>
      </c>
      <c r="BG66" s="203">
        <f>IF($C66,IF($J66="Completado","Sí","No"),"")</f>
      </c>
      <c r="BH66" s="202">
        <f>IF(AND($C66,ISNUMBER($AR66)),IF($AO66="Semanal",1,IF($AO66="Quincenal",2,3))*1000000000+$AR66*100000+ROW(),"")</f>
      </c>
    </row>
    <row r="67">
      <c r="A67" s="202">
        <f>ROW()</f>
        <v>67</v>
      </c>
      <c r="B67" s="202" t="b">
        <f>ISTEXT('Proyecto Datos (OKR´s)'!$K67)</f>
        <v>0</v>
      </c>
      <c r="C67" s="202" t="b">
        <f>AND(LEN('Proyecto Datos (OKR´s)'!$G67)&gt;0,NOT($B67),OR(ISNUMBER('Proyecto Datos (OKR´s)'!$F67),ISNUMBER('Proyecto Datos (OKR´s)'!$L67)))</f>
        <v>0</v>
      </c>
      <c r="D67" s="203">
        <f>IF($C67,IFERROR(LOOKUP(2,1/((ISTEXT('Proyecto Datos (OKR´s)'!$K$7:$K67))*(LEN('Proyecto Datos (OKR´s)'!$G$7:$G67)&gt;0)),'Proyecto Datos (OKR´s)'!$G$7:$G67),""),"")</f>
      </c>
      <c r="E67" s="202">
        <f>IF($C67,'Proyecto Datos (OKR´s)'!$E67,"")</f>
      </c>
      <c r="F67" s="203">
        <f>IF($C67,'Proyecto Datos (OKR´s)'!$G67,"")</f>
      </c>
      <c r="G67" s="203">
        <f>IF($C67,IF('Proyecto Datos (OKR´s)'!$I67="","(Sin asignar)",'Proyecto Datos (OKR´s)'!$I67),"")</f>
      </c>
      <c r="H67" s="202">
        <f>IF($C67,IF(ISNUMBER('Proyecto Datos (OKR´s)'!$F67),'Proyecto Datos (OKR´s)'!$F67,""),"")</f>
      </c>
      <c r="I67" s="202">
        <f>IF($C67,'Proyecto Datos (OKR´s)'!$J67,"")</f>
      </c>
      <c r="J67" s="203">
        <f>IF($C67,IF($I67&gt;=1,"Completado",IF(NOT(ISNUMBER($H67)),"Sin fecha",IF($H67&lt;TODAY(),"Vencido",IF(($H67-TODAY())&lt;='Entregas Próximas'!$M$3,"Próximo a vencer","En curso")))),"")</f>
      </c>
      <c r="K67" s="202">
        <f>IF(AND($C67,ISNUMBER($H67)),$H67-TODAY(),"")</f>
      </c>
      <c r="L67" s="202">
        <f>IF(AND($C67,ISNUMBER($H67)),$AD67*1000000+$H67+ROW()/100000,"")</f>
      </c>
      <c r="M67" s="202">
        <f>IF($C67,IF($AD67=9999,"(Sin sprint)",$AD67),"")</f>
      </c>
      <c r="N67" s="202">
        <f>IF($C67,IF('Proyecto Datos (OKR´s)'!$E67="",9999,'Proyecto Datos (OKR´s)'!$E67),"")</f>
      </c>
      <c r="O67" s="202">
        <f>IF($C67,"T"&amp;TEXT(ROW(),"000"),"")</f>
      </c>
      <c r="R67" s="202">
        <f>IF($C67,IF(ISNUMBER('Proyecto Datos (OKR´s)'!$L67),'Proyecto Datos (OKR´s)'!$L67,$H67),"")</f>
      </c>
      <c r="S67" s="202">
        <f>IF($C67,$R67-'Proyecto Datos (OKR´s)'!$K67+1,"")</f>
      </c>
      <c r="T67" s="202">
        <f>IF($C67,MAX(0,TODAY()-'Proyecto Datos (OKR´s)'!$K67),"")</f>
      </c>
      <c r="U67" s="202">
        <f>IF($C67,MEDIAN(0,(TODAY()-'Proyecto Datos (OKR´s)'!$K67)/MAX(1,$R67-'Proyecto Datos (OKR´s)'!$K67),1),"")</f>
      </c>
      <c r="V67" s="202">
        <f>IF($C67,$I67-$U67,"")</f>
      </c>
      <c r="W67" s="202">
        <f>IF($C67,IF(OR($J67="Completado",NOT(ISNUMBER($H67))),0,MAX(0,TODAY()-$H67)),"")</f>
      </c>
      <c r="X67" s="202">
        <f>IF($C67,IF(ISNUMBER($H67),$R67-$H67,0),"")</f>
      </c>
      <c r="Y67" s="202">
        <f>IF($C67,COUNTIFS($G$7:$G$200,$G67,$J$7:$J$200,"&lt;&gt;Completado",$J$7:$J$200,"&lt;&gt;"),"")</f>
      </c>
      <c r="Z67" s="202">
        <f>IF($C67,AND($I67=0,'Proyecto Datos (OKR´s)'!$K67&lt;=TODAY(),$J67&lt;&gt;"Completado"),"")</f>
      </c>
      <c r="AA67" s="202">
        <f>IF($C67,ROUND(100*(0.35*$AK67+0.3*$AL67+0.2*$AM67+0.15*MEDIAN(0,($Y67-4)/8,1)),0),"")</f>
      </c>
      <c r="AB67" s="203">
        <f>IF($C67,IF(OR($J67="Completado",$J67="Sin fecha"),"—",IF($AA67&gt;=70,"Crítica",IF($AA67&gt;=45,"Alta",IF($AA67&gt;=25,"Media","Baja")))),"")</f>
      </c>
      <c r="AC67" s="203">
        <f>IF($C67,IF(LEN(TRIM($AN67))=0,"—",TRIM($AN67)),"")</f>
      </c>
      <c r="AD67" s="202">
        <f>IF($C67,$AV67,"")</f>
      </c>
      <c r="AE67" s="202">
        <f>IF($C67,$AZ67,"")</f>
      </c>
      <c r="AF67" s="202" t="b">
        <f>IF($C67,$AV67&lt;&gt;$AR67,FALSE)</f>
        <v>0</v>
      </c>
      <c r="AG67" s="202">
        <f>IF($C67,IF($AV67&lt;&gt;$AR67,$AW67,""),"")</f>
      </c>
      <c r="AH67" s="203">
        <f>IF($C67,IF(ISBLANK('Backlog General'!$K67),"",'Backlog General'!$K67),"")</f>
      </c>
      <c r="AI67" s="202">
        <f>IF($C67,$AV67*100000+ROW(),"")</f>
      </c>
      <c r="AJ67" s="202">
        <f>IF(AND($C67,ISNUMBER($H67)),$AA67*1000000-MEDIAN(-9999,$K67,9999)*100+(300-ROW()),"")</f>
      </c>
      <c r="AK67" s="202">
        <f>IF($C67,IF($J67="Completado",0,IF($K67&lt;0,1,IF($K67&lt;=3,0.9,IF($K67&lt;=7,0.7,IF($K67&lt;=14,0.45,0.2))))),"")</f>
      </c>
      <c r="AL67" s="202">
        <f>IF($C67,IF($J67="Completado",0,MEDIAN(0,MAX(-$V67,$W67/30),1)),"")</f>
      </c>
      <c r="AM67" s="202">
        <f>IF($C67,IF($J67="Completado",0,IF($Z67,1,IF(AND($I67&lt;0.5,$K67&lt;=7),0.7,0.3))),"")</f>
      </c>
      <c r="AN67" s="203">
        <f>IF($C67,IF(OR($V67&lt;-0.2,$W67&gt;0),"ATRASO ","")&amp;IF($Z67,"BLOQUEO ","")&amp;IF($Y67&gt;8,"SOBRECARGA ","")&amp;IF($X67&gt;0,"DESVÍO-PLAN ",""),"")</f>
      </c>
      <c r="AO67" s="203">
        <f>IF($C67,IFERROR(VLOOKUP($D67,'Sprints'!$I$5:$J$12,2,FALSE),"Semanal"),"")</f>
      </c>
      <c r="AP67" s="202">
        <f>IF($C67,IFERROR(VLOOKUP($AO67,'Sprints'!$B$9:$C$11,2,FALSE),1),"")</f>
      </c>
      <c r="AQ67" s="202">
        <f>IF($C67,'Sprints'!$C$5,"")</f>
      </c>
      <c r="AR67" s="202">
        <f>IF(AND($C67,ISNUMBER($H67)),CEILING(MAX(1,INT(($H67-$AQ67+'Sprints'!$D$5-1)/'Sprints'!$D$5)+1)/$AP67,1),"")</f>
      </c>
      <c r="AS67" s="202">
        <f>IF($C67,CEILING(MAX(1,INT((TODAY()-$AQ67+'Sprints'!$D$5-1)/'Sprints'!$D$5)+1)/$AP67,1),"")</f>
      </c>
      <c r="AT67" s="203">
        <f>IF($C67,'Backlog General'!$G67,"")</f>
      </c>
      <c r="AU67" s="203">
        <f>IF($C67,'Backlog General'!$H67,"")</f>
      </c>
      <c r="AV67" s="202">
        <f>IF(AND($C67,ISNUMBER($AR67)),IF(OR($AT67="Completo",$AU67="Cancelado",$AU67="Baja prioridad"),$AR67,IF($AU67="Pasa al siguiente",MAX($AR67+1,$AS67),MAX($AR67,$AS67))),"")</f>
      </c>
      <c r="AW67" s="202">
        <f>IF(AND($C67,ISNUMBER($AR67)),$AQ67+$AR67*$AP67*'Sprints'!$D$5-'Sprints'!$D$5,"")</f>
      </c>
      <c r="AX67" s="202">
        <f>IF($C67,IF(OR($AT67="Completo",$AU67="Cancelado",$AU67="Baja prioridad",NOT(ISNUMBER($AW67))),0,IF(TODAY()&gt;$AW67,NETWORKDAYS($AW67,TODAY(),'Sprints'!$L$5:$L$40)-1,0)),"")</f>
      </c>
      <c r="AY67" s="203">
        <f>IF($C67,IF(NOT(ISNUMBER($AR67)),"Sin fecha",IF($AT67="Completo","Completo",IF($AU67="Cancelado","Cancelado",IF($AU67="Baja prioridad","Baja prioridad",IF($AX67&gt;0,"Vencida","Pendiente"))))),"")</f>
      </c>
      <c r="AZ67" s="203">
        <f>IF($C67,IF(ISNUMBER($AV67),$AO67&amp;" · S"&amp;$AV67,"(Sin fecha)"),"")</f>
      </c>
      <c r="BA67" s="202">
        <f>IF($C67,IF(AND(ISNUMBER('Backlog General'!$M67),'Backlog General'!$M67=$AS67),"Nuevo S"&amp;'Backlog General'!$M67,""),"")</f>
      </c>
      <c r="BB67" s="202">
        <f>IF(AND($C67,$AO67="Semanal",ISNUMBER($AV67)),$AV67*100000+ROW(),"")</f>
      </c>
      <c r="BC67" s="202">
        <f>IF(AND($C67,$AO67="Quincenal",ISNUMBER($AV67)),$AV67*100000+ROW(),"")</f>
      </c>
      <c r="BD67" s="202">
        <f>IF(AND($C67,$AO67="Mensual",ISNUMBER($AV67)),$AV67*100000+ROW(),"")</f>
      </c>
      <c r="BE67" s="203">
        <f>IF($C67,IF(ISBLANK('Backlog General'!$J67),"",'Backlog General'!$J67),"")</f>
      </c>
      <c r="BF67" s="203">
        <f>IF($C67,IF($BE67="","",$BE67)&amp;IF(AND($BE67&lt;&gt;"",$AH67&lt;&gt;"")," · ","")&amp;IF($AH67="","",$AH67),"")</f>
      </c>
      <c r="BG67" s="203">
        <f>IF($C67,IF($J67="Completado","Sí","No"),"")</f>
      </c>
      <c r="BH67" s="202">
        <f>IF(AND($C67,ISNUMBER($AR67)),IF($AO67="Semanal",1,IF($AO67="Quincenal",2,3))*1000000000+$AR67*100000+ROW(),"")</f>
      </c>
    </row>
    <row r="68">
      <c r="A68" s="202">
        <f>ROW()</f>
        <v>68</v>
      </c>
      <c r="B68" s="202" t="b">
        <f>ISTEXT('Proyecto Datos (OKR´s)'!$K68)</f>
        <v>0</v>
      </c>
      <c r="C68" s="202" t="b">
        <f>AND(LEN('Proyecto Datos (OKR´s)'!$G68)&gt;0,NOT($B68),OR(ISNUMBER('Proyecto Datos (OKR´s)'!$F68),ISNUMBER('Proyecto Datos (OKR´s)'!$L68)))</f>
        <v>0</v>
      </c>
      <c r="D68" s="203">
        <f>IF($C68,IFERROR(LOOKUP(2,1/((ISTEXT('Proyecto Datos (OKR´s)'!$K$7:$K68))*(LEN('Proyecto Datos (OKR´s)'!$G$7:$G68)&gt;0)),'Proyecto Datos (OKR´s)'!$G$7:$G68),""),"")</f>
      </c>
      <c r="E68" s="202">
        <f>IF($C68,'Proyecto Datos (OKR´s)'!$E68,"")</f>
      </c>
      <c r="F68" s="203">
        <f>IF($C68,'Proyecto Datos (OKR´s)'!$G68,"")</f>
      </c>
      <c r="G68" s="203">
        <f>IF($C68,IF('Proyecto Datos (OKR´s)'!$I68="","(Sin asignar)",'Proyecto Datos (OKR´s)'!$I68),"")</f>
      </c>
      <c r="H68" s="202">
        <f>IF($C68,IF(ISNUMBER('Proyecto Datos (OKR´s)'!$F68),'Proyecto Datos (OKR´s)'!$F68,""),"")</f>
      </c>
      <c r="I68" s="202">
        <f>IF($C68,'Proyecto Datos (OKR´s)'!$J68,"")</f>
      </c>
      <c r="J68" s="203">
        <f>IF($C68,IF($I68&gt;=1,"Completado",IF(NOT(ISNUMBER($H68)),"Sin fecha",IF($H68&lt;TODAY(),"Vencido",IF(($H68-TODAY())&lt;='Entregas Próximas'!$M$3,"Próximo a vencer","En curso")))),"")</f>
      </c>
      <c r="K68" s="202">
        <f>IF(AND($C68,ISNUMBER($H68)),$H68-TODAY(),"")</f>
      </c>
      <c r="L68" s="202">
        <f>IF(AND($C68,ISNUMBER($H68)),$AD68*1000000+$H68+ROW()/100000,"")</f>
      </c>
      <c r="M68" s="202">
        <f>IF($C68,IF($AD68=9999,"(Sin sprint)",$AD68),"")</f>
      </c>
      <c r="N68" s="202">
        <f>IF($C68,IF('Proyecto Datos (OKR´s)'!$E68="",9999,'Proyecto Datos (OKR´s)'!$E68),"")</f>
      </c>
      <c r="O68" s="202">
        <f>IF($C68,"T"&amp;TEXT(ROW(),"000"),"")</f>
      </c>
      <c r="R68" s="202">
        <f>IF($C68,IF(ISNUMBER('Proyecto Datos (OKR´s)'!$L68),'Proyecto Datos (OKR´s)'!$L68,$H68),"")</f>
      </c>
      <c r="S68" s="202">
        <f>IF($C68,$R68-'Proyecto Datos (OKR´s)'!$K68+1,"")</f>
      </c>
      <c r="T68" s="202">
        <f>IF($C68,MAX(0,TODAY()-'Proyecto Datos (OKR´s)'!$K68),"")</f>
      </c>
      <c r="U68" s="202">
        <f>IF($C68,MEDIAN(0,(TODAY()-'Proyecto Datos (OKR´s)'!$K68)/MAX(1,$R68-'Proyecto Datos (OKR´s)'!$K68),1),"")</f>
      </c>
      <c r="V68" s="202">
        <f>IF($C68,$I68-$U68,"")</f>
      </c>
      <c r="W68" s="202">
        <f>IF($C68,IF(OR($J68="Completado",NOT(ISNUMBER($H68))),0,MAX(0,TODAY()-$H68)),"")</f>
      </c>
      <c r="X68" s="202">
        <f>IF($C68,IF(ISNUMBER($H68),$R68-$H68,0),"")</f>
      </c>
      <c r="Y68" s="202">
        <f>IF($C68,COUNTIFS($G$7:$G$200,$G68,$J$7:$J$200,"&lt;&gt;Completado",$J$7:$J$200,"&lt;&gt;"),"")</f>
      </c>
      <c r="Z68" s="202">
        <f>IF($C68,AND($I68=0,'Proyecto Datos (OKR´s)'!$K68&lt;=TODAY(),$J68&lt;&gt;"Completado"),"")</f>
      </c>
      <c r="AA68" s="202">
        <f>IF($C68,ROUND(100*(0.35*$AK68+0.3*$AL68+0.2*$AM68+0.15*MEDIAN(0,($Y68-4)/8,1)),0),"")</f>
      </c>
      <c r="AB68" s="203">
        <f>IF($C68,IF(OR($J68="Completado",$J68="Sin fecha"),"—",IF($AA68&gt;=70,"Crítica",IF($AA68&gt;=45,"Alta",IF($AA68&gt;=25,"Media","Baja")))),"")</f>
      </c>
      <c r="AC68" s="203">
        <f>IF($C68,IF(LEN(TRIM($AN68))=0,"—",TRIM($AN68)),"")</f>
      </c>
      <c r="AD68" s="202">
        <f>IF($C68,$AV68,"")</f>
      </c>
      <c r="AE68" s="202">
        <f>IF($C68,$AZ68,"")</f>
      </c>
      <c r="AF68" s="202" t="b">
        <f>IF($C68,$AV68&lt;&gt;$AR68,FALSE)</f>
        <v>0</v>
      </c>
      <c r="AG68" s="202">
        <f>IF($C68,IF($AV68&lt;&gt;$AR68,$AW68,""),"")</f>
      </c>
      <c r="AH68" s="203">
        <f>IF($C68,IF(ISBLANK('Backlog General'!$K68),"",'Backlog General'!$K68),"")</f>
      </c>
      <c r="AI68" s="202">
        <f>IF($C68,$AV68*100000+ROW(),"")</f>
      </c>
      <c r="AJ68" s="202">
        <f>IF(AND($C68,ISNUMBER($H68)),$AA68*1000000-MEDIAN(-9999,$K68,9999)*100+(300-ROW()),"")</f>
      </c>
      <c r="AK68" s="202">
        <f>IF($C68,IF($J68="Completado",0,IF($K68&lt;0,1,IF($K68&lt;=3,0.9,IF($K68&lt;=7,0.7,IF($K68&lt;=14,0.45,0.2))))),"")</f>
      </c>
      <c r="AL68" s="202">
        <f>IF($C68,IF($J68="Completado",0,MEDIAN(0,MAX(-$V68,$W68/30),1)),"")</f>
      </c>
      <c r="AM68" s="202">
        <f>IF($C68,IF($J68="Completado",0,IF($Z68,1,IF(AND($I68&lt;0.5,$K68&lt;=7),0.7,0.3))),"")</f>
      </c>
      <c r="AN68" s="203">
        <f>IF($C68,IF(OR($V68&lt;-0.2,$W68&gt;0),"ATRASO ","")&amp;IF($Z68,"BLOQUEO ","")&amp;IF($Y68&gt;8,"SOBRECARGA ","")&amp;IF($X68&gt;0,"DESVÍO-PLAN ",""),"")</f>
      </c>
      <c r="AO68" s="203">
        <f>IF($C68,IFERROR(VLOOKUP($D68,'Sprints'!$I$5:$J$12,2,FALSE),"Semanal"),"")</f>
      </c>
      <c r="AP68" s="202">
        <f>IF($C68,IFERROR(VLOOKUP($AO68,'Sprints'!$B$9:$C$11,2,FALSE),1),"")</f>
      </c>
      <c r="AQ68" s="202">
        <f>IF($C68,'Sprints'!$C$5,"")</f>
      </c>
      <c r="AR68" s="202">
        <f>IF(AND($C68,ISNUMBER($H68)),CEILING(MAX(1,INT(($H68-$AQ68+'Sprints'!$D$5-1)/'Sprints'!$D$5)+1)/$AP68,1),"")</f>
      </c>
      <c r="AS68" s="202">
        <f>IF($C68,CEILING(MAX(1,INT((TODAY()-$AQ68+'Sprints'!$D$5-1)/'Sprints'!$D$5)+1)/$AP68,1),"")</f>
      </c>
      <c r="AT68" s="203">
        <f>IF($C68,'Backlog General'!$G68,"")</f>
      </c>
      <c r="AU68" s="203">
        <f>IF($C68,'Backlog General'!$H68,"")</f>
      </c>
      <c r="AV68" s="202">
        <f>IF(AND($C68,ISNUMBER($AR68)),IF(OR($AT68="Completo",$AU68="Cancelado",$AU68="Baja prioridad"),$AR68,IF($AU68="Pasa al siguiente",MAX($AR68+1,$AS68),MAX($AR68,$AS68))),"")</f>
      </c>
      <c r="AW68" s="202">
        <f>IF(AND($C68,ISNUMBER($AR68)),$AQ68+$AR68*$AP68*'Sprints'!$D$5-'Sprints'!$D$5,"")</f>
      </c>
      <c r="AX68" s="202">
        <f>IF($C68,IF(OR($AT68="Completo",$AU68="Cancelado",$AU68="Baja prioridad",NOT(ISNUMBER($AW68))),0,IF(TODAY()&gt;$AW68,NETWORKDAYS($AW68,TODAY(),'Sprints'!$L$5:$L$40)-1,0)),"")</f>
      </c>
      <c r="AY68" s="203">
        <f>IF($C68,IF(NOT(ISNUMBER($AR68)),"Sin fecha",IF($AT68="Completo","Completo",IF($AU68="Cancelado","Cancelado",IF($AU68="Baja prioridad","Baja prioridad",IF($AX68&gt;0,"Vencida","Pendiente"))))),"")</f>
      </c>
      <c r="AZ68" s="203">
        <f>IF($C68,IF(ISNUMBER($AV68),$AO68&amp;" · S"&amp;$AV68,"(Sin fecha)"),"")</f>
      </c>
      <c r="BA68" s="202">
        <f>IF($C68,IF(AND(ISNUMBER('Backlog General'!$M68),'Backlog General'!$M68=$AS68),"Nuevo S"&amp;'Backlog General'!$M68,""),"")</f>
      </c>
      <c r="BB68" s="202">
        <f>IF(AND($C68,$AO68="Semanal",ISNUMBER($AV68)),$AV68*100000+ROW(),"")</f>
      </c>
      <c r="BC68" s="202">
        <f>IF(AND($C68,$AO68="Quincenal",ISNUMBER($AV68)),$AV68*100000+ROW(),"")</f>
      </c>
      <c r="BD68" s="202">
        <f>IF(AND($C68,$AO68="Mensual",ISNUMBER($AV68)),$AV68*100000+ROW(),"")</f>
      </c>
      <c r="BE68" s="203">
        <f>IF($C68,IF(ISBLANK('Backlog General'!$J68),"",'Backlog General'!$J68),"")</f>
      </c>
      <c r="BF68" s="203">
        <f>IF($C68,IF($BE68="","",$BE68)&amp;IF(AND($BE68&lt;&gt;"",$AH68&lt;&gt;"")," · ","")&amp;IF($AH68="","",$AH68),"")</f>
      </c>
      <c r="BG68" s="203">
        <f>IF($C68,IF($J68="Completado","Sí","No"),"")</f>
      </c>
      <c r="BH68" s="202">
        <f>IF(AND($C68,ISNUMBER($AR68)),IF($AO68="Semanal",1,IF($AO68="Quincenal",2,3))*1000000000+$AR68*100000+ROW(),"")</f>
      </c>
    </row>
    <row r="69">
      <c r="A69" s="202">
        <f>ROW()</f>
        <v>69</v>
      </c>
      <c r="B69" s="202" t="b">
        <f>ISTEXT('Proyecto Datos (OKR´s)'!$K69)</f>
        <v>0</v>
      </c>
      <c r="C69" s="202" t="b">
        <f>AND(LEN('Proyecto Datos (OKR´s)'!$G69)&gt;0,NOT($B69),OR(ISNUMBER('Proyecto Datos (OKR´s)'!$F69),ISNUMBER('Proyecto Datos (OKR´s)'!$L69)))</f>
        <v>0</v>
      </c>
      <c r="D69" s="203">
        <f>IF($C69,IFERROR(LOOKUP(2,1/((ISTEXT('Proyecto Datos (OKR´s)'!$K$7:$K69))*(LEN('Proyecto Datos (OKR´s)'!$G$7:$G69)&gt;0)),'Proyecto Datos (OKR´s)'!$G$7:$G69),""),"")</f>
      </c>
      <c r="E69" s="202">
        <f>IF($C69,'Proyecto Datos (OKR´s)'!$E69,"")</f>
      </c>
      <c r="F69" s="203">
        <f>IF($C69,'Proyecto Datos (OKR´s)'!$G69,"")</f>
      </c>
      <c r="G69" s="203">
        <f>IF($C69,IF('Proyecto Datos (OKR´s)'!$I69="","(Sin asignar)",'Proyecto Datos (OKR´s)'!$I69),"")</f>
      </c>
      <c r="H69" s="202">
        <f>IF($C69,IF(ISNUMBER('Proyecto Datos (OKR´s)'!$F69),'Proyecto Datos (OKR´s)'!$F69,""),"")</f>
      </c>
      <c r="I69" s="202">
        <f>IF($C69,'Proyecto Datos (OKR´s)'!$J69,"")</f>
      </c>
      <c r="J69" s="203">
        <f>IF($C69,IF($I69&gt;=1,"Completado",IF(NOT(ISNUMBER($H69)),"Sin fecha",IF($H69&lt;TODAY(),"Vencido",IF(($H69-TODAY())&lt;='Entregas Próximas'!$M$3,"Próximo a vencer","En curso")))),"")</f>
      </c>
      <c r="K69" s="202">
        <f>IF(AND($C69,ISNUMBER($H69)),$H69-TODAY(),"")</f>
      </c>
      <c r="L69" s="202">
        <f>IF(AND($C69,ISNUMBER($H69)),$AD69*1000000+$H69+ROW()/100000,"")</f>
      </c>
      <c r="M69" s="202">
        <f>IF($C69,IF($AD69=9999,"(Sin sprint)",$AD69),"")</f>
      </c>
      <c r="N69" s="202">
        <f>IF($C69,IF('Proyecto Datos (OKR´s)'!$E69="",9999,'Proyecto Datos (OKR´s)'!$E69),"")</f>
      </c>
      <c r="O69" s="202">
        <f>IF($C69,"T"&amp;TEXT(ROW(),"000"),"")</f>
      </c>
      <c r="R69" s="202">
        <f>IF($C69,IF(ISNUMBER('Proyecto Datos (OKR´s)'!$L69),'Proyecto Datos (OKR´s)'!$L69,$H69),"")</f>
      </c>
      <c r="S69" s="202">
        <f>IF($C69,$R69-'Proyecto Datos (OKR´s)'!$K69+1,"")</f>
      </c>
      <c r="T69" s="202">
        <f>IF($C69,MAX(0,TODAY()-'Proyecto Datos (OKR´s)'!$K69),"")</f>
      </c>
      <c r="U69" s="202">
        <f>IF($C69,MEDIAN(0,(TODAY()-'Proyecto Datos (OKR´s)'!$K69)/MAX(1,$R69-'Proyecto Datos (OKR´s)'!$K69),1),"")</f>
      </c>
      <c r="V69" s="202">
        <f>IF($C69,$I69-$U69,"")</f>
      </c>
      <c r="W69" s="202">
        <f>IF($C69,IF(OR($J69="Completado",NOT(ISNUMBER($H69))),0,MAX(0,TODAY()-$H69)),"")</f>
      </c>
      <c r="X69" s="202">
        <f>IF($C69,IF(ISNUMBER($H69),$R69-$H69,0),"")</f>
      </c>
      <c r="Y69" s="202">
        <f>IF($C69,COUNTIFS($G$7:$G$200,$G69,$J$7:$J$200,"&lt;&gt;Completado",$J$7:$J$200,"&lt;&gt;"),"")</f>
      </c>
      <c r="Z69" s="202">
        <f>IF($C69,AND($I69=0,'Proyecto Datos (OKR´s)'!$K69&lt;=TODAY(),$J69&lt;&gt;"Completado"),"")</f>
      </c>
      <c r="AA69" s="202">
        <f>IF($C69,ROUND(100*(0.35*$AK69+0.3*$AL69+0.2*$AM69+0.15*MEDIAN(0,($Y69-4)/8,1)),0),"")</f>
      </c>
      <c r="AB69" s="203">
        <f>IF($C69,IF(OR($J69="Completado",$J69="Sin fecha"),"—",IF($AA69&gt;=70,"Crítica",IF($AA69&gt;=45,"Alta",IF($AA69&gt;=25,"Media","Baja")))),"")</f>
      </c>
      <c r="AC69" s="203">
        <f>IF($C69,IF(LEN(TRIM($AN69))=0,"—",TRIM($AN69)),"")</f>
      </c>
      <c r="AD69" s="202">
        <f>IF($C69,$AV69,"")</f>
      </c>
      <c r="AE69" s="202">
        <f>IF($C69,$AZ69,"")</f>
      </c>
      <c r="AF69" s="202" t="b">
        <f>IF($C69,$AV69&lt;&gt;$AR69,FALSE)</f>
        <v>0</v>
      </c>
      <c r="AG69" s="202">
        <f>IF($C69,IF($AV69&lt;&gt;$AR69,$AW69,""),"")</f>
      </c>
      <c r="AH69" s="203">
        <f>IF($C69,IF(ISBLANK('Backlog General'!$K69),"",'Backlog General'!$K69),"")</f>
      </c>
      <c r="AI69" s="202">
        <f>IF($C69,$AV69*100000+ROW(),"")</f>
      </c>
      <c r="AJ69" s="202">
        <f>IF(AND($C69,ISNUMBER($H69)),$AA69*1000000-MEDIAN(-9999,$K69,9999)*100+(300-ROW()),"")</f>
      </c>
      <c r="AK69" s="202">
        <f>IF($C69,IF($J69="Completado",0,IF($K69&lt;0,1,IF($K69&lt;=3,0.9,IF($K69&lt;=7,0.7,IF($K69&lt;=14,0.45,0.2))))),"")</f>
      </c>
      <c r="AL69" s="202">
        <f>IF($C69,IF($J69="Completado",0,MEDIAN(0,MAX(-$V69,$W69/30),1)),"")</f>
      </c>
      <c r="AM69" s="202">
        <f>IF($C69,IF($J69="Completado",0,IF($Z69,1,IF(AND($I69&lt;0.5,$K69&lt;=7),0.7,0.3))),"")</f>
      </c>
      <c r="AN69" s="203">
        <f>IF($C69,IF(OR($V69&lt;-0.2,$W69&gt;0),"ATRASO ","")&amp;IF($Z69,"BLOQUEO ","")&amp;IF($Y69&gt;8,"SOBRECARGA ","")&amp;IF($X69&gt;0,"DESVÍO-PLAN ",""),"")</f>
      </c>
      <c r="AO69" s="203">
        <f>IF($C69,IFERROR(VLOOKUP($D69,'Sprints'!$I$5:$J$12,2,FALSE),"Semanal"),"")</f>
      </c>
      <c r="AP69" s="202">
        <f>IF($C69,IFERROR(VLOOKUP($AO69,'Sprints'!$B$9:$C$11,2,FALSE),1),"")</f>
      </c>
      <c r="AQ69" s="202">
        <f>IF($C69,'Sprints'!$C$5,"")</f>
      </c>
      <c r="AR69" s="202">
        <f>IF(AND($C69,ISNUMBER($H69)),CEILING(MAX(1,INT(($H69-$AQ69+'Sprints'!$D$5-1)/'Sprints'!$D$5)+1)/$AP69,1),"")</f>
      </c>
      <c r="AS69" s="202">
        <f>IF($C69,CEILING(MAX(1,INT((TODAY()-$AQ69+'Sprints'!$D$5-1)/'Sprints'!$D$5)+1)/$AP69,1),"")</f>
      </c>
      <c r="AT69" s="203">
        <f>IF($C69,'Backlog General'!$G69,"")</f>
      </c>
      <c r="AU69" s="203">
        <f>IF($C69,'Backlog General'!$H69,"")</f>
      </c>
      <c r="AV69" s="202">
        <f>IF(AND($C69,ISNUMBER($AR69)),IF(OR($AT69="Completo",$AU69="Cancelado",$AU69="Baja prioridad"),$AR69,IF($AU69="Pasa al siguiente",MAX($AR69+1,$AS69),MAX($AR69,$AS69))),"")</f>
      </c>
      <c r="AW69" s="202">
        <f>IF(AND($C69,ISNUMBER($AR69)),$AQ69+$AR69*$AP69*'Sprints'!$D$5-'Sprints'!$D$5,"")</f>
      </c>
      <c r="AX69" s="202">
        <f>IF($C69,IF(OR($AT69="Completo",$AU69="Cancelado",$AU69="Baja prioridad",NOT(ISNUMBER($AW69))),0,IF(TODAY()&gt;$AW69,NETWORKDAYS($AW69,TODAY(),'Sprints'!$L$5:$L$40)-1,0)),"")</f>
      </c>
      <c r="AY69" s="203">
        <f>IF($C69,IF(NOT(ISNUMBER($AR69)),"Sin fecha",IF($AT69="Completo","Completo",IF($AU69="Cancelado","Cancelado",IF($AU69="Baja prioridad","Baja prioridad",IF($AX69&gt;0,"Vencida","Pendiente"))))),"")</f>
      </c>
      <c r="AZ69" s="203">
        <f>IF($C69,IF(ISNUMBER($AV69),$AO69&amp;" · S"&amp;$AV69,"(Sin fecha)"),"")</f>
      </c>
      <c r="BA69" s="202">
        <f>IF($C69,IF(AND(ISNUMBER('Backlog General'!$M69),'Backlog General'!$M69=$AS69),"Nuevo S"&amp;'Backlog General'!$M69,""),"")</f>
      </c>
      <c r="BB69" s="202">
        <f>IF(AND($C69,$AO69="Semanal",ISNUMBER($AV69)),$AV69*100000+ROW(),"")</f>
      </c>
      <c r="BC69" s="202">
        <f>IF(AND($C69,$AO69="Quincenal",ISNUMBER($AV69)),$AV69*100000+ROW(),"")</f>
      </c>
      <c r="BD69" s="202">
        <f>IF(AND($C69,$AO69="Mensual",ISNUMBER($AV69)),$AV69*100000+ROW(),"")</f>
      </c>
      <c r="BE69" s="203">
        <f>IF($C69,IF(ISBLANK('Backlog General'!$J69),"",'Backlog General'!$J69),"")</f>
      </c>
      <c r="BF69" s="203">
        <f>IF($C69,IF($BE69="","",$BE69)&amp;IF(AND($BE69&lt;&gt;"",$AH69&lt;&gt;"")," · ","")&amp;IF($AH69="","",$AH69),"")</f>
      </c>
      <c r="BG69" s="203">
        <f>IF($C69,IF($J69="Completado","Sí","No"),"")</f>
      </c>
      <c r="BH69" s="202">
        <f>IF(AND($C69,ISNUMBER($AR69)),IF($AO69="Semanal",1,IF($AO69="Quincenal",2,3))*1000000000+$AR69*100000+ROW(),"")</f>
      </c>
    </row>
    <row r="70">
      <c r="A70" s="202">
        <f>ROW()</f>
        <v>70</v>
      </c>
      <c r="B70" s="202" t="b">
        <f>ISTEXT('Proyecto Datos (OKR´s)'!$K70)</f>
        <v>0</v>
      </c>
      <c r="C70" s="202" t="b">
        <f>AND(LEN('Proyecto Datos (OKR´s)'!$G70)&gt;0,NOT($B70),OR(ISNUMBER('Proyecto Datos (OKR´s)'!$F70),ISNUMBER('Proyecto Datos (OKR´s)'!$L70)))</f>
        <v>0</v>
      </c>
      <c r="D70" s="203">
        <f>IF($C70,IFERROR(LOOKUP(2,1/((ISTEXT('Proyecto Datos (OKR´s)'!$K$7:$K70))*(LEN('Proyecto Datos (OKR´s)'!$G$7:$G70)&gt;0)),'Proyecto Datos (OKR´s)'!$G$7:$G70),""),"")</f>
      </c>
      <c r="E70" s="202">
        <f>IF($C70,'Proyecto Datos (OKR´s)'!$E70,"")</f>
      </c>
      <c r="F70" s="203">
        <f>IF($C70,'Proyecto Datos (OKR´s)'!$G70,"")</f>
      </c>
      <c r="G70" s="203">
        <f>IF($C70,IF('Proyecto Datos (OKR´s)'!$I70="","(Sin asignar)",'Proyecto Datos (OKR´s)'!$I70),"")</f>
      </c>
      <c r="H70" s="202">
        <f>IF($C70,IF(ISNUMBER('Proyecto Datos (OKR´s)'!$F70),'Proyecto Datos (OKR´s)'!$F70,""),"")</f>
      </c>
      <c r="I70" s="202">
        <f>IF($C70,'Proyecto Datos (OKR´s)'!$J70,"")</f>
      </c>
      <c r="J70" s="203">
        <f>IF($C70,IF($I70&gt;=1,"Completado",IF(NOT(ISNUMBER($H70)),"Sin fecha",IF($H70&lt;TODAY(),"Vencido",IF(($H70-TODAY())&lt;='Entregas Próximas'!$M$3,"Próximo a vencer","En curso")))),"")</f>
      </c>
      <c r="K70" s="202">
        <f>IF(AND($C70,ISNUMBER($H70)),$H70-TODAY(),"")</f>
      </c>
      <c r="L70" s="202">
        <f>IF(AND($C70,ISNUMBER($H70)),$AD70*1000000+$H70+ROW()/100000,"")</f>
      </c>
      <c r="M70" s="202">
        <f>IF($C70,IF($AD70=9999,"(Sin sprint)",$AD70),"")</f>
      </c>
      <c r="N70" s="202">
        <f>IF($C70,IF('Proyecto Datos (OKR´s)'!$E70="",9999,'Proyecto Datos (OKR´s)'!$E70),"")</f>
      </c>
      <c r="O70" s="202">
        <f>IF($C70,"T"&amp;TEXT(ROW(),"000"),"")</f>
      </c>
      <c r="R70" s="202">
        <f>IF($C70,IF(ISNUMBER('Proyecto Datos (OKR´s)'!$L70),'Proyecto Datos (OKR´s)'!$L70,$H70),"")</f>
      </c>
      <c r="S70" s="202">
        <f>IF($C70,$R70-'Proyecto Datos (OKR´s)'!$K70+1,"")</f>
      </c>
      <c r="T70" s="202">
        <f>IF($C70,MAX(0,TODAY()-'Proyecto Datos (OKR´s)'!$K70),"")</f>
      </c>
      <c r="U70" s="202">
        <f>IF($C70,MEDIAN(0,(TODAY()-'Proyecto Datos (OKR´s)'!$K70)/MAX(1,$R70-'Proyecto Datos (OKR´s)'!$K70),1),"")</f>
      </c>
      <c r="V70" s="202">
        <f>IF($C70,$I70-$U70,"")</f>
      </c>
      <c r="W70" s="202">
        <f>IF($C70,IF(OR($J70="Completado",NOT(ISNUMBER($H70))),0,MAX(0,TODAY()-$H70)),"")</f>
      </c>
      <c r="X70" s="202">
        <f>IF($C70,IF(ISNUMBER($H70),$R70-$H70,0),"")</f>
      </c>
      <c r="Y70" s="202">
        <f>IF($C70,COUNTIFS($G$7:$G$200,$G70,$J$7:$J$200,"&lt;&gt;Completado",$J$7:$J$200,"&lt;&gt;"),"")</f>
      </c>
      <c r="Z70" s="202">
        <f>IF($C70,AND($I70=0,'Proyecto Datos (OKR´s)'!$K70&lt;=TODAY(),$J70&lt;&gt;"Completado"),"")</f>
      </c>
      <c r="AA70" s="202">
        <f>IF($C70,ROUND(100*(0.35*$AK70+0.3*$AL70+0.2*$AM70+0.15*MEDIAN(0,($Y70-4)/8,1)),0),"")</f>
      </c>
      <c r="AB70" s="203">
        <f>IF($C70,IF(OR($J70="Completado",$J70="Sin fecha"),"—",IF($AA70&gt;=70,"Crítica",IF($AA70&gt;=45,"Alta",IF($AA70&gt;=25,"Media","Baja")))),"")</f>
      </c>
      <c r="AC70" s="203">
        <f>IF($C70,IF(LEN(TRIM($AN70))=0,"—",TRIM($AN70)),"")</f>
      </c>
      <c r="AD70" s="202">
        <f>IF($C70,$AV70,"")</f>
      </c>
      <c r="AE70" s="202">
        <f>IF($C70,$AZ70,"")</f>
      </c>
      <c r="AF70" s="202" t="b">
        <f>IF($C70,$AV70&lt;&gt;$AR70,FALSE)</f>
        <v>0</v>
      </c>
      <c r="AG70" s="202">
        <f>IF($C70,IF($AV70&lt;&gt;$AR70,$AW70,""),"")</f>
      </c>
      <c r="AH70" s="203">
        <f>IF($C70,IF(ISBLANK('Backlog General'!$K70),"",'Backlog General'!$K70),"")</f>
      </c>
      <c r="AI70" s="202">
        <f>IF($C70,$AV70*100000+ROW(),"")</f>
      </c>
      <c r="AJ70" s="202">
        <f>IF(AND($C70,ISNUMBER($H70)),$AA70*1000000-MEDIAN(-9999,$K70,9999)*100+(300-ROW()),"")</f>
      </c>
      <c r="AK70" s="202">
        <f>IF($C70,IF($J70="Completado",0,IF($K70&lt;0,1,IF($K70&lt;=3,0.9,IF($K70&lt;=7,0.7,IF($K70&lt;=14,0.45,0.2))))),"")</f>
      </c>
      <c r="AL70" s="202">
        <f>IF($C70,IF($J70="Completado",0,MEDIAN(0,MAX(-$V70,$W70/30),1)),"")</f>
      </c>
      <c r="AM70" s="202">
        <f>IF($C70,IF($J70="Completado",0,IF($Z70,1,IF(AND($I70&lt;0.5,$K70&lt;=7),0.7,0.3))),"")</f>
      </c>
      <c r="AN70" s="203">
        <f>IF($C70,IF(OR($V70&lt;-0.2,$W70&gt;0),"ATRASO ","")&amp;IF($Z70,"BLOQUEO ","")&amp;IF($Y70&gt;8,"SOBRECARGA ","")&amp;IF($X70&gt;0,"DESVÍO-PLAN ",""),"")</f>
      </c>
      <c r="AO70" s="203">
        <f>IF($C70,IFERROR(VLOOKUP($D70,'Sprints'!$I$5:$J$12,2,FALSE),"Semanal"),"")</f>
      </c>
      <c r="AP70" s="202">
        <f>IF($C70,IFERROR(VLOOKUP($AO70,'Sprints'!$B$9:$C$11,2,FALSE),1),"")</f>
      </c>
      <c r="AQ70" s="202">
        <f>IF($C70,'Sprints'!$C$5,"")</f>
      </c>
      <c r="AR70" s="202">
        <f>IF(AND($C70,ISNUMBER($H70)),CEILING(MAX(1,INT(($H70-$AQ70+'Sprints'!$D$5-1)/'Sprints'!$D$5)+1)/$AP70,1),"")</f>
      </c>
      <c r="AS70" s="202">
        <f>IF($C70,CEILING(MAX(1,INT((TODAY()-$AQ70+'Sprints'!$D$5-1)/'Sprints'!$D$5)+1)/$AP70,1),"")</f>
      </c>
      <c r="AT70" s="203">
        <f>IF($C70,'Backlog General'!$G70,"")</f>
      </c>
      <c r="AU70" s="203">
        <f>IF($C70,'Backlog General'!$H70,"")</f>
      </c>
      <c r="AV70" s="202">
        <f>IF(AND($C70,ISNUMBER($AR70)),IF(OR($AT70="Completo",$AU70="Cancelado",$AU70="Baja prioridad"),$AR70,IF($AU70="Pasa al siguiente",MAX($AR70+1,$AS70),MAX($AR70,$AS70))),"")</f>
      </c>
      <c r="AW70" s="202">
        <f>IF(AND($C70,ISNUMBER($AR70)),$AQ70+$AR70*$AP70*'Sprints'!$D$5-'Sprints'!$D$5,"")</f>
      </c>
      <c r="AX70" s="202">
        <f>IF($C70,IF(OR($AT70="Completo",$AU70="Cancelado",$AU70="Baja prioridad",NOT(ISNUMBER($AW70))),0,IF(TODAY()&gt;$AW70,NETWORKDAYS($AW70,TODAY(),'Sprints'!$L$5:$L$40)-1,0)),"")</f>
      </c>
      <c r="AY70" s="203">
        <f>IF($C70,IF(NOT(ISNUMBER($AR70)),"Sin fecha",IF($AT70="Completo","Completo",IF($AU70="Cancelado","Cancelado",IF($AU70="Baja prioridad","Baja prioridad",IF($AX70&gt;0,"Vencida","Pendiente"))))),"")</f>
      </c>
      <c r="AZ70" s="203">
        <f>IF($C70,IF(ISNUMBER($AV70),$AO70&amp;" · S"&amp;$AV70,"(Sin fecha)"),"")</f>
      </c>
      <c r="BA70" s="202">
        <f>IF($C70,IF(AND(ISNUMBER('Backlog General'!$M70),'Backlog General'!$M70=$AS70),"Nuevo S"&amp;'Backlog General'!$M70,""),"")</f>
      </c>
      <c r="BB70" s="202">
        <f>IF(AND($C70,$AO70="Semanal",ISNUMBER($AV70)),$AV70*100000+ROW(),"")</f>
      </c>
      <c r="BC70" s="202">
        <f>IF(AND($C70,$AO70="Quincenal",ISNUMBER($AV70)),$AV70*100000+ROW(),"")</f>
      </c>
      <c r="BD70" s="202">
        <f>IF(AND($C70,$AO70="Mensual",ISNUMBER($AV70)),$AV70*100000+ROW(),"")</f>
      </c>
      <c r="BE70" s="203">
        <f>IF($C70,IF(ISBLANK('Backlog General'!$J70),"",'Backlog General'!$J70),"")</f>
      </c>
      <c r="BF70" s="203">
        <f>IF($C70,IF($BE70="","",$BE70)&amp;IF(AND($BE70&lt;&gt;"",$AH70&lt;&gt;"")," · ","")&amp;IF($AH70="","",$AH70),"")</f>
      </c>
      <c r="BG70" s="203">
        <f>IF($C70,IF($J70="Completado","Sí","No"),"")</f>
      </c>
      <c r="BH70" s="202">
        <f>IF(AND($C70,ISNUMBER($AR70)),IF($AO70="Semanal",1,IF($AO70="Quincenal",2,3))*1000000000+$AR70*100000+ROW(),"")</f>
      </c>
    </row>
    <row r="71">
      <c r="A71" s="202">
        <f>ROW()</f>
        <v>71</v>
      </c>
      <c r="B71" s="202" t="b">
        <f>ISTEXT('Proyecto Datos (OKR´s)'!$K71)</f>
        <v>0</v>
      </c>
      <c r="C71" s="202" t="b">
        <f>AND(LEN('Proyecto Datos (OKR´s)'!$G71)&gt;0,NOT($B71),OR(ISNUMBER('Proyecto Datos (OKR´s)'!$F71),ISNUMBER('Proyecto Datos (OKR´s)'!$L71)))</f>
        <v>0</v>
      </c>
      <c r="D71" s="203">
        <f>IF($C71,IFERROR(LOOKUP(2,1/((ISTEXT('Proyecto Datos (OKR´s)'!$K$7:$K71))*(LEN('Proyecto Datos (OKR´s)'!$G$7:$G71)&gt;0)),'Proyecto Datos (OKR´s)'!$G$7:$G71),""),"")</f>
      </c>
      <c r="E71" s="202">
        <f>IF($C71,'Proyecto Datos (OKR´s)'!$E71,"")</f>
      </c>
      <c r="F71" s="203">
        <f>IF($C71,'Proyecto Datos (OKR´s)'!$G71,"")</f>
      </c>
      <c r="G71" s="203">
        <f>IF($C71,IF('Proyecto Datos (OKR´s)'!$I71="","(Sin asignar)",'Proyecto Datos (OKR´s)'!$I71),"")</f>
      </c>
      <c r="H71" s="202">
        <f>IF($C71,IF(ISNUMBER('Proyecto Datos (OKR´s)'!$F71),'Proyecto Datos (OKR´s)'!$F71,""),"")</f>
      </c>
      <c r="I71" s="202">
        <f>IF($C71,'Proyecto Datos (OKR´s)'!$J71,"")</f>
      </c>
      <c r="J71" s="203">
        <f>IF($C71,IF($I71&gt;=1,"Completado",IF(NOT(ISNUMBER($H71)),"Sin fecha",IF($H71&lt;TODAY(),"Vencido",IF(($H71-TODAY())&lt;='Entregas Próximas'!$M$3,"Próximo a vencer","En curso")))),"")</f>
      </c>
      <c r="K71" s="202">
        <f>IF(AND($C71,ISNUMBER($H71)),$H71-TODAY(),"")</f>
      </c>
      <c r="L71" s="202">
        <f>IF(AND($C71,ISNUMBER($H71)),$AD71*1000000+$H71+ROW()/100000,"")</f>
      </c>
      <c r="M71" s="202">
        <f>IF($C71,IF($AD71=9999,"(Sin sprint)",$AD71),"")</f>
      </c>
      <c r="N71" s="202">
        <f>IF($C71,IF('Proyecto Datos (OKR´s)'!$E71="",9999,'Proyecto Datos (OKR´s)'!$E71),"")</f>
      </c>
      <c r="O71" s="202">
        <f>IF($C71,"T"&amp;TEXT(ROW(),"000"),"")</f>
      </c>
      <c r="R71" s="202">
        <f>IF($C71,IF(ISNUMBER('Proyecto Datos (OKR´s)'!$L71),'Proyecto Datos (OKR´s)'!$L71,$H71),"")</f>
      </c>
      <c r="S71" s="202">
        <f>IF($C71,$R71-'Proyecto Datos (OKR´s)'!$K71+1,"")</f>
      </c>
      <c r="T71" s="202">
        <f>IF($C71,MAX(0,TODAY()-'Proyecto Datos (OKR´s)'!$K71),"")</f>
      </c>
      <c r="U71" s="202">
        <f>IF($C71,MEDIAN(0,(TODAY()-'Proyecto Datos (OKR´s)'!$K71)/MAX(1,$R71-'Proyecto Datos (OKR´s)'!$K71),1),"")</f>
      </c>
      <c r="V71" s="202">
        <f>IF($C71,$I71-$U71,"")</f>
      </c>
      <c r="W71" s="202">
        <f>IF($C71,IF(OR($J71="Completado",NOT(ISNUMBER($H71))),0,MAX(0,TODAY()-$H71)),"")</f>
      </c>
      <c r="X71" s="202">
        <f>IF($C71,IF(ISNUMBER($H71),$R71-$H71,0),"")</f>
      </c>
      <c r="Y71" s="202">
        <f>IF($C71,COUNTIFS($G$7:$G$200,$G71,$J$7:$J$200,"&lt;&gt;Completado",$J$7:$J$200,"&lt;&gt;"),"")</f>
      </c>
      <c r="Z71" s="202">
        <f>IF($C71,AND($I71=0,'Proyecto Datos (OKR´s)'!$K71&lt;=TODAY(),$J71&lt;&gt;"Completado"),"")</f>
      </c>
      <c r="AA71" s="202">
        <f>IF($C71,ROUND(100*(0.35*$AK71+0.3*$AL71+0.2*$AM71+0.15*MEDIAN(0,($Y71-4)/8,1)),0),"")</f>
      </c>
      <c r="AB71" s="203">
        <f>IF($C71,IF(OR($J71="Completado",$J71="Sin fecha"),"—",IF($AA71&gt;=70,"Crítica",IF($AA71&gt;=45,"Alta",IF($AA71&gt;=25,"Media","Baja")))),"")</f>
      </c>
      <c r="AC71" s="203">
        <f>IF($C71,IF(LEN(TRIM($AN71))=0,"—",TRIM($AN71)),"")</f>
      </c>
      <c r="AD71" s="202">
        <f>IF($C71,$AV71,"")</f>
      </c>
      <c r="AE71" s="202">
        <f>IF($C71,$AZ71,"")</f>
      </c>
      <c r="AF71" s="202" t="b">
        <f>IF($C71,$AV71&lt;&gt;$AR71,FALSE)</f>
        <v>0</v>
      </c>
      <c r="AG71" s="202">
        <f>IF($C71,IF($AV71&lt;&gt;$AR71,$AW71,""),"")</f>
      </c>
      <c r="AH71" s="203">
        <f>IF($C71,IF(ISBLANK('Backlog General'!$K71),"",'Backlog General'!$K71),"")</f>
      </c>
      <c r="AI71" s="202">
        <f>IF($C71,$AV71*100000+ROW(),"")</f>
      </c>
      <c r="AJ71" s="202">
        <f>IF(AND($C71,ISNUMBER($H71)),$AA71*1000000-MEDIAN(-9999,$K71,9999)*100+(300-ROW()),"")</f>
      </c>
      <c r="AK71" s="202">
        <f>IF($C71,IF($J71="Completado",0,IF($K71&lt;0,1,IF($K71&lt;=3,0.9,IF($K71&lt;=7,0.7,IF($K71&lt;=14,0.45,0.2))))),"")</f>
      </c>
      <c r="AL71" s="202">
        <f>IF($C71,IF($J71="Completado",0,MEDIAN(0,MAX(-$V71,$W71/30),1)),"")</f>
      </c>
      <c r="AM71" s="202">
        <f>IF($C71,IF($J71="Completado",0,IF($Z71,1,IF(AND($I71&lt;0.5,$K71&lt;=7),0.7,0.3))),"")</f>
      </c>
      <c r="AN71" s="203">
        <f>IF($C71,IF(OR($V71&lt;-0.2,$W71&gt;0),"ATRASO ","")&amp;IF($Z71,"BLOQUEO ","")&amp;IF($Y71&gt;8,"SOBRECARGA ","")&amp;IF($X71&gt;0,"DESVÍO-PLAN ",""),"")</f>
      </c>
      <c r="AO71" s="203">
        <f>IF($C71,IFERROR(VLOOKUP($D71,'Sprints'!$I$5:$J$12,2,FALSE),"Semanal"),"")</f>
      </c>
      <c r="AP71" s="202">
        <f>IF($C71,IFERROR(VLOOKUP($AO71,'Sprints'!$B$9:$C$11,2,FALSE),1),"")</f>
      </c>
      <c r="AQ71" s="202">
        <f>IF($C71,'Sprints'!$C$5,"")</f>
      </c>
      <c r="AR71" s="202">
        <f>IF(AND($C71,ISNUMBER($H71)),CEILING(MAX(1,INT(($H71-$AQ71+'Sprints'!$D$5-1)/'Sprints'!$D$5)+1)/$AP71,1),"")</f>
      </c>
      <c r="AS71" s="202">
        <f>IF($C71,CEILING(MAX(1,INT((TODAY()-$AQ71+'Sprints'!$D$5-1)/'Sprints'!$D$5)+1)/$AP71,1),"")</f>
      </c>
      <c r="AT71" s="203">
        <f>IF($C71,'Backlog General'!$G71,"")</f>
      </c>
      <c r="AU71" s="203">
        <f>IF($C71,'Backlog General'!$H71,"")</f>
      </c>
      <c r="AV71" s="202">
        <f>IF(AND($C71,ISNUMBER($AR71)),IF(OR($AT71="Completo",$AU71="Cancelado",$AU71="Baja prioridad"),$AR71,IF($AU71="Pasa al siguiente",MAX($AR71+1,$AS71),MAX($AR71,$AS71))),"")</f>
      </c>
      <c r="AW71" s="202">
        <f>IF(AND($C71,ISNUMBER($AR71)),$AQ71+$AR71*$AP71*'Sprints'!$D$5-'Sprints'!$D$5,"")</f>
      </c>
      <c r="AX71" s="202">
        <f>IF($C71,IF(OR($AT71="Completo",$AU71="Cancelado",$AU71="Baja prioridad",NOT(ISNUMBER($AW71))),0,IF(TODAY()&gt;$AW71,NETWORKDAYS($AW71,TODAY(),'Sprints'!$L$5:$L$40)-1,0)),"")</f>
      </c>
      <c r="AY71" s="203">
        <f>IF($C71,IF(NOT(ISNUMBER($AR71)),"Sin fecha",IF($AT71="Completo","Completo",IF($AU71="Cancelado","Cancelado",IF($AU71="Baja prioridad","Baja prioridad",IF($AX71&gt;0,"Vencida","Pendiente"))))),"")</f>
      </c>
      <c r="AZ71" s="203">
        <f>IF($C71,IF(ISNUMBER($AV71),$AO71&amp;" · S"&amp;$AV71,"(Sin fecha)"),"")</f>
      </c>
      <c r="BA71" s="202">
        <f>IF($C71,IF(AND(ISNUMBER('Backlog General'!$M71),'Backlog General'!$M71=$AS71),"Nuevo S"&amp;'Backlog General'!$M71,""),"")</f>
      </c>
      <c r="BB71" s="202">
        <f>IF(AND($C71,$AO71="Semanal",ISNUMBER($AV71)),$AV71*100000+ROW(),"")</f>
      </c>
      <c r="BC71" s="202">
        <f>IF(AND($C71,$AO71="Quincenal",ISNUMBER($AV71)),$AV71*100000+ROW(),"")</f>
      </c>
      <c r="BD71" s="202">
        <f>IF(AND($C71,$AO71="Mensual",ISNUMBER($AV71)),$AV71*100000+ROW(),"")</f>
      </c>
      <c r="BE71" s="203">
        <f>IF($C71,IF(ISBLANK('Backlog General'!$J71),"",'Backlog General'!$J71),"")</f>
      </c>
      <c r="BF71" s="203">
        <f>IF($C71,IF($BE71="","",$BE71)&amp;IF(AND($BE71&lt;&gt;"",$AH71&lt;&gt;"")," · ","")&amp;IF($AH71="","",$AH71),"")</f>
      </c>
      <c r="BG71" s="203">
        <f>IF($C71,IF($J71="Completado","Sí","No"),"")</f>
      </c>
      <c r="BH71" s="202">
        <f>IF(AND($C71,ISNUMBER($AR71)),IF($AO71="Semanal",1,IF($AO71="Quincenal",2,3))*1000000000+$AR71*100000+ROW(),"")</f>
      </c>
    </row>
    <row r="72">
      <c r="A72" s="202">
        <f>ROW()</f>
        <v>72</v>
      </c>
      <c r="B72" s="202" t="b">
        <f>ISTEXT('Proyecto Datos (OKR´s)'!$K72)</f>
        <v>0</v>
      </c>
      <c r="C72" s="202" t="b">
        <f>AND(LEN('Proyecto Datos (OKR´s)'!$G72)&gt;0,NOT($B72),OR(ISNUMBER('Proyecto Datos (OKR´s)'!$F72),ISNUMBER('Proyecto Datos (OKR´s)'!$L72)))</f>
        <v>0</v>
      </c>
      <c r="D72" s="203">
        <f>IF($C72,IFERROR(LOOKUP(2,1/((ISTEXT('Proyecto Datos (OKR´s)'!$K$7:$K72))*(LEN('Proyecto Datos (OKR´s)'!$G$7:$G72)&gt;0)),'Proyecto Datos (OKR´s)'!$G$7:$G72),""),"")</f>
      </c>
      <c r="E72" s="202">
        <f>IF($C72,'Proyecto Datos (OKR´s)'!$E72,"")</f>
      </c>
      <c r="F72" s="203">
        <f>IF($C72,'Proyecto Datos (OKR´s)'!$G72,"")</f>
      </c>
      <c r="G72" s="203">
        <f>IF($C72,IF('Proyecto Datos (OKR´s)'!$I72="","(Sin asignar)",'Proyecto Datos (OKR´s)'!$I72),"")</f>
      </c>
      <c r="H72" s="202">
        <f>IF($C72,IF(ISNUMBER('Proyecto Datos (OKR´s)'!$F72),'Proyecto Datos (OKR´s)'!$F72,""),"")</f>
      </c>
      <c r="I72" s="202">
        <f>IF($C72,'Proyecto Datos (OKR´s)'!$J72,"")</f>
      </c>
      <c r="J72" s="203">
        <f>IF($C72,IF($I72&gt;=1,"Completado",IF(NOT(ISNUMBER($H72)),"Sin fecha",IF($H72&lt;TODAY(),"Vencido",IF(($H72-TODAY())&lt;='Entregas Próximas'!$M$3,"Próximo a vencer","En curso")))),"")</f>
      </c>
      <c r="K72" s="202">
        <f>IF(AND($C72,ISNUMBER($H72)),$H72-TODAY(),"")</f>
      </c>
      <c r="L72" s="202">
        <f>IF(AND($C72,ISNUMBER($H72)),$AD72*1000000+$H72+ROW()/100000,"")</f>
      </c>
      <c r="M72" s="202">
        <f>IF($C72,IF($AD72=9999,"(Sin sprint)",$AD72),"")</f>
      </c>
      <c r="N72" s="202">
        <f>IF($C72,IF('Proyecto Datos (OKR´s)'!$E72="",9999,'Proyecto Datos (OKR´s)'!$E72),"")</f>
      </c>
      <c r="O72" s="202">
        <f>IF($C72,"T"&amp;TEXT(ROW(),"000"),"")</f>
      </c>
      <c r="R72" s="202">
        <f>IF($C72,IF(ISNUMBER('Proyecto Datos (OKR´s)'!$L72),'Proyecto Datos (OKR´s)'!$L72,$H72),"")</f>
      </c>
      <c r="S72" s="202">
        <f>IF($C72,$R72-'Proyecto Datos (OKR´s)'!$K72+1,"")</f>
      </c>
      <c r="T72" s="202">
        <f>IF($C72,MAX(0,TODAY()-'Proyecto Datos (OKR´s)'!$K72),"")</f>
      </c>
      <c r="U72" s="202">
        <f>IF($C72,MEDIAN(0,(TODAY()-'Proyecto Datos (OKR´s)'!$K72)/MAX(1,$R72-'Proyecto Datos (OKR´s)'!$K72),1),"")</f>
      </c>
      <c r="V72" s="202">
        <f>IF($C72,$I72-$U72,"")</f>
      </c>
      <c r="W72" s="202">
        <f>IF($C72,IF(OR($J72="Completado",NOT(ISNUMBER($H72))),0,MAX(0,TODAY()-$H72)),"")</f>
      </c>
      <c r="X72" s="202">
        <f>IF($C72,IF(ISNUMBER($H72),$R72-$H72,0),"")</f>
      </c>
      <c r="Y72" s="202">
        <f>IF($C72,COUNTIFS($G$7:$G$200,$G72,$J$7:$J$200,"&lt;&gt;Completado",$J$7:$J$200,"&lt;&gt;"),"")</f>
      </c>
      <c r="Z72" s="202">
        <f>IF($C72,AND($I72=0,'Proyecto Datos (OKR´s)'!$K72&lt;=TODAY(),$J72&lt;&gt;"Completado"),"")</f>
      </c>
      <c r="AA72" s="202">
        <f>IF($C72,ROUND(100*(0.35*$AK72+0.3*$AL72+0.2*$AM72+0.15*MEDIAN(0,($Y72-4)/8,1)),0),"")</f>
      </c>
      <c r="AB72" s="203">
        <f>IF($C72,IF(OR($J72="Completado",$J72="Sin fecha"),"—",IF($AA72&gt;=70,"Crítica",IF($AA72&gt;=45,"Alta",IF($AA72&gt;=25,"Media","Baja")))),"")</f>
      </c>
      <c r="AC72" s="203">
        <f>IF($C72,IF(LEN(TRIM($AN72))=0,"—",TRIM($AN72)),"")</f>
      </c>
      <c r="AD72" s="202">
        <f>IF($C72,$AV72,"")</f>
      </c>
      <c r="AE72" s="202">
        <f>IF($C72,$AZ72,"")</f>
      </c>
      <c r="AF72" s="202" t="b">
        <f>IF($C72,$AV72&lt;&gt;$AR72,FALSE)</f>
        <v>0</v>
      </c>
      <c r="AG72" s="202">
        <f>IF($C72,IF($AV72&lt;&gt;$AR72,$AW72,""),"")</f>
      </c>
      <c r="AH72" s="203">
        <f>IF($C72,IF(ISBLANK('Backlog General'!$K72),"",'Backlog General'!$K72),"")</f>
      </c>
      <c r="AI72" s="202">
        <f>IF($C72,$AV72*100000+ROW(),"")</f>
      </c>
      <c r="AJ72" s="202">
        <f>IF(AND($C72,ISNUMBER($H72)),$AA72*1000000-MEDIAN(-9999,$K72,9999)*100+(300-ROW()),"")</f>
      </c>
      <c r="AK72" s="202">
        <f>IF($C72,IF($J72="Completado",0,IF($K72&lt;0,1,IF($K72&lt;=3,0.9,IF($K72&lt;=7,0.7,IF($K72&lt;=14,0.45,0.2))))),"")</f>
      </c>
      <c r="AL72" s="202">
        <f>IF($C72,IF($J72="Completado",0,MEDIAN(0,MAX(-$V72,$W72/30),1)),"")</f>
      </c>
      <c r="AM72" s="202">
        <f>IF($C72,IF($J72="Completado",0,IF($Z72,1,IF(AND($I72&lt;0.5,$K72&lt;=7),0.7,0.3))),"")</f>
      </c>
      <c r="AN72" s="203">
        <f>IF($C72,IF(OR($V72&lt;-0.2,$W72&gt;0),"ATRASO ","")&amp;IF($Z72,"BLOQUEO ","")&amp;IF($Y72&gt;8,"SOBRECARGA ","")&amp;IF($X72&gt;0,"DESVÍO-PLAN ",""),"")</f>
      </c>
      <c r="AO72" s="203">
        <f>IF($C72,IFERROR(VLOOKUP($D72,'Sprints'!$I$5:$J$12,2,FALSE),"Semanal"),"")</f>
      </c>
      <c r="AP72" s="202">
        <f>IF($C72,IFERROR(VLOOKUP($AO72,'Sprints'!$B$9:$C$11,2,FALSE),1),"")</f>
      </c>
      <c r="AQ72" s="202">
        <f>IF($C72,'Sprints'!$C$5,"")</f>
      </c>
      <c r="AR72" s="202">
        <f>IF(AND($C72,ISNUMBER($H72)),CEILING(MAX(1,INT(($H72-$AQ72+'Sprints'!$D$5-1)/'Sprints'!$D$5)+1)/$AP72,1),"")</f>
      </c>
      <c r="AS72" s="202">
        <f>IF($C72,CEILING(MAX(1,INT((TODAY()-$AQ72+'Sprints'!$D$5-1)/'Sprints'!$D$5)+1)/$AP72,1),"")</f>
      </c>
      <c r="AT72" s="203">
        <f>IF($C72,'Backlog General'!$G72,"")</f>
      </c>
      <c r="AU72" s="203">
        <f>IF($C72,'Backlog General'!$H72,"")</f>
      </c>
      <c r="AV72" s="202">
        <f>IF(AND($C72,ISNUMBER($AR72)),IF(OR($AT72="Completo",$AU72="Cancelado",$AU72="Baja prioridad"),$AR72,IF($AU72="Pasa al siguiente",MAX($AR72+1,$AS72),MAX($AR72,$AS72))),"")</f>
      </c>
      <c r="AW72" s="202">
        <f>IF(AND($C72,ISNUMBER($AR72)),$AQ72+$AR72*$AP72*'Sprints'!$D$5-'Sprints'!$D$5,"")</f>
      </c>
      <c r="AX72" s="202">
        <f>IF($C72,IF(OR($AT72="Completo",$AU72="Cancelado",$AU72="Baja prioridad",NOT(ISNUMBER($AW72))),0,IF(TODAY()&gt;$AW72,NETWORKDAYS($AW72,TODAY(),'Sprints'!$L$5:$L$40)-1,0)),"")</f>
      </c>
      <c r="AY72" s="203">
        <f>IF($C72,IF(NOT(ISNUMBER($AR72)),"Sin fecha",IF($AT72="Completo","Completo",IF($AU72="Cancelado","Cancelado",IF($AU72="Baja prioridad","Baja prioridad",IF($AX72&gt;0,"Vencida","Pendiente"))))),"")</f>
      </c>
      <c r="AZ72" s="203">
        <f>IF($C72,IF(ISNUMBER($AV72),$AO72&amp;" · S"&amp;$AV72,"(Sin fecha)"),"")</f>
      </c>
      <c r="BA72" s="202">
        <f>IF($C72,IF(AND(ISNUMBER('Backlog General'!$M72),'Backlog General'!$M72=$AS72),"Nuevo S"&amp;'Backlog General'!$M72,""),"")</f>
      </c>
      <c r="BB72" s="202">
        <f>IF(AND($C72,$AO72="Semanal",ISNUMBER($AV72)),$AV72*100000+ROW(),"")</f>
      </c>
      <c r="BC72" s="202">
        <f>IF(AND($C72,$AO72="Quincenal",ISNUMBER($AV72)),$AV72*100000+ROW(),"")</f>
      </c>
      <c r="BD72" s="202">
        <f>IF(AND($C72,$AO72="Mensual",ISNUMBER($AV72)),$AV72*100000+ROW(),"")</f>
      </c>
      <c r="BE72" s="203">
        <f>IF($C72,IF(ISBLANK('Backlog General'!$J72),"",'Backlog General'!$J72),"")</f>
      </c>
      <c r="BF72" s="203">
        <f>IF($C72,IF($BE72="","",$BE72)&amp;IF(AND($BE72&lt;&gt;"",$AH72&lt;&gt;"")," · ","")&amp;IF($AH72="","",$AH72),"")</f>
      </c>
      <c r="BG72" s="203">
        <f>IF($C72,IF($J72="Completado","Sí","No"),"")</f>
      </c>
      <c r="BH72" s="202">
        <f>IF(AND($C72,ISNUMBER($AR72)),IF($AO72="Semanal",1,IF($AO72="Quincenal",2,3))*1000000000+$AR72*100000+ROW(),"")</f>
      </c>
    </row>
    <row r="73">
      <c r="A73" s="202">
        <f>ROW()</f>
        <v>73</v>
      </c>
      <c r="B73" s="202" t="b">
        <f>ISTEXT('Proyecto Datos (OKR´s)'!$K73)</f>
        <v>0</v>
      </c>
      <c r="C73" s="202" t="b">
        <f>AND(LEN('Proyecto Datos (OKR´s)'!$G73)&gt;0,NOT($B73),OR(ISNUMBER('Proyecto Datos (OKR´s)'!$F73),ISNUMBER('Proyecto Datos (OKR´s)'!$L73)))</f>
        <v>0</v>
      </c>
      <c r="D73" s="203">
        <f>IF($C73,IFERROR(LOOKUP(2,1/((ISTEXT('Proyecto Datos (OKR´s)'!$K$7:$K73))*(LEN('Proyecto Datos (OKR´s)'!$G$7:$G73)&gt;0)),'Proyecto Datos (OKR´s)'!$G$7:$G73),""),"")</f>
      </c>
      <c r="E73" s="202">
        <f>IF($C73,'Proyecto Datos (OKR´s)'!$E73,"")</f>
      </c>
      <c r="F73" s="203">
        <f>IF($C73,'Proyecto Datos (OKR´s)'!$G73,"")</f>
      </c>
      <c r="G73" s="203">
        <f>IF($C73,IF('Proyecto Datos (OKR´s)'!$I73="","(Sin asignar)",'Proyecto Datos (OKR´s)'!$I73),"")</f>
      </c>
      <c r="H73" s="202">
        <f>IF($C73,IF(ISNUMBER('Proyecto Datos (OKR´s)'!$F73),'Proyecto Datos (OKR´s)'!$F73,""),"")</f>
      </c>
      <c r="I73" s="202">
        <f>IF($C73,'Proyecto Datos (OKR´s)'!$J73,"")</f>
      </c>
      <c r="J73" s="203">
        <f>IF($C73,IF($I73&gt;=1,"Completado",IF(NOT(ISNUMBER($H73)),"Sin fecha",IF($H73&lt;TODAY(),"Vencido",IF(($H73-TODAY())&lt;='Entregas Próximas'!$M$3,"Próximo a vencer","En curso")))),"")</f>
      </c>
      <c r="K73" s="202">
        <f>IF(AND($C73,ISNUMBER($H73)),$H73-TODAY(),"")</f>
      </c>
      <c r="L73" s="202">
        <f>IF(AND($C73,ISNUMBER($H73)),$AD73*1000000+$H73+ROW()/100000,"")</f>
      </c>
      <c r="M73" s="202">
        <f>IF($C73,IF($AD73=9999,"(Sin sprint)",$AD73),"")</f>
      </c>
      <c r="N73" s="202">
        <f>IF($C73,IF('Proyecto Datos (OKR´s)'!$E73="",9999,'Proyecto Datos (OKR´s)'!$E73),"")</f>
      </c>
      <c r="O73" s="202">
        <f>IF($C73,"T"&amp;TEXT(ROW(),"000"),"")</f>
      </c>
      <c r="R73" s="202">
        <f>IF($C73,IF(ISNUMBER('Proyecto Datos (OKR´s)'!$L73),'Proyecto Datos (OKR´s)'!$L73,$H73),"")</f>
      </c>
      <c r="S73" s="202">
        <f>IF($C73,$R73-'Proyecto Datos (OKR´s)'!$K73+1,"")</f>
      </c>
      <c r="T73" s="202">
        <f>IF($C73,MAX(0,TODAY()-'Proyecto Datos (OKR´s)'!$K73),"")</f>
      </c>
      <c r="U73" s="202">
        <f>IF($C73,MEDIAN(0,(TODAY()-'Proyecto Datos (OKR´s)'!$K73)/MAX(1,$R73-'Proyecto Datos (OKR´s)'!$K73),1),"")</f>
      </c>
      <c r="V73" s="202">
        <f>IF($C73,$I73-$U73,"")</f>
      </c>
      <c r="W73" s="202">
        <f>IF($C73,IF(OR($J73="Completado",NOT(ISNUMBER($H73))),0,MAX(0,TODAY()-$H73)),"")</f>
      </c>
      <c r="X73" s="202">
        <f>IF($C73,IF(ISNUMBER($H73),$R73-$H73,0),"")</f>
      </c>
      <c r="Y73" s="202">
        <f>IF($C73,COUNTIFS($G$7:$G$200,$G73,$J$7:$J$200,"&lt;&gt;Completado",$J$7:$J$200,"&lt;&gt;"),"")</f>
      </c>
      <c r="Z73" s="202">
        <f>IF($C73,AND($I73=0,'Proyecto Datos (OKR´s)'!$K73&lt;=TODAY(),$J73&lt;&gt;"Completado"),"")</f>
      </c>
      <c r="AA73" s="202">
        <f>IF($C73,ROUND(100*(0.35*$AK73+0.3*$AL73+0.2*$AM73+0.15*MEDIAN(0,($Y73-4)/8,1)),0),"")</f>
      </c>
      <c r="AB73" s="203">
        <f>IF($C73,IF(OR($J73="Completado",$J73="Sin fecha"),"—",IF($AA73&gt;=70,"Crítica",IF($AA73&gt;=45,"Alta",IF($AA73&gt;=25,"Media","Baja")))),"")</f>
      </c>
      <c r="AC73" s="203">
        <f>IF($C73,IF(LEN(TRIM($AN73))=0,"—",TRIM($AN73)),"")</f>
      </c>
      <c r="AD73" s="202">
        <f>IF($C73,$AV73,"")</f>
      </c>
      <c r="AE73" s="202">
        <f>IF($C73,$AZ73,"")</f>
      </c>
      <c r="AF73" s="202" t="b">
        <f>IF($C73,$AV73&lt;&gt;$AR73,FALSE)</f>
        <v>0</v>
      </c>
      <c r="AG73" s="202">
        <f>IF($C73,IF($AV73&lt;&gt;$AR73,$AW73,""),"")</f>
      </c>
      <c r="AH73" s="203">
        <f>IF($C73,IF(ISBLANK('Backlog General'!$K73),"",'Backlog General'!$K73),"")</f>
      </c>
      <c r="AI73" s="202">
        <f>IF($C73,$AV73*100000+ROW(),"")</f>
      </c>
      <c r="AJ73" s="202">
        <f>IF(AND($C73,ISNUMBER($H73)),$AA73*1000000-MEDIAN(-9999,$K73,9999)*100+(300-ROW()),"")</f>
      </c>
      <c r="AK73" s="202">
        <f>IF($C73,IF($J73="Completado",0,IF($K73&lt;0,1,IF($K73&lt;=3,0.9,IF($K73&lt;=7,0.7,IF($K73&lt;=14,0.45,0.2))))),"")</f>
      </c>
      <c r="AL73" s="202">
        <f>IF($C73,IF($J73="Completado",0,MEDIAN(0,MAX(-$V73,$W73/30),1)),"")</f>
      </c>
      <c r="AM73" s="202">
        <f>IF($C73,IF($J73="Completado",0,IF($Z73,1,IF(AND($I73&lt;0.5,$K73&lt;=7),0.7,0.3))),"")</f>
      </c>
      <c r="AN73" s="203">
        <f>IF($C73,IF(OR($V73&lt;-0.2,$W73&gt;0),"ATRASO ","")&amp;IF($Z73,"BLOQUEO ","")&amp;IF($Y73&gt;8,"SOBRECARGA ","")&amp;IF($X73&gt;0,"DESVÍO-PLAN ",""),"")</f>
      </c>
      <c r="AO73" s="203">
        <f>IF($C73,IFERROR(VLOOKUP($D73,'Sprints'!$I$5:$J$12,2,FALSE),"Semanal"),"")</f>
      </c>
      <c r="AP73" s="202">
        <f>IF($C73,IFERROR(VLOOKUP($AO73,'Sprints'!$B$9:$C$11,2,FALSE),1),"")</f>
      </c>
      <c r="AQ73" s="202">
        <f>IF($C73,'Sprints'!$C$5,"")</f>
      </c>
      <c r="AR73" s="202">
        <f>IF(AND($C73,ISNUMBER($H73)),CEILING(MAX(1,INT(($H73-$AQ73+'Sprints'!$D$5-1)/'Sprints'!$D$5)+1)/$AP73,1),"")</f>
      </c>
      <c r="AS73" s="202">
        <f>IF($C73,CEILING(MAX(1,INT((TODAY()-$AQ73+'Sprints'!$D$5-1)/'Sprints'!$D$5)+1)/$AP73,1),"")</f>
      </c>
      <c r="AT73" s="203">
        <f>IF($C73,'Backlog General'!$G73,"")</f>
      </c>
      <c r="AU73" s="203">
        <f>IF($C73,'Backlog General'!$H73,"")</f>
      </c>
      <c r="AV73" s="202">
        <f>IF(AND($C73,ISNUMBER($AR73)),IF(OR($AT73="Completo",$AU73="Cancelado",$AU73="Baja prioridad"),$AR73,IF($AU73="Pasa al siguiente",MAX($AR73+1,$AS73),MAX($AR73,$AS73))),"")</f>
      </c>
      <c r="AW73" s="202">
        <f>IF(AND($C73,ISNUMBER($AR73)),$AQ73+$AR73*$AP73*'Sprints'!$D$5-'Sprints'!$D$5,"")</f>
      </c>
      <c r="AX73" s="202">
        <f>IF($C73,IF(OR($AT73="Completo",$AU73="Cancelado",$AU73="Baja prioridad",NOT(ISNUMBER($AW73))),0,IF(TODAY()&gt;$AW73,NETWORKDAYS($AW73,TODAY(),'Sprints'!$L$5:$L$40)-1,0)),"")</f>
      </c>
      <c r="AY73" s="203">
        <f>IF($C73,IF(NOT(ISNUMBER($AR73)),"Sin fecha",IF($AT73="Completo","Completo",IF($AU73="Cancelado","Cancelado",IF($AU73="Baja prioridad","Baja prioridad",IF($AX73&gt;0,"Vencida","Pendiente"))))),"")</f>
      </c>
      <c r="AZ73" s="203">
        <f>IF($C73,IF(ISNUMBER($AV73),$AO73&amp;" · S"&amp;$AV73,"(Sin fecha)"),"")</f>
      </c>
      <c r="BA73" s="202">
        <f>IF($C73,IF(AND(ISNUMBER('Backlog General'!$M73),'Backlog General'!$M73=$AS73),"Nuevo S"&amp;'Backlog General'!$M73,""),"")</f>
      </c>
      <c r="BB73" s="202">
        <f>IF(AND($C73,$AO73="Semanal",ISNUMBER($AV73)),$AV73*100000+ROW(),"")</f>
      </c>
      <c r="BC73" s="202">
        <f>IF(AND($C73,$AO73="Quincenal",ISNUMBER($AV73)),$AV73*100000+ROW(),"")</f>
      </c>
      <c r="BD73" s="202">
        <f>IF(AND($C73,$AO73="Mensual",ISNUMBER($AV73)),$AV73*100000+ROW(),"")</f>
      </c>
      <c r="BE73" s="203">
        <f>IF($C73,IF(ISBLANK('Backlog General'!$J73),"",'Backlog General'!$J73),"")</f>
      </c>
      <c r="BF73" s="203">
        <f>IF($C73,IF($BE73="","",$BE73)&amp;IF(AND($BE73&lt;&gt;"",$AH73&lt;&gt;"")," · ","")&amp;IF($AH73="","",$AH73),"")</f>
      </c>
      <c r="BG73" s="203">
        <f>IF($C73,IF($J73="Completado","Sí","No"),"")</f>
      </c>
      <c r="BH73" s="202">
        <f>IF(AND($C73,ISNUMBER($AR73)),IF($AO73="Semanal",1,IF($AO73="Quincenal",2,3))*1000000000+$AR73*100000+ROW(),"")</f>
      </c>
    </row>
    <row r="74">
      <c r="A74" s="202">
        <f>ROW()</f>
        <v>74</v>
      </c>
      <c r="B74" s="202" t="b">
        <f>ISTEXT('Proyecto Datos (OKR´s)'!$K74)</f>
        <v>0</v>
      </c>
      <c r="C74" s="202" t="b">
        <f>AND(LEN('Proyecto Datos (OKR´s)'!$G74)&gt;0,NOT($B74),OR(ISNUMBER('Proyecto Datos (OKR´s)'!$F74),ISNUMBER('Proyecto Datos (OKR´s)'!$L74)))</f>
        <v>0</v>
      </c>
      <c r="D74" s="203">
        <f>IF($C74,IFERROR(LOOKUP(2,1/((ISTEXT('Proyecto Datos (OKR´s)'!$K$7:$K74))*(LEN('Proyecto Datos (OKR´s)'!$G$7:$G74)&gt;0)),'Proyecto Datos (OKR´s)'!$G$7:$G74),""),"")</f>
      </c>
      <c r="E74" s="202">
        <f>IF($C74,'Proyecto Datos (OKR´s)'!$E74,"")</f>
      </c>
      <c r="F74" s="203">
        <f>IF($C74,'Proyecto Datos (OKR´s)'!$G74,"")</f>
      </c>
      <c r="G74" s="203">
        <f>IF($C74,IF('Proyecto Datos (OKR´s)'!$I74="","(Sin asignar)",'Proyecto Datos (OKR´s)'!$I74),"")</f>
      </c>
      <c r="H74" s="202">
        <f>IF($C74,IF(ISNUMBER('Proyecto Datos (OKR´s)'!$F74),'Proyecto Datos (OKR´s)'!$F74,""),"")</f>
      </c>
      <c r="I74" s="202">
        <f>IF($C74,'Proyecto Datos (OKR´s)'!$J74,"")</f>
      </c>
      <c r="J74" s="203">
        <f>IF($C74,IF($I74&gt;=1,"Completado",IF(NOT(ISNUMBER($H74)),"Sin fecha",IF($H74&lt;TODAY(),"Vencido",IF(($H74-TODAY())&lt;='Entregas Próximas'!$M$3,"Próximo a vencer","En curso")))),"")</f>
      </c>
      <c r="K74" s="202">
        <f>IF(AND($C74,ISNUMBER($H74)),$H74-TODAY(),"")</f>
      </c>
      <c r="L74" s="202">
        <f>IF(AND($C74,ISNUMBER($H74)),$AD74*1000000+$H74+ROW()/100000,"")</f>
      </c>
      <c r="M74" s="202">
        <f>IF($C74,IF($AD74=9999,"(Sin sprint)",$AD74),"")</f>
      </c>
      <c r="N74" s="202">
        <f>IF($C74,IF('Proyecto Datos (OKR´s)'!$E74="",9999,'Proyecto Datos (OKR´s)'!$E74),"")</f>
      </c>
      <c r="O74" s="202">
        <f>IF($C74,"T"&amp;TEXT(ROW(),"000"),"")</f>
      </c>
      <c r="R74" s="202">
        <f>IF($C74,IF(ISNUMBER('Proyecto Datos (OKR´s)'!$L74),'Proyecto Datos (OKR´s)'!$L74,$H74),"")</f>
      </c>
      <c r="S74" s="202">
        <f>IF($C74,$R74-'Proyecto Datos (OKR´s)'!$K74+1,"")</f>
      </c>
      <c r="T74" s="202">
        <f>IF($C74,MAX(0,TODAY()-'Proyecto Datos (OKR´s)'!$K74),"")</f>
      </c>
      <c r="U74" s="202">
        <f>IF($C74,MEDIAN(0,(TODAY()-'Proyecto Datos (OKR´s)'!$K74)/MAX(1,$R74-'Proyecto Datos (OKR´s)'!$K74),1),"")</f>
      </c>
      <c r="V74" s="202">
        <f>IF($C74,$I74-$U74,"")</f>
      </c>
      <c r="W74" s="202">
        <f>IF($C74,IF(OR($J74="Completado",NOT(ISNUMBER($H74))),0,MAX(0,TODAY()-$H74)),"")</f>
      </c>
      <c r="X74" s="202">
        <f>IF($C74,IF(ISNUMBER($H74),$R74-$H74,0),"")</f>
      </c>
      <c r="Y74" s="202">
        <f>IF($C74,COUNTIFS($G$7:$G$200,$G74,$J$7:$J$200,"&lt;&gt;Completado",$J$7:$J$200,"&lt;&gt;"),"")</f>
      </c>
      <c r="Z74" s="202">
        <f>IF($C74,AND($I74=0,'Proyecto Datos (OKR´s)'!$K74&lt;=TODAY(),$J74&lt;&gt;"Completado"),"")</f>
      </c>
      <c r="AA74" s="202">
        <f>IF($C74,ROUND(100*(0.35*$AK74+0.3*$AL74+0.2*$AM74+0.15*MEDIAN(0,($Y74-4)/8,1)),0),"")</f>
      </c>
      <c r="AB74" s="203">
        <f>IF($C74,IF(OR($J74="Completado",$J74="Sin fecha"),"—",IF($AA74&gt;=70,"Crítica",IF($AA74&gt;=45,"Alta",IF($AA74&gt;=25,"Media","Baja")))),"")</f>
      </c>
      <c r="AC74" s="203">
        <f>IF($C74,IF(LEN(TRIM($AN74))=0,"—",TRIM($AN74)),"")</f>
      </c>
      <c r="AD74" s="202">
        <f>IF($C74,$AV74,"")</f>
      </c>
      <c r="AE74" s="202">
        <f>IF($C74,$AZ74,"")</f>
      </c>
      <c r="AF74" s="202" t="b">
        <f>IF($C74,$AV74&lt;&gt;$AR74,FALSE)</f>
        <v>0</v>
      </c>
      <c r="AG74" s="202">
        <f>IF($C74,IF($AV74&lt;&gt;$AR74,$AW74,""),"")</f>
      </c>
      <c r="AH74" s="203">
        <f>IF($C74,IF(ISBLANK('Backlog General'!$K74),"",'Backlog General'!$K74),"")</f>
      </c>
      <c r="AI74" s="202">
        <f>IF($C74,$AV74*100000+ROW(),"")</f>
      </c>
      <c r="AJ74" s="202">
        <f>IF(AND($C74,ISNUMBER($H74)),$AA74*1000000-MEDIAN(-9999,$K74,9999)*100+(300-ROW()),"")</f>
      </c>
      <c r="AK74" s="202">
        <f>IF($C74,IF($J74="Completado",0,IF($K74&lt;0,1,IF($K74&lt;=3,0.9,IF($K74&lt;=7,0.7,IF($K74&lt;=14,0.45,0.2))))),"")</f>
      </c>
      <c r="AL74" s="202">
        <f>IF($C74,IF($J74="Completado",0,MEDIAN(0,MAX(-$V74,$W74/30),1)),"")</f>
      </c>
      <c r="AM74" s="202">
        <f>IF($C74,IF($J74="Completado",0,IF($Z74,1,IF(AND($I74&lt;0.5,$K74&lt;=7),0.7,0.3))),"")</f>
      </c>
      <c r="AN74" s="203">
        <f>IF($C74,IF(OR($V74&lt;-0.2,$W74&gt;0),"ATRASO ","")&amp;IF($Z74,"BLOQUEO ","")&amp;IF($Y74&gt;8,"SOBRECARGA ","")&amp;IF($X74&gt;0,"DESVÍO-PLAN ",""),"")</f>
      </c>
      <c r="AO74" s="203">
        <f>IF($C74,IFERROR(VLOOKUP($D74,'Sprints'!$I$5:$J$12,2,FALSE),"Semanal"),"")</f>
      </c>
      <c r="AP74" s="202">
        <f>IF($C74,IFERROR(VLOOKUP($AO74,'Sprints'!$B$9:$C$11,2,FALSE),1),"")</f>
      </c>
      <c r="AQ74" s="202">
        <f>IF($C74,'Sprints'!$C$5,"")</f>
      </c>
      <c r="AR74" s="202">
        <f>IF(AND($C74,ISNUMBER($H74)),CEILING(MAX(1,INT(($H74-$AQ74+'Sprints'!$D$5-1)/'Sprints'!$D$5)+1)/$AP74,1),"")</f>
      </c>
      <c r="AS74" s="202">
        <f>IF($C74,CEILING(MAX(1,INT((TODAY()-$AQ74+'Sprints'!$D$5-1)/'Sprints'!$D$5)+1)/$AP74,1),"")</f>
      </c>
      <c r="AT74" s="203">
        <f>IF($C74,'Backlog General'!$G74,"")</f>
      </c>
      <c r="AU74" s="203">
        <f>IF($C74,'Backlog General'!$H74,"")</f>
      </c>
      <c r="AV74" s="202">
        <f>IF(AND($C74,ISNUMBER($AR74)),IF(OR($AT74="Completo",$AU74="Cancelado",$AU74="Baja prioridad"),$AR74,IF($AU74="Pasa al siguiente",MAX($AR74+1,$AS74),MAX($AR74,$AS74))),"")</f>
      </c>
      <c r="AW74" s="202">
        <f>IF(AND($C74,ISNUMBER($AR74)),$AQ74+$AR74*$AP74*'Sprints'!$D$5-'Sprints'!$D$5,"")</f>
      </c>
      <c r="AX74" s="202">
        <f>IF($C74,IF(OR($AT74="Completo",$AU74="Cancelado",$AU74="Baja prioridad",NOT(ISNUMBER($AW74))),0,IF(TODAY()&gt;$AW74,NETWORKDAYS($AW74,TODAY(),'Sprints'!$L$5:$L$40)-1,0)),"")</f>
      </c>
      <c r="AY74" s="203">
        <f>IF($C74,IF(NOT(ISNUMBER($AR74)),"Sin fecha",IF($AT74="Completo","Completo",IF($AU74="Cancelado","Cancelado",IF($AU74="Baja prioridad","Baja prioridad",IF($AX74&gt;0,"Vencida","Pendiente"))))),"")</f>
      </c>
      <c r="AZ74" s="203">
        <f>IF($C74,IF(ISNUMBER($AV74),$AO74&amp;" · S"&amp;$AV74,"(Sin fecha)"),"")</f>
      </c>
      <c r="BA74" s="202">
        <f>IF($C74,IF(AND(ISNUMBER('Backlog General'!$M74),'Backlog General'!$M74=$AS74),"Nuevo S"&amp;'Backlog General'!$M74,""),"")</f>
      </c>
      <c r="BB74" s="202">
        <f>IF(AND($C74,$AO74="Semanal",ISNUMBER($AV74)),$AV74*100000+ROW(),"")</f>
      </c>
      <c r="BC74" s="202">
        <f>IF(AND($C74,$AO74="Quincenal",ISNUMBER($AV74)),$AV74*100000+ROW(),"")</f>
      </c>
      <c r="BD74" s="202">
        <f>IF(AND($C74,$AO74="Mensual",ISNUMBER($AV74)),$AV74*100000+ROW(),"")</f>
      </c>
      <c r="BE74" s="203">
        <f>IF($C74,IF(ISBLANK('Backlog General'!$J74),"",'Backlog General'!$J74),"")</f>
      </c>
      <c r="BF74" s="203">
        <f>IF($C74,IF($BE74="","",$BE74)&amp;IF(AND($BE74&lt;&gt;"",$AH74&lt;&gt;"")," · ","")&amp;IF($AH74="","",$AH74),"")</f>
      </c>
      <c r="BG74" s="203">
        <f>IF($C74,IF($J74="Completado","Sí","No"),"")</f>
      </c>
      <c r="BH74" s="202">
        <f>IF(AND($C74,ISNUMBER($AR74)),IF($AO74="Semanal",1,IF($AO74="Quincenal",2,3))*1000000000+$AR74*100000+ROW(),"")</f>
      </c>
    </row>
    <row r="75">
      <c r="A75" s="202">
        <f>ROW()</f>
        <v>75</v>
      </c>
      <c r="B75" s="202" t="b">
        <f>ISTEXT('Proyecto Datos (OKR´s)'!$K75)</f>
        <v>0</v>
      </c>
      <c r="C75" s="202" t="b">
        <f>AND(LEN('Proyecto Datos (OKR´s)'!$G75)&gt;0,NOT($B75),OR(ISNUMBER('Proyecto Datos (OKR´s)'!$F75),ISNUMBER('Proyecto Datos (OKR´s)'!$L75)))</f>
        <v>0</v>
      </c>
      <c r="D75" s="203">
        <f>IF($C75,IFERROR(LOOKUP(2,1/((ISTEXT('Proyecto Datos (OKR´s)'!$K$7:$K75))*(LEN('Proyecto Datos (OKR´s)'!$G$7:$G75)&gt;0)),'Proyecto Datos (OKR´s)'!$G$7:$G75),""),"")</f>
      </c>
      <c r="E75" s="202">
        <f>IF($C75,'Proyecto Datos (OKR´s)'!$E75,"")</f>
      </c>
      <c r="F75" s="203">
        <f>IF($C75,'Proyecto Datos (OKR´s)'!$G75,"")</f>
      </c>
      <c r="G75" s="203">
        <f>IF($C75,IF('Proyecto Datos (OKR´s)'!$I75="","(Sin asignar)",'Proyecto Datos (OKR´s)'!$I75),"")</f>
      </c>
      <c r="H75" s="202">
        <f>IF($C75,IF(ISNUMBER('Proyecto Datos (OKR´s)'!$F75),'Proyecto Datos (OKR´s)'!$F75,""),"")</f>
      </c>
      <c r="I75" s="202">
        <f>IF($C75,'Proyecto Datos (OKR´s)'!$J75,"")</f>
      </c>
      <c r="J75" s="203">
        <f>IF($C75,IF($I75&gt;=1,"Completado",IF(NOT(ISNUMBER($H75)),"Sin fecha",IF($H75&lt;TODAY(),"Vencido",IF(($H75-TODAY())&lt;='Entregas Próximas'!$M$3,"Próximo a vencer","En curso")))),"")</f>
      </c>
      <c r="K75" s="202">
        <f>IF(AND($C75,ISNUMBER($H75)),$H75-TODAY(),"")</f>
      </c>
      <c r="L75" s="202">
        <f>IF(AND($C75,ISNUMBER($H75)),$AD75*1000000+$H75+ROW()/100000,"")</f>
      </c>
      <c r="M75" s="202">
        <f>IF($C75,IF($AD75=9999,"(Sin sprint)",$AD75),"")</f>
      </c>
      <c r="N75" s="202">
        <f>IF($C75,IF('Proyecto Datos (OKR´s)'!$E75="",9999,'Proyecto Datos (OKR´s)'!$E75),"")</f>
      </c>
      <c r="O75" s="202">
        <f>IF($C75,"T"&amp;TEXT(ROW(),"000"),"")</f>
      </c>
      <c r="R75" s="202">
        <f>IF($C75,IF(ISNUMBER('Proyecto Datos (OKR´s)'!$L75),'Proyecto Datos (OKR´s)'!$L75,$H75),"")</f>
      </c>
      <c r="S75" s="202">
        <f>IF($C75,$R75-'Proyecto Datos (OKR´s)'!$K75+1,"")</f>
      </c>
      <c r="T75" s="202">
        <f>IF($C75,MAX(0,TODAY()-'Proyecto Datos (OKR´s)'!$K75),"")</f>
      </c>
      <c r="U75" s="202">
        <f>IF($C75,MEDIAN(0,(TODAY()-'Proyecto Datos (OKR´s)'!$K75)/MAX(1,$R75-'Proyecto Datos (OKR´s)'!$K75),1),"")</f>
      </c>
      <c r="V75" s="202">
        <f>IF($C75,$I75-$U75,"")</f>
      </c>
      <c r="W75" s="202">
        <f>IF($C75,IF(OR($J75="Completado",NOT(ISNUMBER($H75))),0,MAX(0,TODAY()-$H75)),"")</f>
      </c>
      <c r="X75" s="202">
        <f>IF($C75,IF(ISNUMBER($H75),$R75-$H75,0),"")</f>
      </c>
      <c r="Y75" s="202">
        <f>IF($C75,COUNTIFS($G$7:$G$200,$G75,$J$7:$J$200,"&lt;&gt;Completado",$J$7:$J$200,"&lt;&gt;"),"")</f>
      </c>
      <c r="Z75" s="202">
        <f>IF($C75,AND($I75=0,'Proyecto Datos (OKR´s)'!$K75&lt;=TODAY(),$J75&lt;&gt;"Completado"),"")</f>
      </c>
      <c r="AA75" s="202">
        <f>IF($C75,ROUND(100*(0.35*$AK75+0.3*$AL75+0.2*$AM75+0.15*MEDIAN(0,($Y75-4)/8,1)),0),"")</f>
      </c>
      <c r="AB75" s="203">
        <f>IF($C75,IF(OR($J75="Completado",$J75="Sin fecha"),"—",IF($AA75&gt;=70,"Crítica",IF($AA75&gt;=45,"Alta",IF($AA75&gt;=25,"Media","Baja")))),"")</f>
      </c>
      <c r="AC75" s="203">
        <f>IF($C75,IF(LEN(TRIM($AN75))=0,"—",TRIM($AN75)),"")</f>
      </c>
      <c r="AD75" s="202">
        <f>IF($C75,$AV75,"")</f>
      </c>
      <c r="AE75" s="202">
        <f>IF($C75,$AZ75,"")</f>
      </c>
      <c r="AF75" s="202" t="b">
        <f>IF($C75,$AV75&lt;&gt;$AR75,FALSE)</f>
        <v>0</v>
      </c>
      <c r="AG75" s="202">
        <f>IF($C75,IF($AV75&lt;&gt;$AR75,$AW75,""),"")</f>
      </c>
      <c r="AH75" s="203">
        <f>IF($C75,IF(ISBLANK('Backlog General'!$K75),"",'Backlog General'!$K75),"")</f>
      </c>
      <c r="AI75" s="202">
        <f>IF($C75,$AV75*100000+ROW(),"")</f>
      </c>
      <c r="AJ75" s="202">
        <f>IF(AND($C75,ISNUMBER($H75)),$AA75*1000000-MEDIAN(-9999,$K75,9999)*100+(300-ROW()),"")</f>
      </c>
      <c r="AK75" s="202">
        <f>IF($C75,IF($J75="Completado",0,IF($K75&lt;0,1,IF($K75&lt;=3,0.9,IF($K75&lt;=7,0.7,IF($K75&lt;=14,0.45,0.2))))),"")</f>
      </c>
      <c r="AL75" s="202">
        <f>IF($C75,IF($J75="Completado",0,MEDIAN(0,MAX(-$V75,$W75/30),1)),"")</f>
      </c>
      <c r="AM75" s="202">
        <f>IF($C75,IF($J75="Completado",0,IF($Z75,1,IF(AND($I75&lt;0.5,$K75&lt;=7),0.7,0.3))),"")</f>
      </c>
      <c r="AN75" s="203">
        <f>IF($C75,IF(OR($V75&lt;-0.2,$W75&gt;0),"ATRASO ","")&amp;IF($Z75,"BLOQUEO ","")&amp;IF($Y75&gt;8,"SOBRECARGA ","")&amp;IF($X75&gt;0,"DESVÍO-PLAN ",""),"")</f>
      </c>
      <c r="AO75" s="203">
        <f>IF($C75,IFERROR(VLOOKUP($D75,'Sprints'!$I$5:$J$12,2,FALSE),"Semanal"),"")</f>
      </c>
      <c r="AP75" s="202">
        <f>IF($C75,IFERROR(VLOOKUP($AO75,'Sprints'!$B$9:$C$11,2,FALSE),1),"")</f>
      </c>
      <c r="AQ75" s="202">
        <f>IF($C75,'Sprints'!$C$5,"")</f>
      </c>
      <c r="AR75" s="202">
        <f>IF(AND($C75,ISNUMBER($H75)),CEILING(MAX(1,INT(($H75-$AQ75+'Sprints'!$D$5-1)/'Sprints'!$D$5)+1)/$AP75,1),"")</f>
      </c>
      <c r="AS75" s="202">
        <f>IF($C75,CEILING(MAX(1,INT((TODAY()-$AQ75+'Sprints'!$D$5-1)/'Sprints'!$D$5)+1)/$AP75,1),"")</f>
      </c>
      <c r="AT75" s="203">
        <f>IF($C75,'Backlog General'!$G75,"")</f>
      </c>
      <c r="AU75" s="203">
        <f>IF($C75,'Backlog General'!$H75,"")</f>
      </c>
      <c r="AV75" s="202">
        <f>IF(AND($C75,ISNUMBER($AR75)),IF(OR($AT75="Completo",$AU75="Cancelado",$AU75="Baja prioridad"),$AR75,IF($AU75="Pasa al siguiente",MAX($AR75+1,$AS75),MAX($AR75,$AS75))),"")</f>
      </c>
      <c r="AW75" s="202">
        <f>IF(AND($C75,ISNUMBER($AR75)),$AQ75+$AR75*$AP75*'Sprints'!$D$5-'Sprints'!$D$5,"")</f>
      </c>
      <c r="AX75" s="202">
        <f>IF($C75,IF(OR($AT75="Completo",$AU75="Cancelado",$AU75="Baja prioridad",NOT(ISNUMBER($AW75))),0,IF(TODAY()&gt;$AW75,NETWORKDAYS($AW75,TODAY(),'Sprints'!$L$5:$L$40)-1,0)),"")</f>
      </c>
      <c r="AY75" s="203">
        <f>IF($C75,IF(NOT(ISNUMBER($AR75)),"Sin fecha",IF($AT75="Completo","Completo",IF($AU75="Cancelado","Cancelado",IF($AU75="Baja prioridad","Baja prioridad",IF($AX75&gt;0,"Vencida","Pendiente"))))),"")</f>
      </c>
      <c r="AZ75" s="203">
        <f>IF($C75,IF(ISNUMBER($AV75),$AO75&amp;" · S"&amp;$AV75,"(Sin fecha)"),"")</f>
      </c>
      <c r="BA75" s="202">
        <f>IF($C75,IF(AND(ISNUMBER('Backlog General'!$M75),'Backlog General'!$M75=$AS75),"Nuevo S"&amp;'Backlog General'!$M75,""),"")</f>
      </c>
      <c r="BB75" s="202">
        <f>IF(AND($C75,$AO75="Semanal",ISNUMBER($AV75)),$AV75*100000+ROW(),"")</f>
      </c>
      <c r="BC75" s="202">
        <f>IF(AND($C75,$AO75="Quincenal",ISNUMBER($AV75)),$AV75*100000+ROW(),"")</f>
      </c>
      <c r="BD75" s="202">
        <f>IF(AND($C75,$AO75="Mensual",ISNUMBER($AV75)),$AV75*100000+ROW(),"")</f>
      </c>
      <c r="BE75" s="203">
        <f>IF($C75,IF(ISBLANK('Backlog General'!$J75),"",'Backlog General'!$J75),"")</f>
      </c>
      <c r="BF75" s="203">
        <f>IF($C75,IF($BE75="","",$BE75)&amp;IF(AND($BE75&lt;&gt;"",$AH75&lt;&gt;"")," · ","")&amp;IF($AH75="","",$AH75),"")</f>
      </c>
      <c r="BG75" s="203">
        <f>IF($C75,IF($J75="Completado","Sí","No"),"")</f>
      </c>
      <c r="BH75" s="202">
        <f>IF(AND($C75,ISNUMBER($AR75)),IF($AO75="Semanal",1,IF($AO75="Quincenal",2,3))*1000000000+$AR75*100000+ROW(),"")</f>
      </c>
    </row>
    <row r="76">
      <c r="A76" s="202">
        <f>ROW()</f>
        <v>76</v>
      </c>
      <c r="B76" s="202" t="b">
        <f>ISTEXT('Proyecto Datos (OKR´s)'!$K76)</f>
        <v>0</v>
      </c>
      <c r="C76" s="202" t="b">
        <f>AND(LEN('Proyecto Datos (OKR´s)'!$G76)&gt;0,NOT($B76),OR(ISNUMBER('Proyecto Datos (OKR´s)'!$F76),ISNUMBER('Proyecto Datos (OKR´s)'!$L76)))</f>
        <v>0</v>
      </c>
      <c r="D76" s="203">
        <f>IF($C76,IFERROR(LOOKUP(2,1/((ISTEXT('Proyecto Datos (OKR´s)'!$K$7:$K76))*(LEN('Proyecto Datos (OKR´s)'!$G$7:$G76)&gt;0)),'Proyecto Datos (OKR´s)'!$G$7:$G76),""),"")</f>
      </c>
      <c r="E76" s="202">
        <f>IF($C76,'Proyecto Datos (OKR´s)'!$E76,"")</f>
      </c>
      <c r="F76" s="203">
        <f>IF($C76,'Proyecto Datos (OKR´s)'!$G76,"")</f>
      </c>
      <c r="G76" s="203">
        <f>IF($C76,IF('Proyecto Datos (OKR´s)'!$I76="","(Sin asignar)",'Proyecto Datos (OKR´s)'!$I76),"")</f>
      </c>
      <c r="H76" s="202">
        <f>IF($C76,IF(ISNUMBER('Proyecto Datos (OKR´s)'!$F76),'Proyecto Datos (OKR´s)'!$F76,""),"")</f>
      </c>
      <c r="I76" s="202">
        <f>IF($C76,'Proyecto Datos (OKR´s)'!$J76,"")</f>
      </c>
      <c r="J76" s="203">
        <f>IF($C76,IF($I76&gt;=1,"Completado",IF(NOT(ISNUMBER($H76)),"Sin fecha",IF($H76&lt;TODAY(),"Vencido",IF(($H76-TODAY())&lt;='Entregas Próximas'!$M$3,"Próximo a vencer","En curso")))),"")</f>
      </c>
      <c r="K76" s="202">
        <f>IF(AND($C76,ISNUMBER($H76)),$H76-TODAY(),"")</f>
      </c>
      <c r="L76" s="202">
        <f>IF(AND($C76,ISNUMBER($H76)),$AD76*1000000+$H76+ROW()/100000,"")</f>
      </c>
      <c r="M76" s="202">
        <f>IF($C76,IF($AD76=9999,"(Sin sprint)",$AD76),"")</f>
      </c>
      <c r="N76" s="202">
        <f>IF($C76,IF('Proyecto Datos (OKR´s)'!$E76="",9999,'Proyecto Datos (OKR´s)'!$E76),"")</f>
      </c>
      <c r="O76" s="202">
        <f>IF($C76,"T"&amp;TEXT(ROW(),"000"),"")</f>
      </c>
      <c r="R76" s="202">
        <f>IF($C76,IF(ISNUMBER('Proyecto Datos (OKR´s)'!$L76),'Proyecto Datos (OKR´s)'!$L76,$H76),"")</f>
      </c>
      <c r="S76" s="202">
        <f>IF($C76,$R76-'Proyecto Datos (OKR´s)'!$K76+1,"")</f>
      </c>
      <c r="T76" s="202">
        <f>IF($C76,MAX(0,TODAY()-'Proyecto Datos (OKR´s)'!$K76),"")</f>
      </c>
      <c r="U76" s="202">
        <f>IF($C76,MEDIAN(0,(TODAY()-'Proyecto Datos (OKR´s)'!$K76)/MAX(1,$R76-'Proyecto Datos (OKR´s)'!$K76),1),"")</f>
      </c>
      <c r="V76" s="202">
        <f>IF($C76,$I76-$U76,"")</f>
      </c>
      <c r="W76" s="202">
        <f>IF($C76,IF(OR($J76="Completado",NOT(ISNUMBER($H76))),0,MAX(0,TODAY()-$H76)),"")</f>
      </c>
      <c r="X76" s="202">
        <f>IF($C76,IF(ISNUMBER($H76),$R76-$H76,0),"")</f>
      </c>
      <c r="Y76" s="202">
        <f>IF($C76,COUNTIFS($G$7:$G$200,$G76,$J$7:$J$200,"&lt;&gt;Completado",$J$7:$J$200,"&lt;&gt;"),"")</f>
      </c>
      <c r="Z76" s="202">
        <f>IF($C76,AND($I76=0,'Proyecto Datos (OKR´s)'!$K76&lt;=TODAY(),$J76&lt;&gt;"Completado"),"")</f>
      </c>
      <c r="AA76" s="202">
        <f>IF($C76,ROUND(100*(0.35*$AK76+0.3*$AL76+0.2*$AM76+0.15*MEDIAN(0,($Y76-4)/8,1)),0),"")</f>
      </c>
      <c r="AB76" s="203">
        <f>IF($C76,IF(OR($J76="Completado",$J76="Sin fecha"),"—",IF($AA76&gt;=70,"Crítica",IF($AA76&gt;=45,"Alta",IF($AA76&gt;=25,"Media","Baja")))),"")</f>
      </c>
      <c r="AC76" s="203">
        <f>IF($C76,IF(LEN(TRIM($AN76))=0,"—",TRIM($AN76)),"")</f>
      </c>
      <c r="AD76" s="202">
        <f>IF($C76,$AV76,"")</f>
      </c>
      <c r="AE76" s="202">
        <f>IF($C76,$AZ76,"")</f>
      </c>
      <c r="AF76" s="202" t="b">
        <f>IF($C76,$AV76&lt;&gt;$AR76,FALSE)</f>
        <v>0</v>
      </c>
      <c r="AG76" s="202">
        <f>IF($C76,IF($AV76&lt;&gt;$AR76,$AW76,""),"")</f>
      </c>
      <c r="AH76" s="203">
        <f>IF($C76,IF(ISBLANK('Backlog General'!$K76),"",'Backlog General'!$K76),"")</f>
      </c>
      <c r="AI76" s="202">
        <f>IF($C76,$AV76*100000+ROW(),"")</f>
      </c>
      <c r="AJ76" s="202">
        <f>IF(AND($C76,ISNUMBER($H76)),$AA76*1000000-MEDIAN(-9999,$K76,9999)*100+(300-ROW()),"")</f>
      </c>
      <c r="AK76" s="202">
        <f>IF($C76,IF($J76="Completado",0,IF($K76&lt;0,1,IF($K76&lt;=3,0.9,IF($K76&lt;=7,0.7,IF($K76&lt;=14,0.45,0.2))))),"")</f>
      </c>
      <c r="AL76" s="202">
        <f>IF($C76,IF($J76="Completado",0,MEDIAN(0,MAX(-$V76,$W76/30),1)),"")</f>
      </c>
      <c r="AM76" s="202">
        <f>IF($C76,IF($J76="Completado",0,IF($Z76,1,IF(AND($I76&lt;0.5,$K76&lt;=7),0.7,0.3))),"")</f>
      </c>
      <c r="AN76" s="203">
        <f>IF($C76,IF(OR($V76&lt;-0.2,$W76&gt;0),"ATRASO ","")&amp;IF($Z76,"BLOQUEO ","")&amp;IF($Y76&gt;8,"SOBRECARGA ","")&amp;IF($X76&gt;0,"DESVÍO-PLAN ",""),"")</f>
      </c>
      <c r="AO76" s="203">
        <f>IF($C76,IFERROR(VLOOKUP($D76,'Sprints'!$I$5:$J$12,2,FALSE),"Semanal"),"")</f>
      </c>
      <c r="AP76" s="202">
        <f>IF($C76,IFERROR(VLOOKUP($AO76,'Sprints'!$B$9:$C$11,2,FALSE),1),"")</f>
      </c>
      <c r="AQ76" s="202">
        <f>IF($C76,'Sprints'!$C$5,"")</f>
      </c>
      <c r="AR76" s="202">
        <f>IF(AND($C76,ISNUMBER($H76)),CEILING(MAX(1,INT(($H76-$AQ76+'Sprints'!$D$5-1)/'Sprints'!$D$5)+1)/$AP76,1),"")</f>
      </c>
      <c r="AS76" s="202">
        <f>IF($C76,CEILING(MAX(1,INT((TODAY()-$AQ76+'Sprints'!$D$5-1)/'Sprints'!$D$5)+1)/$AP76,1),"")</f>
      </c>
      <c r="AT76" s="203">
        <f>IF($C76,'Backlog General'!$G76,"")</f>
      </c>
      <c r="AU76" s="203">
        <f>IF($C76,'Backlog General'!$H76,"")</f>
      </c>
      <c r="AV76" s="202">
        <f>IF(AND($C76,ISNUMBER($AR76)),IF(OR($AT76="Completo",$AU76="Cancelado",$AU76="Baja prioridad"),$AR76,IF($AU76="Pasa al siguiente",MAX($AR76+1,$AS76),MAX($AR76,$AS76))),"")</f>
      </c>
      <c r="AW76" s="202">
        <f>IF(AND($C76,ISNUMBER($AR76)),$AQ76+$AR76*$AP76*'Sprints'!$D$5-'Sprints'!$D$5,"")</f>
      </c>
      <c r="AX76" s="202">
        <f>IF($C76,IF(OR($AT76="Completo",$AU76="Cancelado",$AU76="Baja prioridad",NOT(ISNUMBER($AW76))),0,IF(TODAY()&gt;$AW76,NETWORKDAYS($AW76,TODAY(),'Sprints'!$L$5:$L$40)-1,0)),"")</f>
      </c>
      <c r="AY76" s="203">
        <f>IF($C76,IF(NOT(ISNUMBER($AR76)),"Sin fecha",IF($AT76="Completo","Completo",IF($AU76="Cancelado","Cancelado",IF($AU76="Baja prioridad","Baja prioridad",IF($AX76&gt;0,"Vencida","Pendiente"))))),"")</f>
      </c>
      <c r="AZ76" s="203">
        <f>IF($C76,IF(ISNUMBER($AV76),$AO76&amp;" · S"&amp;$AV76,"(Sin fecha)"),"")</f>
      </c>
      <c r="BA76" s="202">
        <f>IF($C76,IF(AND(ISNUMBER('Backlog General'!$M76),'Backlog General'!$M76=$AS76),"Nuevo S"&amp;'Backlog General'!$M76,""),"")</f>
      </c>
      <c r="BB76" s="202">
        <f>IF(AND($C76,$AO76="Semanal",ISNUMBER($AV76)),$AV76*100000+ROW(),"")</f>
      </c>
      <c r="BC76" s="202">
        <f>IF(AND($C76,$AO76="Quincenal",ISNUMBER($AV76)),$AV76*100000+ROW(),"")</f>
      </c>
      <c r="BD76" s="202">
        <f>IF(AND($C76,$AO76="Mensual",ISNUMBER($AV76)),$AV76*100000+ROW(),"")</f>
      </c>
      <c r="BE76" s="203">
        <f>IF($C76,IF(ISBLANK('Backlog General'!$J76),"",'Backlog General'!$J76),"")</f>
      </c>
      <c r="BF76" s="203">
        <f>IF($C76,IF($BE76="","",$BE76)&amp;IF(AND($BE76&lt;&gt;"",$AH76&lt;&gt;"")," · ","")&amp;IF($AH76="","",$AH76),"")</f>
      </c>
      <c r="BG76" s="203">
        <f>IF($C76,IF($J76="Completado","Sí","No"),"")</f>
      </c>
      <c r="BH76" s="202">
        <f>IF(AND($C76,ISNUMBER($AR76)),IF($AO76="Semanal",1,IF($AO76="Quincenal",2,3))*1000000000+$AR76*100000+ROW(),"")</f>
      </c>
    </row>
    <row r="77">
      <c r="A77" s="202">
        <f>ROW()</f>
        <v>77</v>
      </c>
      <c r="B77" s="202" t="b">
        <f>ISTEXT('Proyecto Datos (OKR´s)'!$K77)</f>
        <v>0</v>
      </c>
      <c r="C77" s="202" t="b">
        <f>AND(LEN('Proyecto Datos (OKR´s)'!$G77)&gt;0,NOT($B77),OR(ISNUMBER('Proyecto Datos (OKR´s)'!$F77),ISNUMBER('Proyecto Datos (OKR´s)'!$L77)))</f>
        <v>0</v>
      </c>
      <c r="D77" s="203">
        <f>IF($C77,IFERROR(LOOKUP(2,1/((ISTEXT('Proyecto Datos (OKR´s)'!$K$7:$K77))*(LEN('Proyecto Datos (OKR´s)'!$G$7:$G77)&gt;0)),'Proyecto Datos (OKR´s)'!$G$7:$G77),""),"")</f>
      </c>
      <c r="E77" s="202">
        <f>IF($C77,'Proyecto Datos (OKR´s)'!$E77,"")</f>
      </c>
      <c r="F77" s="203">
        <f>IF($C77,'Proyecto Datos (OKR´s)'!$G77,"")</f>
      </c>
      <c r="G77" s="203">
        <f>IF($C77,IF('Proyecto Datos (OKR´s)'!$I77="","(Sin asignar)",'Proyecto Datos (OKR´s)'!$I77),"")</f>
      </c>
      <c r="H77" s="202">
        <f>IF($C77,IF(ISNUMBER('Proyecto Datos (OKR´s)'!$F77),'Proyecto Datos (OKR´s)'!$F77,""),"")</f>
      </c>
      <c r="I77" s="202">
        <f>IF($C77,'Proyecto Datos (OKR´s)'!$J77,"")</f>
      </c>
      <c r="J77" s="203">
        <f>IF($C77,IF($I77&gt;=1,"Completado",IF(NOT(ISNUMBER($H77)),"Sin fecha",IF($H77&lt;TODAY(),"Vencido",IF(($H77-TODAY())&lt;='Entregas Próximas'!$M$3,"Próximo a vencer","En curso")))),"")</f>
      </c>
      <c r="K77" s="202">
        <f>IF(AND($C77,ISNUMBER($H77)),$H77-TODAY(),"")</f>
      </c>
      <c r="L77" s="202">
        <f>IF(AND($C77,ISNUMBER($H77)),$AD77*1000000+$H77+ROW()/100000,"")</f>
      </c>
      <c r="M77" s="202">
        <f>IF($C77,IF($AD77=9999,"(Sin sprint)",$AD77),"")</f>
      </c>
      <c r="N77" s="202">
        <f>IF($C77,IF('Proyecto Datos (OKR´s)'!$E77="",9999,'Proyecto Datos (OKR´s)'!$E77),"")</f>
      </c>
      <c r="O77" s="202">
        <f>IF($C77,"T"&amp;TEXT(ROW(),"000"),"")</f>
      </c>
      <c r="R77" s="202">
        <f>IF($C77,IF(ISNUMBER('Proyecto Datos (OKR´s)'!$L77),'Proyecto Datos (OKR´s)'!$L77,$H77),"")</f>
      </c>
      <c r="S77" s="202">
        <f>IF($C77,$R77-'Proyecto Datos (OKR´s)'!$K77+1,"")</f>
      </c>
      <c r="T77" s="202">
        <f>IF($C77,MAX(0,TODAY()-'Proyecto Datos (OKR´s)'!$K77),"")</f>
      </c>
      <c r="U77" s="202">
        <f>IF($C77,MEDIAN(0,(TODAY()-'Proyecto Datos (OKR´s)'!$K77)/MAX(1,$R77-'Proyecto Datos (OKR´s)'!$K77),1),"")</f>
      </c>
      <c r="V77" s="202">
        <f>IF($C77,$I77-$U77,"")</f>
      </c>
      <c r="W77" s="202">
        <f>IF($C77,IF(OR($J77="Completado",NOT(ISNUMBER($H77))),0,MAX(0,TODAY()-$H77)),"")</f>
      </c>
      <c r="X77" s="202">
        <f>IF($C77,IF(ISNUMBER($H77),$R77-$H77,0),"")</f>
      </c>
      <c r="Y77" s="202">
        <f>IF($C77,COUNTIFS($G$7:$G$200,$G77,$J$7:$J$200,"&lt;&gt;Completado",$J$7:$J$200,"&lt;&gt;"),"")</f>
      </c>
      <c r="Z77" s="202">
        <f>IF($C77,AND($I77=0,'Proyecto Datos (OKR´s)'!$K77&lt;=TODAY(),$J77&lt;&gt;"Completado"),"")</f>
      </c>
      <c r="AA77" s="202">
        <f>IF($C77,ROUND(100*(0.35*$AK77+0.3*$AL77+0.2*$AM77+0.15*MEDIAN(0,($Y77-4)/8,1)),0),"")</f>
      </c>
      <c r="AB77" s="203">
        <f>IF($C77,IF(OR($J77="Completado",$J77="Sin fecha"),"—",IF($AA77&gt;=70,"Crítica",IF($AA77&gt;=45,"Alta",IF($AA77&gt;=25,"Media","Baja")))),"")</f>
      </c>
      <c r="AC77" s="203">
        <f>IF($C77,IF(LEN(TRIM($AN77))=0,"—",TRIM($AN77)),"")</f>
      </c>
      <c r="AD77" s="202">
        <f>IF($C77,$AV77,"")</f>
      </c>
      <c r="AE77" s="202">
        <f>IF($C77,$AZ77,"")</f>
      </c>
      <c r="AF77" s="202" t="b">
        <f>IF($C77,$AV77&lt;&gt;$AR77,FALSE)</f>
        <v>0</v>
      </c>
      <c r="AG77" s="202">
        <f>IF($C77,IF($AV77&lt;&gt;$AR77,$AW77,""),"")</f>
      </c>
      <c r="AH77" s="203">
        <f>IF($C77,IF(ISBLANK('Backlog General'!$K77),"",'Backlog General'!$K77),"")</f>
      </c>
      <c r="AI77" s="202">
        <f>IF($C77,$AV77*100000+ROW(),"")</f>
      </c>
      <c r="AJ77" s="202">
        <f>IF(AND($C77,ISNUMBER($H77)),$AA77*1000000-MEDIAN(-9999,$K77,9999)*100+(300-ROW()),"")</f>
      </c>
      <c r="AK77" s="202">
        <f>IF($C77,IF($J77="Completado",0,IF($K77&lt;0,1,IF($K77&lt;=3,0.9,IF($K77&lt;=7,0.7,IF($K77&lt;=14,0.45,0.2))))),"")</f>
      </c>
      <c r="AL77" s="202">
        <f>IF($C77,IF($J77="Completado",0,MEDIAN(0,MAX(-$V77,$W77/30),1)),"")</f>
      </c>
      <c r="AM77" s="202">
        <f>IF($C77,IF($J77="Completado",0,IF($Z77,1,IF(AND($I77&lt;0.5,$K77&lt;=7),0.7,0.3))),"")</f>
      </c>
      <c r="AN77" s="203">
        <f>IF($C77,IF(OR($V77&lt;-0.2,$W77&gt;0),"ATRASO ","")&amp;IF($Z77,"BLOQUEO ","")&amp;IF($Y77&gt;8,"SOBRECARGA ","")&amp;IF($X77&gt;0,"DESVÍO-PLAN ",""),"")</f>
      </c>
      <c r="AO77" s="203">
        <f>IF($C77,IFERROR(VLOOKUP($D77,'Sprints'!$I$5:$J$12,2,FALSE),"Semanal"),"")</f>
      </c>
      <c r="AP77" s="202">
        <f>IF($C77,IFERROR(VLOOKUP($AO77,'Sprints'!$B$9:$C$11,2,FALSE),1),"")</f>
      </c>
      <c r="AQ77" s="202">
        <f>IF($C77,'Sprints'!$C$5,"")</f>
      </c>
      <c r="AR77" s="202">
        <f>IF(AND($C77,ISNUMBER($H77)),CEILING(MAX(1,INT(($H77-$AQ77+'Sprints'!$D$5-1)/'Sprints'!$D$5)+1)/$AP77,1),"")</f>
      </c>
      <c r="AS77" s="202">
        <f>IF($C77,CEILING(MAX(1,INT((TODAY()-$AQ77+'Sprints'!$D$5-1)/'Sprints'!$D$5)+1)/$AP77,1),"")</f>
      </c>
      <c r="AT77" s="203">
        <f>IF($C77,'Backlog General'!$G77,"")</f>
      </c>
      <c r="AU77" s="203">
        <f>IF($C77,'Backlog General'!$H77,"")</f>
      </c>
      <c r="AV77" s="202">
        <f>IF(AND($C77,ISNUMBER($AR77)),IF(OR($AT77="Completo",$AU77="Cancelado",$AU77="Baja prioridad"),$AR77,IF($AU77="Pasa al siguiente",MAX($AR77+1,$AS77),MAX($AR77,$AS77))),"")</f>
      </c>
      <c r="AW77" s="202">
        <f>IF(AND($C77,ISNUMBER($AR77)),$AQ77+$AR77*$AP77*'Sprints'!$D$5-'Sprints'!$D$5,"")</f>
      </c>
      <c r="AX77" s="202">
        <f>IF($C77,IF(OR($AT77="Completo",$AU77="Cancelado",$AU77="Baja prioridad",NOT(ISNUMBER($AW77))),0,IF(TODAY()&gt;$AW77,NETWORKDAYS($AW77,TODAY(),'Sprints'!$L$5:$L$40)-1,0)),"")</f>
      </c>
      <c r="AY77" s="203">
        <f>IF($C77,IF(NOT(ISNUMBER($AR77)),"Sin fecha",IF($AT77="Completo","Completo",IF($AU77="Cancelado","Cancelado",IF($AU77="Baja prioridad","Baja prioridad",IF($AX77&gt;0,"Vencida","Pendiente"))))),"")</f>
      </c>
      <c r="AZ77" s="203">
        <f>IF($C77,IF(ISNUMBER($AV77),$AO77&amp;" · S"&amp;$AV77,"(Sin fecha)"),"")</f>
      </c>
      <c r="BA77" s="202">
        <f>IF($C77,IF(AND(ISNUMBER('Backlog General'!$M77),'Backlog General'!$M77=$AS77),"Nuevo S"&amp;'Backlog General'!$M77,""),"")</f>
      </c>
      <c r="BB77" s="202">
        <f>IF(AND($C77,$AO77="Semanal",ISNUMBER($AV77)),$AV77*100000+ROW(),"")</f>
      </c>
      <c r="BC77" s="202">
        <f>IF(AND($C77,$AO77="Quincenal",ISNUMBER($AV77)),$AV77*100000+ROW(),"")</f>
      </c>
      <c r="BD77" s="202">
        <f>IF(AND($C77,$AO77="Mensual",ISNUMBER($AV77)),$AV77*100000+ROW(),"")</f>
      </c>
      <c r="BE77" s="203">
        <f>IF($C77,IF(ISBLANK('Backlog General'!$J77),"",'Backlog General'!$J77),"")</f>
      </c>
      <c r="BF77" s="203">
        <f>IF($C77,IF($BE77="","",$BE77)&amp;IF(AND($BE77&lt;&gt;"",$AH77&lt;&gt;"")," · ","")&amp;IF($AH77="","",$AH77),"")</f>
      </c>
      <c r="BG77" s="203">
        <f>IF($C77,IF($J77="Completado","Sí","No"),"")</f>
      </c>
      <c r="BH77" s="202">
        <f>IF(AND($C77,ISNUMBER($AR77)),IF($AO77="Semanal",1,IF($AO77="Quincenal",2,3))*1000000000+$AR77*100000+ROW(),"")</f>
      </c>
    </row>
    <row r="78">
      <c r="A78" s="202">
        <f>ROW()</f>
        <v>78</v>
      </c>
      <c r="B78" s="202" t="b">
        <f>ISTEXT('Proyecto Datos (OKR´s)'!$K78)</f>
        <v>0</v>
      </c>
      <c r="C78" s="202" t="b">
        <f>AND(LEN('Proyecto Datos (OKR´s)'!$G78)&gt;0,NOT($B78),OR(ISNUMBER('Proyecto Datos (OKR´s)'!$F78),ISNUMBER('Proyecto Datos (OKR´s)'!$L78)))</f>
        <v>0</v>
      </c>
      <c r="D78" s="203">
        <f>IF($C78,IFERROR(LOOKUP(2,1/((ISTEXT('Proyecto Datos (OKR´s)'!$K$7:$K78))*(LEN('Proyecto Datos (OKR´s)'!$G$7:$G78)&gt;0)),'Proyecto Datos (OKR´s)'!$G$7:$G78),""),"")</f>
      </c>
      <c r="E78" s="202">
        <f>IF($C78,'Proyecto Datos (OKR´s)'!$E78,"")</f>
      </c>
      <c r="F78" s="203">
        <f>IF($C78,'Proyecto Datos (OKR´s)'!$G78,"")</f>
      </c>
      <c r="G78" s="203">
        <f>IF($C78,IF('Proyecto Datos (OKR´s)'!$I78="","(Sin asignar)",'Proyecto Datos (OKR´s)'!$I78),"")</f>
      </c>
      <c r="H78" s="202">
        <f>IF($C78,IF(ISNUMBER('Proyecto Datos (OKR´s)'!$F78),'Proyecto Datos (OKR´s)'!$F78,""),"")</f>
      </c>
      <c r="I78" s="202">
        <f>IF($C78,'Proyecto Datos (OKR´s)'!$J78,"")</f>
      </c>
      <c r="J78" s="203">
        <f>IF($C78,IF($I78&gt;=1,"Completado",IF(NOT(ISNUMBER($H78)),"Sin fecha",IF($H78&lt;TODAY(),"Vencido",IF(($H78-TODAY())&lt;='Entregas Próximas'!$M$3,"Próximo a vencer","En curso")))),"")</f>
      </c>
      <c r="K78" s="202">
        <f>IF(AND($C78,ISNUMBER($H78)),$H78-TODAY(),"")</f>
      </c>
      <c r="L78" s="202">
        <f>IF(AND($C78,ISNUMBER($H78)),$AD78*1000000+$H78+ROW()/100000,"")</f>
      </c>
      <c r="M78" s="202">
        <f>IF($C78,IF($AD78=9999,"(Sin sprint)",$AD78),"")</f>
      </c>
      <c r="N78" s="202">
        <f>IF($C78,IF('Proyecto Datos (OKR´s)'!$E78="",9999,'Proyecto Datos (OKR´s)'!$E78),"")</f>
      </c>
      <c r="O78" s="202">
        <f>IF($C78,"T"&amp;TEXT(ROW(),"000"),"")</f>
      </c>
      <c r="R78" s="202">
        <f>IF($C78,IF(ISNUMBER('Proyecto Datos (OKR´s)'!$L78),'Proyecto Datos (OKR´s)'!$L78,$H78),"")</f>
      </c>
      <c r="S78" s="202">
        <f>IF($C78,$R78-'Proyecto Datos (OKR´s)'!$K78+1,"")</f>
      </c>
      <c r="T78" s="202">
        <f>IF($C78,MAX(0,TODAY()-'Proyecto Datos (OKR´s)'!$K78),"")</f>
      </c>
      <c r="U78" s="202">
        <f>IF($C78,MEDIAN(0,(TODAY()-'Proyecto Datos (OKR´s)'!$K78)/MAX(1,$R78-'Proyecto Datos (OKR´s)'!$K78),1),"")</f>
      </c>
      <c r="V78" s="202">
        <f>IF($C78,$I78-$U78,"")</f>
      </c>
      <c r="W78" s="202">
        <f>IF($C78,IF(OR($J78="Completado",NOT(ISNUMBER($H78))),0,MAX(0,TODAY()-$H78)),"")</f>
      </c>
      <c r="X78" s="202">
        <f>IF($C78,IF(ISNUMBER($H78),$R78-$H78,0),"")</f>
      </c>
      <c r="Y78" s="202">
        <f>IF($C78,COUNTIFS($G$7:$G$200,$G78,$J$7:$J$200,"&lt;&gt;Completado",$J$7:$J$200,"&lt;&gt;"),"")</f>
      </c>
      <c r="Z78" s="202">
        <f>IF($C78,AND($I78=0,'Proyecto Datos (OKR´s)'!$K78&lt;=TODAY(),$J78&lt;&gt;"Completado"),"")</f>
      </c>
      <c r="AA78" s="202">
        <f>IF($C78,ROUND(100*(0.35*$AK78+0.3*$AL78+0.2*$AM78+0.15*MEDIAN(0,($Y78-4)/8,1)),0),"")</f>
      </c>
      <c r="AB78" s="203">
        <f>IF($C78,IF(OR($J78="Completado",$J78="Sin fecha"),"—",IF($AA78&gt;=70,"Crítica",IF($AA78&gt;=45,"Alta",IF($AA78&gt;=25,"Media","Baja")))),"")</f>
      </c>
      <c r="AC78" s="203">
        <f>IF($C78,IF(LEN(TRIM($AN78))=0,"—",TRIM($AN78)),"")</f>
      </c>
      <c r="AD78" s="202">
        <f>IF($C78,$AV78,"")</f>
      </c>
      <c r="AE78" s="202">
        <f>IF($C78,$AZ78,"")</f>
      </c>
      <c r="AF78" s="202" t="b">
        <f>IF($C78,$AV78&lt;&gt;$AR78,FALSE)</f>
        <v>0</v>
      </c>
      <c r="AG78" s="202">
        <f>IF($C78,IF($AV78&lt;&gt;$AR78,$AW78,""),"")</f>
      </c>
      <c r="AH78" s="203">
        <f>IF($C78,IF(ISBLANK('Backlog General'!$K78),"",'Backlog General'!$K78),"")</f>
      </c>
      <c r="AI78" s="202">
        <f>IF($C78,$AV78*100000+ROW(),"")</f>
      </c>
      <c r="AJ78" s="202">
        <f>IF(AND($C78,ISNUMBER($H78)),$AA78*1000000-MEDIAN(-9999,$K78,9999)*100+(300-ROW()),"")</f>
      </c>
      <c r="AK78" s="202">
        <f>IF($C78,IF($J78="Completado",0,IF($K78&lt;0,1,IF($K78&lt;=3,0.9,IF($K78&lt;=7,0.7,IF($K78&lt;=14,0.45,0.2))))),"")</f>
      </c>
      <c r="AL78" s="202">
        <f>IF($C78,IF($J78="Completado",0,MEDIAN(0,MAX(-$V78,$W78/30),1)),"")</f>
      </c>
      <c r="AM78" s="202">
        <f>IF($C78,IF($J78="Completado",0,IF($Z78,1,IF(AND($I78&lt;0.5,$K78&lt;=7),0.7,0.3))),"")</f>
      </c>
      <c r="AN78" s="203">
        <f>IF($C78,IF(OR($V78&lt;-0.2,$W78&gt;0),"ATRASO ","")&amp;IF($Z78,"BLOQUEO ","")&amp;IF($Y78&gt;8,"SOBRECARGA ","")&amp;IF($X78&gt;0,"DESVÍO-PLAN ",""),"")</f>
      </c>
      <c r="AO78" s="203">
        <f>IF($C78,IFERROR(VLOOKUP($D78,'Sprints'!$I$5:$J$12,2,FALSE),"Semanal"),"")</f>
      </c>
      <c r="AP78" s="202">
        <f>IF($C78,IFERROR(VLOOKUP($AO78,'Sprints'!$B$9:$C$11,2,FALSE),1),"")</f>
      </c>
      <c r="AQ78" s="202">
        <f>IF($C78,'Sprints'!$C$5,"")</f>
      </c>
      <c r="AR78" s="202">
        <f>IF(AND($C78,ISNUMBER($H78)),CEILING(MAX(1,INT(($H78-$AQ78+'Sprints'!$D$5-1)/'Sprints'!$D$5)+1)/$AP78,1),"")</f>
      </c>
      <c r="AS78" s="202">
        <f>IF($C78,CEILING(MAX(1,INT((TODAY()-$AQ78+'Sprints'!$D$5-1)/'Sprints'!$D$5)+1)/$AP78,1),"")</f>
      </c>
      <c r="AT78" s="203">
        <f>IF($C78,'Backlog General'!$G78,"")</f>
      </c>
      <c r="AU78" s="203">
        <f>IF($C78,'Backlog General'!$H78,"")</f>
      </c>
      <c r="AV78" s="202">
        <f>IF(AND($C78,ISNUMBER($AR78)),IF(OR($AT78="Completo",$AU78="Cancelado",$AU78="Baja prioridad"),$AR78,IF($AU78="Pasa al siguiente",MAX($AR78+1,$AS78),MAX($AR78,$AS78))),"")</f>
      </c>
      <c r="AW78" s="202">
        <f>IF(AND($C78,ISNUMBER($AR78)),$AQ78+$AR78*$AP78*'Sprints'!$D$5-'Sprints'!$D$5,"")</f>
      </c>
      <c r="AX78" s="202">
        <f>IF($C78,IF(OR($AT78="Completo",$AU78="Cancelado",$AU78="Baja prioridad",NOT(ISNUMBER($AW78))),0,IF(TODAY()&gt;$AW78,NETWORKDAYS($AW78,TODAY(),'Sprints'!$L$5:$L$40)-1,0)),"")</f>
      </c>
      <c r="AY78" s="203">
        <f>IF($C78,IF(NOT(ISNUMBER($AR78)),"Sin fecha",IF($AT78="Completo","Completo",IF($AU78="Cancelado","Cancelado",IF($AU78="Baja prioridad","Baja prioridad",IF($AX78&gt;0,"Vencida","Pendiente"))))),"")</f>
      </c>
      <c r="AZ78" s="203">
        <f>IF($C78,IF(ISNUMBER($AV78),$AO78&amp;" · S"&amp;$AV78,"(Sin fecha)"),"")</f>
      </c>
      <c r="BA78" s="202">
        <f>IF($C78,IF(AND(ISNUMBER('Backlog General'!$M78),'Backlog General'!$M78=$AS78),"Nuevo S"&amp;'Backlog General'!$M78,""),"")</f>
      </c>
      <c r="BB78" s="202">
        <f>IF(AND($C78,$AO78="Semanal",ISNUMBER($AV78)),$AV78*100000+ROW(),"")</f>
      </c>
      <c r="BC78" s="202">
        <f>IF(AND($C78,$AO78="Quincenal",ISNUMBER($AV78)),$AV78*100000+ROW(),"")</f>
      </c>
      <c r="BD78" s="202">
        <f>IF(AND($C78,$AO78="Mensual",ISNUMBER($AV78)),$AV78*100000+ROW(),"")</f>
      </c>
      <c r="BE78" s="203">
        <f>IF($C78,IF(ISBLANK('Backlog General'!$J78),"",'Backlog General'!$J78),"")</f>
      </c>
      <c r="BF78" s="203">
        <f>IF($C78,IF($BE78="","",$BE78)&amp;IF(AND($BE78&lt;&gt;"",$AH78&lt;&gt;"")," · ","")&amp;IF($AH78="","",$AH78),"")</f>
      </c>
      <c r="BG78" s="203">
        <f>IF($C78,IF($J78="Completado","Sí","No"),"")</f>
      </c>
      <c r="BH78" s="202">
        <f>IF(AND($C78,ISNUMBER($AR78)),IF($AO78="Semanal",1,IF($AO78="Quincenal",2,3))*1000000000+$AR78*100000+ROW(),"")</f>
      </c>
    </row>
    <row r="79">
      <c r="A79" s="202">
        <f>ROW()</f>
        <v>79</v>
      </c>
      <c r="B79" s="202" t="b">
        <f>ISTEXT('Proyecto Datos (OKR´s)'!$K79)</f>
        <v>0</v>
      </c>
      <c r="C79" s="202" t="b">
        <f>AND(LEN('Proyecto Datos (OKR´s)'!$G79)&gt;0,NOT($B79),OR(ISNUMBER('Proyecto Datos (OKR´s)'!$F79),ISNUMBER('Proyecto Datos (OKR´s)'!$L79)))</f>
        <v>0</v>
      </c>
      <c r="D79" s="203">
        <f>IF($C79,IFERROR(LOOKUP(2,1/((ISTEXT('Proyecto Datos (OKR´s)'!$K$7:$K79))*(LEN('Proyecto Datos (OKR´s)'!$G$7:$G79)&gt;0)),'Proyecto Datos (OKR´s)'!$G$7:$G79),""),"")</f>
      </c>
      <c r="E79" s="202">
        <f>IF($C79,'Proyecto Datos (OKR´s)'!$E79,"")</f>
      </c>
      <c r="F79" s="203">
        <f>IF($C79,'Proyecto Datos (OKR´s)'!$G79,"")</f>
      </c>
      <c r="G79" s="203">
        <f>IF($C79,IF('Proyecto Datos (OKR´s)'!$I79="","(Sin asignar)",'Proyecto Datos (OKR´s)'!$I79),"")</f>
      </c>
      <c r="H79" s="202">
        <f>IF($C79,IF(ISNUMBER('Proyecto Datos (OKR´s)'!$F79),'Proyecto Datos (OKR´s)'!$F79,""),"")</f>
      </c>
      <c r="I79" s="202">
        <f>IF($C79,'Proyecto Datos (OKR´s)'!$J79,"")</f>
      </c>
      <c r="J79" s="203">
        <f>IF($C79,IF($I79&gt;=1,"Completado",IF(NOT(ISNUMBER($H79)),"Sin fecha",IF($H79&lt;TODAY(),"Vencido",IF(($H79-TODAY())&lt;='Entregas Próximas'!$M$3,"Próximo a vencer","En curso")))),"")</f>
      </c>
      <c r="K79" s="202">
        <f>IF(AND($C79,ISNUMBER($H79)),$H79-TODAY(),"")</f>
      </c>
      <c r="L79" s="202">
        <f>IF(AND($C79,ISNUMBER($H79)),$AD79*1000000+$H79+ROW()/100000,"")</f>
      </c>
      <c r="M79" s="202">
        <f>IF($C79,IF($AD79=9999,"(Sin sprint)",$AD79),"")</f>
      </c>
      <c r="N79" s="202">
        <f>IF($C79,IF('Proyecto Datos (OKR´s)'!$E79="",9999,'Proyecto Datos (OKR´s)'!$E79),"")</f>
      </c>
      <c r="O79" s="202">
        <f>IF($C79,"T"&amp;TEXT(ROW(),"000"),"")</f>
      </c>
      <c r="R79" s="202">
        <f>IF($C79,IF(ISNUMBER('Proyecto Datos (OKR´s)'!$L79),'Proyecto Datos (OKR´s)'!$L79,$H79),"")</f>
      </c>
      <c r="S79" s="202">
        <f>IF($C79,$R79-'Proyecto Datos (OKR´s)'!$K79+1,"")</f>
      </c>
      <c r="T79" s="202">
        <f>IF($C79,MAX(0,TODAY()-'Proyecto Datos (OKR´s)'!$K79),"")</f>
      </c>
      <c r="U79" s="202">
        <f>IF($C79,MEDIAN(0,(TODAY()-'Proyecto Datos (OKR´s)'!$K79)/MAX(1,$R79-'Proyecto Datos (OKR´s)'!$K79),1),"")</f>
      </c>
      <c r="V79" s="202">
        <f>IF($C79,$I79-$U79,"")</f>
      </c>
      <c r="W79" s="202">
        <f>IF($C79,IF(OR($J79="Completado",NOT(ISNUMBER($H79))),0,MAX(0,TODAY()-$H79)),"")</f>
      </c>
      <c r="X79" s="202">
        <f>IF($C79,IF(ISNUMBER($H79),$R79-$H79,0),"")</f>
      </c>
      <c r="Y79" s="202">
        <f>IF($C79,COUNTIFS($G$7:$G$200,$G79,$J$7:$J$200,"&lt;&gt;Completado",$J$7:$J$200,"&lt;&gt;"),"")</f>
      </c>
      <c r="Z79" s="202">
        <f>IF($C79,AND($I79=0,'Proyecto Datos (OKR´s)'!$K79&lt;=TODAY(),$J79&lt;&gt;"Completado"),"")</f>
      </c>
      <c r="AA79" s="202">
        <f>IF($C79,ROUND(100*(0.35*$AK79+0.3*$AL79+0.2*$AM79+0.15*MEDIAN(0,($Y79-4)/8,1)),0),"")</f>
      </c>
      <c r="AB79" s="203">
        <f>IF($C79,IF(OR($J79="Completado",$J79="Sin fecha"),"—",IF($AA79&gt;=70,"Crítica",IF($AA79&gt;=45,"Alta",IF($AA79&gt;=25,"Media","Baja")))),"")</f>
      </c>
      <c r="AC79" s="203">
        <f>IF($C79,IF(LEN(TRIM($AN79))=0,"—",TRIM($AN79)),"")</f>
      </c>
      <c r="AD79" s="202">
        <f>IF($C79,$AV79,"")</f>
      </c>
      <c r="AE79" s="202">
        <f>IF($C79,$AZ79,"")</f>
      </c>
      <c r="AF79" s="202" t="b">
        <f>IF($C79,$AV79&lt;&gt;$AR79,FALSE)</f>
        <v>0</v>
      </c>
      <c r="AG79" s="202">
        <f>IF($C79,IF($AV79&lt;&gt;$AR79,$AW79,""),"")</f>
      </c>
      <c r="AH79" s="203">
        <f>IF($C79,IF(ISBLANK('Backlog General'!$K79),"",'Backlog General'!$K79),"")</f>
      </c>
      <c r="AI79" s="202">
        <f>IF($C79,$AV79*100000+ROW(),"")</f>
      </c>
      <c r="AJ79" s="202">
        <f>IF(AND($C79,ISNUMBER($H79)),$AA79*1000000-MEDIAN(-9999,$K79,9999)*100+(300-ROW()),"")</f>
      </c>
      <c r="AK79" s="202">
        <f>IF($C79,IF($J79="Completado",0,IF($K79&lt;0,1,IF($K79&lt;=3,0.9,IF($K79&lt;=7,0.7,IF($K79&lt;=14,0.45,0.2))))),"")</f>
      </c>
      <c r="AL79" s="202">
        <f>IF($C79,IF($J79="Completado",0,MEDIAN(0,MAX(-$V79,$W79/30),1)),"")</f>
      </c>
      <c r="AM79" s="202">
        <f>IF($C79,IF($J79="Completado",0,IF($Z79,1,IF(AND($I79&lt;0.5,$K79&lt;=7),0.7,0.3))),"")</f>
      </c>
      <c r="AN79" s="203">
        <f>IF($C79,IF(OR($V79&lt;-0.2,$W79&gt;0),"ATRASO ","")&amp;IF($Z79,"BLOQUEO ","")&amp;IF($Y79&gt;8,"SOBRECARGA ","")&amp;IF($X79&gt;0,"DESVÍO-PLAN ",""),"")</f>
      </c>
      <c r="AO79" s="203">
        <f>IF($C79,IFERROR(VLOOKUP($D79,'Sprints'!$I$5:$J$12,2,FALSE),"Semanal"),"")</f>
      </c>
      <c r="AP79" s="202">
        <f>IF($C79,IFERROR(VLOOKUP($AO79,'Sprints'!$B$9:$C$11,2,FALSE),1),"")</f>
      </c>
      <c r="AQ79" s="202">
        <f>IF($C79,'Sprints'!$C$5,"")</f>
      </c>
      <c r="AR79" s="202">
        <f>IF(AND($C79,ISNUMBER($H79)),CEILING(MAX(1,INT(($H79-$AQ79+'Sprints'!$D$5-1)/'Sprints'!$D$5)+1)/$AP79,1),"")</f>
      </c>
      <c r="AS79" s="202">
        <f>IF($C79,CEILING(MAX(1,INT((TODAY()-$AQ79+'Sprints'!$D$5-1)/'Sprints'!$D$5)+1)/$AP79,1),"")</f>
      </c>
      <c r="AT79" s="203">
        <f>IF($C79,'Backlog General'!$G79,"")</f>
      </c>
      <c r="AU79" s="203">
        <f>IF($C79,'Backlog General'!$H79,"")</f>
      </c>
      <c r="AV79" s="202">
        <f>IF(AND($C79,ISNUMBER($AR79)),IF(OR($AT79="Completo",$AU79="Cancelado",$AU79="Baja prioridad"),$AR79,IF($AU79="Pasa al siguiente",MAX($AR79+1,$AS79),MAX($AR79,$AS79))),"")</f>
      </c>
      <c r="AW79" s="202">
        <f>IF(AND($C79,ISNUMBER($AR79)),$AQ79+$AR79*$AP79*'Sprints'!$D$5-'Sprints'!$D$5,"")</f>
      </c>
      <c r="AX79" s="202">
        <f>IF($C79,IF(OR($AT79="Completo",$AU79="Cancelado",$AU79="Baja prioridad",NOT(ISNUMBER($AW79))),0,IF(TODAY()&gt;$AW79,NETWORKDAYS($AW79,TODAY(),'Sprints'!$L$5:$L$40)-1,0)),"")</f>
      </c>
      <c r="AY79" s="203">
        <f>IF($C79,IF(NOT(ISNUMBER($AR79)),"Sin fecha",IF($AT79="Completo","Completo",IF($AU79="Cancelado","Cancelado",IF($AU79="Baja prioridad","Baja prioridad",IF($AX79&gt;0,"Vencida","Pendiente"))))),"")</f>
      </c>
      <c r="AZ79" s="203">
        <f>IF($C79,IF(ISNUMBER($AV79),$AO79&amp;" · S"&amp;$AV79,"(Sin fecha)"),"")</f>
      </c>
      <c r="BA79" s="202">
        <f>IF($C79,IF(AND(ISNUMBER('Backlog General'!$M79),'Backlog General'!$M79=$AS79),"Nuevo S"&amp;'Backlog General'!$M79,""),"")</f>
      </c>
      <c r="BB79" s="202">
        <f>IF(AND($C79,$AO79="Semanal",ISNUMBER($AV79)),$AV79*100000+ROW(),"")</f>
      </c>
      <c r="BC79" s="202">
        <f>IF(AND($C79,$AO79="Quincenal",ISNUMBER($AV79)),$AV79*100000+ROW(),"")</f>
      </c>
      <c r="BD79" s="202">
        <f>IF(AND($C79,$AO79="Mensual",ISNUMBER($AV79)),$AV79*100000+ROW(),"")</f>
      </c>
      <c r="BE79" s="203">
        <f>IF($C79,IF(ISBLANK('Backlog General'!$J79),"",'Backlog General'!$J79),"")</f>
      </c>
      <c r="BF79" s="203">
        <f>IF($C79,IF($BE79="","",$BE79)&amp;IF(AND($BE79&lt;&gt;"",$AH79&lt;&gt;"")," · ","")&amp;IF($AH79="","",$AH79),"")</f>
      </c>
      <c r="BG79" s="203">
        <f>IF($C79,IF($J79="Completado","Sí","No"),"")</f>
      </c>
      <c r="BH79" s="202">
        <f>IF(AND($C79,ISNUMBER($AR79)),IF($AO79="Semanal",1,IF($AO79="Quincenal",2,3))*1000000000+$AR79*100000+ROW(),"")</f>
      </c>
    </row>
    <row r="80">
      <c r="A80" s="202">
        <f>ROW()</f>
        <v>80</v>
      </c>
      <c r="B80" s="202" t="b">
        <f>ISTEXT('Proyecto Datos (OKR´s)'!$K80)</f>
        <v>0</v>
      </c>
      <c r="C80" s="202" t="b">
        <f>AND(LEN('Proyecto Datos (OKR´s)'!$G80)&gt;0,NOT($B80),OR(ISNUMBER('Proyecto Datos (OKR´s)'!$F80),ISNUMBER('Proyecto Datos (OKR´s)'!$L80)))</f>
        <v>0</v>
      </c>
      <c r="D80" s="203">
        <f>IF($C80,IFERROR(LOOKUP(2,1/((ISTEXT('Proyecto Datos (OKR´s)'!$K$7:$K80))*(LEN('Proyecto Datos (OKR´s)'!$G$7:$G80)&gt;0)),'Proyecto Datos (OKR´s)'!$G$7:$G80),""),"")</f>
      </c>
      <c r="E80" s="202">
        <f>IF($C80,'Proyecto Datos (OKR´s)'!$E80,"")</f>
      </c>
      <c r="F80" s="203">
        <f>IF($C80,'Proyecto Datos (OKR´s)'!$G80,"")</f>
      </c>
      <c r="G80" s="203">
        <f>IF($C80,IF('Proyecto Datos (OKR´s)'!$I80="","(Sin asignar)",'Proyecto Datos (OKR´s)'!$I80),"")</f>
      </c>
      <c r="H80" s="202">
        <f>IF($C80,IF(ISNUMBER('Proyecto Datos (OKR´s)'!$F80),'Proyecto Datos (OKR´s)'!$F80,""),"")</f>
      </c>
      <c r="I80" s="202">
        <f>IF($C80,'Proyecto Datos (OKR´s)'!$J80,"")</f>
      </c>
      <c r="J80" s="203">
        <f>IF($C80,IF($I80&gt;=1,"Completado",IF(NOT(ISNUMBER($H80)),"Sin fecha",IF($H80&lt;TODAY(),"Vencido",IF(($H80-TODAY())&lt;='Entregas Próximas'!$M$3,"Próximo a vencer","En curso")))),"")</f>
      </c>
      <c r="K80" s="202">
        <f>IF(AND($C80,ISNUMBER($H80)),$H80-TODAY(),"")</f>
      </c>
      <c r="L80" s="202">
        <f>IF(AND($C80,ISNUMBER($H80)),$AD80*1000000+$H80+ROW()/100000,"")</f>
      </c>
      <c r="M80" s="202">
        <f>IF($C80,IF($AD80=9999,"(Sin sprint)",$AD80),"")</f>
      </c>
      <c r="N80" s="202">
        <f>IF($C80,IF('Proyecto Datos (OKR´s)'!$E80="",9999,'Proyecto Datos (OKR´s)'!$E80),"")</f>
      </c>
      <c r="O80" s="202">
        <f>IF($C80,"T"&amp;TEXT(ROW(),"000"),"")</f>
      </c>
      <c r="R80" s="202">
        <f>IF($C80,IF(ISNUMBER('Proyecto Datos (OKR´s)'!$L80),'Proyecto Datos (OKR´s)'!$L80,$H80),"")</f>
      </c>
      <c r="S80" s="202">
        <f>IF($C80,$R80-'Proyecto Datos (OKR´s)'!$K80+1,"")</f>
      </c>
      <c r="T80" s="202">
        <f>IF($C80,MAX(0,TODAY()-'Proyecto Datos (OKR´s)'!$K80),"")</f>
      </c>
      <c r="U80" s="202">
        <f>IF($C80,MEDIAN(0,(TODAY()-'Proyecto Datos (OKR´s)'!$K80)/MAX(1,$R80-'Proyecto Datos (OKR´s)'!$K80),1),"")</f>
      </c>
      <c r="V80" s="202">
        <f>IF($C80,$I80-$U80,"")</f>
      </c>
      <c r="W80" s="202">
        <f>IF($C80,IF(OR($J80="Completado",NOT(ISNUMBER($H80))),0,MAX(0,TODAY()-$H80)),"")</f>
      </c>
      <c r="X80" s="202">
        <f>IF($C80,IF(ISNUMBER($H80),$R80-$H80,0),"")</f>
      </c>
      <c r="Y80" s="202">
        <f>IF($C80,COUNTIFS($G$7:$G$200,$G80,$J$7:$J$200,"&lt;&gt;Completado",$J$7:$J$200,"&lt;&gt;"),"")</f>
      </c>
      <c r="Z80" s="202">
        <f>IF($C80,AND($I80=0,'Proyecto Datos (OKR´s)'!$K80&lt;=TODAY(),$J80&lt;&gt;"Completado"),"")</f>
      </c>
      <c r="AA80" s="202">
        <f>IF($C80,ROUND(100*(0.35*$AK80+0.3*$AL80+0.2*$AM80+0.15*MEDIAN(0,($Y80-4)/8,1)),0),"")</f>
      </c>
      <c r="AB80" s="203">
        <f>IF($C80,IF(OR($J80="Completado",$J80="Sin fecha"),"—",IF($AA80&gt;=70,"Crítica",IF($AA80&gt;=45,"Alta",IF($AA80&gt;=25,"Media","Baja")))),"")</f>
      </c>
      <c r="AC80" s="203">
        <f>IF($C80,IF(LEN(TRIM($AN80))=0,"—",TRIM($AN80)),"")</f>
      </c>
      <c r="AD80" s="202">
        <f>IF($C80,$AV80,"")</f>
      </c>
      <c r="AE80" s="202">
        <f>IF($C80,$AZ80,"")</f>
      </c>
      <c r="AF80" s="202" t="b">
        <f>IF($C80,$AV80&lt;&gt;$AR80,FALSE)</f>
        <v>0</v>
      </c>
      <c r="AG80" s="202">
        <f>IF($C80,IF($AV80&lt;&gt;$AR80,$AW80,""),"")</f>
      </c>
      <c r="AH80" s="203">
        <f>IF($C80,IF(ISBLANK('Backlog General'!$K80),"",'Backlog General'!$K80),"")</f>
      </c>
      <c r="AI80" s="202">
        <f>IF($C80,$AV80*100000+ROW(),"")</f>
      </c>
      <c r="AJ80" s="202">
        <f>IF(AND($C80,ISNUMBER($H80)),$AA80*1000000-MEDIAN(-9999,$K80,9999)*100+(300-ROW()),"")</f>
      </c>
      <c r="AK80" s="202">
        <f>IF($C80,IF($J80="Completado",0,IF($K80&lt;0,1,IF($K80&lt;=3,0.9,IF($K80&lt;=7,0.7,IF($K80&lt;=14,0.45,0.2))))),"")</f>
      </c>
      <c r="AL80" s="202">
        <f>IF($C80,IF($J80="Completado",0,MEDIAN(0,MAX(-$V80,$W80/30),1)),"")</f>
      </c>
      <c r="AM80" s="202">
        <f>IF($C80,IF($J80="Completado",0,IF($Z80,1,IF(AND($I80&lt;0.5,$K80&lt;=7),0.7,0.3))),"")</f>
      </c>
      <c r="AN80" s="203">
        <f>IF($C80,IF(OR($V80&lt;-0.2,$W80&gt;0),"ATRASO ","")&amp;IF($Z80,"BLOQUEO ","")&amp;IF($Y80&gt;8,"SOBRECARGA ","")&amp;IF($X80&gt;0,"DESVÍO-PLAN ",""),"")</f>
      </c>
      <c r="AO80" s="203">
        <f>IF($C80,IFERROR(VLOOKUP($D80,'Sprints'!$I$5:$J$12,2,FALSE),"Semanal"),"")</f>
      </c>
      <c r="AP80" s="202">
        <f>IF($C80,IFERROR(VLOOKUP($AO80,'Sprints'!$B$9:$C$11,2,FALSE),1),"")</f>
      </c>
      <c r="AQ80" s="202">
        <f>IF($C80,'Sprints'!$C$5,"")</f>
      </c>
      <c r="AR80" s="202">
        <f>IF(AND($C80,ISNUMBER($H80)),CEILING(MAX(1,INT(($H80-$AQ80+'Sprints'!$D$5-1)/'Sprints'!$D$5)+1)/$AP80,1),"")</f>
      </c>
      <c r="AS80" s="202">
        <f>IF($C80,CEILING(MAX(1,INT((TODAY()-$AQ80+'Sprints'!$D$5-1)/'Sprints'!$D$5)+1)/$AP80,1),"")</f>
      </c>
      <c r="AT80" s="203">
        <f>IF($C80,'Backlog General'!$G80,"")</f>
      </c>
      <c r="AU80" s="203">
        <f>IF($C80,'Backlog General'!$H80,"")</f>
      </c>
      <c r="AV80" s="202">
        <f>IF(AND($C80,ISNUMBER($AR80)),IF(OR($AT80="Completo",$AU80="Cancelado",$AU80="Baja prioridad"),$AR80,IF($AU80="Pasa al siguiente",MAX($AR80+1,$AS80),MAX($AR80,$AS80))),"")</f>
      </c>
      <c r="AW80" s="202">
        <f>IF(AND($C80,ISNUMBER($AR80)),$AQ80+$AR80*$AP80*'Sprints'!$D$5-'Sprints'!$D$5,"")</f>
      </c>
      <c r="AX80" s="202">
        <f>IF($C80,IF(OR($AT80="Completo",$AU80="Cancelado",$AU80="Baja prioridad",NOT(ISNUMBER($AW80))),0,IF(TODAY()&gt;$AW80,NETWORKDAYS($AW80,TODAY(),'Sprints'!$L$5:$L$40)-1,0)),"")</f>
      </c>
      <c r="AY80" s="203">
        <f>IF($C80,IF(NOT(ISNUMBER($AR80)),"Sin fecha",IF($AT80="Completo","Completo",IF($AU80="Cancelado","Cancelado",IF($AU80="Baja prioridad","Baja prioridad",IF($AX80&gt;0,"Vencida","Pendiente"))))),"")</f>
      </c>
      <c r="AZ80" s="203">
        <f>IF($C80,IF(ISNUMBER($AV80),$AO80&amp;" · S"&amp;$AV80,"(Sin fecha)"),"")</f>
      </c>
      <c r="BA80" s="202">
        <f>IF($C80,IF(AND(ISNUMBER('Backlog General'!$M80),'Backlog General'!$M80=$AS80),"Nuevo S"&amp;'Backlog General'!$M80,""),"")</f>
      </c>
      <c r="BB80" s="202">
        <f>IF(AND($C80,$AO80="Semanal",ISNUMBER($AV80)),$AV80*100000+ROW(),"")</f>
      </c>
      <c r="BC80" s="202">
        <f>IF(AND($C80,$AO80="Quincenal",ISNUMBER($AV80)),$AV80*100000+ROW(),"")</f>
      </c>
      <c r="BD80" s="202">
        <f>IF(AND($C80,$AO80="Mensual",ISNUMBER($AV80)),$AV80*100000+ROW(),"")</f>
      </c>
      <c r="BE80" s="203">
        <f>IF($C80,IF(ISBLANK('Backlog General'!$J80),"",'Backlog General'!$J80),"")</f>
      </c>
      <c r="BF80" s="203">
        <f>IF($C80,IF($BE80="","",$BE80)&amp;IF(AND($BE80&lt;&gt;"",$AH80&lt;&gt;"")," · ","")&amp;IF($AH80="","",$AH80),"")</f>
      </c>
      <c r="BG80" s="203">
        <f>IF($C80,IF($J80="Completado","Sí","No"),"")</f>
      </c>
      <c r="BH80" s="202">
        <f>IF(AND($C80,ISNUMBER($AR80)),IF($AO80="Semanal",1,IF($AO80="Quincenal",2,3))*1000000000+$AR80*100000+ROW(),"")</f>
      </c>
    </row>
    <row r="81">
      <c r="A81" s="202">
        <f>ROW()</f>
        <v>81</v>
      </c>
      <c r="B81" s="202" t="b">
        <f>ISTEXT('Proyecto Datos (OKR´s)'!$K81)</f>
        <v>0</v>
      </c>
      <c r="C81" s="202" t="b">
        <f>AND(LEN('Proyecto Datos (OKR´s)'!$G81)&gt;0,NOT($B81),OR(ISNUMBER('Proyecto Datos (OKR´s)'!$F81),ISNUMBER('Proyecto Datos (OKR´s)'!$L81)))</f>
        <v>0</v>
      </c>
      <c r="D81" s="203">
        <f>IF($C81,IFERROR(LOOKUP(2,1/((ISTEXT('Proyecto Datos (OKR´s)'!$K$7:$K81))*(LEN('Proyecto Datos (OKR´s)'!$G$7:$G81)&gt;0)),'Proyecto Datos (OKR´s)'!$G$7:$G81),""),"")</f>
      </c>
      <c r="E81" s="202">
        <f>IF($C81,'Proyecto Datos (OKR´s)'!$E81,"")</f>
      </c>
      <c r="F81" s="203">
        <f>IF($C81,'Proyecto Datos (OKR´s)'!$G81,"")</f>
      </c>
      <c r="G81" s="203">
        <f>IF($C81,IF('Proyecto Datos (OKR´s)'!$I81="","(Sin asignar)",'Proyecto Datos (OKR´s)'!$I81),"")</f>
      </c>
      <c r="H81" s="202">
        <f>IF($C81,IF(ISNUMBER('Proyecto Datos (OKR´s)'!$F81),'Proyecto Datos (OKR´s)'!$F81,""),"")</f>
      </c>
      <c r="I81" s="202">
        <f>IF($C81,'Proyecto Datos (OKR´s)'!$J81,"")</f>
      </c>
      <c r="J81" s="203">
        <f>IF($C81,IF($I81&gt;=1,"Completado",IF(NOT(ISNUMBER($H81)),"Sin fecha",IF($H81&lt;TODAY(),"Vencido",IF(($H81-TODAY())&lt;='Entregas Próximas'!$M$3,"Próximo a vencer","En curso")))),"")</f>
      </c>
      <c r="K81" s="202">
        <f>IF(AND($C81,ISNUMBER($H81)),$H81-TODAY(),"")</f>
      </c>
      <c r="L81" s="202">
        <f>IF(AND($C81,ISNUMBER($H81)),$AD81*1000000+$H81+ROW()/100000,"")</f>
      </c>
      <c r="M81" s="202">
        <f>IF($C81,IF($AD81=9999,"(Sin sprint)",$AD81),"")</f>
      </c>
      <c r="N81" s="202">
        <f>IF($C81,IF('Proyecto Datos (OKR´s)'!$E81="",9999,'Proyecto Datos (OKR´s)'!$E81),"")</f>
      </c>
      <c r="O81" s="202">
        <f>IF($C81,"T"&amp;TEXT(ROW(),"000"),"")</f>
      </c>
      <c r="R81" s="202">
        <f>IF($C81,IF(ISNUMBER('Proyecto Datos (OKR´s)'!$L81),'Proyecto Datos (OKR´s)'!$L81,$H81),"")</f>
      </c>
      <c r="S81" s="202">
        <f>IF($C81,$R81-'Proyecto Datos (OKR´s)'!$K81+1,"")</f>
      </c>
      <c r="T81" s="202">
        <f>IF($C81,MAX(0,TODAY()-'Proyecto Datos (OKR´s)'!$K81),"")</f>
      </c>
      <c r="U81" s="202">
        <f>IF($C81,MEDIAN(0,(TODAY()-'Proyecto Datos (OKR´s)'!$K81)/MAX(1,$R81-'Proyecto Datos (OKR´s)'!$K81),1),"")</f>
      </c>
      <c r="V81" s="202">
        <f>IF($C81,$I81-$U81,"")</f>
      </c>
      <c r="W81" s="202">
        <f>IF($C81,IF(OR($J81="Completado",NOT(ISNUMBER($H81))),0,MAX(0,TODAY()-$H81)),"")</f>
      </c>
      <c r="X81" s="202">
        <f>IF($C81,IF(ISNUMBER($H81),$R81-$H81,0),"")</f>
      </c>
      <c r="Y81" s="202">
        <f>IF($C81,COUNTIFS($G$7:$G$200,$G81,$J$7:$J$200,"&lt;&gt;Completado",$J$7:$J$200,"&lt;&gt;"),"")</f>
      </c>
      <c r="Z81" s="202">
        <f>IF($C81,AND($I81=0,'Proyecto Datos (OKR´s)'!$K81&lt;=TODAY(),$J81&lt;&gt;"Completado"),"")</f>
      </c>
      <c r="AA81" s="202">
        <f>IF($C81,ROUND(100*(0.35*$AK81+0.3*$AL81+0.2*$AM81+0.15*MEDIAN(0,($Y81-4)/8,1)),0),"")</f>
      </c>
      <c r="AB81" s="203">
        <f>IF($C81,IF(OR($J81="Completado",$J81="Sin fecha"),"—",IF($AA81&gt;=70,"Crítica",IF($AA81&gt;=45,"Alta",IF($AA81&gt;=25,"Media","Baja")))),"")</f>
      </c>
      <c r="AC81" s="203">
        <f>IF($C81,IF(LEN(TRIM($AN81))=0,"—",TRIM($AN81)),"")</f>
      </c>
      <c r="AD81" s="202">
        <f>IF($C81,$AV81,"")</f>
      </c>
      <c r="AE81" s="202">
        <f>IF($C81,$AZ81,"")</f>
      </c>
      <c r="AF81" s="202" t="b">
        <f>IF($C81,$AV81&lt;&gt;$AR81,FALSE)</f>
        <v>0</v>
      </c>
      <c r="AG81" s="202">
        <f>IF($C81,IF($AV81&lt;&gt;$AR81,$AW81,""),"")</f>
      </c>
      <c r="AH81" s="203">
        <f>IF($C81,IF(ISBLANK('Backlog General'!$K81),"",'Backlog General'!$K81),"")</f>
      </c>
      <c r="AI81" s="202">
        <f>IF($C81,$AV81*100000+ROW(),"")</f>
      </c>
      <c r="AJ81" s="202">
        <f>IF(AND($C81,ISNUMBER($H81)),$AA81*1000000-MEDIAN(-9999,$K81,9999)*100+(300-ROW()),"")</f>
      </c>
      <c r="AK81" s="202">
        <f>IF($C81,IF($J81="Completado",0,IF($K81&lt;0,1,IF($K81&lt;=3,0.9,IF($K81&lt;=7,0.7,IF($K81&lt;=14,0.45,0.2))))),"")</f>
      </c>
      <c r="AL81" s="202">
        <f>IF($C81,IF($J81="Completado",0,MEDIAN(0,MAX(-$V81,$W81/30),1)),"")</f>
      </c>
      <c r="AM81" s="202">
        <f>IF($C81,IF($J81="Completado",0,IF($Z81,1,IF(AND($I81&lt;0.5,$K81&lt;=7),0.7,0.3))),"")</f>
      </c>
      <c r="AN81" s="203">
        <f>IF($C81,IF(OR($V81&lt;-0.2,$W81&gt;0),"ATRASO ","")&amp;IF($Z81,"BLOQUEO ","")&amp;IF($Y81&gt;8,"SOBRECARGA ","")&amp;IF($X81&gt;0,"DESVÍO-PLAN ",""),"")</f>
      </c>
      <c r="AO81" s="203">
        <f>IF($C81,IFERROR(VLOOKUP($D81,'Sprints'!$I$5:$J$12,2,FALSE),"Semanal"),"")</f>
      </c>
      <c r="AP81" s="202">
        <f>IF($C81,IFERROR(VLOOKUP($AO81,'Sprints'!$B$9:$C$11,2,FALSE),1),"")</f>
      </c>
      <c r="AQ81" s="202">
        <f>IF($C81,'Sprints'!$C$5,"")</f>
      </c>
      <c r="AR81" s="202">
        <f>IF(AND($C81,ISNUMBER($H81)),CEILING(MAX(1,INT(($H81-$AQ81+'Sprints'!$D$5-1)/'Sprints'!$D$5)+1)/$AP81,1),"")</f>
      </c>
      <c r="AS81" s="202">
        <f>IF($C81,CEILING(MAX(1,INT((TODAY()-$AQ81+'Sprints'!$D$5-1)/'Sprints'!$D$5)+1)/$AP81,1),"")</f>
      </c>
      <c r="AT81" s="203">
        <f>IF($C81,'Backlog General'!$G81,"")</f>
      </c>
      <c r="AU81" s="203">
        <f>IF($C81,'Backlog General'!$H81,"")</f>
      </c>
      <c r="AV81" s="202">
        <f>IF(AND($C81,ISNUMBER($AR81)),IF(OR($AT81="Completo",$AU81="Cancelado",$AU81="Baja prioridad"),$AR81,IF($AU81="Pasa al siguiente",MAX($AR81+1,$AS81),MAX($AR81,$AS81))),"")</f>
      </c>
      <c r="AW81" s="202">
        <f>IF(AND($C81,ISNUMBER($AR81)),$AQ81+$AR81*$AP81*'Sprints'!$D$5-'Sprints'!$D$5,"")</f>
      </c>
      <c r="AX81" s="202">
        <f>IF($C81,IF(OR($AT81="Completo",$AU81="Cancelado",$AU81="Baja prioridad",NOT(ISNUMBER($AW81))),0,IF(TODAY()&gt;$AW81,NETWORKDAYS($AW81,TODAY(),'Sprints'!$L$5:$L$40)-1,0)),"")</f>
      </c>
      <c r="AY81" s="203">
        <f>IF($C81,IF(NOT(ISNUMBER($AR81)),"Sin fecha",IF($AT81="Completo","Completo",IF($AU81="Cancelado","Cancelado",IF($AU81="Baja prioridad","Baja prioridad",IF($AX81&gt;0,"Vencida","Pendiente"))))),"")</f>
      </c>
      <c r="AZ81" s="203">
        <f>IF($C81,IF(ISNUMBER($AV81),$AO81&amp;" · S"&amp;$AV81,"(Sin fecha)"),"")</f>
      </c>
      <c r="BA81" s="202">
        <f>IF($C81,IF(AND(ISNUMBER('Backlog General'!$M81),'Backlog General'!$M81=$AS81),"Nuevo S"&amp;'Backlog General'!$M81,""),"")</f>
      </c>
      <c r="BB81" s="202">
        <f>IF(AND($C81,$AO81="Semanal",ISNUMBER($AV81)),$AV81*100000+ROW(),"")</f>
      </c>
      <c r="BC81" s="202">
        <f>IF(AND($C81,$AO81="Quincenal",ISNUMBER($AV81)),$AV81*100000+ROW(),"")</f>
      </c>
      <c r="BD81" s="202">
        <f>IF(AND($C81,$AO81="Mensual",ISNUMBER($AV81)),$AV81*100000+ROW(),"")</f>
      </c>
      <c r="BE81" s="203">
        <f>IF($C81,IF(ISBLANK('Backlog General'!$J81),"",'Backlog General'!$J81),"")</f>
      </c>
      <c r="BF81" s="203">
        <f>IF($C81,IF($BE81="","",$BE81)&amp;IF(AND($BE81&lt;&gt;"",$AH81&lt;&gt;"")," · ","")&amp;IF($AH81="","",$AH81),"")</f>
      </c>
      <c r="BG81" s="203">
        <f>IF($C81,IF($J81="Completado","Sí","No"),"")</f>
      </c>
      <c r="BH81" s="202">
        <f>IF(AND($C81,ISNUMBER($AR81)),IF($AO81="Semanal",1,IF($AO81="Quincenal",2,3))*1000000000+$AR81*100000+ROW(),"")</f>
      </c>
    </row>
    <row r="82">
      <c r="A82" s="202">
        <f>ROW()</f>
        <v>82</v>
      </c>
      <c r="B82" s="202" t="b">
        <f>ISTEXT('Proyecto Datos (OKR´s)'!$K82)</f>
        <v>0</v>
      </c>
      <c r="C82" s="202" t="b">
        <f>AND(LEN('Proyecto Datos (OKR´s)'!$G82)&gt;0,NOT($B82),OR(ISNUMBER('Proyecto Datos (OKR´s)'!$F82),ISNUMBER('Proyecto Datos (OKR´s)'!$L82)))</f>
        <v>0</v>
      </c>
      <c r="D82" s="203">
        <f>IF($C82,IFERROR(LOOKUP(2,1/((ISTEXT('Proyecto Datos (OKR´s)'!$K$7:$K82))*(LEN('Proyecto Datos (OKR´s)'!$G$7:$G82)&gt;0)),'Proyecto Datos (OKR´s)'!$G$7:$G82),""),"")</f>
      </c>
      <c r="E82" s="202">
        <f>IF($C82,'Proyecto Datos (OKR´s)'!$E82,"")</f>
      </c>
      <c r="F82" s="203">
        <f>IF($C82,'Proyecto Datos (OKR´s)'!$G82,"")</f>
      </c>
      <c r="G82" s="203">
        <f>IF($C82,IF('Proyecto Datos (OKR´s)'!$I82="","(Sin asignar)",'Proyecto Datos (OKR´s)'!$I82),"")</f>
      </c>
      <c r="H82" s="202">
        <f>IF($C82,IF(ISNUMBER('Proyecto Datos (OKR´s)'!$F82),'Proyecto Datos (OKR´s)'!$F82,""),"")</f>
      </c>
      <c r="I82" s="202">
        <f>IF($C82,'Proyecto Datos (OKR´s)'!$J82,"")</f>
      </c>
      <c r="J82" s="203">
        <f>IF($C82,IF($I82&gt;=1,"Completado",IF(NOT(ISNUMBER($H82)),"Sin fecha",IF($H82&lt;TODAY(),"Vencido",IF(($H82-TODAY())&lt;='Entregas Próximas'!$M$3,"Próximo a vencer","En curso")))),"")</f>
      </c>
      <c r="K82" s="202">
        <f>IF(AND($C82,ISNUMBER($H82)),$H82-TODAY(),"")</f>
      </c>
      <c r="L82" s="202">
        <f>IF(AND($C82,ISNUMBER($H82)),$AD82*1000000+$H82+ROW()/100000,"")</f>
      </c>
      <c r="M82" s="202">
        <f>IF($C82,IF($AD82=9999,"(Sin sprint)",$AD82),"")</f>
      </c>
      <c r="N82" s="202">
        <f>IF($C82,IF('Proyecto Datos (OKR´s)'!$E82="",9999,'Proyecto Datos (OKR´s)'!$E82),"")</f>
      </c>
      <c r="O82" s="202">
        <f>IF($C82,"T"&amp;TEXT(ROW(),"000"),"")</f>
      </c>
      <c r="R82" s="202">
        <f>IF($C82,IF(ISNUMBER('Proyecto Datos (OKR´s)'!$L82),'Proyecto Datos (OKR´s)'!$L82,$H82),"")</f>
      </c>
      <c r="S82" s="202">
        <f>IF($C82,$R82-'Proyecto Datos (OKR´s)'!$K82+1,"")</f>
      </c>
      <c r="T82" s="202">
        <f>IF($C82,MAX(0,TODAY()-'Proyecto Datos (OKR´s)'!$K82),"")</f>
      </c>
      <c r="U82" s="202">
        <f>IF($C82,MEDIAN(0,(TODAY()-'Proyecto Datos (OKR´s)'!$K82)/MAX(1,$R82-'Proyecto Datos (OKR´s)'!$K82),1),"")</f>
      </c>
      <c r="V82" s="202">
        <f>IF($C82,$I82-$U82,"")</f>
      </c>
      <c r="W82" s="202">
        <f>IF($C82,IF(OR($J82="Completado",NOT(ISNUMBER($H82))),0,MAX(0,TODAY()-$H82)),"")</f>
      </c>
      <c r="X82" s="202">
        <f>IF($C82,IF(ISNUMBER($H82),$R82-$H82,0),"")</f>
      </c>
      <c r="Y82" s="202">
        <f>IF($C82,COUNTIFS($G$7:$G$200,$G82,$J$7:$J$200,"&lt;&gt;Completado",$J$7:$J$200,"&lt;&gt;"),"")</f>
      </c>
      <c r="Z82" s="202">
        <f>IF($C82,AND($I82=0,'Proyecto Datos (OKR´s)'!$K82&lt;=TODAY(),$J82&lt;&gt;"Completado"),"")</f>
      </c>
      <c r="AA82" s="202">
        <f>IF($C82,ROUND(100*(0.35*$AK82+0.3*$AL82+0.2*$AM82+0.15*MEDIAN(0,($Y82-4)/8,1)),0),"")</f>
      </c>
      <c r="AB82" s="203">
        <f>IF($C82,IF(OR($J82="Completado",$J82="Sin fecha"),"—",IF($AA82&gt;=70,"Crítica",IF($AA82&gt;=45,"Alta",IF($AA82&gt;=25,"Media","Baja")))),"")</f>
      </c>
      <c r="AC82" s="203">
        <f>IF($C82,IF(LEN(TRIM($AN82))=0,"—",TRIM($AN82)),"")</f>
      </c>
      <c r="AD82" s="202">
        <f>IF($C82,$AV82,"")</f>
      </c>
      <c r="AE82" s="202">
        <f>IF($C82,$AZ82,"")</f>
      </c>
      <c r="AF82" s="202" t="b">
        <f>IF($C82,$AV82&lt;&gt;$AR82,FALSE)</f>
        <v>0</v>
      </c>
      <c r="AG82" s="202">
        <f>IF($C82,IF($AV82&lt;&gt;$AR82,$AW82,""),"")</f>
      </c>
      <c r="AH82" s="203">
        <f>IF($C82,IF(ISBLANK('Backlog General'!$K82),"",'Backlog General'!$K82),"")</f>
      </c>
      <c r="AI82" s="202">
        <f>IF($C82,$AV82*100000+ROW(),"")</f>
      </c>
      <c r="AJ82" s="202">
        <f>IF(AND($C82,ISNUMBER($H82)),$AA82*1000000-MEDIAN(-9999,$K82,9999)*100+(300-ROW()),"")</f>
      </c>
      <c r="AK82" s="202">
        <f>IF($C82,IF($J82="Completado",0,IF($K82&lt;0,1,IF($K82&lt;=3,0.9,IF($K82&lt;=7,0.7,IF($K82&lt;=14,0.45,0.2))))),"")</f>
      </c>
      <c r="AL82" s="202">
        <f>IF($C82,IF($J82="Completado",0,MEDIAN(0,MAX(-$V82,$W82/30),1)),"")</f>
      </c>
      <c r="AM82" s="202">
        <f>IF($C82,IF($J82="Completado",0,IF($Z82,1,IF(AND($I82&lt;0.5,$K82&lt;=7),0.7,0.3))),"")</f>
      </c>
      <c r="AN82" s="203">
        <f>IF($C82,IF(OR($V82&lt;-0.2,$W82&gt;0),"ATRASO ","")&amp;IF($Z82,"BLOQUEO ","")&amp;IF($Y82&gt;8,"SOBRECARGA ","")&amp;IF($X82&gt;0,"DESVÍO-PLAN ",""),"")</f>
      </c>
      <c r="AO82" s="203">
        <f>IF($C82,IFERROR(VLOOKUP($D82,'Sprints'!$I$5:$J$12,2,FALSE),"Semanal"),"")</f>
      </c>
      <c r="AP82" s="202">
        <f>IF($C82,IFERROR(VLOOKUP($AO82,'Sprints'!$B$9:$C$11,2,FALSE),1),"")</f>
      </c>
      <c r="AQ82" s="202">
        <f>IF($C82,'Sprints'!$C$5,"")</f>
      </c>
      <c r="AR82" s="202">
        <f>IF(AND($C82,ISNUMBER($H82)),CEILING(MAX(1,INT(($H82-$AQ82+'Sprints'!$D$5-1)/'Sprints'!$D$5)+1)/$AP82,1),"")</f>
      </c>
      <c r="AS82" s="202">
        <f>IF($C82,CEILING(MAX(1,INT((TODAY()-$AQ82+'Sprints'!$D$5-1)/'Sprints'!$D$5)+1)/$AP82,1),"")</f>
      </c>
      <c r="AT82" s="203">
        <f>IF($C82,'Backlog General'!$G82,"")</f>
      </c>
      <c r="AU82" s="203">
        <f>IF($C82,'Backlog General'!$H82,"")</f>
      </c>
      <c r="AV82" s="202">
        <f>IF(AND($C82,ISNUMBER($AR82)),IF(OR($AT82="Completo",$AU82="Cancelado",$AU82="Baja prioridad"),$AR82,IF($AU82="Pasa al siguiente",MAX($AR82+1,$AS82),MAX($AR82,$AS82))),"")</f>
      </c>
      <c r="AW82" s="202">
        <f>IF(AND($C82,ISNUMBER($AR82)),$AQ82+$AR82*$AP82*'Sprints'!$D$5-'Sprints'!$D$5,"")</f>
      </c>
      <c r="AX82" s="202">
        <f>IF($C82,IF(OR($AT82="Completo",$AU82="Cancelado",$AU82="Baja prioridad",NOT(ISNUMBER($AW82))),0,IF(TODAY()&gt;$AW82,NETWORKDAYS($AW82,TODAY(),'Sprints'!$L$5:$L$40)-1,0)),"")</f>
      </c>
      <c r="AY82" s="203">
        <f>IF($C82,IF(NOT(ISNUMBER($AR82)),"Sin fecha",IF($AT82="Completo","Completo",IF($AU82="Cancelado","Cancelado",IF($AU82="Baja prioridad","Baja prioridad",IF($AX82&gt;0,"Vencida","Pendiente"))))),"")</f>
      </c>
      <c r="AZ82" s="203">
        <f>IF($C82,IF(ISNUMBER($AV82),$AO82&amp;" · S"&amp;$AV82,"(Sin fecha)"),"")</f>
      </c>
      <c r="BA82" s="202">
        <f>IF($C82,IF(AND(ISNUMBER('Backlog General'!$M82),'Backlog General'!$M82=$AS82),"Nuevo S"&amp;'Backlog General'!$M82,""),"")</f>
      </c>
      <c r="BB82" s="202">
        <f>IF(AND($C82,$AO82="Semanal",ISNUMBER($AV82)),$AV82*100000+ROW(),"")</f>
      </c>
      <c r="BC82" s="202">
        <f>IF(AND($C82,$AO82="Quincenal",ISNUMBER($AV82)),$AV82*100000+ROW(),"")</f>
      </c>
      <c r="BD82" s="202">
        <f>IF(AND($C82,$AO82="Mensual",ISNUMBER($AV82)),$AV82*100000+ROW(),"")</f>
      </c>
      <c r="BE82" s="203">
        <f>IF($C82,IF(ISBLANK('Backlog General'!$J82),"",'Backlog General'!$J82),"")</f>
      </c>
      <c r="BF82" s="203">
        <f>IF($C82,IF($BE82="","",$BE82)&amp;IF(AND($BE82&lt;&gt;"",$AH82&lt;&gt;"")," · ","")&amp;IF($AH82="","",$AH82),"")</f>
      </c>
      <c r="BG82" s="203">
        <f>IF($C82,IF($J82="Completado","Sí","No"),"")</f>
      </c>
      <c r="BH82" s="202">
        <f>IF(AND($C82,ISNUMBER($AR82)),IF($AO82="Semanal",1,IF($AO82="Quincenal",2,3))*1000000000+$AR82*100000+ROW(),"")</f>
      </c>
    </row>
    <row r="83">
      <c r="A83" s="202">
        <f>ROW()</f>
        <v>83</v>
      </c>
      <c r="B83" s="202" t="b">
        <f>ISTEXT('Proyecto Datos (OKR´s)'!$K83)</f>
        <v>0</v>
      </c>
      <c r="C83" s="202" t="b">
        <f>AND(LEN('Proyecto Datos (OKR´s)'!$G83)&gt;0,NOT($B83),OR(ISNUMBER('Proyecto Datos (OKR´s)'!$F83),ISNUMBER('Proyecto Datos (OKR´s)'!$L83)))</f>
        <v>0</v>
      </c>
      <c r="D83" s="203">
        <f>IF($C83,IFERROR(LOOKUP(2,1/((ISTEXT('Proyecto Datos (OKR´s)'!$K$7:$K83))*(LEN('Proyecto Datos (OKR´s)'!$G$7:$G83)&gt;0)),'Proyecto Datos (OKR´s)'!$G$7:$G83),""),"")</f>
      </c>
      <c r="E83" s="202">
        <f>IF($C83,'Proyecto Datos (OKR´s)'!$E83,"")</f>
      </c>
      <c r="F83" s="203">
        <f>IF($C83,'Proyecto Datos (OKR´s)'!$G83,"")</f>
      </c>
      <c r="G83" s="203">
        <f>IF($C83,IF('Proyecto Datos (OKR´s)'!$I83="","(Sin asignar)",'Proyecto Datos (OKR´s)'!$I83),"")</f>
      </c>
      <c r="H83" s="202">
        <f>IF($C83,IF(ISNUMBER('Proyecto Datos (OKR´s)'!$F83),'Proyecto Datos (OKR´s)'!$F83,""),"")</f>
      </c>
      <c r="I83" s="202">
        <f>IF($C83,'Proyecto Datos (OKR´s)'!$J83,"")</f>
      </c>
      <c r="J83" s="203">
        <f>IF($C83,IF($I83&gt;=1,"Completado",IF(NOT(ISNUMBER($H83)),"Sin fecha",IF($H83&lt;TODAY(),"Vencido",IF(($H83-TODAY())&lt;='Entregas Próximas'!$M$3,"Próximo a vencer","En curso")))),"")</f>
      </c>
      <c r="K83" s="202">
        <f>IF(AND($C83,ISNUMBER($H83)),$H83-TODAY(),"")</f>
      </c>
      <c r="L83" s="202">
        <f>IF(AND($C83,ISNUMBER($H83)),$AD83*1000000+$H83+ROW()/100000,"")</f>
      </c>
      <c r="M83" s="202">
        <f>IF($C83,IF($AD83=9999,"(Sin sprint)",$AD83),"")</f>
      </c>
      <c r="N83" s="202">
        <f>IF($C83,IF('Proyecto Datos (OKR´s)'!$E83="",9999,'Proyecto Datos (OKR´s)'!$E83),"")</f>
      </c>
      <c r="O83" s="202">
        <f>IF($C83,"T"&amp;TEXT(ROW(),"000"),"")</f>
      </c>
      <c r="R83" s="202">
        <f>IF($C83,IF(ISNUMBER('Proyecto Datos (OKR´s)'!$L83),'Proyecto Datos (OKR´s)'!$L83,$H83),"")</f>
      </c>
      <c r="S83" s="202">
        <f>IF($C83,$R83-'Proyecto Datos (OKR´s)'!$K83+1,"")</f>
      </c>
      <c r="T83" s="202">
        <f>IF($C83,MAX(0,TODAY()-'Proyecto Datos (OKR´s)'!$K83),"")</f>
      </c>
      <c r="U83" s="202">
        <f>IF($C83,MEDIAN(0,(TODAY()-'Proyecto Datos (OKR´s)'!$K83)/MAX(1,$R83-'Proyecto Datos (OKR´s)'!$K83),1),"")</f>
      </c>
      <c r="V83" s="202">
        <f>IF($C83,$I83-$U83,"")</f>
      </c>
      <c r="W83" s="202">
        <f>IF($C83,IF(OR($J83="Completado",NOT(ISNUMBER($H83))),0,MAX(0,TODAY()-$H83)),"")</f>
      </c>
      <c r="X83" s="202">
        <f>IF($C83,IF(ISNUMBER($H83),$R83-$H83,0),"")</f>
      </c>
      <c r="Y83" s="202">
        <f>IF($C83,COUNTIFS($G$7:$G$200,$G83,$J$7:$J$200,"&lt;&gt;Completado",$J$7:$J$200,"&lt;&gt;"),"")</f>
      </c>
      <c r="Z83" s="202">
        <f>IF($C83,AND($I83=0,'Proyecto Datos (OKR´s)'!$K83&lt;=TODAY(),$J83&lt;&gt;"Completado"),"")</f>
      </c>
      <c r="AA83" s="202">
        <f>IF($C83,ROUND(100*(0.35*$AK83+0.3*$AL83+0.2*$AM83+0.15*MEDIAN(0,($Y83-4)/8,1)),0),"")</f>
      </c>
      <c r="AB83" s="203">
        <f>IF($C83,IF(OR($J83="Completado",$J83="Sin fecha"),"—",IF($AA83&gt;=70,"Crítica",IF($AA83&gt;=45,"Alta",IF($AA83&gt;=25,"Media","Baja")))),"")</f>
      </c>
      <c r="AC83" s="203">
        <f>IF($C83,IF(LEN(TRIM($AN83))=0,"—",TRIM($AN83)),"")</f>
      </c>
      <c r="AD83" s="202">
        <f>IF($C83,$AV83,"")</f>
      </c>
      <c r="AE83" s="202">
        <f>IF($C83,$AZ83,"")</f>
      </c>
      <c r="AF83" s="202" t="b">
        <f>IF($C83,$AV83&lt;&gt;$AR83,FALSE)</f>
        <v>0</v>
      </c>
      <c r="AG83" s="202">
        <f>IF($C83,IF($AV83&lt;&gt;$AR83,$AW83,""),"")</f>
      </c>
      <c r="AH83" s="203">
        <f>IF($C83,IF(ISBLANK('Backlog General'!$K83),"",'Backlog General'!$K83),"")</f>
      </c>
      <c r="AI83" s="202">
        <f>IF($C83,$AV83*100000+ROW(),"")</f>
      </c>
      <c r="AJ83" s="202">
        <f>IF(AND($C83,ISNUMBER($H83)),$AA83*1000000-MEDIAN(-9999,$K83,9999)*100+(300-ROW()),"")</f>
      </c>
      <c r="AK83" s="202">
        <f>IF($C83,IF($J83="Completado",0,IF($K83&lt;0,1,IF($K83&lt;=3,0.9,IF($K83&lt;=7,0.7,IF($K83&lt;=14,0.45,0.2))))),"")</f>
      </c>
      <c r="AL83" s="202">
        <f>IF($C83,IF($J83="Completado",0,MEDIAN(0,MAX(-$V83,$W83/30),1)),"")</f>
      </c>
      <c r="AM83" s="202">
        <f>IF($C83,IF($J83="Completado",0,IF($Z83,1,IF(AND($I83&lt;0.5,$K83&lt;=7),0.7,0.3))),"")</f>
      </c>
      <c r="AN83" s="203">
        <f>IF($C83,IF(OR($V83&lt;-0.2,$W83&gt;0),"ATRASO ","")&amp;IF($Z83,"BLOQUEO ","")&amp;IF($Y83&gt;8,"SOBRECARGA ","")&amp;IF($X83&gt;0,"DESVÍO-PLAN ",""),"")</f>
      </c>
      <c r="AO83" s="203">
        <f>IF($C83,IFERROR(VLOOKUP($D83,'Sprints'!$I$5:$J$12,2,FALSE),"Semanal"),"")</f>
      </c>
      <c r="AP83" s="202">
        <f>IF($C83,IFERROR(VLOOKUP($AO83,'Sprints'!$B$9:$C$11,2,FALSE),1),"")</f>
      </c>
      <c r="AQ83" s="202">
        <f>IF($C83,'Sprints'!$C$5,"")</f>
      </c>
      <c r="AR83" s="202">
        <f>IF(AND($C83,ISNUMBER($H83)),CEILING(MAX(1,INT(($H83-$AQ83+'Sprints'!$D$5-1)/'Sprints'!$D$5)+1)/$AP83,1),"")</f>
      </c>
      <c r="AS83" s="202">
        <f>IF($C83,CEILING(MAX(1,INT((TODAY()-$AQ83+'Sprints'!$D$5-1)/'Sprints'!$D$5)+1)/$AP83,1),"")</f>
      </c>
      <c r="AT83" s="203">
        <f>IF($C83,'Backlog General'!$G83,"")</f>
      </c>
      <c r="AU83" s="203">
        <f>IF($C83,'Backlog General'!$H83,"")</f>
      </c>
      <c r="AV83" s="202">
        <f>IF(AND($C83,ISNUMBER($AR83)),IF(OR($AT83="Completo",$AU83="Cancelado",$AU83="Baja prioridad"),$AR83,IF($AU83="Pasa al siguiente",MAX($AR83+1,$AS83),MAX($AR83,$AS83))),"")</f>
      </c>
      <c r="AW83" s="202">
        <f>IF(AND($C83,ISNUMBER($AR83)),$AQ83+$AR83*$AP83*'Sprints'!$D$5-'Sprints'!$D$5,"")</f>
      </c>
      <c r="AX83" s="202">
        <f>IF($C83,IF(OR($AT83="Completo",$AU83="Cancelado",$AU83="Baja prioridad",NOT(ISNUMBER($AW83))),0,IF(TODAY()&gt;$AW83,NETWORKDAYS($AW83,TODAY(),'Sprints'!$L$5:$L$40)-1,0)),"")</f>
      </c>
      <c r="AY83" s="203">
        <f>IF($C83,IF(NOT(ISNUMBER($AR83)),"Sin fecha",IF($AT83="Completo","Completo",IF($AU83="Cancelado","Cancelado",IF($AU83="Baja prioridad","Baja prioridad",IF($AX83&gt;0,"Vencida","Pendiente"))))),"")</f>
      </c>
      <c r="AZ83" s="203">
        <f>IF($C83,IF(ISNUMBER($AV83),$AO83&amp;" · S"&amp;$AV83,"(Sin fecha)"),"")</f>
      </c>
      <c r="BA83" s="202">
        <f>IF($C83,IF(AND(ISNUMBER('Backlog General'!$M83),'Backlog General'!$M83=$AS83),"Nuevo S"&amp;'Backlog General'!$M83,""),"")</f>
      </c>
      <c r="BB83" s="202">
        <f>IF(AND($C83,$AO83="Semanal",ISNUMBER($AV83)),$AV83*100000+ROW(),"")</f>
      </c>
      <c r="BC83" s="202">
        <f>IF(AND($C83,$AO83="Quincenal",ISNUMBER($AV83)),$AV83*100000+ROW(),"")</f>
      </c>
      <c r="BD83" s="202">
        <f>IF(AND($C83,$AO83="Mensual",ISNUMBER($AV83)),$AV83*100000+ROW(),"")</f>
      </c>
      <c r="BE83" s="203">
        <f>IF($C83,IF(ISBLANK('Backlog General'!$J83),"",'Backlog General'!$J83),"")</f>
      </c>
      <c r="BF83" s="203">
        <f>IF($C83,IF($BE83="","",$BE83)&amp;IF(AND($BE83&lt;&gt;"",$AH83&lt;&gt;"")," · ","")&amp;IF($AH83="","",$AH83),"")</f>
      </c>
      <c r="BG83" s="203">
        <f>IF($C83,IF($J83="Completado","Sí","No"),"")</f>
      </c>
      <c r="BH83" s="202">
        <f>IF(AND($C83,ISNUMBER($AR83)),IF($AO83="Semanal",1,IF($AO83="Quincenal",2,3))*1000000000+$AR83*100000+ROW(),"")</f>
      </c>
    </row>
    <row r="84">
      <c r="A84" s="202">
        <f>ROW()</f>
        <v>84</v>
      </c>
      <c r="B84" s="202" t="b">
        <f>ISTEXT('Proyecto Datos (OKR´s)'!$K84)</f>
        <v>0</v>
      </c>
      <c r="C84" s="202" t="b">
        <f>AND(LEN('Proyecto Datos (OKR´s)'!$G84)&gt;0,NOT($B84),OR(ISNUMBER('Proyecto Datos (OKR´s)'!$F84),ISNUMBER('Proyecto Datos (OKR´s)'!$L84)))</f>
        <v>0</v>
      </c>
      <c r="D84" s="203">
        <f>IF($C84,IFERROR(LOOKUP(2,1/((ISTEXT('Proyecto Datos (OKR´s)'!$K$7:$K84))*(LEN('Proyecto Datos (OKR´s)'!$G$7:$G84)&gt;0)),'Proyecto Datos (OKR´s)'!$G$7:$G84),""),"")</f>
      </c>
      <c r="E84" s="202">
        <f>IF($C84,'Proyecto Datos (OKR´s)'!$E84,"")</f>
      </c>
      <c r="F84" s="203">
        <f>IF($C84,'Proyecto Datos (OKR´s)'!$G84,"")</f>
      </c>
      <c r="G84" s="203">
        <f>IF($C84,IF('Proyecto Datos (OKR´s)'!$I84="","(Sin asignar)",'Proyecto Datos (OKR´s)'!$I84),"")</f>
      </c>
      <c r="H84" s="202">
        <f>IF($C84,IF(ISNUMBER('Proyecto Datos (OKR´s)'!$F84),'Proyecto Datos (OKR´s)'!$F84,""),"")</f>
      </c>
      <c r="I84" s="202">
        <f>IF($C84,'Proyecto Datos (OKR´s)'!$J84,"")</f>
      </c>
      <c r="J84" s="203">
        <f>IF($C84,IF($I84&gt;=1,"Completado",IF(NOT(ISNUMBER($H84)),"Sin fecha",IF($H84&lt;TODAY(),"Vencido",IF(($H84-TODAY())&lt;='Entregas Próximas'!$M$3,"Próximo a vencer","En curso")))),"")</f>
      </c>
      <c r="K84" s="202">
        <f>IF(AND($C84,ISNUMBER($H84)),$H84-TODAY(),"")</f>
      </c>
      <c r="L84" s="202">
        <f>IF(AND($C84,ISNUMBER($H84)),$AD84*1000000+$H84+ROW()/100000,"")</f>
      </c>
      <c r="M84" s="202">
        <f>IF($C84,IF($AD84=9999,"(Sin sprint)",$AD84),"")</f>
      </c>
      <c r="N84" s="202">
        <f>IF($C84,IF('Proyecto Datos (OKR´s)'!$E84="",9999,'Proyecto Datos (OKR´s)'!$E84),"")</f>
      </c>
      <c r="O84" s="202">
        <f>IF($C84,"T"&amp;TEXT(ROW(),"000"),"")</f>
      </c>
      <c r="R84" s="202">
        <f>IF($C84,IF(ISNUMBER('Proyecto Datos (OKR´s)'!$L84),'Proyecto Datos (OKR´s)'!$L84,$H84),"")</f>
      </c>
      <c r="S84" s="202">
        <f>IF($C84,$R84-'Proyecto Datos (OKR´s)'!$K84+1,"")</f>
      </c>
      <c r="T84" s="202">
        <f>IF($C84,MAX(0,TODAY()-'Proyecto Datos (OKR´s)'!$K84),"")</f>
      </c>
      <c r="U84" s="202">
        <f>IF($C84,MEDIAN(0,(TODAY()-'Proyecto Datos (OKR´s)'!$K84)/MAX(1,$R84-'Proyecto Datos (OKR´s)'!$K84),1),"")</f>
      </c>
      <c r="V84" s="202">
        <f>IF($C84,$I84-$U84,"")</f>
      </c>
      <c r="W84" s="202">
        <f>IF($C84,IF(OR($J84="Completado",NOT(ISNUMBER($H84))),0,MAX(0,TODAY()-$H84)),"")</f>
      </c>
      <c r="X84" s="202">
        <f>IF($C84,IF(ISNUMBER($H84),$R84-$H84,0),"")</f>
      </c>
      <c r="Y84" s="202">
        <f>IF($C84,COUNTIFS($G$7:$G$200,$G84,$J$7:$J$200,"&lt;&gt;Completado",$J$7:$J$200,"&lt;&gt;"),"")</f>
      </c>
      <c r="Z84" s="202">
        <f>IF($C84,AND($I84=0,'Proyecto Datos (OKR´s)'!$K84&lt;=TODAY(),$J84&lt;&gt;"Completado"),"")</f>
      </c>
      <c r="AA84" s="202">
        <f>IF($C84,ROUND(100*(0.35*$AK84+0.3*$AL84+0.2*$AM84+0.15*MEDIAN(0,($Y84-4)/8,1)),0),"")</f>
      </c>
      <c r="AB84" s="203">
        <f>IF($C84,IF(OR($J84="Completado",$J84="Sin fecha"),"—",IF($AA84&gt;=70,"Crítica",IF($AA84&gt;=45,"Alta",IF($AA84&gt;=25,"Media","Baja")))),"")</f>
      </c>
      <c r="AC84" s="203">
        <f>IF($C84,IF(LEN(TRIM($AN84))=0,"—",TRIM($AN84)),"")</f>
      </c>
      <c r="AD84" s="202">
        <f>IF($C84,$AV84,"")</f>
      </c>
      <c r="AE84" s="202">
        <f>IF($C84,$AZ84,"")</f>
      </c>
      <c r="AF84" s="202" t="b">
        <f>IF($C84,$AV84&lt;&gt;$AR84,FALSE)</f>
        <v>0</v>
      </c>
      <c r="AG84" s="202">
        <f>IF($C84,IF($AV84&lt;&gt;$AR84,$AW84,""),"")</f>
      </c>
      <c r="AH84" s="203">
        <f>IF($C84,IF(ISBLANK('Backlog General'!$K84),"",'Backlog General'!$K84),"")</f>
      </c>
      <c r="AI84" s="202">
        <f>IF($C84,$AV84*100000+ROW(),"")</f>
      </c>
      <c r="AJ84" s="202">
        <f>IF(AND($C84,ISNUMBER($H84)),$AA84*1000000-MEDIAN(-9999,$K84,9999)*100+(300-ROW()),"")</f>
      </c>
      <c r="AK84" s="202">
        <f>IF($C84,IF($J84="Completado",0,IF($K84&lt;0,1,IF($K84&lt;=3,0.9,IF($K84&lt;=7,0.7,IF($K84&lt;=14,0.45,0.2))))),"")</f>
      </c>
      <c r="AL84" s="202">
        <f>IF($C84,IF($J84="Completado",0,MEDIAN(0,MAX(-$V84,$W84/30),1)),"")</f>
      </c>
      <c r="AM84" s="202">
        <f>IF($C84,IF($J84="Completado",0,IF($Z84,1,IF(AND($I84&lt;0.5,$K84&lt;=7),0.7,0.3))),"")</f>
      </c>
      <c r="AN84" s="203">
        <f>IF($C84,IF(OR($V84&lt;-0.2,$W84&gt;0),"ATRASO ","")&amp;IF($Z84,"BLOQUEO ","")&amp;IF($Y84&gt;8,"SOBRECARGA ","")&amp;IF($X84&gt;0,"DESVÍO-PLAN ",""),"")</f>
      </c>
      <c r="AO84" s="203">
        <f>IF($C84,IFERROR(VLOOKUP($D84,'Sprints'!$I$5:$J$12,2,FALSE),"Semanal"),"")</f>
      </c>
      <c r="AP84" s="202">
        <f>IF($C84,IFERROR(VLOOKUP($AO84,'Sprints'!$B$9:$C$11,2,FALSE),1),"")</f>
      </c>
      <c r="AQ84" s="202">
        <f>IF($C84,'Sprints'!$C$5,"")</f>
      </c>
      <c r="AR84" s="202">
        <f>IF(AND($C84,ISNUMBER($H84)),CEILING(MAX(1,INT(($H84-$AQ84+'Sprints'!$D$5-1)/'Sprints'!$D$5)+1)/$AP84,1),"")</f>
      </c>
      <c r="AS84" s="202">
        <f>IF($C84,CEILING(MAX(1,INT((TODAY()-$AQ84+'Sprints'!$D$5-1)/'Sprints'!$D$5)+1)/$AP84,1),"")</f>
      </c>
      <c r="AT84" s="203">
        <f>IF($C84,'Backlog General'!$G84,"")</f>
      </c>
      <c r="AU84" s="203">
        <f>IF($C84,'Backlog General'!$H84,"")</f>
      </c>
      <c r="AV84" s="202">
        <f>IF(AND($C84,ISNUMBER($AR84)),IF(OR($AT84="Completo",$AU84="Cancelado",$AU84="Baja prioridad"),$AR84,IF($AU84="Pasa al siguiente",MAX($AR84+1,$AS84),MAX($AR84,$AS84))),"")</f>
      </c>
      <c r="AW84" s="202">
        <f>IF(AND($C84,ISNUMBER($AR84)),$AQ84+$AR84*$AP84*'Sprints'!$D$5-'Sprints'!$D$5,"")</f>
      </c>
      <c r="AX84" s="202">
        <f>IF($C84,IF(OR($AT84="Completo",$AU84="Cancelado",$AU84="Baja prioridad",NOT(ISNUMBER($AW84))),0,IF(TODAY()&gt;$AW84,NETWORKDAYS($AW84,TODAY(),'Sprints'!$L$5:$L$40)-1,0)),"")</f>
      </c>
      <c r="AY84" s="203">
        <f>IF($C84,IF(NOT(ISNUMBER($AR84)),"Sin fecha",IF($AT84="Completo","Completo",IF($AU84="Cancelado","Cancelado",IF($AU84="Baja prioridad","Baja prioridad",IF($AX84&gt;0,"Vencida","Pendiente"))))),"")</f>
      </c>
      <c r="AZ84" s="203">
        <f>IF($C84,IF(ISNUMBER($AV84),$AO84&amp;" · S"&amp;$AV84,"(Sin fecha)"),"")</f>
      </c>
      <c r="BA84" s="202">
        <f>IF($C84,IF(AND(ISNUMBER('Backlog General'!$M84),'Backlog General'!$M84=$AS84),"Nuevo S"&amp;'Backlog General'!$M84,""),"")</f>
      </c>
      <c r="BB84" s="202">
        <f>IF(AND($C84,$AO84="Semanal",ISNUMBER($AV84)),$AV84*100000+ROW(),"")</f>
      </c>
      <c r="BC84" s="202">
        <f>IF(AND($C84,$AO84="Quincenal",ISNUMBER($AV84)),$AV84*100000+ROW(),"")</f>
      </c>
      <c r="BD84" s="202">
        <f>IF(AND($C84,$AO84="Mensual",ISNUMBER($AV84)),$AV84*100000+ROW(),"")</f>
      </c>
      <c r="BE84" s="203">
        <f>IF($C84,IF(ISBLANK('Backlog General'!$J84),"",'Backlog General'!$J84),"")</f>
      </c>
      <c r="BF84" s="203">
        <f>IF($C84,IF($BE84="","",$BE84)&amp;IF(AND($BE84&lt;&gt;"",$AH84&lt;&gt;"")," · ","")&amp;IF($AH84="","",$AH84),"")</f>
      </c>
      <c r="BG84" s="203">
        <f>IF($C84,IF($J84="Completado","Sí","No"),"")</f>
      </c>
      <c r="BH84" s="202">
        <f>IF(AND($C84,ISNUMBER($AR84)),IF($AO84="Semanal",1,IF($AO84="Quincenal",2,3))*1000000000+$AR84*100000+ROW(),"")</f>
      </c>
    </row>
    <row r="85">
      <c r="A85" s="202">
        <f>ROW()</f>
        <v>85</v>
      </c>
      <c r="B85" s="202" t="b">
        <f>ISTEXT('Proyecto Datos (OKR´s)'!$K85)</f>
        <v>0</v>
      </c>
      <c r="C85" s="202" t="b">
        <f>AND(LEN('Proyecto Datos (OKR´s)'!$G85)&gt;0,NOT($B85),OR(ISNUMBER('Proyecto Datos (OKR´s)'!$F85),ISNUMBER('Proyecto Datos (OKR´s)'!$L85)))</f>
        <v>0</v>
      </c>
      <c r="D85" s="203">
        <f>IF($C85,IFERROR(LOOKUP(2,1/((ISTEXT('Proyecto Datos (OKR´s)'!$K$7:$K85))*(LEN('Proyecto Datos (OKR´s)'!$G$7:$G85)&gt;0)),'Proyecto Datos (OKR´s)'!$G$7:$G85),""),"")</f>
      </c>
      <c r="E85" s="202">
        <f>IF($C85,'Proyecto Datos (OKR´s)'!$E85,"")</f>
      </c>
      <c r="F85" s="203">
        <f>IF($C85,'Proyecto Datos (OKR´s)'!$G85,"")</f>
      </c>
      <c r="G85" s="203">
        <f>IF($C85,IF('Proyecto Datos (OKR´s)'!$I85="","(Sin asignar)",'Proyecto Datos (OKR´s)'!$I85),"")</f>
      </c>
      <c r="H85" s="202">
        <f>IF($C85,IF(ISNUMBER('Proyecto Datos (OKR´s)'!$F85),'Proyecto Datos (OKR´s)'!$F85,""),"")</f>
      </c>
      <c r="I85" s="202">
        <f>IF($C85,'Proyecto Datos (OKR´s)'!$J85,"")</f>
      </c>
      <c r="J85" s="203">
        <f>IF($C85,IF($I85&gt;=1,"Completado",IF(NOT(ISNUMBER($H85)),"Sin fecha",IF($H85&lt;TODAY(),"Vencido",IF(($H85-TODAY())&lt;='Entregas Próximas'!$M$3,"Próximo a vencer","En curso")))),"")</f>
      </c>
      <c r="K85" s="202">
        <f>IF(AND($C85,ISNUMBER($H85)),$H85-TODAY(),"")</f>
      </c>
      <c r="L85" s="202">
        <f>IF(AND($C85,ISNUMBER($H85)),$AD85*1000000+$H85+ROW()/100000,"")</f>
      </c>
      <c r="M85" s="202">
        <f>IF($C85,IF($AD85=9999,"(Sin sprint)",$AD85),"")</f>
      </c>
      <c r="N85" s="202">
        <f>IF($C85,IF('Proyecto Datos (OKR´s)'!$E85="",9999,'Proyecto Datos (OKR´s)'!$E85),"")</f>
      </c>
      <c r="O85" s="202">
        <f>IF($C85,"T"&amp;TEXT(ROW(),"000"),"")</f>
      </c>
      <c r="R85" s="202">
        <f>IF($C85,IF(ISNUMBER('Proyecto Datos (OKR´s)'!$L85),'Proyecto Datos (OKR´s)'!$L85,$H85),"")</f>
      </c>
      <c r="S85" s="202">
        <f>IF($C85,$R85-'Proyecto Datos (OKR´s)'!$K85+1,"")</f>
      </c>
      <c r="T85" s="202">
        <f>IF($C85,MAX(0,TODAY()-'Proyecto Datos (OKR´s)'!$K85),"")</f>
      </c>
      <c r="U85" s="202">
        <f>IF($C85,MEDIAN(0,(TODAY()-'Proyecto Datos (OKR´s)'!$K85)/MAX(1,$R85-'Proyecto Datos (OKR´s)'!$K85),1),"")</f>
      </c>
      <c r="V85" s="202">
        <f>IF($C85,$I85-$U85,"")</f>
      </c>
      <c r="W85" s="202">
        <f>IF($C85,IF(OR($J85="Completado",NOT(ISNUMBER($H85))),0,MAX(0,TODAY()-$H85)),"")</f>
      </c>
      <c r="X85" s="202">
        <f>IF($C85,IF(ISNUMBER($H85),$R85-$H85,0),"")</f>
      </c>
      <c r="Y85" s="202">
        <f>IF($C85,COUNTIFS($G$7:$G$200,$G85,$J$7:$J$200,"&lt;&gt;Completado",$J$7:$J$200,"&lt;&gt;"),"")</f>
      </c>
      <c r="Z85" s="202">
        <f>IF($C85,AND($I85=0,'Proyecto Datos (OKR´s)'!$K85&lt;=TODAY(),$J85&lt;&gt;"Completado"),"")</f>
      </c>
      <c r="AA85" s="202">
        <f>IF($C85,ROUND(100*(0.35*$AK85+0.3*$AL85+0.2*$AM85+0.15*MEDIAN(0,($Y85-4)/8,1)),0),"")</f>
      </c>
      <c r="AB85" s="203">
        <f>IF($C85,IF(OR($J85="Completado",$J85="Sin fecha"),"—",IF($AA85&gt;=70,"Crítica",IF($AA85&gt;=45,"Alta",IF($AA85&gt;=25,"Media","Baja")))),"")</f>
      </c>
      <c r="AC85" s="203">
        <f>IF($C85,IF(LEN(TRIM($AN85))=0,"—",TRIM($AN85)),"")</f>
      </c>
      <c r="AD85" s="202">
        <f>IF($C85,$AV85,"")</f>
      </c>
      <c r="AE85" s="202">
        <f>IF($C85,$AZ85,"")</f>
      </c>
      <c r="AF85" s="202" t="b">
        <f>IF($C85,$AV85&lt;&gt;$AR85,FALSE)</f>
        <v>0</v>
      </c>
      <c r="AG85" s="202">
        <f>IF($C85,IF($AV85&lt;&gt;$AR85,$AW85,""),"")</f>
      </c>
      <c r="AH85" s="203">
        <f>IF($C85,IF(ISBLANK('Backlog General'!$K85),"",'Backlog General'!$K85),"")</f>
      </c>
      <c r="AI85" s="202">
        <f>IF($C85,$AV85*100000+ROW(),"")</f>
      </c>
      <c r="AJ85" s="202">
        <f>IF(AND($C85,ISNUMBER($H85)),$AA85*1000000-MEDIAN(-9999,$K85,9999)*100+(300-ROW()),"")</f>
      </c>
      <c r="AK85" s="202">
        <f>IF($C85,IF($J85="Completado",0,IF($K85&lt;0,1,IF($K85&lt;=3,0.9,IF($K85&lt;=7,0.7,IF($K85&lt;=14,0.45,0.2))))),"")</f>
      </c>
      <c r="AL85" s="202">
        <f>IF($C85,IF($J85="Completado",0,MEDIAN(0,MAX(-$V85,$W85/30),1)),"")</f>
      </c>
      <c r="AM85" s="202">
        <f>IF($C85,IF($J85="Completado",0,IF($Z85,1,IF(AND($I85&lt;0.5,$K85&lt;=7),0.7,0.3))),"")</f>
      </c>
      <c r="AN85" s="203">
        <f>IF($C85,IF(OR($V85&lt;-0.2,$W85&gt;0),"ATRASO ","")&amp;IF($Z85,"BLOQUEO ","")&amp;IF($Y85&gt;8,"SOBRECARGA ","")&amp;IF($X85&gt;0,"DESVÍO-PLAN ",""),"")</f>
      </c>
      <c r="AO85" s="203">
        <f>IF($C85,IFERROR(VLOOKUP($D85,'Sprints'!$I$5:$J$12,2,FALSE),"Semanal"),"")</f>
      </c>
      <c r="AP85" s="202">
        <f>IF($C85,IFERROR(VLOOKUP($AO85,'Sprints'!$B$9:$C$11,2,FALSE),1),"")</f>
      </c>
      <c r="AQ85" s="202">
        <f>IF($C85,'Sprints'!$C$5,"")</f>
      </c>
      <c r="AR85" s="202">
        <f>IF(AND($C85,ISNUMBER($H85)),CEILING(MAX(1,INT(($H85-$AQ85+'Sprints'!$D$5-1)/'Sprints'!$D$5)+1)/$AP85,1),"")</f>
      </c>
      <c r="AS85" s="202">
        <f>IF($C85,CEILING(MAX(1,INT((TODAY()-$AQ85+'Sprints'!$D$5-1)/'Sprints'!$D$5)+1)/$AP85,1),"")</f>
      </c>
      <c r="AT85" s="203">
        <f>IF($C85,'Backlog General'!$G85,"")</f>
      </c>
      <c r="AU85" s="203">
        <f>IF($C85,'Backlog General'!$H85,"")</f>
      </c>
      <c r="AV85" s="202">
        <f>IF(AND($C85,ISNUMBER($AR85)),IF(OR($AT85="Completo",$AU85="Cancelado",$AU85="Baja prioridad"),$AR85,IF($AU85="Pasa al siguiente",MAX($AR85+1,$AS85),MAX($AR85,$AS85))),"")</f>
      </c>
      <c r="AW85" s="202">
        <f>IF(AND($C85,ISNUMBER($AR85)),$AQ85+$AR85*$AP85*'Sprints'!$D$5-'Sprints'!$D$5,"")</f>
      </c>
      <c r="AX85" s="202">
        <f>IF($C85,IF(OR($AT85="Completo",$AU85="Cancelado",$AU85="Baja prioridad",NOT(ISNUMBER($AW85))),0,IF(TODAY()&gt;$AW85,NETWORKDAYS($AW85,TODAY(),'Sprints'!$L$5:$L$40)-1,0)),"")</f>
      </c>
      <c r="AY85" s="203">
        <f>IF($C85,IF(NOT(ISNUMBER($AR85)),"Sin fecha",IF($AT85="Completo","Completo",IF($AU85="Cancelado","Cancelado",IF($AU85="Baja prioridad","Baja prioridad",IF($AX85&gt;0,"Vencida","Pendiente"))))),"")</f>
      </c>
      <c r="AZ85" s="203">
        <f>IF($C85,IF(ISNUMBER($AV85),$AO85&amp;" · S"&amp;$AV85,"(Sin fecha)"),"")</f>
      </c>
      <c r="BA85" s="202">
        <f>IF($C85,IF(AND(ISNUMBER('Backlog General'!$M85),'Backlog General'!$M85=$AS85),"Nuevo S"&amp;'Backlog General'!$M85,""),"")</f>
      </c>
      <c r="BB85" s="202">
        <f>IF(AND($C85,$AO85="Semanal",ISNUMBER($AV85)),$AV85*100000+ROW(),"")</f>
      </c>
      <c r="BC85" s="202">
        <f>IF(AND($C85,$AO85="Quincenal",ISNUMBER($AV85)),$AV85*100000+ROW(),"")</f>
      </c>
      <c r="BD85" s="202">
        <f>IF(AND($C85,$AO85="Mensual",ISNUMBER($AV85)),$AV85*100000+ROW(),"")</f>
      </c>
      <c r="BE85" s="203">
        <f>IF($C85,IF(ISBLANK('Backlog General'!$J85),"",'Backlog General'!$J85),"")</f>
      </c>
      <c r="BF85" s="203">
        <f>IF($C85,IF($BE85="","",$BE85)&amp;IF(AND($BE85&lt;&gt;"",$AH85&lt;&gt;"")," · ","")&amp;IF($AH85="","",$AH85),"")</f>
      </c>
      <c r="BG85" s="203">
        <f>IF($C85,IF($J85="Completado","Sí","No"),"")</f>
      </c>
      <c r="BH85" s="202">
        <f>IF(AND($C85,ISNUMBER($AR85)),IF($AO85="Semanal",1,IF($AO85="Quincenal",2,3))*1000000000+$AR85*100000+ROW(),"")</f>
      </c>
    </row>
    <row r="86">
      <c r="A86" s="202">
        <f>ROW()</f>
        <v>86</v>
      </c>
      <c r="B86" s="202" t="b">
        <f>ISTEXT('Proyecto Datos (OKR´s)'!$K86)</f>
        <v>0</v>
      </c>
      <c r="C86" s="202" t="b">
        <f>AND(LEN('Proyecto Datos (OKR´s)'!$G86)&gt;0,NOT($B86),OR(ISNUMBER('Proyecto Datos (OKR´s)'!$F86),ISNUMBER('Proyecto Datos (OKR´s)'!$L86)))</f>
        <v>0</v>
      </c>
      <c r="D86" s="203">
        <f>IF($C86,IFERROR(LOOKUP(2,1/((ISTEXT('Proyecto Datos (OKR´s)'!$K$7:$K86))*(LEN('Proyecto Datos (OKR´s)'!$G$7:$G86)&gt;0)),'Proyecto Datos (OKR´s)'!$G$7:$G86),""),"")</f>
      </c>
      <c r="E86" s="202">
        <f>IF($C86,'Proyecto Datos (OKR´s)'!$E86,"")</f>
      </c>
      <c r="F86" s="203">
        <f>IF($C86,'Proyecto Datos (OKR´s)'!$G86,"")</f>
      </c>
      <c r="G86" s="203">
        <f>IF($C86,IF('Proyecto Datos (OKR´s)'!$I86="","(Sin asignar)",'Proyecto Datos (OKR´s)'!$I86),"")</f>
      </c>
      <c r="H86" s="202">
        <f>IF($C86,IF(ISNUMBER('Proyecto Datos (OKR´s)'!$F86),'Proyecto Datos (OKR´s)'!$F86,""),"")</f>
      </c>
      <c r="I86" s="202">
        <f>IF($C86,'Proyecto Datos (OKR´s)'!$J86,"")</f>
      </c>
      <c r="J86" s="203">
        <f>IF($C86,IF($I86&gt;=1,"Completado",IF(NOT(ISNUMBER($H86)),"Sin fecha",IF($H86&lt;TODAY(),"Vencido",IF(($H86-TODAY())&lt;='Entregas Próximas'!$M$3,"Próximo a vencer","En curso")))),"")</f>
      </c>
      <c r="K86" s="202">
        <f>IF(AND($C86,ISNUMBER($H86)),$H86-TODAY(),"")</f>
      </c>
      <c r="L86" s="202">
        <f>IF(AND($C86,ISNUMBER($H86)),$AD86*1000000+$H86+ROW()/100000,"")</f>
      </c>
      <c r="M86" s="202">
        <f>IF($C86,IF($AD86=9999,"(Sin sprint)",$AD86),"")</f>
      </c>
      <c r="N86" s="202">
        <f>IF($C86,IF('Proyecto Datos (OKR´s)'!$E86="",9999,'Proyecto Datos (OKR´s)'!$E86),"")</f>
      </c>
      <c r="O86" s="202">
        <f>IF($C86,"T"&amp;TEXT(ROW(),"000"),"")</f>
      </c>
      <c r="R86" s="202">
        <f>IF($C86,IF(ISNUMBER('Proyecto Datos (OKR´s)'!$L86),'Proyecto Datos (OKR´s)'!$L86,$H86),"")</f>
      </c>
      <c r="S86" s="202">
        <f>IF($C86,$R86-'Proyecto Datos (OKR´s)'!$K86+1,"")</f>
      </c>
      <c r="T86" s="202">
        <f>IF($C86,MAX(0,TODAY()-'Proyecto Datos (OKR´s)'!$K86),"")</f>
      </c>
      <c r="U86" s="202">
        <f>IF($C86,MEDIAN(0,(TODAY()-'Proyecto Datos (OKR´s)'!$K86)/MAX(1,$R86-'Proyecto Datos (OKR´s)'!$K86),1),"")</f>
      </c>
      <c r="V86" s="202">
        <f>IF($C86,$I86-$U86,"")</f>
      </c>
      <c r="W86" s="202">
        <f>IF($C86,IF(OR($J86="Completado",NOT(ISNUMBER($H86))),0,MAX(0,TODAY()-$H86)),"")</f>
      </c>
      <c r="X86" s="202">
        <f>IF($C86,IF(ISNUMBER($H86),$R86-$H86,0),"")</f>
      </c>
      <c r="Y86" s="202">
        <f>IF($C86,COUNTIFS($G$7:$G$200,$G86,$J$7:$J$200,"&lt;&gt;Completado",$J$7:$J$200,"&lt;&gt;"),"")</f>
      </c>
      <c r="Z86" s="202">
        <f>IF($C86,AND($I86=0,'Proyecto Datos (OKR´s)'!$K86&lt;=TODAY(),$J86&lt;&gt;"Completado"),"")</f>
      </c>
      <c r="AA86" s="202">
        <f>IF($C86,ROUND(100*(0.35*$AK86+0.3*$AL86+0.2*$AM86+0.15*MEDIAN(0,($Y86-4)/8,1)),0),"")</f>
      </c>
      <c r="AB86" s="203">
        <f>IF($C86,IF(OR($J86="Completado",$J86="Sin fecha"),"—",IF($AA86&gt;=70,"Crítica",IF($AA86&gt;=45,"Alta",IF($AA86&gt;=25,"Media","Baja")))),"")</f>
      </c>
      <c r="AC86" s="203">
        <f>IF($C86,IF(LEN(TRIM($AN86))=0,"—",TRIM($AN86)),"")</f>
      </c>
      <c r="AD86" s="202">
        <f>IF($C86,$AV86,"")</f>
      </c>
      <c r="AE86" s="202">
        <f>IF($C86,$AZ86,"")</f>
      </c>
      <c r="AF86" s="202" t="b">
        <f>IF($C86,$AV86&lt;&gt;$AR86,FALSE)</f>
        <v>0</v>
      </c>
      <c r="AG86" s="202">
        <f>IF($C86,IF($AV86&lt;&gt;$AR86,$AW86,""),"")</f>
      </c>
      <c r="AH86" s="203">
        <f>IF($C86,IF(ISBLANK('Backlog General'!$K86),"",'Backlog General'!$K86),"")</f>
      </c>
      <c r="AI86" s="202">
        <f>IF($C86,$AV86*100000+ROW(),"")</f>
      </c>
      <c r="AJ86" s="202">
        <f>IF(AND($C86,ISNUMBER($H86)),$AA86*1000000-MEDIAN(-9999,$K86,9999)*100+(300-ROW()),"")</f>
      </c>
      <c r="AK86" s="202">
        <f>IF($C86,IF($J86="Completado",0,IF($K86&lt;0,1,IF($K86&lt;=3,0.9,IF($K86&lt;=7,0.7,IF($K86&lt;=14,0.45,0.2))))),"")</f>
      </c>
      <c r="AL86" s="202">
        <f>IF($C86,IF($J86="Completado",0,MEDIAN(0,MAX(-$V86,$W86/30),1)),"")</f>
      </c>
      <c r="AM86" s="202">
        <f>IF($C86,IF($J86="Completado",0,IF($Z86,1,IF(AND($I86&lt;0.5,$K86&lt;=7),0.7,0.3))),"")</f>
      </c>
      <c r="AN86" s="203">
        <f>IF($C86,IF(OR($V86&lt;-0.2,$W86&gt;0),"ATRASO ","")&amp;IF($Z86,"BLOQUEO ","")&amp;IF($Y86&gt;8,"SOBRECARGA ","")&amp;IF($X86&gt;0,"DESVÍO-PLAN ",""),"")</f>
      </c>
      <c r="AO86" s="203">
        <f>IF($C86,IFERROR(VLOOKUP($D86,'Sprints'!$I$5:$J$12,2,FALSE),"Semanal"),"")</f>
      </c>
      <c r="AP86" s="202">
        <f>IF($C86,IFERROR(VLOOKUP($AO86,'Sprints'!$B$9:$C$11,2,FALSE),1),"")</f>
      </c>
      <c r="AQ86" s="202">
        <f>IF($C86,'Sprints'!$C$5,"")</f>
      </c>
      <c r="AR86" s="202">
        <f>IF(AND($C86,ISNUMBER($H86)),CEILING(MAX(1,INT(($H86-$AQ86+'Sprints'!$D$5-1)/'Sprints'!$D$5)+1)/$AP86,1),"")</f>
      </c>
      <c r="AS86" s="202">
        <f>IF($C86,CEILING(MAX(1,INT((TODAY()-$AQ86+'Sprints'!$D$5-1)/'Sprints'!$D$5)+1)/$AP86,1),"")</f>
      </c>
      <c r="AT86" s="203">
        <f>IF($C86,'Backlog General'!$G86,"")</f>
      </c>
      <c r="AU86" s="203">
        <f>IF($C86,'Backlog General'!$H86,"")</f>
      </c>
      <c r="AV86" s="202">
        <f>IF(AND($C86,ISNUMBER($AR86)),IF(OR($AT86="Completo",$AU86="Cancelado",$AU86="Baja prioridad"),$AR86,IF($AU86="Pasa al siguiente",MAX($AR86+1,$AS86),MAX($AR86,$AS86))),"")</f>
      </c>
      <c r="AW86" s="202">
        <f>IF(AND($C86,ISNUMBER($AR86)),$AQ86+$AR86*$AP86*'Sprints'!$D$5-'Sprints'!$D$5,"")</f>
      </c>
      <c r="AX86" s="202">
        <f>IF($C86,IF(OR($AT86="Completo",$AU86="Cancelado",$AU86="Baja prioridad",NOT(ISNUMBER($AW86))),0,IF(TODAY()&gt;$AW86,NETWORKDAYS($AW86,TODAY(),'Sprints'!$L$5:$L$40)-1,0)),"")</f>
      </c>
      <c r="AY86" s="203">
        <f>IF($C86,IF(NOT(ISNUMBER($AR86)),"Sin fecha",IF($AT86="Completo","Completo",IF($AU86="Cancelado","Cancelado",IF($AU86="Baja prioridad","Baja prioridad",IF($AX86&gt;0,"Vencida","Pendiente"))))),"")</f>
      </c>
      <c r="AZ86" s="203">
        <f>IF($C86,IF(ISNUMBER($AV86),$AO86&amp;" · S"&amp;$AV86,"(Sin fecha)"),"")</f>
      </c>
      <c r="BA86" s="202">
        <f>IF($C86,IF(AND(ISNUMBER('Backlog General'!$M86),'Backlog General'!$M86=$AS86),"Nuevo S"&amp;'Backlog General'!$M86,""),"")</f>
      </c>
      <c r="BB86" s="202">
        <f>IF(AND($C86,$AO86="Semanal",ISNUMBER($AV86)),$AV86*100000+ROW(),"")</f>
      </c>
      <c r="BC86" s="202">
        <f>IF(AND($C86,$AO86="Quincenal",ISNUMBER($AV86)),$AV86*100000+ROW(),"")</f>
      </c>
      <c r="BD86" s="202">
        <f>IF(AND($C86,$AO86="Mensual",ISNUMBER($AV86)),$AV86*100000+ROW(),"")</f>
      </c>
      <c r="BE86" s="203">
        <f>IF($C86,IF(ISBLANK('Backlog General'!$J86),"",'Backlog General'!$J86),"")</f>
      </c>
      <c r="BF86" s="203">
        <f>IF($C86,IF($BE86="","",$BE86)&amp;IF(AND($BE86&lt;&gt;"",$AH86&lt;&gt;"")," · ","")&amp;IF($AH86="","",$AH86),"")</f>
      </c>
      <c r="BG86" s="203">
        <f>IF($C86,IF($J86="Completado","Sí","No"),"")</f>
      </c>
      <c r="BH86" s="202">
        <f>IF(AND($C86,ISNUMBER($AR86)),IF($AO86="Semanal",1,IF($AO86="Quincenal",2,3))*1000000000+$AR86*100000+ROW(),"")</f>
      </c>
    </row>
    <row r="87">
      <c r="A87" s="202">
        <f>ROW()</f>
        <v>87</v>
      </c>
      <c r="B87" s="202" t="b">
        <f>ISTEXT('Proyecto Datos (OKR´s)'!$K87)</f>
        <v>0</v>
      </c>
      <c r="C87" s="202" t="b">
        <f>AND(LEN('Proyecto Datos (OKR´s)'!$G87)&gt;0,NOT($B87),OR(ISNUMBER('Proyecto Datos (OKR´s)'!$F87),ISNUMBER('Proyecto Datos (OKR´s)'!$L87)))</f>
        <v>0</v>
      </c>
      <c r="D87" s="203">
        <f>IF($C87,IFERROR(LOOKUP(2,1/((ISTEXT('Proyecto Datos (OKR´s)'!$K$7:$K87))*(LEN('Proyecto Datos (OKR´s)'!$G$7:$G87)&gt;0)),'Proyecto Datos (OKR´s)'!$G$7:$G87),""),"")</f>
      </c>
      <c r="E87" s="202">
        <f>IF($C87,'Proyecto Datos (OKR´s)'!$E87,"")</f>
      </c>
      <c r="F87" s="203">
        <f>IF($C87,'Proyecto Datos (OKR´s)'!$G87,"")</f>
      </c>
      <c r="G87" s="203">
        <f>IF($C87,IF('Proyecto Datos (OKR´s)'!$I87="","(Sin asignar)",'Proyecto Datos (OKR´s)'!$I87),"")</f>
      </c>
      <c r="H87" s="202">
        <f>IF($C87,IF(ISNUMBER('Proyecto Datos (OKR´s)'!$F87),'Proyecto Datos (OKR´s)'!$F87,""),"")</f>
      </c>
      <c r="I87" s="202">
        <f>IF($C87,'Proyecto Datos (OKR´s)'!$J87,"")</f>
      </c>
      <c r="J87" s="203">
        <f>IF($C87,IF($I87&gt;=1,"Completado",IF(NOT(ISNUMBER($H87)),"Sin fecha",IF($H87&lt;TODAY(),"Vencido",IF(($H87-TODAY())&lt;='Entregas Próximas'!$M$3,"Próximo a vencer","En curso")))),"")</f>
      </c>
      <c r="K87" s="202">
        <f>IF(AND($C87,ISNUMBER($H87)),$H87-TODAY(),"")</f>
      </c>
      <c r="L87" s="202">
        <f>IF(AND($C87,ISNUMBER($H87)),$AD87*1000000+$H87+ROW()/100000,"")</f>
      </c>
      <c r="M87" s="202">
        <f>IF($C87,IF($AD87=9999,"(Sin sprint)",$AD87),"")</f>
      </c>
      <c r="N87" s="202">
        <f>IF($C87,IF('Proyecto Datos (OKR´s)'!$E87="",9999,'Proyecto Datos (OKR´s)'!$E87),"")</f>
      </c>
      <c r="O87" s="202">
        <f>IF($C87,"T"&amp;TEXT(ROW(),"000"),"")</f>
      </c>
      <c r="R87" s="202">
        <f>IF($C87,IF(ISNUMBER('Proyecto Datos (OKR´s)'!$L87),'Proyecto Datos (OKR´s)'!$L87,$H87),"")</f>
      </c>
      <c r="S87" s="202">
        <f>IF($C87,$R87-'Proyecto Datos (OKR´s)'!$K87+1,"")</f>
      </c>
      <c r="T87" s="202">
        <f>IF($C87,MAX(0,TODAY()-'Proyecto Datos (OKR´s)'!$K87),"")</f>
      </c>
      <c r="U87" s="202">
        <f>IF($C87,MEDIAN(0,(TODAY()-'Proyecto Datos (OKR´s)'!$K87)/MAX(1,$R87-'Proyecto Datos (OKR´s)'!$K87),1),"")</f>
      </c>
      <c r="V87" s="202">
        <f>IF($C87,$I87-$U87,"")</f>
      </c>
      <c r="W87" s="202">
        <f>IF($C87,IF(OR($J87="Completado",NOT(ISNUMBER($H87))),0,MAX(0,TODAY()-$H87)),"")</f>
      </c>
      <c r="X87" s="202">
        <f>IF($C87,IF(ISNUMBER($H87),$R87-$H87,0),"")</f>
      </c>
      <c r="Y87" s="202">
        <f>IF($C87,COUNTIFS($G$7:$G$200,$G87,$J$7:$J$200,"&lt;&gt;Completado",$J$7:$J$200,"&lt;&gt;"),"")</f>
      </c>
      <c r="Z87" s="202">
        <f>IF($C87,AND($I87=0,'Proyecto Datos (OKR´s)'!$K87&lt;=TODAY(),$J87&lt;&gt;"Completado"),"")</f>
      </c>
      <c r="AA87" s="202">
        <f>IF($C87,ROUND(100*(0.35*$AK87+0.3*$AL87+0.2*$AM87+0.15*MEDIAN(0,($Y87-4)/8,1)),0),"")</f>
      </c>
      <c r="AB87" s="203">
        <f>IF($C87,IF(OR($J87="Completado",$J87="Sin fecha"),"—",IF($AA87&gt;=70,"Crítica",IF($AA87&gt;=45,"Alta",IF($AA87&gt;=25,"Media","Baja")))),"")</f>
      </c>
      <c r="AC87" s="203">
        <f>IF($C87,IF(LEN(TRIM($AN87))=0,"—",TRIM($AN87)),"")</f>
      </c>
      <c r="AD87" s="202">
        <f>IF($C87,$AV87,"")</f>
      </c>
      <c r="AE87" s="202">
        <f>IF($C87,$AZ87,"")</f>
      </c>
      <c r="AF87" s="202" t="b">
        <f>IF($C87,$AV87&lt;&gt;$AR87,FALSE)</f>
        <v>0</v>
      </c>
      <c r="AG87" s="202">
        <f>IF($C87,IF($AV87&lt;&gt;$AR87,$AW87,""),"")</f>
      </c>
      <c r="AH87" s="203">
        <f>IF($C87,IF(ISBLANK('Backlog General'!$K87),"",'Backlog General'!$K87),"")</f>
      </c>
      <c r="AI87" s="202">
        <f>IF($C87,$AV87*100000+ROW(),"")</f>
      </c>
      <c r="AJ87" s="202">
        <f>IF(AND($C87,ISNUMBER($H87)),$AA87*1000000-MEDIAN(-9999,$K87,9999)*100+(300-ROW()),"")</f>
      </c>
      <c r="AK87" s="202">
        <f>IF($C87,IF($J87="Completado",0,IF($K87&lt;0,1,IF($K87&lt;=3,0.9,IF($K87&lt;=7,0.7,IF($K87&lt;=14,0.45,0.2))))),"")</f>
      </c>
      <c r="AL87" s="202">
        <f>IF($C87,IF($J87="Completado",0,MEDIAN(0,MAX(-$V87,$W87/30),1)),"")</f>
      </c>
      <c r="AM87" s="202">
        <f>IF($C87,IF($J87="Completado",0,IF($Z87,1,IF(AND($I87&lt;0.5,$K87&lt;=7),0.7,0.3))),"")</f>
      </c>
      <c r="AN87" s="203">
        <f>IF($C87,IF(OR($V87&lt;-0.2,$W87&gt;0),"ATRASO ","")&amp;IF($Z87,"BLOQUEO ","")&amp;IF($Y87&gt;8,"SOBRECARGA ","")&amp;IF($X87&gt;0,"DESVÍO-PLAN ",""),"")</f>
      </c>
      <c r="AO87" s="203">
        <f>IF($C87,IFERROR(VLOOKUP($D87,'Sprints'!$I$5:$J$12,2,FALSE),"Semanal"),"")</f>
      </c>
      <c r="AP87" s="202">
        <f>IF($C87,IFERROR(VLOOKUP($AO87,'Sprints'!$B$9:$C$11,2,FALSE),1),"")</f>
      </c>
      <c r="AQ87" s="202">
        <f>IF($C87,'Sprints'!$C$5,"")</f>
      </c>
      <c r="AR87" s="202">
        <f>IF(AND($C87,ISNUMBER($H87)),CEILING(MAX(1,INT(($H87-$AQ87+'Sprints'!$D$5-1)/'Sprints'!$D$5)+1)/$AP87,1),"")</f>
      </c>
      <c r="AS87" s="202">
        <f>IF($C87,CEILING(MAX(1,INT((TODAY()-$AQ87+'Sprints'!$D$5-1)/'Sprints'!$D$5)+1)/$AP87,1),"")</f>
      </c>
      <c r="AT87" s="203">
        <f>IF($C87,'Backlog General'!$G87,"")</f>
      </c>
      <c r="AU87" s="203">
        <f>IF($C87,'Backlog General'!$H87,"")</f>
      </c>
      <c r="AV87" s="202">
        <f>IF(AND($C87,ISNUMBER($AR87)),IF(OR($AT87="Completo",$AU87="Cancelado",$AU87="Baja prioridad"),$AR87,IF($AU87="Pasa al siguiente",MAX($AR87+1,$AS87),MAX($AR87,$AS87))),"")</f>
      </c>
      <c r="AW87" s="202">
        <f>IF(AND($C87,ISNUMBER($AR87)),$AQ87+$AR87*$AP87*'Sprints'!$D$5-'Sprints'!$D$5,"")</f>
      </c>
      <c r="AX87" s="202">
        <f>IF($C87,IF(OR($AT87="Completo",$AU87="Cancelado",$AU87="Baja prioridad",NOT(ISNUMBER($AW87))),0,IF(TODAY()&gt;$AW87,NETWORKDAYS($AW87,TODAY(),'Sprints'!$L$5:$L$40)-1,0)),"")</f>
      </c>
      <c r="AY87" s="203">
        <f>IF($C87,IF(NOT(ISNUMBER($AR87)),"Sin fecha",IF($AT87="Completo","Completo",IF($AU87="Cancelado","Cancelado",IF($AU87="Baja prioridad","Baja prioridad",IF($AX87&gt;0,"Vencida","Pendiente"))))),"")</f>
      </c>
      <c r="AZ87" s="203">
        <f>IF($C87,IF(ISNUMBER($AV87),$AO87&amp;" · S"&amp;$AV87,"(Sin fecha)"),"")</f>
      </c>
      <c r="BA87" s="202">
        <f>IF($C87,IF(AND(ISNUMBER('Backlog General'!$M87),'Backlog General'!$M87=$AS87),"Nuevo S"&amp;'Backlog General'!$M87,""),"")</f>
      </c>
      <c r="BB87" s="202">
        <f>IF(AND($C87,$AO87="Semanal",ISNUMBER($AV87)),$AV87*100000+ROW(),"")</f>
      </c>
      <c r="BC87" s="202">
        <f>IF(AND($C87,$AO87="Quincenal",ISNUMBER($AV87)),$AV87*100000+ROW(),"")</f>
      </c>
      <c r="BD87" s="202">
        <f>IF(AND($C87,$AO87="Mensual",ISNUMBER($AV87)),$AV87*100000+ROW(),"")</f>
      </c>
      <c r="BE87" s="203">
        <f>IF($C87,IF(ISBLANK('Backlog General'!$J87),"",'Backlog General'!$J87),"")</f>
      </c>
      <c r="BF87" s="203">
        <f>IF($C87,IF($BE87="","",$BE87)&amp;IF(AND($BE87&lt;&gt;"",$AH87&lt;&gt;"")," · ","")&amp;IF($AH87="","",$AH87),"")</f>
      </c>
      <c r="BG87" s="203">
        <f>IF($C87,IF($J87="Completado","Sí","No"),"")</f>
      </c>
      <c r="BH87" s="202">
        <f>IF(AND($C87,ISNUMBER($AR87)),IF($AO87="Semanal",1,IF($AO87="Quincenal",2,3))*1000000000+$AR87*100000+ROW(),"")</f>
      </c>
    </row>
    <row r="88">
      <c r="A88" s="202">
        <f>ROW()</f>
        <v>88</v>
      </c>
      <c r="B88" s="202" t="b">
        <f>ISTEXT('Proyecto Datos (OKR´s)'!$K88)</f>
        <v>0</v>
      </c>
      <c r="C88" s="202" t="b">
        <f>AND(LEN('Proyecto Datos (OKR´s)'!$G88)&gt;0,NOT($B88),OR(ISNUMBER('Proyecto Datos (OKR´s)'!$F88),ISNUMBER('Proyecto Datos (OKR´s)'!$L88)))</f>
        <v>0</v>
      </c>
      <c r="D88" s="203">
        <f>IF($C88,IFERROR(LOOKUP(2,1/((ISTEXT('Proyecto Datos (OKR´s)'!$K$7:$K88))*(LEN('Proyecto Datos (OKR´s)'!$G$7:$G88)&gt;0)),'Proyecto Datos (OKR´s)'!$G$7:$G88),""),"")</f>
      </c>
      <c r="E88" s="202">
        <f>IF($C88,'Proyecto Datos (OKR´s)'!$E88,"")</f>
      </c>
      <c r="F88" s="203">
        <f>IF($C88,'Proyecto Datos (OKR´s)'!$G88,"")</f>
      </c>
      <c r="G88" s="203">
        <f>IF($C88,IF('Proyecto Datos (OKR´s)'!$I88="","(Sin asignar)",'Proyecto Datos (OKR´s)'!$I88),"")</f>
      </c>
      <c r="H88" s="202">
        <f>IF($C88,IF(ISNUMBER('Proyecto Datos (OKR´s)'!$F88),'Proyecto Datos (OKR´s)'!$F88,""),"")</f>
      </c>
      <c r="I88" s="202">
        <f>IF($C88,'Proyecto Datos (OKR´s)'!$J88,"")</f>
      </c>
      <c r="J88" s="203">
        <f>IF($C88,IF($I88&gt;=1,"Completado",IF(NOT(ISNUMBER($H88)),"Sin fecha",IF($H88&lt;TODAY(),"Vencido",IF(($H88-TODAY())&lt;='Entregas Próximas'!$M$3,"Próximo a vencer","En curso")))),"")</f>
      </c>
      <c r="K88" s="202">
        <f>IF(AND($C88,ISNUMBER($H88)),$H88-TODAY(),"")</f>
      </c>
      <c r="L88" s="202">
        <f>IF(AND($C88,ISNUMBER($H88)),$AD88*1000000+$H88+ROW()/100000,"")</f>
      </c>
      <c r="M88" s="202">
        <f>IF($C88,IF($AD88=9999,"(Sin sprint)",$AD88),"")</f>
      </c>
      <c r="N88" s="202">
        <f>IF($C88,IF('Proyecto Datos (OKR´s)'!$E88="",9999,'Proyecto Datos (OKR´s)'!$E88),"")</f>
      </c>
      <c r="O88" s="202">
        <f>IF($C88,"T"&amp;TEXT(ROW(),"000"),"")</f>
      </c>
      <c r="R88" s="202">
        <f>IF($C88,IF(ISNUMBER('Proyecto Datos (OKR´s)'!$L88),'Proyecto Datos (OKR´s)'!$L88,$H88),"")</f>
      </c>
      <c r="S88" s="202">
        <f>IF($C88,$R88-'Proyecto Datos (OKR´s)'!$K88+1,"")</f>
      </c>
      <c r="T88" s="202">
        <f>IF($C88,MAX(0,TODAY()-'Proyecto Datos (OKR´s)'!$K88),"")</f>
      </c>
      <c r="U88" s="202">
        <f>IF($C88,MEDIAN(0,(TODAY()-'Proyecto Datos (OKR´s)'!$K88)/MAX(1,$R88-'Proyecto Datos (OKR´s)'!$K88),1),"")</f>
      </c>
      <c r="V88" s="202">
        <f>IF($C88,$I88-$U88,"")</f>
      </c>
      <c r="W88" s="202">
        <f>IF($C88,IF(OR($J88="Completado",NOT(ISNUMBER($H88))),0,MAX(0,TODAY()-$H88)),"")</f>
      </c>
      <c r="X88" s="202">
        <f>IF($C88,IF(ISNUMBER($H88),$R88-$H88,0),"")</f>
      </c>
      <c r="Y88" s="202">
        <f>IF($C88,COUNTIFS($G$7:$G$200,$G88,$J$7:$J$200,"&lt;&gt;Completado",$J$7:$J$200,"&lt;&gt;"),"")</f>
      </c>
      <c r="Z88" s="202">
        <f>IF($C88,AND($I88=0,'Proyecto Datos (OKR´s)'!$K88&lt;=TODAY(),$J88&lt;&gt;"Completado"),"")</f>
      </c>
      <c r="AA88" s="202">
        <f>IF($C88,ROUND(100*(0.35*$AK88+0.3*$AL88+0.2*$AM88+0.15*MEDIAN(0,($Y88-4)/8,1)),0),"")</f>
      </c>
      <c r="AB88" s="203">
        <f>IF($C88,IF(OR($J88="Completado",$J88="Sin fecha"),"—",IF($AA88&gt;=70,"Crítica",IF($AA88&gt;=45,"Alta",IF($AA88&gt;=25,"Media","Baja")))),"")</f>
      </c>
      <c r="AC88" s="203">
        <f>IF($C88,IF(LEN(TRIM($AN88))=0,"—",TRIM($AN88)),"")</f>
      </c>
      <c r="AD88" s="202">
        <f>IF($C88,$AV88,"")</f>
      </c>
      <c r="AE88" s="202">
        <f>IF($C88,$AZ88,"")</f>
      </c>
      <c r="AF88" s="202" t="b">
        <f>IF($C88,$AV88&lt;&gt;$AR88,FALSE)</f>
        <v>0</v>
      </c>
      <c r="AG88" s="202">
        <f>IF($C88,IF($AV88&lt;&gt;$AR88,$AW88,""),"")</f>
      </c>
      <c r="AH88" s="203">
        <f>IF($C88,IF(ISBLANK('Backlog General'!$K88),"",'Backlog General'!$K88),"")</f>
      </c>
      <c r="AI88" s="202">
        <f>IF($C88,$AV88*100000+ROW(),"")</f>
      </c>
      <c r="AJ88" s="202">
        <f>IF(AND($C88,ISNUMBER($H88)),$AA88*1000000-MEDIAN(-9999,$K88,9999)*100+(300-ROW()),"")</f>
      </c>
      <c r="AK88" s="202">
        <f>IF($C88,IF($J88="Completado",0,IF($K88&lt;0,1,IF($K88&lt;=3,0.9,IF($K88&lt;=7,0.7,IF($K88&lt;=14,0.45,0.2))))),"")</f>
      </c>
      <c r="AL88" s="202">
        <f>IF($C88,IF($J88="Completado",0,MEDIAN(0,MAX(-$V88,$W88/30),1)),"")</f>
      </c>
      <c r="AM88" s="202">
        <f>IF($C88,IF($J88="Completado",0,IF($Z88,1,IF(AND($I88&lt;0.5,$K88&lt;=7),0.7,0.3))),"")</f>
      </c>
      <c r="AN88" s="203">
        <f>IF($C88,IF(OR($V88&lt;-0.2,$W88&gt;0),"ATRASO ","")&amp;IF($Z88,"BLOQUEO ","")&amp;IF($Y88&gt;8,"SOBRECARGA ","")&amp;IF($X88&gt;0,"DESVÍO-PLAN ",""),"")</f>
      </c>
      <c r="AO88" s="203">
        <f>IF($C88,IFERROR(VLOOKUP($D88,'Sprints'!$I$5:$J$12,2,FALSE),"Semanal"),"")</f>
      </c>
      <c r="AP88" s="202">
        <f>IF($C88,IFERROR(VLOOKUP($AO88,'Sprints'!$B$9:$C$11,2,FALSE),1),"")</f>
      </c>
      <c r="AQ88" s="202">
        <f>IF($C88,'Sprints'!$C$5,"")</f>
      </c>
      <c r="AR88" s="202">
        <f>IF(AND($C88,ISNUMBER($H88)),CEILING(MAX(1,INT(($H88-$AQ88+'Sprints'!$D$5-1)/'Sprints'!$D$5)+1)/$AP88,1),"")</f>
      </c>
      <c r="AS88" s="202">
        <f>IF($C88,CEILING(MAX(1,INT((TODAY()-$AQ88+'Sprints'!$D$5-1)/'Sprints'!$D$5)+1)/$AP88,1),"")</f>
      </c>
      <c r="AT88" s="203">
        <f>IF($C88,'Backlog General'!$G88,"")</f>
      </c>
      <c r="AU88" s="203">
        <f>IF($C88,'Backlog General'!$H88,"")</f>
      </c>
      <c r="AV88" s="202">
        <f>IF(AND($C88,ISNUMBER($AR88)),IF(OR($AT88="Completo",$AU88="Cancelado",$AU88="Baja prioridad"),$AR88,IF($AU88="Pasa al siguiente",MAX($AR88+1,$AS88),MAX($AR88,$AS88))),"")</f>
      </c>
      <c r="AW88" s="202">
        <f>IF(AND($C88,ISNUMBER($AR88)),$AQ88+$AR88*$AP88*'Sprints'!$D$5-'Sprints'!$D$5,"")</f>
      </c>
      <c r="AX88" s="202">
        <f>IF($C88,IF(OR($AT88="Completo",$AU88="Cancelado",$AU88="Baja prioridad",NOT(ISNUMBER($AW88))),0,IF(TODAY()&gt;$AW88,NETWORKDAYS($AW88,TODAY(),'Sprints'!$L$5:$L$40)-1,0)),"")</f>
      </c>
      <c r="AY88" s="203">
        <f>IF($C88,IF(NOT(ISNUMBER($AR88)),"Sin fecha",IF($AT88="Completo","Completo",IF($AU88="Cancelado","Cancelado",IF($AU88="Baja prioridad","Baja prioridad",IF($AX88&gt;0,"Vencida","Pendiente"))))),"")</f>
      </c>
      <c r="AZ88" s="203">
        <f>IF($C88,IF(ISNUMBER($AV88),$AO88&amp;" · S"&amp;$AV88,"(Sin fecha)"),"")</f>
      </c>
      <c r="BA88" s="202">
        <f>IF($C88,IF(AND(ISNUMBER('Backlog General'!$M88),'Backlog General'!$M88=$AS88),"Nuevo S"&amp;'Backlog General'!$M88,""),"")</f>
      </c>
      <c r="BB88" s="202">
        <f>IF(AND($C88,$AO88="Semanal",ISNUMBER($AV88)),$AV88*100000+ROW(),"")</f>
      </c>
      <c r="BC88" s="202">
        <f>IF(AND($C88,$AO88="Quincenal",ISNUMBER($AV88)),$AV88*100000+ROW(),"")</f>
      </c>
      <c r="BD88" s="202">
        <f>IF(AND($C88,$AO88="Mensual",ISNUMBER($AV88)),$AV88*100000+ROW(),"")</f>
      </c>
      <c r="BE88" s="203">
        <f>IF($C88,IF(ISBLANK('Backlog General'!$J88),"",'Backlog General'!$J88),"")</f>
      </c>
      <c r="BF88" s="203">
        <f>IF($C88,IF($BE88="","",$BE88)&amp;IF(AND($BE88&lt;&gt;"",$AH88&lt;&gt;"")," · ","")&amp;IF($AH88="","",$AH88),"")</f>
      </c>
      <c r="BG88" s="203">
        <f>IF($C88,IF($J88="Completado","Sí","No"),"")</f>
      </c>
      <c r="BH88" s="202">
        <f>IF(AND($C88,ISNUMBER($AR88)),IF($AO88="Semanal",1,IF($AO88="Quincenal",2,3))*1000000000+$AR88*100000+ROW(),"")</f>
      </c>
    </row>
    <row r="89">
      <c r="A89" s="202">
        <f>ROW()</f>
        <v>89</v>
      </c>
      <c r="B89" s="202" t="b">
        <f>ISTEXT('Proyecto Datos (OKR´s)'!$K89)</f>
        <v>0</v>
      </c>
      <c r="C89" s="202" t="b">
        <f>AND(LEN('Proyecto Datos (OKR´s)'!$G89)&gt;0,NOT($B89),OR(ISNUMBER('Proyecto Datos (OKR´s)'!$F89),ISNUMBER('Proyecto Datos (OKR´s)'!$L89)))</f>
        <v>0</v>
      </c>
      <c r="D89" s="203">
        <f>IF($C89,IFERROR(LOOKUP(2,1/((ISTEXT('Proyecto Datos (OKR´s)'!$K$7:$K89))*(LEN('Proyecto Datos (OKR´s)'!$G$7:$G89)&gt;0)),'Proyecto Datos (OKR´s)'!$G$7:$G89),""),"")</f>
      </c>
      <c r="E89" s="202">
        <f>IF($C89,'Proyecto Datos (OKR´s)'!$E89,"")</f>
      </c>
      <c r="F89" s="203">
        <f>IF($C89,'Proyecto Datos (OKR´s)'!$G89,"")</f>
      </c>
      <c r="G89" s="203">
        <f>IF($C89,IF('Proyecto Datos (OKR´s)'!$I89="","(Sin asignar)",'Proyecto Datos (OKR´s)'!$I89),"")</f>
      </c>
      <c r="H89" s="202">
        <f>IF($C89,IF(ISNUMBER('Proyecto Datos (OKR´s)'!$F89),'Proyecto Datos (OKR´s)'!$F89,""),"")</f>
      </c>
      <c r="I89" s="202">
        <f>IF($C89,'Proyecto Datos (OKR´s)'!$J89,"")</f>
      </c>
      <c r="J89" s="203">
        <f>IF($C89,IF($I89&gt;=1,"Completado",IF(NOT(ISNUMBER($H89)),"Sin fecha",IF($H89&lt;TODAY(),"Vencido",IF(($H89-TODAY())&lt;='Entregas Próximas'!$M$3,"Próximo a vencer","En curso")))),"")</f>
      </c>
      <c r="K89" s="202">
        <f>IF(AND($C89,ISNUMBER($H89)),$H89-TODAY(),"")</f>
      </c>
      <c r="L89" s="202">
        <f>IF(AND($C89,ISNUMBER($H89)),$AD89*1000000+$H89+ROW()/100000,"")</f>
      </c>
      <c r="M89" s="202">
        <f>IF($C89,IF($AD89=9999,"(Sin sprint)",$AD89),"")</f>
      </c>
      <c r="N89" s="202">
        <f>IF($C89,IF('Proyecto Datos (OKR´s)'!$E89="",9999,'Proyecto Datos (OKR´s)'!$E89),"")</f>
      </c>
      <c r="O89" s="202">
        <f>IF($C89,"T"&amp;TEXT(ROW(),"000"),"")</f>
      </c>
      <c r="R89" s="202">
        <f>IF($C89,IF(ISNUMBER('Proyecto Datos (OKR´s)'!$L89),'Proyecto Datos (OKR´s)'!$L89,$H89),"")</f>
      </c>
      <c r="S89" s="202">
        <f>IF($C89,$R89-'Proyecto Datos (OKR´s)'!$K89+1,"")</f>
      </c>
      <c r="T89" s="202">
        <f>IF($C89,MAX(0,TODAY()-'Proyecto Datos (OKR´s)'!$K89),"")</f>
      </c>
      <c r="U89" s="202">
        <f>IF($C89,MEDIAN(0,(TODAY()-'Proyecto Datos (OKR´s)'!$K89)/MAX(1,$R89-'Proyecto Datos (OKR´s)'!$K89),1),"")</f>
      </c>
      <c r="V89" s="202">
        <f>IF($C89,$I89-$U89,"")</f>
      </c>
      <c r="W89" s="202">
        <f>IF($C89,IF(OR($J89="Completado",NOT(ISNUMBER($H89))),0,MAX(0,TODAY()-$H89)),"")</f>
      </c>
      <c r="X89" s="202">
        <f>IF($C89,IF(ISNUMBER($H89),$R89-$H89,0),"")</f>
      </c>
      <c r="Y89" s="202">
        <f>IF($C89,COUNTIFS($G$7:$G$200,$G89,$J$7:$J$200,"&lt;&gt;Completado",$J$7:$J$200,"&lt;&gt;"),"")</f>
      </c>
      <c r="Z89" s="202">
        <f>IF($C89,AND($I89=0,'Proyecto Datos (OKR´s)'!$K89&lt;=TODAY(),$J89&lt;&gt;"Completado"),"")</f>
      </c>
      <c r="AA89" s="202">
        <f>IF($C89,ROUND(100*(0.35*$AK89+0.3*$AL89+0.2*$AM89+0.15*MEDIAN(0,($Y89-4)/8,1)),0),"")</f>
      </c>
      <c r="AB89" s="203">
        <f>IF($C89,IF(OR($J89="Completado",$J89="Sin fecha"),"—",IF($AA89&gt;=70,"Crítica",IF($AA89&gt;=45,"Alta",IF($AA89&gt;=25,"Media","Baja")))),"")</f>
      </c>
      <c r="AC89" s="203">
        <f>IF($C89,IF(LEN(TRIM($AN89))=0,"—",TRIM($AN89)),"")</f>
      </c>
      <c r="AD89" s="202">
        <f>IF($C89,$AV89,"")</f>
      </c>
      <c r="AE89" s="202">
        <f>IF($C89,$AZ89,"")</f>
      </c>
      <c r="AF89" s="202" t="b">
        <f>IF($C89,$AV89&lt;&gt;$AR89,FALSE)</f>
        <v>0</v>
      </c>
      <c r="AG89" s="202">
        <f>IF($C89,IF($AV89&lt;&gt;$AR89,$AW89,""),"")</f>
      </c>
      <c r="AH89" s="203">
        <f>IF($C89,IF(ISBLANK('Backlog General'!$K89),"",'Backlog General'!$K89),"")</f>
      </c>
      <c r="AI89" s="202">
        <f>IF($C89,$AV89*100000+ROW(),"")</f>
      </c>
      <c r="AJ89" s="202">
        <f>IF(AND($C89,ISNUMBER($H89)),$AA89*1000000-MEDIAN(-9999,$K89,9999)*100+(300-ROW()),"")</f>
      </c>
      <c r="AK89" s="202">
        <f>IF($C89,IF($J89="Completado",0,IF($K89&lt;0,1,IF($K89&lt;=3,0.9,IF($K89&lt;=7,0.7,IF($K89&lt;=14,0.45,0.2))))),"")</f>
      </c>
      <c r="AL89" s="202">
        <f>IF($C89,IF($J89="Completado",0,MEDIAN(0,MAX(-$V89,$W89/30),1)),"")</f>
      </c>
      <c r="AM89" s="202">
        <f>IF($C89,IF($J89="Completado",0,IF($Z89,1,IF(AND($I89&lt;0.5,$K89&lt;=7),0.7,0.3))),"")</f>
      </c>
      <c r="AN89" s="203">
        <f>IF($C89,IF(OR($V89&lt;-0.2,$W89&gt;0),"ATRASO ","")&amp;IF($Z89,"BLOQUEO ","")&amp;IF($Y89&gt;8,"SOBRECARGA ","")&amp;IF($X89&gt;0,"DESVÍO-PLAN ",""),"")</f>
      </c>
      <c r="AO89" s="203">
        <f>IF($C89,IFERROR(VLOOKUP($D89,'Sprints'!$I$5:$J$12,2,FALSE),"Semanal"),"")</f>
      </c>
      <c r="AP89" s="202">
        <f>IF($C89,IFERROR(VLOOKUP($AO89,'Sprints'!$B$9:$C$11,2,FALSE),1),"")</f>
      </c>
      <c r="AQ89" s="202">
        <f>IF($C89,'Sprints'!$C$5,"")</f>
      </c>
      <c r="AR89" s="202">
        <f>IF(AND($C89,ISNUMBER($H89)),CEILING(MAX(1,INT(($H89-$AQ89+'Sprints'!$D$5-1)/'Sprints'!$D$5)+1)/$AP89,1),"")</f>
      </c>
      <c r="AS89" s="202">
        <f>IF($C89,CEILING(MAX(1,INT((TODAY()-$AQ89+'Sprints'!$D$5-1)/'Sprints'!$D$5)+1)/$AP89,1),"")</f>
      </c>
      <c r="AT89" s="203">
        <f>IF($C89,'Backlog General'!$G89,"")</f>
      </c>
      <c r="AU89" s="203">
        <f>IF($C89,'Backlog General'!$H89,"")</f>
      </c>
      <c r="AV89" s="202">
        <f>IF(AND($C89,ISNUMBER($AR89)),IF(OR($AT89="Completo",$AU89="Cancelado",$AU89="Baja prioridad"),$AR89,IF($AU89="Pasa al siguiente",MAX($AR89+1,$AS89),MAX($AR89,$AS89))),"")</f>
      </c>
      <c r="AW89" s="202">
        <f>IF(AND($C89,ISNUMBER($AR89)),$AQ89+$AR89*$AP89*'Sprints'!$D$5-'Sprints'!$D$5,"")</f>
      </c>
      <c r="AX89" s="202">
        <f>IF($C89,IF(OR($AT89="Completo",$AU89="Cancelado",$AU89="Baja prioridad",NOT(ISNUMBER($AW89))),0,IF(TODAY()&gt;$AW89,NETWORKDAYS($AW89,TODAY(),'Sprints'!$L$5:$L$40)-1,0)),"")</f>
      </c>
      <c r="AY89" s="203">
        <f>IF($C89,IF(NOT(ISNUMBER($AR89)),"Sin fecha",IF($AT89="Completo","Completo",IF($AU89="Cancelado","Cancelado",IF($AU89="Baja prioridad","Baja prioridad",IF($AX89&gt;0,"Vencida","Pendiente"))))),"")</f>
      </c>
      <c r="AZ89" s="203">
        <f>IF($C89,IF(ISNUMBER($AV89),$AO89&amp;" · S"&amp;$AV89,"(Sin fecha)"),"")</f>
      </c>
      <c r="BA89" s="202">
        <f>IF($C89,IF(AND(ISNUMBER('Backlog General'!$M89),'Backlog General'!$M89=$AS89),"Nuevo S"&amp;'Backlog General'!$M89,""),"")</f>
      </c>
      <c r="BB89" s="202">
        <f>IF(AND($C89,$AO89="Semanal",ISNUMBER($AV89)),$AV89*100000+ROW(),"")</f>
      </c>
      <c r="BC89" s="202">
        <f>IF(AND($C89,$AO89="Quincenal",ISNUMBER($AV89)),$AV89*100000+ROW(),"")</f>
      </c>
      <c r="BD89" s="202">
        <f>IF(AND($C89,$AO89="Mensual",ISNUMBER($AV89)),$AV89*100000+ROW(),"")</f>
      </c>
      <c r="BE89" s="203">
        <f>IF($C89,IF(ISBLANK('Backlog General'!$J89),"",'Backlog General'!$J89),"")</f>
      </c>
      <c r="BF89" s="203">
        <f>IF($C89,IF($BE89="","",$BE89)&amp;IF(AND($BE89&lt;&gt;"",$AH89&lt;&gt;"")," · ","")&amp;IF($AH89="","",$AH89),"")</f>
      </c>
      <c r="BG89" s="203">
        <f>IF($C89,IF($J89="Completado","Sí","No"),"")</f>
      </c>
      <c r="BH89" s="202">
        <f>IF(AND($C89,ISNUMBER($AR89)),IF($AO89="Semanal",1,IF($AO89="Quincenal",2,3))*1000000000+$AR89*100000+ROW(),"")</f>
      </c>
    </row>
    <row r="90">
      <c r="A90" s="202">
        <f>ROW()</f>
        <v>90</v>
      </c>
      <c r="B90" s="202" t="b">
        <f>ISTEXT('Proyecto Datos (OKR´s)'!$K90)</f>
        <v>0</v>
      </c>
      <c r="C90" s="202" t="b">
        <f>AND(LEN('Proyecto Datos (OKR´s)'!$G90)&gt;0,NOT($B90),OR(ISNUMBER('Proyecto Datos (OKR´s)'!$F90),ISNUMBER('Proyecto Datos (OKR´s)'!$L90)))</f>
        <v>0</v>
      </c>
      <c r="D90" s="203">
        <f>IF($C90,IFERROR(LOOKUP(2,1/((ISTEXT('Proyecto Datos (OKR´s)'!$K$7:$K90))*(LEN('Proyecto Datos (OKR´s)'!$G$7:$G90)&gt;0)),'Proyecto Datos (OKR´s)'!$G$7:$G90),""),"")</f>
      </c>
      <c r="E90" s="202">
        <f>IF($C90,'Proyecto Datos (OKR´s)'!$E90,"")</f>
      </c>
      <c r="F90" s="203">
        <f>IF($C90,'Proyecto Datos (OKR´s)'!$G90,"")</f>
      </c>
      <c r="G90" s="203">
        <f>IF($C90,IF('Proyecto Datos (OKR´s)'!$I90="","(Sin asignar)",'Proyecto Datos (OKR´s)'!$I90),"")</f>
      </c>
      <c r="H90" s="202">
        <f>IF($C90,IF(ISNUMBER('Proyecto Datos (OKR´s)'!$F90),'Proyecto Datos (OKR´s)'!$F90,""),"")</f>
      </c>
      <c r="I90" s="202">
        <f>IF($C90,'Proyecto Datos (OKR´s)'!$J90,"")</f>
      </c>
      <c r="J90" s="203">
        <f>IF($C90,IF($I90&gt;=1,"Completado",IF(NOT(ISNUMBER($H90)),"Sin fecha",IF($H90&lt;TODAY(),"Vencido",IF(($H90-TODAY())&lt;='Entregas Próximas'!$M$3,"Próximo a vencer","En curso")))),"")</f>
      </c>
      <c r="K90" s="202">
        <f>IF(AND($C90,ISNUMBER($H90)),$H90-TODAY(),"")</f>
      </c>
      <c r="L90" s="202">
        <f>IF(AND($C90,ISNUMBER($H90)),$AD90*1000000+$H90+ROW()/100000,"")</f>
      </c>
      <c r="M90" s="202">
        <f>IF($C90,IF($AD90=9999,"(Sin sprint)",$AD90),"")</f>
      </c>
      <c r="N90" s="202">
        <f>IF($C90,IF('Proyecto Datos (OKR´s)'!$E90="",9999,'Proyecto Datos (OKR´s)'!$E90),"")</f>
      </c>
      <c r="O90" s="202">
        <f>IF($C90,"T"&amp;TEXT(ROW(),"000"),"")</f>
      </c>
      <c r="R90" s="202">
        <f>IF($C90,IF(ISNUMBER('Proyecto Datos (OKR´s)'!$L90),'Proyecto Datos (OKR´s)'!$L90,$H90),"")</f>
      </c>
      <c r="S90" s="202">
        <f>IF($C90,$R90-'Proyecto Datos (OKR´s)'!$K90+1,"")</f>
      </c>
      <c r="T90" s="202">
        <f>IF($C90,MAX(0,TODAY()-'Proyecto Datos (OKR´s)'!$K90),"")</f>
      </c>
      <c r="U90" s="202">
        <f>IF($C90,MEDIAN(0,(TODAY()-'Proyecto Datos (OKR´s)'!$K90)/MAX(1,$R90-'Proyecto Datos (OKR´s)'!$K90),1),"")</f>
      </c>
      <c r="V90" s="202">
        <f>IF($C90,$I90-$U90,"")</f>
      </c>
      <c r="W90" s="202">
        <f>IF($C90,IF(OR($J90="Completado",NOT(ISNUMBER($H90))),0,MAX(0,TODAY()-$H90)),"")</f>
      </c>
      <c r="X90" s="202">
        <f>IF($C90,IF(ISNUMBER($H90),$R90-$H90,0),"")</f>
      </c>
      <c r="Y90" s="202">
        <f>IF($C90,COUNTIFS($G$7:$G$200,$G90,$J$7:$J$200,"&lt;&gt;Completado",$J$7:$J$200,"&lt;&gt;"),"")</f>
      </c>
      <c r="Z90" s="202">
        <f>IF($C90,AND($I90=0,'Proyecto Datos (OKR´s)'!$K90&lt;=TODAY(),$J90&lt;&gt;"Completado"),"")</f>
      </c>
      <c r="AA90" s="202">
        <f>IF($C90,ROUND(100*(0.35*$AK90+0.3*$AL90+0.2*$AM90+0.15*MEDIAN(0,($Y90-4)/8,1)),0),"")</f>
      </c>
      <c r="AB90" s="203">
        <f>IF($C90,IF(OR($J90="Completado",$J90="Sin fecha"),"—",IF($AA90&gt;=70,"Crítica",IF($AA90&gt;=45,"Alta",IF($AA90&gt;=25,"Media","Baja")))),"")</f>
      </c>
      <c r="AC90" s="203">
        <f>IF($C90,IF(LEN(TRIM($AN90))=0,"—",TRIM($AN90)),"")</f>
      </c>
      <c r="AD90" s="202">
        <f>IF($C90,$AV90,"")</f>
      </c>
      <c r="AE90" s="202">
        <f>IF($C90,$AZ90,"")</f>
      </c>
      <c r="AF90" s="202" t="b">
        <f>IF($C90,$AV90&lt;&gt;$AR90,FALSE)</f>
        <v>0</v>
      </c>
      <c r="AG90" s="202">
        <f>IF($C90,IF($AV90&lt;&gt;$AR90,$AW90,""),"")</f>
      </c>
      <c r="AH90" s="203">
        <f>IF($C90,IF(ISBLANK('Backlog General'!$K90),"",'Backlog General'!$K90),"")</f>
      </c>
      <c r="AI90" s="202">
        <f>IF($C90,$AV90*100000+ROW(),"")</f>
      </c>
      <c r="AJ90" s="202">
        <f>IF(AND($C90,ISNUMBER($H90)),$AA90*1000000-MEDIAN(-9999,$K90,9999)*100+(300-ROW()),"")</f>
      </c>
      <c r="AK90" s="202">
        <f>IF($C90,IF($J90="Completado",0,IF($K90&lt;0,1,IF($K90&lt;=3,0.9,IF($K90&lt;=7,0.7,IF($K90&lt;=14,0.45,0.2))))),"")</f>
      </c>
      <c r="AL90" s="202">
        <f>IF($C90,IF($J90="Completado",0,MEDIAN(0,MAX(-$V90,$W90/30),1)),"")</f>
      </c>
      <c r="AM90" s="202">
        <f>IF($C90,IF($J90="Completado",0,IF($Z90,1,IF(AND($I90&lt;0.5,$K90&lt;=7),0.7,0.3))),"")</f>
      </c>
      <c r="AN90" s="203">
        <f>IF($C90,IF(OR($V90&lt;-0.2,$W90&gt;0),"ATRASO ","")&amp;IF($Z90,"BLOQUEO ","")&amp;IF($Y90&gt;8,"SOBRECARGA ","")&amp;IF($X90&gt;0,"DESVÍO-PLAN ",""),"")</f>
      </c>
      <c r="AO90" s="203">
        <f>IF($C90,IFERROR(VLOOKUP($D90,'Sprints'!$I$5:$J$12,2,FALSE),"Semanal"),"")</f>
      </c>
      <c r="AP90" s="202">
        <f>IF($C90,IFERROR(VLOOKUP($AO90,'Sprints'!$B$9:$C$11,2,FALSE),1),"")</f>
      </c>
      <c r="AQ90" s="202">
        <f>IF($C90,'Sprints'!$C$5,"")</f>
      </c>
      <c r="AR90" s="202">
        <f>IF(AND($C90,ISNUMBER($H90)),CEILING(MAX(1,INT(($H90-$AQ90+'Sprints'!$D$5-1)/'Sprints'!$D$5)+1)/$AP90,1),"")</f>
      </c>
      <c r="AS90" s="202">
        <f>IF($C90,CEILING(MAX(1,INT((TODAY()-$AQ90+'Sprints'!$D$5-1)/'Sprints'!$D$5)+1)/$AP90,1),"")</f>
      </c>
      <c r="AT90" s="203">
        <f>IF($C90,'Backlog General'!$G90,"")</f>
      </c>
      <c r="AU90" s="203">
        <f>IF($C90,'Backlog General'!$H90,"")</f>
      </c>
      <c r="AV90" s="202">
        <f>IF(AND($C90,ISNUMBER($AR90)),IF(OR($AT90="Completo",$AU90="Cancelado",$AU90="Baja prioridad"),$AR90,IF($AU90="Pasa al siguiente",MAX($AR90+1,$AS90),MAX($AR90,$AS90))),"")</f>
      </c>
      <c r="AW90" s="202">
        <f>IF(AND($C90,ISNUMBER($AR90)),$AQ90+$AR90*$AP90*'Sprints'!$D$5-'Sprints'!$D$5,"")</f>
      </c>
      <c r="AX90" s="202">
        <f>IF($C90,IF(OR($AT90="Completo",$AU90="Cancelado",$AU90="Baja prioridad",NOT(ISNUMBER($AW90))),0,IF(TODAY()&gt;$AW90,NETWORKDAYS($AW90,TODAY(),'Sprints'!$L$5:$L$40)-1,0)),"")</f>
      </c>
      <c r="AY90" s="203">
        <f>IF($C90,IF(NOT(ISNUMBER($AR90)),"Sin fecha",IF($AT90="Completo","Completo",IF($AU90="Cancelado","Cancelado",IF($AU90="Baja prioridad","Baja prioridad",IF($AX90&gt;0,"Vencida","Pendiente"))))),"")</f>
      </c>
      <c r="AZ90" s="203">
        <f>IF($C90,IF(ISNUMBER($AV90),$AO90&amp;" · S"&amp;$AV90,"(Sin fecha)"),"")</f>
      </c>
      <c r="BA90" s="202">
        <f>IF($C90,IF(AND(ISNUMBER('Backlog General'!$M90),'Backlog General'!$M90=$AS90),"Nuevo S"&amp;'Backlog General'!$M90,""),"")</f>
      </c>
      <c r="BB90" s="202">
        <f>IF(AND($C90,$AO90="Semanal",ISNUMBER($AV90)),$AV90*100000+ROW(),"")</f>
      </c>
      <c r="BC90" s="202">
        <f>IF(AND($C90,$AO90="Quincenal",ISNUMBER($AV90)),$AV90*100000+ROW(),"")</f>
      </c>
      <c r="BD90" s="202">
        <f>IF(AND($C90,$AO90="Mensual",ISNUMBER($AV90)),$AV90*100000+ROW(),"")</f>
      </c>
      <c r="BE90" s="203">
        <f>IF($C90,IF(ISBLANK('Backlog General'!$J90),"",'Backlog General'!$J90),"")</f>
      </c>
      <c r="BF90" s="203">
        <f>IF($C90,IF($BE90="","",$BE90)&amp;IF(AND($BE90&lt;&gt;"",$AH90&lt;&gt;"")," · ","")&amp;IF($AH90="","",$AH90),"")</f>
      </c>
      <c r="BG90" s="203">
        <f>IF($C90,IF($J90="Completado","Sí","No"),"")</f>
      </c>
      <c r="BH90" s="202">
        <f>IF(AND($C90,ISNUMBER($AR90)),IF($AO90="Semanal",1,IF($AO90="Quincenal",2,3))*1000000000+$AR90*100000+ROW(),"")</f>
      </c>
    </row>
    <row r="91">
      <c r="A91" s="202">
        <f>ROW()</f>
        <v>91</v>
      </c>
      <c r="B91" s="202" t="b">
        <f>ISTEXT('Proyecto Datos (OKR´s)'!$K91)</f>
        <v>0</v>
      </c>
      <c r="C91" s="202" t="b">
        <f>AND(LEN('Proyecto Datos (OKR´s)'!$G91)&gt;0,NOT($B91),OR(ISNUMBER('Proyecto Datos (OKR´s)'!$F91),ISNUMBER('Proyecto Datos (OKR´s)'!$L91)))</f>
        <v>0</v>
      </c>
      <c r="D91" s="203">
        <f>IF($C91,IFERROR(LOOKUP(2,1/((ISTEXT('Proyecto Datos (OKR´s)'!$K$7:$K91))*(LEN('Proyecto Datos (OKR´s)'!$G$7:$G91)&gt;0)),'Proyecto Datos (OKR´s)'!$G$7:$G91),""),"")</f>
      </c>
      <c r="E91" s="202">
        <f>IF($C91,'Proyecto Datos (OKR´s)'!$E91,"")</f>
      </c>
      <c r="F91" s="203">
        <f>IF($C91,'Proyecto Datos (OKR´s)'!$G91,"")</f>
      </c>
      <c r="G91" s="203">
        <f>IF($C91,IF('Proyecto Datos (OKR´s)'!$I91="","(Sin asignar)",'Proyecto Datos (OKR´s)'!$I91),"")</f>
      </c>
      <c r="H91" s="202">
        <f>IF($C91,IF(ISNUMBER('Proyecto Datos (OKR´s)'!$F91),'Proyecto Datos (OKR´s)'!$F91,""),"")</f>
      </c>
      <c r="I91" s="202">
        <f>IF($C91,'Proyecto Datos (OKR´s)'!$J91,"")</f>
      </c>
      <c r="J91" s="203">
        <f>IF($C91,IF($I91&gt;=1,"Completado",IF(NOT(ISNUMBER($H91)),"Sin fecha",IF($H91&lt;TODAY(),"Vencido",IF(($H91-TODAY())&lt;='Entregas Próximas'!$M$3,"Próximo a vencer","En curso")))),"")</f>
      </c>
      <c r="K91" s="202">
        <f>IF(AND($C91,ISNUMBER($H91)),$H91-TODAY(),"")</f>
      </c>
      <c r="L91" s="202">
        <f>IF(AND($C91,ISNUMBER($H91)),$AD91*1000000+$H91+ROW()/100000,"")</f>
      </c>
      <c r="M91" s="202">
        <f>IF($C91,IF($AD91=9999,"(Sin sprint)",$AD91),"")</f>
      </c>
      <c r="N91" s="202">
        <f>IF($C91,IF('Proyecto Datos (OKR´s)'!$E91="",9999,'Proyecto Datos (OKR´s)'!$E91),"")</f>
      </c>
      <c r="O91" s="202">
        <f>IF($C91,"T"&amp;TEXT(ROW(),"000"),"")</f>
      </c>
      <c r="R91" s="202">
        <f>IF($C91,IF(ISNUMBER('Proyecto Datos (OKR´s)'!$L91),'Proyecto Datos (OKR´s)'!$L91,$H91),"")</f>
      </c>
      <c r="S91" s="202">
        <f>IF($C91,$R91-'Proyecto Datos (OKR´s)'!$K91+1,"")</f>
      </c>
      <c r="T91" s="202">
        <f>IF($C91,MAX(0,TODAY()-'Proyecto Datos (OKR´s)'!$K91),"")</f>
      </c>
      <c r="U91" s="202">
        <f>IF($C91,MEDIAN(0,(TODAY()-'Proyecto Datos (OKR´s)'!$K91)/MAX(1,$R91-'Proyecto Datos (OKR´s)'!$K91),1),"")</f>
      </c>
      <c r="V91" s="202">
        <f>IF($C91,$I91-$U91,"")</f>
      </c>
      <c r="W91" s="202">
        <f>IF($C91,IF(OR($J91="Completado",NOT(ISNUMBER($H91))),0,MAX(0,TODAY()-$H91)),"")</f>
      </c>
      <c r="X91" s="202">
        <f>IF($C91,IF(ISNUMBER($H91),$R91-$H91,0),"")</f>
      </c>
      <c r="Y91" s="202">
        <f>IF($C91,COUNTIFS($G$7:$G$200,$G91,$J$7:$J$200,"&lt;&gt;Completado",$J$7:$J$200,"&lt;&gt;"),"")</f>
      </c>
      <c r="Z91" s="202">
        <f>IF($C91,AND($I91=0,'Proyecto Datos (OKR´s)'!$K91&lt;=TODAY(),$J91&lt;&gt;"Completado"),"")</f>
      </c>
      <c r="AA91" s="202">
        <f>IF($C91,ROUND(100*(0.35*$AK91+0.3*$AL91+0.2*$AM91+0.15*MEDIAN(0,($Y91-4)/8,1)),0),"")</f>
      </c>
      <c r="AB91" s="203">
        <f>IF($C91,IF(OR($J91="Completado",$J91="Sin fecha"),"—",IF($AA91&gt;=70,"Crítica",IF($AA91&gt;=45,"Alta",IF($AA91&gt;=25,"Media","Baja")))),"")</f>
      </c>
      <c r="AC91" s="203">
        <f>IF($C91,IF(LEN(TRIM($AN91))=0,"—",TRIM($AN91)),"")</f>
      </c>
      <c r="AD91" s="202">
        <f>IF($C91,$AV91,"")</f>
      </c>
      <c r="AE91" s="202">
        <f>IF($C91,$AZ91,"")</f>
      </c>
      <c r="AF91" s="202" t="b">
        <f>IF($C91,$AV91&lt;&gt;$AR91,FALSE)</f>
        <v>0</v>
      </c>
      <c r="AG91" s="202">
        <f>IF($C91,IF($AV91&lt;&gt;$AR91,$AW91,""),"")</f>
      </c>
      <c r="AH91" s="203">
        <f>IF($C91,IF(ISBLANK('Backlog General'!$K91),"",'Backlog General'!$K91),"")</f>
      </c>
      <c r="AI91" s="202">
        <f>IF($C91,$AV91*100000+ROW(),"")</f>
      </c>
      <c r="AJ91" s="202">
        <f>IF(AND($C91,ISNUMBER($H91)),$AA91*1000000-MEDIAN(-9999,$K91,9999)*100+(300-ROW()),"")</f>
      </c>
      <c r="AK91" s="202">
        <f>IF($C91,IF($J91="Completado",0,IF($K91&lt;0,1,IF($K91&lt;=3,0.9,IF($K91&lt;=7,0.7,IF($K91&lt;=14,0.45,0.2))))),"")</f>
      </c>
      <c r="AL91" s="202">
        <f>IF($C91,IF($J91="Completado",0,MEDIAN(0,MAX(-$V91,$W91/30),1)),"")</f>
      </c>
      <c r="AM91" s="202">
        <f>IF($C91,IF($J91="Completado",0,IF($Z91,1,IF(AND($I91&lt;0.5,$K91&lt;=7),0.7,0.3))),"")</f>
      </c>
      <c r="AN91" s="203">
        <f>IF($C91,IF(OR($V91&lt;-0.2,$W91&gt;0),"ATRASO ","")&amp;IF($Z91,"BLOQUEO ","")&amp;IF($Y91&gt;8,"SOBRECARGA ","")&amp;IF($X91&gt;0,"DESVÍO-PLAN ",""),"")</f>
      </c>
      <c r="AO91" s="203">
        <f>IF($C91,IFERROR(VLOOKUP($D91,'Sprints'!$I$5:$J$12,2,FALSE),"Semanal"),"")</f>
      </c>
      <c r="AP91" s="202">
        <f>IF($C91,IFERROR(VLOOKUP($AO91,'Sprints'!$B$9:$C$11,2,FALSE),1),"")</f>
      </c>
      <c r="AQ91" s="202">
        <f>IF($C91,'Sprints'!$C$5,"")</f>
      </c>
      <c r="AR91" s="202">
        <f>IF(AND($C91,ISNUMBER($H91)),CEILING(MAX(1,INT(($H91-$AQ91+'Sprints'!$D$5-1)/'Sprints'!$D$5)+1)/$AP91,1),"")</f>
      </c>
      <c r="AS91" s="202">
        <f>IF($C91,CEILING(MAX(1,INT((TODAY()-$AQ91+'Sprints'!$D$5-1)/'Sprints'!$D$5)+1)/$AP91,1),"")</f>
      </c>
      <c r="AT91" s="203">
        <f>IF($C91,'Backlog General'!$G91,"")</f>
      </c>
      <c r="AU91" s="203">
        <f>IF($C91,'Backlog General'!$H91,"")</f>
      </c>
      <c r="AV91" s="202">
        <f>IF(AND($C91,ISNUMBER($AR91)),IF(OR($AT91="Completo",$AU91="Cancelado",$AU91="Baja prioridad"),$AR91,IF($AU91="Pasa al siguiente",MAX($AR91+1,$AS91),MAX($AR91,$AS91))),"")</f>
      </c>
      <c r="AW91" s="202">
        <f>IF(AND($C91,ISNUMBER($AR91)),$AQ91+$AR91*$AP91*'Sprints'!$D$5-'Sprints'!$D$5,"")</f>
      </c>
      <c r="AX91" s="202">
        <f>IF($C91,IF(OR($AT91="Completo",$AU91="Cancelado",$AU91="Baja prioridad",NOT(ISNUMBER($AW91))),0,IF(TODAY()&gt;$AW91,NETWORKDAYS($AW91,TODAY(),'Sprints'!$L$5:$L$40)-1,0)),"")</f>
      </c>
      <c r="AY91" s="203">
        <f>IF($C91,IF(NOT(ISNUMBER($AR91)),"Sin fecha",IF($AT91="Completo","Completo",IF($AU91="Cancelado","Cancelado",IF($AU91="Baja prioridad","Baja prioridad",IF($AX91&gt;0,"Vencida","Pendiente"))))),"")</f>
      </c>
      <c r="AZ91" s="203">
        <f>IF($C91,IF(ISNUMBER($AV91),$AO91&amp;" · S"&amp;$AV91,"(Sin fecha)"),"")</f>
      </c>
      <c r="BA91" s="202">
        <f>IF($C91,IF(AND(ISNUMBER('Backlog General'!$M91),'Backlog General'!$M91=$AS91),"Nuevo S"&amp;'Backlog General'!$M91,""),"")</f>
      </c>
      <c r="BB91" s="202">
        <f>IF(AND($C91,$AO91="Semanal",ISNUMBER($AV91)),$AV91*100000+ROW(),"")</f>
      </c>
      <c r="BC91" s="202">
        <f>IF(AND($C91,$AO91="Quincenal",ISNUMBER($AV91)),$AV91*100000+ROW(),"")</f>
      </c>
      <c r="BD91" s="202">
        <f>IF(AND($C91,$AO91="Mensual",ISNUMBER($AV91)),$AV91*100000+ROW(),"")</f>
      </c>
      <c r="BE91" s="203">
        <f>IF($C91,IF(ISBLANK('Backlog General'!$J91),"",'Backlog General'!$J91),"")</f>
      </c>
      <c r="BF91" s="203">
        <f>IF($C91,IF($BE91="","",$BE91)&amp;IF(AND($BE91&lt;&gt;"",$AH91&lt;&gt;"")," · ","")&amp;IF($AH91="","",$AH91),"")</f>
      </c>
      <c r="BG91" s="203">
        <f>IF($C91,IF($J91="Completado","Sí","No"),"")</f>
      </c>
      <c r="BH91" s="202">
        <f>IF(AND($C91,ISNUMBER($AR91)),IF($AO91="Semanal",1,IF($AO91="Quincenal",2,3))*1000000000+$AR91*100000+ROW(),"")</f>
      </c>
    </row>
    <row r="92">
      <c r="A92" s="202">
        <f>ROW()</f>
        <v>92</v>
      </c>
      <c r="B92" s="202" t="b">
        <f>ISTEXT('Proyecto Datos (OKR´s)'!$K92)</f>
        <v>0</v>
      </c>
      <c r="C92" s="202" t="b">
        <f>AND(LEN('Proyecto Datos (OKR´s)'!$G92)&gt;0,NOT($B92),OR(ISNUMBER('Proyecto Datos (OKR´s)'!$F92),ISNUMBER('Proyecto Datos (OKR´s)'!$L92)))</f>
        <v>0</v>
      </c>
      <c r="D92" s="203">
        <f>IF($C92,IFERROR(LOOKUP(2,1/((ISTEXT('Proyecto Datos (OKR´s)'!$K$7:$K92))*(LEN('Proyecto Datos (OKR´s)'!$G$7:$G92)&gt;0)),'Proyecto Datos (OKR´s)'!$G$7:$G92),""),"")</f>
      </c>
      <c r="E92" s="202">
        <f>IF($C92,'Proyecto Datos (OKR´s)'!$E92,"")</f>
      </c>
      <c r="F92" s="203">
        <f>IF($C92,'Proyecto Datos (OKR´s)'!$G92,"")</f>
      </c>
      <c r="G92" s="203">
        <f>IF($C92,IF('Proyecto Datos (OKR´s)'!$I92="","(Sin asignar)",'Proyecto Datos (OKR´s)'!$I92),"")</f>
      </c>
      <c r="H92" s="202">
        <f>IF($C92,IF(ISNUMBER('Proyecto Datos (OKR´s)'!$F92),'Proyecto Datos (OKR´s)'!$F92,""),"")</f>
      </c>
      <c r="I92" s="202">
        <f>IF($C92,'Proyecto Datos (OKR´s)'!$J92,"")</f>
      </c>
      <c r="J92" s="203">
        <f>IF($C92,IF($I92&gt;=1,"Completado",IF(NOT(ISNUMBER($H92)),"Sin fecha",IF($H92&lt;TODAY(),"Vencido",IF(($H92-TODAY())&lt;='Entregas Próximas'!$M$3,"Próximo a vencer","En curso")))),"")</f>
      </c>
      <c r="K92" s="202">
        <f>IF(AND($C92,ISNUMBER($H92)),$H92-TODAY(),"")</f>
      </c>
      <c r="L92" s="202">
        <f>IF(AND($C92,ISNUMBER($H92)),$AD92*1000000+$H92+ROW()/100000,"")</f>
      </c>
      <c r="M92" s="202">
        <f>IF($C92,IF($AD92=9999,"(Sin sprint)",$AD92),"")</f>
      </c>
      <c r="N92" s="202">
        <f>IF($C92,IF('Proyecto Datos (OKR´s)'!$E92="",9999,'Proyecto Datos (OKR´s)'!$E92),"")</f>
      </c>
      <c r="O92" s="202">
        <f>IF($C92,"T"&amp;TEXT(ROW(),"000"),"")</f>
      </c>
      <c r="R92" s="202">
        <f>IF($C92,IF(ISNUMBER('Proyecto Datos (OKR´s)'!$L92),'Proyecto Datos (OKR´s)'!$L92,$H92),"")</f>
      </c>
      <c r="S92" s="202">
        <f>IF($C92,$R92-'Proyecto Datos (OKR´s)'!$K92+1,"")</f>
      </c>
      <c r="T92" s="202">
        <f>IF($C92,MAX(0,TODAY()-'Proyecto Datos (OKR´s)'!$K92),"")</f>
      </c>
      <c r="U92" s="202">
        <f>IF($C92,MEDIAN(0,(TODAY()-'Proyecto Datos (OKR´s)'!$K92)/MAX(1,$R92-'Proyecto Datos (OKR´s)'!$K92),1),"")</f>
      </c>
      <c r="V92" s="202">
        <f>IF($C92,$I92-$U92,"")</f>
      </c>
      <c r="W92" s="202">
        <f>IF($C92,IF(OR($J92="Completado",NOT(ISNUMBER($H92))),0,MAX(0,TODAY()-$H92)),"")</f>
      </c>
      <c r="X92" s="202">
        <f>IF($C92,IF(ISNUMBER($H92),$R92-$H92,0),"")</f>
      </c>
      <c r="Y92" s="202">
        <f>IF($C92,COUNTIFS($G$7:$G$200,$G92,$J$7:$J$200,"&lt;&gt;Completado",$J$7:$J$200,"&lt;&gt;"),"")</f>
      </c>
      <c r="Z92" s="202">
        <f>IF($C92,AND($I92=0,'Proyecto Datos (OKR´s)'!$K92&lt;=TODAY(),$J92&lt;&gt;"Completado"),"")</f>
      </c>
      <c r="AA92" s="202">
        <f>IF($C92,ROUND(100*(0.35*$AK92+0.3*$AL92+0.2*$AM92+0.15*MEDIAN(0,($Y92-4)/8,1)),0),"")</f>
      </c>
      <c r="AB92" s="203">
        <f>IF($C92,IF(OR($J92="Completado",$J92="Sin fecha"),"—",IF($AA92&gt;=70,"Crítica",IF($AA92&gt;=45,"Alta",IF($AA92&gt;=25,"Media","Baja")))),"")</f>
      </c>
      <c r="AC92" s="203">
        <f>IF($C92,IF(LEN(TRIM($AN92))=0,"—",TRIM($AN92)),"")</f>
      </c>
      <c r="AD92" s="202">
        <f>IF($C92,$AV92,"")</f>
      </c>
      <c r="AE92" s="202">
        <f>IF($C92,$AZ92,"")</f>
      </c>
      <c r="AF92" s="202" t="b">
        <f>IF($C92,$AV92&lt;&gt;$AR92,FALSE)</f>
        <v>0</v>
      </c>
      <c r="AG92" s="202">
        <f>IF($C92,IF($AV92&lt;&gt;$AR92,$AW92,""),"")</f>
      </c>
      <c r="AH92" s="203">
        <f>IF($C92,IF(ISBLANK('Backlog General'!$K92),"",'Backlog General'!$K92),"")</f>
      </c>
      <c r="AI92" s="202">
        <f>IF($C92,$AV92*100000+ROW(),"")</f>
      </c>
      <c r="AJ92" s="202">
        <f>IF(AND($C92,ISNUMBER($H92)),$AA92*1000000-MEDIAN(-9999,$K92,9999)*100+(300-ROW()),"")</f>
      </c>
      <c r="AK92" s="202">
        <f>IF($C92,IF($J92="Completado",0,IF($K92&lt;0,1,IF($K92&lt;=3,0.9,IF($K92&lt;=7,0.7,IF($K92&lt;=14,0.45,0.2))))),"")</f>
      </c>
      <c r="AL92" s="202">
        <f>IF($C92,IF($J92="Completado",0,MEDIAN(0,MAX(-$V92,$W92/30),1)),"")</f>
      </c>
      <c r="AM92" s="202">
        <f>IF($C92,IF($J92="Completado",0,IF($Z92,1,IF(AND($I92&lt;0.5,$K92&lt;=7),0.7,0.3))),"")</f>
      </c>
      <c r="AN92" s="203">
        <f>IF($C92,IF(OR($V92&lt;-0.2,$W92&gt;0),"ATRASO ","")&amp;IF($Z92,"BLOQUEO ","")&amp;IF($Y92&gt;8,"SOBRECARGA ","")&amp;IF($X92&gt;0,"DESVÍO-PLAN ",""),"")</f>
      </c>
      <c r="AO92" s="203">
        <f>IF($C92,IFERROR(VLOOKUP($D92,'Sprints'!$I$5:$J$12,2,FALSE),"Semanal"),"")</f>
      </c>
      <c r="AP92" s="202">
        <f>IF($C92,IFERROR(VLOOKUP($AO92,'Sprints'!$B$9:$C$11,2,FALSE),1),"")</f>
      </c>
      <c r="AQ92" s="202">
        <f>IF($C92,'Sprints'!$C$5,"")</f>
      </c>
      <c r="AR92" s="202">
        <f>IF(AND($C92,ISNUMBER($H92)),CEILING(MAX(1,INT(($H92-$AQ92+'Sprints'!$D$5-1)/'Sprints'!$D$5)+1)/$AP92,1),"")</f>
      </c>
      <c r="AS92" s="202">
        <f>IF($C92,CEILING(MAX(1,INT((TODAY()-$AQ92+'Sprints'!$D$5-1)/'Sprints'!$D$5)+1)/$AP92,1),"")</f>
      </c>
      <c r="AT92" s="203">
        <f>IF($C92,'Backlog General'!$G92,"")</f>
      </c>
      <c r="AU92" s="203">
        <f>IF($C92,'Backlog General'!$H92,"")</f>
      </c>
      <c r="AV92" s="202">
        <f>IF(AND($C92,ISNUMBER($AR92)),IF(OR($AT92="Completo",$AU92="Cancelado",$AU92="Baja prioridad"),$AR92,IF($AU92="Pasa al siguiente",MAX($AR92+1,$AS92),MAX($AR92,$AS92))),"")</f>
      </c>
      <c r="AW92" s="202">
        <f>IF(AND($C92,ISNUMBER($AR92)),$AQ92+$AR92*$AP92*'Sprints'!$D$5-'Sprints'!$D$5,"")</f>
      </c>
      <c r="AX92" s="202">
        <f>IF($C92,IF(OR($AT92="Completo",$AU92="Cancelado",$AU92="Baja prioridad",NOT(ISNUMBER($AW92))),0,IF(TODAY()&gt;$AW92,NETWORKDAYS($AW92,TODAY(),'Sprints'!$L$5:$L$40)-1,0)),"")</f>
      </c>
      <c r="AY92" s="203">
        <f>IF($C92,IF(NOT(ISNUMBER($AR92)),"Sin fecha",IF($AT92="Completo","Completo",IF($AU92="Cancelado","Cancelado",IF($AU92="Baja prioridad","Baja prioridad",IF($AX92&gt;0,"Vencida","Pendiente"))))),"")</f>
      </c>
      <c r="AZ92" s="203">
        <f>IF($C92,IF(ISNUMBER($AV92),$AO92&amp;" · S"&amp;$AV92,"(Sin fecha)"),"")</f>
      </c>
      <c r="BA92" s="202">
        <f>IF($C92,IF(AND(ISNUMBER('Backlog General'!$M92),'Backlog General'!$M92=$AS92),"Nuevo S"&amp;'Backlog General'!$M92,""),"")</f>
      </c>
      <c r="BB92" s="202">
        <f>IF(AND($C92,$AO92="Semanal",ISNUMBER($AV92)),$AV92*100000+ROW(),"")</f>
      </c>
      <c r="BC92" s="202">
        <f>IF(AND($C92,$AO92="Quincenal",ISNUMBER($AV92)),$AV92*100000+ROW(),"")</f>
      </c>
      <c r="BD92" s="202">
        <f>IF(AND($C92,$AO92="Mensual",ISNUMBER($AV92)),$AV92*100000+ROW(),"")</f>
      </c>
      <c r="BE92" s="203">
        <f>IF($C92,IF(ISBLANK('Backlog General'!$J92),"",'Backlog General'!$J92),"")</f>
      </c>
      <c r="BF92" s="203">
        <f>IF($C92,IF($BE92="","",$BE92)&amp;IF(AND($BE92&lt;&gt;"",$AH92&lt;&gt;"")," · ","")&amp;IF($AH92="","",$AH92),"")</f>
      </c>
      <c r="BG92" s="203">
        <f>IF($C92,IF($J92="Completado","Sí","No"),"")</f>
      </c>
      <c r="BH92" s="202">
        <f>IF(AND($C92,ISNUMBER($AR92)),IF($AO92="Semanal",1,IF($AO92="Quincenal",2,3))*1000000000+$AR92*100000+ROW(),"")</f>
      </c>
    </row>
    <row r="93">
      <c r="A93" s="202">
        <f>ROW()</f>
        <v>93</v>
      </c>
      <c r="B93" s="202" t="b">
        <f>ISTEXT('Proyecto Datos (OKR´s)'!$K93)</f>
        <v>0</v>
      </c>
      <c r="C93" s="202" t="b">
        <f>AND(LEN('Proyecto Datos (OKR´s)'!$G93)&gt;0,NOT($B93),OR(ISNUMBER('Proyecto Datos (OKR´s)'!$F93),ISNUMBER('Proyecto Datos (OKR´s)'!$L93)))</f>
        <v>0</v>
      </c>
      <c r="D93" s="203">
        <f>IF($C93,IFERROR(LOOKUP(2,1/((ISTEXT('Proyecto Datos (OKR´s)'!$K$7:$K93))*(LEN('Proyecto Datos (OKR´s)'!$G$7:$G93)&gt;0)),'Proyecto Datos (OKR´s)'!$G$7:$G93),""),"")</f>
      </c>
      <c r="E93" s="202">
        <f>IF($C93,'Proyecto Datos (OKR´s)'!$E93,"")</f>
      </c>
      <c r="F93" s="203">
        <f>IF($C93,'Proyecto Datos (OKR´s)'!$G93,"")</f>
      </c>
      <c r="G93" s="203">
        <f>IF($C93,IF('Proyecto Datos (OKR´s)'!$I93="","(Sin asignar)",'Proyecto Datos (OKR´s)'!$I93),"")</f>
      </c>
      <c r="H93" s="202">
        <f>IF($C93,IF(ISNUMBER('Proyecto Datos (OKR´s)'!$F93),'Proyecto Datos (OKR´s)'!$F93,""),"")</f>
      </c>
      <c r="I93" s="202">
        <f>IF($C93,'Proyecto Datos (OKR´s)'!$J93,"")</f>
      </c>
      <c r="J93" s="203">
        <f>IF($C93,IF($I93&gt;=1,"Completado",IF(NOT(ISNUMBER($H93)),"Sin fecha",IF($H93&lt;TODAY(),"Vencido",IF(($H93-TODAY())&lt;='Entregas Próximas'!$M$3,"Próximo a vencer","En curso")))),"")</f>
      </c>
      <c r="K93" s="202">
        <f>IF(AND($C93,ISNUMBER($H93)),$H93-TODAY(),"")</f>
      </c>
      <c r="L93" s="202">
        <f>IF(AND($C93,ISNUMBER($H93)),$AD93*1000000+$H93+ROW()/100000,"")</f>
      </c>
      <c r="M93" s="202">
        <f>IF($C93,IF($AD93=9999,"(Sin sprint)",$AD93),"")</f>
      </c>
      <c r="N93" s="202">
        <f>IF($C93,IF('Proyecto Datos (OKR´s)'!$E93="",9999,'Proyecto Datos (OKR´s)'!$E93),"")</f>
      </c>
      <c r="O93" s="202">
        <f>IF($C93,"T"&amp;TEXT(ROW(),"000"),"")</f>
      </c>
      <c r="R93" s="202">
        <f>IF($C93,IF(ISNUMBER('Proyecto Datos (OKR´s)'!$L93),'Proyecto Datos (OKR´s)'!$L93,$H93),"")</f>
      </c>
      <c r="S93" s="202">
        <f>IF($C93,$R93-'Proyecto Datos (OKR´s)'!$K93+1,"")</f>
      </c>
      <c r="T93" s="202">
        <f>IF($C93,MAX(0,TODAY()-'Proyecto Datos (OKR´s)'!$K93),"")</f>
      </c>
      <c r="U93" s="202">
        <f>IF($C93,MEDIAN(0,(TODAY()-'Proyecto Datos (OKR´s)'!$K93)/MAX(1,$R93-'Proyecto Datos (OKR´s)'!$K93),1),"")</f>
      </c>
      <c r="V93" s="202">
        <f>IF($C93,$I93-$U93,"")</f>
      </c>
      <c r="W93" s="202">
        <f>IF($C93,IF(OR($J93="Completado",NOT(ISNUMBER($H93))),0,MAX(0,TODAY()-$H93)),"")</f>
      </c>
      <c r="X93" s="202">
        <f>IF($C93,IF(ISNUMBER($H93),$R93-$H93,0),"")</f>
      </c>
      <c r="Y93" s="202">
        <f>IF($C93,COUNTIFS($G$7:$G$200,$G93,$J$7:$J$200,"&lt;&gt;Completado",$J$7:$J$200,"&lt;&gt;"),"")</f>
      </c>
      <c r="Z93" s="202">
        <f>IF($C93,AND($I93=0,'Proyecto Datos (OKR´s)'!$K93&lt;=TODAY(),$J93&lt;&gt;"Completado"),"")</f>
      </c>
      <c r="AA93" s="202">
        <f>IF($C93,ROUND(100*(0.35*$AK93+0.3*$AL93+0.2*$AM93+0.15*MEDIAN(0,($Y93-4)/8,1)),0),"")</f>
      </c>
      <c r="AB93" s="203">
        <f>IF($C93,IF(OR($J93="Completado",$J93="Sin fecha"),"—",IF($AA93&gt;=70,"Crítica",IF($AA93&gt;=45,"Alta",IF($AA93&gt;=25,"Media","Baja")))),"")</f>
      </c>
      <c r="AC93" s="203">
        <f>IF($C93,IF(LEN(TRIM($AN93))=0,"—",TRIM($AN93)),"")</f>
      </c>
      <c r="AD93" s="202">
        <f>IF($C93,$AV93,"")</f>
      </c>
      <c r="AE93" s="202">
        <f>IF($C93,$AZ93,"")</f>
      </c>
      <c r="AF93" s="202" t="b">
        <f>IF($C93,$AV93&lt;&gt;$AR93,FALSE)</f>
        <v>0</v>
      </c>
      <c r="AG93" s="202">
        <f>IF($C93,IF($AV93&lt;&gt;$AR93,$AW93,""),"")</f>
      </c>
      <c r="AH93" s="203">
        <f>IF($C93,IF(ISBLANK('Backlog General'!$K93),"",'Backlog General'!$K93),"")</f>
      </c>
      <c r="AI93" s="202">
        <f>IF($C93,$AV93*100000+ROW(),"")</f>
      </c>
      <c r="AJ93" s="202">
        <f>IF(AND($C93,ISNUMBER($H93)),$AA93*1000000-MEDIAN(-9999,$K93,9999)*100+(300-ROW()),"")</f>
      </c>
      <c r="AK93" s="202">
        <f>IF($C93,IF($J93="Completado",0,IF($K93&lt;0,1,IF($K93&lt;=3,0.9,IF($K93&lt;=7,0.7,IF($K93&lt;=14,0.45,0.2))))),"")</f>
      </c>
      <c r="AL93" s="202">
        <f>IF($C93,IF($J93="Completado",0,MEDIAN(0,MAX(-$V93,$W93/30),1)),"")</f>
      </c>
      <c r="AM93" s="202">
        <f>IF($C93,IF($J93="Completado",0,IF($Z93,1,IF(AND($I93&lt;0.5,$K93&lt;=7),0.7,0.3))),"")</f>
      </c>
      <c r="AN93" s="203">
        <f>IF($C93,IF(OR($V93&lt;-0.2,$W93&gt;0),"ATRASO ","")&amp;IF($Z93,"BLOQUEO ","")&amp;IF($Y93&gt;8,"SOBRECARGA ","")&amp;IF($X93&gt;0,"DESVÍO-PLAN ",""),"")</f>
      </c>
      <c r="AO93" s="203">
        <f>IF($C93,IFERROR(VLOOKUP($D93,'Sprints'!$I$5:$J$12,2,FALSE),"Semanal"),"")</f>
      </c>
      <c r="AP93" s="202">
        <f>IF($C93,IFERROR(VLOOKUP($AO93,'Sprints'!$B$9:$C$11,2,FALSE),1),"")</f>
      </c>
      <c r="AQ93" s="202">
        <f>IF($C93,'Sprints'!$C$5,"")</f>
      </c>
      <c r="AR93" s="202">
        <f>IF(AND($C93,ISNUMBER($H93)),CEILING(MAX(1,INT(($H93-$AQ93+'Sprints'!$D$5-1)/'Sprints'!$D$5)+1)/$AP93,1),"")</f>
      </c>
      <c r="AS93" s="202">
        <f>IF($C93,CEILING(MAX(1,INT((TODAY()-$AQ93+'Sprints'!$D$5-1)/'Sprints'!$D$5)+1)/$AP93,1),"")</f>
      </c>
      <c r="AT93" s="203">
        <f>IF($C93,'Backlog General'!$G93,"")</f>
      </c>
      <c r="AU93" s="203">
        <f>IF($C93,'Backlog General'!$H93,"")</f>
      </c>
      <c r="AV93" s="202">
        <f>IF(AND($C93,ISNUMBER($AR93)),IF(OR($AT93="Completo",$AU93="Cancelado",$AU93="Baja prioridad"),$AR93,IF($AU93="Pasa al siguiente",MAX($AR93+1,$AS93),MAX($AR93,$AS93))),"")</f>
      </c>
      <c r="AW93" s="202">
        <f>IF(AND($C93,ISNUMBER($AR93)),$AQ93+$AR93*$AP93*'Sprints'!$D$5-'Sprints'!$D$5,"")</f>
      </c>
      <c r="AX93" s="202">
        <f>IF($C93,IF(OR($AT93="Completo",$AU93="Cancelado",$AU93="Baja prioridad",NOT(ISNUMBER($AW93))),0,IF(TODAY()&gt;$AW93,NETWORKDAYS($AW93,TODAY(),'Sprints'!$L$5:$L$40)-1,0)),"")</f>
      </c>
      <c r="AY93" s="203">
        <f>IF($C93,IF(NOT(ISNUMBER($AR93)),"Sin fecha",IF($AT93="Completo","Completo",IF($AU93="Cancelado","Cancelado",IF($AU93="Baja prioridad","Baja prioridad",IF($AX93&gt;0,"Vencida","Pendiente"))))),"")</f>
      </c>
      <c r="AZ93" s="203">
        <f>IF($C93,IF(ISNUMBER($AV93),$AO93&amp;" · S"&amp;$AV93,"(Sin fecha)"),"")</f>
      </c>
      <c r="BA93" s="202">
        <f>IF($C93,IF(AND(ISNUMBER('Backlog General'!$M93),'Backlog General'!$M93=$AS93),"Nuevo S"&amp;'Backlog General'!$M93,""),"")</f>
      </c>
      <c r="BB93" s="202">
        <f>IF(AND($C93,$AO93="Semanal",ISNUMBER($AV93)),$AV93*100000+ROW(),"")</f>
      </c>
      <c r="BC93" s="202">
        <f>IF(AND($C93,$AO93="Quincenal",ISNUMBER($AV93)),$AV93*100000+ROW(),"")</f>
      </c>
      <c r="BD93" s="202">
        <f>IF(AND($C93,$AO93="Mensual",ISNUMBER($AV93)),$AV93*100000+ROW(),"")</f>
      </c>
      <c r="BE93" s="203">
        <f>IF($C93,IF(ISBLANK('Backlog General'!$J93),"",'Backlog General'!$J93),"")</f>
      </c>
      <c r="BF93" s="203">
        <f>IF($C93,IF($BE93="","",$BE93)&amp;IF(AND($BE93&lt;&gt;"",$AH93&lt;&gt;"")," · ","")&amp;IF($AH93="","",$AH93),"")</f>
      </c>
      <c r="BG93" s="203">
        <f>IF($C93,IF($J93="Completado","Sí","No"),"")</f>
      </c>
      <c r="BH93" s="202">
        <f>IF(AND($C93,ISNUMBER($AR93)),IF($AO93="Semanal",1,IF($AO93="Quincenal",2,3))*1000000000+$AR93*100000+ROW(),"")</f>
      </c>
    </row>
    <row r="94">
      <c r="A94" s="202">
        <f>ROW()</f>
        <v>94</v>
      </c>
      <c r="B94" s="202" t="b">
        <f>ISTEXT('Proyecto Datos (OKR´s)'!$K94)</f>
        <v>0</v>
      </c>
      <c r="C94" s="202" t="b">
        <f>AND(LEN('Proyecto Datos (OKR´s)'!$G94)&gt;0,NOT($B94),OR(ISNUMBER('Proyecto Datos (OKR´s)'!$F94),ISNUMBER('Proyecto Datos (OKR´s)'!$L94)))</f>
        <v>0</v>
      </c>
      <c r="D94" s="203">
        <f>IF($C94,IFERROR(LOOKUP(2,1/((ISTEXT('Proyecto Datos (OKR´s)'!$K$7:$K94))*(LEN('Proyecto Datos (OKR´s)'!$G$7:$G94)&gt;0)),'Proyecto Datos (OKR´s)'!$G$7:$G94),""),"")</f>
      </c>
      <c r="E94" s="202">
        <f>IF($C94,'Proyecto Datos (OKR´s)'!$E94,"")</f>
      </c>
      <c r="F94" s="203">
        <f>IF($C94,'Proyecto Datos (OKR´s)'!$G94,"")</f>
      </c>
      <c r="G94" s="203">
        <f>IF($C94,IF('Proyecto Datos (OKR´s)'!$I94="","(Sin asignar)",'Proyecto Datos (OKR´s)'!$I94),"")</f>
      </c>
      <c r="H94" s="202">
        <f>IF($C94,IF(ISNUMBER('Proyecto Datos (OKR´s)'!$F94),'Proyecto Datos (OKR´s)'!$F94,""),"")</f>
      </c>
      <c r="I94" s="202">
        <f>IF($C94,'Proyecto Datos (OKR´s)'!$J94,"")</f>
      </c>
      <c r="J94" s="203">
        <f>IF($C94,IF($I94&gt;=1,"Completado",IF(NOT(ISNUMBER($H94)),"Sin fecha",IF($H94&lt;TODAY(),"Vencido",IF(($H94-TODAY())&lt;='Entregas Próximas'!$M$3,"Próximo a vencer","En curso")))),"")</f>
      </c>
      <c r="K94" s="202">
        <f>IF(AND($C94,ISNUMBER($H94)),$H94-TODAY(),"")</f>
      </c>
      <c r="L94" s="202">
        <f>IF(AND($C94,ISNUMBER($H94)),$AD94*1000000+$H94+ROW()/100000,"")</f>
      </c>
      <c r="M94" s="202">
        <f>IF($C94,IF($AD94=9999,"(Sin sprint)",$AD94),"")</f>
      </c>
      <c r="N94" s="202">
        <f>IF($C94,IF('Proyecto Datos (OKR´s)'!$E94="",9999,'Proyecto Datos (OKR´s)'!$E94),"")</f>
      </c>
      <c r="O94" s="202">
        <f>IF($C94,"T"&amp;TEXT(ROW(),"000"),"")</f>
      </c>
      <c r="R94" s="202">
        <f>IF($C94,IF(ISNUMBER('Proyecto Datos (OKR´s)'!$L94),'Proyecto Datos (OKR´s)'!$L94,$H94),"")</f>
      </c>
      <c r="S94" s="202">
        <f>IF($C94,$R94-'Proyecto Datos (OKR´s)'!$K94+1,"")</f>
      </c>
      <c r="T94" s="202">
        <f>IF($C94,MAX(0,TODAY()-'Proyecto Datos (OKR´s)'!$K94),"")</f>
      </c>
      <c r="U94" s="202">
        <f>IF($C94,MEDIAN(0,(TODAY()-'Proyecto Datos (OKR´s)'!$K94)/MAX(1,$R94-'Proyecto Datos (OKR´s)'!$K94),1),"")</f>
      </c>
      <c r="V94" s="202">
        <f>IF($C94,$I94-$U94,"")</f>
      </c>
      <c r="W94" s="202">
        <f>IF($C94,IF(OR($J94="Completado",NOT(ISNUMBER($H94))),0,MAX(0,TODAY()-$H94)),"")</f>
      </c>
      <c r="X94" s="202">
        <f>IF($C94,IF(ISNUMBER($H94),$R94-$H94,0),"")</f>
      </c>
      <c r="Y94" s="202">
        <f>IF($C94,COUNTIFS($G$7:$G$200,$G94,$J$7:$J$200,"&lt;&gt;Completado",$J$7:$J$200,"&lt;&gt;"),"")</f>
      </c>
      <c r="Z94" s="202">
        <f>IF($C94,AND($I94=0,'Proyecto Datos (OKR´s)'!$K94&lt;=TODAY(),$J94&lt;&gt;"Completado"),"")</f>
      </c>
      <c r="AA94" s="202">
        <f>IF($C94,ROUND(100*(0.35*$AK94+0.3*$AL94+0.2*$AM94+0.15*MEDIAN(0,($Y94-4)/8,1)),0),"")</f>
      </c>
      <c r="AB94" s="203">
        <f>IF($C94,IF(OR($J94="Completado",$J94="Sin fecha"),"—",IF($AA94&gt;=70,"Crítica",IF($AA94&gt;=45,"Alta",IF($AA94&gt;=25,"Media","Baja")))),"")</f>
      </c>
      <c r="AC94" s="203">
        <f>IF($C94,IF(LEN(TRIM($AN94))=0,"—",TRIM($AN94)),"")</f>
      </c>
      <c r="AD94" s="202">
        <f>IF($C94,$AV94,"")</f>
      </c>
      <c r="AE94" s="202">
        <f>IF($C94,$AZ94,"")</f>
      </c>
      <c r="AF94" s="202" t="b">
        <f>IF($C94,$AV94&lt;&gt;$AR94,FALSE)</f>
        <v>0</v>
      </c>
      <c r="AG94" s="202">
        <f>IF($C94,IF($AV94&lt;&gt;$AR94,$AW94,""),"")</f>
      </c>
      <c r="AH94" s="203">
        <f>IF($C94,IF(ISBLANK('Backlog General'!$K94),"",'Backlog General'!$K94),"")</f>
      </c>
      <c r="AI94" s="202">
        <f>IF($C94,$AV94*100000+ROW(),"")</f>
      </c>
      <c r="AJ94" s="202">
        <f>IF(AND($C94,ISNUMBER($H94)),$AA94*1000000-MEDIAN(-9999,$K94,9999)*100+(300-ROW()),"")</f>
      </c>
      <c r="AK94" s="202">
        <f>IF($C94,IF($J94="Completado",0,IF($K94&lt;0,1,IF($K94&lt;=3,0.9,IF($K94&lt;=7,0.7,IF($K94&lt;=14,0.45,0.2))))),"")</f>
      </c>
      <c r="AL94" s="202">
        <f>IF($C94,IF($J94="Completado",0,MEDIAN(0,MAX(-$V94,$W94/30),1)),"")</f>
      </c>
      <c r="AM94" s="202">
        <f>IF($C94,IF($J94="Completado",0,IF($Z94,1,IF(AND($I94&lt;0.5,$K94&lt;=7),0.7,0.3))),"")</f>
      </c>
      <c r="AN94" s="203">
        <f>IF($C94,IF(OR($V94&lt;-0.2,$W94&gt;0),"ATRASO ","")&amp;IF($Z94,"BLOQUEO ","")&amp;IF($Y94&gt;8,"SOBRECARGA ","")&amp;IF($X94&gt;0,"DESVÍO-PLAN ",""),"")</f>
      </c>
      <c r="AO94" s="203">
        <f>IF($C94,IFERROR(VLOOKUP($D94,'Sprints'!$I$5:$J$12,2,FALSE),"Semanal"),"")</f>
      </c>
      <c r="AP94" s="202">
        <f>IF($C94,IFERROR(VLOOKUP($AO94,'Sprints'!$B$9:$C$11,2,FALSE),1),"")</f>
      </c>
      <c r="AQ94" s="202">
        <f>IF($C94,'Sprints'!$C$5,"")</f>
      </c>
      <c r="AR94" s="202">
        <f>IF(AND($C94,ISNUMBER($H94)),CEILING(MAX(1,INT(($H94-$AQ94+'Sprints'!$D$5-1)/'Sprints'!$D$5)+1)/$AP94,1),"")</f>
      </c>
      <c r="AS94" s="202">
        <f>IF($C94,CEILING(MAX(1,INT((TODAY()-$AQ94+'Sprints'!$D$5-1)/'Sprints'!$D$5)+1)/$AP94,1),"")</f>
      </c>
      <c r="AT94" s="203">
        <f>IF($C94,'Backlog General'!$G94,"")</f>
      </c>
      <c r="AU94" s="203">
        <f>IF($C94,'Backlog General'!$H94,"")</f>
      </c>
      <c r="AV94" s="202">
        <f>IF(AND($C94,ISNUMBER($AR94)),IF(OR($AT94="Completo",$AU94="Cancelado",$AU94="Baja prioridad"),$AR94,IF($AU94="Pasa al siguiente",MAX($AR94+1,$AS94),MAX($AR94,$AS94))),"")</f>
      </c>
      <c r="AW94" s="202">
        <f>IF(AND($C94,ISNUMBER($AR94)),$AQ94+$AR94*$AP94*'Sprints'!$D$5-'Sprints'!$D$5,"")</f>
      </c>
      <c r="AX94" s="202">
        <f>IF($C94,IF(OR($AT94="Completo",$AU94="Cancelado",$AU94="Baja prioridad",NOT(ISNUMBER($AW94))),0,IF(TODAY()&gt;$AW94,NETWORKDAYS($AW94,TODAY(),'Sprints'!$L$5:$L$40)-1,0)),"")</f>
      </c>
      <c r="AY94" s="203">
        <f>IF($C94,IF(NOT(ISNUMBER($AR94)),"Sin fecha",IF($AT94="Completo","Completo",IF($AU94="Cancelado","Cancelado",IF($AU94="Baja prioridad","Baja prioridad",IF($AX94&gt;0,"Vencida","Pendiente"))))),"")</f>
      </c>
      <c r="AZ94" s="203">
        <f>IF($C94,IF(ISNUMBER($AV94),$AO94&amp;" · S"&amp;$AV94,"(Sin fecha)"),"")</f>
      </c>
      <c r="BA94" s="202">
        <f>IF($C94,IF(AND(ISNUMBER('Backlog General'!$M94),'Backlog General'!$M94=$AS94),"Nuevo S"&amp;'Backlog General'!$M94,""),"")</f>
      </c>
      <c r="BB94" s="202">
        <f>IF(AND($C94,$AO94="Semanal",ISNUMBER($AV94)),$AV94*100000+ROW(),"")</f>
      </c>
      <c r="BC94" s="202">
        <f>IF(AND($C94,$AO94="Quincenal",ISNUMBER($AV94)),$AV94*100000+ROW(),"")</f>
      </c>
      <c r="BD94" s="202">
        <f>IF(AND($C94,$AO94="Mensual",ISNUMBER($AV94)),$AV94*100000+ROW(),"")</f>
      </c>
      <c r="BE94" s="203">
        <f>IF($C94,IF(ISBLANK('Backlog General'!$J94),"",'Backlog General'!$J94),"")</f>
      </c>
      <c r="BF94" s="203">
        <f>IF($C94,IF($BE94="","",$BE94)&amp;IF(AND($BE94&lt;&gt;"",$AH94&lt;&gt;"")," · ","")&amp;IF($AH94="","",$AH94),"")</f>
      </c>
      <c r="BG94" s="203">
        <f>IF($C94,IF($J94="Completado","Sí","No"),"")</f>
      </c>
      <c r="BH94" s="202">
        <f>IF(AND($C94,ISNUMBER($AR94)),IF($AO94="Semanal",1,IF($AO94="Quincenal",2,3))*1000000000+$AR94*100000+ROW(),"")</f>
      </c>
    </row>
    <row r="95">
      <c r="A95" s="202">
        <f>ROW()</f>
        <v>95</v>
      </c>
      <c r="B95" s="202" t="b">
        <f>ISTEXT('Proyecto Datos (OKR´s)'!$K95)</f>
        <v>0</v>
      </c>
      <c r="C95" s="202" t="b">
        <f>AND(LEN('Proyecto Datos (OKR´s)'!$G95)&gt;0,NOT($B95),OR(ISNUMBER('Proyecto Datos (OKR´s)'!$F95),ISNUMBER('Proyecto Datos (OKR´s)'!$L95)))</f>
        <v>0</v>
      </c>
      <c r="D95" s="203">
        <f>IF($C95,IFERROR(LOOKUP(2,1/((ISTEXT('Proyecto Datos (OKR´s)'!$K$7:$K95))*(LEN('Proyecto Datos (OKR´s)'!$G$7:$G95)&gt;0)),'Proyecto Datos (OKR´s)'!$G$7:$G95),""),"")</f>
      </c>
      <c r="E95" s="202">
        <f>IF($C95,'Proyecto Datos (OKR´s)'!$E95,"")</f>
      </c>
      <c r="F95" s="203">
        <f>IF($C95,'Proyecto Datos (OKR´s)'!$G95,"")</f>
      </c>
      <c r="G95" s="203">
        <f>IF($C95,IF('Proyecto Datos (OKR´s)'!$I95="","(Sin asignar)",'Proyecto Datos (OKR´s)'!$I95),"")</f>
      </c>
      <c r="H95" s="202">
        <f>IF($C95,IF(ISNUMBER('Proyecto Datos (OKR´s)'!$F95),'Proyecto Datos (OKR´s)'!$F95,""),"")</f>
      </c>
      <c r="I95" s="202">
        <f>IF($C95,'Proyecto Datos (OKR´s)'!$J95,"")</f>
      </c>
      <c r="J95" s="203">
        <f>IF($C95,IF($I95&gt;=1,"Completado",IF(NOT(ISNUMBER($H95)),"Sin fecha",IF($H95&lt;TODAY(),"Vencido",IF(($H95-TODAY())&lt;='Entregas Próximas'!$M$3,"Próximo a vencer","En curso")))),"")</f>
      </c>
      <c r="K95" s="202">
        <f>IF(AND($C95,ISNUMBER($H95)),$H95-TODAY(),"")</f>
      </c>
      <c r="L95" s="202">
        <f>IF(AND($C95,ISNUMBER($H95)),$AD95*1000000+$H95+ROW()/100000,"")</f>
      </c>
      <c r="M95" s="202">
        <f>IF($C95,IF($AD95=9999,"(Sin sprint)",$AD95),"")</f>
      </c>
      <c r="N95" s="202">
        <f>IF($C95,IF('Proyecto Datos (OKR´s)'!$E95="",9999,'Proyecto Datos (OKR´s)'!$E95),"")</f>
      </c>
      <c r="O95" s="202">
        <f>IF($C95,"T"&amp;TEXT(ROW(),"000"),"")</f>
      </c>
      <c r="R95" s="202">
        <f>IF($C95,IF(ISNUMBER('Proyecto Datos (OKR´s)'!$L95),'Proyecto Datos (OKR´s)'!$L95,$H95),"")</f>
      </c>
      <c r="S95" s="202">
        <f>IF($C95,$R95-'Proyecto Datos (OKR´s)'!$K95+1,"")</f>
      </c>
      <c r="T95" s="202">
        <f>IF($C95,MAX(0,TODAY()-'Proyecto Datos (OKR´s)'!$K95),"")</f>
      </c>
      <c r="U95" s="202">
        <f>IF($C95,MEDIAN(0,(TODAY()-'Proyecto Datos (OKR´s)'!$K95)/MAX(1,$R95-'Proyecto Datos (OKR´s)'!$K95),1),"")</f>
      </c>
      <c r="V95" s="202">
        <f>IF($C95,$I95-$U95,"")</f>
      </c>
      <c r="W95" s="202">
        <f>IF($C95,IF(OR($J95="Completado",NOT(ISNUMBER($H95))),0,MAX(0,TODAY()-$H95)),"")</f>
      </c>
      <c r="X95" s="202">
        <f>IF($C95,IF(ISNUMBER($H95),$R95-$H95,0),"")</f>
      </c>
      <c r="Y95" s="202">
        <f>IF($C95,COUNTIFS($G$7:$G$200,$G95,$J$7:$J$200,"&lt;&gt;Completado",$J$7:$J$200,"&lt;&gt;"),"")</f>
      </c>
      <c r="Z95" s="202">
        <f>IF($C95,AND($I95=0,'Proyecto Datos (OKR´s)'!$K95&lt;=TODAY(),$J95&lt;&gt;"Completado"),"")</f>
      </c>
      <c r="AA95" s="202">
        <f>IF($C95,ROUND(100*(0.35*$AK95+0.3*$AL95+0.2*$AM95+0.15*MEDIAN(0,($Y95-4)/8,1)),0),"")</f>
      </c>
      <c r="AB95" s="203">
        <f>IF($C95,IF(OR($J95="Completado",$J95="Sin fecha"),"—",IF($AA95&gt;=70,"Crítica",IF($AA95&gt;=45,"Alta",IF($AA95&gt;=25,"Media","Baja")))),"")</f>
      </c>
      <c r="AC95" s="203">
        <f>IF($C95,IF(LEN(TRIM($AN95))=0,"—",TRIM($AN95)),"")</f>
      </c>
      <c r="AD95" s="202">
        <f>IF($C95,$AV95,"")</f>
      </c>
      <c r="AE95" s="202">
        <f>IF($C95,$AZ95,"")</f>
      </c>
      <c r="AF95" s="202" t="b">
        <f>IF($C95,$AV95&lt;&gt;$AR95,FALSE)</f>
        <v>0</v>
      </c>
      <c r="AG95" s="202">
        <f>IF($C95,IF($AV95&lt;&gt;$AR95,$AW95,""),"")</f>
      </c>
      <c r="AH95" s="203">
        <f>IF($C95,IF(ISBLANK('Backlog General'!$K95),"",'Backlog General'!$K95),"")</f>
      </c>
      <c r="AI95" s="202">
        <f>IF($C95,$AV95*100000+ROW(),"")</f>
      </c>
      <c r="AJ95" s="202">
        <f>IF(AND($C95,ISNUMBER($H95)),$AA95*1000000-MEDIAN(-9999,$K95,9999)*100+(300-ROW()),"")</f>
      </c>
      <c r="AK95" s="202">
        <f>IF($C95,IF($J95="Completado",0,IF($K95&lt;0,1,IF($K95&lt;=3,0.9,IF($K95&lt;=7,0.7,IF($K95&lt;=14,0.45,0.2))))),"")</f>
      </c>
      <c r="AL95" s="202">
        <f>IF($C95,IF($J95="Completado",0,MEDIAN(0,MAX(-$V95,$W95/30),1)),"")</f>
      </c>
      <c r="AM95" s="202">
        <f>IF($C95,IF($J95="Completado",0,IF($Z95,1,IF(AND($I95&lt;0.5,$K95&lt;=7),0.7,0.3))),"")</f>
      </c>
      <c r="AN95" s="203">
        <f>IF($C95,IF(OR($V95&lt;-0.2,$W95&gt;0),"ATRASO ","")&amp;IF($Z95,"BLOQUEO ","")&amp;IF($Y95&gt;8,"SOBRECARGA ","")&amp;IF($X95&gt;0,"DESVÍO-PLAN ",""),"")</f>
      </c>
      <c r="AO95" s="203">
        <f>IF($C95,IFERROR(VLOOKUP($D95,'Sprints'!$I$5:$J$12,2,FALSE),"Semanal"),"")</f>
      </c>
      <c r="AP95" s="202">
        <f>IF($C95,IFERROR(VLOOKUP($AO95,'Sprints'!$B$9:$C$11,2,FALSE),1),"")</f>
      </c>
      <c r="AQ95" s="202">
        <f>IF($C95,'Sprints'!$C$5,"")</f>
      </c>
      <c r="AR95" s="202">
        <f>IF(AND($C95,ISNUMBER($H95)),CEILING(MAX(1,INT(($H95-$AQ95+'Sprints'!$D$5-1)/'Sprints'!$D$5)+1)/$AP95,1),"")</f>
      </c>
      <c r="AS95" s="202">
        <f>IF($C95,CEILING(MAX(1,INT((TODAY()-$AQ95+'Sprints'!$D$5-1)/'Sprints'!$D$5)+1)/$AP95,1),"")</f>
      </c>
      <c r="AT95" s="203">
        <f>IF($C95,'Backlog General'!$G95,"")</f>
      </c>
      <c r="AU95" s="203">
        <f>IF($C95,'Backlog General'!$H95,"")</f>
      </c>
      <c r="AV95" s="202">
        <f>IF(AND($C95,ISNUMBER($AR95)),IF(OR($AT95="Completo",$AU95="Cancelado",$AU95="Baja prioridad"),$AR95,IF($AU95="Pasa al siguiente",MAX($AR95+1,$AS95),MAX($AR95,$AS95))),"")</f>
      </c>
      <c r="AW95" s="202">
        <f>IF(AND($C95,ISNUMBER($AR95)),$AQ95+$AR95*$AP95*'Sprints'!$D$5-'Sprints'!$D$5,"")</f>
      </c>
      <c r="AX95" s="202">
        <f>IF($C95,IF(OR($AT95="Completo",$AU95="Cancelado",$AU95="Baja prioridad",NOT(ISNUMBER($AW95))),0,IF(TODAY()&gt;$AW95,NETWORKDAYS($AW95,TODAY(),'Sprints'!$L$5:$L$40)-1,0)),"")</f>
      </c>
      <c r="AY95" s="203">
        <f>IF($C95,IF(NOT(ISNUMBER($AR95)),"Sin fecha",IF($AT95="Completo","Completo",IF($AU95="Cancelado","Cancelado",IF($AU95="Baja prioridad","Baja prioridad",IF($AX95&gt;0,"Vencida","Pendiente"))))),"")</f>
      </c>
      <c r="AZ95" s="203">
        <f>IF($C95,IF(ISNUMBER($AV95),$AO95&amp;" · S"&amp;$AV95,"(Sin fecha)"),"")</f>
      </c>
      <c r="BA95" s="202">
        <f>IF($C95,IF(AND(ISNUMBER('Backlog General'!$M95),'Backlog General'!$M95=$AS95),"Nuevo S"&amp;'Backlog General'!$M95,""),"")</f>
      </c>
      <c r="BB95" s="202">
        <f>IF(AND($C95,$AO95="Semanal",ISNUMBER($AV95)),$AV95*100000+ROW(),"")</f>
      </c>
      <c r="BC95" s="202">
        <f>IF(AND($C95,$AO95="Quincenal",ISNUMBER($AV95)),$AV95*100000+ROW(),"")</f>
      </c>
      <c r="BD95" s="202">
        <f>IF(AND($C95,$AO95="Mensual",ISNUMBER($AV95)),$AV95*100000+ROW(),"")</f>
      </c>
      <c r="BE95" s="203">
        <f>IF($C95,IF(ISBLANK('Backlog General'!$J95),"",'Backlog General'!$J95),"")</f>
      </c>
      <c r="BF95" s="203">
        <f>IF($C95,IF($BE95="","",$BE95)&amp;IF(AND($BE95&lt;&gt;"",$AH95&lt;&gt;"")," · ","")&amp;IF($AH95="","",$AH95),"")</f>
      </c>
      <c r="BG95" s="203">
        <f>IF($C95,IF($J95="Completado","Sí","No"),"")</f>
      </c>
      <c r="BH95" s="202">
        <f>IF(AND($C95,ISNUMBER($AR95)),IF($AO95="Semanal",1,IF($AO95="Quincenal",2,3))*1000000000+$AR95*100000+ROW(),"")</f>
      </c>
    </row>
    <row r="96">
      <c r="A96" s="202">
        <f>ROW()</f>
        <v>96</v>
      </c>
      <c r="B96" s="202" t="b">
        <f>ISTEXT('Proyecto Datos (OKR´s)'!$K96)</f>
        <v>0</v>
      </c>
      <c r="C96" s="202" t="b">
        <f>AND(LEN('Proyecto Datos (OKR´s)'!$G96)&gt;0,NOT($B96),OR(ISNUMBER('Proyecto Datos (OKR´s)'!$F96),ISNUMBER('Proyecto Datos (OKR´s)'!$L96)))</f>
        <v>0</v>
      </c>
      <c r="D96" s="203">
        <f>IF($C96,IFERROR(LOOKUP(2,1/((ISTEXT('Proyecto Datos (OKR´s)'!$K$7:$K96))*(LEN('Proyecto Datos (OKR´s)'!$G$7:$G96)&gt;0)),'Proyecto Datos (OKR´s)'!$G$7:$G96),""),"")</f>
      </c>
      <c r="E96" s="202">
        <f>IF($C96,'Proyecto Datos (OKR´s)'!$E96,"")</f>
      </c>
      <c r="F96" s="203">
        <f>IF($C96,'Proyecto Datos (OKR´s)'!$G96,"")</f>
      </c>
      <c r="G96" s="203">
        <f>IF($C96,IF('Proyecto Datos (OKR´s)'!$I96="","(Sin asignar)",'Proyecto Datos (OKR´s)'!$I96),"")</f>
      </c>
      <c r="H96" s="202">
        <f>IF($C96,IF(ISNUMBER('Proyecto Datos (OKR´s)'!$F96),'Proyecto Datos (OKR´s)'!$F96,""),"")</f>
      </c>
      <c r="I96" s="202">
        <f>IF($C96,'Proyecto Datos (OKR´s)'!$J96,"")</f>
      </c>
      <c r="J96" s="203">
        <f>IF($C96,IF($I96&gt;=1,"Completado",IF(NOT(ISNUMBER($H96)),"Sin fecha",IF($H96&lt;TODAY(),"Vencido",IF(($H96-TODAY())&lt;='Entregas Próximas'!$M$3,"Próximo a vencer","En curso")))),"")</f>
      </c>
      <c r="K96" s="202">
        <f>IF(AND($C96,ISNUMBER($H96)),$H96-TODAY(),"")</f>
      </c>
      <c r="L96" s="202">
        <f>IF(AND($C96,ISNUMBER($H96)),$AD96*1000000+$H96+ROW()/100000,"")</f>
      </c>
      <c r="M96" s="202">
        <f>IF($C96,IF($AD96=9999,"(Sin sprint)",$AD96),"")</f>
      </c>
      <c r="N96" s="202">
        <f>IF($C96,IF('Proyecto Datos (OKR´s)'!$E96="",9999,'Proyecto Datos (OKR´s)'!$E96),"")</f>
      </c>
      <c r="O96" s="202">
        <f>IF($C96,"T"&amp;TEXT(ROW(),"000"),"")</f>
      </c>
      <c r="R96" s="202">
        <f>IF($C96,IF(ISNUMBER('Proyecto Datos (OKR´s)'!$L96),'Proyecto Datos (OKR´s)'!$L96,$H96),"")</f>
      </c>
      <c r="S96" s="202">
        <f>IF($C96,$R96-'Proyecto Datos (OKR´s)'!$K96+1,"")</f>
      </c>
      <c r="T96" s="202">
        <f>IF($C96,MAX(0,TODAY()-'Proyecto Datos (OKR´s)'!$K96),"")</f>
      </c>
      <c r="U96" s="202">
        <f>IF($C96,MEDIAN(0,(TODAY()-'Proyecto Datos (OKR´s)'!$K96)/MAX(1,$R96-'Proyecto Datos (OKR´s)'!$K96),1),"")</f>
      </c>
      <c r="V96" s="202">
        <f>IF($C96,$I96-$U96,"")</f>
      </c>
      <c r="W96" s="202">
        <f>IF($C96,IF(OR($J96="Completado",NOT(ISNUMBER($H96))),0,MAX(0,TODAY()-$H96)),"")</f>
      </c>
      <c r="X96" s="202">
        <f>IF($C96,IF(ISNUMBER($H96),$R96-$H96,0),"")</f>
      </c>
      <c r="Y96" s="202">
        <f>IF($C96,COUNTIFS($G$7:$G$200,$G96,$J$7:$J$200,"&lt;&gt;Completado",$J$7:$J$200,"&lt;&gt;"),"")</f>
      </c>
      <c r="Z96" s="202">
        <f>IF($C96,AND($I96=0,'Proyecto Datos (OKR´s)'!$K96&lt;=TODAY(),$J96&lt;&gt;"Completado"),"")</f>
      </c>
      <c r="AA96" s="202">
        <f>IF($C96,ROUND(100*(0.35*$AK96+0.3*$AL96+0.2*$AM96+0.15*MEDIAN(0,($Y96-4)/8,1)),0),"")</f>
      </c>
      <c r="AB96" s="203">
        <f>IF($C96,IF(OR($J96="Completado",$J96="Sin fecha"),"—",IF($AA96&gt;=70,"Crítica",IF($AA96&gt;=45,"Alta",IF($AA96&gt;=25,"Media","Baja")))),"")</f>
      </c>
      <c r="AC96" s="203">
        <f>IF($C96,IF(LEN(TRIM($AN96))=0,"—",TRIM($AN96)),"")</f>
      </c>
      <c r="AD96" s="202">
        <f>IF($C96,$AV96,"")</f>
      </c>
      <c r="AE96" s="202">
        <f>IF($C96,$AZ96,"")</f>
      </c>
      <c r="AF96" s="202" t="b">
        <f>IF($C96,$AV96&lt;&gt;$AR96,FALSE)</f>
        <v>0</v>
      </c>
      <c r="AG96" s="202">
        <f>IF($C96,IF($AV96&lt;&gt;$AR96,$AW96,""),"")</f>
      </c>
      <c r="AH96" s="203">
        <f>IF($C96,IF(ISBLANK('Backlog General'!$K96),"",'Backlog General'!$K96),"")</f>
      </c>
      <c r="AI96" s="202">
        <f>IF($C96,$AV96*100000+ROW(),"")</f>
      </c>
      <c r="AJ96" s="202">
        <f>IF(AND($C96,ISNUMBER($H96)),$AA96*1000000-MEDIAN(-9999,$K96,9999)*100+(300-ROW()),"")</f>
      </c>
      <c r="AK96" s="202">
        <f>IF($C96,IF($J96="Completado",0,IF($K96&lt;0,1,IF($K96&lt;=3,0.9,IF($K96&lt;=7,0.7,IF($K96&lt;=14,0.45,0.2))))),"")</f>
      </c>
      <c r="AL96" s="202">
        <f>IF($C96,IF($J96="Completado",0,MEDIAN(0,MAX(-$V96,$W96/30),1)),"")</f>
      </c>
      <c r="AM96" s="202">
        <f>IF($C96,IF($J96="Completado",0,IF($Z96,1,IF(AND($I96&lt;0.5,$K96&lt;=7),0.7,0.3))),"")</f>
      </c>
      <c r="AN96" s="203">
        <f>IF($C96,IF(OR($V96&lt;-0.2,$W96&gt;0),"ATRASO ","")&amp;IF($Z96,"BLOQUEO ","")&amp;IF($Y96&gt;8,"SOBRECARGA ","")&amp;IF($X96&gt;0,"DESVÍO-PLAN ",""),"")</f>
      </c>
      <c r="AO96" s="203">
        <f>IF($C96,IFERROR(VLOOKUP($D96,'Sprints'!$I$5:$J$12,2,FALSE),"Semanal"),"")</f>
      </c>
      <c r="AP96" s="202">
        <f>IF($C96,IFERROR(VLOOKUP($AO96,'Sprints'!$B$9:$C$11,2,FALSE),1),"")</f>
      </c>
      <c r="AQ96" s="202">
        <f>IF($C96,'Sprints'!$C$5,"")</f>
      </c>
      <c r="AR96" s="202">
        <f>IF(AND($C96,ISNUMBER($H96)),CEILING(MAX(1,INT(($H96-$AQ96+'Sprints'!$D$5-1)/'Sprints'!$D$5)+1)/$AP96,1),"")</f>
      </c>
      <c r="AS96" s="202">
        <f>IF($C96,CEILING(MAX(1,INT((TODAY()-$AQ96+'Sprints'!$D$5-1)/'Sprints'!$D$5)+1)/$AP96,1),"")</f>
      </c>
      <c r="AT96" s="203">
        <f>IF($C96,'Backlog General'!$G96,"")</f>
      </c>
      <c r="AU96" s="203">
        <f>IF($C96,'Backlog General'!$H96,"")</f>
      </c>
      <c r="AV96" s="202">
        <f>IF(AND($C96,ISNUMBER($AR96)),IF(OR($AT96="Completo",$AU96="Cancelado",$AU96="Baja prioridad"),$AR96,IF($AU96="Pasa al siguiente",MAX($AR96+1,$AS96),MAX($AR96,$AS96))),"")</f>
      </c>
      <c r="AW96" s="202">
        <f>IF(AND($C96,ISNUMBER($AR96)),$AQ96+$AR96*$AP96*'Sprints'!$D$5-'Sprints'!$D$5,"")</f>
      </c>
      <c r="AX96" s="202">
        <f>IF($C96,IF(OR($AT96="Completo",$AU96="Cancelado",$AU96="Baja prioridad",NOT(ISNUMBER($AW96))),0,IF(TODAY()&gt;$AW96,NETWORKDAYS($AW96,TODAY(),'Sprints'!$L$5:$L$40)-1,0)),"")</f>
      </c>
      <c r="AY96" s="203">
        <f>IF($C96,IF(NOT(ISNUMBER($AR96)),"Sin fecha",IF($AT96="Completo","Completo",IF($AU96="Cancelado","Cancelado",IF($AU96="Baja prioridad","Baja prioridad",IF($AX96&gt;0,"Vencida","Pendiente"))))),"")</f>
      </c>
      <c r="AZ96" s="203">
        <f>IF($C96,IF(ISNUMBER($AV96),$AO96&amp;" · S"&amp;$AV96,"(Sin fecha)"),"")</f>
      </c>
      <c r="BA96" s="202">
        <f>IF($C96,IF(AND(ISNUMBER('Backlog General'!$M96),'Backlog General'!$M96=$AS96),"Nuevo S"&amp;'Backlog General'!$M96,""),"")</f>
      </c>
      <c r="BB96" s="202">
        <f>IF(AND($C96,$AO96="Semanal",ISNUMBER($AV96)),$AV96*100000+ROW(),"")</f>
      </c>
      <c r="BC96" s="202">
        <f>IF(AND($C96,$AO96="Quincenal",ISNUMBER($AV96)),$AV96*100000+ROW(),"")</f>
      </c>
      <c r="BD96" s="202">
        <f>IF(AND($C96,$AO96="Mensual",ISNUMBER($AV96)),$AV96*100000+ROW(),"")</f>
      </c>
      <c r="BE96" s="203">
        <f>IF($C96,IF(ISBLANK('Backlog General'!$J96),"",'Backlog General'!$J96),"")</f>
      </c>
      <c r="BF96" s="203">
        <f>IF($C96,IF($BE96="","",$BE96)&amp;IF(AND($BE96&lt;&gt;"",$AH96&lt;&gt;"")," · ","")&amp;IF($AH96="","",$AH96),"")</f>
      </c>
      <c r="BG96" s="203">
        <f>IF($C96,IF($J96="Completado","Sí","No"),"")</f>
      </c>
      <c r="BH96" s="202">
        <f>IF(AND($C96,ISNUMBER($AR96)),IF($AO96="Semanal",1,IF($AO96="Quincenal",2,3))*1000000000+$AR96*100000+ROW(),"")</f>
      </c>
    </row>
    <row r="97">
      <c r="A97" s="202">
        <f>ROW()</f>
        <v>97</v>
      </c>
      <c r="B97" s="202" t="b">
        <f>ISTEXT('Proyecto Datos (OKR´s)'!$K97)</f>
        <v>0</v>
      </c>
      <c r="C97" s="202" t="b">
        <f>AND(LEN('Proyecto Datos (OKR´s)'!$G97)&gt;0,NOT($B97),OR(ISNUMBER('Proyecto Datos (OKR´s)'!$F97),ISNUMBER('Proyecto Datos (OKR´s)'!$L97)))</f>
        <v>0</v>
      </c>
      <c r="D97" s="203">
        <f>IF($C97,IFERROR(LOOKUP(2,1/((ISTEXT('Proyecto Datos (OKR´s)'!$K$7:$K97))*(LEN('Proyecto Datos (OKR´s)'!$G$7:$G97)&gt;0)),'Proyecto Datos (OKR´s)'!$G$7:$G97),""),"")</f>
      </c>
      <c r="E97" s="202">
        <f>IF($C97,'Proyecto Datos (OKR´s)'!$E97,"")</f>
      </c>
      <c r="F97" s="203">
        <f>IF($C97,'Proyecto Datos (OKR´s)'!$G97,"")</f>
      </c>
      <c r="G97" s="203">
        <f>IF($C97,IF('Proyecto Datos (OKR´s)'!$I97="","(Sin asignar)",'Proyecto Datos (OKR´s)'!$I97),"")</f>
      </c>
      <c r="H97" s="202">
        <f>IF($C97,IF(ISNUMBER('Proyecto Datos (OKR´s)'!$F97),'Proyecto Datos (OKR´s)'!$F97,""),"")</f>
      </c>
      <c r="I97" s="202">
        <f>IF($C97,'Proyecto Datos (OKR´s)'!$J97,"")</f>
      </c>
      <c r="J97" s="203">
        <f>IF($C97,IF($I97&gt;=1,"Completado",IF(NOT(ISNUMBER($H97)),"Sin fecha",IF($H97&lt;TODAY(),"Vencido",IF(($H97-TODAY())&lt;='Entregas Próximas'!$M$3,"Próximo a vencer","En curso")))),"")</f>
      </c>
      <c r="K97" s="202">
        <f>IF(AND($C97,ISNUMBER($H97)),$H97-TODAY(),"")</f>
      </c>
      <c r="L97" s="202">
        <f>IF(AND($C97,ISNUMBER($H97)),$AD97*1000000+$H97+ROW()/100000,"")</f>
      </c>
      <c r="M97" s="202">
        <f>IF($C97,IF($AD97=9999,"(Sin sprint)",$AD97),"")</f>
      </c>
      <c r="N97" s="202">
        <f>IF($C97,IF('Proyecto Datos (OKR´s)'!$E97="",9999,'Proyecto Datos (OKR´s)'!$E97),"")</f>
      </c>
      <c r="O97" s="202">
        <f>IF($C97,"T"&amp;TEXT(ROW(),"000"),"")</f>
      </c>
      <c r="R97" s="202">
        <f>IF($C97,IF(ISNUMBER('Proyecto Datos (OKR´s)'!$L97),'Proyecto Datos (OKR´s)'!$L97,$H97),"")</f>
      </c>
      <c r="S97" s="202">
        <f>IF($C97,$R97-'Proyecto Datos (OKR´s)'!$K97+1,"")</f>
      </c>
      <c r="T97" s="202">
        <f>IF($C97,MAX(0,TODAY()-'Proyecto Datos (OKR´s)'!$K97),"")</f>
      </c>
      <c r="U97" s="202">
        <f>IF($C97,MEDIAN(0,(TODAY()-'Proyecto Datos (OKR´s)'!$K97)/MAX(1,$R97-'Proyecto Datos (OKR´s)'!$K97),1),"")</f>
      </c>
      <c r="V97" s="202">
        <f>IF($C97,$I97-$U97,"")</f>
      </c>
      <c r="W97" s="202">
        <f>IF($C97,IF(OR($J97="Completado",NOT(ISNUMBER($H97))),0,MAX(0,TODAY()-$H97)),"")</f>
      </c>
      <c r="X97" s="202">
        <f>IF($C97,IF(ISNUMBER($H97),$R97-$H97,0),"")</f>
      </c>
      <c r="Y97" s="202">
        <f>IF($C97,COUNTIFS($G$7:$G$200,$G97,$J$7:$J$200,"&lt;&gt;Completado",$J$7:$J$200,"&lt;&gt;"),"")</f>
      </c>
      <c r="Z97" s="202">
        <f>IF($C97,AND($I97=0,'Proyecto Datos (OKR´s)'!$K97&lt;=TODAY(),$J97&lt;&gt;"Completado"),"")</f>
      </c>
      <c r="AA97" s="202">
        <f>IF($C97,ROUND(100*(0.35*$AK97+0.3*$AL97+0.2*$AM97+0.15*MEDIAN(0,($Y97-4)/8,1)),0),"")</f>
      </c>
      <c r="AB97" s="203">
        <f>IF($C97,IF(OR($J97="Completado",$J97="Sin fecha"),"—",IF($AA97&gt;=70,"Crítica",IF($AA97&gt;=45,"Alta",IF($AA97&gt;=25,"Media","Baja")))),"")</f>
      </c>
      <c r="AC97" s="203">
        <f>IF($C97,IF(LEN(TRIM($AN97))=0,"—",TRIM($AN97)),"")</f>
      </c>
      <c r="AD97" s="202">
        <f>IF($C97,$AV97,"")</f>
      </c>
      <c r="AE97" s="202">
        <f>IF($C97,$AZ97,"")</f>
      </c>
      <c r="AF97" s="202" t="b">
        <f>IF($C97,$AV97&lt;&gt;$AR97,FALSE)</f>
        <v>0</v>
      </c>
      <c r="AG97" s="202">
        <f>IF($C97,IF($AV97&lt;&gt;$AR97,$AW97,""),"")</f>
      </c>
      <c r="AH97" s="203">
        <f>IF($C97,IF(ISBLANK('Backlog General'!$K97),"",'Backlog General'!$K97),"")</f>
      </c>
      <c r="AI97" s="202">
        <f>IF($C97,$AV97*100000+ROW(),"")</f>
      </c>
      <c r="AJ97" s="202">
        <f>IF(AND($C97,ISNUMBER($H97)),$AA97*1000000-MEDIAN(-9999,$K97,9999)*100+(300-ROW()),"")</f>
      </c>
      <c r="AK97" s="202">
        <f>IF($C97,IF($J97="Completado",0,IF($K97&lt;0,1,IF($K97&lt;=3,0.9,IF($K97&lt;=7,0.7,IF($K97&lt;=14,0.45,0.2))))),"")</f>
      </c>
      <c r="AL97" s="202">
        <f>IF($C97,IF($J97="Completado",0,MEDIAN(0,MAX(-$V97,$W97/30),1)),"")</f>
      </c>
      <c r="AM97" s="202">
        <f>IF($C97,IF($J97="Completado",0,IF($Z97,1,IF(AND($I97&lt;0.5,$K97&lt;=7),0.7,0.3))),"")</f>
      </c>
      <c r="AN97" s="203">
        <f>IF($C97,IF(OR($V97&lt;-0.2,$W97&gt;0),"ATRASO ","")&amp;IF($Z97,"BLOQUEO ","")&amp;IF($Y97&gt;8,"SOBRECARGA ","")&amp;IF($X97&gt;0,"DESVÍO-PLAN ",""),"")</f>
      </c>
      <c r="AO97" s="203">
        <f>IF($C97,IFERROR(VLOOKUP($D97,'Sprints'!$I$5:$J$12,2,FALSE),"Semanal"),"")</f>
      </c>
      <c r="AP97" s="202">
        <f>IF($C97,IFERROR(VLOOKUP($AO97,'Sprints'!$B$9:$C$11,2,FALSE),1),"")</f>
      </c>
      <c r="AQ97" s="202">
        <f>IF($C97,'Sprints'!$C$5,"")</f>
      </c>
      <c r="AR97" s="202">
        <f>IF(AND($C97,ISNUMBER($H97)),CEILING(MAX(1,INT(($H97-$AQ97+'Sprints'!$D$5-1)/'Sprints'!$D$5)+1)/$AP97,1),"")</f>
      </c>
      <c r="AS97" s="202">
        <f>IF($C97,CEILING(MAX(1,INT((TODAY()-$AQ97+'Sprints'!$D$5-1)/'Sprints'!$D$5)+1)/$AP97,1),"")</f>
      </c>
      <c r="AT97" s="203">
        <f>IF($C97,'Backlog General'!$G97,"")</f>
      </c>
      <c r="AU97" s="203">
        <f>IF($C97,'Backlog General'!$H97,"")</f>
      </c>
      <c r="AV97" s="202">
        <f>IF(AND($C97,ISNUMBER($AR97)),IF(OR($AT97="Completo",$AU97="Cancelado",$AU97="Baja prioridad"),$AR97,IF($AU97="Pasa al siguiente",MAX($AR97+1,$AS97),MAX($AR97,$AS97))),"")</f>
      </c>
      <c r="AW97" s="202">
        <f>IF(AND($C97,ISNUMBER($AR97)),$AQ97+$AR97*$AP97*'Sprints'!$D$5-'Sprints'!$D$5,"")</f>
      </c>
      <c r="AX97" s="202">
        <f>IF($C97,IF(OR($AT97="Completo",$AU97="Cancelado",$AU97="Baja prioridad",NOT(ISNUMBER($AW97))),0,IF(TODAY()&gt;$AW97,NETWORKDAYS($AW97,TODAY(),'Sprints'!$L$5:$L$40)-1,0)),"")</f>
      </c>
      <c r="AY97" s="203">
        <f>IF($C97,IF(NOT(ISNUMBER($AR97)),"Sin fecha",IF($AT97="Completo","Completo",IF($AU97="Cancelado","Cancelado",IF($AU97="Baja prioridad","Baja prioridad",IF($AX97&gt;0,"Vencida","Pendiente"))))),"")</f>
      </c>
      <c r="AZ97" s="203">
        <f>IF($C97,IF(ISNUMBER($AV97),$AO97&amp;" · S"&amp;$AV97,"(Sin fecha)"),"")</f>
      </c>
      <c r="BA97" s="202">
        <f>IF($C97,IF(AND(ISNUMBER('Backlog General'!$M97),'Backlog General'!$M97=$AS97),"Nuevo S"&amp;'Backlog General'!$M97,""),"")</f>
      </c>
      <c r="BB97" s="202">
        <f>IF(AND($C97,$AO97="Semanal",ISNUMBER($AV97)),$AV97*100000+ROW(),"")</f>
      </c>
      <c r="BC97" s="202">
        <f>IF(AND($C97,$AO97="Quincenal",ISNUMBER($AV97)),$AV97*100000+ROW(),"")</f>
      </c>
      <c r="BD97" s="202">
        <f>IF(AND($C97,$AO97="Mensual",ISNUMBER($AV97)),$AV97*100000+ROW(),"")</f>
      </c>
      <c r="BE97" s="203">
        <f>IF($C97,IF(ISBLANK('Backlog General'!$J97),"",'Backlog General'!$J97),"")</f>
      </c>
      <c r="BF97" s="203">
        <f>IF($C97,IF($BE97="","",$BE97)&amp;IF(AND($BE97&lt;&gt;"",$AH97&lt;&gt;"")," · ","")&amp;IF($AH97="","",$AH97),"")</f>
      </c>
      <c r="BG97" s="203">
        <f>IF($C97,IF($J97="Completado","Sí","No"),"")</f>
      </c>
      <c r="BH97" s="202">
        <f>IF(AND($C97,ISNUMBER($AR97)),IF($AO97="Semanal",1,IF($AO97="Quincenal",2,3))*1000000000+$AR97*100000+ROW(),"")</f>
      </c>
    </row>
    <row r="98">
      <c r="A98" s="202">
        <f>ROW()</f>
        <v>98</v>
      </c>
      <c r="B98" s="202" t="b">
        <f>ISTEXT('Proyecto Datos (OKR´s)'!$K98)</f>
        <v>0</v>
      </c>
      <c r="C98" s="202" t="b">
        <f>AND(LEN('Proyecto Datos (OKR´s)'!$G98)&gt;0,NOT($B98),OR(ISNUMBER('Proyecto Datos (OKR´s)'!$F98),ISNUMBER('Proyecto Datos (OKR´s)'!$L98)))</f>
        <v>0</v>
      </c>
      <c r="D98" s="203">
        <f>IF($C98,IFERROR(LOOKUP(2,1/((ISTEXT('Proyecto Datos (OKR´s)'!$K$7:$K98))*(LEN('Proyecto Datos (OKR´s)'!$G$7:$G98)&gt;0)),'Proyecto Datos (OKR´s)'!$G$7:$G98),""),"")</f>
      </c>
      <c r="E98" s="202">
        <f>IF($C98,'Proyecto Datos (OKR´s)'!$E98,"")</f>
      </c>
      <c r="F98" s="203">
        <f>IF($C98,'Proyecto Datos (OKR´s)'!$G98,"")</f>
      </c>
      <c r="G98" s="203">
        <f>IF($C98,IF('Proyecto Datos (OKR´s)'!$I98="","(Sin asignar)",'Proyecto Datos (OKR´s)'!$I98),"")</f>
      </c>
      <c r="H98" s="202">
        <f>IF($C98,IF(ISNUMBER('Proyecto Datos (OKR´s)'!$F98),'Proyecto Datos (OKR´s)'!$F98,""),"")</f>
      </c>
      <c r="I98" s="202">
        <f>IF($C98,'Proyecto Datos (OKR´s)'!$J98,"")</f>
      </c>
      <c r="J98" s="203">
        <f>IF($C98,IF($I98&gt;=1,"Completado",IF(NOT(ISNUMBER($H98)),"Sin fecha",IF($H98&lt;TODAY(),"Vencido",IF(($H98-TODAY())&lt;='Entregas Próximas'!$M$3,"Próximo a vencer","En curso")))),"")</f>
      </c>
      <c r="K98" s="202">
        <f>IF(AND($C98,ISNUMBER($H98)),$H98-TODAY(),"")</f>
      </c>
      <c r="L98" s="202">
        <f>IF(AND($C98,ISNUMBER($H98)),$AD98*1000000+$H98+ROW()/100000,"")</f>
      </c>
      <c r="M98" s="202">
        <f>IF($C98,IF($AD98=9999,"(Sin sprint)",$AD98),"")</f>
      </c>
      <c r="N98" s="202">
        <f>IF($C98,IF('Proyecto Datos (OKR´s)'!$E98="",9999,'Proyecto Datos (OKR´s)'!$E98),"")</f>
      </c>
      <c r="O98" s="202">
        <f>IF($C98,"T"&amp;TEXT(ROW(),"000"),"")</f>
      </c>
      <c r="R98" s="202">
        <f>IF($C98,IF(ISNUMBER('Proyecto Datos (OKR´s)'!$L98),'Proyecto Datos (OKR´s)'!$L98,$H98),"")</f>
      </c>
      <c r="S98" s="202">
        <f>IF($C98,$R98-'Proyecto Datos (OKR´s)'!$K98+1,"")</f>
      </c>
      <c r="T98" s="202">
        <f>IF($C98,MAX(0,TODAY()-'Proyecto Datos (OKR´s)'!$K98),"")</f>
      </c>
      <c r="U98" s="202">
        <f>IF($C98,MEDIAN(0,(TODAY()-'Proyecto Datos (OKR´s)'!$K98)/MAX(1,$R98-'Proyecto Datos (OKR´s)'!$K98),1),"")</f>
      </c>
      <c r="V98" s="202">
        <f>IF($C98,$I98-$U98,"")</f>
      </c>
      <c r="W98" s="202">
        <f>IF($C98,IF(OR($J98="Completado",NOT(ISNUMBER($H98))),0,MAX(0,TODAY()-$H98)),"")</f>
      </c>
      <c r="X98" s="202">
        <f>IF($C98,IF(ISNUMBER($H98),$R98-$H98,0),"")</f>
      </c>
      <c r="Y98" s="202">
        <f>IF($C98,COUNTIFS($G$7:$G$200,$G98,$J$7:$J$200,"&lt;&gt;Completado",$J$7:$J$200,"&lt;&gt;"),"")</f>
      </c>
      <c r="Z98" s="202">
        <f>IF($C98,AND($I98=0,'Proyecto Datos (OKR´s)'!$K98&lt;=TODAY(),$J98&lt;&gt;"Completado"),"")</f>
      </c>
      <c r="AA98" s="202">
        <f>IF($C98,ROUND(100*(0.35*$AK98+0.3*$AL98+0.2*$AM98+0.15*MEDIAN(0,($Y98-4)/8,1)),0),"")</f>
      </c>
      <c r="AB98" s="203">
        <f>IF($C98,IF(OR($J98="Completado",$J98="Sin fecha"),"—",IF($AA98&gt;=70,"Crítica",IF($AA98&gt;=45,"Alta",IF($AA98&gt;=25,"Media","Baja")))),"")</f>
      </c>
      <c r="AC98" s="203">
        <f>IF($C98,IF(LEN(TRIM($AN98))=0,"—",TRIM($AN98)),"")</f>
      </c>
      <c r="AD98" s="202">
        <f>IF($C98,$AV98,"")</f>
      </c>
      <c r="AE98" s="202">
        <f>IF($C98,$AZ98,"")</f>
      </c>
      <c r="AF98" s="202" t="b">
        <f>IF($C98,$AV98&lt;&gt;$AR98,FALSE)</f>
        <v>0</v>
      </c>
      <c r="AG98" s="202">
        <f>IF($C98,IF($AV98&lt;&gt;$AR98,$AW98,""),"")</f>
      </c>
      <c r="AH98" s="203">
        <f>IF($C98,IF(ISBLANK('Backlog General'!$K98),"",'Backlog General'!$K98),"")</f>
      </c>
      <c r="AI98" s="202">
        <f>IF($C98,$AV98*100000+ROW(),"")</f>
      </c>
      <c r="AJ98" s="202">
        <f>IF(AND($C98,ISNUMBER($H98)),$AA98*1000000-MEDIAN(-9999,$K98,9999)*100+(300-ROW()),"")</f>
      </c>
      <c r="AK98" s="202">
        <f>IF($C98,IF($J98="Completado",0,IF($K98&lt;0,1,IF($K98&lt;=3,0.9,IF($K98&lt;=7,0.7,IF($K98&lt;=14,0.45,0.2))))),"")</f>
      </c>
      <c r="AL98" s="202">
        <f>IF($C98,IF($J98="Completado",0,MEDIAN(0,MAX(-$V98,$W98/30),1)),"")</f>
      </c>
      <c r="AM98" s="202">
        <f>IF($C98,IF($J98="Completado",0,IF($Z98,1,IF(AND($I98&lt;0.5,$K98&lt;=7),0.7,0.3))),"")</f>
      </c>
      <c r="AN98" s="203">
        <f>IF($C98,IF(OR($V98&lt;-0.2,$W98&gt;0),"ATRASO ","")&amp;IF($Z98,"BLOQUEO ","")&amp;IF($Y98&gt;8,"SOBRECARGA ","")&amp;IF($X98&gt;0,"DESVÍO-PLAN ",""),"")</f>
      </c>
      <c r="AO98" s="203">
        <f>IF($C98,IFERROR(VLOOKUP($D98,'Sprints'!$I$5:$J$12,2,FALSE),"Semanal"),"")</f>
      </c>
      <c r="AP98" s="202">
        <f>IF($C98,IFERROR(VLOOKUP($AO98,'Sprints'!$B$9:$C$11,2,FALSE),1),"")</f>
      </c>
      <c r="AQ98" s="202">
        <f>IF($C98,'Sprints'!$C$5,"")</f>
      </c>
      <c r="AR98" s="202">
        <f>IF(AND($C98,ISNUMBER($H98)),CEILING(MAX(1,INT(($H98-$AQ98+'Sprints'!$D$5-1)/'Sprints'!$D$5)+1)/$AP98,1),"")</f>
      </c>
      <c r="AS98" s="202">
        <f>IF($C98,CEILING(MAX(1,INT((TODAY()-$AQ98+'Sprints'!$D$5-1)/'Sprints'!$D$5)+1)/$AP98,1),"")</f>
      </c>
      <c r="AT98" s="203">
        <f>IF($C98,'Backlog General'!$G98,"")</f>
      </c>
      <c r="AU98" s="203">
        <f>IF($C98,'Backlog General'!$H98,"")</f>
      </c>
      <c r="AV98" s="202">
        <f>IF(AND($C98,ISNUMBER($AR98)),IF(OR($AT98="Completo",$AU98="Cancelado",$AU98="Baja prioridad"),$AR98,IF($AU98="Pasa al siguiente",MAX($AR98+1,$AS98),MAX($AR98,$AS98))),"")</f>
      </c>
      <c r="AW98" s="202">
        <f>IF(AND($C98,ISNUMBER($AR98)),$AQ98+$AR98*$AP98*'Sprints'!$D$5-'Sprints'!$D$5,"")</f>
      </c>
      <c r="AX98" s="202">
        <f>IF($C98,IF(OR($AT98="Completo",$AU98="Cancelado",$AU98="Baja prioridad",NOT(ISNUMBER($AW98))),0,IF(TODAY()&gt;$AW98,NETWORKDAYS($AW98,TODAY(),'Sprints'!$L$5:$L$40)-1,0)),"")</f>
      </c>
      <c r="AY98" s="203">
        <f>IF($C98,IF(NOT(ISNUMBER($AR98)),"Sin fecha",IF($AT98="Completo","Completo",IF($AU98="Cancelado","Cancelado",IF($AU98="Baja prioridad","Baja prioridad",IF($AX98&gt;0,"Vencida","Pendiente"))))),"")</f>
      </c>
      <c r="AZ98" s="203">
        <f>IF($C98,IF(ISNUMBER($AV98),$AO98&amp;" · S"&amp;$AV98,"(Sin fecha)"),"")</f>
      </c>
      <c r="BA98" s="202">
        <f>IF($C98,IF(AND(ISNUMBER('Backlog General'!$M98),'Backlog General'!$M98=$AS98),"Nuevo S"&amp;'Backlog General'!$M98,""),"")</f>
      </c>
      <c r="BB98" s="202">
        <f>IF(AND($C98,$AO98="Semanal",ISNUMBER($AV98)),$AV98*100000+ROW(),"")</f>
      </c>
      <c r="BC98" s="202">
        <f>IF(AND($C98,$AO98="Quincenal",ISNUMBER($AV98)),$AV98*100000+ROW(),"")</f>
      </c>
      <c r="BD98" s="202">
        <f>IF(AND($C98,$AO98="Mensual",ISNUMBER($AV98)),$AV98*100000+ROW(),"")</f>
      </c>
      <c r="BE98" s="203">
        <f>IF($C98,IF(ISBLANK('Backlog General'!$J98),"",'Backlog General'!$J98),"")</f>
      </c>
      <c r="BF98" s="203">
        <f>IF($C98,IF($BE98="","",$BE98)&amp;IF(AND($BE98&lt;&gt;"",$AH98&lt;&gt;"")," · ","")&amp;IF($AH98="","",$AH98),"")</f>
      </c>
      <c r="BG98" s="203">
        <f>IF($C98,IF($J98="Completado","Sí","No"),"")</f>
      </c>
      <c r="BH98" s="202">
        <f>IF(AND($C98,ISNUMBER($AR98)),IF($AO98="Semanal",1,IF($AO98="Quincenal",2,3))*1000000000+$AR98*100000+ROW(),"")</f>
      </c>
    </row>
    <row r="99">
      <c r="A99" s="202">
        <f>ROW()</f>
        <v>99</v>
      </c>
      <c r="B99" s="202" t="b">
        <f>ISTEXT('Proyecto Datos (OKR´s)'!$K99)</f>
        <v>0</v>
      </c>
      <c r="C99" s="202" t="b">
        <f>AND(LEN('Proyecto Datos (OKR´s)'!$G99)&gt;0,NOT($B99),OR(ISNUMBER('Proyecto Datos (OKR´s)'!$F99),ISNUMBER('Proyecto Datos (OKR´s)'!$L99)))</f>
        <v>0</v>
      </c>
      <c r="D99" s="203">
        <f>IF($C99,IFERROR(LOOKUP(2,1/((ISTEXT('Proyecto Datos (OKR´s)'!$K$7:$K99))*(LEN('Proyecto Datos (OKR´s)'!$G$7:$G99)&gt;0)),'Proyecto Datos (OKR´s)'!$G$7:$G99),""),"")</f>
      </c>
      <c r="E99" s="202">
        <f>IF($C99,'Proyecto Datos (OKR´s)'!$E99,"")</f>
      </c>
      <c r="F99" s="203">
        <f>IF($C99,'Proyecto Datos (OKR´s)'!$G99,"")</f>
      </c>
      <c r="G99" s="203">
        <f>IF($C99,IF('Proyecto Datos (OKR´s)'!$I99="","(Sin asignar)",'Proyecto Datos (OKR´s)'!$I99),"")</f>
      </c>
      <c r="H99" s="202">
        <f>IF($C99,IF(ISNUMBER('Proyecto Datos (OKR´s)'!$F99),'Proyecto Datos (OKR´s)'!$F99,""),"")</f>
      </c>
      <c r="I99" s="202">
        <f>IF($C99,'Proyecto Datos (OKR´s)'!$J99,"")</f>
      </c>
      <c r="J99" s="203">
        <f>IF($C99,IF($I99&gt;=1,"Completado",IF(NOT(ISNUMBER($H99)),"Sin fecha",IF($H99&lt;TODAY(),"Vencido",IF(($H99-TODAY())&lt;='Entregas Próximas'!$M$3,"Próximo a vencer","En curso")))),"")</f>
      </c>
      <c r="K99" s="202">
        <f>IF(AND($C99,ISNUMBER($H99)),$H99-TODAY(),"")</f>
      </c>
      <c r="L99" s="202">
        <f>IF(AND($C99,ISNUMBER($H99)),$AD99*1000000+$H99+ROW()/100000,"")</f>
      </c>
      <c r="M99" s="202">
        <f>IF($C99,IF($AD99=9999,"(Sin sprint)",$AD99),"")</f>
      </c>
      <c r="N99" s="202">
        <f>IF($C99,IF('Proyecto Datos (OKR´s)'!$E99="",9999,'Proyecto Datos (OKR´s)'!$E99),"")</f>
      </c>
      <c r="O99" s="202">
        <f>IF($C99,"T"&amp;TEXT(ROW(),"000"),"")</f>
      </c>
      <c r="R99" s="202">
        <f>IF($C99,IF(ISNUMBER('Proyecto Datos (OKR´s)'!$L99),'Proyecto Datos (OKR´s)'!$L99,$H99),"")</f>
      </c>
      <c r="S99" s="202">
        <f>IF($C99,$R99-'Proyecto Datos (OKR´s)'!$K99+1,"")</f>
      </c>
      <c r="T99" s="202">
        <f>IF($C99,MAX(0,TODAY()-'Proyecto Datos (OKR´s)'!$K99),"")</f>
      </c>
      <c r="U99" s="202">
        <f>IF($C99,MEDIAN(0,(TODAY()-'Proyecto Datos (OKR´s)'!$K99)/MAX(1,$R99-'Proyecto Datos (OKR´s)'!$K99),1),"")</f>
      </c>
      <c r="V99" s="202">
        <f>IF($C99,$I99-$U99,"")</f>
      </c>
      <c r="W99" s="202">
        <f>IF($C99,IF(OR($J99="Completado",NOT(ISNUMBER($H99))),0,MAX(0,TODAY()-$H99)),"")</f>
      </c>
      <c r="X99" s="202">
        <f>IF($C99,IF(ISNUMBER($H99),$R99-$H99,0),"")</f>
      </c>
      <c r="Y99" s="202">
        <f>IF($C99,COUNTIFS($G$7:$G$200,$G99,$J$7:$J$200,"&lt;&gt;Completado",$J$7:$J$200,"&lt;&gt;"),"")</f>
      </c>
      <c r="Z99" s="202">
        <f>IF($C99,AND($I99=0,'Proyecto Datos (OKR´s)'!$K99&lt;=TODAY(),$J99&lt;&gt;"Completado"),"")</f>
      </c>
      <c r="AA99" s="202">
        <f>IF($C99,ROUND(100*(0.35*$AK99+0.3*$AL99+0.2*$AM99+0.15*MEDIAN(0,($Y99-4)/8,1)),0),"")</f>
      </c>
      <c r="AB99" s="203">
        <f>IF($C99,IF(OR($J99="Completado",$J99="Sin fecha"),"—",IF($AA99&gt;=70,"Crítica",IF($AA99&gt;=45,"Alta",IF($AA99&gt;=25,"Media","Baja")))),"")</f>
      </c>
      <c r="AC99" s="203">
        <f>IF($C99,IF(LEN(TRIM($AN99))=0,"—",TRIM($AN99)),"")</f>
      </c>
      <c r="AD99" s="202">
        <f>IF($C99,$AV99,"")</f>
      </c>
      <c r="AE99" s="202">
        <f>IF($C99,$AZ99,"")</f>
      </c>
      <c r="AF99" s="202" t="b">
        <f>IF($C99,$AV99&lt;&gt;$AR99,FALSE)</f>
        <v>0</v>
      </c>
      <c r="AG99" s="202">
        <f>IF($C99,IF($AV99&lt;&gt;$AR99,$AW99,""),"")</f>
      </c>
      <c r="AH99" s="203">
        <f>IF($C99,IF(ISBLANK('Backlog General'!$K99),"",'Backlog General'!$K99),"")</f>
      </c>
      <c r="AI99" s="202">
        <f>IF($C99,$AV99*100000+ROW(),"")</f>
      </c>
      <c r="AJ99" s="202">
        <f>IF(AND($C99,ISNUMBER($H99)),$AA99*1000000-MEDIAN(-9999,$K99,9999)*100+(300-ROW()),"")</f>
      </c>
      <c r="AK99" s="202">
        <f>IF($C99,IF($J99="Completado",0,IF($K99&lt;0,1,IF($K99&lt;=3,0.9,IF($K99&lt;=7,0.7,IF($K99&lt;=14,0.45,0.2))))),"")</f>
      </c>
      <c r="AL99" s="202">
        <f>IF($C99,IF($J99="Completado",0,MEDIAN(0,MAX(-$V99,$W99/30),1)),"")</f>
      </c>
      <c r="AM99" s="202">
        <f>IF($C99,IF($J99="Completado",0,IF($Z99,1,IF(AND($I99&lt;0.5,$K99&lt;=7),0.7,0.3))),"")</f>
      </c>
      <c r="AN99" s="203">
        <f>IF($C99,IF(OR($V99&lt;-0.2,$W99&gt;0),"ATRASO ","")&amp;IF($Z99,"BLOQUEO ","")&amp;IF($Y99&gt;8,"SOBRECARGA ","")&amp;IF($X99&gt;0,"DESVÍO-PLAN ",""),"")</f>
      </c>
      <c r="AO99" s="203">
        <f>IF($C99,IFERROR(VLOOKUP($D99,'Sprints'!$I$5:$J$12,2,FALSE),"Semanal"),"")</f>
      </c>
      <c r="AP99" s="202">
        <f>IF($C99,IFERROR(VLOOKUP($AO99,'Sprints'!$B$9:$C$11,2,FALSE),1),"")</f>
      </c>
      <c r="AQ99" s="202">
        <f>IF($C99,'Sprints'!$C$5,"")</f>
      </c>
      <c r="AR99" s="202">
        <f>IF(AND($C99,ISNUMBER($H99)),CEILING(MAX(1,INT(($H99-$AQ99+'Sprints'!$D$5-1)/'Sprints'!$D$5)+1)/$AP99,1),"")</f>
      </c>
      <c r="AS99" s="202">
        <f>IF($C99,CEILING(MAX(1,INT((TODAY()-$AQ99+'Sprints'!$D$5-1)/'Sprints'!$D$5)+1)/$AP99,1),"")</f>
      </c>
      <c r="AT99" s="203">
        <f>IF($C99,'Backlog General'!$G99,"")</f>
      </c>
      <c r="AU99" s="203">
        <f>IF($C99,'Backlog General'!$H99,"")</f>
      </c>
      <c r="AV99" s="202">
        <f>IF(AND($C99,ISNUMBER($AR99)),IF(OR($AT99="Completo",$AU99="Cancelado",$AU99="Baja prioridad"),$AR99,IF($AU99="Pasa al siguiente",MAX($AR99+1,$AS99),MAX($AR99,$AS99))),"")</f>
      </c>
      <c r="AW99" s="202">
        <f>IF(AND($C99,ISNUMBER($AR99)),$AQ99+$AR99*$AP99*'Sprints'!$D$5-'Sprints'!$D$5,"")</f>
      </c>
      <c r="AX99" s="202">
        <f>IF($C99,IF(OR($AT99="Completo",$AU99="Cancelado",$AU99="Baja prioridad",NOT(ISNUMBER($AW99))),0,IF(TODAY()&gt;$AW99,NETWORKDAYS($AW99,TODAY(),'Sprints'!$L$5:$L$40)-1,0)),"")</f>
      </c>
      <c r="AY99" s="203">
        <f>IF($C99,IF(NOT(ISNUMBER($AR99)),"Sin fecha",IF($AT99="Completo","Completo",IF($AU99="Cancelado","Cancelado",IF($AU99="Baja prioridad","Baja prioridad",IF($AX99&gt;0,"Vencida","Pendiente"))))),"")</f>
      </c>
      <c r="AZ99" s="203">
        <f>IF($C99,IF(ISNUMBER($AV99),$AO99&amp;" · S"&amp;$AV99,"(Sin fecha)"),"")</f>
      </c>
      <c r="BA99" s="202">
        <f>IF($C99,IF(AND(ISNUMBER('Backlog General'!$M99),'Backlog General'!$M99=$AS99),"Nuevo S"&amp;'Backlog General'!$M99,""),"")</f>
      </c>
      <c r="BB99" s="202">
        <f>IF(AND($C99,$AO99="Semanal",ISNUMBER($AV99)),$AV99*100000+ROW(),"")</f>
      </c>
      <c r="BC99" s="202">
        <f>IF(AND($C99,$AO99="Quincenal",ISNUMBER($AV99)),$AV99*100000+ROW(),"")</f>
      </c>
      <c r="BD99" s="202">
        <f>IF(AND($C99,$AO99="Mensual",ISNUMBER($AV99)),$AV99*100000+ROW(),"")</f>
      </c>
      <c r="BE99" s="203">
        <f>IF($C99,IF(ISBLANK('Backlog General'!$J99),"",'Backlog General'!$J99),"")</f>
      </c>
      <c r="BF99" s="203">
        <f>IF($C99,IF($BE99="","",$BE99)&amp;IF(AND($BE99&lt;&gt;"",$AH99&lt;&gt;"")," · ","")&amp;IF($AH99="","",$AH99),"")</f>
      </c>
      <c r="BG99" s="203">
        <f>IF($C99,IF($J99="Completado","Sí","No"),"")</f>
      </c>
      <c r="BH99" s="202">
        <f>IF(AND($C99,ISNUMBER($AR99)),IF($AO99="Semanal",1,IF($AO99="Quincenal",2,3))*1000000000+$AR99*100000+ROW(),"")</f>
      </c>
    </row>
    <row r="100">
      <c r="A100" s="202">
        <f>ROW()</f>
        <v>100</v>
      </c>
      <c r="B100" s="202" t="b">
        <f>ISTEXT('Proyecto Datos (OKR´s)'!$K100)</f>
        <v>0</v>
      </c>
      <c r="C100" s="202" t="b">
        <f>AND(LEN('Proyecto Datos (OKR´s)'!$G100)&gt;0,NOT($B100),OR(ISNUMBER('Proyecto Datos (OKR´s)'!$F100),ISNUMBER('Proyecto Datos (OKR´s)'!$L100)))</f>
        <v>0</v>
      </c>
      <c r="D100" s="203">
        <f>IF($C100,IFERROR(LOOKUP(2,1/((ISTEXT('Proyecto Datos (OKR´s)'!$K$7:$K100))*(LEN('Proyecto Datos (OKR´s)'!$G$7:$G100)&gt;0)),'Proyecto Datos (OKR´s)'!$G$7:$G100),""),"")</f>
      </c>
      <c r="E100" s="202">
        <f>IF($C100,'Proyecto Datos (OKR´s)'!$E100,"")</f>
      </c>
      <c r="F100" s="203">
        <f>IF($C100,'Proyecto Datos (OKR´s)'!$G100,"")</f>
      </c>
      <c r="G100" s="203">
        <f>IF($C100,IF('Proyecto Datos (OKR´s)'!$I100="","(Sin asignar)",'Proyecto Datos (OKR´s)'!$I100),"")</f>
      </c>
      <c r="H100" s="202">
        <f>IF($C100,IF(ISNUMBER('Proyecto Datos (OKR´s)'!$F100),'Proyecto Datos (OKR´s)'!$F100,""),"")</f>
      </c>
      <c r="I100" s="202">
        <f>IF($C100,'Proyecto Datos (OKR´s)'!$J100,"")</f>
      </c>
      <c r="J100" s="203">
        <f>IF($C100,IF($I100&gt;=1,"Completado",IF(NOT(ISNUMBER($H100)),"Sin fecha",IF($H100&lt;TODAY(),"Vencido",IF(($H100-TODAY())&lt;='Entregas Próximas'!$M$3,"Próximo a vencer","En curso")))),"")</f>
      </c>
      <c r="K100" s="202">
        <f>IF(AND($C100,ISNUMBER($H100)),$H100-TODAY(),"")</f>
      </c>
      <c r="L100" s="202">
        <f>IF(AND($C100,ISNUMBER($H100)),$AD100*1000000+$H100+ROW()/100000,"")</f>
      </c>
      <c r="M100" s="202">
        <f>IF($C100,IF($AD100=9999,"(Sin sprint)",$AD100),"")</f>
      </c>
      <c r="N100" s="202">
        <f>IF($C100,IF('Proyecto Datos (OKR´s)'!$E100="",9999,'Proyecto Datos (OKR´s)'!$E100),"")</f>
      </c>
      <c r="O100" s="202">
        <f>IF($C100,"T"&amp;TEXT(ROW(),"000"),"")</f>
      </c>
      <c r="R100" s="202">
        <f>IF($C100,IF(ISNUMBER('Proyecto Datos (OKR´s)'!$L100),'Proyecto Datos (OKR´s)'!$L100,$H100),"")</f>
      </c>
      <c r="S100" s="202">
        <f>IF($C100,$R100-'Proyecto Datos (OKR´s)'!$K100+1,"")</f>
      </c>
      <c r="T100" s="202">
        <f>IF($C100,MAX(0,TODAY()-'Proyecto Datos (OKR´s)'!$K100),"")</f>
      </c>
      <c r="U100" s="202">
        <f>IF($C100,MEDIAN(0,(TODAY()-'Proyecto Datos (OKR´s)'!$K100)/MAX(1,$R100-'Proyecto Datos (OKR´s)'!$K100),1),"")</f>
      </c>
      <c r="V100" s="202">
        <f>IF($C100,$I100-$U100,"")</f>
      </c>
      <c r="W100" s="202">
        <f>IF($C100,IF(OR($J100="Completado",NOT(ISNUMBER($H100))),0,MAX(0,TODAY()-$H100)),"")</f>
      </c>
      <c r="X100" s="202">
        <f>IF($C100,IF(ISNUMBER($H100),$R100-$H100,0),"")</f>
      </c>
      <c r="Y100" s="202">
        <f>IF($C100,COUNTIFS($G$7:$G$200,$G100,$J$7:$J$200,"&lt;&gt;Completado",$J$7:$J$200,"&lt;&gt;"),"")</f>
      </c>
      <c r="Z100" s="202">
        <f>IF($C100,AND($I100=0,'Proyecto Datos (OKR´s)'!$K100&lt;=TODAY(),$J100&lt;&gt;"Completado"),"")</f>
      </c>
      <c r="AA100" s="202">
        <f>IF($C100,ROUND(100*(0.35*$AK100+0.3*$AL100+0.2*$AM100+0.15*MEDIAN(0,($Y100-4)/8,1)),0),"")</f>
      </c>
      <c r="AB100" s="203">
        <f>IF($C100,IF(OR($J100="Completado",$J100="Sin fecha"),"—",IF($AA100&gt;=70,"Crítica",IF($AA100&gt;=45,"Alta",IF($AA100&gt;=25,"Media","Baja")))),"")</f>
      </c>
      <c r="AC100" s="203">
        <f>IF($C100,IF(LEN(TRIM($AN100))=0,"—",TRIM($AN100)),"")</f>
      </c>
      <c r="AD100" s="202">
        <f>IF($C100,$AV100,"")</f>
      </c>
      <c r="AE100" s="202">
        <f>IF($C100,$AZ100,"")</f>
      </c>
      <c r="AF100" s="202" t="b">
        <f>IF($C100,$AV100&lt;&gt;$AR100,FALSE)</f>
        <v>0</v>
      </c>
      <c r="AG100" s="202">
        <f>IF($C100,IF($AV100&lt;&gt;$AR100,$AW100,""),"")</f>
      </c>
      <c r="AH100" s="203">
        <f>IF($C100,IF(ISBLANK('Backlog General'!$K100),"",'Backlog General'!$K100),"")</f>
      </c>
      <c r="AI100" s="202">
        <f>IF($C100,$AV100*100000+ROW(),"")</f>
      </c>
      <c r="AJ100" s="202">
        <f>IF(AND($C100,ISNUMBER($H100)),$AA100*1000000-MEDIAN(-9999,$K100,9999)*100+(300-ROW()),"")</f>
      </c>
      <c r="AK100" s="202">
        <f>IF($C100,IF($J100="Completado",0,IF($K100&lt;0,1,IF($K100&lt;=3,0.9,IF($K100&lt;=7,0.7,IF($K100&lt;=14,0.45,0.2))))),"")</f>
      </c>
      <c r="AL100" s="202">
        <f>IF($C100,IF($J100="Completado",0,MEDIAN(0,MAX(-$V100,$W100/30),1)),"")</f>
      </c>
      <c r="AM100" s="202">
        <f>IF($C100,IF($J100="Completado",0,IF($Z100,1,IF(AND($I100&lt;0.5,$K100&lt;=7),0.7,0.3))),"")</f>
      </c>
      <c r="AN100" s="203">
        <f>IF($C100,IF(OR($V100&lt;-0.2,$W100&gt;0),"ATRASO ","")&amp;IF($Z100,"BLOQUEO ","")&amp;IF($Y100&gt;8,"SOBRECARGA ","")&amp;IF($X100&gt;0,"DESVÍO-PLAN ",""),"")</f>
      </c>
      <c r="AO100" s="203">
        <f>IF($C100,IFERROR(VLOOKUP($D100,'Sprints'!$I$5:$J$12,2,FALSE),"Semanal"),"")</f>
      </c>
      <c r="AP100" s="202">
        <f>IF($C100,IFERROR(VLOOKUP($AO100,'Sprints'!$B$9:$C$11,2,FALSE),1),"")</f>
      </c>
      <c r="AQ100" s="202">
        <f>IF($C100,'Sprints'!$C$5,"")</f>
      </c>
      <c r="AR100" s="202">
        <f>IF(AND($C100,ISNUMBER($H100)),CEILING(MAX(1,INT(($H100-$AQ100+'Sprints'!$D$5-1)/'Sprints'!$D$5)+1)/$AP100,1),"")</f>
      </c>
      <c r="AS100" s="202">
        <f>IF($C100,CEILING(MAX(1,INT((TODAY()-$AQ100+'Sprints'!$D$5-1)/'Sprints'!$D$5)+1)/$AP100,1),"")</f>
      </c>
      <c r="AT100" s="203">
        <f>IF($C100,'Backlog General'!$G100,"")</f>
      </c>
      <c r="AU100" s="203">
        <f>IF($C100,'Backlog General'!$H100,"")</f>
      </c>
      <c r="AV100" s="202">
        <f>IF(AND($C100,ISNUMBER($AR100)),IF(OR($AT100="Completo",$AU100="Cancelado",$AU100="Baja prioridad"),$AR100,IF($AU100="Pasa al siguiente",MAX($AR100+1,$AS100),MAX($AR100,$AS100))),"")</f>
      </c>
      <c r="AW100" s="202">
        <f>IF(AND($C100,ISNUMBER($AR100)),$AQ100+$AR100*$AP100*'Sprints'!$D$5-'Sprints'!$D$5,"")</f>
      </c>
      <c r="AX100" s="202">
        <f>IF($C100,IF(OR($AT100="Completo",$AU100="Cancelado",$AU100="Baja prioridad",NOT(ISNUMBER($AW100))),0,IF(TODAY()&gt;$AW100,NETWORKDAYS($AW100,TODAY(),'Sprints'!$L$5:$L$40)-1,0)),"")</f>
      </c>
      <c r="AY100" s="203">
        <f>IF($C100,IF(NOT(ISNUMBER($AR100)),"Sin fecha",IF($AT100="Completo","Completo",IF($AU100="Cancelado","Cancelado",IF($AU100="Baja prioridad","Baja prioridad",IF($AX100&gt;0,"Vencida","Pendiente"))))),"")</f>
      </c>
      <c r="AZ100" s="203">
        <f>IF($C100,IF(ISNUMBER($AV100),$AO100&amp;" · S"&amp;$AV100,"(Sin fecha)"),"")</f>
      </c>
      <c r="BA100" s="202">
        <f>IF($C100,IF(AND(ISNUMBER('Backlog General'!$M100),'Backlog General'!$M100=$AS100),"Nuevo S"&amp;'Backlog General'!$M100,""),"")</f>
      </c>
      <c r="BB100" s="202">
        <f>IF(AND($C100,$AO100="Semanal",ISNUMBER($AV100)),$AV100*100000+ROW(),"")</f>
      </c>
      <c r="BC100" s="202">
        <f>IF(AND($C100,$AO100="Quincenal",ISNUMBER($AV100)),$AV100*100000+ROW(),"")</f>
      </c>
      <c r="BD100" s="202">
        <f>IF(AND($C100,$AO100="Mensual",ISNUMBER($AV100)),$AV100*100000+ROW(),"")</f>
      </c>
      <c r="BE100" s="203">
        <f>IF($C100,IF(ISBLANK('Backlog General'!$J100),"",'Backlog General'!$J100),"")</f>
      </c>
      <c r="BF100" s="203">
        <f>IF($C100,IF($BE100="","",$BE100)&amp;IF(AND($BE100&lt;&gt;"",$AH100&lt;&gt;"")," · ","")&amp;IF($AH100="","",$AH100),"")</f>
      </c>
      <c r="BG100" s="203">
        <f>IF($C100,IF($J100="Completado","Sí","No"),"")</f>
      </c>
      <c r="BH100" s="202">
        <f>IF(AND($C100,ISNUMBER($AR100)),IF($AO100="Semanal",1,IF($AO100="Quincenal",2,3))*1000000000+$AR100*100000+ROW(),"")</f>
      </c>
    </row>
    <row r="101">
      <c r="A101" s="202">
        <f>ROW()</f>
        <v>101</v>
      </c>
      <c r="B101" s="202" t="b">
        <f>ISTEXT('Proyecto Datos (OKR´s)'!$K101)</f>
        <v>0</v>
      </c>
      <c r="C101" s="202" t="b">
        <f>AND(LEN('Proyecto Datos (OKR´s)'!$G101)&gt;0,NOT($B101),OR(ISNUMBER('Proyecto Datos (OKR´s)'!$F101),ISNUMBER('Proyecto Datos (OKR´s)'!$L101)))</f>
        <v>0</v>
      </c>
      <c r="D101" s="203">
        <f>IF($C101,IFERROR(LOOKUP(2,1/((ISTEXT('Proyecto Datos (OKR´s)'!$K$7:$K101))*(LEN('Proyecto Datos (OKR´s)'!$G$7:$G101)&gt;0)),'Proyecto Datos (OKR´s)'!$G$7:$G101),""),"")</f>
      </c>
      <c r="E101" s="202">
        <f>IF($C101,'Proyecto Datos (OKR´s)'!$E101,"")</f>
      </c>
      <c r="F101" s="203">
        <f>IF($C101,'Proyecto Datos (OKR´s)'!$G101,"")</f>
      </c>
      <c r="G101" s="203">
        <f>IF($C101,IF('Proyecto Datos (OKR´s)'!$I101="","(Sin asignar)",'Proyecto Datos (OKR´s)'!$I101),"")</f>
      </c>
      <c r="H101" s="202">
        <f>IF($C101,IF(ISNUMBER('Proyecto Datos (OKR´s)'!$F101),'Proyecto Datos (OKR´s)'!$F101,""),"")</f>
      </c>
      <c r="I101" s="202">
        <f>IF($C101,'Proyecto Datos (OKR´s)'!$J101,"")</f>
      </c>
      <c r="J101" s="203">
        <f>IF($C101,IF($I101&gt;=1,"Completado",IF(NOT(ISNUMBER($H101)),"Sin fecha",IF($H101&lt;TODAY(),"Vencido",IF(($H101-TODAY())&lt;='Entregas Próximas'!$M$3,"Próximo a vencer","En curso")))),"")</f>
      </c>
      <c r="K101" s="202">
        <f>IF(AND($C101,ISNUMBER($H101)),$H101-TODAY(),"")</f>
      </c>
      <c r="L101" s="202">
        <f>IF(AND($C101,ISNUMBER($H101)),$AD101*1000000+$H101+ROW()/100000,"")</f>
      </c>
      <c r="M101" s="202">
        <f>IF($C101,IF($AD101=9999,"(Sin sprint)",$AD101),"")</f>
      </c>
      <c r="N101" s="202">
        <f>IF($C101,IF('Proyecto Datos (OKR´s)'!$E101="",9999,'Proyecto Datos (OKR´s)'!$E101),"")</f>
      </c>
      <c r="O101" s="202">
        <f>IF($C101,"T"&amp;TEXT(ROW(),"000"),"")</f>
      </c>
      <c r="R101" s="202">
        <f>IF($C101,IF(ISNUMBER('Proyecto Datos (OKR´s)'!$L101),'Proyecto Datos (OKR´s)'!$L101,$H101),"")</f>
      </c>
      <c r="S101" s="202">
        <f>IF($C101,$R101-'Proyecto Datos (OKR´s)'!$K101+1,"")</f>
      </c>
      <c r="T101" s="202">
        <f>IF($C101,MAX(0,TODAY()-'Proyecto Datos (OKR´s)'!$K101),"")</f>
      </c>
      <c r="U101" s="202">
        <f>IF($C101,MEDIAN(0,(TODAY()-'Proyecto Datos (OKR´s)'!$K101)/MAX(1,$R101-'Proyecto Datos (OKR´s)'!$K101),1),"")</f>
      </c>
      <c r="V101" s="202">
        <f>IF($C101,$I101-$U101,"")</f>
      </c>
      <c r="W101" s="202">
        <f>IF($C101,IF(OR($J101="Completado",NOT(ISNUMBER($H101))),0,MAX(0,TODAY()-$H101)),"")</f>
      </c>
      <c r="X101" s="202">
        <f>IF($C101,IF(ISNUMBER($H101),$R101-$H101,0),"")</f>
      </c>
      <c r="Y101" s="202">
        <f>IF($C101,COUNTIFS($G$7:$G$200,$G101,$J$7:$J$200,"&lt;&gt;Completado",$J$7:$J$200,"&lt;&gt;"),"")</f>
      </c>
      <c r="Z101" s="202">
        <f>IF($C101,AND($I101=0,'Proyecto Datos (OKR´s)'!$K101&lt;=TODAY(),$J101&lt;&gt;"Completado"),"")</f>
      </c>
      <c r="AA101" s="202">
        <f>IF($C101,ROUND(100*(0.35*$AK101+0.3*$AL101+0.2*$AM101+0.15*MEDIAN(0,($Y101-4)/8,1)),0),"")</f>
      </c>
      <c r="AB101" s="203">
        <f>IF($C101,IF(OR($J101="Completado",$J101="Sin fecha"),"—",IF($AA101&gt;=70,"Crítica",IF($AA101&gt;=45,"Alta",IF($AA101&gt;=25,"Media","Baja")))),"")</f>
      </c>
      <c r="AC101" s="203">
        <f>IF($C101,IF(LEN(TRIM($AN101))=0,"—",TRIM($AN101)),"")</f>
      </c>
      <c r="AD101" s="202">
        <f>IF($C101,$AV101,"")</f>
      </c>
      <c r="AE101" s="202">
        <f>IF($C101,$AZ101,"")</f>
      </c>
      <c r="AF101" s="202" t="b">
        <f>IF($C101,$AV101&lt;&gt;$AR101,FALSE)</f>
        <v>0</v>
      </c>
      <c r="AG101" s="202">
        <f>IF($C101,IF($AV101&lt;&gt;$AR101,$AW101,""),"")</f>
      </c>
      <c r="AH101" s="203">
        <f>IF($C101,IF(ISBLANK('Backlog General'!$K101),"",'Backlog General'!$K101),"")</f>
      </c>
      <c r="AI101" s="202">
        <f>IF($C101,$AV101*100000+ROW(),"")</f>
      </c>
      <c r="AJ101" s="202">
        <f>IF(AND($C101,ISNUMBER($H101)),$AA101*1000000-MEDIAN(-9999,$K101,9999)*100+(300-ROW()),"")</f>
      </c>
      <c r="AK101" s="202">
        <f>IF($C101,IF($J101="Completado",0,IF($K101&lt;0,1,IF($K101&lt;=3,0.9,IF($K101&lt;=7,0.7,IF($K101&lt;=14,0.45,0.2))))),"")</f>
      </c>
      <c r="AL101" s="202">
        <f>IF($C101,IF($J101="Completado",0,MEDIAN(0,MAX(-$V101,$W101/30),1)),"")</f>
      </c>
      <c r="AM101" s="202">
        <f>IF($C101,IF($J101="Completado",0,IF($Z101,1,IF(AND($I101&lt;0.5,$K101&lt;=7),0.7,0.3))),"")</f>
      </c>
      <c r="AN101" s="203">
        <f>IF($C101,IF(OR($V101&lt;-0.2,$W101&gt;0),"ATRASO ","")&amp;IF($Z101,"BLOQUEO ","")&amp;IF($Y101&gt;8,"SOBRECARGA ","")&amp;IF($X101&gt;0,"DESVÍO-PLAN ",""),"")</f>
      </c>
      <c r="AO101" s="203">
        <f>IF($C101,IFERROR(VLOOKUP($D101,'Sprints'!$I$5:$J$12,2,FALSE),"Semanal"),"")</f>
      </c>
      <c r="AP101" s="202">
        <f>IF($C101,IFERROR(VLOOKUP($AO101,'Sprints'!$B$9:$C$11,2,FALSE),1),"")</f>
      </c>
      <c r="AQ101" s="202">
        <f>IF($C101,'Sprints'!$C$5,"")</f>
      </c>
      <c r="AR101" s="202">
        <f>IF(AND($C101,ISNUMBER($H101)),CEILING(MAX(1,INT(($H101-$AQ101+'Sprints'!$D$5-1)/'Sprints'!$D$5)+1)/$AP101,1),"")</f>
      </c>
      <c r="AS101" s="202">
        <f>IF($C101,CEILING(MAX(1,INT((TODAY()-$AQ101+'Sprints'!$D$5-1)/'Sprints'!$D$5)+1)/$AP101,1),"")</f>
      </c>
      <c r="AT101" s="203">
        <f>IF($C101,'Backlog General'!$G101,"")</f>
      </c>
      <c r="AU101" s="203">
        <f>IF($C101,'Backlog General'!$H101,"")</f>
      </c>
      <c r="AV101" s="202">
        <f>IF(AND($C101,ISNUMBER($AR101)),IF(OR($AT101="Completo",$AU101="Cancelado",$AU101="Baja prioridad"),$AR101,IF($AU101="Pasa al siguiente",MAX($AR101+1,$AS101),MAX($AR101,$AS101))),"")</f>
      </c>
      <c r="AW101" s="202">
        <f>IF(AND($C101,ISNUMBER($AR101)),$AQ101+$AR101*$AP101*'Sprints'!$D$5-'Sprints'!$D$5,"")</f>
      </c>
      <c r="AX101" s="202">
        <f>IF($C101,IF(OR($AT101="Completo",$AU101="Cancelado",$AU101="Baja prioridad",NOT(ISNUMBER($AW101))),0,IF(TODAY()&gt;$AW101,NETWORKDAYS($AW101,TODAY(),'Sprints'!$L$5:$L$40)-1,0)),"")</f>
      </c>
      <c r="AY101" s="203">
        <f>IF($C101,IF(NOT(ISNUMBER($AR101)),"Sin fecha",IF($AT101="Completo","Completo",IF($AU101="Cancelado","Cancelado",IF($AU101="Baja prioridad","Baja prioridad",IF($AX101&gt;0,"Vencida","Pendiente"))))),"")</f>
      </c>
      <c r="AZ101" s="203">
        <f>IF($C101,IF(ISNUMBER($AV101),$AO101&amp;" · S"&amp;$AV101,"(Sin fecha)"),"")</f>
      </c>
      <c r="BA101" s="202">
        <f>IF($C101,IF(AND(ISNUMBER('Backlog General'!$M101),'Backlog General'!$M101=$AS101),"Nuevo S"&amp;'Backlog General'!$M101,""),"")</f>
      </c>
      <c r="BB101" s="202">
        <f>IF(AND($C101,$AO101="Semanal",ISNUMBER($AV101)),$AV101*100000+ROW(),"")</f>
      </c>
      <c r="BC101" s="202">
        <f>IF(AND($C101,$AO101="Quincenal",ISNUMBER($AV101)),$AV101*100000+ROW(),"")</f>
      </c>
      <c r="BD101" s="202">
        <f>IF(AND($C101,$AO101="Mensual",ISNUMBER($AV101)),$AV101*100000+ROW(),"")</f>
      </c>
      <c r="BE101" s="203">
        <f>IF($C101,IF(ISBLANK('Backlog General'!$J101),"",'Backlog General'!$J101),"")</f>
      </c>
      <c r="BF101" s="203">
        <f>IF($C101,IF($BE101="","",$BE101)&amp;IF(AND($BE101&lt;&gt;"",$AH101&lt;&gt;"")," · ","")&amp;IF($AH101="","",$AH101),"")</f>
      </c>
      <c r="BG101" s="203">
        <f>IF($C101,IF($J101="Completado","Sí","No"),"")</f>
      </c>
      <c r="BH101" s="202">
        <f>IF(AND($C101,ISNUMBER($AR101)),IF($AO101="Semanal",1,IF($AO101="Quincenal",2,3))*1000000000+$AR101*100000+ROW(),"")</f>
      </c>
    </row>
    <row r="102">
      <c r="A102" s="202">
        <f>ROW()</f>
        <v>102</v>
      </c>
      <c r="B102" s="202" t="b">
        <f>ISTEXT('Proyecto Datos (OKR´s)'!$K102)</f>
        <v>0</v>
      </c>
      <c r="C102" s="202" t="b">
        <f>AND(LEN('Proyecto Datos (OKR´s)'!$G102)&gt;0,NOT($B102),OR(ISNUMBER('Proyecto Datos (OKR´s)'!$F102),ISNUMBER('Proyecto Datos (OKR´s)'!$L102)))</f>
        <v>0</v>
      </c>
      <c r="D102" s="203">
        <f>IF($C102,IFERROR(LOOKUP(2,1/((ISTEXT('Proyecto Datos (OKR´s)'!$K$7:$K102))*(LEN('Proyecto Datos (OKR´s)'!$G$7:$G102)&gt;0)),'Proyecto Datos (OKR´s)'!$G$7:$G102),""),"")</f>
      </c>
      <c r="E102" s="202">
        <f>IF($C102,'Proyecto Datos (OKR´s)'!$E102,"")</f>
      </c>
      <c r="F102" s="203">
        <f>IF($C102,'Proyecto Datos (OKR´s)'!$G102,"")</f>
      </c>
      <c r="G102" s="203">
        <f>IF($C102,IF('Proyecto Datos (OKR´s)'!$I102="","(Sin asignar)",'Proyecto Datos (OKR´s)'!$I102),"")</f>
      </c>
      <c r="H102" s="202">
        <f>IF($C102,IF(ISNUMBER('Proyecto Datos (OKR´s)'!$F102),'Proyecto Datos (OKR´s)'!$F102,""),"")</f>
      </c>
      <c r="I102" s="202">
        <f>IF($C102,'Proyecto Datos (OKR´s)'!$J102,"")</f>
      </c>
      <c r="J102" s="203">
        <f>IF($C102,IF($I102&gt;=1,"Completado",IF(NOT(ISNUMBER($H102)),"Sin fecha",IF($H102&lt;TODAY(),"Vencido",IF(($H102-TODAY())&lt;='Entregas Próximas'!$M$3,"Próximo a vencer","En curso")))),"")</f>
      </c>
      <c r="K102" s="202">
        <f>IF(AND($C102,ISNUMBER($H102)),$H102-TODAY(),"")</f>
      </c>
      <c r="L102" s="202">
        <f>IF(AND($C102,ISNUMBER($H102)),$AD102*1000000+$H102+ROW()/100000,"")</f>
      </c>
      <c r="M102" s="202">
        <f>IF($C102,IF($AD102=9999,"(Sin sprint)",$AD102),"")</f>
      </c>
      <c r="N102" s="202">
        <f>IF($C102,IF('Proyecto Datos (OKR´s)'!$E102="",9999,'Proyecto Datos (OKR´s)'!$E102),"")</f>
      </c>
      <c r="O102" s="202">
        <f>IF($C102,"T"&amp;TEXT(ROW(),"000"),"")</f>
      </c>
      <c r="R102" s="202">
        <f>IF($C102,IF(ISNUMBER('Proyecto Datos (OKR´s)'!$L102),'Proyecto Datos (OKR´s)'!$L102,$H102),"")</f>
      </c>
      <c r="S102" s="202">
        <f>IF($C102,$R102-'Proyecto Datos (OKR´s)'!$K102+1,"")</f>
      </c>
      <c r="T102" s="202">
        <f>IF($C102,MAX(0,TODAY()-'Proyecto Datos (OKR´s)'!$K102),"")</f>
      </c>
      <c r="U102" s="202">
        <f>IF($C102,MEDIAN(0,(TODAY()-'Proyecto Datos (OKR´s)'!$K102)/MAX(1,$R102-'Proyecto Datos (OKR´s)'!$K102),1),"")</f>
      </c>
      <c r="V102" s="202">
        <f>IF($C102,$I102-$U102,"")</f>
      </c>
      <c r="W102" s="202">
        <f>IF($C102,IF(OR($J102="Completado",NOT(ISNUMBER($H102))),0,MAX(0,TODAY()-$H102)),"")</f>
      </c>
      <c r="X102" s="202">
        <f>IF($C102,IF(ISNUMBER($H102),$R102-$H102,0),"")</f>
      </c>
      <c r="Y102" s="202">
        <f>IF($C102,COUNTIFS($G$7:$G$200,$G102,$J$7:$J$200,"&lt;&gt;Completado",$J$7:$J$200,"&lt;&gt;"),"")</f>
      </c>
      <c r="Z102" s="202">
        <f>IF($C102,AND($I102=0,'Proyecto Datos (OKR´s)'!$K102&lt;=TODAY(),$J102&lt;&gt;"Completado"),"")</f>
      </c>
      <c r="AA102" s="202">
        <f>IF($C102,ROUND(100*(0.35*$AK102+0.3*$AL102+0.2*$AM102+0.15*MEDIAN(0,($Y102-4)/8,1)),0),"")</f>
      </c>
      <c r="AB102" s="203">
        <f>IF($C102,IF(OR($J102="Completado",$J102="Sin fecha"),"—",IF($AA102&gt;=70,"Crítica",IF($AA102&gt;=45,"Alta",IF($AA102&gt;=25,"Media","Baja")))),"")</f>
      </c>
      <c r="AC102" s="203">
        <f>IF($C102,IF(LEN(TRIM($AN102))=0,"—",TRIM($AN102)),"")</f>
      </c>
      <c r="AD102" s="202">
        <f>IF($C102,$AV102,"")</f>
      </c>
      <c r="AE102" s="202">
        <f>IF($C102,$AZ102,"")</f>
      </c>
      <c r="AF102" s="202" t="b">
        <f>IF($C102,$AV102&lt;&gt;$AR102,FALSE)</f>
        <v>0</v>
      </c>
      <c r="AG102" s="202">
        <f>IF($C102,IF($AV102&lt;&gt;$AR102,$AW102,""),"")</f>
      </c>
      <c r="AH102" s="203">
        <f>IF($C102,IF(ISBLANK('Backlog General'!$K102),"",'Backlog General'!$K102),"")</f>
      </c>
      <c r="AI102" s="202">
        <f>IF($C102,$AV102*100000+ROW(),"")</f>
      </c>
      <c r="AJ102" s="202">
        <f>IF(AND($C102,ISNUMBER($H102)),$AA102*1000000-MEDIAN(-9999,$K102,9999)*100+(300-ROW()),"")</f>
      </c>
      <c r="AK102" s="202">
        <f>IF($C102,IF($J102="Completado",0,IF($K102&lt;0,1,IF($K102&lt;=3,0.9,IF($K102&lt;=7,0.7,IF($K102&lt;=14,0.45,0.2))))),"")</f>
      </c>
      <c r="AL102" s="202">
        <f>IF($C102,IF($J102="Completado",0,MEDIAN(0,MAX(-$V102,$W102/30),1)),"")</f>
      </c>
      <c r="AM102" s="202">
        <f>IF($C102,IF($J102="Completado",0,IF($Z102,1,IF(AND($I102&lt;0.5,$K102&lt;=7),0.7,0.3))),"")</f>
      </c>
      <c r="AN102" s="203">
        <f>IF($C102,IF(OR($V102&lt;-0.2,$W102&gt;0),"ATRASO ","")&amp;IF($Z102,"BLOQUEO ","")&amp;IF($Y102&gt;8,"SOBRECARGA ","")&amp;IF($X102&gt;0,"DESVÍO-PLAN ",""),"")</f>
      </c>
      <c r="AO102" s="203">
        <f>IF($C102,IFERROR(VLOOKUP($D102,'Sprints'!$I$5:$J$12,2,FALSE),"Semanal"),"")</f>
      </c>
      <c r="AP102" s="202">
        <f>IF($C102,IFERROR(VLOOKUP($AO102,'Sprints'!$B$9:$C$11,2,FALSE),1),"")</f>
      </c>
      <c r="AQ102" s="202">
        <f>IF($C102,'Sprints'!$C$5,"")</f>
      </c>
      <c r="AR102" s="202">
        <f>IF(AND($C102,ISNUMBER($H102)),CEILING(MAX(1,INT(($H102-$AQ102+'Sprints'!$D$5-1)/'Sprints'!$D$5)+1)/$AP102,1),"")</f>
      </c>
      <c r="AS102" s="202">
        <f>IF($C102,CEILING(MAX(1,INT((TODAY()-$AQ102+'Sprints'!$D$5-1)/'Sprints'!$D$5)+1)/$AP102,1),"")</f>
      </c>
      <c r="AT102" s="203">
        <f>IF($C102,'Backlog General'!$G102,"")</f>
      </c>
      <c r="AU102" s="203">
        <f>IF($C102,'Backlog General'!$H102,"")</f>
      </c>
      <c r="AV102" s="202">
        <f>IF(AND($C102,ISNUMBER($AR102)),IF(OR($AT102="Completo",$AU102="Cancelado",$AU102="Baja prioridad"),$AR102,IF($AU102="Pasa al siguiente",MAX($AR102+1,$AS102),MAX($AR102,$AS102))),"")</f>
      </c>
      <c r="AW102" s="202">
        <f>IF(AND($C102,ISNUMBER($AR102)),$AQ102+$AR102*$AP102*'Sprints'!$D$5-'Sprints'!$D$5,"")</f>
      </c>
      <c r="AX102" s="202">
        <f>IF($C102,IF(OR($AT102="Completo",$AU102="Cancelado",$AU102="Baja prioridad",NOT(ISNUMBER($AW102))),0,IF(TODAY()&gt;$AW102,NETWORKDAYS($AW102,TODAY(),'Sprints'!$L$5:$L$40)-1,0)),"")</f>
      </c>
      <c r="AY102" s="203">
        <f>IF($C102,IF(NOT(ISNUMBER($AR102)),"Sin fecha",IF($AT102="Completo","Completo",IF($AU102="Cancelado","Cancelado",IF($AU102="Baja prioridad","Baja prioridad",IF($AX102&gt;0,"Vencida","Pendiente"))))),"")</f>
      </c>
      <c r="AZ102" s="203">
        <f>IF($C102,IF(ISNUMBER($AV102),$AO102&amp;" · S"&amp;$AV102,"(Sin fecha)"),"")</f>
      </c>
      <c r="BA102" s="202">
        <f>IF($C102,IF(AND(ISNUMBER('Backlog General'!$M102),'Backlog General'!$M102=$AS102),"Nuevo S"&amp;'Backlog General'!$M102,""),"")</f>
      </c>
      <c r="BB102" s="202">
        <f>IF(AND($C102,$AO102="Semanal",ISNUMBER($AV102)),$AV102*100000+ROW(),"")</f>
      </c>
      <c r="BC102" s="202">
        <f>IF(AND($C102,$AO102="Quincenal",ISNUMBER($AV102)),$AV102*100000+ROW(),"")</f>
      </c>
      <c r="BD102" s="202">
        <f>IF(AND($C102,$AO102="Mensual",ISNUMBER($AV102)),$AV102*100000+ROW(),"")</f>
      </c>
      <c r="BE102" s="203">
        <f>IF($C102,IF(ISBLANK('Backlog General'!$J102),"",'Backlog General'!$J102),"")</f>
      </c>
      <c r="BF102" s="203">
        <f>IF($C102,IF($BE102="","",$BE102)&amp;IF(AND($BE102&lt;&gt;"",$AH102&lt;&gt;"")," · ","")&amp;IF($AH102="","",$AH102),"")</f>
      </c>
      <c r="BG102" s="203">
        <f>IF($C102,IF($J102="Completado","Sí","No"),"")</f>
      </c>
      <c r="BH102" s="202">
        <f>IF(AND($C102,ISNUMBER($AR102)),IF($AO102="Semanal",1,IF($AO102="Quincenal",2,3))*1000000000+$AR102*100000+ROW(),"")</f>
      </c>
    </row>
    <row r="103">
      <c r="A103" s="202">
        <f>ROW()</f>
        <v>103</v>
      </c>
      <c r="B103" s="202" t="b">
        <f>ISTEXT('Proyecto Datos (OKR´s)'!$K103)</f>
        <v>0</v>
      </c>
      <c r="C103" s="202" t="b">
        <f>AND(LEN('Proyecto Datos (OKR´s)'!$G103)&gt;0,NOT($B103),OR(ISNUMBER('Proyecto Datos (OKR´s)'!$F103),ISNUMBER('Proyecto Datos (OKR´s)'!$L103)))</f>
        <v>0</v>
      </c>
      <c r="D103" s="203">
        <f>IF($C103,IFERROR(LOOKUP(2,1/((ISTEXT('Proyecto Datos (OKR´s)'!$K$7:$K103))*(LEN('Proyecto Datos (OKR´s)'!$G$7:$G103)&gt;0)),'Proyecto Datos (OKR´s)'!$G$7:$G103),""),"")</f>
      </c>
      <c r="E103" s="202">
        <f>IF($C103,'Proyecto Datos (OKR´s)'!$E103,"")</f>
      </c>
      <c r="F103" s="203">
        <f>IF($C103,'Proyecto Datos (OKR´s)'!$G103,"")</f>
      </c>
      <c r="G103" s="203">
        <f>IF($C103,IF('Proyecto Datos (OKR´s)'!$I103="","(Sin asignar)",'Proyecto Datos (OKR´s)'!$I103),"")</f>
      </c>
      <c r="H103" s="202">
        <f>IF($C103,IF(ISNUMBER('Proyecto Datos (OKR´s)'!$F103),'Proyecto Datos (OKR´s)'!$F103,""),"")</f>
      </c>
      <c r="I103" s="202">
        <f>IF($C103,'Proyecto Datos (OKR´s)'!$J103,"")</f>
      </c>
      <c r="J103" s="203">
        <f>IF($C103,IF($I103&gt;=1,"Completado",IF(NOT(ISNUMBER($H103)),"Sin fecha",IF($H103&lt;TODAY(),"Vencido",IF(($H103-TODAY())&lt;='Entregas Próximas'!$M$3,"Próximo a vencer","En curso")))),"")</f>
      </c>
      <c r="K103" s="202">
        <f>IF(AND($C103,ISNUMBER($H103)),$H103-TODAY(),"")</f>
      </c>
      <c r="L103" s="202">
        <f>IF(AND($C103,ISNUMBER($H103)),$AD103*1000000+$H103+ROW()/100000,"")</f>
      </c>
      <c r="M103" s="202">
        <f>IF($C103,IF($AD103=9999,"(Sin sprint)",$AD103),"")</f>
      </c>
      <c r="N103" s="202">
        <f>IF($C103,IF('Proyecto Datos (OKR´s)'!$E103="",9999,'Proyecto Datos (OKR´s)'!$E103),"")</f>
      </c>
      <c r="O103" s="202">
        <f>IF($C103,"T"&amp;TEXT(ROW(),"000"),"")</f>
      </c>
      <c r="R103" s="202">
        <f>IF($C103,IF(ISNUMBER('Proyecto Datos (OKR´s)'!$L103),'Proyecto Datos (OKR´s)'!$L103,$H103),"")</f>
      </c>
      <c r="S103" s="202">
        <f>IF($C103,$R103-'Proyecto Datos (OKR´s)'!$K103+1,"")</f>
      </c>
      <c r="T103" s="202">
        <f>IF($C103,MAX(0,TODAY()-'Proyecto Datos (OKR´s)'!$K103),"")</f>
      </c>
      <c r="U103" s="202">
        <f>IF($C103,MEDIAN(0,(TODAY()-'Proyecto Datos (OKR´s)'!$K103)/MAX(1,$R103-'Proyecto Datos (OKR´s)'!$K103),1),"")</f>
      </c>
      <c r="V103" s="202">
        <f>IF($C103,$I103-$U103,"")</f>
      </c>
      <c r="W103" s="202">
        <f>IF($C103,IF(OR($J103="Completado",NOT(ISNUMBER($H103))),0,MAX(0,TODAY()-$H103)),"")</f>
      </c>
      <c r="X103" s="202">
        <f>IF($C103,IF(ISNUMBER($H103),$R103-$H103,0),"")</f>
      </c>
      <c r="Y103" s="202">
        <f>IF($C103,COUNTIFS($G$7:$G$200,$G103,$J$7:$J$200,"&lt;&gt;Completado",$J$7:$J$200,"&lt;&gt;"),"")</f>
      </c>
      <c r="Z103" s="202">
        <f>IF($C103,AND($I103=0,'Proyecto Datos (OKR´s)'!$K103&lt;=TODAY(),$J103&lt;&gt;"Completado"),"")</f>
      </c>
      <c r="AA103" s="202">
        <f>IF($C103,ROUND(100*(0.35*$AK103+0.3*$AL103+0.2*$AM103+0.15*MEDIAN(0,($Y103-4)/8,1)),0),"")</f>
      </c>
      <c r="AB103" s="203">
        <f>IF($C103,IF(OR($J103="Completado",$J103="Sin fecha"),"—",IF($AA103&gt;=70,"Crítica",IF($AA103&gt;=45,"Alta",IF($AA103&gt;=25,"Media","Baja")))),"")</f>
      </c>
      <c r="AC103" s="203">
        <f>IF($C103,IF(LEN(TRIM($AN103))=0,"—",TRIM($AN103)),"")</f>
      </c>
      <c r="AD103" s="202">
        <f>IF($C103,$AV103,"")</f>
      </c>
      <c r="AE103" s="202">
        <f>IF($C103,$AZ103,"")</f>
      </c>
      <c r="AF103" s="202" t="b">
        <f>IF($C103,$AV103&lt;&gt;$AR103,FALSE)</f>
        <v>0</v>
      </c>
      <c r="AG103" s="202">
        <f>IF($C103,IF($AV103&lt;&gt;$AR103,$AW103,""),"")</f>
      </c>
      <c r="AH103" s="203">
        <f>IF($C103,IF(ISBLANK('Backlog General'!$K103),"",'Backlog General'!$K103),"")</f>
      </c>
      <c r="AI103" s="202">
        <f>IF($C103,$AV103*100000+ROW(),"")</f>
      </c>
      <c r="AJ103" s="202">
        <f>IF(AND($C103,ISNUMBER($H103)),$AA103*1000000-MEDIAN(-9999,$K103,9999)*100+(300-ROW()),"")</f>
      </c>
      <c r="AK103" s="202">
        <f>IF($C103,IF($J103="Completado",0,IF($K103&lt;0,1,IF($K103&lt;=3,0.9,IF($K103&lt;=7,0.7,IF($K103&lt;=14,0.45,0.2))))),"")</f>
      </c>
      <c r="AL103" s="202">
        <f>IF($C103,IF($J103="Completado",0,MEDIAN(0,MAX(-$V103,$W103/30),1)),"")</f>
      </c>
      <c r="AM103" s="202">
        <f>IF($C103,IF($J103="Completado",0,IF($Z103,1,IF(AND($I103&lt;0.5,$K103&lt;=7),0.7,0.3))),"")</f>
      </c>
      <c r="AN103" s="203">
        <f>IF($C103,IF(OR($V103&lt;-0.2,$W103&gt;0),"ATRASO ","")&amp;IF($Z103,"BLOQUEO ","")&amp;IF($Y103&gt;8,"SOBRECARGA ","")&amp;IF($X103&gt;0,"DESVÍO-PLAN ",""),"")</f>
      </c>
      <c r="AO103" s="203">
        <f>IF($C103,IFERROR(VLOOKUP($D103,'Sprints'!$I$5:$J$12,2,FALSE),"Semanal"),"")</f>
      </c>
      <c r="AP103" s="202">
        <f>IF($C103,IFERROR(VLOOKUP($AO103,'Sprints'!$B$9:$C$11,2,FALSE),1),"")</f>
      </c>
      <c r="AQ103" s="202">
        <f>IF($C103,'Sprints'!$C$5,"")</f>
      </c>
      <c r="AR103" s="202">
        <f>IF(AND($C103,ISNUMBER($H103)),CEILING(MAX(1,INT(($H103-$AQ103+'Sprints'!$D$5-1)/'Sprints'!$D$5)+1)/$AP103,1),"")</f>
      </c>
      <c r="AS103" s="202">
        <f>IF($C103,CEILING(MAX(1,INT((TODAY()-$AQ103+'Sprints'!$D$5-1)/'Sprints'!$D$5)+1)/$AP103,1),"")</f>
      </c>
      <c r="AT103" s="203">
        <f>IF($C103,'Backlog General'!$G103,"")</f>
      </c>
      <c r="AU103" s="203">
        <f>IF($C103,'Backlog General'!$H103,"")</f>
      </c>
      <c r="AV103" s="202">
        <f>IF(AND($C103,ISNUMBER($AR103)),IF(OR($AT103="Completo",$AU103="Cancelado",$AU103="Baja prioridad"),$AR103,IF($AU103="Pasa al siguiente",MAX($AR103+1,$AS103),MAX($AR103,$AS103))),"")</f>
      </c>
      <c r="AW103" s="202">
        <f>IF(AND($C103,ISNUMBER($AR103)),$AQ103+$AR103*$AP103*'Sprints'!$D$5-'Sprints'!$D$5,"")</f>
      </c>
      <c r="AX103" s="202">
        <f>IF($C103,IF(OR($AT103="Completo",$AU103="Cancelado",$AU103="Baja prioridad",NOT(ISNUMBER($AW103))),0,IF(TODAY()&gt;$AW103,NETWORKDAYS($AW103,TODAY(),'Sprints'!$L$5:$L$40)-1,0)),"")</f>
      </c>
      <c r="AY103" s="203">
        <f>IF($C103,IF(NOT(ISNUMBER($AR103)),"Sin fecha",IF($AT103="Completo","Completo",IF($AU103="Cancelado","Cancelado",IF($AU103="Baja prioridad","Baja prioridad",IF($AX103&gt;0,"Vencida","Pendiente"))))),"")</f>
      </c>
      <c r="AZ103" s="203">
        <f>IF($C103,IF(ISNUMBER($AV103),$AO103&amp;" · S"&amp;$AV103,"(Sin fecha)"),"")</f>
      </c>
      <c r="BA103" s="202">
        <f>IF($C103,IF(AND(ISNUMBER('Backlog General'!$M103),'Backlog General'!$M103=$AS103),"Nuevo S"&amp;'Backlog General'!$M103,""),"")</f>
      </c>
      <c r="BB103" s="202">
        <f>IF(AND($C103,$AO103="Semanal",ISNUMBER($AV103)),$AV103*100000+ROW(),"")</f>
      </c>
      <c r="BC103" s="202">
        <f>IF(AND($C103,$AO103="Quincenal",ISNUMBER($AV103)),$AV103*100000+ROW(),"")</f>
      </c>
      <c r="BD103" s="202">
        <f>IF(AND($C103,$AO103="Mensual",ISNUMBER($AV103)),$AV103*100000+ROW(),"")</f>
      </c>
      <c r="BE103" s="203">
        <f>IF($C103,IF(ISBLANK('Backlog General'!$J103),"",'Backlog General'!$J103),"")</f>
      </c>
      <c r="BF103" s="203">
        <f>IF($C103,IF($BE103="","",$BE103)&amp;IF(AND($BE103&lt;&gt;"",$AH103&lt;&gt;"")," · ","")&amp;IF($AH103="","",$AH103),"")</f>
      </c>
      <c r="BG103" s="203">
        <f>IF($C103,IF($J103="Completado","Sí","No"),"")</f>
      </c>
      <c r="BH103" s="202">
        <f>IF(AND($C103,ISNUMBER($AR103)),IF($AO103="Semanal",1,IF($AO103="Quincenal",2,3))*1000000000+$AR103*100000+ROW(),"")</f>
      </c>
    </row>
    <row r="104">
      <c r="A104" s="202">
        <f>ROW()</f>
        <v>104</v>
      </c>
      <c r="B104" s="202" t="b">
        <f>ISTEXT('Proyecto Datos (OKR´s)'!$K104)</f>
        <v>0</v>
      </c>
      <c r="C104" s="202" t="b">
        <f>AND(LEN('Proyecto Datos (OKR´s)'!$G104)&gt;0,NOT($B104),OR(ISNUMBER('Proyecto Datos (OKR´s)'!$F104),ISNUMBER('Proyecto Datos (OKR´s)'!$L104)))</f>
        <v>0</v>
      </c>
      <c r="D104" s="203">
        <f>IF($C104,IFERROR(LOOKUP(2,1/((ISTEXT('Proyecto Datos (OKR´s)'!$K$7:$K104))*(LEN('Proyecto Datos (OKR´s)'!$G$7:$G104)&gt;0)),'Proyecto Datos (OKR´s)'!$G$7:$G104),""),"")</f>
      </c>
      <c r="E104" s="202">
        <f>IF($C104,'Proyecto Datos (OKR´s)'!$E104,"")</f>
      </c>
      <c r="F104" s="203">
        <f>IF($C104,'Proyecto Datos (OKR´s)'!$G104,"")</f>
      </c>
      <c r="G104" s="203">
        <f>IF($C104,IF('Proyecto Datos (OKR´s)'!$I104="","(Sin asignar)",'Proyecto Datos (OKR´s)'!$I104),"")</f>
      </c>
      <c r="H104" s="202">
        <f>IF($C104,IF(ISNUMBER('Proyecto Datos (OKR´s)'!$F104),'Proyecto Datos (OKR´s)'!$F104,""),"")</f>
      </c>
      <c r="I104" s="202">
        <f>IF($C104,'Proyecto Datos (OKR´s)'!$J104,"")</f>
      </c>
      <c r="J104" s="203">
        <f>IF($C104,IF($I104&gt;=1,"Completado",IF(NOT(ISNUMBER($H104)),"Sin fecha",IF($H104&lt;TODAY(),"Vencido",IF(($H104-TODAY())&lt;='Entregas Próximas'!$M$3,"Próximo a vencer","En curso")))),"")</f>
      </c>
      <c r="K104" s="202">
        <f>IF(AND($C104,ISNUMBER($H104)),$H104-TODAY(),"")</f>
      </c>
      <c r="L104" s="202">
        <f>IF(AND($C104,ISNUMBER($H104)),$AD104*1000000+$H104+ROW()/100000,"")</f>
      </c>
      <c r="M104" s="202">
        <f>IF($C104,IF($AD104=9999,"(Sin sprint)",$AD104),"")</f>
      </c>
      <c r="N104" s="202">
        <f>IF($C104,IF('Proyecto Datos (OKR´s)'!$E104="",9999,'Proyecto Datos (OKR´s)'!$E104),"")</f>
      </c>
      <c r="O104" s="202">
        <f>IF($C104,"T"&amp;TEXT(ROW(),"000"),"")</f>
      </c>
      <c r="R104" s="202">
        <f>IF($C104,IF(ISNUMBER('Proyecto Datos (OKR´s)'!$L104),'Proyecto Datos (OKR´s)'!$L104,$H104),"")</f>
      </c>
      <c r="S104" s="202">
        <f>IF($C104,$R104-'Proyecto Datos (OKR´s)'!$K104+1,"")</f>
      </c>
      <c r="T104" s="202">
        <f>IF($C104,MAX(0,TODAY()-'Proyecto Datos (OKR´s)'!$K104),"")</f>
      </c>
      <c r="U104" s="202">
        <f>IF($C104,MEDIAN(0,(TODAY()-'Proyecto Datos (OKR´s)'!$K104)/MAX(1,$R104-'Proyecto Datos (OKR´s)'!$K104),1),"")</f>
      </c>
      <c r="V104" s="202">
        <f>IF($C104,$I104-$U104,"")</f>
      </c>
      <c r="W104" s="202">
        <f>IF($C104,IF(OR($J104="Completado",NOT(ISNUMBER($H104))),0,MAX(0,TODAY()-$H104)),"")</f>
      </c>
      <c r="X104" s="202">
        <f>IF($C104,IF(ISNUMBER($H104),$R104-$H104,0),"")</f>
      </c>
      <c r="Y104" s="202">
        <f>IF($C104,COUNTIFS($G$7:$G$200,$G104,$J$7:$J$200,"&lt;&gt;Completado",$J$7:$J$200,"&lt;&gt;"),"")</f>
      </c>
      <c r="Z104" s="202">
        <f>IF($C104,AND($I104=0,'Proyecto Datos (OKR´s)'!$K104&lt;=TODAY(),$J104&lt;&gt;"Completado"),"")</f>
      </c>
      <c r="AA104" s="202">
        <f>IF($C104,ROUND(100*(0.35*$AK104+0.3*$AL104+0.2*$AM104+0.15*MEDIAN(0,($Y104-4)/8,1)),0),"")</f>
      </c>
      <c r="AB104" s="203">
        <f>IF($C104,IF(OR($J104="Completado",$J104="Sin fecha"),"—",IF($AA104&gt;=70,"Crítica",IF($AA104&gt;=45,"Alta",IF($AA104&gt;=25,"Media","Baja")))),"")</f>
      </c>
      <c r="AC104" s="203">
        <f>IF($C104,IF(LEN(TRIM($AN104))=0,"—",TRIM($AN104)),"")</f>
      </c>
      <c r="AD104" s="202">
        <f>IF($C104,$AV104,"")</f>
      </c>
      <c r="AE104" s="202">
        <f>IF($C104,$AZ104,"")</f>
      </c>
      <c r="AF104" s="202" t="b">
        <f>IF($C104,$AV104&lt;&gt;$AR104,FALSE)</f>
        <v>0</v>
      </c>
      <c r="AG104" s="202">
        <f>IF($C104,IF($AV104&lt;&gt;$AR104,$AW104,""),"")</f>
      </c>
      <c r="AH104" s="203">
        <f>IF($C104,IF(ISBLANK('Backlog General'!$K104),"",'Backlog General'!$K104),"")</f>
      </c>
      <c r="AI104" s="202">
        <f>IF($C104,$AV104*100000+ROW(),"")</f>
      </c>
      <c r="AJ104" s="202">
        <f>IF(AND($C104,ISNUMBER($H104)),$AA104*1000000-MEDIAN(-9999,$K104,9999)*100+(300-ROW()),"")</f>
      </c>
      <c r="AK104" s="202">
        <f>IF($C104,IF($J104="Completado",0,IF($K104&lt;0,1,IF($K104&lt;=3,0.9,IF($K104&lt;=7,0.7,IF($K104&lt;=14,0.45,0.2))))),"")</f>
      </c>
      <c r="AL104" s="202">
        <f>IF($C104,IF($J104="Completado",0,MEDIAN(0,MAX(-$V104,$W104/30),1)),"")</f>
      </c>
      <c r="AM104" s="202">
        <f>IF($C104,IF($J104="Completado",0,IF($Z104,1,IF(AND($I104&lt;0.5,$K104&lt;=7),0.7,0.3))),"")</f>
      </c>
      <c r="AN104" s="203">
        <f>IF($C104,IF(OR($V104&lt;-0.2,$W104&gt;0),"ATRASO ","")&amp;IF($Z104,"BLOQUEO ","")&amp;IF($Y104&gt;8,"SOBRECARGA ","")&amp;IF($X104&gt;0,"DESVÍO-PLAN ",""),"")</f>
      </c>
      <c r="AO104" s="203">
        <f>IF($C104,IFERROR(VLOOKUP($D104,'Sprints'!$I$5:$J$12,2,FALSE),"Semanal"),"")</f>
      </c>
      <c r="AP104" s="202">
        <f>IF($C104,IFERROR(VLOOKUP($AO104,'Sprints'!$B$9:$C$11,2,FALSE),1),"")</f>
      </c>
      <c r="AQ104" s="202">
        <f>IF($C104,'Sprints'!$C$5,"")</f>
      </c>
      <c r="AR104" s="202">
        <f>IF(AND($C104,ISNUMBER($H104)),CEILING(MAX(1,INT(($H104-$AQ104+'Sprints'!$D$5-1)/'Sprints'!$D$5)+1)/$AP104,1),"")</f>
      </c>
      <c r="AS104" s="202">
        <f>IF($C104,CEILING(MAX(1,INT((TODAY()-$AQ104+'Sprints'!$D$5-1)/'Sprints'!$D$5)+1)/$AP104,1),"")</f>
      </c>
      <c r="AT104" s="203">
        <f>IF($C104,'Backlog General'!$G104,"")</f>
      </c>
      <c r="AU104" s="203">
        <f>IF($C104,'Backlog General'!$H104,"")</f>
      </c>
      <c r="AV104" s="202">
        <f>IF(AND($C104,ISNUMBER($AR104)),IF(OR($AT104="Completo",$AU104="Cancelado",$AU104="Baja prioridad"),$AR104,IF($AU104="Pasa al siguiente",MAX($AR104+1,$AS104),MAX($AR104,$AS104))),"")</f>
      </c>
      <c r="AW104" s="202">
        <f>IF(AND($C104,ISNUMBER($AR104)),$AQ104+$AR104*$AP104*'Sprints'!$D$5-'Sprints'!$D$5,"")</f>
      </c>
      <c r="AX104" s="202">
        <f>IF($C104,IF(OR($AT104="Completo",$AU104="Cancelado",$AU104="Baja prioridad",NOT(ISNUMBER($AW104))),0,IF(TODAY()&gt;$AW104,NETWORKDAYS($AW104,TODAY(),'Sprints'!$L$5:$L$40)-1,0)),"")</f>
      </c>
      <c r="AY104" s="203">
        <f>IF($C104,IF(NOT(ISNUMBER($AR104)),"Sin fecha",IF($AT104="Completo","Completo",IF($AU104="Cancelado","Cancelado",IF($AU104="Baja prioridad","Baja prioridad",IF($AX104&gt;0,"Vencida","Pendiente"))))),"")</f>
      </c>
      <c r="AZ104" s="203">
        <f>IF($C104,IF(ISNUMBER($AV104),$AO104&amp;" · S"&amp;$AV104,"(Sin fecha)"),"")</f>
      </c>
      <c r="BA104" s="202">
        <f>IF($C104,IF(AND(ISNUMBER('Backlog General'!$M104),'Backlog General'!$M104=$AS104),"Nuevo S"&amp;'Backlog General'!$M104,""),"")</f>
      </c>
      <c r="BB104" s="202">
        <f>IF(AND($C104,$AO104="Semanal",ISNUMBER($AV104)),$AV104*100000+ROW(),"")</f>
      </c>
      <c r="BC104" s="202">
        <f>IF(AND($C104,$AO104="Quincenal",ISNUMBER($AV104)),$AV104*100000+ROW(),"")</f>
      </c>
      <c r="BD104" s="202">
        <f>IF(AND($C104,$AO104="Mensual",ISNUMBER($AV104)),$AV104*100000+ROW(),"")</f>
      </c>
      <c r="BE104" s="203">
        <f>IF($C104,IF(ISBLANK('Backlog General'!$J104),"",'Backlog General'!$J104),"")</f>
      </c>
      <c r="BF104" s="203">
        <f>IF($C104,IF($BE104="","",$BE104)&amp;IF(AND($BE104&lt;&gt;"",$AH104&lt;&gt;"")," · ","")&amp;IF($AH104="","",$AH104),"")</f>
      </c>
      <c r="BG104" s="203">
        <f>IF($C104,IF($J104="Completado","Sí","No"),"")</f>
      </c>
      <c r="BH104" s="202">
        <f>IF(AND($C104,ISNUMBER($AR104)),IF($AO104="Semanal",1,IF($AO104="Quincenal",2,3))*1000000000+$AR104*100000+ROW(),"")</f>
      </c>
    </row>
    <row r="105">
      <c r="A105" s="202">
        <f>ROW()</f>
        <v>105</v>
      </c>
      <c r="B105" s="202" t="b">
        <f>ISTEXT('Proyecto Datos (OKR´s)'!$K105)</f>
        <v>0</v>
      </c>
      <c r="C105" s="202" t="b">
        <f>AND(LEN('Proyecto Datos (OKR´s)'!$G105)&gt;0,NOT($B105),OR(ISNUMBER('Proyecto Datos (OKR´s)'!$F105),ISNUMBER('Proyecto Datos (OKR´s)'!$L105)))</f>
        <v>0</v>
      </c>
      <c r="D105" s="203">
        <f>IF($C105,IFERROR(LOOKUP(2,1/((ISTEXT('Proyecto Datos (OKR´s)'!$K$7:$K105))*(LEN('Proyecto Datos (OKR´s)'!$G$7:$G105)&gt;0)),'Proyecto Datos (OKR´s)'!$G$7:$G105),""),"")</f>
      </c>
      <c r="E105" s="202">
        <f>IF($C105,'Proyecto Datos (OKR´s)'!$E105,"")</f>
      </c>
      <c r="F105" s="203">
        <f>IF($C105,'Proyecto Datos (OKR´s)'!$G105,"")</f>
      </c>
      <c r="G105" s="203">
        <f>IF($C105,IF('Proyecto Datos (OKR´s)'!$I105="","(Sin asignar)",'Proyecto Datos (OKR´s)'!$I105),"")</f>
      </c>
      <c r="H105" s="202">
        <f>IF($C105,IF(ISNUMBER('Proyecto Datos (OKR´s)'!$F105),'Proyecto Datos (OKR´s)'!$F105,""),"")</f>
      </c>
      <c r="I105" s="202">
        <f>IF($C105,'Proyecto Datos (OKR´s)'!$J105,"")</f>
      </c>
      <c r="J105" s="203">
        <f>IF($C105,IF($I105&gt;=1,"Completado",IF(NOT(ISNUMBER($H105)),"Sin fecha",IF($H105&lt;TODAY(),"Vencido",IF(($H105-TODAY())&lt;='Entregas Próximas'!$M$3,"Próximo a vencer","En curso")))),"")</f>
      </c>
      <c r="K105" s="202">
        <f>IF(AND($C105,ISNUMBER($H105)),$H105-TODAY(),"")</f>
      </c>
      <c r="L105" s="202">
        <f>IF(AND($C105,ISNUMBER($H105)),$AD105*1000000+$H105+ROW()/100000,"")</f>
      </c>
      <c r="M105" s="202">
        <f>IF($C105,IF($AD105=9999,"(Sin sprint)",$AD105),"")</f>
      </c>
      <c r="N105" s="202">
        <f>IF($C105,IF('Proyecto Datos (OKR´s)'!$E105="",9999,'Proyecto Datos (OKR´s)'!$E105),"")</f>
      </c>
      <c r="O105" s="202">
        <f>IF($C105,"T"&amp;TEXT(ROW(),"000"),"")</f>
      </c>
      <c r="R105" s="202">
        <f>IF($C105,IF(ISNUMBER('Proyecto Datos (OKR´s)'!$L105),'Proyecto Datos (OKR´s)'!$L105,$H105),"")</f>
      </c>
      <c r="S105" s="202">
        <f>IF($C105,$R105-'Proyecto Datos (OKR´s)'!$K105+1,"")</f>
      </c>
      <c r="T105" s="202">
        <f>IF($C105,MAX(0,TODAY()-'Proyecto Datos (OKR´s)'!$K105),"")</f>
      </c>
      <c r="U105" s="202">
        <f>IF($C105,MEDIAN(0,(TODAY()-'Proyecto Datos (OKR´s)'!$K105)/MAX(1,$R105-'Proyecto Datos (OKR´s)'!$K105),1),"")</f>
      </c>
      <c r="V105" s="202">
        <f>IF($C105,$I105-$U105,"")</f>
      </c>
      <c r="W105" s="202">
        <f>IF($C105,IF(OR($J105="Completado",NOT(ISNUMBER($H105))),0,MAX(0,TODAY()-$H105)),"")</f>
      </c>
      <c r="X105" s="202">
        <f>IF($C105,IF(ISNUMBER($H105),$R105-$H105,0),"")</f>
      </c>
      <c r="Y105" s="202">
        <f>IF($C105,COUNTIFS($G$7:$G$200,$G105,$J$7:$J$200,"&lt;&gt;Completado",$J$7:$J$200,"&lt;&gt;"),"")</f>
      </c>
      <c r="Z105" s="202">
        <f>IF($C105,AND($I105=0,'Proyecto Datos (OKR´s)'!$K105&lt;=TODAY(),$J105&lt;&gt;"Completado"),"")</f>
      </c>
      <c r="AA105" s="202">
        <f>IF($C105,ROUND(100*(0.35*$AK105+0.3*$AL105+0.2*$AM105+0.15*MEDIAN(0,($Y105-4)/8,1)),0),"")</f>
      </c>
      <c r="AB105" s="203">
        <f>IF($C105,IF(OR($J105="Completado",$J105="Sin fecha"),"—",IF($AA105&gt;=70,"Crítica",IF($AA105&gt;=45,"Alta",IF($AA105&gt;=25,"Media","Baja")))),"")</f>
      </c>
      <c r="AC105" s="203">
        <f>IF($C105,IF(LEN(TRIM($AN105))=0,"—",TRIM($AN105)),"")</f>
      </c>
      <c r="AD105" s="202">
        <f>IF($C105,$AV105,"")</f>
      </c>
      <c r="AE105" s="202">
        <f>IF($C105,$AZ105,"")</f>
      </c>
      <c r="AF105" s="202" t="b">
        <f>IF($C105,$AV105&lt;&gt;$AR105,FALSE)</f>
        <v>0</v>
      </c>
      <c r="AG105" s="202">
        <f>IF($C105,IF($AV105&lt;&gt;$AR105,$AW105,""),"")</f>
      </c>
      <c r="AH105" s="203">
        <f>IF($C105,IF(ISBLANK('Backlog General'!$K105),"",'Backlog General'!$K105),"")</f>
      </c>
      <c r="AI105" s="202">
        <f>IF($C105,$AV105*100000+ROW(),"")</f>
      </c>
      <c r="AJ105" s="202">
        <f>IF(AND($C105,ISNUMBER($H105)),$AA105*1000000-MEDIAN(-9999,$K105,9999)*100+(300-ROW()),"")</f>
      </c>
      <c r="AK105" s="202">
        <f>IF($C105,IF($J105="Completado",0,IF($K105&lt;0,1,IF($K105&lt;=3,0.9,IF($K105&lt;=7,0.7,IF($K105&lt;=14,0.45,0.2))))),"")</f>
      </c>
      <c r="AL105" s="202">
        <f>IF($C105,IF($J105="Completado",0,MEDIAN(0,MAX(-$V105,$W105/30),1)),"")</f>
      </c>
      <c r="AM105" s="202">
        <f>IF($C105,IF($J105="Completado",0,IF($Z105,1,IF(AND($I105&lt;0.5,$K105&lt;=7),0.7,0.3))),"")</f>
      </c>
      <c r="AN105" s="203">
        <f>IF($C105,IF(OR($V105&lt;-0.2,$W105&gt;0),"ATRASO ","")&amp;IF($Z105,"BLOQUEO ","")&amp;IF($Y105&gt;8,"SOBRECARGA ","")&amp;IF($X105&gt;0,"DESVÍO-PLAN ",""),"")</f>
      </c>
      <c r="AO105" s="203">
        <f>IF($C105,IFERROR(VLOOKUP($D105,'Sprints'!$I$5:$J$12,2,FALSE),"Semanal"),"")</f>
      </c>
      <c r="AP105" s="202">
        <f>IF($C105,IFERROR(VLOOKUP($AO105,'Sprints'!$B$9:$C$11,2,FALSE),1),"")</f>
      </c>
      <c r="AQ105" s="202">
        <f>IF($C105,'Sprints'!$C$5,"")</f>
      </c>
      <c r="AR105" s="202">
        <f>IF(AND($C105,ISNUMBER($H105)),CEILING(MAX(1,INT(($H105-$AQ105+'Sprints'!$D$5-1)/'Sprints'!$D$5)+1)/$AP105,1),"")</f>
      </c>
      <c r="AS105" s="202">
        <f>IF($C105,CEILING(MAX(1,INT((TODAY()-$AQ105+'Sprints'!$D$5-1)/'Sprints'!$D$5)+1)/$AP105,1),"")</f>
      </c>
      <c r="AT105" s="203">
        <f>IF($C105,'Backlog General'!$G105,"")</f>
      </c>
      <c r="AU105" s="203">
        <f>IF($C105,'Backlog General'!$H105,"")</f>
      </c>
      <c r="AV105" s="202">
        <f>IF(AND($C105,ISNUMBER($AR105)),IF(OR($AT105="Completo",$AU105="Cancelado",$AU105="Baja prioridad"),$AR105,IF($AU105="Pasa al siguiente",MAX($AR105+1,$AS105),MAX($AR105,$AS105))),"")</f>
      </c>
      <c r="AW105" s="202">
        <f>IF(AND($C105,ISNUMBER($AR105)),$AQ105+$AR105*$AP105*'Sprints'!$D$5-'Sprints'!$D$5,"")</f>
      </c>
      <c r="AX105" s="202">
        <f>IF($C105,IF(OR($AT105="Completo",$AU105="Cancelado",$AU105="Baja prioridad",NOT(ISNUMBER($AW105))),0,IF(TODAY()&gt;$AW105,NETWORKDAYS($AW105,TODAY(),'Sprints'!$L$5:$L$40)-1,0)),"")</f>
      </c>
      <c r="AY105" s="203">
        <f>IF($C105,IF(NOT(ISNUMBER($AR105)),"Sin fecha",IF($AT105="Completo","Completo",IF($AU105="Cancelado","Cancelado",IF($AU105="Baja prioridad","Baja prioridad",IF($AX105&gt;0,"Vencida","Pendiente"))))),"")</f>
      </c>
      <c r="AZ105" s="203">
        <f>IF($C105,IF(ISNUMBER($AV105),$AO105&amp;" · S"&amp;$AV105,"(Sin fecha)"),"")</f>
      </c>
      <c r="BA105" s="202">
        <f>IF($C105,IF(AND(ISNUMBER('Backlog General'!$M105),'Backlog General'!$M105=$AS105),"Nuevo S"&amp;'Backlog General'!$M105,""),"")</f>
      </c>
      <c r="BB105" s="202">
        <f>IF(AND($C105,$AO105="Semanal",ISNUMBER($AV105)),$AV105*100000+ROW(),"")</f>
      </c>
      <c r="BC105" s="202">
        <f>IF(AND($C105,$AO105="Quincenal",ISNUMBER($AV105)),$AV105*100000+ROW(),"")</f>
      </c>
      <c r="BD105" s="202">
        <f>IF(AND($C105,$AO105="Mensual",ISNUMBER($AV105)),$AV105*100000+ROW(),"")</f>
      </c>
      <c r="BE105" s="203">
        <f>IF($C105,IF(ISBLANK('Backlog General'!$J105),"",'Backlog General'!$J105),"")</f>
      </c>
      <c r="BF105" s="203">
        <f>IF($C105,IF($BE105="","",$BE105)&amp;IF(AND($BE105&lt;&gt;"",$AH105&lt;&gt;"")," · ","")&amp;IF($AH105="","",$AH105),"")</f>
      </c>
      <c r="BG105" s="203">
        <f>IF($C105,IF($J105="Completado","Sí","No"),"")</f>
      </c>
      <c r="BH105" s="202">
        <f>IF(AND($C105,ISNUMBER($AR105)),IF($AO105="Semanal",1,IF($AO105="Quincenal",2,3))*1000000000+$AR105*100000+ROW(),"")</f>
      </c>
    </row>
    <row r="106">
      <c r="A106" s="202">
        <f>ROW()</f>
        <v>106</v>
      </c>
      <c r="B106" s="202" t="b">
        <f>ISTEXT('Proyecto Datos (OKR´s)'!$K106)</f>
        <v>0</v>
      </c>
      <c r="C106" s="202" t="b">
        <f>AND(LEN('Proyecto Datos (OKR´s)'!$G106)&gt;0,NOT($B106),OR(ISNUMBER('Proyecto Datos (OKR´s)'!$F106),ISNUMBER('Proyecto Datos (OKR´s)'!$L106)))</f>
        <v>0</v>
      </c>
      <c r="D106" s="203">
        <f>IF($C106,IFERROR(LOOKUP(2,1/((ISTEXT('Proyecto Datos (OKR´s)'!$K$7:$K106))*(LEN('Proyecto Datos (OKR´s)'!$G$7:$G106)&gt;0)),'Proyecto Datos (OKR´s)'!$G$7:$G106),""),"")</f>
      </c>
      <c r="E106" s="202">
        <f>IF($C106,'Proyecto Datos (OKR´s)'!$E106,"")</f>
      </c>
      <c r="F106" s="203">
        <f>IF($C106,'Proyecto Datos (OKR´s)'!$G106,"")</f>
      </c>
      <c r="G106" s="203">
        <f>IF($C106,IF('Proyecto Datos (OKR´s)'!$I106="","(Sin asignar)",'Proyecto Datos (OKR´s)'!$I106),"")</f>
      </c>
      <c r="H106" s="202">
        <f>IF($C106,IF(ISNUMBER('Proyecto Datos (OKR´s)'!$F106),'Proyecto Datos (OKR´s)'!$F106,""),"")</f>
      </c>
      <c r="I106" s="202">
        <f>IF($C106,'Proyecto Datos (OKR´s)'!$J106,"")</f>
      </c>
      <c r="J106" s="203">
        <f>IF($C106,IF($I106&gt;=1,"Completado",IF(NOT(ISNUMBER($H106)),"Sin fecha",IF($H106&lt;TODAY(),"Vencido",IF(($H106-TODAY())&lt;='Entregas Próximas'!$M$3,"Próximo a vencer","En curso")))),"")</f>
      </c>
      <c r="K106" s="202">
        <f>IF(AND($C106,ISNUMBER($H106)),$H106-TODAY(),"")</f>
      </c>
      <c r="L106" s="202">
        <f>IF(AND($C106,ISNUMBER($H106)),$AD106*1000000+$H106+ROW()/100000,"")</f>
      </c>
      <c r="M106" s="202">
        <f>IF($C106,IF($AD106=9999,"(Sin sprint)",$AD106),"")</f>
      </c>
      <c r="N106" s="202">
        <f>IF($C106,IF('Proyecto Datos (OKR´s)'!$E106="",9999,'Proyecto Datos (OKR´s)'!$E106),"")</f>
      </c>
      <c r="O106" s="202">
        <f>IF($C106,"T"&amp;TEXT(ROW(),"000"),"")</f>
      </c>
      <c r="R106" s="202">
        <f>IF($C106,IF(ISNUMBER('Proyecto Datos (OKR´s)'!$L106),'Proyecto Datos (OKR´s)'!$L106,$H106),"")</f>
      </c>
      <c r="S106" s="202">
        <f>IF($C106,$R106-'Proyecto Datos (OKR´s)'!$K106+1,"")</f>
      </c>
      <c r="T106" s="202">
        <f>IF($C106,MAX(0,TODAY()-'Proyecto Datos (OKR´s)'!$K106),"")</f>
      </c>
      <c r="U106" s="202">
        <f>IF($C106,MEDIAN(0,(TODAY()-'Proyecto Datos (OKR´s)'!$K106)/MAX(1,$R106-'Proyecto Datos (OKR´s)'!$K106),1),"")</f>
      </c>
      <c r="V106" s="202">
        <f>IF($C106,$I106-$U106,"")</f>
      </c>
      <c r="W106" s="202">
        <f>IF($C106,IF(OR($J106="Completado",NOT(ISNUMBER($H106))),0,MAX(0,TODAY()-$H106)),"")</f>
      </c>
      <c r="X106" s="202">
        <f>IF($C106,IF(ISNUMBER($H106),$R106-$H106,0),"")</f>
      </c>
      <c r="Y106" s="202">
        <f>IF($C106,COUNTIFS($G$7:$G$200,$G106,$J$7:$J$200,"&lt;&gt;Completado",$J$7:$J$200,"&lt;&gt;"),"")</f>
      </c>
      <c r="Z106" s="202">
        <f>IF($C106,AND($I106=0,'Proyecto Datos (OKR´s)'!$K106&lt;=TODAY(),$J106&lt;&gt;"Completado"),"")</f>
      </c>
      <c r="AA106" s="202">
        <f>IF($C106,ROUND(100*(0.35*$AK106+0.3*$AL106+0.2*$AM106+0.15*MEDIAN(0,($Y106-4)/8,1)),0),"")</f>
      </c>
      <c r="AB106" s="203">
        <f>IF($C106,IF(OR($J106="Completado",$J106="Sin fecha"),"—",IF($AA106&gt;=70,"Crítica",IF($AA106&gt;=45,"Alta",IF($AA106&gt;=25,"Media","Baja")))),"")</f>
      </c>
      <c r="AC106" s="203">
        <f>IF($C106,IF(LEN(TRIM($AN106))=0,"—",TRIM($AN106)),"")</f>
      </c>
      <c r="AD106" s="202">
        <f>IF($C106,$AV106,"")</f>
      </c>
      <c r="AE106" s="202">
        <f>IF($C106,$AZ106,"")</f>
      </c>
      <c r="AF106" s="202" t="b">
        <f>IF($C106,$AV106&lt;&gt;$AR106,FALSE)</f>
        <v>0</v>
      </c>
      <c r="AG106" s="202">
        <f>IF($C106,IF($AV106&lt;&gt;$AR106,$AW106,""),"")</f>
      </c>
      <c r="AH106" s="203">
        <f>IF($C106,IF(ISBLANK('Backlog General'!$K106),"",'Backlog General'!$K106),"")</f>
      </c>
      <c r="AI106" s="202">
        <f>IF($C106,$AV106*100000+ROW(),"")</f>
      </c>
      <c r="AJ106" s="202">
        <f>IF(AND($C106,ISNUMBER($H106)),$AA106*1000000-MEDIAN(-9999,$K106,9999)*100+(300-ROW()),"")</f>
      </c>
      <c r="AK106" s="202">
        <f>IF($C106,IF($J106="Completado",0,IF($K106&lt;0,1,IF($K106&lt;=3,0.9,IF($K106&lt;=7,0.7,IF($K106&lt;=14,0.45,0.2))))),"")</f>
      </c>
      <c r="AL106" s="202">
        <f>IF($C106,IF($J106="Completado",0,MEDIAN(0,MAX(-$V106,$W106/30),1)),"")</f>
      </c>
      <c r="AM106" s="202">
        <f>IF($C106,IF($J106="Completado",0,IF($Z106,1,IF(AND($I106&lt;0.5,$K106&lt;=7),0.7,0.3))),"")</f>
      </c>
      <c r="AN106" s="203">
        <f>IF($C106,IF(OR($V106&lt;-0.2,$W106&gt;0),"ATRASO ","")&amp;IF($Z106,"BLOQUEO ","")&amp;IF($Y106&gt;8,"SOBRECARGA ","")&amp;IF($X106&gt;0,"DESVÍO-PLAN ",""),"")</f>
      </c>
      <c r="AO106" s="203">
        <f>IF($C106,IFERROR(VLOOKUP($D106,'Sprints'!$I$5:$J$12,2,FALSE),"Semanal"),"")</f>
      </c>
      <c r="AP106" s="202">
        <f>IF($C106,IFERROR(VLOOKUP($AO106,'Sprints'!$B$9:$C$11,2,FALSE),1),"")</f>
      </c>
      <c r="AQ106" s="202">
        <f>IF($C106,'Sprints'!$C$5,"")</f>
      </c>
      <c r="AR106" s="202">
        <f>IF(AND($C106,ISNUMBER($H106)),CEILING(MAX(1,INT(($H106-$AQ106+'Sprints'!$D$5-1)/'Sprints'!$D$5)+1)/$AP106,1),"")</f>
      </c>
      <c r="AS106" s="202">
        <f>IF($C106,CEILING(MAX(1,INT((TODAY()-$AQ106+'Sprints'!$D$5-1)/'Sprints'!$D$5)+1)/$AP106,1),"")</f>
      </c>
      <c r="AT106" s="203">
        <f>IF($C106,'Backlog General'!$G106,"")</f>
      </c>
      <c r="AU106" s="203">
        <f>IF($C106,'Backlog General'!$H106,"")</f>
      </c>
      <c r="AV106" s="202">
        <f>IF(AND($C106,ISNUMBER($AR106)),IF(OR($AT106="Completo",$AU106="Cancelado",$AU106="Baja prioridad"),$AR106,IF($AU106="Pasa al siguiente",MAX($AR106+1,$AS106),MAX($AR106,$AS106))),"")</f>
      </c>
      <c r="AW106" s="202">
        <f>IF(AND($C106,ISNUMBER($AR106)),$AQ106+$AR106*$AP106*'Sprints'!$D$5-'Sprints'!$D$5,"")</f>
      </c>
      <c r="AX106" s="202">
        <f>IF($C106,IF(OR($AT106="Completo",$AU106="Cancelado",$AU106="Baja prioridad",NOT(ISNUMBER($AW106))),0,IF(TODAY()&gt;$AW106,NETWORKDAYS($AW106,TODAY(),'Sprints'!$L$5:$L$40)-1,0)),"")</f>
      </c>
      <c r="AY106" s="203">
        <f>IF($C106,IF(NOT(ISNUMBER($AR106)),"Sin fecha",IF($AT106="Completo","Completo",IF($AU106="Cancelado","Cancelado",IF($AU106="Baja prioridad","Baja prioridad",IF($AX106&gt;0,"Vencida","Pendiente"))))),"")</f>
      </c>
      <c r="AZ106" s="203">
        <f>IF($C106,IF(ISNUMBER($AV106),$AO106&amp;" · S"&amp;$AV106,"(Sin fecha)"),"")</f>
      </c>
      <c r="BA106" s="202">
        <f>IF($C106,IF(AND(ISNUMBER('Backlog General'!$M106),'Backlog General'!$M106=$AS106),"Nuevo S"&amp;'Backlog General'!$M106,""),"")</f>
      </c>
      <c r="BB106" s="202">
        <f>IF(AND($C106,$AO106="Semanal",ISNUMBER($AV106)),$AV106*100000+ROW(),"")</f>
      </c>
      <c r="BC106" s="202">
        <f>IF(AND($C106,$AO106="Quincenal",ISNUMBER($AV106)),$AV106*100000+ROW(),"")</f>
      </c>
      <c r="BD106" s="202">
        <f>IF(AND($C106,$AO106="Mensual",ISNUMBER($AV106)),$AV106*100000+ROW(),"")</f>
      </c>
      <c r="BE106" s="203">
        <f>IF($C106,IF(ISBLANK('Backlog General'!$J106),"",'Backlog General'!$J106),"")</f>
      </c>
      <c r="BF106" s="203">
        <f>IF($C106,IF($BE106="","",$BE106)&amp;IF(AND($BE106&lt;&gt;"",$AH106&lt;&gt;"")," · ","")&amp;IF($AH106="","",$AH106),"")</f>
      </c>
      <c r="BG106" s="203">
        <f>IF($C106,IF($J106="Completado","Sí","No"),"")</f>
      </c>
      <c r="BH106" s="202">
        <f>IF(AND($C106,ISNUMBER($AR106)),IF($AO106="Semanal",1,IF($AO106="Quincenal",2,3))*1000000000+$AR106*100000+ROW(),"")</f>
      </c>
    </row>
    <row r="107">
      <c r="A107" s="202">
        <f>ROW()</f>
        <v>107</v>
      </c>
      <c r="B107" s="202" t="b">
        <f>ISTEXT('Proyecto Datos (OKR´s)'!$K107)</f>
        <v>0</v>
      </c>
      <c r="C107" s="202" t="b">
        <f>AND(LEN('Proyecto Datos (OKR´s)'!$G107)&gt;0,NOT($B107),OR(ISNUMBER('Proyecto Datos (OKR´s)'!$F107),ISNUMBER('Proyecto Datos (OKR´s)'!$L107)))</f>
        <v>0</v>
      </c>
      <c r="D107" s="203">
        <f>IF($C107,IFERROR(LOOKUP(2,1/((ISTEXT('Proyecto Datos (OKR´s)'!$K$7:$K107))*(LEN('Proyecto Datos (OKR´s)'!$G$7:$G107)&gt;0)),'Proyecto Datos (OKR´s)'!$G$7:$G107),""),"")</f>
      </c>
      <c r="E107" s="202">
        <f>IF($C107,'Proyecto Datos (OKR´s)'!$E107,"")</f>
      </c>
      <c r="F107" s="203">
        <f>IF($C107,'Proyecto Datos (OKR´s)'!$G107,"")</f>
      </c>
      <c r="G107" s="203">
        <f>IF($C107,IF('Proyecto Datos (OKR´s)'!$I107="","(Sin asignar)",'Proyecto Datos (OKR´s)'!$I107),"")</f>
      </c>
      <c r="H107" s="202">
        <f>IF($C107,IF(ISNUMBER('Proyecto Datos (OKR´s)'!$F107),'Proyecto Datos (OKR´s)'!$F107,""),"")</f>
      </c>
      <c r="I107" s="202">
        <f>IF($C107,'Proyecto Datos (OKR´s)'!$J107,"")</f>
      </c>
      <c r="J107" s="203">
        <f>IF($C107,IF($I107&gt;=1,"Completado",IF(NOT(ISNUMBER($H107)),"Sin fecha",IF($H107&lt;TODAY(),"Vencido",IF(($H107-TODAY())&lt;='Entregas Próximas'!$M$3,"Próximo a vencer","En curso")))),"")</f>
      </c>
      <c r="K107" s="202">
        <f>IF(AND($C107,ISNUMBER($H107)),$H107-TODAY(),"")</f>
      </c>
      <c r="L107" s="202">
        <f>IF(AND($C107,ISNUMBER($H107)),$AD107*1000000+$H107+ROW()/100000,"")</f>
      </c>
      <c r="M107" s="202">
        <f>IF($C107,IF($AD107=9999,"(Sin sprint)",$AD107),"")</f>
      </c>
      <c r="N107" s="202">
        <f>IF($C107,IF('Proyecto Datos (OKR´s)'!$E107="",9999,'Proyecto Datos (OKR´s)'!$E107),"")</f>
      </c>
      <c r="O107" s="202">
        <f>IF($C107,"T"&amp;TEXT(ROW(),"000"),"")</f>
      </c>
      <c r="R107" s="202">
        <f>IF($C107,IF(ISNUMBER('Proyecto Datos (OKR´s)'!$L107),'Proyecto Datos (OKR´s)'!$L107,$H107),"")</f>
      </c>
      <c r="S107" s="202">
        <f>IF($C107,$R107-'Proyecto Datos (OKR´s)'!$K107+1,"")</f>
      </c>
      <c r="T107" s="202">
        <f>IF($C107,MAX(0,TODAY()-'Proyecto Datos (OKR´s)'!$K107),"")</f>
      </c>
      <c r="U107" s="202">
        <f>IF($C107,MEDIAN(0,(TODAY()-'Proyecto Datos (OKR´s)'!$K107)/MAX(1,$R107-'Proyecto Datos (OKR´s)'!$K107),1),"")</f>
      </c>
      <c r="V107" s="202">
        <f>IF($C107,$I107-$U107,"")</f>
      </c>
      <c r="W107" s="202">
        <f>IF($C107,IF(OR($J107="Completado",NOT(ISNUMBER($H107))),0,MAX(0,TODAY()-$H107)),"")</f>
      </c>
      <c r="X107" s="202">
        <f>IF($C107,IF(ISNUMBER($H107),$R107-$H107,0),"")</f>
      </c>
      <c r="Y107" s="202">
        <f>IF($C107,COUNTIFS($G$7:$G$200,$G107,$J$7:$J$200,"&lt;&gt;Completado",$J$7:$J$200,"&lt;&gt;"),"")</f>
      </c>
      <c r="Z107" s="202">
        <f>IF($C107,AND($I107=0,'Proyecto Datos (OKR´s)'!$K107&lt;=TODAY(),$J107&lt;&gt;"Completado"),"")</f>
      </c>
      <c r="AA107" s="202">
        <f>IF($C107,ROUND(100*(0.35*$AK107+0.3*$AL107+0.2*$AM107+0.15*MEDIAN(0,($Y107-4)/8,1)),0),"")</f>
      </c>
      <c r="AB107" s="203">
        <f>IF($C107,IF(OR($J107="Completado",$J107="Sin fecha"),"—",IF($AA107&gt;=70,"Crítica",IF($AA107&gt;=45,"Alta",IF($AA107&gt;=25,"Media","Baja")))),"")</f>
      </c>
      <c r="AC107" s="203">
        <f>IF($C107,IF(LEN(TRIM($AN107))=0,"—",TRIM($AN107)),"")</f>
      </c>
      <c r="AD107" s="202">
        <f>IF($C107,$AV107,"")</f>
      </c>
      <c r="AE107" s="202">
        <f>IF($C107,$AZ107,"")</f>
      </c>
      <c r="AF107" s="202" t="b">
        <f>IF($C107,$AV107&lt;&gt;$AR107,FALSE)</f>
        <v>0</v>
      </c>
      <c r="AG107" s="202">
        <f>IF($C107,IF($AV107&lt;&gt;$AR107,$AW107,""),"")</f>
      </c>
      <c r="AH107" s="203">
        <f>IF($C107,IF(ISBLANK('Backlog General'!$K107),"",'Backlog General'!$K107),"")</f>
      </c>
      <c r="AI107" s="202">
        <f>IF($C107,$AV107*100000+ROW(),"")</f>
      </c>
      <c r="AJ107" s="202">
        <f>IF(AND($C107,ISNUMBER($H107)),$AA107*1000000-MEDIAN(-9999,$K107,9999)*100+(300-ROW()),"")</f>
      </c>
      <c r="AK107" s="202">
        <f>IF($C107,IF($J107="Completado",0,IF($K107&lt;0,1,IF($K107&lt;=3,0.9,IF($K107&lt;=7,0.7,IF($K107&lt;=14,0.45,0.2))))),"")</f>
      </c>
      <c r="AL107" s="202">
        <f>IF($C107,IF($J107="Completado",0,MEDIAN(0,MAX(-$V107,$W107/30),1)),"")</f>
      </c>
      <c r="AM107" s="202">
        <f>IF($C107,IF($J107="Completado",0,IF($Z107,1,IF(AND($I107&lt;0.5,$K107&lt;=7),0.7,0.3))),"")</f>
      </c>
      <c r="AN107" s="203">
        <f>IF($C107,IF(OR($V107&lt;-0.2,$W107&gt;0),"ATRASO ","")&amp;IF($Z107,"BLOQUEO ","")&amp;IF($Y107&gt;8,"SOBRECARGA ","")&amp;IF($X107&gt;0,"DESVÍO-PLAN ",""),"")</f>
      </c>
      <c r="AO107" s="203">
        <f>IF($C107,IFERROR(VLOOKUP($D107,'Sprints'!$I$5:$J$12,2,FALSE),"Semanal"),"")</f>
      </c>
      <c r="AP107" s="202">
        <f>IF($C107,IFERROR(VLOOKUP($AO107,'Sprints'!$B$9:$C$11,2,FALSE),1),"")</f>
      </c>
      <c r="AQ107" s="202">
        <f>IF($C107,'Sprints'!$C$5,"")</f>
      </c>
      <c r="AR107" s="202">
        <f>IF(AND($C107,ISNUMBER($H107)),CEILING(MAX(1,INT(($H107-$AQ107+'Sprints'!$D$5-1)/'Sprints'!$D$5)+1)/$AP107,1),"")</f>
      </c>
      <c r="AS107" s="202">
        <f>IF($C107,CEILING(MAX(1,INT((TODAY()-$AQ107+'Sprints'!$D$5-1)/'Sprints'!$D$5)+1)/$AP107,1),"")</f>
      </c>
      <c r="AT107" s="203">
        <f>IF($C107,'Backlog General'!$G107,"")</f>
      </c>
      <c r="AU107" s="203">
        <f>IF($C107,'Backlog General'!$H107,"")</f>
      </c>
      <c r="AV107" s="202">
        <f>IF(AND($C107,ISNUMBER($AR107)),IF(OR($AT107="Completo",$AU107="Cancelado",$AU107="Baja prioridad"),$AR107,IF($AU107="Pasa al siguiente",MAX($AR107+1,$AS107),MAX($AR107,$AS107))),"")</f>
      </c>
      <c r="AW107" s="202">
        <f>IF(AND($C107,ISNUMBER($AR107)),$AQ107+$AR107*$AP107*'Sprints'!$D$5-'Sprints'!$D$5,"")</f>
      </c>
      <c r="AX107" s="202">
        <f>IF($C107,IF(OR($AT107="Completo",$AU107="Cancelado",$AU107="Baja prioridad",NOT(ISNUMBER($AW107))),0,IF(TODAY()&gt;$AW107,NETWORKDAYS($AW107,TODAY(),'Sprints'!$L$5:$L$40)-1,0)),"")</f>
      </c>
      <c r="AY107" s="203">
        <f>IF($C107,IF(NOT(ISNUMBER($AR107)),"Sin fecha",IF($AT107="Completo","Completo",IF($AU107="Cancelado","Cancelado",IF($AU107="Baja prioridad","Baja prioridad",IF($AX107&gt;0,"Vencida","Pendiente"))))),"")</f>
      </c>
      <c r="AZ107" s="203">
        <f>IF($C107,IF(ISNUMBER($AV107),$AO107&amp;" · S"&amp;$AV107,"(Sin fecha)"),"")</f>
      </c>
      <c r="BA107" s="202">
        <f>IF($C107,IF(AND(ISNUMBER('Backlog General'!$M107),'Backlog General'!$M107=$AS107),"Nuevo S"&amp;'Backlog General'!$M107,""),"")</f>
      </c>
      <c r="BB107" s="202">
        <f>IF(AND($C107,$AO107="Semanal",ISNUMBER($AV107)),$AV107*100000+ROW(),"")</f>
      </c>
      <c r="BC107" s="202">
        <f>IF(AND($C107,$AO107="Quincenal",ISNUMBER($AV107)),$AV107*100000+ROW(),"")</f>
      </c>
      <c r="BD107" s="202">
        <f>IF(AND($C107,$AO107="Mensual",ISNUMBER($AV107)),$AV107*100000+ROW(),"")</f>
      </c>
      <c r="BE107" s="203">
        <f>IF($C107,IF(ISBLANK('Backlog General'!$J107),"",'Backlog General'!$J107),"")</f>
      </c>
      <c r="BF107" s="203">
        <f>IF($C107,IF($BE107="","",$BE107)&amp;IF(AND($BE107&lt;&gt;"",$AH107&lt;&gt;"")," · ","")&amp;IF($AH107="","",$AH107),"")</f>
      </c>
      <c r="BG107" s="203">
        <f>IF($C107,IF($J107="Completado","Sí","No"),"")</f>
      </c>
      <c r="BH107" s="202">
        <f>IF(AND($C107,ISNUMBER($AR107)),IF($AO107="Semanal",1,IF($AO107="Quincenal",2,3))*1000000000+$AR107*100000+ROW(),"")</f>
      </c>
    </row>
    <row r="108">
      <c r="A108" s="202">
        <f>ROW()</f>
        <v>108</v>
      </c>
      <c r="B108" s="202" t="b">
        <f>ISTEXT('Proyecto Datos (OKR´s)'!$K108)</f>
        <v>0</v>
      </c>
      <c r="C108" s="202" t="b">
        <f>AND(LEN('Proyecto Datos (OKR´s)'!$G108)&gt;0,NOT($B108),OR(ISNUMBER('Proyecto Datos (OKR´s)'!$F108),ISNUMBER('Proyecto Datos (OKR´s)'!$L108)))</f>
        <v>0</v>
      </c>
      <c r="D108" s="203">
        <f>IF($C108,IFERROR(LOOKUP(2,1/((ISTEXT('Proyecto Datos (OKR´s)'!$K$7:$K108))*(LEN('Proyecto Datos (OKR´s)'!$G$7:$G108)&gt;0)),'Proyecto Datos (OKR´s)'!$G$7:$G108),""),"")</f>
      </c>
      <c r="E108" s="202">
        <f>IF($C108,'Proyecto Datos (OKR´s)'!$E108,"")</f>
      </c>
      <c r="F108" s="203">
        <f>IF($C108,'Proyecto Datos (OKR´s)'!$G108,"")</f>
      </c>
      <c r="G108" s="203">
        <f>IF($C108,IF('Proyecto Datos (OKR´s)'!$I108="","(Sin asignar)",'Proyecto Datos (OKR´s)'!$I108),"")</f>
      </c>
      <c r="H108" s="202">
        <f>IF($C108,IF(ISNUMBER('Proyecto Datos (OKR´s)'!$F108),'Proyecto Datos (OKR´s)'!$F108,""),"")</f>
      </c>
      <c r="I108" s="202">
        <f>IF($C108,'Proyecto Datos (OKR´s)'!$J108,"")</f>
      </c>
      <c r="J108" s="203">
        <f>IF($C108,IF($I108&gt;=1,"Completado",IF(NOT(ISNUMBER($H108)),"Sin fecha",IF($H108&lt;TODAY(),"Vencido",IF(($H108-TODAY())&lt;='Entregas Próximas'!$M$3,"Próximo a vencer","En curso")))),"")</f>
      </c>
      <c r="K108" s="202">
        <f>IF(AND($C108,ISNUMBER($H108)),$H108-TODAY(),"")</f>
      </c>
      <c r="L108" s="202">
        <f>IF(AND($C108,ISNUMBER($H108)),$AD108*1000000+$H108+ROW()/100000,"")</f>
      </c>
      <c r="M108" s="202">
        <f>IF($C108,IF($AD108=9999,"(Sin sprint)",$AD108),"")</f>
      </c>
      <c r="N108" s="202">
        <f>IF($C108,IF('Proyecto Datos (OKR´s)'!$E108="",9999,'Proyecto Datos (OKR´s)'!$E108),"")</f>
      </c>
      <c r="O108" s="202">
        <f>IF($C108,"T"&amp;TEXT(ROW(),"000"),"")</f>
      </c>
      <c r="R108" s="202">
        <f>IF($C108,IF(ISNUMBER('Proyecto Datos (OKR´s)'!$L108),'Proyecto Datos (OKR´s)'!$L108,$H108),"")</f>
      </c>
      <c r="S108" s="202">
        <f>IF($C108,$R108-'Proyecto Datos (OKR´s)'!$K108+1,"")</f>
      </c>
      <c r="T108" s="202">
        <f>IF($C108,MAX(0,TODAY()-'Proyecto Datos (OKR´s)'!$K108),"")</f>
      </c>
      <c r="U108" s="202">
        <f>IF($C108,MEDIAN(0,(TODAY()-'Proyecto Datos (OKR´s)'!$K108)/MAX(1,$R108-'Proyecto Datos (OKR´s)'!$K108),1),"")</f>
      </c>
      <c r="V108" s="202">
        <f>IF($C108,$I108-$U108,"")</f>
      </c>
      <c r="W108" s="202">
        <f>IF($C108,IF(OR($J108="Completado",NOT(ISNUMBER($H108))),0,MAX(0,TODAY()-$H108)),"")</f>
      </c>
      <c r="X108" s="202">
        <f>IF($C108,IF(ISNUMBER($H108),$R108-$H108,0),"")</f>
      </c>
      <c r="Y108" s="202">
        <f>IF($C108,COUNTIFS($G$7:$G$200,$G108,$J$7:$J$200,"&lt;&gt;Completado",$J$7:$J$200,"&lt;&gt;"),"")</f>
      </c>
      <c r="Z108" s="202">
        <f>IF($C108,AND($I108=0,'Proyecto Datos (OKR´s)'!$K108&lt;=TODAY(),$J108&lt;&gt;"Completado"),"")</f>
      </c>
      <c r="AA108" s="202">
        <f>IF($C108,ROUND(100*(0.35*$AK108+0.3*$AL108+0.2*$AM108+0.15*MEDIAN(0,($Y108-4)/8,1)),0),"")</f>
      </c>
      <c r="AB108" s="203">
        <f>IF($C108,IF(OR($J108="Completado",$J108="Sin fecha"),"—",IF($AA108&gt;=70,"Crítica",IF($AA108&gt;=45,"Alta",IF($AA108&gt;=25,"Media","Baja")))),"")</f>
      </c>
      <c r="AC108" s="203">
        <f>IF($C108,IF(LEN(TRIM($AN108))=0,"—",TRIM($AN108)),"")</f>
      </c>
      <c r="AD108" s="202">
        <f>IF($C108,$AV108,"")</f>
      </c>
      <c r="AE108" s="202">
        <f>IF($C108,$AZ108,"")</f>
      </c>
      <c r="AF108" s="202" t="b">
        <f>IF($C108,$AV108&lt;&gt;$AR108,FALSE)</f>
        <v>0</v>
      </c>
      <c r="AG108" s="202">
        <f>IF($C108,IF($AV108&lt;&gt;$AR108,$AW108,""),"")</f>
      </c>
      <c r="AH108" s="203">
        <f>IF($C108,IF(ISBLANK('Backlog General'!$K108),"",'Backlog General'!$K108),"")</f>
      </c>
      <c r="AI108" s="202">
        <f>IF($C108,$AV108*100000+ROW(),"")</f>
      </c>
      <c r="AJ108" s="202">
        <f>IF(AND($C108,ISNUMBER($H108)),$AA108*1000000-MEDIAN(-9999,$K108,9999)*100+(300-ROW()),"")</f>
      </c>
      <c r="AK108" s="202">
        <f>IF($C108,IF($J108="Completado",0,IF($K108&lt;0,1,IF($K108&lt;=3,0.9,IF($K108&lt;=7,0.7,IF($K108&lt;=14,0.45,0.2))))),"")</f>
      </c>
      <c r="AL108" s="202">
        <f>IF($C108,IF($J108="Completado",0,MEDIAN(0,MAX(-$V108,$W108/30),1)),"")</f>
      </c>
      <c r="AM108" s="202">
        <f>IF($C108,IF($J108="Completado",0,IF($Z108,1,IF(AND($I108&lt;0.5,$K108&lt;=7),0.7,0.3))),"")</f>
      </c>
      <c r="AN108" s="203">
        <f>IF($C108,IF(OR($V108&lt;-0.2,$W108&gt;0),"ATRASO ","")&amp;IF($Z108,"BLOQUEO ","")&amp;IF($Y108&gt;8,"SOBRECARGA ","")&amp;IF($X108&gt;0,"DESVÍO-PLAN ",""),"")</f>
      </c>
      <c r="AO108" s="203">
        <f>IF($C108,IFERROR(VLOOKUP($D108,'Sprints'!$I$5:$J$12,2,FALSE),"Semanal"),"")</f>
      </c>
      <c r="AP108" s="202">
        <f>IF($C108,IFERROR(VLOOKUP($AO108,'Sprints'!$B$9:$C$11,2,FALSE),1),"")</f>
      </c>
      <c r="AQ108" s="202">
        <f>IF($C108,'Sprints'!$C$5,"")</f>
      </c>
      <c r="AR108" s="202">
        <f>IF(AND($C108,ISNUMBER($H108)),CEILING(MAX(1,INT(($H108-$AQ108+'Sprints'!$D$5-1)/'Sprints'!$D$5)+1)/$AP108,1),"")</f>
      </c>
      <c r="AS108" s="202">
        <f>IF($C108,CEILING(MAX(1,INT((TODAY()-$AQ108+'Sprints'!$D$5-1)/'Sprints'!$D$5)+1)/$AP108,1),"")</f>
      </c>
      <c r="AT108" s="203">
        <f>IF($C108,'Backlog General'!$G108,"")</f>
      </c>
      <c r="AU108" s="203">
        <f>IF($C108,'Backlog General'!$H108,"")</f>
      </c>
      <c r="AV108" s="202">
        <f>IF(AND($C108,ISNUMBER($AR108)),IF(OR($AT108="Completo",$AU108="Cancelado",$AU108="Baja prioridad"),$AR108,IF($AU108="Pasa al siguiente",MAX($AR108+1,$AS108),MAX($AR108,$AS108))),"")</f>
      </c>
      <c r="AW108" s="202">
        <f>IF(AND($C108,ISNUMBER($AR108)),$AQ108+$AR108*$AP108*'Sprints'!$D$5-'Sprints'!$D$5,"")</f>
      </c>
      <c r="AX108" s="202">
        <f>IF($C108,IF(OR($AT108="Completo",$AU108="Cancelado",$AU108="Baja prioridad",NOT(ISNUMBER($AW108))),0,IF(TODAY()&gt;$AW108,NETWORKDAYS($AW108,TODAY(),'Sprints'!$L$5:$L$40)-1,0)),"")</f>
      </c>
      <c r="AY108" s="203">
        <f>IF($C108,IF(NOT(ISNUMBER($AR108)),"Sin fecha",IF($AT108="Completo","Completo",IF($AU108="Cancelado","Cancelado",IF($AU108="Baja prioridad","Baja prioridad",IF($AX108&gt;0,"Vencida","Pendiente"))))),"")</f>
      </c>
      <c r="AZ108" s="203">
        <f>IF($C108,IF(ISNUMBER($AV108),$AO108&amp;" · S"&amp;$AV108,"(Sin fecha)"),"")</f>
      </c>
      <c r="BA108" s="202">
        <f>IF($C108,IF(AND(ISNUMBER('Backlog General'!$M108),'Backlog General'!$M108=$AS108),"Nuevo S"&amp;'Backlog General'!$M108,""),"")</f>
      </c>
      <c r="BB108" s="202">
        <f>IF(AND($C108,$AO108="Semanal",ISNUMBER($AV108)),$AV108*100000+ROW(),"")</f>
      </c>
      <c r="BC108" s="202">
        <f>IF(AND($C108,$AO108="Quincenal",ISNUMBER($AV108)),$AV108*100000+ROW(),"")</f>
      </c>
      <c r="BD108" s="202">
        <f>IF(AND($C108,$AO108="Mensual",ISNUMBER($AV108)),$AV108*100000+ROW(),"")</f>
      </c>
      <c r="BE108" s="203">
        <f>IF($C108,IF(ISBLANK('Backlog General'!$J108),"",'Backlog General'!$J108),"")</f>
      </c>
      <c r="BF108" s="203">
        <f>IF($C108,IF($BE108="","",$BE108)&amp;IF(AND($BE108&lt;&gt;"",$AH108&lt;&gt;"")," · ","")&amp;IF($AH108="","",$AH108),"")</f>
      </c>
      <c r="BG108" s="203">
        <f>IF($C108,IF($J108="Completado","Sí","No"),"")</f>
      </c>
      <c r="BH108" s="202">
        <f>IF(AND($C108,ISNUMBER($AR108)),IF($AO108="Semanal",1,IF($AO108="Quincenal",2,3))*1000000000+$AR108*100000+ROW(),"")</f>
      </c>
    </row>
    <row r="109">
      <c r="A109" s="202">
        <f>ROW()</f>
        <v>109</v>
      </c>
      <c r="B109" s="202" t="b">
        <f>ISTEXT('Proyecto Datos (OKR´s)'!$K109)</f>
        <v>0</v>
      </c>
      <c r="C109" s="202" t="b">
        <f>AND(LEN('Proyecto Datos (OKR´s)'!$G109)&gt;0,NOT($B109),OR(ISNUMBER('Proyecto Datos (OKR´s)'!$F109),ISNUMBER('Proyecto Datos (OKR´s)'!$L109)))</f>
        <v>0</v>
      </c>
      <c r="D109" s="203">
        <f>IF($C109,IFERROR(LOOKUP(2,1/((ISTEXT('Proyecto Datos (OKR´s)'!$K$7:$K109))*(LEN('Proyecto Datos (OKR´s)'!$G$7:$G109)&gt;0)),'Proyecto Datos (OKR´s)'!$G$7:$G109),""),"")</f>
      </c>
      <c r="E109" s="202">
        <f>IF($C109,'Proyecto Datos (OKR´s)'!$E109,"")</f>
      </c>
      <c r="F109" s="203">
        <f>IF($C109,'Proyecto Datos (OKR´s)'!$G109,"")</f>
      </c>
      <c r="G109" s="203">
        <f>IF($C109,IF('Proyecto Datos (OKR´s)'!$I109="","(Sin asignar)",'Proyecto Datos (OKR´s)'!$I109),"")</f>
      </c>
      <c r="H109" s="202">
        <f>IF($C109,IF(ISNUMBER('Proyecto Datos (OKR´s)'!$F109),'Proyecto Datos (OKR´s)'!$F109,""),"")</f>
      </c>
      <c r="I109" s="202">
        <f>IF($C109,'Proyecto Datos (OKR´s)'!$J109,"")</f>
      </c>
      <c r="J109" s="203">
        <f>IF($C109,IF($I109&gt;=1,"Completado",IF(NOT(ISNUMBER($H109)),"Sin fecha",IF($H109&lt;TODAY(),"Vencido",IF(($H109-TODAY())&lt;='Entregas Próximas'!$M$3,"Próximo a vencer","En curso")))),"")</f>
      </c>
      <c r="K109" s="202">
        <f>IF(AND($C109,ISNUMBER($H109)),$H109-TODAY(),"")</f>
      </c>
      <c r="L109" s="202">
        <f>IF(AND($C109,ISNUMBER($H109)),$AD109*1000000+$H109+ROW()/100000,"")</f>
      </c>
      <c r="M109" s="202">
        <f>IF($C109,IF($AD109=9999,"(Sin sprint)",$AD109),"")</f>
      </c>
      <c r="N109" s="202">
        <f>IF($C109,IF('Proyecto Datos (OKR´s)'!$E109="",9999,'Proyecto Datos (OKR´s)'!$E109),"")</f>
      </c>
      <c r="O109" s="202">
        <f>IF($C109,"T"&amp;TEXT(ROW(),"000"),"")</f>
      </c>
      <c r="R109" s="202">
        <f>IF($C109,IF(ISNUMBER('Proyecto Datos (OKR´s)'!$L109),'Proyecto Datos (OKR´s)'!$L109,$H109),"")</f>
      </c>
      <c r="S109" s="202">
        <f>IF($C109,$R109-'Proyecto Datos (OKR´s)'!$K109+1,"")</f>
      </c>
      <c r="T109" s="202">
        <f>IF($C109,MAX(0,TODAY()-'Proyecto Datos (OKR´s)'!$K109),"")</f>
      </c>
      <c r="U109" s="202">
        <f>IF($C109,MEDIAN(0,(TODAY()-'Proyecto Datos (OKR´s)'!$K109)/MAX(1,$R109-'Proyecto Datos (OKR´s)'!$K109),1),"")</f>
      </c>
      <c r="V109" s="202">
        <f>IF($C109,$I109-$U109,"")</f>
      </c>
      <c r="W109" s="202">
        <f>IF($C109,IF(OR($J109="Completado",NOT(ISNUMBER($H109))),0,MAX(0,TODAY()-$H109)),"")</f>
      </c>
      <c r="X109" s="202">
        <f>IF($C109,IF(ISNUMBER($H109),$R109-$H109,0),"")</f>
      </c>
      <c r="Y109" s="202">
        <f>IF($C109,COUNTIFS($G$7:$G$200,$G109,$J$7:$J$200,"&lt;&gt;Completado",$J$7:$J$200,"&lt;&gt;"),"")</f>
      </c>
      <c r="Z109" s="202">
        <f>IF($C109,AND($I109=0,'Proyecto Datos (OKR´s)'!$K109&lt;=TODAY(),$J109&lt;&gt;"Completado"),"")</f>
      </c>
      <c r="AA109" s="202">
        <f>IF($C109,ROUND(100*(0.35*$AK109+0.3*$AL109+0.2*$AM109+0.15*MEDIAN(0,($Y109-4)/8,1)),0),"")</f>
      </c>
      <c r="AB109" s="203">
        <f>IF($C109,IF(OR($J109="Completado",$J109="Sin fecha"),"—",IF($AA109&gt;=70,"Crítica",IF($AA109&gt;=45,"Alta",IF($AA109&gt;=25,"Media","Baja")))),"")</f>
      </c>
      <c r="AC109" s="203">
        <f>IF($C109,IF(LEN(TRIM($AN109))=0,"—",TRIM($AN109)),"")</f>
      </c>
      <c r="AD109" s="202">
        <f>IF($C109,$AV109,"")</f>
      </c>
      <c r="AE109" s="202">
        <f>IF($C109,$AZ109,"")</f>
      </c>
      <c r="AF109" s="202" t="b">
        <f>IF($C109,$AV109&lt;&gt;$AR109,FALSE)</f>
        <v>0</v>
      </c>
      <c r="AG109" s="202">
        <f>IF($C109,IF($AV109&lt;&gt;$AR109,$AW109,""),"")</f>
      </c>
      <c r="AH109" s="203">
        <f>IF($C109,IF(ISBLANK('Backlog General'!$K109),"",'Backlog General'!$K109),"")</f>
      </c>
      <c r="AI109" s="202">
        <f>IF($C109,$AV109*100000+ROW(),"")</f>
      </c>
      <c r="AJ109" s="202">
        <f>IF(AND($C109,ISNUMBER($H109)),$AA109*1000000-MEDIAN(-9999,$K109,9999)*100+(300-ROW()),"")</f>
      </c>
      <c r="AK109" s="202">
        <f>IF($C109,IF($J109="Completado",0,IF($K109&lt;0,1,IF($K109&lt;=3,0.9,IF($K109&lt;=7,0.7,IF($K109&lt;=14,0.45,0.2))))),"")</f>
      </c>
      <c r="AL109" s="202">
        <f>IF($C109,IF($J109="Completado",0,MEDIAN(0,MAX(-$V109,$W109/30),1)),"")</f>
      </c>
      <c r="AM109" s="202">
        <f>IF($C109,IF($J109="Completado",0,IF($Z109,1,IF(AND($I109&lt;0.5,$K109&lt;=7),0.7,0.3))),"")</f>
      </c>
      <c r="AN109" s="203">
        <f>IF($C109,IF(OR($V109&lt;-0.2,$W109&gt;0),"ATRASO ","")&amp;IF($Z109,"BLOQUEO ","")&amp;IF($Y109&gt;8,"SOBRECARGA ","")&amp;IF($X109&gt;0,"DESVÍO-PLAN ",""),"")</f>
      </c>
      <c r="AO109" s="203">
        <f>IF($C109,IFERROR(VLOOKUP($D109,'Sprints'!$I$5:$J$12,2,FALSE),"Semanal"),"")</f>
      </c>
      <c r="AP109" s="202">
        <f>IF($C109,IFERROR(VLOOKUP($AO109,'Sprints'!$B$9:$C$11,2,FALSE),1),"")</f>
      </c>
      <c r="AQ109" s="202">
        <f>IF($C109,'Sprints'!$C$5,"")</f>
      </c>
      <c r="AR109" s="202">
        <f>IF(AND($C109,ISNUMBER($H109)),CEILING(MAX(1,INT(($H109-$AQ109+'Sprints'!$D$5-1)/'Sprints'!$D$5)+1)/$AP109,1),"")</f>
      </c>
      <c r="AS109" s="202">
        <f>IF($C109,CEILING(MAX(1,INT((TODAY()-$AQ109+'Sprints'!$D$5-1)/'Sprints'!$D$5)+1)/$AP109,1),"")</f>
      </c>
      <c r="AT109" s="203">
        <f>IF($C109,'Backlog General'!$G109,"")</f>
      </c>
      <c r="AU109" s="203">
        <f>IF($C109,'Backlog General'!$H109,"")</f>
      </c>
      <c r="AV109" s="202">
        <f>IF(AND($C109,ISNUMBER($AR109)),IF(OR($AT109="Completo",$AU109="Cancelado",$AU109="Baja prioridad"),$AR109,IF($AU109="Pasa al siguiente",MAX($AR109+1,$AS109),MAX($AR109,$AS109))),"")</f>
      </c>
      <c r="AW109" s="202">
        <f>IF(AND($C109,ISNUMBER($AR109)),$AQ109+$AR109*$AP109*'Sprints'!$D$5-'Sprints'!$D$5,"")</f>
      </c>
      <c r="AX109" s="202">
        <f>IF($C109,IF(OR($AT109="Completo",$AU109="Cancelado",$AU109="Baja prioridad",NOT(ISNUMBER($AW109))),0,IF(TODAY()&gt;$AW109,NETWORKDAYS($AW109,TODAY(),'Sprints'!$L$5:$L$40)-1,0)),"")</f>
      </c>
      <c r="AY109" s="203">
        <f>IF($C109,IF(NOT(ISNUMBER($AR109)),"Sin fecha",IF($AT109="Completo","Completo",IF($AU109="Cancelado","Cancelado",IF($AU109="Baja prioridad","Baja prioridad",IF($AX109&gt;0,"Vencida","Pendiente"))))),"")</f>
      </c>
      <c r="AZ109" s="203">
        <f>IF($C109,IF(ISNUMBER($AV109),$AO109&amp;" · S"&amp;$AV109,"(Sin fecha)"),"")</f>
      </c>
      <c r="BA109" s="202">
        <f>IF($C109,IF(AND(ISNUMBER('Backlog General'!$M109),'Backlog General'!$M109=$AS109),"Nuevo S"&amp;'Backlog General'!$M109,""),"")</f>
      </c>
      <c r="BB109" s="202">
        <f>IF(AND($C109,$AO109="Semanal",ISNUMBER($AV109)),$AV109*100000+ROW(),"")</f>
      </c>
      <c r="BC109" s="202">
        <f>IF(AND($C109,$AO109="Quincenal",ISNUMBER($AV109)),$AV109*100000+ROW(),"")</f>
      </c>
      <c r="BD109" s="202">
        <f>IF(AND($C109,$AO109="Mensual",ISNUMBER($AV109)),$AV109*100000+ROW(),"")</f>
      </c>
      <c r="BE109" s="203">
        <f>IF($C109,IF(ISBLANK('Backlog General'!$J109),"",'Backlog General'!$J109),"")</f>
      </c>
      <c r="BF109" s="203">
        <f>IF($C109,IF($BE109="","",$BE109)&amp;IF(AND($BE109&lt;&gt;"",$AH109&lt;&gt;"")," · ","")&amp;IF($AH109="","",$AH109),"")</f>
      </c>
      <c r="BG109" s="203">
        <f>IF($C109,IF($J109="Completado","Sí","No"),"")</f>
      </c>
      <c r="BH109" s="202">
        <f>IF(AND($C109,ISNUMBER($AR109)),IF($AO109="Semanal",1,IF($AO109="Quincenal",2,3))*1000000000+$AR109*100000+ROW(),"")</f>
      </c>
    </row>
    <row r="110">
      <c r="A110" s="202">
        <f>ROW()</f>
        <v>110</v>
      </c>
      <c r="B110" s="202" t="b">
        <f>ISTEXT('Proyecto Datos (OKR´s)'!$K110)</f>
        <v>0</v>
      </c>
      <c r="C110" s="202" t="b">
        <f>AND(LEN('Proyecto Datos (OKR´s)'!$G110)&gt;0,NOT($B110),OR(ISNUMBER('Proyecto Datos (OKR´s)'!$F110),ISNUMBER('Proyecto Datos (OKR´s)'!$L110)))</f>
        <v>0</v>
      </c>
      <c r="D110" s="203">
        <f>IF($C110,IFERROR(LOOKUP(2,1/((ISTEXT('Proyecto Datos (OKR´s)'!$K$7:$K110))*(LEN('Proyecto Datos (OKR´s)'!$G$7:$G110)&gt;0)),'Proyecto Datos (OKR´s)'!$G$7:$G110),""),"")</f>
      </c>
      <c r="E110" s="202">
        <f>IF($C110,'Proyecto Datos (OKR´s)'!$E110,"")</f>
      </c>
      <c r="F110" s="203">
        <f>IF($C110,'Proyecto Datos (OKR´s)'!$G110,"")</f>
      </c>
      <c r="G110" s="203">
        <f>IF($C110,IF('Proyecto Datos (OKR´s)'!$I110="","(Sin asignar)",'Proyecto Datos (OKR´s)'!$I110),"")</f>
      </c>
      <c r="H110" s="202">
        <f>IF($C110,IF(ISNUMBER('Proyecto Datos (OKR´s)'!$F110),'Proyecto Datos (OKR´s)'!$F110,""),"")</f>
      </c>
      <c r="I110" s="202">
        <f>IF($C110,'Proyecto Datos (OKR´s)'!$J110,"")</f>
      </c>
      <c r="J110" s="203">
        <f>IF($C110,IF($I110&gt;=1,"Completado",IF(NOT(ISNUMBER($H110)),"Sin fecha",IF($H110&lt;TODAY(),"Vencido",IF(($H110-TODAY())&lt;='Entregas Próximas'!$M$3,"Próximo a vencer","En curso")))),"")</f>
      </c>
      <c r="K110" s="202">
        <f>IF(AND($C110,ISNUMBER($H110)),$H110-TODAY(),"")</f>
      </c>
      <c r="L110" s="202">
        <f>IF(AND($C110,ISNUMBER($H110)),$AD110*1000000+$H110+ROW()/100000,"")</f>
      </c>
      <c r="M110" s="202">
        <f>IF($C110,IF($AD110=9999,"(Sin sprint)",$AD110),"")</f>
      </c>
      <c r="N110" s="202">
        <f>IF($C110,IF('Proyecto Datos (OKR´s)'!$E110="",9999,'Proyecto Datos (OKR´s)'!$E110),"")</f>
      </c>
      <c r="O110" s="202">
        <f>IF($C110,"T"&amp;TEXT(ROW(),"000"),"")</f>
      </c>
      <c r="R110" s="202">
        <f>IF($C110,IF(ISNUMBER('Proyecto Datos (OKR´s)'!$L110),'Proyecto Datos (OKR´s)'!$L110,$H110),"")</f>
      </c>
      <c r="S110" s="202">
        <f>IF($C110,$R110-'Proyecto Datos (OKR´s)'!$K110+1,"")</f>
      </c>
      <c r="T110" s="202">
        <f>IF($C110,MAX(0,TODAY()-'Proyecto Datos (OKR´s)'!$K110),"")</f>
      </c>
      <c r="U110" s="202">
        <f>IF($C110,MEDIAN(0,(TODAY()-'Proyecto Datos (OKR´s)'!$K110)/MAX(1,$R110-'Proyecto Datos (OKR´s)'!$K110),1),"")</f>
      </c>
      <c r="V110" s="202">
        <f>IF($C110,$I110-$U110,"")</f>
      </c>
      <c r="W110" s="202">
        <f>IF($C110,IF(OR($J110="Completado",NOT(ISNUMBER($H110))),0,MAX(0,TODAY()-$H110)),"")</f>
      </c>
      <c r="X110" s="202">
        <f>IF($C110,IF(ISNUMBER($H110),$R110-$H110,0),"")</f>
      </c>
      <c r="Y110" s="202">
        <f>IF($C110,COUNTIFS($G$7:$G$200,$G110,$J$7:$J$200,"&lt;&gt;Completado",$J$7:$J$200,"&lt;&gt;"),"")</f>
      </c>
      <c r="Z110" s="202">
        <f>IF($C110,AND($I110=0,'Proyecto Datos (OKR´s)'!$K110&lt;=TODAY(),$J110&lt;&gt;"Completado"),"")</f>
      </c>
      <c r="AA110" s="202">
        <f>IF($C110,ROUND(100*(0.35*$AK110+0.3*$AL110+0.2*$AM110+0.15*MEDIAN(0,($Y110-4)/8,1)),0),"")</f>
      </c>
      <c r="AB110" s="203">
        <f>IF($C110,IF(OR($J110="Completado",$J110="Sin fecha"),"—",IF($AA110&gt;=70,"Crítica",IF($AA110&gt;=45,"Alta",IF($AA110&gt;=25,"Media","Baja")))),"")</f>
      </c>
      <c r="AC110" s="203">
        <f>IF($C110,IF(LEN(TRIM($AN110))=0,"—",TRIM($AN110)),"")</f>
      </c>
      <c r="AD110" s="202">
        <f>IF($C110,$AV110,"")</f>
      </c>
      <c r="AE110" s="202">
        <f>IF($C110,$AZ110,"")</f>
      </c>
      <c r="AF110" s="202" t="b">
        <f>IF($C110,$AV110&lt;&gt;$AR110,FALSE)</f>
        <v>0</v>
      </c>
      <c r="AG110" s="202">
        <f>IF($C110,IF($AV110&lt;&gt;$AR110,$AW110,""),"")</f>
      </c>
      <c r="AH110" s="203">
        <f>IF($C110,IF(ISBLANK('Backlog General'!$K110),"",'Backlog General'!$K110),"")</f>
      </c>
      <c r="AI110" s="202">
        <f>IF($C110,$AV110*100000+ROW(),"")</f>
      </c>
      <c r="AJ110" s="202">
        <f>IF(AND($C110,ISNUMBER($H110)),$AA110*1000000-MEDIAN(-9999,$K110,9999)*100+(300-ROW()),"")</f>
      </c>
      <c r="AK110" s="202">
        <f>IF($C110,IF($J110="Completado",0,IF($K110&lt;0,1,IF($K110&lt;=3,0.9,IF($K110&lt;=7,0.7,IF($K110&lt;=14,0.45,0.2))))),"")</f>
      </c>
      <c r="AL110" s="202">
        <f>IF($C110,IF($J110="Completado",0,MEDIAN(0,MAX(-$V110,$W110/30),1)),"")</f>
      </c>
      <c r="AM110" s="202">
        <f>IF($C110,IF($J110="Completado",0,IF($Z110,1,IF(AND($I110&lt;0.5,$K110&lt;=7),0.7,0.3))),"")</f>
      </c>
      <c r="AN110" s="203">
        <f>IF($C110,IF(OR($V110&lt;-0.2,$W110&gt;0),"ATRASO ","")&amp;IF($Z110,"BLOQUEO ","")&amp;IF($Y110&gt;8,"SOBRECARGA ","")&amp;IF($X110&gt;0,"DESVÍO-PLAN ",""),"")</f>
      </c>
      <c r="AO110" s="203">
        <f>IF($C110,IFERROR(VLOOKUP($D110,'Sprints'!$I$5:$J$12,2,FALSE),"Semanal"),"")</f>
      </c>
      <c r="AP110" s="202">
        <f>IF($C110,IFERROR(VLOOKUP($AO110,'Sprints'!$B$9:$C$11,2,FALSE),1),"")</f>
      </c>
      <c r="AQ110" s="202">
        <f>IF($C110,'Sprints'!$C$5,"")</f>
      </c>
      <c r="AR110" s="202">
        <f>IF(AND($C110,ISNUMBER($H110)),CEILING(MAX(1,INT(($H110-$AQ110+'Sprints'!$D$5-1)/'Sprints'!$D$5)+1)/$AP110,1),"")</f>
      </c>
      <c r="AS110" s="202">
        <f>IF($C110,CEILING(MAX(1,INT((TODAY()-$AQ110+'Sprints'!$D$5-1)/'Sprints'!$D$5)+1)/$AP110,1),"")</f>
      </c>
      <c r="AT110" s="203">
        <f>IF($C110,'Backlog General'!$G110,"")</f>
      </c>
      <c r="AU110" s="203">
        <f>IF($C110,'Backlog General'!$H110,"")</f>
      </c>
      <c r="AV110" s="202">
        <f>IF(AND($C110,ISNUMBER($AR110)),IF(OR($AT110="Completo",$AU110="Cancelado",$AU110="Baja prioridad"),$AR110,IF($AU110="Pasa al siguiente",MAX($AR110+1,$AS110),MAX($AR110,$AS110))),"")</f>
      </c>
      <c r="AW110" s="202">
        <f>IF(AND($C110,ISNUMBER($AR110)),$AQ110+$AR110*$AP110*'Sprints'!$D$5-'Sprints'!$D$5,"")</f>
      </c>
      <c r="AX110" s="202">
        <f>IF($C110,IF(OR($AT110="Completo",$AU110="Cancelado",$AU110="Baja prioridad",NOT(ISNUMBER($AW110))),0,IF(TODAY()&gt;$AW110,NETWORKDAYS($AW110,TODAY(),'Sprints'!$L$5:$L$40)-1,0)),"")</f>
      </c>
      <c r="AY110" s="203">
        <f>IF($C110,IF(NOT(ISNUMBER($AR110)),"Sin fecha",IF($AT110="Completo","Completo",IF($AU110="Cancelado","Cancelado",IF($AU110="Baja prioridad","Baja prioridad",IF($AX110&gt;0,"Vencida","Pendiente"))))),"")</f>
      </c>
      <c r="AZ110" s="203">
        <f>IF($C110,IF(ISNUMBER($AV110),$AO110&amp;" · S"&amp;$AV110,"(Sin fecha)"),"")</f>
      </c>
      <c r="BA110" s="202">
        <f>IF($C110,IF(AND(ISNUMBER('Backlog General'!$M110),'Backlog General'!$M110=$AS110),"Nuevo S"&amp;'Backlog General'!$M110,""),"")</f>
      </c>
      <c r="BB110" s="202">
        <f>IF(AND($C110,$AO110="Semanal",ISNUMBER($AV110)),$AV110*100000+ROW(),"")</f>
      </c>
      <c r="BC110" s="202">
        <f>IF(AND($C110,$AO110="Quincenal",ISNUMBER($AV110)),$AV110*100000+ROW(),"")</f>
      </c>
      <c r="BD110" s="202">
        <f>IF(AND($C110,$AO110="Mensual",ISNUMBER($AV110)),$AV110*100000+ROW(),"")</f>
      </c>
      <c r="BE110" s="203">
        <f>IF($C110,IF(ISBLANK('Backlog General'!$J110),"",'Backlog General'!$J110),"")</f>
      </c>
      <c r="BF110" s="203">
        <f>IF($C110,IF($BE110="","",$BE110)&amp;IF(AND($BE110&lt;&gt;"",$AH110&lt;&gt;"")," · ","")&amp;IF($AH110="","",$AH110),"")</f>
      </c>
      <c r="BG110" s="203">
        <f>IF($C110,IF($J110="Completado","Sí","No"),"")</f>
      </c>
      <c r="BH110" s="202">
        <f>IF(AND($C110,ISNUMBER($AR110)),IF($AO110="Semanal",1,IF($AO110="Quincenal",2,3))*1000000000+$AR110*100000+ROW(),"")</f>
      </c>
    </row>
    <row r="111">
      <c r="A111" s="202">
        <f>ROW()</f>
        <v>111</v>
      </c>
      <c r="B111" s="202" t="b">
        <f>ISTEXT('Proyecto Datos (OKR´s)'!$K111)</f>
        <v>0</v>
      </c>
      <c r="C111" s="202" t="b">
        <f>AND(LEN('Proyecto Datos (OKR´s)'!$G111)&gt;0,NOT($B111),OR(ISNUMBER('Proyecto Datos (OKR´s)'!$F111),ISNUMBER('Proyecto Datos (OKR´s)'!$L111)))</f>
        <v>0</v>
      </c>
      <c r="D111" s="203">
        <f>IF($C111,IFERROR(LOOKUP(2,1/((ISTEXT('Proyecto Datos (OKR´s)'!$K$7:$K111))*(LEN('Proyecto Datos (OKR´s)'!$G$7:$G111)&gt;0)),'Proyecto Datos (OKR´s)'!$G$7:$G111),""),"")</f>
      </c>
      <c r="E111" s="202">
        <f>IF($C111,'Proyecto Datos (OKR´s)'!$E111,"")</f>
      </c>
      <c r="F111" s="203">
        <f>IF($C111,'Proyecto Datos (OKR´s)'!$G111,"")</f>
      </c>
      <c r="G111" s="203">
        <f>IF($C111,IF('Proyecto Datos (OKR´s)'!$I111="","(Sin asignar)",'Proyecto Datos (OKR´s)'!$I111),"")</f>
      </c>
      <c r="H111" s="202">
        <f>IF($C111,IF(ISNUMBER('Proyecto Datos (OKR´s)'!$F111),'Proyecto Datos (OKR´s)'!$F111,""),"")</f>
      </c>
      <c r="I111" s="202">
        <f>IF($C111,'Proyecto Datos (OKR´s)'!$J111,"")</f>
      </c>
      <c r="J111" s="203">
        <f>IF($C111,IF($I111&gt;=1,"Completado",IF(NOT(ISNUMBER($H111)),"Sin fecha",IF($H111&lt;TODAY(),"Vencido",IF(($H111-TODAY())&lt;='Entregas Próximas'!$M$3,"Próximo a vencer","En curso")))),"")</f>
      </c>
      <c r="K111" s="202">
        <f>IF(AND($C111,ISNUMBER($H111)),$H111-TODAY(),"")</f>
      </c>
      <c r="L111" s="202">
        <f>IF(AND($C111,ISNUMBER($H111)),$AD111*1000000+$H111+ROW()/100000,"")</f>
      </c>
      <c r="M111" s="202">
        <f>IF($C111,IF($AD111=9999,"(Sin sprint)",$AD111),"")</f>
      </c>
      <c r="N111" s="202">
        <f>IF($C111,IF('Proyecto Datos (OKR´s)'!$E111="",9999,'Proyecto Datos (OKR´s)'!$E111),"")</f>
      </c>
      <c r="O111" s="202">
        <f>IF($C111,"T"&amp;TEXT(ROW(),"000"),"")</f>
      </c>
      <c r="R111" s="202">
        <f>IF($C111,IF(ISNUMBER('Proyecto Datos (OKR´s)'!$L111),'Proyecto Datos (OKR´s)'!$L111,$H111),"")</f>
      </c>
      <c r="S111" s="202">
        <f>IF($C111,$R111-'Proyecto Datos (OKR´s)'!$K111+1,"")</f>
      </c>
      <c r="T111" s="202">
        <f>IF($C111,MAX(0,TODAY()-'Proyecto Datos (OKR´s)'!$K111),"")</f>
      </c>
      <c r="U111" s="202">
        <f>IF($C111,MEDIAN(0,(TODAY()-'Proyecto Datos (OKR´s)'!$K111)/MAX(1,$R111-'Proyecto Datos (OKR´s)'!$K111),1),"")</f>
      </c>
      <c r="V111" s="202">
        <f>IF($C111,$I111-$U111,"")</f>
      </c>
      <c r="W111" s="202">
        <f>IF($C111,IF(OR($J111="Completado",NOT(ISNUMBER($H111))),0,MAX(0,TODAY()-$H111)),"")</f>
      </c>
      <c r="X111" s="202">
        <f>IF($C111,IF(ISNUMBER($H111),$R111-$H111,0),"")</f>
      </c>
      <c r="Y111" s="202">
        <f>IF($C111,COUNTIFS($G$7:$G$200,$G111,$J$7:$J$200,"&lt;&gt;Completado",$J$7:$J$200,"&lt;&gt;"),"")</f>
      </c>
      <c r="Z111" s="202">
        <f>IF($C111,AND($I111=0,'Proyecto Datos (OKR´s)'!$K111&lt;=TODAY(),$J111&lt;&gt;"Completado"),"")</f>
      </c>
      <c r="AA111" s="202">
        <f>IF($C111,ROUND(100*(0.35*$AK111+0.3*$AL111+0.2*$AM111+0.15*MEDIAN(0,($Y111-4)/8,1)),0),"")</f>
      </c>
      <c r="AB111" s="203">
        <f>IF($C111,IF(OR($J111="Completado",$J111="Sin fecha"),"—",IF($AA111&gt;=70,"Crítica",IF($AA111&gt;=45,"Alta",IF($AA111&gt;=25,"Media","Baja")))),"")</f>
      </c>
      <c r="AC111" s="203">
        <f>IF($C111,IF(LEN(TRIM($AN111))=0,"—",TRIM($AN111)),"")</f>
      </c>
      <c r="AD111" s="202">
        <f>IF($C111,$AV111,"")</f>
      </c>
      <c r="AE111" s="202">
        <f>IF($C111,$AZ111,"")</f>
      </c>
      <c r="AF111" s="202" t="b">
        <f>IF($C111,$AV111&lt;&gt;$AR111,FALSE)</f>
        <v>0</v>
      </c>
      <c r="AG111" s="202">
        <f>IF($C111,IF($AV111&lt;&gt;$AR111,$AW111,""),"")</f>
      </c>
      <c r="AH111" s="203">
        <f>IF($C111,IF(ISBLANK('Backlog General'!$K111),"",'Backlog General'!$K111),"")</f>
      </c>
      <c r="AI111" s="202">
        <f>IF($C111,$AV111*100000+ROW(),"")</f>
      </c>
      <c r="AJ111" s="202">
        <f>IF(AND($C111,ISNUMBER($H111)),$AA111*1000000-MEDIAN(-9999,$K111,9999)*100+(300-ROW()),"")</f>
      </c>
      <c r="AK111" s="202">
        <f>IF($C111,IF($J111="Completado",0,IF($K111&lt;0,1,IF($K111&lt;=3,0.9,IF($K111&lt;=7,0.7,IF($K111&lt;=14,0.45,0.2))))),"")</f>
      </c>
      <c r="AL111" s="202">
        <f>IF($C111,IF($J111="Completado",0,MEDIAN(0,MAX(-$V111,$W111/30),1)),"")</f>
      </c>
      <c r="AM111" s="202">
        <f>IF($C111,IF($J111="Completado",0,IF($Z111,1,IF(AND($I111&lt;0.5,$K111&lt;=7),0.7,0.3))),"")</f>
      </c>
      <c r="AN111" s="203">
        <f>IF($C111,IF(OR($V111&lt;-0.2,$W111&gt;0),"ATRASO ","")&amp;IF($Z111,"BLOQUEO ","")&amp;IF($Y111&gt;8,"SOBRECARGA ","")&amp;IF($X111&gt;0,"DESVÍO-PLAN ",""),"")</f>
      </c>
      <c r="AO111" s="203">
        <f>IF($C111,IFERROR(VLOOKUP($D111,'Sprints'!$I$5:$J$12,2,FALSE),"Semanal"),"")</f>
      </c>
      <c r="AP111" s="202">
        <f>IF($C111,IFERROR(VLOOKUP($AO111,'Sprints'!$B$9:$C$11,2,FALSE),1),"")</f>
      </c>
      <c r="AQ111" s="202">
        <f>IF($C111,'Sprints'!$C$5,"")</f>
      </c>
      <c r="AR111" s="202">
        <f>IF(AND($C111,ISNUMBER($H111)),CEILING(MAX(1,INT(($H111-$AQ111+'Sprints'!$D$5-1)/'Sprints'!$D$5)+1)/$AP111,1),"")</f>
      </c>
      <c r="AS111" s="202">
        <f>IF($C111,CEILING(MAX(1,INT((TODAY()-$AQ111+'Sprints'!$D$5-1)/'Sprints'!$D$5)+1)/$AP111,1),"")</f>
      </c>
      <c r="AT111" s="203">
        <f>IF($C111,'Backlog General'!$G111,"")</f>
      </c>
      <c r="AU111" s="203">
        <f>IF($C111,'Backlog General'!$H111,"")</f>
      </c>
      <c r="AV111" s="202">
        <f>IF(AND($C111,ISNUMBER($AR111)),IF(OR($AT111="Completo",$AU111="Cancelado",$AU111="Baja prioridad"),$AR111,IF($AU111="Pasa al siguiente",MAX($AR111+1,$AS111),MAX($AR111,$AS111))),"")</f>
      </c>
      <c r="AW111" s="202">
        <f>IF(AND($C111,ISNUMBER($AR111)),$AQ111+$AR111*$AP111*'Sprints'!$D$5-'Sprints'!$D$5,"")</f>
      </c>
      <c r="AX111" s="202">
        <f>IF($C111,IF(OR($AT111="Completo",$AU111="Cancelado",$AU111="Baja prioridad",NOT(ISNUMBER($AW111))),0,IF(TODAY()&gt;$AW111,NETWORKDAYS($AW111,TODAY(),'Sprints'!$L$5:$L$40)-1,0)),"")</f>
      </c>
      <c r="AY111" s="203">
        <f>IF($C111,IF(NOT(ISNUMBER($AR111)),"Sin fecha",IF($AT111="Completo","Completo",IF($AU111="Cancelado","Cancelado",IF($AU111="Baja prioridad","Baja prioridad",IF($AX111&gt;0,"Vencida","Pendiente"))))),"")</f>
      </c>
      <c r="AZ111" s="203">
        <f>IF($C111,IF(ISNUMBER($AV111),$AO111&amp;" · S"&amp;$AV111,"(Sin fecha)"),"")</f>
      </c>
      <c r="BA111" s="202">
        <f>IF($C111,IF(AND(ISNUMBER('Backlog General'!$M111),'Backlog General'!$M111=$AS111),"Nuevo S"&amp;'Backlog General'!$M111,""),"")</f>
      </c>
      <c r="BB111" s="202">
        <f>IF(AND($C111,$AO111="Semanal",ISNUMBER($AV111)),$AV111*100000+ROW(),"")</f>
      </c>
      <c r="BC111" s="202">
        <f>IF(AND($C111,$AO111="Quincenal",ISNUMBER($AV111)),$AV111*100000+ROW(),"")</f>
      </c>
      <c r="BD111" s="202">
        <f>IF(AND($C111,$AO111="Mensual",ISNUMBER($AV111)),$AV111*100000+ROW(),"")</f>
      </c>
      <c r="BE111" s="203">
        <f>IF($C111,IF(ISBLANK('Backlog General'!$J111),"",'Backlog General'!$J111),"")</f>
      </c>
      <c r="BF111" s="203">
        <f>IF($C111,IF($BE111="","",$BE111)&amp;IF(AND($BE111&lt;&gt;"",$AH111&lt;&gt;"")," · ","")&amp;IF($AH111="","",$AH111),"")</f>
      </c>
      <c r="BG111" s="203">
        <f>IF($C111,IF($J111="Completado","Sí","No"),"")</f>
      </c>
      <c r="BH111" s="202">
        <f>IF(AND($C111,ISNUMBER($AR111)),IF($AO111="Semanal",1,IF($AO111="Quincenal",2,3))*1000000000+$AR111*100000+ROW(),"")</f>
      </c>
    </row>
    <row r="112">
      <c r="A112" s="202">
        <f>ROW()</f>
        <v>112</v>
      </c>
      <c r="B112" s="202" t="b">
        <f>ISTEXT('Proyecto Datos (OKR´s)'!$K112)</f>
        <v>0</v>
      </c>
      <c r="C112" s="202" t="b">
        <f>AND(LEN('Proyecto Datos (OKR´s)'!$G112)&gt;0,NOT($B112),OR(ISNUMBER('Proyecto Datos (OKR´s)'!$F112),ISNUMBER('Proyecto Datos (OKR´s)'!$L112)))</f>
        <v>0</v>
      </c>
      <c r="D112" s="203">
        <f>IF($C112,IFERROR(LOOKUP(2,1/((ISTEXT('Proyecto Datos (OKR´s)'!$K$7:$K112))*(LEN('Proyecto Datos (OKR´s)'!$G$7:$G112)&gt;0)),'Proyecto Datos (OKR´s)'!$G$7:$G112),""),"")</f>
      </c>
      <c r="E112" s="202">
        <f>IF($C112,'Proyecto Datos (OKR´s)'!$E112,"")</f>
      </c>
      <c r="F112" s="203">
        <f>IF($C112,'Proyecto Datos (OKR´s)'!$G112,"")</f>
      </c>
      <c r="G112" s="203">
        <f>IF($C112,IF('Proyecto Datos (OKR´s)'!$I112="","(Sin asignar)",'Proyecto Datos (OKR´s)'!$I112),"")</f>
      </c>
      <c r="H112" s="202">
        <f>IF($C112,IF(ISNUMBER('Proyecto Datos (OKR´s)'!$F112),'Proyecto Datos (OKR´s)'!$F112,""),"")</f>
      </c>
      <c r="I112" s="202">
        <f>IF($C112,'Proyecto Datos (OKR´s)'!$J112,"")</f>
      </c>
      <c r="J112" s="203">
        <f>IF($C112,IF($I112&gt;=1,"Completado",IF(NOT(ISNUMBER($H112)),"Sin fecha",IF($H112&lt;TODAY(),"Vencido",IF(($H112-TODAY())&lt;='Entregas Próximas'!$M$3,"Próximo a vencer","En curso")))),"")</f>
      </c>
      <c r="K112" s="202">
        <f>IF(AND($C112,ISNUMBER($H112)),$H112-TODAY(),"")</f>
      </c>
      <c r="L112" s="202">
        <f>IF(AND($C112,ISNUMBER($H112)),$AD112*1000000+$H112+ROW()/100000,"")</f>
      </c>
      <c r="M112" s="202">
        <f>IF($C112,IF($AD112=9999,"(Sin sprint)",$AD112),"")</f>
      </c>
      <c r="N112" s="202">
        <f>IF($C112,IF('Proyecto Datos (OKR´s)'!$E112="",9999,'Proyecto Datos (OKR´s)'!$E112),"")</f>
      </c>
      <c r="O112" s="202">
        <f>IF($C112,"T"&amp;TEXT(ROW(),"000"),"")</f>
      </c>
      <c r="R112" s="202">
        <f>IF($C112,IF(ISNUMBER('Proyecto Datos (OKR´s)'!$L112),'Proyecto Datos (OKR´s)'!$L112,$H112),"")</f>
      </c>
      <c r="S112" s="202">
        <f>IF($C112,$R112-'Proyecto Datos (OKR´s)'!$K112+1,"")</f>
      </c>
      <c r="T112" s="202">
        <f>IF($C112,MAX(0,TODAY()-'Proyecto Datos (OKR´s)'!$K112),"")</f>
      </c>
      <c r="U112" s="202">
        <f>IF($C112,MEDIAN(0,(TODAY()-'Proyecto Datos (OKR´s)'!$K112)/MAX(1,$R112-'Proyecto Datos (OKR´s)'!$K112),1),"")</f>
      </c>
      <c r="V112" s="202">
        <f>IF($C112,$I112-$U112,"")</f>
      </c>
      <c r="W112" s="202">
        <f>IF($C112,IF(OR($J112="Completado",NOT(ISNUMBER($H112))),0,MAX(0,TODAY()-$H112)),"")</f>
      </c>
      <c r="X112" s="202">
        <f>IF($C112,IF(ISNUMBER($H112),$R112-$H112,0),"")</f>
      </c>
      <c r="Y112" s="202">
        <f>IF($C112,COUNTIFS($G$7:$G$200,$G112,$J$7:$J$200,"&lt;&gt;Completado",$J$7:$J$200,"&lt;&gt;"),"")</f>
      </c>
      <c r="Z112" s="202">
        <f>IF($C112,AND($I112=0,'Proyecto Datos (OKR´s)'!$K112&lt;=TODAY(),$J112&lt;&gt;"Completado"),"")</f>
      </c>
      <c r="AA112" s="202">
        <f>IF($C112,ROUND(100*(0.35*$AK112+0.3*$AL112+0.2*$AM112+0.15*MEDIAN(0,($Y112-4)/8,1)),0),"")</f>
      </c>
      <c r="AB112" s="203">
        <f>IF($C112,IF(OR($J112="Completado",$J112="Sin fecha"),"—",IF($AA112&gt;=70,"Crítica",IF($AA112&gt;=45,"Alta",IF($AA112&gt;=25,"Media","Baja")))),"")</f>
      </c>
      <c r="AC112" s="203">
        <f>IF($C112,IF(LEN(TRIM($AN112))=0,"—",TRIM($AN112)),"")</f>
      </c>
      <c r="AD112" s="202">
        <f>IF($C112,$AV112,"")</f>
      </c>
      <c r="AE112" s="202">
        <f>IF($C112,$AZ112,"")</f>
      </c>
      <c r="AF112" s="202" t="b">
        <f>IF($C112,$AV112&lt;&gt;$AR112,FALSE)</f>
        <v>0</v>
      </c>
      <c r="AG112" s="202">
        <f>IF($C112,IF($AV112&lt;&gt;$AR112,$AW112,""),"")</f>
      </c>
      <c r="AH112" s="203">
        <f>IF($C112,IF(ISBLANK('Backlog General'!$K112),"",'Backlog General'!$K112),"")</f>
      </c>
      <c r="AI112" s="202">
        <f>IF($C112,$AV112*100000+ROW(),"")</f>
      </c>
      <c r="AJ112" s="202">
        <f>IF(AND($C112,ISNUMBER($H112)),$AA112*1000000-MEDIAN(-9999,$K112,9999)*100+(300-ROW()),"")</f>
      </c>
      <c r="AK112" s="202">
        <f>IF($C112,IF($J112="Completado",0,IF($K112&lt;0,1,IF($K112&lt;=3,0.9,IF($K112&lt;=7,0.7,IF($K112&lt;=14,0.45,0.2))))),"")</f>
      </c>
      <c r="AL112" s="202">
        <f>IF($C112,IF($J112="Completado",0,MEDIAN(0,MAX(-$V112,$W112/30),1)),"")</f>
      </c>
      <c r="AM112" s="202">
        <f>IF($C112,IF($J112="Completado",0,IF($Z112,1,IF(AND($I112&lt;0.5,$K112&lt;=7),0.7,0.3))),"")</f>
      </c>
      <c r="AN112" s="203">
        <f>IF($C112,IF(OR($V112&lt;-0.2,$W112&gt;0),"ATRASO ","")&amp;IF($Z112,"BLOQUEO ","")&amp;IF($Y112&gt;8,"SOBRECARGA ","")&amp;IF($X112&gt;0,"DESVÍO-PLAN ",""),"")</f>
      </c>
      <c r="AO112" s="203">
        <f>IF($C112,IFERROR(VLOOKUP($D112,'Sprints'!$I$5:$J$12,2,FALSE),"Semanal"),"")</f>
      </c>
      <c r="AP112" s="202">
        <f>IF($C112,IFERROR(VLOOKUP($AO112,'Sprints'!$B$9:$C$11,2,FALSE),1),"")</f>
      </c>
      <c r="AQ112" s="202">
        <f>IF($C112,'Sprints'!$C$5,"")</f>
      </c>
      <c r="AR112" s="202">
        <f>IF(AND($C112,ISNUMBER($H112)),CEILING(MAX(1,INT(($H112-$AQ112+'Sprints'!$D$5-1)/'Sprints'!$D$5)+1)/$AP112,1),"")</f>
      </c>
      <c r="AS112" s="202">
        <f>IF($C112,CEILING(MAX(1,INT((TODAY()-$AQ112+'Sprints'!$D$5-1)/'Sprints'!$D$5)+1)/$AP112,1),"")</f>
      </c>
      <c r="AT112" s="203">
        <f>IF($C112,'Backlog General'!$G112,"")</f>
      </c>
      <c r="AU112" s="203">
        <f>IF($C112,'Backlog General'!$H112,"")</f>
      </c>
      <c r="AV112" s="202">
        <f>IF(AND($C112,ISNUMBER($AR112)),IF(OR($AT112="Completo",$AU112="Cancelado",$AU112="Baja prioridad"),$AR112,IF($AU112="Pasa al siguiente",MAX($AR112+1,$AS112),MAX($AR112,$AS112))),"")</f>
      </c>
      <c r="AW112" s="202">
        <f>IF(AND($C112,ISNUMBER($AR112)),$AQ112+$AR112*$AP112*'Sprints'!$D$5-'Sprints'!$D$5,"")</f>
      </c>
      <c r="AX112" s="202">
        <f>IF($C112,IF(OR($AT112="Completo",$AU112="Cancelado",$AU112="Baja prioridad",NOT(ISNUMBER($AW112))),0,IF(TODAY()&gt;$AW112,NETWORKDAYS($AW112,TODAY(),'Sprints'!$L$5:$L$40)-1,0)),"")</f>
      </c>
      <c r="AY112" s="203">
        <f>IF($C112,IF(NOT(ISNUMBER($AR112)),"Sin fecha",IF($AT112="Completo","Completo",IF($AU112="Cancelado","Cancelado",IF($AU112="Baja prioridad","Baja prioridad",IF($AX112&gt;0,"Vencida","Pendiente"))))),"")</f>
      </c>
      <c r="AZ112" s="203">
        <f>IF($C112,IF(ISNUMBER($AV112),$AO112&amp;" · S"&amp;$AV112,"(Sin fecha)"),"")</f>
      </c>
      <c r="BA112" s="202">
        <f>IF($C112,IF(AND(ISNUMBER('Backlog General'!$M112),'Backlog General'!$M112=$AS112),"Nuevo S"&amp;'Backlog General'!$M112,""),"")</f>
      </c>
      <c r="BB112" s="202">
        <f>IF(AND($C112,$AO112="Semanal",ISNUMBER($AV112)),$AV112*100000+ROW(),"")</f>
      </c>
      <c r="BC112" s="202">
        <f>IF(AND($C112,$AO112="Quincenal",ISNUMBER($AV112)),$AV112*100000+ROW(),"")</f>
      </c>
      <c r="BD112" s="202">
        <f>IF(AND($C112,$AO112="Mensual",ISNUMBER($AV112)),$AV112*100000+ROW(),"")</f>
      </c>
      <c r="BE112" s="203">
        <f>IF($C112,IF(ISBLANK('Backlog General'!$J112),"",'Backlog General'!$J112),"")</f>
      </c>
      <c r="BF112" s="203">
        <f>IF($C112,IF($BE112="","",$BE112)&amp;IF(AND($BE112&lt;&gt;"",$AH112&lt;&gt;"")," · ","")&amp;IF($AH112="","",$AH112),"")</f>
      </c>
      <c r="BG112" s="203">
        <f>IF($C112,IF($J112="Completado","Sí","No"),"")</f>
      </c>
      <c r="BH112" s="202">
        <f>IF(AND($C112,ISNUMBER($AR112)),IF($AO112="Semanal",1,IF($AO112="Quincenal",2,3))*1000000000+$AR112*100000+ROW(),"")</f>
      </c>
    </row>
    <row r="113">
      <c r="A113" s="202">
        <f>ROW()</f>
        <v>113</v>
      </c>
      <c r="B113" s="202" t="b">
        <f>ISTEXT('Proyecto Datos (OKR´s)'!$K113)</f>
        <v>0</v>
      </c>
      <c r="C113" s="202" t="b">
        <f>AND(LEN('Proyecto Datos (OKR´s)'!$G113)&gt;0,NOT($B113),OR(ISNUMBER('Proyecto Datos (OKR´s)'!$F113),ISNUMBER('Proyecto Datos (OKR´s)'!$L113)))</f>
        <v>0</v>
      </c>
      <c r="D113" s="203">
        <f>IF($C113,IFERROR(LOOKUP(2,1/((ISTEXT('Proyecto Datos (OKR´s)'!$K$7:$K113))*(LEN('Proyecto Datos (OKR´s)'!$G$7:$G113)&gt;0)),'Proyecto Datos (OKR´s)'!$G$7:$G113),""),"")</f>
      </c>
      <c r="E113" s="202">
        <f>IF($C113,'Proyecto Datos (OKR´s)'!$E113,"")</f>
      </c>
      <c r="F113" s="203">
        <f>IF($C113,'Proyecto Datos (OKR´s)'!$G113,"")</f>
      </c>
      <c r="G113" s="203">
        <f>IF($C113,IF('Proyecto Datos (OKR´s)'!$I113="","(Sin asignar)",'Proyecto Datos (OKR´s)'!$I113),"")</f>
      </c>
      <c r="H113" s="202">
        <f>IF($C113,IF(ISNUMBER('Proyecto Datos (OKR´s)'!$F113),'Proyecto Datos (OKR´s)'!$F113,""),"")</f>
      </c>
      <c r="I113" s="202">
        <f>IF($C113,'Proyecto Datos (OKR´s)'!$J113,"")</f>
      </c>
      <c r="J113" s="203">
        <f>IF($C113,IF($I113&gt;=1,"Completado",IF(NOT(ISNUMBER($H113)),"Sin fecha",IF($H113&lt;TODAY(),"Vencido",IF(($H113-TODAY())&lt;='Entregas Próximas'!$M$3,"Próximo a vencer","En curso")))),"")</f>
      </c>
      <c r="K113" s="202">
        <f>IF(AND($C113,ISNUMBER($H113)),$H113-TODAY(),"")</f>
      </c>
      <c r="L113" s="202">
        <f>IF(AND($C113,ISNUMBER($H113)),$AD113*1000000+$H113+ROW()/100000,"")</f>
      </c>
      <c r="M113" s="202">
        <f>IF($C113,IF($AD113=9999,"(Sin sprint)",$AD113),"")</f>
      </c>
      <c r="N113" s="202">
        <f>IF($C113,IF('Proyecto Datos (OKR´s)'!$E113="",9999,'Proyecto Datos (OKR´s)'!$E113),"")</f>
      </c>
      <c r="O113" s="202">
        <f>IF($C113,"T"&amp;TEXT(ROW(),"000"),"")</f>
      </c>
      <c r="R113" s="202">
        <f>IF($C113,IF(ISNUMBER('Proyecto Datos (OKR´s)'!$L113),'Proyecto Datos (OKR´s)'!$L113,$H113),"")</f>
      </c>
      <c r="S113" s="202">
        <f>IF($C113,$R113-'Proyecto Datos (OKR´s)'!$K113+1,"")</f>
      </c>
      <c r="T113" s="202">
        <f>IF($C113,MAX(0,TODAY()-'Proyecto Datos (OKR´s)'!$K113),"")</f>
      </c>
      <c r="U113" s="202">
        <f>IF($C113,MEDIAN(0,(TODAY()-'Proyecto Datos (OKR´s)'!$K113)/MAX(1,$R113-'Proyecto Datos (OKR´s)'!$K113),1),"")</f>
      </c>
      <c r="V113" s="202">
        <f>IF($C113,$I113-$U113,"")</f>
      </c>
      <c r="W113" s="202">
        <f>IF($C113,IF(OR($J113="Completado",NOT(ISNUMBER($H113))),0,MAX(0,TODAY()-$H113)),"")</f>
      </c>
      <c r="X113" s="202">
        <f>IF($C113,IF(ISNUMBER($H113),$R113-$H113,0),"")</f>
      </c>
      <c r="Y113" s="202">
        <f>IF($C113,COUNTIFS($G$7:$G$200,$G113,$J$7:$J$200,"&lt;&gt;Completado",$J$7:$J$200,"&lt;&gt;"),"")</f>
      </c>
      <c r="Z113" s="202">
        <f>IF($C113,AND($I113=0,'Proyecto Datos (OKR´s)'!$K113&lt;=TODAY(),$J113&lt;&gt;"Completado"),"")</f>
      </c>
      <c r="AA113" s="202">
        <f>IF($C113,ROUND(100*(0.35*$AK113+0.3*$AL113+0.2*$AM113+0.15*MEDIAN(0,($Y113-4)/8,1)),0),"")</f>
      </c>
      <c r="AB113" s="203">
        <f>IF($C113,IF(OR($J113="Completado",$J113="Sin fecha"),"—",IF($AA113&gt;=70,"Crítica",IF($AA113&gt;=45,"Alta",IF($AA113&gt;=25,"Media","Baja")))),"")</f>
      </c>
      <c r="AC113" s="203">
        <f>IF($C113,IF(LEN(TRIM($AN113))=0,"—",TRIM($AN113)),"")</f>
      </c>
      <c r="AD113" s="202">
        <f>IF($C113,$AV113,"")</f>
      </c>
      <c r="AE113" s="202">
        <f>IF($C113,$AZ113,"")</f>
      </c>
      <c r="AF113" s="202" t="b">
        <f>IF($C113,$AV113&lt;&gt;$AR113,FALSE)</f>
        <v>0</v>
      </c>
      <c r="AG113" s="202">
        <f>IF($C113,IF($AV113&lt;&gt;$AR113,$AW113,""),"")</f>
      </c>
      <c r="AH113" s="203">
        <f>IF($C113,IF(ISBLANK('Backlog General'!$K113),"",'Backlog General'!$K113),"")</f>
      </c>
      <c r="AI113" s="202">
        <f>IF($C113,$AV113*100000+ROW(),"")</f>
      </c>
      <c r="AJ113" s="202">
        <f>IF(AND($C113,ISNUMBER($H113)),$AA113*1000000-MEDIAN(-9999,$K113,9999)*100+(300-ROW()),"")</f>
      </c>
      <c r="AK113" s="202">
        <f>IF($C113,IF($J113="Completado",0,IF($K113&lt;0,1,IF($K113&lt;=3,0.9,IF($K113&lt;=7,0.7,IF($K113&lt;=14,0.45,0.2))))),"")</f>
      </c>
      <c r="AL113" s="202">
        <f>IF($C113,IF($J113="Completado",0,MEDIAN(0,MAX(-$V113,$W113/30),1)),"")</f>
      </c>
      <c r="AM113" s="202">
        <f>IF($C113,IF($J113="Completado",0,IF($Z113,1,IF(AND($I113&lt;0.5,$K113&lt;=7),0.7,0.3))),"")</f>
      </c>
      <c r="AN113" s="203">
        <f>IF($C113,IF(OR($V113&lt;-0.2,$W113&gt;0),"ATRASO ","")&amp;IF($Z113,"BLOQUEO ","")&amp;IF($Y113&gt;8,"SOBRECARGA ","")&amp;IF($X113&gt;0,"DESVÍO-PLAN ",""),"")</f>
      </c>
      <c r="AO113" s="203">
        <f>IF($C113,IFERROR(VLOOKUP($D113,'Sprints'!$I$5:$J$12,2,FALSE),"Semanal"),"")</f>
      </c>
      <c r="AP113" s="202">
        <f>IF($C113,IFERROR(VLOOKUP($AO113,'Sprints'!$B$9:$C$11,2,FALSE),1),"")</f>
      </c>
      <c r="AQ113" s="202">
        <f>IF($C113,'Sprints'!$C$5,"")</f>
      </c>
      <c r="AR113" s="202">
        <f>IF(AND($C113,ISNUMBER($H113)),CEILING(MAX(1,INT(($H113-$AQ113+'Sprints'!$D$5-1)/'Sprints'!$D$5)+1)/$AP113,1),"")</f>
      </c>
      <c r="AS113" s="202">
        <f>IF($C113,CEILING(MAX(1,INT((TODAY()-$AQ113+'Sprints'!$D$5-1)/'Sprints'!$D$5)+1)/$AP113,1),"")</f>
      </c>
      <c r="AT113" s="203">
        <f>IF($C113,'Backlog General'!$G113,"")</f>
      </c>
      <c r="AU113" s="203">
        <f>IF($C113,'Backlog General'!$H113,"")</f>
      </c>
      <c r="AV113" s="202">
        <f>IF(AND($C113,ISNUMBER($AR113)),IF(OR($AT113="Completo",$AU113="Cancelado",$AU113="Baja prioridad"),$AR113,IF($AU113="Pasa al siguiente",MAX($AR113+1,$AS113),MAX($AR113,$AS113))),"")</f>
      </c>
      <c r="AW113" s="202">
        <f>IF(AND($C113,ISNUMBER($AR113)),$AQ113+$AR113*$AP113*'Sprints'!$D$5-'Sprints'!$D$5,"")</f>
      </c>
      <c r="AX113" s="202">
        <f>IF($C113,IF(OR($AT113="Completo",$AU113="Cancelado",$AU113="Baja prioridad",NOT(ISNUMBER($AW113))),0,IF(TODAY()&gt;$AW113,NETWORKDAYS($AW113,TODAY(),'Sprints'!$L$5:$L$40)-1,0)),"")</f>
      </c>
      <c r="AY113" s="203">
        <f>IF($C113,IF(NOT(ISNUMBER($AR113)),"Sin fecha",IF($AT113="Completo","Completo",IF($AU113="Cancelado","Cancelado",IF($AU113="Baja prioridad","Baja prioridad",IF($AX113&gt;0,"Vencida","Pendiente"))))),"")</f>
      </c>
      <c r="AZ113" s="203">
        <f>IF($C113,IF(ISNUMBER($AV113),$AO113&amp;" · S"&amp;$AV113,"(Sin fecha)"),"")</f>
      </c>
      <c r="BA113" s="202">
        <f>IF($C113,IF(AND(ISNUMBER('Backlog General'!$M113),'Backlog General'!$M113=$AS113),"Nuevo S"&amp;'Backlog General'!$M113,""),"")</f>
      </c>
      <c r="BB113" s="202">
        <f>IF(AND($C113,$AO113="Semanal",ISNUMBER($AV113)),$AV113*100000+ROW(),"")</f>
      </c>
      <c r="BC113" s="202">
        <f>IF(AND($C113,$AO113="Quincenal",ISNUMBER($AV113)),$AV113*100000+ROW(),"")</f>
      </c>
      <c r="BD113" s="202">
        <f>IF(AND($C113,$AO113="Mensual",ISNUMBER($AV113)),$AV113*100000+ROW(),"")</f>
      </c>
      <c r="BE113" s="203">
        <f>IF($C113,IF(ISBLANK('Backlog General'!$J113),"",'Backlog General'!$J113),"")</f>
      </c>
      <c r="BF113" s="203">
        <f>IF($C113,IF($BE113="","",$BE113)&amp;IF(AND($BE113&lt;&gt;"",$AH113&lt;&gt;"")," · ","")&amp;IF($AH113="","",$AH113),"")</f>
      </c>
      <c r="BG113" s="203">
        <f>IF($C113,IF($J113="Completado","Sí","No"),"")</f>
      </c>
      <c r="BH113" s="202">
        <f>IF(AND($C113,ISNUMBER($AR113)),IF($AO113="Semanal",1,IF($AO113="Quincenal",2,3))*1000000000+$AR113*100000+ROW(),"")</f>
      </c>
    </row>
    <row r="114">
      <c r="A114" s="202">
        <f>ROW()</f>
        <v>114</v>
      </c>
      <c r="B114" s="202" t="b">
        <f>ISTEXT('Proyecto Datos (OKR´s)'!$K114)</f>
        <v>0</v>
      </c>
      <c r="C114" s="202" t="b">
        <f>AND(LEN('Proyecto Datos (OKR´s)'!$G114)&gt;0,NOT($B114),OR(ISNUMBER('Proyecto Datos (OKR´s)'!$F114),ISNUMBER('Proyecto Datos (OKR´s)'!$L114)))</f>
        <v>0</v>
      </c>
      <c r="D114" s="203">
        <f>IF($C114,IFERROR(LOOKUP(2,1/((ISTEXT('Proyecto Datos (OKR´s)'!$K$7:$K114))*(LEN('Proyecto Datos (OKR´s)'!$G$7:$G114)&gt;0)),'Proyecto Datos (OKR´s)'!$G$7:$G114),""),"")</f>
      </c>
      <c r="E114" s="202">
        <f>IF($C114,'Proyecto Datos (OKR´s)'!$E114,"")</f>
      </c>
      <c r="F114" s="203">
        <f>IF($C114,'Proyecto Datos (OKR´s)'!$G114,"")</f>
      </c>
      <c r="G114" s="203">
        <f>IF($C114,IF('Proyecto Datos (OKR´s)'!$I114="","(Sin asignar)",'Proyecto Datos (OKR´s)'!$I114),"")</f>
      </c>
      <c r="H114" s="202">
        <f>IF($C114,IF(ISNUMBER('Proyecto Datos (OKR´s)'!$F114),'Proyecto Datos (OKR´s)'!$F114,""),"")</f>
      </c>
      <c r="I114" s="202">
        <f>IF($C114,'Proyecto Datos (OKR´s)'!$J114,"")</f>
      </c>
      <c r="J114" s="203">
        <f>IF($C114,IF($I114&gt;=1,"Completado",IF(NOT(ISNUMBER($H114)),"Sin fecha",IF($H114&lt;TODAY(),"Vencido",IF(($H114-TODAY())&lt;='Entregas Próximas'!$M$3,"Próximo a vencer","En curso")))),"")</f>
      </c>
      <c r="K114" s="202">
        <f>IF(AND($C114,ISNUMBER($H114)),$H114-TODAY(),"")</f>
      </c>
      <c r="L114" s="202">
        <f>IF(AND($C114,ISNUMBER($H114)),$AD114*1000000+$H114+ROW()/100000,"")</f>
      </c>
      <c r="M114" s="202">
        <f>IF($C114,IF($AD114=9999,"(Sin sprint)",$AD114),"")</f>
      </c>
      <c r="N114" s="202">
        <f>IF($C114,IF('Proyecto Datos (OKR´s)'!$E114="",9999,'Proyecto Datos (OKR´s)'!$E114),"")</f>
      </c>
      <c r="O114" s="202">
        <f>IF($C114,"T"&amp;TEXT(ROW(),"000"),"")</f>
      </c>
      <c r="R114" s="202">
        <f>IF($C114,IF(ISNUMBER('Proyecto Datos (OKR´s)'!$L114),'Proyecto Datos (OKR´s)'!$L114,$H114),"")</f>
      </c>
      <c r="S114" s="202">
        <f>IF($C114,$R114-'Proyecto Datos (OKR´s)'!$K114+1,"")</f>
      </c>
      <c r="T114" s="202">
        <f>IF($C114,MAX(0,TODAY()-'Proyecto Datos (OKR´s)'!$K114),"")</f>
      </c>
      <c r="U114" s="202">
        <f>IF($C114,MEDIAN(0,(TODAY()-'Proyecto Datos (OKR´s)'!$K114)/MAX(1,$R114-'Proyecto Datos (OKR´s)'!$K114),1),"")</f>
      </c>
      <c r="V114" s="202">
        <f>IF($C114,$I114-$U114,"")</f>
      </c>
      <c r="W114" s="202">
        <f>IF($C114,IF(OR($J114="Completado",NOT(ISNUMBER($H114))),0,MAX(0,TODAY()-$H114)),"")</f>
      </c>
      <c r="X114" s="202">
        <f>IF($C114,IF(ISNUMBER($H114),$R114-$H114,0),"")</f>
      </c>
      <c r="Y114" s="202">
        <f>IF($C114,COUNTIFS($G$7:$G$200,$G114,$J$7:$J$200,"&lt;&gt;Completado",$J$7:$J$200,"&lt;&gt;"),"")</f>
      </c>
      <c r="Z114" s="202">
        <f>IF($C114,AND($I114=0,'Proyecto Datos (OKR´s)'!$K114&lt;=TODAY(),$J114&lt;&gt;"Completado"),"")</f>
      </c>
      <c r="AA114" s="202">
        <f>IF($C114,ROUND(100*(0.35*$AK114+0.3*$AL114+0.2*$AM114+0.15*MEDIAN(0,($Y114-4)/8,1)),0),"")</f>
      </c>
      <c r="AB114" s="203">
        <f>IF($C114,IF(OR($J114="Completado",$J114="Sin fecha"),"—",IF($AA114&gt;=70,"Crítica",IF($AA114&gt;=45,"Alta",IF($AA114&gt;=25,"Media","Baja")))),"")</f>
      </c>
      <c r="AC114" s="203">
        <f>IF($C114,IF(LEN(TRIM($AN114))=0,"—",TRIM($AN114)),"")</f>
      </c>
      <c r="AD114" s="202">
        <f>IF($C114,$AV114,"")</f>
      </c>
      <c r="AE114" s="202">
        <f>IF($C114,$AZ114,"")</f>
      </c>
      <c r="AF114" s="202" t="b">
        <f>IF($C114,$AV114&lt;&gt;$AR114,FALSE)</f>
        <v>0</v>
      </c>
      <c r="AG114" s="202">
        <f>IF($C114,IF($AV114&lt;&gt;$AR114,$AW114,""),"")</f>
      </c>
      <c r="AH114" s="203">
        <f>IF($C114,IF(ISBLANK('Backlog General'!$K114),"",'Backlog General'!$K114),"")</f>
      </c>
      <c r="AI114" s="202">
        <f>IF($C114,$AV114*100000+ROW(),"")</f>
      </c>
      <c r="AJ114" s="202">
        <f>IF(AND($C114,ISNUMBER($H114)),$AA114*1000000-MEDIAN(-9999,$K114,9999)*100+(300-ROW()),"")</f>
      </c>
      <c r="AK114" s="202">
        <f>IF($C114,IF($J114="Completado",0,IF($K114&lt;0,1,IF($K114&lt;=3,0.9,IF($K114&lt;=7,0.7,IF($K114&lt;=14,0.45,0.2))))),"")</f>
      </c>
      <c r="AL114" s="202">
        <f>IF($C114,IF($J114="Completado",0,MEDIAN(0,MAX(-$V114,$W114/30),1)),"")</f>
      </c>
      <c r="AM114" s="202">
        <f>IF($C114,IF($J114="Completado",0,IF($Z114,1,IF(AND($I114&lt;0.5,$K114&lt;=7),0.7,0.3))),"")</f>
      </c>
      <c r="AN114" s="203">
        <f>IF($C114,IF(OR($V114&lt;-0.2,$W114&gt;0),"ATRASO ","")&amp;IF($Z114,"BLOQUEO ","")&amp;IF($Y114&gt;8,"SOBRECARGA ","")&amp;IF($X114&gt;0,"DESVÍO-PLAN ",""),"")</f>
      </c>
      <c r="AO114" s="203">
        <f>IF($C114,IFERROR(VLOOKUP($D114,'Sprints'!$I$5:$J$12,2,FALSE),"Semanal"),"")</f>
      </c>
      <c r="AP114" s="202">
        <f>IF($C114,IFERROR(VLOOKUP($AO114,'Sprints'!$B$9:$C$11,2,FALSE),1),"")</f>
      </c>
      <c r="AQ114" s="202">
        <f>IF($C114,'Sprints'!$C$5,"")</f>
      </c>
      <c r="AR114" s="202">
        <f>IF(AND($C114,ISNUMBER($H114)),CEILING(MAX(1,INT(($H114-$AQ114+'Sprints'!$D$5-1)/'Sprints'!$D$5)+1)/$AP114,1),"")</f>
      </c>
      <c r="AS114" s="202">
        <f>IF($C114,CEILING(MAX(1,INT((TODAY()-$AQ114+'Sprints'!$D$5-1)/'Sprints'!$D$5)+1)/$AP114,1),"")</f>
      </c>
      <c r="AT114" s="203">
        <f>IF($C114,'Backlog General'!$G114,"")</f>
      </c>
      <c r="AU114" s="203">
        <f>IF($C114,'Backlog General'!$H114,"")</f>
      </c>
      <c r="AV114" s="202">
        <f>IF(AND($C114,ISNUMBER($AR114)),IF(OR($AT114="Completo",$AU114="Cancelado",$AU114="Baja prioridad"),$AR114,IF($AU114="Pasa al siguiente",MAX($AR114+1,$AS114),MAX($AR114,$AS114))),"")</f>
      </c>
      <c r="AW114" s="202">
        <f>IF(AND($C114,ISNUMBER($AR114)),$AQ114+$AR114*$AP114*'Sprints'!$D$5-'Sprints'!$D$5,"")</f>
      </c>
      <c r="AX114" s="202">
        <f>IF($C114,IF(OR($AT114="Completo",$AU114="Cancelado",$AU114="Baja prioridad",NOT(ISNUMBER($AW114))),0,IF(TODAY()&gt;$AW114,NETWORKDAYS($AW114,TODAY(),'Sprints'!$L$5:$L$40)-1,0)),"")</f>
      </c>
      <c r="AY114" s="203">
        <f>IF($C114,IF(NOT(ISNUMBER($AR114)),"Sin fecha",IF($AT114="Completo","Completo",IF($AU114="Cancelado","Cancelado",IF($AU114="Baja prioridad","Baja prioridad",IF($AX114&gt;0,"Vencida","Pendiente"))))),"")</f>
      </c>
      <c r="AZ114" s="203">
        <f>IF($C114,IF(ISNUMBER($AV114),$AO114&amp;" · S"&amp;$AV114,"(Sin fecha)"),"")</f>
      </c>
      <c r="BA114" s="202">
        <f>IF($C114,IF(AND(ISNUMBER('Backlog General'!$M114),'Backlog General'!$M114=$AS114),"Nuevo S"&amp;'Backlog General'!$M114,""),"")</f>
      </c>
      <c r="BB114" s="202">
        <f>IF(AND($C114,$AO114="Semanal",ISNUMBER($AV114)),$AV114*100000+ROW(),"")</f>
      </c>
      <c r="BC114" s="202">
        <f>IF(AND($C114,$AO114="Quincenal",ISNUMBER($AV114)),$AV114*100000+ROW(),"")</f>
      </c>
      <c r="BD114" s="202">
        <f>IF(AND($C114,$AO114="Mensual",ISNUMBER($AV114)),$AV114*100000+ROW(),"")</f>
      </c>
      <c r="BE114" s="203">
        <f>IF($C114,IF(ISBLANK('Backlog General'!$J114),"",'Backlog General'!$J114),"")</f>
      </c>
      <c r="BF114" s="203">
        <f>IF($C114,IF($BE114="","",$BE114)&amp;IF(AND($BE114&lt;&gt;"",$AH114&lt;&gt;"")," · ","")&amp;IF($AH114="","",$AH114),"")</f>
      </c>
      <c r="BG114" s="203">
        <f>IF($C114,IF($J114="Completado","Sí","No"),"")</f>
      </c>
      <c r="BH114" s="202">
        <f>IF(AND($C114,ISNUMBER($AR114)),IF($AO114="Semanal",1,IF($AO114="Quincenal",2,3))*1000000000+$AR114*100000+ROW(),"")</f>
      </c>
    </row>
    <row r="115">
      <c r="A115" s="202">
        <f>ROW()</f>
        <v>115</v>
      </c>
      <c r="B115" s="202" t="b">
        <f>ISTEXT('Proyecto Datos (OKR´s)'!$K115)</f>
        <v>0</v>
      </c>
      <c r="C115" s="202" t="b">
        <f>AND(LEN('Proyecto Datos (OKR´s)'!$G115)&gt;0,NOT($B115),OR(ISNUMBER('Proyecto Datos (OKR´s)'!$F115),ISNUMBER('Proyecto Datos (OKR´s)'!$L115)))</f>
        <v>0</v>
      </c>
      <c r="D115" s="203">
        <f>IF($C115,IFERROR(LOOKUP(2,1/((ISTEXT('Proyecto Datos (OKR´s)'!$K$7:$K115))*(LEN('Proyecto Datos (OKR´s)'!$G$7:$G115)&gt;0)),'Proyecto Datos (OKR´s)'!$G$7:$G115),""),"")</f>
      </c>
      <c r="E115" s="202">
        <f>IF($C115,'Proyecto Datos (OKR´s)'!$E115,"")</f>
      </c>
      <c r="F115" s="203">
        <f>IF($C115,'Proyecto Datos (OKR´s)'!$G115,"")</f>
      </c>
      <c r="G115" s="203">
        <f>IF($C115,IF('Proyecto Datos (OKR´s)'!$I115="","(Sin asignar)",'Proyecto Datos (OKR´s)'!$I115),"")</f>
      </c>
      <c r="H115" s="202">
        <f>IF($C115,IF(ISNUMBER('Proyecto Datos (OKR´s)'!$F115),'Proyecto Datos (OKR´s)'!$F115,""),"")</f>
      </c>
      <c r="I115" s="202">
        <f>IF($C115,'Proyecto Datos (OKR´s)'!$J115,"")</f>
      </c>
      <c r="J115" s="203">
        <f>IF($C115,IF($I115&gt;=1,"Completado",IF(NOT(ISNUMBER($H115)),"Sin fecha",IF($H115&lt;TODAY(),"Vencido",IF(($H115-TODAY())&lt;='Entregas Próximas'!$M$3,"Próximo a vencer","En curso")))),"")</f>
      </c>
      <c r="K115" s="202">
        <f>IF(AND($C115,ISNUMBER($H115)),$H115-TODAY(),"")</f>
      </c>
      <c r="L115" s="202">
        <f>IF(AND($C115,ISNUMBER($H115)),$AD115*1000000+$H115+ROW()/100000,"")</f>
      </c>
      <c r="M115" s="202">
        <f>IF($C115,IF($AD115=9999,"(Sin sprint)",$AD115),"")</f>
      </c>
      <c r="N115" s="202">
        <f>IF($C115,IF('Proyecto Datos (OKR´s)'!$E115="",9999,'Proyecto Datos (OKR´s)'!$E115),"")</f>
      </c>
      <c r="O115" s="202">
        <f>IF($C115,"T"&amp;TEXT(ROW(),"000"),"")</f>
      </c>
      <c r="R115" s="202">
        <f>IF($C115,IF(ISNUMBER('Proyecto Datos (OKR´s)'!$L115),'Proyecto Datos (OKR´s)'!$L115,$H115),"")</f>
      </c>
      <c r="S115" s="202">
        <f>IF($C115,$R115-'Proyecto Datos (OKR´s)'!$K115+1,"")</f>
      </c>
      <c r="T115" s="202">
        <f>IF($C115,MAX(0,TODAY()-'Proyecto Datos (OKR´s)'!$K115),"")</f>
      </c>
      <c r="U115" s="202">
        <f>IF($C115,MEDIAN(0,(TODAY()-'Proyecto Datos (OKR´s)'!$K115)/MAX(1,$R115-'Proyecto Datos (OKR´s)'!$K115),1),"")</f>
      </c>
      <c r="V115" s="202">
        <f>IF($C115,$I115-$U115,"")</f>
      </c>
      <c r="W115" s="202">
        <f>IF($C115,IF(OR($J115="Completado",NOT(ISNUMBER($H115))),0,MAX(0,TODAY()-$H115)),"")</f>
      </c>
      <c r="X115" s="202">
        <f>IF($C115,IF(ISNUMBER($H115),$R115-$H115,0),"")</f>
      </c>
      <c r="Y115" s="202">
        <f>IF($C115,COUNTIFS($G$7:$G$200,$G115,$J$7:$J$200,"&lt;&gt;Completado",$J$7:$J$200,"&lt;&gt;"),"")</f>
      </c>
      <c r="Z115" s="202">
        <f>IF($C115,AND($I115=0,'Proyecto Datos (OKR´s)'!$K115&lt;=TODAY(),$J115&lt;&gt;"Completado"),"")</f>
      </c>
      <c r="AA115" s="202">
        <f>IF($C115,ROUND(100*(0.35*$AK115+0.3*$AL115+0.2*$AM115+0.15*MEDIAN(0,($Y115-4)/8,1)),0),"")</f>
      </c>
      <c r="AB115" s="203">
        <f>IF($C115,IF(OR($J115="Completado",$J115="Sin fecha"),"—",IF($AA115&gt;=70,"Crítica",IF($AA115&gt;=45,"Alta",IF($AA115&gt;=25,"Media","Baja")))),"")</f>
      </c>
      <c r="AC115" s="203">
        <f>IF($C115,IF(LEN(TRIM($AN115))=0,"—",TRIM($AN115)),"")</f>
      </c>
      <c r="AD115" s="202">
        <f>IF($C115,$AV115,"")</f>
      </c>
      <c r="AE115" s="202">
        <f>IF($C115,$AZ115,"")</f>
      </c>
      <c r="AF115" s="202" t="b">
        <f>IF($C115,$AV115&lt;&gt;$AR115,FALSE)</f>
        <v>0</v>
      </c>
      <c r="AG115" s="202">
        <f>IF($C115,IF($AV115&lt;&gt;$AR115,$AW115,""),"")</f>
      </c>
      <c r="AH115" s="203">
        <f>IF($C115,IF(ISBLANK('Backlog General'!$K115),"",'Backlog General'!$K115),"")</f>
      </c>
      <c r="AI115" s="202">
        <f>IF($C115,$AV115*100000+ROW(),"")</f>
      </c>
      <c r="AJ115" s="202">
        <f>IF(AND($C115,ISNUMBER($H115)),$AA115*1000000-MEDIAN(-9999,$K115,9999)*100+(300-ROW()),"")</f>
      </c>
      <c r="AK115" s="202">
        <f>IF($C115,IF($J115="Completado",0,IF($K115&lt;0,1,IF($K115&lt;=3,0.9,IF($K115&lt;=7,0.7,IF($K115&lt;=14,0.45,0.2))))),"")</f>
      </c>
      <c r="AL115" s="202">
        <f>IF($C115,IF($J115="Completado",0,MEDIAN(0,MAX(-$V115,$W115/30),1)),"")</f>
      </c>
      <c r="AM115" s="202">
        <f>IF($C115,IF($J115="Completado",0,IF($Z115,1,IF(AND($I115&lt;0.5,$K115&lt;=7),0.7,0.3))),"")</f>
      </c>
      <c r="AN115" s="203">
        <f>IF($C115,IF(OR($V115&lt;-0.2,$W115&gt;0),"ATRASO ","")&amp;IF($Z115,"BLOQUEO ","")&amp;IF($Y115&gt;8,"SOBRECARGA ","")&amp;IF($X115&gt;0,"DESVÍO-PLAN ",""),"")</f>
      </c>
      <c r="AO115" s="203">
        <f>IF($C115,IFERROR(VLOOKUP($D115,'Sprints'!$I$5:$J$12,2,FALSE),"Semanal"),"")</f>
      </c>
      <c r="AP115" s="202">
        <f>IF($C115,IFERROR(VLOOKUP($AO115,'Sprints'!$B$9:$C$11,2,FALSE),1),"")</f>
      </c>
      <c r="AQ115" s="202">
        <f>IF($C115,'Sprints'!$C$5,"")</f>
      </c>
      <c r="AR115" s="202">
        <f>IF(AND($C115,ISNUMBER($H115)),CEILING(MAX(1,INT(($H115-$AQ115+'Sprints'!$D$5-1)/'Sprints'!$D$5)+1)/$AP115,1),"")</f>
      </c>
      <c r="AS115" s="202">
        <f>IF($C115,CEILING(MAX(1,INT((TODAY()-$AQ115+'Sprints'!$D$5-1)/'Sprints'!$D$5)+1)/$AP115,1),"")</f>
      </c>
      <c r="AT115" s="203">
        <f>IF($C115,'Backlog General'!$G115,"")</f>
      </c>
      <c r="AU115" s="203">
        <f>IF($C115,'Backlog General'!$H115,"")</f>
      </c>
      <c r="AV115" s="202">
        <f>IF(AND($C115,ISNUMBER($AR115)),IF(OR($AT115="Completo",$AU115="Cancelado",$AU115="Baja prioridad"),$AR115,IF($AU115="Pasa al siguiente",MAX($AR115+1,$AS115),MAX($AR115,$AS115))),"")</f>
      </c>
      <c r="AW115" s="202">
        <f>IF(AND($C115,ISNUMBER($AR115)),$AQ115+$AR115*$AP115*'Sprints'!$D$5-'Sprints'!$D$5,"")</f>
      </c>
      <c r="AX115" s="202">
        <f>IF($C115,IF(OR($AT115="Completo",$AU115="Cancelado",$AU115="Baja prioridad",NOT(ISNUMBER($AW115))),0,IF(TODAY()&gt;$AW115,NETWORKDAYS($AW115,TODAY(),'Sprints'!$L$5:$L$40)-1,0)),"")</f>
      </c>
      <c r="AY115" s="203">
        <f>IF($C115,IF(NOT(ISNUMBER($AR115)),"Sin fecha",IF($AT115="Completo","Completo",IF($AU115="Cancelado","Cancelado",IF($AU115="Baja prioridad","Baja prioridad",IF($AX115&gt;0,"Vencida","Pendiente"))))),"")</f>
      </c>
      <c r="AZ115" s="203">
        <f>IF($C115,IF(ISNUMBER($AV115),$AO115&amp;" · S"&amp;$AV115,"(Sin fecha)"),"")</f>
      </c>
      <c r="BA115" s="202">
        <f>IF($C115,IF(AND(ISNUMBER('Backlog General'!$M115),'Backlog General'!$M115=$AS115),"Nuevo S"&amp;'Backlog General'!$M115,""),"")</f>
      </c>
      <c r="BB115" s="202">
        <f>IF(AND($C115,$AO115="Semanal",ISNUMBER($AV115)),$AV115*100000+ROW(),"")</f>
      </c>
      <c r="BC115" s="202">
        <f>IF(AND($C115,$AO115="Quincenal",ISNUMBER($AV115)),$AV115*100000+ROW(),"")</f>
      </c>
      <c r="BD115" s="202">
        <f>IF(AND($C115,$AO115="Mensual",ISNUMBER($AV115)),$AV115*100000+ROW(),"")</f>
      </c>
      <c r="BE115" s="203">
        <f>IF($C115,IF(ISBLANK('Backlog General'!$J115),"",'Backlog General'!$J115),"")</f>
      </c>
      <c r="BF115" s="203">
        <f>IF($C115,IF($BE115="","",$BE115)&amp;IF(AND($BE115&lt;&gt;"",$AH115&lt;&gt;"")," · ","")&amp;IF($AH115="","",$AH115),"")</f>
      </c>
      <c r="BG115" s="203">
        <f>IF($C115,IF($J115="Completado","Sí","No"),"")</f>
      </c>
      <c r="BH115" s="202">
        <f>IF(AND($C115,ISNUMBER($AR115)),IF($AO115="Semanal",1,IF($AO115="Quincenal",2,3))*1000000000+$AR115*100000+ROW(),"")</f>
      </c>
    </row>
    <row r="116">
      <c r="A116" s="202">
        <f>ROW()</f>
        <v>116</v>
      </c>
      <c r="B116" s="202" t="b">
        <f>ISTEXT('Proyecto Datos (OKR´s)'!$K116)</f>
        <v>0</v>
      </c>
      <c r="C116" s="202" t="b">
        <f>AND(LEN('Proyecto Datos (OKR´s)'!$G116)&gt;0,NOT($B116),OR(ISNUMBER('Proyecto Datos (OKR´s)'!$F116),ISNUMBER('Proyecto Datos (OKR´s)'!$L116)))</f>
        <v>0</v>
      </c>
      <c r="D116" s="203">
        <f>IF($C116,IFERROR(LOOKUP(2,1/((ISTEXT('Proyecto Datos (OKR´s)'!$K$7:$K116))*(LEN('Proyecto Datos (OKR´s)'!$G$7:$G116)&gt;0)),'Proyecto Datos (OKR´s)'!$G$7:$G116),""),"")</f>
      </c>
      <c r="E116" s="202">
        <f>IF($C116,'Proyecto Datos (OKR´s)'!$E116,"")</f>
      </c>
      <c r="F116" s="203">
        <f>IF($C116,'Proyecto Datos (OKR´s)'!$G116,"")</f>
      </c>
      <c r="G116" s="203">
        <f>IF($C116,IF('Proyecto Datos (OKR´s)'!$I116="","(Sin asignar)",'Proyecto Datos (OKR´s)'!$I116),"")</f>
      </c>
      <c r="H116" s="202">
        <f>IF($C116,IF(ISNUMBER('Proyecto Datos (OKR´s)'!$F116),'Proyecto Datos (OKR´s)'!$F116,""),"")</f>
      </c>
      <c r="I116" s="202">
        <f>IF($C116,'Proyecto Datos (OKR´s)'!$J116,"")</f>
      </c>
      <c r="J116" s="203">
        <f>IF($C116,IF($I116&gt;=1,"Completado",IF(NOT(ISNUMBER($H116)),"Sin fecha",IF($H116&lt;TODAY(),"Vencido",IF(($H116-TODAY())&lt;='Entregas Próximas'!$M$3,"Próximo a vencer","En curso")))),"")</f>
      </c>
      <c r="K116" s="202">
        <f>IF(AND($C116,ISNUMBER($H116)),$H116-TODAY(),"")</f>
      </c>
      <c r="L116" s="202">
        <f>IF(AND($C116,ISNUMBER($H116)),$AD116*1000000+$H116+ROW()/100000,"")</f>
      </c>
      <c r="M116" s="202">
        <f>IF($C116,IF($AD116=9999,"(Sin sprint)",$AD116),"")</f>
      </c>
      <c r="N116" s="202">
        <f>IF($C116,IF('Proyecto Datos (OKR´s)'!$E116="",9999,'Proyecto Datos (OKR´s)'!$E116),"")</f>
      </c>
      <c r="O116" s="202">
        <f>IF($C116,"T"&amp;TEXT(ROW(),"000"),"")</f>
      </c>
      <c r="R116" s="202">
        <f>IF($C116,IF(ISNUMBER('Proyecto Datos (OKR´s)'!$L116),'Proyecto Datos (OKR´s)'!$L116,$H116),"")</f>
      </c>
      <c r="S116" s="202">
        <f>IF($C116,$R116-'Proyecto Datos (OKR´s)'!$K116+1,"")</f>
      </c>
      <c r="T116" s="202">
        <f>IF($C116,MAX(0,TODAY()-'Proyecto Datos (OKR´s)'!$K116),"")</f>
      </c>
      <c r="U116" s="202">
        <f>IF($C116,MEDIAN(0,(TODAY()-'Proyecto Datos (OKR´s)'!$K116)/MAX(1,$R116-'Proyecto Datos (OKR´s)'!$K116),1),"")</f>
      </c>
      <c r="V116" s="202">
        <f>IF($C116,$I116-$U116,"")</f>
      </c>
      <c r="W116" s="202">
        <f>IF($C116,IF(OR($J116="Completado",NOT(ISNUMBER($H116))),0,MAX(0,TODAY()-$H116)),"")</f>
      </c>
      <c r="X116" s="202">
        <f>IF($C116,IF(ISNUMBER($H116),$R116-$H116,0),"")</f>
      </c>
      <c r="Y116" s="202">
        <f>IF($C116,COUNTIFS($G$7:$G$200,$G116,$J$7:$J$200,"&lt;&gt;Completado",$J$7:$J$200,"&lt;&gt;"),"")</f>
      </c>
      <c r="Z116" s="202">
        <f>IF($C116,AND($I116=0,'Proyecto Datos (OKR´s)'!$K116&lt;=TODAY(),$J116&lt;&gt;"Completado"),"")</f>
      </c>
      <c r="AA116" s="202">
        <f>IF($C116,ROUND(100*(0.35*$AK116+0.3*$AL116+0.2*$AM116+0.15*MEDIAN(0,($Y116-4)/8,1)),0),"")</f>
      </c>
      <c r="AB116" s="203">
        <f>IF($C116,IF(OR($J116="Completado",$J116="Sin fecha"),"—",IF($AA116&gt;=70,"Crítica",IF($AA116&gt;=45,"Alta",IF($AA116&gt;=25,"Media","Baja")))),"")</f>
      </c>
      <c r="AC116" s="203">
        <f>IF($C116,IF(LEN(TRIM($AN116))=0,"—",TRIM($AN116)),"")</f>
      </c>
      <c r="AD116" s="202">
        <f>IF($C116,$AV116,"")</f>
      </c>
      <c r="AE116" s="202">
        <f>IF($C116,$AZ116,"")</f>
      </c>
      <c r="AF116" s="202" t="b">
        <f>IF($C116,$AV116&lt;&gt;$AR116,FALSE)</f>
        <v>0</v>
      </c>
      <c r="AG116" s="202">
        <f>IF($C116,IF($AV116&lt;&gt;$AR116,$AW116,""),"")</f>
      </c>
      <c r="AH116" s="203">
        <f>IF($C116,IF(ISBLANK('Backlog General'!$K116),"",'Backlog General'!$K116),"")</f>
      </c>
      <c r="AI116" s="202">
        <f>IF($C116,$AV116*100000+ROW(),"")</f>
      </c>
      <c r="AJ116" s="202">
        <f>IF(AND($C116,ISNUMBER($H116)),$AA116*1000000-MEDIAN(-9999,$K116,9999)*100+(300-ROW()),"")</f>
      </c>
      <c r="AK116" s="202">
        <f>IF($C116,IF($J116="Completado",0,IF($K116&lt;0,1,IF($K116&lt;=3,0.9,IF($K116&lt;=7,0.7,IF($K116&lt;=14,0.45,0.2))))),"")</f>
      </c>
      <c r="AL116" s="202">
        <f>IF($C116,IF($J116="Completado",0,MEDIAN(0,MAX(-$V116,$W116/30),1)),"")</f>
      </c>
      <c r="AM116" s="202">
        <f>IF($C116,IF($J116="Completado",0,IF($Z116,1,IF(AND($I116&lt;0.5,$K116&lt;=7),0.7,0.3))),"")</f>
      </c>
      <c r="AN116" s="203">
        <f>IF($C116,IF(OR($V116&lt;-0.2,$W116&gt;0),"ATRASO ","")&amp;IF($Z116,"BLOQUEO ","")&amp;IF($Y116&gt;8,"SOBRECARGA ","")&amp;IF($X116&gt;0,"DESVÍO-PLAN ",""),"")</f>
      </c>
      <c r="AO116" s="203">
        <f>IF($C116,IFERROR(VLOOKUP($D116,'Sprints'!$I$5:$J$12,2,FALSE),"Semanal"),"")</f>
      </c>
      <c r="AP116" s="202">
        <f>IF($C116,IFERROR(VLOOKUP($AO116,'Sprints'!$B$9:$C$11,2,FALSE),1),"")</f>
      </c>
      <c r="AQ116" s="202">
        <f>IF($C116,'Sprints'!$C$5,"")</f>
      </c>
      <c r="AR116" s="202">
        <f>IF(AND($C116,ISNUMBER($H116)),CEILING(MAX(1,INT(($H116-$AQ116+'Sprints'!$D$5-1)/'Sprints'!$D$5)+1)/$AP116,1),"")</f>
      </c>
      <c r="AS116" s="202">
        <f>IF($C116,CEILING(MAX(1,INT((TODAY()-$AQ116+'Sprints'!$D$5-1)/'Sprints'!$D$5)+1)/$AP116,1),"")</f>
      </c>
      <c r="AT116" s="203">
        <f>IF($C116,'Backlog General'!$G116,"")</f>
      </c>
      <c r="AU116" s="203">
        <f>IF($C116,'Backlog General'!$H116,"")</f>
      </c>
      <c r="AV116" s="202">
        <f>IF(AND($C116,ISNUMBER($AR116)),IF(OR($AT116="Completo",$AU116="Cancelado",$AU116="Baja prioridad"),$AR116,IF($AU116="Pasa al siguiente",MAX($AR116+1,$AS116),MAX($AR116,$AS116))),"")</f>
      </c>
      <c r="AW116" s="202">
        <f>IF(AND($C116,ISNUMBER($AR116)),$AQ116+$AR116*$AP116*'Sprints'!$D$5-'Sprints'!$D$5,"")</f>
      </c>
      <c r="AX116" s="202">
        <f>IF($C116,IF(OR($AT116="Completo",$AU116="Cancelado",$AU116="Baja prioridad",NOT(ISNUMBER($AW116))),0,IF(TODAY()&gt;$AW116,NETWORKDAYS($AW116,TODAY(),'Sprints'!$L$5:$L$40)-1,0)),"")</f>
      </c>
      <c r="AY116" s="203">
        <f>IF($C116,IF(NOT(ISNUMBER($AR116)),"Sin fecha",IF($AT116="Completo","Completo",IF($AU116="Cancelado","Cancelado",IF($AU116="Baja prioridad","Baja prioridad",IF($AX116&gt;0,"Vencida","Pendiente"))))),"")</f>
      </c>
      <c r="AZ116" s="203">
        <f>IF($C116,IF(ISNUMBER($AV116),$AO116&amp;" · S"&amp;$AV116,"(Sin fecha)"),"")</f>
      </c>
      <c r="BA116" s="202">
        <f>IF($C116,IF(AND(ISNUMBER('Backlog General'!$M116),'Backlog General'!$M116=$AS116),"Nuevo S"&amp;'Backlog General'!$M116,""),"")</f>
      </c>
      <c r="BB116" s="202">
        <f>IF(AND($C116,$AO116="Semanal",ISNUMBER($AV116)),$AV116*100000+ROW(),"")</f>
      </c>
      <c r="BC116" s="202">
        <f>IF(AND($C116,$AO116="Quincenal",ISNUMBER($AV116)),$AV116*100000+ROW(),"")</f>
      </c>
      <c r="BD116" s="202">
        <f>IF(AND($C116,$AO116="Mensual",ISNUMBER($AV116)),$AV116*100000+ROW(),"")</f>
      </c>
      <c r="BE116" s="203">
        <f>IF($C116,IF(ISBLANK('Backlog General'!$J116),"",'Backlog General'!$J116),"")</f>
      </c>
      <c r="BF116" s="203">
        <f>IF($C116,IF($BE116="","",$BE116)&amp;IF(AND($BE116&lt;&gt;"",$AH116&lt;&gt;"")," · ","")&amp;IF($AH116="","",$AH116),"")</f>
      </c>
      <c r="BG116" s="203">
        <f>IF($C116,IF($J116="Completado","Sí","No"),"")</f>
      </c>
      <c r="BH116" s="202">
        <f>IF(AND($C116,ISNUMBER($AR116)),IF($AO116="Semanal",1,IF($AO116="Quincenal",2,3))*1000000000+$AR116*100000+ROW(),"")</f>
      </c>
    </row>
    <row r="117">
      <c r="A117" s="202">
        <f>ROW()</f>
        <v>117</v>
      </c>
      <c r="B117" s="202" t="b">
        <f>ISTEXT('Proyecto Datos (OKR´s)'!$K117)</f>
        <v>0</v>
      </c>
      <c r="C117" s="202" t="b">
        <f>AND(LEN('Proyecto Datos (OKR´s)'!$G117)&gt;0,NOT($B117),OR(ISNUMBER('Proyecto Datos (OKR´s)'!$F117),ISNUMBER('Proyecto Datos (OKR´s)'!$L117)))</f>
        <v>0</v>
      </c>
      <c r="D117" s="203">
        <f>IF($C117,IFERROR(LOOKUP(2,1/((ISTEXT('Proyecto Datos (OKR´s)'!$K$7:$K117))*(LEN('Proyecto Datos (OKR´s)'!$G$7:$G117)&gt;0)),'Proyecto Datos (OKR´s)'!$G$7:$G117),""),"")</f>
      </c>
      <c r="E117" s="202">
        <f>IF($C117,'Proyecto Datos (OKR´s)'!$E117,"")</f>
      </c>
      <c r="F117" s="203">
        <f>IF($C117,'Proyecto Datos (OKR´s)'!$G117,"")</f>
      </c>
      <c r="G117" s="203">
        <f>IF($C117,IF('Proyecto Datos (OKR´s)'!$I117="","(Sin asignar)",'Proyecto Datos (OKR´s)'!$I117),"")</f>
      </c>
      <c r="H117" s="202">
        <f>IF($C117,IF(ISNUMBER('Proyecto Datos (OKR´s)'!$F117),'Proyecto Datos (OKR´s)'!$F117,""),"")</f>
      </c>
      <c r="I117" s="202">
        <f>IF($C117,'Proyecto Datos (OKR´s)'!$J117,"")</f>
      </c>
      <c r="J117" s="203">
        <f>IF($C117,IF($I117&gt;=1,"Completado",IF(NOT(ISNUMBER($H117)),"Sin fecha",IF($H117&lt;TODAY(),"Vencido",IF(($H117-TODAY())&lt;='Entregas Próximas'!$M$3,"Próximo a vencer","En curso")))),"")</f>
      </c>
      <c r="K117" s="202">
        <f>IF(AND($C117,ISNUMBER($H117)),$H117-TODAY(),"")</f>
      </c>
      <c r="L117" s="202">
        <f>IF(AND($C117,ISNUMBER($H117)),$AD117*1000000+$H117+ROW()/100000,"")</f>
      </c>
      <c r="M117" s="202">
        <f>IF($C117,IF($AD117=9999,"(Sin sprint)",$AD117),"")</f>
      </c>
      <c r="N117" s="202">
        <f>IF($C117,IF('Proyecto Datos (OKR´s)'!$E117="",9999,'Proyecto Datos (OKR´s)'!$E117),"")</f>
      </c>
      <c r="O117" s="202">
        <f>IF($C117,"T"&amp;TEXT(ROW(),"000"),"")</f>
      </c>
      <c r="R117" s="202">
        <f>IF($C117,IF(ISNUMBER('Proyecto Datos (OKR´s)'!$L117),'Proyecto Datos (OKR´s)'!$L117,$H117),"")</f>
      </c>
      <c r="S117" s="202">
        <f>IF($C117,$R117-'Proyecto Datos (OKR´s)'!$K117+1,"")</f>
      </c>
      <c r="T117" s="202">
        <f>IF($C117,MAX(0,TODAY()-'Proyecto Datos (OKR´s)'!$K117),"")</f>
      </c>
      <c r="U117" s="202">
        <f>IF($C117,MEDIAN(0,(TODAY()-'Proyecto Datos (OKR´s)'!$K117)/MAX(1,$R117-'Proyecto Datos (OKR´s)'!$K117),1),"")</f>
      </c>
      <c r="V117" s="202">
        <f>IF($C117,$I117-$U117,"")</f>
      </c>
      <c r="W117" s="202">
        <f>IF($C117,IF(OR($J117="Completado",NOT(ISNUMBER($H117))),0,MAX(0,TODAY()-$H117)),"")</f>
      </c>
      <c r="X117" s="202">
        <f>IF($C117,IF(ISNUMBER($H117),$R117-$H117,0),"")</f>
      </c>
      <c r="Y117" s="202">
        <f>IF($C117,COUNTIFS($G$7:$G$200,$G117,$J$7:$J$200,"&lt;&gt;Completado",$J$7:$J$200,"&lt;&gt;"),"")</f>
      </c>
      <c r="Z117" s="202">
        <f>IF($C117,AND($I117=0,'Proyecto Datos (OKR´s)'!$K117&lt;=TODAY(),$J117&lt;&gt;"Completado"),"")</f>
      </c>
      <c r="AA117" s="202">
        <f>IF($C117,ROUND(100*(0.35*$AK117+0.3*$AL117+0.2*$AM117+0.15*MEDIAN(0,($Y117-4)/8,1)),0),"")</f>
      </c>
      <c r="AB117" s="203">
        <f>IF($C117,IF(OR($J117="Completado",$J117="Sin fecha"),"—",IF($AA117&gt;=70,"Crítica",IF($AA117&gt;=45,"Alta",IF($AA117&gt;=25,"Media","Baja")))),"")</f>
      </c>
      <c r="AC117" s="203">
        <f>IF($C117,IF(LEN(TRIM($AN117))=0,"—",TRIM($AN117)),"")</f>
      </c>
      <c r="AD117" s="202">
        <f>IF($C117,$AV117,"")</f>
      </c>
      <c r="AE117" s="202">
        <f>IF($C117,$AZ117,"")</f>
      </c>
      <c r="AF117" s="202" t="b">
        <f>IF($C117,$AV117&lt;&gt;$AR117,FALSE)</f>
        <v>0</v>
      </c>
      <c r="AG117" s="202">
        <f>IF($C117,IF($AV117&lt;&gt;$AR117,$AW117,""),"")</f>
      </c>
      <c r="AH117" s="203">
        <f>IF($C117,IF(ISBLANK('Backlog General'!$K117),"",'Backlog General'!$K117),"")</f>
      </c>
      <c r="AI117" s="202">
        <f>IF($C117,$AV117*100000+ROW(),"")</f>
      </c>
      <c r="AJ117" s="202">
        <f>IF(AND($C117,ISNUMBER($H117)),$AA117*1000000-MEDIAN(-9999,$K117,9999)*100+(300-ROW()),"")</f>
      </c>
      <c r="AK117" s="202">
        <f>IF($C117,IF($J117="Completado",0,IF($K117&lt;0,1,IF($K117&lt;=3,0.9,IF($K117&lt;=7,0.7,IF($K117&lt;=14,0.45,0.2))))),"")</f>
      </c>
      <c r="AL117" s="202">
        <f>IF($C117,IF($J117="Completado",0,MEDIAN(0,MAX(-$V117,$W117/30),1)),"")</f>
      </c>
      <c r="AM117" s="202">
        <f>IF($C117,IF($J117="Completado",0,IF($Z117,1,IF(AND($I117&lt;0.5,$K117&lt;=7),0.7,0.3))),"")</f>
      </c>
      <c r="AN117" s="203">
        <f>IF($C117,IF(OR($V117&lt;-0.2,$W117&gt;0),"ATRASO ","")&amp;IF($Z117,"BLOQUEO ","")&amp;IF($Y117&gt;8,"SOBRECARGA ","")&amp;IF($X117&gt;0,"DESVÍO-PLAN ",""),"")</f>
      </c>
      <c r="AO117" s="203">
        <f>IF($C117,IFERROR(VLOOKUP($D117,'Sprints'!$I$5:$J$12,2,FALSE),"Semanal"),"")</f>
      </c>
      <c r="AP117" s="202">
        <f>IF($C117,IFERROR(VLOOKUP($AO117,'Sprints'!$B$9:$C$11,2,FALSE),1),"")</f>
      </c>
      <c r="AQ117" s="202">
        <f>IF($C117,'Sprints'!$C$5,"")</f>
      </c>
      <c r="AR117" s="202">
        <f>IF(AND($C117,ISNUMBER($H117)),CEILING(MAX(1,INT(($H117-$AQ117+'Sprints'!$D$5-1)/'Sprints'!$D$5)+1)/$AP117,1),"")</f>
      </c>
      <c r="AS117" s="202">
        <f>IF($C117,CEILING(MAX(1,INT((TODAY()-$AQ117+'Sprints'!$D$5-1)/'Sprints'!$D$5)+1)/$AP117,1),"")</f>
      </c>
      <c r="AT117" s="203">
        <f>IF($C117,'Backlog General'!$G117,"")</f>
      </c>
      <c r="AU117" s="203">
        <f>IF($C117,'Backlog General'!$H117,"")</f>
      </c>
      <c r="AV117" s="202">
        <f>IF(AND($C117,ISNUMBER($AR117)),IF(OR($AT117="Completo",$AU117="Cancelado",$AU117="Baja prioridad"),$AR117,IF($AU117="Pasa al siguiente",MAX($AR117+1,$AS117),MAX($AR117,$AS117))),"")</f>
      </c>
      <c r="AW117" s="202">
        <f>IF(AND($C117,ISNUMBER($AR117)),$AQ117+$AR117*$AP117*'Sprints'!$D$5-'Sprints'!$D$5,"")</f>
      </c>
      <c r="AX117" s="202">
        <f>IF($C117,IF(OR($AT117="Completo",$AU117="Cancelado",$AU117="Baja prioridad",NOT(ISNUMBER($AW117))),0,IF(TODAY()&gt;$AW117,NETWORKDAYS($AW117,TODAY(),'Sprints'!$L$5:$L$40)-1,0)),"")</f>
      </c>
      <c r="AY117" s="203">
        <f>IF($C117,IF(NOT(ISNUMBER($AR117)),"Sin fecha",IF($AT117="Completo","Completo",IF($AU117="Cancelado","Cancelado",IF($AU117="Baja prioridad","Baja prioridad",IF($AX117&gt;0,"Vencida","Pendiente"))))),"")</f>
      </c>
      <c r="AZ117" s="203">
        <f>IF($C117,IF(ISNUMBER($AV117),$AO117&amp;" · S"&amp;$AV117,"(Sin fecha)"),"")</f>
      </c>
      <c r="BA117" s="202">
        <f>IF($C117,IF(AND(ISNUMBER('Backlog General'!$M117),'Backlog General'!$M117=$AS117),"Nuevo S"&amp;'Backlog General'!$M117,""),"")</f>
      </c>
      <c r="BB117" s="202">
        <f>IF(AND($C117,$AO117="Semanal",ISNUMBER($AV117)),$AV117*100000+ROW(),"")</f>
      </c>
      <c r="BC117" s="202">
        <f>IF(AND($C117,$AO117="Quincenal",ISNUMBER($AV117)),$AV117*100000+ROW(),"")</f>
      </c>
      <c r="BD117" s="202">
        <f>IF(AND($C117,$AO117="Mensual",ISNUMBER($AV117)),$AV117*100000+ROW(),"")</f>
      </c>
      <c r="BE117" s="203">
        <f>IF($C117,IF(ISBLANK('Backlog General'!$J117),"",'Backlog General'!$J117),"")</f>
      </c>
      <c r="BF117" s="203">
        <f>IF($C117,IF($BE117="","",$BE117)&amp;IF(AND($BE117&lt;&gt;"",$AH117&lt;&gt;"")," · ","")&amp;IF($AH117="","",$AH117),"")</f>
      </c>
      <c r="BG117" s="203">
        <f>IF($C117,IF($J117="Completado","Sí","No"),"")</f>
      </c>
      <c r="BH117" s="202">
        <f>IF(AND($C117,ISNUMBER($AR117)),IF($AO117="Semanal",1,IF($AO117="Quincenal",2,3))*1000000000+$AR117*100000+ROW(),"")</f>
      </c>
    </row>
    <row r="118">
      <c r="A118" s="202">
        <f>ROW()</f>
        <v>118</v>
      </c>
      <c r="B118" s="202" t="b">
        <f>ISTEXT('Proyecto Datos (OKR´s)'!$K118)</f>
        <v>0</v>
      </c>
      <c r="C118" s="202" t="b">
        <f>AND(LEN('Proyecto Datos (OKR´s)'!$G118)&gt;0,NOT($B118),OR(ISNUMBER('Proyecto Datos (OKR´s)'!$F118),ISNUMBER('Proyecto Datos (OKR´s)'!$L118)))</f>
        <v>0</v>
      </c>
      <c r="D118" s="203">
        <f>IF($C118,IFERROR(LOOKUP(2,1/((ISTEXT('Proyecto Datos (OKR´s)'!$K$7:$K118))*(LEN('Proyecto Datos (OKR´s)'!$G$7:$G118)&gt;0)),'Proyecto Datos (OKR´s)'!$G$7:$G118),""),"")</f>
      </c>
      <c r="E118" s="202">
        <f>IF($C118,'Proyecto Datos (OKR´s)'!$E118,"")</f>
      </c>
      <c r="F118" s="203">
        <f>IF($C118,'Proyecto Datos (OKR´s)'!$G118,"")</f>
      </c>
      <c r="G118" s="203">
        <f>IF($C118,IF('Proyecto Datos (OKR´s)'!$I118="","(Sin asignar)",'Proyecto Datos (OKR´s)'!$I118),"")</f>
      </c>
      <c r="H118" s="202">
        <f>IF($C118,IF(ISNUMBER('Proyecto Datos (OKR´s)'!$F118),'Proyecto Datos (OKR´s)'!$F118,""),"")</f>
      </c>
      <c r="I118" s="202">
        <f>IF($C118,'Proyecto Datos (OKR´s)'!$J118,"")</f>
      </c>
      <c r="J118" s="203">
        <f>IF($C118,IF($I118&gt;=1,"Completado",IF(NOT(ISNUMBER($H118)),"Sin fecha",IF($H118&lt;TODAY(),"Vencido",IF(($H118-TODAY())&lt;='Entregas Próximas'!$M$3,"Próximo a vencer","En curso")))),"")</f>
      </c>
      <c r="K118" s="202">
        <f>IF(AND($C118,ISNUMBER($H118)),$H118-TODAY(),"")</f>
      </c>
      <c r="L118" s="202">
        <f>IF(AND($C118,ISNUMBER($H118)),$AD118*1000000+$H118+ROW()/100000,"")</f>
      </c>
      <c r="M118" s="202">
        <f>IF($C118,IF($AD118=9999,"(Sin sprint)",$AD118),"")</f>
      </c>
      <c r="N118" s="202">
        <f>IF($C118,IF('Proyecto Datos (OKR´s)'!$E118="",9999,'Proyecto Datos (OKR´s)'!$E118),"")</f>
      </c>
      <c r="O118" s="202">
        <f>IF($C118,"T"&amp;TEXT(ROW(),"000"),"")</f>
      </c>
      <c r="R118" s="202">
        <f>IF($C118,IF(ISNUMBER('Proyecto Datos (OKR´s)'!$L118),'Proyecto Datos (OKR´s)'!$L118,$H118),"")</f>
      </c>
      <c r="S118" s="202">
        <f>IF($C118,$R118-'Proyecto Datos (OKR´s)'!$K118+1,"")</f>
      </c>
      <c r="T118" s="202">
        <f>IF($C118,MAX(0,TODAY()-'Proyecto Datos (OKR´s)'!$K118),"")</f>
      </c>
      <c r="U118" s="202">
        <f>IF($C118,MEDIAN(0,(TODAY()-'Proyecto Datos (OKR´s)'!$K118)/MAX(1,$R118-'Proyecto Datos (OKR´s)'!$K118),1),"")</f>
      </c>
      <c r="V118" s="202">
        <f>IF($C118,$I118-$U118,"")</f>
      </c>
      <c r="W118" s="202">
        <f>IF($C118,IF(OR($J118="Completado",NOT(ISNUMBER($H118))),0,MAX(0,TODAY()-$H118)),"")</f>
      </c>
      <c r="X118" s="202">
        <f>IF($C118,IF(ISNUMBER($H118),$R118-$H118,0),"")</f>
      </c>
      <c r="Y118" s="202">
        <f>IF($C118,COUNTIFS($G$7:$G$200,$G118,$J$7:$J$200,"&lt;&gt;Completado",$J$7:$J$200,"&lt;&gt;"),"")</f>
      </c>
      <c r="Z118" s="202">
        <f>IF($C118,AND($I118=0,'Proyecto Datos (OKR´s)'!$K118&lt;=TODAY(),$J118&lt;&gt;"Completado"),"")</f>
      </c>
      <c r="AA118" s="202">
        <f>IF($C118,ROUND(100*(0.35*$AK118+0.3*$AL118+0.2*$AM118+0.15*MEDIAN(0,($Y118-4)/8,1)),0),"")</f>
      </c>
      <c r="AB118" s="203">
        <f>IF($C118,IF(OR($J118="Completado",$J118="Sin fecha"),"—",IF($AA118&gt;=70,"Crítica",IF($AA118&gt;=45,"Alta",IF($AA118&gt;=25,"Media","Baja")))),"")</f>
      </c>
      <c r="AC118" s="203">
        <f>IF($C118,IF(LEN(TRIM($AN118))=0,"—",TRIM($AN118)),"")</f>
      </c>
      <c r="AD118" s="202">
        <f>IF($C118,$AV118,"")</f>
      </c>
      <c r="AE118" s="202">
        <f>IF($C118,$AZ118,"")</f>
      </c>
      <c r="AF118" s="202" t="b">
        <f>IF($C118,$AV118&lt;&gt;$AR118,FALSE)</f>
        <v>0</v>
      </c>
      <c r="AG118" s="202">
        <f>IF($C118,IF($AV118&lt;&gt;$AR118,$AW118,""),"")</f>
      </c>
      <c r="AH118" s="203">
        <f>IF($C118,IF(ISBLANK('Backlog General'!$K118),"",'Backlog General'!$K118),"")</f>
      </c>
      <c r="AI118" s="202">
        <f>IF($C118,$AV118*100000+ROW(),"")</f>
      </c>
      <c r="AJ118" s="202">
        <f>IF(AND($C118,ISNUMBER($H118)),$AA118*1000000-MEDIAN(-9999,$K118,9999)*100+(300-ROW()),"")</f>
      </c>
      <c r="AK118" s="202">
        <f>IF($C118,IF($J118="Completado",0,IF($K118&lt;0,1,IF($K118&lt;=3,0.9,IF($K118&lt;=7,0.7,IF($K118&lt;=14,0.45,0.2))))),"")</f>
      </c>
      <c r="AL118" s="202">
        <f>IF($C118,IF($J118="Completado",0,MEDIAN(0,MAX(-$V118,$W118/30),1)),"")</f>
      </c>
      <c r="AM118" s="202">
        <f>IF($C118,IF($J118="Completado",0,IF($Z118,1,IF(AND($I118&lt;0.5,$K118&lt;=7),0.7,0.3))),"")</f>
      </c>
      <c r="AN118" s="203">
        <f>IF($C118,IF(OR($V118&lt;-0.2,$W118&gt;0),"ATRASO ","")&amp;IF($Z118,"BLOQUEO ","")&amp;IF($Y118&gt;8,"SOBRECARGA ","")&amp;IF($X118&gt;0,"DESVÍO-PLAN ",""),"")</f>
      </c>
      <c r="AO118" s="203">
        <f>IF($C118,IFERROR(VLOOKUP($D118,'Sprints'!$I$5:$J$12,2,FALSE),"Semanal"),"")</f>
      </c>
      <c r="AP118" s="202">
        <f>IF($C118,IFERROR(VLOOKUP($AO118,'Sprints'!$B$9:$C$11,2,FALSE),1),"")</f>
      </c>
      <c r="AQ118" s="202">
        <f>IF($C118,'Sprints'!$C$5,"")</f>
      </c>
      <c r="AR118" s="202">
        <f>IF(AND($C118,ISNUMBER($H118)),CEILING(MAX(1,INT(($H118-$AQ118+'Sprints'!$D$5-1)/'Sprints'!$D$5)+1)/$AP118,1),"")</f>
      </c>
      <c r="AS118" s="202">
        <f>IF($C118,CEILING(MAX(1,INT((TODAY()-$AQ118+'Sprints'!$D$5-1)/'Sprints'!$D$5)+1)/$AP118,1),"")</f>
      </c>
      <c r="AT118" s="203">
        <f>IF($C118,'Backlog General'!$G118,"")</f>
      </c>
      <c r="AU118" s="203">
        <f>IF($C118,'Backlog General'!$H118,"")</f>
      </c>
      <c r="AV118" s="202">
        <f>IF(AND($C118,ISNUMBER($AR118)),IF(OR($AT118="Completo",$AU118="Cancelado",$AU118="Baja prioridad"),$AR118,IF($AU118="Pasa al siguiente",MAX($AR118+1,$AS118),MAX($AR118,$AS118))),"")</f>
      </c>
      <c r="AW118" s="202">
        <f>IF(AND($C118,ISNUMBER($AR118)),$AQ118+$AR118*$AP118*'Sprints'!$D$5-'Sprints'!$D$5,"")</f>
      </c>
      <c r="AX118" s="202">
        <f>IF($C118,IF(OR($AT118="Completo",$AU118="Cancelado",$AU118="Baja prioridad",NOT(ISNUMBER($AW118))),0,IF(TODAY()&gt;$AW118,NETWORKDAYS($AW118,TODAY(),'Sprints'!$L$5:$L$40)-1,0)),"")</f>
      </c>
      <c r="AY118" s="203">
        <f>IF($C118,IF(NOT(ISNUMBER($AR118)),"Sin fecha",IF($AT118="Completo","Completo",IF($AU118="Cancelado","Cancelado",IF($AU118="Baja prioridad","Baja prioridad",IF($AX118&gt;0,"Vencida","Pendiente"))))),"")</f>
      </c>
      <c r="AZ118" s="203">
        <f>IF($C118,IF(ISNUMBER($AV118),$AO118&amp;" · S"&amp;$AV118,"(Sin fecha)"),"")</f>
      </c>
      <c r="BA118" s="202">
        <f>IF($C118,IF(AND(ISNUMBER('Backlog General'!$M118),'Backlog General'!$M118=$AS118),"Nuevo S"&amp;'Backlog General'!$M118,""),"")</f>
      </c>
      <c r="BB118" s="202">
        <f>IF(AND($C118,$AO118="Semanal",ISNUMBER($AV118)),$AV118*100000+ROW(),"")</f>
      </c>
      <c r="BC118" s="202">
        <f>IF(AND($C118,$AO118="Quincenal",ISNUMBER($AV118)),$AV118*100000+ROW(),"")</f>
      </c>
      <c r="BD118" s="202">
        <f>IF(AND($C118,$AO118="Mensual",ISNUMBER($AV118)),$AV118*100000+ROW(),"")</f>
      </c>
      <c r="BE118" s="203">
        <f>IF($C118,IF(ISBLANK('Backlog General'!$J118),"",'Backlog General'!$J118),"")</f>
      </c>
      <c r="BF118" s="203">
        <f>IF($C118,IF($BE118="","",$BE118)&amp;IF(AND($BE118&lt;&gt;"",$AH118&lt;&gt;"")," · ","")&amp;IF($AH118="","",$AH118),"")</f>
      </c>
      <c r="BG118" s="203">
        <f>IF($C118,IF($J118="Completado","Sí","No"),"")</f>
      </c>
      <c r="BH118" s="202">
        <f>IF(AND($C118,ISNUMBER($AR118)),IF($AO118="Semanal",1,IF($AO118="Quincenal",2,3))*1000000000+$AR118*100000+ROW(),"")</f>
      </c>
    </row>
    <row r="119">
      <c r="A119" s="202">
        <f>ROW()</f>
        <v>119</v>
      </c>
      <c r="B119" s="202" t="b">
        <f>ISTEXT('Proyecto Datos (OKR´s)'!$K119)</f>
        <v>0</v>
      </c>
      <c r="C119" s="202" t="b">
        <f>AND(LEN('Proyecto Datos (OKR´s)'!$G119)&gt;0,NOT($B119),OR(ISNUMBER('Proyecto Datos (OKR´s)'!$F119),ISNUMBER('Proyecto Datos (OKR´s)'!$L119)))</f>
        <v>0</v>
      </c>
      <c r="D119" s="203">
        <f>IF($C119,IFERROR(LOOKUP(2,1/((ISTEXT('Proyecto Datos (OKR´s)'!$K$7:$K119))*(LEN('Proyecto Datos (OKR´s)'!$G$7:$G119)&gt;0)),'Proyecto Datos (OKR´s)'!$G$7:$G119),""),"")</f>
      </c>
      <c r="E119" s="202">
        <f>IF($C119,'Proyecto Datos (OKR´s)'!$E119,"")</f>
      </c>
      <c r="F119" s="203">
        <f>IF($C119,'Proyecto Datos (OKR´s)'!$G119,"")</f>
      </c>
      <c r="G119" s="203">
        <f>IF($C119,IF('Proyecto Datos (OKR´s)'!$I119="","(Sin asignar)",'Proyecto Datos (OKR´s)'!$I119),"")</f>
      </c>
      <c r="H119" s="202">
        <f>IF($C119,IF(ISNUMBER('Proyecto Datos (OKR´s)'!$F119),'Proyecto Datos (OKR´s)'!$F119,""),"")</f>
      </c>
      <c r="I119" s="202">
        <f>IF($C119,'Proyecto Datos (OKR´s)'!$J119,"")</f>
      </c>
      <c r="J119" s="203">
        <f>IF($C119,IF($I119&gt;=1,"Completado",IF(NOT(ISNUMBER($H119)),"Sin fecha",IF($H119&lt;TODAY(),"Vencido",IF(($H119-TODAY())&lt;='Entregas Próximas'!$M$3,"Próximo a vencer","En curso")))),"")</f>
      </c>
      <c r="K119" s="202">
        <f>IF(AND($C119,ISNUMBER($H119)),$H119-TODAY(),"")</f>
      </c>
      <c r="L119" s="202">
        <f>IF(AND($C119,ISNUMBER($H119)),$AD119*1000000+$H119+ROW()/100000,"")</f>
      </c>
      <c r="M119" s="202">
        <f>IF($C119,IF($AD119=9999,"(Sin sprint)",$AD119),"")</f>
      </c>
      <c r="N119" s="202">
        <f>IF($C119,IF('Proyecto Datos (OKR´s)'!$E119="",9999,'Proyecto Datos (OKR´s)'!$E119),"")</f>
      </c>
      <c r="O119" s="202">
        <f>IF($C119,"T"&amp;TEXT(ROW(),"000"),"")</f>
      </c>
      <c r="R119" s="202">
        <f>IF($C119,IF(ISNUMBER('Proyecto Datos (OKR´s)'!$L119),'Proyecto Datos (OKR´s)'!$L119,$H119),"")</f>
      </c>
      <c r="S119" s="202">
        <f>IF($C119,$R119-'Proyecto Datos (OKR´s)'!$K119+1,"")</f>
      </c>
      <c r="T119" s="202">
        <f>IF($C119,MAX(0,TODAY()-'Proyecto Datos (OKR´s)'!$K119),"")</f>
      </c>
      <c r="U119" s="202">
        <f>IF($C119,MEDIAN(0,(TODAY()-'Proyecto Datos (OKR´s)'!$K119)/MAX(1,$R119-'Proyecto Datos (OKR´s)'!$K119),1),"")</f>
      </c>
      <c r="V119" s="202">
        <f>IF($C119,$I119-$U119,"")</f>
      </c>
      <c r="W119" s="202">
        <f>IF($C119,IF(OR($J119="Completado",NOT(ISNUMBER($H119))),0,MAX(0,TODAY()-$H119)),"")</f>
      </c>
      <c r="X119" s="202">
        <f>IF($C119,IF(ISNUMBER($H119),$R119-$H119,0),"")</f>
      </c>
      <c r="Y119" s="202">
        <f>IF($C119,COUNTIFS($G$7:$G$200,$G119,$J$7:$J$200,"&lt;&gt;Completado",$J$7:$J$200,"&lt;&gt;"),"")</f>
      </c>
      <c r="Z119" s="202">
        <f>IF($C119,AND($I119=0,'Proyecto Datos (OKR´s)'!$K119&lt;=TODAY(),$J119&lt;&gt;"Completado"),"")</f>
      </c>
      <c r="AA119" s="202">
        <f>IF($C119,ROUND(100*(0.35*$AK119+0.3*$AL119+0.2*$AM119+0.15*MEDIAN(0,($Y119-4)/8,1)),0),"")</f>
      </c>
      <c r="AB119" s="203">
        <f>IF($C119,IF(OR($J119="Completado",$J119="Sin fecha"),"—",IF($AA119&gt;=70,"Crítica",IF($AA119&gt;=45,"Alta",IF($AA119&gt;=25,"Media","Baja")))),"")</f>
      </c>
      <c r="AC119" s="203">
        <f>IF($C119,IF(LEN(TRIM($AN119))=0,"—",TRIM($AN119)),"")</f>
      </c>
      <c r="AD119" s="202">
        <f>IF($C119,$AV119,"")</f>
      </c>
      <c r="AE119" s="202">
        <f>IF($C119,$AZ119,"")</f>
      </c>
      <c r="AF119" s="202" t="b">
        <f>IF($C119,$AV119&lt;&gt;$AR119,FALSE)</f>
        <v>0</v>
      </c>
      <c r="AG119" s="202">
        <f>IF($C119,IF($AV119&lt;&gt;$AR119,$AW119,""),"")</f>
      </c>
      <c r="AH119" s="203">
        <f>IF($C119,IF(ISBLANK('Backlog General'!$K119),"",'Backlog General'!$K119),"")</f>
      </c>
      <c r="AI119" s="202">
        <f>IF($C119,$AV119*100000+ROW(),"")</f>
      </c>
      <c r="AJ119" s="202">
        <f>IF(AND($C119,ISNUMBER($H119)),$AA119*1000000-MEDIAN(-9999,$K119,9999)*100+(300-ROW()),"")</f>
      </c>
      <c r="AK119" s="202">
        <f>IF($C119,IF($J119="Completado",0,IF($K119&lt;0,1,IF($K119&lt;=3,0.9,IF($K119&lt;=7,0.7,IF($K119&lt;=14,0.45,0.2))))),"")</f>
      </c>
      <c r="AL119" s="202">
        <f>IF($C119,IF($J119="Completado",0,MEDIAN(0,MAX(-$V119,$W119/30),1)),"")</f>
      </c>
      <c r="AM119" s="202">
        <f>IF($C119,IF($J119="Completado",0,IF($Z119,1,IF(AND($I119&lt;0.5,$K119&lt;=7),0.7,0.3))),"")</f>
      </c>
      <c r="AN119" s="203">
        <f>IF($C119,IF(OR($V119&lt;-0.2,$W119&gt;0),"ATRASO ","")&amp;IF($Z119,"BLOQUEO ","")&amp;IF($Y119&gt;8,"SOBRECARGA ","")&amp;IF($X119&gt;0,"DESVÍO-PLAN ",""),"")</f>
      </c>
      <c r="AO119" s="203">
        <f>IF($C119,IFERROR(VLOOKUP($D119,'Sprints'!$I$5:$J$12,2,FALSE),"Semanal"),"")</f>
      </c>
      <c r="AP119" s="202">
        <f>IF($C119,IFERROR(VLOOKUP($AO119,'Sprints'!$B$9:$C$11,2,FALSE),1),"")</f>
      </c>
      <c r="AQ119" s="202">
        <f>IF($C119,'Sprints'!$C$5,"")</f>
      </c>
      <c r="AR119" s="202">
        <f>IF(AND($C119,ISNUMBER($H119)),CEILING(MAX(1,INT(($H119-$AQ119+'Sprints'!$D$5-1)/'Sprints'!$D$5)+1)/$AP119,1),"")</f>
      </c>
      <c r="AS119" s="202">
        <f>IF($C119,CEILING(MAX(1,INT((TODAY()-$AQ119+'Sprints'!$D$5-1)/'Sprints'!$D$5)+1)/$AP119,1),"")</f>
      </c>
      <c r="AT119" s="203">
        <f>IF($C119,'Backlog General'!$G119,"")</f>
      </c>
      <c r="AU119" s="203">
        <f>IF($C119,'Backlog General'!$H119,"")</f>
      </c>
      <c r="AV119" s="202">
        <f>IF(AND($C119,ISNUMBER($AR119)),IF(OR($AT119="Completo",$AU119="Cancelado",$AU119="Baja prioridad"),$AR119,IF($AU119="Pasa al siguiente",MAX($AR119+1,$AS119),MAX($AR119,$AS119))),"")</f>
      </c>
      <c r="AW119" s="202">
        <f>IF(AND($C119,ISNUMBER($AR119)),$AQ119+$AR119*$AP119*'Sprints'!$D$5-'Sprints'!$D$5,"")</f>
      </c>
      <c r="AX119" s="202">
        <f>IF($C119,IF(OR($AT119="Completo",$AU119="Cancelado",$AU119="Baja prioridad",NOT(ISNUMBER($AW119))),0,IF(TODAY()&gt;$AW119,NETWORKDAYS($AW119,TODAY(),'Sprints'!$L$5:$L$40)-1,0)),"")</f>
      </c>
      <c r="AY119" s="203">
        <f>IF($C119,IF(NOT(ISNUMBER($AR119)),"Sin fecha",IF($AT119="Completo","Completo",IF($AU119="Cancelado","Cancelado",IF($AU119="Baja prioridad","Baja prioridad",IF($AX119&gt;0,"Vencida","Pendiente"))))),"")</f>
      </c>
      <c r="AZ119" s="203">
        <f>IF($C119,IF(ISNUMBER($AV119),$AO119&amp;" · S"&amp;$AV119,"(Sin fecha)"),"")</f>
      </c>
      <c r="BA119" s="202">
        <f>IF($C119,IF(AND(ISNUMBER('Backlog General'!$M119),'Backlog General'!$M119=$AS119),"Nuevo S"&amp;'Backlog General'!$M119,""),"")</f>
      </c>
      <c r="BB119" s="202">
        <f>IF(AND($C119,$AO119="Semanal",ISNUMBER($AV119)),$AV119*100000+ROW(),"")</f>
      </c>
      <c r="BC119" s="202">
        <f>IF(AND($C119,$AO119="Quincenal",ISNUMBER($AV119)),$AV119*100000+ROW(),"")</f>
      </c>
      <c r="BD119" s="202">
        <f>IF(AND($C119,$AO119="Mensual",ISNUMBER($AV119)),$AV119*100000+ROW(),"")</f>
      </c>
      <c r="BE119" s="203">
        <f>IF($C119,IF(ISBLANK('Backlog General'!$J119),"",'Backlog General'!$J119),"")</f>
      </c>
      <c r="BF119" s="203">
        <f>IF($C119,IF($BE119="","",$BE119)&amp;IF(AND($BE119&lt;&gt;"",$AH119&lt;&gt;"")," · ","")&amp;IF($AH119="","",$AH119),"")</f>
      </c>
      <c r="BG119" s="203">
        <f>IF($C119,IF($J119="Completado","Sí","No"),"")</f>
      </c>
      <c r="BH119" s="202">
        <f>IF(AND($C119,ISNUMBER($AR119)),IF($AO119="Semanal",1,IF($AO119="Quincenal",2,3))*1000000000+$AR119*100000+ROW(),"")</f>
      </c>
    </row>
    <row r="120">
      <c r="A120" s="202">
        <f>ROW()</f>
        <v>120</v>
      </c>
      <c r="B120" s="202" t="b">
        <f>ISTEXT('Proyecto Datos (OKR´s)'!$K120)</f>
        <v>0</v>
      </c>
      <c r="C120" s="202" t="b">
        <f>AND(LEN('Proyecto Datos (OKR´s)'!$G120)&gt;0,NOT($B120),OR(ISNUMBER('Proyecto Datos (OKR´s)'!$F120),ISNUMBER('Proyecto Datos (OKR´s)'!$L120)))</f>
        <v>0</v>
      </c>
      <c r="D120" s="203">
        <f>IF($C120,IFERROR(LOOKUP(2,1/((ISTEXT('Proyecto Datos (OKR´s)'!$K$7:$K120))*(LEN('Proyecto Datos (OKR´s)'!$G$7:$G120)&gt;0)),'Proyecto Datos (OKR´s)'!$G$7:$G120),""),"")</f>
      </c>
      <c r="E120" s="202">
        <f>IF($C120,'Proyecto Datos (OKR´s)'!$E120,"")</f>
      </c>
      <c r="F120" s="203">
        <f>IF($C120,'Proyecto Datos (OKR´s)'!$G120,"")</f>
      </c>
      <c r="G120" s="203">
        <f>IF($C120,IF('Proyecto Datos (OKR´s)'!$I120="","(Sin asignar)",'Proyecto Datos (OKR´s)'!$I120),"")</f>
      </c>
      <c r="H120" s="202">
        <f>IF($C120,IF(ISNUMBER('Proyecto Datos (OKR´s)'!$F120),'Proyecto Datos (OKR´s)'!$F120,""),"")</f>
      </c>
      <c r="I120" s="202">
        <f>IF($C120,'Proyecto Datos (OKR´s)'!$J120,"")</f>
      </c>
      <c r="J120" s="203">
        <f>IF($C120,IF($I120&gt;=1,"Completado",IF(NOT(ISNUMBER($H120)),"Sin fecha",IF($H120&lt;TODAY(),"Vencido",IF(($H120-TODAY())&lt;='Entregas Próximas'!$M$3,"Próximo a vencer","En curso")))),"")</f>
      </c>
      <c r="K120" s="202">
        <f>IF(AND($C120,ISNUMBER($H120)),$H120-TODAY(),"")</f>
      </c>
      <c r="L120" s="202">
        <f>IF(AND($C120,ISNUMBER($H120)),$AD120*1000000+$H120+ROW()/100000,"")</f>
      </c>
      <c r="M120" s="202">
        <f>IF($C120,IF($AD120=9999,"(Sin sprint)",$AD120),"")</f>
      </c>
      <c r="N120" s="202">
        <f>IF($C120,IF('Proyecto Datos (OKR´s)'!$E120="",9999,'Proyecto Datos (OKR´s)'!$E120),"")</f>
      </c>
      <c r="O120" s="202">
        <f>IF($C120,"T"&amp;TEXT(ROW(),"000"),"")</f>
      </c>
      <c r="R120" s="202">
        <f>IF($C120,IF(ISNUMBER('Proyecto Datos (OKR´s)'!$L120),'Proyecto Datos (OKR´s)'!$L120,$H120),"")</f>
      </c>
      <c r="S120" s="202">
        <f>IF($C120,$R120-'Proyecto Datos (OKR´s)'!$K120+1,"")</f>
      </c>
      <c r="T120" s="202">
        <f>IF($C120,MAX(0,TODAY()-'Proyecto Datos (OKR´s)'!$K120),"")</f>
      </c>
      <c r="U120" s="202">
        <f>IF($C120,MEDIAN(0,(TODAY()-'Proyecto Datos (OKR´s)'!$K120)/MAX(1,$R120-'Proyecto Datos (OKR´s)'!$K120),1),"")</f>
      </c>
      <c r="V120" s="202">
        <f>IF($C120,$I120-$U120,"")</f>
      </c>
      <c r="W120" s="202">
        <f>IF($C120,IF(OR($J120="Completado",NOT(ISNUMBER($H120))),0,MAX(0,TODAY()-$H120)),"")</f>
      </c>
      <c r="X120" s="202">
        <f>IF($C120,IF(ISNUMBER($H120),$R120-$H120,0),"")</f>
      </c>
      <c r="Y120" s="202">
        <f>IF($C120,COUNTIFS($G$7:$G$200,$G120,$J$7:$J$200,"&lt;&gt;Completado",$J$7:$J$200,"&lt;&gt;"),"")</f>
      </c>
      <c r="Z120" s="202">
        <f>IF($C120,AND($I120=0,'Proyecto Datos (OKR´s)'!$K120&lt;=TODAY(),$J120&lt;&gt;"Completado"),"")</f>
      </c>
      <c r="AA120" s="202">
        <f>IF($C120,ROUND(100*(0.35*$AK120+0.3*$AL120+0.2*$AM120+0.15*MEDIAN(0,($Y120-4)/8,1)),0),"")</f>
      </c>
      <c r="AB120" s="203">
        <f>IF($C120,IF(OR($J120="Completado",$J120="Sin fecha"),"—",IF($AA120&gt;=70,"Crítica",IF($AA120&gt;=45,"Alta",IF($AA120&gt;=25,"Media","Baja")))),"")</f>
      </c>
      <c r="AC120" s="203">
        <f>IF($C120,IF(LEN(TRIM($AN120))=0,"—",TRIM($AN120)),"")</f>
      </c>
      <c r="AD120" s="202">
        <f>IF($C120,$AV120,"")</f>
      </c>
      <c r="AE120" s="202">
        <f>IF($C120,$AZ120,"")</f>
      </c>
      <c r="AF120" s="202" t="b">
        <f>IF($C120,$AV120&lt;&gt;$AR120,FALSE)</f>
        <v>0</v>
      </c>
      <c r="AG120" s="202">
        <f>IF($C120,IF($AV120&lt;&gt;$AR120,$AW120,""),"")</f>
      </c>
      <c r="AH120" s="203">
        <f>IF($C120,IF(ISBLANK('Backlog General'!$K120),"",'Backlog General'!$K120),"")</f>
      </c>
      <c r="AI120" s="202">
        <f>IF($C120,$AV120*100000+ROW(),"")</f>
      </c>
      <c r="AJ120" s="202">
        <f>IF(AND($C120,ISNUMBER($H120)),$AA120*1000000-MEDIAN(-9999,$K120,9999)*100+(300-ROW()),"")</f>
      </c>
      <c r="AK120" s="202">
        <f>IF($C120,IF($J120="Completado",0,IF($K120&lt;0,1,IF($K120&lt;=3,0.9,IF($K120&lt;=7,0.7,IF($K120&lt;=14,0.45,0.2))))),"")</f>
      </c>
      <c r="AL120" s="202">
        <f>IF($C120,IF($J120="Completado",0,MEDIAN(0,MAX(-$V120,$W120/30),1)),"")</f>
      </c>
      <c r="AM120" s="202">
        <f>IF($C120,IF($J120="Completado",0,IF($Z120,1,IF(AND($I120&lt;0.5,$K120&lt;=7),0.7,0.3))),"")</f>
      </c>
      <c r="AN120" s="203">
        <f>IF($C120,IF(OR($V120&lt;-0.2,$W120&gt;0),"ATRASO ","")&amp;IF($Z120,"BLOQUEO ","")&amp;IF($Y120&gt;8,"SOBRECARGA ","")&amp;IF($X120&gt;0,"DESVÍO-PLAN ",""),"")</f>
      </c>
      <c r="AO120" s="203">
        <f>IF($C120,IFERROR(VLOOKUP($D120,'Sprints'!$I$5:$J$12,2,FALSE),"Semanal"),"")</f>
      </c>
      <c r="AP120" s="202">
        <f>IF($C120,IFERROR(VLOOKUP($AO120,'Sprints'!$B$9:$C$11,2,FALSE),1),"")</f>
      </c>
      <c r="AQ120" s="202">
        <f>IF($C120,'Sprints'!$C$5,"")</f>
      </c>
      <c r="AR120" s="202">
        <f>IF(AND($C120,ISNUMBER($H120)),CEILING(MAX(1,INT(($H120-$AQ120+'Sprints'!$D$5-1)/'Sprints'!$D$5)+1)/$AP120,1),"")</f>
      </c>
      <c r="AS120" s="202">
        <f>IF($C120,CEILING(MAX(1,INT((TODAY()-$AQ120+'Sprints'!$D$5-1)/'Sprints'!$D$5)+1)/$AP120,1),"")</f>
      </c>
      <c r="AT120" s="203">
        <f>IF($C120,'Backlog General'!$G120,"")</f>
      </c>
      <c r="AU120" s="203">
        <f>IF($C120,'Backlog General'!$H120,"")</f>
      </c>
      <c r="AV120" s="202">
        <f>IF(AND($C120,ISNUMBER($AR120)),IF(OR($AT120="Completo",$AU120="Cancelado",$AU120="Baja prioridad"),$AR120,IF($AU120="Pasa al siguiente",MAX($AR120+1,$AS120),MAX($AR120,$AS120))),"")</f>
      </c>
      <c r="AW120" s="202">
        <f>IF(AND($C120,ISNUMBER($AR120)),$AQ120+$AR120*$AP120*'Sprints'!$D$5-'Sprints'!$D$5,"")</f>
      </c>
      <c r="AX120" s="202">
        <f>IF($C120,IF(OR($AT120="Completo",$AU120="Cancelado",$AU120="Baja prioridad",NOT(ISNUMBER($AW120))),0,IF(TODAY()&gt;$AW120,NETWORKDAYS($AW120,TODAY(),'Sprints'!$L$5:$L$40)-1,0)),"")</f>
      </c>
      <c r="AY120" s="203">
        <f>IF($C120,IF(NOT(ISNUMBER($AR120)),"Sin fecha",IF($AT120="Completo","Completo",IF($AU120="Cancelado","Cancelado",IF($AU120="Baja prioridad","Baja prioridad",IF($AX120&gt;0,"Vencida","Pendiente"))))),"")</f>
      </c>
      <c r="AZ120" s="203">
        <f>IF($C120,IF(ISNUMBER($AV120),$AO120&amp;" · S"&amp;$AV120,"(Sin fecha)"),"")</f>
      </c>
      <c r="BA120" s="202">
        <f>IF($C120,IF(AND(ISNUMBER('Backlog General'!$M120),'Backlog General'!$M120=$AS120),"Nuevo S"&amp;'Backlog General'!$M120,""),"")</f>
      </c>
      <c r="BB120" s="202">
        <f>IF(AND($C120,$AO120="Semanal",ISNUMBER($AV120)),$AV120*100000+ROW(),"")</f>
      </c>
      <c r="BC120" s="202">
        <f>IF(AND($C120,$AO120="Quincenal",ISNUMBER($AV120)),$AV120*100000+ROW(),"")</f>
      </c>
      <c r="BD120" s="202">
        <f>IF(AND($C120,$AO120="Mensual",ISNUMBER($AV120)),$AV120*100000+ROW(),"")</f>
      </c>
      <c r="BE120" s="203">
        <f>IF($C120,IF(ISBLANK('Backlog General'!$J120),"",'Backlog General'!$J120),"")</f>
      </c>
      <c r="BF120" s="203">
        <f>IF($C120,IF($BE120="","",$BE120)&amp;IF(AND($BE120&lt;&gt;"",$AH120&lt;&gt;"")," · ","")&amp;IF($AH120="","",$AH120),"")</f>
      </c>
      <c r="BG120" s="203">
        <f>IF($C120,IF($J120="Completado","Sí","No"),"")</f>
      </c>
      <c r="BH120" s="202">
        <f>IF(AND($C120,ISNUMBER($AR120)),IF($AO120="Semanal",1,IF($AO120="Quincenal",2,3))*1000000000+$AR120*100000+ROW(),"")</f>
      </c>
    </row>
    <row r="121">
      <c r="A121" s="202">
        <f>ROW()</f>
        <v>121</v>
      </c>
      <c r="B121" s="202" t="b">
        <f>ISTEXT('Proyecto Datos (OKR´s)'!$K121)</f>
        <v>0</v>
      </c>
      <c r="C121" s="202" t="b">
        <f>AND(LEN('Proyecto Datos (OKR´s)'!$G121)&gt;0,NOT($B121),OR(ISNUMBER('Proyecto Datos (OKR´s)'!$F121),ISNUMBER('Proyecto Datos (OKR´s)'!$L121)))</f>
        <v>0</v>
      </c>
      <c r="D121" s="203">
        <f>IF($C121,IFERROR(LOOKUP(2,1/((ISTEXT('Proyecto Datos (OKR´s)'!$K$7:$K121))*(LEN('Proyecto Datos (OKR´s)'!$G$7:$G121)&gt;0)),'Proyecto Datos (OKR´s)'!$G$7:$G121),""),"")</f>
      </c>
      <c r="E121" s="202">
        <f>IF($C121,'Proyecto Datos (OKR´s)'!$E121,"")</f>
      </c>
      <c r="F121" s="203">
        <f>IF($C121,'Proyecto Datos (OKR´s)'!$G121,"")</f>
      </c>
      <c r="G121" s="203">
        <f>IF($C121,IF('Proyecto Datos (OKR´s)'!$I121="","(Sin asignar)",'Proyecto Datos (OKR´s)'!$I121),"")</f>
      </c>
      <c r="H121" s="202">
        <f>IF($C121,IF(ISNUMBER('Proyecto Datos (OKR´s)'!$F121),'Proyecto Datos (OKR´s)'!$F121,""),"")</f>
      </c>
      <c r="I121" s="202">
        <f>IF($C121,'Proyecto Datos (OKR´s)'!$J121,"")</f>
      </c>
      <c r="J121" s="203">
        <f>IF($C121,IF($I121&gt;=1,"Completado",IF(NOT(ISNUMBER($H121)),"Sin fecha",IF($H121&lt;TODAY(),"Vencido",IF(($H121-TODAY())&lt;='Entregas Próximas'!$M$3,"Próximo a vencer","En curso")))),"")</f>
      </c>
      <c r="K121" s="202">
        <f>IF(AND($C121,ISNUMBER($H121)),$H121-TODAY(),"")</f>
      </c>
      <c r="L121" s="202">
        <f>IF(AND($C121,ISNUMBER($H121)),$AD121*1000000+$H121+ROW()/100000,"")</f>
      </c>
      <c r="M121" s="202">
        <f>IF($C121,IF($AD121=9999,"(Sin sprint)",$AD121),"")</f>
      </c>
      <c r="N121" s="202">
        <f>IF($C121,IF('Proyecto Datos (OKR´s)'!$E121="",9999,'Proyecto Datos (OKR´s)'!$E121),"")</f>
      </c>
      <c r="O121" s="202">
        <f>IF($C121,"T"&amp;TEXT(ROW(),"000"),"")</f>
      </c>
      <c r="R121" s="202">
        <f>IF($C121,IF(ISNUMBER('Proyecto Datos (OKR´s)'!$L121),'Proyecto Datos (OKR´s)'!$L121,$H121),"")</f>
      </c>
      <c r="S121" s="202">
        <f>IF($C121,$R121-'Proyecto Datos (OKR´s)'!$K121+1,"")</f>
      </c>
      <c r="T121" s="202">
        <f>IF($C121,MAX(0,TODAY()-'Proyecto Datos (OKR´s)'!$K121),"")</f>
      </c>
      <c r="U121" s="202">
        <f>IF($C121,MEDIAN(0,(TODAY()-'Proyecto Datos (OKR´s)'!$K121)/MAX(1,$R121-'Proyecto Datos (OKR´s)'!$K121),1),"")</f>
      </c>
      <c r="V121" s="202">
        <f>IF($C121,$I121-$U121,"")</f>
      </c>
      <c r="W121" s="202">
        <f>IF($C121,IF(OR($J121="Completado",NOT(ISNUMBER($H121))),0,MAX(0,TODAY()-$H121)),"")</f>
      </c>
      <c r="X121" s="202">
        <f>IF($C121,IF(ISNUMBER($H121),$R121-$H121,0),"")</f>
      </c>
      <c r="Y121" s="202">
        <f>IF($C121,COUNTIFS($G$7:$G$200,$G121,$J$7:$J$200,"&lt;&gt;Completado",$J$7:$J$200,"&lt;&gt;"),"")</f>
      </c>
      <c r="Z121" s="202">
        <f>IF($C121,AND($I121=0,'Proyecto Datos (OKR´s)'!$K121&lt;=TODAY(),$J121&lt;&gt;"Completado"),"")</f>
      </c>
      <c r="AA121" s="202">
        <f>IF($C121,ROUND(100*(0.35*$AK121+0.3*$AL121+0.2*$AM121+0.15*MEDIAN(0,($Y121-4)/8,1)),0),"")</f>
      </c>
      <c r="AB121" s="203">
        <f>IF($C121,IF(OR($J121="Completado",$J121="Sin fecha"),"—",IF($AA121&gt;=70,"Crítica",IF($AA121&gt;=45,"Alta",IF($AA121&gt;=25,"Media","Baja")))),"")</f>
      </c>
      <c r="AC121" s="203">
        <f>IF($C121,IF(LEN(TRIM($AN121))=0,"—",TRIM($AN121)),"")</f>
      </c>
      <c r="AD121" s="202">
        <f>IF($C121,$AV121,"")</f>
      </c>
      <c r="AE121" s="202">
        <f>IF($C121,$AZ121,"")</f>
      </c>
      <c r="AF121" s="202" t="b">
        <f>IF($C121,$AV121&lt;&gt;$AR121,FALSE)</f>
        <v>0</v>
      </c>
      <c r="AG121" s="202">
        <f>IF($C121,IF($AV121&lt;&gt;$AR121,$AW121,""),"")</f>
      </c>
      <c r="AH121" s="203">
        <f>IF($C121,IF(ISBLANK('Backlog General'!$K121),"",'Backlog General'!$K121),"")</f>
      </c>
      <c r="AI121" s="202">
        <f>IF($C121,$AV121*100000+ROW(),"")</f>
      </c>
      <c r="AJ121" s="202">
        <f>IF(AND($C121,ISNUMBER($H121)),$AA121*1000000-MEDIAN(-9999,$K121,9999)*100+(300-ROW()),"")</f>
      </c>
      <c r="AK121" s="202">
        <f>IF($C121,IF($J121="Completado",0,IF($K121&lt;0,1,IF($K121&lt;=3,0.9,IF($K121&lt;=7,0.7,IF($K121&lt;=14,0.45,0.2))))),"")</f>
      </c>
      <c r="AL121" s="202">
        <f>IF($C121,IF($J121="Completado",0,MEDIAN(0,MAX(-$V121,$W121/30),1)),"")</f>
      </c>
      <c r="AM121" s="202">
        <f>IF($C121,IF($J121="Completado",0,IF($Z121,1,IF(AND($I121&lt;0.5,$K121&lt;=7),0.7,0.3))),"")</f>
      </c>
      <c r="AN121" s="203">
        <f>IF($C121,IF(OR($V121&lt;-0.2,$W121&gt;0),"ATRASO ","")&amp;IF($Z121,"BLOQUEO ","")&amp;IF($Y121&gt;8,"SOBRECARGA ","")&amp;IF($X121&gt;0,"DESVÍO-PLAN ",""),"")</f>
      </c>
      <c r="AO121" s="203">
        <f>IF($C121,IFERROR(VLOOKUP($D121,'Sprints'!$I$5:$J$12,2,FALSE),"Semanal"),"")</f>
      </c>
      <c r="AP121" s="202">
        <f>IF($C121,IFERROR(VLOOKUP($AO121,'Sprints'!$B$9:$C$11,2,FALSE),1),"")</f>
      </c>
      <c r="AQ121" s="202">
        <f>IF($C121,'Sprints'!$C$5,"")</f>
      </c>
      <c r="AR121" s="202">
        <f>IF(AND($C121,ISNUMBER($H121)),CEILING(MAX(1,INT(($H121-$AQ121+'Sprints'!$D$5-1)/'Sprints'!$D$5)+1)/$AP121,1),"")</f>
      </c>
      <c r="AS121" s="202">
        <f>IF($C121,CEILING(MAX(1,INT((TODAY()-$AQ121+'Sprints'!$D$5-1)/'Sprints'!$D$5)+1)/$AP121,1),"")</f>
      </c>
      <c r="AT121" s="203">
        <f>IF($C121,'Backlog General'!$G121,"")</f>
      </c>
      <c r="AU121" s="203">
        <f>IF($C121,'Backlog General'!$H121,"")</f>
      </c>
      <c r="AV121" s="202">
        <f>IF(AND($C121,ISNUMBER($AR121)),IF(OR($AT121="Completo",$AU121="Cancelado",$AU121="Baja prioridad"),$AR121,IF($AU121="Pasa al siguiente",MAX($AR121+1,$AS121),MAX($AR121,$AS121))),"")</f>
      </c>
      <c r="AW121" s="202">
        <f>IF(AND($C121,ISNUMBER($AR121)),$AQ121+$AR121*$AP121*'Sprints'!$D$5-'Sprints'!$D$5,"")</f>
      </c>
      <c r="AX121" s="202">
        <f>IF($C121,IF(OR($AT121="Completo",$AU121="Cancelado",$AU121="Baja prioridad",NOT(ISNUMBER($AW121))),0,IF(TODAY()&gt;$AW121,NETWORKDAYS($AW121,TODAY(),'Sprints'!$L$5:$L$40)-1,0)),"")</f>
      </c>
      <c r="AY121" s="203">
        <f>IF($C121,IF(NOT(ISNUMBER($AR121)),"Sin fecha",IF($AT121="Completo","Completo",IF($AU121="Cancelado","Cancelado",IF($AU121="Baja prioridad","Baja prioridad",IF($AX121&gt;0,"Vencida","Pendiente"))))),"")</f>
      </c>
      <c r="AZ121" s="203">
        <f>IF($C121,IF(ISNUMBER($AV121),$AO121&amp;" · S"&amp;$AV121,"(Sin fecha)"),"")</f>
      </c>
      <c r="BA121" s="202">
        <f>IF($C121,IF(AND(ISNUMBER('Backlog General'!$M121),'Backlog General'!$M121=$AS121),"Nuevo S"&amp;'Backlog General'!$M121,""),"")</f>
      </c>
      <c r="BB121" s="202">
        <f>IF(AND($C121,$AO121="Semanal",ISNUMBER($AV121)),$AV121*100000+ROW(),"")</f>
      </c>
      <c r="BC121" s="202">
        <f>IF(AND($C121,$AO121="Quincenal",ISNUMBER($AV121)),$AV121*100000+ROW(),"")</f>
      </c>
      <c r="BD121" s="202">
        <f>IF(AND($C121,$AO121="Mensual",ISNUMBER($AV121)),$AV121*100000+ROW(),"")</f>
      </c>
      <c r="BE121" s="203">
        <f>IF($C121,IF(ISBLANK('Backlog General'!$J121),"",'Backlog General'!$J121),"")</f>
      </c>
      <c r="BF121" s="203">
        <f>IF($C121,IF($BE121="","",$BE121)&amp;IF(AND($BE121&lt;&gt;"",$AH121&lt;&gt;"")," · ","")&amp;IF($AH121="","",$AH121),"")</f>
      </c>
      <c r="BG121" s="203">
        <f>IF($C121,IF($J121="Completado","Sí","No"),"")</f>
      </c>
      <c r="BH121" s="202">
        <f>IF(AND($C121,ISNUMBER($AR121)),IF($AO121="Semanal",1,IF($AO121="Quincenal",2,3))*1000000000+$AR121*100000+ROW(),"")</f>
      </c>
    </row>
    <row r="122">
      <c r="A122" s="202">
        <f>ROW()</f>
        <v>122</v>
      </c>
      <c r="B122" s="202" t="b">
        <f>ISTEXT('Proyecto Datos (OKR´s)'!$K122)</f>
        <v>0</v>
      </c>
      <c r="C122" s="202" t="b">
        <f>AND(LEN('Proyecto Datos (OKR´s)'!$G122)&gt;0,NOT($B122),OR(ISNUMBER('Proyecto Datos (OKR´s)'!$F122),ISNUMBER('Proyecto Datos (OKR´s)'!$L122)))</f>
        <v>0</v>
      </c>
      <c r="D122" s="203">
        <f>IF($C122,IFERROR(LOOKUP(2,1/((ISTEXT('Proyecto Datos (OKR´s)'!$K$7:$K122))*(LEN('Proyecto Datos (OKR´s)'!$G$7:$G122)&gt;0)),'Proyecto Datos (OKR´s)'!$G$7:$G122),""),"")</f>
      </c>
      <c r="E122" s="202">
        <f>IF($C122,'Proyecto Datos (OKR´s)'!$E122,"")</f>
      </c>
      <c r="F122" s="203">
        <f>IF($C122,'Proyecto Datos (OKR´s)'!$G122,"")</f>
      </c>
      <c r="G122" s="203">
        <f>IF($C122,IF('Proyecto Datos (OKR´s)'!$I122="","(Sin asignar)",'Proyecto Datos (OKR´s)'!$I122),"")</f>
      </c>
      <c r="H122" s="202">
        <f>IF($C122,IF(ISNUMBER('Proyecto Datos (OKR´s)'!$F122),'Proyecto Datos (OKR´s)'!$F122,""),"")</f>
      </c>
      <c r="I122" s="202">
        <f>IF($C122,'Proyecto Datos (OKR´s)'!$J122,"")</f>
      </c>
      <c r="J122" s="203">
        <f>IF($C122,IF($I122&gt;=1,"Completado",IF(NOT(ISNUMBER($H122)),"Sin fecha",IF($H122&lt;TODAY(),"Vencido",IF(($H122-TODAY())&lt;='Entregas Próximas'!$M$3,"Próximo a vencer","En curso")))),"")</f>
      </c>
      <c r="K122" s="202">
        <f>IF(AND($C122,ISNUMBER($H122)),$H122-TODAY(),"")</f>
      </c>
      <c r="L122" s="202">
        <f>IF(AND($C122,ISNUMBER($H122)),$AD122*1000000+$H122+ROW()/100000,"")</f>
      </c>
      <c r="M122" s="202">
        <f>IF($C122,IF($AD122=9999,"(Sin sprint)",$AD122),"")</f>
      </c>
      <c r="N122" s="202">
        <f>IF($C122,IF('Proyecto Datos (OKR´s)'!$E122="",9999,'Proyecto Datos (OKR´s)'!$E122),"")</f>
      </c>
      <c r="O122" s="202">
        <f>IF($C122,"T"&amp;TEXT(ROW(),"000"),"")</f>
      </c>
      <c r="R122" s="202">
        <f>IF($C122,IF(ISNUMBER('Proyecto Datos (OKR´s)'!$L122),'Proyecto Datos (OKR´s)'!$L122,$H122),"")</f>
      </c>
      <c r="S122" s="202">
        <f>IF($C122,$R122-'Proyecto Datos (OKR´s)'!$K122+1,"")</f>
      </c>
      <c r="T122" s="202">
        <f>IF($C122,MAX(0,TODAY()-'Proyecto Datos (OKR´s)'!$K122),"")</f>
      </c>
      <c r="U122" s="202">
        <f>IF($C122,MEDIAN(0,(TODAY()-'Proyecto Datos (OKR´s)'!$K122)/MAX(1,$R122-'Proyecto Datos (OKR´s)'!$K122),1),"")</f>
      </c>
      <c r="V122" s="202">
        <f>IF($C122,$I122-$U122,"")</f>
      </c>
      <c r="W122" s="202">
        <f>IF($C122,IF(OR($J122="Completado",NOT(ISNUMBER($H122))),0,MAX(0,TODAY()-$H122)),"")</f>
      </c>
      <c r="X122" s="202">
        <f>IF($C122,IF(ISNUMBER($H122),$R122-$H122,0),"")</f>
      </c>
      <c r="Y122" s="202">
        <f>IF($C122,COUNTIFS($G$7:$G$200,$G122,$J$7:$J$200,"&lt;&gt;Completado",$J$7:$J$200,"&lt;&gt;"),"")</f>
      </c>
      <c r="Z122" s="202">
        <f>IF($C122,AND($I122=0,'Proyecto Datos (OKR´s)'!$K122&lt;=TODAY(),$J122&lt;&gt;"Completado"),"")</f>
      </c>
      <c r="AA122" s="202">
        <f>IF($C122,ROUND(100*(0.35*$AK122+0.3*$AL122+0.2*$AM122+0.15*MEDIAN(0,($Y122-4)/8,1)),0),"")</f>
      </c>
      <c r="AB122" s="203">
        <f>IF($C122,IF(OR($J122="Completado",$J122="Sin fecha"),"—",IF($AA122&gt;=70,"Crítica",IF($AA122&gt;=45,"Alta",IF($AA122&gt;=25,"Media","Baja")))),"")</f>
      </c>
      <c r="AC122" s="203">
        <f>IF($C122,IF(LEN(TRIM($AN122))=0,"—",TRIM($AN122)),"")</f>
      </c>
      <c r="AD122" s="202">
        <f>IF($C122,$AV122,"")</f>
      </c>
      <c r="AE122" s="202">
        <f>IF($C122,$AZ122,"")</f>
      </c>
      <c r="AF122" s="202" t="b">
        <f>IF($C122,$AV122&lt;&gt;$AR122,FALSE)</f>
        <v>0</v>
      </c>
      <c r="AG122" s="202">
        <f>IF($C122,IF($AV122&lt;&gt;$AR122,$AW122,""),"")</f>
      </c>
      <c r="AH122" s="203">
        <f>IF($C122,IF(ISBLANK('Backlog General'!$K122),"",'Backlog General'!$K122),"")</f>
      </c>
      <c r="AI122" s="202">
        <f>IF($C122,$AV122*100000+ROW(),"")</f>
      </c>
      <c r="AJ122" s="202">
        <f>IF(AND($C122,ISNUMBER($H122)),$AA122*1000000-MEDIAN(-9999,$K122,9999)*100+(300-ROW()),"")</f>
      </c>
      <c r="AK122" s="202">
        <f>IF($C122,IF($J122="Completado",0,IF($K122&lt;0,1,IF($K122&lt;=3,0.9,IF($K122&lt;=7,0.7,IF($K122&lt;=14,0.45,0.2))))),"")</f>
      </c>
      <c r="AL122" s="202">
        <f>IF($C122,IF($J122="Completado",0,MEDIAN(0,MAX(-$V122,$W122/30),1)),"")</f>
      </c>
      <c r="AM122" s="202">
        <f>IF($C122,IF($J122="Completado",0,IF($Z122,1,IF(AND($I122&lt;0.5,$K122&lt;=7),0.7,0.3))),"")</f>
      </c>
      <c r="AN122" s="203">
        <f>IF($C122,IF(OR($V122&lt;-0.2,$W122&gt;0),"ATRASO ","")&amp;IF($Z122,"BLOQUEO ","")&amp;IF($Y122&gt;8,"SOBRECARGA ","")&amp;IF($X122&gt;0,"DESVÍO-PLAN ",""),"")</f>
      </c>
      <c r="AO122" s="203">
        <f>IF($C122,IFERROR(VLOOKUP($D122,'Sprints'!$I$5:$J$12,2,FALSE),"Semanal"),"")</f>
      </c>
      <c r="AP122" s="202">
        <f>IF($C122,IFERROR(VLOOKUP($AO122,'Sprints'!$B$9:$C$11,2,FALSE),1),"")</f>
      </c>
      <c r="AQ122" s="202">
        <f>IF($C122,'Sprints'!$C$5,"")</f>
      </c>
      <c r="AR122" s="202">
        <f>IF(AND($C122,ISNUMBER($H122)),CEILING(MAX(1,INT(($H122-$AQ122+'Sprints'!$D$5-1)/'Sprints'!$D$5)+1)/$AP122,1),"")</f>
      </c>
      <c r="AS122" s="202">
        <f>IF($C122,CEILING(MAX(1,INT((TODAY()-$AQ122+'Sprints'!$D$5-1)/'Sprints'!$D$5)+1)/$AP122,1),"")</f>
      </c>
      <c r="AT122" s="203">
        <f>IF($C122,'Backlog General'!$G122,"")</f>
      </c>
      <c r="AU122" s="203">
        <f>IF($C122,'Backlog General'!$H122,"")</f>
      </c>
      <c r="AV122" s="202">
        <f>IF(AND($C122,ISNUMBER($AR122)),IF(OR($AT122="Completo",$AU122="Cancelado",$AU122="Baja prioridad"),$AR122,IF($AU122="Pasa al siguiente",MAX($AR122+1,$AS122),MAX($AR122,$AS122))),"")</f>
      </c>
      <c r="AW122" s="202">
        <f>IF(AND($C122,ISNUMBER($AR122)),$AQ122+$AR122*$AP122*'Sprints'!$D$5-'Sprints'!$D$5,"")</f>
      </c>
      <c r="AX122" s="202">
        <f>IF($C122,IF(OR($AT122="Completo",$AU122="Cancelado",$AU122="Baja prioridad",NOT(ISNUMBER($AW122))),0,IF(TODAY()&gt;$AW122,NETWORKDAYS($AW122,TODAY(),'Sprints'!$L$5:$L$40)-1,0)),"")</f>
      </c>
      <c r="AY122" s="203">
        <f>IF($C122,IF(NOT(ISNUMBER($AR122)),"Sin fecha",IF($AT122="Completo","Completo",IF($AU122="Cancelado","Cancelado",IF($AU122="Baja prioridad","Baja prioridad",IF($AX122&gt;0,"Vencida","Pendiente"))))),"")</f>
      </c>
      <c r="AZ122" s="203">
        <f>IF($C122,IF(ISNUMBER($AV122),$AO122&amp;" · S"&amp;$AV122,"(Sin fecha)"),"")</f>
      </c>
      <c r="BA122" s="202">
        <f>IF($C122,IF(AND(ISNUMBER('Backlog General'!$M122),'Backlog General'!$M122=$AS122),"Nuevo S"&amp;'Backlog General'!$M122,""),"")</f>
      </c>
      <c r="BB122" s="202">
        <f>IF(AND($C122,$AO122="Semanal",ISNUMBER($AV122)),$AV122*100000+ROW(),"")</f>
      </c>
      <c r="BC122" s="202">
        <f>IF(AND($C122,$AO122="Quincenal",ISNUMBER($AV122)),$AV122*100000+ROW(),"")</f>
      </c>
      <c r="BD122" s="202">
        <f>IF(AND($C122,$AO122="Mensual",ISNUMBER($AV122)),$AV122*100000+ROW(),"")</f>
      </c>
      <c r="BE122" s="203">
        <f>IF($C122,IF(ISBLANK('Backlog General'!$J122),"",'Backlog General'!$J122),"")</f>
      </c>
      <c r="BF122" s="203">
        <f>IF($C122,IF($BE122="","",$BE122)&amp;IF(AND($BE122&lt;&gt;"",$AH122&lt;&gt;"")," · ","")&amp;IF($AH122="","",$AH122),"")</f>
      </c>
      <c r="BG122" s="203">
        <f>IF($C122,IF($J122="Completado","Sí","No"),"")</f>
      </c>
      <c r="BH122" s="202">
        <f>IF(AND($C122,ISNUMBER($AR122)),IF($AO122="Semanal",1,IF($AO122="Quincenal",2,3))*1000000000+$AR122*100000+ROW(),"")</f>
      </c>
    </row>
    <row r="123">
      <c r="A123" s="202">
        <f>ROW()</f>
        <v>123</v>
      </c>
      <c r="B123" s="202" t="b">
        <f>ISTEXT('Proyecto Datos (OKR´s)'!$K123)</f>
        <v>0</v>
      </c>
      <c r="C123" s="202" t="b">
        <f>AND(LEN('Proyecto Datos (OKR´s)'!$G123)&gt;0,NOT($B123),OR(ISNUMBER('Proyecto Datos (OKR´s)'!$F123),ISNUMBER('Proyecto Datos (OKR´s)'!$L123)))</f>
        <v>0</v>
      </c>
      <c r="D123" s="203">
        <f>IF($C123,IFERROR(LOOKUP(2,1/((ISTEXT('Proyecto Datos (OKR´s)'!$K$7:$K123))*(LEN('Proyecto Datos (OKR´s)'!$G$7:$G123)&gt;0)),'Proyecto Datos (OKR´s)'!$G$7:$G123),""),"")</f>
      </c>
      <c r="E123" s="202">
        <f>IF($C123,'Proyecto Datos (OKR´s)'!$E123,"")</f>
      </c>
      <c r="F123" s="203">
        <f>IF($C123,'Proyecto Datos (OKR´s)'!$G123,"")</f>
      </c>
      <c r="G123" s="203">
        <f>IF($C123,IF('Proyecto Datos (OKR´s)'!$I123="","(Sin asignar)",'Proyecto Datos (OKR´s)'!$I123),"")</f>
      </c>
      <c r="H123" s="202">
        <f>IF($C123,IF(ISNUMBER('Proyecto Datos (OKR´s)'!$F123),'Proyecto Datos (OKR´s)'!$F123,""),"")</f>
      </c>
      <c r="I123" s="202">
        <f>IF($C123,'Proyecto Datos (OKR´s)'!$J123,"")</f>
      </c>
      <c r="J123" s="203">
        <f>IF($C123,IF($I123&gt;=1,"Completado",IF(NOT(ISNUMBER($H123)),"Sin fecha",IF($H123&lt;TODAY(),"Vencido",IF(($H123-TODAY())&lt;='Entregas Próximas'!$M$3,"Próximo a vencer","En curso")))),"")</f>
      </c>
      <c r="K123" s="202">
        <f>IF(AND($C123,ISNUMBER($H123)),$H123-TODAY(),"")</f>
      </c>
      <c r="L123" s="202">
        <f>IF(AND($C123,ISNUMBER($H123)),$AD123*1000000+$H123+ROW()/100000,"")</f>
      </c>
      <c r="M123" s="202">
        <f>IF($C123,IF($AD123=9999,"(Sin sprint)",$AD123),"")</f>
      </c>
      <c r="N123" s="202">
        <f>IF($C123,IF('Proyecto Datos (OKR´s)'!$E123="",9999,'Proyecto Datos (OKR´s)'!$E123),"")</f>
      </c>
      <c r="O123" s="202">
        <f>IF($C123,"T"&amp;TEXT(ROW(),"000"),"")</f>
      </c>
      <c r="R123" s="202">
        <f>IF($C123,IF(ISNUMBER('Proyecto Datos (OKR´s)'!$L123),'Proyecto Datos (OKR´s)'!$L123,$H123),"")</f>
      </c>
      <c r="S123" s="202">
        <f>IF($C123,$R123-'Proyecto Datos (OKR´s)'!$K123+1,"")</f>
      </c>
      <c r="T123" s="202">
        <f>IF($C123,MAX(0,TODAY()-'Proyecto Datos (OKR´s)'!$K123),"")</f>
      </c>
      <c r="U123" s="202">
        <f>IF($C123,MEDIAN(0,(TODAY()-'Proyecto Datos (OKR´s)'!$K123)/MAX(1,$R123-'Proyecto Datos (OKR´s)'!$K123),1),"")</f>
      </c>
      <c r="V123" s="202">
        <f>IF($C123,$I123-$U123,"")</f>
      </c>
      <c r="W123" s="202">
        <f>IF($C123,IF(OR($J123="Completado",NOT(ISNUMBER($H123))),0,MAX(0,TODAY()-$H123)),"")</f>
      </c>
      <c r="X123" s="202">
        <f>IF($C123,IF(ISNUMBER($H123),$R123-$H123,0),"")</f>
      </c>
      <c r="Y123" s="202">
        <f>IF($C123,COUNTIFS($G$7:$G$200,$G123,$J$7:$J$200,"&lt;&gt;Completado",$J$7:$J$200,"&lt;&gt;"),"")</f>
      </c>
      <c r="Z123" s="202">
        <f>IF($C123,AND($I123=0,'Proyecto Datos (OKR´s)'!$K123&lt;=TODAY(),$J123&lt;&gt;"Completado"),"")</f>
      </c>
      <c r="AA123" s="202">
        <f>IF($C123,ROUND(100*(0.35*$AK123+0.3*$AL123+0.2*$AM123+0.15*MEDIAN(0,($Y123-4)/8,1)),0),"")</f>
      </c>
      <c r="AB123" s="203">
        <f>IF($C123,IF(OR($J123="Completado",$J123="Sin fecha"),"—",IF($AA123&gt;=70,"Crítica",IF($AA123&gt;=45,"Alta",IF($AA123&gt;=25,"Media","Baja")))),"")</f>
      </c>
      <c r="AC123" s="203">
        <f>IF($C123,IF(LEN(TRIM($AN123))=0,"—",TRIM($AN123)),"")</f>
      </c>
      <c r="AD123" s="202">
        <f>IF($C123,$AV123,"")</f>
      </c>
      <c r="AE123" s="202">
        <f>IF($C123,$AZ123,"")</f>
      </c>
      <c r="AF123" s="202" t="b">
        <f>IF($C123,$AV123&lt;&gt;$AR123,FALSE)</f>
        <v>0</v>
      </c>
      <c r="AG123" s="202">
        <f>IF($C123,IF($AV123&lt;&gt;$AR123,$AW123,""),"")</f>
      </c>
      <c r="AH123" s="203">
        <f>IF($C123,IF(ISBLANK('Backlog General'!$K123),"",'Backlog General'!$K123),"")</f>
      </c>
      <c r="AI123" s="202">
        <f>IF($C123,$AV123*100000+ROW(),"")</f>
      </c>
      <c r="AJ123" s="202">
        <f>IF(AND($C123,ISNUMBER($H123)),$AA123*1000000-MEDIAN(-9999,$K123,9999)*100+(300-ROW()),"")</f>
      </c>
      <c r="AK123" s="202">
        <f>IF($C123,IF($J123="Completado",0,IF($K123&lt;0,1,IF($K123&lt;=3,0.9,IF($K123&lt;=7,0.7,IF($K123&lt;=14,0.45,0.2))))),"")</f>
      </c>
      <c r="AL123" s="202">
        <f>IF($C123,IF($J123="Completado",0,MEDIAN(0,MAX(-$V123,$W123/30),1)),"")</f>
      </c>
      <c r="AM123" s="202">
        <f>IF($C123,IF($J123="Completado",0,IF($Z123,1,IF(AND($I123&lt;0.5,$K123&lt;=7),0.7,0.3))),"")</f>
      </c>
      <c r="AN123" s="203">
        <f>IF($C123,IF(OR($V123&lt;-0.2,$W123&gt;0),"ATRASO ","")&amp;IF($Z123,"BLOQUEO ","")&amp;IF($Y123&gt;8,"SOBRECARGA ","")&amp;IF($X123&gt;0,"DESVÍO-PLAN ",""),"")</f>
      </c>
      <c r="AO123" s="203">
        <f>IF($C123,IFERROR(VLOOKUP($D123,'Sprints'!$I$5:$J$12,2,FALSE),"Semanal"),"")</f>
      </c>
      <c r="AP123" s="202">
        <f>IF($C123,IFERROR(VLOOKUP($AO123,'Sprints'!$B$9:$C$11,2,FALSE),1),"")</f>
      </c>
      <c r="AQ123" s="202">
        <f>IF($C123,'Sprints'!$C$5,"")</f>
      </c>
      <c r="AR123" s="202">
        <f>IF(AND($C123,ISNUMBER($H123)),CEILING(MAX(1,INT(($H123-$AQ123+'Sprints'!$D$5-1)/'Sprints'!$D$5)+1)/$AP123,1),"")</f>
      </c>
      <c r="AS123" s="202">
        <f>IF($C123,CEILING(MAX(1,INT((TODAY()-$AQ123+'Sprints'!$D$5-1)/'Sprints'!$D$5)+1)/$AP123,1),"")</f>
      </c>
      <c r="AT123" s="203">
        <f>IF($C123,'Backlog General'!$G123,"")</f>
      </c>
      <c r="AU123" s="203">
        <f>IF($C123,'Backlog General'!$H123,"")</f>
      </c>
      <c r="AV123" s="202">
        <f>IF(AND($C123,ISNUMBER($AR123)),IF(OR($AT123="Completo",$AU123="Cancelado",$AU123="Baja prioridad"),$AR123,IF($AU123="Pasa al siguiente",MAX($AR123+1,$AS123),MAX($AR123,$AS123))),"")</f>
      </c>
      <c r="AW123" s="202">
        <f>IF(AND($C123,ISNUMBER($AR123)),$AQ123+$AR123*$AP123*'Sprints'!$D$5-'Sprints'!$D$5,"")</f>
      </c>
      <c r="AX123" s="202">
        <f>IF($C123,IF(OR($AT123="Completo",$AU123="Cancelado",$AU123="Baja prioridad",NOT(ISNUMBER($AW123))),0,IF(TODAY()&gt;$AW123,NETWORKDAYS($AW123,TODAY(),'Sprints'!$L$5:$L$40)-1,0)),"")</f>
      </c>
      <c r="AY123" s="203">
        <f>IF($C123,IF(NOT(ISNUMBER($AR123)),"Sin fecha",IF($AT123="Completo","Completo",IF($AU123="Cancelado","Cancelado",IF($AU123="Baja prioridad","Baja prioridad",IF($AX123&gt;0,"Vencida","Pendiente"))))),"")</f>
      </c>
      <c r="AZ123" s="203">
        <f>IF($C123,IF(ISNUMBER($AV123),$AO123&amp;" · S"&amp;$AV123,"(Sin fecha)"),"")</f>
      </c>
      <c r="BA123" s="202">
        <f>IF($C123,IF(AND(ISNUMBER('Backlog General'!$M123),'Backlog General'!$M123=$AS123),"Nuevo S"&amp;'Backlog General'!$M123,""),"")</f>
      </c>
      <c r="BB123" s="202">
        <f>IF(AND($C123,$AO123="Semanal",ISNUMBER($AV123)),$AV123*100000+ROW(),"")</f>
      </c>
      <c r="BC123" s="202">
        <f>IF(AND($C123,$AO123="Quincenal",ISNUMBER($AV123)),$AV123*100000+ROW(),"")</f>
      </c>
      <c r="BD123" s="202">
        <f>IF(AND($C123,$AO123="Mensual",ISNUMBER($AV123)),$AV123*100000+ROW(),"")</f>
      </c>
      <c r="BE123" s="203">
        <f>IF($C123,IF(ISBLANK('Backlog General'!$J123),"",'Backlog General'!$J123),"")</f>
      </c>
      <c r="BF123" s="203">
        <f>IF($C123,IF($BE123="","",$BE123)&amp;IF(AND($BE123&lt;&gt;"",$AH123&lt;&gt;"")," · ","")&amp;IF($AH123="","",$AH123),"")</f>
      </c>
      <c r="BG123" s="203">
        <f>IF($C123,IF($J123="Completado","Sí","No"),"")</f>
      </c>
      <c r="BH123" s="202">
        <f>IF(AND($C123,ISNUMBER($AR123)),IF($AO123="Semanal",1,IF($AO123="Quincenal",2,3))*1000000000+$AR123*100000+ROW(),"")</f>
      </c>
    </row>
    <row r="124">
      <c r="A124" s="202">
        <f>ROW()</f>
        <v>124</v>
      </c>
      <c r="B124" s="202" t="b">
        <f>ISTEXT('Proyecto Datos (OKR´s)'!$K124)</f>
        <v>0</v>
      </c>
      <c r="C124" s="202" t="b">
        <f>AND(LEN('Proyecto Datos (OKR´s)'!$G124)&gt;0,NOT($B124),OR(ISNUMBER('Proyecto Datos (OKR´s)'!$F124),ISNUMBER('Proyecto Datos (OKR´s)'!$L124)))</f>
        <v>0</v>
      </c>
      <c r="D124" s="203">
        <f>IF($C124,IFERROR(LOOKUP(2,1/((ISTEXT('Proyecto Datos (OKR´s)'!$K$7:$K124))*(LEN('Proyecto Datos (OKR´s)'!$G$7:$G124)&gt;0)),'Proyecto Datos (OKR´s)'!$G$7:$G124),""),"")</f>
      </c>
      <c r="E124" s="202">
        <f>IF($C124,'Proyecto Datos (OKR´s)'!$E124,"")</f>
      </c>
      <c r="F124" s="203">
        <f>IF($C124,'Proyecto Datos (OKR´s)'!$G124,"")</f>
      </c>
      <c r="G124" s="203">
        <f>IF($C124,IF('Proyecto Datos (OKR´s)'!$I124="","(Sin asignar)",'Proyecto Datos (OKR´s)'!$I124),"")</f>
      </c>
      <c r="H124" s="202">
        <f>IF($C124,IF(ISNUMBER('Proyecto Datos (OKR´s)'!$F124),'Proyecto Datos (OKR´s)'!$F124,""),"")</f>
      </c>
      <c r="I124" s="202">
        <f>IF($C124,'Proyecto Datos (OKR´s)'!$J124,"")</f>
      </c>
      <c r="J124" s="203">
        <f>IF($C124,IF($I124&gt;=1,"Completado",IF(NOT(ISNUMBER($H124)),"Sin fecha",IF($H124&lt;TODAY(),"Vencido",IF(($H124-TODAY())&lt;='Entregas Próximas'!$M$3,"Próximo a vencer","En curso")))),"")</f>
      </c>
      <c r="K124" s="202">
        <f>IF(AND($C124,ISNUMBER($H124)),$H124-TODAY(),"")</f>
      </c>
      <c r="L124" s="202">
        <f>IF(AND($C124,ISNUMBER($H124)),$AD124*1000000+$H124+ROW()/100000,"")</f>
      </c>
      <c r="M124" s="202">
        <f>IF($C124,IF($AD124=9999,"(Sin sprint)",$AD124),"")</f>
      </c>
      <c r="N124" s="202">
        <f>IF($C124,IF('Proyecto Datos (OKR´s)'!$E124="",9999,'Proyecto Datos (OKR´s)'!$E124),"")</f>
      </c>
      <c r="O124" s="202">
        <f>IF($C124,"T"&amp;TEXT(ROW(),"000"),"")</f>
      </c>
      <c r="R124" s="202">
        <f>IF($C124,IF(ISNUMBER('Proyecto Datos (OKR´s)'!$L124),'Proyecto Datos (OKR´s)'!$L124,$H124),"")</f>
      </c>
      <c r="S124" s="202">
        <f>IF($C124,$R124-'Proyecto Datos (OKR´s)'!$K124+1,"")</f>
      </c>
      <c r="T124" s="202">
        <f>IF($C124,MAX(0,TODAY()-'Proyecto Datos (OKR´s)'!$K124),"")</f>
      </c>
      <c r="U124" s="202">
        <f>IF($C124,MEDIAN(0,(TODAY()-'Proyecto Datos (OKR´s)'!$K124)/MAX(1,$R124-'Proyecto Datos (OKR´s)'!$K124),1),"")</f>
      </c>
      <c r="V124" s="202">
        <f>IF($C124,$I124-$U124,"")</f>
      </c>
      <c r="W124" s="202">
        <f>IF($C124,IF(OR($J124="Completado",NOT(ISNUMBER($H124))),0,MAX(0,TODAY()-$H124)),"")</f>
      </c>
      <c r="X124" s="202">
        <f>IF($C124,IF(ISNUMBER($H124),$R124-$H124,0),"")</f>
      </c>
      <c r="Y124" s="202">
        <f>IF($C124,COUNTIFS($G$7:$G$200,$G124,$J$7:$J$200,"&lt;&gt;Completado",$J$7:$J$200,"&lt;&gt;"),"")</f>
      </c>
      <c r="Z124" s="202">
        <f>IF($C124,AND($I124=0,'Proyecto Datos (OKR´s)'!$K124&lt;=TODAY(),$J124&lt;&gt;"Completado"),"")</f>
      </c>
      <c r="AA124" s="202">
        <f>IF($C124,ROUND(100*(0.35*$AK124+0.3*$AL124+0.2*$AM124+0.15*MEDIAN(0,($Y124-4)/8,1)),0),"")</f>
      </c>
      <c r="AB124" s="203">
        <f>IF($C124,IF(OR($J124="Completado",$J124="Sin fecha"),"—",IF($AA124&gt;=70,"Crítica",IF($AA124&gt;=45,"Alta",IF($AA124&gt;=25,"Media","Baja")))),"")</f>
      </c>
      <c r="AC124" s="203">
        <f>IF($C124,IF(LEN(TRIM($AN124))=0,"—",TRIM($AN124)),"")</f>
      </c>
      <c r="AD124" s="202">
        <f>IF($C124,$AV124,"")</f>
      </c>
      <c r="AE124" s="202">
        <f>IF($C124,$AZ124,"")</f>
      </c>
      <c r="AF124" s="202" t="b">
        <f>IF($C124,$AV124&lt;&gt;$AR124,FALSE)</f>
        <v>0</v>
      </c>
      <c r="AG124" s="202">
        <f>IF($C124,IF($AV124&lt;&gt;$AR124,$AW124,""),"")</f>
      </c>
      <c r="AH124" s="203">
        <f>IF($C124,IF(ISBLANK('Backlog General'!$K124),"",'Backlog General'!$K124),"")</f>
      </c>
      <c r="AI124" s="202">
        <f>IF($C124,$AV124*100000+ROW(),"")</f>
      </c>
      <c r="AJ124" s="202">
        <f>IF(AND($C124,ISNUMBER($H124)),$AA124*1000000-MEDIAN(-9999,$K124,9999)*100+(300-ROW()),"")</f>
      </c>
      <c r="AK124" s="202">
        <f>IF($C124,IF($J124="Completado",0,IF($K124&lt;0,1,IF($K124&lt;=3,0.9,IF($K124&lt;=7,0.7,IF($K124&lt;=14,0.45,0.2))))),"")</f>
      </c>
      <c r="AL124" s="202">
        <f>IF($C124,IF($J124="Completado",0,MEDIAN(0,MAX(-$V124,$W124/30),1)),"")</f>
      </c>
      <c r="AM124" s="202">
        <f>IF($C124,IF($J124="Completado",0,IF($Z124,1,IF(AND($I124&lt;0.5,$K124&lt;=7),0.7,0.3))),"")</f>
      </c>
      <c r="AN124" s="203">
        <f>IF($C124,IF(OR($V124&lt;-0.2,$W124&gt;0),"ATRASO ","")&amp;IF($Z124,"BLOQUEO ","")&amp;IF($Y124&gt;8,"SOBRECARGA ","")&amp;IF($X124&gt;0,"DESVÍO-PLAN ",""),"")</f>
      </c>
      <c r="AO124" s="203">
        <f>IF($C124,IFERROR(VLOOKUP($D124,'Sprints'!$I$5:$J$12,2,FALSE),"Semanal"),"")</f>
      </c>
      <c r="AP124" s="202">
        <f>IF($C124,IFERROR(VLOOKUP($AO124,'Sprints'!$B$9:$C$11,2,FALSE),1),"")</f>
      </c>
      <c r="AQ124" s="202">
        <f>IF($C124,'Sprints'!$C$5,"")</f>
      </c>
      <c r="AR124" s="202">
        <f>IF(AND($C124,ISNUMBER($H124)),CEILING(MAX(1,INT(($H124-$AQ124+'Sprints'!$D$5-1)/'Sprints'!$D$5)+1)/$AP124,1),"")</f>
      </c>
      <c r="AS124" s="202">
        <f>IF($C124,CEILING(MAX(1,INT((TODAY()-$AQ124+'Sprints'!$D$5-1)/'Sprints'!$D$5)+1)/$AP124,1),"")</f>
      </c>
      <c r="AT124" s="203">
        <f>IF($C124,'Backlog General'!$G124,"")</f>
      </c>
      <c r="AU124" s="203">
        <f>IF($C124,'Backlog General'!$H124,"")</f>
      </c>
      <c r="AV124" s="202">
        <f>IF(AND($C124,ISNUMBER($AR124)),IF(OR($AT124="Completo",$AU124="Cancelado",$AU124="Baja prioridad"),$AR124,IF($AU124="Pasa al siguiente",MAX($AR124+1,$AS124),MAX($AR124,$AS124))),"")</f>
      </c>
      <c r="AW124" s="202">
        <f>IF(AND($C124,ISNUMBER($AR124)),$AQ124+$AR124*$AP124*'Sprints'!$D$5-'Sprints'!$D$5,"")</f>
      </c>
      <c r="AX124" s="202">
        <f>IF($C124,IF(OR($AT124="Completo",$AU124="Cancelado",$AU124="Baja prioridad",NOT(ISNUMBER($AW124))),0,IF(TODAY()&gt;$AW124,NETWORKDAYS($AW124,TODAY(),'Sprints'!$L$5:$L$40)-1,0)),"")</f>
      </c>
      <c r="AY124" s="203">
        <f>IF($C124,IF(NOT(ISNUMBER($AR124)),"Sin fecha",IF($AT124="Completo","Completo",IF($AU124="Cancelado","Cancelado",IF($AU124="Baja prioridad","Baja prioridad",IF($AX124&gt;0,"Vencida","Pendiente"))))),"")</f>
      </c>
      <c r="AZ124" s="203">
        <f>IF($C124,IF(ISNUMBER($AV124),$AO124&amp;" · S"&amp;$AV124,"(Sin fecha)"),"")</f>
      </c>
      <c r="BA124" s="202">
        <f>IF($C124,IF(AND(ISNUMBER('Backlog General'!$M124),'Backlog General'!$M124=$AS124),"Nuevo S"&amp;'Backlog General'!$M124,""),"")</f>
      </c>
      <c r="BB124" s="202">
        <f>IF(AND($C124,$AO124="Semanal",ISNUMBER($AV124)),$AV124*100000+ROW(),"")</f>
      </c>
      <c r="BC124" s="202">
        <f>IF(AND($C124,$AO124="Quincenal",ISNUMBER($AV124)),$AV124*100000+ROW(),"")</f>
      </c>
      <c r="BD124" s="202">
        <f>IF(AND($C124,$AO124="Mensual",ISNUMBER($AV124)),$AV124*100000+ROW(),"")</f>
      </c>
      <c r="BE124" s="203">
        <f>IF($C124,IF(ISBLANK('Backlog General'!$J124),"",'Backlog General'!$J124),"")</f>
      </c>
      <c r="BF124" s="203">
        <f>IF($C124,IF($BE124="","",$BE124)&amp;IF(AND($BE124&lt;&gt;"",$AH124&lt;&gt;"")," · ","")&amp;IF($AH124="","",$AH124),"")</f>
      </c>
      <c r="BG124" s="203">
        <f>IF($C124,IF($J124="Completado","Sí","No"),"")</f>
      </c>
      <c r="BH124" s="202">
        <f>IF(AND($C124,ISNUMBER($AR124)),IF($AO124="Semanal",1,IF($AO124="Quincenal",2,3))*1000000000+$AR124*100000+ROW(),"")</f>
      </c>
    </row>
    <row r="125">
      <c r="A125" s="202">
        <f>ROW()</f>
        <v>125</v>
      </c>
      <c r="B125" s="202" t="b">
        <f>ISTEXT('Proyecto Datos (OKR´s)'!$K125)</f>
        <v>0</v>
      </c>
      <c r="C125" s="202" t="b">
        <f>AND(LEN('Proyecto Datos (OKR´s)'!$G125)&gt;0,NOT($B125),OR(ISNUMBER('Proyecto Datos (OKR´s)'!$F125),ISNUMBER('Proyecto Datos (OKR´s)'!$L125)))</f>
        <v>0</v>
      </c>
      <c r="D125" s="203">
        <f>IF($C125,IFERROR(LOOKUP(2,1/((ISTEXT('Proyecto Datos (OKR´s)'!$K$7:$K125))*(LEN('Proyecto Datos (OKR´s)'!$G$7:$G125)&gt;0)),'Proyecto Datos (OKR´s)'!$G$7:$G125),""),"")</f>
      </c>
      <c r="E125" s="202">
        <f>IF($C125,'Proyecto Datos (OKR´s)'!$E125,"")</f>
      </c>
      <c r="F125" s="203">
        <f>IF($C125,'Proyecto Datos (OKR´s)'!$G125,"")</f>
      </c>
      <c r="G125" s="203">
        <f>IF($C125,IF('Proyecto Datos (OKR´s)'!$I125="","(Sin asignar)",'Proyecto Datos (OKR´s)'!$I125),"")</f>
      </c>
      <c r="H125" s="202">
        <f>IF($C125,IF(ISNUMBER('Proyecto Datos (OKR´s)'!$F125),'Proyecto Datos (OKR´s)'!$F125,""),"")</f>
      </c>
      <c r="I125" s="202">
        <f>IF($C125,'Proyecto Datos (OKR´s)'!$J125,"")</f>
      </c>
      <c r="J125" s="203">
        <f>IF($C125,IF($I125&gt;=1,"Completado",IF(NOT(ISNUMBER($H125)),"Sin fecha",IF($H125&lt;TODAY(),"Vencido",IF(($H125-TODAY())&lt;='Entregas Próximas'!$M$3,"Próximo a vencer","En curso")))),"")</f>
      </c>
      <c r="K125" s="202">
        <f>IF(AND($C125,ISNUMBER($H125)),$H125-TODAY(),"")</f>
      </c>
      <c r="L125" s="202">
        <f>IF(AND($C125,ISNUMBER($H125)),$AD125*1000000+$H125+ROW()/100000,"")</f>
      </c>
      <c r="M125" s="202">
        <f>IF($C125,IF($AD125=9999,"(Sin sprint)",$AD125),"")</f>
      </c>
      <c r="N125" s="202">
        <f>IF($C125,IF('Proyecto Datos (OKR´s)'!$E125="",9999,'Proyecto Datos (OKR´s)'!$E125),"")</f>
      </c>
      <c r="O125" s="202">
        <f>IF($C125,"T"&amp;TEXT(ROW(),"000"),"")</f>
      </c>
      <c r="R125" s="202">
        <f>IF($C125,IF(ISNUMBER('Proyecto Datos (OKR´s)'!$L125),'Proyecto Datos (OKR´s)'!$L125,$H125),"")</f>
      </c>
      <c r="S125" s="202">
        <f>IF($C125,$R125-'Proyecto Datos (OKR´s)'!$K125+1,"")</f>
      </c>
      <c r="T125" s="202">
        <f>IF($C125,MAX(0,TODAY()-'Proyecto Datos (OKR´s)'!$K125),"")</f>
      </c>
      <c r="U125" s="202">
        <f>IF($C125,MEDIAN(0,(TODAY()-'Proyecto Datos (OKR´s)'!$K125)/MAX(1,$R125-'Proyecto Datos (OKR´s)'!$K125),1),"")</f>
      </c>
      <c r="V125" s="202">
        <f>IF($C125,$I125-$U125,"")</f>
      </c>
      <c r="W125" s="202">
        <f>IF($C125,IF(OR($J125="Completado",NOT(ISNUMBER($H125))),0,MAX(0,TODAY()-$H125)),"")</f>
      </c>
      <c r="X125" s="202">
        <f>IF($C125,IF(ISNUMBER($H125),$R125-$H125,0),"")</f>
      </c>
      <c r="Y125" s="202">
        <f>IF($C125,COUNTIFS($G$7:$G$200,$G125,$J$7:$J$200,"&lt;&gt;Completado",$J$7:$J$200,"&lt;&gt;"),"")</f>
      </c>
      <c r="Z125" s="202">
        <f>IF($C125,AND($I125=0,'Proyecto Datos (OKR´s)'!$K125&lt;=TODAY(),$J125&lt;&gt;"Completado"),"")</f>
      </c>
      <c r="AA125" s="202">
        <f>IF($C125,ROUND(100*(0.35*$AK125+0.3*$AL125+0.2*$AM125+0.15*MEDIAN(0,($Y125-4)/8,1)),0),"")</f>
      </c>
      <c r="AB125" s="203">
        <f>IF($C125,IF(OR($J125="Completado",$J125="Sin fecha"),"—",IF($AA125&gt;=70,"Crítica",IF($AA125&gt;=45,"Alta",IF($AA125&gt;=25,"Media","Baja")))),"")</f>
      </c>
      <c r="AC125" s="203">
        <f>IF($C125,IF(LEN(TRIM($AN125))=0,"—",TRIM($AN125)),"")</f>
      </c>
      <c r="AD125" s="202">
        <f>IF($C125,$AV125,"")</f>
      </c>
      <c r="AE125" s="202">
        <f>IF($C125,$AZ125,"")</f>
      </c>
      <c r="AF125" s="202" t="b">
        <f>IF($C125,$AV125&lt;&gt;$AR125,FALSE)</f>
        <v>0</v>
      </c>
      <c r="AG125" s="202">
        <f>IF($C125,IF($AV125&lt;&gt;$AR125,$AW125,""),"")</f>
      </c>
      <c r="AH125" s="203">
        <f>IF($C125,IF(ISBLANK('Backlog General'!$K125),"",'Backlog General'!$K125),"")</f>
      </c>
      <c r="AI125" s="202">
        <f>IF($C125,$AV125*100000+ROW(),"")</f>
      </c>
      <c r="AJ125" s="202">
        <f>IF(AND($C125,ISNUMBER($H125)),$AA125*1000000-MEDIAN(-9999,$K125,9999)*100+(300-ROW()),"")</f>
      </c>
      <c r="AK125" s="202">
        <f>IF($C125,IF($J125="Completado",0,IF($K125&lt;0,1,IF($K125&lt;=3,0.9,IF($K125&lt;=7,0.7,IF($K125&lt;=14,0.45,0.2))))),"")</f>
      </c>
      <c r="AL125" s="202">
        <f>IF($C125,IF($J125="Completado",0,MEDIAN(0,MAX(-$V125,$W125/30),1)),"")</f>
      </c>
      <c r="AM125" s="202">
        <f>IF($C125,IF($J125="Completado",0,IF($Z125,1,IF(AND($I125&lt;0.5,$K125&lt;=7),0.7,0.3))),"")</f>
      </c>
      <c r="AN125" s="203">
        <f>IF($C125,IF(OR($V125&lt;-0.2,$W125&gt;0),"ATRASO ","")&amp;IF($Z125,"BLOQUEO ","")&amp;IF($Y125&gt;8,"SOBRECARGA ","")&amp;IF($X125&gt;0,"DESVÍO-PLAN ",""),"")</f>
      </c>
      <c r="AO125" s="203">
        <f>IF($C125,IFERROR(VLOOKUP($D125,'Sprints'!$I$5:$J$12,2,FALSE),"Semanal"),"")</f>
      </c>
      <c r="AP125" s="202">
        <f>IF($C125,IFERROR(VLOOKUP($AO125,'Sprints'!$B$9:$C$11,2,FALSE),1),"")</f>
      </c>
      <c r="AQ125" s="202">
        <f>IF($C125,'Sprints'!$C$5,"")</f>
      </c>
      <c r="AR125" s="202">
        <f>IF(AND($C125,ISNUMBER($H125)),CEILING(MAX(1,INT(($H125-$AQ125+'Sprints'!$D$5-1)/'Sprints'!$D$5)+1)/$AP125,1),"")</f>
      </c>
      <c r="AS125" s="202">
        <f>IF($C125,CEILING(MAX(1,INT((TODAY()-$AQ125+'Sprints'!$D$5-1)/'Sprints'!$D$5)+1)/$AP125,1),"")</f>
      </c>
      <c r="AT125" s="203">
        <f>IF($C125,'Backlog General'!$G125,"")</f>
      </c>
      <c r="AU125" s="203">
        <f>IF($C125,'Backlog General'!$H125,"")</f>
      </c>
      <c r="AV125" s="202">
        <f>IF(AND($C125,ISNUMBER($AR125)),IF(OR($AT125="Completo",$AU125="Cancelado",$AU125="Baja prioridad"),$AR125,IF($AU125="Pasa al siguiente",MAX($AR125+1,$AS125),MAX($AR125,$AS125))),"")</f>
      </c>
      <c r="AW125" s="202">
        <f>IF(AND($C125,ISNUMBER($AR125)),$AQ125+$AR125*$AP125*'Sprints'!$D$5-'Sprints'!$D$5,"")</f>
      </c>
      <c r="AX125" s="202">
        <f>IF($C125,IF(OR($AT125="Completo",$AU125="Cancelado",$AU125="Baja prioridad",NOT(ISNUMBER($AW125))),0,IF(TODAY()&gt;$AW125,NETWORKDAYS($AW125,TODAY(),'Sprints'!$L$5:$L$40)-1,0)),"")</f>
      </c>
      <c r="AY125" s="203">
        <f>IF($C125,IF(NOT(ISNUMBER($AR125)),"Sin fecha",IF($AT125="Completo","Completo",IF($AU125="Cancelado","Cancelado",IF($AU125="Baja prioridad","Baja prioridad",IF($AX125&gt;0,"Vencida","Pendiente"))))),"")</f>
      </c>
      <c r="AZ125" s="203">
        <f>IF($C125,IF(ISNUMBER($AV125),$AO125&amp;" · S"&amp;$AV125,"(Sin fecha)"),"")</f>
      </c>
      <c r="BA125" s="202">
        <f>IF($C125,IF(AND(ISNUMBER('Backlog General'!$M125),'Backlog General'!$M125=$AS125),"Nuevo S"&amp;'Backlog General'!$M125,""),"")</f>
      </c>
      <c r="BB125" s="202">
        <f>IF(AND($C125,$AO125="Semanal",ISNUMBER($AV125)),$AV125*100000+ROW(),"")</f>
      </c>
      <c r="BC125" s="202">
        <f>IF(AND($C125,$AO125="Quincenal",ISNUMBER($AV125)),$AV125*100000+ROW(),"")</f>
      </c>
      <c r="BD125" s="202">
        <f>IF(AND($C125,$AO125="Mensual",ISNUMBER($AV125)),$AV125*100000+ROW(),"")</f>
      </c>
      <c r="BE125" s="203">
        <f>IF($C125,IF(ISBLANK('Backlog General'!$J125),"",'Backlog General'!$J125),"")</f>
      </c>
      <c r="BF125" s="203">
        <f>IF($C125,IF($BE125="","",$BE125)&amp;IF(AND($BE125&lt;&gt;"",$AH125&lt;&gt;"")," · ","")&amp;IF($AH125="","",$AH125),"")</f>
      </c>
      <c r="BG125" s="203">
        <f>IF($C125,IF($J125="Completado","Sí","No"),"")</f>
      </c>
      <c r="BH125" s="202">
        <f>IF(AND($C125,ISNUMBER($AR125)),IF($AO125="Semanal",1,IF($AO125="Quincenal",2,3))*1000000000+$AR125*100000+ROW(),"")</f>
      </c>
    </row>
    <row r="126">
      <c r="A126" s="202">
        <f>ROW()</f>
        <v>126</v>
      </c>
      <c r="B126" s="202" t="b">
        <f>ISTEXT('Proyecto Datos (OKR´s)'!$K126)</f>
        <v>0</v>
      </c>
      <c r="C126" s="202" t="b">
        <f>AND(LEN('Proyecto Datos (OKR´s)'!$G126)&gt;0,NOT($B126),OR(ISNUMBER('Proyecto Datos (OKR´s)'!$F126),ISNUMBER('Proyecto Datos (OKR´s)'!$L126)))</f>
        <v>0</v>
      </c>
      <c r="D126" s="203">
        <f>IF($C126,IFERROR(LOOKUP(2,1/((ISTEXT('Proyecto Datos (OKR´s)'!$K$7:$K126))*(LEN('Proyecto Datos (OKR´s)'!$G$7:$G126)&gt;0)),'Proyecto Datos (OKR´s)'!$G$7:$G126),""),"")</f>
      </c>
      <c r="E126" s="202">
        <f>IF($C126,'Proyecto Datos (OKR´s)'!$E126,"")</f>
      </c>
      <c r="F126" s="203">
        <f>IF($C126,'Proyecto Datos (OKR´s)'!$G126,"")</f>
      </c>
      <c r="G126" s="203">
        <f>IF($C126,IF('Proyecto Datos (OKR´s)'!$I126="","(Sin asignar)",'Proyecto Datos (OKR´s)'!$I126),"")</f>
      </c>
      <c r="H126" s="202">
        <f>IF($C126,IF(ISNUMBER('Proyecto Datos (OKR´s)'!$F126),'Proyecto Datos (OKR´s)'!$F126,""),"")</f>
      </c>
      <c r="I126" s="202">
        <f>IF($C126,'Proyecto Datos (OKR´s)'!$J126,"")</f>
      </c>
      <c r="J126" s="203">
        <f>IF($C126,IF($I126&gt;=1,"Completado",IF(NOT(ISNUMBER($H126)),"Sin fecha",IF($H126&lt;TODAY(),"Vencido",IF(($H126-TODAY())&lt;='Entregas Próximas'!$M$3,"Próximo a vencer","En curso")))),"")</f>
      </c>
      <c r="K126" s="202">
        <f>IF(AND($C126,ISNUMBER($H126)),$H126-TODAY(),"")</f>
      </c>
      <c r="L126" s="202">
        <f>IF(AND($C126,ISNUMBER($H126)),$AD126*1000000+$H126+ROW()/100000,"")</f>
      </c>
      <c r="M126" s="202">
        <f>IF($C126,IF($AD126=9999,"(Sin sprint)",$AD126),"")</f>
      </c>
      <c r="N126" s="202">
        <f>IF($C126,IF('Proyecto Datos (OKR´s)'!$E126="",9999,'Proyecto Datos (OKR´s)'!$E126),"")</f>
      </c>
      <c r="O126" s="202">
        <f>IF($C126,"T"&amp;TEXT(ROW(),"000"),"")</f>
      </c>
      <c r="R126" s="202">
        <f>IF($C126,IF(ISNUMBER('Proyecto Datos (OKR´s)'!$L126),'Proyecto Datos (OKR´s)'!$L126,$H126),"")</f>
      </c>
      <c r="S126" s="202">
        <f>IF($C126,$R126-'Proyecto Datos (OKR´s)'!$K126+1,"")</f>
      </c>
      <c r="T126" s="202">
        <f>IF($C126,MAX(0,TODAY()-'Proyecto Datos (OKR´s)'!$K126),"")</f>
      </c>
      <c r="U126" s="202">
        <f>IF($C126,MEDIAN(0,(TODAY()-'Proyecto Datos (OKR´s)'!$K126)/MAX(1,$R126-'Proyecto Datos (OKR´s)'!$K126),1),"")</f>
      </c>
      <c r="V126" s="202">
        <f>IF($C126,$I126-$U126,"")</f>
      </c>
      <c r="W126" s="202">
        <f>IF($C126,IF(OR($J126="Completado",NOT(ISNUMBER($H126))),0,MAX(0,TODAY()-$H126)),"")</f>
      </c>
      <c r="X126" s="202">
        <f>IF($C126,IF(ISNUMBER($H126),$R126-$H126,0),"")</f>
      </c>
      <c r="Y126" s="202">
        <f>IF($C126,COUNTIFS($G$7:$G$200,$G126,$J$7:$J$200,"&lt;&gt;Completado",$J$7:$J$200,"&lt;&gt;"),"")</f>
      </c>
      <c r="Z126" s="202">
        <f>IF($C126,AND($I126=0,'Proyecto Datos (OKR´s)'!$K126&lt;=TODAY(),$J126&lt;&gt;"Completado"),"")</f>
      </c>
      <c r="AA126" s="202">
        <f>IF($C126,ROUND(100*(0.35*$AK126+0.3*$AL126+0.2*$AM126+0.15*MEDIAN(0,($Y126-4)/8,1)),0),"")</f>
      </c>
      <c r="AB126" s="203">
        <f>IF($C126,IF(OR($J126="Completado",$J126="Sin fecha"),"—",IF($AA126&gt;=70,"Crítica",IF($AA126&gt;=45,"Alta",IF($AA126&gt;=25,"Media","Baja")))),"")</f>
      </c>
      <c r="AC126" s="203">
        <f>IF($C126,IF(LEN(TRIM($AN126))=0,"—",TRIM($AN126)),"")</f>
      </c>
      <c r="AD126" s="202">
        <f>IF($C126,$AV126,"")</f>
      </c>
      <c r="AE126" s="202">
        <f>IF($C126,$AZ126,"")</f>
      </c>
      <c r="AF126" s="202" t="b">
        <f>IF($C126,$AV126&lt;&gt;$AR126,FALSE)</f>
        <v>0</v>
      </c>
      <c r="AG126" s="202">
        <f>IF($C126,IF($AV126&lt;&gt;$AR126,$AW126,""),"")</f>
      </c>
      <c r="AH126" s="203">
        <f>IF($C126,IF(ISBLANK('Backlog General'!$K126),"",'Backlog General'!$K126),"")</f>
      </c>
      <c r="AI126" s="202">
        <f>IF($C126,$AV126*100000+ROW(),"")</f>
      </c>
      <c r="AJ126" s="202">
        <f>IF(AND($C126,ISNUMBER($H126)),$AA126*1000000-MEDIAN(-9999,$K126,9999)*100+(300-ROW()),"")</f>
      </c>
      <c r="AK126" s="202">
        <f>IF($C126,IF($J126="Completado",0,IF($K126&lt;0,1,IF($K126&lt;=3,0.9,IF($K126&lt;=7,0.7,IF($K126&lt;=14,0.45,0.2))))),"")</f>
      </c>
      <c r="AL126" s="202">
        <f>IF($C126,IF($J126="Completado",0,MEDIAN(0,MAX(-$V126,$W126/30),1)),"")</f>
      </c>
      <c r="AM126" s="202">
        <f>IF($C126,IF($J126="Completado",0,IF($Z126,1,IF(AND($I126&lt;0.5,$K126&lt;=7),0.7,0.3))),"")</f>
      </c>
      <c r="AN126" s="203">
        <f>IF($C126,IF(OR($V126&lt;-0.2,$W126&gt;0),"ATRASO ","")&amp;IF($Z126,"BLOQUEO ","")&amp;IF($Y126&gt;8,"SOBRECARGA ","")&amp;IF($X126&gt;0,"DESVÍO-PLAN ",""),"")</f>
      </c>
      <c r="AO126" s="203">
        <f>IF($C126,IFERROR(VLOOKUP($D126,'Sprints'!$I$5:$J$12,2,FALSE),"Semanal"),"")</f>
      </c>
      <c r="AP126" s="202">
        <f>IF($C126,IFERROR(VLOOKUP($AO126,'Sprints'!$B$9:$C$11,2,FALSE),1),"")</f>
      </c>
      <c r="AQ126" s="202">
        <f>IF($C126,'Sprints'!$C$5,"")</f>
      </c>
      <c r="AR126" s="202">
        <f>IF(AND($C126,ISNUMBER($H126)),CEILING(MAX(1,INT(($H126-$AQ126+'Sprints'!$D$5-1)/'Sprints'!$D$5)+1)/$AP126,1),"")</f>
      </c>
      <c r="AS126" s="202">
        <f>IF($C126,CEILING(MAX(1,INT((TODAY()-$AQ126+'Sprints'!$D$5-1)/'Sprints'!$D$5)+1)/$AP126,1),"")</f>
      </c>
      <c r="AT126" s="203">
        <f>IF($C126,'Backlog General'!$G126,"")</f>
      </c>
      <c r="AU126" s="203">
        <f>IF($C126,'Backlog General'!$H126,"")</f>
      </c>
      <c r="AV126" s="202">
        <f>IF(AND($C126,ISNUMBER($AR126)),IF(OR($AT126="Completo",$AU126="Cancelado",$AU126="Baja prioridad"),$AR126,IF($AU126="Pasa al siguiente",MAX($AR126+1,$AS126),MAX($AR126,$AS126))),"")</f>
      </c>
      <c r="AW126" s="202">
        <f>IF(AND($C126,ISNUMBER($AR126)),$AQ126+$AR126*$AP126*'Sprints'!$D$5-'Sprints'!$D$5,"")</f>
      </c>
      <c r="AX126" s="202">
        <f>IF($C126,IF(OR($AT126="Completo",$AU126="Cancelado",$AU126="Baja prioridad",NOT(ISNUMBER($AW126))),0,IF(TODAY()&gt;$AW126,NETWORKDAYS($AW126,TODAY(),'Sprints'!$L$5:$L$40)-1,0)),"")</f>
      </c>
      <c r="AY126" s="203">
        <f>IF($C126,IF(NOT(ISNUMBER($AR126)),"Sin fecha",IF($AT126="Completo","Completo",IF($AU126="Cancelado","Cancelado",IF($AU126="Baja prioridad","Baja prioridad",IF($AX126&gt;0,"Vencida","Pendiente"))))),"")</f>
      </c>
      <c r="AZ126" s="203">
        <f>IF($C126,IF(ISNUMBER($AV126),$AO126&amp;" · S"&amp;$AV126,"(Sin fecha)"),"")</f>
      </c>
      <c r="BA126" s="202">
        <f>IF($C126,IF(AND(ISNUMBER('Backlog General'!$M126),'Backlog General'!$M126=$AS126),"Nuevo S"&amp;'Backlog General'!$M126,""),"")</f>
      </c>
      <c r="BB126" s="202">
        <f>IF(AND($C126,$AO126="Semanal",ISNUMBER($AV126)),$AV126*100000+ROW(),"")</f>
      </c>
      <c r="BC126" s="202">
        <f>IF(AND($C126,$AO126="Quincenal",ISNUMBER($AV126)),$AV126*100000+ROW(),"")</f>
      </c>
      <c r="BD126" s="202">
        <f>IF(AND($C126,$AO126="Mensual",ISNUMBER($AV126)),$AV126*100000+ROW(),"")</f>
      </c>
      <c r="BE126" s="203">
        <f>IF($C126,IF(ISBLANK('Backlog General'!$J126),"",'Backlog General'!$J126),"")</f>
      </c>
      <c r="BF126" s="203">
        <f>IF($C126,IF($BE126="","",$BE126)&amp;IF(AND($BE126&lt;&gt;"",$AH126&lt;&gt;"")," · ","")&amp;IF($AH126="","",$AH126),"")</f>
      </c>
      <c r="BG126" s="203">
        <f>IF($C126,IF($J126="Completado","Sí","No"),"")</f>
      </c>
      <c r="BH126" s="202">
        <f>IF(AND($C126,ISNUMBER($AR126)),IF($AO126="Semanal",1,IF($AO126="Quincenal",2,3))*1000000000+$AR126*100000+ROW(),"")</f>
      </c>
    </row>
    <row r="127">
      <c r="A127" s="202">
        <f>ROW()</f>
        <v>127</v>
      </c>
      <c r="B127" s="202" t="b">
        <f>ISTEXT('Proyecto Datos (OKR´s)'!$K127)</f>
        <v>0</v>
      </c>
      <c r="C127" s="202" t="b">
        <f>AND(LEN('Proyecto Datos (OKR´s)'!$G127)&gt;0,NOT($B127),OR(ISNUMBER('Proyecto Datos (OKR´s)'!$F127),ISNUMBER('Proyecto Datos (OKR´s)'!$L127)))</f>
        <v>0</v>
      </c>
      <c r="D127" s="203">
        <f>IF($C127,IFERROR(LOOKUP(2,1/((ISTEXT('Proyecto Datos (OKR´s)'!$K$7:$K127))*(LEN('Proyecto Datos (OKR´s)'!$G$7:$G127)&gt;0)),'Proyecto Datos (OKR´s)'!$G$7:$G127),""),"")</f>
      </c>
      <c r="E127" s="202">
        <f>IF($C127,'Proyecto Datos (OKR´s)'!$E127,"")</f>
      </c>
      <c r="F127" s="203">
        <f>IF($C127,'Proyecto Datos (OKR´s)'!$G127,"")</f>
      </c>
      <c r="G127" s="203">
        <f>IF($C127,IF('Proyecto Datos (OKR´s)'!$I127="","(Sin asignar)",'Proyecto Datos (OKR´s)'!$I127),"")</f>
      </c>
      <c r="H127" s="202">
        <f>IF($C127,IF(ISNUMBER('Proyecto Datos (OKR´s)'!$F127),'Proyecto Datos (OKR´s)'!$F127,""),"")</f>
      </c>
      <c r="I127" s="202">
        <f>IF($C127,'Proyecto Datos (OKR´s)'!$J127,"")</f>
      </c>
      <c r="J127" s="203">
        <f>IF($C127,IF($I127&gt;=1,"Completado",IF(NOT(ISNUMBER($H127)),"Sin fecha",IF($H127&lt;TODAY(),"Vencido",IF(($H127-TODAY())&lt;='Entregas Próximas'!$M$3,"Próximo a vencer","En curso")))),"")</f>
      </c>
      <c r="K127" s="202">
        <f>IF(AND($C127,ISNUMBER($H127)),$H127-TODAY(),"")</f>
      </c>
      <c r="L127" s="202">
        <f>IF(AND($C127,ISNUMBER($H127)),$AD127*1000000+$H127+ROW()/100000,"")</f>
      </c>
      <c r="M127" s="202">
        <f>IF($C127,IF($AD127=9999,"(Sin sprint)",$AD127),"")</f>
      </c>
      <c r="N127" s="202">
        <f>IF($C127,IF('Proyecto Datos (OKR´s)'!$E127="",9999,'Proyecto Datos (OKR´s)'!$E127),"")</f>
      </c>
      <c r="O127" s="202">
        <f>IF($C127,"T"&amp;TEXT(ROW(),"000"),"")</f>
      </c>
      <c r="R127" s="202">
        <f>IF($C127,IF(ISNUMBER('Proyecto Datos (OKR´s)'!$L127),'Proyecto Datos (OKR´s)'!$L127,$H127),"")</f>
      </c>
      <c r="S127" s="202">
        <f>IF($C127,$R127-'Proyecto Datos (OKR´s)'!$K127+1,"")</f>
      </c>
      <c r="T127" s="202">
        <f>IF($C127,MAX(0,TODAY()-'Proyecto Datos (OKR´s)'!$K127),"")</f>
      </c>
      <c r="U127" s="202">
        <f>IF($C127,MEDIAN(0,(TODAY()-'Proyecto Datos (OKR´s)'!$K127)/MAX(1,$R127-'Proyecto Datos (OKR´s)'!$K127),1),"")</f>
      </c>
      <c r="V127" s="202">
        <f>IF($C127,$I127-$U127,"")</f>
      </c>
      <c r="W127" s="202">
        <f>IF($C127,IF(OR($J127="Completado",NOT(ISNUMBER($H127))),0,MAX(0,TODAY()-$H127)),"")</f>
      </c>
      <c r="X127" s="202">
        <f>IF($C127,IF(ISNUMBER($H127),$R127-$H127,0),"")</f>
      </c>
      <c r="Y127" s="202">
        <f>IF($C127,COUNTIFS($G$7:$G$200,$G127,$J$7:$J$200,"&lt;&gt;Completado",$J$7:$J$200,"&lt;&gt;"),"")</f>
      </c>
      <c r="Z127" s="202">
        <f>IF($C127,AND($I127=0,'Proyecto Datos (OKR´s)'!$K127&lt;=TODAY(),$J127&lt;&gt;"Completado"),"")</f>
      </c>
      <c r="AA127" s="202">
        <f>IF($C127,ROUND(100*(0.35*$AK127+0.3*$AL127+0.2*$AM127+0.15*MEDIAN(0,($Y127-4)/8,1)),0),"")</f>
      </c>
      <c r="AB127" s="203">
        <f>IF($C127,IF(OR($J127="Completado",$J127="Sin fecha"),"—",IF($AA127&gt;=70,"Crítica",IF($AA127&gt;=45,"Alta",IF($AA127&gt;=25,"Media","Baja")))),"")</f>
      </c>
      <c r="AC127" s="203">
        <f>IF($C127,IF(LEN(TRIM($AN127))=0,"—",TRIM($AN127)),"")</f>
      </c>
      <c r="AD127" s="202">
        <f>IF($C127,$AV127,"")</f>
      </c>
      <c r="AE127" s="202">
        <f>IF($C127,$AZ127,"")</f>
      </c>
      <c r="AF127" s="202" t="b">
        <f>IF($C127,$AV127&lt;&gt;$AR127,FALSE)</f>
        <v>0</v>
      </c>
      <c r="AG127" s="202">
        <f>IF($C127,IF($AV127&lt;&gt;$AR127,$AW127,""),"")</f>
      </c>
      <c r="AH127" s="203">
        <f>IF($C127,IF(ISBLANK('Backlog General'!$K127),"",'Backlog General'!$K127),"")</f>
      </c>
      <c r="AI127" s="202">
        <f>IF($C127,$AV127*100000+ROW(),"")</f>
      </c>
      <c r="AJ127" s="202">
        <f>IF(AND($C127,ISNUMBER($H127)),$AA127*1000000-MEDIAN(-9999,$K127,9999)*100+(300-ROW()),"")</f>
      </c>
      <c r="AK127" s="202">
        <f>IF($C127,IF($J127="Completado",0,IF($K127&lt;0,1,IF($K127&lt;=3,0.9,IF($K127&lt;=7,0.7,IF($K127&lt;=14,0.45,0.2))))),"")</f>
      </c>
      <c r="AL127" s="202">
        <f>IF($C127,IF($J127="Completado",0,MEDIAN(0,MAX(-$V127,$W127/30),1)),"")</f>
      </c>
      <c r="AM127" s="202">
        <f>IF($C127,IF($J127="Completado",0,IF($Z127,1,IF(AND($I127&lt;0.5,$K127&lt;=7),0.7,0.3))),"")</f>
      </c>
      <c r="AN127" s="203">
        <f>IF($C127,IF(OR($V127&lt;-0.2,$W127&gt;0),"ATRASO ","")&amp;IF($Z127,"BLOQUEO ","")&amp;IF($Y127&gt;8,"SOBRECARGA ","")&amp;IF($X127&gt;0,"DESVÍO-PLAN ",""),"")</f>
      </c>
      <c r="AO127" s="203">
        <f>IF($C127,IFERROR(VLOOKUP($D127,'Sprints'!$I$5:$J$12,2,FALSE),"Semanal"),"")</f>
      </c>
      <c r="AP127" s="202">
        <f>IF($C127,IFERROR(VLOOKUP($AO127,'Sprints'!$B$9:$C$11,2,FALSE),1),"")</f>
      </c>
      <c r="AQ127" s="202">
        <f>IF($C127,'Sprints'!$C$5,"")</f>
      </c>
      <c r="AR127" s="202">
        <f>IF(AND($C127,ISNUMBER($H127)),CEILING(MAX(1,INT(($H127-$AQ127+'Sprints'!$D$5-1)/'Sprints'!$D$5)+1)/$AP127,1),"")</f>
      </c>
      <c r="AS127" s="202">
        <f>IF($C127,CEILING(MAX(1,INT((TODAY()-$AQ127+'Sprints'!$D$5-1)/'Sprints'!$D$5)+1)/$AP127,1),"")</f>
      </c>
      <c r="AT127" s="203">
        <f>IF($C127,'Backlog General'!$G127,"")</f>
      </c>
      <c r="AU127" s="203">
        <f>IF($C127,'Backlog General'!$H127,"")</f>
      </c>
      <c r="AV127" s="202">
        <f>IF(AND($C127,ISNUMBER($AR127)),IF(OR($AT127="Completo",$AU127="Cancelado",$AU127="Baja prioridad"),$AR127,IF($AU127="Pasa al siguiente",MAX($AR127+1,$AS127),MAX($AR127,$AS127))),"")</f>
      </c>
      <c r="AW127" s="202">
        <f>IF(AND($C127,ISNUMBER($AR127)),$AQ127+$AR127*$AP127*'Sprints'!$D$5-'Sprints'!$D$5,"")</f>
      </c>
      <c r="AX127" s="202">
        <f>IF($C127,IF(OR($AT127="Completo",$AU127="Cancelado",$AU127="Baja prioridad",NOT(ISNUMBER($AW127))),0,IF(TODAY()&gt;$AW127,NETWORKDAYS($AW127,TODAY(),'Sprints'!$L$5:$L$40)-1,0)),"")</f>
      </c>
      <c r="AY127" s="203">
        <f>IF($C127,IF(NOT(ISNUMBER($AR127)),"Sin fecha",IF($AT127="Completo","Completo",IF($AU127="Cancelado","Cancelado",IF($AU127="Baja prioridad","Baja prioridad",IF($AX127&gt;0,"Vencida","Pendiente"))))),"")</f>
      </c>
      <c r="AZ127" s="203">
        <f>IF($C127,IF(ISNUMBER($AV127),$AO127&amp;" · S"&amp;$AV127,"(Sin fecha)"),"")</f>
      </c>
      <c r="BA127" s="202">
        <f>IF($C127,IF(AND(ISNUMBER('Backlog General'!$M127),'Backlog General'!$M127=$AS127),"Nuevo S"&amp;'Backlog General'!$M127,""),"")</f>
      </c>
      <c r="BB127" s="202">
        <f>IF(AND($C127,$AO127="Semanal",ISNUMBER($AV127)),$AV127*100000+ROW(),"")</f>
      </c>
      <c r="BC127" s="202">
        <f>IF(AND($C127,$AO127="Quincenal",ISNUMBER($AV127)),$AV127*100000+ROW(),"")</f>
      </c>
      <c r="BD127" s="202">
        <f>IF(AND($C127,$AO127="Mensual",ISNUMBER($AV127)),$AV127*100000+ROW(),"")</f>
      </c>
      <c r="BE127" s="203">
        <f>IF($C127,IF(ISBLANK('Backlog General'!$J127),"",'Backlog General'!$J127),"")</f>
      </c>
      <c r="BF127" s="203">
        <f>IF($C127,IF($BE127="","",$BE127)&amp;IF(AND($BE127&lt;&gt;"",$AH127&lt;&gt;"")," · ","")&amp;IF($AH127="","",$AH127),"")</f>
      </c>
      <c r="BG127" s="203">
        <f>IF($C127,IF($J127="Completado","Sí","No"),"")</f>
      </c>
      <c r="BH127" s="202">
        <f>IF(AND($C127,ISNUMBER($AR127)),IF($AO127="Semanal",1,IF($AO127="Quincenal",2,3))*1000000000+$AR127*100000+ROW(),"")</f>
      </c>
    </row>
    <row r="128">
      <c r="A128" s="202">
        <f>ROW()</f>
        <v>128</v>
      </c>
      <c r="B128" s="202" t="b">
        <f>ISTEXT('Proyecto Datos (OKR´s)'!$K128)</f>
        <v>0</v>
      </c>
      <c r="C128" s="202" t="b">
        <f>AND(LEN('Proyecto Datos (OKR´s)'!$G128)&gt;0,NOT($B128),OR(ISNUMBER('Proyecto Datos (OKR´s)'!$F128),ISNUMBER('Proyecto Datos (OKR´s)'!$L128)))</f>
        <v>0</v>
      </c>
      <c r="D128" s="203">
        <f>IF($C128,IFERROR(LOOKUP(2,1/((ISTEXT('Proyecto Datos (OKR´s)'!$K$7:$K128))*(LEN('Proyecto Datos (OKR´s)'!$G$7:$G128)&gt;0)),'Proyecto Datos (OKR´s)'!$G$7:$G128),""),"")</f>
      </c>
      <c r="E128" s="202">
        <f>IF($C128,'Proyecto Datos (OKR´s)'!$E128,"")</f>
      </c>
      <c r="F128" s="203">
        <f>IF($C128,'Proyecto Datos (OKR´s)'!$G128,"")</f>
      </c>
      <c r="G128" s="203">
        <f>IF($C128,IF('Proyecto Datos (OKR´s)'!$I128="","(Sin asignar)",'Proyecto Datos (OKR´s)'!$I128),"")</f>
      </c>
      <c r="H128" s="202">
        <f>IF($C128,IF(ISNUMBER('Proyecto Datos (OKR´s)'!$F128),'Proyecto Datos (OKR´s)'!$F128,""),"")</f>
      </c>
      <c r="I128" s="202">
        <f>IF($C128,'Proyecto Datos (OKR´s)'!$J128,"")</f>
      </c>
      <c r="J128" s="203">
        <f>IF($C128,IF($I128&gt;=1,"Completado",IF(NOT(ISNUMBER($H128)),"Sin fecha",IF($H128&lt;TODAY(),"Vencido",IF(($H128-TODAY())&lt;='Entregas Próximas'!$M$3,"Próximo a vencer","En curso")))),"")</f>
      </c>
      <c r="K128" s="202">
        <f>IF(AND($C128,ISNUMBER($H128)),$H128-TODAY(),"")</f>
      </c>
      <c r="L128" s="202">
        <f>IF(AND($C128,ISNUMBER($H128)),$AD128*1000000+$H128+ROW()/100000,"")</f>
      </c>
      <c r="M128" s="202">
        <f>IF($C128,IF($AD128=9999,"(Sin sprint)",$AD128),"")</f>
      </c>
      <c r="N128" s="202">
        <f>IF($C128,IF('Proyecto Datos (OKR´s)'!$E128="",9999,'Proyecto Datos (OKR´s)'!$E128),"")</f>
      </c>
      <c r="O128" s="202">
        <f>IF($C128,"T"&amp;TEXT(ROW(),"000"),"")</f>
      </c>
      <c r="R128" s="202">
        <f>IF($C128,IF(ISNUMBER('Proyecto Datos (OKR´s)'!$L128),'Proyecto Datos (OKR´s)'!$L128,$H128),"")</f>
      </c>
      <c r="S128" s="202">
        <f>IF($C128,$R128-'Proyecto Datos (OKR´s)'!$K128+1,"")</f>
      </c>
      <c r="T128" s="202">
        <f>IF($C128,MAX(0,TODAY()-'Proyecto Datos (OKR´s)'!$K128),"")</f>
      </c>
      <c r="U128" s="202">
        <f>IF($C128,MEDIAN(0,(TODAY()-'Proyecto Datos (OKR´s)'!$K128)/MAX(1,$R128-'Proyecto Datos (OKR´s)'!$K128),1),"")</f>
      </c>
      <c r="V128" s="202">
        <f>IF($C128,$I128-$U128,"")</f>
      </c>
      <c r="W128" s="202">
        <f>IF($C128,IF(OR($J128="Completado",NOT(ISNUMBER($H128))),0,MAX(0,TODAY()-$H128)),"")</f>
      </c>
      <c r="X128" s="202">
        <f>IF($C128,IF(ISNUMBER($H128),$R128-$H128,0),"")</f>
      </c>
      <c r="Y128" s="202">
        <f>IF($C128,COUNTIFS($G$7:$G$200,$G128,$J$7:$J$200,"&lt;&gt;Completado",$J$7:$J$200,"&lt;&gt;"),"")</f>
      </c>
      <c r="Z128" s="202">
        <f>IF($C128,AND($I128=0,'Proyecto Datos (OKR´s)'!$K128&lt;=TODAY(),$J128&lt;&gt;"Completado"),"")</f>
      </c>
      <c r="AA128" s="202">
        <f>IF($C128,ROUND(100*(0.35*$AK128+0.3*$AL128+0.2*$AM128+0.15*MEDIAN(0,($Y128-4)/8,1)),0),"")</f>
      </c>
      <c r="AB128" s="203">
        <f>IF($C128,IF(OR($J128="Completado",$J128="Sin fecha"),"—",IF($AA128&gt;=70,"Crítica",IF($AA128&gt;=45,"Alta",IF($AA128&gt;=25,"Media","Baja")))),"")</f>
      </c>
      <c r="AC128" s="203">
        <f>IF($C128,IF(LEN(TRIM($AN128))=0,"—",TRIM($AN128)),"")</f>
      </c>
      <c r="AD128" s="202">
        <f>IF($C128,$AV128,"")</f>
      </c>
      <c r="AE128" s="202">
        <f>IF($C128,$AZ128,"")</f>
      </c>
      <c r="AF128" s="202" t="b">
        <f>IF($C128,$AV128&lt;&gt;$AR128,FALSE)</f>
        <v>0</v>
      </c>
      <c r="AG128" s="202">
        <f>IF($C128,IF($AV128&lt;&gt;$AR128,$AW128,""),"")</f>
      </c>
      <c r="AH128" s="203">
        <f>IF($C128,IF(ISBLANK('Backlog General'!$K128),"",'Backlog General'!$K128),"")</f>
      </c>
      <c r="AI128" s="202">
        <f>IF($C128,$AV128*100000+ROW(),"")</f>
      </c>
      <c r="AJ128" s="202">
        <f>IF(AND($C128,ISNUMBER($H128)),$AA128*1000000-MEDIAN(-9999,$K128,9999)*100+(300-ROW()),"")</f>
      </c>
      <c r="AK128" s="202">
        <f>IF($C128,IF($J128="Completado",0,IF($K128&lt;0,1,IF($K128&lt;=3,0.9,IF($K128&lt;=7,0.7,IF($K128&lt;=14,0.45,0.2))))),"")</f>
      </c>
      <c r="AL128" s="202">
        <f>IF($C128,IF($J128="Completado",0,MEDIAN(0,MAX(-$V128,$W128/30),1)),"")</f>
      </c>
      <c r="AM128" s="202">
        <f>IF($C128,IF($J128="Completado",0,IF($Z128,1,IF(AND($I128&lt;0.5,$K128&lt;=7),0.7,0.3))),"")</f>
      </c>
      <c r="AN128" s="203">
        <f>IF($C128,IF(OR($V128&lt;-0.2,$W128&gt;0),"ATRASO ","")&amp;IF($Z128,"BLOQUEO ","")&amp;IF($Y128&gt;8,"SOBRECARGA ","")&amp;IF($X128&gt;0,"DESVÍO-PLAN ",""),"")</f>
      </c>
      <c r="AO128" s="203">
        <f>IF($C128,IFERROR(VLOOKUP($D128,'Sprints'!$I$5:$J$12,2,FALSE),"Semanal"),"")</f>
      </c>
      <c r="AP128" s="202">
        <f>IF($C128,IFERROR(VLOOKUP($AO128,'Sprints'!$B$9:$C$11,2,FALSE),1),"")</f>
      </c>
      <c r="AQ128" s="202">
        <f>IF($C128,'Sprints'!$C$5,"")</f>
      </c>
      <c r="AR128" s="202">
        <f>IF(AND($C128,ISNUMBER($H128)),CEILING(MAX(1,INT(($H128-$AQ128+'Sprints'!$D$5-1)/'Sprints'!$D$5)+1)/$AP128,1),"")</f>
      </c>
      <c r="AS128" s="202">
        <f>IF($C128,CEILING(MAX(1,INT((TODAY()-$AQ128+'Sprints'!$D$5-1)/'Sprints'!$D$5)+1)/$AP128,1),"")</f>
      </c>
      <c r="AT128" s="203">
        <f>IF($C128,'Backlog General'!$G128,"")</f>
      </c>
      <c r="AU128" s="203">
        <f>IF($C128,'Backlog General'!$H128,"")</f>
      </c>
      <c r="AV128" s="202">
        <f>IF(AND($C128,ISNUMBER($AR128)),IF(OR($AT128="Completo",$AU128="Cancelado",$AU128="Baja prioridad"),$AR128,IF($AU128="Pasa al siguiente",MAX($AR128+1,$AS128),MAX($AR128,$AS128))),"")</f>
      </c>
      <c r="AW128" s="202">
        <f>IF(AND($C128,ISNUMBER($AR128)),$AQ128+$AR128*$AP128*'Sprints'!$D$5-'Sprints'!$D$5,"")</f>
      </c>
      <c r="AX128" s="202">
        <f>IF($C128,IF(OR($AT128="Completo",$AU128="Cancelado",$AU128="Baja prioridad",NOT(ISNUMBER($AW128))),0,IF(TODAY()&gt;$AW128,NETWORKDAYS($AW128,TODAY(),'Sprints'!$L$5:$L$40)-1,0)),"")</f>
      </c>
      <c r="AY128" s="203">
        <f>IF($C128,IF(NOT(ISNUMBER($AR128)),"Sin fecha",IF($AT128="Completo","Completo",IF($AU128="Cancelado","Cancelado",IF($AU128="Baja prioridad","Baja prioridad",IF($AX128&gt;0,"Vencida","Pendiente"))))),"")</f>
      </c>
      <c r="AZ128" s="203">
        <f>IF($C128,IF(ISNUMBER($AV128),$AO128&amp;" · S"&amp;$AV128,"(Sin fecha)"),"")</f>
      </c>
      <c r="BA128" s="202">
        <f>IF($C128,IF(AND(ISNUMBER('Backlog General'!$M128),'Backlog General'!$M128=$AS128),"Nuevo S"&amp;'Backlog General'!$M128,""),"")</f>
      </c>
      <c r="BB128" s="202">
        <f>IF(AND($C128,$AO128="Semanal",ISNUMBER($AV128)),$AV128*100000+ROW(),"")</f>
      </c>
      <c r="BC128" s="202">
        <f>IF(AND($C128,$AO128="Quincenal",ISNUMBER($AV128)),$AV128*100000+ROW(),"")</f>
      </c>
      <c r="BD128" s="202">
        <f>IF(AND($C128,$AO128="Mensual",ISNUMBER($AV128)),$AV128*100000+ROW(),"")</f>
      </c>
      <c r="BE128" s="203">
        <f>IF($C128,IF(ISBLANK('Backlog General'!$J128),"",'Backlog General'!$J128),"")</f>
      </c>
      <c r="BF128" s="203">
        <f>IF($C128,IF($BE128="","",$BE128)&amp;IF(AND($BE128&lt;&gt;"",$AH128&lt;&gt;"")," · ","")&amp;IF($AH128="","",$AH128),"")</f>
      </c>
      <c r="BG128" s="203">
        <f>IF($C128,IF($J128="Completado","Sí","No"),"")</f>
      </c>
      <c r="BH128" s="202">
        <f>IF(AND($C128,ISNUMBER($AR128)),IF($AO128="Semanal",1,IF($AO128="Quincenal",2,3))*1000000000+$AR128*100000+ROW(),"")</f>
      </c>
    </row>
    <row r="129">
      <c r="A129" s="202">
        <f>ROW()</f>
        <v>129</v>
      </c>
      <c r="B129" s="202" t="b">
        <f>ISTEXT('Proyecto Datos (OKR´s)'!$K129)</f>
        <v>0</v>
      </c>
      <c r="C129" s="202" t="b">
        <f>AND(LEN('Proyecto Datos (OKR´s)'!$G129)&gt;0,NOT($B129),OR(ISNUMBER('Proyecto Datos (OKR´s)'!$F129),ISNUMBER('Proyecto Datos (OKR´s)'!$L129)))</f>
        <v>0</v>
      </c>
      <c r="D129" s="203">
        <f>IF($C129,IFERROR(LOOKUP(2,1/((ISTEXT('Proyecto Datos (OKR´s)'!$K$7:$K129))*(LEN('Proyecto Datos (OKR´s)'!$G$7:$G129)&gt;0)),'Proyecto Datos (OKR´s)'!$G$7:$G129),""),"")</f>
      </c>
      <c r="E129" s="202">
        <f>IF($C129,'Proyecto Datos (OKR´s)'!$E129,"")</f>
      </c>
      <c r="F129" s="203">
        <f>IF($C129,'Proyecto Datos (OKR´s)'!$G129,"")</f>
      </c>
      <c r="G129" s="203">
        <f>IF($C129,IF('Proyecto Datos (OKR´s)'!$I129="","(Sin asignar)",'Proyecto Datos (OKR´s)'!$I129),"")</f>
      </c>
      <c r="H129" s="202">
        <f>IF($C129,IF(ISNUMBER('Proyecto Datos (OKR´s)'!$F129),'Proyecto Datos (OKR´s)'!$F129,""),"")</f>
      </c>
      <c r="I129" s="202">
        <f>IF($C129,'Proyecto Datos (OKR´s)'!$J129,"")</f>
      </c>
      <c r="J129" s="203">
        <f>IF($C129,IF($I129&gt;=1,"Completado",IF(NOT(ISNUMBER($H129)),"Sin fecha",IF($H129&lt;TODAY(),"Vencido",IF(($H129-TODAY())&lt;='Entregas Próximas'!$M$3,"Próximo a vencer","En curso")))),"")</f>
      </c>
      <c r="K129" s="202">
        <f>IF(AND($C129,ISNUMBER($H129)),$H129-TODAY(),"")</f>
      </c>
      <c r="L129" s="202">
        <f>IF(AND($C129,ISNUMBER($H129)),$AD129*1000000+$H129+ROW()/100000,"")</f>
      </c>
      <c r="M129" s="202">
        <f>IF($C129,IF($AD129=9999,"(Sin sprint)",$AD129),"")</f>
      </c>
      <c r="N129" s="202">
        <f>IF($C129,IF('Proyecto Datos (OKR´s)'!$E129="",9999,'Proyecto Datos (OKR´s)'!$E129),"")</f>
      </c>
      <c r="O129" s="202">
        <f>IF($C129,"T"&amp;TEXT(ROW(),"000"),"")</f>
      </c>
      <c r="R129" s="202">
        <f>IF($C129,IF(ISNUMBER('Proyecto Datos (OKR´s)'!$L129),'Proyecto Datos (OKR´s)'!$L129,$H129),"")</f>
      </c>
      <c r="S129" s="202">
        <f>IF($C129,$R129-'Proyecto Datos (OKR´s)'!$K129+1,"")</f>
      </c>
      <c r="T129" s="202">
        <f>IF($C129,MAX(0,TODAY()-'Proyecto Datos (OKR´s)'!$K129),"")</f>
      </c>
      <c r="U129" s="202">
        <f>IF($C129,MEDIAN(0,(TODAY()-'Proyecto Datos (OKR´s)'!$K129)/MAX(1,$R129-'Proyecto Datos (OKR´s)'!$K129),1),"")</f>
      </c>
      <c r="V129" s="202">
        <f>IF($C129,$I129-$U129,"")</f>
      </c>
      <c r="W129" s="202">
        <f>IF($C129,IF(OR($J129="Completado",NOT(ISNUMBER($H129))),0,MAX(0,TODAY()-$H129)),"")</f>
      </c>
      <c r="X129" s="202">
        <f>IF($C129,IF(ISNUMBER($H129),$R129-$H129,0),"")</f>
      </c>
      <c r="Y129" s="202">
        <f>IF($C129,COUNTIFS($G$7:$G$200,$G129,$J$7:$J$200,"&lt;&gt;Completado",$J$7:$J$200,"&lt;&gt;"),"")</f>
      </c>
      <c r="Z129" s="202">
        <f>IF($C129,AND($I129=0,'Proyecto Datos (OKR´s)'!$K129&lt;=TODAY(),$J129&lt;&gt;"Completado"),"")</f>
      </c>
      <c r="AA129" s="202">
        <f>IF($C129,ROUND(100*(0.35*$AK129+0.3*$AL129+0.2*$AM129+0.15*MEDIAN(0,($Y129-4)/8,1)),0),"")</f>
      </c>
      <c r="AB129" s="203">
        <f>IF($C129,IF(OR($J129="Completado",$J129="Sin fecha"),"—",IF($AA129&gt;=70,"Crítica",IF($AA129&gt;=45,"Alta",IF($AA129&gt;=25,"Media","Baja")))),"")</f>
      </c>
      <c r="AC129" s="203">
        <f>IF($C129,IF(LEN(TRIM($AN129))=0,"—",TRIM($AN129)),"")</f>
      </c>
      <c r="AD129" s="202">
        <f>IF($C129,$AV129,"")</f>
      </c>
      <c r="AE129" s="202">
        <f>IF($C129,$AZ129,"")</f>
      </c>
      <c r="AF129" s="202" t="b">
        <f>IF($C129,$AV129&lt;&gt;$AR129,FALSE)</f>
        <v>0</v>
      </c>
      <c r="AG129" s="202">
        <f>IF($C129,IF($AV129&lt;&gt;$AR129,$AW129,""),"")</f>
      </c>
      <c r="AH129" s="203">
        <f>IF($C129,IF(ISBLANK('Backlog General'!$K129),"",'Backlog General'!$K129),"")</f>
      </c>
      <c r="AI129" s="202">
        <f>IF($C129,$AV129*100000+ROW(),"")</f>
      </c>
      <c r="AJ129" s="202">
        <f>IF(AND($C129,ISNUMBER($H129)),$AA129*1000000-MEDIAN(-9999,$K129,9999)*100+(300-ROW()),"")</f>
      </c>
      <c r="AK129" s="202">
        <f>IF($C129,IF($J129="Completado",0,IF($K129&lt;0,1,IF($K129&lt;=3,0.9,IF($K129&lt;=7,0.7,IF($K129&lt;=14,0.45,0.2))))),"")</f>
      </c>
      <c r="AL129" s="202">
        <f>IF($C129,IF($J129="Completado",0,MEDIAN(0,MAX(-$V129,$W129/30),1)),"")</f>
      </c>
      <c r="AM129" s="202">
        <f>IF($C129,IF($J129="Completado",0,IF($Z129,1,IF(AND($I129&lt;0.5,$K129&lt;=7),0.7,0.3))),"")</f>
      </c>
      <c r="AN129" s="203">
        <f>IF($C129,IF(OR($V129&lt;-0.2,$W129&gt;0),"ATRASO ","")&amp;IF($Z129,"BLOQUEO ","")&amp;IF($Y129&gt;8,"SOBRECARGA ","")&amp;IF($X129&gt;0,"DESVÍO-PLAN ",""),"")</f>
      </c>
      <c r="AO129" s="203">
        <f>IF($C129,IFERROR(VLOOKUP($D129,'Sprints'!$I$5:$J$12,2,FALSE),"Semanal"),"")</f>
      </c>
      <c r="AP129" s="202">
        <f>IF($C129,IFERROR(VLOOKUP($AO129,'Sprints'!$B$9:$C$11,2,FALSE),1),"")</f>
      </c>
      <c r="AQ129" s="202">
        <f>IF($C129,'Sprints'!$C$5,"")</f>
      </c>
      <c r="AR129" s="202">
        <f>IF(AND($C129,ISNUMBER($H129)),CEILING(MAX(1,INT(($H129-$AQ129+'Sprints'!$D$5-1)/'Sprints'!$D$5)+1)/$AP129,1),"")</f>
      </c>
      <c r="AS129" s="202">
        <f>IF($C129,CEILING(MAX(1,INT((TODAY()-$AQ129+'Sprints'!$D$5-1)/'Sprints'!$D$5)+1)/$AP129,1),"")</f>
      </c>
      <c r="AT129" s="203">
        <f>IF($C129,'Backlog General'!$G129,"")</f>
      </c>
      <c r="AU129" s="203">
        <f>IF($C129,'Backlog General'!$H129,"")</f>
      </c>
      <c r="AV129" s="202">
        <f>IF(AND($C129,ISNUMBER($AR129)),IF(OR($AT129="Completo",$AU129="Cancelado",$AU129="Baja prioridad"),$AR129,IF($AU129="Pasa al siguiente",MAX($AR129+1,$AS129),MAX($AR129,$AS129))),"")</f>
      </c>
      <c r="AW129" s="202">
        <f>IF(AND($C129,ISNUMBER($AR129)),$AQ129+$AR129*$AP129*'Sprints'!$D$5-'Sprints'!$D$5,"")</f>
      </c>
      <c r="AX129" s="202">
        <f>IF($C129,IF(OR($AT129="Completo",$AU129="Cancelado",$AU129="Baja prioridad",NOT(ISNUMBER($AW129))),0,IF(TODAY()&gt;$AW129,NETWORKDAYS($AW129,TODAY(),'Sprints'!$L$5:$L$40)-1,0)),"")</f>
      </c>
      <c r="AY129" s="203">
        <f>IF($C129,IF(NOT(ISNUMBER($AR129)),"Sin fecha",IF($AT129="Completo","Completo",IF($AU129="Cancelado","Cancelado",IF($AU129="Baja prioridad","Baja prioridad",IF($AX129&gt;0,"Vencida","Pendiente"))))),"")</f>
      </c>
      <c r="AZ129" s="203">
        <f>IF($C129,IF(ISNUMBER($AV129),$AO129&amp;" · S"&amp;$AV129,"(Sin fecha)"),"")</f>
      </c>
      <c r="BA129" s="202">
        <f>IF($C129,IF(AND(ISNUMBER('Backlog General'!$M129),'Backlog General'!$M129=$AS129),"Nuevo S"&amp;'Backlog General'!$M129,""),"")</f>
      </c>
      <c r="BB129" s="202">
        <f>IF(AND($C129,$AO129="Semanal",ISNUMBER($AV129)),$AV129*100000+ROW(),"")</f>
      </c>
      <c r="BC129" s="202">
        <f>IF(AND($C129,$AO129="Quincenal",ISNUMBER($AV129)),$AV129*100000+ROW(),"")</f>
      </c>
      <c r="BD129" s="202">
        <f>IF(AND($C129,$AO129="Mensual",ISNUMBER($AV129)),$AV129*100000+ROW(),"")</f>
      </c>
      <c r="BE129" s="203">
        <f>IF($C129,IF(ISBLANK('Backlog General'!$J129),"",'Backlog General'!$J129),"")</f>
      </c>
      <c r="BF129" s="203">
        <f>IF($C129,IF($BE129="","",$BE129)&amp;IF(AND($BE129&lt;&gt;"",$AH129&lt;&gt;"")," · ","")&amp;IF($AH129="","",$AH129),"")</f>
      </c>
      <c r="BG129" s="203">
        <f>IF($C129,IF($J129="Completado","Sí","No"),"")</f>
      </c>
      <c r="BH129" s="202">
        <f>IF(AND($C129,ISNUMBER($AR129)),IF($AO129="Semanal",1,IF($AO129="Quincenal",2,3))*1000000000+$AR129*100000+ROW(),"")</f>
      </c>
    </row>
    <row r="130">
      <c r="A130" s="202">
        <f>ROW()</f>
        <v>130</v>
      </c>
      <c r="B130" s="202" t="b">
        <f>ISTEXT('Proyecto Datos (OKR´s)'!$K130)</f>
        <v>0</v>
      </c>
      <c r="C130" s="202" t="b">
        <f>AND(LEN('Proyecto Datos (OKR´s)'!$G130)&gt;0,NOT($B130),OR(ISNUMBER('Proyecto Datos (OKR´s)'!$F130),ISNUMBER('Proyecto Datos (OKR´s)'!$L130)))</f>
        <v>0</v>
      </c>
      <c r="D130" s="203">
        <f>IF($C130,IFERROR(LOOKUP(2,1/((ISTEXT('Proyecto Datos (OKR´s)'!$K$7:$K130))*(LEN('Proyecto Datos (OKR´s)'!$G$7:$G130)&gt;0)),'Proyecto Datos (OKR´s)'!$G$7:$G130),""),"")</f>
      </c>
      <c r="E130" s="202">
        <f>IF($C130,'Proyecto Datos (OKR´s)'!$E130,"")</f>
      </c>
      <c r="F130" s="203">
        <f>IF($C130,'Proyecto Datos (OKR´s)'!$G130,"")</f>
      </c>
      <c r="G130" s="203">
        <f>IF($C130,IF('Proyecto Datos (OKR´s)'!$I130="","(Sin asignar)",'Proyecto Datos (OKR´s)'!$I130),"")</f>
      </c>
      <c r="H130" s="202">
        <f>IF($C130,IF(ISNUMBER('Proyecto Datos (OKR´s)'!$F130),'Proyecto Datos (OKR´s)'!$F130,""),"")</f>
      </c>
      <c r="I130" s="202">
        <f>IF($C130,'Proyecto Datos (OKR´s)'!$J130,"")</f>
      </c>
      <c r="J130" s="203">
        <f>IF($C130,IF($I130&gt;=1,"Completado",IF(NOT(ISNUMBER($H130)),"Sin fecha",IF($H130&lt;TODAY(),"Vencido",IF(($H130-TODAY())&lt;='Entregas Próximas'!$M$3,"Próximo a vencer","En curso")))),"")</f>
      </c>
      <c r="K130" s="202">
        <f>IF(AND($C130,ISNUMBER($H130)),$H130-TODAY(),"")</f>
      </c>
      <c r="L130" s="202">
        <f>IF(AND($C130,ISNUMBER($H130)),$AD130*1000000+$H130+ROW()/100000,"")</f>
      </c>
      <c r="M130" s="202">
        <f>IF($C130,IF($AD130=9999,"(Sin sprint)",$AD130),"")</f>
      </c>
      <c r="N130" s="202">
        <f>IF($C130,IF('Proyecto Datos (OKR´s)'!$E130="",9999,'Proyecto Datos (OKR´s)'!$E130),"")</f>
      </c>
      <c r="O130" s="202">
        <f>IF($C130,"T"&amp;TEXT(ROW(),"000"),"")</f>
      </c>
      <c r="R130" s="202">
        <f>IF($C130,IF(ISNUMBER('Proyecto Datos (OKR´s)'!$L130),'Proyecto Datos (OKR´s)'!$L130,$H130),"")</f>
      </c>
      <c r="S130" s="202">
        <f>IF($C130,$R130-'Proyecto Datos (OKR´s)'!$K130+1,"")</f>
      </c>
      <c r="T130" s="202">
        <f>IF($C130,MAX(0,TODAY()-'Proyecto Datos (OKR´s)'!$K130),"")</f>
      </c>
      <c r="U130" s="202">
        <f>IF($C130,MEDIAN(0,(TODAY()-'Proyecto Datos (OKR´s)'!$K130)/MAX(1,$R130-'Proyecto Datos (OKR´s)'!$K130),1),"")</f>
      </c>
      <c r="V130" s="202">
        <f>IF($C130,$I130-$U130,"")</f>
      </c>
      <c r="W130" s="202">
        <f>IF($C130,IF(OR($J130="Completado",NOT(ISNUMBER($H130))),0,MAX(0,TODAY()-$H130)),"")</f>
      </c>
      <c r="X130" s="202">
        <f>IF($C130,IF(ISNUMBER($H130),$R130-$H130,0),"")</f>
      </c>
      <c r="Y130" s="202">
        <f>IF($C130,COUNTIFS($G$7:$G$200,$G130,$J$7:$J$200,"&lt;&gt;Completado",$J$7:$J$200,"&lt;&gt;"),"")</f>
      </c>
      <c r="Z130" s="202">
        <f>IF($C130,AND($I130=0,'Proyecto Datos (OKR´s)'!$K130&lt;=TODAY(),$J130&lt;&gt;"Completado"),"")</f>
      </c>
      <c r="AA130" s="202">
        <f>IF($C130,ROUND(100*(0.35*$AK130+0.3*$AL130+0.2*$AM130+0.15*MEDIAN(0,($Y130-4)/8,1)),0),"")</f>
      </c>
      <c r="AB130" s="203">
        <f>IF($C130,IF(OR($J130="Completado",$J130="Sin fecha"),"—",IF($AA130&gt;=70,"Crítica",IF($AA130&gt;=45,"Alta",IF($AA130&gt;=25,"Media","Baja")))),"")</f>
      </c>
      <c r="AC130" s="203">
        <f>IF($C130,IF(LEN(TRIM($AN130))=0,"—",TRIM($AN130)),"")</f>
      </c>
      <c r="AD130" s="202">
        <f>IF($C130,$AV130,"")</f>
      </c>
      <c r="AE130" s="202">
        <f>IF($C130,$AZ130,"")</f>
      </c>
      <c r="AF130" s="202" t="b">
        <f>IF($C130,$AV130&lt;&gt;$AR130,FALSE)</f>
        <v>0</v>
      </c>
      <c r="AG130" s="202">
        <f>IF($C130,IF($AV130&lt;&gt;$AR130,$AW130,""),"")</f>
      </c>
      <c r="AH130" s="203">
        <f>IF($C130,IF(ISBLANK('Backlog General'!$K130),"",'Backlog General'!$K130),"")</f>
      </c>
      <c r="AI130" s="202">
        <f>IF($C130,$AV130*100000+ROW(),"")</f>
      </c>
      <c r="AJ130" s="202">
        <f>IF(AND($C130,ISNUMBER($H130)),$AA130*1000000-MEDIAN(-9999,$K130,9999)*100+(300-ROW()),"")</f>
      </c>
      <c r="AK130" s="202">
        <f>IF($C130,IF($J130="Completado",0,IF($K130&lt;0,1,IF($K130&lt;=3,0.9,IF($K130&lt;=7,0.7,IF($K130&lt;=14,0.45,0.2))))),"")</f>
      </c>
      <c r="AL130" s="202">
        <f>IF($C130,IF($J130="Completado",0,MEDIAN(0,MAX(-$V130,$W130/30),1)),"")</f>
      </c>
      <c r="AM130" s="202">
        <f>IF($C130,IF($J130="Completado",0,IF($Z130,1,IF(AND($I130&lt;0.5,$K130&lt;=7),0.7,0.3))),"")</f>
      </c>
      <c r="AN130" s="203">
        <f>IF($C130,IF(OR($V130&lt;-0.2,$W130&gt;0),"ATRASO ","")&amp;IF($Z130,"BLOQUEO ","")&amp;IF($Y130&gt;8,"SOBRECARGA ","")&amp;IF($X130&gt;0,"DESVÍO-PLAN ",""),"")</f>
      </c>
      <c r="AO130" s="203">
        <f>IF($C130,IFERROR(VLOOKUP($D130,'Sprints'!$I$5:$J$12,2,FALSE),"Semanal"),"")</f>
      </c>
      <c r="AP130" s="202">
        <f>IF($C130,IFERROR(VLOOKUP($AO130,'Sprints'!$B$9:$C$11,2,FALSE),1),"")</f>
      </c>
      <c r="AQ130" s="202">
        <f>IF($C130,'Sprints'!$C$5,"")</f>
      </c>
      <c r="AR130" s="202">
        <f>IF(AND($C130,ISNUMBER($H130)),CEILING(MAX(1,INT(($H130-$AQ130+'Sprints'!$D$5-1)/'Sprints'!$D$5)+1)/$AP130,1),"")</f>
      </c>
      <c r="AS130" s="202">
        <f>IF($C130,CEILING(MAX(1,INT((TODAY()-$AQ130+'Sprints'!$D$5-1)/'Sprints'!$D$5)+1)/$AP130,1),"")</f>
      </c>
      <c r="AT130" s="203">
        <f>IF($C130,'Backlog General'!$G130,"")</f>
      </c>
      <c r="AU130" s="203">
        <f>IF($C130,'Backlog General'!$H130,"")</f>
      </c>
      <c r="AV130" s="202">
        <f>IF(AND($C130,ISNUMBER($AR130)),IF(OR($AT130="Completo",$AU130="Cancelado",$AU130="Baja prioridad"),$AR130,IF($AU130="Pasa al siguiente",MAX($AR130+1,$AS130),MAX($AR130,$AS130))),"")</f>
      </c>
      <c r="AW130" s="202">
        <f>IF(AND($C130,ISNUMBER($AR130)),$AQ130+$AR130*$AP130*'Sprints'!$D$5-'Sprints'!$D$5,"")</f>
      </c>
      <c r="AX130" s="202">
        <f>IF($C130,IF(OR($AT130="Completo",$AU130="Cancelado",$AU130="Baja prioridad",NOT(ISNUMBER($AW130))),0,IF(TODAY()&gt;$AW130,NETWORKDAYS($AW130,TODAY(),'Sprints'!$L$5:$L$40)-1,0)),"")</f>
      </c>
      <c r="AY130" s="203">
        <f>IF($C130,IF(NOT(ISNUMBER($AR130)),"Sin fecha",IF($AT130="Completo","Completo",IF($AU130="Cancelado","Cancelado",IF($AU130="Baja prioridad","Baja prioridad",IF($AX130&gt;0,"Vencida","Pendiente"))))),"")</f>
      </c>
      <c r="AZ130" s="203">
        <f>IF($C130,IF(ISNUMBER($AV130),$AO130&amp;" · S"&amp;$AV130,"(Sin fecha)"),"")</f>
      </c>
      <c r="BA130" s="202">
        <f>IF($C130,IF(AND(ISNUMBER('Backlog General'!$M130),'Backlog General'!$M130=$AS130),"Nuevo S"&amp;'Backlog General'!$M130,""),"")</f>
      </c>
      <c r="BB130" s="202">
        <f>IF(AND($C130,$AO130="Semanal",ISNUMBER($AV130)),$AV130*100000+ROW(),"")</f>
      </c>
      <c r="BC130" s="202">
        <f>IF(AND($C130,$AO130="Quincenal",ISNUMBER($AV130)),$AV130*100000+ROW(),"")</f>
      </c>
      <c r="BD130" s="202">
        <f>IF(AND($C130,$AO130="Mensual",ISNUMBER($AV130)),$AV130*100000+ROW(),"")</f>
      </c>
      <c r="BE130" s="203">
        <f>IF($C130,IF(ISBLANK('Backlog General'!$J130),"",'Backlog General'!$J130),"")</f>
      </c>
      <c r="BF130" s="203">
        <f>IF($C130,IF($BE130="","",$BE130)&amp;IF(AND($BE130&lt;&gt;"",$AH130&lt;&gt;"")," · ","")&amp;IF($AH130="","",$AH130),"")</f>
      </c>
      <c r="BG130" s="203">
        <f>IF($C130,IF($J130="Completado","Sí","No"),"")</f>
      </c>
      <c r="BH130" s="202">
        <f>IF(AND($C130,ISNUMBER($AR130)),IF($AO130="Semanal",1,IF($AO130="Quincenal",2,3))*1000000000+$AR130*100000+ROW(),"")</f>
      </c>
    </row>
    <row r="131">
      <c r="A131" s="202">
        <f>ROW()</f>
        <v>131</v>
      </c>
      <c r="B131" s="202" t="b">
        <f>ISTEXT('Proyecto Datos (OKR´s)'!$K131)</f>
        <v>0</v>
      </c>
      <c r="C131" s="202" t="b">
        <f>AND(LEN('Proyecto Datos (OKR´s)'!$G131)&gt;0,NOT($B131),OR(ISNUMBER('Proyecto Datos (OKR´s)'!$F131),ISNUMBER('Proyecto Datos (OKR´s)'!$L131)))</f>
        <v>0</v>
      </c>
      <c r="D131" s="203">
        <f>IF($C131,IFERROR(LOOKUP(2,1/((ISTEXT('Proyecto Datos (OKR´s)'!$K$7:$K131))*(LEN('Proyecto Datos (OKR´s)'!$G$7:$G131)&gt;0)),'Proyecto Datos (OKR´s)'!$G$7:$G131),""),"")</f>
      </c>
      <c r="E131" s="202">
        <f>IF($C131,'Proyecto Datos (OKR´s)'!$E131,"")</f>
      </c>
      <c r="F131" s="203">
        <f>IF($C131,'Proyecto Datos (OKR´s)'!$G131,"")</f>
      </c>
      <c r="G131" s="203">
        <f>IF($C131,IF('Proyecto Datos (OKR´s)'!$I131="","(Sin asignar)",'Proyecto Datos (OKR´s)'!$I131),"")</f>
      </c>
      <c r="H131" s="202">
        <f>IF($C131,IF(ISNUMBER('Proyecto Datos (OKR´s)'!$F131),'Proyecto Datos (OKR´s)'!$F131,""),"")</f>
      </c>
      <c r="I131" s="202">
        <f>IF($C131,'Proyecto Datos (OKR´s)'!$J131,"")</f>
      </c>
      <c r="J131" s="203">
        <f>IF($C131,IF($I131&gt;=1,"Completado",IF(NOT(ISNUMBER($H131)),"Sin fecha",IF($H131&lt;TODAY(),"Vencido",IF(($H131-TODAY())&lt;='Entregas Próximas'!$M$3,"Próximo a vencer","En curso")))),"")</f>
      </c>
      <c r="K131" s="202">
        <f>IF(AND($C131,ISNUMBER($H131)),$H131-TODAY(),"")</f>
      </c>
      <c r="L131" s="202">
        <f>IF(AND($C131,ISNUMBER($H131)),$AD131*1000000+$H131+ROW()/100000,"")</f>
      </c>
      <c r="M131" s="202">
        <f>IF($C131,IF($AD131=9999,"(Sin sprint)",$AD131),"")</f>
      </c>
      <c r="N131" s="202">
        <f>IF($C131,IF('Proyecto Datos (OKR´s)'!$E131="",9999,'Proyecto Datos (OKR´s)'!$E131),"")</f>
      </c>
      <c r="O131" s="202">
        <f>IF($C131,"T"&amp;TEXT(ROW(),"000"),"")</f>
      </c>
      <c r="R131" s="202">
        <f>IF($C131,IF(ISNUMBER('Proyecto Datos (OKR´s)'!$L131),'Proyecto Datos (OKR´s)'!$L131,$H131),"")</f>
      </c>
      <c r="S131" s="202">
        <f>IF($C131,$R131-'Proyecto Datos (OKR´s)'!$K131+1,"")</f>
      </c>
      <c r="T131" s="202">
        <f>IF($C131,MAX(0,TODAY()-'Proyecto Datos (OKR´s)'!$K131),"")</f>
      </c>
      <c r="U131" s="202">
        <f>IF($C131,MEDIAN(0,(TODAY()-'Proyecto Datos (OKR´s)'!$K131)/MAX(1,$R131-'Proyecto Datos (OKR´s)'!$K131),1),"")</f>
      </c>
      <c r="V131" s="202">
        <f>IF($C131,$I131-$U131,"")</f>
      </c>
      <c r="W131" s="202">
        <f>IF($C131,IF(OR($J131="Completado",NOT(ISNUMBER($H131))),0,MAX(0,TODAY()-$H131)),"")</f>
      </c>
      <c r="X131" s="202">
        <f>IF($C131,IF(ISNUMBER($H131),$R131-$H131,0),"")</f>
      </c>
      <c r="Y131" s="202">
        <f>IF($C131,COUNTIFS($G$7:$G$200,$G131,$J$7:$J$200,"&lt;&gt;Completado",$J$7:$J$200,"&lt;&gt;"),"")</f>
      </c>
      <c r="Z131" s="202">
        <f>IF($C131,AND($I131=0,'Proyecto Datos (OKR´s)'!$K131&lt;=TODAY(),$J131&lt;&gt;"Completado"),"")</f>
      </c>
      <c r="AA131" s="202">
        <f>IF($C131,ROUND(100*(0.35*$AK131+0.3*$AL131+0.2*$AM131+0.15*MEDIAN(0,($Y131-4)/8,1)),0),"")</f>
      </c>
      <c r="AB131" s="203">
        <f>IF($C131,IF(OR($J131="Completado",$J131="Sin fecha"),"—",IF($AA131&gt;=70,"Crítica",IF($AA131&gt;=45,"Alta",IF($AA131&gt;=25,"Media","Baja")))),"")</f>
      </c>
      <c r="AC131" s="203">
        <f>IF($C131,IF(LEN(TRIM($AN131))=0,"—",TRIM($AN131)),"")</f>
      </c>
      <c r="AD131" s="202">
        <f>IF($C131,$AV131,"")</f>
      </c>
      <c r="AE131" s="202">
        <f>IF($C131,$AZ131,"")</f>
      </c>
      <c r="AF131" s="202" t="b">
        <f>IF($C131,$AV131&lt;&gt;$AR131,FALSE)</f>
        <v>0</v>
      </c>
      <c r="AG131" s="202">
        <f>IF($C131,IF($AV131&lt;&gt;$AR131,$AW131,""),"")</f>
      </c>
      <c r="AH131" s="203">
        <f>IF($C131,IF(ISBLANK('Backlog General'!$K131),"",'Backlog General'!$K131),"")</f>
      </c>
      <c r="AI131" s="202">
        <f>IF($C131,$AV131*100000+ROW(),"")</f>
      </c>
      <c r="AJ131" s="202">
        <f>IF(AND($C131,ISNUMBER($H131)),$AA131*1000000-MEDIAN(-9999,$K131,9999)*100+(300-ROW()),"")</f>
      </c>
      <c r="AK131" s="202">
        <f>IF($C131,IF($J131="Completado",0,IF($K131&lt;0,1,IF($K131&lt;=3,0.9,IF($K131&lt;=7,0.7,IF($K131&lt;=14,0.45,0.2))))),"")</f>
      </c>
      <c r="AL131" s="202">
        <f>IF($C131,IF($J131="Completado",0,MEDIAN(0,MAX(-$V131,$W131/30),1)),"")</f>
      </c>
      <c r="AM131" s="202">
        <f>IF($C131,IF($J131="Completado",0,IF($Z131,1,IF(AND($I131&lt;0.5,$K131&lt;=7),0.7,0.3))),"")</f>
      </c>
      <c r="AN131" s="203">
        <f>IF($C131,IF(OR($V131&lt;-0.2,$W131&gt;0),"ATRASO ","")&amp;IF($Z131,"BLOQUEO ","")&amp;IF($Y131&gt;8,"SOBRECARGA ","")&amp;IF($X131&gt;0,"DESVÍO-PLAN ",""),"")</f>
      </c>
      <c r="AO131" s="203">
        <f>IF($C131,IFERROR(VLOOKUP($D131,'Sprints'!$I$5:$J$12,2,FALSE),"Semanal"),"")</f>
      </c>
      <c r="AP131" s="202">
        <f>IF($C131,IFERROR(VLOOKUP($AO131,'Sprints'!$B$9:$C$11,2,FALSE),1),"")</f>
      </c>
      <c r="AQ131" s="202">
        <f>IF($C131,'Sprints'!$C$5,"")</f>
      </c>
      <c r="AR131" s="202">
        <f>IF(AND($C131,ISNUMBER($H131)),CEILING(MAX(1,INT(($H131-$AQ131+'Sprints'!$D$5-1)/'Sprints'!$D$5)+1)/$AP131,1),"")</f>
      </c>
      <c r="AS131" s="202">
        <f>IF($C131,CEILING(MAX(1,INT((TODAY()-$AQ131+'Sprints'!$D$5-1)/'Sprints'!$D$5)+1)/$AP131,1),"")</f>
      </c>
      <c r="AT131" s="203">
        <f>IF($C131,'Backlog General'!$G131,"")</f>
      </c>
      <c r="AU131" s="203">
        <f>IF($C131,'Backlog General'!$H131,"")</f>
      </c>
      <c r="AV131" s="202">
        <f>IF(AND($C131,ISNUMBER($AR131)),IF(OR($AT131="Completo",$AU131="Cancelado",$AU131="Baja prioridad"),$AR131,IF($AU131="Pasa al siguiente",MAX($AR131+1,$AS131),MAX($AR131,$AS131))),"")</f>
      </c>
      <c r="AW131" s="202">
        <f>IF(AND($C131,ISNUMBER($AR131)),$AQ131+$AR131*$AP131*'Sprints'!$D$5-'Sprints'!$D$5,"")</f>
      </c>
      <c r="AX131" s="202">
        <f>IF($C131,IF(OR($AT131="Completo",$AU131="Cancelado",$AU131="Baja prioridad",NOT(ISNUMBER($AW131))),0,IF(TODAY()&gt;$AW131,NETWORKDAYS($AW131,TODAY(),'Sprints'!$L$5:$L$40)-1,0)),"")</f>
      </c>
      <c r="AY131" s="203">
        <f>IF($C131,IF(NOT(ISNUMBER($AR131)),"Sin fecha",IF($AT131="Completo","Completo",IF($AU131="Cancelado","Cancelado",IF($AU131="Baja prioridad","Baja prioridad",IF($AX131&gt;0,"Vencida","Pendiente"))))),"")</f>
      </c>
      <c r="AZ131" s="203">
        <f>IF($C131,IF(ISNUMBER($AV131),$AO131&amp;" · S"&amp;$AV131,"(Sin fecha)"),"")</f>
      </c>
      <c r="BA131" s="202">
        <f>IF($C131,IF(AND(ISNUMBER('Backlog General'!$M131),'Backlog General'!$M131=$AS131),"Nuevo S"&amp;'Backlog General'!$M131,""),"")</f>
      </c>
      <c r="BB131" s="202">
        <f>IF(AND($C131,$AO131="Semanal",ISNUMBER($AV131)),$AV131*100000+ROW(),"")</f>
      </c>
      <c r="BC131" s="202">
        <f>IF(AND($C131,$AO131="Quincenal",ISNUMBER($AV131)),$AV131*100000+ROW(),"")</f>
      </c>
      <c r="BD131" s="202">
        <f>IF(AND($C131,$AO131="Mensual",ISNUMBER($AV131)),$AV131*100000+ROW(),"")</f>
      </c>
      <c r="BE131" s="203">
        <f>IF($C131,IF(ISBLANK('Backlog General'!$J131),"",'Backlog General'!$J131),"")</f>
      </c>
      <c r="BF131" s="203">
        <f>IF($C131,IF($BE131="","",$BE131)&amp;IF(AND($BE131&lt;&gt;"",$AH131&lt;&gt;"")," · ","")&amp;IF($AH131="","",$AH131),"")</f>
      </c>
      <c r="BG131" s="203">
        <f>IF($C131,IF($J131="Completado","Sí","No"),"")</f>
      </c>
      <c r="BH131" s="202">
        <f>IF(AND($C131,ISNUMBER($AR131)),IF($AO131="Semanal",1,IF($AO131="Quincenal",2,3))*1000000000+$AR131*100000+ROW(),"")</f>
      </c>
    </row>
    <row r="132">
      <c r="A132" s="202">
        <f>ROW()</f>
        <v>132</v>
      </c>
      <c r="B132" s="202" t="b">
        <f>ISTEXT('Proyecto Datos (OKR´s)'!$K132)</f>
        <v>0</v>
      </c>
      <c r="C132" s="202" t="b">
        <f>AND(LEN('Proyecto Datos (OKR´s)'!$G132)&gt;0,NOT($B132),OR(ISNUMBER('Proyecto Datos (OKR´s)'!$F132),ISNUMBER('Proyecto Datos (OKR´s)'!$L132)))</f>
        <v>0</v>
      </c>
      <c r="D132" s="203">
        <f>IF($C132,IFERROR(LOOKUP(2,1/((ISTEXT('Proyecto Datos (OKR´s)'!$K$7:$K132))*(LEN('Proyecto Datos (OKR´s)'!$G$7:$G132)&gt;0)),'Proyecto Datos (OKR´s)'!$G$7:$G132),""),"")</f>
      </c>
      <c r="E132" s="202">
        <f>IF($C132,'Proyecto Datos (OKR´s)'!$E132,"")</f>
      </c>
      <c r="F132" s="203">
        <f>IF($C132,'Proyecto Datos (OKR´s)'!$G132,"")</f>
      </c>
      <c r="G132" s="203">
        <f>IF($C132,IF('Proyecto Datos (OKR´s)'!$I132="","(Sin asignar)",'Proyecto Datos (OKR´s)'!$I132),"")</f>
      </c>
      <c r="H132" s="202">
        <f>IF($C132,IF(ISNUMBER('Proyecto Datos (OKR´s)'!$F132),'Proyecto Datos (OKR´s)'!$F132,""),"")</f>
      </c>
      <c r="I132" s="202">
        <f>IF($C132,'Proyecto Datos (OKR´s)'!$J132,"")</f>
      </c>
      <c r="J132" s="203">
        <f>IF($C132,IF($I132&gt;=1,"Completado",IF(NOT(ISNUMBER($H132)),"Sin fecha",IF($H132&lt;TODAY(),"Vencido",IF(($H132-TODAY())&lt;='Entregas Próximas'!$M$3,"Próximo a vencer","En curso")))),"")</f>
      </c>
      <c r="K132" s="202">
        <f>IF(AND($C132,ISNUMBER($H132)),$H132-TODAY(),"")</f>
      </c>
      <c r="L132" s="202">
        <f>IF(AND($C132,ISNUMBER($H132)),$AD132*1000000+$H132+ROW()/100000,"")</f>
      </c>
      <c r="M132" s="202">
        <f>IF($C132,IF($AD132=9999,"(Sin sprint)",$AD132),"")</f>
      </c>
      <c r="N132" s="202">
        <f>IF($C132,IF('Proyecto Datos (OKR´s)'!$E132="",9999,'Proyecto Datos (OKR´s)'!$E132),"")</f>
      </c>
      <c r="O132" s="202">
        <f>IF($C132,"T"&amp;TEXT(ROW(),"000"),"")</f>
      </c>
      <c r="R132" s="202">
        <f>IF($C132,IF(ISNUMBER('Proyecto Datos (OKR´s)'!$L132),'Proyecto Datos (OKR´s)'!$L132,$H132),"")</f>
      </c>
      <c r="S132" s="202">
        <f>IF($C132,$R132-'Proyecto Datos (OKR´s)'!$K132+1,"")</f>
      </c>
      <c r="T132" s="202">
        <f>IF($C132,MAX(0,TODAY()-'Proyecto Datos (OKR´s)'!$K132),"")</f>
      </c>
      <c r="U132" s="202">
        <f>IF($C132,MEDIAN(0,(TODAY()-'Proyecto Datos (OKR´s)'!$K132)/MAX(1,$R132-'Proyecto Datos (OKR´s)'!$K132),1),"")</f>
      </c>
      <c r="V132" s="202">
        <f>IF($C132,$I132-$U132,"")</f>
      </c>
      <c r="W132" s="202">
        <f>IF($C132,IF(OR($J132="Completado",NOT(ISNUMBER($H132))),0,MAX(0,TODAY()-$H132)),"")</f>
      </c>
      <c r="X132" s="202">
        <f>IF($C132,IF(ISNUMBER($H132),$R132-$H132,0),"")</f>
      </c>
      <c r="Y132" s="202">
        <f>IF($C132,COUNTIFS($G$7:$G$200,$G132,$J$7:$J$200,"&lt;&gt;Completado",$J$7:$J$200,"&lt;&gt;"),"")</f>
      </c>
      <c r="Z132" s="202">
        <f>IF($C132,AND($I132=0,'Proyecto Datos (OKR´s)'!$K132&lt;=TODAY(),$J132&lt;&gt;"Completado"),"")</f>
      </c>
      <c r="AA132" s="202">
        <f>IF($C132,ROUND(100*(0.35*$AK132+0.3*$AL132+0.2*$AM132+0.15*MEDIAN(0,($Y132-4)/8,1)),0),"")</f>
      </c>
      <c r="AB132" s="203">
        <f>IF($C132,IF(OR($J132="Completado",$J132="Sin fecha"),"—",IF($AA132&gt;=70,"Crítica",IF($AA132&gt;=45,"Alta",IF($AA132&gt;=25,"Media","Baja")))),"")</f>
      </c>
      <c r="AC132" s="203">
        <f>IF($C132,IF(LEN(TRIM($AN132))=0,"—",TRIM($AN132)),"")</f>
      </c>
      <c r="AD132" s="202">
        <f>IF($C132,$AV132,"")</f>
      </c>
      <c r="AE132" s="202">
        <f>IF($C132,$AZ132,"")</f>
      </c>
      <c r="AF132" s="202" t="b">
        <f>IF($C132,$AV132&lt;&gt;$AR132,FALSE)</f>
        <v>0</v>
      </c>
      <c r="AG132" s="202">
        <f>IF($C132,IF($AV132&lt;&gt;$AR132,$AW132,""),"")</f>
      </c>
      <c r="AH132" s="203">
        <f>IF($C132,IF(ISBLANK('Backlog General'!$K132),"",'Backlog General'!$K132),"")</f>
      </c>
      <c r="AI132" s="202">
        <f>IF($C132,$AV132*100000+ROW(),"")</f>
      </c>
      <c r="AJ132" s="202">
        <f>IF(AND($C132,ISNUMBER($H132)),$AA132*1000000-MEDIAN(-9999,$K132,9999)*100+(300-ROW()),"")</f>
      </c>
      <c r="AK132" s="202">
        <f>IF($C132,IF($J132="Completado",0,IF($K132&lt;0,1,IF($K132&lt;=3,0.9,IF($K132&lt;=7,0.7,IF($K132&lt;=14,0.45,0.2))))),"")</f>
      </c>
      <c r="AL132" s="202">
        <f>IF($C132,IF($J132="Completado",0,MEDIAN(0,MAX(-$V132,$W132/30),1)),"")</f>
      </c>
      <c r="AM132" s="202">
        <f>IF($C132,IF($J132="Completado",0,IF($Z132,1,IF(AND($I132&lt;0.5,$K132&lt;=7),0.7,0.3))),"")</f>
      </c>
      <c r="AN132" s="203">
        <f>IF($C132,IF(OR($V132&lt;-0.2,$W132&gt;0),"ATRASO ","")&amp;IF($Z132,"BLOQUEO ","")&amp;IF($Y132&gt;8,"SOBRECARGA ","")&amp;IF($X132&gt;0,"DESVÍO-PLAN ",""),"")</f>
      </c>
      <c r="AO132" s="203">
        <f>IF($C132,IFERROR(VLOOKUP($D132,'Sprints'!$I$5:$J$12,2,FALSE),"Semanal"),"")</f>
      </c>
      <c r="AP132" s="202">
        <f>IF($C132,IFERROR(VLOOKUP($AO132,'Sprints'!$B$9:$C$11,2,FALSE),1),"")</f>
      </c>
      <c r="AQ132" s="202">
        <f>IF($C132,'Sprints'!$C$5,"")</f>
      </c>
      <c r="AR132" s="202">
        <f>IF(AND($C132,ISNUMBER($H132)),CEILING(MAX(1,INT(($H132-$AQ132+'Sprints'!$D$5-1)/'Sprints'!$D$5)+1)/$AP132,1),"")</f>
      </c>
      <c r="AS132" s="202">
        <f>IF($C132,CEILING(MAX(1,INT((TODAY()-$AQ132+'Sprints'!$D$5-1)/'Sprints'!$D$5)+1)/$AP132,1),"")</f>
      </c>
      <c r="AT132" s="203">
        <f>IF($C132,'Backlog General'!$G132,"")</f>
      </c>
      <c r="AU132" s="203">
        <f>IF($C132,'Backlog General'!$H132,"")</f>
      </c>
      <c r="AV132" s="202">
        <f>IF(AND($C132,ISNUMBER($AR132)),IF(OR($AT132="Completo",$AU132="Cancelado",$AU132="Baja prioridad"),$AR132,IF($AU132="Pasa al siguiente",MAX($AR132+1,$AS132),MAX($AR132,$AS132))),"")</f>
      </c>
      <c r="AW132" s="202">
        <f>IF(AND($C132,ISNUMBER($AR132)),$AQ132+$AR132*$AP132*'Sprints'!$D$5-'Sprints'!$D$5,"")</f>
      </c>
      <c r="AX132" s="202">
        <f>IF($C132,IF(OR($AT132="Completo",$AU132="Cancelado",$AU132="Baja prioridad",NOT(ISNUMBER($AW132))),0,IF(TODAY()&gt;$AW132,NETWORKDAYS($AW132,TODAY(),'Sprints'!$L$5:$L$40)-1,0)),"")</f>
      </c>
      <c r="AY132" s="203">
        <f>IF($C132,IF(NOT(ISNUMBER($AR132)),"Sin fecha",IF($AT132="Completo","Completo",IF($AU132="Cancelado","Cancelado",IF($AU132="Baja prioridad","Baja prioridad",IF($AX132&gt;0,"Vencida","Pendiente"))))),"")</f>
      </c>
      <c r="AZ132" s="203">
        <f>IF($C132,IF(ISNUMBER($AV132),$AO132&amp;" · S"&amp;$AV132,"(Sin fecha)"),"")</f>
      </c>
      <c r="BA132" s="202">
        <f>IF($C132,IF(AND(ISNUMBER('Backlog General'!$M132),'Backlog General'!$M132=$AS132),"Nuevo S"&amp;'Backlog General'!$M132,""),"")</f>
      </c>
      <c r="BB132" s="202">
        <f>IF(AND($C132,$AO132="Semanal",ISNUMBER($AV132)),$AV132*100000+ROW(),"")</f>
      </c>
      <c r="BC132" s="202">
        <f>IF(AND($C132,$AO132="Quincenal",ISNUMBER($AV132)),$AV132*100000+ROW(),"")</f>
      </c>
      <c r="BD132" s="202">
        <f>IF(AND($C132,$AO132="Mensual",ISNUMBER($AV132)),$AV132*100000+ROW(),"")</f>
      </c>
      <c r="BE132" s="203">
        <f>IF($C132,IF(ISBLANK('Backlog General'!$J132),"",'Backlog General'!$J132),"")</f>
      </c>
      <c r="BF132" s="203">
        <f>IF($C132,IF($BE132="","",$BE132)&amp;IF(AND($BE132&lt;&gt;"",$AH132&lt;&gt;"")," · ","")&amp;IF($AH132="","",$AH132),"")</f>
      </c>
      <c r="BG132" s="203">
        <f>IF($C132,IF($J132="Completado","Sí","No"),"")</f>
      </c>
      <c r="BH132" s="202">
        <f>IF(AND($C132,ISNUMBER($AR132)),IF($AO132="Semanal",1,IF($AO132="Quincenal",2,3))*1000000000+$AR132*100000+ROW(),"")</f>
      </c>
    </row>
    <row r="133">
      <c r="A133" s="202">
        <f>ROW()</f>
        <v>133</v>
      </c>
      <c r="B133" s="202" t="b">
        <f>ISTEXT('Proyecto Datos (OKR´s)'!$K133)</f>
        <v>0</v>
      </c>
      <c r="C133" s="202" t="b">
        <f>AND(LEN('Proyecto Datos (OKR´s)'!$G133)&gt;0,NOT($B133),OR(ISNUMBER('Proyecto Datos (OKR´s)'!$F133),ISNUMBER('Proyecto Datos (OKR´s)'!$L133)))</f>
        <v>0</v>
      </c>
      <c r="D133" s="203">
        <f>IF($C133,IFERROR(LOOKUP(2,1/((ISTEXT('Proyecto Datos (OKR´s)'!$K$7:$K133))*(LEN('Proyecto Datos (OKR´s)'!$G$7:$G133)&gt;0)),'Proyecto Datos (OKR´s)'!$G$7:$G133),""),"")</f>
      </c>
      <c r="E133" s="202">
        <f>IF($C133,'Proyecto Datos (OKR´s)'!$E133,"")</f>
      </c>
      <c r="F133" s="203">
        <f>IF($C133,'Proyecto Datos (OKR´s)'!$G133,"")</f>
      </c>
      <c r="G133" s="203">
        <f>IF($C133,IF('Proyecto Datos (OKR´s)'!$I133="","(Sin asignar)",'Proyecto Datos (OKR´s)'!$I133),"")</f>
      </c>
      <c r="H133" s="202">
        <f>IF($C133,IF(ISNUMBER('Proyecto Datos (OKR´s)'!$F133),'Proyecto Datos (OKR´s)'!$F133,""),"")</f>
      </c>
      <c r="I133" s="202">
        <f>IF($C133,'Proyecto Datos (OKR´s)'!$J133,"")</f>
      </c>
      <c r="J133" s="203">
        <f>IF($C133,IF($I133&gt;=1,"Completado",IF(NOT(ISNUMBER($H133)),"Sin fecha",IF($H133&lt;TODAY(),"Vencido",IF(($H133-TODAY())&lt;='Entregas Próximas'!$M$3,"Próximo a vencer","En curso")))),"")</f>
      </c>
      <c r="K133" s="202">
        <f>IF(AND($C133,ISNUMBER($H133)),$H133-TODAY(),"")</f>
      </c>
      <c r="L133" s="202">
        <f>IF(AND($C133,ISNUMBER($H133)),$AD133*1000000+$H133+ROW()/100000,"")</f>
      </c>
      <c r="M133" s="202">
        <f>IF($C133,IF($AD133=9999,"(Sin sprint)",$AD133),"")</f>
      </c>
      <c r="N133" s="202">
        <f>IF($C133,IF('Proyecto Datos (OKR´s)'!$E133="",9999,'Proyecto Datos (OKR´s)'!$E133),"")</f>
      </c>
      <c r="O133" s="202">
        <f>IF($C133,"T"&amp;TEXT(ROW(),"000"),"")</f>
      </c>
      <c r="R133" s="202">
        <f>IF($C133,IF(ISNUMBER('Proyecto Datos (OKR´s)'!$L133),'Proyecto Datos (OKR´s)'!$L133,$H133),"")</f>
      </c>
      <c r="S133" s="202">
        <f>IF($C133,$R133-'Proyecto Datos (OKR´s)'!$K133+1,"")</f>
      </c>
      <c r="T133" s="202">
        <f>IF($C133,MAX(0,TODAY()-'Proyecto Datos (OKR´s)'!$K133),"")</f>
      </c>
      <c r="U133" s="202">
        <f>IF($C133,MEDIAN(0,(TODAY()-'Proyecto Datos (OKR´s)'!$K133)/MAX(1,$R133-'Proyecto Datos (OKR´s)'!$K133),1),"")</f>
      </c>
      <c r="V133" s="202">
        <f>IF($C133,$I133-$U133,"")</f>
      </c>
      <c r="W133" s="202">
        <f>IF($C133,IF(OR($J133="Completado",NOT(ISNUMBER($H133))),0,MAX(0,TODAY()-$H133)),"")</f>
      </c>
      <c r="X133" s="202">
        <f>IF($C133,IF(ISNUMBER($H133),$R133-$H133,0),"")</f>
      </c>
      <c r="Y133" s="202">
        <f>IF($C133,COUNTIFS($G$7:$G$200,$G133,$J$7:$J$200,"&lt;&gt;Completado",$J$7:$J$200,"&lt;&gt;"),"")</f>
      </c>
      <c r="Z133" s="202">
        <f>IF($C133,AND($I133=0,'Proyecto Datos (OKR´s)'!$K133&lt;=TODAY(),$J133&lt;&gt;"Completado"),"")</f>
      </c>
      <c r="AA133" s="202">
        <f>IF($C133,ROUND(100*(0.35*$AK133+0.3*$AL133+0.2*$AM133+0.15*MEDIAN(0,($Y133-4)/8,1)),0),"")</f>
      </c>
      <c r="AB133" s="203">
        <f>IF($C133,IF(OR($J133="Completado",$J133="Sin fecha"),"—",IF($AA133&gt;=70,"Crítica",IF($AA133&gt;=45,"Alta",IF($AA133&gt;=25,"Media","Baja")))),"")</f>
      </c>
      <c r="AC133" s="203">
        <f>IF($C133,IF(LEN(TRIM($AN133))=0,"—",TRIM($AN133)),"")</f>
      </c>
      <c r="AD133" s="202">
        <f>IF($C133,$AV133,"")</f>
      </c>
      <c r="AE133" s="202">
        <f>IF($C133,$AZ133,"")</f>
      </c>
      <c r="AF133" s="202" t="b">
        <f>IF($C133,$AV133&lt;&gt;$AR133,FALSE)</f>
        <v>0</v>
      </c>
      <c r="AG133" s="202">
        <f>IF($C133,IF($AV133&lt;&gt;$AR133,$AW133,""),"")</f>
      </c>
      <c r="AH133" s="203">
        <f>IF($C133,IF(ISBLANK('Backlog General'!$K133),"",'Backlog General'!$K133),"")</f>
      </c>
      <c r="AI133" s="202">
        <f>IF($C133,$AV133*100000+ROW(),"")</f>
      </c>
      <c r="AJ133" s="202">
        <f>IF(AND($C133,ISNUMBER($H133)),$AA133*1000000-MEDIAN(-9999,$K133,9999)*100+(300-ROW()),"")</f>
      </c>
      <c r="AK133" s="202">
        <f>IF($C133,IF($J133="Completado",0,IF($K133&lt;0,1,IF($K133&lt;=3,0.9,IF($K133&lt;=7,0.7,IF($K133&lt;=14,0.45,0.2))))),"")</f>
      </c>
      <c r="AL133" s="202">
        <f>IF($C133,IF($J133="Completado",0,MEDIAN(0,MAX(-$V133,$W133/30),1)),"")</f>
      </c>
      <c r="AM133" s="202">
        <f>IF($C133,IF($J133="Completado",0,IF($Z133,1,IF(AND($I133&lt;0.5,$K133&lt;=7),0.7,0.3))),"")</f>
      </c>
      <c r="AN133" s="203">
        <f>IF($C133,IF(OR($V133&lt;-0.2,$W133&gt;0),"ATRASO ","")&amp;IF($Z133,"BLOQUEO ","")&amp;IF($Y133&gt;8,"SOBRECARGA ","")&amp;IF($X133&gt;0,"DESVÍO-PLAN ",""),"")</f>
      </c>
      <c r="AO133" s="203">
        <f>IF($C133,IFERROR(VLOOKUP($D133,'Sprints'!$I$5:$J$12,2,FALSE),"Semanal"),"")</f>
      </c>
      <c r="AP133" s="202">
        <f>IF($C133,IFERROR(VLOOKUP($AO133,'Sprints'!$B$9:$C$11,2,FALSE),1),"")</f>
      </c>
      <c r="AQ133" s="202">
        <f>IF($C133,'Sprints'!$C$5,"")</f>
      </c>
      <c r="AR133" s="202">
        <f>IF(AND($C133,ISNUMBER($H133)),CEILING(MAX(1,INT(($H133-$AQ133+'Sprints'!$D$5-1)/'Sprints'!$D$5)+1)/$AP133,1),"")</f>
      </c>
      <c r="AS133" s="202">
        <f>IF($C133,CEILING(MAX(1,INT((TODAY()-$AQ133+'Sprints'!$D$5-1)/'Sprints'!$D$5)+1)/$AP133,1),"")</f>
      </c>
      <c r="AT133" s="203">
        <f>IF($C133,'Backlog General'!$G133,"")</f>
      </c>
      <c r="AU133" s="203">
        <f>IF($C133,'Backlog General'!$H133,"")</f>
      </c>
      <c r="AV133" s="202">
        <f>IF(AND($C133,ISNUMBER($AR133)),IF(OR($AT133="Completo",$AU133="Cancelado",$AU133="Baja prioridad"),$AR133,IF($AU133="Pasa al siguiente",MAX($AR133+1,$AS133),MAX($AR133,$AS133))),"")</f>
      </c>
      <c r="AW133" s="202">
        <f>IF(AND($C133,ISNUMBER($AR133)),$AQ133+$AR133*$AP133*'Sprints'!$D$5-'Sprints'!$D$5,"")</f>
      </c>
      <c r="AX133" s="202">
        <f>IF($C133,IF(OR($AT133="Completo",$AU133="Cancelado",$AU133="Baja prioridad",NOT(ISNUMBER($AW133))),0,IF(TODAY()&gt;$AW133,NETWORKDAYS($AW133,TODAY(),'Sprints'!$L$5:$L$40)-1,0)),"")</f>
      </c>
      <c r="AY133" s="203">
        <f>IF($C133,IF(NOT(ISNUMBER($AR133)),"Sin fecha",IF($AT133="Completo","Completo",IF($AU133="Cancelado","Cancelado",IF($AU133="Baja prioridad","Baja prioridad",IF($AX133&gt;0,"Vencida","Pendiente"))))),"")</f>
      </c>
      <c r="AZ133" s="203">
        <f>IF($C133,IF(ISNUMBER($AV133),$AO133&amp;" · S"&amp;$AV133,"(Sin fecha)"),"")</f>
      </c>
      <c r="BA133" s="202">
        <f>IF($C133,IF(AND(ISNUMBER('Backlog General'!$M133),'Backlog General'!$M133=$AS133),"Nuevo S"&amp;'Backlog General'!$M133,""),"")</f>
      </c>
      <c r="BB133" s="202">
        <f>IF(AND($C133,$AO133="Semanal",ISNUMBER($AV133)),$AV133*100000+ROW(),"")</f>
      </c>
      <c r="BC133" s="202">
        <f>IF(AND($C133,$AO133="Quincenal",ISNUMBER($AV133)),$AV133*100000+ROW(),"")</f>
      </c>
      <c r="BD133" s="202">
        <f>IF(AND($C133,$AO133="Mensual",ISNUMBER($AV133)),$AV133*100000+ROW(),"")</f>
      </c>
      <c r="BE133" s="203">
        <f>IF($C133,IF(ISBLANK('Backlog General'!$J133),"",'Backlog General'!$J133),"")</f>
      </c>
      <c r="BF133" s="203">
        <f>IF($C133,IF($BE133="","",$BE133)&amp;IF(AND($BE133&lt;&gt;"",$AH133&lt;&gt;"")," · ","")&amp;IF($AH133="","",$AH133),"")</f>
      </c>
      <c r="BG133" s="203">
        <f>IF($C133,IF($J133="Completado","Sí","No"),"")</f>
      </c>
      <c r="BH133" s="202">
        <f>IF(AND($C133,ISNUMBER($AR133)),IF($AO133="Semanal",1,IF($AO133="Quincenal",2,3))*1000000000+$AR133*100000+ROW(),"")</f>
      </c>
    </row>
    <row r="134">
      <c r="A134" s="202">
        <f>ROW()</f>
        <v>134</v>
      </c>
      <c r="B134" s="202" t="b">
        <f>ISTEXT('Proyecto Datos (OKR´s)'!$K134)</f>
        <v>0</v>
      </c>
      <c r="C134" s="202" t="b">
        <f>AND(LEN('Proyecto Datos (OKR´s)'!$G134)&gt;0,NOT($B134),OR(ISNUMBER('Proyecto Datos (OKR´s)'!$F134),ISNUMBER('Proyecto Datos (OKR´s)'!$L134)))</f>
        <v>0</v>
      </c>
      <c r="D134" s="203">
        <f>IF($C134,IFERROR(LOOKUP(2,1/((ISTEXT('Proyecto Datos (OKR´s)'!$K$7:$K134))*(LEN('Proyecto Datos (OKR´s)'!$G$7:$G134)&gt;0)),'Proyecto Datos (OKR´s)'!$G$7:$G134),""),"")</f>
      </c>
      <c r="E134" s="202">
        <f>IF($C134,'Proyecto Datos (OKR´s)'!$E134,"")</f>
      </c>
      <c r="F134" s="203">
        <f>IF($C134,'Proyecto Datos (OKR´s)'!$G134,"")</f>
      </c>
      <c r="G134" s="203">
        <f>IF($C134,IF('Proyecto Datos (OKR´s)'!$I134="","(Sin asignar)",'Proyecto Datos (OKR´s)'!$I134),"")</f>
      </c>
      <c r="H134" s="202">
        <f>IF($C134,IF(ISNUMBER('Proyecto Datos (OKR´s)'!$F134),'Proyecto Datos (OKR´s)'!$F134,""),"")</f>
      </c>
      <c r="I134" s="202">
        <f>IF($C134,'Proyecto Datos (OKR´s)'!$J134,"")</f>
      </c>
      <c r="J134" s="203">
        <f>IF($C134,IF($I134&gt;=1,"Completado",IF(NOT(ISNUMBER($H134)),"Sin fecha",IF($H134&lt;TODAY(),"Vencido",IF(($H134-TODAY())&lt;='Entregas Próximas'!$M$3,"Próximo a vencer","En curso")))),"")</f>
      </c>
      <c r="K134" s="202">
        <f>IF(AND($C134,ISNUMBER($H134)),$H134-TODAY(),"")</f>
      </c>
      <c r="L134" s="202">
        <f>IF(AND($C134,ISNUMBER($H134)),$AD134*1000000+$H134+ROW()/100000,"")</f>
      </c>
      <c r="M134" s="202">
        <f>IF($C134,IF($AD134=9999,"(Sin sprint)",$AD134),"")</f>
      </c>
      <c r="N134" s="202">
        <f>IF($C134,IF('Proyecto Datos (OKR´s)'!$E134="",9999,'Proyecto Datos (OKR´s)'!$E134),"")</f>
      </c>
      <c r="O134" s="202">
        <f>IF($C134,"T"&amp;TEXT(ROW(),"000"),"")</f>
      </c>
      <c r="R134" s="202">
        <f>IF($C134,IF(ISNUMBER('Proyecto Datos (OKR´s)'!$L134),'Proyecto Datos (OKR´s)'!$L134,$H134),"")</f>
      </c>
      <c r="S134" s="202">
        <f>IF($C134,$R134-'Proyecto Datos (OKR´s)'!$K134+1,"")</f>
      </c>
      <c r="T134" s="202">
        <f>IF($C134,MAX(0,TODAY()-'Proyecto Datos (OKR´s)'!$K134),"")</f>
      </c>
      <c r="U134" s="202">
        <f>IF($C134,MEDIAN(0,(TODAY()-'Proyecto Datos (OKR´s)'!$K134)/MAX(1,$R134-'Proyecto Datos (OKR´s)'!$K134),1),"")</f>
      </c>
      <c r="V134" s="202">
        <f>IF($C134,$I134-$U134,"")</f>
      </c>
      <c r="W134" s="202">
        <f>IF($C134,IF(OR($J134="Completado",NOT(ISNUMBER($H134))),0,MAX(0,TODAY()-$H134)),"")</f>
      </c>
      <c r="X134" s="202">
        <f>IF($C134,IF(ISNUMBER($H134),$R134-$H134,0),"")</f>
      </c>
      <c r="Y134" s="202">
        <f>IF($C134,COUNTIFS($G$7:$G$200,$G134,$J$7:$J$200,"&lt;&gt;Completado",$J$7:$J$200,"&lt;&gt;"),"")</f>
      </c>
      <c r="Z134" s="202">
        <f>IF($C134,AND($I134=0,'Proyecto Datos (OKR´s)'!$K134&lt;=TODAY(),$J134&lt;&gt;"Completado"),"")</f>
      </c>
      <c r="AA134" s="202">
        <f>IF($C134,ROUND(100*(0.35*$AK134+0.3*$AL134+0.2*$AM134+0.15*MEDIAN(0,($Y134-4)/8,1)),0),"")</f>
      </c>
      <c r="AB134" s="203">
        <f>IF($C134,IF(OR($J134="Completado",$J134="Sin fecha"),"—",IF($AA134&gt;=70,"Crítica",IF($AA134&gt;=45,"Alta",IF($AA134&gt;=25,"Media","Baja")))),"")</f>
      </c>
      <c r="AC134" s="203">
        <f>IF($C134,IF(LEN(TRIM($AN134))=0,"—",TRIM($AN134)),"")</f>
      </c>
      <c r="AD134" s="202">
        <f>IF($C134,$AV134,"")</f>
      </c>
      <c r="AE134" s="202">
        <f>IF($C134,$AZ134,"")</f>
      </c>
      <c r="AF134" s="202" t="b">
        <f>IF($C134,$AV134&lt;&gt;$AR134,FALSE)</f>
        <v>0</v>
      </c>
      <c r="AG134" s="202">
        <f>IF($C134,IF($AV134&lt;&gt;$AR134,$AW134,""),"")</f>
      </c>
      <c r="AH134" s="203">
        <f>IF($C134,IF(ISBLANK('Backlog General'!$K134),"",'Backlog General'!$K134),"")</f>
      </c>
      <c r="AI134" s="202">
        <f>IF($C134,$AV134*100000+ROW(),"")</f>
      </c>
      <c r="AJ134" s="202">
        <f>IF(AND($C134,ISNUMBER($H134)),$AA134*1000000-MEDIAN(-9999,$K134,9999)*100+(300-ROW()),"")</f>
      </c>
      <c r="AK134" s="202">
        <f>IF($C134,IF($J134="Completado",0,IF($K134&lt;0,1,IF($K134&lt;=3,0.9,IF($K134&lt;=7,0.7,IF($K134&lt;=14,0.45,0.2))))),"")</f>
      </c>
      <c r="AL134" s="202">
        <f>IF($C134,IF($J134="Completado",0,MEDIAN(0,MAX(-$V134,$W134/30),1)),"")</f>
      </c>
      <c r="AM134" s="202">
        <f>IF($C134,IF($J134="Completado",0,IF($Z134,1,IF(AND($I134&lt;0.5,$K134&lt;=7),0.7,0.3))),"")</f>
      </c>
      <c r="AN134" s="203">
        <f>IF($C134,IF(OR($V134&lt;-0.2,$W134&gt;0),"ATRASO ","")&amp;IF($Z134,"BLOQUEO ","")&amp;IF($Y134&gt;8,"SOBRECARGA ","")&amp;IF($X134&gt;0,"DESVÍO-PLAN ",""),"")</f>
      </c>
      <c r="AO134" s="203">
        <f>IF($C134,IFERROR(VLOOKUP($D134,'Sprints'!$I$5:$J$12,2,FALSE),"Semanal"),"")</f>
      </c>
      <c r="AP134" s="202">
        <f>IF($C134,IFERROR(VLOOKUP($AO134,'Sprints'!$B$9:$C$11,2,FALSE),1),"")</f>
      </c>
      <c r="AQ134" s="202">
        <f>IF($C134,'Sprints'!$C$5,"")</f>
      </c>
      <c r="AR134" s="202">
        <f>IF(AND($C134,ISNUMBER($H134)),CEILING(MAX(1,INT(($H134-$AQ134+'Sprints'!$D$5-1)/'Sprints'!$D$5)+1)/$AP134,1),"")</f>
      </c>
      <c r="AS134" s="202">
        <f>IF($C134,CEILING(MAX(1,INT((TODAY()-$AQ134+'Sprints'!$D$5-1)/'Sprints'!$D$5)+1)/$AP134,1),"")</f>
      </c>
      <c r="AT134" s="203">
        <f>IF($C134,'Backlog General'!$G134,"")</f>
      </c>
      <c r="AU134" s="203">
        <f>IF($C134,'Backlog General'!$H134,"")</f>
      </c>
      <c r="AV134" s="202">
        <f>IF(AND($C134,ISNUMBER($AR134)),IF(OR($AT134="Completo",$AU134="Cancelado",$AU134="Baja prioridad"),$AR134,IF($AU134="Pasa al siguiente",MAX($AR134+1,$AS134),MAX($AR134,$AS134))),"")</f>
      </c>
      <c r="AW134" s="202">
        <f>IF(AND($C134,ISNUMBER($AR134)),$AQ134+$AR134*$AP134*'Sprints'!$D$5-'Sprints'!$D$5,"")</f>
      </c>
      <c r="AX134" s="202">
        <f>IF($C134,IF(OR($AT134="Completo",$AU134="Cancelado",$AU134="Baja prioridad",NOT(ISNUMBER($AW134))),0,IF(TODAY()&gt;$AW134,NETWORKDAYS($AW134,TODAY(),'Sprints'!$L$5:$L$40)-1,0)),"")</f>
      </c>
      <c r="AY134" s="203">
        <f>IF($C134,IF(NOT(ISNUMBER($AR134)),"Sin fecha",IF($AT134="Completo","Completo",IF($AU134="Cancelado","Cancelado",IF($AU134="Baja prioridad","Baja prioridad",IF($AX134&gt;0,"Vencida","Pendiente"))))),"")</f>
      </c>
      <c r="AZ134" s="203">
        <f>IF($C134,IF(ISNUMBER($AV134),$AO134&amp;" · S"&amp;$AV134,"(Sin fecha)"),"")</f>
      </c>
      <c r="BA134" s="202">
        <f>IF($C134,IF(AND(ISNUMBER('Backlog General'!$M134),'Backlog General'!$M134=$AS134),"Nuevo S"&amp;'Backlog General'!$M134,""),"")</f>
      </c>
      <c r="BB134" s="202">
        <f>IF(AND($C134,$AO134="Semanal",ISNUMBER($AV134)),$AV134*100000+ROW(),"")</f>
      </c>
      <c r="BC134" s="202">
        <f>IF(AND($C134,$AO134="Quincenal",ISNUMBER($AV134)),$AV134*100000+ROW(),"")</f>
      </c>
      <c r="BD134" s="202">
        <f>IF(AND($C134,$AO134="Mensual",ISNUMBER($AV134)),$AV134*100000+ROW(),"")</f>
      </c>
      <c r="BE134" s="203">
        <f>IF($C134,IF(ISBLANK('Backlog General'!$J134),"",'Backlog General'!$J134),"")</f>
      </c>
      <c r="BF134" s="203">
        <f>IF($C134,IF($BE134="","",$BE134)&amp;IF(AND($BE134&lt;&gt;"",$AH134&lt;&gt;"")," · ","")&amp;IF($AH134="","",$AH134),"")</f>
      </c>
      <c r="BG134" s="203">
        <f>IF($C134,IF($J134="Completado","Sí","No"),"")</f>
      </c>
      <c r="BH134" s="202">
        <f>IF(AND($C134,ISNUMBER($AR134)),IF($AO134="Semanal",1,IF($AO134="Quincenal",2,3))*1000000000+$AR134*100000+ROW(),"")</f>
      </c>
    </row>
    <row r="135">
      <c r="A135" s="202">
        <f>ROW()</f>
        <v>135</v>
      </c>
      <c r="B135" s="202" t="b">
        <f>ISTEXT('Proyecto Datos (OKR´s)'!$K135)</f>
        <v>0</v>
      </c>
      <c r="C135" s="202" t="b">
        <f>AND(LEN('Proyecto Datos (OKR´s)'!$G135)&gt;0,NOT($B135),OR(ISNUMBER('Proyecto Datos (OKR´s)'!$F135),ISNUMBER('Proyecto Datos (OKR´s)'!$L135)))</f>
        <v>0</v>
      </c>
      <c r="D135" s="203">
        <f>IF($C135,IFERROR(LOOKUP(2,1/((ISTEXT('Proyecto Datos (OKR´s)'!$K$7:$K135))*(LEN('Proyecto Datos (OKR´s)'!$G$7:$G135)&gt;0)),'Proyecto Datos (OKR´s)'!$G$7:$G135),""),"")</f>
      </c>
      <c r="E135" s="202">
        <f>IF($C135,'Proyecto Datos (OKR´s)'!$E135,"")</f>
      </c>
      <c r="F135" s="203">
        <f>IF($C135,'Proyecto Datos (OKR´s)'!$G135,"")</f>
      </c>
      <c r="G135" s="203">
        <f>IF($C135,IF('Proyecto Datos (OKR´s)'!$I135="","(Sin asignar)",'Proyecto Datos (OKR´s)'!$I135),"")</f>
      </c>
      <c r="H135" s="202">
        <f>IF($C135,IF(ISNUMBER('Proyecto Datos (OKR´s)'!$F135),'Proyecto Datos (OKR´s)'!$F135,""),"")</f>
      </c>
      <c r="I135" s="202">
        <f>IF($C135,'Proyecto Datos (OKR´s)'!$J135,"")</f>
      </c>
      <c r="J135" s="203">
        <f>IF($C135,IF($I135&gt;=1,"Completado",IF(NOT(ISNUMBER($H135)),"Sin fecha",IF($H135&lt;TODAY(),"Vencido",IF(($H135-TODAY())&lt;='Entregas Próximas'!$M$3,"Próximo a vencer","En curso")))),"")</f>
      </c>
      <c r="K135" s="202">
        <f>IF(AND($C135,ISNUMBER($H135)),$H135-TODAY(),"")</f>
      </c>
      <c r="L135" s="202">
        <f>IF(AND($C135,ISNUMBER($H135)),$AD135*1000000+$H135+ROW()/100000,"")</f>
      </c>
      <c r="M135" s="202">
        <f>IF($C135,IF($AD135=9999,"(Sin sprint)",$AD135),"")</f>
      </c>
      <c r="N135" s="202">
        <f>IF($C135,IF('Proyecto Datos (OKR´s)'!$E135="",9999,'Proyecto Datos (OKR´s)'!$E135),"")</f>
      </c>
      <c r="O135" s="202">
        <f>IF($C135,"T"&amp;TEXT(ROW(),"000"),"")</f>
      </c>
      <c r="R135" s="202">
        <f>IF($C135,IF(ISNUMBER('Proyecto Datos (OKR´s)'!$L135),'Proyecto Datos (OKR´s)'!$L135,$H135),"")</f>
      </c>
      <c r="S135" s="202">
        <f>IF($C135,$R135-'Proyecto Datos (OKR´s)'!$K135+1,"")</f>
      </c>
      <c r="T135" s="202">
        <f>IF($C135,MAX(0,TODAY()-'Proyecto Datos (OKR´s)'!$K135),"")</f>
      </c>
      <c r="U135" s="202">
        <f>IF($C135,MEDIAN(0,(TODAY()-'Proyecto Datos (OKR´s)'!$K135)/MAX(1,$R135-'Proyecto Datos (OKR´s)'!$K135),1),"")</f>
      </c>
      <c r="V135" s="202">
        <f>IF($C135,$I135-$U135,"")</f>
      </c>
      <c r="W135" s="202">
        <f>IF($C135,IF(OR($J135="Completado",NOT(ISNUMBER($H135))),0,MAX(0,TODAY()-$H135)),"")</f>
      </c>
      <c r="X135" s="202">
        <f>IF($C135,IF(ISNUMBER($H135),$R135-$H135,0),"")</f>
      </c>
      <c r="Y135" s="202">
        <f>IF($C135,COUNTIFS($G$7:$G$200,$G135,$J$7:$J$200,"&lt;&gt;Completado",$J$7:$J$200,"&lt;&gt;"),"")</f>
      </c>
      <c r="Z135" s="202">
        <f>IF($C135,AND($I135=0,'Proyecto Datos (OKR´s)'!$K135&lt;=TODAY(),$J135&lt;&gt;"Completado"),"")</f>
      </c>
      <c r="AA135" s="202">
        <f>IF($C135,ROUND(100*(0.35*$AK135+0.3*$AL135+0.2*$AM135+0.15*MEDIAN(0,($Y135-4)/8,1)),0),"")</f>
      </c>
      <c r="AB135" s="203">
        <f>IF($C135,IF(OR($J135="Completado",$J135="Sin fecha"),"—",IF($AA135&gt;=70,"Crítica",IF($AA135&gt;=45,"Alta",IF($AA135&gt;=25,"Media","Baja")))),"")</f>
      </c>
      <c r="AC135" s="203">
        <f>IF($C135,IF(LEN(TRIM($AN135))=0,"—",TRIM($AN135)),"")</f>
      </c>
      <c r="AD135" s="202">
        <f>IF($C135,$AV135,"")</f>
      </c>
      <c r="AE135" s="202">
        <f>IF($C135,$AZ135,"")</f>
      </c>
      <c r="AF135" s="202" t="b">
        <f>IF($C135,$AV135&lt;&gt;$AR135,FALSE)</f>
        <v>0</v>
      </c>
      <c r="AG135" s="202">
        <f>IF($C135,IF($AV135&lt;&gt;$AR135,$AW135,""),"")</f>
      </c>
      <c r="AH135" s="203">
        <f>IF($C135,IF(ISBLANK('Backlog General'!$K135),"",'Backlog General'!$K135),"")</f>
      </c>
      <c r="AI135" s="202">
        <f>IF($C135,$AV135*100000+ROW(),"")</f>
      </c>
      <c r="AJ135" s="202">
        <f>IF(AND($C135,ISNUMBER($H135)),$AA135*1000000-MEDIAN(-9999,$K135,9999)*100+(300-ROW()),"")</f>
      </c>
      <c r="AK135" s="202">
        <f>IF($C135,IF($J135="Completado",0,IF($K135&lt;0,1,IF($K135&lt;=3,0.9,IF($K135&lt;=7,0.7,IF($K135&lt;=14,0.45,0.2))))),"")</f>
      </c>
      <c r="AL135" s="202">
        <f>IF($C135,IF($J135="Completado",0,MEDIAN(0,MAX(-$V135,$W135/30),1)),"")</f>
      </c>
      <c r="AM135" s="202">
        <f>IF($C135,IF($J135="Completado",0,IF($Z135,1,IF(AND($I135&lt;0.5,$K135&lt;=7),0.7,0.3))),"")</f>
      </c>
      <c r="AN135" s="203">
        <f>IF($C135,IF(OR($V135&lt;-0.2,$W135&gt;0),"ATRASO ","")&amp;IF($Z135,"BLOQUEO ","")&amp;IF($Y135&gt;8,"SOBRECARGA ","")&amp;IF($X135&gt;0,"DESVÍO-PLAN ",""),"")</f>
      </c>
      <c r="AO135" s="203">
        <f>IF($C135,IFERROR(VLOOKUP($D135,'Sprints'!$I$5:$J$12,2,FALSE),"Semanal"),"")</f>
      </c>
      <c r="AP135" s="202">
        <f>IF($C135,IFERROR(VLOOKUP($AO135,'Sprints'!$B$9:$C$11,2,FALSE),1),"")</f>
      </c>
      <c r="AQ135" s="202">
        <f>IF($C135,'Sprints'!$C$5,"")</f>
      </c>
      <c r="AR135" s="202">
        <f>IF(AND($C135,ISNUMBER($H135)),CEILING(MAX(1,INT(($H135-$AQ135+'Sprints'!$D$5-1)/'Sprints'!$D$5)+1)/$AP135,1),"")</f>
      </c>
      <c r="AS135" s="202">
        <f>IF($C135,CEILING(MAX(1,INT((TODAY()-$AQ135+'Sprints'!$D$5-1)/'Sprints'!$D$5)+1)/$AP135,1),"")</f>
      </c>
      <c r="AT135" s="203">
        <f>IF($C135,'Backlog General'!$G135,"")</f>
      </c>
      <c r="AU135" s="203">
        <f>IF($C135,'Backlog General'!$H135,"")</f>
      </c>
      <c r="AV135" s="202">
        <f>IF(AND($C135,ISNUMBER($AR135)),IF(OR($AT135="Completo",$AU135="Cancelado",$AU135="Baja prioridad"),$AR135,IF($AU135="Pasa al siguiente",MAX($AR135+1,$AS135),MAX($AR135,$AS135))),"")</f>
      </c>
      <c r="AW135" s="202">
        <f>IF(AND($C135,ISNUMBER($AR135)),$AQ135+$AR135*$AP135*'Sprints'!$D$5-'Sprints'!$D$5,"")</f>
      </c>
      <c r="AX135" s="202">
        <f>IF($C135,IF(OR($AT135="Completo",$AU135="Cancelado",$AU135="Baja prioridad",NOT(ISNUMBER($AW135))),0,IF(TODAY()&gt;$AW135,NETWORKDAYS($AW135,TODAY(),'Sprints'!$L$5:$L$40)-1,0)),"")</f>
      </c>
      <c r="AY135" s="203">
        <f>IF($C135,IF(NOT(ISNUMBER($AR135)),"Sin fecha",IF($AT135="Completo","Completo",IF($AU135="Cancelado","Cancelado",IF($AU135="Baja prioridad","Baja prioridad",IF($AX135&gt;0,"Vencida","Pendiente"))))),"")</f>
      </c>
      <c r="AZ135" s="203">
        <f>IF($C135,IF(ISNUMBER($AV135),$AO135&amp;" · S"&amp;$AV135,"(Sin fecha)"),"")</f>
      </c>
      <c r="BA135" s="202">
        <f>IF($C135,IF(AND(ISNUMBER('Backlog General'!$M135),'Backlog General'!$M135=$AS135),"Nuevo S"&amp;'Backlog General'!$M135,""),"")</f>
      </c>
      <c r="BB135" s="202">
        <f>IF(AND($C135,$AO135="Semanal",ISNUMBER($AV135)),$AV135*100000+ROW(),"")</f>
      </c>
      <c r="BC135" s="202">
        <f>IF(AND($C135,$AO135="Quincenal",ISNUMBER($AV135)),$AV135*100000+ROW(),"")</f>
      </c>
      <c r="BD135" s="202">
        <f>IF(AND($C135,$AO135="Mensual",ISNUMBER($AV135)),$AV135*100000+ROW(),"")</f>
      </c>
      <c r="BE135" s="203">
        <f>IF($C135,IF(ISBLANK('Backlog General'!$J135),"",'Backlog General'!$J135),"")</f>
      </c>
      <c r="BF135" s="203">
        <f>IF($C135,IF($BE135="","",$BE135)&amp;IF(AND($BE135&lt;&gt;"",$AH135&lt;&gt;"")," · ","")&amp;IF($AH135="","",$AH135),"")</f>
      </c>
      <c r="BG135" s="203">
        <f>IF($C135,IF($J135="Completado","Sí","No"),"")</f>
      </c>
      <c r="BH135" s="202">
        <f>IF(AND($C135,ISNUMBER($AR135)),IF($AO135="Semanal",1,IF($AO135="Quincenal",2,3))*1000000000+$AR135*100000+ROW(),"")</f>
      </c>
    </row>
    <row r="136">
      <c r="A136" s="202">
        <f>ROW()</f>
        <v>136</v>
      </c>
      <c r="B136" s="202" t="b">
        <f>ISTEXT('Proyecto Datos (OKR´s)'!$K136)</f>
        <v>0</v>
      </c>
      <c r="C136" s="202" t="b">
        <f>AND(LEN('Proyecto Datos (OKR´s)'!$G136)&gt;0,NOT($B136),OR(ISNUMBER('Proyecto Datos (OKR´s)'!$F136),ISNUMBER('Proyecto Datos (OKR´s)'!$L136)))</f>
        <v>0</v>
      </c>
      <c r="D136" s="203">
        <f>IF($C136,IFERROR(LOOKUP(2,1/((ISTEXT('Proyecto Datos (OKR´s)'!$K$7:$K136))*(LEN('Proyecto Datos (OKR´s)'!$G$7:$G136)&gt;0)),'Proyecto Datos (OKR´s)'!$G$7:$G136),""),"")</f>
      </c>
      <c r="E136" s="202">
        <f>IF($C136,'Proyecto Datos (OKR´s)'!$E136,"")</f>
      </c>
      <c r="F136" s="203">
        <f>IF($C136,'Proyecto Datos (OKR´s)'!$G136,"")</f>
      </c>
      <c r="G136" s="203">
        <f>IF($C136,IF('Proyecto Datos (OKR´s)'!$I136="","(Sin asignar)",'Proyecto Datos (OKR´s)'!$I136),"")</f>
      </c>
      <c r="H136" s="202">
        <f>IF($C136,IF(ISNUMBER('Proyecto Datos (OKR´s)'!$F136),'Proyecto Datos (OKR´s)'!$F136,""),"")</f>
      </c>
      <c r="I136" s="202">
        <f>IF($C136,'Proyecto Datos (OKR´s)'!$J136,"")</f>
      </c>
      <c r="J136" s="203">
        <f>IF($C136,IF($I136&gt;=1,"Completado",IF(NOT(ISNUMBER($H136)),"Sin fecha",IF($H136&lt;TODAY(),"Vencido",IF(($H136-TODAY())&lt;='Entregas Próximas'!$M$3,"Próximo a vencer","En curso")))),"")</f>
      </c>
      <c r="K136" s="202">
        <f>IF(AND($C136,ISNUMBER($H136)),$H136-TODAY(),"")</f>
      </c>
      <c r="L136" s="202">
        <f>IF(AND($C136,ISNUMBER($H136)),$AD136*1000000+$H136+ROW()/100000,"")</f>
      </c>
      <c r="M136" s="202">
        <f>IF($C136,IF($AD136=9999,"(Sin sprint)",$AD136),"")</f>
      </c>
      <c r="N136" s="202">
        <f>IF($C136,IF('Proyecto Datos (OKR´s)'!$E136="",9999,'Proyecto Datos (OKR´s)'!$E136),"")</f>
      </c>
      <c r="O136" s="202">
        <f>IF($C136,"T"&amp;TEXT(ROW(),"000"),"")</f>
      </c>
      <c r="R136" s="202">
        <f>IF($C136,IF(ISNUMBER('Proyecto Datos (OKR´s)'!$L136),'Proyecto Datos (OKR´s)'!$L136,$H136),"")</f>
      </c>
      <c r="S136" s="202">
        <f>IF($C136,$R136-'Proyecto Datos (OKR´s)'!$K136+1,"")</f>
      </c>
      <c r="T136" s="202">
        <f>IF($C136,MAX(0,TODAY()-'Proyecto Datos (OKR´s)'!$K136),"")</f>
      </c>
      <c r="U136" s="202">
        <f>IF($C136,MEDIAN(0,(TODAY()-'Proyecto Datos (OKR´s)'!$K136)/MAX(1,$R136-'Proyecto Datos (OKR´s)'!$K136),1),"")</f>
      </c>
      <c r="V136" s="202">
        <f>IF($C136,$I136-$U136,"")</f>
      </c>
      <c r="W136" s="202">
        <f>IF($C136,IF(OR($J136="Completado",NOT(ISNUMBER($H136))),0,MAX(0,TODAY()-$H136)),"")</f>
      </c>
      <c r="X136" s="202">
        <f>IF($C136,IF(ISNUMBER($H136),$R136-$H136,0),"")</f>
      </c>
      <c r="Y136" s="202">
        <f>IF($C136,COUNTIFS($G$7:$G$200,$G136,$J$7:$J$200,"&lt;&gt;Completado",$J$7:$J$200,"&lt;&gt;"),"")</f>
      </c>
      <c r="Z136" s="202">
        <f>IF($C136,AND($I136=0,'Proyecto Datos (OKR´s)'!$K136&lt;=TODAY(),$J136&lt;&gt;"Completado"),"")</f>
      </c>
      <c r="AA136" s="202">
        <f>IF($C136,ROUND(100*(0.35*$AK136+0.3*$AL136+0.2*$AM136+0.15*MEDIAN(0,($Y136-4)/8,1)),0),"")</f>
      </c>
      <c r="AB136" s="203">
        <f>IF($C136,IF(OR($J136="Completado",$J136="Sin fecha"),"—",IF($AA136&gt;=70,"Crítica",IF($AA136&gt;=45,"Alta",IF($AA136&gt;=25,"Media","Baja")))),"")</f>
      </c>
      <c r="AC136" s="203">
        <f>IF($C136,IF(LEN(TRIM($AN136))=0,"—",TRIM($AN136)),"")</f>
      </c>
      <c r="AD136" s="202">
        <f>IF($C136,$AV136,"")</f>
      </c>
      <c r="AE136" s="202">
        <f>IF($C136,$AZ136,"")</f>
      </c>
      <c r="AF136" s="202" t="b">
        <f>IF($C136,$AV136&lt;&gt;$AR136,FALSE)</f>
        <v>0</v>
      </c>
      <c r="AG136" s="202">
        <f>IF($C136,IF($AV136&lt;&gt;$AR136,$AW136,""),"")</f>
      </c>
      <c r="AH136" s="203">
        <f>IF($C136,IF(ISBLANK('Backlog General'!$K136),"",'Backlog General'!$K136),"")</f>
      </c>
      <c r="AI136" s="202">
        <f>IF($C136,$AV136*100000+ROW(),"")</f>
      </c>
      <c r="AJ136" s="202">
        <f>IF(AND($C136,ISNUMBER($H136)),$AA136*1000000-MEDIAN(-9999,$K136,9999)*100+(300-ROW()),"")</f>
      </c>
      <c r="AK136" s="202">
        <f>IF($C136,IF($J136="Completado",0,IF($K136&lt;0,1,IF($K136&lt;=3,0.9,IF($K136&lt;=7,0.7,IF($K136&lt;=14,0.45,0.2))))),"")</f>
      </c>
      <c r="AL136" s="202">
        <f>IF($C136,IF($J136="Completado",0,MEDIAN(0,MAX(-$V136,$W136/30),1)),"")</f>
      </c>
      <c r="AM136" s="202">
        <f>IF($C136,IF($J136="Completado",0,IF($Z136,1,IF(AND($I136&lt;0.5,$K136&lt;=7),0.7,0.3))),"")</f>
      </c>
      <c r="AN136" s="203">
        <f>IF($C136,IF(OR($V136&lt;-0.2,$W136&gt;0),"ATRASO ","")&amp;IF($Z136,"BLOQUEO ","")&amp;IF($Y136&gt;8,"SOBRECARGA ","")&amp;IF($X136&gt;0,"DESVÍO-PLAN ",""),"")</f>
      </c>
      <c r="AO136" s="203">
        <f>IF($C136,IFERROR(VLOOKUP($D136,'Sprints'!$I$5:$J$12,2,FALSE),"Semanal"),"")</f>
      </c>
      <c r="AP136" s="202">
        <f>IF($C136,IFERROR(VLOOKUP($AO136,'Sprints'!$B$9:$C$11,2,FALSE),1),"")</f>
      </c>
      <c r="AQ136" s="202">
        <f>IF($C136,'Sprints'!$C$5,"")</f>
      </c>
      <c r="AR136" s="202">
        <f>IF(AND($C136,ISNUMBER($H136)),CEILING(MAX(1,INT(($H136-$AQ136+'Sprints'!$D$5-1)/'Sprints'!$D$5)+1)/$AP136,1),"")</f>
      </c>
      <c r="AS136" s="202">
        <f>IF($C136,CEILING(MAX(1,INT((TODAY()-$AQ136+'Sprints'!$D$5-1)/'Sprints'!$D$5)+1)/$AP136,1),"")</f>
      </c>
      <c r="AT136" s="203">
        <f>IF($C136,'Backlog General'!$G136,"")</f>
      </c>
      <c r="AU136" s="203">
        <f>IF($C136,'Backlog General'!$H136,"")</f>
      </c>
      <c r="AV136" s="202">
        <f>IF(AND($C136,ISNUMBER($AR136)),IF(OR($AT136="Completo",$AU136="Cancelado",$AU136="Baja prioridad"),$AR136,IF($AU136="Pasa al siguiente",MAX($AR136+1,$AS136),MAX($AR136,$AS136))),"")</f>
      </c>
      <c r="AW136" s="202">
        <f>IF(AND($C136,ISNUMBER($AR136)),$AQ136+$AR136*$AP136*'Sprints'!$D$5-'Sprints'!$D$5,"")</f>
      </c>
      <c r="AX136" s="202">
        <f>IF($C136,IF(OR($AT136="Completo",$AU136="Cancelado",$AU136="Baja prioridad",NOT(ISNUMBER($AW136))),0,IF(TODAY()&gt;$AW136,NETWORKDAYS($AW136,TODAY(),'Sprints'!$L$5:$L$40)-1,0)),"")</f>
      </c>
      <c r="AY136" s="203">
        <f>IF($C136,IF(NOT(ISNUMBER($AR136)),"Sin fecha",IF($AT136="Completo","Completo",IF($AU136="Cancelado","Cancelado",IF($AU136="Baja prioridad","Baja prioridad",IF($AX136&gt;0,"Vencida","Pendiente"))))),"")</f>
      </c>
      <c r="AZ136" s="203">
        <f>IF($C136,IF(ISNUMBER($AV136),$AO136&amp;" · S"&amp;$AV136,"(Sin fecha)"),"")</f>
      </c>
      <c r="BA136" s="202">
        <f>IF($C136,IF(AND(ISNUMBER('Backlog General'!$M136),'Backlog General'!$M136=$AS136),"Nuevo S"&amp;'Backlog General'!$M136,""),"")</f>
      </c>
      <c r="BB136" s="202">
        <f>IF(AND($C136,$AO136="Semanal",ISNUMBER($AV136)),$AV136*100000+ROW(),"")</f>
      </c>
      <c r="BC136" s="202">
        <f>IF(AND($C136,$AO136="Quincenal",ISNUMBER($AV136)),$AV136*100000+ROW(),"")</f>
      </c>
      <c r="BD136" s="202">
        <f>IF(AND($C136,$AO136="Mensual",ISNUMBER($AV136)),$AV136*100000+ROW(),"")</f>
      </c>
      <c r="BE136" s="203">
        <f>IF($C136,IF(ISBLANK('Backlog General'!$J136),"",'Backlog General'!$J136),"")</f>
      </c>
      <c r="BF136" s="203">
        <f>IF($C136,IF($BE136="","",$BE136)&amp;IF(AND($BE136&lt;&gt;"",$AH136&lt;&gt;"")," · ","")&amp;IF($AH136="","",$AH136),"")</f>
      </c>
      <c r="BG136" s="203">
        <f>IF($C136,IF($J136="Completado","Sí","No"),"")</f>
      </c>
      <c r="BH136" s="202">
        <f>IF(AND($C136,ISNUMBER($AR136)),IF($AO136="Semanal",1,IF($AO136="Quincenal",2,3))*1000000000+$AR136*100000+ROW(),"")</f>
      </c>
    </row>
    <row r="137">
      <c r="A137" s="202">
        <f>ROW()</f>
        <v>137</v>
      </c>
      <c r="B137" s="202" t="b">
        <f>ISTEXT('Proyecto Datos (OKR´s)'!$K137)</f>
        <v>0</v>
      </c>
      <c r="C137" s="202" t="b">
        <f>AND(LEN('Proyecto Datos (OKR´s)'!$G137)&gt;0,NOT($B137),OR(ISNUMBER('Proyecto Datos (OKR´s)'!$F137),ISNUMBER('Proyecto Datos (OKR´s)'!$L137)))</f>
        <v>0</v>
      </c>
      <c r="D137" s="203">
        <f>IF($C137,IFERROR(LOOKUP(2,1/((ISTEXT('Proyecto Datos (OKR´s)'!$K$7:$K137))*(LEN('Proyecto Datos (OKR´s)'!$G$7:$G137)&gt;0)),'Proyecto Datos (OKR´s)'!$G$7:$G137),""),"")</f>
      </c>
      <c r="E137" s="202">
        <f>IF($C137,'Proyecto Datos (OKR´s)'!$E137,"")</f>
      </c>
      <c r="F137" s="203">
        <f>IF($C137,'Proyecto Datos (OKR´s)'!$G137,"")</f>
      </c>
      <c r="G137" s="203">
        <f>IF($C137,IF('Proyecto Datos (OKR´s)'!$I137="","(Sin asignar)",'Proyecto Datos (OKR´s)'!$I137),"")</f>
      </c>
      <c r="H137" s="202">
        <f>IF($C137,IF(ISNUMBER('Proyecto Datos (OKR´s)'!$F137),'Proyecto Datos (OKR´s)'!$F137,""),"")</f>
      </c>
      <c r="I137" s="202">
        <f>IF($C137,'Proyecto Datos (OKR´s)'!$J137,"")</f>
      </c>
      <c r="J137" s="203">
        <f>IF($C137,IF($I137&gt;=1,"Completado",IF(NOT(ISNUMBER($H137)),"Sin fecha",IF($H137&lt;TODAY(),"Vencido",IF(($H137-TODAY())&lt;='Entregas Próximas'!$M$3,"Próximo a vencer","En curso")))),"")</f>
      </c>
      <c r="K137" s="202">
        <f>IF(AND($C137,ISNUMBER($H137)),$H137-TODAY(),"")</f>
      </c>
      <c r="L137" s="202">
        <f>IF(AND($C137,ISNUMBER($H137)),$AD137*1000000+$H137+ROW()/100000,"")</f>
      </c>
      <c r="M137" s="202">
        <f>IF($C137,IF($AD137=9999,"(Sin sprint)",$AD137),"")</f>
      </c>
      <c r="N137" s="202">
        <f>IF($C137,IF('Proyecto Datos (OKR´s)'!$E137="",9999,'Proyecto Datos (OKR´s)'!$E137),"")</f>
      </c>
      <c r="O137" s="202">
        <f>IF($C137,"T"&amp;TEXT(ROW(),"000"),"")</f>
      </c>
      <c r="R137" s="202">
        <f>IF($C137,IF(ISNUMBER('Proyecto Datos (OKR´s)'!$L137),'Proyecto Datos (OKR´s)'!$L137,$H137),"")</f>
      </c>
      <c r="S137" s="202">
        <f>IF($C137,$R137-'Proyecto Datos (OKR´s)'!$K137+1,"")</f>
      </c>
      <c r="T137" s="202">
        <f>IF($C137,MAX(0,TODAY()-'Proyecto Datos (OKR´s)'!$K137),"")</f>
      </c>
      <c r="U137" s="202">
        <f>IF($C137,MEDIAN(0,(TODAY()-'Proyecto Datos (OKR´s)'!$K137)/MAX(1,$R137-'Proyecto Datos (OKR´s)'!$K137),1),"")</f>
      </c>
      <c r="V137" s="202">
        <f>IF($C137,$I137-$U137,"")</f>
      </c>
      <c r="W137" s="202">
        <f>IF($C137,IF(OR($J137="Completado",NOT(ISNUMBER($H137))),0,MAX(0,TODAY()-$H137)),"")</f>
      </c>
      <c r="X137" s="202">
        <f>IF($C137,IF(ISNUMBER($H137),$R137-$H137,0),"")</f>
      </c>
      <c r="Y137" s="202">
        <f>IF($C137,COUNTIFS($G$7:$G$200,$G137,$J$7:$J$200,"&lt;&gt;Completado",$J$7:$J$200,"&lt;&gt;"),"")</f>
      </c>
      <c r="Z137" s="202">
        <f>IF($C137,AND($I137=0,'Proyecto Datos (OKR´s)'!$K137&lt;=TODAY(),$J137&lt;&gt;"Completado"),"")</f>
      </c>
      <c r="AA137" s="202">
        <f>IF($C137,ROUND(100*(0.35*$AK137+0.3*$AL137+0.2*$AM137+0.15*MEDIAN(0,($Y137-4)/8,1)),0),"")</f>
      </c>
      <c r="AB137" s="203">
        <f>IF($C137,IF(OR($J137="Completado",$J137="Sin fecha"),"—",IF($AA137&gt;=70,"Crítica",IF($AA137&gt;=45,"Alta",IF($AA137&gt;=25,"Media","Baja")))),"")</f>
      </c>
      <c r="AC137" s="203">
        <f>IF($C137,IF(LEN(TRIM($AN137))=0,"—",TRIM($AN137)),"")</f>
      </c>
      <c r="AD137" s="202">
        <f>IF($C137,$AV137,"")</f>
      </c>
      <c r="AE137" s="202">
        <f>IF($C137,$AZ137,"")</f>
      </c>
      <c r="AF137" s="202" t="b">
        <f>IF($C137,$AV137&lt;&gt;$AR137,FALSE)</f>
        <v>0</v>
      </c>
      <c r="AG137" s="202">
        <f>IF($C137,IF($AV137&lt;&gt;$AR137,$AW137,""),"")</f>
      </c>
      <c r="AH137" s="203">
        <f>IF($C137,IF(ISBLANK('Backlog General'!$K137),"",'Backlog General'!$K137),"")</f>
      </c>
      <c r="AI137" s="202">
        <f>IF($C137,$AV137*100000+ROW(),"")</f>
      </c>
      <c r="AJ137" s="202">
        <f>IF(AND($C137,ISNUMBER($H137)),$AA137*1000000-MEDIAN(-9999,$K137,9999)*100+(300-ROW()),"")</f>
      </c>
      <c r="AK137" s="202">
        <f>IF($C137,IF($J137="Completado",0,IF($K137&lt;0,1,IF($K137&lt;=3,0.9,IF($K137&lt;=7,0.7,IF($K137&lt;=14,0.45,0.2))))),"")</f>
      </c>
      <c r="AL137" s="202">
        <f>IF($C137,IF($J137="Completado",0,MEDIAN(0,MAX(-$V137,$W137/30),1)),"")</f>
      </c>
      <c r="AM137" s="202">
        <f>IF($C137,IF($J137="Completado",0,IF($Z137,1,IF(AND($I137&lt;0.5,$K137&lt;=7),0.7,0.3))),"")</f>
      </c>
      <c r="AN137" s="203">
        <f>IF($C137,IF(OR($V137&lt;-0.2,$W137&gt;0),"ATRASO ","")&amp;IF($Z137,"BLOQUEO ","")&amp;IF($Y137&gt;8,"SOBRECARGA ","")&amp;IF($X137&gt;0,"DESVÍO-PLAN ",""),"")</f>
      </c>
      <c r="AO137" s="203">
        <f>IF($C137,IFERROR(VLOOKUP($D137,'Sprints'!$I$5:$J$12,2,FALSE),"Semanal"),"")</f>
      </c>
      <c r="AP137" s="202">
        <f>IF($C137,IFERROR(VLOOKUP($AO137,'Sprints'!$B$9:$C$11,2,FALSE),1),"")</f>
      </c>
      <c r="AQ137" s="202">
        <f>IF($C137,'Sprints'!$C$5,"")</f>
      </c>
      <c r="AR137" s="202">
        <f>IF(AND($C137,ISNUMBER($H137)),CEILING(MAX(1,INT(($H137-$AQ137+'Sprints'!$D$5-1)/'Sprints'!$D$5)+1)/$AP137,1),"")</f>
      </c>
      <c r="AS137" s="202">
        <f>IF($C137,CEILING(MAX(1,INT((TODAY()-$AQ137+'Sprints'!$D$5-1)/'Sprints'!$D$5)+1)/$AP137,1),"")</f>
      </c>
      <c r="AT137" s="203">
        <f>IF($C137,'Backlog General'!$G137,"")</f>
      </c>
      <c r="AU137" s="203">
        <f>IF($C137,'Backlog General'!$H137,"")</f>
      </c>
      <c r="AV137" s="202">
        <f>IF(AND($C137,ISNUMBER($AR137)),IF(OR($AT137="Completo",$AU137="Cancelado",$AU137="Baja prioridad"),$AR137,IF($AU137="Pasa al siguiente",MAX($AR137+1,$AS137),MAX($AR137,$AS137))),"")</f>
      </c>
      <c r="AW137" s="202">
        <f>IF(AND($C137,ISNUMBER($AR137)),$AQ137+$AR137*$AP137*'Sprints'!$D$5-'Sprints'!$D$5,"")</f>
      </c>
      <c r="AX137" s="202">
        <f>IF($C137,IF(OR($AT137="Completo",$AU137="Cancelado",$AU137="Baja prioridad",NOT(ISNUMBER($AW137))),0,IF(TODAY()&gt;$AW137,NETWORKDAYS($AW137,TODAY(),'Sprints'!$L$5:$L$40)-1,0)),"")</f>
      </c>
      <c r="AY137" s="203">
        <f>IF($C137,IF(NOT(ISNUMBER($AR137)),"Sin fecha",IF($AT137="Completo","Completo",IF($AU137="Cancelado","Cancelado",IF($AU137="Baja prioridad","Baja prioridad",IF($AX137&gt;0,"Vencida","Pendiente"))))),"")</f>
      </c>
      <c r="AZ137" s="203">
        <f>IF($C137,IF(ISNUMBER($AV137),$AO137&amp;" · S"&amp;$AV137,"(Sin fecha)"),"")</f>
      </c>
      <c r="BA137" s="202">
        <f>IF($C137,IF(AND(ISNUMBER('Backlog General'!$M137),'Backlog General'!$M137=$AS137),"Nuevo S"&amp;'Backlog General'!$M137,""),"")</f>
      </c>
      <c r="BB137" s="202">
        <f>IF(AND($C137,$AO137="Semanal",ISNUMBER($AV137)),$AV137*100000+ROW(),"")</f>
      </c>
      <c r="BC137" s="202">
        <f>IF(AND($C137,$AO137="Quincenal",ISNUMBER($AV137)),$AV137*100000+ROW(),"")</f>
      </c>
      <c r="BD137" s="202">
        <f>IF(AND($C137,$AO137="Mensual",ISNUMBER($AV137)),$AV137*100000+ROW(),"")</f>
      </c>
      <c r="BE137" s="203">
        <f>IF($C137,IF(ISBLANK('Backlog General'!$J137),"",'Backlog General'!$J137),"")</f>
      </c>
      <c r="BF137" s="203">
        <f>IF($C137,IF($BE137="","",$BE137)&amp;IF(AND($BE137&lt;&gt;"",$AH137&lt;&gt;"")," · ","")&amp;IF($AH137="","",$AH137),"")</f>
      </c>
      <c r="BG137" s="203">
        <f>IF($C137,IF($J137="Completado","Sí","No"),"")</f>
      </c>
      <c r="BH137" s="202">
        <f>IF(AND($C137,ISNUMBER($AR137)),IF($AO137="Semanal",1,IF($AO137="Quincenal",2,3))*1000000000+$AR137*100000+ROW(),"")</f>
      </c>
    </row>
    <row r="138">
      <c r="A138" s="202">
        <f>ROW()</f>
        <v>138</v>
      </c>
      <c r="B138" s="202" t="b">
        <f>ISTEXT('Proyecto Datos (OKR´s)'!$K138)</f>
        <v>0</v>
      </c>
      <c r="C138" s="202" t="b">
        <f>AND(LEN('Proyecto Datos (OKR´s)'!$G138)&gt;0,NOT($B138),OR(ISNUMBER('Proyecto Datos (OKR´s)'!$F138),ISNUMBER('Proyecto Datos (OKR´s)'!$L138)))</f>
        <v>0</v>
      </c>
      <c r="D138" s="203">
        <f>IF($C138,IFERROR(LOOKUP(2,1/((ISTEXT('Proyecto Datos (OKR´s)'!$K$7:$K138))*(LEN('Proyecto Datos (OKR´s)'!$G$7:$G138)&gt;0)),'Proyecto Datos (OKR´s)'!$G$7:$G138),""),"")</f>
      </c>
      <c r="E138" s="202">
        <f>IF($C138,'Proyecto Datos (OKR´s)'!$E138,"")</f>
      </c>
      <c r="F138" s="203">
        <f>IF($C138,'Proyecto Datos (OKR´s)'!$G138,"")</f>
      </c>
      <c r="G138" s="203">
        <f>IF($C138,IF('Proyecto Datos (OKR´s)'!$I138="","(Sin asignar)",'Proyecto Datos (OKR´s)'!$I138),"")</f>
      </c>
      <c r="H138" s="202">
        <f>IF($C138,IF(ISNUMBER('Proyecto Datos (OKR´s)'!$F138),'Proyecto Datos (OKR´s)'!$F138,""),"")</f>
      </c>
      <c r="I138" s="202">
        <f>IF($C138,'Proyecto Datos (OKR´s)'!$J138,"")</f>
      </c>
      <c r="J138" s="203">
        <f>IF($C138,IF($I138&gt;=1,"Completado",IF(NOT(ISNUMBER($H138)),"Sin fecha",IF($H138&lt;TODAY(),"Vencido",IF(($H138-TODAY())&lt;='Entregas Próximas'!$M$3,"Próximo a vencer","En curso")))),"")</f>
      </c>
      <c r="K138" s="202">
        <f>IF(AND($C138,ISNUMBER($H138)),$H138-TODAY(),"")</f>
      </c>
      <c r="L138" s="202">
        <f>IF(AND($C138,ISNUMBER($H138)),$AD138*1000000+$H138+ROW()/100000,"")</f>
      </c>
      <c r="M138" s="202">
        <f>IF($C138,IF($AD138=9999,"(Sin sprint)",$AD138),"")</f>
      </c>
      <c r="N138" s="202">
        <f>IF($C138,IF('Proyecto Datos (OKR´s)'!$E138="",9999,'Proyecto Datos (OKR´s)'!$E138),"")</f>
      </c>
      <c r="O138" s="202">
        <f>IF($C138,"T"&amp;TEXT(ROW(),"000"),"")</f>
      </c>
      <c r="R138" s="202">
        <f>IF($C138,IF(ISNUMBER('Proyecto Datos (OKR´s)'!$L138),'Proyecto Datos (OKR´s)'!$L138,$H138),"")</f>
      </c>
      <c r="S138" s="202">
        <f>IF($C138,$R138-'Proyecto Datos (OKR´s)'!$K138+1,"")</f>
      </c>
      <c r="T138" s="202">
        <f>IF($C138,MAX(0,TODAY()-'Proyecto Datos (OKR´s)'!$K138),"")</f>
      </c>
      <c r="U138" s="202">
        <f>IF($C138,MEDIAN(0,(TODAY()-'Proyecto Datos (OKR´s)'!$K138)/MAX(1,$R138-'Proyecto Datos (OKR´s)'!$K138),1),"")</f>
      </c>
      <c r="V138" s="202">
        <f>IF($C138,$I138-$U138,"")</f>
      </c>
      <c r="W138" s="202">
        <f>IF($C138,IF(OR($J138="Completado",NOT(ISNUMBER($H138))),0,MAX(0,TODAY()-$H138)),"")</f>
      </c>
      <c r="X138" s="202">
        <f>IF($C138,IF(ISNUMBER($H138),$R138-$H138,0),"")</f>
      </c>
      <c r="Y138" s="202">
        <f>IF($C138,COUNTIFS($G$7:$G$200,$G138,$J$7:$J$200,"&lt;&gt;Completado",$J$7:$J$200,"&lt;&gt;"),"")</f>
      </c>
      <c r="Z138" s="202">
        <f>IF($C138,AND($I138=0,'Proyecto Datos (OKR´s)'!$K138&lt;=TODAY(),$J138&lt;&gt;"Completado"),"")</f>
      </c>
      <c r="AA138" s="202">
        <f>IF($C138,ROUND(100*(0.35*$AK138+0.3*$AL138+0.2*$AM138+0.15*MEDIAN(0,($Y138-4)/8,1)),0),"")</f>
      </c>
      <c r="AB138" s="203">
        <f>IF($C138,IF(OR($J138="Completado",$J138="Sin fecha"),"—",IF($AA138&gt;=70,"Crítica",IF($AA138&gt;=45,"Alta",IF($AA138&gt;=25,"Media","Baja")))),"")</f>
      </c>
      <c r="AC138" s="203">
        <f>IF($C138,IF(LEN(TRIM($AN138))=0,"—",TRIM($AN138)),"")</f>
      </c>
      <c r="AD138" s="202">
        <f>IF($C138,$AV138,"")</f>
      </c>
      <c r="AE138" s="202">
        <f>IF($C138,$AZ138,"")</f>
      </c>
      <c r="AF138" s="202" t="b">
        <f>IF($C138,$AV138&lt;&gt;$AR138,FALSE)</f>
        <v>0</v>
      </c>
      <c r="AG138" s="202">
        <f>IF($C138,IF($AV138&lt;&gt;$AR138,$AW138,""),"")</f>
      </c>
      <c r="AH138" s="203">
        <f>IF($C138,IF(ISBLANK('Backlog General'!$K138),"",'Backlog General'!$K138),"")</f>
      </c>
      <c r="AI138" s="202">
        <f>IF($C138,$AV138*100000+ROW(),"")</f>
      </c>
      <c r="AJ138" s="202">
        <f>IF(AND($C138,ISNUMBER($H138)),$AA138*1000000-MEDIAN(-9999,$K138,9999)*100+(300-ROW()),"")</f>
      </c>
      <c r="AK138" s="202">
        <f>IF($C138,IF($J138="Completado",0,IF($K138&lt;0,1,IF($K138&lt;=3,0.9,IF($K138&lt;=7,0.7,IF($K138&lt;=14,0.45,0.2))))),"")</f>
      </c>
      <c r="AL138" s="202">
        <f>IF($C138,IF($J138="Completado",0,MEDIAN(0,MAX(-$V138,$W138/30),1)),"")</f>
      </c>
      <c r="AM138" s="202">
        <f>IF($C138,IF($J138="Completado",0,IF($Z138,1,IF(AND($I138&lt;0.5,$K138&lt;=7),0.7,0.3))),"")</f>
      </c>
      <c r="AN138" s="203">
        <f>IF($C138,IF(OR($V138&lt;-0.2,$W138&gt;0),"ATRASO ","")&amp;IF($Z138,"BLOQUEO ","")&amp;IF($Y138&gt;8,"SOBRECARGA ","")&amp;IF($X138&gt;0,"DESVÍO-PLAN ",""),"")</f>
      </c>
      <c r="AO138" s="203">
        <f>IF($C138,IFERROR(VLOOKUP($D138,'Sprints'!$I$5:$J$12,2,FALSE),"Semanal"),"")</f>
      </c>
      <c r="AP138" s="202">
        <f>IF($C138,IFERROR(VLOOKUP($AO138,'Sprints'!$B$9:$C$11,2,FALSE),1),"")</f>
      </c>
      <c r="AQ138" s="202">
        <f>IF($C138,'Sprints'!$C$5,"")</f>
      </c>
      <c r="AR138" s="202">
        <f>IF(AND($C138,ISNUMBER($H138)),CEILING(MAX(1,INT(($H138-$AQ138+'Sprints'!$D$5-1)/'Sprints'!$D$5)+1)/$AP138,1),"")</f>
      </c>
      <c r="AS138" s="202">
        <f>IF($C138,CEILING(MAX(1,INT((TODAY()-$AQ138+'Sprints'!$D$5-1)/'Sprints'!$D$5)+1)/$AP138,1),"")</f>
      </c>
      <c r="AT138" s="203">
        <f>IF($C138,'Backlog General'!$G138,"")</f>
      </c>
      <c r="AU138" s="203">
        <f>IF($C138,'Backlog General'!$H138,"")</f>
      </c>
      <c r="AV138" s="202">
        <f>IF(AND($C138,ISNUMBER($AR138)),IF(OR($AT138="Completo",$AU138="Cancelado",$AU138="Baja prioridad"),$AR138,IF($AU138="Pasa al siguiente",MAX($AR138+1,$AS138),MAX($AR138,$AS138))),"")</f>
      </c>
      <c r="AW138" s="202">
        <f>IF(AND($C138,ISNUMBER($AR138)),$AQ138+$AR138*$AP138*'Sprints'!$D$5-'Sprints'!$D$5,"")</f>
      </c>
      <c r="AX138" s="202">
        <f>IF($C138,IF(OR($AT138="Completo",$AU138="Cancelado",$AU138="Baja prioridad",NOT(ISNUMBER($AW138))),0,IF(TODAY()&gt;$AW138,NETWORKDAYS($AW138,TODAY(),'Sprints'!$L$5:$L$40)-1,0)),"")</f>
      </c>
      <c r="AY138" s="203">
        <f>IF($C138,IF(NOT(ISNUMBER($AR138)),"Sin fecha",IF($AT138="Completo","Completo",IF($AU138="Cancelado","Cancelado",IF($AU138="Baja prioridad","Baja prioridad",IF($AX138&gt;0,"Vencida","Pendiente"))))),"")</f>
      </c>
      <c r="AZ138" s="203">
        <f>IF($C138,IF(ISNUMBER($AV138),$AO138&amp;" · S"&amp;$AV138,"(Sin fecha)"),"")</f>
      </c>
      <c r="BA138" s="202">
        <f>IF($C138,IF(AND(ISNUMBER('Backlog General'!$M138),'Backlog General'!$M138=$AS138),"Nuevo S"&amp;'Backlog General'!$M138,""),"")</f>
      </c>
      <c r="BB138" s="202">
        <f>IF(AND($C138,$AO138="Semanal",ISNUMBER($AV138)),$AV138*100000+ROW(),"")</f>
      </c>
      <c r="BC138" s="202">
        <f>IF(AND($C138,$AO138="Quincenal",ISNUMBER($AV138)),$AV138*100000+ROW(),"")</f>
      </c>
      <c r="BD138" s="202">
        <f>IF(AND($C138,$AO138="Mensual",ISNUMBER($AV138)),$AV138*100000+ROW(),"")</f>
      </c>
      <c r="BE138" s="203">
        <f>IF($C138,IF(ISBLANK('Backlog General'!$J138),"",'Backlog General'!$J138),"")</f>
      </c>
      <c r="BF138" s="203">
        <f>IF($C138,IF($BE138="","",$BE138)&amp;IF(AND($BE138&lt;&gt;"",$AH138&lt;&gt;"")," · ","")&amp;IF($AH138="","",$AH138),"")</f>
      </c>
      <c r="BG138" s="203">
        <f>IF($C138,IF($J138="Completado","Sí","No"),"")</f>
      </c>
      <c r="BH138" s="202">
        <f>IF(AND($C138,ISNUMBER($AR138)),IF($AO138="Semanal",1,IF($AO138="Quincenal",2,3))*1000000000+$AR138*100000+ROW(),"")</f>
      </c>
    </row>
    <row r="139">
      <c r="A139" s="202">
        <f>ROW()</f>
        <v>139</v>
      </c>
      <c r="B139" s="202" t="b">
        <f>ISTEXT('Proyecto Datos (OKR´s)'!$K139)</f>
        <v>0</v>
      </c>
      <c r="C139" s="202" t="b">
        <f>AND(LEN('Proyecto Datos (OKR´s)'!$G139)&gt;0,NOT($B139),OR(ISNUMBER('Proyecto Datos (OKR´s)'!$F139),ISNUMBER('Proyecto Datos (OKR´s)'!$L139)))</f>
        <v>0</v>
      </c>
      <c r="D139" s="203">
        <f>IF($C139,IFERROR(LOOKUP(2,1/((ISTEXT('Proyecto Datos (OKR´s)'!$K$7:$K139))*(LEN('Proyecto Datos (OKR´s)'!$G$7:$G139)&gt;0)),'Proyecto Datos (OKR´s)'!$G$7:$G139),""),"")</f>
      </c>
      <c r="E139" s="202">
        <f>IF($C139,'Proyecto Datos (OKR´s)'!$E139,"")</f>
      </c>
      <c r="F139" s="203">
        <f>IF($C139,'Proyecto Datos (OKR´s)'!$G139,"")</f>
      </c>
      <c r="G139" s="203">
        <f>IF($C139,IF('Proyecto Datos (OKR´s)'!$I139="","(Sin asignar)",'Proyecto Datos (OKR´s)'!$I139),"")</f>
      </c>
      <c r="H139" s="202">
        <f>IF($C139,IF(ISNUMBER('Proyecto Datos (OKR´s)'!$F139),'Proyecto Datos (OKR´s)'!$F139,""),"")</f>
      </c>
      <c r="I139" s="202">
        <f>IF($C139,'Proyecto Datos (OKR´s)'!$J139,"")</f>
      </c>
      <c r="J139" s="203">
        <f>IF($C139,IF($I139&gt;=1,"Completado",IF(NOT(ISNUMBER($H139)),"Sin fecha",IF($H139&lt;TODAY(),"Vencido",IF(($H139-TODAY())&lt;='Entregas Próximas'!$M$3,"Próximo a vencer","En curso")))),"")</f>
      </c>
      <c r="K139" s="202">
        <f>IF(AND($C139,ISNUMBER($H139)),$H139-TODAY(),"")</f>
      </c>
      <c r="L139" s="202">
        <f>IF(AND($C139,ISNUMBER($H139)),$AD139*1000000+$H139+ROW()/100000,"")</f>
      </c>
      <c r="M139" s="202">
        <f>IF($C139,IF($AD139=9999,"(Sin sprint)",$AD139),"")</f>
      </c>
      <c r="N139" s="202">
        <f>IF($C139,IF('Proyecto Datos (OKR´s)'!$E139="",9999,'Proyecto Datos (OKR´s)'!$E139),"")</f>
      </c>
      <c r="O139" s="202">
        <f>IF($C139,"T"&amp;TEXT(ROW(),"000"),"")</f>
      </c>
      <c r="R139" s="202">
        <f>IF($C139,IF(ISNUMBER('Proyecto Datos (OKR´s)'!$L139),'Proyecto Datos (OKR´s)'!$L139,$H139),"")</f>
      </c>
      <c r="S139" s="202">
        <f>IF($C139,$R139-'Proyecto Datos (OKR´s)'!$K139+1,"")</f>
      </c>
      <c r="T139" s="202">
        <f>IF($C139,MAX(0,TODAY()-'Proyecto Datos (OKR´s)'!$K139),"")</f>
      </c>
      <c r="U139" s="202">
        <f>IF($C139,MEDIAN(0,(TODAY()-'Proyecto Datos (OKR´s)'!$K139)/MAX(1,$R139-'Proyecto Datos (OKR´s)'!$K139),1),"")</f>
      </c>
      <c r="V139" s="202">
        <f>IF($C139,$I139-$U139,"")</f>
      </c>
      <c r="W139" s="202">
        <f>IF($C139,IF(OR($J139="Completado",NOT(ISNUMBER($H139))),0,MAX(0,TODAY()-$H139)),"")</f>
      </c>
      <c r="X139" s="202">
        <f>IF($C139,IF(ISNUMBER($H139),$R139-$H139,0),"")</f>
      </c>
      <c r="Y139" s="202">
        <f>IF($C139,COUNTIFS($G$7:$G$200,$G139,$J$7:$J$200,"&lt;&gt;Completado",$J$7:$J$200,"&lt;&gt;"),"")</f>
      </c>
      <c r="Z139" s="202">
        <f>IF($C139,AND($I139=0,'Proyecto Datos (OKR´s)'!$K139&lt;=TODAY(),$J139&lt;&gt;"Completado"),"")</f>
      </c>
      <c r="AA139" s="202">
        <f>IF($C139,ROUND(100*(0.35*$AK139+0.3*$AL139+0.2*$AM139+0.15*MEDIAN(0,($Y139-4)/8,1)),0),"")</f>
      </c>
      <c r="AB139" s="203">
        <f>IF($C139,IF(OR($J139="Completado",$J139="Sin fecha"),"—",IF($AA139&gt;=70,"Crítica",IF($AA139&gt;=45,"Alta",IF($AA139&gt;=25,"Media","Baja")))),"")</f>
      </c>
      <c r="AC139" s="203">
        <f>IF($C139,IF(LEN(TRIM($AN139))=0,"—",TRIM($AN139)),"")</f>
      </c>
      <c r="AD139" s="202">
        <f>IF($C139,$AV139,"")</f>
      </c>
      <c r="AE139" s="202">
        <f>IF($C139,$AZ139,"")</f>
      </c>
      <c r="AF139" s="202" t="b">
        <f>IF($C139,$AV139&lt;&gt;$AR139,FALSE)</f>
        <v>0</v>
      </c>
      <c r="AG139" s="202">
        <f>IF($C139,IF($AV139&lt;&gt;$AR139,$AW139,""),"")</f>
      </c>
      <c r="AH139" s="203">
        <f>IF($C139,IF(ISBLANK('Backlog General'!$K139),"",'Backlog General'!$K139),"")</f>
      </c>
      <c r="AI139" s="202">
        <f>IF($C139,$AV139*100000+ROW(),"")</f>
      </c>
      <c r="AJ139" s="202">
        <f>IF(AND($C139,ISNUMBER($H139)),$AA139*1000000-MEDIAN(-9999,$K139,9999)*100+(300-ROW()),"")</f>
      </c>
      <c r="AK139" s="202">
        <f>IF($C139,IF($J139="Completado",0,IF($K139&lt;0,1,IF($K139&lt;=3,0.9,IF($K139&lt;=7,0.7,IF($K139&lt;=14,0.45,0.2))))),"")</f>
      </c>
      <c r="AL139" s="202">
        <f>IF($C139,IF($J139="Completado",0,MEDIAN(0,MAX(-$V139,$W139/30),1)),"")</f>
      </c>
      <c r="AM139" s="202">
        <f>IF($C139,IF($J139="Completado",0,IF($Z139,1,IF(AND($I139&lt;0.5,$K139&lt;=7),0.7,0.3))),"")</f>
      </c>
      <c r="AN139" s="203">
        <f>IF($C139,IF(OR($V139&lt;-0.2,$W139&gt;0),"ATRASO ","")&amp;IF($Z139,"BLOQUEO ","")&amp;IF($Y139&gt;8,"SOBRECARGA ","")&amp;IF($X139&gt;0,"DESVÍO-PLAN ",""),"")</f>
      </c>
      <c r="AO139" s="203">
        <f>IF($C139,IFERROR(VLOOKUP($D139,'Sprints'!$I$5:$J$12,2,FALSE),"Semanal"),"")</f>
      </c>
      <c r="AP139" s="202">
        <f>IF($C139,IFERROR(VLOOKUP($AO139,'Sprints'!$B$9:$C$11,2,FALSE),1),"")</f>
      </c>
      <c r="AQ139" s="202">
        <f>IF($C139,'Sprints'!$C$5,"")</f>
      </c>
      <c r="AR139" s="202">
        <f>IF(AND($C139,ISNUMBER($H139)),CEILING(MAX(1,INT(($H139-$AQ139+'Sprints'!$D$5-1)/'Sprints'!$D$5)+1)/$AP139,1),"")</f>
      </c>
      <c r="AS139" s="202">
        <f>IF($C139,CEILING(MAX(1,INT((TODAY()-$AQ139+'Sprints'!$D$5-1)/'Sprints'!$D$5)+1)/$AP139,1),"")</f>
      </c>
      <c r="AT139" s="203">
        <f>IF($C139,'Backlog General'!$G139,"")</f>
      </c>
      <c r="AU139" s="203">
        <f>IF($C139,'Backlog General'!$H139,"")</f>
      </c>
      <c r="AV139" s="202">
        <f>IF(AND($C139,ISNUMBER($AR139)),IF(OR($AT139="Completo",$AU139="Cancelado",$AU139="Baja prioridad"),$AR139,IF($AU139="Pasa al siguiente",MAX($AR139+1,$AS139),MAX($AR139,$AS139))),"")</f>
      </c>
      <c r="AW139" s="202">
        <f>IF(AND($C139,ISNUMBER($AR139)),$AQ139+$AR139*$AP139*'Sprints'!$D$5-'Sprints'!$D$5,"")</f>
      </c>
      <c r="AX139" s="202">
        <f>IF($C139,IF(OR($AT139="Completo",$AU139="Cancelado",$AU139="Baja prioridad",NOT(ISNUMBER($AW139))),0,IF(TODAY()&gt;$AW139,NETWORKDAYS($AW139,TODAY(),'Sprints'!$L$5:$L$40)-1,0)),"")</f>
      </c>
      <c r="AY139" s="203">
        <f>IF($C139,IF(NOT(ISNUMBER($AR139)),"Sin fecha",IF($AT139="Completo","Completo",IF($AU139="Cancelado","Cancelado",IF($AU139="Baja prioridad","Baja prioridad",IF($AX139&gt;0,"Vencida","Pendiente"))))),"")</f>
      </c>
      <c r="AZ139" s="203">
        <f>IF($C139,IF(ISNUMBER($AV139),$AO139&amp;" · S"&amp;$AV139,"(Sin fecha)"),"")</f>
      </c>
      <c r="BA139" s="202">
        <f>IF($C139,IF(AND(ISNUMBER('Backlog General'!$M139),'Backlog General'!$M139=$AS139),"Nuevo S"&amp;'Backlog General'!$M139,""),"")</f>
      </c>
      <c r="BB139" s="202">
        <f>IF(AND($C139,$AO139="Semanal",ISNUMBER($AV139)),$AV139*100000+ROW(),"")</f>
      </c>
      <c r="BC139" s="202">
        <f>IF(AND($C139,$AO139="Quincenal",ISNUMBER($AV139)),$AV139*100000+ROW(),"")</f>
      </c>
      <c r="BD139" s="202">
        <f>IF(AND($C139,$AO139="Mensual",ISNUMBER($AV139)),$AV139*100000+ROW(),"")</f>
      </c>
      <c r="BE139" s="203">
        <f>IF($C139,IF(ISBLANK('Backlog General'!$J139),"",'Backlog General'!$J139),"")</f>
      </c>
      <c r="BF139" s="203">
        <f>IF($C139,IF($BE139="","",$BE139)&amp;IF(AND($BE139&lt;&gt;"",$AH139&lt;&gt;"")," · ","")&amp;IF($AH139="","",$AH139),"")</f>
      </c>
      <c r="BG139" s="203">
        <f>IF($C139,IF($J139="Completado","Sí","No"),"")</f>
      </c>
      <c r="BH139" s="202">
        <f>IF(AND($C139,ISNUMBER($AR139)),IF($AO139="Semanal",1,IF($AO139="Quincenal",2,3))*1000000000+$AR139*100000+ROW(),"")</f>
      </c>
    </row>
    <row r="140">
      <c r="A140" s="202">
        <f>ROW()</f>
        <v>140</v>
      </c>
      <c r="B140" s="202" t="b">
        <f>ISTEXT('Proyecto Datos (OKR´s)'!$K140)</f>
        <v>0</v>
      </c>
      <c r="C140" s="202" t="b">
        <f>AND(LEN('Proyecto Datos (OKR´s)'!$G140)&gt;0,NOT($B140),OR(ISNUMBER('Proyecto Datos (OKR´s)'!$F140),ISNUMBER('Proyecto Datos (OKR´s)'!$L140)))</f>
        <v>0</v>
      </c>
      <c r="D140" s="203">
        <f>IF($C140,IFERROR(LOOKUP(2,1/((ISTEXT('Proyecto Datos (OKR´s)'!$K$7:$K140))*(LEN('Proyecto Datos (OKR´s)'!$G$7:$G140)&gt;0)),'Proyecto Datos (OKR´s)'!$G$7:$G140),""),"")</f>
      </c>
      <c r="E140" s="202">
        <f>IF($C140,'Proyecto Datos (OKR´s)'!$E140,"")</f>
      </c>
      <c r="F140" s="203">
        <f>IF($C140,'Proyecto Datos (OKR´s)'!$G140,"")</f>
      </c>
      <c r="G140" s="203">
        <f>IF($C140,IF('Proyecto Datos (OKR´s)'!$I140="","(Sin asignar)",'Proyecto Datos (OKR´s)'!$I140),"")</f>
      </c>
      <c r="H140" s="202">
        <f>IF($C140,IF(ISNUMBER('Proyecto Datos (OKR´s)'!$F140),'Proyecto Datos (OKR´s)'!$F140,""),"")</f>
      </c>
      <c r="I140" s="202">
        <f>IF($C140,'Proyecto Datos (OKR´s)'!$J140,"")</f>
      </c>
      <c r="J140" s="203">
        <f>IF($C140,IF($I140&gt;=1,"Completado",IF(NOT(ISNUMBER($H140)),"Sin fecha",IF($H140&lt;TODAY(),"Vencido",IF(($H140-TODAY())&lt;='Entregas Próximas'!$M$3,"Próximo a vencer","En curso")))),"")</f>
      </c>
      <c r="K140" s="202">
        <f>IF(AND($C140,ISNUMBER($H140)),$H140-TODAY(),"")</f>
      </c>
      <c r="L140" s="202">
        <f>IF(AND($C140,ISNUMBER($H140)),$AD140*1000000+$H140+ROW()/100000,"")</f>
      </c>
      <c r="M140" s="202">
        <f>IF($C140,IF($AD140=9999,"(Sin sprint)",$AD140),"")</f>
      </c>
      <c r="N140" s="202">
        <f>IF($C140,IF('Proyecto Datos (OKR´s)'!$E140="",9999,'Proyecto Datos (OKR´s)'!$E140),"")</f>
      </c>
      <c r="O140" s="202">
        <f>IF($C140,"T"&amp;TEXT(ROW(),"000"),"")</f>
      </c>
      <c r="R140" s="202">
        <f>IF($C140,IF(ISNUMBER('Proyecto Datos (OKR´s)'!$L140),'Proyecto Datos (OKR´s)'!$L140,$H140),"")</f>
      </c>
      <c r="S140" s="202">
        <f>IF($C140,$R140-'Proyecto Datos (OKR´s)'!$K140+1,"")</f>
      </c>
      <c r="T140" s="202">
        <f>IF($C140,MAX(0,TODAY()-'Proyecto Datos (OKR´s)'!$K140),"")</f>
      </c>
      <c r="U140" s="202">
        <f>IF($C140,MEDIAN(0,(TODAY()-'Proyecto Datos (OKR´s)'!$K140)/MAX(1,$R140-'Proyecto Datos (OKR´s)'!$K140),1),"")</f>
      </c>
      <c r="V140" s="202">
        <f>IF($C140,$I140-$U140,"")</f>
      </c>
      <c r="W140" s="202">
        <f>IF($C140,IF(OR($J140="Completado",NOT(ISNUMBER($H140))),0,MAX(0,TODAY()-$H140)),"")</f>
      </c>
      <c r="X140" s="202">
        <f>IF($C140,IF(ISNUMBER($H140),$R140-$H140,0),"")</f>
      </c>
      <c r="Y140" s="202">
        <f>IF($C140,COUNTIFS($G$7:$G$200,$G140,$J$7:$J$200,"&lt;&gt;Completado",$J$7:$J$200,"&lt;&gt;"),"")</f>
      </c>
      <c r="Z140" s="202">
        <f>IF($C140,AND($I140=0,'Proyecto Datos (OKR´s)'!$K140&lt;=TODAY(),$J140&lt;&gt;"Completado"),"")</f>
      </c>
      <c r="AA140" s="202">
        <f>IF($C140,ROUND(100*(0.35*$AK140+0.3*$AL140+0.2*$AM140+0.15*MEDIAN(0,($Y140-4)/8,1)),0),"")</f>
      </c>
      <c r="AB140" s="203">
        <f>IF($C140,IF(OR($J140="Completado",$J140="Sin fecha"),"—",IF($AA140&gt;=70,"Crítica",IF($AA140&gt;=45,"Alta",IF($AA140&gt;=25,"Media","Baja")))),"")</f>
      </c>
      <c r="AC140" s="203">
        <f>IF($C140,IF(LEN(TRIM($AN140))=0,"—",TRIM($AN140)),"")</f>
      </c>
      <c r="AD140" s="202">
        <f>IF($C140,$AV140,"")</f>
      </c>
      <c r="AE140" s="202">
        <f>IF($C140,$AZ140,"")</f>
      </c>
      <c r="AF140" s="202" t="b">
        <f>IF($C140,$AV140&lt;&gt;$AR140,FALSE)</f>
        <v>0</v>
      </c>
      <c r="AG140" s="202">
        <f>IF($C140,IF($AV140&lt;&gt;$AR140,$AW140,""),"")</f>
      </c>
      <c r="AH140" s="203">
        <f>IF($C140,IF(ISBLANK('Backlog General'!$K140),"",'Backlog General'!$K140),"")</f>
      </c>
      <c r="AI140" s="202">
        <f>IF($C140,$AV140*100000+ROW(),"")</f>
      </c>
      <c r="AJ140" s="202">
        <f>IF(AND($C140,ISNUMBER($H140)),$AA140*1000000-MEDIAN(-9999,$K140,9999)*100+(300-ROW()),"")</f>
      </c>
      <c r="AK140" s="202">
        <f>IF($C140,IF($J140="Completado",0,IF($K140&lt;0,1,IF($K140&lt;=3,0.9,IF($K140&lt;=7,0.7,IF($K140&lt;=14,0.45,0.2))))),"")</f>
      </c>
      <c r="AL140" s="202">
        <f>IF($C140,IF($J140="Completado",0,MEDIAN(0,MAX(-$V140,$W140/30),1)),"")</f>
      </c>
      <c r="AM140" s="202">
        <f>IF($C140,IF($J140="Completado",0,IF($Z140,1,IF(AND($I140&lt;0.5,$K140&lt;=7),0.7,0.3))),"")</f>
      </c>
      <c r="AN140" s="203">
        <f>IF($C140,IF(OR($V140&lt;-0.2,$W140&gt;0),"ATRASO ","")&amp;IF($Z140,"BLOQUEO ","")&amp;IF($Y140&gt;8,"SOBRECARGA ","")&amp;IF($X140&gt;0,"DESVÍO-PLAN ",""),"")</f>
      </c>
      <c r="AO140" s="203">
        <f>IF($C140,IFERROR(VLOOKUP($D140,'Sprints'!$I$5:$J$12,2,FALSE),"Semanal"),"")</f>
      </c>
      <c r="AP140" s="202">
        <f>IF($C140,IFERROR(VLOOKUP($AO140,'Sprints'!$B$9:$C$11,2,FALSE),1),"")</f>
      </c>
      <c r="AQ140" s="202">
        <f>IF($C140,'Sprints'!$C$5,"")</f>
      </c>
      <c r="AR140" s="202">
        <f>IF(AND($C140,ISNUMBER($H140)),CEILING(MAX(1,INT(($H140-$AQ140+'Sprints'!$D$5-1)/'Sprints'!$D$5)+1)/$AP140,1),"")</f>
      </c>
      <c r="AS140" s="202">
        <f>IF($C140,CEILING(MAX(1,INT((TODAY()-$AQ140+'Sprints'!$D$5-1)/'Sprints'!$D$5)+1)/$AP140,1),"")</f>
      </c>
      <c r="AT140" s="203">
        <f>IF($C140,'Backlog General'!$G140,"")</f>
      </c>
      <c r="AU140" s="203">
        <f>IF($C140,'Backlog General'!$H140,"")</f>
      </c>
      <c r="AV140" s="202">
        <f>IF(AND($C140,ISNUMBER($AR140)),IF(OR($AT140="Completo",$AU140="Cancelado",$AU140="Baja prioridad"),$AR140,IF($AU140="Pasa al siguiente",MAX($AR140+1,$AS140),MAX($AR140,$AS140))),"")</f>
      </c>
      <c r="AW140" s="202">
        <f>IF(AND($C140,ISNUMBER($AR140)),$AQ140+$AR140*$AP140*'Sprints'!$D$5-'Sprints'!$D$5,"")</f>
      </c>
      <c r="AX140" s="202">
        <f>IF($C140,IF(OR($AT140="Completo",$AU140="Cancelado",$AU140="Baja prioridad",NOT(ISNUMBER($AW140))),0,IF(TODAY()&gt;$AW140,NETWORKDAYS($AW140,TODAY(),'Sprints'!$L$5:$L$40)-1,0)),"")</f>
      </c>
      <c r="AY140" s="203">
        <f>IF($C140,IF(NOT(ISNUMBER($AR140)),"Sin fecha",IF($AT140="Completo","Completo",IF($AU140="Cancelado","Cancelado",IF($AU140="Baja prioridad","Baja prioridad",IF($AX140&gt;0,"Vencida","Pendiente"))))),"")</f>
      </c>
      <c r="AZ140" s="203">
        <f>IF($C140,IF(ISNUMBER($AV140),$AO140&amp;" · S"&amp;$AV140,"(Sin fecha)"),"")</f>
      </c>
      <c r="BA140" s="202">
        <f>IF($C140,IF(AND(ISNUMBER('Backlog General'!$M140),'Backlog General'!$M140=$AS140),"Nuevo S"&amp;'Backlog General'!$M140,""),"")</f>
      </c>
      <c r="BB140" s="202">
        <f>IF(AND($C140,$AO140="Semanal",ISNUMBER($AV140)),$AV140*100000+ROW(),"")</f>
      </c>
      <c r="BC140" s="202">
        <f>IF(AND($C140,$AO140="Quincenal",ISNUMBER($AV140)),$AV140*100000+ROW(),"")</f>
      </c>
      <c r="BD140" s="202">
        <f>IF(AND($C140,$AO140="Mensual",ISNUMBER($AV140)),$AV140*100000+ROW(),"")</f>
      </c>
      <c r="BE140" s="203">
        <f>IF($C140,IF(ISBLANK('Backlog General'!$J140),"",'Backlog General'!$J140),"")</f>
      </c>
      <c r="BF140" s="203">
        <f>IF($C140,IF($BE140="","",$BE140)&amp;IF(AND($BE140&lt;&gt;"",$AH140&lt;&gt;"")," · ","")&amp;IF($AH140="","",$AH140),"")</f>
      </c>
      <c r="BG140" s="203">
        <f>IF($C140,IF($J140="Completado","Sí","No"),"")</f>
      </c>
      <c r="BH140" s="202">
        <f>IF(AND($C140,ISNUMBER($AR140)),IF($AO140="Semanal",1,IF($AO140="Quincenal",2,3))*1000000000+$AR140*100000+ROW(),"")</f>
      </c>
    </row>
    <row r="141">
      <c r="A141" s="202">
        <f>ROW()</f>
        <v>141</v>
      </c>
      <c r="B141" s="202" t="b">
        <f>ISTEXT('Proyecto Datos (OKR´s)'!$K141)</f>
        <v>0</v>
      </c>
      <c r="C141" s="202" t="b">
        <f>AND(LEN('Proyecto Datos (OKR´s)'!$G141)&gt;0,NOT($B141),OR(ISNUMBER('Proyecto Datos (OKR´s)'!$F141),ISNUMBER('Proyecto Datos (OKR´s)'!$L141)))</f>
        <v>0</v>
      </c>
      <c r="D141" s="203">
        <f>IF($C141,IFERROR(LOOKUP(2,1/((ISTEXT('Proyecto Datos (OKR´s)'!$K$7:$K141))*(LEN('Proyecto Datos (OKR´s)'!$G$7:$G141)&gt;0)),'Proyecto Datos (OKR´s)'!$G$7:$G141),""),"")</f>
      </c>
      <c r="E141" s="202">
        <f>IF($C141,'Proyecto Datos (OKR´s)'!$E141,"")</f>
      </c>
      <c r="F141" s="203">
        <f>IF($C141,'Proyecto Datos (OKR´s)'!$G141,"")</f>
      </c>
      <c r="G141" s="203">
        <f>IF($C141,IF('Proyecto Datos (OKR´s)'!$I141="","(Sin asignar)",'Proyecto Datos (OKR´s)'!$I141),"")</f>
      </c>
      <c r="H141" s="202">
        <f>IF($C141,IF(ISNUMBER('Proyecto Datos (OKR´s)'!$F141),'Proyecto Datos (OKR´s)'!$F141,""),"")</f>
      </c>
      <c r="I141" s="202">
        <f>IF($C141,'Proyecto Datos (OKR´s)'!$J141,"")</f>
      </c>
      <c r="J141" s="203">
        <f>IF($C141,IF($I141&gt;=1,"Completado",IF(NOT(ISNUMBER($H141)),"Sin fecha",IF($H141&lt;TODAY(),"Vencido",IF(($H141-TODAY())&lt;='Entregas Próximas'!$M$3,"Próximo a vencer","En curso")))),"")</f>
      </c>
      <c r="K141" s="202">
        <f>IF(AND($C141,ISNUMBER($H141)),$H141-TODAY(),"")</f>
      </c>
      <c r="L141" s="202">
        <f>IF(AND($C141,ISNUMBER($H141)),$AD141*1000000+$H141+ROW()/100000,"")</f>
      </c>
      <c r="M141" s="202">
        <f>IF($C141,IF($AD141=9999,"(Sin sprint)",$AD141),"")</f>
      </c>
      <c r="N141" s="202">
        <f>IF($C141,IF('Proyecto Datos (OKR´s)'!$E141="",9999,'Proyecto Datos (OKR´s)'!$E141),"")</f>
      </c>
      <c r="O141" s="202">
        <f>IF($C141,"T"&amp;TEXT(ROW(),"000"),"")</f>
      </c>
      <c r="R141" s="202">
        <f>IF($C141,IF(ISNUMBER('Proyecto Datos (OKR´s)'!$L141),'Proyecto Datos (OKR´s)'!$L141,$H141),"")</f>
      </c>
      <c r="S141" s="202">
        <f>IF($C141,$R141-'Proyecto Datos (OKR´s)'!$K141+1,"")</f>
      </c>
      <c r="T141" s="202">
        <f>IF($C141,MAX(0,TODAY()-'Proyecto Datos (OKR´s)'!$K141),"")</f>
      </c>
      <c r="U141" s="202">
        <f>IF($C141,MEDIAN(0,(TODAY()-'Proyecto Datos (OKR´s)'!$K141)/MAX(1,$R141-'Proyecto Datos (OKR´s)'!$K141),1),"")</f>
      </c>
      <c r="V141" s="202">
        <f>IF($C141,$I141-$U141,"")</f>
      </c>
      <c r="W141" s="202">
        <f>IF($C141,IF(OR($J141="Completado",NOT(ISNUMBER($H141))),0,MAX(0,TODAY()-$H141)),"")</f>
      </c>
      <c r="X141" s="202">
        <f>IF($C141,IF(ISNUMBER($H141),$R141-$H141,0),"")</f>
      </c>
      <c r="Y141" s="202">
        <f>IF($C141,COUNTIFS($G$7:$G$200,$G141,$J$7:$J$200,"&lt;&gt;Completado",$J$7:$J$200,"&lt;&gt;"),"")</f>
      </c>
      <c r="Z141" s="202">
        <f>IF($C141,AND($I141=0,'Proyecto Datos (OKR´s)'!$K141&lt;=TODAY(),$J141&lt;&gt;"Completado"),"")</f>
      </c>
      <c r="AA141" s="202">
        <f>IF($C141,ROUND(100*(0.35*$AK141+0.3*$AL141+0.2*$AM141+0.15*MEDIAN(0,($Y141-4)/8,1)),0),"")</f>
      </c>
      <c r="AB141" s="203">
        <f>IF($C141,IF(OR($J141="Completado",$J141="Sin fecha"),"—",IF($AA141&gt;=70,"Crítica",IF($AA141&gt;=45,"Alta",IF($AA141&gt;=25,"Media","Baja")))),"")</f>
      </c>
      <c r="AC141" s="203">
        <f>IF($C141,IF(LEN(TRIM($AN141))=0,"—",TRIM($AN141)),"")</f>
      </c>
      <c r="AD141" s="202">
        <f>IF($C141,$AV141,"")</f>
      </c>
      <c r="AE141" s="202">
        <f>IF($C141,$AZ141,"")</f>
      </c>
      <c r="AF141" s="202" t="b">
        <f>IF($C141,$AV141&lt;&gt;$AR141,FALSE)</f>
        <v>0</v>
      </c>
      <c r="AG141" s="202">
        <f>IF($C141,IF($AV141&lt;&gt;$AR141,$AW141,""),"")</f>
      </c>
      <c r="AH141" s="203">
        <f>IF($C141,IF(ISBLANK('Backlog General'!$K141),"",'Backlog General'!$K141),"")</f>
      </c>
      <c r="AI141" s="202">
        <f>IF($C141,$AV141*100000+ROW(),"")</f>
      </c>
      <c r="AJ141" s="202">
        <f>IF(AND($C141,ISNUMBER($H141)),$AA141*1000000-MEDIAN(-9999,$K141,9999)*100+(300-ROW()),"")</f>
      </c>
      <c r="AK141" s="202">
        <f>IF($C141,IF($J141="Completado",0,IF($K141&lt;0,1,IF($K141&lt;=3,0.9,IF($K141&lt;=7,0.7,IF($K141&lt;=14,0.45,0.2))))),"")</f>
      </c>
      <c r="AL141" s="202">
        <f>IF($C141,IF($J141="Completado",0,MEDIAN(0,MAX(-$V141,$W141/30),1)),"")</f>
      </c>
      <c r="AM141" s="202">
        <f>IF($C141,IF($J141="Completado",0,IF($Z141,1,IF(AND($I141&lt;0.5,$K141&lt;=7),0.7,0.3))),"")</f>
      </c>
      <c r="AN141" s="203">
        <f>IF($C141,IF(OR($V141&lt;-0.2,$W141&gt;0),"ATRASO ","")&amp;IF($Z141,"BLOQUEO ","")&amp;IF($Y141&gt;8,"SOBRECARGA ","")&amp;IF($X141&gt;0,"DESVÍO-PLAN ",""),"")</f>
      </c>
      <c r="AO141" s="203">
        <f>IF($C141,IFERROR(VLOOKUP($D141,'Sprints'!$I$5:$J$12,2,FALSE),"Semanal"),"")</f>
      </c>
      <c r="AP141" s="202">
        <f>IF($C141,IFERROR(VLOOKUP($AO141,'Sprints'!$B$9:$C$11,2,FALSE),1),"")</f>
      </c>
      <c r="AQ141" s="202">
        <f>IF($C141,'Sprints'!$C$5,"")</f>
      </c>
      <c r="AR141" s="202">
        <f>IF(AND($C141,ISNUMBER($H141)),CEILING(MAX(1,INT(($H141-$AQ141+'Sprints'!$D$5-1)/'Sprints'!$D$5)+1)/$AP141,1),"")</f>
      </c>
      <c r="AS141" s="202">
        <f>IF($C141,CEILING(MAX(1,INT((TODAY()-$AQ141+'Sprints'!$D$5-1)/'Sprints'!$D$5)+1)/$AP141,1),"")</f>
      </c>
      <c r="AT141" s="203">
        <f>IF($C141,'Backlog General'!$G141,"")</f>
      </c>
      <c r="AU141" s="203">
        <f>IF($C141,'Backlog General'!$H141,"")</f>
      </c>
      <c r="AV141" s="202">
        <f>IF(AND($C141,ISNUMBER($AR141)),IF(OR($AT141="Completo",$AU141="Cancelado",$AU141="Baja prioridad"),$AR141,IF($AU141="Pasa al siguiente",MAX($AR141+1,$AS141),MAX($AR141,$AS141))),"")</f>
      </c>
      <c r="AW141" s="202">
        <f>IF(AND($C141,ISNUMBER($AR141)),$AQ141+$AR141*$AP141*'Sprints'!$D$5-'Sprints'!$D$5,"")</f>
      </c>
      <c r="AX141" s="202">
        <f>IF($C141,IF(OR($AT141="Completo",$AU141="Cancelado",$AU141="Baja prioridad",NOT(ISNUMBER($AW141))),0,IF(TODAY()&gt;$AW141,NETWORKDAYS($AW141,TODAY(),'Sprints'!$L$5:$L$40)-1,0)),"")</f>
      </c>
      <c r="AY141" s="203">
        <f>IF($C141,IF(NOT(ISNUMBER($AR141)),"Sin fecha",IF($AT141="Completo","Completo",IF($AU141="Cancelado","Cancelado",IF($AU141="Baja prioridad","Baja prioridad",IF($AX141&gt;0,"Vencida","Pendiente"))))),"")</f>
      </c>
      <c r="AZ141" s="203">
        <f>IF($C141,IF(ISNUMBER($AV141),$AO141&amp;" · S"&amp;$AV141,"(Sin fecha)"),"")</f>
      </c>
      <c r="BA141" s="202">
        <f>IF($C141,IF(AND(ISNUMBER('Backlog General'!$M141),'Backlog General'!$M141=$AS141),"Nuevo S"&amp;'Backlog General'!$M141,""),"")</f>
      </c>
      <c r="BB141" s="202">
        <f>IF(AND($C141,$AO141="Semanal",ISNUMBER($AV141)),$AV141*100000+ROW(),"")</f>
      </c>
      <c r="BC141" s="202">
        <f>IF(AND($C141,$AO141="Quincenal",ISNUMBER($AV141)),$AV141*100000+ROW(),"")</f>
      </c>
      <c r="BD141" s="202">
        <f>IF(AND($C141,$AO141="Mensual",ISNUMBER($AV141)),$AV141*100000+ROW(),"")</f>
      </c>
      <c r="BE141" s="203">
        <f>IF($C141,IF(ISBLANK('Backlog General'!$J141),"",'Backlog General'!$J141),"")</f>
      </c>
      <c r="BF141" s="203">
        <f>IF($C141,IF($BE141="","",$BE141)&amp;IF(AND($BE141&lt;&gt;"",$AH141&lt;&gt;"")," · ","")&amp;IF($AH141="","",$AH141),"")</f>
      </c>
      <c r="BG141" s="203">
        <f>IF($C141,IF($J141="Completado","Sí","No"),"")</f>
      </c>
      <c r="BH141" s="202">
        <f>IF(AND($C141,ISNUMBER($AR141)),IF($AO141="Semanal",1,IF($AO141="Quincenal",2,3))*1000000000+$AR141*100000+ROW(),"")</f>
      </c>
    </row>
    <row r="142">
      <c r="A142" s="202">
        <f>ROW()</f>
        <v>142</v>
      </c>
      <c r="B142" s="202" t="b">
        <f>ISTEXT('Proyecto Datos (OKR´s)'!$K142)</f>
        <v>0</v>
      </c>
      <c r="C142" s="202" t="b">
        <f>AND(LEN('Proyecto Datos (OKR´s)'!$G142)&gt;0,NOT($B142),OR(ISNUMBER('Proyecto Datos (OKR´s)'!$F142),ISNUMBER('Proyecto Datos (OKR´s)'!$L142)))</f>
        <v>0</v>
      </c>
      <c r="D142" s="203">
        <f>IF($C142,IFERROR(LOOKUP(2,1/((ISTEXT('Proyecto Datos (OKR´s)'!$K$7:$K142))*(LEN('Proyecto Datos (OKR´s)'!$G$7:$G142)&gt;0)),'Proyecto Datos (OKR´s)'!$G$7:$G142),""),"")</f>
      </c>
      <c r="E142" s="202">
        <f>IF($C142,'Proyecto Datos (OKR´s)'!$E142,"")</f>
      </c>
      <c r="F142" s="203">
        <f>IF($C142,'Proyecto Datos (OKR´s)'!$G142,"")</f>
      </c>
      <c r="G142" s="203">
        <f>IF($C142,IF('Proyecto Datos (OKR´s)'!$I142="","(Sin asignar)",'Proyecto Datos (OKR´s)'!$I142),"")</f>
      </c>
      <c r="H142" s="202">
        <f>IF($C142,IF(ISNUMBER('Proyecto Datos (OKR´s)'!$F142),'Proyecto Datos (OKR´s)'!$F142,""),"")</f>
      </c>
      <c r="I142" s="202">
        <f>IF($C142,'Proyecto Datos (OKR´s)'!$J142,"")</f>
      </c>
      <c r="J142" s="203">
        <f>IF($C142,IF($I142&gt;=1,"Completado",IF(NOT(ISNUMBER($H142)),"Sin fecha",IF($H142&lt;TODAY(),"Vencido",IF(($H142-TODAY())&lt;='Entregas Próximas'!$M$3,"Próximo a vencer","En curso")))),"")</f>
      </c>
      <c r="K142" s="202">
        <f>IF(AND($C142,ISNUMBER($H142)),$H142-TODAY(),"")</f>
      </c>
      <c r="L142" s="202">
        <f>IF(AND($C142,ISNUMBER($H142)),$AD142*1000000+$H142+ROW()/100000,"")</f>
      </c>
      <c r="M142" s="202">
        <f>IF($C142,IF($AD142=9999,"(Sin sprint)",$AD142),"")</f>
      </c>
      <c r="N142" s="202">
        <f>IF($C142,IF('Proyecto Datos (OKR´s)'!$E142="",9999,'Proyecto Datos (OKR´s)'!$E142),"")</f>
      </c>
      <c r="O142" s="202">
        <f>IF($C142,"T"&amp;TEXT(ROW(),"000"),"")</f>
      </c>
      <c r="R142" s="202">
        <f>IF($C142,IF(ISNUMBER('Proyecto Datos (OKR´s)'!$L142),'Proyecto Datos (OKR´s)'!$L142,$H142),"")</f>
      </c>
      <c r="S142" s="202">
        <f>IF($C142,$R142-'Proyecto Datos (OKR´s)'!$K142+1,"")</f>
      </c>
      <c r="T142" s="202">
        <f>IF($C142,MAX(0,TODAY()-'Proyecto Datos (OKR´s)'!$K142),"")</f>
      </c>
      <c r="U142" s="202">
        <f>IF($C142,MEDIAN(0,(TODAY()-'Proyecto Datos (OKR´s)'!$K142)/MAX(1,$R142-'Proyecto Datos (OKR´s)'!$K142),1),"")</f>
      </c>
      <c r="V142" s="202">
        <f>IF($C142,$I142-$U142,"")</f>
      </c>
      <c r="W142" s="202">
        <f>IF($C142,IF(OR($J142="Completado",NOT(ISNUMBER($H142))),0,MAX(0,TODAY()-$H142)),"")</f>
      </c>
      <c r="X142" s="202">
        <f>IF($C142,IF(ISNUMBER($H142),$R142-$H142,0),"")</f>
      </c>
      <c r="Y142" s="202">
        <f>IF($C142,COUNTIFS($G$7:$G$200,$G142,$J$7:$J$200,"&lt;&gt;Completado",$J$7:$J$200,"&lt;&gt;"),"")</f>
      </c>
      <c r="Z142" s="202">
        <f>IF($C142,AND($I142=0,'Proyecto Datos (OKR´s)'!$K142&lt;=TODAY(),$J142&lt;&gt;"Completado"),"")</f>
      </c>
      <c r="AA142" s="202">
        <f>IF($C142,ROUND(100*(0.35*$AK142+0.3*$AL142+0.2*$AM142+0.15*MEDIAN(0,($Y142-4)/8,1)),0),"")</f>
      </c>
      <c r="AB142" s="203">
        <f>IF($C142,IF(OR($J142="Completado",$J142="Sin fecha"),"—",IF($AA142&gt;=70,"Crítica",IF($AA142&gt;=45,"Alta",IF($AA142&gt;=25,"Media","Baja")))),"")</f>
      </c>
      <c r="AC142" s="203">
        <f>IF($C142,IF(LEN(TRIM($AN142))=0,"—",TRIM($AN142)),"")</f>
      </c>
      <c r="AD142" s="202">
        <f>IF($C142,$AV142,"")</f>
      </c>
      <c r="AE142" s="202">
        <f>IF($C142,$AZ142,"")</f>
      </c>
      <c r="AF142" s="202" t="b">
        <f>IF($C142,$AV142&lt;&gt;$AR142,FALSE)</f>
        <v>0</v>
      </c>
      <c r="AG142" s="202">
        <f>IF($C142,IF($AV142&lt;&gt;$AR142,$AW142,""),"")</f>
      </c>
      <c r="AH142" s="203">
        <f>IF($C142,IF(ISBLANK('Backlog General'!$K142),"",'Backlog General'!$K142),"")</f>
      </c>
      <c r="AI142" s="202">
        <f>IF($C142,$AV142*100000+ROW(),"")</f>
      </c>
      <c r="AJ142" s="202">
        <f>IF(AND($C142,ISNUMBER($H142)),$AA142*1000000-MEDIAN(-9999,$K142,9999)*100+(300-ROW()),"")</f>
      </c>
      <c r="AK142" s="202">
        <f>IF($C142,IF($J142="Completado",0,IF($K142&lt;0,1,IF($K142&lt;=3,0.9,IF($K142&lt;=7,0.7,IF($K142&lt;=14,0.45,0.2))))),"")</f>
      </c>
      <c r="AL142" s="202">
        <f>IF($C142,IF($J142="Completado",0,MEDIAN(0,MAX(-$V142,$W142/30),1)),"")</f>
      </c>
      <c r="AM142" s="202">
        <f>IF($C142,IF($J142="Completado",0,IF($Z142,1,IF(AND($I142&lt;0.5,$K142&lt;=7),0.7,0.3))),"")</f>
      </c>
      <c r="AN142" s="203">
        <f>IF($C142,IF(OR($V142&lt;-0.2,$W142&gt;0),"ATRASO ","")&amp;IF($Z142,"BLOQUEO ","")&amp;IF($Y142&gt;8,"SOBRECARGA ","")&amp;IF($X142&gt;0,"DESVÍO-PLAN ",""),"")</f>
      </c>
      <c r="AO142" s="203">
        <f>IF($C142,IFERROR(VLOOKUP($D142,'Sprints'!$I$5:$J$12,2,FALSE),"Semanal"),"")</f>
      </c>
      <c r="AP142" s="202">
        <f>IF($C142,IFERROR(VLOOKUP($AO142,'Sprints'!$B$9:$C$11,2,FALSE),1),"")</f>
      </c>
      <c r="AQ142" s="202">
        <f>IF($C142,'Sprints'!$C$5,"")</f>
      </c>
      <c r="AR142" s="202">
        <f>IF(AND($C142,ISNUMBER($H142)),CEILING(MAX(1,INT(($H142-$AQ142+'Sprints'!$D$5-1)/'Sprints'!$D$5)+1)/$AP142,1),"")</f>
      </c>
      <c r="AS142" s="202">
        <f>IF($C142,CEILING(MAX(1,INT((TODAY()-$AQ142+'Sprints'!$D$5-1)/'Sprints'!$D$5)+1)/$AP142,1),"")</f>
      </c>
      <c r="AT142" s="203">
        <f>IF($C142,'Backlog General'!$G142,"")</f>
      </c>
      <c r="AU142" s="203">
        <f>IF($C142,'Backlog General'!$H142,"")</f>
      </c>
      <c r="AV142" s="202">
        <f>IF(AND($C142,ISNUMBER($AR142)),IF(OR($AT142="Completo",$AU142="Cancelado",$AU142="Baja prioridad"),$AR142,IF($AU142="Pasa al siguiente",MAX($AR142+1,$AS142),MAX($AR142,$AS142))),"")</f>
      </c>
      <c r="AW142" s="202">
        <f>IF(AND($C142,ISNUMBER($AR142)),$AQ142+$AR142*$AP142*'Sprints'!$D$5-'Sprints'!$D$5,"")</f>
      </c>
      <c r="AX142" s="202">
        <f>IF($C142,IF(OR($AT142="Completo",$AU142="Cancelado",$AU142="Baja prioridad",NOT(ISNUMBER($AW142))),0,IF(TODAY()&gt;$AW142,NETWORKDAYS($AW142,TODAY(),'Sprints'!$L$5:$L$40)-1,0)),"")</f>
      </c>
      <c r="AY142" s="203">
        <f>IF($C142,IF(NOT(ISNUMBER($AR142)),"Sin fecha",IF($AT142="Completo","Completo",IF($AU142="Cancelado","Cancelado",IF($AU142="Baja prioridad","Baja prioridad",IF($AX142&gt;0,"Vencida","Pendiente"))))),"")</f>
      </c>
      <c r="AZ142" s="203">
        <f>IF($C142,IF(ISNUMBER($AV142),$AO142&amp;" · S"&amp;$AV142,"(Sin fecha)"),"")</f>
      </c>
      <c r="BA142" s="202">
        <f>IF($C142,IF(AND(ISNUMBER('Backlog General'!$M142),'Backlog General'!$M142=$AS142),"Nuevo S"&amp;'Backlog General'!$M142,""),"")</f>
      </c>
      <c r="BB142" s="202">
        <f>IF(AND($C142,$AO142="Semanal",ISNUMBER($AV142)),$AV142*100000+ROW(),"")</f>
      </c>
      <c r="BC142" s="202">
        <f>IF(AND($C142,$AO142="Quincenal",ISNUMBER($AV142)),$AV142*100000+ROW(),"")</f>
      </c>
      <c r="BD142" s="202">
        <f>IF(AND($C142,$AO142="Mensual",ISNUMBER($AV142)),$AV142*100000+ROW(),"")</f>
      </c>
      <c r="BE142" s="203">
        <f>IF($C142,IF(ISBLANK('Backlog General'!$J142),"",'Backlog General'!$J142),"")</f>
      </c>
      <c r="BF142" s="203">
        <f>IF($C142,IF($BE142="","",$BE142)&amp;IF(AND($BE142&lt;&gt;"",$AH142&lt;&gt;"")," · ","")&amp;IF($AH142="","",$AH142),"")</f>
      </c>
      <c r="BG142" s="203">
        <f>IF($C142,IF($J142="Completado","Sí","No"),"")</f>
      </c>
      <c r="BH142" s="202">
        <f>IF(AND($C142,ISNUMBER($AR142)),IF($AO142="Semanal",1,IF($AO142="Quincenal",2,3))*1000000000+$AR142*100000+ROW(),"")</f>
      </c>
    </row>
    <row r="143">
      <c r="A143" s="202">
        <f>ROW()</f>
        <v>143</v>
      </c>
      <c r="B143" s="202" t="b">
        <f>ISTEXT('Proyecto Datos (OKR´s)'!$K143)</f>
        <v>0</v>
      </c>
      <c r="C143" s="202" t="b">
        <f>AND(LEN('Proyecto Datos (OKR´s)'!$G143)&gt;0,NOT($B143),OR(ISNUMBER('Proyecto Datos (OKR´s)'!$F143),ISNUMBER('Proyecto Datos (OKR´s)'!$L143)))</f>
        <v>0</v>
      </c>
      <c r="D143" s="203">
        <f>IF($C143,IFERROR(LOOKUP(2,1/((ISTEXT('Proyecto Datos (OKR´s)'!$K$7:$K143))*(LEN('Proyecto Datos (OKR´s)'!$G$7:$G143)&gt;0)),'Proyecto Datos (OKR´s)'!$G$7:$G143),""),"")</f>
      </c>
      <c r="E143" s="202">
        <f>IF($C143,'Proyecto Datos (OKR´s)'!$E143,"")</f>
      </c>
      <c r="F143" s="203">
        <f>IF($C143,'Proyecto Datos (OKR´s)'!$G143,"")</f>
      </c>
      <c r="G143" s="203">
        <f>IF($C143,IF('Proyecto Datos (OKR´s)'!$I143="","(Sin asignar)",'Proyecto Datos (OKR´s)'!$I143),"")</f>
      </c>
      <c r="H143" s="202">
        <f>IF($C143,IF(ISNUMBER('Proyecto Datos (OKR´s)'!$F143),'Proyecto Datos (OKR´s)'!$F143,""),"")</f>
      </c>
      <c r="I143" s="202">
        <f>IF($C143,'Proyecto Datos (OKR´s)'!$J143,"")</f>
      </c>
      <c r="J143" s="203">
        <f>IF($C143,IF($I143&gt;=1,"Completado",IF(NOT(ISNUMBER($H143)),"Sin fecha",IF($H143&lt;TODAY(),"Vencido",IF(($H143-TODAY())&lt;='Entregas Próximas'!$M$3,"Próximo a vencer","En curso")))),"")</f>
      </c>
      <c r="K143" s="202">
        <f>IF(AND($C143,ISNUMBER($H143)),$H143-TODAY(),"")</f>
      </c>
      <c r="L143" s="202">
        <f>IF(AND($C143,ISNUMBER($H143)),$AD143*1000000+$H143+ROW()/100000,"")</f>
      </c>
      <c r="M143" s="202">
        <f>IF($C143,IF($AD143=9999,"(Sin sprint)",$AD143),"")</f>
      </c>
      <c r="N143" s="202">
        <f>IF($C143,IF('Proyecto Datos (OKR´s)'!$E143="",9999,'Proyecto Datos (OKR´s)'!$E143),"")</f>
      </c>
      <c r="O143" s="202">
        <f>IF($C143,"T"&amp;TEXT(ROW(),"000"),"")</f>
      </c>
      <c r="R143" s="202">
        <f>IF($C143,IF(ISNUMBER('Proyecto Datos (OKR´s)'!$L143),'Proyecto Datos (OKR´s)'!$L143,$H143),"")</f>
      </c>
      <c r="S143" s="202">
        <f>IF($C143,$R143-'Proyecto Datos (OKR´s)'!$K143+1,"")</f>
      </c>
      <c r="T143" s="202">
        <f>IF($C143,MAX(0,TODAY()-'Proyecto Datos (OKR´s)'!$K143),"")</f>
      </c>
      <c r="U143" s="202">
        <f>IF($C143,MEDIAN(0,(TODAY()-'Proyecto Datos (OKR´s)'!$K143)/MAX(1,$R143-'Proyecto Datos (OKR´s)'!$K143),1),"")</f>
      </c>
      <c r="V143" s="202">
        <f>IF($C143,$I143-$U143,"")</f>
      </c>
      <c r="W143" s="202">
        <f>IF($C143,IF(OR($J143="Completado",NOT(ISNUMBER($H143))),0,MAX(0,TODAY()-$H143)),"")</f>
      </c>
      <c r="X143" s="202">
        <f>IF($C143,IF(ISNUMBER($H143),$R143-$H143,0),"")</f>
      </c>
      <c r="Y143" s="202">
        <f>IF($C143,COUNTIFS($G$7:$G$200,$G143,$J$7:$J$200,"&lt;&gt;Completado",$J$7:$J$200,"&lt;&gt;"),"")</f>
      </c>
      <c r="Z143" s="202">
        <f>IF($C143,AND($I143=0,'Proyecto Datos (OKR´s)'!$K143&lt;=TODAY(),$J143&lt;&gt;"Completado"),"")</f>
      </c>
      <c r="AA143" s="202">
        <f>IF($C143,ROUND(100*(0.35*$AK143+0.3*$AL143+0.2*$AM143+0.15*MEDIAN(0,($Y143-4)/8,1)),0),"")</f>
      </c>
      <c r="AB143" s="203">
        <f>IF($C143,IF(OR($J143="Completado",$J143="Sin fecha"),"—",IF($AA143&gt;=70,"Crítica",IF($AA143&gt;=45,"Alta",IF($AA143&gt;=25,"Media","Baja")))),"")</f>
      </c>
      <c r="AC143" s="203">
        <f>IF($C143,IF(LEN(TRIM($AN143))=0,"—",TRIM($AN143)),"")</f>
      </c>
      <c r="AD143" s="202">
        <f>IF($C143,$AV143,"")</f>
      </c>
      <c r="AE143" s="202">
        <f>IF($C143,$AZ143,"")</f>
      </c>
      <c r="AF143" s="202" t="b">
        <f>IF($C143,$AV143&lt;&gt;$AR143,FALSE)</f>
        <v>0</v>
      </c>
      <c r="AG143" s="202">
        <f>IF($C143,IF($AV143&lt;&gt;$AR143,$AW143,""),"")</f>
      </c>
      <c r="AH143" s="203">
        <f>IF($C143,IF(ISBLANK('Backlog General'!$K143),"",'Backlog General'!$K143),"")</f>
      </c>
      <c r="AI143" s="202">
        <f>IF($C143,$AV143*100000+ROW(),"")</f>
      </c>
      <c r="AJ143" s="202">
        <f>IF(AND($C143,ISNUMBER($H143)),$AA143*1000000-MEDIAN(-9999,$K143,9999)*100+(300-ROW()),"")</f>
      </c>
      <c r="AK143" s="202">
        <f>IF($C143,IF($J143="Completado",0,IF($K143&lt;0,1,IF($K143&lt;=3,0.9,IF($K143&lt;=7,0.7,IF($K143&lt;=14,0.45,0.2))))),"")</f>
      </c>
      <c r="AL143" s="202">
        <f>IF($C143,IF($J143="Completado",0,MEDIAN(0,MAX(-$V143,$W143/30),1)),"")</f>
      </c>
      <c r="AM143" s="202">
        <f>IF($C143,IF($J143="Completado",0,IF($Z143,1,IF(AND($I143&lt;0.5,$K143&lt;=7),0.7,0.3))),"")</f>
      </c>
      <c r="AN143" s="203">
        <f>IF($C143,IF(OR($V143&lt;-0.2,$W143&gt;0),"ATRASO ","")&amp;IF($Z143,"BLOQUEO ","")&amp;IF($Y143&gt;8,"SOBRECARGA ","")&amp;IF($X143&gt;0,"DESVÍO-PLAN ",""),"")</f>
      </c>
      <c r="AO143" s="203">
        <f>IF($C143,IFERROR(VLOOKUP($D143,'Sprints'!$I$5:$J$12,2,FALSE),"Semanal"),"")</f>
      </c>
      <c r="AP143" s="202">
        <f>IF($C143,IFERROR(VLOOKUP($AO143,'Sprints'!$B$9:$C$11,2,FALSE),1),"")</f>
      </c>
      <c r="AQ143" s="202">
        <f>IF($C143,'Sprints'!$C$5,"")</f>
      </c>
      <c r="AR143" s="202">
        <f>IF(AND($C143,ISNUMBER($H143)),CEILING(MAX(1,INT(($H143-$AQ143+'Sprints'!$D$5-1)/'Sprints'!$D$5)+1)/$AP143,1),"")</f>
      </c>
      <c r="AS143" s="202">
        <f>IF($C143,CEILING(MAX(1,INT((TODAY()-$AQ143+'Sprints'!$D$5-1)/'Sprints'!$D$5)+1)/$AP143,1),"")</f>
      </c>
      <c r="AT143" s="203">
        <f>IF($C143,'Backlog General'!$G143,"")</f>
      </c>
      <c r="AU143" s="203">
        <f>IF($C143,'Backlog General'!$H143,"")</f>
      </c>
      <c r="AV143" s="202">
        <f>IF(AND($C143,ISNUMBER($AR143)),IF(OR($AT143="Completo",$AU143="Cancelado",$AU143="Baja prioridad"),$AR143,IF($AU143="Pasa al siguiente",MAX($AR143+1,$AS143),MAX($AR143,$AS143))),"")</f>
      </c>
      <c r="AW143" s="202">
        <f>IF(AND($C143,ISNUMBER($AR143)),$AQ143+$AR143*$AP143*'Sprints'!$D$5-'Sprints'!$D$5,"")</f>
      </c>
      <c r="AX143" s="202">
        <f>IF($C143,IF(OR($AT143="Completo",$AU143="Cancelado",$AU143="Baja prioridad",NOT(ISNUMBER($AW143))),0,IF(TODAY()&gt;$AW143,NETWORKDAYS($AW143,TODAY(),'Sprints'!$L$5:$L$40)-1,0)),"")</f>
      </c>
      <c r="AY143" s="203">
        <f>IF($C143,IF(NOT(ISNUMBER($AR143)),"Sin fecha",IF($AT143="Completo","Completo",IF($AU143="Cancelado","Cancelado",IF($AU143="Baja prioridad","Baja prioridad",IF($AX143&gt;0,"Vencida","Pendiente"))))),"")</f>
      </c>
      <c r="AZ143" s="203">
        <f>IF($C143,IF(ISNUMBER($AV143),$AO143&amp;" · S"&amp;$AV143,"(Sin fecha)"),"")</f>
      </c>
      <c r="BA143" s="202">
        <f>IF($C143,IF(AND(ISNUMBER('Backlog General'!$M143),'Backlog General'!$M143=$AS143),"Nuevo S"&amp;'Backlog General'!$M143,""),"")</f>
      </c>
      <c r="BB143" s="202">
        <f>IF(AND($C143,$AO143="Semanal",ISNUMBER($AV143)),$AV143*100000+ROW(),"")</f>
      </c>
      <c r="BC143" s="202">
        <f>IF(AND($C143,$AO143="Quincenal",ISNUMBER($AV143)),$AV143*100000+ROW(),"")</f>
      </c>
      <c r="BD143" s="202">
        <f>IF(AND($C143,$AO143="Mensual",ISNUMBER($AV143)),$AV143*100000+ROW(),"")</f>
      </c>
      <c r="BE143" s="203">
        <f>IF($C143,IF(ISBLANK('Backlog General'!$J143),"",'Backlog General'!$J143),"")</f>
      </c>
      <c r="BF143" s="203">
        <f>IF($C143,IF($BE143="","",$BE143)&amp;IF(AND($BE143&lt;&gt;"",$AH143&lt;&gt;"")," · ","")&amp;IF($AH143="","",$AH143),"")</f>
      </c>
      <c r="BG143" s="203">
        <f>IF($C143,IF($J143="Completado","Sí","No"),"")</f>
      </c>
      <c r="BH143" s="202">
        <f>IF(AND($C143,ISNUMBER($AR143)),IF($AO143="Semanal",1,IF($AO143="Quincenal",2,3))*1000000000+$AR143*100000+ROW(),"")</f>
      </c>
    </row>
    <row r="144">
      <c r="A144" s="202">
        <f>ROW()</f>
        <v>144</v>
      </c>
      <c r="B144" s="202" t="b">
        <f>ISTEXT('Proyecto Datos (OKR´s)'!$K144)</f>
        <v>0</v>
      </c>
      <c r="C144" s="202" t="b">
        <f>AND(LEN('Proyecto Datos (OKR´s)'!$G144)&gt;0,NOT($B144),OR(ISNUMBER('Proyecto Datos (OKR´s)'!$F144),ISNUMBER('Proyecto Datos (OKR´s)'!$L144)))</f>
        <v>0</v>
      </c>
      <c r="D144" s="203">
        <f>IF($C144,IFERROR(LOOKUP(2,1/((ISTEXT('Proyecto Datos (OKR´s)'!$K$7:$K144))*(LEN('Proyecto Datos (OKR´s)'!$G$7:$G144)&gt;0)),'Proyecto Datos (OKR´s)'!$G$7:$G144),""),"")</f>
      </c>
      <c r="E144" s="202">
        <f>IF($C144,'Proyecto Datos (OKR´s)'!$E144,"")</f>
      </c>
      <c r="F144" s="203">
        <f>IF($C144,'Proyecto Datos (OKR´s)'!$G144,"")</f>
      </c>
      <c r="G144" s="203">
        <f>IF($C144,IF('Proyecto Datos (OKR´s)'!$I144="","(Sin asignar)",'Proyecto Datos (OKR´s)'!$I144),"")</f>
      </c>
      <c r="H144" s="202">
        <f>IF($C144,IF(ISNUMBER('Proyecto Datos (OKR´s)'!$F144),'Proyecto Datos (OKR´s)'!$F144,""),"")</f>
      </c>
      <c r="I144" s="202">
        <f>IF($C144,'Proyecto Datos (OKR´s)'!$J144,"")</f>
      </c>
      <c r="J144" s="203">
        <f>IF($C144,IF($I144&gt;=1,"Completado",IF(NOT(ISNUMBER($H144)),"Sin fecha",IF($H144&lt;TODAY(),"Vencido",IF(($H144-TODAY())&lt;='Entregas Próximas'!$M$3,"Próximo a vencer","En curso")))),"")</f>
      </c>
      <c r="K144" s="202">
        <f>IF(AND($C144,ISNUMBER($H144)),$H144-TODAY(),"")</f>
      </c>
      <c r="L144" s="202">
        <f>IF(AND($C144,ISNUMBER($H144)),$AD144*1000000+$H144+ROW()/100000,"")</f>
      </c>
      <c r="M144" s="202">
        <f>IF($C144,IF($AD144=9999,"(Sin sprint)",$AD144),"")</f>
      </c>
      <c r="N144" s="202">
        <f>IF($C144,IF('Proyecto Datos (OKR´s)'!$E144="",9999,'Proyecto Datos (OKR´s)'!$E144),"")</f>
      </c>
      <c r="O144" s="202">
        <f>IF($C144,"T"&amp;TEXT(ROW(),"000"),"")</f>
      </c>
      <c r="R144" s="202">
        <f>IF($C144,IF(ISNUMBER('Proyecto Datos (OKR´s)'!$L144),'Proyecto Datos (OKR´s)'!$L144,$H144),"")</f>
      </c>
      <c r="S144" s="202">
        <f>IF($C144,$R144-'Proyecto Datos (OKR´s)'!$K144+1,"")</f>
      </c>
      <c r="T144" s="202">
        <f>IF($C144,MAX(0,TODAY()-'Proyecto Datos (OKR´s)'!$K144),"")</f>
      </c>
      <c r="U144" s="202">
        <f>IF($C144,MEDIAN(0,(TODAY()-'Proyecto Datos (OKR´s)'!$K144)/MAX(1,$R144-'Proyecto Datos (OKR´s)'!$K144),1),"")</f>
      </c>
      <c r="V144" s="202">
        <f>IF($C144,$I144-$U144,"")</f>
      </c>
      <c r="W144" s="202">
        <f>IF($C144,IF(OR($J144="Completado",NOT(ISNUMBER($H144))),0,MAX(0,TODAY()-$H144)),"")</f>
      </c>
      <c r="X144" s="202">
        <f>IF($C144,IF(ISNUMBER($H144),$R144-$H144,0),"")</f>
      </c>
      <c r="Y144" s="202">
        <f>IF($C144,COUNTIFS($G$7:$G$200,$G144,$J$7:$J$200,"&lt;&gt;Completado",$J$7:$J$200,"&lt;&gt;"),"")</f>
      </c>
      <c r="Z144" s="202">
        <f>IF($C144,AND($I144=0,'Proyecto Datos (OKR´s)'!$K144&lt;=TODAY(),$J144&lt;&gt;"Completado"),"")</f>
      </c>
      <c r="AA144" s="202">
        <f>IF($C144,ROUND(100*(0.35*$AK144+0.3*$AL144+0.2*$AM144+0.15*MEDIAN(0,($Y144-4)/8,1)),0),"")</f>
      </c>
      <c r="AB144" s="203">
        <f>IF($C144,IF(OR($J144="Completado",$J144="Sin fecha"),"—",IF($AA144&gt;=70,"Crítica",IF($AA144&gt;=45,"Alta",IF($AA144&gt;=25,"Media","Baja")))),"")</f>
      </c>
      <c r="AC144" s="203">
        <f>IF($C144,IF(LEN(TRIM($AN144))=0,"—",TRIM($AN144)),"")</f>
      </c>
      <c r="AD144" s="202">
        <f>IF($C144,$AV144,"")</f>
      </c>
      <c r="AE144" s="202">
        <f>IF($C144,$AZ144,"")</f>
      </c>
      <c r="AF144" s="202" t="b">
        <f>IF($C144,$AV144&lt;&gt;$AR144,FALSE)</f>
        <v>0</v>
      </c>
      <c r="AG144" s="202">
        <f>IF($C144,IF($AV144&lt;&gt;$AR144,$AW144,""),"")</f>
      </c>
      <c r="AH144" s="203">
        <f>IF($C144,IF(ISBLANK('Backlog General'!$K144),"",'Backlog General'!$K144),"")</f>
      </c>
      <c r="AI144" s="202">
        <f>IF($C144,$AV144*100000+ROW(),"")</f>
      </c>
      <c r="AJ144" s="202">
        <f>IF(AND($C144,ISNUMBER($H144)),$AA144*1000000-MEDIAN(-9999,$K144,9999)*100+(300-ROW()),"")</f>
      </c>
      <c r="AK144" s="202">
        <f>IF($C144,IF($J144="Completado",0,IF($K144&lt;0,1,IF($K144&lt;=3,0.9,IF($K144&lt;=7,0.7,IF($K144&lt;=14,0.45,0.2))))),"")</f>
      </c>
      <c r="AL144" s="202">
        <f>IF($C144,IF($J144="Completado",0,MEDIAN(0,MAX(-$V144,$W144/30),1)),"")</f>
      </c>
      <c r="AM144" s="202">
        <f>IF($C144,IF($J144="Completado",0,IF($Z144,1,IF(AND($I144&lt;0.5,$K144&lt;=7),0.7,0.3))),"")</f>
      </c>
      <c r="AN144" s="203">
        <f>IF($C144,IF(OR($V144&lt;-0.2,$W144&gt;0),"ATRASO ","")&amp;IF($Z144,"BLOQUEO ","")&amp;IF($Y144&gt;8,"SOBRECARGA ","")&amp;IF($X144&gt;0,"DESVÍO-PLAN ",""),"")</f>
      </c>
      <c r="AO144" s="203">
        <f>IF($C144,IFERROR(VLOOKUP($D144,'Sprints'!$I$5:$J$12,2,FALSE),"Semanal"),"")</f>
      </c>
      <c r="AP144" s="202">
        <f>IF($C144,IFERROR(VLOOKUP($AO144,'Sprints'!$B$9:$C$11,2,FALSE),1),"")</f>
      </c>
      <c r="AQ144" s="202">
        <f>IF($C144,'Sprints'!$C$5,"")</f>
      </c>
      <c r="AR144" s="202">
        <f>IF(AND($C144,ISNUMBER($H144)),CEILING(MAX(1,INT(($H144-$AQ144+'Sprints'!$D$5-1)/'Sprints'!$D$5)+1)/$AP144,1),"")</f>
      </c>
      <c r="AS144" s="202">
        <f>IF($C144,CEILING(MAX(1,INT((TODAY()-$AQ144+'Sprints'!$D$5-1)/'Sprints'!$D$5)+1)/$AP144,1),"")</f>
      </c>
      <c r="AT144" s="203">
        <f>IF($C144,'Backlog General'!$G144,"")</f>
      </c>
      <c r="AU144" s="203">
        <f>IF($C144,'Backlog General'!$H144,"")</f>
      </c>
      <c r="AV144" s="202">
        <f>IF(AND($C144,ISNUMBER($AR144)),IF(OR($AT144="Completo",$AU144="Cancelado",$AU144="Baja prioridad"),$AR144,IF($AU144="Pasa al siguiente",MAX($AR144+1,$AS144),MAX($AR144,$AS144))),"")</f>
      </c>
      <c r="AW144" s="202">
        <f>IF(AND($C144,ISNUMBER($AR144)),$AQ144+$AR144*$AP144*'Sprints'!$D$5-'Sprints'!$D$5,"")</f>
      </c>
      <c r="AX144" s="202">
        <f>IF($C144,IF(OR($AT144="Completo",$AU144="Cancelado",$AU144="Baja prioridad",NOT(ISNUMBER($AW144))),0,IF(TODAY()&gt;$AW144,NETWORKDAYS($AW144,TODAY(),'Sprints'!$L$5:$L$40)-1,0)),"")</f>
      </c>
      <c r="AY144" s="203">
        <f>IF($C144,IF(NOT(ISNUMBER($AR144)),"Sin fecha",IF($AT144="Completo","Completo",IF($AU144="Cancelado","Cancelado",IF($AU144="Baja prioridad","Baja prioridad",IF($AX144&gt;0,"Vencida","Pendiente"))))),"")</f>
      </c>
      <c r="AZ144" s="203">
        <f>IF($C144,IF(ISNUMBER($AV144),$AO144&amp;" · S"&amp;$AV144,"(Sin fecha)"),"")</f>
      </c>
      <c r="BA144" s="202">
        <f>IF($C144,IF(AND(ISNUMBER('Backlog General'!$M144),'Backlog General'!$M144=$AS144),"Nuevo S"&amp;'Backlog General'!$M144,""),"")</f>
      </c>
      <c r="BB144" s="202">
        <f>IF(AND($C144,$AO144="Semanal",ISNUMBER($AV144)),$AV144*100000+ROW(),"")</f>
      </c>
      <c r="BC144" s="202">
        <f>IF(AND($C144,$AO144="Quincenal",ISNUMBER($AV144)),$AV144*100000+ROW(),"")</f>
      </c>
      <c r="BD144" s="202">
        <f>IF(AND($C144,$AO144="Mensual",ISNUMBER($AV144)),$AV144*100000+ROW(),"")</f>
      </c>
      <c r="BE144" s="203">
        <f>IF($C144,IF(ISBLANK('Backlog General'!$J144),"",'Backlog General'!$J144),"")</f>
      </c>
      <c r="BF144" s="203">
        <f>IF($C144,IF($BE144="","",$BE144)&amp;IF(AND($BE144&lt;&gt;"",$AH144&lt;&gt;"")," · ","")&amp;IF($AH144="","",$AH144),"")</f>
      </c>
      <c r="BG144" s="203">
        <f>IF($C144,IF($J144="Completado","Sí","No"),"")</f>
      </c>
      <c r="BH144" s="202">
        <f>IF(AND($C144,ISNUMBER($AR144)),IF($AO144="Semanal",1,IF($AO144="Quincenal",2,3))*1000000000+$AR144*100000+ROW(),"")</f>
      </c>
    </row>
    <row r="145">
      <c r="A145" s="202">
        <f>ROW()</f>
        <v>145</v>
      </c>
      <c r="B145" s="202" t="b">
        <f>ISTEXT('Proyecto Datos (OKR´s)'!$K145)</f>
        <v>0</v>
      </c>
      <c r="C145" s="202" t="b">
        <f>AND(LEN('Proyecto Datos (OKR´s)'!$G145)&gt;0,NOT($B145),OR(ISNUMBER('Proyecto Datos (OKR´s)'!$F145),ISNUMBER('Proyecto Datos (OKR´s)'!$L145)))</f>
        <v>0</v>
      </c>
      <c r="D145" s="203">
        <f>IF($C145,IFERROR(LOOKUP(2,1/((ISTEXT('Proyecto Datos (OKR´s)'!$K$7:$K145))*(LEN('Proyecto Datos (OKR´s)'!$G$7:$G145)&gt;0)),'Proyecto Datos (OKR´s)'!$G$7:$G145),""),"")</f>
      </c>
      <c r="E145" s="202">
        <f>IF($C145,'Proyecto Datos (OKR´s)'!$E145,"")</f>
      </c>
      <c r="F145" s="203">
        <f>IF($C145,'Proyecto Datos (OKR´s)'!$G145,"")</f>
      </c>
      <c r="G145" s="203">
        <f>IF($C145,IF('Proyecto Datos (OKR´s)'!$I145="","(Sin asignar)",'Proyecto Datos (OKR´s)'!$I145),"")</f>
      </c>
      <c r="H145" s="202">
        <f>IF($C145,IF(ISNUMBER('Proyecto Datos (OKR´s)'!$F145),'Proyecto Datos (OKR´s)'!$F145,""),"")</f>
      </c>
      <c r="I145" s="202">
        <f>IF($C145,'Proyecto Datos (OKR´s)'!$J145,"")</f>
      </c>
      <c r="J145" s="203">
        <f>IF($C145,IF($I145&gt;=1,"Completado",IF(NOT(ISNUMBER($H145)),"Sin fecha",IF($H145&lt;TODAY(),"Vencido",IF(($H145-TODAY())&lt;='Entregas Próximas'!$M$3,"Próximo a vencer","En curso")))),"")</f>
      </c>
      <c r="K145" s="202">
        <f>IF(AND($C145,ISNUMBER($H145)),$H145-TODAY(),"")</f>
      </c>
      <c r="L145" s="202">
        <f>IF(AND($C145,ISNUMBER($H145)),$AD145*1000000+$H145+ROW()/100000,"")</f>
      </c>
      <c r="M145" s="202">
        <f>IF($C145,IF($AD145=9999,"(Sin sprint)",$AD145),"")</f>
      </c>
      <c r="N145" s="202">
        <f>IF($C145,IF('Proyecto Datos (OKR´s)'!$E145="",9999,'Proyecto Datos (OKR´s)'!$E145),"")</f>
      </c>
      <c r="O145" s="202">
        <f>IF($C145,"T"&amp;TEXT(ROW(),"000"),"")</f>
      </c>
      <c r="R145" s="202">
        <f>IF($C145,IF(ISNUMBER('Proyecto Datos (OKR´s)'!$L145),'Proyecto Datos (OKR´s)'!$L145,$H145),"")</f>
      </c>
      <c r="S145" s="202">
        <f>IF($C145,$R145-'Proyecto Datos (OKR´s)'!$K145+1,"")</f>
      </c>
      <c r="T145" s="202">
        <f>IF($C145,MAX(0,TODAY()-'Proyecto Datos (OKR´s)'!$K145),"")</f>
      </c>
      <c r="U145" s="202">
        <f>IF($C145,MEDIAN(0,(TODAY()-'Proyecto Datos (OKR´s)'!$K145)/MAX(1,$R145-'Proyecto Datos (OKR´s)'!$K145),1),"")</f>
      </c>
      <c r="V145" s="202">
        <f>IF($C145,$I145-$U145,"")</f>
      </c>
      <c r="W145" s="202">
        <f>IF($C145,IF(OR($J145="Completado",NOT(ISNUMBER($H145))),0,MAX(0,TODAY()-$H145)),"")</f>
      </c>
      <c r="X145" s="202">
        <f>IF($C145,IF(ISNUMBER($H145),$R145-$H145,0),"")</f>
      </c>
      <c r="Y145" s="202">
        <f>IF($C145,COUNTIFS($G$7:$G$200,$G145,$J$7:$J$200,"&lt;&gt;Completado",$J$7:$J$200,"&lt;&gt;"),"")</f>
      </c>
      <c r="Z145" s="202">
        <f>IF($C145,AND($I145=0,'Proyecto Datos (OKR´s)'!$K145&lt;=TODAY(),$J145&lt;&gt;"Completado"),"")</f>
      </c>
      <c r="AA145" s="202">
        <f>IF($C145,ROUND(100*(0.35*$AK145+0.3*$AL145+0.2*$AM145+0.15*MEDIAN(0,($Y145-4)/8,1)),0),"")</f>
      </c>
      <c r="AB145" s="203">
        <f>IF($C145,IF(OR($J145="Completado",$J145="Sin fecha"),"—",IF($AA145&gt;=70,"Crítica",IF($AA145&gt;=45,"Alta",IF($AA145&gt;=25,"Media","Baja")))),"")</f>
      </c>
      <c r="AC145" s="203">
        <f>IF($C145,IF(LEN(TRIM($AN145))=0,"—",TRIM($AN145)),"")</f>
      </c>
      <c r="AD145" s="202">
        <f>IF($C145,$AV145,"")</f>
      </c>
      <c r="AE145" s="202">
        <f>IF($C145,$AZ145,"")</f>
      </c>
      <c r="AF145" s="202" t="b">
        <f>IF($C145,$AV145&lt;&gt;$AR145,FALSE)</f>
        <v>0</v>
      </c>
      <c r="AG145" s="202">
        <f>IF($C145,IF($AV145&lt;&gt;$AR145,$AW145,""),"")</f>
      </c>
      <c r="AH145" s="203">
        <f>IF($C145,IF(ISBLANK('Backlog General'!$K145),"",'Backlog General'!$K145),"")</f>
      </c>
      <c r="AI145" s="202">
        <f>IF($C145,$AV145*100000+ROW(),"")</f>
      </c>
      <c r="AJ145" s="202">
        <f>IF(AND($C145,ISNUMBER($H145)),$AA145*1000000-MEDIAN(-9999,$K145,9999)*100+(300-ROW()),"")</f>
      </c>
      <c r="AK145" s="202">
        <f>IF($C145,IF($J145="Completado",0,IF($K145&lt;0,1,IF($K145&lt;=3,0.9,IF($K145&lt;=7,0.7,IF($K145&lt;=14,0.45,0.2))))),"")</f>
      </c>
      <c r="AL145" s="202">
        <f>IF($C145,IF($J145="Completado",0,MEDIAN(0,MAX(-$V145,$W145/30),1)),"")</f>
      </c>
      <c r="AM145" s="202">
        <f>IF($C145,IF($J145="Completado",0,IF($Z145,1,IF(AND($I145&lt;0.5,$K145&lt;=7),0.7,0.3))),"")</f>
      </c>
      <c r="AN145" s="203">
        <f>IF($C145,IF(OR($V145&lt;-0.2,$W145&gt;0),"ATRASO ","")&amp;IF($Z145,"BLOQUEO ","")&amp;IF($Y145&gt;8,"SOBRECARGA ","")&amp;IF($X145&gt;0,"DESVÍO-PLAN ",""),"")</f>
      </c>
      <c r="AO145" s="203">
        <f>IF($C145,IFERROR(VLOOKUP($D145,'Sprints'!$I$5:$J$12,2,FALSE),"Semanal"),"")</f>
      </c>
      <c r="AP145" s="202">
        <f>IF($C145,IFERROR(VLOOKUP($AO145,'Sprints'!$B$9:$C$11,2,FALSE),1),"")</f>
      </c>
      <c r="AQ145" s="202">
        <f>IF($C145,'Sprints'!$C$5,"")</f>
      </c>
      <c r="AR145" s="202">
        <f>IF(AND($C145,ISNUMBER($H145)),CEILING(MAX(1,INT(($H145-$AQ145+'Sprints'!$D$5-1)/'Sprints'!$D$5)+1)/$AP145,1),"")</f>
      </c>
      <c r="AS145" s="202">
        <f>IF($C145,CEILING(MAX(1,INT((TODAY()-$AQ145+'Sprints'!$D$5-1)/'Sprints'!$D$5)+1)/$AP145,1),"")</f>
      </c>
      <c r="AT145" s="203">
        <f>IF($C145,'Backlog General'!$G145,"")</f>
      </c>
      <c r="AU145" s="203">
        <f>IF($C145,'Backlog General'!$H145,"")</f>
      </c>
      <c r="AV145" s="202">
        <f>IF(AND($C145,ISNUMBER($AR145)),IF(OR($AT145="Completo",$AU145="Cancelado",$AU145="Baja prioridad"),$AR145,IF($AU145="Pasa al siguiente",MAX($AR145+1,$AS145),MAX($AR145,$AS145))),"")</f>
      </c>
      <c r="AW145" s="202">
        <f>IF(AND($C145,ISNUMBER($AR145)),$AQ145+$AR145*$AP145*'Sprints'!$D$5-'Sprints'!$D$5,"")</f>
      </c>
      <c r="AX145" s="202">
        <f>IF($C145,IF(OR($AT145="Completo",$AU145="Cancelado",$AU145="Baja prioridad",NOT(ISNUMBER($AW145))),0,IF(TODAY()&gt;$AW145,NETWORKDAYS($AW145,TODAY(),'Sprints'!$L$5:$L$40)-1,0)),"")</f>
      </c>
      <c r="AY145" s="203">
        <f>IF($C145,IF(NOT(ISNUMBER($AR145)),"Sin fecha",IF($AT145="Completo","Completo",IF($AU145="Cancelado","Cancelado",IF($AU145="Baja prioridad","Baja prioridad",IF($AX145&gt;0,"Vencida","Pendiente"))))),"")</f>
      </c>
      <c r="AZ145" s="203">
        <f>IF($C145,IF(ISNUMBER($AV145),$AO145&amp;" · S"&amp;$AV145,"(Sin fecha)"),"")</f>
      </c>
      <c r="BA145" s="202">
        <f>IF($C145,IF(AND(ISNUMBER('Backlog General'!$M145),'Backlog General'!$M145=$AS145),"Nuevo S"&amp;'Backlog General'!$M145,""),"")</f>
      </c>
      <c r="BB145" s="202">
        <f>IF(AND($C145,$AO145="Semanal",ISNUMBER($AV145)),$AV145*100000+ROW(),"")</f>
      </c>
      <c r="BC145" s="202">
        <f>IF(AND($C145,$AO145="Quincenal",ISNUMBER($AV145)),$AV145*100000+ROW(),"")</f>
      </c>
      <c r="BD145" s="202">
        <f>IF(AND($C145,$AO145="Mensual",ISNUMBER($AV145)),$AV145*100000+ROW(),"")</f>
      </c>
      <c r="BE145" s="203">
        <f>IF($C145,IF(ISBLANK('Backlog General'!$J145),"",'Backlog General'!$J145),"")</f>
      </c>
      <c r="BF145" s="203">
        <f>IF($C145,IF($BE145="","",$BE145)&amp;IF(AND($BE145&lt;&gt;"",$AH145&lt;&gt;"")," · ","")&amp;IF($AH145="","",$AH145),"")</f>
      </c>
      <c r="BG145" s="203">
        <f>IF($C145,IF($J145="Completado","Sí","No"),"")</f>
      </c>
      <c r="BH145" s="202">
        <f>IF(AND($C145,ISNUMBER($AR145)),IF($AO145="Semanal",1,IF($AO145="Quincenal",2,3))*1000000000+$AR145*100000+ROW(),"")</f>
      </c>
    </row>
    <row r="146">
      <c r="A146" s="202">
        <f>ROW()</f>
        <v>146</v>
      </c>
      <c r="B146" s="202" t="b">
        <f>ISTEXT('Proyecto Datos (OKR´s)'!$K146)</f>
        <v>0</v>
      </c>
      <c r="C146" s="202" t="b">
        <f>AND(LEN('Proyecto Datos (OKR´s)'!$G146)&gt;0,NOT($B146),OR(ISNUMBER('Proyecto Datos (OKR´s)'!$F146),ISNUMBER('Proyecto Datos (OKR´s)'!$L146)))</f>
        <v>0</v>
      </c>
      <c r="D146" s="203">
        <f>IF($C146,IFERROR(LOOKUP(2,1/((ISTEXT('Proyecto Datos (OKR´s)'!$K$7:$K146))*(LEN('Proyecto Datos (OKR´s)'!$G$7:$G146)&gt;0)),'Proyecto Datos (OKR´s)'!$G$7:$G146),""),"")</f>
      </c>
      <c r="E146" s="202">
        <f>IF($C146,'Proyecto Datos (OKR´s)'!$E146,"")</f>
      </c>
      <c r="F146" s="203">
        <f>IF($C146,'Proyecto Datos (OKR´s)'!$G146,"")</f>
      </c>
      <c r="G146" s="203">
        <f>IF($C146,IF('Proyecto Datos (OKR´s)'!$I146="","(Sin asignar)",'Proyecto Datos (OKR´s)'!$I146),"")</f>
      </c>
      <c r="H146" s="202">
        <f>IF($C146,IF(ISNUMBER('Proyecto Datos (OKR´s)'!$F146),'Proyecto Datos (OKR´s)'!$F146,""),"")</f>
      </c>
      <c r="I146" s="202">
        <f>IF($C146,'Proyecto Datos (OKR´s)'!$J146,"")</f>
      </c>
      <c r="J146" s="203">
        <f>IF($C146,IF($I146&gt;=1,"Completado",IF(NOT(ISNUMBER($H146)),"Sin fecha",IF($H146&lt;TODAY(),"Vencido",IF(($H146-TODAY())&lt;='Entregas Próximas'!$M$3,"Próximo a vencer","En curso")))),"")</f>
      </c>
      <c r="K146" s="202">
        <f>IF(AND($C146,ISNUMBER($H146)),$H146-TODAY(),"")</f>
      </c>
      <c r="L146" s="202">
        <f>IF(AND($C146,ISNUMBER($H146)),$AD146*1000000+$H146+ROW()/100000,"")</f>
      </c>
      <c r="M146" s="202">
        <f>IF($C146,IF($AD146=9999,"(Sin sprint)",$AD146),"")</f>
      </c>
      <c r="N146" s="202">
        <f>IF($C146,IF('Proyecto Datos (OKR´s)'!$E146="",9999,'Proyecto Datos (OKR´s)'!$E146),"")</f>
      </c>
      <c r="O146" s="202">
        <f>IF($C146,"T"&amp;TEXT(ROW(),"000"),"")</f>
      </c>
      <c r="R146" s="202">
        <f>IF($C146,IF(ISNUMBER('Proyecto Datos (OKR´s)'!$L146),'Proyecto Datos (OKR´s)'!$L146,$H146),"")</f>
      </c>
      <c r="S146" s="202">
        <f>IF($C146,$R146-'Proyecto Datos (OKR´s)'!$K146+1,"")</f>
      </c>
      <c r="T146" s="202">
        <f>IF($C146,MAX(0,TODAY()-'Proyecto Datos (OKR´s)'!$K146),"")</f>
      </c>
      <c r="U146" s="202">
        <f>IF($C146,MEDIAN(0,(TODAY()-'Proyecto Datos (OKR´s)'!$K146)/MAX(1,$R146-'Proyecto Datos (OKR´s)'!$K146),1),"")</f>
      </c>
      <c r="V146" s="202">
        <f>IF($C146,$I146-$U146,"")</f>
      </c>
      <c r="W146" s="202">
        <f>IF($C146,IF(OR($J146="Completado",NOT(ISNUMBER($H146))),0,MAX(0,TODAY()-$H146)),"")</f>
      </c>
      <c r="X146" s="202">
        <f>IF($C146,IF(ISNUMBER($H146),$R146-$H146,0),"")</f>
      </c>
      <c r="Y146" s="202">
        <f>IF($C146,COUNTIFS($G$7:$G$200,$G146,$J$7:$J$200,"&lt;&gt;Completado",$J$7:$J$200,"&lt;&gt;"),"")</f>
      </c>
      <c r="Z146" s="202">
        <f>IF($C146,AND($I146=0,'Proyecto Datos (OKR´s)'!$K146&lt;=TODAY(),$J146&lt;&gt;"Completado"),"")</f>
      </c>
      <c r="AA146" s="202">
        <f>IF($C146,ROUND(100*(0.35*$AK146+0.3*$AL146+0.2*$AM146+0.15*MEDIAN(0,($Y146-4)/8,1)),0),"")</f>
      </c>
      <c r="AB146" s="203">
        <f>IF($C146,IF(OR($J146="Completado",$J146="Sin fecha"),"—",IF($AA146&gt;=70,"Crítica",IF($AA146&gt;=45,"Alta",IF($AA146&gt;=25,"Media","Baja")))),"")</f>
      </c>
      <c r="AC146" s="203">
        <f>IF($C146,IF(LEN(TRIM($AN146))=0,"—",TRIM($AN146)),"")</f>
      </c>
      <c r="AD146" s="202">
        <f>IF($C146,$AV146,"")</f>
      </c>
      <c r="AE146" s="202">
        <f>IF($C146,$AZ146,"")</f>
      </c>
      <c r="AF146" s="202" t="b">
        <f>IF($C146,$AV146&lt;&gt;$AR146,FALSE)</f>
        <v>0</v>
      </c>
      <c r="AG146" s="202">
        <f>IF($C146,IF($AV146&lt;&gt;$AR146,$AW146,""),"")</f>
      </c>
      <c r="AH146" s="203">
        <f>IF($C146,IF(ISBLANK('Backlog General'!$K146),"",'Backlog General'!$K146),"")</f>
      </c>
      <c r="AI146" s="202">
        <f>IF($C146,$AV146*100000+ROW(),"")</f>
      </c>
      <c r="AJ146" s="202">
        <f>IF(AND($C146,ISNUMBER($H146)),$AA146*1000000-MEDIAN(-9999,$K146,9999)*100+(300-ROW()),"")</f>
      </c>
      <c r="AK146" s="202">
        <f>IF($C146,IF($J146="Completado",0,IF($K146&lt;0,1,IF($K146&lt;=3,0.9,IF($K146&lt;=7,0.7,IF($K146&lt;=14,0.45,0.2))))),"")</f>
      </c>
      <c r="AL146" s="202">
        <f>IF($C146,IF($J146="Completado",0,MEDIAN(0,MAX(-$V146,$W146/30),1)),"")</f>
      </c>
      <c r="AM146" s="202">
        <f>IF($C146,IF($J146="Completado",0,IF($Z146,1,IF(AND($I146&lt;0.5,$K146&lt;=7),0.7,0.3))),"")</f>
      </c>
      <c r="AN146" s="203">
        <f>IF($C146,IF(OR($V146&lt;-0.2,$W146&gt;0),"ATRASO ","")&amp;IF($Z146,"BLOQUEO ","")&amp;IF($Y146&gt;8,"SOBRECARGA ","")&amp;IF($X146&gt;0,"DESVÍO-PLAN ",""),"")</f>
      </c>
      <c r="AO146" s="203">
        <f>IF($C146,IFERROR(VLOOKUP($D146,'Sprints'!$I$5:$J$12,2,FALSE),"Semanal"),"")</f>
      </c>
      <c r="AP146" s="202">
        <f>IF($C146,IFERROR(VLOOKUP($AO146,'Sprints'!$B$9:$C$11,2,FALSE),1),"")</f>
      </c>
      <c r="AQ146" s="202">
        <f>IF($C146,'Sprints'!$C$5,"")</f>
      </c>
      <c r="AR146" s="202">
        <f>IF(AND($C146,ISNUMBER($H146)),CEILING(MAX(1,INT(($H146-$AQ146+'Sprints'!$D$5-1)/'Sprints'!$D$5)+1)/$AP146,1),"")</f>
      </c>
      <c r="AS146" s="202">
        <f>IF($C146,CEILING(MAX(1,INT((TODAY()-$AQ146+'Sprints'!$D$5-1)/'Sprints'!$D$5)+1)/$AP146,1),"")</f>
      </c>
      <c r="AT146" s="203">
        <f>IF($C146,'Backlog General'!$G146,"")</f>
      </c>
      <c r="AU146" s="203">
        <f>IF($C146,'Backlog General'!$H146,"")</f>
      </c>
      <c r="AV146" s="202">
        <f>IF(AND($C146,ISNUMBER($AR146)),IF(OR($AT146="Completo",$AU146="Cancelado",$AU146="Baja prioridad"),$AR146,IF($AU146="Pasa al siguiente",MAX($AR146+1,$AS146),MAX($AR146,$AS146))),"")</f>
      </c>
      <c r="AW146" s="202">
        <f>IF(AND($C146,ISNUMBER($AR146)),$AQ146+$AR146*$AP146*'Sprints'!$D$5-'Sprints'!$D$5,"")</f>
      </c>
      <c r="AX146" s="202">
        <f>IF($C146,IF(OR($AT146="Completo",$AU146="Cancelado",$AU146="Baja prioridad",NOT(ISNUMBER($AW146))),0,IF(TODAY()&gt;$AW146,NETWORKDAYS($AW146,TODAY(),'Sprints'!$L$5:$L$40)-1,0)),"")</f>
      </c>
      <c r="AY146" s="203">
        <f>IF($C146,IF(NOT(ISNUMBER($AR146)),"Sin fecha",IF($AT146="Completo","Completo",IF($AU146="Cancelado","Cancelado",IF($AU146="Baja prioridad","Baja prioridad",IF($AX146&gt;0,"Vencida","Pendiente"))))),"")</f>
      </c>
      <c r="AZ146" s="203">
        <f>IF($C146,IF(ISNUMBER($AV146),$AO146&amp;" · S"&amp;$AV146,"(Sin fecha)"),"")</f>
      </c>
      <c r="BA146" s="202">
        <f>IF($C146,IF(AND(ISNUMBER('Backlog General'!$M146),'Backlog General'!$M146=$AS146),"Nuevo S"&amp;'Backlog General'!$M146,""),"")</f>
      </c>
      <c r="BB146" s="202">
        <f>IF(AND($C146,$AO146="Semanal",ISNUMBER($AV146)),$AV146*100000+ROW(),"")</f>
      </c>
      <c r="BC146" s="202">
        <f>IF(AND($C146,$AO146="Quincenal",ISNUMBER($AV146)),$AV146*100000+ROW(),"")</f>
      </c>
      <c r="BD146" s="202">
        <f>IF(AND($C146,$AO146="Mensual",ISNUMBER($AV146)),$AV146*100000+ROW(),"")</f>
      </c>
      <c r="BE146" s="203">
        <f>IF($C146,IF(ISBLANK('Backlog General'!$J146),"",'Backlog General'!$J146),"")</f>
      </c>
      <c r="BF146" s="203">
        <f>IF($C146,IF($BE146="","",$BE146)&amp;IF(AND($BE146&lt;&gt;"",$AH146&lt;&gt;"")," · ","")&amp;IF($AH146="","",$AH146),"")</f>
      </c>
      <c r="BG146" s="203">
        <f>IF($C146,IF($J146="Completado","Sí","No"),"")</f>
      </c>
      <c r="BH146" s="202">
        <f>IF(AND($C146,ISNUMBER($AR146)),IF($AO146="Semanal",1,IF($AO146="Quincenal",2,3))*1000000000+$AR146*100000+ROW(),"")</f>
      </c>
    </row>
    <row r="147">
      <c r="A147" s="202">
        <f>ROW()</f>
        <v>147</v>
      </c>
      <c r="B147" s="202" t="b">
        <f>ISTEXT('Proyecto Datos (OKR´s)'!$K147)</f>
        <v>0</v>
      </c>
      <c r="C147" s="202" t="b">
        <f>AND(LEN('Proyecto Datos (OKR´s)'!$G147)&gt;0,NOT($B147),OR(ISNUMBER('Proyecto Datos (OKR´s)'!$F147),ISNUMBER('Proyecto Datos (OKR´s)'!$L147)))</f>
        <v>0</v>
      </c>
      <c r="D147" s="203">
        <f>IF($C147,IFERROR(LOOKUP(2,1/((ISTEXT('Proyecto Datos (OKR´s)'!$K$7:$K147))*(LEN('Proyecto Datos (OKR´s)'!$G$7:$G147)&gt;0)),'Proyecto Datos (OKR´s)'!$G$7:$G147),""),"")</f>
      </c>
      <c r="E147" s="202">
        <f>IF($C147,'Proyecto Datos (OKR´s)'!$E147,"")</f>
      </c>
      <c r="F147" s="203">
        <f>IF($C147,'Proyecto Datos (OKR´s)'!$G147,"")</f>
      </c>
      <c r="G147" s="203">
        <f>IF($C147,IF('Proyecto Datos (OKR´s)'!$I147="","(Sin asignar)",'Proyecto Datos (OKR´s)'!$I147),"")</f>
      </c>
      <c r="H147" s="202">
        <f>IF($C147,IF(ISNUMBER('Proyecto Datos (OKR´s)'!$F147),'Proyecto Datos (OKR´s)'!$F147,""),"")</f>
      </c>
      <c r="I147" s="202">
        <f>IF($C147,'Proyecto Datos (OKR´s)'!$J147,"")</f>
      </c>
      <c r="J147" s="203">
        <f>IF($C147,IF($I147&gt;=1,"Completado",IF(NOT(ISNUMBER($H147)),"Sin fecha",IF($H147&lt;TODAY(),"Vencido",IF(($H147-TODAY())&lt;='Entregas Próximas'!$M$3,"Próximo a vencer","En curso")))),"")</f>
      </c>
      <c r="K147" s="202">
        <f>IF(AND($C147,ISNUMBER($H147)),$H147-TODAY(),"")</f>
      </c>
      <c r="L147" s="202">
        <f>IF(AND($C147,ISNUMBER($H147)),$AD147*1000000+$H147+ROW()/100000,"")</f>
      </c>
      <c r="M147" s="202">
        <f>IF($C147,IF($AD147=9999,"(Sin sprint)",$AD147),"")</f>
      </c>
      <c r="N147" s="202">
        <f>IF($C147,IF('Proyecto Datos (OKR´s)'!$E147="",9999,'Proyecto Datos (OKR´s)'!$E147),"")</f>
      </c>
      <c r="O147" s="202">
        <f>IF($C147,"T"&amp;TEXT(ROW(),"000"),"")</f>
      </c>
      <c r="R147" s="202">
        <f>IF($C147,IF(ISNUMBER('Proyecto Datos (OKR´s)'!$L147),'Proyecto Datos (OKR´s)'!$L147,$H147),"")</f>
      </c>
      <c r="S147" s="202">
        <f>IF($C147,$R147-'Proyecto Datos (OKR´s)'!$K147+1,"")</f>
      </c>
      <c r="T147" s="202">
        <f>IF($C147,MAX(0,TODAY()-'Proyecto Datos (OKR´s)'!$K147),"")</f>
      </c>
      <c r="U147" s="202">
        <f>IF($C147,MEDIAN(0,(TODAY()-'Proyecto Datos (OKR´s)'!$K147)/MAX(1,$R147-'Proyecto Datos (OKR´s)'!$K147),1),"")</f>
      </c>
      <c r="V147" s="202">
        <f>IF($C147,$I147-$U147,"")</f>
      </c>
      <c r="W147" s="202">
        <f>IF($C147,IF(OR($J147="Completado",NOT(ISNUMBER($H147))),0,MAX(0,TODAY()-$H147)),"")</f>
      </c>
      <c r="X147" s="202">
        <f>IF($C147,IF(ISNUMBER($H147),$R147-$H147,0),"")</f>
      </c>
      <c r="Y147" s="202">
        <f>IF($C147,COUNTIFS($G$7:$G$200,$G147,$J$7:$J$200,"&lt;&gt;Completado",$J$7:$J$200,"&lt;&gt;"),"")</f>
      </c>
      <c r="Z147" s="202">
        <f>IF($C147,AND($I147=0,'Proyecto Datos (OKR´s)'!$K147&lt;=TODAY(),$J147&lt;&gt;"Completado"),"")</f>
      </c>
      <c r="AA147" s="202">
        <f>IF($C147,ROUND(100*(0.35*$AK147+0.3*$AL147+0.2*$AM147+0.15*MEDIAN(0,($Y147-4)/8,1)),0),"")</f>
      </c>
      <c r="AB147" s="203">
        <f>IF($C147,IF(OR($J147="Completado",$J147="Sin fecha"),"—",IF($AA147&gt;=70,"Crítica",IF($AA147&gt;=45,"Alta",IF($AA147&gt;=25,"Media","Baja")))),"")</f>
      </c>
      <c r="AC147" s="203">
        <f>IF($C147,IF(LEN(TRIM($AN147))=0,"—",TRIM($AN147)),"")</f>
      </c>
      <c r="AD147" s="202">
        <f>IF($C147,$AV147,"")</f>
      </c>
      <c r="AE147" s="202">
        <f>IF($C147,$AZ147,"")</f>
      </c>
      <c r="AF147" s="202" t="b">
        <f>IF($C147,$AV147&lt;&gt;$AR147,FALSE)</f>
        <v>0</v>
      </c>
      <c r="AG147" s="202">
        <f>IF($C147,IF($AV147&lt;&gt;$AR147,$AW147,""),"")</f>
      </c>
      <c r="AH147" s="203">
        <f>IF($C147,IF(ISBLANK('Backlog General'!$K147),"",'Backlog General'!$K147),"")</f>
      </c>
      <c r="AI147" s="202">
        <f>IF($C147,$AV147*100000+ROW(),"")</f>
      </c>
      <c r="AJ147" s="202">
        <f>IF(AND($C147,ISNUMBER($H147)),$AA147*1000000-MEDIAN(-9999,$K147,9999)*100+(300-ROW()),"")</f>
      </c>
      <c r="AK147" s="202">
        <f>IF($C147,IF($J147="Completado",0,IF($K147&lt;0,1,IF($K147&lt;=3,0.9,IF($K147&lt;=7,0.7,IF($K147&lt;=14,0.45,0.2))))),"")</f>
      </c>
      <c r="AL147" s="202">
        <f>IF($C147,IF($J147="Completado",0,MEDIAN(0,MAX(-$V147,$W147/30),1)),"")</f>
      </c>
      <c r="AM147" s="202">
        <f>IF($C147,IF($J147="Completado",0,IF($Z147,1,IF(AND($I147&lt;0.5,$K147&lt;=7),0.7,0.3))),"")</f>
      </c>
      <c r="AN147" s="203">
        <f>IF($C147,IF(OR($V147&lt;-0.2,$W147&gt;0),"ATRASO ","")&amp;IF($Z147,"BLOQUEO ","")&amp;IF($Y147&gt;8,"SOBRECARGA ","")&amp;IF($X147&gt;0,"DESVÍO-PLAN ",""),"")</f>
      </c>
      <c r="AO147" s="203">
        <f>IF($C147,IFERROR(VLOOKUP($D147,'Sprints'!$I$5:$J$12,2,FALSE),"Semanal"),"")</f>
      </c>
      <c r="AP147" s="202">
        <f>IF($C147,IFERROR(VLOOKUP($AO147,'Sprints'!$B$9:$C$11,2,FALSE),1),"")</f>
      </c>
      <c r="AQ147" s="202">
        <f>IF($C147,'Sprints'!$C$5,"")</f>
      </c>
      <c r="AR147" s="202">
        <f>IF(AND($C147,ISNUMBER($H147)),CEILING(MAX(1,INT(($H147-$AQ147+'Sprints'!$D$5-1)/'Sprints'!$D$5)+1)/$AP147,1),"")</f>
      </c>
      <c r="AS147" s="202">
        <f>IF($C147,CEILING(MAX(1,INT((TODAY()-$AQ147+'Sprints'!$D$5-1)/'Sprints'!$D$5)+1)/$AP147,1),"")</f>
      </c>
      <c r="AT147" s="203">
        <f>IF($C147,'Backlog General'!$G147,"")</f>
      </c>
      <c r="AU147" s="203">
        <f>IF($C147,'Backlog General'!$H147,"")</f>
      </c>
      <c r="AV147" s="202">
        <f>IF(AND($C147,ISNUMBER($AR147)),IF(OR($AT147="Completo",$AU147="Cancelado",$AU147="Baja prioridad"),$AR147,IF($AU147="Pasa al siguiente",MAX($AR147+1,$AS147),MAX($AR147,$AS147))),"")</f>
      </c>
      <c r="AW147" s="202">
        <f>IF(AND($C147,ISNUMBER($AR147)),$AQ147+$AR147*$AP147*'Sprints'!$D$5-'Sprints'!$D$5,"")</f>
      </c>
      <c r="AX147" s="202">
        <f>IF($C147,IF(OR($AT147="Completo",$AU147="Cancelado",$AU147="Baja prioridad",NOT(ISNUMBER($AW147))),0,IF(TODAY()&gt;$AW147,NETWORKDAYS($AW147,TODAY(),'Sprints'!$L$5:$L$40)-1,0)),"")</f>
      </c>
      <c r="AY147" s="203">
        <f>IF($C147,IF(NOT(ISNUMBER($AR147)),"Sin fecha",IF($AT147="Completo","Completo",IF($AU147="Cancelado","Cancelado",IF($AU147="Baja prioridad","Baja prioridad",IF($AX147&gt;0,"Vencida","Pendiente"))))),"")</f>
      </c>
      <c r="AZ147" s="203">
        <f>IF($C147,IF(ISNUMBER($AV147),$AO147&amp;" · S"&amp;$AV147,"(Sin fecha)"),"")</f>
      </c>
      <c r="BA147" s="202">
        <f>IF($C147,IF(AND(ISNUMBER('Backlog General'!$M147),'Backlog General'!$M147=$AS147),"Nuevo S"&amp;'Backlog General'!$M147,""),"")</f>
      </c>
      <c r="BB147" s="202">
        <f>IF(AND($C147,$AO147="Semanal",ISNUMBER($AV147)),$AV147*100000+ROW(),"")</f>
      </c>
      <c r="BC147" s="202">
        <f>IF(AND($C147,$AO147="Quincenal",ISNUMBER($AV147)),$AV147*100000+ROW(),"")</f>
      </c>
      <c r="BD147" s="202">
        <f>IF(AND($C147,$AO147="Mensual",ISNUMBER($AV147)),$AV147*100000+ROW(),"")</f>
      </c>
      <c r="BE147" s="203">
        <f>IF($C147,IF(ISBLANK('Backlog General'!$J147),"",'Backlog General'!$J147),"")</f>
      </c>
      <c r="BF147" s="203">
        <f>IF($C147,IF($BE147="","",$BE147)&amp;IF(AND($BE147&lt;&gt;"",$AH147&lt;&gt;"")," · ","")&amp;IF($AH147="","",$AH147),"")</f>
      </c>
      <c r="BG147" s="203">
        <f>IF($C147,IF($J147="Completado","Sí","No"),"")</f>
      </c>
      <c r="BH147" s="202">
        <f>IF(AND($C147,ISNUMBER($AR147)),IF($AO147="Semanal",1,IF($AO147="Quincenal",2,3))*1000000000+$AR147*100000+ROW(),"")</f>
      </c>
    </row>
    <row r="148">
      <c r="A148" s="202">
        <f>ROW()</f>
        <v>148</v>
      </c>
      <c r="B148" s="202" t="b">
        <f>ISTEXT('Proyecto Datos (OKR´s)'!$K148)</f>
        <v>0</v>
      </c>
      <c r="C148" s="202" t="b">
        <f>AND(LEN('Proyecto Datos (OKR´s)'!$G148)&gt;0,NOT($B148),OR(ISNUMBER('Proyecto Datos (OKR´s)'!$F148),ISNUMBER('Proyecto Datos (OKR´s)'!$L148)))</f>
        <v>0</v>
      </c>
      <c r="D148" s="203">
        <f>IF($C148,IFERROR(LOOKUP(2,1/((ISTEXT('Proyecto Datos (OKR´s)'!$K$7:$K148))*(LEN('Proyecto Datos (OKR´s)'!$G$7:$G148)&gt;0)),'Proyecto Datos (OKR´s)'!$G$7:$G148),""),"")</f>
      </c>
      <c r="E148" s="202">
        <f>IF($C148,'Proyecto Datos (OKR´s)'!$E148,"")</f>
      </c>
      <c r="F148" s="203">
        <f>IF($C148,'Proyecto Datos (OKR´s)'!$G148,"")</f>
      </c>
      <c r="G148" s="203">
        <f>IF($C148,IF('Proyecto Datos (OKR´s)'!$I148="","(Sin asignar)",'Proyecto Datos (OKR´s)'!$I148),"")</f>
      </c>
      <c r="H148" s="202">
        <f>IF($C148,IF(ISNUMBER('Proyecto Datos (OKR´s)'!$F148),'Proyecto Datos (OKR´s)'!$F148,""),"")</f>
      </c>
      <c r="I148" s="202">
        <f>IF($C148,'Proyecto Datos (OKR´s)'!$J148,"")</f>
      </c>
      <c r="J148" s="203">
        <f>IF($C148,IF($I148&gt;=1,"Completado",IF(NOT(ISNUMBER($H148)),"Sin fecha",IF($H148&lt;TODAY(),"Vencido",IF(($H148-TODAY())&lt;='Entregas Próximas'!$M$3,"Próximo a vencer","En curso")))),"")</f>
      </c>
      <c r="K148" s="202">
        <f>IF(AND($C148,ISNUMBER($H148)),$H148-TODAY(),"")</f>
      </c>
      <c r="L148" s="202">
        <f>IF(AND($C148,ISNUMBER($H148)),$AD148*1000000+$H148+ROW()/100000,"")</f>
      </c>
      <c r="M148" s="202">
        <f>IF($C148,IF($AD148=9999,"(Sin sprint)",$AD148),"")</f>
      </c>
      <c r="N148" s="202">
        <f>IF($C148,IF('Proyecto Datos (OKR´s)'!$E148="",9999,'Proyecto Datos (OKR´s)'!$E148),"")</f>
      </c>
      <c r="O148" s="202">
        <f>IF($C148,"T"&amp;TEXT(ROW(),"000"),"")</f>
      </c>
      <c r="R148" s="202">
        <f>IF($C148,IF(ISNUMBER('Proyecto Datos (OKR´s)'!$L148),'Proyecto Datos (OKR´s)'!$L148,$H148),"")</f>
      </c>
      <c r="S148" s="202">
        <f>IF($C148,$R148-'Proyecto Datos (OKR´s)'!$K148+1,"")</f>
      </c>
      <c r="T148" s="202">
        <f>IF($C148,MAX(0,TODAY()-'Proyecto Datos (OKR´s)'!$K148),"")</f>
      </c>
      <c r="U148" s="202">
        <f>IF($C148,MEDIAN(0,(TODAY()-'Proyecto Datos (OKR´s)'!$K148)/MAX(1,$R148-'Proyecto Datos (OKR´s)'!$K148),1),"")</f>
      </c>
      <c r="V148" s="202">
        <f>IF($C148,$I148-$U148,"")</f>
      </c>
      <c r="W148" s="202">
        <f>IF($C148,IF(OR($J148="Completado",NOT(ISNUMBER($H148))),0,MAX(0,TODAY()-$H148)),"")</f>
      </c>
      <c r="X148" s="202">
        <f>IF($C148,IF(ISNUMBER($H148),$R148-$H148,0),"")</f>
      </c>
      <c r="Y148" s="202">
        <f>IF($C148,COUNTIFS($G$7:$G$200,$G148,$J$7:$J$200,"&lt;&gt;Completado",$J$7:$J$200,"&lt;&gt;"),"")</f>
      </c>
      <c r="Z148" s="202">
        <f>IF($C148,AND($I148=0,'Proyecto Datos (OKR´s)'!$K148&lt;=TODAY(),$J148&lt;&gt;"Completado"),"")</f>
      </c>
      <c r="AA148" s="202">
        <f>IF($C148,ROUND(100*(0.35*$AK148+0.3*$AL148+0.2*$AM148+0.15*MEDIAN(0,($Y148-4)/8,1)),0),"")</f>
      </c>
      <c r="AB148" s="203">
        <f>IF($C148,IF(OR($J148="Completado",$J148="Sin fecha"),"—",IF($AA148&gt;=70,"Crítica",IF($AA148&gt;=45,"Alta",IF($AA148&gt;=25,"Media","Baja")))),"")</f>
      </c>
      <c r="AC148" s="203">
        <f>IF($C148,IF(LEN(TRIM($AN148))=0,"—",TRIM($AN148)),"")</f>
      </c>
      <c r="AD148" s="202">
        <f>IF($C148,$AV148,"")</f>
      </c>
      <c r="AE148" s="202">
        <f>IF($C148,$AZ148,"")</f>
      </c>
      <c r="AF148" s="202" t="b">
        <f>IF($C148,$AV148&lt;&gt;$AR148,FALSE)</f>
        <v>0</v>
      </c>
      <c r="AG148" s="202">
        <f>IF($C148,IF($AV148&lt;&gt;$AR148,$AW148,""),"")</f>
      </c>
      <c r="AH148" s="203">
        <f>IF($C148,IF(ISBLANK('Backlog General'!$K148),"",'Backlog General'!$K148),"")</f>
      </c>
      <c r="AI148" s="202">
        <f>IF($C148,$AV148*100000+ROW(),"")</f>
      </c>
      <c r="AJ148" s="202">
        <f>IF(AND($C148,ISNUMBER($H148)),$AA148*1000000-MEDIAN(-9999,$K148,9999)*100+(300-ROW()),"")</f>
      </c>
      <c r="AK148" s="202">
        <f>IF($C148,IF($J148="Completado",0,IF($K148&lt;0,1,IF($K148&lt;=3,0.9,IF($K148&lt;=7,0.7,IF($K148&lt;=14,0.45,0.2))))),"")</f>
      </c>
      <c r="AL148" s="202">
        <f>IF($C148,IF($J148="Completado",0,MEDIAN(0,MAX(-$V148,$W148/30),1)),"")</f>
      </c>
      <c r="AM148" s="202">
        <f>IF($C148,IF($J148="Completado",0,IF($Z148,1,IF(AND($I148&lt;0.5,$K148&lt;=7),0.7,0.3))),"")</f>
      </c>
      <c r="AN148" s="203">
        <f>IF($C148,IF(OR($V148&lt;-0.2,$W148&gt;0),"ATRASO ","")&amp;IF($Z148,"BLOQUEO ","")&amp;IF($Y148&gt;8,"SOBRECARGA ","")&amp;IF($X148&gt;0,"DESVÍO-PLAN ",""),"")</f>
      </c>
      <c r="AO148" s="203">
        <f>IF($C148,IFERROR(VLOOKUP($D148,'Sprints'!$I$5:$J$12,2,FALSE),"Semanal"),"")</f>
      </c>
      <c r="AP148" s="202">
        <f>IF($C148,IFERROR(VLOOKUP($AO148,'Sprints'!$B$9:$C$11,2,FALSE),1),"")</f>
      </c>
      <c r="AQ148" s="202">
        <f>IF($C148,'Sprints'!$C$5,"")</f>
      </c>
      <c r="AR148" s="202">
        <f>IF(AND($C148,ISNUMBER($H148)),CEILING(MAX(1,INT(($H148-$AQ148+'Sprints'!$D$5-1)/'Sprints'!$D$5)+1)/$AP148,1),"")</f>
      </c>
      <c r="AS148" s="202">
        <f>IF($C148,CEILING(MAX(1,INT((TODAY()-$AQ148+'Sprints'!$D$5-1)/'Sprints'!$D$5)+1)/$AP148,1),"")</f>
      </c>
      <c r="AT148" s="203">
        <f>IF($C148,'Backlog General'!$G148,"")</f>
      </c>
      <c r="AU148" s="203">
        <f>IF($C148,'Backlog General'!$H148,"")</f>
      </c>
      <c r="AV148" s="202">
        <f>IF(AND($C148,ISNUMBER($AR148)),IF(OR($AT148="Completo",$AU148="Cancelado",$AU148="Baja prioridad"),$AR148,IF($AU148="Pasa al siguiente",MAX($AR148+1,$AS148),MAX($AR148,$AS148))),"")</f>
      </c>
      <c r="AW148" s="202">
        <f>IF(AND($C148,ISNUMBER($AR148)),$AQ148+$AR148*$AP148*'Sprints'!$D$5-'Sprints'!$D$5,"")</f>
      </c>
      <c r="AX148" s="202">
        <f>IF($C148,IF(OR($AT148="Completo",$AU148="Cancelado",$AU148="Baja prioridad",NOT(ISNUMBER($AW148))),0,IF(TODAY()&gt;$AW148,NETWORKDAYS($AW148,TODAY(),'Sprints'!$L$5:$L$40)-1,0)),"")</f>
      </c>
      <c r="AY148" s="203">
        <f>IF($C148,IF(NOT(ISNUMBER($AR148)),"Sin fecha",IF($AT148="Completo","Completo",IF($AU148="Cancelado","Cancelado",IF($AU148="Baja prioridad","Baja prioridad",IF($AX148&gt;0,"Vencida","Pendiente"))))),"")</f>
      </c>
      <c r="AZ148" s="203">
        <f>IF($C148,IF(ISNUMBER($AV148),$AO148&amp;" · S"&amp;$AV148,"(Sin fecha)"),"")</f>
      </c>
      <c r="BA148" s="202">
        <f>IF($C148,IF(AND(ISNUMBER('Backlog General'!$M148),'Backlog General'!$M148=$AS148),"Nuevo S"&amp;'Backlog General'!$M148,""),"")</f>
      </c>
      <c r="BB148" s="202">
        <f>IF(AND($C148,$AO148="Semanal",ISNUMBER($AV148)),$AV148*100000+ROW(),"")</f>
      </c>
      <c r="BC148" s="202">
        <f>IF(AND($C148,$AO148="Quincenal",ISNUMBER($AV148)),$AV148*100000+ROW(),"")</f>
      </c>
      <c r="BD148" s="202">
        <f>IF(AND($C148,$AO148="Mensual",ISNUMBER($AV148)),$AV148*100000+ROW(),"")</f>
      </c>
      <c r="BE148" s="203">
        <f>IF($C148,IF(ISBLANK('Backlog General'!$J148),"",'Backlog General'!$J148),"")</f>
      </c>
      <c r="BF148" s="203">
        <f>IF($C148,IF($BE148="","",$BE148)&amp;IF(AND($BE148&lt;&gt;"",$AH148&lt;&gt;"")," · ","")&amp;IF($AH148="","",$AH148),"")</f>
      </c>
      <c r="BG148" s="203">
        <f>IF($C148,IF($J148="Completado","Sí","No"),"")</f>
      </c>
      <c r="BH148" s="202">
        <f>IF(AND($C148,ISNUMBER($AR148)),IF($AO148="Semanal",1,IF($AO148="Quincenal",2,3))*1000000000+$AR148*100000+ROW(),"")</f>
      </c>
    </row>
    <row r="149">
      <c r="A149" s="202">
        <f>ROW()</f>
        <v>149</v>
      </c>
      <c r="B149" s="202" t="b">
        <f>ISTEXT('Proyecto Datos (OKR´s)'!$K149)</f>
        <v>0</v>
      </c>
      <c r="C149" s="202" t="b">
        <f>AND(LEN('Proyecto Datos (OKR´s)'!$G149)&gt;0,NOT($B149),OR(ISNUMBER('Proyecto Datos (OKR´s)'!$F149),ISNUMBER('Proyecto Datos (OKR´s)'!$L149)))</f>
        <v>0</v>
      </c>
      <c r="D149" s="203">
        <f>IF($C149,IFERROR(LOOKUP(2,1/((ISTEXT('Proyecto Datos (OKR´s)'!$K$7:$K149))*(LEN('Proyecto Datos (OKR´s)'!$G$7:$G149)&gt;0)),'Proyecto Datos (OKR´s)'!$G$7:$G149),""),"")</f>
      </c>
      <c r="E149" s="202">
        <f>IF($C149,'Proyecto Datos (OKR´s)'!$E149,"")</f>
      </c>
      <c r="F149" s="203">
        <f>IF($C149,'Proyecto Datos (OKR´s)'!$G149,"")</f>
      </c>
      <c r="G149" s="203">
        <f>IF($C149,IF('Proyecto Datos (OKR´s)'!$I149="","(Sin asignar)",'Proyecto Datos (OKR´s)'!$I149),"")</f>
      </c>
      <c r="H149" s="202">
        <f>IF($C149,IF(ISNUMBER('Proyecto Datos (OKR´s)'!$F149),'Proyecto Datos (OKR´s)'!$F149,""),"")</f>
      </c>
      <c r="I149" s="202">
        <f>IF($C149,'Proyecto Datos (OKR´s)'!$J149,"")</f>
      </c>
      <c r="J149" s="203">
        <f>IF($C149,IF($I149&gt;=1,"Completado",IF(NOT(ISNUMBER($H149)),"Sin fecha",IF($H149&lt;TODAY(),"Vencido",IF(($H149-TODAY())&lt;='Entregas Próximas'!$M$3,"Próximo a vencer","En curso")))),"")</f>
      </c>
      <c r="K149" s="202">
        <f>IF(AND($C149,ISNUMBER($H149)),$H149-TODAY(),"")</f>
      </c>
      <c r="L149" s="202">
        <f>IF(AND($C149,ISNUMBER($H149)),$AD149*1000000+$H149+ROW()/100000,"")</f>
      </c>
      <c r="M149" s="202">
        <f>IF($C149,IF($AD149=9999,"(Sin sprint)",$AD149),"")</f>
      </c>
      <c r="N149" s="202">
        <f>IF($C149,IF('Proyecto Datos (OKR´s)'!$E149="",9999,'Proyecto Datos (OKR´s)'!$E149),"")</f>
      </c>
      <c r="O149" s="202">
        <f>IF($C149,"T"&amp;TEXT(ROW(),"000"),"")</f>
      </c>
      <c r="R149" s="202">
        <f>IF($C149,IF(ISNUMBER('Proyecto Datos (OKR´s)'!$L149),'Proyecto Datos (OKR´s)'!$L149,$H149),"")</f>
      </c>
      <c r="S149" s="202">
        <f>IF($C149,$R149-'Proyecto Datos (OKR´s)'!$K149+1,"")</f>
      </c>
      <c r="T149" s="202">
        <f>IF($C149,MAX(0,TODAY()-'Proyecto Datos (OKR´s)'!$K149),"")</f>
      </c>
      <c r="U149" s="202">
        <f>IF($C149,MEDIAN(0,(TODAY()-'Proyecto Datos (OKR´s)'!$K149)/MAX(1,$R149-'Proyecto Datos (OKR´s)'!$K149),1),"")</f>
      </c>
      <c r="V149" s="202">
        <f>IF($C149,$I149-$U149,"")</f>
      </c>
      <c r="W149" s="202">
        <f>IF($C149,IF(OR($J149="Completado",NOT(ISNUMBER($H149))),0,MAX(0,TODAY()-$H149)),"")</f>
      </c>
      <c r="X149" s="202">
        <f>IF($C149,IF(ISNUMBER($H149),$R149-$H149,0),"")</f>
      </c>
      <c r="Y149" s="202">
        <f>IF($C149,COUNTIFS($G$7:$G$200,$G149,$J$7:$J$200,"&lt;&gt;Completado",$J$7:$J$200,"&lt;&gt;"),"")</f>
      </c>
      <c r="Z149" s="202">
        <f>IF($C149,AND($I149=0,'Proyecto Datos (OKR´s)'!$K149&lt;=TODAY(),$J149&lt;&gt;"Completado"),"")</f>
      </c>
      <c r="AA149" s="202">
        <f>IF($C149,ROUND(100*(0.35*$AK149+0.3*$AL149+0.2*$AM149+0.15*MEDIAN(0,($Y149-4)/8,1)),0),"")</f>
      </c>
      <c r="AB149" s="203">
        <f>IF($C149,IF(OR($J149="Completado",$J149="Sin fecha"),"—",IF($AA149&gt;=70,"Crítica",IF($AA149&gt;=45,"Alta",IF($AA149&gt;=25,"Media","Baja")))),"")</f>
      </c>
      <c r="AC149" s="203">
        <f>IF($C149,IF(LEN(TRIM($AN149))=0,"—",TRIM($AN149)),"")</f>
      </c>
      <c r="AD149" s="202">
        <f>IF($C149,$AV149,"")</f>
      </c>
      <c r="AE149" s="202">
        <f>IF($C149,$AZ149,"")</f>
      </c>
      <c r="AF149" s="202" t="b">
        <f>IF($C149,$AV149&lt;&gt;$AR149,FALSE)</f>
        <v>0</v>
      </c>
      <c r="AG149" s="202">
        <f>IF($C149,IF($AV149&lt;&gt;$AR149,$AW149,""),"")</f>
      </c>
      <c r="AH149" s="203">
        <f>IF($C149,IF(ISBLANK('Backlog General'!$K149),"",'Backlog General'!$K149),"")</f>
      </c>
      <c r="AI149" s="202">
        <f>IF($C149,$AV149*100000+ROW(),"")</f>
      </c>
      <c r="AJ149" s="202">
        <f>IF(AND($C149,ISNUMBER($H149)),$AA149*1000000-MEDIAN(-9999,$K149,9999)*100+(300-ROW()),"")</f>
      </c>
      <c r="AK149" s="202">
        <f>IF($C149,IF($J149="Completado",0,IF($K149&lt;0,1,IF($K149&lt;=3,0.9,IF($K149&lt;=7,0.7,IF($K149&lt;=14,0.45,0.2))))),"")</f>
      </c>
      <c r="AL149" s="202">
        <f>IF($C149,IF($J149="Completado",0,MEDIAN(0,MAX(-$V149,$W149/30),1)),"")</f>
      </c>
      <c r="AM149" s="202">
        <f>IF($C149,IF($J149="Completado",0,IF($Z149,1,IF(AND($I149&lt;0.5,$K149&lt;=7),0.7,0.3))),"")</f>
      </c>
      <c r="AN149" s="203">
        <f>IF($C149,IF(OR($V149&lt;-0.2,$W149&gt;0),"ATRASO ","")&amp;IF($Z149,"BLOQUEO ","")&amp;IF($Y149&gt;8,"SOBRECARGA ","")&amp;IF($X149&gt;0,"DESVÍO-PLAN ",""),"")</f>
      </c>
      <c r="AO149" s="203">
        <f>IF($C149,IFERROR(VLOOKUP($D149,'Sprints'!$I$5:$J$12,2,FALSE),"Semanal"),"")</f>
      </c>
      <c r="AP149" s="202">
        <f>IF($C149,IFERROR(VLOOKUP($AO149,'Sprints'!$B$9:$C$11,2,FALSE),1),"")</f>
      </c>
      <c r="AQ149" s="202">
        <f>IF($C149,'Sprints'!$C$5,"")</f>
      </c>
      <c r="AR149" s="202">
        <f>IF(AND($C149,ISNUMBER($H149)),CEILING(MAX(1,INT(($H149-$AQ149+'Sprints'!$D$5-1)/'Sprints'!$D$5)+1)/$AP149,1),"")</f>
      </c>
      <c r="AS149" s="202">
        <f>IF($C149,CEILING(MAX(1,INT((TODAY()-$AQ149+'Sprints'!$D$5-1)/'Sprints'!$D$5)+1)/$AP149,1),"")</f>
      </c>
      <c r="AT149" s="203">
        <f>IF($C149,'Backlog General'!$G149,"")</f>
      </c>
      <c r="AU149" s="203">
        <f>IF($C149,'Backlog General'!$H149,"")</f>
      </c>
      <c r="AV149" s="202">
        <f>IF(AND($C149,ISNUMBER($AR149)),IF(OR($AT149="Completo",$AU149="Cancelado",$AU149="Baja prioridad"),$AR149,IF($AU149="Pasa al siguiente",MAX($AR149+1,$AS149),MAX($AR149,$AS149))),"")</f>
      </c>
      <c r="AW149" s="202">
        <f>IF(AND($C149,ISNUMBER($AR149)),$AQ149+$AR149*$AP149*'Sprints'!$D$5-'Sprints'!$D$5,"")</f>
      </c>
      <c r="AX149" s="202">
        <f>IF($C149,IF(OR($AT149="Completo",$AU149="Cancelado",$AU149="Baja prioridad",NOT(ISNUMBER($AW149))),0,IF(TODAY()&gt;$AW149,NETWORKDAYS($AW149,TODAY(),'Sprints'!$L$5:$L$40)-1,0)),"")</f>
      </c>
      <c r="AY149" s="203">
        <f>IF($C149,IF(NOT(ISNUMBER($AR149)),"Sin fecha",IF($AT149="Completo","Completo",IF($AU149="Cancelado","Cancelado",IF($AU149="Baja prioridad","Baja prioridad",IF($AX149&gt;0,"Vencida","Pendiente"))))),"")</f>
      </c>
      <c r="AZ149" s="203">
        <f>IF($C149,IF(ISNUMBER($AV149),$AO149&amp;" · S"&amp;$AV149,"(Sin fecha)"),"")</f>
      </c>
      <c r="BA149" s="202">
        <f>IF($C149,IF(AND(ISNUMBER('Backlog General'!$M149),'Backlog General'!$M149=$AS149),"Nuevo S"&amp;'Backlog General'!$M149,""),"")</f>
      </c>
      <c r="BB149" s="202">
        <f>IF(AND($C149,$AO149="Semanal",ISNUMBER($AV149)),$AV149*100000+ROW(),"")</f>
      </c>
      <c r="BC149" s="202">
        <f>IF(AND($C149,$AO149="Quincenal",ISNUMBER($AV149)),$AV149*100000+ROW(),"")</f>
      </c>
      <c r="BD149" s="202">
        <f>IF(AND($C149,$AO149="Mensual",ISNUMBER($AV149)),$AV149*100000+ROW(),"")</f>
      </c>
      <c r="BE149" s="203">
        <f>IF($C149,IF(ISBLANK('Backlog General'!$J149),"",'Backlog General'!$J149),"")</f>
      </c>
      <c r="BF149" s="203">
        <f>IF($C149,IF($BE149="","",$BE149)&amp;IF(AND($BE149&lt;&gt;"",$AH149&lt;&gt;"")," · ","")&amp;IF($AH149="","",$AH149),"")</f>
      </c>
      <c r="BG149" s="203">
        <f>IF($C149,IF($J149="Completado","Sí","No"),"")</f>
      </c>
      <c r="BH149" s="202">
        <f>IF(AND($C149,ISNUMBER($AR149)),IF($AO149="Semanal",1,IF($AO149="Quincenal",2,3))*1000000000+$AR149*100000+ROW(),"")</f>
      </c>
    </row>
    <row r="150">
      <c r="A150" s="202">
        <f>ROW()</f>
        <v>150</v>
      </c>
      <c r="B150" s="202" t="b">
        <f>ISTEXT('Proyecto Datos (OKR´s)'!$K150)</f>
        <v>0</v>
      </c>
      <c r="C150" s="202" t="b">
        <f>AND(LEN('Proyecto Datos (OKR´s)'!$G150)&gt;0,NOT($B150),OR(ISNUMBER('Proyecto Datos (OKR´s)'!$F150),ISNUMBER('Proyecto Datos (OKR´s)'!$L150)))</f>
        <v>0</v>
      </c>
      <c r="D150" s="203">
        <f>IF($C150,IFERROR(LOOKUP(2,1/((ISTEXT('Proyecto Datos (OKR´s)'!$K$7:$K150))*(LEN('Proyecto Datos (OKR´s)'!$G$7:$G150)&gt;0)),'Proyecto Datos (OKR´s)'!$G$7:$G150),""),"")</f>
      </c>
      <c r="E150" s="202">
        <f>IF($C150,'Proyecto Datos (OKR´s)'!$E150,"")</f>
      </c>
      <c r="F150" s="203">
        <f>IF($C150,'Proyecto Datos (OKR´s)'!$G150,"")</f>
      </c>
      <c r="G150" s="203">
        <f>IF($C150,IF('Proyecto Datos (OKR´s)'!$I150="","(Sin asignar)",'Proyecto Datos (OKR´s)'!$I150),"")</f>
      </c>
      <c r="H150" s="202">
        <f>IF($C150,IF(ISNUMBER('Proyecto Datos (OKR´s)'!$F150),'Proyecto Datos (OKR´s)'!$F150,""),"")</f>
      </c>
      <c r="I150" s="202">
        <f>IF($C150,'Proyecto Datos (OKR´s)'!$J150,"")</f>
      </c>
      <c r="J150" s="203">
        <f>IF($C150,IF($I150&gt;=1,"Completado",IF(NOT(ISNUMBER($H150)),"Sin fecha",IF($H150&lt;TODAY(),"Vencido",IF(($H150-TODAY())&lt;='Entregas Próximas'!$M$3,"Próximo a vencer","En curso")))),"")</f>
      </c>
      <c r="K150" s="202">
        <f>IF(AND($C150,ISNUMBER($H150)),$H150-TODAY(),"")</f>
      </c>
      <c r="L150" s="202">
        <f>IF(AND($C150,ISNUMBER($H150)),$AD150*1000000+$H150+ROW()/100000,"")</f>
      </c>
      <c r="M150" s="202">
        <f>IF($C150,IF($AD150=9999,"(Sin sprint)",$AD150),"")</f>
      </c>
      <c r="N150" s="202">
        <f>IF($C150,IF('Proyecto Datos (OKR´s)'!$E150="",9999,'Proyecto Datos (OKR´s)'!$E150),"")</f>
      </c>
      <c r="O150" s="202">
        <f>IF($C150,"T"&amp;TEXT(ROW(),"000"),"")</f>
      </c>
      <c r="R150" s="202">
        <f>IF($C150,IF(ISNUMBER('Proyecto Datos (OKR´s)'!$L150),'Proyecto Datos (OKR´s)'!$L150,$H150),"")</f>
      </c>
      <c r="S150" s="202">
        <f>IF($C150,$R150-'Proyecto Datos (OKR´s)'!$K150+1,"")</f>
      </c>
      <c r="T150" s="202">
        <f>IF($C150,MAX(0,TODAY()-'Proyecto Datos (OKR´s)'!$K150),"")</f>
      </c>
      <c r="U150" s="202">
        <f>IF($C150,MEDIAN(0,(TODAY()-'Proyecto Datos (OKR´s)'!$K150)/MAX(1,$R150-'Proyecto Datos (OKR´s)'!$K150),1),"")</f>
      </c>
      <c r="V150" s="202">
        <f>IF($C150,$I150-$U150,"")</f>
      </c>
      <c r="W150" s="202">
        <f>IF($C150,IF(OR($J150="Completado",NOT(ISNUMBER($H150))),0,MAX(0,TODAY()-$H150)),"")</f>
      </c>
      <c r="X150" s="202">
        <f>IF($C150,IF(ISNUMBER($H150),$R150-$H150,0),"")</f>
      </c>
      <c r="Y150" s="202">
        <f>IF($C150,COUNTIFS($G$7:$G$200,$G150,$J$7:$J$200,"&lt;&gt;Completado",$J$7:$J$200,"&lt;&gt;"),"")</f>
      </c>
      <c r="Z150" s="202">
        <f>IF($C150,AND($I150=0,'Proyecto Datos (OKR´s)'!$K150&lt;=TODAY(),$J150&lt;&gt;"Completado"),"")</f>
      </c>
      <c r="AA150" s="202">
        <f>IF($C150,ROUND(100*(0.35*$AK150+0.3*$AL150+0.2*$AM150+0.15*MEDIAN(0,($Y150-4)/8,1)),0),"")</f>
      </c>
      <c r="AB150" s="203">
        <f>IF($C150,IF(OR($J150="Completado",$J150="Sin fecha"),"—",IF($AA150&gt;=70,"Crítica",IF($AA150&gt;=45,"Alta",IF($AA150&gt;=25,"Media","Baja")))),"")</f>
      </c>
      <c r="AC150" s="203">
        <f>IF($C150,IF(LEN(TRIM($AN150))=0,"—",TRIM($AN150)),"")</f>
      </c>
      <c r="AD150" s="202">
        <f>IF($C150,$AV150,"")</f>
      </c>
      <c r="AE150" s="202">
        <f>IF($C150,$AZ150,"")</f>
      </c>
      <c r="AF150" s="202" t="b">
        <f>IF($C150,$AV150&lt;&gt;$AR150,FALSE)</f>
        <v>0</v>
      </c>
      <c r="AG150" s="202">
        <f>IF($C150,IF($AV150&lt;&gt;$AR150,$AW150,""),"")</f>
      </c>
      <c r="AH150" s="203">
        <f>IF($C150,IF(ISBLANK('Backlog General'!$K150),"",'Backlog General'!$K150),"")</f>
      </c>
      <c r="AI150" s="202">
        <f>IF($C150,$AV150*100000+ROW(),"")</f>
      </c>
      <c r="AJ150" s="202">
        <f>IF(AND($C150,ISNUMBER($H150)),$AA150*1000000-MEDIAN(-9999,$K150,9999)*100+(300-ROW()),"")</f>
      </c>
      <c r="AK150" s="202">
        <f>IF($C150,IF($J150="Completado",0,IF($K150&lt;0,1,IF($K150&lt;=3,0.9,IF($K150&lt;=7,0.7,IF($K150&lt;=14,0.45,0.2))))),"")</f>
      </c>
      <c r="AL150" s="202">
        <f>IF($C150,IF($J150="Completado",0,MEDIAN(0,MAX(-$V150,$W150/30),1)),"")</f>
      </c>
      <c r="AM150" s="202">
        <f>IF($C150,IF($J150="Completado",0,IF($Z150,1,IF(AND($I150&lt;0.5,$K150&lt;=7),0.7,0.3))),"")</f>
      </c>
      <c r="AN150" s="203">
        <f>IF($C150,IF(OR($V150&lt;-0.2,$W150&gt;0),"ATRASO ","")&amp;IF($Z150,"BLOQUEO ","")&amp;IF($Y150&gt;8,"SOBRECARGA ","")&amp;IF($X150&gt;0,"DESVÍO-PLAN ",""),"")</f>
      </c>
      <c r="AO150" s="203">
        <f>IF($C150,IFERROR(VLOOKUP($D150,'Sprints'!$I$5:$J$12,2,FALSE),"Semanal"),"")</f>
      </c>
      <c r="AP150" s="202">
        <f>IF($C150,IFERROR(VLOOKUP($AO150,'Sprints'!$B$9:$C$11,2,FALSE),1),"")</f>
      </c>
      <c r="AQ150" s="202">
        <f>IF($C150,'Sprints'!$C$5,"")</f>
      </c>
      <c r="AR150" s="202">
        <f>IF(AND($C150,ISNUMBER($H150)),CEILING(MAX(1,INT(($H150-$AQ150+'Sprints'!$D$5-1)/'Sprints'!$D$5)+1)/$AP150,1),"")</f>
      </c>
      <c r="AS150" s="202">
        <f>IF($C150,CEILING(MAX(1,INT((TODAY()-$AQ150+'Sprints'!$D$5-1)/'Sprints'!$D$5)+1)/$AP150,1),"")</f>
      </c>
      <c r="AT150" s="203">
        <f>IF($C150,'Backlog General'!$G150,"")</f>
      </c>
      <c r="AU150" s="203">
        <f>IF($C150,'Backlog General'!$H150,"")</f>
      </c>
      <c r="AV150" s="202">
        <f>IF(AND($C150,ISNUMBER($AR150)),IF(OR($AT150="Completo",$AU150="Cancelado",$AU150="Baja prioridad"),$AR150,IF($AU150="Pasa al siguiente",MAX($AR150+1,$AS150),MAX($AR150,$AS150))),"")</f>
      </c>
      <c r="AW150" s="202">
        <f>IF(AND($C150,ISNUMBER($AR150)),$AQ150+$AR150*$AP150*'Sprints'!$D$5-'Sprints'!$D$5,"")</f>
      </c>
      <c r="AX150" s="202">
        <f>IF($C150,IF(OR($AT150="Completo",$AU150="Cancelado",$AU150="Baja prioridad",NOT(ISNUMBER($AW150))),0,IF(TODAY()&gt;$AW150,NETWORKDAYS($AW150,TODAY(),'Sprints'!$L$5:$L$40)-1,0)),"")</f>
      </c>
      <c r="AY150" s="203">
        <f>IF($C150,IF(NOT(ISNUMBER($AR150)),"Sin fecha",IF($AT150="Completo","Completo",IF($AU150="Cancelado","Cancelado",IF($AU150="Baja prioridad","Baja prioridad",IF($AX150&gt;0,"Vencida","Pendiente"))))),"")</f>
      </c>
      <c r="AZ150" s="203">
        <f>IF($C150,IF(ISNUMBER($AV150),$AO150&amp;" · S"&amp;$AV150,"(Sin fecha)"),"")</f>
      </c>
      <c r="BA150" s="202">
        <f>IF($C150,IF(AND(ISNUMBER('Backlog General'!$M150),'Backlog General'!$M150=$AS150),"Nuevo S"&amp;'Backlog General'!$M150,""),"")</f>
      </c>
      <c r="BB150" s="202">
        <f>IF(AND($C150,$AO150="Semanal",ISNUMBER($AV150)),$AV150*100000+ROW(),"")</f>
      </c>
      <c r="BC150" s="202">
        <f>IF(AND($C150,$AO150="Quincenal",ISNUMBER($AV150)),$AV150*100000+ROW(),"")</f>
      </c>
      <c r="BD150" s="202">
        <f>IF(AND($C150,$AO150="Mensual",ISNUMBER($AV150)),$AV150*100000+ROW(),"")</f>
      </c>
      <c r="BE150" s="203">
        <f>IF($C150,IF(ISBLANK('Backlog General'!$J150),"",'Backlog General'!$J150),"")</f>
      </c>
      <c r="BF150" s="203">
        <f>IF($C150,IF($BE150="","",$BE150)&amp;IF(AND($BE150&lt;&gt;"",$AH150&lt;&gt;"")," · ","")&amp;IF($AH150="","",$AH150),"")</f>
      </c>
      <c r="BG150" s="203">
        <f>IF($C150,IF($J150="Completado","Sí","No"),"")</f>
      </c>
      <c r="BH150" s="202">
        <f>IF(AND($C150,ISNUMBER($AR150)),IF($AO150="Semanal",1,IF($AO150="Quincenal",2,3))*1000000000+$AR150*100000+ROW(),"")</f>
      </c>
    </row>
    <row r="151">
      <c r="A151" s="202">
        <f>ROW()</f>
        <v>151</v>
      </c>
      <c r="B151" s="202" t="b">
        <f>ISTEXT('Proyecto Datos (OKR´s)'!$K151)</f>
        <v>0</v>
      </c>
      <c r="C151" s="202" t="b">
        <f>AND(LEN('Proyecto Datos (OKR´s)'!$G151)&gt;0,NOT($B151),OR(ISNUMBER('Proyecto Datos (OKR´s)'!$F151),ISNUMBER('Proyecto Datos (OKR´s)'!$L151)))</f>
        <v>0</v>
      </c>
      <c r="D151" s="203">
        <f>IF($C151,IFERROR(LOOKUP(2,1/((ISTEXT('Proyecto Datos (OKR´s)'!$K$7:$K151))*(LEN('Proyecto Datos (OKR´s)'!$G$7:$G151)&gt;0)),'Proyecto Datos (OKR´s)'!$G$7:$G151),""),"")</f>
      </c>
      <c r="E151" s="202">
        <f>IF($C151,'Proyecto Datos (OKR´s)'!$E151,"")</f>
      </c>
      <c r="F151" s="203">
        <f>IF($C151,'Proyecto Datos (OKR´s)'!$G151,"")</f>
      </c>
      <c r="G151" s="203">
        <f>IF($C151,IF('Proyecto Datos (OKR´s)'!$I151="","(Sin asignar)",'Proyecto Datos (OKR´s)'!$I151),"")</f>
      </c>
      <c r="H151" s="202">
        <f>IF($C151,IF(ISNUMBER('Proyecto Datos (OKR´s)'!$F151),'Proyecto Datos (OKR´s)'!$F151,""),"")</f>
      </c>
      <c r="I151" s="202">
        <f>IF($C151,'Proyecto Datos (OKR´s)'!$J151,"")</f>
      </c>
      <c r="J151" s="203">
        <f>IF($C151,IF($I151&gt;=1,"Completado",IF(NOT(ISNUMBER($H151)),"Sin fecha",IF($H151&lt;TODAY(),"Vencido",IF(($H151-TODAY())&lt;='Entregas Próximas'!$M$3,"Próximo a vencer","En curso")))),"")</f>
      </c>
      <c r="K151" s="202">
        <f>IF(AND($C151,ISNUMBER($H151)),$H151-TODAY(),"")</f>
      </c>
      <c r="L151" s="202">
        <f>IF(AND($C151,ISNUMBER($H151)),$AD151*1000000+$H151+ROW()/100000,"")</f>
      </c>
      <c r="M151" s="202">
        <f>IF($C151,IF($AD151=9999,"(Sin sprint)",$AD151),"")</f>
      </c>
      <c r="N151" s="202">
        <f>IF($C151,IF('Proyecto Datos (OKR´s)'!$E151="",9999,'Proyecto Datos (OKR´s)'!$E151),"")</f>
      </c>
      <c r="O151" s="202">
        <f>IF($C151,"T"&amp;TEXT(ROW(),"000"),"")</f>
      </c>
      <c r="R151" s="202">
        <f>IF($C151,IF(ISNUMBER('Proyecto Datos (OKR´s)'!$L151),'Proyecto Datos (OKR´s)'!$L151,$H151),"")</f>
      </c>
      <c r="S151" s="202">
        <f>IF($C151,$R151-'Proyecto Datos (OKR´s)'!$K151+1,"")</f>
      </c>
      <c r="T151" s="202">
        <f>IF($C151,MAX(0,TODAY()-'Proyecto Datos (OKR´s)'!$K151),"")</f>
      </c>
      <c r="U151" s="202">
        <f>IF($C151,MEDIAN(0,(TODAY()-'Proyecto Datos (OKR´s)'!$K151)/MAX(1,$R151-'Proyecto Datos (OKR´s)'!$K151),1),"")</f>
      </c>
      <c r="V151" s="202">
        <f>IF($C151,$I151-$U151,"")</f>
      </c>
      <c r="W151" s="202">
        <f>IF($C151,IF(OR($J151="Completado",NOT(ISNUMBER($H151))),0,MAX(0,TODAY()-$H151)),"")</f>
      </c>
      <c r="X151" s="202">
        <f>IF($C151,IF(ISNUMBER($H151),$R151-$H151,0),"")</f>
      </c>
      <c r="Y151" s="202">
        <f>IF($C151,COUNTIFS($G$7:$G$200,$G151,$J$7:$J$200,"&lt;&gt;Completado",$J$7:$J$200,"&lt;&gt;"),"")</f>
      </c>
      <c r="Z151" s="202">
        <f>IF($C151,AND($I151=0,'Proyecto Datos (OKR´s)'!$K151&lt;=TODAY(),$J151&lt;&gt;"Completado"),"")</f>
      </c>
      <c r="AA151" s="202">
        <f>IF($C151,ROUND(100*(0.35*$AK151+0.3*$AL151+0.2*$AM151+0.15*MEDIAN(0,($Y151-4)/8,1)),0),"")</f>
      </c>
      <c r="AB151" s="203">
        <f>IF($C151,IF(OR($J151="Completado",$J151="Sin fecha"),"—",IF($AA151&gt;=70,"Crítica",IF($AA151&gt;=45,"Alta",IF($AA151&gt;=25,"Media","Baja")))),"")</f>
      </c>
      <c r="AC151" s="203">
        <f>IF($C151,IF(LEN(TRIM($AN151))=0,"—",TRIM($AN151)),"")</f>
      </c>
      <c r="AD151" s="202">
        <f>IF($C151,$AV151,"")</f>
      </c>
      <c r="AE151" s="202">
        <f>IF($C151,$AZ151,"")</f>
      </c>
      <c r="AF151" s="202" t="b">
        <f>IF($C151,$AV151&lt;&gt;$AR151,FALSE)</f>
        <v>0</v>
      </c>
      <c r="AG151" s="202">
        <f>IF($C151,IF($AV151&lt;&gt;$AR151,$AW151,""),"")</f>
      </c>
      <c r="AH151" s="203">
        <f>IF($C151,IF(ISBLANK('Backlog General'!$K151),"",'Backlog General'!$K151),"")</f>
      </c>
      <c r="AI151" s="202">
        <f>IF($C151,$AV151*100000+ROW(),"")</f>
      </c>
      <c r="AJ151" s="202">
        <f>IF(AND($C151,ISNUMBER($H151)),$AA151*1000000-MEDIAN(-9999,$K151,9999)*100+(300-ROW()),"")</f>
      </c>
      <c r="AK151" s="202">
        <f>IF($C151,IF($J151="Completado",0,IF($K151&lt;0,1,IF($K151&lt;=3,0.9,IF($K151&lt;=7,0.7,IF($K151&lt;=14,0.45,0.2))))),"")</f>
      </c>
      <c r="AL151" s="202">
        <f>IF($C151,IF($J151="Completado",0,MEDIAN(0,MAX(-$V151,$W151/30),1)),"")</f>
      </c>
      <c r="AM151" s="202">
        <f>IF($C151,IF($J151="Completado",0,IF($Z151,1,IF(AND($I151&lt;0.5,$K151&lt;=7),0.7,0.3))),"")</f>
      </c>
      <c r="AN151" s="203">
        <f>IF($C151,IF(OR($V151&lt;-0.2,$W151&gt;0),"ATRASO ","")&amp;IF($Z151,"BLOQUEO ","")&amp;IF($Y151&gt;8,"SOBRECARGA ","")&amp;IF($X151&gt;0,"DESVÍO-PLAN ",""),"")</f>
      </c>
      <c r="AO151" s="203">
        <f>IF($C151,IFERROR(VLOOKUP($D151,'Sprints'!$I$5:$J$12,2,FALSE),"Semanal"),"")</f>
      </c>
      <c r="AP151" s="202">
        <f>IF($C151,IFERROR(VLOOKUP($AO151,'Sprints'!$B$9:$C$11,2,FALSE),1),"")</f>
      </c>
      <c r="AQ151" s="202">
        <f>IF($C151,'Sprints'!$C$5,"")</f>
      </c>
      <c r="AR151" s="202">
        <f>IF(AND($C151,ISNUMBER($H151)),CEILING(MAX(1,INT(($H151-$AQ151+'Sprints'!$D$5-1)/'Sprints'!$D$5)+1)/$AP151,1),"")</f>
      </c>
      <c r="AS151" s="202">
        <f>IF($C151,CEILING(MAX(1,INT((TODAY()-$AQ151+'Sprints'!$D$5-1)/'Sprints'!$D$5)+1)/$AP151,1),"")</f>
      </c>
      <c r="AT151" s="203">
        <f>IF($C151,'Backlog General'!$G151,"")</f>
      </c>
      <c r="AU151" s="203">
        <f>IF($C151,'Backlog General'!$H151,"")</f>
      </c>
      <c r="AV151" s="202">
        <f>IF(AND($C151,ISNUMBER($AR151)),IF(OR($AT151="Completo",$AU151="Cancelado",$AU151="Baja prioridad"),$AR151,IF($AU151="Pasa al siguiente",MAX($AR151+1,$AS151),MAX($AR151,$AS151))),"")</f>
      </c>
      <c r="AW151" s="202">
        <f>IF(AND($C151,ISNUMBER($AR151)),$AQ151+$AR151*$AP151*'Sprints'!$D$5-'Sprints'!$D$5,"")</f>
      </c>
      <c r="AX151" s="202">
        <f>IF($C151,IF(OR($AT151="Completo",$AU151="Cancelado",$AU151="Baja prioridad",NOT(ISNUMBER($AW151))),0,IF(TODAY()&gt;$AW151,NETWORKDAYS($AW151,TODAY(),'Sprints'!$L$5:$L$40)-1,0)),"")</f>
      </c>
      <c r="AY151" s="203">
        <f>IF($C151,IF(NOT(ISNUMBER($AR151)),"Sin fecha",IF($AT151="Completo","Completo",IF($AU151="Cancelado","Cancelado",IF($AU151="Baja prioridad","Baja prioridad",IF($AX151&gt;0,"Vencida","Pendiente"))))),"")</f>
      </c>
      <c r="AZ151" s="203">
        <f>IF($C151,IF(ISNUMBER($AV151),$AO151&amp;" · S"&amp;$AV151,"(Sin fecha)"),"")</f>
      </c>
      <c r="BA151" s="202">
        <f>IF($C151,IF(AND(ISNUMBER('Backlog General'!$M151),'Backlog General'!$M151=$AS151),"Nuevo S"&amp;'Backlog General'!$M151,""),"")</f>
      </c>
      <c r="BB151" s="202">
        <f>IF(AND($C151,$AO151="Semanal",ISNUMBER($AV151)),$AV151*100000+ROW(),"")</f>
      </c>
      <c r="BC151" s="202">
        <f>IF(AND($C151,$AO151="Quincenal",ISNUMBER($AV151)),$AV151*100000+ROW(),"")</f>
      </c>
      <c r="BD151" s="202">
        <f>IF(AND($C151,$AO151="Mensual",ISNUMBER($AV151)),$AV151*100000+ROW(),"")</f>
      </c>
      <c r="BE151" s="203">
        <f>IF($C151,IF(ISBLANK('Backlog General'!$J151),"",'Backlog General'!$J151),"")</f>
      </c>
      <c r="BF151" s="203">
        <f>IF($C151,IF($BE151="","",$BE151)&amp;IF(AND($BE151&lt;&gt;"",$AH151&lt;&gt;"")," · ","")&amp;IF($AH151="","",$AH151),"")</f>
      </c>
      <c r="BG151" s="203">
        <f>IF($C151,IF($J151="Completado","Sí","No"),"")</f>
      </c>
      <c r="BH151" s="202">
        <f>IF(AND($C151,ISNUMBER($AR151)),IF($AO151="Semanal",1,IF($AO151="Quincenal",2,3))*1000000000+$AR151*100000+ROW(),"")</f>
      </c>
    </row>
    <row r="152">
      <c r="A152" s="202">
        <f>ROW()</f>
        <v>152</v>
      </c>
      <c r="B152" s="202" t="b">
        <f>ISTEXT('Proyecto Datos (OKR´s)'!$K152)</f>
        <v>0</v>
      </c>
      <c r="C152" s="202" t="b">
        <f>AND(LEN('Proyecto Datos (OKR´s)'!$G152)&gt;0,NOT($B152),OR(ISNUMBER('Proyecto Datos (OKR´s)'!$F152),ISNUMBER('Proyecto Datos (OKR´s)'!$L152)))</f>
        <v>0</v>
      </c>
      <c r="D152" s="203">
        <f>IF($C152,IFERROR(LOOKUP(2,1/((ISTEXT('Proyecto Datos (OKR´s)'!$K$7:$K152))*(LEN('Proyecto Datos (OKR´s)'!$G$7:$G152)&gt;0)),'Proyecto Datos (OKR´s)'!$G$7:$G152),""),"")</f>
      </c>
      <c r="E152" s="202">
        <f>IF($C152,'Proyecto Datos (OKR´s)'!$E152,"")</f>
      </c>
      <c r="F152" s="203">
        <f>IF($C152,'Proyecto Datos (OKR´s)'!$G152,"")</f>
      </c>
      <c r="G152" s="203">
        <f>IF($C152,IF('Proyecto Datos (OKR´s)'!$I152="","(Sin asignar)",'Proyecto Datos (OKR´s)'!$I152),"")</f>
      </c>
      <c r="H152" s="202">
        <f>IF($C152,IF(ISNUMBER('Proyecto Datos (OKR´s)'!$F152),'Proyecto Datos (OKR´s)'!$F152,""),"")</f>
      </c>
      <c r="I152" s="202">
        <f>IF($C152,'Proyecto Datos (OKR´s)'!$J152,"")</f>
      </c>
      <c r="J152" s="203">
        <f>IF($C152,IF($I152&gt;=1,"Completado",IF(NOT(ISNUMBER($H152)),"Sin fecha",IF($H152&lt;TODAY(),"Vencido",IF(($H152-TODAY())&lt;='Entregas Próximas'!$M$3,"Próximo a vencer","En curso")))),"")</f>
      </c>
      <c r="K152" s="202">
        <f>IF(AND($C152,ISNUMBER($H152)),$H152-TODAY(),"")</f>
      </c>
      <c r="L152" s="202">
        <f>IF(AND($C152,ISNUMBER($H152)),$AD152*1000000+$H152+ROW()/100000,"")</f>
      </c>
      <c r="M152" s="202">
        <f>IF($C152,IF($AD152=9999,"(Sin sprint)",$AD152),"")</f>
      </c>
      <c r="N152" s="202">
        <f>IF($C152,IF('Proyecto Datos (OKR´s)'!$E152="",9999,'Proyecto Datos (OKR´s)'!$E152),"")</f>
      </c>
      <c r="O152" s="202">
        <f>IF($C152,"T"&amp;TEXT(ROW(),"000"),"")</f>
      </c>
      <c r="R152" s="202">
        <f>IF($C152,IF(ISNUMBER('Proyecto Datos (OKR´s)'!$L152),'Proyecto Datos (OKR´s)'!$L152,$H152),"")</f>
      </c>
      <c r="S152" s="202">
        <f>IF($C152,$R152-'Proyecto Datos (OKR´s)'!$K152+1,"")</f>
      </c>
      <c r="T152" s="202">
        <f>IF($C152,MAX(0,TODAY()-'Proyecto Datos (OKR´s)'!$K152),"")</f>
      </c>
      <c r="U152" s="202">
        <f>IF($C152,MEDIAN(0,(TODAY()-'Proyecto Datos (OKR´s)'!$K152)/MAX(1,$R152-'Proyecto Datos (OKR´s)'!$K152),1),"")</f>
      </c>
      <c r="V152" s="202">
        <f>IF($C152,$I152-$U152,"")</f>
      </c>
      <c r="W152" s="202">
        <f>IF($C152,IF(OR($J152="Completado",NOT(ISNUMBER($H152))),0,MAX(0,TODAY()-$H152)),"")</f>
      </c>
      <c r="X152" s="202">
        <f>IF($C152,IF(ISNUMBER($H152),$R152-$H152,0),"")</f>
      </c>
      <c r="Y152" s="202">
        <f>IF($C152,COUNTIFS($G$7:$G$200,$G152,$J$7:$J$200,"&lt;&gt;Completado",$J$7:$J$200,"&lt;&gt;"),"")</f>
      </c>
      <c r="Z152" s="202">
        <f>IF($C152,AND($I152=0,'Proyecto Datos (OKR´s)'!$K152&lt;=TODAY(),$J152&lt;&gt;"Completado"),"")</f>
      </c>
      <c r="AA152" s="202">
        <f>IF($C152,ROUND(100*(0.35*$AK152+0.3*$AL152+0.2*$AM152+0.15*MEDIAN(0,($Y152-4)/8,1)),0),"")</f>
      </c>
      <c r="AB152" s="203">
        <f>IF($C152,IF(OR($J152="Completado",$J152="Sin fecha"),"—",IF($AA152&gt;=70,"Crítica",IF($AA152&gt;=45,"Alta",IF($AA152&gt;=25,"Media","Baja")))),"")</f>
      </c>
      <c r="AC152" s="203">
        <f>IF($C152,IF(LEN(TRIM($AN152))=0,"—",TRIM($AN152)),"")</f>
      </c>
      <c r="AD152" s="202">
        <f>IF($C152,$AV152,"")</f>
      </c>
      <c r="AE152" s="202">
        <f>IF($C152,$AZ152,"")</f>
      </c>
      <c r="AF152" s="202" t="b">
        <f>IF($C152,$AV152&lt;&gt;$AR152,FALSE)</f>
        <v>0</v>
      </c>
      <c r="AG152" s="202">
        <f>IF($C152,IF($AV152&lt;&gt;$AR152,$AW152,""),"")</f>
      </c>
      <c r="AH152" s="203">
        <f>IF($C152,IF(ISBLANK('Backlog General'!$K152),"",'Backlog General'!$K152),"")</f>
      </c>
      <c r="AI152" s="202">
        <f>IF($C152,$AV152*100000+ROW(),"")</f>
      </c>
      <c r="AJ152" s="202">
        <f>IF(AND($C152,ISNUMBER($H152)),$AA152*1000000-MEDIAN(-9999,$K152,9999)*100+(300-ROW()),"")</f>
      </c>
      <c r="AK152" s="202">
        <f>IF($C152,IF($J152="Completado",0,IF($K152&lt;0,1,IF($K152&lt;=3,0.9,IF($K152&lt;=7,0.7,IF($K152&lt;=14,0.45,0.2))))),"")</f>
      </c>
      <c r="AL152" s="202">
        <f>IF($C152,IF($J152="Completado",0,MEDIAN(0,MAX(-$V152,$W152/30),1)),"")</f>
      </c>
      <c r="AM152" s="202">
        <f>IF($C152,IF($J152="Completado",0,IF($Z152,1,IF(AND($I152&lt;0.5,$K152&lt;=7),0.7,0.3))),"")</f>
      </c>
      <c r="AN152" s="203">
        <f>IF($C152,IF(OR($V152&lt;-0.2,$W152&gt;0),"ATRASO ","")&amp;IF($Z152,"BLOQUEO ","")&amp;IF($Y152&gt;8,"SOBRECARGA ","")&amp;IF($X152&gt;0,"DESVÍO-PLAN ",""),"")</f>
      </c>
      <c r="AO152" s="203">
        <f>IF($C152,IFERROR(VLOOKUP($D152,'Sprints'!$I$5:$J$12,2,FALSE),"Semanal"),"")</f>
      </c>
      <c r="AP152" s="202">
        <f>IF($C152,IFERROR(VLOOKUP($AO152,'Sprints'!$B$9:$C$11,2,FALSE),1),"")</f>
      </c>
      <c r="AQ152" s="202">
        <f>IF($C152,'Sprints'!$C$5,"")</f>
      </c>
      <c r="AR152" s="202">
        <f>IF(AND($C152,ISNUMBER($H152)),CEILING(MAX(1,INT(($H152-$AQ152+'Sprints'!$D$5-1)/'Sprints'!$D$5)+1)/$AP152,1),"")</f>
      </c>
      <c r="AS152" s="202">
        <f>IF($C152,CEILING(MAX(1,INT((TODAY()-$AQ152+'Sprints'!$D$5-1)/'Sprints'!$D$5)+1)/$AP152,1),"")</f>
      </c>
      <c r="AT152" s="203">
        <f>IF($C152,'Backlog General'!$G152,"")</f>
      </c>
      <c r="AU152" s="203">
        <f>IF($C152,'Backlog General'!$H152,"")</f>
      </c>
      <c r="AV152" s="202">
        <f>IF(AND($C152,ISNUMBER($AR152)),IF(OR($AT152="Completo",$AU152="Cancelado",$AU152="Baja prioridad"),$AR152,IF($AU152="Pasa al siguiente",MAX($AR152+1,$AS152),MAX($AR152,$AS152))),"")</f>
      </c>
      <c r="AW152" s="202">
        <f>IF(AND($C152,ISNUMBER($AR152)),$AQ152+$AR152*$AP152*'Sprints'!$D$5-'Sprints'!$D$5,"")</f>
      </c>
      <c r="AX152" s="202">
        <f>IF($C152,IF(OR($AT152="Completo",$AU152="Cancelado",$AU152="Baja prioridad",NOT(ISNUMBER($AW152))),0,IF(TODAY()&gt;$AW152,NETWORKDAYS($AW152,TODAY(),'Sprints'!$L$5:$L$40)-1,0)),"")</f>
      </c>
      <c r="AY152" s="203">
        <f>IF($C152,IF(NOT(ISNUMBER($AR152)),"Sin fecha",IF($AT152="Completo","Completo",IF($AU152="Cancelado","Cancelado",IF($AU152="Baja prioridad","Baja prioridad",IF($AX152&gt;0,"Vencida","Pendiente"))))),"")</f>
      </c>
      <c r="AZ152" s="203">
        <f>IF($C152,IF(ISNUMBER($AV152),$AO152&amp;" · S"&amp;$AV152,"(Sin fecha)"),"")</f>
      </c>
      <c r="BA152" s="202">
        <f>IF($C152,IF(AND(ISNUMBER('Backlog General'!$M152),'Backlog General'!$M152=$AS152),"Nuevo S"&amp;'Backlog General'!$M152,""),"")</f>
      </c>
      <c r="BB152" s="202">
        <f>IF(AND($C152,$AO152="Semanal",ISNUMBER($AV152)),$AV152*100000+ROW(),"")</f>
      </c>
      <c r="BC152" s="202">
        <f>IF(AND($C152,$AO152="Quincenal",ISNUMBER($AV152)),$AV152*100000+ROW(),"")</f>
      </c>
      <c r="BD152" s="202">
        <f>IF(AND($C152,$AO152="Mensual",ISNUMBER($AV152)),$AV152*100000+ROW(),"")</f>
      </c>
      <c r="BE152" s="203">
        <f>IF($C152,IF(ISBLANK('Backlog General'!$J152),"",'Backlog General'!$J152),"")</f>
      </c>
      <c r="BF152" s="203">
        <f>IF($C152,IF($BE152="","",$BE152)&amp;IF(AND($BE152&lt;&gt;"",$AH152&lt;&gt;"")," · ","")&amp;IF($AH152="","",$AH152),"")</f>
      </c>
      <c r="BG152" s="203">
        <f>IF($C152,IF($J152="Completado","Sí","No"),"")</f>
      </c>
      <c r="BH152" s="202">
        <f>IF(AND($C152,ISNUMBER($AR152)),IF($AO152="Semanal",1,IF($AO152="Quincenal",2,3))*1000000000+$AR152*100000+ROW(),"")</f>
      </c>
    </row>
    <row r="153">
      <c r="A153" s="202">
        <f>ROW()</f>
        <v>153</v>
      </c>
      <c r="B153" s="202" t="b">
        <f>ISTEXT('Proyecto Datos (OKR´s)'!$K153)</f>
        <v>0</v>
      </c>
      <c r="C153" s="202" t="b">
        <f>AND(LEN('Proyecto Datos (OKR´s)'!$G153)&gt;0,NOT($B153),OR(ISNUMBER('Proyecto Datos (OKR´s)'!$F153),ISNUMBER('Proyecto Datos (OKR´s)'!$L153)))</f>
        <v>0</v>
      </c>
      <c r="D153" s="203">
        <f>IF($C153,IFERROR(LOOKUP(2,1/((ISTEXT('Proyecto Datos (OKR´s)'!$K$7:$K153))*(LEN('Proyecto Datos (OKR´s)'!$G$7:$G153)&gt;0)),'Proyecto Datos (OKR´s)'!$G$7:$G153),""),"")</f>
      </c>
      <c r="E153" s="202">
        <f>IF($C153,'Proyecto Datos (OKR´s)'!$E153,"")</f>
      </c>
      <c r="F153" s="203">
        <f>IF($C153,'Proyecto Datos (OKR´s)'!$G153,"")</f>
      </c>
      <c r="G153" s="203">
        <f>IF($C153,IF('Proyecto Datos (OKR´s)'!$I153="","(Sin asignar)",'Proyecto Datos (OKR´s)'!$I153),"")</f>
      </c>
      <c r="H153" s="202">
        <f>IF($C153,IF(ISNUMBER('Proyecto Datos (OKR´s)'!$F153),'Proyecto Datos (OKR´s)'!$F153,""),"")</f>
      </c>
      <c r="I153" s="202">
        <f>IF($C153,'Proyecto Datos (OKR´s)'!$J153,"")</f>
      </c>
      <c r="J153" s="203">
        <f>IF($C153,IF($I153&gt;=1,"Completado",IF(NOT(ISNUMBER($H153)),"Sin fecha",IF($H153&lt;TODAY(),"Vencido",IF(($H153-TODAY())&lt;='Entregas Próximas'!$M$3,"Próximo a vencer","En curso")))),"")</f>
      </c>
      <c r="K153" s="202">
        <f>IF(AND($C153,ISNUMBER($H153)),$H153-TODAY(),"")</f>
      </c>
      <c r="L153" s="202">
        <f>IF(AND($C153,ISNUMBER($H153)),$AD153*1000000+$H153+ROW()/100000,"")</f>
      </c>
      <c r="M153" s="202">
        <f>IF($C153,IF($AD153=9999,"(Sin sprint)",$AD153),"")</f>
      </c>
      <c r="N153" s="202">
        <f>IF($C153,IF('Proyecto Datos (OKR´s)'!$E153="",9999,'Proyecto Datos (OKR´s)'!$E153),"")</f>
      </c>
      <c r="O153" s="202">
        <f>IF($C153,"T"&amp;TEXT(ROW(),"000"),"")</f>
      </c>
      <c r="R153" s="202">
        <f>IF($C153,IF(ISNUMBER('Proyecto Datos (OKR´s)'!$L153),'Proyecto Datos (OKR´s)'!$L153,$H153),"")</f>
      </c>
      <c r="S153" s="202">
        <f>IF($C153,$R153-'Proyecto Datos (OKR´s)'!$K153+1,"")</f>
      </c>
      <c r="T153" s="202">
        <f>IF($C153,MAX(0,TODAY()-'Proyecto Datos (OKR´s)'!$K153),"")</f>
      </c>
      <c r="U153" s="202">
        <f>IF($C153,MEDIAN(0,(TODAY()-'Proyecto Datos (OKR´s)'!$K153)/MAX(1,$R153-'Proyecto Datos (OKR´s)'!$K153),1),"")</f>
      </c>
      <c r="V153" s="202">
        <f>IF($C153,$I153-$U153,"")</f>
      </c>
      <c r="W153" s="202">
        <f>IF($C153,IF(OR($J153="Completado",NOT(ISNUMBER($H153))),0,MAX(0,TODAY()-$H153)),"")</f>
      </c>
      <c r="X153" s="202">
        <f>IF($C153,IF(ISNUMBER($H153),$R153-$H153,0),"")</f>
      </c>
      <c r="Y153" s="202">
        <f>IF($C153,COUNTIFS($G$7:$G$200,$G153,$J$7:$J$200,"&lt;&gt;Completado",$J$7:$J$200,"&lt;&gt;"),"")</f>
      </c>
      <c r="Z153" s="202">
        <f>IF($C153,AND($I153=0,'Proyecto Datos (OKR´s)'!$K153&lt;=TODAY(),$J153&lt;&gt;"Completado"),"")</f>
      </c>
      <c r="AA153" s="202">
        <f>IF($C153,ROUND(100*(0.35*$AK153+0.3*$AL153+0.2*$AM153+0.15*MEDIAN(0,($Y153-4)/8,1)),0),"")</f>
      </c>
      <c r="AB153" s="203">
        <f>IF($C153,IF(OR($J153="Completado",$J153="Sin fecha"),"—",IF($AA153&gt;=70,"Crítica",IF($AA153&gt;=45,"Alta",IF($AA153&gt;=25,"Media","Baja")))),"")</f>
      </c>
      <c r="AC153" s="203">
        <f>IF($C153,IF(LEN(TRIM($AN153))=0,"—",TRIM($AN153)),"")</f>
      </c>
      <c r="AD153" s="202">
        <f>IF($C153,$AV153,"")</f>
      </c>
      <c r="AE153" s="202">
        <f>IF($C153,$AZ153,"")</f>
      </c>
      <c r="AF153" s="202" t="b">
        <f>IF($C153,$AV153&lt;&gt;$AR153,FALSE)</f>
        <v>0</v>
      </c>
      <c r="AG153" s="202">
        <f>IF($C153,IF($AV153&lt;&gt;$AR153,$AW153,""),"")</f>
      </c>
      <c r="AH153" s="203">
        <f>IF($C153,IF(ISBLANK('Backlog General'!$K153),"",'Backlog General'!$K153),"")</f>
      </c>
      <c r="AI153" s="202">
        <f>IF($C153,$AV153*100000+ROW(),"")</f>
      </c>
      <c r="AJ153" s="202">
        <f>IF(AND($C153,ISNUMBER($H153)),$AA153*1000000-MEDIAN(-9999,$K153,9999)*100+(300-ROW()),"")</f>
      </c>
      <c r="AK153" s="202">
        <f>IF($C153,IF($J153="Completado",0,IF($K153&lt;0,1,IF($K153&lt;=3,0.9,IF($K153&lt;=7,0.7,IF($K153&lt;=14,0.45,0.2))))),"")</f>
      </c>
      <c r="AL153" s="202">
        <f>IF($C153,IF($J153="Completado",0,MEDIAN(0,MAX(-$V153,$W153/30),1)),"")</f>
      </c>
      <c r="AM153" s="202">
        <f>IF($C153,IF($J153="Completado",0,IF($Z153,1,IF(AND($I153&lt;0.5,$K153&lt;=7),0.7,0.3))),"")</f>
      </c>
      <c r="AN153" s="203">
        <f>IF($C153,IF(OR($V153&lt;-0.2,$W153&gt;0),"ATRASO ","")&amp;IF($Z153,"BLOQUEO ","")&amp;IF($Y153&gt;8,"SOBRECARGA ","")&amp;IF($X153&gt;0,"DESVÍO-PLAN ",""),"")</f>
      </c>
      <c r="AO153" s="203">
        <f>IF($C153,IFERROR(VLOOKUP($D153,'Sprints'!$I$5:$J$12,2,FALSE),"Semanal"),"")</f>
      </c>
      <c r="AP153" s="202">
        <f>IF($C153,IFERROR(VLOOKUP($AO153,'Sprints'!$B$9:$C$11,2,FALSE),1),"")</f>
      </c>
      <c r="AQ153" s="202">
        <f>IF($C153,'Sprints'!$C$5,"")</f>
      </c>
      <c r="AR153" s="202">
        <f>IF(AND($C153,ISNUMBER($H153)),CEILING(MAX(1,INT(($H153-$AQ153+'Sprints'!$D$5-1)/'Sprints'!$D$5)+1)/$AP153,1),"")</f>
      </c>
      <c r="AS153" s="202">
        <f>IF($C153,CEILING(MAX(1,INT((TODAY()-$AQ153+'Sprints'!$D$5-1)/'Sprints'!$D$5)+1)/$AP153,1),"")</f>
      </c>
      <c r="AT153" s="203">
        <f>IF($C153,'Backlog General'!$G153,"")</f>
      </c>
      <c r="AU153" s="203">
        <f>IF($C153,'Backlog General'!$H153,"")</f>
      </c>
      <c r="AV153" s="202">
        <f>IF(AND($C153,ISNUMBER($AR153)),IF(OR($AT153="Completo",$AU153="Cancelado",$AU153="Baja prioridad"),$AR153,IF($AU153="Pasa al siguiente",MAX($AR153+1,$AS153),MAX($AR153,$AS153))),"")</f>
      </c>
      <c r="AW153" s="202">
        <f>IF(AND($C153,ISNUMBER($AR153)),$AQ153+$AR153*$AP153*'Sprints'!$D$5-'Sprints'!$D$5,"")</f>
      </c>
      <c r="AX153" s="202">
        <f>IF($C153,IF(OR($AT153="Completo",$AU153="Cancelado",$AU153="Baja prioridad",NOT(ISNUMBER($AW153))),0,IF(TODAY()&gt;$AW153,NETWORKDAYS($AW153,TODAY(),'Sprints'!$L$5:$L$40)-1,0)),"")</f>
      </c>
      <c r="AY153" s="203">
        <f>IF($C153,IF(NOT(ISNUMBER($AR153)),"Sin fecha",IF($AT153="Completo","Completo",IF($AU153="Cancelado","Cancelado",IF($AU153="Baja prioridad","Baja prioridad",IF($AX153&gt;0,"Vencida","Pendiente"))))),"")</f>
      </c>
      <c r="AZ153" s="203">
        <f>IF($C153,IF(ISNUMBER($AV153),$AO153&amp;" · S"&amp;$AV153,"(Sin fecha)"),"")</f>
      </c>
      <c r="BA153" s="202">
        <f>IF($C153,IF(AND(ISNUMBER('Backlog General'!$M153),'Backlog General'!$M153=$AS153),"Nuevo S"&amp;'Backlog General'!$M153,""),"")</f>
      </c>
      <c r="BB153" s="202">
        <f>IF(AND($C153,$AO153="Semanal",ISNUMBER($AV153)),$AV153*100000+ROW(),"")</f>
      </c>
      <c r="BC153" s="202">
        <f>IF(AND($C153,$AO153="Quincenal",ISNUMBER($AV153)),$AV153*100000+ROW(),"")</f>
      </c>
      <c r="BD153" s="202">
        <f>IF(AND($C153,$AO153="Mensual",ISNUMBER($AV153)),$AV153*100000+ROW(),"")</f>
      </c>
      <c r="BE153" s="203">
        <f>IF($C153,IF(ISBLANK('Backlog General'!$J153),"",'Backlog General'!$J153),"")</f>
      </c>
      <c r="BF153" s="203">
        <f>IF($C153,IF($BE153="","",$BE153)&amp;IF(AND($BE153&lt;&gt;"",$AH153&lt;&gt;"")," · ","")&amp;IF($AH153="","",$AH153),"")</f>
      </c>
      <c r="BG153" s="203">
        <f>IF($C153,IF($J153="Completado","Sí","No"),"")</f>
      </c>
      <c r="BH153" s="202">
        <f>IF(AND($C153,ISNUMBER($AR153)),IF($AO153="Semanal",1,IF($AO153="Quincenal",2,3))*1000000000+$AR153*100000+ROW(),"")</f>
      </c>
    </row>
    <row r="154">
      <c r="A154" s="202">
        <f>ROW()</f>
        <v>154</v>
      </c>
      <c r="B154" s="202" t="b">
        <f>ISTEXT('Proyecto Datos (OKR´s)'!$K154)</f>
        <v>0</v>
      </c>
      <c r="C154" s="202" t="b">
        <f>AND(LEN('Proyecto Datos (OKR´s)'!$G154)&gt;0,NOT($B154),OR(ISNUMBER('Proyecto Datos (OKR´s)'!$F154),ISNUMBER('Proyecto Datos (OKR´s)'!$L154)))</f>
        <v>0</v>
      </c>
      <c r="D154" s="203">
        <f>IF($C154,IFERROR(LOOKUP(2,1/((ISTEXT('Proyecto Datos (OKR´s)'!$K$7:$K154))*(LEN('Proyecto Datos (OKR´s)'!$G$7:$G154)&gt;0)),'Proyecto Datos (OKR´s)'!$G$7:$G154),""),"")</f>
      </c>
      <c r="E154" s="202">
        <f>IF($C154,'Proyecto Datos (OKR´s)'!$E154,"")</f>
      </c>
      <c r="F154" s="203">
        <f>IF($C154,'Proyecto Datos (OKR´s)'!$G154,"")</f>
      </c>
      <c r="G154" s="203">
        <f>IF($C154,IF('Proyecto Datos (OKR´s)'!$I154="","(Sin asignar)",'Proyecto Datos (OKR´s)'!$I154),"")</f>
      </c>
      <c r="H154" s="202">
        <f>IF($C154,IF(ISNUMBER('Proyecto Datos (OKR´s)'!$F154),'Proyecto Datos (OKR´s)'!$F154,""),"")</f>
      </c>
      <c r="I154" s="202">
        <f>IF($C154,'Proyecto Datos (OKR´s)'!$J154,"")</f>
      </c>
      <c r="J154" s="203">
        <f>IF($C154,IF($I154&gt;=1,"Completado",IF(NOT(ISNUMBER($H154)),"Sin fecha",IF($H154&lt;TODAY(),"Vencido",IF(($H154-TODAY())&lt;='Entregas Próximas'!$M$3,"Próximo a vencer","En curso")))),"")</f>
      </c>
      <c r="K154" s="202">
        <f>IF(AND($C154,ISNUMBER($H154)),$H154-TODAY(),"")</f>
      </c>
      <c r="L154" s="202">
        <f>IF(AND($C154,ISNUMBER($H154)),$AD154*1000000+$H154+ROW()/100000,"")</f>
      </c>
      <c r="M154" s="202">
        <f>IF($C154,IF($AD154=9999,"(Sin sprint)",$AD154),"")</f>
      </c>
      <c r="N154" s="202">
        <f>IF($C154,IF('Proyecto Datos (OKR´s)'!$E154="",9999,'Proyecto Datos (OKR´s)'!$E154),"")</f>
      </c>
      <c r="O154" s="202">
        <f>IF($C154,"T"&amp;TEXT(ROW(),"000"),"")</f>
      </c>
      <c r="R154" s="202">
        <f>IF($C154,IF(ISNUMBER('Proyecto Datos (OKR´s)'!$L154),'Proyecto Datos (OKR´s)'!$L154,$H154),"")</f>
      </c>
      <c r="S154" s="202">
        <f>IF($C154,$R154-'Proyecto Datos (OKR´s)'!$K154+1,"")</f>
      </c>
      <c r="T154" s="202">
        <f>IF($C154,MAX(0,TODAY()-'Proyecto Datos (OKR´s)'!$K154),"")</f>
      </c>
      <c r="U154" s="202">
        <f>IF($C154,MEDIAN(0,(TODAY()-'Proyecto Datos (OKR´s)'!$K154)/MAX(1,$R154-'Proyecto Datos (OKR´s)'!$K154),1),"")</f>
      </c>
      <c r="V154" s="202">
        <f>IF($C154,$I154-$U154,"")</f>
      </c>
      <c r="W154" s="202">
        <f>IF($C154,IF(OR($J154="Completado",NOT(ISNUMBER($H154))),0,MAX(0,TODAY()-$H154)),"")</f>
      </c>
      <c r="X154" s="202">
        <f>IF($C154,IF(ISNUMBER($H154),$R154-$H154,0),"")</f>
      </c>
      <c r="Y154" s="202">
        <f>IF($C154,COUNTIFS($G$7:$G$200,$G154,$J$7:$J$200,"&lt;&gt;Completado",$J$7:$J$200,"&lt;&gt;"),"")</f>
      </c>
      <c r="Z154" s="202">
        <f>IF($C154,AND($I154=0,'Proyecto Datos (OKR´s)'!$K154&lt;=TODAY(),$J154&lt;&gt;"Completado"),"")</f>
      </c>
      <c r="AA154" s="202">
        <f>IF($C154,ROUND(100*(0.35*$AK154+0.3*$AL154+0.2*$AM154+0.15*MEDIAN(0,($Y154-4)/8,1)),0),"")</f>
      </c>
      <c r="AB154" s="203">
        <f>IF($C154,IF(OR($J154="Completado",$J154="Sin fecha"),"—",IF($AA154&gt;=70,"Crítica",IF($AA154&gt;=45,"Alta",IF($AA154&gt;=25,"Media","Baja")))),"")</f>
      </c>
      <c r="AC154" s="203">
        <f>IF($C154,IF(LEN(TRIM($AN154))=0,"—",TRIM($AN154)),"")</f>
      </c>
      <c r="AD154" s="202">
        <f>IF($C154,$AV154,"")</f>
      </c>
      <c r="AE154" s="202">
        <f>IF($C154,$AZ154,"")</f>
      </c>
      <c r="AF154" s="202" t="b">
        <f>IF($C154,$AV154&lt;&gt;$AR154,FALSE)</f>
        <v>0</v>
      </c>
      <c r="AG154" s="202">
        <f>IF($C154,IF($AV154&lt;&gt;$AR154,$AW154,""),"")</f>
      </c>
      <c r="AH154" s="203">
        <f>IF($C154,IF(ISBLANK('Backlog General'!$K154),"",'Backlog General'!$K154),"")</f>
      </c>
      <c r="AI154" s="202">
        <f>IF($C154,$AV154*100000+ROW(),"")</f>
      </c>
      <c r="AJ154" s="202">
        <f>IF(AND($C154,ISNUMBER($H154)),$AA154*1000000-MEDIAN(-9999,$K154,9999)*100+(300-ROW()),"")</f>
      </c>
      <c r="AK154" s="202">
        <f>IF($C154,IF($J154="Completado",0,IF($K154&lt;0,1,IF($K154&lt;=3,0.9,IF($K154&lt;=7,0.7,IF($K154&lt;=14,0.45,0.2))))),"")</f>
      </c>
      <c r="AL154" s="202">
        <f>IF($C154,IF($J154="Completado",0,MEDIAN(0,MAX(-$V154,$W154/30),1)),"")</f>
      </c>
      <c r="AM154" s="202">
        <f>IF($C154,IF($J154="Completado",0,IF($Z154,1,IF(AND($I154&lt;0.5,$K154&lt;=7),0.7,0.3))),"")</f>
      </c>
      <c r="AN154" s="203">
        <f>IF($C154,IF(OR($V154&lt;-0.2,$W154&gt;0),"ATRASO ","")&amp;IF($Z154,"BLOQUEO ","")&amp;IF($Y154&gt;8,"SOBRECARGA ","")&amp;IF($X154&gt;0,"DESVÍO-PLAN ",""),"")</f>
      </c>
      <c r="AO154" s="203">
        <f>IF($C154,IFERROR(VLOOKUP($D154,'Sprints'!$I$5:$J$12,2,FALSE),"Semanal"),"")</f>
      </c>
      <c r="AP154" s="202">
        <f>IF($C154,IFERROR(VLOOKUP($AO154,'Sprints'!$B$9:$C$11,2,FALSE),1),"")</f>
      </c>
      <c r="AQ154" s="202">
        <f>IF($C154,'Sprints'!$C$5,"")</f>
      </c>
      <c r="AR154" s="202">
        <f>IF(AND($C154,ISNUMBER($H154)),CEILING(MAX(1,INT(($H154-$AQ154+'Sprints'!$D$5-1)/'Sprints'!$D$5)+1)/$AP154,1),"")</f>
      </c>
      <c r="AS154" s="202">
        <f>IF($C154,CEILING(MAX(1,INT((TODAY()-$AQ154+'Sprints'!$D$5-1)/'Sprints'!$D$5)+1)/$AP154,1),"")</f>
      </c>
      <c r="AT154" s="203">
        <f>IF($C154,'Backlog General'!$G154,"")</f>
      </c>
      <c r="AU154" s="203">
        <f>IF($C154,'Backlog General'!$H154,"")</f>
      </c>
      <c r="AV154" s="202">
        <f>IF(AND($C154,ISNUMBER($AR154)),IF(OR($AT154="Completo",$AU154="Cancelado",$AU154="Baja prioridad"),$AR154,IF($AU154="Pasa al siguiente",MAX($AR154+1,$AS154),MAX($AR154,$AS154))),"")</f>
      </c>
      <c r="AW154" s="202">
        <f>IF(AND($C154,ISNUMBER($AR154)),$AQ154+$AR154*$AP154*'Sprints'!$D$5-'Sprints'!$D$5,"")</f>
      </c>
      <c r="AX154" s="202">
        <f>IF($C154,IF(OR($AT154="Completo",$AU154="Cancelado",$AU154="Baja prioridad",NOT(ISNUMBER($AW154))),0,IF(TODAY()&gt;$AW154,NETWORKDAYS($AW154,TODAY(),'Sprints'!$L$5:$L$40)-1,0)),"")</f>
      </c>
      <c r="AY154" s="203">
        <f>IF($C154,IF(NOT(ISNUMBER($AR154)),"Sin fecha",IF($AT154="Completo","Completo",IF($AU154="Cancelado","Cancelado",IF($AU154="Baja prioridad","Baja prioridad",IF($AX154&gt;0,"Vencida","Pendiente"))))),"")</f>
      </c>
      <c r="AZ154" s="203">
        <f>IF($C154,IF(ISNUMBER($AV154),$AO154&amp;" · S"&amp;$AV154,"(Sin fecha)"),"")</f>
      </c>
      <c r="BA154" s="202">
        <f>IF($C154,IF(AND(ISNUMBER('Backlog General'!$M154),'Backlog General'!$M154=$AS154),"Nuevo S"&amp;'Backlog General'!$M154,""),"")</f>
      </c>
      <c r="BB154" s="202">
        <f>IF(AND($C154,$AO154="Semanal",ISNUMBER($AV154)),$AV154*100000+ROW(),"")</f>
      </c>
      <c r="BC154" s="202">
        <f>IF(AND($C154,$AO154="Quincenal",ISNUMBER($AV154)),$AV154*100000+ROW(),"")</f>
      </c>
      <c r="BD154" s="202">
        <f>IF(AND($C154,$AO154="Mensual",ISNUMBER($AV154)),$AV154*100000+ROW(),"")</f>
      </c>
      <c r="BE154" s="203">
        <f>IF($C154,IF(ISBLANK('Backlog General'!$J154),"",'Backlog General'!$J154),"")</f>
      </c>
      <c r="BF154" s="203">
        <f>IF($C154,IF($BE154="","",$BE154)&amp;IF(AND($BE154&lt;&gt;"",$AH154&lt;&gt;"")," · ","")&amp;IF($AH154="","",$AH154),"")</f>
      </c>
      <c r="BG154" s="203">
        <f>IF($C154,IF($J154="Completado","Sí","No"),"")</f>
      </c>
      <c r="BH154" s="202">
        <f>IF(AND($C154,ISNUMBER($AR154)),IF($AO154="Semanal",1,IF($AO154="Quincenal",2,3))*1000000000+$AR154*100000+ROW(),"")</f>
      </c>
    </row>
    <row r="155">
      <c r="A155" s="202">
        <f>ROW()</f>
        <v>155</v>
      </c>
      <c r="B155" s="202" t="b">
        <f>ISTEXT('Proyecto Datos (OKR´s)'!$K155)</f>
        <v>0</v>
      </c>
      <c r="C155" s="202" t="b">
        <f>AND(LEN('Proyecto Datos (OKR´s)'!$G155)&gt;0,NOT($B155),OR(ISNUMBER('Proyecto Datos (OKR´s)'!$F155),ISNUMBER('Proyecto Datos (OKR´s)'!$L155)))</f>
        <v>0</v>
      </c>
      <c r="D155" s="203">
        <f>IF($C155,IFERROR(LOOKUP(2,1/((ISTEXT('Proyecto Datos (OKR´s)'!$K$7:$K155))*(LEN('Proyecto Datos (OKR´s)'!$G$7:$G155)&gt;0)),'Proyecto Datos (OKR´s)'!$G$7:$G155),""),"")</f>
      </c>
      <c r="E155" s="202">
        <f>IF($C155,'Proyecto Datos (OKR´s)'!$E155,"")</f>
      </c>
      <c r="F155" s="203">
        <f>IF($C155,'Proyecto Datos (OKR´s)'!$G155,"")</f>
      </c>
      <c r="G155" s="203">
        <f>IF($C155,IF('Proyecto Datos (OKR´s)'!$I155="","(Sin asignar)",'Proyecto Datos (OKR´s)'!$I155),"")</f>
      </c>
      <c r="H155" s="202">
        <f>IF($C155,IF(ISNUMBER('Proyecto Datos (OKR´s)'!$F155),'Proyecto Datos (OKR´s)'!$F155,""),"")</f>
      </c>
      <c r="I155" s="202">
        <f>IF($C155,'Proyecto Datos (OKR´s)'!$J155,"")</f>
      </c>
      <c r="J155" s="203">
        <f>IF($C155,IF($I155&gt;=1,"Completado",IF(NOT(ISNUMBER($H155)),"Sin fecha",IF($H155&lt;TODAY(),"Vencido",IF(($H155-TODAY())&lt;='Entregas Próximas'!$M$3,"Próximo a vencer","En curso")))),"")</f>
      </c>
      <c r="K155" s="202">
        <f>IF(AND($C155,ISNUMBER($H155)),$H155-TODAY(),"")</f>
      </c>
      <c r="L155" s="202">
        <f>IF(AND($C155,ISNUMBER($H155)),$AD155*1000000+$H155+ROW()/100000,"")</f>
      </c>
      <c r="M155" s="202">
        <f>IF($C155,IF($AD155=9999,"(Sin sprint)",$AD155),"")</f>
      </c>
      <c r="N155" s="202">
        <f>IF($C155,IF('Proyecto Datos (OKR´s)'!$E155="",9999,'Proyecto Datos (OKR´s)'!$E155),"")</f>
      </c>
      <c r="O155" s="202">
        <f>IF($C155,"T"&amp;TEXT(ROW(),"000"),"")</f>
      </c>
      <c r="R155" s="202">
        <f>IF($C155,IF(ISNUMBER('Proyecto Datos (OKR´s)'!$L155),'Proyecto Datos (OKR´s)'!$L155,$H155),"")</f>
      </c>
      <c r="S155" s="202">
        <f>IF($C155,$R155-'Proyecto Datos (OKR´s)'!$K155+1,"")</f>
      </c>
      <c r="T155" s="202">
        <f>IF($C155,MAX(0,TODAY()-'Proyecto Datos (OKR´s)'!$K155),"")</f>
      </c>
      <c r="U155" s="202">
        <f>IF($C155,MEDIAN(0,(TODAY()-'Proyecto Datos (OKR´s)'!$K155)/MAX(1,$R155-'Proyecto Datos (OKR´s)'!$K155),1),"")</f>
      </c>
      <c r="V155" s="202">
        <f>IF($C155,$I155-$U155,"")</f>
      </c>
      <c r="W155" s="202">
        <f>IF($C155,IF(OR($J155="Completado",NOT(ISNUMBER($H155))),0,MAX(0,TODAY()-$H155)),"")</f>
      </c>
      <c r="X155" s="202">
        <f>IF($C155,IF(ISNUMBER($H155),$R155-$H155,0),"")</f>
      </c>
      <c r="Y155" s="202">
        <f>IF($C155,COUNTIFS($G$7:$G$200,$G155,$J$7:$J$200,"&lt;&gt;Completado",$J$7:$J$200,"&lt;&gt;"),"")</f>
      </c>
      <c r="Z155" s="202">
        <f>IF($C155,AND($I155=0,'Proyecto Datos (OKR´s)'!$K155&lt;=TODAY(),$J155&lt;&gt;"Completado"),"")</f>
      </c>
      <c r="AA155" s="202">
        <f>IF($C155,ROUND(100*(0.35*$AK155+0.3*$AL155+0.2*$AM155+0.15*MEDIAN(0,($Y155-4)/8,1)),0),"")</f>
      </c>
      <c r="AB155" s="203">
        <f>IF($C155,IF(OR($J155="Completado",$J155="Sin fecha"),"—",IF($AA155&gt;=70,"Crítica",IF($AA155&gt;=45,"Alta",IF($AA155&gt;=25,"Media","Baja")))),"")</f>
      </c>
      <c r="AC155" s="203">
        <f>IF($C155,IF(LEN(TRIM($AN155))=0,"—",TRIM($AN155)),"")</f>
      </c>
      <c r="AD155" s="202">
        <f>IF($C155,$AV155,"")</f>
      </c>
      <c r="AE155" s="202">
        <f>IF($C155,$AZ155,"")</f>
      </c>
      <c r="AF155" s="202" t="b">
        <f>IF($C155,$AV155&lt;&gt;$AR155,FALSE)</f>
        <v>0</v>
      </c>
      <c r="AG155" s="202">
        <f>IF($C155,IF($AV155&lt;&gt;$AR155,$AW155,""),"")</f>
      </c>
      <c r="AH155" s="203">
        <f>IF($C155,IF(ISBLANK('Backlog General'!$K155),"",'Backlog General'!$K155),"")</f>
      </c>
      <c r="AI155" s="202">
        <f>IF($C155,$AV155*100000+ROW(),"")</f>
      </c>
      <c r="AJ155" s="202">
        <f>IF(AND($C155,ISNUMBER($H155)),$AA155*1000000-MEDIAN(-9999,$K155,9999)*100+(300-ROW()),"")</f>
      </c>
      <c r="AK155" s="202">
        <f>IF($C155,IF($J155="Completado",0,IF($K155&lt;0,1,IF($K155&lt;=3,0.9,IF($K155&lt;=7,0.7,IF($K155&lt;=14,0.45,0.2))))),"")</f>
      </c>
      <c r="AL155" s="202">
        <f>IF($C155,IF($J155="Completado",0,MEDIAN(0,MAX(-$V155,$W155/30),1)),"")</f>
      </c>
      <c r="AM155" s="202">
        <f>IF($C155,IF($J155="Completado",0,IF($Z155,1,IF(AND($I155&lt;0.5,$K155&lt;=7),0.7,0.3))),"")</f>
      </c>
      <c r="AN155" s="203">
        <f>IF($C155,IF(OR($V155&lt;-0.2,$W155&gt;0),"ATRASO ","")&amp;IF($Z155,"BLOQUEO ","")&amp;IF($Y155&gt;8,"SOBRECARGA ","")&amp;IF($X155&gt;0,"DESVÍO-PLAN ",""),"")</f>
      </c>
      <c r="AO155" s="203">
        <f>IF($C155,IFERROR(VLOOKUP($D155,'Sprints'!$I$5:$J$12,2,FALSE),"Semanal"),"")</f>
      </c>
      <c r="AP155" s="202">
        <f>IF($C155,IFERROR(VLOOKUP($AO155,'Sprints'!$B$9:$C$11,2,FALSE),1),"")</f>
      </c>
      <c r="AQ155" s="202">
        <f>IF($C155,'Sprints'!$C$5,"")</f>
      </c>
      <c r="AR155" s="202">
        <f>IF(AND($C155,ISNUMBER($H155)),CEILING(MAX(1,INT(($H155-$AQ155+'Sprints'!$D$5-1)/'Sprints'!$D$5)+1)/$AP155,1),"")</f>
      </c>
      <c r="AS155" s="202">
        <f>IF($C155,CEILING(MAX(1,INT((TODAY()-$AQ155+'Sprints'!$D$5-1)/'Sprints'!$D$5)+1)/$AP155,1),"")</f>
      </c>
      <c r="AT155" s="203">
        <f>IF($C155,'Backlog General'!$G155,"")</f>
      </c>
      <c r="AU155" s="203">
        <f>IF($C155,'Backlog General'!$H155,"")</f>
      </c>
      <c r="AV155" s="202">
        <f>IF(AND($C155,ISNUMBER($AR155)),IF(OR($AT155="Completo",$AU155="Cancelado",$AU155="Baja prioridad"),$AR155,IF($AU155="Pasa al siguiente",MAX($AR155+1,$AS155),MAX($AR155,$AS155))),"")</f>
      </c>
      <c r="AW155" s="202">
        <f>IF(AND($C155,ISNUMBER($AR155)),$AQ155+$AR155*$AP155*'Sprints'!$D$5-'Sprints'!$D$5,"")</f>
      </c>
      <c r="AX155" s="202">
        <f>IF($C155,IF(OR($AT155="Completo",$AU155="Cancelado",$AU155="Baja prioridad",NOT(ISNUMBER($AW155))),0,IF(TODAY()&gt;$AW155,NETWORKDAYS($AW155,TODAY(),'Sprints'!$L$5:$L$40)-1,0)),"")</f>
      </c>
      <c r="AY155" s="203">
        <f>IF($C155,IF(NOT(ISNUMBER($AR155)),"Sin fecha",IF($AT155="Completo","Completo",IF($AU155="Cancelado","Cancelado",IF($AU155="Baja prioridad","Baja prioridad",IF($AX155&gt;0,"Vencida","Pendiente"))))),"")</f>
      </c>
      <c r="AZ155" s="203">
        <f>IF($C155,IF(ISNUMBER($AV155),$AO155&amp;" · S"&amp;$AV155,"(Sin fecha)"),"")</f>
      </c>
      <c r="BA155" s="202">
        <f>IF($C155,IF(AND(ISNUMBER('Backlog General'!$M155),'Backlog General'!$M155=$AS155),"Nuevo S"&amp;'Backlog General'!$M155,""),"")</f>
      </c>
      <c r="BB155" s="202">
        <f>IF(AND($C155,$AO155="Semanal",ISNUMBER($AV155)),$AV155*100000+ROW(),"")</f>
      </c>
      <c r="BC155" s="202">
        <f>IF(AND($C155,$AO155="Quincenal",ISNUMBER($AV155)),$AV155*100000+ROW(),"")</f>
      </c>
      <c r="BD155" s="202">
        <f>IF(AND($C155,$AO155="Mensual",ISNUMBER($AV155)),$AV155*100000+ROW(),"")</f>
      </c>
      <c r="BE155" s="203">
        <f>IF($C155,IF(ISBLANK('Backlog General'!$J155),"",'Backlog General'!$J155),"")</f>
      </c>
      <c r="BF155" s="203">
        <f>IF($C155,IF($BE155="","",$BE155)&amp;IF(AND($BE155&lt;&gt;"",$AH155&lt;&gt;"")," · ","")&amp;IF($AH155="","",$AH155),"")</f>
      </c>
      <c r="BG155" s="203">
        <f>IF($C155,IF($J155="Completado","Sí","No"),"")</f>
      </c>
      <c r="BH155" s="202">
        <f>IF(AND($C155,ISNUMBER($AR155)),IF($AO155="Semanal",1,IF($AO155="Quincenal",2,3))*1000000000+$AR155*100000+ROW(),"")</f>
      </c>
    </row>
    <row r="156">
      <c r="A156" s="202">
        <f>ROW()</f>
        <v>156</v>
      </c>
      <c r="B156" s="202" t="b">
        <f>ISTEXT('Proyecto Datos (OKR´s)'!$K156)</f>
        <v>0</v>
      </c>
      <c r="C156" s="202" t="b">
        <f>AND(LEN('Proyecto Datos (OKR´s)'!$G156)&gt;0,NOT($B156),OR(ISNUMBER('Proyecto Datos (OKR´s)'!$F156),ISNUMBER('Proyecto Datos (OKR´s)'!$L156)))</f>
        <v>0</v>
      </c>
      <c r="D156" s="203">
        <f>IF($C156,IFERROR(LOOKUP(2,1/((ISTEXT('Proyecto Datos (OKR´s)'!$K$7:$K156))*(LEN('Proyecto Datos (OKR´s)'!$G$7:$G156)&gt;0)),'Proyecto Datos (OKR´s)'!$G$7:$G156),""),"")</f>
      </c>
      <c r="E156" s="202">
        <f>IF($C156,'Proyecto Datos (OKR´s)'!$E156,"")</f>
      </c>
      <c r="F156" s="203">
        <f>IF($C156,'Proyecto Datos (OKR´s)'!$G156,"")</f>
      </c>
      <c r="G156" s="203">
        <f>IF($C156,IF('Proyecto Datos (OKR´s)'!$I156="","(Sin asignar)",'Proyecto Datos (OKR´s)'!$I156),"")</f>
      </c>
      <c r="H156" s="202">
        <f>IF($C156,IF(ISNUMBER('Proyecto Datos (OKR´s)'!$F156),'Proyecto Datos (OKR´s)'!$F156,""),"")</f>
      </c>
      <c r="I156" s="202">
        <f>IF($C156,'Proyecto Datos (OKR´s)'!$J156,"")</f>
      </c>
      <c r="J156" s="203">
        <f>IF($C156,IF($I156&gt;=1,"Completado",IF(NOT(ISNUMBER($H156)),"Sin fecha",IF($H156&lt;TODAY(),"Vencido",IF(($H156-TODAY())&lt;='Entregas Próximas'!$M$3,"Próximo a vencer","En curso")))),"")</f>
      </c>
      <c r="K156" s="202">
        <f>IF(AND($C156,ISNUMBER($H156)),$H156-TODAY(),"")</f>
      </c>
      <c r="L156" s="202">
        <f>IF(AND($C156,ISNUMBER($H156)),$AD156*1000000+$H156+ROW()/100000,"")</f>
      </c>
      <c r="M156" s="202">
        <f>IF($C156,IF($AD156=9999,"(Sin sprint)",$AD156),"")</f>
      </c>
      <c r="N156" s="202">
        <f>IF($C156,IF('Proyecto Datos (OKR´s)'!$E156="",9999,'Proyecto Datos (OKR´s)'!$E156),"")</f>
      </c>
      <c r="O156" s="202">
        <f>IF($C156,"T"&amp;TEXT(ROW(),"000"),"")</f>
      </c>
      <c r="R156" s="202">
        <f>IF($C156,IF(ISNUMBER('Proyecto Datos (OKR´s)'!$L156),'Proyecto Datos (OKR´s)'!$L156,$H156),"")</f>
      </c>
      <c r="S156" s="202">
        <f>IF($C156,$R156-'Proyecto Datos (OKR´s)'!$K156+1,"")</f>
      </c>
      <c r="T156" s="202">
        <f>IF($C156,MAX(0,TODAY()-'Proyecto Datos (OKR´s)'!$K156),"")</f>
      </c>
      <c r="U156" s="202">
        <f>IF($C156,MEDIAN(0,(TODAY()-'Proyecto Datos (OKR´s)'!$K156)/MAX(1,$R156-'Proyecto Datos (OKR´s)'!$K156),1),"")</f>
      </c>
      <c r="V156" s="202">
        <f>IF($C156,$I156-$U156,"")</f>
      </c>
      <c r="W156" s="202">
        <f>IF($C156,IF(OR($J156="Completado",NOT(ISNUMBER($H156))),0,MAX(0,TODAY()-$H156)),"")</f>
      </c>
      <c r="X156" s="202">
        <f>IF($C156,IF(ISNUMBER($H156),$R156-$H156,0),"")</f>
      </c>
      <c r="Y156" s="202">
        <f>IF($C156,COUNTIFS($G$7:$G$200,$G156,$J$7:$J$200,"&lt;&gt;Completado",$J$7:$J$200,"&lt;&gt;"),"")</f>
      </c>
      <c r="Z156" s="202">
        <f>IF($C156,AND($I156=0,'Proyecto Datos (OKR´s)'!$K156&lt;=TODAY(),$J156&lt;&gt;"Completado"),"")</f>
      </c>
      <c r="AA156" s="202">
        <f>IF($C156,ROUND(100*(0.35*$AK156+0.3*$AL156+0.2*$AM156+0.15*MEDIAN(0,($Y156-4)/8,1)),0),"")</f>
      </c>
      <c r="AB156" s="203">
        <f>IF($C156,IF(OR($J156="Completado",$J156="Sin fecha"),"—",IF($AA156&gt;=70,"Crítica",IF($AA156&gt;=45,"Alta",IF($AA156&gt;=25,"Media","Baja")))),"")</f>
      </c>
      <c r="AC156" s="203">
        <f>IF($C156,IF(LEN(TRIM($AN156))=0,"—",TRIM($AN156)),"")</f>
      </c>
      <c r="AD156" s="202">
        <f>IF($C156,$AV156,"")</f>
      </c>
      <c r="AE156" s="202">
        <f>IF($C156,$AZ156,"")</f>
      </c>
      <c r="AF156" s="202" t="b">
        <f>IF($C156,$AV156&lt;&gt;$AR156,FALSE)</f>
        <v>0</v>
      </c>
      <c r="AG156" s="202">
        <f>IF($C156,IF($AV156&lt;&gt;$AR156,$AW156,""),"")</f>
      </c>
      <c r="AH156" s="203">
        <f>IF($C156,IF(ISBLANK('Backlog General'!$K156),"",'Backlog General'!$K156),"")</f>
      </c>
      <c r="AI156" s="202">
        <f>IF($C156,$AV156*100000+ROW(),"")</f>
      </c>
      <c r="AJ156" s="202">
        <f>IF(AND($C156,ISNUMBER($H156)),$AA156*1000000-MEDIAN(-9999,$K156,9999)*100+(300-ROW()),"")</f>
      </c>
      <c r="AK156" s="202">
        <f>IF($C156,IF($J156="Completado",0,IF($K156&lt;0,1,IF($K156&lt;=3,0.9,IF($K156&lt;=7,0.7,IF($K156&lt;=14,0.45,0.2))))),"")</f>
      </c>
      <c r="AL156" s="202">
        <f>IF($C156,IF($J156="Completado",0,MEDIAN(0,MAX(-$V156,$W156/30),1)),"")</f>
      </c>
      <c r="AM156" s="202">
        <f>IF($C156,IF($J156="Completado",0,IF($Z156,1,IF(AND($I156&lt;0.5,$K156&lt;=7),0.7,0.3))),"")</f>
      </c>
      <c r="AN156" s="203">
        <f>IF($C156,IF(OR($V156&lt;-0.2,$W156&gt;0),"ATRASO ","")&amp;IF($Z156,"BLOQUEO ","")&amp;IF($Y156&gt;8,"SOBRECARGA ","")&amp;IF($X156&gt;0,"DESVÍO-PLAN ",""),"")</f>
      </c>
      <c r="AO156" s="203">
        <f>IF($C156,IFERROR(VLOOKUP($D156,'Sprints'!$I$5:$J$12,2,FALSE),"Semanal"),"")</f>
      </c>
      <c r="AP156" s="202">
        <f>IF($C156,IFERROR(VLOOKUP($AO156,'Sprints'!$B$9:$C$11,2,FALSE),1),"")</f>
      </c>
      <c r="AQ156" s="202">
        <f>IF($C156,'Sprints'!$C$5,"")</f>
      </c>
      <c r="AR156" s="202">
        <f>IF(AND($C156,ISNUMBER($H156)),CEILING(MAX(1,INT(($H156-$AQ156+'Sprints'!$D$5-1)/'Sprints'!$D$5)+1)/$AP156,1),"")</f>
      </c>
      <c r="AS156" s="202">
        <f>IF($C156,CEILING(MAX(1,INT((TODAY()-$AQ156+'Sprints'!$D$5-1)/'Sprints'!$D$5)+1)/$AP156,1),"")</f>
      </c>
      <c r="AT156" s="203">
        <f>IF($C156,'Backlog General'!$G156,"")</f>
      </c>
      <c r="AU156" s="203">
        <f>IF($C156,'Backlog General'!$H156,"")</f>
      </c>
      <c r="AV156" s="202">
        <f>IF(AND($C156,ISNUMBER($AR156)),IF(OR($AT156="Completo",$AU156="Cancelado",$AU156="Baja prioridad"),$AR156,IF($AU156="Pasa al siguiente",MAX($AR156+1,$AS156),MAX($AR156,$AS156))),"")</f>
      </c>
      <c r="AW156" s="202">
        <f>IF(AND($C156,ISNUMBER($AR156)),$AQ156+$AR156*$AP156*'Sprints'!$D$5-'Sprints'!$D$5,"")</f>
      </c>
      <c r="AX156" s="202">
        <f>IF($C156,IF(OR($AT156="Completo",$AU156="Cancelado",$AU156="Baja prioridad",NOT(ISNUMBER($AW156))),0,IF(TODAY()&gt;$AW156,NETWORKDAYS($AW156,TODAY(),'Sprints'!$L$5:$L$40)-1,0)),"")</f>
      </c>
      <c r="AY156" s="203">
        <f>IF($C156,IF(NOT(ISNUMBER($AR156)),"Sin fecha",IF($AT156="Completo","Completo",IF($AU156="Cancelado","Cancelado",IF($AU156="Baja prioridad","Baja prioridad",IF($AX156&gt;0,"Vencida","Pendiente"))))),"")</f>
      </c>
      <c r="AZ156" s="203">
        <f>IF($C156,IF(ISNUMBER($AV156),$AO156&amp;" · S"&amp;$AV156,"(Sin fecha)"),"")</f>
      </c>
      <c r="BA156" s="202">
        <f>IF($C156,IF(AND(ISNUMBER('Backlog General'!$M156),'Backlog General'!$M156=$AS156),"Nuevo S"&amp;'Backlog General'!$M156,""),"")</f>
      </c>
      <c r="BB156" s="202">
        <f>IF(AND($C156,$AO156="Semanal",ISNUMBER($AV156)),$AV156*100000+ROW(),"")</f>
      </c>
      <c r="BC156" s="202">
        <f>IF(AND($C156,$AO156="Quincenal",ISNUMBER($AV156)),$AV156*100000+ROW(),"")</f>
      </c>
      <c r="BD156" s="202">
        <f>IF(AND($C156,$AO156="Mensual",ISNUMBER($AV156)),$AV156*100000+ROW(),"")</f>
      </c>
      <c r="BE156" s="203">
        <f>IF($C156,IF(ISBLANK('Backlog General'!$J156),"",'Backlog General'!$J156),"")</f>
      </c>
      <c r="BF156" s="203">
        <f>IF($C156,IF($BE156="","",$BE156)&amp;IF(AND($BE156&lt;&gt;"",$AH156&lt;&gt;"")," · ","")&amp;IF($AH156="","",$AH156),"")</f>
      </c>
      <c r="BG156" s="203">
        <f>IF($C156,IF($J156="Completado","Sí","No"),"")</f>
      </c>
      <c r="BH156" s="202">
        <f>IF(AND($C156,ISNUMBER($AR156)),IF($AO156="Semanal",1,IF($AO156="Quincenal",2,3))*1000000000+$AR156*100000+ROW(),"")</f>
      </c>
    </row>
    <row r="157">
      <c r="A157" s="202">
        <f>ROW()</f>
        <v>157</v>
      </c>
      <c r="B157" s="202" t="b">
        <f>ISTEXT('Proyecto Datos (OKR´s)'!$K157)</f>
        <v>0</v>
      </c>
      <c r="C157" s="202" t="b">
        <f>AND(LEN('Proyecto Datos (OKR´s)'!$G157)&gt;0,NOT($B157),OR(ISNUMBER('Proyecto Datos (OKR´s)'!$F157),ISNUMBER('Proyecto Datos (OKR´s)'!$L157)))</f>
        <v>0</v>
      </c>
      <c r="D157" s="203">
        <f>IF($C157,IFERROR(LOOKUP(2,1/((ISTEXT('Proyecto Datos (OKR´s)'!$K$7:$K157))*(LEN('Proyecto Datos (OKR´s)'!$G$7:$G157)&gt;0)),'Proyecto Datos (OKR´s)'!$G$7:$G157),""),"")</f>
      </c>
      <c r="E157" s="202">
        <f>IF($C157,'Proyecto Datos (OKR´s)'!$E157,"")</f>
      </c>
      <c r="F157" s="203">
        <f>IF($C157,'Proyecto Datos (OKR´s)'!$G157,"")</f>
      </c>
      <c r="G157" s="203">
        <f>IF($C157,IF('Proyecto Datos (OKR´s)'!$I157="","(Sin asignar)",'Proyecto Datos (OKR´s)'!$I157),"")</f>
      </c>
      <c r="H157" s="202">
        <f>IF($C157,IF(ISNUMBER('Proyecto Datos (OKR´s)'!$F157),'Proyecto Datos (OKR´s)'!$F157,""),"")</f>
      </c>
      <c r="I157" s="202">
        <f>IF($C157,'Proyecto Datos (OKR´s)'!$J157,"")</f>
      </c>
      <c r="J157" s="203">
        <f>IF($C157,IF($I157&gt;=1,"Completado",IF(NOT(ISNUMBER($H157)),"Sin fecha",IF($H157&lt;TODAY(),"Vencido",IF(($H157-TODAY())&lt;='Entregas Próximas'!$M$3,"Próximo a vencer","En curso")))),"")</f>
      </c>
      <c r="K157" s="202">
        <f>IF(AND($C157,ISNUMBER($H157)),$H157-TODAY(),"")</f>
      </c>
      <c r="L157" s="202">
        <f>IF(AND($C157,ISNUMBER($H157)),$AD157*1000000+$H157+ROW()/100000,"")</f>
      </c>
      <c r="M157" s="202">
        <f>IF($C157,IF($AD157=9999,"(Sin sprint)",$AD157),"")</f>
      </c>
      <c r="N157" s="202">
        <f>IF($C157,IF('Proyecto Datos (OKR´s)'!$E157="",9999,'Proyecto Datos (OKR´s)'!$E157),"")</f>
      </c>
      <c r="O157" s="202">
        <f>IF($C157,"T"&amp;TEXT(ROW(),"000"),"")</f>
      </c>
      <c r="R157" s="202">
        <f>IF($C157,IF(ISNUMBER('Proyecto Datos (OKR´s)'!$L157),'Proyecto Datos (OKR´s)'!$L157,$H157),"")</f>
      </c>
      <c r="S157" s="202">
        <f>IF($C157,$R157-'Proyecto Datos (OKR´s)'!$K157+1,"")</f>
      </c>
      <c r="T157" s="202">
        <f>IF($C157,MAX(0,TODAY()-'Proyecto Datos (OKR´s)'!$K157),"")</f>
      </c>
      <c r="U157" s="202">
        <f>IF($C157,MEDIAN(0,(TODAY()-'Proyecto Datos (OKR´s)'!$K157)/MAX(1,$R157-'Proyecto Datos (OKR´s)'!$K157),1),"")</f>
      </c>
      <c r="V157" s="202">
        <f>IF($C157,$I157-$U157,"")</f>
      </c>
      <c r="W157" s="202">
        <f>IF($C157,IF(OR($J157="Completado",NOT(ISNUMBER($H157))),0,MAX(0,TODAY()-$H157)),"")</f>
      </c>
      <c r="X157" s="202">
        <f>IF($C157,IF(ISNUMBER($H157),$R157-$H157,0),"")</f>
      </c>
      <c r="Y157" s="202">
        <f>IF($C157,COUNTIFS($G$7:$G$200,$G157,$J$7:$J$200,"&lt;&gt;Completado",$J$7:$J$200,"&lt;&gt;"),"")</f>
      </c>
      <c r="Z157" s="202">
        <f>IF($C157,AND($I157=0,'Proyecto Datos (OKR´s)'!$K157&lt;=TODAY(),$J157&lt;&gt;"Completado"),"")</f>
      </c>
      <c r="AA157" s="202">
        <f>IF($C157,ROUND(100*(0.35*$AK157+0.3*$AL157+0.2*$AM157+0.15*MEDIAN(0,($Y157-4)/8,1)),0),"")</f>
      </c>
      <c r="AB157" s="203">
        <f>IF($C157,IF(OR($J157="Completado",$J157="Sin fecha"),"—",IF($AA157&gt;=70,"Crítica",IF($AA157&gt;=45,"Alta",IF($AA157&gt;=25,"Media","Baja")))),"")</f>
      </c>
      <c r="AC157" s="203">
        <f>IF($C157,IF(LEN(TRIM($AN157))=0,"—",TRIM($AN157)),"")</f>
      </c>
      <c r="AD157" s="202">
        <f>IF($C157,$AV157,"")</f>
      </c>
      <c r="AE157" s="202">
        <f>IF($C157,$AZ157,"")</f>
      </c>
      <c r="AF157" s="202" t="b">
        <f>IF($C157,$AV157&lt;&gt;$AR157,FALSE)</f>
        <v>0</v>
      </c>
      <c r="AG157" s="202">
        <f>IF($C157,IF($AV157&lt;&gt;$AR157,$AW157,""),"")</f>
      </c>
      <c r="AH157" s="203">
        <f>IF($C157,IF(ISBLANK('Backlog General'!$K157),"",'Backlog General'!$K157),"")</f>
      </c>
      <c r="AI157" s="202">
        <f>IF($C157,$AV157*100000+ROW(),"")</f>
      </c>
      <c r="AJ157" s="202">
        <f>IF(AND($C157,ISNUMBER($H157)),$AA157*1000000-MEDIAN(-9999,$K157,9999)*100+(300-ROW()),"")</f>
      </c>
      <c r="AK157" s="202">
        <f>IF($C157,IF($J157="Completado",0,IF($K157&lt;0,1,IF($K157&lt;=3,0.9,IF($K157&lt;=7,0.7,IF($K157&lt;=14,0.45,0.2))))),"")</f>
      </c>
      <c r="AL157" s="202">
        <f>IF($C157,IF($J157="Completado",0,MEDIAN(0,MAX(-$V157,$W157/30),1)),"")</f>
      </c>
      <c r="AM157" s="202">
        <f>IF($C157,IF($J157="Completado",0,IF($Z157,1,IF(AND($I157&lt;0.5,$K157&lt;=7),0.7,0.3))),"")</f>
      </c>
      <c r="AN157" s="203">
        <f>IF($C157,IF(OR($V157&lt;-0.2,$W157&gt;0),"ATRASO ","")&amp;IF($Z157,"BLOQUEO ","")&amp;IF($Y157&gt;8,"SOBRECARGA ","")&amp;IF($X157&gt;0,"DESVÍO-PLAN ",""),"")</f>
      </c>
      <c r="AO157" s="203">
        <f>IF($C157,IFERROR(VLOOKUP($D157,'Sprints'!$I$5:$J$12,2,FALSE),"Semanal"),"")</f>
      </c>
      <c r="AP157" s="202">
        <f>IF($C157,IFERROR(VLOOKUP($AO157,'Sprints'!$B$9:$C$11,2,FALSE),1),"")</f>
      </c>
      <c r="AQ157" s="202">
        <f>IF($C157,'Sprints'!$C$5,"")</f>
      </c>
      <c r="AR157" s="202">
        <f>IF(AND($C157,ISNUMBER($H157)),CEILING(MAX(1,INT(($H157-$AQ157+'Sprints'!$D$5-1)/'Sprints'!$D$5)+1)/$AP157,1),"")</f>
      </c>
      <c r="AS157" s="202">
        <f>IF($C157,CEILING(MAX(1,INT((TODAY()-$AQ157+'Sprints'!$D$5-1)/'Sprints'!$D$5)+1)/$AP157,1),"")</f>
      </c>
      <c r="AT157" s="203">
        <f>IF($C157,'Backlog General'!$G157,"")</f>
      </c>
      <c r="AU157" s="203">
        <f>IF($C157,'Backlog General'!$H157,"")</f>
      </c>
      <c r="AV157" s="202">
        <f>IF(AND($C157,ISNUMBER($AR157)),IF(OR($AT157="Completo",$AU157="Cancelado",$AU157="Baja prioridad"),$AR157,IF($AU157="Pasa al siguiente",MAX($AR157+1,$AS157),MAX($AR157,$AS157))),"")</f>
      </c>
      <c r="AW157" s="202">
        <f>IF(AND($C157,ISNUMBER($AR157)),$AQ157+$AR157*$AP157*'Sprints'!$D$5-'Sprints'!$D$5,"")</f>
      </c>
      <c r="AX157" s="202">
        <f>IF($C157,IF(OR($AT157="Completo",$AU157="Cancelado",$AU157="Baja prioridad",NOT(ISNUMBER($AW157))),0,IF(TODAY()&gt;$AW157,NETWORKDAYS($AW157,TODAY(),'Sprints'!$L$5:$L$40)-1,0)),"")</f>
      </c>
      <c r="AY157" s="203">
        <f>IF($C157,IF(NOT(ISNUMBER($AR157)),"Sin fecha",IF($AT157="Completo","Completo",IF($AU157="Cancelado","Cancelado",IF($AU157="Baja prioridad","Baja prioridad",IF($AX157&gt;0,"Vencida","Pendiente"))))),"")</f>
      </c>
      <c r="AZ157" s="203">
        <f>IF($C157,IF(ISNUMBER($AV157),$AO157&amp;" · S"&amp;$AV157,"(Sin fecha)"),"")</f>
      </c>
      <c r="BA157" s="202">
        <f>IF($C157,IF(AND(ISNUMBER('Backlog General'!$M157),'Backlog General'!$M157=$AS157),"Nuevo S"&amp;'Backlog General'!$M157,""),"")</f>
      </c>
      <c r="BB157" s="202">
        <f>IF(AND($C157,$AO157="Semanal",ISNUMBER($AV157)),$AV157*100000+ROW(),"")</f>
      </c>
      <c r="BC157" s="202">
        <f>IF(AND($C157,$AO157="Quincenal",ISNUMBER($AV157)),$AV157*100000+ROW(),"")</f>
      </c>
      <c r="BD157" s="202">
        <f>IF(AND($C157,$AO157="Mensual",ISNUMBER($AV157)),$AV157*100000+ROW(),"")</f>
      </c>
      <c r="BE157" s="203">
        <f>IF($C157,IF(ISBLANK('Backlog General'!$J157),"",'Backlog General'!$J157),"")</f>
      </c>
      <c r="BF157" s="203">
        <f>IF($C157,IF($BE157="","",$BE157)&amp;IF(AND($BE157&lt;&gt;"",$AH157&lt;&gt;"")," · ","")&amp;IF($AH157="","",$AH157),"")</f>
      </c>
      <c r="BG157" s="203">
        <f>IF($C157,IF($J157="Completado","Sí","No"),"")</f>
      </c>
      <c r="BH157" s="202">
        <f>IF(AND($C157,ISNUMBER($AR157)),IF($AO157="Semanal",1,IF($AO157="Quincenal",2,3))*1000000000+$AR157*100000+ROW(),"")</f>
      </c>
    </row>
    <row r="158">
      <c r="A158" s="202">
        <f>ROW()</f>
        <v>158</v>
      </c>
      <c r="B158" s="202" t="b">
        <f>ISTEXT('Proyecto Datos (OKR´s)'!$K158)</f>
        <v>0</v>
      </c>
      <c r="C158" s="202" t="b">
        <f>AND(LEN('Proyecto Datos (OKR´s)'!$G158)&gt;0,NOT($B158),OR(ISNUMBER('Proyecto Datos (OKR´s)'!$F158),ISNUMBER('Proyecto Datos (OKR´s)'!$L158)))</f>
        <v>0</v>
      </c>
      <c r="D158" s="203">
        <f>IF($C158,IFERROR(LOOKUP(2,1/((ISTEXT('Proyecto Datos (OKR´s)'!$K$7:$K158))*(LEN('Proyecto Datos (OKR´s)'!$G$7:$G158)&gt;0)),'Proyecto Datos (OKR´s)'!$G$7:$G158),""),"")</f>
      </c>
      <c r="E158" s="202">
        <f>IF($C158,'Proyecto Datos (OKR´s)'!$E158,"")</f>
      </c>
      <c r="F158" s="203">
        <f>IF($C158,'Proyecto Datos (OKR´s)'!$G158,"")</f>
      </c>
      <c r="G158" s="203">
        <f>IF($C158,IF('Proyecto Datos (OKR´s)'!$I158="","(Sin asignar)",'Proyecto Datos (OKR´s)'!$I158),"")</f>
      </c>
      <c r="H158" s="202">
        <f>IF($C158,IF(ISNUMBER('Proyecto Datos (OKR´s)'!$F158),'Proyecto Datos (OKR´s)'!$F158,""),"")</f>
      </c>
      <c r="I158" s="202">
        <f>IF($C158,'Proyecto Datos (OKR´s)'!$J158,"")</f>
      </c>
      <c r="J158" s="203">
        <f>IF($C158,IF($I158&gt;=1,"Completado",IF(NOT(ISNUMBER($H158)),"Sin fecha",IF($H158&lt;TODAY(),"Vencido",IF(($H158-TODAY())&lt;='Entregas Próximas'!$M$3,"Próximo a vencer","En curso")))),"")</f>
      </c>
      <c r="K158" s="202">
        <f>IF(AND($C158,ISNUMBER($H158)),$H158-TODAY(),"")</f>
      </c>
      <c r="L158" s="202">
        <f>IF(AND($C158,ISNUMBER($H158)),$AD158*1000000+$H158+ROW()/100000,"")</f>
      </c>
      <c r="M158" s="202">
        <f>IF($C158,IF($AD158=9999,"(Sin sprint)",$AD158),"")</f>
      </c>
      <c r="N158" s="202">
        <f>IF($C158,IF('Proyecto Datos (OKR´s)'!$E158="",9999,'Proyecto Datos (OKR´s)'!$E158),"")</f>
      </c>
      <c r="O158" s="202">
        <f>IF($C158,"T"&amp;TEXT(ROW(),"000"),"")</f>
      </c>
      <c r="R158" s="202">
        <f>IF($C158,IF(ISNUMBER('Proyecto Datos (OKR´s)'!$L158),'Proyecto Datos (OKR´s)'!$L158,$H158),"")</f>
      </c>
      <c r="S158" s="202">
        <f>IF($C158,$R158-'Proyecto Datos (OKR´s)'!$K158+1,"")</f>
      </c>
      <c r="T158" s="202">
        <f>IF($C158,MAX(0,TODAY()-'Proyecto Datos (OKR´s)'!$K158),"")</f>
      </c>
      <c r="U158" s="202">
        <f>IF($C158,MEDIAN(0,(TODAY()-'Proyecto Datos (OKR´s)'!$K158)/MAX(1,$R158-'Proyecto Datos (OKR´s)'!$K158),1),"")</f>
      </c>
      <c r="V158" s="202">
        <f>IF($C158,$I158-$U158,"")</f>
      </c>
      <c r="W158" s="202">
        <f>IF($C158,IF(OR($J158="Completado",NOT(ISNUMBER($H158))),0,MAX(0,TODAY()-$H158)),"")</f>
      </c>
      <c r="X158" s="202">
        <f>IF($C158,IF(ISNUMBER($H158),$R158-$H158,0),"")</f>
      </c>
      <c r="Y158" s="202">
        <f>IF($C158,COUNTIFS($G$7:$G$200,$G158,$J$7:$J$200,"&lt;&gt;Completado",$J$7:$J$200,"&lt;&gt;"),"")</f>
      </c>
      <c r="Z158" s="202">
        <f>IF($C158,AND($I158=0,'Proyecto Datos (OKR´s)'!$K158&lt;=TODAY(),$J158&lt;&gt;"Completado"),"")</f>
      </c>
      <c r="AA158" s="202">
        <f>IF($C158,ROUND(100*(0.35*$AK158+0.3*$AL158+0.2*$AM158+0.15*MEDIAN(0,($Y158-4)/8,1)),0),"")</f>
      </c>
      <c r="AB158" s="203">
        <f>IF($C158,IF(OR($J158="Completado",$J158="Sin fecha"),"—",IF($AA158&gt;=70,"Crítica",IF($AA158&gt;=45,"Alta",IF($AA158&gt;=25,"Media","Baja")))),"")</f>
      </c>
      <c r="AC158" s="203">
        <f>IF($C158,IF(LEN(TRIM($AN158))=0,"—",TRIM($AN158)),"")</f>
      </c>
      <c r="AD158" s="202">
        <f>IF($C158,$AV158,"")</f>
      </c>
      <c r="AE158" s="202">
        <f>IF($C158,$AZ158,"")</f>
      </c>
      <c r="AF158" s="202" t="b">
        <f>IF($C158,$AV158&lt;&gt;$AR158,FALSE)</f>
        <v>0</v>
      </c>
      <c r="AG158" s="202">
        <f>IF($C158,IF($AV158&lt;&gt;$AR158,$AW158,""),"")</f>
      </c>
      <c r="AH158" s="203">
        <f>IF($C158,IF(ISBLANK('Backlog General'!$K158),"",'Backlog General'!$K158),"")</f>
      </c>
      <c r="AI158" s="202">
        <f>IF($C158,$AV158*100000+ROW(),"")</f>
      </c>
      <c r="AJ158" s="202">
        <f>IF(AND($C158,ISNUMBER($H158)),$AA158*1000000-MEDIAN(-9999,$K158,9999)*100+(300-ROW()),"")</f>
      </c>
      <c r="AK158" s="202">
        <f>IF($C158,IF($J158="Completado",0,IF($K158&lt;0,1,IF($K158&lt;=3,0.9,IF($K158&lt;=7,0.7,IF($K158&lt;=14,0.45,0.2))))),"")</f>
      </c>
      <c r="AL158" s="202">
        <f>IF($C158,IF($J158="Completado",0,MEDIAN(0,MAX(-$V158,$W158/30),1)),"")</f>
      </c>
      <c r="AM158" s="202">
        <f>IF($C158,IF($J158="Completado",0,IF($Z158,1,IF(AND($I158&lt;0.5,$K158&lt;=7),0.7,0.3))),"")</f>
      </c>
      <c r="AN158" s="203">
        <f>IF($C158,IF(OR($V158&lt;-0.2,$W158&gt;0),"ATRASO ","")&amp;IF($Z158,"BLOQUEO ","")&amp;IF($Y158&gt;8,"SOBRECARGA ","")&amp;IF($X158&gt;0,"DESVÍO-PLAN ",""),"")</f>
      </c>
      <c r="AO158" s="203">
        <f>IF($C158,IFERROR(VLOOKUP($D158,'Sprints'!$I$5:$J$12,2,FALSE),"Semanal"),"")</f>
      </c>
      <c r="AP158" s="202">
        <f>IF($C158,IFERROR(VLOOKUP($AO158,'Sprints'!$B$9:$C$11,2,FALSE),1),"")</f>
      </c>
      <c r="AQ158" s="202">
        <f>IF($C158,'Sprints'!$C$5,"")</f>
      </c>
      <c r="AR158" s="202">
        <f>IF(AND($C158,ISNUMBER($H158)),CEILING(MAX(1,INT(($H158-$AQ158+'Sprints'!$D$5-1)/'Sprints'!$D$5)+1)/$AP158,1),"")</f>
      </c>
      <c r="AS158" s="202">
        <f>IF($C158,CEILING(MAX(1,INT((TODAY()-$AQ158+'Sprints'!$D$5-1)/'Sprints'!$D$5)+1)/$AP158,1),"")</f>
      </c>
      <c r="AT158" s="203">
        <f>IF($C158,'Backlog General'!$G158,"")</f>
      </c>
      <c r="AU158" s="203">
        <f>IF($C158,'Backlog General'!$H158,"")</f>
      </c>
      <c r="AV158" s="202">
        <f>IF(AND($C158,ISNUMBER($AR158)),IF(OR($AT158="Completo",$AU158="Cancelado",$AU158="Baja prioridad"),$AR158,IF($AU158="Pasa al siguiente",MAX($AR158+1,$AS158),MAX($AR158,$AS158))),"")</f>
      </c>
      <c r="AW158" s="202">
        <f>IF(AND($C158,ISNUMBER($AR158)),$AQ158+$AR158*$AP158*'Sprints'!$D$5-'Sprints'!$D$5,"")</f>
      </c>
      <c r="AX158" s="202">
        <f>IF($C158,IF(OR($AT158="Completo",$AU158="Cancelado",$AU158="Baja prioridad",NOT(ISNUMBER($AW158))),0,IF(TODAY()&gt;$AW158,NETWORKDAYS($AW158,TODAY(),'Sprints'!$L$5:$L$40)-1,0)),"")</f>
      </c>
      <c r="AY158" s="203">
        <f>IF($C158,IF(NOT(ISNUMBER($AR158)),"Sin fecha",IF($AT158="Completo","Completo",IF($AU158="Cancelado","Cancelado",IF($AU158="Baja prioridad","Baja prioridad",IF($AX158&gt;0,"Vencida","Pendiente"))))),"")</f>
      </c>
      <c r="AZ158" s="203">
        <f>IF($C158,IF(ISNUMBER($AV158),$AO158&amp;" · S"&amp;$AV158,"(Sin fecha)"),"")</f>
      </c>
      <c r="BA158" s="202">
        <f>IF($C158,IF(AND(ISNUMBER('Backlog General'!$M158),'Backlog General'!$M158=$AS158),"Nuevo S"&amp;'Backlog General'!$M158,""),"")</f>
      </c>
      <c r="BB158" s="202">
        <f>IF(AND($C158,$AO158="Semanal",ISNUMBER($AV158)),$AV158*100000+ROW(),"")</f>
      </c>
      <c r="BC158" s="202">
        <f>IF(AND($C158,$AO158="Quincenal",ISNUMBER($AV158)),$AV158*100000+ROW(),"")</f>
      </c>
      <c r="BD158" s="202">
        <f>IF(AND($C158,$AO158="Mensual",ISNUMBER($AV158)),$AV158*100000+ROW(),"")</f>
      </c>
      <c r="BE158" s="203">
        <f>IF($C158,IF(ISBLANK('Backlog General'!$J158),"",'Backlog General'!$J158),"")</f>
      </c>
      <c r="BF158" s="203">
        <f>IF($C158,IF($BE158="","",$BE158)&amp;IF(AND($BE158&lt;&gt;"",$AH158&lt;&gt;"")," · ","")&amp;IF($AH158="","",$AH158),"")</f>
      </c>
      <c r="BG158" s="203">
        <f>IF($C158,IF($J158="Completado","Sí","No"),"")</f>
      </c>
      <c r="BH158" s="202">
        <f>IF(AND($C158,ISNUMBER($AR158)),IF($AO158="Semanal",1,IF($AO158="Quincenal",2,3))*1000000000+$AR158*100000+ROW(),"")</f>
      </c>
    </row>
    <row r="159">
      <c r="A159" s="202">
        <f>ROW()</f>
        <v>159</v>
      </c>
      <c r="B159" s="202" t="b">
        <f>ISTEXT('Proyecto Datos (OKR´s)'!$K159)</f>
        <v>0</v>
      </c>
      <c r="C159" s="202" t="b">
        <f>AND(LEN('Proyecto Datos (OKR´s)'!$G159)&gt;0,NOT($B159),OR(ISNUMBER('Proyecto Datos (OKR´s)'!$F159),ISNUMBER('Proyecto Datos (OKR´s)'!$L159)))</f>
        <v>0</v>
      </c>
      <c r="D159" s="203">
        <f>IF($C159,IFERROR(LOOKUP(2,1/((ISTEXT('Proyecto Datos (OKR´s)'!$K$7:$K159))*(LEN('Proyecto Datos (OKR´s)'!$G$7:$G159)&gt;0)),'Proyecto Datos (OKR´s)'!$G$7:$G159),""),"")</f>
      </c>
      <c r="E159" s="202">
        <f>IF($C159,'Proyecto Datos (OKR´s)'!$E159,"")</f>
      </c>
      <c r="F159" s="203">
        <f>IF($C159,'Proyecto Datos (OKR´s)'!$G159,"")</f>
      </c>
      <c r="G159" s="203">
        <f>IF($C159,IF('Proyecto Datos (OKR´s)'!$I159="","(Sin asignar)",'Proyecto Datos (OKR´s)'!$I159),"")</f>
      </c>
      <c r="H159" s="202">
        <f>IF($C159,IF(ISNUMBER('Proyecto Datos (OKR´s)'!$F159),'Proyecto Datos (OKR´s)'!$F159,""),"")</f>
      </c>
      <c r="I159" s="202">
        <f>IF($C159,'Proyecto Datos (OKR´s)'!$J159,"")</f>
      </c>
      <c r="J159" s="203">
        <f>IF($C159,IF($I159&gt;=1,"Completado",IF(NOT(ISNUMBER($H159)),"Sin fecha",IF($H159&lt;TODAY(),"Vencido",IF(($H159-TODAY())&lt;='Entregas Próximas'!$M$3,"Próximo a vencer","En curso")))),"")</f>
      </c>
      <c r="K159" s="202">
        <f>IF(AND($C159,ISNUMBER($H159)),$H159-TODAY(),"")</f>
      </c>
      <c r="L159" s="202">
        <f>IF(AND($C159,ISNUMBER($H159)),$AD159*1000000+$H159+ROW()/100000,"")</f>
      </c>
      <c r="M159" s="202">
        <f>IF($C159,IF($AD159=9999,"(Sin sprint)",$AD159),"")</f>
      </c>
      <c r="N159" s="202">
        <f>IF($C159,IF('Proyecto Datos (OKR´s)'!$E159="",9999,'Proyecto Datos (OKR´s)'!$E159),"")</f>
      </c>
      <c r="O159" s="202">
        <f>IF($C159,"T"&amp;TEXT(ROW(),"000"),"")</f>
      </c>
      <c r="R159" s="202">
        <f>IF($C159,IF(ISNUMBER('Proyecto Datos (OKR´s)'!$L159),'Proyecto Datos (OKR´s)'!$L159,$H159),"")</f>
      </c>
      <c r="S159" s="202">
        <f>IF($C159,$R159-'Proyecto Datos (OKR´s)'!$K159+1,"")</f>
      </c>
      <c r="T159" s="202">
        <f>IF($C159,MAX(0,TODAY()-'Proyecto Datos (OKR´s)'!$K159),"")</f>
      </c>
      <c r="U159" s="202">
        <f>IF($C159,MEDIAN(0,(TODAY()-'Proyecto Datos (OKR´s)'!$K159)/MAX(1,$R159-'Proyecto Datos (OKR´s)'!$K159),1),"")</f>
      </c>
      <c r="V159" s="202">
        <f>IF($C159,$I159-$U159,"")</f>
      </c>
      <c r="W159" s="202">
        <f>IF($C159,IF(OR($J159="Completado",NOT(ISNUMBER($H159))),0,MAX(0,TODAY()-$H159)),"")</f>
      </c>
      <c r="X159" s="202">
        <f>IF($C159,IF(ISNUMBER($H159),$R159-$H159,0),"")</f>
      </c>
      <c r="Y159" s="202">
        <f>IF($C159,COUNTIFS($G$7:$G$200,$G159,$J$7:$J$200,"&lt;&gt;Completado",$J$7:$J$200,"&lt;&gt;"),"")</f>
      </c>
      <c r="Z159" s="202">
        <f>IF($C159,AND($I159=0,'Proyecto Datos (OKR´s)'!$K159&lt;=TODAY(),$J159&lt;&gt;"Completado"),"")</f>
      </c>
      <c r="AA159" s="202">
        <f>IF($C159,ROUND(100*(0.35*$AK159+0.3*$AL159+0.2*$AM159+0.15*MEDIAN(0,($Y159-4)/8,1)),0),"")</f>
      </c>
      <c r="AB159" s="203">
        <f>IF($C159,IF(OR($J159="Completado",$J159="Sin fecha"),"—",IF($AA159&gt;=70,"Crítica",IF($AA159&gt;=45,"Alta",IF($AA159&gt;=25,"Media","Baja")))),"")</f>
      </c>
      <c r="AC159" s="203">
        <f>IF($C159,IF(LEN(TRIM($AN159))=0,"—",TRIM($AN159)),"")</f>
      </c>
      <c r="AD159" s="202">
        <f>IF($C159,$AV159,"")</f>
      </c>
      <c r="AE159" s="202">
        <f>IF($C159,$AZ159,"")</f>
      </c>
      <c r="AF159" s="202" t="b">
        <f>IF($C159,$AV159&lt;&gt;$AR159,FALSE)</f>
        <v>0</v>
      </c>
      <c r="AG159" s="202">
        <f>IF($C159,IF($AV159&lt;&gt;$AR159,$AW159,""),"")</f>
      </c>
      <c r="AH159" s="203">
        <f>IF($C159,IF(ISBLANK('Backlog General'!$K159),"",'Backlog General'!$K159),"")</f>
      </c>
      <c r="AI159" s="202">
        <f>IF($C159,$AV159*100000+ROW(),"")</f>
      </c>
      <c r="AJ159" s="202">
        <f>IF(AND($C159,ISNUMBER($H159)),$AA159*1000000-MEDIAN(-9999,$K159,9999)*100+(300-ROW()),"")</f>
      </c>
      <c r="AK159" s="202">
        <f>IF($C159,IF($J159="Completado",0,IF($K159&lt;0,1,IF($K159&lt;=3,0.9,IF($K159&lt;=7,0.7,IF($K159&lt;=14,0.45,0.2))))),"")</f>
      </c>
      <c r="AL159" s="202">
        <f>IF($C159,IF($J159="Completado",0,MEDIAN(0,MAX(-$V159,$W159/30),1)),"")</f>
      </c>
      <c r="AM159" s="202">
        <f>IF($C159,IF($J159="Completado",0,IF($Z159,1,IF(AND($I159&lt;0.5,$K159&lt;=7),0.7,0.3))),"")</f>
      </c>
      <c r="AN159" s="203">
        <f>IF($C159,IF(OR($V159&lt;-0.2,$W159&gt;0),"ATRASO ","")&amp;IF($Z159,"BLOQUEO ","")&amp;IF($Y159&gt;8,"SOBRECARGA ","")&amp;IF($X159&gt;0,"DESVÍO-PLAN ",""),"")</f>
      </c>
      <c r="AO159" s="203">
        <f>IF($C159,IFERROR(VLOOKUP($D159,'Sprints'!$I$5:$J$12,2,FALSE),"Semanal"),"")</f>
      </c>
      <c r="AP159" s="202">
        <f>IF($C159,IFERROR(VLOOKUP($AO159,'Sprints'!$B$9:$C$11,2,FALSE),1),"")</f>
      </c>
      <c r="AQ159" s="202">
        <f>IF($C159,'Sprints'!$C$5,"")</f>
      </c>
      <c r="AR159" s="202">
        <f>IF(AND($C159,ISNUMBER($H159)),CEILING(MAX(1,INT(($H159-$AQ159+'Sprints'!$D$5-1)/'Sprints'!$D$5)+1)/$AP159,1),"")</f>
      </c>
      <c r="AS159" s="202">
        <f>IF($C159,CEILING(MAX(1,INT((TODAY()-$AQ159+'Sprints'!$D$5-1)/'Sprints'!$D$5)+1)/$AP159,1),"")</f>
      </c>
      <c r="AT159" s="203">
        <f>IF($C159,'Backlog General'!$G159,"")</f>
      </c>
      <c r="AU159" s="203">
        <f>IF($C159,'Backlog General'!$H159,"")</f>
      </c>
      <c r="AV159" s="202">
        <f>IF(AND($C159,ISNUMBER($AR159)),IF(OR($AT159="Completo",$AU159="Cancelado",$AU159="Baja prioridad"),$AR159,IF($AU159="Pasa al siguiente",MAX($AR159+1,$AS159),MAX($AR159,$AS159))),"")</f>
      </c>
      <c r="AW159" s="202">
        <f>IF(AND($C159,ISNUMBER($AR159)),$AQ159+$AR159*$AP159*'Sprints'!$D$5-'Sprints'!$D$5,"")</f>
      </c>
      <c r="AX159" s="202">
        <f>IF($C159,IF(OR($AT159="Completo",$AU159="Cancelado",$AU159="Baja prioridad",NOT(ISNUMBER($AW159))),0,IF(TODAY()&gt;$AW159,NETWORKDAYS($AW159,TODAY(),'Sprints'!$L$5:$L$40)-1,0)),"")</f>
      </c>
      <c r="AY159" s="203">
        <f>IF($C159,IF(NOT(ISNUMBER($AR159)),"Sin fecha",IF($AT159="Completo","Completo",IF($AU159="Cancelado","Cancelado",IF($AU159="Baja prioridad","Baja prioridad",IF($AX159&gt;0,"Vencida","Pendiente"))))),"")</f>
      </c>
      <c r="AZ159" s="203">
        <f>IF($C159,IF(ISNUMBER($AV159),$AO159&amp;" · S"&amp;$AV159,"(Sin fecha)"),"")</f>
      </c>
      <c r="BA159" s="202">
        <f>IF($C159,IF(AND(ISNUMBER('Backlog General'!$M159),'Backlog General'!$M159=$AS159),"Nuevo S"&amp;'Backlog General'!$M159,""),"")</f>
      </c>
      <c r="BB159" s="202">
        <f>IF(AND($C159,$AO159="Semanal",ISNUMBER($AV159)),$AV159*100000+ROW(),"")</f>
      </c>
      <c r="BC159" s="202">
        <f>IF(AND($C159,$AO159="Quincenal",ISNUMBER($AV159)),$AV159*100000+ROW(),"")</f>
      </c>
      <c r="BD159" s="202">
        <f>IF(AND($C159,$AO159="Mensual",ISNUMBER($AV159)),$AV159*100000+ROW(),"")</f>
      </c>
      <c r="BE159" s="203">
        <f>IF($C159,IF(ISBLANK('Backlog General'!$J159),"",'Backlog General'!$J159),"")</f>
      </c>
      <c r="BF159" s="203">
        <f>IF($C159,IF($BE159="","",$BE159)&amp;IF(AND($BE159&lt;&gt;"",$AH159&lt;&gt;"")," · ","")&amp;IF($AH159="","",$AH159),"")</f>
      </c>
      <c r="BG159" s="203">
        <f>IF($C159,IF($J159="Completado","Sí","No"),"")</f>
      </c>
      <c r="BH159" s="202">
        <f>IF(AND($C159,ISNUMBER($AR159)),IF($AO159="Semanal",1,IF($AO159="Quincenal",2,3))*1000000000+$AR159*100000+ROW(),"")</f>
      </c>
    </row>
    <row r="160">
      <c r="A160" s="202">
        <f>ROW()</f>
        <v>160</v>
      </c>
      <c r="B160" s="202" t="b">
        <f>ISTEXT('Proyecto Datos (OKR´s)'!$K160)</f>
        <v>0</v>
      </c>
      <c r="C160" s="202" t="b">
        <f>AND(LEN('Proyecto Datos (OKR´s)'!$G160)&gt;0,NOT($B160),OR(ISNUMBER('Proyecto Datos (OKR´s)'!$F160),ISNUMBER('Proyecto Datos (OKR´s)'!$L160)))</f>
        <v>0</v>
      </c>
      <c r="D160" s="203">
        <f>IF($C160,IFERROR(LOOKUP(2,1/((ISTEXT('Proyecto Datos (OKR´s)'!$K$7:$K160))*(LEN('Proyecto Datos (OKR´s)'!$G$7:$G160)&gt;0)),'Proyecto Datos (OKR´s)'!$G$7:$G160),""),"")</f>
      </c>
      <c r="E160" s="202">
        <f>IF($C160,'Proyecto Datos (OKR´s)'!$E160,"")</f>
      </c>
      <c r="F160" s="203">
        <f>IF($C160,'Proyecto Datos (OKR´s)'!$G160,"")</f>
      </c>
      <c r="G160" s="203">
        <f>IF($C160,IF('Proyecto Datos (OKR´s)'!$I160="","(Sin asignar)",'Proyecto Datos (OKR´s)'!$I160),"")</f>
      </c>
      <c r="H160" s="202">
        <f>IF($C160,IF(ISNUMBER('Proyecto Datos (OKR´s)'!$F160),'Proyecto Datos (OKR´s)'!$F160,""),"")</f>
      </c>
      <c r="I160" s="202">
        <f>IF($C160,'Proyecto Datos (OKR´s)'!$J160,"")</f>
      </c>
      <c r="J160" s="203">
        <f>IF($C160,IF($I160&gt;=1,"Completado",IF(NOT(ISNUMBER($H160)),"Sin fecha",IF($H160&lt;TODAY(),"Vencido",IF(($H160-TODAY())&lt;='Entregas Próximas'!$M$3,"Próximo a vencer","En curso")))),"")</f>
      </c>
      <c r="K160" s="202">
        <f>IF(AND($C160,ISNUMBER($H160)),$H160-TODAY(),"")</f>
      </c>
      <c r="L160" s="202">
        <f>IF(AND($C160,ISNUMBER($H160)),$AD160*1000000+$H160+ROW()/100000,"")</f>
      </c>
      <c r="M160" s="202">
        <f>IF($C160,IF($AD160=9999,"(Sin sprint)",$AD160),"")</f>
      </c>
      <c r="N160" s="202">
        <f>IF($C160,IF('Proyecto Datos (OKR´s)'!$E160="",9999,'Proyecto Datos (OKR´s)'!$E160),"")</f>
      </c>
      <c r="O160" s="202">
        <f>IF($C160,"T"&amp;TEXT(ROW(),"000"),"")</f>
      </c>
      <c r="R160" s="202">
        <f>IF($C160,IF(ISNUMBER('Proyecto Datos (OKR´s)'!$L160),'Proyecto Datos (OKR´s)'!$L160,$H160),"")</f>
      </c>
      <c r="S160" s="202">
        <f>IF($C160,$R160-'Proyecto Datos (OKR´s)'!$K160+1,"")</f>
      </c>
      <c r="T160" s="202">
        <f>IF($C160,MAX(0,TODAY()-'Proyecto Datos (OKR´s)'!$K160),"")</f>
      </c>
      <c r="U160" s="202">
        <f>IF($C160,MEDIAN(0,(TODAY()-'Proyecto Datos (OKR´s)'!$K160)/MAX(1,$R160-'Proyecto Datos (OKR´s)'!$K160),1),"")</f>
      </c>
      <c r="V160" s="202">
        <f>IF($C160,$I160-$U160,"")</f>
      </c>
      <c r="W160" s="202">
        <f>IF($C160,IF(OR($J160="Completado",NOT(ISNUMBER($H160))),0,MAX(0,TODAY()-$H160)),"")</f>
      </c>
      <c r="X160" s="202">
        <f>IF($C160,IF(ISNUMBER($H160),$R160-$H160,0),"")</f>
      </c>
      <c r="Y160" s="202">
        <f>IF($C160,COUNTIFS($G$7:$G$200,$G160,$J$7:$J$200,"&lt;&gt;Completado",$J$7:$J$200,"&lt;&gt;"),"")</f>
      </c>
      <c r="Z160" s="202">
        <f>IF($C160,AND($I160=0,'Proyecto Datos (OKR´s)'!$K160&lt;=TODAY(),$J160&lt;&gt;"Completado"),"")</f>
      </c>
      <c r="AA160" s="202">
        <f>IF($C160,ROUND(100*(0.35*$AK160+0.3*$AL160+0.2*$AM160+0.15*MEDIAN(0,($Y160-4)/8,1)),0),"")</f>
      </c>
      <c r="AB160" s="203">
        <f>IF($C160,IF(OR($J160="Completado",$J160="Sin fecha"),"—",IF($AA160&gt;=70,"Crítica",IF($AA160&gt;=45,"Alta",IF($AA160&gt;=25,"Media","Baja")))),"")</f>
      </c>
      <c r="AC160" s="203">
        <f>IF($C160,IF(LEN(TRIM($AN160))=0,"—",TRIM($AN160)),"")</f>
      </c>
      <c r="AD160" s="202">
        <f>IF($C160,$AV160,"")</f>
      </c>
      <c r="AE160" s="202">
        <f>IF($C160,$AZ160,"")</f>
      </c>
      <c r="AF160" s="202" t="b">
        <f>IF($C160,$AV160&lt;&gt;$AR160,FALSE)</f>
        <v>0</v>
      </c>
      <c r="AG160" s="202">
        <f>IF($C160,IF($AV160&lt;&gt;$AR160,$AW160,""),"")</f>
      </c>
      <c r="AH160" s="203">
        <f>IF($C160,IF(ISBLANK('Backlog General'!$K160),"",'Backlog General'!$K160),"")</f>
      </c>
      <c r="AI160" s="202">
        <f>IF($C160,$AV160*100000+ROW(),"")</f>
      </c>
      <c r="AJ160" s="202">
        <f>IF(AND($C160,ISNUMBER($H160)),$AA160*1000000-MEDIAN(-9999,$K160,9999)*100+(300-ROW()),"")</f>
      </c>
      <c r="AK160" s="202">
        <f>IF($C160,IF($J160="Completado",0,IF($K160&lt;0,1,IF($K160&lt;=3,0.9,IF($K160&lt;=7,0.7,IF($K160&lt;=14,0.45,0.2))))),"")</f>
      </c>
      <c r="AL160" s="202">
        <f>IF($C160,IF($J160="Completado",0,MEDIAN(0,MAX(-$V160,$W160/30),1)),"")</f>
      </c>
      <c r="AM160" s="202">
        <f>IF($C160,IF($J160="Completado",0,IF($Z160,1,IF(AND($I160&lt;0.5,$K160&lt;=7),0.7,0.3))),"")</f>
      </c>
      <c r="AN160" s="203">
        <f>IF($C160,IF(OR($V160&lt;-0.2,$W160&gt;0),"ATRASO ","")&amp;IF($Z160,"BLOQUEO ","")&amp;IF($Y160&gt;8,"SOBRECARGA ","")&amp;IF($X160&gt;0,"DESVÍO-PLAN ",""),"")</f>
      </c>
      <c r="AO160" s="203">
        <f>IF($C160,IFERROR(VLOOKUP($D160,'Sprints'!$I$5:$J$12,2,FALSE),"Semanal"),"")</f>
      </c>
      <c r="AP160" s="202">
        <f>IF($C160,IFERROR(VLOOKUP($AO160,'Sprints'!$B$9:$C$11,2,FALSE),1),"")</f>
      </c>
      <c r="AQ160" s="202">
        <f>IF($C160,'Sprints'!$C$5,"")</f>
      </c>
      <c r="AR160" s="202">
        <f>IF(AND($C160,ISNUMBER($H160)),CEILING(MAX(1,INT(($H160-$AQ160+'Sprints'!$D$5-1)/'Sprints'!$D$5)+1)/$AP160,1),"")</f>
      </c>
      <c r="AS160" s="202">
        <f>IF($C160,CEILING(MAX(1,INT((TODAY()-$AQ160+'Sprints'!$D$5-1)/'Sprints'!$D$5)+1)/$AP160,1),"")</f>
      </c>
      <c r="AT160" s="203">
        <f>IF($C160,'Backlog General'!$G160,"")</f>
      </c>
      <c r="AU160" s="203">
        <f>IF($C160,'Backlog General'!$H160,"")</f>
      </c>
      <c r="AV160" s="202">
        <f>IF(AND($C160,ISNUMBER($AR160)),IF(OR($AT160="Completo",$AU160="Cancelado",$AU160="Baja prioridad"),$AR160,IF($AU160="Pasa al siguiente",MAX($AR160+1,$AS160),MAX($AR160,$AS160))),"")</f>
      </c>
      <c r="AW160" s="202">
        <f>IF(AND($C160,ISNUMBER($AR160)),$AQ160+$AR160*$AP160*'Sprints'!$D$5-'Sprints'!$D$5,"")</f>
      </c>
      <c r="AX160" s="202">
        <f>IF($C160,IF(OR($AT160="Completo",$AU160="Cancelado",$AU160="Baja prioridad",NOT(ISNUMBER($AW160))),0,IF(TODAY()&gt;$AW160,NETWORKDAYS($AW160,TODAY(),'Sprints'!$L$5:$L$40)-1,0)),"")</f>
      </c>
      <c r="AY160" s="203">
        <f>IF($C160,IF(NOT(ISNUMBER($AR160)),"Sin fecha",IF($AT160="Completo","Completo",IF($AU160="Cancelado","Cancelado",IF($AU160="Baja prioridad","Baja prioridad",IF($AX160&gt;0,"Vencida","Pendiente"))))),"")</f>
      </c>
      <c r="AZ160" s="203">
        <f>IF($C160,IF(ISNUMBER($AV160),$AO160&amp;" · S"&amp;$AV160,"(Sin fecha)"),"")</f>
      </c>
      <c r="BA160" s="202">
        <f>IF($C160,IF(AND(ISNUMBER('Backlog General'!$M160),'Backlog General'!$M160=$AS160),"Nuevo S"&amp;'Backlog General'!$M160,""),"")</f>
      </c>
      <c r="BB160" s="202">
        <f>IF(AND($C160,$AO160="Semanal",ISNUMBER($AV160)),$AV160*100000+ROW(),"")</f>
      </c>
      <c r="BC160" s="202">
        <f>IF(AND($C160,$AO160="Quincenal",ISNUMBER($AV160)),$AV160*100000+ROW(),"")</f>
      </c>
      <c r="BD160" s="202">
        <f>IF(AND($C160,$AO160="Mensual",ISNUMBER($AV160)),$AV160*100000+ROW(),"")</f>
      </c>
      <c r="BE160" s="203">
        <f>IF($C160,IF(ISBLANK('Backlog General'!$J160),"",'Backlog General'!$J160),"")</f>
      </c>
      <c r="BF160" s="203">
        <f>IF($C160,IF($BE160="","",$BE160)&amp;IF(AND($BE160&lt;&gt;"",$AH160&lt;&gt;"")," · ","")&amp;IF($AH160="","",$AH160),"")</f>
      </c>
      <c r="BG160" s="203">
        <f>IF($C160,IF($J160="Completado","Sí","No"),"")</f>
      </c>
      <c r="BH160" s="202">
        <f>IF(AND($C160,ISNUMBER($AR160)),IF($AO160="Semanal",1,IF($AO160="Quincenal",2,3))*1000000000+$AR160*100000+ROW(),"")</f>
      </c>
    </row>
    <row r="161">
      <c r="A161" s="202">
        <f>ROW()</f>
        <v>161</v>
      </c>
      <c r="B161" s="202" t="b">
        <f>ISTEXT('Proyecto Datos (OKR´s)'!$K161)</f>
        <v>0</v>
      </c>
      <c r="C161" s="202" t="b">
        <f>AND(LEN('Proyecto Datos (OKR´s)'!$G161)&gt;0,NOT($B161),OR(ISNUMBER('Proyecto Datos (OKR´s)'!$F161),ISNUMBER('Proyecto Datos (OKR´s)'!$L161)))</f>
        <v>0</v>
      </c>
      <c r="D161" s="203">
        <f>IF($C161,IFERROR(LOOKUP(2,1/((ISTEXT('Proyecto Datos (OKR´s)'!$K$7:$K161))*(LEN('Proyecto Datos (OKR´s)'!$G$7:$G161)&gt;0)),'Proyecto Datos (OKR´s)'!$G$7:$G161),""),"")</f>
      </c>
      <c r="E161" s="202">
        <f>IF($C161,'Proyecto Datos (OKR´s)'!$E161,"")</f>
      </c>
      <c r="F161" s="203">
        <f>IF($C161,'Proyecto Datos (OKR´s)'!$G161,"")</f>
      </c>
      <c r="G161" s="203">
        <f>IF($C161,IF('Proyecto Datos (OKR´s)'!$I161="","(Sin asignar)",'Proyecto Datos (OKR´s)'!$I161),"")</f>
      </c>
      <c r="H161" s="202">
        <f>IF($C161,IF(ISNUMBER('Proyecto Datos (OKR´s)'!$F161),'Proyecto Datos (OKR´s)'!$F161,""),"")</f>
      </c>
      <c r="I161" s="202">
        <f>IF($C161,'Proyecto Datos (OKR´s)'!$J161,"")</f>
      </c>
      <c r="J161" s="203">
        <f>IF($C161,IF($I161&gt;=1,"Completado",IF(NOT(ISNUMBER($H161)),"Sin fecha",IF($H161&lt;TODAY(),"Vencido",IF(($H161-TODAY())&lt;='Entregas Próximas'!$M$3,"Próximo a vencer","En curso")))),"")</f>
      </c>
      <c r="K161" s="202">
        <f>IF(AND($C161,ISNUMBER($H161)),$H161-TODAY(),"")</f>
      </c>
      <c r="L161" s="202">
        <f>IF(AND($C161,ISNUMBER($H161)),$AD161*1000000+$H161+ROW()/100000,"")</f>
      </c>
      <c r="M161" s="202">
        <f>IF($C161,IF($AD161=9999,"(Sin sprint)",$AD161),"")</f>
      </c>
      <c r="N161" s="202">
        <f>IF($C161,IF('Proyecto Datos (OKR´s)'!$E161="",9999,'Proyecto Datos (OKR´s)'!$E161),"")</f>
      </c>
      <c r="O161" s="202">
        <f>IF($C161,"T"&amp;TEXT(ROW(),"000"),"")</f>
      </c>
      <c r="R161" s="202">
        <f>IF($C161,IF(ISNUMBER('Proyecto Datos (OKR´s)'!$L161),'Proyecto Datos (OKR´s)'!$L161,$H161),"")</f>
      </c>
      <c r="S161" s="202">
        <f>IF($C161,$R161-'Proyecto Datos (OKR´s)'!$K161+1,"")</f>
      </c>
      <c r="T161" s="202">
        <f>IF($C161,MAX(0,TODAY()-'Proyecto Datos (OKR´s)'!$K161),"")</f>
      </c>
      <c r="U161" s="202">
        <f>IF($C161,MEDIAN(0,(TODAY()-'Proyecto Datos (OKR´s)'!$K161)/MAX(1,$R161-'Proyecto Datos (OKR´s)'!$K161),1),"")</f>
      </c>
      <c r="V161" s="202">
        <f>IF($C161,$I161-$U161,"")</f>
      </c>
      <c r="W161" s="202">
        <f>IF($C161,IF(OR($J161="Completado",NOT(ISNUMBER($H161))),0,MAX(0,TODAY()-$H161)),"")</f>
      </c>
      <c r="X161" s="202">
        <f>IF($C161,IF(ISNUMBER($H161),$R161-$H161,0),"")</f>
      </c>
      <c r="Y161" s="202">
        <f>IF($C161,COUNTIFS($G$7:$G$200,$G161,$J$7:$J$200,"&lt;&gt;Completado",$J$7:$J$200,"&lt;&gt;"),"")</f>
      </c>
      <c r="Z161" s="202">
        <f>IF($C161,AND($I161=0,'Proyecto Datos (OKR´s)'!$K161&lt;=TODAY(),$J161&lt;&gt;"Completado"),"")</f>
      </c>
      <c r="AA161" s="202">
        <f>IF($C161,ROUND(100*(0.35*$AK161+0.3*$AL161+0.2*$AM161+0.15*MEDIAN(0,($Y161-4)/8,1)),0),"")</f>
      </c>
      <c r="AB161" s="203">
        <f>IF($C161,IF(OR($J161="Completado",$J161="Sin fecha"),"—",IF($AA161&gt;=70,"Crítica",IF($AA161&gt;=45,"Alta",IF($AA161&gt;=25,"Media","Baja")))),"")</f>
      </c>
      <c r="AC161" s="203">
        <f>IF($C161,IF(LEN(TRIM($AN161))=0,"—",TRIM($AN161)),"")</f>
      </c>
      <c r="AD161" s="202">
        <f>IF($C161,$AV161,"")</f>
      </c>
      <c r="AE161" s="202">
        <f>IF($C161,$AZ161,"")</f>
      </c>
      <c r="AF161" s="202" t="b">
        <f>IF($C161,$AV161&lt;&gt;$AR161,FALSE)</f>
        <v>0</v>
      </c>
      <c r="AG161" s="202">
        <f>IF($C161,IF($AV161&lt;&gt;$AR161,$AW161,""),"")</f>
      </c>
      <c r="AH161" s="203">
        <f>IF($C161,IF(ISBLANK('Backlog General'!$K161),"",'Backlog General'!$K161),"")</f>
      </c>
      <c r="AI161" s="202">
        <f>IF($C161,$AV161*100000+ROW(),"")</f>
      </c>
      <c r="AJ161" s="202">
        <f>IF(AND($C161,ISNUMBER($H161)),$AA161*1000000-MEDIAN(-9999,$K161,9999)*100+(300-ROW()),"")</f>
      </c>
      <c r="AK161" s="202">
        <f>IF($C161,IF($J161="Completado",0,IF($K161&lt;0,1,IF($K161&lt;=3,0.9,IF($K161&lt;=7,0.7,IF($K161&lt;=14,0.45,0.2))))),"")</f>
      </c>
      <c r="AL161" s="202">
        <f>IF($C161,IF($J161="Completado",0,MEDIAN(0,MAX(-$V161,$W161/30),1)),"")</f>
      </c>
      <c r="AM161" s="202">
        <f>IF($C161,IF($J161="Completado",0,IF($Z161,1,IF(AND($I161&lt;0.5,$K161&lt;=7),0.7,0.3))),"")</f>
      </c>
      <c r="AN161" s="203">
        <f>IF($C161,IF(OR($V161&lt;-0.2,$W161&gt;0),"ATRASO ","")&amp;IF($Z161,"BLOQUEO ","")&amp;IF($Y161&gt;8,"SOBRECARGA ","")&amp;IF($X161&gt;0,"DESVÍO-PLAN ",""),"")</f>
      </c>
      <c r="AO161" s="203">
        <f>IF($C161,IFERROR(VLOOKUP($D161,'Sprints'!$I$5:$J$12,2,FALSE),"Semanal"),"")</f>
      </c>
      <c r="AP161" s="202">
        <f>IF($C161,IFERROR(VLOOKUP($AO161,'Sprints'!$B$9:$C$11,2,FALSE),1),"")</f>
      </c>
      <c r="AQ161" s="202">
        <f>IF($C161,'Sprints'!$C$5,"")</f>
      </c>
      <c r="AR161" s="202">
        <f>IF(AND($C161,ISNUMBER($H161)),CEILING(MAX(1,INT(($H161-$AQ161+'Sprints'!$D$5-1)/'Sprints'!$D$5)+1)/$AP161,1),"")</f>
      </c>
      <c r="AS161" s="202">
        <f>IF($C161,CEILING(MAX(1,INT((TODAY()-$AQ161+'Sprints'!$D$5-1)/'Sprints'!$D$5)+1)/$AP161,1),"")</f>
      </c>
      <c r="AT161" s="203">
        <f>IF($C161,'Backlog General'!$G161,"")</f>
      </c>
      <c r="AU161" s="203">
        <f>IF($C161,'Backlog General'!$H161,"")</f>
      </c>
      <c r="AV161" s="202">
        <f>IF(AND($C161,ISNUMBER($AR161)),IF(OR($AT161="Completo",$AU161="Cancelado",$AU161="Baja prioridad"),$AR161,IF($AU161="Pasa al siguiente",MAX($AR161+1,$AS161),MAX($AR161,$AS161))),"")</f>
      </c>
      <c r="AW161" s="202">
        <f>IF(AND($C161,ISNUMBER($AR161)),$AQ161+$AR161*$AP161*'Sprints'!$D$5-'Sprints'!$D$5,"")</f>
      </c>
      <c r="AX161" s="202">
        <f>IF($C161,IF(OR($AT161="Completo",$AU161="Cancelado",$AU161="Baja prioridad",NOT(ISNUMBER($AW161))),0,IF(TODAY()&gt;$AW161,NETWORKDAYS($AW161,TODAY(),'Sprints'!$L$5:$L$40)-1,0)),"")</f>
      </c>
      <c r="AY161" s="203">
        <f>IF($C161,IF(NOT(ISNUMBER($AR161)),"Sin fecha",IF($AT161="Completo","Completo",IF($AU161="Cancelado","Cancelado",IF($AU161="Baja prioridad","Baja prioridad",IF($AX161&gt;0,"Vencida","Pendiente"))))),"")</f>
      </c>
      <c r="AZ161" s="203">
        <f>IF($C161,IF(ISNUMBER($AV161),$AO161&amp;" · S"&amp;$AV161,"(Sin fecha)"),"")</f>
      </c>
      <c r="BA161" s="202">
        <f>IF($C161,IF(AND(ISNUMBER('Backlog General'!$M161),'Backlog General'!$M161=$AS161),"Nuevo S"&amp;'Backlog General'!$M161,""),"")</f>
      </c>
      <c r="BB161" s="202">
        <f>IF(AND($C161,$AO161="Semanal",ISNUMBER($AV161)),$AV161*100000+ROW(),"")</f>
      </c>
      <c r="BC161" s="202">
        <f>IF(AND($C161,$AO161="Quincenal",ISNUMBER($AV161)),$AV161*100000+ROW(),"")</f>
      </c>
      <c r="BD161" s="202">
        <f>IF(AND($C161,$AO161="Mensual",ISNUMBER($AV161)),$AV161*100000+ROW(),"")</f>
      </c>
      <c r="BE161" s="203">
        <f>IF($C161,IF(ISBLANK('Backlog General'!$J161),"",'Backlog General'!$J161),"")</f>
      </c>
      <c r="BF161" s="203">
        <f>IF($C161,IF($BE161="","",$BE161)&amp;IF(AND($BE161&lt;&gt;"",$AH161&lt;&gt;"")," · ","")&amp;IF($AH161="","",$AH161),"")</f>
      </c>
      <c r="BG161" s="203">
        <f>IF($C161,IF($J161="Completado","Sí","No"),"")</f>
      </c>
      <c r="BH161" s="202">
        <f>IF(AND($C161,ISNUMBER($AR161)),IF($AO161="Semanal",1,IF($AO161="Quincenal",2,3))*1000000000+$AR161*100000+ROW(),"")</f>
      </c>
    </row>
    <row r="162">
      <c r="A162" s="202">
        <f>ROW()</f>
        <v>162</v>
      </c>
      <c r="B162" s="202" t="b">
        <f>ISTEXT('Proyecto Datos (OKR´s)'!$K162)</f>
        <v>0</v>
      </c>
      <c r="C162" s="202" t="b">
        <f>AND(LEN('Proyecto Datos (OKR´s)'!$G162)&gt;0,NOT($B162),OR(ISNUMBER('Proyecto Datos (OKR´s)'!$F162),ISNUMBER('Proyecto Datos (OKR´s)'!$L162)))</f>
        <v>0</v>
      </c>
      <c r="D162" s="203">
        <f>IF($C162,IFERROR(LOOKUP(2,1/((ISTEXT('Proyecto Datos (OKR´s)'!$K$7:$K162))*(LEN('Proyecto Datos (OKR´s)'!$G$7:$G162)&gt;0)),'Proyecto Datos (OKR´s)'!$G$7:$G162),""),"")</f>
      </c>
      <c r="E162" s="202">
        <f>IF($C162,'Proyecto Datos (OKR´s)'!$E162,"")</f>
      </c>
      <c r="F162" s="203">
        <f>IF($C162,'Proyecto Datos (OKR´s)'!$G162,"")</f>
      </c>
      <c r="G162" s="203">
        <f>IF($C162,IF('Proyecto Datos (OKR´s)'!$I162="","(Sin asignar)",'Proyecto Datos (OKR´s)'!$I162),"")</f>
      </c>
      <c r="H162" s="202">
        <f>IF($C162,IF(ISNUMBER('Proyecto Datos (OKR´s)'!$F162),'Proyecto Datos (OKR´s)'!$F162,""),"")</f>
      </c>
      <c r="I162" s="202">
        <f>IF($C162,'Proyecto Datos (OKR´s)'!$J162,"")</f>
      </c>
      <c r="J162" s="203">
        <f>IF($C162,IF($I162&gt;=1,"Completado",IF(NOT(ISNUMBER($H162)),"Sin fecha",IF($H162&lt;TODAY(),"Vencido",IF(($H162-TODAY())&lt;='Entregas Próximas'!$M$3,"Próximo a vencer","En curso")))),"")</f>
      </c>
      <c r="K162" s="202">
        <f>IF(AND($C162,ISNUMBER($H162)),$H162-TODAY(),"")</f>
      </c>
      <c r="L162" s="202">
        <f>IF(AND($C162,ISNUMBER($H162)),$AD162*1000000+$H162+ROW()/100000,"")</f>
      </c>
      <c r="M162" s="202">
        <f>IF($C162,IF($AD162=9999,"(Sin sprint)",$AD162),"")</f>
      </c>
      <c r="N162" s="202">
        <f>IF($C162,IF('Proyecto Datos (OKR´s)'!$E162="",9999,'Proyecto Datos (OKR´s)'!$E162),"")</f>
      </c>
      <c r="O162" s="202">
        <f>IF($C162,"T"&amp;TEXT(ROW(),"000"),"")</f>
      </c>
      <c r="R162" s="202">
        <f>IF($C162,IF(ISNUMBER('Proyecto Datos (OKR´s)'!$L162),'Proyecto Datos (OKR´s)'!$L162,$H162),"")</f>
      </c>
      <c r="S162" s="202">
        <f>IF($C162,$R162-'Proyecto Datos (OKR´s)'!$K162+1,"")</f>
      </c>
      <c r="T162" s="202">
        <f>IF($C162,MAX(0,TODAY()-'Proyecto Datos (OKR´s)'!$K162),"")</f>
      </c>
      <c r="U162" s="202">
        <f>IF($C162,MEDIAN(0,(TODAY()-'Proyecto Datos (OKR´s)'!$K162)/MAX(1,$R162-'Proyecto Datos (OKR´s)'!$K162),1),"")</f>
      </c>
      <c r="V162" s="202">
        <f>IF($C162,$I162-$U162,"")</f>
      </c>
      <c r="W162" s="202">
        <f>IF($C162,IF(OR($J162="Completado",NOT(ISNUMBER($H162))),0,MAX(0,TODAY()-$H162)),"")</f>
      </c>
      <c r="X162" s="202">
        <f>IF($C162,IF(ISNUMBER($H162),$R162-$H162,0),"")</f>
      </c>
      <c r="Y162" s="202">
        <f>IF($C162,COUNTIFS($G$7:$G$200,$G162,$J$7:$J$200,"&lt;&gt;Completado",$J$7:$J$200,"&lt;&gt;"),"")</f>
      </c>
      <c r="Z162" s="202">
        <f>IF($C162,AND($I162=0,'Proyecto Datos (OKR´s)'!$K162&lt;=TODAY(),$J162&lt;&gt;"Completado"),"")</f>
      </c>
      <c r="AA162" s="202">
        <f>IF($C162,ROUND(100*(0.35*$AK162+0.3*$AL162+0.2*$AM162+0.15*MEDIAN(0,($Y162-4)/8,1)),0),"")</f>
      </c>
      <c r="AB162" s="203">
        <f>IF($C162,IF(OR($J162="Completado",$J162="Sin fecha"),"—",IF($AA162&gt;=70,"Crítica",IF($AA162&gt;=45,"Alta",IF($AA162&gt;=25,"Media","Baja")))),"")</f>
      </c>
      <c r="AC162" s="203">
        <f>IF($C162,IF(LEN(TRIM($AN162))=0,"—",TRIM($AN162)),"")</f>
      </c>
      <c r="AD162" s="202">
        <f>IF($C162,$AV162,"")</f>
      </c>
      <c r="AE162" s="202">
        <f>IF($C162,$AZ162,"")</f>
      </c>
      <c r="AF162" s="202" t="b">
        <f>IF($C162,$AV162&lt;&gt;$AR162,FALSE)</f>
        <v>0</v>
      </c>
      <c r="AG162" s="202">
        <f>IF($C162,IF($AV162&lt;&gt;$AR162,$AW162,""),"")</f>
      </c>
      <c r="AH162" s="203">
        <f>IF($C162,IF(ISBLANK('Backlog General'!$K162),"",'Backlog General'!$K162),"")</f>
      </c>
      <c r="AI162" s="202">
        <f>IF($C162,$AV162*100000+ROW(),"")</f>
      </c>
      <c r="AJ162" s="202">
        <f>IF(AND($C162,ISNUMBER($H162)),$AA162*1000000-MEDIAN(-9999,$K162,9999)*100+(300-ROW()),"")</f>
      </c>
      <c r="AK162" s="202">
        <f>IF($C162,IF($J162="Completado",0,IF($K162&lt;0,1,IF($K162&lt;=3,0.9,IF($K162&lt;=7,0.7,IF($K162&lt;=14,0.45,0.2))))),"")</f>
      </c>
      <c r="AL162" s="202">
        <f>IF($C162,IF($J162="Completado",0,MEDIAN(0,MAX(-$V162,$W162/30),1)),"")</f>
      </c>
      <c r="AM162" s="202">
        <f>IF($C162,IF($J162="Completado",0,IF($Z162,1,IF(AND($I162&lt;0.5,$K162&lt;=7),0.7,0.3))),"")</f>
      </c>
      <c r="AN162" s="203">
        <f>IF($C162,IF(OR($V162&lt;-0.2,$W162&gt;0),"ATRASO ","")&amp;IF($Z162,"BLOQUEO ","")&amp;IF($Y162&gt;8,"SOBRECARGA ","")&amp;IF($X162&gt;0,"DESVÍO-PLAN ",""),"")</f>
      </c>
      <c r="AO162" s="203">
        <f>IF($C162,IFERROR(VLOOKUP($D162,'Sprints'!$I$5:$J$12,2,FALSE),"Semanal"),"")</f>
      </c>
      <c r="AP162" s="202">
        <f>IF($C162,IFERROR(VLOOKUP($AO162,'Sprints'!$B$9:$C$11,2,FALSE),1),"")</f>
      </c>
      <c r="AQ162" s="202">
        <f>IF($C162,'Sprints'!$C$5,"")</f>
      </c>
      <c r="AR162" s="202">
        <f>IF(AND($C162,ISNUMBER($H162)),CEILING(MAX(1,INT(($H162-$AQ162+'Sprints'!$D$5-1)/'Sprints'!$D$5)+1)/$AP162,1),"")</f>
      </c>
      <c r="AS162" s="202">
        <f>IF($C162,CEILING(MAX(1,INT((TODAY()-$AQ162+'Sprints'!$D$5-1)/'Sprints'!$D$5)+1)/$AP162,1),"")</f>
      </c>
      <c r="AT162" s="203">
        <f>IF($C162,'Backlog General'!$G162,"")</f>
      </c>
      <c r="AU162" s="203">
        <f>IF($C162,'Backlog General'!$H162,"")</f>
      </c>
      <c r="AV162" s="202">
        <f>IF(AND($C162,ISNUMBER($AR162)),IF(OR($AT162="Completo",$AU162="Cancelado",$AU162="Baja prioridad"),$AR162,IF($AU162="Pasa al siguiente",MAX($AR162+1,$AS162),MAX($AR162,$AS162))),"")</f>
      </c>
      <c r="AW162" s="202">
        <f>IF(AND($C162,ISNUMBER($AR162)),$AQ162+$AR162*$AP162*'Sprints'!$D$5-'Sprints'!$D$5,"")</f>
      </c>
      <c r="AX162" s="202">
        <f>IF($C162,IF(OR($AT162="Completo",$AU162="Cancelado",$AU162="Baja prioridad",NOT(ISNUMBER($AW162))),0,IF(TODAY()&gt;$AW162,NETWORKDAYS($AW162,TODAY(),'Sprints'!$L$5:$L$40)-1,0)),"")</f>
      </c>
      <c r="AY162" s="203">
        <f>IF($C162,IF(NOT(ISNUMBER($AR162)),"Sin fecha",IF($AT162="Completo","Completo",IF($AU162="Cancelado","Cancelado",IF($AU162="Baja prioridad","Baja prioridad",IF($AX162&gt;0,"Vencida","Pendiente"))))),"")</f>
      </c>
      <c r="AZ162" s="203">
        <f>IF($C162,IF(ISNUMBER($AV162),$AO162&amp;" · S"&amp;$AV162,"(Sin fecha)"),"")</f>
      </c>
      <c r="BA162" s="202">
        <f>IF($C162,IF(AND(ISNUMBER('Backlog General'!$M162),'Backlog General'!$M162=$AS162),"Nuevo S"&amp;'Backlog General'!$M162,""),"")</f>
      </c>
      <c r="BB162" s="202">
        <f>IF(AND($C162,$AO162="Semanal",ISNUMBER($AV162)),$AV162*100000+ROW(),"")</f>
      </c>
      <c r="BC162" s="202">
        <f>IF(AND($C162,$AO162="Quincenal",ISNUMBER($AV162)),$AV162*100000+ROW(),"")</f>
      </c>
      <c r="BD162" s="202">
        <f>IF(AND($C162,$AO162="Mensual",ISNUMBER($AV162)),$AV162*100000+ROW(),"")</f>
      </c>
      <c r="BE162" s="203">
        <f>IF($C162,IF(ISBLANK('Backlog General'!$J162),"",'Backlog General'!$J162),"")</f>
      </c>
      <c r="BF162" s="203">
        <f>IF($C162,IF($BE162="","",$BE162)&amp;IF(AND($BE162&lt;&gt;"",$AH162&lt;&gt;"")," · ","")&amp;IF($AH162="","",$AH162),"")</f>
      </c>
      <c r="BG162" s="203">
        <f>IF($C162,IF($J162="Completado","Sí","No"),"")</f>
      </c>
      <c r="BH162" s="202">
        <f>IF(AND($C162,ISNUMBER($AR162)),IF($AO162="Semanal",1,IF($AO162="Quincenal",2,3))*1000000000+$AR162*100000+ROW(),"")</f>
      </c>
    </row>
    <row r="163">
      <c r="A163" s="202">
        <f>ROW()</f>
        <v>163</v>
      </c>
      <c r="B163" s="202" t="b">
        <f>ISTEXT('Proyecto Datos (OKR´s)'!$K163)</f>
        <v>0</v>
      </c>
      <c r="C163" s="202" t="b">
        <f>AND(LEN('Proyecto Datos (OKR´s)'!$G163)&gt;0,NOT($B163),OR(ISNUMBER('Proyecto Datos (OKR´s)'!$F163),ISNUMBER('Proyecto Datos (OKR´s)'!$L163)))</f>
        <v>0</v>
      </c>
      <c r="D163" s="203">
        <f>IF($C163,IFERROR(LOOKUP(2,1/((ISTEXT('Proyecto Datos (OKR´s)'!$K$7:$K163))*(LEN('Proyecto Datos (OKR´s)'!$G$7:$G163)&gt;0)),'Proyecto Datos (OKR´s)'!$G$7:$G163),""),"")</f>
      </c>
      <c r="E163" s="202">
        <f>IF($C163,'Proyecto Datos (OKR´s)'!$E163,"")</f>
      </c>
      <c r="F163" s="203">
        <f>IF($C163,'Proyecto Datos (OKR´s)'!$G163,"")</f>
      </c>
      <c r="G163" s="203">
        <f>IF($C163,IF('Proyecto Datos (OKR´s)'!$I163="","(Sin asignar)",'Proyecto Datos (OKR´s)'!$I163),"")</f>
      </c>
      <c r="H163" s="202">
        <f>IF($C163,IF(ISNUMBER('Proyecto Datos (OKR´s)'!$F163),'Proyecto Datos (OKR´s)'!$F163,""),"")</f>
      </c>
      <c r="I163" s="202">
        <f>IF($C163,'Proyecto Datos (OKR´s)'!$J163,"")</f>
      </c>
      <c r="J163" s="203">
        <f>IF($C163,IF($I163&gt;=1,"Completado",IF(NOT(ISNUMBER($H163)),"Sin fecha",IF($H163&lt;TODAY(),"Vencido",IF(($H163-TODAY())&lt;='Entregas Próximas'!$M$3,"Próximo a vencer","En curso")))),"")</f>
      </c>
      <c r="K163" s="202">
        <f>IF(AND($C163,ISNUMBER($H163)),$H163-TODAY(),"")</f>
      </c>
      <c r="L163" s="202">
        <f>IF(AND($C163,ISNUMBER($H163)),$AD163*1000000+$H163+ROW()/100000,"")</f>
      </c>
      <c r="M163" s="202">
        <f>IF($C163,IF($AD163=9999,"(Sin sprint)",$AD163),"")</f>
      </c>
      <c r="N163" s="202">
        <f>IF($C163,IF('Proyecto Datos (OKR´s)'!$E163="",9999,'Proyecto Datos (OKR´s)'!$E163),"")</f>
      </c>
      <c r="O163" s="202">
        <f>IF($C163,"T"&amp;TEXT(ROW(),"000"),"")</f>
      </c>
      <c r="R163" s="202">
        <f>IF($C163,IF(ISNUMBER('Proyecto Datos (OKR´s)'!$L163),'Proyecto Datos (OKR´s)'!$L163,$H163),"")</f>
      </c>
      <c r="S163" s="202">
        <f>IF($C163,$R163-'Proyecto Datos (OKR´s)'!$K163+1,"")</f>
      </c>
      <c r="T163" s="202">
        <f>IF($C163,MAX(0,TODAY()-'Proyecto Datos (OKR´s)'!$K163),"")</f>
      </c>
      <c r="U163" s="202">
        <f>IF($C163,MEDIAN(0,(TODAY()-'Proyecto Datos (OKR´s)'!$K163)/MAX(1,$R163-'Proyecto Datos (OKR´s)'!$K163),1),"")</f>
      </c>
      <c r="V163" s="202">
        <f>IF($C163,$I163-$U163,"")</f>
      </c>
      <c r="W163" s="202">
        <f>IF($C163,IF(OR($J163="Completado",NOT(ISNUMBER($H163))),0,MAX(0,TODAY()-$H163)),"")</f>
      </c>
      <c r="X163" s="202">
        <f>IF($C163,IF(ISNUMBER($H163),$R163-$H163,0),"")</f>
      </c>
      <c r="Y163" s="202">
        <f>IF($C163,COUNTIFS($G$7:$G$200,$G163,$J$7:$J$200,"&lt;&gt;Completado",$J$7:$J$200,"&lt;&gt;"),"")</f>
      </c>
      <c r="Z163" s="202">
        <f>IF($C163,AND($I163=0,'Proyecto Datos (OKR´s)'!$K163&lt;=TODAY(),$J163&lt;&gt;"Completado"),"")</f>
      </c>
      <c r="AA163" s="202">
        <f>IF($C163,ROUND(100*(0.35*$AK163+0.3*$AL163+0.2*$AM163+0.15*MEDIAN(0,($Y163-4)/8,1)),0),"")</f>
      </c>
      <c r="AB163" s="203">
        <f>IF($C163,IF(OR($J163="Completado",$J163="Sin fecha"),"—",IF($AA163&gt;=70,"Crítica",IF($AA163&gt;=45,"Alta",IF($AA163&gt;=25,"Media","Baja")))),"")</f>
      </c>
      <c r="AC163" s="203">
        <f>IF($C163,IF(LEN(TRIM($AN163))=0,"—",TRIM($AN163)),"")</f>
      </c>
      <c r="AD163" s="202">
        <f>IF($C163,$AV163,"")</f>
      </c>
      <c r="AE163" s="202">
        <f>IF($C163,$AZ163,"")</f>
      </c>
      <c r="AF163" s="202" t="b">
        <f>IF($C163,$AV163&lt;&gt;$AR163,FALSE)</f>
        <v>0</v>
      </c>
      <c r="AG163" s="202">
        <f>IF($C163,IF($AV163&lt;&gt;$AR163,$AW163,""),"")</f>
      </c>
      <c r="AH163" s="203">
        <f>IF($C163,IF(ISBLANK('Backlog General'!$K163),"",'Backlog General'!$K163),"")</f>
      </c>
      <c r="AI163" s="202">
        <f>IF($C163,$AV163*100000+ROW(),"")</f>
      </c>
      <c r="AJ163" s="202">
        <f>IF(AND($C163,ISNUMBER($H163)),$AA163*1000000-MEDIAN(-9999,$K163,9999)*100+(300-ROW()),"")</f>
      </c>
      <c r="AK163" s="202">
        <f>IF($C163,IF($J163="Completado",0,IF($K163&lt;0,1,IF($K163&lt;=3,0.9,IF($K163&lt;=7,0.7,IF($K163&lt;=14,0.45,0.2))))),"")</f>
      </c>
      <c r="AL163" s="202">
        <f>IF($C163,IF($J163="Completado",0,MEDIAN(0,MAX(-$V163,$W163/30),1)),"")</f>
      </c>
      <c r="AM163" s="202">
        <f>IF($C163,IF($J163="Completado",0,IF($Z163,1,IF(AND($I163&lt;0.5,$K163&lt;=7),0.7,0.3))),"")</f>
      </c>
      <c r="AN163" s="203">
        <f>IF($C163,IF(OR($V163&lt;-0.2,$W163&gt;0),"ATRASO ","")&amp;IF($Z163,"BLOQUEO ","")&amp;IF($Y163&gt;8,"SOBRECARGA ","")&amp;IF($X163&gt;0,"DESVÍO-PLAN ",""),"")</f>
      </c>
      <c r="AO163" s="203">
        <f>IF($C163,IFERROR(VLOOKUP($D163,'Sprints'!$I$5:$J$12,2,FALSE),"Semanal"),"")</f>
      </c>
      <c r="AP163" s="202">
        <f>IF($C163,IFERROR(VLOOKUP($AO163,'Sprints'!$B$9:$C$11,2,FALSE),1),"")</f>
      </c>
      <c r="AQ163" s="202">
        <f>IF($C163,'Sprints'!$C$5,"")</f>
      </c>
      <c r="AR163" s="202">
        <f>IF(AND($C163,ISNUMBER($H163)),CEILING(MAX(1,INT(($H163-$AQ163+'Sprints'!$D$5-1)/'Sprints'!$D$5)+1)/$AP163,1),"")</f>
      </c>
      <c r="AS163" s="202">
        <f>IF($C163,CEILING(MAX(1,INT((TODAY()-$AQ163+'Sprints'!$D$5-1)/'Sprints'!$D$5)+1)/$AP163,1),"")</f>
      </c>
      <c r="AT163" s="203">
        <f>IF($C163,'Backlog General'!$G163,"")</f>
      </c>
      <c r="AU163" s="203">
        <f>IF($C163,'Backlog General'!$H163,"")</f>
      </c>
      <c r="AV163" s="202">
        <f>IF(AND($C163,ISNUMBER($AR163)),IF(OR($AT163="Completo",$AU163="Cancelado",$AU163="Baja prioridad"),$AR163,IF($AU163="Pasa al siguiente",MAX($AR163+1,$AS163),MAX($AR163,$AS163))),"")</f>
      </c>
      <c r="AW163" s="202">
        <f>IF(AND($C163,ISNUMBER($AR163)),$AQ163+$AR163*$AP163*'Sprints'!$D$5-'Sprints'!$D$5,"")</f>
      </c>
      <c r="AX163" s="202">
        <f>IF($C163,IF(OR($AT163="Completo",$AU163="Cancelado",$AU163="Baja prioridad",NOT(ISNUMBER($AW163))),0,IF(TODAY()&gt;$AW163,NETWORKDAYS($AW163,TODAY(),'Sprints'!$L$5:$L$40)-1,0)),"")</f>
      </c>
      <c r="AY163" s="203">
        <f>IF($C163,IF(NOT(ISNUMBER($AR163)),"Sin fecha",IF($AT163="Completo","Completo",IF($AU163="Cancelado","Cancelado",IF($AU163="Baja prioridad","Baja prioridad",IF($AX163&gt;0,"Vencida","Pendiente"))))),"")</f>
      </c>
      <c r="AZ163" s="203">
        <f>IF($C163,IF(ISNUMBER($AV163),$AO163&amp;" · S"&amp;$AV163,"(Sin fecha)"),"")</f>
      </c>
      <c r="BA163" s="202">
        <f>IF($C163,IF(AND(ISNUMBER('Backlog General'!$M163),'Backlog General'!$M163=$AS163),"Nuevo S"&amp;'Backlog General'!$M163,""),"")</f>
      </c>
      <c r="BB163" s="202">
        <f>IF(AND($C163,$AO163="Semanal",ISNUMBER($AV163)),$AV163*100000+ROW(),"")</f>
      </c>
      <c r="BC163" s="202">
        <f>IF(AND($C163,$AO163="Quincenal",ISNUMBER($AV163)),$AV163*100000+ROW(),"")</f>
      </c>
      <c r="BD163" s="202">
        <f>IF(AND($C163,$AO163="Mensual",ISNUMBER($AV163)),$AV163*100000+ROW(),"")</f>
      </c>
      <c r="BE163" s="203">
        <f>IF($C163,IF(ISBLANK('Backlog General'!$J163),"",'Backlog General'!$J163),"")</f>
      </c>
      <c r="BF163" s="203">
        <f>IF($C163,IF($BE163="","",$BE163)&amp;IF(AND($BE163&lt;&gt;"",$AH163&lt;&gt;"")," · ","")&amp;IF($AH163="","",$AH163),"")</f>
      </c>
      <c r="BG163" s="203">
        <f>IF($C163,IF($J163="Completado","Sí","No"),"")</f>
      </c>
      <c r="BH163" s="202">
        <f>IF(AND($C163,ISNUMBER($AR163)),IF($AO163="Semanal",1,IF($AO163="Quincenal",2,3))*1000000000+$AR163*100000+ROW(),"")</f>
      </c>
    </row>
    <row r="164">
      <c r="A164" s="202">
        <f>ROW()</f>
        <v>164</v>
      </c>
      <c r="B164" s="202" t="b">
        <f>ISTEXT('Proyecto Datos (OKR´s)'!$K164)</f>
        <v>0</v>
      </c>
      <c r="C164" s="202" t="b">
        <f>AND(LEN('Proyecto Datos (OKR´s)'!$G164)&gt;0,NOT($B164),OR(ISNUMBER('Proyecto Datos (OKR´s)'!$F164),ISNUMBER('Proyecto Datos (OKR´s)'!$L164)))</f>
        <v>0</v>
      </c>
      <c r="D164" s="203">
        <f>IF($C164,IFERROR(LOOKUP(2,1/((ISTEXT('Proyecto Datos (OKR´s)'!$K$7:$K164))*(LEN('Proyecto Datos (OKR´s)'!$G$7:$G164)&gt;0)),'Proyecto Datos (OKR´s)'!$G$7:$G164),""),"")</f>
      </c>
      <c r="E164" s="202">
        <f>IF($C164,'Proyecto Datos (OKR´s)'!$E164,"")</f>
      </c>
      <c r="F164" s="203">
        <f>IF($C164,'Proyecto Datos (OKR´s)'!$G164,"")</f>
      </c>
      <c r="G164" s="203">
        <f>IF($C164,IF('Proyecto Datos (OKR´s)'!$I164="","(Sin asignar)",'Proyecto Datos (OKR´s)'!$I164),"")</f>
      </c>
      <c r="H164" s="202">
        <f>IF($C164,IF(ISNUMBER('Proyecto Datos (OKR´s)'!$F164),'Proyecto Datos (OKR´s)'!$F164,""),"")</f>
      </c>
      <c r="I164" s="202">
        <f>IF($C164,'Proyecto Datos (OKR´s)'!$J164,"")</f>
      </c>
      <c r="J164" s="203">
        <f>IF($C164,IF($I164&gt;=1,"Completado",IF(NOT(ISNUMBER($H164)),"Sin fecha",IF($H164&lt;TODAY(),"Vencido",IF(($H164-TODAY())&lt;='Entregas Próximas'!$M$3,"Próximo a vencer","En curso")))),"")</f>
      </c>
      <c r="K164" s="202">
        <f>IF(AND($C164,ISNUMBER($H164)),$H164-TODAY(),"")</f>
      </c>
      <c r="L164" s="202">
        <f>IF(AND($C164,ISNUMBER($H164)),$AD164*1000000+$H164+ROW()/100000,"")</f>
      </c>
      <c r="M164" s="202">
        <f>IF($C164,IF($AD164=9999,"(Sin sprint)",$AD164),"")</f>
      </c>
      <c r="N164" s="202">
        <f>IF($C164,IF('Proyecto Datos (OKR´s)'!$E164="",9999,'Proyecto Datos (OKR´s)'!$E164),"")</f>
      </c>
      <c r="O164" s="202">
        <f>IF($C164,"T"&amp;TEXT(ROW(),"000"),"")</f>
      </c>
      <c r="R164" s="202">
        <f>IF($C164,IF(ISNUMBER('Proyecto Datos (OKR´s)'!$L164),'Proyecto Datos (OKR´s)'!$L164,$H164),"")</f>
      </c>
      <c r="S164" s="202">
        <f>IF($C164,$R164-'Proyecto Datos (OKR´s)'!$K164+1,"")</f>
      </c>
      <c r="T164" s="202">
        <f>IF($C164,MAX(0,TODAY()-'Proyecto Datos (OKR´s)'!$K164),"")</f>
      </c>
      <c r="U164" s="202">
        <f>IF($C164,MEDIAN(0,(TODAY()-'Proyecto Datos (OKR´s)'!$K164)/MAX(1,$R164-'Proyecto Datos (OKR´s)'!$K164),1),"")</f>
      </c>
      <c r="V164" s="202">
        <f>IF($C164,$I164-$U164,"")</f>
      </c>
      <c r="W164" s="202">
        <f>IF($C164,IF(OR($J164="Completado",NOT(ISNUMBER($H164))),0,MAX(0,TODAY()-$H164)),"")</f>
      </c>
      <c r="X164" s="202">
        <f>IF($C164,IF(ISNUMBER($H164),$R164-$H164,0),"")</f>
      </c>
      <c r="Y164" s="202">
        <f>IF($C164,COUNTIFS($G$7:$G$200,$G164,$J$7:$J$200,"&lt;&gt;Completado",$J$7:$J$200,"&lt;&gt;"),"")</f>
      </c>
      <c r="Z164" s="202">
        <f>IF($C164,AND($I164=0,'Proyecto Datos (OKR´s)'!$K164&lt;=TODAY(),$J164&lt;&gt;"Completado"),"")</f>
      </c>
      <c r="AA164" s="202">
        <f>IF($C164,ROUND(100*(0.35*$AK164+0.3*$AL164+0.2*$AM164+0.15*MEDIAN(0,($Y164-4)/8,1)),0),"")</f>
      </c>
      <c r="AB164" s="203">
        <f>IF($C164,IF(OR($J164="Completado",$J164="Sin fecha"),"—",IF($AA164&gt;=70,"Crítica",IF($AA164&gt;=45,"Alta",IF($AA164&gt;=25,"Media","Baja")))),"")</f>
      </c>
      <c r="AC164" s="203">
        <f>IF($C164,IF(LEN(TRIM($AN164))=0,"—",TRIM($AN164)),"")</f>
      </c>
      <c r="AD164" s="202">
        <f>IF($C164,$AV164,"")</f>
      </c>
      <c r="AE164" s="202">
        <f>IF($C164,$AZ164,"")</f>
      </c>
      <c r="AF164" s="202" t="b">
        <f>IF($C164,$AV164&lt;&gt;$AR164,FALSE)</f>
        <v>0</v>
      </c>
      <c r="AG164" s="202">
        <f>IF($C164,IF($AV164&lt;&gt;$AR164,$AW164,""),"")</f>
      </c>
      <c r="AH164" s="203">
        <f>IF($C164,IF(ISBLANK('Backlog General'!$K164),"",'Backlog General'!$K164),"")</f>
      </c>
      <c r="AI164" s="202">
        <f>IF($C164,$AV164*100000+ROW(),"")</f>
      </c>
      <c r="AJ164" s="202">
        <f>IF(AND($C164,ISNUMBER($H164)),$AA164*1000000-MEDIAN(-9999,$K164,9999)*100+(300-ROW()),"")</f>
      </c>
      <c r="AK164" s="202">
        <f>IF($C164,IF($J164="Completado",0,IF($K164&lt;0,1,IF($K164&lt;=3,0.9,IF($K164&lt;=7,0.7,IF($K164&lt;=14,0.45,0.2))))),"")</f>
      </c>
      <c r="AL164" s="202">
        <f>IF($C164,IF($J164="Completado",0,MEDIAN(0,MAX(-$V164,$W164/30),1)),"")</f>
      </c>
      <c r="AM164" s="202">
        <f>IF($C164,IF($J164="Completado",0,IF($Z164,1,IF(AND($I164&lt;0.5,$K164&lt;=7),0.7,0.3))),"")</f>
      </c>
      <c r="AN164" s="203">
        <f>IF($C164,IF(OR($V164&lt;-0.2,$W164&gt;0),"ATRASO ","")&amp;IF($Z164,"BLOQUEO ","")&amp;IF($Y164&gt;8,"SOBRECARGA ","")&amp;IF($X164&gt;0,"DESVÍO-PLAN ",""),"")</f>
      </c>
      <c r="AO164" s="203">
        <f>IF($C164,IFERROR(VLOOKUP($D164,'Sprints'!$I$5:$J$12,2,FALSE),"Semanal"),"")</f>
      </c>
      <c r="AP164" s="202">
        <f>IF($C164,IFERROR(VLOOKUP($AO164,'Sprints'!$B$9:$C$11,2,FALSE),1),"")</f>
      </c>
      <c r="AQ164" s="202">
        <f>IF($C164,'Sprints'!$C$5,"")</f>
      </c>
      <c r="AR164" s="202">
        <f>IF(AND($C164,ISNUMBER($H164)),CEILING(MAX(1,INT(($H164-$AQ164+'Sprints'!$D$5-1)/'Sprints'!$D$5)+1)/$AP164,1),"")</f>
      </c>
      <c r="AS164" s="202">
        <f>IF($C164,CEILING(MAX(1,INT((TODAY()-$AQ164+'Sprints'!$D$5-1)/'Sprints'!$D$5)+1)/$AP164,1),"")</f>
      </c>
      <c r="AT164" s="203">
        <f>IF($C164,'Backlog General'!$G164,"")</f>
      </c>
      <c r="AU164" s="203">
        <f>IF($C164,'Backlog General'!$H164,"")</f>
      </c>
      <c r="AV164" s="202">
        <f>IF(AND($C164,ISNUMBER($AR164)),IF(OR($AT164="Completo",$AU164="Cancelado",$AU164="Baja prioridad"),$AR164,IF($AU164="Pasa al siguiente",MAX($AR164+1,$AS164),MAX($AR164,$AS164))),"")</f>
      </c>
      <c r="AW164" s="202">
        <f>IF(AND($C164,ISNUMBER($AR164)),$AQ164+$AR164*$AP164*'Sprints'!$D$5-'Sprints'!$D$5,"")</f>
      </c>
      <c r="AX164" s="202">
        <f>IF($C164,IF(OR($AT164="Completo",$AU164="Cancelado",$AU164="Baja prioridad",NOT(ISNUMBER($AW164))),0,IF(TODAY()&gt;$AW164,NETWORKDAYS($AW164,TODAY(),'Sprints'!$L$5:$L$40)-1,0)),"")</f>
      </c>
      <c r="AY164" s="203">
        <f>IF($C164,IF(NOT(ISNUMBER($AR164)),"Sin fecha",IF($AT164="Completo","Completo",IF($AU164="Cancelado","Cancelado",IF($AU164="Baja prioridad","Baja prioridad",IF($AX164&gt;0,"Vencida","Pendiente"))))),"")</f>
      </c>
      <c r="AZ164" s="203">
        <f>IF($C164,IF(ISNUMBER($AV164),$AO164&amp;" · S"&amp;$AV164,"(Sin fecha)"),"")</f>
      </c>
      <c r="BA164" s="202">
        <f>IF($C164,IF(AND(ISNUMBER('Backlog General'!$M164),'Backlog General'!$M164=$AS164),"Nuevo S"&amp;'Backlog General'!$M164,""),"")</f>
      </c>
      <c r="BB164" s="202">
        <f>IF(AND($C164,$AO164="Semanal",ISNUMBER($AV164)),$AV164*100000+ROW(),"")</f>
      </c>
      <c r="BC164" s="202">
        <f>IF(AND($C164,$AO164="Quincenal",ISNUMBER($AV164)),$AV164*100000+ROW(),"")</f>
      </c>
      <c r="BD164" s="202">
        <f>IF(AND($C164,$AO164="Mensual",ISNUMBER($AV164)),$AV164*100000+ROW(),"")</f>
      </c>
      <c r="BE164" s="203">
        <f>IF($C164,IF(ISBLANK('Backlog General'!$J164),"",'Backlog General'!$J164),"")</f>
      </c>
      <c r="BF164" s="203">
        <f>IF($C164,IF($BE164="","",$BE164)&amp;IF(AND($BE164&lt;&gt;"",$AH164&lt;&gt;"")," · ","")&amp;IF($AH164="","",$AH164),"")</f>
      </c>
      <c r="BG164" s="203">
        <f>IF($C164,IF($J164="Completado","Sí","No"),"")</f>
      </c>
      <c r="BH164" s="202">
        <f>IF(AND($C164,ISNUMBER($AR164)),IF($AO164="Semanal",1,IF($AO164="Quincenal",2,3))*1000000000+$AR164*100000+ROW(),"")</f>
      </c>
    </row>
    <row r="165">
      <c r="A165" s="202">
        <f>ROW()</f>
        <v>165</v>
      </c>
      <c r="B165" s="202" t="b">
        <f>ISTEXT('Proyecto Datos (OKR´s)'!$K165)</f>
        <v>0</v>
      </c>
      <c r="C165" s="202" t="b">
        <f>AND(LEN('Proyecto Datos (OKR´s)'!$G165)&gt;0,NOT($B165),OR(ISNUMBER('Proyecto Datos (OKR´s)'!$F165),ISNUMBER('Proyecto Datos (OKR´s)'!$L165)))</f>
        <v>0</v>
      </c>
      <c r="D165" s="203">
        <f>IF($C165,IFERROR(LOOKUP(2,1/((ISTEXT('Proyecto Datos (OKR´s)'!$K$7:$K165))*(LEN('Proyecto Datos (OKR´s)'!$G$7:$G165)&gt;0)),'Proyecto Datos (OKR´s)'!$G$7:$G165),""),"")</f>
      </c>
      <c r="E165" s="202">
        <f>IF($C165,'Proyecto Datos (OKR´s)'!$E165,"")</f>
      </c>
      <c r="F165" s="203">
        <f>IF($C165,'Proyecto Datos (OKR´s)'!$G165,"")</f>
      </c>
      <c r="G165" s="203">
        <f>IF($C165,IF('Proyecto Datos (OKR´s)'!$I165="","(Sin asignar)",'Proyecto Datos (OKR´s)'!$I165),"")</f>
      </c>
      <c r="H165" s="202">
        <f>IF($C165,IF(ISNUMBER('Proyecto Datos (OKR´s)'!$F165),'Proyecto Datos (OKR´s)'!$F165,""),"")</f>
      </c>
      <c r="I165" s="202">
        <f>IF($C165,'Proyecto Datos (OKR´s)'!$J165,"")</f>
      </c>
      <c r="J165" s="203">
        <f>IF($C165,IF($I165&gt;=1,"Completado",IF(NOT(ISNUMBER($H165)),"Sin fecha",IF($H165&lt;TODAY(),"Vencido",IF(($H165-TODAY())&lt;='Entregas Próximas'!$M$3,"Próximo a vencer","En curso")))),"")</f>
      </c>
      <c r="K165" s="202">
        <f>IF(AND($C165,ISNUMBER($H165)),$H165-TODAY(),"")</f>
      </c>
      <c r="L165" s="202">
        <f>IF(AND($C165,ISNUMBER($H165)),$AD165*1000000+$H165+ROW()/100000,"")</f>
      </c>
      <c r="M165" s="202">
        <f>IF($C165,IF($AD165=9999,"(Sin sprint)",$AD165),"")</f>
      </c>
      <c r="N165" s="202">
        <f>IF($C165,IF('Proyecto Datos (OKR´s)'!$E165="",9999,'Proyecto Datos (OKR´s)'!$E165),"")</f>
      </c>
      <c r="O165" s="202">
        <f>IF($C165,"T"&amp;TEXT(ROW(),"000"),"")</f>
      </c>
      <c r="R165" s="202">
        <f>IF($C165,IF(ISNUMBER('Proyecto Datos (OKR´s)'!$L165),'Proyecto Datos (OKR´s)'!$L165,$H165),"")</f>
      </c>
      <c r="S165" s="202">
        <f>IF($C165,$R165-'Proyecto Datos (OKR´s)'!$K165+1,"")</f>
      </c>
      <c r="T165" s="202">
        <f>IF($C165,MAX(0,TODAY()-'Proyecto Datos (OKR´s)'!$K165),"")</f>
      </c>
      <c r="U165" s="202">
        <f>IF($C165,MEDIAN(0,(TODAY()-'Proyecto Datos (OKR´s)'!$K165)/MAX(1,$R165-'Proyecto Datos (OKR´s)'!$K165),1),"")</f>
      </c>
      <c r="V165" s="202">
        <f>IF($C165,$I165-$U165,"")</f>
      </c>
      <c r="W165" s="202">
        <f>IF($C165,IF(OR($J165="Completado",NOT(ISNUMBER($H165))),0,MAX(0,TODAY()-$H165)),"")</f>
      </c>
      <c r="X165" s="202">
        <f>IF($C165,IF(ISNUMBER($H165),$R165-$H165,0),"")</f>
      </c>
      <c r="Y165" s="202">
        <f>IF($C165,COUNTIFS($G$7:$G$200,$G165,$J$7:$J$200,"&lt;&gt;Completado",$J$7:$J$200,"&lt;&gt;"),"")</f>
      </c>
      <c r="Z165" s="202">
        <f>IF($C165,AND($I165=0,'Proyecto Datos (OKR´s)'!$K165&lt;=TODAY(),$J165&lt;&gt;"Completado"),"")</f>
      </c>
      <c r="AA165" s="202">
        <f>IF($C165,ROUND(100*(0.35*$AK165+0.3*$AL165+0.2*$AM165+0.15*MEDIAN(0,($Y165-4)/8,1)),0),"")</f>
      </c>
      <c r="AB165" s="203">
        <f>IF($C165,IF(OR($J165="Completado",$J165="Sin fecha"),"—",IF($AA165&gt;=70,"Crítica",IF($AA165&gt;=45,"Alta",IF($AA165&gt;=25,"Media","Baja")))),"")</f>
      </c>
      <c r="AC165" s="203">
        <f>IF($C165,IF(LEN(TRIM($AN165))=0,"—",TRIM($AN165)),"")</f>
      </c>
      <c r="AD165" s="202">
        <f>IF($C165,$AV165,"")</f>
      </c>
      <c r="AE165" s="202">
        <f>IF($C165,$AZ165,"")</f>
      </c>
      <c r="AF165" s="202" t="b">
        <f>IF($C165,$AV165&lt;&gt;$AR165,FALSE)</f>
        <v>0</v>
      </c>
      <c r="AG165" s="202">
        <f>IF($C165,IF($AV165&lt;&gt;$AR165,$AW165,""),"")</f>
      </c>
      <c r="AH165" s="203">
        <f>IF($C165,IF(ISBLANK('Backlog General'!$K165),"",'Backlog General'!$K165),"")</f>
      </c>
      <c r="AI165" s="202">
        <f>IF($C165,$AV165*100000+ROW(),"")</f>
      </c>
      <c r="AJ165" s="202">
        <f>IF(AND($C165,ISNUMBER($H165)),$AA165*1000000-MEDIAN(-9999,$K165,9999)*100+(300-ROW()),"")</f>
      </c>
      <c r="AK165" s="202">
        <f>IF($C165,IF($J165="Completado",0,IF($K165&lt;0,1,IF($K165&lt;=3,0.9,IF($K165&lt;=7,0.7,IF($K165&lt;=14,0.45,0.2))))),"")</f>
      </c>
      <c r="AL165" s="202">
        <f>IF($C165,IF($J165="Completado",0,MEDIAN(0,MAX(-$V165,$W165/30),1)),"")</f>
      </c>
      <c r="AM165" s="202">
        <f>IF($C165,IF($J165="Completado",0,IF($Z165,1,IF(AND($I165&lt;0.5,$K165&lt;=7),0.7,0.3))),"")</f>
      </c>
      <c r="AN165" s="203">
        <f>IF($C165,IF(OR($V165&lt;-0.2,$W165&gt;0),"ATRASO ","")&amp;IF($Z165,"BLOQUEO ","")&amp;IF($Y165&gt;8,"SOBRECARGA ","")&amp;IF($X165&gt;0,"DESVÍO-PLAN ",""),"")</f>
      </c>
      <c r="AO165" s="203">
        <f>IF($C165,IFERROR(VLOOKUP($D165,'Sprints'!$I$5:$J$12,2,FALSE),"Semanal"),"")</f>
      </c>
      <c r="AP165" s="202">
        <f>IF($C165,IFERROR(VLOOKUP($AO165,'Sprints'!$B$9:$C$11,2,FALSE),1),"")</f>
      </c>
      <c r="AQ165" s="202">
        <f>IF($C165,'Sprints'!$C$5,"")</f>
      </c>
      <c r="AR165" s="202">
        <f>IF(AND($C165,ISNUMBER($H165)),CEILING(MAX(1,INT(($H165-$AQ165+'Sprints'!$D$5-1)/'Sprints'!$D$5)+1)/$AP165,1),"")</f>
      </c>
      <c r="AS165" s="202">
        <f>IF($C165,CEILING(MAX(1,INT((TODAY()-$AQ165+'Sprints'!$D$5-1)/'Sprints'!$D$5)+1)/$AP165,1),"")</f>
      </c>
      <c r="AT165" s="203">
        <f>IF($C165,'Backlog General'!$G165,"")</f>
      </c>
      <c r="AU165" s="203">
        <f>IF($C165,'Backlog General'!$H165,"")</f>
      </c>
      <c r="AV165" s="202">
        <f>IF(AND($C165,ISNUMBER($AR165)),IF(OR($AT165="Completo",$AU165="Cancelado",$AU165="Baja prioridad"),$AR165,IF($AU165="Pasa al siguiente",MAX($AR165+1,$AS165),MAX($AR165,$AS165))),"")</f>
      </c>
      <c r="AW165" s="202">
        <f>IF(AND($C165,ISNUMBER($AR165)),$AQ165+$AR165*$AP165*'Sprints'!$D$5-'Sprints'!$D$5,"")</f>
      </c>
      <c r="AX165" s="202">
        <f>IF($C165,IF(OR($AT165="Completo",$AU165="Cancelado",$AU165="Baja prioridad",NOT(ISNUMBER($AW165))),0,IF(TODAY()&gt;$AW165,NETWORKDAYS($AW165,TODAY(),'Sprints'!$L$5:$L$40)-1,0)),"")</f>
      </c>
      <c r="AY165" s="203">
        <f>IF($C165,IF(NOT(ISNUMBER($AR165)),"Sin fecha",IF($AT165="Completo","Completo",IF($AU165="Cancelado","Cancelado",IF($AU165="Baja prioridad","Baja prioridad",IF($AX165&gt;0,"Vencida","Pendiente"))))),"")</f>
      </c>
      <c r="AZ165" s="203">
        <f>IF($C165,IF(ISNUMBER($AV165),$AO165&amp;" · S"&amp;$AV165,"(Sin fecha)"),"")</f>
      </c>
      <c r="BA165" s="202">
        <f>IF($C165,IF(AND(ISNUMBER('Backlog General'!$M165),'Backlog General'!$M165=$AS165),"Nuevo S"&amp;'Backlog General'!$M165,""),"")</f>
      </c>
      <c r="BB165" s="202">
        <f>IF(AND($C165,$AO165="Semanal",ISNUMBER($AV165)),$AV165*100000+ROW(),"")</f>
      </c>
      <c r="BC165" s="202">
        <f>IF(AND($C165,$AO165="Quincenal",ISNUMBER($AV165)),$AV165*100000+ROW(),"")</f>
      </c>
      <c r="BD165" s="202">
        <f>IF(AND($C165,$AO165="Mensual",ISNUMBER($AV165)),$AV165*100000+ROW(),"")</f>
      </c>
      <c r="BE165" s="203">
        <f>IF($C165,IF(ISBLANK('Backlog General'!$J165),"",'Backlog General'!$J165),"")</f>
      </c>
      <c r="BF165" s="203">
        <f>IF($C165,IF($BE165="","",$BE165)&amp;IF(AND($BE165&lt;&gt;"",$AH165&lt;&gt;"")," · ","")&amp;IF($AH165="","",$AH165),"")</f>
      </c>
      <c r="BG165" s="203">
        <f>IF($C165,IF($J165="Completado","Sí","No"),"")</f>
      </c>
      <c r="BH165" s="202">
        <f>IF(AND($C165,ISNUMBER($AR165)),IF($AO165="Semanal",1,IF($AO165="Quincenal",2,3))*1000000000+$AR165*100000+ROW(),"")</f>
      </c>
    </row>
    <row r="166">
      <c r="A166" s="202">
        <f>ROW()</f>
        <v>166</v>
      </c>
      <c r="B166" s="202" t="b">
        <f>ISTEXT('Proyecto Datos (OKR´s)'!$K166)</f>
        <v>0</v>
      </c>
      <c r="C166" s="202" t="b">
        <f>AND(LEN('Proyecto Datos (OKR´s)'!$G166)&gt;0,NOT($B166),OR(ISNUMBER('Proyecto Datos (OKR´s)'!$F166),ISNUMBER('Proyecto Datos (OKR´s)'!$L166)))</f>
        <v>0</v>
      </c>
      <c r="D166" s="203">
        <f>IF($C166,IFERROR(LOOKUP(2,1/((ISTEXT('Proyecto Datos (OKR´s)'!$K$7:$K166))*(LEN('Proyecto Datos (OKR´s)'!$G$7:$G166)&gt;0)),'Proyecto Datos (OKR´s)'!$G$7:$G166),""),"")</f>
      </c>
      <c r="E166" s="202">
        <f>IF($C166,'Proyecto Datos (OKR´s)'!$E166,"")</f>
      </c>
      <c r="F166" s="203">
        <f>IF($C166,'Proyecto Datos (OKR´s)'!$G166,"")</f>
      </c>
      <c r="G166" s="203">
        <f>IF($C166,IF('Proyecto Datos (OKR´s)'!$I166="","(Sin asignar)",'Proyecto Datos (OKR´s)'!$I166),"")</f>
      </c>
      <c r="H166" s="202">
        <f>IF($C166,IF(ISNUMBER('Proyecto Datos (OKR´s)'!$F166),'Proyecto Datos (OKR´s)'!$F166,""),"")</f>
      </c>
      <c r="I166" s="202">
        <f>IF($C166,'Proyecto Datos (OKR´s)'!$J166,"")</f>
      </c>
      <c r="J166" s="203">
        <f>IF($C166,IF($I166&gt;=1,"Completado",IF(NOT(ISNUMBER($H166)),"Sin fecha",IF($H166&lt;TODAY(),"Vencido",IF(($H166-TODAY())&lt;='Entregas Próximas'!$M$3,"Próximo a vencer","En curso")))),"")</f>
      </c>
      <c r="K166" s="202">
        <f>IF(AND($C166,ISNUMBER($H166)),$H166-TODAY(),"")</f>
      </c>
      <c r="L166" s="202">
        <f>IF(AND($C166,ISNUMBER($H166)),$AD166*1000000+$H166+ROW()/100000,"")</f>
      </c>
      <c r="M166" s="202">
        <f>IF($C166,IF($AD166=9999,"(Sin sprint)",$AD166),"")</f>
      </c>
      <c r="N166" s="202">
        <f>IF($C166,IF('Proyecto Datos (OKR´s)'!$E166="",9999,'Proyecto Datos (OKR´s)'!$E166),"")</f>
      </c>
      <c r="O166" s="202">
        <f>IF($C166,"T"&amp;TEXT(ROW(),"000"),"")</f>
      </c>
      <c r="R166" s="202">
        <f>IF($C166,IF(ISNUMBER('Proyecto Datos (OKR´s)'!$L166),'Proyecto Datos (OKR´s)'!$L166,$H166),"")</f>
      </c>
      <c r="S166" s="202">
        <f>IF($C166,$R166-'Proyecto Datos (OKR´s)'!$K166+1,"")</f>
      </c>
      <c r="T166" s="202">
        <f>IF($C166,MAX(0,TODAY()-'Proyecto Datos (OKR´s)'!$K166),"")</f>
      </c>
      <c r="U166" s="202">
        <f>IF($C166,MEDIAN(0,(TODAY()-'Proyecto Datos (OKR´s)'!$K166)/MAX(1,$R166-'Proyecto Datos (OKR´s)'!$K166),1),"")</f>
      </c>
      <c r="V166" s="202">
        <f>IF($C166,$I166-$U166,"")</f>
      </c>
      <c r="W166" s="202">
        <f>IF($C166,IF(OR($J166="Completado",NOT(ISNUMBER($H166))),0,MAX(0,TODAY()-$H166)),"")</f>
      </c>
      <c r="X166" s="202">
        <f>IF($C166,IF(ISNUMBER($H166),$R166-$H166,0),"")</f>
      </c>
      <c r="Y166" s="202">
        <f>IF($C166,COUNTIFS($G$7:$G$200,$G166,$J$7:$J$200,"&lt;&gt;Completado",$J$7:$J$200,"&lt;&gt;"),"")</f>
      </c>
      <c r="Z166" s="202">
        <f>IF($C166,AND($I166=0,'Proyecto Datos (OKR´s)'!$K166&lt;=TODAY(),$J166&lt;&gt;"Completado"),"")</f>
      </c>
      <c r="AA166" s="202">
        <f>IF($C166,ROUND(100*(0.35*$AK166+0.3*$AL166+0.2*$AM166+0.15*MEDIAN(0,($Y166-4)/8,1)),0),"")</f>
      </c>
      <c r="AB166" s="203">
        <f>IF($C166,IF(OR($J166="Completado",$J166="Sin fecha"),"—",IF($AA166&gt;=70,"Crítica",IF($AA166&gt;=45,"Alta",IF($AA166&gt;=25,"Media","Baja")))),"")</f>
      </c>
      <c r="AC166" s="203">
        <f>IF($C166,IF(LEN(TRIM($AN166))=0,"—",TRIM($AN166)),"")</f>
      </c>
      <c r="AD166" s="202">
        <f>IF($C166,$AV166,"")</f>
      </c>
      <c r="AE166" s="202">
        <f>IF($C166,$AZ166,"")</f>
      </c>
      <c r="AF166" s="202" t="b">
        <f>IF($C166,$AV166&lt;&gt;$AR166,FALSE)</f>
        <v>0</v>
      </c>
      <c r="AG166" s="202">
        <f>IF($C166,IF($AV166&lt;&gt;$AR166,$AW166,""),"")</f>
      </c>
      <c r="AH166" s="203">
        <f>IF($C166,IF(ISBLANK('Backlog General'!$K166),"",'Backlog General'!$K166),"")</f>
      </c>
      <c r="AI166" s="202">
        <f>IF($C166,$AV166*100000+ROW(),"")</f>
      </c>
      <c r="AJ166" s="202">
        <f>IF(AND($C166,ISNUMBER($H166)),$AA166*1000000-MEDIAN(-9999,$K166,9999)*100+(300-ROW()),"")</f>
      </c>
      <c r="AK166" s="202">
        <f>IF($C166,IF($J166="Completado",0,IF($K166&lt;0,1,IF($K166&lt;=3,0.9,IF($K166&lt;=7,0.7,IF($K166&lt;=14,0.45,0.2))))),"")</f>
      </c>
      <c r="AL166" s="202">
        <f>IF($C166,IF($J166="Completado",0,MEDIAN(0,MAX(-$V166,$W166/30),1)),"")</f>
      </c>
      <c r="AM166" s="202">
        <f>IF($C166,IF($J166="Completado",0,IF($Z166,1,IF(AND($I166&lt;0.5,$K166&lt;=7),0.7,0.3))),"")</f>
      </c>
      <c r="AN166" s="203">
        <f>IF($C166,IF(OR($V166&lt;-0.2,$W166&gt;0),"ATRASO ","")&amp;IF($Z166,"BLOQUEO ","")&amp;IF($Y166&gt;8,"SOBRECARGA ","")&amp;IF($X166&gt;0,"DESVÍO-PLAN ",""),"")</f>
      </c>
      <c r="AO166" s="203">
        <f>IF($C166,IFERROR(VLOOKUP($D166,'Sprints'!$I$5:$J$12,2,FALSE),"Semanal"),"")</f>
      </c>
      <c r="AP166" s="202">
        <f>IF($C166,IFERROR(VLOOKUP($AO166,'Sprints'!$B$9:$C$11,2,FALSE),1),"")</f>
      </c>
      <c r="AQ166" s="202">
        <f>IF($C166,'Sprints'!$C$5,"")</f>
      </c>
      <c r="AR166" s="202">
        <f>IF(AND($C166,ISNUMBER($H166)),CEILING(MAX(1,INT(($H166-$AQ166+'Sprints'!$D$5-1)/'Sprints'!$D$5)+1)/$AP166,1),"")</f>
      </c>
      <c r="AS166" s="202">
        <f>IF($C166,CEILING(MAX(1,INT((TODAY()-$AQ166+'Sprints'!$D$5-1)/'Sprints'!$D$5)+1)/$AP166,1),"")</f>
      </c>
      <c r="AT166" s="203">
        <f>IF($C166,'Backlog General'!$G166,"")</f>
      </c>
      <c r="AU166" s="203">
        <f>IF($C166,'Backlog General'!$H166,"")</f>
      </c>
      <c r="AV166" s="202">
        <f>IF(AND($C166,ISNUMBER($AR166)),IF(OR($AT166="Completo",$AU166="Cancelado",$AU166="Baja prioridad"),$AR166,IF($AU166="Pasa al siguiente",MAX($AR166+1,$AS166),MAX($AR166,$AS166))),"")</f>
      </c>
      <c r="AW166" s="202">
        <f>IF(AND($C166,ISNUMBER($AR166)),$AQ166+$AR166*$AP166*'Sprints'!$D$5-'Sprints'!$D$5,"")</f>
      </c>
      <c r="AX166" s="202">
        <f>IF($C166,IF(OR($AT166="Completo",$AU166="Cancelado",$AU166="Baja prioridad",NOT(ISNUMBER($AW166))),0,IF(TODAY()&gt;$AW166,NETWORKDAYS($AW166,TODAY(),'Sprints'!$L$5:$L$40)-1,0)),"")</f>
      </c>
      <c r="AY166" s="203">
        <f>IF($C166,IF(NOT(ISNUMBER($AR166)),"Sin fecha",IF($AT166="Completo","Completo",IF($AU166="Cancelado","Cancelado",IF($AU166="Baja prioridad","Baja prioridad",IF($AX166&gt;0,"Vencida","Pendiente"))))),"")</f>
      </c>
      <c r="AZ166" s="203">
        <f>IF($C166,IF(ISNUMBER($AV166),$AO166&amp;" · S"&amp;$AV166,"(Sin fecha)"),"")</f>
      </c>
      <c r="BA166" s="202">
        <f>IF($C166,IF(AND(ISNUMBER('Backlog General'!$M166),'Backlog General'!$M166=$AS166),"Nuevo S"&amp;'Backlog General'!$M166,""),"")</f>
      </c>
      <c r="BB166" s="202">
        <f>IF(AND($C166,$AO166="Semanal",ISNUMBER($AV166)),$AV166*100000+ROW(),"")</f>
      </c>
      <c r="BC166" s="202">
        <f>IF(AND($C166,$AO166="Quincenal",ISNUMBER($AV166)),$AV166*100000+ROW(),"")</f>
      </c>
      <c r="BD166" s="202">
        <f>IF(AND($C166,$AO166="Mensual",ISNUMBER($AV166)),$AV166*100000+ROW(),"")</f>
      </c>
      <c r="BE166" s="203">
        <f>IF($C166,IF(ISBLANK('Backlog General'!$J166),"",'Backlog General'!$J166),"")</f>
      </c>
      <c r="BF166" s="203">
        <f>IF($C166,IF($BE166="","",$BE166)&amp;IF(AND($BE166&lt;&gt;"",$AH166&lt;&gt;"")," · ","")&amp;IF($AH166="","",$AH166),"")</f>
      </c>
      <c r="BG166" s="203">
        <f>IF($C166,IF($J166="Completado","Sí","No"),"")</f>
      </c>
      <c r="BH166" s="202">
        <f>IF(AND($C166,ISNUMBER($AR166)),IF($AO166="Semanal",1,IF($AO166="Quincenal",2,3))*1000000000+$AR166*100000+ROW(),"")</f>
      </c>
    </row>
    <row r="167">
      <c r="A167" s="202">
        <f>ROW()</f>
        <v>167</v>
      </c>
      <c r="B167" s="202" t="b">
        <f>ISTEXT('Proyecto Datos (OKR´s)'!$K167)</f>
        <v>0</v>
      </c>
      <c r="C167" s="202" t="b">
        <f>AND(LEN('Proyecto Datos (OKR´s)'!$G167)&gt;0,NOT($B167),OR(ISNUMBER('Proyecto Datos (OKR´s)'!$F167),ISNUMBER('Proyecto Datos (OKR´s)'!$L167)))</f>
        <v>0</v>
      </c>
      <c r="D167" s="203">
        <f>IF($C167,IFERROR(LOOKUP(2,1/((ISTEXT('Proyecto Datos (OKR´s)'!$K$7:$K167))*(LEN('Proyecto Datos (OKR´s)'!$G$7:$G167)&gt;0)),'Proyecto Datos (OKR´s)'!$G$7:$G167),""),"")</f>
      </c>
      <c r="E167" s="202">
        <f>IF($C167,'Proyecto Datos (OKR´s)'!$E167,"")</f>
      </c>
      <c r="F167" s="203">
        <f>IF($C167,'Proyecto Datos (OKR´s)'!$G167,"")</f>
      </c>
      <c r="G167" s="203">
        <f>IF($C167,IF('Proyecto Datos (OKR´s)'!$I167="","(Sin asignar)",'Proyecto Datos (OKR´s)'!$I167),"")</f>
      </c>
      <c r="H167" s="202">
        <f>IF($C167,IF(ISNUMBER('Proyecto Datos (OKR´s)'!$F167),'Proyecto Datos (OKR´s)'!$F167,""),"")</f>
      </c>
      <c r="I167" s="202">
        <f>IF($C167,'Proyecto Datos (OKR´s)'!$J167,"")</f>
      </c>
      <c r="J167" s="203">
        <f>IF($C167,IF($I167&gt;=1,"Completado",IF(NOT(ISNUMBER($H167)),"Sin fecha",IF($H167&lt;TODAY(),"Vencido",IF(($H167-TODAY())&lt;='Entregas Próximas'!$M$3,"Próximo a vencer","En curso")))),"")</f>
      </c>
      <c r="K167" s="202">
        <f>IF(AND($C167,ISNUMBER($H167)),$H167-TODAY(),"")</f>
      </c>
      <c r="L167" s="202">
        <f>IF(AND($C167,ISNUMBER($H167)),$AD167*1000000+$H167+ROW()/100000,"")</f>
      </c>
      <c r="M167" s="202">
        <f>IF($C167,IF($AD167=9999,"(Sin sprint)",$AD167),"")</f>
      </c>
      <c r="N167" s="202">
        <f>IF($C167,IF('Proyecto Datos (OKR´s)'!$E167="",9999,'Proyecto Datos (OKR´s)'!$E167),"")</f>
      </c>
      <c r="O167" s="202">
        <f>IF($C167,"T"&amp;TEXT(ROW(),"000"),"")</f>
      </c>
      <c r="R167" s="202">
        <f>IF($C167,IF(ISNUMBER('Proyecto Datos (OKR´s)'!$L167),'Proyecto Datos (OKR´s)'!$L167,$H167),"")</f>
      </c>
      <c r="S167" s="202">
        <f>IF($C167,$R167-'Proyecto Datos (OKR´s)'!$K167+1,"")</f>
      </c>
      <c r="T167" s="202">
        <f>IF($C167,MAX(0,TODAY()-'Proyecto Datos (OKR´s)'!$K167),"")</f>
      </c>
      <c r="U167" s="202">
        <f>IF($C167,MEDIAN(0,(TODAY()-'Proyecto Datos (OKR´s)'!$K167)/MAX(1,$R167-'Proyecto Datos (OKR´s)'!$K167),1),"")</f>
      </c>
      <c r="V167" s="202">
        <f>IF($C167,$I167-$U167,"")</f>
      </c>
      <c r="W167" s="202">
        <f>IF($C167,IF(OR($J167="Completado",NOT(ISNUMBER($H167))),0,MAX(0,TODAY()-$H167)),"")</f>
      </c>
      <c r="X167" s="202">
        <f>IF($C167,IF(ISNUMBER($H167),$R167-$H167,0),"")</f>
      </c>
      <c r="Y167" s="202">
        <f>IF($C167,COUNTIFS($G$7:$G$200,$G167,$J$7:$J$200,"&lt;&gt;Completado",$J$7:$J$200,"&lt;&gt;"),"")</f>
      </c>
      <c r="Z167" s="202">
        <f>IF($C167,AND($I167=0,'Proyecto Datos (OKR´s)'!$K167&lt;=TODAY(),$J167&lt;&gt;"Completado"),"")</f>
      </c>
      <c r="AA167" s="202">
        <f>IF($C167,ROUND(100*(0.35*$AK167+0.3*$AL167+0.2*$AM167+0.15*MEDIAN(0,($Y167-4)/8,1)),0),"")</f>
      </c>
      <c r="AB167" s="203">
        <f>IF($C167,IF(OR($J167="Completado",$J167="Sin fecha"),"—",IF($AA167&gt;=70,"Crítica",IF($AA167&gt;=45,"Alta",IF($AA167&gt;=25,"Media","Baja")))),"")</f>
      </c>
      <c r="AC167" s="203">
        <f>IF($C167,IF(LEN(TRIM($AN167))=0,"—",TRIM($AN167)),"")</f>
      </c>
      <c r="AD167" s="202">
        <f>IF($C167,$AV167,"")</f>
      </c>
      <c r="AE167" s="202">
        <f>IF($C167,$AZ167,"")</f>
      </c>
      <c r="AF167" s="202" t="b">
        <f>IF($C167,$AV167&lt;&gt;$AR167,FALSE)</f>
        <v>0</v>
      </c>
      <c r="AG167" s="202">
        <f>IF($C167,IF($AV167&lt;&gt;$AR167,$AW167,""),"")</f>
      </c>
      <c r="AH167" s="203">
        <f>IF($C167,IF(ISBLANK('Backlog General'!$K167),"",'Backlog General'!$K167),"")</f>
      </c>
      <c r="AI167" s="202">
        <f>IF($C167,$AV167*100000+ROW(),"")</f>
      </c>
      <c r="AJ167" s="202">
        <f>IF(AND($C167,ISNUMBER($H167)),$AA167*1000000-MEDIAN(-9999,$K167,9999)*100+(300-ROW()),"")</f>
      </c>
      <c r="AK167" s="202">
        <f>IF($C167,IF($J167="Completado",0,IF($K167&lt;0,1,IF($K167&lt;=3,0.9,IF($K167&lt;=7,0.7,IF($K167&lt;=14,0.45,0.2))))),"")</f>
      </c>
      <c r="AL167" s="202">
        <f>IF($C167,IF($J167="Completado",0,MEDIAN(0,MAX(-$V167,$W167/30),1)),"")</f>
      </c>
      <c r="AM167" s="202">
        <f>IF($C167,IF($J167="Completado",0,IF($Z167,1,IF(AND($I167&lt;0.5,$K167&lt;=7),0.7,0.3))),"")</f>
      </c>
      <c r="AN167" s="203">
        <f>IF($C167,IF(OR($V167&lt;-0.2,$W167&gt;0),"ATRASO ","")&amp;IF($Z167,"BLOQUEO ","")&amp;IF($Y167&gt;8,"SOBRECARGA ","")&amp;IF($X167&gt;0,"DESVÍO-PLAN ",""),"")</f>
      </c>
      <c r="AO167" s="203">
        <f>IF($C167,IFERROR(VLOOKUP($D167,'Sprints'!$I$5:$J$12,2,FALSE),"Semanal"),"")</f>
      </c>
      <c r="AP167" s="202">
        <f>IF($C167,IFERROR(VLOOKUP($AO167,'Sprints'!$B$9:$C$11,2,FALSE),1),"")</f>
      </c>
      <c r="AQ167" s="202">
        <f>IF($C167,'Sprints'!$C$5,"")</f>
      </c>
      <c r="AR167" s="202">
        <f>IF(AND($C167,ISNUMBER($H167)),CEILING(MAX(1,INT(($H167-$AQ167+'Sprints'!$D$5-1)/'Sprints'!$D$5)+1)/$AP167,1),"")</f>
      </c>
      <c r="AS167" s="202">
        <f>IF($C167,CEILING(MAX(1,INT((TODAY()-$AQ167+'Sprints'!$D$5-1)/'Sprints'!$D$5)+1)/$AP167,1),"")</f>
      </c>
      <c r="AT167" s="203">
        <f>IF($C167,'Backlog General'!$G167,"")</f>
      </c>
      <c r="AU167" s="203">
        <f>IF($C167,'Backlog General'!$H167,"")</f>
      </c>
      <c r="AV167" s="202">
        <f>IF(AND($C167,ISNUMBER($AR167)),IF(OR($AT167="Completo",$AU167="Cancelado",$AU167="Baja prioridad"),$AR167,IF($AU167="Pasa al siguiente",MAX($AR167+1,$AS167),MAX($AR167,$AS167))),"")</f>
      </c>
      <c r="AW167" s="202">
        <f>IF(AND($C167,ISNUMBER($AR167)),$AQ167+$AR167*$AP167*'Sprints'!$D$5-'Sprints'!$D$5,"")</f>
      </c>
      <c r="AX167" s="202">
        <f>IF($C167,IF(OR($AT167="Completo",$AU167="Cancelado",$AU167="Baja prioridad",NOT(ISNUMBER($AW167))),0,IF(TODAY()&gt;$AW167,NETWORKDAYS($AW167,TODAY(),'Sprints'!$L$5:$L$40)-1,0)),"")</f>
      </c>
      <c r="AY167" s="203">
        <f>IF($C167,IF(NOT(ISNUMBER($AR167)),"Sin fecha",IF($AT167="Completo","Completo",IF($AU167="Cancelado","Cancelado",IF($AU167="Baja prioridad","Baja prioridad",IF($AX167&gt;0,"Vencida","Pendiente"))))),"")</f>
      </c>
      <c r="AZ167" s="203">
        <f>IF($C167,IF(ISNUMBER($AV167),$AO167&amp;" · S"&amp;$AV167,"(Sin fecha)"),"")</f>
      </c>
      <c r="BA167" s="202">
        <f>IF($C167,IF(AND(ISNUMBER('Backlog General'!$M167),'Backlog General'!$M167=$AS167),"Nuevo S"&amp;'Backlog General'!$M167,""),"")</f>
      </c>
      <c r="BB167" s="202">
        <f>IF(AND($C167,$AO167="Semanal",ISNUMBER($AV167)),$AV167*100000+ROW(),"")</f>
      </c>
      <c r="BC167" s="202">
        <f>IF(AND($C167,$AO167="Quincenal",ISNUMBER($AV167)),$AV167*100000+ROW(),"")</f>
      </c>
      <c r="BD167" s="202">
        <f>IF(AND($C167,$AO167="Mensual",ISNUMBER($AV167)),$AV167*100000+ROW(),"")</f>
      </c>
      <c r="BE167" s="203">
        <f>IF($C167,IF(ISBLANK('Backlog General'!$J167),"",'Backlog General'!$J167),"")</f>
      </c>
      <c r="BF167" s="203">
        <f>IF($C167,IF($BE167="","",$BE167)&amp;IF(AND($BE167&lt;&gt;"",$AH167&lt;&gt;"")," · ","")&amp;IF($AH167="","",$AH167),"")</f>
      </c>
      <c r="BG167" s="203">
        <f>IF($C167,IF($J167="Completado","Sí","No"),"")</f>
      </c>
      <c r="BH167" s="202">
        <f>IF(AND($C167,ISNUMBER($AR167)),IF($AO167="Semanal",1,IF($AO167="Quincenal",2,3))*1000000000+$AR167*100000+ROW(),"")</f>
      </c>
    </row>
    <row r="168">
      <c r="A168" s="202">
        <f>ROW()</f>
        <v>168</v>
      </c>
      <c r="B168" s="202" t="b">
        <f>ISTEXT('Proyecto Datos (OKR´s)'!$K168)</f>
        <v>0</v>
      </c>
      <c r="C168" s="202" t="b">
        <f>AND(LEN('Proyecto Datos (OKR´s)'!$G168)&gt;0,NOT($B168),OR(ISNUMBER('Proyecto Datos (OKR´s)'!$F168),ISNUMBER('Proyecto Datos (OKR´s)'!$L168)))</f>
        <v>0</v>
      </c>
      <c r="D168" s="203">
        <f>IF($C168,IFERROR(LOOKUP(2,1/((ISTEXT('Proyecto Datos (OKR´s)'!$K$7:$K168))*(LEN('Proyecto Datos (OKR´s)'!$G$7:$G168)&gt;0)),'Proyecto Datos (OKR´s)'!$G$7:$G168),""),"")</f>
      </c>
      <c r="E168" s="202">
        <f>IF($C168,'Proyecto Datos (OKR´s)'!$E168,"")</f>
      </c>
      <c r="F168" s="203">
        <f>IF($C168,'Proyecto Datos (OKR´s)'!$G168,"")</f>
      </c>
      <c r="G168" s="203">
        <f>IF($C168,IF('Proyecto Datos (OKR´s)'!$I168="","(Sin asignar)",'Proyecto Datos (OKR´s)'!$I168),"")</f>
      </c>
      <c r="H168" s="202">
        <f>IF($C168,IF(ISNUMBER('Proyecto Datos (OKR´s)'!$F168),'Proyecto Datos (OKR´s)'!$F168,""),"")</f>
      </c>
      <c r="I168" s="202">
        <f>IF($C168,'Proyecto Datos (OKR´s)'!$J168,"")</f>
      </c>
      <c r="J168" s="203">
        <f>IF($C168,IF($I168&gt;=1,"Completado",IF(NOT(ISNUMBER($H168)),"Sin fecha",IF($H168&lt;TODAY(),"Vencido",IF(($H168-TODAY())&lt;='Entregas Próximas'!$M$3,"Próximo a vencer","En curso")))),"")</f>
      </c>
      <c r="K168" s="202">
        <f>IF(AND($C168,ISNUMBER($H168)),$H168-TODAY(),"")</f>
      </c>
      <c r="L168" s="202">
        <f>IF(AND($C168,ISNUMBER($H168)),$AD168*1000000+$H168+ROW()/100000,"")</f>
      </c>
      <c r="M168" s="202">
        <f>IF($C168,IF($AD168=9999,"(Sin sprint)",$AD168),"")</f>
      </c>
      <c r="N168" s="202">
        <f>IF($C168,IF('Proyecto Datos (OKR´s)'!$E168="",9999,'Proyecto Datos (OKR´s)'!$E168),"")</f>
      </c>
      <c r="O168" s="202">
        <f>IF($C168,"T"&amp;TEXT(ROW(),"000"),"")</f>
      </c>
      <c r="R168" s="202">
        <f>IF($C168,IF(ISNUMBER('Proyecto Datos (OKR´s)'!$L168),'Proyecto Datos (OKR´s)'!$L168,$H168),"")</f>
      </c>
      <c r="S168" s="202">
        <f>IF($C168,$R168-'Proyecto Datos (OKR´s)'!$K168+1,"")</f>
      </c>
      <c r="T168" s="202">
        <f>IF($C168,MAX(0,TODAY()-'Proyecto Datos (OKR´s)'!$K168),"")</f>
      </c>
      <c r="U168" s="202">
        <f>IF($C168,MEDIAN(0,(TODAY()-'Proyecto Datos (OKR´s)'!$K168)/MAX(1,$R168-'Proyecto Datos (OKR´s)'!$K168),1),"")</f>
      </c>
      <c r="V168" s="202">
        <f>IF($C168,$I168-$U168,"")</f>
      </c>
      <c r="W168" s="202">
        <f>IF($C168,IF(OR($J168="Completado",NOT(ISNUMBER($H168))),0,MAX(0,TODAY()-$H168)),"")</f>
      </c>
      <c r="X168" s="202">
        <f>IF($C168,IF(ISNUMBER($H168),$R168-$H168,0),"")</f>
      </c>
      <c r="Y168" s="202">
        <f>IF($C168,COUNTIFS($G$7:$G$200,$G168,$J$7:$J$200,"&lt;&gt;Completado",$J$7:$J$200,"&lt;&gt;"),"")</f>
      </c>
      <c r="Z168" s="202">
        <f>IF($C168,AND($I168=0,'Proyecto Datos (OKR´s)'!$K168&lt;=TODAY(),$J168&lt;&gt;"Completado"),"")</f>
      </c>
      <c r="AA168" s="202">
        <f>IF($C168,ROUND(100*(0.35*$AK168+0.3*$AL168+0.2*$AM168+0.15*MEDIAN(0,($Y168-4)/8,1)),0),"")</f>
      </c>
      <c r="AB168" s="203">
        <f>IF($C168,IF(OR($J168="Completado",$J168="Sin fecha"),"—",IF($AA168&gt;=70,"Crítica",IF($AA168&gt;=45,"Alta",IF($AA168&gt;=25,"Media","Baja")))),"")</f>
      </c>
      <c r="AC168" s="203">
        <f>IF($C168,IF(LEN(TRIM($AN168))=0,"—",TRIM($AN168)),"")</f>
      </c>
      <c r="AD168" s="202">
        <f>IF($C168,$AV168,"")</f>
      </c>
      <c r="AE168" s="202">
        <f>IF($C168,$AZ168,"")</f>
      </c>
      <c r="AF168" s="202" t="b">
        <f>IF($C168,$AV168&lt;&gt;$AR168,FALSE)</f>
        <v>0</v>
      </c>
      <c r="AG168" s="202">
        <f>IF($C168,IF($AV168&lt;&gt;$AR168,$AW168,""),"")</f>
      </c>
      <c r="AH168" s="203">
        <f>IF($C168,IF(ISBLANK('Backlog General'!$K168),"",'Backlog General'!$K168),"")</f>
      </c>
      <c r="AI168" s="202">
        <f>IF($C168,$AV168*100000+ROW(),"")</f>
      </c>
      <c r="AJ168" s="202">
        <f>IF(AND($C168,ISNUMBER($H168)),$AA168*1000000-MEDIAN(-9999,$K168,9999)*100+(300-ROW()),"")</f>
      </c>
      <c r="AK168" s="202">
        <f>IF($C168,IF($J168="Completado",0,IF($K168&lt;0,1,IF($K168&lt;=3,0.9,IF($K168&lt;=7,0.7,IF($K168&lt;=14,0.45,0.2))))),"")</f>
      </c>
      <c r="AL168" s="202">
        <f>IF($C168,IF($J168="Completado",0,MEDIAN(0,MAX(-$V168,$W168/30),1)),"")</f>
      </c>
      <c r="AM168" s="202">
        <f>IF($C168,IF($J168="Completado",0,IF($Z168,1,IF(AND($I168&lt;0.5,$K168&lt;=7),0.7,0.3))),"")</f>
      </c>
      <c r="AN168" s="203">
        <f>IF($C168,IF(OR($V168&lt;-0.2,$W168&gt;0),"ATRASO ","")&amp;IF($Z168,"BLOQUEO ","")&amp;IF($Y168&gt;8,"SOBRECARGA ","")&amp;IF($X168&gt;0,"DESVÍO-PLAN ",""),"")</f>
      </c>
      <c r="AO168" s="203">
        <f>IF($C168,IFERROR(VLOOKUP($D168,'Sprints'!$I$5:$J$12,2,FALSE),"Semanal"),"")</f>
      </c>
      <c r="AP168" s="202">
        <f>IF($C168,IFERROR(VLOOKUP($AO168,'Sprints'!$B$9:$C$11,2,FALSE),1),"")</f>
      </c>
      <c r="AQ168" s="202">
        <f>IF($C168,'Sprints'!$C$5,"")</f>
      </c>
      <c r="AR168" s="202">
        <f>IF(AND($C168,ISNUMBER($H168)),CEILING(MAX(1,INT(($H168-$AQ168+'Sprints'!$D$5-1)/'Sprints'!$D$5)+1)/$AP168,1),"")</f>
      </c>
      <c r="AS168" s="202">
        <f>IF($C168,CEILING(MAX(1,INT((TODAY()-$AQ168+'Sprints'!$D$5-1)/'Sprints'!$D$5)+1)/$AP168,1),"")</f>
      </c>
      <c r="AT168" s="203">
        <f>IF($C168,'Backlog General'!$G168,"")</f>
      </c>
      <c r="AU168" s="203">
        <f>IF($C168,'Backlog General'!$H168,"")</f>
      </c>
      <c r="AV168" s="202">
        <f>IF(AND($C168,ISNUMBER($AR168)),IF(OR($AT168="Completo",$AU168="Cancelado",$AU168="Baja prioridad"),$AR168,IF($AU168="Pasa al siguiente",MAX($AR168+1,$AS168),MAX($AR168,$AS168))),"")</f>
      </c>
      <c r="AW168" s="202">
        <f>IF(AND($C168,ISNUMBER($AR168)),$AQ168+$AR168*$AP168*'Sprints'!$D$5-'Sprints'!$D$5,"")</f>
      </c>
      <c r="AX168" s="202">
        <f>IF($C168,IF(OR($AT168="Completo",$AU168="Cancelado",$AU168="Baja prioridad",NOT(ISNUMBER($AW168))),0,IF(TODAY()&gt;$AW168,NETWORKDAYS($AW168,TODAY(),'Sprints'!$L$5:$L$40)-1,0)),"")</f>
      </c>
      <c r="AY168" s="203">
        <f>IF($C168,IF(NOT(ISNUMBER($AR168)),"Sin fecha",IF($AT168="Completo","Completo",IF($AU168="Cancelado","Cancelado",IF($AU168="Baja prioridad","Baja prioridad",IF($AX168&gt;0,"Vencida","Pendiente"))))),"")</f>
      </c>
      <c r="AZ168" s="203">
        <f>IF($C168,IF(ISNUMBER($AV168),$AO168&amp;" · S"&amp;$AV168,"(Sin fecha)"),"")</f>
      </c>
      <c r="BA168" s="202">
        <f>IF($C168,IF(AND(ISNUMBER('Backlog General'!$M168),'Backlog General'!$M168=$AS168),"Nuevo S"&amp;'Backlog General'!$M168,""),"")</f>
      </c>
      <c r="BB168" s="202">
        <f>IF(AND($C168,$AO168="Semanal",ISNUMBER($AV168)),$AV168*100000+ROW(),"")</f>
      </c>
      <c r="BC168" s="202">
        <f>IF(AND($C168,$AO168="Quincenal",ISNUMBER($AV168)),$AV168*100000+ROW(),"")</f>
      </c>
      <c r="BD168" s="202">
        <f>IF(AND($C168,$AO168="Mensual",ISNUMBER($AV168)),$AV168*100000+ROW(),"")</f>
      </c>
      <c r="BE168" s="203">
        <f>IF($C168,IF(ISBLANK('Backlog General'!$J168),"",'Backlog General'!$J168),"")</f>
      </c>
      <c r="BF168" s="203">
        <f>IF($C168,IF($BE168="","",$BE168)&amp;IF(AND($BE168&lt;&gt;"",$AH168&lt;&gt;"")," · ","")&amp;IF($AH168="","",$AH168),"")</f>
      </c>
      <c r="BG168" s="203">
        <f>IF($C168,IF($J168="Completado","Sí","No"),"")</f>
      </c>
      <c r="BH168" s="202">
        <f>IF(AND($C168,ISNUMBER($AR168)),IF($AO168="Semanal",1,IF($AO168="Quincenal",2,3))*1000000000+$AR168*100000+ROW(),"")</f>
      </c>
    </row>
    <row r="169">
      <c r="A169" s="202">
        <f>ROW()</f>
        <v>169</v>
      </c>
      <c r="B169" s="202" t="b">
        <f>ISTEXT('Proyecto Datos (OKR´s)'!$K169)</f>
        <v>0</v>
      </c>
      <c r="C169" s="202" t="b">
        <f>AND(LEN('Proyecto Datos (OKR´s)'!$G169)&gt;0,NOT($B169),OR(ISNUMBER('Proyecto Datos (OKR´s)'!$F169),ISNUMBER('Proyecto Datos (OKR´s)'!$L169)))</f>
        <v>0</v>
      </c>
      <c r="D169" s="203">
        <f>IF($C169,IFERROR(LOOKUP(2,1/((ISTEXT('Proyecto Datos (OKR´s)'!$K$7:$K169))*(LEN('Proyecto Datos (OKR´s)'!$G$7:$G169)&gt;0)),'Proyecto Datos (OKR´s)'!$G$7:$G169),""),"")</f>
      </c>
      <c r="E169" s="202">
        <f>IF($C169,'Proyecto Datos (OKR´s)'!$E169,"")</f>
      </c>
      <c r="F169" s="203">
        <f>IF($C169,'Proyecto Datos (OKR´s)'!$G169,"")</f>
      </c>
      <c r="G169" s="203">
        <f>IF($C169,IF('Proyecto Datos (OKR´s)'!$I169="","(Sin asignar)",'Proyecto Datos (OKR´s)'!$I169),"")</f>
      </c>
      <c r="H169" s="202">
        <f>IF($C169,IF(ISNUMBER('Proyecto Datos (OKR´s)'!$F169),'Proyecto Datos (OKR´s)'!$F169,""),"")</f>
      </c>
      <c r="I169" s="202">
        <f>IF($C169,'Proyecto Datos (OKR´s)'!$J169,"")</f>
      </c>
      <c r="J169" s="203">
        <f>IF($C169,IF($I169&gt;=1,"Completado",IF(NOT(ISNUMBER($H169)),"Sin fecha",IF($H169&lt;TODAY(),"Vencido",IF(($H169-TODAY())&lt;='Entregas Próximas'!$M$3,"Próximo a vencer","En curso")))),"")</f>
      </c>
      <c r="K169" s="202">
        <f>IF(AND($C169,ISNUMBER($H169)),$H169-TODAY(),"")</f>
      </c>
      <c r="L169" s="202">
        <f>IF(AND($C169,ISNUMBER($H169)),$AD169*1000000+$H169+ROW()/100000,"")</f>
      </c>
      <c r="M169" s="202">
        <f>IF($C169,IF($AD169=9999,"(Sin sprint)",$AD169),"")</f>
      </c>
      <c r="N169" s="202">
        <f>IF($C169,IF('Proyecto Datos (OKR´s)'!$E169="",9999,'Proyecto Datos (OKR´s)'!$E169),"")</f>
      </c>
      <c r="O169" s="202">
        <f>IF($C169,"T"&amp;TEXT(ROW(),"000"),"")</f>
      </c>
      <c r="R169" s="202">
        <f>IF($C169,IF(ISNUMBER('Proyecto Datos (OKR´s)'!$L169),'Proyecto Datos (OKR´s)'!$L169,$H169),"")</f>
      </c>
      <c r="S169" s="202">
        <f>IF($C169,$R169-'Proyecto Datos (OKR´s)'!$K169+1,"")</f>
      </c>
      <c r="T169" s="202">
        <f>IF($C169,MAX(0,TODAY()-'Proyecto Datos (OKR´s)'!$K169),"")</f>
      </c>
      <c r="U169" s="202">
        <f>IF($C169,MEDIAN(0,(TODAY()-'Proyecto Datos (OKR´s)'!$K169)/MAX(1,$R169-'Proyecto Datos (OKR´s)'!$K169),1),"")</f>
      </c>
      <c r="V169" s="202">
        <f>IF($C169,$I169-$U169,"")</f>
      </c>
      <c r="W169" s="202">
        <f>IF($C169,IF(OR($J169="Completado",NOT(ISNUMBER($H169))),0,MAX(0,TODAY()-$H169)),"")</f>
      </c>
      <c r="X169" s="202">
        <f>IF($C169,IF(ISNUMBER($H169),$R169-$H169,0),"")</f>
      </c>
      <c r="Y169" s="202">
        <f>IF($C169,COUNTIFS($G$7:$G$200,$G169,$J$7:$J$200,"&lt;&gt;Completado",$J$7:$J$200,"&lt;&gt;"),"")</f>
      </c>
      <c r="Z169" s="202">
        <f>IF($C169,AND($I169=0,'Proyecto Datos (OKR´s)'!$K169&lt;=TODAY(),$J169&lt;&gt;"Completado"),"")</f>
      </c>
      <c r="AA169" s="202">
        <f>IF($C169,ROUND(100*(0.35*$AK169+0.3*$AL169+0.2*$AM169+0.15*MEDIAN(0,($Y169-4)/8,1)),0),"")</f>
      </c>
      <c r="AB169" s="203">
        <f>IF($C169,IF(OR($J169="Completado",$J169="Sin fecha"),"—",IF($AA169&gt;=70,"Crítica",IF($AA169&gt;=45,"Alta",IF($AA169&gt;=25,"Media","Baja")))),"")</f>
      </c>
      <c r="AC169" s="203">
        <f>IF($C169,IF(LEN(TRIM($AN169))=0,"—",TRIM($AN169)),"")</f>
      </c>
      <c r="AD169" s="202">
        <f>IF($C169,$AV169,"")</f>
      </c>
      <c r="AE169" s="202">
        <f>IF($C169,$AZ169,"")</f>
      </c>
      <c r="AF169" s="202" t="b">
        <f>IF($C169,$AV169&lt;&gt;$AR169,FALSE)</f>
        <v>0</v>
      </c>
      <c r="AG169" s="202">
        <f>IF($C169,IF($AV169&lt;&gt;$AR169,$AW169,""),"")</f>
      </c>
      <c r="AH169" s="203">
        <f>IF($C169,IF(ISBLANK('Backlog General'!$K169),"",'Backlog General'!$K169),"")</f>
      </c>
      <c r="AI169" s="202">
        <f>IF($C169,$AV169*100000+ROW(),"")</f>
      </c>
      <c r="AJ169" s="202">
        <f>IF(AND($C169,ISNUMBER($H169)),$AA169*1000000-MEDIAN(-9999,$K169,9999)*100+(300-ROW()),"")</f>
      </c>
      <c r="AK169" s="202">
        <f>IF($C169,IF($J169="Completado",0,IF($K169&lt;0,1,IF($K169&lt;=3,0.9,IF($K169&lt;=7,0.7,IF($K169&lt;=14,0.45,0.2))))),"")</f>
      </c>
      <c r="AL169" s="202">
        <f>IF($C169,IF($J169="Completado",0,MEDIAN(0,MAX(-$V169,$W169/30),1)),"")</f>
      </c>
      <c r="AM169" s="202">
        <f>IF($C169,IF($J169="Completado",0,IF($Z169,1,IF(AND($I169&lt;0.5,$K169&lt;=7),0.7,0.3))),"")</f>
      </c>
      <c r="AN169" s="203">
        <f>IF($C169,IF(OR($V169&lt;-0.2,$W169&gt;0),"ATRASO ","")&amp;IF($Z169,"BLOQUEO ","")&amp;IF($Y169&gt;8,"SOBRECARGA ","")&amp;IF($X169&gt;0,"DESVÍO-PLAN ",""),"")</f>
      </c>
      <c r="AO169" s="203">
        <f>IF($C169,IFERROR(VLOOKUP($D169,'Sprints'!$I$5:$J$12,2,FALSE),"Semanal"),"")</f>
      </c>
      <c r="AP169" s="202">
        <f>IF($C169,IFERROR(VLOOKUP($AO169,'Sprints'!$B$9:$C$11,2,FALSE),1),"")</f>
      </c>
      <c r="AQ169" s="202">
        <f>IF($C169,'Sprints'!$C$5,"")</f>
      </c>
      <c r="AR169" s="202">
        <f>IF(AND($C169,ISNUMBER($H169)),CEILING(MAX(1,INT(($H169-$AQ169+'Sprints'!$D$5-1)/'Sprints'!$D$5)+1)/$AP169,1),"")</f>
      </c>
      <c r="AS169" s="202">
        <f>IF($C169,CEILING(MAX(1,INT((TODAY()-$AQ169+'Sprints'!$D$5-1)/'Sprints'!$D$5)+1)/$AP169,1),"")</f>
      </c>
      <c r="AT169" s="203">
        <f>IF($C169,'Backlog General'!$G169,"")</f>
      </c>
      <c r="AU169" s="203">
        <f>IF($C169,'Backlog General'!$H169,"")</f>
      </c>
      <c r="AV169" s="202">
        <f>IF(AND($C169,ISNUMBER($AR169)),IF(OR($AT169="Completo",$AU169="Cancelado",$AU169="Baja prioridad"),$AR169,IF($AU169="Pasa al siguiente",MAX($AR169+1,$AS169),MAX($AR169,$AS169))),"")</f>
      </c>
      <c r="AW169" s="202">
        <f>IF(AND($C169,ISNUMBER($AR169)),$AQ169+$AR169*$AP169*'Sprints'!$D$5-'Sprints'!$D$5,"")</f>
      </c>
      <c r="AX169" s="202">
        <f>IF($C169,IF(OR($AT169="Completo",$AU169="Cancelado",$AU169="Baja prioridad",NOT(ISNUMBER($AW169))),0,IF(TODAY()&gt;$AW169,NETWORKDAYS($AW169,TODAY(),'Sprints'!$L$5:$L$40)-1,0)),"")</f>
      </c>
      <c r="AY169" s="203">
        <f>IF($C169,IF(NOT(ISNUMBER($AR169)),"Sin fecha",IF($AT169="Completo","Completo",IF($AU169="Cancelado","Cancelado",IF($AU169="Baja prioridad","Baja prioridad",IF($AX169&gt;0,"Vencida","Pendiente"))))),"")</f>
      </c>
      <c r="AZ169" s="203">
        <f>IF($C169,IF(ISNUMBER($AV169),$AO169&amp;" · S"&amp;$AV169,"(Sin fecha)"),"")</f>
      </c>
      <c r="BA169" s="202">
        <f>IF($C169,IF(AND(ISNUMBER('Backlog General'!$M169),'Backlog General'!$M169=$AS169),"Nuevo S"&amp;'Backlog General'!$M169,""),"")</f>
      </c>
      <c r="BB169" s="202">
        <f>IF(AND($C169,$AO169="Semanal",ISNUMBER($AV169)),$AV169*100000+ROW(),"")</f>
      </c>
      <c r="BC169" s="202">
        <f>IF(AND($C169,$AO169="Quincenal",ISNUMBER($AV169)),$AV169*100000+ROW(),"")</f>
      </c>
      <c r="BD169" s="202">
        <f>IF(AND($C169,$AO169="Mensual",ISNUMBER($AV169)),$AV169*100000+ROW(),"")</f>
      </c>
      <c r="BE169" s="203">
        <f>IF($C169,IF(ISBLANK('Backlog General'!$J169),"",'Backlog General'!$J169),"")</f>
      </c>
      <c r="BF169" s="203">
        <f>IF($C169,IF($BE169="","",$BE169)&amp;IF(AND($BE169&lt;&gt;"",$AH169&lt;&gt;"")," · ","")&amp;IF($AH169="","",$AH169),"")</f>
      </c>
      <c r="BG169" s="203">
        <f>IF($C169,IF($J169="Completado","Sí","No"),"")</f>
      </c>
      <c r="BH169" s="202">
        <f>IF(AND($C169,ISNUMBER($AR169)),IF($AO169="Semanal",1,IF($AO169="Quincenal",2,3))*1000000000+$AR169*100000+ROW(),"")</f>
      </c>
    </row>
    <row r="170">
      <c r="A170" s="202">
        <f>ROW()</f>
        <v>170</v>
      </c>
      <c r="B170" s="202" t="b">
        <f>ISTEXT('Proyecto Datos (OKR´s)'!$K170)</f>
        <v>0</v>
      </c>
      <c r="C170" s="202" t="b">
        <f>AND(LEN('Proyecto Datos (OKR´s)'!$G170)&gt;0,NOT($B170),OR(ISNUMBER('Proyecto Datos (OKR´s)'!$F170),ISNUMBER('Proyecto Datos (OKR´s)'!$L170)))</f>
        <v>0</v>
      </c>
      <c r="D170" s="203">
        <f>IF($C170,IFERROR(LOOKUP(2,1/((ISTEXT('Proyecto Datos (OKR´s)'!$K$7:$K170))*(LEN('Proyecto Datos (OKR´s)'!$G$7:$G170)&gt;0)),'Proyecto Datos (OKR´s)'!$G$7:$G170),""),"")</f>
      </c>
      <c r="E170" s="202">
        <f>IF($C170,'Proyecto Datos (OKR´s)'!$E170,"")</f>
      </c>
      <c r="F170" s="203">
        <f>IF($C170,'Proyecto Datos (OKR´s)'!$G170,"")</f>
      </c>
      <c r="G170" s="203">
        <f>IF($C170,IF('Proyecto Datos (OKR´s)'!$I170="","(Sin asignar)",'Proyecto Datos (OKR´s)'!$I170),"")</f>
      </c>
      <c r="H170" s="202">
        <f>IF($C170,IF(ISNUMBER('Proyecto Datos (OKR´s)'!$F170),'Proyecto Datos (OKR´s)'!$F170,""),"")</f>
      </c>
      <c r="I170" s="202">
        <f>IF($C170,'Proyecto Datos (OKR´s)'!$J170,"")</f>
      </c>
      <c r="J170" s="203">
        <f>IF($C170,IF($I170&gt;=1,"Completado",IF(NOT(ISNUMBER($H170)),"Sin fecha",IF($H170&lt;TODAY(),"Vencido",IF(($H170-TODAY())&lt;='Entregas Próximas'!$M$3,"Próximo a vencer","En curso")))),"")</f>
      </c>
      <c r="K170" s="202">
        <f>IF(AND($C170,ISNUMBER($H170)),$H170-TODAY(),"")</f>
      </c>
      <c r="L170" s="202">
        <f>IF(AND($C170,ISNUMBER($H170)),$AD170*1000000+$H170+ROW()/100000,"")</f>
      </c>
      <c r="M170" s="202">
        <f>IF($C170,IF($AD170=9999,"(Sin sprint)",$AD170),"")</f>
      </c>
      <c r="N170" s="202">
        <f>IF($C170,IF('Proyecto Datos (OKR´s)'!$E170="",9999,'Proyecto Datos (OKR´s)'!$E170),"")</f>
      </c>
      <c r="O170" s="202">
        <f>IF($C170,"T"&amp;TEXT(ROW(),"000"),"")</f>
      </c>
      <c r="R170" s="202">
        <f>IF($C170,IF(ISNUMBER('Proyecto Datos (OKR´s)'!$L170),'Proyecto Datos (OKR´s)'!$L170,$H170),"")</f>
      </c>
      <c r="S170" s="202">
        <f>IF($C170,$R170-'Proyecto Datos (OKR´s)'!$K170+1,"")</f>
      </c>
      <c r="T170" s="202">
        <f>IF($C170,MAX(0,TODAY()-'Proyecto Datos (OKR´s)'!$K170),"")</f>
      </c>
      <c r="U170" s="202">
        <f>IF($C170,MEDIAN(0,(TODAY()-'Proyecto Datos (OKR´s)'!$K170)/MAX(1,$R170-'Proyecto Datos (OKR´s)'!$K170),1),"")</f>
      </c>
      <c r="V170" s="202">
        <f>IF($C170,$I170-$U170,"")</f>
      </c>
      <c r="W170" s="202">
        <f>IF($C170,IF(OR($J170="Completado",NOT(ISNUMBER($H170))),0,MAX(0,TODAY()-$H170)),"")</f>
      </c>
      <c r="X170" s="202">
        <f>IF($C170,IF(ISNUMBER($H170),$R170-$H170,0),"")</f>
      </c>
      <c r="Y170" s="202">
        <f>IF($C170,COUNTIFS($G$7:$G$200,$G170,$J$7:$J$200,"&lt;&gt;Completado",$J$7:$J$200,"&lt;&gt;"),"")</f>
      </c>
      <c r="Z170" s="202">
        <f>IF($C170,AND($I170=0,'Proyecto Datos (OKR´s)'!$K170&lt;=TODAY(),$J170&lt;&gt;"Completado"),"")</f>
      </c>
      <c r="AA170" s="202">
        <f>IF($C170,ROUND(100*(0.35*$AK170+0.3*$AL170+0.2*$AM170+0.15*MEDIAN(0,($Y170-4)/8,1)),0),"")</f>
      </c>
      <c r="AB170" s="203">
        <f>IF($C170,IF(OR($J170="Completado",$J170="Sin fecha"),"—",IF($AA170&gt;=70,"Crítica",IF($AA170&gt;=45,"Alta",IF($AA170&gt;=25,"Media","Baja")))),"")</f>
      </c>
      <c r="AC170" s="203">
        <f>IF($C170,IF(LEN(TRIM($AN170))=0,"—",TRIM($AN170)),"")</f>
      </c>
      <c r="AD170" s="202">
        <f>IF($C170,$AV170,"")</f>
      </c>
      <c r="AE170" s="202">
        <f>IF($C170,$AZ170,"")</f>
      </c>
      <c r="AF170" s="202" t="b">
        <f>IF($C170,$AV170&lt;&gt;$AR170,FALSE)</f>
        <v>0</v>
      </c>
      <c r="AG170" s="202">
        <f>IF($C170,IF($AV170&lt;&gt;$AR170,$AW170,""),"")</f>
      </c>
      <c r="AH170" s="203">
        <f>IF($C170,IF(ISBLANK('Backlog General'!$K170),"",'Backlog General'!$K170),"")</f>
      </c>
      <c r="AI170" s="202">
        <f>IF($C170,$AV170*100000+ROW(),"")</f>
      </c>
      <c r="AJ170" s="202">
        <f>IF(AND($C170,ISNUMBER($H170)),$AA170*1000000-MEDIAN(-9999,$K170,9999)*100+(300-ROW()),"")</f>
      </c>
      <c r="AK170" s="202">
        <f>IF($C170,IF($J170="Completado",0,IF($K170&lt;0,1,IF($K170&lt;=3,0.9,IF($K170&lt;=7,0.7,IF($K170&lt;=14,0.45,0.2))))),"")</f>
      </c>
      <c r="AL170" s="202">
        <f>IF($C170,IF($J170="Completado",0,MEDIAN(0,MAX(-$V170,$W170/30),1)),"")</f>
      </c>
      <c r="AM170" s="202">
        <f>IF($C170,IF($J170="Completado",0,IF($Z170,1,IF(AND($I170&lt;0.5,$K170&lt;=7),0.7,0.3))),"")</f>
      </c>
      <c r="AN170" s="203">
        <f>IF($C170,IF(OR($V170&lt;-0.2,$W170&gt;0),"ATRASO ","")&amp;IF($Z170,"BLOQUEO ","")&amp;IF($Y170&gt;8,"SOBRECARGA ","")&amp;IF($X170&gt;0,"DESVÍO-PLAN ",""),"")</f>
      </c>
      <c r="AO170" s="203">
        <f>IF($C170,IFERROR(VLOOKUP($D170,'Sprints'!$I$5:$J$12,2,FALSE),"Semanal"),"")</f>
      </c>
      <c r="AP170" s="202">
        <f>IF($C170,IFERROR(VLOOKUP($AO170,'Sprints'!$B$9:$C$11,2,FALSE),1),"")</f>
      </c>
      <c r="AQ170" s="202">
        <f>IF($C170,'Sprints'!$C$5,"")</f>
      </c>
      <c r="AR170" s="202">
        <f>IF(AND($C170,ISNUMBER($H170)),CEILING(MAX(1,INT(($H170-$AQ170+'Sprints'!$D$5-1)/'Sprints'!$D$5)+1)/$AP170,1),"")</f>
      </c>
      <c r="AS170" s="202">
        <f>IF($C170,CEILING(MAX(1,INT((TODAY()-$AQ170+'Sprints'!$D$5-1)/'Sprints'!$D$5)+1)/$AP170,1),"")</f>
      </c>
      <c r="AT170" s="203">
        <f>IF($C170,'Backlog General'!$G170,"")</f>
      </c>
      <c r="AU170" s="203">
        <f>IF($C170,'Backlog General'!$H170,"")</f>
      </c>
      <c r="AV170" s="202">
        <f>IF(AND($C170,ISNUMBER($AR170)),IF(OR($AT170="Completo",$AU170="Cancelado",$AU170="Baja prioridad"),$AR170,IF($AU170="Pasa al siguiente",MAX($AR170+1,$AS170),MAX($AR170,$AS170))),"")</f>
      </c>
      <c r="AW170" s="202">
        <f>IF(AND($C170,ISNUMBER($AR170)),$AQ170+$AR170*$AP170*'Sprints'!$D$5-'Sprints'!$D$5,"")</f>
      </c>
      <c r="AX170" s="202">
        <f>IF($C170,IF(OR($AT170="Completo",$AU170="Cancelado",$AU170="Baja prioridad",NOT(ISNUMBER($AW170))),0,IF(TODAY()&gt;$AW170,NETWORKDAYS($AW170,TODAY(),'Sprints'!$L$5:$L$40)-1,0)),"")</f>
      </c>
      <c r="AY170" s="203">
        <f>IF($C170,IF(NOT(ISNUMBER($AR170)),"Sin fecha",IF($AT170="Completo","Completo",IF($AU170="Cancelado","Cancelado",IF($AU170="Baja prioridad","Baja prioridad",IF($AX170&gt;0,"Vencida","Pendiente"))))),"")</f>
      </c>
      <c r="AZ170" s="203">
        <f>IF($C170,IF(ISNUMBER($AV170),$AO170&amp;" · S"&amp;$AV170,"(Sin fecha)"),"")</f>
      </c>
      <c r="BA170" s="202">
        <f>IF($C170,IF(AND(ISNUMBER('Backlog General'!$M170),'Backlog General'!$M170=$AS170),"Nuevo S"&amp;'Backlog General'!$M170,""),"")</f>
      </c>
      <c r="BB170" s="202">
        <f>IF(AND($C170,$AO170="Semanal",ISNUMBER($AV170)),$AV170*100000+ROW(),"")</f>
      </c>
      <c r="BC170" s="202">
        <f>IF(AND($C170,$AO170="Quincenal",ISNUMBER($AV170)),$AV170*100000+ROW(),"")</f>
      </c>
      <c r="BD170" s="202">
        <f>IF(AND($C170,$AO170="Mensual",ISNUMBER($AV170)),$AV170*100000+ROW(),"")</f>
      </c>
      <c r="BE170" s="203">
        <f>IF($C170,IF(ISBLANK('Backlog General'!$J170),"",'Backlog General'!$J170),"")</f>
      </c>
      <c r="BF170" s="203">
        <f>IF($C170,IF($BE170="","",$BE170)&amp;IF(AND($BE170&lt;&gt;"",$AH170&lt;&gt;"")," · ","")&amp;IF($AH170="","",$AH170),"")</f>
      </c>
      <c r="BG170" s="203">
        <f>IF($C170,IF($J170="Completado","Sí","No"),"")</f>
      </c>
      <c r="BH170" s="202">
        <f>IF(AND($C170,ISNUMBER($AR170)),IF($AO170="Semanal",1,IF($AO170="Quincenal",2,3))*1000000000+$AR170*100000+ROW(),"")</f>
      </c>
    </row>
    <row r="171">
      <c r="A171" s="202">
        <f>ROW()</f>
        <v>171</v>
      </c>
      <c r="B171" s="202" t="b">
        <f>ISTEXT('Proyecto Datos (OKR´s)'!$K171)</f>
        <v>0</v>
      </c>
      <c r="C171" s="202" t="b">
        <f>AND(LEN('Proyecto Datos (OKR´s)'!$G171)&gt;0,NOT($B171),OR(ISNUMBER('Proyecto Datos (OKR´s)'!$F171),ISNUMBER('Proyecto Datos (OKR´s)'!$L171)))</f>
        <v>0</v>
      </c>
      <c r="D171" s="203">
        <f>IF($C171,IFERROR(LOOKUP(2,1/((ISTEXT('Proyecto Datos (OKR´s)'!$K$7:$K171))*(LEN('Proyecto Datos (OKR´s)'!$G$7:$G171)&gt;0)),'Proyecto Datos (OKR´s)'!$G$7:$G171),""),"")</f>
      </c>
      <c r="E171" s="202">
        <f>IF($C171,'Proyecto Datos (OKR´s)'!$E171,"")</f>
      </c>
      <c r="F171" s="203">
        <f>IF($C171,'Proyecto Datos (OKR´s)'!$G171,"")</f>
      </c>
      <c r="G171" s="203">
        <f>IF($C171,IF('Proyecto Datos (OKR´s)'!$I171="","(Sin asignar)",'Proyecto Datos (OKR´s)'!$I171),"")</f>
      </c>
      <c r="H171" s="202">
        <f>IF($C171,IF(ISNUMBER('Proyecto Datos (OKR´s)'!$F171),'Proyecto Datos (OKR´s)'!$F171,""),"")</f>
      </c>
      <c r="I171" s="202">
        <f>IF($C171,'Proyecto Datos (OKR´s)'!$J171,"")</f>
      </c>
      <c r="J171" s="203">
        <f>IF($C171,IF($I171&gt;=1,"Completado",IF(NOT(ISNUMBER($H171)),"Sin fecha",IF($H171&lt;TODAY(),"Vencido",IF(($H171-TODAY())&lt;='Entregas Próximas'!$M$3,"Próximo a vencer","En curso")))),"")</f>
      </c>
      <c r="K171" s="202">
        <f>IF(AND($C171,ISNUMBER($H171)),$H171-TODAY(),"")</f>
      </c>
      <c r="L171" s="202">
        <f>IF(AND($C171,ISNUMBER($H171)),$AD171*1000000+$H171+ROW()/100000,"")</f>
      </c>
      <c r="M171" s="202">
        <f>IF($C171,IF($AD171=9999,"(Sin sprint)",$AD171),"")</f>
      </c>
      <c r="N171" s="202">
        <f>IF($C171,IF('Proyecto Datos (OKR´s)'!$E171="",9999,'Proyecto Datos (OKR´s)'!$E171),"")</f>
      </c>
      <c r="O171" s="202">
        <f>IF($C171,"T"&amp;TEXT(ROW(),"000"),"")</f>
      </c>
      <c r="R171" s="202">
        <f>IF($C171,IF(ISNUMBER('Proyecto Datos (OKR´s)'!$L171),'Proyecto Datos (OKR´s)'!$L171,$H171),"")</f>
      </c>
      <c r="S171" s="202">
        <f>IF($C171,$R171-'Proyecto Datos (OKR´s)'!$K171+1,"")</f>
      </c>
      <c r="T171" s="202">
        <f>IF($C171,MAX(0,TODAY()-'Proyecto Datos (OKR´s)'!$K171),"")</f>
      </c>
      <c r="U171" s="202">
        <f>IF($C171,MEDIAN(0,(TODAY()-'Proyecto Datos (OKR´s)'!$K171)/MAX(1,$R171-'Proyecto Datos (OKR´s)'!$K171),1),"")</f>
      </c>
      <c r="V171" s="202">
        <f>IF($C171,$I171-$U171,"")</f>
      </c>
      <c r="W171" s="202">
        <f>IF($C171,IF(OR($J171="Completado",NOT(ISNUMBER($H171))),0,MAX(0,TODAY()-$H171)),"")</f>
      </c>
      <c r="X171" s="202">
        <f>IF($C171,IF(ISNUMBER($H171),$R171-$H171,0),"")</f>
      </c>
      <c r="Y171" s="202">
        <f>IF($C171,COUNTIFS($G$7:$G$200,$G171,$J$7:$J$200,"&lt;&gt;Completado",$J$7:$J$200,"&lt;&gt;"),"")</f>
      </c>
      <c r="Z171" s="202">
        <f>IF($C171,AND($I171=0,'Proyecto Datos (OKR´s)'!$K171&lt;=TODAY(),$J171&lt;&gt;"Completado"),"")</f>
      </c>
      <c r="AA171" s="202">
        <f>IF($C171,ROUND(100*(0.35*$AK171+0.3*$AL171+0.2*$AM171+0.15*MEDIAN(0,($Y171-4)/8,1)),0),"")</f>
      </c>
      <c r="AB171" s="203">
        <f>IF($C171,IF(OR($J171="Completado",$J171="Sin fecha"),"—",IF($AA171&gt;=70,"Crítica",IF($AA171&gt;=45,"Alta",IF($AA171&gt;=25,"Media","Baja")))),"")</f>
      </c>
      <c r="AC171" s="203">
        <f>IF($C171,IF(LEN(TRIM($AN171))=0,"—",TRIM($AN171)),"")</f>
      </c>
      <c r="AD171" s="202">
        <f>IF($C171,$AV171,"")</f>
      </c>
      <c r="AE171" s="202">
        <f>IF($C171,$AZ171,"")</f>
      </c>
      <c r="AF171" s="202" t="b">
        <f>IF($C171,$AV171&lt;&gt;$AR171,FALSE)</f>
        <v>0</v>
      </c>
      <c r="AG171" s="202">
        <f>IF($C171,IF($AV171&lt;&gt;$AR171,$AW171,""),"")</f>
      </c>
      <c r="AH171" s="203">
        <f>IF($C171,IF(ISBLANK('Backlog General'!$K171),"",'Backlog General'!$K171),"")</f>
      </c>
      <c r="AI171" s="202">
        <f>IF($C171,$AV171*100000+ROW(),"")</f>
      </c>
      <c r="AJ171" s="202">
        <f>IF(AND($C171,ISNUMBER($H171)),$AA171*1000000-MEDIAN(-9999,$K171,9999)*100+(300-ROW()),"")</f>
      </c>
      <c r="AK171" s="202">
        <f>IF($C171,IF($J171="Completado",0,IF($K171&lt;0,1,IF($K171&lt;=3,0.9,IF($K171&lt;=7,0.7,IF($K171&lt;=14,0.45,0.2))))),"")</f>
      </c>
      <c r="AL171" s="202">
        <f>IF($C171,IF($J171="Completado",0,MEDIAN(0,MAX(-$V171,$W171/30),1)),"")</f>
      </c>
      <c r="AM171" s="202">
        <f>IF($C171,IF($J171="Completado",0,IF($Z171,1,IF(AND($I171&lt;0.5,$K171&lt;=7),0.7,0.3))),"")</f>
      </c>
      <c r="AN171" s="203">
        <f>IF($C171,IF(OR($V171&lt;-0.2,$W171&gt;0),"ATRASO ","")&amp;IF($Z171,"BLOQUEO ","")&amp;IF($Y171&gt;8,"SOBRECARGA ","")&amp;IF($X171&gt;0,"DESVÍO-PLAN ",""),"")</f>
      </c>
      <c r="AO171" s="203">
        <f>IF($C171,IFERROR(VLOOKUP($D171,'Sprints'!$I$5:$J$12,2,FALSE),"Semanal"),"")</f>
      </c>
      <c r="AP171" s="202">
        <f>IF($C171,IFERROR(VLOOKUP($AO171,'Sprints'!$B$9:$C$11,2,FALSE),1),"")</f>
      </c>
      <c r="AQ171" s="202">
        <f>IF($C171,'Sprints'!$C$5,"")</f>
      </c>
      <c r="AR171" s="202">
        <f>IF(AND($C171,ISNUMBER($H171)),CEILING(MAX(1,INT(($H171-$AQ171+'Sprints'!$D$5-1)/'Sprints'!$D$5)+1)/$AP171,1),"")</f>
      </c>
      <c r="AS171" s="202">
        <f>IF($C171,CEILING(MAX(1,INT((TODAY()-$AQ171+'Sprints'!$D$5-1)/'Sprints'!$D$5)+1)/$AP171,1),"")</f>
      </c>
      <c r="AT171" s="203">
        <f>IF($C171,'Backlog General'!$G171,"")</f>
      </c>
      <c r="AU171" s="203">
        <f>IF($C171,'Backlog General'!$H171,"")</f>
      </c>
      <c r="AV171" s="202">
        <f>IF(AND($C171,ISNUMBER($AR171)),IF(OR($AT171="Completo",$AU171="Cancelado",$AU171="Baja prioridad"),$AR171,IF($AU171="Pasa al siguiente",MAX($AR171+1,$AS171),MAX($AR171,$AS171))),"")</f>
      </c>
      <c r="AW171" s="202">
        <f>IF(AND($C171,ISNUMBER($AR171)),$AQ171+$AR171*$AP171*'Sprints'!$D$5-'Sprints'!$D$5,"")</f>
      </c>
      <c r="AX171" s="202">
        <f>IF($C171,IF(OR($AT171="Completo",$AU171="Cancelado",$AU171="Baja prioridad",NOT(ISNUMBER($AW171))),0,IF(TODAY()&gt;$AW171,NETWORKDAYS($AW171,TODAY(),'Sprints'!$L$5:$L$40)-1,0)),"")</f>
      </c>
      <c r="AY171" s="203">
        <f>IF($C171,IF(NOT(ISNUMBER($AR171)),"Sin fecha",IF($AT171="Completo","Completo",IF($AU171="Cancelado","Cancelado",IF($AU171="Baja prioridad","Baja prioridad",IF($AX171&gt;0,"Vencida","Pendiente"))))),"")</f>
      </c>
      <c r="AZ171" s="203">
        <f>IF($C171,IF(ISNUMBER($AV171),$AO171&amp;" · S"&amp;$AV171,"(Sin fecha)"),"")</f>
      </c>
      <c r="BA171" s="202">
        <f>IF($C171,IF(AND(ISNUMBER('Backlog General'!$M171),'Backlog General'!$M171=$AS171),"Nuevo S"&amp;'Backlog General'!$M171,""),"")</f>
      </c>
      <c r="BB171" s="202">
        <f>IF(AND($C171,$AO171="Semanal",ISNUMBER($AV171)),$AV171*100000+ROW(),"")</f>
      </c>
      <c r="BC171" s="202">
        <f>IF(AND($C171,$AO171="Quincenal",ISNUMBER($AV171)),$AV171*100000+ROW(),"")</f>
      </c>
      <c r="BD171" s="202">
        <f>IF(AND($C171,$AO171="Mensual",ISNUMBER($AV171)),$AV171*100000+ROW(),"")</f>
      </c>
      <c r="BE171" s="203">
        <f>IF($C171,IF(ISBLANK('Backlog General'!$J171),"",'Backlog General'!$J171),"")</f>
      </c>
      <c r="BF171" s="203">
        <f>IF($C171,IF($BE171="","",$BE171)&amp;IF(AND($BE171&lt;&gt;"",$AH171&lt;&gt;"")," · ","")&amp;IF($AH171="","",$AH171),"")</f>
      </c>
      <c r="BG171" s="203">
        <f>IF($C171,IF($J171="Completado","Sí","No"),"")</f>
      </c>
      <c r="BH171" s="202">
        <f>IF(AND($C171,ISNUMBER($AR171)),IF($AO171="Semanal",1,IF($AO171="Quincenal",2,3))*1000000000+$AR171*100000+ROW(),"")</f>
      </c>
    </row>
    <row r="172">
      <c r="A172" s="202">
        <f>ROW()</f>
        <v>172</v>
      </c>
      <c r="B172" s="202" t="b">
        <f>ISTEXT('Proyecto Datos (OKR´s)'!$K172)</f>
        <v>0</v>
      </c>
      <c r="C172" s="202" t="b">
        <f>AND(LEN('Proyecto Datos (OKR´s)'!$G172)&gt;0,NOT($B172),OR(ISNUMBER('Proyecto Datos (OKR´s)'!$F172),ISNUMBER('Proyecto Datos (OKR´s)'!$L172)))</f>
        <v>0</v>
      </c>
      <c r="D172" s="203">
        <f>IF($C172,IFERROR(LOOKUP(2,1/((ISTEXT('Proyecto Datos (OKR´s)'!$K$7:$K172))*(LEN('Proyecto Datos (OKR´s)'!$G$7:$G172)&gt;0)),'Proyecto Datos (OKR´s)'!$G$7:$G172),""),"")</f>
      </c>
      <c r="E172" s="202">
        <f>IF($C172,'Proyecto Datos (OKR´s)'!$E172,"")</f>
      </c>
      <c r="F172" s="203">
        <f>IF($C172,'Proyecto Datos (OKR´s)'!$G172,"")</f>
      </c>
      <c r="G172" s="203">
        <f>IF($C172,IF('Proyecto Datos (OKR´s)'!$I172="","(Sin asignar)",'Proyecto Datos (OKR´s)'!$I172),"")</f>
      </c>
      <c r="H172" s="202">
        <f>IF($C172,IF(ISNUMBER('Proyecto Datos (OKR´s)'!$F172),'Proyecto Datos (OKR´s)'!$F172,""),"")</f>
      </c>
      <c r="I172" s="202">
        <f>IF($C172,'Proyecto Datos (OKR´s)'!$J172,"")</f>
      </c>
      <c r="J172" s="203">
        <f>IF($C172,IF($I172&gt;=1,"Completado",IF(NOT(ISNUMBER($H172)),"Sin fecha",IF($H172&lt;TODAY(),"Vencido",IF(($H172-TODAY())&lt;='Entregas Próximas'!$M$3,"Próximo a vencer","En curso")))),"")</f>
      </c>
      <c r="K172" s="202">
        <f>IF(AND($C172,ISNUMBER($H172)),$H172-TODAY(),"")</f>
      </c>
      <c r="L172" s="202">
        <f>IF(AND($C172,ISNUMBER($H172)),$AD172*1000000+$H172+ROW()/100000,"")</f>
      </c>
      <c r="M172" s="202">
        <f>IF($C172,IF($AD172=9999,"(Sin sprint)",$AD172),"")</f>
      </c>
      <c r="N172" s="202">
        <f>IF($C172,IF('Proyecto Datos (OKR´s)'!$E172="",9999,'Proyecto Datos (OKR´s)'!$E172),"")</f>
      </c>
      <c r="O172" s="202">
        <f>IF($C172,"T"&amp;TEXT(ROW(),"000"),"")</f>
      </c>
      <c r="R172" s="202">
        <f>IF($C172,IF(ISNUMBER('Proyecto Datos (OKR´s)'!$L172),'Proyecto Datos (OKR´s)'!$L172,$H172),"")</f>
      </c>
      <c r="S172" s="202">
        <f>IF($C172,$R172-'Proyecto Datos (OKR´s)'!$K172+1,"")</f>
      </c>
      <c r="T172" s="202">
        <f>IF($C172,MAX(0,TODAY()-'Proyecto Datos (OKR´s)'!$K172),"")</f>
      </c>
      <c r="U172" s="202">
        <f>IF($C172,MEDIAN(0,(TODAY()-'Proyecto Datos (OKR´s)'!$K172)/MAX(1,$R172-'Proyecto Datos (OKR´s)'!$K172),1),"")</f>
      </c>
      <c r="V172" s="202">
        <f>IF($C172,$I172-$U172,"")</f>
      </c>
      <c r="W172" s="202">
        <f>IF($C172,IF(OR($J172="Completado",NOT(ISNUMBER($H172))),0,MAX(0,TODAY()-$H172)),"")</f>
      </c>
      <c r="X172" s="202">
        <f>IF($C172,IF(ISNUMBER($H172),$R172-$H172,0),"")</f>
      </c>
      <c r="Y172" s="202">
        <f>IF($C172,COUNTIFS($G$7:$G$200,$G172,$J$7:$J$200,"&lt;&gt;Completado",$J$7:$J$200,"&lt;&gt;"),"")</f>
      </c>
      <c r="Z172" s="202">
        <f>IF($C172,AND($I172=0,'Proyecto Datos (OKR´s)'!$K172&lt;=TODAY(),$J172&lt;&gt;"Completado"),"")</f>
      </c>
      <c r="AA172" s="202">
        <f>IF($C172,ROUND(100*(0.35*$AK172+0.3*$AL172+0.2*$AM172+0.15*MEDIAN(0,($Y172-4)/8,1)),0),"")</f>
      </c>
      <c r="AB172" s="203">
        <f>IF($C172,IF(OR($J172="Completado",$J172="Sin fecha"),"—",IF($AA172&gt;=70,"Crítica",IF($AA172&gt;=45,"Alta",IF($AA172&gt;=25,"Media","Baja")))),"")</f>
      </c>
      <c r="AC172" s="203">
        <f>IF($C172,IF(LEN(TRIM($AN172))=0,"—",TRIM($AN172)),"")</f>
      </c>
      <c r="AD172" s="202">
        <f>IF($C172,$AV172,"")</f>
      </c>
      <c r="AE172" s="202">
        <f>IF($C172,$AZ172,"")</f>
      </c>
      <c r="AF172" s="202" t="b">
        <f>IF($C172,$AV172&lt;&gt;$AR172,FALSE)</f>
        <v>0</v>
      </c>
      <c r="AG172" s="202">
        <f>IF($C172,IF($AV172&lt;&gt;$AR172,$AW172,""),"")</f>
      </c>
      <c r="AH172" s="203">
        <f>IF($C172,IF(ISBLANK('Backlog General'!$K172),"",'Backlog General'!$K172),"")</f>
      </c>
      <c r="AI172" s="202">
        <f>IF($C172,$AV172*100000+ROW(),"")</f>
      </c>
      <c r="AJ172" s="202">
        <f>IF(AND($C172,ISNUMBER($H172)),$AA172*1000000-MEDIAN(-9999,$K172,9999)*100+(300-ROW()),"")</f>
      </c>
      <c r="AK172" s="202">
        <f>IF($C172,IF($J172="Completado",0,IF($K172&lt;0,1,IF($K172&lt;=3,0.9,IF($K172&lt;=7,0.7,IF($K172&lt;=14,0.45,0.2))))),"")</f>
      </c>
      <c r="AL172" s="202">
        <f>IF($C172,IF($J172="Completado",0,MEDIAN(0,MAX(-$V172,$W172/30),1)),"")</f>
      </c>
      <c r="AM172" s="202">
        <f>IF($C172,IF($J172="Completado",0,IF($Z172,1,IF(AND($I172&lt;0.5,$K172&lt;=7),0.7,0.3))),"")</f>
      </c>
      <c r="AN172" s="203">
        <f>IF($C172,IF(OR($V172&lt;-0.2,$W172&gt;0),"ATRASO ","")&amp;IF($Z172,"BLOQUEO ","")&amp;IF($Y172&gt;8,"SOBRECARGA ","")&amp;IF($X172&gt;0,"DESVÍO-PLAN ",""),"")</f>
      </c>
      <c r="AO172" s="203">
        <f>IF($C172,IFERROR(VLOOKUP($D172,'Sprints'!$I$5:$J$12,2,FALSE),"Semanal"),"")</f>
      </c>
      <c r="AP172" s="202">
        <f>IF($C172,IFERROR(VLOOKUP($AO172,'Sprints'!$B$9:$C$11,2,FALSE),1),"")</f>
      </c>
      <c r="AQ172" s="202">
        <f>IF($C172,'Sprints'!$C$5,"")</f>
      </c>
      <c r="AR172" s="202">
        <f>IF(AND($C172,ISNUMBER($H172)),CEILING(MAX(1,INT(($H172-$AQ172+'Sprints'!$D$5-1)/'Sprints'!$D$5)+1)/$AP172,1),"")</f>
      </c>
      <c r="AS172" s="202">
        <f>IF($C172,CEILING(MAX(1,INT((TODAY()-$AQ172+'Sprints'!$D$5-1)/'Sprints'!$D$5)+1)/$AP172,1),"")</f>
      </c>
      <c r="AT172" s="203">
        <f>IF($C172,'Backlog General'!$G172,"")</f>
      </c>
      <c r="AU172" s="203">
        <f>IF($C172,'Backlog General'!$H172,"")</f>
      </c>
      <c r="AV172" s="202">
        <f>IF(AND($C172,ISNUMBER($AR172)),IF(OR($AT172="Completo",$AU172="Cancelado",$AU172="Baja prioridad"),$AR172,IF($AU172="Pasa al siguiente",MAX($AR172+1,$AS172),MAX($AR172,$AS172))),"")</f>
      </c>
      <c r="AW172" s="202">
        <f>IF(AND($C172,ISNUMBER($AR172)),$AQ172+$AR172*$AP172*'Sprints'!$D$5-'Sprints'!$D$5,"")</f>
      </c>
      <c r="AX172" s="202">
        <f>IF($C172,IF(OR($AT172="Completo",$AU172="Cancelado",$AU172="Baja prioridad",NOT(ISNUMBER($AW172))),0,IF(TODAY()&gt;$AW172,NETWORKDAYS($AW172,TODAY(),'Sprints'!$L$5:$L$40)-1,0)),"")</f>
      </c>
      <c r="AY172" s="203">
        <f>IF($C172,IF(NOT(ISNUMBER($AR172)),"Sin fecha",IF($AT172="Completo","Completo",IF($AU172="Cancelado","Cancelado",IF($AU172="Baja prioridad","Baja prioridad",IF($AX172&gt;0,"Vencida","Pendiente"))))),"")</f>
      </c>
      <c r="AZ172" s="203">
        <f>IF($C172,IF(ISNUMBER($AV172),$AO172&amp;" · S"&amp;$AV172,"(Sin fecha)"),"")</f>
      </c>
      <c r="BA172" s="202">
        <f>IF($C172,IF(AND(ISNUMBER('Backlog General'!$M172),'Backlog General'!$M172=$AS172),"Nuevo S"&amp;'Backlog General'!$M172,""),"")</f>
      </c>
      <c r="BB172" s="202">
        <f>IF(AND($C172,$AO172="Semanal",ISNUMBER($AV172)),$AV172*100000+ROW(),"")</f>
      </c>
      <c r="BC172" s="202">
        <f>IF(AND($C172,$AO172="Quincenal",ISNUMBER($AV172)),$AV172*100000+ROW(),"")</f>
      </c>
      <c r="BD172" s="202">
        <f>IF(AND($C172,$AO172="Mensual",ISNUMBER($AV172)),$AV172*100000+ROW(),"")</f>
      </c>
      <c r="BE172" s="203">
        <f>IF($C172,IF(ISBLANK('Backlog General'!$J172),"",'Backlog General'!$J172),"")</f>
      </c>
      <c r="BF172" s="203">
        <f>IF($C172,IF($BE172="","",$BE172)&amp;IF(AND($BE172&lt;&gt;"",$AH172&lt;&gt;"")," · ","")&amp;IF($AH172="","",$AH172),"")</f>
      </c>
      <c r="BG172" s="203">
        <f>IF($C172,IF($J172="Completado","Sí","No"),"")</f>
      </c>
      <c r="BH172" s="202">
        <f>IF(AND($C172,ISNUMBER($AR172)),IF($AO172="Semanal",1,IF($AO172="Quincenal",2,3))*1000000000+$AR172*100000+ROW(),"")</f>
      </c>
    </row>
    <row r="173">
      <c r="A173" s="202">
        <f>ROW()</f>
        <v>173</v>
      </c>
      <c r="B173" s="202" t="b">
        <f>ISTEXT('Proyecto Datos (OKR´s)'!$K173)</f>
        <v>0</v>
      </c>
      <c r="C173" s="202" t="b">
        <f>AND(LEN('Proyecto Datos (OKR´s)'!$G173)&gt;0,NOT($B173),OR(ISNUMBER('Proyecto Datos (OKR´s)'!$F173),ISNUMBER('Proyecto Datos (OKR´s)'!$L173)))</f>
        <v>0</v>
      </c>
      <c r="D173" s="203">
        <f>IF($C173,IFERROR(LOOKUP(2,1/((ISTEXT('Proyecto Datos (OKR´s)'!$K$7:$K173))*(LEN('Proyecto Datos (OKR´s)'!$G$7:$G173)&gt;0)),'Proyecto Datos (OKR´s)'!$G$7:$G173),""),"")</f>
      </c>
      <c r="E173" s="202">
        <f>IF($C173,'Proyecto Datos (OKR´s)'!$E173,"")</f>
      </c>
      <c r="F173" s="203">
        <f>IF($C173,'Proyecto Datos (OKR´s)'!$G173,"")</f>
      </c>
      <c r="G173" s="203">
        <f>IF($C173,IF('Proyecto Datos (OKR´s)'!$I173="","(Sin asignar)",'Proyecto Datos (OKR´s)'!$I173),"")</f>
      </c>
      <c r="H173" s="202">
        <f>IF($C173,IF(ISNUMBER('Proyecto Datos (OKR´s)'!$F173),'Proyecto Datos (OKR´s)'!$F173,""),"")</f>
      </c>
      <c r="I173" s="202">
        <f>IF($C173,'Proyecto Datos (OKR´s)'!$J173,"")</f>
      </c>
      <c r="J173" s="203">
        <f>IF($C173,IF($I173&gt;=1,"Completado",IF(NOT(ISNUMBER($H173)),"Sin fecha",IF($H173&lt;TODAY(),"Vencido",IF(($H173-TODAY())&lt;='Entregas Próximas'!$M$3,"Próximo a vencer","En curso")))),"")</f>
      </c>
      <c r="K173" s="202">
        <f>IF(AND($C173,ISNUMBER($H173)),$H173-TODAY(),"")</f>
      </c>
      <c r="L173" s="202">
        <f>IF(AND($C173,ISNUMBER($H173)),$AD173*1000000+$H173+ROW()/100000,"")</f>
      </c>
      <c r="M173" s="202">
        <f>IF($C173,IF($AD173=9999,"(Sin sprint)",$AD173),"")</f>
      </c>
      <c r="N173" s="202">
        <f>IF($C173,IF('Proyecto Datos (OKR´s)'!$E173="",9999,'Proyecto Datos (OKR´s)'!$E173),"")</f>
      </c>
      <c r="O173" s="202">
        <f>IF($C173,"T"&amp;TEXT(ROW(),"000"),"")</f>
      </c>
      <c r="R173" s="202">
        <f>IF($C173,IF(ISNUMBER('Proyecto Datos (OKR´s)'!$L173),'Proyecto Datos (OKR´s)'!$L173,$H173),"")</f>
      </c>
      <c r="S173" s="202">
        <f>IF($C173,$R173-'Proyecto Datos (OKR´s)'!$K173+1,"")</f>
      </c>
      <c r="T173" s="202">
        <f>IF($C173,MAX(0,TODAY()-'Proyecto Datos (OKR´s)'!$K173),"")</f>
      </c>
      <c r="U173" s="202">
        <f>IF($C173,MEDIAN(0,(TODAY()-'Proyecto Datos (OKR´s)'!$K173)/MAX(1,$R173-'Proyecto Datos (OKR´s)'!$K173),1),"")</f>
      </c>
      <c r="V173" s="202">
        <f>IF($C173,$I173-$U173,"")</f>
      </c>
      <c r="W173" s="202">
        <f>IF($C173,IF(OR($J173="Completado",NOT(ISNUMBER($H173))),0,MAX(0,TODAY()-$H173)),"")</f>
      </c>
      <c r="X173" s="202">
        <f>IF($C173,IF(ISNUMBER($H173),$R173-$H173,0),"")</f>
      </c>
      <c r="Y173" s="202">
        <f>IF($C173,COUNTIFS($G$7:$G$200,$G173,$J$7:$J$200,"&lt;&gt;Completado",$J$7:$J$200,"&lt;&gt;"),"")</f>
      </c>
      <c r="Z173" s="202">
        <f>IF($C173,AND($I173=0,'Proyecto Datos (OKR´s)'!$K173&lt;=TODAY(),$J173&lt;&gt;"Completado"),"")</f>
      </c>
      <c r="AA173" s="202">
        <f>IF($C173,ROUND(100*(0.35*$AK173+0.3*$AL173+0.2*$AM173+0.15*MEDIAN(0,($Y173-4)/8,1)),0),"")</f>
      </c>
      <c r="AB173" s="203">
        <f>IF($C173,IF(OR($J173="Completado",$J173="Sin fecha"),"—",IF($AA173&gt;=70,"Crítica",IF($AA173&gt;=45,"Alta",IF($AA173&gt;=25,"Media","Baja")))),"")</f>
      </c>
      <c r="AC173" s="203">
        <f>IF($C173,IF(LEN(TRIM($AN173))=0,"—",TRIM($AN173)),"")</f>
      </c>
      <c r="AD173" s="202">
        <f>IF($C173,$AV173,"")</f>
      </c>
      <c r="AE173" s="202">
        <f>IF($C173,$AZ173,"")</f>
      </c>
      <c r="AF173" s="202" t="b">
        <f>IF($C173,$AV173&lt;&gt;$AR173,FALSE)</f>
        <v>0</v>
      </c>
      <c r="AG173" s="202">
        <f>IF($C173,IF($AV173&lt;&gt;$AR173,$AW173,""),"")</f>
      </c>
      <c r="AH173" s="203">
        <f>IF($C173,IF(ISBLANK('Backlog General'!$K173),"",'Backlog General'!$K173),"")</f>
      </c>
      <c r="AI173" s="202">
        <f>IF($C173,$AV173*100000+ROW(),"")</f>
      </c>
      <c r="AJ173" s="202">
        <f>IF(AND($C173,ISNUMBER($H173)),$AA173*1000000-MEDIAN(-9999,$K173,9999)*100+(300-ROW()),"")</f>
      </c>
      <c r="AK173" s="202">
        <f>IF($C173,IF($J173="Completado",0,IF($K173&lt;0,1,IF($K173&lt;=3,0.9,IF($K173&lt;=7,0.7,IF($K173&lt;=14,0.45,0.2))))),"")</f>
      </c>
      <c r="AL173" s="202">
        <f>IF($C173,IF($J173="Completado",0,MEDIAN(0,MAX(-$V173,$W173/30),1)),"")</f>
      </c>
      <c r="AM173" s="202">
        <f>IF($C173,IF($J173="Completado",0,IF($Z173,1,IF(AND($I173&lt;0.5,$K173&lt;=7),0.7,0.3))),"")</f>
      </c>
      <c r="AN173" s="203">
        <f>IF($C173,IF(OR($V173&lt;-0.2,$W173&gt;0),"ATRASO ","")&amp;IF($Z173,"BLOQUEO ","")&amp;IF($Y173&gt;8,"SOBRECARGA ","")&amp;IF($X173&gt;0,"DESVÍO-PLAN ",""),"")</f>
      </c>
      <c r="AO173" s="203">
        <f>IF($C173,IFERROR(VLOOKUP($D173,'Sprints'!$I$5:$J$12,2,FALSE),"Semanal"),"")</f>
      </c>
      <c r="AP173" s="202">
        <f>IF($C173,IFERROR(VLOOKUP($AO173,'Sprints'!$B$9:$C$11,2,FALSE),1),"")</f>
      </c>
      <c r="AQ173" s="202">
        <f>IF($C173,'Sprints'!$C$5,"")</f>
      </c>
      <c r="AR173" s="202">
        <f>IF(AND($C173,ISNUMBER($H173)),CEILING(MAX(1,INT(($H173-$AQ173+'Sprints'!$D$5-1)/'Sprints'!$D$5)+1)/$AP173,1),"")</f>
      </c>
      <c r="AS173" s="202">
        <f>IF($C173,CEILING(MAX(1,INT((TODAY()-$AQ173+'Sprints'!$D$5-1)/'Sprints'!$D$5)+1)/$AP173,1),"")</f>
      </c>
      <c r="AT173" s="203">
        <f>IF($C173,'Backlog General'!$G173,"")</f>
      </c>
      <c r="AU173" s="203">
        <f>IF($C173,'Backlog General'!$H173,"")</f>
      </c>
      <c r="AV173" s="202">
        <f>IF(AND($C173,ISNUMBER($AR173)),IF(OR($AT173="Completo",$AU173="Cancelado",$AU173="Baja prioridad"),$AR173,IF($AU173="Pasa al siguiente",MAX($AR173+1,$AS173),MAX($AR173,$AS173))),"")</f>
      </c>
      <c r="AW173" s="202">
        <f>IF(AND($C173,ISNUMBER($AR173)),$AQ173+$AR173*$AP173*'Sprints'!$D$5-'Sprints'!$D$5,"")</f>
      </c>
      <c r="AX173" s="202">
        <f>IF($C173,IF(OR($AT173="Completo",$AU173="Cancelado",$AU173="Baja prioridad",NOT(ISNUMBER($AW173))),0,IF(TODAY()&gt;$AW173,NETWORKDAYS($AW173,TODAY(),'Sprints'!$L$5:$L$40)-1,0)),"")</f>
      </c>
      <c r="AY173" s="203">
        <f>IF($C173,IF(NOT(ISNUMBER($AR173)),"Sin fecha",IF($AT173="Completo","Completo",IF($AU173="Cancelado","Cancelado",IF($AU173="Baja prioridad","Baja prioridad",IF($AX173&gt;0,"Vencida","Pendiente"))))),"")</f>
      </c>
      <c r="AZ173" s="203">
        <f>IF($C173,IF(ISNUMBER($AV173),$AO173&amp;" · S"&amp;$AV173,"(Sin fecha)"),"")</f>
      </c>
      <c r="BA173" s="202">
        <f>IF($C173,IF(AND(ISNUMBER('Backlog General'!$M173),'Backlog General'!$M173=$AS173),"Nuevo S"&amp;'Backlog General'!$M173,""),"")</f>
      </c>
      <c r="BB173" s="202">
        <f>IF(AND($C173,$AO173="Semanal",ISNUMBER($AV173)),$AV173*100000+ROW(),"")</f>
      </c>
      <c r="BC173" s="202">
        <f>IF(AND($C173,$AO173="Quincenal",ISNUMBER($AV173)),$AV173*100000+ROW(),"")</f>
      </c>
      <c r="BD173" s="202">
        <f>IF(AND($C173,$AO173="Mensual",ISNUMBER($AV173)),$AV173*100000+ROW(),"")</f>
      </c>
      <c r="BE173" s="203">
        <f>IF($C173,IF(ISBLANK('Backlog General'!$J173),"",'Backlog General'!$J173),"")</f>
      </c>
      <c r="BF173" s="203">
        <f>IF($C173,IF($BE173="","",$BE173)&amp;IF(AND($BE173&lt;&gt;"",$AH173&lt;&gt;"")," · ","")&amp;IF($AH173="","",$AH173),"")</f>
      </c>
      <c r="BG173" s="203">
        <f>IF($C173,IF($J173="Completado","Sí","No"),"")</f>
      </c>
      <c r="BH173" s="202">
        <f>IF(AND($C173,ISNUMBER($AR173)),IF($AO173="Semanal",1,IF($AO173="Quincenal",2,3))*1000000000+$AR173*100000+ROW(),"")</f>
      </c>
    </row>
    <row r="174">
      <c r="A174" s="202">
        <f>ROW()</f>
        <v>174</v>
      </c>
      <c r="B174" s="202" t="b">
        <f>ISTEXT('Proyecto Datos (OKR´s)'!$K174)</f>
        <v>0</v>
      </c>
      <c r="C174" s="202" t="b">
        <f>AND(LEN('Proyecto Datos (OKR´s)'!$G174)&gt;0,NOT($B174),OR(ISNUMBER('Proyecto Datos (OKR´s)'!$F174),ISNUMBER('Proyecto Datos (OKR´s)'!$L174)))</f>
        <v>0</v>
      </c>
      <c r="D174" s="203">
        <f>IF($C174,IFERROR(LOOKUP(2,1/((ISTEXT('Proyecto Datos (OKR´s)'!$K$7:$K174))*(LEN('Proyecto Datos (OKR´s)'!$G$7:$G174)&gt;0)),'Proyecto Datos (OKR´s)'!$G$7:$G174),""),"")</f>
      </c>
      <c r="E174" s="202">
        <f>IF($C174,'Proyecto Datos (OKR´s)'!$E174,"")</f>
      </c>
      <c r="F174" s="203">
        <f>IF($C174,'Proyecto Datos (OKR´s)'!$G174,"")</f>
      </c>
      <c r="G174" s="203">
        <f>IF($C174,IF('Proyecto Datos (OKR´s)'!$I174="","(Sin asignar)",'Proyecto Datos (OKR´s)'!$I174),"")</f>
      </c>
      <c r="H174" s="202">
        <f>IF($C174,IF(ISNUMBER('Proyecto Datos (OKR´s)'!$F174),'Proyecto Datos (OKR´s)'!$F174,""),"")</f>
      </c>
      <c r="I174" s="202">
        <f>IF($C174,'Proyecto Datos (OKR´s)'!$J174,"")</f>
      </c>
      <c r="J174" s="203">
        <f>IF($C174,IF($I174&gt;=1,"Completado",IF(NOT(ISNUMBER($H174)),"Sin fecha",IF($H174&lt;TODAY(),"Vencido",IF(($H174-TODAY())&lt;='Entregas Próximas'!$M$3,"Próximo a vencer","En curso")))),"")</f>
      </c>
      <c r="K174" s="202">
        <f>IF(AND($C174,ISNUMBER($H174)),$H174-TODAY(),"")</f>
      </c>
      <c r="L174" s="202">
        <f>IF(AND($C174,ISNUMBER($H174)),$AD174*1000000+$H174+ROW()/100000,"")</f>
      </c>
      <c r="M174" s="202">
        <f>IF($C174,IF($AD174=9999,"(Sin sprint)",$AD174),"")</f>
      </c>
      <c r="N174" s="202">
        <f>IF($C174,IF('Proyecto Datos (OKR´s)'!$E174="",9999,'Proyecto Datos (OKR´s)'!$E174),"")</f>
      </c>
      <c r="O174" s="202">
        <f>IF($C174,"T"&amp;TEXT(ROW(),"000"),"")</f>
      </c>
      <c r="R174" s="202">
        <f>IF($C174,IF(ISNUMBER('Proyecto Datos (OKR´s)'!$L174),'Proyecto Datos (OKR´s)'!$L174,$H174),"")</f>
      </c>
      <c r="S174" s="202">
        <f>IF($C174,$R174-'Proyecto Datos (OKR´s)'!$K174+1,"")</f>
      </c>
      <c r="T174" s="202">
        <f>IF($C174,MAX(0,TODAY()-'Proyecto Datos (OKR´s)'!$K174),"")</f>
      </c>
      <c r="U174" s="202">
        <f>IF($C174,MEDIAN(0,(TODAY()-'Proyecto Datos (OKR´s)'!$K174)/MAX(1,$R174-'Proyecto Datos (OKR´s)'!$K174),1),"")</f>
      </c>
      <c r="V174" s="202">
        <f>IF($C174,$I174-$U174,"")</f>
      </c>
      <c r="W174" s="202">
        <f>IF($C174,IF(OR($J174="Completado",NOT(ISNUMBER($H174))),0,MAX(0,TODAY()-$H174)),"")</f>
      </c>
      <c r="X174" s="202">
        <f>IF($C174,IF(ISNUMBER($H174),$R174-$H174,0),"")</f>
      </c>
      <c r="Y174" s="202">
        <f>IF($C174,COUNTIFS($G$7:$G$200,$G174,$J$7:$J$200,"&lt;&gt;Completado",$J$7:$J$200,"&lt;&gt;"),"")</f>
      </c>
      <c r="Z174" s="202">
        <f>IF($C174,AND($I174=0,'Proyecto Datos (OKR´s)'!$K174&lt;=TODAY(),$J174&lt;&gt;"Completado"),"")</f>
      </c>
      <c r="AA174" s="202">
        <f>IF($C174,ROUND(100*(0.35*$AK174+0.3*$AL174+0.2*$AM174+0.15*MEDIAN(0,($Y174-4)/8,1)),0),"")</f>
      </c>
      <c r="AB174" s="203">
        <f>IF($C174,IF(OR($J174="Completado",$J174="Sin fecha"),"—",IF($AA174&gt;=70,"Crítica",IF($AA174&gt;=45,"Alta",IF($AA174&gt;=25,"Media","Baja")))),"")</f>
      </c>
      <c r="AC174" s="203">
        <f>IF($C174,IF(LEN(TRIM($AN174))=0,"—",TRIM($AN174)),"")</f>
      </c>
      <c r="AD174" s="202">
        <f>IF($C174,$AV174,"")</f>
      </c>
      <c r="AE174" s="202">
        <f>IF($C174,$AZ174,"")</f>
      </c>
      <c r="AF174" s="202" t="b">
        <f>IF($C174,$AV174&lt;&gt;$AR174,FALSE)</f>
        <v>0</v>
      </c>
      <c r="AG174" s="202">
        <f>IF($C174,IF($AV174&lt;&gt;$AR174,$AW174,""),"")</f>
      </c>
      <c r="AH174" s="203">
        <f>IF($C174,IF(ISBLANK('Backlog General'!$K174),"",'Backlog General'!$K174),"")</f>
      </c>
      <c r="AI174" s="202">
        <f>IF($C174,$AV174*100000+ROW(),"")</f>
      </c>
      <c r="AJ174" s="202">
        <f>IF(AND($C174,ISNUMBER($H174)),$AA174*1000000-MEDIAN(-9999,$K174,9999)*100+(300-ROW()),"")</f>
      </c>
      <c r="AK174" s="202">
        <f>IF($C174,IF($J174="Completado",0,IF($K174&lt;0,1,IF($K174&lt;=3,0.9,IF($K174&lt;=7,0.7,IF($K174&lt;=14,0.45,0.2))))),"")</f>
      </c>
      <c r="AL174" s="202">
        <f>IF($C174,IF($J174="Completado",0,MEDIAN(0,MAX(-$V174,$W174/30),1)),"")</f>
      </c>
      <c r="AM174" s="202">
        <f>IF($C174,IF($J174="Completado",0,IF($Z174,1,IF(AND($I174&lt;0.5,$K174&lt;=7),0.7,0.3))),"")</f>
      </c>
      <c r="AN174" s="203">
        <f>IF($C174,IF(OR($V174&lt;-0.2,$W174&gt;0),"ATRASO ","")&amp;IF($Z174,"BLOQUEO ","")&amp;IF($Y174&gt;8,"SOBRECARGA ","")&amp;IF($X174&gt;0,"DESVÍO-PLAN ",""),"")</f>
      </c>
      <c r="AO174" s="203">
        <f>IF($C174,IFERROR(VLOOKUP($D174,'Sprints'!$I$5:$J$12,2,FALSE),"Semanal"),"")</f>
      </c>
      <c r="AP174" s="202">
        <f>IF($C174,IFERROR(VLOOKUP($AO174,'Sprints'!$B$9:$C$11,2,FALSE),1),"")</f>
      </c>
      <c r="AQ174" s="202">
        <f>IF($C174,'Sprints'!$C$5,"")</f>
      </c>
      <c r="AR174" s="202">
        <f>IF(AND($C174,ISNUMBER($H174)),CEILING(MAX(1,INT(($H174-$AQ174+'Sprints'!$D$5-1)/'Sprints'!$D$5)+1)/$AP174,1),"")</f>
      </c>
      <c r="AS174" s="202">
        <f>IF($C174,CEILING(MAX(1,INT((TODAY()-$AQ174+'Sprints'!$D$5-1)/'Sprints'!$D$5)+1)/$AP174,1),"")</f>
      </c>
      <c r="AT174" s="203">
        <f>IF($C174,'Backlog General'!$G174,"")</f>
      </c>
      <c r="AU174" s="203">
        <f>IF($C174,'Backlog General'!$H174,"")</f>
      </c>
      <c r="AV174" s="202">
        <f>IF(AND($C174,ISNUMBER($AR174)),IF(OR($AT174="Completo",$AU174="Cancelado",$AU174="Baja prioridad"),$AR174,IF($AU174="Pasa al siguiente",MAX($AR174+1,$AS174),MAX($AR174,$AS174))),"")</f>
      </c>
      <c r="AW174" s="202">
        <f>IF(AND($C174,ISNUMBER($AR174)),$AQ174+$AR174*$AP174*'Sprints'!$D$5-'Sprints'!$D$5,"")</f>
      </c>
      <c r="AX174" s="202">
        <f>IF($C174,IF(OR($AT174="Completo",$AU174="Cancelado",$AU174="Baja prioridad",NOT(ISNUMBER($AW174))),0,IF(TODAY()&gt;$AW174,NETWORKDAYS($AW174,TODAY(),'Sprints'!$L$5:$L$40)-1,0)),"")</f>
      </c>
      <c r="AY174" s="203">
        <f>IF($C174,IF(NOT(ISNUMBER($AR174)),"Sin fecha",IF($AT174="Completo","Completo",IF($AU174="Cancelado","Cancelado",IF($AU174="Baja prioridad","Baja prioridad",IF($AX174&gt;0,"Vencida","Pendiente"))))),"")</f>
      </c>
      <c r="AZ174" s="203">
        <f>IF($C174,IF(ISNUMBER($AV174),$AO174&amp;" · S"&amp;$AV174,"(Sin fecha)"),"")</f>
      </c>
      <c r="BA174" s="202">
        <f>IF($C174,IF(AND(ISNUMBER('Backlog General'!$M174),'Backlog General'!$M174=$AS174),"Nuevo S"&amp;'Backlog General'!$M174,""),"")</f>
      </c>
      <c r="BB174" s="202">
        <f>IF(AND($C174,$AO174="Semanal",ISNUMBER($AV174)),$AV174*100000+ROW(),"")</f>
      </c>
      <c r="BC174" s="202">
        <f>IF(AND($C174,$AO174="Quincenal",ISNUMBER($AV174)),$AV174*100000+ROW(),"")</f>
      </c>
      <c r="BD174" s="202">
        <f>IF(AND($C174,$AO174="Mensual",ISNUMBER($AV174)),$AV174*100000+ROW(),"")</f>
      </c>
      <c r="BE174" s="203">
        <f>IF($C174,IF(ISBLANK('Backlog General'!$J174),"",'Backlog General'!$J174),"")</f>
      </c>
      <c r="BF174" s="203">
        <f>IF($C174,IF($BE174="","",$BE174)&amp;IF(AND($BE174&lt;&gt;"",$AH174&lt;&gt;"")," · ","")&amp;IF($AH174="","",$AH174),"")</f>
      </c>
      <c r="BG174" s="203">
        <f>IF($C174,IF($J174="Completado","Sí","No"),"")</f>
      </c>
      <c r="BH174" s="202">
        <f>IF(AND($C174,ISNUMBER($AR174)),IF($AO174="Semanal",1,IF($AO174="Quincenal",2,3))*1000000000+$AR174*100000+ROW(),"")</f>
      </c>
    </row>
    <row r="175">
      <c r="A175" s="202">
        <f>ROW()</f>
        <v>175</v>
      </c>
      <c r="B175" s="202" t="b">
        <f>ISTEXT('Proyecto Datos (OKR´s)'!$K175)</f>
        <v>0</v>
      </c>
      <c r="C175" s="202" t="b">
        <f>AND(LEN('Proyecto Datos (OKR´s)'!$G175)&gt;0,NOT($B175),OR(ISNUMBER('Proyecto Datos (OKR´s)'!$F175),ISNUMBER('Proyecto Datos (OKR´s)'!$L175)))</f>
        <v>0</v>
      </c>
      <c r="D175" s="203">
        <f>IF($C175,IFERROR(LOOKUP(2,1/((ISTEXT('Proyecto Datos (OKR´s)'!$K$7:$K175))*(LEN('Proyecto Datos (OKR´s)'!$G$7:$G175)&gt;0)),'Proyecto Datos (OKR´s)'!$G$7:$G175),""),"")</f>
      </c>
      <c r="E175" s="202">
        <f>IF($C175,'Proyecto Datos (OKR´s)'!$E175,"")</f>
      </c>
      <c r="F175" s="203">
        <f>IF($C175,'Proyecto Datos (OKR´s)'!$G175,"")</f>
      </c>
      <c r="G175" s="203">
        <f>IF($C175,IF('Proyecto Datos (OKR´s)'!$I175="","(Sin asignar)",'Proyecto Datos (OKR´s)'!$I175),"")</f>
      </c>
      <c r="H175" s="202">
        <f>IF($C175,IF(ISNUMBER('Proyecto Datos (OKR´s)'!$F175),'Proyecto Datos (OKR´s)'!$F175,""),"")</f>
      </c>
      <c r="I175" s="202">
        <f>IF($C175,'Proyecto Datos (OKR´s)'!$J175,"")</f>
      </c>
      <c r="J175" s="203">
        <f>IF($C175,IF($I175&gt;=1,"Completado",IF(NOT(ISNUMBER($H175)),"Sin fecha",IF($H175&lt;TODAY(),"Vencido",IF(($H175-TODAY())&lt;='Entregas Próximas'!$M$3,"Próximo a vencer","En curso")))),"")</f>
      </c>
      <c r="K175" s="202">
        <f>IF(AND($C175,ISNUMBER($H175)),$H175-TODAY(),"")</f>
      </c>
      <c r="L175" s="202">
        <f>IF(AND($C175,ISNUMBER($H175)),$AD175*1000000+$H175+ROW()/100000,"")</f>
      </c>
      <c r="M175" s="202">
        <f>IF($C175,IF($AD175=9999,"(Sin sprint)",$AD175),"")</f>
      </c>
      <c r="N175" s="202">
        <f>IF($C175,IF('Proyecto Datos (OKR´s)'!$E175="",9999,'Proyecto Datos (OKR´s)'!$E175),"")</f>
      </c>
      <c r="O175" s="202">
        <f>IF($C175,"T"&amp;TEXT(ROW(),"000"),"")</f>
      </c>
      <c r="R175" s="202">
        <f>IF($C175,IF(ISNUMBER('Proyecto Datos (OKR´s)'!$L175),'Proyecto Datos (OKR´s)'!$L175,$H175),"")</f>
      </c>
      <c r="S175" s="202">
        <f>IF($C175,$R175-'Proyecto Datos (OKR´s)'!$K175+1,"")</f>
      </c>
      <c r="T175" s="202">
        <f>IF($C175,MAX(0,TODAY()-'Proyecto Datos (OKR´s)'!$K175),"")</f>
      </c>
      <c r="U175" s="202">
        <f>IF($C175,MEDIAN(0,(TODAY()-'Proyecto Datos (OKR´s)'!$K175)/MAX(1,$R175-'Proyecto Datos (OKR´s)'!$K175),1),"")</f>
      </c>
      <c r="V175" s="202">
        <f>IF($C175,$I175-$U175,"")</f>
      </c>
      <c r="W175" s="202">
        <f>IF($C175,IF(OR($J175="Completado",NOT(ISNUMBER($H175))),0,MAX(0,TODAY()-$H175)),"")</f>
      </c>
      <c r="X175" s="202">
        <f>IF($C175,IF(ISNUMBER($H175),$R175-$H175,0),"")</f>
      </c>
      <c r="Y175" s="202">
        <f>IF($C175,COUNTIFS($G$7:$G$200,$G175,$J$7:$J$200,"&lt;&gt;Completado",$J$7:$J$200,"&lt;&gt;"),"")</f>
      </c>
      <c r="Z175" s="202">
        <f>IF($C175,AND($I175=0,'Proyecto Datos (OKR´s)'!$K175&lt;=TODAY(),$J175&lt;&gt;"Completado"),"")</f>
      </c>
      <c r="AA175" s="202">
        <f>IF($C175,ROUND(100*(0.35*$AK175+0.3*$AL175+0.2*$AM175+0.15*MEDIAN(0,($Y175-4)/8,1)),0),"")</f>
      </c>
      <c r="AB175" s="203">
        <f>IF($C175,IF(OR($J175="Completado",$J175="Sin fecha"),"—",IF($AA175&gt;=70,"Crítica",IF($AA175&gt;=45,"Alta",IF($AA175&gt;=25,"Media","Baja")))),"")</f>
      </c>
      <c r="AC175" s="203">
        <f>IF($C175,IF(LEN(TRIM($AN175))=0,"—",TRIM($AN175)),"")</f>
      </c>
      <c r="AD175" s="202">
        <f>IF($C175,$AV175,"")</f>
      </c>
      <c r="AE175" s="202">
        <f>IF($C175,$AZ175,"")</f>
      </c>
      <c r="AF175" s="202" t="b">
        <f>IF($C175,$AV175&lt;&gt;$AR175,FALSE)</f>
        <v>0</v>
      </c>
      <c r="AG175" s="202">
        <f>IF($C175,IF($AV175&lt;&gt;$AR175,$AW175,""),"")</f>
      </c>
      <c r="AH175" s="203">
        <f>IF($C175,IF(ISBLANK('Backlog General'!$K175),"",'Backlog General'!$K175),"")</f>
      </c>
      <c r="AI175" s="202">
        <f>IF($C175,$AV175*100000+ROW(),"")</f>
      </c>
      <c r="AJ175" s="202">
        <f>IF(AND($C175,ISNUMBER($H175)),$AA175*1000000-MEDIAN(-9999,$K175,9999)*100+(300-ROW()),"")</f>
      </c>
      <c r="AK175" s="202">
        <f>IF($C175,IF($J175="Completado",0,IF($K175&lt;0,1,IF($K175&lt;=3,0.9,IF($K175&lt;=7,0.7,IF($K175&lt;=14,0.45,0.2))))),"")</f>
      </c>
      <c r="AL175" s="202">
        <f>IF($C175,IF($J175="Completado",0,MEDIAN(0,MAX(-$V175,$W175/30),1)),"")</f>
      </c>
      <c r="AM175" s="202">
        <f>IF($C175,IF($J175="Completado",0,IF($Z175,1,IF(AND($I175&lt;0.5,$K175&lt;=7),0.7,0.3))),"")</f>
      </c>
      <c r="AN175" s="203">
        <f>IF($C175,IF(OR($V175&lt;-0.2,$W175&gt;0),"ATRASO ","")&amp;IF($Z175,"BLOQUEO ","")&amp;IF($Y175&gt;8,"SOBRECARGA ","")&amp;IF($X175&gt;0,"DESVÍO-PLAN ",""),"")</f>
      </c>
      <c r="AO175" s="203">
        <f>IF($C175,IFERROR(VLOOKUP($D175,'Sprints'!$I$5:$J$12,2,FALSE),"Semanal"),"")</f>
      </c>
      <c r="AP175" s="202">
        <f>IF($C175,IFERROR(VLOOKUP($AO175,'Sprints'!$B$9:$C$11,2,FALSE),1),"")</f>
      </c>
      <c r="AQ175" s="202">
        <f>IF($C175,'Sprints'!$C$5,"")</f>
      </c>
      <c r="AR175" s="202">
        <f>IF(AND($C175,ISNUMBER($H175)),CEILING(MAX(1,INT(($H175-$AQ175+'Sprints'!$D$5-1)/'Sprints'!$D$5)+1)/$AP175,1),"")</f>
      </c>
      <c r="AS175" s="202">
        <f>IF($C175,CEILING(MAX(1,INT((TODAY()-$AQ175+'Sprints'!$D$5-1)/'Sprints'!$D$5)+1)/$AP175,1),"")</f>
      </c>
      <c r="AT175" s="203">
        <f>IF($C175,'Backlog General'!$G175,"")</f>
      </c>
      <c r="AU175" s="203">
        <f>IF($C175,'Backlog General'!$H175,"")</f>
      </c>
      <c r="AV175" s="202">
        <f>IF(AND($C175,ISNUMBER($AR175)),IF(OR($AT175="Completo",$AU175="Cancelado",$AU175="Baja prioridad"),$AR175,IF($AU175="Pasa al siguiente",MAX($AR175+1,$AS175),MAX($AR175,$AS175))),"")</f>
      </c>
      <c r="AW175" s="202">
        <f>IF(AND($C175,ISNUMBER($AR175)),$AQ175+$AR175*$AP175*'Sprints'!$D$5-'Sprints'!$D$5,"")</f>
      </c>
      <c r="AX175" s="202">
        <f>IF($C175,IF(OR($AT175="Completo",$AU175="Cancelado",$AU175="Baja prioridad",NOT(ISNUMBER($AW175))),0,IF(TODAY()&gt;$AW175,NETWORKDAYS($AW175,TODAY(),'Sprints'!$L$5:$L$40)-1,0)),"")</f>
      </c>
      <c r="AY175" s="203">
        <f>IF($C175,IF(NOT(ISNUMBER($AR175)),"Sin fecha",IF($AT175="Completo","Completo",IF($AU175="Cancelado","Cancelado",IF($AU175="Baja prioridad","Baja prioridad",IF($AX175&gt;0,"Vencida","Pendiente"))))),"")</f>
      </c>
      <c r="AZ175" s="203">
        <f>IF($C175,IF(ISNUMBER($AV175),$AO175&amp;" · S"&amp;$AV175,"(Sin fecha)"),"")</f>
      </c>
      <c r="BA175" s="202">
        <f>IF($C175,IF(AND(ISNUMBER('Backlog General'!$M175),'Backlog General'!$M175=$AS175),"Nuevo S"&amp;'Backlog General'!$M175,""),"")</f>
      </c>
      <c r="BB175" s="202">
        <f>IF(AND($C175,$AO175="Semanal",ISNUMBER($AV175)),$AV175*100000+ROW(),"")</f>
      </c>
      <c r="BC175" s="202">
        <f>IF(AND($C175,$AO175="Quincenal",ISNUMBER($AV175)),$AV175*100000+ROW(),"")</f>
      </c>
      <c r="BD175" s="202">
        <f>IF(AND($C175,$AO175="Mensual",ISNUMBER($AV175)),$AV175*100000+ROW(),"")</f>
      </c>
      <c r="BE175" s="203">
        <f>IF($C175,IF(ISBLANK('Backlog General'!$J175),"",'Backlog General'!$J175),"")</f>
      </c>
      <c r="BF175" s="203">
        <f>IF($C175,IF($BE175="","",$BE175)&amp;IF(AND($BE175&lt;&gt;"",$AH175&lt;&gt;"")," · ","")&amp;IF($AH175="","",$AH175),"")</f>
      </c>
      <c r="BG175" s="203">
        <f>IF($C175,IF($J175="Completado","Sí","No"),"")</f>
      </c>
      <c r="BH175" s="202">
        <f>IF(AND($C175,ISNUMBER($AR175)),IF($AO175="Semanal",1,IF($AO175="Quincenal",2,3))*1000000000+$AR175*100000+ROW(),"")</f>
      </c>
    </row>
    <row r="176">
      <c r="A176" s="202">
        <f>ROW()</f>
        <v>176</v>
      </c>
      <c r="B176" s="202" t="b">
        <f>ISTEXT('Proyecto Datos (OKR´s)'!$K176)</f>
        <v>0</v>
      </c>
      <c r="C176" s="202" t="b">
        <f>AND(LEN('Proyecto Datos (OKR´s)'!$G176)&gt;0,NOT($B176),OR(ISNUMBER('Proyecto Datos (OKR´s)'!$F176),ISNUMBER('Proyecto Datos (OKR´s)'!$L176)))</f>
        <v>0</v>
      </c>
      <c r="D176" s="203">
        <f>IF($C176,IFERROR(LOOKUP(2,1/((ISTEXT('Proyecto Datos (OKR´s)'!$K$7:$K176))*(LEN('Proyecto Datos (OKR´s)'!$G$7:$G176)&gt;0)),'Proyecto Datos (OKR´s)'!$G$7:$G176),""),"")</f>
      </c>
      <c r="E176" s="202">
        <f>IF($C176,'Proyecto Datos (OKR´s)'!$E176,"")</f>
      </c>
      <c r="F176" s="203">
        <f>IF($C176,'Proyecto Datos (OKR´s)'!$G176,"")</f>
      </c>
      <c r="G176" s="203">
        <f>IF($C176,IF('Proyecto Datos (OKR´s)'!$I176="","(Sin asignar)",'Proyecto Datos (OKR´s)'!$I176),"")</f>
      </c>
      <c r="H176" s="202">
        <f>IF($C176,IF(ISNUMBER('Proyecto Datos (OKR´s)'!$F176),'Proyecto Datos (OKR´s)'!$F176,""),"")</f>
      </c>
      <c r="I176" s="202">
        <f>IF($C176,'Proyecto Datos (OKR´s)'!$J176,"")</f>
      </c>
      <c r="J176" s="203">
        <f>IF($C176,IF($I176&gt;=1,"Completado",IF(NOT(ISNUMBER($H176)),"Sin fecha",IF($H176&lt;TODAY(),"Vencido",IF(($H176-TODAY())&lt;='Entregas Próximas'!$M$3,"Próximo a vencer","En curso")))),"")</f>
      </c>
      <c r="K176" s="202">
        <f>IF(AND($C176,ISNUMBER($H176)),$H176-TODAY(),"")</f>
      </c>
      <c r="L176" s="202">
        <f>IF(AND($C176,ISNUMBER($H176)),$AD176*1000000+$H176+ROW()/100000,"")</f>
      </c>
      <c r="M176" s="202">
        <f>IF($C176,IF($AD176=9999,"(Sin sprint)",$AD176),"")</f>
      </c>
      <c r="N176" s="202">
        <f>IF($C176,IF('Proyecto Datos (OKR´s)'!$E176="",9999,'Proyecto Datos (OKR´s)'!$E176),"")</f>
      </c>
      <c r="O176" s="202">
        <f>IF($C176,"T"&amp;TEXT(ROW(),"000"),"")</f>
      </c>
      <c r="R176" s="202">
        <f>IF($C176,IF(ISNUMBER('Proyecto Datos (OKR´s)'!$L176),'Proyecto Datos (OKR´s)'!$L176,$H176),"")</f>
      </c>
      <c r="S176" s="202">
        <f>IF($C176,$R176-'Proyecto Datos (OKR´s)'!$K176+1,"")</f>
      </c>
      <c r="T176" s="202">
        <f>IF($C176,MAX(0,TODAY()-'Proyecto Datos (OKR´s)'!$K176),"")</f>
      </c>
      <c r="U176" s="202">
        <f>IF($C176,MEDIAN(0,(TODAY()-'Proyecto Datos (OKR´s)'!$K176)/MAX(1,$R176-'Proyecto Datos (OKR´s)'!$K176),1),"")</f>
      </c>
      <c r="V176" s="202">
        <f>IF($C176,$I176-$U176,"")</f>
      </c>
      <c r="W176" s="202">
        <f>IF($C176,IF(OR($J176="Completado",NOT(ISNUMBER($H176))),0,MAX(0,TODAY()-$H176)),"")</f>
      </c>
      <c r="X176" s="202">
        <f>IF($C176,IF(ISNUMBER($H176),$R176-$H176,0),"")</f>
      </c>
      <c r="Y176" s="202">
        <f>IF($C176,COUNTIFS($G$7:$G$200,$G176,$J$7:$J$200,"&lt;&gt;Completado",$J$7:$J$200,"&lt;&gt;"),"")</f>
      </c>
      <c r="Z176" s="202">
        <f>IF($C176,AND($I176=0,'Proyecto Datos (OKR´s)'!$K176&lt;=TODAY(),$J176&lt;&gt;"Completado"),"")</f>
      </c>
      <c r="AA176" s="202">
        <f>IF($C176,ROUND(100*(0.35*$AK176+0.3*$AL176+0.2*$AM176+0.15*MEDIAN(0,($Y176-4)/8,1)),0),"")</f>
      </c>
      <c r="AB176" s="203">
        <f>IF($C176,IF(OR($J176="Completado",$J176="Sin fecha"),"—",IF($AA176&gt;=70,"Crítica",IF($AA176&gt;=45,"Alta",IF($AA176&gt;=25,"Media","Baja")))),"")</f>
      </c>
      <c r="AC176" s="203">
        <f>IF($C176,IF(LEN(TRIM($AN176))=0,"—",TRIM($AN176)),"")</f>
      </c>
      <c r="AD176" s="202">
        <f>IF($C176,$AV176,"")</f>
      </c>
      <c r="AE176" s="202">
        <f>IF($C176,$AZ176,"")</f>
      </c>
      <c r="AF176" s="202" t="b">
        <f>IF($C176,$AV176&lt;&gt;$AR176,FALSE)</f>
        <v>0</v>
      </c>
      <c r="AG176" s="202">
        <f>IF($C176,IF($AV176&lt;&gt;$AR176,$AW176,""),"")</f>
      </c>
      <c r="AH176" s="203">
        <f>IF($C176,IF(ISBLANK('Backlog General'!$K176),"",'Backlog General'!$K176),"")</f>
      </c>
      <c r="AI176" s="202">
        <f>IF($C176,$AV176*100000+ROW(),"")</f>
      </c>
      <c r="AJ176" s="202">
        <f>IF(AND($C176,ISNUMBER($H176)),$AA176*1000000-MEDIAN(-9999,$K176,9999)*100+(300-ROW()),"")</f>
      </c>
      <c r="AK176" s="202">
        <f>IF($C176,IF($J176="Completado",0,IF($K176&lt;0,1,IF($K176&lt;=3,0.9,IF($K176&lt;=7,0.7,IF($K176&lt;=14,0.45,0.2))))),"")</f>
      </c>
      <c r="AL176" s="202">
        <f>IF($C176,IF($J176="Completado",0,MEDIAN(0,MAX(-$V176,$W176/30),1)),"")</f>
      </c>
      <c r="AM176" s="202">
        <f>IF($C176,IF($J176="Completado",0,IF($Z176,1,IF(AND($I176&lt;0.5,$K176&lt;=7),0.7,0.3))),"")</f>
      </c>
      <c r="AN176" s="203">
        <f>IF($C176,IF(OR($V176&lt;-0.2,$W176&gt;0),"ATRASO ","")&amp;IF($Z176,"BLOQUEO ","")&amp;IF($Y176&gt;8,"SOBRECARGA ","")&amp;IF($X176&gt;0,"DESVÍO-PLAN ",""),"")</f>
      </c>
      <c r="AO176" s="203">
        <f>IF($C176,IFERROR(VLOOKUP($D176,'Sprints'!$I$5:$J$12,2,FALSE),"Semanal"),"")</f>
      </c>
      <c r="AP176" s="202">
        <f>IF($C176,IFERROR(VLOOKUP($AO176,'Sprints'!$B$9:$C$11,2,FALSE),1),"")</f>
      </c>
      <c r="AQ176" s="202">
        <f>IF($C176,'Sprints'!$C$5,"")</f>
      </c>
      <c r="AR176" s="202">
        <f>IF(AND($C176,ISNUMBER($H176)),CEILING(MAX(1,INT(($H176-$AQ176+'Sprints'!$D$5-1)/'Sprints'!$D$5)+1)/$AP176,1),"")</f>
      </c>
      <c r="AS176" s="202">
        <f>IF($C176,CEILING(MAX(1,INT((TODAY()-$AQ176+'Sprints'!$D$5-1)/'Sprints'!$D$5)+1)/$AP176,1),"")</f>
      </c>
      <c r="AT176" s="203">
        <f>IF($C176,'Backlog General'!$G176,"")</f>
      </c>
      <c r="AU176" s="203">
        <f>IF($C176,'Backlog General'!$H176,"")</f>
      </c>
      <c r="AV176" s="202">
        <f>IF(AND($C176,ISNUMBER($AR176)),IF(OR($AT176="Completo",$AU176="Cancelado",$AU176="Baja prioridad"),$AR176,IF($AU176="Pasa al siguiente",MAX($AR176+1,$AS176),MAX($AR176,$AS176))),"")</f>
      </c>
      <c r="AW176" s="202">
        <f>IF(AND($C176,ISNUMBER($AR176)),$AQ176+$AR176*$AP176*'Sprints'!$D$5-'Sprints'!$D$5,"")</f>
      </c>
      <c r="AX176" s="202">
        <f>IF($C176,IF(OR($AT176="Completo",$AU176="Cancelado",$AU176="Baja prioridad",NOT(ISNUMBER($AW176))),0,IF(TODAY()&gt;$AW176,NETWORKDAYS($AW176,TODAY(),'Sprints'!$L$5:$L$40)-1,0)),"")</f>
      </c>
      <c r="AY176" s="203">
        <f>IF($C176,IF(NOT(ISNUMBER($AR176)),"Sin fecha",IF($AT176="Completo","Completo",IF($AU176="Cancelado","Cancelado",IF($AU176="Baja prioridad","Baja prioridad",IF($AX176&gt;0,"Vencida","Pendiente"))))),"")</f>
      </c>
      <c r="AZ176" s="203">
        <f>IF($C176,IF(ISNUMBER($AV176),$AO176&amp;" · S"&amp;$AV176,"(Sin fecha)"),"")</f>
      </c>
      <c r="BA176" s="202">
        <f>IF($C176,IF(AND(ISNUMBER('Backlog General'!$M176),'Backlog General'!$M176=$AS176),"Nuevo S"&amp;'Backlog General'!$M176,""),"")</f>
      </c>
      <c r="BB176" s="202">
        <f>IF(AND($C176,$AO176="Semanal",ISNUMBER($AV176)),$AV176*100000+ROW(),"")</f>
      </c>
      <c r="BC176" s="202">
        <f>IF(AND($C176,$AO176="Quincenal",ISNUMBER($AV176)),$AV176*100000+ROW(),"")</f>
      </c>
      <c r="BD176" s="202">
        <f>IF(AND($C176,$AO176="Mensual",ISNUMBER($AV176)),$AV176*100000+ROW(),"")</f>
      </c>
      <c r="BE176" s="203">
        <f>IF($C176,IF(ISBLANK('Backlog General'!$J176),"",'Backlog General'!$J176),"")</f>
      </c>
      <c r="BF176" s="203">
        <f>IF($C176,IF($BE176="","",$BE176)&amp;IF(AND($BE176&lt;&gt;"",$AH176&lt;&gt;"")," · ","")&amp;IF($AH176="","",$AH176),"")</f>
      </c>
      <c r="BG176" s="203">
        <f>IF($C176,IF($J176="Completado","Sí","No"),"")</f>
      </c>
      <c r="BH176" s="202">
        <f>IF(AND($C176,ISNUMBER($AR176)),IF($AO176="Semanal",1,IF($AO176="Quincenal",2,3))*1000000000+$AR176*100000+ROW(),"")</f>
      </c>
    </row>
    <row r="177">
      <c r="A177" s="202">
        <f>ROW()</f>
        <v>177</v>
      </c>
      <c r="B177" s="202" t="b">
        <f>ISTEXT('Proyecto Datos (OKR´s)'!$K177)</f>
        <v>0</v>
      </c>
      <c r="C177" s="202" t="b">
        <f>AND(LEN('Proyecto Datos (OKR´s)'!$G177)&gt;0,NOT($B177),OR(ISNUMBER('Proyecto Datos (OKR´s)'!$F177),ISNUMBER('Proyecto Datos (OKR´s)'!$L177)))</f>
        <v>0</v>
      </c>
      <c r="D177" s="203">
        <f>IF($C177,IFERROR(LOOKUP(2,1/((ISTEXT('Proyecto Datos (OKR´s)'!$K$7:$K177))*(LEN('Proyecto Datos (OKR´s)'!$G$7:$G177)&gt;0)),'Proyecto Datos (OKR´s)'!$G$7:$G177),""),"")</f>
      </c>
      <c r="E177" s="202">
        <f>IF($C177,'Proyecto Datos (OKR´s)'!$E177,"")</f>
      </c>
      <c r="F177" s="203">
        <f>IF($C177,'Proyecto Datos (OKR´s)'!$G177,"")</f>
      </c>
      <c r="G177" s="203">
        <f>IF($C177,IF('Proyecto Datos (OKR´s)'!$I177="","(Sin asignar)",'Proyecto Datos (OKR´s)'!$I177),"")</f>
      </c>
      <c r="H177" s="202">
        <f>IF($C177,IF(ISNUMBER('Proyecto Datos (OKR´s)'!$F177),'Proyecto Datos (OKR´s)'!$F177,""),"")</f>
      </c>
      <c r="I177" s="202">
        <f>IF($C177,'Proyecto Datos (OKR´s)'!$J177,"")</f>
      </c>
      <c r="J177" s="203">
        <f>IF($C177,IF($I177&gt;=1,"Completado",IF(NOT(ISNUMBER($H177)),"Sin fecha",IF($H177&lt;TODAY(),"Vencido",IF(($H177-TODAY())&lt;='Entregas Próximas'!$M$3,"Próximo a vencer","En curso")))),"")</f>
      </c>
      <c r="K177" s="202">
        <f>IF(AND($C177,ISNUMBER($H177)),$H177-TODAY(),"")</f>
      </c>
      <c r="L177" s="202">
        <f>IF(AND($C177,ISNUMBER($H177)),$AD177*1000000+$H177+ROW()/100000,"")</f>
      </c>
      <c r="M177" s="202">
        <f>IF($C177,IF($AD177=9999,"(Sin sprint)",$AD177),"")</f>
      </c>
      <c r="N177" s="202">
        <f>IF($C177,IF('Proyecto Datos (OKR´s)'!$E177="",9999,'Proyecto Datos (OKR´s)'!$E177),"")</f>
      </c>
      <c r="O177" s="202">
        <f>IF($C177,"T"&amp;TEXT(ROW(),"000"),"")</f>
      </c>
      <c r="R177" s="202">
        <f>IF($C177,IF(ISNUMBER('Proyecto Datos (OKR´s)'!$L177),'Proyecto Datos (OKR´s)'!$L177,$H177),"")</f>
      </c>
      <c r="S177" s="202">
        <f>IF($C177,$R177-'Proyecto Datos (OKR´s)'!$K177+1,"")</f>
      </c>
      <c r="T177" s="202">
        <f>IF($C177,MAX(0,TODAY()-'Proyecto Datos (OKR´s)'!$K177),"")</f>
      </c>
      <c r="U177" s="202">
        <f>IF($C177,MEDIAN(0,(TODAY()-'Proyecto Datos (OKR´s)'!$K177)/MAX(1,$R177-'Proyecto Datos (OKR´s)'!$K177),1),"")</f>
      </c>
      <c r="V177" s="202">
        <f>IF($C177,$I177-$U177,"")</f>
      </c>
      <c r="W177" s="202">
        <f>IF($C177,IF(OR($J177="Completado",NOT(ISNUMBER($H177))),0,MAX(0,TODAY()-$H177)),"")</f>
      </c>
      <c r="X177" s="202">
        <f>IF($C177,IF(ISNUMBER($H177),$R177-$H177,0),"")</f>
      </c>
      <c r="Y177" s="202">
        <f>IF($C177,COUNTIFS($G$7:$G$200,$G177,$J$7:$J$200,"&lt;&gt;Completado",$J$7:$J$200,"&lt;&gt;"),"")</f>
      </c>
      <c r="Z177" s="202">
        <f>IF($C177,AND($I177=0,'Proyecto Datos (OKR´s)'!$K177&lt;=TODAY(),$J177&lt;&gt;"Completado"),"")</f>
      </c>
      <c r="AA177" s="202">
        <f>IF($C177,ROUND(100*(0.35*$AK177+0.3*$AL177+0.2*$AM177+0.15*MEDIAN(0,($Y177-4)/8,1)),0),"")</f>
      </c>
      <c r="AB177" s="203">
        <f>IF($C177,IF(OR($J177="Completado",$J177="Sin fecha"),"—",IF($AA177&gt;=70,"Crítica",IF($AA177&gt;=45,"Alta",IF($AA177&gt;=25,"Media","Baja")))),"")</f>
      </c>
      <c r="AC177" s="203">
        <f>IF($C177,IF(LEN(TRIM($AN177))=0,"—",TRIM($AN177)),"")</f>
      </c>
      <c r="AD177" s="202">
        <f>IF($C177,$AV177,"")</f>
      </c>
      <c r="AE177" s="202">
        <f>IF($C177,$AZ177,"")</f>
      </c>
      <c r="AF177" s="202" t="b">
        <f>IF($C177,$AV177&lt;&gt;$AR177,FALSE)</f>
        <v>0</v>
      </c>
      <c r="AG177" s="202">
        <f>IF($C177,IF($AV177&lt;&gt;$AR177,$AW177,""),"")</f>
      </c>
      <c r="AH177" s="203">
        <f>IF($C177,IF(ISBLANK('Backlog General'!$K177),"",'Backlog General'!$K177),"")</f>
      </c>
      <c r="AI177" s="202">
        <f>IF($C177,$AV177*100000+ROW(),"")</f>
      </c>
      <c r="AJ177" s="202">
        <f>IF(AND($C177,ISNUMBER($H177)),$AA177*1000000-MEDIAN(-9999,$K177,9999)*100+(300-ROW()),"")</f>
      </c>
      <c r="AK177" s="202">
        <f>IF($C177,IF($J177="Completado",0,IF($K177&lt;0,1,IF($K177&lt;=3,0.9,IF($K177&lt;=7,0.7,IF($K177&lt;=14,0.45,0.2))))),"")</f>
      </c>
      <c r="AL177" s="202">
        <f>IF($C177,IF($J177="Completado",0,MEDIAN(0,MAX(-$V177,$W177/30),1)),"")</f>
      </c>
      <c r="AM177" s="202">
        <f>IF($C177,IF($J177="Completado",0,IF($Z177,1,IF(AND($I177&lt;0.5,$K177&lt;=7),0.7,0.3))),"")</f>
      </c>
      <c r="AN177" s="203">
        <f>IF($C177,IF(OR($V177&lt;-0.2,$W177&gt;0),"ATRASO ","")&amp;IF($Z177,"BLOQUEO ","")&amp;IF($Y177&gt;8,"SOBRECARGA ","")&amp;IF($X177&gt;0,"DESVÍO-PLAN ",""),"")</f>
      </c>
      <c r="AO177" s="203">
        <f>IF($C177,IFERROR(VLOOKUP($D177,'Sprints'!$I$5:$J$12,2,FALSE),"Semanal"),"")</f>
      </c>
      <c r="AP177" s="202">
        <f>IF($C177,IFERROR(VLOOKUP($AO177,'Sprints'!$B$9:$C$11,2,FALSE),1),"")</f>
      </c>
      <c r="AQ177" s="202">
        <f>IF($C177,'Sprints'!$C$5,"")</f>
      </c>
      <c r="AR177" s="202">
        <f>IF(AND($C177,ISNUMBER($H177)),CEILING(MAX(1,INT(($H177-$AQ177+'Sprints'!$D$5-1)/'Sprints'!$D$5)+1)/$AP177,1),"")</f>
      </c>
      <c r="AS177" s="202">
        <f>IF($C177,CEILING(MAX(1,INT((TODAY()-$AQ177+'Sprints'!$D$5-1)/'Sprints'!$D$5)+1)/$AP177,1),"")</f>
      </c>
      <c r="AT177" s="203">
        <f>IF($C177,'Backlog General'!$G177,"")</f>
      </c>
      <c r="AU177" s="203">
        <f>IF($C177,'Backlog General'!$H177,"")</f>
      </c>
      <c r="AV177" s="202">
        <f>IF(AND($C177,ISNUMBER($AR177)),IF(OR($AT177="Completo",$AU177="Cancelado",$AU177="Baja prioridad"),$AR177,IF($AU177="Pasa al siguiente",MAX($AR177+1,$AS177),MAX($AR177,$AS177))),"")</f>
      </c>
      <c r="AW177" s="202">
        <f>IF(AND($C177,ISNUMBER($AR177)),$AQ177+$AR177*$AP177*'Sprints'!$D$5-'Sprints'!$D$5,"")</f>
      </c>
      <c r="AX177" s="202">
        <f>IF($C177,IF(OR($AT177="Completo",$AU177="Cancelado",$AU177="Baja prioridad",NOT(ISNUMBER($AW177))),0,IF(TODAY()&gt;$AW177,NETWORKDAYS($AW177,TODAY(),'Sprints'!$L$5:$L$40)-1,0)),"")</f>
      </c>
      <c r="AY177" s="203">
        <f>IF($C177,IF(NOT(ISNUMBER($AR177)),"Sin fecha",IF($AT177="Completo","Completo",IF($AU177="Cancelado","Cancelado",IF($AU177="Baja prioridad","Baja prioridad",IF($AX177&gt;0,"Vencida","Pendiente"))))),"")</f>
      </c>
      <c r="AZ177" s="203">
        <f>IF($C177,IF(ISNUMBER($AV177),$AO177&amp;" · S"&amp;$AV177,"(Sin fecha)"),"")</f>
      </c>
      <c r="BA177" s="202">
        <f>IF($C177,IF(AND(ISNUMBER('Backlog General'!$M177),'Backlog General'!$M177=$AS177),"Nuevo S"&amp;'Backlog General'!$M177,""),"")</f>
      </c>
      <c r="BB177" s="202">
        <f>IF(AND($C177,$AO177="Semanal",ISNUMBER($AV177)),$AV177*100000+ROW(),"")</f>
      </c>
      <c r="BC177" s="202">
        <f>IF(AND($C177,$AO177="Quincenal",ISNUMBER($AV177)),$AV177*100000+ROW(),"")</f>
      </c>
      <c r="BD177" s="202">
        <f>IF(AND($C177,$AO177="Mensual",ISNUMBER($AV177)),$AV177*100000+ROW(),"")</f>
      </c>
      <c r="BE177" s="203">
        <f>IF($C177,IF(ISBLANK('Backlog General'!$J177),"",'Backlog General'!$J177),"")</f>
      </c>
      <c r="BF177" s="203">
        <f>IF($C177,IF($BE177="","",$BE177)&amp;IF(AND($BE177&lt;&gt;"",$AH177&lt;&gt;"")," · ","")&amp;IF($AH177="","",$AH177),"")</f>
      </c>
      <c r="BG177" s="203">
        <f>IF($C177,IF($J177="Completado","Sí","No"),"")</f>
      </c>
      <c r="BH177" s="202">
        <f>IF(AND($C177,ISNUMBER($AR177)),IF($AO177="Semanal",1,IF($AO177="Quincenal",2,3))*1000000000+$AR177*100000+ROW(),"")</f>
      </c>
    </row>
    <row r="178">
      <c r="A178" s="202">
        <f>ROW()</f>
        <v>178</v>
      </c>
      <c r="B178" s="202" t="b">
        <f>ISTEXT('Proyecto Datos (OKR´s)'!$K178)</f>
        <v>0</v>
      </c>
      <c r="C178" s="202" t="b">
        <f>AND(LEN('Proyecto Datos (OKR´s)'!$G178)&gt;0,NOT($B178),OR(ISNUMBER('Proyecto Datos (OKR´s)'!$F178),ISNUMBER('Proyecto Datos (OKR´s)'!$L178)))</f>
        <v>0</v>
      </c>
      <c r="D178" s="203">
        <f>IF($C178,IFERROR(LOOKUP(2,1/((ISTEXT('Proyecto Datos (OKR´s)'!$K$7:$K178))*(LEN('Proyecto Datos (OKR´s)'!$G$7:$G178)&gt;0)),'Proyecto Datos (OKR´s)'!$G$7:$G178),""),"")</f>
      </c>
      <c r="E178" s="202">
        <f>IF($C178,'Proyecto Datos (OKR´s)'!$E178,"")</f>
      </c>
      <c r="F178" s="203">
        <f>IF($C178,'Proyecto Datos (OKR´s)'!$G178,"")</f>
      </c>
      <c r="G178" s="203">
        <f>IF($C178,IF('Proyecto Datos (OKR´s)'!$I178="","(Sin asignar)",'Proyecto Datos (OKR´s)'!$I178),"")</f>
      </c>
      <c r="H178" s="202">
        <f>IF($C178,IF(ISNUMBER('Proyecto Datos (OKR´s)'!$F178),'Proyecto Datos (OKR´s)'!$F178,""),"")</f>
      </c>
      <c r="I178" s="202">
        <f>IF($C178,'Proyecto Datos (OKR´s)'!$J178,"")</f>
      </c>
      <c r="J178" s="203">
        <f>IF($C178,IF($I178&gt;=1,"Completado",IF(NOT(ISNUMBER($H178)),"Sin fecha",IF($H178&lt;TODAY(),"Vencido",IF(($H178-TODAY())&lt;='Entregas Próximas'!$M$3,"Próximo a vencer","En curso")))),"")</f>
      </c>
      <c r="K178" s="202">
        <f>IF(AND($C178,ISNUMBER($H178)),$H178-TODAY(),"")</f>
      </c>
      <c r="L178" s="202">
        <f>IF(AND($C178,ISNUMBER($H178)),$AD178*1000000+$H178+ROW()/100000,"")</f>
      </c>
      <c r="M178" s="202">
        <f>IF($C178,IF($AD178=9999,"(Sin sprint)",$AD178),"")</f>
      </c>
      <c r="N178" s="202">
        <f>IF($C178,IF('Proyecto Datos (OKR´s)'!$E178="",9999,'Proyecto Datos (OKR´s)'!$E178),"")</f>
      </c>
      <c r="O178" s="202">
        <f>IF($C178,"T"&amp;TEXT(ROW(),"000"),"")</f>
      </c>
      <c r="R178" s="202">
        <f>IF($C178,IF(ISNUMBER('Proyecto Datos (OKR´s)'!$L178),'Proyecto Datos (OKR´s)'!$L178,$H178),"")</f>
      </c>
      <c r="S178" s="202">
        <f>IF($C178,$R178-'Proyecto Datos (OKR´s)'!$K178+1,"")</f>
      </c>
      <c r="T178" s="202">
        <f>IF($C178,MAX(0,TODAY()-'Proyecto Datos (OKR´s)'!$K178),"")</f>
      </c>
      <c r="U178" s="202">
        <f>IF($C178,MEDIAN(0,(TODAY()-'Proyecto Datos (OKR´s)'!$K178)/MAX(1,$R178-'Proyecto Datos (OKR´s)'!$K178),1),"")</f>
      </c>
      <c r="V178" s="202">
        <f>IF($C178,$I178-$U178,"")</f>
      </c>
      <c r="W178" s="202">
        <f>IF($C178,IF(OR($J178="Completado",NOT(ISNUMBER($H178))),0,MAX(0,TODAY()-$H178)),"")</f>
      </c>
      <c r="X178" s="202">
        <f>IF($C178,IF(ISNUMBER($H178),$R178-$H178,0),"")</f>
      </c>
      <c r="Y178" s="202">
        <f>IF($C178,COUNTIFS($G$7:$G$200,$G178,$J$7:$J$200,"&lt;&gt;Completado",$J$7:$J$200,"&lt;&gt;"),"")</f>
      </c>
      <c r="Z178" s="202">
        <f>IF($C178,AND($I178=0,'Proyecto Datos (OKR´s)'!$K178&lt;=TODAY(),$J178&lt;&gt;"Completado"),"")</f>
      </c>
      <c r="AA178" s="202">
        <f>IF($C178,ROUND(100*(0.35*$AK178+0.3*$AL178+0.2*$AM178+0.15*MEDIAN(0,($Y178-4)/8,1)),0),"")</f>
      </c>
      <c r="AB178" s="203">
        <f>IF($C178,IF(OR($J178="Completado",$J178="Sin fecha"),"—",IF($AA178&gt;=70,"Crítica",IF($AA178&gt;=45,"Alta",IF($AA178&gt;=25,"Media","Baja")))),"")</f>
      </c>
      <c r="AC178" s="203">
        <f>IF($C178,IF(LEN(TRIM($AN178))=0,"—",TRIM($AN178)),"")</f>
      </c>
      <c r="AD178" s="202">
        <f>IF($C178,$AV178,"")</f>
      </c>
      <c r="AE178" s="202">
        <f>IF($C178,$AZ178,"")</f>
      </c>
      <c r="AF178" s="202" t="b">
        <f>IF($C178,$AV178&lt;&gt;$AR178,FALSE)</f>
        <v>0</v>
      </c>
      <c r="AG178" s="202">
        <f>IF($C178,IF($AV178&lt;&gt;$AR178,$AW178,""),"")</f>
      </c>
      <c r="AH178" s="203">
        <f>IF($C178,IF(ISBLANK('Backlog General'!$K178),"",'Backlog General'!$K178),"")</f>
      </c>
      <c r="AI178" s="202">
        <f>IF($C178,$AV178*100000+ROW(),"")</f>
      </c>
      <c r="AJ178" s="202">
        <f>IF(AND($C178,ISNUMBER($H178)),$AA178*1000000-MEDIAN(-9999,$K178,9999)*100+(300-ROW()),"")</f>
      </c>
      <c r="AK178" s="202">
        <f>IF($C178,IF($J178="Completado",0,IF($K178&lt;0,1,IF($K178&lt;=3,0.9,IF($K178&lt;=7,0.7,IF($K178&lt;=14,0.45,0.2))))),"")</f>
      </c>
      <c r="AL178" s="202">
        <f>IF($C178,IF($J178="Completado",0,MEDIAN(0,MAX(-$V178,$W178/30),1)),"")</f>
      </c>
      <c r="AM178" s="202">
        <f>IF($C178,IF($J178="Completado",0,IF($Z178,1,IF(AND($I178&lt;0.5,$K178&lt;=7),0.7,0.3))),"")</f>
      </c>
      <c r="AN178" s="203">
        <f>IF($C178,IF(OR($V178&lt;-0.2,$W178&gt;0),"ATRASO ","")&amp;IF($Z178,"BLOQUEO ","")&amp;IF($Y178&gt;8,"SOBRECARGA ","")&amp;IF($X178&gt;0,"DESVÍO-PLAN ",""),"")</f>
      </c>
      <c r="AO178" s="203">
        <f>IF($C178,IFERROR(VLOOKUP($D178,'Sprints'!$I$5:$J$12,2,FALSE),"Semanal"),"")</f>
      </c>
      <c r="AP178" s="202">
        <f>IF($C178,IFERROR(VLOOKUP($AO178,'Sprints'!$B$9:$C$11,2,FALSE),1),"")</f>
      </c>
      <c r="AQ178" s="202">
        <f>IF($C178,'Sprints'!$C$5,"")</f>
      </c>
      <c r="AR178" s="202">
        <f>IF(AND($C178,ISNUMBER($H178)),CEILING(MAX(1,INT(($H178-$AQ178+'Sprints'!$D$5-1)/'Sprints'!$D$5)+1)/$AP178,1),"")</f>
      </c>
      <c r="AS178" s="202">
        <f>IF($C178,CEILING(MAX(1,INT((TODAY()-$AQ178+'Sprints'!$D$5-1)/'Sprints'!$D$5)+1)/$AP178,1),"")</f>
      </c>
      <c r="AT178" s="203">
        <f>IF($C178,'Backlog General'!$G178,"")</f>
      </c>
      <c r="AU178" s="203">
        <f>IF($C178,'Backlog General'!$H178,"")</f>
      </c>
      <c r="AV178" s="202">
        <f>IF(AND($C178,ISNUMBER($AR178)),IF(OR($AT178="Completo",$AU178="Cancelado",$AU178="Baja prioridad"),$AR178,IF($AU178="Pasa al siguiente",MAX($AR178+1,$AS178),MAX($AR178,$AS178))),"")</f>
      </c>
      <c r="AW178" s="202">
        <f>IF(AND($C178,ISNUMBER($AR178)),$AQ178+$AR178*$AP178*'Sprints'!$D$5-'Sprints'!$D$5,"")</f>
      </c>
      <c r="AX178" s="202">
        <f>IF($C178,IF(OR($AT178="Completo",$AU178="Cancelado",$AU178="Baja prioridad",NOT(ISNUMBER($AW178))),0,IF(TODAY()&gt;$AW178,NETWORKDAYS($AW178,TODAY(),'Sprints'!$L$5:$L$40)-1,0)),"")</f>
      </c>
      <c r="AY178" s="203">
        <f>IF($C178,IF(NOT(ISNUMBER($AR178)),"Sin fecha",IF($AT178="Completo","Completo",IF($AU178="Cancelado","Cancelado",IF($AU178="Baja prioridad","Baja prioridad",IF($AX178&gt;0,"Vencida","Pendiente"))))),"")</f>
      </c>
      <c r="AZ178" s="203">
        <f>IF($C178,IF(ISNUMBER($AV178),$AO178&amp;" · S"&amp;$AV178,"(Sin fecha)"),"")</f>
      </c>
      <c r="BA178" s="202">
        <f>IF($C178,IF(AND(ISNUMBER('Backlog General'!$M178),'Backlog General'!$M178=$AS178),"Nuevo S"&amp;'Backlog General'!$M178,""),"")</f>
      </c>
      <c r="BB178" s="202">
        <f>IF(AND($C178,$AO178="Semanal",ISNUMBER($AV178)),$AV178*100000+ROW(),"")</f>
      </c>
      <c r="BC178" s="202">
        <f>IF(AND($C178,$AO178="Quincenal",ISNUMBER($AV178)),$AV178*100000+ROW(),"")</f>
      </c>
      <c r="BD178" s="202">
        <f>IF(AND($C178,$AO178="Mensual",ISNUMBER($AV178)),$AV178*100000+ROW(),"")</f>
      </c>
      <c r="BE178" s="203">
        <f>IF($C178,IF(ISBLANK('Backlog General'!$J178),"",'Backlog General'!$J178),"")</f>
      </c>
      <c r="BF178" s="203">
        <f>IF($C178,IF($BE178="","",$BE178)&amp;IF(AND($BE178&lt;&gt;"",$AH178&lt;&gt;"")," · ","")&amp;IF($AH178="","",$AH178),"")</f>
      </c>
      <c r="BG178" s="203">
        <f>IF($C178,IF($J178="Completado","Sí","No"),"")</f>
      </c>
      <c r="BH178" s="202">
        <f>IF(AND($C178,ISNUMBER($AR178)),IF($AO178="Semanal",1,IF($AO178="Quincenal",2,3))*1000000000+$AR178*100000+ROW(),"")</f>
      </c>
    </row>
    <row r="179">
      <c r="A179" s="202">
        <f>ROW()</f>
        <v>179</v>
      </c>
      <c r="B179" s="202" t="b">
        <f>ISTEXT('Proyecto Datos (OKR´s)'!$K179)</f>
        <v>0</v>
      </c>
      <c r="C179" s="202" t="b">
        <f>AND(LEN('Proyecto Datos (OKR´s)'!$G179)&gt;0,NOT($B179),OR(ISNUMBER('Proyecto Datos (OKR´s)'!$F179),ISNUMBER('Proyecto Datos (OKR´s)'!$L179)))</f>
        <v>0</v>
      </c>
      <c r="D179" s="203">
        <f>IF($C179,IFERROR(LOOKUP(2,1/((ISTEXT('Proyecto Datos (OKR´s)'!$K$7:$K179))*(LEN('Proyecto Datos (OKR´s)'!$G$7:$G179)&gt;0)),'Proyecto Datos (OKR´s)'!$G$7:$G179),""),"")</f>
      </c>
      <c r="E179" s="202">
        <f>IF($C179,'Proyecto Datos (OKR´s)'!$E179,"")</f>
      </c>
      <c r="F179" s="203">
        <f>IF($C179,'Proyecto Datos (OKR´s)'!$G179,"")</f>
      </c>
      <c r="G179" s="203">
        <f>IF($C179,IF('Proyecto Datos (OKR´s)'!$I179="","(Sin asignar)",'Proyecto Datos (OKR´s)'!$I179),"")</f>
      </c>
      <c r="H179" s="202">
        <f>IF($C179,IF(ISNUMBER('Proyecto Datos (OKR´s)'!$F179),'Proyecto Datos (OKR´s)'!$F179,""),"")</f>
      </c>
      <c r="I179" s="202">
        <f>IF($C179,'Proyecto Datos (OKR´s)'!$J179,"")</f>
      </c>
      <c r="J179" s="203">
        <f>IF($C179,IF($I179&gt;=1,"Completado",IF(NOT(ISNUMBER($H179)),"Sin fecha",IF($H179&lt;TODAY(),"Vencido",IF(($H179-TODAY())&lt;='Entregas Próximas'!$M$3,"Próximo a vencer","En curso")))),"")</f>
      </c>
      <c r="K179" s="202">
        <f>IF(AND($C179,ISNUMBER($H179)),$H179-TODAY(),"")</f>
      </c>
      <c r="L179" s="202">
        <f>IF(AND($C179,ISNUMBER($H179)),$AD179*1000000+$H179+ROW()/100000,"")</f>
      </c>
      <c r="M179" s="202">
        <f>IF($C179,IF($AD179=9999,"(Sin sprint)",$AD179),"")</f>
      </c>
      <c r="N179" s="202">
        <f>IF($C179,IF('Proyecto Datos (OKR´s)'!$E179="",9999,'Proyecto Datos (OKR´s)'!$E179),"")</f>
      </c>
      <c r="O179" s="202">
        <f>IF($C179,"T"&amp;TEXT(ROW(),"000"),"")</f>
      </c>
      <c r="R179" s="202">
        <f>IF($C179,IF(ISNUMBER('Proyecto Datos (OKR´s)'!$L179),'Proyecto Datos (OKR´s)'!$L179,$H179),"")</f>
      </c>
      <c r="S179" s="202">
        <f>IF($C179,$R179-'Proyecto Datos (OKR´s)'!$K179+1,"")</f>
      </c>
      <c r="T179" s="202">
        <f>IF($C179,MAX(0,TODAY()-'Proyecto Datos (OKR´s)'!$K179),"")</f>
      </c>
      <c r="U179" s="202">
        <f>IF($C179,MEDIAN(0,(TODAY()-'Proyecto Datos (OKR´s)'!$K179)/MAX(1,$R179-'Proyecto Datos (OKR´s)'!$K179),1),"")</f>
      </c>
      <c r="V179" s="202">
        <f>IF($C179,$I179-$U179,"")</f>
      </c>
      <c r="W179" s="202">
        <f>IF($C179,IF(OR($J179="Completado",NOT(ISNUMBER($H179))),0,MAX(0,TODAY()-$H179)),"")</f>
      </c>
      <c r="X179" s="202">
        <f>IF($C179,IF(ISNUMBER($H179),$R179-$H179,0),"")</f>
      </c>
      <c r="Y179" s="202">
        <f>IF($C179,COUNTIFS($G$7:$G$200,$G179,$J$7:$J$200,"&lt;&gt;Completado",$J$7:$J$200,"&lt;&gt;"),"")</f>
      </c>
      <c r="Z179" s="202">
        <f>IF($C179,AND($I179=0,'Proyecto Datos (OKR´s)'!$K179&lt;=TODAY(),$J179&lt;&gt;"Completado"),"")</f>
      </c>
      <c r="AA179" s="202">
        <f>IF($C179,ROUND(100*(0.35*$AK179+0.3*$AL179+0.2*$AM179+0.15*MEDIAN(0,($Y179-4)/8,1)),0),"")</f>
      </c>
      <c r="AB179" s="203">
        <f>IF($C179,IF(OR($J179="Completado",$J179="Sin fecha"),"—",IF($AA179&gt;=70,"Crítica",IF($AA179&gt;=45,"Alta",IF($AA179&gt;=25,"Media","Baja")))),"")</f>
      </c>
      <c r="AC179" s="203">
        <f>IF($C179,IF(LEN(TRIM($AN179))=0,"—",TRIM($AN179)),"")</f>
      </c>
      <c r="AD179" s="202">
        <f>IF($C179,$AV179,"")</f>
      </c>
      <c r="AE179" s="202">
        <f>IF($C179,$AZ179,"")</f>
      </c>
      <c r="AF179" s="202" t="b">
        <f>IF($C179,$AV179&lt;&gt;$AR179,FALSE)</f>
        <v>0</v>
      </c>
      <c r="AG179" s="202">
        <f>IF($C179,IF($AV179&lt;&gt;$AR179,$AW179,""),"")</f>
      </c>
      <c r="AH179" s="203">
        <f>IF($C179,IF(ISBLANK('Backlog General'!$K179),"",'Backlog General'!$K179),"")</f>
      </c>
      <c r="AI179" s="202">
        <f>IF($C179,$AV179*100000+ROW(),"")</f>
      </c>
      <c r="AJ179" s="202">
        <f>IF(AND($C179,ISNUMBER($H179)),$AA179*1000000-MEDIAN(-9999,$K179,9999)*100+(300-ROW()),"")</f>
      </c>
      <c r="AK179" s="202">
        <f>IF($C179,IF($J179="Completado",0,IF($K179&lt;0,1,IF($K179&lt;=3,0.9,IF($K179&lt;=7,0.7,IF($K179&lt;=14,0.45,0.2))))),"")</f>
      </c>
      <c r="AL179" s="202">
        <f>IF($C179,IF($J179="Completado",0,MEDIAN(0,MAX(-$V179,$W179/30),1)),"")</f>
      </c>
      <c r="AM179" s="202">
        <f>IF($C179,IF($J179="Completado",0,IF($Z179,1,IF(AND($I179&lt;0.5,$K179&lt;=7),0.7,0.3))),"")</f>
      </c>
      <c r="AN179" s="203">
        <f>IF($C179,IF(OR($V179&lt;-0.2,$W179&gt;0),"ATRASO ","")&amp;IF($Z179,"BLOQUEO ","")&amp;IF($Y179&gt;8,"SOBRECARGA ","")&amp;IF($X179&gt;0,"DESVÍO-PLAN ",""),"")</f>
      </c>
      <c r="AO179" s="203">
        <f>IF($C179,IFERROR(VLOOKUP($D179,'Sprints'!$I$5:$J$12,2,FALSE),"Semanal"),"")</f>
      </c>
      <c r="AP179" s="202">
        <f>IF($C179,IFERROR(VLOOKUP($AO179,'Sprints'!$B$9:$C$11,2,FALSE),1),"")</f>
      </c>
      <c r="AQ179" s="202">
        <f>IF($C179,'Sprints'!$C$5,"")</f>
      </c>
      <c r="AR179" s="202">
        <f>IF(AND($C179,ISNUMBER($H179)),CEILING(MAX(1,INT(($H179-$AQ179+'Sprints'!$D$5-1)/'Sprints'!$D$5)+1)/$AP179,1),"")</f>
      </c>
      <c r="AS179" s="202">
        <f>IF($C179,CEILING(MAX(1,INT((TODAY()-$AQ179+'Sprints'!$D$5-1)/'Sprints'!$D$5)+1)/$AP179,1),"")</f>
      </c>
      <c r="AT179" s="203">
        <f>IF($C179,'Backlog General'!$G179,"")</f>
      </c>
      <c r="AU179" s="203">
        <f>IF($C179,'Backlog General'!$H179,"")</f>
      </c>
      <c r="AV179" s="202">
        <f>IF(AND($C179,ISNUMBER($AR179)),IF(OR($AT179="Completo",$AU179="Cancelado",$AU179="Baja prioridad"),$AR179,IF($AU179="Pasa al siguiente",MAX($AR179+1,$AS179),MAX($AR179,$AS179))),"")</f>
      </c>
      <c r="AW179" s="202">
        <f>IF(AND($C179,ISNUMBER($AR179)),$AQ179+$AR179*$AP179*'Sprints'!$D$5-'Sprints'!$D$5,"")</f>
      </c>
      <c r="AX179" s="202">
        <f>IF($C179,IF(OR($AT179="Completo",$AU179="Cancelado",$AU179="Baja prioridad",NOT(ISNUMBER($AW179))),0,IF(TODAY()&gt;$AW179,NETWORKDAYS($AW179,TODAY(),'Sprints'!$L$5:$L$40)-1,0)),"")</f>
      </c>
      <c r="AY179" s="203">
        <f>IF($C179,IF(NOT(ISNUMBER($AR179)),"Sin fecha",IF($AT179="Completo","Completo",IF($AU179="Cancelado","Cancelado",IF($AU179="Baja prioridad","Baja prioridad",IF($AX179&gt;0,"Vencida","Pendiente"))))),"")</f>
      </c>
      <c r="AZ179" s="203">
        <f>IF($C179,IF(ISNUMBER($AV179),$AO179&amp;" · S"&amp;$AV179,"(Sin fecha)"),"")</f>
      </c>
      <c r="BA179" s="202">
        <f>IF($C179,IF(AND(ISNUMBER('Backlog General'!$M179),'Backlog General'!$M179=$AS179),"Nuevo S"&amp;'Backlog General'!$M179,""),"")</f>
      </c>
      <c r="BB179" s="202">
        <f>IF(AND($C179,$AO179="Semanal",ISNUMBER($AV179)),$AV179*100000+ROW(),"")</f>
      </c>
      <c r="BC179" s="202">
        <f>IF(AND($C179,$AO179="Quincenal",ISNUMBER($AV179)),$AV179*100000+ROW(),"")</f>
      </c>
      <c r="BD179" s="202">
        <f>IF(AND($C179,$AO179="Mensual",ISNUMBER($AV179)),$AV179*100000+ROW(),"")</f>
      </c>
      <c r="BE179" s="203">
        <f>IF($C179,IF(ISBLANK('Backlog General'!$J179),"",'Backlog General'!$J179),"")</f>
      </c>
      <c r="BF179" s="203">
        <f>IF($C179,IF($BE179="","",$BE179)&amp;IF(AND($BE179&lt;&gt;"",$AH179&lt;&gt;"")," · ","")&amp;IF($AH179="","",$AH179),"")</f>
      </c>
      <c r="BG179" s="203">
        <f>IF($C179,IF($J179="Completado","Sí","No"),"")</f>
      </c>
      <c r="BH179" s="202">
        <f>IF(AND($C179,ISNUMBER($AR179)),IF($AO179="Semanal",1,IF($AO179="Quincenal",2,3))*1000000000+$AR179*100000+ROW(),"")</f>
      </c>
    </row>
    <row r="180">
      <c r="A180" s="202">
        <f>ROW()</f>
        <v>180</v>
      </c>
      <c r="B180" s="202" t="b">
        <f>ISTEXT('Proyecto Datos (OKR´s)'!$K180)</f>
        <v>0</v>
      </c>
      <c r="C180" s="202" t="b">
        <f>AND(LEN('Proyecto Datos (OKR´s)'!$G180)&gt;0,NOT($B180),OR(ISNUMBER('Proyecto Datos (OKR´s)'!$F180),ISNUMBER('Proyecto Datos (OKR´s)'!$L180)))</f>
        <v>0</v>
      </c>
      <c r="D180" s="203">
        <f>IF($C180,IFERROR(LOOKUP(2,1/((ISTEXT('Proyecto Datos (OKR´s)'!$K$7:$K180))*(LEN('Proyecto Datos (OKR´s)'!$G$7:$G180)&gt;0)),'Proyecto Datos (OKR´s)'!$G$7:$G180),""),"")</f>
      </c>
      <c r="E180" s="202">
        <f>IF($C180,'Proyecto Datos (OKR´s)'!$E180,"")</f>
      </c>
      <c r="F180" s="203">
        <f>IF($C180,'Proyecto Datos (OKR´s)'!$G180,"")</f>
      </c>
      <c r="G180" s="203">
        <f>IF($C180,IF('Proyecto Datos (OKR´s)'!$I180="","(Sin asignar)",'Proyecto Datos (OKR´s)'!$I180),"")</f>
      </c>
      <c r="H180" s="202">
        <f>IF($C180,IF(ISNUMBER('Proyecto Datos (OKR´s)'!$F180),'Proyecto Datos (OKR´s)'!$F180,""),"")</f>
      </c>
      <c r="I180" s="202">
        <f>IF($C180,'Proyecto Datos (OKR´s)'!$J180,"")</f>
      </c>
      <c r="J180" s="203">
        <f>IF($C180,IF($I180&gt;=1,"Completado",IF(NOT(ISNUMBER($H180)),"Sin fecha",IF($H180&lt;TODAY(),"Vencido",IF(($H180-TODAY())&lt;='Entregas Próximas'!$M$3,"Próximo a vencer","En curso")))),"")</f>
      </c>
      <c r="K180" s="202">
        <f>IF(AND($C180,ISNUMBER($H180)),$H180-TODAY(),"")</f>
      </c>
      <c r="L180" s="202">
        <f>IF(AND($C180,ISNUMBER($H180)),$AD180*1000000+$H180+ROW()/100000,"")</f>
      </c>
      <c r="M180" s="202">
        <f>IF($C180,IF($AD180=9999,"(Sin sprint)",$AD180),"")</f>
      </c>
      <c r="N180" s="202">
        <f>IF($C180,IF('Proyecto Datos (OKR´s)'!$E180="",9999,'Proyecto Datos (OKR´s)'!$E180),"")</f>
      </c>
      <c r="O180" s="202">
        <f>IF($C180,"T"&amp;TEXT(ROW(),"000"),"")</f>
      </c>
      <c r="R180" s="202">
        <f>IF($C180,IF(ISNUMBER('Proyecto Datos (OKR´s)'!$L180),'Proyecto Datos (OKR´s)'!$L180,$H180),"")</f>
      </c>
      <c r="S180" s="202">
        <f>IF($C180,$R180-'Proyecto Datos (OKR´s)'!$K180+1,"")</f>
      </c>
      <c r="T180" s="202">
        <f>IF($C180,MAX(0,TODAY()-'Proyecto Datos (OKR´s)'!$K180),"")</f>
      </c>
      <c r="U180" s="202">
        <f>IF($C180,MEDIAN(0,(TODAY()-'Proyecto Datos (OKR´s)'!$K180)/MAX(1,$R180-'Proyecto Datos (OKR´s)'!$K180),1),"")</f>
      </c>
      <c r="V180" s="202">
        <f>IF($C180,$I180-$U180,"")</f>
      </c>
      <c r="W180" s="202">
        <f>IF($C180,IF(OR($J180="Completado",NOT(ISNUMBER($H180))),0,MAX(0,TODAY()-$H180)),"")</f>
      </c>
      <c r="X180" s="202">
        <f>IF($C180,IF(ISNUMBER($H180),$R180-$H180,0),"")</f>
      </c>
      <c r="Y180" s="202">
        <f>IF($C180,COUNTIFS($G$7:$G$200,$G180,$J$7:$J$200,"&lt;&gt;Completado",$J$7:$J$200,"&lt;&gt;"),"")</f>
      </c>
      <c r="Z180" s="202">
        <f>IF($C180,AND($I180=0,'Proyecto Datos (OKR´s)'!$K180&lt;=TODAY(),$J180&lt;&gt;"Completado"),"")</f>
      </c>
      <c r="AA180" s="202">
        <f>IF($C180,ROUND(100*(0.35*$AK180+0.3*$AL180+0.2*$AM180+0.15*MEDIAN(0,($Y180-4)/8,1)),0),"")</f>
      </c>
      <c r="AB180" s="203">
        <f>IF($C180,IF(OR($J180="Completado",$J180="Sin fecha"),"—",IF($AA180&gt;=70,"Crítica",IF($AA180&gt;=45,"Alta",IF($AA180&gt;=25,"Media","Baja")))),"")</f>
      </c>
      <c r="AC180" s="203">
        <f>IF($C180,IF(LEN(TRIM($AN180))=0,"—",TRIM($AN180)),"")</f>
      </c>
      <c r="AD180" s="202">
        <f>IF($C180,$AV180,"")</f>
      </c>
      <c r="AE180" s="202">
        <f>IF($C180,$AZ180,"")</f>
      </c>
      <c r="AF180" s="202" t="b">
        <f>IF($C180,$AV180&lt;&gt;$AR180,FALSE)</f>
        <v>0</v>
      </c>
      <c r="AG180" s="202">
        <f>IF($C180,IF($AV180&lt;&gt;$AR180,$AW180,""),"")</f>
      </c>
      <c r="AH180" s="203">
        <f>IF($C180,IF(ISBLANK('Backlog General'!$K180),"",'Backlog General'!$K180),"")</f>
      </c>
      <c r="AI180" s="202">
        <f>IF($C180,$AV180*100000+ROW(),"")</f>
      </c>
      <c r="AJ180" s="202">
        <f>IF(AND($C180,ISNUMBER($H180)),$AA180*1000000-MEDIAN(-9999,$K180,9999)*100+(300-ROW()),"")</f>
      </c>
      <c r="AK180" s="202">
        <f>IF($C180,IF($J180="Completado",0,IF($K180&lt;0,1,IF($K180&lt;=3,0.9,IF($K180&lt;=7,0.7,IF($K180&lt;=14,0.45,0.2))))),"")</f>
      </c>
      <c r="AL180" s="202">
        <f>IF($C180,IF($J180="Completado",0,MEDIAN(0,MAX(-$V180,$W180/30),1)),"")</f>
      </c>
      <c r="AM180" s="202">
        <f>IF($C180,IF($J180="Completado",0,IF($Z180,1,IF(AND($I180&lt;0.5,$K180&lt;=7),0.7,0.3))),"")</f>
      </c>
      <c r="AN180" s="203">
        <f>IF($C180,IF(OR($V180&lt;-0.2,$W180&gt;0),"ATRASO ","")&amp;IF($Z180,"BLOQUEO ","")&amp;IF($Y180&gt;8,"SOBRECARGA ","")&amp;IF($X180&gt;0,"DESVÍO-PLAN ",""),"")</f>
      </c>
      <c r="AO180" s="203">
        <f>IF($C180,IFERROR(VLOOKUP($D180,'Sprints'!$I$5:$J$12,2,FALSE),"Semanal"),"")</f>
      </c>
      <c r="AP180" s="202">
        <f>IF($C180,IFERROR(VLOOKUP($AO180,'Sprints'!$B$9:$C$11,2,FALSE),1),"")</f>
      </c>
      <c r="AQ180" s="202">
        <f>IF($C180,'Sprints'!$C$5,"")</f>
      </c>
      <c r="AR180" s="202">
        <f>IF(AND($C180,ISNUMBER($H180)),CEILING(MAX(1,INT(($H180-$AQ180+'Sprints'!$D$5-1)/'Sprints'!$D$5)+1)/$AP180,1),"")</f>
      </c>
      <c r="AS180" s="202">
        <f>IF($C180,CEILING(MAX(1,INT((TODAY()-$AQ180+'Sprints'!$D$5-1)/'Sprints'!$D$5)+1)/$AP180,1),"")</f>
      </c>
      <c r="AT180" s="203">
        <f>IF($C180,'Backlog General'!$G180,"")</f>
      </c>
      <c r="AU180" s="203">
        <f>IF($C180,'Backlog General'!$H180,"")</f>
      </c>
      <c r="AV180" s="202">
        <f>IF(AND($C180,ISNUMBER($AR180)),IF(OR($AT180="Completo",$AU180="Cancelado",$AU180="Baja prioridad"),$AR180,IF($AU180="Pasa al siguiente",MAX($AR180+1,$AS180),MAX($AR180,$AS180))),"")</f>
      </c>
      <c r="AW180" s="202">
        <f>IF(AND($C180,ISNUMBER($AR180)),$AQ180+$AR180*$AP180*'Sprints'!$D$5-'Sprints'!$D$5,"")</f>
      </c>
      <c r="AX180" s="202">
        <f>IF($C180,IF(OR($AT180="Completo",$AU180="Cancelado",$AU180="Baja prioridad",NOT(ISNUMBER($AW180))),0,IF(TODAY()&gt;$AW180,NETWORKDAYS($AW180,TODAY(),'Sprints'!$L$5:$L$40)-1,0)),"")</f>
      </c>
      <c r="AY180" s="203">
        <f>IF($C180,IF(NOT(ISNUMBER($AR180)),"Sin fecha",IF($AT180="Completo","Completo",IF($AU180="Cancelado","Cancelado",IF($AU180="Baja prioridad","Baja prioridad",IF($AX180&gt;0,"Vencida","Pendiente"))))),"")</f>
      </c>
      <c r="AZ180" s="203">
        <f>IF($C180,IF(ISNUMBER($AV180),$AO180&amp;" · S"&amp;$AV180,"(Sin fecha)"),"")</f>
      </c>
      <c r="BA180" s="202">
        <f>IF($C180,IF(AND(ISNUMBER('Backlog General'!$M180),'Backlog General'!$M180=$AS180),"Nuevo S"&amp;'Backlog General'!$M180,""),"")</f>
      </c>
      <c r="BB180" s="202">
        <f>IF(AND($C180,$AO180="Semanal",ISNUMBER($AV180)),$AV180*100000+ROW(),"")</f>
      </c>
      <c r="BC180" s="202">
        <f>IF(AND($C180,$AO180="Quincenal",ISNUMBER($AV180)),$AV180*100000+ROW(),"")</f>
      </c>
      <c r="BD180" s="202">
        <f>IF(AND($C180,$AO180="Mensual",ISNUMBER($AV180)),$AV180*100000+ROW(),"")</f>
      </c>
      <c r="BE180" s="203">
        <f>IF($C180,IF(ISBLANK('Backlog General'!$J180),"",'Backlog General'!$J180),"")</f>
      </c>
      <c r="BF180" s="203">
        <f>IF($C180,IF($BE180="","",$BE180)&amp;IF(AND($BE180&lt;&gt;"",$AH180&lt;&gt;"")," · ","")&amp;IF($AH180="","",$AH180),"")</f>
      </c>
      <c r="BG180" s="203">
        <f>IF($C180,IF($J180="Completado","Sí","No"),"")</f>
      </c>
      <c r="BH180" s="202">
        <f>IF(AND($C180,ISNUMBER($AR180)),IF($AO180="Semanal",1,IF($AO180="Quincenal",2,3))*1000000000+$AR180*100000+ROW(),"")</f>
      </c>
    </row>
    <row r="181">
      <c r="A181" s="202">
        <f>ROW()</f>
        <v>181</v>
      </c>
      <c r="B181" s="202" t="b">
        <f>ISTEXT('Proyecto Datos (OKR´s)'!$K181)</f>
        <v>0</v>
      </c>
      <c r="C181" s="202" t="b">
        <f>AND(LEN('Proyecto Datos (OKR´s)'!$G181)&gt;0,NOT($B181),OR(ISNUMBER('Proyecto Datos (OKR´s)'!$F181),ISNUMBER('Proyecto Datos (OKR´s)'!$L181)))</f>
        <v>0</v>
      </c>
      <c r="D181" s="203">
        <f>IF($C181,IFERROR(LOOKUP(2,1/((ISTEXT('Proyecto Datos (OKR´s)'!$K$7:$K181))*(LEN('Proyecto Datos (OKR´s)'!$G$7:$G181)&gt;0)),'Proyecto Datos (OKR´s)'!$G$7:$G181),""),"")</f>
      </c>
      <c r="E181" s="202">
        <f>IF($C181,'Proyecto Datos (OKR´s)'!$E181,"")</f>
      </c>
      <c r="F181" s="203">
        <f>IF($C181,'Proyecto Datos (OKR´s)'!$G181,"")</f>
      </c>
      <c r="G181" s="203">
        <f>IF($C181,IF('Proyecto Datos (OKR´s)'!$I181="","(Sin asignar)",'Proyecto Datos (OKR´s)'!$I181),"")</f>
      </c>
      <c r="H181" s="202">
        <f>IF($C181,IF(ISNUMBER('Proyecto Datos (OKR´s)'!$F181),'Proyecto Datos (OKR´s)'!$F181,""),"")</f>
      </c>
      <c r="I181" s="202">
        <f>IF($C181,'Proyecto Datos (OKR´s)'!$J181,"")</f>
      </c>
      <c r="J181" s="203">
        <f>IF($C181,IF($I181&gt;=1,"Completado",IF(NOT(ISNUMBER($H181)),"Sin fecha",IF($H181&lt;TODAY(),"Vencido",IF(($H181-TODAY())&lt;='Entregas Próximas'!$M$3,"Próximo a vencer","En curso")))),"")</f>
      </c>
      <c r="K181" s="202">
        <f>IF(AND($C181,ISNUMBER($H181)),$H181-TODAY(),"")</f>
      </c>
      <c r="L181" s="202">
        <f>IF(AND($C181,ISNUMBER($H181)),$AD181*1000000+$H181+ROW()/100000,"")</f>
      </c>
      <c r="M181" s="202">
        <f>IF($C181,IF($AD181=9999,"(Sin sprint)",$AD181),"")</f>
      </c>
      <c r="N181" s="202">
        <f>IF($C181,IF('Proyecto Datos (OKR´s)'!$E181="",9999,'Proyecto Datos (OKR´s)'!$E181),"")</f>
      </c>
      <c r="O181" s="202">
        <f>IF($C181,"T"&amp;TEXT(ROW(),"000"),"")</f>
      </c>
      <c r="R181" s="202">
        <f>IF($C181,IF(ISNUMBER('Proyecto Datos (OKR´s)'!$L181),'Proyecto Datos (OKR´s)'!$L181,$H181),"")</f>
      </c>
      <c r="S181" s="202">
        <f>IF($C181,$R181-'Proyecto Datos (OKR´s)'!$K181+1,"")</f>
      </c>
      <c r="T181" s="202">
        <f>IF($C181,MAX(0,TODAY()-'Proyecto Datos (OKR´s)'!$K181),"")</f>
      </c>
      <c r="U181" s="202">
        <f>IF($C181,MEDIAN(0,(TODAY()-'Proyecto Datos (OKR´s)'!$K181)/MAX(1,$R181-'Proyecto Datos (OKR´s)'!$K181),1),"")</f>
      </c>
      <c r="V181" s="202">
        <f>IF($C181,$I181-$U181,"")</f>
      </c>
      <c r="W181" s="202">
        <f>IF($C181,IF(OR($J181="Completado",NOT(ISNUMBER($H181))),0,MAX(0,TODAY()-$H181)),"")</f>
      </c>
      <c r="X181" s="202">
        <f>IF($C181,IF(ISNUMBER($H181),$R181-$H181,0),"")</f>
      </c>
      <c r="Y181" s="202">
        <f>IF($C181,COUNTIFS($G$7:$G$200,$G181,$J$7:$J$200,"&lt;&gt;Completado",$J$7:$J$200,"&lt;&gt;"),"")</f>
      </c>
      <c r="Z181" s="202">
        <f>IF($C181,AND($I181=0,'Proyecto Datos (OKR´s)'!$K181&lt;=TODAY(),$J181&lt;&gt;"Completado"),"")</f>
      </c>
      <c r="AA181" s="202">
        <f>IF($C181,ROUND(100*(0.35*$AK181+0.3*$AL181+0.2*$AM181+0.15*MEDIAN(0,($Y181-4)/8,1)),0),"")</f>
      </c>
      <c r="AB181" s="203">
        <f>IF($C181,IF(OR($J181="Completado",$J181="Sin fecha"),"—",IF($AA181&gt;=70,"Crítica",IF($AA181&gt;=45,"Alta",IF($AA181&gt;=25,"Media","Baja")))),"")</f>
      </c>
      <c r="AC181" s="203">
        <f>IF($C181,IF(LEN(TRIM($AN181))=0,"—",TRIM($AN181)),"")</f>
      </c>
      <c r="AD181" s="202">
        <f>IF($C181,$AV181,"")</f>
      </c>
      <c r="AE181" s="202">
        <f>IF($C181,$AZ181,"")</f>
      </c>
      <c r="AF181" s="202" t="b">
        <f>IF($C181,$AV181&lt;&gt;$AR181,FALSE)</f>
        <v>0</v>
      </c>
      <c r="AG181" s="202">
        <f>IF($C181,IF($AV181&lt;&gt;$AR181,$AW181,""),"")</f>
      </c>
      <c r="AH181" s="203">
        <f>IF($C181,IF(ISBLANK('Backlog General'!$K181),"",'Backlog General'!$K181),"")</f>
      </c>
      <c r="AI181" s="202">
        <f>IF($C181,$AV181*100000+ROW(),"")</f>
      </c>
      <c r="AJ181" s="202">
        <f>IF(AND($C181,ISNUMBER($H181)),$AA181*1000000-MEDIAN(-9999,$K181,9999)*100+(300-ROW()),"")</f>
      </c>
      <c r="AK181" s="202">
        <f>IF($C181,IF($J181="Completado",0,IF($K181&lt;0,1,IF($K181&lt;=3,0.9,IF($K181&lt;=7,0.7,IF($K181&lt;=14,0.45,0.2))))),"")</f>
      </c>
      <c r="AL181" s="202">
        <f>IF($C181,IF($J181="Completado",0,MEDIAN(0,MAX(-$V181,$W181/30),1)),"")</f>
      </c>
      <c r="AM181" s="202">
        <f>IF($C181,IF($J181="Completado",0,IF($Z181,1,IF(AND($I181&lt;0.5,$K181&lt;=7),0.7,0.3))),"")</f>
      </c>
      <c r="AN181" s="203">
        <f>IF($C181,IF(OR($V181&lt;-0.2,$W181&gt;0),"ATRASO ","")&amp;IF($Z181,"BLOQUEO ","")&amp;IF($Y181&gt;8,"SOBRECARGA ","")&amp;IF($X181&gt;0,"DESVÍO-PLAN ",""),"")</f>
      </c>
      <c r="AO181" s="203">
        <f>IF($C181,IFERROR(VLOOKUP($D181,'Sprints'!$I$5:$J$12,2,FALSE),"Semanal"),"")</f>
      </c>
      <c r="AP181" s="202">
        <f>IF($C181,IFERROR(VLOOKUP($AO181,'Sprints'!$B$9:$C$11,2,FALSE),1),"")</f>
      </c>
      <c r="AQ181" s="202">
        <f>IF($C181,'Sprints'!$C$5,"")</f>
      </c>
      <c r="AR181" s="202">
        <f>IF(AND($C181,ISNUMBER($H181)),CEILING(MAX(1,INT(($H181-$AQ181+'Sprints'!$D$5-1)/'Sprints'!$D$5)+1)/$AP181,1),"")</f>
      </c>
      <c r="AS181" s="202">
        <f>IF($C181,CEILING(MAX(1,INT((TODAY()-$AQ181+'Sprints'!$D$5-1)/'Sprints'!$D$5)+1)/$AP181,1),"")</f>
      </c>
      <c r="AT181" s="203">
        <f>IF($C181,'Backlog General'!$G181,"")</f>
      </c>
      <c r="AU181" s="203">
        <f>IF($C181,'Backlog General'!$H181,"")</f>
      </c>
      <c r="AV181" s="202">
        <f>IF(AND($C181,ISNUMBER($AR181)),IF(OR($AT181="Completo",$AU181="Cancelado",$AU181="Baja prioridad"),$AR181,IF($AU181="Pasa al siguiente",MAX($AR181+1,$AS181),MAX($AR181,$AS181))),"")</f>
      </c>
      <c r="AW181" s="202">
        <f>IF(AND($C181,ISNUMBER($AR181)),$AQ181+$AR181*$AP181*'Sprints'!$D$5-'Sprints'!$D$5,"")</f>
      </c>
      <c r="AX181" s="202">
        <f>IF($C181,IF(OR($AT181="Completo",$AU181="Cancelado",$AU181="Baja prioridad",NOT(ISNUMBER($AW181))),0,IF(TODAY()&gt;$AW181,NETWORKDAYS($AW181,TODAY(),'Sprints'!$L$5:$L$40)-1,0)),"")</f>
      </c>
      <c r="AY181" s="203">
        <f>IF($C181,IF(NOT(ISNUMBER($AR181)),"Sin fecha",IF($AT181="Completo","Completo",IF($AU181="Cancelado","Cancelado",IF($AU181="Baja prioridad","Baja prioridad",IF($AX181&gt;0,"Vencida","Pendiente"))))),"")</f>
      </c>
      <c r="AZ181" s="203">
        <f>IF($C181,IF(ISNUMBER($AV181),$AO181&amp;" · S"&amp;$AV181,"(Sin fecha)"),"")</f>
      </c>
      <c r="BA181" s="202">
        <f>IF($C181,IF(AND(ISNUMBER('Backlog General'!$M181),'Backlog General'!$M181=$AS181),"Nuevo S"&amp;'Backlog General'!$M181,""),"")</f>
      </c>
      <c r="BB181" s="202">
        <f>IF(AND($C181,$AO181="Semanal",ISNUMBER($AV181)),$AV181*100000+ROW(),"")</f>
      </c>
      <c r="BC181" s="202">
        <f>IF(AND($C181,$AO181="Quincenal",ISNUMBER($AV181)),$AV181*100000+ROW(),"")</f>
      </c>
      <c r="BD181" s="202">
        <f>IF(AND($C181,$AO181="Mensual",ISNUMBER($AV181)),$AV181*100000+ROW(),"")</f>
      </c>
      <c r="BE181" s="203">
        <f>IF($C181,IF(ISBLANK('Backlog General'!$J181),"",'Backlog General'!$J181),"")</f>
      </c>
      <c r="BF181" s="203">
        <f>IF($C181,IF($BE181="","",$BE181)&amp;IF(AND($BE181&lt;&gt;"",$AH181&lt;&gt;"")," · ","")&amp;IF($AH181="","",$AH181),"")</f>
      </c>
      <c r="BG181" s="203">
        <f>IF($C181,IF($J181="Completado","Sí","No"),"")</f>
      </c>
      <c r="BH181" s="202">
        <f>IF(AND($C181,ISNUMBER($AR181)),IF($AO181="Semanal",1,IF($AO181="Quincenal",2,3))*1000000000+$AR181*100000+ROW(),"")</f>
      </c>
    </row>
    <row r="182">
      <c r="A182" s="202">
        <f>ROW()</f>
        <v>182</v>
      </c>
      <c r="B182" s="202" t="b">
        <f>ISTEXT('Proyecto Datos (OKR´s)'!$K182)</f>
        <v>0</v>
      </c>
      <c r="C182" s="202" t="b">
        <f>AND(LEN('Proyecto Datos (OKR´s)'!$G182)&gt;0,NOT($B182),OR(ISNUMBER('Proyecto Datos (OKR´s)'!$F182),ISNUMBER('Proyecto Datos (OKR´s)'!$L182)))</f>
        <v>0</v>
      </c>
      <c r="D182" s="203">
        <f>IF($C182,IFERROR(LOOKUP(2,1/((ISTEXT('Proyecto Datos (OKR´s)'!$K$7:$K182))*(LEN('Proyecto Datos (OKR´s)'!$G$7:$G182)&gt;0)),'Proyecto Datos (OKR´s)'!$G$7:$G182),""),"")</f>
      </c>
      <c r="E182" s="202">
        <f>IF($C182,'Proyecto Datos (OKR´s)'!$E182,"")</f>
      </c>
      <c r="F182" s="203">
        <f>IF($C182,'Proyecto Datos (OKR´s)'!$G182,"")</f>
      </c>
      <c r="G182" s="203">
        <f>IF($C182,IF('Proyecto Datos (OKR´s)'!$I182="","(Sin asignar)",'Proyecto Datos (OKR´s)'!$I182),"")</f>
      </c>
      <c r="H182" s="202">
        <f>IF($C182,IF(ISNUMBER('Proyecto Datos (OKR´s)'!$F182),'Proyecto Datos (OKR´s)'!$F182,""),"")</f>
      </c>
      <c r="I182" s="202">
        <f>IF($C182,'Proyecto Datos (OKR´s)'!$J182,"")</f>
      </c>
      <c r="J182" s="203">
        <f>IF($C182,IF($I182&gt;=1,"Completado",IF(NOT(ISNUMBER($H182)),"Sin fecha",IF($H182&lt;TODAY(),"Vencido",IF(($H182-TODAY())&lt;='Entregas Próximas'!$M$3,"Próximo a vencer","En curso")))),"")</f>
      </c>
      <c r="K182" s="202">
        <f>IF(AND($C182,ISNUMBER($H182)),$H182-TODAY(),"")</f>
      </c>
      <c r="L182" s="202">
        <f>IF(AND($C182,ISNUMBER($H182)),$AD182*1000000+$H182+ROW()/100000,"")</f>
      </c>
      <c r="M182" s="202">
        <f>IF($C182,IF($AD182=9999,"(Sin sprint)",$AD182),"")</f>
      </c>
      <c r="N182" s="202">
        <f>IF($C182,IF('Proyecto Datos (OKR´s)'!$E182="",9999,'Proyecto Datos (OKR´s)'!$E182),"")</f>
      </c>
      <c r="O182" s="202">
        <f>IF($C182,"T"&amp;TEXT(ROW(),"000"),"")</f>
      </c>
      <c r="R182" s="202">
        <f>IF($C182,IF(ISNUMBER('Proyecto Datos (OKR´s)'!$L182),'Proyecto Datos (OKR´s)'!$L182,$H182),"")</f>
      </c>
      <c r="S182" s="202">
        <f>IF($C182,$R182-'Proyecto Datos (OKR´s)'!$K182+1,"")</f>
      </c>
      <c r="T182" s="202">
        <f>IF($C182,MAX(0,TODAY()-'Proyecto Datos (OKR´s)'!$K182),"")</f>
      </c>
      <c r="U182" s="202">
        <f>IF($C182,MEDIAN(0,(TODAY()-'Proyecto Datos (OKR´s)'!$K182)/MAX(1,$R182-'Proyecto Datos (OKR´s)'!$K182),1),"")</f>
      </c>
      <c r="V182" s="202">
        <f>IF($C182,$I182-$U182,"")</f>
      </c>
      <c r="W182" s="202">
        <f>IF($C182,IF(OR($J182="Completado",NOT(ISNUMBER($H182))),0,MAX(0,TODAY()-$H182)),"")</f>
      </c>
      <c r="X182" s="202">
        <f>IF($C182,IF(ISNUMBER($H182),$R182-$H182,0),"")</f>
      </c>
      <c r="Y182" s="202">
        <f>IF($C182,COUNTIFS($G$7:$G$200,$G182,$J$7:$J$200,"&lt;&gt;Completado",$J$7:$J$200,"&lt;&gt;"),"")</f>
      </c>
      <c r="Z182" s="202">
        <f>IF($C182,AND($I182=0,'Proyecto Datos (OKR´s)'!$K182&lt;=TODAY(),$J182&lt;&gt;"Completado"),"")</f>
      </c>
      <c r="AA182" s="202">
        <f>IF($C182,ROUND(100*(0.35*$AK182+0.3*$AL182+0.2*$AM182+0.15*MEDIAN(0,($Y182-4)/8,1)),0),"")</f>
      </c>
      <c r="AB182" s="203">
        <f>IF($C182,IF(OR($J182="Completado",$J182="Sin fecha"),"—",IF($AA182&gt;=70,"Crítica",IF($AA182&gt;=45,"Alta",IF($AA182&gt;=25,"Media","Baja")))),"")</f>
      </c>
      <c r="AC182" s="203">
        <f>IF($C182,IF(LEN(TRIM($AN182))=0,"—",TRIM($AN182)),"")</f>
      </c>
      <c r="AD182" s="202">
        <f>IF($C182,$AV182,"")</f>
      </c>
      <c r="AE182" s="202">
        <f>IF($C182,$AZ182,"")</f>
      </c>
      <c r="AF182" s="202" t="b">
        <f>IF($C182,$AV182&lt;&gt;$AR182,FALSE)</f>
        <v>0</v>
      </c>
      <c r="AG182" s="202">
        <f>IF($C182,IF($AV182&lt;&gt;$AR182,$AW182,""),"")</f>
      </c>
      <c r="AH182" s="203">
        <f>IF($C182,IF(ISBLANK('Backlog General'!$K182),"",'Backlog General'!$K182),"")</f>
      </c>
      <c r="AI182" s="202">
        <f>IF($C182,$AV182*100000+ROW(),"")</f>
      </c>
      <c r="AJ182" s="202">
        <f>IF(AND($C182,ISNUMBER($H182)),$AA182*1000000-MEDIAN(-9999,$K182,9999)*100+(300-ROW()),"")</f>
      </c>
      <c r="AK182" s="202">
        <f>IF($C182,IF($J182="Completado",0,IF($K182&lt;0,1,IF($K182&lt;=3,0.9,IF($K182&lt;=7,0.7,IF($K182&lt;=14,0.45,0.2))))),"")</f>
      </c>
      <c r="AL182" s="202">
        <f>IF($C182,IF($J182="Completado",0,MEDIAN(0,MAX(-$V182,$W182/30),1)),"")</f>
      </c>
      <c r="AM182" s="202">
        <f>IF($C182,IF($J182="Completado",0,IF($Z182,1,IF(AND($I182&lt;0.5,$K182&lt;=7),0.7,0.3))),"")</f>
      </c>
      <c r="AN182" s="203">
        <f>IF($C182,IF(OR($V182&lt;-0.2,$W182&gt;0),"ATRASO ","")&amp;IF($Z182,"BLOQUEO ","")&amp;IF($Y182&gt;8,"SOBRECARGA ","")&amp;IF($X182&gt;0,"DESVÍO-PLAN ",""),"")</f>
      </c>
      <c r="AO182" s="203">
        <f>IF($C182,IFERROR(VLOOKUP($D182,'Sprints'!$I$5:$J$12,2,FALSE),"Semanal"),"")</f>
      </c>
      <c r="AP182" s="202">
        <f>IF($C182,IFERROR(VLOOKUP($AO182,'Sprints'!$B$9:$C$11,2,FALSE),1),"")</f>
      </c>
      <c r="AQ182" s="202">
        <f>IF($C182,'Sprints'!$C$5,"")</f>
      </c>
      <c r="AR182" s="202">
        <f>IF(AND($C182,ISNUMBER($H182)),CEILING(MAX(1,INT(($H182-$AQ182+'Sprints'!$D$5-1)/'Sprints'!$D$5)+1)/$AP182,1),"")</f>
      </c>
      <c r="AS182" s="202">
        <f>IF($C182,CEILING(MAX(1,INT((TODAY()-$AQ182+'Sprints'!$D$5-1)/'Sprints'!$D$5)+1)/$AP182,1),"")</f>
      </c>
      <c r="AT182" s="203">
        <f>IF($C182,'Backlog General'!$G182,"")</f>
      </c>
      <c r="AU182" s="203">
        <f>IF($C182,'Backlog General'!$H182,"")</f>
      </c>
      <c r="AV182" s="202">
        <f>IF(AND($C182,ISNUMBER($AR182)),IF(OR($AT182="Completo",$AU182="Cancelado",$AU182="Baja prioridad"),$AR182,IF($AU182="Pasa al siguiente",MAX($AR182+1,$AS182),MAX($AR182,$AS182))),"")</f>
      </c>
      <c r="AW182" s="202">
        <f>IF(AND($C182,ISNUMBER($AR182)),$AQ182+$AR182*$AP182*'Sprints'!$D$5-'Sprints'!$D$5,"")</f>
      </c>
      <c r="AX182" s="202">
        <f>IF($C182,IF(OR($AT182="Completo",$AU182="Cancelado",$AU182="Baja prioridad",NOT(ISNUMBER($AW182))),0,IF(TODAY()&gt;$AW182,NETWORKDAYS($AW182,TODAY(),'Sprints'!$L$5:$L$40)-1,0)),"")</f>
      </c>
      <c r="AY182" s="203">
        <f>IF($C182,IF(NOT(ISNUMBER($AR182)),"Sin fecha",IF($AT182="Completo","Completo",IF($AU182="Cancelado","Cancelado",IF($AU182="Baja prioridad","Baja prioridad",IF($AX182&gt;0,"Vencida","Pendiente"))))),"")</f>
      </c>
      <c r="AZ182" s="203">
        <f>IF($C182,IF(ISNUMBER($AV182),$AO182&amp;" · S"&amp;$AV182,"(Sin fecha)"),"")</f>
      </c>
      <c r="BA182" s="202">
        <f>IF($C182,IF(AND(ISNUMBER('Backlog General'!$M182),'Backlog General'!$M182=$AS182),"Nuevo S"&amp;'Backlog General'!$M182,""),"")</f>
      </c>
      <c r="BB182" s="202">
        <f>IF(AND($C182,$AO182="Semanal",ISNUMBER($AV182)),$AV182*100000+ROW(),"")</f>
      </c>
      <c r="BC182" s="202">
        <f>IF(AND($C182,$AO182="Quincenal",ISNUMBER($AV182)),$AV182*100000+ROW(),"")</f>
      </c>
      <c r="BD182" s="202">
        <f>IF(AND($C182,$AO182="Mensual",ISNUMBER($AV182)),$AV182*100000+ROW(),"")</f>
      </c>
      <c r="BE182" s="203">
        <f>IF($C182,IF(ISBLANK('Backlog General'!$J182),"",'Backlog General'!$J182),"")</f>
      </c>
      <c r="BF182" s="203">
        <f>IF($C182,IF($BE182="","",$BE182)&amp;IF(AND($BE182&lt;&gt;"",$AH182&lt;&gt;"")," · ","")&amp;IF($AH182="","",$AH182),"")</f>
      </c>
      <c r="BG182" s="203">
        <f>IF($C182,IF($J182="Completado","Sí","No"),"")</f>
      </c>
      <c r="BH182" s="202">
        <f>IF(AND($C182,ISNUMBER($AR182)),IF($AO182="Semanal",1,IF($AO182="Quincenal",2,3))*1000000000+$AR182*100000+ROW(),"")</f>
      </c>
    </row>
    <row r="183">
      <c r="A183" s="202">
        <f>ROW()</f>
        <v>183</v>
      </c>
      <c r="B183" s="202" t="b">
        <f>ISTEXT('Proyecto Datos (OKR´s)'!$K183)</f>
        <v>0</v>
      </c>
      <c r="C183" s="202" t="b">
        <f>AND(LEN('Proyecto Datos (OKR´s)'!$G183)&gt;0,NOT($B183),OR(ISNUMBER('Proyecto Datos (OKR´s)'!$F183),ISNUMBER('Proyecto Datos (OKR´s)'!$L183)))</f>
        <v>0</v>
      </c>
      <c r="D183" s="203">
        <f>IF($C183,IFERROR(LOOKUP(2,1/((ISTEXT('Proyecto Datos (OKR´s)'!$K$7:$K183))*(LEN('Proyecto Datos (OKR´s)'!$G$7:$G183)&gt;0)),'Proyecto Datos (OKR´s)'!$G$7:$G183),""),"")</f>
      </c>
      <c r="E183" s="202">
        <f>IF($C183,'Proyecto Datos (OKR´s)'!$E183,"")</f>
      </c>
      <c r="F183" s="203">
        <f>IF($C183,'Proyecto Datos (OKR´s)'!$G183,"")</f>
      </c>
      <c r="G183" s="203">
        <f>IF($C183,IF('Proyecto Datos (OKR´s)'!$I183="","(Sin asignar)",'Proyecto Datos (OKR´s)'!$I183),"")</f>
      </c>
      <c r="H183" s="202">
        <f>IF($C183,IF(ISNUMBER('Proyecto Datos (OKR´s)'!$F183),'Proyecto Datos (OKR´s)'!$F183,""),"")</f>
      </c>
      <c r="I183" s="202">
        <f>IF($C183,'Proyecto Datos (OKR´s)'!$J183,"")</f>
      </c>
      <c r="J183" s="203">
        <f>IF($C183,IF($I183&gt;=1,"Completado",IF(NOT(ISNUMBER($H183)),"Sin fecha",IF($H183&lt;TODAY(),"Vencido",IF(($H183-TODAY())&lt;='Entregas Próximas'!$M$3,"Próximo a vencer","En curso")))),"")</f>
      </c>
      <c r="K183" s="202">
        <f>IF(AND($C183,ISNUMBER($H183)),$H183-TODAY(),"")</f>
      </c>
      <c r="L183" s="202">
        <f>IF(AND($C183,ISNUMBER($H183)),$AD183*1000000+$H183+ROW()/100000,"")</f>
      </c>
      <c r="M183" s="202">
        <f>IF($C183,IF($AD183=9999,"(Sin sprint)",$AD183),"")</f>
      </c>
      <c r="N183" s="202">
        <f>IF($C183,IF('Proyecto Datos (OKR´s)'!$E183="",9999,'Proyecto Datos (OKR´s)'!$E183),"")</f>
      </c>
      <c r="O183" s="202">
        <f>IF($C183,"T"&amp;TEXT(ROW(),"000"),"")</f>
      </c>
      <c r="R183" s="202">
        <f>IF($C183,IF(ISNUMBER('Proyecto Datos (OKR´s)'!$L183),'Proyecto Datos (OKR´s)'!$L183,$H183),"")</f>
      </c>
      <c r="S183" s="202">
        <f>IF($C183,$R183-'Proyecto Datos (OKR´s)'!$K183+1,"")</f>
      </c>
      <c r="T183" s="202">
        <f>IF($C183,MAX(0,TODAY()-'Proyecto Datos (OKR´s)'!$K183),"")</f>
      </c>
      <c r="U183" s="202">
        <f>IF($C183,MEDIAN(0,(TODAY()-'Proyecto Datos (OKR´s)'!$K183)/MAX(1,$R183-'Proyecto Datos (OKR´s)'!$K183),1),"")</f>
      </c>
      <c r="V183" s="202">
        <f>IF($C183,$I183-$U183,"")</f>
      </c>
      <c r="W183" s="202">
        <f>IF($C183,IF(OR($J183="Completado",NOT(ISNUMBER($H183))),0,MAX(0,TODAY()-$H183)),"")</f>
      </c>
      <c r="X183" s="202">
        <f>IF($C183,IF(ISNUMBER($H183),$R183-$H183,0),"")</f>
      </c>
      <c r="Y183" s="202">
        <f>IF($C183,COUNTIFS($G$7:$G$200,$G183,$J$7:$J$200,"&lt;&gt;Completado",$J$7:$J$200,"&lt;&gt;"),"")</f>
      </c>
      <c r="Z183" s="202">
        <f>IF($C183,AND($I183=0,'Proyecto Datos (OKR´s)'!$K183&lt;=TODAY(),$J183&lt;&gt;"Completado"),"")</f>
      </c>
      <c r="AA183" s="202">
        <f>IF($C183,ROUND(100*(0.35*$AK183+0.3*$AL183+0.2*$AM183+0.15*MEDIAN(0,($Y183-4)/8,1)),0),"")</f>
      </c>
      <c r="AB183" s="203">
        <f>IF($C183,IF(OR($J183="Completado",$J183="Sin fecha"),"—",IF($AA183&gt;=70,"Crítica",IF($AA183&gt;=45,"Alta",IF($AA183&gt;=25,"Media","Baja")))),"")</f>
      </c>
      <c r="AC183" s="203">
        <f>IF($C183,IF(LEN(TRIM($AN183))=0,"—",TRIM($AN183)),"")</f>
      </c>
      <c r="AD183" s="202">
        <f>IF($C183,$AV183,"")</f>
      </c>
      <c r="AE183" s="202">
        <f>IF($C183,$AZ183,"")</f>
      </c>
      <c r="AF183" s="202" t="b">
        <f>IF($C183,$AV183&lt;&gt;$AR183,FALSE)</f>
        <v>0</v>
      </c>
      <c r="AG183" s="202">
        <f>IF($C183,IF($AV183&lt;&gt;$AR183,$AW183,""),"")</f>
      </c>
      <c r="AH183" s="203">
        <f>IF($C183,IF(ISBLANK('Backlog General'!$K183),"",'Backlog General'!$K183),"")</f>
      </c>
      <c r="AI183" s="202">
        <f>IF($C183,$AV183*100000+ROW(),"")</f>
      </c>
      <c r="AJ183" s="202">
        <f>IF(AND($C183,ISNUMBER($H183)),$AA183*1000000-MEDIAN(-9999,$K183,9999)*100+(300-ROW()),"")</f>
      </c>
      <c r="AK183" s="202">
        <f>IF($C183,IF($J183="Completado",0,IF($K183&lt;0,1,IF($K183&lt;=3,0.9,IF($K183&lt;=7,0.7,IF($K183&lt;=14,0.45,0.2))))),"")</f>
      </c>
      <c r="AL183" s="202">
        <f>IF($C183,IF($J183="Completado",0,MEDIAN(0,MAX(-$V183,$W183/30),1)),"")</f>
      </c>
      <c r="AM183" s="202">
        <f>IF($C183,IF($J183="Completado",0,IF($Z183,1,IF(AND($I183&lt;0.5,$K183&lt;=7),0.7,0.3))),"")</f>
      </c>
      <c r="AN183" s="203">
        <f>IF($C183,IF(OR($V183&lt;-0.2,$W183&gt;0),"ATRASO ","")&amp;IF($Z183,"BLOQUEO ","")&amp;IF($Y183&gt;8,"SOBRECARGA ","")&amp;IF($X183&gt;0,"DESVÍO-PLAN ",""),"")</f>
      </c>
      <c r="AO183" s="203">
        <f>IF($C183,IFERROR(VLOOKUP($D183,'Sprints'!$I$5:$J$12,2,FALSE),"Semanal"),"")</f>
      </c>
      <c r="AP183" s="202">
        <f>IF($C183,IFERROR(VLOOKUP($AO183,'Sprints'!$B$9:$C$11,2,FALSE),1),"")</f>
      </c>
      <c r="AQ183" s="202">
        <f>IF($C183,'Sprints'!$C$5,"")</f>
      </c>
      <c r="AR183" s="202">
        <f>IF(AND($C183,ISNUMBER($H183)),CEILING(MAX(1,INT(($H183-$AQ183+'Sprints'!$D$5-1)/'Sprints'!$D$5)+1)/$AP183,1),"")</f>
      </c>
      <c r="AS183" s="202">
        <f>IF($C183,CEILING(MAX(1,INT((TODAY()-$AQ183+'Sprints'!$D$5-1)/'Sprints'!$D$5)+1)/$AP183,1),"")</f>
      </c>
      <c r="AT183" s="203">
        <f>IF($C183,'Backlog General'!$G183,"")</f>
      </c>
      <c r="AU183" s="203">
        <f>IF($C183,'Backlog General'!$H183,"")</f>
      </c>
      <c r="AV183" s="202">
        <f>IF(AND($C183,ISNUMBER($AR183)),IF(OR($AT183="Completo",$AU183="Cancelado",$AU183="Baja prioridad"),$AR183,IF($AU183="Pasa al siguiente",MAX($AR183+1,$AS183),MAX($AR183,$AS183))),"")</f>
      </c>
      <c r="AW183" s="202">
        <f>IF(AND($C183,ISNUMBER($AR183)),$AQ183+$AR183*$AP183*'Sprints'!$D$5-'Sprints'!$D$5,"")</f>
      </c>
      <c r="AX183" s="202">
        <f>IF($C183,IF(OR($AT183="Completo",$AU183="Cancelado",$AU183="Baja prioridad",NOT(ISNUMBER($AW183))),0,IF(TODAY()&gt;$AW183,NETWORKDAYS($AW183,TODAY(),'Sprints'!$L$5:$L$40)-1,0)),"")</f>
      </c>
      <c r="AY183" s="203">
        <f>IF($C183,IF(NOT(ISNUMBER($AR183)),"Sin fecha",IF($AT183="Completo","Completo",IF($AU183="Cancelado","Cancelado",IF($AU183="Baja prioridad","Baja prioridad",IF($AX183&gt;0,"Vencida","Pendiente"))))),"")</f>
      </c>
      <c r="AZ183" s="203">
        <f>IF($C183,IF(ISNUMBER($AV183),$AO183&amp;" · S"&amp;$AV183,"(Sin fecha)"),"")</f>
      </c>
      <c r="BA183" s="202">
        <f>IF($C183,IF(AND(ISNUMBER('Backlog General'!$M183),'Backlog General'!$M183=$AS183),"Nuevo S"&amp;'Backlog General'!$M183,""),"")</f>
      </c>
      <c r="BB183" s="202">
        <f>IF(AND($C183,$AO183="Semanal",ISNUMBER($AV183)),$AV183*100000+ROW(),"")</f>
      </c>
      <c r="BC183" s="202">
        <f>IF(AND($C183,$AO183="Quincenal",ISNUMBER($AV183)),$AV183*100000+ROW(),"")</f>
      </c>
      <c r="BD183" s="202">
        <f>IF(AND($C183,$AO183="Mensual",ISNUMBER($AV183)),$AV183*100000+ROW(),"")</f>
      </c>
      <c r="BE183" s="203">
        <f>IF($C183,IF(ISBLANK('Backlog General'!$J183),"",'Backlog General'!$J183),"")</f>
      </c>
      <c r="BF183" s="203">
        <f>IF($C183,IF($BE183="","",$BE183)&amp;IF(AND($BE183&lt;&gt;"",$AH183&lt;&gt;"")," · ","")&amp;IF($AH183="","",$AH183),"")</f>
      </c>
      <c r="BG183" s="203">
        <f>IF($C183,IF($J183="Completado","Sí","No"),"")</f>
      </c>
      <c r="BH183" s="202">
        <f>IF(AND($C183,ISNUMBER($AR183)),IF($AO183="Semanal",1,IF($AO183="Quincenal",2,3))*1000000000+$AR183*100000+ROW(),"")</f>
      </c>
    </row>
    <row r="184">
      <c r="A184" s="202">
        <f>ROW()</f>
        <v>184</v>
      </c>
      <c r="B184" s="202" t="b">
        <f>ISTEXT('Proyecto Datos (OKR´s)'!$K184)</f>
        <v>0</v>
      </c>
      <c r="C184" s="202" t="b">
        <f>AND(LEN('Proyecto Datos (OKR´s)'!$G184)&gt;0,NOT($B184),OR(ISNUMBER('Proyecto Datos (OKR´s)'!$F184),ISNUMBER('Proyecto Datos (OKR´s)'!$L184)))</f>
        <v>0</v>
      </c>
      <c r="D184" s="203">
        <f>IF($C184,IFERROR(LOOKUP(2,1/((ISTEXT('Proyecto Datos (OKR´s)'!$K$7:$K184))*(LEN('Proyecto Datos (OKR´s)'!$G$7:$G184)&gt;0)),'Proyecto Datos (OKR´s)'!$G$7:$G184),""),"")</f>
      </c>
      <c r="E184" s="202">
        <f>IF($C184,'Proyecto Datos (OKR´s)'!$E184,"")</f>
      </c>
      <c r="F184" s="203">
        <f>IF($C184,'Proyecto Datos (OKR´s)'!$G184,"")</f>
      </c>
      <c r="G184" s="203">
        <f>IF($C184,IF('Proyecto Datos (OKR´s)'!$I184="","(Sin asignar)",'Proyecto Datos (OKR´s)'!$I184),"")</f>
      </c>
      <c r="H184" s="202">
        <f>IF($C184,IF(ISNUMBER('Proyecto Datos (OKR´s)'!$F184),'Proyecto Datos (OKR´s)'!$F184,""),"")</f>
      </c>
      <c r="I184" s="202">
        <f>IF($C184,'Proyecto Datos (OKR´s)'!$J184,"")</f>
      </c>
      <c r="J184" s="203">
        <f>IF($C184,IF($I184&gt;=1,"Completado",IF(NOT(ISNUMBER($H184)),"Sin fecha",IF($H184&lt;TODAY(),"Vencido",IF(($H184-TODAY())&lt;='Entregas Próximas'!$M$3,"Próximo a vencer","En curso")))),"")</f>
      </c>
      <c r="K184" s="202">
        <f>IF(AND($C184,ISNUMBER($H184)),$H184-TODAY(),"")</f>
      </c>
      <c r="L184" s="202">
        <f>IF(AND($C184,ISNUMBER($H184)),$AD184*1000000+$H184+ROW()/100000,"")</f>
      </c>
      <c r="M184" s="202">
        <f>IF($C184,IF($AD184=9999,"(Sin sprint)",$AD184),"")</f>
      </c>
      <c r="N184" s="202">
        <f>IF($C184,IF('Proyecto Datos (OKR´s)'!$E184="",9999,'Proyecto Datos (OKR´s)'!$E184),"")</f>
      </c>
      <c r="O184" s="202">
        <f>IF($C184,"T"&amp;TEXT(ROW(),"000"),"")</f>
      </c>
      <c r="R184" s="202">
        <f>IF($C184,IF(ISNUMBER('Proyecto Datos (OKR´s)'!$L184),'Proyecto Datos (OKR´s)'!$L184,$H184),"")</f>
      </c>
      <c r="S184" s="202">
        <f>IF($C184,$R184-'Proyecto Datos (OKR´s)'!$K184+1,"")</f>
      </c>
      <c r="T184" s="202">
        <f>IF($C184,MAX(0,TODAY()-'Proyecto Datos (OKR´s)'!$K184),"")</f>
      </c>
      <c r="U184" s="202">
        <f>IF($C184,MEDIAN(0,(TODAY()-'Proyecto Datos (OKR´s)'!$K184)/MAX(1,$R184-'Proyecto Datos (OKR´s)'!$K184),1),"")</f>
      </c>
      <c r="V184" s="202">
        <f>IF($C184,$I184-$U184,"")</f>
      </c>
      <c r="W184" s="202">
        <f>IF($C184,IF(OR($J184="Completado",NOT(ISNUMBER($H184))),0,MAX(0,TODAY()-$H184)),"")</f>
      </c>
      <c r="X184" s="202">
        <f>IF($C184,IF(ISNUMBER($H184),$R184-$H184,0),"")</f>
      </c>
      <c r="Y184" s="202">
        <f>IF($C184,COUNTIFS($G$7:$G$200,$G184,$J$7:$J$200,"&lt;&gt;Completado",$J$7:$J$200,"&lt;&gt;"),"")</f>
      </c>
      <c r="Z184" s="202">
        <f>IF($C184,AND($I184=0,'Proyecto Datos (OKR´s)'!$K184&lt;=TODAY(),$J184&lt;&gt;"Completado"),"")</f>
      </c>
      <c r="AA184" s="202">
        <f>IF($C184,ROUND(100*(0.35*$AK184+0.3*$AL184+0.2*$AM184+0.15*MEDIAN(0,($Y184-4)/8,1)),0),"")</f>
      </c>
      <c r="AB184" s="203">
        <f>IF($C184,IF(OR($J184="Completado",$J184="Sin fecha"),"—",IF($AA184&gt;=70,"Crítica",IF($AA184&gt;=45,"Alta",IF($AA184&gt;=25,"Media","Baja")))),"")</f>
      </c>
      <c r="AC184" s="203">
        <f>IF($C184,IF(LEN(TRIM($AN184))=0,"—",TRIM($AN184)),"")</f>
      </c>
      <c r="AD184" s="202">
        <f>IF($C184,$AV184,"")</f>
      </c>
      <c r="AE184" s="202">
        <f>IF($C184,$AZ184,"")</f>
      </c>
      <c r="AF184" s="202" t="b">
        <f>IF($C184,$AV184&lt;&gt;$AR184,FALSE)</f>
        <v>0</v>
      </c>
      <c r="AG184" s="202">
        <f>IF($C184,IF($AV184&lt;&gt;$AR184,$AW184,""),"")</f>
      </c>
      <c r="AH184" s="203">
        <f>IF($C184,IF(ISBLANK('Backlog General'!$K184),"",'Backlog General'!$K184),"")</f>
      </c>
      <c r="AI184" s="202">
        <f>IF($C184,$AV184*100000+ROW(),"")</f>
      </c>
      <c r="AJ184" s="202">
        <f>IF(AND($C184,ISNUMBER($H184)),$AA184*1000000-MEDIAN(-9999,$K184,9999)*100+(300-ROW()),"")</f>
      </c>
      <c r="AK184" s="202">
        <f>IF($C184,IF($J184="Completado",0,IF($K184&lt;0,1,IF($K184&lt;=3,0.9,IF($K184&lt;=7,0.7,IF($K184&lt;=14,0.45,0.2))))),"")</f>
      </c>
      <c r="AL184" s="202">
        <f>IF($C184,IF($J184="Completado",0,MEDIAN(0,MAX(-$V184,$W184/30),1)),"")</f>
      </c>
      <c r="AM184" s="202">
        <f>IF($C184,IF($J184="Completado",0,IF($Z184,1,IF(AND($I184&lt;0.5,$K184&lt;=7),0.7,0.3))),"")</f>
      </c>
      <c r="AN184" s="203">
        <f>IF($C184,IF(OR($V184&lt;-0.2,$W184&gt;0),"ATRASO ","")&amp;IF($Z184,"BLOQUEO ","")&amp;IF($Y184&gt;8,"SOBRECARGA ","")&amp;IF($X184&gt;0,"DESVÍO-PLAN ",""),"")</f>
      </c>
      <c r="AO184" s="203">
        <f>IF($C184,IFERROR(VLOOKUP($D184,'Sprints'!$I$5:$J$12,2,FALSE),"Semanal"),"")</f>
      </c>
      <c r="AP184" s="202">
        <f>IF($C184,IFERROR(VLOOKUP($AO184,'Sprints'!$B$9:$C$11,2,FALSE),1),"")</f>
      </c>
      <c r="AQ184" s="202">
        <f>IF($C184,'Sprints'!$C$5,"")</f>
      </c>
      <c r="AR184" s="202">
        <f>IF(AND($C184,ISNUMBER($H184)),CEILING(MAX(1,INT(($H184-$AQ184+'Sprints'!$D$5-1)/'Sprints'!$D$5)+1)/$AP184,1),"")</f>
      </c>
      <c r="AS184" s="202">
        <f>IF($C184,CEILING(MAX(1,INT((TODAY()-$AQ184+'Sprints'!$D$5-1)/'Sprints'!$D$5)+1)/$AP184,1),"")</f>
      </c>
      <c r="AT184" s="203">
        <f>IF($C184,'Backlog General'!$G184,"")</f>
      </c>
      <c r="AU184" s="203">
        <f>IF($C184,'Backlog General'!$H184,"")</f>
      </c>
      <c r="AV184" s="202">
        <f>IF(AND($C184,ISNUMBER($AR184)),IF(OR($AT184="Completo",$AU184="Cancelado",$AU184="Baja prioridad"),$AR184,IF($AU184="Pasa al siguiente",MAX($AR184+1,$AS184),MAX($AR184,$AS184))),"")</f>
      </c>
      <c r="AW184" s="202">
        <f>IF(AND($C184,ISNUMBER($AR184)),$AQ184+$AR184*$AP184*'Sprints'!$D$5-'Sprints'!$D$5,"")</f>
      </c>
      <c r="AX184" s="202">
        <f>IF($C184,IF(OR($AT184="Completo",$AU184="Cancelado",$AU184="Baja prioridad",NOT(ISNUMBER($AW184))),0,IF(TODAY()&gt;$AW184,NETWORKDAYS($AW184,TODAY(),'Sprints'!$L$5:$L$40)-1,0)),"")</f>
      </c>
      <c r="AY184" s="203">
        <f>IF($C184,IF(NOT(ISNUMBER($AR184)),"Sin fecha",IF($AT184="Completo","Completo",IF($AU184="Cancelado","Cancelado",IF($AU184="Baja prioridad","Baja prioridad",IF($AX184&gt;0,"Vencida","Pendiente"))))),"")</f>
      </c>
      <c r="AZ184" s="203">
        <f>IF($C184,IF(ISNUMBER($AV184),$AO184&amp;" · S"&amp;$AV184,"(Sin fecha)"),"")</f>
      </c>
      <c r="BA184" s="202">
        <f>IF($C184,IF(AND(ISNUMBER('Backlog General'!$M184),'Backlog General'!$M184=$AS184),"Nuevo S"&amp;'Backlog General'!$M184,""),"")</f>
      </c>
      <c r="BB184" s="202">
        <f>IF(AND($C184,$AO184="Semanal",ISNUMBER($AV184)),$AV184*100000+ROW(),"")</f>
      </c>
      <c r="BC184" s="202">
        <f>IF(AND($C184,$AO184="Quincenal",ISNUMBER($AV184)),$AV184*100000+ROW(),"")</f>
      </c>
      <c r="BD184" s="202">
        <f>IF(AND($C184,$AO184="Mensual",ISNUMBER($AV184)),$AV184*100000+ROW(),"")</f>
      </c>
      <c r="BE184" s="203">
        <f>IF($C184,IF(ISBLANK('Backlog General'!$J184),"",'Backlog General'!$J184),"")</f>
      </c>
      <c r="BF184" s="203">
        <f>IF($C184,IF($BE184="","",$BE184)&amp;IF(AND($BE184&lt;&gt;"",$AH184&lt;&gt;"")," · ","")&amp;IF($AH184="","",$AH184),"")</f>
      </c>
      <c r="BG184" s="203">
        <f>IF($C184,IF($J184="Completado","Sí","No"),"")</f>
      </c>
      <c r="BH184" s="202">
        <f>IF(AND($C184,ISNUMBER($AR184)),IF($AO184="Semanal",1,IF($AO184="Quincenal",2,3))*1000000000+$AR184*100000+ROW(),"")</f>
      </c>
    </row>
    <row r="185">
      <c r="A185" s="202">
        <f>ROW()</f>
        <v>185</v>
      </c>
      <c r="B185" s="202" t="b">
        <f>ISTEXT('Proyecto Datos (OKR´s)'!$K185)</f>
        <v>0</v>
      </c>
      <c r="C185" s="202" t="b">
        <f>AND(LEN('Proyecto Datos (OKR´s)'!$G185)&gt;0,NOT($B185),OR(ISNUMBER('Proyecto Datos (OKR´s)'!$F185),ISNUMBER('Proyecto Datos (OKR´s)'!$L185)))</f>
        <v>0</v>
      </c>
      <c r="D185" s="203">
        <f>IF($C185,IFERROR(LOOKUP(2,1/((ISTEXT('Proyecto Datos (OKR´s)'!$K$7:$K185))*(LEN('Proyecto Datos (OKR´s)'!$G$7:$G185)&gt;0)),'Proyecto Datos (OKR´s)'!$G$7:$G185),""),"")</f>
      </c>
      <c r="E185" s="202">
        <f>IF($C185,'Proyecto Datos (OKR´s)'!$E185,"")</f>
      </c>
      <c r="F185" s="203">
        <f>IF($C185,'Proyecto Datos (OKR´s)'!$G185,"")</f>
      </c>
      <c r="G185" s="203">
        <f>IF($C185,IF('Proyecto Datos (OKR´s)'!$I185="","(Sin asignar)",'Proyecto Datos (OKR´s)'!$I185),"")</f>
      </c>
      <c r="H185" s="202">
        <f>IF($C185,IF(ISNUMBER('Proyecto Datos (OKR´s)'!$F185),'Proyecto Datos (OKR´s)'!$F185,""),"")</f>
      </c>
      <c r="I185" s="202">
        <f>IF($C185,'Proyecto Datos (OKR´s)'!$J185,"")</f>
      </c>
      <c r="J185" s="203">
        <f>IF($C185,IF($I185&gt;=1,"Completado",IF(NOT(ISNUMBER($H185)),"Sin fecha",IF($H185&lt;TODAY(),"Vencido",IF(($H185-TODAY())&lt;='Entregas Próximas'!$M$3,"Próximo a vencer","En curso")))),"")</f>
      </c>
      <c r="K185" s="202">
        <f>IF(AND($C185,ISNUMBER($H185)),$H185-TODAY(),"")</f>
      </c>
      <c r="L185" s="202">
        <f>IF(AND($C185,ISNUMBER($H185)),$AD185*1000000+$H185+ROW()/100000,"")</f>
      </c>
      <c r="M185" s="202">
        <f>IF($C185,IF($AD185=9999,"(Sin sprint)",$AD185),"")</f>
      </c>
      <c r="N185" s="202">
        <f>IF($C185,IF('Proyecto Datos (OKR´s)'!$E185="",9999,'Proyecto Datos (OKR´s)'!$E185),"")</f>
      </c>
      <c r="O185" s="202">
        <f>IF($C185,"T"&amp;TEXT(ROW(),"000"),"")</f>
      </c>
      <c r="R185" s="202">
        <f>IF($C185,IF(ISNUMBER('Proyecto Datos (OKR´s)'!$L185),'Proyecto Datos (OKR´s)'!$L185,$H185),"")</f>
      </c>
      <c r="S185" s="202">
        <f>IF($C185,$R185-'Proyecto Datos (OKR´s)'!$K185+1,"")</f>
      </c>
      <c r="T185" s="202">
        <f>IF($C185,MAX(0,TODAY()-'Proyecto Datos (OKR´s)'!$K185),"")</f>
      </c>
      <c r="U185" s="202">
        <f>IF($C185,MEDIAN(0,(TODAY()-'Proyecto Datos (OKR´s)'!$K185)/MAX(1,$R185-'Proyecto Datos (OKR´s)'!$K185),1),"")</f>
      </c>
      <c r="V185" s="202">
        <f>IF($C185,$I185-$U185,"")</f>
      </c>
      <c r="W185" s="202">
        <f>IF($C185,IF(OR($J185="Completado",NOT(ISNUMBER($H185))),0,MAX(0,TODAY()-$H185)),"")</f>
      </c>
      <c r="X185" s="202">
        <f>IF($C185,IF(ISNUMBER($H185),$R185-$H185,0),"")</f>
      </c>
      <c r="Y185" s="202">
        <f>IF($C185,COUNTIFS($G$7:$G$200,$G185,$J$7:$J$200,"&lt;&gt;Completado",$J$7:$J$200,"&lt;&gt;"),"")</f>
      </c>
      <c r="Z185" s="202">
        <f>IF($C185,AND($I185=0,'Proyecto Datos (OKR´s)'!$K185&lt;=TODAY(),$J185&lt;&gt;"Completado"),"")</f>
      </c>
      <c r="AA185" s="202">
        <f>IF($C185,ROUND(100*(0.35*$AK185+0.3*$AL185+0.2*$AM185+0.15*MEDIAN(0,($Y185-4)/8,1)),0),"")</f>
      </c>
      <c r="AB185" s="203">
        <f>IF($C185,IF(OR($J185="Completado",$J185="Sin fecha"),"—",IF($AA185&gt;=70,"Crítica",IF($AA185&gt;=45,"Alta",IF($AA185&gt;=25,"Media","Baja")))),"")</f>
      </c>
      <c r="AC185" s="203">
        <f>IF($C185,IF(LEN(TRIM($AN185))=0,"—",TRIM($AN185)),"")</f>
      </c>
      <c r="AD185" s="202">
        <f>IF($C185,$AV185,"")</f>
      </c>
      <c r="AE185" s="202">
        <f>IF($C185,$AZ185,"")</f>
      </c>
      <c r="AF185" s="202" t="b">
        <f>IF($C185,$AV185&lt;&gt;$AR185,FALSE)</f>
        <v>0</v>
      </c>
      <c r="AG185" s="202">
        <f>IF($C185,IF($AV185&lt;&gt;$AR185,$AW185,""),"")</f>
      </c>
      <c r="AH185" s="203">
        <f>IF($C185,IF(ISBLANK('Backlog General'!$K185),"",'Backlog General'!$K185),"")</f>
      </c>
      <c r="AI185" s="202">
        <f>IF($C185,$AV185*100000+ROW(),"")</f>
      </c>
      <c r="AJ185" s="202">
        <f>IF(AND($C185,ISNUMBER($H185)),$AA185*1000000-MEDIAN(-9999,$K185,9999)*100+(300-ROW()),"")</f>
      </c>
      <c r="AK185" s="202">
        <f>IF($C185,IF($J185="Completado",0,IF($K185&lt;0,1,IF($K185&lt;=3,0.9,IF($K185&lt;=7,0.7,IF($K185&lt;=14,0.45,0.2))))),"")</f>
      </c>
      <c r="AL185" s="202">
        <f>IF($C185,IF($J185="Completado",0,MEDIAN(0,MAX(-$V185,$W185/30),1)),"")</f>
      </c>
      <c r="AM185" s="202">
        <f>IF($C185,IF($J185="Completado",0,IF($Z185,1,IF(AND($I185&lt;0.5,$K185&lt;=7),0.7,0.3))),"")</f>
      </c>
      <c r="AN185" s="203">
        <f>IF($C185,IF(OR($V185&lt;-0.2,$W185&gt;0),"ATRASO ","")&amp;IF($Z185,"BLOQUEO ","")&amp;IF($Y185&gt;8,"SOBRECARGA ","")&amp;IF($X185&gt;0,"DESVÍO-PLAN ",""),"")</f>
      </c>
      <c r="AO185" s="203">
        <f>IF($C185,IFERROR(VLOOKUP($D185,'Sprints'!$I$5:$J$12,2,FALSE),"Semanal"),"")</f>
      </c>
      <c r="AP185" s="202">
        <f>IF($C185,IFERROR(VLOOKUP($AO185,'Sprints'!$B$9:$C$11,2,FALSE),1),"")</f>
      </c>
      <c r="AQ185" s="202">
        <f>IF($C185,'Sprints'!$C$5,"")</f>
      </c>
      <c r="AR185" s="202">
        <f>IF(AND($C185,ISNUMBER($H185)),CEILING(MAX(1,INT(($H185-$AQ185+'Sprints'!$D$5-1)/'Sprints'!$D$5)+1)/$AP185,1),"")</f>
      </c>
      <c r="AS185" s="202">
        <f>IF($C185,CEILING(MAX(1,INT((TODAY()-$AQ185+'Sprints'!$D$5-1)/'Sprints'!$D$5)+1)/$AP185,1),"")</f>
      </c>
      <c r="AT185" s="203">
        <f>IF($C185,'Backlog General'!$G185,"")</f>
      </c>
      <c r="AU185" s="203">
        <f>IF($C185,'Backlog General'!$H185,"")</f>
      </c>
      <c r="AV185" s="202">
        <f>IF(AND($C185,ISNUMBER($AR185)),IF(OR($AT185="Completo",$AU185="Cancelado",$AU185="Baja prioridad"),$AR185,IF($AU185="Pasa al siguiente",MAX($AR185+1,$AS185),MAX($AR185,$AS185))),"")</f>
      </c>
      <c r="AW185" s="202">
        <f>IF(AND($C185,ISNUMBER($AR185)),$AQ185+$AR185*$AP185*'Sprints'!$D$5-'Sprints'!$D$5,"")</f>
      </c>
      <c r="AX185" s="202">
        <f>IF($C185,IF(OR($AT185="Completo",$AU185="Cancelado",$AU185="Baja prioridad",NOT(ISNUMBER($AW185))),0,IF(TODAY()&gt;$AW185,NETWORKDAYS($AW185,TODAY(),'Sprints'!$L$5:$L$40)-1,0)),"")</f>
      </c>
      <c r="AY185" s="203">
        <f>IF($C185,IF(NOT(ISNUMBER($AR185)),"Sin fecha",IF($AT185="Completo","Completo",IF($AU185="Cancelado","Cancelado",IF($AU185="Baja prioridad","Baja prioridad",IF($AX185&gt;0,"Vencida","Pendiente"))))),"")</f>
      </c>
      <c r="AZ185" s="203">
        <f>IF($C185,IF(ISNUMBER($AV185),$AO185&amp;" · S"&amp;$AV185,"(Sin fecha)"),"")</f>
      </c>
      <c r="BA185" s="202">
        <f>IF($C185,IF(AND(ISNUMBER('Backlog General'!$M185),'Backlog General'!$M185=$AS185),"Nuevo S"&amp;'Backlog General'!$M185,""),"")</f>
      </c>
      <c r="BB185" s="202">
        <f>IF(AND($C185,$AO185="Semanal",ISNUMBER($AV185)),$AV185*100000+ROW(),"")</f>
      </c>
      <c r="BC185" s="202">
        <f>IF(AND($C185,$AO185="Quincenal",ISNUMBER($AV185)),$AV185*100000+ROW(),"")</f>
      </c>
      <c r="BD185" s="202">
        <f>IF(AND($C185,$AO185="Mensual",ISNUMBER($AV185)),$AV185*100000+ROW(),"")</f>
      </c>
      <c r="BE185" s="203">
        <f>IF($C185,IF(ISBLANK('Backlog General'!$J185),"",'Backlog General'!$J185),"")</f>
      </c>
      <c r="BF185" s="203">
        <f>IF($C185,IF($BE185="","",$BE185)&amp;IF(AND($BE185&lt;&gt;"",$AH185&lt;&gt;"")," · ","")&amp;IF($AH185="","",$AH185),"")</f>
      </c>
      <c r="BG185" s="203">
        <f>IF($C185,IF($J185="Completado","Sí","No"),"")</f>
      </c>
      <c r="BH185" s="202">
        <f>IF(AND($C185,ISNUMBER($AR185)),IF($AO185="Semanal",1,IF($AO185="Quincenal",2,3))*1000000000+$AR185*100000+ROW(),"")</f>
      </c>
    </row>
    <row r="186">
      <c r="A186" s="202">
        <f>ROW()</f>
        <v>186</v>
      </c>
      <c r="B186" s="202" t="b">
        <f>ISTEXT('Proyecto Datos (OKR´s)'!$K186)</f>
        <v>0</v>
      </c>
      <c r="C186" s="202" t="b">
        <f>AND(LEN('Proyecto Datos (OKR´s)'!$G186)&gt;0,NOT($B186),OR(ISNUMBER('Proyecto Datos (OKR´s)'!$F186),ISNUMBER('Proyecto Datos (OKR´s)'!$L186)))</f>
        <v>0</v>
      </c>
      <c r="D186" s="203">
        <f>IF($C186,IFERROR(LOOKUP(2,1/((ISTEXT('Proyecto Datos (OKR´s)'!$K$7:$K186))*(LEN('Proyecto Datos (OKR´s)'!$G$7:$G186)&gt;0)),'Proyecto Datos (OKR´s)'!$G$7:$G186),""),"")</f>
      </c>
      <c r="E186" s="202">
        <f>IF($C186,'Proyecto Datos (OKR´s)'!$E186,"")</f>
      </c>
      <c r="F186" s="203">
        <f>IF($C186,'Proyecto Datos (OKR´s)'!$G186,"")</f>
      </c>
      <c r="G186" s="203">
        <f>IF($C186,IF('Proyecto Datos (OKR´s)'!$I186="","(Sin asignar)",'Proyecto Datos (OKR´s)'!$I186),"")</f>
      </c>
      <c r="H186" s="202">
        <f>IF($C186,IF(ISNUMBER('Proyecto Datos (OKR´s)'!$F186),'Proyecto Datos (OKR´s)'!$F186,""),"")</f>
      </c>
      <c r="I186" s="202">
        <f>IF($C186,'Proyecto Datos (OKR´s)'!$J186,"")</f>
      </c>
      <c r="J186" s="203">
        <f>IF($C186,IF($I186&gt;=1,"Completado",IF(NOT(ISNUMBER($H186)),"Sin fecha",IF($H186&lt;TODAY(),"Vencido",IF(($H186-TODAY())&lt;='Entregas Próximas'!$M$3,"Próximo a vencer","En curso")))),"")</f>
      </c>
      <c r="K186" s="202">
        <f>IF(AND($C186,ISNUMBER($H186)),$H186-TODAY(),"")</f>
      </c>
      <c r="L186" s="202">
        <f>IF(AND($C186,ISNUMBER($H186)),$AD186*1000000+$H186+ROW()/100000,"")</f>
      </c>
      <c r="M186" s="202">
        <f>IF($C186,IF($AD186=9999,"(Sin sprint)",$AD186),"")</f>
      </c>
      <c r="N186" s="202">
        <f>IF($C186,IF('Proyecto Datos (OKR´s)'!$E186="",9999,'Proyecto Datos (OKR´s)'!$E186),"")</f>
      </c>
      <c r="O186" s="202">
        <f>IF($C186,"T"&amp;TEXT(ROW(),"000"),"")</f>
      </c>
      <c r="R186" s="202">
        <f>IF($C186,IF(ISNUMBER('Proyecto Datos (OKR´s)'!$L186),'Proyecto Datos (OKR´s)'!$L186,$H186),"")</f>
      </c>
      <c r="S186" s="202">
        <f>IF($C186,$R186-'Proyecto Datos (OKR´s)'!$K186+1,"")</f>
      </c>
      <c r="T186" s="202">
        <f>IF($C186,MAX(0,TODAY()-'Proyecto Datos (OKR´s)'!$K186),"")</f>
      </c>
      <c r="U186" s="202">
        <f>IF($C186,MEDIAN(0,(TODAY()-'Proyecto Datos (OKR´s)'!$K186)/MAX(1,$R186-'Proyecto Datos (OKR´s)'!$K186),1),"")</f>
      </c>
      <c r="V186" s="202">
        <f>IF($C186,$I186-$U186,"")</f>
      </c>
      <c r="W186" s="202">
        <f>IF($C186,IF(OR($J186="Completado",NOT(ISNUMBER($H186))),0,MAX(0,TODAY()-$H186)),"")</f>
      </c>
      <c r="X186" s="202">
        <f>IF($C186,IF(ISNUMBER($H186),$R186-$H186,0),"")</f>
      </c>
      <c r="Y186" s="202">
        <f>IF($C186,COUNTIFS($G$7:$G$200,$G186,$J$7:$J$200,"&lt;&gt;Completado",$J$7:$J$200,"&lt;&gt;"),"")</f>
      </c>
      <c r="Z186" s="202">
        <f>IF($C186,AND($I186=0,'Proyecto Datos (OKR´s)'!$K186&lt;=TODAY(),$J186&lt;&gt;"Completado"),"")</f>
      </c>
      <c r="AA186" s="202">
        <f>IF($C186,ROUND(100*(0.35*$AK186+0.3*$AL186+0.2*$AM186+0.15*MEDIAN(0,($Y186-4)/8,1)),0),"")</f>
      </c>
      <c r="AB186" s="203">
        <f>IF($C186,IF(OR($J186="Completado",$J186="Sin fecha"),"—",IF($AA186&gt;=70,"Crítica",IF($AA186&gt;=45,"Alta",IF($AA186&gt;=25,"Media","Baja")))),"")</f>
      </c>
      <c r="AC186" s="203">
        <f>IF($C186,IF(LEN(TRIM($AN186))=0,"—",TRIM($AN186)),"")</f>
      </c>
      <c r="AD186" s="202">
        <f>IF($C186,$AV186,"")</f>
      </c>
      <c r="AE186" s="202">
        <f>IF($C186,$AZ186,"")</f>
      </c>
      <c r="AF186" s="202" t="b">
        <f>IF($C186,$AV186&lt;&gt;$AR186,FALSE)</f>
        <v>0</v>
      </c>
      <c r="AG186" s="202">
        <f>IF($C186,IF($AV186&lt;&gt;$AR186,$AW186,""),"")</f>
      </c>
      <c r="AH186" s="203">
        <f>IF($C186,IF(ISBLANK('Backlog General'!$K186),"",'Backlog General'!$K186),"")</f>
      </c>
      <c r="AI186" s="202">
        <f>IF($C186,$AV186*100000+ROW(),"")</f>
      </c>
      <c r="AJ186" s="202">
        <f>IF(AND($C186,ISNUMBER($H186)),$AA186*1000000-MEDIAN(-9999,$K186,9999)*100+(300-ROW()),"")</f>
      </c>
      <c r="AK186" s="202">
        <f>IF($C186,IF($J186="Completado",0,IF($K186&lt;0,1,IF($K186&lt;=3,0.9,IF($K186&lt;=7,0.7,IF($K186&lt;=14,0.45,0.2))))),"")</f>
      </c>
      <c r="AL186" s="202">
        <f>IF($C186,IF($J186="Completado",0,MEDIAN(0,MAX(-$V186,$W186/30),1)),"")</f>
      </c>
      <c r="AM186" s="202">
        <f>IF($C186,IF($J186="Completado",0,IF($Z186,1,IF(AND($I186&lt;0.5,$K186&lt;=7),0.7,0.3))),"")</f>
      </c>
      <c r="AN186" s="203">
        <f>IF($C186,IF(OR($V186&lt;-0.2,$W186&gt;0),"ATRASO ","")&amp;IF($Z186,"BLOQUEO ","")&amp;IF($Y186&gt;8,"SOBRECARGA ","")&amp;IF($X186&gt;0,"DESVÍO-PLAN ",""),"")</f>
      </c>
      <c r="AO186" s="203">
        <f>IF($C186,IFERROR(VLOOKUP($D186,'Sprints'!$I$5:$J$12,2,FALSE),"Semanal"),"")</f>
      </c>
      <c r="AP186" s="202">
        <f>IF($C186,IFERROR(VLOOKUP($AO186,'Sprints'!$B$9:$C$11,2,FALSE),1),"")</f>
      </c>
      <c r="AQ186" s="202">
        <f>IF($C186,'Sprints'!$C$5,"")</f>
      </c>
      <c r="AR186" s="202">
        <f>IF(AND($C186,ISNUMBER($H186)),CEILING(MAX(1,INT(($H186-$AQ186+'Sprints'!$D$5-1)/'Sprints'!$D$5)+1)/$AP186,1),"")</f>
      </c>
      <c r="AS186" s="202">
        <f>IF($C186,CEILING(MAX(1,INT((TODAY()-$AQ186+'Sprints'!$D$5-1)/'Sprints'!$D$5)+1)/$AP186,1),"")</f>
      </c>
      <c r="AT186" s="203">
        <f>IF($C186,'Backlog General'!$G186,"")</f>
      </c>
      <c r="AU186" s="203">
        <f>IF($C186,'Backlog General'!$H186,"")</f>
      </c>
      <c r="AV186" s="202">
        <f>IF(AND($C186,ISNUMBER($AR186)),IF(OR($AT186="Completo",$AU186="Cancelado",$AU186="Baja prioridad"),$AR186,IF($AU186="Pasa al siguiente",MAX($AR186+1,$AS186),MAX($AR186,$AS186))),"")</f>
      </c>
      <c r="AW186" s="202">
        <f>IF(AND($C186,ISNUMBER($AR186)),$AQ186+$AR186*$AP186*'Sprints'!$D$5-'Sprints'!$D$5,"")</f>
      </c>
      <c r="AX186" s="202">
        <f>IF($C186,IF(OR($AT186="Completo",$AU186="Cancelado",$AU186="Baja prioridad",NOT(ISNUMBER($AW186))),0,IF(TODAY()&gt;$AW186,NETWORKDAYS($AW186,TODAY(),'Sprints'!$L$5:$L$40)-1,0)),"")</f>
      </c>
      <c r="AY186" s="203">
        <f>IF($C186,IF(NOT(ISNUMBER($AR186)),"Sin fecha",IF($AT186="Completo","Completo",IF($AU186="Cancelado","Cancelado",IF($AU186="Baja prioridad","Baja prioridad",IF($AX186&gt;0,"Vencida","Pendiente"))))),"")</f>
      </c>
      <c r="AZ186" s="203">
        <f>IF($C186,IF(ISNUMBER($AV186),$AO186&amp;" · S"&amp;$AV186,"(Sin fecha)"),"")</f>
      </c>
      <c r="BA186" s="202">
        <f>IF($C186,IF(AND(ISNUMBER('Backlog General'!$M186),'Backlog General'!$M186=$AS186),"Nuevo S"&amp;'Backlog General'!$M186,""),"")</f>
      </c>
      <c r="BB186" s="202">
        <f>IF(AND($C186,$AO186="Semanal",ISNUMBER($AV186)),$AV186*100000+ROW(),"")</f>
      </c>
      <c r="BC186" s="202">
        <f>IF(AND($C186,$AO186="Quincenal",ISNUMBER($AV186)),$AV186*100000+ROW(),"")</f>
      </c>
      <c r="BD186" s="202">
        <f>IF(AND($C186,$AO186="Mensual",ISNUMBER($AV186)),$AV186*100000+ROW(),"")</f>
      </c>
      <c r="BE186" s="203">
        <f>IF($C186,IF(ISBLANK('Backlog General'!$J186),"",'Backlog General'!$J186),"")</f>
      </c>
      <c r="BF186" s="203">
        <f>IF($C186,IF($BE186="","",$BE186)&amp;IF(AND($BE186&lt;&gt;"",$AH186&lt;&gt;"")," · ","")&amp;IF($AH186="","",$AH186),"")</f>
      </c>
      <c r="BG186" s="203">
        <f>IF($C186,IF($J186="Completado","Sí","No"),"")</f>
      </c>
      <c r="BH186" s="202">
        <f>IF(AND($C186,ISNUMBER($AR186)),IF($AO186="Semanal",1,IF($AO186="Quincenal",2,3))*1000000000+$AR186*100000+ROW(),"")</f>
      </c>
    </row>
    <row r="187">
      <c r="A187" s="202">
        <f>ROW()</f>
        <v>187</v>
      </c>
      <c r="B187" s="202" t="b">
        <f>ISTEXT('Proyecto Datos (OKR´s)'!$K187)</f>
        <v>0</v>
      </c>
      <c r="C187" s="202" t="b">
        <f>AND(LEN('Proyecto Datos (OKR´s)'!$G187)&gt;0,NOT($B187),OR(ISNUMBER('Proyecto Datos (OKR´s)'!$F187),ISNUMBER('Proyecto Datos (OKR´s)'!$L187)))</f>
        <v>0</v>
      </c>
      <c r="D187" s="203">
        <f>IF($C187,IFERROR(LOOKUP(2,1/((ISTEXT('Proyecto Datos (OKR´s)'!$K$7:$K187))*(LEN('Proyecto Datos (OKR´s)'!$G$7:$G187)&gt;0)),'Proyecto Datos (OKR´s)'!$G$7:$G187),""),"")</f>
      </c>
      <c r="E187" s="202">
        <f>IF($C187,'Proyecto Datos (OKR´s)'!$E187,"")</f>
      </c>
      <c r="F187" s="203">
        <f>IF($C187,'Proyecto Datos (OKR´s)'!$G187,"")</f>
      </c>
      <c r="G187" s="203">
        <f>IF($C187,IF('Proyecto Datos (OKR´s)'!$I187="","(Sin asignar)",'Proyecto Datos (OKR´s)'!$I187),"")</f>
      </c>
      <c r="H187" s="202">
        <f>IF($C187,IF(ISNUMBER('Proyecto Datos (OKR´s)'!$F187),'Proyecto Datos (OKR´s)'!$F187,""),"")</f>
      </c>
      <c r="I187" s="202">
        <f>IF($C187,'Proyecto Datos (OKR´s)'!$J187,"")</f>
      </c>
      <c r="J187" s="203">
        <f>IF($C187,IF($I187&gt;=1,"Completado",IF(NOT(ISNUMBER($H187)),"Sin fecha",IF($H187&lt;TODAY(),"Vencido",IF(($H187-TODAY())&lt;='Entregas Próximas'!$M$3,"Próximo a vencer","En curso")))),"")</f>
      </c>
      <c r="K187" s="202">
        <f>IF(AND($C187,ISNUMBER($H187)),$H187-TODAY(),"")</f>
      </c>
      <c r="L187" s="202">
        <f>IF(AND($C187,ISNUMBER($H187)),$AD187*1000000+$H187+ROW()/100000,"")</f>
      </c>
      <c r="M187" s="202">
        <f>IF($C187,IF($AD187=9999,"(Sin sprint)",$AD187),"")</f>
      </c>
      <c r="N187" s="202">
        <f>IF($C187,IF('Proyecto Datos (OKR´s)'!$E187="",9999,'Proyecto Datos (OKR´s)'!$E187),"")</f>
      </c>
      <c r="O187" s="202">
        <f>IF($C187,"T"&amp;TEXT(ROW(),"000"),"")</f>
      </c>
      <c r="R187" s="202">
        <f>IF($C187,IF(ISNUMBER('Proyecto Datos (OKR´s)'!$L187),'Proyecto Datos (OKR´s)'!$L187,$H187),"")</f>
      </c>
      <c r="S187" s="202">
        <f>IF($C187,$R187-'Proyecto Datos (OKR´s)'!$K187+1,"")</f>
      </c>
      <c r="T187" s="202">
        <f>IF($C187,MAX(0,TODAY()-'Proyecto Datos (OKR´s)'!$K187),"")</f>
      </c>
      <c r="U187" s="202">
        <f>IF($C187,MEDIAN(0,(TODAY()-'Proyecto Datos (OKR´s)'!$K187)/MAX(1,$R187-'Proyecto Datos (OKR´s)'!$K187),1),"")</f>
      </c>
      <c r="V187" s="202">
        <f>IF($C187,$I187-$U187,"")</f>
      </c>
      <c r="W187" s="202">
        <f>IF($C187,IF(OR($J187="Completado",NOT(ISNUMBER($H187))),0,MAX(0,TODAY()-$H187)),"")</f>
      </c>
      <c r="X187" s="202">
        <f>IF($C187,IF(ISNUMBER($H187),$R187-$H187,0),"")</f>
      </c>
      <c r="Y187" s="202">
        <f>IF($C187,COUNTIFS($G$7:$G$200,$G187,$J$7:$J$200,"&lt;&gt;Completado",$J$7:$J$200,"&lt;&gt;"),"")</f>
      </c>
      <c r="Z187" s="202">
        <f>IF($C187,AND($I187=0,'Proyecto Datos (OKR´s)'!$K187&lt;=TODAY(),$J187&lt;&gt;"Completado"),"")</f>
      </c>
      <c r="AA187" s="202">
        <f>IF($C187,ROUND(100*(0.35*$AK187+0.3*$AL187+0.2*$AM187+0.15*MEDIAN(0,($Y187-4)/8,1)),0),"")</f>
      </c>
      <c r="AB187" s="203">
        <f>IF($C187,IF(OR($J187="Completado",$J187="Sin fecha"),"—",IF($AA187&gt;=70,"Crítica",IF($AA187&gt;=45,"Alta",IF($AA187&gt;=25,"Media","Baja")))),"")</f>
      </c>
      <c r="AC187" s="203">
        <f>IF($C187,IF(LEN(TRIM($AN187))=0,"—",TRIM($AN187)),"")</f>
      </c>
      <c r="AD187" s="202">
        <f>IF($C187,$AV187,"")</f>
      </c>
      <c r="AE187" s="202">
        <f>IF($C187,$AZ187,"")</f>
      </c>
      <c r="AF187" s="202" t="b">
        <f>IF($C187,$AV187&lt;&gt;$AR187,FALSE)</f>
        <v>0</v>
      </c>
      <c r="AG187" s="202">
        <f>IF($C187,IF($AV187&lt;&gt;$AR187,$AW187,""),"")</f>
      </c>
      <c r="AH187" s="203">
        <f>IF($C187,IF(ISBLANK('Backlog General'!$K187),"",'Backlog General'!$K187),"")</f>
      </c>
      <c r="AI187" s="202">
        <f>IF($C187,$AV187*100000+ROW(),"")</f>
      </c>
      <c r="AJ187" s="202">
        <f>IF(AND($C187,ISNUMBER($H187)),$AA187*1000000-MEDIAN(-9999,$K187,9999)*100+(300-ROW()),"")</f>
      </c>
      <c r="AK187" s="202">
        <f>IF($C187,IF($J187="Completado",0,IF($K187&lt;0,1,IF($K187&lt;=3,0.9,IF($K187&lt;=7,0.7,IF($K187&lt;=14,0.45,0.2))))),"")</f>
      </c>
      <c r="AL187" s="202">
        <f>IF($C187,IF($J187="Completado",0,MEDIAN(0,MAX(-$V187,$W187/30),1)),"")</f>
      </c>
      <c r="AM187" s="202">
        <f>IF($C187,IF($J187="Completado",0,IF($Z187,1,IF(AND($I187&lt;0.5,$K187&lt;=7),0.7,0.3))),"")</f>
      </c>
      <c r="AN187" s="203">
        <f>IF($C187,IF(OR($V187&lt;-0.2,$W187&gt;0),"ATRASO ","")&amp;IF($Z187,"BLOQUEO ","")&amp;IF($Y187&gt;8,"SOBRECARGA ","")&amp;IF($X187&gt;0,"DESVÍO-PLAN ",""),"")</f>
      </c>
      <c r="AO187" s="203">
        <f>IF($C187,IFERROR(VLOOKUP($D187,'Sprints'!$I$5:$J$12,2,FALSE),"Semanal"),"")</f>
      </c>
      <c r="AP187" s="202">
        <f>IF($C187,IFERROR(VLOOKUP($AO187,'Sprints'!$B$9:$C$11,2,FALSE),1),"")</f>
      </c>
      <c r="AQ187" s="202">
        <f>IF($C187,'Sprints'!$C$5,"")</f>
      </c>
      <c r="AR187" s="202">
        <f>IF(AND($C187,ISNUMBER($H187)),CEILING(MAX(1,INT(($H187-$AQ187+'Sprints'!$D$5-1)/'Sprints'!$D$5)+1)/$AP187,1),"")</f>
      </c>
      <c r="AS187" s="202">
        <f>IF($C187,CEILING(MAX(1,INT((TODAY()-$AQ187+'Sprints'!$D$5-1)/'Sprints'!$D$5)+1)/$AP187,1),"")</f>
      </c>
      <c r="AT187" s="203">
        <f>IF($C187,'Backlog General'!$G187,"")</f>
      </c>
      <c r="AU187" s="203">
        <f>IF($C187,'Backlog General'!$H187,"")</f>
      </c>
      <c r="AV187" s="202">
        <f>IF(AND($C187,ISNUMBER($AR187)),IF(OR($AT187="Completo",$AU187="Cancelado",$AU187="Baja prioridad"),$AR187,IF($AU187="Pasa al siguiente",MAX($AR187+1,$AS187),MAX($AR187,$AS187))),"")</f>
      </c>
      <c r="AW187" s="202">
        <f>IF(AND($C187,ISNUMBER($AR187)),$AQ187+$AR187*$AP187*'Sprints'!$D$5-'Sprints'!$D$5,"")</f>
      </c>
      <c r="AX187" s="202">
        <f>IF($C187,IF(OR($AT187="Completo",$AU187="Cancelado",$AU187="Baja prioridad",NOT(ISNUMBER($AW187))),0,IF(TODAY()&gt;$AW187,NETWORKDAYS($AW187,TODAY(),'Sprints'!$L$5:$L$40)-1,0)),"")</f>
      </c>
      <c r="AY187" s="203">
        <f>IF($C187,IF(NOT(ISNUMBER($AR187)),"Sin fecha",IF($AT187="Completo","Completo",IF($AU187="Cancelado","Cancelado",IF($AU187="Baja prioridad","Baja prioridad",IF($AX187&gt;0,"Vencida","Pendiente"))))),"")</f>
      </c>
      <c r="AZ187" s="203">
        <f>IF($C187,IF(ISNUMBER($AV187),$AO187&amp;" · S"&amp;$AV187,"(Sin fecha)"),"")</f>
      </c>
      <c r="BA187" s="202">
        <f>IF($C187,IF(AND(ISNUMBER('Backlog General'!$M187),'Backlog General'!$M187=$AS187),"Nuevo S"&amp;'Backlog General'!$M187,""),"")</f>
      </c>
      <c r="BB187" s="202">
        <f>IF(AND($C187,$AO187="Semanal",ISNUMBER($AV187)),$AV187*100000+ROW(),"")</f>
      </c>
      <c r="BC187" s="202">
        <f>IF(AND($C187,$AO187="Quincenal",ISNUMBER($AV187)),$AV187*100000+ROW(),"")</f>
      </c>
      <c r="BD187" s="202">
        <f>IF(AND($C187,$AO187="Mensual",ISNUMBER($AV187)),$AV187*100000+ROW(),"")</f>
      </c>
      <c r="BE187" s="203">
        <f>IF($C187,IF(ISBLANK('Backlog General'!$J187),"",'Backlog General'!$J187),"")</f>
      </c>
      <c r="BF187" s="203">
        <f>IF($C187,IF($BE187="","",$BE187)&amp;IF(AND($BE187&lt;&gt;"",$AH187&lt;&gt;"")," · ","")&amp;IF($AH187="","",$AH187),"")</f>
      </c>
      <c r="BG187" s="203">
        <f>IF($C187,IF($J187="Completado","Sí","No"),"")</f>
      </c>
      <c r="BH187" s="202">
        <f>IF(AND($C187,ISNUMBER($AR187)),IF($AO187="Semanal",1,IF($AO187="Quincenal",2,3))*1000000000+$AR187*100000+ROW(),"")</f>
      </c>
    </row>
    <row r="188">
      <c r="A188" s="202">
        <f>ROW()</f>
        <v>188</v>
      </c>
      <c r="B188" s="202" t="b">
        <f>ISTEXT('Proyecto Datos (OKR´s)'!$K188)</f>
        <v>0</v>
      </c>
      <c r="C188" s="202" t="b">
        <f>AND(LEN('Proyecto Datos (OKR´s)'!$G188)&gt;0,NOT($B188),OR(ISNUMBER('Proyecto Datos (OKR´s)'!$F188),ISNUMBER('Proyecto Datos (OKR´s)'!$L188)))</f>
        <v>0</v>
      </c>
      <c r="D188" s="203">
        <f>IF($C188,IFERROR(LOOKUP(2,1/((ISTEXT('Proyecto Datos (OKR´s)'!$K$7:$K188))*(LEN('Proyecto Datos (OKR´s)'!$G$7:$G188)&gt;0)),'Proyecto Datos (OKR´s)'!$G$7:$G188),""),"")</f>
      </c>
      <c r="E188" s="202">
        <f>IF($C188,'Proyecto Datos (OKR´s)'!$E188,"")</f>
      </c>
      <c r="F188" s="203">
        <f>IF($C188,'Proyecto Datos (OKR´s)'!$G188,"")</f>
      </c>
      <c r="G188" s="203">
        <f>IF($C188,IF('Proyecto Datos (OKR´s)'!$I188="","(Sin asignar)",'Proyecto Datos (OKR´s)'!$I188),"")</f>
      </c>
      <c r="H188" s="202">
        <f>IF($C188,IF(ISNUMBER('Proyecto Datos (OKR´s)'!$F188),'Proyecto Datos (OKR´s)'!$F188,""),"")</f>
      </c>
      <c r="I188" s="202">
        <f>IF($C188,'Proyecto Datos (OKR´s)'!$J188,"")</f>
      </c>
      <c r="J188" s="203">
        <f>IF($C188,IF($I188&gt;=1,"Completado",IF(NOT(ISNUMBER($H188)),"Sin fecha",IF($H188&lt;TODAY(),"Vencido",IF(($H188-TODAY())&lt;='Entregas Próximas'!$M$3,"Próximo a vencer","En curso")))),"")</f>
      </c>
      <c r="K188" s="202">
        <f>IF(AND($C188,ISNUMBER($H188)),$H188-TODAY(),"")</f>
      </c>
      <c r="L188" s="202">
        <f>IF(AND($C188,ISNUMBER($H188)),$AD188*1000000+$H188+ROW()/100000,"")</f>
      </c>
      <c r="M188" s="202">
        <f>IF($C188,IF($AD188=9999,"(Sin sprint)",$AD188),"")</f>
      </c>
      <c r="N188" s="202">
        <f>IF($C188,IF('Proyecto Datos (OKR´s)'!$E188="",9999,'Proyecto Datos (OKR´s)'!$E188),"")</f>
      </c>
      <c r="O188" s="202">
        <f>IF($C188,"T"&amp;TEXT(ROW(),"000"),"")</f>
      </c>
      <c r="R188" s="202">
        <f>IF($C188,IF(ISNUMBER('Proyecto Datos (OKR´s)'!$L188),'Proyecto Datos (OKR´s)'!$L188,$H188),"")</f>
      </c>
      <c r="S188" s="202">
        <f>IF($C188,$R188-'Proyecto Datos (OKR´s)'!$K188+1,"")</f>
      </c>
      <c r="T188" s="202">
        <f>IF($C188,MAX(0,TODAY()-'Proyecto Datos (OKR´s)'!$K188),"")</f>
      </c>
      <c r="U188" s="202">
        <f>IF($C188,MEDIAN(0,(TODAY()-'Proyecto Datos (OKR´s)'!$K188)/MAX(1,$R188-'Proyecto Datos (OKR´s)'!$K188),1),"")</f>
      </c>
      <c r="V188" s="202">
        <f>IF($C188,$I188-$U188,"")</f>
      </c>
      <c r="W188" s="202">
        <f>IF($C188,IF(OR($J188="Completado",NOT(ISNUMBER($H188))),0,MAX(0,TODAY()-$H188)),"")</f>
      </c>
      <c r="X188" s="202">
        <f>IF($C188,IF(ISNUMBER($H188),$R188-$H188,0),"")</f>
      </c>
      <c r="Y188" s="202">
        <f>IF($C188,COUNTIFS($G$7:$G$200,$G188,$J$7:$J$200,"&lt;&gt;Completado",$J$7:$J$200,"&lt;&gt;"),"")</f>
      </c>
      <c r="Z188" s="202">
        <f>IF($C188,AND($I188=0,'Proyecto Datos (OKR´s)'!$K188&lt;=TODAY(),$J188&lt;&gt;"Completado"),"")</f>
      </c>
      <c r="AA188" s="202">
        <f>IF($C188,ROUND(100*(0.35*$AK188+0.3*$AL188+0.2*$AM188+0.15*MEDIAN(0,($Y188-4)/8,1)),0),"")</f>
      </c>
      <c r="AB188" s="203">
        <f>IF($C188,IF(OR($J188="Completado",$J188="Sin fecha"),"—",IF($AA188&gt;=70,"Crítica",IF($AA188&gt;=45,"Alta",IF($AA188&gt;=25,"Media","Baja")))),"")</f>
      </c>
      <c r="AC188" s="203">
        <f>IF($C188,IF(LEN(TRIM($AN188))=0,"—",TRIM($AN188)),"")</f>
      </c>
      <c r="AD188" s="202">
        <f>IF($C188,$AV188,"")</f>
      </c>
      <c r="AE188" s="202">
        <f>IF($C188,$AZ188,"")</f>
      </c>
      <c r="AF188" s="202" t="b">
        <f>IF($C188,$AV188&lt;&gt;$AR188,FALSE)</f>
        <v>0</v>
      </c>
      <c r="AG188" s="202">
        <f>IF($C188,IF($AV188&lt;&gt;$AR188,$AW188,""),"")</f>
      </c>
      <c r="AH188" s="203">
        <f>IF($C188,IF(ISBLANK('Backlog General'!$K188),"",'Backlog General'!$K188),"")</f>
      </c>
      <c r="AI188" s="202">
        <f>IF($C188,$AV188*100000+ROW(),"")</f>
      </c>
      <c r="AJ188" s="202">
        <f>IF(AND($C188,ISNUMBER($H188)),$AA188*1000000-MEDIAN(-9999,$K188,9999)*100+(300-ROW()),"")</f>
      </c>
      <c r="AK188" s="202">
        <f>IF($C188,IF($J188="Completado",0,IF($K188&lt;0,1,IF($K188&lt;=3,0.9,IF($K188&lt;=7,0.7,IF($K188&lt;=14,0.45,0.2))))),"")</f>
      </c>
      <c r="AL188" s="202">
        <f>IF($C188,IF($J188="Completado",0,MEDIAN(0,MAX(-$V188,$W188/30),1)),"")</f>
      </c>
      <c r="AM188" s="202">
        <f>IF($C188,IF($J188="Completado",0,IF($Z188,1,IF(AND($I188&lt;0.5,$K188&lt;=7),0.7,0.3))),"")</f>
      </c>
      <c r="AN188" s="203">
        <f>IF($C188,IF(OR($V188&lt;-0.2,$W188&gt;0),"ATRASO ","")&amp;IF($Z188,"BLOQUEO ","")&amp;IF($Y188&gt;8,"SOBRECARGA ","")&amp;IF($X188&gt;0,"DESVÍO-PLAN ",""),"")</f>
      </c>
      <c r="AO188" s="203">
        <f>IF($C188,IFERROR(VLOOKUP($D188,'Sprints'!$I$5:$J$12,2,FALSE),"Semanal"),"")</f>
      </c>
      <c r="AP188" s="202">
        <f>IF($C188,IFERROR(VLOOKUP($AO188,'Sprints'!$B$9:$C$11,2,FALSE),1),"")</f>
      </c>
      <c r="AQ188" s="202">
        <f>IF($C188,'Sprints'!$C$5,"")</f>
      </c>
      <c r="AR188" s="202">
        <f>IF(AND($C188,ISNUMBER($H188)),CEILING(MAX(1,INT(($H188-$AQ188+'Sprints'!$D$5-1)/'Sprints'!$D$5)+1)/$AP188,1),"")</f>
      </c>
      <c r="AS188" s="202">
        <f>IF($C188,CEILING(MAX(1,INT((TODAY()-$AQ188+'Sprints'!$D$5-1)/'Sprints'!$D$5)+1)/$AP188,1),"")</f>
      </c>
      <c r="AT188" s="203">
        <f>IF($C188,'Backlog General'!$G188,"")</f>
      </c>
      <c r="AU188" s="203">
        <f>IF($C188,'Backlog General'!$H188,"")</f>
      </c>
      <c r="AV188" s="202">
        <f>IF(AND($C188,ISNUMBER($AR188)),IF(OR($AT188="Completo",$AU188="Cancelado",$AU188="Baja prioridad"),$AR188,IF($AU188="Pasa al siguiente",MAX($AR188+1,$AS188),MAX($AR188,$AS188))),"")</f>
      </c>
      <c r="AW188" s="202">
        <f>IF(AND($C188,ISNUMBER($AR188)),$AQ188+$AR188*$AP188*'Sprints'!$D$5-'Sprints'!$D$5,"")</f>
      </c>
      <c r="AX188" s="202">
        <f>IF($C188,IF(OR($AT188="Completo",$AU188="Cancelado",$AU188="Baja prioridad",NOT(ISNUMBER($AW188))),0,IF(TODAY()&gt;$AW188,NETWORKDAYS($AW188,TODAY(),'Sprints'!$L$5:$L$40)-1,0)),"")</f>
      </c>
      <c r="AY188" s="203">
        <f>IF($C188,IF(NOT(ISNUMBER($AR188)),"Sin fecha",IF($AT188="Completo","Completo",IF($AU188="Cancelado","Cancelado",IF($AU188="Baja prioridad","Baja prioridad",IF($AX188&gt;0,"Vencida","Pendiente"))))),"")</f>
      </c>
      <c r="AZ188" s="203">
        <f>IF($C188,IF(ISNUMBER($AV188),$AO188&amp;" · S"&amp;$AV188,"(Sin fecha)"),"")</f>
      </c>
      <c r="BA188" s="202">
        <f>IF($C188,IF(AND(ISNUMBER('Backlog General'!$M188),'Backlog General'!$M188=$AS188),"Nuevo S"&amp;'Backlog General'!$M188,""),"")</f>
      </c>
      <c r="BB188" s="202">
        <f>IF(AND($C188,$AO188="Semanal",ISNUMBER($AV188)),$AV188*100000+ROW(),"")</f>
      </c>
      <c r="BC188" s="202">
        <f>IF(AND($C188,$AO188="Quincenal",ISNUMBER($AV188)),$AV188*100000+ROW(),"")</f>
      </c>
      <c r="BD188" s="202">
        <f>IF(AND($C188,$AO188="Mensual",ISNUMBER($AV188)),$AV188*100000+ROW(),"")</f>
      </c>
      <c r="BE188" s="203">
        <f>IF($C188,IF(ISBLANK('Backlog General'!$J188),"",'Backlog General'!$J188),"")</f>
      </c>
      <c r="BF188" s="203">
        <f>IF($C188,IF($BE188="","",$BE188)&amp;IF(AND($BE188&lt;&gt;"",$AH188&lt;&gt;"")," · ","")&amp;IF($AH188="","",$AH188),"")</f>
      </c>
      <c r="BG188" s="203">
        <f>IF($C188,IF($J188="Completado","Sí","No"),"")</f>
      </c>
      <c r="BH188" s="202">
        <f>IF(AND($C188,ISNUMBER($AR188)),IF($AO188="Semanal",1,IF($AO188="Quincenal",2,3))*1000000000+$AR188*100000+ROW(),"")</f>
      </c>
    </row>
    <row r="189">
      <c r="A189" s="202">
        <f>ROW()</f>
        <v>189</v>
      </c>
      <c r="B189" s="202" t="b">
        <f>ISTEXT('Proyecto Datos (OKR´s)'!$K189)</f>
        <v>0</v>
      </c>
      <c r="C189" s="202" t="b">
        <f>AND(LEN('Proyecto Datos (OKR´s)'!$G189)&gt;0,NOT($B189),OR(ISNUMBER('Proyecto Datos (OKR´s)'!$F189),ISNUMBER('Proyecto Datos (OKR´s)'!$L189)))</f>
        <v>0</v>
      </c>
      <c r="D189" s="203">
        <f>IF($C189,IFERROR(LOOKUP(2,1/((ISTEXT('Proyecto Datos (OKR´s)'!$K$7:$K189))*(LEN('Proyecto Datos (OKR´s)'!$G$7:$G189)&gt;0)),'Proyecto Datos (OKR´s)'!$G$7:$G189),""),"")</f>
      </c>
      <c r="E189" s="202">
        <f>IF($C189,'Proyecto Datos (OKR´s)'!$E189,"")</f>
      </c>
      <c r="F189" s="203">
        <f>IF($C189,'Proyecto Datos (OKR´s)'!$G189,"")</f>
      </c>
      <c r="G189" s="203">
        <f>IF($C189,IF('Proyecto Datos (OKR´s)'!$I189="","(Sin asignar)",'Proyecto Datos (OKR´s)'!$I189),"")</f>
      </c>
      <c r="H189" s="202">
        <f>IF($C189,IF(ISNUMBER('Proyecto Datos (OKR´s)'!$F189),'Proyecto Datos (OKR´s)'!$F189,""),"")</f>
      </c>
      <c r="I189" s="202">
        <f>IF($C189,'Proyecto Datos (OKR´s)'!$J189,"")</f>
      </c>
      <c r="J189" s="203">
        <f>IF($C189,IF($I189&gt;=1,"Completado",IF(NOT(ISNUMBER($H189)),"Sin fecha",IF($H189&lt;TODAY(),"Vencido",IF(($H189-TODAY())&lt;='Entregas Próximas'!$M$3,"Próximo a vencer","En curso")))),"")</f>
      </c>
      <c r="K189" s="202">
        <f>IF(AND($C189,ISNUMBER($H189)),$H189-TODAY(),"")</f>
      </c>
      <c r="L189" s="202">
        <f>IF(AND($C189,ISNUMBER($H189)),$AD189*1000000+$H189+ROW()/100000,"")</f>
      </c>
      <c r="M189" s="202">
        <f>IF($C189,IF($AD189=9999,"(Sin sprint)",$AD189),"")</f>
      </c>
      <c r="N189" s="202">
        <f>IF($C189,IF('Proyecto Datos (OKR´s)'!$E189="",9999,'Proyecto Datos (OKR´s)'!$E189),"")</f>
      </c>
      <c r="O189" s="202">
        <f>IF($C189,"T"&amp;TEXT(ROW(),"000"),"")</f>
      </c>
      <c r="R189" s="202">
        <f>IF($C189,IF(ISNUMBER('Proyecto Datos (OKR´s)'!$L189),'Proyecto Datos (OKR´s)'!$L189,$H189),"")</f>
      </c>
      <c r="S189" s="202">
        <f>IF($C189,$R189-'Proyecto Datos (OKR´s)'!$K189+1,"")</f>
      </c>
      <c r="T189" s="202">
        <f>IF($C189,MAX(0,TODAY()-'Proyecto Datos (OKR´s)'!$K189),"")</f>
      </c>
      <c r="U189" s="202">
        <f>IF($C189,MEDIAN(0,(TODAY()-'Proyecto Datos (OKR´s)'!$K189)/MAX(1,$R189-'Proyecto Datos (OKR´s)'!$K189),1),"")</f>
      </c>
      <c r="V189" s="202">
        <f>IF($C189,$I189-$U189,"")</f>
      </c>
      <c r="W189" s="202">
        <f>IF($C189,IF(OR($J189="Completado",NOT(ISNUMBER($H189))),0,MAX(0,TODAY()-$H189)),"")</f>
      </c>
      <c r="X189" s="202">
        <f>IF($C189,IF(ISNUMBER($H189),$R189-$H189,0),"")</f>
      </c>
      <c r="Y189" s="202">
        <f>IF($C189,COUNTIFS($G$7:$G$200,$G189,$J$7:$J$200,"&lt;&gt;Completado",$J$7:$J$200,"&lt;&gt;"),"")</f>
      </c>
      <c r="Z189" s="202">
        <f>IF($C189,AND($I189=0,'Proyecto Datos (OKR´s)'!$K189&lt;=TODAY(),$J189&lt;&gt;"Completado"),"")</f>
      </c>
      <c r="AA189" s="202">
        <f>IF($C189,ROUND(100*(0.35*$AK189+0.3*$AL189+0.2*$AM189+0.15*MEDIAN(0,($Y189-4)/8,1)),0),"")</f>
      </c>
      <c r="AB189" s="203">
        <f>IF($C189,IF(OR($J189="Completado",$J189="Sin fecha"),"—",IF($AA189&gt;=70,"Crítica",IF($AA189&gt;=45,"Alta",IF($AA189&gt;=25,"Media","Baja")))),"")</f>
      </c>
      <c r="AC189" s="203">
        <f>IF($C189,IF(LEN(TRIM($AN189))=0,"—",TRIM($AN189)),"")</f>
      </c>
      <c r="AD189" s="202">
        <f>IF($C189,$AV189,"")</f>
      </c>
      <c r="AE189" s="202">
        <f>IF($C189,$AZ189,"")</f>
      </c>
      <c r="AF189" s="202" t="b">
        <f>IF($C189,$AV189&lt;&gt;$AR189,FALSE)</f>
        <v>0</v>
      </c>
      <c r="AG189" s="202">
        <f>IF($C189,IF($AV189&lt;&gt;$AR189,$AW189,""),"")</f>
      </c>
      <c r="AH189" s="203">
        <f>IF($C189,IF(ISBLANK('Backlog General'!$K189),"",'Backlog General'!$K189),"")</f>
      </c>
      <c r="AI189" s="202">
        <f>IF($C189,$AV189*100000+ROW(),"")</f>
      </c>
      <c r="AJ189" s="202">
        <f>IF(AND($C189,ISNUMBER($H189)),$AA189*1000000-MEDIAN(-9999,$K189,9999)*100+(300-ROW()),"")</f>
      </c>
      <c r="AK189" s="202">
        <f>IF($C189,IF($J189="Completado",0,IF($K189&lt;0,1,IF($K189&lt;=3,0.9,IF($K189&lt;=7,0.7,IF($K189&lt;=14,0.45,0.2))))),"")</f>
      </c>
      <c r="AL189" s="202">
        <f>IF($C189,IF($J189="Completado",0,MEDIAN(0,MAX(-$V189,$W189/30),1)),"")</f>
      </c>
      <c r="AM189" s="202">
        <f>IF($C189,IF($J189="Completado",0,IF($Z189,1,IF(AND($I189&lt;0.5,$K189&lt;=7),0.7,0.3))),"")</f>
      </c>
      <c r="AN189" s="203">
        <f>IF($C189,IF(OR($V189&lt;-0.2,$W189&gt;0),"ATRASO ","")&amp;IF($Z189,"BLOQUEO ","")&amp;IF($Y189&gt;8,"SOBRECARGA ","")&amp;IF($X189&gt;0,"DESVÍO-PLAN ",""),"")</f>
      </c>
      <c r="AO189" s="203">
        <f>IF($C189,IFERROR(VLOOKUP($D189,'Sprints'!$I$5:$J$12,2,FALSE),"Semanal"),"")</f>
      </c>
      <c r="AP189" s="202">
        <f>IF($C189,IFERROR(VLOOKUP($AO189,'Sprints'!$B$9:$C$11,2,FALSE),1),"")</f>
      </c>
      <c r="AQ189" s="202">
        <f>IF($C189,'Sprints'!$C$5,"")</f>
      </c>
      <c r="AR189" s="202">
        <f>IF(AND($C189,ISNUMBER($H189)),CEILING(MAX(1,INT(($H189-$AQ189+'Sprints'!$D$5-1)/'Sprints'!$D$5)+1)/$AP189,1),"")</f>
      </c>
      <c r="AS189" s="202">
        <f>IF($C189,CEILING(MAX(1,INT((TODAY()-$AQ189+'Sprints'!$D$5-1)/'Sprints'!$D$5)+1)/$AP189,1),"")</f>
      </c>
      <c r="AT189" s="203">
        <f>IF($C189,'Backlog General'!$G189,"")</f>
      </c>
      <c r="AU189" s="203">
        <f>IF($C189,'Backlog General'!$H189,"")</f>
      </c>
      <c r="AV189" s="202">
        <f>IF(AND($C189,ISNUMBER($AR189)),IF(OR($AT189="Completo",$AU189="Cancelado",$AU189="Baja prioridad"),$AR189,IF($AU189="Pasa al siguiente",MAX($AR189+1,$AS189),MAX($AR189,$AS189))),"")</f>
      </c>
      <c r="AW189" s="202">
        <f>IF(AND($C189,ISNUMBER($AR189)),$AQ189+$AR189*$AP189*'Sprints'!$D$5-'Sprints'!$D$5,"")</f>
      </c>
      <c r="AX189" s="202">
        <f>IF($C189,IF(OR($AT189="Completo",$AU189="Cancelado",$AU189="Baja prioridad",NOT(ISNUMBER($AW189))),0,IF(TODAY()&gt;$AW189,NETWORKDAYS($AW189,TODAY(),'Sprints'!$L$5:$L$40)-1,0)),"")</f>
      </c>
      <c r="AY189" s="203">
        <f>IF($C189,IF(NOT(ISNUMBER($AR189)),"Sin fecha",IF($AT189="Completo","Completo",IF($AU189="Cancelado","Cancelado",IF($AU189="Baja prioridad","Baja prioridad",IF($AX189&gt;0,"Vencida","Pendiente"))))),"")</f>
      </c>
      <c r="AZ189" s="203">
        <f>IF($C189,IF(ISNUMBER($AV189),$AO189&amp;" · S"&amp;$AV189,"(Sin fecha)"),"")</f>
      </c>
      <c r="BA189" s="202">
        <f>IF($C189,IF(AND(ISNUMBER('Backlog General'!$M189),'Backlog General'!$M189=$AS189),"Nuevo S"&amp;'Backlog General'!$M189,""),"")</f>
      </c>
      <c r="BB189" s="202">
        <f>IF(AND($C189,$AO189="Semanal",ISNUMBER($AV189)),$AV189*100000+ROW(),"")</f>
      </c>
      <c r="BC189" s="202">
        <f>IF(AND($C189,$AO189="Quincenal",ISNUMBER($AV189)),$AV189*100000+ROW(),"")</f>
      </c>
      <c r="BD189" s="202">
        <f>IF(AND($C189,$AO189="Mensual",ISNUMBER($AV189)),$AV189*100000+ROW(),"")</f>
      </c>
      <c r="BE189" s="203">
        <f>IF($C189,IF(ISBLANK('Backlog General'!$J189),"",'Backlog General'!$J189),"")</f>
      </c>
      <c r="BF189" s="203">
        <f>IF($C189,IF($BE189="","",$BE189)&amp;IF(AND($BE189&lt;&gt;"",$AH189&lt;&gt;"")," · ","")&amp;IF($AH189="","",$AH189),"")</f>
      </c>
      <c r="BG189" s="203">
        <f>IF($C189,IF($J189="Completado","Sí","No"),"")</f>
      </c>
      <c r="BH189" s="202">
        <f>IF(AND($C189,ISNUMBER($AR189)),IF($AO189="Semanal",1,IF($AO189="Quincenal",2,3))*1000000000+$AR189*100000+ROW(),"")</f>
      </c>
    </row>
    <row r="190">
      <c r="A190" s="202">
        <f>ROW()</f>
        <v>190</v>
      </c>
      <c r="B190" s="202" t="b">
        <f>ISTEXT('Proyecto Datos (OKR´s)'!$K190)</f>
        <v>0</v>
      </c>
      <c r="C190" s="202" t="b">
        <f>AND(LEN('Proyecto Datos (OKR´s)'!$G190)&gt;0,NOT($B190),OR(ISNUMBER('Proyecto Datos (OKR´s)'!$F190),ISNUMBER('Proyecto Datos (OKR´s)'!$L190)))</f>
        <v>0</v>
      </c>
      <c r="D190" s="203">
        <f>IF($C190,IFERROR(LOOKUP(2,1/((ISTEXT('Proyecto Datos (OKR´s)'!$K$7:$K190))*(LEN('Proyecto Datos (OKR´s)'!$G$7:$G190)&gt;0)),'Proyecto Datos (OKR´s)'!$G$7:$G190),""),"")</f>
      </c>
      <c r="E190" s="202">
        <f>IF($C190,'Proyecto Datos (OKR´s)'!$E190,"")</f>
      </c>
      <c r="F190" s="203">
        <f>IF($C190,'Proyecto Datos (OKR´s)'!$G190,"")</f>
      </c>
      <c r="G190" s="203">
        <f>IF($C190,IF('Proyecto Datos (OKR´s)'!$I190="","(Sin asignar)",'Proyecto Datos (OKR´s)'!$I190),"")</f>
      </c>
      <c r="H190" s="202">
        <f>IF($C190,IF(ISNUMBER('Proyecto Datos (OKR´s)'!$F190),'Proyecto Datos (OKR´s)'!$F190,""),"")</f>
      </c>
      <c r="I190" s="202">
        <f>IF($C190,'Proyecto Datos (OKR´s)'!$J190,"")</f>
      </c>
      <c r="J190" s="203">
        <f>IF($C190,IF($I190&gt;=1,"Completado",IF(NOT(ISNUMBER($H190)),"Sin fecha",IF($H190&lt;TODAY(),"Vencido",IF(($H190-TODAY())&lt;='Entregas Próximas'!$M$3,"Próximo a vencer","En curso")))),"")</f>
      </c>
      <c r="K190" s="202">
        <f>IF(AND($C190,ISNUMBER($H190)),$H190-TODAY(),"")</f>
      </c>
      <c r="L190" s="202">
        <f>IF(AND($C190,ISNUMBER($H190)),$AD190*1000000+$H190+ROW()/100000,"")</f>
      </c>
      <c r="M190" s="202">
        <f>IF($C190,IF($AD190=9999,"(Sin sprint)",$AD190),"")</f>
      </c>
      <c r="N190" s="202">
        <f>IF($C190,IF('Proyecto Datos (OKR´s)'!$E190="",9999,'Proyecto Datos (OKR´s)'!$E190),"")</f>
      </c>
      <c r="O190" s="202">
        <f>IF($C190,"T"&amp;TEXT(ROW(),"000"),"")</f>
      </c>
      <c r="R190" s="202">
        <f>IF($C190,IF(ISNUMBER('Proyecto Datos (OKR´s)'!$L190),'Proyecto Datos (OKR´s)'!$L190,$H190),"")</f>
      </c>
      <c r="S190" s="202">
        <f>IF($C190,$R190-'Proyecto Datos (OKR´s)'!$K190+1,"")</f>
      </c>
      <c r="T190" s="202">
        <f>IF($C190,MAX(0,TODAY()-'Proyecto Datos (OKR´s)'!$K190),"")</f>
      </c>
      <c r="U190" s="202">
        <f>IF($C190,MEDIAN(0,(TODAY()-'Proyecto Datos (OKR´s)'!$K190)/MAX(1,$R190-'Proyecto Datos (OKR´s)'!$K190),1),"")</f>
      </c>
      <c r="V190" s="202">
        <f>IF($C190,$I190-$U190,"")</f>
      </c>
      <c r="W190" s="202">
        <f>IF($C190,IF(OR($J190="Completado",NOT(ISNUMBER($H190))),0,MAX(0,TODAY()-$H190)),"")</f>
      </c>
      <c r="X190" s="202">
        <f>IF($C190,IF(ISNUMBER($H190),$R190-$H190,0),"")</f>
      </c>
      <c r="Y190" s="202">
        <f>IF($C190,COUNTIFS($G$7:$G$200,$G190,$J$7:$J$200,"&lt;&gt;Completado",$J$7:$J$200,"&lt;&gt;"),"")</f>
      </c>
      <c r="Z190" s="202">
        <f>IF($C190,AND($I190=0,'Proyecto Datos (OKR´s)'!$K190&lt;=TODAY(),$J190&lt;&gt;"Completado"),"")</f>
      </c>
      <c r="AA190" s="202">
        <f>IF($C190,ROUND(100*(0.35*$AK190+0.3*$AL190+0.2*$AM190+0.15*MEDIAN(0,($Y190-4)/8,1)),0),"")</f>
      </c>
      <c r="AB190" s="203">
        <f>IF($C190,IF(OR($J190="Completado",$J190="Sin fecha"),"—",IF($AA190&gt;=70,"Crítica",IF($AA190&gt;=45,"Alta",IF($AA190&gt;=25,"Media","Baja")))),"")</f>
      </c>
      <c r="AC190" s="203">
        <f>IF($C190,IF(LEN(TRIM($AN190))=0,"—",TRIM($AN190)),"")</f>
      </c>
      <c r="AD190" s="202">
        <f>IF($C190,$AV190,"")</f>
      </c>
      <c r="AE190" s="202">
        <f>IF($C190,$AZ190,"")</f>
      </c>
      <c r="AF190" s="202" t="b">
        <f>IF($C190,$AV190&lt;&gt;$AR190,FALSE)</f>
        <v>0</v>
      </c>
      <c r="AG190" s="202">
        <f>IF($C190,IF($AV190&lt;&gt;$AR190,$AW190,""),"")</f>
      </c>
      <c r="AH190" s="203">
        <f>IF($C190,IF(ISBLANK('Backlog General'!$K190),"",'Backlog General'!$K190),"")</f>
      </c>
      <c r="AI190" s="202">
        <f>IF($C190,$AV190*100000+ROW(),"")</f>
      </c>
      <c r="AJ190" s="202">
        <f>IF(AND($C190,ISNUMBER($H190)),$AA190*1000000-MEDIAN(-9999,$K190,9999)*100+(300-ROW()),"")</f>
      </c>
      <c r="AK190" s="202">
        <f>IF($C190,IF($J190="Completado",0,IF($K190&lt;0,1,IF($K190&lt;=3,0.9,IF($K190&lt;=7,0.7,IF($K190&lt;=14,0.45,0.2))))),"")</f>
      </c>
      <c r="AL190" s="202">
        <f>IF($C190,IF($J190="Completado",0,MEDIAN(0,MAX(-$V190,$W190/30),1)),"")</f>
      </c>
      <c r="AM190" s="202">
        <f>IF($C190,IF($J190="Completado",0,IF($Z190,1,IF(AND($I190&lt;0.5,$K190&lt;=7),0.7,0.3))),"")</f>
      </c>
      <c r="AN190" s="203">
        <f>IF($C190,IF(OR($V190&lt;-0.2,$W190&gt;0),"ATRASO ","")&amp;IF($Z190,"BLOQUEO ","")&amp;IF($Y190&gt;8,"SOBRECARGA ","")&amp;IF($X190&gt;0,"DESVÍO-PLAN ",""),"")</f>
      </c>
      <c r="AO190" s="203">
        <f>IF($C190,IFERROR(VLOOKUP($D190,'Sprints'!$I$5:$J$12,2,FALSE),"Semanal"),"")</f>
      </c>
      <c r="AP190" s="202">
        <f>IF($C190,IFERROR(VLOOKUP($AO190,'Sprints'!$B$9:$C$11,2,FALSE),1),"")</f>
      </c>
      <c r="AQ190" s="202">
        <f>IF($C190,'Sprints'!$C$5,"")</f>
      </c>
      <c r="AR190" s="202">
        <f>IF(AND($C190,ISNUMBER($H190)),CEILING(MAX(1,INT(($H190-$AQ190+'Sprints'!$D$5-1)/'Sprints'!$D$5)+1)/$AP190,1),"")</f>
      </c>
      <c r="AS190" s="202">
        <f>IF($C190,CEILING(MAX(1,INT((TODAY()-$AQ190+'Sprints'!$D$5-1)/'Sprints'!$D$5)+1)/$AP190,1),"")</f>
      </c>
      <c r="AT190" s="203">
        <f>IF($C190,'Backlog General'!$G190,"")</f>
      </c>
      <c r="AU190" s="203">
        <f>IF($C190,'Backlog General'!$H190,"")</f>
      </c>
      <c r="AV190" s="202">
        <f>IF(AND($C190,ISNUMBER($AR190)),IF(OR($AT190="Completo",$AU190="Cancelado",$AU190="Baja prioridad"),$AR190,IF($AU190="Pasa al siguiente",MAX($AR190+1,$AS190),MAX($AR190,$AS190))),"")</f>
      </c>
      <c r="AW190" s="202">
        <f>IF(AND($C190,ISNUMBER($AR190)),$AQ190+$AR190*$AP190*'Sprints'!$D$5-'Sprints'!$D$5,"")</f>
      </c>
      <c r="AX190" s="202">
        <f>IF($C190,IF(OR($AT190="Completo",$AU190="Cancelado",$AU190="Baja prioridad",NOT(ISNUMBER($AW190))),0,IF(TODAY()&gt;$AW190,NETWORKDAYS($AW190,TODAY(),'Sprints'!$L$5:$L$40)-1,0)),"")</f>
      </c>
      <c r="AY190" s="203">
        <f>IF($C190,IF(NOT(ISNUMBER($AR190)),"Sin fecha",IF($AT190="Completo","Completo",IF($AU190="Cancelado","Cancelado",IF($AU190="Baja prioridad","Baja prioridad",IF($AX190&gt;0,"Vencida","Pendiente"))))),"")</f>
      </c>
      <c r="AZ190" s="203">
        <f>IF($C190,IF(ISNUMBER($AV190),$AO190&amp;" · S"&amp;$AV190,"(Sin fecha)"),"")</f>
      </c>
      <c r="BA190" s="202">
        <f>IF($C190,IF(AND(ISNUMBER('Backlog General'!$M190),'Backlog General'!$M190=$AS190),"Nuevo S"&amp;'Backlog General'!$M190,""),"")</f>
      </c>
      <c r="BB190" s="202">
        <f>IF(AND($C190,$AO190="Semanal",ISNUMBER($AV190)),$AV190*100000+ROW(),"")</f>
      </c>
      <c r="BC190" s="202">
        <f>IF(AND($C190,$AO190="Quincenal",ISNUMBER($AV190)),$AV190*100000+ROW(),"")</f>
      </c>
      <c r="BD190" s="202">
        <f>IF(AND($C190,$AO190="Mensual",ISNUMBER($AV190)),$AV190*100000+ROW(),"")</f>
      </c>
      <c r="BE190" s="203">
        <f>IF($C190,IF(ISBLANK('Backlog General'!$J190),"",'Backlog General'!$J190),"")</f>
      </c>
      <c r="BF190" s="203">
        <f>IF($C190,IF($BE190="","",$BE190)&amp;IF(AND($BE190&lt;&gt;"",$AH190&lt;&gt;"")," · ","")&amp;IF($AH190="","",$AH190),"")</f>
      </c>
      <c r="BG190" s="203">
        <f>IF($C190,IF($J190="Completado","Sí","No"),"")</f>
      </c>
      <c r="BH190" s="202">
        <f>IF(AND($C190,ISNUMBER($AR190)),IF($AO190="Semanal",1,IF($AO190="Quincenal",2,3))*1000000000+$AR190*100000+ROW(),"")</f>
      </c>
    </row>
    <row r="191">
      <c r="A191" s="202">
        <f>ROW()</f>
        <v>191</v>
      </c>
      <c r="B191" s="202" t="b">
        <f>ISTEXT('Proyecto Datos (OKR´s)'!$K191)</f>
        <v>0</v>
      </c>
      <c r="C191" s="202" t="b">
        <f>AND(LEN('Proyecto Datos (OKR´s)'!$G191)&gt;0,NOT($B191),OR(ISNUMBER('Proyecto Datos (OKR´s)'!$F191),ISNUMBER('Proyecto Datos (OKR´s)'!$L191)))</f>
        <v>0</v>
      </c>
      <c r="D191" s="203">
        <f>IF($C191,IFERROR(LOOKUP(2,1/((ISTEXT('Proyecto Datos (OKR´s)'!$K$7:$K191))*(LEN('Proyecto Datos (OKR´s)'!$G$7:$G191)&gt;0)),'Proyecto Datos (OKR´s)'!$G$7:$G191),""),"")</f>
      </c>
      <c r="E191" s="202">
        <f>IF($C191,'Proyecto Datos (OKR´s)'!$E191,"")</f>
      </c>
      <c r="F191" s="203">
        <f>IF($C191,'Proyecto Datos (OKR´s)'!$G191,"")</f>
      </c>
      <c r="G191" s="203">
        <f>IF($C191,IF('Proyecto Datos (OKR´s)'!$I191="","(Sin asignar)",'Proyecto Datos (OKR´s)'!$I191),"")</f>
      </c>
      <c r="H191" s="202">
        <f>IF($C191,IF(ISNUMBER('Proyecto Datos (OKR´s)'!$F191),'Proyecto Datos (OKR´s)'!$F191,""),"")</f>
      </c>
      <c r="I191" s="202">
        <f>IF($C191,'Proyecto Datos (OKR´s)'!$J191,"")</f>
      </c>
      <c r="J191" s="203">
        <f>IF($C191,IF($I191&gt;=1,"Completado",IF(NOT(ISNUMBER($H191)),"Sin fecha",IF($H191&lt;TODAY(),"Vencido",IF(($H191-TODAY())&lt;='Entregas Próximas'!$M$3,"Próximo a vencer","En curso")))),"")</f>
      </c>
      <c r="K191" s="202">
        <f>IF(AND($C191,ISNUMBER($H191)),$H191-TODAY(),"")</f>
      </c>
      <c r="L191" s="202">
        <f>IF(AND($C191,ISNUMBER($H191)),$AD191*1000000+$H191+ROW()/100000,"")</f>
      </c>
      <c r="M191" s="202">
        <f>IF($C191,IF($AD191=9999,"(Sin sprint)",$AD191),"")</f>
      </c>
      <c r="N191" s="202">
        <f>IF($C191,IF('Proyecto Datos (OKR´s)'!$E191="",9999,'Proyecto Datos (OKR´s)'!$E191),"")</f>
      </c>
      <c r="O191" s="202">
        <f>IF($C191,"T"&amp;TEXT(ROW(),"000"),"")</f>
      </c>
      <c r="R191" s="202">
        <f>IF($C191,IF(ISNUMBER('Proyecto Datos (OKR´s)'!$L191),'Proyecto Datos (OKR´s)'!$L191,$H191),"")</f>
      </c>
      <c r="S191" s="202">
        <f>IF($C191,$R191-'Proyecto Datos (OKR´s)'!$K191+1,"")</f>
      </c>
      <c r="T191" s="202">
        <f>IF($C191,MAX(0,TODAY()-'Proyecto Datos (OKR´s)'!$K191),"")</f>
      </c>
      <c r="U191" s="202">
        <f>IF($C191,MEDIAN(0,(TODAY()-'Proyecto Datos (OKR´s)'!$K191)/MAX(1,$R191-'Proyecto Datos (OKR´s)'!$K191),1),"")</f>
      </c>
      <c r="V191" s="202">
        <f>IF($C191,$I191-$U191,"")</f>
      </c>
      <c r="W191" s="202">
        <f>IF($C191,IF(OR($J191="Completado",NOT(ISNUMBER($H191))),0,MAX(0,TODAY()-$H191)),"")</f>
      </c>
      <c r="X191" s="202">
        <f>IF($C191,IF(ISNUMBER($H191),$R191-$H191,0),"")</f>
      </c>
      <c r="Y191" s="202">
        <f>IF($C191,COUNTIFS($G$7:$G$200,$G191,$J$7:$J$200,"&lt;&gt;Completado",$J$7:$J$200,"&lt;&gt;"),"")</f>
      </c>
      <c r="Z191" s="202">
        <f>IF($C191,AND($I191=0,'Proyecto Datos (OKR´s)'!$K191&lt;=TODAY(),$J191&lt;&gt;"Completado"),"")</f>
      </c>
      <c r="AA191" s="202">
        <f>IF($C191,ROUND(100*(0.35*$AK191+0.3*$AL191+0.2*$AM191+0.15*MEDIAN(0,($Y191-4)/8,1)),0),"")</f>
      </c>
      <c r="AB191" s="203">
        <f>IF($C191,IF(OR($J191="Completado",$J191="Sin fecha"),"—",IF($AA191&gt;=70,"Crítica",IF($AA191&gt;=45,"Alta",IF($AA191&gt;=25,"Media","Baja")))),"")</f>
      </c>
      <c r="AC191" s="203">
        <f>IF($C191,IF(LEN(TRIM($AN191))=0,"—",TRIM($AN191)),"")</f>
      </c>
      <c r="AD191" s="202">
        <f>IF($C191,$AV191,"")</f>
      </c>
      <c r="AE191" s="202">
        <f>IF($C191,$AZ191,"")</f>
      </c>
      <c r="AF191" s="202" t="b">
        <f>IF($C191,$AV191&lt;&gt;$AR191,FALSE)</f>
        <v>0</v>
      </c>
      <c r="AG191" s="202">
        <f>IF($C191,IF($AV191&lt;&gt;$AR191,$AW191,""),"")</f>
      </c>
      <c r="AH191" s="203">
        <f>IF($C191,IF(ISBLANK('Backlog General'!$K191),"",'Backlog General'!$K191),"")</f>
      </c>
      <c r="AI191" s="202">
        <f>IF($C191,$AV191*100000+ROW(),"")</f>
      </c>
      <c r="AJ191" s="202">
        <f>IF(AND($C191,ISNUMBER($H191)),$AA191*1000000-MEDIAN(-9999,$K191,9999)*100+(300-ROW()),"")</f>
      </c>
      <c r="AK191" s="202">
        <f>IF($C191,IF($J191="Completado",0,IF($K191&lt;0,1,IF($K191&lt;=3,0.9,IF($K191&lt;=7,0.7,IF($K191&lt;=14,0.45,0.2))))),"")</f>
      </c>
      <c r="AL191" s="202">
        <f>IF($C191,IF($J191="Completado",0,MEDIAN(0,MAX(-$V191,$W191/30),1)),"")</f>
      </c>
      <c r="AM191" s="202">
        <f>IF($C191,IF($J191="Completado",0,IF($Z191,1,IF(AND($I191&lt;0.5,$K191&lt;=7),0.7,0.3))),"")</f>
      </c>
      <c r="AN191" s="203">
        <f>IF($C191,IF(OR($V191&lt;-0.2,$W191&gt;0),"ATRASO ","")&amp;IF($Z191,"BLOQUEO ","")&amp;IF($Y191&gt;8,"SOBRECARGA ","")&amp;IF($X191&gt;0,"DESVÍO-PLAN ",""),"")</f>
      </c>
      <c r="AO191" s="203">
        <f>IF($C191,IFERROR(VLOOKUP($D191,'Sprints'!$I$5:$J$12,2,FALSE),"Semanal"),"")</f>
      </c>
      <c r="AP191" s="202">
        <f>IF($C191,IFERROR(VLOOKUP($AO191,'Sprints'!$B$9:$C$11,2,FALSE),1),"")</f>
      </c>
      <c r="AQ191" s="202">
        <f>IF($C191,'Sprints'!$C$5,"")</f>
      </c>
      <c r="AR191" s="202">
        <f>IF(AND($C191,ISNUMBER($H191)),CEILING(MAX(1,INT(($H191-$AQ191+'Sprints'!$D$5-1)/'Sprints'!$D$5)+1)/$AP191,1),"")</f>
      </c>
      <c r="AS191" s="202">
        <f>IF($C191,CEILING(MAX(1,INT((TODAY()-$AQ191+'Sprints'!$D$5-1)/'Sprints'!$D$5)+1)/$AP191,1),"")</f>
      </c>
      <c r="AT191" s="203">
        <f>IF($C191,'Backlog General'!$G191,"")</f>
      </c>
      <c r="AU191" s="203">
        <f>IF($C191,'Backlog General'!$H191,"")</f>
      </c>
      <c r="AV191" s="202">
        <f>IF(AND($C191,ISNUMBER($AR191)),IF(OR($AT191="Completo",$AU191="Cancelado",$AU191="Baja prioridad"),$AR191,IF($AU191="Pasa al siguiente",MAX($AR191+1,$AS191),MAX($AR191,$AS191))),"")</f>
      </c>
      <c r="AW191" s="202">
        <f>IF(AND($C191,ISNUMBER($AR191)),$AQ191+$AR191*$AP191*'Sprints'!$D$5-'Sprints'!$D$5,"")</f>
      </c>
      <c r="AX191" s="202">
        <f>IF($C191,IF(OR($AT191="Completo",$AU191="Cancelado",$AU191="Baja prioridad",NOT(ISNUMBER($AW191))),0,IF(TODAY()&gt;$AW191,NETWORKDAYS($AW191,TODAY(),'Sprints'!$L$5:$L$40)-1,0)),"")</f>
      </c>
      <c r="AY191" s="203">
        <f>IF($C191,IF(NOT(ISNUMBER($AR191)),"Sin fecha",IF($AT191="Completo","Completo",IF($AU191="Cancelado","Cancelado",IF($AU191="Baja prioridad","Baja prioridad",IF($AX191&gt;0,"Vencida","Pendiente"))))),"")</f>
      </c>
      <c r="AZ191" s="203">
        <f>IF($C191,IF(ISNUMBER($AV191),$AO191&amp;" · S"&amp;$AV191,"(Sin fecha)"),"")</f>
      </c>
      <c r="BA191" s="202">
        <f>IF($C191,IF(AND(ISNUMBER('Backlog General'!$M191),'Backlog General'!$M191=$AS191),"Nuevo S"&amp;'Backlog General'!$M191,""),"")</f>
      </c>
      <c r="BB191" s="202">
        <f>IF(AND($C191,$AO191="Semanal",ISNUMBER($AV191)),$AV191*100000+ROW(),"")</f>
      </c>
      <c r="BC191" s="202">
        <f>IF(AND($C191,$AO191="Quincenal",ISNUMBER($AV191)),$AV191*100000+ROW(),"")</f>
      </c>
      <c r="BD191" s="202">
        <f>IF(AND($C191,$AO191="Mensual",ISNUMBER($AV191)),$AV191*100000+ROW(),"")</f>
      </c>
      <c r="BE191" s="203">
        <f>IF($C191,IF(ISBLANK('Backlog General'!$J191),"",'Backlog General'!$J191),"")</f>
      </c>
      <c r="BF191" s="203">
        <f>IF($C191,IF($BE191="","",$BE191)&amp;IF(AND($BE191&lt;&gt;"",$AH191&lt;&gt;"")," · ","")&amp;IF($AH191="","",$AH191),"")</f>
      </c>
      <c r="BG191" s="203">
        <f>IF($C191,IF($J191="Completado","Sí","No"),"")</f>
      </c>
      <c r="BH191" s="202">
        <f>IF(AND($C191,ISNUMBER($AR191)),IF($AO191="Semanal",1,IF($AO191="Quincenal",2,3))*1000000000+$AR191*100000+ROW(),"")</f>
      </c>
    </row>
    <row r="192">
      <c r="A192" s="202">
        <f>ROW()</f>
        <v>192</v>
      </c>
      <c r="B192" s="202" t="b">
        <f>ISTEXT('Proyecto Datos (OKR´s)'!$K192)</f>
        <v>0</v>
      </c>
      <c r="C192" s="202" t="b">
        <f>AND(LEN('Proyecto Datos (OKR´s)'!$G192)&gt;0,NOT($B192),OR(ISNUMBER('Proyecto Datos (OKR´s)'!$F192),ISNUMBER('Proyecto Datos (OKR´s)'!$L192)))</f>
        <v>0</v>
      </c>
      <c r="D192" s="203">
        <f>IF($C192,IFERROR(LOOKUP(2,1/((ISTEXT('Proyecto Datos (OKR´s)'!$K$7:$K192))*(LEN('Proyecto Datos (OKR´s)'!$G$7:$G192)&gt;0)),'Proyecto Datos (OKR´s)'!$G$7:$G192),""),"")</f>
      </c>
      <c r="E192" s="202">
        <f>IF($C192,'Proyecto Datos (OKR´s)'!$E192,"")</f>
      </c>
      <c r="F192" s="203">
        <f>IF($C192,'Proyecto Datos (OKR´s)'!$G192,"")</f>
      </c>
      <c r="G192" s="203">
        <f>IF($C192,IF('Proyecto Datos (OKR´s)'!$I192="","(Sin asignar)",'Proyecto Datos (OKR´s)'!$I192),"")</f>
      </c>
      <c r="H192" s="202">
        <f>IF($C192,IF(ISNUMBER('Proyecto Datos (OKR´s)'!$F192),'Proyecto Datos (OKR´s)'!$F192,""),"")</f>
      </c>
      <c r="I192" s="202">
        <f>IF($C192,'Proyecto Datos (OKR´s)'!$J192,"")</f>
      </c>
      <c r="J192" s="203">
        <f>IF($C192,IF($I192&gt;=1,"Completado",IF(NOT(ISNUMBER($H192)),"Sin fecha",IF($H192&lt;TODAY(),"Vencido",IF(($H192-TODAY())&lt;='Entregas Próximas'!$M$3,"Próximo a vencer","En curso")))),"")</f>
      </c>
      <c r="K192" s="202">
        <f>IF(AND($C192,ISNUMBER($H192)),$H192-TODAY(),"")</f>
      </c>
      <c r="L192" s="202">
        <f>IF(AND($C192,ISNUMBER($H192)),$AD192*1000000+$H192+ROW()/100000,"")</f>
      </c>
      <c r="M192" s="202">
        <f>IF($C192,IF($AD192=9999,"(Sin sprint)",$AD192),"")</f>
      </c>
      <c r="N192" s="202">
        <f>IF($C192,IF('Proyecto Datos (OKR´s)'!$E192="",9999,'Proyecto Datos (OKR´s)'!$E192),"")</f>
      </c>
      <c r="O192" s="202">
        <f>IF($C192,"T"&amp;TEXT(ROW(),"000"),"")</f>
      </c>
      <c r="R192" s="202">
        <f>IF($C192,IF(ISNUMBER('Proyecto Datos (OKR´s)'!$L192),'Proyecto Datos (OKR´s)'!$L192,$H192),"")</f>
      </c>
      <c r="S192" s="202">
        <f>IF($C192,$R192-'Proyecto Datos (OKR´s)'!$K192+1,"")</f>
      </c>
      <c r="T192" s="202">
        <f>IF($C192,MAX(0,TODAY()-'Proyecto Datos (OKR´s)'!$K192),"")</f>
      </c>
      <c r="U192" s="202">
        <f>IF($C192,MEDIAN(0,(TODAY()-'Proyecto Datos (OKR´s)'!$K192)/MAX(1,$R192-'Proyecto Datos (OKR´s)'!$K192),1),"")</f>
      </c>
      <c r="V192" s="202">
        <f>IF($C192,$I192-$U192,"")</f>
      </c>
      <c r="W192" s="202">
        <f>IF($C192,IF(OR($J192="Completado",NOT(ISNUMBER($H192))),0,MAX(0,TODAY()-$H192)),"")</f>
      </c>
      <c r="X192" s="202">
        <f>IF($C192,IF(ISNUMBER($H192),$R192-$H192,0),"")</f>
      </c>
      <c r="Y192" s="202">
        <f>IF($C192,COUNTIFS($G$7:$G$200,$G192,$J$7:$J$200,"&lt;&gt;Completado",$J$7:$J$200,"&lt;&gt;"),"")</f>
      </c>
      <c r="Z192" s="202">
        <f>IF($C192,AND($I192=0,'Proyecto Datos (OKR´s)'!$K192&lt;=TODAY(),$J192&lt;&gt;"Completado"),"")</f>
      </c>
      <c r="AA192" s="202">
        <f>IF($C192,ROUND(100*(0.35*$AK192+0.3*$AL192+0.2*$AM192+0.15*MEDIAN(0,($Y192-4)/8,1)),0),"")</f>
      </c>
      <c r="AB192" s="203">
        <f>IF($C192,IF(OR($J192="Completado",$J192="Sin fecha"),"—",IF($AA192&gt;=70,"Crítica",IF($AA192&gt;=45,"Alta",IF($AA192&gt;=25,"Media","Baja")))),"")</f>
      </c>
      <c r="AC192" s="203">
        <f>IF($C192,IF(LEN(TRIM($AN192))=0,"—",TRIM($AN192)),"")</f>
      </c>
      <c r="AD192" s="202">
        <f>IF($C192,$AV192,"")</f>
      </c>
      <c r="AE192" s="202">
        <f>IF($C192,$AZ192,"")</f>
      </c>
      <c r="AF192" s="202" t="b">
        <f>IF($C192,$AV192&lt;&gt;$AR192,FALSE)</f>
        <v>0</v>
      </c>
      <c r="AG192" s="202">
        <f>IF($C192,IF($AV192&lt;&gt;$AR192,$AW192,""),"")</f>
      </c>
      <c r="AH192" s="203">
        <f>IF($C192,IF(ISBLANK('Backlog General'!$K192),"",'Backlog General'!$K192),"")</f>
      </c>
      <c r="AI192" s="202">
        <f>IF($C192,$AV192*100000+ROW(),"")</f>
      </c>
      <c r="AJ192" s="202">
        <f>IF(AND($C192,ISNUMBER($H192)),$AA192*1000000-MEDIAN(-9999,$K192,9999)*100+(300-ROW()),"")</f>
      </c>
      <c r="AK192" s="202">
        <f>IF($C192,IF($J192="Completado",0,IF($K192&lt;0,1,IF($K192&lt;=3,0.9,IF($K192&lt;=7,0.7,IF($K192&lt;=14,0.45,0.2))))),"")</f>
      </c>
      <c r="AL192" s="202">
        <f>IF($C192,IF($J192="Completado",0,MEDIAN(0,MAX(-$V192,$W192/30),1)),"")</f>
      </c>
      <c r="AM192" s="202">
        <f>IF($C192,IF($J192="Completado",0,IF($Z192,1,IF(AND($I192&lt;0.5,$K192&lt;=7),0.7,0.3))),"")</f>
      </c>
      <c r="AN192" s="203">
        <f>IF($C192,IF(OR($V192&lt;-0.2,$W192&gt;0),"ATRASO ","")&amp;IF($Z192,"BLOQUEO ","")&amp;IF($Y192&gt;8,"SOBRECARGA ","")&amp;IF($X192&gt;0,"DESVÍO-PLAN ",""),"")</f>
      </c>
      <c r="AO192" s="203">
        <f>IF($C192,IFERROR(VLOOKUP($D192,'Sprints'!$I$5:$J$12,2,FALSE),"Semanal"),"")</f>
      </c>
      <c r="AP192" s="202">
        <f>IF($C192,IFERROR(VLOOKUP($AO192,'Sprints'!$B$9:$C$11,2,FALSE),1),"")</f>
      </c>
      <c r="AQ192" s="202">
        <f>IF($C192,'Sprints'!$C$5,"")</f>
      </c>
      <c r="AR192" s="202">
        <f>IF(AND($C192,ISNUMBER($H192)),CEILING(MAX(1,INT(($H192-$AQ192+'Sprints'!$D$5-1)/'Sprints'!$D$5)+1)/$AP192,1),"")</f>
      </c>
      <c r="AS192" s="202">
        <f>IF($C192,CEILING(MAX(1,INT((TODAY()-$AQ192+'Sprints'!$D$5-1)/'Sprints'!$D$5)+1)/$AP192,1),"")</f>
      </c>
      <c r="AT192" s="203">
        <f>IF($C192,'Backlog General'!$G192,"")</f>
      </c>
      <c r="AU192" s="203">
        <f>IF($C192,'Backlog General'!$H192,"")</f>
      </c>
      <c r="AV192" s="202">
        <f>IF(AND($C192,ISNUMBER($AR192)),IF(OR($AT192="Completo",$AU192="Cancelado",$AU192="Baja prioridad"),$AR192,IF($AU192="Pasa al siguiente",MAX($AR192+1,$AS192),MAX($AR192,$AS192))),"")</f>
      </c>
      <c r="AW192" s="202">
        <f>IF(AND($C192,ISNUMBER($AR192)),$AQ192+$AR192*$AP192*'Sprints'!$D$5-'Sprints'!$D$5,"")</f>
      </c>
      <c r="AX192" s="202">
        <f>IF($C192,IF(OR($AT192="Completo",$AU192="Cancelado",$AU192="Baja prioridad",NOT(ISNUMBER($AW192))),0,IF(TODAY()&gt;$AW192,NETWORKDAYS($AW192,TODAY(),'Sprints'!$L$5:$L$40)-1,0)),"")</f>
      </c>
      <c r="AY192" s="203">
        <f>IF($C192,IF(NOT(ISNUMBER($AR192)),"Sin fecha",IF($AT192="Completo","Completo",IF($AU192="Cancelado","Cancelado",IF($AU192="Baja prioridad","Baja prioridad",IF($AX192&gt;0,"Vencida","Pendiente"))))),"")</f>
      </c>
      <c r="AZ192" s="203">
        <f>IF($C192,IF(ISNUMBER($AV192),$AO192&amp;" · S"&amp;$AV192,"(Sin fecha)"),"")</f>
      </c>
      <c r="BA192" s="202">
        <f>IF($C192,IF(AND(ISNUMBER('Backlog General'!$M192),'Backlog General'!$M192=$AS192),"Nuevo S"&amp;'Backlog General'!$M192,""),"")</f>
      </c>
      <c r="BB192" s="202">
        <f>IF(AND($C192,$AO192="Semanal",ISNUMBER($AV192)),$AV192*100000+ROW(),"")</f>
      </c>
      <c r="BC192" s="202">
        <f>IF(AND($C192,$AO192="Quincenal",ISNUMBER($AV192)),$AV192*100000+ROW(),"")</f>
      </c>
      <c r="BD192" s="202">
        <f>IF(AND($C192,$AO192="Mensual",ISNUMBER($AV192)),$AV192*100000+ROW(),"")</f>
      </c>
      <c r="BE192" s="203">
        <f>IF($C192,IF(ISBLANK('Backlog General'!$J192),"",'Backlog General'!$J192),"")</f>
      </c>
      <c r="BF192" s="203">
        <f>IF($C192,IF($BE192="","",$BE192)&amp;IF(AND($BE192&lt;&gt;"",$AH192&lt;&gt;"")," · ","")&amp;IF($AH192="","",$AH192),"")</f>
      </c>
      <c r="BG192" s="203">
        <f>IF($C192,IF($J192="Completado","Sí","No"),"")</f>
      </c>
      <c r="BH192" s="202">
        <f>IF(AND($C192,ISNUMBER($AR192)),IF($AO192="Semanal",1,IF($AO192="Quincenal",2,3))*1000000000+$AR192*100000+ROW(),"")</f>
      </c>
    </row>
    <row r="193">
      <c r="A193" s="202">
        <f>ROW()</f>
        <v>193</v>
      </c>
      <c r="B193" s="202" t="b">
        <f>ISTEXT('Proyecto Datos (OKR´s)'!$K193)</f>
        <v>0</v>
      </c>
      <c r="C193" s="202" t="b">
        <f>AND(LEN('Proyecto Datos (OKR´s)'!$G193)&gt;0,NOT($B193),OR(ISNUMBER('Proyecto Datos (OKR´s)'!$F193),ISNUMBER('Proyecto Datos (OKR´s)'!$L193)))</f>
        <v>0</v>
      </c>
      <c r="D193" s="203">
        <f>IF($C193,IFERROR(LOOKUP(2,1/((ISTEXT('Proyecto Datos (OKR´s)'!$K$7:$K193))*(LEN('Proyecto Datos (OKR´s)'!$G$7:$G193)&gt;0)),'Proyecto Datos (OKR´s)'!$G$7:$G193),""),"")</f>
      </c>
      <c r="E193" s="202">
        <f>IF($C193,'Proyecto Datos (OKR´s)'!$E193,"")</f>
      </c>
      <c r="F193" s="203">
        <f>IF($C193,'Proyecto Datos (OKR´s)'!$G193,"")</f>
      </c>
      <c r="G193" s="203">
        <f>IF($C193,IF('Proyecto Datos (OKR´s)'!$I193="","(Sin asignar)",'Proyecto Datos (OKR´s)'!$I193),"")</f>
      </c>
      <c r="H193" s="202">
        <f>IF($C193,IF(ISNUMBER('Proyecto Datos (OKR´s)'!$F193),'Proyecto Datos (OKR´s)'!$F193,""),"")</f>
      </c>
      <c r="I193" s="202">
        <f>IF($C193,'Proyecto Datos (OKR´s)'!$J193,"")</f>
      </c>
      <c r="J193" s="203">
        <f>IF($C193,IF($I193&gt;=1,"Completado",IF(NOT(ISNUMBER($H193)),"Sin fecha",IF($H193&lt;TODAY(),"Vencido",IF(($H193-TODAY())&lt;='Entregas Próximas'!$M$3,"Próximo a vencer","En curso")))),"")</f>
      </c>
      <c r="K193" s="202">
        <f>IF(AND($C193,ISNUMBER($H193)),$H193-TODAY(),"")</f>
      </c>
      <c r="L193" s="202">
        <f>IF(AND($C193,ISNUMBER($H193)),$AD193*1000000+$H193+ROW()/100000,"")</f>
      </c>
      <c r="M193" s="202">
        <f>IF($C193,IF($AD193=9999,"(Sin sprint)",$AD193),"")</f>
      </c>
      <c r="N193" s="202">
        <f>IF($C193,IF('Proyecto Datos (OKR´s)'!$E193="",9999,'Proyecto Datos (OKR´s)'!$E193),"")</f>
      </c>
      <c r="O193" s="202">
        <f>IF($C193,"T"&amp;TEXT(ROW(),"000"),"")</f>
      </c>
      <c r="R193" s="202">
        <f>IF($C193,IF(ISNUMBER('Proyecto Datos (OKR´s)'!$L193),'Proyecto Datos (OKR´s)'!$L193,$H193),"")</f>
      </c>
      <c r="S193" s="202">
        <f>IF($C193,$R193-'Proyecto Datos (OKR´s)'!$K193+1,"")</f>
      </c>
      <c r="T193" s="202">
        <f>IF($C193,MAX(0,TODAY()-'Proyecto Datos (OKR´s)'!$K193),"")</f>
      </c>
      <c r="U193" s="202">
        <f>IF($C193,MEDIAN(0,(TODAY()-'Proyecto Datos (OKR´s)'!$K193)/MAX(1,$R193-'Proyecto Datos (OKR´s)'!$K193),1),"")</f>
      </c>
      <c r="V193" s="202">
        <f>IF($C193,$I193-$U193,"")</f>
      </c>
      <c r="W193" s="202">
        <f>IF($C193,IF(OR($J193="Completado",NOT(ISNUMBER($H193))),0,MAX(0,TODAY()-$H193)),"")</f>
      </c>
      <c r="X193" s="202">
        <f>IF($C193,IF(ISNUMBER($H193),$R193-$H193,0),"")</f>
      </c>
      <c r="Y193" s="202">
        <f>IF($C193,COUNTIFS($G$7:$G$200,$G193,$J$7:$J$200,"&lt;&gt;Completado",$J$7:$J$200,"&lt;&gt;"),"")</f>
      </c>
      <c r="Z193" s="202">
        <f>IF($C193,AND($I193=0,'Proyecto Datos (OKR´s)'!$K193&lt;=TODAY(),$J193&lt;&gt;"Completado"),"")</f>
      </c>
      <c r="AA193" s="202">
        <f>IF($C193,ROUND(100*(0.35*$AK193+0.3*$AL193+0.2*$AM193+0.15*MEDIAN(0,($Y193-4)/8,1)),0),"")</f>
      </c>
      <c r="AB193" s="203">
        <f>IF($C193,IF(OR($J193="Completado",$J193="Sin fecha"),"—",IF($AA193&gt;=70,"Crítica",IF($AA193&gt;=45,"Alta",IF($AA193&gt;=25,"Media","Baja")))),"")</f>
      </c>
      <c r="AC193" s="203">
        <f>IF($C193,IF(LEN(TRIM($AN193))=0,"—",TRIM($AN193)),"")</f>
      </c>
      <c r="AD193" s="202">
        <f>IF($C193,$AV193,"")</f>
      </c>
      <c r="AE193" s="202">
        <f>IF($C193,$AZ193,"")</f>
      </c>
      <c r="AF193" s="202" t="b">
        <f>IF($C193,$AV193&lt;&gt;$AR193,FALSE)</f>
        <v>0</v>
      </c>
      <c r="AG193" s="202">
        <f>IF($C193,IF($AV193&lt;&gt;$AR193,$AW193,""),"")</f>
      </c>
      <c r="AH193" s="203">
        <f>IF($C193,IF(ISBLANK('Backlog General'!$K193),"",'Backlog General'!$K193),"")</f>
      </c>
      <c r="AI193" s="202">
        <f>IF($C193,$AV193*100000+ROW(),"")</f>
      </c>
      <c r="AJ193" s="202">
        <f>IF(AND($C193,ISNUMBER($H193)),$AA193*1000000-MEDIAN(-9999,$K193,9999)*100+(300-ROW()),"")</f>
      </c>
      <c r="AK193" s="202">
        <f>IF($C193,IF($J193="Completado",0,IF($K193&lt;0,1,IF($K193&lt;=3,0.9,IF($K193&lt;=7,0.7,IF($K193&lt;=14,0.45,0.2))))),"")</f>
      </c>
      <c r="AL193" s="202">
        <f>IF($C193,IF($J193="Completado",0,MEDIAN(0,MAX(-$V193,$W193/30),1)),"")</f>
      </c>
      <c r="AM193" s="202">
        <f>IF($C193,IF($J193="Completado",0,IF($Z193,1,IF(AND($I193&lt;0.5,$K193&lt;=7),0.7,0.3))),"")</f>
      </c>
      <c r="AN193" s="203">
        <f>IF($C193,IF(OR($V193&lt;-0.2,$W193&gt;0),"ATRASO ","")&amp;IF($Z193,"BLOQUEO ","")&amp;IF($Y193&gt;8,"SOBRECARGA ","")&amp;IF($X193&gt;0,"DESVÍO-PLAN ",""),"")</f>
      </c>
      <c r="AO193" s="203">
        <f>IF($C193,IFERROR(VLOOKUP($D193,'Sprints'!$I$5:$J$12,2,FALSE),"Semanal"),"")</f>
      </c>
      <c r="AP193" s="202">
        <f>IF($C193,IFERROR(VLOOKUP($AO193,'Sprints'!$B$9:$C$11,2,FALSE),1),"")</f>
      </c>
      <c r="AQ193" s="202">
        <f>IF($C193,'Sprints'!$C$5,"")</f>
      </c>
      <c r="AR193" s="202">
        <f>IF(AND($C193,ISNUMBER($H193)),CEILING(MAX(1,INT(($H193-$AQ193+'Sprints'!$D$5-1)/'Sprints'!$D$5)+1)/$AP193,1),"")</f>
      </c>
      <c r="AS193" s="202">
        <f>IF($C193,CEILING(MAX(1,INT((TODAY()-$AQ193+'Sprints'!$D$5-1)/'Sprints'!$D$5)+1)/$AP193,1),"")</f>
      </c>
      <c r="AT193" s="203">
        <f>IF($C193,'Backlog General'!$G193,"")</f>
      </c>
      <c r="AU193" s="203">
        <f>IF($C193,'Backlog General'!$H193,"")</f>
      </c>
      <c r="AV193" s="202">
        <f>IF(AND($C193,ISNUMBER($AR193)),IF(OR($AT193="Completo",$AU193="Cancelado",$AU193="Baja prioridad"),$AR193,IF($AU193="Pasa al siguiente",MAX($AR193+1,$AS193),MAX($AR193,$AS193))),"")</f>
      </c>
      <c r="AW193" s="202">
        <f>IF(AND($C193,ISNUMBER($AR193)),$AQ193+$AR193*$AP193*'Sprints'!$D$5-'Sprints'!$D$5,"")</f>
      </c>
      <c r="AX193" s="202">
        <f>IF($C193,IF(OR($AT193="Completo",$AU193="Cancelado",$AU193="Baja prioridad",NOT(ISNUMBER($AW193))),0,IF(TODAY()&gt;$AW193,NETWORKDAYS($AW193,TODAY(),'Sprints'!$L$5:$L$40)-1,0)),"")</f>
      </c>
      <c r="AY193" s="203">
        <f>IF($C193,IF(NOT(ISNUMBER($AR193)),"Sin fecha",IF($AT193="Completo","Completo",IF($AU193="Cancelado","Cancelado",IF($AU193="Baja prioridad","Baja prioridad",IF($AX193&gt;0,"Vencida","Pendiente"))))),"")</f>
      </c>
      <c r="AZ193" s="203">
        <f>IF($C193,IF(ISNUMBER($AV193),$AO193&amp;" · S"&amp;$AV193,"(Sin fecha)"),"")</f>
      </c>
      <c r="BA193" s="202">
        <f>IF($C193,IF(AND(ISNUMBER('Backlog General'!$M193),'Backlog General'!$M193=$AS193),"Nuevo S"&amp;'Backlog General'!$M193,""),"")</f>
      </c>
      <c r="BB193" s="202">
        <f>IF(AND($C193,$AO193="Semanal",ISNUMBER($AV193)),$AV193*100000+ROW(),"")</f>
      </c>
      <c r="BC193" s="202">
        <f>IF(AND($C193,$AO193="Quincenal",ISNUMBER($AV193)),$AV193*100000+ROW(),"")</f>
      </c>
      <c r="BD193" s="202">
        <f>IF(AND($C193,$AO193="Mensual",ISNUMBER($AV193)),$AV193*100000+ROW(),"")</f>
      </c>
      <c r="BE193" s="203">
        <f>IF($C193,IF(ISBLANK('Backlog General'!$J193),"",'Backlog General'!$J193),"")</f>
      </c>
      <c r="BF193" s="203">
        <f>IF($C193,IF($BE193="","",$BE193)&amp;IF(AND($BE193&lt;&gt;"",$AH193&lt;&gt;"")," · ","")&amp;IF($AH193="","",$AH193),"")</f>
      </c>
      <c r="BG193" s="203">
        <f>IF($C193,IF($J193="Completado","Sí","No"),"")</f>
      </c>
      <c r="BH193" s="202">
        <f>IF(AND($C193,ISNUMBER($AR193)),IF($AO193="Semanal",1,IF($AO193="Quincenal",2,3))*1000000000+$AR193*100000+ROW(),"")</f>
      </c>
    </row>
    <row r="194">
      <c r="A194" s="202">
        <f>ROW()</f>
        <v>194</v>
      </c>
      <c r="B194" s="202" t="b">
        <f>ISTEXT('Proyecto Datos (OKR´s)'!$K194)</f>
        <v>0</v>
      </c>
      <c r="C194" s="202" t="b">
        <f>AND(LEN('Proyecto Datos (OKR´s)'!$G194)&gt;0,NOT($B194),OR(ISNUMBER('Proyecto Datos (OKR´s)'!$F194),ISNUMBER('Proyecto Datos (OKR´s)'!$L194)))</f>
        <v>0</v>
      </c>
      <c r="D194" s="203">
        <f>IF($C194,IFERROR(LOOKUP(2,1/((ISTEXT('Proyecto Datos (OKR´s)'!$K$7:$K194))*(LEN('Proyecto Datos (OKR´s)'!$G$7:$G194)&gt;0)),'Proyecto Datos (OKR´s)'!$G$7:$G194),""),"")</f>
      </c>
      <c r="E194" s="202">
        <f>IF($C194,'Proyecto Datos (OKR´s)'!$E194,"")</f>
      </c>
      <c r="F194" s="203">
        <f>IF($C194,'Proyecto Datos (OKR´s)'!$G194,"")</f>
      </c>
      <c r="G194" s="203">
        <f>IF($C194,IF('Proyecto Datos (OKR´s)'!$I194="","(Sin asignar)",'Proyecto Datos (OKR´s)'!$I194),"")</f>
      </c>
      <c r="H194" s="202">
        <f>IF($C194,IF(ISNUMBER('Proyecto Datos (OKR´s)'!$F194),'Proyecto Datos (OKR´s)'!$F194,""),"")</f>
      </c>
      <c r="I194" s="202">
        <f>IF($C194,'Proyecto Datos (OKR´s)'!$J194,"")</f>
      </c>
      <c r="J194" s="203">
        <f>IF($C194,IF($I194&gt;=1,"Completado",IF(NOT(ISNUMBER($H194)),"Sin fecha",IF($H194&lt;TODAY(),"Vencido",IF(($H194-TODAY())&lt;='Entregas Próximas'!$M$3,"Próximo a vencer","En curso")))),"")</f>
      </c>
      <c r="K194" s="202">
        <f>IF(AND($C194,ISNUMBER($H194)),$H194-TODAY(),"")</f>
      </c>
      <c r="L194" s="202">
        <f>IF(AND($C194,ISNUMBER($H194)),$AD194*1000000+$H194+ROW()/100000,"")</f>
      </c>
      <c r="M194" s="202">
        <f>IF($C194,IF($AD194=9999,"(Sin sprint)",$AD194),"")</f>
      </c>
      <c r="N194" s="202">
        <f>IF($C194,IF('Proyecto Datos (OKR´s)'!$E194="",9999,'Proyecto Datos (OKR´s)'!$E194),"")</f>
      </c>
      <c r="O194" s="202">
        <f>IF($C194,"T"&amp;TEXT(ROW(),"000"),"")</f>
      </c>
      <c r="R194" s="202">
        <f>IF($C194,IF(ISNUMBER('Proyecto Datos (OKR´s)'!$L194),'Proyecto Datos (OKR´s)'!$L194,$H194),"")</f>
      </c>
      <c r="S194" s="202">
        <f>IF($C194,$R194-'Proyecto Datos (OKR´s)'!$K194+1,"")</f>
      </c>
      <c r="T194" s="202">
        <f>IF($C194,MAX(0,TODAY()-'Proyecto Datos (OKR´s)'!$K194),"")</f>
      </c>
      <c r="U194" s="202">
        <f>IF($C194,MEDIAN(0,(TODAY()-'Proyecto Datos (OKR´s)'!$K194)/MAX(1,$R194-'Proyecto Datos (OKR´s)'!$K194),1),"")</f>
      </c>
      <c r="V194" s="202">
        <f>IF($C194,$I194-$U194,"")</f>
      </c>
      <c r="W194" s="202">
        <f>IF($C194,IF(OR($J194="Completado",NOT(ISNUMBER($H194))),0,MAX(0,TODAY()-$H194)),"")</f>
      </c>
      <c r="X194" s="202">
        <f>IF($C194,IF(ISNUMBER($H194),$R194-$H194,0),"")</f>
      </c>
      <c r="Y194" s="202">
        <f>IF($C194,COUNTIFS($G$7:$G$200,$G194,$J$7:$J$200,"&lt;&gt;Completado",$J$7:$J$200,"&lt;&gt;"),"")</f>
      </c>
      <c r="Z194" s="202">
        <f>IF($C194,AND($I194=0,'Proyecto Datos (OKR´s)'!$K194&lt;=TODAY(),$J194&lt;&gt;"Completado"),"")</f>
      </c>
      <c r="AA194" s="202">
        <f>IF($C194,ROUND(100*(0.35*$AK194+0.3*$AL194+0.2*$AM194+0.15*MEDIAN(0,($Y194-4)/8,1)),0),"")</f>
      </c>
      <c r="AB194" s="203">
        <f>IF($C194,IF(OR($J194="Completado",$J194="Sin fecha"),"—",IF($AA194&gt;=70,"Crítica",IF($AA194&gt;=45,"Alta",IF($AA194&gt;=25,"Media","Baja")))),"")</f>
      </c>
      <c r="AC194" s="203">
        <f>IF($C194,IF(LEN(TRIM($AN194))=0,"—",TRIM($AN194)),"")</f>
      </c>
      <c r="AD194" s="202">
        <f>IF($C194,$AV194,"")</f>
      </c>
      <c r="AE194" s="202">
        <f>IF($C194,$AZ194,"")</f>
      </c>
      <c r="AF194" s="202" t="b">
        <f>IF($C194,$AV194&lt;&gt;$AR194,FALSE)</f>
        <v>0</v>
      </c>
      <c r="AG194" s="202">
        <f>IF($C194,IF($AV194&lt;&gt;$AR194,$AW194,""),"")</f>
      </c>
      <c r="AH194" s="203">
        <f>IF($C194,IF(ISBLANK('Backlog General'!$K194),"",'Backlog General'!$K194),"")</f>
      </c>
      <c r="AI194" s="202">
        <f>IF($C194,$AV194*100000+ROW(),"")</f>
      </c>
      <c r="AJ194" s="202">
        <f>IF(AND($C194,ISNUMBER($H194)),$AA194*1000000-MEDIAN(-9999,$K194,9999)*100+(300-ROW()),"")</f>
      </c>
      <c r="AK194" s="202">
        <f>IF($C194,IF($J194="Completado",0,IF($K194&lt;0,1,IF($K194&lt;=3,0.9,IF($K194&lt;=7,0.7,IF($K194&lt;=14,0.45,0.2))))),"")</f>
      </c>
      <c r="AL194" s="202">
        <f>IF($C194,IF($J194="Completado",0,MEDIAN(0,MAX(-$V194,$W194/30),1)),"")</f>
      </c>
      <c r="AM194" s="202">
        <f>IF($C194,IF($J194="Completado",0,IF($Z194,1,IF(AND($I194&lt;0.5,$K194&lt;=7),0.7,0.3))),"")</f>
      </c>
      <c r="AN194" s="203">
        <f>IF($C194,IF(OR($V194&lt;-0.2,$W194&gt;0),"ATRASO ","")&amp;IF($Z194,"BLOQUEO ","")&amp;IF($Y194&gt;8,"SOBRECARGA ","")&amp;IF($X194&gt;0,"DESVÍO-PLAN ",""),"")</f>
      </c>
      <c r="AO194" s="203">
        <f>IF($C194,IFERROR(VLOOKUP($D194,'Sprints'!$I$5:$J$12,2,FALSE),"Semanal"),"")</f>
      </c>
      <c r="AP194" s="202">
        <f>IF($C194,IFERROR(VLOOKUP($AO194,'Sprints'!$B$9:$C$11,2,FALSE),1),"")</f>
      </c>
      <c r="AQ194" s="202">
        <f>IF($C194,'Sprints'!$C$5,"")</f>
      </c>
      <c r="AR194" s="202">
        <f>IF(AND($C194,ISNUMBER($H194)),CEILING(MAX(1,INT(($H194-$AQ194+'Sprints'!$D$5-1)/'Sprints'!$D$5)+1)/$AP194,1),"")</f>
      </c>
      <c r="AS194" s="202">
        <f>IF($C194,CEILING(MAX(1,INT((TODAY()-$AQ194+'Sprints'!$D$5-1)/'Sprints'!$D$5)+1)/$AP194,1),"")</f>
      </c>
      <c r="AT194" s="203">
        <f>IF($C194,'Backlog General'!$G194,"")</f>
      </c>
      <c r="AU194" s="203">
        <f>IF($C194,'Backlog General'!$H194,"")</f>
      </c>
      <c r="AV194" s="202">
        <f>IF(AND($C194,ISNUMBER($AR194)),IF(OR($AT194="Completo",$AU194="Cancelado",$AU194="Baja prioridad"),$AR194,IF($AU194="Pasa al siguiente",MAX($AR194+1,$AS194),MAX($AR194,$AS194))),"")</f>
      </c>
      <c r="AW194" s="202">
        <f>IF(AND($C194,ISNUMBER($AR194)),$AQ194+$AR194*$AP194*'Sprints'!$D$5-'Sprints'!$D$5,"")</f>
      </c>
      <c r="AX194" s="202">
        <f>IF($C194,IF(OR($AT194="Completo",$AU194="Cancelado",$AU194="Baja prioridad",NOT(ISNUMBER($AW194))),0,IF(TODAY()&gt;$AW194,NETWORKDAYS($AW194,TODAY(),'Sprints'!$L$5:$L$40)-1,0)),"")</f>
      </c>
      <c r="AY194" s="203">
        <f>IF($C194,IF(NOT(ISNUMBER($AR194)),"Sin fecha",IF($AT194="Completo","Completo",IF($AU194="Cancelado","Cancelado",IF($AU194="Baja prioridad","Baja prioridad",IF($AX194&gt;0,"Vencida","Pendiente"))))),"")</f>
      </c>
      <c r="AZ194" s="203">
        <f>IF($C194,IF(ISNUMBER($AV194),$AO194&amp;" · S"&amp;$AV194,"(Sin fecha)"),"")</f>
      </c>
      <c r="BA194" s="202">
        <f>IF($C194,IF(AND(ISNUMBER('Backlog General'!$M194),'Backlog General'!$M194=$AS194),"Nuevo S"&amp;'Backlog General'!$M194,""),"")</f>
      </c>
      <c r="BB194" s="202">
        <f>IF(AND($C194,$AO194="Semanal",ISNUMBER($AV194)),$AV194*100000+ROW(),"")</f>
      </c>
      <c r="BC194" s="202">
        <f>IF(AND($C194,$AO194="Quincenal",ISNUMBER($AV194)),$AV194*100000+ROW(),"")</f>
      </c>
      <c r="BD194" s="202">
        <f>IF(AND($C194,$AO194="Mensual",ISNUMBER($AV194)),$AV194*100000+ROW(),"")</f>
      </c>
      <c r="BE194" s="203">
        <f>IF($C194,IF(ISBLANK('Backlog General'!$J194),"",'Backlog General'!$J194),"")</f>
      </c>
      <c r="BF194" s="203">
        <f>IF($C194,IF($BE194="","",$BE194)&amp;IF(AND($BE194&lt;&gt;"",$AH194&lt;&gt;"")," · ","")&amp;IF($AH194="","",$AH194),"")</f>
      </c>
      <c r="BG194" s="203">
        <f>IF($C194,IF($J194="Completado","Sí","No"),"")</f>
      </c>
      <c r="BH194" s="202">
        <f>IF(AND($C194,ISNUMBER($AR194)),IF($AO194="Semanal",1,IF($AO194="Quincenal",2,3))*1000000000+$AR194*100000+ROW(),"")</f>
      </c>
    </row>
    <row r="195">
      <c r="A195" s="202">
        <f>ROW()</f>
        <v>195</v>
      </c>
      <c r="B195" s="202" t="b">
        <f>ISTEXT('Proyecto Datos (OKR´s)'!$K195)</f>
        <v>0</v>
      </c>
      <c r="C195" s="202" t="b">
        <f>AND(LEN('Proyecto Datos (OKR´s)'!$G195)&gt;0,NOT($B195),OR(ISNUMBER('Proyecto Datos (OKR´s)'!$F195),ISNUMBER('Proyecto Datos (OKR´s)'!$L195)))</f>
        <v>0</v>
      </c>
      <c r="D195" s="203">
        <f>IF($C195,IFERROR(LOOKUP(2,1/((ISTEXT('Proyecto Datos (OKR´s)'!$K$7:$K195))*(LEN('Proyecto Datos (OKR´s)'!$G$7:$G195)&gt;0)),'Proyecto Datos (OKR´s)'!$G$7:$G195),""),"")</f>
      </c>
      <c r="E195" s="202">
        <f>IF($C195,'Proyecto Datos (OKR´s)'!$E195,"")</f>
      </c>
      <c r="F195" s="203">
        <f>IF($C195,'Proyecto Datos (OKR´s)'!$G195,"")</f>
      </c>
      <c r="G195" s="203">
        <f>IF($C195,IF('Proyecto Datos (OKR´s)'!$I195="","(Sin asignar)",'Proyecto Datos (OKR´s)'!$I195),"")</f>
      </c>
      <c r="H195" s="202">
        <f>IF($C195,IF(ISNUMBER('Proyecto Datos (OKR´s)'!$F195),'Proyecto Datos (OKR´s)'!$F195,""),"")</f>
      </c>
      <c r="I195" s="202">
        <f>IF($C195,'Proyecto Datos (OKR´s)'!$J195,"")</f>
      </c>
      <c r="J195" s="203">
        <f>IF($C195,IF($I195&gt;=1,"Completado",IF(NOT(ISNUMBER($H195)),"Sin fecha",IF($H195&lt;TODAY(),"Vencido",IF(($H195-TODAY())&lt;='Entregas Próximas'!$M$3,"Próximo a vencer","En curso")))),"")</f>
      </c>
      <c r="K195" s="202">
        <f>IF(AND($C195,ISNUMBER($H195)),$H195-TODAY(),"")</f>
      </c>
      <c r="L195" s="202">
        <f>IF(AND($C195,ISNUMBER($H195)),$AD195*1000000+$H195+ROW()/100000,"")</f>
      </c>
      <c r="M195" s="202">
        <f>IF($C195,IF($AD195=9999,"(Sin sprint)",$AD195),"")</f>
      </c>
      <c r="N195" s="202">
        <f>IF($C195,IF('Proyecto Datos (OKR´s)'!$E195="",9999,'Proyecto Datos (OKR´s)'!$E195),"")</f>
      </c>
      <c r="O195" s="202">
        <f>IF($C195,"T"&amp;TEXT(ROW(),"000"),"")</f>
      </c>
      <c r="R195" s="202">
        <f>IF($C195,IF(ISNUMBER('Proyecto Datos (OKR´s)'!$L195),'Proyecto Datos (OKR´s)'!$L195,$H195),"")</f>
      </c>
      <c r="S195" s="202">
        <f>IF($C195,$R195-'Proyecto Datos (OKR´s)'!$K195+1,"")</f>
      </c>
      <c r="T195" s="202">
        <f>IF($C195,MAX(0,TODAY()-'Proyecto Datos (OKR´s)'!$K195),"")</f>
      </c>
      <c r="U195" s="202">
        <f>IF($C195,MEDIAN(0,(TODAY()-'Proyecto Datos (OKR´s)'!$K195)/MAX(1,$R195-'Proyecto Datos (OKR´s)'!$K195),1),"")</f>
      </c>
      <c r="V195" s="202">
        <f>IF($C195,$I195-$U195,"")</f>
      </c>
      <c r="W195" s="202">
        <f>IF($C195,IF(OR($J195="Completado",NOT(ISNUMBER($H195))),0,MAX(0,TODAY()-$H195)),"")</f>
      </c>
      <c r="X195" s="202">
        <f>IF($C195,IF(ISNUMBER($H195),$R195-$H195,0),"")</f>
      </c>
      <c r="Y195" s="202">
        <f>IF($C195,COUNTIFS($G$7:$G$200,$G195,$J$7:$J$200,"&lt;&gt;Completado",$J$7:$J$200,"&lt;&gt;"),"")</f>
      </c>
      <c r="Z195" s="202">
        <f>IF($C195,AND($I195=0,'Proyecto Datos (OKR´s)'!$K195&lt;=TODAY(),$J195&lt;&gt;"Completado"),"")</f>
      </c>
      <c r="AA195" s="202">
        <f>IF($C195,ROUND(100*(0.35*$AK195+0.3*$AL195+0.2*$AM195+0.15*MEDIAN(0,($Y195-4)/8,1)),0),"")</f>
      </c>
      <c r="AB195" s="203">
        <f>IF($C195,IF(OR($J195="Completado",$J195="Sin fecha"),"—",IF($AA195&gt;=70,"Crítica",IF($AA195&gt;=45,"Alta",IF($AA195&gt;=25,"Media","Baja")))),"")</f>
      </c>
      <c r="AC195" s="203">
        <f>IF($C195,IF(LEN(TRIM($AN195))=0,"—",TRIM($AN195)),"")</f>
      </c>
      <c r="AD195" s="202">
        <f>IF($C195,$AV195,"")</f>
      </c>
      <c r="AE195" s="202">
        <f>IF($C195,$AZ195,"")</f>
      </c>
      <c r="AF195" s="202" t="b">
        <f>IF($C195,$AV195&lt;&gt;$AR195,FALSE)</f>
        <v>0</v>
      </c>
      <c r="AG195" s="202">
        <f>IF($C195,IF($AV195&lt;&gt;$AR195,$AW195,""),"")</f>
      </c>
      <c r="AH195" s="203">
        <f>IF($C195,IF(ISBLANK('Backlog General'!$K195),"",'Backlog General'!$K195),"")</f>
      </c>
      <c r="AI195" s="202">
        <f>IF($C195,$AV195*100000+ROW(),"")</f>
      </c>
      <c r="AJ195" s="202">
        <f>IF(AND($C195,ISNUMBER($H195)),$AA195*1000000-MEDIAN(-9999,$K195,9999)*100+(300-ROW()),"")</f>
      </c>
      <c r="AK195" s="202">
        <f>IF($C195,IF($J195="Completado",0,IF($K195&lt;0,1,IF($K195&lt;=3,0.9,IF($K195&lt;=7,0.7,IF($K195&lt;=14,0.45,0.2))))),"")</f>
      </c>
      <c r="AL195" s="202">
        <f>IF($C195,IF($J195="Completado",0,MEDIAN(0,MAX(-$V195,$W195/30),1)),"")</f>
      </c>
      <c r="AM195" s="202">
        <f>IF($C195,IF($J195="Completado",0,IF($Z195,1,IF(AND($I195&lt;0.5,$K195&lt;=7),0.7,0.3))),"")</f>
      </c>
      <c r="AN195" s="203">
        <f>IF($C195,IF(OR($V195&lt;-0.2,$W195&gt;0),"ATRASO ","")&amp;IF($Z195,"BLOQUEO ","")&amp;IF($Y195&gt;8,"SOBRECARGA ","")&amp;IF($X195&gt;0,"DESVÍO-PLAN ",""),"")</f>
      </c>
      <c r="AO195" s="203">
        <f>IF($C195,IFERROR(VLOOKUP($D195,'Sprints'!$I$5:$J$12,2,FALSE),"Semanal"),"")</f>
      </c>
      <c r="AP195" s="202">
        <f>IF($C195,IFERROR(VLOOKUP($AO195,'Sprints'!$B$9:$C$11,2,FALSE),1),"")</f>
      </c>
      <c r="AQ195" s="202">
        <f>IF($C195,'Sprints'!$C$5,"")</f>
      </c>
      <c r="AR195" s="202">
        <f>IF(AND($C195,ISNUMBER($H195)),CEILING(MAX(1,INT(($H195-$AQ195+'Sprints'!$D$5-1)/'Sprints'!$D$5)+1)/$AP195,1),"")</f>
      </c>
      <c r="AS195" s="202">
        <f>IF($C195,CEILING(MAX(1,INT((TODAY()-$AQ195+'Sprints'!$D$5-1)/'Sprints'!$D$5)+1)/$AP195,1),"")</f>
      </c>
      <c r="AT195" s="203">
        <f>IF($C195,'Backlog General'!$G195,"")</f>
      </c>
      <c r="AU195" s="203">
        <f>IF($C195,'Backlog General'!$H195,"")</f>
      </c>
      <c r="AV195" s="202">
        <f>IF(AND($C195,ISNUMBER($AR195)),IF(OR($AT195="Completo",$AU195="Cancelado",$AU195="Baja prioridad"),$AR195,IF($AU195="Pasa al siguiente",MAX($AR195+1,$AS195),MAX($AR195,$AS195))),"")</f>
      </c>
      <c r="AW195" s="202">
        <f>IF(AND($C195,ISNUMBER($AR195)),$AQ195+$AR195*$AP195*'Sprints'!$D$5-'Sprints'!$D$5,"")</f>
      </c>
      <c r="AX195" s="202">
        <f>IF($C195,IF(OR($AT195="Completo",$AU195="Cancelado",$AU195="Baja prioridad",NOT(ISNUMBER($AW195))),0,IF(TODAY()&gt;$AW195,NETWORKDAYS($AW195,TODAY(),'Sprints'!$L$5:$L$40)-1,0)),"")</f>
      </c>
      <c r="AY195" s="203">
        <f>IF($C195,IF(NOT(ISNUMBER($AR195)),"Sin fecha",IF($AT195="Completo","Completo",IF($AU195="Cancelado","Cancelado",IF($AU195="Baja prioridad","Baja prioridad",IF($AX195&gt;0,"Vencida","Pendiente"))))),"")</f>
      </c>
      <c r="AZ195" s="203">
        <f>IF($C195,IF(ISNUMBER($AV195),$AO195&amp;" · S"&amp;$AV195,"(Sin fecha)"),"")</f>
      </c>
      <c r="BA195" s="202">
        <f>IF($C195,IF(AND(ISNUMBER('Backlog General'!$M195),'Backlog General'!$M195=$AS195),"Nuevo S"&amp;'Backlog General'!$M195,""),"")</f>
      </c>
      <c r="BB195" s="202">
        <f>IF(AND($C195,$AO195="Semanal",ISNUMBER($AV195)),$AV195*100000+ROW(),"")</f>
      </c>
      <c r="BC195" s="202">
        <f>IF(AND($C195,$AO195="Quincenal",ISNUMBER($AV195)),$AV195*100000+ROW(),"")</f>
      </c>
      <c r="BD195" s="202">
        <f>IF(AND($C195,$AO195="Mensual",ISNUMBER($AV195)),$AV195*100000+ROW(),"")</f>
      </c>
      <c r="BE195" s="203">
        <f>IF($C195,IF(ISBLANK('Backlog General'!$J195),"",'Backlog General'!$J195),"")</f>
      </c>
      <c r="BF195" s="203">
        <f>IF($C195,IF($BE195="","",$BE195)&amp;IF(AND($BE195&lt;&gt;"",$AH195&lt;&gt;"")," · ","")&amp;IF($AH195="","",$AH195),"")</f>
      </c>
      <c r="BG195" s="203">
        <f>IF($C195,IF($J195="Completado","Sí","No"),"")</f>
      </c>
      <c r="BH195" s="202">
        <f>IF(AND($C195,ISNUMBER($AR195)),IF($AO195="Semanal",1,IF($AO195="Quincenal",2,3))*1000000000+$AR195*100000+ROW(),"")</f>
      </c>
    </row>
    <row r="196">
      <c r="A196" s="202">
        <f>ROW()</f>
        <v>196</v>
      </c>
      <c r="B196" s="202" t="b">
        <f>ISTEXT('Proyecto Datos (OKR´s)'!$K196)</f>
        <v>0</v>
      </c>
      <c r="C196" s="202" t="b">
        <f>AND(LEN('Proyecto Datos (OKR´s)'!$G196)&gt;0,NOT($B196),OR(ISNUMBER('Proyecto Datos (OKR´s)'!$F196),ISNUMBER('Proyecto Datos (OKR´s)'!$L196)))</f>
        <v>0</v>
      </c>
      <c r="D196" s="203">
        <f>IF($C196,IFERROR(LOOKUP(2,1/((ISTEXT('Proyecto Datos (OKR´s)'!$K$7:$K196))*(LEN('Proyecto Datos (OKR´s)'!$G$7:$G196)&gt;0)),'Proyecto Datos (OKR´s)'!$G$7:$G196),""),"")</f>
      </c>
      <c r="E196" s="202">
        <f>IF($C196,'Proyecto Datos (OKR´s)'!$E196,"")</f>
      </c>
      <c r="F196" s="203">
        <f>IF($C196,'Proyecto Datos (OKR´s)'!$G196,"")</f>
      </c>
      <c r="G196" s="203">
        <f>IF($C196,IF('Proyecto Datos (OKR´s)'!$I196="","(Sin asignar)",'Proyecto Datos (OKR´s)'!$I196),"")</f>
      </c>
      <c r="H196" s="202">
        <f>IF($C196,IF(ISNUMBER('Proyecto Datos (OKR´s)'!$F196),'Proyecto Datos (OKR´s)'!$F196,""),"")</f>
      </c>
      <c r="I196" s="202">
        <f>IF($C196,'Proyecto Datos (OKR´s)'!$J196,"")</f>
      </c>
      <c r="J196" s="203">
        <f>IF($C196,IF($I196&gt;=1,"Completado",IF(NOT(ISNUMBER($H196)),"Sin fecha",IF($H196&lt;TODAY(),"Vencido",IF(($H196-TODAY())&lt;='Entregas Próximas'!$M$3,"Próximo a vencer","En curso")))),"")</f>
      </c>
      <c r="K196" s="202">
        <f>IF(AND($C196,ISNUMBER($H196)),$H196-TODAY(),"")</f>
      </c>
      <c r="L196" s="202">
        <f>IF(AND($C196,ISNUMBER($H196)),$AD196*1000000+$H196+ROW()/100000,"")</f>
      </c>
      <c r="M196" s="202">
        <f>IF($C196,IF($AD196=9999,"(Sin sprint)",$AD196),"")</f>
      </c>
      <c r="N196" s="202">
        <f>IF($C196,IF('Proyecto Datos (OKR´s)'!$E196="",9999,'Proyecto Datos (OKR´s)'!$E196),"")</f>
      </c>
      <c r="O196" s="202">
        <f>IF($C196,"T"&amp;TEXT(ROW(),"000"),"")</f>
      </c>
      <c r="R196" s="202">
        <f>IF($C196,IF(ISNUMBER('Proyecto Datos (OKR´s)'!$L196),'Proyecto Datos (OKR´s)'!$L196,$H196),"")</f>
      </c>
      <c r="S196" s="202">
        <f>IF($C196,$R196-'Proyecto Datos (OKR´s)'!$K196+1,"")</f>
      </c>
      <c r="T196" s="202">
        <f>IF($C196,MAX(0,TODAY()-'Proyecto Datos (OKR´s)'!$K196),"")</f>
      </c>
      <c r="U196" s="202">
        <f>IF($C196,MEDIAN(0,(TODAY()-'Proyecto Datos (OKR´s)'!$K196)/MAX(1,$R196-'Proyecto Datos (OKR´s)'!$K196),1),"")</f>
      </c>
      <c r="V196" s="202">
        <f>IF($C196,$I196-$U196,"")</f>
      </c>
      <c r="W196" s="202">
        <f>IF($C196,IF(OR($J196="Completado",NOT(ISNUMBER($H196))),0,MAX(0,TODAY()-$H196)),"")</f>
      </c>
      <c r="X196" s="202">
        <f>IF($C196,IF(ISNUMBER($H196),$R196-$H196,0),"")</f>
      </c>
      <c r="Y196" s="202">
        <f>IF($C196,COUNTIFS($G$7:$G$200,$G196,$J$7:$J$200,"&lt;&gt;Completado",$J$7:$J$200,"&lt;&gt;"),"")</f>
      </c>
      <c r="Z196" s="202">
        <f>IF($C196,AND($I196=0,'Proyecto Datos (OKR´s)'!$K196&lt;=TODAY(),$J196&lt;&gt;"Completado"),"")</f>
      </c>
      <c r="AA196" s="202">
        <f>IF($C196,ROUND(100*(0.35*$AK196+0.3*$AL196+0.2*$AM196+0.15*MEDIAN(0,($Y196-4)/8,1)),0),"")</f>
      </c>
      <c r="AB196" s="203">
        <f>IF($C196,IF(OR($J196="Completado",$J196="Sin fecha"),"—",IF($AA196&gt;=70,"Crítica",IF($AA196&gt;=45,"Alta",IF($AA196&gt;=25,"Media","Baja")))),"")</f>
      </c>
      <c r="AC196" s="203">
        <f>IF($C196,IF(LEN(TRIM($AN196))=0,"—",TRIM($AN196)),"")</f>
      </c>
      <c r="AD196" s="202">
        <f>IF($C196,$AV196,"")</f>
      </c>
      <c r="AE196" s="202">
        <f>IF($C196,$AZ196,"")</f>
      </c>
      <c r="AF196" s="202" t="b">
        <f>IF($C196,$AV196&lt;&gt;$AR196,FALSE)</f>
        <v>0</v>
      </c>
      <c r="AG196" s="202">
        <f>IF($C196,IF($AV196&lt;&gt;$AR196,$AW196,""),"")</f>
      </c>
      <c r="AH196" s="203">
        <f>IF($C196,IF(ISBLANK('Backlog General'!$K196),"",'Backlog General'!$K196),"")</f>
      </c>
      <c r="AI196" s="202">
        <f>IF($C196,$AV196*100000+ROW(),"")</f>
      </c>
      <c r="AJ196" s="202">
        <f>IF(AND($C196,ISNUMBER($H196)),$AA196*1000000-MEDIAN(-9999,$K196,9999)*100+(300-ROW()),"")</f>
      </c>
      <c r="AK196" s="202">
        <f>IF($C196,IF($J196="Completado",0,IF($K196&lt;0,1,IF($K196&lt;=3,0.9,IF($K196&lt;=7,0.7,IF($K196&lt;=14,0.45,0.2))))),"")</f>
      </c>
      <c r="AL196" s="202">
        <f>IF($C196,IF($J196="Completado",0,MEDIAN(0,MAX(-$V196,$W196/30),1)),"")</f>
      </c>
      <c r="AM196" s="202">
        <f>IF($C196,IF($J196="Completado",0,IF($Z196,1,IF(AND($I196&lt;0.5,$K196&lt;=7),0.7,0.3))),"")</f>
      </c>
      <c r="AN196" s="203">
        <f>IF($C196,IF(OR($V196&lt;-0.2,$W196&gt;0),"ATRASO ","")&amp;IF($Z196,"BLOQUEO ","")&amp;IF($Y196&gt;8,"SOBRECARGA ","")&amp;IF($X196&gt;0,"DESVÍO-PLAN ",""),"")</f>
      </c>
      <c r="AO196" s="203">
        <f>IF($C196,IFERROR(VLOOKUP($D196,'Sprints'!$I$5:$J$12,2,FALSE),"Semanal"),"")</f>
      </c>
      <c r="AP196" s="202">
        <f>IF($C196,IFERROR(VLOOKUP($AO196,'Sprints'!$B$9:$C$11,2,FALSE),1),"")</f>
      </c>
      <c r="AQ196" s="202">
        <f>IF($C196,'Sprints'!$C$5,"")</f>
      </c>
      <c r="AR196" s="202">
        <f>IF(AND($C196,ISNUMBER($H196)),CEILING(MAX(1,INT(($H196-$AQ196+'Sprints'!$D$5-1)/'Sprints'!$D$5)+1)/$AP196,1),"")</f>
      </c>
      <c r="AS196" s="202">
        <f>IF($C196,CEILING(MAX(1,INT((TODAY()-$AQ196+'Sprints'!$D$5-1)/'Sprints'!$D$5)+1)/$AP196,1),"")</f>
      </c>
      <c r="AT196" s="203">
        <f>IF($C196,'Backlog General'!$G196,"")</f>
      </c>
      <c r="AU196" s="203">
        <f>IF($C196,'Backlog General'!$H196,"")</f>
      </c>
      <c r="AV196" s="202">
        <f>IF(AND($C196,ISNUMBER($AR196)),IF(OR($AT196="Completo",$AU196="Cancelado",$AU196="Baja prioridad"),$AR196,IF($AU196="Pasa al siguiente",MAX($AR196+1,$AS196),MAX($AR196,$AS196))),"")</f>
      </c>
      <c r="AW196" s="202">
        <f>IF(AND($C196,ISNUMBER($AR196)),$AQ196+$AR196*$AP196*'Sprints'!$D$5-'Sprints'!$D$5,"")</f>
      </c>
      <c r="AX196" s="202">
        <f>IF($C196,IF(OR($AT196="Completo",$AU196="Cancelado",$AU196="Baja prioridad",NOT(ISNUMBER($AW196))),0,IF(TODAY()&gt;$AW196,NETWORKDAYS($AW196,TODAY(),'Sprints'!$L$5:$L$40)-1,0)),"")</f>
      </c>
      <c r="AY196" s="203">
        <f>IF($C196,IF(NOT(ISNUMBER($AR196)),"Sin fecha",IF($AT196="Completo","Completo",IF($AU196="Cancelado","Cancelado",IF($AU196="Baja prioridad","Baja prioridad",IF($AX196&gt;0,"Vencida","Pendiente"))))),"")</f>
      </c>
      <c r="AZ196" s="203">
        <f>IF($C196,IF(ISNUMBER($AV196),$AO196&amp;" · S"&amp;$AV196,"(Sin fecha)"),"")</f>
      </c>
      <c r="BA196" s="202">
        <f>IF($C196,IF(AND(ISNUMBER('Backlog General'!$M196),'Backlog General'!$M196=$AS196),"Nuevo S"&amp;'Backlog General'!$M196,""),"")</f>
      </c>
      <c r="BB196" s="202">
        <f>IF(AND($C196,$AO196="Semanal",ISNUMBER($AV196)),$AV196*100000+ROW(),"")</f>
      </c>
      <c r="BC196" s="202">
        <f>IF(AND($C196,$AO196="Quincenal",ISNUMBER($AV196)),$AV196*100000+ROW(),"")</f>
      </c>
      <c r="BD196" s="202">
        <f>IF(AND($C196,$AO196="Mensual",ISNUMBER($AV196)),$AV196*100000+ROW(),"")</f>
      </c>
      <c r="BE196" s="203">
        <f>IF($C196,IF(ISBLANK('Backlog General'!$J196),"",'Backlog General'!$J196),"")</f>
      </c>
      <c r="BF196" s="203">
        <f>IF($C196,IF($BE196="","",$BE196)&amp;IF(AND($BE196&lt;&gt;"",$AH196&lt;&gt;"")," · ","")&amp;IF($AH196="","",$AH196),"")</f>
      </c>
      <c r="BG196" s="203">
        <f>IF($C196,IF($J196="Completado","Sí","No"),"")</f>
      </c>
      <c r="BH196" s="202">
        <f>IF(AND($C196,ISNUMBER($AR196)),IF($AO196="Semanal",1,IF($AO196="Quincenal",2,3))*1000000000+$AR196*100000+ROW(),"")</f>
      </c>
    </row>
    <row r="197">
      <c r="A197" s="202">
        <f>ROW()</f>
        <v>197</v>
      </c>
      <c r="B197" s="202" t="b">
        <f>ISTEXT('Proyecto Datos (OKR´s)'!$K197)</f>
        <v>0</v>
      </c>
      <c r="C197" s="202" t="b">
        <f>AND(LEN('Proyecto Datos (OKR´s)'!$G197)&gt;0,NOT($B197),OR(ISNUMBER('Proyecto Datos (OKR´s)'!$F197),ISNUMBER('Proyecto Datos (OKR´s)'!$L197)))</f>
        <v>0</v>
      </c>
      <c r="D197" s="203">
        <f>IF($C197,IFERROR(LOOKUP(2,1/((ISTEXT('Proyecto Datos (OKR´s)'!$K$7:$K197))*(LEN('Proyecto Datos (OKR´s)'!$G$7:$G197)&gt;0)),'Proyecto Datos (OKR´s)'!$G$7:$G197),""),"")</f>
      </c>
      <c r="E197" s="202">
        <f>IF($C197,'Proyecto Datos (OKR´s)'!$E197,"")</f>
      </c>
      <c r="F197" s="203">
        <f>IF($C197,'Proyecto Datos (OKR´s)'!$G197,"")</f>
      </c>
      <c r="G197" s="203">
        <f>IF($C197,IF('Proyecto Datos (OKR´s)'!$I197="","(Sin asignar)",'Proyecto Datos (OKR´s)'!$I197),"")</f>
      </c>
      <c r="H197" s="202">
        <f>IF($C197,IF(ISNUMBER('Proyecto Datos (OKR´s)'!$F197),'Proyecto Datos (OKR´s)'!$F197,""),"")</f>
      </c>
      <c r="I197" s="202">
        <f>IF($C197,'Proyecto Datos (OKR´s)'!$J197,"")</f>
      </c>
      <c r="J197" s="203">
        <f>IF($C197,IF($I197&gt;=1,"Completado",IF(NOT(ISNUMBER($H197)),"Sin fecha",IF($H197&lt;TODAY(),"Vencido",IF(($H197-TODAY())&lt;='Entregas Próximas'!$M$3,"Próximo a vencer","En curso")))),"")</f>
      </c>
      <c r="K197" s="202">
        <f>IF(AND($C197,ISNUMBER($H197)),$H197-TODAY(),"")</f>
      </c>
      <c r="L197" s="202">
        <f>IF(AND($C197,ISNUMBER($H197)),$AD197*1000000+$H197+ROW()/100000,"")</f>
      </c>
      <c r="M197" s="202">
        <f>IF($C197,IF($AD197=9999,"(Sin sprint)",$AD197),"")</f>
      </c>
      <c r="N197" s="202">
        <f>IF($C197,IF('Proyecto Datos (OKR´s)'!$E197="",9999,'Proyecto Datos (OKR´s)'!$E197),"")</f>
      </c>
      <c r="O197" s="202">
        <f>IF($C197,"T"&amp;TEXT(ROW(),"000"),"")</f>
      </c>
      <c r="R197" s="202">
        <f>IF($C197,IF(ISNUMBER('Proyecto Datos (OKR´s)'!$L197),'Proyecto Datos (OKR´s)'!$L197,$H197),"")</f>
      </c>
      <c r="S197" s="202">
        <f>IF($C197,$R197-'Proyecto Datos (OKR´s)'!$K197+1,"")</f>
      </c>
      <c r="T197" s="202">
        <f>IF($C197,MAX(0,TODAY()-'Proyecto Datos (OKR´s)'!$K197),"")</f>
      </c>
      <c r="U197" s="202">
        <f>IF($C197,MEDIAN(0,(TODAY()-'Proyecto Datos (OKR´s)'!$K197)/MAX(1,$R197-'Proyecto Datos (OKR´s)'!$K197),1),"")</f>
      </c>
      <c r="V197" s="202">
        <f>IF($C197,$I197-$U197,"")</f>
      </c>
      <c r="W197" s="202">
        <f>IF($C197,IF(OR($J197="Completado",NOT(ISNUMBER($H197))),0,MAX(0,TODAY()-$H197)),"")</f>
      </c>
      <c r="X197" s="202">
        <f>IF($C197,IF(ISNUMBER($H197),$R197-$H197,0),"")</f>
      </c>
      <c r="Y197" s="202">
        <f>IF($C197,COUNTIFS($G$7:$G$200,$G197,$J$7:$J$200,"&lt;&gt;Completado",$J$7:$J$200,"&lt;&gt;"),"")</f>
      </c>
      <c r="Z197" s="202">
        <f>IF($C197,AND($I197=0,'Proyecto Datos (OKR´s)'!$K197&lt;=TODAY(),$J197&lt;&gt;"Completado"),"")</f>
      </c>
      <c r="AA197" s="202">
        <f>IF($C197,ROUND(100*(0.35*$AK197+0.3*$AL197+0.2*$AM197+0.15*MEDIAN(0,($Y197-4)/8,1)),0),"")</f>
      </c>
      <c r="AB197" s="203">
        <f>IF($C197,IF(OR($J197="Completado",$J197="Sin fecha"),"—",IF($AA197&gt;=70,"Crítica",IF($AA197&gt;=45,"Alta",IF($AA197&gt;=25,"Media","Baja")))),"")</f>
      </c>
      <c r="AC197" s="203">
        <f>IF($C197,IF(LEN(TRIM($AN197))=0,"—",TRIM($AN197)),"")</f>
      </c>
      <c r="AD197" s="202">
        <f>IF($C197,$AV197,"")</f>
      </c>
      <c r="AE197" s="202">
        <f>IF($C197,$AZ197,"")</f>
      </c>
      <c r="AF197" s="202" t="b">
        <f>IF($C197,$AV197&lt;&gt;$AR197,FALSE)</f>
        <v>0</v>
      </c>
      <c r="AG197" s="202">
        <f>IF($C197,IF($AV197&lt;&gt;$AR197,$AW197,""),"")</f>
      </c>
      <c r="AH197" s="203">
        <f>IF($C197,IF(ISBLANK('Backlog General'!$K197),"",'Backlog General'!$K197),"")</f>
      </c>
      <c r="AI197" s="202">
        <f>IF($C197,$AV197*100000+ROW(),"")</f>
      </c>
      <c r="AJ197" s="202">
        <f>IF(AND($C197,ISNUMBER($H197)),$AA197*1000000-MEDIAN(-9999,$K197,9999)*100+(300-ROW()),"")</f>
      </c>
      <c r="AK197" s="202">
        <f>IF($C197,IF($J197="Completado",0,IF($K197&lt;0,1,IF($K197&lt;=3,0.9,IF($K197&lt;=7,0.7,IF($K197&lt;=14,0.45,0.2))))),"")</f>
      </c>
      <c r="AL197" s="202">
        <f>IF($C197,IF($J197="Completado",0,MEDIAN(0,MAX(-$V197,$W197/30),1)),"")</f>
      </c>
      <c r="AM197" s="202">
        <f>IF($C197,IF($J197="Completado",0,IF($Z197,1,IF(AND($I197&lt;0.5,$K197&lt;=7),0.7,0.3))),"")</f>
      </c>
      <c r="AN197" s="203">
        <f>IF($C197,IF(OR($V197&lt;-0.2,$W197&gt;0),"ATRASO ","")&amp;IF($Z197,"BLOQUEO ","")&amp;IF($Y197&gt;8,"SOBRECARGA ","")&amp;IF($X197&gt;0,"DESVÍO-PLAN ",""),"")</f>
      </c>
      <c r="AO197" s="203">
        <f>IF($C197,IFERROR(VLOOKUP($D197,'Sprints'!$I$5:$J$12,2,FALSE),"Semanal"),"")</f>
      </c>
      <c r="AP197" s="202">
        <f>IF($C197,IFERROR(VLOOKUP($AO197,'Sprints'!$B$9:$C$11,2,FALSE),1),"")</f>
      </c>
      <c r="AQ197" s="202">
        <f>IF($C197,'Sprints'!$C$5,"")</f>
      </c>
      <c r="AR197" s="202">
        <f>IF(AND($C197,ISNUMBER($H197)),CEILING(MAX(1,INT(($H197-$AQ197+'Sprints'!$D$5-1)/'Sprints'!$D$5)+1)/$AP197,1),"")</f>
      </c>
      <c r="AS197" s="202">
        <f>IF($C197,CEILING(MAX(1,INT((TODAY()-$AQ197+'Sprints'!$D$5-1)/'Sprints'!$D$5)+1)/$AP197,1),"")</f>
      </c>
      <c r="AT197" s="203">
        <f>IF($C197,'Backlog General'!$G197,"")</f>
      </c>
      <c r="AU197" s="203">
        <f>IF($C197,'Backlog General'!$H197,"")</f>
      </c>
      <c r="AV197" s="202">
        <f>IF(AND($C197,ISNUMBER($AR197)),IF(OR($AT197="Completo",$AU197="Cancelado",$AU197="Baja prioridad"),$AR197,IF($AU197="Pasa al siguiente",MAX($AR197+1,$AS197),MAX($AR197,$AS197))),"")</f>
      </c>
      <c r="AW197" s="202">
        <f>IF(AND($C197,ISNUMBER($AR197)),$AQ197+$AR197*$AP197*'Sprints'!$D$5-'Sprints'!$D$5,"")</f>
      </c>
      <c r="AX197" s="202">
        <f>IF($C197,IF(OR($AT197="Completo",$AU197="Cancelado",$AU197="Baja prioridad",NOT(ISNUMBER($AW197))),0,IF(TODAY()&gt;$AW197,NETWORKDAYS($AW197,TODAY(),'Sprints'!$L$5:$L$40)-1,0)),"")</f>
      </c>
      <c r="AY197" s="203">
        <f>IF($C197,IF(NOT(ISNUMBER($AR197)),"Sin fecha",IF($AT197="Completo","Completo",IF($AU197="Cancelado","Cancelado",IF($AU197="Baja prioridad","Baja prioridad",IF($AX197&gt;0,"Vencida","Pendiente"))))),"")</f>
      </c>
      <c r="AZ197" s="203">
        <f>IF($C197,IF(ISNUMBER($AV197),$AO197&amp;" · S"&amp;$AV197,"(Sin fecha)"),"")</f>
      </c>
      <c r="BA197" s="202">
        <f>IF($C197,IF(AND(ISNUMBER('Backlog General'!$M197),'Backlog General'!$M197=$AS197),"Nuevo S"&amp;'Backlog General'!$M197,""),"")</f>
      </c>
      <c r="BB197" s="202">
        <f>IF(AND($C197,$AO197="Semanal",ISNUMBER($AV197)),$AV197*100000+ROW(),"")</f>
      </c>
      <c r="BC197" s="202">
        <f>IF(AND($C197,$AO197="Quincenal",ISNUMBER($AV197)),$AV197*100000+ROW(),"")</f>
      </c>
      <c r="BD197" s="202">
        <f>IF(AND($C197,$AO197="Mensual",ISNUMBER($AV197)),$AV197*100000+ROW(),"")</f>
      </c>
      <c r="BE197" s="203">
        <f>IF($C197,IF(ISBLANK('Backlog General'!$J197),"",'Backlog General'!$J197),"")</f>
      </c>
      <c r="BF197" s="203">
        <f>IF($C197,IF($BE197="","",$BE197)&amp;IF(AND($BE197&lt;&gt;"",$AH197&lt;&gt;"")," · ","")&amp;IF($AH197="","",$AH197),"")</f>
      </c>
      <c r="BG197" s="203">
        <f>IF($C197,IF($J197="Completado","Sí","No"),"")</f>
      </c>
      <c r="BH197" s="202">
        <f>IF(AND($C197,ISNUMBER($AR197)),IF($AO197="Semanal",1,IF($AO197="Quincenal",2,3))*1000000000+$AR197*100000+ROW(),"")</f>
      </c>
    </row>
    <row r="198">
      <c r="A198" s="202">
        <f>ROW()</f>
        <v>198</v>
      </c>
      <c r="B198" s="202" t="b">
        <f>ISTEXT('Proyecto Datos (OKR´s)'!$K198)</f>
        <v>0</v>
      </c>
      <c r="C198" s="202" t="b">
        <f>AND(LEN('Proyecto Datos (OKR´s)'!$G198)&gt;0,NOT($B198),OR(ISNUMBER('Proyecto Datos (OKR´s)'!$F198),ISNUMBER('Proyecto Datos (OKR´s)'!$L198)))</f>
        <v>0</v>
      </c>
      <c r="D198" s="203">
        <f>IF($C198,IFERROR(LOOKUP(2,1/((ISTEXT('Proyecto Datos (OKR´s)'!$K$7:$K198))*(LEN('Proyecto Datos (OKR´s)'!$G$7:$G198)&gt;0)),'Proyecto Datos (OKR´s)'!$G$7:$G198),""),"")</f>
      </c>
      <c r="E198" s="202">
        <f>IF($C198,'Proyecto Datos (OKR´s)'!$E198,"")</f>
      </c>
      <c r="F198" s="203">
        <f>IF($C198,'Proyecto Datos (OKR´s)'!$G198,"")</f>
      </c>
      <c r="G198" s="203">
        <f>IF($C198,IF('Proyecto Datos (OKR´s)'!$I198="","(Sin asignar)",'Proyecto Datos (OKR´s)'!$I198),"")</f>
      </c>
      <c r="H198" s="202">
        <f>IF($C198,IF(ISNUMBER('Proyecto Datos (OKR´s)'!$F198),'Proyecto Datos (OKR´s)'!$F198,""),"")</f>
      </c>
      <c r="I198" s="202">
        <f>IF($C198,'Proyecto Datos (OKR´s)'!$J198,"")</f>
      </c>
      <c r="J198" s="203">
        <f>IF($C198,IF($I198&gt;=1,"Completado",IF(NOT(ISNUMBER($H198)),"Sin fecha",IF($H198&lt;TODAY(),"Vencido",IF(($H198-TODAY())&lt;='Entregas Próximas'!$M$3,"Próximo a vencer","En curso")))),"")</f>
      </c>
      <c r="K198" s="202">
        <f>IF(AND($C198,ISNUMBER($H198)),$H198-TODAY(),"")</f>
      </c>
      <c r="L198" s="202">
        <f>IF(AND($C198,ISNUMBER($H198)),$AD198*1000000+$H198+ROW()/100000,"")</f>
      </c>
      <c r="M198" s="202">
        <f>IF($C198,IF($AD198=9999,"(Sin sprint)",$AD198),"")</f>
      </c>
      <c r="N198" s="202">
        <f>IF($C198,IF('Proyecto Datos (OKR´s)'!$E198="",9999,'Proyecto Datos (OKR´s)'!$E198),"")</f>
      </c>
      <c r="O198" s="202">
        <f>IF($C198,"T"&amp;TEXT(ROW(),"000"),"")</f>
      </c>
      <c r="R198" s="202">
        <f>IF($C198,IF(ISNUMBER('Proyecto Datos (OKR´s)'!$L198),'Proyecto Datos (OKR´s)'!$L198,$H198),"")</f>
      </c>
      <c r="S198" s="202">
        <f>IF($C198,$R198-'Proyecto Datos (OKR´s)'!$K198+1,"")</f>
      </c>
      <c r="T198" s="202">
        <f>IF($C198,MAX(0,TODAY()-'Proyecto Datos (OKR´s)'!$K198),"")</f>
      </c>
      <c r="U198" s="202">
        <f>IF($C198,MEDIAN(0,(TODAY()-'Proyecto Datos (OKR´s)'!$K198)/MAX(1,$R198-'Proyecto Datos (OKR´s)'!$K198),1),"")</f>
      </c>
      <c r="V198" s="202">
        <f>IF($C198,$I198-$U198,"")</f>
      </c>
      <c r="W198" s="202">
        <f>IF($C198,IF(OR($J198="Completado",NOT(ISNUMBER($H198))),0,MAX(0,TODAY()-$H198)),"")</f>
      </c>
      <c r="X198" s="202">
        <f>IF($C198,IF(ISNUMBER($H198),$R198-$H198,0),"")</f>
      </c>
      <c r="Y198" s="202">
        <f>IF($C198,COUNTIFS($G$7:$G$200,$G198,$J$7:$J$200,"&lt;&gt;Completado",$J$7:$J$200,"&lt;&gt;"),"")</f>
      </c>
      <c r="Z198" s="202">
        <f>IF($C198,AND($I198=0,'Proyecto Datos (OKR´s)'!$K198&lt;=TODAY(),$J198&lt;&gt;"Completado"),"")</f>
      </c>
      <c r="AA198" s="202">
        <f>IF($C198,ROUND(100*(0.35*$AK198+0.3*$AL198+0.2*$AM198+0.15*MEDIAN(0,($Y198-4)/8,1)),0),"")</f>
      </c>
      <c r="AB198" s="203">
        <f>IF($C198,IF(OR($J198="Completado",$J198="Sin fecha"),"—",IF($AA198&gt;=70,"Crítica",IF($AA198&gt;=45,"Alta",IF($AA198&gt;=25,"Media","Baja")))),"")</f>
      </c>
      <c r="AC198" s="203">
        <f>IF($C198,IF(LEN(TRIM($AN198))=0,"—",TRIM($AN198)),"")</f>
      </c>
      <c r="AD198" s="202">
        <f>IF($C198,$AV198,"")</f>
      </c>
      <c r="AE198" s="202">
        <f>IF($C198,$AZ198,"")</f>
      </c>
      <c r="AF198" s="202" t="b">
        <f>IF($C198,$AV198&lt;&gt;$AR198,FALSE)</f>
        <v>0</v>
      </c>
      <c r="AG198" s="202">
        <f>IF($C198,IF($AV198&lt;&gt;$AR198,$AW198,""),"")</f>
      </c>
      <c r="AH198" s="203">
        <f>IF($C198,IF(ISBLANK('Backlog General'!$K198),"",'Backlog General'!$K198),"")</f>
      </c>
      <c r="AI198" s="202">
        <f>IF($C198,$AV198*100000+ROW(),"")</f>
      </c>
      <c r="AJ198" s="202">
        <f>IF(AND($C198,ISNUMBER($H198)),$AA198*1000000-MEDIAN(-9999,$K198,9999)*100+(300-ROW()),"")</f>
      </c>
      <c r="AK198" s="202">
        <f>IF($C198,IF($J198="Completado",0,IF($K198&lt;0,1,IF($K198&lt;=3,0.9,IF($K198&lt;=7,0.7,IF($K198&lt;=14,0.45,0.2))))),"")</f>
      </c>
      <c r="AL198" s="202">
        <f>IF($C198,IF($J198="Completado",0,MEDIAN(0,MAX(-$V198,$W198/30),1)),"")</f>
      </c>
      <c r="AM198" s="202">
        <f>IF($C198,IF($J198="Completado",0,IF($Z198,1,IF(AND($I198&lt;0.5,$K198&lt;=7),0.7,0.3))),"")</f>
      </c>
      <c r="AN198" s="203">
        <f>IF($C198,IF(OR($V198&lt;-0.2,$W198&gt;0),"ATRASO ","")&amp;IF($Z198,"BLOQUEO ","")&amp;IF($Y198&gt;8,"SOBRECARGA ","")&amp;IF($X198&gt;0,"DESVÍO-PLAN ",""),"")</f>
      </c>
      <c r="AO198" s="203">
        <f>IF($C198,IFERROR(VLOOKUP($D198,'Sprints'!$I$5:$J$12,2,FALSE),"Semanal"),"")</f>
      </c>
      <c r="AP198" s="202">
        <f>IF($C198,IFERROR(VLOOKUP($AO198,'Sprints'!$B$9:$C$11,2,FALSE),1),"")</f>
      </c>
      <c r="AQ198" s="202">
        <f>IF($C198,'Sprints'!$C$5,"")</f>
      </c>
      <c r="AR198" s="202">
        <f>IF(AND($C198,ISNUMBER($H198)),CEILING(MAX(1,INT(($H198-$AQ198+'Sprints'!$D$5-1)/'Sprints'!$D$5)+1)/$AP198,1),"")</f>
      </c>
      <c r="AS198" s="202">
        <f>IF($C198,CEILING(MAX(1,INT((TODAY()-$AQ198+'Sprints'!$D$5-1)/'Sprints'!$D$5)+1)/$AP198,1),"")</f>
      </c>
      <c r="AT198" s="203">
        <f>IF($C198,'Backlog General'!$G198,"")</f>
      </c>
      <c r="AU198" s="203">
        <f>IF($C198,'Backlog General'!$H198,"")</f>
      </c>
      <c r="AV198" s="202">
        <f>IF(AND($C198,ISNUMBER($AR198)),IF(OR($AT198="Completo",$AU198="Cancelado",$AU198="Baja prioridad"),$AR198,IF($AU198="Pasa al siguiente",MAX($AR198+1,$AS198),MAX($AR198,$AS198))),"")</f>
      </c>
      <c r="AW198" s="202">
        <f>IF(AND($C198,ISNUMBER($AR198)),$AQ198+$AR198*$AP198*'Sprints'!$D$5-'Sprints'!$D$5,"")</f>
      </c>
      <c r="AX198" s="202">
        <f>IF($C198,IF(OR($AT198="Completo",$AU198="Cancelado",$AU198="Baja prioridad",NOT(ISNUMBER($AW198))),0,IF(TODAY()&gt;$AW198,NETWORKDAYS($AW198,TODAY(),'Sprints'!$L$5:$L$40)-1,0)),"")</f>
      </c>
      <c r="AY198" s="203">
        <f>IF($C198,IF(NOT(ISNUMBER($AR198)),"Sin fecha",IF($AT198="Completo","Completo",IF($AU198="Cancelado","Cancelado",IF($AU198="Baja prioridad","Baja prioridad",IF($AX198&gt;0,"Vencida","Pendiente"))))),"")</f>
      </c>
      <c r="AZ198" s="203">
        <f>IF($C198,IF(ISNUMBER($AV198),$AO198&amp;" · S"&amp;$AV198,"(Sin fecha)"),"")</f>
      </c>
      <c r="BA198" s="202">
        <f>IF($C198,IF(AND(ISNUMBER('Backlog General'!$M198),'Backlog General'!$M198=$AS198),"Nuevo S"&amp;'Backlog General'!$M198,""),"")</f>
      </c>
      <c r="BB198" s="202">
        <f>IF(AND($C198,$AO198="Semanal",ISNUMBER($AV198)),$AV198*100000+ROW(),"")</f>
      </c>
      <c r="BC198" s="202">
        <f>IF(AND($C198,$AO198="Quincenal",ISNUMBER($AV198)),$AV198*100000+ROW(),"")</f>
      </c>
      <c r="BD198" s="202">
        <f>IF(AND($C198,$AO198="Mensual",ISNUMBER($AV198)),$AV198*100000+ROW(),"")</f>
      </c>
      <c r="BE198" s="203">
        <f>IF($C198,IF(ISBLANK('Backlog General'!$J198),"",'Backlog General'!$J198),"")</f>
      </c>
      <c r="BF198" s="203">
        <f>IF($C198,IF($BE198="","",$BE198)&amp;IF(AND($BE198&lt;&gt;"",$AH198&lt;&gt;"")," · ","")&amp;IF($AH198="","",$AH198),"")</f>
      </c>
      <c r="BG198" s="203">
        <f>IF($C198,IF($J198="Completado","Sí","No"),"")</f>
      </c>
      <c r="BH198" s="202">
        <f>IF(AND($C198,ISNUMBER($AR198)),IF($AO198="Semanal",1,IF($AO198="Quincenal",2,3))*1000000000+$AR198*100000+ROW(),"")</f>
      </c>
    </row>
    <row r="199">
      <c r="A199" s="202">
        <f>ROW()</f>
        <v>199</v>
      </c>
      <c r="B199" s="202" t="b">
        <f>ISTEXT('Proyecto Datos (OKR´s)'!$K199)</f>
        <v>0</v>
      </c>
      <c r="C199" s="202" t="b">
        <f>AND(LEN('Proyecto Datos (OKR´s)'!$G199)&gt;0,NOT($B199),OR(ISNUMBER('Proyecto Datos (OKR´s)'!$F199),ISNUMBER('Proyecto Datos (OKR´s)'!$L199)))</f>
        <v>0</v>
      </c>
      <c r="D199" s="203">
        <f>IF($C199,IFERROR(LOOKUP(2,1/((ISTEXT('Proyecto Datos (OKR´s)'!$K$7:$K199))*(LEN('Proyecto Datos (OKR´s)'!$G$7:$G199)&gt;0)),'Proyecto Datos (OKR´s)'!$G$7:$G199),""),"")</f>
      </c>
      <c r="E199" s="202">
        <f>IF($C199,'Proyecto Datos (OKR´s)'!$E199,"")</f>
      </c>
      <c r="F199" s="203">
        <f>IF($C199,'Proyecto Datos (OKR´s)'!$G199,"")</f>
      </c>
      <c r="G199" s="203">
        <f>IF($C199,IF('Proyecto Datos (OKR´s)'!$I199="","(Sin asignar)",'Proyecto Datos (OKR´s)'!$I199),"")</f>
      </c>
      <c r="H199" s="202">
        <f>IF($C199,IF(ISNUMBER('Proyecto Datos (OKR´s)'!$F199),'Proyecto Datos (OKR´s)'!$F199,""),"")</f>
      </c>
      <c r="I199" s="202">
        <f>IF($C199,'Proyecto Datos (OKR´s)'!$J199,"")</f>
      </c>
      <c r="J199" s="203">
        <f>IF($C199,IF($I199&gt;=1,"Completado",IF(NOT(ISNUMBER($H199)),"Sin fecha",IF($H199&lt;TODAY(),"Vencido",IF(($H199-TODAY())&lt;='Entregas Próximas'!$M$3,"Próximo a vencer","En curso")))),"")</f>
      </c>
      <c r="K199" s="202">
        <f>IF(AND($C199,ISNUMBER($H199)),$H199-TODAY(),"")</f>
      </c>
      <c r="L199" s="202">
        <f>IF(AND($C199,ISNUMBER($H199)),$AD199*1000000+$H199+ROW()/100000,"")</f>
      </c>
      <c r="M199" s="202">
        <f>IF($C199,IF($AD199=9999,"(Sin sprint)",$AD199),"")</f>
      </c>
      <c r="N199" s="202">
        <f>IF($C199,IF('Proyecto Datos (OKR´s)'!$E199="",9999,'Proyecto Datos (OKR´s)'!$E199),"")</f>
      </c>
      <c r="O199" s="202">
        <f>IF($C199,"T"&amp;TEXT(ROW(),"000"),"")</f>
      </c>
      <c r="R199" s="202">
        <f>IF($C199,IF(ISNUMBER('Proyecto Datos (OKR´s)'!$L199),'Proyecto Datos (OKR´s)'!$L199,$H199),"")</f>
      </c>
      <c r="S199" s="202">
        <f>IF($C199,$R199-'Proyecto Datos (OKR´s)'!$K199+1,"")</f>
      </c>
      <c r="T199" s="202">
        <f>IF($C199,MAX(0,TODAY()-'Proyecto Datos (OKR´s)'!$K199),"")</f>
      </c>
      <c r="U199" s="202">
        <f>IF($C199,MEDIAN(0,(TODAY()-'Proyecto Datos (OKR´s)'!$K199)/MAX(1,$R199-'Proyecto Datos (OKR´s)'!$K199),1),"")</f>
      </c>
      <c r="V199" s="202">
        <f>IF($C199,$I199-$U199,"")</f>
      </c>
      <c r="W199" s="202">
        <f>IF($C199,IF(OR($J199="Completado",NOT(ISNUMBER($H199))),0,MAX(0,TODAY()-$H199)),"")</f>
      </c>
      <c r="X199" s="202">
        <f>IF($C199,IF(ISNUMBER($H199),$R199-$H199,0),"")</f>
      </c>
      <c r="Y199" s="202">
        <f>IF($C199,COUNTIFS($G$7:$G$200,$G199,$J$7:$J$200,"&lt;&gt;Completado",$J$7:$J$200,"&lt;&gt;"),"")</f>
      </c>
      <c r="Z199" s="202">
        <f>IF($C199,AND($I199=0,'Proyecto Datos (OKR´s)'!$K199&lt;=TODAY(),$J199&lt;&gt;"Completado"),"")</f>
      </c>
      <c r="AA199" s="202">
        <f>IF($C199,ROUND(100*(0.35*$AK199+0.3*$AL199+0.2*$AM199+0.15*MEDIAN(0,($Y199-4)/8,1)),0),"")</f>
      </c>
      <c r="AB199" s="203">
        <f>IF($C199,IF(OR($J199="Completado",$J199="Sin fecha"),"—",IF($AA199&gt;=70,"Crítica",IF($AA199&gt;=45,"Alta",IF($AA199&gt;=25,"Media","Baja")))),"")</f>
      </c>
      <c r="AC199" s="203">
        <f>IF($C199,IF(LEN(TRIM($AN199))=0,"—",TRIM($AN199)),"")</f>
      </c>
      <c r="AD199" s="202">
        <f>IF($C199,$AV199,"")</f>
      </c>
      <c r="AE199" s="202">
        <f>IF($C199,$AZ199,"")</f>
      </c>
      <c r="AF199" s="202" t="b">
        <f>IF($C199,$AV199&lt;&gt;$AR199,FALSE)</f>
        <v>0</v>
      </c>
      <c r="AG199" s="202">
        <f>IF($C199,IF($AV199&lt;&gt;$AR199,$AW199,""),"")</f>
      </c>
      <c r="AH199" s="203">
        <f>IF($C199,IF(ISBLANK('Backlog General'!$K199),"",'Backlog General'!$K199),"")</f>
      </c>
      <c r="AI199" s="202">
        <f>IF($C199,$AV199*100000+ROW(),"")</f>
      </c>
      <c r="AJ199" s="202">
        <f>IF(AND($C199,ISNUMBER($H199)),$AA199*1000000-MEDIAN(-9999,$K199,9999)*100+(300-ROW()),"")</f>
      </c>
      <c r="AK199" s="202">
        <f>IF($C199,IF($J199="Completado",0,IF($K199&lt;0,1,IF($K199&lt;=3,0.9,IF($K199&lt;=7,0.7,IF($K199&lt;=14,0.45,0.2))))),"")</f>
      </c>
      <c r="AL199" s="202">
        <f>IF($C199,IF($J199="Completado",0,MEDIAN(0,MAX(-$V199,$W199/30),1)),"")</f>
      </c>
      <c r="AM199" s="202">
        <f>IF($C199,IF($J199="Completado",0,IF($Z199,1,IF(AND($I199&lt;0.5,$K199&lt;=7),0.7,0.3))),"")</f>
      </c>
      <c r="AN199" s="203">
        <f>IF($C199,IF(OR($V199&lt;-0.2,$W199&gt;0),"ATRASO ","")&amp;IF($Z199,"BLOQUEO ","")&amp;IF($Y199&gt;8,"SOBRECARGA ","")&amp;IF($X199&gt;0,"DESVÍO-PLAN ",""),"")</f>
      </c>
      <c r="AO199" s="203">
        <f>IF($C199,IFERROR(VLOOKUP($D199,'Sprints'!$I$5:$J$12,2,FALSE),"Semanal"),"")</f>
      </c>
      <c r="AP199" s="202">
        <f>IF($C199,IFERROR(VLOOKUP($AO199,'Sprints'!$B$9:$C$11,2,FALSE),1),"")</f>
      </c>
      <c r="AQ199" s="202">
        <f>IF($C199,'Sprints'!$C$5,"")</f>
      </c>
      <c r="AR199" s="202">
        <f>IF(AND($C199,ISNUMBER($H199)),CEILING(MAX(1,INT(($H199-$AQ199+'Sprints'!$D$5-1)/'Sprints'!$D$5)+1)/$AP199,1),"")</f>
      </c>
      <c r="AS199" s="202">
        <f>IF($C199,CEILING(MAX(1,INT((TODAY()-$AQ199+'Sprints'!$D$5-1)/'Sprints'!$D$5)+1)/$AP199,1),"")</f>
      </c>
      <c r="AT199" s="203">
        <f>IF($C199,'Backlog General'!$G199,"")</f>
      </c>
      <c r="AU199" s="203">
        <f>IF($C199,'Backlog General'!$H199,"")</f>
      </c>
      <c r="AV199" s="202">
        <f>IF(AND($C199,ISNUMBER($AR199)),IF(OR($AT199="Completo",$AU199="Cancelado",$AU199="Baja prioridad"),$AR199,IF($AU199="Pasa al siguiente",MAX($AR199+1,$AS199),MAX($AR199,$AS199))),"")</f>
      </c>
      <c r="AW199" s="202">
        <f>IF(AND($C199,ISNUMBER($AR199)),$AQ199+$AR199*$AP199*'Sprints'!$D$5-'Sprints'!$D$5,"")</f>
      </c>
      <c r="AX199" s="202">
        <f>IF($C199,IF(OR($AT199="Completo",$AU199="Cancelado",$AU199="Baja prioridad",NOT(ISNUMBER($AW199))),0,IF(TODAY()&gt;$AW199,NETWORKDAYS($AW199,TODAY(),'Sprints'!$L$5:$L$40)-1,0)),"")</f>
      </c>
      <c r="AY199" s="203">
        <f>IF($C199,IF(NOT(ISNUMBER($AR199)),"Sin fecha",IF($AT199="Completo","Completo",IF($AU199="Cancelado","Cancelado",IF($AU199="Baja prioridad","Baja prioridad",IF($AX199&gt;0,"Vencida","Pendiente"))))),"")</f>
      </c>
      <c r="AZ199" s="203">
        <f>IF($C199,IF(ISNUMBER($AV199),$AO199&amp;" · S"&amp;$AV199,"(Sin fecha)"),"")</f>
      </c>
      <c r="BA199" s="202">
        <f>IF($C199,IF(AND(ISNUMBER('Backlog General'!$M199),'Backlog General'!$M199=$AS199),"Nuevo S"&amp;'Backlog General'!$M199,""),"")</f>
      </c>
      <c r="BB199" s="202">
        <f>IF(AND($C199,$AO199="Semanal",ISNUMBER($AV199)),$AV199*100000+ROW(),"")</f>
      </c>
      <c r="BC199" s="202">
        <f>IF(AND($C199,$AO199="Quincenal",ISNUMBER($AV199)),$AV199*100000+ROW(),"")</f>
      </c>
      <c r="BD199" s="202">
        <f>IF(AND($C199,$AO199="Mensual",ISNUMBER($AV199)),$AV199*100000+ROW(),"")</f>
      </c>
      <c r="BE199" s="203">
        <f>IF($C199,IF(ISBLANK('Backlog General'!$J199),"",'Backlog General'!$J199),"")</f>
      </c>
      <c r="BF199" s="203">
        <f>IF($C199,IF($BE199="","",$BE199)&amp;IF(AND($BE199&lt;&gt;"",$AH199&lt;&gt;"")," · ","")&amp;IF($AH199="","",$AH199),"")</f>
      </c>
      <c r="BG199" s="203">
        <f>IF($C199,IF($J199="Completado","Sí","No"),"")</f>
      </c>
      <c r="BH199" s="202">
        <f>IF(AND($C199,ISNUMBER($AR199)),IF($AO199="Semanal",1,IF($AO199="Quincenal",2,3))*1000000000+$AR199*100000+ROW(),"")</f>
      </c>
    </row>
    <row r="200">
      <c r="A200" s="202">
        <f>ROW()</f>
        <v>200</v>
      </c>
      <c r="B200" s="202" t="b">
        <f>ISTEXT('Proyecto Datos (OKR´s)'!$K200)</f>
        <v>0</v>
      </c>
      <c r="C200" s="202" t="b">
        <f>AND(LEN('Proyecto Datos (OKR´s)'!$G200)&gt;0,NOT($B200),OR(ISNUMBER('Proyecto Datos (OKR´s)'!$F200),ISNUMBER('Proyecto Datos (OKR´s)'!$L200)))</f>
        <v>0</v>
      </c>
      <c r="D200" s="203">
        <f>IF($C200,IFERROR(LOOKUP(2,1/((ISTEXT('Proyecto Datos (OKR´s)'!$K$7:$K200))*(LEN('Proyecto Datos (OKR´s)'!$G$7:$G200)&gt;0)),'Proyecto Datos (OKR´s)'!$G$7:$G200),""),"")</f>
      </c>
      <c r="E200" s="202">
        <f>IF($C200,'Proyecto Datos (OKR´s)'!$E200,"")</f>
      </c>
      <c r="F200" s="203">
        <f>IF($C200,'Proyecto Datos (OKR´s)'!$G200,"")</f>
      </c>
      <c r="G200" s="203">
        <f>IF($C200,IF('Proyecto Datos (OKR´s)'!$I200="","(Sin asignar)",'Proyecto Datos (OKR´s)'!$I200),"")</f>
      </c>
      <c r="H200" s="202">
        <f>IF($C200,IF(ISNUMBER('Proyecto Datos (OKR´s)'!$F200),'Proyecto Datos (OKR´s)'!$F200,""),"")</f>
      </c>
      <c r="I200" s="202">
        <f>IF($C200,'Proyecto Datos (OKR´s)'!$J200,"")</f>
      </c>
      <c r="J200" s="203">
        <f>IF($C200,IF($I200&gt;=1,"Completado",IF(NOT(ISNUMBER($H200)),"Sin fecha",IF($H200&lt;TODAY(),"Vencido",IF(($H200-TODAY())&lt;='Entregas Próximas'!$M$3,"Próximo a vencer","En curso")))),"")</f>
      </c>
      <c r="K200" s="202">
        <f>IF(AND($C200,ISNUMBER($H200)),$H200-TODAY(),"")</f>
      </c>
      <c r="L200" s="202">
        <f>IF(AND($C200,ISNUMBER($H200)),$AD200*1000000+$H200+ROW()/100000,"")</f>
      </c>
      <c r="M200" s="202">
        <f>IF($C200,IF($AD200=9999,"(Sin sprint)",$AD200),"")</f>
      </c>
      <c r="N200" s="202">
        <f>IF($C200,IF('Proyecto Datos (OKR´s)'!$E200="",9999,'Proyecto Datos (OKR´s)'!$E200),"")</f>
      </c>
      <c r="O200" s="202">
        <f>IF($C200,"T"&amp;TEXT(ROW(),"000"),"")</f>
      </c>
      <c r="R200" s="202">
        <f>IF($C200,IF(ISNUMBER('Proyecto Datos (OKR´s)'!$L200),'Proyecto Datos (OKR´s)'!$L200,$H200),"")</f>
      </c>
      <c r="S200" s="202">
        <f>IF($C200,$R200-'Proyecto Datos (OKR´s)'!$K200+1,"")</f>
      </c>
      <c r="T200" s="202">
        <f>IF($C200,MAX(0,TODAY()-'Proyecto Datos (OKR´s)'!$K200),"")</f>
      </c>
      <c r="U200" s="202">
        <f>IF($C200,MEDIAN(0,(TODAY()-'Proyecto Datos (OKR´s)'!$K200)/MAX(1,$R200-'Proyecto Datos (OKR´s)'!$K200),1),"")</f>
      </c>
      <c r="V200" s="202">
        <f>IF($C200,$I200-$U200,"")</f>
      </c>
      <c r="W200" s="202">
        <f>IF($C200,IF(OR($J200="Completado",NOT(ISNUMBER($H200))),0,MAX(0,TODAY()-$H200)),"")</f>
      </c>
      <c r="X200" s="202">
        <f>IF($C200,IF(ISNUMBER($H200),$R200-$H200,0),"")</f>
      </c>
      <c r="Y200" s="202">
        <f>IF($C200,COUNTIFS($G$7:$G$200,$G200,$J$7:$J$200,"&lt;&gt;Completado",$J$7:$J$200,"&lt;&gt;"),"")</f>
      </c>
      <c r="Z200" s="202">
        <f>IF($C200,AND($I200=0,'Proyecto Datos (OKR´s)'!$K200&lt;=TODAY(),$J200&lt;&gt;"Completado"),"")</f>
      </c>
      <c r="AA200" s="202">
        <f>IF($C200,ROUND(100*(0.35*$AK200+0.3*$AL200+0.2*$AM200+0.15*MEDIAN(0,($Y200-4)/8,1)),0),"")</f>
      </c>
      <c r="AB200" s="203">
        <f>IF($C200,IF(OR($J200="Completado",$J200="Sin fecha"),"—",IF($AA200&gt;=70,"Crítica",IF($AA200&gt;=45,"Alta",IF($AA200&gt;=25,"Media","Baja")))),"")</f>
      </c>
      <c r="AC200" s="203">
        <f>IF($C200,IF(LEN(TRIM($AN200))=0,"—",TRIM($AN200)),"")</f>
      </c>
      <c r="AD200" s="202">
        <f>IF($C200,$AV200,"")</f>
      </c>
      <c r="AE200" s="202">
        <f>IF($C200,$AZ200,"")</f>
      </c>
      <c r="AF200" s="202" t="b">
        <f>IF($C200,$AV200&lt;&gt;$AR200,FALSE)</f>
        <v>0</v>
      </c>
      <c r="AG200" s="202">
        <f>IF($C200,IF($AV200&lt;&gt;$AR200,$AW200,""),"")</f>
      </c>
      <c r="AH200" s="203">
        <f>IF($C200,IF(ISBLANK('Backlog General'!$K200),"",'Backlog General'!$K200),"")</f>
      </c>
      <c r="AI200" s="202">
        <f>IF($C200,$AV200*100000+ROW(),"")</f>
      </c>
      <c r="AJ200" s="202">
        <f>IF(AND($C200,ISNUMBER($H200)),$AA200*1000000-MEDIAN(-9999,$K200,9999)*100+(300-ROW()),"")</f>
      </c>
      <c r="AK200" s="202">
        <f>IF($C200,IF($J200="Completado",0,IF($K200&lt;0,1,IF($K200&lt;=3,0.9,IF($K200&lt;=7,0.7,IF($K200&lt;=14,0.45,0.2))))),"")</f>
      </c>
      <c r="AL200" s="202">
        <f>IF($C200,IF($J200="Completado",0,MEDIAN(0,MAX(-$V200,$W200/30),1)),"")</f>
      </c>
      <c r="AM200" s="202">
        <f>IF($C200,IF($J200="Completado",0,IF($Z200,1,IF(AND($I200&lt;0.5,$K200&lt;=7),0.7,0.3))),"")</f>
      </c>
      <c r="AN200" s="203">
        <f>IF($C200,IF(OR($V200&lt;-0.2,$W200&gt;0),"ATRASO ","")&amp;IF($Z200,"BLOQUEO ","")&amp;IF($Y200&gt;8,"SOBRECARGA ","")&amp;IF($X200&gt;0,"DESVÍO-PLAN ",""),"")</f>
      </c>
      <c r="AO200" s="203">
        <f>IF($C200,IFERROR(VLOOKUP($D200,'Sprints'!$I$5:$J$12,2,FALSE),"Semanal"),"")</f>
      </c>
      <c r="AP200" s="202">
        <f>IF($C200,IFERROR(VLOOKUP($AO200,'Sprints'!$B$9:$C$11,2,FALSE),1),"")</f>
      </c>
      <c r="AQ200" s="202">
        <f>IF($C200,'Sprints'!$C$5,"")</f>
      </c>
      <c r="AR200" s="202">
        <f>IF(AND($C200,ISNUMBER($H200)),CEILING(MAX(1,INT(($H200-$AQ200+'Sprints'!$D$5-1)/'Sprints'!$D$5)+1)/$AP200,1),"")</f>
      </c>
      <c r="AS200" s="202">
        <f>IF($C200,CEILING(MAX(1,INT((TODAY()-$AQ200+'Sprints'!$D$5-1)/'Sprints'!$D$5)+1)/$AP200,1),"")</f>
      </c>
      <c r="AT200" s="203">
        <f>IF($C200,'Backlog General'!$G200,"")</f>
      </c>
      <c r="AU200" s="203">
        <f>IF($C200,'Backlog General'!$H200,"")</f>
      </c>
      <c r="AV200" s="202">
        <f>IF(AND($C200,ISNUMBER($AR200)),IF(OR($AT200="Completo",$AU200="Cancelado",$AU200="Baja prioridad"),$AR200,IF($AU200="Pasa al siguiente",MAX($AR200+1,$AS200),MAX($AR200,$AS200))),"")</f>
      </c>
      <c r="AW200" s="202">
        <f>IF(AND($C200,ISNUMBER($AR200)),$AQ200+$AR200*$AP200*'Sprints'!$D$5-'Sprints'!$D$5,"")</f>
      </c>
      <c r="AX200" s="202">
        <f>IF($C200,IF(OR($AT200="Completo",$AU200="Cancelado",$AU200="Baja prioridad",NOT(ISNUMBER($AW200))),0,IF(TODAY()&gt;$AW200,NETWORKDAYS($AW200,TODAY(),'Sprints'!$L$5:$L$40)-1,0)),"")</f>
      </c>
      <c r="AY200" s="203">
        <f>IF($C200,IF(NOT(ISNUMBER($AR200)),"Sin fecha",IF($AT200="Completo","Completo",IF($AU200="Cancelado","Cancelado",IF($AU200="Baja prioridad","Baja prioridad",IF($AX200&gt;0,"Vencida","Pendiente"))))),"")</f>
      </c>
      <c r="AZ200" s="203">
        <f>IF($C200,IF(ISNUMBER($AV200),$AO200&amp;" · S"&amp;$AV200,"(Sin fecha)"),"")</f>
      </c>
      <c r="BA200" s="202">
        <f>IF($C200,IF(AND(ISNUMBER('Backlog General'!$M200),'Backlog General'!$M200=$AS200),"Nuevo S"&amp;'Backlog General'!$M200,""),"")</f>
      </c>
      <c r="BB200" s="202">
        <f>IF(AND($C200,$AO200="Semanal",ISNUMBER($AV200)),$AV200*100000+ROW(),"")</f>
      </c>
      <c r="BC200" s="202">
        <f>IF(AND($C200,$AO200="Quincenal",ISNUMBER($AV200)),$AV200*100000+ROW(),"")</f>
      </c>
      <c r="BD200" s="202">
        <f>IF(AND($C200,$AO200="Mensual",ISNUMBER($AV200)),$AV200*100000+ROW(),"")</f>
      </c>
      <c r="BE200" s="203">
        <f>IF($C200,IF(ISBLANK('Backlog General'!$J200),"",'Backlog General'!$J200),"")</f>
      </c>
      <c r="BF200" s="203">
        <f>IF($C200,IF($BE200="","",$BE200)&amp;IF(AND($BE200&lt;&gt;"",$AH200&lt;&gt;"")," · ","")&amp;IF($AH200="","",$AH200),"")</f>
      </c>
      <c r="BG200" s="203">
        <f>IF($C200,IF($J200="Completado","Sí","No"),"")</f>
      </c>
      <c r="BH200" s="202">
        <f>IF(AND($C200,ISNUMBER($AR200)),IF($AO200="Semanal",1,IF($AO200="Quincenal",2,3))*1000000000+$AR200*100000+ROW(),"")</f>
      </c>
    </row>
  </sheetData>
  <mergeCells count="1">
    <mergeCell ref="A1:P1"/>
  </mergeCells>
  <pageMargins left="0.4" right="0.4" top="0.5" bottom="0.5" header="0.3" footer="0.3"/>
</worksheet>
</file>

<file path=xl/worksheets/sheet8.xml><?xml version="1.0" encoding="utf-8"?>
<worksheet xmlns="http://schemas.openxmlformats.org/spreadsheetml/2006/main" xmlns:r="http://schemas.openxmlformats.org/officeDocument/2006/relationships">
  <dimension ref="A1:L56"/>
  <sheetViews>
    <sheetView showGridLines="0" workbookViewId="0">
      <pane ySplit="2" topLeftCell="A3" activePane="bottomLeft" state="frozen"/>
    </sheetView>
  </sheetViews>
  <sheetFormatPr defaultRowHeight="15"/>
  <cols>
    <col min="1" max="1" width="2.5" customWidth="1"/>
    <col min="2" max="2" width="11" customWidth="1"/>
    <col min="3" max="3" width="32" customWidth="1"/>
    <col min="4" max="4" width="46" customWidth="1"/>
    <col min="5" max="5" width="18" customWidth="1"/>
    <col min="6" max="6" width="10" customWidth="1"/>
    <col min="7" max="7" width="9" hidden="1"/>
    <col min="9" max="9" width="32" customWidth="1"/>
    <col min="10" max="10" width="13" customWidth="1"/>
    <col min="12" max="12" width="16" customWidth="1"/>
  </cols>
  <sheetData>
    <row r="1" ht="26" customHeight="1">
      <c r="B1" s="169" t="inlineStr">
        <is>
          <t xml:space="preserve">SPRINTS — por frecuencia, alineados a una grilla semanal común</t>
        </is>
      </c>
      <c r="C1" s="169"/>
      <c r="D1" s="169"/>
      <c r="E1" s="169"/>
      <c r="F1" s="169"/>
    </row>
    <row r="2" ht="46" customHeight="1">
      <c r="B2" s="170" t="inlineStr">
        <is>
          <t xml:space="preserve">Cada frecuencia tiene SUS sprints (Semanal S1,S2…; Quincenal S1,S2…; Mensual S1,S2…), pero todos cierran sobre los MISMOS viernes. Base: Sprint semanal 1 presenta el 19/06. Así Quincenal S1 cierra el mismo viernes que Semanal S2 (26/06); Quincenal S2 = Semanal S4 (10/07); Mensual S1 = Semanal S4. Cada tarea cae en el sprint de SU frecuencia según su fecha.</t>
        </is>
      </c>
      <c r="C2" s="170"/>
      <c r="D2" s="170"/>
      <c r="E2" s="170"/>
      <c r="F2" s="170"/>
    </row>
    <row r="3">
      <c r="B3" s="172" t="inlineStr">
        <is>
          <t xml:space="preserve">CALENDARIO BASE SEMANAL (editable)</t>
        </is>
      </c>
      <c r="C3" s="172"/>
      <c r="D3" s="172"/>
      <c r="E3" s="172"/>
      <c r="I3" s="172" t="inlineStr">
        <is>
          <t xml:space="preserve">FRECUENCIA POR PROYECTO (editable)</t>
        </is>
      </c>
      <c r="J3" s="172"/>
      <c r="L3" s="172" t="inlineStr">
        <is>
          <t xml:space="preserve">FERIADOS — no se trabaja (+ sáb/dom)</t>
        </is>
      </c>
    </row>
    <row r="4">
      <c r="B4" s="173"/>
      <c r="C4" s="173" t="inlineStr">
        <is>
          <t xml:space="preserve">Sprint semanal 1 — present. (vie)</t>
        </is>
      </c>
      <c r="D4" s="173" t="inlineStr">
        <is>
          <t xml:space="preserve">Días por semana</t>
        </is>
      </c>
      <c r="E4" s="173" t="inlineStr">
        <is>
          <t xml:space="preserve">Sprint sem. actual</t>
        </is>
      </c>
      <c r="I4" s="173" t="inlineStr">
        <is>
          <t xml:space="preserve">Proyecto (OKR)</t>
        </is>
      </c>
      <c r="J4" s="173" t="inlineStr">
        <is>
          <t xml:space="preserve">Frecuencia</t>
        </is>
      </c>
      <c r="L4" s="173" t="inlineStr">
        <is>
          <t xml:space="preserve">Fecha (editable)</t>
        </is>
      </c>
    </row>
    <row r="5">
      <c r="B5" s="204" t="inlineStr">
        <is>
          <t xml:space="preserve">Base</t>
        </is>
      </c>
      <c r="C5" s="192">
        <f>DATE(2026,6,19)</f>
        <v>46192</v>
      </c>
      <c r="D5" s="191">
        <v>7</v>
      </c>
      <c r="E5" s="187">
        <f>MAX(1,INT((TODAY()-$C$5+$D$5-1)/$D$5)+1)</f>
        <v>2</v>
      </c>
      <c r="I5" s="205" t="str">
        <f>'Proyecto Datos (OKR´s)'!$G$7</f>
        <v>1- GOC: Módulo de Datos para Procesos de Certificación (Inteligencia Comercial)</v>
      </c>
      <c r="J5" s="191" t="inlineStr">
        <is>
          <t xml:space="preserve">Mensual</t>
        </is>
      </c>
      <c r="L5" s="192">
        <f>DATE(2026,7,9)</f>
        <v>46212</v>
      </c>
    </row>
    <row r="6">
      <c r="I6" s="205" t="str">
        <f>'Proyecto Datos (OKR´s)'!$G$9</f>
        <v>2- Cotizador de Operaciones Complejas</v>
      </c>
      <c r="J6" s="191" t="inlineStr">
        <is>
          <t xml:space="preserve">Quincenal</t>
        </is>
      </c>
      <c r="L6" s="192">
        <f>DATE(2026,8,17)</f>
        <v>46251</v>
      </c>
    </row>
    <row r="7">
      <c r="B7" s="172" t="inlineStr">
        <is>
          <t xml:space="preserve">SPRINTS POR FRECUENCIA — semanas por sprint (editable)</t>
        </is>
      </c>
      <c r="C7" s="172"/>
      <c r="D7" s="172"/>
      <c r="E7" s="172"/>
      <c r="I7" s="205" t="str">
        <f>'Proyecto Datos (OKR´s)'!$G$22</f>
        <v>3- Tablero BI OPEX - Real vs BO</v>
      </c>
      <c r="J7" s="191" t="inlineStr">
        <is>
          <t xml:space="preserve">Semanal</t>
        </is>
      </c>
      <c r="L7" s="192">
        <f>DATE(2026,10,12)</f>
        <v>46307</v>
      </c>
    </row>
    <row r="8">
      <c r="B8" s="173" t="inlineStr">
        <is>
          <t xml:space="preserve">Frecuencia</t>
        </is>
      </c>
      <c r="C8" s="173" t="inlineStr">
        <is>
          <t xml:space="preserve">Semanas/sprint</t>
        </is>
      </c>
      <c r="D8" s="173" t="inlineStr">
        <is>
          <t xml:space="preserve">Sprint actual</t>
        </is>
      </c>
      <c r="E8" s="173" t="inlineStr">
        <is>
          <t xml:space="preserve">Próxima present.</t>
        </is>
      </c>
      <c r="I8" s="205" t="str">
        <f>'Proyecto Datos (OKR´s)'!$G$27</f>
        <v>4- Tablero BI DEUDA</v>
      </c>
      <c r="J8" s="191" t="inlineStr">
        <is>
          <t xml:space="preserve">Semanal</t>
        </is>
      </c>
      <c r="L8" s="192">
        <f>DATE(2026,12,8)</f>
        <v>46364</v>
      </c>
    </row>
    <row r="9">
      <c r="B9" s="204" t="inlineStr">
        <is>
          <t xml:space="preserve">Semanal</t>
        </is>
      </c>
      <c r="C9" s="191">
        <v>1</v>
      </c>
      <c r="D9" s="187">
        <f>CEILING($E$5/$C9,1)</f>
        <v>2</v>
      </c>
      <c r="E9" s="179">
        <f>$C$5+($D9*$C9-1)*$D$5</f>
        <v>46199</v>
      </c>
      <c r="I9" s="205" t="str">
        <f>'Proyecto Datos (OKR´s)'!$G$36</f>
        <v>5- Tablero Control General - Op. Complejas</v>
      </c>
      <c r="J9" s="191" t="inlineStr">
        <is>
          <t xml:space="preserve">Semanal</t>
        </is>
      </c>
      <c r="L9" s="192">
        <f>DATE(2026,12,25)</f>
        <v>46381</v>
      </c>
    </row>
    <row r="10">
      <c r="B10" s="204" t="inlineStr">
        <is>
          <t xml:space="preserve">Quincenal</t>
        </is>
      </c>
      <c r="C10" s="191">
        <v>2</v>
      </c>
      <c r="D10" s="187">
        <f>CEILING($E$5/$C10,1)</f>
        <v>1</v>
      </c>
      <c r="E10" s="179">
        <f>$C$5+($D10*$C10-1)*$D$5</f>
        <v>46199</v>
      </c>
      <c r="I10" s="205" t="str">
        <f>'Proyecto Datos (OKR´s)'!$G$48</f>
        <v>Tablero Forecast</v>
      </c>
      <c r="J10" s="191" t="inlineStr">
        <is>
          <t xml:space="preserve">Semanal</t>
        </is>
      </c>
    </row>
    <row r="11">
      <c r="B11" s="204" t="inlineStr">
        <is>
          <t xml:space="preserve">Mensual</t>
        </is>
      </c>
      <c r="C11" s="191">
        <v>4</v>
      </c>
      <c r="D11" s="187">
        <f>CEILING($E$5/$C11,1)</f>
        <v>1</v>
      </c>
      <c r="E11" s="179">
        <f>$C$5+($D11*$C11-1)*$D$5</f>
        <v>46213</v>
      </c>
      <c r="I11" s="205" t="str">
        <f>'Proyecto Datos (OKR´s)'!$G$52</f>
        <v>6- Automatización de procesos: certificación, provisión,polinómicas</v>
      </c>
      <c r="J11" s="191" t="inlineStr">
        <is>
          <t xml:space="preserve">Mensual</t>
        </is>
      </c>
    </row>
    <row r="12">
      <c r="I12" s="205" t="str">
        <f>'Proyecto Datos (OKR´s)'!$G$56</f>
        <v>7- Incorporación de Operaciones Complejas en sistemas de la compañía: Salesforce, SAP, etc.</v>
      </c>
      <c r="J12" s="191" t="inlineStr">
        <is>
          <t xml:space="preserve">Mensual</t>
        </is>
      </c>
    </row>
    <row r="13">
      <c r="B13" s="172" t="inlineStr">
        <is>
          <t xml:space="preserve">TABLERO SEMANAL  (ordenado por Sprint)</t>
        </is>
      </c>
      <c r="C13" s="172"/>
      <c r="D13" s="172"/>
      <c r="E13" s="172"/>
      <c r="F13" s="172"/>
    </row>
    <row r="14">
      <c r="B14" s="173" t="inlineStr">
        <is>
          <t xml:space="preserve">Sprint</t>
        </is>
      </c>
      <c r="C14" s="173" t="inlineStr">
        <is>
          <t xml:space="preserve">Proyecto</t>
        </is>
      </c>
      <c r="D14" s="173" t="inlineStr">
        <is>
          <t xml:space="preserve">Subtarea</t>
        </is>
      </c>
      <c r="E14" s="173" t="inlineStr">
        <is>
          <t xml:space="preserve">Estado</t>
        </is>
      </c>
      <c r="F14" s="173" t="inlineStr">
        <is>
          <t xml:space="preserve">Mora (d)</t>
        </is>
      </c>
    </row>
    <row r="15">
      <c r="B15" s="204" t="str">
        <f>IF($G15="","",INDEX('_Datos'!$AZ$7:$AZ$200,$G15))</f>
        <v>Semanal · S2</v>
      </c>
      <c r="C15" s="205" t="str">
        <f>IF($G15="","",INDEX('_Datos'!$D$7:$D$200,$G15))</f>
        <v>3- Tablero BI OPEX - Real vs BO</v>
      </c>
      <c r="D15" s="205" t="str">
        <f>IF($G15="","",INDEX('_Datos'!$F$7:$F$200,$G15))</f>
        <v>Armado de Procedimiento</v>
      </c>
      <c r="E15" s="204" t="str">
        <f>IF($G15="","",INDEX('_Datos'!$AY$7:$AY$200,$G15))</f>
        <v>Vencida</v>
      </c>
      <c r="F15" s="209">
        <f>IF($G15="","",INDEX('_Datos'!$AX$7:$AX$200,$G15))</f>
        <v>2</v>
      </c>
      <c r="G15" s="202">
        <f>IFERROR(MATCH(SMALL('_Datos'!$BB$7:$BB$200,ROW()-14),'_Datos'!$BB$7:$BB$200,0),"")</f>
        <v>17</v>
      </c>
    </row>
    <row r="16">
      <c r="B16" s="204" t="str">
        <f>IF($G16="","",INDEX('_Datos'!$AZ$7:$AZ$200,$G16))</f>
        <v>Semanal · S2</v>
      </c>
      <c r="C16" s="205" t="str">
        <f>IF($G16="","",INDEX('_Datos'!$D$7:$D$200,$G16))</f>
        <v>3- Tablero BI OPEX - Real vs BO</v>
      </c>
      <c r="D16" s="205" t="str">
        <f>IF($G16="","",INDEX('_Datos'!$F$7:$F$200,$G16))</f>
        <v>Revisión de Gráfico en cascada: por desvío y desagregación por categorías.</v>
      </c>
      <c r="E16" s="204" t="str">
        <f>IF($G16="","",INDEX('_Datos'!$AY$7:$AY$200,$G16))</f>
        <v>Vencida</v>
      </c>
      <c r="F16" s="209">
        <f>IF($G16="","",INDEX('_Datos'!$AX$7:$AX$200,$G16))</f>
        <v>2</v>
      </c>
      <c r="G16" s="202">
        <f>IFERROR(MATCH(SMALL('_Datos'!$BB$7:$BB$200,ROW()-14),'_Datos'!$BB$7:$BB$200,0),"")</f>
        <v>18</v>
      </c>
    </row>
    <row r="17">
      <c r="B17" s="204" t="str">
        <f>IF($G17="","",INDEX('_Datos'!$AZ$7:$AZ$200,$G17))</f>
        <v>Semanal · S2</v>
      </c>
      <c r="C17" s="205" t="str">
        <f>IF($G17="","",INDEX('_Datos'!$D$7:$D$200,$G17))</f>
        <v>3- Tablero BI OPEX - Real vs BO</v>
      </c>
      <c r="D17" s="205" t="str">
        <f>IF($G17="","",INDEX('_Datos'!$F$7:$F$200,$G17))</f>
        <v>Revisión de viabilidad de incorporación datos Redash (input ZReal con clasificaciones automaticas por CECO - Directas e Indirectas)</v>
      </c>
      <c r="E17" s="204" t="str">
        <f>IF($G17="","",INDEX('_Datos'!$AY$7:$AY$200,$G17))</f>
        <v>Vencida</v>
      </c>
      <c r="F17" s="209">
        <f>IF($G17="","",INDEX('_Datos'!$AX$7:$AX$200,$G17))</f>
        <v>2</v>
      </c>
      <c r="G17" s="202">
        <f>IFERROR(MATCH(SMALL('_Datos'!$BB$7:$BB$200,ROW()-14),'_Datos'!$BB$7:$BB$200,0),"")</f>
        <v>19</v>
      </c>
    </row>
    <row r="18">
      <c r="B18" s="204" t="str">
        <f>IF($G18="","",INDEX('_Datos'!$AZ$7:$AZ$200,$G18))</f>
        <v>Semanal · S2</v>
      </c>
      <c r="C18" s="205" t="str">
        <f>IF($G18="","",INDEX('_Datos'!$D$7:$D$200,$G18))</f>
        <v>4- Tablero BI DEUDA</v>
      </c>
      <c r="D18" s="205" t="str">
        <f>IF($G18="","",INDEX('_Datos'!$F$7:$F$200,$G18))</f>
        <v>Procedimiento</v>
      </c>
      <c r="E18" s="204" t="str">
        <f>IF($G18="","",INDEX('_Datos'!$AY$7:$AY$200,$G18))</f>
        <v>Vencida</v>
      </c>
      <c r="F18" s="209">
        <f>IF($G18="","",INDEX('_Datos'!$AX$7:$AX$200,$G18))</f>
        <v>2</v>
      </c>
      <c r="G18" s="202">
        <f>IFERROR(MATCH(SMALL('_Datos'!$BB$7:$BB$200,ROW()-14),'_Datos'!$BB$7:$BB$200,0),"")</f>
        <v>22</v>
      </c>
    </row>
    <row r="19">
      <c r="B19" s="204" t="str">
        <f>IF($G19="","",INDEX('_Datos'!$AZ$7:$AZ$200,$G19))</f>
        <v>Semanal · S2</v>
      </c>
      <c r="C19" s="205" t="str">
        <f>IF($G19="","",INDEX('_Datos'!$D$7:$D$200,$G19))</f>
        <v>4- Tablero BI DEUDA</v>
      </c>
      <c r="D19" s="205" t="str">
        <f>IF($G19="","",INDEX('_Datos'!$F$7:$F$200,$G19))</f>
        <v>Aging - desde SharePoint</v>
      </c>
      <c r="E19" s="204" t="str">
        <f>IF($G19="","",INDEX('_Datos'!$AY$7:$AY$200,$G19))</f>
        <v>Vencida</v>
      </c>
      <c r="F19" s="209">
        <f>IF($G19="","",INDEX('_Datos'!$AX$7:$AX$200,$G19))</f>
        <v>2</v>
      </c>
      <c r="G19" s="202">
        <f>IFERROR(MATCH(SMALL('_Datos'!$BB$7:$BB$200,ROW()-14),'_Datos'!$BB$7:$BB$200,0),"")</f>
        <v>23</v>
      </c>
    </row>
    <row r="20">
      <c r="B20" s="204" t="str">
        <f>IF($G20="","",INDEX('_Datos'!$AZ$7:$AZ$200,$G20))</f>
        <v>Semanal · S2</v>
      </c>
      <c r="C20" s="205" t="str">
        <f>IF($G20="","",INDEX('_Datos'!$D$7:$D$200,$G20))</f>
        <v>4- Tablero BI DEUDA</v>
      </c>
      <c r="D20" s="205" t="str">
        <f>IF($G20="","",INDEX('_Datos'!$F$7:$F$200,$G20))</f>
        <v>Dias en Calle - desde SharePoint</v>
      </c>
      <c r="E20" s="204" t="str">
        <f>IF($G20="","",INDEX('_Datos'!$AY$7:$AY$200,$G20))</f>
        <v>Vencida</v>
      </c>
      <c r="F20" s="209">
        <f>IF($G20="","",INDEX('_Datos'!$AX$7:$AX$200,$G20))</f>
        <v>2</v>
      </c>
      <c r="G20" s="202">
        <f>IFERROR(MATCH(SMALL('_Datos'!$BB$7:$BB$200,ROW()-14),'_Datos'!$BB$7:$BB$200,0),"")</f>
        <v>24</v>
      </c>
    </row>
    <row r="21">
      <c r="B21" s="204" t="str">
        <f>IF($G21="","",INDEX('_Datos'!$AZ$7:$AZ$200,$G21))</f>
        <v>Semanal · S2</v>
      </c>
      <c r="C21" s="205" t="str">
        <f>IF($G21="","",INDEX('_Datos'!$D$7:$D$200,$G21))</f>
        <v>4- Tablero BI DEUDA</v>
      </c>
      <c r="D21" s="205" t="str">
        <f>IF($G21="","",INDEX('_Datos'!$F$7:$F$200,$G21))</f>
        <v>Input de datos desde Provisión mensual</v>
      </c>
      <c r="E21" s="204" t="str">
        <f>IF($G21="","",INDEX('_Datos'!$AY$7:$AY$200,$G21))</f>
        <v>Vencida</v>
      </c>
      <c r="F21" s="209">
        <f>IF($G21="","",INDEX('_Datos'!$AX$7:$AX$200,$G21))</f>
        <v>2</v>
      </c>
      <c r="G21" s="202">
        <f>IFERROR(MATCH(SMALL('_Datos'!$BB$7:$BB$200,ROW()-14),'_Datos'!$BB$7:$BB$200,0),"")</f>
        <v>25</v>
      </c>
    </row>
    <row r="22">
      <c r="B22" s="204" t="str">
        <f>IF($G22="","",INDEX('_Datos'!$AZ$7:$AZ$200,$G22))</f>
        <v>Semanal · S2</v>
      </c>
      <c r="C22" s="205" t="str">
        <f>IF($G22="","",INDEX('_Datos'!$D$7:$D$200,$G22))</f>
        <v>5- Tablero Control General - Op. Complejas</v>
      </c>
      <c r="D22" s="205" t="str">
        <f>IF($G22="","",INDEX('_Datos'!$F$7:$F$200,$G22))</f>
        <v>Planilla Activos Unificados - Estandarizar + Procedimiento</v>
      </c>
      <c r="E22" s="204" t="str">
        <f>IF($G22="","",INDEX('_Datos'!$AY$7:$AY$200,$G22))</f>
        <v>Vencida</v>
      </c>
      <c r="F22" s="209">
        <f>IF($G22="","",INDEX('_Datos'!$AX$7:$AX$200,$G22))</f>
        <v>2</v>
      </c>
      <c r="G22" s="202">
        <f>IFERROR(MATCH(SMALL('_Datos'!$BB$7:$BB$200,ROW()-14),'_Datos'!$BB$7:$BB$200,0),"")</f>
        <v>31</v>
      </c>
    </row>
    <row r="23">
      <c r="B23" s="204" t="str">
        <f>IF($G23="","",INDEX('_Datos'!$AZ$7:$AZ$200,$G23))</f>
        <v>Semanal · S2</v>
      </c>
      <c r="C23" s="205" t="str">
        <f>IF($G23="","",INDEX('_Datos'!$D$7:$D$200,$G23))</f>
        <v>5- Tablero Control General - Op. Complejas</v>
      </c>
      <c r="D23" s="205" t="str">
        <f>IF($G23="","",INDEX('_Datos'!$F$7:$F$200,$G23))</f>
        <v>Planilla DTM Estandarizada+ Procedimiento</v>
      </c>
      <c r="E23" s="204" t="str">
        <f>IF($G23="","",INDEX('_Datos'!$AY$7:$AY$200,$G23))</f>
        <v>Vencida</v>
      </c>
      <c r="F23" s="209">
        <f>IF($G23="","",INDEX('_Datos'!$AX$7:$AX$200,$G23))</f>
        <v>2</v>
      </c>
      <c r="G23" s="202">
        <f>IFERROR(MATCH(SMALL('_Datos'!$BB$7:$BB$200,ROW()-14),'_Datos'!$BB$7:$BB$200,0),"")</f>
        <v>32</v>
      </c>
    </row>
    <row r="24">
      <c r="B24" s="204" t="str">
        <f>IF($G24="","",INDEX('_Datos'!$AZ$7:$AZ$200,$G24))</f>
        <v>Semanal · S2</v>
      </c>
      <c r="C24" s="205" t="str">
        <f>IF($G24="","",INDEX('_Datos'!$D$7:$D$200,$G24))</f>
        <v>5- Tablero Control General - Op. Complejas</v>
      </c>
      <c r="D24" s="205" t="str">
        <f>IF($G24="","",INDEX('_Datos'!$F$7:$F$200,$G24))</f>
        <v>Planilla Aeroevaciaciones + Procedimiento</v>
      </c>
      <c r="E24" s="204" t="str">
        <f>IF($G24="","",INDEX('_Datos'!$AY$7:$AY$200,$G24))</f>
        <v>Vencida</v>
      </c>
      <c r="F24" s="209">
        <f>IF($G24="","",INDEX('_Datos'!$AX$7:$AX$200,$G24))</f>
        <v>2</v>
      </c>
      <c r="G24" s="202">
        <f>IFERROR(MATCH(SMALL('_Datos'!$BB$7:$BB$200,ROW()-14),'_Datos'!$BB$7:$BB$200,0),"")</f>
        <v>33</v>
      </c>
    </row>
    <row r="25">
      <c r="B25" s="204" t="str">
        <f>IF($G25="","",INDEX('_Datos'!$AZ$7:$AZ$200,$G25))</f>
        <v>Semanal · S2</v>
      </c>
      <c r="C25" s="205" t="str">
        <f>IF($G25="","",INDEX('_Datos'!$D$7:$D$200,$G25))</f>
        <v>5- Tablero Control General - Op. Complejas</v>
      </c>
      <c r="D25" s="205" t="str">
        <f>IF($G25="","",INDEX('_Datos'!$F$7:$F$200,$G25))</f>
        <v>Resumen Clientes Petróleo</v>
      </c>
      <c r="E25" s="204" t="str">
        <f>IF($G25="","",INDEX('_Datos'!$AY$7:$AY$200,$G25))</f>
        <v>Vencida</v>
      </c>
      <c r="F25" s="209">
        <f>IF($G25="","",INDEX('_Datos'!$AX$7:$AX$200,$G25))</f>
        <v>2</v>
      </c>
      <c r="G25" s="202">
        <f>IFERROR(MATCH(SMALL('_Datos'!$BB$7:$BB$200,ROW()-14),'_Datos'!$BB$7:$BB$200,0),"")</f>
        <v>34</v>
      </c>
    </row>
    <row r="26">
      <c r="B26" s="204" t="str">
        <f>IF($G26="","",INDEX('_Datos'!$AZ$7:$AZ$200,$G26))</f>
        <v>Semanal · S2</v>
      </c>
      <c r="C26" s="205" t="str">
        <f>IF($G26="","",INDEX('_Datos'!$D$7:$D$200,$G26))</f>
        <v>5- Tablero Control General - Op. Complejas</v>
      </c>
      <c r="D26" s="205" t="str">
        <f>IF($G26="","",INDEX('_Datos'!$F$7:$F$200,$G26))</f>
        <v>Resumen Clientes Minería</v>
      </c>
      <c r="E26" s="204" t="str">
        <f>IF($G26="","",INDEX('_Datos'!$AY$7:$AY$200,$G26))</f>
        <v>Vencida</v>
      </c>
      <c r="F26" s="209">
        <f>IF($G26="","",INDEX('_Datos'!$AX$7:$AX$200,$G26))</f>
        <v>2</v>
      </c>
      <c r="G26" s="202">
        <f>IFERROR(MATCH(SMALL('_Datos'!$BB$7:$BB$200,ROW()-14),'_Datos'!$BB$7:$BB$200,0),"")</f>
        <v>35</v>
      </c>
    </row>
    <row r="27">
      <c r="B27" s="204" t="str">
        <f>IF($G27="","",INDEX('_Datos'!$AZ$7:$AZ$200,$G27))</f>
        <v>Semanal · S2</v>
      </c>
      <c r="C27" s="205" t="str">
        <f>IF($G27="","",INDEX('_Datos'!$D$7:$D$200,$G27))</f>
        <v>5- Tablero Control General - Op. Complejas</v>
      </c>
      <c r="D27" s="205" t="str">
        <f>IF($G27="","",INDEX('_Datos'!$F$7:$F$200,$G27))</f>
        <v>Resumen Clientes Op. Dedicadas</v>
      </c>
      <c r="E27" s="204" t="str">
        <f>IF($G27="","",INDEX('_Datos'!$AY$7:$AY$200,$G27))</f>
        <v>Vencida</v>
      </c>
      <c r="F27" s="209">
        <f>IF($G27="","",INDEX('_Datos'!$AX$7:$AX$200,$G27))</f>
        <v>2</v>
      </c>
      <c r="G27" s="202">
        <f>IFERROR(MATCH(SMALL('_Datos'!$BB$7:$BB$200,ROW()-14),'_Datos'!$BB$7:$BB$200,0),"")</f>
        <v>36</v>
      </c>
    </row>
    <row r="28">
      <c r="B28" s="204" t="str">
        <f>IF($G28="","",INDEX('_Datos'!$AZ$7:$AZ$200,$G28))</f>
        <v>Semanal · S2</v>
      </c>
      <c r="C28" s="205" t="str">
        <f>IF($G28="","",INDEX('_Datos'!$D$7:$D$200,$G28))</f>
        <v>5- Tablero Control General - Op. Complejas</v>
      </c>
      <c r="D28" s="205" t="str">
        <f>IF($G28="","",INDEX('_Datos'!$F$7:$F$200,$G28))</f>
        <v>Detalle Responsables (Comerciales + Analistas)</v>
      </c>
      <c r="E28" s="204" t="str">
        <f>IF($G28="","",INDEX('_Datos'!$AY$7:$AY$200,$G28))</f>
        <v>Vencida</v>
      </c>
      <c r="F28" s="209">
        <f>IF($G28="","",INDEX('_Datos'!$AX$7:$AX$200,$G28))</f>
        <v>2</v>
      </c>
      <c r="G28" s="202">
        <f>IFERROR(MATCH(SMALL('_Datos'!$BB$7:$BB$200,ROW()-14),'_Datos'!$BB$7:$BB$200,0),"")</f>
        <v>40</v>
      </c>
    </row>
    <row r="29">
      <c r="B29" s="204" t="str">
        <f>IF($G29="","",INDEX('_Datos'!$AZ$7:$AZ$200,$G29))</f>
        <v>Semanal · S2</v>
      </c>
      <c r="C29" s="205" t="str">
        <f>IF($G29="","",INDEX('_Datos'!$D$7:$D$200,$G29))</f>
        <v>5- Tablero Control General - Op. Complejas</v>
      </c>
      <c r="D29" s="205" t="str">
        <f>IF($G29="","",INDEX('_Datos'!$F$7:$F$200,$G29))</f>
        <v>Armado de Dashboard + Diseño</v>
      </c>
      <c r="E29" s="204" t="str">
        <f>IF($G29="","",INDEX('_Datos'!$AY$7:$AY$200,$G29))</f>
        <v>Vencida</v>
      </c>
      <c r="F29" s="209">
        <f>IF($G29="","",INDEX('_Datos'!$AX$7:$AX$200,$G29))</f>
        <v>2</v>
      </c>
      <c r="G29" s="202">
        <f>IFERROR(MATCH(SMALL('_Datos'!$BB$7:$BB$200,ROW()-14),'_Datos'!$BB$7:$BB$200,0),"")</f>
        <v>41</v>
      </c>
    </row>
    <row r="30">
      <c r="B30" s="204" t="str">
        <f>IF($G30="","",INDEX('_Datos'!$AZ$7:$AZ$200,$G30))</f>
        <v>Semanal · S2</v>
      </c>
      <c r="C30" s="205" t="str">
        <f>IF($G30="","",INDEX('_Datos'!$D$7:$D$200,$G30))</f>
        <v>Tablero Forecast</v>
      </c>
      <c r="D30" s="205" t="str">
        <f>IF($G30="","",INDEX('_Datos'!$F$7:$F$200,$G30))</f>
        <v>Armado de Procedimiento</v>
      </c>
      <c r="E30" s="204" t="str">
        <f>IF($G30="","",INDEX('_Datos'!$AY$7:$AY$200,$G30))</f>
        <v>Vencida</v>
      </c>
      <c r="F30" s="209">
        <f>IF($G30="","",INDEX('_Datos'!$AX$7:$AX$200,$G30))</f>
        <v>2</v>
      </c>
      <c r="G30" s="202">
        <f>IFERROR(MATCH(SMALL('_Datos'!$BB$7:$BB$200,ROW()-14),'_Datos'!$BB$7:$BB$200,0),"")</f>
        <v>43</v>
      </c>
    </row>
    <row r="31">
      <c r="B31" s="204" t="str">
        <f>IF($G31="","",INDEX('_Datos'!$AZ$7:$AZ$200,$G31))</f>
        <v>Semanal · S2</v>
      </c>
      <c r="C31" s="205" t="str">
        <f>IF($G31="","",INDEX('_Datos'!$D$7:$D$200,$G31))</f>
        <v>Tablero Forecast</v>
      </c>
      <c r="D31" s="205" t="str">
        <f>IF($G31="","",INDEX('_Datos'!$F$7:$F$200,$G31))</f>
        <v>Slicer funcional con % de incremento sobre venta con base en % definido en factores</v>
      </c>
      <c r="E31" s="204" t="str">
        <f>IF($G31="","",INDEX('_Datos'!$AY$7:$AY$200,$G31))</f>
        <v>Vencida</v>
      </c>
      <c r="F31" s="209">
        <f>IF($G31="","",INDEX('_Datos'!$AX$7:$AX$200,$G31))</f>
        <v>2</v>
      </c>
      <c r="G31" s="202">
        <f>IFERROR(MATCH(SMALL('_Datos'!$BB$7:$BB$200,ROW()-14),'_Datos'!$BB$7:$BB$200,0),"")</f>
        <v>44</v>
      </c>
    </row>
    <row r="32">
      <c r="B32" s="204" t="str">
        <f>IF($G32="","",INDEX('_Datos'!$AZ$7:$AZ$200,$G32))</f>
        <v>Semanal · S2</v>
      </c>
      <c r="C32" s="205" t="str">
        <f>IF($G32="","",INDEX('_Datos'!$D$7:$D$200,$G32))</f>
        <v>Tablero Forecast</v>
      </c>
      <c r="D32" s="205" t="str">
        <f>IF($G32="","",INDEX('_Datos'!$F$7:$F$200,$G32))</f>
        <v>Factores de clientes con % de incremento sobre venta</v>
      </c>
      <c r="E32" s="204" t="str">
        <f>IF($G32="","",INDEX('_Datos'!$AY$7:$AY$200,$G32))</f>
        <v>Vencida</v>
      </c>
      <c r="F32" s="209">
        <f>IF($G32="","",INDEX('_Datos'!$AX$7:$AX$200,$G32))</f>
        <v>2</v>
      </c>
      <c r="G32" s="202">
        <f>IFERROR(MATCH(SMALL('_Datos'!$BB$7:$BB$200,ROW()-14),'_Datos'!$BB$7:$BB$200,0),"")</f>
        <v>45</v>
      </c>
    </row>
    <row r="33">
      <c r="B33" s="204">
        <f>IF($G33="","",INDEX('_Datos'!$AZ$7:$AZ$200,$G33))</f>
      </c>
      <c r="C33" s="205">
        <f>IF($G33="","",INDEX('_Datos'!$D$7:$D$200,$G33))</f>
      </c>
      <c r="D33" s="205">
        <f>IF($G33="","",INDEX('_Datos'!$F$7:$F$200,$G33))</f>
      </c>
      <c r="E33" s="204">
        <f>IF($G33="","",INDEX('_Datos'!$AY$7:$AY$200,$G33))</f>
      </c>
      <c r="F33" s="209">
        <f>IF($G33="","",INDEX('_Datos'!$AX$7:$AX$200,$G33))</f>
      </c>
      <c r="G33" s="202">
        <f>IFERROR(MATCH(SMALL('_Datos'!$BB$7:$BB$200,ROW()-14),'_Datos'!$BB$7:$BB$200,0),"")</f>
      </c>
    </row>
    <row r="34">
      <c r="B34" s="204">
        <f>IF($G34="","",INDEX('_Datos'!$AZ$7:$AZ$200,$G34))</f>
      </c>
      <c r="C34" s="205">
        <f>IF($G34="","",INDEX('_Datos'!$D$7:$D$200,$G34))</f>
      </c>
      <c r="D34" s="205">
        <f>IF($G34="","",INDEX('_Datos'!$F$7:$F$200,$G34))</f>
      </c>
      <c r="E34" s="204">
        <f>IF($G34="","",INDEX('_Datos'!$AY$7:$AY$200,$G34))</f>
      </c>
      <c r="F34" s="209">
        <f>IF($G34="","",INDEX('_Datos'!$AX$7:$AX$200,$G34))</f>
      </c>
      <c r="G34" s="202">
        <f>IFERROR(MATCH(SMALL('_Datos'!$BB$7:$BB$200,ROW()-14),'_Datos'!$BB$7:$BB$200,0),"")</f>
      </c>
    </row>
    <row r="36">
      <c r="B36" s="172" t="inlineStr">
        <is>
          <t xml:space="preserve">TABLERO QUINCENAL  (ordenado por Sprint)</t>
        </is>
      </c>
      <c r="C36" s="172"/>
      <c r="D36" s="172"/>
      <c r="E36" s="172"/>
      <c r="F36" s="172"/>
    </row>
    <row r="37">
      <c r="B37" s="173" t="inlineStr">
        <is>
          <t xml:space="preserve">Sprint</t>
        </is>
      </c>
      <c r="C37" s="173" t="inlineStr">
        <is>
          <t xml:space="preserve">Proyecto</t>
        </is>
      </c>
      <c r="D37" s="173" t="inlineStr">
        <is>
          <t xml:space="preserve">Subtarea</t>
        </is>
      </c>
      <c r="E37" s="173" t="inlineStr">
        <is>
          <t xml:space="preserve">Estado</t>
        </is>
      </c>
      <c r="F37" s="173" t="inlineStr">
        <is>
          <t xml:space="preserve">Mora (d)</t>
        </is>
      </c>
    </row>
    <row r="38">
      <c r="B38" s="204" t="str">
        <f>IF($G38="","",INDEX('_Datos'!$AZ$7:$AZ$200,$G38))</f>
        <v>Quincenal · S1</v>
      </c>
      <c r="C38" s="205" t="str">
        <f>IF($G38="","",INDEX('_Datos'!$D$7:$D$200,$G38))</f>
        <v>2- Cotizador de Operaciones Complejas</v>
      </c>
      <c r="D38" s="205" t="str">
        <f>IF($G38="","",INDEX('_Datos'!$F$7:$F$200,$G38))</f>
        <v>Crear estructura de Cotizador en base a modelo armado (migra a CLAUDE)</v>
      </c>
      <c r="E38" s="204" t="str">
        <f>IF($G38="","",INDEX('_Datos'!$AY$7:$AY$200,$G38))</f>
        <v>Pendiente</v>
      </c>
      <c r="F38" s="209">
        <f>IF($G38="","",INDEX('_Datos'!$AX$7:$AX$200,$G38))</f>
        <v>0</v>
      </c>
      <c r="G38" s="202">
        <f>IFERROR(MATCH(SMALL('_Datos'!$BC$7:$BC$200,ROW()-37),'_Datos'!$BC$7:$BC$200,0),"")</f>
        <v>4</v>
      </c>
    </row>
    <row r="39">
      <c r="B39" s="204" t="str">
        <f>IF($G39="","",INDEX('_Datos'!$AZ$7:$AZ$200,$G39))</f>
        <v>Quincenal · S1</v>
      </c>
      <c r="C39" s="205" t="str">
        <f>IF($G39="","",INDEX('_Datos'!$D$7:$D$200,$G39))</f>
        <v>2- Cotizador de Operaciones Complejas</v>
      </c>
      <c r="D39" s="205" t="str">
        <f>IF($G39="","",INDEX('_Datos'!$F$7:$F$200,$G39))</f>
        <v>Automatización Archivo Sueldos FATSA + Procedimientos</v>
      </c>
      <c r="E39" s="204" t="str">
        <f>IF($G39="","",INDEX('_Datos'!$AY$7:$AY$200,$G39))</f>
        <v>Pendiente</v>
      </c>
      <c r="F39" s="209">
        <f>IF($G39="","",INDEX('_Datos'!$AX$7:$AX$200,$G39))</f>
        <v>0</v>
      </c>
      <c r="G39" s="202">
        <f>IFERROR(MATCH(SMALL('_Datos'!$BC$7:$BC$200,ROW()-37),'_Datos'!$BC$7:$BC$200,0),"")</f>
        <v>5</v>
      </c>
    </row>
    <row r="40">
      <c r="B40" s="204" t="str">
        <f>IF($G40="","",INDEX('_Datos'!$AZ$7:$AZ$200,$G40))</f>
        <v>Quincenal · S1</v>
      </c>
      <c r="C40" s="205" t="str">
        <f>IF($G40="","",INDEX('_Datos'!$D$7:$D$200,$G40))</f>
        <v>2- Cotizador de Operaciones Complejas</v>
      </c>
      <c r="D40" s="205" t="str">
        <f>IF($G40="","",INDEX('_Datos'!$F$7:$F$200,$G40))</f>
        <v>Automatización Archivo Sueldos Petro + Procedimientos</v>
      </c>
      <c r="E40" s="204" t="str">
        <f>IF($G40="","",INDEX('_Datos'!$AY$7:$AY$200,$G40))</f>
        <v>Pendiente</v>
      </c>
      <c r="F40" s="209">
        <f>IF($G40="","",INDEX('_Datos'!$AX$7:$AX$200,$G40))</f>
        <v>0</v>
      </c>
      <c r="G40" s="202">
        <f>IFERROR(MATCH(SMALL('_Datos'!$BC$7:$BC$200,ROW()-37),'_Datos'!$BC$7:$BC$200,0),"")</f>
        <v>6</v>
      </c>
    </row>
    <row r="41">
      <c r="B41" s="204" t="str">
        <f>IF($G41="","",INDEX('_Datos'!$AZ$7:$AZ$200,$G41))</f>
        <v>Quincenal · S1</v>
      </c>
      <c r="C41" s="205" t="str">
        <f>IF($G41="","",INDEX('_Datos'!$D$7:$D$200,$G41))</f>
        <v>2- Cotizador de Operaciones Complejas</v>
      </c>
      <c r="D41" s="205" t="str">
        <f>IF($G41="","",INDEX('_Datos'!$F$7:$F$200,$G41))</f>
        <v>Relevamiento Últimos Sueldos de referencia Monotributistas</v>
      </c>
      <c r="E41" s="204" t="str">
        <f>IF($G41="","",INDEX('_Datos'!$AY$7:$AY$200,$G41))</f>
        <v>Pendiente</v>
      </c>
      <c r="F41" s="209">
        <f>IF($G41="","",INDEX('_Datos'!$AX$7:$AX$200,$G41))</f>
        <v>0</v>
      </c>
      <c r="G41" s="202">
        <f>IFERROR(MATCH(SMALL('_Datos'!$BC$7:$BC$200,ROW()-37),'_Datos'!$BC$7:$BC$200,0),"")</f>
        <v>7</v>
      </c>
    </row>
    <row r="42">
      <c r="B42" s="204" t="str">
        <f>IF($G42="","",INDEX('_Datos'!$AZ$7:$AZ$200,$G42))</f>
        <v>Quincenal · S1</v>
      </c>
      <c r="C42" s="205" t="str">
        <f>IF($G42="","",INDEX('_Datos'!$D$7:$D$200,$G42))</f>
        <v>2- Cotizador de Operaciones Complejas</v>
      </c>
      <c r="D42" s="205" t="str">
        <f>IF($G42="","",INDEX('_Datos'!$F$7:$F$200,$G42))</f>
        <v>Asociar Archivo Móviles y Tráilers (Nico Sifuentes) + procedimiento</v>
      </c>
      <c r="E42" s="204" t="str">
        <f>IF($G42="","",INDEX('_Datos'!$AY$7:$AY$200,$G42))</f>
        <v>Pendiente</v>
      </c>
      <c r="F42" s="209">
        <f>IF($G42="","",INDEX('_Datos'!$AX$7:$AX$200,$G42))</f>
        <v>0</v>
      </c>
      <c r="G42" s="202">
        <f>IFERROR(MATCH(SMALL('_Datos'!$BC$7:$BC$200,ROW()-37),'_Datos'!$BC$7:$BC$200,0),"")</f>
        <v>9</v>
      </c>
    </row>
    <row r="43">
      <c r="B43" s="204" t="str">
        <f>IF($G43="","",INDEX('_Datos'!$AZ$7:$AZ$200,$G43))</f>
        <v>Quincenal · S1</v>
      </c>
      <c r="C43" s="205" t="str">
        <f>IF($G43="","",INDEX('_Datos'!$D$7:$D$200,$G43))</f>
        <v>2- Cotizador de Operaciones Complejas</v>
      </c>
      <c r="D43" s="205" t="str">
        <f>IF($G43="","",INDEX('_Datos'!$F$7:$F$200,$G43))</f>
        <v>Asociar Archivo Masters de Medicación (Seba Oliver) + Capacitaciones + procedimiento</v>
      </c>
      <c r="E43" s="204" t="str">
        <f>IF($G43="","",INDEX('_Datos'!$AY$7:$AY$200,$G43))</f>
        <v>Pendiente</v>
      </c>
      <c r="F43" s="209">
        <f>IF($G43="","",INDEX('_Datos'!$AX$7:$AX$200,$G43))</f>
        <v>0</v>
      </c>
      <c r="G43" s="202">
        <f>IFERROR(MATCH(SMALL('_Datos'!$BC$7:$BC$200,ROW()-37),'_Datos'!$BC$7:$BC$200,0),"")</f>
        <v>10</v>
      </c>
    </row>
    <row r="44">
      <c r="B44" s="204" t="str">
        <f>IF($G44="","",INDEX('_Datos'!$AZ$7:$AZ$200,$G44))</f>
        <v>Quincenal · S1</v>
      </c>
      <c r="C44" s="205" t="str">
        <f>IF($G44="","",INDEX('_Datos'!$D$7:$D$200,$G44))</f>
        <v>2- Cotizador de Operaciones Complejas</v>
      </c>
      <c r="D44" s="205" t="str">
        <f>IF($G44="","",INDEX('_Datos'!$F$7:$F$200,$G44))</f>
        <v>Relevamiento área de IA -  Repositorio (GitHub o AWS S3) + Seguridad</v>
      </c>
      <c r="E44" s="204" t="str">
        <f>IF($G44="","",INDEX('_Datos'!$AY$7:$AY$200,$G44))</f>
        <v>Pendiente</v>
      </c>
      <c r="F44" s="209">
        <f>IF($G44="","",INDEX('_Datos'!$AX$7:$AX$200,$G44))</f>
        <v>0</v>
      </c>
      <c r="G44" s="202">
        <f>IFERROR(MATCH(SMALL('_Datos'!$BC$7:$BC$200,ROW()-37),'_Datos'!$BC$7:$BC$200,0),"")</f>
        <v>13</v>
      </c>
    </row>
    <row r="45">
      <c r="B45" s="204">
        <f>IF($G45="","",INDEX('_Datos'!$AZ$7:$AZ$200,$G45))</f>
      </c>
      <c r="C45" s="205">
        <f>IF($G45="","",INDEX('_Datos'!$D$7:$D$200,$G45))</f>
      </c>
      <c r="D45" s="205">
        <f>IF($G45="","",INDEX('_Datos'!$F$7:$F$200,$G45))</f>
      </c>
      <c r="E45" s="204">
        <f>IF($G45="","",INDEX('_Datos'!$AY$7:$AY$200,$G45))</f>
      </c>
      <c r="F45" s="209">
        <f>IF($G45="","",INDEX('_Datos'!$AX$7:$AX$200,$G45))</f>
      </c>
      <c r="G45" s="202">
        <f>IFERROR(MATCH(SMALL('_Datos'!$BC$7:$BC$200,ROW()-37),'_Datos'!$BC$7:$BC$200,0),"")</f>
      </c>
    </row>
    <row r="46">
      <c r="B46" s="204">
        <f>IF($G46="","",INDEX('_Datos'!$AZ$7:$AZ$200,$G46))</f>
      </c>
      <c r="C46" s="205">
        <f>IF($G46="","",INDEX('_Datos'!$D$7:$D$200,$G46))</f>
      </c>
      <c r="D46" s="205">
        <f>IF($G46="","",INDEX('_Datos'!$F$7:$F$200,$G46))</f>
      </c>
      <c r="E46" s="204">
        <f>IF($G46="","",INDEX('_Datos'!$AY$7:$AY$200,$G46))</f>
      </c>
      <c r="F46" s="209">
        <f>IF($G46="","",INDEX('_Datos'!$AX$7:$AX$200,$G46))</f>
      </c>
      <c r="G46" s="202">
        <f>IFERROR(MATCH(SMALL('_Datos'!$BC$7:$BC$200,ROW()-37),'_Datos'!$BC$7:$BC$200,0),"")</f>
      </c>
    </row>
    <row r="47">
      <c r="B47" s="204">
        <f>IF($G47="","",INDEX('_Datos'!$AZ$7:$AZ$200,$G47))</f>
      </c>
      <c r="C47" s="205">
        <f>IF($G47="","",INDEX('_Datos'!$D$7:$D$200,$G47))</f>
      </c>
      <c r="D47" s="205">
        <f>IF($G47="","",INDEX('_Datos'!$F$7:$F$200,$G47))</f>
      </c>
      <c r="E47" s="204">
        <f>IF($G47="","",INDEX('_Datos'!$AY$7:$AY$200,$G47))</f>
      </c>
      <c r="F47" s="209">
        <f>IF($G47="","",INDEX('_Datos'!$AX$7:$AX$200,$G47))</f>
      </c>
      <c r="G47" s="202">
        <f>IFERROR(MATCH(SMALL('_Datos'!$BC$7:$BC$200,ROW()-37),'_Datos'!$BC$7:$BC$200,0),"")</f>
      </c>
    </row>
    <row r="49">
      <c r="B49" s="172" t="inlineStr">
        <is>
          <t xml:space="preserve">TABLERO MENSUAL  (ordenado por Sprint)</t>
        </is>
      </c>
      <c r="C49" s="172"/>
      <c r="D49" s="172"/>
      <c r="E49" s="172"/>
      <c r="F49" s="172"/>
    </row>
    <row r="50">
      <c r="B50" s="173" t="inlineStr">
        <is>
          <t xml:space="preserve">Sprint</t>
        </is>
      </c>
      <c r="C50" s="173" t="inlineStr">
        <is>
          <t xml:space="preserve">Proyecto</t>
        </is>
      </c>
      <c r="D50" s="173" t="inlineStr">
        <is>
          <t xml:space="preserve">Subtarea</t>
        </is>
      </c>
      <c r="E50" s="173" t="inlineStr">
        <is>
          <t xml:space="preserve">Estado</t>
        </is>
      </c>
      <c r="F50" s="173" t="inlineStr">
        <is>
          <t xml:space="preserve">Mora (d)</t>
        </is>
      </c>
    </row>
    <row r="51">
      <c r="B51" s="204" t="str">
        <f>IF($G51="","",INDEX('_Datos'!$AZ$7:$AZ$200,$G51))</f>
        <v>Mensual · S1</v>
      </c>
      <c r="C51" s="205" t="str">
        <f>IF($G51="","",INDEX('_Datos'!$D$7:$D$200,$G51))</f>
        <v>1- GOC: Módulo de Datos para Procesos de Certificación (Inteligencia Comercial)</v>
      </c>
      <c r="D51" s="205" t="str">
        <f>IF($G51="","",INDEX('_Datos'!$F$7:$F$200,$G51))</f>
        <v>Disponibilidad de información centralizada en GOC (aguarda desarrollo)</v>
      </c>
      <c r="E51" s="204" t="str">
        <f>IF($G51="","",INDEX('_Datos'!$AY$7:$AY$200,$G51))</f>
        <v>Pendiente</v>
      </c>
      <c r="F51" s="209">
        <f>IF($G51="","",INDEX('_Datos'!$AX$7:$AX$200,$G51))</f>
        <v>0</v>
      </c>
      <c r="G51" s="202">
        <f>IFERROR(MATCH(SMALL('_Datos'!$BD$7:$BD$200,ROW()-50),'_Datos'!$BD$7:$BD$200,0),"")</f>
        <v>2</v>
      </c>
    </row>
    <row r="52">
      <c r="B52" s="204">
        <f>IF($G52="","",INDEX('_Datos'!$AZ$7:$AZ$200,$G52))</f>
      </c>
      <c r="C52" s="205">
        <f>IF($G52="","",INDEX('_Datos'!$D$7:$D$200,$G52))</f>
      </c>
      <c r="D52" s="205">
        <f>IF($G52="","",INDEX('_Datos'!$F$7:$F$200,$G52))</f>
      </c>
      <c r="E52" s="204">
        <f>IF($G52="","",INDEX('_Datos'!$AY$7:$AY$200,$G52))</f>
      </c>
      <c r="F52" s="209">
        <f>IF($G52="","",INDEX('_Datos'!$AX$7:$AX$200,$G52))</f>
      </c>
      <c r="G52" s="202">
        <f>IFERROR(MATCH(SMALL('_Datos'!$BD$7:$BD$200,ROW()-50),'_Datos'!$BD$7:$BD$200,0),"")</f>
      </c>
    </row>
    <row r="53">
      <c r="B53" s="204">
        <f>IF($G53="","",INDEX('_Datos'!$AZ$7:$AZ$200,$G53))</f>
      </c>
      <c r="C53" s="205">
        <f>IF($G53="","",INDEX('_Datos'!$D$7:$D$200,$G53))</f>
      </c>
      <c r="D53" s="205">
        <f>IF($G53="","",INDEX('_Datos'!$F$7:$F$200,$G53))</f>
      </c>
      <c r="E53" s="204">
        <f>IF($G53="","",INDEX('_Datos'!$AY$7:$AY$200,$G53))</f>
      </c>
      <c r="F53" s="209">
        <f>IF($G53="","",INDEX('_Datos'!$AX$7:$AX$200,$G53))</f>
      </c>
      <c r="G53" s="202">
        <f>IFERROR(MATCH(SMALL('_Datos'!$BD$7:$BD$200,ROW()-50),'_Datos'!$BD$7:$BD$200,0),"")</f>
      </c>
    </row>
    <row r="54">
      <c r="B54" s="204">
        <f>IF($G54="","",INDEX('_Datos'!$AZ$7:$AZ$200,$G54))</f>
      </c>
      <c r="C54" s="205">
        <f>IF($G54="","",INDEX('_Datos'!$D$7:$D$200,$G54))</f>
      </c>
      <c r="D54" s="205">
        <f>IF($G54="","",INDEX('_Datos'!$F$7:$F$200,$G54))</f>
      </c>
      <c r="E54" s="204">
        <f>IF($G54="","",INDEX('_Datos'!$AY$7:$AY$200,$G54))</f>
      </c>
      <c r="F54" s="209">
        <f>IF($G54="","",INDEX('_Datos'!$AX$7:$AX$200,$G54))</f>
      </c>
      <c r="G54" s="202">
        <f>IFERROR(MATCH(SMALL('_Datos'!$BD$7:$BD$200,ROW()-50),'_Datos'!$BD$7:$BD$200,0),"")</f>
      </c>
    </row>
    <row r="55">
      <c r="B55" s="204">
        <f>IF($G55="","",INDEX('_Datos'!$AZ$7:$AZ$200,$G55))</f>
      </c>
      <c r="C55" s="205">
        <f>IF($G55="","",INDEX('_Datos'!$D$7:$D$200,$G55))</f>
      </c>
      <c r="D55" s="205">
        <f>IF($G55="","",INDEX('_Datos'!$F$7:$F$200,$G55))</f>
      </c>
      <c r="E55" s="204">
        <f>IF($G55="","",INDEX('_Datos'!$AY$7:$AY$200,$G55))</f>
      </c>
      <c r="F55" s="209">
        <f>IF($G55="","",INDEX('_Datos'!$AX$7:$AX$200,$G55))</f>
      </c>
      <c r="G55" s="202">
        <f>IFERROR(MATCH(SMALL('_Datos'!$BD$7:$BD$200,ROW()-50),'_Datos'!$BD$7:$BD$200,0),"")</f>
      </c>
    </row>
    <row r="56">
      <c r="B56" s="204">
        <f>IF($G56="","",INDEX('_Datos'!$AZ$7:$AZ$200,$G56))</f>
      </c>
      <c r="C56" s="205">
        <f>IF($G56="","",INDEX('_Datos'!$D$7:$D$200,$G56))</f>
      </c>
      <c r="D56" s="205">
        <f>IF($G56="","",INDEX('_Datos'!$F$7:$F$200,$G56))</f>
      </c>
      <c r="E56" s="204">
        <f>IF($G56="","",INDEX('_Datos'!$AY$7:$AY$200,$G56))</f>
      </c>
      <c r="F56" s="209">
        <f>IF($G56="","",INDEX('_Datos'!$AX$7:$AX$200,$G56))</f>
      </c>
      <c r="G56" s="202">
        <f>IFERROR(MATCH(SMALL('_Datos'!$BD$7:$BD$200,ROW()-50),'_Datos'!$BD$7:$BD$200,0),"")</f>
      </c>
    </row>
  </sheetData>
  <mergeCells count="9">
    <mergeCell ref="B1:F1"/>
    <mergeCell ref="B2:F2"/>
    <mergeCell ref="B3:E3"/>
    <mergeCell ref="B7:E7"/>
    <mergeCell ref="I3:J3"/>
    <mergeCell ref="L3:L3"/>
    <mergeCell ref="B13:F13"/>
    <mergeCell ref="B36:F36"/>
    <mergeCell ref="B49:F49"/>
  </mergeCells>
  <conditionalFormatting sqref="E15:E34">
    <cfRule type="expression" dxfId="26" priority="10">
      <formula>$E15="Completo"</formula>
    </cfRule>
    <cfRule type="expression" dxfId="23" priority="11">
      <formula>$E15="Vencida"</formula>
    </cfRule>
    <cfRule type="expression" dxfId="24" priority="12">
      <formula>$E15="Baja prioridad"</formula>
    </cfRule>
    <cfRule type="expression" dxfId="22" priority="13">
      <formula>$E15="Cancelado"</formula>
    </cfRule>
  </conditionalFormatting>
  <conditionalFormatting sqref="B15:F34">
    <cfRule type="expression" dxfId="21" priority="14">
      <formula>$B15&lt;&gt;""</formula>
    </cfRule>
  </conditionalFormatting>
  <conditionalFormatting sqref="E38:E47">
    <cfRule type="expression" dxfId="26" priority="15">
      <formula>$E38="Completo"</formula>
    </cfRule>
    <cfRule type="expression" dxfId="23" priority="16">
      <formula>$E38="Vencida"</formula>
    </cfRule>
    <cfRule type="expression" dxfId="24" priority="17">
      <formula>$E38="Baja prioridad"</formula>
    </cfRule>
    <cfRule type="expression" dxfId="22" priority="18">
      <formula>$E38="Cancelado"</formula>
    </cfRule>
  </conditionalFormatting>
  <conditionalFormatting sqref="B38:F47">
    <cfRule type="expression" dxfId="21" priority="19">
      <formula>$B38&lt;&gt;""</formula>
    </cfRule>
  </conditionalFormatting>
  <conditionalFormatting sqref="E51:E56">
    <cfRule type="expression" dxfId="26" priority="20">
      <formula>$E51="Completo"</formula>
    </cfRule>
    <cfRule type="expression" dxfId="23" priority="21">
      <formula>$E51="Vencida"</formula>
    </cfRule>
    <cfRule type="expression" dxfId="24" priority="22">
      <formula>$E51="Baja prioridad"</formula>
    </cfRule>
    <cfRule type="expression" dxfId="22" priority="23">
      <formula>$E51="Cancelado"</formula>
    </cfRule>
  </conditionalFormatting>
  <conditionalFormatting sqref="B51:F56">
    <cfRule type="expression" dxfId="21" priority="24">
      <formula>$B51&lt;&gt;""</formula>
    </cfRule>
  </conditionalFormatting>
  <dataValidations count="1">
    <dataValidation type="list" allowBlank="1" showInputMessage="1" showErrorMessage="1" sqref="J5:J12">
      <formula1>"Semanal,Quincenal,Mensual"</formula1>
    </dataValidation>
  </dataValidations>
  <pageMargins left="0.4" right="0.4" top="0.5" bottom="0.5" header="0.3" footer="0.3"/>
</worksheet>
</file>

<file path=xl/worksheets/sheet9.xml><?xml version="1.0" encoding="utf-8"?>
<worksheet xmlns="http://schemas.openxmlformats.org/spreadsheetml/2006/main" xmlns:r="http://schemas.openxmlformats.org/officeDocument/2006/relationships">
  <dimension ref="A1:N200"/>
  <sheetViews>
    <sheetView showGridLines="0" workbookViewId="0">
      <pane ySplit="6" topLeftCell="A7" activePane="bottomLeft" state="frozen"/>
      <selection pane="bottomLeft" activeCell="G7" sqref="G7"/>
    </sheetView>
  </sheetViews>
  <sheetFormatPr defaultRowHeight="15"/>
  <cols>
    <col min="1" max="1" width="2.5" customWidth="1"/>
    <col min="2" max="2" width="7" customWidth="1"/>
    <col min="3" max="3" width="44" customWidth="1"/>
    <col min="4" max="4" width="11" customWidth="1"/>
    <col min="5" max="5" width="10" customWidth="1"/>
    <col min="6" max="6" width="11" customWidth="1"/>
    <col min="7" max="7" width="15" customWidth="1"/>
    <col min="8" max="8" width="18" customWidth="1"/>
    <col min="9" max="9" width="14" customWidth="1"/>
    <col min="10" max="10" width="22" customWidth="1"/>
    <col min="11" max="11" width="34" customWidth="1"/>
    <col min="12" max="12" width="8" customWidth="1"/>
    <col min="13" max="13" width="11" customWidth="1"/>
    <col min="14" max="14" width="10" customWidth="1"/>
  </cols>
  <sheetData>
    <row r="1" ht="26" customHeight="1">
      <c r="B1" s="169" t="inlineStr">
        <is>
          <t xml:space="preserve">BACKLOG GENERAL — ejecución de sprints (por subtarea)</t>
        </is>
      </c>
      <c r="C1" s="169"/>
      <c r="D1" s="169"/>
      <c r="E1" s="169"/>
      <c r="F1" s="169"/>
      <c r="G1" s="169"/>
      <c r="H1" s="169"/>
      <c r="I1" s="169"/>
      <c r="J1" s="169"/>
      <c r="K1" s="169"/>
      <c r="L1" s="169"/>
      <c r="M1" s="169"/>
      <c r="N1" s="169"/>
    </row>
    <row r="2" ht="40" customHeight="1">
      <c r="B2" s="170" t="inlineStr">
        <is>
          <t xml:space="preserve">Hoja de EJECUCIÓN (la planificación, fechas y notas viven en 'Proyecto Datos (OKR´s)'). El "% Avance" se toma solo de la 1ª hoja. Estado = "Completo" / "No se realizó". Si NO se realizó, Acción: "Pasa al siguiente" / "Baja prioridad" (no cuenta mora) / "Cancelado", e indique el "Motivo" (lista) y un "Comentario" libre — quedan en el Historial. El "SPRINT ACTUAL" es el mismo nº que en Sprints e Historial. Mora en días hábiles.</t>
        </is>
      </c>
      <c r="C2" s="170"/>
      <c r="D2" s="170"/>
      <c r="E2" s="170"/>
      <c r="F2" s="170"/>
      <c r="G2" s="170"/>
      <c r="H2" s="170"/>
      <c r="I2" s="170"/>
      <c r="J2" s="170"/>
      <c r="K2" s="170"/>
      <c r="L2" s="170"/>
      <c r="M2" s="170"/>
      <c r="N2" s="170"/>
    </row>
    <row r="6">
      <c r="B6" s="173" t="inlineStr">
        <is>
          <t xml:space="preserve">ID</t>
        </is>
      </c>
      <c r="C6" s="173" t="inlineStr">
        <is>
          <t xml:space="preserve">Subtarea / Proyecto</t>
        </is>
      </c>
      <c r="D6" s="173" t="inlineStr">
        <is>
          <t xml:space="preserve">Frecuencia</t>
        </is>
      </c>
      <c r="E6" s="173" t="inlineStr">
        <is>
          <t xml:space="preserve">% Avance</t>
        </is>
      </c>
      <c r="F6" s="173" t="inlineStr">
        <is>
          <t xml:space="preserve">Sprint inicial</t>
        </is>
      </c>
      <c r="G6" s="173" t="inlineStr">
        <is>
          <t xml:space="preserve">Estado</t>
        </is>
      </c>
      <c r="H6" s="173" t="inlineStr">
        <is>
          <t xml:space="preserve">Acción si no se realizó</t>
        </is>
      </c>
      <c r="I6" s="173" t="inlineStr">
        <is>
          <t xml:space="preserve">SPRINT ACTUAL</t>
        </is>
      </c>
      <c r="J6" s="173" t="inlineStr">
        <is>
          <t xml:space="preserve">Motivo (por qué)</t>
        </is>
      </c>
      <c r="K6" s="173" t="inlineStr">
        <is>
          <t xml:space="preserve">Comentario / Detalle</t>
        </is>
      </c>
      <c r="L6" s="173" t="inlineStr">
        <is>
          <t xml:space="preserve">Mora (h)</t>
        </is>
      </c>
      <c r="M6" s="173" t="inlineStr">
        <is>
          <t xml:space="preserve">Sol. Sprint</t>
        </is>
      </c>
      <c r="N6" s="173" t="inlineStr">
        <is>
          <t xml:space="preserve">Nuevo</t>
        </is>
      </c>
    </row>
    <row r="7">
      <c r="B7" s="204">
        <f>IF('_Datos'!$C7,'_Datos'!$O7,"")</f>
      </c>
      <c r="C7" s="205" t="str">
        <f>IF('_Datos'!$C7,'_Datos'!$F7,IF('_Datos'!$B7,'Proyecto Datos (OKR´s)'!$G7,""))</f>
        <v>1- GOC: Módulo de Datos para Procesos de Certificación (Inteligencia Comercial)</v>
      </c>
      <c r="D7" s="204">
        <f>IF('_Datos'!$C7,'_Datos'!$AO7,"")</f>
      </c>
      <c r="E7" s="208">
        <f>IF('_Datos'!$C7,'_Datos'!$I7,IF('_Datos'!$B7,IFERROR(AVERAGEIF('_Datos'!$D$7:$D$200,'Proyecto Datos (OKR´s)'!$G7,'_Datos'!$I$7:$I$200),""),""))</f>
        <v>0.2</v>
      </c>
      <c r="F7" s="204">
        <f>IF('_Datos'!$C7,IF(ISNUMBER('_Datos'!$AR7),'_Datos'!$AR7,"(Sin fecha)"),"")</f>
      </c>
      <c r="G7" s="204"/>
      <c r="H7" s="205"/>
      <c r="I7" s="204">
        <f>IF('_Datos'!$C7,IF(ISNUMBER('_Datos'!$AV7),'_Datos'!$AZ7,"(Sin fecha)"),"")</f>
      </c>
      <c r="J7" s="204"/>
      <c r="K7" s="205"/>
      <c r="L7" s="209">
        <f>IF('_Datos'!$C7,'_Datos'!$AX7,"")</f>
      </c>
      <c r="M7" s="191"/>
      <c r="N7" s="204">
        <f>IF('_Datos'!$C7,'_Datos'!$BA7,"")</f>
      </c>
    </row>
    <row r="8">
      <c r="B8" s="204" t="str">
        <f>IF('_Datos'!$C8,'_Datos'!$O8,"")</f>
        <v>T008</v>
      </c>
      <c r="C8" s="205" t="str">
        <f>IF('_Datos'!$C8,'_Datos'!$F8,IF('_Datos'!$B8,'Proyecto Datos (OKR´s)'!$G8,""))</f>
        <v>Disponibilidad de información centralizada en GOC (aguarda desarrollo)</v>
      </c>
      <c r="D8" s="204" t="str">
        <f>IF('_Datos'!$C8,'_Datos'!$AO8,"")</f>
        <v>Mensual</v>
      </c>
      <c r="E8" s="208">
        <f>IF('_Datos'!$C8,'_Datos'!$I8,IF('_Datos'!$B8,IFERROR(AVERAGEIF('_Datos'!$D$7:$D$200,'Proyecto Datos (OKR´s)'!$G8,'_Datos'!$I$7:$I$200),""),""))</f>
        <v>0.2</v>
      </c>
      <c r="F8" s="204">
        <f>IF('_Datos'!$C8,IF(ISNUMBER('_Datos'!$AR8),'_Datos'!$AR8,"(Sin fecha)"),"")</f>
        <v>1</v>
      </c>
      <c r="G8" s="204"/>
      <c r="H8" s="205"/>
      <c r="I8" s="204" t="str">
        <f>IF('_Datos'!$C8,IF(ISNUMBER('_Datos'!$AV8),'_Datos'!$AZ8,"(Sin fecha)"),"")</f>
        <v>Mensual · S1</v>
      </c>
      <c r="J8" s="204"/>
      <c r="K8" s="205"/>
      <c r="L8" s="209">
        <f>IF('_Datos'!$C8,'_Datos'!$AX8,"")</f>
        <v>0</v>
      </c>
      <c r="M8" s="191"/>
      <c r="N8" s="204">
        <f>IF('_Datos'!$C8,'_Datos'!$BA8,"")</f>
      </c>
    </row>
    <row r="9">
      <c r="B9" s="204">
        <f>IF('_Datos'!$C9,'_Datos'!$O9,"")</f>
      </c>
      <c r="C9" s="205" t="str">
        <f>IF('_Datos'!$C9,'_Datos'!$F9,IF('_Datos'!$B9,'Proyecto Datos (OKR´s)'!$G9,""))</f>
        <v>2- Cotizador de Operaciones Complejas</v>
      </c>
      <c r="D9" s="204">
        <f>IF('_Datos'!$C9,'_Datos'!$AO9,"")</f>
      </c>
      <c r="E9" s="208">
        <f>IF('_Datos'!$C9,'_Datos'!$I9,IF('_Datos'!$B9,IFERROR(AVERAGEIF('_Datos'!$D$7:$D$200,'Proyecto Datos (OKR´s)'!$G9,'_Datos'!$I$7:$I$200),""),""))</f>
        <v>0.48333333333333334</v>
      </c>
      <c r="F9" s="204">
        <f>IF('_Datos'!$C9,IF(ISNUMBER('_Datos'!$AR9),'_Datos'!$AR9,"(Sin fecha)"),"")</f>
      </c>
      <c r="G9" s="204"/>
      <c r="H9" s="205"/>
      <c r="I9" s="204">
        <f>IF('_Datos'!$C9,IF(ISNUMBER('_Datos'!$AV9),'_Datos'!$AZ9,"(Sin fecha)"),"")</f>
      </c>
      <c r="J9" s="204"/>
      <c r="K9" s="205"/>
      <c r="L9" s="209">
        <f>IF('_Datos'!$C9,'_Datos'!$AX9,"")</f>
      </c>
      <c r="M9" s="191"/>
      <c r="N9" s="204">
        <f>IF('_Datos'!$C9,'_Datos'!$BA9,"")</f>
      </c>
    </row>
    <row r="10">
      <c r="B10" s="204" t="str">
        <f>IF('_Datos'!$C10,'_Datos'!$O10,"")</f>
        <v>T010</v>
      </c>
      <c r="C10" s="205" t="str">
        <f>IF('_Datos'!$C10,'_Datos'!$F10,IF('_Datos'!$B10,'Proyecto Datos (OKR´s)'!$G10,""))</f>
        <v>Crear estructura de Cotizador en base a modelo armado (migra a CLAUDE)</v>
      </c>
      <c r="D10" s="204" t="str">
        <f>IF('_Datos'!$C10,'_Datos'!$AO10,"")</f>
        <v>Quincenal</v>
      </c>
      <c r="E10" s="208">
        <f>IF('_Datos'!$C10,'_Datos'!$I10,IF('_Datos'!$B10,IFERROR(AVERAGEIF('_Datos'!$D$7:$D$200,'Proyecto Datos (OKR´s)'!$G10,'_Datos'!$I$7:$I$200),""),""))</f>
        <v>1</v>
      </c>
      <c r="F10" s="204">
        <f>IF('_Datos'!$C10,IF(ISNUMBER('_Datos'!$AR10),'_Datos'!$AR10,"(Sin fecha)"),"")</f>
        <v>1</v>
      </c>
      <c r="G10" s="204"/>
      <c r="H10" s="205"/>
      <c r="I10" s="204" t="str">
        <f>IF('_Datos'!$C10,IF(ISNUMBER('_Datos'!$AV10),'_Datos'!$AZ10,"(Sin fecha)"),"")</f>
        <v>Quincenal · S1</v>
      </c>
      <c r="J10" s="204"/>
      <c r="K10" s="205"/>
      <c r="L10" s="209">
        <f>IF('_Datos'!$C10,'_Datos'!$AX10,"")</f>
        <v>0</v>
      </c>
      <c r="M10" s="191"/>
      <c r="N10" s="204">
        <f>IF('_Datos'!$C10,'_Datos'!$BA10,"")</f>
      </c>
    </row>
    <row r="11">
      <c r="B11" s="204" t="str">
        <f>IF('_Datos'!$C11,'_Datos'!$O11,"")</f>
        <v>T011</v>
      </c>
      <c r="C11" s="205" t="str">
        <f>IF('_Datos'!$C11,'_Datos'!$F11,IF('_Datos'!$B11,'Proyecto Datos (OKR´s)'!$G11,""))</f>
        <v>Automatización Archivo Sueldos FATSA + Procedimientos</v>
      </c>
      <c r="D11" s="204" t="str">
        <f>IF('_Datos'!$C11,'_Datos'!$AO11,"")</f>
        <v>Quincenal</v>
      </c>
      <c r="E11" s="208">
        <f>IF('_Datos'!$C11,'_Datos'!$I11,IF('_Datos'!$B11,IFERROR(AVERAGEIF('_Datos'!$D$7:$D$200,'Proyecto Datos (OKR´s)'!$G11,'_Datos'!$I$7:$I$200),""),""))</f>
        <v>0.75</v>
      </c>
      <c r="F11" s="204">
        <f>IF('_Datos'!$C11,IF(ISNUMBER('_Datos'!$AR11),'_Datos'!$AR11,"(Sin fecha)"),"")</f>
        <v>1</v>
      </c>
      <c r="G11" s="204"/>
      <c r="H11" s="205"/>
      <c r="I11" s="204" t="str">
        <f>IF('_Datos'!$C11,IF(ISNUMBER('_Datos'!$AV11),'_Datos'!$AZ11,"(Sin fecha)"),"")</f>
        <v>Quincenal · S1</v>
      </c>
      <c r="J11" s="204"/>
      <c r="K11" s="205"/>
      <c r="L11" s="209">
        <f>IF('_Datos'!$C11,'_Datos'!$AX11,"")</f>
        <v>0</v>
      </c>
      <c r="M11" s="191"/>
      <c r="N11" s="204">
        <f>IF('_Datos'!$C11,'_Datos'!$BA11,"")</f>
      </c>
    </row>
    <row r="12">
      <c r="B12" s="204" t="str">
        <f>IF('_Datos'!$C12,'_Datos'!$O12,"")</f>
        <v>T012</v>
      </c>
      <c r="C12" s="205" t="str">
        <f>IF('_Datos'!$C12,'_Datos'!$F12,IF('_Datos'!$B12,'Proyecto Datos (OKR´s)'!$G12,""))</f>
        <v>Automatización Archivo Sueldos Petro + Procedimientos</v>
      </c>
      <c r="D12" s="204" t="str">
        <f>IF('_Datos'!$C12,'_Datos'!$AO12,"")</f>
        <v>Quincenal</v>
      </c>
      <c r="E12" s="208">
        <f>IF('_Datos'!$C12,'_Datos'!$I12,IF('_Datos'!$B12,IFERROR(AVERAGEIF('_Datos'!$D$7:$D$200,'Proyecto Datos (OKR´s)'!$G12,'_Datos'!$I$7:$I$200),""),""))</f>
        <v>0.75</v>
      </c>
      <c r="F12" s="204">
        <f>IF('_Datos'!$C12,IF(ISNUMBER('_Datos'!$AR12),'_Datos'!$AR12,"(Sin fecha)"),"")</f>
        <v>1</v>
      </c>
      <c r="G12" s="204"/>
      <c r="H12" s="205"/>
      <c r="I12" s="204" t="str">
        <f>IF('_Datos'!$C12,IF(ISNUMBER('_Datos'!$AV12),'_Datos'!$AZ12,"(Sin fecha)"),"")</f>
        <v>Quincenal · S1</v>
      </c>
      <c r="J12" s="204"/>
      <c r="K12" s="205"/>
      <c r="L12" s="209">
        <f>IF('_Datos'!$C12,'_Datos'!$AX12,"")</f>
        <v>0</v>
      </c>
      <c r="M12" s="191"/>
      <c r="N12" s="204">
        <f>IF('_Datos'!$C12,'_Datos'!$BA12,"")</f>
      </c>
    </row>
    <row r="13">
      <c r="B13" s="204" t="str">
        <f>IF('_Datos'!$C13,'_Datos'!$O13,"")</f>
        <v>T013</v>
      </c>
      <c r="C13" s="205" t="str">
        <f>IF('_Datos'!$C13,'_Datos'!$F13,IF('_Datos'!$B13,'Proyecto Datos (OKR´s)'!$G13,""))</f>
        <v>Relevamiento Últimos Sueldos de referencia Monotributistas</v>
      </c>
      <c r="D13" s="204" t="str">
        <f>IF('_Datos'!$C13,'_Datos'!$AO13,"")</f>
        <v>Quincenal</v>
      </c>
      <c r="E13" s="208">
        <f>IF('_Datos'!$C13,'_Datos'!$I13,IF('_Datos'!$B13,IFERROR(AVERAGEIF('_Datos'!$D$7:$D$200,'Proyecto Datos (OKR´s)'!$G13,'_Datos'!$I$7:$I$200),""),""))</f>
        <v>0.5</v>
      </c>
      <c r="F13" s="204">
        <f>IF('_Datos'!$C13,IF(ISNUMBER('_Datos'!$AR13),'_Datos'!$AR13,"(Sin fecha)"),"")</f>
        <v>1</v>
      </c>
      <c r="G13" s="204"/>
      <c r="H13" s="205"/>
      <c r="I13" s="204" t="str">
        <f>IF('_Datos'!$C13,IF(ISNUMBER('_Datos'!$AV13),'_Datos'!$AZ13,"(Sin fecha)"),"")</f>
        <v>Quincenal · S1</v>
      </c>
      <c r="J13" s="204"/>
      <c r="K13" s="205"/>
      <c r="L13" s="209">
        <f>IF('_Datos'!$C13,'_Datos'!$AX13,"")</f>
        <v>0</v>
      </c>
      <c r="M13" s="191"/>
      <c r="N13" s="204">
        <f>IF('_Datos'!$C13,'_Datos'!$BA13,"")</f>
      </c>
    </row>
    <row r="14">
      <c r="B14" s="204" t="str">
        <f>IF('_Datos'!$C14,'_Datos'!$O14,"")</f>
        <v>T014</v>
      </c>
      <c r="C14" s="205" t="str">
        <f>IF('_Datos'!$C14,'_Datos'!$F14,IF('_Datos'!$B14,'Proyecto Datos (OKR´s)'!$G14,""))</f>
        <v>Estandarización cotizaciones COMPRAS (costos x provincia) - aguardo información</v>
      </c>
      <c r="D14" s="204" t="str">
        <f>IF('_Datos'!$C14,'_Datos'!$AO14,"")</f>
        <v>Quincenal</v>
      </c>
      <c r="E14" s="208">
        <f>IF('_Datos'!$C14,'_Datos'!$I14,IF('_Datos'!$B14,IFERROR(AVERAGEIF('_Datos'!$D$7:$D$200,'Proyecto Datos (OKR´s)'!$G14,'_Datos'!$I$7:$I$200),""),""))</f>
        <v>0.2</v>
      </c>
      <c r="F14" s="204" t="str">
        <f>IF('_Datos'!$C14,IF(ISNUMBER('_Datos'!$AR14),'_Datos'!$AR14,"(Sin fecha)"),"")</f>
        <v>(Sin fecha)</v>
      </c>
      <c r="G14" s="204"/>
      <c r="H14" s="205"/>
      <c r="I14" s="204" t="str">
        <f>IF('_Datos'!$C14,IF(ISNUMBER('_Datos'!$AV14),'_Datos'!$AZ14,"(Sin fecha)"),"")</f>
        <v>(Sin fecha)</v>
      </c>
      <c r="J14" s="204"/>
      <c r="K14" s="205"/>
      <c r="L14" s="209">
        <f>IF('_Datos'!$C14,'_Datos'!$AX14,"")</f>
        <v>0</v>
      </c>
      <c r="M14" s="191"/>
      <c r="N14" s="204">
        <f>IF('_Datos'!$C14,'_Datos'!$BA14,"")</f>
      </c>
    </row>
    <row r="15">
      <c r="B15" s="204" t="str">
        <f>IF('_Datos'!$C15,'_Datos'!$O15,"")</f>
        <v>T015</v>
      </c>
      <c r="C15" s="205" t="str">
        <f>IF('_Datos'!$C15,'_Datos'!$F15,IF('_Datos'!$B15,'Proyecto Datos (OKR´s)'!$G15,""))</f>
        <v>Asociar Archivo Móviles y Tráilers (Nico Sifuentes) + procedimiento</v>
      </c>
      <c r="D15" s="204" t="str">
        <f>IF('_Datos'!$C15,'_Datos'!$AO15,"")</f>
        <v>Quincenal</v>
      </c>
      <c r="E15" s="208">
        <f>IF('_Datos'!$C15,'_Datos'!$I15,IF('_Datos'!$B15,IFERROR(AVERAGEIF('_Datos'!$D$7:$D$200,'Proyecto Datos (OKR´s)'!$G15,'_Datos'!$I$7:$I$200),""),""))</f>
        <v>0.95</v>
      </c>
      <c r="F15" s="204">
        <f>IF('_Datos'!$C15,IF(ISNUMBER('_Datos'!$AR15),'_Datos'!$AR15,"(Sin fecha)"),"")</f>
        <v>1</v>
      </c>
      <c r="G15" s="204"/>
      <c r="H15" s="205"/>
      <c r="I15" s="204" t="str">
        <f>IF('_Datos'!$C15,IF(ISNUMBER('_Datos'!$AV15),'_Datos'!$AZ15,"(Sin fecha)"),"")</f>
        <v>Quincenal · S1</v>
      </c>
      <c r="J15" s="204"/>
      <c r="K15" s="205"/>
      <c r="L15" s="209">
        <f>IF('_Datos'!$C15,'_Datos'!$AX15,"")</f>
        <v>0</v>
      </c>
      <c r="M15" s="191"/>
      <c r="N15" s="204">
        <f>IF('_Datos'!$C15,'_Datos'!$BA15,"")</f>
      </c>
    </row>
    <row r="16">
      <c r="B16" s="204" t="str">
        <f>IF('_Datos'!$C16,'_Datos'!$O16,"")</f>
        <v>T016</v>
      </c>
      <c r="C16" s="205" t="str">
        <f>IF('_Datos'!$C16,'_Datos'!$F16,IF('_Datos'!$B16,'Proyecto Datos (OKR´s)'!$G16,""))</f>
        <v>Asociar Archivo Masters de Medicación (Seba Oliver) + Capacitaciones + procedimiento</v>
      </c>
      <c r="D16" s="204" t="str">
        <f>IF('_Datos'!$C16,'_Datos'!$AO16,"")</f>
        <v>Quincenal</v>
      </c>
      <c r="E16" s="208">
        <f>IF('_Datos'!$C16,'_Datos'!$I16,IF('_Datos'!$B16,IFERROR(AVERAGEIF('_Datos'!$D$7:$D$200,'Proyecto Datos (OKR´s)'!$G16,'_Datos'!$I$7:$I$200),""),""))</f>
        <v>0.65</v>
      </c>
      <c r="F16" s="204">
        <f>IF('_Datos'!$C16,IF(ISNUMBER('_Datos'!$AR16),'_Datos'!$AR16,"(Sin fecha)"),"")</f>
        <v>1</v>
      </c>
      <c r="G16" s="204"/>
      <c r="H16" s="205"/>
      <c r="I16" s="204" t="str">
        <f>IF('_Datos'!$C16,IF(ISNUMBER('_Datos'!$AV16),'_Datos'!$AZ16,"(Sin fecha)"),"")</f>
        <v>Quincenal · S1</v>
      </c>
      <c r="J16" s="204"/>
      <c r="K16" s="205"/>
      <c r="L16" s="209">
        <f>IF('_Datos'!$C16,'_Datos'!$AX16,"")</f>
        <v>0</v>
      </c>
      <c r="M16" s="191"/>
      <c r="N16" s="204">
        <f>IF('_Datos'!$C16,'_Datos'!$BA16,"")</f>
      </c>
    </row>
    <row r="17">
      <c r="B17" s="204" t="str">
        <f>IF('_Datos'!$C17,'_Datos'!$O17,"")</f>
        <v>T017</v>
      </c>
      <c r="C17" s="205" t="str">
        <f>IF('_Datos'!$C17,'_Datos'!$F17,IF('_Datos'!$B17,'Proyecto Datos (OKR´s)'!$G17,""))</f>
        <v>Asociar Gastos de Estructura (% de incidencia)</v>
      </c>
      <c r="D17" s="204" t="str">
        <f>IF('_Datos'!$C17,'_Datos'!$AO17,"")</f>
        <v>Quincenal</v>
      </c>
      <c r="E17" s="208">
        <f>IF('_Datos'!$C17,'_Datos'!$I17,IF('_Datos'!$B17,IFERROR(AVERAGEIF('_Datos'!$D$7:$D$200,'Proyecto Datos (OKR´s)'!$G17,'_Datos'!$I$7:$I$200),""),""))</f>
        <v>0</v>
      </c>
      <c r="F17" s="204" t="str">
        <f>IF('_Datos'!$C17,IF(ISNUMBER('_Datos'!$AR17),'_Datos'!$AR17,"(Sin fecha)"),"")</f>
        <v>(Sin fecha)</v>
      </c>
      <c r="G17" s="204"/>
      <c r="H17" s="205"/>
      <c r="I17" s="204" t="str">
        <f>IF('_Datos'!$C17,IF(ISNUMBER('_Datos'!$AV17),'_Datos'!$AZ17,"(Sin fecha)"),"")</f>
        <v>(Sin fecha)</v>
      </c>
      <c r="J17" s="204"/>
      <c r="K17" s="205"/>
      <c r="L17" s="209">
        <f>IF('_Datos'!$C17,'_Datos'!$AX17,"")</f>
        <v>0</v>
      </c>
      <c r="M17" s="191"/>
      <c r="N17" s="204">
        <f>IF('_Datos'!$C17,'_Datos'!$BA17,"")</f>
      </c>
    </row>
    <row r="18">
      <c r="B18" s="204" t="str">
        <f>IF('_Datos'!$C18,'_Datos'!$O18,"")</f>
        <v>T018</v>
      </c>
      <c r="C18" s="205" t="str">
        <f>IF('_Datos'!$C18,'_Datos'!$F18,IF('_Datos'!$B18,'Proyecto Datos (OKR´s)'!$G18,""))</f>
        <v>Armado de solicitudes extra x Módulos (Ej: Med. Laboral)</v>
      </c>
      <c r="D18" s="204" t="str">
        <f>IF('_Datos'!$C18,'_Datos'!$AO18,"")</f>
        <v>Quincenal</v>
      </c>
      <c r="E18" s="208">
        <f>IF('_Datos'!$C18,'_Datos'!$I18,IF('_Datos'!$B18,IFERROR(AVERAGEIF('_Datos'!$D$7:$D$200,'Proyecto Datos (OKR´s)'!$G18,'_Datos'!$I$7:$I$200),""),""))</f>
        <v>0</v>
      </c>
      <c r="F18" s="204" t="str">
        <f>IF('_Datos'!$C18,IF(ISNUMBER('_Datos'!$AR18),'_Datos'!$AR18,"(Sin fecha)"),"")</f>
        <v>(Sin fecha)</v>
      </c>
      <c r="G18" s="204"/>
      <c r="H18" s="205"/>
      <c r="I18" s="204" t="str">
        <f>IF('_Datos'!$C18,IF(ISNUMBER('_Datos'!$AV18),'_Datos'!$AZ18,"(Sin fecha)"),"")</f>
        <v>(Sin fecha)</v>
      </c>
      <c r="J18" s="204"/>
      <c r="K18" s="205"/>
      <c r="L18" s="209">
        <f>IF('_Datos'!$C18,'_Datos'!$AX18,"")</f>
        <v>0</v>
      </c>
      <c r="M18" s="191"/>
      <c r="N18" s="204">
        <f>IF('_Datos'!$C18,'_Datos'!$BA18,"")</f>
      </c>
    </row>
    <row r="19">
      <c r="B19" s="204" t="str">
        <f>IF('_Datos'!$C19,'_Datos'!$O19,"")</f>
        <v>T019</v>
      </c>
      <c r="C19" s="205" t="str">
        <f>IF('_Datos'!$C19,'_Datos'!$F19,IF('_Datos'!$B19,'Proyecto Datos (OKR´s)'!$G19,""))</f>
        <v>Relevamiento área de IA -  Repositorio (GitHub o AWS S3) + Seguridad</v>
      </c>
      <c r="D19" s="204" t="str">
        <f>IF('_Datos'!$C19,'_Datos'!$AO19,"")</f>
        <v>Quincenal</v>
      </c>
      <c r="E19" s="208">
        <f>IF('_Datos'!$C19,'_Datos'!$I19,IF('_Datos'!$B19,IFERROR(AVERAGEIF('_Datos'!$D$7:$D$200,'Proyecto Datos (OKR´s)'!$G19,'_Datos'!$I$7:$I$200),""),""))</f>
        <v>1</v>
      </c>
      <c r="F19" s="204">
        <f>IF('_Datos'!$C19,IF(ISNUMBER('_Datos'!$AR19),'_Datos'!$AR19,"(Sin fecha)"),"")</f>
        <v>1</v>
      </c>
      <c r="G19" s="204"/>
      <c r="H19" s="205"/>
      <c r="I19" s="204" t="str">
        <f>IF('_Datos'!$C19,IF(ISNUMBER('_Datos'!$AV19),'_Datos'!$AZ19,"(Sin fecha)"),"")</f>
        <v>Quincenal · S1</v>
      </c>
      <c r="J19" s="204"/>
      <c r="K19" s="205"/>
      <c r="L19" s="209">
        <f>IF('_Datos'!$C19,'_Datos'!$AX19,"")</f>
        <v>0</v>
      </c>
      <c r="M19" s="191"/>
      <c r="N19" s="204">
        <f>IF('_Datos'!$C19,'_Datos'!$BA19,"")</f>
      </c>
    </row>
    <row r="20">
      <c r="B20" s="204" t="str">
        <f>IF('_Datos'!$C20,'_Datos'!$O20,"")</f>
        <v>T020</v>
      </c>
      <c r="C20" s="205" t="str">
        <f>IF('_Datos'!$C20,'_Datos'!$F20,IF('_Datos'!$B20,'Proyecto Datos (OKR´s)'!$G20,""))</f>
        <v>Crear Backend ETL - ver con Claude Code</v>
      </c>
      <c r="D20" s="204" t="str">
        <f>IF('_Datos'!$C20,'_Datos'!$AO20,"")</f>
        <v>Quincenal</v>
      </c>
      <c r="E20" s="208">
        <f>IF('_Datos'!$C20,'_Datos'!$I20,IF('_Datos'!$B20,IFERROR(AVERAGEIF('_Datos'!$D$7:$D$200,'Proyecto Datos (OKR´s)'!$G20,'_Datos'!$I$7:$I$200),""),""))</f>
        <v>0</v>
      </c>
      <c r="F20" s="204" t="str">
        <f>IF('_Datos'!$C20,IF(ISNUMBER('_Datos'!$AR20),'_Datos'!$AR20,"(Sin fecha)"),"")</f>
        <v>(Sin fecha)</v>
      </c>
      <c r="G20" s="204"/>
      <c r="H20" s="205"/>
      <c r="I20" s="204" t="str">
        <f>IF('_Datos'!$C20,IF(ISNUMBER('_Datos'!$AV20),'_Datos'!$AZ20,"(Sin fecha)"),"")</f>
        <v>(Sin fecha)</v>
      </c>
      <c r="J20" s="204"/>
      <c r="K20" s="205"/>
      <c r="L20" s="209">
        <f>IF('_Datos'!$C20,'_Datos'!$AX20,"")</f>
        <v>0</v>
      </c>
      <c r="M20" s="191"/>
      <c r="N20" s="204">
        <f>IF('_Datos'!$C20,'_Datos'!$BA20,"")</f>
      </c>
    </row>
    <row r="21">
      <c r="B21" s="204" t="str">
        <f>IF('_Datos'!$C21,'_Datos'!$O21,"")</f>
        <v>T021</v>
      </c>
      <c r="C21" s="205" t="str">
        <f>IF('_Datos'!$C21,'_Datos'!$F21,IF('_Datos'!$B21,'Proyecto Datos (OKR´s)'!$G21,""))</f>
        <v>Deployar (URL Web)</v>
      </c>
      <c r="D21" s="204" t="str">
        <f>IF('_Datos'!$C21,'_Datos'!$AO21,"")</f>
        <v>Quincenal</v>
      </c>
      <c r="E21" s="208">
        <f>IF('_Datos'!$C21,'_Datos'!$I21,IF('_Datos'!$B21,IFERROR(AVERAGEIF('_Datos'!$D$7:$D$200,'Proyecto Datos (OKR´s)'!$G21,'_Datos'!$I$7:$I$200),""),""))</f>
        <v>0</v>
      </c>
      <c r="F21" s="204" t="str">
        <f>IF('_Datos'!$C21,IF(ISNUMBER('_Datos'!$AR21),'_Datos'!$AR21,"(Sin fecha)"),"")</f>
        <v>(Sin fecha)</v>
      </c>
      <c r="G21" s="204"/>
      <c r="H21" s="205"/>
      <c r="I21" s="204" t="str">
        <f>IF('_Datos'!$C21,IF(ISNUMBER('_Datos'!$AV21),'_Datos'!$AZ21,"(Sin fecha)"),"")</f>
        <v>(Sin fecha)</v>
      </c>
      <c r="J21" s="204"/>
      <c r="K21" s="205"/>
      <c r="L21" s="209">
        <f>IF('_Datos'!$C21,'_Datos'!$AX21,"")</f>
        <v>0</v>
      </c>
      <c r="M21" s="191"/>
      <c r="N21" s="204">
        <f>IF('_Datos'!$C21,'_Datos'!$BA21,"")</f>
      </c>
    </row>
    <row r="22">
      <c r="B22" s="204">
        <f>IF('_Datos'!$C22,'_Datos'!$O22,"")</f>
      </c>
      <c r="C22" s="205" t="str">
        <f>IF('_Datos'!$C22,'_Datos'!$F22,IF('_Datos'!$B22,'Proyecto Datos (OKR´s)'!$G22,""))</f>
        <v>3- Tablero BI OPEX - Real vs BO</v>
      </c>
      <c r="D22" s="204">
        <f>IF('_Datos'!$C22,'_Datos'!$AO22,"")</f>
      </c>
      <c r="E22" s="208">
        <f>IF('_Datos'!$C22,'_Datos'!$I22,IF('_Datos'!$B22,IFERROR(AVERAGEIF('_Datos'!$D$7:$D$200,'Proyecto Datos (OKR´s)'!$G22,'_Datos'!$I$7:$I$200),""),""))</f>
        <v>0.9</v>
      </c>
      <c r="F22" s="204">
        <f>IF('_Datos'!$C22,IF(ISNUMBER('_Datos'!$AR22),'_Datos'!$AR22,"(Sin fecha)"),"")</f>
      </c>
      <c r="G22" s="204"/>
      <c r="H22" s="205"/>
      <c r="I22" s="204">
        <f>IF('_Datos'!$C22,IF(ISNUMBER('_Datos'!$AV22),'_Datos'!$AZ22,"(Sin fecha)"),"")</f>
      </c>
      <c r="J22" s="204"/>
      <c r="K22" s="205"/>
      <c r="L22" s="209">
        <f>IF('_Datos'!$C22,'_Datos'!$AX22,"")</f>
      </c>
      <c r="M22" s="191"/>
      <c r="N22" s="204">
        <f>IF('_Datos'!$C22,'_Datos'!$BA22,"")</f>
      </c>
    </row>
    <row r="23">
      <c r="B23" s="204" t="str">
        <f>IF('_Datos'!$C23,'_Datos'!$O23,"")</f>
        <v>T023</v>
      </c>
      <c r="C23" s="205" t="str">
        <f>IF('_Datos'!$C23,'_Datos'!$F23,IF('_Datos'!$B23,'Proyecto Datos (OKR´s)'!$G23,""))</f>
        <v>Armado de Procedimiento</v>
      </c>
      <c r="D23" s="204" t="str">
        <f>IF('_Datos'!$C23,'_Datos'!$AO23,"")</f>
        <v>Semanal</v>
      </c>
      <c r="E23" s="208">
        <f>IF('_Datos'!$C23,'_Datos'!$I23,IF('_Datos'!$B23,IFERROR(AVERAGEIF('_Datos'!$D$7:$D$200,'Proyecto Datos (OKR´s)'!$G23,'_Datos'!$I$7:$I$200),""),""))</f>
        <v>0.9</v>
      </c>
      <c r="F23" s="204">
        <f>IF('_Datos'!$C23,IF(ISNUMBER('_Datos'!$AR23),'_Datos'!$AR23,"(Sin fecha)"),"")</f>
        <v>1</v>
      </c>
      <c r="G23" s="204"/>
      <c r="H23" s="205"/>
      <c r="I23" s="204" t="str">
        <f>IF('_Datos'!$C23,IF(ISNUMBER('_Datos'!$AV23),'_Datos'!$AZ23,"(Sin fecha)"),"")</f>
        <v>Semanal · S2</v>
      </c>
      <c r="J23" s="204"/>
      <c r="K23" s="205"/>
      <c r="L23" s="209">
        <f>IF('_Datos'!$C23,'_Datos'!$AX23,"")</f>
        <v>2</v>
      </c>
      <c r="M23" s="191"/>
      <c r="N23" s="204">
        <f>IF('_Datos'!$C23,'_Datos'!$BA23,"")</f>
      </c>
    </row>
    <row r="24">
      <c r="B24" s="204" t="str">
        <f>IF('_Datos'!$C24,'_Datos'!$O24,"")</f>
        <v>T024</v>
      </c>
      <c r="C24" s="205" t="str">
        <f>IF('_Datos'!$C24,'_Datos'!$F24,IF('_Datos'!$B24,'Proyecto Datos (OKR´s)'!$G24,""))</f>
        <v>Revisión de Gráfico en cascada: por desvío y desagregación por categorías.</v>
      </c>
      <c r="D24" s="204" t="str">
        <f>IF('_Datos'!$C24,'_Datos'!$AO24,"")</f>
        <v>Semanal</v>
      </c>
      <c r="E24" s="208">
        <f>IF('_Datos'!$C24,'_Datos'!$I24,IF('_Datos'!$B24,IFERROR(AVERAGEIF('_Datos'!$D$7:$D$200,'Proyecto Datos (OKR´s)'!$G24,'_Datos'!$I$7:$I$200),""),""))</f>
        <v>0.9</v>
      </c>
      <c r="F24" s="204">
        <f>IF('_Datos'!$C24,IF(ISNUMBER('_Datos'!$AR24),'_Datos'!$AR24,"(Sin fecha)"),"")</f>
        <v>1</v>
      </c>
      <c r="G24" s="204"/>
      <c r="H24" s="205"/>
      <c r="I24" s="204" t="str">
        <f>IF('_Datos'!$C24,IF(ISNUMBER('_Datos'!$AV24),'_Datos'!$AZ24,"(Sin fecha)"),"")</f>
        <v>Semanal · S2</v>
      </c>
      <c r="J24" s="204"/>
      <c r="K24" s="205"/>
      <c r="L24" s="209">
        <f>IF('_Datos'!$C24,'_Datos'!$AX24,"")</f>
        <v>2</v>
      </c>
      <c r="M24" s="191"/>
      <c r="N24" s="204">
        <f>IF('_Datos'!$C24,'_Datos'!$BA24,"")</f>
      </c>
    </row>
    <row r="25">
      <c r="B25" s="204" t="str">
        <f>IF('_Datos'!$C25,'_Datos'!$O25,"")</f>
        <v>T025</v>
      </c>
      <c r="C25" s="205" t="str">
        <f>IF('_Datos'!$C25,'_Datos'!$F25,IF('_Datos'!$B25,'Proyecto Datos (OKR´s)'!$G25,""))</f>
        <v>Revisión de viabilidad de incorporación datos Redash (input ZReal con clasificaciones automaticas por CECO - Directas e Indirectas)</v>
      </c>
      <c r="D25" s="204" t="str">
        <f>IF('_Datos'!$C25,'_Datos'!$AO25,"")</f>
        <v>Semanal</v>
      </c>
      <c r="E25" s="208">
        <f>IF('_Datos'!$C25,'_Datos'!$I25,IF('_Datos'!$B25,IFERROR(AVERAGEIF('_Datos'!$D$7:$D$200,'Proyecto Datos (OKR´s)'!$G25,'_Datos'!$I$7:$I$200),""),""))</f>
        <v>0.9</v>
      </c>
      <c r="F25" s="204">
        <f>IF('_Datos'!$C25,IF(ISNUMBER('_Datos'!$AR25),'_Datos'!$AR25,"(Sin fecha)"),"")</f>
        <v>1</v>
      </c>
      <c r="G25" s="204"/>
      <c r="H25" s="205"/>
      <c r="I25" s="204" t="str">
        <f>IF('_Datos'!$C25,IF(ISNUMBER('_Datos'!$AV25),'_Datos'!$AZ25,"(Sin fecha)"),"")</f>
        <v>Semanal · S2</v>
      </c>
      <c r="J25" s="204"/>
      <c r="K25" s="205"/>
      <c r="L25" s="209">
        <f>IF('_Datos'!$C25,'_Datos'!$AX25,"")</f>
        <v>2</v>
      </c>
      <c r="M25" s="191"/>
      <c r="N25" s="204">
        <f>IF('_Datos'!$C25,'_Datos'!$BA25,"")</f>
      </c>
    </row>
    <row r="26">
      <c r="B26" s="204">
        <f>IF('_Datos'!$C26,'_Datos'!$O26,"")</f>
      </c>
      <c r="C26" s="205">
        <f>IF('_Datos'!$C26,'_Datos'!$F26,IF('_Datos'!$B26,'Proyecto Datos (OKR´s)'!$G26,""))</f>
      </c>
      <c r="D26" s="204">
        <f>IF('_Datos'!$C26,'_Datos'!$AO26,"")</f>
      </c>
      <c r="E26" s="208">
        <f>IF('_Datos'!$C26,'_Datos'!$I26,IF('_Datos'!$B26,IFERROR(AVERAGEIF('_Datos'!$D$7:$D$200,'Proyecto Datos (OKR´s)'!$G26,'_Datos'!$I$7:$I$200),""),""))</f>
      </c>
      <c r="F26" s="204">
        <f>IF('_Datos'!$C26,IF(ISNUMBER('_Datos'!$AR26),'_Datos'!$AR26,"(Sin fecha)"),"")</f>
      </c>
      <c r="G26" s="204"/>
      <c r="H26" s="205"/>
      <c r="I26" s="204">
        <f>IF('_Datos'!$C26,IF(ISNUMBER('_Datos'!$AV26),'_Datos'!$AZ26,"(Sin fecha)"),"")</f>
      </c>
      <c r="J26" s="204"/>
      <c r="K26" s="205"/>
      <c r="L26" s="209">
        <f>IF('_Datos'!$C26,'_Datos'!$AX26,"")</f>
      </c>
      <c r="M26" s="191"/>
      <c r="N26" s="204">
        <f>IF('_Datos'!$C26,'_Datos'!$BA26,"")</f>
      </c>
    </row>
    <row r="27">
      <c r="B27" s="204">
        <f>IF('_Datos'!$C27,'_Datos'!$O27,"")</f>
      </c>
      <c r="C27" s="205" t="str">
        <f>IF('_Datos'!$C27,'_Datos'!$F27,IF('_Datos'!$B27,'Proyecto Datos (OKR´s)'!$G27,""))</f>
        <v>4- Tablero BI DEUDA</v>
      </c>
      <c r="D27" s="204">
        <f>IF('_Datos'!$C27,'_Datos'!$AO27,"")</f>
      </c>
      <c r="E27" s="208">
        <f>IF('_Datos'!$C27,'_Datos'!$I27,IF('_Datos'!$B27,IFERROR(AVERAGEIF('_Datos'!$D$7:$D$200,'Proyecto Datos (OKR´s)'!$G27,'_Datos'!$I$7:$I$200),""),""))</f>
        <v>0.7250000000000001</v>
      </c>
      <c r="F27" s="204">
        <f>IF('_Datos'!$C27,IF(ISNUMBER('_Datos'!$AR27),'_Datos'!$AR27,"(Sin fecha)"),"")</f>
      </c>
      <c r="G27" s="204"/>
      <c r="H27" s="205"/>
      <c r="I27" s="204">
        <f>IF('_Datos'!$C27,IF(ISNUMBER('_Datos'!$AV27),'_Datos'!$AZ27,"(Sin fecha)"),"")</f>
      </c>
      <c r="J27" s="204"/>
      <c r="K27" s="205"/>
      <c r="L27" s="209">
        <f>IF('_Datos'!$C27,'_Datos'!$AX27,"")</f>
      </c>
      <c r="M27" s="191"/>
      <c r="N27" s="204">
        <f>IF('_Datos'!$C27,'_Datos'!$BA27,"")</f>
      </c>
    </row>
    <row r="28">
      <c r="B28" s="204" t="str">
        <f>IF('_Datos'!$C28,'_Datos'!$O28,"")</f>
        <v>T028</v>
      </c>
      <c r="C28" s="205" t="str">
        <f>IF('_Datos'!$C28,'_Datos'!$F28,IF('_Datos'!$B28,'Proyecto Datos (OKR´s)'!$G28,""))</f>
        <v>Procedimiento</v>
      </c>
      <c r="D28" s="204" t="str">
        <f>IF('_Datos'!$C28,'_Datos'!$AO28,"")</f>
        <v>Semanal</v>
      </c>
      <c r="E28" s="208">
        <f>IF('_Datos'!$C28,'_Datos'!$I28,IF('_Datos'!$B28,IFERROR(AVERAGEIF('_Datos'!$D$7:$D$200,'Proyecto Datos (OKR´s)'!$G28,'_Datos'!$I$7:$I$200),""),""))</f>
        <v>0.9</v>
      </c>
      <c r="F28" s="204">
        <f>IF('_Datos'!$C28,IF(ISNUMBER('_Datos'!$AR28),'_Datos'!$AR28,"(Sin fecha)"),"")</f>
        <v>1</v>
      </c>
      <c r="G28" s="204"/>
      <c r="H28" s="205"/>
      <c r="I28" s="204" t="str">
        <f>IF('_Datos'!$C28,IF(ISNUMBER('_Datos'!$AV28),'_Datos'!$AZ28,"(Sin fecha)"),"")</f>
        <v>Semanal · S2</v>
      </c>
      <c r="J28" s="204"/>
      <c r="K28" s="205"/>
      <c r="L28" s="209">
        <f>IF('_Datos'!$C28,'_Datos'!$AX28,"")</f>
        <v>2</v>
      </c>
      <c r="M28" s="191"/>
      <c r="N28" s="204">
        <f>IF('_Datos'!$C28,'_Datos'!$BA28,"")</f>
      </c>
    </row>
    <row r="29">
      <c r="B29" s="204" t="str">
        <f>IF('_Datos'!$C29,'_Datos'!$O29,"")</f>
        <v>T029</v>
      </c>
      <c r="C29" s="205" t="str">
        <f>IF('_Datos'!$C29,'_Datos'!$F29,IF('_Datos'!$B29,'Proyecto Datos (OKR´s)'!$G29,""))</f>
        <v>Aging - desde SharePoint</v>
      </c>
      <c r="D29" s="204" t="str">
        <f>IF('_Datos'!$C29,'_Datos'!$AO29,"")</f>
        <v>Semanal</v>
      </c>
      <c r="E29" s="208">
        <f>IF('_Datos'!$C29,'_Datos'!$I29,IF('_Datos'!$B29,IFERROR(AVERAGEIF('_Datos'!$D$7:$D$200,'Proyecto Datos (OKR´s)'!$G29,'_Datos'!$I$7:$I$200),""),""))</f>
        <v>0.9</v>
      </c>
      <c r="F29" s="204">
        <f>IF('_Datos'!$C29,IF(ISNUMBER('_Datos'!$AR29),'_Datos'!$AR29,"(Sin fecha)"),"")</f>
        <v>1</v>
      </c>
      <c r="G29" s="204"/>
      <c r="H29" s="205"/>
      <c r="I29" s="204" t="str">
        <f>IF('_Datos'!$C29,IF(ISNUMBER('_Datos'!$AV29),'_Datos'!$AZ29,"(Sin fecha)"),"")</f>
        <v>Semanal · S2</v>
      </c>
      <c r="J29" s="204"/>
      <c r="K29" s="205"/>
      <c r="L29" s="209">
        <f>IF('_Datos'!$C29,'_Datos'!$AX29,"")</f>
        <v>2</v>
      </c>
      <c r="M29" s="191"/>
      <c r="N29" s="204">
        <f>IF('_Datos'!$C29,'_Datos'!$BA29,"")</f>
      </c>
    </row>
    <row r="30">
      <c r="B30" s="204" t="str">
        <f>IF('_Datos'!$C30,'_Datos'!$O30,"")</f>
        <v>T030</v>
      </c>
      <c r="C30" s="205" t="str">
        <f>IF('_Datos'!$C30,'_Datos'!$F30,IF('_Datos'!$B30,'Proyecto Datos (OKR´s)'!$G30,""))</f>
        <v>Dias en Calle - desde SharePoint</v>
      </c>
      <c r="D30" s="204" t="str">
        <f>IF('_Datos'!$C30,'_Datos'!$AO30,"")</f>
        <v>Semanal</v>
      </c>
      <c r="E30" s="208">
        <f>IF('_Datos'!$C30,'_Datos'!$I30,IF('_Datos'!$B30,IFERROR(AVERAGEIF('_Datos'!$D$7:$D$200,'Proyecto Datos (OKR´s)'!$G30,'_Datos'!$I$7:$I$200),""),""))</f>
        <v>0.9</v>
      </c>
      <c r="F30" s="204">
        <f>IF('_Datos'!$C30,IF(ISNUMBER('_Datos'!$AR30),'_Datos'!$AR30,"(Sin fecha)"),"")</f>
        <v>1</v>
      </c>
      <c r="G30" s="204"/>
      <c r="H30" s="205"/>
      <c r="I30" s="204" t="str">
        <f>IF('_Datos'!$C30,IF(ISNUMBER('_Datos'!$AV30),'_Datos'!$AZ30,"(Sin fecha)"),"")</f>
        <v>Semanal · S2</v>
      </c>
      <c r="J30" s="204"/>
      <c r="K30" s="205"/>
      <c r="L30" s="209">
        <f>IF('_Datos'!$C30,'_Datos'!$AX30,"")</f>
        <v>2</v>
      </c>
      <c r="M30" s="191"/>
      <c r="N30" s="204">
        <f>IF('_Datos'!$C30,'_Datos'!$BA30,"")</f>
      </c>
    </row>
    <row r="31">
      <c r="B31" s="204" t="str">
        <f>IF('_Datos'!$C31,'_Datos'!$O31,"")</f>
        <v>T031</v>
      </c>
      <c r="C31" s="205" t="str">
        <f>IF('_Datos'!$C31,'_Datos'!$F31,IF('_Datos'!$B31,'Proyecto Datos (OKR´s)'!$G31,""))</f>
        <v>Input de datos desde Provisión mensual</v>
      </c>
      <c r="D31" s="204" t="str">
        <f>IF('_Datos'!$C31,'_Datos'!$AO31,"")</f>
        <v>Semanal</v>
      </c>
      <c r="E31" s="208">
        <f>IF('_Datos'!$C31,'_Datos'!$I31,IF('_Datos'!$B31,IFERROR(AVERAGEIF('_Datos'!$D$7:$D$200,'Proyecto Datos (OKR´s)'!$G31,'_Datos'!$I$7:$I$200),""),""))</f>
        <v>0.9</v>
      </c>
      <c r="F31" s="204">
        <f>IF('_Datos'!$C31,IF(ISNUMBER('_Datos'!$AR31),'_Datos'!$AR31,"(Sin fecha)"),"")</f>
        <v>1</v>
      </c>
      <c r="G31" s="204"/>
      <c r="H31" s="205"/>
      <c r="I31" s="204" t="str">
        <f>IF('_Datos'!$C31,IF(ISNUMBER('_Datos'!$AV31),'_Datos'!$AZ31,"(Sin fecha)"),"")</f>
        <v>Semanal · S2</v>
      </c>
      <c r="J31" s="204"/>
      <c r="K31" s="205"/>
      <c r="L31" s="209">
        <f>IF('_Datos'!$C31,'_Datos'!$AX31,"")</f>
        <v>2</v>
      </c>
      <c r="M31" s="191"/>
      <c r="N31" s="204">
        <f>IF('_Datos'!$C31,'_Datos'!$BA31,"")</f>
      </c>
    </row>
    <row r="32">
      <c r="B32" s="204" t="str">
        <f>IF('_Datos'!$C32,'_Datos'!$O32,"")</f>
        <v>T032</v>
      </c>
      <c r="C32" s="205" t="str">
        <f>IF('_Datos'!$C32,'_Datos'!$F32,IF('_Datos'!$B32,'Proyecto Datos (OKR´s)'!$G32,""))</f>
        <v>Analizar viabilidad de input Redash: Importe Provisionado (Datalake --&gt; Clik Sense)</v>
      </c>
      <c r="D32" s="204" t="str">
        <f>IF('_Datos'!$C32,'_Datos'!$AO32,"")</f>
        <v>Semanal</v>
      </c>
      <c r="E32" s="208">
        <f>IF('_Datos'!$C32,'_Datos'!$I32,IF('_Datos'!$B32,IFERROR(AVERAGEIF('_Datos'!$D$7:$D$200,'Proyecto Datos (OKR´s)'!$G32,'_Datos'!$I$7:$I$200),""),""))</f>
        <v>0.6</v>
      </c>
      <c r="F32" s="204" t="str">
        <f>IF('_Datos'!$C32,IF(ISNUMBER('_Datos'!$AR32),'_Datos'!$AR32,"(Sin fecha)"),"")</f>
        <v>(Sin fecha)</v>
      </c>
      <c r="G32" s="204"/>
      <c r="H32" s="205"/>
      <c r="I32" s="204" t="str">
        <f>IF('_Datos'!$C32,IF(ISNUMBER('_Datos'!$AV32),'_Datos'!$AZ32,"(Sin fecha)"),"")</f>
        <v>(Sin fecha)</v>
      </c>
      <c r="J32" s="204"/>
      <c r="K32" s="205"/>
      <c r="L32" s="209">
        <f>IF('_Datos'!$C32,'_Datos'!$AX32,"")</f>
        <v>0</v>
      </c>
      <c r="M32" s="191"/>
      <c r="N32" s="204">
        <f>IF('_Datos'!$C32,'_Datos'!$BA32,"")</f>
      </c>
    </row>
    <row r="33">
      <c r="B33" s="204" t="str">
        <f>IF('_Datos'!$C33,'_Datos'!$O33,"")</f>
        <v>T033</v>
      </c>
      <c r="C33" s="205" t="str">
        <f>IF('_Datos'!$C33,'_Datos'!$F33,IF('_Datos'!$B33,'Proyecto Datos (OKR´s)'!$G33,""))</f>
        <v>Analizar viabilidad de input Redash: Importe Facturado (Datalake --&gt; Clik Sense "Venta Bruta")</v>
      </c>
      <c r="D33" s="204" t="str">
        <f>IF('_Datos'!$C33,'_Datos'!$AO33,"")</f>
        <v>Semanal</v>
      </c>
      <c r="E33" s="208">
        <f>IF('_Datos'!$C33,'_Datos'!$I33,IF('_Datos'!$B33,IFERROR(AVERAGEIF('_Datos'!$D$7:$D$200,'Proyecto Datos (OKR´s)'!$G33,'_Datos'!$I$7:$I$200),""),""))</f>
        <v>0.6</v>
      </c>
      <c r="F33" s="204" t="str">
        <f>IF('_Datos'!$C33,IF(ISNUMBER('_Datos'!$AR33),'_Datos'!$AR33,"(Sin fecha)"),"")</f>
        <v>(Sin fecha)</v>
      </c>
      <c r="G33" s="204"/>
      <c r="H33" s="205"/>
      <c r="I33" s="204" t="str">
        <f>IF('_Datos'!$C33,IF(ISNUMBER('_Datos'!$AV33),'_Datos'!$AZ33,"(Sin fecha)"),"")</f>
        <v>(Sin fecha)</v>
      </c>
      <c r="J33" s="204"/>
      <c r="K33" s="205"/>
      <c r="L33" s="209">
        <f>IF('_Datos'!$C33,'_Datos'!$AX33,"")</f>
        <v>0</v>
      </c>
      <c r="M33" s="191"/>
      <c r="N33" s="204">
        <f>IF('_Datos'!$C33,'_Datos'!$BA33,"")</f>
      </c>
    </row>
    <row r="34">
      <c r="B34" s="204" t="str">
        <f>IF('_Datos'!$C34,'_Datos'!$O34,"")</f>
        <v>T034</v>
      </c>
      <c r="C34" s="205" t="str">
        <f>IF('_Datos'!$C34,'_Datos'!$F34,IF('_Datos'!$B34,'Proyecto Datos (OKR´s)'!$G34,""))</f>
        <v>Creación detalle deuda Vista - Replicar Excel Deuda</v>
      </c>
      <c r="D34" s="204" t="str">
        <f>IF('_Datos'!$C34,'_Datos'!$AO34,"")</f>
        <v>Semanal</v>
      </c>
      <c r="E34" s="208">
        <f>IF('_Datos'!$C34,'_Datos'!$I34,IF('_Datos'!$B34,IFERROR(AVERAGEIF('_Datos'!$D$7:$D$200,'Proyecto Datos (OKR´s)'!$G34,'_Datos'!$I$7:$I$200),""),""))</f>
        <v>0.5</v>
      </c>
      <c r="F34" s="204" t="str">
        <f>IF('_Datos'!$C34,IF(ISNUMBER('_Datos'!$AR34),'_Datos'!$AR34,"(Sin fecha)"),"")</f>
        <v>(Sin fecha)</v>
      </c>
      <c r="G34" s="204"/>
      <c r="H34" s="205"/>
      <c r="I34" s="204" t="str">
        <f>IF('_Datos'!$C34,IF(ISNUMBER('_Datos'!$AV34),'_Datos'!$AZ34,"(Sin fecha)"),"")</f>
        <v>(Sin fecha)</v>
      </c>
      <c r="J34" s="204"/>
      <c r="K34" s="205"/>
      <c r="L34" s="209">
        <f>IF('_Datos'!$C34,'_Datos'!$AX34,"")</f>
        <v>0</v>
      </c>
      <c r="M34" s="191"/>
      <c r="N34" s="204">
        <f>IF('_Datos'!$C34,'_Datos'!$BA34,"")</f>
      </c>
    </row>
    <row r="35">
      <c r="B35" s="204" t="str">
        <f>IF('_Datos'!$C35,'_Datos'!$O35,"")</f>
        <v>T035</v>
      </c>
      <c r="C35" s="205" t="str">
        <f>IF('_Datos'!$C35,'_Datos'!$F35,IF('_Datos'!$B35,'Proyecto Datos (OKR´s)'!$G35,""))</f>
        <v>Creación detalle deuda YPF (ídem Excel)</v>
      </c>
      <c r="D35" s="204" t="str">
        <f>IF('_Datos'!$C35,'_Datos'!$AO35,"")</f>
        <v>Semanal</v>
      </c>
      <c r="E35" s="208">
        <f>IF('_Datos'!$C35,'_Datos'!$I35,IF('_Datos'!$B35,IFERROR(AVERAGEIF('_Datos'!$D$7:$D$200,'Proyecto Datos (OKR´s)'!$G35,'_Datos'!$I$7:$I$200),""),""))</f>
        <v>0.5</v>
      </c>
      <c r="F35" s="204" t="str">
        <f>IF('_Datos'!$C35,IF(ISNUMBER('_Datos'!$AR35),'_Datos'!$AR35,"(Sin fecha)"),"")</f>
        <v>(Sin fecha)</v>
      </c>
      <c r="G35" s="204"/>
      <c r="H35" s="205"/>
      <c r="I35" s="204" t="str">
        <f>IF('_Datos'!$C35,IF(ISNUMBER('_Datos'!$AV35),'_Datos'!$AZ35,"(Sin fecha)"),"")</f>
        <v>(Sin fecha)</v>
      </c>
      <c r="J35" s="204"/>
      <c r="K35" s="205"/>
      <c r="L35" s="209">
        <f>IF('_Datos'!$C35,'_Datos'!$AX35,"")</f>
        <v>0</v>
      </c>
      <c r="M35" s="191"/>
      <c r="N35" s="204">
        <f>IF('_Datos'!$C35,'_Datos'!$BA35,"")</f>
      </c>
    </row>
    <row r="36">
      <c r="B36" s="204">
        <f>IF('_Datos'!$C36,'_Datos'!$O36,"")</f>
      </c>
      <c r="C36" s="205" t="str">
        <f>IF('_Datos'!$C36,'_Datos'!$F36,IF('_Datos'!$B36,'Proyecto Datos (OKR´s)'!$G36,""))</f>
        <v>5- Tablero Control General - Op. Complejas</v>
      </c>
      <c r="D36" s="204">
        <f>IF('_Datos'!$C36,'_Datos'!$AO36,"")</f>
      </c>
      <c r="E36" s="208">
        <f>IF('_Datos'!$C36,'_Datos'!$I36,IF('_Datos'!$B36,IFERROR(AVERAGEIF('_Datos'!$D$7:$D$200,'Proyecto Datos (OKR´s)'!$G36,'_Datos'!$I$7:$I$200),""),""))</f>
        <v>0.4318181818181818</v>
      </c>
      <c r="F36" s="204">
        <f>IF('_Datos'!$C36,IF(ISNUMBER('_Datos'!$AR36),'_Datos'!$AR36,"(Sin fecha)"),"")</f>
      </c>
      <c r="G36" s="204"/>
      <c r="H36" s="205"/>
      <c r="I36" s="204">
        <f>IF('_Datos'!$C36,IF(ISNUMBER('_Datos'!$AV36),'_Datos'!$AZ36,"(Sin fecha)"),"")</f>
      </c>
      <c r="J36" s="204"/>
      <c r="K36" s="205"/>
      <c r="L36" s="209">
        <f>IF('_Datos'!$C36,'_Datos'!$AX36,"")</f>
      </c>
      <c r="M36" s="191"/>
      <c r="N36" s="204">
        <f>IF('_Datos'!$C36,'_Datos'!$BA36,"")</f>
      </c>
    </row>
    <row r="37">
      <c r="B37" s="204" t="str">
        <f>IF('_Datos'!$C37,'_Datos'!$O37,"")</f>
        <v>T037</v>
      </c>
      <c r="C37" s="205" t="str">
        <f>IF('_Datos'!$C37,'_Datos'!$F37,IF('_Datos'!$B37,'Proyecto Datos (OKR´s)'!$G37,""))</f>
        <v>Planilla Activos Unificados - Estandarizar + Procedimiento</v>
      </c>
      <c r="D37" s="204" t="str">
        <f>IF('_Datos'!$C37,'_Datos'!$AO37,"")</f>
        <v>Semanal</v>
      </c>
      <c r="E37" s="208">
        <f>IF('_Datos'!$C37,'_Datos'!$I37,IF('_Datos'!$B37,IFERROR(AVERAGEIF('_Datos'!$D$7:$D$200,'Proyecto Datos (OKR´s)'!$G37,'_Datos'!$I$7:$I$200),""),""))</f>
        <v>0.2</v>
      </c>
      <c r="F37" s="204">
        <f>IF('_Datos'!$C37,IF(ISNUMBER('_Datos'!$AR37),'_Datos'!$AR37,"(Sin fecha)"),"")</f>
        <v>1</v>
      </c>
      <c r="G37" s="204"/>
      <c r="H37" s="205"/>
      <c r="I37" s="204" t="str">
        <f>IF('_Datos'!$C37,IF(ISNUMBER('_Datos'!$AV37),'_Datos'!$AZ37,"(Sin fecha)"),"")</f>
        <v>Semanal · S2</v>
      </c>
      <c r="J37" s="204"/>
      <c r="K37" s="205"/>
      <c r="L37" s="209">
        <f>IF('_Datos'!$C37,'_Datos'!$AX37,"")</f>
        <v>2</v>
      </c>
      <c r="M37" s="191"/>
      <c r="N37" s="204">
        <f>IF('_Datos'!$C37,'_Datos'!$BA37,"")</f>
      </c>
    </row>
    <row r="38">
      <c r="B38" s="204" t="str">
        <f>IF('_Datos'!$C38,'_Datos'!$O38,"")</f>
        <v>T038</v>
      </c>
      <c r="C38" s="205" t="str">
        <f>IF('_Datos'!$C38,'_Datos'!$F38,IF('_Datos'!$B38,'Proyecto Datos (OKR´s)'!$G38,""))</f>
        <v>Planilla DTM Estandarizada+ Procedimiento</v>
      </c>
      <c r="D38" s="204" t="str">
        <f>IF('_Datos'!$C38,'_Datos'!$AO38,"")</f>
        <v>Semanal</v>
      </c>
      <c r="E38" s="208">
        <f>IF('_Datos'!$C38,'_Datos'!$I38,IF('_Datos'!$B38,IFERROR(AVERAGEIF('_Datos'!$D$7:$D$200,'Proyecto Datos (OKR´s)'!$G38,'_Datos'!$I$7:$I$200),""),""))</f>
        <v>0.9</v>
      </c>
      <c r="F38" s="204">
        <f>IF('_Datos'!$C38,IF(ISNUMBER('_Datos'!$AR38),'_Datos'!$AR38,"(Sin fecha)"),"")</f>
        <v>1</v>
      </c>
      <c r="G38" s="204"/>
      <c r="H38" s="205"/>
      <c r="I38" s="204" t="str">
        <f>IF('_Datos'!$C38,IF(ISNUMBER('_Datos'!$AV38),'_Datos'!$AZ38,"(Sin fecha)"),"")</f>
        <v>Semanal · S2</v>
      </c>
      <c r="J38" s="204"/>
      <c r="K38" s="205"/>
      <c r="L38" s="209">
        <f>IF('_Datos'!$C38,'_Datos'!$AX38,"")</f>
        <v>2</v>
      </c>
      <c r="M38" s="191"/>
      <c r="N38" s="204">
        <f>IF('_Datos'!$C38,'_Datos'!$BA38,"")</f>
      </c>
    </row>
    <row r="39">
      <c r="B39" s="204" t="str">
        <f>IF('_Datos'!$C39,'_Datos'!$O39,"")</f>
        <v>T039</v>
      </c>
      <c r="C39" s="205" t="str">
        <f>IF('_Datos'!$C39,'_Datos'!$F39,IF('_Datos'!$B39,'Proyecto Datos (OKR´s)'!$G39,""))</f>
        <v>Planilla Aeroevaciaciones + Procedimiento</v>
      </c>
      <c r="D39" s="204" t="str">
        <f>IF('_Datos'!$C39,'_Datos'!$AO39,"")</f>
        <v>Semanal</v>
      </c>
      <c r="E39" s="208">
        <f>IF('_Datos'!$C39,'_Datos'!$I39,IF('_Datos'!$B39,IFERROR(AVERAGEIF('_Datos'!$D$7:$D$200,'Proyecto Datos (OKR´s)'!$G39,'_Datos'!$I$7:$I$200),""),""))</f>
        <v>0.95</v>
      </c>
      <c r="F39" s="204">
        <f>IF('_Datos'!$C39,IF(ISNUMBER('_Datos'!$AR39),'_Datos'!$AR39,"(Sin fecha)"),"")</f>
        <v>1</v>
      </c>
      <c r="G39" s="204"/>
      <c r="H39" s="205"/>
      <c r="I39" s="204" t="str">
        <f>IF('_Datos'!$C39,IF(ISNUMBER('_Datos'!$AV39),'_Datos'!$AZ39,"(Sin fecha)"),"")</f>
        <v>Semanal · S2</v>
      </c>
      <c r="J39" s="204"/>
      <c r="K39" s="205"/>
      <c r="L39" s="209">
        <f>IF('_Datos'!$C39,'_Datos'!$AX39,"")</f>
        <v>2</v>
      </c>
      <c r="M39" s="191"/>
      <c r="N39" s="204">
        <f>IF('_Datos'!$C39,'_Datos'!$BA39,"")</f>
      </c>
    </row>
    <row r="40">
      <c r="B40" s="204" t="str">
        <f>IF('_Datos'!$C40,'_Datos'!$O40,"")</f>
        <v>T040</v>
      </c>
      <c r="C40" s="205" t="str">
        <f>IF('_Datos'!$C40,'_Datos'!$F40,IF('_Datos'!$B40,'Proyecto Datos (OKR´s)'!$G40,""))</f>
        <v>Resumen Clientes Petróleo</v>
      </c>
      <c r="D40" s="204" t="str">
        <f>IF('_Datos'!$C40,'_Datos'!$AO40,"")</f>
        <v>Semanal</v>
      </c>
      <c r="E40" s="208">
        <f>IF('_Datos'!$C40,'_Datos'!$I40,IF('_Datos'!$B40,IFERROR(AVERAGEIF('_Datos'!$D$7:$D$200,'Proyecto Datos (OKR´s)'!$G40,'_Datos'!$I$7:$I$200),""),""))</f>
        <v>0.7</v>
      </c>
      <c r="F40" s="204">
        <f>IF('_Datos'!$C40,IF(ISNUMBER('_Datos'!$AR40),'_Datos'!$AR40,"(Sin fecha)"),"")</f>
        <v>1</v>
      </c>
      <c r="G40" s="204"/>
      <c r="H40" s="205"/>
      <c r="I40" s="204" t="str">
        <f>IF('_Datos'!$C40,IF(ISNUMBER('_Datos'!$AV40),'_Datos'!$AZ40,"(Sin fecha)"),"")</f>
        <v>Semanal · S2</v>
      </c>
      <c r="J40" s="204"/>
      <c r="K40" s="205"/>
      <c r="L40" s="209">
        <f>IF('_Datos'!$C40,'_Datos'!$AX40,"")</f>
        <v>2</v>
      </c>
      <c r="M40" s="191"/>
      <c r="N40" s="204">
        <f>IF('_Datos'!$C40,'_Datos'!$BA40,"")</f>
      </c>
    </row>
    <row r="41">
      <c r="B41" s="204" t="str">
        <f>IF('_Datos'!$C41,'_Datos'!$O41,"")</f>
        <v>T041</v>
      </c>
      <c r="C41" s="205" t="str">
        <f>IF('_Datos'!$C41,'_Datos'!$F41,IF('_Datos'!$B41,'Proyecto Datos (OKR´s)'!$G41,""))</f>
        <v>Resumen Clientes Minería</v>
      </c>
      <c r="D41" s="204" t="str">
        <f>IF('_Datos'!$C41,'_Datos'!$AO41,"")</f>
        <v>Semanal</v>
      </c>
      <c r="E41" s="208">
        <f>IF('_Datos'!$C41,'_Datos'!$I41,IF('_Datos'!$B41,IFERROR(AVERAGEIF('_Datos'!$D$7:$D$200,'Proyecto Datos (OKR´s)'!$G41,'_Datos'!$I$7:$I$200),""),""))</f>
        <v>0.5</v>
      </c>
      <c r="F41" s="204">
        <f>IF('_Datos'!$C41,IF(ISNUMBER('_Datos'!$AR41),'_Datos'!$AR41,"(Sin fecha)"),"")</f>
        <v>1</v>
      </c>
      <c r="G41" s="204"/>
      <c r="H41" s="205"/>
      <c r="I41" s="204" t="str">
        <f>IF('_Datos'!$C41,IF(ISNUMBER('_Datos'!$AV41),'_Datos'!$AZ41,"(Sin fecha)"),"")</f>
        <v>Semanal · S2</v>
      </c>
      <c r="J41" s="204"/>
      <c r="K41" s="205"/>
      <c r="L41" s="209">
        <f>IF('_Datos'!$C41,'_Datos'!$AX41,"")</f>
        <v>2</v>
      </c>
      <c r="M41" s="191"/>
      <c r="N41" s="204">
        <f>IF('_Datos'!$C41,'_Datos'!$BA41,"")</f>
      </c>
    </row>
    <row r="42">
      <c r="B42" s="204" t="str">
        <f>IF('_Datos'!$C42,'_Datos'!$O42,"")</f>
        <v>T042</v>
      </c>
      <c r="C42" s="205" t="str">
        <f>IF('_Datos'!$C42,'_Datos'!$F42,IF('_Datos'!$B42,'Proyecto Datos (OKR´s)'!$G42,""))</f>
        <v>Resumen Clientes Op. Dedicadas</v>
      </c>
      <c r="D42" s="204" t="str">
        <f>IF('_Datos'!$C42,'_Datos'!$AO42,"")</f>
        <v>Semanal</v>
      </c>
      <c r="E42" s="208">
        <f>IF('_Datos'!$C42,'_Datos'!$I42,IF('_Datos'!$B42,IFERROR(AVERAGEIF('_Datos'!$D$7:$D$200,'Proyecto Datos (OKR´s)'!$G42,'_Datos'!$I$7:$I$200),""),""))</f>
        <v>0.4</v>
      </c>
      <c r="F42" s="204">
        <f>IF('_Datos'!$C42,IF(ISNUMBER('_Datos'!$AR42),'_Datos'!$AR42,"(Sin fecha)"),"")</f>
        <v>1</v>
      </c>
      <c r="G42" s="204"/>
      <c r="H42" s="205"/>
      <c r="I42" s="204" t="str">
        <f>IF('_Datos'!$C42,IF(ISNUMBER('_Datos'!$AV42),'_Datos'!$AZ42,"(Sin fecha)"),"")</f>
        <v>Semanal · S2</v>
      </c>
      <c r="J42" s="204"/>
      <c r="K42" s="205"/>
      <c r="L42" s="209">
        <f>IF('_Datos'!$C42,'_Datos'!$AX42,"")</f>
        <v>2</v>
      </c>
      <c r="M42" s="191"/>
      <c r="N42" s="204">
        <f>IF('_Datos'!$C42,'_Datos'!$BA42,"")</f>
      </c>
    </row>
    <row r="43">
      <c r="B43" s="204" t="str">
        <f>IF('_Datos'!$C43,'_Datos'!$O43,"")</f>
        <v>T043</v>
      </c>
      <c r="C43" s="205" t="str">
        <f>IF('_Datos'!$C43,'_Datos'!$F43,IF('_Datos'!$B43,'Proyecto Datos (OKR´s)'!$G43,""))</f>
        <v>Locaciones Geográficas Pozos Petro (ver datos Secretaria de Energía)</v>
      </c>
      <c r="D43" s="204" t="str">
        <f>IF('_Datos'!$C43,'_Datos'!$AO43,"")</f>
        <v>Semanal</v>
      </c>
      <c r="E43" s="208">
        <f>IF('_Datos'!$C43,'_Datos'!$I43,IF('_Datos'!$B43,IFERROR(AVERAGEIF('_Datos'!$D$7:$D$200,'Proyecto Datos (OKR´s)'!$G43,'_Datos'!$I$7:$I$200),""),""))</f>
        <v>0.1</v>
      </c>
      <c r="F43" s="204" t="str">
        <f>IF('_Datos'!$C43,IF(ISNUMBER('_Datos'!$AR43),'_Datos'!$AR43,"(Sin fecha)"),"")</f>
        <v>(Sin fecha)</v>
      </c>
      <c r="G43" s="204"/>
      <c r="H43" s="205"/>
      <c r="I43" s="204" t="str">
        <f>IF('_Datos'!$C43,IF(ISNUMBER('_Datos'!$AV43),'_Datos'!$AZ43,"(Sin fecha)"),"")</f>
        <v>(Sin fecha)</v>
      </c>
      <c r="J43" s="204"/>
      <c r="K43" s="205"/>
      <c r="L43" s="209">
        <f>IF('_Datos'!$C43,'_Datos'!$AX43,"")</f>
        <v>0</v>
      </c>
      <c r="M43" s="191"/>
      <c r="N43" s="204">
        <f>IF('_Datos'!$C43,'_Datos'!$BA43,"")</f>
      </c>
    </row>
    <row r="44">
      <c r="B44" s="204" t="str">
        <f>IF('_Datos'!$C44,'_Datos'!$O44,"")</f>
        <v>T044</v>
      </c>
      <c r="C44" s="205" t="str">
        <f>IF('_Datos'!$C44,'_Datos'!$F44,IF('_Datos'!$B44,'Proyecto Datos (OKR´s)'!$G44,""))</f>
        <v>Locaciones Geográficas Minería</v>
      </c>
      <c r="D44" s="204" t="str">
        <f>IF('_Datos'!$C44,'_Datos'!$AO44,"")</f>
        <v>Semanal</v>
      </c>
      <c r="E44" s="208">
        <f>IF('_Datos'!$C44,'_Datos'!$I44,IF('_Datos'!$B44,IFERROR(AVERAGEIF('_Datos'!$D$7:$D$200,'Proyecto Datos (OKR´s)'!$G44,'_Datos'!$I$7:$I$200),""),""))</f>
        <v>0</v>
      </c>
      <c r="F44" s="204" t="str">
        <f>IF('_Datos'!$C44,IF(ISNUMBER('_Datos'!$AR44),'_Datos'!$AR44,"(Sin fecha)"),"")</f>
        <v>(Sin fecha)</v>
      </c>
      <c r="G44" s="204"/>
      <c r="H44" s="205"/>
      <c r="I44" s="204" t="str">
        <f>IF('_Datos'!$C44,IF(ISNUMBER('_Datos'!$AV44),'_Datos'!$AZ44,"(Sin fecha)"),"")</f>
        <v>(Sin fecha)</v>
      </c>
      <c r="J44" s="204"/>
      <c r="K44" s="205"/>
      <c r="L44" s="209">
        <f>IF('_Datos'!$C44,'_Datos'!$AX44,"")</f>
        <v>0</v>
      </c>
      <c r="M44" s="191"/>
      <c r="N44" s="204">
        <f>IF('_Datos'!$C44,'_Datos'!$BA44,"")</f>
      </c>
    </row>
    <row r="45">
      <c r="B45" s="204" t="str">
        <f>IF('_Datos'!$C45,'_Datos'!$O45,"")</f>
        <v>T045</v>
      </c>
      <c r="C45" s="205" t="str">
        <f>IF('_Datos'!$C45,'_Datos'!$F45,IF('_Datos'!$B45,'Proyecto Datos (OKR´s)'!$G45,""))</f>
        <v>Locaciones Geográficas Op. Dedicadas</v>
      </c>
      <c r="D45" s="204" t="str">
        <f>IF('_Datos'!$C45,'_Datos'!$AO45,"")</f>
        <v>Semanal</v>
      </c>
      <c r="E45" s="208">
        <f>IF('_Datos'!$C45,'_Datos'!$I45,IF('_Datos'!$B45,IFERROR(AVERAGEIF('_Datos'!$D$7:$D$200,'Proyecto Datos (OKR´s)'!$G45,'_Datos'!$I$7:$I$200),""),""))</f>
        <v>0</v>
      </c>
      <c r="F45" s="204" t="str">
        <f>IF('_Datos'!$C45,IF(ISNUMBER('_Datos'!$AR45),'_Datos'!$AR45,"(Sin fecha)"),"")</f>
        <v>(Sin fecha)</v>
      </c>
      <c r="G45" s="204"/>
      <c r="H45" s="205"/>
      <c r="I45" s="204" t="str">
        <f>IF('_Datos'!$C45,IF(ISNUMBER('_Datos'!$AV45),'_Datos'!$AZ45,"(Sin fecha)"),"")</f>
        <v>(Sin fecha)</v>
      </c>
      <c r="J45" s="204"/>
      <c r="K45" s="205"/>
      <c r="L45" s="209">
        <f>IF('_Datos'!$C45,'_Datos'!$AX45,"")</f>
        <v>0</v>
      </c>
      <c r="M45" s="191"/>
      <c r="N45" s="204">
        <f>IF('_Datos'!$C45,'_Datos'!$BA45,"")</f>
      </c>
    </row>
    <row r="46">
      <c r="B46" s="204" t="str">
        <f>IF('_Datos'!$C46,'_Datos'!$O46,"")</f>
        <v>T046</v>
      </c>
      <c r="C46" s="205" t="str">
        <f>IF('_Datos'!$C46,'_Datos'!$F46,IF('_Datos'!$B46,'Proyecto Datos (OKR´s)'!$G46,""))</f>
        <v>Detalle Responsables (Comerciales + Analistas)</v>
      </c>
      <c r="D46" s="204" t="str">
        <f>IF('_Datos'!$C46,'_Datos'!$AO46,"")</f>
        <v>Semanal</v>
      </c>
      <c r="E46" s="208">
        <f>IF('_Datos'!$C46,'_Datos'!$I46,IF('_Datos'!$B46,IFERROR(AVERAGEIF('_Datos'!$D$7:$D$200,'Proyecto Datos (OKR´s)'!$G46,'_Datos'!$I$7:$I$200),""),""))</f>
        <v>0.5</v>
      </c>
      <c r="F46" s="204">
        <f>IF('_Datos'!$C46,IF(ISNUMBER('_Datos'!$AR46),'_Datos'!$AR46,"(Sin fecha)"),"")</f>
        <v>1</v>
      </c>
      <c r="G46" s="204"/>
      <c r="H46" s="205"/>
      <c r="I46" s="204" t="str">
        <f>IF('_Datos'!$C46,IF(ISNUMBER('_Datos'!$AV46),'_Datos'!$AZ46,"(Sin fecha)"),"")</f>
        <v>Semanal · S2</v>
      </c>
      <c r="J46" s="204"/>
      <c r="K46" s="205"/>
      <c r="L46" s="209">
        <f>IF('_Datos'!$C46,'_Datos'!$AX46,"")</f>
        <v>2</v>
      </c>
      <c r="M46" s="191"/>
      <c r="N46" s="204">
        <f>IF('_Datos'!$C46,'_Datos'!$BA46,"")</f>
      </c>
    </row>
    <row r="47">
      <c r="B47" s="204" t="str">
        <f>IF('_Datos'!$C47,'_Datos'!$O47,"")</f>
        <v>T047</v>
      </c>
      <c r="C47" s="205" t="str">
        <f>IF('_Datos'!$C47,'_Datos'!$F47,IF('_Datos'!$B47,'Proyecto Datos (OKR´s)'!$G47,""))</f>
        <v>Armado de Dashboard + Diseño</v>
      </c>
      <c r="D47" s="204" t="str">
        <f>IF('_Datos'!$C47,'_Datos'!$AO47,"")</f>
        <v>Semanal</v>
      </c>
      <c r="E47" s="208">
        <f>IF('_Datos'!$C47,'_Datos'!$I47,IF('_Datos'!$B47,IFERROR(AVERAGEIF('_Datos'!$D$7:$D$200,'Proyecto Datos (OKR´s)'!$G47,'_Datos'!$I$7:$I$200),""),""))</f>
        <v>0.5</v>
      </c>
      <c r="F47" s="204">
        <f>IF('_Datos'!$C47,IF(ISNUMBER('_Datos'!$AR47),'_Datos'!$AR47,"(Sin fecha)"),"")</f>
        <v>1</v>
      </c>
      <c r="G47" s="204"/>
      <c r="H47" s="205"/>
      <c r="I47" s="204" t="str">
        <f>IF('_Datos'!$C47,IF(ISNUMBER('_Datos'!$AV47),'_Datos'!$AZ47,"(Sin fecha)"),"")</f>
        <v>Semanal · S2</v>
      </c>
      <c r="J47" s="204"/>
      <c r="K47" s="205"/>
      <c r="L47" s="209">
        <f>IF('_Datos'!$C47,'_Datos'!$AX47,"")</f>
        <v>2</v>
      </c>
      <c r="M47" s="191"/>
      <c r="N47" s="204">
        <f>IF('_Datos'!$C47,'_Datos'!$BA47,"")</f>
      </c>
    </row>
    <row r="48">
      <c r="B48" s="204">
        <f>IF('_Datos'!$C48,'_Datos'!$O48,"")</f>
      </c>
      <c r="C48" s="205" t="str">
        <f>IF('_Datos'!$C48,'_Datos'!$F48,IF('_Datos'!$B48,'Proyecto Datos (OKR´s)'!$G48,""))</f>
        <v>Tablero Forecast</v>
      </c>
      <c r="D48" s="204">
        <f>IF('_Datos'!$C48,'_Datos'!$AO48,"")</f>
      </c>
      <c r="E48" s="208">
        <f>IF('_Datos'!$C48,'_Datos'!$I48,IF('_Datos'!$B48,IFERROR(AVERAGEIF('_Datos'!$D$7:$D$200,'Proyecto Datos (OKR´s)'!$G48,'_Datos'!$I$7:$I$200),""),""))</f>
        <v>0</v>
      </c>
      <c r="F48" s="204">
        <f>IF('_Datos'!$C48,IF(ISNUMBER('_Datos'!$AR48),'_Datos'!$AR48,"(Sin fecha)"),"")</f>
      </c>
      <c r="G48" s="204"/>
      <c r="H48" s="205"/>
      <c r="I48" s="204">
        <f>IF('_Datos'!$C48,IF(ISNUMBER('_Datos'!$AV48),'_Datos'!$AZ48,"(Sin fecha)"),"")</f>
      </c>
      <c r="J48" s="204"/>
      <c r="K48" s="205"/>
      <c r="L48" s="209">
        <f>IF('_Datos'!$C48,'_Datos'!$AX48,"")</f>
      </c>
      <c r="M48" s="191"/>
      <c r="N48" s="204">
        <f>IF('_Datos'!$C48,'_Datos'!$BA48,"")</f>
      </c>
    </row>
    <row r="49">
      <c r="B49" s="204" t="str">
        <f>IF('_Datos'!$C49,'_Datos'!$O49,"")</f>
        <v>T049</v>
      </c>
      <c r="C49" s="205" t="str">
        <f>IF('_Datos'!$C49,'_Datos'!$F49,IF('_Datos'!$B49,'Proyecto Datos (OKR´s)'!$G49,""))</f>
        <v>Armado de Procedimiento</v>
      </c>
      <c r="D49" s="204" t="str">
        <f>IF('_Datos'!$C49,'_Datos'!$AO49,"")</f>
        <v>Semanal</v>
      </c>
      <c r="E49" s="208">
        <f>IF('_Datos'!$C49,'_Datos'!$I49,IF('_Datos'!$B49,IFERROR(AVERAGEIF('_Datos'!$D$7:$D$200,'Proyecto Datos (OKR´s)'!$G49,'_Datos'!$I$7:$I$200),""),""))</f>
        <v>0</v>
      </c>
      <c r="F49" s="204">
        <f>IF('_Datos'!$C49,IF(ISNUMBER('_Datos'!$AR49),'_Datos'!$AR49,"(Sin fecha)"),"")</f>
        <v>1</v>
      </c>
      <c r="G49" s="204"/>
      <c r="H49" s="205"/>
      <c r="I49" s="204" t="str">
        <f>IF('_Datos'!$C49,IF(ISNUMBER('_Datos'!$AV49),'_Datos'!$AZ49,"(Sin fecha)"),"")</f>
        <v>Semanal · S2</v>
      </c>
      <c r="J49" s="204"/>
      <c r="K49" s="205"/>
      <c r="L49" s="209">
        <f>IF('_Datos'!$C49,'_Datos'!$AX49,"")</f>
        <v>2</v>
      </c>
      <c r="M49" s="191">
        <v>3</v>
      </c>
      <c r="N49" s="204">
        <f>IF('_Datos'!$C49,'_Datos'!$BA49,"")</f>
      </c>
    </row>
    <row r="50">
      <c r="B50" s="204" t="str">
        <f>IF('_Datos'!$C50,'_Datos'!$O50,"")</f>
        <v>T050</v>
      </c>
      <c r="C50" s="205" t="str">
        <f>IF('_Datos'!$C50,'_Datos'!$F50,IF('_Datos'!$B50,'Proyecto Datos (OKR´s)'!$G50,""))</f>
        <v>Slicer funcional con % de incremento sobre venta con base en % definido en factores</v>
      </c>
      <c r="D50" s="204" t="str">
        <f>IF('_Datos'!$C50,'_Datos'!$AO50,"")</f>
        <v>Semanal</v>
      </c>
      <c r="E50" s="208">
        <f>IF('_Datos'!$C50,'_Datos'!$I50,IF('_Datos'!$B50,IFERROR(AVERAGEIF('_Datos'!$D$7:$D$200,'Proyecto Datos (OKR´s)'!$G50,'_Datos'!$I$7:$I$200),""),""))</f>
        <v>0</v>
      </c>
      <c r="F50" s="204">
        <f>IF('_Datos'!$C50,IF(ISNUMBER('_Datos'!$AR50),'_Datos'!$AR50,"(Sin fecha)"),"")</f>
        <v>1</v>
      </c>
      <c r="G50" s="204"/>
      <c r="H50" s="205"/>
      <c r="I50" s="204" t="str">
        <f>IF('_Datos'!$C50,IF(ISNUMBER('_Datos'!$AV50),'_Datos'!$AZ50,"(Sin fecha)"),"")</f>
        <v>Semanal · S2</v>
      </c>
      <c r="J50" s="204"/>
      <c r="K50" s="205"/>
      <c r="L50" s="209">
        <f>IF('_Datos'!$C50,'_Datos'!$AX50,"")</f>
        <v>2</v>
      </c>
      <c r="M50" s="191">
        <v>3</v>
      </c>
      <c r="N50" s="204">
        <f>IF('_Datos'!$C50,'_Datos'!$BA50,"")</f>
      </c>
    </row>
    <row r="51">
      <c r="B51" s="204" t="str">
        <f>IF('_Datos'!$C51,'_Datos'!$O51,"")</f>
        <v>T051</v>
      </c>
      <c r="C51" s="205" t="str">
        <f>IF('_Datos'!$C51,'_Datos'!$F51,IF('_Datos'!$B51,'Proyecto Datos (OKR´s)'!$G51,""))</f>
        <v>Factores de clientes con % de incremento sobre venta</v>
      </c>
      <c r="D51" s="204" t="str">
        <f>IF('_Datos'!$C51,'_Datos'!$AO51,"")</f>
        <v>Semanal</v>
      </c>
      <c r="E51" s="208">
        <f>IF('_Datos'!$C51,'_Datos'!$I51,IF('_Datos'!$B51,IFERROR(AVERAGEIF('_Datos'!$D$7:$D$200,'Proyecto Datos (OKR´s)'!$G51,'_Datos'!$I$7:$I$200),""),""))</f>
        <v>0</v>
      </c>
      <c r="F51" s="204">
        <f>IF('_Datos'!$C51,IF(ISNUMBER('_Datos'!$AR51),'_Datos'!$AR51,"(Sin fecha)"),"")</f>
        <v>1</v>
      </c>
      <c r="G51" s="204"/>
      <c r="H51" s="205"/>
      <c r="I51" s="204" t="str">
        <f>IF('_Datos'!$C51,IF(ISNUMBER('_Datos'!$AV51),'_Datos'!$AZ51,"(Sin fecha)"),"")</f>
        <v>Semanal · S2</v>
      </c>
      <c r="J51" s="204"/>
      <c r="K51" s="205"/>
      <c r="L51" s="209">
        <f>IF('_Datos'!$C51,'_Datos'!$AX51,"")</f>
        <v>2</v>
      </c>
      <c r="M51" s="191">
        <v>3</v>
      </c>
      <c r="N51" s="204">
        <f>IF('_Datos'!$C51,'_Datos'!$BA51,"")</f>
      </c>
    </row>
    <row r="52">
      <c r="B52" s="204">
        <f>IF('_Datos'!$C52,'_Datos'!$O52,"")</f>
      </c>
      <c r="C52" s="205" t="str">
        <f>IF('_Datos'!$C52,'_Datos'!$F52,IF('_Datos'!$B52,'Proyecto Datos (OKR´s)'!$G52,""))</f>
        <v>6- Automatización de procesos: certificación, provisión,polinómicas</v>
      </c>
      <c r="D52" s="204">
        <f>IF('_Datos'!$C52,'_Datos'!$AO52,"")</f>
      </c>
      <c r="E52" s="208">
        <f>IF('_Datos'!$C52,'_Datos'!$I52,IF('_Datos'!$B52,IFERROR(AVERAGEIF('_Datos'!$D$7:$D$200,'Proyecto Datos (OKR´s)'!$G52,'_Datos'!$I$7:$I$200),""),""))</f>
        <v>0.13333333333333333</v>
      </c>
      <c r="F52" s="204">
        <f>IF('_Datos'!$C52,IF(ISNUMBER('_Datos'!$AR52),'_Datos'!$AR52,"(Sin fecha)"),"")</f>
      </c>
      <c r="G52" s="204"/>
      <c r="H52" s="205"/>
      <c r="I52" s="204">
        <f>IF('_Datos'!$C52,IF(ISNUMBER('_Datos'!$AV52),'_Datos'!$AZ52,"(Sin fecha)"),"")</f>
      </c>
      <c r="J52" s="204"/>
      <c r="K52" s="205"/>
      <c r="L52" s="209">
        <f>IF('_Datos'!$C52,'_Datos'!$AX52,"")</f>
      </c>
      <c r="M52" s="191"/>
      <c r="N52" s="204">
        <f>IF('_Datos'!$C52,'_Datos'!$BA52,"")</f>
      </c>
    </row>
    <row r="53">
      <c r="B53" s="204" t="str">
        <f>IF('_Datos'!$C53,'_Datos'!$O53,"")</f>
        <v>T053</v>
      </c>
      <c r="C53" s="205" t="str">
        <f>IF('_Datos'!$C53,'_Datos'!$F53,IF('_Datos'!$B53,'Proyecto Datos (OKR´s)'!$G53,""))</f>
        <v>Polinómicas y tarifario automático</v>
      </c>
      <c r="D53" s="204" t="str">
        <f>IF('_Datos'!$C53,'_Datos'!$AO53,"")</f>
        <v>Mensual</v>
      </c>
      <c r="E53" s="208">
        <f>IF('_Datos'!$C53,'_Datos'!$I53,IF('_Datos'!$B53,IFERROR(AVERAGEIF('_Datos'!$D$7:$D$200,'Proyecto Datos (OKR´s)'!$G53,'_Datos'!$I$7:$I$200),""),""))</f>
        <v>0.35</v>
      </c>
      <c r="F53" s="204" t="str">
        <f>IF('_Datos'!$C53,IF(ISNUMBER('_Datos'!$AR53),'_Datos'!$AR53,"(Sin fecha)"),"")</f>
        <v>(Sin fecha)</v>
      </c>
      <c r="G53" s="204"/>
      <c r="H53" s="205"/>
      <c r="I53" s="204" t="str">
        <f>IF('_Datos'!$C53,IF(ISNUMBER('_Datos'!$AV53),'_Datos'!$AZ53,"(Sin fecha)"),"")</f>
        <v>(Sin fecha)</v>
      </c>
      <c r="J53" s="204"/>
      <c r="K53" s="205"/>
      <c r="L53" s="209">
        <f>IF('_Datos'!$C53,'_Datos'!$AX53,"")</f>
        <v>0</v>
      </c>
      <c r="M53" s="191"/>
      <c r="N53" s="204">
        <f>IF('_Datos'!$C53,'_Datos'!$BA53,"")</f>
      </c>
    </row>
    <row r="54">
      <c r="B54" s="204" t="str">
        <f>IF('_Datos'!$C54,'_Datos'!$O54,"")</f>
        <v>T054</v>
      </c>
      <c r="C54" s="205" t="str">
        <f>IF('_Datos'!$C54,'_Datos'!$F54,IF('_Datos'!$B54,'Proyecto Datos (OKR´s)'!$G54,""))</f>
        <v>Certificados automáticos (ver si utilizar scripts)</v>
      </c>
      <c r="D54" s="204" t="str">
        <f>IF('_Datos'!$C54,'_Datos'!$AO54,"")</f>
        <v>Mensual</v>
      </c>
      <c r="E54" s="208">
        <f>IF('_Datos'!$C54,'_Datos'!$I54,IF('_Datos'!$B54,IFERROR(AVERAGEIF('_Datos'!$D$7:$D$200,'Proyecto Datos (OKR´s)'!$G54,'_Datos'!$I$7:$I$200),""),""))</f>
        <v>0.05</v>
      </c>
      <c r="F54" s="204" t="str">
        <f>IF('_Datos'!$C54,IF(ISNUMBER('_Datos'!$AR54),'_Datos'!$AR54,"(Sin fecha)"),"")</f>
        <v>(Sin fecha)</v>
      </c>
      <c r="G54" s="204"/>
      <c r="H54" s="205"/>
      <c r="I54" s="204" t="str">
        <f>IF('_Datos'!$C54,IF(ISNUMBER('_Datos'!$AV54),'_Datos'!$AZ54,"(Sin fecha)"),"")</f>
        <v>(Sin fecha)</v>
      </c>
      <c r="J54" s="204"/>
      <c r="K54" s="205"/>
      <c r="L54" s="209">
        <f>IF('_Datos'!$C54,'_Datos'!$AX54,"")</f>
        <v>0</v>
      </c>
      <c r="M54" s="191"/>
      <c r="N54" s="204">
        <f>IF('_Datos'!$C54,'_Datos'!$BA54,"")</f>
      </c>
    </row>
    <row r="55">
      <c r="B55" s="204" t="str">
        <f>IF('_Datos'!$C55,'_Datos'!$O55,"")</f>
        <v>T055</v>
      </c>
      <c r="C55" s="205" t="str">
        <f>IF('_Datos'!$C55,'_Datos'!$F55,IF('_Datos'!$B55,'Proyecto Datos (OKR´s)'!$G55,""))</f>
        <v>Provisión Automática</v>
      </c>
      <c r="D55" s="204" t="str">
        <f>IF('_Datos'!$C55,'_Datos'!$AO55,"")</f>
        <v>Mensual</v>
      </c>
      <c r="E55" s="208">
        <f>IF('_Datos'!$C55,'_Datos'!$I55,IF('_Datos'!$B55,IFERROR(AVERAGEIF('_Datos'!$D$7:$D$200,'Proyecto Datos (OKR´s)'!$G55,'_Datos'!$I$7:$I$200),""),""))</f>
        <v>0</v>
      </c>
      <c r="F55" s="204" t="str">
        <f>IF('_Datos'!$C55,IF(ISNUMBER('_Datos'!$AR55),'_Datos'!$AR55,"(Sin fecha)"),"")</f>
        <v>(Sin fecha)</v>
      </c>
      <c r="G55" s="204"/>
      <c r="H55" s="205"/>
      <c r="I55" s="204" t="str">
        <f>IF('_Datos'!$C55,IF(ISNUMBER('_Datos'!$AV55),'_Datos'!$AZ55,"(Sin fecha)"),"")</f>
        <v>(Sin fecha)</v>
      </c>
      <c r="J55" s="204"/>
      <c r="K55" s="205"/>
      <c r="L55" s="209">
        <f>IF('_Datos'!$C55,'_Datos'!$AX55,"")</f>
        <v>0</v>
      </c>
      <c r="M55" s="191"/>
      <c r="N55" s="204">
        <f>IF('_Datos'!$C55,'_Datos'!$BA55,"")</f>
      </c>
    </row>
    <row r="56">
      <c r="B56" s="204">
        <f>IF('_Datos'!$C56,'_Datos'!$O56,"")</f>
      </c>
      <c r="C56" s="205" t="str">
        <f>IF('_Datos'!$C56,'_Datos'!$F56,IF('_Datos'!$B56,'Proyecto Datos (OKR´s)'!$G56,""))</f>
        <v>7- Incorporación de Operaciones Complejas en sistemas de la compañía: Salesforce, SAP, etc.</v>
      </c>
      <c r="D56" s="204">
        <f>IF('_Datos'!$C56,'_Datos'!$AO56,"")</f>
      </c>
      <c r="E56" s="208">
        <f>IF('_Datos'!$C56,'_Datos'!$I56,IF('_Datos'!$B56,IFERROR(AVERAGEIF('_Datos'!$D$7:$D$200,'Proyecto Datos (OKR´s)'!$G56,'_Datos'!$I$7:$I$200),""),""))</f>
        <v>0.03333333333333333</v>
      </c>
      <c r="F56" s="204">
        <f>IF('_Datos'!$C56,IF(ISNUMBER('_Datos'!$AR56),'_Datos'!$AR56,"(Sin fecha)"),"")</f>
      </c>
      <c r="G56" s="204"/>
      <c r="H56" s="205"/>
      <c r="I56" s="204">
        <f>IF('_Datos'!$C56,IF(ISNUMBER('_Datos'!$AV56),'_Datos'!$AZ56,"(Sin fecha)"),"")</f>
      </c>
      <c r="J56" s="204"/>
      <c r="K56" s="205"/>
      <c r="L56" s="209">
        <f>IF('_Datos'!$C56,'_Datos'!$AX56,"")</f>
      </c>
      <c r="M56" s="191"/>
      <c r="N56" s="204">
        <f>IF('_Datos'!$C56,'_Datos'!$BA56,"")</f>
      </c>
    </row>
    <row r="57">
      <c r="B57" s="204" t="str">
        <f>IF('_Datos'!$C57,'_Datos'!$O57,"")</f>
        <v>T057</v>
      </c>
      <c r="C57" s="205" t="str">
        <f>IF('_Datos'!$C57,'_Datos'!$F57,IF('_Datos'!$B57,'Proyecto Datos (OKR´s)'!$G57,""))</f>
        <v>Eliminar contratos obsoletos</v>
      </c>
      <c r="D57" s="204" t="str">
        <f>IF('_Datos'!$C57,'_Datos'!$AO57,"")</f>
        <v>Mensual</v>
      </c>
      <c r="E57" s="208">
        <f>IF('_Datos'!$C57,'_Datos'!$I57,IF('_Datos'!$B57,IFERROR(AVERAGEIF('_Datos'!$D$7:$D$200,'Proyecto Datos (OKR´s)'!$G57,'_Datos'!$I$7:$I$200),""),""))</f>
        <v>0.1</v>
      </c>
      <c r="F57" s="204" t="str">
        <f>IF('_Datos'!$C57,IF(ISNUMBER('_Datos'!$AR57),'_Datos'!$AR57,"(Sin fecha)"),"")</f>
        <v>(Sin fecha)</v>
      </c>
      <c r="G57" s="204"/>
      <c r="H57" s="205"/>
      <c r="I57" s="204" t="str">
        <f>IF('_Datos'!$C57,IF(ISNUMBER('_Datos'!$AV57),'_Datos'!$AZ57,"(Sin fecha)"),"")</f>
        <v>(Sin fecha)</v>
      </c>
      <c r="J57" s="204"/>
      <c r="K57" s="205"/>
      <c r="L57" s="209">
        <f>IF('_Datos'!$C57,'_Datos'!$AX57,"")</f>
        <v>0</v>
      </c>
      <c r="M57" s="191"/>
      <c r="N57" s="204">
        <f>IF('_Datos'!$C57,'_Datos'!$BA57,"")</f>
      </c>
    </row>
    <row r="58">
      <c r="B58" s="204" t="str">
        <f>IF('_Datos'!$C58,'_Datos'!$O58,"")</f>
        <v>T058</v>
      </c>
      <c r="C58" s="205" t="str">
        <f>IF('_Datos'!$C58,'_Datos'!$F58,IF('_Datos'!$B58,'Proyecto Datos (OKR´s)'!$G58,""))</f>
        <v>Estandarizar materíales de contratos - ver si se puede realizarmasivo (Matias Viera - SF)</v>
      </c>
      <c r="D58" s="204" t="str">
        <f>IF('_Datos'!$C58,'_Datos'!$AO58,"")</f>
        <v>Mensual</v>
      </c>
      <c r="E58" s="208">
        <f>IF('_Datos'!$C58,'_Datos'!$I58,IF('_Datos'!$B58,IFERROR(AVERAGEIF('_Datos'!$D$7:$D$200,'Proyecto Datos (OKR´s)'!$G58,'_Datos'!$I$7:$I$200),""),""))</f>
        <v>0</v>
      </c>
      <c r="F58" s="204" t="str">
        <f>IF('_Datos'!$C58,IF(ISNUMBER('_Datos'!$AR58),'_Datos'!$AR58,"(Sin fecha)"),"")</f>
        <v>(Sin fecha)</v>
      </c>
      <c r="G58" s="204"/>
      <c r="H58" s="205"/>
      <c r="I58" s="204" t="str">
        <f>IF('_Datos'!$C58,IF(ISNUMBER('_Datos'!$AV58),'_Datos'!$AZ58,"(Sin fecha)"),"")</f>
        <v>(Sin fecha)</v>
      </c>
      <c r="J58" s="204"/>
      <c r="K58" s="205"/>
      <c r="L58" s="209">
        <f>IF('_Datos'!$C58,'_Datos'!$AX58,"")</f>
        <v>0</v>
      </c>
      <c r="M58" s="191"/>
      <c r="N58" s="204">
        <f>IF('_Datos'!$C58,'_Datos'!$BA58,"")</f>
      </c>
    </row>
    <row r="59">
      <c r="B59" s="204" t="str">
        <f>IF('_Datos'!$C59,'_Datos'!$O59,"")</f>
        <v>T059</v>
      </c>
      <c r="C59" s="205" t="str">
        <f>IF('_Datos'!$C59,'_Datos'!$F59,IF('_Datos'!$B59,'Proyecto Datos (OKR´s)'!$G59,""))</f>
        <v>Relevar conveniencia de creación de Boom´s para materiales que hacen alusión a US</v>
      </c>
      <c r="D59" s="204" t="str">
        <f>IF('_Datos'!$C59,'_Datos'!$AO59,"")</f>
        <v>Mensual</v>
      </c>
      <c r="E59" s="208">
        <f>IF('_Datos'!$C59,'_Datos'!$I59,IF('_Datos'!$B59,IFERROR(AVERAGEIF('_Datos'!$D$7:$D$200,'Proyecto Datos (OKR´s)'!$G59,'_Datos'!$I$7:$I$200),""),""))</f>
        <v>0</v>
      </c>
      <c r="F59" s="204" t="str">
        <f>IF('_Datos'!$C59,IF(ISNUMBER('_Datos'!$AR59),'_Datos'!$AR59,"(Sin fecha)"),"")</f>
        <v>(Sin fecha)</v>
      </c>
      <c r="G59" s="204"/>
      <c r="H59" s="205"/>
      <c r="I59" s="204" t="str">
        <f>IF('_Datos'!$C59,IF(ISNUMBER('_Datos'!$AV59),'_Datos'!$AZ59,"(Sin fecha)"),"")</f>
        <v>(Sin fecha)</v>
      </c>
      <c r="J59" s="204"/>
      <c r="K59" s="205"/>
      <c r="L59" s="209">
        <f>IF('_Datos'!$C59,'_Datos'!$AX59,"")</f>
        <v>0</v>
      </c>
      <c r="M59" s="191"/>
      <c r="N59" s="204">
        <f>IF('_Datos'!$C59,'_Datos'!$BA59,"")</f>
      </c>
    </row>
    <row r="60">
      <c r="B60" s="204">
        <f>IF('_Datos'!$C60,'_Datos'!$O60,"")</f>
      </c>
      <c r="C60" s="205">
        <f>IF('_Datos'!$C60,'_Datos'!$F60,IF('_Datos'!$B60,'Proyecto Datos (OKR´s)'!$G60,""))</f>
      </c>
      <c r="D60" s="204">
        <f>IF('_Datos'!$C60,'_Datos'!$AO60,"")</f>
      </c>
      <c r="E60" s="208">
        <f>IF('_Datos'!$C60,'_Datos'!$I60,IF('_Datos'!$B60,IFERROR(AVERAGEIF('_Datos'!$D$7:$D$200,'Proyecto Datos (OKR´s)'!$G60,'_Datos'!$I$7:$I$200),""),""))</f>
      </c>
      <c r="F60" s="204">
        <f>IF('_Datos'!$C60,IF(ISNUMBER('_Datos'!$AR60),'_Datos'!$AR60,"(Sin fecha)"),"")</f>
      </c>
      <c r="G60" s="204"/>
      <c r="H60" s="205"/>
      <c r="I60" s="204">
        <f>IF('_Datos'!$C60,IF(ISNUMBER('_Datos'!$AV60),'_Datos'!$AZ60,"(Sin fecha)"),"")</f>
      </c>
      <c r="J60" s="204"/>
      <c r="K60" s="205"/>
      <c r="L60" s="209">
        <f>IF('_Datos'!$C60,'_Datos'!$AX60,"")</f>
      </c>
      <c r="M60" s="191"/>
      <c r="N60" s="204">
        <f>IF('_Datos'!$C60,'_Datos'!$BA60,"")</f>
      </c>
    </row>
    <row r="61">
      <c r="B61" s="204">
        <f>IF('_Datos'!$C61,'_Datos'!$O61,"")</f>
      </c>
      <c r="C61" s="205">
        <f>IF('_Datos'!$C61,'_Datos'!$F61,IF('_Datos'!$B61,'Proyecto Datos (OKR´s)'!$G61,""))</f>
      </c>
      <c r="D61" s="204">
        <f>IF('_Datos'!$C61,'_Datos'!$AO61,"")</f>
      </c>
      <c r="E61" s="208">
        <f>IF('_Datos'!$C61,'_Datos'!$I61,IF('_Datos'!$B61,IFERROR(AVERAGEIF('_Datos'!$D$7:$D$200,'Proyecto Datos (OKR´s)'!$G61,'_Datos'!$I$7:$I$200),""),""))</f>
      </c>
      <c r="F61" s="204">
        <f>IF('_Datos'!$C61,IF(ISNUMBER('_Datos'!$AR61),'_Datos'!$AR61,"(Sin fecha)"),"")</f>
      </c>
      <c r="G61" s="204"/>
      <c r="H61" s="205"/>
      <c r="I61" s="204">
        <f>IF('_Datos'!$C61,IF(ISNUMBER('_Datos'!$AV61),'_Datos'!$AZ61,"(Sin fecha)"),"")</f>
      </c>
      <c r="J61" s="204"/>
      <c r="K61" s="205"/>
      <c r="L61" s="209">
        <f>IF('_Datos'!$C61,'_Datos'!$AX61,"")</f>
      </c>
      <c r="M61" s="191"/>
      <c r="N61" s="204">
        <f>IF('_Datos'!$C61,'_Datos'!$BA61,"")</f>
      </c>
    </row>
    <row r="62">
      <c r="B62" s="204">
        <f>IF('_Datos'!$C62,'_Datos'!$O62,"")</f>
      </c>
      <c r="C62" s="205">
        <f>IF('_Datos'!$C62,'_Datos'!$F62,IF('_Datos'!$B62,'Proyecto Datos (OKR´s)'!$G62,""))</f>
      </c>
      <c r="D62" s="204">
        <f>IF('_Datos'!$C62,'_Datos'!$AO62,"")</f>
      </c>
      <c r="E62" s="208">
        <f>IF('_Datos'!$C62,'_Datos'!$I62,IF('_Datos'!$B62,IFERROR(AVERAGEIF('_Datos'!$D$7:$D$200,'Proyecto Datos (OKR´s)'!$G62,'_Datos'!$I$7:$I$200),""),""))</f>
      </c>
      <c r="F62" s="204">
        <f>IF('_Datos'!$C62,IF(ISNUMBER('_Datos'!$AR62),'_Datos'!$AR62,"(Sin fecha)"),"")</f>
      </c>
      <c r="G62" s="204"/>
      <c r="H62" s="205"/>
      <c r="I62" s="204">
        <f>IF('_Datos'!$C62,IF(ISNUMBER('_Datos'!$AV62),'_Datos'!$AZ62,"(Sin fecha)"),"")</f>
      </c>
      <c r="J62" s="204"/>
      <c r="K62" s="205"/>
      <c r="L62" s="209">
        <f>IF('_Datos'!$C62,'_Datos'!$AX62,"")</f>
      </c>
      <c r="M62" s="191"/>
      <c r="N62" s="204">
        <f>IF('_Datos'!$C62,'_Datos'!$BA62,"")</f>
      </c>
    </row>
    <row r="63">
      <c r="B63" s="204">
        <f>IF('_Datos'!$C63,'_Datos'!$O63,"")</f>
      </c>
      <c r="C63" s="205">
        <f>IF('_Datos'!$C63,'_Datos'!$F63,IF('_Datos'!$B63,'Proyecto Datos (OKR´s)'!$G63,""))</f>
      </c>
      <c r="D63" s="204">
        <f>IF('_Datos'!$C63,'_Datos'!$AO63,"")</f>
      </c>
      <c r="E63" s="208">
        <f>IF('_Datos'!$C63,'_Datos'!$I63,IF('_Datos'!$B63,IFERROR(AVERAGEIF('_Datos'!$D$7:$D$200,'Proyecto Datos (OKR´s)'!$G63,'_Datos'!$I$7:$I$200),""),""))</f>
      </c>
      <c r="F63" s="204">
        <f>IF('_Datos'!$C63,IF(ISNUMBER('_Datos'!$AR63),'_Datos'!$AR63,"(Sin fecha)"),"")</f>
      </c>
      <c r="G63" s="204"/>
      <c r="H63" s="205"/>
      <c r="I63" s="204">
        <f>IF('_Datos'!$C63,IF(ISNUMBER('_Datos'!$AV63),'_Datos'!$AZ63,"(Sin fecha)"),"")</f>
      </c>
      <c r="J63" s="204"/>
      <c r="K63" s="205"/>
      <c r="L63" s="209">
        <f>IF('_Datos'!$C63,'_Datos'!$AX63,"")</f>
      </c>
      <c r="M63" s="191"/>
      <c r="N63" s="204">
        <f>IF('_Datos'!$C63,'_Datos'!$BA63,"")</f>
      </c>
    </row>
    <row r="64">
      <c r="B64" s="204">
        <f>IF('_Datos'!$C64,'_Datos'!$O64,"")</f>
      </c>
      <c r="C64" s="205">
        <f>IF('_Datos'!$C64,'_Datos'!$F64,IF('_Datos'!$B64,'Proyecto Datos (OKR´s)'!$G64,""))</f>
      </c>
      <c r="D64" s="204">
        <f>IF('_Datos'!$C64,'_Datos'!$AO64,"")</f>
      </c>
      <c r="E64" s="208">
        <f>IF('_Datos'!$C64,'_Datos'!$I64,IF('_Datos'!$B64,IFERROR(AVERAGEIF('_Datos'!$D$7:$D$200,'Proyecto Datos (OKR´s)'!$G64,'_Datos'!$I$7:$I$200),""),""))</f>
      </c>
      <c r="F64" s="204">
        <f>IF('_Datos'!$C64,IF(ISNUMBER('_Datos'!$AR64),'_Datos'!$AR64,"(Sin fecha)"),"")</f>
      </c>
      <c r="G64" s="204"/>
      <c r="H64" s="205"/>
      <c r="I64" s="204">
        <f>IF('_Datos'!$C64,IF(ISNUMBER('_Datos'!$AV64),'_Datos'!$AZ64,"(Sin fecha)"),"")</f>
      </c>
      <c r="J64" s="204"/>
      <c r="K64" s="205"/>
      <c r="L64" s="209">
        <f>IF('_Datos'!$C64,'_Datos'!$AX64,"")</f>
      </c>
      <c r="M64" s="191"/>
      <c r="N64" s="204">
        <f>IF('_Datos'!$C64,'_Datos'!$BA64,"")</f>
      </c>
    </row>
    <row r="65">
      <c r="B65" s="204">
        <f>IF('_Datos'!$C65,'_Datos'!$O65,"")</f>
      </c>
      <c r="C65" s="205">
        <f>IF('_Datos'!$C65,'_Datos'!$F65,IF('_Datos'!$B65,'Proyecto Datos (OKR´s)'!$G65,""))</f>
      </c>
      <c r="D65" s="204">
        <f>IF('_Datos'!$C65,'_Datos'!$AO65,"")</f>
      </c>
      <c r="E65" s="208">
        <f>IF('_Datos'!$C65,'_Datos'!$I65,IF('_Datos'!$B65,IFERROR(AVERAGEIF('_Datos'!$D$7:$D$200,'Proyecto Datos (OKR´s)'!$G65,'_Datos'!$I$7:$I$200),""),""))</f>
      </c>
      <c r="F65" s="204">
        <f>IF('_Datos'!$C65,IF(ISNUMBER('_Datos'!$AR65),'_Datos'!$AR65,"(Sin fecha)"),"")</f>
      </c>
      <c r="G65" s="204"/>
      <c r="H65" s="205"/>
      <c r="I65" s="204">
        <f>IF('_Datos'!$C65,IF(ISNUMBER('_Datos'!$AV65),'_Datos'!$AZ65,"(Sin fecha)"),"")</f>
      </c>
      <c r="J65" s="204"/>
      <c r="K65" s="205"/>
      <c r="L65" s="209">
        <f>IF('_Datos'!$C65,'_Datos'!$AX65,"")</f>
      </c>
      <c r="M65" s="191"/>
      <c r="N65" s="204">
        <f>IF('_Datos'!$C65,'_Datos'!$BA65,"")</f>
      </c>
    </row>
    <row r="66">
      <c r="B66" s="204">
        <f>IF('_Datos'!$C66,'_Datos'!$O66,"")</f>
      </c>
      <c r="C66" s="205">
        <f>IF('_Datos'!$C66,'_Datos'!$F66,IF('_Datos'!$B66,'Proyecto Datos (OKR´s)'!$G66,""))</f>
      </c>
      <c r="D66" s="204">
        <f>IF('_Datos'!$C66,'_Datos'!$AO66,"")</f>
      </c>
      <c r="E66" s="208">
        <f>IF('_Datos'!$C66,'_Datos'!$I66,IF('_Datos'!$B66,IFERROR(AVERAGEIF('_Datos'!$D$7:$D$200,'Proyecto Datos (OKR´s)'!$G66,'_Datos'!$I$7:$I$200),""),""))</f>
      </c>
      <c r="F66" s="204">
        <f>IF('_Datos'!$C66,IF(ISNUMBER('_Datos'!$AR66),'_Datos'!$AR66,"(Sin fecha)"),"")</f>
      </c>
      <c r="G66" s="204"/>
      <c r="H66" s="205"/>
      <c r="I66" s="204">
        <f>IF('_Datos'!$C66,IF(ISNUMBER('_Datos'!$AV66),'_Datos'!$AZ66,"(Sin fecha)"),"")</f>
      </c>
      <c r="J66" s="204"/>
      <c r="K66" s="205"/>
      <c r="L66" s="209">
        <f>IF('_Datos'!$C66,'_Datos'!$AX66,"")</f>
      </c>
      <c r="M66" s="191"/>
      <c r="N66" s="204">
        <f>IF('_Datos'!$C66,'_Datos'!$BA66,"")</f>
      </c>
    </row>
    <row r="67">
      <c r="B67" s="204">
        <f>IF('_Datos'!$C67,'_Datos'!$O67,"")</f>
      </c>
      <c r="C67" s="205">
        <f>IF('_Datos'!$C67,'_Datos'!$F67,IF('_Datos'!$B67,'Proyecto Datos (OKR´s)'!$G67,""))</f>
      </c>
      <c r="D67" s="204">
        <f>IF('_Datos'!$C67,'_Datos'!$AO67,"")</f>
      </c>
      <c r="E67" s="208">
        <f>IF('_Datos'!$C67,'_Datos'!$I67,IF('_Datos'!$B67,IFERROR(AVERAGEIF('_Datos'!$D$7:$D$200,'Proyecto Datos (OKR´s)'!$G67,'_Datos'!$I$7:$I$200),""),""))</f>
      </c>
      <c r="F67" s="204">
        <f>IF('_Datos'!$C67,IF(ISNUMBER('_Datos'!$AR67),'_Datos'!$AR67,"(Sin fecha)"),"")</f>
      </c>
      <c r="G67" s="204"/>
      <c r="H67" s="205"/>
      <c r="I67" s="204">
        <f>IF('_Datos'!$C67,IF(ISNUMBER('_Datos'!$AV67),'_Datos'!$AZ67,"(Sin fecha)"),"")</f>
      </c>
      <c r="J67" s="204"/>
      <c r="K67" s="205"/>
      <c r="L67" s="209">
        <f>IF('_Datos'!$C67,'_Datos'!$AX67,"")</f>
      </c>
      <c r="M67" s="191"/>
      <c r="N67" s="204">
        <f>IF('_Datos'!$C67,'_Datos'!$BA67,"")</f>
      </c>
    </row>
    <row r="68">
      <c r="B68" s="204">
        <f>IF('_Datos'!$C68,'_Datos'!$O68,"")</f>
      </c>
      <c r="C68" s="205">
        <f>IF('_Datos'!$C68,'_Datos'!$F68,IF('_Datos'!$B68,'Proyecto Datos (OKR´s)'!$G68,""))</f>
      </c>
      <c r="D68" s="204">
        <f>IF('_Datos'!$C68,'_Datos'!$AO68,"")</f>
      </c>
      <c r="E68" s="208">
        <f>IF('_Datos'!$C68,'_Datos'!$I68,IF('_Datos'!$B68,IFERROR(AVERAGEIF('_Datos'!$D$7:$D$200,'Proyecto Datos (OKR´s)'!$G68,'_Datos'!$I$7:$I$200),""),""))</f>
      </c>
      <c r="F68" s="204">
        <f>IF('_Datos'!$C68,IF(ISNUMBER('_Datos'!$AR68),'_Datos'!$AR68,"(Sin fecha)"),"")</f>
      </c>
      <c r="G68" s="204"/>
      <c r="H68" s="205"/>
      <c r="I68" s="204">
        <f>IF('_Datos'!$C68,IF(ISNUMBER('_Datos'!$AV68),'_Datos'!$AZ68,"(Sin fecha)"),"")</f>
      </c>
      <c r="J68" s="204"/>
      <c r="K68" s="205"/>
      <c r="L68" s="209">
        <f>IF('_Datos'!$C68,'_Datos'!$AX68,"")</f>
      </c>
      <c r="M68" s="191"/>
      <c r="N68" s="204">
        <f>IF('_Datos'!$C68,'_Datos'!$BA68,"")</f>
      </c>
    </row>
    <row r="69">
      <c r="B69" s="204">
        <f>IF('_Datos'!$C69,'_Datos'!$O69,"")</f>
      </c>
      <c r="C69" s="205">
        <f>IF('_Datos'!$C69,'_Datos'!$F69,IF('_Datos'!$B69,'Proyecto Datos (OKR´s)'!$G69,""))</f>
      </c>
      <c r="D69" s="204">
        <f>IF('_Datos'!$C69,'_Datos'!$AO69,"")</f>
      </c>
      <c r="E69" s="208">
        <f>IF('_Datos'!$C69,'_Datos'!$I69,IF('_Datos'!$B69,IFERROR(AVERAGEIF('_Datos'!$D$7:$D$200,'Proyecto Datos (OKR´s)'!$G69,'_Datos'!$I$7:$I$200),""),""))</f>
      </c>
      <c r="F69" s="204">
        <f>IF('_Datos'!$C69,IF(ISNUMBER('_Datos'!$AR69),'_Datos'!$AR69,"(Sin fecha)"),"")</f>
      </c>
      <c r="G69" s="204"/>
      <c r="H69" s="205"/>
      <c r="I69" s="204">
        <f>IF('_Datos'!$C69,IF(ISNUMBER('_Datos'!$AV69),'_Datos'!$AZ69,"(Sin fecha)"),"")</f>
      </c>
      <c r="J69" s="204"/>
      <c r="K69" s="205"/>
      <c r="L69" s="209">
        <f>IF('_Datos'!$C69,'_Datos'!$AX69,"")</f>
      </c>
      <c r="M69" s="191"/>
      <c r="N69" s="204">
        <f>IF('_Datos'!$C69,'_Datos'!$BA69,"")</f>
      </c>
    </row>
    <row r="70">
      <c r="B70" s="204">
        <f>IF('_Datos'!$C70,'_Datos'!$O70,"")</f>
      </c>
      <c r="C70" s="205">
        <f>IF('_Datos'!$C70,'_Datos'!$F70,IF('_Datos'!$B70,'Proyecto Datos (OKR´s)'!$G70,""))</f>
      </c>
      <c r="D70" s="204">
        <f>IF('_Datos'!$C70,'_Datos'!$AO70,"")</f>
      </c>
      <c r="E70" s="208">
        <f>IF('_Datos'!$C70,'_Datos'!$I70,IF('_Datos'!$B70,IFERROR(AVERAGEIF('_Datos'!$D$7:$D$200,'Proyecto Datos (OKR´s)'!$G70,'_Datos'!$I$7:$I$200),""),""))</f>
      </c>
      <c r="F70" s="204">
        <f>IF('_Datos'!$C70,IF(ISNUMBER('_Datos'!$AR70),'_Datos'!$AR70,"(Sin fecha)"),"")</f>
      </c>
      <c r="G70" s="204"/>
      <c r="H70" s="205"/>
      <c r="I70" s="204">
        <f>IF('_Datos'!$C70,IF(ISNUMBER('_Datos'!$AV70),'_Datos'!$AZ70,"(Sin fecha)"),"")</f>
      </c>
      <c r="J70" s="204"/>
      <c r="K70" s="205"/>
      <c r="L70" s="209">
        <f>IF('_Datos'!$C70,'_Datos'!$AX70,"")</f>
      </c>
      <c r="M70" s="191"/>
      <c r="N70" s="204">
        <f>IF('_Datos'!$C70,'_Datos'!$BA70,"")</f>
      </c>
    </row>
    <row r="71">
      <c r="B71" s="204">
        <f>IF('_Datos'!$C71,'_Datos'!$O71,"")</f>
      </c>
      <c r="C71" s="205">
        <f>IF('_Datos'!$C71,'_Datos'!$F71,IF('_Datos'!$B71,'Proyecto Datos (OKR´s)'!$G71,""))</f>
      </c>
      <c r="D71" s="204">
        <f>IF('_Datos'!$C71,'_Datos'!$AO71,"")</f>
      </c>
      <c r="E71" s="208">
        <f>IF('_Datos'!$C71,'_Datos'!$I71,IF('_Datos'!$B71,IFERROR(AVERAGEIF('_Datos'!$D$7:$D$200,'Proyecto Datos (OKR´s)'!$G71,'_Datos'!$I$7:$I$200),""),""))</f>
      </c>
      <c r="F71" s="204">
        <f>IF('_Datos'!$C71,IF(ISNUMBER('_Datos'!$AR71),'_Datos'!$AR71,"(Sin fecha)"),"")</f>
      </c>
      <c r="G71" s="204"/>
      <c r="H71" s="205"/>
      <c r="I71" s="204">
        <f>IF('_Datos'!$C71,IF(ISNUMBER('_Datos'!$AV71),'_Datos'!$AZ71,"(Sin fecha)"),"")</f>
      </c>
      <c r="J71" s="204"/>
      <c r="K71" s="205"/>
      <c r="L71" s="209">
        <f>IF('_Datos'!$C71,'_Datos'!$AX71,"")</f>
      </c>
      <c r="M71" s="191"/>
      <c r="N71" s="204">
        <f>IF('_Datos'!$C71,'_Datos'!$BA71,"")</f>
      </c>
    </row>
    <row r="72">
      <c r="B72" s="204">
        <f>IF('_Datos'!$C72,'_Datos'!$O72,"")</f>
      </c>
      <c r="C72" s="205">
        <f>IF('_Datos'!$C72,'_Datos'!$F72,IF('_Datos'!$B72,'Proyecto Datos (OKR´s)'!$G72,""))</f>
      </c>
      <c r="D72" s="204">
        <f>IF('_Datos'!$C72,'_Datos'!$AO72,"")</f>
      </c>
      <c r="E72" s="208">
        <f>IF('_Datos'!$C72,'_Datos'!$I72,IF('_Datos'!$B72,IFERROR(AVERAGEIF('_Datos'!$D$7:$D$200,'Proyecto Datos (OKR´s)'!$G72,'_Datos'!$I$7:$I$200),""),""))</f>
      </c>
      <c r="F72" s="204">
        <f>IF('_Datos'!$C72,IF(ISNUMBER('_Datos'!$AR72),'_Datos'!$AR72,"(Sin fecha)"),"")</f>
      </c>
      <c r="G72" s="204"/>
      <c r="H72" s="205"/>
      <c r="I72" s="204">
        <f>IF('_Datos'!$C72,IF(ISNUMBER('_Datos'!$AV72),'_Datos'!$AZ72,"(Sin fecha)"),"")</f>
      </c>
      <c r="J72" s="204"/>
      <c r="K72" s="205"/>
      <c r="L72" s="209">
        <f>IF('_Datos'!$C72,'_Datos'!$AX72,"")</f>
      </c>
      <c r="M72" s="191"/>
      <c r="N72" s="204">
        <f>IF('_Datos'!$C72,'_Datos'!$BA72,"")</f>
      </c>
    </row>
    <row r="73">
      <c r="B73" s="204">
        <f>IF('_Datos'!$C73,'_Datos'!$O73,"")</f>
      </c>
      <c r="C73" s="205">
        <f>IF('_Datos'!$C73,'_Datos'!$F73,IF('_Datos'!$B73,'Proyecto Datos (OKR´s)'!$G73,""))</f>
      </c>
      <c r="D73" s="204">
        <f>IF('_Datos'!$C73,'_Datos'!$AO73,"")</f>
      </c>
      <c r="E73" s="208">
        <f>IF('_Datos'!$C73,'_Datos'!$I73,IF('_Datos'!$B73,IFERROR(AVERAGEIF('_Datos'!$D$7:$D$200,'Proyecto Datos (OKR´s)'!$G73,'_Datos'!$I$7:$I$200),""),""))</f>
      </c>
      <c r="F73" s="204">
        <f>IF('_Datos'!$C73,IF(ISNUMBER('_Datos'!$AR73),'_Datos'!$AR73,"(Sin fecha)"),"")</f>
      </c>
      <c r="G73" s="204"/>
      <c r="H73" s="205"/>
      <c r="I73" s="204">
        <f>IF('_Datos'!$C73,IF(ISNUMBER('_Datos'!$AV73),'_Datos'!$AZ73,"(Sin fecha)"),"")</f>
      </c>
      <c r="J73" s="204"/>
      <c r="K73" s="205"/>
      <c r="L73" s="209">
        <f>IF('_Datos'!$C73,'_Datos'!$AX73,"")</f>
      </c>
      <c r="M73" s="191"/>
      <c r="N73" s="204">
        <f>IF('_Datos'!$C73,'_Datos'!$BA73,"")</f>
      </c>
    </row>
    <row r="74">
      <c r="B74" s="204">
        <f>IF('_Datos'!$C74,'_Datos'!$O74,"")</f>
      </c>
      <c r="C74" s="205">
        <f>IF('_Datos'!$C74,'_Datos'!$F74,IF('_Datos'!$B74,'Proyecto Datos (OKR´s)'!$G74,""))</f>
      </c>
      <c r="D74" s="204">
        <f>IF('_Datos'!$C74,'_Datos'!$AO74,"")</f>
      </c>
      <c r="E74" s="208">
        <f>IF('_Datos'!$C74,'_Datos'!$I74,IF('_Datos'!$B74,IFERROR(AVERAGEIF('_Datos'!$D$7:$D$200,'Proyecto Datos (OKR´s)'!$G74,'_Datos'!$I$7:$I$200),""),""))</f>
      </c>
      <c r="F74" s="204">
        <f>IF('_Datos'!$C74,IF(ISNUMBER('_Datos'!$AR74),'_Datos'!$AR74,"(Sin fecha)"),"")</f>
      </c>
      <c r="G74" s="204"/>
      <c r="H74" s="205"/>
      <c r="I74" s="204">
        <f>IF('_Datos'!$C74,IF(ISNUMBER('_Datos'!$AV74),'_Datos'!$AZ74,"(Sin fecha)"),"")</f>
      </c>
      <c r="J74" s="204"/>
      <c r="K74" s="205"/>
      <c r="L74" s="209">
        <f>IF('_Datos'!$C74,'_Datos'!$AX74,"")</f>
      </c>
      <c r="M74" s="191"/>
      <c r="N74" s="204">
        <f>IF('_Datos'!$C74,'_Datos'!$BA74,"")</f>
      </c>
    </row>
    <row r="75">
      <c r="B75" s="204">
        <f>IF('_Datos'!$C75,'_Datos'!$O75,"")</f>
      </c>
      <c r="C75" s="205">
        <f>IF('_Datos'!$C75,'_Datos'!$F75,IF('_Datos'!$B75,'Proyecto Datos (OKR´s)'!$G75,""))</f>
      </c>
      <c r="D75" s="204">
        <f>IF('_Datos'!$C75,'_Datos'!$AO75,"")</f>
      </c>
      <c r="E75" s="208">
        <f>IF('_Datos'!$C75,'_Datos'!$I75,IF('_Datos'!$B75,IFERROR(AVERAGEIF('_Datos'!$D$7:$D$200,'Proyecto Datos (OKR´s)'!$G75,'_Datos'!$I$7:$I$200),""),""))</f>
      </c>
      <c r="F75" s="204">
        <f>IF('_Datos'!$C75,IF(ISNUMBER('_Datos'!$AR75),'_Datos'!$AR75,"(Sin fecha)"),"")</f>
      </c>
      <c r="G75" s="204"/>
      <c r="H75" s="205"/>
      <c r="I75" s="204">
        <f>IF('_Datos'!$C75,IF(ISNUMBER('_Datos'!$AV75),'_Datos'!$AZ75,"(Sin fecha)"),"")</f>
      </c>
      <c r="J75" s="204"/>
      <c r="K75" s="205"/>
      <c r="L75" s="209">
        <f>IF('_Datos'!$C75,'_Datos'!$AX75,"")</f>
      </c>
      <c r="M75" s="191"/>
      <c r="N75" s="204">
        <f>IF('_Datos'!$C75,'_Datos'!$BA75,"")</f>
      </c>
    </row>
    <row r="76">
      <c r="B76" s="204">
        <f>IF('_Datos'!$C76,'_Datos'!$O76,"")</f>
      </c>
      <c r="C76" s="205">
        <f>IF('_Datos'!$C76,'_Datos'!$F76,IF('_Datos'!$B76,'Proyecto Datos (OKR´s)'!$G76,""))</f>
      </c>
      <c r="D76" s="204">
        <f>IF('_Datos'!$C76,'_Datos'!$AO76,"")</f>
      </c>
      <c r="E76" s="208">
        <f>IF('_Datos'!$C76,'_Datos'!$I76,IF('_Datos'!$B76,IFERROR(AVERAGEIF('_Datos'!$D$7:$D$200,'Proyecto Datos (OKR´s)'!$G76,'_Datos'!$I$7:$I$200),""),""))</f>
      </c>
      <c r="F76" s="204">
        <f>IF('_Datos'!$C76,IF(ISNUMBER('_Datos'!$AR76),'_Datos'!$AR76,"(Sin fecha)"),"")</f>
      </c>
      <c r="G76" s="204"/>
      <c r="H76" s="205"/>
      <c r="I76" s="204">
        <f>IF('_Datos'!$C76,IF(ISNUMBER('_Datos'!$AV76),'_Datos'!$AZ76,"(Sin fecha)"),"")</f>
      </c>
      <c r="J76" s="204"/>
      <c r="K76" s="205"/>
      <c r="L76" s="209">
        <f>IF('_Datos'!$C76,'_Datos'!$AX76,"")</f>
      </c>
      <c r="M76" s="191"/>
      <c r="N76" s="204">
        <f>IF('_Datos'!$C76,'_Datos'!$BA76,"")</f>
      </c>
    </row>
    <row r="77">
      <c r="B77" s="204">
        <f>IF('_Datos'!$C77,'_Datos'!$O77,"")</f>
      </c>
      <c r="C77" s="205">
        <f>IF('_Datos'!$C77,'_Datos'!$F77,IF('_Datos'!$B77,'Proyecto Datos (OKR´s)'!$G77,""))</f>
      </c>
      <c r="D77" s="204">
        <f>IF('_Datos'!$C77,'_Datos'!$AO77,"")</f>
      </c>
      <c r="E77" s="208">
        <f>IF('_Datos'!$C77,'_Datos'!$I77,IF('_Datos'!$B77,IFERROR(AVERAGEIF('_Datos'!$D$7:$D$200,'Proyecto Datos (OKR´s)'!$G77,'_Datos'!$I$7:$I$200),""),""))</f>
      </c>
      <c r="F77" s="204">
        <f>IF('_Datos'!$C77,IF(ISNUMBER('_Datos'!$AR77),'_Datos'!$AR77,"(Sin fecha)"),"")</f>
      </c>
      <c r="G77" s="204"/>
      <c r="H77" s="205"/>
      <c r="I77" s="204">
        <f>IF('_Datos'!$C77,IF(ISNUMBER('_Datos'!$AV77),'_Datos'!$AZ77,"(Sin fecha)"),"")</f>
      </c>
      <c r="J77" s="204"/>
      <c r="K77" s="205"/>
      <c r="L77" s="209">
        <f>IF('_Datos'!$C77,'_Datos'!$AX77,"")</f>
      </c>
      <c r="M77" s="191"/>
      <c r="N77" s="204">
        <f>IF('_Datos'!$C77,'_Datos'!$BA77,"")</f>
      </c>
    </row>
    <row r="78">
      <c r="B78" s="204">
        <f>IF('_Datos'!$C78,'_Datos'!$O78,"")</f>
      </c>
      <c r="C78" s="205">
        <f>IF('_Datos'!$C78,'_Datos'!$F78,IF('_Datos'!$B78,'Proyecto Datos (OKR´s)'!$G78,""))</f>
      </c>
      <c r="D78" s="204">
        <f>IF('_Datos'!$C78,'_Datos'!$AO78,"")</f>
      </c>
      <c r="E78" s="208">
        <f>IF('_Datos'!$C78,'_Datos'!$I78,IF('_Datos'!$B78,IFERROR(AVERAGEIF('_Datos'!$D$7:$D$200,'Proyecto Datos (OKR´s)'!$G78,'_Datos'!$I$7:$I$200),""),""))</f>
      </c>
      <c r="F78" s="204">
        <f>IF('_Datos'!$C78,IF(ISNUMBER('_Datos'!$AR78),'_Datos'!$AR78,"(Sin fecha)"),"")</f>
      </c>
      <c r="G78" s="204"/>
      <c r="H78" s="205"/>
      <c r="I78" s="204">
        <f>IF('_Datos'!$C78,IF(ISNUMBER('_Datos'!$AV78),'_Datos'!$AZ78,"(Sin fecha)"),"")</f>
      </c>
      <c r="J78" s="204"/>
      <c r="K78" s="205"/>
      <c r="L78" s="209">
        <f>IF('_Datos'!$C78,'_Datos'!$AX78,"")</f>
      </c>
      <c r="M78" s="191"/>
      <c r="N78" s="204">
        <f>IF('_Datos'!$C78,'_Datos'!$BA78,"")</f>
      </c>
    </row>
    <row r="79">
      <c r="B79" s="204">
        <f>IF('_Datos'!$C79,'_Datos'!$O79,"")</f>
      </c>
      <c r="C79" s="205">
        <f>IF('_Datos'!$C79,'_Datos'!$F79,IF('_Datos'!$B79,'Proyecto Datos (OKR´s)'!$G79,""))</f>
      </c>
      <c r="D79" s="204">
        <f>IF('_Datos'!$C79,'_Datos'!$AO79,"")</f>
      </c>
      <c r="E79" s="208">
        <f>IF('_Datos'!$C79,'_Datos'!$I79,IF('_Datos'!$B79,IFERROR(AVERAGEIF('_Datos'!$D$7:$D$200,'Proyecto Datos (OKR´s)'!$G79,'_Datos'!$I$7:$I$200),""),""))</f>
      </c>
      <c r="F79" s="204">
        <f>IF('_Datos'!$C79,IF(ISNUMBER('_Datos'!$AR79),'_Datos'!$AR79,"(Sin fecha)"),"")</f>
      </c>
      <c r="G79" s="204"/>
      <c r="H79" s="205"/>
      <c r="I79" s="204">
        <f>IF('_Datos'!$C79,IF(ISNUMBER('_Datos'!$AV79),'_Datos'!$AZ79,"(Sin fecha)"),"")</f>
      </c>
      <c r="J79" s="204"/>
      <c r="K79" s="205"/>
      <c r="L79" s="209">
        <f>IF('_Datos'!$C79,'_Datos'!$AX79,"")</f>
      </c>
      <c r="M79" s="191"/>
      <c r="N79" s="204">
        <f>IF('_Datos'!$C79,'_Datos'!$BA79,"")</f>
      </c>
    </row>
    <row r="80">
      <c r="B80" s="204">
        <f>IF('_Datos'!$C80,'_Datos'!$O80,"")</f>
      </c>
      <c r="C80" s="205">
        <f>IF('_Datos'!$C80,'_Datos'!$F80,IF('_Datos'!$B80,'Proyecto Datos (OKR´s)'!$G80,""))</f>
      </c>
      <c r="D80" s="204">
        <f>IF('_Datos'!$C80,'_Datos'!$AO80,"")</f>
      </c>
      <c r="E80" s="208">
        <f>IF('_Datos'!$C80,'_Datos'!$I80,IF('_Datos'!$B80,IFERROR(AVERAGEIF('_Datos'!$D$7:$D$200,'Proyecto Datos (OKR´s)'!$G80,'_Datos'!$I$7:$I$200),""),""))</f>
      </c>
      <c r="F80" s="204">
        <f>IF('_Datos'!$C80,IF(ISNUMBER('_Datos'!$AR80),'_Datos'!$AR80,"(Sin fecha)"),"")</f>
      </c>
      <c r="G80" s="204"/>
      <c r="H80" s="205"/>
      <c r="I80" s="204">
        <f>IF('_Datos'!$C80,IF(ISNUMBER('_Datos'!$AV80),'_Datos'!$AZ80,"(Sin fecha)"),"")</f>
      </c>
      <c r="J80" s="204"/>
      <c r="K80" s="205"/>
      <c r="L80" s="209">
        <f>IF('_Datos'!$C80,'_Datos'!$AX80,"")</f>
      </c>
      <c r="M80" s="191"/>
      <c r="N80" s="204">
        <f>IF('_Datos'!$C80,'_Datos'!$BA80,"")</f>
      </c>
    </row>
    <row r="81">
      <c r="B81" s="204">
        <f>IF('_Datos'!$C81,'_Datos'!$O81,"")</f>
      </c>
      <c r="C81" s="205">
        <f>IF('_Datos'!$C81,'_Datos'!$F81,IF('_Datos'!$B81,'Proyecto Datos (OKR´s)'!$G81,""))</f>
      </c>
      <c r="D81" s="204">
        <f>IF('_Datos'!$C81,'_Datos'!$AO81,"")</f>
      </c>
      <c r="E81" s="208">
        <f>IF('_Datos'!$C81,'_Datos'!$I81,IF('_Datos'!$B81,IFERROR(AVERAGEIF('_Datos'!$D$7:$D$200,'Proyecto Datos (OKR´s)'!$G81,'_Datos'!$I$7:$I$200),""),""))</f>
      </c>
      <c r="F81" s="204">
        <f>IF('_Datos'!$C81,IF(ISNUMBER('_Datos'!$AR81),'_Datos'!$AR81,"(Sin fecha)"),"")</f>
      </c>
      <c r="G81" s="204"/>
      <c r="H81" s="205"/>
      <c r="I81" s="204">
        <f>IF('_Datos'!$C81,IF(ISNUMBER('_Datos'!$AV81),'_Datos'!$AZ81,"(Sin fecha)"),"")</f>
      </c>
      <c r="J81" s="204"/>
      <c r="K81" s="205"/>
      <c r="L81" s="209">
        <f>IF('_Datos'!$C81,'_Datos'!$AX81,"")</f>
      </c>
      <c r="M81" s="191"/>
      <c r="N81" s="204">
        <f>IF('_Datos'!$C81,'_Datos'!$BA81,"")</f>
      </c>
    </row>
    <row r="82">
      <c r="B82" s="204">
        <f>IF('_Datos'!$C82,'_Datos'!$O82,"")</f>
      </c>
      <c r="C82" s="205">
        <f>IF('_Datos'!$C82,'_Datos'!$F82,IF('_Datos'!$B82,'Proyecto Datos (OKR´s)'!$G82,""))</f>
      </c>
      <c r="D82" s="204">
        <f>IF('_Datos'!$C82,'_Datos'!$AO82,"")</f>
      </c>
      <c r="E82" s="208">
        <f>IF('_Datos'!$C82,'_Datos'!$I82,IF('_Datos'!$B82,IFERROR(AVERAGEIF('_Datos'!$D$7:$D$200,'Proyecto Datos (OKR´s)'!$G82,'_Datos'!$I$7:$I$200),""),""))</f>
      </c>
      <c r="F82" s="204">
        <f>IF('_Datos'!$C82,IF(ISNUMBER('_Datos'!$AR82),'_Datos'!$AR82,"(Sin fecha)"),"")</f>
      </c>
      <c r="G82" s="204"/>
      <c r="H82" s="205"/>
      <c r="I82" s="204">
        <f>IF('_Datos'!$C82,IF(ISNUMBER('_Datos'!$AV82),'_Datos'!$AZ82,"(Sin fecha)"),"")</f>
      </c>
      <c r="J82" s="204"/>
      <c r="K82" s="205"/>
      <c r="L82" s="209">
        <f>IF('_Datos'!$C82,'_Datos'!$AX82,"")</f>
      </c>
      <c r="M82" s="191"/>
      <c r="N82" s="204">
        <f>IF('_Datos'!$C82,'_Datos'!$BA82,"")</f>
      </c>
    </row>
    <row r="83">
      <c r="B83" s="204">
        <f>IF('_Datos'!$C83,'_Datos'!$O83,"")</f>
      </c>
      <c r="C83" s="205">
        <f>IF('_Datos'!$C83,'_Datos'!$F83,IF('_Datos'!$B83,'Proyecto Datos (OKR´s)'!$G83,""))</f>
      </c>
      <c r="D83" s="204">
        <f>IF('_Datos'!$C83,'_Datos'!$AO83,"")</f>
      </c>
      <c r="E83" s="208">
        <f>IF('_Datos'!$C83,'_Datos'!$I83,IF('_Datos'!$B83,IFERROR(AVERAGEIF('_Datos'!$D$7:$D$200,'Proyecto Datos (OKR´s)'!$G83,'_Datos'!$I$7:$I$200),""),""))</f>
      </c>
      <c r="F83" s="204">
        <f>IF('_Datos'!$C83,IF(ISNUMBER('_Datos'!$AR83),'_Datos'!$AR83,"(Sin fecha)"),"")</f>
      </c>
      <c r="G83" s="204"/>
      <c r="H83" s="205"/>
      <c r="I83" s="204">
        <f>IF('_Datos'!$C83,IF(ISNUMBER('_Datos'!$AV83),'_Datos'!$AZ83,"(Sin fecha)"),"")</f>
      </c>
      <c r="J83" s="204"/>
      <c r="K83" s="205"/>
      <c r="L83" s="209">
        <f>IF('_Datos'!$C83,'_Datos'!$AX83,"")</f>
      </c>
      <c r="M83" s="191"/>
      <c r="N83" s="204">
        <f>IF('_Datos'!$C83,'_Datos'!$BA83,"")</f>
      </c>
    </row>
    <row r="84">
      <c r="B84" s="204">
        <f>IF('_Datos'!$C84,'_Datos'!$O84,"")</f>
      </c>
      <c r="C84" s="205">
        <f>IF('_Datos'!$C84,'_Datos'!$F84,IF('_Datos'!$B84,'Proyecto Datos (OKR´s)'!$G84,""))</f>
      </c>
      <c r="D84" s="204">
        <f>IF('_Datos'!$C84,'_Datos'!$AO84,"")</f>
      </c>
      <c r="E84" s="208">
        <f>IF('_Datos'!$C84,'_Datos'!$I84,IF('_Datos'!$B84,IFERROR(AVERAGEIF('_Datos'!$D$7:$D$200,'Proyecto Datos (OKR´s)'!$G84,'_Datos'!$I$7:$I$200),""),""))</f>
      </c>
      <c r="F84" s="204">
        <f>IF('_Datos'!$C84,IF(ISNUMBER('_Datos'!$AR84),'_Datos'!$AR84,"(Sin fecha)"),"")</f>
      </c>
      <c r="G84" s="204"/>
      <c r="H84" s="205"/>
      <c r="I84" s="204">
        <f>IF('_Datos'!$C84,IF(ISNUMBER('_Datos'!$AV84),'_Datos'!$AZ84,"(Sin fecha)"),"")</f>
      </c>
      <c r="J84" s="204"/>
      <c r="K84" s="205"/>
      <c r="L84" s="209">
        <f>IF('_Datos'!$C84,'_Datos'!$AX84,"")</f>
      </c>
      <c r="M84" s="191"/>
      <c r="N84" s="204">
        <f>IF('_Datos'!$C84,'_Datos'!$BA84,"")</f>
      </c>
    </row>
    <row r="85">
      <c r="B85" s="204">
        <f>IF('_Datos'!$C85,'_Datos'!$O85,"")</f>
      </c>
      <c r="C85" s="205">
        <f>IF('_Datos'!$C85,'_Datos'!$F85,IF('_Datos'!$B85,'Proyecto Datos (OKR´s)'!$G85,""))</f>
      </c>
      <c r="D85" s="204">
        <f>IF('_Datos'!$C85,'_Datos'!$AO85,"")</f>
      </c>
      <c r="E85" s="208">
        <f>IF('_Datos'!$C85,'_Datos'!$I85,IF('_Datos'!$B85,IFERROR(AVERAGEIF('_Datos'!$D$7:$D$200,'Proyecto Datos (OKR´s)'!$G85,'_Datos'!$I$7:$I$200),""),""))</f>
      </c>
      <c r="F85" s="204">
        <f>IF('_Datos'!$C85,IF(ISNUMBER('_Datos'!$AR85),'_Datos'!$AR85,"(Sin fecha)"),"")</f>
      </c>
      <c r="G85" s="204"/>
      <c r="H85" s="205"/>
      <c r="I85" s="204">
        <f>IF('_Datos'!$C85,IF(ISNUMBER('_Datos'!$AV85),'_Datos'!$AZ85,"(Sin fecha)"),"")</f>
      </c>
      <c r="J85" s="204"/>
      <c r="K85" s="205"/>
      <c r="L85" s="209">
        <f>IF('_Datos'!$C85,'_Datos'!$AX85,"")</f>
      </c>
      <c r="M85" s="191"/>
      <c r="N85" s="204">
        <f>IF('_Datos'!$C85,'_Datos'!$BA85,"")</f>
      </c>
    </row>
    <row r="86">
      <c r="B86" s="204">
        <f>IF('_Datos'!$C86,'_Datos'!$O86,"")</f>
      </c>
      <c r="C86" s="205">
        <f>IF('_Datos'!$C86,'_Datos'!$F86,IF('_Datos'!$B86,'Proyecto Datos (OKR´s)'!$G86,""))</f>
      </c>
      <c r="D86" s="204">
        <f>IF('_Datos'!$C86,'_Datos'!$AO86,"")</f>
      </c>
      <c r="E86" s="208">
        <f>IF('_Datos'!$C86,'_Datos'!$I86,IF('_Datos'!$B86,IFERROR(AVERAGEIF('_Datos'!$D$7:$D$200,'Proyecto Datos (OKR´s)'!$G86,'_Datos'!$I$7:$I$200),""),""))</f>
      </c>
      <c r="F86" s="204">
        <f>IF('_Datos'!$C86,IF(ISNUMBER('_Datos'!$AR86),'_Datos'!$AR86,"(Sin fecha)"),"")</f>
      </c>
      <c r="G86" s="204"/>
      <c r="H86" s="205"/>
      <c r="I86" s="204">
        <f>IF('_Datos'!$C86,IF(ISNUMBER('_Datos'!$AV86),'_Datos'!$AZ86,"(Sin fecha)"),"")</f>
      </c>
      <c r="J86" s="204"/>
      <c r="K86" s="205"/>
      <c r="L86" s="209">
        <f>IF('_Datos'!$C86,'_Datos'!$AX86,"")</f>
      </c>
      <c r="M86" s="191"/>
      <c r="N86" s="204">
        <f>IF('_Datos'!$C86,'_Datos'!$BA86,"")</f>
      </c>
    </row>
    <row r="87">
      <c r="B87" s="204">
        <f>IF('_Datos'!$C87,'_Datos'!$O87,"")</f>
      </c>
      <c r="C87" s="205">
        <f>IF('_Datos'!$C87,'_Datos'!$F87,IF('_Datos'!$B87,'Proyecto Datos (OKR´s)'!$G87,""))</f>
      </c>
      <c r="D87" s="204">
        <f>IF('_Datos'!$C87,'_Datos'!$AO87,"")</f>
      </c>
      <c r="E87" s="208">
        <f>IF('_Datos'!$C87,'_Datos'!$I87,IF('_Datos'!$B87,IFERROR(AVERAGEIF('_Datos'!$D$7:$D$200,'Proyecto Datos (OKR´s)'!$G87,'_Datos'!$I$7:$I$200),""),""))</f>
      </c>
      <c r="F87" s="204">
        <f>IF('_Datos'!$C87,IF(ISNUMBER('_Datos'!$AR87),'_Datos'!$AR87,"(Sin fecha)"),"")</f>
      </c>
      <c r="G87" s="204"/>
      <c r="H87" s="205"/>
      <c r="I87" s="204">
        <f>IF('_Datos'!$C87,IF(ISNUMBER('_Datos'!$AV87),'_Datos'!$AZ87,"(Sin fecha)"),"")</f>
      </c>
      <c r="J87" s="204"/>
      <c r="K87" s="205"/>
      <c r="L87" s="209">
        <f>IF('_Datos'!$C87,'_Datos'!$AX87,"")</f>
      </c>
      <c r="M87" s="191"/>
      <c r="N87" s="204">
        <f>IF('_Datos'!$C87,'_Datos'!$BA87,"")</f>
      </c>
    </row>
    <row r="88">
      <c r="B88" s="204">
        <f>IF('_Datos'!$C88,'_Datos'!$O88,"")</f>
      </c>
      <c r="C88" s="205">
        <f>IF('_Datos'!$C88,'_Datos'!$F88,IF('_Datos'!$B88,'Proyecto Datos (OKR´s)'!$G88,""))</f>
      </c>
      <c r="D88" s="204">
        <f>IF('_Datos'!$C88,'_Datos'!$AO88,"")</f>
      </c>
      <c r="E88" s="208">
        <f>IF('_Datos'!$C88,'_Datos'!$I88,IF('_Datos'!$B88,IFERROR(AVERAGEIF('_Datos'!$D$7:$D$200,'Proyecto Datos (OKR´s)'!$G88,'_Datos'!$I$7:$I$200),""),""))</f>
      </c>
      <c r="F88" s="204">
        <f>IF('_Datos'!$C88,IF(ISNUMBER('_Datos'!$AR88),'_Datos'!$AR88,"(Sin fecha)"),"")</f>
      </c>
      <c r="G88" s="204"/>
      <c r="H88" s="205"/>
      <c r="I88" s="204">
        <f>IF('_Datos'!$C88,IF(ISNUMBER('_Datos'!$AV88),'_Datos'!$AZ88,"(Sin fecha)"),"")</f>
      </c>
      <c r="J88" s="204"/>
      <c r="K88" s="205"/>
      <c r="L88" s="209">
        <f>IF('_Datos'!$C88,'_Datos'!$AX88,"")</f>
      </c>
      <c r="M88" s="191"/>
      <c r="N88" s="204">
        <f>IF('_Datos'!$C88,'_Datos'!$BA88,"")</f>
      </c>
    </row>
    <row r="89">
      <c r="B89" s="204">
        <f>IF('_Datos'!$C89,'_Datos'!$O89,"")</f>
      </c>
      <c r="C89" s="205">
        <f>IF('_Datos'!$C89,'_Datos'!$F89,IF('_Datos'!$B89,'Proyecto Datos (OKR´s)'!$G89,""))</f>
      </c>
      <c r="D89" s="204">
        <f>IF('_Datos'!$C89,'_Datos'!$AO89,"")</f>
      </c>
      <c r="E89" s="208">
        <f>IF('_Datos'!$C89,'_Datos'!$I89,IF('_Datos'!$B89,IFERROR(AVERAGEIF('_Datos'!$D$7:$D$200,'Proyecto Datos (OKR´s)'!$G89,'_Datos'!$I$7:$I$200),""),""))</f>
      </c>
      <c r="F89" s="204">
        <f>IF('_Datos'!$C89,IF(ISNUMBER('_Datos'!$AR89),'_Datos'!$AR89,"(Sin fecha)"),"")</f>
      </c>
      <c r="G89" s="204"/>
      <c r="H89" s="205"/>
      <c r="I89" s="204">
        <f>IF('_Datos'!$C89,IF(ISNUMBER('_Datos'!$AV89),'_Datos'!$AZ89,"(Sin fecha)"),"")</f>
      </c>
      <c r="J89" s="204"/>
      <c r="K89" s="205"/>
      <c r="L89" s="209">
        <f>IF('_Datos'!$C89,'_Datos'!$AX89,"")</f>
      </c>
      <c r="M89" s="191"/>
      <c r="N89" s="204">
        <f>IF('_Datos'!$C89,'_Datos'!$BA89,"")</f>
      </c>
    </row>
    <row r="90">
      <c r="B90" s="204">
        <f>IF('_Datos'!$C90,'_Datos'!$O90,"")</f>
      </c>
      <c r="C90" s="205">
        <f>IF('_Datos'!$C90,'_Datos'!$F90,IF('_Datos'!$B90,'Proyecto Datos (OKR´s)'!$G90,""))</f>
      </c>
      <c r="D90" s="204">
        <f>IF('_Datos'!$C90,'_Datos'!$AO90,"")</f>
      </c>
      <c r="E90" s="208">
        <f>IF('_Datos'!$C90,'_Datos'!$I90,IF('_Datos'!$B90,IFERROR(AVERAGEIF('_Datos'!$D$7:$D$200,'Proyecto Datos (OKR´s)'!$G90,'_Datos'!$I$7:$I$200),""),""))</f>
      </c>
      <c r="F90" s="204">
        <f>IF('_Datos'!$C90,IF(ISNUMBER('_Datos'!$AR90),'_Datos'!$AR90,"(Sin fecha)"),"")</f>
      </c>
      <c r="G90" s="204"/>
      <c r="H90" s="205"/>
      <c r="I90" s="204">
        <f>IF('_Datos'!$C90,IF(ISNUMBER('_Datos'!$AV90),'_Datos'!$AZ90,"(Sin fecha)"),"")</f>
      </c>
      <c r="J90" s="204"/>
      <c r="K90" s="205"/>
      <c r="L90" s="209">
        <f>IF('_Datos'!$C90,'_Datos'!$AX90,"")</f>
      </c>
      <c r="M90" s="191"/>
      <c r="N90" s="204">
        <f>IF('_Datos'!$C90,'_Datos'!$BA90,"")</f>
      </c>
    </row>
    <row r="91">
      <c r="B91" s="204">
        <f>IF('_Datos'!$C91,'_Datos'!$O91,"")</f>
      </c>
      <c r="C91" s="205">
        <f>IF('_Datos'!$C91,'_Datos'!$F91,IF('_Datos'!$B91,'Proyecto Datos (OKR´s)'!$G91,""))</f>
      </c>
      <c r="D91" s="204">
        <f>IF('_Datos'!$C91,'_Datos'!$AO91,"")</f>
      </c>
      <c r="E91" s="208">
        <f>IF('_Datos'!$C91,'_Datos'!$I91,IF('_Datos'!$B91,IFERROR(AVERAGEIF('_Datos'!$D$7:$D$200,'Proyecto Datos (OKR´s)'!$G91,'_Datos'!$I$7:$I$200),""),""))</f>
      </c>
      <c r="F91" s="204">
        <f>IF('_Datos'!$C91,IF(ISNUMBER('_Datos'!$AR91),'_Datos'!$AR91,"(Sin fecha)"),"")</f>
      </c>
      <c r="G91" s="204"/>
      <c r="H91" s="205"/>
      <c r="I91" s="204">
        <f>IF('_Datos'!$C91,IF(ISNUMBER('_Datos'!$AV91),'_Datos'!$AZ91,"(Sin fecha)"),"")</f>
      </c>
      <c r="J91" s="204"/>
      <c r="K91" s="205"/>
      <c r="L91" s="209">
        <f>IF('_Datos'!$C91,'_Datos'!$AX91,"")</f>
      </c>
      <c r="M91" s="191"/>
      <c r="N91" s="204">
        <f>IF('_Datos'!$C91,'_Datos'!$BA91,"")</f>
      </c>
    </row>
    <row r="92">
      <c r="B92" s="204">
        <f>IF('_Datos'!$C92,'_Datos'!$O92,"")</f>
      </c>
      <c r="C92" s="205">
        <f>IF('_Datos'!$C92,'_Datos'!$F92,IF('_Datos'!$B92,'Proyecto Datos (OKR´s)'!$G92,""))</f>
      </c>
      <c r="D92" s="204">
        <f>IF('_Datos'!$C92,'_Datos'!$AO92,"")</f>
      </c>
      <c r="E92" s="208">
        <f>IF('_Datos'!$C92,'_Datos'!$I92,IF('_Datos'!$B92,IFERROR(AVERAGEIF('_Datos'!$D$7:$D$200,'Proyecto Datos (OKR´s)'!$G92,'_Datos'!$I$7:$I$200),""),""))</f>
      </c>
      <c r="F92" s="204">
        <f>IF('_Datos'!$C92,IF(ISNUMBER('_Datos'!$AR92),'_Datos'!$AR92,"(Sin fecha)"),"")</f>
      </c>
      <c r="G92" s="204"/>
      <c r="H92" s="205"/>
      <c r="I92" s="204">
        <f>IF('_Datos'!$C92,IF(ISNUMBER('_Datos'!$AV92),'_Datos'!$AZ92,"(Sin fecha)"),"")</f>
      </c>
      <c r="J92" s="204"/>
      <c r="K92" s="205"/>
      <c r="L92" s="209">
        <f>IF('_Datos'!$C92,'_Datos'!$AX92,"")</f>
      </c>
      <c r="M92" s="191"/>
      <c r="N92" s="204">
        <f>IF('_Datos'!$C92,'_Datos'!$BA92,"")</f>
      </c>
    </row>
    <row r="93">
      <c r="B93" s="204">
        <f>IF('_Datos'!$C93,'_Datos'!$O93,"")</f>
      </c>
      <c r="C93" s="205">
        <f>IF('_Datos'!$C93,'_Datos'!$F93,IF('_Datos'!$B93,'Proyecto Datos (OKR´s)'!$G93,""))</f>
      </c>
      <c r="D93" s="204">
        <f>IF('_Datos'!$C93,'_Datos'!$AO93,"")</f>
      </c>
      <c r="E93" s="208">
        <f>IF('_Datos'!$C93,'_Datos'!$I93,IF('_Datos'!$B93,IFERROR(AVERAGEIF('_Datos'!$D$7:$D$200,'Proyecto Datos (OKR´s)'!$G93,'_Datos'!$I$7:$I$200),""),""))</f>
      </c>
      <c r="F93" s="204">
        <f>IF('_Datos'!$C93,IF(ISNUMBER('_Datos'!$AR93),'_Datos'!$AR93,"(Sin fecha)"),"")</f>
      </c>
      <c r="G93" s="204"/>
      <c r="H93" s="205"/>
      <c r="I93" s="204">
        <f>IF('_Datos'!$C93,IF(ISNUMBER('_Datos'!$AV93),'_Datos'!$AZ93,"(Sin fecha)"),"")</f>
      </c>
      <c r="J93" s="204"/>
      <c r="K93" s="205"/>
      <c r="L93" s="209">
        <f>IF('_Datos'!$C93,'_Datos'!$AX93,"")</f>
      </c>
      <c r="M93" s="191"/>
      <c r="N93" s="204">
        <f>IF('_Datos'!$C93,'_Datos'!$BA93,"")</f>
      </c>
    </row>
    <row r="94">
      <c r="B94" s="204">
        <f>IF('_Datos'!$C94,'_Datos'!$O94,"")</f>
      </c>
      <c r="C94" s="205">
        <f>IF('_Datos'!$C94,'_Datos'!$F94,IF('_Datos'!$B94,'Proyecto Datos (OKR´s)'!$G94,""))</f>
      </c>
      <c r="D94" s="204">
        <f>IF('_Datos'!$C94,'_Datos'!$AO94,"")</f>
      </c>
      <c r="E94" s="208">
        <f>IF('_Datos'!$C94,'_Datos'!$I94,IF('_Datos'!$B94,IFERROR(AVERAGEIF('_Datos'!$D$7:$D$200,'Proyecto Datos (OKR´s)'!$G94,'_Datos'!$I$7:$I$200),""),""))</f>
      </c>
      <c r="F94" s="204">
        <f>IF('_Datos'!$C94,IF(ISNUMBER('_Datos'!$AR94),'_Datos'!$AR94,"(Sin fecha)"),"")</f>
      </c>
      <c r="G94" s="204"/>
      <c r="H94" s="205"/>
      <c r="I94" s="204">
        <f>IF('_Datos'!$C94,IF(ISNUMBER('_Datos'!$AV94),'_Datos'!$AZ94,"(Sin fecha)"),"")</f>
      </c>
      <c r="J94" s="204"/>
      <c r="K94" s="205"/>
      <c r="L94" s="209">
        <f>IF('_Datos'!$C94,'_Datos'!$AX94,"")</f>
      </c>
      <c r="M94" s="191"/>
      <c r="N94" s="204">
        <f>IF('_Datos'!$C94,'_Datos'!$BA94,"")</f>
      </c>
    </row>
    <row r="95">
      <c r="B95" s="204">
        <f>IF('_Datos'!$C95,'_Datos'!$O95,"")</f>
      </c>
      <c r="C95" s="205">
        <f>IF('_Datos'!$C95,'_Datos'!$F95,IF('_Datos'!$B95,'Proyecto Datos (OKR´s)'!$G95,""))</f>
      </c>
      <c r="D95" s="204">
        <f>IF('_Datos'!$C95,'_Datos'!$AO95,"")</f>
      </c>
      <c r="E95" s="208">
        <f>IF('_Datos'!$C95,'_Datos'!$I95,IF('_Datos'!$B95,IFERROR(AVERAGEIF('_Datos'!$D$7:$D$200,'Proyecto Datos (OKR´s)'!$G95,'_Datos'!$I$7:$I$200),""),""))</f>
      </c>
      <c r="F95" s="204">
        <f>IF('_Datos'!$C95,IF(ISNUMBER('_Datos'!$AR95),'_Datos'!$AR95,"(Sin fecha)"),"")</f>
      </c>
      <c r="G95" s="204"/>
      <c r="H95" s="205"/>
      <c r="I95" s="204">
        <f>IF('_Datos'!$C95,IF(ISNUMBER('_Datos'!$AV95),'_Datos'!$AZ95,"(Sin fecha)"),"")</f>
      </c>
      <c r="J95" s="204"/>
      <c r="K95" s="205"/>
      <c r="L95" s="209">
        <f>IF('_Datos'!$C95,'_Datos'!$AX95,"")</f>
      </c>
      <c r="M95" s="191"/>
      <c r="N95" s="204">
        <f>IF('_Datos'!$C95,'_Datos'!$BA95,"")</f>
      </c>
    </row>
    <row r="96">
      <c r="B96" s="204">
        <f>IF('_Datos'!$C96,'_Datos'!$O96,"")</f>
      </c>
      <c r="C96" s="205">
        <f>IF('_Datos'!$C96,'_Datos'!$F96,IF('_Datos'!$B96,'Proyecto Datos (OKR´s)'!$G96,""))</f>
      </c>
      <c r="D96" s="204">
        <f>IF('_Datos'!$C96,'_Datos'!$AO96,"")</f>
      </c>
      <c r="E96" s="208">
        <f>IF('_Datos'!$C96,'_Datos'!$I96,IF('_Datos'!$B96,IFERROR(AVERAGEIF('_Datos'!$D$7:$D$200,'Proyecto Datos (OKR´s)'!$G96,'_Datos'!$I$7:$I$200),""),""))</f>
      </c>
      <c r="F96" s="204">
        <f>IF('_Datos'!$C96,IF(ISNUMBER('_Datos'!$AR96),'_Datos'!$AR96,"(Sin fecha)"),"")</f>
      </c>
      <c r="G96" s="204"/>
      <c r="H96" s="205"/>
      <c r="I96" s="204">
        <f>IF('_Datos'!$C96,IF(ISNUMBER('_Datos'!$AV96),'_Datos'!$AZ96,"(Sin fecha)"),"")</f>
      </c>
      <c r="J96" s="204"/>
      <c r="K96" s="205"/>
      <c r="L96" s="209">
        <f>IF('_Datos'!$C96,'_Datos'!$AX96,"")</f>
      </c>
      <c r="M96" s="191"/>
      <c r="N96" s="204">
        <f>IF('_Datos'!$C96,'_Datos'!$BA96,"")</f>
      </c>
    </row>
    <row r="97">
      <c r="B97" s="204">
        <f>IF('_Datos'!$C97,'_Datos'!$O97,"")</f>
      </c>
      <c r="C97" s="205">
        <f>IF('_Datos'!$C97,'_Datos'!$F97,IF('_Datos'!$B97,'Proyecto Datos (OKR´s)'!$G97,""))</f>
      </c>
      <c r="D97" s="204">
        <f>IF('_Datos'!$C97,'_Datos'!$AO97,"")</f>
      </c>
      <c r="E97" s="208">
        <f>IF('_Datos'!$C97,'_Datos'!$I97,IF('_Datos'!$B97,IFERROR(AVERAGEIF('_Datos'!$D$7:$D$200,'Proyecto Datos (OKR´s)'!$G97,'_Datos'!$I$7:$I$200),""),""))</f>
      </c>
      <c r="F97" s="204">
        <f>IF('_Datos'!$C97,IF(ISNUMBER('_Datos'!$AR97),'_Datos'!$AR97,"(Sin fecha)"),"")</f>
      </c>
      <c r="G97" s="204"/>
      <c r="H97" s="205"/>
      <c r="I97" s="204">
        <f>IF('_Datos'!$C97,IF(ISNUMBER('_Datos'!$AV97),'_Datos'!$AZ97,"(Sin fecha)"),"")</f>
      </c>
      <c r="J97" s="204"/>
      <c r="K97" s="205"/>
      <c r="L97" s="209">
        <f>IF('_Datos'!$C97,'_Datos'!$AX97,"")</f>
      </c>
      <c r="M97" s="191"/>
      <c r="N97" s="204">
        <f>IF('_Datos'!$C97,'_Datos'!$BA97,"")</f>
      </c>
    </row>
    <row r="98">
      <c r="B98" s="204">
        <f>IF('_Datos'!$C98,'_Datos'!$O98,"")</f>
      </c>
      <c r="C98" s="205">
        <f>IF('_Datos'!$C98,'_Datos'!$F98,IF('_Datos'!$B98,'Proyecto Datos (OKR´s)'!$G98,""))</f>
      </c>
      <c r="D98" s="204">
        <f>IF('_Datos'!$C98,'_Datos'!$AO98,"")</f>
      </c>
      <c r="E98" s="208">
        <f>IF('_Datos'!$C98,'_Datos'!$I98,IF('_Datos'!$B98,IFERROR(AVERAGEIF('_Datos'!$D$7:$D$200,'Proyecto Datos (OKR´s)'!$G98,'_Datos'!$I$7:$I$200),""),""))</f>
      </c>
      <c r="F98" s="204">
        <f>IF('_Datos'!$C98,IF(ISNUMBER('_Datos'!$AR98),'_Datos'!$AR98,"(Sin fecha)"),"")</f>
      </c>
      <c r="G98" s="204"/>
      <c r="H98" s="205"/>
      <c r="I98" s="204">
        <f>IF('_Datos'!$C98,IF(ISNUMBER('_Datos'!$AV98),'_Datos'!$AZ98,"(Sin fecha)"),"")</f>
      </c>
      <c r="J98" s="204"/>
      <c r="K98" s="205"/>
      <c r="L98" s="209">
        <f>IF('_Datos'!$C98,'_Datos'!$AX98,"")</f>
      </c>
      <c r="M98" s="191"/>
      <c r="N98" s="204">
        <f>IF('_Datos'!$C98,'_Datos'!$BA98,"")</f>
      </c>
    </row>
    <row r="99">
      <c r="B99" s="204">
        <f>IF('_Datos'!$C99,'_Datos'!$O99,"")</f>
      </c>
      <c r="C99" s="205">
        <f>IF('_Datos'!$C99,'_Datos'!$F99,IF('_Datos'!$B99,'Proyecto Datos (OKR´s)'!$G99,""))</f>
      </c>
      <c r="D99" s="204">
        <f>IF('_Datos'!$C99,'_Datos'!$AO99,"")</f>
      </c>
      <c r="E99" s="208">
        <f>IF('_Datos'!$C99,'_Datos'!$I99,IF('_Datos'!$B99,IFERROR(AVERAGEIF('_Datos'!$D$7:$D$200,'Proyecto Datos (OKR´s)'!$G99,'_Datos'!$I$7:$I$200),""),""))</f>
      </c>
      <c r="F99" s="204">
        <f>IF('_Datos'!$C99,IF(ISNUMBER('_Datos'!$AR99),'_Datos'!$AR99,"(Sin fecha)"),"")</f>
      </c>
      <c r="G99" s="204"/>
      <c r="H99" s="205"/>
      <c r="I99" s="204">
        <f>IF('_Datos'!$C99,IF(ISNUMBER('_Datos'!$AV99),'_Datos'!$AZ99,"(Sin fecha)"),"")</f>
      </c>
      <c r="J99" s="204"/>
      <c r="K99" s="205"/>
      <c r="L99" s="209">
        <f>IF('_Datos'!$C99,'_Datos'!$AX99,"")</f>
      </c>
      <c r="M99" s="191"/>
      <c r="N99" s="204">
        <f>IF('_Datos'!$C99,'_Datos'!$BA99,"")</f>
      </c>
    </row>
    <row r="100">
      <c r="B100" s="204">
        <f>IF('_Datos'!$C100,'_Datos'!$O100,"")</f>
      </c>
      <c r="C100" s="205">
        <f>IF('_Datos'!$C100,'_Datos'!$F100,IF('_Datos'!$B100,'Proyecto Datos (OKR´s)'!$G100,""))</f>
      </c>
      <c r="D100" s="204">
        <f>IF('_Datos'!$C100,'_Datos'!$AO100,"")</f>
      </c>
      <c r="E100" s="208">
        <f>IF('_Datos'!$C100,'_Datos'!$I100,IF('_Datos'!$B100,IFERROR(AVERAGEIF('_Datos'!$D$7:$D$200,'Proyecto Datos (OKR´s)'!$G100,'_Datos'!$I$7:$I$200),""),""))</f>
      </c>
      <c r="F100" s="204">
        <f>IF('_Datos'!$C100,IF(ISNUMBER('_Datos'!$AR100),'_Datos'!$AR100,"(Sin fecha)"),"")</f>
      </c>
      <c r="G100" s="204"/>
      <c r="H100" s="205"/>
      <c r="I100" s="204">
        <f>IF('_Datos'!$C100,IF(ISNUMBER('_Datos'!$AV100),'_Datos'!$AZ100,"(Sin fecha)"),"")</f>
      </c>
      <c r="J100" s="204"/>
      <c r="K100" s="205"/>
      <c r="L100" s="209">
        <f>IF('_Datos'!$C100,'_Datos'!$AX100,"")</f>
      </c>
      <c r="M100" s="191"/>
      <c r="N100" s="204">
        <f>IF('_Datos'!$C100,'_Datos'!$BA100,"")</f>
      </c>
    </row>
    <row r="101">
      <c r="B101" s="204">
        <f>IF('_Datos'!$C101,'_Datos'!$O101,"")</f>
      </c>
      <c r="C101" s="205">
        <f>IF('_Datos'!$C101,'_Datos'!$F101,IF('_Datos'!$B101,'Proyecto Datos (OKR´s)'!$G101,""))</f>
      </c>
      <c r="D101" s="204">
        <f>IF('_Datos'!$C101,'_Datos'!$AO101,"")</f>
      </c>
      <c r="E101" s="208">
        <f>IF('_Datos'!$C101,'_Datos'!$I101,IF('_Datos'!$B101,IFERROR(AVERAGEIF('_Datos'!$D$7:$D$200,'Proyecto Datos (OKR´s)'!$G101,'_Datos'!$I$7:$I$200),""),""))</f>
      </c>
      <c r="F101" s="204">
        <f>IF('_Datos'!$C101,IF(ISNUMBER('_Datos'!$AR101),'_Datos'!$AR101,"(Sin fecha)"),"")</f>
      </c>
      <c r="G101" s="204"/>
      <c r="H101" s="205"/>
      <c r="I101" s="204">
        <f>IF('_Datos'!$C101,IF(ISNUMBER('_Datos'!$AV101),'_Datos'!$AZ101,"(Sin fecha)"),"")</f>
      </c>
      <c r="J101" s="204"/>
      <c r="K101" s="205"/>
      <c r="L101" s="209">
        <f>IF('_Datos'!$C101,'_Datos'!$AX101,"")</f>
      </c>
      <c r="M101" s="191"/>
      <c r="N101" s="204">
        <f>IF('_Datos'!$C101,'_Datos'!$BA101,"")</f>
      </c>
    </row>
    <row r="102">
      <c r="B102" s="204">
        <f>IF('_Datos'!$C102,'_Datos'!$O102,"")</f>
      </c>
      <c r="C102" s="205">
        <f>IF('_Datos'!$C102,'_Datos'!$F102,IF('_Datos'!$B102,'Proyecto Datos (OKR´s)'!$G102,""))</f>
      </c>
      <c r="D102" s="204">
        <f>IF('_Datos'!$C102,'_Datos'!$AO102,"")</f>
      </c>
      <c r="E102" s="208">
        <f>IF('_Datos'!$C102,'_Datos'!$I102,IF('_Datos'!$B102,IFERROR(AVERAGEIF('_Datos'!$D$7:$D$200,'Proyecto Datos (OKR´s)'!$G102,'_Datos'!$I$7:$I$200),""),""))</f>
      </c>
      <c r="F102" s="204">
        <f>IF('_Datos'!$C102,IF(ISNUMBER('_Datos'!$AR102),'_Datos'!$AR102,"(Sin fecha)"),"")</f>
      </c>
      <c r="G102" s="204"/>
      <c r="H102" s="205"/>
      <c r="I102" s="204">
        <f>IF('_Datos'!$C102,IF(ISNUMBER('_Datos'!$AV102),'_Datos'!$AZ102,"(Sin fecha)"),"")</f>
      </c>
      <c r="J102" s="204"/>
      <c r="K102" s="205"/>
      <c r="L102" s="209">
        <f>IF('_Datos'!$C102,'_Datos'!$AX102,"")</f>
      </c>
      <c r="M102" s="191"/>
      <c r="N102" s="204">
        <f>IF('_Datos'!$C102,'_Datos'!$BA102,"")</f>
      </c>
    </row>
    <row r="103">
      <c r="B103" s="204">
        <f>IF('_Datos'!$C103,'_Datos'!$O103,"")</f>
      </c>
      <c r="C103" s="205">
        <f>IF('_Datos'!$C103,'_Datos'!$F103,IF('_Datos'!$B103,'Proyecto Datos (OKR´s)'!$G103,""))</f>
      </c>
      <c r="D103" s="204">
        <f>IF('_Datos'!$C103,'_Datos'!$AO103,"")</f>
      </c>
      <c r="E103" s="208">
        <f>IF('_Datos'!$C103,'_Datos'!$I103,IF('_Datos'!$B103,IFERROR(AVERAGEIF('_Datos'!$D$7:$D$200,'Proyecto Datos (OKR´s)'!$G103,'_Datos'!$I$7:$I$200),""),""))</f>
      </c>
      <c r="F103" s="204">
        <f>IF('_Datos'!$C103,IF(ISNUMBER('_Datos'!$AR103),'_Datos'!$AR103,"(Sin fecha)"),"")</f>
      </c>
      <c r="G103" s="204"/>
      <c r="H103" s="205"/>
      <c r="I103" s="204">
        <f>IF('_Datos'!$C103,IF(ISNUMBER('_Datos'!$AV103),'_Datos'!$AZ103,"(Sin fecha)"),"")</f>
      </c>
      <c r="J103" s="204"/>
      <c r="K103" s="205"/>
      <c r="L103" s="209">
        <f>IF('_Datos'!$C103,'_Datos'!$AX103,"")</f>
      </c>
      <c r="M103" s="191"/>
      <c r="N103" s="204">
        <f>IF('_Datos'!$C103,'_Datos'!$BA103,"")</f>
      </c>
    </row>
    <row r="104">
      <c r="B104" s="204">
        <f>IF('_Datos'!$C104,'_Datos'!$O104,"")</f>
      </c>
      <c r="C104" s="205">
        <f>IF('_Datos'!$C104,'_Datos'!$F104,IF('_Datos'!$B104,'Proyecto Datos (OKR´s)'!$G104,""))</f>
      </c>
      <c r="D104" s="204">
        <f>IF('_Datos'!$C104,'_Datos'!$AO104,"")</f>
      </c>
      <c r="E104" s="208">
        <f>IF('_Datos'!$C104,'_Datos'!$I104,IF('_Datos'!$B104,IFERROR(AVERAGEIF('_Datos'!$D$7:$D$200,'Proyecto Datos (OKR´s)'!$G104,'_Datos'!$I$7:$I$200),""),""))</f>
      </c>
      <c r="F104" s="204">
        <f>IF('_Datos'!$C104,IF(ISNUMBER('_Datos'!$AR104),'_Datos'!$AR104,"(Sin fecha)"),"")</f>
      </c>
      <c r="G104" s="204"/>
      <c r="H104" s="205"/>
      <c r="I104" s="204">
        <f>IF('_Datos'!$C104,IF(ISNUMBER('_Datos'!$AV104),'_Datos'!$AZ104,"(Sin fecha)"),"")</f>
      </c>
      <c r="J104" s="204"/>
      <c r="K104" s="205"/>
      <c r="L104" s="209">
        <f>IF('_Datos'!$C104,'_Datos'!$AX104,"")</f>
      </c>
      <c r="M104" s="191"/>
      <c r="N104" s="204">
        <f>IF('_Datos'!$C104,'_Datos'!$BA104,"")</f>
      </c>
    </row>
    <row r="105">
      <c r="B105" s="204">
        <f>IF('_Datos'!$C105,'_Datos'!$O105,"")</f>
      </c>
      <c r="C105" s="205">
        <f>IF('_Datos'!$C105,'_Datos'!$F105,IF('_Datos'!$B105,'Proyecto Datos (OKR´s)'!$G105,""))</f>
      </c>
      <c r="D105" s="204">
        <f>IF('_Datos'!$C105,'_Datos'!$AO105,"")</f>
      </c>
      <c r="E105" s="208">
        <f>IF('_Datos'!$C105,'_Datos'!$I105,IF('_Datos'!$B105,IFERROR(AVERAGEIF('_Datos'!$D$7:$D$200,'Proyecto Datos (OKR´s)'!$G105,'_Datos'!$I$7:$I$200),""),""))</f>
      </c>
      <c r="F105" s="204">
        <f>IF('_Datos'!$C105,IF(ISNUMBER('_Datos'!$AR105),'_Datos'!$AR105,"(Sin fecha)"),"")</f>
      </c>
      <c r="G105" s="204"/>
      <c r="H105" s="205"/>
      <c r="I105" s="204">
        <f>IF('_Datos'!$C105,IF(ISNUMBER('_Datos'!$AV105),'_Datos'!$AZ105,"(Sin fecha)"),"")</f>
      </c>
      <c r="J105" s="204"/>
      <c r="K105" s="205"/>
      <c r="L105" s="209">
        <f>IF('_Datos'!$C105,'_Datos'!$AX105,"")</f>
      </c>
      <c r="M105" s="191"/>
      <c r="N105" s="204">
        <f>IF('_Datos'!$C105,'_Datos'!$BA105,"")</f>
      </c>
    </row>
    <row r="106">
      <c r="B106" s="204">
        <f>IF('_Datos'!$C106,'_Datos'!$O106,"")</f>
      </c>
      <c r="C106" s="205">
        <f>IF('_Datos'!$C106,'_Datos'!$F106,IF('_Datos'!$B106,'Proyecto Datos (OKR´s)'!$G106,""))</f>
      </c>
      <c r="D106" s="204">
        <f>IF('_Datos'!$C106,'_Datos'!$AO106,"")</f>
      </c>
      <c r="E106" s="208">
        <f>IF('_Datos'!$C106,'_Datos'!$I106,IF('_Datos'!$B106,IFERROR(AVERAGEIF('_Datos'!$D$7:$D$200,'Proyecto Datos (OKR´s)'!$G106,'_Datos'!$I$7:$I$200),""),""))</f>
      </c>
      <c r="F106" s="204">
        <f>IF('_Datos'!$C106,IF(ISNUMBER('_Datos'!$AR106),'_Datos'!$AR106,"(Sin fecha)"),"")</f>
      </c>
      <c r="G106" s="204"/>
      <c r="H106" s="205"/>
      <c r="I106" s="204">
        <f>IF('_Datos'!$C106,IF(ISNUMBER('_Datos'!$AV106),'_Datos'!$AZ106,"(Sin fecha)"),"")</f>
      </c>
      <c r="J106" s="204"/>
      <c r="K106" s="205"/>
      <c r="L106" s="209">
        <f>IF('_Datos'!$C106,'_Datos'!$AX106,"")</f>
      </c>
      <c r="M106" s="191"/>
      <c r="N106" s="204">
        <f>IF('_Datos'!$C106,'_Datos'!$BA106,"")</f>
      </c>
    </row>
    <row r="107">
      <c r="B107" s="204">
        <f>IF('_Datos'!$C107,'_Datos'!$O107,"")</f>
      </c>
      <c r="C107" s="205">
        <f>IF('_Datos'!$C107,'_Datos'!$F107,IF('_Datos'!$B107,'Proyecto Datos (OKR´s)'!$G107,""))</f>
      </c>
      <c r="D107" s="204">
        <f>IF('_Datos'!$C107,'_Datos'!$AO107,"")</f>
      </c>
      <c r="E107" s="208">
        <f>IF('_Datos'!$C107,'_Datos'!$I107,IF('_Datos'!$B107,IFERROR(AVERAGEIF('_Datos'!$D$7:$D$200,'Proyecto Datos (OKR´s)'!$G107,'_Datos'!$I$7:$I$200),""),""))</f>
      </c>
      <c r="F107" s="204">
        <f>IF('_Datos'!$C107,IF(ISNUMBER('_Datos'!$AR107),'_Datos'!$AR107,"(Sin fecha)"),"")</f>
      </c>
      <c r="G107" s="204"/>
      <c r="H107" s="205"/>
      <c r="I107" s="204">
        <f>IF('_Datos'!$C107,IF(ISNUMBER('_Datos'!$AV107),'_Datos'!$AZ107,"(Sin fecha)"),"")</f>
      </c>
      <c r="J107" s="204"/>
      <c r="K107" s="205"/>
      <c r="L107" s="209">
        <f>IF('_Datos'!$C107,'_Datos'!$AX107,"")</f>
      </c>
      <c r="M107" s="191"/>
      <c r="N107" s="204">
        <f>IF('_Datos'!$C107,'_Datos'!$BA107,"")</f>
      </c>
    </row>
    <row r="108">
      <c r="B108" s="204">
        <f>IF('_Datos'!$C108,'_Datos'!$O108,"")</f>
      </c>
      <c r="C108" s="205">
        <f>IF('_Datos'!$C108,'_Datos'!$F108,IF('_Datos'!$B108,'Proyecto Datos (OKR´s)'!$G108,""))</f>
      </c>
      <c r="D108" s="204">
        <f>IF('_Datos'!$C108,'_Datos'!$AO108,"")</f>
      </c>
      <c r="E108" s="208">
        <f>IF('_Datos'!$C108,'_Datos'!$I108,IF('_Datos'!$B108,IFERROR(AVERAGEIF('_Datos'!$D$7:$D$200,'Proyecto Datos (OKR´s)'!$G108,'_Datos'!$I$7:$I$200),""),""))</f>
      </c>
      <c r="F108" s="204">
        <f>IF('_Datos'!$C108,IF(ISNUMBER('_Datos'!$AR108),'_Datos'!$AR108,"(Sin fecha)"),"")</f>
      </c>
      <c r="G108" s="204"/>
      <c r="H108" s="205"/>
      <c r="I108" s="204">
        <f>IF('_Datos'!$C108,IF(ISNUMBER('_Datos'!$AV108),'_Datos'!$AZ108,"(Sin fecha)"),"")</f>
      </c>
      <c r="J108" s="204"/>
      <c r="K108" s="205"/>
      <c r="L108" s="209">
        <f>IF('_Datos'!$C108,'_Datos'!$AX108,"")</f>
      </c>
      <c r="M108" s="191"/>
      <c r="N108" s="204">
        <f>IF('_Datos'!$C108,'_Datos'!$BA108,"")</f>
      </c>
    </row>
    <row r="109">
      <c r="B109" s="204">
        <f>IF('_Datos'!$C109,'_Datos'!$O109,"")</f>
      </c>
      <c r="C109" s="205">
        <f>IF('_Datos'!$C109,'_Datos'!$F109,IF('_Datos'!$B109,'Proyecto Datos (OKR´s)'!$G109,""))</f>
      </c>
      <c r="D109" s="204">
        <f>IF('_Datos'!$C109,'_Datos'!$AO109,"")</f>
      </c>
      <c r="E109" s="208">
        <f>IF('_Datos'!$C109,'_Datos'!$I109,IF('_Datos'!$B109,IFERROR(AVERAGEIF('_Datos'!$D$7:$D$200,'Proyecto Datos (OKR´s)'!$G109,'_Datos'!$I$7:$I$200),""),""))</f>
      </c>
      <c r="F109" s="204">
        <f>IF('_Datos'!$C109,IF(ISNUMBER('_Datos'!$AR109),'_Datos'!$AR109,"(Sin fecha)"),"")</f>
      </c>
      <c r="G109" s="204"/>
      <c r="H109" s="205"/>
      <c r="I109" s="204">
        <f>IF('_Datos'!$C109,IF(ISNUMBER('_Datos'!$AV109),'_Datos'!$AZ109,"(Sin fecha)"),"")</f>
      </c>
      <c r="J109" s="204"/>
      <c r="K109" s="205"/>
      <c r="L109" s="209">
        <f>IF('_Datos'!$C109,'_Datos'!$AX109,"")</f>
      </c>
      <c r="M109" s="191"/>
      <c r="N109" s="204">
        <f>IF('_Datos'!$C109,'_Datos'!$BA109,"")</f>
      </c>
    </row>
    <row r="110">
      <c r="B110" s="204">
        <f>IF('_Datos'!$C110,'_Datos'!$O110,"")</f>
      </c>
      <c r="C110" s="205">
        <f>IF('_Datos'!$C110,'_Datos'!$F110,IF('_Datos'!$B110,'Proyecto Datos (OKR´s)'!$G110,""))</f>
      </c>
      <c r="D110" s="204">
        <f>IF('_Datos'!$C110,'_Datos'!$AO110,"")</f>
      </c>
      <c r="E110" s="208">
        <f>IF('_Datos'!$C110,'_Datos'!$I110,IF('_Datos'!$B110,IFERROR(AVERAGEIF('_Datos'!$D$7:$D$200,'Proyecto Datos (OKR´s)'!$G110,'_Datos'!$I$7:$I$200),""),""))</f>
      </c>
      <c r="F110" s="204">
        <f>IF('_Datos'!$C110,IF(ISNUMBER('_Datos'!$AR110),'_Datos'!$AR110,"(Sin fecha)"),"")</f>
      </c>
      <c r="G110" s="204"/>
      <c r="H110" s="205"/>
      <c r="I110" s="204">
        <f>IF('_Datos'!$C110,IF(ISNUMBER('_Datos'!$AV110),'_Datos'!$AZ110,"(Sin fecha)"),"")</f>
      </c>
      <c r="J110" s="204"/>
      <c r="K110" s="205"/>
      <c r="L110" s="209">
        <f>IF('_Datos'!$C110,'_Datos'!$AX110,"")</f>
      </c>
      <c r="M110" s="191"/>
      <c r="N110" s="204">
        <f>IF('_Datos'!$C110,'_Datos'!$BA110,"")</f>
      </c>
    </row>
    <row r="111">
      <c r="B111" s="204">
        <f>IF('_Datos'!$C111,'_Datos'!$O111,"")</f>
      </c>
      <c r="C111" s="205">
        <f>IF('_Datos'!$C111,'_Datos'!$F111,IF('_Datos'!$B111,'Proyecto Datos (OKR´s)'!$G111,""))</f>
      </c>
      <c r="D111" s="204">
        <f>IF('_Datos'!$C111,'_Datos'!$AO111,"")</f>
      </c>
      <c r="E111" s="208">
        <f>IF('_Datos'!$C111,'_Datos'!$I111,IF('_Datos'!$B111,IFERROR(AVERAGEIF('_Datos'!$D$7:$D$200,'Proyecto Datos (OKR´s)'!$G111,'_Datos'!$I$7:$I$200),""),""))</f>
      </c>
      <c r="F111" s="204">
        <f>IF('_Datos'!$C111,IF(ISNUMBER('_Datos'!$AR111),'_Datos'!$AR111,"(Sin fecha)"),"")</f>
      </c>
      <c r="G111" s="204"/>
      <c r="H111" s="205"/>
      <c r="I111" s="204">
        <f>IF('_Datos'!$C111,IF(ISNUMBER('_Datos'!$AV111),'_Datos'!$AZ111,"(Sin fecha)"),"")</f>
      </c>
      <c r="J111" s="204"/>
      <c r="K111" s="205"/>
      <c r="L111" s="209">
        <f>IF('_Datos'!$C111,'_Datos'!$AX111,"")</f>
      </c>
      <c r="M111" s="191"/>
      <c r="N111" s="204">
        <f>IF('_Datos'!$C111,'_Datos'!$BA111,"")</f>
      </c>
    </row>
    <row r="112">
      <c r="B112" s="204">
        <f>IF('_Datos'!$C112,'_Datos'!$O112,"")</f>
      </c>
      <c r="C112" s="205">
        <f>IF('_Datos'!$C112,'_Datos'!$F112,IF('_Datos'!$B112,'Proyecto Datos (OKR´s)'!$G112,""))</f>
      </c>
      <c r="D112" s="204">
        <f>IF('_Datos'!$C112,'_Datos'!$AO112,"")</f>
      </c>
      <c r="E112" s="208">
        <f>IF('_Datos'!$C112,'_Datos'!$I112,IF('_Datos'!$B112,IFERROR(AVERAGEIF('_Datos'!$D$7:$D$200,'Proyecto Datos (OKR´s)'!$G112,'_Datos'!$I$7:$I$200),""),""))</f>
      </c>
      <c r="F112" s="204">
        <f>IF('_Datos'!$C112,IF(ISNUMBER('_Datos'!$AR112),'_Datos'!$AR112,"(Sin fecha)"),"")</f>
      </c>
      <c r="G112" s="204"/>
      <c r="H112" s="205"/>
      <c r="I112" s="204">
        <f>IF('_Datos'!$C112,IF(ISNUMBER('_Datos'!$AV112),'_Datos'!$AZ112,"(Sin fecha)"),"")</f>
      </c>
      <c r="J112" s="204"/>
      <c r="K112" s="205"/>
      <c r="L112" s="209">
        <f>IF('_Datos'!$C112,'_Datos'!$AX112,"")</f>
      </c>
      <c r="M112" s="191"/>
      <c r="N112" s="204">
        <f>IF('_Datos'!$C112,'_Datos'!$BA112,"")</f>
      </c>
    </row>
    <row r="113">
      <c r="B113" s="204">
        <f>IF('_Datos'!$C113,'_Datos'!$O113,"")</f>
      </c>
      <c r="C113" s="205">
        <f>IF('_Datos'!$C113,'_Datos'!$F113,IF('_Datos'!$B113,'Proyecto Datos (OKR´s)'!$G113,""))</f>
      </c>
      <c r="D113" s="204">
        <f>IF('_Datos'!$C113,'_Datos'!$AO113,"")</f>
      </c>
      <c r="E113" s="208">
        <f>IF('_Datos'!$C113,'_Datos'!$I113,IF('_Datos'!$B113,IFERROR(AVERAGEIF('_Datos'!$D$7:$D$200,'Proyecto Datos (OKR´s)'!$G113,'_Datos'!$I$7:$I$200),""),""))</f>
      </c>
      <c r="F113" s="204">
        <f>IF('_Datos'!$C113,IF(ISNUMBER('_Datos'!$AR113),'_Datos'!$AR113,"(Sin fecha)"),"")</f>
      </c>
      <c r="G113" s="204"/>
      <c r="H113" s="205"/>
      <c r="I113" s="204">
        <f>IF('_Datos'!$C113,IF(ISNUMBER('_Datos'!$AV113),'_Datos'!$AZ113,"(Sin fecha)"),"")</f>
      </c>
      <c r="J113" s="204"/>
      <c r="K113" s="205"/>
      <c r="L113" s="209">
        <f>IF('_Datos'!$C113,'_Datos'!$AX113,"")</f>
      </c>
      <c r="M113" s="191"/>
      <c r="N113" s="204">
        <f>IF('_Datos'!$C113,'_Datos'!$BA113,"")</f>
      </c>
    </row>
    <row r="114">
      <c r="B114" s="204">
        <f>IF('_Datos'!$C114,'_Datos'!$O114,"")</f>
      </c>
      <c r="C114" s="205">
        <f>IF('_Datos'!$C114,'_Datos'!$F114,IF('_Datos'!$B114,'Proyecto Datos (OKR´s)'!$G114,""))</f>
      </c>
      <c r="D114" s="204">
        <f>IF('_Datos'!$C114,'_Datos'!$AO114,"")</f>
      </c>
      <c r="E114" s="208">
        <f>IF('_Datos'!$C114,'_Datos'!$I114,IF('_Datos'!$B114,IFERROR(AVERAGEIF('_Datos'!$D$7:$D$200,'Proyecto Datos (OKR´s)'!$G114,'_Datos'!$I$7:$I$200),""),""))</f>
      </c>
      <c r="F114" s="204">
        <f>IF('_Datos'!$C114,IF(ISNUMBER('_Datos'!$AR114),'_Datos'!$AR114,"(Sin fecha)"),"")</f>
      </c>
      <c r="G114" s="204"/>
      <c r="H114" s="205"/>
      <c r="I114" s="204">
        <f>IF('_Datos'!$C114,IF(ISNUMBER('_Datos'!$AV114),'_Datos'!$AZ114,"(Sin fecha)"),"")</f>
      </c>
      <c r="J114" s="204"/>
      <c r="K114" s="205"/>
      <c r="L114" s="209">
        <f>IF('_Datos'!$C114,'_Datos'!$AX114,"")</f>
      </c>
      <c r="M114" s="191"/>
      <c r="N114" s="204">
        <f>IF('_Datos'!$C114,'_Datos'!$BA114,"")</f>
      </c>
    </row>
    <row r="115">
      <c r="B115" s="204">
        <f>IF('_Datos'!$C115,'_Datos'!$O115,"")</f>
      </c>
      <c r="C115" s="205">
        <f>IF('_Datos'!$C115,'_Datos'!$F115,IF('_Datos'!$B115,'Proyecto Datos (OKR´s)'!$G115,""))</f>
      </c>
      <c r="D115" s="204">
        <f>IF('_Datos'!$C115,'_Datos'!$AO115,"")</f>
      </c>
      <c r="E115" s="208">
        <f>IF('_Datos'!$C115,'_Datos'!$I115,IF('_Datos'!$B115,IFERROR(AVERAGEIF('_Datos'!$D$7:$D$200,'Proyecto Datos (OKR´s)'!$G115,'_Datos'!$I$7:$I$200),""),""))</f>
      </c>
      <c r="F115" s="204">
        <f>IF('_Datos'!$C115,IF(ISNUMBER('_Datos'!$AR115),'_Datos'!$AR115,"(Sin fecha)"),"")</f>
      </c>
      <c r="G115" s="204"/>
      <c r="H115" s="205"/>
      <c r="I115" s="204">
        <f>IF('_Datos'!$C115,IF(ISNUMBER('_Datos'!$AV115),'_Datos'!$AZ115,"(Sin fecha)"),"")</f>
      </c>
      <c r="J115" s="204"/>
      <c r="K115" s="205"/>
      <c r="L115" s="209">
        <f>IF('_Datos'!$C115,'_Datos'!$AX115,"")</f>
      </c>
      <c r="M115" s="191"/>
      <c r="N115" s="204">
        <f>IF('_Datos'!$C115,'_Datos'!$BA115,"")</f>
      </c>
    </row>
    <row r="116">
      <c r="B116" s="204">
        <f>IF('_Datos'!$C116,'_Datos'!$O116,"")</f>
      </c>
      <c r="C116" s="205">
        <f>IF('_Datos'!$C116,'_Datos'!$F116,IF('_Datos'!$B116,'Proyecto Datos (OKR´s)'!$G116,""))</f>
      </c>
      <c r="D116" s="204">
        <f>IF('_Datos'!$C116,'_Datos'!$AO116,"")</f>
      </c>
      <c r="E116" s="208">
        <f>IF('_Datos'!$C116,'_Datos'!$I116,IF('_Datos'!$B116,IFERROR(AVERAGEIF('_Datos'!$D$7:$D$200,'Proyecto Datos (OKR´s)'!$G116,'_Datos'!$I$7:$I$200),""),""))</f>
      </c>
      <c r="F116" s="204">
        <f>IF('_Datos'!$C116,IF(ISNUMBER('_Datos'!$AR116),'_Datos'!$AR116,"(Sin fecha)"),"")</f>
      </c>
      <c r="G116" s="204"/>
      <c r="H116" s="205"/>
      <c r="I116" s="204">
        <f>IF('_Datos'!$C116,IF(ISNUMBER('_Datos'!$AV116),'_Datos'!$AZ116,"(Sin fecha)"),"")</f>
      </c>
      <c r="J116" s="204"/>
      <c r="K116" s="205"/>
      <c r="L116" s="209">
        <f>IF('_Datos'!$C116,'_Datos'!$AX116,"")</f>
      </c>
      <c r="M116" s="191"/>
      <c r="N116" s="204">
        <f>IF('_Datos'!$C116,'_Datos'!$BA116,"")</f>
      </c>
    </row>
    <row r="117">
      <c r="B117" s="204">
        <f>IF('_Datos'!$C117,'_Datos'!$O117,"")</f>
      </c>
      <c r="C117" s="205">
        <f>IF('_Datos'!$C117,'_Datos'!$F117,IF('_Datos'!$B117,'Proyecto Datos (OKR´s)'!$G117,""))</f>
      </c>
      <c r="D117" s="204">
        <f>IF('_Datos'!$C117,'_Datos'!$AO117,"")</f>
      </c>
      <c r="E117" s="208">
        <f>IF('_Datos'!$C117,'_Datos'!$I117,IF('_Datos'!$B117,IFERROR(AVERAGEIF('_Datos'!$D$7:$D$200,'Proyecto Datos (OKR´s)'!$G117,'_Datos'!$I$7:$I$200),""),""))</f>
      </c>
      <c r="F117" s="204">
        <f>IF('_Datos'!$C117,IF(ISNUMBER('_Datos'!$AR117),'_Datos'!$AR117,"(Sin fecha)"),"")</f>
      </c>
      <c r="G117" s="204"/>
      <c r="H117" s="205"/>
      <c r="I117" s="204">
        <f>IF('_Datos'!$C117,IF(ISNUMBER('_Datos'!$AV117),'_Datos'!$AZ117,"(Sin fecha)"),"")</f>
      </c>
      <c r="J117" s="204"/>
      <c r="K117" s="205"/>
      <c r="L117" s="209">
        <f>IF('_Datos'!$C117,'_Datos'!$AX117,"")</f>
      </c>
      <c r="M117" s="191"/>
      <c r="N117" s="204">
        <f>IF('_Datos'!$C117,'_Datos'!$BA117,"")</f>
      </c>
    </row>
    <row r="118">
      <c r="B118" s="204">
        <f>IF('_Datos'!$C118,'_Datos'!$O118,"")</f>
      </c>
      <c r="C118" s="205">
        <f>IF('_Datos'!$C118,'_Datos'!$F118,IF('_Datos'!$B118,'Proyecto Datos (OKR´s)'!$G118,""))</f>
      </c>
      <c r="D118" s="204">
        <f>IF('_Datos'!$C118,'_Datos'!$AO118,"")</f>
      </c>
      <c r="E118" s="208">
        <f>IF('_Datos'!$C118,'_Datos'!$I118,IF('_Datos'!$B118,IFERROR(AVERAGEIF('_Datos'!$D$7:$D$200,'Proyecto Datos (OKR´s)'!$G118,'_Datos'!$I$7:$I$200),""),""))</f>
      </c>
      <c r="F118" s="204">
        <f>IF('_Datos'!$C118,IF(ISNUMBER('_Datos'!$AR118),'_Datos'!$AR118,"(Sin fecha)"),"")</f>
      </c>
      <c r="G118" s="204"/>
      <c r="H118" s="205"/>
      <c r="I118" s="204">
        <f>IF('_Datos'!$C118,IF(ISNUMBER('_Datos'!$AV118),'_Datos'!$AZ118,"(Sin fecha)"),"")</f>
      </c>
      <c r="J118" s="204"/>
      <c r="K118" s="205"/>
      <c r="L118" s="209">
        <f>IF('_Datos'!$C118,'_Datos'!$AX118,"")</f>
      </c>
      <c r="M118" s="191"/>
      <c r="N118" s="204">
        <f>IF('_Datos'!$C118,'_Datos'!$BA118,"")</f>
      </c>
    </row>
    <row r="119">
      <c r="B119" s="204">
        <f>IF('_Datos'!$C119,'_Datos'!$O119,"")</f>
      </c>
      <c r="C119" s="205">
        <f>IF('_Datos'!$C119,'_Datos'!$F119,IF('_Datos'!$B119,'Proyecto Datos (OKR´s)'!$G119,""))</f>
      </c>
      <c r="D119" s="204">
        <f>IF('_Datos'!$C119,'_Datos'!$AO119,"")</f>
      </c>
      <c r="E119" s="208">
        <f>IF('_Datos'!$C119,'_Datos'!$I119,IF('_Datos'!$B119,IFERROR(AVERAGEIF('_Datos'!$D$7:$D$200,'Proyecto Datos (OKR´s)'!$G119,'_Datos'!$I$7:$I$200),""),""))</f>
      </c>
      <c r="F119" s="204">
        <f>IF('_Datos'!$C119,IF(ISNUMBER('_Datos'!$AR119),'_Datos'!$AR119,"(Sin fecha)"),"")</f>
      </c>
      <c r="G119" s="204"/>
      <c r="H119" s="205"/>
      <c r="I119" s="204">
        <f>IF('_Datos'!$C119,IF(ISNUMBER('_Datos'!$AV119),'_Datos'!$AZ119,"(Sin fecha)"),"")</f>
      </c>
      <c r="J119" s="204"/>
      <c r="K119" s="205"/>
      <c r="L119" s="209">
        <f>IF('_Datos'!$C119,'_Datos'!$AX119,"")</f>
      </c>
      <c r="M119" s="191"/>
      <c r="N119" s="204">
        <f>IF('_Datos'!$C119,'_Datos'!$BA119,"")</f>
      </c>
    </row>
    <row r="120">
      <c r="B120" s="204">
        <f>IF('_Datos'!$C120,'_Datos'!$O120,"")</f>
      </c>
      <c r="C120" s="205">
        <f>IF('_Datos'!$C120,'_Datos'!$F120,IF('_Datos'!$B120,'Proyecto Datos (OKR´s)'!$G120,""))</f>
      </c>
      <c r="D120" s="204">
        <f>IF('_Datos'!$C120,'_Datos'!$AO120,"")</f>
      </c>
      <c r="E120" s="208">
        <f>IF('_Datos'!$C120,'_Datos'!$I120,IF('_Datos'!$B120,IFERROR(AVERAGEIF('_Datos'!$D$7:$D$200,'Proyecto Datos (OKR´s)'!$G120,'_Datos'!$I$7:$I$200),""),""))</f>
      </c>
      <c r="F120" s="204">
        <f>IF('_Datos'!$C120,IF(ISNUMBER('_Datos'!$AR120),'_Datos'!$AR120,"(Sin fecha)"),"")</f>
      </c>
      <c r="G120" s="204"/>
      <c r="H120" s="205"/>
      <c r="I120" s="204">
        <f>IF('_Datos'!$C120,IF(ISNUMBER('_Datos'!$AV120),'_Datos'!$AZ120,"(Sin fecha)"),"")</f>
      </c>
      <c r="J120" s="204"/>
      <c r="K120" s="205"/>
      <c r="L120" s="209">
        <f>IF('_Datos'!$C120,'_Datos'!$AX120,"")</f>
      </c>
      <c r="M120" s="191"/>
      <c r="N120" s="204">
        <f>IF('_Datos'!$C120,'_Datos'!$BA120,"")</f>
      </c>
    </row>
    <row r="121">
      <c r="B121" s="204">
        <f>IF('_Datos'!$C121,'_Datos'!$O121,"")</f>
      </c>
      <c r="C121" s="205">
        <f>IF('_Datos'!$C121,'_Datos'!$F121,IF('_Datos'!$B121,'Proyecto Datos (OKR´s)'!$G121,""))</f>
      </c>
      <c r="D121" s="204">
        <f>IF('_Datos'!$C121,'_Datos'!$AO121,"")</f>
      </c>
      <c r="E121" s="208">
        <f>IF('_Datos'!$C121,'_Datos'!$I121,IF('_Datos'!$B121,IFERROR(AVERAGEIF('_Datos'!$D$7:$D$200,'Proyecto Datos (OKR´s)'!$G121,'_Datos'!$I$7:$I$200),""),""))</f>
      </c>
      <c r="F121" s="204">
        <f>IF('_Datos'!$C121,IF(ISNUMBER('_Datos'!$AR121),'_Datos'!$AR121,"(Sin fecha)"),"")</f>
      </c>
      <c r="G121" s="204"/>
      <c r="H121" s="205"/>
      <c r="I121" s="204">
        <f>IF('_Datos'!$C121,IF(ISNUMBER('_Datos'!$AV121),'_Datos'!$AZ121,"(Sin fecha)"),"")</f>
      </c>
      <c r="J121" s="204"/>
      <c r="K121" s="205"/>
      <c r="L121" s="209">
        <f>IF('_Datos'!$C121,'_Datos'!$AX121,"")</f>
      </c>
      <c r="M121" s="191"/>
      <c r="N121" s="204">
        <f>IF('_Datos'!$C121,'_Datos'!$BA121,"")</f>
      </c>
    </row>
    <row r="122">
      <c r="B122" s="204">
        <f>IF('_Datos'!$C122,'_Datos'!$O122,"")</f>
      </c>
      <c r="C122" s="205">
        <f>IF('_Datos'!$C122,'_Datos'!$F122,IF('_Datos'!$B122,'Proyecto Datos (OKR´s)'!$G122,""))</f>
      </c>
      <c r="D122" s="204">
        <f>IF('_Datos'!$C122,'_Datos'!$AO122,"")</f>
      </c>
      <c r="E122" s="208">
        <f>IF('_Datos'!$C122,'_Datos'!$I122,IF('_Datos'!$B122,IFERROR(AVERAGEIF('_Datos'!$D$7:$D$200,'Proyecto Datos (OKR´s)'!$G122,'_Datos'!$I$7:$I$200),""),""))</f>
      </c>
      <c r="F122" s="204">
        <f>IF('_Datos'!$C122,IF(ISNUMBER('_Datos'!$AR122),'_Datos'!$AR122,"(Sin fecha)"),"")</f>
      </c>
      <c r="G122" s="204"/>
      <c r="H122" s="205"/>
      <c r="I122" s="204">
        <f>IF('_Datos'!$C122,IF(ISNUMBER('_Datos'!$AV122),'_Datos'!$AZ122,"(Sin fecha)"),"")</f>
      </c>
      <c r="J122" s="204"/>
      <c r="K122" s="205"/>
      <c r="L122" s="209">
        <f>IF('_Datos'!$C122,'_Datos'!$AX122,"")</f>
      </c>
      <c r="M122" s="191"/>
      <c r="N122" s="204">
        <f>IF('_Datos'!$C122,'_Datos'!$BA122,"")</f>
      </c>
    </row>
    <row r="123">
      <c r="B123" s="204">
        <f>IF('_Datos'!$C123,'_Datos'!$O123,"")</f>
      </c>
      <c r="C123" s="205">
        <f>IF('_Datos'!$C123,'_Datos'!$F123,IF('_Datos'!$B123,'Proyecto Datos (OKR´s)'!$G123,""))</f>
      </c>
      <c r="D123" s="204">
        <f>IF('_Datos'!$C123,'_Datos'!$AO123,"")</f>
      </c>
      <c r="E123" s="208">
        <f>IF('_Datos'!$C123,'_Datos'!$I123,IF('_Datos'!$B123,IFERROR(AVERAGEIF('_Datos'!$D$7:$D$200,'Proyecto Datos (OKR´s)'!$G123,'_Datos'!$I$7:$I$200),""),""))</f>
      </c>
      <c r="F123" s="204">
        <f>IF('_Datos'!$C123,IF(ISNUMBER('_Datos'!$AR123),'_Datos'!$AR123,"(Sin fecha)"),"")</f>
      </c>
      <c r="G123" s="204"/>
      <c r="H123" s="205"/>
      <c r="I123" s="204">
        <f>IF('_Datos'!$C123,IF(ISNUMBER('_Datos'!$AV123),'_Datos'!$AZ123,"(Sin fecha)"),"")</f>
      </c>
      <c r="J123" s="204"/>
      <c r="K123" s="205"/>
      <c r="L123" s="209">
        <f>IF('_Datos'!$C123,'_Datos'!$AX123,"")</f>
      </c>
      <c r="M123" s="191"/>
      <c r="N123" s="204">
        <f>IF('_Datos'!$C123,'_Datos'!$BA123,"")</f>
      </c>
    </row>
    <row r="124">
      <c r="B124" s="204">
        <f>IF('_Datos'!$C124,'_Datos'!$O124,"")</f>
      </c>
      <c r="C124" s="205">
        <f>IF('_Datos'!$C124,'_Datos'!$F124,IF('_Datos'!$B124,'Proyecto Datos (OKR´s)'!$G124,""))</f>
      </c>
      <c r="D124" s="204">
        <f>IF('_Datos'!$C124,'_Datos'!$AO124,"")</f>
      </c>
      <c r="E124" s="208">
        <f>IF('_Datos'!$C124,'_Datos'!$I124,IF('_Datos'!$B124,IFERROR(AVERAGEIF('_Datos'!$D$7:$D$200,'Proyecto Datos (OKR´s)'!$G124,'_Datos'!$I$7:$I$200),""),""))</f>
      </c>
      <c r="F124" s="204">
        <f>IF('_Datos'!$C124,IF(ISNUMBER('_Datos'!$AR124),'_Datos'!$AR124,"(Sin fecha)"),"")</f>
      </c>
      <c r="G124" s="204"/>
      <c r="H124" s="205"/>
      <c r="I124" s="204">
        <f>IF('_Datos'!$C124,IF(ISNUMBER('_Datos'!$AV124),'_Datos'!$AZ124,"(Sin fecha)"),"")</f>
      </c>
      <c r="J124" s="204"/>
      <c r="K124" s="205"/>
      <c r="L124" s="209">
        <f>IF('_Datos'!$C124,'_Datos'!$AX124,"")</f>
      </c>
      <c r="M124" s="191"/>
      <c r="N124" s="204">
        <f>IF('_Datos'!$C124,'_Datos'!$BA124,"")</f>
      </c>
    </row>
    <row r="125">
      <c r="B125" s="204">
        <f>IF('_Datos'!$C125,'_Datos'!$O125,"")</f>
      </c>
      <c r="C125" s="205">
        <f>IF('_Datos'!$C125,'_Datos'!$F125,IF('_Datos'!$B125,'Proyecto Datos (OKR´s)'!$G125,""))</f>
      </c>
      <c r="D125" s="204">
        <f>IF('_Datos'!$C125,'_Datos'!$AO125,"")</f>
      </c>
      <c r="E125" s="208">
        <f>IF('_Datos'!$C125,'_Datos'!$I125,IF('_Datos'!$B125,IFERROR(AVERAGEIF('_Datos'!$D$7:$D$200,'Proyecto Datos (OKR´s)'!$G125,'_Datos'!$I$7:$I$200),""),""))</f>
      </c>
      <c r="F125" s="204">
        <f>IF('_Datos'!$C125,IF(ISNUMBER('_Datos'!$AR125),'_Datos'!$AR125,"(Sin fecha)"),"")</f>
      </c>
      <c r="G125" s="204"/>
      <c r="H125" s="205"/>
      <c r="I125" s="204">
        <f>IF('_Datos'!$C125,IF(ISNUMBER('_Datos'!$AV125),'_Datos'!$AZ125,"(Sin fecha)"),"")</f>
      </c>
      <c r="J125" s="204"/>
      <c r="K125" s="205"/>
      <c r="L125" s="209">
        <f>IF('_Datos'!$C125,'_Datos'!$AX125,"")</f>
      </c>
      <c r="M125" s="191"/>
      <c r="N125" s="204">
        <f>IF('_Datos'!$C125,'_Datos'!$BA125,"")</f>
      </c>
    </row>
    <row r="126">
      <c r="B126" s="204">
        <f>IF('_Datos'!$C126,'_Datos'!$O126,"")</f>
      </c>
      <c r="C126" s="205">
        <f>IF('_Datos'!$C126,'_Datos'!$F126,IF('_Datos'!$B126,'Proyecto Datos (OKR´s)'!$G126,""))</f>
      </c>
      <c r="D126" s="204">
        <f>IF('_Datos'!$C126,'_Datos'!$AO126,"")</f>
      </c>
      <c r="E126" s="208">
        <f>IF('_Datos'!$C126,'_Datos'!$I126,IF('_Datos'!$B126,IFERROR(AVERAGEIF('_Datos'!$D$7:$D$200,'Proyecto Datos (OKR´s)'!$G126,'_Datos'!$I$7:$I$200),""),""))</f>
      </c>
      <c r="F126" s="204">
        <f>IF('_Datos'!$C126,IF(ISNUMBER('_Datos'!$AR126),'_Datos'!$AR126,"(Sin fecha)"),"")</f>
      </c>
      <c r="G126" s="204"/>
      <c r="H126" s="205"/>
      <c r="I126" s="204">
        <f>IF('_Datos'!$C126,IF(ISNUMBER('_Datos'!$AV126),'_Datos'!$AZ126,"(Sin fecha)"),"")</f>
      </c>
      <c r="J126" s="204"/>
      <c r="K126" s="205"/>
      <c r="L126" s="209">
        <f>IF('_Datos'!$C126,'_Datos'!$AX126,"")</f>
      </c>
      <c r="M126" s="191"/>
      <c r="N126" s="204">
        <f>IF('_Datos'!$C126,'_Datos'!$BA126,"")</f>
      </c>
    </row>
    <row r="127">
      <c r="B127" s="204">
        <f>IF('_Datos'!$C127,'_Datos'!$O127,"")</f>
      </c>
      <c r="C127" s="205">
        <f>IF('_Datos'!$C127,'_Datos'!$F127,IF('_Datos'!$B127,'Proyecto Datos (OKR´s)'!$G127,""))</f>
      </c>
      <c r="D127" s="204">
        <f>IF('_Datos'!$C127,'_Datos'!$AO127,"")</f>
      </c>
      <c r="E127" s="208">
        <f>IF('_Datos'!$C127,'_Datos'!$I127,IF('_Datos'!$B127,IFERROR(AVERAGEIF('_Datos'!$D$7:$D$200,'Proyecto Datos (OKR´s)'!$G127,'_Datos'!$I$7:$I$200),""),""))</f>
      </c>
      <c r="F127" s="204">
        <f>IF('_Datos'!$C127,IF(ISNUMBER('_Datos'!$AR127),'_Datos'!$AR127,"(Sin fecha)"),"")</f>
      </c>
      <c r="G127" s="204"/>
      <c r="H127" s="205"/>
      <c r="I127" s="204">
        <f>IF('_Datos'!$C127,IF(ISNUMBER('_Datos'!$AV127),'_Datos'!$AZ127,"(Sin fecha)"),"")</f>
      </c>
      <c r="J127" s="204"/>
      <c r="K127" s="205"/>
      <c r="L127" s="209">
        <f>IF('_Datos'!$C127,'_Datos'!$AX127,"")</f>
      </c>
      <c r="M127" s="191"/>
      <c r="N127" s="204">
        <f>IF('_Datos'!$C127,'_Datos'!$BA127,"")</f>
      </c>
    </row>
    <row r="128">
      <c r="B128" s="204">
        <f>IF('_Datos'!$C128,'_Datos'!$O128,"")</f>
      </c>
      <c r="C128" s="205">
        <f>IF('_Datos'!$C128,'_Datos'!$F128,IF('_Datos'!$B128,'Proyecto Datos (OKR´s)'!$G128,""))</f>
      </c>
      <c r="D128" s="204">
        <f>IF('_Datos'!$C128,'_Datos'!$AO128,"")</f>
      </c>
      <c r="E128" s="208">
        <f>IF('_Datos'!$C128,'_Datos'!$I128,IF('_Datos'!$B128,IFERROR(AVERAGEIF('_Datos'!$D$7:$D$200,'Proyecto Datos (OKR´s)'!$G128,'_Datos'!$I$7:$I$200),""),""))</f>
      </c>
      <c r="F128" s="204">
        <f>IF('_Datos'!$C128,IF(ISNUMBER('_Datos'!$AR128),'_Datos'!$AR128,"(Sin fecha)"),"")</f>
      </c>
      <c r="G128" s="204"/>
      <c r="H128" s="205"/>
      <c r="I128" s="204">
        <f>IF('_Datos'!$C128,IF(ISNUMBER('_Datos'!$AV128),'_Datos'!$AZ128,"(Sin fecha)"),"")</f>
      </c>
      <c r="J128" s="204"/>
      <c r="K128" s="205"/>
      <c r="L128" s="209">
        <f>IF('_Datos'!$C128,'_Datos'!$AX128,"")</f>
      </c>
      <c r="M128" s="191"/>
      <c r="N128" s="204">
        <f>IF('_Datos'!$C128,'_Datos'!$BA128,"")</f>
      </c>
    </row>
    <row r="129">
      <c r="B129" s="204">
        <f>IF('_Datos'!$C129,'_Datos'!$O129,"")</f>
      </c>
      <c r="C129" s="205">
        <f>IF('_Datos'!$C129,'_Datos'!$F129,IF('_Datos'!$B129,'Proyecto Datos (OKR´s)'!$G129,""))</f>
      </c>
      <c r="D129" s="204">
        <f>IF('_Datos'!$C129,'_Datos'!$AO129,"")</f>
      </c>
      <c r="E129" s="208">
        <f>IF('_Datos'!$C129,'_Datos'!$I129,IF('_Datos'!$B129,IFERROR(AVERAGEIF('_Datos'!$D$7:$D$200,'Proyecto Datos (OKR´s)'!$G129,'_Datos'!$I$7:$I$200),""),""))</f>
      </c>
      <c r="F129" s="204">
        <f>IF('_Datos'!$C129,IF(ISNUMBER('_Datos'!$AR129),'_Datos'!$AR129,"(Sin fecha)"),"")</f>
      </c>
      <c r="G129" s="204"/>
      <c r="H129" s="205"/>
      <c r="I129" s="204">
        <f>IF('_Datos'!$C129,IF(ISNUMBER('_Datos'!$AV129),'_Datos'!$AZ129,"(Sin fecha)"),"")</f>
      </c>
      <c r="J129" s="204"/>
      <c r="K129" s="205"/>
      <c r="L129" s="209">
        <f>IF('_Datos'!$C129,'_Datos'!$AX129,"")</f>
      </c>
      <c r="M129" s="191"/>
      <c r="N129" s="204">
        <f>IF('_Datos'!$C129,'_Datos'!$BA129,"")</f>
      </c>
    </row>
    <row r="130">
      <c r="B130" s="204">
        <f>IF('_Datos'!$C130,'_Datos'!$O130,"")</f>
      </c>
      <c r="C130" s="205">
        <f>IF('_Datos'!$C130,'_Datos'!$F130,IF('_Datos'!$B130,'Proyecto Datos (OKR´s)'!$G130,""))</f>
      </c>
      <c r="D130" s="204">
        <f>IF('_Datos'!$C130,'_Datos'!$AO130,"")</f>
      </c>
      <c r="E130" s="208">
        <f>IF('_Datos'!$C130,'_Datos'!$I130,IF('_Datos'!$B130,IFERROR(AVERAGEIF('_Datos'!$D$7:$D$200,'Proyecto Datos (OKR´s)'!$G130,'_Datos'!$I$7:$I$200),""),""))</f>
      </c>
      <c r="F130" s="204">
        <f>IF('_Datos'!$C130,IF(ISNUMBER('_Datos'!$AR130),'_Datos'!$AR130,"(Sin fecha)"),"")</f>
      </c>
      <c r="G130" s="204"/>
      <c r="H130" s="205"/>
      <c r="I130" s="204">
        <f>IF('_Datos'!$C130,IF(ISNUMBER('_Datos'!$AV130),'_Datos'!$AZ130,"(Sin fecha)"),"")</f>
      </c>
      <c r="J130" s="204"/>
      <c r="K130" s="205"/>
      <c r="L130" s="209">
        <f>IF('_Datos'!$C130,'_Datos'!$AX130,"")</f>
      </c>
      <c r="M130" s="191"/>
      <c r="N130" s="204">
        <f>IF('_Datos'!$C130,'_Datos'!$BA130,"")</f>
      </c>
    </row>
    <row r="131">
      <c r="B131" s="204">
        <f>IF('_Datos'!$C131,'_Datos'!$O131,"")</f>
      </c>
      <c r="C131" s="205">
        <f>IF('_Datos'!$C131,'_Datos'!$F131,IF('_Datos'!$B131,'Proyecto Datos (OKR´s)'!$G131,""))</f>
      </c>
      <c r="D131" s="204">
        <f>IF('_Datos'!$C131,'_Datos'!$AO131,"")</f>
      </c>
      <c r="E131" s="208">
        <f>IF('_Datos'!$C131,'_Datos'!$I131,IF('_Datos'!$B131,IFERROR(AVERAGEIF('_Datos'!$D$7:$D$200,'Proyecto Datos (OKR´s)'!$G131,'_Datos'!$I$7:$I$200),""),""))</f>
      </c>
      <c r="F131" s="204">
        <f>IF('_Datos'!$C131,IF(ISNUMBER('_Datos'!$AR131),'_Datos'!$AR131,"(Sin fecha)"),"")</f>
      </c>
      <c r="G131" s="204"/>
      <c r="H131" s="205"/>
      <c r="I131" s="204">
        <f>IF('_Datos'!$C131,IF(ISNUMBER('_Datos'!$AV131),'_Datos'!$AZ131,"(Sin fecha)"),"")</f>
      </c>
      <c r="J131" s="204"/>
      <c r="K131" s="205"/>
      <c r="L131" s="209">
        <f>IF('_Datos'!$C131,'_Datos'!$AX131,"")</f>
      </c>
      <c r="M131" s="191"/>
      <c r="N131" s="204">
        <f>IF('_Datos'!$C131,'_Datos'!$BA131,"")</f>
      </c>
    </row>
    <row r="132">
      <c r="B132" s="204">
        <f>IF('_Datos'!$C132,'_Datos'!$O132,"")</f>
      </c>
      <c r="C132" s="205">
        <f>IF('_Datos'!$C132,'_Datos'!$F132,IF('_Datos'!$B132,'Proyecto Datos (OKR´s)'!$G132,""))</f>
      </c>
      <c r="D132" s="204">
        <f>IF('_Datos'!$C132,'_Datos'!$AO132,"")</f>
      </c>
      <c r="E132" s="208">
        <f>IF('_Datos'!$C132,'_Datos'!$I132,IF('_Datos'!$B132,IFERROR(AVERAGEIF('_Datos'!$D$7:$D$200,'Proyecto Datos (OKR´s)'!$G132,'_Datos'!$I$7:$I$200),""),""))</f>
      </c>
      <c r="F132" s="204">
        <f>IF('_Datos'!$C132,IF(ISNUMBER('_Datos'!$AR132),'_Datos'!$AR132,"(Sin fecha)"),"")</f>
      </c>
      <c r="G132" s="204"/>
      <c r="H132" s="205"/>
      <c r="I132" s="204">
        <f>IF('_Datos'!$C132,IF(ISNUMBER('_Datos'!$AV132),'_Datos'!$AZ132,"(Sin fecha)"),"")</f>
      </c>
      <c r="J132" s="204"/>
      <c r="K132" s="205"/>
      <c r="L132" s="209">
        <f>IF('_Datos'!$C132,'_Datos'!$AX132,"")</f>
      </c>
      <c r="M132" s="191"/>
      <c r="N132" s="204">
        <f>IF('_Datos'!$C132,'_Datos'!$BA132,"")</f>
      </c>
    </row>
    <row r="133">
      <c r="B133" s="204">
        <f>IF('_Datos'!$C133,'_Datos'!$O133,"")</f>
      </c>
      <c r="C133" s="205">
        <f>IF('_Datos'!$C133,'_Datos'!$F133,IF('_Datos'!$B133,'Proyecto Datos (OKR´s)'!$G133,""))</f>
      </c>
      <c r="D133" s="204">
        <f>IF('_Datos'!$C133,'_Datos'!$AO133,"")</f>
      </c>
      <c r="E133" s="208">
        <f>IF('_Datos'!$C133,'_Datos'!$I133,IF('_Datos'!$B133,IFERROR(AVERAGEIF('_Datos'!$D$7:$D$200,'Proyecto Datos (OKR´s)'!$G133,'_Datos'!$I$7:$I$200),""),""))</f>
      </c>
      <c r="F133" s="204">
        <f>IF('_Datos'!$C133,IF(ISNUMBER('_Datos'!$AR133),'_Datos'!$AR133,"(Sin fecha)"),"")</f>
      </c>
      <c r="G133" s="204"/>
      <c r="H133" s="205"/>
      <c r="I133" s="204">
        <f>IF('_Datos'!$C133,IF(ISNUMBER('_Datos'!$AV133),'_Datos'!$AZ133,"(Sin fecha)"),"")</f>
      </c>
      <c r="J133" s="204"/>
      <c r="K133" s="205"/>
      <c r="L133" s="209">
        <f>IF('_Datos'!$C133,'_Datos'!$AX133,"")</f>
      </c>
      <c r="M133" s="191"/>
      <c r="N133" s="204">
        <f>IF('_Datos'!$C133,'_Datos'!$BA133,"")</f>
      </c>
    </row>
    <row r="134">
      <c r="B134" s="204">
        <f>IF('_Datos'!$C134,'_Datos'!$O134,"")</f>
      </c>
      <c r="C134" s="205">
        <f>IF('_Datos'!$C134,'_Datos'!$F134,IF('_Datos'!$B134,'Proyecto Datos (OKR´s)'!$G134,""))</f>
      </c>
      <c r="D134" s="204">
        <f>IF('_Datos'!$C134,'_Datos'!$AO134,"")</f>
      </c>
      <c r="E134" s="208">
        <f>IF('_Datos'!$C134,'_Datos'!$I134,IF('_Datos'!$B134,IFERROR(AVERAGEIF('_Datos'!$D$7:$D$200,'Proyecto Datos (OKR´s)'!$G134,'_Datos'!$I$7:$I$200),""),""))</f>
      </c>
      <c r="F134" s="204">
        <f>IF('_Datos'!$C134,IF(ISNUMBER('_Datos'!$AR134),'_Datos'!$AR134,"(Sin fecha)"),"")</f>
      </c>
      <c r="G134" s="204"/>
      <c r="H134" s="205"/>
      <c r="I134" s="204">
        <f>IF('_Datos'!$C134,IF(ISNUMBER('_Datos'!$AV134),'_Datos'!$AZ134,"(Sin fecha)"),"")</f>
      </c>
      <c r="J134" s="204"/>
      <c r="K134" s="205"/>
      <c r="L134" s="209">
        <f>IF('_Datos'!$C134,'_Datos'!$AX134,"")</f>
      </c>
      <c r="M134" s="191"/>
      <c r="N134" s="204">
        <f>IF('_Datos'!$C134,'_Datos'!$BA134,"")</f>
      </c>
    </row>
    <row r="135">
      <c r="B135" s="204">
        <f>IF('_Datos'!$C135,'_Datos'!$O135,"")</f>
      </c>
      <c r="C135" s="205">
        <f>IF('_Datos'!$C135,'_Datos'!$F135,IF('_Datos'!$B135,'Proyecto Datos (OKR´s)'!$G135,""))</f>
      </c>
      <c r="D135" s="204">
        <f>IF('_Datos'!$C135,'_Datos'!$AO135,"")</f>
      </c>
      <c r="E135" s="208">
        <f>IF('_Datos'!$C135,'_Datos'!$I135,IF('_Datos'!$B135,IFERROR(AVERAGEIF('_Datos'!$D$7:$D$200,'Proyecto Datos (OKR´s)'!$G135,'_Datos'!$I$7:$I$200),""),""))</f>
      </c>
      <c r="F135" s="204">
        <f>IF('_Datos'!$C135,IF(ISNUMBER('_Datos'!$AR135),'_Datos'!$AR135,"(Sin fecha)"),"")</f>
      </c>
      <c r="G135" s="204"/>
      <c r="H135" s="205"/>
      <c r="I135" s="204">
        <f>IF('_Datos'!$C135,IF(ISNUMBER('_Datos'!$AV135),'_Datos'!$AZ135,"(Sin fecha)"),"")</f>
      </c>
      <c r="J135" s="204"/>
      <c r="K135" s="205"/>
      <c r="L135" s="209">
        <f>IF('_Datos'!$C135,'_Datos'!$AX135,"")</f>
      </c>
      <c r="M135" s="191"/>
      <c r="N135" s="204">
        <f>IF('_Datos'!$C135,'_Datos'!$BA135,"")</f>
      </c>
    </row>
    <row r="136">
      <c r="B136" s="204">
        <f>IF('_Datos'!$C136,'_Datos'!$O136,"")</f>
      </c>
      <c r="C136" s="205">
        <f>IF('_Datos'!$C136,'_Datos'!$F136,IF('_Datos'!$B136,'Proyecto Datos (OKR´s)'!$G136,""))</f>
      </c>
      <c r="D136" s="204">
        <f>IF('_Datos'!$C136,'_Datos'!$AO136,"")</f>
      </c>
      <c r="E136" s="208">
        <f>IF('_Datos'!$C136,'_Datos'!$I136,IF('_Datos'!$B136,IFERROR(AVERAGEIF('_Datos'!$D$7:$D$200,'Proyecto Datos (OKR´s)'!$G136,'_Datos'!$I$7:$I$200),""),""))</f>
      </c>
      <c r="F136" s="204">
        <f>IF('_Datos'!$C136,IF(ISNUMBER('_Datos'!$AR136),'_Datos'!$AR136,"(Sin fecha)"),"")</f>
      </c>
      <c r="G136" s="204"/>
      <c r="H136" s="205"/>
      <c r="I136" s="204">
        <f>IF('_Datos'!$C136,IF(ISNUMBER('_Datos'!$AV136),'_Datos'!$AZ136,"(Sin fecha)"),"")</f>
      </c>
      <c r="J136" s="204"/>
      <c r="K136" s="205"/>
      <c r="L136" s="209">
        <f>IF('_Datos'!$C136,'_Datos'!$AX136,"")</f>
      </c>
      <c r="M136" s="191"/>
      <c r="N136" s="204">
        <f>IF('_Datos'!$C136,'_Datos'!$BA136,"")</f>
      </c>
    </row>
    <row r="137">
      <c r="B137" s="204">
        <f>IF('_Datos'!$C137,'_Datos'!$O137,"")</f>
      </c>
      <c r="C137" s="205">
        <f>IF('_Datos'!$C137,'_Datos'!$F137,IF('_Datos'!$B137,'Proyecto Datos (OKR´s)'!$G137,""))</f>
      </c>
      <c r="D137" s="204">
        <f>IF('_Datos'!$C137,'_Datos'!$AO137,"")</f>
      </c>
      <c r="E137" s="208">
        <f>IF('_Datos'!$C137,'_Datos'!$I137,IF('_Datos'!$B137,IFERROR(AVERAGEIF('_Datos'!$D$7:$D$200,'Proyecto Datos (OKR´s)'!$G137,'_Datos'!$I$7:$I$200),""),""))</f>
      </c>
      <c r="F137" s="204">
        <f>IF('_Datos'!$C137,IF(ISNUMBER('_Datos'!$AR137),'_Datos'!$AR137,"(Sin fecha)"),"")</f>
      </c>
      <c r="G137" s="204"/>
      <c r="H137" s="205"/>
      <c r="I137" s="204">
        <f>IF('_Datos'!$C137,IF(ISNUMBER('_Datos'!$AV137),'_Datos'!$AZ137,"(Sin fecha)"),"")</f>
      </c>
      <c r="J137" s="204"/>
      <c r="K137" s="205"/>
      <c r="L137" s="209">
        <f>IF('_Datos'!$C137,'_Datos'!$AX137,"")</f>
      </c>
      <c r="M137" s="191"/>
      <c r="N137" s="204">
        <f>IF('_Datos'!$C137,'_Datos'!$BA137,"")</f>
      </c>
    </row>
    <row r="138">
      <c r="B138" s="204">
        <f>IF('_Datos'!$C138,'_Datos'!$O138,"")</f>
      </c>
      <c r="C138" s="205">
        <f>IF('_Datos'!$C138,'_Datos'!$F138,IF('_Datos'!$B138,'Proyecto Datos (OKR´s)'!$G138,""))</f>
      </c>
      <c r="D138" s="204">
        <f>IF('_Datos'!$C138,'_Datos'!$AO138,"")</f>
      </c>
      <c r="E138" s="208">
        <f>IF('_Datos'!$C138,'_Datos'!$I138,IF('_Datos'!$B138,IFERROR(AVERAGEIF('_Datos'!$D$7:$D$200,'Proyecto Datos (OKR´s)'!$G138,'_Datos'!$I$7:$I$200),""),""))</f>
      </c>
      <c r="F138" s="204">
        <f>IF('_Datos'!$C138,IF(ISNUMBER('_Datos'!$AR138),'_Datos'!$AR138,"(Sin fecha)"),"")</f>
      </c>
      <c r="G138" s="204"/>
      <c r="H138" s="205"/>
      <c r="I138" s="204">
        <f>IF('_Datos'!$C138,IF(ISNUMBER('_Datos'!$AV138),'_Datos'!$AZ138,"(Sin fecha)"),"")</f>
      </c>
      <c r="J138" s="204"/>
      <c r="K138" s="205"/>
      <c r="L138" s="209">
        <f>IF('_Datos'!$C138,'_Datos'!$AX138,"")</f>
      </c>
      <c r="M138" s="191"/>
      <c r="N138" s="204">
        <f>IF('_Datos'!$C138,'_Datos'!$BA138,"")</f>
      </c>
    </row>
    <row r="139">
      <c r="B139" s="204">
        <f>IF('_Datos'!$C139,'_Datos'!$O139,"")</f>
      </c>
      <c r="C139" s="205">
        <f>IF('_Datos'!$C139,'_Datos'!$F139,IF('_Datos'!$B139,'Proyecto Datos (OKR´s)'!$G139,""))</f>
      </c>
      <c r="D139" s="204">
        <f>IF('_Datos'!$C139,'_Datos'!$AO139,"")</f>
      </c>
      <c r="E139" s="208">
        <f>IF('_Datos'!$C139,'_Datos'!$I139,IF('_Datos'!$B139,IFERROR(AVERAGEIF('_Datos'!$D$7:$D$200,'Proyecto Datos (OKR´s)'!$G139,'_Datos'!$I$7:$I$200),""),""))</f>
      </c>
      <c r="F139" s="204">
        <f>IF('_Datos'!$C139,IF(ISNUMBER('_Datos'!$AR139),'_Datos'!$AR139,"(Sin fecha)"),"")</f>
      </c>
      <c r="G139" s="204"/>
      <c r="H139" s="205"/>
      <c r="I139" s="204">
        <f>IF('_Datos'!$C139,IF(ISNUMBER('_Datos'!$AV139),'_Datos'!$AZ139,"(Sin fecha)"),"")</f>
      </c>
      <c r="J139" s="204"/>
      <c r="K139" s="205"/>
      <c r="L139" s="209">
        <f>IF('_Datos'!$C139,'_Datos'!$AX139,"")</f>
      </c>
      <c r="M139" s="191"/>
      <c r="N139" s="204">
        <f>IF('_Datos'!$C139,'_Datos'!$BA139,"")</f>
      </c>
    </row>
    <row r="140">
      <c r="B140" s="204">
        <f>IF('_Datos'!$C140,'_Datos'!$O140,"")</f>
      </c>
      <c r="C140" s="205">
        <f>IF('_Datos'!$C140,'_Datos'!$F140,IF('_Datos'!$B140,'Proyecto Datos (OKR´s)'!$G140,""))</f>
      </c>
      <c r="D140" s="204">
        <f>IF('_Datos'!$C140,'_Datos'!$AO140,"")</f>
      </c>
      <c r="E140" s="208">
        <f>IF('_Datos'!$C140,'_Datos'!$I140,IF('_Datos'!$B140,IFERROR(AVERAGEIF('_Datos'!$D$7:$D$200,'Proyecto Datos (OKR´s)'!$G140,'_Datos'!$I$7:$I$200),""),""))</f>
      </c>
      <c r="F140" s="204">
        <f>IF('_Datos'!$C140,IF(ISNUMBER('_Datos'!$AR140),'_Datos'!$AR140,"(Sin fecha)"),"")</f>
      </c>
      <c r="G140" s="204"/>
      <c r="H140" s="205"/>
      <c r="I140" s="204">
        <f>IF('_Datos'!$C140,IF(ISNUMBER('_Datos'!$AV140),'_Datos'!$AZ140,"(Sin fecha)"),"")</f>
      </c>
      <c r="J140" s="204"/>
      <c r="K140" s="205"/>
      <c r="L140" s="209">
        <f>IF('_Datos'!$C140,'_Datos'!$AX140,"")</f>
      </c>
      <c r="M140" s="191"/>
      <c r="N140" s="204">
        <f>IF('_Datos'!$C140,'_Datos'!$BA140,"")</f>
      </c>
    </row>
    <row r="141">
      <c r="B141" s="204">
        <f>IF('_Datos'!$C141,'_Datos'!$O141,"")</f>
      </c>
      <c r="C141" s="205">
        <f>IF('_Datos'!$C141,'_Datos'!$F141,IF('_Datos'!$B141,'Proyecto Datos (OKR´s)'!$G141,""))</f>
      </c>
      <c r="D141" s="204">
        <f>IF('_Datos'!$C141,'_Datos'!$AO141,"")</f>
      </c>
      <c r="E141" s="208">
        <f>IF('_Datos'!$C141,'_Datos'!$I141,IF('_Datos'!$B141,IFERROR(AVERAGEIF('_Datos'!$D$7:$D$200,'Proyecto Datos (OKR´s)'!$G141,'_Datos'!$I$7:$I$200),""),""))</f>
      </c>
      <c r="F141" s="204">
        <f>IF('_Datos'!$C141,IF(ISNUMBER('_Datos'!$AR141),'_Datos'!$AR141,"(Sin fecha)"),"")</f>
      </c>
      <c r="G141" s="204"/>
      <c r="H141" s="205"/>
      <c r="I141" s="204">
        <f>IF('_Datos'!$C141,IF(ISNUMBER('_Datos'!$AV141),'_Datos'!$AZ141,"(Sin fecha)"),"")</f>
      </c>
      <c r="J141" s="204"/>
      <c r="K141" s="205"/>
      <c r="L141" s="209">
        <f>IF('_Datos'!$C141,'_Datos'!$AX141,"")</f>
      </c>
      <c r="M141" s="191"/>
      <c r="N141" s="204">
        <f>IF('_Datos'!$C141,'_Datos'!$BA141,"")</f>
      </c>
    </row>
    <row r="142">
      <c r="B142" s="204">
        <f>IF('_Datos'!$C142,'_Datos'!$O142,"")</f>
      </c>
      <c r="C142" s="205">
        <f>IF('_Datos'!$C142,'_Datos'!$F142,IF('_Datos'!$B142,'Proyecto Datos (OKR´s)'!$G142,""))</f>
      </c>
      <c r="D142" s="204">
        <f>IF('_Datos'!$C142,'_Datos'!$AO142,"")</f>
      </c>
      <c r="E142" s="208">
        <f>IF('_Datos'!$C142,'_Datos'!$I142,IF('_Datos'!$B142,IFERROR(AVERAGEIF('_Datos'!$D$7:$D$200,'Proyecto Datos (OKR´s)'!$G142,'_Datos'!$I$7:$I$200),""),""))</f>
      </c>
      <c r="F142" s="204">
        <f>IF('_Datos'!$C142,IF(ISNUMBER('_Datos'!$AR142),'_Datos'!$AR142,"(Sin fecha)"),"")</f>
      </c>
      <c r="G142" s="204"/>
      <c r="H142" s="205"/>
      <c r="I142" s="204">
        <f>IF('_Datos'!$C142,IF(ISNUMBER('_Datos'!$AV142),'_Datos'!$AZ142,"(Sin fecha)"),"")</f>
      </c>
      <c r="J142" s="204"/>
      <c r="K142" s="205"/>
      <c r="L142" s="209">
        <f>IF('_Datos'!$C142,'_Datos'!$AX142,"")</f>
      </c>
      <c r="M142" s="191"/>
      <c r="N142" s="204">
        <f>IF('_Datos'!$C142,'_Datos'!$BA142,"")</f>
      </c>
    </row>
    <row r="143">
      <c r="B143" s="204">
        <f>IF('_Datos'!$C143,'_Datos'!$O143,"")</f>
      </c>
      <c r="C143" s="205">
        <f>IF('_Datos'!$C143,'_Datos'!$F143,IF('_Datos'!$B143,'Proyecto Datos (OKR´s)'!$G143,""))</f>
      </c>
      <c r="D143" s="204">
        <f>IF('_Datos'!$C143,'_Datos'!$AO143,"")</f>
      </c>
      <c r="E143" s="208">
        <f>IF('_Datos'!$C143,'_Datos'!$I143,IF('_Datos'!$B143,IFERROR(AVERAGEIF('_Datos'!$D$7:$D$200,'Proyecto Datos (OKR´s)'!$G143,'_Datos'!$I$7:$I$200),""),""))</f>
      </c>
      <c r="F143" s="204">
        <f>IF('_Datos'!$C143,IF(ISNUMBER('_Datos'!$AR143),'_Datos'!$AR143,"(Sin fecha)"),"")</f>
      </c>
      <c r="G143" s="204"/>
      <c r="H143" s="205"/>
      <c r="I143" s="204">
        <f>IF('_Datos'!$C143,IF(ISNUMBER('_Datos'!$AV143),'_Datos'!$AZ143,"(Sin fecha)"),"")</f>
      </c>
      <c r="J143" s="204"/>
      <c r="K143" s="205"/>
      <c r="L143" s="209">
        <f>IF('_Datos'!$C143,'_Datos'!$AX143,"")</f>
      </c>
      <c r="M143" s="191"/>
      <c r="N143" s="204">
        <f>IF('_Datos'!$C143,'_Datos'!$BA143,"")</f>
      </c>
    </row>
    <row r="144">
      <c r="B144" s="204">
        <f>IF('_Datos'!$C144,'_Datos'!$O144,"")</f>
      </c>
      <c r="C144" s="205">
        <f>IF('_Datos'!$C144,'_Datos'!$F144,IF('_Datos'!$B144,'Proyecto Datos (OKR´s)'!$G144,""))</f>
      </c>
      <c r="D144" s="204">
        <f>IF('_Datos'!$C144,'_Datos'!$AO144,"")</f>
      </c>
      <c r="E144" s="208">
        <f>IF('_Datos'!$C144,'_Datos'!$I144,IF('_Datos'!$B144,IFERROR(AVERAGEIF('_Datos'!$D$7:$D$200,'Proyecto Datos (OKR´s)'!$G144,'_Datos'!$I$7:$I$200),""),""))</f>
      </c>
      <c r="F144" s="204">
        <f>IF('_Datos'!$C144,IF(ISNUMBER('_Datos'!$AR144),'_Datos'!$AR144,"(Sin fecha)"),"")</f>
      </c>
      <c r="G144" s="204"/>
      <c r="H144" s="205"/>
      <c r="I144" s="204">
        <f>IF('_Datos'!$C144,IF(ISNUMBER('_Datos'!$AV144),'_Datos'!$AZ144,"(Sin fecha)"),"")</f>
      </c>
      <c r="J144" s="204"/>
      <c r="K144" s="205"/>
      <c r="L144" s="209">
        <f>IF('_Datos'!$C144,'_Datos'!$AX144,"")</f>
      </c>
      <c r="M144" s="191"/>
      <c r="N144" s="204">
        <f>IF('_Datos'!$C144,'_Datos'!$BA144,"")</f>
      </c>
    </row>
    <row r="145">
      <c r="B145" s="204">
        <f>IF('_Datos'!$C145,'_Datos'!$O145,"")</f>
      </c>
      <c r="C145" s="205">
        <f>IF('_Datos'!$C145,'_Datos'!$F145,IF('_Datos'!$B145,'Proyecto Datos (OKR´s)'!$G145,""))</f>
      </c>
      <c r="D145" s="204">
        <f>IF('_Datos'!$C145,'_Datos'!$AO145,"")</f>
      </c>
      <c r="E145" s="208">
        <f>IF('_Datos'!$C145,'_Datos'!$I145,IF('_Datos'!$B145,IFERROR(AVERAGEIF('_Datos'!$D$7:$D$200,'Proyecto Datos (OKR´s)'!$G145,'_Datos'!$I$7:$I$200),""),""))</f>
      </c>
      <c r="F145" s="204">
        <f>IF('_Datos'!$C145,IF(ISNUMBER('_Datos'!$AR145),'_Datos'!$AR145,"(Sin fecha)"),"")</f>
      </c>
      <c r="G145" s="204"/>
      <c r="H145" s="205"/>
      <c r="I145" s="204">
        <f>IF('_Datos'!$C145,IF(ISNUMBER('_Datos'!$AV145),'_Datos'!$AZ145,"(Sin fecha)"),"")</f>
      </c>
      <c r="J145" s="204"/>
      <c r="K145" s="205"/>
      <c r="L145" s="209">
        <f>IF('_Datos'!$C145,'_Datos'!$AX145,"")</f>
      </c>
      <c r="M145" s="191"/>
      <c r="N145" s="204">
        <f>IF('_Datos'!$C145,'_Datos'!$BA145,"")</f>
      </c>
    </row>
    <row r="146">
      <c r="B146" s="204">
        <f>IF('_Datos'!$C146,'_Datos'!$O146,"")</f>
      </c>
      <c r="C146" s="205">
        <f>IF('_Datos'!$C146,'_Datos'!$F146,IF('_Datos'!$B146,'Proyecto Datos (OKR´s)'!$G146,""))</f>
      </c>
      <c r="D146" s="204">
        <f>IF('_Datos'!$C146,'_Datos'!$AO146,"")</f>
      </c>
      <c r="E146" s="208">
        <f>IF('_Datos'!$C146,'_Datos'!$I146,IF('_Datos'!$B146,IFERROR(AVERAGEIF('_Datos'!$D$7:$D$200,'Proyecto Datos (OKR´s)'!$G146,'_Datos'!$I$7:$I$200),""),""))</f>
      </c>
      <c r="F146" s="204">
        <f>IF('_Datos'!$C146,IF(ISNUMBER('_Datos'!$AR146),'_Datos'!$AR146,"(Sin fecha)"),"")</f>
      </c>
      <c r="G146" s="204"/>
      <c r="H146" s="205"/>
      <c r="I146" s="204">
        <f>IF('_Datos'!$C146,IF(ISNUMBER('_Datos'!$AV146),'_Datos'!$AZ146,"(Sin fecha)"),"")</f>
      </c>
      <c r="J146" s="204"/>
      <c r="K146" s="205"/>
      <c r="L146" s="209">
        <f>IF('_Datos'!$C146,'_Datos'!$AX146,"")</f>
      </c>
      <c r="M146" s="191"/>
      <c r="N146" s="204">
        <f>IF('_Datos'!$C146,'_Datos'!$BA146,"")</f>
      </c>
    </row>
    <row r="147">
      <c r="B147" s="204">
        <f>IF('_Datos'!$C147,'_Datos'!$O147,"")</f>
      </c>
      <c r="C147" s="205">
        <f>IF('_Datos'!$C147,'_Datos'!$F147,IF('_Datos'!$B147,'Proyecto Datos (OKR´s)'!$G147,""))</f>
      </c>
      <c r="D147" s="204">
        <f>IF('_Datos'!$C147,'_Datos'!$AO147,"")</f>
      </c>
      <c r="E147" s="208">
        <f>IF('_Datos'!$C147,'_Datos'!$I147,IF('_Datos'!$B147,IFERROR(AVERAGEIF('_Datos'!$D$7:$D$200,'Proyecto Datos (OKR´s)'!$G147,'_Datos'!$I$7:$I$200),""),""))</f>
      </c>
      <c r="F147" s="204">
        <f>IF('_Datos'!$C147,IF(ISNUMBER('_Datos'!$AR147),'_Datos'!$AR147,"(Sin fecha)"),"")</f>
      </c>
      <c r="G147" s="204"/>
      <c r="H147" s="205"/>
      <c r="I147" s="204">
        <f>IF('_Datos'!$C147,IF(ISNUMBER('_Datos'!$AV147),'_Datos'!$AZ147,"(Sin fecha)"),"")</f>
      </c>
      <c r="J147" s="204"/>
      <c r="K147" s="205"/>
      <c r="L147" s="209">
        <f>IF('_Datos'!$C147,'_Datos'!$AX147,"")</f>
      </c>
      <c r="M147" s="191"/>
      <c r="N147" s="204">
        <f>IF('_Datos'!$C147,'_Datos'!$BA147,"")</f>
      </c>
    </row>
    <row r="148">
      <c r="B148" s="204">
        <f>IF('_Datos'!$C148,'_Datos'!$O148,"")</f>
      </c>
      <c r="C148" s="205">
        <f>IF('_Datos'!$C148,'_Datos'!$F148,IF('_Datos'!$B148,'Proyecto Datos (OKR´s)'!$G148,""))</f>
      </c>
      <c r="D148" s="204">
        <f>IF('_Datos'!$C148,'_Datos'!$AO148,"")</f>
      </c>
      <c r="E148" s="208">
        <f>IF('_Datos'!$C148,'_Datos'!$I148,IF('_Datos'!$B148,IFERROR(AVERAGEIF('_Datos'!$D$7:$D$200,'Proyecto Datos (OKR´s)'!$G148,'_Datos'!$I$7:$I$200),""),""))</f>
      </c>
      <c r="F148" s="204">
        <f>IF('_Datos'!$C148,IF(ISNUMBER('_Datos'!$AR148),'_Datos'!$AR148,"(Sin fecha)"),"")</f>
      </c>
      <c r="G148" s="204"/>
      <c r="H148" s="205"/>
      <c r="I148" s="204">
        <f>IF('_Datos'!$C148,IF(ISNUMBER('_Datos'!$AV148),'_Datos'!$AZ148,"(Sin fecha)"),"")</f>
      </c>
      <c r="J148" s="204"/>
      <c r="K148" s="205"/>
      <c r="L148" s="209">
        <f>IF('_Datos'!$C148,'_Datos'!$AX148,"")</f>
      </c>
      <c r="M148" s="191"/>
      <c r="N148" s="204">
        <f>IF('_Datos'!$C148,'_Datos'!$BA148,"")</f>
      </c>
    </row>
    <row r="149">
      <c r="B149" s="204">
        <f>IF('_Datos'!$C149,'_Datos'!$O149,"")</f>
      </c>
      <c r="C149" s="205">
        <f>IF('_Datos'!$C149,'_Datos'!$F149,IF('_Datos'!$B149,'Proyecto Datos (OKR´s)'!$G149,""))</f>
      </c>
      <c r="D149" s="204">
        <f>IF('_Datos'!$C149,'_Datos'!$AO149,"")</f>
      </c>
      <c r="E149" s="208">
        <f>IF('_Datos'!$C149,'_Datos'!$I149,IF('_Datos'!$B149,IFERROR(AVERAGEIF('_Datos'!$D$7:$D$200,'Proyecto Datos (OKR´s)'!$G149,'_Datos'!$I$7:$I$200),""),""))</f>
      </c>
      <c r="F149" s="204">
        <f>IF('_Datos'!$C149,IF(ISNUMBER('_Datos'!$AR149),'_Datos'!$AR149,"(Sin fecha)"),"")</f>
      </c>
      <c r="G149" s="204"/>
      <c r="H149" s="205"/>
      <c r="I149" s="204">
        <f>IF('_Datos'!$C149,IF(ISNUMBER('_Datos'!$AV149),'_Datos'!$AZ149,"(Sin fecha)"),"")</f>
      </c>
      <c r="J149" s="204"/>
      <c r="K149" s="205"/>
      <c r="L149" s="209">
        <f>IF('_Datos'!$C149,'_Datos'!$AX149,"")</f>
      </c>
      <c r="M149" s="191"/>
      <c r="N149" s="204">
        <f>IF('_Datos'!$C149,'_Datos'!$BA149,"")</f>
      </c>
    </row>
    <row r="150">
      <c r="B150" s="204">
        <f>IF('_Datos'!$C150,'_Datos'!$O150,"")</f>
      </c>
      <c r="C150" s="205">
        <f>IF('_Datos'!$C150,'_Datos'!$F150,IF('_Datos'!$B150,'Proyecto Datos (OKR´s)'!$G150,""))</f>
      </c>
      <c r="D150" s="204">
        <f>IF('_Datos'!$C150,'_Datos'!$AO150,"")</f>
      </c>
      <c r="E150" s="208">
        <f>IF('_Datos'!$C150,'_Datos'!$I150,IF('_Datos'!$B150,IFERROR(AVERAGEIF('_Datos'!$D$7:$D$200,'Proyecto Datos (OKR´s)'!$G150,'_Datos'!$I$7:$I$200),""),""))</f>
      </c>
      <c r="F150" s="204">
        <f>IF('_Datos'!$C150,IF(ISNUMBER('_Datos'!$AR150),'_Datos'!$AR150,"(Sin fecha)"),"")</f>
      </c>
      <c r="G150" s="204"/>
      <c r="H150" s="205"/>
      <c r="I150" s="204">
        <f>IF('_Datos'!$C150,IF(ISNUMBER('_Datos'!$AV150),'_Datos'!$AZ150,"(Sin fecha)"),"")</f>
      </c>
      <c r="J150" s="204"/>
      <c r="K150" s="205"/>
      <c r="L150" s="209">
        <f>IF('_Datos'!$C150,'_Datos'!$AX150,"")</f>
      </c>
      <c r="M150" s="191"/>
      <c r="N150" s="204">
        <f>IF('_Datos'!$C150,'_Datos'!$BA150,"")</f>
      </c>
    </row>
    <row r="151">
      <c r="B151" s="204">
        <f>IF('_Datos'!$C151,'_Datos'!$O151,"")</f>
      </c>
      <c r="C151" s="205">
        <f>IF('_Datos'!$C151,'_Datos'!$F151,IF('_Datos'!$B151,'Proyecto Datos (OKR´s)'!$G151,""))</f>
      </c>
      <c r="D151" s="204">
        <f>IF('_Datos'!$C151,'_Datos'!$AO151,"")</f>
      </c>
      <c r="E151" s="208">
        <f>IF('_Datos'!$C151,'_Datos'!$I151,IF('_Datos'!$B151,IFERROR(AVERAGEIF('_Datos'!$D$7:$D$200,'Proyecto Datos (OKR´s)'!$G151,'_Datos'!$I$7:$I$200),""),""))</f>
      </c>
      <c r="F151" s="204">
        <f>IF('_Datos'!$C151,IF(ISNUMBER('_Datos'!$AR151),'_Datos'!$AR151,"(Sin fecha)"),"")</f>
      </c>
      <c r="G151" s="204"/>
      <c r="H151" s="205"/>
      <c r="I151" s="204">
        <f>IF('_Datos'!$C151,IF(ISNUMBER('_Datos'!$AV151),'_Datos'!$AZ151,"(Sin fecha)"),"")</f>
      </c>
      <c r="J151" s="204"/>
      <c r="K151" s="205"/>
      <c r="L151" s="209">
        <f>IF('_Datos'!$C151,'_Datos'!$AX151,"")</f>
      </c>
      <c r="M151" s="191"/>
      <c r="N151" s="204">
        <f>IF('_Datos'!$C151,'_Datos'!$BA151,"")</f>
      </c>
    </row>
    <row r="152">
      <c r="B152" s="204">
        <f>IF('_Datos'!$C152,'_Datos'!$O152,"")</f>
      </c>
      <c r="C152" s="205">
        <f>IF('_Datos'!$C152,'_Datos'!$F152,IF('_Datos'!$B152,'Proyecto Datos (OKR´s)'!$G152,""))</f>
      </c>
      <c r="D152" s="204">
        <f>IF('_Datos'!$C152,'_Datos'!$AO152,"")</f>
      </c>
      <c r="E152" s="208">
        <f>IF('_Datos'!$C152,'_Datos'!$I152,IF('_Datos'!$B152,IFERROR(AVERAGEIF('_Datos'!$D$7:$D$200,'Proyecto Datos (OKR´s)'!$G152,'_Datos'!$I$7:$I$200),""),""))</f>
      </c>
      <c r="F152" s="204">
        <f>IF('_Datos'!$C152,IF(ISNUMBER('_Datos'!$AR152),'_Datos'!$AR152,"(Sin fecha)"),"")</f>
      </c>
      <c r="G152" s="204"/>
      <c r="H152" s="205"/>
      <c r="I152" s="204">
        <f>IF('_Datos'!$C152,IF(ISNUMBER('_Datos'!$AV152),'_Datos'!$AZ152,"(Sin fecha)"),"")</f>
      </c>
      <c r="J152" s="204"/>
      <c r="K152" s="205"/>
      <c r="L152" s="209">
        <f>IF('_Datos'!$C152,'_Datos'!$AX152,"")</f>
      </c>
      <c r="M152" s="191"/>
      <c r="N152" s="204">
        <f>IF('_Datos'!$C152,'_Datos'!$BA152,"")</f>
      </c>
    </row>
    <row r="153">
      <c r="B153" s="204">
        <f>IF('_Datos'!$C153,'_Datos'!$O153,"")</f>
      </c>
      <c r="C153" s="205">
        <f>IF('_Datos'!$C153,'_Datos'!$F153,IF('_Datos'!$B153,'Proyecto Datos (OKR´s)'!$G153,""))</f>
      </c>
      <c r="D153" s="204">
        <f>IF('_Datos'!$C153,'_Datos'!$AO153,"")</f>
      </c>
      <c r="E153" s="208">
        <f>IF('_Datos'!$C153,'_Datos'!$I153,IF('_Datos'!$B153,IFERROR(AVERAGEIF('_Datos'!$D$7:$D$200,'Proyecto Datos (OKR´s)'!$G153,'_Datos'!$I$7:$I$200),""),""))</f>
      </c>
      <c r="F153" s="204">
        <f>IF('_Datos'!$C153,IF(ISNUMBER('_Datos'!$AR153),'_Datos'!$AR153,"(Sin fecha)"),"")</f>
      </c>
      <c r="G153" s="204"/>
      <c r="H153" s="205"/>
      <c r="I153" s="204">
        <f>IF('_Datos'!$C153,IF(ISNUMBER('_Datos'!$AV153),'_Datos'!$AZ153,"(Sin fecha)"),"")</f>
      </c>
      <c r="J153" s="204"/>
      <c r="K153" s="205"/>
      <c r="L153" s="209">
        <f>IF('_Datos'!$C153,'_Datos'!$AX153,"")</f>
      </c>
      <c r="M153" s="191"/>
      <c r="N153" s="204">
        <f>IF('_Datos'!$C153,'_Datos'!$BA153,"")</f>
      </c>
    </row>
    <row r="154">
      <c r="B154" s="204">
        <f>IF('_Datos'!$C154,'_Datos'!$O154,"")</f>
      </c>
      <c r="C154" s="205">
        <f>IF('_Datos'!$C154,'_Datos'!$F154,IF('_Datos'!$B154,'Proyecto Datos (OKR´s)'!$G154,""))</f>
      </c>
      <c r="D154" s="204">
        <f>IF('_Datos'!$C154,'_Datos'!$AO154,"")</f>
      </c>
      <c r="E154" s="208">
        <f>IF('_Datos'!$C154,'_Datos'!$I154,IF('_Datos'!$B154,IFERROR(AVERAGEIF('_Datos'!$D$7:$D$200,'Proyecto Datos (OKR´s)'!$G154,'_Datos'!$I$7:$I$200),""),""))</f>
      </c>
      <c r="F154" s="204">
        <f>IF('_Datos'!$C154,IF(ISNUMBER('_Datos'!$AR154),'_Datos'!$AR154,"(Sin fecha)"),"")</f>
      </c>
      <c r="G154" s="204"/>
      <c r="H154" s="205"/>
      <c r="I154" s="204">
        <f>IF('_Datos'!$C154,IF(ISNUMBER('_Datos'!$AV154),'_Datos'!$AZ154,"(Sin fecha)"),"")</f>
      </c>
      <c r="J154" s="204"/>
      <c r="K154" s="205"/>
      <c r="L154" s="209">
        <f>IF('_Datos'!$C154,'_Datos'!$AX154,"")</f>
      </c>
      <c r="M154" s="191"/>
      <c r="N154" s="204">
        <f>IF('_Datos'!$C154,'_Datos'!$BA154,"")</f>
      </c>
    </row>
    <row r="155">
      <c r="B155" s="204">
        <f>IF('_Datos'!$C155,'_Datos'!$O155,"")</f>
      </c>
      <c r="C155" s="205">
        <f>IF('_Datos'!$C155,'_Datos'!$F155,IF('_Datos'!$B155,'Proyecto Datos (OKR´s)'!$G155,""))</f>
      </c>
      <c r="D155" s="204">
        <f>IF('_Datos'!$C155,'_Datos'!$AO155,"")</f>
      </c>
      <c r="E155" s="208">
        <f>IF('_Datos'!$C155,'_Datos'!$I155,IF('_Datos'!$B155,IFERROR(AVERAGEIF('_Datos'!$D$7:$D$200,'Proyecto Datos (OKR´s)'!$G155,'_Datos'!$I$7:$I$200),""),""))</f>
      </c>
      <c r="F155" s="204">
        <f>IF('_Datos'!$C155,IF(ISNUMBER('_Datos'!$AR155),'_Datos'!$AR155,"(Sin fecha)"),"")</f>
      </c>
      <c r="G155" s="204"/>
      <c r="H155" s="205"/>
      <c r="I155" s="204">
        <f>IF('_Datos'!$C155,IF(ISNUMBER('_Datos'!$AV155),'_Datos'!$AZ155,"(Sin fecha)"),"")</f>
      </c>
      <c r="J155" s="204"/>
      <c r="K155" s="205"/>
      <c r="L155" s="209">
        <f>IF('_Datos'!$C155,'_Datos'!$AX155,"")</f>
      </c>
      <c r="M155" s="191"/>
      <c r="N155" s="204">
        <f>IF('_Datos'!$C155,'_Datos'!$BA155,"")</f>
      </c>
    </row>
    <row r="156">
      <c r="B156" s="204">
        <f>IF('_Datos'!$C156,'_Datos'!$O156,"")</f>
      </c>
      <c r="C156" s="205">
        <f>IF('_Datos'!$C156,'_Datos'!$F156,IF('_Datos'!$B156,'Proyecto Datos (OKR´s)'!$G156,""))</f>
      </c>
      <c r="D156" s="204">
        <f>IF('_Datos'!$C156,'_Datos'!$AO156,"")</f>
      </c>
      <c r="E156" s="208">
        <f>IF('_Datos'!$C156,'_Datos'!$I156,IF('_Datos'!$B156,IFERROR(AVERAGEIF('_Datos'!$D$7:$D$200,'Proyecto Datos (OKR´s)'!$G156,'_Datos'!$I$7:$I$200),""),""))</f>
      </c>
      <c r="F156" s="204">
        <f>IF('_Datos'!$C156,IF(ISNUMBER('_Datos'!$AR156),'_Datos'!$AR156,"(Sin fecha)"),"")</f>
      </c>
      <c r="G156" s="204"/>
      <c r="H156" s="205"/>
      <c r="I156" s="204">
        <f>IF('_Datos'!$C156,IF(ISNUMBER('_Datos'!$AV156),'_Datos'!$AZ156,"(Sin fecha)"),"")</f>
      </c>
      <c r="J156" s="204"/>
      <c r="K156" s="205"/>
      <c r="L156" s="209">
        <f>IF('_Datos'!$C156,'_Datos'!$AX156,"")</f>
      </c>
      <c r="M156" s="191"/>
      <c r="N156" s="204">
        <f>IF('_Datos'!$C156,'_Datos'!$BA156,"")</f>
      </c>
    </row>
    <row r="157">
      <c r="B157" s="204">
        <f>IF('_Datos'!$C157,'_Datos'!$O157,"")</f>
      </c>
      <c r="C157" s="205">
        <f>IF('_Datos'!$C157,'_Datos'!$F157,IF('_Datos'!$B157,'Proyecto Datos (OKR´s)'!$G157,""))</f>
      </c>
      <c r="D157" s="204">
        <f>IF('_Datos'!$C157,'_Datos'!$AO157,"")</f>
      </c>
      <c r="E157" s="208">
        <f>IF('_Datos'!$C157,'_Datos'!$I157,IF('_Datos'!$B157,IFERROR(AVERAGEIF('_Datos'!$D$7:$D$200,'Proyecto Datos (OKR´s)'!$G157,'_Datos'!$I$7:$I$200),""),""))</f>
      </c>
      <c r="F157" s="204">
        <f>IF('_Datos'!$C157,IF(ISNUMBER('_Datos'!$AR157),'_Datos'!$AR157,"(Sin fecha)"),"")</f>
      </c>
      <c r="G157" s="204"/>
      <c r="H157" s="205"/>
      <c r="I157" s="204">
        <f>IF('_Datos'!$C157,IF(ISNUMBER('_Datos'!$AV157),'_Datos'!$AZ157,"(Sin fecha)"),"")</f>
      </c>
      <c r="J157" s="204"/>
      <c r="K157" s="205"/>
      <c r="L157" s="209">
        <f>IF('_Datos'!$C157,'_Datos'!$AX157,"")</f>
      </c>
      <c r="M157" s="191"/>
      <c r="N157" s="204">
        <f>IF('_Datos'!$C157,'_Datos'!$BA157,"")</f>
      </c>
    </row>
    <row r="158">
      <c r="B158" s="204">
        <f>IF('_Datos'!$C158,'_Datos'!$O158,"")</f>
      </c>
      <c r="C158" s="205">
        <f>IF('_Datos'!$C158,'_Datos'!$F158,IF('_Datos'!$B158,'Proyecto Datos (OKR´s)'!$G158,""))</f>
      </c>
      <c r="D158" s="204">
        <f>IF('_Datos'!$C158,'_Datos'!$AO158,"")</f>
      </c>
      <c r="E158" s="208">
        <f>IF('_Datos'!$C158,'_Datos'!$I158,IF('_Datos'!$B158,IFERROR(AVERAGEIF('_Datos'!$D$7:$D$200,'Proyecto Datos (OKR´s)'!$G158,'_Datos'!$I$7:$I$200),""),""))</f>
      </c>
      <c r="F158" s="204">
        <f>IF('_Datos'!$C158,IF(ISNUMBER('_Datos'!$AR158),'_Datos'!$AR158,"(Sin fecha)"),"")</f>
      </c>
      <c r="G158" s="204"/>
      <c r="H158" s="205"/>
      <c r="I158" s="204">
        <f>IF('_Datos'!$C158,IF(ISNUMBER('_Datos'!$AV158),'_Datos'!$AZ158,"(Sin fecha)"),"")</f>
      </c>
      <c r="J158" s="204"/>
      <c r="K158" s="205"/>
      <c r="L158" s="209">
        <f>IF('_Datos'!$C158,'_Datos'!$AX158,"")</f>
      </c>
      <c r="M158" s="191"/>
      <c r="N158" s="204">
        <f>IF('_Datos'!$C158,'_Datos'!$BA158,"")</f>
      </c>
    </row>
    <row r="159">
      <c r="B159" s="204">
        <f>IF('_Datos'!$C159,'_Datos'!$O159,"")</f>
      </c>
      <c r="C159" s="205">
        <f>IF('_Datos'!$C159,'_Datos'!$F159,IF('_Datos'!$B159,'Proyecto Datos (OKR´s)'!$G159,""))</f>
      </c>
      <c r="D159" s="204">
        <f>IF('_Datos'!$C159,'_Datos'!$AO159,"")</f>
      </c>
      <c r="E159" s="208">
        <f>IF('_Datos'!$C159,'_Datos'!$I159,IF('_Datos'!$B159,IFERROR(AVERAGEIF('_Datos'!$D$7:$D$200,'Proyecto Datos (OKR´s)'!$G159,'_Datos'!$I$7:$I$200),""),""))</f>
      </c>
      <c r="F159" s="204">
        <f>IF('_Datos'!$C159,IF(ISNUMBER('_Datos'!$AR159),'_Datos'!$AR159,"(Sin fecha)"),"")</f>
      </c>
      <c r="G159" s="204"/>
      <c r="H159" s="205"/>
      <c r="I159" s="204">
        <f>IF('_Datos'!$C159,IF(ISNUMBER('_Datos'!$AV159),'_Datos'!$AZ159,"(Sin fecha)"),"")</f>
      </c>
      <c r="J159" s="204"/>
      <c r="K159" s="205"/>
      <c r="L159" s="209">
        <f>IF('_Datos'!$C159,'_Datos'!$AX159,"")</f>
      </c>
      <c r="M159" s="191"/>
      <c r="N159" s="204">
        <f>IF('_Datos'!$C159,'_Datos'!$BA159,"")</f>
      </c>
    </row>
    <row r="160">
      <c r="B160" s="204">
        <f>IF('_Datos'!$C160,'_Datos'!$O160,"")</f>
      </c>
      <c r="C160" s="205">
        <f>IF('_Datos'!$C160,'_Datos'!$F160,IF('_Datos'!$B160,'Proyecto Datos (OKR´s)'!$G160,""))</f>
      </c>
      <c r="D160" s="204">
        <f>IF('_Datos'!$C160,'_Datos'!$AO160,"")</f>
      </c>
      <c r="E160" s="208">
        <f>IF('_Datos'!$C160,'_Datos'!$I160,IF('_Datos'!$B160,IFERROR(AVERAGEIF('_Datos'!$D$7:$D$200,'Proyecto Datos (OKR´s)'!$G160,'_Datos'!$I$7:$I$200),""),""))</f>
      </c>
      <c r="F160" s="204">
        <f>IF('_Datos'!$C160,IF(ISNUMBER('_Datos'!$AR160),'_Datos'!$AR160,"(Sin fecha)"),"")</f>
      </c>
      <c r="G160" s="204"/>
      <c r="H160" s="205"/>
      <c r="I160" s="204">
        <f>IF('_Datos'!$C160,IF(ISNUMBER('_Datos'!$AV160),'_Datos'!$AZ160,"(Sin fecha)"),"")</f>
      </c>
      <c r="J160" s="204"/>
      <c r="K160" s="205"/>
      <c r="L160" s="209">
        <f>IF('_Datos'!$C160,'_Datos'!$AX160,"")</f>
      </c>
      <c r="M160" s="191"/>
      <c r="N160" s="204">
        <f>IF('_Datos'!$C160,'_Datos'!$BA160,"")</f>
      </c>
    </row>
    <row r="161">
      <c r="B161" s="204">
        <f>IF('_Datos'!$C161,'_Datos'!$O161,"")</f>
      </c>
      <c r="C161" s="205">
        <f>IF('_Datos'!$C161,'_Datos'!$F161,IF('_Datos'!$B161,'Proyecto Datos (OKR´s)'!$G161,""))</f>
      </c>
      <c r="D161" s="204">
        <f>IF('_Datos'!$C161,'_Datos'!$AO161,"")</f>
      </c>
      <c r="E161" s="208">
        <f>IF('_Datos'!$C161,'_Datos'!$I161,IF('_Datos'!$B161,IFERROR(AVERAGEIF('_Datos'!$D$7:$D$200,'Proyecto Datos (OKR´s)'!$G161,'_Datos'!$I$7:$I$200),""),""))</f>
      </c>
      <c r="F161" s="204">
        <f>IF('_Datos'!$C161,IF(ISNUMBER('_Datos'!$AR161),'_Datos'!$AR161,"(Sin fecha)"),"")</f>
      </c>
      <c r="G161" s="204"/>
      <c r="H161" s="205"/>
      <c r="I161" s="204">
        <f>IF('_Datos'!$C161,IF(ISNUMBER('_Datos'!$AV161),'_Datos'!$AZ161,"(Sin fecha)"),"")</f>
      </c>
      <c r="J161" s="204"/>
      <c r="K161" s="205"/>
      <c r="L161" s="209">
        <f>IF('_Datos'!$C161,'_Datos'!$AX161,"")</f>
      </c>
      <c r="M161" s="191"/>
      <c r="N161" s="204">
        <f>IF('_Datos'!$C161,'_Datos'!$BA161,"")</f>
      </c>
    </row>
    <row r="162">
      <c r="B162" s="204">
        <f>IF('_Datos'!$C162,'_Datos'!$O162,"")</f>
      </c>
      <c r="C162" s="205">
        <f>IF('_Datos'!$C162,'_Datos'!$F162,IF('_Datos'!$B162,'Proyecto Datos (OKR´s)'!$G162,""))</f>
      </c>
      <c r="D162" s="204">
        <f>IF('_Datos'!$C162,'_Datos'!$AO162,"")</f>
      </c>
      <c r="E162" s="208">
        <f>IF('_Datos'!$C162,'_Datos'!$I162,IF('_Datos'!$B162,IFERROR(AVERAGEIF('_Datos'!$D$7:$D$200,'Proyecto Datos (OKR´s)'!$G162,'_Datos'!$I$7:$I$200),""),""))</f>
      </c>
      <c r="F162" s="204">
        <f>IF('_Datos'!$C162,IF(ISNUMBER('_Datos'!$AR162),'_Datos'!$AR162,"(Sin fecha)"),"")</f>
      </c>
      <c r="G162" s="204"/>
      <c r="H162" s="205"/>
      <c r="I162" s="204">
        <f>IF('_Datos'!$C162,IF(ISNUMBER('_Datos'!$AV162),'_Datos'!$AZ162,"(Sin fecha)"),"")</f>
      </c>
      <c r="J162" s="204"/>
      <c r="K162" s="205"/>
      <c r="L162" s="209">
        <f>IF('_Datos'!$C162,'_Datos'!$AX162,"")</f>
      </c>
      <c r="M162" s="191"/>
      <c r="N162" s="204">
        <f>IF('_Datos'!$C162,'_Datos'!$BA162,"")</f>
      </c>
    </row>
    <row r="163">
      <c r="B163" s="204">
        <f>IF('_Datos'!$C163,'_Datos'!$O163,"")</f>
      </c>
      <c r="C163" s="205">
        <f>IF('_Datos'!$C163,'_Datos'!$F163,IF('_Datos'!$B163,'Proyecto Datos (OKR´s)'!$G163,""))</f>
      </c>
      <c r="D163" s="204">
        <f>IF('_Datos'!$C163,'_Datos'!$AO163,"")</f>
      </c>
      <c r="E163" s="208">
        <f>IF('_Datos'!$C163,'_Datos'!$I163,IF('_Datos'!$B163,IFERROR(AVERAGEIF('_Datos'!$D$7:$D$200,'Proyecto Datos (OKR´s)'!$G163,'_Datos'!$I$7:$I$200),""),""))</f>
      </c>
      <c r="F163" s="204">
        <f>IF('_Datos'!$C163,IF(ISNUMBER('_Datos'!$AR163),'_Datos'!$AR163,"(Sin fecha)"),"")</f>
      </c>
      <c r="G163" s="204"/>
      <c r="H163" s="205"/>
      <c r="I163" s="204">
        <f>IF('_Datos'!$C163,IF(ISNUMBER('_Datos'!$AV163),'_Datos'!$AZ163,"(Sin fecha)"),"")</f>
      </c>
      <c r="J163" s="204"/>
      <c r="K163" s="205"/>
      <c r="L163" s="209">
        <f>IF('_Datos'!$C163,'_Datos'!$AX163,"")</f>
      </c>
      <c r="M163" s="191"/>
      <c r="N163" s="204">
        <f>IF('_Datos'!$C163,'_Datos'!$BA163,"")</f>
      </c>
    </row>
    <row r="164">
      <c r="B164" s="204">
        <f>IF('_Datos'!$C164,'_Datos'!$O164,"")</f>
      </c>
      <c r="C164" s="205">
        <f>IF('_Datos'!$C164,'_Datos'!$F164,IF('_Datos'!$B164,'Proyecto Datos (OKR´s)'!$G164,""))</f>
      </c>
      <c r="D164" s="204">
        <f>IF('_Datos'!$C164,'_Datos'!$AO164,"")</f>
      </c>
      <c r="E164" s="208">
        <f>IF('_Datos'!$C164,'_Datos'!$I164,IF('_Datos'!$B164,IFERROR(AVERAGEIF('_Datos'!$D$7:$D$200,'Proyecto Datos (OKR´s)'!$G164,'_Datos'!$I$7:$I$200),""),""))</f>
      </c>
      <c r="F164" s="204">
        <f>IF('_Datos'!$C164,IF(ISNUMBER('_Datos'!$AR164),'_Datos'!$AR164,"(Sin fecha)"),"")</f>
      </c>
      <c r="G164" s="204"/>
      <c r="H164" s="205"/>
      <c r="I164" s="204">
        <f>IF('_Datos'!$C164,IF(ISNUMBER('_Datos'!$AV164),'_Datos'!$AZ164,"(Sin fecha)"),"")</f>
      </c>
      <c r="J164" s="204"/>
      <c r="K164" s="205"/>
      <c r="L164" s="209">
        <f>IF('_Datos'!$C164,'_Datos'!$AX164,"")</f>
      </c>
      <c r="M164" s="191"/>
      <c r="N164" s="204">
        <f>IF('_Datos'!$C164,'_Datos'!$BA164,"")</f>
      </c>
    </row>
    <row r="165">
      <c r="B165" s="204">
        <f>IF('_Datos'!$C165,'_Datos'!$O165,"")</f>
      </c>
      <c r="C165" s="205">
        <f>IF('_Datos'!$C165,'_Datos'!$F165,IF('_Datos'!$B165,'Proyecto Datos (OKR´s)'!$G165,""))</f>
      </c>
      <c r="D165" s="204">
        <f>IF('_Datos'!$C165,'_Datos'!$AO165,"")</f>
      </c>
      <c r="E165" s="208">
        <f>IF('_Datos'!$C165,'_Datos'!$I165,IF('_Datos'!$B165,IFERROR(AVERAGEIF('_Datos'!$D$7:$D$200,'Proyecto Datos (OKR´s)'!$G165,'_Datos'!$I$7:$I$200),""),""))</f>
      </c>
      <c r="F165" s="204">
        <f>IF('_Datos'!$C165,IF(ISNUMBER('_Datos'!$AR165),'_Datos'!$AR165,"(Sin fecha)"),"")</f>
      </c>
      <c r="G165" s="204"/>
      <c r="H165" s="205"/>
      <c r="I165" s="204">
        <f>IF('_Datos'!$C165,IF(ISNUMBER('_Datos'!$AV165),'_Datos'!$AZ165,"(Sin fecha)"),"")</f>
      </c>
      <c r="J165" s="204"/>
      <c r="K165" s="205"/>
      <c r="L165" s="209">
        <f>IF('_Datos'!$C165,'_Datos'!$AX165,"")</f>
      </c>
      <c r="M165" s="191"/>
      <c r="N165" s="204">
        <f>IF('_Datos'!$C165,'_Datos'!$BA165,"")</f>
      </c>
    </row>
    <row r="166">
      <c r="B166" s="204">
        <f>IF('_Datos'!$C166,'_Datos'!$O166,"")</f>
      </c>
      <c r="C166" s="205">
        <f>IF('_Datos'!$C166,'_Datos'!$F166,IF('_Datos'!$B166,'Proyecto Datos (OKR´s)'!$G166,""))</f>
      </c>
      <c r="D166" s="204">
        <f>IF('_Datos'!$C166,'_Datos'!$AO166,"")</f>
      </c>
      <c r="E166" s="208">
        <f>IF('_Datos'!$C166,'_Datos'!$I166,IF('_Datos'!$B166,IFERROR(AVERAGEIF('_Datos'!$D$7:$D$200,'Proyecto Datos (OKR´s)'!$G166,'_Datos'!$I$7:$I$200),""),""))</f>
      </c>
      <c r="F166" s="204">
        <f>IF('_Datos'!$C166,IF(ISNUMBER('_Datos'!$AR166),'_Datos'!$AR166,"(Sin fecha)"),"")</f>
      </c>
      <c r="G166" s="204"/>
      <c r="H166" s="205"/>
      <c r="I166" s="204">
        <f>IF('_Datos'!$C166,IF(ISNUMBER('_Datos'!$AV166),'_Datos'!$AZ166,"(Sin fecha)"),"")</f>
      </c>
      <c r="J166" s="204"/>
      <c r="K166" s="205"/>
      <c r="L166" s="209">
        <f>IF('_Datos'!$C166,'_Datos'!$AX166,"")</f>
      </c>
      <c r="M166" s="191"/>
      <c r="N166" s="204">
        <f>IF('_Datos'!$C166,'_Datos'!$BA166,"")</f>
      </c>
    </row>
    <row r="167">
      <c r="B167" s="204">
        <f>IF('_Datos'!$C167,'_Datos'!$O167,"")</f>
      </c>
      <c r="C167" s="205">
        <f>IF('_Datos'!$C167,'_Datos'!$F167,IF('_Datos'!$B167,'Proyecto Datos (OKR´s)'!$G167,""))</f>
      </c>
      <c r="D167" s="204">
        <f>IF('_Datos'!$C167,'_Datos'!$AO167,"")</f>
      </c>
      <c r="E167" s="208">
        <f>IF('_Datos'!$C167,'_Datos'!$I167,IF('_Datos'!$B167,IFERROR(AVERAGEIF('_Datos'!$D$7:$D$200,'Proyecto Datos (OKR´s)'!$G167,'_Datos'!$I$7:$I$200),""),""))</f>
      </c>
      <c r="F167" s="204">
        <f>IF('_Datos'!$C167,IF(ISNUMBER('_Datos'!$AR167),'_Datos'!$AR167,"(Sin fecha)"),"")</f>
      </c>
      <c r="G167" s="204"/>
      <c r="H167" s="205"/>
      <c r="I167" s="204">
        <f>IF('_Datos'!$C167,IF(ISNUMBER('_Datos'!$AV167),'_Datos'!$AZ167,"(Sin fecha)"),"")</f>
      </c>
      <c r="J167" s="204"/>
      <c r="K167" s="205"/>
      <c r="L167" s="209">
        <f>IF('_Datos'!$C167,'_Datos'!$AX167,"")</f>
      </c>
      <c r="M167" s="191"/>
      <c r="N167" s="204">
        <f>IF('_Datos'!$C167,'_Datos'!$BA167,"")</f>
      </c>
    </row>
    <row r="168">
      <c r="B168" s="204">
        <f>IF('_Datos'!$C168,'_Datos'!$O168,"")</f>
      </c>
      <c r="C168" s="205">
        <f>IF('_Datos'!$C168,'_Datos'!$F168,IF('_Datos'!$B168,'Proyecto Datos (OKR´s)'!$G168,""))</f>
      </c>
      <c r="D168" s="204">
        <f>IF('_Datos'!$C168,'_Datos'!$AO168,"")</f>
      </c>
      <c r="E168" s="208">
        <f>IF('_Datos'!$C168,'_Datos'!$I168,IF('_Datos'!$B168,IFERROR(AVERAGEIF('_Datos'!$D$7:$D$200,'Proyecto Datos (OKR´s)'!$G168,'_Datos'!$I$7:$I$200),""),""))</f>
      </c>
      <c r="F168" s="204">
        <f>IF('_Datos'!$C168,IF(ISNUMBER('_Datos'!$AR168),'_Datos'!$AR168,"(Sin fecha)"),"")</f>
      </c>
      <c r="G168" s="204"/>
      <c r="H168" s="205"/>
      <c r="I168" s="204">
        <f>IF('_Datos'!$C168,IF(ISNUMBER('_Datos'!$AV168),'_Datos'!$AZ168,"(Sin fecha)"),"")</f>
      </c>
      <c r="J168" s="204"/>
      <c r="K168" s="205"/>
      <c r="L168" s="209">
        <f>IF('_Datos'!$C168,'_Datos'!$AX168,"")</f>
      </c>
      <c r="M168" s="191"/>
      <c r="N168" s="204">
        <f>IF('_Datos'!$C168,'_Datos'!$BA168,"")</f>
      </c>
    </row>
    <row r="169">
      <c r="B169" s="204">
        <f>IF('_Datos'!$C169,'_Datos'!$O169,"")</f>
      </c>
      <c r="C169" s="205">
        <f>IF('_Datos'!$C169,'_Datos'!$F169,IF('_Datos'!$B169,'Proyecto Datos (OKR´s)'!$G169,""))</f>
      </c>
      <c r="D169" s="204">
        <f>IF('_Datos'!$C169,'_Datos'!$AO169,"")</f>
      </c>
      <c r="E169" s="208">
        <f>IF('_Datos'!$C169,'_Datos'!$I169,IF('_Datos'!$B169,IFERROR(AVERAGEIF('_Datos'!$D$7:$D$200,'Proyecto Datos (OKR´s)'!$G169,'_Datos'!$I$7:$I$200),""),""))</f>
      </c>
      <c r="F169" s="204">
        <f>IF('_Datos'!$C169,IF(ISNUMBER('_Datos'!$AR169),'_Datos'!$AR169,"(Sin fecha)"),"")</f>
      </c>
      <c r="G169" s="204"/>
      <c r="H169" s="205"/>
      <c r="I169" s="204">
        <f>IF('_Datos'!$C169,IF(ISNUMBER('_Datos'!$AV169),'_Datos'!$AZ169,"(Sin fecha)"),"")</f>
      </c>
      <c r="J169" s="204"/>
      <c r="K169" s="205"/>
      <c r="L169" s="209">
        <f>IF('_Datos'!$C169,'_Datos'!$AX169,"")</f>
      </c>
      <c r="M169" s="191"/>
      <c r="N169" s="204">
        <f>IF('_Datos'!$C169,'_Datos'!$BA169,"")</f>
      </c>
    </row>
    <row r="170">
      <c r="B170" s="204">
        <f>IF('_Datos'!$C170,'_Datos'!$O170,"")</f>
      </c>
      <c r="C170" s="205">
        <f>IF('_Datos'!$C170,'_Datos'!$F170,IF('_Datos'!$B170,'Proyecto Datos (OKR´s)'!$G170,""))</f>
      </c>
      <c r="D170" s="204">
        <f>IF('_Datos'!$C170,'_Datos'!$AO170,"")</f>
      </c>
      <c r="E170" s="208">
        <f>IF('_Datos'!$C170,'_Datos'!$I170,IF('_Datos'!$B170,IFERROR(AVERAGEIF('_Datos'!$D$7:$D$200,'Proyecto Datos (OKR´s)'!$G170,'_Datos'!$I$7:$I$200),""),""))</f>
      </c>
      <c r="F170" s="204">
        <f>IF('_Datos'!$C170,IF(ISNUMBER('_Datos'!$AR170),'_Datos'!$AR170,"(Sin fecha)"),"")</f>
      </c>
      <c r="G170" s="204"/>
      <c r="H170" s="205"/>
      <c r="I170" s="204">
        <f>IF('_Datos'!$C170,IF(ISNUMBER('_Datos'!$AV170),'_Datos'!$AZ170,"(Sin fecha)"),"")</f>
      </c>
      <c r="J170" s="204"/>
      <c r="K170" s="205"/>
      <c r="L170" s="209">
        <f>IF('_Datos'!$C170,'_Datos'!$AX170,"")</f>
      </c>
      <c r="M170" s="191"/>
      <c r="N170" s="204">
        <f>IF('_Datos'!$C170,'_Datos'!$BA170,"")</f>
      </c>
    </row>
    <row r="171">
      <c r="B171" s="204">
        <f>IF('_Datos'!$C171,'_Datos'!$O171,"")</f>
      </c>
      <c r="C171" s="205">
        <f>IF('_Datos'!$C171,'_Datos'!$F171,IF('_Datos'!$B171,'Proyecto Datos (OKR´s)'!$G171,""))</f>
      </c>
      <c r="D171" s="204">
        <f>IF('_Datos'!$C171,'_Datos'!$AO171,"")</f>
      </c>
      <c r="E171" s="208">
        <f>IF('_Datos'!$C171,'_Datos'!$I171,IF('_Datos'!$B171,IFERROR(AVERAGEIF('_Datos'!$D$7:$D$200,'Proyecto Datos (OKR´s)'!$G171,'_Datos'!$I$7:$I$200),""),""))</f>
      </c>
      <c r="F171" s="204">
        <f>IF('_Datos'!$C171,IF(ISNUMBER('_Datos'!$AR171),'_Datos'!$AR171,"(Sin fecha)"),"")</f>
      </c>
      <c r="G171" s="204"/>
      <c r="H171" s="205"/>
      <c r="I171" s="204">
        <f>IF('_Datos'!$C171,IF(ISNUMBER('_Datos'!$AV171),'_Datos'!$AZ171,"(Sin fecha)"),"")</f>
      </c>
      <c r="J171" s="204"/>
      <c r="K171" s="205"/>
      <c r="L171" s="209">
        <f>IF('_Datos'!$C171,'_Datos'!$AX171,"")</f>
      </c>
      <c r="M171" s="191"/>
      <c r="N171" s="204">
        <f>IF('_Datos'!$C171,'_Datos'!$BA171,"")</f>
      </c>
    </row>
    <row r="172">
      <c r="B172" s="204">
        <f>IF('_Datos'!$C172,'_Datos'!$O172,"")</f>
      </c>
      <c r="C172" s="205">
        <f>IF('_Datos'!$C172,'_Datos'!$F172,IF('_Datos'!$B172,'Proyecto Datos (OKR´s)'!$G172,""))</f>
      </c>
      <c r="D172" s="204">
        <f>IF('_Datos'!$C172,'_Datos'!$AO172,"")</f>
      </c>
      <c r="E172" s="208">
        <f>IF('_Datos'!$C172,'_Datos'!$I172,IF('_Datos'!$B172,IFERROR(AVERAGEIF('_Datos'!$D$7:$D$200,'Proyecto Datos (OKR´s)'!$G172,'_Datos'!$I$7:$I$200),""),""))</f>
      </c>
      <c r="F172" s="204">
        <f>IF('_Datos'!$C172,IF(ISNUMBER('_Datos'!$AR172),'_Datos'!$AR172,"(Sin fecha)"),"")</f>
      </c>
      <c r="G172" s="204"/>
      <c r="H172" s="205"/>
      <c r="I172" s="204">
        <f>IF('_Datos'!$C172,IF(ISNUMBER('_Datos'!$AV172),'_Datos'!$AZ172,"(Sin fecha)"),"")</f>
      </c>
      <c r="J172" s="204"/>
      <c r="K172" s="205"/>
      <c r="L172" s="209">
        <f>IF('_Datos'!$C172,'_Datos'!$AX172,"")</f>
      </c>
      <c r="M172" s="191"/>
      <c r="N172" s="204">
        <f>IF('_Datos'!$C172,'_Datos'!$BA172,"")</f>
      </c>
    </row>
    <row r="173">
      <c r="B173" s="204">
        <f>IF('_Datos'!$C173,'_Datos'!$O173,"")</f>
      </c>
      <c r="C173" s="205">
        <f>IF('_Datos'!$C173,'_Datos'!$F173,IF('_Datos'!$B173,'Proyecto Datos (OKR´s)'!$G173,""))</f>
      </c>
      <c r="D173" s="204">
        <f>IF('_Datos'!$C173,'_Datos'!$AO173,"")</f>
      </c>
      <c r="E173" s="208">
        <f>IF('_Datos'!$C173,'_Datos'!$I173,IF('_Datos'!$B173,IFERROR(AVERAGEIF('_Datos'!$D$7:$D$200,'Proyecto Datos (OKR´s)'!$G173,'_Datos'!$I$7:$I$200),""),""))</f>
      </c>
      <c r="F173" s="204">
        <f>IF('_Datos'!$C173,IF(ISNUMBER('_Datos'!$AR173),'_Datos'!$AR173,"(Sin fecha)"),"")</f>
      </c>
      <c r="G173" s="204"/>
      <c r="H173" s="205"/>
      <c r="I173" s="204">
        <f>IF('_Datos'!$C173,IF(ISNUMBER('_Datos'!$AV173),'_Datos'!$AZ173,"(Sin fecha)"),"")</f>
      </c>
      <c r="J173" s="204"/>
      <c r="K173" s="205"/>
      <c r="L173" s="209">
        <f>IF('_Datos'!$C173,'_Datos'!$AX173,"")</f>
      </c>
      <c r="M173" s="191"/>
      <c r="N173" s="204">
        <f>IF('_Datos'!$C173,'_Datos'!$BA173,"")</f>
      </c>
    </row>
    <row r="174">
      <c r="B174" s="204">
        <f>IF('_Datos'!$C174,'_Datos'!$O174,"")</f>
      </c>
      <c r="C174" s="205">
        <f>IF('_Datos'!$C174,'_Datos'!$F174,IF('_Datos'!$B174,'Proyecto Datos (OKR´s)'!$G174,""))</f>
      </c>
      <c r="D174" s="204">
        <f>IF('_Datos'!$C174,'_Datos'!$AO174,"")</f>
      </c>
      <c r="E174" s="208">
        <f>IF('_Datos'!$C174,'_Datos'!$I174,IF('_Datos'!$B174,IFERROR(AVERAGEIF('_Datos'!$D$7:$D$200,'Proyecto Datos (OKR´s)'!$G174,'_Datos'!$I$7:$I$200),""),""))</f>
      </c>
      <c r="F174" s="204">
        <f>IF('_Datos'!$C174,IF(ISNUMBER('_Datos'!$AR174),'_Datos'!$AR174,"(Sin fecha)"),"")</f>
      </c>
      <c r="G174" s="204"/>
      <c r="H174" s="205"/>
      <c r="I174" s="204">
        <f>IF('_Datos'!$C174,IF(ISNUMBER('_Datos'!$AV174),'_Datos'!$AZ174,"(Sin fecha)"),"")</f>
      </c>
      <c r="J174" s="204"/>
      <c r="K174" s="205"/>
      <c r="L174" s="209">
        <f>IF('_Datos'!$C174,'_Datos'!$AX174,"")</f>
      </c>
      <c r="M174" s="191"/>
      <c r="N174" s="204">
        <f>IF('_Datos'!$C174,'_Datos'!$BA174,"")</f>
      </c>
    </row>
    <row r="175">
      <c r="B175" s="204">
        <f>IF('_Datos'!$C175,'_Datos'!$O175,"")</f>
      </c>
      <c r="C175" s="205">
        <f>IF('_Datos'!$C175,'_Datos'!$F175,IF('_Datos'!$B175,'Proyecto Datos (OKR´s)'!$G175,""))</f>
      </c>
      <c r="D175" s="204">
        <f>IF('_Datos'!$C175,'_Datos'!$AO175,"")</f>
      </c>
      <c r="E175" s="208">
        <f>IF('_Datos'!$C175,'_Datos'!$I175,IF('_Datos'!$B175,IFERROR(AVERAGEIF('_Datos'!$D$7:$D$200,'Proyecto Datos (OKR´s)'!$G175,'_Datos'!$I$7:$I$200),""),""))</f>
      </c>
      <c r="F175" s="204">
        <f>IF('_Datos'!$C175,IF(ISNUMBER('_Datos'!$AR175),'_Datos'!$AR175,"(Sin fecha)"),"")</f>
      </c>
      <c r="G175" s="204"/>
      <c r="H175" s="205"/>
      <c r="I175" s="204">
        <f>IF('_Datos'!$C175,IF(ISNUMBER('_Datos'!$AV175),'_Datos'!$AZ175,"(Sin fecha)"),"")</f>
      </c>
      <c r="J175" s="204"/>
      <c r="K175" s="205"/>
      <c r="L175" s="209">
        <f>IF('_Datos'!$C175,'_Datos'!$AX175,"")</f>
      </c>
      <c r="M175" s="191"/>
      <c r="N175" s="204">
        <f>IF('_Datos'!$C175,'_Datos'!$BA175,"")</f>
      </c>
    </row>
    <row r="176">
      <c r="B176" s="204">
        <f>IF('_Datos'!$C176,'_Datos'!$O176,"")</f>
      </c>
      <c r="C176" s="205">
        <f>IF('_Datos'!$C176,'_Datos'!$F176,IF('_Datos'!$B176,'Proyecto Datos (OKR´s)'!$G176,""))</f>
      </c>
      <c r="D176" s="204">
        <f>IF('_Datos'!$C176,'_Datos'!$AO176,"")</f>
      </c>
      <c r="E176" s="208">
        <f>IF('_Datos'!$C176,'_Datos'!$I176,IF('_Datos'!$B176,IFERROR(AVERAGEIF('_Datos'!$D$7:$D$200,'Proyecto Datos (OKR´s)'!$G176,'_Datos'!$I$7:$I$200),""),""))</f>
      </c>
      <c r="F176" s="204">
        <f>IF('_Datos'!$C176,IF(ISNUMBER('_Datos'!$AR176),'_Datos'!$AR176,"(Sin fecha)"),"")</f>
      </c>
      <c r="G176" s="204"/>
      <c r="H176" s="205"/>
      <c r="I176" s="204">
        <f>IF('_Datos'!$C176,IF(ISNUMBER('_Datos'!$AV176),'_Datos'!$AZ176,"(Sin fecha)"),"")</f>
      </c>
      <c r="J176" s="204"/>
      <c r="K176" s="205"/>
      <c r="L176" s="209">
        <f>IF('_Datos'!$C176,'_Datos'!$AX176,"")</f>
      </c>
      <c r="M176" s="191"/>
      <c r="N176" s="204">
        <f>IF('_Datos'!$C176,'_Datos'!$BA176,"")</f>
      </c>
    </row>
    <row r="177">
      <c r="B177" s="204">
        <f>IF('_Datos'!$C177,'_Datos'!$O177,"")</f>
      </c>
      <c r="C177" s="205">
        <f>IF('_Datos'!$C177,'_Datos'!$F177,IF('_Datos'!$B177,'Proyecto Datos (OKR´s)'!$G177,""))</f>
      </c>
      <c r="D177" s="204">
        <f>IF('_Datos'!$C177,'_Datos'!$AO177,"")</f>
      </c>
      <c r="E177" s="208">
        <f>IF('_Datos'!$C177,'_Datos'!$I177,IF('_Datos'!$B177,IFERROR(AVERAGEIF('_Datos'!$D$7:$D$200,'Proyecto Datos (OKR´s)'!$G177,'_Datos'!$I$7:$I$200),""),""))</f>
      </c>
      <c r="F177" s="204">
        <f>IF('_Datos'!$C177,IF(ISNUMBER('_Datos'!$AR177),'_Datos'!$AR177,"(Sin fecha)"),"")</f>
      </c>
      <c r="G177" s="204"/>
      <c r="H177" s="205"/>
      <c r="I177" s="204">
        <f>IF('_Datos'!$C177,IF(ISNUMBER('_Datos'!$AV177),'_Datos'!$AZ177,"(Sin fecha)"),"")</f>
      </c>
      <c r="J177" s="204"/>
      <c r="K177" s="205"/>
      <c r="L177" s="209">
        <f>IF('_Datos'!$C177,'_Datos'!$AX177,"")</f>
      </c>
      <c r="M177" s="191"/>
      <c r="N177" s="204">
        <f>IF('_Datos'!$C177,'_Datos'!$BA177,"")</f>
      </c>
    </row>
    <row r="178">
      <c r="B178" s="204">
        <f>IF('_Datos'!$C178,'_Datos'!$O178,"")</f>
      </c>
      <c r="C178" s="205">
        <f>IF('_Datos'!$C178,'_Datos'!$F178,IF('_Datos'!$B178,'Proyecto Datos (OKR´s)'!$G178,""))</f>
      </c>
      <c r="D178" s="204">
        <f>IF('_Datos'!$C178,'_Datos'!$AO178,"")</f>
      </c>
      <c r="E178" s="208">
        <f>IF('_Datos'!$C178,'_Datos'!$I178,IF('_Datos'!$B178,IFERROR(AVERAGEIF('_Datos'!$D$7:$D$200,'Proyecto Datos (OKR´s)'!$G178,'_Datos'!$I$7:$I$200),""),""))</f>
      </c>
      <c r="F178" s="204">
        <f>IF('_Datos'!$C178,IF(ISNUMBER('_Datos'!$AR178),'_Datos'!$AR178,"(Sin fecha)"),"")</f>
      </c>
      <c r="G178" s="204"/>
      <c r="H178" s="205"/>
      <c r="I178" s="204">
        <f>IF('_Datos'!$C178,IF(ISNUMBER('_Datos'!$AV178),'_Datos'!$AZ178,"(Sin fecha)"),"")</f>
      </c>
      <c r="J178" s="204"/>
      <c r="K178" s="205"/>
      <c r="L178" s="209">
        <f>IF('_Datos'!$C178,'_Datos'!$AX178,"")</f>
      </c>
      <c r="M178" s="191"/>
      <c r="N178" s="204">
        <f>IF('_Datos'!$C178,'_Datos'!$BA178,"")</f>
      </c>
    </row>
    <row r="179">
      <c r="B179" s="204">
        <f>IF('_Datos'!$C179,'_Datos'!$O179,"")</f>
      </c>
      <c r="C179" s="205">
        <f>IF('_Datos'!$C179,'_Datos'!$F179,IF('_Datos'!$B179,'Proyecto Datos (OKR´s)'!$G179,""))</f>
      </c>
      <c r="D179" s="204">
        <f>IF('_Datos'!$C179,'_Datos'!$AO179,"")</f>
      </c>
      <c r="E179" s="208">
        <f>IF('_Datos'!$C179,'_Datos'!$I179,IF('_Datos'!$B179,IFERROR(AVERAGEIF('_Datos'!$D$7:$D$200,'Proyecto Datos (OKR´s)'!$G179,'_Datos'!$I$7:$I$200),""),""))</f>
      </c>
      <c r="F179" s="204">
        <f>IF('_Datos'!$C179,IF(ISNUMBER('_Datos'!$AR179),'_Datos'!$AR179,"(Sin fecha)"),"")</f>
      </c>
      <c r="G179" s="204"/>
      <c r="H179" s="205"/>
      <c r="I179" s="204">
        <f>IF('_Datos'!$C179,IF(ISNUMBER('_Datos'!$AV179),'_Datos'!$AZ179,"(Sin fecha)"),"")</f>
      </c>
      <c r="J179" s="204"/>
      <c r="K179" s="205"/>
      <c r="L179" s="209">
        <f>IF('_Datos'!$C179,'_Datos'!$AX179,"")</f>
      </c>
      <c r="M179" s="191"/>
      <c r="N179" s="204">
        <f>IF('_Datos'!$C179,'_Datos'!$BA179,"")</f>
      </c>
    </row>
    <row r="180">
      <c r="B180" s="204">
        <f>IF('_Datos'!$C180,'_Datos'!$O180,"")</f>
      </c>
      <c r="C180" s="205">
        <f>IF('_Datos'!$C180,'_Datos'!$F180,IF('_Datos'!$B180,'Proyecto Datos (OKR´s)'!$G180,""))</f>
      </c>
      <c r="D180" s="204">
        <f>IF('_Datos'!$C180,'_Datos'!$AO180,"")</f>
      </c>
      <c r="E180" s="208">
        <f>IF('_Datos'!$C180,'_Datos'!$I180,IF('_Datos'!$B180,IFERROR(AVERAGEIF('_Datos'!$D$7:$D$200,'Proyecto Datos (OKR´s)'!$G180,'_Datos'!$I$7:$I$200),""),""))</f>
      </c>
      <c r="F180" s="204">
        <f>IF('_Datos'!$C180,IF(ISNUMBER('_Datos'!$AR180),'_Datos'!$AR180,"(Sin fecha)"),"")</f>
      </c>
      <c r="G180" s="204"/>
      <c r="H180" s="205"/>
      <c r="I180" s="204">
        <f>IF('_Datos'!$C180,IF(ISNUMBER('_Datos'!$AV180),'_Datos'!$AZ180,"(Sin fecha)"),"")</f>
      </c>
      <c r="J180" s="204"/>
      <c r="K180" s="205"/>
      <c r="L180" s="209">
        <f>IF('_Datos'!$C180,'_Datos'!$AX180,"")</f>
      </c>
      <c r="M180" s="191"/>
      <c r="N180" s="204">
        <f>IF('_Datos'!$C180,'_Datos'!$BA180,"")</f>
      </c>
    </row>
    <row r="181">
      <c r="B181" s="204">
        <f>IF('_Datos'!$C181,'_Datos'!$O181,"")</f>
      </c>
      <c r="C181" s="205">
        <f>IF('_Datos'!$C181,'_Datos'!$F181,IF('_Datos'!$B181,'Proyecto Datos (OKR´s)'!$G181,""))</f>
      </c>
      <c r="D181" s="204">
        <f>IF('_Datos'!$C181,'_Datos'!$AO181,"")</f>
      </c>
      <c r="E181" s="208">
        <f>IF('_Datos'!$C181,'_Datos'!$I181,IF('_Datos'!$B181,IFERROR(AVERAGEIF('_Datos'!$D$7:$D$200,'Proyecto Datos (OKR´s)'!$G181,'_Datos'!$I$7:$I$200),""),""))</f>
      </c>
      <c r="F181" s="204">
        <f>IF('_Datos'!$C181,IF(ISNUMBER('_Datos'!$AR181),'_Datos'!$AR181,"(Sin fecha)"),"")</f>
      </c>
      <c r="G181" s="204"/>
      <c r="H181" s="205"/>
      <c r="I181" s="204">
        <f>IF('_Datos'!$C181,IF(ISNUMBER('_Datos'!$AV181),'_Datos'!$AZ181,"(Sin fecha)"),"")</f>
      </c>
      <c r="J181" s="204"/>
      <c r="K181" s="205"/>
      <c r="L181" s="209">
        <f>IF('_Datos'!$C181,'_Datos'!$AX181,"")</f>
      </c>
      <c r="M181" s="191"/>
      <c r="N181" s="204">
        <f>IF('_Datos'!$C181,'_Datos'!$BA181,"")</f>
      </c>
    </row>
    <row r="182">
      <c r="B182" s="204">
        <f>IF('_Datos'!$C182,'_Datos'!$O182,"")</f>
      </c>
      <c r="C182" s="205">
        <f>IF('_Datos'!$C182,'_Datos'!$F182,IF('_Datos'!$B182,'Proyecto Datos (OKR´s)'!$G182,""))</f>
      </c>
      <c r="D182" s="204">
        <f>IF('_Datos'!$C182,'_Datos'!$AO182,"")</f>
      </c>
      <c r="E182" s="208">
        <f>IF('_Datos'!$C182,'_Datos'!$I182,IF('_Datos'!$B182,IFERROR(AVERAGEIF('_Datos'!$D$7:$D$200,'Proyecto Datos (OKR´s)'!$G182,'_Datos'!$I$7:$I$200),""),""))</f>
      </c>
      <c r="F182" s="204">
        <f>IF('_Datos'!$C182,IF(ISNUMBER('_Datos'!$AR182),'_Datos'!$AR182,"(Sin fecha)"),"")</f>
      </c>
      <c r="G182" s="204"/>
      <c r="H182" s="205"/>
      <c r="I182" s="204">
        <f>IF('_Datos'!$C182,IF(ISNUMBER('_Datos'!$AV182),'_Datos'!$AZ182,"(Sin fecha)"),"")</f>
      </c>
      <c r="J182" s="204"/>
      <c r="K182" s="205"/>
      <c r="L182" s="209">
        <f>IF('_Datos'!$C182,'_Datos'!$AX182,"")</f>
      </c>
      <c r="M182" s="191"/>
      <c r="N182" s="204">
        <f>IF('_Datos'!$C182,'_Datos'!$BA182,"")</f>
      </c>
    </row>
    <row r="183">
      <c r="B183" s="204">
        <f>IF('_Datos'!$C183,'_Datos'!$O183,"")</f>
      </c>
      <c r="C183" s="205">
        <f>IF('_Datos'!$C183,'_Datos'!$F183,IF('_Datos'!$B183,'Proyecto Datos (OKR´s)'!$G183,""))</f>
      </c>
      <c r="D183" s="204">
        <f>IF('_Datos'!$C183,'_Datos'!$AO183,"")</f>
      </c>
      <c r="E183" s="208">
        <f>IF('_Datos'!$C183,'_Datos'!$I183,IF('_Datos'!$B183,IFERROR(AVERAGEIF('_Datos'!$D$7:$D$200,'Proyecto Datos (OKR´s)'!$G183,'_Datos'!$I$7:$I$200),""),""))</f>
      </c>
      <c r="F183" s="204">
        <f>IF('_Datos'!$C183,IF(ISNUMBER('_Datos'!$AR183),'_Datos'!$AR183,"(Sin fecha)"),"")</f>
      </c>
      <c r="G183" s="204"/>
      <c r="H183" s="205"/>
      <c r="I183" s="204">
        <f>IF('_Datos'!$C183,IF(ISNUMBER('_Datos'!$AV183),'_Datos'!$AZ183,"(Sin fecha)"),"")</f>
      </c>
      <c r="J183" s="204"/>
      <c r="K183" s="205"/>
      <c r="L183" s="209">
        <f>IF('_Datos'!$C183,'_Datos'!$AX183,"")</f>
      </c>
      <c r="M183" s="191"/>
      <c r="N183" s="204">
        <f>IF('_Datos'!$C183,'_Datos'!$BA183,"")</f>
      </c>
    </row>
    <row r="184">
      <c r="B184" s="204">
        <f>IF('_Datos'!$C184,'_Datos'!$O184,"")</f>
      </c>
      <c r="C184" s="205">
        <f>IF('_Datos'!$C184,'_Datos'!$F184,IF('_Datos'!$B184,'Proyecto Datos (OKR´s)'!$G184,""))</f>
      </c>
      <c r="D184" s="204">
        <f>IF('_Datos'!$C184,'_Datos'!$AO184,"")</f>
      </c>
      <c r="E184" s="208">
        <f>IF('_Datos'!$C184,'_Datos'!$I184,IF('_Datos'!$B184,IFERROR(AVERAGEIF('_Datos'!$D$7:$D$200,'Proyecto Datos (OKR´s)'!$G184,'_Datos'!$I$7:$I$200),""),""))</f>
      </c>
      <c r="F184" s="204">
        <f>IF('_Datos'!$C184,IF(ISNUMBER('_Datos'!$AR184),'_Datos'!$AR184,"(Sin fecha)"),"")</f>
      </c>
      <c r="G184" s="204"/>
      <c r="H184" s="205"/>
      <c r="I184" s="204">
        <f>IF('_Datos'!$C184,IF(ISNUMBER('_Datos'!$AV184),'_Datos'!$AZ184,"(Sin fecha)"),"")</f>
      </c>
      <c r="J184" s="204"/>
      <c r="K184" s="205"/>
      <c r="L184" s="209">
        <f>IF('_Datos'!$C184,'_Datos'!$AX184,"")</f>
      </c>
      <c r="M184" s="191"/>
      <c r="N184" s="204">
        <f>IF('_Datos'!$C184,'_Datos'!$BA184,"")</f>
      </c>
    </row>
    <row r="185">
      <c r="B185" s="204">
        <f>IF('_Datos'!$C185,'_Datos'!$O185,"")</f>
      </c>
      <c r="C185" s="205">
        <f>IF('_Datos'!$C185,'_Datos'!$F185,IF('_Datos'!$B185,'Proyecto Datos (OKR´s)'!$G185,""))</f>
      </c>
      <c r="D185" s="204">
        <f>IF('_Datos'!$C185,'_Datos'!$AO185,"")</f>
      </c>
      <c r="E185" s="208">
        <f>IF('_Datos'!$C185,'_Datos'!$I185,IF('_Datos'!$B185,IFERROR(AVERAGEIF('_Datos'!$D$7:$D$200,'Proyecto Datos (OKR´s)'!$G185,'_Datos'!$I$7:$I$200),""),""))</f>
      </c>
      <c r="F185" s="204">
        <f>IF('_Datos'!$C185,IF(ISNUMBER('_Datos'!$AR185),'_Datos'!$AR185,"(Sin fecha)"),"")</f>
      </c>
      <c r="G185" s="204"/>
      <c r="H185" s="205"/>
      <c r="I185" s="204">
        <f>IF('_Datos'!$C185,IF(ISNUMBER('_Datos'!$AV185),'_Datos'!$AZ185,"(Sin fecha)"),"")</f>
      </c>
      <c r="J185" s="204"/>
      <c r="K185" s="205"/>
      <c r="L185" s="209">
        <f>IF('_Datos'!$C185,'_Datos'!$AX185,"")</f>
      </c>
      <c r="M185" s="191"/>
      <c r="N185" s="204">
        <f>IF('_Datos'!$C185,'_Datos'!$BA185,"")</f>
      </c>
    </row>
    <row r="186">
      <c r="B186" s="204">
        <f>IF('_Datos'!$C186,'_Datos'!$O186,"")</f>
      </c>
      <c r="C186" s="205">
        <f>IF('_Datos'!$C186,'_Datos'!$F186,IF('_Datos'!$B186,'Proyecto Datos (OKR´s)'!$G186,""))</f>
      </c>
      <c r="D186" s="204">
        <f>IF('_Datos'!$C186,'_Datos'!$AO186,"")</f>
      </c>
      <c r="E186" s="208">
        <f>IF('_Datos'!$C186,'_Datos'!$I186,IF('_Datos'!$B186,IFERROR(AVERAGEIF('_Datos'!$D$7:$D$200,'Proyecto Datos (OKR´s)'!$G186,'_Datos'!$I$7:$I$200),""),""))</f>
      </c>
      <c r="F186" s="204">
        <f>IF('_Datos'!$C186,IF(ISNUMBER('_Datos'!$AR186),'_Datos'!$AR186,"(Sin fecha)"),"")</f>
      </c>
      <c r="G186" s="204"/>
      <c r="H186" s="205"/>
      <c r="I186" s="204">
        <f>IF('_Datos'!$C186,IF(ISNUMBER('_Datos'!$AV186),'_Datos'!$AZ186,"(Sin fecha)"),"")</f>
      </c>
      <c r="J186" s="204"/>
      <c r="K186" s="205"/>
      <c r="L186" s="209">
        <f>IF('_Datos'!$C186,'_Datos'!$AX186,"")</f>
      </c>
      <c r="M186" s="191"/>
      <c r="N186" s="204">
        <f>IF('_Datos'!$C186,'_Datos'!$BA186,"")</f>
      </c>
    </row>
    <row r="187">
      <c r="B187" s="204">
        <f>IF('_Datos'!$C187,'_Datos'!$O187,"")</f>
      </c>
      <c r="C187" s="205">
        <f>IF('_Datos'!$C187,'_Datos'!$F187,IF('_Datos'!$B187,'Proyecto Datos (OKR´s)'!$G187,""))</f>
      </c>
      <c r="D187" s="204">
        <f>IF('_Datos'!$C187,'_Datos'!$AO187,"")</f>
      </c>
      <c r="E187" s="208">
        <f>IF('_Datos'!$C187,'_Datos'!$I187,IF('_Datos'!$B187,IFERROR(AVERAGEIF('_Datos'!$D$7:$D$200,'Proyecto Datos (OKR´s)'!$G187,'_Datos'!$I$7:$I$200),""),""))</f>
      </c>
      <c r="F187" s="204">
        <f>IF('_Datos'!$C187,IF(ISNUMBER('_Datos'!$AR187),'_Datos'!$AR187,"(Sin fecha)"),"")</f>
      </c>
      <c r="G187" s="204"/>
      <c r="H187" s="205"/>
      <c r="I187" s="204">
        <f>IF('_Datos'!$C187,IF(ISNUMBER('_Datos'!$AV187),'_Datos'!$AZ187,"(Sin fecha)"),"")</f>
      </c>
      <c r="J187" s="204"/>
      <c r="K187" s="205"/>
      <c r="L187" s="209">
        <f>IF('_Datos'!$C187,'_Datos'!$AX187,"")</f>
      </c>
      <c r="M187" s="191"/>
      <c r="N187" s="204">
        <f>IF('_Datos'!$C187,'_Datos'!$BA187,"")</f>
      </c>
    </row>
    <row r="188">
      <c r="B188" s="204">
        <f>IF('_Datos'!$C188,'_Datos'!$O188,"")</f>
      </c>
      <c r="C188" s="205">
        <f>IF('_Datos'!$C188,'_Datos'!$F188,IF('_Datos'!$B188,'Proyecto Datos (OKR´s)'!$G188,""))</f>
      </c>
      <c r="D188" s="204">
        <f>IF('_Datos'!$C188,'_Datos'!$AO188,"")</f>
      </c>
      <c r="E188" s="208">
        <f>IF('_Datos'!$C188,'_Datos'!$I188,IF('_Datos'!$B188,IFERROR(AVERAGEIF('_Datos'!$D$7:$D$200,'Proyecto Datos (OKR´s)'!$G188,'_Datos'!$I$7:$I$200),""),""))</f>
      </c>
      <c r="F188" s="204">
        <f>IF('_Datos'!$C188,IF(ISNUMBER('_Datos'!$AR188),'_Datos'!$AR188,"(Sin fecha)"),"")</f>
      </c>
      <c r="G188" s="204"/>
      <c r="H188" s="205"/>
      <c r="I188" s="204">
        <f>IF('_Datos'!$C188,IF(ISNUMBER('_Datos'!$AV188),'_Datos'!$AZ188,"(Sin fecha)"),"")</f>
      </c>
      <c r="J188" s="204"/>
      <c r="K188" s="205"/>
      <c r="L188" s="209">
        <f>IF('_Datos'!$C188,'_Datos'!$AX188,"")</f>
      </c>
      <c r="M188" s="191"/>
      <c r="N188" s="204">
        <f>IF('_Datos'!$C188,'_Datos'!$BA188,"")</f>
      </c>
    </row>
    <row r="189">
      <c r="B189" s="204">
        <f>IF('_Datos'!$C189,'_Datos'!$O189,"")</f>
      </c>
      <c r="C189" s="205">
        <f>IF('_Datos'!$C189,'_Datos'!$F189,IF('_Datos'!$B189,'Proyecto Datos (OKR´s)'!$G189,""))</f>
      </c>
      <c r="D189" s="204">
        <f>IF('_Datos'!$C189,'_Datos'!$AO189,"")</f>
      </c>
      <c r="E189" s="208">
        <f>IF('_Datos'!$C189,'_Datos'!$I189,IF('_Datos'!$B189,IFERROR(AVERAGEIF('_Datos'!$D$7:$D$200,'Proyecto Datos (OKR´s)'!$G189,'_Datos'!$I$7:$I$200),""),""))</f>
      </c>
      <c r="F189" s="204">
        <f>IF('_Datos'!$C189,IF(ISNUMBER('_Datos'!$AR189),'_Datos'!$AR189,"(Sin fecha)"),"")</f>
      </c>
      <c r="G189" s="204"/>
      <c r="H189" s="205"/>
      <c r="I189" s="204">
        <f>IF('_Datos'!$C189,IF(ISNUMBER('_Datos'!$AV189),'_Datos'!$AZ189,"(Sin fecha)"),"")</f>
      </c>
      <c r="J189" s="204"/>
      <c r="K189" s="205"/>
      <c r="L189" s="209">
        <f>IF('_Datos'!$C189,'_Datos'!$AX189,"")</f>
      </c>
      <c r="M189" s="191"/>
      <c r="N189" s="204">
        <f>IF('_Datos'!$C189,'_Datos'!$BA189,"")</f>
      </c>
    </row>
    <row r="190">
      <c r="B190" s="204">
        <f>IF('_Datos'!$C190,'_Datos'!$O190,"")</f>
      </c>
      <c r="C190" s="205">
        <f>IF('_Datos'!$C190,'_Datos'!$F190,IF('_Datos'!$B190,'Proyecto Datos (OKR´s)'!$G190,""))</f>
      </c>
      <c r="D190" s="204">
        <f>IF('_Datos'!$C190,'_Datos'!$AO190,"")</f>
      </c>
      <c r="E190" s="208">
        <f>IF('_Datos'!$C190,'_Datos'!$I190,IF('_Datos'!$B190,IFERROR(AVERAGEIF('_Datos'!$D$7:$D$200,'Proyecto Datos (OKR´s)'!$G190,'_Datos'!$I$7:$I$200),""),""))</f>
      </c>
      <c r="F190" s="204">
        <f>IF('_Datos'!$C190,IF(ISNUMBER('_Datos'!$AR190),'_Datos'!$AR190,"(Sin fecha)"),"")</f>
      </c>
      <c r="G190" s="204"/>
      <c r="H190" s="205"/>
      <c r="I190" s="204">
        <f>IF('_Datos'!$C190,IF(ISNUMBER('_Datos'!$AV190),'_Datos'!$AZ190,"(Sin fecha)"),"")</f>
      </c>
      <c r="J190" s="204"/>
      <c r="K190" s="205"/>
      <c r="L190" s="209">
        <f>IF('_Datos'!$C190,'_Datos'!$AX190,"")</f>
      </c>
      <c r="M190" s="191"/>
      <c r="N190" s="204">
        <f>IF('_Datos'!$C190,'_Datos'!$BA190,"")</f>
      </c>
    </row>
    <row r="191">
      <c r="B191" s="204">
        <f>IF('_Datos'!$C191,'_Datos'!$O191,"")</f>
      </c>
      <c r="C191" s="205">
        <f>IF('_Datos'!$C191,'_Datos'!$F191,IF('_Datos'!$B191,'Proyecto Datos (OKR´s)'!$G191,""))</f>
      </c>
      <c r="D191" s="204">
        <f>IF('_Datos'!$C191,'_Datos'!$AO191,"")</f>
      </c>
      <c r="E191" s="208">
        <f>IF('_Datos'!$C191,'_Datos'!$I191,IF('_Datos'!$B191,IFERROR(AVERAGEIF('_Datos'!$D$7:$D$200,'Proyecto Datos (OKR´s)'!$G191,'_Datos'!$I$7:$I$200),""),""))</f>
      </c>
      <c r="F191" s="204">
        <f>IF('_Datos'!$C191,IF(ISNUMBER('_Datos'!$AR191),'_Datos'!$AR191,"(Sin fecha)"),"")</f>
      </c>
      <c r="G191" s="204"/>
      <c r="H191" s="205"/>
      <c r="I191" s="204">
        <f>IF('_Datos'!$C191,IF(ISNUMBER('_Datos'!$AV191),'_Datos'!$AZ191,"(Sin fecha)"),"")</f>
      </c>
      <c r="J191" s="204"/>
      <c r="K191" s="205"/>
      <c r="L191" s="209">
        <f>IF('_Datos'!$C191,'_Datos'!$AX191,"")</f>
      </c>
      <c r="M191" s="191"/>
      <c r="N191" s="204">
        <f>IF('_Datos'!$C191,'_Datos'!$BA191,"")</f>
      </c>
    </row>
    <row r="192">
      <c r="B192" s="204">
        <f>IF('_Datos'!$C192,'_Datos'!$O192,"")</f>
      </c>
      <c r="C192" s="205">
        <f>IF('_Datos'!$C192,'_Datos'!$F192,IF('_Datos'!$B192,'Proyecto Datos (OKR´s)'!$G192,""))</f>
      </c>
      <c r="D192" s="204">
        <f>IF('_Datos'!$C192,'_Datos'!$AO192,"")</f>
      </c>
      <c r="E192" s="208">
        <f>IF('_Datos'!$C192,'_Datos'!$I192,IF('_Datos'!$B192,IFERROR(AVERAGEIF('_Datos'!$D$7:$D$200,'Proyecto Datos (OKR´s)'!$G192,'_Datos'!$I$7:$I$200),""),""))</f>
      </c>
      <c r="F192" s="204">
        <f>IF('_Datos'!$C192,IF(ISNUMBER('_Datos'!$AR192),'_Datos'!$AR192,"(Sin fecha)"),"")</f>
      </c>
      <c r="G192" s="204"/>
      <c r="H192" s="205"/>
      <c r="I192" s="204">
        <f>IF('_Datos'!$C192,IF(ISNUMBER('_Datos'!$AV192),'_Datos'!$AZ192,"(Sin fecha)"),"")</f>
      </c>
      <c r="J192" s="204"/>
      <c r="K192" s="205"/>
      <c r="L192" s="209">
        <f>IF('_Datos'!$C192,'_Datos'!$AX192,"")</f>
      </c>
      <c r="M192" s="191"/>
      <c r="N192" s="204">
        <f>IF('_Datos'!$C192,'_Datos'!$BA192,"")</f>
      </c>
    </row>
    <row r="193">
      <c r="B193" s="204">
        <f>IF('_Datos'!$C193,'_Datos'!$O193,"")</f>
      </c>
      <c r="C193" s="205">
        <f>IF('_Datos'!$C193,'_Datos'!$F193,IF('_Datos'!$B193,'Proyecto Datos (OKR´s)'!$G193,""))</f>
      </c>
      <c r="D193" s="204">
        <f>IF('_Datos'!$C193,'_Datos'!$AO193,"")</f>
      </c>
      <c r="E193" s="208">
        <f>IF('_Datos'!$C193,'_Datos'!$I193,IF('_Datos'!$B193,IFERROR(AVERAGEIF('_Datos'!$D$7:$D$200,'Proyecto Datos (OKR´s)'!$G193,'_Datos'!$I$7:$I$200),""),""))</f>
      </c>
      <c r="F193" s="204">
        <f>IF('_Datos'!$C193,IF(ISNUMBER('_Datos'!$AR193),'_Datos'!$AR193,"(Sin fecha)"),"")</f>
      </c>
      <c r="G193" s="204"/>
      <c r="H193" s="205"/>
      <c r="I193" s="204">
        <f>IF('_Datos'!$C193,IF(ISNUMBER('_Datos'!$AV193),'_Datos'!$AZ193,"(Sin fecha)"),"")</f>
      </c>
      <c r="J193" s="204"/>
      <c r="K193" s="205"/>
      <c r="L193" s="209">
        <f>IF('_Datos'!$C193,'_Datos'!$AX193,"")</f>
      </c>
      <c r="M193" s="191"/>
      <c r="N193" s="204">
        <f>IF('_Datos'!$C193,'_Datos'!$BA193,"")</f>
      </c>
    </row>
    <row r="194">
      <c r="B194" s="204">
        <f>IF('_Datos'!$C194,'_Datos'!$O194,"")</f>
      </c>
      <c r="C194" s="205">
        <f>IF('_Datos'!$C194,'_Datos'!$F194,IF('_Datos'!$B194,'Proyecto Datos (OKR´s)'!$G194,""))</f>
      </c>
      <c r="D194" s="204">
        <f>IF('_Datos'!$C194,'_Datos'!$AO194,"")</f>
      </c>
      <c r="E194" s="208">
        <f>IF('_Datos'!$C194,'_Datos'!$I194,IF('_Datos'!$B194,IFERROR(AVERAGEIF('_Datos'!$D$7:$D$200,'Proyecto Datos (OKR´s)'!$G194,'_Datos'!$I$7:$I$200),""),""))</f>
      </c>
      <c r="F194" s="204">
        <f>IF('_Datos'!$C194,IF(ISNUMBER('_Datos'!$AR194),'_Datos'!$AR194,"(Sin fecha)"),"")</f>
      </c>
      <c r="G194" s="204"/>
      <c r="H194" s="205"/>
      <c r="I194" s="204">
        <f>IF('_Datos'!$C194,IF(ISNUMBER('_Datos'!$AV194),'_Datos'!$AZ194,"(Sin fecha)"),"")</f>
      </c>
      <c r="J194" s="204"/>
      <c r="K194" s="205"/>
      <c r="L194" s="209">
        <f>IF('_Datos'!$C194,'_Datos'!$AX194,"")</f>
      </c>
      <c r="M194" s="191"/>
      <c r="N194" s="204">
        <f>IF('_Datos'!$C194,'_Datos'!$BA194,"")</f>
      </c>
    </row>
    <row r="195">
      <c r="B195" s="204">
        <f>IF('_Datos'!$C195,'_Datos'!$O195,"")</f>
      </c>
      <c r="C195" s="205">
        <f>IF('_Datos'!$C195,'_Datos'!$F195,IF('_Datos'!$B195,'Proyecto Datos (OKR´s)'!$G195,""))</f>
      </c>
      <c r="D195" s="204">
        <f>IF('_Datos'!$C195,'_Datos'!$AO195,"")</f>
      </c>
      <c r="E195" s="208">
        <f>IF('_Datos'!$C195,'_Datos'!$I195,IF('_Datos'!$B195,IFERROR(AVERAGEIF('_Datos'!$D$7:$D$200,'Proyecto Datos (OKR´s)'!$G195,'_Datos'!$I$7:$I$200),""),""))</f>
      </c>
      <c r="F195" s="204">
        <f>IF('_Datos'!$C195,IF(ISNUMBER('_Datos'!$AR195),'_Datos'!$AR195,"(Sin fecha)"),"")</f>
      </c>
      <c r="G195" s="204"/>
      <c r="H195" s="205"/>
      <c r="I195" s="204">
        <f>IF('_Datos'!$C195,IF(ISNUMBER('_Datos'!$AV195),'_Datos'!$AZ195,"(Sin fecha)"),"")</f>
      </c>
      <c r="J195" s="204"/>
      <c r="K195" s="205"/>
      <c r="L195" s="209">
        <f>IF('_Datos'!$C195,'_Datos'!$AX195,"")</f>
      </c>
      <c r="M195" s="191"/>
      <c r="N195" s="204">
        <f>IF('_Datos'!$C195,'_Datos'!$BA195,"")</f>
      </c>
    </row>
    <row r="196">
      <c r="B196" s="204">
        <f>IF('_Datos'!$C196,'_Datos'!$O196,"")</f>
      </c>
      <c r="C196" s="205">
        <f>IF('_Datos'!$C196,'_Datos'!$F196,IF('_Datos'!$B196,'Proyecto Datos (OKR´s)'!$G196,""))</f>
      </c>
      <c r="D196" s="204">
        <f>IF('_Datos'!$C196,'_Datos'!$AO196,"")</f>
      </c>
      <c r="E196" s="208">
        <f>IF('_Datos'!$C196,'_Datos'!$I196,IF('_Datos'!$B196,IFERROR(AVERAGEIF('_Datos'!$D$7:$D$200,'Proyecto Datos (OKR´s)'!$G196,'_Datos'!$I$7:$I$200),""),""))</f>
      </c>
      <c r="F196" s="204">
        <f>IF('_Datos'!$C196,IF(ISNUMBER('_Datos'!$AR196),'_Datos'!$AR196,"(Sin fecha)"),"")</f>
      </c>
      <c r="G196" s="204"/>
      <c r="H196" s="205"/>
      <c r="I196" s="204">
        <f>IF('_Datos'!$C196,IF(ISNUMBER('_Datos'!$AV196),'_Datos'!$AZ196,"(Sin fecha)"),"")</f>
      </c>
      <c r="J196" s="204"/>
      <c r="K196" s="205"/>
      <c r="L196" s="209">
        <f>IF('_Datos'!$C196,'_Datos'!$AX196,"")</f>
      </c>
      <c r="M196" s="191"/>
      <c r="N196" s="204">
        <f>IF('_Datos'!$C196,'_Datos'!$BA196,"")</f>
      </c>
    </row>
    <row r="197">
      <c r="B197" s="204">
        <f>IF('_Datos'!$C197,'_Datos'!$O197,"")</f>
      </c>
      <c r="C197" s="205">
        <f>IF('_Datos'!$C197,'_Datos'!$F197,IF('_Datos'!$B197,'Proyecto Datos (OKR´s)'!$G197,""))</f>
      </c>
      <c r="D197" s="204">
        <f>IF('_Datos'!$C197,'_Datos'!$AO197,"")</f>
      </c>
      <c r="E197" s="208">
        <f>IF('_Datos'!$C197,'_Datos'!$I197,IF('_Datos'!$B197,IFERROR(AVERAGEIF('_Datos'!$D$7:$D$200,'Proyecto Datos (OKR´s)'!$G197,'_Datos'!$I$7:$I$200),""),""))</f>
      </c>
      <c r="F197" s="204">
        <f>IF('_Datos'!$C197,IF(ISNUMBER('_Datos'!$AR197),'_Datos'!$AR197,"(Sin fecha)"),"")</f>
      </c>
      <c r="G197" s="204"/>
      <c r="H197" s="205"/>
      <c r="I197" s="204">
        <f>IF('_Datos'!$C197,IF(ISNUMBER('_Datos'!$AV197),'_Datos'!$AZ197,"(Sin fecha)"),"")</f>
      </c>
      <c r="J197" s="204"/>
      <c r="K197" s="205"/>
      <c r="L197" s="209">
        <f>IF('_Datos'!$C197,'_Datos'!$AX197,"")</f>
      </c>
      <c r="M197" s="191"/>
      <c r="N197" s="204">
        <f>IF('_Datos'!$C197,'_Datos'!$BA197,"")</f>
      </c>
    </row>
    <row r="198">
      <c r="B198" s="204">
        <f>IF('_Datos'!$C198,'_Datos'!$O198,"")</f>
      </c>
      <c r="C198" s="205">
        <f>IF('_Datos'!$C198,'_Datos'!$F198,IF('_Datos'!$B198,'Proyecto Datos (OKR´s)'!$G198,""))</f>
      </c>
      <c r="D198" s="204">
        <f>IF('_Datos'!$C198,'_Datos'!$AO198,"")</f>
      </c>
      <c r="E198" s="208">
        <f>IF('_Datos'!$C198,'_Datos'!$I198,IF('_Datos'!$B198,IFERROR(AVERAGEIF('_Datos'!$D$7:$D$200,'Proyecto Datos (OKR´s)'!$G198,'_Datos'!$I$7:$I$200),""),""))</f>
      </c>
      <c r="F198" s="204">
        <f>IF('_Datos'!$C198,IF(ISNUMBER('_Datos'!$AR198),'_Datos'!$AR198,"(Sin fecha)"),"")</f>
      </c>
      <c r="G198" s="204"/>
      <c r="H198" s="205"/>
      <c r="I198" s="204">
        <f>IF('_Datos'!$C198,IF(ISNUMBER('_Datos'!$AV198),'_Datos'!$AZ198,"(Sin fecha)"),"")</f>
      </c>
      <c r="J198" s="204"/>
      <c r="K198" s="205"/>
      <c r="L198" s="209">
        <f>IF('_Datos'!$C198,'_Datos'!$AX198,"")</f>
      </c>
      <c r="M198" s="191"/>
      <c r="N198" s="204">
        <f>IF('_Datos'!$C198,'_Datos'!$BA198,"")</f>
      </c>
    </row>
    <row r="199">
      <c r="B199" s="204">
        <f>IF('_Datos'!$C199,'_Datos'!$O199,"")</f>
      </c>
      <c r="C199" s="205">
        <f>IF('_Datos'!$C199,'_Datos'!$F199,IF('_Datos'!$B199,'Proyecto Datos (OKR´s)'!$G199,""))</f>
      </c>
      <c r="D199" s="204">
        <f>IF('_Datos'!$C199,'_Datos'!$AO199,"")</f>
      </c>
      <c r="E199" s="208">
        <f>IF('_Datos'!$C199,'_Datos'!$I199,IF('_Datos'!$B199,IFERROR(AVERAGEIF('_Datos'!$D$7:$D$200,'Proyecto Datos (OKR´s)'!$G199,'_Datos'!$I$7:$I$200),""),""))</f>
      </c>
      <c r="F199" s="204">
        <f>IF('_Datos'!$C199,IF(ISNUMBER('_Datos'!$AR199),'_Datos'!$AR199,"(Sin fecha)"),"")</f>
      </c>
      <c r="G199" s="204"/>
      <c r="H199" s="205"/>
      <c r="I199" s="204">
        <f>IF('_Datos'!$C199,IF(ISNUMBER('_Datos'!$AV199),'_Datos'!$AZ199,"(Sin fecha)"),"")</f>
      </c>
      <c r="J199" s="204"/>
      <c r="K199" s="205"/>
      <c r="L199" s="209">
        <f>IF('_Datos'!$C199,'_Datos'!$AX199,"")</f>
      </c>
      <c r="M199" s="191"/>
      <c r="N199" s="204">
        <f>IF('_Datos'!$C199,'_Datos'!$BA199,"")</f>
      </c>
    </row>
    <row r="200">
      <c r="B200" s="204">
        <f>IF('_Datos'!$C200,'_Datos'!$O200,"")</f>
      </c>
      <c r="C200" s="205">
        <f>IF('_Datos'!$C200,'_Datos'!$F200,IF('_Datos'!$B200,'Proyecto Datos (OKR´s)'!$G200,""))</f>
      </c>
      <c r="D200" s="204">
        <f>IF('_Datos'!$C200,'_Datos'!$AO200,"")</f>
      </c>
      <c r="E200" s="208">
        <f>IF('_Datos'!$C200,'_Datos'!$I200,IF('_Datos'!$B200,IFERROR(AVERAGEIF('_Datos'!$D$7:$D$200,'Proyecto Datos (OKR´s)'!$G200,'_Datos'!$I$7:$I$200),""),""))</f>
      </c>
      <c r="F200" s="204">
        <f>IF('_Datos'!$C200,IF(ISNUMBER('_Datos'!$AR200),'_Datos'!$AR200,"(Sin fecha)"),"")</f>
      </c>
      <c r="G200" s="204"/>
      <c r="H200" s="205"/>
      <c r="I200" s="204">
        <f>IF('_Datos'!$C200,IF(ISNUMBER('_Datos'!$AV200),'_Datos'!$AZ200,"(Sin fecha)"),"")</f>
      </c>
      <c r="J200" s="204"/>
      <c r="K200" s="205"/>
      <c r="L200" s="209">
        <f>IF('_Datos'!$C200,'_Datos'!$AX200,"")</f>
      </c>
      <c r="M200" s="191"/>
      <c r="N200" s="204">
        <f>IF('_Datos'!$C200,'_Datos'!$BA200,"")</f>
      </c>
    </row>
  </sheetData>
  <mergeCells count="2">
    <mergeCell ref="B1:N1"/>
    <mergeCell ref="B2:N2"/>
  </mergeCells>
  <conditionalFormatting sqref="E7:E200">
    <cfRule type="dataBar" priority="10">
      <dataBar>
        <cfvo type="num" val="0"/>
        <cfvo type="num" val="1"/>
        <color rgb="FF63C384"/>
      </dataBar>
    </cfRule>
  </conditionalFormatting>
  <conditionalFormatting sqref="B7:N200">
    <cfRule type="expression" dxfId="28" priority="20">
      <formula>'_Datos'!$B7</formula>
    </cfRule>
  </conditionalFormatting>
  <conditionalFormatting sqref="G7:H200">
    <cfRule type="expression" dxfId="27" priority="21">
      <formula>$B7&lt;&gt;""</formula>
    </cfRule>
  </conditionalFormatting>
  <conditionalFormatting sqref="J7:K200">
    <cfRule type="expression" dxfId="27" priority="22">
      <formula>$B7&lt;&gt;""</formula>
    </cfRule>
  </conditionalFormatting>
  <conditionalFormatting sqref="G7:G200">
    <cfRule type="expression" dxfId="26" priority="23">
      <formula>$G7="Completo"</formula>
    </cfRule>
    <cfRule type="expression" dxfId="23" priority="24">
      <formula>$G7="No se realizó"</formula>
    </cfRule>
  </conditionalFormatting>
  <conditionalFormatting sqref="N7:N200">
    <cfRule type="expression" dxfId="24" priority="25">
      <formula>$N7&lt;&gt;""</formula>
    </cfRule>
  </conditionalFormatting>
  <conditionalFormatting sqref="B7:N200">
    <cfRule type="expression" dxfId="21" priority="40">
      <formula>$B7&lt;&gt;""</formula>
    </cfRule>
  </conditionalFormatting>
  <dataValidations count="4">
    <dataValidation type="list" allowBlank="1" showInputMessage="1" showErrorMessage="1" sqref="G7:G200">
      <formula1>"En curso,Completo,No se realizó"</formula1>
    </dataValidation>
    <dataValidation type="list" allowBlank="1" showInputMessage="1" showErrorMessage="1" sqref="H7:H200">
      <formula1>"Pasa al siguiente,Baja prioridad,Cancelado"</formula1>
    </dataValidation>
    <dataValidation type="list" allowBlank="1" showInputMessage="1" showErrorMessage="1" sqref="J7:J200">
      <formula1>"Falta de tiempo,Dependencia externa,Bloqueo técnico,Esperando información,Repriorización,Cambio de alcance,Otro"</formula1>
    </dataValidation>
    <dataValidation type="list" allowBlank="1" showInputMessage="1" showErrorMessage="1" sqref="M7:M200">
      <formula1>"1,2,3,4,5,6,7,8,9,10,11,12"</formula1>
    </dataValidation>
  </dataValidations>
  <pageMargins left="0.4" right="0.4" top="0.5" bottom="0.5" header="0.3" footer="0.3"/>
</worksheet>
</file>

<file path=xl/worksheets/sheet10.xml><?xml version="1.0" encoding="utf-8"?>
<worksheet xmlns="http://schemas.openxmlformats.org/spreadsheetml/2006/main" xmlns:r="http://schemas.openxmlformats.org/officeDocument/2006/relationships">
  <dimension ref="A1:I46"/>
  <sheetViews>
    <sheetView showGridLines="0" workbookViewId="0">
      <pane ySplit="6" topLeftCell="A7" activePane="bottomLeft" state="frozen"/>
    </sheetView>
  </sheetViews>
  <sheetFormatPr defaultRowHeight="15"/>
  <cols>
    <col min="1" max="1" width="2.5" customWidth="1"/>
    <col min="2" max="2" width="12" customWidth="1"/>
    <col min="3" max="3" width="8" customWidth="1"/>
    <col min="4" max="4" width="16" customWidth="1"/>
    <col min="5" max="5" width="44" customWidth="1"/>
    <col min="6" max="6" width="18" customWidth="1"/>
    <col min="7" max="7" width="14" customWidth="1"/>
    <col min="8" max="8" width="46" customWidth="1"/>
    <col min="9" max="9" width="9" hidden="1"/>
  </cols>
  <sheetData>
    <row r="1" ht="26" customHeight="1">
      <c r="B1" s="169" t="inlineStr">
        <is>
          <t xml:space="preserve">HISTORIAL DE SPRINTS — por tarea (trazabilidad)</t>
        </is>
      </c>
      <c r="C1" s="169"/>
      <c r="D1" s="169"/>
      <c r="E1" s="169"/>
      <c r="F1" s="169"/>
      <c r="G1" s="169"/>
      <c r="H1" s="169"/>
    </row>
    <row r="2" ht="46" customHeight="1">
      <c r="B2" s="170" t="inlineStr">
        <is>
          <t xml:space="preserve">Cada subtarea en su SPRINT PLANIFICADO: si se completó o no y por qué. Trazabilidad: aunque una tarea pase a otro sprint, queda registrada acá en su sprint original con su motivo. '¿Completada?' sale del Estado (Backlog); 'Motivo' = Motivo + Comentario del Backlog. Ordenado por frecuencia y sprint.</t>
        </is>
      </c>
      <c r="C2" s="170"/>
      <c r="D2" s="170"/>
      <c r="E2" s="170"/>
      <c r="F2" s="170"/>
      <c r="G2" s="170"/>
      <c r="H2" s="170"/>
    </row>
    <row r="6">
      <c r="B6" s="173" t="inlineStr">
        <is>
          <t xml:space="preserve">Frecuencia</t>
        </is>
      </c>
      <c r="C6" s="173" t="inlineStr">
        <is>
          <t xml:space="preserve">Sprint</t>
        </is>
      </c>
      <c r="D6" s="173" t="inlineStr">
        <is>
          <t xml:space="preserve">Presentación (vie)</t>
        </is>
      </c>
      <c r="E6" s="173" t="inlineStr">
        <is>
          <t xml:space="preserve">Subtarea</t>
        </is>
      </c>
      <c r="F6" s="173" t="inlineStr">
        <is>
          <t xml:space="preserve">Responsable</t>
        </is>
      </c>
      <c r="G6" s="173" t="inlineStr">
        <is>
          <t xml:space="preserve">¿Completada?</t>
        </is>
      </c>
      <c r="H6" s="173" t="inlineStr">
        <is>
          <t xml:space="preserve">Motivo / Comentario (por qué)</t>
        </is>
      </c>
    </row>
    <row r="7">
      <c r="B7" s="204" t="str">
        <f>IF($I7="","",INDEX('_Datos'!$AO$7:$AO$200,$I7))</f>
        <v>Semanal</v>
      </c>
      <c r="C7" s="204">
        <f>IF($I7="","",INDEX('_Datos'!$AR$7:$AR$200,$I7))</f>
        <v>1</v>
      </c>
      <c r="D7" s="207">
        <f>IF($I7="","",INDEX('_Datos'!$AW$7:$AW$200,$I7))</f>
        <v>46192</v>
      </c>
      <c r="E7" s="205" t="str">
        <f>IF($I7="","",INDEX('_Datos'!$F$7:$F$200,$I7))</f>
        <v>Armado de Procedimiento</v>
      </c>
      <c r="F7" s="205" t="str">
        <f>IF($I7="","",INDEX('_Datos'!$G$7:$G$200,$I7))</f>
        <v>Santiago Alonso</v>
      </c>
      <c r="G7" s="204" t="str">
        <f>IF($I7="","",INDEX('_Datos'!$BG$7:$BG$200,$I7))</f>
        <v>No</v>
      </c>
      <c r="H7" s="205">
        <f>IF($I7="","",INDEX('_Datos'!$BF$7:$BF$200,$I7))</f>
      </c>
      <c r="I7" s="202">
        <f>IFERROR(MATCH(SMALL('_Datos'!$BH$7:$BH$200,ROW()-7+1),'_Datos'!$BH$7:$BH$200,0),"")</f>
        <v>17</v>
      </c>
    </row>
    <row r="8">
      <c r="B8" s="204" t="str">
        <f>IF($I8="","",INDEX('_Datos'!$AO$7:$AO$200,$I8))</f>
        <v>Semanal</v>
      </c>
      <c r="C8" s="204">
        <f>IF($I8="","",INDEX('_Datos'!$AR$7:$AR$200,$I8))</f>
        <v>1</v>
      </c>
      <c r="D8" s="207">
        <f>IF($I8="","",INDEX('_Datos'!$AW$7:$AW$200,$I8))</f>
        <v>46192</v>
      </c>
      <c r="E8" s="205" t="str">
        <f>IF($I8="","",INDEX('_Datos'!$F$7:$F$200,$I8))</f>
        <v>Revisión de Gráfico en cascada: por desvío y desagregación por categorías.</v>
      </c>
      <c r="F8" s="205" t="str">
        <f>IF($I8="","",INDEX('_Datos'!$G$7:$G$200,$I8))</f>
        <v>Santiago Alonso</v>
      </c>
      <c r="G8" s="204" t="str">
        <f>IF($I8="","",INDEX('_Datos'!$BG$7:$BG$200,$I8))</f>
        <v>No</v>
      </c>
      <c r="H8" s="205">
        <f>IF($I8="","",INDEX('_Datos'!$BF$7:$BF$200,$I8))</f>
      </c>
      <c r="I8" s="202">
        <f>IFERROR(MATCH(SMALL('_Datos'!$BH$7:$BH$200,ROW()-7+1),'_Datos'!$BH$7:$BH$200,0),"")</f>
        <v>18</v>
      </c>
    </row>
    <row r="9">
      <c r="B9" s="204" t="str">
        <f>IF($I9="","",INDEX('_Datos'!$AO$7:$AO$200,$I9))</f>
        <v>Semanal</v>
      </c>
      <c r="C9" s="204">
        <f>IF($I9="","",INDEX('_Datos'!$AR$7:$AR$200,$I9))</f>
        <v>1</v>
      </c>
      <c r="D9" s="207">
        <f>IF($I9="","",INDEX('_Datos'!$AW$7:$AW$200,$I9))</f>
        <v>46192</v>
      </c>
      <c r="E9" s="205" t="str">
        <f>IF($I9="","",INDEX('_Datos'!$F$7:$F$200,$I9))</f>
        <v>Revisión de viabilidad de incorporación datos Redash (input ZReal con clasificaciones automaticas por CECO - Directas e Indirectas)</v>
      </c>
      <c r="F9" s="205" t="str">
        <f>IF($I9="","",INDEX('_Datos'!$G$7:$G$200,$I9))</f>
        <v>Santiago Alonso</v>
      </c>
      <c r="G9" s="204" t="str">
        <f>IF($I9="","",INDEX('_Datos'!$BG$7:$BG$200,$I9))</f>
        <v>No</v>
      </c>
      <c r="H9" s="205">
        <f>IF($I9="","",INDEX('_Datos'!$BF$7:$BF$200,$I9))</f>
      </c>
      <c r="I9" s="202">
        <f>IFERROR(MATCH(SMALL('_Datos'!$BH$7:$BH$200,ROW()-7+1),'_Datos'!$BH$7:$BH$200,0),"")</f>
        <v>19</v>
      </c>
    </row>
    <row r="10">
      <c r="B10" s="204" t="str">
        <f>IF($I10="","",INDEX('_Datos'!$AO$7:$AO$200,$I10))</f>
        <v>Semanal</v>
      </c>
      <c r="C10" s="204">
        <f>IF($I10="","",INDEX('_Datos'!$AR$7:$AR$200,$I10))</f>
        <v>1</v>
      </c>
      <c r="D10" s="207">
        <f>IF($I10="","",INDEX('_Datos'!$AW$7:$AW$200,$I10))</f>
        <v>46192</v>
      </c>
      <c r="E10" s="205" t="str">
        <f>IF($I10="","",INDEX('_Datos'!$F$7:$F$200,$I10))</f>
        <v>Procedimiento</v>
      </c>
      <c r="F10" s="205" t="str">
        <f>IF($I10="","",INDEX('_Datos'!$G$7:$G$200,$I10))</f>
        <v>Santiago Alonso</v>
      </c>
      <c r="G10" s="204" t="str">
        <f>IF($I10="","",INDEX('_Datos'!$BG$7:$BG$200,$I10))</f>
        <v>No</v>
      </c>
      <c r="H10" s="205">
        <f>IF($I10="","",INDEX('_Datos'!$BF$7:$BF$200,$I10))</f>
      </c>
      <c r="I10" s="202">
        <f>IFERROR(MATCH(SMALL('_Datos'!$BH$7:$BH$200,ROW()-7+1),'_Datos'!$BH$7:$BH$200,0),"")</f>
        <v>22</v>
      </c>
    </row>
    <row r="11">
      <c r="B11" s="204" t="str">
        <f>IF($I11="","",INDEX('_Datos'!$AO$7:$AO$200,$I11))</f>
        <v>Semanal</v>
      </c>
      <c r="C11" s="204">
        <f>IF($I11="","",INDEX('_Datos'!$AR$7:$AR$200,$I11))</f>
        <v>1</v>
      </c>
      <c r="D11" s="207">
        <f>IF($I11="","",INDEX('_Datos'!$AW$7:$AW$200,$I11))</f>
        <v>46192</v>
      </c>
      <c r="E11" s="205" t="str">
        <f>IF($I11="","",INDEX('_Datos'!$F$7:$F$200,$I11))</f>
        <v>Aging - desde SharePoint</v>
      </c>
      <c r="F11" s="205" t="str">
        <f>IF($I11="","",INDEX('_Datos'!$G$7:$G$200,$I11))</f>
        <v>Santiago Alonso</v>
      </c>
      <c r="G11" s="204" t="str">
        <f>IF($I11="","",INDEX('_Datos'!$BG$7:$BG$200,$I11))</f>
        <v>No</v>
      </c>
      <c r="H11" s="205">
        <f>IF($I11="","",INDEX('_Datos'!$BF$7:$BF$200,$I11))</f>
      </c>
      <c r="I11" s="202">
        <f>IFERROR(MATCH(SMALL('_Datos'!$BH$7:$BH$200,ROW()-7+1),'_Datos'!$BH$7:$BH$200,0),"")</f>
        <v>23</v>
      </c>
    </row>
    <row r="12">
      <c r="B12" s="204" t="str">
        <f>IF($I12="","",INDEX('_Datos'!$AO$7:$AO$200,$I12))</f>
        <v>Semanal</v>
      </c>
      <c r="C12" s="204">
        <f>IF($I12="","",INDEX('_Datos'!$AR$7:$AR$200,$I12))</f>
        <v>1</v>
      </c>
      <c r="D12" s="207">
        <f>IF($I12="","",INDEX('_Datos'!$AW$7:$AW$200,$I12))</f>
        <v>46192</v>
      </c>
      <c r="E12" s="205" t="str">
        <f>IF($I12="","",INDEX('_Datos'!$F$7:$F$200,$I12))</f>
        <v>Dias en Calle - desde SharePoint</v>
      </c>
      <c r="F12" s="205" t="str">
        <f>IF($I12="","",INDEX('_Datos'!$G$7:$G$200,$I12))</f>
        <v>Santiago Alonso</v>
      </c>
      <c r="G12" s="204" t="str">
        <f>IF($I12="","",INDEX('_Datos'!$BG$7:$BG$200,$I12))</f>
        <v>No</v>
      </c>
      <c r="H12" s="205">
        <f>IF($I12="","",INDEX('_Datos'!$BF$7:$BF$200,$I12))</f>
      </c>
      <c r="I12" s="202">
        <f>IFERROR(MATCH(SMALL('_Datos'!$BH$7:$BH$200,ROW()-7+1),'_Datos'!$BH$7:$BH$200,0),"")</f>
        <v>24</v>
      </c>
    </row>
    <row r="13">
      <c r="B13" s="204" t="str">
        <f>IF($I13="","",INDEX('_Datos'!$AO$7:$AO$200,$I13))</f>
        <v>Semanal</v>
      </c>
      <c r="C13" s="204">
        <f>IF($I13="","",INDEX('_Datos'!$AR$7:$AR$200,$I13))</f>
        <v>1</v>
      </c>
      <c r="D13" s="207">
        <f>IF($I13="","",INDEX('_Datos'!$AW$7:$AW$200,$I13))</f>
        <v>46192</v>
      </c>
      <c r="E13" s="205" t="str">
        <f>IF($I13="","",INDEX('_Datos'!$F$7:$F$200,$I13))</f>
        <v>Input de datos desde Provisión mensual</v>
      </c>
      <c r="F13" s="205" t="str">
        <f>IF($I13="","",INDEX('_Datos'!$G$7:$G$200,$I13))</f>
        <v>Santiago Alonso</v>
      </c>
      <c r="G13" s="204" t="str">
        <f>IF($I13="","",INDEX('_Datos'!$BG$7:$BG$200,$I13))</f>
        <v>No</v>
      </c>
      <c r="H13" s="205">
        <f>IF($I13="","",INDEX('_Datos'!$BF$7:$BF$200,$I13))</f>
      </c>
      <c r="I13" s="202">
        <f>IFERROR(MATCH(SMALL('_Datos'!$BH$7:$BH$200,ROW()-7+1),'_Datos'!$BH$7:$BH$200,0),"")</f>
        <v>25</v>
      </c>
    </row>
    <row r="14">
      <c r="B14" s="204" t="str">
        <f>IF($I14="","",INDEX('_Datos'!$AO$7:$AO$200,$I14))</f>
        <v>Semanal</v>
      </c>
      <c r="C14" s="204">
        <f>IF($I14="","",INDEX('_Datos'!$AR$7:$AR$200,$I14))</f>
        <v>1</v>
      </c>
      <c r="D14" s="207">
        <f>IF($I14="","",INDEX('_Datos'!$AW$7:$AW$200,$I14))</f>
        <v>46192</v>
      </c>
      <c r="E14" s="205" t="str">
        <f>IF($I14="","",INDEX('_Datos'!$F$7:$F$200,$I14))</f>
        <v>Planilla Activos Unificados - Estandarizar + Procedimiento</v>
      </c>
      <c r="F14" s="205" t="str">
        <f>IF($I14="","",INDEX('_Datos'!$G$7:$G$200,$I14))</f>
        <v>Santiago Alonso</v>
      </c>
      <c r="G14" s="204" t="str">
        <f>IF($I14="","",INDEX('_Datos'!$BG$7:$BG$200,$I14))</f>
        <v>No</v>
      </c>
      <c r="H14" s="205">
        <f>IF($I14="","",INDEX('_Datos'!$BF$7:$BF$200,$I14))</f>
      </c>
      <c r="I14" s="202">
        <f>IFERROR(MATCH(SMALL('_Datos'!$BH$7:$BH$200,ROW()-7+1),'_Datos'!$BH$7:$BH$200,0),"")</f>
        <v>31</v>
      </c>
    </row>
    <row r="15">
      <c r="B15" s="204" t="str">
        <f>IF($I15="","",INDEX('_Datos'!$AO$7:$AO$200,$I15))</f>
        <v>Semanal</v>
      </c>
      <c r="C15" s="204">
        <f>IF($I15="","",INDEX('_Datos'!$AR$7:$AR$200,$I15))</f>
        <v>1</v>
      </c>
      <c r="D15" s="207">
        <f>IF($I15="","",INDEX('_Datos'!$AW$7:$AW$200,$I15))</f>
        <v>46192</v>
      </c>
      <c r="E15" s="205" t="str">
        <f>IF($I15="","",INDEX('_Datos'!$F$7:$F$200,$I15))</f>
        <v>Planilla DTM Estandarizada+ Procedimiento</v>
      </c>
      <c r="F15" s="205" t="str">
        <f>IF($I15="","",INDEX('_Datos'!$G$7:$G$200,$I15))</f>
        <v>Santiago Alonso</v>
      </c>
      <c r="G15" s="204" t="str">
        <f>IF($I15="","",INDEX('_Datos'!$BG$7:$BG$200,$I15))</f>
        <v>No</v>
      </c>
      <c r="H15" s="205">
        <f>IF($I15="","",INDEX('_Datos'!$BF$7:$BF$200,$I15))</f>
      </c>
      <c r="I15" s="202">
        <f>IFERROR(MATCH(SMALL('_Datos'!$BH$7:$BH$200,ROW()-7+1),'_Datos'!$BH$7:$BH$200,0),"")</f>
        <v>32</v>
      </c>
    </row>
    <row r="16">
      <c r="B16" s="204" t="str">
        <f>IF($I16="","",INDEX('_Datos'!$AO$7:$AO$200,$I16))</f>
        <v>Semanal</v>
      </c>
      <c r="C16" s="204">
        <f>IF($I16="","",INDEX('_Datos'!$AR$7:$AR$200,$I16))</f>
        <v>1</v>
      </c>
      <c r="D16" s="207">
        <f>IF($I16="","",INDEX('_Datos'!$AW$7:$AW$200,$I16))</f>
        <v>46192</v>
      </c>
      <c r="E16" s="205" t="str">
        <f>IF($I16="","",INDEX('_Datos'!$F$7:$F$200,$I16))</f>
        <v>Planilla Aeroevaciaciones + Procedimiento</v>
      </c>
      <c r="F16" s="205" t="str">
        <f>IF($I16="","",INDEX('_Datos'!$G$7:$G$200,$I16))</f>
        <v>Santiago Alonso</v>
      </c>
      <c r="G16" s="204" t="str">
        <f>IF($I16="","",INDEX('_Datos'!$BG$7:$BG$200,$I16))</f>
        <v>No</v>
      </c>
      <c r="H16" s="205">
        <f>IF($I16="","",INDEX('_Datos'!$BF$7:$BF$200,$I16))</f>
      </c>
      <c r="I16" s="202">
        <f>IFERROR(MATCH(SMALL('_Datos'!$BH$7:$BH$200,ROW()-7+1),'_Datos'!$BH$7:$BH$200,0),"")</f>
        <v>33</v>
      </c>
    </row>
    <row r="17">
      <c r="B17" s="204" t="str">
        <f>IF($I17="","",INDEX('_Datos'!$AO$7:$AO$200,$I17))</f>
        <v>Semanal</v>
      </c>
      <c r="C17" s="204">
        <f>IF($I17="","",INDEX('_Datos'!$AR$7:$AR$200,$I17))</f>
        <v>1</v>
      </c>
      <c r="D17" s="207">
        <f>IF($I17="","",INDEX('_Datos'!$AW$7:$AW$200,$I17))</f>
        <v>46192</v>
      </c>
      <c r="E17" s="205" t="str">
        <f>IF($I17="","",INDEX('_Datos'!$F$7:$F$200,$I17))</f>
        <v>Resumen Clientes Petróleo</v>
      </c>
      <c r="F17" s="205" t="str">
        <f>IF($I17="","",INDEX('_Datos'!$G$7:$G$200,$I17))</f>
        <v>Santiago Alonso</v>
      </c>
      <c r="G17" s="204" t="str">
        <f>IF($I17="","",INDEX('_Datos'!$BG$7:$BG$200,$I17))</f>
        <v>No</v>
      </c>
      <c r="H17" s="205">
        <f>IF($I17="","",INDEX('_Datos'!$BF$7:$BF$200,$I17))</f>
      </c>
      <c r="I17" s="202">
        <f>IFERROR(MATCH(SMALL('_Datos'!$BH$7:$BH$200,ROW()-7+1),'_Datos'!$BH$7:$BH$200,0),"")</f>
        <v>34</v>
      </c>
    </row>
    <row r="18">
      <c r="B18" s="204" t="str">
        <f>IF($I18="","",INDEX('_Datos'!$AO$7:$AO$200,$I18))</f>
        <v>Semanal</v>
      </c>
      <c r="C18" s="204">
        <f>IF($I18="","",INDEX('_Datos'!$AR$7:$AR$200,$I18))</f>
        <v>1</v>
      </c>
      <c r="D18" s="207">
        <f>IF($I18="","",INDEX('_Datos'!$AW$7:$AW$200,$I18))</f>
        <v>46192</v>
      </c>
      <c r="E18" s="205" t="str">
        <f>IF($I18="","",INDEX('_Datos'!$F$7:$F$200,$I18))</f>
        <v>Resumen Clientes Minería</v>
      </c>
      <c r="F18" s="205" t="str">
        <f>IF($I18="","",INDEX('_Datos'!$G$7:$G$200,$I18))</f>
        <v>Santiago Alonso</v>
      </c>
      <c r="G18" s="204" t="str">
        <f>IF($I18="","",INDEX('_Datos'!$BG$7:$BG$200,$I18))</f>
        <v>No</v>
      </c>
      <c r="H18" s="205">
        <f>IF($I18="","",INDEX('_Datos'!$BF$7:$BF$200,$I18))</f>
      </c>
      <c r="I18" s="202">
        <f>IFERROR(MATCH(SMALL('_Datos'!$BH$7:$BH$200,ROW()-7+1),'_Datos'!$BH$7:$BH$200,0),"")</f>
        <v>35</v>
      </c>
    </row>
    <row r="19">
      <c r="B19" s="204" t="str">
        <f>IF($I19="","",INDEX('_Datos'!$AO$7:$AO$200,$I19))</f>
        <v>Semanal</v>
      </c>
      <c r="C19" s="204">
        <f>IF($I19="","",INDEX('_Datos'!$AR$7:$AR$200,$I19))</f>
        <v>1</v>
      </c>
      <c r="D19" s="207">
        <f>IF($I19="","",INDEX('_Datos'!$AW$7:$AW$200,$I19))</f>
        <v>46192</v>
      </c>
      <c r="E19" s="205" t="str">
        <f>IF($I19="","",INDEX('_Datos'!$F$7:$F$200,$I19))</f>
        <v>Resumen Clientes Op. Dedicadas</v>
      </c>
      <c r="F19" s="205" t="str">
        <f>IF($I19="","",INDEX('_Datos'!$G$7:$G$200,$I19))</f>
        <v>Santiago Alonso</v>
      </c>
      <c r="G19" s="204" t="str">
        <f>IF($I19="","",INDEX('_Datos'!$BG$7:$BG$200,$I19))</f>
        <v>No</v>
      </c>
      <c r="H19" s="205">
        <f>IF($I19="","",INDEX('_Datos'!$BF$7:$BF$200,$I19))</f>
      </c>
      <c r="I19" s="202">
        <f>IFERROR(MATCH(SMALL('_Datos'!$BH$7:$BH$200,ROW()-7+1),'_Datos'!$BH$7:$BH$200,0),"")</f>
        <v>36</v>
      </c>
    </row>
    <row r="20">
      <c r="B20" s="204" t="str">
        <f>IF($I20="","",INDEX('_Datos'!$AO$7:$AO$200,$I20))</f>
        <v>Semanal</v>
      </c>
      <c r="C20" s="204">
        <f>IF($I20="","",INDEX('_Datos'!$AR$7:$AR$200,$I20))</f>
        <v>1</v>
      </c>
      <c r="D20" s="207">
        <f>IF($I20="","",INDEX('_Datos'!$AW$7:$AW$200,$I20))</f>
        <v>46192</v>
      </c>
      <c r="E20" s="205" t="str">
        <f>IF($I20="","",INDEX('_Datos'!$F$7:$F$200,$I20))</f>
        <v>Detalle Responsables (Comerciales + Analistas)</v>
      </c>
      <c r="F20" s="205" t="str">
        <f>IF($I20="","",INDEX('_Datos'!$G$7:$G$200,$I20))</f>
        <v>Santiago Alonso</v>
      </c>
      <c r="G20" s="204" t="str">
        <f>IF($I20="","",INDEX('_Datos'!$BG$7:$BG$200,$I20))</f>
        <v>No</v>
      </c>
      <c r="H20" s="205">
        <f>IF($I20="","",INDEX('_Datos'!$BF$7:$BF$200,$I20))</f>
      </c>
      <c r="I20" s="202">
        <f>IFERROR(MATCH(SMALL('_Datos'!$BH$7:$BH$200,ROW()-7+1),'_Datos'!$BH$7:$BH$200,0),"")</f>
        <v>40</v>
      </c>
    </row>
    <row r="21">
      <c r="B21" s="204" t="str">
        <f>IF($I21="","",INDEX('_Datos'!$AO$7:$AO$200,$I21))</f>
        <v>Semanal</v>
      </c>
      <c r="C21" s="204">
        <f>IF($I21="","",INDEX('_Datos'!$AR$7:$AR$200,$I21))</f>
        <v>1</v>
      </c>
      <c r="D21" s="207">
        <f>IF($I21="","",INDEX('_Datos'!$AW$7:$AW$200,$I21))</f>
        <v>46192</v>
      </c>
      <c r="E21" s="205" t="str">
        <f>IF($I21="","",INDEX('_Datos'!$F$7:$F$200,$I21))</f>
        <v>Armado de Dashboard + Diseño</v>
      </c>
      <c r="F21" s="205" t="str">
        <f>IF($I21="","",INDEX('_Datos'!$G$7:$G$200,$I21))</f>
        <v>Santiago Alonso</v>
      </c>
      <c r="G21" s="204" t="str">
        <f>IF($I21="","",INDEX('_Datos'!$BG$7:$BG$200,$I21))</f>
        <v>No</v>
      </c>
      <c r="H21" s="205">
        <f>IF($I21="","",INDEX('_Datos'!$BF$7:$BF$200,$I21))</f>
      </c>
      <c r="I21" s="202">
        <f>IFERROR(MATCH(SMALL('_Datos'!$BH$7:$BH$200,ROW()-7+1),'_Datos'!$BH$7:$BH$200,0),"")</f>
        <v>41</v>
      </c>
    </row>
    <row r="22">
      <c r="B22" s="204" t="str">
        <f>IF($I22="","",INDEX('_Datos'!$AO$7:$AO$200,$I22))</f>
        <v>Semanal</v>
      </c>
      <c r="C22" s="204">
        <f>IF($I22="","",INDEX('_Datos'!$AR$7:$AR$200,$I22))</f>
        <v>1</v>
      </c>
      <c r="D22" s="207">
        <f>IF($I22="","",INDEX('_Datos'!$AW$7:$AW$200,$I22))</f>
        <v>46192</v>
      </c>
      <c r="E22" s="205" t="str">
        <f>IF($I22="","",INDEX('_Datos'!$F$7:$F$200,$I22))</f>
        <v>Armado de Procedimiento</v>
      </c>
      <c r="F22" s="205" t="str">
        <f>IF($I22="","",INDEX('_Datos'!$G$7:$G$200,$I22))</f>
        <v>Santiago Alonso</v>
      </c>
      <c r="G22" s="204" t="str">
        <f>IF($I22="","",INDEX('_Datos'!$BG$7:$BG$200,$I22))</f>
        <v>No</v>
      </c>
      <c r="H22" s="205">
        <f>IF($I22="","",INDEX('_Datos'!$BF$7:$BF$200,$I22))</f>
      </c>
      <c r="I22" s="202">
        <f>IFERROR(MATCH(SMALL('_Datos'!$BH$7:$BH$200,ROW()-7+1),'_Datos'!$BH$7:$BH$200,0),"")</f>
        <v>43</v>
      </c>
    </row>
    <row r="23">
      <c r="B23" s="204" t="str">
        <f>IF($I23="","",INDEX('_Datos'!$AO$7:$AO$200,$I23))</f>
        <v>Semanal</v>
      </c>
      <c r="C23" s="204">
        <f>IF($I23="","",INDEX('_Datos'!$AR$7:$AR$200,$I23))</f>
        <v>1</v>
      </c>
      <c r="D23" s="207">
        <f>IF($I23="","",INDEX('_Datos'!$AW$7:$AW$200,$I23))</f>
        <v>46192</v>
      </c>
      <c r="E23" s="205" t="str">
        <f>IF($I23="","",INDEX('_Datos'!$F$7:$F$200,$I23))</f>
        <v>Slicer funcional con % de incremento sobre venta con base en % definido en factores</v>
      </c>
      <c r="F23" s="205" t="str">
        <f>IF($I23="","",INDEX('_Datos'!$G$7:$G$200,$I23))</f>
        <v>Santiago Alonso</v>
      </c>
      <c r="G23" s="204" t="str">
        <f>IF($I23="","",INDEX('_Datos'!$BG$7:$BG$200,$I23))</f>
        <v>No</v>
      </c>
      <c r="H23" s="205">
        <f>IF($I23="","",INDEX('_Datos'!$BF$7:$BF$200,$I23))</f>
      </c>
      <c r="I23" s="202">
        <f>IFERROR(MATCH(SMALL('_Datos'!$BH$7:$BH$200,ROW()-7+1),'_Datos'!$BH$7:$BH$200,0),"")</f>
        <v>44</v>
      </c>
    </row>
    <row r="24">
      <c r="B24" s="204" t="str">
        <f>IF($I24="","",INDEX('_Datos'!$AO$7:$AO$200,$I24))</f>
        <v>Semanal</v>
      </c>
      <c r="C24" s="204">
        <f>IF($I24="","",INDEX('_Datos'!$AR$7:$AR$200,$I24))</f>
        <v>1</v>
      </c>
      <c r="D24" s="207">
        <f>IF($I24="","",INDEX('_Datos'!$AW$7:$AW$200,$I24))</f>
        <v>46192</v>
      </c>
      <c r="E24" s="205" t="str">
        <f>IF($I24="","",INDEX('_Datos'!$F$7:$F$200,$I24))</f>
        <v>Factores de clientes con % de incremento sobre venta</v>
      </c>
      <c r="F24" s="205" t="str">
        <f>IF($I24="","",INDEX('_Datos'!$G$7:$G$200,$I24))</f>
        <v>Santiago Alonso</v>
      </c>
      <c r="G24" s="204" t="str">
        <f>IF($I24="","",INDEX('_Datos'!$BG$7:$BG$200,$I24))</f>
        <v>No</v>
      </c>
      <c r="H24" s="205">
        <f>IF($I24="","",INDEX('_Datos'!$BF$7:$BF$200,$I24))</f>
      </c>
      <c r="I24" s="202">
        <f>IFERROR(MATCH(SMALL('_Datos'!$BH$7:$BH$200,ROW()-7+1),'_Datos'!$BH$7:$BH$200,0),"")</f>
        <v>45</v>
      </c>
    </row>
    <row r="25">
      <c r="B25" s="204" t="str">
        <f>IF($I25="","",INDEX('_Datos'!$AO$7:$AO$200,$I25))</f>
        <v>Quincenal</v>
      </c>
      <c r="C25" s="204">
        <f>IF($I25="","",INDEX('_Datos'!$AR$7:$AR$200,$I25))</f>
        <v>1</v>
      </c>
      <c r="D25" s="207">
        <f>IF($I25="","",INDEX('_Datos'!$AW$7:$AW$200,$I25))</f>
        <v>46199</v>
      </c>
      <c r="E25" s="205" t="str">
        <f>IF($I25="","",INDEX('_Datos'!$F$7:$F$200,$I25))</f>
        <v>Crear estructura de Cotizador en base a modelo armado (migra a CLAUDE)</v>
      </c>
      <c r="F25" s="205" t="str">
        <f>IF($I25="","",INDEX('_Datos'!$G$7:$G$200,$I25))</f>
        <v>Santiago Alonso</v>
      </c>
      <c r="G25" s="204" t="str">
        <f>IF($I25="","",INDEX('_Datos'!$BG$7:$BG$200,$I25))</f>
        <v>Sí</v>
      </c>
      <c r="H25" s="205">
        <f>IF($I25="","",INDEX('_Datos'!$BF$7:$BF$200,$I25))</f>
      </c>
      <c r="I25" s="202">
        <f>IFERROR(MATCH(SMALL('_Datos'!$BH$7:$BH$200,ROW()-7+1),'_Datos'!$BH$7:$BH$200,0),"")</f>
        <v>4</v>
      </c>
    </row>
    <row r="26">
      <c r="B26" s="204" t="str">
        <f>IF($I26="","",INDEX('_Datos'!$AO$7:$AO$200,$I26))</f>
        <v>Quincenal</v>
      </c>
      <c r="C26" s="204">
        <f>IF($I26="","",INDEX('_Datos'!$AR$7:$AR$200,$I26))</f>
        <v>1</v>
      </c>
      <c r="D26" s="207">
        <f>IF($I26="","",INDEX('_Datos'!$AW$7:$AW$200,$I26))</f>
        <v>46199</v>
      </c>
      <c r="E26" s="205" t="str">
        <f>IF($I26="","",INDEX('_Datos'!$F$7:$F$200,$I26))</f>
        <v>Automatización Archivo Sueldos FATSA + Procedimientos</v>
      </c>
      <c r="F26" s="205" t="str">
        <f>IF($I26="","",INDEX('_Datos'!$G$7:$G$200,$I26))</f>
        <v>Santiago Alonso</v>
      </c>
      <c r="G26" s="204" t="str">
        <f>IF($I26="","",INDEX('_Datos'!$BG$7:$BG$200,$I26))</f>
        <v>No</v>
      </c>
      <c r="H26" s="205">
        <f>IF($I26="","",INDEX('_Datos'!$BF$7:$BF$200,$I26))</f>
      </c>
      <c r="I26" s="202">
        <f>IFERROR(MATCH(SMALL('_Datos'!$BH$7:$BH$200,ROW()-7+1),'_Datos'!$BH$7:$BH$200,0),"")</f>
        <v>5</v>
      </c>
    </row>
    <row r="27">
      <c r="B27" s="204" t="str">
        <f>IF($I27="","",INDEX('_Datos'!$AO$7:$AO$200,$I27))</f>
        <v>Quincenal</v>
      </c>
      <c r="C27" s="204">
        <f>IF($I27="","",INDEX('_Datos'!$AR$7:$AR$200,$I27))</f>
        <v>1</v>
      </c>
      <c r="D27" s="207">
        <f>IF($I27="","",INDEX('_Datos'!$AW$7:$AW$200,$I27))</f>
        <v>46199</v>
      </c>
      <c r="E27" s="205" t="str">
        <f>IF($I27="","",INDEX('_Datos'!$F$7:$F$200,$I27))</f>
        <v>Automatización Archivo Sueldos Petro + Procedimientos</v>
      </c>
      <c r="F27" s="205" t="str">
        <f>IF($I27="","",INDEX('_Datos'!$G$7:$G$200,$I27))</f>
        <v>Santiago Alonso</v>
      </c>
      <c r="G27" s="204" t="str">
        <f>IF($I27="","",INDEX('_Datos'!$BG$7:$BG$200,$I27))</f>
        <v>No</v>
      </c>
      <c r="H27" s="205">
        <f>IF($I27="","",INDEX('_Datos'!$BF$7:$BF$200,$I27))</f>
      </c>
      <c r="I27" s="202">
        <f>IFERROR(MATCH(SMALL('_Datos'!$BH$7:$BH$200,ROW()-7+1),'_Datos'!$BH$7:$BH$200,0),"")</f>
        <v>6</v>
      </c>
    </row>
    <row r="28">
      <c r="B28" s="204" t="str">
        <f>IF($I28="","",INDEX('_Datos'!$AO$7:$AO$200,$I28))</f>
        <v>Quincenal</v>
      </c>
      <c r="C28" s="204">
        <f>IF($I28="","",INDEX('_Datos'!$AR$7:$AR$200,$I28))</f>
        <v>1</v>
      </c>
      <c r="D28" s="207">
        <f>IF($I28="","",INDEX('_Datos'!$AW$7:$AW$200,$I28))</f>
        <v>46199</v>
      </c>
      <c r="E28" s="205" t="str">
        <f>IF($I28="","",INDEX('_Datos'!$F$7:$F$200,$I28))</f>
        <v>Relevamiento Últimos Sueldos de referencia Monotributistas</v>
      </c>
      <c r="F28" s="205" t="str">
        <f>IF($I28="","",INDEX('_Datos'!$G$7:$G$200,$I28))</f>
        <v>Santiago Alonso</v>
      </c>
      <c r="G28" s="204" t="str">
        <f>IF($I28="","",INDEX('_Datos'!$BG$7:$BG$200,$I28))</f>
        <v>No</v>
      </c>
      <c r="H28" s="205">
        <f>IF($I28="","",INDEX('_Datos'!$BF$7:$BF$200,$I28))</f>
      </c>
      <c r="I28" s="202">
        <f>IFERROR(MATCH(SMALL('_Datos'!$BH$7:$BH$200,ROW()-7+1),'_Datos'!$BH$7:$BH$200,0),"")</f>
        <v>7</v>
      </c>
    </row>
    <row r="29">
      <c r="B29" s="204" t="str">
        <f>IF($I29="","",INDEX('_Datos'!$AO$7:$AO$200,$I29))</f>
        <v>Quincenal</v>
      </c>
      <c r="C29" s="204">
        <f>IF($I29="","",INDEX('_Datos'!$AR$7:$AR$200,$I29))</f>
        <v>1</v>
      </c>
      <c r="D29" s="207">
        <f>IF($I29="","",INDEX('_Datos'!$AW$7:$AW$200,$I29))</f>
        <v>46199</v>
      </c>
      <c r="E29" s="205" t="str">
        <f>IF($I29="","",INDEX('_Datos'!$F$7:$F$200,$I29))</f>
        <v>Asociar Archivo Móviles y Tráilers (Nico Sifuentes) + procedimiento</v>
      </c>
      <c r="F29" s="205" t="str">
        <f>IF($I29="","",INDEX('_Datos'!$G$7:$G$200,$I29))</f>
        <v>Santiago Alonso</v>
      </c>
      <c r="G29" s="204" t="str">
        <f>IF($I29="","",INDEX('_Datos'!$BG$7:$BG$200,$I29))</f>
        <v>No</v>
      </c>
      <c r="H29" s="205">
        <f>IF($I29="","",INDEX('_Datos'!$BF$7:$BF$200,$I29))</f>
      </c>
      <c r="I29" s="202">
        <f>IFERROR(MATCH(SMALL('_Datos'!$BH$7:$BH$200,ROW()-7+1),'_Datos'!$BH$7:$BH$200,0),"")</f>
        <v>9</v>
      </c>
    </row>
    <row r="30">
      <c r="B30" s="204" t="str">
        <f>IF($I30="","",INDEX('_Datos'!$AO$7:$AO$200,$I30))</f>
        <v>Quincenal</v>
      </c>
      <c r="C30" s="204">
        <f>IF($I30="","",INDEX('_Datos'!$AR$7:$AR$200,$I30))</f>
        <v>1</v>
      </c>
      <c r="D30" s="207">
        <f>IF($I30="","",INDEX('_Datos'!$AW$7:$AW$200,$I30))</f>
        <v>46199</v>
      </c>
      <c r="E30" s="205" t="str">
        <f>IF($I30="","",INDEX('_Datos'!$F$7:$F$200,$I30))</f>
        <v>Asociar Archivo Masters de Medicación (Seba Oliver) + Capacitaciones + procedimiento</v>
      </c>
      <c r="F30" s="205" t="str">
        <f>IF($I30="","",INDEX('_Datos'!$G$7:$G$200,$I30))</f>
        <v>Santiago Alonso</v>
      </c>
      <c r="G30" s="204" t="str">
        <f>IF($I30="","",INDEX('_Datos'!$BG$7:$BG$200,$I30))</f>
        <v>No</v>
      </c>
      <c r="H30" s="205">
        <f>IF($I30="","",INDEX('_Datos'!$BF$7:$BF$200,$I30))</f>
      </c>
      <c r="I30" s="202">
        <f>IFERROR(MATCH(SMALL('_Datos'!$BH$7:$BH$200,ROW()-7+1),'_Datos'!$BH$7:$BH$200,0),"")</f>
        <v>10</v>
      </c>
    </row>
    <row r="31">
      <c r="B31" s="204" t="str">
        <f>IF($I31="","",INDEX('_Datos'!$AO$7:$AO$200,$I31))</f>
        <v>Quincenal</v>
      </c>
      <c r="C31" s="204">
        <f>IF($I31="","",INDEX('_Datos'!$AR$7:$AR$200,$I31))</f>
        <v>1</v>
      </c>
      <c r="D31" s="207">
        <f>IF($I31="","",INDEX('_Datos'!$AW$7:$AW$200,$I31))</f>
        <v>46199</v>
      </c>
      <c r="E31" s="205" t="str">
        <f>IF($I31="","",INDEX('_Datos'!$F$7:$F$200,$I31))</f>
        <v>Relevamiento área de IA -  Repositorio (GitHub o AWS S3) + Seguridad</v>
      </c>
      <c r="F31" s="205" t="str">
        <f>IF($I31="","",INDEX('_Datos'!$G$7:$G$200,$I31))</f>
        <v>Santiago Alonso</v>
      </c>
      <c r="G31" s="204" t="str">
        <f>IF($I31="","",INDEX('_Datos'!$BG$7:$BG$200,$I31))</f>
        <v>Sí</v>
      </c>
      <c r="H31" s="205">
        <f>IF($I31="","",INDEX('_Datos'!$BF$7:$BF$200,$I31))</f>
      </c>
      <c r="I31" s="202">
        <f>IFERROR(MATCH(SMALL('_Datos'!$BH$7:$BH$200,ROW()-7+1),'_Datos'!$BH$7:$BH$200,0),"")</f>
        <v>13</v>
      </c>
    </row>
    <row r="32">
      <c r="B32" s="204" t="str">
        <f>IF($I32="","",INDEX('_Datos'!$AO$7:$AO$200,$I32))</f>
        <v>Mensual</v>
      </c>
      <c r="C32" s="204">
        <f>IF($I32="","",INDEX('_Datos'!$AR$7:$AR$200,$I32))</f>
        <v>1</v>
      </c>
      <c r="D32" s="207">
        <f>IF($I32="","",INDEX('_Datos'!$AW$7:$AW$200,$I32))</f>
        <v>46213</v>
      </c>
      <c r="E32" s="205" t="str">
        <f>IF($I32="","",INDEX('_Datos'!$F$7:$F$200,$I32))</f>
        <v>Disponibilidad de información centralizada en GOC (aguarda desarrollo)</v>
      </c>
      <c r="F32" s="205" t="str">
        <f>IF($I32="","",INDEX('_Datos'!$G$7:$G$200,$I32))</f>
        <v>Lucila Pronzato</v>
      </c>
      <c r="G32" s="204" t="str">
        <f>IF($I32="","",INDEX('_Datos'!$BG$7:$BG$200,$I32))</f>
        <v>No</v>
      </c>
      <c r="H32" s="205">
        <f>IF($I32="","",INDEX('_Datos'!$BF$7:$BF$200,$I32))</f>
      </c>
      <c r="I32" s="202">
        <f>IFERROR(MATCH(SMALL('_Datos'!$BH$7:$BH$200,ROW()-7+1),'_Datos'!$BH$7:$BH$200,0),"")</f>
        <v>2</v>
      </c>
    </row>
    <row r="33">
      <c r="B33" s="204">
        <f>IF($I33="","",INDEX('_Datos'!$AO$7:$AO$200,$I33))</f>
      </c>
      <c r="C33" s="204">
        <f>IF($I33="","",INDEX('_Datos'!$AR$7:$AR$200,$I33))</f>
      </c>
      <c r="D33" s="207">
        <f>IF($I33="","",INDEX('_Datos'!$AW$7:$AW$200,$I33))</f>
      </c>
      <c r="E33" s="205">
        <f>IF($I33="","",INDEX('_Datos'!$F$7:$F$200,$I33))</f>
      </c>
      <c r="F33" s="205">
        <f>IF($I33="","",INDEX('_Datos'!$G$7:$G$200,$I33))</f>
      </c>
      <c r="G33" s="204">
        <f>IF($I33="","",INDEX('_Datos'!$BG$7:$BG$200,$I33))</f>
      </c>
      <c r="H33" s="205">
        <f>IF($I33="","",INDEX('_Datos'!$BF$7:$BF$200,$I33))</f>
      </c>
      <c r="I33" s="202">
        <f>IFERROR(MATCH(SMALL('_Datos'!$BH$7:$BH$200,ROW()-7+1),'_Datos'!$BH$7:$BH$200,0),"")</f>
      </c>
    </row>
    <row r="34">
      <c r="B34" s="204">
        <f>IF($I34="","",INDEX('_Datos'!$AO$7:$AO$200,$I34))</f>
      </c>
      <c r="C34" s="204">
        <f>IF($I34="","",INDEX('_Datos'!$AR$7:$AR$200,$I34))</f>
      </c>
      <c r="D34" s="207">
        <f>IF($I34="","",INDEX('_Datos'!$AW$7:$AW$200,$I34))</f>
      </c>
      <c r="E34" s="205">
        <f>IF($I34="","",INDEX('_Datos'!$F$7:$F$200,$I34))</f>
      </c>
      <c r="F34" s="205">
        <f>IF($I34="","",INDEX('_Datos'!$G$7:$G$200,$I34))</f>
      </c>
      <c r="G34" s="204">
        <f>IF($I34="","",INDEX('_Datos'!$BG$7:$BG$200,$I34))</f>
      </c>
      <c r="H34" s="205">
        <f>IF($I34="","",INDEX('_Datos'!$BF$7:$BF$200,$I34))</f>
      </c>
      <c r="I34" s="202">
        <f>IFERROR(MATCH(SMALL('_Datos'!$BH$7:$BH$200,ROW()-7+1),'_Datos'!$BH$7:$BH$200,0),"")</f>
      </c>
    </row>
    <row r="35">
      <c r="B35" s="204">
        <f>IF($I35="","",INDEX('_Datos'!$AO$7:$AO$200,$I35))</f>
      </c>
      <c r="C35" s="204">
        <f>IF($I35="","",INDEX('_Datos'!$AR$7:$AR$200,$I35))</f>
      </c>
      <c r="D35" s="207">
        <f>IF($I35="","",INDEX('_Datos'!$AW$7:$AW$200,$I35))</f>
      </c>
      <c r="E35" s="205">
        <f>IF($I35="","",INDEX('_Datos'!$F$7:$F$200,$I35))</f>
      </c>
      <c r="F35" s="205">
        <f>IF($I35="","",INDEX('_Datos'!$G$7:$G$200,$I35))</f>
      </c>
      <c r="G35" s="204">
        <f>IF($I35="","",INDEX('_Datos'!$BG$7:$BG$200,$I35))</f>
      </c>
      <c r="H35" s="205">
        <f>IF($I35="","",INDEX('_Datos'!$BF$7:$BF$200,$I35))</f>
      </c>
      <c r="I35" s="202">
        <f>IFERROR(MATCH(SMALL('_Datos'!$BH$7:$BH$200,ROW()-7+1),'_Datos'!$BH$7:$BH$200,0),"")</f>
      </c>
    </row>
    <row r="36">
      <c r="B36" s="204">
        <f>IF($I36="","",INDEX('_Datos'!$AO$7:$AO$200,$I36))</f>
      </c>
      <c r="C36" s="204">
        <f>IF($I36="","",INDEX('_Datos'!$AR$7:$AR$200,$I36))</f>
      </c>
      <c r="D36" s="207">
        <f>IF($I36="","",INDEX('_Datos'!$AW$7:$AW$200,$I36))</f>
      </c>
      <c r="E36" s="205">
        <f>IF($I36="","",INDEX('_Datos'!$F$7:$F$200,$I36))</f>
      </c>
      <c r="F36" s="205">
        <f>IF($I36="","",INDEX('_Datos'!$G$7:$G$200,$I36))</f>
      </c>
      <c r="G36" s="204">
        <f>IF($I36="","",INDEX('_Datos'!$BG$7:$BG$200,$I36))</f>
      </c>
      <c r="H36" s="205">
        <f>IF($I36="","",INDEX('_Datos'!$BF$7:$BF$200,$I36))</f>
      </c>
      <c r="I36" s="202">
        <f>IFERROR(MATCH(SMALL('_Datos'!$BH$7:$BH$200,ROW()-7+1),'_Datos'!$BH$7:$BH$200,0),"")</f>
      </c>
    </row>
    <row r="37">
      <c r="B37" s="204">
        <f>IF($I37="","",INDEX('_Datos'!$AO$7:$AO$200,$I37))</f>
      </c>
      <c r="C37" s="204">
        <f>IF($I37="","",INDEX('_Datos'!$AR$7:$AR$200,$I37))</f>
      </c>
      <c r="D37" s="207">
        <f>IF($I37="","",INDEX('_Datos'!$AW$7:$AW$200,$I37))</f>
      </c>
      <c r="E37" s="205">
        <f>IF($I37="","",INDEX('_Datos'!$F$7:$F$200,$I37))</f>
      </c>
      <c r="F37" s="205">
        <f>IF($I37="","",INDEX('_Datos'!$G$7:$G$200,$I37))</f>
      </c>
      <c r="G37" s="204">
        <f>IF($I37="","",INDEX('_Datos'!$BG$7:$BG$200,$I37))</f>
      </c>
      <c r="H37" s="205">
        <f>IF($I37="","",INDEX('_Datos'!$BF$7:$BF$200,$I37))</f>
      </c>
      <c r="I37" s="202">
        <f>IFERROR(MATCH(SMALL('_Datos'!$BH$7:$BH$200,ROW()-7+1),'_Datos'!$BH$7:$BH$200,0),"")</f>
      </c>
    </row>
    <row r="38">
      <c r="B38" s="204">
        <f>IF($I38="","",INDEX('_Datos'!$AO$7:$AO$200,$I38))</f>
      </c>
      <c r="C38" s="204">
        <f>IF($I38="","",INDEX('_Datos'!$AR$7:$AR$200,$I38))</f>
      </c>
      <c r="D38" s="207">
        <f>IF($I38="","",INDEX('_Datos'!$AW$7:$AW$200,$I38))</f>
      </c>
      <c r="E38" s="205">
        <f>IF($I38="","",INDEX('_Datos'!$F$7:$F$200,$I38))</f>
      </c>
      <c r="F38" s="205">
        <f>IF($I38="","",INDEX('_Datos'!$G$7:$G$200,$I38))</f>
      </c>
      <c r="G38" s="204">
        <f>IF($I38="","",INDEX('_Datos'!$BG$7:$BG$200,$I38))</f>
      </c>
      <c r="H38" s="205">
        <f>IF($I38="","",INDEX('_Datos'!$BF$7:$BF$200,$I38))</f>
      </c>
      <c r="I38" s="202">
        <f>IFERROR(MATCH(SMALL('_Datos'!$BH$7:$BH$200,ROW()-7+1),'_Datos'!$BH$7:$BH$200,0),"")</f>
      </c>
    </row>
    <row r="39">
      <c r="B39" s="204">
        <f>IF($I39="","",INDEX('_Datos'!$AO$7:$AO$200,$I39))</f>
      </c>
      <c r="C39" s="204">
        <f>IF($I39="","",INDEX('_Datos'!$AR$7:$AR$200,$I39))</f>
      </c>
      <c r="D39" s="207">
        <f>IF($I39="","",INDEX('_Datos'!$AW$7:$AW$200,$I39))</f>
      </c>
      <c r="E39" s="205">
        <f>IF($I39="","",INDEX('_Datos'!$F$7:$F$200,$I39))</f>
      </c>
      <c r="F39" s="205">
        <f>IF($I39="","",INDEX('_Datos'!$G$7:$G$200,$I39))</f>
      </c>
      <c r="G39" s="204">
        <f>IF($I39="","",INDEX('_Datos'!$BG$7:$BG$200,$I39))</f>
      </c>
      <c r="H39" s="205">
        <f>IF($I39="","",INDEX('_Datos'!$BF$7:$BF$200,$I39))</f>
      </c>
      <c r="I39" s="202">
        <f>IFERROR(MATCH(SMALL('_Datos'!$BH$7:$BH$200,ROW()-7+1),'_Datos'!$BH$7:$BH$200,0),"")</f>
      </c>
    </row>
    <row r="40">
      <c r="B40" s="204">
        <f>IF($I40="","",INDEX('_Datos'!$AO$7:$AO$200,$I40))</f>
      </c>
      <c r="C40" s="204">
        <f>IF($I40="","",INDEX('_Datos'!$AR$7:$AR$200,$I40))</f>
      </c>
      <c r="D40" s="207">
        <f>IF($I40="","",INDEX('_Datos'!$AW$7:$AW$200,$I40))</f>
      </c>
      <c r="E40" s="205">
        <f>IF($I40="","",INDEX('_Datos'!$F$7:$F$200,$I40))</f>
      </c>
      <c r="F40" s="205">
        <f>IF($I40="","",INDEX('_Datos'!$G$7:$G$200,$I40))</f>
      </c>
      <c r="G40" s="204">
        <f>IF($I40="","",INDEX('_Datos'!$BG$7:$BG$200,$I40))</f>
      </c>
      <c r="H40" s="205">
        <f>IF($I40="","",INDEX('_Datos'!$BF$7:$BF$200,$I40))</f>
      </c>
      <c r="I40" s="202">
        <f>IFERROR(MATCH(SMALL('_Datos'!$BH$7:$BH$200,ROW()-7+1),'_Datos'!$BH$7:$BH$200,0),"")</f>
      </c>
    </row>
    <row r="41">
      <c r="B41" s="204">
        <f>IF($I41="","",INDEX('_Datos'!$AO$7:$AO$200,$I41))</f>
      </c>
      <c r="C41" s="204">
        <f>IF($I41="","",INDEX('_Datos'!$AR$7:$AR$200,$I41))</f>
      </c>
      <c r="D41" s="207">
        <f>IF($I41="","",INDEX('_Datos'!$AW$7:$AW$200,$I41))</f>
      </c>
      <c r="E41" s="205">
        <f>IF($I41="","",INDEX('_Datos'!$F$7:$F$200,$I41))</f>
      </c>
      <c r="F41" s="205">
        <f>IF($I41="","",INDEX('_Datos'!$G$7:$G$200,$I41))</f>
      </c>
      <c r="G41" s="204">
        <f>IF($I41="","",INDEX('_Datos'!$BG$7:$BG$200,$I41))</f>
      </c>
      <c r="H41" s="205">
        <f>IF($I41="","",INDEX('_Datos'!$BF$7:$BF$200,$I41))</f>
      </c>
      <c r="I41" s="202">
        <f>IFERROR(MATCH(SMALL('_Datos'!$BH$7:$BH$200,ROW()-7+1),'_Datos'!$BH$7:$BH$200,0),"")</f>
      </c>
    </row>
    <row r="42">
      <c r="B42" s="204">
        <f>IF($I42="","",INDEX('_Datos'!$AO$7:$AO$200,$I42))</f>
      </c>
      <c r="C42" s="204">
        <f>IF($I42="","",INDEX('_Datos'!$AR$7:$AR$200,$I42))</f>
      </c>
      <c r="D42" s="207">
        <f>IF($I42="","",INDEX('_Datos'!$AW$7:$AW$200,$I42))</f>
      </c>
      <c r="E42" s="205">
        <f>IF($I42="","",INDEX('_Datos'!$F$7:$F$200,$I42))</f>
      </c>
      <c r="F42" s="205">
        <f>IF($I42="","",INDEX('_Datos'!$G$7:$G$200,$I42))</f>
      </c>
      <c r="G42" s="204">
        <f>IF($I42="","",INDEX('_Datos'!$BG$7:$BG$200,$I42))</f>
      </c>
      <c r="H42" s="205">
        <f>IF($I42="","",INDEX('_Datos'!$BF$7:$BF$200,$I42))</f>
      </c>
      <c r="I42" s="202">
        <f>IFERROR(MATCH(SMALL('_Datos'!$BH$7:$BH$200,ROW()-7+1),'_Datos'!$BH$7:$BH$200,0),"")</f>
      </c>
    </row>
    <row r="43">
      <c r="B43" s="204">
        <f>IF($I43="","",INDEX('_Datos'!$AO$7:$AO$200,$I43))</f>
      </c>
      <c r="C43" s="204">
        <f>IF($I43="","",INDEX('_Datos'!$AR$7:$AR$200,$I43))</f>
      </c>
      <c r="D43" s="207">
        <f>IF($I43="","",INDEX('_Datos'!$AW$7:$AW$200,$I43))</f>
      </c>
      <c r="E43" s="205">
        <f>IF($I43="","",INDEX('_Datos'!$F$7:$F$200,$I43))</f>
      </c>
      <c r="F43" s="205">
        <f>IF($I43="","",INDEX('_Datos'!$G$7:$G$200,$I43))</f>
      </c>
      <c r="G43" s="204">
        <f>IF($I43="","",INDEX('_Datos'!$BG$7:$BG$200,$I43))</f>
      </c>
      <c r="H43" s="205">
        <f>IF($I43="","",INDEX('_Datos'!$BF$7:$BF$200,$I43))</f>
      </c>
      <c r="I43" s="202">
        <f>IFERROR(MATCH(SMALL('_Datos'!$BH$7:$BH$200,ROW()-7+1),'_Datos'!$BH$7:$BH$200,0),"")</f>
      </c>
    </row>
    <row r="44">
      <c r="B44" s="204">
        <f>IF($I44="","",INDEX('_Datos'!$AO$7:$AO$200,$I44))</f>
      </c>
      <c r="C44" s="204">
        <f>IF($I44="","",INDEX('_Datos'!$AR$7:$AR$200,$I44))</f>
      </c>
      <c r="D44" s="207">
        <f>IF($I44="","",INDEX('_Datos'!$AW$7:$AW$200,$I44))</f>
      </c>
      <c r="E44" s="205">
        <f>IF($I44="","",INDEX('_Datos'!$F$7:$F$200,$I44))</f>
      </c>
      <c r="F44" s="205">
        <f>IF($I44="","",INDEX('_Datos'!$G$7:$G$200,$I44))</f>
      </c>
      <c r="G44" s="204">
        <f>IF($I44="","",INDEX('_Datos'!$BG$7:$BG$200,$I44))</f>
      </c>
      <c r="H44" s="205">
        <f>IF($I44="","",INDEX('_Datos'!$BF$7:$BF$200,$I44))</f>
      </c>
      <c r="I44" s="202">
        <f>IFERROR(MATCH(SMALL('_Datos'!$BH$7:$BH$200,ROW()-7+1),'_Datos'!$BH$7:$BH$200,0),"")</f>
      </c>
    </row>
    <row r="45">
      <c r="B45" s="204">
        <f>IF($I45="","",INDEX('_Datos'!$AO$7:$AO$200,$I45))</f>
      </c>
      <c r="C45" s="204">
        <f>IF($I45="","",INDEX('_Datos'!$AR$7:$AR$200,$I45))</f>
      </c>
      <c r="D45" s="207">
        <f>IF($I45="","",INDEX('_Datos'!$AW$7:$AW$200,$I45))</f>
      </c>
      <c r="E45" s="205">
        <f>IF($I45="","",INDEX('_Datos'!$F$7:$F$200,$I45))</f>
      </c>
      <c r="F45" s="205">
        <f>IF($I45="","",INDEX('_Datos'!$G$7:$G$200,$I45))</f>
      </c>
      <c r="G45" s="204">
        <f>IF($I45="","",INDEX('_Datos'!$BG$7:$BG$200,$I45))</f>
      </c>
      <c r="H45" s="205">
        <f>IF($I45="","",INDEX('_Datos'!$BF$7:$BF$200,$I45))</f>
      </c>
      <c r="I45" s="202">
        <f>IFERROR(MATCH(SMALL('_Datos'!$BH$7:$BH$200,ROW()-7+1),'_Datos'!$BH$7:$BH$200,0),"")</f>
      </c>
    </row>
    <row r="46">
      <c r="B46" s="204">
        <f>IF($I46="","",INDEX('_Datos'!$AO$7:$AO$200,$I46))</f>
      </c>
      <c r="C46" s="204">
        <f>IF($I46="","",INDEX('_Datos'!$AR$7:$AR$200,$I46))</f>
      </c>
      <c r="D46" s="207">
        <f>IF($I46="","",INDEX('_Datos'!$AW$7:$AW$200,$I46))</f>
      </c>
      <c r="E46" s="205">
        <f>IF($I46="","",INDEX('_Datos'!$F$7:$F$200,$I46))</f>
      </c>
      <c r="F46" s="205">
        <f>IF($I46="","",INDEX('_Datos'!$G$7:$G$200,$I46))</f>
      </c>
      <c r="G46" s="204">
        <f>IF($I46="","",INDEX('_Datos'!$BG$7:$BG$200,$I46))</f>
      </c>
      <c r="H46" s="205">
        <f>IF($I46="","",INDEX('_Datos'!$BF$7:$BF$200,$I46))</f>
      </c>
      <c r="I46" s="202">
        <f>IFERROR(MATCH(SMALL('_Datos'!$BH$7:$BH$200,ROW()-7+1),'_Datos'!$BH$7:$BH$200,0),"")</f>
      </c>
    </row>
  </sheetData>
  <mergeCells count="2">
    <mergeCell ref="B1:H1"/>
    <mergeCell ref="B2:H2"/>
  </mergeCells>
  <conditionalFormatting sqref="G7:G46">
    <cfRule type="expression" dxfId="26" priority="10">
      <formula>$G7="Sí"</formula>
    </cfRule>
    <cfRule type="expression" dxfId="23" priority="11">
      <formula>$G7="No"</formula>
    </cfRule>
  </conditionalFormatting>
  <conditionalFormatting sqref="B7:H46">
    <cfRule type="expression" dxfId="21" priority="20">
      <formula>$B7&lt;&gt;""</formula>
    </cfRule>
  </conditionalFormatting>
  <pageMargins left="0.4" right="0.4" top="0.5" bottom="0.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Hojas de cálculo</vt:lpstr>
      </vt:variant>
      <vt:variant>
        <vt:i4>4</vt:i4>
      </vt:variant>
      <vt:variant>
        <vt:lpstr>Rangos con nombre</vt:lpstr>
      </vt:variant>
      <vt:variant>
        <vt:i4>18</vt:i4>
      </vt:variant>
    </vt:vector>
  </HeadingPairs>
  <TitlesOfParts>
    <vt:vector size="22" baseType="lpstr">
      <vt:lpstr>Proyecto Datos (OKR´s)</vt:lpstr>
      <vt:lpstr>Proyecto Datos (Actual)</vt:lpstr>
      <vt:lpstr>Proyecto Datos</vt:lpstr>
      <vt:lpstr>Acerca de</vt:lpstr>
      <vt:lpstr>'Proyecto Datos (Actual)'!Inicio_del_proyecto</vt:lpstr>
      <vt:lpstr>'Proyecto Datos (OKR´s)'!Inicio_del_proyecto</vt:lpstr>
      <vt:lpstr>Inicio_del_proyecto</vt:lpstr>
      <vt:lpstr>'Proyecto Datos (Actual)'!Semana_para_mostrar</vt:lpstr>
      <vt:lpstr>'Proyecto Datos (OKR´s)'!Semana_para_mostrar</vt:lpstr>
      <vt:lpstr>Semana_para_mostrar</vt:lpstr>
      <vt:lpstr>'Proyecto Datos'!task_end</vt:lpstr>
      <vt:lpstr>'Proyecto Datos (Actual)'!task_end</vt:lpstr>
      <vt:lpstr>'Proyecto Datos (OKR´s)'!task_end</vt:lpstr>
      <vt:lpstr>'Proyecto Datos'!task_progress</vt:lpstr>
      <vt:lpstr>'Proyecto Datos (Actual)'!task_progress</vt:lpstr>
      <vt:lpstr>'Proyecto Datos (OKR´s)'!task_progress</vt:lpstr>
      <vt:lpstr>'Proyecto Datos'!task_start</vt:lpstr>
      <vt:lpstr>'Proyecto Datos (Actual)'!task_start</vt:lpstr>
      <vt:lpstr>'Proyecto Datos (OKR´s)'!task_start</vt:lpstr>
      <vt:lpstr>'Proyecto Datos'!Títulos_a_imprimir</vt:lpstr>
      <vt:lpstr>'Proyecto Datos (Actual)'!Títulos_a_imprimir</vt:lpstr>
      <vt:lpstr>'Proyecto Datos (OKR´s)'!Títulos_a_imprimir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2026-06-08T19:37:03Z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